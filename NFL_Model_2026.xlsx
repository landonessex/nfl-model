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eams" sheetId="2" state="visible" r:id="rId4"/>
    <sheet name="Coefficients" sheetId="3" state="visible" r:id="rId5"/>
    <sheet name="Matchup" sheetId="4" state="visible" r:id="rId6"/>
    <sheet name="Simulations" sheetId="5" state="visible" r:id="rId7"/>
    <sheet name="BetCard" sheetId="6" state="visible" r:id="rId8"/>
    <sheet name="Bet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<sst xmlns="http://schemas.openxmlformats.org/spreadsheetml/2006/main" count="304" uniqueCount="289">
  <si>
    <t xml:space="preserve">NFL MODEL 2026  -  Read Me</t>
  </si>
  <si>
    <t xml:space="preserve">WHAT THIS IS</t>
  </si>
  <si>
    <t xml:space="preserve">A live-formula NFL game model. Attack and Defense ratings set each team's expected score;</t>
  </si>
  <si>
    <t xml:space="preserve">a five-statistic regression gives a second opinion; 3,000 simulated possessions per game turn</t>
  </si>
  <si>
    <t xml:space="preserve">those expectations into a distribution you can price a Moneyline, Spread and Total against.</t>
  </si>
  <si>
    <t xml:space="preserve">Built from two published methods:</t>
  </si>
  <si>
    <t xml:space="preserve">   Excel LADZ, 'Building an NFL Model' Parts 1-3   - ratings, scoreline simulation, overtime, pricing</t>
  </si>
  <si>
    <t xml:space="preserve">   Samford Sports Analytics, 'How I Built a Competitive NFL Prediction Model with Only Five</t>
  </si>
  <si>
    <t xml:space="preserve">   Statistics' - regression on passing yards, rushing yards, takeaways and giveaways</t>
  </si>
  <si>
    <t xml:space="preserve">COLOUR LEGEND</t>
  </si>
  <si>
    <t xml:space="preserve">   BLUE text on YELLOW fill = you type here. Nothing else should ever be overtyped.</t>
  </si>
  <si>
    <t xml:space="preserve">   Black text = a formula. Green text = a value pulled from another sheet.</t>
  </si>
  <si>
    <t xml:space="preserve">HOW TO USE IT, IN ORDER</t>
  </si>
  <si>
    <t xml:space="preserve">   1. Teams        Paste this season's per-game team stats over the yellow block.</t>
  </si>
  <si>
    <t xml:space="preserve">                   Before Week 4, use last season's final numbers - the sample is too thin</t>
  </si>
  <si>
    <t xml:space="preserve">                   otherwise, and the model will hand you nonsense with great confidence.</t>
  </si>
  <si>
    <t xml:space="preserve">   2. Coefficients Check the league averages and the regression coefficients. Refit the</t>
  </si>
  <si>
    <t xml:space="preserve">                   coefficients each offseason by running the Python engine's 'ratings' command.</t>
  </si>
  <si>
    <t xml:space="preserve">   3. Matchup      Pick the home and away team from the dropdowns. Read the projected score.</t>
  </si>
  <si>
    <t xml:space="preserve">   4. Simulations  Press F9 to reroll. The summary block in columns S:U is what prices the game.</t>
  </si>
  <si>
    <t xml:space="preserve">   5. BetCard      Type in the book's actual prices. It devigs them, compares to the model,</t>
  </si>
  <si>
    <t xml:space="preserve">                   and sizes a quarter-Kelly stake only when the edge clears your threshold.</t>
  </si>
  <si>
    <t xml:space="preserve">   6. BetLog       Record every bet AND the closing line. Closing line value is the only</t>
  </si>
  <si>
    <t xml:space="preserve">                   honest read on whether the model works; win rate over one season is noise.</t>
  </si>
  <si>
    <t xml:space="preserve">THE ONE THING TO UNDERSTAND</t>
  </si>
  <si>
    <t xml:space="preserve">The simulation counts touchdowns and field goals rather than drawing a points total from a</t>
  </si>
  <si>
    <t xml:space="preserve">smooth curve. That is deliberate. NFL margins pile up on 3 and 7 - about one game in six</t>
  </si>
  <si>
    <t xml:space="preserve">finishes on one of those two numbers - and a normal distribution spreads that mass over 2.5,</t>
  </si>
  <si>
    <t xml:space="preserve">3.5, 6.5 and 7.5 where football almost never lands. Getting those two numbers right is most</t>
  </si>
  <si>
    <t xml:space="preserve">of the difference between a model that looks clever and one that beats a -110 price.</t>
  </si>
  <si>
    <t xml:space="preserve">WHERE TO GET THE DATA, FREE</t>
  </si>
  <si>
    <t xml:space="preserve">   Pro Football Reference   pro-football-reference.com/years/2026/  (team stats, box scores)</t>
  </si>
  <si>
    <t xml:space="preserve">   nflverse                 github.com/nflverse/nflverse-data  (full play-by-play, R and Python)</t>
  </si>
  <si>
    <t xml:space="preserve">   The Odds API             the-odds-api.com  (free tier covers a weekly NFL slate)</t>
  </si>
  <si>
    <t xml:space="preserve">HONEST EXPECTATIONS</t>
  </si>
  <si>
    <t xml:space="preserve">A good NFL model picks around 66-68% of games straight up. So does the closing spread.</t>
  </si>
  <si>
    <t xml:space="preserve">Beating the market by a point of true line value is a real achievement; beating it by three</t>
  </si>
  <si>
    <t xml:space="preserve">means you have a bug. Any backtest showing 70%+ is fitting its own history.</t>
  </si>
  <si>
    <t xml:space="preserve">For research and entertainment. Bet only what you can afford to lose, if at all.</t>
  </si>
  <si>
    <t xml:space="preserve">TEAM INPUTS  -  per-game rates</t>
  </si>
  <si>
    <t xml:space="preserve">Overtype the yellow block only. Columns L:N are calculated. Rank 1 = best.</t>
  </si>
  <si>
    <t xml:space="preserve">Team</t>
  </si>
  <si>
    <t xml:space="preserve">G</t>
  </si>
  <si>
    <t xml:space="preserve">PF/g</t>
  </si>
  <si>
    <t xml:space="preserve">PA/g</t>
  </si>
  <si>
    <t xml:space="preserve">PassYds For/g</t>
  </si>
  <si>
    <t xml:space="preserve">PassYds Ag/g</t>
  </si>
  <si>
    <t xml:space="preserve">RushYds For/g</t>
  </si>
  <si>
    <t xml:space="preserve">RushYds Ag/g</t>
  </si>
  <si>
    <t xml:space="preserve">Giveaways/g</t>
  </si>
  <si>
    <t xml:space="preserve">Takeaways/g</t>
  </si>
  <si>
    <t xml:space="preserve">ATT</t>
  </si>
  <si>
    <t xml:space="preserve">DEF</t>
  </si>
  <si>
    <t xml:space="preserve">Power (pts)</t>
  </si>
  <si>
    <t xml:space="preserve">ARI</t>
  </si>
  <si>
    <t xml:space="preserve">ATL</t>
  </si>
  <si>
    <t xml:space="preserve">BAL</t>
  </si>
  <si>
    <t xml:space="preserve">BUF</t>
  </si>
  <si>
    <t xml:space="preserve">CAR</t>
  </si>
  <si>
    <t xml:space="preserve">CHI</t>
  </si>
  <si>
    <t xml:space="preserve">CIN</t>
  </si>
  <si>
    <t xml:space="preserve">CLE</t>
  </si>
  <si>
    <t xml:space="preserve">DAL</t>
  </si>
  <si>
    <t xml:space="preserve">DEN</t>
  </si>
  <si>
    <t xml:space="preserve">DET</t>
  </si>
  <si>
    <t xml:space="preserve">GB</t>
  </si>
  <si>
    <t xml:space="preserve">HOU</t>
  </si>
  <si>
    <t xml:space="preserve">IND</t>
  </si>
  <si>
    <t xml:space="preserve">JAX</t>
  </si>
  <si>
    <t xml:space="preserve">KC</t>
  </si>
  <si>
    <t xml:space="preserve">LAC</t>
  </si>
  <si>
    <t xml:space="preserve">LAR</t>
  </si>
  <si>
    <t xml:space="preserve">LV</t>
  </si>
  <si>
    <t xml:space="preserve">MIA</t>
  </si>
  <si>
    <t xml:space="preserve">MIN</t>
  </si>
  <si>
    <t xml:space="preserve">NE</t>
  </si>
  <si>
    <t xml:space="preserve">NO</t>
  </si>
  <si>
    <t xml:space="preserve">NYG</t>
  </si>
  <si>
    <t xml:space="preserve">NYJ</t>
  </si>
  <si>
    <t xml:space="preserve">PHI</t>
  </si>
  <si>
    <t xml:space="preserve">PIT</t>
  </si>
  <si>
    <t xml:space="preserve">SEA</t>
  </si>
  <si>
    <t xml:space="preserve">SF</t>
  </si>
  <si>
    <t xml:space="preserve">TB</t>
  </si>
  <si>
    <t xml:space="preserve">TEN</t>
  </si>
  <si>
    <t xml:space="preserve">WAS</t>
  </si>
  <si>
    <t xml:space="preserve">LEAGUE AVG</t>
  </si>
  <si>
    <t xml:space="preserve">Source: user-entered from Pro Football Reference team stats. Row values above are placeholder examples - replace all 32 rows.</t>
  </si>
  <si>
    <t xml:space="preserve">ATT and DEF here are unadjusted for schedule. The Python engine solves them iteratively against opponent quality, which is materially better by mid-season.</t>
  </si>
  <si>
    <t xml:space="preserve">MODEL PARAMETERS</t>
  </si>
  <si>
    <t xml:space="preserve">Every number the model uses lives here. Yellow = editable.</t>
  </si>
  <si>
    <t xml:space="preserve">FIVE-STATISTIC REGRESSION  (Samford)</t>
  </si>
  <si>
    <t xml:space="preserve">Intercept</t>
  </si>
  <si>
    <t xml:space="preserve">Points = intercept + sum of the four terms below</t>
  </si>
  <si>
    <t xml:space="preserve">Coef: Passing Yards</t>
  </si>
  <si>
    <t xml:space="preserve">about 6.5 points per 100 net passing yards</t>
  </si>
  <si>
    <t xml:space="preserve">Coef: Rushing Yards</t>
  </si>
  <si>
    <t xml:space="preserve">about 5.5 points per 100 rushing yards</t>
  </si>
  <si>
    <t xml:space="preserve">Coef: Takeaways</t>
  </si>
  <si>
    <t xml:space="preserve">each takeaway is worth roughly a point and a half</t>
  </si>
  <si>
    <t xml:space="preserve">Coef: Giveaways</t>
  </si>
  <si>
    <t xml:space="preserve">giveaways cost more than takeaways gain - asymmetric</t>
  </si>
  <si>
    <t xml:space="preserve">SD: Passing Yards</t>
  </si>
  <si>
    <t xml:space="preserve">game-to-game standard deviation, for the draws</t>
  </si>
  <si>
    <t xml:space="preserve">SD: Rushing Yards</t>
  </si>
  <si>
    <t xml:space="preserve">Residual SD (points)</t>
  </si>
  <si>
    <t xml:space="preserve">the part of scoring the four stats do not explain</t>
  </si>
  <si>
    <t xml:space="preserve">Refit these each offseason: python nfl_model.py ratings --games games.csv</t>
  </si>
  <si>
    <t xml:space="preserve">GAME ENVIRONMENT</t>
  </si>
  <si>
    <t xml:space="preserve">League PPG (per team)</t>
  </si>
  <si>
    <t xml:space="preserve">pulled from the Teams sheet average</t>
  </si>
  <si>
    <t xml:space="preserve">Home field advantage (pts)</t>
  </si>
  <si>
    <t xml:space="preserve">NFL HFA has drifted down from ~2.6 to ~1.7-2.1. Set 0 for neutral sites.</t>
  </si>
  <si>
    <t xml:space="preserve">Bye-week bonus (pts)</t>
  </si>
  <si>
    <t xml:space="preserve">Short week penalty (pts)</t>
  </si>
  <si>
    <t xml:space="preserve">Thursday off a Sunday</t>
  </si>
  <si>
    <t xml:space="preserve">Drives per team</t>
  </si>
  <si>
    <t xml:space="preserve">possessions excluding kneeldowns</t>
  </si>
  <si>
    <t xml:space="preserve">SD of drives</t>
  </si>
  <si>
    <t xml:space="preserve">Environment SD</t>
  </si>
  <si>
    <t xml:space="preserve">shared shock: weather, pace, shootout script. Makes the two scores correlate.</t>
  </si>
  <si>
    <t xml:space="preserve">SCORING RATES  (per drive, league average offence)</t>
  </si>
  <si>
    <t xml:space="preserve">Base TD rate</t>
  </si>
  <si>
    <t xml:space="preserve">Base FG rate</t>
  </si>
  <si>
    <t xml:space="preserve">TD elasticity</t>
  </si>
  <si>
    <t xml:space="preserve">good offences convert touchdowns; they do not merely kick more field goals</t>
  </si>
  <si>
    <t xml:space="preserve">FG elasticity</t>
  </si>
  <si>
    <t xml:space="preserve">Points per TD (with XP/2pt)</t>
  </si>
  <si>
    <t xml:space="preserve">used by the ratings maths; the simulation resolves each conversion individually</t>
  </si>
  <si>
    <t xml:space="preserve">2-point attempt rate</t>
  </si>
  <si>
    <t xml:space="preserve">2-point success rate</t>
  </si>
  <si>
    <t xml:space="preserve">Extra point success rate</t>
  </si>
  <si>
    <t xml:space="preserve">ENSEMBLE AND STAKING</t>
  </si>
  <si>
    <t xml:space="preserve">Weight: Ratings model</t>
  </si>
  <si>
    <t xml:space="preserve">the two weights should sum to 1</t>
  </si>
  <si>
    <t xml:space="preserve">Weight: Regression model</t>
  </si>
  <si>
    <t xml:space="preserve">Kelly fraction</t>
  </si>
  <si>
    <t xml:space="preserve">quarter Kelly. Full Kelly will find your ruin.</t>
  </si>
  <si>
    <t xml:space="preserve">Max stake (% bankroll)</t>
  </si>
  <si>
    <t xml:space="preserve">Min edge to bet</t>
  </si>
  <si>
    <t xml:space="preserve">model probability must beat the no-vig price by this much before anything fires</t>
  </si>
  <si>
    <t xml:space="preserve">Bankroll</t>
  </si>
  <si>
    <t xml:space="preserve">MATCHUP</t>
  </si>
  <si>
    <t xml:space="preserve">Choose two teams. Everything below recalculates.</t>
  </si>
  <si>
    <t xml:space="preserve">SELECT</t>
  </si>
  <si>
    <t xml:space="preserve">Home team</t>
  </si>
  <si>
    <t xml:space="preserve">dropdown</t>
  </si>
  <si>
    <t xml:space="preserve">Away team</t>
  </si>
  <si>
    <t xml:space="preserve">Neutral site? (1 = yes)</t>
  </si>
  <si>
    <t xml:space="preserve">kills home field advantage</t>
  </si>
  <si>
    <t xml:space="preserve">Home rest (0 norm/1 bye/-1 short)</t>
  </si>
  <si>
    <t xml:space="preserve">Away rest (0 norm/1 bye/-1 short)</t>
  </si>
  <si>
    <t xml:space="preserve">METHOD 1  -  ATTACK / DEFENSE RATINGS   (Excel LADZ)</t>
  </si>
  <si>
    <t xml:space="preserve">Home ATT</t>
  </si>
  <si>
    <t xml:space="preserve">Home DEF</t>
  </si>
  <si>
    <t xml:space="preserve">Away ATT</t>
  </si>
  <si>
    <t xml:space="preserve">Away DEF</t>
  </si>
  <si>
    <t xml:space="preserve">Ratings: home expected pts</t>
  </si>
  <si>
    <t xml:space="preserve">league PPG x home attack x away defense</t>
  </si>
  <si>
    <t xml:space="preserve">Ratings: away expected pts</t>
  </si>
  <si>
    <t xml:space="preserve">METHOD 2  -  FIVE STATISTICS   (Samford)</t>
  </si>
  <si>
    <t xml:space="preserve">HOME</t>
  </si>
  <si>
    <t xml:space="preserve">AWAY</t>
  </si>
  <si>
    <t xml:space="preserve">how it is built</t>
  </si>
  <si>
    <t xml:space="preserve">Expected passing yards</t>
  </si>
  <si>
    <t xml:space="preserve">team's own passing rate blended with the opponent's rate allowed</t>
  </si>
  <si>
    <t xml:space="preserve">Expected rushing yards</t>
  </si>
  <si>
    <t xml:space="preserve">same blend, rushing</t>
  </si>
  <si>
    <t xml:space="preserve">Expected giveaways</t>
  </si>
  <si>
    <t xml:space="preserve">your giveaway rate against their takeaway rate</t>
  </si>
  <si>
    <t xml:space="preserve">Expected takeaways</t>
  </si>
  <si>
    <t xml:space="preserve">the mirror image</t>
  </si>
  <si>
    <t xml:space="preserve">Regression: expected pts</t>
  </si>
  <si>
    <t xml:space="preserve">BLEND  +  SITUATIONAL ADJUSTMENTS</t>
  </si>
  <si>
    <t xml:space="preserve">Home field / rest adjustment</t>
  </si>
  <si>
    <t xml:space="preserve">EXPECTED SCORE</t>
  </si>
  <si>
    <t xml:space="preserve">Model spread (home)</t>
  </si>
  <si>
    <t xml:space="preserve">Model total</t>
  </si>
  <si>
    <t xml:space="preserve">DRIVE-LEVEL SCORING RATES  (feeds the simulation)</t>
  </si>
  <si>
    <t xml:space="preserve">Expected points converted into per-possession touchdown and field goal rates, then rescaled so the rates reproduce the expected score exactly.</t>
  </si>
  <si>
    <t xml:space="preserve">Scoring index k</t>
  </si>
  <si>
    <t xml:space="preserve">Raw TD rate</t>
  </si>
  <si>
    <t xml:space="preserve">Raw FG rate</t>
  </si>
  <si>
    <t xml:space="preserve">Scale to hit expected pts</t>
  </si>
  <si>
    <t xml:space="preserve">TD rate per drive</t>
  </si>
  <si>
    <t xml:space="preserve">FG rate per drive</t>
  </si>
  <si>
    <t xml:space="preserve">SIMULATION OUTPUT</t>
  </si>
  <si>
    <t xml:space="preserve">P(home win)</t>
  </si>
  <si>
    <t xml:space="preserve">P(away win)</t>
  </si>
  <si>
    <t xml:space="preserve">P(tie)</t>
  </si>
  <si>
    <t xml:space="preserve">Mean home score</t>
  </si>
  <si>
    <t xml:space="preserve">Mean away score</t>
  </si>
  <si>
    <t xml:space="preserve">Mean margin</t>
  </si>
  <si>
    <t xml:space="preserve">SD of margin</t>
  </si>
  <si>
    <t xml:space="preserve">Mean total</t>
  </si>
  <si>
    <t xml:space="preserve">Press F9 on the Simulations sheet to reroll all 3,000 games.</t>
  </si>
  <si>
    <t xml:space="preserve">SIMULATIONS  -  3,000 games</t>
  </si>
  <si>
    <t xml:space="preserve">Volatile: every keystroke rerolls. The summary block in Y:AA is what the model prices off.</t>
  </si>
  <si>
    <t xml:space="preserve">Sim</t>
  </si>
  <si>
    <t xml:space="preserve">Env</t>
  </si>
  <si>
    <t xml:space="preserve">Drives</t>
  </si>
  <si>
    <t xml:space="preserve">H TD</t>
  </si>
  <si>
    <t xml:space="preserve">H 2pt att</t>
  </si>
  <si>
    <t xml:space="preserve">H 2pt made</t>
  </si>
  <si>
    <t xml:space="preserve">H XP miss</t>
  </si>
  <si>
    <t xml:space="preserve">H FG</t>
  </si>
  <si>
    <t xml:space="preserve">H Reg</t>
  </si>
  <si>
    <t xml:space="preserve">A TD</t>
  </si>
  <si>
    <t xml:space="preserve">A 2pt att</t>
  </si>
  <si>
    <t xml:space="preserve">A 2pt made</t>
  </si>
  <si>
    <t xml:space="preserve">A XP miss</t>
  </si>
  <si>
    <t xml:space="preserve">A FG</t>
  </si>
  <si>
    <t xml:space="preserve">A Reg</t>
  </si>
  <si>
    <t xml:space="preserve">otRH</t>
  </si>
  <si>
    <t xml:space="preserve">otRA</t>
  </si>
  <si>
    <t xml:space="preserve">H OT</t>
  </si>
  <si>
    <t xml:space="preserve">A OT</t>
  </si>
  <si>
    <t xml:space="preserve">Margin</t>
  </si>
  <si>
    <t xml:space="preserve">Total</t>
  </si>
  <si>
    <t xml:space="preserve">SUMMARY</t>
  </si>
  <si>
    <t xml:space="preserve">value</t>
  </si>
  <si>
    <t xml:space="preserve">n</t>
  </si>
  <si>
    <t xml:space="preserve">a tie pushes the moneyline</t>
  </si>
  <si>
    <t xml:space="preserve">Mean home</t>
  </si>
  <si>
    <t xml:space="preserve">Mean away</t>
  </si>
  <si>
    <t xml:space="preserve">positive = home favoured</t>
  </si>
  <si>
    <t xml:space="preserve">SD margin</t>
  </si>
  <si>
    <t xml:space="preserve">real NFL sits near 13.6</t>
  </si>
  <si>
    <t xml:space="preserve">SD total</t>
  </si>
  <si>
    <t xml:space="preserve">real NFL sits near 13.9</t>
  </si>
  <si>
    <t xml:space="preserve">Median margin</t>
  </si>
  <si>
    <t xml:space="preserve">KEY NUMBERS</t>
  </si>
  <si>
    <t xml:space="preserve">margin</t>
  </si>
  <si>
    <t xml:space="preserve">model</t>
  </si>
  <si>
    <t xml:space="preserve">real NFL, 2010-2025</t>
  </si>
  <si>
    <t xml:space="preserve">2.5%</t>
  </si>
  <si>
    <t xml:space="preserve">9.5%  - the most common margin in football</t>
  </si>
  <si>
    <t xml:space="preserve">4.9%</t>
  </si>
  <si>
    <t xml:space="preserve">5.3%</t>
  </si>
  <si>
    <t xml:space="preserve">7.1%  - the second most common</t>
  </si>
  <si>
    <t xml:space="preserve">5.7%</t>
  </si>
  <si>
    <t xml:space="preserve">4.4%</t>
  </si>
  <si>
    <t xml:space="preserve">3.4%</t>
  </si>
  <si>
    <t xml:space="preserve">If your model column drifts far from the right-hand column across many matchups, adjust the TD and FG elasticities on the Coefficients sheet.</t>
  </si>
  <si>
    <t xml:space="preserve">BET CARD</t>
  </si>
  <si>
    <t xml:space="preserve">Type the book's prices into the yellow cells. Everything else calculates.</t>
  </si>
  <si>
    <t xml:space="preserve">PRICES AND EDGES</t>
  </si>
  <si>
    <t xml:space="preserve">Market</t>
  </si>
  <si>
    <t xml:space="preserve">Book price</t>
  </si>
  <si>
    <t xml:space="preserve">Other side</t>
  </si>
  <si>
    <t xml:space="preserve">Vig-free prob</t>
  </si>
  <si>
    <t xml:space="preserve">Model prob</t>
  </si>
  <si>
    <t xml:space="preserve">Edge</t>
  </si>
  <si>
    <t xml:space="preserve">EV per $1</t>
  </si>
  <si>
    <t xml:space="preserve">Stake</t>
  </si>
  <si>
    <t xml:space="preserve">Home Moneyline</t>
  </si>
  <si>
    <t xml:space="preserve">Away Moneyline</t>
  </si>
  <si>
    <t xml:space="preserve">Home Spread</t>
  </si>
  <si>
    <t xml:space="preserve">Away Spread</t>
  </si>
  <si>
    <t xml:space="preserve">Over</t>
  </si>
  <si>
    <t xml:space="preserve">Under</t>
  </si>
  <si>
    <t xml:space="preserve">Spread line (home)</t>
  </si>
  <si>
    <t xml:space="preserve">Total line</t>
  </si>
  <si>
    <t xml:space="preserve">Pushes are excluded from the spread and total probabilities, which is how a book settles them. A whole-number line is not a coin flip - it is a coin flip with a chunk of the coin removed.</t>
  </si>
  <si>
    <t xml:space="preserve">Most weeks nothing should fire. A model that finds eight bets on a thirteen-game slate is not sharp, it is miscalibrated.</t>
  </si>
  <si>
    <t xml:space="preserve">BET LOG  -  and closing line value</t>
  </si>
  <si>
    <t xml:space="preserve">The scoreboard that actually matters. Fill the yellow columns as you go.</t>
  </si>
  <si>
    <t xml:space="preserve">Date</t>
  </si>
  <si>
    <t xml:space="preserve">Week</t>
  </si>
  <si>
    <t xml:space="preserve">Game</t>
  </si>
  <si>
    <t xml:space="preserve">Side</t>
  </si>
  <si>
    <t xml:space="preserve">Odds taken</t>
  </si>
  <si>
    <t xml:space="preserve">Closing odds</t>
  </si>
  <si>
    <t xml:space="preserve">Result (W/L/P)</t>
  </si>
  <si>
    <t xml:space="preserve">P/L</t>
  </si>
  <si>
    <t xml:space="preserve">CLV %</t>
  </si>
  <si>
    <t xml:space="preserve">Running P/L</t>
  </si>
  <si>
    <t xml:space="preserve">2026-09-13</t>
  </si>
  <si>
    <t xml:space="preserve">BUF @ KC</t>
  </si>
  <si>
    <t xml:space="preserve">Spread</t>
  </si>
  <si>
    <t xml:space="preserve">KC -2.5</t>
  </si>
  <si>
    <t xml:space="preserve">W</t>
  </si>
  <si>
    <t xml:space="preserve">TOTALS</t>
  </si>
  <si>
    <t xml:space="preserve">Bets</t>
  </si>
  <si>
    <t xml:space="preserve">Staked</t>
  </si>
  <si>
    <t xml:space="preserve">ROI</t>
  </si>
  <si>
    <t xml:space="preserve">Average CLV</t>
  </si>
  <si>
    <t xml:space="preserve">Average CLV above zero over 100+ bets is the strongest evidence a model has an edge. It shows up long before profit does, because it is not drowned in variance.</t>
  </si>
  <si>
    <t xml:space="preserve">Row 4 is a worked example. Overtype it.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</si>
</sst>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0"/>
    <numFmt numFmtId="166" formatCode="0.0"/>
    <numFmt numFmtId="167" formatCode="0.00"/>
    <numFmt numFmtId="168" formatCode="0.000"/>
    <numFmt numFmtId="169" formatCode="0.00000"/>
    <numFmt numFmtId="170" formatCode="0.0%"/>
    <numFmt numFmtId="171" formatCode="\$#,##0"/>
    <numFmt numFmtId="172" formatCode="\+0.0;\-0.0;0.0"/>
    <numFmt numFmtId="173" formatCode="0.0000"/>
    <numFmt numFmtId="174" formatCode="0.00%"/>
    <numFmt numFmtId="175" formatCode="\+0;\-0"/>
    <numFmt numFmtId="176" formatCode="\$0.000"/>
    <numFmt numFmtId="177" formatCode="\$#,##0.00"/>
    <numFmt numFmtId="178" formatCode="\+0.0;\-0.0"/>
    <numFmt numFmtId="179" formatCode="\$#,##0.00;&quot;($&quot;#,##0.00\);\-"/>
    <numFmt numFmtId="180" formatCode="\+0.0%;\-0.0%;\-"/>
    <numFmt numFmtId="181" formatCode="\+0.00%;\-0.00%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2E5A88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4" t="s">
        <v>12</v>
      </c>
    </row>
    <row r="19" customFormat="false" ht="15" hidden="false" customHeight="false" outlineLevel="0" collapsed="false">
      <c r="A19" s="3" t="s">
        <v>13</v>
      </c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4" t="s">
        <v>24</v>
      </c>
    </row>
    <row r="32" customFormat="false" ht="15" hidden="false" customHeight="false" outlineLevel="0" collapsed="false">
      <c r="A32" s="3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/>
    </row>
    <row r="38" customFormat="false" ht="15" hidden="false" customHeight="false" outlineLevel="0" collapsed="false">
      <c r="A38" s="4" t="s">
        <v>30</v>
      </c>
    </row>
    <row r="39" customFormat="false" ht="15" hidden="false" customHeight="false" outlineLevel="0" collapsed="false">
      <c r="A39" s="3" t="s">
        <v>31</v>
      </c>
    </row>
    <row r="40" customFormat="false" ht="15" hidden="false" customHeight="false" outlineLevel="0" collapsed="false">
      <c r="A40" s="3" t="s">
        <v>32</v>
      </c>
    </row>
    <row r="41" customFormat="false" ht="15" hidden="false" customHeight="false" outlineLevel="0" collapsed="false">
      <c r="A41" s="3" t="s">
        <v>33</v>
      </c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4" t="s">
        <v>34</v>
      </c>
    </row>
    <row r="44" customFormat="false" ht="15" hidden="false" customHeight="false" outlineLevel="0" collapsed="false">
      <c r="A44" s="3" t="s">
        <v>35</v>
      </c>
    </row>
    <row r="45" customFormat="false" ht="15" hidden="false" customHeight="false" outlineLevel="0" collapsed="false">
      <c r="A45" s="3" t="s">
        <v>36</v>
      </c>
    </row>
    <row r="46" customFormat="false" ht="15" hidden="false" customHeight="false" outlineLevel="0" collapsed="false">
      <c r="A46" s="3" t="s">
        <v>37</v>
      </c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4" min="3" style="0" width="9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2"/>
    <col collapsed="false" customWidth="true" hidden="false" outlineLevel="0" max="13" min="12" style="0" width="9"/>
    <col collapsed="false" customWidth="true" hidden="false" outlineLevel="0" max="14" min="14" style="0" width="12"/>
  </cols>
  <sheetData>
    <row r="1" customFormat="false" ht="24" hidden="false" customHeight="true" outlineLevel="0" collapsed="false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5" t="s">
        <v>40</v>
      </c>
    </row>
    <row r="4" customFormat="false" ht="15" hidden="false" customHeight="false" outlineLevel="0" collapsed="false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  <c r="H4" s="6" t="s">
        <v>48</v>
      </c>
      <c r="I4" s="6" t="s">
        <v>49</v>
      </c>
      <c r="J4" s="6" t="s">
        <v>50</v>
      </c>
      <c r="L4" s="6" t="s">
        <v>51</v>
      </c>
      <c r="M4" s="6" t="s">
        <v>52</v>
      </c>
      <c r="N4" s="6" t="s">
        <v>53</v>
      </c>
    </row>
    <row r="5" customFormat="false" ht="15" hidden="false" customHeight="false" outlineLevel="0" collapsed="false">
      <c r="A5" s="7" t="s">
        <v>54</v>
      </c>
      <c r="B5" s="8" t="n">
        <v>17</v>
      </c>
      <c r="C5" s="9" t="n">
        <v>24.2</v>
      </c>
      <c r="D5" s="9" t="n">
        <v>21</v>
      </c>
      <c r="E5" s="9" t="n">
        <v>231</v>
      </c>
      <c r="F5" s="9" t="n">
        <v>218</v>
      </c>
      <c r="G5" s="9" t="n">
        <v>118</v>
      </c>
      <c r="H5" s="9" t="n">
        <v>109</v>
      </c>
      <c r="I5" s="10" t="n">
        <v>1.24</v>
      </c>
      <c r="J5" s="10" t="n">
        <v>1.35</v>
      </c>
      <c r="L5" s="11" t="n">
        <f aca="false">IFERROR(C5/$C$38,1)</f>
        <v>1</v>
      </c>
      <c r="M5" s="11" t="n">
        <f aca="false">IFERROR(D5/$D$38,1)</f>
        <v>1</v>
      </c>
      <c r="N5" s="12" t="n">
        <f aca="false">(L5-M5)*$C$38</f>
        <v>0</v>
      </c>
    </row>
    <row r="6" customFormat="false" ht="15" hidden="false" customHeight="false" outlineLevel="0" collapsed="false">
      <c r="A6" s="7" t="s">
        <v>55</v>
      </c>
      <c r="B6" s="8" t="n">
        <v>17</v>
      </c>
      <c r="C6" s="9" t="n">
        <v>24.2</v>
      </c>
      <c r="D6" s="9" t="n">
        <v>21</v>
      </c>
      <c r="E6" s="9" t="n">
        <v>231</v>
      </c>
      <c r="F6" s="9" t="n">
        <v>218</v>
      </c>
      <c r="G6" s="9" t="n">
        <v>118</v>
      </c>
      <c r="H6" s="9" t="n">
        <v>109</v>
      </c>
      <c r="I6" s="10" t="n">
        <v>1.24</v>
      </c>
      <c r="J6" s="10" t="n">
        <v>1.35</v>
      </c>
      <c r="L6" s="11" t="n">
        <f aca="false">IFERROR(C6/$C$38,1)</f>
        <v>1</v>
      </c>
      <c r="M6" s="11" t="n">
        <f aca="false">IFERROR(D6/$D$38,1)</f>
        <v>1</v>
      </c>
      <c r="N6" s="12" t="n">
        <f aca="false">(L6-M6)*$C$38</f>
        <v>0</v>
      </c>
    </row>
    <row r="7" customFormat="false" ht="15" hidden="false" customHeight="false" outlineLevel="0" collapsed="false">
      <c r="A7" s="7" t="s">
        <v>56</v>
      </c>
      <c r="B7" s="8" t="n">
        <v>17</v>
      </c>
      <c r="C7" s="9" t="n">
        <v>24.2</v>
      </c>
      <c r="D7" s="9" t="n">
        <v>21</v>
      </c>
      <c r="E7" s="9" t="n">
        <v>231</v>
      </c>
      <c r="F7" s="9" t="n">
        <v>218</v>
      </c>
      <c r="G7" s="9" t="n">
        <v>118</v>
      </c>
      <c r="H7" s="9" t="n">
        <v>109</v>
      </c>
      <c r="I7" s="10" t="n">
        <v>1.24</v>
      </c>
      <c r="J7" s="10" t="n">
        <v>1.35</v>
      </c>
      <c r="L7" s="11" t="n">
        <f aca="false">IFERROR(C7/$C$38,1)</f>
        <v>1</v>
      </c>
      <c r="M7" s="11" t="n">
        <f aca="false">IFERROR(D7/$D$38,1)</f>
        <v>1</v>
      </c>
      <c r="N7" s="12" t="n">
        <f aca="false">(L7-M7)*$C$38</f>
        <v>0</v>
      </c>
    </row>
    <row r="8" customFormat="false" ht="15" hidden="false" customHeight="false" outlineLevel="0" collapsed="false">
      <c r="A8" s="7" t="s">
        <v>57</v>
      </c>
      <c r="B8" s="8" t="n">
        <v>17</v>
      </c>
      <c r="C8" s="9" t="n">
        <v>24.2</v>
      </c>
      <c r="D8" s="9" t="n">
        <v>21</v>
      </c>
      <c r="E8" s="9" t="n">
        <v>231</v>
      </c>
      <c r="F8" s="9" t="n">
        <v>218</v>
      </c>
      <c r="G8" s="9" t="n">
        <v>118</v>
      </c>
      <c r="H8" s="9" t="n">
        <v>109</v>
      </c>
      <c r="I8" s="10" t="n">
        <v>1.24</v>
      </c>
      <c r="J8" s="10" t="n">
        <v>1.35</v>
      </c>
      <c r="L8" s="11" t="n">
        <f aca="false">IFERROR(C8/$C$38,1)</f>
        <v>1</v>
      </c>
      <c r="M8" s="11" t="n">
        <f aca="false">IFERROR(D8/$D$38,1)</f>
        <v>1</v>
      </c>
      <c r="N8" s="12" t="n">
        <f aca="false">(L8-M8)*$C$38</f>
        <v>0</v>
      </c>
    </row>
    <row r="9" customFormat="false" ht="15" hidden="false" customHeight="false" outlineLevel="0" collapsed="false">
      <c r="A9" s="7" t="s">
        <v>58</v>
      </c>
      <c r="B9" s="8" t="n">
        <v>17</v>
      </c>
      <c r="C9" s="9" t="n">
        <v>24.2</v>
      </c>
      <c r="D9" s="9" t="n">
        <v>21</v>
      </c>
      <c r="E9" s="9" t="n">
        <v>231</v>
      </c>
      <c r="F9" s="9" t="n">
        <v>218</v>
      </c>
      <c r="G9" s="9" t="n">
        <v>118</v>
      </c>
      <c r="H9" s="9" t="n">
        <v>109</v>
      </c>
      <c r="I9" s="10" t="n">
        <v>1.24</v>
      </c>
      <c r="J9" s="10" t="n">
        <v>1.35</v>
      </c>
      <c r="L9" s="11" t="n">
        <f aca="false">IFERROR(C9/$C$38,1)</f>
        <v>1</v>
      </c>
      <c r="M9" s="11" t="n">
        <f aca="false">IFERROR(D9/$D$38,1)</f>
        <v>1</v>
      </c>
      <c r="N9" s="12" t="n">
        <f aca="false">(L9-M9)*$C$38</f>
        <v>0</v>
      </c>
    </row>
    <row r="10" customFormat="false" ht="15" hidden="false" customHeight="false" outlineLevel="0" collapsed="false">
      <c r="A10" s="7" t="s">
        <v>59</v>
      </c>
      <c r="B10" s="8" t="n">
        <v>17</v>
      </c>
      <c r="C10" s="9" t="n">
        <v>24.2</v>
      </c>
      <c r="D10" s="9" t="n">
        <v>21</v>
      </c>
      <c r="E10" s="9" t="n">
        <v>231</v>
      </c>
      <c r="F10" s="9" t="n">
        <v>218</v>
      </c>
      <c r="G10" s="9" t="n">
        <v>118</v>
      </c>
      <c r="H10" s="9" t="n">
        <v>109</v>
      </c>
      <c r="I10" s="10" t="n">
        <v>1.24</v>
      </c>
      <c r="J10" s="10" t="n">
        <v>1.35</v>
      </c>
      <c r="L10" s="11" t="n">
        <f aca="false">IFERROR(C10/$C$38,1)</f>
        <v>1</v>
      </c>
      <c r="M10" s="11" t="n">
        <f aca="false">IFERROR(D10/$D$38,1)</f>
        <v>1</v>
      </c>
      <c r="N10" s="12" t="n">
        <f aca="false">(L10-M10)*$C$38</f>
        <v>0</v>
      </c>
    </row>
    <row r="11" customFormat="false" ht="15" hidden="false" customHeight="false" outlineLevel="0" collapsed="false">
      <c r="A11" s="7" t="s">
        <v>60</v>
      </c>
      <c r="B11" s="8" t="n">
        <v>17</v>
      </c>
      <c r="C11" s="9" t="n">
        <v>24.2</v>
      </c>
      <c r="D11" s="9" t="n">
        <v>21</v>
      </c>
      <c r="E11" s="9" t="n">
        <v>231</v>
      </c>
      <c r="F11" s="9" t="n">
        <v>218</v>
      </c>
      <c r="G11" s="9" t="n">
        <v>118</v>
      </c>
      <c r="H11" s="9" t="n">
        <v>109</v>
      </c>
      <c r="I11" s="10" t="n">
        <v>1.24</v>
      </c>
      <c r="J11" s="10" t="n">
        <v>1.35</v>
      </c>
      <c r="L11" s="11" t="n">
        <f aca="false">IFERROR(C11/$C$38,1)</f>
        <v>1</v>
      </c>
      <c r="M11" s="11" t="n">
        <f aca="false">IFERROR(D11/$D$38,1)</f>
        <v>1</v>
      </c>
      <c r="N11" s="12" t="n">
        <f aca="false">(L11-M11)*$C$38</f>
        <v>0</v>
      </c>
    </row>
    <row r="12" customFormat="false" ht="15" hidden="false" customHeight="false" outlineLevel="0" collapsed="false">
      <c r="A12" s="7" t="s">
        <v>61</v>
      </c>
      <c r="B12" s="8" t="n">
        <v>17</v>
      </c>
      <c r="C12" s="9" t="n">
        <v>24.2</v>
      </c>
      <c r="D12" s="9" t="n">
        <v>21</v>
      </c>
      <c r="E12" s="9" t="n">
        <v>231</v>
      </c>
      <c r="F12" s="9" t="n">
        <v>218</v>
      </c>
      <c r="G12" s="9" t="n">
        <v>118</v>
      </c>
      <c r="H12" s="9" t="n">
        <v>109</v>
      </c>
      <c r="I12" s="10" t="n">
        <v>1.24</v>
      </c>
      <c r="J12" s="10" t="n">
        <v>1.35</v>
      </c>
      <c r="L12" s="11" t="n">
        <f aca="false">IFERROR(C12/$C$38,1)</f>
        <v>1</v>
      </c>
      <c r="M12" s="11" t="n">
        <f aca="false">IFERROR(D12/$D$38,1)</f>
        <v>1</v>
      </c>
      <c r="N12" s="12" t="n">
        <f aca="false">(L12-M12)*$C$38</f>
        <v>0</v>
      </c>
    </row>
    <row r="13" customFormat="false" ht="15" hidden="false" customHeight="false" outlineLevel="0" collapsed="false">
      <c r="A13" s="7" t="s">
        <v>62</v>
      </c>
      <c r="B13" s="8" t="n">
        <v>17</v>
      </c>
      <c r="C13" s="9" t="n">
        <v>24.2</v>
      </c>
      <c r="D13" s="9" t="n">
        <v>21</v>
      </c>
      <c r="E13" s="9" t="n">
        <v>231</v>
      </c>
      <c r="F13" s="9" t="n">
        <v>218</v>
      </c>
      <c r="G13" s="9" t="n">
        <v>118</v>
      </c>
      <c r="H13" s="9" t="n">
        <v>109</v>
      </c>
      <c r="I13" s="10" t="n">
        <v>1.24</v>
      </c>
      <c r="J13" s="10" t="n">
        <v>1.35</v>
      </c>
      <c r="L13" s="11" t="n">
        <f aca="false">IFERROR(C13/$C$38,1)</f>
        <v>1</v>
      </c>
      <c r="M13" s="11" t="n">
        <f aca="false">IFERROR(D13/$D$38,1)</f>
        <v>1</v>
      </c>
      <c r="N13" s="12" t="n">
        <f aca="false">(L13-M13)*$C$38</f>
        <v>0</v>
      </c>
    </row>
    <row r="14" customFormat="false" ht="15" hidden="false" customHeight="false" outlineLevel="0" collapsed="false">
      <c r="A14" s="7" t="s">
        <v>63</v>
      </c>
      <c r="B14" s="8" t="n">
        <v>17</v>
      </c>
      <c r="C14" s="9" t="n">
        <v>24.2</v>
      </c>
      <c r="D14" s="9" t="n">
        <v>21</v>
      </c>
      <c r="E14" s="9" t="n">
        <v>231</v>
      </c>
      <c r="F14" s="9" t="n">
        <v>218</v>
      </c>
      <c r="G14" s="9" t="n">
        <v>118</v>
      </c>
      <c r="H14" s="9" t="n">
        <v>109</v>
      </c>
      <c r="I14" s="10" t="n">
        <v>1.24</v>
      </c>
      <c r="J14" s="10" t="n">
        <v>1.35</v>
      </c>
      <c r="L14" s="11" t="n">
        <f aca="false">IFERROR(C14/$C$38,1)</f>
        <v>1</v>
      </c>
      <c r="M14" s="11" t="n">
        <f aca="false">IFERROR(D14/$D$38,1)</f>
        <v>1</v>
      </c>
      <c r="N14" s="12" t="n">
        <f aca="false">(L14-M14)*$C$38</f>
        <v>0</v>
      </c>
    </row>
    <row r="15" customFormat="false" ht="15" hidden="false" customHeight="false" outlineLevel="0" collapsed="false">
      <c r="A15" s="7" t="s">
        <v>64</v>
      </c>
      <c r="B15" s="8" t="n">
        <v>17</v>
      </c>
      <c r="C15" s="9" t="n">
        <v>24.2</v>
      </c>
      <c r="D15" s="9" t="n">
        <v>21</v>
      </c>
      <c r="E15" s="9" t="n">
        <v>231</v>
      </c>
      <c r="F15" s="9" t="n">
        <v>218</v>
      </c>
      <c r="G15" s="9" t="n">
        <v>118</v>
      </c>
      <c r="H15" s="9" t="n">
        <v>109</v>
      </c>
      <c r="I15" s="10" t="n">
        <v>1.24</v>
      </c>
      <c r="J15" s="10" t="n">
        <v>1.35</v>
      </c>
      <c r="L15" s="11" t="n">
        <f aca="false">IFERROR(C15/$C$38,1)</f>
        <v>1</v>
      </c>
      <c r="M15" s="11" t="n">
        <f aca="false">IFERROR(D15/$D$38,1)</f>
        <v>1</v>
      </c>
      <c r="N15" s="12" t="n">
        <f aca="false">(L15-M15)*$C$38</f>
        <v>0</v>
      </c>
    </row>
    <row r="16" customFormat="false" ht="15" hidden="false" customHeight="false" outlineLevel="0" collapsed="false">
      <c r="A16" s="7" t="s">
        <v>65</v>
      </c>
      <c r="B16" s="8" t="n">
        <v>17</v>
      </c>
      <c r="C16" s="9" t="n">
        <v>24.2</v>
      </c>
      <c r="D16" s="9" t="n">
        <v>21</v>
      </c>
      <c r="E16" s="9" t="n">
        <v>231</v>
      </c>
      <c r="F16" s="9" t="n">
        <v>218</v>
      </c>
      <c r="G16" s="9" t="n">
        <v>118</v>
      </c>
      <c r="H16" s="9" t="n">
        <v>109</v>
      </c>
      <c r="I16" s="10" t="n">
        <v>1.24</v>
      </c>
      <c r="J16" s="10" t="n">
        <v>1.35</v>
      </c>
      <c r="L16" s="11" t="n">
        <f aca="false">IFERROR(C16/$C$38,1)</f>
        <v>1</v>
      </c>
      <c r="M16" s="11" t="n">
        <f aca="false">IFERROR(D16/$D$38,1)</f>
        <v>1</v>
      </c>
      <c r="N16" s="12" t="n">
        <f aca="false">(L16-M16)*$C$38</f>
        <v>0</v>
      </c>
    </row>
    <row r="17" customFormat="false" ht="15" hidden="false" customHeight="false" outlineLevel="0" collapsed="false">
      <c r="A17" s="7" t="s">
        <v>66</v>
      </c>
      <c r="B17" s="8" t="n">
        <v>17</v>
      </c>
      <c r="C17" s="9" t="n">
        <v>24.2</v>
      </c>
      <c r="D17" s="9" t="n">
        <v>21</v>
      </c>
      <c r="E17" s="9" t="n">
        <v>231</v>
      </c>
      <c r="F17" s="9" t="n">
        <v>218</v>
      </c>
      <c r="G17" s="9" t="n">
        <v>118</v>
      </c>
      <c r="H17" s="9" t="n">
        <v>109</v>
      </c>
      <c r="I17" s="10" t="n">
        <v>1.24</v>
      </c>
      <c r="J17" s="10" t="n">
        <v>1.35</v>
      </c>
      <c r="L17" s="11" t="n">
        <f aca="false">IFERROR(C17/$C$38,1)</f>
        <v>1</v>
      </c>
      <c r="M17" s="11" t="n">
        <f aca="false">IFERROR(D17/$D$38,1)</f>
        <v>1</v>
      </c>
      <c r="N17" s="12" t="n">
        <f aca="false">(L17-M17)*$C$38</f>
        <v>0</v>
      </c>
    </row>
    <row r="18" customFormat="false" ht="15" hidden="false" customHeight="false" outlineLevel="0" collapsed="false">
      <c r="A18" s="7" t="s">
        <v>67</v>
      </c>
      <c r="B18" s="8" t="n">
        <v>17</v>
      </c>
      <c r="C18" s="9" t="n">
        <v>24.2</v>
      </c>
      <c r="D18" s="9" t="n">
        <v>21</v>
      </c>
      <c r="E18" s="9" t="n">
        <v>231</v>
      </c>
      <c r="F18" s="9" t="n">
        <v>218</v>
      </c>
      <c r="G18" s="9" t="n">
        <v>118</v>
      </c>
      <c r="H18" s="9" t="n">
        <v>109</v>
      </c>
      <c r="I18" s="10" t="n">
        <v>1.24</v>
      </c>
      <c r="J18" s="10" t="n">
        <v>1.35</v>
      </c>
      <c r="L18" s="11" t="n">
        <f aca="false">IFERROR(C18/$C$38,1)</f>
        <v>1</v>
      </c>
      <c r="M18" s="11" t="n">
        <f aca="false">IFERROR(D18/$D$38,1)</f>
        <v>1</v>
      </c>
      <c r="N18" s="12" t="n">
        <f aca="false">(L18-M18)*$C$38</f>
        <v>0</v>
      </c>
    </row>
    <row r="19" customFormat="false" ht="15" hidden="false" customHeight="false" outlineLevel="0" collapsed="false">
      <c r="A19" s="7" t="s">
        <v>68</v>
      </c>
      <c r="B19" s="8" t="n">
        <v>17</v>
      </c>
      <c r="C19" s="9" t="n">
        <v>24.2</v>
      </c>
      <c r="D19" s="9" t="n">
        <v>21</v>
      </c>
      <c r="E19" s="9" t="n">
        <v>231</v>
      </c>
      <c r="F19" s="9" t="n">
        <v>218</v>
      </c>
      <c r="G19" s="9" t="n">
        <v>118</v>
      </c>
      <c r="H19" s="9" t="n">
        <v>109</v>
      </c>
      <c r="I19" s="10" t="n">
        <v>1.24</v>
      </c>
      <c r="J19" s="10" t="n">
        <v>1.35</v>
      </c>
      <c r="L19" s="11" t="n">
        <f aca="false">IFERROR(C19/$C$38,1)</f>
        <v>1</v>
      </c>
      <c r="M19" s="11" t="n">
        <f aca="false">IFERROR(D19/$D$38,1)</f>
        <v>1</v>
      </c>
      <c r="N19" s="12" t="n">
        <f aca="false">(L19-M19)*$C$38</f>
        <v>0</v>
      </c>
    </row>
    <row r="20" customFormat="false" ht="15" hidden="false" customHeight="false" outlineLevel="0" collapsed="false">
      <c r="A20" s="7" t="s">
        <v>69</v>
      </c>
      <c r="B20" s="8" t="n">
        <v>17</v>
      </c>
      <c r="C20" s="9" t="n">
        <v>24.2</v>
      </c>
      <c r="D20" s="9" t="n">
        <v>21</v>
      </c>
      <c r="E20" s="9" t="n">
        <v>231</v>
      </c>
      <c r="F20" s="9" t="n">
        <v>218</v>
      </c>
      <c r="G20" s="9" t="n">
        <v>118</v>
      </c>
      <c r="H20" s="9" t="n">
        <v>109</v>
      </c>
      <c r="I20" s="10" t="n">
        <v>1.24</v>
      </c>
      <c r="J20" s="10" t="n">
        <v>1.35</v>
      </c>
      <c r="L20" s="11" t="n">
        <f aca="false">IFERROR(C20/$C$38,1)</f>
        <v>1</v>
      </c>
      <c r="M20" s="11" t="n">
        <f aca="false">IFERROR(D20/$D$38,1)</f>
        <v>1</v>
      </c>
      <c r="N20" s="12" t="n">
        <f aca="false">(L20-M20)*$C$38</f>
        <v>0</v>
      </c>
    </row>
    <row r="21" customFormat="false" ht="15" hidden="false" customHeight="false" outlineLevel="0" collapsed="false">
      <c r="A21" s="7" t="s">
        <v>70</v>
      </c>
      <c r="B21" s="8" t="n">
        <v>17</v>
      </c>
      <c r="C21" s="9" t="n">
        <v>24.2</v>
      </c>
      <c r="D21" s="9" t="n">
        <v>21</v>
      </c>
      <c r="E21" s="9" t="n">
        <v>231</v>
      </c>
      <c r="F21" s="9" t="n">
        <v>218</v>
      </c>
      <c r="G21" s="9" t="n">
        <v>118</v>
      </c>
      <c r="H21" s="9" t="n">
        <v>109</v>
      </c>
      <c r="I21" s="10" t="n">
        <v>1.24</v>
      </c>
      <c r="J21" s="10" t="n">
        <v>1.35</v>
      </c>
      <c r="L21" s="11" t="n">
        <f aca="false">IFERROR(C21/$C$38,1)</f>
        <v>1</v>
      </c>
      <c r="M21" s="11" t="n">
        <f aca="false">IFERROR(D21/$D$38,1)</f>
        <v>1</v>
      </c>
      <c r="N21" s="12" t="n">
        <f aca="false">(L21-M21)*$C$38</f>
        <v>0</v>
      </c>
    </row>
    <row r="22" customFormat="false" ht="15" hidden="false" customHeight="false" outlineLevel="0" collapsed="false">
      <c r="A22" s="7" t="s">
        <v>71</v>
      </c>
      <c r="B22" s="8" t="n">
        <v>17</v>
      </c>
      <c r="C22" s="9" t="n">
        <v>24.2</v>
      </c>
      <c r="D22" s="9" t="n">
        <v>21</v>
      </c>
      <c r="E22" s="9" t="n">
        <v>231</v>
      </c>
      <c r="F22" s="9" t="n">
        <v>218</v>
      </c>
      <c r="G22" s="9" t="n">
        <v>118</v>
      </c>
      <c r="H22" s="9" t="n">
        <v>109</v>
      </c>
      <c r="I22" s="10" t="n">
        <v>1.24</v>
      </c>
      <c r="J22" s="10" t="n">
        <v>1.35</v>
      </c>
      <c r="L22" s="11" t="n">
        <f aca="false">IFERROR(C22/$C$38,1)</f>
        <v>1</v>
      </c>
      <c r="M22" s="11" t="n">
        <f aca="false">IFERROR(D22/$D$38,1)</f>
        <v>1</v>
      </c>
      <c r="N22" s="12" t="n">
        <f aca="false">(L22-M22)*$C$38</f>
        <v>0</v>
      </c>
    </row>
    <row r="23" customFormat="false" ht="15" hidden="false" customHeight="false" outlineLevel="0" collapsed="false">
      <c r="A23" s="7" t="s">
        <v>72</v>
      </c>
      <c r="B23" s="8" t="n">
        <v>17</v>
      </c>
      <c r="C23" s="9" t="n">
        <v>24.2</v>
      </c>
      <c r="D23" s="9" t="n">
        <v>21</v>
      </c>
      <c r="E23" s="9" t="n">
        <v>231</v>
      </c>
      <c r="F23" s="9" t="n">
        <v>218</v>
      </c>
      <c r="G23" s="9" t="n">
        <v>118</v>
      </c>
      <c r="H23" s="9" t="n">
        <v>109</v>
      </c>
      <c r="I23" s="10" t="n">
        <v>1.24</v>
      </c>
      <c r="J23" s="10" t="n">
        <v>1.35</v>
      </c>
      <c r="L23" s="11" t="n">
        <f aca="false">IFERROR(C23/$C$38,1)</f>
        <v>1</v>
      </c>
      <c r="M23" s="11" t="n">
        <f aca="false">IFERROR(D23/$D$38,1)</f>
        <v>1</v>
      </c>
      <c r="N23" s="12" t="n">
        <f aca="false">(L23-M23)*$C$38</f>
        <v>0</v>
      </c>
    </row>
    <row r="24" customFormat="false" ht="15" hidden="false" customHeight="false" outlineLevel="0" collapsed="false">
      <c r="A24" s="7" t="s">
        <v>73</v>
      </c>
      <c r="B24" s="8" t="n">
        <v>17</v>
      </c>
      <c r="C24" s="9" t="n">
        <v>24.2</v>
      </c>
      <c r="D24" s="9" t="n">
        <v>21</v>
      </c>
      <c r="E24" s="9" t="n">
        <v>231</v>
      </c>
      <c r="F24" s="9" t="n">
        <v>218</v>
      </c>
      <c r="G24" s="9" t="n">
        <v>118</v>
      </c>
      <c r="H24" s="9" t="n">
        <v>109</v>
      </c>
      <c r="I24" s="10" t="n">
        <v>1.24</v>
      </c>
      <c r="J24" s="10" t="n">
        <v>1.35</v>
      </c>
      <c r="L24" s="11" t="n">
        <f aca="false">IFERROR(C24/$C$38,1)</f>
        <v>1</v>
      </c>
      <c r="M24" s="11" t="n">
        <f aca="false">IFERROR(D24/$D$38,1)</f>
        <v>1</v>
      </c>
      <c r="N24" s="12" t="n">
        <f aca="false">(L24-M24)*$C$38</f>
        <v>0</v>
      </c>
    </row>
    <row r="25" customFormat="false" ht="15" hidden="false" customHeight="false" outlineLevel="0" collapsed="false">
      <c r="A25" s="7" t="s">
        <v>74</v>
      </c>
      <c r="B25" s="8" t="n">
        <v>17</v>
      </c>
      <c r="C25" s="9" t="n">
        <v>24.2</v>
      </c>
      <c r="D25" s="9" t="n">
        <v>21</v>
      </c>
      <c r="E25" s="9" t="n">
        <v>231</v>
      </c>
      <c r="F25" s="9" t="n">
        <v>218</v>
      </c>
      <c r="G25" s="9" t="n">
        <v>118</v>
      </c>
      <c r="H25" s="9" t="n">
        <v>109</v>
      </c>
      <c r="I25" s="10" t="n">
        <v>1.24</v>
      </c>
      <c r="J25" s="10" t="n">
        <v>1.35</v>
      </c>
      <c r="L25" s="11" t="n">
        <f aca="false">IFERROR(C25/$C$38,1)</f>
        <v>1</v>
      </c>
      <c r="M25" s="11" t="n">
        <f aca="false">IFERROR(D25/$D$38,1)</f>
        <v>1</v>
      </c>
      <c r="N25" s="12" t="n">
        <f aca="false">(L25-M25)*$C$38</f>
        <v>0</v>
      </c>
    </row>
    <row r="26" customFormat="false" ht="15" hidden="false" customHeight="false" outlineLevel="0" collapsed="false">
      <c r="A26" s="7" t="s">
        <v>75</v>
      </c>
      <c r="B26" s="8" t="n">
        <v>17</v>
      </c>
      <c r="C26" s="9" t="n">
        <v>24.2</v>
      </c>
      <c r="D26" s="9" t="n">
        <v>21</v>
      </c>
      <c r="E26" s="9" t="n">
        <v>231</v>
      </c>
      <c r="F26" s="9" t="n">
        <v>218</v>
      </c>
      <c r="G26" s="9" t="n">
        <v>118</v>
      </c>
      <c r="H26" s="9" t="n">
        <v>109</v>
      </c>
      <c r="I26" s="10" t="n">
        <v>1.24</v>
      </c>
      <c r="J26" s="10" t="n">
        <v>1.35</v>
      </c>
      <c r="L26" s="11" t="n">
        <f aca="false">IFERROR(C26/$C$38,1)</f>
        <v>1</v>
      </c>
      <c r="M26" s="11" t="n">
        <f aca="false">IFERROR(D26/$D$38,1)</f>
        <v>1</v>
      </c>
      <c r="N26" s="12" t="n">
        <f aca="false">(L26-M26)*$C$38</f>
        <v>0</v>
      </c>
    </row>
    <row r="27" customFormat="false" ht="15" hidden="false" customHeight="false" outlineLevel="0" collapsed="false">
      <c r="A27" s="7" t="s">
        <v>76</v>
      </c>
      <c r="B27" s="8" t="n">
        <v>17</v>
      </c>
      <c r="C27" s="9" t="n">
        <v>24.2</v>
      </c>
      <c r="D27" s="9" t="n">
        <v>21</v>
      </c>
      <c r="E27" s="9" t="n">
        <v>231</v>
      </c>
      <c r="F27" s="9" t="n">
        <v>218</v>
      </c>
      <c r="G27" s="9" t="n">
        <v>118</v>
      </c>
      <c r="H27" s="9" t="n">
        <v>109</v>
      </c>
      <c r="I27" s="10" t="n">
        <v>1.24</v>
      </c>
      <c r="J27" s="10" t="n">
        <v>1.35</v>
      </c>
      <c r="L27" s="11" t="n">
        <f aca="false">IFERROR(C27/$C$38,1)</f>
        <v>1</v>
      </c>
      <c r="M27" s="11" t="n">
        <f aca="false">IFERROR(D27/$D$38,1)</f>
        <v>1</v>
      </c>
      <c r="N27" s="12" t="n">
        <f aca="false">(L27-M27)*$C$38</f>
        <v>0</v>
      </c>
    </row>
    <row r="28" customFormat="false" ht="15" hidden="false" customHeight="false" outlineLevel="0" collapsed="false">
      <c r="A28" s="7" t="s">
        <v>77</v>
      </c>
      <c r="B28" s="8" t="n">
        <v>17</v>
      </c>
      <c r="C28" s="9" t="n">
        <v>24.2</v>
      </c>
      <c r="D28" s="9" t="n">
        <v>21</v>
      </c>
      <c r="E28" s="9" t="n">
        <v>231</v>
      </c>
      <c r="F28" s="9" t="n">
        <v>218</v>
      </c>
      <c r="G28" s="9" t="n">
        <v>118</v>
      </c>
      <c r="H28" s="9" t="n">
        <v>109</v>
      </c>
      <c r="I28" s="10" t="n">
        <v>1.24</v>
      </c>
      <c r="J28" s="10" t="n">
        <v>1.35</v>
      </c>
      <c r="L28" s="11" t="n">
        <f aca="false">IFERROR(C28/$C$38,1)</f>
        <v>1</v>
      </c>
      <c r="M28" s="11" t="n">
        <f aca="false">IFERROR(D28/$D$38,1)</f>
        <v>1</v>
      </c>
      <c r="N28" s="12" t="n">
        <f aca="false">(L28-M28)*$C$38</f>
        <v>0</v>
      </c>
    </row>
    <row r="29" customFormat="false" ht="15" hidden="false" customHeight="false" outlineLevel="0" collapsed="false">
      <c r="A29" s="7" t="s">
        <v>78</v>
      </c>
      <c r="B29" s="8" t="n">
        <v>17</v>
      </c>
      <c r="C29" s="9" t="n">
        <v>24.2</v>
      </c>
      <c r="D29" s="9" t="n">
        <v>21</v>
      </c>
      <c r="E29" s="9" t="n">
        <v>231</v>
      </c>
      <c r="F29" s="9" t="n">
        <v>218</v>
      </c>
      <c r="G29" s="9" t="n">
        <v>118</v>
      </c>
      <c r="H29" s="9" t="n">
        <v>109</v>
      </c>
      <c r="I29" s="10" t="n">
        <v>1.24</v>
      </c>
      <c r="J29" s="10" t="n">
        <v>1.35</v>
      </c>
      <c r="L29" s="11" t="n">
        <f aca="false">IFERROR(C29/$C$38,1)</f>
        <v>1</v>
      </c>
      <c r="M29" s="11" t="n">
        <f aca="false">IFERROR(D29/$D$38,1)</f>
        <v>1</v>
      </c>
      <c r="N29" s="12" t="n">
        <f aca="false">(L29-M29)*$C$38</f>
        <v>0</v>
      </c>
    </row>
    <row r="30" customFormat="false" ht="15" hidden="false" customHeight="false" outlineLevel="0" collapsed="false">
      <c r="A30" s="7" t="s">
        <v>79</v>
      </c>
      <c r="B30" s="8" t="n">
        <v>17</v>
      </c>
      <c r="C30" s="9" t="n">
        <v>24.2</v>
      </c>
      <c r="D30" s="9" t="n">
        <v>21</v>
      </c>
      <c r="E30" s="9" t="n">
        <v>231</v>
      </c>
      <c r="F30" s="9" t="n">
        <v>218</v>
      </c>
      <c r="G30" s="9" t="n">
        <v>118</v>
      </c>
      <c r="H30" s="9" t="n">
        <v>109</v>
      </c>
      <c r="I30" s="10" t="n">
        <v>1.24</v>
      </c>
      <c r="J30" s="10" t="n">
        <v>1.35</v>
      </c>
      <c r="L30" s="11" t="n">
        <f aca="false">IFERROR(C30/$C$38,1)</f>
        <v>1</v>
      </c>
      <c r="M30" s="11" t="n">
        <f aca="false">IFERROR(D30/$D$38,1)</f>
        <v>1</v>
      </c>
      <c r="N30" s="12" t="n">
        <f aca="false">(L30-M30)*$C$38</f>
        <v>0</v>
      </c>
    </row>
    <row r="31" customFormat="false" ht="15" hidden="false" customHeight="false" outlineLevel="0" collapsed="false">
      <c r="A31" s="7" t="s">
        <v>80</v>
      </c>
      <c r="B31" s="8" t="n">
        <v>17</v>
      </c>
      <c r="C31" s="9" t="n">
        <v>24.2</v>
      </c>
      <c r="D31" s="9" t="n">
        <v>21</v>
      </c>
      <c r="E31" s="9" t="n">
        <v>231</v>
      </c>
      <c r="F31" s="9" t="n">
        <v>218</v>
      </c>
      <c r="G31" s="9" t="n">
        <v>118</v>
      </c>
      <c r="H31" s="9" t="n">
        <v>109</v>
      </c>
      <c r="I31" s="10" t="n">
        <v>1.24</v>
      </c>
      <c r="J31" s="10" t="n">
        <v>1.35</v>
      </c>
      <c r="L31" s="11" t="n">
        <f aca="false">IFERROR(C31/$C$38,1)</f>
        <v>1</v>
      </c>
      <c r="M31" s="11" t="n">
        <f aca="false">IFERROR(D31/$D$38,1)</f>
        <v>1</v>
      </c>
      <c r="N31" s="12" t="n">
        <f aca="false">(L31-M31)*$C$38</f>
        <v>0</v>
      </c>
    </row>
    <row r="32" customFormat="false" ht="15" hidden="false" customHeight="false" outlineLevel="0" collapsed="false">
      <c r="A32" s="7" t="s">
        <v>81</v>
      </c>
      <c r="B32" s="8" t="n">
        <v>17</v>
      </c>
      <c r="C32" s="9" t="n">
        <v>24.2</v>
      </c>
      <c r="D32" s="9" t="n">
        <v>21</v>
      </c>
      <c r="E32" s="9" t="n">
        <v>231</v>
      </c>
      <c r="F32" s="9" t="n">
        <v>218</v>
      </c>
      <c r="G32" s="9" t="n">
        <v>118</v>
      </c>
      <c r="H32" s="9" t="n">
        <v>109</v>
      </c>
      <c r="I32" s="10" t="n">
        <v>1.24</v>
      </c>
      <c r="J32" s="10" t="n">
        <v>1.35</v>
      </c>
      <c r="L32" s="11" t="n">
        <f aca="false">IFERROR(C32/$C$38,1)</f>
        <v>1</v>
      </c>
      <c r="M32" s="11" t="n">
        <f aca="false">IFERROR(D32/$D$38,1)</f>
        <v>1</v>
      </c>
      <c r="N32" s="12" t="n">
        <f aca="false">(L32-M32)*$C$38</f>
        <v>0</v>
      </c>
    </row>
    <row r="33" customFormat="false" ht="15" hidden="false" customHeight="false" outlineLevel="0" collapsed="false">
      <c r="A33" s="7" t="s">
        <v>82</v>
      </c>
      <c r="B33" s="8" t="n">
        <v>17</v>
      </c>
      <c r="C33" s="9" t="n">
        <v>24.2</v>
      </c>
      <c r="D33" s="9" t="n">
        <v>21</v>
      </c>
      <c r="E33" s="9" t="n">
        <v>231</v>
      </c>
      <c r="F33" s="9" t="n">
        <v>218</v>
      </c>
      <c r="G33" s="9" t="n">
        <v>118</v>
      </c>
      <c r="H33" s="9" t="n">
        <v>109</v>
      </c>
      <c r="I33" s="10" t="n">
        <v>1.24</v>
      </c>
      <c r="J33" s="10" t="n">
        <v>1.35</v>
      </c>
      <c r="L33" s="11" t="n">
        <f aca="false">IFERROR(C33/$C$38,1)</f>
        <v>1</v>
      </c>
      <c r="M33" s="11" t="n">
        <f aca="false">IFERROR(D33/$D$38,1)</f>
        <v>1</v>
      </c>
      <c r="N33" s="12" t="n">
        <f aca="false">(L33-M33)*$C$38</f>
        <v>0</v>
      </c>
    </row>
    <row r="34" customFormat="false" ht="15" hidden="false" customHeight="false" outlineLevel="0" collapsed="false">
      <c r="A34" s="7" t="s">
        <v>83</v>
      </c>
      <c r="B34" s="8" t="n">
        <v>17</v>
      </c>
      <c r="C34" s="9" t="n">
        <v>24.2</v>
      </c>
      <c r="D34" s="9" t="n">
        <v>21</v>
      </c>
      <c r="E34" s="9" t="n">
        <v>231</v>
      </c>
      <c r="F34" s="9" t="n">
        <v>218</v>
      </c>
      <c r="G34" s="9" t="n">
        <v>118</v>
      </c>
      <c r="H34" s="9" t="n">
        <v>109</v>
      </c>
      <c r="I34" s="10" t="n">
        <v>1.24</v>
      </c>
      <c r="J34" s="10" t="n">
        <v>1.35</v>
      </c>
      <c r="L34" s="11" t="n">
        <f aca="false">IFERROR(C34/$C$38,1)</f>
        <v>1</v>
      </c>
      <c r="M34" s="11" t="n">
        <f aca="false">IFERROR(D34/$D$38,1)</f>
        <v>1</v>
      </c>
      <c r="N34" s="12" t="n">
        <f aca="false">(L34-M34)*$C$38</f>
        <v>0</v>
      </c>
    </row>
    <row r="35" customFormat="false" ht="15" hidden="false" customHeight="false" outlineLevel="0" collapsed="false">
      <c r="A35" s="7" t="s">
        <v>84</v>
      </c>
      <c r="B35" s="8" t="n">
        <v>17</v>
      </c>
      <c r="C35" s="9" t="n">
        <v>24.2</v>
      </c>
      <c r="D35" s="9" t="n">
        <v>21</v>
      </c>
      <c r="E35" s="9" t="n">
        <v>231</v>
      </c>
      <c r="F35" s="9" t="n">
        <v>218</v>
      </c>
      <c r="G35" s="9" t="n">
        <v>118</v>
      </c>
      <c r="H35" s="9" t="n">
        <v>109</v>
      </c>
      <c r="I35" s="10" t="n">
        <v>1.24</v>
      </c>
      <c r="J35" s="10" t="n">
        <v>1.35</v>
      </c>
      <c r="L35" s="11" t="n">
        <f aca="false">IFERROR(C35/$C$38,1)</f>
        <v>1</v>
      </c>
      <c r="M35" s="11" t="n">
        <f aca="false">IFERROR(D35/$D$38,1)</f>
        <v>1</v>
      </c>
      <c r="N35" s="12" t="n">
        <f aca="false">(L35-M35)*$C$38</f>
        <v>0</v>
      </c>
    </row>
    <row r="36" customFormat="false" ht="15" hidden="false" customHeight="false" outlineLevel="0" collapsed="false">
      <c r="A36" s="7" t="s">
        <v>85</v>
      </c>
      <c r="B36" s="8" t="n">
        <v>17</v>
      </c>
      <c r="C36" s="9" t="n">
        <v>24.2</v>
      </c>
      <c r="D36" s="9" t="n">
        <v>21</v>
      </c>
      <c r="E36" s="9" t="n">
        <v>231</v>
      </c>
      <c r="F36" s="9" t="n">
        <v>218</v>
      </c>
      <c r="G36" s="9" t="n">
        <v>118</v>
      </c>
      <c r="H36" s="9" t="n">
        <v>109</v>
      </c>
      <c r="I36" s="10" t="n">
        <v>1.24</v>
      </c>
      <c r="J36" s="10" t="n">
        <v>1.35</v>
      </c>
      <c r="L36" s="11" t="n">
        <f aca="false">IFERROR(C36/$C$38,1)</f>
        <v>1</v>
      </c>
      <c r="M36" s="11" t="n">
        <f aca="false">IFERROR(D36/$D$38,1)</f>
        <v>1</v>
      </c>
      <c r="N36" s="12" t="n">
        <f aca="false">(L36-M36)*$C$38</f>
        <v>0</v>
      </c>
    </row>
    <row r="38" customFormat="false" ht="15" hidden="false" customHeight="false" outlineLevel="0" collapsed="false">
      <c r="A38" s="4" t="s">
        <v>86</v>
      </c>
      <c r="C38" s="13" t="n">
        <f aca="false">AVERAGE(C5:C36)</f>
        <v>24.2</v>
      </c>
      <c r="D38" s="13" t="n">
        <f aca="false">AVERAGE(D5:D36)</f>
        <v>21</v>
      </c>
      <c r="E38" s="13" t="n">
        <f aca="false">AVERAGE(E5:E36)</f>
        <v>231</v>
      </c>
      <c r="F38" s="13" t="n">
        <f aca="false">AVERAGE(F5:F36)</f>
        <v>218</v>
      </c>
      <c r="G38" s="13" t="n">
        <f aca="false">AVERAGE(G5:G36)</f>
        <v>118</v>
      </c>
      <c r="H38" s="13" t="n">
        <f aca="false">AVERAGE(H5:H36)</f>
        <v>109</v>
      </c>
      <c r="I38" s="13" t="n">
        <f aca="false">AVERAGE(I5:I36)</f>
        <v>1.24</v>
      </c>
      <c r="J38" s="13" t="n">
        <f aca="false">AVERAGE(J5:J36)</f>
        <v>1.35</v>
      </c>
    </row>
    <row r="40" customFormat="false" ht="15" hidden="false" customHeight="false" outlineLevel="0" collapsed="false">
      <c r="A40" s="5" t="s">
        <v>87</v>
      </c>
    </row>
    <row r="41" customFormat="false" ht="15" hidden="false" customHeight="false" outlineLevel="0" collapsed="false">
      <c r="A41" s="5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76"/>
  </cols>
  <sheetData>
    <row r="1" customFormat="false" ht="24" hidden="false" customHeight="true" outlineLevel="0" collapsed="false">
      <c r="A1" s="1" t="s">
        <v>89</v>
      </c>
      <c r="B1" s="2"/>
      <c r="C1" s="2"/>
      <c r="D1" s="2"/>
      <c r="E1" s="2"/>
    </row>
    <row r="2" customFormat="false" ht="15" hidden="false" customHeight="false" outlineLevel="0" collapsed="false">
      <c r="A2" s="5" t="s">
        <v>90</v>
      </c>
    </row>
    <row r="4" customFormat="false" ht="15" hidden="false" customHeight="false" outlineLevel="0" collapsed="false">
      <c r="A4" s="14" t="s">
        <v>91</v>
      </c>
      <c r="B4" s="15"/>
      <c r="C4" s="15"/>
    </row>
    <row r="5" customFormat="false" ht="15" hidden="false" customHeight="false" outlineLevel="0" collapsed="false">
      <c r="A5" s="4" t="s">
        <v>92</v>
      </c>
      <c r="B5" s="16" t="n">
        <v>2.2</v>
      </c>
      <c r="C5" s="5" t="s">
        <v>93</v>
      </c>
    </row>
    <row r="6" customFormat="false" ht="15" hidden="false" customHeight="false" outlineLevel="0" collapsed="false">
      <c r="A6" s="4" t="s">
        <v>94</v>
      </c>
      <c r="B6" s="17" t="n">
        <v>0.065</v>
      </c>
      <c r="C6" s="5" t="s">
        <v>95</v>
      </c>
    </row>
    <row r="7" customFormat="false" ht="15" hidden="false" customHeight="false" outlineLevel="0" collapsed="false">
      <c r="A7" s="4" t="s">
        <v>96</v>
      </c>
      <c r="B7" s="17" t="n">
        <v>0.055</v>
      </c>
      <c r="C7" s="5" t="s">
        <v>97</v>
      </c>
    </row>
    <row r="8" customFormat="false" ht="15" hidden="false" customHeight="false" outlineLevel="0" collapsed="false">
      <c r="A8" s="4" t="s">
        <v>98</v>
      </c>
      <c r="B8" s="16" t="n">
        <v>1.6</v>
      </c>
      <c r="C8" s="5" t="s">
        <v>99</v>
      </c>
    </row>
    <row r="9" customFormat="false" ht="15" hidden="false" customHeight="false" outlineLevel="0" collapsed="false">
      <c r="A9" s="4" t="s">
        <v>100</v>
      </c>
      <c r="B9" s="16" t="n">
        <v>-2.1</v>
      </c>
      <c r="C9" s="5" t="s">
        <v>101</v>
      </c>
    </row>
    <row r="10" customFormat="false" ht="15" hidden="false" customHeight="false" outlineLevel="0" collapsed="false">
      <c r="A10" s="4" t="s">
        <v>102</v>
      </c>
      <c r="B10" s="9" t="n">
        <v>66</v>
      </c>
      <c r="C10" s="5" t="s">
        <v>103</v>
      </c>
    </row>
    <row r="11" customFormat="false" ht="15" hidden="false" customHeight="false" outlineLevel="0" collapsed="false">
      <c r="A11" s="4" t="s">
        <v>104</v>
      </c>
      <c r="B11" s="9" t="n">
        <v>44</v>
      </c>
    </row>
    <row r="12" customFormat="false" ht="15" hidden="false" customHeight="false" outlineLevel="0" collapsed="false">
      <c r="A12" s="4" t="s">
        <v>105</v>
      </c>
      <c r="B12" s="9" t="n">
        <v>6.8</v>
      </c>
      <c r="C12" s="5" t="s">
        <v>106</v>
      </c>
    </row>
    <row r="13" customFormat="false" ht="15" hidden="false" customHeight="false" outlineLevel="0" collapsed="false">
      <c r="A13" s="5" t="s">
        <v>107</v>
      </c>
    </row>
    <row r="15" customFormat="false" ht="15" hidden="false" customHeight="false" outlineLevel="0" collapsed="false">
      <c r="A15" s="14" t="s">
        <v>108</v>
      </c>
      <c r="B15" s="15"/>
      <c r="C15" s="15"/>
    </row>
    <row r="16" customFormat="false" ht="15" hidden="false" customHeight="false" outlineLevel="0" collapsed="false">
      <c r="A16" s="4" t="s">
        <v>109</v>
      </c>
      <c r="B16" s="18" t="n">
        <f aca="false">Teams!C38</f>
        <v>24.2</v>
      </c>
      <c r="C16" s="5" t="s">
        <v>110</v>
      </c>
    </row>
    <row r="17" customFormat="false" ht="15" hidden="false" customHeight="false" outlineLevel="0" collapsed="false">
      <c r="A17" s="4" t="s">
        <v>111</v>
      </c>
      <c r="B17" s="9" t="n">
        <v>1.9</v>
      </c>
      <c r="C17" s="5" t="s">
        <v>112</v>
      </c>
    </row>
    <row r="18" customFormat="false" ht="15" hidden="false" customHeight="false" outlineLevel="0" collapsed="false">
      <c r="A18" s="4" t="s">
        <v>113</v>
      </c>
      <c r="B18" s="9" t="n">
        <v>0.6</v>
      </c>
    </row>
    <row r="19" customFormat="false" ht="15" hidden="false" customHeight="false" outlineLevel="0" collapsed="false">
      <c r="A19" s="4" t="s">
        <v>114</v>
      </c>
      <c r="B19" s="9" t="n">
        <v>-0.5</v>
      </c>
      <c r="C19" s="5" t="s">
        <v>115</v>
      </c>
    </row>
    <row r="20" customFormat="false" ht="15" hidden="false" customHeight="false" outlineLevel="0" collapsed="false">
      <c r="A20" s="4" t="s">
        <v>116</v>
      </c>
      <c r="B20" s="9" t="n">
        <v>11.2</v>
      </c>
      <c r="C20" s="5" t="s">
        <v>117</v>
      </c>
    </row>
    <row r="21" customFormat="false" ht="15" hidden="false" customHeight="false" outlineLevel="0" collapsed="false">
      <c r="A21" s="4" t="s">
        <v>118</v>
      </c>
      <c r="B21" s="10" t="n">
        <v>1.15</v>
      </c>
    </row>
    <row r="22" customFormat="false" ht="15" hidden="false" customHeight="false" outlineLevel="0" collapsed="false">
      <c r="A22" s="4" t="s">
        <v>119</v>
      </c>
      <c r="B22" s="16" t="n">
        <v>0.075</v>
      </c>
      <c r="C22" s="5" t="s">
        <v>120</v>
      </c>
    </row>
    <row r="24" customFormat="false" ht="15" hidden="false" customHeight="false" outlineLevel="0" collapsed="false">
      <c r="A24" s="14" t="s">
        <v>121</v>
      </c>
      <c r="B24" s="15"/>
      <c r="C24" s="15"/>
    </row>
    <row r="25" customFormat="false" ht="15" hidden="false" customHeight="false" outlineLevel="0" collapsed="false">
      <c r="A25" s="4" t="s">
        <v>122</v>
      </c>
      <c r="B25" s="16" t="n">
        <v>0.235</v>
      </c>
    </row>
    <row r="26" customFormat="false" ht="15" hidden="false" customHeight="false" outlineLevel="0" collapsed="false">
      <c r="A26" s="4" t="s">
        <v>123</v>
      </c>
      <c r="B26" s="16" t="n">
        <v>0.135</v>
      </c>
    </row>
    <row r="27" customFormat="false" ht="15" hidden="false" customHeight="false" outlineLevel="0" collapsed="false">
      <c r="A27" s="4" t="s">
        <v>124</v>
      </c>
      <c r="B27" s="10" t="n">
        <v>1.35</v>
      </c>
      <c r="C27" s="5" t="s">
        <v>125</v>
      </c>
    </row>
    <row r="28" customFormat="false" ht="15" hidden="false" customHeight="false" outlineLevel="0" collapsed="false">
      <c r="A28" s="4" t="s">
        <v>126</v>
      </c>
      <c r="B28" s="10" t="n">
        <v>0.45</v>
      </c>
    </row>
    <row r="29" customFormat="false" ht="15" hidden="false" customHeight="false" outlineLevel="0" collapsed="false">
      <c r="A29" s="4" t="s">
        <v>127</v>
      </c>
      <c r="B29" s="10" t="n">
        <v>6.95</v>
      </c>
      <c r="C29" s="5" t="s">
        <v>128</v>
      </c>
    </row>
    <row r="30" customFormat="false" ht="15" hidden="false" customHeight="false" outlineLevel="0" collapsed="false">
      <c r="A30" s="4" t="s">
        <v>129</v>
      </c>
      <c r="B30" s="16" t="n">
        <v>0.09</v>
      </c>
    </row>
    <row r="31" customFormat="false" ht="15" hidden="false" customHeight="false" outlineLevel="0" collapsed="false">
      <c r="A31" s="4" t="s">
        <v>130</v>
      </c>
      <c r="B31" s="16" t="n">
        <v>0.48</v>
      </c>
    </row>
    <row r="32" customFormat="false" ht="15" hidden="false" customHeight="false" outlineLevel="0" collapsed="false">
      <c r="A32" s="4" t="s">
        <v>131</v>
      </c>
      <c r="B32" s="16" t="n">
        <v>0.955</v>
      </c>
    </row>
    <row r="34" customFormat="false" ht="15" hidden="false" customHeight="false" outlineLevel="0" collapsed="false">
      <c r="A34" s="14" t="s">
        <v>132</v>
      </c>
      <c r="B34" s="15"/>
      <c r="C34" s="15"/>
    </row>
    <row r="35" customFormat="false" ht="15" hidden="false" customHeight="false" outlineLevel="0" collapsed="false">
      <c r="A35" s="4" t="s">
        <v>133</v>
      </c>
      <c r="B35" s="10" t="n">
        <v>0.55</v>
      </c>
      <c r="C35" s="5" t="s">
        <v>134</v>
      </c>
    </row>
    <row r="36" customFormat="false" ht="15" hidden="false" customHeight="false" outlineLevel="0" collapsed="false">
      <c r="A36" s="4" t="s">
        <v>135</v>
      </c>
      <c r="B36" s="10" t="n">
        <v>0.45</v>
      </c>
    </row>
    <row r="37" customFormat="false" ht="15" hidden="false" customHeight="false" outlineLevel="0" collapsed="false">
      <c r="A37" s="4" t="s">
        <v>136</v>
      </c>
      <c r="B37" s="10" t="n">
        <v>0.25</v>
      </c>
      <c r="C37" s="5" t="s">
        <v>137</v>
      </c>
    </row>
    <row r="38" customFormat="false" ht="15" hidden="false" customHeight="false" outlineLevel="0" collapsed="false">
      <c r="A38" s="4" t="s">
        <v>138</v>
      </c>
      <c r="B38" s="19" t="n">
        <v>0.02</v>
      </c>
    </row>
    <row r="39" customFormat="false" ht="15" hidden="false" customHeight="false" outlineLevel="0" collapsed="false">
      <c r="A39" s="4" t="s">
        <v>139</v>
      </c>
      <c r="B39" s="19" t="n">
        <v>0.025</v>
      </c>
      <c r="C39" s="5" t="s">
        <v>140</v>
      </c>
    </row>
    <row r="40" customFormat="false" ht="15" hidden="false" customHeight="false" outlineLevel="0" collapsed="false">
      <c r="A40" s="4" t="s">
        <v>141</v>
      </c>
      <c r="B40" s="20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5"/>
    <col collapsed="false" customWidth="true" hidden="false" outlineLevel="0" max="6" min="6" style="0" width="60"/>
  </cols>
  <sheetData>
    <row r="1" customFormat="false" ht="24" hidden="false" customHeight="true" outlineLevel="0" collapsed="false">
      <c r="A1" s="1" t="s">
        <v>142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143</v>
      </c>
    </row>
    <row r="3" customFormat="false" ht="15" hidden="false" customHeight="false" outlineLevel="0" collapsed="false">
      <c r="A3" s="14" t="s">
        <v>144</v>
      </c>
      <c r="B3" s="15"/>
      <c r="C3" s="15"/>
      <c r="D3" s="15"/>
      <c r="E3" s="15"/>
      <c r="F3" s="15"/>
    </row>
    <row r="4" customFormat="false" ht="15" hidden="false" customHeight="false" outlineLevel="0" collapsed="false">
      <c r="A4" s="4" t="s">
        <v>145</v>
      </c>
      <c r="B4" s="21" t="s">
        <v>69</v>
      </c>
      <c r="C4" s="5" t="s">
        <v>146</v>
      </c>
    </row>
    <row r="5" customFormat="false" ht="15" hidden="false" customHeight="false" outlineLevel="0" collapsed="false">
      <c r="A5" s="4" t="s">
        <v>147</v>
      </c>
      <c r="B5" s="21" t="s">
        <v>57</v>
      </c>
      <c r="C5" s="5" t="s">
        <v>146</v>
      </c>
    </row>
    <row r="6" customFormat="false" ht="15" hidden="false" customHeight="false" outlineLevel="0" collapsed="false">
      <c r="A6" s="4" t="s">
        <v>148</v>
      </c>
      <c r="B6" s="8" t="n">
        <v>0</v>
      </c>
      <c r="C6" s="5" t="s">
        <v>149</v>
      </c>
    </row>
    <row r="7" customFormat="false" ht="15" hidden="false" customHeight="false" outlineLevel="0" collapsed="false">
      <c r="A7" s="4" t="s">
        <v>150</v>
      </c>
      <c r="B7" s="8" t="n">
        <v>0</v>
      </c>
    </row>
    <row r="8" customFormat="false" ht="15" hidden="false" customHeight="false" outlineLevel="0" collapsed="false">
      <c r="A8" s="4" t="s">
        <v>151</v>
      </c>
      <c r="B8" s="8" t="n">
        <v>0</v>
      </c>
    </row>
    <row r="10" customFormat="false" ht="15" hidden="false" customHeight="false" outlineLevel="0" collapsed="false">
      <c r="A10" s="14" t="s">
        <v>152</v>
      </c>
      <c r="B10" s="15"/>
      <c r="C10" s="15"/>
      <c r="D10" s="15"/>
      <c r="E10" s="15"/>
      <c r="F10" s="15"/>
    </row>
    <row r="11" customFormat="false" ht="15" hidden="false" customHeight="false" outlineLevel="0" collapsed="false">
      <c r="A11" s="4" t="s">
        <v>153</v>
      </c>
      <c r="B11" s="12" t="n">
        <f aca="false">INDEX(Teams!$L$5:$L$36,MATCH($B$4,Teams!$A$5:$A$36,0))</f>
        <v>1</v>
      </c>
    </row>
    <row r="12" customFormat="false" ht="15" hidden="false" customHeight="false" outlineLevel="0" collapsed="false">
      <c r="A12" s="4" t="s">
        <v>154</v>
      </c>
      <c r="B12" s="12" t="n">
        <f aca="false">INDEX(Teams!$M$5:$M$36,MATCH($B$4,Teams!$A$5:$A$36,0))</f>
        <v>1</v>
      </c>
    </row>
    <row r="13" customFormat="false" ht="15" hidden="false" customHeight="false" outlineLevel="0" collapsed="false">
      <c r="A13" s="4" t="s">
        <v>155</v>
      </c>
      <c r="B13" s="12" t="n">
        <f aca="false">INDEX(Teams!$L$5:$L$36,MATCH($B$5,Teams!$A$5:$A$36,0))</f>
        <v>1</v>
      </c>
    </row>
    <row r="14" customFormat="false" ht="15" hidden="false" customHeight="false" outlineLevel="0" collapsed="false">
      <c r="A14" s="4" t="s">
        <v>156</v>
      </c>
      <c r="B14" s="12" t="n">
        <f aca="false">INDEX(Teams!$M$5:$M$36,MATCH($B$5,Teams!$A$5:$A$36,0))</f>
        <v>1</v>
      </c>
    </row>
    <row r="15" customFormat="false" ht="15" hidden="false" customHeight="false" outlineLevel="0" collapsed="false">
      <c r="A15" s="4" t="s">
        <v>157</v>
      </c>
      <c r="B15" s="12" t="n">
        <f aca="false">Coefficients!$B$16*B11*B14</f>
        <v>24.2</v>
      </c>
      <c r="C15" s="5" t="s">
        <v>158</v>
      </c>
    </row>
    <row r="16" customFormat="false" ht="15" hidden="false" customHeight="false" outlineLevel="0" collapsed="false">
      <c r="A16" s="4" t="s">
        <v>159</v>
      </c>
      <c r="B16" s="12" t="n">
        <f aca="false">Coefficients!$B$16*B13*B12</f>
        <v>24.2</v>
      </c>
    </row>
    <row r="18" customFormat="false" ht="15" hidden="false" customHeight="false" outlineLevel="0" collapsed="false">
      <c r="A18" s="14" t="s">
        <v>160</v>
      </c>
      <c r="B18" s="15"/>
      <c r="C18" s="15"/>
      <c r="D18" s="15"/>
      <c r="E18" s="15"/>
      <c r="F18" s="15"/>
    </row>
    <row r="19" customFormat="false" ht="15" hidden="false" customHeight="false" outlineLevel="0" collapsed="false">
      <c r="B19" s="4" t="s">
        <v>161</v>
      </c>
      <c r="C19" s="4" t="s">
        <v>162</v>
      </c>
      <c r="D19" s="4" t="s">
        <v>163</v>
      </c>
    </row>
    <row r="20" customFormat="false" ht="15" hidden="false" customHeight="false" outlineLevel="0" collapsed="false">
      <c r="A20" s="4" t="s">
        <v>164</v>
      </c>
      <c r="B20" s="22" t="n">
        <f aca="false">AVERAGE(INDEX(Teams!$E$5:$E$36,MATCH($B$4,Teams!$A$5:$A$36,0)),INDEX(Teams!$F$5:$F$36,MATCH($B$5,Teams!$A$5:$A$36,0)))</f>
        <v>224.5</v>
      </c>
      <c r="C20" s="22" t="n">
        <f aca="false">AVERAGE(INDEX(Teams!$E$5:$E$36,MATCH($B$5,Teams!$A$5:$A$36,0)),INDEX(Teams!$F$5:$F$36,MATCH($B$4,Teams!$A$5:$A$36,0)))</f>
        <v>224.5</v>
      </c>
      <c r="D20" s="5" t="s">
        <v>165</v>
      </c>
    </row>
    <row r="21" customFormat="false" ht="15" hidden="false" customHeight="false" outlineLevel="0" collapsed="false">
      <c r="A21" s="4" t="s">
        <v>166</v>
      </c>
      <c r="B21" s="22" t="n">
        <f aca="false">AVERAGE(INDEX(Teams!$G$5:$G$36,MATCH($B$4,Teams!$A$5:$A$36,0)),INDEX(Teams!$H$5:$H$36,MATCH($B$5,Teams!$A$5:$A$36,0)))</f>
        <v>113.5</v>
      </c>
      <c r="C21" s="22" t="n">
        <f aca="false">AVERAGE(INDEX(Teams!$G$5:$G$36,MATCH($B$5,Teams!$A$5:$A$36,0)),INDEX(Teams!$H$5:$H$36,MATCH($B$4,Teams!$A$5:$A$36,0)))</f>
        <v>113.5</v>
      </c>
      <c r="D21" s="5" t="s">
        <v>167</v>
      </c>
    </row>
    <row r="22" customFormat="false" ht="15" hidden="false" customHeight="false" outlineLevel="0" collapsed="false">
      <c r="A22" s="4" t="s">
        <v>168</v>
      </c>
      <c r="B22" s="22" t="n">
        <f aca="false">AVERAGE(INDEX(Teams!$I$5:$I$36,MATCH($B$4,Teams!$A$5:$A$36,0)),INDEX(Teams!$J$5:$J$36,MATCH($B$5,Teams!$A$5:$A$36,0)))</f>
        <v>1.295</v>
      </c>
      <c r="C22" s="22" t="n">
        <f aca="false">AVERAGE(INDEX(Teams!$I$5:$I$36,MATCH($B$5,Teams!$A$5:$A$36,0)),INDEX(Teams!$J$5:$J$36,MATCH($B$4,Teams!$A$5:$A$36,0)))</f>
        <v>1.295</v>
      </c>
      <c r="D22" s="5" t="s">
        <v>169</v>
      </c>
    </row>
    <row r="23" customFormat="false" ht="15" hidden="false" customHeight="false" outlineLevel="0" collapsed="false">
      <c r="A23" s="4" t="s">
        <v>170</v>
      </c>
      <c r="B23" s="22" t="n">
        <f aca="false">AVERAGE(INDEX(Teams!$J$5:$J$36,MATCH($B$4,Teams!$A$5:$A$36,0)),INDEX(Teams!$I$5:$I$36,MATCH($B$5,Teams!$A$5:$A$36,0)))</f>
        <v>1.295</v>
      </c>
      <c r="C23" s="22" t="n">
        <f aca="false">AVERAGE(INDEX(Teams!$J$5:$J$36,MATCH($B$5,Teams!$A$5:$A$36,0)),INDEX(Teams!$I$5:$I$36,MATCH($B$4,Teams!$A$5:$A$36,0)))</f>
        <v>1.295</v>
      </c>
      <c r="D23" s="5" t="s">
        <v>171</v>
      </c>
    </row>
    <row r="24" customFormat="false" ht="15" hidden="false" customHeight="false" outlineLevel="0" collapsed="false">
      <c r="A24" s="4" t="s">
        <v>172</v>
      </c>
      <c r="B24" s="12" t="n">
        <f aca="false">Coefficients!$B$5 + Coefficients!$B$6*B20 + Coefficients!$B$7*B21 + Coefficients!$B$8*B23 + Coefficients!$B$9*B22</f>
        <v>22.3875</v>
      </c>
      <c r="C24" s="12" t="n">
        <f aca="false">Coefficients!$B$5 + Coefficients!$B$6*C20 + Coefficients!$B$7*C21 + Coefficients!$B$8*C23 + Coefficients!$B$9*C22</f>
        <v>22.3875</v>
      </c>
    </row>
    <row r="26" customFormat="false" ht="15" hidden="false" customHeight="false" outlineLevel="0" collapsed="false">
      <c r="A26" s="14" t="s">
        <v>173</v>
      </c>
      <c r="B26" s="15"/>
      <c r="C26" s="15"/>
      <c r="D26" s="15"/>
      <c r="E26" s="15"/>
      <c r="F26" s="15"/>
    </row>
    <row r="27" customFormat="false" ht="15" hidden="false" customHeight="false" outlineLevel="0" collapsed="false">
      <c r="A27" s="4" t="s">
        <v>174</v>
      </c>
      <c r="B27" s="12" t="n">
        <f aca="false">IF($B$6=1,0,Coefficients!$B$17/2)+IF($B$7=1,Coefficients!$B$18/2,IF($B$7=-1,Coefficients!$B$19/2,0))</f>
        <v>0.95</v>
      </c>
      <c r="C27" s="12" t="n">
        <f aca="false">IF($B$6=1,0,-Coefficients!$B$17/2)+IF($B$8=1,Coefficients!$B$18/2,IF($B$8=-1,Coefficients!$B$19/2,0))</f>
        <v>-0.95</v>
      </c>
    </row>
    <row r="28" customFormat="false" ht="15" hidden="false" customHeight="false" outlineLevel="0" collapsed="false">
      <c r="A28" s="4" t="s">
        <v>175</v>
      </c>
      <c r="B28" s="13" t="n">
        <f aca="false">MAX(6,(Coefficients!$B$35*B15+Coefficients!$B$36*B24)/(Coefficients!$B$35+Coefficients!$B$36)+B27)</f>
        <v>24.334375</v>
      </c>
      <c r="C28" s="13" t="n">
        <f aca="false">MAX(6,(Coefficients!$B$35*B16+Coefficients!$B$36*C24)/(Coefficients!$B$35+Coefficients!$B$36)+C27)</f>
        <v>22.434375</v>
      </c>
    </row>
    <row r="29" customFormat="false" ht="15" hidden="false" customHeight="false" outlineLevel="0" collapsed="false">
      <c r="A29" s="4" t="s">
        <v>176</v>
      </c>
      <c r="B29" s="23" t="n">
        <f aca="false">-(B28-C28)</f>
        <v>-1.9</v>
      </c>
    </row>
    <row r="30" customFormat="false" ht="15" hidden="false" customHeight="false" outlineLevel="0" collapsed="false">
      <c r="A30" s="4" t="s">
        <v>177</v>
      </c>
      <c r="B30" s="24" t="n">
        <f aca="false">B28+C28</f>
        <v>46.76875</v>
      </c>
    </row>
    <row r="32" customFormat="false" ht="15" hidden="false" customHeight="false" outlineLevel="0" collapsed="false">
      <c r="A32" s="14" t="s">
        <v>178</v>
      </c>
      <c r="B32" s="15"/>
      <c r="C32" s="15"/>
      <c r="D32" s="15"/>
      <c r="E32" s="15"/>
      <c r="F32" s="15"/>
    </row>
    <row r="33" customFormat="false" ht="15" hidden="false" customHeight="false" outlineLevel="0" collapsed="false">
      <c r="A33" s="5" t="s">
        <v>179</v>
      </c>
    </row>
    <row r="34" customFormat="false" ht="15" hidden="false" customHeight="false" outlineLevel="0" collapsed="false">
      <c r="B34" s="4" t="s">
        <v>161</v>
      </c>
      <c r="C34" s="4" t="s">
        <v>162</v>
      </c>
    </row>
    <row r="35" customFormat="false" ht="15" hidden="false" customHeight="false" outlineLevel="0" collapsed="false">
      <c r="A35" s="4" t="s">
        <v>180</v>
      </c>
      <c r="B35" s="25" t="n">
        <f aca="false">B28/(Coefficients!$B$20*(Coefficients!$B$25*Coefficients!$B$29+Coefficients!$B$26*3))</f>
        <v>1.06596936272363</v>
      </c>
      <c r="C35" s="25" t="n">
        <f aca="false">C28/(Coefficients!$B$20*(Coefficients!$B$25*Coefficients!$B$29+Coefficients!$B$26*3))</f>
        <v>0.982739701424542</v>
      </c>
    </row>
    <row r="36" customFormat="false" ht="15" hidden="false" customHeight="false" outlineLevel="0" collapsed="false">
      <c r="A36" s="4" t="s">
        <v>181</v>
      </c>
      <c r="B36" s="25" t="n">
        <f aca="false">Coefficients!$B$25*B35^Coefficients!$B$27</f>
        <v>0.256167032851376</v>
      </c>
      <c r="C36" s="25" t="n">
        <f aca="false">Coefficients!$B$25*C35^Coefficients!$B$27</f>
        <v>0.229540772606472</v>
      </c>
    </row>
    <row r="37" customFormat="false" ht="15" hidden="false" customHeight="false" outlineLevel="0" collapsed="false">
      <c r="A37" s="4" t="s">
        <v>182</v>
      </c>
      <c r="B37" s="25" t="n">
        <f aca="false">Coefficients!$B$26*B35^Coefficients!$B$28</f>
        <v>0.13893731242458</v>
      </c>
      <c r="C37" s="25" t="n">
        <f aca="false">Coefficients!$B$26*C35^Coefficients!$B$28</f>
        <v>0.133946414891252</v>
      </c>
    </row>
    <row r="38" customFormat="false" ht="15" hidden="false" customHeight="false" outlineLevel="0" collapsed="false">
      <c r="A38" s="4" t="s">
        <v>183</v>
      </c>
      <c r="B38" s="25" t="n">
        <f aca="false">(B28/Coefficients!$B$20)/(B36*Coefficients!$B$29+B37*3)</f>
        <v>0.988867165183455</v>
      </c>
      <c r="C38" s="25" t="n">
        <f aca="false">(C28/Coefficients!$B$20)/(C36*Coefficients!$B$29+C37*3)</f>
        <v>1.00296501975992</v>
      </c>
    </row>
    <row r="39" customFormat="false" ht="15" hidden="false" customHeight="false" outlineLevel="0" collapsed="false">
      <c r="A39" s="4" t="s">
        <v>184</v>
      </c>
      <c r="B39" s="25" t="n">
        <f aca="false">MIN(0.7,B36*B38)</f>
        <v>0.253315167589197</v>
      </c>
      <c r="C39" s="25" t="n">
        <f aca="false">MIN(0.7,C36*C38)</f>
        <v>0.230221365532957</v>
      </c>
    </row>
    <row r="40" customFormat="false" ht="15" hidden="false" customHeight="false" outlineLevel="0" collapsed="false">
      <c r="A40" s="4" t="s">
        <v>185</v>
      </c>
      <c r="B40" s="25" t="n">
        <f aca="false">MIN(0.4,B37*B38)</f>
        <v>0.137390546275503</v>
      </c>
      <c r="C40" s="25" t="n">
        <f aca="false">MIN(0.4,C37*C38)</f>
        <v>0.134343568658175</v>
      </c>
    </row>
    <row r="42" customFormat="false" ht="15" hidden="false" customHeight="false" outlineLevel="0" collapsed="false">
      <c r="A42" s="14" t="s">
        <v>186</v>
      </c>
      <c r="B42" s="15"/>
      <c r="C42" s="15"/>
      <c r="D42" s="15"/>
      <c r="E42" s="15"/>
      <c r="F42" s="15"/>
    </row>
    <row r="43" customFormat="false" ht="15" hidden="false" customHeight="false" outlineLevel="0" collapsed="false">
      <c r="A43" s="4" t="s">
        <v>187</v>
      </c>
      <c r="B43" s="26" t="n">
        <f aca="false">Simulations!Z5</f>
        <v>0.551166666666667</v>
      </c>
    </row>
    <row r="44" customFormat="false" ht="15" hidden="false" customHeight="false" outlineLevel="0" collapsed="false">
      <c r="A44" s="4" t="s">
        <v>188</v>
      </c>
      <c r="B44" s="26" t="n">
        <f aca="false">Simulations!Z6</f>
        <v>0.448833333333333</v>
      </c>
    </row>
    <row r="45" customFormat="false" ht="15" hidden="false" customHeight="false" outlineLevel="0" collapsed="false">
      <c r="A45" s="4" t="s">
        <v>189</v>
      </c>
      <c r="B45" s="27" t="n">
        <f aca="false">Simulations!Z7</f>
        <v>0.0163333333333333</v>
      </c>
    </row>
    <row r="46" customFormat="false" ht="15" hidden="false" customHeight="false" outlineLevel="0" collapsed="false">
      <c r="A46" s="4" t="s">
        <v>190</v>
      </c>
      <c r="B46" s="28" t="n">
        <f aca="false">Simulations!Z8</f>
        <v>24.3843333333333</v>
      </c>
    </row>
    <row r="47" customFormat="false" ht="15" hidden="false" customHeight="false" outlineLevel="0" collapsed="false">
      <c r="A47" s="4" t="s">
        <v>191</v>
      </c>
      <c r="B47" s="28" t="n">
        <f aca="false">Simulations!Z9</f>
        <v>22.4076666666667</v>
      </c>
    </row>
    <row r="48" customFormat="false" ht="15" hidden="false" customHeight="false" outlineLevel="0" collapsed="false">
      <c r="A48" s="4" t="s">
        <v>192</v>
      </c>
      <c r="B48" s="29" t="n">
        <f aca="false">Simulations!Z10</f>
        <v>1.97666666666667</v>
      </c>
    </row>
    <row r="49" customFormat="false" ht="15" hidden="false" customHeight="false" outlineLevel="0" collapsed="false">
      <c r="A49" s="4" t="s">
        <v>193</v>
      </c>
      <c r="B49" s="28" t="n">
        <f aca="false">Simulations!Z11</f>
        <v>13.8056384896507</v>
      </c>
    </row>
    <row r="50" customFormat="false" ht="15" hidden="false" customHeight="false" outlineLevel="0" collapsed="false">
      <c r="A50" s="4" t="s">
        <v>194</v>
      </c>
      <c r="B50" s="28" t="n">
        <f aca="false">Simulations!Z12</f>
        <v>46.792</v>
      </c>
    </row>
    <row r="51" customFormat="false" ht="15" hidden="false" customHeight="false" outlineLevel="0" collapsed="false">
      <c r="A51" s="5" t="s">
        <v>195</v>
      </c>
    </row>
  </sheetData>
  <dataValidations count="1">
    <dataValidation allowBlank="false" errorStyle="stop" operator="between" showDropDown="false" showErrorMessage="false" showInputMessage="false" sqref="B4:B5" type="list">
      <formula1>Teams!$A$5:$A$36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0" width="8"/>
    <col collapsed="false" customWidth="true" hidden="false" outlineLevel="0" max="24" min="24" style="0" width="3"/>
    <col collapsed="false" customWidth="true" hidden="false" outlineLevel="0" max="25" min="25" style="0" width="14"/>
    <col collapsed="false" customWidth="true" hidden="false" outlineLevel="0" max="26" min="26" style="0" width="12"/>
    <col collapsed="false" customWidth="true" hidden="false" outlineLevel="0" max="27" min="27" style="0" width="44"/>
  </cols>
  <sheetData>
    <row r="1" customFormat="false" ht="24" hidden="false" customHeight="true" outlineLevel="0" collapsed="false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" hidden="false" customHeight="false" outlineLevel="0" collapsed="false">
      <c r="A2" s="5" t="s">
        <v>197</v>
      </c>
    </row>
    <row r="3" customFormat="false" ht="23.85" hidden="false" customHeight="false" outlineLevel="0" collapsed="false">
      <c r="A3" s="6" t="s">
        <v>198</v>
      </c>
      <c r="B3" s="6" t="s">
        <v>199</v>
      </c>
      <c r="C3" s="6" t="s">
        <v>200</v>
      </c>
      <c r="D3" s="6" t="s">
        <v>201</v>
      </c>
      <c r="E3" s="6" t="s">
        <v>202</v>
      </c>
      <c r="F3" s="6" t="s">
        <v>203</v>
      </c>
      <c r="G3" s="6" t="s">
        <v>204</v>
      </c>
      <c r="H3" s="6" t="s">
        <v>205</v>
      </c>
      <c r="I3" s="6" t="s">
        <v>206</v>
      </c>
      <c r="J3" s="6" t="s">
        <v>207</v>
      </c>
      <c r="K3" s="6" t="s">
        <v>208</v>
      </c>
      <c r="L3" s="6" t="s">
        <v>209</v>
      </c>
      <c r="M3" s="6" t="s">
        <v>210</v>
      </c>
      <c r="N3" s="6" t="s">
        <v>211</v>
      </c>
      <c r="O3" s="6" t="s">
        <v>212</v>
      </c>
      <c r="P3" s="6" t="s">
        <v>213</v>
      </c>
      <c r="Q3" s="6" t="s">
        <v>214</v>
      </c>
      <c r="R3" s="6" t="s">
        <v>215</v>
      </c>
      <c r="S3" s="6" t="s">
        <v>216</v>
      </c>
      <c r="T3" s="6" t="s">
        <v>161</v>
      </c>
      <c r="U3" s="6" t="s">
        <v>162</v>
      </c>
      <c r="V3" s="6" t="s">
        <v>217</v>
      </c>
      <c r="W3" s="6" t="s">
        <v>218</v>
      </c>
      <c r="Y3" s="4" t="s">
        <v>219</v>
      </c>
      <c r="Z3" s="4" t="s">
        <v>220</v>
      </c>
    </row>
    <row r="4" customFormat="false" ht="15" hidden="false" customHeight="false" outlineLevel="0" collapsed="false">
      <c r="A4" s="0" t="n">
        <v>1</v>
      </c>
      <c r="B4" s="0" t="n">
        <f aca="true">NORMINV(RAND(),1,Coefficients!$B$22)</f>
        <v>1.08772164471414</v>
      </c>
      <c r="C4" s="0" t="n">
        <f aca="true">MEDIAN(8,16,ROUND(NORMINV(RAND(),Coefficients!$B$20,Coefficients!$B$21),0))</f>
        <v>11</v>
      </c>
      <c r="D4" s="0" t="n">
        <f aca="true">CRITBINOM($C4,MIN(0.75,Matchup!$B$39*$B4),RAND())</f>
        <v>4</v>
      </c>
      <c r="E4" s="0" t="n">
        <f aca="true">CRITBINOM(D4,Coefficients!$B$30,RAND())</f>
        <v>0</v>
      </c>
      <c r="F4" s="0" t="n">
        <f aca="true">CRITBINOM(E4,Coefficients!$B$31,RAND())</f>
        <v>0</v>
      </c>
      <c r="G4" s="0" t="n">
        <f aca="true">CRITBINOM(MAX(0,D4-E4),1-Coefficients!$B$32,RAND())</f>
        <v>0</v>
      </c>
      <c r="H4" s="0" t="n">
        <f aca="true">CRITBINOM(MAX(0,$C4-D4),MIN(0.6,Matchup!$B$40*SQRT($B4)/(1-MIN(0.75,Matchup!$B$39*$B4))),RAND())</f>
        <v>2</v>
      </c>
      <c r="I4" s="0" t="n">
        <f aca="false">6*D4+(D4-E4-G4)+2*F4+3*H4</f>
        <v>34</v>
      </c>
      <c r="J4" s="0" t="n">
        <f aca="true">CRITBINOM($C4,MIN(0.75,Matchup!$C$39*$B4),RAND())</f>
        <v>2</v>
      </c>
      <c r="K4" s="0" t="n">
        <f aca="true">CRITBINOM(J4,Coefficients!$B$30,RAND())</f>
        <v>0</v>
      </c>
      <c r="L4" s="0" t="n">
        <f aca="true">CRITBINOM(K4,Coefficients!$B$31,RAND())</f>
        <v>0</v>
      </c>
      <c r="M4" s="0" t="n">
        <f aca="true">CRITBINOM(MAX(0,J4-K4),1-Coefficients!$B$32,RAND())</f>
        <v>0</v>
      </c>
      <c r="N4" s="0" t="n">
        <f aca="true">CRITBINOM(MAX(0,$C4-J4),MIN(0.6,Matchup!$C$40*SQRT($B4)/(1-MIN(0.75,Matchup!$C$39*$B4))),RAND())</f>
        <v>1</v>
      </c>
      <c r="O4" s="0" t="n">
        <f aca="false">6*J4+(J4-K4-M4)+2*L4+3*N4</f>
        <v>17</v>
      </c>
      <c r="P4" s="0" t="n">
        <f aca="true">RAND()</f>
        <v>0.395755541919444</v>
      </c>
      <c r="Q4" s="0" t="n">
        <f aca="true">RAND()</f>
        <v>0.504077232095016</v>
      </c>
      <c r="R4" s="0" t="n">
        <f aca="false">IF($I4&lt;&gt;$O4,0,IF(P4&lt;Matchup!$B$39,7,IF(P4&lt;Matchup!$B$39+Matchup!$B$40,3,0)))</f>
        <v>0</v>
      </c>
      <c r="S4" s="0" t="n">
        <f aca="false">IF($I4&lt;&gt;$O4,0,IF(Q4&lt;Matchup!$C$39,7,IF(Q4&lt;Matchup!$C$39+Matchup!$C$40,3,0)))</f>
        <v>0</v>
      </c>
      <c r="T4" s="0" t="n">
        <f aca="false">I4+R4</f>
        <v>34</v>
      </c>
      <c r="U4" s="0" t="n">
        <f aca="false">O4+S4</f>
        <v>17</v>
      </c>
      <c r="V4" s="0" t="n">
        <f aca="false">T4-U4</f>
        <v>17</v>
      </c>
      <c r="W4" s="0" t="n">
        <f aca="false">T4+U4</f>
        <v>51</v>
      </c>
      <c r="Y4" s="4" t="s">
        <v>221</v>
      </c>
      <c r="Z4" s="30" t="n">
        <f aca="false">COUNT(T4:T3003)</f>
        <v>3000</v>
      </c>
    </row>
    <row r="5" customFormat="false" ht="15" hidden="false" customHeight="false" outlineLevel="0" collapsed="false">
      <c r="A5" s="0" t="n">
        <v>2</v>
      </c>
      <c r="B5" s="0" t="n">
        <f aca="true">NORMINV(RAND(),1,Coefficients!$B$22)</f>
        <v>1.00243227150785</v>
      </c>
      <c r="C5" s="0" t="n">
        <f aca="true">MEDIAN(8,16,ROUND(NORMINV(RAND(),Coefficients!$B$20,Coefficients!$B$21),0))</f>
        <v>13</v>
      </c>
      <c r="D5" s="0" t="n">
        <f aca="true">CRITBINOM($C5,MIN(0.75,Matchup!$B$39*$B5),RAND())</f>
        <v>5</v>
      </c>
      <c r="E5" s="0" t="n">
        <f aca="true">CRITBINOM(D5,Coefficients!$B$30,RAND())</f>
        <v>0</v>
      </c>
      <c r="F5" s="0" t="n">
        <f aca="true">CRITBINOM(E5,Coefficients!$B$31,RAND())</f>
        <v>0</v>
      </c>
      <c r="G5" s="0" t="n">
        <f aca="true">CRITBINOM(MAX(0,D5-E5),1-Coefficients!$B$32,RAND())</f>
        <v>0</v>
      </c>
      <c r="H5" s="0" t="n">
        <f aca="true">CRITBINOM(MAX(0,$C5-D5),MIN(0.6,Matchup!$B$40*SQRT($B5)/(1-MIN(0.75,Matchup!$B$39*$B5))),RAND())</f>
        <v>2</v>
      </c>
      <c r="I5" s="0" t="n">
        <f aca="false">6*D5+(D5-E5-G5)+2*F5+3*H5</f>
        <v>41</v>
      </c>
      <c r="J5" s="0" t="n">
        <f aca="true">CRITBINOM($C5,MIN(0.75,Matchup!$C$39*$B5),RAND())</f>
        <v>4</v>
      </c>
      <c r="K5" s="0" t="n">
        <f aca="true">CRITBINOM(J5,Coefficients!$B$30,RAND())</f>
        <v>1</v>
      </c>
      <c r="L5" s="0" t="n">
        <f aca="true">CRITBINOM(K5,Coefficients!$B$31,RAND())</f>
        <v>0</v>
      </c>
      <c r="M5" s="0" t="n">
        <f aca="true">CRITBINOM(MAX(0,J5-K5),1-Coefficients!$B$32,RAND())</f>
        <v>0</v>
      </c>
      <c r="N5" s="0" t="n">
        <f aca="true">CRITBINOM(MAX(0,$C5-J5),MIN(0.6,Matchup!$C$40*SQRT($B5)/(1-MIN(0.75,Matchup!$C$39*$B5))),RAND())</f>
        <v>3</v>
      </c>
      <c r="O5" s="0" t="n">
        <f aca="false">6*J5+(J5-K5-M5)+2*L5+3*N5</f>
        <v>36</v>
      </c>
      <c r="P5" s="0" t="n">
        <f aca="true">RAND()</f>
        <v>0.772534404692677</v>
      </c>
      <c r="Q5" s="0" t="n">
        <f aca="true">RAND()</f>
        <v>0.350235819426183</v>
      </c>
      <c r="R5" s="0" t="n">
        <f aca="false">IF($I5&lt;&gt;$O5,0,IF(P5&lt;Matchup!$B$39,7,IF(P5&lt;Matchup!$B$39+Matchup!$B$40,3,0)))</f>
        <v>0</v>
      </c>
      <c r="S5" s="0" t="n">
        <f aca="false">IF($I5&lt;&gt;$O5,0,IF(Q5&lt;Matchup!$C$39,7,IF(Q5&lt;Matchup!$C$39+Matchup!$C$40,3,0)))</f>
        <v>0</v>
      </c>
      <c r="T5" s="0" t="n">
        <f aca="false">I5+R5</f>
        <v>41</v>
      </c>
      <c r="U5" s="0" t="n">
        <f aca="false">O5+S5</f>
        <v>36</v>
      </c>
      <c r="V5" s="0" t="n">
        <f aca="false">T5-U5</f>
        <v>5</v>
      </c>
      <c r="W5" s="0" t="n">
        <f aca="false">T5+U5</f>
        <v>77</v>
      </c>
      <c r="Y5" s="4" t="s">
        <v>187</v>
      </c>
      <c r="Z5" s="31" t="n">
        <f aca="false">(COUNTIF(V4:V3003,"&gt;0")+0.5*COUNTIF(V4:V3003,0))/$Z$4</f>
        <v>0.551166666666667</v>
      </c>
    </row>
    <row r="6" customFormat="false" ht="15" hidden="false" customHeight="false" outlineLevel="0" collapsed="false">
      <c r="A6" s="0" t="n">
        <v>3</v>
      </c>
      <c r="B6" s="0" t="n">
        <f aca="true">NORMINV(RAND(),1,Coefficients!$B$22)</f>
        <v>0.976476768033693</v>
      </c>
      <c r="C6" s="0" t="n">
        <f aca="true">MEDIAN(8,16,ROUND(NORMINV(RAND(),Coefficients!$B$20,Coefficients!$B$21),0))</f>
        <v>10</v>
      </c>
      <c r="D6" s="0" t="n">
        <f aca="true">CRITBINOM($C6,MIN(0.75,Matchup!$B$39*$B6),RAND())</f>
        <v>2</v>
      </c>
      <c r="E6" s="0" t="n">
        <f aca="true">CRITBINOM(D6,Coefficients!$B$30,RAND())</f>
        <v>0</v>
      </c>
      <c r="F6" s="0" t="n">
        <f aca="true">CRITBINOM(E6,Coefficients!$B$31,RAND())</f>
        <v>0</v>
      </c>
      <c r="G6" s="0" t="n">
        <f aca="true">CRITBINOM(MAX(0,D6-E6),1-Coefficients!$B$32,RAND())</f>
        <v>1</v>
      </c>
      <c r="H6" s="0" t="n">
        <f aca="true">CRITBINOM(MAX(0,$C6-D6),MIN(0.6,Matchup!$B$40*SQRT($B6)/(1-MIN(0.75,Matchup!$B$39*$B6))),RAND())</f>
        <v>1</v>
      </c>
      <c r="I6" s="0" t="n">
        <f aca="false">6*D6+(D6-E6-G6)+2*F6+3*H6</f>
        <v>16</v>
      </c>
      <c r="J6" s="0" t="n">
        <f aca="true">CRITBINOM($C6,MIN(0.75,Matchup!$C$39*$B6),RAND())</f>
        <v>3</v>
      </c>
      <c r="K6" s="0" t="n">
        <f aca="true">CRITBINOM(J6,Coefficients!$B$30,RAND())</f>
        <v>1</v>
      </c>
      <c r="L6" s="0" t="n">
        <f aca="true">CRITBINOM(K6,Coefficients!$B$31,RAND())</f>
        <v>0</v>
      </c>
      <c r="M6" s="0" t="n">
        <f aca="true">CRITBINOM(MAX(0,J6-K6),1-Coefficients!$B$32,RAND())</f>
        <v>0</v>
      </c>
      <c r="N6" s="0" t="n">
        <f aca="true">CRITBINOM(MAX(0,$C6-J6),MIN(0.6,Matchup!$C$40*SQRT($B6)/(1-MIN(0.75,Matchup!$C$39*$B6))),RAND())</f>
        <v>3</v>
      </c>
      <c r="O6" s="0" t="n">
        <f aca="false">6*J6+(J6-K6-M6)+2*L6+3*N6</f>
        <v>29</v>
      </c>
      <c r="P6" s="0" t="n">
        <f aca="true">RAND()</f>
        <v>0.128504522827379</v>
      </c>
      <c r="Q6" s="0" t="n">
        <f aca="true">RAND()</f>
        <v>0.887911223924368</v>
      </c>
      <c r="R6" s="0" t="n">
        <f aca="false">IF($I6&lt;&gt;$O6,0,IF(P6&lt;Matchup!$B$39,7,IF(P6&lt;Matchup!$B$39+Matchup!$B$40,3,0)))</f>
        <v>0</v>
      </c>
      <c r="S6" s="0" t="n">
        <f aca="false">IF($I6&lt;&gt;$O6,0,IF(Q6&lt;Matchup!$C$39,7,IF(Q6&lt;Matchup!$C$39+Matchup!$C$40,3,0)))</f>
        <v>0</v>
      </c>
      <c r="T6" s="0" t="n">
        <f aca="false">I6+R6</f>
        <v>16</v>
      </c>
      <c r="U6" s="0" t="n">
        <f aca="false">O6+S6</f>
        <v>29</v>
      </c>
      <c r="V6" s="0" t="n">
        <f aca="false">T6-U6</f>
        <v>-13</v>
      </c>
      <c r="W6" s="0" t="n">
        <f aca="false">T6+U6</f>
        <v>45</v>
      </c>
      <c r="Y6" s="4" t="s">
        <v>188</v>
      </c>
      <c r="Z6" s="31" t="n">
        <f aca="false">(COUNTIF(V4:V3003,"&lt;0")+0.5*COUNTIF(V4:V3003,0))/$Z$4</f>
        <v>0.448833333333333</v>
      </c>
    </row>
    <row r="7" customFormat="false" ht="15" hidden="false" customHeight="false" outlineLevel="0" collapsed="false">
      <c r="A7" s="0" t="n">
        <v>4</v>
      </c>
      <c r="B7" s="0" t="n">
        <f aca="true">NORMINV(RAND(),1,Coefficients!$B$22)</f>
        <v>1.0577048559427</v>
      </c>
      <c r="C7" s="0" t="n">
        <f aca="true">MEDIAN(8,16,ROUND(NORMINV(RAND(),Coefficients!$B$20,Coefficients!$B$21),0))</f>
        <v>9</v>
      </c>
      <c r="D7" s="0" t="n">
        <f aca="true">CRITBINOM($C7,MIN(0.75,Matchup!$B$39*$B7),RAND())</f>
        <v>1</v>
      </c>
      <c r="E7" s="0" t="n">
        <f aca="true">CRITBINOM(D7,Coefficients!$B$30,RAND())</f>
        <v>0</v>
      </c>
      <c r="F7" s="0" t="n">
        <f aca="true">CRITBINOM(E7,Coefficients!$B$31,RAND())</f>
        <v>0</v>
      </c>
      <c r="G7" s="0" t="n">
        <f aca="true">CRITBINOM(MAX(0,D7-E7),1-Coefficients!$B$32,RAND())</f>
        <v>0</v>
      </c>
      <c r="H7" s="0" t="n">
        <f aca="true">CRITBINOM(MAX(0,$C7-D7),MIN(0.6,Matchup!$B$40*SQRT($B7)/(1-MIN(0.75,Matchup!$B$39*$B7))),RAND())</f>
        <v>3</v>
      </c>
      <c r="I7" s="0" t="n">
        <f aca="false">6*D7+(D7-E7-G7)+2*F7+3*H7</f>
        <v>16</v>
      </c>
      <c r="J7" s="0" t="n">
        <f aca="true">CRITBINOM($C7,MIN(0.75,Matchup!$C$39*$B7),RAND())</f>
        <v>1</v>
      </c>
      <c r="K7" s="0" t="n">
        <f aca="true">CRITBINOM(J7,Coefficients!$B$30,RAND())</f>
        <v>0</v>
      </c>
      <c r="L7" s="0" t="n">
        <f aca="true">CRITBINOM(K7,Coefficients!$B$31,RAND())</f>
        <v>0</v>
      </c>
      <c r="M7" s="0" t="n">
        <f aca="true">CRITBINOM(MAX(0,J7-K7),1-Coefficients!$B$32,RAND())</f>
        <v>0</v>
      </c>
      <c r="N7" s="0" t="n">
        <f aca="true">CRITBINOM(MAX(0,$C7-J7),MIN(0.6,Matchup!$C$40*SQRT($B7)/(1-MIN(0.75,Matchup!$C$39*$B7))),RAND())</f>
        <v>0</v>
      </c>
      <c r="O7" s="0" t="n">
        <f aca="false">6*J7+(J7-K7-M7)+2*L7+3*N7</f>
        <v>7</v>
      </c>
      <c r="P7" s="0" t="n">
        <f aca="true">RAND()</f>
        <v>0.839942668485894</v>
      </c>
      <c r="Q7" s="0" t="n">
        <f aca="true">RAND()</f>
        <v>0.32490218911088</v>
      </c>
      <c r="R7" s="0" t="n">
        <f aca="false">IF($I7&lt;&gt;$O7,0,IF(P7&lt;Matchup!$B$39,7,IF(P7&lt;Matchup!$B$39+Matchup!$B$40,3,0)))</f>
        <v>0</v>
      </c>
      <c r="S7" s="0" t="n">
        <f aca="false">IF($I7&lt;&gt;$O7,0,IF(Q7&lt;Matchup!$C$39,7,IF(Q7&lt;Matchup!$C$39+Matchup!$C$40,3,0)))</f>
        <v>0</v>
      </c>
      <c r="T7" s="0" t="n">
        <f aca="false">I7+R7</f>
        <v>16</v>
      </c>
      <c r="U7" s="0" t="n">
        <f aca="false">O7+S7</f>
        <v>7</v>
      </c>
      <c r="V7" s="0" t="n">
        <f aca="false">T7-U7</f>
        <v>9</v>
      </c>
      <c r="W7" s="0" t="n">
        <f aca="false">T7+U7</f>
        <v>23</v>
      </c>
      <c r="Y7" s="4" t="s">
        <v>189</v>
      </c>
      <c r="Z7" s="32" t="n">
        <f aca="false">COUNTIF(V4:V3003,0)/$Z$4</f>
        <v>0.0163333333333333</v>
      </c>
      <c r="AA7" s="5" t="s">
        <v>222</v>
      </c>
    </row>
    <row r="8" customFormat="false" ht="15" hidden="false" customHeight="false" outlineLevel="0" collapsed="false">
      <c r="A8" s="0" t="n">
        <v>5</v>
      </c>
      <c r="B8" s="0" t="n">
        <f aca="true">NORMINV(RAND(),1,Coefficients!$B$22)</f>
        <v>0.941593665805346</v>
      </c>
      <c r="C8" s="0" t="n">
        <f aca="true">MEDIAN(8,16,ROUND(NORMINV(RAND(),Coefficients!$B$20,Coefficients!$B$21),0))</f>
        <v>11</v>
      </c>
      <c r="D8" s="0" t="n">
        <f aca="true">CRITBINOM($C8,MIN(0.75,Matchup!$B$39*$B8),RAND())</f>
        <v>3</v>
      </c>
      <c r="E8" s="0" t="n">
        <f aca="true">CRITBINOM(D8,Coefficients!$B$30,RAND())</f>
        <v>0</v>
      </c>
      <c r="F8" s="0" t="n">
        <f aca="true">CRITBINOM(E8,Coefficients!$B$31,RAND())</f>
        <v>0</v>
      </c>
      <c r="G8" s="0" t="n">
        <f aca="true">CRITBINOM(MAX(0,D8-E8),1-Coefficients!$B$32,RAND())</f>
        <v>0</v>
      </c>
      <c r="H8" s="0" t="n">
        <f aca="true">CRITBINOM(MAX(0,$C8-D8),MIN(0.6,Matchup!$B$40*SQRT($B8)/(1-MIN(0.75,Matchup!$B$39*$B8))),RAND())</f>
        <v>2</v>
      </c>
      <c r="I8" s="0" t="n">
        <f aca="false">6*D8+(D8-E8-G8)+2*F8+3*H8</f>
        <v>27</v>
      </c>
      <c r="J8" s="0" t="n">
        <f aca="true">CRITBINOM($C8,MIN(0.75,Matchup!$C$39*$B8),RAND())</f>
        <v>1</v>
      </c>
      <c r="K8" s="0" t="n">
        <f aca="true">CRITBINOM(J8,Coefficients!$B$30,RAND())</f>
        <v>0</v>
      </c>
      <c r="L8" s="0" t="n">
        <f aca="true">CRITBINOM(K8,Coefficients!$B$31,RAND())</f>
        <v>0</v>
      </c>
      <c r="M8" s="0" t="n">
        <f aca="true">CRITBINOM(MAX(0,J8-K8),1-Coefficients!$B$32,RAND())</f>
        <v>0</v>
      </c>
      <c r="N8" s="0" t="n">
        <f aca="true">CRITBINOM(MAX(0,$C8-J8),MIN(0.6,Matchup!$C$40*SQRT($B8)/(1-MIN(0.75,Matchup!$C$39*$B8))),RAND())</f>
        <v>3</v>
      </c>
      <c r="O8" s="0" t="n">
        <f aca="false">6*J8+(J8-K8-M8)+2*L8+3*N8</f>
        <v>16</v>
      </c>
      <c r="P8" s="0" t="n">
        <f aca="true">RAND()</f>
        <v>0.938023628249569</v>
      </c>
      <c r="Q8" s="0" t="n">
        <f aca="true">RAND()</f>
        <v>0.650977889799628</v>
      </c>
      <c r="R8" s="0" t="n">
        <f aca="false">IF($I8&lt;&gt;$O8,0,IF(P8&lt;Matchup!$B$39,7,IF(P8&lt;Matchup!$B$39+Matchup!$B$40,3,0)))</f>
        <v>0</v>
      </c>
      <c r="S8" s="0" t="n">
        <f aca="false">IF($I8&lt;&gt;$O8,0,IF(Q8&lt;Matchup!$C$39,7,IF(Q8&lt;Matchup!$C$39+Matchup!$C$40,3,0)))</f>
        <v>0</v>
      </c>
      <c r="T8" s="0" t="n">
        <f aca="false">I8+R8</f>
        <v>27</v>
      </c>
      <c r="U8" s="0" t="n">
        <f aca="false">O8+S8</f>
        <v>16</v>
      </c>
      <c r="V8" s="0" t="n">
        <f aca="false">T8-U8</f>
        <v>11</v>
      </c>
      <c r="W8" s="0" t="n">
        <f aca="false">T8+U8</f>
        <v>43</v>
      </c>
      <c r="Y8" s="4" t="s">
        <v>223</v>
      </c>
      <c r="Z8" s="33" t="n">
        <f aca="false">AVERAGE(T4:T3003)</f>
        <v>24.3843333333333</v>
      </c>
    </row>
    <row r="9" customFormat="false" ht="15" hidden="false" customHeight="false" outlineLevel="0" collapsed="false">
      <c r="A9" s="0" t="n">
        <v>6</v>
      </c>
      <c r="B9" s="0" t="n">
        <f aca="true">NORMINV(RAND(),1,Coefficients!$B$22)</f>
        <v>1.02775664235005</v>
      </c>
      <c r="C9" s="0" t="n">
        <f aca="true">MEDIAN(8,16,ROUND(NORMINV(RAND(),Coefficients!$B$20,Coefficients!$B$21),0))</f>
        <v>11</v>
      </c>
      <c r="D9" s="0" t="n">
        <f aca="true">CRITBINOM($C9,MIN(0.75,Matchup!$B$39*$B9),RAND())</f>
        <v>2</v>
      </c>
      <c r="E9" s="0" t="n">
        <f aca="true">CRITBINOM(D9,Coefficients!$B$30,RAND())</f>
        <v>1</v>
      </c>
      <c r="F9" s="0" t="n">
        <f aca="true">CRITBINOM(E9,Coefficients!$B$31,RAND())</f>
        <v>0</v>
      </c>
      <c r="G9" s="0" t="n">
        <f aca="true">CRITBINOM(MAX(0,D9-E9),1-Coefficients!$B$32,RAND())</f>
        <v>0</v>
      </c>
      <c r="H9" s="0" t="n">
        <f aca="true">CRITBINOM(MAX(0,$C9-D9),MIN(0.6,Matchup!$B$40*SQRT($B9)/(1-MIN(0.75,Matchup!$B$39*$B9))),RAND())</f>
        <v>1</v>
      </c>
      <c r="I9" s="0" t="n">
        <f aca="false">6*D9+(D9-E9-G9)+2*F9+3*H9</f>
        <v>16</v>
      </c>
      <c r="J9" s="0" t="n">
        <f aca="true">CRITBINOM($C9,MIN(0.75,Matchup!$C$39*$B9),RAND())</f>
        <v>4</v>
      </c>
      <c r="K9" s="0" t="n">
        <f aca="true">CRITBINOM(J9,Coefficients!$B$30,RAND())</f>
        <v>2</v>
      </c>
      <c r="L9" s="0" t="n">
        <f aca="true">CRITBINOM(K9,Coefficients!$B$31,RAND())</f>
        <v>1</v>
      </c>
      <c r="M9" s="0" t="n">
        <f aca="true">CRITBINOM(MAX(0,J9-K9),1-Coefficients!$B$32,RAND())</f>
        <v>0</v>
      </c>
      <c r="N9" s="0" t="n">
        <f aca="true">CRITBINOM(MAX(0,$C9-J9),MIN(0.6,Matchup!$C$40*SQRT($B9)/(1-MIN(0.75,Matchup!$C$39*$B9))),RAND())</f>
        <v>1</v>
      </c>
      <c r="O9" s="0" t="n">
        <f aca="false">6*J9+(J9-K9-M9)+2*L9+3*N9</f>
        <v>31</v>
      </c>
      <c r="P9" s="0" t="n">
        <f aca="true">RAND()</f>
        <v>0.366224009870909</v>
      </c>
      <c r="Q9" s="0" t="n">
        <f aca="true">RAND()</f>
        <v>0.342422656303816</v>
      </c>
      <c r="R9" s="0" t="n">
        <f aca="false">IF($I9&lt;&gt;$O9,0,IF(P9&lt;Matchup!$B$39,7,IF(P9&lt;Matchup!$B$39+Matchup!$B$40,3,0)))</f>
        <v>0</v>
      </c>
      <c r="S9" s="0" t="n">
        <f aca="false">IF($I9&lt;&gt;$O9,0,IF(Q9&lt;Matchup!$C$39,7,IF(Q9&lt;Matchup!$C$39+Matchup!$C$40,3,0)))</f>
        <v>0</v>
      </c>
      <c r="T9" s="0" t="n">
        <f aca="false">I9+R9</f>
        <v>16</v>
      </c>
      <c r="U9" s="0" t="n">
        <f aca="false">O9+S9</f>
        <v>31</v>
      </c>
      <c r="V9" s="0" t="n">
        <f aca="false">T9-U9</f>
        <v>-15</v>
      </c>
      <c r="W9" s="0" t="n">
        <f aca="false">T9+U9</f>
        <v>47</v>
      </c>
      <c r="Y9" s="4" t="s">
        <v>224</v>
      </c>
      <c r="Z9" s="33" t="n">
        <f aca="false">AVERAGE(U4:U3003)</f>
        <v>22.4076666666667</v>
      </c>
    </row>
    <row r="10" customFormat="false" ht="15" hidden="false" customHeight="false" outlineLevel="0" collapsed="false">
      <c r="A10" s="0" t="n">
        <v>7</v>
      </c>
      <c r="B10" s="0" t="n">
        <f aca="true">NORMINV(RAND(),1,Coefficients!$B$22)</f>
        <v>1.00211791311863</v>
      </c>
      <c r="C10" s="0" t="n">
        <f aca="true">MEDIAN(8,16,ROUND(NORMINV(RAND(),Coefficients!$B$20,Coefficients!$B$21),0))</f>
        <v>12</v>
      </c>
      <c r="D10" s="0" t="n">
        <f aca="true">CRITBINOM($C10,MIN(0.75,Matchup!$B$39*$B10),RAND())</f>
        <v>4</v>
      </c>
      <c r="E10" s="0" t="n">
        <f aca="true">CRITBINOM(D10,Coefficients!$B$30,RAND())</f>
        <v>1</v>
      </c>
      <c r="F10" s="0" t="n">
        <f aca="true">CRITBINOM(E10,Coefficients!$B$31,RAND())</f>
        <v>1</v>
      </c>
      <c r="G10" s="0" t="n">
        <f aca="true">CRITBINOM(MAX(0,D10-E10),1-Coefficients!$B$32,RAND())</f>
        <v>0</v>
      </c>
      <c r="H10" s="0" t="n">
        <f aca="true">CRITBINOM(MAX(0,$C10-D10),MIN(0.6,Matchup!$B$40*SQRT($B10)/(1-MIN(0.75,Matchup!$B$39*$B10))),RAND())</f>
        <v>2</v>
      </c>
      <c r="I10" s="0" t="n">
        <f aca="false">6*D10+(D10-E10-G10)+2*F10+3*H10</f>
        <v>35</v>
      </c>
      <c r="J10" s="0" t="n">
        <f aca="true">CRITBINOM($C10,MIN(0.75,Matchup!$C$39*$B10),RAND())</f>
        <v>2</v>
      </c>
      <c r="K10" s="0" t="n">
        <f aca="true">CRITBINOM(J10,Coefficients!$B$30,RAND())</f>
        <v>1</v>
      </c>
      <c r="L10" s="0" t="n">
        <f aca="true">CRITBINOM(K10,Coefficients!$B$31,RAND())</f>
        <v>0</v>
      </c>
      <c r="M10" s="0" t="n">
        <f aca="true">CRITBINOM(MAX(0,J10-K10),1-Coefficients!$B$32,RAND())</f>
        <v>0</v>
      </c>
      <c r="N10" s="0" t="n">
        <f aca="true">CRITBINOM(MAX(0,$C10-J10),MIN(0.6,Matchup!$C$40*SQRT($B10)/(1-MIN(0.75,Matchup!$C$39*$B10))),RAND())</f>
        <v>1</v>
      </c>
      <c r="O10" s="0" t="n">
        <f aca="false">6*J10+(J10-K10-M10)+2*L10+3*N10</f>
        <v>16</v>
      </c>
      <c r="P10" s="0" t="n">
        <f aca="true">RAND()</f>
        <v>0.470516082949389</v>
      </c>
      <c r="Q10" s="0" t="n">
        <f aca="true">RAND()</f>
        <v>0.526422205526096</v>
      </c>
      <c r="R10" s="0" t="n">
        <f aca="false">IF($I10&lt;&gt;$O10,0,IF(P10&lt;Matchup!$B$39,7,IF(P10&lt;Matchup!$B$39+Matchup!$B$40,3,0)))</f>
        <v>0</v>
      </c>
      <c r="S10" s="0" t="n">
        <f aca="false">IF($I10&lt;&gt;$O10,0,IF(Q10&lt;Matchup!$C$39,7,IF(Q10&lt;Matchup!$C$39+Matchup!$C$40,3,0)))</f>
        <v>0</v>
      </c>
      <c r="T10" s="0" t="n">
        <f aca="false">I10+R10</f>
        <v>35</v>
      </c>
      <c r="U10" s="0" t="n">
        <f aca="false">O10+S10</f>
        <v>16</v>
      </c>
      <c r="V10" s="0" t="n">
        <f aca="false">T10-U10</f>
        <v>19</v>
      </c>
      <c r="W10" s="0" t="n">
        <f aca="false">T10+U10</f>
        <v>51</v>
      </c>
      <c r="Y10" s="4" t="s">
        <v>192</v>
      </c>
      <c r="Z10" s="34" t="n">
        <f aca="false">AVERAGE(V4:V3003)</f>
        <v>1.97666666666667</v>
      </c>
      <c r="AA10" s="5" t="s">
        <v>225</v>
      </c>
    </row>
    <row r="11" customFormat="false" ht="15" hidden="false" customHeight="false" outlineLevel="0" collapsed="false">
      <c r="A11" s="0" t="n">
        <v>8</v>
      </c>
      <c r="B11" s="0" t="n">
        <f aca="true">NORMINV(RAND(),1,Coefficients!$B$22)</f>
        <v>1.03840543432862</v>
      </c>
      <c r="C11" s="0" t="n">
        <f aca="true">MEDIAN(8,16,ROUND(NORMINV(RAND(),Coefficients!$B$20,Coefficients!$B$21),0))</f>
        <v>10</v>
      </c>
      <c r="D11" s="0" t="n">
        <f aca="true">CRITBINOM($C11,MIN(0.75,Matchup!$B$39*$B11),RAND())</f>
        <v>3</v>
      </c>
      <c r="E11" s="0" t="n">
        <f aca="true">CRITBINOM(D11,Coefficients!$B$30,RAND())</f>
        <v>0</v>
      </c>
      <c r="F11" s="0" t="n">
        <f aca="true">CRITBINOM(E11,Coefficients!$B$31,RAND())</f>
        <v>0</v>
      </c>
      <c r="G11" s="0" t="n">
        <f aca="true">CRITBINOM(MAX(0,D11-E11),1-Coefficients!$B$32,RAND())</f>
        <v>0</v>
      </c>
      <c r="H11" s="0" t="n">
        <f aca="true">CRITBINOM(MAX(0,$C11-D11),MIN(0.6,Matchup!$B$40*SQRT($B11)/(1-MIN(0.75,Matchup!$B$39*$B11))),RAND())</f>
        <v>2</v>
      </c>
      <c r="I11" s="0" t="n">
        <f aca="false">6*D11+(D11-E11-G11)+2*F11+3*H11</f>
        <v>27</v>
      </c>
      <c r="J11" s="0" t="n">
        <f aca="true">CRITBINOM($C11,MIN(0.75,Matchup!$C$39*$B11),RAND())</f>
        <v>2</v>
      </c>
      <c r="K11" s="0" t="n">
        <f aca="true">CRITBINOM(J11,Coefficients!$B$30,RAND())</f>
        <v>0</v>
      </c>
      <c r="L11" s="0" t="n">
        <f aca="true">CRITBINOM(K11,Coefficients!$B$31,RAND())</f>
        <v>0</v>
      </c>
      <c r="M11" s="0" t="n">
        <f aca="true">CRITBINOM(MAX(0,J11-K11),1-Coefficients!$B$32,RAND())</f>
        <v>0</v>
      </c>
      <c r="N11" s="0" t="n">
        <f aca="true">CRITBINOM(MAX(0,$C11-J11),MIN(0.6,Matchup!$C$40*SQRT($B11)/(1-MIN(0.75,Matchup!$C$39*$B11))),RAND())</f>
        <v>2</v>
      </c>
      <c r="O11" s="0" t="n">
        <f aca="false">6*J11+(J11-K11-M11)+2*L11+3*N11</f>
        <v>20</v>
      </c>
      <c r="P11" s="0" t="n">
        <f aca="true">RAND()</f>
        <v>0.70163125510182</v>
      </c>
      <c r="Q11" s="0" t="n">
        <f aca="true">RAND()</f>
        <v>0.596007057278671</v>
      </c>
      <c r="R11" s="0" t="n">
        <f aca="false">IF($I11&lt;&gt;$O11,0,IF(P11&lt;Matchup!$B$39,7,IF(P11&lt;Matchup!$B$39+Matchup!$B$40,3,0)))</f>
        <v>0</v>
      </c>
      <c r="S11" s="0" t="n">
        <f aca="false">IF($I11&lt;&gt;$O11,0,IF(Q11&lt;Matchup!$C$39,7,IF(Q11&lt;Matchup!$C$39+Matchup!$C$40,3,0)))</f>
        <v>0</v>
      </c>
      <c r="T11" s="0" t="n">
        <f aca="false">I11+R11</f>
        <v>27</v>
      </c>
      <c r="U11" s="0" t="n">
        <f aca="false">O11+S11</f>
        <v>20</v>
      </c>
      <c r="V11" s="0" t="n">
        <f aca="false">T11-U11</f>
        <v>7</v>
      </c>
      <c r="W11" s="0" t="n">
        <f aca="false">T11+U11</f>
        <v>47</v>
      </c>
      <c r="Y11" s="4" t="s">
        <v>226</v>
      </c>
      <c r="Z11" s="33" t="n">
        <f aca="false">STDEV(V4:V3003)</f>
        <v>13.8056384896507</v>
      </c>
      <c r="AA11" s="5" t="s">
        <v>227</v>
      </c>
    </row>
    <row r="12" customFormat="false" ht="15" hidden="false" customHeight="false" outlineLevel="0" collapsed="false">
      <c r="A12" s="0" t="n">
        <v>9</v>
      </c>
      <c r="B12" s="0" t="n">
        <f aca="true">NORMINV(RAND(),1,Coefficients!$B$22)</f>
        <v>1.0024147396873</v>
      </c>
      <c r="C12" s="0" t="n">
        <f aca="true">MEDIAN(8,16,ROUND(NORMINV(RAND(),Coefficients!$B$20,Coefficients!$B$21),0))</f>
        <v>12</v>
      </c>
      <c r="D12" s="0" t="n">
        <f aca="true">CRITBINOM($C12,MIN(0.75,Matchup!$B$39*$B12),RAND())</f>
        <v>3</v>
      </c>
      <c r="E12" s="0" t="n">
        <f aca="true">CRITBINOM(D12,Coefficients!$B$30,RAND())</f>
        <v>1</v>
      </c>
      <c r="F12" s="0" t="n">
        <f aca="true">CRITBINOM(E12,Coefficients!$B$31,RAND())</f>
        <v>0</v>
      </c>
      <c r="G12" s="0" t="n">
        <f aca="true">CRITBINOM(MAX(0,D12-E12),1-Coefficients!$B$32,RAND())</f>
        <v>0</v>
      </c>
      <c r="H12" s="0" t="n">
        <f aca="true">CRITBINOM(MAX(0,$C12-D12),MIN(0.6,Matchup!$B$40*SQRT($B12)/(1-MIN(0.75,Matchup!$B$39*$B12))),RAND())</f>
        <v>1</v>
      </c>
      <c r="I12" s="0" t="n">
        <f aca="false">6*D12+(D12-E12-G12)+2*F12+3*H12</f>
        <v>23</v>
      </c>
      <c r="J12" s="0" t="n">
        <f aca="true">CRITBINOM($C12,MIN(0.75,Matchup!$C$39*$B12),RAND())</f>
        <v>2</v>
      </c>
      <c r="K12" s="0" t="n">
        <f aca="true">CRITBINOM(J12,Coefficients!$B$30,RAND())</f>
        <v>1</v>
      </c>
      <c r="L12" s="0" t="n">
        <f aca="true">CRITBINOM(K12,Coefficients!$B$31,RAND())</f>
        <v>0</v>
      </c>
      <c r="M12" s="0" t="n">
        <f aca="true">CRITBINOM(MAX(0,J12-K12),1-Coefficients!$B$32,RAND())</f>
        <v>0</v>
      </c>
      <c r="N12" s="0" t="n">
        <f aca="true">CRITBINOM(MAX(0,$C12-J12),MIN(0.6,Matchup!$C$40*SQRT($B12)/(1-MIN(0.75,Matchup!$C$39*$B12))),RAND())</f>
        <v>0</v>
      </c>
      <c r="O12" s="0" t="n">
        <f aca="false">6*J12+(J12-K12-M12)+2*L12+3*N12</f>
        <v>13</v>
      </c>
      <c r="P12" s="0" t="n">
        <f aca="true">RAND()</f>
        <v>0.433318226668066</v>
      </c>
      <c r="Q12" s="0" t="n">
        <f aca="true">RAND()</f>
        <v>0.572441991263936</v>
      </c>
      <c r="R12" s="0" t="n">
        <f aca="false">IF($I12&lt;&gt;$O12,0,IF(P12&lt;Matchup!$B$39,7,IF(P12&lt;Matchup!$B$39+Matchup!$B$40,3,0)))</f>
        <v>0</v>
      </c>
      <c r="S12" s="0" t="n">
        <f aca="false">IF($I12&lt;&gt;$O12,0,IF(Q12&lt;Matchup!$C$39,7,IF(Q12&lt;Matchup!$C$39+Matchup!$C$40,3,0)))</f>
        <v>0</v>
      </c>
      <c r="T12" s="0" t="n">
        <f aca="false">I12+R12</f>
        <v>23</v>
      </c>
      <c r="U12" s="0" t="n">
        <f aca="false">O12+S12</f>
        <v>13</v>
      </c>
      <c r="V12" s="0" t="n">
        <f aca="false">T12-U12</f>
        <v>10</v>
      </c>
      <c r="W12" s="0" t="n">
        <f aca="false">T12+U12</f>
        <v>36</v>
      </c>
      <c r="Y12" s="4" t="s">
        <v>194</v>
      </c>
      <c r="Z12" s="33" t="n">
        <f aca="false">AVERAGE(W4:W3003)</f>
        <v>46.792</v>
      </c>
    </row>
    <row r="13" customFormat="false" ht="15" hidden="false" customHeight="false" outlineLevel="0" collapsed="false">
      <c r="A13" s="0" t="n">
        <v>10</v>
      </c>
      <c r="B13" s="0" t="n">
        <f aca="true">NORMINV(RAND(),1,Coefficients!$B$22)</f>
        <v>0.97117831638399</v>
      </c>
      <c r="C13" s="0" t="n">
        <f aca="true">MEDIAN(8,16,ROUND(NORMINV(RAND(),Coefficients!$B$20,Coefficients!$B$21),0))</f>
        <v>12</v>
      </c>
      <c r="D13" s="0" t="n">
        <f aca="true">CRITBINOM($C13,MIN(0.75,Matchup!$B$39*$B13),RAND())</f>
        <v>0</v>
      </c>
      <c r="E13" s="0" t="n">
        <f aca="true">CRITBINOM(D13,Coefficients!$B$30,RAND())</f>
        <v>0</v>
      </c>
      <c r="F13" s="0" t="n">
        <f aca="true">CRITBINOM(E13,Coefficients!$B$31,RAND())</f>
        <v>0</v>
      </c>
      <c r="G13" s="0" t="n">
        <f aca="true">CRITBINOM(MAX(0,D13-E13),1-Coefficients!$B$32,RAND())</f>
        <v>0</v>
      </c>
      <c r="H13" s="0" t="n">
        <f aca="true">CRITBINOM(MAX(0,$C13-D13),MIN(0.6,Matchup!$B$40*SQRT($B13)/(1-MIN(0.75,Matchup!$B$39*$B13))),RAND())</f>
        <v>3</v>
      </c>
      <c r="I13" s="0" t="n">
        <f aca="false">6*D13+(D13-E13-G13)+2*F13+3*H13</f>
        <v>9</v>
      </c>
      <c r="J13" s="0" t="n">
        <f aca="true">CRITBINOM($C13,MIN(0.75,Matchup!$C$39*$B13),RAND())</f>
        <v>1</v>
      </c>
      <c r="K13" s="0" t="n">
        <f aca="true">CRITBINOM(J13,Coefficients!$B$30,RAND())</f>
        <v>0</v>
      </c>
      <c r="L13" s="0" t="n">
        <f aca="true">CRITBINOM(K13,Coefficients!$B$31,RAND())</f>
        <v>0</v>
      </c>
      <c r="M13" s="0" t="n">
        <f aca="true">CRITBINOM(MAX(0,J13-K13),1-Coefficients!$B$32,RAND())</f>
        <v>1</v>
      </c>
      <c r="N13" s="0" t="n">
        <f aca="true">CRITBINOM(MAX(0,$C13-J13),MIN(0.6,Matchup!$C$40*SQRT($B13)/(1-MIN(0.75,Matchup!$C$39*$B13))),RAND())</f>
        <v>2</v>
      </c>
      <c r="O13" s="0" t="n">
        <f aca="false">6*J13+(J13-K13-M13)+2*L13+3*N13</f>
        <v>12</v>
      </c>
      <c r="P13" s="0" t="n">
        <f aca="true">RAND()</f>
        <v>0.729990359804278</v>
      </c>
      <c r="Q13" s="0" t="n">
        <f aca="true">RAND()</f>
        <v>0.832834506909281</v>
      </c>
      <c r="R13" s="0" t="n">
        <f aca="false">IF($I13&lt;&gt;$O13,0,IF(P13&lt;Matchup!$B$39,7,IF(P13&lt;Matchup!$B$39+Matchup!$B$40,3,0)))</f>
        <v>0</v>
      </c>
      <c r="S13" s="0" t="n">
        <f aca="false">IF($I13&lt;&gt;$O13,0,IF(Q13&lt;Matchup!$C$39,7,IF(Q13&lt;Matchup!$C$39+Matchup!$C$40,3,0)))</f>
        <v>0</v>
      </c>
      <c r="T13" s="0" t="n">
        <f aca="false">I13+R13</f>
        <v>9</v>
      </c>
      <c r="U13" s="0" t="n">
        <f aca="false">O13+S13</f>
        <v>12</v>
      </c>
      <c r="V13" s="0" t="n">
        <f aca="false">T13-U13</f>
        <v>-3</v>
      </c>
      <c r="W13" s="0" t="n">
        <f aca="false">T13+U13</f>
        <v>21</v>
      </c>
      <c r="Y13" s="4" t="s">
        <v>228</v>
      </c>
      <c r="Z13" s="33" t="n">
        <f aca="false">STDEV(W4:W3003)</f>
        <v>14.7647576576645</v>
      </c>
      <c r="AA13" s="5" t="s">
        <v>229</v>
      </c>
    </row>
    <row r="14" customFormat="false" ht="15" hidden="false" customHeight="false" outlineLevel="0" collapsed="false">
      <c r="A14" s="0" t="n">
        <v>11</v>
      </c>
      <c r="B14" s="0" t="n">
        <f aca="true">NORMINV(RAND(),1,Coefficients!$B$22)</f>
        <v>0.946920577312474</v>
      </c>
      <c r="C14" s="0" t="n">
        <f aca="true">MEDIAN(8,16,ROUND(NORMINV(RAND(),Coefficients!$B$20,Coefficients!$B$21),0))</f>
        <v>12</v>
      </c>
      <c r="D14" s="0" t="n">
        <f aca="true">CRITBINOM($C14,MIN(0.75,Matchup!$B$39*$B14),RAND())</f>
        <v>1</v>
      </c>
      <c r="E14" s="0" t="n">
        <f aca="true">CRITBINOM(D14,Coefficients!$B$30,RAND())</f>
        <v>0</v>
      </c>
      <c r="F14" s="0" t="n">
        <f aca="true">CRITBINOM(E14,Coefficients!$B$31,RAND())</f>
        <v>0</v>
      </c>
      <c r="G14" s="0" t="n">
        <f aca="true">CRITBINOM(MAX(0,D14-E14),1-Coefficients!$B$32,RAND())</f>
        <v>0</v>
      </c>
      <c r="H14" s="0" t="n">
        <f aca="true">CRITBINOM(MAX(0,$C14-D14),MIN(0.6,Matchup!$B$40*SQRT($B14)/(1-MIN(0.75,Matchup!$B$39*$B14))),RAND())</f>
        <v>1</v>
      </c>
      <c r="I14" s="0" t="n">
        <f aca="false">6*D14+(D14-E14-G14)+2*F14+3*H14</f>
        <v>10</v>
      </c>
      <c r="J14" s="0" t="n">
        <f aca="true">CRITBINOM($C14,MIN(0.75,Matchup!$C$39*$B14),RAND())</f>
        <v>2</v>
      </c>
      <c r="K14" s="0" t="n">
        <f aca="true">CRITBINOM(J14,Coefficients!$B$30,RAND())</f>
        <v>1</v>
      </c>
      <c r="L14" s="0" t="n">
        <f aca="true">CRITBINOM(K14,Coefficients!$B$31,RAND())</f>
        <v>0</v>
      </c>
      <c r="M14" s="0" t="n">
        <f aca="true">CRITBINOM(MAX(0,J14-K14),1-Coefficients!$B$32,RAND())</f>
        <v>0</v>
      </c>
      <c r="N14" s="0" t="n">
        <f aca="true">CRITBINOM(MAX(0,$C14-J14),MIN(0.6,Matchup!$C$40*SQRT($B14)/(1-MIN(0.75,Matchup!$C$39*$B14))),RAND())</f>
        <v>4</v>
      </c>
      <c r="O14" s="0" t="n">
        <f aca="false">6*J14+(J14-K14-M14)+2*L14+3*N14</f>
        <v>25</v>
      </c>
      <c r="P14" s="0" t="n">
        <f aca="true">RAND()</f>
        <v>0.676605756273505</v>
      </c>
      <c r="Q14" s="0" t="n">
        <f aca="true">RAND()</f>
        <v>0.942716564301656</v>
      </c>
      <c r="R14" s="0" t="n">
        <f aca="false">IF($I14&lt;&gt;$O14,0,IF(P14&lt;Matchup!$B$39,7,IF(P14&lt;Matchup!$B$39+Matchup!$B$40,3,0)))</f>
        <v>0</v>
      </c>
      <c r="S14" s="0" t="n">
        <f aca="false">IF($I14&lt;&gt;$O14,0,IF(Q14&lt;Matchup!$C$39,7,IF(Q14&lt;Matchup!$C$39+Matchup!$C$40,3,0)))</f>
        <v>0</v>
      </c>
      <c r="T14" s="0" t="n">
        <f aca="false">I14+R14</f>
        <v>10</v>
      </c>
      <c r="U14" s="0" t="n">
        <f aca="false">O14+S14</f>
        <v>25</v>
      </c>
      <c r="V14" s="0" t="n">
        <f aca="false">T14-U14</f>
        <v>-15</v>
      </c>
      <c r="W14" s="0" t="n">
        <f aca="false">T14+U14</f>
        <v>35</v>
      </c>
      <c r="Y14" s="4" t="s">
        <v>230</v>
      </c>
      <c r="Z14" s="33" t="n">
        <f aca="false">MEDIAN(V4:V3003)</f>
        <v>2</v>
      </c>
    </row>
    <row r="15" customFormat="false" ht="15" hidden="false" customHeight="false" outlineLevel="0" collapsed="false">
      <c r="A15" s="0" t="n">
        <v>12</v>
      </c>
      <c r="B15" s="0" t="n">
        <f aca="true">NORMINV(RAND(),1,Coefficients!$B$22)</f>
        <v>1.01162219495886</v>
      </c>
      <c r="C15" s="0" t="n">
        <f aca="true">MEDIAN(8,16,ROUND(NORMINV(RAND(),Coefficients!$B$20,Coefficients!$B$21),0))</f>
        <v>11</v>
      </c>
      <c r="D15" s="0" t="n">
        <f aca="true">CRITBINOM($C15,MIN(0.75,Matchup!$B$39*$B15),RAND())</f>
        <v>1</v>
      </c>
      <c r="E15" s="0" t="n">
        <f aca="true">CRITBINOM(D15,Coefficients!$B$30,RAND())</f>
        <v>0</v>
      </c>
      <c r="F15" s="0" t="n">
        <f aca="true">CRITBINOM(E15,Coefficients!$B$31,RAND())</f>
        <v>0</v>
      </c>
      <c r="G15" s="0" t="n">
        <f aca="true">CRITBINOM(MAX(0,D15-E15),1-Coefficients!$B$32,RAND())</f>
        <v>0</v>
      </c>
      <c r="H15" s="0" t="n">
        <f aca="true">CRITBINOM(MAX(0,$C15-D15),MIN(0.6,Matchup!$B$40*SQRT($B15)/(1-MIN(0.75,Matchup!$B$39*$B15))),RAND())</f>
        <v>3</v>
      </c>
      <c r="I15" s="0" t="n">
        <f aca="false">6*D15+(D15-E15-G15)+2*F15+3*H15</f>
        <v>16</v>
      </c>
      <c r="J15" s="0" t="n">
        <f aca="true">CRITBINOM($C15,MIN(0.75,Matchup!$C$39*$B15),RAND())</f>
        <v>3</v>
      </c>
      <c r="K15" s="0" t="n">
        <f aca="true">CRITBINOM(J15,Coefficients!$B$30,RAND())</f>
        <v>0</v>
      </c>
      <c r="L15" s="0" t="n">
        <f aca="true">CRITBINOM(K15,Coefficients!$B$31,RAND())</f>
        <v>0</v>
      </c>
      <c r="M15" s="0" t="n">
        <f aca="true">CRITBINOM(MAX(0,J15-K15),1-Coefficients!$B$32,RAND())</f>
        <v>1</v>
      </c>
      <c r="N15" s="0" t="n">
        <f aca="true">CRITBINOM(MAX(0,$C15-J15),MIN(0.6,Matchup!$C$40*SQRT($B15)/(1-MIN(0.75,Matchup!$C$39*$B15))),RAND())</f>
        <v>2</v>
      </c>
      <c r="O15" s="0" t="n">
        <f aca="false">6*J15+(J15-K15-M15)+2*L15+3*N15</f>
        <v>26</v>
      </c>
      <c r="P15" s="0" t="n">
        <f aca="true">RAND()</f>
        <v>0.186995416501396</v>
      </c>
      <c r="Q15" s="0" t="n">
        <f aca="true">RAND()</f>
        <v>0.408772050991908</v>
      </c>
      <c r="R15" s="0" t="n">
        <f aca="false">IF($I15&lt;&gt;$O15,0,IF(P15&lt;Matchup!$B$39,7,IF(P15&lt;Matchup!$B$39+Matchup!$B$40,3,0)))</f>
        <v>0</v>
      </c>
      <c r="S15" s="0" t="n">
        <f aca="false">IF($I15&lt;&gt;$O15,0,IF(Q15&lt;Matchup!$C$39,7,IF(Q15&lt;Matchup!$C$39+Matchup!$C$40,3,0)))</f>
        <v>0</v>
      </c>
      <c r="T15" s="0" t="n">
        <f aca="false">I15+R15</f>
        <v>16</v>
      </c>
      <c r="U15" s="0" t="n">
        <f aca="false">O15+S15</f>
        <v>26</v>
      </c>
      <c r="V15" s="0" t="n">
        <f aca="false">T15-U15</f>
        <v>-10</v>
      </c>
      <c r="W15" s="0" t="n">
        <f aca="false">T15+U15</f>
        <v>42</v>
      </c>
    </row>
    <row r="16" customFormat="false" ht="15" hidden="false" customHeight="false" outlineLevel="0" collapsed="false">
      <c r="A16" s="0" t="n">
        <v>13</v>
      </c>
      <c r="B16" s="0" t="n">
        <f aca="true">NORMINV(RAND(),1,Coefficients!$B$22)</f>
        <v>0.998254044434651</v>
      </c>
      <c r="C16" s="0" t="n">
        <f aca="true">MEDIAN(8,16,ROUND(NORMINV(RAND(),Coefficients!$B$20,Coefficients!$B$21),0))</f>
        <v>10</v>
      </c>
      <c r="D16" s="0" t="n">
        <f aca="true">CRITBINOM($C16,MIN(0.75,Matchup!$B$39*$B16),RAND())</f>
        <v>6</v>
      </c>
      <c r="E16" s="0" t="n">
        <f aca="true">CRITBINOM(D16,Coefficients!$B$30,RAND())</f>
        <v>0</v>
      </c>
      <c r="F16" s="0" t="n">
        <f aca="true">CRITBINOM(E16,Coefficients!$B$31,RAND())</f>
        <v>0</v>
      </c>
      <c r="G16" s="0" t="n">
        <f aca="true">CRITBINOM(MAX(0,D16-E16),1-Coefficients!$B$32,RAND())</f>
        <v>2</v>
      </c>
      <c r="H16" s="0" t="n">
        <f aca="true">CRITBINOM(MAX(0,$C16-D16),MIN(0.6,Matchup!$B$40*SQRT($B16)/(1-MIN(0.75,Matchup!$B$39*$B16))),RAND())</f>
        <v>1</v>
      </c>
      <c r="I16" s="0" t="n">
        <f aca="false">6*D16+(D16-E16-G16)+2*F16+3*H16</f>
        <v>43</v>
      </c>
      <c r="J16" s="0" t="n">
        <f aca="true">CRITBINOM($C16,MIN(0.75,Matchup!$C$39*$B16),RAND())</f>
        <v>4</v>
      </c>
      <c r="K16" s="0" t="n">
        <f aca="true">CRITBINOM(J16,Coefficients!$B$30,RAND())</f>
        <v>0</v>
      </c>
      <c r="L16" s="0" t="n">
        <f aca="true">CRITBINOM(K16,Coefficients!$B$31,RAND())</f>
        <v>0</v>
      </c>
      <c r="M16" s="0" t="n">
        <f aca="true">CRITBINOM(MAX(0,J16-K16),1-Coefficients!$B$32,RAND())</f>
        <v>0</v>
      </c>
      <c r="N16" s="0" t="n">
        <f aca="true">CRITBINOM(MAX(0,$C16-J16),MIN(0.6,Matchup!$C$40*SQRT($B16)/(1-MIN(0.75,Matchup!$C$39*$B16))),RAND())</f>
        <v>1</v>
      </c>
      <c r="O16" s="0" t="n">
        <f aca="false">6*J16+(J16-K16-M16)+2*L16+3*N16</f>
        <v>31</v>
      </c>
      <c r="P16" s="0" t="n">
        <f aca="true">RAND()</f>
        <v>0.647250683395543</v>
      </c>
      <c r="Q16" s="0" t="n">
        <f aca="true">RAND()</f>
        <v>0.225776490462948</v>
      </c>
      <c r="R16" s="0" t="n">
        <f aca="false">IF($I16&lt;&gt;$O16,0,IF(P16&lt;Matchup!$B$39,7,IF(P16&lt;Matchup!$B$39+Matchup!$B$40,3,0)))</f>
        <v>0</v>
      </c>
      <c r="S16" s="0" t="n">
        <f aca="false">IF($I16&lt;&gt;$O16,0,IF(Q16&lt;Matchup!$C$39,7,IF(Q16&lt;Matchup!$C$39+Matchup!$C$40,3,0)))</f>
        <v>0</v>
      </c>
      <c r="T16" s="0" t="n">
        <f aca="false">I16+R16</f>
        <v>43</v>
      </c>
      <c r="U16" s="0" t="n">
        <f aca="false">O16+S16</f>
        <v>31</v>
      </c>
      <c r="V16" s="0" t="n">
        <f aca="false">T16-U16</f>
        <v>12</v>
      </c>
      <c r="W16" s="0" t="n">
        <f aca="false">T16+U16</f>
        <v>74</v>
      </c>
      <c r="Y16" s="4" t="s">
        <v>231</v>
      </c>
    </row>
    <row r="17" customFormat="false" ht="15" hidden="false" customHeight="false" outlineLevel="0" collapsed="false">
      <c r="A17" s="0" t="n">
        <v>14</v>
      </c>
      <c r="B17" s="0" t="n">
        <f aca="true">NORMINV(RAND(),1,Coefficients!$B$22)</f>
        <v>0.922663236180962</v>
      </c>
      <c r="C17" s="0" t="n">
        <f aca="true">MEDIAN(8,16,ROUND(NORMINV(RAND(),Coefficients!$B$20,Coefficients!$B$21),0))</f>
        <v>13</v>
      </c>
      <c r="D17" s="0" t="n">
        <f aca="true">CRITBINOM($C17,MIN(0.75,Matchup!$B$39*$B17),RAND())</f>
        <v>3</v>
      </c>
      <c r="E17" s="0" t="n">
        <f aca="true">CRITBINOM(D17,Coefficients!$B$30,RAND())</f>
        <v>0</v>
      </c>
      <c r="F17" s="0" t="n">
        <f aca="true">CRITBINOM(E17,Coefficients!$B$31,RAND())</f>
        <v>0</v>
      </c>
      <c r="G17" s="0" t="n">
        <f aca="true">CRITBINOM(MAX(0,D17-E17),1-Coefficients!$B$32,RAND())</f>
        <v>0</v>
      </c>
      <c r="H17" s="0" t="n">
        <f aca="true">CRITBINOM(MAX(0,$C17-D17),MIN(0.6,Matchup!$B$40*SQRT($B17)/(1-MIN(0.75,Matchup!$B$39*$B17))),RAND())</f>
        <v>3</v>
      </c>
      <c r="I17" s="0" t="n">
        <f aca="false">6*D17+(D17-E17-G17)+2*F17+3*H17</f>
        <v>30</v>
      </c>
      <c r="J17" s="0" t="n">
        <f aca="true">CRITBINOM($C17,MIN(0.75,Matchup!$C$39*$B17),RAND())</f>
        <v>2</v>
      </c>
      <c r="K17" s="0" t="n">
        <f aca="true">CRITBINOM(J17,Coefficients!$B$30,RAND())</f>
        <v>0</v>
      </c>
      <c r="L17" s="0" t="n">
        <f aca="true">CRITBINOM(K17,Coefficients!$B$31,RAND())</f>
        <v>0</v>
      </c>
      <c r="M17" s="0" t="n">
        <f aca="true">CRITBINOM(MAX(0,J17-K17),1-Coefficients!$B$32,RAND())</f>
        <v>0</v>
      </c>
      <c r="N17" s="0" t="n">
        <f aca="true">CRITBINOM(MAX(0,$C17-J17),MIN(0.6,Matchup!$C$40*SQRT($B17)/(1-MIN(0.75,Matchup!$C$39*$B17))),RAND())</f>
        <v>2</v>
      </c>
      <c r="O17" s="0" t="n">
        <f aca="false">6*J17+(J17-K17-M17)+2*L17+3*N17</f>
        <v>20</v>
      </c>
      <c r="P17" s="0" t="n">
        <f aca="true">RAND()</f>
        <v>0.491086635379298</v>
      </c>
      <c r="Q17" s="0" t="n">
        <f aca="true">RAND()</f>
        <v>0.735196640224523</v>
      </c>
      <c r="R17" s="0" t="n">
        <f aca="false">IF($I17&lt;&gt;$O17,0,IF(P17&lt;Matchup!$B$39,7,IF(P17&lt;Matchup!$B$39+Matchup!$B$40,3,0)))</f>
        <v>0</v>
      </c>
      <c r="S17" s="0" t="n">
        <f aca="false">IF($I17&lt;&gt;$O17,0,IF(Q17&lt;Matchup!$C$39,7,IF(Q17&lt;Matchup!$C$39+Matchup!$C$40,3,0)))</f>
        <v>0</v>
      </c>
      <c r="T17" s="0" t="n">
        <f aca="false">I17+R17</f>
        <v>30</v>
      </c>
      <c r="U17" s="0" t="n">
        <f aca="false">O17+S17</f>
        <v>20</v>
      </c>
      <c r="V17" s="0" t="n">
        <f aca="false">T17-U17</f>
        <v>10</v>
      </c>
      <c r="W17" s="0" t="n">
        <f aca="false">T17+U17</f>
        <v>50</v>
      </c>
      <c r="Y17" s="4" t="s">
        <v>232</v>
      </c>
      <c r="Z17" s="4" t="s">
        <v>233</v>
      </c>
      <c r="AA17" s="4" t="s">
        <v>234</v>
      </c>
    </row>
    <row r="18" customFormat="false" ht="15" hidden="false" customHeight="false" outlineLevel="0" collapsed="false">
      <c r="A18" s="0" t="n">
        <v>15</v>
      </c>
      <c r="B18" s="0" t="n">
        <f aca="true">NORMINV(RAND(),1,Coefficients!$B$22)</f>
        <v>0.951004563353508</v>
      </c>
      <c r="C18" s="0" t="n">
        <f aca="true">MEDIAN(8,16,ROUND(NORMINV(RAND(),Coefficients!$B$20,Coefficients!$B$21),0))</f>
        <v>12</v>
      </c>
      <c r="D18" s="0" t="n">
        <f aca="true">CRITBINOM($C18,MIN(0.75,Matchup!$B$39*$B18),RAND())</f>
        <v>4</v>
      </c>
      <c r="E18" s="0" t="n">
        <f aca="true">CRITBINOM(D18,Coefficients!$B$30,RAND())</f>
        <v>1</v>
      </c>
      <c r="F18" s="0" t="n">
        <f aca="true">CRITBINOM(E18,Coefficients!$B$31,RAND())</f>
        <v>1</v>
      </c>
      <c r="G18" s="0" t="n">
        <f aca="true">CRITBINOM(MAX(0,D18-E18),1-Coefficients!$B$32,RAND())</f>
        <v>0</v>
      </c>
      <c r="H18" s="0" t="n">
        <f aca="true">CRITBINOM(MAX(0,$C18-D18),MIN(0.6,Matchup!$B$40*SQRT($B18)/(1-MIN(0.75,Matchup!$B$39*$B18))),RAND())</f>
        <v>3</v>
      </c>
      <c r="I18" s="0" t="n">
        <f aca="false">6*D18+(D18-E18-G18)+2*F18+3*H18</f>
        <v>38</v>
      </c>
      <c r="J18" s="0" t="n">
        <f aca="true">CRITBINOM($C18,MIN(0.75,Matchup!$C$39*$B18),RAND())</f>
        <v>3</v>
      </c>
      <c r="K18" s="0" t="n">
        <f aca="true">CRITBINOM(J18,Coefficients!$B$30,RAND())</f>
        <v>0</v>
      </c>
      <c r="L18" s="0" t="n">
        <f aca="true">CRITBINOM(K18,Coefficients!$B$31,RAND())</f>
        <v>0</v>
      </c>
      <c r="M18" s="0" t="n">
        <f aca="true">CRITBINOM(MAX(0,J18-K18),1-Coefficients!$B$32,RAND())</f>
        <v>0</v>
      </c>
      <c r="N18" s="0" t="n">
        <f aca="true">CRITBINOM(MAX(0,$C18-J18),MIN(0.6,Matchup!$C$40*SQRT($B18)/(1-MIN(0.75,Matchup!$C$39*$B18))),RAND())</f>
        <v>1</v>
      </c>
      <c r="O18" s="0" t="n">
        <f aca="false">6*J18+(J18-K18-M18)+2*L18+3*N18</f>
        <v>24</v>
      </c>
      <c r="P18" s="0" t="n">
        <f aca="true">RAND()</f>
        <v>0.621290596839099</v>
      </c>
      <c r="Q18" s="0" t="n">
        <f aca="true">RAND()</f>
        <v>0.892524806525828</v>
      </c>
      <c r="R18" s="0" t="n">
        <f aca="false">IF($I18&lt;&gt;$O18,0,IF(P18&lt;Matchup!$B$39,7,IF(P18&lt;Matchup!$B$39+Matchup!$B$40,3,0)))</f>
        <v>0</v>
      </c>
      <c r="S18" s="0" t="n">
        <f aca="false">IF($I18&lt;&gt;$O18,0,IF(Q18&lt;Matchup!$C$39,7,IF(Q18&lt;Matchup!$C$39+Matchup!$C$40,3,0)))</f>
        <v>0</v>
      </c>
      <c r="T18" s="0" t="n">
        <f aca="false">I18+R18</f>
        <v>38</v>
      </c>
      <c r="U18" s="0" t="n">
        <f aca="false">O18+S18</f>
        <v>24</v>
      </c>
      <c r="V18" s="0" t="n">
        <f aca="false">T18-U18</f>
        <v>14</v>
      </c>
      <c r="W18" s="0" t="n">
        <f aca="false">T18+U18</f>
        <v>62</v>
      </c>
      <c r="Y18" s="3" t="n">
        <v>1</v>
      </c>
      <c r="Z18" s="35" t="n">
        <f aca="false">(COUNTIF($V$4:$V$3003,1)+COUNTIF($V$4:$V$3003,-1))/$Z$4</f>
        <v>0.0553333333333333</v>
      </c>
      <c r="AA18" s="5" t="s">
        <v>235</v>
      </c>
    </row>
    <row r="19" customFormat="false" ht="15" hidden="false" customHeight="false" outlineLevel="0" collapsed="false">
      <c r="A19" s="0" t="n">
        <v>16</v>
      </c>
      <c r="B19" s="0" t="n">
        <f aca="true">NORMINV(RAND(),1,Coefficients!$B$22)</f>
        <v>1.13511545181977</v>
      </c>
      <c r="C19" s="0" t="n">
        <f aca="true">MEDIAN(8,16,ROUND(NORMINV(RAND(),Coefficients!$B$20,Coefficients!$B$21),0))</f>
        <v>11</v>
      </c>
      <c r="D19" s="0" t="n">
        <f aca="true">CRITBINOM($C19,MIN(0.75,Matchup!$B$39*$B19),RAND())</f>
        <v>1</v>
      </c>
      <c r="E19" s="0" t="n">
        <f aca="true">CRITBINOM(D19,Coefficients!$B$30,RAND())</f>
        <v>0</v>
      </c>
      <c r="F19" s="0" t="n">
        <f aca="true">CRITBINOM(E19,Coefficients!$B$31,RAND())</f>
        <v>0</v>
      </c>
      <c r="G19" s="0" t="n">
        <f aca="true">CRITBINOM(MAX(0,D19-E19),1-Coefficients!$B$32,RAND())</f>
        <v>0</v>
      </c>
      <c r="H19" s="0" t="n">
        <f aca="true">CRITBINOM(MAX(0,$C19-D19),MIN(0.6,Matchup!$B$40*SQRT($B19)/(1-MIN(0.75,Matchup!$B$39*$B19))),RAND())</f>
        <v>2</v>
      </c>
      <c r="I19" s="0" t="n">
        <f aca="false">6*D19+(D19-E19-G19)+2*F19+3*H19</f>
        <v>13</v>
      </c>
      <c r="J19" s="0" t="n">
        <f aca="true">CRITBINOM($C19,MIN(0.75,Matchup!$C$39*$B19),RAND())</f>
        <v>1</v>
      </c>
      <c r="K19" s="0" t="n">
        <f aca="true">CRITBINOM(J19,Coefficients!$B$30,RAND())</f>
        <v>0</v>
      </c>
      <c r="L19" s="0" t="n">
        <f aca="true">CRITBINOM(K19,Coefficients!$B$31,RAND())</f>
        <v>0</v>
      </c>
      <c r="M19" s="0" t="n">
        <f aca="true">CRITBINOM(MAX(0,J19-K19),1-Coefficients!$B$32,RAND())</f>
        <v>0</v>
      </c>
      <c r="N19" s="0" t="n">
        <f aca="true">CRITBINOM(MAX(0,$C19-J19),MIN(0.6,Matchup!$C$40*SQRT($B19)/(1-MIN(0.75,Matchup!$C$39*$B19))),RAND())</f>
        <v>2</v>
      </c>
      <c r="O19" s="0" t="n">
        <f aca="false">6*J19+(J19-K19-M19)+2*L19+3*N19</f>
        <v>13</v>
      </c>
      <c r="P19" s="0" t="n">
        <f aca="true">RAND()</f>
        <v>0.918096816604868</v>
      </c>
      <c r="Q19" s="0" t="n">
        <f aca="true">RAND()</f>
        <v>0.0403674180913491</v>
      </c>
      <c r="R19" s="0" t="n">
        <f aca="false">IF($I19&lt;&gt;$O19,0,IF(P19&lt;Matchup!$B$39,7,IF(P19&lt;Matchup!$B$39+Matchup!$B$40,3,0)))</f>
        <v>0</v>
      </c>
      <c r="S19" s="0" t="n">
        <f aca="false">IF($I19&lt;&gt;$O19,0,IF(Q19&lt;Matchup!$C$39,7,IF(Q19&lt;Matchup!$C$39+Matchup!$C$40,3,0)))</f>
        <v>7</v>
      </c>
      <c r="T19" s="0" t="n">
        <f aca="false">I19+R19</f>
        <v>13</v>
      </c>
      <c r="U19" s="0" t="n">
        <f aca="false">O19+S19</f>
        <v>20</v>
      </c>
      <c r="V19" s="0" t="n">
        <f aca="false">T19-U19</f>
        <v>-7</v>
      </c>
      <c r="W19" s="0" t="n">
        <f aca="false">T19+U19</f>
        <v>33</v>
      </c>
      <c r="Y19" s="3" t="n">
        <v>3</v>
      </c>
      <c r="Z19" s="35" t="n">
        <f aca="false">(COUNTIF($V$4:$V$3003,3)+COUNTIF($V$4:$V$3003,-3))/$Z$4</f>
        <v>0.0776666666666667</v>
      </c>
      <c r="AA19" s="5" t="s">
        <v>236</v>
      </c>
    </row>
    <row r="20" customFormat="false" ht="15" hidden="false" customHeight="false" outlineLevel="0" collapsed="false">
      <c r="A20" s="0" t="n">
        <v>17</v>
      </c>
      <c r="B20" s="0" t="n">
        <f aca="true">NORMINV(RAND(),1,Coefficients!$B$22)</f>
        <v>1.00423685776505</v>
      </c>
      <c r="C20" s="0" t="n">
        <f aca="true">MEDIAN(8,16,ROUND(NORMINV(RAND(),Coefficients!$B$20,Coefficients!$B$21),0))</f>
        <v>11</v>
      </c>
      <c r="D20" s="0" t="n">
        <f aca="true">CRITBINOM($C20,MIN(0.75,Matchup!$B$39*$B20),RAND())</f>
        <v>1</v>
      </c>
      <c r="E20" s="0" t="n">
        <f aca="true">CRITBINOM(D20,Coefficients!$B$30,RAND())</f>
        <v>0</v>
      </c>
      <c r="F20" s="0" t="n">
        <f aca="true">CRITBINOM(E20,Coefficients!$B$31,RAND())</f>
        <v>0</v>
      </c>
      <c r="G20" s="0" t="n">
        <f aca="true">CRITBINOM(MAX(0,D20-E20),1-Coefficients!$B$32,RAND())</f>
        <v>0</v>
      </c>
      <c r="H20" s="0" t="n">
        <f aca="true">CRITBINOM(MAX(0,$C20-D20),MIN(0.6,Matchup!$B$40*SQRT($B20)/(1-MIN(0.75,Matchup!$B$39*$B20))),RAND())</f>
        <v>2</v>
      </c>
      <c r="I20" s="0" t="n">
        <f aca="false">6*D20+(D20-E20-G20)+2*F20+3*H20</f>
        <v>13</v>
      </c>
      <c r="J20" s="0" t="n">
        <f aca="true">CRITBINOM($C20,MIN(0.75,Matchup!$C$39*$B20),RAND())</f>
        <v>6</v>
      </c>
      <c r="K20" s="0" t="n">
        <f aca="true">CRITBINOM(J20,Coefficients!$B$30,RAND())</f>
        <v>0</v>
      </c>
      <c r="L20" s="0" t="n">
        <f aca="true">CRITBINOM(K20,Coefficients!$B$31,RAND())</f>
        <v>0</v>
      </c>
      <c r="M20" s="0" t="n">
        <f aca="true">CRITBINOM(MAX(0,J20-K20),1-Coefficients!$B$32,RAND())</f>
        <v>1</v>
      </c>
      <c r="N20" s="0" t="n">
        <f aca="true">CRITBINOM(MAX(0,$C20-J20),MIN(0.6,Matchup!$C$40*SQRT($B20)/(1-MIN(0.75,Matchup!$C$39*$B20))),RAND())</f>
        <v>1</v>
      </c>
      <c r="O20" s="0" t="n">
        <f aca="false">6*J20+(J20-K20-M20)+2*L20+3*N20</f>
        <v>44</v>
      </c>
      <c r="P20" s="0" t="n">
        <f aca="true">RAND()</f>
        <v>0.0959532693500196</v>
      </c>
      <c r="Q20" s="0" t="n">
        <f aca="true">RAND()</f>
        <v>0.970430726295202</v>
      </c>
      <c r="R20" s="0" t="n">
        <f aca="false">IF($I20&lt;&gt;$O20,0,IF(P20&lt;Matchup!$B$39,7,IF(P20&lt;Matchup!$B$39+Matchup!$B$40,3,0)))</f>
        <v>0</v>
      </c>
      <c r="S20" s="0" t="n">
        <f aca="false">IF($I20&lt;&gt;$O20,0,IF(Q20&lt;Matchup!$C$39,7,IF(Q20&lt;Matchup!$C$39+Matchup!$C$40,3,0)))</f>
        <v>0</v>
      </c>
      <c r="T20" s="0" t="n">
        <f aca="false">I20+R20</f>
        <v>13</v>
      </c>
      <c r="U20" s="0" t="n">
        <f aca="false">O20+S20</f>
        <v>44</v>
      </c>
      <c r="V20" s="0" t="n">
        <f aca="false">T20-U20</f>
        <v>-31</v>
      </c>
      <c r="W20" s="0" t="n">
        <f aca="false">T20+U20</f>
        <v>57</v>
      </c>
      <c r="Y20" s="3" t="n">
        <v>4</v>
      </c>
      <c r="Z20" s="35" t="n">
        <f aca="false">(COUNTIF($V$4:$V$3003,4)+COUNTIF($V$4:$V$3003,-4))/$Z$4</f>
        <v>0.0616666666666667</v>
      </c>
      <c r="AA20" s="5" t="s">
        <v>237</v>
      </c>
    </row>
    <row r="21" customFormat="false" ht="15" hidden="false" customHeight="false" outlineLevel="0" collapsed="false">
      <c r="A21" s="0" t="n">
        <v>18</v>
      </c>
      <c r="B21" s="0" t="n">
        <f aca="true">NORMINV(RAND(),1,Coefficients!$B$22)</f>
        <v>0.964491163280364</v>
      </c>
      <c r="C21" s="0" t="n">
        <f aca="true">MEDIAN(8,16,ROUND(NORMINV(RAND(),Coefficients!$B$20,Coefficients!$B$21),0))</f>
        <v>11</v>
      </c>
      <c r="D21" s="0" t="n">
        <f aca="true">CRITBINOM($C21,MIN(0.75,Matchup!$B$39*$B21),RAND())</f>
        <v>2</v>
      </c>
      <c r="E21" s="0" t="n">
        <f aca="true">CRITBINOM(D21,Coefficients!$B$30,RAND())</f>
        <v>1</v>
      </c>
      <c r="F21" s="0" t="n">
        <f aca="true">CRITBINOM(E21,Coefficients!$B$31,RAND())</f>
        <v>1</v>
      </c>
      <c r="G21" s="0" t="n">
        <f aca="true">CRITBINOM(MAX(0,D21-E21),1-Coefficients!$B$32,RAND())</f>
        <v>0</v>
      </c>
      <c r="H21" s="0" t="n">
        <f aca="true">CRITBINOM(MAX(0,$C21-D21),MIN(0.6,Matchup!$B$40*SQRT($B21)/(1-MIN(0.75,Matchup!$B$39*$B21))),RAND())</f>
        <v>0</v>
      </c>
      <c r="I21" s="0" t="n">
        <f aca="false">6*D21+(D21-E21-G21)+2*F21+3*H21</f>
        <v>15</v>
      </c>
      <c r="J21" s="0" t="n">
        <f aca="true">CRITBINOM($C21,MIN(0.75,Matchup!$C$39*$B21),RAND())</f>
        <v>1</v>
      </c>
      <c r="K21" s="0" t="n">
        <f aca="true">CRITBINOM(J21,Coefficients!$B$30,RAND())</f>
        <v>0</v>
      </c>
      <c r="L21" s="0" t="n">
        <f aca="true">CRITBINOM(K21,Coefficients!$B$31,RAND())</f>
        <v>0</v>
      </c>
      <c r="M21" s="0" t="n">
        <f aca="true">CRITBINOM(MAX(0,J21-K21),1-Coefficients!$B$32,RAND())</f>
        <v>0</v>
      </c>
      <c r="N21" s="0" t="n">
        <f aca="true">CRITBINOM(MAX(0,$C21-J21),MIN(0.6,Matchup!$C$40*SQRT($B21)/(1-MIN(0.75,Matchup!$C$39*$B21))),RAND())</f>
        <v>2</v>
      </c>
      <c r="O21" s="0" t="n">
        <f aca="false">6*J21+(J21-K21-M21)+2*L21+3*N21</f>
        <v>13</v>
      </c>
      <c r="P21" s="0" t="n">
        <f aca="true">RAND()</f>
        <v>0.217317489660042</v>
      </c>
      <c r="Q21" s="0" t="n">
        <f aca="true">RAND()</f>
        <v>0.250922355067426</v>
      </c>
      <c r="R21" s="0" t="n">
        <f aca="false">IF($I21&lt;&gt;$O21,0,IF(P21&lt;Matchup!$B$39,7,IF(P21&lt;Matchup!$B$39+Matchup!$B$40,3,0)))</f>
        <v>0</v>
      </c>
      <c r="S21" s="0" t="n">
        <f aca="false">IF($I21&lt;&gt;$O21,0,IF(Q21&lt;Matchup!$C$39,7,IF(Q21&lt;Matchup!$C$39+Matchup!$C$40,3,0)))</f>
        <v>0</v>
      </c>
      <c r="T21" s="0" t="n">
        <f aca="false">I21+R21</f>
        <v>15</v>
      </c>
      <c r="U21" s="0" t="n">
        <f aca="false">O21+S21</f>
        <v>13</v>
      </c>
      <c r="V21" s="0" t="n">
        <f aca="false">T21-U21</f>
        <v>2</v>
      </c>
      <c r="W21" s="0" t="n">
        <f aca="false">T21+U21</f>
        <v>28</v>
      </c>
      <c r="Y21" s="3" t="n">
        <v>6</v>
      </c>
      <c r="Z21" s="35" t="n">
        <f aca="false">(COUNTIF($V$4:$V$3003,6)+COUNTIF($V$4:$V$3003,-6))/$Z$4</f>
        <v>0.049</v>
      </c>
      <c r="AA21" s="5" t="s">
        <v>238</v>
      </c>
    </row>
    <row r="22" customFormat="false" ht="15" hidden="false" customHeight="false" outlineLevel="0" collapsed="false">
      <c r="A22" s="0" t="n">
        <v>19</v>
      </c>
      <c r="B22" s="0" t="n">
        <f aca="true">NORMINV(RAND(),1,Coefficients!$B$22)</f>
        <v>1.06225483220599</v>
      </c>
      <c r="C22" s="0" t="n">
        <f aca="true">MEDIAN(8,16,ROUND(NORMINV(RAND(),Coefficients!$B$20,Coefficients!$B$21),0))</f>
        <v>11</v>
      </c>
      <c r="D22" s="0" t="n">
        <f aca="true">CRITBINOM($C22,MIN(0.75,Matchup!$B$39*$B22),RAND())</f>
        <v>4</v>
      </c>
      <c r="E22" s="0" t="n">
        <f aca="true">CRITBINOM(D22,Coefficients!$B$30,RAND())</f>
        <v>2</v>
      </c>
      <c r="F22" s="0" t="n">
        <f aca="true">CRITBINOM(E22,Coefficients!$B$31,RAND())</f>
        <v>1</v>
      </c>
      <c r="G22" s="0" t="n">
        <f aca="true">CRITBINOM(MAX(0,D22-E22),1-Coefficients!$B$32,RAND())</f>
        <v>0</v>
      </c>
      <c r="H22" s="0" t="n">
        <f aca="true">CRITBINOM(MAX(0,$C22-D22),MIN(0.6,Matchup!$B$40*SQRT($B22)/(1-MIN(0.75,Matchup!$B$39*$B22))),RAND())</f>
        <v>1</v>
      </c>
      <c r="I22" s="0" t="n">
        <f aca="false">6*D22+(D22-E22-G22)+2*F22+3*H22</f>
        <v>31</v>
      </c>
      <c r="J22" s="0" t="n">
        <f aca="true">CRITBINOM($C22,MIN(0.75,Matchup!$C$39*$B22),RAND())</f>
        <v>4</v>
      </c>
      <c r="K22" s="0" t="n">
        <f aca="true">CRITBINOM(J22,Coefficients!$B$30,RAND())</f>
        <v>0</v>
      </c>
      <c r="L22" s="0" t="n">
        <f aca="true">CRITBINOM(K22,Coefficients!$B$31,RAND())</f>
        <v>0</v>
      </c>
      <c r="M22" s="0" t="n">
        <f aca="true">CRITBINOM(MAX(0,J22-K22),1-Coefficients!$B$32,RAND())</f>
        <v>1</v>
      </c>
      <c r="N22" s="0" t="n">
        <f aca="true">CRITBINOM(MAX(0,$C22-J22),MIN(0.6,Matchup!$C$40*SQRT($B22)/(1-MIN(0.75,Matchup!$C$39*$B22))),RAND())</f>
        <v>2</v>
      </c>
      <c r="O22" s="0" t="n">
        <f aca="false">6*J22+(J22-K22-M22)+2*L22+3*N22</f>
        <v>33</v>
      </c>
      <c r="P22" s="0" t="n">
        <f aca="true">RAND()</f>
        <v>0.0828845983279344</v>
      </c>
      <c r="Q22" s="0" t="n">
        <f aca="true">RAND()</f>
        <v>0.320964351477722</v>
      </c>
      <c r="R22" s="0" t="n">
        <f aca="false">IF($I22&lt;&gt;$O22,0,IF(P22&lt;Matchup!$B$39,7,IF(P22&lt;Matchup!$B$39+Matchup!$B$40,3,0)))</f>
        <v>0</v>
      </c>
      <c r="S22" s="0" t="n">
        <f aca="false">IF($I22&lt;&gt;$O22,0,IF(Q22&lt;Matchup!$C$39,7,IF(Q22&lt;Matchup!$C$39+Matchup!$C$40,3,0)))</f>
        <v>0</v>
      </c>
      <c r="T22" s="0" t="n">
        <f aca="false">I22+R22</f>
        <v>31</v>
      </c>
      <c r="U22" s="0" t="n">
        <f aca="false">O22+S22</f>
        <v>33</v>
      </c>
      <c r="V22" s="0" t="n">
        <f aca="false">T22-U22</f>
        <v>-2</v>
      </c>
      <c r="W22" s="0" t="n">
        <f aca="false">T22+U22</f>
        <v>64</v>
      </c>
      <c r="Y22" s="3" t="n">
        <v>7</v>
      </c>
      <c r="Z22" s="35" t="n">
        <f aca="false">(COUNTIF($V$4:$V$3003,7)+COUNTIF($V$4:$V$3003,-7))/$Z$4</f>
        <v>0.0793333333333333</v>
      </c>
      <c r="AA22" s="5" t="s">
        <v>239</v>
      </c>
    </row>
    <row r="23" customFormat="false" ht="15" hidden="false" customHeight="false" outlineLevel="0" collapsed="false">
      <c r="A23" s="0" t="n">
        <v>20</v>
      </c>
      <c r="B23" s="0" t="n">
        <f aca="true">NORMINV(RAND(),1,Coefficients!$B$22)</f>
        <v>0.937096196517158</v>
      </c>
      <c r="C23" s="0" t="n">
        <f aca="true">MEDIAN(8,16,ROUND(NORMINV(RAND(),Coefficients!$B$20,Coefficients!$B$21),0))</f>
        <v>11</v>
      </c>
      <c r="D23" s="0" t="n">
        <f aca="true">CRITBINOM($C23,MIN(0.75,Matchup!$B$39*$B23),RAND())</f>
        <v>3</v>
      </c>
      <c r="E23" s="0" t="n">
        <f aca="true">CRITBINOM(D23,Coefficients!$B$30,RAND())</f>
        <v>1</v>
      </c>
      <c r="F23" s="0" t="n">
        <f aca="true">CRITBINOM(E23,Coefficients!$B$31,RAND())</f>
        <v>0</v>
      </c>
      <c r="G23" s="0" t="n">
        <f aca="true">CRITBINOM(MAX(0,D23-E23),1-Coefficients!$B$32,RAND())</f>
        <v>0</v>
      </c>
      <c r="H23" s="0" t="n">
        <f aca="true">CRITBINOM(MAX(0,$C23-D23),MIN(0.6,Matchup!$B$40*SQRT($B23)/(1-MIN(0.75,Matchup!$B$39*$B23))),RAND())</f>
        <v>1</v>
      </c>
      <c r="I23" s="0" t="n">
        <f aca="false">6*D23+(D23-E23-G23)+2*F23+3*H23</f>
        <v>23</v>
      </c>
      <c r="J23" s="0" t="n">
        <f aca="true">CRITBINOM($C23,MIN(0.75,Matchup!$C$39*$B23),RAND())</f>
        <v>2</v>
      </c>
      <c r="K23" s="0" t="n">
        <f aca="true">CRITBINOM(J23,Coefficients!$B$30,RAND())</f>
        <v>1</v>
      </c>
      <c r="L23" s="0" t="n">
        <f aca="true">CRITBINOM(K23,Coefficients!$B$31,RAND())</f>
        <v>0</v>
      </c>
      <c r="M23" s="0" t="n">
        <f aca="true">CRITBINOM(MAX(0,J23-K23),1-Coefficients!$B$32,RAND())</f>
        <v>0</v>
      </c>
      <c r="N23" s="0" t="n">
        <f aca="true">CRITBINOM(MAX(0,$C23-J23),MIN(0.6,Matchup!$C$40*SQRT($B23)/(1-MIN(0.75,Matchup!$C$39*$B23))),RAND())</f>
        <v>1</v>
      </c>
      <c r="O23" s="0" t="n">
        <f aca="false">6*J23+(J23-K23-M23)+2*L23+3*N23</f>
        <v>16</v>
      </c>
      <c r="P23" s="0" t="n">
        <f aca="true">RAND()</f>
        <v>0.48539495785402</v>
      </c>
      <c r="Q23" s="0" t="n">
        <f aca="true">RAND()</f>
        <v>0.0891980654679092</v>
      </c>
      <c r="R23" s="0" t="n">
        <f aca="false">IF($I23&lt;&gt;$O23,0,IF(P23&lt;Matchup!$B$39,7,IF(P23&lt;Matchup!$B$39+Matchup!$B$40,3,0)))</f>
        <v>0</v>
      </c>
      <c r="S23" s="0" t="n">
        <f aca="false">IF($I23&lt;&gt;$O23,0,IF(Q23&lt;Matchup!$C$39,7,IF(Q23&lt;Matchup!$C$39+Matchup!$C$40,3,0)))</f>
        <v>0</v>
      </c>
      <c r="T23" s="0" t="n">
        <f aca="false">I23+R23</f>
        <v>23</v>
      </c>
      <c r="U23" s="0" t="n">
        <f aca="false">O23+S23</f>
        <v>16</v>
      </c>
      <c r="V23" s="0" t="n">
        <f aca="false">T23-U23</f>
        <v>7</v>
      </c>
      <c r="W23" s="0" t="n">
        <f aca="false">T23+U23</f>
        <v>39</v>
      </c>
      <c r="Y23" s="3" t="n">
        <v>10</v>
      </c>
      <c r="Z23" s="35" t="n">
        <f aca="false">(COUNTIF($V$4:$V$3003,10)+COUNTIF($V$4:$V$3003,-10))/$Z$4</f>
        <v>0.065</v>
      </c>
      <c r="AA23" s="5" t="s">
        <v>240</v>
      </c>
    </row>
    <row r="24" customFormat="false" ht="15" hidden="false" customHeight="false" outlineLevel="0" collapsed="false">
      <c r="A24" s="0" t="n">
        <v>21</v>
      </c>
      <c r="B24" s="0" t="n">
        <f aca="true">NORMINV(RAND(),1,Coefficients!$B$22)</f>
        <v>0.917480440425678</v>
      </c>
      <c r="C24" s="0" t="n">
        <f aca="true">MEDIAN(8,16,ROUND(NORMINV(RAND(),Coefficients!$B$20,Coefficients!$B$21),0))</f>
        <v>13</v>
      </c>
      <c r="D24" s="0" t="n">
        <f aca="true">CRITBINOM($C24,MIN(0.75,Matchup!$B$39*$B24),RAND())</f>
        <v>4</v>
      </c>
      <c r="E24" s="0" t="n">
        <f aca="true">CRITBINOM(D24,Coefficients!$B$30,RAND())</f>
        <v>0</v>
      </c>
      <c r="F24" s="0" t="n">
        <f aca="true">CRITBINOM(E24,Coefficients!$B$31,RAND())</f>
        <v>0</v>
      </c>
      <c r="G24" s="0" t="n">
        <f aca="true">CRITBINOM(MAX(0,D24-E24),1-Coefficients!$B$32,RAND())</f>
        <v>0</v>
      </c>
      <c r="H24" s="0" t="n">
        <f aca="true">CRITBINOM(MAX(0,$C24-D24),MIN(0.6,Matchup!$B$40*SQRT($B24)/(1-MIN(0.75,Matchup!$B$39*$B24))),RAND())</f>
        <v>5</v>
      </c>
      <c r="I24" s="0" t="n">
        <f aca="false">6*D24+(D24-E24-G24)+2*F24+3*H24</f>
        <v>43</v>
      </c>
      <c r="J24" s="0" t="n">
        <f aca="true">CRITBINOM($C24,MIN(0.75,Matchup!$C$39*$B24),RAND())</f>
        <v>2</v>
      </c>
      <c r="K24" s="0" t="n">
        <f aca="true">CRITBINOM(J24,Coefficients!$B$30,RAND())</f>
        <v>0</v>
      </c>
      <c r="L24" s="0" t="n">
        <f aca="true">CRITBINOM(K24,Coefficients!$B$31,RAND())</f>
        <v>0</v>
      </c>
      <c r="M24" s="0" t="n">
        <f aca="true">CRITBINOM(MAX(0,J24-K24),1-Coefficients!$B$32,RAND())</f>
        <v>0</v>
      </c>
      <c r="N24" s="0" t="n">
        <f aca="true">CRITBINOM(MAX(0,$C24-J24),MIN(0.6,Matchup!$C$40*SQRT($B24)/(1-MIN(0.75,Matchup!$C$39*$B24))),RAND())</f>
        <v>1</v>
      </c>
      <c r="O24" s="0" t="n">
        <f aca="false">6*J24+(J24-K24-M24)+2*L24+3*N24</f>
        <v>17</v>
      </c>
      <c r="P24" s="0" t="n">
        <f aca="true">RAND()</f>
        <v>0.755830008961449</v>
      </c>
      <c r="Q24" s="0" t="n">
        <f aca="true">RAND()</f>
        <v>0.0826798109534269</v>
      </c>
      <c r="R24" s="0" t="n">
        <f aca="false">IF($I24&lt;&gt;$O24,0,IF(P24&lt;Matchup!$B$39,7,IF(P24&lt;Matchup!$B$39+Matchup!$B$40,3,0)))</f>
        <v>0</v>
      </c>
      <c r="S24" s="0" t="n">
        <f aca="false">IF($I24&lt;&gt;$O24,0,IF(Q24&lt;Matchup!$C$39,7,IF(Q24&lt;Matchup!$C$39+Matchup!$C$40,3,0)))</f>
        <v>0</v>
      </c>
      <c r="T24" s="0" t="n">
        <f aca="false">I24+R24</f>
        <v>43</v>
      </c>
      <c r="U24" s="0" t="n">
        <f aca="false">O24+S24</f>
        <v>17</v>
      </c>
      <c r="V24" s="0" t="n">
        <f aca="false">T24-U24</f>
        <v>26</v>
      </c>
      <c r="W24" s="0" t="n">
        <f aca="false">T24+U24</f>
        <v>60</v>
      </c>
      <c r="Y24" s="3" t="n">
        <v>14</v>
      </c>
      <c r="Z24" s="35" t="n">
        <f aca="false">(COUNTIF($V$4:$V$3003,14)+COUNTIF($V$4:$V$3003,-14))/$Z$4</f>
        <v>0.0433333333333333</v>
      </c>
      <c r="AA24" s="5" t="s">
        <v>241</v>
      </c>
    </row>
    <row r="25" customFormat="false" ht="15" hidden="false" customHeight="false" outlineLevel="0" collapsed="false">
      <c r="A25" s="0" t="n">
        <v>22</v>
      </c>
      <c r="B25" s="0" t="n">
        <f aca="true">NORMINV(RAND(),1,Coefficients!$B$22)</f>
        <v>1.06247850047758</v>
      </c>
      <c r="C25" s="0" t="n">
        <f aca="true">MEDIAN(8,16,ROUND(NORMINV(RAND(),Coefficients!$B$20,Coefficients!$B$21),0))</f>
        <v>8</v>
      </c>
      <c r="D25" s="0" t="n">
        <f aca="true">CRITBINOM($C25,MIN(0.75,Matchup!$B$39*$B25),RAND())</f>
        <v>2</v>
      </c>
      <c r="E25" s="0" t="n">
        <f aca="true">CRITBINOM(D25,Coefficients!$B$30,RAND())</f>
        <v>0</v>
      </c>
      <c r="F25" s="0" t="n">
        <f aca="true">CRITBINOM(E25,Coefficients!$B$31,RAND())</f>
        <v>0</v>
      </c>
      <c r="G25" s="0" t="n">
        <f aca="true">CRITBINOM(MAX(0,D25-E25),1-Coefficients!$B$32,RAND())</f>
        <v>0</v>
      </c>
      <c r="H25" s="0" t="n">
        <f aca="true">CRITBINOM(MAX(0,$C25-D25),MIN(0.6,Matchup!$B$40*SQRT($B25)/(1-MIN(0.75,Matchup!$B$39*$B25))),RAND())</f>
        <v>2</v>
      </c>
      <c r="I25" s="0" t="n">
        <f aca="false">6*D25+(D25-E25-G25)+2*F25+3*H25</f>
        <v>20</v>
      </c>
      <c r="J25" s="0" t="n">
        <f aca="true">CRITBINOM($C25,MIN(0.75,Matchup!$C$39*$B25),RAND())</f>
        <v>0</v>
      </c>
      <c r="K25" s="0" t="n">
        <f aca="true">CRITBINOM(J25,Coefficients!$B$30,RAND())</f>
        <v>0</v>
      </c>
      <c r="L25" s="0" t="n">
        <f aca="true">CRITBINOM(K25,Coefficients!$B$31,RAND())</f>
        <v>0</v>
      </c>
      <c r="M25" s="0" t="n">
        <f aca="true">CRITBINOM(MAX(0,J25-K25),1-Coefficients!$B$32,RAND())</f>
        <v>0</v>
      </c>
      <c r="N25" s="0" t="n">
        <f aca="true">CRITBINOM(MAX(0,$C25-J25),MIN(0.6,Matchup!$C$40*SQRT($B25)/(1-MIN(0.75,Matchup!$C$39*$B25))),RAND())</f>
        <v>1</v>
      </c>
      <c r="O25" s="0" t="n">
        <f aca="false">6*J25+(J25-K25-M25)+2*L25+3*N25</f>
        <v>3</v>
      </c>
      <c r="P25" s="0" t="n">
        <f aca="true">RAND()</f>
        <v>0.375997497615644</v>
      </c>
      <c r="Q25" s="0" t="n">
        <f aca="true">RAND()</f>
        <v>0.953462102514533</v>
      </c>
      <c r="R25" s="0" t="n">
        <f aca="false">IF($I25&lt;&gt;$O25,0,IF(P25&lt;Matchup!$B$39,7,IF(P25&lt;Matchup!$B$39+Matchup!$B$40,3,0)))</f>
        <v>0</v>
      </c>
      <c r="S25" s="0" t="n">
        <f aca="false">IF($I25&lt;&gt;$O25,0,IF(Q25&lt;Matchup!$C$39,7,IF(Q25&lt;Matchup!$C$39+Matchup!$C$40,3,0)))</f>
        <v>0</v>
      </c>
      <c r="T25" s="0" t="n">
        <f aca="false">I25+R25</f>
        <v>20</v>
      </c>
      <c r="U25" s="0" t="n">
        <f aca="false">O25+S25</f>
        <v>3</v>
      </c>
      <c r="V25" s="0" t="n">
        <f aca="false">T25-U25</f>
        <v>17</v>
      </c>
      <c r="W25" s="0" t="n">
        <f aca="false">T25+U25</f>
        <v>23</v>
      </c>
      <c r="Y25" s="3" t="n">
        <v>17</v>
      </c>
      <c r="Z25" s="35" t="n">
        <f aca="false">(COUNTIF($V$4:$V$3003,17)+COUNTIF($V$4:$V$3003,-17))/$Z$4</f>
        <v>0.0323333333333333</v>
      </c>
      <c r="AA25" s="5" t="s">
        <v>242</v>
      </c>
    </row>
    <row r="26" customFormat="false" ht="15" hidden="false" customHeight="false" outlineLevel="0" collapsed="false">
      <c r="A26" s="0" t="n">
        <v>23</v>
      </c>
      <c r="B26" s="0" t="n">
        <f aca="true">NORMINV(RAND(),1,Coefficients!$B$22)</f>
        <v>0.956369459693252</v>
      </c>
      <c r="C26" s="0" t="n">
        <f aca="true">MEDIAN(8,16,ROUND(NORMINV(RAND(),Coefficients!$B$20,Coefficients!$B$21),0))</f>
        <v>11</v>
      </c>
      <c r="D26" s="0" t="n">
        <f aca="true">CRITBINOM($C26,MIN(0.75,Matchup!$B$39*$B26),RAND())</f>
        <v>4</v>
      </c>
      <c r="E26" s="0" t="n">
        <f aca="true">CRITBINOM(D26,Coefficients!$B$30,RAND())</f>
        <v>0</v>
      </c>
      <c r="F26" s="0" t="n">
        <f aca="true">CRITBINOM(E26,Coefficients!$B$31,RAND())</f>
        <v>0</v>
      </c>
      <c r="G26" s="0" t="n">
        <f aca="true">CRITBINOM(MAX(0,D26-E26),1-Coefficients!$B$32,RAND())</f>
        <v>0</v>
      </c>
      <c r="H26" s="0" t="n">
        <f aca="true">CRITBINOM(MAX(0,$C26-D26),MIN(0.6,Matchup!$B$40*SQRT($B26)/(1-MIN(0.75,Matchup!$B$39*$B26))),RAND())</f>
        <v>3</v>
      </c>
      <c r="I26" s="0" t="n">
        <f aca="false">6*D26+(D26-E26-G26)+2*F26+3*H26</f>
        <v>37</v>
      </c>
      <c r="J26" s="0" t="n">
        <f aca="true">CRITBINOM($C26,MIN(0.75,Matchup!$C$39*$B26),RAND())</f>
        <v>2</v>
      </c>
      <c r="K26" s="0" t="n">
        <f aca="true">CRITBINOM(J26,Coefficients!$B$30,RAND())</f>
        <v>0</v>
      </c>
      <c r="L26" s="0" t="n">
        <f aca="true">CRITBINOM(K26,Coefficients!$B$31,RAND())</f>
        <v>0</v>
      </c>
      <c r="M26" s="0" t="n">
        <f aca="true">CRITBINOM(MAX(0,J26-K26),1-Coefficients!$B$32,RAND())</f>
        <v>0</v>
      </c>
      <c r="N26" s="0" t="n">
        <f aca="true">CRITBINOM(MAX(0,$C26-J26),MIN(0.6,Matchup!$C$40*SQRT($B26)/(1-MIN(0.75,Matchup!$C$39*$B26))),RAND())</f>
        <v>3</v>
      </c>
      <c r="O26" s="0" t="n">
        <f aca="false">6*J26+(J26-K26-M26)+2*L26+3*N26</f>
        <v>23</v>
      </c>
      <c r="P26" s="0" t="n">
        <f aca="true">RAND()</f>
        <v>0.591606001855926</v>
      </c>
      <c r="Q26" s="0" t="n">
        <f aca="true">RAND()</f>
        <v>0.787238800772758</v>
      </c>
      <c r="R26" s="0" t="n">
        <f aca="false">IF($I26&lt;&gt;$O26,0,IF(P26&lt;Matchup!$B$39,7,IF(P26&lt;Matchup!$B$39+Matchup!$B$40,3,0)))</f>
        <v>0</v>
      </c>
      <c r="S26" s="0" t="n">
        <f aca="false">IF($I26&lt;&gt;$O26,0,IF(Q26&lt;Matchup!$C$39,7,IF(Q26&lt;Matchup!$C$39+Matchup!$C$40,3,0)))</f>
        <v>0</v>
      </c>
      <c r="T26" s="0" t="n">
        <f aca="false">I26+R26</f>
        <v>37</v>
      </c>
      <c r="U26" s="0" t="n">
        <f aca="false">O26+S26</f>
        <v>23</v>
      </c>
      <c r="V26" s="0" t="n">
        <f aca="false">T26-U26</f>
        <v>14</v>
      </c>
      <c r="W26" s="0" t="n">
        <f aca="false">T26+U26</f>
        <v>60</v>
      </c>
    </row>
    <row r="27" customFormat="false" ht="15" hidden="false" customHeight="false" outlineLevel="0" collapsed="false">
      <c r="A27" s="0" t="n">
        <v>24</v>
      </c>
      <c r="B27" s="0" t="n">
        <f aca="true">NORMINV(RAND(),1,Coefficients!$B$22)</f>
        <v>0.976442420927364</v>
      </c>
      <c r="C27" s="0" t="n">
        <f aca="true">MEDIAN(8,16,ROUND(NORMINV(RAND(),Coefficients!$B$20,Coefficients!$B$21),0))</f>
        <v>11</v>
      </c>
      <c r="D27" s="0" t="n">
        <f aca="true">CRITBINOM($C27,MIN(0.75,Matchup!$B$39*$B27),RAND())</f>
        <v>2</v>
      </c>
      <c r="E27" s="0" t="n">
        <f aca="true">CRITBINOM(D27,Coefficients!$B$30,RAND())</f>
        <v>0</v>
      </c>
      <c r="F27" s="0" t="n">
        <f aca="true">CRITBINOM(E27,Coefficients!$B$31,RAND())</f>
        <v>0</v>
      </c>
      <c r="G27" s="0" t="n">
        <f aca="true">CRITBINOM(MAX(0,D27-E27),1-Coefficients!$B$32,RAND())</f>
        <v>1</v>
      </c>
      <c r="H27" s="0" t="n">
        <f aca="true">CRITBINOM(MAX(0,$C27-D27),MIN(0.6,Matchup!$B$40*SQRT($B27)/(1-MIN(0.75,Matchup!$B$39*$B27))),RAND())</f>
        <v>1</v>
      </c>
      <c r="I27" s="0" t="n">
        <f aca="false">6*D27+(D27-E27-G27)+2*F27+3*H27</f>
        <v>16</v>
      </c>
      <c r="J27" s="0" t="n">
        <f aca="true">CRITBINOM($C27,MIN(0.75,Matchup!$C$39*$B27),RAND())</f>
        <v>1</v>
      </c>
      <c r="K27" s="0" t="n">
        <f aca="true">CRITBINOM(J27,Coefficients!$B$30,RAND())</f>
        <v>0</v>
      </c>
      <c r="L27" s="0" t="n">
        <f aca="true">CRITBINOM(K27,Coefficients!$B$31,RAND())</f>
        <v>0</v>
      </c>
      <c r="M27" s="0" t="n">
        <f aca="true">CRITBINOM(MAX(0,J27-K27),1-Coefficients!$B$32,RAND())</f>
        <v>0</v>
      </c>
      <c r="N27" s="0" t="n">
        <f aca="true">CRITBINOM(MAX(0,$C27-J27),MIN(0.6,Matchup!$C$40*SQRT($B27)/(1-MIN(0.75,Matchup!$C$39*$B27))),RAND())</f>
        <v>1</v>
      </c>
      <c r="O27" s="0" t="n">
        <f aca="false">6*J27+(J27-K27-M27)+2*L27+3*N27</f>
        <v>10</v>
      </c>
      <c r="P27" s="0" t="n">
        <f aca="true">RAND()</f>
        <v>0.536425333759776</v>
      </c>
      <c r="Q27" s="0" t="n">
        <f aca="true">RAND()</f>
        <v>0.416856245610343</v>
      </c>
      <c r="R27" s="0" t="n">
        <f aca="false">IF($I27&lt;&gt;$O27,0,IF(P27&lt;Matchup!$B$39,7,IF(P27&lt;Matchup!$B$39+Matchup!$B$40,3,0)))</f>
        <v>0</v>
      </c>
      <c r="S27" s="0" t="n">
        <f aca="false">IF($I27&lt;&gt;$O27,0,IF(Q27&lt;Matchup!$C$39,7,IF(Q27&lt;Matchup!$C$39+Matchup!$C$40,3,0)))</f>
        <v>0</v>
      </c>
      <c r="T27" s="0" t="n">
        <f aca="false">I27+R27</f>
        <v>16</v>
      </c>
      <c r="U27" s="0" t="n">
        <f aca="false">O27+S27</f>
        <v>10</v>
      </c>
      <c r="V27" s="0" t="n">
        <f aca="false">T27-U27</f>
        <v>6</v>
      </c>
      <c r="W27" s="0" t="n">
        <f aca="false">T27+U27</f>
        <v>26</v>
      </c>
      <c r="Y27" s="5" t="s">
        <v>243</v>
      </c>
    </row>
    <row r="28" customFormat="false" ht="15" hidden="false" customHeight="false" outlineLevel="0" collapsed="false">
      <c r="A28" s="0" t="n">
        <v>25</v>
      </c>
      <c r="B28" s="0" t="n">
        <f aca="true">NORMINV(RAND(),1,Coefficients!$B$22)</f>
        <v>1.09138198692247</v>
      </c>
      <c r="C28" s="0" t="n">
        <f aca="true">MEDIAN(8,16,ROUND(NORMINV(RAND(),Coefficients!$B$20,Coefficients!$B$21),0))</f>
        <v>11</v>
      </c>
      <c r="D28" s="0" t="n">
        <f aca="true">CRITBINOM($C28,MIN(0.75,Matchup!$B$39*$B28),RAND())</f>
        <v>3</v>
      </c>
      <c r="E28" s="0" t="n">
        <f aca="true">CRITBINOM(D28,Coefficients!$B$30,RAND())</f>
        <v>1</v>
      </c>
      <c r="F28" s="0" t="n">
        <f aca="true">CRITBINOM(E28,Coefficients!$B$31,RAND())</f>
        <v>1</v>
      </c>
      <c r="G28" s="0" t="n">
        <f aca="true">CRITBINOM(MAX(0,D28-E28),1-Coefficients!$B$32,RAND())</f>
        <v>0</v>
      </c>
      <c r="H28" s="0" t="n">
        <f aca="true">CRITBINOM(MAX(0,$C28-D28),MIN(0.6,Matchup!$B$40*SQRT($B28)/(1-MIN(0.75,Matchup!$B$39*$B28))),RAND())</f>
        <v>0</v>
      </c>
      <c r="I28" s="0" t="n">
        <f aca="false">6*D28+(D28-E28-G28)+2*F28+3*H28</f>
        <v>22</v>
      </c>
      <c r="J28" s="0" t="n">
        <f aca="true">CRITBINOM($C28,MIN(0.75,Matchup!$C$39*$B28),RAND())</f>
        <v>2</v>
      </c>
      <c r="K28" s="0" t="n">
        <f aca="true">CRITBINOM(J28,Coefficients!$B$30,RAND())</f>
        <v>1</v>
      </c>
      <c r="L28" s="0" t="n">
        <f aca="true">CRITBINOM(K28,Coefficients!$B$31,RAND())</f>
        <v>1</v>
      </c>
      <c r="M28" s="0" t="n">
        <f aca="true">CRITBINOM(MAX(0,J28-K28),1-Coefficients!$B$32,RAND())</f>
        <v>0</v>
      </c>
      <c r="N28" s="0" t="n">
        <f aca="true">CRITBINOM(MAX(0,$C28-J28),MIN(0.6,Matchup!$C$40*SQRT($B28)/(1-MIN(0.75,Matchup!$C$39*$B28))),RAND())</f>
        <v>1</v>
      </c>
      <c r="O28" s="0" t="n">
        <f aca="false">6*J28+(J28-K28-M28)+2*L28+3*N28</f>
        <v>18</v>
      </c>
      <c r="P28" s="0" t="n">
        <f aca="true">RAND()</f>
        <v>0.365914353041182</v>
      </c>
      <c r="Q28" s="0" t="n">
        <f aca="true">RAND()</f>
        <v>0.194842122124758</v>
      </c>
      <c r="R28" s="0" t="n">
        <f aca="false">IF($I28&lt;&gt;$O28,0,IF(P28&lt;Matchup!$B$39,7,IF(P28&lt;Matchup!$B$39+Matchup!$B$40,3,0)))</f>
        <v>0</v>
      </c>
      <c r="S28" s="0" t="n">
        <f aca="false">IF($I28&lt;&gt;$O28,0,IF(Q28&lt;Matchup!$C$39,7,IF(Q28&lt;Matchup!$C$39+Matchup!$C$40,3,0)))</f>
        <v>0</v>
      </c>
      <c r="T28" s="0" t="n">
        <f aca="false">I28+R28</f>
        <v>22</v>
      </c>
      <c r="U28" s="0" t="n">
        <f aca="false">O28+S28</f>
        <v>18</v>
      </c>
      <c r="V28" s="0" t="n">
        <f aca="false">T28-U28</f>
        <v>4</v>
      </c>
      <c r="W28" s="0" t="n">
        <f aca="false">T28+U28</f>
        <v>40</v>
      </c>
    </row>
    <row r="29" customFormat="false" ht="15" hidden="false" customHeight="false" outlineLevel="0" collapsed="false">
      <c r="A29" s="0" t="n">
        <v>26</v>
      </c>
      <c r="B29" s="0" t="n">
        <f aca="true">NORMINV(RAND(),1,Coefficients!$B$22)</f>
        <v>1.0181572880477</v>
      </c>
      <c r="C29" s="0" t="n">
        <f aca="true">MEDIAN(8,16,ROUND(NORMINV(RAND(),Coefficients!$B$20,Coefficients!$B$21),0))</f>
        <v>11</v>
      </c>
      <c r="D29" s="0" t="n">
        <f aca="true">CRITBINOM($C29,MIN(0.75,Matchup!$B$39*$B29),RAND())</f>
        <v>3</v>
      </c>
      <c r="E29" s="0" t="n">
        <f aca="true">CRITBINOM(D29,Coefficients!$B$30,RAND())</f>
        <v>0</v>
      </c>
      <c r="F29" s="0" t="n">
        <f aca="true">CRITBINOM(E29,Coefficients!$B$31,RAND())</f>
        <v>0</v>
      </c>
      <c r="G29" s="0" t="n">
        <f aca="true">CRITBINOM(MAX(0,D29-E29),1-Coefficients!$B$32,RAND())</f>
        <v>0</v>
      </c>
      <c r="H29" s="0" t="n">
        <f aca="true">CRITBINOM(MAX(0,$C29-D29),MIN(0.6,Matchup!$B$40*SQRT($B29)/(1-MIN(0.75,Matchup!$B$39*$B29))),RAND())</f>
        <v>1</v>
      </c>
      <c r="I29" s="0" t="n">
        <f aca="false">6*D29+(D29-E29-G29)+2*F29+3*H29</f>
        <v>24</v>
      </c>
      <c r="J29" s="0" t="n">
        <f aca="true">CRITBINOM($C29,MIN(0.75,Matchup!$C$39*$B29),RAND())</f>
        <v>0</v>
      </c>
      <c r="K29" s="0" t="n">
        <f aca="true">CRITBINOM(J29,Coefficients!$B$30,RAND())</f>
        <v>0</v>
      </c>
      <c r="L29" s="0" t="n">
        <f aca="true">CRITBINOM(K29,Coefficients!$B$31,RAND())</f>
        <v>0</v>
      </c>
      <c r="M29" s="0" t="n">
        <f aca="true">CRITBINOM(MAX(0,J29-K29),1-Coefficients!$B$32,RAND())</f>
        <v>0</v>
      </c>
      <c r="N29" s="0" t="n">
        <f aca="true">CRITBINOM(MAX(0,$C29-J29),MIN(0.6,Matchup!$C$40*SQRT($B29)/(1-MIN(0.75,Matchup!$C$39*$B29))),RAND())</f>
        <v>2</v>
      </c>
      <c r="O29" s="0" t="n">
        <f aca="false">6*J29+(J29-K29-M29)+2*L29+3*N29</f>
        <v>6</v>
      </c>
      <c r="P29" s="0" t="n">
        <f aca="true">RAND()</f>
        <v>0.745158650853935</v>
      </c>
      <c r="Q29" s="0" t="n">
        <f aca="true">RAND()</f>
        <v>0.202434842728306</v>
      </c>
      <c r="R29" s="0" t="n">
        <f aca="false">IF($I29&lt;&gt;$O29,0,IF(P29&lt;Matchup!$B$39,7,IF(P29&lt;Matchup!$B$39+Matchup!$B$40,3,0)))</f>
        <v>0</v>
      </c>
      <c r="S29" s="0" t="n">
        <f aca="false">IF($I29&lt;&gt;$O29,0,IF(Q29&lt;Matchup!$C$39,7,IF(Q29&lt;Matchup!$C$39+Matchup!$C$40,3,0)))</f>
        <v>0</v>
      </c>
      <c r="T29" s="0" t="n">
        <f aca="false">I29+R29</f>
        <v>24</v>
      </c>
      <c r="U29" s="0" t="n">
        <f aca="false">O29+S29</f>
        <v>6</v>
      </c>
      <c r="V29" s="0" t="n">
        <f aca="false">T29-U29</f>
        <v>18</v>
      </c>
      <c r="W29" s="0" t="n">
        <f aca="false">T29+U29</f>
        <v>30</v>
      </c>
    </row>
    <row r="30" customFormat="false" ht="15" hidden="false" customHeight="false" outlineLevel="0" collapsed="false">
      <c r="A30" s="0" t="n">
        <v>27</v>
      </c>
      <c r="B30" s="0" t="n">
        <f aca="true">NORMINV(RAND(),1,Coefficients!$B$22)</f>
        <v>1.08616629893516</v>
      </c>
      <c r="C30" s="0" t="n">
        <f aca="true">MEDIAN(8,16,ROUND(NORMINV(RAND(),Coefficients!$B$20,Coefficients!$B$21),0))</f>
        <v>11</v>
      </c>
      <c r="D30" s="0" t="n">
        <f aca="true">CRITBINOM($C30,MIN(0.75,Matchup!$B$39*$B30),RAND())</f>
        <v>4</v>
      </c>
      <c r="E30" s="0" t="n">
        <f aca="true">CRITBINOM(D30,Coefficients!$B$30,RAND())</f>
        <v>0</v>
      </c>
      <c r="F30" s="0" t="n">
        <f aca="true">CRITBINOM(E30,Coefficients!$B$31,RAND())</f>
        <v>0</v>
      </c>
      <c r="G30" s="0" t="n">
        <f aca="true">CRITBINOM(MAX(0,D30-E30),1-Coefficients!$B$32,RAND())</f>
        <v>0</v>
      </c>
      <c r="H30" s="0" t="n">
        <f aca="true">CRITBINOM(MAX(0,$C30-D30),MIN(0.6,Matchup!$B$40*SQRT($B30)/(1-MIN(0.75,Matchup!$B$39*$B30))),RAND())</f>
        <v>0</v>
      </c>
      <c r="I30" s="0" t="n">
        <f aca="false">6*D30+(D30-E30-G30)+2*F30+3*H30</f>
        <v>28</v>
      </c>
      <c r="J30" s="0" t="n">
        <f aca="true">CRITBINOM($C30,MIN(0.75,Matchup!$C$39*$B30),RAND())</f>
        <v>4</v>
      </c>
      <c r="K30" s="0" t="n">
        <f aca="true">CRITBINOM(J30,Coefficients!$B$30,RAND())</f>
        <v>1</v>
      </c>
      <c r="L30" s="0" t="n">
        <f aca="true">CRITBINOM(K30,Coefficients!$B$31,RAND())</f>
        <v>0</v>
      </c>
      <c r="M30" s="0" t="n">
        <f aca="true">CRITBINOM(MAX(0,J30-K30),1-Coefficients!$B$32,RAND())</f>
        <v>0</v>
      </c>
      <c r="N30" s="0" t="n">
        <f aca="true">CRITBINOM(MAX(0,$C30-J30),MIN(0.6,Matchup!$C$40*SQRT($B30)/(1-MIN(0.75,Matchup!$C$39*$B30))),RAND())</f>
        <v>0</v>
      </c>
      <c r="O30" s="0" t="n">
        <f aca="false">6*J30+(J30-K30-M30)+2*L30+3*N30</f>
        <v>27</v>
      </c>
      <c r="P30" s="0" t="n">
        <f aca="true">RAND()</f>
        <v>0.974009601418905</v>
      </c>
      <c r="Q30" s="0" t="n">
        <f aca="true">RAND()</f>
        <v>0.21268903482053</v>
      </c>
      <c r="R30" s="0" t="n">
        <f aca="false">IF($I30&lt;&gt;$O30,0,IF(P30&lt;Matchup!$B$39,7,IF(P30&lt;Matchup!$B$39+Matchup!$B$40,3,0)))</f>
        <v>0</v>
      </c>
      <c r="S30" s="0" t="n">
        <f aca="false">IF($I30&lt;&gt;$O30,0,IF(Q30&lt;Matchup!$C$39,7,IF(Q30&lt;Matchup!$C$39+Matchup!$C$40,3,0)))</f>
        <v>0</v>
      </c>
      <c r="T30" s="0" t="n">
        <f aca="false">I30+R30</f>
        <v>28</v>
      </c>
      <c r="U30" s="0" t="n">
        <f aca="false">O30+S30</f>
        <v>27</v>
      </c>
      <c r="V30" s="0" t="n">
        <f aca="false">T30-U30</f>
        <v>1</v>
      </c>
      <c r="W30" s="0" t="n">
        <f aca="false">T30+U30</f>
        <v>55</v>
      </c>
    </row>
    <row r="31" customFormat="false" ht="15" hidden="false" customHeight="false" outlineLevel="0" collapsed="false">
      <c r="A31" s="0" t="n">
        <v>28</v>
      </c>
      <c r="B31" s="0" t="n">
        <f aca="true">NORMINV(RAND(),1,Coefficients!$B$22)</f>
        <v>1.00836454212282</v>
      </c>
      <c r="C31" s="0" t="n">
        <f aca="true">MEDIAN(8,16,ROUND(NORMINV(RAND(),Coefficients!$B$20,Coefficients!$B$21),0))</f>
        <v>12</v>
      </c>
      <c r="D31" s="0" t="n">
        <f aca="true">CRITBINOM($C31,MIN(0.75,Matchup!$B$39*$B31),RAND())</f>
        <v>6</v>
      </c>
      <c r="E31" s="0" t="n">
        <f aca="true">CRITBINOM(D31,Coefficients!$B$30,RAND())</f>
        <v>1</v>
      </c>
      <c r="F31" s="0" t="n">
        <f aca="true">CRITBINOM(E31,Coefficients!$B$31,RAND())</f>
        <v>0</v>
      </c>
      <c r="G31" s="0" t="n">
        <f aca="true">CRITBINOM(MAX(0,D31-E31),1-Coefficients!$B$32,RAND())</f>
        <v>0</v>
      </c>
      <c r="H31" s="0" t="n">
        <f aca="true">CRITBINOM(MAX(0,$C31-D31),MIN(0.6,Matchup!$B$40*SQRT($B31)/(1-MIN(0.75,Matchup!$B$39*$B31))),RAND())</f>
        <v>0</v>
      </c>
      <c r="I31" s="0" t="n">
        <f aca="false">6*D31+(D31-E31-G31)+2*F31+3*H31</f>
        <v>41</v>
      </c>
      <c r="J31" s="0" t="n">
        <f aca="true">CRITBINOM($C31,MIN(0.75,Matchup!$C$39*$B31),RAND())</f>
        <v>4</v>
      </c>
      <c r="K31" s="0" t="n">
        <f aca="true">CRITBINOM(J31,Coefficients!$B$30,RAND())</f>
        <v>1</v>
      </c>
      <c r="L31" s="0" t="n">
        <f aca="true">CRITBINOM(K31,Coefficients!$B$31,RAND())</f>
        <v>1</v>
      </c>
      <c r="M31" s="0" t="n">
        <f aca="true">CRITBINOM(MAX(0,J31-K31),1-Coefficients!$B$32,RAND())</f>
        <v>0</v>
      </c>
      <c r="N31" s="0" t="n">
        <f aca="true">CRITBINOM(MAX(0,$C31-J31),MIN(0.6,Matchup!$C$40*SQRT($B31)/(1-MIN(0.75,Matchup!$C$39*$B31))),RAND())</f>
        <v>1</v>
      </c>
      <c r="O31" s="0" t="n">
        <f aca="false">6*J31+(J31-K31-M31)+2*L31+3*N31</f>
        <v>32</v>
      </c>
      <c r="P31" s="0" t="n">
        <f aca="true">RAND()</f>
        <v>0.594829634158696</v>
      </c>
      <c r="Q31" s="0" t="n">
        <f aca="true">RAND()</f>
        <v>0.389454332684207</v>
      </c>
      <c r="R31" s="0" t="n">
        <f aca="false">IF($I31&lt;&gt;$O31,0,IF(P31&lt;Matchup!$B$39,7,IF(P31&lt;Matchup!$B$39+Matchup!$B$40,3,0)))</f>
        <v>0</v>
      </c>
      <c r="S31" s="0" t="n">
        <f aca="false">IF($I31&lt;&gt;$O31,0,IF(Q31&lt;Matchup!$C$39,7,IF(Q31&lt;Matchup!$C$39+Matchup!$C$40,3,0)))</f>
        <v>0</v>
      </c>
      <c r="T31" s="0" t="n">
        <f aca="false">I31+R31</f>
        <v>41</v>
      </c>
      <c r="U31" s="0" t="n">
        <f aca="false">O31+S31</f>
        <v>32</v>
      </c>
      <c r="V31" s="0" t="n">
        <f aca="false">T31-U31</f>
        <v>9</v>
      </c>
      <c r="W31" s="0" t="n">
        <f aca="false">T31+U31</f>
        <v>73</v>
      </c>
    </row>
    <row r="32" customFormat="false" ht="15" hidden="false" customHeight="false" outlineLevel="0" collapsed="false">
      <c r="A32" s="0" t="n">
        <v>29</v>
      </c>
      <c r="B32" s="0" t="n">
        <f aca="true">NORMINV(RAND(),1,Coefficients!$B$22)</f>
        <v>1.01600614927354</v>
      </c>
      <c r="C32" s="0" t="n">
        <f aca="true">MEDIAN(8,16,ROUND(NORMINV(RAND(),Coefficients!$B$20,Coefficients!$B$21),0))</f>
        <v>13</v>
      </c>
      <c r="D32" s="0" t="n">
        <f aca="true">CRITBINOM($C32,MIN(0.75,Matchup!$B$39*$B32),RAND())</f>
        <v>3</v>
      </c>
      <c r="E32" s="0" t="n">
        <f aca="true">CRITBINOM(D32,Coefficients!$B$30,RAND())</f>
        <v>0</v>
      </c>
      <c r="F32" s="0" t="n">
        <f aca="true">CRITBINOM(E32,Coefficients!$B$31,RAND())</f>
        <v>0</v>
      </c>
      <c r="G32" s="0" t="n">
        <f aca="true">CRITBINOM(MAX(0,D32-E32),1-Coefficients!$B$32,RAND())</f>
        <v>0</v>
      </c>
      <c r="H32" s="0" t="n">
        <f aca="true">CRITBINOM(MAX(0,$C32-D32),MIN(0.6,Matchup!$B$40*SQRT($B32)/(1-MIN(0.75,Matchup!$B$39*$B32))),RAND())</f>
        <v>1</v>
      </c>
      <c r="I32" s="0" t="n">
        <f aca="false">6*D32+(D32-E32-G32)+2*F32+3*H32</f>
        <v>24</v>
      </c>
      <c r="J32" s="0" t="n">
        <f aca="true">CRITBINOM($C32,MIN(0.75,Matchup!$C$39*$B32),RAND())</f>
        <v>2</v>
      </c>
      <c r="K32" s="0" t="n">
        <f aca="true">CRITBINOM(J32,Coefficients!$B$30,RAND())</f>
        <v>0</v>
      </c>
      <c r="L32" s="0" t="n">
        <f aca="true">CRITBINOM(K32,Coefficients!$B$31,RAND())</f>
        <v>0</v>
      </c>
      <c r="M32" s="0" t="n">
        <f aca="true">CRITBINOM(MAX(0,J32-K32),1-Coefficients!$B$32,RAND())</f>
        <v>1</v>
      </c>
      <c r="N32" s="0" t="n">
        <f aca="true">CRITBINOM(MAX(0,$C32-J32),MIN(0.6,Matchup!$C$40*SQRT($B32)/(1-MIN(0.75,Matchup!$C$39*$B32))),RAND())</f>
        <v>2</v>
      </c>
      <c r="O32" s="0" t="n">
        <f aca="false">6*J32+(J32-K32-M32)+2*L32+3*N32</f>
        <v>19</v>
      </c>
      <c r="P32" s="0" t="n">
        <f aca="true">RAND()</f>
        <v>0.538936912522984</v>
      </c>
      <c r="Q32" s="0" t="n">
        <f aca="true">RAND()</f>
        <v>0.995827502215911</v>
      </c>
      <c r="R32" s="0" t="n">
        <f aca="false">IF($I32&lt;&gt;$O32,0,IF(P32&lt;Matchup!$B$39,7,IF(P32&lt;Matchup!$B$39+Matchup!$B$40,3,0)))</f>
        <v>0</v>
      </c>
      <c r="S32" s="0" t="n">
        <f aca="false">IF($I32&lt;&gt;$O32,0,IF(Q32&lt;Matchup!$C$39,7,IF(Q32&lt;Matchup!$C$39+Matchup!$C$40,3,0)))</f>
        <v>0</v>
      </c>
      <c r="T32" s="0" t="n">
        <f aca="false">I32+R32</f>
        <v>24</v>
      </c>
      <c r="U32" s="0" t="n">
        <f aca="false">O32+S32</f>
        <v>19</v>
      </c>
      <c r="V32" s="0" t="n">
        <f aca="false">T32-U32</f>
        <v>5</v>
      </c>
      <c r="W32" s="0" t="n">
        <f aca="false">T32+U32</f>
        <v>43</v>
      </c>
    </row>
    <row r="33" customFormat="false" ht="15" hidden="false" customHeight="false" outlineLevel="0" collapsed="false">
      <c r="A33" s="0" t="n">
        <v>30</v>
      </c>
      <c r="B33" s="0" t="n">
        <f aca="true">NORMINV(RAND(),1,Coefficients!$B$22)</f>
        <v>0.811379356736557</v>
      </c>
      <c r="C33" s="0" t="n">
        <f aca="true">MEDIAN(8,16,ROUND(NORMINV(RAND(),Coefficients!$B$20,Coefficients!$B$21),0))</f>
        <v>10</v>
      </c>
      <c r="D33" s="0" t="n">
        <f aca="true">CRITBINOM($C33,MIN(0.75,Matchup!$B$39*$B33),RAND())</f>
        <v>3</v>
      </c>
      <c r="E33" s="0" t="n">
        <f aca="true">CRITBINOM(D33,Coefficients!$B$30,RAND())</f>
        <v>0</v>
      </c>
      <c r="F33" s="0" t="n">
        <f aca="true">CRITBINOM(E33,Coefficients!$B$31,RAND())</f>
        <v>0</v>
      </c>
      <c r="G33" s="0" t="n">
        <f aca="true">CRITBINOM(MAX(0,D33-E33),1-Coefficients!$B$32,RAND())</f>
        <v>0</v>
      </c>
      <c r="H33" s="0" t="n">
        <f aca="true">CRITBINOM(MAX(0,$C33-D33),MIN(0.6,Matchup!$B$40*SQRT($B33)/(1-MIN(0.75,Matchup!$B$39*$B33))),RAND())</f>
        <v>3</v>
      </c>
      <c r="I33" s="0" t="n">
        <f aca="false">6*D33+(D33-E33-G33)+2*F33+3*H33</f>
        <v>30</v>
      </c>
      <c r="J33" s="0" t="n">
        <f aca="true">CRITBINOM($C33,MIN(0.75,Matchup!$C$39*$B33),RAND())</f>
        <v>1</v>
      </c>
      <c r="K33" s="0" t="n">
        <f aca="true">CRITBINOM(J33,Coefficients!$B$30,RAND())</f>
        <v>0</v>
      </c>
      <c r="L33" s="0" t="n">
        <f aca="true">CRITBINOM(K33,Coefficients!$B$31,RAND())</f>
        <v>0</v>
      </c>
      <c r="M33" s="0" t="n">
        <f aca="true">CRITBINOM(MAX(0,J33-K33),1-Coefficients!$B$32,RAND())</f>
        <v>0</v>
      </c>
      <c r="N33" s="0" t="n">
        <f aca="true">CRITBINOM(MAX(0,$C33-J33),MIN(0.6,Matchup!$C$40*SQRT($B33)/(1-MIN(0.75,Matchup!$C$39*$B33))),RAND())</f>
        <v>0</v>
      </c>
      <c r="O33" s="0" t="n">
        <f aca="false">6*J33+(J33-K33-M33)+2*L33+3*N33</f>
        <v>7</v>
      </c>
      <c r="P33" s="0" t="n">
        <f aca="true">RAND()</f>
        <v>0.349517881675132</v>
      </c>
      <c r="Q33" s="0" t="n">
        <f aca="true">RAND()</f>
        <v>0.0404404127403733</v>
      </c>
      <c r="R33" s="0" t="n">
        <f aca="false">IF($I33&lt;&gt;$O33,0,IF(P33&lt;Matchup!$B$39,7,IF(P33&lt;Matchup!$B$39+Matchup!$B$40,3,0)))</f>
        <v>0</v>
      </c>
      <c r="S33" s="0" t="n">
        <f aca="false">IF($I33&lt;&gt;$O33,0,IF(Q33&lt;Matchup!$C$39,7,IF(Q33&lt;Matchup!$C$39+Matchup!$C$40,3,0)))</f>
        <v>0</v>
      </c>
      <c r="T33" s="0" t="n">
        <f aca="false">I33+R33</f>
        <v>30</v>
      </c>
      <c r="U33" s="0" t="n">
        <f aca="false">O33+S33</f>
        <v>7</v>
      </c>
      <c r="V33" s="0" t="n">
        <f aca="false">T33-U33</f>
        <v>23</v>
      </c>
      <c r="W33" s="0" t="n">
        <f aca="false">T33+U33</f>
        <v>37</v>
      </c>
    </row>
    <row r="34" customFormat="false" ht="15" hidden="false" customHeight="false" outlineLevel="0" collapsed="false">
      <c r="A34" s="0" t="n">
        <v>31</v>
      </c>
      <c r="B34" s="0" t="n">
        <f aca="true">NORMINV(RAND(),1,Coefficients!$B$22)</f>
        <v>1.03432105187252</v>
      </c>
      <c r="C34" s="0" t="n">
        <f aca="true">MEDIAN(8,16,ROUND(NORMINV(RAND(),Coefficients!$B$20,Coefficients!$B$21),0))</f>
        <v>11</v>
      </c>
      <c r="D34" s="0" t="n">
        <f aca="true">CRITBINOM($C34,MIN(0.75,Matchup!$B$39*$B34),RAND())</f>
        <v>0</v>
      </c>
      <c r="E34" s="0" t="n">
        <f aca="true">CRITBINOM(D34,Coefficients!$B$30,RAND())</f>
        <v>0</v>
      </c>
      <c r="F34" s="0" t="n">
        <f aca="true">CRITBINOM(E34,Coefficients!$B$31,RAND())</f>
        <v>0</v>
      </c>
      <c r="G34" s="0" t="n">
        <f aca="true">CRITBINOM(MAX(0,D34-E34),1-Coefficients!$B$32,RAND())</f>
        <v>0</v>
      </c>
      <c r="H34" s="0" t="n">
        <f aca="true">CRITBINOM(MAX(0,$C34-D34),MIN(0.6,Matchup!$B$40*SQRT($B34)/(1-MIN(0.75,Matchup!$B$39*$B34))),RAND())</f>
        <v>2</v>
      </c>
      <c r="I34" s="0" t="n">
        <f aca="false">6*D34+(D34-E34-G34)+2*F34+3*H34</f>
        <v>6</v>
      </c>
      <c r="J34" s="0" t="n">
        <f aca="true">CRITBINOM($C34,MIN(0.75,Matchup!$C$39*$B34),RAND())</f>
        <v>1</v>
      </c>
      <c r="K34" s="0" t="n">
        <f aca="true">CRITBINOM(J34,Coefficients!$B$30,RAND())</f>
        <v>1</v>
      </c>
      <c r="L34" s="0" t="n">
        <f aca="true">CRITBINOM(K34,Coefficients!$B$31,RAND())</f>
        <v>1</v>
      </c>
      <c r="M34" s="0" t="n">
        <f aca="true">CRITBINOM(MAX(0,J34-K34),1-Coefficients!$B$32,RAND())</f>
        <v>0</v>
      </c>
      <c r="N34" s="0" t="n">
        <f aca="true">CRITBINOM(MAX(0,$C34-J34),MIN(0.6,Matchup!$C$40*SQRT($B34)/(1-MIN(0.75,Matchup!$C$39*$B34))),RAND())</f>
        <v>3</v>
      </c>
      <c r="O34" s="0" t="n">
        <f aca="false">6*J34+(J34-K34-M34)+2*L34+3*N34</f>
        <v>17</v>
      </c>
      <c r="P34" s="0" t="n">
        <f aca="true">RAND()</f>
        <v>0.644133772293408</v>
      </c>
      <c r="Q34" s="0" t="n">
        <f aca="true">RAND()</f>
        <v>0.470256503393289</v>
      </c>
      <c r="R34" s="0" t="n">
        <f aca="false">IF($I34&lt;&gt;$O34,0,IF(P34&lt;Matchup!$B$39,7,IF(P34&lt;Matchup!$B$39+Matchup!$B$40,3,0)))</f>
        <v>0</v>
      </c>
      <c r="S34" s="0" t="n">
        <f aca="false">IF($I34&lt;&gt;$O34,0,IF(Q34&lt;Matchup!$C$39,7,IF(Q34&lt;Matchup!$C$39+Matchup!$C$40,3,0)))</f>
        <v>0</v>
      </c>
      <c r="T34" s="0" t="n">
        <f aca="false">I34+R34</f>
        <v>6</v>
      </c>
      <c r="U34" s="0" t="n">
        <f aca="false">O34+S34</f>
        <v>17</v>
      </c>
      <c r="V34" s="0" t="n">
        <f aca="false">T34-U34</f>
        <v>-11</v>
      </c>
      <c r="W34" s="0" t="n">
        <f aca="false">T34+U34</f>
        <v>23</v>
      </c>
    </row>
    <row r="35" customFormat="false" ht="15" hidden="false" customHeight="false" outlineLevel="0" collapsed="false">
      <c r="A35" s="0" t="n">
        <v>32</v>
      </c>
      <c r="B35" s="0" t="n">
        <f aca="true">NORMINV(RAND(),1,Coefficients!$B$22)</f>
        <v>1.09201839324985</v>
      </c>
      <c r="C35" s="0" t="n">
        <f aca="true">MEDIAN(8,16,ROUND(NORMINV(RAND(),Coefficients!$B$20,Coefficients!$B$21),0))</f>
        <v>10</v>
      </c>
      <c r="D35" s="0" t="n">
        <f aca="true">CRITBINOM($C35,MIN(0.75,Matchup!$B$39*$B35),RAND())</f>
        <v>1</v>
      </c>
      <c r="E35" s="0" t="n">
        <f aca="true">CRITBINOM(D35,Coefficients!$B$30,RAND())</f>
        <v>0</v>
      </c>
      <c r="F35" s="0" t="n">
        <f aca="true">CRITBINOM(E35,Coefficients!$B$31,RAND())</f>
        <v>0</v>
      </c>
      <c r="G35" s="0" t="n">
        <f aca="true">CRITBINOM(MAX(0,D35-E35),1-Coefficients!$B$32,RAND())</f>
        <v>0</v>
      </c>
      <c r="H35" s="0" t="n">
        <f aca="true">CRITBINOM(MAX(0,$C35-D35),MIN(0.6,Matchup!$B$40*SQRT($B35)/(1-MIN(0.75,Matchup!$B$39*$B35))),RAND())</f>
        <v>2</v>
      </c>
      <c r="I35" s="0" t="n">
        <f aca="false">6*D35+(D35-E35-G35)+2*F35+3*H35</f>
        <v>13</v>
      </c>
      <c r="J35" s="0" t="n">
        <f aca="true">CRITBINOM($C35,MIN(0.75,Matchup!$C$39*$B35),RAND())</f>
        <v>4</v>
      </c>
      <c r="K35" s="0" t="n">
        <f aca="true">CRITBINOM(J35,Coefficients!$B$30,RAND())</f>
        <v>0</v>
      </c>
      <c r="L35" s="0" t="n">
        <f aca="true">CRITBINOM(K35,Coefficients!$B$31,RAND())</f>
        <v>0</v>
      </c>
      <c r="M35" s="0" t="n">
        <f aca="true">CRITBINOM(MAX(0,J35-K35),1-Coefficients!$B$32,RAND())</f>
        <v>0</v>
      </c>
      <c r="N35" s="0" t="n">
        <f aca="true">CRITBINOM(MAX(0,$C35-J35),MIN(0.6,Matchup!$C$40*SQRT($B35)/(1-MIN(0.75,Matchup!$C$39*$B35))),RAND())</f>
        <v>0</v>
      </c>
      <c r="O35" s="0" t="n">
        <f aca="false">6*J35+(J35-K35-M35)+2*L35+3*N35</f>
        <v>28</v>
      </c>
      <c r="P35" s="0" t="n">
        <f aca="true">RAND()</f>
        <v>0.876545083295688</v>
      </c>
      <c r="Q35" s="0" t="n">
        <f aca="true">RAND()</f>
        <v>0.657788268392555</v>
      </c>
      <c r="R35" s="0" t="n">
        <f aca="false">IF($I35&lt;&gt;$O35,0,IF(P35&lt;Matchup!$B$39,7,IF(P35&lt;Matchup!$B$39+Matchup!$B$40,3,0)))</f>
        <v>0</v>
      </c>
      <c r="S35" s="0" t="n">
        <f aca="false">IF($I35&lt;&gt;$O35,0,IF(Q35&lt;Matchup!$C$39,7,IF(Q35&lt;Matchup!$C$39+Matchup!$C$40,3,0)))</f>
        <v>0</v>
      </c>
      <c r="T35" s="0" t="n">
        <f aca="false">I35+R35</f>
        <v>13</v>
      </c>
      <c r="U35" s="0" t="n">
        <f aca="false">O35+S35</f>
        <v>28</v>
      </c>
      <c r="V35" s="0" t="n">
        <f aca="false">T35-U35</f>
        <v>-15</v>
      </c>
      <c r="W35" s="0" t="n">
        <f aca="false">T35+U35</f>
        <v>41</v>
      </c>
    </row>
    <row r="36" customFormat="false" ht="15" hidden="false" customHeight="false" outlineLevel="0" collapsed="false">
      <c r="A36" s="0" t="n">
        <v>33</v>
      </c>
      <c r="B36" s="0" t="n">
        <f aca="true">NORMINV(RAND(),1,Coefficients!$B$22)</f>
        <v>0.943272670991912</v>
      </c>
      <c r="C36" s="0" t="n">
        <f aca="true">MEDIAN(8,16,ROUND(NORMINV(RAND(),Coefficients!$B$20,Coefficients!$B$21),0))</f>
        <v>12</v>
      </c>
      <c r="D36" s="0" t="n">
        <f aca="true">CRITBINOM($C36,MIN(0.75,Matchup!$B$39*$B36),RAND())</f>
        <v>2</v>
      </c>
      <c r="E36" s="0" t="n">
        <f aca="true">CRITBINOM(D36,Coefficients!$B$30,RAND())</f>
        <v>0</v>
      </c>
      <c r="F36" s="0" t="n">
        <f aca="true">CRITBINOM(E36,Coefficients!$B$31,RAND())</f>
        <v>0</v>
      </c>
      <c r="G36" s="0" t="n">
        <f aca="true">CRITBINOM(MAX(0,D36-E36),1-Coefficients!$B$32,RAND())</f>
        <v>0</v>
      </c>
      <c r="H36" s="0" t="n">
        <f aca="true">CRITBINOM(MAX(0,$C36-D36),MIN(0.6,Matchup!$B$40*SQRT($B36)/(1-MIN(0.75,Matchup!$B$39*$B36))),RAND())</f>
        <v>1</v>
      </c>
      <c r="I36" s="0" t="n">
        <f aca="false">6*D36+(D36-E36-G36)+2*F36+3*H36</f>
        <v>17</v>
      </c>
      <c r="J36" s="0" t="n">
        <f aca="true">CRITBINOM($C36,MIN(0.75,Matchup!$C$39*$B36),RAND())</f>
        <v>4</v>
      </c>
      <c r="K36" s="0" t="n">
        <f aca="true">CRITBINOM(J36,Coefficients!$B$30,RAND())</f>
        <v>0</v>
      </c>
      <c r="L36" s="0" t="n">
        <f aca="true">CRITBINOM(K36,Coefficients!$B$31,RAND())</f>
        <v>0</v>
      </c>
      <c r="M36" s="0" t="n">
        <f aca="true">CRITBINOM(MAX(0,J36-K36),1-Coefficients!$B$32,RAND())</f>
        <v>0</v>
      </c>
      <c r="N36" s="0" t="n">
        <f aca="true">CRITBINOM(MAX(0,$C36-J36),MIN(0.6,Matchup!$C$40*SQRT($B36)/(1-MIN(0.75,Matchup!$C$39*$B36))),RAND())</f>
        <v>1</v>
      </c>
      <c r="O36" s="0" t="n">
        <f aca="false">6*J36+(J36-K36-M36)+2*L36+3*N36</f>
        <v>31</v>
      </c>
      <c r="P36" s="0" t="n">
        <f aca="true">RAND()</f>
        <v>0.557493805655181</v>
      </c>
      <c r="Q36" s="0" t="n">
        <f aca="true">RAND()</f>
        <v>0.78911232861348</v>
      </c>
      <c r="R36" s="0" t="n">
        <f aca="false">IF($I36&lt;&gt;$O36,0,IF(P36&lt;Matchup!$B$39,7,IF(P36&lt;Matchup!$B$39+Matchup!$B$40,3,0)))</f>
        <v>0</v>
      </c>
      <c r="S36" s="0" t="n">
        <f aca="false">IF($I36&lt;&gt;$O36,0,IF(Q36&lt;Matchup!$C$39,7,IF(Q36&lt;Matchup!$C$39+Matchup!$C$40,3,0)))</f>
        <v>0</v>
      </c>
      <c r="T36" s="0" t="n">
        <f aca="false">I36+R36</f>
        <v>17</v>
      </c>
      <c r="U36" s="0" t="n">
        <f aca="false">O36+S36</f>
        <v>31</v>
      </c>
      <c r="V36" s="0" t="n">
        <f aca="false">T36-U36</f>
        <v>-14</v>
      </c>
      <c r="W36" s="0" t="n">
        <f aca="false">T36+U36</f>
        <v>48</v>
      </c>
    </row>
    <row r="37" customFormat="false" ht="15" hidden="false" customHeight="false" outlineLevel="0" collapsed="false">
      <c r="A37" s="0" t="n">
        <v>34</v>
      </c>
      <c r="B37" s="0" t="n">
        <f aca="true">NORMINV(RAND(),1,Coefficients!$B$22)</f>
        <v>0.925424469818808</v>
      </c>
      <c r="C37" s="0" t="n">
        <f aca="true">MEDIAN(8,16,ROUND(NORMINV(RAND(),Coefficients!$B$20,Coefficients!$B$21),0))</f>
        <v>11</v>
      </c>
      <c r="D37" s="0" t="n">
        <f aca="true">CRITBINOM($C37,MIN(0.75,Matchup!$B$39*$B37),RAND())</f>
        <v>2</v>
      </c>
      <c r="E37" s="0" t="n">
        <f aca="true">CRITBINOM(D37,Coefficients!$B$30,RAND())</f>
        <v>0</v>
      </c>
      <c r="F37" s="0" t="n">
        <f aca="true">CRITBINOM(E37,Coefficients!$B$31,RAND())</f>
        <v>0</v>
      </c>
      <c r="G37" s="0" t="n">
        <f aca="true">CRITBINOM(MAX(0,D37-E37),1-Coefficients!$B$32,RAND())</f>
        <v>0</v>
      </c>
      <c r="H37" s="0" t="n">
        <f aca="true">CRITBINOM(MAX(0,$C37-D37),MIN(0.6,Matchup!$B$40*SQRT($B37)/(1-MIN(0.75,Matchup!$B$39*$B37))),RAND())</f>
        <v>1</v>
      </c>
      <c r="I37" s="0" t="n">
        <f aca="false">6*D37+(D37-E37-G37)+2*F37+3*H37</f>
        <v>17</v>
      </c>
      <c r="J37" s="0" t="n">
        <f aca="true">CRITBINOM($C37,MIN(0.75,Matchup!$C$39*$B37),RAND())</f>
        <v>1</v>
      </c>
      <c r="K37" s="0" t="n">
        <f aca="true">CRITBINOM(J37,Coefficients!$B$30,RAND())</f>
        <v>0</v>
      </c>
      <c r="L37" s="0" t="n">
        <f aca="true">CRITBINOM(K37,Coefficients!$B$31,RAND())</f>
        <v>0</v>
      </c>
      <c r="M37" s="0" t="n">
        <f aca="true">CRITBINOM(MAX(0,J37-K37),1-Coefficients!$B$32,RAND())</f>
        <v>0</v>
      </c>
      <c r="N37" s="0" t="n">
        <f aca="true">CRITBINOM(MAX(0,$C37-J37),MIN(0.6,Matchup!$C$40*SQRT($B37)/(1-MIN(0.75,Matchup!$C$39*$B37))),RAND())</f>
        <v>1</v>
      </c>
      <c r="O37" s="0" t="n">
        <f aca="false">6*J37+(J37-K37-M37)+2*L37+3*N37</f>
        <v>10</v>
      </c>
      <c r="P37" s="0" t="n">
        <f aca="true">RAND()</f>
        <v>0.125405096673517</v>
      </c>
      <c r="Q37" s="0" t="n">
        <f aca="true">RAND()</f>
        <v>0.340374602461423</v>
      </c>
      <c r="R37" s="0" t="n">
        <f aca="false">IF($I37&lt;&gt;$O37,0,IF(P37&lt;Matchup!$B$39,7,IF(P37&lt;Matchup!$B$39+Matchup!$B$40,3,0)))</f>
        <v>0</v>
      </c>
      <c r="S37" s="0" t="n">
        <f aca="false">IF($I37&lt;&gt;$O37,0,IF(Q37&lt;Matchup!$C$39,7,IF(Q37&lt;Matchup!$C$39+Matchup!$C$40,3,0)))</f>
        <v>0</v>
      </c>
      <c r="T37" s="0" t="n">
        <f aca="false">I37+R37</f>
        <v>17</v>
      </c>
      <c r="U37" s="0" t="n">
        <f aca="false">O37+S37</f>
        <v>10</v>
      </c>
      <c r="V37" s="0" t="n">
        <f aca="false">T37-U37</f>
        <v>7</v>
      </c>
      <c r="W37" s="0" t="n">
        <f aca="false">T37+U37</f>
        <v>27</v>
      </c>
    </row>
    <row r="38" customFormat="false" ht="15" hidden="false" customHeight="false" outlineLevel="0" collapsed="false">
      <c r="A38" s="0" t="n">
        <v>35</v>
      </c>
      <c r="B38" s="0" t="n">
        <f aca="true">NORMINV(RAND(),1,Coefficients!$B$22)</f>
        <v>1.0467280000388</v>
      </c>
      <c r="C38" s="0" t="n">
        <f aca="true">MEDIAN(8,16,ROUND(NORMINV(RAND(),Coefficients!$B$20,Coefficients!$B$21),0))</f>
        <v>10</v>
      </c>
      <c r="D38" s="0" t="n">
        <f aca="true">CRITBINOM($C38,MIN(0.75,Matchup!$B$39*$B38),RAND())</f>
        <v>3</v>
      </c>
      <c r="E38" s="0" t="n">
        <f aca="true">CRITBINOM(D38,Coefficients!$B$30,RAND())</f>
        <v>1</v>
      </c>
      <c r="F38" s="0" t="n">
        <f aca="true">CRITBINOM(E38,Coefficients!$B$31,RAND())</f>
        <v>1</v>
      </c>
      <c r="G38" s="0" t="n">
        <f aca="true">CRITBINOM(MAX(0,D38-E38),1-Coefficients!$B$32,RAND())</f>
        <v>0</v>
      </c>
      <c r="H38" s="0" t="n">
        <f aca="true">CRITBINOM(MAX(0,$C38-D38),MIN(0.6,Matchup!$B$40*SQRT($B38)/(1-MIN(0.75,Matchup!$B$39*$B38))),RAND())</f>
        <v>3</v>
      </c>
      <c r="I38" s="0" t="n">
        <f aca="false">6*D38+(D38-E38-G38)+2*F38+3*H38</f>
        <v>31</v>
      </c>
      <c r="J38" s="0" t="n">
        <f aca="true">CRITBINOM($C38,MIN(0.75,Matchup!$C$39*$B38),RAND())</f>
        <v>2</v>
      </c>
      <c r="K38" s="0" t="n">
        <f aca="true">CRITBINOM(J38,Coefficients!$B$30,RAND())</f>
        <v>0</v>
      </c>
      <c r="L38" s="0" t="n">
        <f aca="true">CRITBINOM(K38,Coefficients!$B$31,RAND())</f>
        <v>0</v>
      </c>
      <c r="M38" s="0" t="n">
        <f aca="true">CRITBINOM(MAX(0,J38-K38),1-Coefficients!$B$32,RAND())</f>
        <v>0</v>
      </c>
      <c r="N38" s="0" t="n">
        <f aca="true">CRITBINOM(MAX(0,$C38-J38),MIN(0.6,Matchup!$C$40*SQRT($B38)/(1-MIN(0.75,Matchup!$C$39*$B38))),RAND())</f>
        <v>4</v>
      </c>
      <c r="O38" s="0" t="n">
        <f aca="false">6*J38+(J38-K38-M38)+2*L38+3*N38</f>
        <v>26</v>
      </c>
      <c r="P38" s="0" t="n">
        <f aca="true">RAND()</f>
        <v>0.849237215724659</v>
      </c>
      <c r="Q38" s="0" t="n">
        <f aca="true">RAND()</f>
        <v>0.213396196641168</v>
      </c>
      <c r="R38" s="0" t="n">
        <f aca="false">IF($I38&lt;&gt;$O38,0,IF(P38&lt;Matchup!$B$39,7,IF(P38&lt;Matchup!$B$39+Matchup!$B$40,3,0)))</f>
        <v>0</v>
      </c>
      <c r="S38" s="0" t="n">
        <f aca="false">IF($I38&lt;&gt;$O38,0,IF(Q38&lt;Matchup!$C$39,7,IF(Q38&lt;Matchup!$C$39+Matchup!$C$40,3,0)))</f>
        <v>0</v>
      </c>
      <c r="T38" s="0" t="n">
        <f aca="false">I38+R38</f>
        <v>31</v>
      </c>
      <c r="U38" s="0" t="n">
        <f aca="false">O38+S38</f>
        <v>26</v>
      </c>
      <c r="V38" s="0" t="n">
        <f aca="false">T38-U38</f>
        <v>5</v>
      </c>
      <c r="W38" s="0" t="n">
        <f aca="false">T38+U38</f>
        <v>57</v>
      </c>
    </row>
    <row r="39" customFormat="false" ht="15" hidden="false" customHeight="false" outlineLevel="0" collapsed="false">
      <c r="A39" s="0" t="n">
        <v>36</v>
      </c>
      <c r="B39" s="0" t="n">
        <f aca="true">NORMINV(RAND(),1,Coefficients!$B$22)</f>
        <v>0.939736901324868</v>
      </c>
      <c r="C39" s="0" t="n">
        <f aca="true">MEDIAN(8,16,ROUND(NORMINV(RAND(),Coefficients!$B$20,Coefficients!$B$21),0))</f>
        <v>12</v>
      </c>
      <c r="D39" s="0" t="n">
        <f aca="true">CRITBINOM($C39,MIN(0.75,Matchup!$B$39*$B39),RAND())</f>
        <v>5</v>
      </c>
      <c r="E39" s="0" t="n">
        <f aca="true">CRITBINOM(D39,Coefficients!$B$30,RAND())</f>
        <v>2</v>
      </c>
      <c r="F39" s="0" t="n">
        <f aca="true">CRITBINOM(E39,Coefficients!$B$31,RAND())</f>
        <v>2</v>
      </c>
      <c r="G39" s="0" t="n">
        <f aca="true">CRITBINOM(MAX(0,D39-E39),1-Coefficients!$B$32,RAND())</f>
        <v>0</v>
      </c>
      <c r="H39" s="0" t="n">
        <f aca="true">CRITBINOM(MAX(0,$C39-D39),MIN(0.6,Matchup!$B$40*SQRT($B39)/(1-MIN(0.75,Matchup!$B$39*$B39))),RAND())</f>
        <v>0</v>
      </c>
      <c r="I39" s="0" t="n">
        <f aca="false">6*D39+(D39-E39-G39)+2*F39+3*H39</f>
        <v>37</v>
      </c>
      <c r="J39" s="0" t="n">
        <f aca="true">CRITBINOM($C39,MIN(0.75,Matchup!$C$39*$B39),RAND())</f>
        <v>1</v>
      </c>
      <c r="K39" s="0" t="n">
        <f aca="true">CRITBINOM(J39,Coefficients!$B$30,RAND())</f>
        <v>0</v>
      </c>
      <c r="L39" s="0" t="n">
        <f aca="true">CRITBINOM(K39,Coefficients!$B$31,RAND())</f>
        <v>0</v>
      </c>
      <c r="M39" s="0" t="n">
        <f aca="true">CRITBINOM(MAX(0,J39-K39),1-Coefficients!$B$32,RAND())</f>
        <v>0</v>
      </c>
      <c r="N39" s="0" t="n">
        <f aca="true">CRITBINOM(MAX(0,$C39-J39),MIN(0.6,Matchup!$C$40*SQRT($B39)/(1-MIN(0.75,Matchup!$C$39*$B39))),RAND())</f>
        <v>2</v>
      </c>
      <c r="O39" s="0" t="n">
        <f aca="false">6*J39+(J39-K39-M39)+2*L39+3*N39</f>
        <v>13</v>
      </c>
      <c r="P39" s="0" t="n">
        <f aca="true">RAND()</f>
        <v>0.916657630295452</v>
      </c>
      <c r="Q39" s="0" t="n">
        <f aca="true">RAND()</f>
        <v>0.470477521081561</v>
      </c>
      <c r="R39" s="0" t="n">
        <f aca="false">IF($I39&lt;&gt;$O39,0,IF(P39&lt;Matchup!$B$39,7,IF(P39&lt;Matchup!$B$39+Matchup!$B$40,3,0)))</f>
        <v>0</v>
      </c>
      <c r="S39" s="0" t="n">
        <f aca="false">IF($I39&lt;&gt;$O39,0,IF(Q39&lt;Matchup!$C$39,7,IF(Q39&lt;Matchup!$C$39+Matchup!$C$40,3,0)))</f>
        <v>0</v>
      </c>
      <c r="T39" s="0" t="n">
        <f aca="false">I39+R39</f>
        <v>37</v>
      </c>
      <c r="U39" s="0" t="n">
        <f aca="false">O39+S39</f>
        <v>13</v>
      </c>
      <c r="V39" s="0" t="n">
        <f aca="false">T39-U39</f>
        <v>24</v>
      </c>
      <c r="W39" s="0" t="n">
        <f aca="false">T39+U39</f>
        <v>50</v>
      </c>
    </row>
    <row r="40" customFormat="false" ht="15" hidden="false" customHeight="false" outlineLevel="0" collapsed="false">
      <c r="A40" s="0" t="n">
        <v>37</v>
      </c>
      <c r="B40" s="0" t="n">
        <f aca="true">NORMINV(RAND(),1,Coefficients!$B$22)</f>
        <v>0.998643703556757</v>
      </c>
      <c r="C40" s="0" t="n">
        <f aca="true">MEDIAN(8,16,ROUND(NORMINV(RAND(),Coefficients!$B$20,Coefficients!$B$21),0))</f>
        <v>13</v>
      </c>
      <c r="D40" s="0" t="n">
        <f aca="true">CRITBINOM($C40,MIN(0.75,Matchup!$B$39*$B40),RAND())</f>
        <v>3</v>
      </c>
      <c r="E40" s="0" t="n">
        <f aca="true">CRITBINOM(D40,Coefficients!$B$30,RAND())</f>
        <v>1</v>
      </c>
      <c r="F40" s="0" t="n">
        <f aca="true">CRITBINOM(E40,Coefficients!$B$31,RAND())</f>
        <v>1</v>
      </c>
      <c r="G40" s="0" t="n">
        <f aca="true">CRITBINOM(MAX(0,D40-E40),1-Coefficients!$B$32,RAND())</f>
        <v>0</v>
      </c>
      <c r="H40" s="0" t="n">
        <f aca="true">CRITBINOM(MAX(0,$C40-D40),MIN(0.6,Matchup!$B$40*SQRT($B40)/(1-MIN(0.75,Matchup!$B$39*$B40))),RAND())</f>
        <v>1</v>
      </c>
      <c r="I40" s="0" t="n">
        <f aca="false">6*D40+(D40-E40-G40)+2*F40+3*H40</f>
        <v>25</v>
      </c>
      <c r="J40" s="0" t="n">
        <f aca="true">CRITBINOM($C40,MIN(0.75,Matchup!$C$39*$B40),RAND())</f>
        <v>3</v>
      </c>
      <c r="K40" s="0" t="n">
        <f aca="true">CRITBINOM(J40,Coefficients!$B$30,RAND())</f>
        <v>0</v>
      </c>
      <c r="L40" s="0" t="n">
        <f aca="true">CRITBINOM(K40,Coefficients!$B$31,RAND())</f>
        <v>0</v>
      </c>
      <c r="M40" s="0" t="n">
        <f aca="true">CRITBINOM(MAX(0,J40-K40),1-Coefficients!$B$32,RAND())</f>
        <v>0</v>
      </c>
      <c r="N40" s="0" t="n">
        <f aca="true">CRITBINOM(MAX(0,$C40-J40),MIN(0.6,Matchup!$C$40*SQRT($B40)/(1-MIN(0.75,Matchup!$C$39*$B40))),RAND())</f>
        <v>2</v>
      </c>
      <c r="O40" s="0" t="n">
        <f aca="false">6*J40+(J40-K40-M40)+2*L40+3*N40</f>
        <v>27</v>
      </c>
      <c r="P40" s="0" t="n">
        <f aca="true">RAND()</f>
        <v>0.675879394908446</v>
      </c>
      <c r="Q40" s="0" t="n">
        <f aca="true">RAND()</f>
        <v>0.0940825403111348</v>
      </c>
      <c r="R40" s="0" t="n">
        <f aca="false">IF($I40&lt;&gt;$O40,0,IF(P40&lt;Matchup!$B$39,7,IF(P40&lt;Matchup!$B$39+Matchup!$B$40,3,0)))</f>
        <v>0</v>
      </c>
      <c r="S40" s="0" t="n">
        <f aca="false">IF($I40&lt;&gt;$O40,0,IF(Q40&lt;Matchup!$C$39,7,IF(Q40&lt;Matchup!$C$39+Matchup!$C$40,3,0)))</f>
        <v>0</v>
      </c>
      <c r="T40" s="0" t="n">
        <f aca="false">I40+R40</f>
        <v>25</v>
      </c>
      <c r="U40" s="0" t="n">
        <f aca="false">O40+S40</f>
        <v>27</v>
      </c>
      <c r="V40" s="0" t="n">
        <f aca="false">T40-U40</f>
        <v>-2</v>
      </c>
      <c r="W40" s="0" t="n">
        <f aca="false">T40+U40</f>
        <v>52</v>
      </c>
    </row>
    <row r="41" customFormat="false" ht="15" hidden="false" customHeight="false" outlineLevel="0" collapsed="false">
      <c r="A41" s="0" t="n">
        <v>38</v>
      </c>
      <c r="B41" s="0" t="n">
        <f aca="true">NORMINV(RAND(),1,Coefficients!$B$22)</f>
        <v>0.959352274258032</v>
      </c>
      <c r="C41" s="0" t="n">
        <f aca="true">MEDIAN(8,16,ROUND(NORMINV(RAND(),Coefficients!$B$20,Coefficients!$B$21),0))</f>
        <v>11</v>
      </c>
      <c r="D41" s="0" t="n">
        <f aca="true">CRITBINOM($C41,MIN(0.75,Matchup!$B$39*$B41),RAND())</f>
        <v>3</v>
      </c>
      <c r="E41" s="0" t="n">
        <f aca="true">CRITBINOM(D41,Coefficients!$B$30,RAND())</f>
        <v>0</v>
      </c>
      <c r="F41" s="0" t="n">
        <f aca="true">CRITBINOM(E41,Coefficients!$B$31,RAND())</f>
        <v>0</v>
      </c>
      <c r="G41" s="0" t="n">
        <f aca="true">CRITBINOM(MAX(0,D41-E41),1-Coefficients!$B$32,RAND())</f>
        <v>0</v>
      </c>
      <c r="H41" s="0" t="n">
        <f aca="true">CRITBINOM(MAX(0,$C41-D41),MIN(0.6,Matchup!$B$40*SQRT($B41)/(1-MIN(0.75,Matchup!$B$39*$B41))),RAND())</f>
        <v>1</v>
      </c>
      <c r="I41" s="0" t="n">
        <f aca="false">6*D41+(D41-E41-G41)+2*F41+3*H41</f>
        <v>24</v>
      </c>
      <c r="J41" s="0" t="n">
        <f aca="true">CRITBINOM($C41,MIN(0.75,Matchup!$C$39*$B41),RAND())</f>
        <v>1</v>
      </c>
      <c r="K41" s="0" t="n">
        <f aca="true">CRITBINOM(J41,Coefficients!$B$30,RAND())</f>
        <v>0</v>
      </c>
      <c r="L41" s="0" t="n">
        <f aca="true">CRITBINOM(K41,Coefficients!$B$31,RAND())</f>
        <v>0</v>
      </c>
      <c r="M41" s="0" t="n">
        <f aca="true">CRITBINOM(MAX(0,J41-K41),1-Coefficients!$B$32,RAND())</f>
        <v>0</v>
      </c>
      <c r="N41" s="0" t="n">
        <f aca="true">CRITBINOM(MAX(0,$C41-J41),MIN(0.6,Matchup!$C$40*SQRT($B41)/(1-MIN(0.75,Matchup!$C$39*$B41))),RAND())</f>
        <v>3</v>
      </c>
      <c r="O41" s="0" t="n">
        <f aca="false">6*J41+(J41-K41-M41)+2*L41+3*N41</f>
        <v>16</v>
      </c>
      <c r="P41" s="0" t="n">
        <f aca="true">RAND()</f>
        <v>0.813262828023968</v>
      </c>
      <c r="Q41" s="0" t="n">
        <f aca="true">RAND()</f>
        <v>0.036155194375601</v>
      </c>
      <c r="R41" s="0" t="n">
        <f aca="false">IF($I41&lt;&gt;$O41,0,IF(P41&lt;Matchup!$B$39,7,IF(P41&lt;Matchup!$B$39+Matchup!$B$40,3,0)))</f>
        <v>0</v>
      </c>
      <c r="S41" s="0" t="n">
        <f aca="false">IF($I41&lt;&gt;$O41,0,IF(Q41&lt;Matchup!$C$39,7,IF(Q41&lt;Matchup!$C$39+Matchup!$C$40,3,0)))</f>
        <v>0</v>
      </c>
      <c r="T41" s="0" t="n">
        <f aca="false">I41+R41</f>
        <v>24</v>
      </c>
      <c r="U41" s="0" t="n">
        <f aca="false">O41+S41</f>
        <v>16</v>
      </c>
      <c r="V41" s="0" t="n">
        <f aca="false">T41-U41</f>
        <v>8</v>
      </c>
      <c r="W41" s="0" t="n">
        <f aca="false">T41+U41</f>
        <v>40</v>
      </c>
    </row>
    <row r="42" customFormat="false" ht="15" hidden="false" customHeight="false" outlineLevel="0" collapsed="false">
      <c r="A42" s="0" t="n">
        <v>39</v>
      </c>
      <c r="B42" s="0" t="n">
        <f aca="true">NORMINV(RAND(),1,Coefficients!$B$22)</f>
        <v>1.08084470486696</v>
      </c>
      <c r="C42" s="0" t="n">
        <f aca="true">MEDIAN(8,16,ROUND(NORMINV(RAND(),Coefficients!$B$20,Coefficients!$B$21),0))</f>
        <v>9</v>
      </c>
      <c r="D42" s="0" t="n">
        <f aca="true">CRITBINOM($C42,MIN(0.75,Matchup!$B$39*$B42),RAND())</f>
        <v>3</v>
      </c>
      <c r="E42" s="0" t="n">
        <f aca="true">CRITBINOM(D42,Coefficients!$B$30,RAND())</f>
        <v>1</v>
      </c>
      <c r="F42" s="0" t="n">
        <f aca="true">CRITBINOM(E42,Coefficients!$B$31,RAND())</f>
        <v>0</v>
      </c>
      <c r="G42" s="0" t="n">
        <f aca="true">CRITBINOM(MAX(0,D42-E42),1-Coefficients!$B$32,RAND())</f>
        <v>0</v>
      </c>
      <c r="H42" s="0" t="n">
        <f aca="true">CRITBINOM(MAX(0,$C42-D42),MIN(0.6,Matchup!$B$40*SQRT($B42)/(1-MIN(0.75,Matchup!$B$39*$B42))),RAND())</f>
        <v>1</v>
      </c>
      <c r="I42" s="0" t="n">
        <f aca="false">6*D42+(D42-E42-G42)+2*F42+3*H42</f>
        <v>23</v>
      </c>
      <c r="J42" s="0" t="n">
        <f aca="true">CRITBINOM($C42,MIN(0.75,Matchup!$C$39*$B42),RAND())</f>
        <v>3</v>
      </c>
      <c r="K42" s="0" t="n">
        <f aca="true">CRITBINOM(J42,Coefficients!$B$30,RAND())</f>
        <v>0</v>
      </c>
      <c r="L42" s="0" t="n">
        <f aca="true">CRITBINOM(K42,Coefficients!$B$31,RAND())</f>
        <v>0</v>
      </c>
      <c r="M42" s="0" t="n">
        <f aca="true">CRITBINOM(MAX(0,J42-K42),1-Coefficients!$B$32,RAND())</f>
        <v>0</v>
      </c>
      <c r="N42" s="0" t="n">
        <f aca="true">CRITBINOM(MAX(0,$C42-J42),MIN(0.6,Matchup!$C$40*SQRT($B42)/(1-MIN(0.75,Matchup!$C$39*$B42))),RAND())</f>
        <v>2</v>
      </c>
      <c r="O42" s="0" t="n">
        <f aca="false">6*J42+(J42-K42-M42)+2*L42+3*N42</f>
        <v>27</v>
      </c>
      <c r="P42" s="0" t="n">
        <f aca="true">RAND()</f>
        <v>0.99679517192765</v>
      </c>
      <c r="Q42" s="0" t="n">
        <f aca="true">RAND()</f>
        <v>0.0633809542677708</v>
      </c>
      <c r="R42" s="0" t="n">
        <f aca="false">IF($I42&lt;&gt;$O42,0,IF(P42&lt;Matchup!$B$39,7,IF(P42&lt;Matchup!$B$39+Matchup!$B$40,3,0)))</f>
        <v>0</v>
      </c>
      <c r="S42" s="0" t="n">
        <f aca="false">IF($I42&lt;&gt;$O42,0,IF(Q42&lt;Matchup!$C$39,7,IF(Q42&lt;Matchup!$C$39+Matchup!$C$40,3,0)))</f>
        <v>0</v>
      </c>
      <c r="T42" s="0" t="n">
        <f aca="false">I42+R42</f>
        <v>23</v>
      </c>
      <c r="U42" s="0" t="n">
        <f aca="false">O42+S42</f>
        <v>27</v>
      </c>
      <c r="V42" s="0" t="n">
        <f aca="false">T42-U42</f>
        <v>-4</v>
      </c>
      <c r="W42" s="0" t="n">
        <f aca="false">T42+U42</f>
        <v>50</v>
      </c>
    </row>
    <row r="43" customFormat="false" ht="15" hidden="false" customHeight="false" outlineLevel="0" collapsed="false">
      <c r="A43" s="0" t="n">
        <v>40</v>
      </c>
      <c r="B43" s="0" t="n">
        <f aca="true">NORMINV(RAND(),1,Coefficients!$B$22)</f>
        <v>1.00173457777174</v>
      </c>
      <c r="C43" s="0" t="n">
        <f aca="true">MEDIAN(8,16,ROUND(NORMINV(RAND(),Coefficients!$B$20,Coefficients!$B$21),0))</f>
        <v>9</v>
      </c>
      <c r="D43" s="0" t="n">
        <f aca="true">CRITBINOM($C43,MIN(0.75,Matchup!$B$39*$B43),RAND())</f>
        <v>3</v>
      </c>
      <c r="E43" s="0" t="n">
        <f aca="true">CRITBINOM(D43,Coefficients!$B$30,RAND())</f>
        <v>0</v>
      </c>
      <c r="F43" s="0" t="n">
        <f aca="true">CRITBINOM(E43,Coefficients!$B$31,RAND())</f>
        <v>0</v>
      </c>
      <c r="G43" s="0" t="n">
        <f aca="true">CRITBINOM(MAX(0,D43-E43),1-Coefficients!$B$32,RAND())</f>
        <v>0</v>
      </c>
      <c r="H43" s="0" t="n">
        <f aca="true">CRITBINOM(MAX(0,$C43-D43),MIN(0.6,Matchup!$B$40*SQRT($B43)/(1-MIN(0.75,Matchup!$B$39*$B43))),RAND())</f>
        <v>3</v>
      </c>
      <c r="I43" s="0" t="n">
        <f aca="false">6*D43+(D43-E43-G43)+2*F43+3*H43</f>
        <v>30</v>
      </c>
      <c r="J43" s="0" t="n">
        <f aca="true">CRITBINOM($C43,MIN(0.75,Matchup!$C$39*$B43),RAND())</f>
        <v>2</v>
      </c>
      <c r="K43" s="0" t="n">
        <f aca="true">CRITBINOM(J43,Coefficients!$B$30,RAND())</f>
        <v>0</v>
      </c>
      <c r="L43" s="0" t="n">
        <f aca="true">CRITBINOM(K43,Coefficients!$B$31,RAND())</f>
        <v>0</v>
      </c>
      <c r="M43" s="0" t="n">
        <f aca="true">CRITBINOM(MAX(0,J43-K43),1-Coefficients!$B$32,RAND())</f>
        <v>0</v>
      </c>
      <c r="N43" s="0" t="n">
        <f aca="true">CRITBINOM(MAX(0,$C43-J43),MIN(0.6,Matchup!$C$40*SQRT($B43)/(1-MIN(0.75,Matchup!$C$39*$B43))),RAND())</f>
        <v>0</v>
      </c>
      <c r="O43" s="0" t="n">
        <f aca="false">6*J43+(J43-K43-M43)+2*L43+3*N43</f>
        <v>14</v>
      </c>
      <c r="P43" s="0" t="n">
        <f aca="true">RAND()</f>
        <v>0.344616692315266</v>
      </c>
      <c r="Q43" s="0" t="n">
        <f aca="true">RAND()</f>
        <v>0.292747538807436</v>
      </c>
      <c r="R43" s="0" t="n">
        <f aca="false">IF($I43&lt;&gt;$O43,0,IF(P43&lt;Matchup!$B$39,7,IF(P43&lt;Matchup!$B$39+Matchup!$B$40,3,0)))</f>
        <v>0</v>
      </c>
      <c r="S43" s="0" t="n">
        <f aca="false">IF($I43&lt;&gt;$O43,0,IF(Q43&lt;Matchup!$C$39,7,IF(Q43&lt;Matchup!$C$39+Matchup!$C$40,3,0)))</f>
        <v>0</v>
      </c>
      <c r="T43" s="0" t="n">
        <f aca="false">I43+R43</f>
        <v>30</v>
      </c>
      <c r="U43" s="0" t="n">
        <f aca="false">O43+S43</f>
        <v>14</v>
      </c>
      <c r="V43" s="0" t="n">
        <f aca="false">T43-U43</f>
        <v>16</v>
      </c>
      <c r="W43" s="0" t="n">
        <f aca="false">T43+U43</f>
        <v>44</v>
      </c>
    </row>
    <row r="44" customFormat="false" ht="15" hidden="false" customHeight="false" outlineLevel="0" collapsed="false">
      <c r="A44" s="0" t="n">
        <v>41</v>
      </c>
      <c r="B44" s="0" t="n">
        <f aca="true">NORMINV(RAND(),1,Coefficients!$B$22)</f>
        <v>0.966797383219234</v>
      </c>
      <c r="C44" s="0" t="n">
        <f aca="true">MEDIAN(8,16,ROUND(NORMINV(RAND(),Coefficients!$B$20,Coefficients!$B$21),0))</f>
        <v>11</v>
      </c>
      <c r="D44" s="0" t="n">
        <f aca="true">CRITBINOM($C44,MIN(0.75,Matchup!$B$39*$B44),RAND())</f>
        <v>1</v>
      </c>
      <c r="E44" s="0" t="n">
        <f aca="true">CRITBINOM(D44,Coefficients!$B$30,RAND())</f>
        <v>0</v>
      </c>
      <c r="F44" s="0" t="n">
        <f aca="true">CRITBINOM(E44,Coefficients!$B$31,RAND())</f>
        <v>0</v>
      </c>
      <c r="G44" s="0" t="n">
        <f aca="true">CRITBINOM(MAX(0,D44-E44),1-Coefficients!$B$32,RAND())</f>
        <v>0</v>
      </c>
      <c r="H44" s="0" t="n">
        <f aca="true">CRITBINOM(MAX(0,$C44-D44),MIN(0.6,Matchup!$B$40*SQRT($B44)/(1-MIN(0.75,Matchup!$B$39*$B44))),RAND())</f>
        <v>3</v>
      </c>
      <c r="I44" s="0" t="n">
        <f aca="false">6*D44+(D44-E44-G44)+2*F44+3*H44</f>
        <v>16</v>
      </c>
      <c r="J44" s="0" t="n">
        <f aca="true">CRITBINOM($C44,MIN(0.75,Matchup!$C$39*$B44),RAND())</f>
        <v>3</v>
      </c>
      <c r="K44" s="0" t="n">
        <f aca="true">CRITBINOM(J44,Coefficients!$B$30,RAND())</f>
        <v>1</v>
      </c>
      <c r="L44" s="0" t="n">
        <f aca="true">CRITBINOM(K44,Coefficients!$B$31,RAND())</f>
        <v>1</v>
      </c>
      <c r="M44" s="0" t="n">
        <f aca="true">CRITBINOM(MAX(0,J44-K44),1-Coefficients!$B$32,RAND())</f>
        <v>0</v>
      </c>
      <c r="N44" s="0" t="n">
        <f aca="true">CRITBINOM(MAX(0,$C44-J44),MIN(0.6,Matchup!$C$40*SQRT($B44)/(1-MIN(0.75,Matchup!$C$39*$B44))),RAND())</f>
        <v>0</v>
      </c>
      <c r="O44" s="0" t="n">
        <f aca="false">6*J44+(J44-K44-M44)+2*L44+3*N44</f>
        <v>22</v>
      </c>
      <c r="P44" s="0" t="n">
        <f aca="true">RAND()</f>
        <v>0.827328715791016</v>
      </c>
      <c r="Q44" s="0" t="n">
        <f aca="true">RAND()</f>
        <v>0.933021214772085</v>
      </c>
      <c r="R44" s="0" t="n">
        <f aca="false">IF($I44&lt;&gt;$O44,0,IF(P44&lt;Matchup!$B$39,7,IF(P44&lt;Matchup!$B$39+Matchup!$B$40,3,0)))</f>
        <v>0</v>
      </c>
      <c r="S44" s="0" t="n">
        <f aca="false">IF($I44&lt;&gt;$O44,0,IF(Q44&lt;Matchup!$C$39,7,IF(Q44&lt;Matchup!$C$39+Matchup!$C$40,3,0)))</f>
        <v>0</v>
      </c>
      <c r="T44" s="0" t="n">
        <f aca="false">I44+R44</f>
        <v>16</v>
      </c>
      <c r="U44" s="0" t="n">
        <f aca="false">O44+S44</f>
        <v>22</v>
      </c>
      <c r="V44" s="0" t="n">
        <f aca="false">T44-U44</f>
        <v>-6</v>
      </c>
      <c r="W44" s="0" t="n">
        <f aca="false">T44+U44</f>
        <v>38</v>
      </c>
    </row>
    <row r="45" customFormat="false" ht="15" hidden="false" customHeight="false" outlineLevel="0" collapsed="false">
      <c r="A45" s="0" t="n">
        <v>42</v>
      </c>
      <c r="B45" s="0" t="n">
        <f aca="true">NORMINV(RAND(),1,Coefficients!$B$22)</f>
        <v>0.852869503291531</v>
      </c>
      <c r="C45" s="0" t="n">
        <f aca="true">MEDIAN(8,16,ROUND(NORMINV(RAND(),Coefficients!$B$20,Coefficients!$B$21),0))</f>
        <v>11</v>
      </c>
      <c r="D45" s="0" t="n">
        <f aca="true">CRITBINOM($C45,MIN(0.75,Matchup!$B$39*$B45),RAND())</f>
        <v>2</v>
      </c>
      <c r="E45" s="0" t="n">
        <f aca="true">CRITBINOM(D45,Coefficients!$B$30,RAND())</f>
        <v>0</v>
      </c>
      <c r="F45" s="0" t="n">
        <f aca="true">CRITBINOM(E45,Coefficients!$B$31,RAND())</f>
        <v>0</v>
      </c>
      <c r="G45" s="0" t="n">
        <f aca="true">CRITBINOM(MAX(0,D45-E45),1-Coefficients!$B$32,RAND())</f>
        <v>0</v>
      </c>
      <c r="H45" s="0" t="n">
        <f aca="true">CRITBINOM(MAX(0,$C45-D45),MIN(0.6,Matchup!$B$40*SQRT($B45)/(1-MIN(0.75,Matchup!$B$39*$B45))),RAND())</f>
        <v>2</v>
      </c>
      <c r="I45" s="0" t="n">
        <f aca="false">6*D45+(D45-E45-G45)+2*F45+3*H45</f>
        <v>20</v>
      </c>
      <c r="J45" s="0" t="n">
        <f aca="true">CRITBINOM($C45,MIN(0.75,Matchup!$C$39*$B45),RAND())</f>
        <v>3</v>
      </c>
      <c r="K45" s="0" t="n">
        <f aca="true">CRITBINOM(J45,Coefficients!$B$30,RAND())</f>
        <v>0</v>
      </c>
      <c r="L45" s="0" t="n">
        <f aca="true">CRITBINOM(K45,Coefficients!$B$31,RAND())</f>
        <v>0</v>
      </c>
      <c r="M45" s="0" t="n">
        <f aca="true">CRITBINOM(MAX(0,J45-K45),1-Coefficients!$B$32,RAND())</f>
        <v>0</v>
      </c>
      <c r="N45" s="0" t="n">
        <f aca="true">CRITBINOM(MAX(0,$C45-J45),MIN(0.6,Matchup!$C$40*SQRT($B45)/(1-MIN(0.75,Matchup!$C$39*$B45))),RAND())</f>
        <v>2</v>
      </c>
      <c r="O45" s="0" t="n">
        <f aca="false">6*J45+(J45-K45-M45)+2*L45+3*N45</f>
        <v>27</v>
      </c>
      <c r="P45" s="0" t="n">
        <f aca="true">RAND()</f>
        <v>0.979893562718347</v>
      </c>
      <c r="Q45" s="0" t="n">
        <f aca="true">RAND()</f>
        <v>0.270106336289654</v>
      </c>
      <c r="R45" s="0" t="n">
        <f aca="false">IF($I45&lt;&gt;$O45,0,IF(P45&lt;Matchup!$B$39,7,IF(P45&lt;Matchup!$B$39+Matchup!$B$40,3,0)))</f>
        <v>0</v>
      </c>
      <c r="S45" s="0" t="n">
        <f aca="false">IF($I45&lt;&gt;$O45,0,IF(Q45&lt;Matchup!$C$39,7,IF(Q45&lt;Matchup!$C$39+Matchup!$C$40,3,0)))</f>
        <v>0</v>
      </c>
      <c r="T45" s="0" t="n">
        <f aca="false">I45+R45</f>
        <v>20</v>
      </c>
      <c r="U45" s="0" t="n">
        <f aca="false">O45+S45</f>
        <v>27</v>
      </c>
      <c r="V45" s="0" t="n">
        <f aca="false">T45-U45</f>
        <v>-7</v>
      </c>
      <c r="W45" s="0" t="n">
        <f aca="false">T45+U45</f>
        <v>47</v>
      </c>
    </row>
    <row r="46" customFormat="false" ht="15" hidden="false" customHeight="false" outlineLevel="0" collapsed="false">
      <c r="A46" s="0" t="n">
        <v>43</v>
      </c>
      <c r="B46" s="0" t="n">
        <f aca="true">NORMINV(RAND(),1,Coefficients!$B$22)</f>
        <v>1.07513177101075</v>
      </c>
      <c r="C46" s="0" t="n">
        <f aca="true">MEDIAN(8,16,ROUND(NORMINV(RAND(),Coefficients!$B$20,Coefficients!$B$21),0))</f>
        <v>12</v>
      </c>
      <c r="D46" s="0" t="n">
        <f aca="true">CRITBINOM($C46,MIN(0.75,Matchup!$B$39*$B46),RAND())</f>
        <v>3</v>
      </c>
      <c r="E46" s="0" t="n">
        <f aca="true">CRITBINOM(D46,Coefficients!$B$30,RAND())</f>
        <v>0</v>
      </c>
      <c r="F46" s="0" t="n">
        <f aca="true">CRITBINOM(E46,Coefficients!$B$31,RAND())</f>
        <v>0</v>
      </c>
      <c r="G46" s="0" t="n">
        <f aca="true">CRITBINOM(MAX(0,D46-E46),1-Coefficients!$B$32,RAND())</f>
        <v>0</v>
      </c>
      <c r="H46" s="0" t="n">
        <f aca="true">CRITBINOM(MAX(0,$C46-D46),MIN(0.6,Matchup!$B$40*SQRT($B46)/(1-MIN(0.75,Matchup!$B$39*$B46))),RAND())</f>
        <v>1</v>
      </c>
      <c r="I46" s="0" t="n">
        <f aca="false">6*D46+(D46-E46-G46)+2*F46+3*H46</f>
        <v>24</v>
      </c>
      <c r="J46" s="0" t="n">
        <f aca="true">CRITBINOM($C46,MIN(0.75,Matchup!$C$39*$B46),RAND())</f>
        <v>1</v>
      </c>
      <c r="K46" s="0" t="n">
        <f aca="true">CRITBINOM(J46,Coefficients!$B$30,RAND())</f>
        <v>0</v>
      </c>
      <c r="L46" s="0" t="n">
        <f aca="true">CRITBINOM(K46,Coefficients!$B$31,RAND())</f>
        <v>0</v>
      </c>
      <c r="M46" s="0" t="n">
        <f aca="true">CRITBINOM(MAX(0,J46-K46),1-Coefficients!$B$32,RAND())</f>
        <v>0</v>
      </c>
      <c r="N46" s="0" t="n">
        <f aca="true">CRITBINOM(MAX(0,$C46-J46),MIN(0.6,Matchup!$C$40*SQRT($B46)/(1-MIN(0.75,Matchup!$C$39*$B46))),RAND())</f>
        <v>1</v>
      </c>
      <c r="O46" s="0" t="n">
        <f aca="false">6*J46+(J46-K46-M46)+2*L46+3*N46</f>
        <v>10</v>
      </c>
      <c r="P46" s="0" t="n">
        <f aca="true">RAND()</f>
        <v>0.245363153890444</v>
      </c>
      <c r="Q46" s="0" t="n">
        <f aca="true">RAND()</f>
        <v>0.178297498384214</v>
      </c>
      <c r="R46" s="0" t="n">
        <f aca="false">IF($I46&lt;&gt;$O46,0,IF(P46&lt;Matchup!$B$39,7,IF(P46&lt;Matchup!$B$39+Matchup!$B$40,3,0)))</f>
        <v>0</v>
      </c>
      <c r="S46" s="0" t="n">
        <f aca="false">IF($I46&lt;&gt;$O46,0,IF(Q46&lt;Matchup!$C$39,7,IF(Q46&lt;Matchup!$C$39+Matchup!$C$40,3,0)))</f>
        <v>0</v>
      </c>
      <c r="T46" s="0" t="n">
        <f aca="false">I46+R46</f>
        <v>24</v>
      </c>
      <c r="U46" s="0" t="n">
        <f aca="false">O46+S46</f>
        <v>10</v>
      </c>
      <c r="V46" s="0" t="n">
        <f aca="false">T46-U46</f>
        <v>14</v>
      </c>
      <c r="W46" s="0" t="n">
        <f aca="false">T46+U46</f>
        <v>34</v>
      </c>
    </row>
    <row r="47" customFormat="false" ht="15" hidden="false" customHeight="false" outlineLevel="0" collapsed="false">
      <c r="A47" s="0" t="n">
        <v>44</v>
      </c>
      <c r="B47" s="0" t="n">
        <f aca="true">NORMINV(RAND(),1,Coefficients!$B$22)</f>
        <v>1.05610083031283</v>
      </c>
      <c r="C47" s="0" t="n">
        <f aca="true">MEDIAN(8,16,ROUND(NORMINV(RAND(),Coefficients!$B$20,Coefficients!$B$21),0))</f>
        <v>13</v>
      </c>
      <c r="D47" s="0" t="n">
        <f aca="true">CRITBINOM($C47,MIN(0.75,Matchup!$B$39*$B47),RAND())</f>
        <v>2</v>
      </c>
      <c r="E47" s="0" t="n">
        <f aca="true">CRITBINOM(D47,Coefficients!$B$30,RAND())</f>
        <v>0</v>
      </c>
      <c r="F47" s="0" t="n">
        <f aca="true">CRITBINOM(E47,Coefficients!$B$31,RAND())</f>
        <v>0</v>
      </c>
      <c r="G47" s="0" t="n">
        <f aca="true">CRITBINOM(MAX(0,D47-E47),1-Coefficients!$B$32,RAND())</f>
        <v>0</v>
      </c>
      <c r="H47" s="0" t="n">
        <f aca="true">CRITBINOM(MAX(0,$C47-D47),MIN(0.6,Matchup!$B$40*SQRT($B47)/(1-MIN(0.75,Matchup!$B$39*$B47))),RAND())</f>
        <v>2</v>
      </c>
      <c r="I47" s="0" t="n">
        <f aca="false">6*D47+(D47-E47-G47)+2*F47+3*H47</f>
        <v>20</v>
      </c>
      <c r="J47" s="0" t="n">
        <f aca="true">CRITBINOM($C47,MIN(0.75,Matchup!$C$39*$B47),RAND())</f>
        <v>2</v>
      </c>
      <c r="K47" s="0" t="n">
        <f aca="true">CRITBINOM(J47,Coefficients!$B$30,RAND())</f>
        <v>0</v>
      </c>
      <c r="L47" s="0" t="n">
        <f aca="true">CRITBINOM(K47,Coefficients!$B$31,RAND())</f>
        <v>0</v>
      </c>
      <c r="M47" s="0" t="n">
        <f aca="true">CRITBINOM(MAX(0,J47-K47),1-Coefficients!$B$32,RAND())</f>
        <v>0</v>
      </c>
      <c r="N47" s="0" t="n">
        <f aca="true">CRITBINOM(MAX(0,$C47-J47),MIN(0.6,Matchup!$C$40*SQRT($B47)/(1-MIN(0.75,Matchup!$C$39*$B47))),RAND())</f>
        <v>2</v>
      </c>
      <c r="O47" s="0" t="n">
        <f aca="false">6*J47+(J47-K47-M47)+2*L47+3*N47</f>
        <v>20</v>
      </c>
      <c r="P47" s="0" t="n">
        <f aca="true">RAND()</f>
        <v>0.314281703015706</v>
      </c>
      <c r="Q47" s="0" t="n">
        <f aca="true">RAND()</f>
        <v>0.993605602833188</v>
      </c>
      <c r="R47" s="0" t="n">
        <f aca="false">IF($I47&lt;&gt;$O47,0,IF(P47&lt;Matchup!$B$39,7,IF(P47&lt;Matchup!$B$39+Matchup!$B$40,3,0)))</f>
        <v>3</v>
      </c>
      <c r="S47" s="0" t="n">
        <f aca="false">IF($I47&lt;&gt;$O47,0,IF(Q47&lt;Matchup!$C$39,7,IF(Q47&lt;Matchup!$C$39+Matchup!$C$40,3,0)))</f>
        <v>0</v>
      </c>
      <c r="T47" s="0" t="n">
        <f aca="false">I47+R47</f>
        <v>23</v>
      </c>
      <c r="U47" s="0" t="n">
        <f aca="false">O47+S47</f>
        <v>20</v>
      </c>
      <c r="V47" s="0" t="n">
        <f aca="false">T47-U47</f>
        <v>3</v>
      </c>
      <c r="W47" s="0" t="n">
        <f aca="false">T47+U47</f>
        <v>43</v>
      </c>
    </row>
    <row r="48" customFormat="false" ht="15" hidden="false" customHeight="false" outlineLevel="0" collapsed="false">
      <c r="A48" s="0" t="n">
        <v>45</v>
      </c>
      <c r="B48" s="0" t="n">
        <f aca="true">NORMINV(RAND(),1,Coefficients!$B$22)</f>
        <v>0.96024524604206</v>
      </c>
      <c r="C48" s="0" t="n">
        <f aca="true">MEDIAN(8,16,ROUND(NORMINV(RAND(),Coefficients!$B$20,Coefficients!$B$21),0))</f>
        <v>11</v>
      </c>
      <c r="D48" s="0" t="n">
        <f aca="true">CRITBINOM($C48,MIN(0.75,Matchup!$B$39*$B48),RAND())</f>
        <v>3</v>
      </c>
      <c r="E48" s="0" t="n">
        <f aca="true">CRITBINOM(D48,Coefficients!$B$30,RAND())</f>
        <v>0</v>
      </c>
      <c r="F48" s="0" t="n">
        <f aca="true">CRITBINOM(E48,Coefficients!$B$31,RAND())</f>
        <v>0</v>
      </c>
      <c r="G48" s="0" t="n">
        <f aca="true">CRITBINOM(MAX(0,D48-E48),1-Coefficients!$B$32,RAND())</f>
        <v>0</v>
      </c>
      <c r="H48" s="0" t="n">
        <f aca="true">CRITBINOM(MAX(0,$C48-D48),MIN(0.6,Matchup!$B$40*SQRT($B48)/(1-MIN(0.75,Matchup!$B$39*$B48))),RAND())</f>
        <v>0</v>
      </c>
      <c r="I48" s="0" t="n">
        <f aca="false">6*D48+(D48-E48-G48)+2*F48+3*H48</f>
        <v>21</v>
      </c>
      <c r="J48" s="0" t="n">
        <f aca="true">CRITBINOM($C48,MIN(0.75,Matchup!$C$39*$B48),RAND())</f>
        <v>2</v>
      </c>
      <c r="K48" s="0" t="n">
        <f aca="true">CRITBINOM(J48,Coefficients!$B$30,RAND())</f>
        <v>0</v>
      </c>
      <c r="L48" s="0" t="n">
        <f aca="true">CRITBINOM(K48,Coefficients!$B$31,RAND())</f>
        <v>0</v>
      </c>
      <c r="M48" s="0" t="n">
        <f aca="true">CRITBINOM(MAX(0,J48-K48),1-Coefficients!$B$32,RAND())</f>
        <v>0</v>
      </c>
      <c r="N48" s="0" t="n">
        <f aca="true">CRITBINOM(MAX(0,$C48-J48),MIN(0.6,Matchup!$C$40*SQRT($B48)/(1-MIN(0.75,Matchup!$C$39*$B48))),RAND())</f>
        <v>0</v>
      </c>
      <c r="O48" s="0" t="n">
        <f aca="false">6*J48+(J48-K48-M48)+2*L48+3*N48</f>
        <v>14</v>
      </c>
      <c r="P48" s="0" t="n">
        <f aca="true">RAND()</f>
        <v>0.983607044355777</v>
      </c>
      <c r="Q48" s="0" t="n">
        <f aca="true">RAND()</f>
        <v>0.461581858337399</v>
      </c>
      <c r="R48" s="0" t="n">
        <f aca="false">IF($I48&lt;&gt;$O48,0,IF(P48&lt;Matchup!$B$39,7,IF(P48&lt;Matchup!$B$39+Matchup!$B$40,3,0)))</f>
        <v>0</v>
      </c>
      <c r="S48" s="0" t="n">
        <f aca="false">IF($I48&lt;&gt;$O48,0,IF(Q48&lt;Matchup!$C$39,7,IF(Q48&lt;Matchup!$C$39+Matchup!$C$40,3,0)))</f>
        <v>0</v>
      </c>
      <c r="T48" s="0" t="n">
        <f aca="false">I48+R48</f>
        <v>21</v>
      </c>
      <c r="U48" s="0" t="n">
        <f aca="false">O48+S48</f>
        <v>14</v>
      </c>
      <c r="V48" s="0" t="n">
        <f aca="false">T48-U48</f>
        <v>7</v>
      </c>
      <c r="W48" s="0" t="n">
        <f aca="false">T48+U48</f>
        <v>35</v>
      </c>
    </row>
    <row r="49" customFormat="false" ht="15" hidden="false" customHeight="false" outlineLevel="0" collapsed="false">
      <c r="A49" s="0" t="n">
        <v>46</v>
      </c>
      <c r="B49" s="0" t="n">
        <f aca="true">NORMINV(RAND(),1,Coefficients!$B$22)</f>
        <v>0.946909746729675</v>
      </c>
      <c r="C49" s="0" t="n">
        <f aca="true">MEDIAN(8,16,ROUND(NORMINV(RAND(),Coefficients!$B$20,Coefficients!$B$21),0))</f>
        <v>11</v>
      </c>
      <c r="D49" s="0" t="n">
        <f aca="true">CRITBINOM($C49,MIN(0.75,Matchup!$B$39*$B49),RAND())</f>
        <v>2</v>
      </c>
      <c r="E49" s="0" t="n">
        <f aca="true">CRITBINOM(D49,Coefficients!$B$30,RAND())</f>
        <v>0</v>
      </c>
      <c r="F49" s="0" t="n">
        <f aca="true">CRITBINOM(E49,Coefficients!$B$31,RAND())</f>
        <v>0</v>
      </c>
      <c r="G49" s="0" t="n">
        <f aca="true">CRITBINOM(MAX(0,D49-E49),1-Coefficients!$B$32,RAND())</f>
        <v>0</v>
      </c>
      <c r="H49" s="0" t="n">
        <f aca="true">CRITBINOM(MAX(0,$C49-D49),MIN(0.6,Matchup!$B$40*SQRT($B49)/(1-MIN(0.75,Matchup!$B$39*$B49))),RAND())</f>
        <v>4</v>
      </c>
      <c r="I49" s="0" t="n">
        <f aca="false">6*D49+(D49-E49-G49)+2*F49+3*H49</f>
        <v>26</v>
      </c>
      <c r="J49" s="0" t="n">
        <f aca="true">CRITBINOM($C49,MIN(0.75,Matchup!$C$39*$B49),RAND())</f>
        <v>0</v>
      </c>
      <c r="K49" s="0" t="n">
        <f aca="true">CRITBINOM(J49,Coefficients!$B$30,RAND())</f>
        <v>0</v>
      </c>
      <c r="L49" s="0" t="n">
        <f aca="true">CRITBINOM(K49,Coefficients!$B$31,RAND())</f>
        <v>0</v>
      </c>
      <c r="M49" s="0" t="n">
        <f aca="true">CRITBINOM(MAX(0,J49-K49),1-Coefficients!$B$32,RAND())</f>
        <v>0</v>
      </c>
      <c r="N49" s="0" t="n">
        <f aca="true">CRITBINOM(MAX(0,$C49-J49),MIN(0.6,Matchup!$C$40*SQRT($B49)/(1-MIN(0.75,Matchup!$C$39*$B49))),RAND())</f>
        <v>2</v>
      </c>
      <c r="O49" s="0" t="n">
        <f aca="false">6*J49+(J49-K49-M49)+2*L49+3*N49</f>
        <v>6</v>
      </c>
      <c r="P49" s="0" t="n">
        <f aca="true">RAND()</f>
        <v>0.146731015869122</v>
      </c>
      <c r="Q49" s="0" t="n">
        <f aca="true">RAND()</f>
        <v>0.905955117284488</v>
      </c>
      <c r="R49" s="0" t="n">
        <f aca="false">IF($I49&lt;&gt;$O49,0,IF(P49&lt;Matchup!$B$39,7,IF(P49&lt;Matchup!$B$39+Matchup!$B$40,3,0)))</f>
        <v>0</v>
      </c>
      <c r="S49" s="0" t="n">
        <f aca="false">IF($I49&lt;&gt;$O49,0,IF(Q49&lt;Matchup!$C$39,7,IF(Q49&lt;Matchup!$C$39+Matchup!$C$40,3,0)))</f>
        <v>0</v>
      </c>
      <c r="T49" s="0" t="n">
        <f aca="false">I49+R49</f>
        <v>26</v>
      </c>
      <c r="U49" s="0" t="n">
        <f aca="false">O49+S49</f>
        <v>6</v>
      </c>
      <c r="V49" s="0" t="n">
        <f aca="false">T49-U49</f>
        <v>20</v>
      </c>
      <c r="W49" s="0" t="n">
        <f aca="false">T49+U49</f>
        <v>32</v>
      </c>
    </row>
    <row r="50" customFormat="false" ht="15" hidden="false" customHeight="false" outlineLevel="0" collapsed="false">
      <c r="A50" s="0" t="n">
        <v>47</v>
      </c>
      <c r="B50" s="0" t="n">
        <f aca="true">NORMINV(RAND(),1,Coefficients!$B$22)</f>
        <v>0.976672157346482</v>
      </c>
      <c r="C50" s="0" t="n">
        <f aca="true">MEDIAN(8,16,ROUND(NORMINV(RAND(),Coefficients!$B$20,Coefficients!$B$21),0))</f>
        <v>10</v>
      </c>
      <c r="D50" s="0" t="n">
        <f aca="true">CRITBINOM($C50,MIN(0.75,Matchup!$B$39*$B50),RAND())</f>
        <v>2</v>
      </c>
      <c r="E50" s="0" t="n">
        <f aca="true">CRITBINOM(D50,Coefficients!$B$30,RAND())</f>
        <v>0</v>
      </c>
      <c r="F50" s="0" t="n">
        <f aca="true">CRITBINOM(E50,Coefficients!$B$31,RAND())</f>
        <v>0</v>
      </c>
      <c r="G50" s="0" t="n">
        <f aca="true">CRITBINOM(MAX(0,D50-E50),1-Coefficients!$B$32,RAND())</f>
        <v>0</v>
      </c>
      <c r="H50" s="0" t="n">
        <f aca="true">CRITBINOM(MAX(0,$C50-D50),MIN(0.6,Matchup!$B$40*SQRT($B50)/(1-MIN(0.75,Matchup!$B$39*$B50))),RAND())</f>
        <v>4</v>
      </c>
      <c r="I50" s="0" t="n">
        <f aca="false">6*D50+(D50-E50-G50)+2*F50+3*H50</f>
        <v>26</v>
      </c>
      <c r="J50" s="0" t="n">
        <f aca="true">CRITBINOM($C50,MIN(0.75,Matchup!$C$39*$B50),RAND())</f>
        <v>2</v>
      </c>
      <c r="K50" s="0" t="n">
        <f aca="true">CRITBINOM(J50,Coefficients!$B$30,RAND())</f>
        <v>0</v>
      </c>
      <c r="L50" s="0" t="n">
        <f aca="true">CRITBINOM(K50,Coefficients!$B$31,RAND())</f>
        <v>0</v>
      </c>
      <c r="M50" s="0" t="n">
        <f aca="true">CRITBINOM(MAX(0,J50-K50),1-Coefficients!$B$32,RAND())</f>
        <v>0</v>
      </c>
      <c r="N50" s="0" t="n">
        <f aca="true">CRITBINOM(MAX(0,$C50-J50),MIN(0.6,Matchup!$C$40*SQRT($B50)/(1-MIN(0.75,Matchup!$C$39*$B50))),RAND())</f>
        <v>3</v>
      </c>
      <c r="O50" s="0" t="n">
        <f aca="false">6*J50+(J50-K50-M50)+2*L50+3*N50</f>
        <v>23</v>
      </c>
      <c r="P50" s="0" t="n">
        <f aca="true">RAND()</f>
        <v>0.262430012239088</v>
      </c>
      <c r="Q50" s="0" t="n">
        <f aca="true">RAND()</f>
        <v>0.812043611255426</v>
      </c>
      <c r="R50" s="0" t="n">
        <f aca="false">IF($I50&lt;&gt;$O50,0,IF(P50&lt;Matchup!$B$39,7,IF(P50&lt;Matchup!$B$39+Matchup!$B$40,3,0)))</f>
        <v>0</v>
      </c>
      <c r="S50" s="0" t="n">
        <f aca="false">IF($I50&lt;&gt;$O50,0,IF(Q50&lt;Matchup!$C$39,7,IF(Q50&lt;Matchup!$C$39+Matchup!$C$40,3,0)))</f>
        <v>0</v>
      </c>
      <c r="T50" s="0" t="n">
        <f aca="false">I50+R50</f>
        <v>26</v>
      </c>
      <c r="U50" s="0" t="n">
        <f aca="false">O50+S50</f>
        <v>23</v>
      </c>
      <c r="V50" s="0" t="n">
        <f aca="false">T50-U50</f>
        <v>3</v>
      </c>
      <c r="W50" s="0" t="n">
        <f aca="false">T50+U50</f>
        <v>49</v>
      </c>
    </row>
    <row r="51" customFormat="false" ht="15" hidden="false" customHeight="false" outlineLevel="0" collapsed="false">
      <c r="A51" s="0" t="n">
        <v>48</v>
      </c>
      <c r="B51" s="0" t="n">
        <f aca="true">NORMINV(RAND(),1,Coefficients!$B$22)</f>
        <v>1.12780744011693</v>
      </c>
      <c r="C51" s="0" t="n">
        <f aca="true">MEDIAN(8,16,ROUND(NORMINV(RAND(),Coefficients!$B$20,Coefficients!$B$21),0))</f>
        <v>10</v>
      </c>
      <c r="D51" s="0" t="n">
        <f aca="true">CRITBINOM($C51,MIN(0.75,Matchup!$B$39*$B51),RAND())</f>
        <v>3</v>
      </c>
      <c r="E51" s="0" t="n">
        <f aca="true">CRITBINOM(D51,Coefficients!$B$30,RAND())</f>
        <v>0</v>
      </c>
      <c r="F51" s="0" t="n">
        <f aca="true">CRITBINOM(E51,Coefficients!$B$31,RAND())</f>
        <v>0</v>
      </c>
      <c r="G51" s="0" t="n">
        <f aca="true">CRITBINOM(MAX(0,D51-E51),1-Coefficients!$B$32,RAND())</f>
        <v>0</v>
      </c>
      <c r="H51" s="0" t="n">
        <f aca="true">CRITBINOM(MAX(0,$C51-D51),MIN(0.6,Matchup!$B$40*SQRT($B51)/(1-MIN(0.75,Matchup!$B$39*$B51))),RAND())</f>
        <v>1</v>
      </c>
      <c r="I51" s="0" t="n">
        <f aca="false">6*D51+(D51-E51-G51)+2*F51+3*H51</f>
        <v>24</v>
      </c>
      <c r="J51" s="0" t="n">
        <f aca="true">CRITBINOM($C51,MIN(0.75,Matchup!$C$39*$B51),RAND())</f>
        <v>5</v>
      </c>
      <c r="K51" s="0" t="n">
        <f aca="true">CRITBINOM(J51,Coefficients!$B$30,RAND())</f>
        <v>0</v>
      </c>
      <c r="L51" s="0" t="n">
        <f aca="true">CRITBINOM(K51,Coefficients!$B$31,RAND())</f>
        <v>0</v>
      </c>
      <c r="M51" s="0" t="n">
        <f aca="true">CRITBINOM(MAX(0,J51-K51),1-Coefficients!$B$32,RAND())</f>
        <v>0</v>
      </c>
      <c r="N51" s="0" t="n">
        <f aca="true">CRITBINOM(MAX(0,$C51-J51),MIN(0.6,Matchup!$C$40*SQRT($B51)/(1-MIN(0.75,Matchup!$C$39*$B51))),RAND())</f>
        <v>3</v>
      </c>
      <c r="O51" s="0" t="n">
        <f aca="false">6*J51+(J51-K51-M51)+2*L51+3*N51</f>
        <v>44</v>
      </c>
      <c r="P51" s="0" t="n">
        <f aca="true">RAND()</f>
        <v>0.939203194155313</v>
      </c>
      <c r="Q51" s="0" t="n">
        <f aca="true">RAND()</f>
        <v>0.678227788362878</v>
      </c>
      <c r="R51" s="0" t="n">
        <f aca="false">IF($I51&lt;&gt;$O51,0,IF(P51&lt;Matchup!$B$39,7,IF(P51&lt;Matchup!$B$39+Matchup!$B$40,3,0)))</f>
        <v>0</v>
      </c>
      <c r="S51" s="0" t="n">
        <f aca="false">IF($I51&lt;&gt;$O51,0,IF(Q51&lt;Matchup!$C$39,7,IF(Q51&lt;Matchup!$C$39+Matchup!$C$40,3,0)))</f>
        <v>0</v>
      </c>
      <c r="T51" s="0" t="n">
        <f aca="false">I51+R51</f>
        <v>24</v>
      </c>
      <c r="U51" s="0" t="n">
        <f aca="false">O51+S51</f>
        <v>44</v>
      </c>
      <c r="V51" s="0" t="n">
        <f aca="false">T51-U51</f>
        <v>-20</v>
      </c>
      <c r="W51" s="0" t="n">
        <f aca="false">T51+U51</f>
        <v>68</v>
      </c>
    </row>
    <row r="52" customFormat="false" ht="15" hidden="false" customHeight="false" outlineLevel="0" collapsed="false">
      <c r="A52" s="0" t="n">
        <v>49</v>
      </c>
      <c r="B52" s="0" t="n">
        <f aca="true">NORMINV(RAND(),1,Coefficients!$B$22)</f>
        <v>1.01562784507813</v>
      </c>
      <c r="C52" s="0" t="n">
        <f aca="true">MEDIAN(8,16,ROUND(NORMINV(RAND(),Coefficients!$B$20,Coefficients!$B$21),0))</f>
        <v>11</v>
      </c>
      <c r="D52" s="0" t="n">
        <f aca="true">CRITBINOM($C52,MIN(0.75,Matchup!$B$39*$B52),RAND())</f>
        <v>2</v>
      </c>
      <c r="E52" s="0" t="n">
        <f aca="true">CRITBINOM(D52,Coefficients!$B$30,RAND())</f>
        <v>0</v>
      </c>
      <c r="F52" s="0" t="n">
        <f aca="true">CRITBINOM(E52,Coefficients!$B$31,RAND())</f>
        <v>0</v>
      </c>
      <c r="G52" s="0" t="n">
        <f aca="true">CRITBINOM(MAX(0,D52-E52),1-Coefficients!$B$32,RAND())</f>
        <v>0</v>
      </c>
      <c r="H52" s="0" t="n">
        <f aca="true">CRITBINOM(MAX(0,$C52-D52),MIN(0.6,Matchup!$B$40*SQRT($B52)/(1-MIN(0.75,Matchup!$B$39*$B52))),RAND())</f>
        <v>0</v>
      </c>
      <c r="I52" s="0" t="n">
        <f aca="false">6*D52+(D52-E52-G52)+2*F52+3*H52</f>
        <v>14</v>
      </c>
      <c r="J52" s="0" t="n">
        <f aca="true">CRITBINOM($C52,MIN(0.75,Matchup!$C$39*$B52),RAND())</f>
        <v>3</v>
      </c>
      <c r="K52" s="0" t="n">
        <f aca="true">CRITBINOM(J52,Coefficients!$B$30,RAND())</f>
        <v>0</v>
      </c>
      <c r="L52" s="0" t="n">
        <f aca="true">CRITBINOM(K52,Coefficients!$B$31,RAND())</f>
        <v>0</v>
      </c>
      <c r="M52" s="0" t="n">
        <f aca="true">CRITBINOM(MAX(0,J52-K52),1-Coefficients!$B$32,RAND())</f>
        <v>0</v>
      </c>
      <c r="N52" s="0" t="n">
        <f aca="true">CRITBINOM(MAX(0,$C52-J52),MIN(0.6,Matchup!$C$40*SQRT($B52)/(1-MIN(0.75,Matchup!$C$39*$B52))),RAND())</f>
        <v>1</v>
      </c>
      <c r="O52" s="0" t="n">
        <f aca="false">6*J52+(J52-K52-M52)+2*L52+3*N52</f>
        <v>24</v>
      </c>
      <c r="P52" s="0" t="n">
        <f aca="true">RAND()</f>
        <v>0.215351299712244</v>
      </c>
      <c r="Q52" s="0" t="n">
        <f aca="true">RAND()</f>
        <v>0.76896265667871</v>
      </c>
      <c r="R52" s="0" t="n">
        <f aca="false">IF($I52&lt;&gt;$O52,0,IF(P52&lt;Matchup!$B$39,7,IF(P52&lt;Matchup!$B$39+Matchup!$B$40,3,0)))</f>
        <v>0</v>
      </c>
      <c r="S52" s="0" t="n">
        <f aca="false">IF($I52&lt;&gt;$O52,0,IF(Q52&lt;Matchup!$C$39,7,IF(Q52&lt;Matchup!$C$39+Matchup!$C$40,3,0)))</f>
        <v>0</v>
      </c>
      <c r="T52" s="0" t="n">
        <f aca="false">I52+R52</f>
        <v>14</v>
      </c>
      <c r="U52" s="0" t="n">
        <f aca="false">O52+S52</f>
        <v>24</v>
      </c>
      <c r="V52" s="0" t="n">
        <f aca="false">T52-U52</f>
        <v>-10</v>
      </c>
      <c r="W52" s="0" t="n">
        <f aca="false">T52+U52</f>
        <v>38</v>
      </c>
    </row>
    <row r="53" customFormat="false" ht="15" hidden="false" customHeight="false" outlineLevel="0" collapsed="false">
      <c r="A53" s="0" t="n">
        <v>50</v>
      </c>
      <c r="B53" s="0" t="n">
        <f aca="true">NORMINV(RAND(),1,Coefficients!$B$22)</f>
        <v>1.01172418966346</v>
      </c>
      <c r="C53" s="0" t="n">
        <f aca="true">MEDIAN(8,16,ROUND(NORMINV(RAND(),Coefficients!$B$20,Coefficients!$B$21),0))</f>
        <v>13</v>
      </c>
      <c r="D53" s="0" t="n">
        <f aca="true">CRITBINOM($C53,MIN(0.75,Matchup!$B$39*$B53),RAND())</f>
        <v>2</v>
      </c>
      <c r="E53" s="0" t="n">
        <f aca="true">CRITBINOM(D53,Coefficients!$B$30,RAND())</f>
        <v>0</v>
      </c>
      <c r="F53" s="0" t="n">
        <f aca="true">CRITBINOM(E53,Coefficients!$B$31,RAND())</f>
        <v>0</v>
      </c>
      <c r="G53" s="0" t="n">
        <f aca="true">CRITBINOM(MAX(0,D53-E53),1-Coefficients!$B$32,RAND())</f>
        <v>0</v>
      </c>
      <c r="H53" s="0" t="n">
        <f aca="true">CRITBINOM(MAX(0,$C53-D53),MIN(0.6,Matchup!$B$40*SQRT($B53)/(1-MIN(0.75,Matchup!$B$39*$B53))),RAND())</f>
        <v>3</v>
      </c>
      <c r="I53" s="0" t="n">
        <f aca="false">6*D53+(D53-E53-G53)+2*F53+3*H53</f>
        <v>23</v>
      </c>
      <c r="J53" s="0" t="n">
        <f aca="true">CRITBINOM($C53,MIN(0.75,Matchup!$C$39*$B53),RAND())</f>
        <v>6</v>
      </c>
      <c r="K53" s="0" t="n">
        <f aca="true">CRITBINOM(J53,Coefficients!$B$30,RAND())</f>
        <v>1</v>
      </c>
      <c r="L53" s="0" t="n">
        <f aca="true">CRITBINOM(K53,Coefficients!$B$31,RAND())</f>
        <v>0</v>
      </c>
      <c r="M53" s="0" t="n">
        <f aca="true">CRITBINOM(MAX(0,J53-K53),1-Coefficients!$B$32,RAND())</f>
        <v>0</v>
      </c>
      <c r="N53" s="0" t="n">
        <f aca="true">CRITBINOM(MAX(0,$C53-J53),MIN(0.6,Matchup!$C$40*SQRT($B53)/(1-MIN(0.75,Matchup!$C$39*$B53))),RAND())</f>
        <v>2</v>
      </c>
      <c r="O53" s="0" t="n">
        <f aca="false">6*J53+(J53-K53-M53)+2*L53+3*N53</f>
        <v>47</v>
      </c>
      <c r="P53" s="0" t="n">
        <f aca="true">RAND()</f>
        <v>0.182282342613217</v>
      </c>
      <c r="Q53" s="0" t="n">
        <f aca="true">RAND()</f>
        <v>0.433894600018973</v>
      </c>
      <c r="R53" s="0" t="n">
        <f aca="false">IF($I53&lt;&gt;$O53,0,IF(P53&lt;Matchup!$B$39,7,IF(P53&lt;Matchup!$B$39+Matchup!$B$40,3,0)))</f>
        <v>0</v>
      </c>
      <c r="S53" s="0" t="n">
        <f aca="false">IF($I53&lt;&gt;$O53,0,IF(Q53&lt;Matchup!$C$39,7,IF(Q53&lt;Matchup!$C$39+Matchup!$C$40,3,0)))</f>
        <v>0</v>
      </c>
      <c r="T53" s="0" t="n">
        <f aca="false">I53+R53</f>
        <v>23</v>
      </c>
      <c r="U53" s="0" t="n">
        <f aca="false">O53+S53</f>
        <v>47</v>
      </c>
      <c r="V53" s="0" t="n">
        <f aca="false">T53-U53</f>
        <v>-24</v>
      </c>
      <c r="W53" s="0" t="n">
        <f aca="false">T53+U53</f>
        <v>70</v>
      </c>
    </row>
    <row r="54" customFormat="false" ht="15" hidden="false" customHeight="false" outlineLevel="0" collapsed="false">
      <c r="A54" s="0" t="n">
        <v>51</v>
      </c>
      <c r="B54" s="0" t="n">
        <f aca="true">NORMINV(RAND(),1,Coefficients!$B$22)</f>
        <v>0.907623087651729</v>
      </c>
      <c r="C54" s="0" t="n">
        <f aca="true">MEDIAN(8,16,ROUND(NORMINV(RAND(),Coefficients!$B$20,Coefficients!$B$21),0))</f>
        <v>11</v>
      </c>
      <c r="D54" s="0" t="n">
        <f aca="true">CRITBINOM($C54,MIN(0.75,Matchup!$B$39*$B54),RAND())</f>
        <v>3</v>
      </c>
      <c r="E54" s="0" t="n">
        <f aca="true">CRITBINOM(D54,Coefficients!$B$30,RAND())</f>
        <v>1</v>
      </c>
      <c r="F54" s="0" t="n">
        <f aca="true">CRITBINOM(E54,Coefficients!$B$31,RAND())</f>
        <v>0</v>
      </c>
      <c r="G54" s="0" t="n">
        <f aca="true">CRITBINOM(MAX(0,D54-E54),1-Coefficients!$B$32,RAND())</f>
        <v>0</v>
      </c>
      <c r="H54" s="0" t="n">
        <f aca="true">CRITBINOM(MAX(0,$C54-D54),MIN(0.6,Matchup!$B$40*SQRT($B54)/(1-MIN(0.75,Matchup!$B$39*$B54))),RAND())</f>
        <v>2</v>
      </c>
      <c r="I54" s="0" t="n">
        <f aca="false">6*D54+(D54-E54-G54)+2*F54+3*H54</f>
        <v>26</v>
      </c>
      <c r="J54" s="0" t="n">
        <f aca="true">CRITBINOM($C54,MIN(0.75,Matchup!$C$39*$B54),RAND())</f>
        <v>1</v>
      </c>
      <c r="K54" s="0" t="n">
        <f aca="true">CRITBINOM(J54,Coefficients!$B$30,RAND())</f>
        <v>0</v>
      </c>
      <c r="L54" s="0" t="n">
        <f aca="true">CRITBINOM(K54,Coefficients!$B$31,RAND())</f>
        <v>0</v>
      </c>
      <c r="M54" s="0" t="n">
        <f aca="true">CRITBINOM(MAX(0,J54-K54),1-Coefficients!$B$32,RAND())</f>
        <v>0</v>
      </c>
      <c r="N54" s="0" t="n">
        <f aca="true">CRITBINOM(MAX(0,$C54-J54),MIN(0.6,Matchup!$C$40*SQRT($B54)/(1-MIN(0.75,Matchup!$C$39*$B54))),RAND())</f>
        <v>4</v>
      </c>
      <c r="O54" s="0" t="n">
        <f aca="false">6*J54+(J54-K54-M54)+2*L54+3*N54</f>
        <v>19</v>
      </c>
      <c r="P54" s="0" t="n">
        <f aca="true">RAND()</f>
        <v>0.943186856802452</v>
      </c>
      <c r="Q54" s="0" t="n">
        <f aca="true">RAND()</f>
        <v>0.101327499862354</v>
      </c>
      <c r="R54" s="0" t="n">
        <f aca="false">IF($I54&lt;&gt;$O54,0,IF(P54&lt;Matchup!$B$39,7,IF(P54&lt;Matchup!$B$39+Matchup!$B$40,3,0)))</f>
        <v>0</v>
      </c>
      <c r="S54" s="0" t="n">
        <f aca="false">IF($I54&lt;&gt;$O54,0,IF(Q54&lt;Matchup!$C$39,7,IF(Q54&lt;Matchup!$C$39+Matchup!$C$40,3,0)))</f>
        <v>0</v>
      </c>
      <c r="T54" s="0" t="n">
        <f aca="false">I54+R54</f>
        <v>26</v>
      </c>
      <c r="U54" s="0" t="n">
        <f aca="false">O54+S54</f>
        <v>19</v>
      </c>
      <c r="V54" s="0" t="n">
        <f aca="false">T54-U54</f>
        <v>7</v>
      </c>
      <c r="W54" s="0" t="n">
        <f aca="false">T54+U54</f>
        <v>45</v>
      </c>
    </row>
    <row r="55" customFormat="false" ht="15" hidden="false" customHeight="false" outlineLevel="0" collapsed="false">
      <c r="A55" s="0" t="n">
        <v>52</v>
      </c>
      <c r="B55" s="0" t="n">
        <f aca="true">NORMINV(RAND(),1,Coefficients!$B$22)</f>
        <v>0.952726545750897</v>
      </c>
      <c r="C55" s="0" t="n">
        <f aca="true">MEDIAN(8,16,ROUND(NORMINV(RAND(),Coefficients!$B$20,Coefficients!$B$21),0))</f>
        <v>10</v>
      </c>
      <c r="D55" s="0" t="n">
        <f aca="true">CRITBINOM($C55,MIN(0.75,Matchup!$B$39*$B55),RAND())</f>
        <v>6</v>
      </c>
      <c r="E55" s="0" t="n">
        <f aca="true">CRITBINOM(D55,Coefficients!$B$30,RAND())</f>
        <v>1</v>
      </c>
      <c r="F55" s="0" t="n">
        <f aca="true">CRITBINOM(E55,Coefficients!$B$31,RAND())</f>
        <v>1</v>
      </c>
      <c r="G55" s="0" t="n">
        <f aca="true">CRITBINOM(MAX(0,D55-E55),1-Coefficients!$B$32,RAND())</f>
        <v>0</v>
      </c>
      <c r="H55" s="0" t="n">
        <f aca="true">CRITBINOM(MAX(0,$C55-D55),MIN(0.6,Matchup!$B$40*SQRT($B55)/(1-MIN(0.75,Matchup!$B$39*$B55))),RAND())</f>
        <v>0</v>
      </c>
      <c r="I55" s="0" t="n">
        <f aca="false">6*D55+(D55-E55-G55)+2*F55+3*H55</f>
        <v>43</v>
      </c>
      <c r="J55" s="0" t="n">
        <f aca="true">CRITBINOM($C55,MIN(0.75,Matchup!$C$39*$B55),RAND())</f>
        <v>2</v>
      </c>
      <c r="K55" s="0" t="n">
        <f aca="true">CRITBINOM(J55,Coefficients!$B$30,RAND())</f>
        <v>1</v>
      </c>
      <c r="L55" s="0" t="n">
        <f aca="true">CRITBINOM(K55,Coefficients!$B$31,RAND())</f>
        <v>0</v>
      </c>
      <c r="M55" s="0" t="n">
        <f aca="true">CRITBINOM(MAX(0,J55-K55),1-Coefficients!$B$32,RAND())</f>
        <v>0</v>
      </c>
      <c r="N55" s="0" t="n">
        <f aca="true">CRITBINOM(MAX(0,$C55-J55),MIN(0.6,Matchup!$C$40*SQRT($B55)/(1-MIN(0.75,Matchup!$C$39*$B55))),RAND())</f>
        <v>2</v>
      </c>
      <c r="O55" s="0" t="n">
        <f aca="false">6*J55+(J55-K55-M55)+2*L55+3*N55</f>
        <v>19</v>
      </c>
      <c r="P55" s="0" t="n">
        <f aca="true">RAND()</f>
        <v>0.497841377615149</v>
      </c>
      <c r="Q55" s="0" t="n">
        <f aca="true">RAND()</f>
        <v>0.171489859575347</v>
      </c>
      <c r="R55" s="0" t="n">
        <f aca="false">IF($I55&lt;&gt;$O55,0,IF(P55&lt;Matchup!$B$39,7,IF(P55&lt;Matchup!$B$39+Matchup!$B$40,3,0)))</f>
        <v>0</v>
      </c>
      <c r="S55" s="0" t="n">
        <f aca="false">IF($I55&lt;&gt;$O55,0,IF(Q55&lt;Matchup!$C$39,7,IF(Q55&lt;Matchup!$C$39+Matchup!$C$40,3,0)))</f>
        <v>0</v>
      </c>
      <c r="T55" s="0" t="n">
        <f aca="false">I55+R55</f>
        <v>43</v>
      </c>
      <c r="U55" s="0" t="n">
        <f aca="false">O55+S55</f>
        <v>19</v>
      </c>
      <c r="V55" s="0" t="n">
        <f aca="false">T55-U55</f>
        <v>24</v>
      </c>
      <c r="W55" s="0" t="n">
        <f aca="false">T55+U55</f>
        <v>62</v>
      </c>
    </row>
    <row r="56" customFormat="false" ht="15" hidden="false" customHeight="false" outlineLevel="0" collapsed="false">
      <c r="A56" s="0" t="n">
        <v>53</v>
      </c>
      <c r="B56" s="0" t="n">
        <f aca="true">NORMINV(RAND(),1,Coefficients!$B$22)</f>
        <v>0.96927625094065</v>
      </c>
      <c r="C56" s="0" t="n">
        <f aca="true">MEDIAN(8,16,ROUND(NORMINV(RAND(),Coefficients!$B$20,Coefficients!$B$21),0))</f>
        <v>11</v>
      </c>
      <c r="D56" s="0" t="n">
        <f aca="true">CRITBINOM($C56,MIN(0.75,Matchup!$B$39*$B56),RAND())</f>
        <v>3</v>
      </c>
      <c r="E56" s="0" t="n">
        <f aca="true">CRITBINOM(D56,Coefficients!$B$30,RAND())</f>
        <v>0</v>
      </c>
      <c r="F56" s="0" t="n">
        <f aca="true">CRITBINOM(E56,Coefficients!$B$31,RAND())</f>
        <v>0</v>
      </c>
      <c r="G56" s="0" t="n">
        <f aca="true">CRITBINOM(MAX(0,D56-E56),1-Coefficients!$B$32,RAND())</f>
        <v>0</v>
      </c>
      <c r="H56" s="0" t="n">
        <f aca="true">CRITBINOM(MAX(0,$C56-D56),MIN(0.6,Matchup!$B$40*SQRT($B56)/(1-MIN(0.75,Matchup!$B$39*$B56))),RAND())</f>
        <v>2</v>
      </c>
      <c r="I56" s="0" t="n">
        <f aca="false">6*D56+(D56-E56-G56)+2*F56+3*H56</f>
        <v>27</v>
      </c>
      <c r="J56" s="0" t="n">
        <f aca="true">CRITBINOM($C56,MIN(0.75,Matchup!$C$39*$B56),RAND())</f>
        <v>2</v>
      </c>
      <c r="K56" s="0" t="n">
        <f aca="true">CRITBINOM(J56,Coefficients!$B$30,RAND())</f>
        <v>0</v>
      </c>
      <c r="L56" s="0" t="n">
        <f aca="true">CRITBINOM(K56,Coefficients!$B$31,RAND())</f>
        <v>0</v>
      </c>
      <c r="M56" s="0" t="n">
        <f aca="true">CRITBINOM(MAX(0,J56-K56),1-Coefficients!$B$32,RAND())</f>
        <v>0</v>
      </c>
      <c r="N56" s="0" t="n">
        <f aca="true">CRITBINOM(MAX(0,$C56-J56),MIN(0.6,Matchup!$C$40*SQRT($B56)/(1-MIN(0.75,Matchup!$C$39*$B56))),RAND())</f>
        <v>1</v>
      </c>
      <c r="O56" s="0" t="n">
        <f aca="false">6*J56+(J56-K56-M56)+2*L56+3*N56</f>
        <v>17</v>
      </c>
      <c r="P56" s="0" t="n">
        <f aca="true">RAND()</f>
        <v>0.559858367347841</v>
      </c>
      <c r="Q56" s="0" t="n">
        <f aca="true">RAND()</f>
        <v>0.0316083242003515</v>
      </c>
      <c r="R56" s="0" t="n">
        <f aca="false">IF($I56&lt;&gt;$O56,0,IF(P56&lt;Matchup!$B$39,7,IF(P56&lt;Matchup!$B$39+Matchup!$B$40,3,0)))</f>
        <v>0</v>
      </c>
      <c r="S56" s="0" t="n">
        <f aca="false">IF($I56&lt;&gt;$O56,0,IF(Q56&lt;Matchup!$C$39,7,IF(Q56&lt;Matchup!$C$39+Matchup!$C$40,3,0)))</f>
        <v>0</v>
      </c>
      <c r="T56" s="0" t="n">
        <f aca="false">I56+R56</f>
        <v>27</v>
      </c>
      <c r="U56" s="0" t="n">
        <f aca="false">O56+S56</f>
        <v>17</v>
      </c>
      <c r="V56" s="0" t="n">
        <f aca="false">T56-U56</f>
        <v>10</v>
      </c>
      <c r="W56" s="0" t="n">
        <f aca="false">T56+U56</f>
        <v>44</v>
      </c>
    </row>
    <row r="57" customFormat="false" ht="15" hidden="false" customHeight="false" outlineLevel="0" collapsed="false">
      <c r="A57" s="0" t="n">
        <v>54</v>
      </c>
      <c r="B57" s="0" t="n">
        <f aca="true">NORMINV(RAND(),1,Coefficients!$B$22)</f>
        <v>1.02655366648397</v>
      </c>
      <c r="C57" s="0" t="n">
        <f aca="true">MEDIAN(8,16,ROUND(NORMINV(RAND(),Coefficients!$B$20,Coefficients!$B$21),0))</f>
        <v>10</v>
      </c>
      <c r="D57" s="0" t="n">
        <f aca="true">CRITBINOM($C57,MIN(0.75,Matchup!$B$39*$B57),RAND())</f>
        <v>1</v>
      </c>
      <c r="E57" s="0" t="n">
        <f aca="true">CRITBINOM(D57,Coefficients!$B$30,RAND())</f>
        <v>0</v>
      </c>
      <c r="F57" s="0" t="n">
        <f aca="true">CRITBINOM(E57,Coefficients!$B$31,RAND())</f>
        <v>0</v>
      </c>
      <c r="G57" s="0" t="n">
        <f aca="true">CRITBINOM(MAX(0,D57-E57),1-Coefficients!$B$32,RAND())</f>
        <v>0</v>
      </c>
      <c r="H57" s="0" t="n">
        <f aca="true">CRITBINOM(MAX(0,$C57-D57),MIN(0.6,Matchup!$B$40*SQRT($B57)/(1-MIN(0.75,Matchup!$B$39*$B57))),RAND())</f>
        <v>0</v>
      </c>
      <c r="I57" s="0" t="n">
        <f aca="false">6*D57+(D57-E57-G57)+2*F57+3*H57</f>
        <v>7</v>
      </c>
      <c r="J57" s="0" t="n">
        <f aca="true">CRITBINOM($C57,MIN(0.75,Matchup!$C$39*$B57),RAND())</f>
        <v>4</v>
      </c>
      <c r="K57" s="0" t="n">
        <f aca="true">CRITBINOM(J57,Coefficients!$B$30,RAND())</f>
        <v>0</v>
      </c>
      <c r="L57" s="0" t="n">
        <f aca="true">CRITBINOM(K57,Coefficients!$B$31,RAND())</f>
        <v>0</v>
      </c>
      <c r="M57" s="0" t="n">
        <f aca="true">CRITBINOM(MAX(0,J57-K57),1-Coefficients!$B$32,RAND())</f>
        <v>0</v>
      </c>
      <c r="N57" s="0" t="n">
        <f aca="true">CRITBINOM(MAX(0,$C57-J57),MIN(0.6,Matchup!$C$40*SQRT($B57)/(1-MIN(0.75,Matchup!$C$39*$B57))),RAND())</f>
        <v>1</v>
      </c>
      <c r="O57" s="0" t="n">
        <f aca="false">6*J57+(J57-K57-M57)+2*L57+3*N57</f>
        <v>31</v>
      </c>
      <c r="P57" s="0" t="n">
        <f aca="true">RAND()</f>
        <v>0.34889522984491</v>
      </c>
      <c r="Q57" s="0" t="n">
        <f aca="true">RAND()</f>
        <v>0.315847880302673</v>
      </c>
      <c r="R57" s="0" t="n">
        <f aca="false">IF($I57&lt;&gt;$O57,0,IF(P57&lt;Matchup!$B$39,7,IF(P57&lt;Matchup!$B$39+Matchup!$B$40,3,0)))</f>
        <v>0</v>
      </c>
      <c r="S57" s="0" t="n">
        <f aca="false">IF($I57&lt;&gt;$O57,0,IF(Q57&lt;Matchup!$C$39,7,IF(Q57&lt;Matchup!$C$39+Matchup!$C$40,3,0)))</f>
        <v>0</v>
      </c>
      <c r="T57" s="0" t="n">
        <f aca="false">I57+R57</f>
        <v>7</v>
      </c>
      <c r="U57" s="0" t="n">
        <f aca="false">O57+S57</f>
        <v>31</v>
      </c>
      <c r="V57" s="0" t="n">
        <f aca="false">T57-U57</f>
        <v>-24</v>
      </c>
      <c r="W57" s="0" t="n">
        <f aca="false">T57+U57</f>
        <v>38</v>
      </c>
    </row>
    <row r="58" customFormat="false" ht="15" hidden="false" customHeight="false" outlineLevel="0" collapsed="false">
      <c r="A58" s="0" t="n">
        <v>55</v>
      </c>
      <c r="B58" s="0" t="n">
        <f aca="true">NORMINV(RAND(),1,Coefficients!$B$22)</f>
        <v>1.06458263437726</v>
      </c>
      <c r="C58" s="0" t="n">
        <f aca="true">MEDIAN(8,16,ROUND(NORMINV(RAND(),Coefficients!$B$20,Coefficients!$B$21),0))</f>
        <v>10</v>
      </c>
      <c r="D58" s="0" t="n">
        <f aca="true">CRITBINOM($C58,MIN(0.75,Matchup!$B$39*$B58),RAND())</f>
        <v>2</v>
      </c>
      <c r="E58" s="0" t="n">
        <f aca="true">CRITBINOM(D58,Coefficients!$B$30,RAND())</f>
        <v>0</v>
      </c>
      <c r="F58" s="0" t="n">
        <f aca="true">CRITBINOM(E58,Coefficients!$B$31,RAND())</f>
        <v>0</v>
      </c>
      <c r="G58" s="0" t="n">
        <f aca="true">CRITBINOM(MAX(0,D58-E58),1-Coefficients!$B$32,RAND())</f>
        <v>0</v>
      </c>
      <c r="H58" s="0" t="n">
        <f aca="true">CRITBINOM(MAX(0,$C58-D58),MIN(0.6,Matchup!$B$40*SQRT($B58)/(1-MIN(0.75,Matchup!$B$39*$B58))),RAND())</f>
        <v>2</v>
      </c>
      <c r="I58" s="0" t="n">
        <f aca="false">6*D58+(D58-E58-G58)+2*F58+3*H58</f>
        <v>20</v>
      </c>
      <c r="J58" s="0" t="n">
        <f aca="true">CRITBINOM($C58,MIN(0.75,Matchup!$C$39*$B58),RAND())</f>
        <v>3</v>
      </c>
      <c r="K58" s="0" t="n">
        <f aca="true">CRITBINOM(J58,Coefficients!$B$30,RAND())</f>
        <v>0</v>
      </c>
      <c r="L58" s="0" t="n">
        <f aca="true">CRITBINOM(K58,Coefficients!$B$31,RAND())</f>
        <v>0</v>
      </c>
      <c r="M58" s="0" t="n">
        <f aca="true">CRITBINOM(MAX(0,J58-K58),1-Coefficients!$B$32,RAND())</f>
        <v>0</v>
      </c>
      <c r="N58" s="0" t="n">
        <f aca="true">CRITBINOM(MAX(0,$C58-J58),MIN(0.6,Matchup!$C$40*SQRT($B58)/(1-MIN(0.75,Matchup!$C$39*$B58))),RAND())</f>
        <v>0</v>
      </c>
      <c r="O58" s="0" t="n">
        <f aca="false">6*J58+(J58-K58-M58)+2*L58+3*N58</f>
        <v>21</v>
      </c>
      <c r="P58" s="0" t="n">
        <f aca="true">RAND()</f>
        <v>0.518876959282884</v>
      </c>
      <c r="Q58" s="0" t="n">
        <f aca="true">RAND()</f>
        <v>0.070805642136513</v>
      </c>
      <c r="R58" s="0" t="n">
        <f aca="false">IF($I58&lt;&gt;$O58,0,IF(P58&lt;Matchup!$B$39,7,IF(P58&lt;Matchup!$B$39+Matchup!$B$40,3,0)))</f>
        <v>0</v>
      </c>
      <c r="S58" s="0" t="n">
        <f aca="false">IF($I58&lt;&gt;$O58,0,IF(Q58&lt;Matchup!$C$39,7,IF(Q58&lt;Matchup!$C$39+Matchup!$C$40,3,0)))</f>
        <v>0</v>
      </c>
      <c r="T58" s="0" t="n">
        <f aca="false">I58+R58</f>
        <v>20</v>
      </c>
      <c r="U58" s="0" t="n">
        <f aca="false">O58+S58</f>
        <v>21</v>
      </c>
      <c r="V58" s="0" t="n">
        <f aca="false">T58-U58</f>
        <v>-1</v>
      </c>
      <c r="W58" s="0" t="n">
        <f aca="false">T58+U58</f>
        <v>41</v>
      </c>
    </row>
    <row r="59" customFormat="false" ht="15" hidden="false" customHeight="false" outlineLevel="0" collapsed="false">
      <c r="A59" s="0" t="n">
        <v>56</v>
      </c>
      <c r="B59" s="0" t="n">
        <f aca="true">NORMINV(RAND(),1,Coefficients!$B$22)</f>
        <v>0.905860216687593</v>
      </c>
      <c r="C59" s="0" t="n">
        <f aca="true">MEDIAN(8,16,ROUND(NORMINV(RAND(),Coefficients!$B$20,Coefficients!$B$21),0))</f>
        <v>11</v>
      </c>
      <c r="D59" s="0" t="n">
        <f aca="true">CRITBINOM($C59,MIN(0.75,Matchup!$B$39*$B59),RAND())</f>
        <v>3</v>
      </c>
      <c r="E59" s="0" t="n">
        <f aca="true">CRITBINOM(D59,Coefficients!$B$30,RAND())</f>
        <v>1</v>
      </c>
      <c r="F59" s="0" t="n">
        <f aca="true">CRITBINOM(E59,Coefficients!$B$31,RAND())</f>
        <v>1</v>
      </c>
      <c r="G59" s="0" t="n">
        <f aca="true">CRITBINOM(MAX(0,D59-E59),1-Coefficients!$B$32,RAND())</f>
        <v>0</v>
      </c>
      <c r="H59" s="0" t="n">
        <f aca="true">CRITBINOM(MAX(0,$C59-D59),MIN(0.6,Matchup!$B$40*SQRT($B59)/(1-MIN(0.75,Matchup!$B$39*$B59))),RAND())</f>
        <v>2</v>
      </c>
      <c r="I59" s="0" t="n">
        <f aca="false">6*D59+(D59-E59-G59)+2*F59+3*H59</f>
        <v>28</v>
      </c>
      <c r="J59" s="0" t="n">
        <f aca="true">CRITBINOM($C59,MIN(0.75,Matchup!$C$39*$B59),RAND())</f>
        <v>2</v>
      </c>
      <c r="K59" s="0" t="n">
        <f aca="true">CRITBINOM(J59,Coefficients!$B$30,RAND())</f>
        <v>0</v>
      </c>
      <c r="L59" s="0" t="n">
        <f aca="true">CRITBINOM(K59,Coefficients!$B$31,RAND())</f>
        <v>0</v>
      </c>
      <c r="M59" s="0" t="n">
        <f aca="true">CRITBINOM(MAX(0,J59-K59),1-Coefficients!$B$32,RAND())</f>
        <v>0</v>
      </c>
      <c r="N59" s="0" t="n">
        <f aca="true">CRITBINOM(MAX(0,$C59-J59),MIN(0.6,Matchup!$C$40*SQRT($B59)/(1-MIN(0.75,Matchup!$C$39*$B59))),RAND())</f>
        <v>2</v>
      </c>
      <c r="O59" s="0" t="n">
        <f aca="false">6*J59+(J59-K59-M59)+2*L59+3*N59</f>
        <v>20</v>
      </c>
      <c r="P59" s="0" t="n">
        <f aca="true">RAND()</f>
        <v>0.825363908643282</v>
      </c>
      <c r="Q59" s="0" t="n">
        <f aca="true">RAND()</f>
        <v>0.00282955363193889</v>
      </c>
      <c r="R59" s="0" t="n">
        <f aca="false">IF($I59&lt;&gt;$O59,0,IF(P59&lt;Matchup!$B$39,7,IF(P59&lt;Matchup!$B$39+Matchup!$B$40,3,0)))</f>
        <v>0</v>
      </c>
      <c r="S59" s="0" t="n">
        <f aca="false">IF($I59&lt;&gt;$O59,0,IF(Q59&lt;Matchup!$C$39,7,IF(Q59&lt;Matchup!$C$39+Matchup!$C$40,3,0)))</f>
        <v>0</v>
      </c>
      <c r="T59" s="0" t="n">
        <f aca="false">I59+R59</f>
        <v>28</v>
      </c>
      <c r="U59" s="0" t="n">
        <f aca="false">O59+S59</f>
        <v>20</v>
      </c>
      <c r="V59" s="0" t="n">
        <f aca="false">T59-U59</f>
        <v>8</v>
      </c>
      <c r="W59" s="0" t="n">
        <f aca="false">T59+U59</f>
        <v>48</v>
      </c>
    </row>
    <row r="60" customFormat="false" ht="15" hidden="false" customHeight="false" outlineLevel="0" collapsed="false">
      <c r="A60" s="0" t="n">
        <v>57</v>
      </c>
      <c r="B60" s="0" t="n">
        <f aca="true">NORMINV(RAND(),1,Coefficients!$B$22)</f>
        <v>1.0192193325949</v>
      </c>
      <c r="C60" s="0" t="n">
        <f aca="true">MEDIAN(8,16,ROUND(NORMINV(RAND(),Coefficients!$B$20,Coefficients!$B$21),0))</f>
        <v>12</v>
      </c>
      <c r="D60" s="0" t="n">
        <f aca="true">CRITBINOM($C60,MIN(0.75,Matchup!$B$39*$B60),RAND())</f>
        <v>2</v>
      </c>
      <c r="E60" s="0" t="n">
        <f aca="true">CRITBINOM(D60,Coefficients!$B$30,RAND())</f>
        <v>0</v>
      </c>
      <c r="F60" s="0" t="n">
        <f aca="true">CRITBINOM(E60,Coefficients!$B$31,RAND())</f>
        <v>0</v>
      </c>
      <c r="G60" s="0" t="n">
        <f aca="true">CRITBINOM(MAX(0,D60-E60),1-Coefficients!$B$32,RAND())</f>
        <v>0</v>
      </c>
      <c r="H60" s="0" t="n">
        <f aca="true">CRITBINOM(MAX(0,$C60-D60),MIN(0.6,Matchup!$B$40*SQRT($B60)/(1-MIN(0.75,Matchup!$B$39*$B60))),RAND())</f>
        <v>0</v>
      </c>
      <c r="I60" s="0" t="n">
        <f aca="false">6*D60+(D60-E60-G60)+2*F60+3*H60</f>
        <v>14</v>
      </c>
      <c r="J60" s="0" t="n">
        <f aca="true">CRITBINOM($C60,MIN(0.75,Matchup!$C$39*$B60),RAND())</f>
        <v>1</v>
      </c>
      <c r="K60" s="0" t="n">
        <f aca="true">CRITBINOM(J60,Coefficients!$B$30,RAND())</f>
        <v>0</v>
      </c>
      <c r="L60" s="0" t="n">
        <f aca="true">CRITBINOM(K60,Coefficients!$B$31,RAND())</f>
        <v>0</v>
      </c>
      <c r="M60" s="0" t="n">
        <f aca="true">CRITBINOM(MAX(0,J60-K60),1-Coefficients!$B$32,RAND())</f>
        <v>0</v>
      </c>
      <c r="N60" s="0" t="n">
        <f aca="true">CRITBINOM(MAX(0,$C60-J60),MIN(0.6,Matchup!$C$40*SQRT($B60)/(1-MIN(0.75,Matchup!$C$39*$B60))),RAND())</f>
        <v>2</v>
      </c>
      <c r="O60" s="0" t="n">
        <f aca="false">6*J60+(J60-K60-M60)+2*L60+3*N60</f>
        <v>13</v>
      </c>
      <c r="P60" s="0" t="n">
        <f aca="true">RAND()</f>
        <v>0.738027472264723</v>
      </c>
      <c r="Q60" s="0" t="n">
        <f aca="true">RAND()</f>
        <v>0.496461824206852</v>
      </c>
      <c r="R60" s="0" t="n">
        <f aca="false">IF($I60&lt;&gt;$O60,0,IF(P60&lt;Matchup!$B$39,7,IF(P60&lt;Matchup!$B$39+Matchup!$B$40,3,0)))</f>
        <v>0</v>
      </c>
      <c r="S60" s="0" t="n">
        <f aca="false">IF($I60&lt;&gt;$O60,0,IF(Q60&lt;Matchup!$C$39,7,IF(Q60&lt;Matchup!$C$39+Matchup!$C$40,3,0)))</f>
        <v>0</v>
      </c>
      <c r="T60" s="0" t="n">
        <f aca="false">I60+R60</f>
        <v>14</v>
      </c>
      <c r="U60" s="0" t="n">
        <f aca="false">O60+S60</f>
        <v>13</v>
      </c>
      <c r="V60" s="0" t="n">
        <f aca="false">T60-U60</f>
        <v>1</v>
      </c>
      <c r="W60" s="0" t="n">
        <f aca="false">T60+U60</f>
        <v>27</v>
      </c>
    </row>
    <row r="61" customFormat="false" ht="15" hidden="false" customHeight="false" outlineLevel="0" collapsed="false">
      <c r="A61" s="0" t="n">
        <v>58</v>
      </c>
      <c r="B61" s="0" t="n">
        <f aca="true">NORMINV(RAND(),1,Coefficients!$B$22)</f>
        <v>0.975036685311396</v>
      </c>
      <c r="C61" s="0" t="n">
        <f aca="true">MEDIAN(8,16,ROUND(NORMINV(RAND(),Coefficients!$B$20,Coefficients!$B$21),0))</f>
        <v>11</v>
      </c>
      <c r="D61" s="0" t="n">
        <f aca="true">CRITBINOM($C61,MIN(0.75,Matchup!$B$39*$B61),RAND())</f>
        <v>1</v>
      </c>
      <c r="E61" s="0" t="n">
        <f aca="true">CRITBINOM(D61,Coefficients!$B$30,RAND())</f>
        <v>0</v>
      </c>
      <c r="F61" s="0" t="n">
        <f aca="true">CRITBINOM(E61,Coefficients!$B$31,RAND())</f>
        <v>0</v>
      </c>
      <c r="G61" s="0" t="n">
        <f aca="true">CRITBINOM(MAX(0,D61-E61),1-Coefficients!$B$32,RAND())</f>
        <v>0</v>
      </c>
      <c r="H61" s="0" t="n">
        <f aca="true">CRITBINOM(MAX(0,$C61-D61),MIN(0.6,Matchup!$B$40*SQRT($B61)/(1-MIN(0.75,Matchup!$B$39*$B61))),RAND())</f>
        <v>2</v>
      </c>
      <c r="I61" s="0" t="n">
        <f aca="false">6*D61+(D61-E61-G61)+2*F61+3*H61</f>
        <v>13</v>
      </c>
      <c r="J61" s="0" t="n">
        <f aca="true">CRITBINOM($C61,MIN(0.75,Matchup!$C$39*$B61),RAND())</f>
        <v>1</v>
      </c>
      <c r="K61" s="0" t="n">
        <f aca="true">CRITBINOM(J61,Coefficients!$B$30,RAND())</f>
        <v>0</v>
      </c>
      <c r="L61" s="0" t="n">
        <f aca="true">CRITBINOM(K61,Coefficients!$B$31,RAND())</f>
        <v>0</v>
      </c>
      <c r="M61" s="0" t="n">
        <f aca="true">CRITBINOM(MAX(0,J61-K61),1-Coefficients!$B$32,RAND())</f>
        <v>0</v>
      </c>
      <c r="N61" s="0" t="n">
        <f aca="true">CRITBINOM(MAX(0,$C61-J61),MIN(0.6,Matchup!$C$40*SQRT($B61)/(1-MIN(0.75,Matchup!$C$39*$B61))),RAND())</f>
        <v>3</v>
      </c>
      <c r="O61" s="0" t="n">
        <f aca="false">6*J61+(J61-K61-M61)+2*L61+3*N61</f>
        <v>16</v>
      </c>
      <c r="P61" s="0" t="n">
        <f aca="true">RAND()</f>
        <v>0.283033999747586</v>
      </c>
      <c r="Q61" s="0" t="n">
        <f aca="true">RAND()</f>
        <v>0.23575107724443</v>
      </c>
      <c r="R61" s="0" t="n">
        <f aca="false">IF($I61&lt;&gt;$O61,0,IF(P61&lt;Matchup!$B$39,7,IF(P61&lt;Matchup!$B$39+Matchup!$B$40,3,0)))</f>
        <v>0</v>
      </c>
      <c r="S61" s="0" t="n">
        <f aca="false">IF($I61&lt;&gt;$O61,0,IF(Q61&lt;Matchup!$C$39,7,IF(Q61&lt;Matchup!$C$39+Matchup!$C$40,3,0)))</f>
        <v>0</v>
      </c>
      <c r="T61" s="0" t="n">
        <f aca="false">I61+R61</f>
        <v>13</v>
      </c>
      <c r="U61" s="0" t="n">
        <f aca="false">O61+S61</f>
        <v>16</v>
      </c>
      <c r="V61" s="0" t="n">
        <f aca="false">T61-U61</f>
        <v>-3</v>
      </c>
      <c r="W61" s="0" t="n">
        <f aca="false">T61+U61</f>
        <v>29</v>
      </c>
    </row>
    <row r="62" customFormat="false" ht="15" hidden="false" customHeight="false" outlineLevel="0" collapsed="false">
      <c r="A62" s="0" t="n">
        <v>59</v>
      </c>
      <c r="B62" s="0" t="n">
        <f aca="true">NORMINV(RAND(),1,Coefficients!$B$22)</f>
        <v>1.00982437856399</v>
      </c>
      <c r="C62" s="0" t="n">
        <f aca="true">MEDIAN(8,16,ROUND(NORMINV(RAND(),Coefficients!$B$20,Coefficients!$B$21),0))</f>
        <v>10</v>
      </c>
      <c r="D62" s="0" t="n">
        <f aca="true">CRITBINOM($C62,MIN(0.75,Matchup!$B$39*$B62),RAND())</f>
        <v>2</v>
      </c>
      <c r="E62" s="0" t="n">
        <f aca="true">CRITBINOM(D62,Coefficients!$B$30,RAND())</f>
        <v>0</v>
      </c>
      <c r="F62" s="0" t="n">
        <f aca="true">CRITBINOM(E62,Coefficients!$B$31,RAND())</f>
        <v>0</v>
      </c>
      <c r="G62" s="0" t="n">
        <f aca="true">CRITBINOM(MAX(0,D62-E62),1-Coefficients!$B$32,RAND())</f>
        <v>0</v>
      </c>
      <c r="H62" s="0" t="n">
        <f aca="true">CRITBINOM(MAX(0,$C62-D62),MIN(0.6,Matchup!$B$40*SQRT($B62)/(1-MIN(0.75,Matchup!$B$39*$B62))),RAND())</f>
        <v>2</v>
      </c>
      <c r="I62" s="0" t="n">
        <f aca="false">6*D62+(D62-E62-G62)+2*F62+3*H62</f>
        <v>20</v>
      </c>
      <c r="J62" s="0" t="n">
        <f aca="true">CRITBINOM($C62,MIN(0.75,Matchup!$C$39*$B62),RAND())</f>
        <v>0</v>
      </c>
      <c r="K62" s="0" t="n">
        <f aca="true">CRITBINOM(J62,Coefficients!$B$30,RAND())</f>
        <v>0</v>
      </c>
      <c r="L62" s="0" t="n">
        <f aca="true">CRITBINOM(K62,Coefficients!$B$31,RAND())</f>
        <v>0</v>
      </c>
      <c r="M62" s="0" t="n">
        <f aca="true">CRITBINOM(MAX(0,J62-K62),1-Coefficients!$B$32,RAND())</f>
        <v>0</v>
      </c>
      <c r="N62" s="0" t="n">
        <f aca="true">CRITBINOM(MAX(0,$C62-J62),MIN(0.6,Matchup!$C$40*SQRT($B62)/(1-MIN(0.75,Matchup!$C$39*$B62))),RAND())</f>
        <v>1</v>
      </c>
      <c r="O62" s="0" t="n">
        <f aca="false">6*J62+(J62-K62-M62)+2*L62+3*N62</f>
        <v>3</v>
      </c>
      <c r="P62" s="0" t="n">
        <f aca="true">RAND()</f>
        <v>0.168559170250049</v>
      </c>
      <c r="Q62" s="0" t="n">
        <f aca="true">RAND()</f>
        <v>0.563373782580786</v>
      </c>
      <c r="R62" s="0" t="n">
        <f aca="false">IF($I62&lt;&gt;$O62,0,IF(P62&lt;Matchup!$B$39,7,IF(P62&lt;Matchup!$B$39+Matchup!$B$40,3,0)))</f>
        <v>0</v>
      </c>
      <c r="S62" s="0" t="n">
        <f aca="false">IF($I62&lt;&gt;$O62,0,IF(Q62&lt;Matchup!$C$39,7,IF(Q62&lt;Matchup!$C$39+Matchup!$C$40,3,0)))</f>
        <v>0</v>
      </c>
      <c r="T62" s="0" t="n">
        <f aca="false">I62+R62</f>
        <v>20</v>
      </c>
      <c r="U62" s="0" t="n">
        <f aca="false">O62+S62</f>
        <v>3</v>
      </c>
      <c r="V62" s="0" t="n">
        <f aca="false">T62-U62</f>
        <v>17</v>
      </c>
      <c r="W62" s="0" t="n">
        <f aca="false">T62+U62</f>
        <v>23</v>
      </c>
    </row>
    <row r="63" customFormat="false" ht="15" hidden="false" customHeight="false" outlineLevel="0" collapsed="false">
      <c r="A63" s="0" t="n">
        <v>60</v>
      </c>
      <c r="B63" s="0" t="n">
        <f aca="true">NORMINV(RAND(),1,Coefficients!$B$22)</f>
        <v>0.99163549262591</v>
      </c>
      <c r="C63" s="0" t="n">
        <f aca="true">MEDIAN(8,16,ROUND(NORMINV(RAND(),Coefficients!$B$20,Coefficients!$B$21),0))</f>
        <v>11</v>
      </c>
      <c r="D63" s="0" t="n">
        <f aca="true">CRITBINOM($C63,MIN(0.75,Matchup!$B$39*$B63),RAND())</f>
        <v>2</v>
      </c>
      <c r="E63" s="0" t="n">
        <f aca="true">CRITBINOM(D63,Coefficients!$B$30,RAND())</f>
        <v>0</v>
      </c>
      <c r="F63" s="0" t="n">
        <f aca="true">CRITBINOM(E63,Coefficients!$B$31,RAND())</f>
        <v>0</v>
      </c>
      <c r="G63" s="0" t="n">
        <f aca="true">CRITBINOM(MAX(0,D63-E63),1-Coefficients!$B$32,RAND())</f>
        <v>0</v>
      </c>
      <c r="H63" s="0" t="n">
        <f aca="true">CRITBINOM(MAX(0,$C63-D63),MIN(0.6,Matchup!$B$40*SQRT($B63)/(1-MIN(0.75,Matchup!$B$39*$B63))),RAND())</f>
        <v>0</v>
      </c>
      <c r="I63" s="0" t="n">
        <f aca="false">6*D63+(D63-E63-G63)+2*F63+3*H63</f>
        <v>14</v>
      </c>
      <c r="J63" s="0" t="n">
        <f aca="true">CRITBINOM($C63,MIN(0.75,Matchup!$C$39*$B63),RAND())</f>
        <v>3</v>
      </c>
      <c r="K63" s="0" t="n">
        <f aca="true">CRITBINOM(J63,Coefficients!$B$30,RAND())</f>
        <v>0</v>
      </c>
      <c r="L63" s="0" t="n">
        <f aca="true">CRITBINOM(K63,Coefficients!$B$31,RAND())</f>
        <v>0</v>
      </c>
      <c r="M63" s="0" t="n">
        <f aca="true">CRITBINOM(MAX(0,J63-K63),1-Coefficients!$B$32,RAND())</f>
        <v>0</v>
      </c>
      <c r="N63" s="0" t="n">
        <f aca="true">CRITBINOM(MAX(0,$C63-J63),MIN(0.6,Matchup!$C$40*SQRT($B63)/(1-MIN(0.75,Matchup!$C$39*$B63))),RAND())</f>
        <v>0</v>
      </c>
      <c r="O63" s="0" t="n">
        <f aca="false">6*J63+(J63-K63-M63)+2*L63+3*N63</f>
        <v>21</v>
      </c>
      <c r="P63" s="0" t="n">
        <f aca="true">RAND()</f>
        <v>0.944557821904773</v>
      </c>
      <c r="Q63" s="0" t="n">
        <f aca="true">RAND()</f>
        <v>0.675878281481348</v>
      </c>
      <c r="R63" s="0" t="n">
        <f aca="false">IF($I63&lt;&gt;$O63,0,IF(P63&lt;Matchup!$B$39,7,IF(P63&lt;Matchup!$B$39+Matchup!$B$40,3,0)))</f>
        <v>0</v>
      </c>
      <c r="S63" s="0" t="n">
        <f aca="false">IF($I63&lt;&gt;$O63,0,IF(Q63&lt;Matchup!$C$39,7,IF(Q63&lt;Matchup!$C$39+Matchup!$C$40,3,0)))</f>
        <v>0</v>
      </c>
      <c r="T63" s="0" t="n">
        <f aca="false">I63+R63</f>
        <v>14</v>
      </c>
      <c r="U63" s="0" t="n">
        <f aca="false">O63+S63</f>
        <v>21</v>
      </c>
      <c r="V63" s="0" t="n">
        <f aca="false">T63-U63</f>
        <v>-7</v>
      </c>
      <c r="W63" s="0" t="n">
        <f aca="false">T63+U63</f>
        <v>35</v>
      </c>
    </row>
    <row r="64" customFormat="false" ht="15" hidden="false" customHeight="false" outlineLevel="0" collapsed="false">
      <c r="A64" s="0" t="n">
        <v>61</v>
      </c>
      <c r="B64" s="0" t="n">
        <f aca="true">NORMINV(RAND(),1,Coefficients!$B$22)</f>
        <v>1.02170883759693</v>
      </c>
      <c r="C64" s="0" t="n">
        <f aca="true">MEDIAN(8,16,ROUND(NORMINV(RAND(),Coefficients!$B$20,Coefficients!$B$21),0))</f>
        <v>12</v>
      </c>
      <c r="D64" s="0" t="n">
        <f aca="true">CRITBINOM($C64,MIN(0.75,Matchup!$B$39*$B64),RAND())</f>
        <v>4</v>
      </c>
      <c r="E64" s="0" t="n">
        <f aca="true">CRITBINOM(D64,Coefficients!$B$30,RAND())</f>
        <v>0</v>
      </c>
      <c r="F64" s="0" t="n">
        <f aca="true">CRITBINOM(E64,Coefficients!$B$31,RAND())</f>
        <v>0</v>
      </c>
      <c r="G64" s="0" t="n">
        <f aca="true">CRITBINOM(MAX(0,D64-E64),1-Coefficients!$B$32,RAND())</f>
        <v>0</v>
      </c>
      <c r="H64" s="0" t="n">
        <f aca="true">CRITBINOM(MAX(0,$C64-D64),MIN(0.6,Matchup!$B$40*SQRT($B64)/(1-MIN(0.75,Matchup!$B$39*$B64))),RAND())</f>
        <v>0</v>
      </c>
      <c r="I64" s="0" t="n">
        <f aca="false">6*D64+(D64-E64-G64)+2*F64+3*H64</f>
        <v>28</v>
      </c>
      <c r="J64" s="0" t="n">
        <f aca="true">CRITBINOM($C64,MIN(0.75,Matchup!$C$39*$B64),RAND())</f>
        <v>4</v>
      </c>
      <c r="K64" s="0" t="n">
        <f aca="true">CRITBINOM(J64,Coefficients!$B$30,RAND())</f>
        <v>0</v>
      </c>
      <c r="L64" s="0" t="n">
        <f aca="true">CRITBINOM(K64,Coefficients!$B$31,RAND())</f>
        <v>0</v>
      </c>
      <c r="M64" s="0" t="n">
        <f aca="true">CRITBINOM(MAX(0,J64-K64),1-Coefficients!$B$32,RAND())</f>
        <v>0</v>
      </c>
      <c r="N64" s="0" t="n">
        <f aca="true">CRITBINOM(MAX(0,$C64-J64),MIN(0.6,Matchup!$C$40*SQRT($B64)/(1-MIN(0.75,Matchup!$C$39*$B64))),RAND())</f>
        <v>0</v>
      </c>
      <c r="O64" s="0" t="n">
        <f aca="false">6*J64+(J64-K64-M64)+2*L64+3*N64</f>
        <v>28</v>
      </c>
      <c r="P64" s="0" t="n">
        <f aca="true">RAND()</f>
        <v>0.0340560591782673</v>
      </c>
      <c r="Q64" s="0" t="n">
        <f aca="true">RAND()</f>
        <v>0.971373115317862</v>
      </c>
      <c r="R64" s="0" t="n">
        <f aca="false">IF($I64&lt;&gt;$O64,0,IF(P64&lt;Matchup!$B$39,7,IF(P64&lt;Matchup!$B$39+Matchup!$B$40,3,0)))</f>
        <v>7</v>
      </c>
      <c r="S64" s="0" t="n">
        <f aca="false">IF($I64&lt;&gt;$O64,0,IF(Q64&lt;Matchup!$C$39,7,IF(Q64&lt;Matchup!$C$39+Matchup!$C$40,3,0)))</f>
        <v>0</v>
      </c>
      <c r="T64" s="0" t="n">
        <f aca="false">I64+R64</f>
        <v>35</v>
      </c>
      <c r="U64" s="0" t="n">
        <f aca="false">O64+S64</f>
        <v>28</v>
      </c>
      <c r="V64" s="0" t="n">
        <f aca="false">T64-U64</f>
        <v>7</v>
      </c>
      <c r="W64" s="0" t="n">
        <f aca="false">T64+U64</f>
        <v>63</v>
      </c>
    </row>
    <row r="65" customFormat="false" ht="15" hidden="false" customHeight="false" outlineLevel="0" collapsed="false">
      <c r="A65" s="0" t="n">
        <v>62</v>
      </c>
      <c r="B65" s="0" t="n">
        <f aca="true">NORMINV(RAND(),1,Coefficients!$B$22)</f>
        <v>0.829236574914563</v>
      </c>
      <c r="C65" s="0" t="n">
        <f aca="true">MEDIAN(8,16,ROUND(NORMINV(RAND(),Coefficients!$B$20,Coefficients!$B$21),0))</f>
        <v>10</v>
      </c>
      <c r="D65" s="0" t="n">
        <f aca="true">CRITBINOM($C65,MIN(0.75,Matchup!$B$39*$B65),RAND())</f>
        <v>3</v>
      </c>
      <c r="E65" s="0" t="n">
        <f aca="true">CRITBINOM(D65,Coefficients!$B$30,RAND())</f>
        <v>1</v>
      </c>
      <c r="F65" s="0" t="n">
        <f aca="true">CRITBINOM(E65,Coefficients!$B$31,RAND())</f>
        <v>0</v>
      </c>
      <c r="G65" s="0" t="n">
        <f aca="true">CRITBINOM(MAX(0,D65-E65),1-Coefficients!$B$32,RAND())</f>
        <v>0</v>
      </c>
      <c r="H65" s="0" t="n">
        <f aca="true">CRITBINOM(MAX(0,$C65-D65),MIN(0.6,Matchup!$B$40*SQRT($B65)/(1-MIN(0.75,Matchup!$B$39*$B65))),RAND())</f>
        <v>1</v>
      </c>
      <c r="I65" s="0" t="n">
        <f aca="false">6*D65+(D65-E65-G65)+2*F65+3*H65</f>
        <v>23</v>
      </c>
      <c r="J65" s="0" t="n">
        <f aca="true">CRITBINOM($C65,MIN(0.75,Matchup!$C$39*$B65),RAND())</f>
        <v>1</v>
      </c>
      <c r="K65" s="0" t="n">
        <f aca="true">CRITBINOM(J65,Coefficients!$B$30,RAND())</f>
        <v>0</v>
      </c>
      <c r="L65" s="0" t="n">
        <f aca="true">CRITBINOM(K65,Coefficients!$B$31,RAND())</f>
        <v>0</v>
      </c>
      <c r="M65" s="0" t="n">
        <f aca="true">CRITBINOM(MAX(0,J65-K65),1-Coefficients!$B$32,RAND())</f>
        <v>0</v>
      </c>
      <c r="N65" s="0" t="n">
        <f aca="true">CRITBINOM(MAX(0,$C65-J65),MIN(0.6,Matchup!$C$40*SQRT($B65)/(1-MIN(0.75,Matchup!$C$39*$B65))),RAND())</f>
        <v>2</v>
      </c>
      <c r="O65" s="0" t="n">
        <f aca="false">6*J65+(J65-K65-M65)+2*L65+3*N65</f>
        <v>13</v>
      </c>
      <c r="P65" s="0" t="n">
        <f aca="true">RAND()</f>
        <v>0.614049972170071</v>
      </c>
      <c r="Q65" s="0" t="n">
        <f aca="true">RAND()</f>
        <v>0.230590206601796</v>
      </c>
      <c r="R65" s="0" t="n">
        <f aca="false">IF($I65&lt;&gt;$O65,0,IF(P65&lt;Matchup!$B$39,7,IF(P65&lt;Matchup!$B$39+Matchup!$B$40,3,0)))</f>
        <v>0</v>
      </c>
      <c r="S65" s="0" t="n">
        <f aca="false">IF($I65&lt;&gt;$O65,0,IF(Q65&lt;Matchup!$C$39,7,IF(Q65&lt;Matchup!$C$39+Matchup!$C$40,3,0)))</f>
        <v>0</v>
      </c>
      <c r="T65" s="0" t="n">
        <f aca="false">I65+R65</f>
        <v>23</v>
      </c>
      <c r="U65" s="0" t="n">
        <f aca="false">O65+S65</f>
        <v>13</v>
      </c>
      <c r="V65" s="0" t="n">
        <f aca="false">T65-U65</f>
        <v>10</v>
      </c>
      <c r="W65" s="0" t="n">
        <f aca="false">T65+U65</f>
        <v>36</v>
      </c>
    </row>
    <row r="66" customFormat="false" ht="15" hidden="false" customHeight="false" outlineLevel="0" collapsed="false">
      <c r="A66" s="0" t="n">
        <v>63</v>
      </c>
      <c r="B66" s="0" t="n">
        <f aca="true">NORMINV(RAND(),1,Coefficients!$B$22)</f>
        <v>0.986713311826035</v>
      </c>
      <c r="C66" s="0" t="n">
        <f aca="true">MEDIAN(8,16,ROUND(NORMINV(RAND(),Coefficients!$B$20,Coefficients!$B$21),0))</f>
        <v>9</v>
      </c>
      <c r="D66" s="0" t="n">
        <f aca="true">CRITBINOM($C66,MIN(0.75,Matchup!$B$39*$B66),RAND())</f>
        <v>1</v>
      </c>
      <c r="E66" s="0" t="n">
        <f aca="true">CRITBINOM(D66,Coefficients!$B$30,RAND())</f>
        <v>0</v>
      </c>
      <c r="F66" s="0" t="n">
        <f aca="true">CRITBINOM(E66,Coefficients!$B$31,RAND())</f>
        <v>0</v>
      </c>
      <c r="G66" s="0" t="n">
        <f aca="true">CRITBINOM(MAX(0,D66-E66),1-Coefficients!$B$32,RAND())</f>
        <v>0</v>
      </c>
      <c r="H66" s="0" t="n">
        <f aca="true">CRITBINOM(MAX(0,$C66-D66),MIN(0.6,Matchup!$B$40*SQRT($B66)/(1-MIN(0.75,Matchup!$B$39*$B66))),RAND())</f>
        <v>1</v>
      </c>
      <c r="I66" s="0" t="n">
        <f aca="false">6*D66+(D66-E66-G66)+2*F66+3*H66</f>
        <v>10</v>
      </c>
      <c r="J66" s="0" t="n">
        <f aca="true">CRITBINOM($C66,MIN(0.75,Matchup!$C$39*$B66),RAND())</f>
        <v>2</v>
      </c>
      <c r="K66" s="0" t="n">
        <f aca="true">CRITBINOM(J66,Coefficients!$B$30,RAND())</f>
        <v>0</v>
      </c>
      <c r="L66" s="0" t="n">
        <f aca="true">CRITBINOM(K66,Coefficients!$B$31,RAND())</f>
        <v>0</v>
      </c>
      <c r="M66" s="0" t="n">
        <f aca="true">CRITBINOM(MAX(0,J66-K66),1-Coefficients!$B$32,RAND())</f>
        <v>0</v>
      </c>
      <c r="N66" s="0" t="n">
        <f aca="true">CRITBINOM(MAX(0,$C66-J66),MIN(0.6,Matchup!$C$40*SQRT($B66)/(1-MIN(0.75,Matchup!$C$39*$B66))),RAND())</f>
        <v>0</v>
      </c>
      <c r="O66" s="0" t="n">
        <f aca="false">6*J66+(J66-K66-M66)+2*L66+3*N66</f>
        <v>14</v>
      </c>
      <c r="P66" s="0" t="n">
        <f aca="true">RAND()</f>
        <v>0.0744901625327628</v>
      </c>
      <c r="Q66" s="0" t="n">
        <f aca="true">RAND()</f>
        <v>0.185582566646983</v>
      </c>
      <c r="R66" s="0" t="n">
        <f aca="false">IF($I66&lt;&gt;$O66,0,IF(P66&lt;Matchup!$B$39,7,IF(P66&lt;Matchup!$B$39+Matchup!$B$40,3,0)))</f>
        <v>0</v>
      </c>
      <c r="S66" s="0" t="n">
        <f aca="false">IF($I66&lt;&gt;$O66,0,IF(Q66&lt;Matchup!$C$39,7,IF(Q66&lt;Matchup!$C$39+Matchup!$C$40,3,0)))</f>
        <v>0</v>
      </c>
      <c r="T66" s="0" t="n">
        <f aca="false">I66+R66</f>
        <v>10</v>
      </c>
      <c r="U66" s="0" t="n">
        <f aca="false">O66+S66</f>
        <v>14</v>
      </c>
      <c r="V66" s="0" t="n">
        <f aca="false">T66-U66</f>
        <v>-4</v>
      </c>
      <c r="W66" s="0" t="n">
        <f aca="false">T66+U66</f>
        <v>24</v>
      </c>
    </row>
    <row r="67" customFormat="false" ht="15" hidden="false" customHeight="false" outlineLevel="0" collapsed="false">
      <c r="A67" s="0" t="n">
        <v>64</v>
      </c>
      <c r="B67" s="0" t="n">
        <f aca="true">NORMINV(RAND(),1,Coefficients!$B$22)</f>
        <v>0.967075358721453</v>
      </c>
      <c r="C67" s="0" t="n">
        <f aca="true">MEDIAN(8,16,ROUND(NORMINV(RAND(),Coefficients!$B$20,Coefficients!$B$21),0))</f>
        <v>10</v>
      </c>
      <c r="D67" s="0" t="n">
        <f aca="true">CRITBINOM($C67,MIN(0.75,Matchup!$B$39*$B67),RAND())</f>
        <v>0</v>
      </c>
      <c r="E67" s="0" t="n">
        <f aca="true">CRITBINOM(D67,Coefficients!$B$30,RAND())</f>
        <v>0</v>
      </c>
      <c r="F67" s="0" t="n">
        <f aca="true">CRITBINOM(E67,Coefficients!$B$31,RAND())</f>
        <v>0</v>
      </c>
      <c r="G67" s="0" t="n">
        <f aca="true">CRITBINOM(MAX(0,D67-E67),1-Coefficients!$B$32,RAND())</f>
        <v>0</v>
      </c>
      <c r="H67" s="0" t="n">
        <f aca="true">CRITBINOM(MAX(0,$C67-D67),MIN(0.6,Matchup!$B$40*SQRT($B67)/(1-MIN(0.75,Matchup!$B$39*$B67))),RAND())</f>
        <v>0</v>
      </c>
      <c r="I67" s="0" t="n">
        <f aca="false">6*D67+(D67-E67-G67)+2*F67+3*H67</f>
        <v>0</v>
      </c>
      <c r="J67" s="0" t="n">
        <f aca="true">CRITBINOM($C67,MIN(0.75,Matchup!$C$39*$B67),RAND())</f>
        <v>0</v>
      </c>
      <c r="K67" s="0" t="n">
        <f aca="true">CRITBINOM(J67,Coefficients!$B$30,RAND())</f>
        <v>0</v>
      </c>
      <c r="L67" s="0" t="n">
        <f aca="true">CRITBINOM(K67,Coefficients!$B$31,RAND())</f>
        <v>0</v>
      </c>
      <c r="M67" s="0" t="n">
        <f aca="true">CRITBINOM(MAX(0,J67-K67),1-Coefficients!$B$32,RAND())</f>
        <v>0</v>
      </c>
      <c r="N67" s="0" t="n">
        <f aca="true">CRITBINOM(MAX(0,$C67-J67),MIN(0.6,Matchup!$C$40*SQRT($B67)/(1-MIN(0.75,Matchup!$C$39*$B67))),RAND())</f>
        <v>1</v>
      </c>
      <c r="O67" s="0" t="n">
        <f aca="false">6*J67+(J67-K67-M67)+2*L67+3*N67</f>
        <v>3</v>
      </c>
      <c r="P67" s="0" t="n">
        <f aca="true">RAND()</f>
        <v>0.12076714321598</v>
      </c>
      <c r="Q67" s="0" t="n">
        <f aca="true">RAND()</f>
        <v>0.292303187996644</v>
      </c>
      <c r="R67" s="0" t="n">
        <f aca="false">IF($I67&lt;&gt;$O67,0,IF(P67&lt;Matchup!$B$39,7,IF(P67&lt;Matchup!$B$39+Matchup!$B$40,3,0)))</f>
        <v>0</v>
      </c>
      <c r="S67" s="0" t="n">
        <f aca="false">IF($I67&lt;&gt;$O67,0,IF(Q67&lt;Matchup!$C$39,7,IF(Q67&lt;Matchup!$C$39+Matchup!$C$40,3,0)))</f>
        <v>0</v>
      </c>
      <c r="T67" s="0" t="n">
        <f aca="false">I67+R67</f>
        <v>0</v>
      </c>
      <c r="U67" s="0" t="n">
        <f aca="false">O67+S67</f>
        <v>3</v>
      </c>
      <c r="V67" s="0" t="n">
        <f aca="false">T67-U67</f>
        <v>-3</v>
      </c>
      <c r="W67" s="0" t="n">
        <f aca="false">T67+U67</f>
        <v>3</v>
      </c>
    </row>
    <row r="68" customFormat="false" ht="15" hidden="false" customHeight="false" outlineLevel="0" collapsed="false">
      <c r="A68" s="0" t="n">
        <v>65</v>
      </c>
      <c r="B68" s="0" t="n">
        <f aca="true">NORMINV(RAND(),1,Coefficients!$B$22)</f>
        <v>0.970183638255057</v>
      </c>
      <c r="C68" s="0" t="n">
        <f aca="true">MEDIAN(8,16,ROUND(NORMINV(RAND(),Coefficients!$B$20,Coefficients!$B$21),0))</f>
        <v>12</v>
      </c>
      <c r="D68" s="0" t="n">
        <f aca="true">CRITBINOM($C68,MIN(0.75,Matchup!$B$39*$B68),RAND())</f>
        <v>2</v>
      </c>
      <c r="E68" s="0" t="n">
        <f aca="true">CRITBINOM(D68,Coefficients!$B$30,RAND())</f>
        <v>0</v>
      </c>
      <c r="F68" s="0" t="n">
        <f aca="true">CRITBINOM(E68,Coefficients!$B$31,RAND())</f>
        <v>0</v>
      </c>
      <c r="G68" s="0" t="n">
        <f aca="true">CRITBINOM(MAX(0,D68-E68),1-Coefficients!$B$32,RAND())</f>
        <v>0</v>
      </c>
      <c r="H68" s="0" t="n">
        <f aca="true">CRITBINOM(MAX(0,$C68-D68),MIN(0.6,Matchup!$B$40*SQRT($B68)/(1-MIN(0.75,Matchup!$B$39*$B68))),RAND())</f>
        <v>2</v>
      </c>
      <c r="I68" s="0" t="n">
        <f aca="false">6*D68+(D68-E68-G68)+2*F68+3*H68</f>
        <v>20</v>
      </c>
      <c r="J68" s="0" t="n">
        <f aca="true">CRITBINOM($C68,MIN(0.75,Matchup!$C$39*$B68),RAND())</f>
        <v>3</v>
      </c>
      <c r="K68" s="0" t="n">
        <f aca="true">CRITBINOM(J68,Coefficients!$B$30,RAND())</f>
        <v>0</v>
      </c>
      <c r="L68" s="0" t="n">
        <f aca="true">CRITBINOM(K68,Coefficients!$B$31,RAND())</f>
        <v>0</v>
      </c>
      <c r="M68" s="0" t="n">
        <f aca="true">CRITBINOM(MAX(0,J68-K68),1-Coefficients!$B$32,RAND())</f>
        <v>0</v>
      </c>
      <c r="N68" s="0" t="n">
        <f aca="true">CRITBINOM(MAX(0,$C68-J68),MIN(0.6,Matchup!$C$40*SQRT($B68)/(1-MIN(0.75,Matchup!$C$39*$B68))),RAND())</f>
        <v>1</v>
      </c>
      <c r="O68" s="0" t="n">
        <f aca="false">6*J68+(J68-K68-M68)+2*L68+3*N68</f>
        <v>24</v>
      </c>
      <c r="P68" s="0" t="n">
        <f aca="true">RAND()</f>
        <v>0.727136594394439</v>
      </c>
      <c r="Q68" s="0" t="n">
        <f aca="true">RAND()</f>
        <v>0.466232720646556</v>
      </c>
      <c r="R68" s="0" t="n">
        <f aca="false">IF($I68&lt;&gt;$O68,0,IF(P68&lt;Matchup!$B$39,7,IF(P68&lt;Matchup!$B$39+Matchup!$B$40,3,0)))</f>
        <v>0</v>
      </c>
      <c r="S68" s="0" t="n">
        <f aca="false">IF($I68&lt;&gt;$O68,0,IF(Q68&lt;Matchup!$C$39,7,IF(Q68&lt;Matchup!$C$39+Matchup!$C$40,3,0)))</f>
        <v>0</v>
      </c>
      <c r="T68" s="0" t="n">
        <f aca="false">I68+R68</f>
        <v>20</v>
      </c>
      <c r="U68" s="0" t="n">
        <f aca="false">O68+S68</f>
        <v>24</v>
      </c>
      <c r="V68" s="0" t="n">
        <f aca="false">T68-U68</f>
        <v>-4</v>
      </c>
      <c r="W68" s="0" t="n">
        <f aca="false">T68+U68</f>
        <v>44</v>
      </c>
    </row>
    <row r="69" customFormat="false" ht="15" hidden="false" customHeight="false" outlineLevel="0" collapsed="false">
      <c r="A69" s="0" t="n">
        <v>66</v>
      </c>
      <c r="B69" s="0" t="n">
        <f aca="true">NORMINV(RAND(),1,Coefficients!$B$22)</f>
        <v>1.08763217498315</v>
      </c>
      <c r="C69" s="0" t="n">
        <f aca="true">MEDIAN(8,16,ROUND(NORMINV(RAND(),Coefficients!$B$20,Coefficients!$B$21),0))</f>
        <v>10</v>
      </c>
      <c r="D69" s="0" t="n">
        <f aca="true">CRITBINOM($C69,MIN(0.75,Matchup!$B$39*$B69),RAND())</f>
        <v>3</v>
      </c>
      <c r="E69" s="0" t="n">
        <f aca="true">CRITBINOM(D69,Coefficients!$B$30,RAND())</f>
        <v>0</v>
      </c>
      <c r="F69" s="0" t="n">
        <f aca="true">CRITBINOM(E69,Coefficients!$B$31,RAND())</f>
        <v>0</v>
      </c>
      <c r="G69" s="0" t="n">
        <f aca="true">CRITBINOM(MAX(0,D69-E69),1-Coefficients!$B$32,RAND())</f>
        <v>0</v>
      </c>
      <c r="H69" s="0" t="n">
        <f aca="true">CRITBINOM(MAX(0,$C69-D69),MIN(0.6,Matchup!$B$40*SQRT($B69)/(1-MIN(0.75,Matchup!$B$39*$B69))),RAND())</f>
        <v>1</v>
      </c>
      <c r="I69" s="0" t="n">
        <f aca="false">6*D69+(D69-E69-G69)+2*F69+3*H69</f>
        <v>24</v>
      </c>
      <c r="J69" s="0" t="n">
        <f aca="true">CRITBINOM($C69,MIN(0.75,Matchup!$C$39*$B69),RAND())</f>
        <v>4</v>
      </c>
      <c r="K69" s="0" t="n">
        <f aca="true">CRITBINOM(J69,Coefficients!$B$30,RAND())</f>
        <v>1</v>
      </c>
      <c r="L69" s="0" t="n">
        <f aca="true">CRITBINOM(K69,Coefficients!$B$31,RAND())</f>
        <v>1</v>
      </c>
      <c r="M69" s="0" t="n">
        <f aca="true">CRITBINOM(MAX(0,J69-K69),1-Coefficients!$B$32,RAND())</f>
        <v>0</v>
      </c>
      <c r="N69" s="0" t="n">
        <f aca="true">CRITBINOM(MAX(0,$C69-J69),MIN(0.6,Matchup!$C$40*SQRT($B69)/(1-MIN(0.75,Matchup!$C$39*$B69))),RAND())</f>
        <v>1</v>
      </c>
      <c r="O69" s="0" t="n">
        <f aca="false">6*J69+(J69-K69-M69)+2*L69+3*N69</f>
        <v>32</v>
      </c>
      <c r="P69" s="0" t="n">
        <f aca="true">RAND()</f>
        <v>0.539361707608245</v>
      </c>
      <c r="Q69" s="0" t="n">
        <f aca="true">RAND()</f>
        <v>0.959025690439103</v>
      </c>
      <c r="R69" s="0" t="n">
        <f aca="false">IF($I69&lt;&gt;$O69,0,IF(P69&lt;Matchup!$B$39,7,IF(P69&lt;Matchup!$B$39+Matchup!$B$40,3,0)))</f>
        <v>0</v>
      </c>
      <c r="S69" s="0" t="n">
        <f aca="false">IF($I69&lt;&gt;$O69,0,IF(Q69&lt;Matchup!$C$39,7,IF(Q69&lt;Matchup!$C$39+Matchup!$C$40,3,0)))</f>
        <v>0</v>
      </c>
      <c r="T69" s="0" t="n">
        <f aca="false">I69+R69</f>
        <v>24</v>
      </c>
      <c r="U69" s="0" t="n">
        <f aca="false">O69+S69</f>
        <v>32</v>
      </c>
      <c r="V69" s="0" t="n">
        <f aca="false">T69-U69</f>
        <v>-8</v>
      </c>
      <c r="W69" s="0" t="n">
        <f aca="false">T69+U69</f>
        <v>56</v>
      </c>
    </row>
    <row r="70" customFormat="false" ht="15" hidden="false" customHeight="false" outlineLevel="0" collapsed="false">
      <c r="A70" s="0" t="n">
        <v>67</v>
      </c>
      <c r="B70" s="0" t="n">
        <f aca="true">NORMINV(RAND(),1,Coefficients!$B$22)</f>
        <v>0.940670953544481</v>
      </c>
      <c r="C70" s="0" t="n">
        <f aca="true">MEDIAN(8,16,ROUND(NORMINV(RAND(),Coefficients!$B$20,Coefficients!$B$21),0))</f>
        <v>11</v>
      </c>
      <c r="D70" s="0" t="n">
        <f aca="true">CRITBINOM($C70,MIN(0.75,Matchup!$B$39*$B70),RAND())</f>
        <v>5</v>
      </c>
      <c r="E70" s="0" t="n">
        <f aca="true">CRITBINOM(D70,Coefficients!$B$30,RAND())</f>
        <v>0</v>
      </c>
      <c r="F70" s="0" t="n">
        <f aca="true">CRITBINOM(E70,Coefficients!$B$31,RAND())</f>
        <v>0</v>
      </c>
      <c r="G70" s="0" t="n">
        <f aca="true">CRITBINOM(MAX(0,D70-E70),1-Coefficients!$B$32,RAND())</f>
        <v>0</v>
      </c>
      <c r="H70" s="0" t="n">
        <f aca="true">CRITBINOM(MAX(0,$C70-D70),MIN(0.6,Matchup!$B$40*SQRT($B70)/(1-MIN(0.75,Matchup!$B$39*$B70))),RAND())</f>
        <v>0</v>
      </c>
      <c r="I70" s="0" t="n">
        <f aca="false">6*D70+(D70-E70-G70)+2*F70+3*H70</f>
        <v>35</v>
      </c>
      <c r="J70" s="0" t="n">
        <f aca="true">CRITBINOM($C70,MIN(0.75,Matchup!$C$39*$B70),RAND())</f>
        <v>1</v>
      </c>
      <c r="K70" s="0" t="n">
        <f aca="true">CRITBINOM(J70,Coefficients!$B$30,RAND())</f>
        <v>0</v>
      </c>
      <c r="L70" s="0" t="n">
        <f aca="true">CRITBINOM(K70,Coefficients!$B$31,RAND())</f>
        <v>0</v>
      </c>
      <c r="M70" s="0" t="n">
        <f aca="true">CRITBINOM(MAX(0,J70-K70),1-Coefficients!$B$32,RAND())</f>
        <v>0</v>
      </c>
      <c r="N70" s="0" t="n">
        <f aca="true">CRITBINOM(MAX(0,$C70-J70),MIN(0.6,Matchup!$C$40*SQRT($B70)/(1-MIN(0.75,Matchup!$C$39*$B70))),RAND())</f>
        <v>2</v>
      </c>
      <c r="O70" s="0" t="n">
        <f aca="false">6*J70+(J70-K70-M70)+2*L70+3*N70</f>
        <v>13</v>
      </c>
      <c r="P70" s="0" t="n">
        <f aca="true">RAND()</f>
        <v>0.501008984394164</v>
      </c>
      <c r="Q70" s="0" t="n">
        <f aca="true">RAND()</f>
        <v>0.859937812899293</v>
      </c>
      <c r="R70" s="0" t="n">
        <f aca="false">IF($I70&lt;&gt;$O70,0,IF(P70&lt;Matchup!$B$39,7,IF(P70&lt;Matchup!$B$39+Matchup!$B$40,3,0)))</f>
        <v>0</v>
      </c>
      <c r="S70" s="0" t="n">
        <f aca="false">IF($I70&lt;&gt;$O70,0,IF(Q70&lt;Matchup!$C$39,7,IF(Q70&lt;Matchup!$C$39+Matchup!$C$40,3,0)))</f>
        <v>0</v>
      </c>
      <c r="T70" s="0" t="n">
        <f aca="false">I70+R70</f>
        <v>35</v>
      </c>
      <c r="U70" s="0" t="n">
        <f aca="false">O70+S70</f>
        <v>13</v>
      </c>
      <c r="V70" s="0" t="n">
        <f aca="false">T70-U70</f>
        <v>22</v>
      </c>
      <c r="W70" s="0" t="n">
        <f aca="false">T70+U70</f>
        <v>48</v>
      </c>
    </row>
    <row r="71" customFormat="false" ht="15" hidden="false" customHeight="false" outlineLevel="0" collapsed="false">
      <c r="A71" s="0" t="n">
        <v>68</v>
      </c>
      <c r="B71" s="0" t="n">
        <f aca="true">NORMINV(RAND(),1,Coefficients!$B$22)</f>
        <v>1.0233001257164</v>
      </c>
      <c r="C71" s="0" t="n">
        <f aca="true">MEDIAN(8,16,ROUND(NORMINV(RAND(),Coefficients!$B$20,Coefficients!$B$21),0))</f>
        <v>12</v>
      </c>
      <c r="D71" s="0" t="n">
        <f aca="true">CRITBINOM($C71,MIN(0.75,Matchup!$B$39*$B71),RAND())</f>
        <v>3</v>
      </c>
      <c r="E71" s="0" t="n">
        <f aca="true">CRITBINOM(D71,Coefficients!$B$30,RAND())</f>
        <v>2</v>
      </c>
      <c r="F71" s="0" t="n">
        <f aca="true">CRITBINOM(E71,Coefficients!$B$31,RAND())</f>
        <v>0</v>
      </c>
      <c r="G71" s="0" t="n">
        <f aca="true">CRITBINOM(MAX(0,D71-E71),1-Coefficients!$B$32,RAND())</f>
        <v>0</v>
      </c>
      <c r="H71" s="0" t="n">
        <f aca="true">CRITBINOM(MAX(0,$C71-D71),MIN(0.6,Matchup!$B$40*SQRT($B71)/(1-MIN(0.75,Matchup!$B$39*$B71))),RAND())</f>
        <v>0</v>
      </c>
      <c r="I71" s="0" t="n">
        <f aca="false">6*D71+(D71-E71-G71)+2*F71+3*H71</f>
        <v>19</v>
      </c>
      <c r="J71" s="0" t="n">
        <f aca="true">CRITBINOM($C71,MIN(0.75,Matchup!$C$39*$B71),RAND())</f>
        <v>4</v>
      </c>
      <c r="K71" s="0" t="n">
        <f aca="true">CRITBINOM(J71,Coefficients!$B$30,RAND())</f>
        <v>0</v>
      </c>
      <c r="L71" s="0" t="n">
        <f aca="true">CRITBINOM(K71,Coefficients!$B$31,RAND())</f>
        <v>0</v>
      </c>
      <c r="M71" s="0" t="n">
        <f aca="true">CRITBINOM(MAX(0,J71-K71),1-Coefficients!$B$32,RAND())</f>
        <v>0</v>
      </c>
      <c r="N71" s="0" t="n">
        <f aca="true">CRITBINOM(MAX(0,$C71-J71),MIN(0.6,Matchup!$C$40*SQRT($B71)/(1-MIN(0.75,Matchup!$C$39*$B71))),RAND())</f>
        <v>1</v>
      </c>
      <c r="O71" s="0" t="n">
        <f aca="false">6*J71+(J71-K71-M71)+2*L71+3*N71</f>
        <v>31</v>
      </c>
      <c r="P71" s="0" t="n">
        <f aca="true">RAND()</f>
        <v>0.399581696098299</v>
      </c>
      <c r="Q71" s="0" t="n">
        <f aca="true">RAND()</f>
        <v>0.259707216315876</v>
      </c>
      <c r="R71" s="0" t="n">
        <f aca="false">IF($I71&lt;&gt;$O71,0,IF(P71&lt;Matchup!$B$39,7,IF(P71&lt;Matchup!$B$39+Matchup!$B$40,3,0)))</f>
        <v>0</v>
      </c>
      <c r="S71" s="0" t="n">
        <f aca="false">IF($I71&lt;&gt;$O71,0,IF(Q71&lt;Matchup!$C$39,7,IF(Q71&lt;Matchup!$C$39+Matchup!$C$40,3,0)))</f>
        <v>0</v>
      </c>
      <c r="T71" s="0" t="n">
        <f aca="false">I71+R71</f>
        <v>19</v>
      </c>
      <c r="U71" s="0" t="n">
        <f aca="false">O71+S71</f>
        <v>31</v>
      </c>
      <c r="V71" s="0" t="n">
        <f aca="false">T71-U71</f>
        <v>-12</v>
      </c>
      <c r="W71" s="0" t="n">
        <f aca="false">T71+U71</f>
        <v>50</v>
      </c>
    </row>
    <row r="72" customFormat="false" ht="15" hidden="false" customHeight="false" outlineLevel="0" collapsed="false">
      <c r="A72" s="0" t="n">
        <v>69</v>
      </c>
      <c r="B72" s="0" t="n">
        <f aca="true">NORMINV(RAND(),1,Coefficients!$B$22)</f>
        <v>0.995911154973817</v>
      </c>
      <c r="C72" s="0" t="n">
        <f aca="true">MEDIAN(8,16,ROUND(NORMINV(RAND(),Coefficients!$B$20,Coefficients!$B$21),0))</f>
        <v>11</v>
      </c>
      <c r="D72" s="0" t="n">
        <f aca="true">CRITBINOM($C72,MIN(0.75,Matchup!$B$39*$B72),RAND())</f>
        <v>2</v>
      </c>
      <c r="E72" s="0" t="n">
        <f aca="true">CRITBINOM(D72,Coefficients!$B$30,RAND())</f>
        <v>0</v>
      </c>
      <c r="F72" s="0" t="n">
        <f aca="true">CRITBINOM(E72,Coefficients!$B$31,RAND())</f>
        <v>0</v>
      </c>
      <c r="G72" s="0" t="n">
        <f aca="true">CRITBINOM(MAX(0,D72-E72),1-Coefficients!$B$32,RAND())</f>
        <v>0</v>
      </c>
      <c r="H72" s="0" t="n">
        <f aca="true">CRITBINOM(MAX(0,$C72-D72),MIN(0.6,Matchup!$B$40*SQRT($B72)/(1-MIN(0.75,Matchup!$B$39*$B72))),RAND())</f>
        <v>1</v>
      </c>
      <c r="I72" s="0" t="n">
        <f aca="false">6*D72+(D72-E72-G72)+2*F72+3*H72</f>
        <v>17</v>
      </c>
      <c r="J72" s="0" t="n">
        <f aca="true">CRITBINOM($C72,MIN(0.75,Matchup!$C$39*$B72),RAND())</f>
        <v>2</v>
      </c>
      <c r="K72" s="0" t="n">
        <f aca="true">CRITBINOM(J72,Coefficients!$B$30,RAND())</f>
        <v>0</v>
      </c>
      <c r="L72" s="0" t="n">
        <f aca="true">CRITBINOM(K72,Coefficients!$B$31,RAND())</f>
        <v>0</v>
      </c>
      <c r="M72" s="0" t="n">
        <f aca="true">CRITBINOM(MAX(0,J72-K72),1-Coefficients!$B$32,RAND())</f>
        <v>0</v>
      </c>
      <c r="N72" s="0" t="n">
        <f aca="true">CRITBINOM(MAX(0,$C72-J72),MIN(0.6,Matchup!$C$40*SQRT($B72)/(1-MIN(0.75,Matchup!$C$39*$B72))),RAND())</f>
        <v>2</v>
      </c>
      <c r="O72" s="0" t="n">
        <f aca="false">6*J72+(J72-K72-M72)+2*L72+3*N72</f>
        <v>20</v>
      </c>
      <c r="P72" s="0" t="n">
        <f aca="true">RAND()</f>
        <v>0.333346698806883</v>
      </c>
      <c r="Q72" s="0" t="n">
        <f aca="true">RAND()</f>
        <v>0.158741370049978</v>
      </c>
      <c r="R72" s="0" t="n">
        <f aca="false">IF($I72&lt;&gt;$O72,0,IF(P72&lt;Matchup!$B$39,7,IF(P72&lt;Matchup!$B$39+Matchup!$B$40,3,0)))</f>
        <v>0</v>
      </c>
      <c r="S72" s="0" t="n">
        <f aca="false">IF($I72&lt;&gt;$O72,0,IF(Q72&lt;Matchup!$C$39,7,IF(Q72&lt;Matchup!$C$39+Matchup!$C$40,3,0)))</f>
        <v>0</v>
      </c>
      <c r="T72" s="0" t="n">
        <f aca="false">I72+R72</f>
        <v>17</v>
      </c>
      <c r="U72" s="0" t="n">
        <f aca="false">O72+S72</f>
        <v>20</v>
      </c>
      <c r="V72" s="0" t="n">
        <f aca="false">T72-U72</f>
        <v>-3</v>
      </c>
      <c r="W72" s="0" t="n">
        <f aca="false">T72+U72</f>
        <v>37</v>
      </c>
    </row>
    <row r="73" customFormat="false" ht="15" hidden="false" customHeight="false" outlineLevel="0" collapsed="false">
      <c r="A73" s="0" t="n">
        <v>70</v>
      </c>
      <c r="B73" s="0" t="n">
        <f aca="true">NORMINV(RAND(),1,Coefficients!$B$22)</f>
        <v>1.09120283110355</v>
      </c>
      <c r="C73" s="0" t="n">
        <f aca="true">MEDIAN(8,16,ROUND(NORMINV(RAND(),Coefficients!$B$20,Coefficients!$B$21),0))</f>
        <v>12</v>
      </c>
      <c r="D73" s="0" t="n">
        <f aca="true">CRITBINOM($C73,MIN(0.75,Matchup!$B$39*$B73),RAND())</f>
        <v>4</v>
      </c>
      <c r="E73" s="0" t="n">
        <f aca="true">CRITBINOM(D73,Coefficients!$B$30,RAND())</f>
        <v>0</v>
      </c>
      <c r="F73" s="0" t="n">
        <f aca="true">CRITBINOM(E73,Coefficients!$B$31,RAND())</f>
        <v>0</v>
      </c>
      <c r="G73" s="0" t="n">
        <f aca="true">CRITBINOM(MAX(0,D73-E73),1-Coefficients!$B$32,RAND())</f>
        <v>2</v>
      </c>
      <c r="H73" s="0" t="n">
        <f aca="true">CRITBINOM(MAX(0,$C73-D73),MIN(0.6,Matchup!$B$40*SQRT($B73)/(1-MIN(0.75,Matchup!$B$39*$B73))),RAND())</f>
        <v>0</v>
      </c>
      <c r="I73" s="0" t="n">
        <f aca="false">6*D73+(D73-E73-G73)+2*F73+3*H73</f>
        <v>26</v>
      </c>
      <c r="J73" s="0" t="n">
        <f aca="true">CRITBINOM($C73,MIN(0.75,Matchup!$C$39*$B73),RAND())</f>
        <v>4</v>
      </c>
      <c r="K73" s="0" t="n">
        <f aca="true">CRITBINOM(J73,Coefficients!$B$30,RAND())</f>
        <v>0</v>
      </c>
      <c r="L73" s="0" t="n">
        <f aca="true">CRITBINOM(K73,Coefficients!$B$31,RAND())</f>
        <v>0</v>
      </c>
      <c r="M73" s="0" t="n">
        <f aca="true">CRITBINOM(MAX(0,J73-K73),1-Coefficients!$B$32,RAND())</f>
        <v>0</v>
      </c>
      <c r="N73" s="0" t="n">
        <f aca="true">CRITBINOM(MAX(0,$C73-J73),MIN(0.6,Matchup!$C$40*SQRT($B73)/(1-MIN(0.75,Matchup!$C$39*$B73))),RAND())</f>
        <v>2</v>
      </c>
      <c r="O73" s="0" t="n">
        <f aca="false">6*J73+(J73-K73-M73)+2*L73+3*N73</f>
        <v>34</v>
      </c>
      <c r="P73" s="0" t="n">
        <f aca="true">RAND()</f>
        <v>0.202273018264242</v>
      </c>
      <c r="Q73" s="0" t="n">
        <f aca="true">RAND()</f>
        <v>0.726661518255586</v>
      </c>
      <c r="R73" s="0" t="n">
        <f aca="false">IF($I73&lt;&gt;$O73,0,IF(P73&lt;Matchup!$B$39,7,IF(P73&lt;Matchup!$B$39+Matchup!$B$40,3,0)))</f>
        <v>0</v>
      </c>
      <c r="S73" s="0" t="n">
        <f aca="false">IF($I73&lt;&gt;$O73,0,IF(Q73&lt;Matchup!$C$39,7,IF(Q73&lt;Matchup!$C$39+Matchup!$C$40,3,0)))</f>
        <v>0</v>
      </c>
      <c r="T73" s="0" t="n">
        <f aca="false">I73+R73</f>
        <v>26</v>
      </c>
      <c r="U73" s="0" t="n">
        <f aca="false">O73+S73</f>
        <v>34</v>
      </c>
      <c r="V73" s="0" t="n">
        <f aca="false">T73-U73</f>
        <v>-8</v>
      </c>
      <c r="W73" s="0" t="n">
        <f aca="false">T73+U73</f>
        <v>60</v>
      </c>
    </row>
    <row r="74" customFormat="false" ht="15" hidden="false" customHeight="false" outlineLevel="0" collapsed="false">
      <c r="A74" s="0" t="n">
        <v>71</v>
      </c>
      <c r="B74" s="0" t="n">
        <f aca="true">NORMINV(RAND(),1,Coefficients!$B$22)</f>
        <v>0.934953496055109</v>
      </c>
      <c r="C74" s="0" t="n">
        <f aca="true">MEDIAN(8,16,ROUND(NORMINV(RAND(),Coefficients!$B$20,Coefficients!$B$21),0))</f>
        <v>10</v>
      </c>
      <c r="D74" s="0" t="n">
        <f aca="true">CRITBINOM($C74,MIN(0.75,Matchup!$B$39*$B74),RAND())</f>
        <v>4</v>
      </c>
      <c r="E74" s="0" t="n">
        <f aca="true">CRITBINOM(D74,Coefficients!$B$30,RAND())</f>
        <v>0</v>
      </c>
      <c r="F74" s="0" t="n">
        <f aca="true">CRITBINOM(E74,Coefficients!$B$31,RAND())</f>
        <v>0</v>
      </c>
      <c r="G74" s="0" t="n">
        <f aca="true">CRITBINOM(MAX(0,D74-E74),1-Coefficients!$B$32,RAND())</f>
        <v>0</v>
      </c>
      <c r="H74" s="0" t="n">
        <f aca="true">CRITBINOM(MAX(0,$C74-D74),MIN(0.6,Matchup!$B$40*SQRT($B74)/(1-MIN(0.75,Matchup!$B$39*$B74))),RAND())</f>
        <v>0</v>
      </c>
      <c r="I74" s="0" t="n">
        <f aca="false">6*D74+(D74-E74-G74)+2*F74+3*H74</f>
        <v>28</v>
      </c>
      <c r="J74" s="0" t="n">
        <f aca="true">CRITBINOM($C74,MIN(0.75,Matchup!$C$39*$B74),RAND())</f>
        <v>1</v>
      </c>
      <c r="K74" s="0" t="n">
        <f aca="true">CRITBINOM(J74,Coefficients!$B$30,RAND())</f>
        <v>0</v>
      </c>
      <c r="L74" s="0" t="n">
        <f aca="true">CRITBINOM(K74,Coefficients!$B$31,RAND())</f>
        <v>0</v>
      </c>
      <c r="M74" s="0" t="n">
        <f aca="true">CRITBINOM(MAX(0,J74-K74),1-Coefficients!$B$32,RAND())</f>
        <v>1</v>
      </c>
      <c r="N74" s="0" t="n">
        <f aca="true">CRITBINOM(MAX(0,$C74-J74),MIN(0.6,Matchup!$C$40*SQRT($B74)/(1-MIN(0.75,Matchup!$C$39*$B74))),RAND())</f>
        <v>2</v>
      </c>
      <c r="O74" s="0" t="n">
        <f aca="false">6*J74+(J74-K74-M74)+2*L74+3*N74</f>
        <v>12</v>
      </c>
      <c r="P74" s="0" t="n">
        <f aca="true">RAND()</f>
        <v>0.0247981066554513</v>
      </c>
      <c r="Q74" s="0" t="n">
        <f aca="true">RAND()</f>
        <v>0.677853720510527</v>
      </c>
      <c r="R74" s="0" t="n">
        <f aca="false">IF($I74&lt;&gt;$O74,0,IF(P74&lt;Matchup!$B$39,7,IF(P74&lt;Matchup!$B$39+Matchup!$B$40,3,0)))</f>
        <v>0</v>
      </c>
      <c r="S74" s="0" t="n">
        <f aca="false">IF($I74&lt;&gt;$O74,0,IF(Q74&lt;Matchup!$C$39,7,IF(Q74&lt;Matchup!$C$39+Matchup!$C$40,3,0)))</f>
        <v>0</v>
      </c>
      <c r="T74" s="0" t="n">
        <f aca="false">I74+R74</f>
        <v>28</v>
      </c>
      <c r="U74" s="0" t="n">
        <f aca="false">O74+S74</f>
        <v>12</v>
      </c>
      <c r="V74" s="0" t="n">
        <f aca="false">T74-U74</f>
        <v>16</v>
      </c>
      <c r="W74" s="0" t="n">
        <f aca="false">T74+U74</f>
        <v>40</v>
      </c>
    </row>
    <row r="75" customFormat="false" ht="15" hidden="false" customHeight="false" outlineLevel="0" collapsed="false">
      <c r="A75" s="0" t="n">
        <v>72</v>
      </c>
      <c r="B75" s="0" t="n">
        <f aca="true">NORMINV(RAND(),1,Coefficients!$B$22)</f>
        <v>0.891503738187526</v>
      </c>
      <c r="C75" s="0" t="n">
        <f aca="true">MEDIAN(8,16,ROUND(NORMINV(RAND(),Coefficients!$B$20,Coefficients!$B$21),0))</f>
        <v>10</v>
      </c>
      <c r="D75" s="0" t="n">
        <f aca="true">CRITBINOM($C75,MIN(0.75,Matchup!$B$39*$B75),RAND())</f>
        <v>3</v>
      </c>
      <c r="E75" s="0" t="n">
        <f aca="true">CRITBINOM(D75,Coefficients!$B$30,RAND())</f>
        <v>0</v>
      </c>
      <c r="F75" s="0" t="n">
        <f aca="true">CRITBINOM(E75,Coefficients!$B$31,RAND())</f>
        <v>0</v>
      </c>
      <c r="G75" s="0" t="n">
        <f aca="true">CRITBINOM(MAX(0,D75-E75),1-Coefficients!$B$32,RAND())</f>
        <v>0</v>
      </c>
      <c r="H75" s="0" t="n">
        <f aca="true">CRITBINOM(MAX(0,$C75-D75),MIN(0.6,Matchup!$B$40*SQRT($B75)/(1-MIN(0.75,Matchup!$B$39*$B75))),RAND())</f>
        <v>1</v>
      </c>
      <c r="I75" s="0" t="n">
        <f aca="false">6*D75+(D75-E75-G75)+2*F75+3*H75</f>
        <v>24</v>
      </c>
      <c r="J75" s="0" t="n">
        <f aca="true">CRITBINOM($C75,MIN(0.75,Matchup!$C$39*$B75),RAND())</f>
        <v>1</v>
      </c>
      <c r="K75" s="0" t="n">
        <f aca="true">CRITBINOM(J75,Coefficients!$B$30,RAND())</f>
        <v>1</v>
      </c>
      <c r="L75" s="0" t="n">
        <f aca="true">CRITBINOM(K75,Coefficients!$B$31,RAND())</f>
        <v>1</v>
      </c>
      <c r="M75" s="0" t="n">
        <f aca="true">CRITBINOM(MAX(0,J75-K75),1-Coefficients!$B$32,RAND())</f>
        <v>0</v>
      </c>
      <c r="N75" s="0" t="n">
        <f aca="true">CRITBINOM(MAX(0,$C75-J75),MIN(0.6,Matchup!$C$40*SQRT($B75)/(1-MIN(0.75,Matchup!$C$39*$B75))),RAND())</f>
        <v>4</v>
      </c>
      <c r="O75" s="0" t="n">
        <f aca="false">6*J75+(J75-K75-M75)+2*L75+3*N75</f>
        <v>20</v>
      </c>
      <c r="P75" s="0" t="n">
        <f aca="true">RAND()</f>
        <v>0.357837718788129</v>
      </c>
      <c r="Q75" s="0" t="n">
        <f aca="true">RAND()</f>
        <v>0.118014026730833</v>
      </c>
      <c r="R75" s="0" t="n">
        <f aca="false">IF($I75&lt;&gt;$O75,0,IF(P75&lt;Matchup!$B$39,7,IF(P75&lt;Matchup!$B$39+Matchup!$B$40,3,0)))</f>
        <v>0</v>
      </c>
      <c r="S75" s="0" t="n">
        <f aca="false">IF($I75&lt;&gt;$O75,0,IF(Q75&lt;Matchup!$C$39,7,IF(Q75&lt;Matchup!$C$39+Matchup!$C$40,3,0)))</f>
        <v>0</v>
      </c>
      <c r="T75" s="0" t="n">
        <f aca="false">I75+R75</f>
        <v>24</v>
      </c>
      <c r="U75" s="0" t="n">
        <f aca="false">O75+S75</f>
        <v>20</v>
      </c>
      <c r="V75" s="0" t="n">
        <f aca="false">T75-U75</f>
        <v>4</v>
      </c>
      <c r="W75" s="0" t="n">
        <f aca="false">T75+U75</f>
        <v>44</v>
      </c>
    </row>
    <row r="76" customFormat="false" ht="15" hidden="false" customHeight="false" outlineLevel="0" collapsed="false">
      <c r="A76" s="0" t="n">
        <v>73</v>
      </c>
      <c r="B76" s="0" t="n">
        <f aca="true">NORMINV(RAND(),1,Coefficients!$B$22)</f>
        <v>1.08669975054085</v>
      </c>
      <c r="C76" s="0" t="n">
        <f aca="true">MEDIAN(8,16,ROUND(NORMINV(RAND(),Coefficients!$B$20,Coefficients!$B$21),0))</f>
        <v>9</v>
      </c>
      <c r="D76" s="0" t="n">
        <f aca="true">CRITBINOM($C76,MIN(0.75,Matchup!$B$39*$B76),RAND())</f>
        <v>1</v>
      </c>
      <c r="E76" s="0" t="n">
        <f aca="true">CRITBINOM(D76,Coefficients!$B$30,RAND())</f>
        <v>1</v>
      </c>
      <c r="F76" s="0" t="n">
        <f aca="true">CRITBINOM(E76,Coefficients!$B$31,RAND())</f>
        <v>0</v>
      </c>
      <c r="G76" s="0" t="n">
        <f aca="true">CRITBINOM(MAX(0,D76-E76),1-Coefficients!$B$32,RAND())</f>
        <v>0</v>
      </c>
      <c r="H76" s="0" t="n">
        <f aca="true">CRITBINOM(MAX(0,$C76-D76),MIN(0.6,Matchup!$B$40*SQRT($B76)/(1-MIN(0.75,Matchup!$B$39*$B76))),RAND())</f>
        <v>0</v>
      </c>
      <c r="I76" s="0" t="n">
        <f aca="false">6*D76+(D76-E76-G76)+2*F76+3*H76</f>
        <v>6</v>
      </c>
      <c r="J76" s="0" t="n">
        <f aca="true">CRITBINOM($C76,MIN(0.75,Matchup!$C$39*$B76),RAND())</f>
        <v>0</v>
      </c>
      <c r="K76" s="0" t="n">
        <f aca="true">CRITBINOM(J76,Coefficients!$B$30,RAND())</f>
        <v>0</v>
      </c>
      <c r="L76" s="0" t="n">
        <f aca="true">CRITBINOM(K76,Coefficients!$B$31,RAND())</f>
        <v>0</v>
      </c>
      <c r="M76" s="0" t="n">
        <f aca="true">CRITBINOM(MAX(0,J76-K76),1-Coefficients!$B$32,RAND())</f>
        <v>0</v>
      </c>
      <c r="N76" s="0" t="n">
        <f aca="true">CRITBINOM(MAX(0,$C76-J76),MIN(0.6,Matchup!$C$40*SQRT($B76)/(1-MIN(0.75,Matchup!$C$39*$B76))),RAND())</f>
        <v>2</v>
      </c>
      <c r="O76" s="0" t="n">
        <f aca="false">6*J76+(J76-K76-M76)+2*L76+3*N76</f>
        <v>6</v>
      </c>
      <c r="P76" s="0" t="n">
        <f aca="true">RAND()</f>
        <v>0.905847040680954</v>
      </c>
      <c r="Q76" s="0" t="n">
        <f aca="true">RAND()</f>
        <v>0.920919353559655</v>
      </c>
      <c r="R76" s="0" t="n">
        <f aca="false">IF($I76&lt;&gt;$O76,0,IF(P76&lt;Matchup!$B$39,7,IF(P76&lt;Matchup!$B$39+Matchup!$B$40,3,0)))</f>
        <v>0</v>
      </c>
      <c r="S76" s="0" t="n">
        <f aca="false">IF($I76&lt;&gt;$O76,0,IF(Q76&lt;Matchup!$C$39,7,IF(Q76&lt;Matchup!$C$39+Matchup!$C$40,3,0)))</f>
        <v>0</v>
      </c>
      <c r="T76" s="0" t="n">
        <f aca="false">I76+R76</f>
        <v>6</v>
      </c>
      <c r="U76" s="0" t="n">
        <f aca="false">O76+S76</f>
        <v>6</v>
      </c>
      <c r="V76" s="0" t="n">
        <f aca="false">T76-U76</f>
        <v>0</v>
      </c>
      <c r="W76" s="0" t="n">
        <f aca="false">T76+U76</f>
        <v>12</v>
      </c>
    </row>
    <row r="77" customFormat="false" ht="15" hidden="false" customHeight="false" outlineLevel="0" collapsed="false">
      <c r="A77" s="0" t="n">
        <v>74</v>
      </c>
      <c r="B77" s="0" t="n">
        <f aca="true">NORMINV(RAND(),1,Coefficients!$B$22)</f>
        <v>0.913957855880703</v>
      </c>
      <c r="C77" s="0" t="n">
        <f aca="true">MEDIAN(8,16,ROUND(NORMINV(RAND(),Coefficients!$B$20,Coefficients!$B$21),0))</f>
        <v>10</v>
      </c>
      <c r="D77" s="0" t="n">
        <f aca="true">CRITBINOM($C77,MIN(0.75,Matchup!$B$39*$B77),RAND())</f>
        <v>3</v>
      </c>
      <c r="E77" s="0" t="n">
        <f aca="true">CRITBINOM(D77,Coefficients!$B$30,RAND())</f>
        <v>1</v>
      </c>
      <c r="F77" s="0" t="n">
        <f aca="true">CRITBINOM(E77,Coefficients!$B$31,RAND())</f>
        <v>1</v>
      </c>
      <c r="G77" s="0" t="n">
        <f aca="true">CRITBINOM(MAX(0,D77-E77),1-Coefficients!$B$32,RAND())</f>
        <v>0</v>
      </c>
      <c r="H77" s="0" t="n">
        <f aca="true">CRITBINOM(MAX(0,$C77-D77),MIN(0.6,Matchup!$B$40*SQRT($B77)/(1-MIN(0.75,Matchup!$B$39*$B77))),RAND())</f>
        <v>2</v>
      </c>
      <c r="I77" s="0" t="n">
        <f aca="false">6*D77+(D77-E77-G77)+2*F77+3*H77</f>
        <v>28</v>
      </c>
      <c r="J77" s="0" t="n">
        <f aca="true">CRITBINOM($C77,MIN(0.75,Matchup!$C$39*$B77),RAND())</f>
        <v>1</v>
      </c>
      <c r="K77" s="0" t="n">
        <f aca="true">CRITBINOM(J77,Coefficients!$B$30,RAND())</f>
        <v>0</v>
      </c>
      <c r="L77" s="0" t="n">
        <f aca="true">CRITBINOM(K77,Coefficients!$B$31,RAND())</f>
        <v>0</v>
      </c>
      <c r="M77" s="0" t="n">
        <f aca="true">CRITBINOM(MAX(0,J77-K77),1-Coefficients!$B$32,RAND())</f>
        <v>0</v>
      </c>
      <c r="N77" s="0" t="n">
        <f aca="true">CRITBINOM(MAX(0,$C77-J77),MIN(0.6,Matchup!$C$40*SQRT($B77)/(1-MIN(0.75,Matchup!$C$39*$B77))),RAND())</f>
        <v>0</v>
      </c>
      <c r="O77" s="0" t="n">
        <f aca="false">6*J77+(J77-K77-M77)+2*L77+3*N77</f>
        <v>7</v>
      </c>
      <c r="P77" s="0" t="n">
        <f aca="true">RAND()</f>
        <v>0.843784733230016</v>
      </c>
      <c r="Q77" s="0" t="n">
        <f aca="true">RAND()</f>
        <v>0.807221586574297</v>
      </c>
      <c r="R77" s="0" t="n">
        <f aca="false">IF($I77&lt;&gt;$O77,0,IF(P77&lt;Matchup!$B$39,7,IF(P77&lt;Matchup!$B$39+Matchup!$B$40,3,0)))</f>
        <v>0</v>
      </c>
      <c r="S77" s="0" t="n">
        <f aca="false">IF($I77&lt;&gt;$O77,0,IF(Q77&lt;Matchup!$C$39,7,IF(Q77&lt;Matchup!$C$39+Matchup!$C$40,3,0)))</f>
        <v>0</v>
      </c>
      <c r="T77" s="0" t="n">
        <f aca="false">I77+R77</f>
        <v>28</v>
      </c>
      <c r="U77" s="0" t="n">
        <f aca="false">O77+S77</f>
        <v>7</v>
      </c>
      <c r="V77" s="0" t="n">
        <f aca="false">T77-U77</f>
        <v>21</v>
      </c>
      <c r="W77" s="0" t="n">
        <f aca="false">T77+U77</f>
        <v>35</v>
      </c>
    </row>
    <row r="78" customFormat="false" ht="15" hidden="false" customHeight="false" outlineLevel="0" collapsed="false">
      <c r="A78" s="0" t="n">
        <v>75</v>
      </c>
      <c r="B78" s="0" t="n">
        <f aca="true">NORMINV(RAND(),1,Coefficients!$B$22)</f>
        <v>1.02720987309248</v>
      </c>
      <c r="C78" s="0" t="n">
        <f aca="true">MEDIAN(8,16,ROUND(NORMINV(RAND(),Coefficients!$B$20,Coefficients!$B$21),0))</f>
        <v>12</v>
      </c>
      <c r="D78" s="0" t="n">
        <f aca="true">CRITBINOM($C78,MIN(0.75,Matchup!$B$39*$B78),RAND())</f>
        <v>6</v>
      </c>
      <c r="E78" s="0" t="n">
        <f aca="true">CRITBINOM(D78,Coefficients!$B$30,RAND())</f>
        <v>1</v>
      </c>
      <c r="F78" s="0" t="n">
        <f aca="true">CRITBINOM(E78,Coefficients!$B$31,RAND())</f>
        <v>1</v>
      </c>
      <c r="G78" s="0" t="n">
        <f aca="true">CRITBINOM(MAX(0,D78-E78),1-Coefficients!$B$32,RAND())</f>
        <v>0</v>
      </c>
      <c r="H78" s="0" t="n">
        <f aca="true">CRITBINOM(MAX(0,$C78-D78),MIN(0.6,Matchup!$B$40*SQRT($B78)/(1-MIN(0.75,Matchup!$B$39*$B78))),RAND())</f>
        <v>4</v>
      </c>
      <c r="I78" s="0" t="n">
        <f aca="false">6*D78+(D78-E78-G78)+2*F78+3*H78</f>
        <v>55</v>
      </c>
      <c r="J78" s="0" t="n">
        <f aca="true">CRITBINOM($C78,MIN(0.75,Matchup!$C$39*$B78),RAND())</f>
        <v>4</v>
      </c>
      <c r="K78" s="0" t="n">
        <f aca="true">CRITBINOM(J78,Coefficients!$B$30,RAND())</f>
        <v>0</v>
      </c>
      <c r="L78" s="0" t="n">
        <f aca="true">CRITBINOM(K78,Coefficients!$B$31,RAND())</f>
        <v>0</v>
      </c>
      <c r="M78" s="0" t="n">
        <f aca="true">CRITBINOM(MAX(0,J78-K78),1-Coefficients!$B$32,RAND())</f>
        <v>0</v>
      </c>
      <c r="N78" s="0" t="n">
        <f aca="true">CRITBINOM(MAX(0,$C78-J78),MIN(0.6,Matchup!$C$40*SQRT($B78)/(1-MIN(0.75,Matchup!$C$39*$B78))),RAND())</f>
        <v>1</v>
      </c>
      <c r="O78" s="0" t="n">
        <f aca="false">6*J78+(J78-K78-M78)+2*L78+3*N78</f>
        <v>31</v>
      </c>
      <c r="P78" s="0" t="n">
        <f aca="true">RAND()</f>
        <v>0.715052408479001</v>
      </c>
      <c r="Q78" s="0" t="n">
        <f aca="true">RAND()</f>
        <v>0.274663488256457</v>
      </c>
      <c r="R78" s="0" t="n">
        <f aca="false">IF($I78&lt;&gt;$O78,0,IF(P78&lt;Matchup!$B$39,7,IF(P78&lt;Matchup!$B$39+Matchup!$B$40,3,0)))</f>
        <v>0</v>
      </c>
      <c r="S78" s="0" t="n">
        <f aca="false">IF($I78&lt;&gt;$O78,0,IF(Q78&lt;Matchup!$C$39,7,IF(Q78&lt;Matchup!$C$39+Matchup!$C$40,3,0)))</f>
        <v>0</v>
      </c>
      <c r="T78" s="0" t="n">
        <f aca="false">I78+R78</f>
        <v>55</v>
      </c>
      <c r="U78" s="0" t="n">
        <f aca="false">O78+S78</f>
        <v>31</v>
      </c>
      <c r="V78" s="0" t="n">
        <f aca="false">T78-U78</f>
        <v>24</v>
      </c>
      <c r="W78" s="0" t="n">
        <f aca="false">T78+U78</f>
        <v>86</v>
      </c>
    </row>
    <row r="79" customFormat="false" ht="15" hidden="false" customHeight="false" outlineLevel="0" collapsed="false">
      <c r="A79" s="0" t="n">
        <v>76</v>
      </c>
      <c r="B79" s="0" t="n">
        <f aca="true">NORMINV(RAND(),1,Coefficients!$B$22)</f>
        <v>1.09890795629136</v>
      </c>
      <c r="C79" s="0" t="n">
        <f aca="true">MEDIAN(8,16,ROUND(NORMINV(RAND(),Coefficients!$B$20,Coefficients!$B$21),0))</f>
        <v>11</v>
      </c>
      <c r="D79" s="0" t="n">
        <f aca="true">CRITBINOM($C79,MIN(0.75,Matchup!$B$39*$B79),RAND())</f>
        <v>2</v>
      </c>
      <c r="E79" s="0" t="n">
        <f aca="true">CRITBINOM(D79,Coefficients!$B$30,RAND())</f>
        <v>1</v>
      </c>
      <c r="F79" s="0" t="n">
        <f aca="true">CRITBINOM(E79,Coefficients!$B$31,RAND())</f>
        <v>1</v>
      </c>
      <c r="G79" s="0" t="n">
        <f aca="true">CRITBINOM(MAX(0,D79-E79),1-Coefficients!$B$32,RAND())</f>
        <v>0</v>
      </c>
      <c r="H79" s="0" t="n">
        <f aca="true">CRITBINOM(MAX(0,$C79-D79),MIN(0.6,Matchup!$B$40*SQRT($B79)/(1-MIN(0.75,Matchup!$B$39*$B79))),RAND())</f>
        <v>4</v>
      </c>
      <c r="I79" s="0" t="n">
        <f aca="false">6*D79+(D79-E79-G79)+2*F79+3*H79</f>
        <v>27</v>
      </c>
      <c r="J79" s="0" t="n">
        <f aca="true">CRITBINOM($C79,MIN(0.75,Matchup!$C$39*$B79),RAND())</f>
        <v>1</v>
      </c>
      <c r="K79" s="0" t="n">
        <f aca="true">CRITBINOM(J79,Coefficients!$B$30,RAND())</f>
        <v>1</v>
      </c>
      <c r="L79" s="0" t="n">
        <f aca="true">CRITBINOM(K79,Coefficients!$B$31,RAND())</f>
        <v>1</v>
      </c>
      <c r="M79" s="0" t="n">
        <f aca="true">CRITBINOM(MAX(0,J79-K79),1-Coefficients!$B$32,RAND())</f>
        <v>0</v>
      </c>
      <c r="N79" s="0" t="n">
        <f aca="true">CRITBINOM(MAX(0,$C79-J79),MIN(0.6,Matchup!$C$40*SQRT($B79)/(1-MIN(0.75,Matchup!$C$39*$B79))),RAND())</f>
        <v>4</v>
      </c>
      <c r="O79" s="0" t="n">
        <f aca="false">6*J79+(J79-K79-M79)+2*L79+3*N79</f>
        <v>20</v>
      </c>
      <c r="P79" s="0" t="n">
        <f aca="true">RAND()</f>
        <v>0.0027235032031927</v>
      </c>
      <c r="Q79" s="0" t="n">
        <f aca="true">RAND()</f>
        <v>0.84576048272635</v>
      </c>
      <c r="R79" s="0" t="n">
        <f aca="false">IF($I79&lt;&gt;$O79,0,IF(P79&lt;Matchup!$B$39,7,IF(P79&lt;Matchup!$B$39+Matchup!$B$40,3,0)))</f>
        <v>0</v>
      </c>
      <c r="S79" s="0" t="n">
        <f aca="false">IF($I79&lt;&gt;$O79,0,IF(Q79&lt;Matchup!$C$39,7,IF(Q79&lt;Matchup!$C$39+Matchup!$C$40,3,0)))</f>
        <v>0</v>
      </c>
      <c r="T79" s="0" t="n">
        <f aca="false">I79+R79</f>
        <v>27</v>
      </c>
      <c r="U79" s="0" t="n">
        <f aca="false">O79+S79</f>
        <v>20</v>
      </c>
      <c r="V79" s="0" t="n">
        <f aca="false">T79-U79</f>
        <v>7</v>
      </c>
      <c r="W79" s="0" t="n">
        <f aca="false">T79+U79</f>
        <v>47</v>
      </c>
    </row>
    <row r="80" customFormat="false" ht="15" hidden="false" customHeight="false" outlineLevel="0" collapsed="false">
      <c r="A80" s="0" t="n">
        <v>77</v>
      </c>
      <c r="B80" s="0" t="n">
        <f aca="true">NORMINV(RAND(),1,Coefficients!$B$22)</f>
        <v>0.920046409523185</v>
      </c>
      <c r="C80" s="0" t="n">
        <f aca="true">MEDIAN(8,16,ROUND(NORMINV(RAND(),Coefficients!$B$20,Coefficients!$B$21),0))</f>
        <v>10</v>
      </c>
      <c r="D80" s="0" t="n">
        <f aca="true">CRITBINOM($C80,MIN(0.75,Matchup!$B$39*$B80),RAND())</f>
        <v>1</v>
      </c>
      <c r="E80" s="0" t="n">
        <f aca="true">CRITBINOM(D80,Coefficients!$B$30,RAND())</f>
        <v>0</v>
      </c>
      <c r="F80" s="0" t="n">
        <f aca="true">CRITBINOM(E80,Coefficients!$B$31,RAND())</f>
        <v>0</v>
      </c>
      <c r="G80" s="0" t="n">
        <f aca="true">CRITBINOM(MAX(0,D80-E80),1-Coefficients!$B$32,RAND())</f>
        <v>0</v>
      </c>
      <c r="H80" s="0" t="n">
        <f aca="true">CRITBINOM(MAX(0,$C80-D80),MIN(0.6,Matchup!$B$40*SQRT($B80)/(1-MIN(0.75,Matchup!$B$39*$B80))),RAND())</f>
        <v>1</v>
      </c>
      <c r="I80" s="0" t="n">
        <f aca="false">6*D80+(D80-E80-G80)+2*F80+3*H80</f>
        <v>10</v>
      </c>
      <c r="J80" s="0" t="n">
        <f aca="true">CRITBINOM($C80,MIN(0.75,Matchup!$C$39*$B80),RAND())</f>
        <v>1</v>
      </c>
      <c r="K80" s="0" t="n">
        <f aca="true">CRITBINOM(J80,Coefficients!$B$30,RAND())</f>
        <v>0</v>
      </c>
      <c r="L80" s="0" t="n">
        <f aca="true">CRITBINOM(K80,Coefficients!$B$31,RAND())</f>
        <v>0</v>
      </c>
      <c r="M80" s="0" t="n">
        <f aca="true">CRITBINOM(MAX(0,J80-K80),1-Coefficients!$B$32,RAND())</f>
        <v>0</v>
      </c>
      <c r="N80" s="0" t="n">
        <f aca="true">CRITBINOM(MAX(0,$C80-J80),MIN(0.6,Matchup!$C$40*SQRT($B80)/(1-MIN(0.75,Matchup!$C$39*$B80))),RAND())</f>
        <v>2</v>
      </c>
      <c r="O80" s="0" t="n">
        <f aca="false">6*J80+(J80-K80-M80)+2*L80+3*N80</f>
        <v>13</v>
      </c>
      <c r="P80" s="0" t="n">
        <f aca="true">RAND()</f>
        <v>0.797268090784917</v>
      </c>
      <c r="Q80" s="0" t="n">
        <f aca="true">RAND()</f>
        <v>0.487400437720493</v>
      </c>
      <c r="R80" s="0" t="n">
        <f aca="false">IF($I80&lt;&gt;$O80,0,IF(P80&lt;Matchup!$B$39,7,IF(P80&lt;Matchup!$B$39+Matchup!$B$40,3,0)))</f>
        <v>0</v>
      </c>
      <c r="S80" s="0" t="n">
        <f aca="false">IF($I80&lt;&gt;$O80,0,IF(Q80&lt;Matchup!$C$39,7,IF(Q80&lt;Matchup!$C$39+Matchup!$C$40,3,0)))</f>
        <v>0</v>
      </c>
      <c r="T80" s="0" t="n">
        <f aca="false">I80+R80</f>
        <v>10</v>
      </c>
      <c r="U80" s="0" t="n">
        <f aca="false">O80+S80</f>
        <v>13</v>
      </c>
      <c r="V80" s="0" t="n">
        <f aca="false">T80-U80</f>
        <v>-3</v>
      </c>
      <c r="W80" s="0" t="n">
        <f aca="false">T80+U80</f>
        <v>23</v>
      </c>
    </row>
    <row r="81" customFormat="false" ht="15" hidden="false" customHeight="false" outlineLevel="0" collapsed="false">
      <c r="A81" s="0" t="n">
        <v>78</v>
      </c>
      <c r="B81" s="0" t="n">
        <f aca="true">NORMINV(RAND(),1,Coefficients!$B$22)</f>
        <v>0.964561055774706</v>
      </c>
      <c r="C81" s="0" t="n">
        <f aca="true">MEDIAN(8,16,ROUND(NORMINV(RAND(),Coefficients!$B$20,Coefficients!$B$21),0))</f>
        <v>11</v>
      </c>
      <c r="D81" s="0" t="n">
        <f aca="true">CRITBINOM($C81,MIN(0.75,Matchup!$B$39*$B81),RAND())</f>
        <v>3</v>
      </c>
      <c r="E81" s="0" t="n">
        <f aca="true">CRITBINOM(D81,Coefficients!$B$30,RAND())</f>
        <v>0</v>
      </c>
      <c r="F81" s="0" t="n">
        <f aca="true">CRITBINOM(E81,Coefficients!$B$31,RAND())</f>
        <v>0</v>
      </c>
      <c r="G81" s="0" t="n">
        <f aca="true">CRITBINOM(MAX(0,D81-E81),1-Coefficients!$B$32,RAND())</f>
        <v>0</v>
      </c>
      <c r="H81" s="0" t="n">
        <f aca="true">CRITBINOM(MAX(0,$C81-D81),MIN(0.6,Matchup!$B$40*SQRT($B81)/(1-MIN(0.75,Matchup!$B$39*$B81))),RAND())</f>
        <v>0</v>
      </c>
      <c r="I81" s="0" t="n">
        <f aca="false">6*D81+(D81-E81-G81)+2*F81+3*H81</f>
        <v>21</v>
      </c>
      <c r="J81" s="0" t="n">
        <f aca="true">CRITBINOM($C81,MIN(0.75,Matchup!$C$39*$B81),RAND())</f>
        <v>1</v>
      </c>
      <c r="K81" s="0" t="n">
        <f aca="true">CRITBINOM(J81,Coefficients!$B$30,RAND())</f>
        <v>0</v>
      </c>
      <c r="L81" s="0" t="n">
        <f aca="true">CRITBINOM(K81,Coefficients!$B$31,RAND())</f>
        <v>0</v>
      </c>
      <c r="M81" s="0" t="n">
        <f aca="true">CRITBINOM(MAX(0,J81-K81),1-Coefficients!$B$32,RAND())</f>
        <v>0</v>
      </c>
      <c r="N81" s="0" t="n">
        <f aca="true">CRITBINOM(MAX(0,$C81-J81),MIN(0.6,Matchup!$C$40*SQRT($B81)/(1-MIN(0.75,Matchup!$C$39*$B81))),RAND())</f>
        <v>0</v>
      </c>
      <c r="O81" s="0" t="n">
        <f aca="false">6*J81+(J81-K81-M81)+2*L81+3*N81</f>
        <v>7</v>
      </c>
      <c r="P81" s="0" t="n">
        <f aca="true">RAND()</f>
        <v>0.686004603221649</v>
      </c>
      <c r="Q81" s="0" t="n">
        <f aca="true">RAND()</f>
        <v>0.599914739141768</v>
      </c>
      <c r="R81" s="0" t="n">
        <f aca="false">IF($I81&lt;&gt;$O81,0,IF(P81&lt;Matchup!$B$39,7,IF(P81&lt;Matchup!$B$39+Matchup!$B$40,3,0)))</f>
        <v>0</v>
      </c>
      <c r="S81" s="0" t="n">
        <f aca="false">IF($I81&lt;&gt;$O81,0,IF(Q81&lt;Matchup!$C$39,7,IF(Q81&lt;Matchup!$C$39+Matchup!$C$40,3,0)))</f>
        <v>0</v>
      </c>
      <c r="T81" s="0" t="n">
        <f aca="false">I81+R81</f>
        <v>21</v>
      </c>
      <c r="U81" s="0" t="n">
        <f aca="false">O81+S81</f>
        <v>7</v>
      </c>
      <c r="V81" s="0" t="n">
        <f aca="false">T81-U81</f>
        <v>14</v>
      </c>
      <c r="W81" s="0" t="n">
        <f aca="false">T81+U81</f>
        <v>28</v>
      </c>
    </row>
    <row r="82" customFormat="false" ht="15" hidden="false" customHeight="false" outlineLevel="0" collapsed="false">
      <c r="A82" s="0" t="n">
        <v>79</v>
      </c>
      <c r="B82" s="0" t="n">
        <f aca="true">NORMINV(RAND(),1,Coefficients!$B$22)</f>
        <v>0.86818433073076</v>
      </c>
      <c r="C82" s="0" t="n">
        <f aca="true">MEDIAN(8,16,ROUND(NORMINV(RAND(),Coefficients!$B$20,Coefficients!$B$21),0))</f>
        <v>12</v>
      </c>
      <c r="D82" s="0" t="n">
        <f aca="true">CRITBINOM($C82,MIN(0.75,Matchup!$B$39*$B82),RAND())</f>
        <v>1</v>
      </c>
      <c r="E82" s="0" t="n">
        <f aca="true">CRITBINOM(D82,Coefficients!$B$30,RAND())</f>
        <v>1</v>
      </c>
      <c r="F82" s="0" t="n">
        <f aca="true">CRITBINOM(E82,Coefficients!$B$31,RAND())</f>
        <v>1</v>
      </c>
      <c r="G82" s="0" t="n">
        <f aca="true">CRITBINOM(MAX(0,D82-E82),1-Coefficients!$B$32,RAND())</f>
        <v>0</v>
      </c>
      <c r="H82" s="0" t="n">
        <f aca="true">CRITBINOM(MAX(0,$C82-D82),MIN(0.6,Matchup!$B$40*SQRT($B82)/(1-MIN(0.75,Matchup!$B$39*$B82))),RAND())</f>
        <v>2</v>
      </c>
      <c r="I82" s="0" t="n">
        <f aca="false">6*D82+(D82-E82-G82)+2*F82+3*H82</f>
        <v>14</v>
      </c>
      <c r="J82" s="0" t="n">
        <f aca="true">CRITBINOM($C82,MIN(0.75,Matchup!$C$39*$B82),RAND())</f>
        <v>0</v>
      </c>
      <c r="K82" s="0" t="n">
        <f aca="true">CRITBINOM(J82,Coefficients!$B$30,RAND())</f>
        <v>0</v>
      </c>
      <c r="L82" s="0" t="n">
        <f aca="true">CRITBINOM(K82,Coefficients!$B$31,RAND())</f>
        <v>0</v>
      </c>
      <c r="M82" s="0" t="n">
        <f aca="true">CRITBINOM(MAX(0,J82-K82),1-Coefficients!$B$32,RAND())</f>
        <v>0</v>
      </c>
      <c r="N82" s="0" t="n">
        <f aca="true">CRITBINOM(MAX(0,$C82-J82),MIN(0.6,Matchup!$C$40*SQRT($B82)/(1-MIN(0.75,Matchup!$C$39*$B82))),RAND())</f>
        <v>5</v>
      </c>
      <c r="O82" s="0" t="n">
        <f aca="false">6*J82+(J82-K82-M82)+2*L82+3*N82</f>
        <v>15</v>
      </c>
      <c r="P82" s="0" t="n">
        <f aca="true">RAND()</f>
        <v>0.79323051021098</v>
      </c>
      <c r="Q82" s="0" t="n">
        <f aca="true">RAND()</f>
        <v>0.359299083146875</v>
      </c>
      <c r="R82" s="0" t="n">
        <f aca="false">IF($I82&lt;&gt;$O82,0,IF(P82&lt;Matchup!$B$39,7,IF(P82&lt;Matchup!$B$39+Matchup!$B$40,3,0)))</f>
        <v>0</v>
      </c>
      <c r="S82" s="0" t="n">
        <f aca="false">IF($I82&lt;&gt;$O82,0,IF(Q82&lt;Matchup!$C$39,7,IF(Q82&lt;Matchup!$C$39+Matchup!$C$40,3,0)))</f>
        <v>0</v>
      </c>
      <c r="T82" s="0" t="n">
        <f aca="false">I82+R82</f>
        <v>14</v>
      </c>
      <c r="U82" s="0" t="n">
        <f aca="false">O82+S82</f>
        <v>15</v>
      </c>
      <c r="V82" s="0" t="n">
        <f aca="false">T82-U82</f>
        <v>-1</v>
      </c>
      <c r="W82" s="0" t="n">
        <f aca="false">T82+U82</f>
        <v>29</v>
      </c>
    </row>
    <row r="83" customFormat="false" ht="15" hidden="false" customHeight="false" outlineLevel="0" collapsed="false">
      <c r="A83" s="0" t="n">
        <v>80</v>
      </c>
      <c r="B83" s="0" t="n">
        <f aca="true">NORMINV(RAND(),1,Coefficients!$B$22)</f>
        <v>1.04883002561133</v>
      </c>
      <c r="C83" s="0" t="n">
        <f aca="true">MEDIAN(8,16,ROUND(NORMINV(RAND(),Coefficients!$B$20,Coefficients!$B$21),0))</f>
        <v>12</v>
      </c>
      <c r="D83" s="0" t="n">
        <f aca="true">CRITBINOM($C83,MIN(0.75,Matchup!$B$39*$B83),RAND())</f>
        <v>7</v>
      </c>
      <c r="E83" s="0" t="n">
        <f aca="true">CRITBINOM(D83,Coefficients!$B$30,RAND())</f>
        <v>1</v>
      </c>
      <c r="F83" s="0" t="n">
        <f aca="true">CRITBINOM(E83,Coefficients!$B$31,RAND())</f>
        <v>0</v>
      </c>
      <c r="G83" s="0" t="n">
        <f aca="true">CRITBINOM(MAX(0,D83-E83),1-Coefficients!$B$32,RAND())</f>
        <v>0</v>
      </c>
      <c r="H83" s="0" t="n">
        <f aca="true">CRITBINOM(MAX(0,$C83-D83),MIN(0.6,Matchup!$B$40*SQRT($B83)/(1-MIN(0.75,Matchup!$B$39*$B83))),RAND())</f>
        <v>0</v>
      </c>
      <c r="I83" s="0" t="n">
        <f aca="false">6*D83+(D83-E83-G83)+2*F83+3*H83</f>
        <v>48</v>
      </c>
      <c r="J83" s="0" t="n">
        <f aca="true">CRITBINOM($C83,MIN(0.75,Matchup!$C$39*$B83),RAND())</f>
        <v>3</v>
      </c>
      <c r="K83" s="0" t="n">
        <f aca="true">CRITBINOM(J83,Coefficients!$B$30,RAND())</f>
        <v>0</v>
      </c>
      <c r="L83" s="0" t="n">
        <f aca="true">CRITBINOM(K83,Coefficients!$B$31,RAND())</f>
        <v>0</v>
      </c>
      <c r="M83" s="0" t="n">
        <f aca="true">CRITBINOM(MAX(0,J83-K83),1-Coefficients!$B$32,RAND())</f>
        <v>0</v>
      </c>
      <c r="N83" s="0" t="n">
        <f aca="true">CRITBINOM(MAX(0,$C83-J83),MIN(0.6,Matchup!$C$40*SQRT($B83)/(1-MIN(0.75,Matchup!$C$39*$B83))),RAND())</f>
        <v>1</v>
      </c>
      <c r="O83" s="0" t="n">
        <f aca="false">6*J83+(J83-K83-M83)+2*L83+3*N83</f>
        <v>24</v>
      </c>
      <c r="P83" s="0" t="n">
        <f aca="true">RAND()</f>
        <v>0.32072593324461</v>
      </c>
      <c r="Q83" s="0" t="n">
        <f aca="true">RAND()</f>
        <v>0.101179254520855</v>
      </c>
      <c r="R83" s="0" t="n">
        <f aca="false">IF($I83&lt;&gt;$O83,0,IF(P83&lt;Matchup!$B$39,7,IF(P83&lt;Matchup!$B$39+Matchup!$B$40,3,0)))</f>
        <v>0</v>
      </c>
      <c r="S83" s="0" t="n">
        <f aca="false">IF($I83&lt;&gt;$O83,0,IF(Q83&lt;Matchup!$C$39,7,IF(Q83&lt;Matchup!$C$39+Matchup!$C$40,3,0)))</f>
        <v>0</v>
      </c>
      <c r="T83" s="0" t="n">
        <f aca="false">I83+R83</f>
        <v>48</v>
      </c>
      <c r="U83" s="0" t="n">
        <f aca="false">O83+S83</f>
        <v>24</v>
      </c>
      <c r="V83" s="0" t="n">
        <f aca="false">T83-U83</f>
        <v>24</v>
      </c>
      <c r="W83" s="0" t="n">
        <f aca="false">T83+U83</f>
        <v>72</v>
      </c>
    </row>
    <row r="84" customFormat="false" ht="15" hidden="false" customHeight="false" outlineLevel="0" collapsed="false">
      <c r="A84" s="0" t="n">
        <v>81</v>
      </c>
      <c r="B84" s="0" t="n">
        <f aca="true">NORMINV(RAND(),1,Coefficients!$B$22)</f>
        <v>1.04067459408312</v>
      </c>
      <c r="C84" s="0" t="n">
        <f aca="true">MEDIAN(8,16,ROUND(NORMINV(RAND(),Coefficients!$B$20,Coefficients!$B$21),0))</f>
        <v>12</v>
      </c>
      <c r="D84" s="0" t="n">
        <f aca="true">CRITBINOM($C84,MIN(0.75,Matchup!$B$39*$B84),RAND())</f>
        <v>5</v>
      </c>
      <c r="E84" s="0" t="n">
        <f aca="true">CRITBINOM(D84,Coefficients!$B$30,RAND())</f>
        <v>1</v>
      </c>
      <c r="F84" s="0" t="n">
        <f aca="true">CRITBINOM(E84,Coefficients!$B$31,RAND())</f>
        <v>1</v>
      </c>
      <c r="G84" s="0" t="n">
        <f aca="true">CRITBINOM(MAX(0,D84-E84),1-Coefficients!$B$32,RAND())</f>
        <v>0</v>
      </c>
      <c r="H84" s="0" t="n">
        <f aca="true">CRITBINOM(MAX(0,$C84-D84),MIN(0.6,Matchup!$B$40*SQRT($B84)/(1-MIN(0.75,Matchup!$B$39*$B84))),RAND())</f>
        <v>2</v>
      </c>
      <c r="I84" s="0" t="n">
        <f aca="false">6*D84+(D84-E84-G84)+2*F84+3*H84</f>
        <v>42</v>
      </c>
      <c r="J84" s="0" t="n">
        <f aca="true">CRITBINOM($C84,MIN(0.75,Matchup!$C$39*$B84),RAND())</f>
        <v>2</v>
      </c>
      <c r="K84" s="0" t="n">
        <f aca="true">CRITBINOM(J84,Coefficients!$B$30,RAND())</f>
        <v>0</v>
      </c>
      <c r="L84" s="0" t="n">
        <f aca="true">CRITBINOM(K84,Coefficients!$B$31,RAND())</f>
        <v>0</v>
      </c>
      <c r="M84" s="0" t="n">
        <f aca="true">CRITBINOM(MAX(0,J84-K84),1-Coefficients!$B$32,RAND())</f>
        <v>0</v>
      </c>
      <c r="N84" s="0" t="n">
        <f aca="true">CRITBINOM(MAX(0,$C84-J84),MIN(0.6,Matchup!$C$40*SQRT($B84)/(1-MIN(0.75,Matchup!$C$39*$B84))),RAND())</f>
        <v>0</v>
      </c>
      <c r="O84" s="0" t="n">
        <f aca="false">6*J84+(J84-K84-M84)+2*L84+3*N84</f>
        <v>14</v>
      </c>
      <c r="P84" s="0" t="n">
        <f aca="true">RAND()</f>
        <v>0.0620818370441669</v>
      </c>
      <c r="Q84" s="0" t="n">
        <f aca="true">RAND()</f>
        <v>0.850343473327043</v>
      </c>
      <c r="R84" s="0" t="n">
        <f aca="false">IF($I84&lt;&gt;$O84,0,IF(P84&lt;Matchup!$B$39,7,IF(P84&lt;Matchup!$B$39+Matchup!$B$40,3,0)))</f>
        <v>0</v>
      </c>
      <c r="S84" s="0" t="n">
        <f aca="false">IF($I84&lt;&gt;$O84,0,IF(Q84&lt;Matchup!$C$39,7,IF(Q84&lt;Matchup!$C$39+Matchup!$C$40,3,0)))</f>
        <v>0</v>
      </c>
      <c r="T84" s="0" t="n">
        <f aca="false">I84+R84</f>
        <v>42</v>
      </c>
      <c r="U84" s="0" t="n">
        <f aca="false">O84+S84</f>
        <v>14</v>
      </c>
      <c r="V84" s="0" t="n">
        <f aca="false">T84-U84</f>
        <v>28</v>
      </c>
      <c r="W84" s="0" t="n">
        <f aca="false">T84+U84</f>
        <v>56</v>
      </c>
    </row>
    <row r="85" customFormat="false" ht="15" hidden="false" customHeight="false" outlineLevel="0" collapsed="false">
      <c r="A85" s="0" t="n">
        <v>82</v>
      </c>
      <c r="B85" s="0" t="n">
        <f aca="true">NORMINV(RAND(),1,Coefficients!$B$22)</f>
        <v>1.06471553812682</v>
      </c>
      <c r="C85" s="0" t="n">
        <f aca="true">MEDIAN(8,16,ROUND(NORMINV(RAND(),Coefficients!$B$20,Coefficients!$B$21),0))</f>
        <v>10</v>
      </c>
      <c r="D85" s="0" t="n">
        <f aca="true">CRITBINOM($C85,MIN(0.75,Matchup!$B$39*$B85),RAND())</f>
        <v>3</v>
      </c>
      <c r="E85" s="0" t="n">
        <f aca="true">CRITBINOM(D85,Coefficients!$B$30,RAND())</f>
        <v>0</v>
      </c>
      <c r="F85" s="0" t="n">
        <f aca="true">CRITBINOM(E85,Coefficients!$B$31,RAND())</f>
        <v>0</v>
      </c>
      <c r="G85" s="0" t="n">
        <f aca="true">CRITBINOM(MAX(0,D85-E85),1-Coefficients!$B$32,RAND())</f>
        <v>0</v>
      </c>
      <c r="H85" s="0" t="n">
        <f aca="true">CRITBINOM(MAX(0,$C85-D85),MIN(0.6,Matchup!$B$40*SQRT($B85)/(1-MIN(0.75,Matchup!$B$39*$B85))),RAND())</f>
        <v>3</v>
      </c>
      <c r="I85" s="0" t="n">
        <f aca="false">6*D85+(D85-E85-G85)+2*F85+3*H85</f>
        <v>30</v>
      </c>
      <c r="J85" s="0" t="n">
        <f aca="true">CRITBINOM($C85,MIN(0.75,Matchup!$C$39*$B85),RAND())</f>
        <v>4</v>
      </c>
      <c r="K85" s="0" t="n">
        <f aca="true">CRITBINOM(J85,Coefficients!$B$30,RAND())</f>
        <v>1</v>
      </c>
      <c r="L85" s="0" t="n">
        <f aca="true">CRITBINOM(K85,Coefficients!$B$31,RAND())</f>
        <v>1</v>
      </c>
      <c r="M85" s="0" t="n">
        <f aca="true">CRITBINOM(MAX(0,J85-K85),1-Coefficients!$B$32,RAND())</f>
        <v>0</v>
      </c>
      <c r="N85" s="0" t="n">
        <f aca="true">CRITBINOM(MAX(0,$C85-J85),MIN(0.6,Matchup!$C$40*SQRT($B85)/(1-MIN(0.75,Matchup!$C$39*$B85))),RAND())</f>
        <v>2</v>
      </c>
      <c r="O85" s="0" t="n">
        <f aca="false">6*J85+(J85-K85-M85)+2*L85+3*N85</f>
        <v>35</v>
      </c>
      <c r="P85" s="0" t="n">
        <f aca="true">RAND()</f>
        <v>0.128288067463906</v>
      </c>
      <c r="Q85" s="0" t="n">
        <f aca="true">RAND()</f>
        <v>0.157058916298963</v>
      </c>
      <c r="R85" s="0" t="n">
        <f aca="false">IF($I85&lt;&gt;$O85,0,IF(P85&lt;Matchup!$B$39,7,IF(P85&lt;Matchup!$B$39+Matchup!$B$40,3,0)))</f>
        <v>0</v>
      </c>
      <c r="S85" s="0" t="n">
        <f aca="false">IF($I85&lt;&gt;$O85,0,IF(Q85&lt;Matchup!$C$39,7,IF(Q85&lt;Matchup!$C$39+Matchup!$C$40,3,0)))</f>
        <v>0</v>
      </c>
      <c r="T85" s="0" t="n">
        <f aca="false">I85+R85</f>
        <v>30</v>
      </c>
      <c r="U85" s="0" t="n">
        <f aca="false">O85+S85</f>
        <v>35</v>
      </c>
      <c r="V85" s="0" t="n">
        <f aca="false">T85-U85</f>
        <v>-5</v>
      </c>
      <c r="W85" s="0" t="n">
        <f aca="false">T85+U85</f>
        <v>65</v>
      </c>
    </row>
    <row r="86" customFormat="false" ht="15" hidden="false" customHeight="false" outlineLevel="0" collapsed="false">
      <c r="A86" s="0" t="n">
        <v>83</v>
      </c>
      <c r="B86" s="0" t="n">
        <f aca="true">NORMINV(RAND(),1,Coefficients!$B$22)</f>
        <v>1.05195745539424</v>
      </c>
      <c r="C86" s="0" t="n">
        <f aca="true">MEDIAN(8,16,ROUND(NORMINV(RAND(),Coefficients!$B$20,Coefficients!$B$21),0))</f>
        <v>11</v>
      </c>
      <c r="D86" s="0" t="n">
        <f aca="true">CRITBINOM($C86,MIN(0.75,Matchup!$B$39*$B86),RAND())</f>
        <v>2</v>
      </c>
      <c r="E86" s="0" t="n">
        <f aca="true">CRITBINOM(D86,Coefficients!$B$30,RAND())</f>
        <v>1</v>
      </c>
      <c r="F86" s="0" t="n">
        <f aca="true">CRITBINOM(E86,Coefficients!$B$31,RAND())</f>
        <v>0</v>
      </c>
      <c r="G86" s="0" t="n">
        <f aca="true">CRITBINOM(MAX(0,D86-E86),1-Coefficients!$B$32,RAND())</f>
        <v>0</v>
      </c>
      <c r="H86" s="0" t="n">
        <f aca="true">CRITBINOM(MAX(0,$C86-D86),MIN(0.6,Matchup!$B$40*SQRT($B86)/(1-MIN(0.75,Matchup!$B$39*$B86))),RAND())</f>
        <v>3</v>
      </c>
      <c r="I86" s="0" t="n">
        <f aca="false">6*D86+(D86-E86-G86)+2*F86+3*H86</f>
        <v>22</v>
      </c>
      <c r="J86" s="0" t="n">
        <f aca="true">CRITBINOM($C86,MIN(0.75,Matchup!$C$39*$B86),RAND())</f>
        <v>6</v>
      </c>
      <c r="K86" s="0" t="n">
        <f aca="true">CRITBINOM(J86,Coefficients!$B$30,RAND())</f>
        <v>0</v>
      </c>
      <c r="L86" s="0" t="n">
        <f aca="true">CRITBINOM(K86,Coefficients!$B$31,RAND())</f>
        <v>0</v>
      </c>
      <c r="M86" s="0" t="n">
        <f aca="true">CRITBINOM(MAX(0,J86-K86),1-Coefficients!$B$32,RAND())</f>
        <v>0</v>
      </c>
      <c r="N86" s="0" t="n">
        <f aca="true">CRITBINOM(MAX(0,$C86-J86),MIN(0.6,Matchup!$C$40*SQRT($B86)/(1-MIN(0.75,Matchup!$C$39*$B86))),RAND())</f>
        <v>1</v>
      </c>
      <c r="O86" s="0" t="n">
        <f aca="false">6*J86+(J86-K86-M86)+2*L86+3*N86</f>
        <v>45</v>
      </c>
      <c r="P86" s="0" t="n">
        <f aca="true">RAND()</f>
        <v>0.162023896210358</v>
      </c>
      <c r="Q86" s="0" t="n">
        <f aca="true">RAND()</f>
        <v>0.732996700042764</v>
      </c>
      <c r="R86" s="0" t="n">
        <f aca="false">IF($I86&lt;&gt;$O86,0,IF(P86&lt;Matchup!$B$39,7,IF(P86&lt;Matchup!$B$39+Matchup!$B$40,3,0)))</f>
        <v>0</v>
      </c>
      <c r="S86" s="0" t="n">
        <f aca="false">IF($I86&lt;&gt;$O86,0,IF(Q86&lt;Matchup!$C$39,7,IF(Q86&lt;Matchup!$C$39+Matchup!$C$40,3,0)))</f>
        <v>0</v>
      </c>
      <c r="T86" s="0" t="n">
        <f aca="false">I86+R86</f>
        <v>22</v>
      </c>
      <c r="U86" s="0" t="n">
        <f aca="false">O86+S86</f>
        <v>45</v>
      </c>
      <c r="V86" s="0" t="n">
        <f aca="false">T86-U86</f>
        <v>-23</v>
      </c>
      <c r="W86" s="0" t="n">
        <f aca="false">T86+U86</f>
        <v>67</v>
      </c>
    </row>
    <row r="87" customFormat="false" ht="15" hidden="false" customHeight="false" outlineLevel="0" collapsed="false">
      <c r="A87" s="0" t="n">
        <v>84</v>
      </c>
      <c r="B87" s="0" t="n">
        <f aca="true">NORMINV(RAND(),1,Coefficients!$B$22)</f>
        <v>1.01180610036706</v>
      </c>
      <c r="C87" s="0" t="n">
        <f aca="true">MEDIAN(8,16,ROUND(NORMINV(RAND(),Coefficients!$B$20,Coefficients!$B$21),0))</f>
        <v>11</v>
      </c>
      <c r="D87" s="0" t="n">
        <f aca="true">CRITBINOM($C87,MIN(0.75,Matchup!$B$39*$B87),RAND())</f>
        <v>6</v>
      </c>
      <c r="E87" s="0" t="n">
        <f aca="true">CRITBINOM(D87,Coefficients!$B$30,RAND())</f>
        <v>1</v>
      </c>
      <c r="F87" s="0" t="n">
        <f aca="true">CRITBINOM(E87,Coefficients!$B$31,RAND())</f>
        <v>1</v>
      </c>
      <c r="G87" s="0" t="n">
        <f aca="true">CRITBINOM(MAX(0,D87-E87),1-Coefficients!$B$32,RAND())</f>
        <v>0</v>
      </c>
      <c r="H87" s="0" t="n">
        <f aca="true">CRITBINOM(MAX(0,$C87-D87),MIN(0.6,Matchup!$B$40*SQRT($B87)/(1-MIN(0.75,Matchup!$B$39*$B87))),RAND())</f>
        <v>0</v>
      </c>
      <c r="I87" s="0" t="n">
        <f aca="false">6*D87+(D87-E87-G87)+2*F87+3*H87</f>
        <v>43</v>
      </c>
      <c r="J87" s="0" t="n">
        <f aca="true">CRITBINOM($C87,MIN(0.75,Matchup!$C$39*$B87),RAND())</f>
        <v>2</v>
      </c>
      <c r="K87" s="0" t="n">
        <f aca="true">CRITBINOM(J87,Coefficients!$B$30,RAND())</f>
        <v>0</v>
      </c>
      <c r="L87" s="0" t="n">
        <f aca="true">CRITBINOM(K87,Coefficients!$B$31,RAND())</f>
        <v>0</v>
      </c>
      <c r="M87" s="0" t="n">
        <f aca="true">CRITBINOM(MAX(0,J87-K87),1-Coefficients!$B$32,RAND())</f>
        <v>0</v>
      </c>
      <c r="N87" s="0" t="n">
        <f aca="true">CRITBINOM(MAX(0,$C87-J87),MIN(0.6,Matchup!$C$40*SQRT($B87)/(1-MIN(0.75,Matchup!$C$39*$B87))),RAND())</f>
        <v>2</v>
      </c>
      <c r="O87" s="0" t="n">
        <f aca="false">6*J87+(J87-K87-M87)+2*L87+3*N87</f>
        <v>20</v>
      </c>
      <c r="P87" s="0" t="n">
        <f aca="true">RAND()</f>
        <v>0.97035167916655</v>
      </c>
      <c r="Q87" s="0" t="n">
        <f aca="true">RAND()</f>
        <v>0.827689664835658</v>
      </c>
      <c r="R87" s="0" t="n">
        <f aca="false">IF($I87&lt;&gt;$O87,0,IF(P87&lt;Matchup!$B$39,7,IF(P87&lt;Matchup!$B$39+Matchup!$B$40,3,0)))</f>
        <v>0</v>
      </c>
      <c r="S87" s="0" t="n">
        <f aca="false">IF($I87&lt;&gt;$O87,0,IF(Q87&lt;Matchup!$C$39,7,IF(Q87&lt;Matchup!$C$39+Matchup!$C$40,3,0)))</f>
        <v>0</v>
      </c>
      <c r="T87" s="0" t="n">
        <f aca="false">I87+R87</f>
        <v>43</v>
      </c>
      <c r="U87" s="0" t="n">
        <f aca="false">O87+S87</f>
        <v>20</v>
      </c>
      <c r="V87" s="0" t="n">
        <f aca="false">T87-U87</f>
        <v>23</v>
      </c>
      <c r="W87" s="0" t="n">
        <f aca="false">T87+U87</f>
        <v>63</v>
      </c>
    </row>
    <row r="88" customFormat="false" ht="15" hidden="false" customHeight="false" outlineLevel="0" collapsed="false">
      <c r="A88" s="0" t="n">
        <v>85</v>
      </c>
      <c r="B88" s="0" t="n">
        <f aca="true">NORMINV(RAND(),1,Coefficients!$B$22)</f>
        <v>0.949854474836523</v>
      </c>
      <c r="C88" s="0" t="n">
        <f aca="true">MEDIAN(8,16,ROUND(NORMINV(RAND(),Coefficients!$B$20,Coefficients!$B$21),0))</f>
        <v>14</v>
      </c>
      <c r="D88" s="0" t="n">
        <f aca="true">CRITBINOM($C88,MIN(0.75,Matchup!$B$39*$B88),RAND())</f>
        <v>1</v>
      </c>
      <c r="E88" s="0" t="n">
        <f aca="true">CRITBINOM(D88,Coefficients!$B$30,RAND())</f>
        <v>0</v>
      </c>
      <c r="F88" s="0" t="n">
        <f aca="true">CRITBINOM(E88,Coefficients!$B$31,RAND())</f>
        <v>0</v>
      </c>
      <c r="G88" s="0" t="n">
        <f aca="true">CRITBINOM(MAX(0,D88-E88),1-Coefficients!$B$32,RAND())</f>
        <v>0</v>
      </c>
      <c r="H88" s="0" t="n">
        <f aca="true">CRITBINOM(MAX(0,$C88-D88),MIN(0.6,Matchup!$B$40*SQRT($B88)/(1-MIN(0.75,Matchup!$B$39*$B88))),RAND())</f>
        <v>3</v>
      </c>
      <c r="I88" s="0" t="n">
        <f aca="false">6*D88+(D88-E88-G88)+2*F88+3*H88</f>
        <v>16</v>
      </c>
      <c r="J88" s="0" t="n">
        <f aca="true">CRITBINOM($C88,MIN(0.75,Matchup!$C$39*$B88),RAND())</f>
        <v>6</v>
      </c>
      <c r="K88" s="0" t="n">
        <f aca="true">CRITBINOM(J88,Coefficients!$B$30,RAND())</f>
        <v>0</v>
      </c>
      <c r="L88" s="0" t="n">
        <f aca="true">CRITBINOM(K88,Coefficients!$B$31,RAND())</f>
        <v>0</v>
      </c>
      <c r="M88" s="0" t="n">
        <f aca="true">CRITBINOM(MAX(0,J88-K88),1-Coefficients!$B$32,RAND())</f>
        <v>0</v>
      </c>
      <c r="N88" s="0" t="n">
        <f aca="true">CRITBINOM(MAX(0,$C88-J88),MIN(0.6,Matchup!$C$40*SQRT($B88)/(1-MIN(0.75,Matchup!$C$39*$B88))),RAND())</f>
        <v>0</v>
      </c>
      <c r="O88" s="0" t="n">
        <f aca="false">6*J88+(J88-K88-M88)+2*L88+3*N88</f>
        <v>42</v>
      </c>
      <c r="P88" s="0" t="n">
        <f aca="true">RAND()</f>
        <v>0.452171109046188</v>
      </c>
      <c r="Q88" s="0" t="n">
        <f aca="true">RAND()</f>
        <v>0.484768517776799</v>
      </c>
      <c r="R88" s="0" t="n">
        <f aca="false">IF($I88&lt;&gt;$O88,0,IF(P88&lt;Matchup!$B$39,7,IF(P88&lt;Matchup!$B$39+Matchup!$B$40,3,0)))</f>
        <v>0</v>
      </c>
      <c r="S88" s="0" t="n">
        <f aca="false">IF($I88&lt;&gt;$O88,0,IF(Q88&lt;Matchup!$C$39,7,IF(Q88&lt;Matchup!$C$39+Matchup!$C$40,3,0)))</f>
        <v>0</v>
      </c>
      <c r="T88" s="0" t="n">
        <f aca="false">I88+R88</f>
        <v>16</v>
      </c>
      <c r="U88" s="0" t="n">
        <f aca="false">O88+S88</f>
        <v>42</v>
      </c>
      <c r="V88" s="0" t="n">
        <f aca="false">T88-U88</f>
        <v>-26</v>
      </c>
      <c r="W88" s="0" t="n">
        <f aca="false">T88+U88</f>
        <v>58</v>
      </c>
    </row>
    <row r="89" customFormat="false" ht="15" hidden="false" customHeight="false" outlineLevel="0" collapsed="false">
      <c r="A89" s="0" t="n">
        <v>86</v>
      </c>
      <c r="B89" s="0" t="n">
        <f aca="true">NORMINV(RAND(),1,Coefficients!$B$22)</f>
        <v>0.983077232025872</v>
      </c>
      <c r="C89" s="0" t="n">
        <f aca="true">MEDIAN(8,16,ROUND(NORMINV(RAND(),Coefficients!$B$20,Coefficients!$B$21),0))</f>
        <v>10</v>
      </c>
      <c r="D89" s="0" t="n">
        <f aca="true">CRITBINOM($C89,MIN(0.75,Matchup!$B$39*$B89),RAND())</f>
        <v>3</v>
      </c>
      <c r="E89" s="0" t="n">
        <f aca="true">CRITBINOM(D89,Coefficients!$B$30,RAND())</f>
        <v>0</v>
      </c>
      <c r="F89" s="0" t="n">
        <f aca="true">CRITBINOM(E89,Coefficients!$B$31,RAND())</f>
        <v>0</v>
      </c>
      <c r="G89" s="0" t="n">
        <f aca="true">CRITBINOM(MAX(0,D89-E89),1-Coefficients!$B$32,RAND())</f>
        <v>0</v>
      </c>
      <c r="H89" s="0" t="n">
        <f aca="true">CRITBINOM(MAX(0,$C89-D89),MIN(0.6,Matchup!$B$40*SQRT($B89)/(1-MIN(0.75,Matchup!$B$39*$B89))),RAND())</f>
        <v>3</v>
      </c>
      <c r="I89" s="0" t="n">
        <f aca="false">6*D89+(D89-E89-G89)+2*F89+3*H89</f>
        <v>30</v>
      </c>
      <c r="J89" s="0" t="n">
        <f aca="true">CRITBINOM($C89,MIN(0.75,Matchup!$C$39*$B89),RAND())</f>
        <v>1</v>
      </c>
      <c r="K89" s="0" t="n">
        <f aca="true">CRITBINOM(J89,Coefficients!$B$30,RAND())</f>
        <v>1</v>
      </c>
      <c r="L89" s="0" t="n">
        <f aca="true">CRITBINOM(K89,Coefficients!$B$31,RAND())</f>
        <v>1</v>
      </c>
      <c r="M89" s="0" t="n">
        <f aca="true">CRITBINOM(MAX(0,J89-K89),1-Coefficients!$B$32,RAND())</f>
        <v>0</v>
      </c>
      <c r="N89" s="0" t="n">
        <f aca="true">CRITBINOM(MAX(0,$C89-J89),MIN(0.6,Matchup!$C$40*SQRT($B89)/(1-MIN(0.75,Matchup!$C$39*$B89))),RAND())</f>
        <v>2</v>
      </c>
      <c r="O89" s="0" t="n">
        <f aca="false">6*J89+(J89-K89-M89)+2*L89+3*N89</f>
        <v>14</v>
      </c>
      <c r="P89" s="0" t="n">
        <f aca="true">RAND()</f>
        <v>0.668400097542272</v>
      </c>
      <c r="Q89" s="0" t="n">
        <f aca="true">RAND()</f>
        <v>0.596716522648667</v>
      </c>
      <c r="R89" s="0" t="n">
        <f aca="false">IF($I89&lt;&gt;$O89,0,IF(P89&lt;Matchup!$B$39,7,IF(P89&lt;Matchup!$B$39+Matchup!$B$40,3,0)))</f>
        <v>0</v>
      </c>
      <c r="S89" s="0" t="n">
        <f aca="false">IF($I89&lt;&gt;$O89,0,IF(Q89&lt;Matchup!$C$39,7,IF(Q89&lt;Matchup!$C$39+Matchup!$C$40,3,0)))</f>
        <v>0</v>
      </c>
      <c r="T89" s="0" t="n">
        <f aca="false">I89+R89</f>
        <v>30</v>
      </c>
      <c r="U89" s="0" t="n">
        <f aca="false">O89+S89</f>
        <v>14</v>
      </c>
      <c r="V89" s="0" t="n">
        <f aca="false">T89-U89</f>
        <v>16</v>
      </c>
      <c r="W89" s="0" t="n">
        <f aca="false">T89+U89</f>
        <v>44</v>
      </c>
    </row>
    <row r="90" customFormat="false" ht="15" hidden="false" customHeight="false" outlineLevel="0" collapsed="false">
      <c r="A90" s="0" t="n">
        <v>87</v>
      </c>
      <c r="B90" s="0" t="n">
        <f aca="true">NORMINV(RAND(),1,Coefficients!$B$22)</f>
        <v>1.10254427029049</v>
      </c>
      <c r="C90" s="0" t="n">
        <f aca="true">MEDIAN(8,16,ROUND(NORMINV(RAND(),Coefficients!$B$20,Coefficients!$B$21),0))</f>
        <v>11</v>
      </c>
      <c r="D90" s="0" t="n">
        <f aca="true">CRITBINOM($C90,MIN(0.75,Matchup!$B$39*$B90),RAND())</f>
        <v>2</v>
      </c>
      <c r="E90" s="0" t="n">
        <f aca="true">CRITBINOM(D90,Coefficients!$B$30,RAND())</f>
        <v>0</v>
      </c>
      <c r="F90" s="0" t="n">
        <f aca="true">CRITBINOM(E90,Coefficients!$B$31,RAND())</f>
        <v>0</v>
      </c>
      <c r="G90" s="0" t="n">
        <f aca="true">CRITBINOM(MAX(0,D90-E90),1-Coefficients!$B$32,RAND())</f>
        <v>0</v>
      </c>
      <c r="H90" s="0" t="n">
        <f aca="true">CRITBINOM(MAX(0,$C90-D90),MIN(0.6,Matchup!$B$40*SQRT($B90)/(1-MIN(0.75,Matchup!$B$39*$B90))),RAND())</f>
        <v>1</v>
      </c>
      <c r="I90" s="0" t="n">
        <f aca="false">6*D90+(D90-E90-G90)+2*F90+3*H90</f>
        <v>17</v>
      </c>
      <c r="J90" s="0" t="n">
        <f aca="true">CRITBINOM($C90,MIN(0.75,Matchup!$C$39*$B90),RAND())</f>
        <v>3</v>
      </c>
      <c r="K90" s="0" t="n">
        <f aca="true">CRITBINOM(J90,Coefficients!$B$30,RAND())</f>
        <v>0</v>
      </c>
      <c r="L90" s="0" t="n">
        <f aca="true">CRITBINOM(K90,Coefficients!$B$31,RAND())</f>
        <v>0</v>
      </c>
      <c r="M90" s="0" t="n">
        <f aca="true">CRITBINOM(MAX(0,J90-K90),1-Coefficients!$B$32,RAND())</f>
        <v>1</v>
      </c>
      <c r="N90" s="0" t="n">
        <f aca="true">CRITBINOM(MAX(0,$C90-J90),MIN(0.6,Matchup!$C$40*SQRT($B90)/(1-MIN(0.75,Matchup!$C$39*$B90))),RAND())</f>
        <v>3</v>
      </c>
      <c r="O90" s="0" t="n">
        <f aca="false">6*J90+(J90-K90-M90)+2*L90+3*N90</f>
        <v>29</v>
      </c>
      <c r="P90" s="0" t="n">
        <f aca="true">RAND()</f>
        <v>0.656792636497337</v>
      </c>
      <c r="Q90" s="0" t="n">
        <f aca="true">RAND()</f>
        <v>0.584999919063836</v>
      </c>
      <c r="R90" s="0" t="n">
        <f aca="false">IF($I90&lt;&gt;$O90,0,IF(P90&lt;Matchup!$B$39,7,IF(P90&lt;Matchup!$B$39+Matchup!$B$40,3,0)))</f>
        <v>0</v>
      </c>
      <c r="S90" s="0" t="n">
        <f aca="false">IF($I90&lt;&gt;$O90,0,IF(Q90&lt;Matchup!$C$39,7,IF(Q90&lt;Matchup!$C$39+Matchup!$C$40,3,0)))</f>
        <v>0</v>
      </c>
      <c r="T90" s="0" t="n">
        <f aca="false">I90+R90</f>
        <v>17</v>
      </c>
      <c r="U90" s="0" t="n">
        <f aca="false">O90+S90</f>
        <v>29</v>
      </c>
      <c r="V90" s="0" t="n">
        <f aca="false">T90-U90</f>
        <v>-12</v>
      </c>
      <c r="W90" s="0" t="n">
        <f aca="false">T90+U90</f>
        <v>46</v>
      </c>
    </row>
    <row r="91" customFormat="false" ht="15" hidden="false" customHeight="false" outlineLevel="0" collapsed="false">
      <c r="A91" s="0" t="n">
        <v>88</v>
      </c>
      <c r="B91" s="0" t="n">
        <f aca="true">NORMINV(RAND(),1,Coefficients!$B$22)</f>
        <v>0.946163621171215</v>
      </c>
      <c r="C91" s="0" t="n">
        <f aca="true">MEDIAN(8,16,ROUND(NORMINV(RAND(),Coefficients!$B$20,Coefficients!$B$21),0))</f>
        <v>10</v>
      </c>
      <c r="D91" s="0" t="n">
        <f aca="true">CRITBINOM($C91,MIN(0.75,Matchup!$B$39*$B91),RAND())</f>
        <v>2</v>
      </c>
      <c r="E91" s="0" t="n">
        <f aca="true">CRITBINOM(D91,Coefficients!$B$30,RAND())</f>
        <v>0</v>
      </c>
      <c r="F91" s="0" t="n">
        <f aca="true">CRITBINOM(E91,Coefficients!$B$31,RAND())</f>
        <v>0</v>
      </c>
      <c r="G91" s="0" t="n">
        <f aca="true">CRITBINOM(MAX(0,D91-E91),1-Coefficients!$B$32,RAND())</f>
        <v>0</v>
      </c>
      <c r="H91" s="0" t="n">
        <f aca="true">CRITBINOM(MAX(0,$C91-D91),MIN(0.6,Matchup!$B$40*SQRT($B91)/(1-MIN(0.75,Matchup!$B$39*$B91))),RAND())</f>
        <v>2</v>
      </c>
      <c r="I91" s="0" t="n">
        <f aca="false">6*D91+(D91-E91-G91)+2*F91+3*H91</f>
        <v>20</v>
      </c>
      <c r="J91" s="0" t="n">
        <f aca="true">CRITBINOM($C91,MIN(0.75,Matchup!$C$39*$B91),RAND())</f>
        <v>2</v>
      </c>
      <c r="K91" s="0" t="n">
        <f aca="true">CRITBINOM(J91,Coefficients!$B$30,RAND())</f>
        <v>0</v>
      </c>
      <c r="L91" s="0" t="n">
        <f aca="true">CRITBINOM(K91,Coefficients!$B$31,RAND())</f>
        <v>0</v>
      </c>
      <c r="M91" s="0" t="n">
        <f aca="true">CRITBINOM(MAX(0,J91-K91),1-Coefficients!$B$32,RAND())</f>
        <v>0</v>
      </c>
      <c r="N91" s="0" t="n">
        <f aca="true">CRITBINOM(MAX(0,$C91-J91),MIN(0.6,Matchup!$C$40*SQRT($B91)/(1-MIN(0.75,Matchup!$C$39*$B91))),RAND())</f>
        <v>2</v>
      </c>
      <c r="O91" s="0" t="n">
        <f aca="false">6*J91+(J91-K91-M91)+2*L91+3*N91</f>
        <v>20</v>
      </c>
      <c r="P91" s="0" t="n">
        <f aca="true">RAND()</f>
        <v>0.272164260373674</v>
      </c>
      <c r="Q91" s="0" t="n">
        <f aca="true">RAND()</f>
        <v>0.160881319481235</v>
      </c>
      <c r="R91" s="0" t="n">
        <f aca="false">IF($I91&lt;&gt;$O91,0,IF(P91&lt;Matchup!$B$39,7,IF(P91&lt;Matchup!$B$39+Matchup!$B$40,3,0)))</f>
        <v>3</v>
      </c>
      <c r="S91" s="0" t="n">
        <f aca="false">IF($I91&lt;&gt;$O91,0,IF(Q91&lt;Matchup!$C$39,7,IF(Q91&lt;Matchup!$C$39+Matchup!$C$40,3,0)))</f>
        <v>7</v>
      </c>
      <c r="T91" s="0" t="n">
        <f aca="false">I91+R91</f>
        <v>23</v>
      </c>
      <c r="U91" s="0" t="n">
        <f aca="false">O91+S91</f>
        <v>27</v>
      </c>
      <c r="V91" s="0" t="n">
        <f aca="false">T91-U91</f>
        <v>-4</v>
      </c>
      <c r="W91" s="0" t="n">
        <f aca="false">T91+U91</f>
        <v>50</v>
      </c>
    </row>
    <row r="92" customFormat="false" ht="15" hidden="false" customHeight="false" outlineLevel="0" collapsed="false">
      <c r="A92" s="0" t="n">
        <v>89</v>
      </c>
      <c r="B92" s="0" t="n">
        <f aca="true">NORMINV(RAND(),1,Coefficients!$B$22)</f>
        <v>1.01356727946705</v>
      </c>
      <c r="C92" s="0" t="n">
        <f aca="true">MEDIAN(8,16,ROUND(NORMINV(RAND(),Coefficients!$B$20,Coefficients!$B$21),0))</f>
        <v>12</v>
      </c>
      <c r="D92" s="0" t="n">
        <f aca="true">CRITBINOM($C92,MIN(0.75,Matchup!$B$39*$B92),RAND())</f>
        <v>3</v>
      </c>
      <c r="E92" s="0" t="n">
        <f aca="true">CRITBINOM(D92,Coefficients!$B$30,RAND())</f>
        <v>0</v>
      </c>
      <c r="F92" s="0" t="n">
        <f aca="true">CRITBINOM(E92,Coefficients!$B$31,RAND())</f>
        <v>0</v>
      </c>
      <c r="G92" s="0" t="n">
        <f aca="true">CRITBINOM(MAX(0,D92-E92),1-Coefficients!$B$32,RAND())</f>
        <v>1</v>
      </c>
      <c r="H92" s="0" t="n">
        <f aca="true">CRITBINOM(MAX(0,$C92-D92),MIN(0.6,Matchup!$B$40*SQRT($B92)/(1-MIN(0.75,Matchup!$B$39*$B92))),RAND())</f>
        <v>2</v>
      </c>
      <c r="I92" s="0" t="n">
        <f aca="false">6*D92+(D92-E92-G92)+2*F92+3*H92</f>
        <v>26</v>
      </c>
      <c r="J92" s="0" t="n">
        <f aca="true">CRITBINOM($C92,MIN(0.75,Matchup!$C$39*$B92),RAND())</f>
        <v>3</v>
      </c>
      <c r="K92" s="0" t="n">
        <f aca="true">CRITBINOM(J92,Coefficients!$B$30,RAND())</f>
        <v>1</v>
      </c>
      <c r="L92" s="0" t="n">
        <f aca="true">CRITBINOM(K92,Coefficients!$B$31,RAND())</f>
        <v>0</v>
      </c>
      <c r="M92" s="0" t="n">
        <f aca="true">CRITBINOM(MAX(0,J92-K92),1-Coefficients!$B$32,RAND())</f>
        <v>0</v>
      </c>
      <c r="N92" s="0" t="n">
        <f aca="true">CRITBINOM(MAX(0,$C92-J92),MIN(0.6,Matchup!$C$40*SQRT($B92)/(1-MIN(0.75,Matchup!$C$39*$B92))),RAND())</f>
        <v>3</v>
      </c>
      <c r="O92" s="0" t="n">
        <f aca="false">6*J92+(J92-K92-M92)+2*L92+3*N92</f>
        <v>29</v>
      </c>
      <c r="P92" s="0" t="n">
        <f aca="true">RAND()</f>
        <v>0.2538775679619</v>
      </c>
      <c r="Q92" s="0" t="n">
        <f aca="true">RAND()</f>
        <v>0.614170294992949</v>
      </c>
      <c r="R92" s="0" t="n">
        <f aca="false">IF($I92&lt;&gt;$O92,0,IF(P92&lt;Matchup!$B$39,7,IF(P92&lt;Matchup!$B$39+Matchup!$B$40,3,0)))</f>
        <v>0</v>
      </c>
      <c r="S92" s="0" t="n">
        <f aca="false">IF($I92&lt;&gt;$O92,0,IF(Q92&lt;Matchup!$C$39,7,IF(Q92&lt;Matchup!$C$39+Matchup!$C$40,3,0)))</f>
        <v>0</v>
      </c>
      <c r="T92" s="0" t="n">
        <f aca="false">I92+R92</f>
        <v>26</v>
      </c>
      <c r="U92" s="0" t="n">
        <f aca="false">O92+S92</f>
        <v>29</v>
      </c>
      <c r="V92" s="0" t="n">
        <f aca="false">T92-U92</f>
        <v>-3</v>
      </c>
      <c r="W92" s="0" t="n">
        <f aca="false">T92+U92</f>
        <v>55</v>
      </c>
    </row>
    <row r="93" customFormat="false" ht="15" hidden="false" customHeight="false" outlineLevel="0" collapsed="false">
      <c r="A93" s="0" t="n">
        <v>90</v>
      </c>
      <c r="B93" s="0" t="n">
        <f aca="true">NORMINV(RAND(),1,Coefficients!$B$22)</f>
        <v>1.05500330518589</v>
      </c>
      <c r="C93" s="0" t="n">
        <f aca="true">MEDIAN(8,16,ROUND(NORMINV(RAND(),Coefficients!$B$20,Coefficients!$B$21),0))</f>
        <v>10</v>
      </c>
      <c r="D93" s="0" t="n">
        <f aca="true">CRITBINOM($C93,MIN(0.75,Matchup!$B$39*$B93),RAND())</f>
        <v>4</v>
      </c>
      <c r="E93" s="0" t="n">
        <f aca="true">CRITBINOM(D93,Coefficients!$B$30,RAND())</f>
        <v>0</v>
      </c>
      <c r="F93" s="0" t="n">
        <f aca="true">CRITBINOM(E93,Coefficients!$B$31,RAND())</f>
        <v>0</v>
      </c>
      <c r="G93" s="0" t="n">
        <f aca="true">CRITBINOM(MAX(0,D93-E93),1-Coefficients!$B$32,RAND())</f>
        <v>0</v>
      </c>
      <c r="H93" s="0" t="n">
        <f aca="true">CRITBINOM(MAX(0,$C93-D93),MIN(0.6,Matchup!$B$40*SQRT($B93)/(1-MIN(0.75,Matchup!$B$39*$B93))),RAND())</f>
        <v>2</v>
      </c>
      <c r="I93" s="0" t="n">
        <f aca="false">6*D93+(D93-E93-G93)+2*F93+3*H93</f>
        <v>34</v>
      </c>
      <c r="J93" s="0" t="n">
        <f aca="true">CRITBINOM($C93,MIN(0.75,Matchup!$C$39*$B93),RAND())</f>
        <v>2</v>
      </c>
      <c r="K93" s="0" t="n">
        <f aca="true">CRITBINOM(J93,Coefficients!$B$30,RAND())</f>
        <v>0</v>
      </c>
      <c r="L93" s="0" t="n">
        <f aca="true">CRITBINOM(K93,Coefficients!$B$31,RAND())</f>
        <v>0</v>
      </c>
      <c r="M93" s="0" t="n">
        <f aca="true">CRITBINOM(MAX(0,J93-K93),1-Coefficients!$B$32,RAND())</f>
        <v>0</v>
      </c>
      <c r="N93" s="0" t="n">
        <f aca="true">CRITBINOM(MAX(0,$C93-J93),MIN(0.6,Matchup!$C$40*SQRT($B93)/(1-MIN(0.75,Matchup!$C$39*$B93))),RAND())</f>
        <v>2</v>
      </c>
      <c r="O93" s="0" t="n">
        <f aca="false">6*J93+(J93-K93-M93)+2*L93+3*N93</f>
        <v>20</v>
      </c>
      <c r="P93" s="0" t="n">
        <f aca="true">RAND()</f>
        <v>0.602002381034471</v>
      </c>
      <c r="Q93" s="0" t="n">
        <f aca="true">RAND()</f>
        <v>0.527098025247286</v>
      </c>
      <c r="R93" s="0" t="n">
        <f aca="false">IF($I93&lt;&gt;$O93,0,IF(P93&lt;Matchup!$B$39,7,IF(P93&lt;Matchup!$B$39+Matchup!$B$40,3,0)))</f>
        <v>0</v>
      </c>
      <c r="S93" s="0" t="n">
        <f aca="false">IF($I93&lt;&gt;$O93,0,IF(Q93&lt;Matchup!$C$39,7,IF(Q93&lt;Matchup!$C$39+Matchup!$C$40,3,0)))</f>
        <v>0</v>
      </c>
      <c r="T93" s="0" t="n">
        <f aca="false">I93+R93</f>
        <v>34</v>
      </c>
      <c r="U93" s="0" t="n">
        <f aca="false">O93+S93</f>
        <v>20</v>
      </c>
      <c r="V93" s="0" t="n">
        <f aca="false">T93-U93</f>
        <v>14</v>
      </c>
      <c r="W93" s="0" t="n">
        <f aca="false">T93+U93</f>
        <v>54</v>
      </c>
    </row>
    <row r="94" customFormat="false" ht="15" hidden="false" customHeight="false" outlineLevel="0" collapsed="false">
      <c r="A94" s="0" t="n">
        <v>91</v>
      </c>
      <c r="B94" s="0" t="n">
        <f aca="true">NORMINV(RAND(),1,Coefficients!$B$22)</f>
        <v>1.06922596961031</v>
      </c>
      <c r="C94" s="0" t="n">
        <f aca="true">MEDIAN(8,16,ROUND(NORMINV(RAND(),Coefficients!$B$20,Coefficients!$B$21),0))</f>
        <v>10</v>
      </c>
      <c r="D94" s="0" t="n">
        <f aca="true">CRITBINOM($C94,MIN(0.75,Matchup!$B$39*$B94),RAND())</f>
        <v>0</v>
      </c>
      <c r="E94" s="0" t="n">
        <f aca="true">CRITBINOM(D94,Coefficients!$B$30,RAND())</f>
        <v>0</v>
      </c>
      <c r="F94" s="0" t="n">
        <f aca="true">CRITBINOM(E94,Coefficients!$B$31,RAND())</f>
        <v>0</v>
      </c>
      <c r="G94" s="0" t="n">
        <f aca="true">CRITBINOM(MAX(0,D94-E94),1-Coefficients!$B$32,RAND())</f>
        <v>0</v>
      </c>
      <c r="H94" s="0" t="n">
        <f aca="true">CRITBINOM(MAX(0,$C94-D94),MIN(0.6,Matchup!$B$40*SQRT($B94)/(1-MIN(0.75,Matchup!$B$39*$B94))),RAND())</f>
        <v>2</v>
      </c>
      <c r="I94" s="0" t="n">
        <f aca="false">6*D94+(D94-E94-G94)+2*F94+3*H94</f>
        <v>6</v>
      </c>
      <c r="J94" s="0" t="n">
        <f aca="true">CRITBINOM($C94,MIN(0.75,Matchup!$C$39*$B94),RAND())</f>
        <v>3</v>
      </c>
      <c r="K94" s="0" t="n">
        <f aca="true">CRITBINOM(J94,Coefficients!$B$30,RAND())</f>
        <v>0</v>
      </c>
      <c r="L94" s="0" t="n">
        <f aca="true">CRITBINOM(K94,Coefficients!$B$31,RAND())</f>
        <v>0</v>
      </c>
      <c r="M94" s="0" t="n">
        <f aca="true">CRITBINOM(MAX(0,J94-K94),1-Coefficients!$B$32,RAND())</f>
        <v>1</v>
      </c>
      <c r="N94" s="0" t="n">
        <f aca="true">CRITBINOM(MAX(0,$C94-J94),MIN(0.6,Matchup!$C$40*SQRT($B94)/(1-MIN(0.75,Matchup!$C$39*$B94))),RAND())</f>
        <v>1</v>
      </c>
      <c r="O94" s="0" t="n">
        <f aca="false">6*J94+(J94-K94-M94)+2*L94+3*N94</f>
        <v>23</v>
      </c>
      <c r="P94" s="0" t="n">
        <f aca="true">RAND()</f>
        <v>0.249397415930063</v>
      </c>
      <c r="Q94" s="0" t="n">
        <f aca="true">RAND()</f>
        <v>0.0987772969442888</v>
      </c>
      <c r="R94" s="0" t="n">
        <f aca="false">IF($I94&lt;&gt;$O94,0,IF(P94&lt;Matchup!$B$39,7,IF(P94&lt;Matchup!$B$39+Matchup!$B$40,3,0)))</f>
        <v>0</v>
      </c>
      <c r="S94" s="0" t="n">
        <f aca="false">IF($I94&lt;&gt;$O94,0,IF(Q94&lt;Matchup!$C$39,7,IF(Q94&lt;Matchup!$C$39+Matchup!$C$40,3,0)))</f>
        <v>0</v>
      </c>
      <c r="T94" s="0" t="n">
        <f aca="false">I94+R94</f>
        <v>6</v>
      </c>
      <c r="U94" s="0" t="n">
        <f aca="false">O94+S94</f>
        <v>23</v>
      </c>
      <c r="V94" s="0" t="n">
        <f aca="false">T94-U94</f>
        <v>-17</v>
      </c>
      <c r="W94" s="0" t="n">
        <f aca="false">T94+U94</f>
        <v>29</v>
      </c>
    </row>
    <row r="95" customFormat="false" ht="15" hidden="false" customHeight="false" outlineLevel="0" collapsed="false">
      <c r="A95" s="0" t="n">
        <v>92</v>
      </c>
      <c r="B95" s="0" t="n">
        <f aca="true">NORMINV(RAND(),1,Coefficients!$B$22)</f>
        <v>0.958411233758877</v>
      </c>
      <c r="C95" s="0" t="n">
        <f aca="true">MEDIAN(8,16,ROUND(NORMINV(RAND(),Coefficients!$B$20,Coefficients!$B$21),0))</f>
        <v>13</v>
      </c>
      <c r="D95" s="0" t="n">
        <f aca="true">CRITBINOM($C95,MIN(0.75,Matchup!$B$39*$B95),RAND())</f>
        <v>0</v>
      </c>
      <c r="E95" s="0" t="n">
        <f aca="true">CRITBINOM(D95,Coefficients!$B$30,RAND())</f>
        <v>0</v>
      </c>
      <c r="F95" s="0" t="n">
        <f aca="true">CRITBINOM(E95,Coefficients!$B$31,RAND())</f>
        <v>0</v>
      </c>
      <c r="G95" s="0" t="n">
        <f aca="true">CRITBINOM(MAX(0,D95-E95),1-Coefficients!$B$32,RAND())</f>
        <v>0</v>
      </c>
      <c r="H95" s="0" t="n">
        <f aca="true">CRITBINOM(MAX(0,$C95-D95),MIN(0.6,Matchup!$B$40*SQRT($B95)/(1-MIN(0.75,Matchup!$B$39*$B95))),RAND())</f>
        <v>4</v>
      </c>
      <c r="I95" s="0" t="n">
        <f aca="false">6*D95+(D95-E95-G95)+2*F95+3*H95</f>
        <v>12</v>
      </c>
      <c r="J95" s="0" t="n">
        <f aca="true">CRITBINOM($C95,MIN(0.75,Matchup!$C$39*$B95),RAND())</f>
        <v>4</v>
      </c>
      <c r="K95" s="0" t="n">
        <f aca="true">CRITBINOM(J95,Coefficients!$B$30,RAND())</f>
        <v>0</v>
      </c>
      <c r="L95" s="0" t="n">
        <f aca="true">CRITBINOM(K95,Coefficients!$B$31,RAND())</f>
        <v>0</v>
      </c>
      <c r="M95" s="0" t="n">
        <f aca="true">CRITBINOM(MAX(0,J95-K95),1-Coefficients!$B$32,RAND())</f>
        <v>0</v>
      </c>
      <c r="N95" s="0" t="n">
        <f aca="true">CRITBINOM(MAX(0,$C95-J95),MIN(0.6,Matchup!$C$40*SQRT($B95)/(1-MIN(0.75,Matchup!$C$39*$B95))),RAND())</f>
        <v>0</v>
      </c>
      <c r="O95" s="0" t="n">
        <f aca="false">6*J95+(J95-K95-M95)+2*L95+3*N95</f>
        <v>28</v>
      </c>
      <c r="P95" s="0" t="n">
        <f aca="true">RAND()</f>
        <v>0.363374754498155</v>
      </c>
      <c r="Q95" s="0" t="n">
        <f aca="true">RAND()</f>
        <v>0.300603460333892</v>
      </c>
      <c r="R95" s="0" t="n">
        <f aca="false">IF($I95&lt;&gt;$O95,0,IF(P95&lt;Matchup!$B$39,7,IF(P95&lt;Matchup!$B$39+Matchup!$B$40,3,0)))</f>
        <v>0</v>
      </c>
      <c r="S95" s="0" t="n">
        <f aca="false">IF($I95&lt;&gt;$O95,0,IF(Q95&lt;Matchup!$C$39,7,IF(Q95&lt;Matchup!$C$39+Matchup!$C$40,3,0)))</f>
        <v>0</v>
      </c>
      <c r="T95" s="0" t="n">
        <f aca="false">I95+R95</f>
        <v>12</v>
      </c>
      <c r="U95" s="0" t="n">
        <f aca="false">O95+S95</f>
        <v>28</v>
      </c>
      <c r="V95" s="0" t="n">
        <f aca="false">T95-U95</f>
        <v>-16</v>
      </c>
      <c r="W95" s="0" t="n">
        <f aca="false">T95+U95</f>
        <v>40</v>
      </c>
    </row>
    <row r="96" customFormat="false" ht="15" hidden="false" customHeight="false" outlineLevel="0" collapsed="false">
      <c r="A96" s="0" t="n">
        <v>93</v>
      </c>
      <c r="B96" s="0" t="n">
        <f aca="true">NORMINV(RAND(),1,Coefficients!$B$22)</f>
        <v>0.98222463522177</v>
      </c>
      <c r="C96" s="0" t="n">
        <f aca="true">MEDIAN(8,16,ROUND(NORMINV(RAND(),Coefficients!$B$20,Coefficients!$B$21),0))</f>
        <v>13</v>
      </c>
      <c r="D96" s="0" t="n">
        <f aca="true">CRITBINOM($C96,MIN(0.75,Matchup!$B$39*$B96),RAND())</f>
        <v>4</v>
      </c>
      <c r="E96" s="0" t="n">
        <f aca="true">CRITBINOM(D96,Coefficients!$B$30,RAND())</f>
        <v>0</v>
      </c>
      <c r="F96" s="0" t="n">
        <f aca="true">CRITBINOM(E96,Coefficients!$B$31,RAND())</f>
        <v>0</v>
      </c>
      <c r="G96" s="0" t="n">
        <f aca="true">CRITBINOM(MAX(0,D96-E96),1-Coefficients!$B$32,RAND())</f>
        <v>0</v>
      </c>
      <c r="H96" s="0" t="n">
        <f aca="true">CRITBINOM(MAX(0,$C96-D96),MIN(0.6,Matchup!$B$40*SQRT($B96)/(1-MIN(0.75,Matchup!$B$39*$B96))),RAND())</f>
        <v>2</v>
      </c>
      <c r="I96" s="0" t="n">
        <f aca="false">6*D96+(D96-E96-G96)+2*F96+3*H96</f>
        <v>34</v>
      </c>
      <c r="J96" s="0" t="n">
        <f aca="true">CRITBINOM($C96,MIN(0.75,Matchup!$C$39*$B96),RAND())</f>
        <v>1</v>
      </c>
      <c r="K96" s="0" t="n">
        <f aca="true">CRITBINOM(J96,Coefficients!$B$30,RAND())</f>
        <v>0</v>
      </c>
      <c r="L96" s="0" t="n">
        <f aca="true">CRITBINOM(K96,Coefficients!$B$31,RAND())</f>
        <v>0</v>
      </c>
      <c r="M96" s="0" t="n">
        <f aca="true">CRITBINOM(MAX(0,J96-K96),1-Coefficients!$B$32,RAND())</f>
        <v>0</v>
      </c>
      <c r="N96" s="0" t="n">
        <f aca="true">CRITBINOM(MAX(0,$C96-J96),MIN(0.6,Matchup!$C$40*SQRT($B96)/(1-MIN(0.75,Matchup!$C$39*$B96))),RAND())</f>
        <v>2</v>
      </c>
      <c r="O96" s="0" t="n">
        <f aca="false">6*J96+(J96-K96-M96)+2*L96+3*N96</f>
        <v>13</v>
      </c>
      <c r="P96" s="0" t="n">
        <f aca="true">RAND()</f>
        <v>0.870140830693389</v>
      </c>
      <c r="Q96" s="0" t="n">
        <f aca="true">RAND()</f>
        <v>0.0713881969855552</v>
      </c>
      <c r="R96" s="0" t="n">
        <f aca="false">IF($I96&lt;&gt;$O96,0,IF(P96&lt;Matchup!$B$39,7,IF(P96&lt;Matchup!$B$39+Matchup!$B$40,3,0)))</f>
        <v>0</v>
      </c>
      <c r="S96" s="0" t="n">
        <f aca="false">IF($I96&lt;&gt;$O96,0,IF(Q96&lt;Matchup!$C$39,7,IF(Q96&lt;Matchup!$C$39+Matchup!$C$40,3,0)))</f>
        <v>0</v>
      </c>
      <c r="T96" s="0" t="n">
        <f aca="false">I96+R96</f>
        <v>34</v>
      </c>
      <c r="U96" s="0" t="n">
        <f aca="false">O96+S96</f>
        <v>13</v>
      </c>
      <c r="V96" s="0" t="n">
        <f aca="false">T96-U96</f>
        <v>21</v>
      </c>
      <c r="W96" s="0" t="n">
        <f aca="false">T96+U96</f>
        <v>47</v>
      </c>
    </row>
    <row r="97" customFormat="false" ht="15" hidden="false" customHeight="false" outlineLevel="0" collapsed="false">
      <c r="A97" s="0" t="n">
        <v>94</v>
      </c>
      <c r="B97" s="0" t="n">
        <f aca="true">NORMINV(RAND(),1,Coefficients!$B$22)</f>
        <v>1.01857955263556</v>
      </c>
      <c r="C97" s="0" t="n">
        <f aca="true">MEDIAN(8,16,ROUND(NORMINV(RAND(),Coefficients!$B$20,Coefficients!$B$21),0))</f>
        <v>13</v>
      </c>
      <c r="D97" s="0" t="n">
        <f aca="true">CRITBINOM($C97,MIN(0.75,Matchup!$B$39*$B97),RAND())</f>
        <v>3</v>
      </c>
      <c r="E97" s="0" t="n">
        <f aca="true">CRITBINOM(D97,Coefficients!$B$30,RAND())</f>
        <v>0</v>
      </c>
      <c r="F97" s="0" t="n">
        <f aca="true">CRITBINOM(E97,Coefficients!$B$31,RAND())</f>
        <v>0</v>
      </c>
      <c r="G97" s="0" t="n">
        <f aca="true">CRITBINOM(MAX(0,D97-E97),1-Coefficients!$B$32,RAND())</f>
        <v>1</v>
      </c>
      <c r="H97" s="0" t="n">
        <f aca="true">CRITBINOM(MAX(0,$C97-D97),MIN(0.6,Matchup!$B$40*SQRT($B97)/(1-MIN(0.75,Matchup!$B$39*$B97))),RAND())</f>
        <v>4</v>
      </c>
      <c r="I97" s="0" t="n">
        <f aca="false">6*D97+(D97-E97-G97)+2*F97+3*H97</f>
        <v>32</v>
      </c>
      <c r="J97" s="0" t="n">
        <f aca="true">CRITBINOM($C97,MIN(0.75,Matchup!$C$39*$B97),RAND())</f>
        <v>4</v>
      </c>
      <c r="K97" s="0" t="n">
        <f aca="true">CRITBINOM(J97,Coefficients!$B$30,RAND())</f>
        <v>1</v>
      </c>
      <c r="L97" s="0" t="n">
        <f aca="true">CRITBINOM(K97,Coefficients!$B$31,RAND())</f>
        <v>1</v>
      </c>
      <c r="M97" s="0" t="n">
        <f aca="true">CRITBINOM(MAX(0,J97-K97),1-Coefficients!$B$32,RAND())</f>
        <v>1</v>
      </c>
      <c r="N97" s="0" t="n">
        <f aca="true">CRITBINOM(MAX(0,$C97-J97),MIN(0.6,Matchup!$C$40*SQRT($B97)/(1-MIN(0.75,Matchup!$C$39*$B97))),RAND())</f>
        <v>1</v>
      </c>
      <c r="O97" s="0" t="n">
        <f aca="false">6*J97+(J97-K97-M97)+2*L97+3*N97</f>
        <v>31</v>
      </c>
      <c r="P97" s="0" t="n">
        <f aca="true">RAND()</f>
        <v>0.882427560783985</v>
      </c>
      <c r="Q97" s="0" t="n">
        <f aca="true">RAND()</f>
        <v>0.088386532797471</v>
      </c>
      <c r="R97" s="0" t="n">
        <f aca="false">IF($I97&lt;&gt;$O97,0,IF(P97&lt;Matchup!$B$39,7,IF(P97&lt;Matchup!$B$39+Matchup!$B$40,3,0)))</f>
        <v>0</v>
      </c>
      <c r="S97" s="0" t="n">
        <f aca="false">IF($I97&lt;&gt;$O97,0,IF(Q97&lt;Matchup!$C$39,7,IF(Q97&lt;Matchup!$C$39+Matchup!$C$40,3,0)))</f>
        <v>0</v>
      </c>
      <c r="T97" s="0" t="n">
        <f aca="false">I97+R97</f>
        <v>32</v>
      </c>
      <c r="U97" s="0" t="n">
        <f aca="false">O97+S97</f>
        <v>31</v>
      </c>
      <c r="V97" s="0" t="n">
        <f aca="false">T97-U97</f>
        <v>1</v>
      </c>
      <c r="W97" s="0" t="n">
        <f aca="false">T97+U97</f>
        <v>63</v>
      </c>
    </row>
    <row r="98" customFormat="false" ht="15" hidden="false" customHeight="false" outlineLevel="0" collapsed="false">
      <c r="A98" s="0" t="n">
        <v>95</v>
      </c>
      <c r="B98" s="0" t="n">
        <f aca="true">NORMINV(RAND(),1,Coefficients!$B$22)</f>
        <v>1.11706622842362</v>
      </c>
      <c r="C98" s="0" t="n">
        <f aca="true">MEDIAN(8,16,ROUND(NORMINV(RAND(),Coefficients!$B$20,Coefficients!$B$21),0))</f>
        <v>12</v>
      </c>
      <c r="D98" s="0" t="n">
        <f aca="true">CRITBINOM($C98,MIN(0.75,Matchup!$B$39*$B98),RAND())</f>
        <v>1</v>
      </c>
      <c r="E98" s="0" t="n">
        <f aca="true">CRITBINOM(D98,Coefficients!$B$30,RAND())</f>
        <v>0</v>
      </c>
      <c r="F98" s="0" t="n">
        <f aca="true">CRITBINOM(E98,Coefficients!$B$31,RAND())</f>
        <v>0</v>
      </c>
      <c r="G98" s="0" t="n">
        <f aca="true">CRITBINOM(MAX(0,D98-E98),1-Coefficients!$B$32,RAND())</f>
        <v>0</v>
      </c>
      <c r="H98" s="0" t="n">
        <f aca="true">CRITBINOM(MAX(0,$C98-D98),MIN(0.6,Matchup!$B$40*SQRT($B98)/(1-MIN(0.75,Matchup!$B$39*$B98))),RAND())</f>
        <v>3</v>
      </c>
      <c r="I98" s="0" t="n">
        <f aca="false">6*D98+(D98-E98-G98)+2*F98+3*H98</f>
        <v>16</v>
      </c>
      <c r="J98" s="0" t="n">
        <f aca="true">CRITBINOM($C98,MIN(0.75,Matchup!$C$39*$B98),RAND())</f>
        <v>6</v>
      </c>
      <c r="K98" s="0" t="n">
        <f aca="true">CRITBINOM(J98,Coefficients!$B$30,RAND())</f>
        <v>0</v>
      </c>
      <c r="L98" s="0" t="n">
        <f aca="true">CRITBINOM(K98,Coefficients!$B$31,RAND())</f>
        <v>0</v>
      </c>
      <c r="M98" s="0" t="n">
        <f aca="true">CRITBINOM(MAX(0,J98-K98),1-Coefficients!$B$32,RAND())</f>
        <v>0</v>
      </c>
      <c r="N98" s="0" t="n">
        <f aca="true">CRITBINOM(MAX(0,$C98-J98),MIN(0.6,Matchup!$C$40*SQRT($B98)/(1-MIN(0.75,Matchup!$C$39*$B98))),RAND())</f>
        <v>2</v>
      </c>
      <c r="O98" s="0" t="n">
        <f aca="false">6*J98+(J98-K98-M98)+2*L98+3*N98</f>
        <v>48</v>
      </c>
      <c r="P98" s="0" t="n">
        <f aca="true">RAND()</f>
        <v>0.957232917076407</v>
      </c>
      <c r="Q98" s="0" t="n">
        <f aca="true">RAND()</f>
        <v>0.11470114118667</v>
      </c>
      <c r="R98" s="0" t="n">
        <f aca="false">IF($I98&lt;&gt;$O98,0,IF(P98&lt;Matchup!$B$39,7,IF(P98&lt;Matchup!$B$39+Matchup!$B$40,3,0)))</f>
        <v>0</v>
      </c>
      <c r="S98" s="0" t="n">
        <f aca="false">IF($I98&lt;&gt;$O98,0,IF(Q98&lt;Matchup!$C$39,7,IF(Q98&lt;Matchup!$C$39+Matchup!$C$40,3,0)))</f>
        <v>0</v>
      </c>
      <c r="T98" s="0" t="n">
        <f aca="false">I98+R98</f>
        <v>16</v>
      </c>
      <c r="U98" s="0" t="n">
        <f aca="false">O98+S98</f>
        <v>48</v>
      </c>
      <c r="V98" s="0" t="n">
        <f aca="false">T98-U98</f>
        <v>-32</v>
      </c>
      <c r="W98" s="0" t="n">
        <f aca="false">T98+U98</f>
        <v>64</v>
      </c>
    </row>
    <row r="99" customFormat="false" ht="15" hidden="false" customHeight="false" outlineLevel="0" collapsed="false">
      <c r="A99" s="0" t="n">
        <v>96</v>
      </c>
      <c r="B99" s="0" t="n">
        <f aca="true">NORMINV(RAND(),1,Coefficients!$B$22)</f>
        <v>0.934706728617691</v>
      </c>
      <c r="C99" s="0" t="n">
        <f aca="true">MEDIAN(8,16,ROUND(NORMINV(RAND(),Coefficients!$B$20,Coefficients!$B$21),0))</f>
        <v>14</v>
      </c>
      <c r="D99" s="0" t="n">
        <f aca="true">CRITBINOM($C99,MIN(0.75,Matchup!$B$39*$B99),RAND())</f>
        <v>3</v>
      </c>
      <c r="E99" s="0" t="n">
        <f aca="true">CRITBINOM(D99,Coefficients!$B$30,RAND())</f>
        <v>0</v>
      </c>
      <c r="F99" s="0" t="n">
        <f aca="true">CRITBINOM(E99,Coefficients!$B$31,RAND())</f>
        <v>0</v>
      </c>
      <c r="G99" s="0" t="n">
        <f aca="true">CRITBINOM(MAX(0,D99-E99),1-Coefficients!$B$32,RAND())</f>
        <v>0</v>
      </c>
      <c r="H99" s="0" t="n">
        <f aca="true">CRITBINOM(MAX(0,$C99-D99),MIN(0.6,Matchup!$B$40*SQRT($B99)/(1-MIN(0.75,Matchup!$B$39*$B99))),RAND())</f>
        <v>1</v>
      </c>
      <c r="I99" s="0" t="n">
        <f aca="false">6*D99+(D99-E99-G99)+2*F99+3*H99</f>
        <v>24</v>
      </c>
      <c r="J99" s="0" t="n">
        <f aca="true">CRITBINOM($C99,MIN(0.75,Matchup!$C$39*$B99),RAND())</f>
        <v>4</v>
      </c>
      <c r="K99" s="0" t="n">
        <f aca="true">CRITBINOM(J99,Coefficients!$B$30,RAND())</f>
        <v>0</v>
      </c>
      <c r="L99" s="0" t="n">
        <f aca="true">CRITBINOM(K99,Coefficients!$B$31,RAND())</f>
        <v>0</v>
      </c>
      <c r="M99" s="0" t="n">
        <f aca="true">CRITBINOM(MAX(0,J99-K99),1-Coefficients!$B$32,RAND())</f>
        <v>1</v>
      </c>
      <c r="N99" s="0" t="n">
        <f aca="true">CRITBINOM(MAX(0,$C99-J99),MIN(0.6,Matchup!$C$40*SQRT($B99)/(1-MIN(0.75,Matchup!$C$39*$B99))),RAND())</f>
        <v>2</v>
      </c>
      <c r="O99" s="0" t="n">
        <f aca="false">6*J99+(J99-K99-M99)+2*L99+3*N99</f>
        <v>33</v>
      </c>
      <c r="P99" s="0" t="n">
        <f aca="true">RAND()</f>
        <v>0.229524826809331</v>
      </c>
      <c r="Q99" s="0" t="n">
        <f aca="true">RAND()</f>
        <v>0.690527163963465</v>
      </c>
      <c r="R99" s="0" t="n">
        <f aca="false">IF($I99&lt;&gt;$O99,0,IF(P99&lt;Matchup!$B$39,7,IF(P99&lt;Matchup!$B$39+Matchup!$B$40,3,0)))</f>
        <v>0</v>
      </c>
      <c r="S99" s="0" t="n">
        <f aca="false">IF($I99&lt;&gt;$O99,0,IF(Q99&lt;Matchup!$C$39,7,IF(Q99&lt;Matchup!$C$39+Matchup!$C$40,3,0)))</f>
        <v>0</v>
      </c>
      <c r="T99" s="0" t="n">
        <f aca="false">I99+R99</f>
        <v>24</v>
      </c>
      <c r="U99" s="0" t="n">
        <f aca="false">O99+S99</f>
        <v>33</v>
      </c>
      <c r="V99" s="0" t="n">
        <f aca="false">T99-U99</f>
        <v>-9</v>
      </c>
      <c r="W99" s="0" t="n">
        <f aca="false">T99+U99</f>
        <v>57</v>
      </c>
    </row>
    <row r="100" customFormat="false" ht="15" hidden="false" customHeight="false" outlineLevel="0" collapsed="false">
      <c r="A100" s="0" t="n">
        <v>97</v>
      </c>
      <c r="B100" s="0" t="n">
        <f aca="true">NORMINV(RAND(),1,Coefficients!$B$22)</f>
        <v>1.17005893609783</v>
      </c>
      <c r="C100" s="0" t="n">
        <f aca="true">MEDIAN(8,16,ROUND(NORMINV(RAND(),Coefficients!$B$20,Coefficients!$B$21),0))</f>
        <v>11</v>
      </c>
      <c r="D100" s="0" t="n">
        <f aca="true">CRITBINOM($C100,MIN(0.75,Matchup!$B$39*$B100),RAND())</f>
        <v>5</v>
      </c>
      <c r="E100" s="0" t="n">
        <f aca="true">CRITBINOM(D100,Coefficients!$B$30,RAND())</f>
        <v>2</v>
      </c>
      <c r="F100" s="0" t="n">
        <f aca="true">CRITBINOM(E100,Coefficients!$B$31,RAND())</f>
        <v>2</v>
      </c>
      <c r="G100" s="0" t="n">
        <f aca="true">CRITBINOM(MAX(0,D100-E100),1-Coefficients!$B$32,RAND())</f>
        <v>0</v>
      </c>
      <c r="H100" s="0" t="n">
        <f aca="true">CRITBINOM(MAX(0,$C100-D100),MIN(0.6,Matchup!$B$40*SQRT($B100)/(1-MIN(0.75,Matchup!$B$39*$B100))),RAND())</f>
        <v>3</v>
      </c>
      <c r="I100" s="0" t="n">
        <f aca="false">6*D100+(D100-E100-G100)+2*F100+3*H100</f>
        <v>46</v>
      </c>
      <c r="J100" s="0" t="n">
        <f aca="true">CRITBINOM($C100,MIN(0.75,Matchup!$C$39*$B100),RAND())</f>
        <v>3</v>
      </c>
      <c r="K100" s="0" t="n">
        <f aca="true">CRITBINOM(J100,Coefficients!$B$30,RAND())</f>
        <v>0</v>
      </c>
      <c r="L100" s="0" t="n">
        <f aca="true">CRITBINOM(K100,Coefficients!$B$31,RAND())</f>
        <v>0</v>
      </c>
      <c r="M100" s="0" t="n">
        <f aca="true">CRITBINOM(MAX(0,J100-K100),1-Coefficients!$B$32,RAND())</f>
        <v>0</v>
      </c>
      <c r="N100" s="0" t="n">
        <f aca="true">CRITBINOM(MAX(0,$C100-J100),MIN(0.6,Matchup!$C$40*SQRT($B100)/(1-MIN(0.75,Matchup!$C$39*$B100))),RAND())</f>
        <v>0</v>
      </c>
      <c r="O100" s="0" t="n">
        <f aca="false">6*J100+(J100-K100-M100)+2*L100+3*N100</f>
        <v>21</v>
      </c>
      <c r="P100" s="0" t="n">
        <f aca="true">RAND()</f>
        <v>0.964626049387007</v>
      </c>
      <c r="Q100" s="0" t="n">
        <f aca="true">RAND()</f>
        <v>0.56211710106789</v>
      </c>
      <c r="R100" s="0" t="n">
        <f aca="false">IF($I100&lt;&gt;$O100,0,IF(P100&lt;Matchup!$B$39,7,IF(P100&lt;Matchup!$B$39+Matchup!$B$40,3,0)))</f>
        <v>0</v>
      </c>
      <c r="S100" s="0" t="n">
        <f aca="false">IF($I100&lt;&gt;$O100,0,IF(Q100&lt;Matchup!$C$39,7,IF(Q100&lt;Matchup!$C$39+Matchup!$C$40,3,0)))</f>
        <v>0</v>
      </c>
      <c r="T100" s="0" t="n">
        <f aca="false">I100+R100</f>
        <v>46</v>
      </c>
      <c r="U100" s="0" t="n">
        <f aca="false">O100+S100</f>
        <v>21</v>
      </c>
      <c r="V100" s="0" t="n">
        <f aca="false">T100-U100</f>
        <v>25</v>
      </c>
      <c r="W100" s="0" t="n">
        <f aca="false">T100+U100</f>
        <v>67</v>
      </c>
    </row>
    <row r="101" customFormat="false" ht="15" hidden="false" customHeight="false" outlineLevel="0" collapsed="false">
      <c r="A101" s="0" t="n">
        <v>98</v>
      </c>
      <c r="B101" s="0" t="n">
        <f aca="true">NORMINV(RAND(),1,Coefficients!$B$22)</f>
        <v>1.00643497710507</v>
      </c>
      <c r="C101" s="0" t="n">
        <f aca="true">MEDIAN(8,16,ROUND(NORMINV(RAND(),Coefficients!$B$20,Coefficients!$B$21),0))</f>
        <v>11</v>
      </c>
      <c r="D101" s="0" t="n">
        <f aca="true">CRITBINOM($C101,MIN(0.75,Matchup!$B$39*$B101),RAND())</f>
        <v>3</v>
      </c>
      <c r="E101" s="0" t="n">
        <f aca="true">CRITBINOM(D101,Coefficients!$B$30,RAND())</f>
        <v>1</v>
      </c>
      <c r="F101" s="0" t="n">
        <f aca="true">CRITBINOM(E101,Coefficients!$B$31,RAND())</f>
        <v>1</v>
      </c>
      <c r="G101" s="0" t="n">
        <f aca="true">CRITBINOM(MAX(0,D101-E101),1-Coefficients!$B$32,RAND())</f>
        <v>0</v>
      </c>
      <c r="H101" s="0" t="n">
        <f aca="true">CRITBINOM(MAX(0,$C101-D101),MIN(0.6,Matchup!$B$40*SQRT($B101)/(1-MIN(0.75,Matchup!$B$39*$B101))),RAND())</f>
        <v>0</v>
      </c>
      <c r="I101" s="0" t="n">
        <f aca="false">6*D101+(D101-E101-G101)+2*F101+3*H101</f>
        <v>22</v>
      </c>
      <c r="J101" s="0" t="n">
        <f aca="true">CRITBINOM($C101,MIN(0.75,Matchup!$C$39*$B101),RAND())</f>
        <v>1</v>
      </c>
      <c r="K101" s="0" t="n">
        <f aca="true">CRITBINOM(J101,Coefficients!$B$30,RAND())</f>
        <v>0</v>
      </c>
      <c r="L101" s="0" t="n">
        <f aca="true">CRITBINOM(K101,Coefficients!$B$31,RAND())</f>
        <v>0</v>
      </c>
      <c r="M101" s="0" t="n">
        <f aca="true">CRITBINOM(MAX(0,J101-K101),1-Coefficients!$B$32,RAND())</f>
        <v>0</v>
      </c>
      <c r="N101" s="0" t="n">
        <f aca="true">CRITBINOM(MAX(0,$C101-J101),MIN(0.6,Matchup!$C$40*SQRT($B101)/(1-MIN(0.75,Matchup!$C$39*$B101))),RAND())</f>
        <v>2</v>
      </c>
      <c r="O101" s="0" t="n">
        <f aca="false">6*J101+(J101-K101-M101)+2*L101+3*N101</f>
        <v>13</v>
      </c>
      <c r="P101" s="0" t="n">
        <f aca="true">RAND()</f>
        <v>0.771670765881966</v>
      </c>
      <c r="Q101" s="0" t="n">
        <f aca="true">RAND()</f>
        <v>0.0283072539931494</v>
      </c>
      <c r="R101" s="0" t="n">
        <f aca="false">IF($I101&lt;&gt;$O101,0,IF(P101&lt;Matchup!$B$39,7,IF(P101&lt;Matchup!$B$39+Matchup!$B$40,3,0)))</f>
        <v>0</v>
      </c>
      <c r="S101" s="0" t="n">
        <f aca="false">IF($I101&lt;&gt;$O101,0,IF(Q101&lt;Matchup!$C$39,7,IF(Q101&lt;Matchup!$C$39+Matchup!$C$40,3,0)))</f>
        <v>0</v>
      </c>
      <c r="T101" s="0" t="n">
        <f aca="false">I101+R101</f>
        <v>22</v>
      </c>
      <c r="U101" s="0" t="n">
        <f aca="false">O101+S101</f>
        <v>13</v>
      </c>
      <c r="V101" s="0" t="n">
        <f aca="false">T101-U101</f>
        <v>9</v>
      </c>
      <c r="W101" s="0" t="n">
        <f aca="false">T101+U101</f>
        <v>35</v>
      </c>
    </row>
    <row r="102" customFormat="false" ht="15" hidden="false" customHeight="false" outlineLevel="0" collapsed="false">
      <c r="A102" s="0" t="n">
        <v>99</v>
      </c>
      <c r="B102" s="0" t="n">
        <f aca="true">NORMINV(RAND(),1,Coefficients!$B$22)</f>
        <v>1.06647729659545</v>
      </c>
      <c r="C102" s="0" t="n">
        <f aca="true">MEDIAN(8,16,ROUND(NORMINV(RAND(),Coefficients!$B$20,Coefficients!$B$21),0))</f>
        <v>11</v>
      </c>
      <c r="D102" s="0" t="n">
        <f aca="true">CRITBINOM($C102,MIN(0.75,Matchup!$B$39*$B102),RAND())</f>
        <v>2</v>
      </c>
      <c r="E102" s="0" t="n">
        <f aca="true">CRITBINOM(D102,Coefficients!$B$30,RAND())</f>
        <v>0</v>
      </c>
      <c r="F102" s="0" t="n">
        <f aca="true">CRITBINOM(E102,Coefficients!$B$31,RAND())</f>
        <v>0</v>
      </c>
      <c r="G102" s="0" t="n">
        <f aca="true">CRITBINOM(MAX(0,D102-E102),1-Coefficients!$B$32,RAND())</f>
        <v>0</v>
      </c>
      <c r="H102" s="0" t="n">
        <f aca="true">CRITBINOM(MAX(0,$C102-D102),MIN(0.6,Matchup!$B$40*SQRT($B102)/(1-MIN(0.75,Matchup!$B$39*$B102))),RAND())</f>
        <v>2</v>
      </c>
      <c r="I102" s="0" t="n">
        <f aca="false">6*D102+(D102-E102-G102)+2*F102+3*H102</f>
        <v>20</v>
      </c>
      <c r="J102" s="0" t="n">
        <f aca="true">CRITBINOM($C102,MIN(0.75,Matchup!$C$39*$B102),RAND())</f>
        <v>3</v>
      </c>
      <c r="K102" s="0" t="n">
        <f aca="true">CRITBINOM(J102,Coefficients!$B$30,RAND())</f>
        <v>0</v>
      </c>
      <c r="L102" s="0" t="n">
        <f aca="true">CRITBINOM(K102,Coefficients!$B$31,RAND())</f>
        <v>0</v>
      </c>
      <c r="M102" s="0" t="n">
        <f aca="true">CRITBINOM(MAX(0,J102-K102),1-Coefficients!$B$32,RAND())</f>
        <v>0</v>
      </c>
      <c r="N102" s="0" t="n">
        <f aca="true">CRITBINOM(MAX(0,$C102-J102),MIN(0.6,Matchup!$C$40*SQRT($B102)/(1-MIN(0.75,Matchup!$C$39*$B102))),RAND())</f>
        <v>2</v>
      </c>
      <c r="O102" s="0" t="n">
        <f aca="false">6*J102+(J102-K102-M102)+2*L102+3*N102</f>
        <v>27</v>
      </c>
      <c r="P102" s="0" t="n">
        <f aca="true">RAND()</f>
        <v>0.507367078308742</v>
      </c>
      <c r="Q102" s="0" t="n">
        <f aca="true">RAND()</f>
        <v>0.914754953936178</v>
      </c>
      <c r="R102" s="0" t="n">
        <f aca="false">IF($I102&lt;&gt;$O102,0,IF(P102&lt;Matchup!$B$39,7,IF(P102&lt;Matchup!$B$39+Matchup!$B$40,3,0)))</f>
        <v>0</v>
      </c>
      <c r="S102" s="0" t="n">
        <f aca="false">IF($I102&lt;&gt;$O102,0,IF(Q102&lt;Matchup!$C$39,7,IF(Q102&lt;Matchup!$C$39+Matchup!$C$40,3,0)))</f>
        <v>0</v>
      </c>
      <c r="T102" s="0" t="n">
        <f aca="false">I102+R102</f>
        <v>20</v>
      </c>
      <c r="U102" s="0" t="n">
        <f aca="false">O102+S102</f>
        <v>27</v>
      </c>
      <c r="V102" s="0" t="n">
        <f aca="false">T102-U102</f>
        <v>-7</v>
      </c>
      <c r="W102" s="0" t="n">
        <f aca="false">T102+U102</f>
        <v>47</v>
      </c>
    </row>
    <row r="103" customFormat="false" ht="15" hidden="false" customHeight="false" outlineLevel="0" collapsed="false">
      <c r="A103" s="0" t="n">
        <v>100</v>
      </c>
      <c r="B103" s="0" t="n">
        <f aca="true">NORMINV(RAND(),1,Coefficients!$B$22)</f>
        <v>0.992493204572183</v>
      </c>
      <c r="C103" s="0" t="n">
        <f aca="true">MEDIAN(8,16,ROUND(NORMINV(RAND(),Coefficients!$B$20,Coefficients!$B$21),0))</f>
        <v>13</v>
      </c>
      <c r="D103" s="0" t="n">
        <f aca="true">CRITBINOM($C103,MIN(0.75,Matchup!$B$39*$B103),RAND())</f>
        <v>3</v>
      </c>
      <c r="E103" s="0" t="n">
        <f aca="true">CRITBINOM(D103,Coefficients!$B$30,RAND())</f>
        <v>1</v>
      </c>
      <c r="F103" s="0" t="n">
        <f aca="true">CRITBINOM(E103,Coefficients!$B$31,RAND())</f>
        <v>0</v>
      </c>
      <c r="G103" s="0" t="n">
        <f aca="true">CRITBINOM(MAX(0,D103-E103),1-Coefficients!$B$32,RAND())</f>
        <v>0</v>
      </c>
      <c r="H103" s="0" t="n">
        <f aca="true">CRITBINOM(MAX(0,$C103-D103),MIN(0.6,Matchup!$B$40*SQRT($B103)/(1-MIN(0.75,Matchup!$B$39*$B103))),RAND())</f>
        <v>1</v>
      </c>
      <c r="I103" s="0" t="n">
        <f aca="false">6*D103+(D103-E103-G103)+2*F103+3*H103</f>
        <v>23</v>
      </c>
      <c r="J103" s="0" t="n">
        <f aca="true">CRITBINOM($C103,MIN(0.75,Matchup!$C$39*$B103),RAND())</f>
        <v>3</v>
      </c>
      <c r="K103" s="0" t="n">
        <f aca="true">CRITBINOM(J103,Coefficients!$B$30,RAND())</f>
        <v>0</v>
      </c>
      <c r="L103" s="0" t="n">
        <f aca="true">CRITBINOM(K103,Coefficients!$B$31,RAND())</f>
        <v>0</v>
      </c>
      <c r="M103" s="0" t="n">
        <f aca="true">CRITBINOM(MAX(0,J103-K103),1-Coefficients!$B$32,RAND())</f>
        <v>0</v>
      </c>
      <c r="N103" s="0" t="n">
        <f aca="true">CRITBINOM(MAX(0,$C103-J103),MIN(0.6,Matchup!$C$40*SQRT($B103)/(1-MIN(0.75,Matchup!$C$39*$B103))),RAND())</f>
        <v>3</v>
      </c>
      <c r="O103" s="0" t="n">
        <f aca="false">6*J103+(J103-K103-M103)+2*L103+3*N103</f>
        <v>30</v>
      </c>
      <c r="P103" s="0" t="n">
        <f aca="true">RAND()</f>
        <v>0.0664501635587969</v>
      </c>
      <c r="Q103" s="0" t="n">
        <f aca="true">RAND()</f>
        <v>0.882281046347321</v>
      </c>
      <c r="R103" s="0" t="n">
        <f aca="false">IF($I103&lt;&gt;$O103,0,IF(P103&lt;Matchup!$B$39,7,IF(P103&lt;Matchup!$B$39+Matchup!$B$40,3,0)))</f>
        <v>0</v>
      </c>
      <c r="S103" s="0" t="n">
        <f aca="false">IF($I103&lt;&gt;$O103,0,IF(Q103&lt;Matchup!$C$39,7,IF(Q103&lt;Matchup!$C$39+Matchup!$C$40,3,0)))</f>
        <v>0</v>
      </c>
      <c r="T103" s="0" t="n">
        <f aca="false">I103+R103</f>
        <v>23</v>
      </c>
      <c r="U103" s="0" t="n">
        <f aca="false">O103+S103</f>
        <v>30</v>
      </c>
      <c r="V103" s="0" t="n">
        <f aca="false">T103-U103</f>
        <v>-7</v>
      </c>
      <c r="W103" s="0" t="n">
        <f aca="false">T103+U103</f>
        <v>53</v>
      </c>
    </row>
    <row r="104" customFormat="false" ht="15" hidden="false" customHeight="false" outlineLevel="0" collapsed="false">
      <c r="A104" s="0" t="n">
        <v>101</v>
      </c>
      <c r="B104" s="0" t="n">
        <f aca="true">NORMINV(RAND(),1,Coefficients!$B$22)</f>
        <v>1.08959730692531</v>
      </c>
      <c r="C104" s="0" t="n">
        <f aca="true">MEDIAN(8,16,ROUND(NORMINV(RAND(),Coefficients!$B$20,Coefficients!$B$21),0))</f>
        <v>12</v>
      </c>
      <c r="D104" s="0" t="n">
        <f aca="true">CRITBINOM($C104,MIN(0.75,Matchup!$B$39*$B104),RAND())</f>
        <v>2</v>
      </c>
      <c r="E104" s="0" t="n">
        <f aca="true">CRITBINOM(D104,Coefficients!$B$30,RAND())</f>
        <v>0</v>
      </c>
      <c r="F104" s="0" t="n">
        <f aca="true">CRITBINOM(E104,Coefficients!$B$31,RAND())</f>
        <v>0</v>
      </c>
      <c r="G104" s="0" t="n">
        <f aca="true">CRITBINOM(MAX(0,D104-E104),1-Coefficients!$B$32,RAND())</f>
        <v>0</v>
      </c>
      <c r="H104" s="0" t="n">
        <f aca="true">CRITBINOM(MAX(0,$C104-D104),MIN(0.6,Matchup!$B$40*SQRT($B104)/(1-MIN(0.75,Matchup!$B$39*$B104))),RAND())</f>
        <v>2</v>
      </c>
      <c r="I104" s="0" t="n">
        <f aca="false">6*D104+(D104-E104-G104)+2*F104+3*H104</f>
        <v>20</v>
      </c>
      <c r="J104" s="0" t="n">
        <f aca="true">CRITBINOM($C104,MIN(0.75,Matchup!$C$39*$B104),RAND())</f>
        <v>3</v>
      </c>
      <c r="K104" s="0" t="n">
        <f aca="true">CRITBINOM(J104,Coefficients!$B$30,RAND())</f>
        <v>0</v>
      </c>
      <c r="L104" s="0" t="n">
        <f aca="true">CRITBINOM(K104,Coefficients!$B$31,RAND())</f>
        <v>0</v>
      </c>
      <c r="M104" s="0" t="n">
        <f aca="true">CRITBINOM(MAX(0,J104-K104),1-Coefficients!$B$32,RAND())</f>
        <v>0</v>
      </c>
      <c r="N104" s="0" t="n">
        <f aca="true">CRITBINOM(MAX(0,$C104-J104),MIN(0.6,Matchup!$C$40*SQRT($B104)/(1-MIN(0.75,Matchup!$C$39*$B104))),RAND())</f>
        <v>3</v>
      </c>
      <c r="O104" s="0" t="n">
        <f aca="false">6*J104+(J104-K104-M104)+2*L104+3*N104</f>
        <v>30</v>
      </c>
      <c r="P104" s="0" t="n">
        <f aca="true">RAND()</f>
        <v>0.917541278077852</v>
      </c>
      <c r="Q104" s="0" t="n">
        <f aca="true">RAND()</f>
        <v>0.227633045539292</v>
      </c>
      <c r="R104" s="0" t="n">
        <f aca="false">IF($I104&lt;&gt;$O104,0,IF(P104&lt;Matchup!$B$39,7,IF(P104&lt;Matchup!$B$39+Matchup!$B$40,3,0)))</f>
        <v>0</v>
      </c>
      <c r="S104" s="0" t="n">
        <f aca="false">IF($I104&lt;&gt;$O104,0,IF(Q104&lt;Matchup!$C$39,7,IF(Q104&lt;Matchup!$C$39+Matchup!$C$40,3,0)))</f>
        <v>0</v>
      </c>
      <c r="T104" s="0" t="n">
        <f aca="false">I104+R104</f>
        <v>20</v>
      </c>
      <c r="U104" s="0" t="n">
        <f aca="false">O104+S104</f>
        <v>30</v>
      </c>
      <c r="V104" s="0" t="n">
        <f aca="false">T104-U104</f>
        <v>-10</v>
      </c>
      <c r="W104" s="0" t="n">
        <f aca="false">T104+U104</f>
        <v>50</v>
      </c>
    </row>
    <row r="105" customFormat="false" ht="15" hidden="false" customHeight="false" outlineLevel="0" collapsed="false">
      <c r="A105" s="0" t="n">
        <v>102</v>
      </c>
      <c r="B105" s="0" t="n">
        <f aca="true">NORMINV(RAND(),1,Coefficients!$B$22)</f>
        <v>0.98711932821164</v>
      </c>
      <c r="C105" s="0" t="n">
        <f aca="true">MEDIAN(8,16,ROUND(NORMINV(RAND(),Coefficients!$B$20,Coefficients!$B$21),0))</f>
        <v>11</v>
      </c>
      <c r="D105" s="0" t="n">
        <f aca="true">CRITBINOM($C105,MIN(0.75,Matchup!$B$39*$B105),RAND())</f>
        <v>1</v>
      </c>
      <c r="E105" s="0" t="n">
        <f aca="true">CRITBINOM(D105,Coefficients!$B$30,RAND())</f>
        <v>0</v>
      </c>
      <c r="F105" s="0" t="n">
        <f aca="true">CRITBINOM(E105,Coefficients!$B$31,RAND())</f>
        <v>0</v>
      </c>
      <c r="G105" s="0" t="n">
        <f aca="true">CRITBINOM(MAX(0,D105-E105),1-Coefficients!$B$32,RAND())</f>
        <v>0</v>
      </c>
      <c r="H105" s="0" t="n">
        <f aca="true">CRITBINOM(MAX(0,$C105-D105),MIN(0.6,Matchup!$B$40*SQRT($B105)/(1-MIN(0.75,Matchup!$B$39*$B105))),RAND())</f>
        <v>0</v>
      </c>
      <c r="I105" s="0" t="n">
        <f aca="false">6*D105+(D105-E105-G105)+2*F105+3*H105</f>
        <v>7</v>
      </c>
      <c r="J105" s="0" t="n">
        <f aca="true">CRITBINOM($C105,MIN(0.75,Matchup!$C$39*$B105),RAND())</f>
        <v>3</v>
      </c>
      <c r="K105" s="0" t="n">
        <f aca="true">CRITBINOM(J105,Coefficients!$B$30,RAND())</f>
        <v>0</v>
      </c>
      <c r="L105" s="0" t="n">
        <f aca="true">CRITBINOM(K105,Coefficients!$B$31,RAND())</f>
        <v>0</v>
      </c>
      <c r="M105" s="0" t="n">
        <f aca="true">CRITBINOM(MAX(0,J105-K105),1-Coefficients!$B$32,RAND())</f>
        <v>0</v>
      </c>
      <c r="N105" s="0" t="n">
        <f aca="true">CRITBINOM(MAX(0,$C105-J105),MIN(0.6,Matchup!$C$40*SQRT($B105)/(1-MIN(0.75,Matchup!$C$39*$B105))),RAND())</f>
        <v>1</v>
      </c>
      <c r="O105" s="0" t="n">
        <f aca="false">6*J105+(J105-K105-M105)+2*L105+3*N105</f>
        <v>24</v>
      </c>
      <c r="P105" s="0" t="n">
        <f aca="true">RAND()</f>
        <v>0.413893655064099</v>
      </c>
      <c r="Q105" s="0" t="n">
        <f aca="true">RAND()</f>
        <v>0.426801987784582</v>
      </c>
      <c r="R105" s="0" t="n">
        <f aca="false">IF($I105&lt;&gt;$O105,0,IF(P105&lt;Matchup!$B$39,7,IF(P105&lt;Matchup!$B$39+Matchup!$B$40,3,0)))</f>
        <v>0</v>
      </c>
      <c r="S105" s="0" t="n">
        <f aca="false">IF($I105&lt;&gt;$O105,0,IF(Q105&lt;Matchup!$C$39,7,IF(Q105&lt;Matchup!$C$39+Matchup!$C$40,3,0)))</f>
        <v>0</v>
      </c>
      <c r="T105" s="0" t="n">
        <f aca="false">I105+R105</f>
        <v>7</v>
      </c>
      <c r="U105" s="0" t="n">
        <f aca="false">O105+S105</f>
        <v>24</v>
      </c>
      <c r="V105" s="0" t="n">
        <f aca="false">T105-U105</f>
        <v>-17</v>
      </c>
      <c r="W105" s="0" t="n">
        <f aca="false">T105+U105</f>
        <v>31</v>
      </c>
    </row>
    <row r="106" customFormat="false" ht="15" hidden="false" customHeight="false" outlineLevel="0" collapsed="false">
      <c r="A106" s="0" t="n">
        <v>103</v>
      </c>
      <c r="B106" s="0" t="n">
        <f aca="true">NORMINV(RAND(),1,Coefficients!$B$22)</f>
        <v>0.980552202861928</v>
      </c>
      <c r="C106" s="0" t="n">
        <f aca="true">MEDIAN(8,16,ROUND(NORMINV(RAND(),Coefficients!$B$20,Coefficients!$B$21),0))</f>
        <v>11</v>
      </c>
      <c r="D106" s="0" t="n">
        <f aca="true">CRITBINOM($C106,MIN(0.75,Matchup!$B$39*$B106),RAND())</f>
        <v>0</v>
      </c>
      <c r="E106" s="0" t="n">
        <f aca="true">CRITBINOM(D106,Coefficients!$B$30,RAND())</f>
        <v>0</v>
      </c>
      <c r="F106" s="0" t="n">
        <f aca="true">CRITBINOM(E106,Coefficients!$B$31,RAND())</f>
        <v>0</v>
      </c>
      <c r="G106" s="0" t="n">
        <f aca="true">CRITBINOM(MAX(0,D106-E106),1-Coefficients!$B$32,RAND())</f>
        <v>0</v>
      </c>
      <c r="H106" s="0" t="n">
        <f aca="true">CRITBINOM(MAX(0,$C106-D106),MIN(0.6,Matchup!$B$40*SQRT($B106)/(1-MIN(0.75,Matchup!$B$39*$B106))),RAND())</f>
        <v>2</v>
      </c>
      <c r="I106" s="0" t="n">
        <f aca="false">6*D106+(D106-E106-G106)+2*F106+3*H106</f>
        <v>6</v>
      </c>
      <c r="J106" s="0" t="n">
        <f aca="true">CRITBINOM($C106,MIN(0.75,Matchup!$C$39*$B106),RAND())</f>
        <v>6</v>
      </c>
      <c r="K106" s="0" t="n">
        <f aca="true">CRITBINOM(J106,Coefficients!$B$30,RAND())</f>
        <v>0</v>
      </c>
      <c r="L106" s="0" t="n">
        <f aca="true">CRITBINOM(K106,Coefficients!$B$31,RAND())</f>
        <v>0</v>
      </c>
      <c r="M106" s="0" t="n">
        <f aca="true">CRITBINOM(MAX(0,J106-K106),1-Coefficients!$B$32,RAND())</f>
        <v>0</v>
      </c>
      <c r="N106" s="0" t="n">
        <f aca="true">CRITBINOM(MAX(0,$C106-J106),MIN(0.6,Matchup!$C$40*SQRT($B106)/(1-MIN(0.75,Matchup!$C$39*$B106))),RAND())</f>
        <v>1</v>
      </c>
      <c r="O106" s="0" t="n">
        <f aca="false">6*J106+(J106-K106-M106)+2*L106+3*N106</f>
        <v>45</v>
      </c>
      <c r="P106" s="0" t="n">
        <f aca="true">RAND()</f>
        <v>0.731103574034629</v>
      </c>
      <c r="Q106" s="0" t="n">
        <f aca="true">RAND()</f>
        <v>0.932533246820184</v>
      </c>
      <c r="R106" s="0" t="n">
        <f aca="false">IF($I106&lt;&gt;$O106,0,IF(P106&lt;Matchup!$B$39,7,IF(P106&lt;Matchup!$B$39+Matchup!$B$40,3,0)))</f>
        <v>0</v>
      </c>
      <c r="S106" s="0" t="n">
        <f aca="false">IF($I106&lt;&gt;$O106,0,IF(Q106&lt;Matchup!$C$39,7,IF(Q106&lt;Matchup!$C$39+Matchup!$C$40,3,0)))</f>
        <v>0</v>
      </c>
      <c r="T106" s="0" t="n">
        <f aca="false">I106+R106</f>
        <v>6</v>
      </c>
      <c r="U106" s="0" t="n">
        <f aca="false">O106+S106</f>
        <v>45</v>
      </c>
      <c r="V106" s="0" t="n">
        <f aca="false">T106-U106</f>
        <v>-39</v>
      </c>
      <c r="W106" s="0" t="n">
        <f aca="false">T106+U106</f>
        <v>51</v>
      </c>
    </row>
    <row r="107" customFormat="false" ht="15" hidden="false" customHeight="false" outlineLevel="0" collapsed="false">
      <c r="A107" s="0" t="n">
        <v>104</v>
      </c>
      <c r="B107" s="0" t="n">
        <f aca="true">NORMINV(RAND(),1,Coefficients!$B$22)</f>
        <v>0.866237913048591</v>
      </c>
      <c r="C107" s="0" t="n">
        <f aca="true">MEDIAN(8,16,ROUND(NORMINV(RAND(),Coefficients!$B$20,Coefficients!$B$21),0))</f>
        <v>11</v>
      </c>
      <c r="D107" s="0" t="n">
        <f aca="true">CRITBINOM($C107,MIN(0.75,Matchup!$B$39*$B107),RAND())</f>
        <v>3</v>
      </c>
      <c r="E107" s="0" t="n">
        <f aca="true">CRITBINOM(D107,Coefficients!$B$30,RAND())</f>
        <v>1</v>
      </c>
      <c r="F107" s="0" t="n">
        <f aca="true">CRITBINOM(E107,Coefficients!$B$31,RAND())</f>
        <v>1</v>
      </c>
      <c r="G107" s="0" t="n">
        <f aca="true">CRITBINOM(MAX(0,D107-E107),1-Coefficients!$B$32,RAND())</f>
        <v>1</v>
      </c>
      <c r="H107" s="0" t="n">
        <f aca="true">CRITBINOM(MAX(0,$C107-D107),MIN(0.6,Matchup!$B$40*SQRT($B107)/(1-MIN(0.75,Matchup!$B$39*$B107))),RAND())</f>
        <v>3</v>
      </c>
      <c r="I107" s="0" t="n">
        <f aca="false">6*D107+(D107-E107-G107)+2*F107+3*H107</f>
        <v>30</v>
      </c>
      <c r="J107" s="0" t="n">
        <f aca="true">CRITBINOM($C107,MIN(0.75,Matchup!$C$39*$B107),RAND())</f>
        <v>1</v>
      </c>
      <c r="K107" s="0" t="n">
        <f aca="true">CRITBINOM(J107,Coefficients!$B$30,RAND())</f>
        <v>1</v>
      </c>
      <c r="L107" s="0" t="n">
        <f aca="true">CRITBINOM(K107,Coefficients!$B$31,RAND())</f>
        <v>0</v>
      </c>
      <c r="M107" s="0" t="n">
        <f aca="true">CRITBINOM(MAX(0,J107-K107),1-Coefficients!$B$32,RAND())</f>
        <v>0</v>
      </c>
      <c r="N107" s="0" t="n">
        <f aca="true">CRITBINOM(MAX(0,$C107-J107),MIN(0.6,Matchup!$C$40*SQRT($B107)/(1-MIN(0.75,Matchup!$C$39*$B107))),RAND())</f>
        <v>0</v>
      </c>
      <c r="O107" s="0" t="n">
        <f aca="false">6*J107+(J107-K107-M107)+2*L107+3*N107</f>
        <v>6</v>
      </c>
      <c r="P107" s="0" t="n">
        <f aca="true">RAND()</f>
        <v>0.729559792382772</v>
      </c>
      <c r="Q107" s="0" t="n">
        <f aca="true">RAND()</f>
        <v>0.288331079988663</v>
      </c>
      <c r="R107" s="0" t="n">
        <f aca="false">IF($I107&lt;&gt;$O107,0,IF(P107&lt;Matchup!$B$39,7,IF(P107&lt;Matchup!$B$39+Matchup!$B$40,3,0)))</f>
        <v>0</v>
      </c>
      <c r="S107" s="0" t="n">
        <f aca="false">IF($I107&lt;&gt;$O107,0,IF(Q107&lt;Matchup!$C$39,7,IF(Q107&lt;Matchup!$C$39+Matchup!$C$40,3,0)))</f>
        <v>0</v>
      </c>
      <c r="T107" s="0" t="n">
        <f aca="false">I107+R107</f>
        <v>30</v>
      </c>
      <c r="U107" s="0" t="n">
        <f aca="false">O107+S107</f>
        <v>6</v>
      </c>
      <c r="V107" s="0" t="n">
        <f aca="false">T107-U107</f>
        <v>24</v>
      </c>
      <c r="W107" s="0" t="n">
        <f aca="false">T107+U107</f>
        <v>36</v>
      </c>
    </row>
    <row r="108" customFormat="false" ht="15" hidden="false" customHeight="false" outlineLevel="0" collapsed="false">
      <c r="A108" s="0" t="n">
        <v>105</v>
      </c>
      <c r="B108" s="0" t="n">
        <f aca="true">NORMINV(RAND(),1,Coefficients!$B$22)</f>
        <v>0.889315587465326</v>
      </c>
      <c r="C108" s="0" t="n">
        <f aca="true">MEDIAN(8,16,ROUND(NORMINV(RAND(),Coefficients!$B$20,Coefficients!$B$21),0))</f>
        <v>11</v>
      </c>
      <c r="D108" s="0" t="n">
        <f aca="true">CRITBINOM($C108,MIN(0.75,Matchup!$B$39*$B108),RAND())</f>
        <v>3</v>
      </c>
      <c r="E108" s="0" t="n">
        <f aca="true">CRITBINOM(D108,Coefficients!$B$30,RAND())</f>
        <v>0</v>
      </c>
      <c r="F108" s="0" t="n">
        <f aca="true">CRITBINOM(E108,Coefficients!$B$31,RAND())</f>
        <v>0</v>
      </c>
      <c r="G108" s="0" t="n">
        <f aca="true">CRITBINOM(MAX(0,D108-E108),1-Coefficients!$B$32,RAND())</f>
        <v>0</v>
      </c>
      <c r="H108" s="0" t="n">
        <f aca="true">CRITBINOM(MAX(0,$C108-D108),MIN(0.6,Matchup!$B$40*SQRT($B108)/(1-MIN(0.75,Matchup!$B$39*$B108))),RAND())</f>
        <v>2</v>
      </c>
      <c r="I108" s="0" t="n">
        <f aca="false">6*D108+(D108-E108-G108)+2*F108+3*H108</f>
        <v>27</v>
      </c>
      <c r="J108" s="0" t="n">
        <f aca="true">CRITBINOM($C108,MIN(0.75,Matchup!$C$39*$B108),RAND())</f>
        <v>0</v>
      </c>
      <c r="K108" s="0" t="n">
        <f aca="true">CRITBINOM(J108,Coefficients!$B$30,RAND())</f>
        <v>0</v>
      </c>
      <c r="L108" s="0" t="n">
        <f aca="true">CRITBINOM(K108,Coefficients!$B$31,RAND())</f>
        <v>0</v>
      </c>
      <c r="M108" s="0" t="n">
        <f aca="true">CRITBINOM(MAX(0,J108-K108),1-Coefficients!$B$32,RAND())</f>
        <v>0</v>
      </c>
      <c r="N108" s="0" t="n">
        <f aca="true">CRITBINOM(MAX(0,$C108-J108),MIN(0.6,Matchup!$C$40*SQRT($B108)/(1-MIN(0.75,Matchup!$C$39*$B108))),RAND())</f>
        <v>0</v>
      </c>
      <c r="O108" s="0" t="n">
        <f aca="false">6*J108+(J108-K108-M108)+2*L108+3*N108</f>
        <v>0</v>
      </c>
      <c r="P108" s="0" t="n">
        <f aca="true">RAND()</f>
        <v>0.918803722477784</v>
      </c>
      <c r="Q108" s="0" t="n">
        <f aca="true">RAND()</f>
        <v>0.984404404492081</v>
      </c>
      <c r="R108" s="0" t="n">
        <f aca="false">IF($I108&lt;&gt;$O108,0,IF(P108&lt;Matchup!$B$39,7,IF(P108&lt;Matchup!$B$39+Matchup!$B$40,3,0)))</f>
        <v>0</v>
      </c>
      <c r="S108" s="0" t="n">
        <f aca="false">IF($I108&lt;&gt;$O108,0,IF(Q108&lt;Matchup!$C$39,7,IF(Q108&lt;Matchup!$C$39+Matchup!$C$40,3,0)))</f>
        <v>0</v>
      </c>
      <c r="T108" s="0" t="n">
        <f aca="false">I108+R108</f>
        <v>27</v>
      </c>
      <c r="U108" s="0" t="n">
        <f aca="false">O108+S108</f>
        <v>0</v>
      </c>
      <c r="V108" s="0" t="n">
        <f aca="false">T108-U108</f>
        <v>27</v>
      </c>
      <c r="W108" s="0" t="n">
        <f aca="false">T108+U108</f>
        <v>27</v>
      </c>
    </row>
    <row r="109" customFormat="false" ht="15" hidden="false" customHeight="false" outlineLevel="0" collapsed="false">
      <c r="A109" s="0" t="n">
        <v>106</v>
      </c>
      <c r="B109" s="0" t="n">
        <f aca="true">NORMINV(RAND(),1,Coefficients!$B$22)</f>
        <v>1.06816857923715</v>
      </c>
      <c r="C109" s="0" t="n">
        <f aca="true">MEDIAN(8,16,ROUND(NORMINV(RAND(),Coefficients!$B$20,Coefficients!$B$21),0))</f>
        <v>13</v>
      </c>
      <c r="D109" s="0" t="n">
        <f aca="true">CRITBINOM($C109,MIN(0.75,Matchup!$B$39*$B109),RAND())</f>
        <v>6</v>
      </c>
      <c r="E109" s="0" t="n">
        <f aca="true">CRITBINOM(D109,Coefficients!$B$30,RAND())</f>
        <v>0</v>
      </c>
      <c r="F109" s="0" t="n">
        <f aca="true">CRITBINOM(E109,Coefficients!$B$31,RAND())</f>
        <v>0</v>
      </c>
      <c r="G109" s="0" t="n">
        <f aca="true">CRITBINOM(MAX(0,D109-E109),1-Coefficients!$B$32,RAND())</f>
        <v>0</v>
      </c>
      <c r="H109" s="0" t="n">
        <f aca="true">CRITBINOM(MAX(0,$C109-D109),MIN(0.6,Matchup!$B$40*SQRT($B109)/(1-MIN(0.75,Matchup!$B$39*$B109))),RAND())</f>
        <v>1</v>
      </c>
      <c r="I109" s="0" t="n">
        <f aca="false">6*D109+(D109-E109-G109)+2*F109+3*H109</f>
        <v>45</v>
      </c>
      <c r="J109" s="0" t="n">
        <f aca="true">CRITBINOM($C109,MIN(0.75,Matchup!$C$39*$B109),RAND())</f>
        <v>4</v>
      </c>
      <c r="K109" s="0" t="n">
        <f aca="true">CRITBINOM(J109,Coefficients!$B$30,RAND())</f>
        <v>1</v>
      </c>
      <c r="L109" s="0" t="n">
        <f aca="true">CRITBINOM(K109,Coefficients!$B$31,RAND())</f>
        <v>1</v>
      </c>
      <c r="M109" s="0" t="n">
        <f aca="true">CRITBINOM(MAX(0,J109-K109),1-Coefficients!$B$32,RAND())</f>
        <v>0</v>
      </c>
      <c r="N109" s="0" t="n">
        <f aca="true">CRITBINOM(MAX(0,$C109-J109),MIN(0.6,Matchup!$C$40*SQRT($B109)/(1-MIN(0.75,Matchup!$C$39*$B109))),RAND())</f>
        <v>2</v>
      </c>
      <c r="O109" s="0" t="n">
        <f aca="false">6*J109+(J109-K109-M109)+2*L109+3*N109</f>
        <v>35</v>
      </c>
      <c r="P109" s="0" t="n">
        <f aca="true">RAND()</f>
        <v>0.711651716342021</v>
      </c>
      <c r="Q109" s="0" t="n">
        <f aca="true">RAND()</f>
        <v>0.84393378695496</v>
      </c>
      <c r="R109" s="0" t="n">
        <f aca="false">IF($I109&lt;&gt;$O109,0,IF(P109&lt;Matchup!$B$39,7,IF(P109&lt;Matchup!$B$39+Matchup!$B$40,3,0)))</f>
        <v>0</v>
      </c>
      <c r="S109" s="0" t="n">
        <f aca="false">IF($I109&lt;&gt;$O109,0,IF(Q109&lt;Matchup!$C$39,7,IF(Q109&lt;Matchup!$C$39+Matchup!$C$40,3,0)))</f>
        <v>0</v>
      </c>
      <c r="T109" s="0" t="n">
        <f aca="false">I109+R109</f>
        <v>45</v>
      </c>
      <c r="U109" s="0" t="n">
        <f aca="false">O109+S109</f>
        <v>35</v>
      </c>
      <c r="V109" s="0" t="n">
        <f aca="false">T109-U109</f>
        <v>10</v>
      </c>
      <c r="W109" s="0" t="n">
        <f aca="false">T109+U109</f>
        <v>80</v>
      </c>
    </row>
    <row r="110" customFormat="false" ht="15" hidden="false" customHeight="false" outlineLevel="0" collapsed="false">
      <c r="A110" s="0" t="n">
        <v>107</v>
      </c>
      <c r="B110" s="0" t="n">
        <f aca="true">NORMINV(RAND(),1,Coefficients!$B$22)</f>
        <v>0.985310740935753</v>
      </c>
      <c r="C110" s="0" t="n">
        <f aca="true">MEDIAN(8,16,ROUND(NORMINV(RAND(),Coefficients!$B$20,Coefficients!$B$21),0))</f>
        <v>11</v>
      </c>
      <c r="D110" s="0" t="n">
        <f aca="true">CRITBINOM($C110,MIN(0.75,Matchup!$B$39*$B110),RAND())</f>
        <v>2</v>
      </c>
      <c r="E110" s="0" t="n">
        <f aca="true">CRITBINOM(D110,Coefficients!$B$30,RAND())</f>
        <v>0</v>
      </c>
      <c r="F110" s="0" t="n">
        <f aca="true">CRITBINOM(E110,Coefficients!$B$31,RAND())</f>
        <v>0</v>
      </c>
      <c r="G110" s="0" t="n">
        <f aca="true">CRITBINOM(MAX(0,D110-E110),1-Coefficients!$B$32,RAND())</f>
        <v>0</v>
      </c>
      <c r="H110" s="0" t="n">
        <f aca="true">CRITBINOM(MAX(0,$C110-D110),MIN(0.6,Matchup!$B$40*SQRT($B110)/(1-MIN(0.75,Matchup!$B$39*$B110))),RAND())</f>
        <v>3</v>
      </c>
      <c r="I110" s="0" t="n">
        <f aca="false">6*D110+(D110-E110-G110)+2*F110+3*H110</f>
        <v>23</v>
      </c>
      <c r="J110" s="0" t="n">
        <f aca="true">CRITBINOM($C110,MIN(0.75,Matchup!$C$39*$B110),RAND())</f>
        <v>3</v>
      </c>
      <c r="K110" s="0" t="n">
        <f aca="true">CRITBINOM(J110,Coefficients!$B$30,RAND())</f>
        <v>0</v>
      </c>
      <c r="L110" s="0" t="n">
        <f aca="true">CRITBINOM(K110,Coefficients!$B$31,RAND())</f>
        <v>0</v>
      </c>
      <c r="M110" s="0" t="n">
        <f aca="true">CRITBINOM(MAX(0,J110-K110),1-Coefficients!$B$32,RAND())</f>
        <v>1</v>
      </c>
      <c r="N110" s="0" t="n">
        <f aca="true">CRITBINOM(MAX(0,$C110-J110),MIN(0.6,Matchup!$C$40*SQRT($B110)/(1-MIN(0.75,Matchup!$C$39*$B110))),RAND())</f>
        <v>0</v>
      </c>
      <c r="O110" s="0" t="n">
        <f aca="false">6*J110+(J110-K110-M110)+2*L110+3*N110</f>
        <v>20</v>
      </c>
      <c r="P110" s="0" t="n">
        <f aca="true">RAND()</f>
        <v>0.763183493889586</v>
      </c>
      <c r="Q110" s="0" t="n">
        <f aca="true">RAND()</f>
        <v>0.457621417349553</v>
      </c>
      <c r="R110" s="0" t="n">
        <f aca="false">IF($I110&lt;&gt;$O110,0,IF(P110&lt;Matchup!$B$39,7,IF(P110&lt;Matchup!$B$39+Matchup!$B$40,3,0)))</f>
        <v>0</v>
      </c>
      <c r="S110" s="0" t="n">
        <f aca="false">IF($I110&lt;&gt;$O110,0,IF(Q110&lt;Matchup!$C$39,7,IF(Q110&lt;Matchup!$C$39+Matchup!$C$40,3,0)))</f>
        <v>0</v>
      </c>
      <c r="T110" s="0" t="n">
        <f aca="false">I110+R110</f>
        <v>23</v>
      </c>
      <c r="U110" s="0" t="n">
        <f aca="false">O110+S110</f>
        <v>20</v>
      </c>
      <c r="V110" s="0" t="n">
        <f aca="false">T110-U110</f>
        <v>3</v>
      </c>
      <c r="W110" s="0" t="n">
        <f aca="false">T110+U110</f>
        <v>43</v>
      </c>
    </row>
    <row r="111" customFormat="false" ht="15" hidden="false" customHeight="false" outlineLevel="0" collapsed="false">
      <c r="A111" s="0" t="n">
        <v>108</v>
      </c>
      <c r="B111" s="0" t="n">
        <f aca="true">NORMINV(RAND(),1,Coefficients!$B$22)</f>
        <v>1.04096583808081</v>
      </c>
      <c r="C111" s="0" t="n">
        <f aca="true">MEDIAN(8,16,ROUND(NORMINV(RAND(),Coefficients!$B$20,Coefficients!$B$21),0))</f>
        <v>10</v>
      </c>
      <c r="D111" s="0" t="n">
        <f aca="true">CRITBINOM($C111,MIN(0.75,Matchup!$B$39*$B111),RAND())</f>
        <v>1</v>
      </c>
      <c r="E111" s="0" t="n">
        <f aca="true">CRITBINOM(D111,Coefficients!$B$30,RAND())</f>
        <v>0</v>
      </c>
      <c r="F111" s="0" t="n">
        <f aca="true">CRITBINOM(E111,Coefficients!$B$31,RAND())</f>
        <v>0</v>
      </c>
      <c r="G111" s="0" t="n">
        <f aca="true">CRITBINOM(MAX(0,D111-E111),1-Coefficients!$B$32,RAND())</f>
        <v>0</v>
      </c>
      <c r="H111" s="0" t="n">
        <f aca="true">CRITBINOM(MAX(0,$C111-D111),MIN(0.6,Matchup!$B$40*SQRT($B111)/(1-MIN(0.75,Matchup!$B$39*$B111))),RAND())</f>
        <v>4</v>
      </c>
      <c r="I111" s="0" t="n">
        <f aca="false">6*D111+(D111-E111-G111)+2*F111+3*H111</f>
        <v>19</v>
      </c>
      <c r="J111" s="0" t="n">
        <f aca="true">CRITBINOM($C111,MIN(0.75,Matchup!$C$39*$B111),RAND())</f>
        <v>4</v>
      </c>
      <c r="K111" s="0" t="n">
        <f aca="true">CRITBINOM(J111,Coefficients!$B$30,RAND())</f>
        <v>1</v>
      </c>
      <c r="L111" s="0" t="n">
        <f aca="true">CRITBINOM(K111,Coefficients!$B$31,RAND())</f>
        <v>1</v>
      </c>
      <c r="M111" s="0" t="n">
        <f aca="true">CRITBINOM(MAX(0,J111-K111),1-Coefficients!$B$32,RAND())</f>
        <v>0</v>
      </c>
      <c r="N111" s="0" t="n">
        <f aca="true">CRITBINOM(MAX(0,$C111-J111),MIN(0.6,Matchup!$C$40*SQRT($B111)/(1-MIN(0.75,Matchup!$C$39*$B111))),RAND())</f>
        <v>2</v>
      </c>
      <c r="O111" s="0" t="n">
        <f aca="false">6*J111+(J111-K111-M111)+2*L111+3*N111</f>
        <v>35</v>
      </c>
      <c r="P111" s="0" t="n">
        <f aca="true">RAND()</f>
        <v>0.385031121906135</v>
      </c>
      <c r="Q111" s="0" t="n">
        <f aca="true">RAND()</f>
        <v>0.521165067773655</v>
      </c>
      <c r="R111" s="0" t="n">
        <f aca="false">IF($I111&lt;&gt;$O111,0,IF(P111&lt;Matchup!$B$39,7,IF(P111&lt;Matchup!$B$39+Matchup!$B$40,3,0)))</f>
        <v>0</v>
      </c>
      <c r="S111" s="0" t="n">
        <f aca="false">IF($I111&lt;&gt;$O111,0,IF(Q111&lt;Matchup!$C$39,7,IF(Q111&lt;Matchup!$C$39+Matchup!$C$40,3,0)))</f>
        <v>0</v>
      </c>
      <c r="T111" s="0" t="n">
        <f aca="false">I111+R111</f>
        <v>19</v>
      </c>
      <c r="U111" s="0" t="n">
        <f aca="false">O111+S111</f>
        <v>35</v>
      </c>
      <c r="V111" s="0" t="n">
        <f aca="false">T111-U111</f>
        <v>-16</v>
      </c>
      <c r="W111" s="0" t="n">
        <f aca="false">T111+U111</f>
        <v>54</v>
      </c>
    </row>
    <row r="112" customFormat="false" ht="15" hidden="false" customHeight="false" outlineLevel="0" collapsed="false">
      <c r="A112" s="0" t="n">
        <v>109</v>
      </c>
      <c r="B112" s="0" t="n">
        <f aca="true">NORMINV(RAND(),1,Coefficients!$B$22)</f>
        <v>1.02890904995838</v>
      </c>
      <c r="C112" s="0" t="n">
        <f aca="true">MEDIAN(8,16,ROUND(NORMINV(RAND(),Coefficients!$B$20,Coefficients!$B$21),0))</f>
        <v>11</v>
      </c>
      <c r="D112" s="0" t="n">
        <f aca="true">CRITBINOM($C112,MIN(0.75,Matchup!$B$39*$B112),RAND())</f>
        <v>6</v>
      </c>
      <c r="E112" s="0" t="n">
        <f aca="true">CRITBINOM(D112,Coefficients!$B$30,RAND())</f>
        <v>1</v>
      </c>
      <c r="F112" s="0" t="n">
        <f aca="true">CRITBINOM(E112,Coefficients!$B$31,RAND())</f>
        <v>0</v>
      </c>
      <c r="G112" s="0" t="n">
        <f aca="true">CRITBINOM(MAX(0,D112-E112),1-Coefficients!$B$32,RAND())</f>
        <v>0</v>
      </c>
      <c r="H112" s="0" t="n">
        <f aca="true">CRITBINOM(MAX(0,$C112-D112),MIN(0.6,Matchup!$B$40*SQRT($B112)/(1-MIN(0.75,Matchup!$B$39*$B112))),RAND())</f>
        <v>0</v>
      </c>
      <c r="I112" s="0" t="n">
        <f aca="false">6*D112+(D112-E112-G112)+2*F112+3*H112</f>
        <v>41</v>
      </c>
      <c r="J112" s="0" t="n">
        <f aca="true">CRITBINOM($C112,MIN(0.75,Matchup!$C$39*$B112),RAND())</f>
        <v>1</v>
      </c>
      <c r="K112" s="0" t="n">
        <f aca="true">CRITBINOM(J112,Coefficients!$B$30,RAND())</f>
        <v>0</v>
      </c>
      <c r="L112" s="0" t="n">
        <f aca="true">CRITBINOM(K112,Coefficients!$B$31,RAND())</f>
        <v>0</v>
      </c>
      <c r="M112" s="0" t="n">
        <f aca="true">CRITBINOM(MAX(0,J112-K112),1-Coefficients!$B$32,RAND())</f>
        <v>0</v>
      </c>
      <c r="N112" s="0" t="n">
        <f aca="true">CRITBINOM(MAX(0,$C112-J112),MIN(0.6,Matchup!$C$40*SQRT($B112)/(1-MIN(0.75,Matchup!$C$39*$B112))),RAND())</f>
        <v>1</v>
      </c>
      <c r="O112" s="0" t="n">
        <f aca="false">6*J112+(J112-K112-M112)+2*L112+3*N112</f>
        <v>10</v>
      </c>
      <c r="P112" s="0" t="n">
        <f aca="true">RAND()</f>
        <v>0.219333105226345</v>
      </c>
      <c r="Q112" s="0" t="n">
        <f aca="true">RAND()</f>
        <v>0.271766606625404</v>
      </c>
      <c r="R112" s="0" t="n">
        <f aca="false">IF($I112&lt;&gt;$O112,0,IF(P112&lt;Matchup!$B$39,7,IF(P112&lt;Matchup!$B$39+Matchup!$B$40,3,0)))</f>
        <v>0</v>
      </c>
      <c r="S112" s="0" t="n">
        <f aca="false">IF($I112&lt;&gt;$O112,0,IF(Q112&lt;Matchup!$C$39,7,IF(Q112&lt;Matchup!$C$39+Matchup!$C$40,3,0)))</f>
        <v>0</v>
      </c>
      <c r="T112" s="0" t="n">
        <f aca="false">I112+R112</f>
        <v>41</v>
      </c>
      <c r="U112" s="0" t="n">
        <f aca="false">O112+S112</f>
        <v>10</v>
      </c>
      <c r="V112" s="0" t="n">
        <f aca="false">T112-U112</f>
        <v>31</v>
      </c>
      <c r="W112" s="0" t="n">
        <f aca="false">T112+U112</f>
        <v>51</v>
      </c>
    </row>
    <row r="113" customFormat="false" ht="15" hidden="false" customHeight="false" outlineLevel="0" collapsed="false">
      <c r="A113" s="0" t="n">
        <v>110</v>
      </c>
      <c r="B113" s="0" t="n">
        <f aca="true">NORMINV(RAND(),1,Coefficients!$B$22)</f>
        <v>1.07538051371795</v>
      </c>
      <c r="C113" s="0" t="n">
        <f aca="true">MEDIAN(8,16,ROUND(NORMINV(RAND(),Coefficients!$B$20,Coefficients!$B$21),0))</f>
        <v>12</v>
      </c>
      <c r="D113" s="0" t="n">
        <f aca="true">CRITBINOM($C113,MIN(0.75,Matchup!$B$39*$B113),RAND())</f>
        <v>3</v>
      </c>
      <c r="E113" s="0" t="n">
        <f aca="true">CRITBINOM(D113,Coefficients!$B$30,RAND())</f>
        <v>0</v>
      </c>
      <c r="F113" s="0" t="n">
        <f aca="true">CRITBINOM(E113,Coefficients!$B$31,RAND())</f>
        <v>0</v>
      </c>
      <c r="G113" s="0" t="n">
        <f aca="true">CRITBINOM(MAX(0,D113-E113),1-Coefficients!$B$32,RAND())</f>
        <v>0</v>
      </c>
      <c r="H113" s="0" t="n">
        <f aca="true">CRITBINOM(MAX(0,$C113-D113),MIN(0.6,Matchup!$B$40*SQRT($B113)/(1-MIN(0.75,Matchup!$B$39*$B113))),RAND())</f>
        <v>0</v>
      </c>
      <c r="I113" s="0" t="n">
        <f aca="false">6*D113+(D113-E113-G113)+2*F113+3*H113</f>
        <v>21</v>
      </c>
      <c r="J113" s="0" t="n">
        <f aca="true">CRITBINOM($C113,MIN(0.75,Matchup!$C$39*$B113),RAND())</f>
        <v>3</v>
      </c>
      <c r="K113" s="0" t="n">
        <f aca="true">CRITBINOM(J113,Coefficients!$B$30,RAND())</f>
        <v>0</v>
      </c>
      <c r="L113" s="0" t="n">
        <f aca="true">CRITBINOM(K113,Coefficients!$B$31,RAND())</f>
        <v>0</v>
      </c>
      <c r="M113" s="0" t="n">
        <f aca="true">CRITBINOM(MAX(0,J113-K113),1-Coefficients!$B$32,RAND())</f>
        <v>0</v>
      </c>
      <c r="N113" s="0" t="n">
        <f aca="true">CRITBINOM(MAX(0,$C113-J113),MIN(0.6,Matchup!$C$40*SQRT($B113)/(1-MIN(0.75,Matchup!$C$39*$B113))),RAND())</f>
        <v>1</v>
      </c>
      <c r="O113" s="0" t="n">
        <f aca="false">6*J113+(J113-K113-M113)+2*L113+3*N113</f>
        <v>24</v>
      </c>
      <c r="P113" s="0" t="n">
        <f aca="true">RAND()</f>
        <v>0.243667952623226</v>
      </c>
      <c r="Q113" s="0" t="n">
        <f aca="true">RAND()</f>
        <v>0.847327828373808</v>
      </c>
      <c r="R113" s="0" t="n">
        <f aca="false">IF($I113&lt;&gt;$O113,0,IF(P113&lt;Matchup!$B$39,7,IF(P113&lt;Matchup!$B$39+Matchup!$B$40,3,0)))</f>
        <v>0</v>
      </c>
      <c r="S113" s="0" t="n">
        <f aca="false">IF($I113&lt;&gt;$O113,0,IF(Q113&lt;Matchup!$C$39,7,IF(Q113&lt;Matchup!$C$39+Matchup!$C$40,3,0)))</f>
        <v>0</v>
      </c>
      <c r="T113" s="0" t="n">
        <f aca="false">I113+R113</f>
        <v>21</v>
      </c>
      <c r="U113" s="0" t="n">
        <f aca="false">O113+S113</f>
        <v>24</v>
      </c>
      <c r="V113" s="0" t="n">
        <f aca="false">T113-U113</f>
        <v>-3</v>
      </c>
      <c r="W113" s="0" t="n">
        <f aca="false">T113+U113</f>
        <v>45</v>
      </c>
    </row>
    <row r="114" customFormat="false" ht="15" hidden="false" customHeight="false" outlineLevel="0" collapsed="false">
      <c r="A114" s="0" t="n">
        <v>111</v>
      </c>
      <c r="B114" s="0" t="n">
        <f aca="true">NORMINV(RAND(),1,Coefficients!$B$22)</f>
        <v>0.894910700826031</v>
      </c>
      <c r="C114" s="0" t="n">
        <f aca="true">MEDIAN(8,16,ROUND(NORMINV(RAND(),Coefficients!$B$20,Coefficients!$B$21),0))</f>
        <v>9</v>
      </c>
      <c r="D114" s="0" t="n">
        <f aca="true">CRITBINOM($C114,MIN(0.75,Matchup!$B$39*$B114),RAND())</f>
        <v>2</v>
      </c>
      <c r="E114" s="0" t="n">
        <f aca="true">CRITBINOM(D114,Coefficients!$B$30,RAND())</f>
        <v>1</v>
      </c>
      <c r="F114" s="0" t="n">
        <f aca="true">CRITBINOM(E114,Coefficients!$B$31,RAND())</f>
        <v>0</v>
      </c>
      <c r="G114" s="0" t="n">
        <f aca="true">CRITBINOM(MAX(0,D114-E114),1-Coefficients!$B$32,RAND())</f>
        <v>0</v>
      </c>
      <c r="H114" s="0" t="n">
        <f aca="true">CRITBINOM(MAX(0,$C114-D114),MIN(0.6,Matchup!$B$40*SQRT($B114)/(1-MIN(0.75,Matchup!$B$39*$B114))),RAND())</f>
        <v>1</v>
      </c>
      <c r="I114" s="0" t="n">
        <f aca="false">6*D114+(D114-E114-G114)+2*F114+3*H114</f>
        <v>16</v>
      </c>
      <c r="J114" s="0" t="n">
        <f aca="true">CRITBINOM($C114,MIN(0.75,Matchup!$C$39*$B114),RAND())</f>
        <v>1</v>
      </c>
      <c r="K114" s="0" t="n">
        <f aca="true">CRITBINOM(J114,Coefficients!$B$30,RAND())</f>
        <v>0</v>
      </c>
      <c r="L114" s="0" t="n">
        <f aca="true">CRITBINOM(K114,Coefficients!$B$31,RAND())</f>
        <v>0</v>
      </c>
      <c r="M114" s="0" t="n">
        <f aca="true">CRITBINOM(MAX(0,J114-K114),1-Coefficients!$B$32,RAND())</f>
        <v>0</v>
      </c>
      <c r="N114" s="0" t="n">
        <f aca="true">CRITBINOM(MAX(0,$C114-J114),MIN(0.6,Matchup!$C$40*SQRT($B114)/(1-MIN(0.75,Matchup!$C$39*$B114))),RAND())</f>
        <v>2</v>
      </c>
      <c r="O114" s="0" t="n">
        <f aca="false">6*J114+(J114-K114-M114)+2*L114+3*N114</f>
        <v>13</v>
      </c>
      <c r="P114" s="0" t="n">
        <f aca="true">RAND()</f>
        <v>0.82711579726726</v>
      </c>
      <c r="Q114" s="0" t="n">
        <f aca="true">RAND()</f>
        <v>0.395575394138516</v>
      </c>
      <c r="R114" s="0" t="n">
        <f aca="false">IF($I114&lt;&gt;$O114,0,IF(P114&lt;Matchup!$B$39,7,IF(P114&lt;Matchup!$B$39+Matchup!$B$40,3,0)))</f>
        <v>0</v>
      </c>
      <c r="S114" s="0" t="n">
        <f aca="false">IF($I114&lt;&gt;$O114,0,IF(Q114&lt;Matchup!$C$39,7,IF(Q114&lt;Matchup!$C$39+Matchup!$C$40,3,0)))</f>
        <v>0</v>
      </c>
      <c r="T114" s="0" t="n">
        <f aca="false">I114+R114</f>
        <v>16</v>
      </c>
      <c r="U114" s="0" t="n">
        <f aca="false">O114+S114</f>
        <v>13</v>
      </c>
      <c r="V114" s="0" t="n">
        <f aca="false">T114-U114</f>
        <v>3</v>
      </c>
      <c r="W114" s="0" t="n">
        <f aca="false">T114+U114</f>
        <v>29</v>
      </c>
    </row>
    <row r="115" customFormat="false" ht="15" hidden="false" customHeight="false" outlineLevel="0" collapsed="false">
      <c r="A115" s="0" t="n">
        <v>112</v>
      </c>
      <c r="B115" s="0" t="n">
        <f aca="true">NORMINV(RAND(),1,Coefficients!$B$22)</f>
        <v>1.16957857617424</v>
      </c>
      <c r="C115" s="0" t="n">
        <f aca="true">MEDIAN(8,16,ROUND(NORMINV(RAND(),Coefficients!$B$20,Coefficients!$B$21),0))</f>
        <v>11</v>
      </c>
      <c r="D115" s="0" t="n">
        <f aca="true">CRITBINOM($C115,MIN(0.75,Matchup!$B$39*$B115),RAND())</f>
        <v>1</v>
      </c>
      <c r="E115" s="0" t="n">
        <f aca="true">CRITBINOM(D115,Coefficients!$B$30,RAND())</f>
        <v>0</v>
      </c>
      <c r="F115" s="0" t="n">
        <f aca="true">CRITBINOM(E115,Coefficients!$B$31,RAND())</f>
        <v>0</v>
      </c>
      <c r="G115" s="0" t="n">
        <f aca="true">CRITBINOM(MAX(0,D115-E115),1-Coefficients!$B$32,RAND())</f>
        <v>0</v>
      </c>
      <c r="H115" s="0" t="n">
        <f aca="true">CRITBINOM(MAX(0,$C115-D115),MIN(0.6,Matchup!$B$40*SQRT($B115)/(1-MIN(0.75,Matchup!$B$39*$B115))),RAND())</f>
        <v>3</v>
      </c>
      <c r="I115" s="0" t="n">
        <f aca="false">6*D115+(D115-E115-G115)+2*F115+3*H115</f>
        <v>16</v>
      </c>
      <c r="J115" s="0" t="n">
        <f aca="true">CRITBINOM($C115,MIN(0.75,Matchup!$C$39*$B115),RAND())</f>
        <v>4</v>
      </c>
      <c r="K115" s="0" t="n">
        <f aca="true">CRITBINOM(J115,Coefficients!$B$30,RAND())</f>
        <v>0</v>
      </c>
      <c r="L115" s="0" t="n">
        <f aca="true">CRITBINOM(K115,Coefficients!$B$31,RAND())</f>
        <v>0</v>
      </c>
      <c r="M115" s="0" t="n">
        <f aca="true">CRITBINOM(MAX(0,J115-K115),1-Coefficients!$B$32,RAND())</f>
        <v>0</v>
      </c>
      <c r="N115" s="0" t="n">
        <f aca="true">CRITBINOM(MAX(0,$C115-J115),MIN(0.6,Matchup!$C$40*SQRT($B115)/(1-MIN(0.75,Matchup!$C$39*$B115))),RAND())</f>
        <v>1</v>
      </c>
      <c r="O115" s="0" t="n">
        <f aca="false">6*J115+(J115-K115-M115)+2*L115+3*N115</f>
        <v>31</v>
      </c>
      <c r="P115" s="0" t="n">
        <f aca="true">RAND()</f>
        <v>0.413590710644948</v>
      </c>
      <c r="Q115" s="0" t="n">
        <f aca="true">RAND()</f>
        <v>0.828473625721886</v>
      </c>
      <c r="R115" s="0" t="n">
        <f aca="false">IF($I115&lt;&gt;$O115,0,IF(P115&lt;Matchup!$B$39,7,IF(P115&lt;Matchup!$B$39+Matchup!$B$40,3,0)))</f>
        <v>0</v>
      </c>
      <c r="S115" s="0" t="n">
        <f aca="false">IF($I115&lt;&gt;$O115,0,IF(Q115&lt;Matchup!$C$39,7,IF(Q115&lt;Matchup!$C$39+Matchup!$C$40,3,0)))</f>
        <v>0</v>
      </c>
      <c r="T115" s="0" t="n">
        <f aca="false">I115+R115</f>
        <v>16</v>
      </c>
      <c r="U115" s="0" t="n">
        <f aca="false">O115+S115</f>
        <v>31</v>
      </c>
      <c r="V115" s="0" t="n">
        <f aca="false">T115-U115</f>
        <v>-15</v>
      </c>
      <c r="W115" s="0" t="n">
        <f aca="false">T115+U115</f>
        <v>47</v>
      </c>
    </row>
    <row r="116" customFormat="false" ht="15" hidden="false" customHeight="false" outlineLevel="0" collapsed="false">
      <c r="A116" s="0" t="n">
        <v>113</v>
      </c>
      <c r="B116" s="0" t="n">
        <f aca="true">NORMINV(RAND(),1,Coefficients!$B$22)</f>
        <v>1.01703745032528</v>
      </c>
      <c r="C116" s="0" t="n">
        <f aca="true">MEDIAN(8,16,ROUND(NORMINV(RAND(),Coefficients!$B$20,Coefficients!$B$21),0))</f>
        <v>11</v>
      </c>
      <c r="D116" s="0" t="n">
        <f aca="true">CRITBINOM($C116,MIN(0.75,Matchup!$B$39*$B116),RAND())</f>
        <v>1</v>
      </c>
      <c r="E116" s="0" t="n">
        <f aca="true">CRITBINOM(D116,Coefficients!$B$30,RAND())</f>
        <v>0</v>
      </c>
      <c r="F116" s="0" t="n">
        <f aca="true">CRITBINOM(E116,Coefficients!$B$31,RAND())</f>
        <v>0</v>
      </c>
      <c r="G116" s="0" t="n">
        <f aca="true">CRITBINOM(MAX(0,D116-E116),1-Coefficients!$B$32,RAND())</f>
        <v>0</v>
      </c>
      <c r="H116" s="0" t="n">
        <f aca="true">CRITBINOM(MAX(0,$C116-D116),MIN(0.6,Matchup!$B$40*SQRT($B116)/(1-MIN(0.75,Matchup!$B$39*$B116))),RAND())</f>
        <v>1</v>
      </c>
      <c r="I116" s="0" t="n">
        <f aca="false">6*D116+(D116-E116-G116)+2*F116+3*H116</f>
        <v>10</v>
      </c>
      <c r="J116" s="0" t="n">
        <f aca="true">CRITBINOM($C116,MIN(0.75,Matchup!$C$39*$B116),RAND())</f>
        <v>2</v>
      </c>
      <c r="K116" s="0" t="n">
        <f aca="true">CRITBINOM(J116,Coefficients!$B$30,RAND())</f>
        <v>0</v>
      </c>
      <c r="L116" s="0" t="n">
        <f aca="true">CRITBINOM(K116,Coefficients!$B$31,RAND())</f>
        <v>0</v>
      </c>
      <c r="M116" s="0" t="n">
        <f aca="true">CRITBINOM(MAX(0,J116-K116),1-Coefficients!$B$32,RAND())</f>
        <v>0</v>
      </c>
      <c r="N116" s="0" t="n">
        <f aca="true">CRITBINOM(MAX(0,$C116-J116),MIN(0.6,Matchup!$C$40*SQRT($B116)/(1-MIN(0.75,Matchup!$C$39*$B116))),RAND())</f>
        <v>1</v>
      </c>
      <c r="O116" s="0" t="n">
        <f aca="false">6*J116+(J116-K116-M116)+2*L116+3*N116</f>
        <v>17</v>
      </c>
      <c r="P116" s="0" t="n">
        <f aca="true">RAND()</f>
        <v>0.700853984557164</v>
      </c>
      <c r="Q116" s="0" t="n">
        <f aca="true">RAND()</f>
        <v>0.988084998084291</v>
      </c>
      <c r="R116" s="0" t="n">
        <f aca="false">IF($I116&lt;&gt;$O116,0,IF(P116&lt;Matchup!$B$39,7,IF(P116&lt;Matchup!$B$39+Matchup!$B$40,3,0)))</f>
        <v>0</v>
      </c>
      <c r="S116" s="0" t="n">
        <f aca="false">IF($I116&lt;&gt;$O116,0,IF(Q116&lt;Matchup!$C$39,7,IF(Q116&lt;Matchup!$C$39+Matchup!$C$40,3,0)))</f>
        <v>0</v>
      </c>
      <c r="T116" s="0" t="n">
        <f aca="false">I116+R116</f>
        <v>10</v>
      </c>
      <c r="U116" s="0" t="n">
        <f aca="false">O116+S116</f>
        <v>17</v>
      </c>
      <c r="V116" s="0" t="n">
        <f aca="false">T116-U116</f>
        <v>-7</v>
      </c>
      <c r="W116" s="0" t="n">
        <f aca="false">T116+U116</f>
        <v>27</v>
      </c>
    </row>
    <row r="117" customFormat="false" ht="15" hidden="false" customHeight="false" outlineLevel="0" collapsed="false">
      <c r="A117" s="0" t="n">
        <v>114</v>
      </c>
      <c r="B117" s="0" t="n">
        <f aca="true">NORMINV(RAND(),1,Coefficients!$B$22)</f>
        <v>1.02607800431913</v>
      </c>
      <c r="C117" s="0" t="n">
        <f aca="true">MEDIAN(8,16,ROUND(NORMINV(RAND(),Coefficients!$B$20,Coefficients!$B$21),0))</f>
        <v>12</v>
      </c>
      <c r="D117" s="0" t="n">
        <f aca="true">CRITBINOM($C117,MIN(0.75,Matchup!$B$39*$B117),RAND())</f>
        <v>2</v>
      </c>
      <c r="E117" s="0" t="n">
        <f aca="true">CRITBINOM(D117,Coefficients!$B$30,RAND())</f>
        <v>0</v>
      </c>
      <c r="F117" s="0" t="n">
        <f aca="true">CRITBINOM(E117,Coefficients!$B$31,RAND())</f>
        <v>0</v>
      </c>
      <c r="G117" s="0" t="n">
        <f aca="true">CRITBINOM(MAX(0,D117-E117),1-Coefficients!$B$32,RAND())</f>
        <v>0</v>
      </c>
      <c r="H117" s="0" t="n">
        <f aca="true">CRITBINOM(MAX(0,$C117-D117),MIN(0.6,Matchup!$B$40*SQRT($B117)/(1-MIN(0.75,Matchup!$B$39*$B117))),RAND())</f>
        <v>3</v>
      </c>
      <c r="I117" s="0" t="n">
        <f aca="false">6*D117+(D117-E117-G117)+2*F117+3*H117</f>
        <v>23</v>
      </c>
      <c r="J117" s="0" t="n">
        <f aca="true">CRITBINOM($C117,MIN(0.75,Matchup!$C$39*$B117),RAND())</f>
        <v>3</v>
      </c>
      <c r="K117" s="0" t="n">
        <f aca="true">CRITBINOM(J117,Coefficients!$B$30,RAND())</f>
        <v>0</v>
      </c>
      <c r="L117" s="0" t="n">
        <f aca="true">CRITBINOM(K117,Coefficients!$B$31,RAND())</f>
        <v>0</v>
      </c>
      <c r="M117" s="0" t="n">
        <f aca="true">CRITBINOM(MAX(0,J117-K117),1-Coefficients!$B$32,RAND())</f>
        <v>0</v>
      </c>
      <c r="N117" s="0" t="n">
        <f aca="true">CRITBINOM(MAX(0,$C117-J117),MIN(0.6,Matchup!$C$40*SQRT($B117)/(1-MIN(0.75,Matchup!$C$39*$B117))),RAND())</f>
        <v>0</v>
      </c>
      <c r="O117" s="0" t="n">
        <f aca="false">6*J117+(J117-K117-M117)+2*L117+3*N117</f>
        <v>21</v>
      </c>
      <c r="P117" s="0" t="n">
        <f aca="true">RAND()</f>
        <v>0.420486675274341</v>
      </c>
      <c r="Q117" s="0" t="n">
        <f aca="true">RAND()</f>
        <v>0.126416859101019</v>
      </c>
      <c r="R117" s="0" t="n">
        <f aca="false">IF($I117&lt;&gt;$O117,0,IF(P117&lt;Matchup!$B$39,7,IF(P117&lt;Matchup!$B$39+Matchup!$B$40,3,0)))</f>
        <v>0</v>
      </c>
      <c r="S117" s="0" t="n">
        <f aca="false">IF($I117&lt;&gt;$O117,0,IF(Q117&lt;Matchup!$C$39,7,IF(Q117&lt;Matchup!$C$39+Matchup!$C$40,3,0)))</f>
        <v>0</v>
      </c>
      <c r="T117" s="0" t="n">
        <f aca="false">I117+R117</f>
        <v>23</v>
      </c>
      <c r="U117" s="0" t="n">
        <f aca="false">O117+S117</f>
        <v>21</v>
      </c>
      <c r="V117" s="0" t="n">
        <f aca="false">T117-U117</f>
        <v>2</v>
      </c>
      <c r="W117" s="0" t="n">
        <f aca="false">T117+U117</f>
        <v>44</v>
      </c>
    </row>
    <row r="118" customFormat="false" ht="15" hidden="false" customHeight="false" outlineLevel="0" collapsed="false">
      <c r="A118" s="0" t="n">
        <v>115</v>
      </c>
      <c r="B118" s="0" t="n">
        <f aca="true">NORMINV(RAND(),1,Coefficients!$B$22)</f>
        <v>0.996194619755428</v>
      </c>
      <c r="C118" s="0" t="n">
        <f aca="true">MEDIAN(8,16,ROUND(NORMINV(RAND(),Coefficients!$B$20,Coefficients!$B$21),0))</f>
        <v>13</v>
      </c>
      <c r="D118" s="0" t="n">
        <f aca="true">CRITBINOM($C118,MIN(0.75,Matchup!$B$39*$B118),RAND())</f>
        <v>0</v>
      </c>
      <c r="E118" s="0" t="n">
        <f aca="true">CRITBINOM(D118,Coefficients!$B$30,RAND())</f>
        <v>0</v>
      </c>
      <c r="F118" s="0" t="n">
        <f aca="true">CRITBINOM(E118,Coefficients!$B$31,RAND())</f>
        <v>0</v>
      </c>
      <c r="G118" s="0" t="n">
        <f aca="true">CRITBINOM(MAX(0,D118-E118),1-Coefficients!$B$32,RAND())</f>
        <v>0</v>
      </c>
      <c r="H118" s="0" t="n">
        <f aca="true">CRITBINOM(MAX(0,$C118-D118),MIN(0.6,Matchup!$B$40*SQRT($B118)/(1-MIN(0.75,Matchup!$B$39*$B118))),RAND())</f>
        <v>4</v>
      </c>
      <c r="I118" s="0" t="n">
        <f aca="false">6*D118+(D118-E118-G118)+2*F118+3*H118</f>
        <v>12</v>
      </c>
      <c r="J118" s="0" t="n">
        <f aca="true">CRITBINOM($C118,MIN(0.75,Matchup!$C$39*$B118),RAND())</f>
        <v>4</v>
      </c>
      <c r="K118" s="0" t="n">
        <f aca="true">CRITBINOM(J118,Coefficients!$B$30,RAND())</f>
        <v>1</v>
      </c>
      <c r="L118" s="0" t="n">
        <f aca="true">CRITBINOM(K118,Coefficients!$B$31,RAND())</f>
        <v>1</v>
      </c>
      <c r="M118" s="0" t="n">
        <f aca="true">CRITBINOM(MAX(0,J118-K118),1-Coefficients!$B$32,RAND())</f>
        <v>0</v>
      </c>
      <c r="N118" s="0" t="n">
        <f aca="true">CRITBINOM(MAX(0,$C118-J118),MIN(0.6,Matchup!$C$40*SQRT($B118)/(1-MIN(0.75,Matchup!$C$39*$B118))),RAND())</f>
        <v>1</v>
      </c>
      <c r="O118" s="0" t="n">
        <f aca="false">6*J118+(J118-K118-M118)+2*L118+3*N118</f>
        <v>32</v>
      </c>
      <c r="P118" s="0" t="n">
        <f aca="true">RAND()</f>
        <v>0.936750129653395</v>
      </c>
      <c r="Q118" s="0" t="n">
        <f aca="true">RAND()</f>
        <v>0.735148577485198</v>
      </c>
      <c r="R118" s="0" t="n">
        <f aca="false">IF($I118&lt;&gt;$O118,0,IF(P118&lt;Matchup!$B$39,7,IF(P118&lt;Matchup!$B$39+Matchup!$B$40,3,0)))</f>
        <v>0</v>
      </c>
      <c r="S118" s="0" t="n">
        <f aca="false">IF($I118&lt;&gt;$O118,0,IF(Q118&lt;Matchup!$C$39,7,IF(Q118&lt;Matchup!$C$39+Matchup!$C$40,3,0)))</f>
        <v>0</v>
      </c>
      <c r="T118" s="0" t="n">
        <f aca="false">I118+R118</f>
        <v>12</v>
      </c>
      <c r="U118" s="0" t="n">
        <f aca="false">O118+S118</f>
        <v>32</v>
      </c>
      <c r="V118" s="0" t="n">
        <f aca="false">T118-U118</f>
        <v>-20</v>
      </c>
      <c r="W118" s="0" t="n">
        <f aca="false">T118+U118</f>
        <v>44</v>
      </c>
    </row>
    <row r="119" customFormat="false" ht="15" hidden="false" customHeight="false" outlineLevel="0" collapsed="false">
      <c r="A119" s="0" t="n">
        <v>116</v>
      </c>
      <c r="B119" s="0" t="n">
        <f aca="true">NORMINV(RAND(),1,Coefficients!$B$22)</f>
        <v>0.936289684487164</v>
      </c>
      <c r="C119" s="0" t="n">
        <f aca="true">MEDIAN(8,16,ROUND(NORMINV(RAND(),Coefficients!$B$20,Coefficients!$B$21),0))</f>
        <v>12</v>
      </c>
      <c r="D119" s="0" t="n">
        <f aca="true">CRITBINOM($C119,MIN(0.75,Matchup!$B$39*$B119),RAND())</f>
        <v>5</v>
      </c>
      <c r="E119" s="0" t="n">
        <f aca="true">CRITBINOM(D119,Coefficients!$B$30,RAND())</f>
        <v>0</v>
      </c>
      <c r="F119" s="0" t="n">
        <f aca="true">CRITBINOM(E119,Coefficients!$B$31,RAND())</f>
        <v>0</v>
      </c>
      <c r="G119" s="0" t="n">
        <f aca="true">CRITBINOM(MAX(0,D119-E119),1-Coefficients!$B$32,RAND())</f>
        <v>0</v>
      </c>
      <c r="H119" s="0" t="n">
        <f aca="true">CRITBINOM(MAX(0,$C119-D119),MIN(0.6,Matchup!$B$40*SQRT($B119)/(1-MIN(0.75,Matchup!$B$39*$B119))),RAND())</f>
        <v>1</v>
      </c>
      <c r="I119" s="0" t="n">
        <f aca="false">6*D119+(D119-E119-G119)+2*F119+3*H119</f>
        <v>38</v>
      </c>
      <c r="J119" s="0" t="n">
        <f aca="true">CRITBINOM($C119,MIN(0.75,Matchup!$C$39*$B119),RAND())</f>
        <v>2</v>
      </c>
      <c r="K119" s="0" t="n">
        <f aca="true">CRITBINOM(J119,Coefficients!$B$30,RAND())</f>
        <v>0</v>
      </c>
      <c r="L119" s="0" t="n">
        <f aca="true">CRITBINOM(K119,Coefficients!$B$31,RAND())</f>
        <v>0</v>
      </c>
      <c r="M119" s="0" t="n">
        <f aca="true">CRITBINOM(MAX(0,J119-K119),1-Coefficients!$B$32,RAND())</f>
        <v>0</v>
      </c>
      <c r="N119" s="0" t="n">
        <f aca="true">CRITBINOM(MAX(0,$C119-J119),MIN(0.6,Matchup!$C$40*SQRT($B119)/(1-MIN(0.75,Matchup!$C$39*$B119))),RAND())</f>
        <v>2</v>
      </c>
      <c r="O119" s="0" t="n">
        <f aca="false">6*J119+(J119-K119-M119)+2*L119+3*N119</f>
        <v>20</v>
      </c>
      <c r="P119" s="0" t="n">
        <f aca="true">RAND()</f>
        <v>0.21013842429813</v>
      </c>
      <c r="Q119" s="0" t="n">
        <f aca="true">RAND()</f>
        <v>0.533042537555224</v>
      </c>
      <c r="R119" s="0" t="n">
        <f aca="false">IF($I119&lt;&gt;$O119,0,IF(P119&lt;Matchup!$B$39,7,IF(P119&lt;Matchup!$B$39+Matchup!$B$40,3,0)))</f>
        <v>0</v>
      </c>
      <c r="S119" s="0" t="n">
        <f aca="false">IF($I119&lt;&gt;$O119,0,IF(Q119&lt;Matchup!$C$39,7,IF(Q119&lt;Matchup!$C$39+Matchup!$C$40,3,0)))</f>
        <v>0</v>
      </c>
      <c r="T119" s="0" t="n">
        <f aca="false">I119+R119</f>
        <v>38</v>
      </c>
      <c r="U119" s="0" t="n">
        <f aca="false">O119+S119</f>
        <v>20</v>
      </c>
      <c r="V119" s="0" t="n">
        <f aca="false">T119-U119</f>
        <v>18</v>
      </c>
      <c r="W119" s="0" t="n">
        <f aca="false">T119+U119</f>
        <v>58</v>
      </c>
    </row>
    <row r="120" customFormat="false" ht="15" hidden="false" customHeight="false" outlineLevel="0" collapsed="false">
      <c r="A120" s="0" t="n">
        <v>117</v>
      </c>
      <c r="B120" s="0" t="n">
        <f aca="true">NORMINV(RAND(),1,Coefficients!$B$22)</f>
        <v>0.981120097862135</v>
      </c>
      <c r="C120" s="0" t="n">
        <f aca="true">MEDIAN(8,16,ROUND(NORMINV(RAND(),Coefficients!$B$20,Coefficients!$B$21),0))</f>
        <v>10</v>
      </c>
      <c r="D120" s="0" t="n">
        <f aca="true">CRITBINOM($C120,MIN(0.75,Matchup!$B$39*$B120),RAND())</f>
        <v>1</v>
      </c>
      <c r="E120" s="0" t="n">
        <f aca="true">CRITBINOM(D120,Coefficients!$B$30,RAND())</f>
        <v>0</v>
      </c>
      <c r="F120" s="0" t="n">
        <f aca="true">CRITBINOM(E120,Coefficients!$B$31,RAND())</f>
        <v>0</v>
      </c>
      <c r="G120" s="0" t="n">
        <f aca="true">CRITBINOM(MAX(0,D120-E120),1-Coefficients!$B$32,RAND())</f>
        <v>0</v>
      </c>
      <c r="H120" s="0" t="n">
        <f aca="true">CRITBINOM(MAX(0,$C120-D120),MIN(0.6,Matchup!$B$40*SQRT($B120)/(1-MIN(0.75,Matchup!$B$39*$B120))),RAND())</f>
        <v>1</v>
      </c>
      <c r="I120" s="0" t="n">
        <f aca="false">6*D120+(D120-E120-G120)+2*F120+3*H120</f>
        <v>10</v>
      </c>
      <c r="J120" s="0" t="n">
        <f aca="true">CRITBINOM($C120,MIN(0.75,Matchup!$C$39*$B120),RAND())</f>
        <v>4</v>
      </c>
      <c r="K120" s="0" t="n">
        <f aca="true">CRITBINOM(J120,Coefficients!$B$30,RAND())</f>
        <v>0</v>
      </c>
      <c r="L120" s="0" t="n">
        <f aca="true">CRITBINOM(K120,Coefficients!$B$31,RAND())</f>
        <v>0</v>
      </c>
      <c r="M120" s="0" t="n">
        <f aca="true">CRITBINOM(MAX(0,J120-K120),1-Coefficients!$B$32,RAND())</f>
        <v>1</v>
      </c>
      <c r="N120" s="0" t="n">
        <f aca="true">CRITBINOM(MAX(0,$C120-J120),MIN(0.6,Matchup!$C$40*SQRT($B120)/(1-MIN(0.75,Matchup!$C$39*$B120))),RAND())</f>
        <v>2</v>
      </c>
      <c r="O120" s="0" t="n">
        <f aca="false">6*J120+(J120-K120-M120)+2*L120+3*N120</f>
        <v>33</v>
      </c>
      <c r="P120" s="0" t="n">
        <f aca="true">RAND()</f>
        <v>0.955504305399818</v>
      </c>
      <c r="Q120" s="0" t="n">
        <f aca="true">RAND()</f>
        <v>0.500388307930901</v>
      </c>
      <c r="R120" s="0" t="n">
        <f aca="false">IF($I120&lt;&gt;$O120,0,IF(P120&lt;Matchup!$B$39,7,IF(P120&lt;Matchup!$B$39+Matchup!$B$40,3,0)))</f>
        <v>0</v>
      </c>
      <c r="S120" s="0" t="n">
        <f aca="false">IF($I120&lt;&gt;$O120,0,IF(Q120&lt;Matchup!$C$39,7,IF(Q120&lt;Matchup!$C$39+Matchup!$C$40,3,0)))</f>
        <v>0</v>
      </c>
      <c r="T120" s="0" t="n">
        <f aca="false">I120+R120</f>
        <v>10</v>
      </c>
      <c r="U120" s="0" t="n">
        <f aca="false">O120+S120</f>
        <v>33</v>
      </c>
      <c r="V120" s="0" t="n">
        <f aca="false">T120-U120</f>
        <v>-23</v>
      </c>
      <c r="W120" s="0" t="n">
        <f aca="false">T120+U120</f>
        <v>43</v>
      </c>
    </row>
    <row r="121" customFormat="false" ht="15" hidden="false" customHeight="false" outlineLevel="0" collapsed="false">
      <c r="A121" s="0" t="n">
        <v>118</v>
      </c>
      <c r="B121" s="0" t="n">
        <f aca="true">NORMINV(RAND(),1,Coefficients!$B$22)</f>
        <v>0.995811276120904</v>
      </c>
      <c r="C121" s="0" t="n">
        <f aca="true">MEDIAN(8,16,ROUND(NORMINV(RAND(),Coefficients!$B$20,Coefficients!$B$21),0))</f>
        <v>10</v>
      </c>
      <c r="D121" s="0" t="n">
        <f aca="true">CRITBINOM($C121,MIN(0.75,Matchup!$B$39*$B121),RAND())</f>
        <v>4</v>
      </c>
      <c r="E121" s="0" t="n">
        <f aca="true">CRITBINOM(D121,Coefficients!$B$30,RAND())</f>
        <v>1</v>
      </c>
      <c r="F121" s="0" t="n">
        <f aca="true">CRITBINOM(E121,Coefficients!$B$31,RAND())</f>
        <v>0</v>
      </c>
      <c r="G121" s="0" t="n">
        <f aca="true">CRITBINOM(MAX(0,D121-E121),1-Coefficients!$B$32,RAND())</f>
        <v>0</v>
      </c>
      <c r="H121" s="0" t="n">
        <f aca="true">CRITBINOM(MAX(0,$C121-D121),MIN(0.6,Matchup!$B$40*SQRT($B121)/(1-MIN(0.75,Matchup!$B$39*$B121))),RAND())</f>
        <v>0</v>
      </c>
      <c r="I121" s="0" t="n">
        <f aca="false">6*D121+(D121-E121-G121)+2*F121+3*H121</f>
        <v>27</v>
      </c>
      <c r="J121" s="0" t="n">
        <f aca="true">CRITBINOM($C121,MIN(0.75,Matchup!$C$39*$B121),RAND())</f>
        <v>4</v>
      </c>
      <c r="K121" s="0" t="n">
        <f aca="true">CRITBINOM(J121,Coefficients!$B$30,RAND())</f>
        <v>1</v>
      </c>
      <c r="L121" s="0" t="n">
        <f aca="true">CRITBINOM(K121,Coefficients!$B$31,RAND())</f>
        <v>0</v>
      </c>
      <c r="M121" s="0" t="n">
        <f aca="true">CRITBINOM(MAX(0,J121-K121),1-Coefficients!$B$32,RAND())</f>
        <v>0</v>
      </c>
      <c r="N121" s="0" t="n">
        <f aca="true">CRITBINOM(MAX(0,$C121-J121),MIN(0.6,Matchup!$C$40*SQRT($B121)/(1-MIN(0.75,Matchup!$C$39*$B121))),RAND())</f>
        <v>2</v>
      </c>
      <c r="O121" s="0" t="n">
        <f aca="false">6*J121+(J121-K121-M121)+2*L121+3*N121</f>
        <v>33</v>
      </c>
      <c r="P121" s="0" t="n">
        <f aca="true">RAND()</f>
        <v>0.620215208057354</v>
      </c>
      <c r="Q121" s="0" t="n">
        <f aca="true">RAND()</f>
        <v>0.667587851591366</v>
      </c>
      <c r="R121" s="0" t="n">
        <f aca="false">IF($I121&lt;&gt;$O121,0,IF(P121&lt;Matchup!$B$39,7,IF(P121&lt;Matchup!$B$39+Matchup!$B$40,3,0)))</f>
        <v>0</v>
      </c>
      <c r="S121" s="0" t="n">
        <f aca="false">IF($I121&lt;&gt;$O121,0,IF(Q121&lt;Matchup!$C$39,7,IF(Q121&lt;Matchup!$C$39+Matchup!$C$40,3,0)))</f>
        <v>0</v>
      </c>
      <c r="T121" s="0" t="n">
        <f aca="false">I121+R121</f>
        <v>27</v>
      </c>
      <c r="U121" s="0" t="n">
        <f aca="false">O121+S121</f>
        <v>33</v>
      </c>
      <c r="V121" s="0" t="n">
        <f aca="false">T121-U121</f>
        <v>-6</v>
      </c>
      <c r="W121" s="0" t="n">
        <f aca="false">T121+U121</f>
        <v>60</v>
      </c>
    </row>
    <row r="122" customFormat="false" ht="15" hidden="false" customHeight="false" outlineLevel="0" collapsed="false">
      <c r="A122" s="0" t="n">
        <v>119</v>
      </c>
      <c r="B122" s="0" t="n">
        <f aca="true">NORMINV(RAND(),1,Coefficients!$B$22)</f>
        <v>0.961311082387273</v>
      </c>
      <c r="C122" s="0" t="n">
        <f aca="true">MEDIAN(8,16,ROUND(NORMINV(RAND(),Coefficients!$B$20,Coefficients!$B$21),0))</f>
        <v>13</v>
      </c>
      <c r="D122" s="0" t="n">
        <f aca="true">CRITBINOM($C122,MIN(0.75,Matchup!$B$39*$B122),RAND())</f>
        <v>3</v>
      </c>
      <c r="E122" s="0" t="n">
        <f aca="true">CRITBINOM(D122,Coefficients!$B$30,RAND())</f>
        <v>0</v>
      </c>
      <c r="F122" s="0" t="n">
        <f aca="true">CRITBINOM(E122,Coefficients!$B$31,RAND())</f>
        <v>0</v>
      </c>
      <c r="G122" s="0" t="n">
        <f aca="true">CRITBINOM(MAX(0,D122-E122),1-Coefficients!$B$32,RAND())</f>
        <v>0</v>
      </c>
      <c r="H122" s="0" t="n">
        <f aca="true">CRITBINOM(MAX(0,$C122-D122),MIN(0.6,Matchup!$B$40*SQRT($B122)/(1-MIN(0.75,Matchup!$B$39*$B122))),RAND())</f>
        <v>4</v>
      </c>
      <c r="I122" s="0" t="n">
        <f aca="false">6*D122+(D122-E122-G122)+2*F122+3*H122</f>
        <v>33</v>
      </c>
      <c r="J122" s="0" t="n">
        <f aca="true">CRITBINOM($C122,MIN(0.75,Matchup!$C$39*$B122),RAND())</f>
        <v>4</v>
      </c>
      <c r="K122" s="0" t="n">
        <f aca="true">CRITBINOM(J122,Coefficients!$B$30,RAND())</f>
        <v>0</v>
      </c>
      <c r="L122" s="0" t="n">
        <f aca="true">CRITBINOM(K122,Coefficients!$B$31,RAND())</f>
        <v>0</v>
      </c>
      <c r="M122" s="0" t="n">
        <f aca="true">CRITBINOM(MAX(0,J122-K122),1-Coefficients!$B$32,RAND())</f>
        <v>0</v>
      </c>
      <c r="N122" s="0" t="n">
        <f aca="true">CRITBINOM(MAX(0,$C122-J122),MIN(0.6,Matchup!$C$40*SQRT($B122)/(1-MIN(0.75,Matchup!$C$39*$B122))),RAND())</f>
        <v>1</v>
      </c>
      <c r="O122" s="0" t="n">
        <f aca="false">6*J122+(J122-K122-M122)+2*L122+3*N122</f>
        <v>31</v>
      </c>
      <c r="P122" s="0" t="n">
        <f aca="true">RAND()</f>
        <v>0.743974007532016</v>
      </c>
      <c r="Q122" s="0" t="n">
        <f aca="true">RAND()</f>
        <v>0.594250110696978</v>
      </c>
      <c r="R122" s="0" t="n">
        <f aca="false">IF($I122&lt;&gt;$O122,0,IF(P122&lt;Matchup!$B$39,7,IF(P122&lt;Matchup!$B$39+Matchup!$B$40,3,0)))</f>
        <v>0</v>
      </c>
      <c r="S122" s="0" t="n">
        <f aca="false">IF($I122&lt;&gt;$O122,0,IF(Q122&lt;Matchup!$C$39,7,IF(Q122&lt;Matchup!$C$39+Matchup!$C$40,3,0)))</f>
        <v>0</v>
      </c>
      <c r="T122" s="0" t="n">
        <f aca="false">I122+R122</f>
        <v>33</v>
      </c>
      <c r="U122" s="0" t="n">
        <f aca="false">O122+S122</f>
        <v>31</v>
      </c>
      <c r="V122" s="0" t="n">
        <f aca="false">T122-U122</f>
        <v>2</v>
      </c>
      <c r="W122" s="0" t="n">
        <f aca="false">T122+U122</f>
        <v>64</v>
      </c>
    </row>
    <row r="123" customFormat="false" ht="15" hidden="false" customHeight="false" outlineLevel="0" collapsed="false">
      <c r="A123" s="0" t="n">
        <v>120</v>
      </c>
      <c r="B123" s="0" t="n">
        <f aca="true">NORMINV(RAND(),1,Coefficients!$B$22)</f>
        <v>1.079087307513</v>
      </c>
      <c r="C123" s="0" t="n">
        <f aca="true">MEDIAN(8,16,ROUND(NORMINV(RAND(),Coefficients!$B$20,Coefficients!$B$21),0))</f>
        <v>11</v>
      </c>
      <c r="D123" s="0" t="n">
        <f aca="true">CRITBINOM($C123,MIN(0.75,Matchup!$B$39*$B123),RAND())</f>
        <v>1</v>
      </c>
      <c r="E123" s="0" t="n">
        <f aca="true">CRITBINOM(D123,Coefficients!$B$30,RAND())</f>
        <v>0</v>
      </c>
      <c r="F123" s="0" t="n">
        <f aca="true">CRITBINOM(E123,Coefficients!$B$31,RAND())</f>
        <v>0</v>
      </c>
      <c r="G123" s="0" t="n">
        <f aca="true">CRITBINOM(MAX(0,D123-E123),1-Coefficients!$B$32,RAND())</f>
        <v>0</v>
      </c>
      <c r="H123" s="0" t="n">
        <f aca="true">CRITBINOM(MAX(0,$C123-D123),MIN(0.6,Matchup!$B$40*SQRT($B123)/(1-MIN(0.75,Matchup!$B$39*$B123))),RAND())</f>
        <v>3</v>
      </c>
      <c r="I123" s="0" t="n">
        <f aca="false">6*D123+(D123-E123-G123)+2*F123+3*H123</f>
        <v>16</v>
      </c>
      <c r="J123" s="0" t="n">
        <f aca="true">CRITBINOM($C123,MIN(0.75,Matchup!$C$39*$B123),RAND())</f>
        <v>3</v>
      </c>
      <c r="K123" s="0" t="n">
        <f aca="true">CRITBINOM(J123,Coefficients!$B$30,RAND())</f>
        <v>1</v>
      </c>
      <c r="L123" s="0" t="n">
        <f aca="true">CRITBINOM(K123,Coefficients!$B$31,RAND())</f>
        <v>0</v>
      </c>
      <c r="M123" s="0" t="n">
        <f aca="true">CRITBINOM(MAX(0,J123-K123),1-Coefficients!$B$32,RAND())</f>
        <v>0</v>
      </c>
      <c r="N123" s="0" t="n">
        <f aca="true">CRITBINOM(MAX(0,$C123-J123),MIN(0.6,Matchup!$C$40*SQRT($B123)/(1-MIN(0.75,Matchup!$C$39*$B123))),RAND())</f>
        <v>1</v>
      </c>
      <c r="O123" s="0" t="n">
        <f aca="false">6*J123+(J123-K123-M123)+2*L123+3*N123</f>
        <v>23</v>
      </c>
      <c r="P123" s="0" t="n">
        <f aca="true">RAND()</f>
        <v>0.630975855978846</v>
      </c>
      <c r="Q123" s="0" t="n">
        <f aca="true">RAND()</f>
        <v>0.710806216390034</v>
      </c>
      <c r="R123" s="0" t="n">
        <f aca="false">IF($I123&lt;&gt;$O123,0,IF(P123&lt;Matchup!$B$39,7,IF(P123&lt;Matchup!$B$39+Matchup!$B$40,3,0)))</f>
        <v>0</v>
      </c>
      <c r="S123" s="0" t="n">
        <f aca="false">IF($I123&lt;&gt;$O123,0,IF(Q123&lt;Matchup!$C$39,7,IF(Q123&lt;Matchup!$C$39+Matchup!$C$40,3,0)))</f>
        <v>0</v>
      </c>
      <c r="T123" s="0" t="n">
        <f aca="false">I123+R123</f>
        <v>16</v>
      </c>
      <c r="U123" s="0" t="n">
        <f aca="false">O123+S123</f>
        <v>23</v>
      </c>
      <c r="V123" s="0" t="n">
        <f aca="false">T123-U123</f>
        <v>-7</v>
      </c>
      <c r="W123" s="0" t="n">
        <f aca="false">T123+U123</f>
        <v>39</v>
      </c>
    </row>
    <row r="124" customFormat="false" ht="15" hidden="false" customHeight="false" outlineLevel="0" collapsed="false">
      <c r="A124" s="0" t="n">
        <v>121</v>
      </c>
      <c r="B124" s="0" t="n">
        <f aca="true">NORMINV(RAND(),1,Coefficients!$B$22)</f>
        <v>0.980586101470298</v>
      </c>
      <c r="C124" s="0" t="n">
        <f aca="true">MEDIAN(8,16,ROUND(NORMINV(RAND(),Coefficients!$B$20,Coefficients!$B$21),0))</f>
        <v>11</v>
      </c>
      <c r="D124" s="0" t="n">
        <f aca="true">CRITBINOM($C124,MIN(0.75,Matchup!$B$39*$B124),RAND())</f>
        <v>1</v>
      </c>
      <c r="E124" s="0" t="n">
        <f aca="true">CRITBINOM(D124,Coefficients!$B$30,RAND())</f>
        <v>0</v>
      </c>
      <c r="F124" s="0" t="n">
        <f aca="true">CRITBINOM(E124,Coefficients!$B$31,RAND())</f>
        <v>0</v>
      </c>
      <c r="G124" s="0" t="n">
        <f aca="true">CRITBINOM(MAX(0,D124-E124),1-Coefficients!$B$32,RAND())</f>
        <v>0</v>
      </c>
      <c r="H124" s="0" t="n">
        <f aca="true">CRITBINOM(MAX(0,$C124-D124),MIN(0.6,Matchup!$B$40*SQRT($B124)/(1-MIN(0.75,Matchup!$B$39*$B124))),RAND())</f>
        <v>2</v>
      </c>
      <c r="I124" s="0" t="n">
        <f aca="false">6*D124+(D124-E124-G124)+2*F124+3*H124</f>
        <v>13</v>
      </c>
      <c r="J124" s="0" t="n">
        <f aca="true">CRITBINOM($C124,MIN(0.75,Matchup!$C$39*$B124),RAND())</f>
        <v>2</v>
      </c>
      <c r="K124" s="0" t="n">
        <f aca="true">CRITBINOM(J124,Coefficients!$B$30,RAND())</f>
        <v>0</v>
      </c>
      <c r="L124" s="0" t="n">
        <f aca="true">CRITBINOM(K124,Coefficients!$B$31,RAND())</f>
        <v>0</v>
      </c>
      <c r="M124" s="0" t="n">
        <f aca="true">CRITBINOM(MAX(0,J124-K124),1-Coefficients!$B$32,RAND())</f>
        <v>1</v>
      </c>
      <c r="N124" s="0" t="n">
        <f aca="true">CRITBINOM(MAX(0,$C124-J124),MIN(0.6,Matchup!$C$40*SQRT($B124)/(1-MIN(0.75,Matchup!$C$39*$B124))),RAND())</f>
        <v>3</v>
      </c>
      <c r="O124" s="0" t="n">
        <f aca="false">6*J124+(J124-K124-M124)+2*L124+3*N124</f>
        <v>22</v>
      </c>
      <c r="P124" s="0" t="n">
        <f aca="true">RAND()</f>
        <v>0.159614716542605</v>
      </c>
      <c r="Q124" s="0" t="n">
        <f aca="true">RAND()</f>
        <v>0.720212833438114</v>
      </c>
      <c r="R124" s="0" t="n">
        <f aca="false">IF($I124&lt;&gt;$O124,0,IF(P124&lt;Matchup!$B$39,7,IF(P124&lt;Matchup!$B$39+Matchup!$B$40,3,0)))</f>
        <v>0</v>
      </c>
      <c r="S124" s="0" t="n">
        <f aca="false">IF($I124&lt;&gt;$O124,0,IF(Q124&lt;Matchup!$C$39,7,IF(Q124&lt;Matchup!$C$39+Matchup!$C$40,3,0)))</f>
        <v>0</v>
      </c>
      <c r="T124" s="0" t="n">
        <f aca="false">I124+R124</f>
        <v>13</v>
      </c>
      <c r="U124" s="0" t="n">
        <f aca="false">O124+S124</f>
        <v>22</v>
      </c>
      <c r="V124" s="0" t="n">
        <f aca="false">T124-U124</f>
        <v>-9</v>
      </c>
      <c r="W124" s="0" t="n">
        <f aca="false">T124+U124</f>
        <v>35</v>
      </c>
    </row>
    <row r="125" customFormat="false" ht="15" hidden="false" customHeight="false" outlineLevel="0" collapsed="false">
      <c r="A125" s="0" t="n">
        <v>122</v>
      </c>
      <c r="B125" s="0" t="n">
        <f aca="true">NORMINV(RAND(),1,Coefficients!$B$22)</f>
        <v>0.979877517119196</v>
      </c>
      <c r="C125" s="0" t="n">
        <f aca="true">MEDIAN(8,16,ROUND(NORMINV(RAND(),Coefficients!$B$20,Coefficients!$B$21),0))</f>
        <v>12</v>
      </c>
      <c r="D125" s="0" t="n">
        <f aca="true">CRITBINOM($C125,MIN(0.75,Matchup!$B$39*$B125),RAND())</f>
        <v>4</v>
      </c>
      <c r="E125" s="0" t="n">
        <f aca="true">CRITBINOM(D125,Coefficients!$B$30,RAND())</f>
        <v>1</v>
      </c>
      <c r="F125" s="0" t="n">
        <f aca="true">CRITBINOM(E125,Coefficients!$B$31,RAND())</f>
        <v>0</v>
      </c>
      <c r="G125" s="0" t="n">
        <f aca="true">CRITBINOM(MAX(0,D125-E125),1-Coefficients!$B$32,RAND())</f>
        <v>0</v>
      </c>
      <c r="H125" s="0" t="n">
        <f aca="true">CRITBINOM(MAX(0,$C125-D125),MIN(0.6,Matchup!$B$40*SQRT($B125)/(1-MIN(0.75,Matchup!$B$39*$B125))),RAND())</f>
        <v>1</v>
      </c>
      <c r="I125" s="0" t="n">
        <f aca="false">6*D125+(D125-E125-G125)+2*F125+3*H125</f>
        <v>30</v>
      </c>
      <c r="J125" s="0" t="n">
        <f aca="true">CRITBINOM($C125,MIN(0.75,Matchup!$C$39*$B125),RAND())</f>
        <v>3</v>
      </c>
      <c r="K125" s="0" t="n">
        <f aca="true">CRITBINOM(J125,Coefficients!$B$30,RAND())</f>
        <v>1</v>
      </c>
      <c r="L125" s="0" t="n">
        <f aca="true">CRITBINOM(K125,Coefficients!$B$31,RAND())</f>
        <v>1</v>
      </c>
      <c r="M125" s="0" t="n">
        <f aca="true">CRITBINOM(MAX(0,J125-K125),1-Coefficients!$B$32,RAND())</f>
        <v>0</v>
      </c>
      <c r="N125" s="0" t="n">
        <f aca="true">CRITBINOM(MAX(0,$C125-J125),MIN(0.6,Matchup!$C$40*SQRT($B125)/(1-MIN(0.75,Matchup!$C$39*$B125))),RAND())</f>
        <v>2</v>
      </c>
      <c r="O125" s="0" t="n">
        <f aca="false">6*J125+(J125-K125-M125)+2*L125+3*N125</f>
        <v>28</v>
      </c>
      <c r="P125" s="0" t="n">
        <f aca="true">RAND()</f>
        <v>0.5720481170643</v>
      </c>
      <c r="Q125" s="0" t="n">
        <f aca="true">RAND()</f>
        <v>0.468283978025167</v>
      </c>
      <c r="R125" s="0" t="n">
        <f aca="false">IF($I125&lt;&gt;$O125,0,IF(P125&lt;Matchup!$B$39,7,IF(P125&lt;Matchup!$B$39+Matchup!$B$40,3,0)))</f>
        <v>0</v>
      </c>
      <c r="S125" s="0" t="n">
        <f aca="false">IF($I125&lt;&gt;$O125,0,IF(Q125&lt;Matchup!$C$39,7,IF(Q125&lt;Matchup!$C$39+Matchup!$C$40,3,0)))</f>
        <v>0</v>
      </c>
      <c r="T125" s="0" t="n">
        <f aca="false">I125+R125</f>
        <v>30</v>
      </c>
      <c r="U125" s="0" t="n">
        <f aca="false">O125+S125</f>
        <v>28</v>
      </c>
      <c r="V125" s="0" t="n">
        <f aca="false">T125-U125</f>
        <v>2</v>
      </c>
      <c r="W125" s="0" t="n">
        <f aca="false">T125+U125</f>
        <v>58</v>
      </c>
    </row>
    <row r="126" customFormat="false" ht="15" hidden="false" customHeight="false" outlineLevel="0" collapsed="false">
      <c r="A126" s="0" t="n">
        <v>123</v>
      </c>
      <c r="B126" s="0" t="n">
        <f aca="true">NORMINV(RAND(),1,Coefficients!$B$22)</f>
        <v>0.902382988743872</v>
      </c>
      <c r="C126" s="0" t="n">
        <f aca="true">MEDIAN(8,16,ROUND(NORMINV(RAND(),Coefficients!$B$20,Coefficients!$B$21),0))</f>
        <v>11</v>
      </c>
      <c r="D126" s="0" t="n">
        <f aca="true">CRITBINOM($C126,MIN(0.75,Matchup!$B$39*$B126),RAND())</f>
        <v>2</v>
      </c>
      <c r="E126" s="0" t="n">
        <f aca="true">CRITBINOM(D126,Coefficients!$B$30,RAND())</f>
        <v>0</v>
      </c>
      <c r="F126" s="0" t="n">
        <f aca="true">CRITBINOM(E126,Coefficients!$B$31,RAND())</f>
        <v>0</v>
      </c>
      <c r="G126" s="0" t="n">
        <f aca="true">CRITBINOM(MAX(0,D126-E126),1-Coefficients!$B$32,RAND())</f>
        <v>0</v>
      </c>
      <c r="H126" s="0" t="n">
        <f aca="true">CRITBINOM(MAX(0,$C126-D126),MIN(0.6,Matchup!$B$40*SQRT($B126)/(1-MIN(0.75,Matchup!$B$39*$B126))),RAND())</f>
        <v>1</v>
      </c>
      <c r="I126" s="0" t="n">
        <f aca="false">6*D126+(D126-E126-G126)+2*F126+3*H126</f>
        <v>17</v>
      </c>
      <c r="J126" s="0" t="n">
        <f aca="true">CRITBINOM($C126,MIN(0.75,Matchup!$C$39*$B126),RAND())</f>
        <v>4</v>
      </c>
      <c r="K126" s="0" t="n">
        <f aca="true">CRITBINOM(J126,Coefficients!$B$30,RAND())</f>
        <v>0</v>
      </c>
      <c r="L126" s="0" t="n">
        <f aca="true">CRITBINOM(K126,Coefficients!$B$31,RAND())</f>
        <v>0</v>
      </c>
      <c r="M126" s="0" t="n">
        <f aca="true">CRITBINOM(MAX(0,J126-K126),1-Coefficients!$B$32,RAND())</f>
        <v>0</v>
      </c>
      <c r="N126" s="0" t="n">
        <f aca="true">CRITBINOM(MAX(0,$C126-J126),MIN(0.6,Matchup!$C$40*SQRT($B126)/(1-MIN(0.75,Matchup!$C$39*$B126))),RAND())</f>
        <v>1</v>
      </c>
      <c r="O126" s="0" t="n">
        <f aca="false">6*J126+(J126-K126-M126)+2*L126+3*N126</f>
        <v>31</v>
      </c>
      <c r="P126" s="0" t="n">
        <f aca="true">RAND()</f>
        <v>0.482828857818091</v>
      </c>
      <c r="Q126" s="0" t="n">
        <f aca="true">RAND()</f>
        <v>0.35416252508311</v>
      </c>
      <c r="R126" s="0" t="n">
        <f aca="false">IF($I126&lt;&gt;$O126,0,IF(P126&lt;Matchup!$B$39,7,IF(P126&lt;Matchup!$B$39+Matchup!$B$40,3,0)))</f>
        <v>0</v>
      </c>
      <c r="S126" s="0" t="n">
        <f aca="false">IF($I126&lt;&gt;$O126,0,IF(Q126&lt;Matchup!$C$39,7,IF(Q126&lt;Matchup!$C$39+Matchup!$C$40,3,0)))</f>
        <v>0</v>
      </c>
      <c r="T126" s="0" t="n">
        <f aca="false">I126+R126</f>
        <v>17</v>
      </c>
      <c r="U126" s="0" t="n">
        <f aca="false">O126+S126</f>
        <v>31</v>
      </c>
      <c r="V126" s="0" t="n">
        <f aca="false">T126-U126</f>
        <v>-14</v>
      </c>
      <c r="W126" s="0" t="n">
        <f aca="false">T126+U126</f>
        <v>48</v>
      </c>
    </row>
    <row r="127" customFormat="false" ht="15" hidden="false" customHeight="false" outlineLevel="0" collapsed="false">
      <c r="A127" s="0" t="n">
        <v>124</v>
      </c>
      <c r="B127" s="0" t="n">
        <f aca="true">NORMINV(RAND(),1,Coefficients!$B$22)</f>
        <v>1.03067591380179</v>
      </c>
      <c r="C127" s="0" t="n">
        <f aca="true">MEDIAN(8,16,ROUND(NORMINV(RAND(),Coefficients!$B$20,Coefficients!$B$21),0))</f>
        <v>9</v>
      </c>
      <c r="D127" s="0" t="n">
        <f aca="true">CRITBINOM($C127,MIN(0.75,Matchup!$B$39*$B127),RAND())</f>
        <v>1</v>
      </c>
      <c r="E127" s="0" t="n">
        <f aca="true">CRITBINOM(D127,Coefficients!$B$30,RAND())</f>
        <v>0</v>
      </c>
      <c r="F127" s="0" t="n">
        <f aca="true">CRITBINOM(E127,Coefficients!$B$31,RAND())</f>
        <v>0</v>
      </c>
      <c r="G127" s="0" t="n">
        <f aca="true">CRITBINOM(MAX(0,D127-E127),1-Coefficients!$B$32,RAND())</f>
        <v>0</v>
      </c>
      <c r="H127" s="0" t="n">
        <f aca="true">CRITBINOM(MAX(0,$C127-D127),MIN(0.6,Matchup!$B$40*SQRT($B127)/(1-MIN(0.75,Matchup!$B$39*$B127))),RAND())</f>
        <v>3</v>
      </c>
      <c r="I127" s="0" t="n">
        <f aca="false">6*D127+(D127-E127-G127)+2*F127+3*H127</f>
        <v>16</v>
      </c>
      <c r="J127" s="0" t="n">
        <f aca="true">CRITBINOM($C127,MIN(0.75,Matchup!$C$39*$B127),RAND())</f>
        <v>2</v>
      </c>
      <c r="K127" s="0" t="n">
        <f aca="true">CRITBINOM(J127,Coefficients!$B$30,RAND())</f>
        <v>1</v>
      </c>
      <c r="L127" s="0" t="n">
        <f aca="true">CRITBINOM(K127,Coefficients!$B$31,RAND())</f>
        <v>1</v>
      </c>
      <c r="M127" s="0" t="n">
        <f aca="true">CRITBINOM(MAX(0,J127-K127),1-Coefficients!$B$32,RAND())</f>
        <v>0</v>
      </c>
      <c r="N127" s="0" t="n">
        <f aca="true">CRITBINOM(MAX(0,$C127-J127),MIN(0.6,Matchup!$C$40*SQRT($B127)/(1-MIN(0.75,Matchup!$C$39*$B127))),RAND())</f>
        <v>2</v>
      </c>
      <c r="O127" s="0" t="n">
        <f aca="false">6*J127+(J127-K127-M127)+2*L127+3*N127</f>
        <v>21</v>
      </c>
      <c r="P127" s="0" t="n">
        <f aca="true">RAND()</f>
        <v>0.740770454905923</v>
      </c>
      <c r="Q127" s="0" t="n">
        <f aca="true">RAND()</f>
        <v>0.302436954519568</v>
      </c>
      <c r="R127" s="0" t="n">
        <f aca="false">IF($I127&lt;&gt;$O127,0,IF(P127&lt;Matchup!$B$39,7,IF(P127&lt;Matchup!$B$39+Matchup!$B$40,3,0)))</f>
        <v>0</v>
      </c>
      <c r="S127" s="0" t="n">
        <f aca="false">IF($I127&lt;&gt;$O127,0,IF(Q127&lt;Matchup!$C$39,7,IF(Q127&lt;Matchup!$C$39+Matchup!$C$40,3,0)))</f>
        <v>0</v>
      </c>
      <c r="T127" s="0" t="n">
        <f aca="false">I127+R127</f>
        <v>16</v>
      </c>
      <c r="U127" s="0" t="n">
        <f aca="false">O127+S127</f>
        <v>21</v>
      </c>
      <c r="V127" s="0" t="n">
        <f aca="false">T127-U127</f>
        <v>-5</v>
      </c>
      <c r="W127" s="0" t="n">
        <f aca="false">T127+U127</f>
        <v>37</v>
      </c>
    </row>
    <row r="128" customFormat="false" ht="15" hidden="false" customHeight="false" outlineLevel="0" collapsed="false">
      <c r="A128" s="0" t="n">
        <v>125</v>
      </c>
      <c r="B128" s="0" t="n">
        <f aca="true">NORMINV(RAND(),1,Coefficients!$B$22)</f>
        <v>1.0263437891377</v>
      </c>
      <c r="C128" s="0" t="n">
        <f aca="true">MEDIAN(8,16,ROUND(NORMINV(RAND(),Coefficients!$B$20,Coefficients!$B$21),0))</f>
        <v>10</v>
      </c>
      <c r="D128" s="0" t="n">
        <f aca="true">CRITBINOM($C128,MIN(0.75,Matchup!$B$39*$B128),RAND())</f>
        <v>4</v>
      </c>
      <c r="E128" s="0" t="n">
        <f aca="true">CRITBINOM(D128,Coefficients!$B$30,RAND())</f>
        <v>0</v>
      </c>
      <c r="F128" s="0" t="n">
        <f aca="true">CRITBINOM(E128,Coefficients!$B$31,RAND())</f>
        <v>0</v>
      </c>
      <c r="G128" s="0" t="n">
        <f aca="true">CRITBINOM(MAX(0,D128-E128),1-Coefficients!$B$32,RAND())</f>
        <v>0</v>
      </c>
      <c r="H128" s="0" t="n">
        <f aca="true">CRITBINOM(MAX(0,$C128-D128),MIN(0.6,Matchup!$B$40*SQRT($B128)/(1-MIN(0.75,Matchup!$B$39*$B128))),RAND())</f>
        <v>1</v>
      </c>
      <c r="I128" s="0" t="n">
        <f aca="false">6*D128+(D128-E128-G128)+2*F128+3*H128</f>
        <v>31</v>
      </c>
      <c r="J128" s="0" t="n">
        <f aca="true">CRITBINOM($C128,MIN(0.75,Matchup!$C$39*$B128),RAND())</f>
        <v>3</v>
      </c>
      <c r="K128" s="0" t="n">
        <f aca="true">CRITBINOM(J128,Coefficients!$B$30,RAND())</f>
        <v>0</v>
      </c>
      <c r="L128" s="0" t="n">
        <f aca="true">CRITBINOM(K128,Coefficients!$B$31,RAND())</f>
        <v>0</v>
      </c>
      <c r="M128" s="0" t="n">
        <f aca="true">CRITBINOM(MAX(0,J128-K128),1-Coefficients!$B$32,RAND())</f>
        <v>0</v>
      </c>
      <c r="N128" s="0" t="n">
        <f aca="true">CRITBINOM(MAX(0,$C128-J128),MIN(0.6,Matchup!$C$40*SQRT($B128)/(1-MIN(0.75,Matchup!$C$39*$B128))),RAND())</f>
        <v>1</v>
      </c>
      <c r="O128" s="0" t="n">
        <f aca="false">6*J128+(J128-K128-M128)+2*L128+3*N128</f>
        <v>24</v>
      </c>
      <c r="P128" s="0" t="n">
        <f aca="true">RAND()</f>
        <v>0.226666359158087</v>
      </c>
      <c r="Q128" s="0" t="n">
        <f aca="true">RAND()</f>
        <v>0.267191639453031</v>
      </c>
      <c r="R128" s="0" t="n">
        <f aca="false">IF($I128&lt;&gt;$O128,0,IF(P128&lt;Matchup!$B$39,7,IF(P128&lt;Matchup!$B$39+Matchup!$B$40,3,0)))</f>
        <v>0</v>
      </c>
      <c r="S128" s="0" t="n">
        <f aca="false">IF($I128&lt;&gt;$O128,0,IF(Q128&lt;Matchup!$C$39,7,IF(Q128&lt;Matchup!$C$39+Matchup!$C$40,3,0)))</f>
        <v>0</v>
      </c>
      <c r="T128" s="0" t="n">
        <f aca="false">I128+R128</f>
        <v>31</v>
      </c>
      <c r="U128" s="0" t="n">
        <f aca="false">O128+S128</f>
        <v>24</v>
      </c>
      <c r="V128" s="0" t="n">
        <f aca="false">T128-U128</f>
        <v>7</v>
      </c>
      <c r="W128" s="0" t="n">
        <f aca="false">T128+U128</f>
        <v>55</v>
      </c>
    </row>
    <row r="129" customFormat="false" ht="15" hidden="false" customHeight="false" outlineLevel="0" collapsed="false">
      <c r="A129" s="0" t="n">
        <v>126</v>
      </c>
      <c r="B129" s="0" t="n">
        <f aca="true">NORMINV(RAND(),1,Coefficients!$B$22)</f>
        <v>1.07503822761442</v>
      </c>
      <c r="C129" s="0" t="n">
        <f aca="true">MEDIAN(8,16,ROUND(NORMINV(RAND(),Coefficients!$B$20,Coefficients!$B$21),0))</f>
        <v>12</v>
      </c>
      <c r="D129" s="0" t="n">
        <f aca="true">CRITBINOM($C129,MIN(0.75,Matchup!$B$39*$B129),RAND())</f>
        <v>3</v>
      </c>
      <c r="E129" s="0" t="n">
        <f aca="true">CRITBINOM(D129,Coefficients!$B$30,RAND())</f>
        <v>0</v>
      </c>
      <c r="F129" s="0" t="n">
        <f aca="true">CRITBINOM(E129,Coefficients!$B$31,RAND())</f>
        <v>0</v>
      </c>
      <c r="G129" s="0" t="n">
        <f aca="true">CRITBINOM(MAX(0,D129-E129),1-Coefficients!$B$32,RAND())</f>
        <v>0</v>
      </c>
      <c r="H129" s="0" t="n">
        <f aca="true">CRITBINOM(MAX(0,$C129-D129),MIN(0.6,Matchup!$B$40*SQRT($B129)/(1-MIN(0.75,Matchup!$B$39*$B129))),RAND())</f>
        <v>1</v>
      </c>
      <c r="I129" s="0" t="n">
        <f aca="false">6*D129+(D129-E129-G129)+2*F129+3*H129</f>
        <v>24</v>
      </c>
      <c r="J129" s="0" t="n">
        <f aca="true">CRITBINOM($C129,MIN(0.75,Matchup!$C$39*$B129),RAND())</f>
        <v>3</v>
      </c>
      <c r="K129" s="0" t="n">
        <f aca="true">CRITBINOM(J129,Coefficients!$B$30,RAND())</f>
        <v>0</v>
      </c>
      <c r="L129" s="0" t="n">
        <f aca="true">CRITBINOM(K129,Coefficients!$B$31,RAND())</f>
        <v>0</v>
      </c>
      <c r="M129" s="0" t="n">
        <f aca="true">CRITBINOM(MAX(0,J129-K129),1-Coefficients!$B$32,RAND())</f>
        <v>1</v>
      </c>
      <c r="N129" s="0" t="n">
        <f aca="true">CRITBINOM(MAX(0,$C129-J129),MIN(0.6,Matchup!$C$40*SQRT($B129)/(1-MIN(0.75,Matchup!$C$39*$B129))),RAND())</f>
        <v>0</v>
      </c>
      <c r="O129" s="0" t="n">
        <f aca="false">6*J129+(J129-K129-M129)+2*L129+3*N129</f>
        <v>20</v>
      </c>
      <c r="P129" s="0" t="n">
        <f aca="true">RAND()</f>
        <v>0.402597378415959</v>
      </c>
      <c r="Q129" s="0" t="n">
        <f aca="true">RAND()</f>
        <v>0.945594445806326</v>
      </c>
      <c r="R129" s="0" t="n">
        <f aca="false">IF($I129&lt;&gt;$O129,0,IF(P129&lt;Matchup!$B$39,7,IF(P129&lt;Matchup!$B$39+Matchup!$B$40,3,0)))</f>
        <v>0</v>
      </c>
      <c r="S129" s="0" t="n">
        <f aca="false">IF($I129&lt;&gt;$O129,0,IF(Q129&lt;Matchup!$C$39,7,IF(Q129&lt;Matchup!$C$39+Matchup!$C$40,3,0)))</f>
        <v>0</v>
      </c>
      <c r="T129" s="0" t="n">
        <f aca="false">I129+R129</f>
        <v>24</v>
      </c>
      <c r="U129" s="0" t="n">
        <f aca="false">O129+S129</f>
        <v>20</v>
      </c>
      <c r="V129" s="0" t="n">
        <f aca="false">T129-U129</f>
        <v>4</v>
      </c>
      <c r="W129" s="0" t="n">
        <f aca="false">T129+U129</f>
        <v>44</v>
      </c>
    </row>
    <row r="130" customFormat="false" ht="15" hidden="false" customHeight="false" outlineLevel="0" collapsed="false">
      <c r="A130" s="0" t="n">
        <v>127</v>
      </c>
      <c r="B130" s="0" t="n">
        <f aca="true">NORMINV(RAND(),1,Coefficients!$B$22)</f>
        <v>1.03904619675443</v>
      </c>
      <c r="C130" s="0" t="n">
        <f aca="true">MEDIAN(8,16,ROUND(NORMINV(RAND(),Coefficients!$B$20,Coefficients!$B$21),0))</f>
        <v>11</v>
      </c>
      <c r="D130" s="0" t="n">
        <f aca="true">CRITBINOM($C130,MIN(0.75,Matchup!$B$39*$B130),RAND())</f>
        <v>2</v>
      </c>
      <c r="E130" s="0" t="n">
        <f aca="true">CRITBINOM(D130,Coefficients!$B$30,RAND())</f>
        <v>0</v>
      </c>
      <c r="F130" s="0" t="n">
        <f aca="true">CRITBINOM(E130,Coefficients!$B$31,RAND())</f>
        <v>0</v>
      </c>
      <c r="G130" s="0" t="n">
        <f aca="true">CRITBINOM(MAX(0,D130-E130),1-Coefficients!$B$32,RAND())</f>
        <v>0</v>
      </c>
      <c r="H130" s="0" t="n">
        <f aca="true">CRITBINOM(MAX(0,$C130-D130),MIN(0.6,Matchup!$B$40*SQRT($B130)/(1-MIN(0.75,Matchup!$B$39*$B130))),RAND())</f>
        <v>3</v>
      </c>
      <c r="I130" s="0" t="n">
        <f aca="false">6*D130+(D130-E130-G130)+2*F130+3*H130</f>
        <v>23</v>
      </c>
      <c r="J130" s="0" t="n">
        <f aca="true">CRITBINOM($C130,MIN(0.75,Matchup!$C$39*$B130),RAND())</f>
        <v>3</v>
      </c>
      <c r="K130" s="0" t="n">
        <f aca="true">CRITBINOM(J130,Coefficients!$B$30,RAND())</f>
        <v>0</v>
      </c>
      <c r="L130" s="0" t="n">
        <f aca="true">CRITBINOM(K130,Coefficients!$B$31,RAND())</f>
        <v>0</v>
      </c>
      <c r="M130" s="0" t="n">
        <f aca="true">CRITBINOM(MAX(0,J130-K130),1-Coefficients!$B$32,RAND())</f>
        <v>0</v>
      </c>
      <c r="N130" s="0" t="n">
        <f aca="true">CRITBINOM(MAX(0,$C130-J130),MIN(0.6,Matchup!$C$40*SQRT($B130)/(1-MIN(0.75,Matchup!$C$39*$B130))),RAND())</f>
        <v>3</v>
      </c>
      <c r="O130" s="0" t="n">
        <f aca="false">6*J130+(J130-K130-M130)+2*L130+3*N130</f>
        <v>30</v>
      </c>
      <c r="P130" s="0" t="n">
        <f aca="true">RAND()</f>
        <v>0.394450350832004</v>
      </c>
      <c r="Q130" s="0" t="n">
        <f aca="true">RAND()</f>
        <v>0.523303431018293</v>
      </c>
      <c r="R130" s="0" t="n">
        <f aca="false">IF($I130&lt;&gt;$O130,0,IF(P130&lt;Matchup!$B$39,7,IF(P130&lt;Matchup!$B$39+Matchup!$B$40,3,0)))</f>
        <v>0</v>
      </c>
      <c r="S130" s="0" t="n">
        <f aca="false">IF($I130&lt;&gt;$O130,0,IF(Q130&lt;Matchup!$C$39,7,IF(Q130&lt;Matchup!$C$39+Matchup!$C$40,3,0)))</f>
        <v>0</v>
      </c>
      <c r="T130" s="0" t="n">
        <f aca="false">I130+R130</f>
        <v>23</v>
      </c>
      <c r="U130" s="0" t="n">
        <f aca="false">O130+S130</f>
        <v>30</v>
      </c>
      <c r="V130" s="0" t="n">
        <f aca="false">T130-U130</f>
        <v>-7</v>
      </c>
      <c r="W130" s="0" t="n">
        <f aca="false">T130+U130</f>
        <v>53</v>
      </c>
    </row>
    <row r="131" customFormat="false" ht="15" hidden="false" customHeight="false" outlineLevel="0" collapsed="false">
      <c r="A131" s="0" t="n">
        <v>128</v>
      </c>
      <c r="B131" s="0" t="n">
        <f aca="true">NORMINV(RAND(),1,Coefficients!$B$22)</f>
        <v>0.929678475554944</v>
      </c>
      <c r="C131" s="0" t="n">
        <f aca="true">MEDIAN(8,16,ROUND(NORMINV(RAND(),Coefficients!$B$20,Coefficients!$B$21),0))</f>
        <v>12</v>
      </c>
      <c r="D131" s="0" t="n">
        <f aca="true">CRITBINOM($C131,MIN(0.75,Matchup!$B$39*$B131),RAND())</f>
        <v>6</v>
      </c>
      <c r="E131" s="0" t="n">
        <f aca="true">CRITBINOM(D131,Coefficients!$B$30,RAND())</f>
        <v>1</v>
      </c>
      <c r="F131" s="0" t="n">
        <f aca="true">CRITBINOM(E131,Coefficients!$B$31,RAND())</f>
        <v>0</v>
      </c>
      <c r="G131" s="0" t="n">
        <f aca="true">CRITBINOM(MAX(0,D131-E131),1-Coefficients!$B$32,RAND())</f>
        <v>0</v>
      </c>
      <c r="H131" s="0" t="n">
        <f aca="true">CRITBINOM(MAX(0,$C131-D131),MIN(0.6,Matchup!$B$40*SQRT($B131)/(1-MIN(0.75,Matchup!$B$39*$B131))),RAND())</f>
        <v>1</v>
      </c>
      <c r="I131" s="0" t="n">
        <f aca="false">6*D131+(D131-E131-G131)+2*F131+3*H131</f>
        <v>44</v>
      </c>
      <c r="J131" s="0" t="n">
        <f aca="true">CRITBINOM($C131,MIN(0.75,Matchup!$C$39*$B131),RAND())</f>
        <v>2</v>
      </c>
      <c r="K131" s="0" t="n">
        <f aca="true">CRITBINOM(J131,Coefficients!$B$30,RAND())</f>
        <v>0</v>
      </c>
      <c r="L131" s="0" t="n">
        <f aca="true">CRITBINOM(K131,Coefficients!$B$31,RAND())</f>
        <v>0</v>
      </c>
      <c r="M131" s="0" t="n">
        <f aca="true">CRITBINOM(MAX(0,J131-K131),1-Coefficients!$B$32,RAND())</f>
        <v>0</v>
      </c>
      <c r="N131" s="0" t="n">
        <f aca="true">CRITBINOM(MAX(0,$C131-J131),MIN(0.6,Matchup!$C$40*SQRT($B131)/(1-MIN(0.75,Matchup!$C$39*$B131))),RAND())</f>
        <v>1</v>
      </c>
      <c r="O131" s="0" t="n">
        <f aca="false">6*J131+(J131-K131-M131)+2*L131+3*N131</f>
        <v>17</v>
      </c>
      <c r="P131" s="0" t="n">
        <f aca="true">RAND()</f>
        <v>0.148828124817843</v>
      </c>
      <c r="Q131" s="0" t="n">
        <f aca="true">RAND()</f>
        <v>0.0476314411354383</v>
      </c>
      <c r="R131" s="0" t="n">
        <f aca="false">IF($I131&lt;&gt;$O131,0,IF(P131&lt;Matchup!$B$39,7,IF(P131&lt;Matchup!$B$39+Matchup!$B$40,3,0)))</f>
        <v>0</v>
      </c>
      <c r="S131" s="0" t="n">
        <f aca="false">IF($I131&lt;&gt;$O131,0,IF(Q131&lt;Matchup!$C$39,7,IF(Q131&lt;Matchup!$C$39+Matchup!$C$40,3,0)))</f>
        <v>0</v>
      </c>
      <c r="T131" s="0" t="n">
        <f aca="false">I131+R131</f>
        <v>44</v>
      </c>
      <c r="U131" s="0" t="n">
        <f aca="false">O131+S131</f>
        <v>17</v>
      </c>
      <c r="V131" s="0" t="n">
        <f aca="false">T131-U131</f>
        <v>27</v>
      </c>
      <c r="W131" s="0" t="n">
        <f aca="false">T131+U131</f>
        <v>61</v>
      </c>
    </row>
    <row r="132" customFormat="false" ht="15" hidden="false" customHeight="false" outlineLevel="0" collapsed="false">
      <c r="A132" s="0" t="n">
        <v>129</v>
      </c>
      <c r="B132" s="0" t="n">
        <f aca="true">NORMINV(RAND(),1,Coefficients!$B$22)</f>
        <v>0.97751411446803</v>
      </c>
      <c r="C132" s="0" t="n">
        <f aca="true">MEDIAN(8,16,ROUND(NORMINV(RAND(),Coefficients!$B$20,Coefficients!$B$21),0))</f>
        <v>11</v>
      </c>
      <c r="D132" s="0" t="n">
        <f aca="true">CRITBINOM($C132,MIN(0.75,Matchup!$B$39*$B132),RAND())</f>
        <v>3</v>
      </c>
      <c r="E132" s="0" t="n">
        <f aca="true">CRITBINOM(D132,Coefficients!$B$30,RAND())</f>
        <v>1</v>
      </c>
      <c r="F132" s="0" t="n">
        <f aca="true">CRITBINOM(E132,Coefficients!$B$31,RAND())</f>
        <v>0</v>
      </c>
      <c r="G132" s="0" t="n">
        <f aca="true">CRITBINOM(MAX(0,D132-E132),1-Coefficients!$B$32,RAND())</f>
        <v>0</v>
      </c>
      <c r="H132" s="0" t="n">
        <f aca="true">CRITBINOM(MAX(0,$C132-D132),MIN(0.6,Matchup!$B$40*SQRT($B132)/(1-MIN(0.75,Matchup!$B$39*$B132))),RAND())</f>
        <v>1</v>
      </c>
      <c r="I132" s="0" t="n">
        <f aca="false">6*D132+(D132-E132-G132)+2*F132+3*H132</f>
        <v>23</v>
      </c>
      <c r="J132" s="0" t="n">
        <f aca="true">CRITBINOM($C132,MIN(0.75,Matchup!$C$39*$B132),RAND())</f>
        <v>2</v>
      </c>
      <c r="K132" s="0" t="n">
        <f aca="true">CRITBINOM(J132,Coefficients!$B$30,RAND())</f>
        <v>1</v>
      </c>
      <c r="L132" s="0" t="n">
        <f aca="true">CRITBINOM(K132,Coefficients!$B$31,RAND())</f>
        <v>1</v>
      </c>
      <c r="M132" s="0" t="n">
        <f aca="true">CRITBINOM(MAX(0,J132-K132),1-Coefficients!$B$32,RAND())</f>
        <v>0</v>
      </c>
      <c r="N132" s="0" t="n">
        <f aca="true">CRITBINOM(MAX(0,$C132-J132),MIN(0.6,Matchup!$C$40*SQRT($B132)/(1-MIN(0.75,Matchup!$C$39*$B132))),RAND())</f>
        <v>3</v>
      </c>
      <c r="O132" s="0" t="n">
        <f aca="false">6*J132+(J132-K132-M132)+2*L132+3*N132</f>
        <v>24</v>
      </c>
      <c r="P132" s="0" t="n">
        <f aca="true">RAND()</f>
        <v>0.950650967685498</v>
      </c>
      <c r="Q132" s="0" t="n">
        <f aca="true">RAND()</f>
        <v>0.264727583361837</v>
      </c>
      <c r="R132" s="0" t="n">
        <f aca="false">IF($I132&lt;&gt;$O132,0,IF(P132&lt;Matchup!$B$39,7,IF(P132&lt;Matchup!$B$39+Matchup!$B$40,3,0)))</f>
        <v>0</v>
      </c>
      <c r="S132" s="0" t="n">
        <f aca="false">IF($I132&lt;&gt;$O132,0,IF(Q132&lt;Matchup!$C$39,7,IF(Q132&lt;Matchup!$C$39+Matchup!$C$40,3,0)))</f>
        <v>0</v>
      </c>
      <c r="T132" s="0" t="n">
        <f aca="false">I132+R132</f>
        <v>23</v>
      </c>
      <c r="U132" s="0" t="n">
        <f aca="false">O132+S132</f>
        <v>24</v>
      </c>
      <c r="V132" s="0" t="n">
        <f aca="false">T132-U132</f>
        <v>-1</v>
      </c>
      <c r="W132" s="0" t="n">
        <f aca="false">T132+U132</f>
        <v>47</v>
      </c>
    </row>
    <row r="133" customFormat="false" ht="15" hidden="false" customHeight="false" outlineLevel="0" collapsed="false">
      <c r="A133" s="0" t="n">
        <v>130</v>
      </c>
      <c r="B133" s="0" t="n">
        <f aca="true">NORMINV(RAND(),1,Coefficients!$B$22)</f>
        <v>0.923000109356954</v>
      </c>
      <c r="C133" s="0" t="n">
        <f aca="true">MEDIAN(8,16,ROUND(NORMINV(RAND(),Coefficients!$B$20,Coefficients!$B$21),0))</f>
        <v>12</v>
      </c>
      <c r="D133" s="0" t="n">
        <f aca="true">CRITBINOM($C133,MIN(0.75,Matchup!$B$39*$B133),RAND())</f>
        <v>4</v>
      </c>
      <c r="E133" s="0" t="n">
        <f aca="true">CRITBINOM(D133,Coefficients!$B$30,RAND())</f>
        <v>0</v>
      </c>
      <c r="F133" s="0" t="n">
        <f aca="true">CRITBINOM(E133,Coefficients!$B$31,RAND())</f>
        <v>0</v>
      </c>
      <c r="G133" s="0" t="n">
        <f aca="true">CRITBINOM(MAX(0,D133-E133),1-Coefficients!$B$32,RAND())</f>
        <v>0</v>
      </c>
      <c r="H133" s="0" t="n">
        <f aca="true">CRITBINOM(MAX(0,$C133-D133),MIN(0.6,Matchup!$B$40*SQRT($B133)/(1-MIN(0.75,Matchup!$B$39*$B133))),RAND())</f>
        <v>0</v>
      </c>
      <c r="I133" s="0" t="n">
        <f aca="false">6*D133+(D133-E133-G133)+2*F133+3*H133</f>
        <v>28</v>
      </c>
      <c r="J133" s="0" t="n">
        <f aca="true">CRITBINOM($C133,MIN(0.75,Matchup!$C$39*$B133),RAND())</f>
        <v>3</v>
      </c>
      <c r="K133" s="0" t="n">
        <f aca="true">CRITBINOM(J133,Coefficients!$B$30,RAND())</f>
        <v>1</v>
      </c>
      <c r="L133" s="0" t="n">
        <f aca="true">CRITBINOM(K133,Coefficients!$B$31,RAND())</f>
        <v>1</v>
      </c>
      <c r="M133" s="0" t="n">
        <f aca="true">CRITBINOM(MAX(0,J133-K133),1-Coefficients!$B$32,RAND())</f>
        <v>0</v>
      </c>
      <c r="N133" s="0" t="n">
        <f aca="true">CRITBINOM(MAX(0,$C133-J133),MIN(0.6,Matchup!$C$40*SQRT($B133)/(1-MIN(0.75,Matchup!$C$39*$B133))),RAND())</f>
        <v>1</v>
      </c>
      <c r="O133" s="0" t="n">
        <f aca="false">6*J133+(J133-K133-M133)+2*L133+3*N133</f>
        <v>25</v>
      </c>
      <c r="P133" s="0" t="n">
        <f aca="true">RAND()</f>
        <v>0.875626051559381</v>
      </c>
      <c r="Q133" s="0" t="n">
        <f aca="true">RAND()</f>
        <v>0.144475525329754</v>
      </c>
      <c r="R133" s="0" t="n">
        <f aca="false">IF($I133&lt;&gt;$O133,0,IF(P133&lt;Matchup!$B$39,7,IF(P133&lt;Matchup!$B$39+Matchup!$B$40,3,0)))</f>
        <v>0</v>
      </c>
      <c r="S133" s="0" t="n">
        <f aca="false">IF($I133&lt;&gt;$O133,0,IF(Q133&lt;Matchup!$C$39,7,IF(Q133&lt;Matchup!$C$39+Matchup!$C$40,3,0)))</f>
        <v>0</v>
      </c>
      <c r="T133" s="0" t="n">
        <f aca="false">I133+R133</f>
        <v>28</v>
      </c>
      <c r="U133" s="0" t="n">
        <f aca="false">O133+S133</f>
        <v>25</v>
      </c>
      <c r="V133" s="0" t="n">
        <f aca="false">T133-U133</f>
        <v>3</v>
      </c>
      <c r="W133" s="0" t="n">
        <f aca="false">T133+U133</f>
        <v>53</v>
      </c>
    </row>
    <row r="134" customFormat="false" ht="15" hidden="false" customHeight="false" outlineLevel="0" collapsed="false">
      <c r="A134" s="0" t="n">
        <v>131</v>
      </c>
      <c r="B134" s="0" t="n">
        <f aca="true">NORMINV(RAND(),1,Coefficients!$B$22)</f>
        <v>0.895280133004842</v>
      </c>
      <c r="C134" s="0" t="n">
        <f aca="true">MEDIAN(8,16,ROUND(NORMINV(RAND(),Coefficients!$B$20,Coefficients!$B$21),0))</f>
        <v>12</v>
      </c>
      <c r="D134" s="0" t="n">
        <f aca="true">CRITBINOM($C134,MIN(0.75,Matchup!$B$39*$B134),RAND())</f>
        <v>2</v>
      </c>
      <c r="E134" s="0" t="n">
        <f aca="true">CRITBINOM(D134,Coefficients!$B$30,RAND())</f>
        <v>0</v>
      </c>
      <c r="F134" s="0" t="n">
        <f aca="true">CRITBINOM(E134,Coefficients!$B$31,RAND())</f>
        <v>0</v>
      </c>
      <c r="G134" s="0" t="n">
        <f aca="true">CRITBINOM(MAX(0,D134-E134),1-Coefficients!$B$32,RAND())</f>
        <v>0</v>
      </c>
      <c r="H134" s="0" t="n">
        <f aca="true">CRITBINOM(MAX(0,$C134-D134),MIN(0.6,Matchup!$B$40*SQRT($B134)/(1-MIN(0.75,Matchup!$B$39*$B134))),RAND())</f>
        <v>1</v>
      </c>
      <c r="I134" s="0" t="n">
        <f aca="false">6*D134+(D134-E134-G134)+2*F134+3*H134</f>
        <v>17</v>
      </c>
      <c r="J134" s="0" t="n">
        <f aca="true">CRITBINOM($C134,MIN(0.75,Matchup!$C$39*$B134),RAND())</f>
        <v>3</v>
      </c>
      <c r="K134" s="0" t="n">
        <f aca="true">CRITBINOM(J134,Coefficients!$B$30,RAND())</f>
        <v>1</v>
      </c>
      <c r="L134" s="0" t="n">
        <f aca="true">CRITBINOM(K134,Coefficients!$B$31,RAND())</f>
        <v>0</v>
      </c>
      <c r="M134" s="0" t="n">
        <f aca="true">CRITBINOM(MAX(0,J134-K134),1-Coefficients!$B$32,RAND())</f>
        <v>0</v>
      </c>
      <c r="N134" s="0" t="n">
        <f aca="true">CRITBINOM(MAX(0,$C134-J134),MIN(0.6,Matchup!$C$40*SQRT($B134)/(1-MIN(0.75,Matchup!$C$39*$B134))),RAND())</f>
        <v>1</v>
      </c>
      <c r="O134" s="0" t="n">
        <f aca="false">6*J134+(J134-K134-M134)+2*L134+3*N134</f>
        <v>23</v>
      </c>
      <c r="P134" s="0" t="n">
        <f aca="true">RAND()</f>
        <v>0.408939444207609</v>
      </c>
      <c r="Q134" s="0" t="n">
        <f aca="true">RAND()</f>
        <v>0.071928772277788</v>
      </c>
      <c r="R134" s="0" t="n">
        <f aca="false">IF($I134&lt;&gt;$O134,0,IF(P134&lt;Matchup!$B$39,7,IF(P134&lt;Matchup!$B$39+Matchup!$B$40,3,0)))</f>
        <v>0</v>
      </c>
      <c r="S134" s="0" t="n">
        <f aca="false">IF($I134&lt;&gt;$O134,0,IF(Q134&lt;Matchup!$C$39,7,IF(Q134&lt;Matchup!$C$39+Matchup!$C$40,3,0)))</f>
        <v>0</v>
      </c>
      <c r="T134" s="0" t="n">
        <f aca="false">I134+R134</f>
        <v>17</v>
      </c>
      <c r="U134" s="0" t="n">
        <f aca="false">O134+S134</f>
        <v>23</v>
      </c>
      <c r="V134" s="0" t="n">
        <f aca="false">T134-U134</f>
        <v>-6</v>
      </c>
      <c r="W134" s="0" t="n">
        <f aca="false">T134+U134</f>
        <v>40</v>
      </c>
    </row>
    <row r="135" customFormat="false" ht="15" hidden="false" customHeight="false" outlineLevel="0" collapsed="false">
      <c r="A135" s="0" t="n">
        <v>132</v>
      </c>
      <c r="B135" s="0" t="n">
        <f aca="true">NORMINV(RAND(),1,Coefficients!$B$22)</f>
        <v>1.00359230963828</v>
      </c>
      <c r="C135" s="0" t="n">
        <f aca="true">MEDIAN(8,16,ROUND(NORMINV(RAND(),Coefficients!$B$20,Coefficients!$B$21),0))</f>
        <v>10</v>
      </c>
      <c r="D135" s="0" t="n">
        <f aca="true">CRITBINOM($C135,MIN(0.75,Matchup!$B$39*$B135),RAND())</f>
        <v>5</v>
      </c>
      <c r="E135" s="0" t="n">
        <f aca="true">CRITBINOM(D135,Coefficients!$B$30,RAND())</f>
        <v>0</v>
      </c>
      <c r="F135" s="0" t="n">
        <f aca="true">CRITBINOM(E135,Coefficients!$B$31,RAND())</f>
        <v>0</v>
      </c>
      <c r="G135" s="0" t="n">
        <f aca="true">CRITBINOM(MAX(0,D135-E135),1-Coefficients!$B$32,RAND())</f>
        <v>0</v>
      </c>
      <c r="H135" s="0" t="n">
        <f aca="true">CRITBINOM(MAX(0,$C135-D135),MIN(0.6,Matchup!$B$40*SQRT($B135)/(1-MIN(0.75,Matchup!$B$39*$B135))),RAND())</f>
        <v>0</v>
      </c>
      <c r="I135" s="0" t="n">
        <f aca="false">6*D135+(D135-E135-G135)+2*F135+3*H135</f>
        <v>35</v>
      </c>
      <c r="J135" s="0" t="n">
        <f aca="true">CRITBINOM($C135,MIN(0.75,Matchup!$C$39*$B135),RAND())</f>
        <v>3</v>
      </c>
      <c r="K135" s="0" t="n">
        <f aca="true">CRITBINOM(J135,Coefficients!$B$30,RAND())</f>
        <v>2</v>
      </c>
      <c r="L135" s="0" t="n">
        <f aca="true">CRITBINOM(K135,Coefficients!$B$31,RAND())</f>
        <v>1</v>
      </c>
      <c r="M135" s="0" t="n">
        <f aca="true">CRITBINOM(MAX(0,J135-K135),1-Coefficients!$B$32,RAND())</f>
        <v>0</v>
      </c>
      <c r="N135" s="0" t="n">
        <f aca="true">CRITBINOM(MAX(0,$C135-J135),MIN(0.6,Matchup!$C$40*SQRT($B135)/(1-MIN(0.75,Matchup!$C$39*$B135))),RAND())</f>
        <v>0</v>
      </c>
      <c r="O135" s="0" t="n">
        <f aca="false">6*J135+(J135-K135-M135)+2*L135+3*N135</f>
        <v>21</v>
      </c>
      <c r="P135" s="0" t="n">
        <f aca="true">RAND()</f>
        <v>0.531377314538092</v>
      </c>
      <c r="Q135" s="0" t="n">
        <f aca="true">RAND()</f>
        <v>0.402503212530575</v>
      </c>
      <c r="R135" s="0" t="n">
        <f aca="false">IF($I135&lt;&gt;$O135,0,IF(P135&lt;Matchup!$B$39,7,IF(P135&lt;Matchup!$B$39+Matchup!$B$40,3,0)))</f>
        <v>0</v>
      </c>
      <c r="S135" s="0" t="n">
        <f aca="false">IF($I135&lt;&gt;$O135,0,IF(Q135&lt;Matchup!$C$39,7,IF(Q135&lt;Matchup!$C$39+Matchup!$C$40,3,0)))</f>
        <v>0</v>
      </c>
      <c r="T135" s="0" t="n">
        <f aca="false">I135+R135</f>
        <v>35</v>
      </c>
      <c r="U135" s="0" t="n">
        <f aca="false">O135+S135</f>
        <v>21</v>
      </c>
      <c r="V135" s="0" t="n">
        <f aca="false">T135-U135</f>
        <v>14</v>
      </c>
      <c r="W135" s="0" t="n">
        <f aca="false">T135+U135</f>
        <v>56</v>
      </c>
    </row>
    <row r="136" customFormat="false" ht="15" hidden="false" customHeight="false" outlineLevel="0" collapsed="false">
      <c r="A136" s="0" t="n">
        <v>133</v>
      </c>
      <c r="B136" s="0" t="n">
        <f aca="true">NORMINV(RAND(),1,Coefficients!$B$22)</f>
        <v>0.864814648757891</v>
      </c>
      <c r="C136" s="0" t="n">
        <f aca="true">MEDIAN(8,16,ROUND(NORMINV(RAND(),Coefficients!$B$20,Coefficients!$B$21),0))</f>
        <v>11</v>
      </c>
      <c r="D136" s="0" t="n">
        <f aca="true">CRITBINOM($C136,MIN(0.75,Matchup!$B$39*$B136),RAND())</f>
        <v>1</v>
      </c>
      <c r="E136" s="0" t="n">
        <f aca="true">CRITBINOM(D136,Coefficients!$B$30,RAND())</f>
        <v>0</v>
      </c>
      <c r="F136" s="0" t="n">
        <f aca="true">CRITBINOM(E136,Coefficients!$B$31,RAND())</f>
        <v>0</v>
      </c>
      <c r="G136" s="0" t="n">
        <f aca="true">CRITBINOM(MAX(0,D136-E136),1-Coefficients!$B$32,RAND())</f>
        <v>0</v>
      </c>
      <c r="H136" s="0" t="n">
        <f aca="true">CRITBINOM(MAX(0,$C136-D136),MIN(0.6,Matchup!$B$40*SQRT($B136)/(1-MIN(0.75,Matchup!$B$39*$B136))),RAND())</f>
        <v>2</v>
      </c>
      <c r="I136" s="0" t="n">
        <f aca="false">6*D136+(D136-E136-G136)+2*F136+3*H136</f>
        <v>13</v>
      </c>
      <c r="J136" s="0" t="n">
        <f aca="true">CRITBINOM($C136,MIN(0.75,Matchup!$C$39*$B136),RAND())</f>
        <v>4</v>
      </c>
      <c r="K136" s="0" t="n">
        <f aca="true">CRITBINOM(J136,Coefficients!$B$30,RAND())</f>
        <v>0</v>
      </c>
      <c r="L136" s="0" t="n">
        <f aca="true">CRITBINOM(K136,Coefficients!$B$31,RAND())</f>
        <v>0</v>
      </c>
      <c r="M136" s="0" t="n">
        <f aca="true">CRITBINOM(MAX(0,J136-K136),1-Coefficients!$B$32,RAND())</f>
        <v>0</v>
      </c>
      <c r="N136" s="0" t="n">
        <f aca="true">CRITBINOM(MAX(0,$C136-J136),MIN(0.6,Matchup!$C$40*SQRT($B136)/(1-MIN(0.75,Matchup!$C$39*$B136))),RAND())</f>
        <v>1</v>
      </c>
      <c r="O136" s="0" t="n">
        <f aca="false">6*J136+(J136-K136-M136)+2*L136+3*N136</f>
        <v>31</v>
      </c>
      <c r="P136" s="0" t="n">
        <f aca="true">RAND()</f>
        <v>0.387683896672866</v>
      </c>
      <c r="Q136" s="0" t="n">
        <f aca="true">RAND()</f>
        <v>0.906964019856774</v>
      </c>
      <c r="R136" s="0" t="n">
        <f aca="false">IF($I136&lt;&gt;$O136,0,IF(P136&lt;Matchup!$B$39,7,IF(P136&lt;Matchup!$B$39+Matchup!$B$40,3,0)))</f>
        <v>0</v>
      </c>
      <c r="S136" s="0" t="n">
        <f aca="false">IF($I136&lt;&gt;$O136,0,IF(Q136&lt;Matchup!$C$39,7,IF(Q136&lt;Matchup!$C$39+Matchup!$C$40,3,0)))</f>
        <v>0</v>
      </c>
      <c r="T136" s="0" t="n">
        <f aca="false">I136+R136</f>
        <v>13</v>
      </c>
      <c r="U136" s="0" t="n">
        <f aca="false">O136+S136</f>
        <v>31</v>
      </c>
      <c r="V136" s="0" t="n">
        <f aca="false">T136-U136</f>
        <v>-18</v>
      </c>
      <c r="W136" s="0" t="n">
        <f aca="false">T136+U136</f>
        <v>44</v>
      </c>
    </row>
    <row r="137" customFormat="false" ht="15" hidden="false" customHeight="false" outlineLevel="0" collapsed="false">
      <c r="A137" s="0" t="n">
        <v>134</v>
      </c>
      <c r="B137" s="0" t="n">
        <f aca="true">NORMINV(RAND(),1,Coefficients!$B$22)</f>
        <v>1.05878340480572</v>
      </c>
      <c r="C137" s="0" t="n">
        <f aca="true">MEDIAN(8,16,ROUND(NORMINV(RAND(),Coefficients!$B$20,Coefficients!$B$21),0))</f>
        <v>9</v>
      </c>
      <c r="D137" s="0" t="n">
        <f aca="true">CRITBINOM($C137,MIN(0.75,Matchup!$B$39*$B137),RAND())</f>
        <v>1</v>
      </c>
      <c r="E137" s="0" t="n">
        <f aca="true">CRITBINOM(D137,Coefficients!$B$30,RAND())</f>
        <v>0</v>
      </c>
      <c r="F137" s="0" t="n">
        <f aca="true">CRITBINOM(E137,Coefficients!$B$31,RAND())</f>
        <v>0</v>
      </c>
      <c r="G137" s="0" t="n">
        <f aca="true">CRITBINOM(MAX(0,D137-E137),1-Coefficients!$B$32,RAND())</f>
        <v>0</v>
      </c>
      <c r="H137" s="0" t="n">
        <f aca="true">CRITBINOM(MAX(0,$C137-D137),MIN(0.6,Matchup!$B$40*SQRT($B137)/(1-MIN(0.75,Matchup!$B$39*$B137))),RAND())</f>
        <v>0</v>
      </c>
      <c r="I137" s="0" t="n">
        <f aca="false">6*D137+(D137-E137-G137)+2*F137+3*H137</f>
        <v>7</v>
      </c>
      <c r="J137" s="0" t="n">
        <f aca="true">CRITBINOM($C137,MIN(0.75,Matchup!$C$39*$B137),RAND())</f>
        <v>3</v>
      </c>
      <c r="K137" s="0" t="n">
        <f aca="true">CRITBINOM(J137,Coefficients!$B$30,RAND())</f>
        <v>0</v>
      </c>
      <c r="L137" s="0" t="n">
        <f aca="true">CRITBINOM(K137,Coefficients!$B$31,RAND())</f>
        <v>0</v>
      </c>
      <c r="M137" s="0" t="n">
        <f aca="true">CRITBINOM(MAX(0,J137-K137),1-Coefficients!$B$32,RAND())</f>
        <v>0</v>
      </c>
      <c r="N137" s="0" t="n">
        <f aca="true">CRITBINOM(MAX(0,$C137-J137),MIN(0.6,Matchup!$C$40*SQRT($B137)/(1-MIN(0.75,Matchup!$C$39*$B137))),RAND())</f>
        <v>0</v>
      </c>
      <c r="O137" s="0" t="n">
        <f aca="false">6*J137+(J137-K137-M137)+2*L137+3*N137</f>
        <v>21</v>
      </c>
      <c r="P137" s="0" t="n">
        <f aca="true">RAND()</f>
        <v>0.682110005187675</v>
      </c>
      <c r="Q137" s="0" t="n">
        <f aca="true">RAND()</f>
        <v>0.338566159017862</v>
      </c>
      <c r="R137" s="0" t="n">
        <f aca="false">IF($I137&lt;&gt;$O137,0,IF(P137&lt;Matchup!$B$39,7,IF(P137&lt;Matchup!$B$39+Matchup!$B$40,3,0)))</f>
        <v>0</v>
      </c>
      <c r="S137" s="0" t="n">
        <f aca="false">IF($I137&lt;&gt;$O137,0,IF(Q137&lt;Matchup!$C$39,7,IF(Q137&lt;Matchup!$C$39+Matchup!$C$40,3,0)))</f>
        <v>0</v>
      </c>
      <c r="T137" s="0" t="n">
        <f aca="false">I137+R137</f>
        <v>7</v>
      </c>
      <c r="U137" s="0" t="n">
        <f aca="false">O137+S137</f>
        <v>21</v>
      </c>
      <c r="V137" s="0" t="n">
        <f aca="false">T137-U137</f>
        <v>-14</v>
      </c>
      <c r="W137" s="0" t="n">
        <f aca="false">T137+U137</f>
        <v>28</v>
      </c>
    </row>
    <row r="138" customFormat="false" ht="15" hidden="false" customHeight="false" outlineLevel="0" collapsed="false">
      <c r="A138" s="0" t="n">
        <v>135</v>
      </c>
      <c r="B138" s="0" t="n">
        <f aca="true">NORMINV(RAND(),1,Coefficients!$B$22)</f>
        <v>0.976567171203848</v>
      </c>
      <c r="C138" s="0" t="n">
        <f aca="true">MEDIAN(8,16,ROUND(NORMINV(RAND(),Coefficients!$B$20,Coefficients!$B$21),0))</f>
        <v>10</v>
      </c>
      <c r="D138" s="0" t="n">
        <f aca="true">CRITBINOM($C138,MIN(0.75,Matchup!$B$39*$B138),RAND())</f>
        <v>2</v>
      </c>
      <c r="E138" s="0" t="n">
        <f aca="true">CRITBINOM(D138,Coefficients!$B$30,RAND())</f>
        <v>0</v>
      </c>
      <c r="F138" s="0" t="n">
        <f aca="true">CRITBINOM(E138,Coefficients!$B$31,RAND())</f>
        <v>0</v>
      </c>
      <c r="G138" s="0" t="n">
        <f aca="true">CRITBINOM(MAX(0,D138-E138),1-Coefficients!$B$32,RAND())</f>
        <v>0</v>
      </c>
      <c r="H138" s="0" t="n">
        <f aca="true">CRITBINOM(MAX(0,$C138-D138),MIN(0.6,Matchup!$B$40*SQRT($B138)/(1-MIN(0.75,Matchup!$B$39*$B138))),RAND())</f>
        <v>1</v>
      </c>
      <c r="I138" s="0" t="n">
        <f aca="false">6*D138+(D138-E138-G138)+2*F138+3*H138</f>
        <v>17</v>
      </c>
      <c r="J138" s="0" t="n">
        <f aca="true">CRITBINOM($C138,MIN(0.75,Matchup!$C$39*$B138),RAND())</f>
        <v>1</v>
      </c>
      <c r="K138" s="0" t="n">
        <f aca="true">CRITBINOM(J138,Coefficients!$B$30,RAND())</f>
        <v>0</v>
      </c>
      <c r="L138" s="0" t="n">
        <f aca="true">CRITBINOM(K138,Coefficients!$B$31,RAND())</f>
        <v>0</v>
      </c>
      <c r="M138" s="0" t="n">
        <f aca="true">CRITBINOM(MAX(0,J138-K138),1-Coefficients!$B$32,RAND())</f>
        <v>0</v>
      </c>
      <c r="N138" s="0" t="n">
        <f aca="true">CRITBINOM(MAX(0,$C138-J138),MIN(0.6,Matchup!$C$40*SQRT($B138)/(1-MIN(0.75,Matchup!$C$39*$B138))),RAND())</f>
        <v>2</v>
      </c>
      <c r="O138" s="0" t="n">
        <f aca="false">6*J138+(J138-K138-M138)+2*L138+3*N138</f>
        <v>13</v>
      </c>
      <c r="P138" s="0" t="n">
        <f aca="true">RAND()</f>
        <v>0.974706373588608</v>
      </c>
      <c r="Q138" s="0" t="n">
        <f aca="true">RAND()</f>
        <v>0.36991376820294</v>
      </c>
      <c r="R138" s="0" t="n">
        <f aca="false">IF($I138&lt;&gt;$O138,0,IF(P138&lt;Matchup!$B$39,7,IF(P138&lt;Matchup!$B$39+Matchup!$B$40,3,0)))</f>
        <v>0</v>
      </c>
      <c r="S138" s="0" t="n">
        <f aca="false">IF($I138&lt;&gt;$O138,0,IF(Q138&lt;Matchup!$C$39,7,IF(Q138&lt;Matchup!$C$39+Matchup!$C$40,3,0)))</f>
        <v>0</v>
      </c>
      <c r="T138" s="0" t="n">
        <f aca="false">I138+R138</f>
        <v>17</v>
      </c>
      <c r="U138" s="0" t="n">
        <f aca="false">O138+S138</f>
        <v>13</v>
      </c>
      <c r="V138" s="0" t="n">
        <f aca="false">T138-U138</f>
        <v>4</v>
      </c>
      <c r="W138" s="0" t="n">
        <f aca="false">T138+U138</f>
        <v>30</v>
      </c>
    </row>
    <row r="139" customFormat="false" ht="15" hidden="false" customHeight="false" outlineLevel="0" collapsed="false">
      <c r="A139" s="0" t="n">
        <v>136</v>
      </c>
      <c r="B139" s="0" t="n">
        <f aca="true">NORMINV(RAND(),1,Coefficients!$B$22)</f>
        <v>1.21210772939091</v>
      </c>
      <c r="C139" s="0" t="n">
        <f aca="true">MEDIAN(8,16,ROUND(NORMINV(RAND(),Coefficients!$B$20,Coefficients!$B$21),0))</f>
        <v>10</v>
      </c>
      <c r="D139" s="0" t="n">
        <f aca="true">CRITBINOM($C139,MIN(0.75,Matchup!$B$39*$B139),RAND())</f>
        <v>4</v>
      </c>
      <c r="E139" s="0" t="n">
        <f aca="true">CRITBINOM(D139,Coefficients!$B$30,RAND())</f>
        <v>1</v>
      </c>
      <c r="F139" s="0" t="n">
        <f aca="true">CRITBINOM(E139,Coefficients!$B$31,RAND())</f>
        <v>1</v>
      </c>
      <c r="G139" s="0" t="n">
        <f aca="true">CRITBINOM(MAX(0,D139-E139),1-Coefficients!$B$32,RAND())</f>
        <v>1</v>
      </c>
      <c r="H139" s="0" t="n">
        <f aca="true">CRITBINOM(MAX(0,$C139-D139),MIN(0.6,Matchup!$B$40*SQRT($B139)/(1-MIN(0.75,Matchup!$B$39*$B139))),RAND())</f>
        <v>2</v>
      </c>
      <c r="I139" s="0" t="n">
        <f aca="false">6*D139+(D139-E139-G139)+2*F139+3*H139</f>
        <v>34</v>
      </c>
      <c r="J139" s="0" t="n">
        <f aca="true">CRITBINOM($C139,MIN(0.75,Matchup!$C$39*$B139),RAND())</f>
        <v>0</v>
      </c>
      <c r="K139" s="0" t="n">
        <f aca="true">CRITBINOM(J139,Coefficients!$B$30,RAND())</f>
        <v>0</v>
      </c>
      <c r="L139" s="0" t="n">
        <f aca="true">CRITBINOM(K139,Coefficients!$B$31,RAND())</f>
        <v>0</v>
      </c>
      <c r="M139" s="0" t="n">
        <f aca="true">CRITBINOM(MAX(0,J139-K139),1-Coefficients!$B$32,RAND())</f>
        <v>0</v>
      </c>
      <c r="N139" s="0" t="n">
        <f aca="true">CRITBINOM(MAX(0,$C139-J139),MIN(0.6,Matchup!$C$40*SQRT($B139)/(1-MIN(0.75,Matchup!$C$39*$B139))),RAND())</f>
        <v>2</v>
      </c>
      <c r="O139" s="0" t="n">
        <f aca="false">6*J139+(J139-K139-M139)+2*L139+3*N139</f>
        <v>6</v>
      </c>
      <c r="P139" s="0" t="n">
        <f aca="true">RAND()</f>
        <v>0.876973823667394</v>
      </c>
      <c r="Q139" s="0" t="n">
        <f aca="true">RAND()</f>
        <v>0.145968292139077</v>
      </c>
      <c r="R139" s="0" t="n">
        <f aca="false">IF($I139&lt;&gt;$O139,0,IF(P139&lt;Matchup!$B$39,7,IF(P139&lt;Matchup!$B$39+Matchup!$B$40,3,0)))</f>
        <v>0</v>
      </c>
      <c r="S139" s="0" t="n">
        <f aca="false">IF($I139&lt;&gt;$O139,0,IF(Q139&lt;Matchup!$C$39,7,IF(Q139&lt;Matchup!$C$39+Matchup!$C$40,3,0)))</f>
        <v>0</v>
      </c>
      <c r="T139" s="0" t="n">
        <f aca="false">I139+R139</f>
        <v>34</v>
      </c>
      <c r="U139" s="0" t="n">
        <f aca="false">O139+S139</f>
        <v>6</v>
      </c>
      <c r="V139" s="0" t="n">
        <f aca="false">T139-U139</f>
        <v>28</v>
      </c>
      <c r="W139" s="0" t="n">
        <f aca="false">T139+U139</f>
        <v>40</v>
      </c>
    </row>
    <row r="140" customFormat="false" ht="15" hidden="false" customHeight="false" outlineLevel="0" collapsed="false">
      <c r="A140" s="0" t="n">
        <v>137</v>
      </c>
      <c r="B140" s="0" t="n">
        <f aca="true">NORMINV(RAND(),1,Coefficients!$B$22)</f>
        <v>1.0420391387772</v>
      </c>
      <c r="C140" s="0" t="n">
        <f aca="true">MEDIAN(8,16,ROUND(NORMINV(RAND(),Coefficients!$B$20,Coefficients!$B$21),0))</f>
        <v>10</v>
      </c>
      <c r="D140" s="0" t="n">
        <f aca="true">CRITBINOM($C140,MIN(0.75,Matchup!$B$39*$B140),RAND())</f>
        <v>1</v>
      </c>
      <c r="E140" s="0" t="n">
        <f aca="true">CRITBINOM(D140,Coefficients!$B$30,RAND())</f>
        <v>0</v>
      </c>
      <c r="F140" s="0" t="n">
        <f aca="true">CRITBINOM(E140,Coefficients!$B$31,RAND())</f>
        <v>0</v>
      </c>
      <c r="G140" s="0" t="n">
        <f aca="true">CRITBINOM(MAX(0,D140-E140),1-Coefficients!$B$32,RAND())</f>
        <v>0</v>
      </c>
      <c r="H140" s="0" t="n">
        <f aca="true">CRITBINOM(MAX(0,$C140-D140),MIN(0.6,Matchup!$B$40*SQRT($B140)/(1-MIN(0.75,Matchup!$B$39*$B140))),RAND())</f>
        <v>1</v>
      </c>
      <c r="I140" s="0" t="n">
        <f aca="false">6*D140+(D140-E140-G140)+2*F140+3*H140</f>
        <v>10</v>
      </c>
      <c r="J140" s="0" t="n">
        <f aca="true">CRITBINOM($C140,MIN(0.75,Matchup!$C$39*$B140),RAND())</f>
        <v>1</v>
      </c>
      <c r="K140" s="0" t="n">
        <f aca="true">CRITBINOM(J140,Coefficients!$B$30,RAND())</f>
        <v>0</v>
      </c>
      <c r="L140" s="0" t="n">
        <f aca="true">CRITBINOM(K140,Coefficients!$B$31,RAND())</f>
        <v>0</v>
      </c>
      <c r="M140" s="0" t="n">
        <f aca="true">CRITBINOM(MAX(0,J140-K140),1-Coefficients!$B$32,RAND())</f>
        <v>0</v>
      </c>
      <c r="N140" s="0" t="n">
        <f aca="true">CRITBINOM(MAX(0,$C140-J140),MIN(0.6,Matchup!$C$40*SQRT($B140)/(1-MIN(0.75,Matchup!$C$39*$B140))),RAND())</f>
        <v>1</v>
      </c>
      <c r="O140" s="0" t="n">
        <f aca="false">6*J140+(J140-K140-M140)+2*L140+3*N140</f>
        <v>10</v>
      </c>
      <c r="P140" s="0" t="n">
        <f aca="true">RAND()</f>
        <v>0.1899851400168</v>
      </c>
      <c r="Q140" s="0" t="n">
        <f aca="true">RAND()</f>
        <v>0.684526205143933</v>
      </c>
      <c r="R140" s="0" t="n">
        <f aca="false">IF($I140&lt;&gt;$O140,0,IF(P140&lt;Matchup!$B$39,7,IF(P140&lt;Matchup!$B$39+Matchup!$B$40,3,0)))</f>
        <v>7</v>
      </c>
      <c r="S140" s="0" t="n">
        <f aca="false">IF($I140&lt;&gt;$O140,0,IF(Q140&lt;Matchup!$C$39,7,IF(Q140&lt;Matchup!$C$39+Matchup!$C$40,3,0)))</f>
        <v>0</v>
      </c>
      <c r="T140" s="0" t="n">
        <f aca="false">I140+R140</f>
        <v>17</v>
      </c>
      <c r="U140" s="0" t="n">
        <f aca="false">O140+S140</f>
        <v>10</v>
      </c>
      <c r="V140" s="0" t="n">
        <f aca="false">T140-U140</f>
        <v>7</v>
      </c>
      <c r="W140" s="0" t="n">
        <f aca="false">T140+U140</f>
        <v>27</v>
      </c>
    </row>
    <row r="141" customFormat="false" ht="15" hidden="false" customHeight="false" outlineLevel="0" collapsed="false">
      <c r="A141" s="0" t="n">
        <v>138</v>
      </c>
      <c r="B141" s="0" t="n">
        <f aca="true">NORMINV(RAND(),1,Coefficients!$B$22)</f>
        <v>1.01932060737551</v>
      </c>
      <c r="C141" s="0" t="n">
        <f aca="true">MEDIAN(8,16,ROUND(NORMINV(RAND(),Coefficients!$B$20,Coefficients!$B$21),0))</f>
        <v>12</v>
      </c>
      <c r="D141" s="0" t="n">
        <f aca="true">CRITBINOM($C141,MIN(0.75,Matchup!$B$39*$B141),RAND())</f>
        <v>2</v>
      </c>
      <c r="E141" s="0" t="n">
        <f aca="true">CRITBINOM(D141,Coefficients!$B$30,RAND())</f>
        <v>0</v>
      </c>
      <c r="F141" s="0" t="n">
        <f aca="true">CRITBINOM(E141,Coefficients!$B$31,RAND())</f>
        <v>0</v>
      </c>
      <c r="G141" s="0" t="n">
        <f aca="true">CRITBINOM(MAX(0,D141-E141),1-Coefficients!$B$32,RAND())</f>
        <v>0</v>
      </c>
      <c r="H141" s="0" t="n">
        <f aca="true">CRITBINOM(MAX(0,$C141-D141),MIN(0.6,Matchup!$B$40*SQRT($B141)/(1-MIN(0.75,Matchup!$B$39*$B141))),RAND())</f>
        <v>2</v>
      </c>
      <c r="I141" s="0" t="n">
        <f aca="false">6*D141+(D141-E141-G141)+2*F141+3*H141</f>
        <v>20</v>
      </c>
      <c r="J141" s="0" t="n">
        <f aca="true">CRITBINOM($C141,MIN(0.75,Matchup!$C$39*$B141),RAND())</f>
        <v>2</v>
      </c>
      <c r="K141" s="0" t="n">
        <f aca="true">CRITBINOM(J141,Coefficients!$B$30,RAND())</f>
        <v>0</v>
      </c>
      <c r="L141" s="0" t="n">
        <f aca="true">CRITBINOM(K141,Coefficients!$B$31,RAND())</f>
        <v>0</v>
      </c>
      <c r="M141" s="0" t="n">
        <f aca="true">CRITBINOM(MAX(0,J141-K141),1-Coefficients!$B$32,RAND())</f>
        <v>0</v>
      </c>
      <c r="N141" s="0" t="n">
        <f aca="true">CRITBINOM(MAX(0,$C141-J141),MIN(0.6,Matchup!$C$40*SQRT($B141)/(1-MIN(0.75,Matchup!$C$39*$B141))),RAND())</f>
        <v>0</v>
      </c>
      <c r="O141" s="0" t="n">
        <f aca="false">6*J141+(J141-K141-M141)+2*L141+3*N141</f>
        <v>14</v>
      </c>
      <c r="P141" s="0" t="n">
        <f aca="true">RAND()</f>
        <v>0.965016370102519</v>
      </c>
      <c r="Q141" s="0" t="n">
        <f aca="true">RAND()</f>
        <v>0.803961831483315</v>
      </c>
      <c r="R141" s="0" t="n">
        <f aca="false">IF($I141&lt;&gt;$O141,0,IF(P141&lt;Matchup!$B$39,7,IF(P141&lt;Matchup!$B$39+Matchup!$B$40,3,0)))</f>
        <v>0</v>
      </c>
      <c r="S141" s="0" t="n">
        <f aca="false">IF($I141&lt;&gt;$O141,0,IF(Q141&lt;Matchup!$C$39,7,IF(Q141&lt;Matchup!$C$39+Matchup!$C$40,3,0)))</f>
        <v>0</v>
      </c>
      <c r="T141" s="0" t="n">
        <f aca="false">I141+R141</f>
        <v>20</v>
      </c>
      <c r="U141" s="0" t="n">
        <f aca="false">O141+S141</f>
        <v>14</v>
      </c>
      <c r="V141" s="0" t="n">
        <f aca="false">T141-U141</f>
        <v>6</v>
      </c>
      <c r="W141" s="0" t="n">
        <f aca="false">T141+U141</f>
        <v>34</v>
      </c>
    </row>
    <row r="142" customFormat="false" ht="15" hidden="false" customHeight="false" outlineLevel="0" collapsed="false">
      <c r="A142" s="0" t="n">
        <v>139</v>
      </c>
      <c r="B142" s="0" t="n">
        <f aca="true">NORMINV(RAND(),1,Coefficients!$B$22)</f>
        <v>0.897904096483411</v>
      </c>
      <c r="C142" s="0" t="n">
        <f aca="true">MEDIAN(8,16,ROUND(NORMINV(RAND(),Coefficients!$B$20,Coefficients!$B$21),0))</f>
        <v>10</v>
      </c>
      <c r="D142" s="0" t="n">
        <f aca="true">CRITBINOM($C142,MIN(0.75,Matchup!$B$39*$B142),RAND())</f>
        <v>1</v>
      </c>
      <c r="E142" s="0" t="n">
        <f aca="true">CRITBINOM(D142,Coefficients!$B$30,RAND())</f>
        <v>0</v>
      </c>
      <c r="F142" s="0" t="n">
        <f aca="true">CRITBINOM(E142,Coefficients!$B$31,RAND())</f>
        <v>0</v>
      </c>
      <c r="G142" s="0" t="n">
        <f aca="true">CRITBINOM(MAX(0,D142-E142),1-Coefficients!$B$32,RAND())</f>
        <v>0</v>
      </c>
      <c r="H142" s="0" t="n">
        <f aca="true">CRITBINOM(MAX(0,$C142-D142),MIN(0.6,Matchup!$B$40*SQRT($B142)/(1-MIN(0.75,Matchup!$B$39*$B142))),RAND())</f>
        <v>1</v>
      </c>
      <c r="I142" s="0" t="n">
        <f aca="false">6*D142+(D142-E142-G142)+2*F142+3*H142</f>
        <v>10</v>
      </c>
      <c r="J142" s="0" t="n">
        <f aca="true">CRITBINOM($C142,MIN(0.75,Matchup!$C$39*$B142),RAND())</f>
        <v>4</v>
      </c>
      <c r="K142" s="0" t="n">
        <f aca="true">CRITBINOM(J142,Coefficients!$B$30,RAND())</f>
        <v>0</v>
      </c>
      <c r="L142" s="0" t="n">
        <f aca="true">CRITBINOM(K142,Coefficients!$B$31,RAND())</f>
        <v>0</v>
      </c>
      <c r="M142" s="0" t="n">
        <f aca="true">CRITBINOM(MAX(0,J142-K142),1-Coefficients!$B$32,RAND())</f>
        <v>0</v>
      </c>
      <c r="N142" s="0" t="n">
        <f aca="true">CRITBINOM(MAX(0,$C142-J142),MIN(0.6,Matchup!$C$40*SQRT($B142)/(1-MIN(0.75,Matchup!$C$39*$B142))),RAND())</f>
        <v>1</v>
      </c>
      <c r="O142" s="0" t="n">
        <f aca="false">6*J142+(J142-K142-M142)+2*L142+3*N142</f>
        <v>31</v>
      </c>
      <c r="P142" s="0" t="n">
        <f aca="true">RAND()</f>
        <v>0.297685521491926</v>
      </c>
      <c r="Q142" s="0" t="n">
        <f aca="true">RAND()</f>
        <v>0.190579955145663</v>
      </c>
      <c r="R142" s="0" t="n">
        <f aca="false">IF($I142&lt;&gt;$O142,0,IF(P142&lt;Matchup!$B$39,7,IF(P142&lt;Matchup!$B$39+Matchup!$B$40,3,0)))</f>
        <v>0</v>
      </c>
      <c r="S142" s="0" t="n">
        <f aca="false">IF($I142&lt;&gt;$O142,0,IF(Q142&lt;Matchup!$C$39,7,IF(Q142&lt;Matchup!$C$39+Matchup!$C$40,3,0)))</f>
        <v>0</v>
      </c>
      <c r="T142" s="0" t="n">
        <f aca="false">I142+R142</f>
        <v>10</v>
      </c>
      <c r="U142" s="0" t="n">
        <f aca="false">O142+S142</f>
        <v>31</v>
      </c>
      <c r="V142" s="0" t="n">
        <f aca="false">T142-U142</f>
        <v>-21</v>
      </c>
      <c r="W142" s="0" t="n">
        <f aca="false">T142+U142</f>
        <v>41</v>
      </c>
    </row>
    <row r="143" customFormat="false" ht="15" hidden="false" customHeight="false" outlineLevel="0" collapsed="false">
      <c r="A143" s="0" t="n">
        <v>140</v>
      </c>
      <c r="B143" s="0" t="n">
        <f aca="true">NORMINV(RAND(),1,Coefficients!$B$22)</f>
        <v>1.10153311289676</v>
      </c>
      <c r="C143" s="0" t="n">
        <f aca="true">MEDIAN(8,16,ROUND(NORMINV(RAND(),Coefficients!$B$20,Coefficients!$B$21),0))</f>
        <v>12</v>
      </c>
      <c r="D143" s="0" t="n">
        <f aca="true">CRITBINOM($C143,MIN(0.75,Matchup!$B$39*$B143),RAND())</f>
        <v>1</v>
      </c>
      <c r="E143" s="0" t="n">
        <f aca="true">CRITBINOM(D143,Coefficients!$B$30,RAND())</f>
        <v>0</v>
      </c>
      <c r="F143" s="0" t="n">
        <f aca="true">CRITBINOM(E143,Coefficients!$B$31,RAND())</f>
        <v>0</v>
      </c>
      <c r="G143" s="0" t="n">
        <f aca="true">CRITBINOM(MAX(0,D143-E143),1-Coefficients!$B$32,RAND())</f>
        <v>0</v>
      </c>
      <c r="H143" s="0" t="n">
        <f aca="true">CRITBINOM(MAX(0,$C143-D143),MIN(0.6,Matchup!$B$40*SQRT($B143)/(1-MIN(0.75,Matchup!$B$39*$B143))),RAND())</f>
        <v>3</v>
      </c>
      <c r="I143" s="0" t="n">
        <f aca="false">6*D143+(D143-E143-G143)+2*F143+3*H143</f>
        <v>16</v>
      </c>
      <c r="J143" s="0" t="n">
        <f aca="true">CRITBINOM($C143,MIN(0.75,Matchup!$C$39*$B143),RAND())</f>
        <v>2</v>
      </c>
      <c r="K143" s="0" t="n">
        <f aca="true">CRITBINOM(J143,Coefficients!$B$30,RAND())</f>
        <v>0</v>
      </c>
      <c r="L143" s="0" t="n">
        <f aca="true">CRITBINOM(K143,Coefficients!$B$31,RAND())</f>
        <v>0</v>
      </c>
      <c r="M143" s="0" t="n">
        <f aca="true">CRITBINOM(MAX(0,J143-K143),1-Coefficients!$B$32,RAND())</f>
        <v>0</v>
      </c>
      <c r="N143" s="0" t="n">
        <f aca="true">CRITBINOM(MAX(0,$C143-J143),MIN(0.6,Matchup!$C$40*SQRT($B143)/(1-MIN(0.75,Matchup!$C$39*$B143))),RAND())</f>
        <v>1</v>
      </c>
      <c r="O143" s="0" t="n">
        <f aca="false">6*J143+(J143-K143-M143)+2*L143+3*N143</f>
        <v>17</v>
      </c>
      <c r="P143" s="0" t="n">
        <f aca="true">RAND()</f>
        <v>0.987855456028057</v>
      </c>
      <c r="Q143" s="0" t="n">
        <f aca="true">RAND()</f>
        <v>0.890719274817495</v>
      </c>
      <c r="R143" s="0" t="n">
        <f aca="false">IF($I143&lt;&gt;$O143,0,IF(P143&lt;Matchup!$B$39,7,IF(P143&lt;Matchup!$B$39+Matchup!$B$40,3,0)))</f>
        <v>0</v>
      </c>
      <c r="S143" s="0" t="n">
        <f aca="false">IF($I143&lt;&gt;$O143,0,IF(Q143&lt;Matchup!$C$39,7,IF(Q143&lt;Matchup!$C$39+Matchup!$C$40,3,0)))</f>
        <v>0</v>
      </c>
      <c r="T143" s="0" t="n">
        <f aca="false">I143+R143</f>
        <v>16</v>
      </c>
      <c r="U143" s="0" t="n">
        <f aca="false">O143+S143</f>
        <v>17</v>
      </c>
      <c r="V143" s="0" t="n">
        <f aca="false">T143-U143</f>
        <v>-1</v>
      </c>
      <c r="W143" s="0" t="n">
        <f aca="false">T143+U143</f>
        <v>33</v>
      </c>
    </row>
    <row r="144" customFormat="false" ht="15" hidden="false" customHeight="false" outlineLevel="0" collapsed="false">
      <c r="A144" s="0" t="n">
        <v>141</v>
      </c>
      <c r="B144" s="0" t="n">
        <f aca="true">NORMINV(RAND(),1,Coefficients!$B$22)</f>
        <v>1.03340696095328</v>
      </c>
      <c r="C144" s="0" t="n">
        <f aca="true">MEDIAN(8,16,ROUND(NORMINV(RAND(),Coefficients!$B$20,Coefficients!$B$21),0))</f>
        <v>9</v>
      </c>
      <c r="D144" s="0" t="n">
        <f aca="true">CRITBINOM($C144,MIN(0.75,Matchup!$B$39*$B144),RAND())</f>
        <v>3</v>
      </c>
      <c r="E144" s="0" t="n">
        <f aca="true">CRITBINOM(D144,Coefficients!$B$30,RAND())</f>
        <v>0</v>
      </c>
      <c r="F144" s="0" t="n">
        <f aca="true">CRITBINOM(E144,Coefficients!$B$31,RAND())</f>
        <v>0</v>
      </c>
      <c r="G144" s="0" t="n">
        <f aca="true">CRITBINOM(MAX(0,D144-E144),1-Coefficients!$B$32,RAND())</f>
        <v>1</v>
      </c>
      <c r="H144" s="0" t="n">
        <f aca="true">CRITBINOM(MAX(0,$C144-D144),MIN(0.6,Matchup!$B$40*SQRT($B144)/(1-MIN(0.75,Matchup!$B$39*$B144))),RAND())</f>
        <v>0</v>
      </c>
      <c r="I144" s="0" t="n">
        <f aca="false">6*D144+(D144-E144-G144)+2*F144+3*H144</f>
        <v>20</v>
      </c>
      <c r="J144" s="0" t="n">
        <f aca="true">CRITBINOM($C144,MIN(0.75,Matchup!$C$39*$B144),RAND())</f>
        <v>3</v>
      </c>
      <c r="K144" s="0" t="n">
        <f aca="true">CRITBINOM(J144,Coefficients!$B$30,RAND())</f>
        <v>0</v>
      </c>
      <c r="L144" s="0" t="n">
        <f aca="true">CRITBINOM(K144,Coefficients!$B$31,RAND())</f>
        <v>0</v>
      </c>
      <c r="M144" s="0" t="n">
        <f aca="true">CRITBINOM(MAX(0,J144-K144),1-Coefficients!$B$32,RAND())</f>
        <v>0</v>
      </c>
      <c r="N144" s="0" t="n">
        <f aca="true">CRITBINOM(MAX(0,$C144-J144),MIN(0.6,Matchup!$C$40*SQRT($B144)/(1-MIN(0.75,Matchup!$C$39*$B144))),RAND())</f>
        <v>0</v>
      </c>
      <c r="O144" s="0" t="n">
        <f aca="false">6*J144+(J144-K144-M144)+2*L144+3*N144</f>
        <v>21</v>
      </c>
      <c r="P144" s="0" t="n">
        <f aca="true">RAND()</f>
        <v>0.628058969120933</v>
      </c>
      <c r="Q144" s="0" t="n">
        <f aca="true">RAND()</f>
        <v>0.719309542966094</v>
      </c>
      <c r="R144" s="0" t="n">
        <f aca="false">IF($I144&lt;&gt;$O144,0,IF(P144&lt;Matchup!$B$39,7,IF(P144&lt;Matchup!$B$39+Matchup!$B$40,3,0)))</f>
        <v>0</v>
      </c>
      <c r="S144" s="0" t="n">
        <f aca="false">IF($I144&lt;&gt;$O144,0,IF(Q144&lt;Matchup!$C$39,7,IF(Q144&lt;Matchup!$C$39+Matchup!$C$40,3,0)))</f>
        <v>0</v>
      </c>
      <c r="T144" s="0" t="n">
        <f aca="false">I144+R144</f>
        <v>20</v>
      </c>
      <c r="U144" s="0" t="n">
        <f aca="false">O144+S144</f>
        <v>21</v>
      </c>
      <c r="V144" s="0" t="n">
        <f aca="false">T144-U144</f>
        <v>-1</v>
      </c>
      <c r="W144" s="0" t="n">
        <f aca="false">T144+U144</f>
        <v>41</v>
      </c>
    </row>
    <row r="145" customFormat="false" ht="15" hidden="false" customHeight="false" outlineLevel="0" collapsed="false">
      <c r="A145" s="0" t="n">
        <v>142</v>
      </c>
      <c r="B145" s="0" t="n">
        <f aca="true">NORMINV(RAND(),1,Coefficients!$B$22)</f>
        <v>0.984175866690096</v>
      </c>
      <c r="C145" s="0" t="n">
        <f aca="true">MEDIAN(8,16,ROUND(NORMINV(RAND(),Coefficients!$B$20,Coefficients!$B$21),0))</f>
        <v>12</v>
      </c>
      <c r="D145" s="0" t="n">
        <f aca="true">CRITBINOM($C145,MIN(0.75,Matchup!$B$39*$B145),RAND())</f>
        <v>3</v>
      </c>
      <c r="E145" s="0" t="n">
        <f aca="true">CRITBINOM(D145,Coefficients!$B$30,RAND())</f>
        <v>0</v>
      </c>
      <c r="F145" s="0" t="n">
        <f aca="true">CRITBINOM(E145,Coefficients!$B$31,RAND())</f>
        <v>0</v>
      </c>
      <c r="G145" s="0" t="n">
        <f aca="true">CRITBINOM(MAX(0,D145-E145),1-Coefficients!$B$32,RAND())</f>
        <v>1</v>
      </c>
      <c r="H145" s="0" t="n">
        <f aca="true">CRITBINOM(MAX(0,$C145-D145),MIN(0.6,Matchup!$B$40*SQRT($B145)/(1-MIN(0.75,Matchup!$B$39*$B145))),RAND())</f>
        <v>1</v>
      </c>
      <c r="I145" s="0" t="n">
        <f aca="false">6*D145+(D145-E145-G145)+2*F145+3*H145</f>
        <v>23</v>
      </c>
      <c r="J145" s="0" t="n">
        <f aca="true">CRITBINOM($C145,MIN(0.75,Matchup!$C$39*$B145),RAND())</f>
        <v>3</v>
      </c>
      <c r="K145" s="0" t="n">
        <f aca="true">CRITBINOM(J145,Coefficients!$B$30,RAND())</f>
        <v>0</v>
      </c>
      <c r="L145" s="0" t="n">
        <f aca="true">CRITBINOM(K145,Coefficients!$B$31,RAND())</f>
        <v>0</v>
      </c>
      <c r="M145" s="0" t="n">
        <f aca="true">CRITBINOM(MAX(0,J145-K145),1-Coefficients!$B$32,RAND())</f>
        <v>0</v>
      </c>
      <c r="N145" s="0" t="n">
        <f aca="true">CRITBINOM(MAX(0,$C145-J145),MIN(0.6,Matchup!$C$40*SQRT($B145)/(1-MIN(0.75,Matchup!$C$39*$B145))),RAND())</f>
        <v>1</v>
      </c>
      <c r="O145" s="0" t="n">
        <f aca="false">6*J145+(J145-K145-M145)+2*L145+3*N145</f>
        <v>24</v>
      </c>
      <c r="P145" s="0" t="n">
        <f aca="true">RAND()</f>
        <v>0.803475855271843</v>
      </c>
      <c r="Q145" s="0" t="n">
        <f aca="true">RAND()</f>
        <v>0.98301735165309</v>
      </c>
      <c r="R145" s="0" t="n">
        <f aca="false">IF($I145&lt;&gt;$O145,0,IF(P145&lt;Matchup!$B$39,7,IF(P145&lt;Matchup!$B$39+Matchup!$B$40,3,0)))</f>
        <v>0</v>
      </c>
      <c r="S145" s="0" t="n">
        <f aca="false">IF($I145&lt;&gt;$O145,0,IF(Q145&lt;Matchup!$C$39,7,IF(Q145&lt;Matchup!$C$39+Matchup!$C$40,3,0)))</f>
        <v>0</v>
      </c>
      <c r="T145" s="0" t="n">
        <f aca="false">I145+R145</f>
        <v>23</v>
      </c>
      <c r="U145" s="0" t="n">
        <f aca="false">O145+S145</f>
        <v>24</v>
      </c>
      <c r="V145" s="0" t="n">
        <f aca="false">T145-U145</f>
        <v>-1</v>
      </c>
      <c r="W145" s="0" t="n">
        <f aca="false">T145+U145</f>
        <v>47</v>
      </c>
    </row>
    <row r="146" customFormat="false" ht="15" hidden="false" customHeight="false" outlineLevel="0" collapsed="false">
      <c r="A146" s="0" t="n">
        <v>143</v>
      </c>
      <c r="B146" s="0" t="n">
        <f aca="true">NORMINV(RAND(),1,Coefficients!$B$22)</f>
        <v>0.868583759546999</v>
      </c>
      <c r="C146" s="0" t="n">
        <f aca="true">MEDIAN(8,16,ROUND(NORMINV(RAND(),Coefficients!$B$20,Coefficients!$B$21),0))</f>
        <v>11</v>
      </c>
      <c r="D146" s="0" t="n">
        <f aca="true">CRITBINOM($C146,MIN(0.75,Matchup!$B$39*$B146),RAND())</f>
        <v>2</v>
      </c>
      <c r="E146" s="0" t="n">
        <f aca="true">CRITBINOM(D146,Coefficients!$B$30,RAND())</f>
        <v>1</v>
      </c>
      <c r="F146" s="0" t="n">
        <f aca="true">CRITBINOM(E146,Coefficients!$B$31,RAND())</f>
        <v>1</v>
      </c>
      <c r="G146" s="0" t="n">
        <f aca="true">CRITBINOM(MAX(0,D146-E146),1-Coefficients!$B$32,RAND())</f>
        <v>0</v>
      </c>
      <c r="H146" s="0" t="n">
        <f aca="true">CRITBINOM(MAX(0,$C146-D146),MIN(0.6,Matchup!$B$40*SQRT($B146)/(1-MIN(0.75,Matchup!$B$39*$B146))),RAND())</f>
        <v>0</v>
      </c>
      <c r="I146" s="0" t="n">
        <f aca="false">6*D146+(D146-E146-G146)+2*F146+3*H146</f>
        <v>15</v>
      </c>
      <c r="J146" s="0" t="n">
        <f aca="true">CRITBINOM($C146,MIN(0.75,Matchup!$C$39*$B146),RAND())</f>
        <v>4</v>
      </c>
      <c r="K146" s="0" t="n">
        <f aca="true">CRITBINOM(J146,Coefficients!$B$30,RAND())</f>
        <v>0</v>
      </c>
      <c r="L146" s="0" t="n">
        <f aca="true">CRITBINOM(K146,Coefficients!$B$31,RAND())</f>
        <v>0</v>
      </c>
      <c r="M146" s="0" t="n">
        <f aca="true">CRITBINOM(MAX(0,J146-K146),1-Coefficients!$B$32,RAND())</f>
        <v>0</v>
      </c>
      <c r="N146" s="0" t="n">
        <f aca="true">CRITBINOM(MAX(0,$C146-J146),MIN(0.6,Matchup!$C$40*SQRT($B146)/(1-MIN(0.75,Matchup!$C$39*$B146))),RAND())</f>
        <v>2</v>
      </c>
      <c r="O146" s="0" t="n">
        <f aca="false">6*J146+(J146-K146-M146)+2*L146+3*N146</f>
        <v>34</v>
      </c>
      <c r="P146" s="0" t="n">
        <f aca="true">RAND()</f>
        <v>0.0261420843346361</v>
      </c>
      <c r="Q146" s="0" t="n">
        <f aca="true">RAND()</f>
        <v>0.25120433497559</v>
      </c>
      <c r="R146" s="0" t="n">
        <f aca="false">IF($I146&lt;&gt;$O146,0,IF(P146&lt;Matchup!$B$39,7,IF(P146&lt;Matchup!$B$39+Matchup!$B$40,3,0)))</f>
        <v>0</v>
      </c>
      <c r="S146" s="0" t="n">
        <f aca="false">IF($I146&lt;&gt;$O146,0,IF(Q146&lt;Matchup!$C$39,7,IF(Q146&lt;Matchup!$C$39+Matchup!$C$40,3,0)))</f>
        <v>0</v>
      </c>
      <c r="T146" s="0" t="n">
        <f aca="false">I146+R146</f>
        <v>15</v>
      </c>
      <c r="U146" s="0" t="n">
        <f aca="false">O146+S146</f>
        <v>34</v>
      </c>
      <c r="V146" s="0" t="n">
        <f aca="false">T146-U146</f>
        <v>-19</v>
      </c>
      <c r="W146" s="0" t="n">
        <f aca="false">T146+U146</f>
        <v>49</v>
      </c>
    </row>
    <row r="147" customFormat="false" ht="15" hidden="false" customHeight="false" outlineLevel="0" collapsed="false">
      <c r="A147" s="0" t="n">
        <v>144</v>
      </c>
      <c r="B147" s="0" t="n">
        <f aca="true">NORMINV(RAND(),1,Coefficients!$B$22)</f>
        <v>0.912208519824757</v>
      </c>
      <c r="C147" s="0" t="n">
        <f aca="true">MEDIAN(8,16,ROUND(NORMINV(RAND(),Coefficients!$B$20,Coefficients!$B$21),0))</f>
        <v>11</v>
      </c>
      <c r="D147" s="0" t="n">
        <f aca="true">CRITBINOM($C147,MIN(0.75,Matchup!$B$39*$B147),RAND())</f>
        <v>1</v>
      </c>
      <c r="E147" s="0" t="n">
        <f aca="true">CRITBINOM(D147,Coefficients!$B$30,RAND())</f>
        <v>0</v>
      </c>
      <c r="F147" s="0" t="n">
        <f aca="true">CRITBINOM(E147,Coefficients!$B$31,RAND())</f>
        <v>0</v>
      </c>
      <c r="G147" s="0" t="n">
        <f aca="true">CRITBINOM(MAX(0,D147-E147),1-Coefficients!$B$32,RAND())</f>
        <v>0</v>
      </c>
      <c r="H147" s="0" t="n">
        <f aca="true">CRITBINOM(MAX(0,$C147-D147),MIN(0.6,Matchup!$B$40*SQRT($B147)/(1-MIN(0.75,Matchup!$B$39*$B147))),RAND())</f>
        <v>3</v>
      </c>
      <c r="I147" s="0" t="n">
        <f aca="false">6*D147+(D147-E147-G147)+2*F147+3*H147</f>
        <v>16</v>
      </c>
      <c r="J147" s="0" t="n">
        <f aca="true">CRITBINOM($C147,MIN(0.75,Matchup!$C$39*$B147),RAND())</f>
        <v>2</v>
      </c>
      <c r="K147" s="0" t="n">
        <f aca="true">CRITBINOM(J147,Coefficients!$B$30,RAND())</f>
        <v>0</v>
      </c>
      <c r="L147" s="0" t="n">
        <f aca="true">CRITBINOM(K147,Coefficients!$B$31,RAND())</f>
        <v>0</v>
      </c>
      <c r="M147" s="0" t="n">
        <f aca="true">CRITBINOM(MAX(0,J147-K147),1-Coefficients!$B$32,RAND())</f>
        <v>0</v>
      </c>
      <c r="N147" s="0" t="n">
        <f aca="true">CRITBINOM(MAX(0,$C147-J147),MIN(0.6,Matchup!$C$40*SQRT($B147)/(1-MIN(0.75,Matchup!$C$39*$B147))),RAND())</f>
        <v>3</v>
      </c>
      <c r="O147" s="0" t="n">
        <f aca="false">6*J147+(J147-K147-M147)+2*L147+3*N147</f>
        <v>23</v>
      </c>
      <c r="P147" s="0" t="n">
        <f aca="true">RAND()</f>
        <v>0.753362475575763</v>
      </c>
      <c r="Q147" s="0" t="n">
        <f aca="true">RAND()</f>
        <v>0.278719348901219</v>
      </c>
      <c r="R147" s="0" t="n">
        <f aca="false">IF($I147&lt;&gt;$O147,0,IF(P147&lt;Matchup!$B$39,7,IF(P147&lt;Matchup!$B$39+Matchup!$B$40,3,0)))</f>
        <v>0</v>
      </c>
      <c r="S147" s="0" t="n">
        <f aca="false">IF($I147&lt;&gt;$O147,0,IF(Q147&lt;Matchup!$C$39,7,IF(Q147&lt;Matchup!$C$39+Matchup!$C$40,3,0)))</f>
        <v>0</v>
      </c>
      <c r="T147" s="0" t="n">
        <f aca="false">I147+R147</f>
        <v>16</v>
      </c>
      <c r="U147" s="0" t="n">
        <f aca="false">O147+S147</f>
        <v>23</v>
      </c>
      <c r="V147" s="0" t="n">
        <f aca="false">T147-U147</f>
        <v>-7</v>
      </c>
      <c r="W147" s="0" t="n">
        <f aca="false">T147+U147</f>
        <v>39</v>
      </c>
    </row>
    <row r="148" customFormat="false" ht="15" hidden="false" customHeight="false" outlineLevel="0" collapsed="false">
      <c r="A148" s="0" t="n">
        <v>145</v>
      </c>
      <c r="B148" s="0" t="n">
        <f aca="true">NORMINV(RAND(),1,Coefficients!$B$22)</f>
        <v>0.974655162500133</v>
      </c>
      <c r="C148" s="0" t="n">
        <f aca="true">MEDIAN(8,16,ROUND(NORMINV(RAND(),Coefficients!$B$20,Coefficients!$B$21),0))</f>
        <v>11</v>
      </c>
      <c r="D148" s="0" t="n">
        <f aca="true">CRITBINOM($C148,MIN(0.75,Matchup!$B$39*$B148),RAND())</f>
        <v>4</v>
      </c>
      <c r="E148" s="0" t="n">
        <f aca="true">CRITBINOM(D148,Coefficients!$B$30,RAND())</f>
        <v>2</v>
      </c>
      <c r="F148" s="0" t="n">
        <f aca="true">CRITBINOM(E148,Coefficients!$B$31,RAND())</f>
        <v>0</v>
      </c>
      <c r="G148" s="0" t="n">
        <f aca="true">CRITBINOM(MAX(0,D148-E148),1-Coefficients!$B$32,RAND())</f>
        <v>0</v>
      </c>
      <c r="H148" s="0" t="n">
        <f aca="true">CRITBINOM(MAX(0,$C148-D148),MIN(0.6,Matchup!$B$40*SQRT($B148)/(1-MIN(0.75,Matchup!$B$39*$B148))),RAND())</f>
        <v>3</v>
      </c>
      <c r="I148" s="0" t="n">
        <f aca="false">6*D148+(D148-E148-G148)+2*F148+3*H148</f>
        <v>35</v>
      </c>
      <c r="J148" s="0" t="n">
        <f aca="true">CRITBINOM($C148,MIN(0.75,Matchup!$C$39*$B148),RAND())</f>
        <v>4</v>
      </c>
      <c r="K148" s="0" t="n">
        <f aca="true">CRITBINOM(J148,Coefficients!$B$30,RAND())</f>
        <v>1</v>
      </c>
      <c r="L148" s="0" t="n">
        <f aca="true">CRITBINOM(K148,Coefficients!$B$31,RAND())</f>
        <v>0</v>
      </c>
      <c r="M148" s="0" t="n">
        <f aca="true">CRITBINOM(MAX(0,J148-K148),1-Coefficients!$B$32,RAND())</f>
        <v>0</v>
      </c>
      <c r="N148" s="0" t="n">
        <f aca="true">CRITBINOM(MAX(0,$C148-J148),MIN(0.6,Matchup!$C$40*SQRT($B148)/(1-MIN(0.75,Matchup!$C$39*$B148))),RAND())</f>
        <v>1</v>
      </c>
      <c r="O148" s="0" t="n">
        <f aca="false">6*J148+(J148-K148-M148)+2*L148+3*N148</f>
        <v>30</v>
      </c>
      <c r="P148" s="0" t="n">
        <f aca="true">RAND()</f>
        <v>0.289481751736385</v>
      </c>
      <c r="Q148" s="0" t="n">
        <f aca="true">RAND()</f>
        <v>0.521292841848713</v>
      </c>
      <c r="R148" s="0" t="n">
        <f aca="false">IF($I148&lt;&gt;$O148,0,IF(P148&lt;Matchup!$B$39,7,IF(P148&lt;Matchup!$B$39+Matchup!$B$40,3,0)))</f>
        <v>0</v>
      </c>
      <c r="S148" s="0" t="n">
        <f aca="false">IF($I148&lt;&gt;$O148,0,IF(Q148&lt;Matchup!$C$39,7,IF(Q148&lt;Matchup!$C$39+Matchup!$C$40,3,0)))</f>
        <v>0</v>
      </c>
      <c r="T148" s="0" t="n">
        <f aca="false">I148+R148</f>
        <v>35</v>
      </c>
      <c r="U148" s="0" t="n">
        <f aca="false">O148+S148</f>
        <v>30</v>
      </c>
      <c r="V148" s="0" t="n">
        <f aca="false">T148-U148</f>
        <v>5</v>
      </c>
      <c r="W148" s="0" t="n">
        <f aca="false">T148+U148</f>
        <v>65</v>
      </c>
    </row>
    <row r="149" customFormat="false" ht="15" hidden="false" customHeight="false" outlineLevel="0" collapsed="false">
      <c r="A149" s="0" t="n">
        <v>146</v>
      </c>
      <c r="B149" s="0" t="n">
        <f aca="true">NORMINV(RAND(),1,Coefficients!$B$22)</f>
        <v>1.09259677387443</v>
      </c>
      <c r="C149" s="0" t="n">
        <f aca="true">MEDIAN(8,16,ROUND(NORMINV(RAND(),Coefficients!$B$20,Coefficients!$B$21),0))</f>
        <v>11</v>
      </c>
      <c r="D149" s="0" t="n">
        <f aca="true">CRITBINOM($C149,MIN(0.75,Matchup!$B$39*$B149),RAND())</f>
        <v>0</v>
      </c>
      <c r="E149" s="0" t="n">
        <f aca="true">CRITBINOM(D149,Coefficients!$B$30,RAND())</f>
        <v>0</v>
      </c>
      <c r="F149" s="0" t="n">
        <f aca="true">CRITBINOM(E149,Coefficients!$B$31,RAND())</f>
        <v>0</v>
      </c>
      <c r="G149" s="0" t="n">
        <f aca="true">CRITBINOM(MAX(0,D149-E149),1-Coefficients!$B$32,RAND())</f>
        <v>0</v>
      </c>
      <c r="H149" s="0" t="n">
        <f aca="true">CRITBINOM(MAX(0,$C149-D149),MIN(0.6,Matchup!$B$40*SQRT($B149)/(1-MIN(0.75,Matchup!$B$39*$B149))),RAND())</f>
        <v>1</v>
      </c>
      <c r="I149" s="0" t="n">
        <f aca="false">6*D149+(D149-E149-G149)+2*F149+3*H149</f>
        <v>3</v>
      </c>
      <c r="J149" s="0" t="n">
        <f aca="true">CRITBINOM($C149,MIN(0.75,Matchup!$C$39*$B149),RAND())</f>
        <v>2</v>
      </c>
      <c r="K149" s="0" t="n">
        <f aca="true">CRITBINOM(J149,Coefficients!$B$30,RAND())</f>
        <v>1</v>
      </c>
      <c r="L149" s="0" t="n">
        <f aca="true">CRITBINOM(K149,Coefficients!$B$31,RAND())</f>
        <v>0</v>
      </c>
      <c r="M149" s="0" t="n">
        <f aca="true">CRITBINOM(MAX(0,J149-K149),1-Coefficients!$B$32,RAND())</f>
        <v>0</v>
      </c>
      <c r="N149" s="0" t="n">
        <f aca="true">CRITBINOM(MAX(0,$C149-J149),MIN(0.6,Matchup!$C$40*SQRT($B149)/(1-MIN(0.75,Matchup!$C$39*$B149))),RAND())</f>
        <v>0</v>
      </c>
      <c r="O149" s="0" t="n">
        <f aca="false">6*J149+(J149-K149-M149)+2*L149+3*N149</f>
        <v>13</v>
      </c>
      <c r="P149" s="0" t="n">
        <f aca="true">RAND()</f>
        <v>0.367256424796614</v>
      </c>
      <c r="Q149" s="0" t="n">
        <f aca="true">RAND()</f>
        <v>0.134146250733951</v>
      </c>
      <c r="R149" s="0" t="n">
        <f aca="false">IF($I149&lt;&gt;$O149,0,IF(P149&lt;Matchup!$B$39,7,IF(P149&lt;Matchup!$B$39+Matchup!$B$40,3,0)))</f>
        <v>0</v>
      </c>
      <c r="S149" s="0" t="n">
        <f aca="false">IF($I149&lt;&gt;$O149,0,IF(Q149&lt;Matchup!$C$39,7,IF(Q149&lt;Matchup!$C$39+Matchup!$C$40,3,0)))</f>
        <v>0</v>
      </c>
      <c r="T149" s="0" t="n">
        <f aca="false">I149+R149</f>
        <v>3</v>
      </c>
      <c r="U149" s="0" t="n">
        <f aca="false">O149+S149</f>
        <v>13</v>
      </c>
      <c r="V149" s="0" t="n">
        <f aca="false">T149-U149</f>
        <v>-10</v>
      </c>
      <c r="W149" s="0" t="n">
        <f aca="false">T149+U149</f>
        <v>16</v>
      </c>
    </row>
    <row r="150" customFormat="false" ht="15" hidden="false" customHeight="false" outlineLevel="0" collapsed="false">
      <c r="A150" s="0" t="n">
        <v>147</v>
      </c>
      <c r="B150" s="0" t="n">
        <f aca="true">NORMINV(RAND(),1,Coefficients!$B$22)</f>
        <v>0.989810460925896</v>
      </c>
      <c r="C150" s="0" t="n">
        <f aca="true">MEDIAN(8,16,ROUND(NORMINV(RAND(),Coefficients!$B$20,Coefficients!$B$21),0))</f>
        <v>12</v>
      </c>
      <c r="D150" s="0" t="n">
        <f aca="true">CRITBINOM($C150,MIN(0.75,Matchup!$B$39*$B150),RAND())</f>
        <v>4</v>
      </c>
      <c r="E150" s="0" t="n">
        <f aca="true">CRITBINOM(D150,Coefficients!$B$30,RAND())</f>
        <v>1</v>
      </c>
      <c r="F150" s="0" t="n">
        <f aca="true">CRITBINOM(E150,Coefficients!$B$31,RAND())</f>
        <v>0</v>
      </c>
      <c r="G150" s="0" t="n">
        <f aca="true">CRITBINOM(MAX(0,D150-E150),1-Coefficients!$B$32,RAND())</f>
        <v>0</v>
      </c>
      <c r="H150" s="0" t="n">
        <f aca="true">CRITBINOM(MAX(0,$C150-D150),MIN(0.6,Matchup!$B$40*SQRT($B150)/(1-MIN(0.75,Matchup!$B$39*$B150))),RAND())</f>
        <v>0</v>
      </c>
      <c r="I150" s="0" t="n">
        <f aca="false">6*D150+(D150-E150-G150)+2*F150+3*H150</f>
        <v>27</v>
      </c>
      <c r="J150" s="0" t="n">
        <f aca="true">CRITBINOM($C150,MIN(0.75,Matchup!$C$39*$B150),RAND())</f>
        <v>2</v>
      </c>
      <c r="K150" s="0" t="n">
        <f aca="true">CRITBINOM(J150,Coefficients!$B$30,RAND())</f>
        <v>0</v>
      </c>
      <c r="L150" s="0" t="n">
        <f aca="true">CRITBINOM(K150,Coefficients!$B$31,RAND())</f>
        <v>0</v>
      </c>
      <c r="M150" s="0" t="n">
        <f aca="true">CRITBINOM(MAX(0,J150-K150),1-Coefficients!$B$32,RAND())</f>
        <v>0</v>
      </c>
      <c r="N150" s="0" t="n">
        <f aca="true">CRITBINOM(MAX(0,$C150-J150),MIN(0.6,Matchup!$C$40*SQRT($B150)/(1-MIN(0.75,Matchup!$C$39*$B150))),RAND())</f>
        <v>1</v>
      </c>
      <c r="O150" s="0" t="n">
        <f aca="false">6*J150+(J150-K150-M150)+2*L150+3*N150</f>
        <v>17</v>
      </c>
      <c r="P150" s="0" t="n">
        <f aca="true">RAND()</f>
        <v>0.873677055687543</v>
      </c>
      <c r="Q150" s="0" t="n">
        <f aca="true">RAND()</f>
        <v>0.158791497980909</v>
      </c>
      <c r="R150" s="0" t="n">
        <f aca="false">IF($I150&lt;&gt;$O150,0,IF(P150&lt;Matchup!$B$39,7,IF(P150&lt;Matchup!$B$39+Matchup!$B$40,3,0)))</f>
        <v>0</v>
      </c>
      <c r="S150" s="0" t="n">
        <f aca="false">IF($I150&lt;&gt;$O150,0,IF(Q150&lt;Matchup!$C$39,7,IF(Q150&lt;Matchup!$C$39+Matchup!$C$40,3,0)))</f>
        <v>0</v>
      </c>
      <c r="T150" s="0" t="n">
        <f aca="false">I150+R150</f>
        <v>27</v>
      </c>
      <c r="U150" s="0" t="n">
        <f aca="false">O150+S150</f>
        <v>17</v>
      </c>
      <c r="V150" s="0" t="n">
        <f aca="false">T150-U150</f>
        <v>10</v>
      </c>
      <c r="W150" s="0" t="n">
        <f aca="false">T150+U150</f>
        <v>44</v>
      </c>
    </row>
    <row r="151" customFormat="false" ht="15" hidden="false" customHeight="false" outlineLevel="0" collapsed="false">
      <c r="A151" s="0" t="n">
        <v>148</v>
      </c>
      <c r="B151" s="0" t="n">
        <f aca="true">NORMINV(RAND(),1,Coefficients!$B$22)</f>
        <v>0.992139770489124</v>
      </c>
      <c r="C151" s="0" t="n">
        <f aca="true">MEDIAN(8,16,ROUND(NORMINV(RAND(),Coefficients!$B$20,Coefficients!$B$21),0))</f>
        <v>12</v>
      </c>
      <c r="D151" s="0" t="n">
        <f aca="true">CRITBINOM($C151,MIN(0.75,Matchup!$B$39*$B151),RAND())</f>
        <v>2</v>
      </c>
      <c r="E151" s="0" t="n">
        <f aca="true">CRITBINOM(D151,Coefficients!$B$30,RAND())</f>
        <v>0</v>
      </c>
      <c r="F151" s="0" t="n">
        <f aca="true">CRITBINOM(E151,Coefficients!$B$31,RAND())</f>
        <v>0</v>
      </c>
      <c r="G151" s="0" t="n">
        <f aca="true">CRITBINOM(MAX(0,D151-E151),1-Coefficients!$B$32,RAND())</f>
        <v>1</v>
      </c>
      <c r="H151" s="0" t="n">
        <f aca="true">CRITBINOM(MAX(0,$C151-D151),MIN(0.6,Matchup!$B$40*SQRT($B151)/(1-MIN(0.75,Matchup!$B$39*$B151))),RAND())</f>
        <v>2</v>
      </c>
      <c r="I151" s="0" t="n">
        <f aca="false">6*D151+(D151-E151-G151)+2*F151+3*H151</f>
        <v>19</v>
      </c>
      <c r="J151" s="0" t="n">
        <f aca="true">CRITBINOM($C151,MIN(0.75,Matchup!$C$39*$B151),RAND())</f>
        <v>6</v>
      </c>
      <c r="K151" s="0" t="n">
        <f aca="true">CRITBINOM(J151,Coefficients!$B$30,RAND())</f>
        <v>0</v>
      </c>
      <c r="L151" s="0" t="n">
        <f aca="true">CRITBINOM(K151,Coefficients!$B$31,RAND())</f>
        <v>0</v>
      </c>
      <c r="M151" s="0" t="n">
        <f aca="true">CRITBINOM(MAX(0,J151-K151),1-Coefficients!$B$32,RAND())</f>
        <v>0</v>
      </c>
      <c r="N151" s="0" t="n">
        <f aca="true">CRITBINOM(MAX(0,$C151-J151),MIN(0.6,Matchup!$C$40*SQRT($B151)/(1-MIN(0.75,Matchup!$C$39*$B151))),RAND())</f>
        <v>1</v>
      </c>
      <c r="O151" s="0" t="n">
        <f aca="false">6*J151+(J151-K151-M151)+2*L151+3*N151</f>
        <v>45</v>
      </c>
      <c r="P151" s="0" t="n">
        <f aca="true">RAND()</f>
        <v>0.941066390827246</v>
      </c>
      <c r="Q151" s="0" t="n">
        <f aca="true">RAND()</f>
        <v>0.690858580616593</v>
      </c>
      <c r="R151" s="0" t="n">
        <f aca="false">IF($I151&lt;&gt;$O151,0,IF(P151&lt;Matchup!$B$39,7,IF(P151&lt;Matchup!$B$39+Matchup!$B$40,3,0)))</f>
        <v>0</v>
      </c>
      <c r="S151" s="0" t="n">
        <f aca="false">IF($I151&lt;&gt;$O151,0,IF(Q151&lt;Matchup!$C$39,7,IF(Q151&lt;Matchup!$C$39+Matchup!$C$40,3,0)))</f>
        <v>0</v>
      </c>
      <c r="T151" s="0" t="n">
        <f aca="false">I151+R151</f>
        <v>19</v>
      </c>
      <c r="U151" s="0" t="n">
        <f aca="false">O151+S151</f>
        <v>45</v>
      </c>
      <c r="V151" s="0" t="n">
        <f aca="false">T151-U151</f>
        <v>-26</v>
      </c>
      <c r="W151" s="0" t="n">
        <f aca="false">T151+U151</f>
        <v>64</v>
      </c>
    </row>
    <row r="152" customFormat="false" ht="15" hidden="false" customHeight="false" outlineLevel="0" collapsed="false">
      <c r="A152" s="0" t="n">
        <v>149</v>
      </c>
      <c r="B152" s="0" t="n">
        <f aca="true">NORMINV(RAND(),1,Coefficients!$B$22)</f>
        <v>1.13466645201446</v>
      </c>
      <c r="C152" s="0" t="n">
        <f aca="true">MEDIAN(8,16,ROUND(NORMINV(RAND(),Coefficients!$B$20,Coefficients!$B$21),0))</f>
        <v>12</v>
      </c>
      <c r="D152" s="0" t="n">
        <f aca="true">CRITBINOM($C152,MIN(0.75,Matchup!$B$39*$B152),RAND())</f>
        <v>6</v>
      </c>
      <c r="E152" s="0" t="n">
        <f aca="true">CRITBINOM(D152,Coefficients!$B$30,RAND())</f>
        <v>2</v>
      </c>
      <c r="F152" s="0" t="n">
        <f aca="true">CRITBINOM(E152,Coefficients!$B$31,RAND())</f>
        <v>2</v>
      </c>
      <c r="G152" s="0" t="n">
        <f aca="true">CRITBINOM(MAX(0,D152-E152),1-Coefficients!$B$32,RAND())</f>
        <v>0</v>
      </c>
      <c r="H152" s="0" t="n">
        <f aca="true">CRITBINOM(MAX(0,$C152-D152),MIN(0.6,Matchup!$B$40*SQRT($B152)/(1-MIN(0.75,Matchup!$B$39*$B152))),RAND())</f>
        <v>0</v>
      </c>
      <c r="I152" s="0" t="n">
        <f aca="false">6*D152+(D152-E152-G152)+2*F152+3*H152</f>
        <v>44</v>
      </c>
      <c r="J152" s="0" t="n">
        <f aca="true">CRITBINOM($C152,MIN(0.75,Matchup!$C$39*$B152),RAND())</f>
        <v>5</v>
      </c>
      <c r="K152" s="0" t="n">
        <f aca="true">CRITBINOM(J152,Coefficients!$B$30,RAND())</f>
        <v>1</v>
      </c>
      <c r="L152" s="0" t="n">
        <f aca="true">CRITBINOM(K152,Coefficients!$B$31,RAND())</f>
        <v>1</v>
      </c>
      <c r="M152" s="0" t="n">
        <f aca="true">CRITBINOM(MAX(0,J152-K152),1-Coefficients!$B$32,RAND())</f>
        <v>0</v>
      </c>
      <c r="N152" s="0" t="n">
        <f aca="true">CRITBINOM(MAX(0,$C152-J152),MIN(0.6,Matchup!$C$40*SQRT($B152)/(1-MIN(0.75,Matchup!$C$39*$B152))),RAND())</f>
        <v>1</v>
      </c>
      <c r="O152" s="0" t="n">
        <f aca="false">6*J152+(J152-K152-M152)+2*L152+3*N152</f>
        <v>39</v>
      </c>
      <c r="P152" s="0" t="n">
        <f aca="true">RAND()</f>
        <v>0.601845961126812</v>
      </c>
      <c r="Q152" s="0" t="n">
        <f aca="true">RAND()</f>
        <v>0.0718925299140895</v>
      </c>
      <c r="R152" s="0" t="n">
        <f aca="false">IF($I152&lt;&gt;$O152,0,IF(P152&lt;Matchup!$B$39,7,IF(P152&lt;Matchup!$B$39+Matchup!$B$40,3,0)))</f>
        <v>0</v>
      </c>
      <c r="S152" s="0" t="n">
        <f aca="false">IF($I152&lt;&gt;$O152,0,IF(Q152&lt;Matchup!$C$39,7,IF(Q152&lt;Matchup!$C$39+Matchup!$C$40,3,0)))</f>
        <v>0</v>
      </c>
      <c r="T152" s="0" t="n">
        <f aca="false">I152+R152</f>
        <v>44</v>
      </c>
      <c r="U152" s="0" t="n">
        <f aca="false">O152+S152</f>
        <v>39</v>
      </c>
      <c r="V152" s="0" t="n">
        <f aca="false">T152-U152</f>
        <v>5</v>
      </c>
      <c r="W152" s="0" t="n">
        <f aca="false">T152+U152</f>
        <v>83</v>
      </c>
    </row>
    <row r="153" customFormat="false" ht="15" hidden="false" customHeight="false" outlineLevel="0" collapsed="false">
      <c r="A153" s="0" t="n">
        <v>150</v>
      </c>
      <c r="B153" s="0" t="n">
        <f aca="true">NORMINV(RAND(),1,Coefficients!$B$22)</f>
        <v>0.930634133628544</v>
      </c>
      <c r="C153" s="0" t="n">
        <f aca="true">MEDIAN(8,16,ROUND(NORMINV(RAND(),Coefficients!$B$20,Coefficients!$B$21),0))</f>
        <v>12</v>
      </c>
      <c r="D153" s="0" t="n">
        <f aca="true">CRITBINOM($C153,MIN(0.75,Matchup!$B$39*$B153),RAND())</f>
        <v>2</v>
      </c>
      <c r="E153" s="0" t="n">
        <f aca="true">CRITBINOM(D153,Coefficients!$B$30,RAND())</f>
        <v>0</v>
      </c>
      <c r="F153" s="0" t="n">
        <f aca="true">CRITBINOM(E153,Coefficients!$B$31,RAND())</f>
        <v>0</v>
      </c>
      <c r="G153" s="0" t="n">
        <f aca="true">CRITBINOM(MAX(0,D153-E153),1-Coefficients!$B$32,RAND())</f>
        <v>1</v>
      </c>
      <c r="H153" s="0" t="n">
        <f aca="true">CRITBINOM(MAX(0,$C153-D153),MIN(0.6,Matchup!$B$40*SQRT($B153)/(1-MIN(0.75,Matchup!$B$39*$B153))),RAND())</f>
        <v>0</v>
      </c>
      <c r="I153" s="0" t="n">
        <f aca="false">6*D153+(D153-E153-G153)+2*F153+3*H153</f>
        <v>13</v>
      </c>
      <c r="J153" s="0" t="n">
        <f aca="true">CRITBINOM($C153,MIN(0.75,Matchup!$C$39*$B153),RAND())</f>
        <v>2</v>
      </c>
      <c r="K153" s="0" t="n">
        <f aca="true">CRITBINOM(J153,Coefficients!$B$30,RAND())</f>
        <v>0</v>
      </c>
      <c r="L153" s="0" t="n">
        <f aca="true">CRITBINOM(K153,Coefficients!$B$31,RAND())</f>
        <v>0</v>
      </c>
      <c r="M153" s="0" t="n">
        <f aca="true">CRITBINOM(MAX(0,J153-K153),1-Coefficients!$B$32,RAND())</f>
        <v>0</v>
      </c>
      <c r="N153" s="0" t="n">
        <f aca="true">CRITBINOM(MAX(0,$C153-J153),MIN(0.6,Matchup!$C$40*SQRT($B153)/(1-MIN(0.75,Matchup!$C$39*$B153))),RAND())</f>
        <v>0</v>
      </c>
      <c r="O153" s="0" t="n">
        <f aca="false">6*J153+(J153-K153-M153)+2*L153+3*N153</f>
        <v>14</v>
      </c>
      <c r="P153" s="0" t="n">
        <f aca="true">RAND()</f>
        <v>0.610355556000195</v>
      </c>
      <c r="Q153" s="0" t="n">
        <f aca="true">RAND()</f>
        <v>0.740835722257481</v>
      </c>
      <c r="R153" s="0" t="n">
        <f aca="false">IF($I153&lt;&gt;$O153,0,IF(P153&lt;Matchup!$B$39,7,IF(P153&lt;Matchup!$B$39+Matchup!$B$40,3,0)))</f>
        <v>0</v>
      </c>
      <c r="S153" s="0" t="n">
        <f aca="false">IF($I153&lt;&gt;$O153,0,IF(Q153&lt;Matchup!$C$39,7,IF(Q153&lt;Matchup!$C$39+Matchup!$C$40,3,0)))</f>
        <v>0</v>
      </c>
      <c r="T153" s="0" t="n">
        <f aca="false">I153+R153</f>
        <v>13</v>
      </c>
      <c r="U153" s="0" t="n">
        <f aca="false">O153+S153</f>
        <v>14</v>
      </c>
      <c r="V153" s="0" t="n">
        <f aca="false">T153-U153</f>
        <v>-1</v>
      </c>
      <c r="W153" s="0" t="n">
        <f aca="false">T153+U153</f>
        <v>27</v>
      </c>
    </row>
    <row r="154" customFormat="false" ht="15" hidden="false" customHeight="false" outlineLevel="0" collapsed="false">
      <c r="A154" s="0" t="n">
        <v>151</v>
      </c>
      <c r="B154" s="0" t="n">
        <f aca="true">NORMINV(RAND(),1,Coefficients!$B$22)</f>
        <v>1.01011994881436</v>
      </c>
      <c r="C154" s="0" t="n">
        <f aca="true">MEDIAN(8,16,ROUND(NORMINV(RAND(),Coefficients!$B$20,Coefficients!$B$21),0))</f>
        <v>13</v>
      </c>
      <c r="D154" s="0" t="n">
        <f aca="true">CRITBINOM($C154,MIN(0.75,Matchup!$B$39*$B154),RAND())</f>
        <v>2</v>
      </c>
      <c r="E154" s="0" t="n">
        <f aca="true">CRITBINOM(D154,Coefficients!$B$30,RAND())</f>
        <v>0</v>
      </c>
      <c r="F154" s="0" t="n">
        <f aca="true">CRITBINOM(E154,Coefficients!$B$31,RAND())</f>
        <v>0</v>
      </c>
      <c r="G154" s="0" t="n">
        <f aca="true">CRITBINOM(MAX(0,D154-E154),1-Coefficients!$B$32,RAND())</f>
        <v>0</v>
      </c>
      <c r="H154" s="0" t="n">
        <f aca="true">CRITBINOM(MAX(0,$C154-D154),MIN(0.6,Matchup!$B$40*SQRT($B154)/(1-MIN(0.75,Matchup!$B$39*$B154))),RAND())</f>
        <v>3</v>
      </c>
      <c r="I154" s="0" t="n">
        <f aca="false">6*D154+(D154-E154-G154)+2*F154+3*H154</f>
        <v>23</v>
      </c>
      <c r="J154" s="0" t="n">
        <f aca="true">CRITBINOM($C154,MIN(0.75,Matchup!$C$39*$B154),RAND())</f>
        <v>2</v>
      </c>
      <c r="K154" s="0" t="n">
        <f aca="true">CRITBINOM(J154,Coefficients!$B$30,RAND())</f>
        <v>0</v>
      </c>
      <c r="L154" s="0" t="n">
        <f aca="true">CRITBINOM(K154,Coefficients!$B$31,RAND())</f>
        <v>0</v>
      </c>
      <c r="M154" s="0" t="n">
        <f aca="true">CRITBINOM(MAX(0,J154-K154),1-Coefficients!$B$32,RAND())</f>
        <v>0</v>
      </c>
      <c r="N154" s="0" t="n">
        <f aca="true">CRITBINOM(MAX(0,$C154-J154),MIN(0.6,Matchup!$C$40*SQRT($B154)/(1-MIN(0.75,Matchup!$C$39*$B154))),RAND())</f>
        <v>2</v>
      </c>
      <c r="O154" s="0" t="n">
        <f aca="false">6*J154+(J154-K154-M154)+2*L154+3*N154</f>
        <v>20</v>
      </c>
      <c r="P154" s="0" t="n">
        <f aca="true">RAND()</f>
        <v>0.3968398821065</v>
      </c>
      <c r="Q154" s="0" t="n">
        <f aca="true">RAND()</f>
        <v>0.117351478476016</v>
      </c>
      <c r="R154" s="0" t="n">
        <f aca="false">IF($I154&lt;&gt;$O154,0,IF(P154&lt;Matchup!$B$39,7,IF(P154&lt;Matchup!$B$39+Matchup!$B$40,3,0)))</f>
        <v>0</v>
      </c>
      <c r="S154" s="0" t="n">
        <f aca="false">IF($I154&lt;&gt;$O154,0,IF(Q154&lt;Matchup!$C$39,7,IF(Q154&lt;Matchup!$C$39+Matchup!$C$40,3,0)))</f>
        <v>0</v>
      </c>
      <c r="T154" s="0" t="n">
        <f aca="false">I154+R154</f>
        <v>23</v>
      </c>
      <c r="U154" s="0" t="n">
        <f aca="false">O154+S154</f>
        <v>20</v>
      </c>
      <c r="V154" s="0" t="n">
        <f aca="false">T154-U154</f>
        <v>3</v>
      </c>
      <c r="W154" s="0" t="n">
        <f aca="false">T154+U154</f>
        <v>43</v>
      </c>
    </row>
    <row r="155" customFormat="false" ht="15" hidden="false" customHeight="false" outlineLevel="0" collapsed="false">
      <c r="A155" s="0" t="n">
        <v>152</v>
      </c>
      <c r="B155" s="0" t="n">
        <f aca="true">NORMINV(RAND(),1,Coefficients!$B$22)</f>
        <v>0.97148938087629</v>
      </c>
      <c r="C155" s="0" t="n">
        <f aca="true">MEDIAN(8,16,ROUND(NORMINV(RAND(),Coefficients!$B$20,Coefficients!$B$21),0))</f>
        <v>11</v>
      </c>
      <c r="D155" s="0" t="n">
        <f aca="true">CRITBINOM($C155,MIN(0.75,Matchup!$B$39*$B155),RAND())</f>
        <v>2</v>
      </c>
      <c r="E155" s="0" t="n">
        <f aca="true">CRITBINOM(D155,Coefficients!$B$30,RAND())</f>
        <v>0</v>
      </c>
      <c r="F155" s="0" t="n">
        <f aca="true">CRITBINOM(E155,Coefficients!$B$31,RAND())</f>
        <v>0</v>
      </c>
      <c r="G155" s="0" t="n">
        <f aca="true">CRITBINOM(MAX(0,D155-E155),1-Coefficients!$B$32,RAND())</f>
        <v>0</v>
      </c>
      <c r="H155" s="0" t="n">
        <f aca="true">CRITBINOM(MAX(0,$C155-D155),MIN(0.6,Matchup!$B$40*SQRT($B155)/(1-MIN(0.75,Matchup!$B$39*$B155))),RAND())</f>
        <v>4</v>
      </c>
      <c r="I155" s="0" t="n">
        <f aca="false">6*D155+(D155-E155-G155)+2*F155+3*H155</f>
        <v>26</v>
      </c>
      <c r="J155" s="0" t="n">
        <f aca="true">CRITBINOM($C155,MIN(0.75,Matchup!$C$39*$B155),RAND())</f>
        <v>3</v>
      </c>
      <c r="K155" s="0" t="n">
        <f aca="true">CRITBINOM(J155,Coefficients!$B$30,RAND())</f>
        <v>1</v>
      </c>
      <c r="L155" s="0" t="n">
        <f aca="true">CRITBINOM(K155,Coefficients!$B$31,RAND())</f>
        <v>0</v>
      </c>
      <c r="M155" s="0" t="n">
        <f aca="true">CRITBINOM(MAX(0,J155-K155),1-Coefficients!$B$32,RAND())</f>
        <v>0</v>
      </c>
      <c r="N155" s="0" t="n">
        <f aca="true">CRITBINOM(MAX(0,$C155-J155),MIN(0.6,Matchup!$C$40*SQRT($B155)/(1-MIN(0.75,Matchup!$C$39*$B155))),RAND())</f>
        <v>1</v>
      </c>
      <c r="O155" s="0" t="n">
        <f aca="false">6*J155+(J155-K155-M155)+2*L155+3*N155</f>
        <v>23</v>
      </c>
      <c r="P155" s="0" t="n">
        <f aca="true">RAND()</f>
        <v>0.410282290163758</v>
      </c>
      <c r="Q155" s="0" t="n">
        <f aca="true">RAND()</f>
        <v>0.781588517850261</v>
      </c>
      <c r="R155" s="0" t="n">
        <f aca="false">IF($I155&lt;&gt;$O155,0,IF(P155&lt;Matchup!$B$39,7,IF(P155&lt;Matchup!$B$39+Matchup!$B$40,3,0)))</f>
        <v>0</v>
      </c>
      <c r="S155" s="0" t="n">
        <f aca="false">IF($I155&lt;&gt;$O155,0,IF(Q155&lt;Matchup!$C$39,7,IF(Q155&lt;Matchup!$C$39+Matchup!$C$40,3,0)))</f>
        <v>0</v>
      </c>
      <c r="T155" s="0" t="n">
        <f aca="false">I155+R155</f>
        <v>26</v>
      </c>
      <c r="U155" s="0" t="n">
        <f aca="false">O155+S155</f>
        <v>23</v>
      </c>
      <c r="V155" s="0" t="n">
        <f aca="false">T155-U155</f>
        <v>3</v>
      </c>
      <c r="W155" s="0" t="n">
        <f aca="false">T155+U155</f>
        <v>49</v>
      </c>
    </row>
    <row r="156" customFormat="false" ht="15" hidden="false" customHeight="false" outlineLevel="0" collapsed="false">
      <c r="A156" s="0" t="n">
        <v>153</v>
      </c>
      <c r="B156" s="0" t="n">
        <f aca="true">NORMINV(RAND(),1,Coefficients!$B$22)</f>
        <v>1.07685167939401</v>
      </c>
      <c r="C156" s="0" t="n">
        <f aca="true">MEDIAN(8,16,ROUND(NORMINV(RAND(),Coefficients!$B$20,Coefficients!$B$21),0))</f>
        <v>10</v>
      </c>
      <c r="D156" s="0" t="n">
        <f aca="true">CRITBINOM($C156,MIN(0.75,Matchup!$B$39*$B156),RAND())</f>
        <v>2</v>
      </c>
      <c r="E156" s="0" t="n">
        <f aca="true">CRITBINOM(D156,Coefficients!$B$30,RAND())</f>
        <v>1</v>
      </c>
      <c r="F156" s="0" t="n">
        <f aca="true">CRITBINOM(E156,Coefficients!$B$31,RAND())</f>
        <v>1</v>
      </c>
      <c r="G156" s="0" t="n">
        <f aca="true">CRITBINOM(MAX(0,D156-E156),1-Coefficients!$B$32,RAND())</f>
        <v>0</v>
      </c>
      <c r="H156" s="0" t="n">
        <f aca="true">CRITBINOM(MAX(0,$C156-D156),MIN(0.6,Matchup!$B$40*SQRT($B156)/(1-MIN(0.75,Matchup!$B$39*$B156))),RAND())</f>
        <v>0</v>
      </c>
      <c r="I156" s="0" t="n">
        <f aca="false">6*D156+(D156-E156-G156)+2*F156+3*H156</f>
        <v>15</v>
      </c>
      <c r="J156" s="0" t="n">
        <f aca="true">CRITBINOM($C156,MIN(0.75,Matchup!$C$39*$B156),RAND())</f>
        <v>4</v>
      </c>
      <c r="K156" s="0" t="n">
        <f aca="true">CRITBINOM(J156,Coefficients!$B$30,RAND())</f>
        <v>0</v>
      </c>
      <c r="L156" s="0" t="n">
        <f aca="true">CRITBINOM(K156,Coefficients!$B$31,RAND())</f>
        <v>0</v>
      </c>
      <c r="M156" s="0" t="n">
        <f aca="true">CRITBINOM(MAX(0,J156-K156),1-Coefficients!$B$32,RAND())</f>
        <v>0</v>
      </c>
      <c r="N156" s="0" t="n">
        <f aca="true">CRITBINOM(MAX(0,$C156-J156),MIN(0.6,Matchup!$C$40*SQRT($B156)/(1-MIN(0.75,Matchup!$C$39*$B156))),RAND())</f>
        <v>2</v>
      </c>
      <c r="O156" s="0" t="n">
        <f aca="false">6*J156+(J156-K156-M156)+2*L156+3*N156</f>
        <v>34</v>
      </c>
      <c r="P156" s="0" t="n">
        <f aca="true">RAND()</f>
        <v>0.880017195955641</v>
      </c>
      <c r="Q156" s="0" t="n">
        <f aca="true">RAND()</f>
        <v>0.204150444857566</v>
      </c>
      <c r="R156" s="0" t="n">
        <f aca="false">IF($I156&lt;&gt;$O156,0,IF(P156&lt;Matchup!$B$39,7,IF(P156&lt;Matchup!$B$39+Matchup!$B$40,3,0)))</f>
        <v>0</v>
      </c>
      <c r="S156" s="0" t="n">
        <f aca="false">IF($I156&lt;&gt;$O156,0,IF(Q156&lt;Matchup!$C$39,7,IF(Q156&lt;Matchup!$C$39+Matchup!$C$40,3,0)))</f>
        <v>0</v>
      </c>
      <c r="T156" s="0" t="n">
        <f aca="false">I156+R156</f>
        <v>15</v>
      </c>
      <c r="U156" s="0" t="n">
        <f aca="false">O156+S156</f>
        <v>34</v>
      </c>
      <c r="V156" s="0" t="n">
        <f aca="false">T156-U156</f>
        <v>-19</v>
      </c>
      <c r="W156" s="0" t="n">
        <f aca="false">T156+U156</f>
        <v>49</v>
      </c>
    </row>
    <row r="157" customFormat="false" ht="15" hidden="false" customHeight="false" outlineLevel="0" collapsed="false">
      <c r="A157" s="0" t="n">
        <v>154</v>
      </c>
      <c r="B157" s="0" t="n">
        <f aca="true">NORMINV(RAND(),1,Coefficients!$B$22)</f>
        <v>1.01976278597586</v>
      </c>
      <c r="C157" s="0" t="n">
        <f aca="true">MEDIAN(8,16,ROUND(NORMINV(RAND(),Coefficients!$B$20,Coefficients!$B$21),0))</f>
        <v>11</v>
      </c>
      <c r="D157" s="0" t="n">
        <f aca="true">CRITBINOM($C157,MIN(0.75,Matchup!$B$39*$B157),RAND())</f>
        <v>3</v>
      </c>
      <c r="E157" s="0" t="n">
        <f aca="true">CRITBINOM(D157,Coefficients!$B$30,RAND())</f>
        <v>1</v>
      </c>
      <c r="F157" s="0" t="n">
        <f aca="true">CRITBINOM(E157,Coefficients!$B$31,RAND())</f>
        <v>1</v>
      </c>
      <c r="G157" s="0" t="n">
        <f aca="true">CRITBINOM(MAX(0,D157-E157),1-Coefficients!$B$32,RAND())</f>
        <v>0</v>
      </c>
      <c r="H157" s="0" t="n">
        <f aca="true">CRITBINOM(MAX(0,$C157-D157),MIN(0.6,Matchup!$B$40*SQRT($B157)/(1-MIN(0.75,Matchup!$B$39*$B157))),RAND())</f>
        <v>3</v>
      </c>
      <c r="I157" s="0" t="n">
        <f aca="false">6*D157+(D157-E157-G157)+2*F157+3*H157</f>
        <v>31</v>
      </c>
      <c r="J157" s="0" t="n">
        <f aca="true">CRITBINOM($C157,MIN(0.75,Matchup!$C$39*$B157),RAND())</f>
        <v>5</v>
      </c>
      <c r="K157" s="0" t="n">
        <f aca="true">CRITBINOM(J157,Coefficients!$B$30,RAND())</f>
        <v>0</v>
      </c>
      <c r="L157" s="0" t="n">
        <f aca="true">CRITBINOM(K157,Coefficients!$B$31,RAND())</f>
        <v>0</v>
      </c>
      <c r="M157" s="0" t="n">
        <f aca="true">CRITBINOM(MAX(0,J157-K157),1-Coefficients!$B$32,RAND())</f>
        <v>0</v>
      </c>
      <c r="N157" s="0" t="n">
        <f aca="true">CRITBINOM(MAX(0,$C157-J157),MIN(0.6,Matchup!$C$40*SQRT($B157)/(1-MIN(0.75,Matchup!$C$39*$B157))),RAND())</f>
        <v>1</v>
      </c>
      <c r="O157" s="0" t="n">
        <f aca="false">6*J157+(J157-K157-M157)+2*L157+3*N157</f>
        <v>38</v>
      </c>
      <c r="P157" s="0" t="n">
        <f aca="true">RAND()</f>
        <v>0.373422134792851</v>
      </c>
      <c r="Q157" s="0" t="n">
        <f aca="true">RAND()</f>
        <v>0.464979175997406</v>
      </c>
      <c r="R157" s="0" t="n">
        <f aca="false">IF($I157&lt;&gt;$O157,0,IF(P157&lt;Matchup!$B$39,7,IF(P157&lt;Matchup!$B$39+Matchup!$B$40,3,0)))</f>
        <v>0</v>
      </c>
      <c r="S157" s="0" t="n">
        <f aca="false">IF($I157&lt;&gt;$O157,0,IF(Q157&lt;Matchup!$C$39,7,IF(Q157&lt;Matchup!$C$39+Matchup!$C$40,3,0)))</f>
        <v>0</v>
      </c>
      <c r="T157" s="0" t="n">
        <f aca="false">I157+R157</f>
        <v>31</v>
      </c>
      <c r="U157" s="0" t="n">
        <f aca="false">O157+S157</f>
        <v>38</v>
      </c>
      <c r="V157" s="0" t="n">
        <f aca="false">T157-U157</f>
        <v>-7</v>
      </c>
      <c r="W157" s="0" t="n">
        <f aca="false">T157+U157</f>
        <v>69</v>
      </c>
    </row>
    <row r="158" customFormat="false" ht="15" hidden="false" customHeight="false" outlineLevel="0" collapsed="false">
      <c r="A158" s="0" t="n">
        <v>155</v>
      </c>
      <c r="B158" s="0" t="n">
        <f aca="true">NORMINV(RAND(),1,Coefficients!$B$22)</f>
        <v>0.97971051547772</v>
      </c>
      <c r="C158" s="0" t="n">
        <f aca="true">MEDIAN(8,16,ROUND(NORMINV(RAND(),Coefficients!$B$20,Coefficients!$B$21),0))</f>
        <v>10</v>
      </c>
      <c r="D158" s="0" t="n">
        <f aca="true">CRITBINOM($C158,MIN(0.75,Matchup!$B$39*$B158),RAND())</f>
        <v>2</v>
      </c>
      <c r="E158" s="0" t="n">
        <f aca="true">CRITBINOM(D158,Coefficients!$B$30,RAND())</f>
        <v>0</v>
      </c>
      <c r="F158" s="0" t="n">
        <f aca="true">CRITBINOM(E158,Coefficients!$B$31,RAND())</f>
        <v>0</v>
      </c>
      <c r="G158" s="0" t="n">
        <f aca="true">CRITBINOM(MAX(0,D158-E158),1-Coefficients!$B$32,RAND())</f>
        <v>0</v>
      </c>
      <c r="H158" s="0" t="n">
        <f aca="true">CRITBINOM(MAX(0,$C158-D158),MIN(0.6,Matchup!$B$40*SQRT($B158)/(1-MIN(0.75,Matchup!$B$39*$B158))),RAND())</f>
        <v>0</v>
      </c>
      <c r="I158" s="0" t="n">
        <f aca="false">6*D158+(D158-E158-G158)+2*F158+3*H158</f>
        <v>14</v>
      </c>
      <c r="J158" s="0" t="n">
        <f aca="true">CRITBINOM($C158,MIN(0.75,Matchup!$C$39*$B158),RAND())</f>
        <v>1</v>
      </c>
      <c r="K158" s="0" t="n">
        <f aca="true">CRITBINOM(J158,Coefficients!$B$30,RAND())</f>
        <v>0</v>
      </c>
      <c r="L158" s="0" t="n">
        <f aca="true">CRITBINOM(K158,Coefficients!$B$31,RAND())</f>
        <v>0</v>
      </c>
      <c r="M158" s="0" t="n">
        <f aca="true">CRITBINOM(MAX(0,J158-K158),1-Coefficients!$B$32,RAND())</f>
        <v>1</v>
      </c>
      <c r="N158" s="0" t="n">
        <f aca="true">CRITBINOM(MAX(0,$C158-J158),MIN(0.6,Matchup!$C$40*SQRT($B158)/(1-MIN(0.75,Matchup!$C$39*$B158))),RAND())</f>
        <v>3</v>
      </c>
      <c r="O158" s="0" t="n">
        <f aca="false">6*J158+(J158-K158-M158)+2*L158+3*N158</f>
        <v>15</v>
      </c>
      <c r="P158" s="0" t="n">
        <f aca="true">RAND()</f>
        <v>0.544474729243085</v>
      </c>
      <c r="Q158" s="0" t="n">
        <f aca="true">RAND()</f>
        <v>0.333434773232141</v>
      </c>
      <c r="R158" s="0" t="n">
        <f aca="false">IF($I158&lt;&gt;$O158,0,IF(P158&lt;Matchup!$B$39,7,IF(P158&lt;Matchup!$B$39+Matchup!$B$40,3,0)))</f>
        <v>0</v>
      </c>
      <c r="S158" s="0" t="n">
        <f aca="false">IF($I158&lt;&gt;$O158,0,IF(Q158&lt;Matchup!$C$39,7,IF(Q158&lt;Matchup!$C$39+Matchup!$C$40,3,0)))</f>
        <v>0</v>
      </c>
      <c r="T158" s="0" t="n">
        <f aca="false">I158+R158</f>
        <v>14</v>
      </c>
      <c r="U158" s="0" t="n">
        <f aca="false">O158+S158</f>
        <v>15</v>
      </c>
      <c r="V158" s="0" t="n">
        <f aca="false">T158-U158</f>
        <v>-1</v>
      </c>
      <c r="W158" s="0" t="n">
        <f aca="false">T158+U158</f>
        <v>29</v>
      </c>
    </row>
    <row r="159" customFormat="false" ht="15" hidden="false" customHeight="false" outlineLevel="0" collapsed="false">
      <c r="A159" s="0" t="n">
        <v>156</v>
      </c>
      <c r="B159" s="0" t="n">
        <f aca="true">NORMINV(RAND(),1,Coefficients!$B$22)</f>
        <v>0.935168204014867</v>
      </c>
      <c r="C159" s="0" t="n">
        <f aca="true">MEDIAN(8,16,ROUND(NORMINV(RAND(),Coefficients!$B$20,Coefficients!$B$21),0))</f>
        <v>10</v>
      </c>
      <c r="D159" s="0" t="n">
        <f aca="true">CRITBINOM($C159,MIN(0.75,Matchup!$B$39*$B159),RAND())</f>
        <v>2</v>
      </c>
      <c r="E159" s="0" t="n">
        <f aca="true">CRITBINOM(D159,Coefficients!$B$30,RAND())</f>
        <v>0</v>
      </c>
      <c r="F159" s="0" t="n">
        <f aca="true">CRITBINOM(E159,Coefficients!$B$31,RAND())</f>
        <v>0</v>
      </c>
      <c r="G159" s="0" t="n">
        <f aca="true">CRITBINOM(MAX(0,D159-E159),1-Coefficients!$B$32,RAND())</f>
        <v>0</v>
      </c>
      <c r="H159" s="0" t="n">
        <f aca="true">CRITBINOM(MAX(0,$C159-D159),MIN(0.6,Matchup!$B$40*SQRT($B159)/(1-MIN(0.75,Matchup!$B$39*$B159))),RAND())</f>
        <v>1</v>
      </c>
      <c r="I159" s="0" t="n">
        <f aca="false">6*D159+(D159-E159-G159)+2*F159+3*H159</f>
        <v>17</v>
      </c>
      <c r="J159" s="0" t="n">
        <f aca="true">CRITBINOM($C159,MIN(0.75,Matchup!$C$39*$B159),RAND())</f>
        <v>2</v>
      </c>
      <c r="K159" s="0" t="n">
        <f aca="true">CRITBINOM(J159,Coefficients!$B$30,RAND())</f>
        <v>0</v>
      </c>
      <c r="L159" s="0" t="n">
        <f aca="true">CRITBINOM(K159,Coefficients!$B$31,RAND())</f>
        <v>0</v>
      </c>
      <c r="M159" s="0" t="n">
        <f aca="true">CRITBINOM(MAX(0,J159-K159),1-Coefficients!$B$32,RAND())</f>
        <v>0</v>
      </c>
      <c r="N159" s="0" t="n">
        <f aca="true">CRITBINOM(MAX(0,$C159-J159),MIN(0.6,Matchup!$C$40*SQRT($B159)/(1-MIN(0.75,Matchup!$C$39*$B159))),RAND())</f>
        <v>2</v>
      </c>
      <c r="O159" s="0" t="n">
        <f aca="false">6*J159+(J159-K159-M159)+2*L159+3*N159</f>
        <v>20</v>
      </c>
      <c r="P159" s="0" t="n">
        <f aca="true">RAND()</f>
        <v>0.991073776387388</v>
      </c>
      <c r="Q159" s="0" t="n">
        <f aca="true">RAND()</f>
        <v>0.50048550941119</v>
      </c>
      <c r="R159" s="0" t="n">
        <f aca="false">IF($I159&lt;&gt;$O159,0,IF(P159&lt;Matchup!$B$39,7,IF(P159&lt;Matchup!$B$39+Matchup!$B$40,3,0)))</f>
        <v>0</v>
      </c>
      <c r="S159" s="0" t="n">
        <f aca="false">IF($I159&lt;&gt;$O159,0,IF(Q159&lt;Matchup!$C$39,7,IF(Q159&lt;Matchup!$C$39+Matchup!$C$40,3,0)))</f>
        <v>0</v>
      </c>
      <c r="T159" s="0" t="n">
        <f aca="false">I159+R159</f>
        <v>17</v>
      </c>
      <c r="U159" s="0" t="n">
        <f aca="false">O159+S159</f>
        <v>20</v>
      </c>
      <c r="V159" s="0" t="n">
        <f aca="false">T159-U159</f>
        <v>-3</v>
      </c>
      <c r="W159" s="0" t="n">
        <f aca="false">T159+U159</f>
        <v>37</v>
      </c>
    </row>
    <row r="160" customFormat="false" ht="15" hidden="false" customHeight="false" outlineLevel="0" collapsed="false">
      <c r="A160" s="0" t="n">
        <v>157</v>
      </c>
      <c r="B160" s="0" t="n">
        <f aca="true">NORMINV(RAND(),1,Coefficients!$B$22)</f>
        <v>1.08297042091112</v>
      </c>
      <c r="C160" s="0" t="n">
        <f aca="true">MEDIAN(8,16,ROUND(NORMINV(RAND(),Coefficients!$B$20,Coefficients!$B$21),0))</f>
        <v>11</v>
      </c>
      <c r="D160" s="0" t="n">
        <f aca="true">CRITBINOM($C160,MIN(0.75,Matchup!$B$39*$B160),RAND())</f>
        <v>3</v>
      </c>
      <c r="E160" s="0" t="n">
        <f aca="true">CRITBINOM(D160,Coefficients!$B$30,RAND())</f>
        <v>0</v>
      </c>
      <c r="F160" s="0" t="n">
        <f aca="true">CRITBINOM(E160,Coefficients!$B$31,RAND())</f>
        <v>0</v>
      </c>
      <c r="G160" s="0" t="n">
        <f aca="true">CRITBINOM(MAX(0,D160-E160),1-Coefficients!$B$32,RAND())</f>
        <v>0</v>
      </c>
      <c r="H160" s="0" t="n">
        <f aca="true">CRITBINOM(MAX(0,$C160-D160),MIN(0.6,Matchup!$B$40*SQRT($B160)/(1-MIN(0.75,Matchup!$B$39*$B160))),RAND())</f>
        <v>0</v>
      </c>
      <c r="I160" s="0" t="n">
        <f aca="false">6*D160+(D160-E160-G160)+2*F160+3*H160</f>
        <v>21</v>
      </c>
      <c r="J160" s="0" t="n">
        <f aca="true">CRITBINOM($C160,MIN(0.75,Matchup!$C$39*$B160),RAND())</f>
        <v>3</v>
      </c>
      <c r="K160" s="0" t="n">
        <f aca="true">CRITBINOM(J160,Coefficients!$B$30,RAND())</f>
        <v>0</v>
      </c>
      <c r="L160" s="0" t="n">
        <f aca="true">CRITBINOM(K160,Coefficients!$B$31,RAND())</f>
        <v>0</v>
      </c>
      <c r="M160" s="0" t="n">
        <f aca="true">CRITBINOM(MAX(0,J160-K160),1-Coefficients!$B$32,RAND())</f>
        <v>0</v>
      </c>
      <c r="N160" s="0" t="n">
        <f aca="true">CRITBINOM(MAX(0,$C160-J160),MIN(0.6,Matchup!$C$40*SQRT($B160)/(1-MIN(0.75,Matchup!$C$39*$B160))),RAND())</f>
        <v>2</v>
      </c>
      <c r="O160" s="0" t="n">
        <f aca="false">6*J160+(J160-K160-M160)+2*L160+3*N160</f>
        <v>27</v>
      </c>
      <c r="P160" s="0" t="n">
        <f aca="true">RAND()</f>
        <v>0.301601369671513</v>
      </c>
      <c r="Q160" s="0" t="n">
        <f aca="true">RAND()</f>
        <v>0.13653649205969</v>
      </c>
      <c r="R160" s="0" t="n">
        <f aca="false">IF($I160&lt;&gt;$O160,0,IF(P160&lt;Matchup!$B$39,7,IF(P160&lt;Matchup!$B$39+Matchup!$B$40,3,0)))</f>
        <v>0</v>
      </c>
      <c r="S160" s="0" t="n">
        <f aca="false">IF($I160&lt;&gt;$O160,0,IF(Q160&lt;Matchup!$C$39,7,IF(Q160&lt;Matchup!$C$39+Matchup!$C$40,3,0)))</f>
        <v>0</v>
      </c>
      <c r="T160" s="0" t="n">
        <f aca="false">I160+R160</f>
        <v>21</v>
      </c>
      <c r="U160" s="0" t="n">
        <f aca="false">O160+S160</f>
        <v>27</v>
      </c>
      <c r="V160" s="0" t="n">
        <f aca="false">T160-U160</f>
        <v>-6</v>
      </c>
      <c r="W160" s="0" t="n">
        <f aca="false">T160+U160</f>
        <v>48</v>
      </c>
    </row>
    <row r="161" customFormat="false" ht="15" hidden="false" customHeight="false" outlineLevel="0" collapsed="false">
      <c r="A161" s="0" t="n">
        <v>158</v>
      </c>
      <c r="B161" s="0" t="n">
        <f aca="true">NORMINV(RAND(),1,Coefficients!$B$22)</f>
        <v>0.950712906029401</v>
      </c>
      <c r="C161" s="0" t="n">
        <f aca="true">MEDIAN(8,16,ROUND(NORMINV(RAND(),Coefficients!$B$20,Coefficients!$B$21),0))</f>
        <v>10</v>
      </c>
      <c r="D161" s="0" t="n">
        <f aca="true">CRITBINOM($C161,MIN(0.75,Matchup!$B$39*$B161),RAND())</f>
        <v>0</v>
      </c>
      <c r="E161" s="0" t="n">
        <f aca="true">CRITBINOM(D161,Coefficients!$B$30,RAND())</f>
        <v>0</v>
      </c>
      <c r="F161" s="0" t="n">
        <f aca="true">CRITBINOM(E161,Coefficients!$B$31,RAND())</f>
        <v>0</v>
      </c>
      <c r="G161" s="0" t="n">
        <f aca="true">CRITBINOM(MAX(0,D161-E161),1-Coefficients!$B$32,RAND())</f>
        <v>0</v>
      </c>
      <c r="H161" s="0" t="n">
        <f aca="true">CRITBINOM(MAX(0,$C161-D161),MIN(0.6,Matchup!$B$40*SQRT($B161)/(1-MIN(0.75,Matchup!$B$39*$B161))),RAND())</f>
        <v>2</v>
      </c>
      <c r="I161" s="0" t="n">
        <f aca="false">6*D161+(D161-E161-G161)+2*F161+3*H161</f>
        <v>6</v>
      </c>
      <c r="J161" s="0" t="n">
        <f aca="true">CRITBINOM($C161,MIN(0.75,Matchup!$C$39*$B161),RAND())</f>
        <v>4</v>
      </c>
      <c r="K161" s="0" t="n">
        <f aca="true">CRITBINOM(J161,Coefficients!$B$30,RAND())</f>
        <v>0</v>
      </c>
      <c r="L161" s="0" t="n">
        <f aca="true">CRITBINOM(K161,Coefficients!$B$31,RAND())</f>
        <v>0</v>
      </c>
      <c r="M161" s="0" t="n">
        <f aca="true">CRITBINOM(MAX(0,J161-K161),1-Coefficients!$B$32,RAND())</f>
        <v>0</v>
      </c>
      <c r="N161" s="0" t="n">
        <f aca="true">CRITBINOM(MAX(0,$C161-J161),MIN(0.6,Matchup!$C$40*SQRT($B161)/(1-MIN(0.75,Matchup!$C$39*$B161))),RAND())</f>
        <v>1</v>
      </c>
      <c r="O161" s="0" t="n">
        <f aca="false">6*J161+(J161-K161-M161)+2*L161+3*N161</f>
        <v>31</v>
      </c>
      <c r="P161" s="0" t="n">
        <f aca="true">RAND()</f>
        <v>0.092367670151115</v>
      </c>
      <c r="Q161" s="0" t="n">
        <f aca="true">RAND()</f>
        <v>0.395037643620996</v>
      </c>
      <c r="R161" s="0" t="n">
        <f aca="false">IF($I161&lt;&gt;$O161,0,IF(P161&lt;Matchup!$B$39,7,IF(P161&lt;Matchup!$B$39+Matchup!$B$40,3,0)))</f>
        <v>0</v>
      </c>
      <c r="S161" s="0" t="n">
        <f aca="false">IF($I161&lt;&gt;$O161,0,IF(Q161&lt;Matchup!$C$39,7,IF(Q161&lt;Matchup!$C$39+Matchup!$C$40,3,0)))</f>
        <v>0</v>
      </c>
      <c r="T161" s="0" t="n">
        <f aca="false">I161+R161</f>
        <v>6</v>
      </c>
      <c r="U161" s="0" t="n">
        <f aca="false">O161+S161</f>
        <v>31</v>
      </c>
      <c r="V161" s="0" t="n">
        <f aca="false">T161-U161</f>
        <v>-25</v>
      </c>
      <c r="W161" s="0" t="n">
        <f aca="false">T161+U161</f>
        <v>37</v>
      </c>
    </row>
    <row r="162" customFormat="false" ht="15" hidden="false" customHeight="false" outlineLevel="0" collapsed="false">
      <c r="A162" s="0" t="n">
        <v>159</v>
      </c>
      <c r="B162" s="0" t="n">
        <f aca="true">NORMINV(RAND(),1,Coefficients!$B$22)</f>
        <v>0.968695545731923</v>
      </c>
      <c r="C162" s="0" t="n">
        <f aca="true">MEDIAN(8,16,ROUND(NORMINV(RAND(),Coefficients!$B$20,Coefficients!$B$21),0))</f>
        <v>12</v>
      </c>
      <c r="D162" s="0" t="n">
        <f aca="true">CRITBINOM($C162,MIN(0.75,Matchup!$B$39*$B162),RAND())</f>
        <v>4</v>
      </c>
      <c r="E162" s="0" t="n">
        <f aca="true">CRITBINOM(D162,Coefficients!$B$30,RAND())</f>
        <v>0</v>
      </c>
      <c r="F162" s="0" t="n">
        <f aca="true">CRITBINOM(E162,Coefficients!$B$31,RAND())</f>
        <v>0</v>
      </c>
      <c r="G162" s="0" t="n">
        <f aca="true">CRITBINOM(MAX(0,D162-E162),1-Coefficients!$B$32,RAND())</f>
        <v>0</v>
      </c>
      <c r="H162" s="0" t="n">
        <f aca="true">CRITBINOM(MAX(0,$C162-D162),MIN(0.6,Matchup!$B$40*SQRT($B162)/(1-MIN(0.75,Matchup!$B$39*$B162))),RAND())</f>
        <v>1</v>
      </c>
      <c r="I162" s="0" t="n">
        <f aca="false">6*D162+(D162-E162-G162)+2*F162+3*H162</f>
        <v>31</v>
      </c>
      <c r="J162" s="0" t="n">
        <f aca="true">CRITBINOM($C162,MIN(0.75,Matchup!$C$39*$B162),RAND())</f>
        <v>2</v>
      </c>
      <c r="K162" s="0" t="n">
        <f aca="true">CRITBINOM(J162,Coefficients!$B$30,RAND())</f>
        <v>0</v>
      </c>
      <c r="L162" s="0" t="n">
        <f aca="true">CRITBINOM(K162,Coefficients!$B$31,RAND())</f>
        <v>0</v>
      </c>
      <c r="M162" s="0" t="n">
        <f aca="true">CRITBINOM(MAX(0,J162-K162),1-Coefficients!$B$32,RAND())</f>
        <v>0</v>
      </c>
      <c r="N162" s="0" t="n">
        <f aca="true">CRITBINOM(MAX(0,$C162-J162),MIN(0.6,Matchup!$C$40*SQRT($B162)/(1-MIN(0.75,Matchup!$C$39*$B162))),RAND())</f>
        <v>3</v>
      </c>
      <c r="O162" s="0" t="n">
        <f aca="false">6*J162+(J162-K162-M162)+2*L162+3*N162</f>
        <v>23</v>
      </c>
      <c r="P162" s="0" t="n">
        <f aca="true">RAND()</f>
        <v>0.242871919133272</v>
      </c>
      <c r="Q162" s="0" t="n">
        <f aca="true">RAND()</f>
        <v>0.312476352529605</v>
      </c>
      <c r="R162" s="0" t="n">
        <f aca="false">IF($I162&lt;&gt;$O162,0,IF(P162&lt;Matchup!$B$39,7,IF(P162&lt;Matchup!$B$39+Matchup!$B$40,3,0)))</f>
        <v>0</v>
      </c>
      <c r="S162" s="0" t="n">
        <f aca="false">IF($I162&lt;&gt;$O162,0,IF(Q162&lt;Matchup!$C$39,7,IF(Q162&lt;Matchup!$C$39+Matchup!$C$40,3,0)))</f>
        <v>0</v>
      </c>
      <c r="T162" s="0" t="n">
        <f aca="false">I162+R162</f>
        <v>31</v>
      </c>
      <c r="U162" s="0" t="n">
        <f aca="false">O162+S162</f>
        <v>23</v>
      </c>
      <c r="V162" s="0" t="n">
        <f aca="false">T162-U162</f>
        <v>8</v>
      </c>
      <c r="W162" s="0" t="n">
        <f aca="false">T162+U162</f>
        <v>54</v>
      </c>
    </row>
    <row r="163" customFormat="false" ht="15" hidden="false" customHeight="false" outlineLevel="0" collapsed="false">
      <c r="A163" s="0" t="n">
        <v>160</v>
      </c>
      <c r="B163" s="0" t="n">
        <f aca="true">NORMINV(RAND(),1,Coefficients!$B$22)</f>
        <v>0.940628283703806</v>
      </c>
      <c r="C163" s="0" t="n">
        <f aca="true">MEDIAN(8,16,ROUND(NORMINV(RAND(),Coefficients!$B$20,Coefficients!$B$21),0))</f>
        <v>9</v>
      </c>
      <c r="D163" s="0" t="n">
        <f aca="true">CRITBINOM($C163,MIN(0.75,Matchup!$B$39*$B163),RAND())</f>
        <v>2</v>
      </c>
      <c r="E163" s="0" t="n">
        <f aca="true">CRITBINOM(D163,Coefficients!$B$30,RAND())</f>
        <v>0</v>
      </c>
      <c r="F163" s="0" t="n">
        <f aca="true">CRITBINOM(E163,Coefficients!$B$31,RAND())</f>
        <v>0</v>
      </c>
      <c r="G163" s="0" t="n">
        <f aca="true">CRITBINOM(MAX(0,D163-E163),1-Coefficients!$B$32,RAND())</f>
        <v>0</v>
      </c>
      <c r="H163" s="0" t="n">
        <f aca="true">CRITBINOM(MAX(0,$C163-D163),MIN(0.6,Matchup!$B$40*SQRT($B163)/(1-MIN(0.75,Matchup!$B$39*$B163))),RAND())</f>
        <v>1</v>
      </c>
      <c r="I163" s="0" t="n">
        <f aca="false">6*D163+(D163-E163-G163)+2*F163+3*H163</f>
        <v>17</v>
      </c>
      <c r="J163" s="0" t="n">
        <f aca="true">CRITBINOM($C163,MIN(0.75,Matchup!$C$39*$B163),RAND())</f>
        <v>1</v>
      </c>
      <c r="K163" s="0" t="n">
        <f aca="true">CRITBINOM(J163,Coefficients!$B$30,RAND())</f>
        <v>0</v>
      </c>
      <c r="L163" s="0" t="n">
        <f aca="true">CRITBINOM(K163,Coefficients!$B$31,RAND())</f>
        <v>0</v>
      </c>
      <c r="M163" s="0" t="n">
        <f aca="true">CRITBINOM(MAX(0,J163-K163),1-Coefficients!$B$32,RAND())</f>
        <v>0</v>
      </c>
      <c r="N163" s="0" t="n">
        <f aca="true">CRITBINOM(MAX(0,$C163-J163),MIN(0.6,Matchup!$C$40*SQRT($B163)/(1-MIN(0.75,Matchup!$C$39*$B163))),RAND())</f>
        <v>1</v>
      </c>
      <c r="O163" s="0" t="n">
        <f aca="false">6*J163+(J163-K163-M163)+2*L163+3*N163</f>
        <v>10</v>
      </c>
      <c r="P163" s="0" t="n">
        <f aca="true">RAND()</f>
        <v>0.216039921753323</v>
      </c>
      <c r="Q163" s="0" t="n">
        <f aca="true">RAND()</f>
        <v>0.649261487418306</v>
      </c>
      <c r="R163" s="0" t="n">
        <f aca="false">IF($I163&lt;&gt;$O163,0,IF(P163&lt;Matchup!$B$39,7,IF(P163&lt;Matchup!$B$39+Matchup!$B$40,3,0)))</f>
        <v>0</v>
      </c>
      <c r="S163" s="0" t="n">
        <f aca="false">IF($I163&lt;&gt;$O163,0,IF(Q163&lt;Matchup!$C$39,7,IF(Q163&lt;Matchup!$C$39+Matchup!$C$40,3,0)))</f>
        <v>0</v>
      </c>
      <c r="T163" s="0" t="n">
        <f aca="false">I163+R163</f>
        <v>17</v>
      </c>
      <c r="U163" s="0" t="n">
        <f aca="false">O163+S163</f>
        <v>10</v>
      </c>
      <c r="V163" s="0" t="n">
        <f aca="false">T163-U163</f>
        <v>7</v>
      </c>
      <c r="W163" s="0" t="n">
        <f aca="false">T163+U163</f>
        <v>27</v>
      </c>
    </row>
    <row r="164" customFormat="false" ht="15" hidden="false" customHeight="false" outlineLevel="0" collapsed="false">
      <c r="A164" s="0" t="n">
        <v>161</v>
      </c>
      <c r="B164" s="0" t="n">
        <f aca="true">NORMINV(RAND(),1,Coefficients!$B$22)</f>
        <v>0.969930872960788</v>
      </c>
      <c r="C164" s="0" t="n">
        <f aca="true">MEDIAN(8,16,ROUND(NORMINV(RAND(),Coefficients!$B$20,Coefficients!$B$21),0))</f>
        <v>10</v>
      </c>
      <c r="D164" s="0" t="n">
        <f aca="true">CRITBINOM($C164,MIN(0.75,Matchup!$B$39*$B164),RAND())</f>
        <v>1</v>
      </c>
      <c r="E164" s="0" t="n">
        <f aca="true">CRITBINOM(D164,Coefficients!$B$30,RAND())</f>
        <v>0</v>
      </c>
      <c r="F164" s="0" t="n">
        <f aca="true">CRITBINOM(E164,Coefficients!$B$31,RAND())</f>
        <v>0</v>
      </c>
      <c r="G164" s="0" t="n">
        <f aca="true">CRITBINOM(MAX(0,D164-E164),1-Coefficients!$B$32,RAND())</f>
        <v>0</v>
      </c>
      <c r="H164" s="0" t="n">
        <f aca="true">CRITBINOM(MAX(0,$C164-D164),MIN(0.6,Matchup!$B$40*SQRT($B164)/(1-MIN(0.75,Matchup!$B$39*$B164))),RAND())</f>
        <v>0</v>
      </c>
      <c r="I164" s="0" t="n">
        <f aca="false">6*D164+(D164-E164-G164)+2*F164+3*H164</f>
        <v>7</v>
      </c>
      <c r="J164" s="0" t="n">
        <f aca="true">CRITBINOM($C164,MIN(0.75,Matchup!$C$39*$B164),RAND())</f>
        <v>2</v>
      </c>
      <c r="K164" s="0" t="n">
        <f aca="true">CRITBINOM(J164,Coefficients!$B$30,RAND())</f>
        <v>0</v>
      </c>
      <c r="L164" s="0" t="n">
        <f aca="true">CRITBINOM(K164,Coefficients!$B$31,RAND())</f>
        <v>0</v>
      </c>
      <c r="M164" s="0" t="n">
        <f aca="true">CRITBINOM(MAX(0,J164-K164),1-Coefficients!$B$32,RAND())</f>
        <v>0</v>
      </c>
      <c r="N164" s="0" t="n">
        <f aca="true">CRITBINOM(MAX(0,$C164-J164),MIN(0.6,Matchup!$C$40*SQRT($B164)/(1-MIN(0.75,Matchup!$C$39*$B164))),RAND())</f>
        <v>1</v>
      </c>
      <c r="O164" s="0" t="n">
        <f aca="false">6*J164+(J164-K164-M164)+2*L164+3*N164</f>
        <v>17</v>
      </c>
      <c r="P164" s="0" t="n">
        <f aca="true">RAND()</f>
        <v>0.70477090711524</v>
      </c>
      <c r="Q164" s="0" t="n">
        <f aca="true">RAND()</f>
        <v>0.364583861696002</v>
      </c>
      <c r="R164" s="0" t="n">
        <f aca="false">IF($I164&lt;&gt;$O164,0,IF(P164&lt;Matchup!$B$39,7,IF(P164&lt;Matchup!$B$39+Matchup!$B$40,3,0)))</f>
        <v>0</v>
      </c>
      <c r="S164" s="0" t="n">
        <f aca="false">IF($I164&lt;&gt;$O164,0,IF(Q164&lt;Matchup!$C$39,7,IF(Q164&lt;Matchup!$C$39+Matchup!$C$40,3,0)))</f>
        <v>0</v>
      </c>
      <c r="T164" s="0" t="n">
        <f aca="false">I164+R164</f>
        <v>7</v>
      </c>
      <c r="U164" s="0" t="n">
        <f aca="false">O164+S164</f>
        <v>17</v>
      </c>
      <c r="V164" s="0" t="n">
        <f aca="false">T164-U164</f>
        <v>-10</v>
      </c>
      <c r="W164" s="0" t="n">
        <f aca="false">T164+U164</f>
        <v>24</v>
      </c>
    </row>
    <row r="165" customFormat="false" ht="15" hidden="false" customHeight="false" outlineLevel="0" collapsed="false">
      <c r="A165" s="0" t="n">
        <v>162</v>
      </c>
      <c r="B165" s="0" t="n">
        <f aca="true">NORMINV(RAND(),1,Coefficients!$B$22)</f>
        <v>1.04913380713138</v>
      </c>
      <c r="C165" s="0" t="n">
        <f aca="true">MEDIAN(8,16,ROUND(NORMINV(RAND(),Coefficients!$B$20,Coefficients!$B$21),0))</f>
        <v>10</v>
      </c>
      <c r="D165" s="0" t="n">
        <f aca="true">CRITBINOM($C165,MIN(0.75,Matchup!$B$39*$B165),RAND())</f>
        <v>4</v>
      </c>
      <c r="E165" s="0" t="n">
        <f aca="true">CRITBINOM(D165,Coefficients!$B$30,RAND())</f>
        <v>0</v>
      </c>
      <c r="F165" s="0" t="n">
        <f aca="true">CRITBINOM(E165,Coefficients!$B$31,RAND())</f>
        <v>0</v>
      </c>
      <c r="G165" s="0" t="n">
        <f aca="true">CRITBINOM(MAX(0,D165-E165),1-Coefficients!$B$32,RAND())</f>
        <v>1</v>
      </c>
      <c r="H165" s="0" t="n">
        <f aca="true">CRITBINOM(MAX(0,$C165-D165),MIN(0.6,Matchup!$B$40*SQRT($B165)/(1-MIN(0.75,Matchup!$B$39*$B165))),RAND())</f>
        <v>0</v>
      </c>
      <c r="I165" s="0" t="n">
        <f aca="false">6*D165+(D165-E165-G165)+2*F165+3*H165</f>
        <v>27</v>
      </c>
      <c r="J165" s="0" t="n">
        <f aca="true">CRITBINOM($C165,MIN(0.75,Matchup!$C$39*$B165),RAND())</f>
        <v>1</v>
      </c>
      <c r="K165" s="0" t="n">
        <f aca="true">CRITBINOM(J165,Coefficients!$B$30,RAND())</f>
        <v>0</v>
      </c>
      <c r="L165" s="0" t="n">
        <f aca="true">CRITBINOM(K165,Coefficients!$B$31,RAND())</f>
        <v>0</v>
      </c>
      <c r="M165" s="0" t="n">
        <f aca="true">CRITBINOM(MAX(0,J165-K165),1-Coefficients!$B$32,RAND())</f>
        <v>0</v>
      </c>
      <c r="N165" s="0" t="n">
        <f aca="true">CRITBINOM(MAX(0,$C165-J165),MIN(0.6,Matchup!$C$40*SQRT($B165)/(1-MIN(0.75,Matchup!$C$39*$B165))),RAND())</f>
        <v>1</v>
      </c>
      <c r="O165" s="0" t="n">
        <f aca="false">6*J165+(J165-K165-M165)+2*L165+3*N165</f>
        <v>10</v>
      </c>
      <c r="P165" s="0" t="n">
        <f aca="true">RAND()</f>
        <v>0.993778099188607</v>
      </c>
      <c r="Q165" s="0" t="n">
        <f aca="true">RAND()</f>
        <v>0.0747763799172778</v>
      </c>
      <c r="R165" s="0" t="n">
        <f aca="false">IF($I165&lt;&gt;$O165,0,IF(P165&lt;Matchup!$B$39,7,IF(P165&lt;Matchup!$B$39+Matchup!$B$40,3,0)))</f>
        <v>0</v>
      </c>
      <c r="S165" s="0" t="n">
        <f aca="false">IF($I165&lt;&gt;$O165,0,IF(Q165&lt;Matchup!$C$39,7,IF(Q165&lt;Matchup!$C$39+Matchup!$C$40,3,0)))</f>
        <v>0</v>
      </c>
      <c r="T165" s="0" t="n">
        <f aca="false">I165+R165</f>
        <v>27</v>
      </c>
      <c r="U165" s="0" t="n">
        <f aca="false">O165+S165</f>
        <v>10</v>
      </c>
      <c r="V165" s="0" t="n">
        <f aca="false">T165-U165</f>
        <v>17</v>
      </c>
      <c r="W165" s="0" t="n">
        <f aca="false">T165+U165</f>
        <v>37</v>
      </c>
    </row>
    <row r="166" customFormat="false" ht="15" hidden="false" customHeight="false" outlineLevel="0" collapsed="false">
      <c r="A166" s="0" t="n">
        <v>163</v>
      </c>
      <c r="B166" s="0" t="n">
        <f aca="true">NORMINV(RAND(),1,Coefficients!$B$22)</f>
        <v>0.888101643842115</v>
      </c>
      <c r="C166" s="0" t="n">
        <f aca="true">MEDIAN(8,16,ROUND(NORMINV(RAND(),Coefficients!$B$20,Coefficients!$B$21),0))</f>
        <v>12</v>
      </c>
      <c r="D166" s="0" t="n">
        <f aca="true">CRITBINOM($C166,MIN(0.75,Matchup!$B$39*$B166),RAND())</f>
        <v>1</v>
      </c>
      <c r="E166" s="0" t="n">
        <f aca="true">CRITBINOM(D166,Coefficients!$B$30,RAND())</f>
        <v>0</v>
      </c>
      <c r="F166" s="0" t="n">
        <f aca="true">CRITBINOM(E166,Coefficients!$B$31,RAND())</f>
        <v>0</v>
      </c>
      <c r="G166" s="0" t="n">
        <f aca="true">CRITBINOM(MAX(0,D166-E166),1-Coefficients!$B$32,RAND())</f>
        <v>0</v>
      </c>
      <c r="H166" s="0" t="n">
        <f aca="true">CRITBINOM(MAX(0,$C166-D166),MIN(0.6,Matchup!$B$40*SQRT($B166)/(1-MIN(0.75,Matchup!$B$39*$B166))),RAND())</f>
        <v>3</v>
      </c>
      <c r="I166" s="0" t="n">
        <f aca="false">6*D166+(D166-E166-G166)+2*F166+3*H166</f>
        <v>16</v>
      </c>
      <c r="J166" s="0" t="n">
        <f aca="true">CRITBINOM($C166,MIN(0.75,Matchup!$C$39*$B166),RAND())</f>
        <v>4</v>
      </c>
      <c r="K166" s="0" t="n">
        <f aca="true">CRITBINOM(J166,Coefficients!$B$30,RAND())</f>
        <v>0</v>
      </c>
      <c r="L166" s="0" t="n">
        <f aca="true">CRITBINOM(K166,Coefficients!$B$31,RAND())</f>
        <v>0</v>
      </c>
      <c r="M166" s="0" t="n">
        <f aca="true">CRITBINOM(MAX(0,J166-K166),1-Coefficients!$B$32,RAND())</f>
        <v>0</v>
      </c>
      <c r="N166" s="0" t="n">
        <f aca="true">CRITBINOM(MAX(0,$C166-J166),MIN(0.6,Matchup!$C$40*SQRT($B166)/(1-MIN(0.75,Matchup!$C$39*$B166))),RAND())</f>
        <v>2</v>
      </c>
      <c r="O166" s="0" t="n">
        <f aca="false">6*J166+(J166-K166-M166)+2*L166+3*N166</f>
        <v>34</v>
      </c>
      <c r="P166" s="0" t="n">
        <f aca="true">RAND()</f>
        <v>0.0386151515412745</v>
      </c>
      <c r="Q166" s="0" t="n">
        <f aca="true">RAND()</f>
        <v>0.847753232362469</v>
      </c>
      <c r="R166" s="0" t="n">
        <f aca="false">IF($I166&lt;&gt;$O166,0,IF(P166&lt;Matchup!$B$39,7,IF(P166&lt;Matchup!$B$39+Matchup!$B$40,3,0)))</f>
        <v>0</v>
      </c>
      <c r="S166" s="0" t="n">
        <f aca="false">IF($I166&lt;&gt;$O166,0,IF(Q166&lt;Matchup!$C$39,7,IF(Q166&lt;Matchup!$C$39+Matchup!$C$40,3,0)))</f>
        <v>0</v>
      </c>
      <c r="T166" s="0" t="n">
        <f aca="false">I166+R166</f>
        <v>16</v>
      </c>
      <c r="U166" s="0" t="n">
        <f aca="false">O166+S166</f>
        <v>34</v>
      </c>
      <c r="V166" s="0" t="n">
        <f aca="false">T166-U166</f>
        <v>-18</v>
      </c>
      <c r="W166" s="0" t="n">
        <f aca="false">T166+U166</f>
        <v>50</v>
      </c>
    </row>
    <row r="167" customFormat="false" ht="15" hidden="false" customHeight="false" outlineLevel="0" collapsed="false">
      <c r="A167" s="0" t="n">
        <v>164</v>
      </c>
      <c r="B167" s="0" t="n">
        <f aca="true">NORMINV(RAND(),1,Coefficients!$B$22)</f>
        <v>0.944633350917391</v>
      </c>
      <c r="C167" s="0" t="n">
        <f aca="true">MEDIAN(8,16,ROUND(NORMINV(RAND(),Coefficients!$B$20,Coefficients!$B$21),0))</f>
        <v>10</v>
      </c>
      <c r="D167" s="0" t="n">
        <f aca="true">CRITBINOM($C167,MIN(0.75,Matchup!$B$39*$B167),RAND())</f>
        <v>3</v>
      </c>
      <c r="E167" s="0" t="n">
        <f aca="true">CRITBINOM(D167,Coefficients!$B$30,RAND())</f>
        <v>0</v>
      </c>
      <c r="F167" s="0" t="n">
        <f aca="true">CRITBINOM(E167,Coefficients!$B$31,RAND())</f>
        <v>0</v>
      </c>
      <c r="G167" s="0" t="n">
        <f aca="true">CRITBINOM(MAX(0,D167-E167),1-Coefficients!$B$32,RAND())</f>
        <v>0</v>
      </c>
      <c r="H167" s="0" t="n">
        <f aca="true">CRITBINOM(MAX(0,$C167-D167),MIN(0.6,Matchup!$B$40*SQRT($B167)/(1-MIN(0.75,Matchup!$B$39*$B167))),RAND())</f>
        <v>1</v>
      </c>
      <c r="I167" s="0" t="n">
        <f aca="false">6*D167+(D167-E167-G167)+2*F167+3*H167</f>
        <v>24</v>
      </c>
      <c r="J167" s="0" t="n">
        <f aca="true">CRITBINOM($C167,MIN(0.75,Matchup!$C$39*$B167),RAND())</f>
        <v>4</v>
      </c>
      <c r="K167" s="0" t="n">
        <f aca="true">CRITBINOM(J167,Coefficients!$B$30,RAND())</f>
        <v>0</v>
      </c>
      <c r="L167" s="0" t="n">
        <f aca="true">CRITBINOM(K167,Coefficients!$B$31,RAND())</f>
        <v>0</v>
      </c>
      <c r="M167" s="0" t="n">
        <f aca="true">CRITBINOM(MAX(0,J167-K167),1-Coefficients!$B$32,RAND())</f>
        <v>0</v>
      </c>
      <c r="N167" s="0" t="n">
        <f aca="true">CRITBINOM(MAX(0,$C167-J167),MIN(0.6,Matchup!$C$40*SQRT($B167)/(1-MIN(0.75,Matchup!$C$39*$B167))),RAND())</f>
        <v>1</v>
      </c>
      <c r="O167" s="0" t="n">
        <f aca="false">6*J167+(J167-K167-M167)+2*L167+3*N167</f>
        <v>31</v>
      </c>
      <c r="P167" s="0" t="n">
        <f aca="true">RAND()</f>
        <v>0.85977270587973</v>
      </c>
      <c r="Q167" s="0" t="n">
        <f aca="true">RAND()</f>
        <v>0.903205514782645</v>
      </c>
      <c r="R167" s="0" t="n">
        <f aca="false">IF($I167&lt;&gt;$O167,0,IF(P167&lt;Matchup!$B$39,7,IF(P167&lt;Matchup!$B$39+Matchup!$B$40,3,0)))</f>
        <v>0</v>
      </c>
      <c r="S167" s="0" t="n">
        <f aca="false">IF($I167&lt;&gt;$O167,0,IF(Q167&lt;Matchup!$C$39,7,IF(Q167&lt;Matchup!$C$39+Matchup!$C$40,3,0)))</f>
        <v>0</v>
      </c>
      <c r="T167" s="0" t="n">
        <f aca="false">I167+R167</f>
        <v>24</v>
      </c>
      <c r="U167" s="0" t="n">
        <f aca="false">O167+S167</f>
        <v>31</v>
      </c>
      <c r="V167" s="0" t="n">
        <f aca="false">T167-U167</f>
        <v>-7</v>
      </c>
      <c r="W167" s="0" t="n">
        <f aca="false">T167+U167</f>
        <v>55</v>
      </c>
    </row>
    <row r="168" customFormat="false" ht="15" hidden="false" customHeight="false" outlineLevel="0" collapsed="false">
      <c r="A168" s="0" t="n">
        <v>165</v>
      </c>
      <c r="B168" s="0" t="n">
        <f aca="true">NORMINV(RAND(),1,Coefficients!$B$22)</f>
        <v>1.01076088008218</v>
      </c>
      <c r="C168" s="0" t="n">
        <f aca="true">MEDIAN(8,16,ROUND(NORMINV(RAND(),Coefficients!$B$20,Coefficients!$B$21),0))</f>
        <v>11</v>
      </c>
      <c r="D168" s="0" t="n">
        <f aca="true">CRITBINOM($C168,MIN(0.75,Matchup!$B$39*$B168),RAND())</f>
        <v>3</v>
      </c>
      <c r="E168" s="0" t="n">
        <f aca="true">CRITBINOM(D168,Coefficients!$B$30,RAND())</f>
        <v>0</v>
      </c>
      <c r="F168" s="0" t="n">
        <f aca="true">CRITBINOM(E168,Coefficients!$B$31,RAND())</f>
        <v>0</v>
      </c>
      <c r="G168" s="0" t="n">
        <f aca="true">CRITBINOM(MAX(0,D168-E168),1-Coefficients!$B$32,RAND())</f>
        <v>1</v>
      </c>
      <c r="H168" s="0" t="n">
        <f aca="true">CRITBINOM(MAX(0,$C168-D168),MIN(0.6,Matchup!$B$40*SQRT($B168)/(1-MIN(0.75,Matchup!$B$39*$B168))),RAND())</f>
        <v>2</v>
      </c>
      <c r="I168" s="0" t="n">
        <f aca="false">6*D168+(D168-E168-G168)+2*F168+3*H168</f>
        <v>26</v>
      </c>
      <c r="J168" s="0" t="n">
        <f aca="true">CRITBINOM($C168,MIN(0.75,Matchup!$C$39*$B168),RAND())</f>
        <v>4</v>
      </c>
      <c r="K168" s="0" t="n">
        <f aca="true">CRITBINOM(J168,Coefficients!$B$30,RAND())</f>
        <v>0</v>
      </c>
      <c r="L168" s="0" t="n">
        <f aca="true">CRITBINOM(K168,Coefficients!$B$31,RAND())</f>
        <v>0</v>
      </c>
      <c r="M168" s="0" t="n">
        <f aca="true">CRITBINOM(MAX(0,J168-K168),1-Coefficients!$B$32,RAND())</f>
        <v>2</v>
      </c>
      <c r="N168" s="0" t="n">
        <f aca="true">CRITBINOM(MAX(0,$C168-J168),MIN(0.6,Matchup!$C$40*SQRT($B168)/(1-MIN(0.75,Matchup!$C$39*$B168))),RAND())</f>
        <v>0</v>
      </c>
      <c r="O168" s="0" t="n">
        <f aca="false">6*J168+(J168-K168-M168)+2*L168+3*N168</f>
        <v>26</v>
      </c>
      <c r="P168" s="0" t="n">
        <f aca="true">RAND()</f>
        <v>0.832979698896238</v>
      </c>
      <c r="Q168" s="0" t="n">
        <f aca="true">RAND()</f>
        <v>0.713529495598125</v>
      </c>
      <c r="R168" s="0" t="n">
        <f aca="false">IF($I168&lt;&gt;$O168,0,IF(P168&lt;Matchup!$B$39,7,IF(P168&lt;Matchup!$B$39+Matchup!$B$40,3,0)))</f>
        <v>0</v>
      </c>
      <c r="S168" s="0" t="n">
        <f aca="false">IF($I168&lt;&gt;$O168,0,IF(Q168&lt;Matchup!$C$39,7,IF(Q168&lt;Matchup!$C$39+Matchup!$C$40,3,0)))</f>
        <v>0</v>
      </c>
      <c r="T168" s="0" t="n">
        <f aca="false">I168+R168</f>
        <v>26</v>
      </c>
      <c r="U168" s="0" t="n">
        <f aca="false">O168+S168</f>
        <v>26</v>
      </c>
      <c r="V168" s="0" t="n">
        <f aca="false">T168-U168</f>
        <v>0</v>
      </c>
      <c r="W168" s="0" t="n">
        <f aca="false">T168+U168</f>
        <v>52</v>
      </c>
    </row>
    <row r="169" customFormat="false" ht="15" hidden="false" customHeight="false" outlineLevel="0" collapsed="false">
      <c r="A169" s="0" t="n">
        <v>166</v>
      </c>
      <c r="B169" s="0" t="n">
        <f aca="true">NORMINV(RAND(),1,Coefficients!$B$22)</f>
        <v>1.01930844737427</v>
      </c>
      <c r="C169" s="0" t="n">
        <f aca="true">MEDIAN(8,16,ROUND(NORMINV(RAND(),Coefficients!$B$20,Coefficients!$B$21),0))</f>
        <v>11</v>
      </c>
      <c r="D169" s="0" t="n">
        <f aca="true">CRITBINOM($C169,MIN(0.75,Matchup!$B$39*$B169),RAND())</f>
        <v>3</v>
      </c>
      <c r="E169" s="0" t="n">
        <f aca="true">CRITBINOM(D169,Coefficients!$B$30,RAND())</f>
        <v>0</v>
      </c>
      <c r="F169" s="0" t="n">
        <f aca="true">CRITBINOM(E169,Coefficients!$B$31,RAND())</f>
        <v>0</v>
      </c>
      <c r="G169" s="0" t="n">
        <f aca="true">CRITBINOM(MAX(0,D169-E169),1-Coefficients!$B$32,RAND())</f>
        <v>0</v>
      </c>
      <c r="H169" s="0" t="n">
        <f aca="true">CRITBINOM(MAX(0,$C169-D169),MIN(0.6,Matchup!$B$40*SQRT($B169)/(1-MIN(0.75,Matchup!$B$39*$B169))),RAND())</f>
        <v>2</v>
      </c>
      <c r="I169" s="0" t="n">
        <f aca="false">6*D169+(D169-E169-G169)+2*F169+3*H169</f>
        <v>27</v>
      </c>
      <c r="J169" s="0" t="n">
        <f aca="true">CRITBINOM($C169,MIN(0.75,Matchup!$C$39*$B169),RAND())</f>
        <v>4</v>
      </c>
      <c r="K169" s="0" t="n">
        <f aca="true">CRITBINOM(J169,Coefficients!$B$30,RAND())</f>
        <v>0</v>
      </c>
      <c r="L169" s="0" t="n">
        <f aca="true">CRITBINOM(K169,Coefficients!$B$31,RAND())</f>
        <v>0</v>
      </c>
      <c r="M169" s="0" t="n">
        <f aca="true">CRITBINOM(MAX(0,J169-K169),1-Coefficients!$B$32,RAND())</f>
        <v>0</v>
      </c>
      <c r="N169" s="0" t="n">
        <f aca="true">CRITBINOM(MAX(0,$C169-J169),MIN(0.6,Matchup!$C$40*SQRT($B169)/(1-MIN(0.75,Matchup!$C$39*$B169))),RAND())</f>
        <v>0</v>
      </c>
      <c r="O169" s="0" t="n">
        <f aca="false">6*J169+(J169-K169-M169)+2*L169+3*N169</f>
        <v>28</v>
      </c>
      <c r="P169" s="0" t="n">
        <f aca="true">RAND()</f>
        <v>0.698361199727484</v>
      </c>
      <c r="Q169" s="0" t="n">
        <f aca="true">RAND()</f>
        <v>0.63876577180022</v>
      </c>
      <c r="R169" s="0" t="n">
        <f aca="false">IF($I169&lt;&gt;$O169,0,IF(P169&lt;Matchup!$B$39,7,IF(P169&lt;Matchup!$B$39+Matchup!$B$40,3,0)))</f>
        <v>0</v>
      </c>
      <c r="S169" s="0" t="n">
        <f aca="false">IF($I169&lt;&gt;$O169,0,IF(Q169&lt;Matchup!$C$39,7,IF(Q169&lt;Matchup!$C$39+Matchup!$C$40,3,0)))</f>
        <v>0</v>
      </c>
      <c r="T169" s="0" t="n">
        <f aca="false">I169+R169</f>
        <v>27</v>
      </c>
      <c r="U169" s="0" t="n">
        <f aca="false">O169+S169</f>
        <v>28</v>
      </c>
      <c r="V169" s="0" t="n">
        <f aca="false">T169-U169</f>
        <v>-1</v>
      </c>
      <c r="W169" s="0" t="n">
        <f aca="false">T169+U169</f>
        <v>55</v>
      </c>
    </row>
    <row r="170" customFormat="false" ht="15" hidden="false" customHeight="false" outlineLevel="0" collapsed="false">
      <c r="A170" s="0" t="n">
        <v>167</v>
      </c>
      <c r="B170" s="0" t="n">
        <f aca="true">NORMINV(RAND(),1,Coefficients!$B$22)</f>
        <v>1.04118255857317</v>
      </c>
      <c r="C170" s="0" t="n">
        <f aca="true">MEDIAN(8,16,ROUND(NORMINV(RAND(),Coefficients!$B$20,Coefficients!$B$21),0))</f>
        <v>12</v>
      </c>
      <c r="D170" s="0" t="n">
        <f aca="true">CRITBINOM($C170,MIN(0.75,Matchup!$B$39*$B170),RAND())</f>
        <v>3</v>
      </c>
      <c r="E170" s="0" t="n">
        <f aca="true">CRITBINOM(D170,Coefficients!$B$30,RAND())</f>
        <v>0</v>
      </c>
      <c r="F170" s="0" t="n">
        <f aca="true">CRITBINOM(E170,Coefficients!$B$31,RAND())</f>
        <v>0</v>
      </c>
      <c r="G170" s="0" t="n">
        <f aca="true">CRITBINOM(MAX(0,D170-E170),1-Coefficients!$B$32,RAND())</f>
        <v>0</v>
      </c>
      <c r="H170" s="0" t="n">
        <f aca="true">CRITBINOM(MAX(0,$C170-D170),MIN(0.6,Matchup!$B$40*SQRT($B170)/(1-MIN(0.75,Matchup!$B$39*$B170))),RAND())</f>
        <v>0</v>
      </c>
      <c r="I170" s="0" t="n">
        <f aca="false">6*D170+(D170-E170-G170)+2*F170+3*H170</f>
        <v>21</v>
      </c>
      <c r="J170" s="0" t="n">
        <f aca="true">CRITBINOM($C170,MIN(0.75,Matchup!$C$39*$B170),RAND())</f>
        <v>3</v>
      </c>
      <c r="K170" s="0" t="n">
        <f aca="true">CRITBINOM(J170,Coefficients!$B$30,RAND())</f>
        <v>0</v>
      </c>
      <c r="L170" s="0" t="n">
        <f aca="true">CRITBINOM(K170,Coefficients!$B$31,RAND())</f>
        <v>0</v>
      </c>
      <c r="M170" s="0" t="n">
        <f aca="true">CRITBINOM(MAX(0,J170-K170),1-Coefficients!$B$32,RAND())</f>
        <v>0</v>
      </c>
      <c r="N170" s="0" t="n">
        <f aca="true">CRITBINOM(MAX(0,$C170-J170),MIN(0.6,Matchup!$C$40*SQRT($B170)/(1-MIN(0.75,Matchup!$C$39*$B170))),RAND())</f>
        <v>2</v>
      </c>
      <c r="O170" s="0" t="n">
        <f aca="false">6*J170+(J170-K170-M170)+2*L170+3*N170</f>
        <v>27</v>
      </c>
      <c r="P170" s="0" t="n">
        <f aca="true">RAND()</f>
        <v>0.393341454632993</v>
      </c>
      <c r="Q170" s="0" t="n">
        <f aca="true">RAND()</f>
        <v>0.400633851350404</v>
      </c>
      <c r="R170" s="0" t="n">
        <f aca="false">IF($I170&lt;&gt;$O170,0,IF(P170&lt;Matchup!$B$39,7,IF(P170&lt;Matchup!$B$39+Matchup!$B$40,3,0)))</f>
        <v>0</v>
      </c>
      <c r="S170" s="0" t="n">
        <f aca="false">IF($I170&lt;&gt;$O170,0,IF(Q170&lt;Matchup!$C$39,7,IF(Q170&lt;Matchup!$C$39+Matchup!$C$40,3,0)))</f>
        <v>0</v>
      </c>
      <c r="T170" s="0" t="n">
        <f aca="false">I170+R170</f>
        <v>21</v>
      </c>
      <c r="U170" s="0" t="n">
        <f aca="false">O170+S170</f>
        <v>27</v>
      </c>
      <c r="V170" s="0" t="n">
        <f aca="false">T170-U170</f>
        <v>-6</v>
      </c>
      <c r="W170" s="0" t="n">
        <f aca="false">T170+U170</f>
        <v>48</v>
      </c>
    </row>
    <row r="171" customFormat="false" ht="15" hidden="false" customHeight="false" outlineLevel="0" collapsed="false">
      <c r="A171" s="0" t="n">
        <v>168</v>
      </c>
      <c r="B171" s="0" t="n">
        <f aca="true">NORMINV(RAND(),1,Coefficients!$B$22)</f>
        <v>1.1276943685375</v>
      </c>
      <c r="C171" s="0" t="n">
        <f aca="true">MEDIAN(8,16,ROUND(NORMINV(RAND(),Coefficients!$B$20,Coefficients!$B$21),0))</f>
        <v>11</v>
      </c>
      <c r="D171" s="0" t="n">
        <f aca="true">CRITBINOM($C171,MIN(0.75,Matchup!$B$39*$B171),RAND())</f>
        <v>5</v>
      </c>
      <c r="E171" s="0" t="n">
        <f aca="true">CRITBINOM(D171,Coefficients!$B$30,RAND())</f>
        <v>0</v>
      </c>
      <c r="F171" s="0" t="n">
        <f aca="true">CRITBINOM(E171,Coefficients!$B$31,RAND())</f>
        <v>0</v>
      </c>
      <c r="G171" s="0" t="n">
        <f aca="true">CRITBINOM(MAX(0,D171-E171),1-Coefficients!$B$32,RAND())</f>
        <v>0</v>
      </c>
      <c r="H171" s="0" t="n">
        <f aca="true">CRITBINOM(MAX(0,$C171-D171),MIN(0.6,Matchup!$B$40*SQRT($B171)/(1-MIN(0.75,Matchup!$B$39*$B171))),RAND())</f>
        <v>0</v>
      </c>
      <c r="I171" s="0" t="n">
        <f aca="false">6*D171+(D171-E171-G171)+2*F171+3*H171</f>
        <v>35</v>
      </c>
      <c r="J171" s="0" t="n">
        <f aca="true">CRITBINOM($C171,MIN(0.75,Matchup!$C$39*$B171),RAND())</f>
        <v>4</v>
      </c>
      <c r="K171" s="0" t="n">
        <f aca="true">CRITBINOM(J171,Coefficients!$B$30,RAND())</f>
        <v>1</v>
      </c>
      <c r="L171" s="0" t="n">
        <f aca="true">CRITBINOM(K171,Coefficients!$B$31,RAND())</f>
        <v>0</v>
      </c>
      <c r="M171" s="0" t="n">
        <f aca="true">CRITBINOM(MAX(0,J171-K171),1-Coefficients!$B$32,RAND())</f>
        <v>0</v>
      </c>
      <c r="N171" s="0" t="n">
        <f aca="true">CRITBINOM(MAX(0,$C171-J171),MIN(0.6,Matchup!$C$40*SQRT($B171)/(1-MIN(0.75,Matchup!$C$39*$B171))),RAND())</f>
        <v>1</v>
      </c>
      <c r="O171" s="0" t="n">
        <f aca="false">6*J171+(J171-K171-M171)+2*L171+3*N171</f>
        <v>30</v>
      </c>
      <c r="P171" s="0" t="n">
        <f aca="true">RAND()</f>
        <v>0.324024937178659</v>
      </c>
      <c r="Q171" s="0" t="n">
        <f aca="true">RAND()</f>
        <v>0.537000287004958</v>
      </c>
      <c r="R171" s="0" t="n">
        <f aca="false">IF($I171&lt;&gt;$O171,0,IF(P171&lt;Matchup!$B$39,7,IF(P171&lt;Matchup!$B$39+Matchup!$B$40,3,0)))</f>
        <v>0</v>
      </c>
      <c r="S171" s="0" t="n">
        <f aca="false">IF($I171&lt;&gt;$O171,0,IF(Q171&lt;Matchup!$C$39,7,IF(Q171&lt;Matchup!$C$39+Matchup!$C$40,3,0)))</f>
        <v>0</v>
      </c>
      <c r="T171" s="0" t="n">
        <f aca="false">I171+R171</f>
        <v>35</v>
      </c>
      <c r="U171" s="0" t="n">
        <f aca="false">O171+S171</f>
        <v>30</v>
      </c>
      <c r="V171" s="0" t="n">
        <f aca="false">T171-U171</f>
        <v>5</v>
      </c>
      <c r="W171" s="0" t="n">
        <f aca="false">T171+U171</f>
        <v>65</v>
      </c>
    </row>
    <row r="172" customFormat="false" ht="15" hidden="false" customHeight="false" outlineLevel="0" collapsed="false">
      <c r="A172" s="0" t="n">
        <v>169</v>
      </c>
      <c r="B172" s="0" t="n">
        <f aca="true">NORMINV(RAND(),1,Coefficients!$B$22)</f>
        <v>1.02365707135726</v>
      </c>
      <c r="C172" s="0" t="n">
        <f aca="true">MEDIAN(8,16,ROUND(NORMINV(RAND(),Coefficients!$B$20,Coefficients!$B$21),0))</f>
        <v>12</v>
      </c>
      <c r="D172" s="0" t="n">
        <f aca="true">CRITBINOM($C172,MIN(0.75,Matchup!$B$39*$B172),RAND())</f>
        <v>4</v>
      </c>
      <c r="E172" s="0" t="n">
        <f aca="true">CRITBINOM(D172,Coefficients!$B$30,RAND())</f>
        <v>1</v>
      </c>
      <c r="F172" s="0" t="n">
        <f aca="true">CRITBINOM(E172,Coefficients!$B$31,RAND())</f>
        <v>0</v>
      </c>
      <c r="G172" s="0" t="n">
        <f aca="true">CRITBINOM(MAX(0,D172-E172),1-Coefficients!$B$32,RAND())</f>
        <v>0</v>
      </c>
      <c r="H172" s="0" t="n">
        <f aca="true">CRITBINOM(MAX(0,$C172-D172),MIN(0.6,Matchup!$B$40*SQRT($B172)/(1-MIN(0.75,Matchup!$B$39*$B172))),RAND())</f>
        <v>1</v>
      </c>
      <c r="I172" s="0" t="n">
        <f aca="false">6*D172+(D172-E172-G172)+2*F172+3*H172</f>
        <v>30</v>
      </c>
      <c r="J172" s="0" t="n">
        <f aca="true">CRITBINOM($C172,MIN(0.75,Matchup!$C$39*$B172),RAND())</f>
        <v>1</v>
      </c>
      <c r="K172" s="0" t="n">
        <f aca="true">CRITBINOM(J172,Coefficients!$B$30,RAND())</f>
        <v>0</v>
      </c>
      <c r="L172" s="0" t="n">
        <f aca="true">CRITBINOM(K172,Coefficients!$B$31,RAND())</f>
        <v>0</v>
      </c>
      <c r="M172" s="0" t="n">
        <f aca="true">CRITBINOM(MAX(0,J172-K172),1-Coefficients!$B$32,RAND())</f>
        <v>0</v>
      </c>
      <c r="N172" s="0" t="n">
        <f aca="true">CRITBINOM(MAX(0,$C172-J172),MIN(0.6,Matchup!$C$40*SQRT($B172)/(1-MIN(0.75,Matchup!$C$39*$B172))),RAND())</f>
        <v>2</v>
      </c>
      <c r="O172" s="0" t="n">
        <f aca="false">6*J172+(J172-K172-M172)+2*L172+3*N172</f>
        <v>13</v>
      </c>
      <c r="P172" s="0" t="n">
        <f aca="true">RAND()</f>
        <v>0.471953810063988</v>
      </c>
      <c r="Q172" s="0" t="n">
        <f aca="true">RAND()</f>
        <v>0.462214614100549</v>
      </c>
      <c r="R172" s="0" t="n">
        <f aca="false">IF($I172&lt;&gt;$O172,0,IF(P172&lt;Matchup!$B$39,7,IF(P172&lt;Matchup!$B$39+Matchup!$B$40,3,0)))</f>
        <v>0</v>
      </c>
      <c r="S172" s="0" t="n">
        <f aca="false">IF($I172&lt;&gt;$O172,0,IF(Q172&lt;Matchup!$C$39,7,IF(Q172&lt;Matchup!$C$39+Matchup!$C$40,3,0)))</f>
        <v>0</v>
      </c>
      <c r="T172" s="0" t="n">
        <f aca="false">I172+R172</f>
        <v>30</v>
      </c>
      <c r="U172" s="0" t="n">
        <f aca="false">O172+S172</f>
        <v>13</v>
      </c>
      <c r="V172" s="0" t="n">
        <f aca="false">T172-U172</f>
        <v>17</v>
      </c>
      <c r="W172" s="0" t="n">
        <f aca="false">T172+U172</f>
        <v>43</v>
      </c>
    </row>
    <row r="173" customFormat="false" ht="15" hidden="false" customHeight="false" outlineLevel="0" collapsed="false">
      <c r="A173" s="0" t="n">
        <v>170</v>
      </c>
      <c r="B173" s="0" t="n">
        <f aca="true">NORMINV(RAND(),1,Coefficients!$B$22)</f>
        <v>0.98175076350478</v>
      </c>
      <c r="C173" s="0" t="n">
        <f aca="true">MEDIAN(8,16,ROUND(NORMINV(RAND(),Coefficients!$B$20,Coefficients!$B$21),0))</f>
        <v>11</v>
      </c>
      <c r="D173" s="0" t="n">
        <f aca="true">CRITBINOM($C173,MIN(0.75,Matchup!$B$39*$B173),RAND())</f>
        <v>3</v>
      </c>
      <c r="E173" s="0" t="n">
        <f aca="true">CRITBINOM(D173,Coefficients!$B$30,RAND())</f>
        <v>1</v>
      </c>
      <c r="F173" s="0" t="n">
        <f aca="true">CRITBINOM(E173,Coefficients!$B$31,RAND())</f>
        <v>1</v>
      </c>
      <c r="G173" s="0" t="n">
        <f aca="true">CRITBINOM(MAX(0,D173-E173),1-Coefficients!$B$32,RAND())</f>
        <v>0</v>
      </c>
      <c r="H173" s="0" t="n">
        <f aca="true">CRITBINOM(MAX(0,$C173-D173),MIN(0.6,Matchup!$B$40*SQRT($B173)/(1-MIN(0.75,Matchup!$B$39*$B173))),RAND())</f>
        <v>2</v>
      </c>
      <c r="I173" s="0" t="n">
        <f aca="false">6*D173+(D173-E173-G173)+2*F173+3*H173</f>
        <v>28</v>
      </c>
      <c r="J173" s="0" t="n">
        <f aca="true">CRITBINOM($C173,MIN(0.75,Matchup!$C$39*$B173),RAND())</f>
        <v>0</v>
      </c>
      <c r="K173" s="0" t="n">
        <f aca="true">CRITBINOM(J173,Coefficients!$B$30,RAND())</f>
        <v>0</v>
      </c>
      <c r="L173" s="0" t="n">
        <f aca="true">CRITBINOM(K173,Coefficients!$B$31,RAND())</f>
        <v>0</v>
      </c>
      <c r="M173" s="0" t="n">
        <f aca="true">CRITBINOM(MAX(0,J173-K173),1-Coefficients!$B$32,RAND())</f>
        <v>0</v>
      </c>
      <c r="N173" s="0" t="n">
        <f aca="true">CRITBINOM(MAX(0,$C173-J173),MIN(0.6,Matchup!$C$40*SQRT($B173)/(1-MIN(0.75,Matchup!$C$39*$B173))),RAND())</f>
        <v>3</v>
      </c>
      <c r="O173" s="0" t="n">
        <f aca="false">6*J173+(J173-K173-M173)+2*L173+3*N173</f>
        <v>9</v>
      </c>
      <c r="P173" s="0" t="n">
        <f aca="true">RAND()</f>
        <v>0.313527028391574</v>
      </c>
      <c r="Q173" s="0" t="n">
        <f aca="true">RAND()</f>
        <v>0.756383573657495</v>
      </c>
      <c r="R173" s="0" t="n">
        <f aca="false">IF($I173&lt;&gt;$O173,0,IF(P173&lt;Matchup!$B$39,7,IF(P173&lt;Matchup!$B$39+Matchup!$B$40,3,0)))</f>
        <v>0</v>
      </c>
      <c r="S173" s="0" t="n">
        <f aca="false">IF($I173&lt;&gt;$O173,0,IF(Q173&lt;Matchup!$C$39,7,IF(Q173&lt;Matchup!$C$39+Matchup!$C$40,3,0)))</f>
        <v>0</v>
      </c>
      <c r="T173" s="0" t="n">
        <f aca="false">I173+R173</f>
        <v>28</v>
      </c>
      <c r="U173" s="0" t="n">
        <f aca="false">O173+S173</f>
        <v>9</v>
      </c>
      <c r="V173" s="0" t="n">
        <f aca="false">T173-U173</f>
        <v>19</v>
      </c>
      <c r="W173" s="0" t="n">
        <f aca="false">T173+U173</f>
        <v>37</v>
      </c>
    </row>
    <row r="174" customFormat="false" ht="15" hidden="false" customHeight="false" outlineLevel="0" collapsed="false">
      <c r="A174" s="0" t="n">
        <v>171</v>
      </c>
      <c r="B174" s="0" t="n">
        <f aca="true">NORMINV(RAND(),1,Coefficients!$B$22)</f>
        <v>0.987204374501105</v>
      </c>
      <c r="C174" s="0" t="n">
        <f aca="true">MEDIAN(8,16,ROUND(NORMINV(RAND(),Coefficients!$B$20,Coefficients!$B$21),0))</f>
        <v>11</v>
      </c>
      <c r="D174" s="0" t="n">
        <f aca="true">CRITBINOM($C174,MIN(0.75,Matchup!$B$39*$B174),RAND())</f>
        <v>2</v>
      </c>
      <c r="E174" s="0" t="n">
        <f aca="true">CRITBINOM(D174,Coefficients!$B$30,RAND())</f>
        <v>0</v>
      </c>
      <c r="F174" s="0" t="n">
        <f aca="true">CRITBINOM(E174,Coefficients!$B$31,RAND())</f>
        <v>0</v>
      </c>
      <c r="G174" s="0" t="n">
        <f aca="true">CRITBINOM(MAX(0,D174-E174),1-Coefficients!$B$32,RAND())</f>
        <v>0</v>
      </c>
      <c r="H174" s="0" t="n">
        <f aca="true">CRITBINOM(MAX(0,$C174-D174),MIN(0.6,Matchup!$B$40*SQRT($B174)/(1-MIN(0.75,Matchup!$B$39*$B174))),RAND())</f>
        <v>4</v>
      </c>
      <c r="I174" s="0" t="n">
        <f aca="false">6*D174+(D174-E174-G174)+2*F174+3*H174</f>
        <v>26</v>
      </c>
      <c r="J174" s="0" t="n">
        <f aca="true">CRITBINOM($C174,MIN(0.75,Matchup!$C$39*$B174),RAND())</f>
        <v>2</v>
      </c>
      <c r="K174" s="0" t="n">
        <f aca="true">CRITBINOM(J174,Coefficients!$B$30,RAND())</f>
        <v>0</v>
      </c>
      <c r="L174" s="0" t="n">
        <f aca="true">CRITBINOM(K174,Coefficients!$B$31,RAND())</f>
        <v>0</v>
      </c>
      <c r="M174" s="0" t="n">
        <f aca="true">CRITBINOM(MAX(0,J174-K174),1-Coefficients!$B$32,RAND())</f>
        <v>0</v>
      </c>
      <c r="N174" s="0" t="n">
        <f aca="true">CRITBINOM(MAX(0,$C174-J174),MIN(0.6,Matchup!$C$40*SQRT($B174)/(1-MIN(0.75,Matchup!$C$39*$B174))),RAND())</f>
        <v>1</v>
      </c>
      <c r="O174" s="0" t="n">
        <f aca="false">6*J174+(J174-K174-M174)+2*L174+3*N174</f>
        <v>17</v>
      </c>
      <c r="P174" s="0" t="n">
        <f aca="true">RAND()</f>
        <v>0.441340321520245</v>
      </c>
      <c r="Q174" s="0" t="n">
        <f aca="true">RAND()</f>
        <v>0.714444882513702</v>
      </c>
      <c r="R174" s="0" t="n">
        <f aca="false">IF($I174&lt;&gt;$O174,0,IF(P174&lt;Matchup!$B$39,7,IF(P174&lt;Matchup!$B$39+Matchup!$B$40,3,0)))</f>
        <v>0</v>
      </c>
      <c r="S174" s="0" t="n">
        <f aca="false">IF($I174&lt;&gt;$O174,0,IF(Q174&lt;Matchup!$C$39,7,IF(Q174&lt;Matchup!$C$39+Matchup!$C$40,3,0)))</f>
        <v>0</v>
      </c>
      <c r="T174" s="0" t="n">
        <f aca="false">I174+R174</f>
        <v>26</v>
      </c>
      <c r="U174" s="0" t="n">
        <f aca="false">O174+S174</f>
        <v>17</v>
      </c>
      <c r="V174" s="0" t="n">
        <f aca="false">T174-U174</f>
        <v>9</v>
      </c>
      <c r="W174" s="0" t="n">
        <f aca="false">T174+U174</f>
        <v>43</v>
      </c>
    </row>
    <row r="175" customFormat="false" ht="15" hidden="false" customHeight="false" outlineLevel="0" collapsed="false">
      <c r="A175" s="0" t="n">
        <v>172</v>
      </c>
      <c r="B175" s="0" t="n">
        <f aca="true">NORMINV(RAND(),1,Coefficients!$B$22)</f>
        <v>1.02374090564431</v>
      </c>
      <c r="C175" s="0" t="n">
        <f aca="true">MEDIAN(8,16,ROUND(NORMINV(RAND(),Coefficients!$B$20,Coefficients!$B$21),0))</f>
        <v>12</v>
      </c>
      <c r="D175" s="0" t="n">
        <f aca="true">CRITBINOM($C175,MIN(0.75,Matchup!$B$39*$B175),RAND())</f>
        <v>6</v>
      </c>
      <c r="E175" s="0" t="n">
        <f aca="true">CRITBINOM(D175,Coefficients!$B$30,RAND())</f>
        <v>2</v>
      </c>
      <c r="F175" s="0" t="n">
        <f aca="true">CRITBINOM(E175,Coefficients!$B$31,RAND())</f>
        <v>2</v>
      </c>
      <c r="G175" s="0" t="n">
        <f aca="true">CRITBINOM(MAX(0,D175-E175),1-Coefficients!$B$32,RAND())</f>
        <v>0</v>
      </c>
      <c r="H175" s="0" t="n">
        <f aca="true">CRITBINOM(MAX(0,$C175-D175),MIN(0.6,Matchup!$B$40*SQRT($B175)/(1-MIN(0.75,Matchup!$B$39*$B175))),RAND())</f>
        <v>1</v>
      </c>
      <c r="I175" s="0" t="n">
        <f aca="false">6*D175+(D175-E175-G175)+2*F175+3*H175</f>
        <v>47</v>
      </c>
      <c r="J175" s="0" t="n">
        <f aca="true">CRITBINOM($C175,MIN(0.75,Matchup!$C$39*$B175),RAND())</f>
        <v>5</v>
      </c>
      <c r="K175" s="0" t="n">
        <f aca="true">CRITBINOM(J175,Coefficients!$B$30,RAND())</f>
        <v>1</v>
      </c>
      <c r="L175" s="0" t="n">
        <f aca="true">CRITBINOM(K175,Coefficients!$B$31,RAND())</f>
        <v>1</v>
      </c>
      <c r="M175" s="0" t="n">
        <f aca="true">CRITBINOM(MAX(0,J175-K175),1-Coefficients!$B$32,RAND())</f>
        <v>0</v>
      </c>
      <c r="N175" s="0" t="n">
        <f aca="true">CRITBINOM(MAX(0,$C175-J175),MIN(0.6,Matchup!$C$40*SQRT($B175)/(1-MIN(0.75,Matchup!$C$39*$B175))),RAND())</f>
        <v>2</v>
      </c>
      <c r="O175" s="0" t="n">
        <f aca="false">6*J175+(J175-K175-M175)+2*L175+3*N175</f>
        <v>42</v>
      </c>
      <c r="P175" s="0" t="n">
        <f aca="true">RAND()</f>
        <v>0.790344095006687</v>
      </c>
      <c r="Q175" s="0" t="n">
        <f aca="true">RAND()</f>
        <v>0.0527693034914179</v>
      </c>
      <c r="R175" s="0" t="n">
        <f aca="false">IF($I175&lt;&gt;$O175,0,IF(P175&lt;Matchup!$B$39,7,IF(P175&lt;Matchup!$B$39+Matchup!$B$40,3,0)))</f>
        <v>0</v>
      </c>
      <c r="S175" s="0" t="n">
        <f aca="false">IF($I175&lt;&gt;$O175,0,IF(Q175&lt;Matchup!$C$39,7,IF(Q175&lt;Matchup!$C$39+Matchup!$C$40,3,0)))</f>
        <v>0</v>
      </c>
      <c r="T175" s="0" t="n">
        <f aca="false">I175+R175</f>
        <v>47</v>
      </c>
      <c r="U175" s="0" t="n">
        <f aca="false">O175+S175</f>
        <v>42</v>
      </c>
      <c r="V175" s="0" t="n">
        <f aca="false">T175-U175</f>
        <v>5</v>
      </c>
      <c r="W175" s="0" t="n">
        <f aca="false">T175+U175</f>
        <v>89</v>
      </c>
    </row>
    <row r="176" customFormat="false" ht="15" hidden="false" customHeight="false" outlineLevel="0" collapsed="false">
      <c r="A176" s="0" t="n">
        <v>173</v>
      </c>
      <c r="B176" s="0" t="n">
        <f aca="true">NORMINV(RAND(),1,Coefficients!$B$22)</f>
        <v>0.999195659096123</v>
      </c>
      <c r="C176" s="0" t="n">
        <f aca="true">MEDIAN(8,16,ROUND(NORMINV(RAND(),Coefficients!$B$20,Coefficients!$B$21),0))</f>
        <v>9</v>
      </c>
      <c r="D176" s="0" t="n">
        <f aca="true">CRITBINOM($C176,MIN(0.75,Matchup!$B$39*$B176),RAND())</f>
        <v>4</v>
      </c>
      <c r="E176" s="0" t="n">
        <f aca="true">CRITBINOM(D176,Coefficients!$B$30,RAND())</f>
        <v>0</v>
      </c>
      <c r="F176" s="0" t="n">
        <f aca="true">CRITBINOM(E176,Coefficients!$B$31,RAND())</f>
        <v>0</v>
      </c>
      <c r="G176" s="0" t="n">
        <f aca="true">CRITBINOM(MAX(0,D176-E176),1-Coefficients!$B$32,RAND())</f>
        <v>0</v>
      </c>
      <c r="H176" s="0" t="n">
        <f aca="true">CRITBINOM(MAX(0,$C176-D176),MIN(0.6,Matchup!$B$40*SQRT($B176)/(1-MIN(0.75,Matchup!$B$39*$B176))),RAND())</f>
        <v>0</v>
      </c>
      <c r="I176" s="0" t="n">
        <f aca="false">6*D176+(D176-E176-G176)+2*F176+3*H176</f>
        <v>28</v>
      </c>
      <c r="J176" s="0" t="n">
        <f aca="true">CRITBINOM($C176,MIN(0.75,Matchup!$C$39*$B176),RAND())</f>
        <v>3</v>
      </c>
      <c r="K176" s="0" t="n">
        <f aca="true">CRITBINOM(J176,Coefficients!$B$30,RAND())</f>
        <v>0</v>
      </c>
      <c r="L176" s="0" t="n">
        <f aca="true">CRITBINOM(K176,Coefficients!$B$31,RAND())</f>
        <v>0</v>
      </c>
      <c r="M176" s="0" t="n">
        <f aca="true">CRITBINOM(MAX(0,J176-K176),1-Coefficients!$B$32,RAND())</f>
        <v>0</v>
      </c>
      <c r="N176" s="0" t="n">
        <f aca="true">CRITBINOM(MAX(0,$C176-J176),MIN(0.6,Matchup!$C$40*SQRT($B176)/(1-MIN(0.75,Matchup!$C$39*$B176))),RAND())</f>
        <v>1</v>
      </c>
      <c r="O176" s="0" t="n">
        <f aca="false">6*J176+(J176-K176-M176)+2*L176+3*N176</f>
        <v>24</v>
      </c>
      <c r="P176" s="0" t="n">
        <f aca="true">RAND()</f>
        <v>0.0177327715298244</v>
      </c>
      <c r="Q176" s="0" t="n">
        <f aca="true">RAND()</f>
        <v>0.720304758944533</v>
      </c>
      <c r="R176" s="0" t="n">
        <f aca="false">IF($I176&lt;&gt;$O176,0,IF(P176&lt;Matchup!$B$39,7,IF(P176&lt;Matchup!$B$39+Matchup!$B$40,3,0)))</f>
        <v>0</v>
      </c>
      <c r="S176" s="0" t="n">
        <f aca="false">IF($I176&lt;&gt;$O176,0,IF(Q176&lt;Matchup!$C$39,7,IF(Q176&lt;Matchup!$C$39+Matchup!$C$40,3,0)))</f>
        <v>0</v>
      </c>
      <c r="T176" s="0" t="n">
        <f aca="false">I176+R176</f>
        <v>28</v>
      </c>
      <c r="U176" s="0" t="n">
        <f aca="false">O176+S176</f>
        <v>24</v>
      </c>
      <c r="V176" s="0" t="n">
        <f aca="false">T176-U176</f>
        <v>4</v>
      </c>
      <c r="W176" s="0" t="n">
        <f aca="false">T176+U176</f>
        <v>52</v>
      </c>
    </row>
    <row r="177" customFormat="false" ht="15" hidden="false" customHeight="false" outlineLevel="0" collapsed="false">
      <c r="A177" s="0" t="n">
        <v>174</v>
      </c>
      <c r="B177" s="0" t="n">
        <f aca="true">NORMINV(RAND(),1,Coefficients!$B$22)</f>
        <v>1.06961897341374</v>
      </c>
      <c r="C177" s="0" t="n">
        <f aca="true">MEDIAN(8,16,ROUND(NORMINV(RAND(),Coefficients!$B$20,Coefficients!$B$21),0))</f>
        <v>11</v>
      </c>
      <c r="D177" s="0" t="n">
        <f aca="true">CRITBINOM($C177,MIN(0.75,Matchup!$B$39*$B177),RAND())</f>
        <v>1</v>
      </c>
      <c r="E177" s="0" t="n">
        <f aca="true">CRITBINOM(D177,Coefficients!$B$30,RAND())</f>
        <v>0</v>
      </c>
      <c r="F177" s="0" t="n">
        <f aca="true">CRITBINOM(E177,Coefficients!$B$31,RAND())</f>
        <v>0</v>
      </c>
      <c r="G177" s="0" t="n">
        <f aca="true">CRITBINOM(MAX(0,D177-E177),1-Coefficients!$B$32,RAND())</f>
        <v>0</v>
      </c>
      <c r="H177" s="0" t="n">
        <f aca="true">CRITBINOM(MAX(0,$C177-D177),MIN(0.6,Matchup!$B$40*SQRT($B177)/(1-MIN(0.75,Matchup!$B$39*$B177))),RAND())</f>
        <v>3</v>
      </c>
      <c r="I177" s="0" t="n">
        <f aca="false">6*D177+(D177-E177-G177)+2*F177+3*H177</f>
        <v>16</v>
      </c>
      <c r="J177" s="0" t="n">
        <f aca="true">CRITBINOM($C177,MIN(0.75,Matchup!$C$39*$B177),RAND())</f>
        <v>4</v>
      </c>
      <c r="K177" s="0" t="n">
        <f aca="true">CRITBINOM(J177,Coefficients!$B$30,RAND())</f>
        <v>1</v>
      </c>
      <c r="L177" s="0" t="n">
        <f aca="true">CRITBINOM(K177,Coefficients!$B$31,RAND())</f>
        <v>0</v>
      </c>
      <c r="M177" s="0" t="n">
        <f aca="true">CRITBINOM(MAX(0,J177-K177),1-Coefficients!$B$32,RAND())</f>
        <v>0</v>
      </c>
      <c r="N177" s="0" t="n">
        <f aca="true">CRITBINOM(MAX(0,$C177-J177),MIN(0.6,Matchup!$C$40*SQRT($B177)/(1-MIN(0.75,Matchup!$C$39*$B177))),RAND())</f>
        <v>1</v>
      </c>
      <c r="O177" s="0" t="n">
        <f aca="false">6*J177+(J177-K177-M177)+2*L177+3*N177</f>
        <v>30</v>
      </c>
      <c r="P177" s="0" t="n">
        <f aca="true">RAND()</f>
        <v>0.746530951788345</v>
      </c>
      <c r="Q177" s="0" t="n">
        <f aca="true">RAND()</f>
        <v>0.138549703159658</v>
      </c>
      <c r="R177" s="0" t="n">
        <f aca="false">IF($I177&lt;&gt;$O177,0,IF(P177&lt;Matchup!$B$39,7,IF(P177&lt;Matchup!$B$39+Matchup!$B$40,3,0)))</f>
        <v>0</v>
      </c>
      <c r="S177" s="0" t="n">
        <f aca="false">IF($I177&lt;&gt;$O177,0,IF(Q177&lt;Matchup!$C$39,7,IF(Q177&lt;Matchup!$C$39+Matchup!$C$40,3,0)))</f>
        <v>0</v>
      </c>
      <c r="T177" s="0" t="n">
        <f aca="false">I177+R177</f>
        <v>16</v>
      </c>
      <c r="U177" s="0" t="n">
        <f aca="false">O177+S177</f>
        <v>30</v>
      </c>
      <c r="V177" s="0" t="n">
        <f aca="false">T177-U177</f>
        <v>-14</v>
      </c>
      <c r="W177" s="0" t="n">
        <f aca="false">T177+U177</f>
        <v>46</v>
      </c>
    </row>
    <row r="178" customFormat="false" ht="15" hidden="false" customHeight="false" outlineLevel="0" collapsed="false">
      <c r="A178" s="0" t="n">
        <v>175</v>
      </c>
      <c r="B178" s="0" t="n">
        <f aca="true">NORMINV(RAND(),1,Coefficients!$B$22)</f>
        <v>0.867554091908833</v>
      </c>
      <c r="C178" s="0" t="n">
        <f aca="true">MEDIAN(8,16,ROUND(NORMINV(RAND(),Coefficients!$B$20,Coefficients!$B$21),0))</f>
        <v>13</v>
      </c>
      <c r="D178" s="0" t="n">
        <f aca="true">CRITBINOM($C178,MIN(0.75,Matchup!$B$39*$B178),RAND())</f>
        <v>3</v>
      </c>
      <c r="E178" s="0" t="n">
        <f aca="true">CRITBINOM(D178,Coefficients!$B$30,RAND())</f>
        <v>0</v>
      </c>
      <c r="F178" s="0" t="n">
        <f aca="true">CRITBINOM(E178,Coefficients!$B$31,RAND())</f>
        <v>0</v>
      </c>
      <c r="G178" s="0" t="n">
        <f aca="true">CRITBINOM(MAX(0,D178-E178),1-Coefficients!$B$32,RAND())</f>
        <v>1</v>
      </c>
      <c r="H178" s="0" t="n">
        <f aca="true">CRITBINOM(MAX(0,$C178-D178),MIN(0.6,Matchup!$B$40*SQRT($B178)/(1-MIN(0.75,Matchup!$B$39*$B178))),RAND())</f>
        <v>2</v>
      </c>
      <c r="I178" s="0" t="n">
        <f aca="false">6*D178+(D178-E178-G178)+2*F178+3*H178</f>
        <v>26</v>
      </c>
      <c r="J178" s="0" t="n">
        <f aca="true">CRITBINOM($C178,MIN(0.75,Matchup!$C$39*$B178),RAND())</f>
        <v>3</v>
      </c>
      <c r="K178" s="0" t="n">
        <f aca="true">CRITBINOM(J178,Coefficients!$B$30,RAND())</f>
        <v>0</v>
      </c>
      <c r="L178" s="0" t="n">
        <f aca="true">CRITBINOM(K178,Coefficients!$B$31,RAND())</f>
        <v>0</v>
      </c>
      <c r="M178" s="0" t="n">
        <f aca="true">CRITBINOM(MAX(0,J178-K178),1-Coefficients!$B$32,RAND())</f>
        <v>0</v>
      </c>
      <c r="N178" s="0" t="n">
        <f aca="true">CRITBINOM(MAX(0,$C178-J178),MIN(0.6,Matchup!$C$40*SQRT($B178)/(1-MIN(0.75,Matchup!$C$39*$B178))),RAND())</f>
        <v>2</v>
      </c>
      <c r="O178" s="0" t="n">
        <f aca="false">6*J178+(J178-K178-M178)+2*L178+3*N178</f>
        <v>27</v>
      </c>
      <c r="P178" s="0" t="n">
        <f aca="true">RAND()</f>
        <v>0.822259434464014</v>
      </c>
      <c r="Q178" s="0" t="n">
        <f aca="true">RAND()</f>
        <v>0.0427608330718978</v>
      </c>
      <c r="R178" s="0" t="n">
        <f aca="false">IF($I178&lt;&gt;$O178,0,IF(P178&lt;Matchup!$B$39,7,IF(P178&lt;Matchup!$B$39+Matchup!$B$40,3,0)))</f>
        <v>0</v>
      </c>
      <c r="S178" s="0" t="n">
        <f aca="false">IF($I178&lt;&gt;$O178,0,IF(Q178&lt;Matchup!$C$39,7,IF(Q178&lt;Matchup!$C$39+Matchup!$C$40,3,0)))</f>
        <v>0</v>
      </c>
      <c r="T178" s="0" t="n">
        <f aca="false">I178+R178</f>
        <v>26</v>
      </c>
      <c r="U178" s="0" t="n">
        <f aca="false">O178+S178</f>
        <v>27</v>
      </c>
      <c r="V178" s="0" t="n">
        <f aca="false">T178-U178</f>
        <v>-1</v>
      </c>
      <c r="W178" s="0" t="n">
        <f aca="false">T178+U178</f>
        <v>53</v>
      </c>
    </row>
    <row r="179" customFormat="false" ht="15" hidden="false" customHeight="false" outlineLevel="0" collapsed="false">
      <c r="A179" s="0" t="n">
        <v>176</v>
      </c>
      <c r="B179" s="0" t="n">
        <f aca="true">NORMINV(RAND(),1,Coefficients!$B$22)</f>
        <v>0.854048607408494</v>
      </c>
      <c r="C179" s="0" t="n">
        <f aca="true">MEDIAN(8,16,ROUND(NORMINV(RAND(),Coefficients!$B$20,Coefficients!$B$21),0))</f>
        <v>10</v>
      </c>
      <c r="D179" s="0" t="n">
        <f aca="true">CRITBINOM($C179,MIN(0.75,Matchup!$B$39*$B179),RAND())</f>
        <v>2</v>
      </c>
      <c r="E179" s="0" t="n">
        <f aca="true">CRITBINOM(D179,Coefficients!$B$30,RAND())</f>
        <v>0</v>
      </c>
      <c r="F179" s="0" t="n">
        <f aca="true">CRITBINOM(E179,Coefficients!$B$31,RAND())</f>
        <v>0</v>
      </c>
      <c r="G179" s="0" t="n">
        <f aca="true">CRITBINOM(MAX(0,D179-E179),1-Coefficients!$B$32,RAND())</f>
        <v>0</v>
      </c>
      <c r="H179" s="0" t="n">
        <f aca="true">CRITBINOM(MAX(0,$C179-D179),MIN(0.6,Matchup!$B$40*SQRT($B179)/(1-MIN(0.75,Matchup!$B$39*$B179))),RAND())</f>
        <v>1</v>
      </c>
      <c r="I179" s="0" t="n">
        <f aca="false">6*D179+(D179-E179-G179)+2*F179+3*H179</f>
        <v>17</v>
      </c>
      <c r="J179" s="0" t="n">
        <f aca="true">CRITBINOM($C179,MIN(0.75,Matchup!$C$39*$B179),RAND())</f>
        <v>0</v>
      </c>
      <c r="K179" s="0" t="n">
        <f aca="true">CRITBINOM(J179,Coefficients!$B$30,RAND())</f>
        <v>0</v>
      </c>
      <c r="L179" s="0" t="n">
        <f aca="true">CRITBINOM(K179,Coefficients!$B$31,RAND())</f>
        <v>0</v>
      </c>
      <c r="M179" s="0" t="n">
        <f aca="true">CRITBINOM(MAX(0,J179-K179),1-Coefficients!$B$32,RAND())</f>
        <v>0</v>
      </c>
      <c r="N179" s="0" t="n">
        <f aca="true">CRITBINOM(MAX(0,$C179-J179),MIN(0.6,Matchup!$C$40*SQRT($B179)/(1-MIN(0.75,Matchup!$C$39*$B179))),RAND())</f>
        <v>0</v>
      </c>
      <c r="O179" s="0" t="n">
        <f aca="false">6*J179+(J179-K179-M179)+2*L179+3*N179</f>
        <v>0</v>
      </c>
      <c r="P179" s="0" t="n">
        <f aca="true">RAND()</f>
        <v>0.926496628611381</v>
      </c>
      <c r="Q179" s="0" t="n">
        <f aca="true">RAND()</f>
        <v>0.62647723160625</v>
      </c>
      <c r="R179" s="0" t="n">
        <f aca="false">IF($I179&lt;&gt;$O179,0,IF(P179&lt;Matchup!$B$39,7,IF(P179&lt;Matchup!$B$39+Matchup!$B$40,3,0)))</f>
        <v>0</v>
      </c>
      <c r="S179" s="0" t="n">
        <f aca="false">IF($I179&lt;&gt;$O179,0,IF(Q179&lt;Matchup!$C$39,7,IF(Q179&lt;Matchup!$C$39+Matchup!$C$40,3,0)))</f>
        <v>0</v>
      </c>
      <c r="T179" s="0" t="n">
        <f aca="false">I179+R179</f>
        <v>17</v>
      </c>
      <c r="U179" s="0" t="n">
        <f aca="false">O179+S179</f>
        <v>0</v>
      </c>
      <c r="V179" s="0" t="n">
        <f aca="false">T179-U179</f>
        <v>17</v>
      </c>
      <c r="W179" s="0" t="n">
        <f aca="false">T179+U179</f>
        <v>17</v>
      </c>
    </row>
    <row r="180" customFormat="false" ht="15" hidden="false" customHeight="false" outlineLevel="0" collapsed="false">
      <c r="A180" s="0" t="n">
        <v>177</v>
      </c>
      <c r="B180" s="0" t="n">
        <f aca="true">NORMINV(RAND(),1,Coefficients!$B$22)</f>
        <v>0.907801412699123</v>
      </c>
      <c r="C180" s="0" t="n">
        <f aca="true">MEDIAN(8,16,ROUND(NORMINV(RAND(),Coefficients!$B$20,Coefficients!$B$21),0))</f>
        <v>10</v>
      </c>
      <c r="D180" s="0" t="n">
        <f aca="true">CRITBINOM($C180,MIN(0.75,Matchup!$B$39*$B180),RAND())</f>
        <v>4</v>
      </c>
      <c r="E180" s="0" t="n">
        <f aca="true">CRITBINOM(D180,Coefficients!$B$30,RAND())</f>
        <v>0</v>
      </c>
      <c r="F180" s="0" t="n">
        <f aca="true">CRITBINOM(E180,Coefficients!$B$31,RAND())</f>
        <v>0</v>
      </c>
      <c r="G180" s="0" t="n">
        <f aca="true">CRITBINOM(MAX(0,D180-E180),1-Coefficients!$B$32,RAND())</f>
        <v>0</v>
      </c>
      <c r="H180" s="0" t="n">
        <f aca="true">CRITBINOM(MAX(0,$C180-D180),MIN(0.6,Matchup!$B$40*SQRT($B180)/(1-MIN(0.75,Matchup!$B$39*$B180))),RAND())</f>
        <v>1</v>
      </c>
      <c r="I180" s="0" t="n">
        <f aca="false">6*D180+(D180-E180-G180)+2*F180+3*H180</f>
        <v>31</v>
      </c>
      <c r="J180" s="0" t="n">
        <f aca="true">CRITBINOM($C180,MIN(0.75,Matchup!$C$39*$B180),RAND())</f>
        <v>1</v>
      </c>
      <c r="K180" s="0" t="n">
        <f aca="true">CRITBINOM(J180,Coefficients!$B$30,RAND())</f>
        <v>0</v>
      </c>
      <c r="L180" s="0" t="n">
        <f aca="true">CRITBINOM(K180,Coefficients!$B$31,RAND())</f>
        <v>0</v>
      </c>
      <c r="M180" s="0" t="n">
        <f aca="true">CRITBINOM(MAX(0,J180-K180),1-Coefficients!$B$32,RAND())</f>
        <v>0</v>
      </c>
      <c r="N180" s="0" t="n">
        <f aca="true">CRITBINOM(MAX(0,$C180-J180),MIN(0.6,Matchup!$C$40*SQRT($B180)/(1-MIN(0.75,Matchup!$C$39*$B180))),RAND())</f>
        <v>0</v>
      </c>
      <c r="O180" s="0" t="n">
        <f aca="false">6*J180+(J180-K180-M180)+2*L180+3*N180</f>
        <v>7</v>
      </c>
      <c r="P180" s="0" t="n">
        <f aca="true">RAND()</f>
        <v>0.224202697131106</v>
      </c>
      <c r="Q180" s="0" t="n">
        <f aca="true">RAND()</f>
        <v>0.0657641091381985</v>
      </c>
      <c r="R180" s="0" t="n">
        <f aca="false">IF($I180&lt;&gt;$O180,0,IF(P180&lt;Matchup!$B$39,7,IF(P180&lt;Matchup!$B$39+Matchup!$B$40,3,0)))</f>
        <v>0</v>
      </c>
      <c r="S180" s="0" t="n">
        <f aca="false">IF($I180&lt;&gt;$O180,0,IF(Q180&lt;Matchup!$C$39,7,IF(Q180&lt;Matchup!$C$39+Matchup!$C$40,3,0)))</f>
        <v>0</v>
      </c>
      <c r="T180" s="0" t="n">
        <f aca="false">I180+R180</f>
        <v>31</v>
      </c>
      <c r="U180" s="0" t="n">
        <f aca="false">O180+S180</f>
        <v>7</v>
      </c>
      <c r="V180" s="0" t="n">
        <f aca="false">T180-U180</f>
        <v>24</v>
      </c>
      <c r="W180" s="0" t="n">
        <f aca="false">T180+U180</f>
        <v>38</v>
      </c>
    </row>
    <row r="181" customFormat="false" ht="15" hidden="false" customHeight="false" outlineLevel="0" collapsed="false">
      <c r="A181" s="0" t="n">
        <v>178</v>
      </c>
      <c r="B181" s="0" t="n">
        <f aca="true">NORMINV(RAND(),1,Coefficients!$B$22)</f>
        <v>0.924405294021423</v>
      </c>
      <c r="C181" s="0" t="n">
        <f aca="true">MEDIAN(8,16,ROUND(NORMINV(RAND(),Coefficients!$B$20,Coefficients!$B$21),0))</f>
        <v>14</v>
      </c>
      <c r="D181" s="0" t="n">
        <f aca="true">CRITBINOM($C181,MIN(0.75,Matchup!$B$39*$B181),RAND())</f>
        <v>4</v>
      </c>
      <c r="E181" s="0" t="n">
        <f aca="true">CRITBINOM(D181,Coefficients!$B$30,RAND())</f>
        <v>0</v>
      </c>
      <c r="F181" s="0" t="n">
        <f aca="true">CRITBINOM(E181,Coefficients!$B$31,RAND())</f>
        <v>0</v>
      </c>
      <c r="G181" s="0" t="n">
        <f aca="true">CRITBINOM(MAX(0,D181-E181),1-Coefficients!$B$32,RAND())</f>
        <v>1</v>
      </c>
      <c r="H181" s="0" t="n">
        <f aca="true">CRITBINOM(MAX(0,$C181-D181),MIN(0.6,Matchup!$B$40*SQRT($B181)/(1-MIN(0.75,Matchup!$B$39*$B181))),RAND())</f>
        <v>3</v>
      </c>
      <c r="I181" s="0" t="n">
        <f aca="false">6*D181+(D181-E181-G181)+2*F181+3*H181</f>
        <v>36</v>
      </c>
      <c r="J181" s="0" t="n">
        <f aca="true">CRITBINOM($C181,MIN(0.75,Matchup!$C$39*$B181),RAND())</f>
        <v>3</v>
      </c>
      <c r="K181" s="0" t="n">
        <f aca="true">CRITBINOM(J181,Coefficients!$B$30,RAND())</f>
        <v>1</v>
      </c>
      <c r="L181" s="0" t="n">
        <f aca="true">CRITBINOM(K181,Coefficients!$B$31,RAND())</f>
        <v>1</v>
      </c>
      <c r="M181" s="0" t="n">
        <f aca="true">CRITBINOM(MAX(0,J181-K181),1-Coefficients!$B$32,RAND())</f>
        <v>0</v>
      </c>
      <c r="N181" s="0" t="n">
        <f aca="true">CRITBINOM(MAX(0,$C181-J181),MIN(0.6,Matchup!$C$40*SQRT($B181)/(1-MIN(0.75,Matchup!$C$39*$B181))),RAND())</f>
        <v>1</v>
      </c>
      <c r="O181" s="0" t="n">
        <f aca="false">6*J181+(J181-K181-M181)+2*L181+3*N181</f>
        <v>25</v>
      </c>
      <c r="P181" s="0" t="n">
        <f aca="true">RAND()</f>
        <v>0.0186483849765455</v>
      </c>
      <c r="Q181" s="0" t="n">
        <f aca="true">RAND()</f>
        <v>0.621082490619428</v>
      </c>
      <c r="R181" s="0" t="n">
        <f aca="false">IF($I181&lt;&gt;$O181,0,IF(P181&lt;Matchup!$B$39,7,IF(P181&lt;Matchup!$B$39+Matchup!$B$40,3,0)))</f>
        <v>0</v>
      </c>
      <c r="S181" s="0" t="n">
        <f aca="false">IF($I181&lt;&gt;$O181,0,IF(Q181&lt;Matchup!$C$39,7,IF(Q181&lt;Matchup!$C$39+Matchup!$C$40,3,0)))</f>
        <v>0</v>
      </c>
      <c r="T181" s="0" t="n">
        <f aca="false">I181+R181</f>
        <v>36</v>
      </c>
      <c r="U181" s="0" t="n">
        <f aca="false">O181+S181</f>
        <v>25</v>
      </c>
      <c r="V181" s="0" t="n">
        <f aca="false">T181-U181</f>
        <v>11</v>
      </c>
      <c r="W181" s="0" t="n">
        <f aca="false">T181+U181</f>
        <v>61</v>
      </c>
    </row>
    <row r="182" customFormat="false" ht="15" hidden="false" customHeight="false" outlineLevel="0" collapsed="false">
      <c r="A182" s="0" t="n">
        <v>179</v>
      </c>
      <c r="B182" s="0" t="n">
        <f aca="true">NORMINV(RAND(),1,Coefficients!$B$22)</f>
        <v>1.01589661878463</v>
      </c>
      <c r="C182" s="0" t="n">
        <f aca="true">MEDIAN(8,16,ROUND(NORMINV(RAND(),Coefficients!$B$20,Coefficients!$B$21),0))</f>
        <v>10</v>
      </c>
      <c r="D182" s="0" t="n">
        <f aca="true">CRITBINOM($C182,MIN(0.75,Matchup!$B$39*$B182),RAND())</f>
        <v>1</v>
      </c>
      <c r="E182" s="0" t="n">
        <f aca="true">CRITBINOM(D182,Coefficients!$B$30,RAND())</f>
        <v>0</v>
      </c>
      <c r="F182" s="0" t="n">
        <f aca="true">CRITBINOM(E182,Coefficients!$B$31,RAND())</f>
        <v>0</v>
      </c>
      <c r="G182" s="0" t="n">
        <f aca="true">CRITBINOM(MAX(0,D182-E182),1-Coefficients!$B$32,RAND())</f>
        <v>0</v>
      </c>
      <c r="H182" s="0" t="n">
        <f aca="true">CRITBINOM(MAX(0,$C182-D182),MIN(0.6,Matchup!$B$40*SQRT($B182)/(1-MIN(0.75,Matchup!$B$39*$B182))),RAND())</f>
        <v>3</v>
      </c>
      <c r="I182" s="0" t="n">
        <f aca="false">6*D182+(D182-E182-G182)+2*F182+3*H182</f>
        <v>16</v>
      </c>
      <c r="J182" s="0" t="n">
        <f aca="true">CRITBINOM($C182,MIN(0.75,Matchup!$C$39*$B182),RAND())</f>
        <v>4</v>
      </c>
      <c r="K182" s="0" t="n">
        <f aca="true">CRITBINOM(J182,Coefficients!$B$30,RAND())</f>
        <v>0</v>
      </c>
      <c r="L182" s="0" t="n">
        <f aca="true">CRITBINOM(K182,Coefficients!$B$31,RAND())</f>
        <v>0</v>
      </c>
      <c r="M182" s="0" t="n">
        <f aca="true">CRITBINOM(MAX(0,J182-K182),1-Coefficients!$B$32,RAND())</f>
        <v>0</v>
      </c>
      <c r="N182" s="0" t="n">
        <f aca="true">CRITBINOM(MAX(0,$C182-J182),MIN(0.6,Matchup!$C$40*SQRT($B182)/(1-MIN(0.75,Matchup!$C$39*$B182))),RAND())</f>
        <v>1</v>
      </c>
      <c r="O182" s="0" t="n">
        <f aca="false">6*J182+(J182-K182-M182)+2*L182+3*N182</f>
        <v>31</v>
      </c>
      <c r="P182" s="0" t="n">
        <f aca="true">RAND()</f>
        <v>0.581374405839124</v>
      </c>
      <c r="Q182" s="0" t="n">
        <f aca="true">RAND()</f>
        <v>0.554732628533399</v>
      </c>
      <c r="R182" s="0" t="n">
        <f aca="false">IF($I182&lt;&gt;$O182,0,IF(P182&lt;Matchup!$B$39,7,IF(P182&lt;Matchup!$B$39+Matchup!$B$40,3,0)))</f>
        <v>0</v>
      </c>
      <c r="S182" s="0" t="n">
        <f aca="false">IF($I182&lt;&gt;$O182,0,IF(Q182&lt;Matchup!$C$39,7,IF(Q182&lt;Matchup!$C$39+Matchup!$C$40,3,0)))</f>
        <v>0</v>
      </c>
      <c r="T182" s="0" t="n">
        <f aca="false">I182+R182</f>
        <v>16</v>
      </c>
      <c r="U182" s="0" t="n">
        <f aca="false">O182+S182</f>
        <v>31</v>
      </c>
      <c r="V182" s="0" t="n">
        <f aca="false">T182-U182</f>
        <v>-15</v>
      </c>
      <c r="W182" s="0" t="n">
        <f aca="false">T182+U182</f>
        <v>47</v>
      </c>
    </row>
    <row r="183" customFormat="false" ht="15" hidden="false" customHeight="false" outlineLevel="0" collapsed="false">
      <c r="A183" s="0" t="n">
        <v>180</v>
      </c>
      <c r="B183" s="0" t="n">
        <f aca="true">NORMINV(RAND(),1,Coefficients!$B$22)</f>
        <v>0.903142303468562</v>
      </c>
      <c r="C183" s="0" t="n">
        <f aca="true">MEDIAN(8,16,ROUND(NORMINV(RAND(),Coefficients!$B$20,Coefficients!$B$21),0))</f>
        <v>11</v>
      </c>
      <c r="D183" s="0" t="n">
        <f aca="true">CRITBINOM($C183,MIN(0.75,Matchup!$B$39*$B183),RAND())</f>
        <v>2</v>
      </c>
      <c r="E183" s="0" t="n">
        <f aca="true">CRITBINOM(D183,Coefficients!$B$30,RAND())</f>
        <v>0</v>
      </c>
      <c r="F183" s="0" t="n">
        <f aca="true">CRITBINOM(E183,Coefficients!$B$31,RAND())</f>
        <v>0</v>
      </c>
      <c r="G183" s="0" t="n">
        <f aca="true">CRITBINOM(MAX(0,D183-E183),1-Coefficients!$B$32,RAND())</f>
        <v>0</v>
      </c>
      <c r="H183" s="0" t="n">
        <f aca="true">CRITBINOM(MAX(0,$C183-D183),MIN(0.6,Matchup!$B$40*SQRT($B183)/(1-MIN(0.75,Matchup!$B$39*$B183))),RAND())</f>
        <v>1</v>
      </c>
      <c r="I183" s="0" t="n">
        <f aca="false">6*D183+(D183-E183-G183)+2*F183+3*H183</f>
        <v>17</v>
      </c>
      <c r="J183" s="0" t="n">
        <f aca="true">CRITBINOM($C183,MIN(0.75,Matchup!$C$39*$B183),RAND())</f>
        <v>2</v>
      </c>
      <c r="K183" s="0" t="n">
        <f aca="true">CRITBINOM(J183,Coefficients!$B$30,RAND())</f>
        <v>0</v>
      </c>
      <c r="L183" s="0" t="n">
        <f aca="true">CRITBINOM(K183,Coefficients!$B$31,RAND())</f>
        <v>0</v>
      </c>
      <c r="M183" s="0" t="n">
        <f aca="true">CRITBINOM(MAX(0,J183-K183),1-Coefficients!$B$32,RAND())</f>
        <v>0</v>
      </c>
      <c r="N183" s="0" t="n">
        <f aca="true">CRITBINOM(MAX(0,$C183-J183),MIN(0.6,Matchup!$C$40*SQRT($B183)/(1-MIN(0.75,Matchup!$C$39*$B183))),RAND())</f>
        <v>0</v>
      </c>
      <c r="O183" s="0" t="n">
        <f aca="false">6*J183+(J183-K183-M183)+2*L183+3*N183</f>
        <v>14</v>
      </c>
      <c r="P183" s="0" t="n">
        <f aca="true">RAND()</f>
        <v>0.435610631186419</v>
      </c>
      <c r="Q183" s="0" t="n">
        <f aca="true">RAND()</f>
        <v>0.922788421756744</v>
      </c>
      <c r="R183" s="0" t="n">
        <f aca="false">IF($I183&lt;&gt;$O183,0,IF(P183&lt;Matchup!$B$39,7,IF(P183&lt;Matchup!$B$39+Matchup!$B$40,3,0)))</f>
        <v>0</v>
      </c>
      <c r="S183" s="0" t="n">
        <f aca="false">IF($I183&lt;&gt;$O183,0,IF(Q183&lt;Matchup!$C$39,7,IF(Q183&lt;Matchup!$C$39+Matchup!$C$40,3,0)))</f>
        <v>0</v>
      </c>
      <c r="T183" s="0" t="n">
        <f aca="false">I183+R183</f>
        <v>17</v>
      </c>
      <c r="U183" s="0" t="n">
        <f aca="false">O183+S183</f>
        <v>14</v>
      </c>
      <c r="V183" s="0" t="n">
        <f aca="false">T183-U183</f>
        <v>3</v>
      </c>
      <c r="W183" s="0" t="n">
        <f aca="false">T183+U183</f>
        <v>31</v>
      </c>
    </row>
    <row r="184" customFormat="false" ht="15" hidden="false" customHeight="false" outlineLevel="0" collapsed="false">
      <c r="A184" s="0" t="n">
        <v>181</v>
      </c>
      <c r="B184" s="0" t="n">
        <f aca="true">NORMINV(RAND(),1,Coefficients!$B$22)</f>
        <v>0.908665188328542</v>
      </c>
      <c r="C184" s="0" t="n">
        <f aca="true">MEDIAN(8,16,ROUND(NORMINV(RAND(),Coefficients!$B$20,Coefficients!$B$21),0))</f>
        <v>11</v>
      </c>
      <c r="D184" s="0" t="n">
        <f aca="true">CRITBINOM($C184,MIN(0.75,Matchup!$B$39*$B184),RAND())</f>
        <v>3</v>
      </c>
      <c r="E184" s="0" t="n">
        <f aca="true">CRITBINOM(D184,Coefficients!$B$30,RAND())</f>
        <v>0</v>
      </c>
      <c r="F184" s="0" t="n">
        <f aca="true">CRITBINOM(E184,Coefficients!$B$31,RAND())</f>
        <v>0</v>
      </c>
      <c r="G184" s="0" t="n">
        <f aca="true">CRITBINOM(MAX(0,D184-E184),1-Coefficients!$B$32,RAND())</f>
        <v>0</v>
      </c>
      <c r="H184" s="0" t="n">
        <f aca="true">CRITBINOM(MAX(0,$C184-D184),MIN(0.6,Matchup!$B$40*SQRT($B184)/(1-MIN(0.75,Matchup!$B$39*$B184))),RAND())</f>
        <v>2</v>
      </c>
      <c r="I184" s="0" t="n">
        <f aca="false">6*D184+(D184-E184-G184)+2*F184+3*H184</f>
        <v>27</v>
      </c>
      <c r="J184" s="0" t="n">
        <f aca="true">CRITBINOM($C184,MIN(0.75,Matchup!$C$39*$B184),RAND())</f>
        <v>2</v>
      </c>
      <c r="K184" s="0" t="n">
        <f aca="true">CRITBINOM(J184,Coefficients!$B$30,RAND())</f>
        <v>0</v>
      </c>
      <c r="L184" s="0" t="n">
        <f aca="true">CRITBINOM(K184,Coefficients!$B$31,RAND())</f>
        <v>0</v>
      </c>
      <c r="M184" s="0" t="n">
        <f aca="true">CRITBINOM(MAX(0,J184-K184),1-Coefficients!$B$32,RAND())</f>
        <v>0</v>
      </c>
      <c r="N184" s="0" t="n">
        <f aca="true">CRITBINOM(MAX(0,$C184-J184),MIN(0.6,Matchup!$C$40*SQRT($B184)/(1-MIN(0.75,Matchup!$C$39*$B184))),RAND())</f>
        <v>0</v>
      </c>
      <c r="O184" s="0" t="n">
        <f aca="false">6*J184+(J184-K184-M184)+2*L184+3*N184</f>
        <v>14</v>
      </c>
      <c r="P184" s="0" t="n">
        <f aca="true">RAND()</f>
        <v>0.789376972648274</v>
      </c>
      <c r="Q184" s="0" t="n">
        <f aca="true">RAND()</f>
        <v>0.211997084165874</v>
      </c>
      <c r="R184" s="0" t="n">
        <f aca="false">IF($I184&lt;&gt;$O184,0,IF(P184&lt;Matchup!$B$39,7,IF(P184&lt;Matchup!$B$39+Matchup!$B$40,3,0)))</f>
        <v>0</v>
      </c>
      <c r="S184" s="0" t="n">
        <f aca="false">IF($I184&lt;&gt;$O184,0,IF(Q184&lt;Matchup!$C$39,7,IF(Q184&lt;Matchup!$C$39+Matchup!$C$40,3,0)))</f>
        <v>0</v>
      </c>
      <c r="T184" s="0" t="n">
        <f aca="false">I184+R184</f>
        <v>27</v>
      </c>
      <c r="U184" s="0" t="n">
        <f aca="false">O184+S184</f>
        <v>14</v>
      </c>
      <c r="V184" s="0" t="n">
        <f aca="false">T184-U184</f>
        <v>13</v>
      </c>
      <c r="W184" s="0" t="n">
        <f aca="false">T184+U184</f>
        <v>41</v>
      </c>
    </row>
    <row r="185" customFormat="false" ht="15" hidden="false" customHeight="false" outlineLevel="0" collapsed="false">
      <c r="A185" s="0" t="n">
        <v>182</v>
      </c>
      <c r="B185" s="0" t="n">
        <f aca="true">NORMINV(RAND(),1,Coefficients!$B$22)</f>
        <v>1.011105923626</v>
      </c>
      <c r="C185" s="0" t="n">
        <f aca="true">MEDIAN(8,16,ROUND(NORMINV(RAND(),Coefficients!$B$20,Coefficients!$B$21),0))</f>
        <v>12</v>
      </c>
      <c r="D185" s="0" t="n">
        <f aca="true">CRITBINOM($C185,MIN(0.75,Matchup!$B$39*$B185),RAND())</f>
        <v>2</v>
      </c>
      <c r="E185" s="0" t="n">
        <f aca="true">CRITBINOM(D185,Coefficients!$B$30,RAND())</f>
        <v>0</v>
      </c>
      <c r="F185" s="0" t="n">
        <f aca="true">CRITBINOM(E185,Coefficients!$B$31,RAND())</f>
        <v>0</v>
      </c>
      <c r="G185" s="0" t="n">
        <f aca="true">CRITBINOM(MAX(0,D185-E185),1-Coefficients!$B$32,RAND())</f>
        <v>0</v>
      </c>
      <c r="H185" s="0" t="n">
        <f aca="true">CRITBINOM(MAX(0,$C185-D185),MIN(0.6,Matchup!$B$40*SQRT($B185)/(1-MIN(0.75,Matchup!$B$39*$B185))),RAND())</f>
        <v>1</v>
      </c>
      <c r="I185" s="0" t="n">
        <f aca="false">6*D185+(D185-E185-G185)+2*F185+3*H185</f>
        <v>17</v>
      </c>
      <c r="J185" s="0" t="n">
        <f aca="true">CRITBINOM($C185,MIN(0.75,Matchup!$C$39*$B185),RAND())</f>
        <v>1</v>
      </c>
      <c r="K185" s="0" t="n">
        <f aca="true">CRITBINOM(J185,Coefficients!$B$30,RAND())</f>
        <v>0</v>
      </c>
      <c r="L185" s="0" t="n">
        <f aca="true">CRITBINOM(K185,Coefficients!$B$31,RAND())</f>
        <v>0</v>
      </c>
      <c r="M185" s="0" t="n">
        <f aca="true">CRITBINOM(MAX(0,J185-K185),1-Coefficients!$B$32,RAND())</f>
        <v>0</v>
      </c>
      <c r="N185" s="0" t="n">
        <f aca="true">CRITBINOM(MAX(0,$C185-J185),MIN(0.6,Matchup!$C$40*SQRT($B185)/(1-MIN(0.75,Matchup!$C$39*$B185))),RAND())</f>
        <v>2</v>
      </c>
      <c r="O185" s="0" t="n">
        <f aca="false">6*J185+(J185-K185-M185)+2*L185+3*N185</f>
        <v>13</v>
      </c>
      <c r="P185" s="0" t="n">
        <f aca="true">RAND()</f>
        <v>0.169185568685591</v>
      </c>
      <c r="Q185" s="0" t="n">
        <f aca="true">RAND()</f>
        <v>0.942651255872849</v>
      </c>
      <c r="R185" s="0" t="n">
        <f aca="false">IF($I185&lt;&gt;$O185,0,IF(P185&lt;Matchup!$B$39,7,IF(P185&lt;Matchup!$B$39+Matchup!$B$40,3,0)))</f>
        <v>0</v>
      </c>
      <c r="S185" s="0" t="n">
        <f aca="false">IF($I185&lt;&gt;$O185,0,IF(Q185&lt;Matchup!$C$39,7,IF(Q185&lt;Matchup!$C$39+Matchup!$C$40,3,0)))</f>
        <v>0</v>
      </c>
      <c r="T185" s="0" t="n">
        <f aca="false">I185+R185</f>
        <v>17</v>
      </c>
      <c r="U185" s="0" t="n">
        <f aca="false">O185+S185</f>
        <v>13</v>
      </c>
      <c r="V185" s="0" t="n">
        <f aca="false">T185-U185</f>
        <v>4</v>
      </c>
      <c r="W185" s="0" t="n">
        <f aca="false">T185+U185</f>
        <v>30</v>
      </c>
    </row>
    <row r="186" customFormat="false" ht="15" hidden="false" customHeight="false" outlineLevel="0" collapsed="false">
      <c r="A186" s="0" t="n">
        <v>183</v>
      </c>
      <c r="B186" s="0" t="n">
        <f aca="true">NORMINV(RAND(),1,Coefficients!$B$22)</f>
        <v>1.00314714129259</v>
      </c>
      <c r="C186" s="0" t="n">
        <f aca="true">MEDIAN(8,16,ROUND(NORMINV(RAND(),Coefficients!$B$20,Coefficients!$B$21),0))</f>
        <v>12</v>
      </c>
      <c r="D186" s="0" t="n">
        <f aca="true">CRITBINOM($C186,MIN(0.75,Matchup!$B$39*$B186),RAND())</f>
        <v>4</v>
      </c>
      <c r="E186" s="0" t="n">
        <f aca="true">CRITBINOM(D186,Coefficients!$B$30,RAND())</f>
        <v>0</v>
      </c>
      <c r="F186" s="0" t="n">
        <f aca="true">CRITBINOM(E186,Coefficients!$B$31,RAND())</f>
        <v>0</v>
      </c>
      <c r="G186" s="0" t="n">
        <f aca="true">CRITBINOM(MAX(0,D186-E186),1-Coefficients!$B$32,RAND())</f>
        <v>0</v>
      </c>
      <c r="H186" s="0" t="n">
        <f aca="true">CRITBINOM(MAX(0,$C186-D186),MIN(0.6,Matchup!$B$40*SQRT($B186)/(1-MIN(0.75,Matchup!$B$39*$B186))),RAND())</f>
        <v>1</v>
      </c>
      <c r="I186" s="0" t="n">
        <f aca="false">6*D186+(D186-E186-G186)+2*F186+3*H186</f>
        <v>31</v>
      </c>
      <c r="J186" s="0" t="n">
        <f aca="true">CRITBINOM($C186,MIN(0.75,Matchup!$C$39*$B186),RAND())</f>
        <v>2</v>
      </c>
      <c r="K186" s="0" t="n">
        <f aca="true">CRITBINOM(J186,Coefficients!$B$30,RAND())</f>
        <v>0</v>
      </c>
      <c r="L186" s="0" t="n">
        <f aca="true">CRITBINOM(K186,Coefficients!$B$31,RAND())</f>
        <v>0</v>
      </c>
      <c r="M186" s="0" t="n">
        <f aca="true">CRITBINOM(MAX(0,J186-K186),1-Coefficients!$B$32,RAND())</f>
        <v>0</v>
      </c>
      <c r="N186" s="0" t="n">
        <f aca="true">CRITBINOM(MAX(0,$C186-J186),MIN(0.6,Matchup!$C$40*SQRT($B186)/(1-MIN(0.75,Matchup!$C$39*$B186))),RAND())</f>
        <v>2</v>
      </c>
      <c r="O186" s="0" t="n">
        <f aca="false">6*J186+(J186-K186-M186)+2*L186+3*N186</f>
        <v>20</v>
      </c>
      <c r="P186" s="0" t="n">
        <f aca="true">RAND()</f>
        <v>0.101959333141096</v>
      </c>
      <c r="Q186" s="0" t="n">
        <f aca="true">RAND()</f>
        <v>0.369811836682253</v>
      </c>
      <c r="R186" s="0" t="n">
        <f aca="false">IF($I186&lt;&gt;$O186,0,IF(P186&lt;Matchup!$B$39,7,IF(P186&lt;Matchup!$B$39+Matchup!$B$40,3,0)))</f>
        <v>0</v>
      </c>
      <c r="S186" s="0" t="n">
        <f aca="false">IF($I186&lt;&gt;$O186,0,IF(Q186&lt;Matchup!$C$39,7,IF(Q186&lt;Matchup!$C$39+Matchup!$C$40,3,0)))</f>
        <v>0</v>
      </c>
      <c r="T186" s="0" t="n">
        <f aca="false">I186+R186</f>
        <v>31</v>
      </c>
      <c r="U186" s="0" t="n">
        <f aca="false">O186+S186</f>
        <v>20</v>
      </c>
      <c r="V186" s="0" t="n">
        <f aca="false">T186-U186</f>
        <v>11</v>
      </c>
      <c r="W186" s="0" t="n">
        <f aca="false">T186+U186</f>
        <v>51</v>
      </c>
    </row>
    <row r="187" customFormat="false" ht="15" hidden="false" customHeight="false" outlineLevel="0" collapsed="false">
      <c r="A187" s="0" t="n">
        <v>184</v>
      </c>
      <c r="B187" s="0" t="n">
        <f aca="true">NORMINV(RAND(),1,Coefficients!$B$22)</f>
        <v>1.01523287660954</v>
      </c>
      <c r="C187" s="0" t="n">
        <f aca="true">MEDIAN(8,16,ROUND(NORMINV(RAND(),Coefficients!$B$20,Coefficients!$B$21),0))</f>
        <v>10</v>
      </c>
      <c r="D187" s="0" t="n">
        <f aca="true">CRITBINOM($C187,MIN(0.75,Matchup!$B$39*$B187),RAND())</f>
        <v>5</v>
      </c>
      <c r="E187" s="0" t="n">
        <f aca="true">CRITBINOM(D187,Coefficients!$B$30,RAND())</f>
        <v>2</v>
      </c>
      <c r="F187" s="0" t="n">
        <f aca="true">CRITBINOM(E187,Coefficients!$B$31,RAND())</f>
        <v>1</v>
      </c>
      <c r="G187" s="0" t="n">
        <f aca="true">CRITBINOM(MAX(0,D187-E187),1-Coefficients!$B$32,RAND())</f>
        <v>0</v>
      </c>
      <c r="H187" s="0" t="n">
        <f aca="true">CRITBINOM(MAX(0,$C187-D187),MIN(0.6,Matchup!$B$40*SQRT($B187)/(1-MIN(0.75,Matchup!$B$39*$B187))),RAND())</f>
        <v>1</v>
      </c>
      <c r="I187" s="0" t="n">
        <f aca="false">6*D187+(D187-E187-G187)+2*F187+3*H187</f>
        <v>38</v>
      </c>
      <c r="J187" s="0" t="n">
        <f aca="true">CRITBINOM($C187,MIN(0.75,Matchup!$C$39*$B187),RAND())</f>
        <v>2</v>
      </c>
      <c r="K187" s="0" t="n">
        <f aca="true">CRITBINOM(J187,Coefficients!$B$30,RAND())</f>
        <v>1</v>
      </c>
      <c r="L187" s="0" t="n">
        <f aca="true">CRITBINOM(K187,Coefficients!$B$31,RAND())</f>
        <v>1</v>
      </c>
      <c r="M187" s="0" t="n">
        <f aca="true">CRITBINOM(MAX(0,J187-K187),1-Coefficients!$B$32,RAND())</f>
        <v>0</v>
      </c>
      <c r="N187" s="0" t="n">
        <f aca="true">CRITBINOM(MAX(0,$C187-J187),MIN(0.6,Matchup!$C$40*SQRT($B187)/(1-MIN(0.75,Matchup!$C$39*$B187))),RAND())</f>
        <v>2</v>
      </c>
      <c r="O187" s="0" t="n">
        <f aca="false">6*J187+(J187-K187-M187)+2*L187+3*N187</f>
        <v>21</v>
      </c>
      <c r="P187" s="0" t="n">
        <f aca="true">RAND()</f>
        <v>0.52376475575575</v>
      </c>
      <c r="Q187" s="0" t="n">
        <f aca="true">RAND()</f>
        <v>0.844357676658594</v>
      </c>
      <c r="R187" s="0" t="n">
        <f aca="false">IF($I187&lt;&gt;$O187,0,IF(P187&lt;Matchup!$B$39,7,IF(P187&lt;Matchup!$B$39+Matchup!$B$40,3,0)))</f>
        <v>0</v>
      </c>
      <c r="S187" s="0" t="n">
        <f aca="false">IF($I187&lt;&gt;$O187,0,IF(Q187&lt;Matchup!$C$39,7,IF(Q187&lt;Matchup!$C$39+Matchup!$C$40,3,0)))</f>
        <v>0</v>
      </c>
      <c r="T187" s="0" t="n">
        <f aca="false">I187+R187</f>
        <v>38</v>
      </c>
      <c r="U187" s="0" t="n">
        <f aca="false">O187+S187</f>
        <v>21</v>
      </c>
      <c r="V187" s="0" t="n">
        <f aca="false">T187-U187</f>
        <v>17</v>
      </c>
      <c r="W187" s="0" t="n">
        <f aca="false">T187+U187</f>
        <v>59</v>
      </c>
    </row>
    <row r="188" customFormat="false" ht="15" hidden="false" customHeight="false" outlineLevel="0" collapsed="false">
      <c r="A188" s="0" t="n">
        <v>185</v>
      </c>
      <c r="B188" s="0" t="n">
        <f aca="true">NORMINV(RAND(),1,Coefficients!$B$22)</f>
        <v>1.03108938911576</v>
      </c>
      <c r="C188" s="0" t="n">
        <f aca="true">MEDIAN(8,16,ROUND(NORMINV(RAND(),Coefficients!$B$20,Coefficients!$B$21),0))</f>
        <v>11</v>
      </c>
      <c r="D188" s="0" t="n">
        <f aca="true">CRITBINOM($C188,MIN(0.75,Matchup!$B$39*$B188),RAND())</f>
        <v>4</v>
      </c>
      <c r="E188" s="0" t="n">
        <f aca="true">CRITBINOM(D188,Coefficients!$B$30,RAND())</f>
        <v>1</v>
      </c>
      <c r="F188" s="0" t="n">
        <f aca="true">CRITBINOM(E188,Coefficients!$B$31,RAND())</f>
        <v>1</v>
      </c>
      <c r="G188" s="0" t="n">
        <f aca="true">CRITBINOM(MAX(0,D188-E188),1-Coefficients!$B$32,RAND())</f>
        <v>0</v>
      </c>
      <c r="H188" s="0" t="n">
        <f aca="true">CRITBINOM(MAX(0,$C188-D188),MIN(0.6,Matchup!$B$40*SQRT($B188)/(1-MIN(0.75,Matchup!$B$39*$B188))),RAND())</f>
        <v>0</v>
      </c>
      <c r="I188" s="0" t="n">
        <f aca="false">6*D188+(D188-E188-G188)+2*F188+3*H188</f>
        <v>29</v>
      </c>
      <c r="J188" s="0" t="n">
        <f aca="true">CRITBINOM($C188,MIN(0.75,Matchup!$C$39*$B188),RAND())</f>
        <v>3</v>
      </c>
      <c r="K188" s="0" t="n">
        <f aca="true">CRITBINOM(J188,Coefficients!$B$30,RAND())</f>
        <v>0</v>
      </c>
      <c r="L188" s="0" t="n">
        <f aca="true">CRITBINOM(K188,Coefficients!$B$31,RAND())</f>
        <v>0</v>
      </c>
      <c r="M188" s="0" t="n">
        <f aca="true">CRITBINOM(MAX(0,J188-K188),1-Coefficients!$B$32,RAND())</f>
        <v>0</v>
      </c>
      <c r="N188" s="0" t="n">
        <f aca="true">CRITBINOM(MAX(0,$C188-J188),MIN(0.6,Matchup!$C$40*SQRT($B188)/(1-MIN(0.75,Matchup!$C$39*$B188))),RAND())</f>
        <v>1</v>
      </c>
      <c r="O188" s="0" t="n">
        <f aca="false">6*J188+(J188-K188-M188)+2*L188+3*N188</f>
        <v>24</v>
      </c>
      <c r="P188" s="0" t="n">
        <f aca="true">RAND()</f>
        <v>0.210834983643057</v>
      </c>
      <c r="Q188" s="0" t="n">
        <f aca="true">RAND()</f>
        <v>0.567734670889361</v>
      </c>
      <c r="R188" s="0" t="n">
        <f aca="false">IF($I188&lt;&gt;$O188,0,IF(P188&lt;Matchup!$B$39,7,IF(P188&lt;Matchup!$B$39+Matchup!$B$40,3,0)))</f>
        <v>0</v>
      </c>
      <c r="S188" s="0" t="n">
        <f aca="false">IF($I188&lt;&gt;$O188,0,IF(Q188&lt;Matchup!$C$39,7,IF(Q188&lt;Matchup!$C$39+Matchup!$C$40,3,0)))</f>
        <v>0</v>
      </c>
      <c r="T188" s="0" t="n">
        <f aca="false">I188+R188</f>
        <v>29</v>
      </c>
      <c r="U188" s="0" t="n">
        <f aca="false">O188+S188</f>
        <v>24</v>
      </c>
      <c r="V188" s="0" t="n">
        <f aca="false">T188-U188</f>
        <v>5</v>
      </c>
      <c r="W188" s="0" t="n">
        <f aca="false">T188+U188</f>
        <v>53</v>
      </c>
    </row>
    <row r="189" customFormat="false" ht="15" hidden="false" customHeight="false" outlineLevel="0" collapsed="false">
      <c r="A189" s="0" t="n">
        <v>186</v>
      </c>
      <c r="B189" s="0" t="n">
        <f aca="true">NORMINV(RAND(),1,Coefficients!$B$22)</f>
        <v>1.15100488854759</v>
      </c>
      <c r="C189" s="0" t="n">
        <f aca="true">MEDIAN(8,16,ROUND(NORMINV(RAND(),Coefficients!$B$20,Coefficients!$B$21),0))</f>
        <v>12</v>
      </c>
      <c r="D189" s="0" t="n">
        <f aca="true">CRITBINOM($C189,MIN(0.75,Matchup!$B$39*$B189),RAND())</f>
        <v>3</v>
      </c>
      <c r="E189" s="0" t="n">
        <f aca="true">CRITBINOM(D189,Coefficients!$B$30,RAND())</f>
        <v>0</v>
      </c>
      <c r="F189" s="0" t="n">
        <f aca="true">CRITBINOM(E189,Coefficients!$B$31,RAND())</f>
        <v>0</v>
      </c>
      <c r="G189" s="0" t="n">
        <f aca="true">CRITBINOM(MAX(0,D189-E189),1-Coefficients!$B$32,RAND())</f>
        <v>0</v>
      </c>
      <c r="H189" s="0" t="n">
        <f aca="true">CRITBINOM(MAX(0,$C189-D189),MIN(0.6,Matchup!$B$40*SQRT($B189)/(1-MIN(0.75,Matchup!$B$39*$B189))),RAND())</f>
        <v>2</v>
      </c>
      <c r="I189" s="0" t="n">
        <f aca="false">6*D189+(D189-E189-G189)+2*F189+3*H189</f>
        <v>27</v>
      </c>
      <c r="J189" s="0" t="n">
        <f aca="true">CRITBINOM($C189,MIN(0.75,Matchup!$C$39*$B189),RAND())</f>
        <v>5</v>
      </c>
      <c r="K189" s="0" t="n">
        <f aca="true">CRITBINOM(J189,Coefficients!$B$30,RAND())</f>
        <v>1</v>
      </c>
      <c r="L189" s="0" t="n">
        <f aca="true">CRITBINOM(K189,Coefficients!$B$31,RAND())</f>
        <v>1</v>
      </c>
      <c r="M189" s="0" t="n">
        <f aca="true">CRITBINOM(MAX(0,J189-K189),1-Coefficients!$B$32,RAND())</f>
        <v>0</v>
      </c>
      <c r="N189" s="0" t="n">
        <f aca="true">CRITBINOM(MAX(0,$C189-J189),MIN(0.6,Matchup!$C$40*SQRT($B189)/(1-MIN(0.75,Matchup!$C$39*$B189))),RAND())</f>
        <v>0</v>
      </c>
      <c r="O189" s="0" t="n">
        <f aca="false">6*J189+(J189-K189-M189)+2*L189+3*N189</f>
        <v>36</v>
      </c>
      <c r="P189" s="0" t="n">
        <f aca="true">RAND()</f>
        <v>0.778748142793013</v>
      </c>
      <c r="Q189" s="0" t="n">
        <f aca="true">RAND()</f>
        <v>0.233078570236921</v>
      </c>
      <c r="R189" s="0" t="n">
        <f aca="false">IF($I189&lt;&gt;$O189,0,IF(P189&lt;Matchup!$B$39,7,IF(P189&lt;Matchup!$B$39+Matchup!$B$40,3,0)))</f>
        <v>0</v>
      </c>
      <c r="S189" s="0" t="n">
        <f aca="false">IF($I189&lt;&gt;$O189,0,IF(Q189&lt;Matchup!$C$39,7,IF(Q189&lt;Matchup!$C$39+Matchup!$C$40,3,0)))</f>
        <v>0</v>
      </c>
      <c r="T189" s="0" t="n">
        <f aca="false">I189+R189</f>
        <v>27</v>
      </c>
      <c r="U189" s="0" t="n">
        <f aca="false">O189+S189</f>
        <v>36</v>
      </c>
      <c r="V189" s="0" t="n">
        <f aca="false">T189-U189</f>
        <v>-9</v>
      </c>
      <c r="W189" s="0" t="n">
        <f aca="false">T189+U189</f>
        <v>63</v>
      </c>
    </row>
    <row r="190" customFormat="false" ht="15" hidden="false" customHeight="false" outlineLevel="0" collapsed="false">
      <c r="A190" s="0" t="n">
        <v>187</v>
      </c>
      <c r="B190" s="0" t="n">
        <f aca="true">NORMINV(RAND(),1,Coefficients!$B$22)</f>
        <v>1.01158642756705</v>
      </c>
      <c r="C190" s="0" t="n">
        <f aca="true">MEDIAN(8,16,ROUND(NORMINV(RAND(),Coefficients!$B$20,Coefficients!$B$21),0))</f>
        <v>11</v>
      </c>
      <c r="D190" s="0" t="n">
        <f aca="true">CRITBINOM($C190,MIN(0.75,Matchup!$B$39*$B190),RAND())</f>
        <v>5</v>
      </c>
      <c r="E190" s="0" t="n">
        <f aca="true">CRITBINOM(D190,Coefficients!$B$30,RAND())</f>
        <v>1</v>
      </c>
      <c r="F190" s="0" t="n">
        <f aca="true">CRITBINOM(E190,Coefficients!$B$31,RAND())</f>
        <v>1</v>
      </c>
      <c r="G190" s="0" t="n">
        <f aca="true">CRITBINOM(MAX(0,D190-E190),1-Coefficients!$B$32,RAND())</f>
        <v>0</v>
      </c>
      <c r="H190" s="0" t="n">
        <f aca="true">CRITBINOM(MAX(0,$C190-D190),MIN(0.6,Matchup!$B$40*SQRT($B190)/(1-MIN(0.75,Matchup!$B$39*$B190))),RAND())</f>
        <v>2</v>
      </c>
      <c r="I190" s="0" t="n">
        <f aca="false">6*D190+(D190-E190-G190)+2*F190+3*H190</f>
        <v>42</v>
      </c>
      <c r="J190" s="0" t="n">
        <f aca="true">CRITBINOM($C190,MIN(0.75,Matchup!$C$39*$B190),RAND())</f>
        <v>2</v>
      </c>
      <c r="K190" s="0" t="n">
        <f aca="true">CRITBINOM(J190,Coefficients!$B$30,RAND())</f>
        <v>0</v>
      </c>
      <c r="L190" s="0" t="n">
        <f aca="true">CRITBINOM(K190,Coefficients!$B$31,RAND())</f>
        <v>0</v>
      </c>
      <c r="M190" s="0" t="n">
        <f aca="true">CRITBINOM(MAX(0,J190-K190),1-Coefficients!$B$32,RAND())</f>
        <v>0</v>
      </c>
      <c r="N190" s="0" t="n">
        <f aca="true">CRITBINOM(MAX(0,$C190-J190),MIN(0.6,Matchup!$C$40*SQRT($B190)/(1-MIN(0.75,Matchup!$C$39*$B190))),RAND())</f>
        <v>1</v>
      </c>
      <c r="O190" s="0" t="n">
        <f aca="false">6*J190+(J190-K190-M190)+2*L190+3*N190</f>
        <v>17</v>
      </c>
      <c r="P190" s="0" t="n">
        <f aca="true">RAND()</f>
        <v>0.545446079171512</v>
      </c>
      <c r="Q190" s="0" t="n">
        <f aca="true">RAND()</f>
        <v>0.361761990467545</v>
      </c>
      <c r="R190" s="0" t="n">
        <f aca="false">IF($I190&lt;&gt;$O190,0,IF(P190&lt;Matchup!$B$39,7,IF(P190&lt;Matchup!$B$39+Matchup!$B$40,3,0)))</f>
        <v>0</v>
      </c>
      <c r="S190" s="0" t="n">
        <f aca="false">IF($I190&lt;&gt;$O190,0,IF(Q190&lt;Matchup!$C$39,7,IF(Q190&lt;Matchup!$C$39+Matchup!$C$40,3,0)))</f>
        <v>0</v>
      </c>
      <c r="T190" s="0" t="n">
        <f aca="false">I190+R190</f>
        <v>42</v>
      </c>
      <c r="U190" s="0" t="n">
        <f aca="false">O190+S190</f>
        <v>17</v>
      </c>
      <c r="V190" s="0" t="n">
        <f aca="false">T190-U190</f>
        <v>25</v>
      </c>
      <c r="W190" s="0" t="n">
        <f aca="false">T190+U190</f>
        <v>59</v>
      </c>
    </row>
    <row r="191" customFormat="false" ht="15" hidden="false" customHeight="false" outlineLevel="0" collapsed="false">
      <c r="A191" s="0" t="n">
        <v>188</v>
      </c>
      <c r="B191" s="0" t="n">
        <f aca="true">NORMINV(RAND(),1,Coefficients!$B$22)</f>
        <v>0.882592469299603</v>
      </c>
      <c r="C191" s="0" t="n">
        <f aca="true">MEDIAN(8,16,ROUND(NORMINV(RAND(),Coefficients!$B$20,Coefficients!$B$21),0))</f>
        <v>11</v>
      </c>
      <c r="D191" s="0" t="n">
        <f aca="true">CRITBINOM($C191,MIN(0.75,Matchup!$B$39*$B191),RAND())</f>
        <v>3</v>
      </c>
      <c r="E191" s="0" t="n">
        <f aca="true">CRITBINOM(D191,Coefficients!$B$30,RAND())</f>
        <v>0</v>
      </c>
      <c r="F191" s="0" t="n">
        <f aca="true">CRITBINOM(E191,Coefficients!$B$31,RAND())</f>
        <v>0</v>
      </c>
      <c r="G191" s="0" t="n">
        <f aca="true">CRITBINOM(MAX(0,D191-E191),1-Coefficients!$B$32,RAND())</f>
        <v>1</v>
      </c>
      <c r="H191" s="0" t="n">
        <f aca="true">CRITBINOM(MAX(0,$C191-D191),MIN(0.6,Matchup!$B$40*SQRT($B191)/(1-MIN(0.75,Matchup!$B$39*$B191))),RAND())</f>
        <v>2</v>
      </c>
      <c r="I191" s="0" t="n">
        <f aca="false">6*D191+(D191-E191-G191)+2*F191+3*H191</f>
        <v>26</v>
      </c>
      <c r="J191" s="0" t="n">
        <f aca="true">CRITBINOM($C191,MIN(0.75,Matchup!$C$39*$B191),RAND())</f>
        <v>3</v>
      </c>
      <c r="K191" s="0" t="n">
        <f aca="true">CRITBINOM(J191,Coefficients!$B$30,RAND())</f>
        <v>1</v>
      </c>
      <c r="L191" s="0" t="n">
        <f aca="true">CRITBINOM(K191,Coefficients!$B$31,RAND())</f>
        <v>1</v>
      </c>
      <c r="M191" s="0" t="n">
        <f aca="true">CRITBINOM(MAX(0,J191-K191),1-Coefficients!$B$32,RAND())</f>
        <v>0</v>
      </c>
      <c r="N191" s="0" t="n">
        <f aca="true">CRITBINOM(MAX(0,$C191-J191),MIN(0.6,Matchup!$C$40*SQRT($B191)/(1-MIN(0.75,Matchup!$C$39*$B191))),RAND())</f>
        <v>1</v>
      </c>
      <c r="O191" s="0" t="n">
        <f aca="false">6*J191+(J191-K191-M191)+2*L191+3*N191</f>
        <v>25</v>
      </c>
      <c r="P191" s="0" t="n">
        <f aca="true">RAND()</f>
        <v>0.659676927073146</v>
      </c>
      <c r="Q191" s="0" t="n">
        <f aca="true">RAND()</f>
        <v>0.454936107169132</v>
      </c>
      <c r="R191" s="0" t="n">
        <f aca="false">IF($I191&lt;&gt;$O191,0,IF(P191&lt;Matchup!$B$39,7,IF(P191&lt;Matchup!$B$39+Matchup!$B$40,3,0)))</f>
        <v>0</v>
      </c>
      <c r="S191" s="0" t="n">
        <f aca="false">IF($I191&lt;&gt;$O191,0,IF(Q191&lt;Matchup!$C$39,7,IF(Q191&lt;Matchup!$C$39+Matchup!$C$40,3,0)))</f>
        <v>0</v>
      </c>
      <c r="T191" s="0" t="n">
        <f aca="false">I191+R191</f>
        <v>26</v>
      </c>
      <c r="U191" s="0" t="n">
        <f aca="false">O191+S191</f>
        <v>25</v>
      </c>
      <c r="V191" s="0" t="n">
        <f aca="false">T191-U191</f>
        <v>1</v>
      </c>
      <c r="W191" s="0" t="n">
        <f aca="false">T191+U191</f>
        <v>51</v>
      </c>
    </row>
    <row r="192" customFormat="false" ht="15" hidden="false" customHeight="false" outlineLevel="0" collapsed="false">
      <c r="A192" s="0" t="n">
        <v>189</v>
      </c>
      <c r="B192" s="0" t="n">
        <f aca="true">NORMINV(RAND(),1,Coefficients!$B$22)</f>
        <v>0.874158025572615</v>
      </c>
      <c r="C192" s="0" t="n">
        <f aca="true">MEDIAN(8,16,ROUND(NORMINV(RAND(),Coefficients!$B$20,Coefficients!$B$21),0))</f>
        <v>10</v>
      </c>
      <c r="D192" s="0" t="n">
        <f aca="true">CRITBINOM($C192,MIN(0.75,Matchup!$B$39*$B192),RAND())</f>
        <v>5</v>
      </c>
      <c r="E192" s="0" t="n">
        <f aca="true">CRITBINOM(D192,Coefficients!$B$30,RAND())</f>
        <v>1</v>
      </c>
      <c r="F192" s="0" t="n">
        <f aca="true">CRITBINOM(E192,Coefficients!$B$31,RAND())</f>
        <v>0</v>
      </c>
      <c r="G192" s="0" t="n">
        <f aca="true">CRITBINOM(MAX(0,D192-E192),1-Coefficients!$B$32,RAND())</f>
        <v>0</v>
      </c>
      <c r="H192" s="0" t="n">
        <f aca="true">CRITBINOM(MAX(0,$C192-D192),MIN(0.6,Matchup!$B$40*SQRT($B192)/(1-MIN(0.75,Matchup!$B$39*$B192))),RAND())</f>
        <v>1</v>
      </c>
      <c r="I192" s="0" t="n">
        <f aca="false">6*D192+(D192-E192-G192)+2*F192+3*H192</f>
        <v>37</v>
      </c>
      <c r="J192" s="0" t="n">
        <f aca="true">CRITBINOM($C192,MIN(0.75,Matchup!$C$39*$B192),RAND())</f>
        <v>3</v>
      </c>
      <c r="K192" s="0" t="n">
        <f aca="true">CRITBINOM(J192,Coefficients!$B$30,RAND())</f>
        <v>0</v>
      </c>
      <c r="L192" s="0" t="n">
        <f aca="true">CRITBINOM(K192,Coefficients!$B$31,RAND())</f>
        <v>0</v>
      </c>
      <c r="M192" s="0" t="n">
        <f aca="true">CRITBINOM(MAX(0,J192-K192),1-Coefficients!$B$32,RAND())</f>
        <v>0</v>
      </c>
      <c r="N192" s="0" t="n">
        <f aca="true">CRITBINOM(MAX(0,$C192-J192),MIN(0.6,Matchup!$C$40*SQRT($B192)/(1-MIN(0.75,Matchup!$C$39*$B192))),RAND())</f>
        <v>1</v>
      </c>
      <c r="O192" s="0" t="n">
        <f aca="false">6*J192+(J192-K192-M192)+2*L192+3*N192</f>
        <v>24</v>
      </c>
      <c r="P192" s="0" t="n">
        <f aca="true">RAND()</f>
        <v>0.00111868941704653</v>
      </c>
      <c r="Q192" s="0" t="n">
        <f aca="true">RAND()</f>
        <v>0.461032182062088</v>
      </c>
      <c r="R192" s="0" t="n">
        <f aca="false">IF($I192&lt;&gt;$O192,0,IF(P192&lt;Matchup!$B$39,7,IF(P192&lt;Matchup!$B$39+Matchup!$B$40,3,0)))</f>
        <v>0</v>
      </c>
      <c r="S192" s="0" t="n">
        <f aca="false">IF($I192&lt;&gt;$O192,0,IF(Q192&lt;Matchup!$C$39,7,IF(Q192&lt;Matchup!$C$39+Matchup!$C$40,3,0)))</f>
        <v>0</v>
      </c>
      <c r="T192" s="0" t="n">
        <f aca="false">I192+R192</f>
        <v>37</v>
      </c>
      <c r="U192" s="0" t="n">
        <f aca="false">O192+S192</f>
        <v>24</v>
      </c>
      <c r="V192" s="0" t="n">
        <f aca="false">T192-U192</f>
        <v>13</v>
      </c>
      <c r="W192" s="0" t="n">
        <f aca="false">T192+U192</f>
        <v>61</v>
      </c>
    </row>
    <row r="193" customFormat="false" ht="15" hidden="false" customHeight="false" outlineLevel="0" collapsed="false">
      <c r="A193" s="0" t="n">
        <v>190</v>
      </c>
      <c r="B193" s="0" t="n">
        <f aca="true">NORMINV(RAND(),1,Coefficients!$B$22)</f>
        <v>0.922385762569311</v>
      </c>
      <c r="C193" s="0" t="n">
        <f aca="true">MEDIAN(8,16,ROUND(NORMINV(RAND(),Coefficients!$B$20,Coefficients!$B$21),0))</f>
        <v>12</v>
      </c>
      <c r="D193" s="0" t="n">
        <f aca="true">CRITBINOM($C193,MIN(0.75,Matchup!$B$39*$B193),RAND())</f>
        <v>2</v>
      </c>
      <c r="E193" s="0" t="n">
        <f aca="true">CRITBINOM(D193,Coefficients!$B$30,RAND())</f>
        <v>0</v>
      </c>
      <c r="F193" s="0" t="n">
        <f aca="true">CRITBINOM(E193,Coefficients!$B$31,RAND())</f>
        <v>0</v>
      </c>
      <c r="G193" s="0" t="n">
        <f aca="true">CRITBINOM(MAX(0,D193-E193),1-Coefficients!$B$32,RAND())</f>
        <v>0</v>
      </c>
      <c r="H193" s="0" t="n">
        <f aca="true">CRITBINOM(MAX(0,$C193-D193),MIN(0.6,Matchup!$B$40*SQRT($B193)/(1-MIN(0.75,Matchup!$B$39*$B193))),RAND())</f>
        <v>2</v>
      </c>
      <c r="I193" s="0" t="n">
        <f aca="false">6*D193+(D193-E193-G193)+2*F193+3*H193</f>
        <v>20</v>
      </c>
      <c r="J193" s="0" t="n">
        <f aca="true">CRITBINOM($C193,MIN(0.75,Matchup!$C$39*$B193),RAND())</f>
        <v>1</v>
      </c>
      <c r="K193" s="0" t="n">
        <f aca="true">CRITBINOM(J193,Coefficients!$B$30,RAND())</f>
        <v>0</v>
      </c>
      <c r="L193" s="0" t="n">
        <f aca="true">CRITBINOM(K193,Coefficients!$B$31,RAND())</f>
        <v>0</v>
      </c>
      <c r="M193" s="0" t="n">
        <f aca="true">CRITBINOM(MAX(0,J193-K193),1-Coefficients!$B$32,RAND())</f>
        <v>0</v>
      </c>
      <c r="N193" s="0" t="n">
        <f aca="true">CRITBINOM(MAX(0,$C193-J193),MIN(0.6,Matchup!$C$40*SQRT($B193)/(1-MIN(0.75,Matchup!$C$39*$B193))),RAND())</f>
        <v>2</v>
      </c>
      <c r="O193" s="0" t="n">
        <f aca="false">6*J193+(J193-K193-M193)+2*L193+3*N193</f>
        <v>13</v>
      </c>
      <c r="P193" s="0" t="n">
        <f aca="true">RAND()</f>
        <v>0.378219570079887</v>
      </c>
      <c r="Q193" s="0" t="n">
        <f aca="true">RAND()</f>
        <v>0.949740113162476</v>
      </c>
      <c r="R193" s="0" t="n">
        <f aca="false">IF($I193&lt;&gt;$O193,0,IF(P193&lt;Matchup!$B$39,7,IF(P193&lt;Matchup!$B$39+Matchup!$B$40,3,0)))</f>
        <v>0</v>
      </c>
      <c r="S193" s="0" t="n">
        <f aca="false">IF($I193&lt;&gt;$O193,0,IF(Q193&lt;Matchup!$C$39,7,IF(Q193&lt;Matchup!$C$39+Matchup!$C$40,3,0)))</f>
        <v>0</v>
      </c>
      <c r="T193" s="0" t="n">
        <f aca="false">I193+R193</f>
        <v>20</v>
      </c>
      <c r="U193" s="0" t="n">
        <f aca="false">O193+S193</f>
        <v>13</v>
      </c>
      <c r="V193" s="0" t="n">
        <f aca="false">T193-U193</f>
        <v>7</v>
      </c>
      <c r="W193" s="0" t="n">
        <f aca="false">T193+U193</f>
        <v>33</v>
      </c>
    </row>
    <row r="194" customFormat="false" ht="15" hidden="false" customHeight="false" outlineLevel="0" collapsed="false">
      <c r="A194" s="0" t="n">
        <v>191</v>
      </c>
      <c r="B194" s="0" t="n">
        <f aca="true">NORMINV(RAND(),1,Coefficients!$B$22)</f>
        <v>0.978120723917133</v>
      </c>
      <c r="C194" s="0" t="n">
        <f aca="true">MEDIAN(8,16,ROUND(NORMINV(RAND(),Coefficients!$B$20,Coefficients!$B$21),0))</f>
        <v>11</v>
      </c>
      <c r="D194" s="0" t="n">
        <f aca="true">CRITBINOM($C194,MIN(0.75,Matchup!$B$39*$B194),RAND())</f>
        <v>3</v>
      </c>
      <c r="E194" s="0" t="n">
        <f aca="true">CRITBINOM(D194,Coefficients!$B$30,RAND())</f>
        <v>1</v>
      </c>
      <c r="F194" s="0" t="n">
        <f aca="true">CRITBINOM(E194,Coefficients!$B$31,RAND())</f>
        <v>0</v>
      </c>
      <c r="G194" s="0" t="n">
        <f aca="true">CRITBINOM(MAX(0,D194-E194),1-Coefficients!$B$32,RAND())</f>
        <v>0</v>
      </c>
      <c r="H194" s="0" t="n">
        <f aca="true">CRITBINOM(MAX(0,$C194-D194),MIN(0.6,Matchup!$B$40*SQRT($B194)/(1-MIN(0.75,Matchup!$B$39*$B194))),RAND())</f>
        <v>1</v>
      </c>
      <c r="I194" s="0" t="n">
        <f aca="false">6*D194+(D194-E194-G194)+2*F194+3*H194</f>
        <v>23</v>
      </c>
      <c r="J194" s="0" t="n">
        <f aca="true">CRITBINOM($C194,MIN(0.75,Matchup!$C$39*$B194),RAND())</f>
        <v>3</v>
      </c>
      <c r="K194" s="0" t="n">
        <f aca="true">CRITBINOM(J194,Coefficients!$B$30,RAND())</f>
        <v>1</v>
      </c>
      <c r="L194" s="0" t="n">
        <f aca="true">CRITBINOM(K194,Coefficients!$B$31,RAND())</f>
        <v>1</v>
      </c>
      <c r="M194" s="0" t="n">
        <f aca="true">CRITBINOM(MAX(0,J194-K194),1-Coefficients!$B$32,RAND())</f>
        <v>0</v>
      </c>
      <c r="N194" s="0" t="n">
        <f aca="true">CRITBINOM(MAX(0,$C194-J194),MIN(0.6,Matchup!$C$40*SQRT($B194)/(1-MIN(0.75,Matchup!$C$39*$B194))),RAND())</f>
        <v>2</v>
      </c>
      <c r="O194" s="0" t="n">
        <f aca="false">6*J194+(J194-K194-M194)+2*L194+3*N194</f>
        <v>28</v>
      </c>
      <c r="P194" s="0" t="n">
        <f aca="true">RAND()</f>
        <v>0.462033367095189</v>
      </c>
      <c r="Q194" s="0" t="n">
        <f aca="true">RAND()</f>
        <v>0.944747093208856</v>
      </c>
      <c r="R194" s="0" t="n">
        <f aca="false">IF($I194&lt;&gt;$O194,0,IF(P194&lt;Matchup!$B$39,7,IF(P194&lt;Matchup!$B$39+Matchup!$B$40,3,0)))</f>
        <v>0</v>
      </c>
      <c r="S194" s="0" t="n">
        <f aca="false">IF($I194&lt;&gt;$O194,0,IF(Q194&lt;Matchup!$C$39,7,IF(Q194&lt;Matchup!$C$39+Matchup!$C$40,3,0)))</f>
        <v>0</v>
      </c>
      <c r="T194" s="0" t="n">
        <f aca="false">I194+R194</f>
        <v>23</v>
      </c>
      <c r="U194" s="0" t="n">
        <f aca="false">O194+S194</f>
        <v>28</v>
      </c>
      <c r="V194" s="0" t="n">
        <f aca="false">T194-U194</f>
        <v>-5</v>
      </c>
      <c r="W194" s="0" t="n">
        <f aca="false">T194+U194</f>
        <v>51</v>
      </c>
    </row>
    <row r="195" customFormat="false" ht="15" hidden="false" customHeight="false" outlineLevel="0" collapsed="false">
      <c r="A195" s="0" t="n">
        <v>192</v>
      </c>
      <c r="B195" s="0" t="n">
        <f aca="true">NORMINV(RAND(),1,Coefficients!$B$22)</f>
        <v>0.963122968295958</v>
      </c>
      <c r="C195" s="0" t="n">
        <f aca="true">MEDIAN(8,16,ROUND(NORMINV(RAND(),Coefficients!$B$20,Coefficients!$B$21),0))</f>
        <v>11</v>
      </c>
      <c r="D195" s="0" t="n">
        <f aca="true">CRITBINOM($C195,MIN(0.75,Matchup!$B$39*$B195),RAND())</f>
        <v>5</v>
      </c>
      <c r="E195" s="0" t="n">
        <f aca="true">CRITBINOM(D195,Coefficients!$B$30,RAND())</f>
        <v>0</v>
      </c>
      <c r="F195" s="0" t="n">
        <f aca="true">CRITBINOM(E195,Coefficients!$B$31,RAND())</f>
        <v>0</v>
      </c>
      <c r="G195" s="0" t="n">
        <f aca="true">CRITBINOM(MAX(0,D195-E195),1-Coefficients!$B$32,RAND())</f>
        <v>0</v>
      </c>
      <c r="H195" s="0" t="n">
        <f aca="true">CRITBINOM(MAX(0,$C195-D195),MIN(0.6,Matchup!$B$40*SQRT($B195)/(1-MIN(0.75,Matchup!$B$39*$B195))),RAND())</f>
        <v>2</v>
      </c>
      <c r="I195" s="0" t="n">
        <f aca="false">6*D195+(D195-E195-G195)+2*F195+3*H195</f>
        <v>41</v>
      </c>
      <c r="J195" s="0" t="n">
        <f aca="true">CRITBINOM($C195,MIN(0.75,Matchup!$C$39*$B195),RAND())</f>
        <v>1</v>
      </c>
      <c r="K195" s="0" t="n">
        <f aca="true">CRITBINOM(J195,Coefficients!$B$30,RAND())</f>
        <v>0</v>
      </c>
      <c r="L195" s="0" t="n">
        <f aca="true">CRITBINOM(K195,Coefficients!$B$31,RAND())</f>
        <v>0</v>
      </c>
      <c r="M195" s="0" t="n">
        <f aca="true">CRITBINOM(MAX(0,J195-K195),1-Coefficients!$B$32,RAND())</f>
        <v>0</v>
      </c>
      <c r="N195" s="0" t="n">
        <f aca="true">CRITBINOM(MAX(0,$C195-J195),MIN(0.6,Matchup!$C$40*SQRT($B195)/(1-MIN(0.75,Matchup!$C$39*$B195))),RAND())</f>
        <v>1</v>
      </c>
      <c r="O195" s="0" t="n">
        <f aca="false">6*J195+(J195-K195-M195)+2*L195+3*N195</f>
        <v>10</v>
      </c>
      <c r="P195" s="0" t="n">
        <f aca="true">RAND()</f>
        <v>0.817342759372726</v>
      </c>
      <c r="Q195" s="0" t="n">
        <f aca="true">RAND()</f>
        <v>0.894243937618918</v>
      </c>
      <c r="R195" s="0" t="n">
        <f aca="false">IF($I195&lt;&gt;$O195,0,IF(P195&lt;Matchup!$B$39,7,IF(P195&lt;Matchup!$B$39+Matchup!$B$40,3,0)))</f>
        <v>0</v>
      </c>
      <c r="S195" s="0" t="n">
        <f aca="false">IF($I195&lt;&gt;$O195,0,IF(Q195&lt;Matchup!$C$39,7,IF(Q195&lt;Matchup!$C$39+Matchup!$C$40,3,0)))</f>
        <v>0</v>
      </c>
      <c r="T195" s="0" t="n">
        <f aca="false">I195+R195</f>
        <v>41</v>
      </c>
      <c r="U195" s="0" t="n">
        <f aca="false">O195+S195</f>
        <v>10</v>
      </c>
      <c r="V195" s="0" t="n">
        <f aca="false">T195-U195</f>
        <v>31</v>
      </c>
      <c r="W195" s="0" t="n">
        <f aca="false">T195+U195</f>
        <v>51</v>
      </c>
    </row>
    <row r="196" customFormat="false" ht="15" hidden="false" customHeight="false" outlineLevel="0" collapsed="false">
      <c r="A196" s="0" t="n">
        <v>193</v>
      </c>
      <c r="B196" s="0" t="n">
        <f aca="true">NORMINV(RAND(),1,Coefficients!$B$22)</f>
        <v>1.09194830754355</v>
      </c>
      <c r="C196" s="0" t="n">
        <f aca="true">MEDIAN(8,16,ROUND(NORMINV(RAND(),Coefficients!$B$20,Coefficients!$B$21),0))</f>
        <v>11</v>
      </c>
      <c r="D196" s="0" t="n">
        <f aca="true">CRITBINOM($C196,MIN(0.75,Matchup!$B$39*$B196),RAND())</f>
        <v>4</v>
      </c>
      <c r="E196" s="0" t="n">
        <f aca="true">CRITBINOM(D196,Coefficients!$B$30,RAND())</f>
        <v>0</v>
      </c>
      <c r="F196" s="0" t="n">
        <f aca="true">CRITBINOM(E196,Coefficients!$B$31,RAND())</f>
        <v>0</v>
      </c>
      <c r="G196" s="0" t="n">
        <f aca="true">CRITBINOM(MAX(0,D196-E196),1-Coefficients!$B$32,RAND())</f>
        <v>1</v>
      </c>
      <c r="H196" s="0" t="n">
        <f aca="true">CRITBINOM(MAX(0,$C196-D196),MIN(0.6,Matchup!$B$40*SQRT($B196)/(1-MIN(0.75,Matchup!$B$39*$B196))),RAND())</f>
        <v>2</v>
      </c>
      <c r="I196" s="0" t="n">
        <f aca="false">6*D196+(D196-E196-G196)+2*F196+3*H196</f>
        <v>33</v>
      </c>
      <c r="J196" s="0" t="n">
        <f aca="true">CRITBINOM($C196,MIN(0.75,Matchup!$C$39*$B196),RAND())</f>
        <v>4</v>
      </c>
      <c r="K196" s="0" t="n">
        <f aca="true">CRITBINOM(J196,Coefficients!$B$30,RAND())</f>
        <v>0</v>
      </c>
      <c r="L196" s="0" t="n">
        <f aca="true">CRITBINOM(K196,Coefficients!$B$31,RAND())</f>
        <v>0</v>
      </c>
      <c r="M196" s="0" t="n">
        <f aca="true">CRITBINOM(MAX(0,J196-K196),1-Coefficients!$B$32,RAND())</f>
        <v>0</v>
      </c>
      <c r="N196" s="0" t="n">
        <f aca="true">CRITBINOM(MAX(0,$C196-J196),MIN(0.6,Matchup!$C$40*SQRT($B196)/(1-MIN(0.75,Matchup!$C$39*$B196))),RAND())</f>
        <v>1</v>
      </c>
      <c r="O196" s="0" t="n">
        <f aca="false">6*J196+(J196-K196-M196)+2*L196+3*N196</f>
        <v>31</v>
      </c>
      <c r="P196" s="0" t="n">
        <f aca="true">RAND()</f>
        <v>0.0711050919976117</v>
      </c>
      <c r="Q196" s="0" t="n">
        <f aca="true">RAND()</f>
        <v>0.46660348816302</v>
      </c>
      <c r="R196" s="0" t="n">
        <f aca="false">IF($I196&lt;&gt;$O196,0,IF(P196&lt;Matchup!$B$39,7,IF(P196&lt;Matchup!$B$39+Matchup!$B$40,3,0)))</f>
        <v>0</v>
      </c>
      <c r="S196" s="0" t="n">
        <f aca="false">IF($I196&lt;&gt;$O196,0,IF(Q196&lt;Matchup!$C$39,7,IF(Q196&lt;Matchup!$C$39+Matchup!$C$40,3,0)))</f>
        <v>0</v>
      </c>
      <c r="T196" s="0" t="n">
        <f aca="false">I196+R196</f>
        <v>33</v>
      </c>
      <c r="U196" s="0" t="n">
        <f aca="false">O196+S196</f>
        <v>31</v>
      </c>
      <c r="V196" s="0" t="n">
        <f aca="false">T196-U196</f>
        <v>2</v>
      </c>
      <c r="W196" s="0" t="n">
        <f aca="false">T196+U196</f>
        <v>64</v>
      </c>
    </row>
    <row r="197" customFormat="false" ht="15" hidden="false" customHeight="false" outlineLevel="0" collapsed="false">
      <c r="A197" s="0" t="n">
        <v>194</v>
      </c>
      <c r="B197" s="0" t="n">
        <f aca="true">NORMINV(RAND(),1,Coefficients!$B$22)</f>
        <v>1.02896938975794</v>
      </c>
      <c r="C197" s="0" t="n">
        <f aca="true">MEDIAN(8,16,ROUND(NORMINV(RAND(),Coefficients!$B$20,Coefficients!$B$21),0))</f>
        <v>12</v>
      </c>
      <c r="D197" s="0" t="n">
        <f aca="true">CRITBINOM($C197,MIN(0.75,Matchup!$B$39*$B197),RAND())</f>
        <v>2</v>
      </c>
      <c r="E197" s="0" t="n">
        <f aca="true">CRITBINOM(D197,Coefficients!$B$30,RAND())</f>
        <v>0</v>
      </c>
      <c r="F197" s="0" t="n">
        <f aca="true">CRITBINOM(E197,Coefficients!$B$31,RAND())</f>
        <v>0</v>
      </c>
      <c r="G197" s="0" t="n">
        <f aca="true">CRITBINOM(MAX(0,D197-E197),1-Coefficients!$B$32,RAND())</f>
        <v>0</v>
      </c>
      <c r="H197" s="0" t="n">
        <f aca="true">CRITBINOM(MAX(0,$C197-D197),MIN(0.6,Matchup!$B$40*SQRT($B197)/(1-MIN(0.75,Matchup!$B$39*$B197))),RAND())</f>
        <v>1</v>
      </c>
      <c r="I197" s="0" t="n">
        <f aca="false">6*D197+(D197-E197-G197)+2*F197+3*H197</f>
        <v>17</v>
      </c>
      <c r="J197" s="0" t="n">
        <f aca="true">CRITBINOM($C197,MIN(0.75,Matchup!$C$39*$B197),RAND())</f>
        <v>3</v>
      </c>
      <c r="K197" s="0" t="n">
        <f aca="true">CRITBINOM(J197,Coefficients!$B$30,RAND())</f>
        <v>0</v>
      </c>
      <c r="L197" s="0" t="n">
        <f aca="true">CRITBINOM(K197,Coefficients!$B$31,RAND())</f>
        <v>0</v>
      </c>
      <c r="M197" s="0" t="n">
        <f aca="true">CRITBINOM(MAX(0,J197-K197),1-Coefficients!$B$32,RAND())</f>
        <v>0</v>
      </c>
      <c r="N197" s="0" t="n">
        <f aca="true">CRITBINOM(MAX(0,$C197-J197),MIN(0.6,Matchup!$C$40*SQRT($B197)/(1-MIN(0.75,Matchup!$C$39*$B197))),RAND())</f>
        <v>4</v>
      </c>
      <c r="O197" s="0" t="n">
        <f aca="false">6*J197+(J197-K197-M197)+2*L197+3*N197</f>
        <v>33</v>
      </c>
      <c r="P197" s="0" t="n">
        <f aca="true">RAND()</f>
        <v>0.406003686096388</v>
      </c>
      <c r="Q197" s="0" t="n">
        <f aca="true">RAND()</f>
        <v>0.240331464262107</v>
      </c>
      <c r="R197" s="0" t="n">
        <f aca="false">IF($I197&lt;&gt;$O197,0,IF(P197&lt;Matchup!$B$39,7,IF(P197&lt;Matchup!$B$39+Matchup!$B$40,3,0)))</f>
        <v>0</v>
      </c>
      <c r="S197" s="0" t="n">
        <f aca="false">IF($I197&lt;&gt;$O197,0,IF(Q197&lt;Matchup!$C$39,7,IF(Q197&lt;Matchup!$C$39+Matchup!$C$40,3,0)))</f>
        <v>0</v>
      </c>
      <c r="T197" s="0" t="n">
        <f aca="false">I197+R197</f>
        <v>17</v>
      </c>
      <c r="U197" s="0" t="n">
        <f aca="false">O197+S197</f>
        <v>33</v>
      </c>
      <c r="V197" s="0" t="n">
        <f aca="false">T197-U197</f>
        <v>-16</v>
      </c>
      <c r="W197" s="0" t="n">
        <f aca="false">T197+U197</f>
        <v>50</v>
      </c>
    </row>
    <row r="198" customFormat="false" ht="15" hidden="false" customHeight="false" outlineLevel="0" collapsed="false">
      <c r="A198" s="0" t="n">
        <v>195</v>
      </c>
      <c r="B198" s="0" t="n">
        <f aca="true">NORMINV(RAND(),1,Coefficients!$B$22)</f>
        <v>1.00600838730201</v>
      </c>
      <c r="C198" s="0" t="n">
        <f aca="true">MEDIAN(8,16,ROUND(NORMINV(RAND(),Coefficients!$B$20,Coefficients!$B$21),0))</f>
        <v>10</v>
      </c>
      <c r="D198" s="0" t="n">
        <f aca="true">CRITBINOM($C198,MIN(0.75,Matchup!$B$39*$B198),RAND())</f>
        <v>2</v>
      </c>
      <c r="E198" s="0" t="n">
        <f aca="true">CRITBINOM(D198,Coefficients!$B$30,RAND())</f>
        <v>0</v>
      </c>
      <c r="F198" s="0" t="n">
        <f aca="true">CRITBINOM(E198,Coefficients!$B$31,RAND())</f>
        <v>0</v>
      </c>
      <c r="G198" s="0" t="n">
        <f aca="true">CRITBINOM(MAX(0,D198-E198),1-Coefficients!$B$32,RAND())</f>
        <v>0</v>
      </c>
      <c r="H198" s="0" t="n">
        <f aca="true">CRITBINOM(MAX(0,$C198-D198),MIN(0.6,Matchup!$B$40*SQRT($B198)/(1-MIN(0.75,Matchup!$B$39*$B198))),RAND())</f>
        <v>0</v>
      </c>
      <c r="I198" s="0" t="n">
        <f aca="false">6*D198+(D198-E198-G198)+2*F198+3*H198</f>
        <v>14</v>
      </c>
      <c r="J198" s="0" t="n">
        <f aca="true">CRITBINOM($C198,MIN(0.75,Matchup!$C$39*$B198),RAND())</f>
        <v>2</v>
      </c>
      <c r="K198" s="0" t="n">
        <f aca="true">CRITBINOM(J198,Coefficients!$B$30,RAND())</f>
        <v>0</v>
      </c>
      <c r="L198" s="0" t="n">
        <f aca="true">CRITBINOM(K198,Coefficients!$B$31,RAND())</f>
        <v>0</v>
      </c>
      <c r="M198" s="0" t="n">
        <f aca="true">CRITBINOM(MAX(0,J198-K198),1-Coefficients!$B$32,RAND())</f>
        <v>0</v>
      </c>
      <c r="N198" s="0" t="n">
        <f aca="true">CRITBINOM(MAX(0,$C198-J198),MIN(0.6,Matchup!$C$40*SQRT($B198)/(1-MIN(0.75,Matchup!$C$39*$B198))),RAND())</f>
        <v>1</v>
      </c>
      <c r="O198" s="0" t="n">
        <f aca="false">6*J198+(J198-K198-M198)+2*L198+3*N198</f>
        <v>17</v>
      </c>
      <c r="P198" s="0" t="n">
        <f aca="true">RAND()</f>
        <v>0.0657579930498087</v>
      </c>
      <c r="Q198" s="0" t="n">
        <f aca="true">RAND()</f>
        <v>0.432415289303992</v>
      </c>
      <c r="R198" s="0" t="n">
        <f aca="false">IF($I198&lt;&gt;$O198,0,IF(P198&lt;Matchup!$B$39,7,IF(P198&lt;Matchup!$B$39+Matchup!$B$40,3,0)))</f>
        <v>0</v>
      </c>
      <c r="S198" s="0" t="n">
        <f aca="false">IF($I198&lt;&gt;$O198,0,IF(Q198&lt;Matchup!$C$39,7,IF(Q198&lt;Matchup!$C$39+Matchup!$C$40,3,0)))</f>
        <v>0</v>
      </c>
      <c r="T198" s="0" t="n">
        <f aca="false">I198+R198</f>
        <v>14</v>
      </c>
      <c r="U198" s="0" t="n">
        <f aca="false">O198+S198</f>
        <v>17</v>
      </c>
      <c r="V198" s="0" t="n">
        <f aca="false">T198-U198</f>
        <v>-3</v>
      </c>
      <c r="W198" s="0" t="n">
        <f aca="false">T198+U198</f>
        <v>31</v>
      </c>
    </row>
    <row r="199" customFormat="false" ht="15" hidden="false" customHeight="false" outlineLevel="0" collapsed="false">
      <c r="A199" s="0" t="n">
        <v>196</v>
      </c>
      <c r="B199" s="0" t="n">
        <f aca="true">NORMINV(RAND(),1,Coefficients!$B$22)</f>
        <v>1.05365380294336</v>
      </c>
      <c r="C199" s="0" t="n">
        <f aca="true">MEDIAN(8,16,ROUND(NORMINV(RAND(),Coefficients!$B$20,Coefficients!$B$21),0))</f>
        <v>13</v>
      </c>
      <c r="D199" s="0" t="n">
        <f aca="true">CRITBINOM($C199,MIN(0.75,Matchup!$B$39*$B199),RAND())</f>
        <v>3</v>
      </c>
      <c r="E199" s="0" t="n">
        <f aca="true">CRITBINOM(D199,Coefficients!$B$30,RAND())</f>
        <v>0</v>
      </c>
      <c r="F199" s="0" t="n">
        <f aca="true">CRITBINOM(E199,Coefficients!$B$31,RAND())</f>
        <v>0</v>
      </c>
      <c r="G199" s="0" t="n">
        <f aca="true">CRITBINOM(MAX(0,D199-E199),1-Coefficients!$B$32,RAND())</f>
        <v>0</v>
      </c>
      <c r="H199" s="0" t="n">
        <f aca="true">CRITBINOM(MAX(0,$C199-D199),MIN(0.6,Matchup!$B$40*SQRT($B199)/(1-MIN(0.75,Matchup!$B$39*$B199))),RAND())</f>
        <v>1</v>
      </c>
      <c r="I199" s="0" t="n">
        <f aca="false">6*D199+(D199-E199-G199)+2*F199+3*H199</f>
        <v>24</v>
      </c>
      <c r="J199" s="0" t="n">
        <f aca="true">CRITBINOM($C199,MIN(0.75,Matchup!$C$39*$B199),RAND())</f>
        <v>5</v>
      </c>
      <c r="K199" s="0" t="n">
        <f aca="true">CRITBINOM(J199,Coefficients!$B$30,RAND())</f>
        <v>0</v>
      </c>
      <c r="L199" s="0" t="n">
        <f aca="true">CRITBINOM(K199,Coefficients!$B$31,RAND())</f>
        <v>0</v>
      </c>
      <c r="M199" s="0" t="n">
        <f aca="true">CRITBINOM(MAX(0,J199-K199),1-Coefficients!$B$32,RAND())</f>
        <v>0</v>
      </c>
      <c r="N199" s="0" t="n">
        <f aca="true">CRITBINOM(MAX(0,$C199-J199),MIN(0.6,Matchup!$C$40*SQRT($B199)/(1-MIN(0.75,Matchup!$C$39*$B199))),RAND())</f>
        <v>1</v>
      </c>
      <c r="O199" s="0" t="n">
        <f aca="false">6*J199+(J199-K199-M199)+2*L199+3*N199</f>
        <v>38</v>
      </c>
      <c r="P199" s="0" t="n">
        <f aca="true">RAND()</f>
        <v>0.783201592560582</v>
      </c>
      <c r="Q199" s="0" t="n">
        <f aca="true">RAND()</f>
        <v>0.0545616759158387</v>
      </c>
      <c r="R199" s="0" t="n">
        <f aca="false">IF($I199&lt;&gt;$O199,0,IF(P199&lt;Matchup!$B$39,7,IF(P199&lt;Matchup!$B$39+Matchup!$B$40,3,0)))</f>
        <v>0</v>
      </c>
      <c r="S199" s="0" t="n">
        <f aca="false">IF($I199&lt;&gt;$O199,0,IF(Q199&lt;Matchup!$C$39,7,IF(Q199&lt;Matchup!$C$39+Matchup!$C$40,3,0)))</f>
        <v>0</v>
      </c>
      <c r="T199" s="0" t="n">
        <f aca="false">I199+R199</f>
        <v>24</v>
      </c>
      <c r="U199" s="0" t="n">
        <f aca="false">O199+S199</f>
        <v>38</v>
      </c>
      <c r="V199" s="0" t="n">
        <f aca="false">T199-U199</f>
        <v>-14</v>
      </c>
      <c r="W199" s="0" t="n">
        <f aca="false">T199+U199</f>
        <v>62</v>
      </c>
    </row>
    <row r="200" customFormat="false" ht="15" hidden="false" customHeight="false" outlineLevel="0" collapsed="false">
      <c r="A200" s="0" t="n">
        <v>197</v>
      </c>
      <c r="B200" s="0" t="n">
        <f aca="true">NORMINV(RAND(),1,Coefficients!$B$22)</f>
        <v>0.924868251635257</v>
      </c>
      <c r="C200" s="0" t="n">
        <f aca="true">MEDIAN(8,16,ROUND(NORMINV(RAND(),Coefficients!$B$20,Coefficients!$B$21),0))</f>
        <v>12</v>
      </c>
      <c r="D200" s="0" t="n">
        <f aca="true">CRITBINOM($C200,MIN(0.75,Matchup!$B$39*$B200),RAND())</f>
        <v>1</v>
      </c>
      <c r="E200" s="0" t="n">
        <f aca="true">CRITBINOM(D200,Coefficients!$B$30,RAND())</f>
        <v>0</v>
      </c>
      <c r="F200" s="0" t="n">
        <f aca="true">CRITBINOM(E200,Coefficients!$B$31,RAND())</f>
        <v>0</v>
      </c>
      <c r="G200" s="0" t="n">
        <f aca="true">CRITBINOM(MAX(0,D200-E200),1-Coefficients!$B$32,RAND())</f>
        <v>0</v>
      </c>
      <c r="H200" s="0" t="n">
        <f aca="true">CRITBINOM(MAX(0,$C200-D200),MIN(0.6,Matchup!$B$40*SQRT($B200)/(1-MIN(0.75,Matchup!$B$39*$B200))),RAND())</f>
        <v>2</v>
      </c>
      <c r="I200" s="0" t="n">
        <f aca="false">6*D200+(D200-E200-G200)+2*F200+3*H200</f>
        <v>13</v>
      </c>
      <c r="J200" s="0" t="n">
        <f aca="true">CRITBINOM($C200,MIN(0.75,Matchup!$C$39*$B200),RAND())</f>
        <v>2</v>
      </c>
      <c r="K200" s="0" t="n">
        <f aca="true">CRITBINOM(J200,Coefficients!$B$30,RAND())</f>
        <v>0</v>
      </c>
      <c r="L200" s="0" t="n">
        <f aca="true">CRITBINOM(K200,Coefficients!$B$31,RAND())</f>
        <v>0</v>
      </c>
      <c r="M200" s="0" t="n">
        <f aca="true">CRITBINOM(MAX(0,J200-K200),1-Coefficients!$B$32,RAND())</f>
        <v>1</v>
      </c>
      <c r="N200" s="0" t="n">
        <f aca="true">CRITBINOM(MAX(0,$C200-J200),MIN(0.6,Matchup!$C$40*SQRT($B200)/(1-MIN(0.75,Matchup!$C$39*$B200))),RAND())</f>
        <v>3</v>
      </c>
      <c r="O200" s="0" t="n">
        <f aca="false">6*J200+(J200-K200-M200)+2*L200+3*N200</f>
        <v>22</v>
      </c>
      <c r="P200" s="0" t="n">
        <f aca="true">RAND()</f>
        <v>0.353889197741603</v>
      </c>
      <c r="Q200" s="0" t="n">
        <f aca="true">RAND()</f>
        <v>0.908163554551773</v>
      </c>
      <c r="R200" s="0" t="n">
        <f aca="false">IF($I200&lt;&gt;$O200,0,IF(P200&lt;Matchup!$B$39,7,IF(P200&lt;Matchup!$B$39+Matchup!$B$40,3,0)))</f>
        <v>0</v>
      </c>
      <c r="S200" s="0" t="n">
        <f aca="false">IF($I200&lt;&gt;$O200,0,IF(Q200&lt;Matchup!$C$39,7,IF(Q200&lt;Matchup!$C$39+Matchup!$C$40,3,0)))</f>
        <v>0</v>
      </c>
      <c r="T200" s="0" t="n">
        <f aca="false">I200+R200</f>
        <v>13</v>
      </c>
      <c r="U200" s="0" t="n">
        <f aca="false">O200+S200</f>
        <v>22</v>
      </c>
      <c r="V200" s="0" t="n">
        <f aca="false">T200-U200</f>
        <v>-9</v>
      </c>
      <c r="W200" s="0" t="n">
        <f aca="false">T200+U200</f>
        <v>35</v>
      </c>
    </row>
    <row r="201" customFormat="false" ht="15" hidden="false" customHeight="false" outlineLevel="0" collapsed="false">
      <c r="A201" s="0" t="n">
        <v>198</v>
      </c>
      <c r="B201" s="0" t="n">
        <f aca="true">NORMINV(RAND(),1,Coefficients!$B$22)</f>
        <v>1.0207071927961</v>
      </c>
      <c r="C201" s="0" t="n">
        <f aca="true">MEDIAN(8,16,ROUND(NORMINV(RAND(),Coefficients!$B$20,Coefficients!$B$21),0))</f>
        <v>12</v>
      </c>
      <c r="D201" s="0" t="n">
        <f aca="true">CRITBINOM($C201,MIN(0.75,Matchup!$B$39*$B201),RAND())</f>
        <v>2</v>
      </c>
      <c r="E201" s="0" t="n">
        <f aca="true">CRITBINOM(D201,Coefficients!$B$30,RAND())</f>
        <v>0</v>
      </c>
      <c r="F201" s="0" t="n">
        <f aca="true">CRITBINOM(E201,Coefficients!$B$31,RAND())</f>
        <v>0</v>
      </c>
      <c r="G201" s="0" t="n">
        <f aca="true">CRITBINOM(MAX(0,D201-E201),1-Coefficients!$B$32,RAND())</f>
        <v>0</v>
      </c>
      <c r="H201" s="0" t="n">
        <f aca="true">CRITBINOM(MAX(0,$C201-D201),MIN(0.6,Matchup!$B$40*SQRT($B201)/(1-MIN(0.75,Matchup!$B$39*$B201))),RAND())</f>
        <v>1</v>
      </c>
      <c r="I201" s="0" t="n">
        <f aca="false">6*D201+(D201-E201-G201)+2*F201+3*H201</f>
        <v>17</v>
      </c>
      <c r="J201" s="0" t="n">
        <f aca="true">CRITBINOM($C201,MIN(0.75,Matchup!$C$39*$B201),RAND())</f>
        <v>2</v>
      </c>
      <c r="K201" s="0" t="n">
        <f aca="true">CRITBINOM(J201,Coefficients!$B$30,RAND())</f>
        <v>1</v>
      </c>
      <c r="L201" s="0" t="n">
        <f aca="true">CRITBINOM(K201,Coefficients!$B$31,RAND())</f>
        <v>1</v>
      </c>
      <c r="M201" s="0" t="n">
        <f aca="true">CRITBINOM(MAX(0,J201-K201),1-Coefficients!$B$32,RAND())</f>
        <v>0</v>
      </c>
      <c r="N201" s="0" t="n">
        <f aca="true">CRITBINOM(MAX(0,$C201-J201),MIN(0.6,Matchup!$C$40*SQRT($B201)/(1-MIN(0.75,Matchup!$C$39*$B201))),RAND())</f>
        <v>1</v>
      </c>
      <c r="O201" s="0" t="n">
        <f aca="false">6*J201+(J201-K201-M201)+2*L201+3*N201</f>
        <v>18</v>
      </c>
      <c r="P201" s="0" t="n">
        <f aca="true">RAND()</f>
        <v>0.196731621290815</v>
      </c>
      <c r="Q201" s="0" t="n">
        <f aca="true">RAND()</f>
        <v>0.721842021763274</v>
      </c>
      <c r="R201" s="0" t="n">
        <f aca="false">IF($I201&lt;&gt;$O201,0,IF(P201&lt;Matchup!$B$39,7,IF(P201&lt;Matchup!$B$39+Matchup!$B$40,3,0)))</f>
        <v>0</v>
      </c>
      <c r="S201" s="0" t="n">
        <f aca="false">IF($I201&lt;&gt;$O201,0,IF(Q201&lt;Matchup!$C$39,7,IF(Q201&lt;Matchup!$C$39+Matchup!$C$40,3,0)))</f>
        <v>0</v>
      </c>
      <c r="T201" s="0" t="n">
        <f aca="false">I201+R201</f>
        <v>17</v>
      </c>
      <c r="U201" s="0" t="n">
        <f aca="false">O201+S201</f>
        <v>18</v>
      </c>
      <c r="V201" s="0" t="n">
        <f aca="false">T201-U201</f>
        <v>-1</v>
      </c>
      <c r="W201" s="0" t="n">
        <f aca="false">T201+U201</f>
        <v>35</v>
      </c>
    </row>
    <row r="202" customFormat="false" ht="15" hidden="false" customHeight="false" outlineLevel="0" collapsed="false">
      <c r="A202" s="0" t="n">
        <v>199</v>
      </c>
      <c r="B202" s="0" t="n">
        <f aca="true">NORMINV(RAND(),1,Coefficients!$B$22)</f>
        <v>0.976416861183266</v>
      </c>
      <c r="C202" s="0" t="n">
        <f aca="true">MEDIAN(8,16,ROUND(NORMINV(RAND(),Coefficients!$B$20,Coefficients!$B$21),0))</f>
        <v>13</v>
      </c>
      <c r="D202" s="0" t="n">
        <f aca="true">CRITBINOM($C202,MIN(0.75,Matchup!$B$39*$B202),RAND())</f>
        <v>4</v>
      </c>
      <c r="E202" s="0" t="n">
        <f aca="true">CRITBINOM(D202,Coefficients!$B$30,RAND())</f>
        <v>0</v>
      </c>
      <c r="F202" s="0" t="n">
        <f aca="true">CRITBINOM(E202,Coefficients!$B$31,RAND())</f>
        <v>0</v>
      </c>
      <c r="G202" s="0" t="n">
        <f aca="true">CRITBINOM(MAX(0,D202-E202),1-Coefficients!$B$32,RAND())</f>
        <v>0</v>
      </c>
      <c r="H202" s="0" t="n">
        <f aca="true">CRITBINOM(MAX(0,$C202-D202),MIN(0.6,Matchup!$B$40*SQRT($B202)/(1-MIN(0.75,Matchup!$B$39*$B202))),RAND())</f>
        <v>4</v>
      </c>
      <c r="I202" s="0" t="n">
        <f aca="false">6*D202+(D202-E202-G202)+2*F202+3*H202</f>
        <v>40</v>
      </c>
      <c r="J202" s="0" t="n">
        <f aca="true">CRITBINOM($C202,MIN(0.75,Matchup!$C$39*$B202),RAND())</f>
        <v>2</v>
      </c>
      <c r="K202" s="0" t="n">
        <f aca="true">CRITBINOM(J202,Coefficients!$B$30,RAND())</f>
        <v>1</v>
      </c>
      <c r="L202" s="0" t="n">
        <f aca="true">CRITBINOM(K202,Coefficients!$B$31,RAND())</f>
        <v>1</v>
      </c>
      <c r="M202" s="0" t="n">
        <f aca="true">CRITBINOM(MAX(0,J202-K202),1-Coefficients!$B$32,RAND())</f>
        <v>0</v>
      </c>
      <c r="N202" s="0" t="n">
        <f aca="true">CRITBINOM(MAX(0,$C202-J202),MIN(0.6,Matchup!$C$40*SQRT($B202)/(1-MIN(0.75,Matchup!$C$39*$B202))),RAND())</f>
        <v>1</v>
      </c>
      <c r="O202" s="0" t="n">
        <f aca="false">6*J202+(J202-K202-M202)+2*L202+3*N202</f>
        <v>18</v>
      </c>
      <c r="P202" s="0" t="n">
        <f aca="true">RAND()</f>
        <v>0.0812594195968222</v>
      </c>
      <c r="Q202" s="0" t="n">
        <f aca="true">RAND()</f>
        <v>0.757826444664002</v>
      </c>
      <c r="R202" s="0" t="n">
        <f aca="false">IF($I202&lt;&gt;$O202,0,IF(P202&lt;Matchup!$B$39,7,IF(P202&lt;Matchup!$B$39+Matchup!$B$40,3,0)))</f>
        <v>0</v>
      </c>
      <c r="S202" s="0" t="n">
        <f aca="false">IF($I202&lt;&gt;$O202,0,IF(Q202&lt;Matchup!$C$39,7,IF(Q202&lt;Matchup!$C$39+Matchup!$C$40,3,0)))</f>
        <v>0</v>
      </c>
      <c r="T202" s="0" t="n">
        <f aca="false">I202+R202</f>
        <v>40</v>
      </c>
      <c r="U202" s="0" t="n">
        <f aca="false">O202+S202</f>
        <v>18</v>
      </c>
      <c r="V202" s="0" t="n">
        <f aca="false">T202-U202</f>
        <v>22</v>
      </c>
      <c r="W202" s="0" t="n">
        <f aca="false">T202+U202</f>
        <v>58</v>
      </c>
    </row>
    <row r="203" customFormat="false" ht="15" hidden="false" customHeight="false" outlineLevel="0" collapsed="false">
      <c r="A203" s="0" t="n">
        <v>200</v>
      </c>
      <c r="B203" s="0" t="n">
        <f aca="true">NORMINV(RAND(),1,Coefficients!$B$22)</f>
        <v>0.927231218757988</v>
      </c>
      <c r="C203" s="0" t="n">
        <f aca="true">MEDIAN(8,16,ROUND(NORMINV(RAND(),Coefficients!$B$20,Coefficients!$B$21),0))</f>
        <v>12</v>
      </c>
      <c r="D203" s="0" t="n">
        <f aca="true">CRITBINOM($C203,MIN(0.75,Matchup!$B$39*$B203),RAND())</f>
        <v>3</v>
      </c>
      <c r="E203" s="0" t="n">
        <f aca="true">CRITBINOM(D203,Coefficients!$B$30,RAND())</f>
        <v>1</v>
      </c>
      <c r="F203" s="0" t="n">
        <f aca="true">CRITBINOM(E203,Coefficients!$B$31,RAND())</f>
        <v>0</v>
      </c>
      <c r="G203" s="0" t="n">
        <f aca="true">CRITBINOM(MAX(0,D203-E203),1-Coefficients!$B$32,RAND())</f>
        <v>0</v>
      </c>
      <c r="H203" s="0" t="n">
        <f aca="true">CRITBINOM(MAX(0,$C203-D203),MIN(0.6,Matchup!$B$40*SQRT($B203)/(1-MIN(0.75,Matchup!$B$39*$B203))),RAND())</f>
        <v>1</v>
      </c>
      <c r="I203" s="0" t="n">
        <f aca="false">6*D203+(D203-E203-G203)+2*F203+3*H203</f>
        <v>23</v>
      </c>
      <c r="J203" s="0" t="n">
        <f aca="true">CRITBINOM($C203,MIN(0.75,Matchup!$C$39*$B203),RAND())</f>
        <v>1</v>
      </c>
      <c r="K203" s="0" t="n">
        <f aca="true">CRITBINOM(J203,Coefficients!$B$30,RAND())</f>
        <v>0</v>
      </c>
      <c r="L203" s="0" t="n">
        <f aca="true">CRITBINOM(K203,Coefficients!$B$31,RAND())</f>
        <v>0</v>
      </c>
      <c r="M203" s="0" t="n">
        <f aca="true">CRITBINOM(MAX(0,J203-K203),1-Coefficients!$B$32,RAND())</f>
        <v>0</v>
      </c>
      <c r="N203" s="0" t="n">
        <f aca="true">CRITBINOM(MAX(0,$C203-J203),MIN(0.6,Matchup!$C$40*SQRT($B203)/(1-MIN(0.75,Matchup!$C$39*$B203))),RAND())</f>
        <v>3</v>
      </c>
      <c r="O203" s="0" t="n">
        <f aca="false">6*J203+(J203-K203-M203)+2*L203+3*N203</f>
        <v>16</v>
      </c>
      <c r="P203" s="0" t="n">
        <f aca="true">RAND()</f>
        <v>0.663004655665858</v>
      </c>
      <c r="Q203" s="0" t="n">
        <f aca="true">RAND()</f>
        <v>0.706960189509989</v>
      </c>
      <c r="R203" s="0" t="n">
        <f aca="false">IF($I203&lt;&gt;$O203,0,IF(P203&lt;Matchup!$B$39,7,IF(P203&lt;Matchup!$B$39+Matchup!$B$40,3,0)))</f>
        <v>0</v>
      </c>
      <c r="S203" s="0" t="n">
        <f aca="false">IF($I203&lt;&gt;$O203,0,IF(Q203&lt;Matchup!$C$39,7,IF(Q203&lt;Matchup!$C$39+Matchup!$C$40,3,0)))</f>
        <v>0</v>
      </c>
      <c r="T203" s="0" t="n">
        <f aca="false">I203+R203</f>
        <v>23</v>
      </c>
      <c r="U203" s="0" t="n">
        <f aca="false">O203+S203</f>
        <v>16</v>
      </c>
      <c r="V203" s="0" t="n">
        <f aca="false">T203-U203</f>
        <v>7</v>
      </c>
      <c r="W203" s="0" t="n">
        <f aca="false">T203+U203</f>
        <v>39</v>
      </c>
    </row>
    <row r="204" customFormat="false" ht="15" hidden="false" customHeight="false" outlineLevel="0" collapsed="false">
      <c r="A204" s="0" t="n">
        <v>201</v>
      </c>
      <c r="B204" s="0" t="n">
        <f aca="true">NORMINV(RAND(),1,Coefficients!$B$22)</f>
        <v>1.02712634574454</v>
      </c>
      <c r="C204" s="0" t="n">
        <f aca="true">MEDIAN(8,16,ROUND(NORMINV(RAND(),Coefficients!$B$20,Coefficients!$B$21),0))</f>
        <v>12</v>
      </c>
      <c r="D204" s="0" t="n">
        <f aca="true">CRITBINOM($C204,MIN(0.75,Matchup!$B$39*$B204),RAND())</f>
        <v>5</v>
      </c>
      <c r="E204" s="0" t="n">
        <f aca="true">CRITBINOM(D204,Coefficients!$B$30,RAND())</f>
        <v>0</v>
      </c>
      <c r="F204" s="0" t="n">
        <f aca="true">CRITBINOM(E204,Coefficients!$B$31,RAND())</f>
        <v>0</v>
      </c>
      <c r="G204" s="0" t="n">
        <f aca="true">CRITBINOM(MAX(0,D204-E204),1-Coefficients!$B$32,RAND())</f>
        <v>1</v>
      </c>
      <c r="H204" s="0" t="n">
        <f aca="true">CRITBINOM(MAX(0,$C204-D204),MIN(0.6,Matchup!$B$40*SQRT($B204)/(1-MIN(0.75,Matchup!$B$39*$B204))),RAND())</f>
        <v>0</v>
      </c>
      <c r="I204" s="0" t="n">
        <f aca="false">6*D204+(D204-E204-G204)+2*F204+3*H204</f>
        <v>34</v>
      </c>
      <c r="J204" s="0" t="n">
        <f aca="true">CRITBINOM($C204,MIN(0.75,Matchup!$C$39*$B204),RAND())</f>
        <v>1</v>
      </c>
      <c r="K204" s="0" t="n">
        <f aca="true">CRITBINOM(J204,Coefficients!$B$30,RAND())</f>
        <v>0</v>
      </c>
      <c r="L204" s="0" t="n">
        <f aca="true">CRITBINOM(K204,Coefficients!$B$31,RAND())</f>
        <v>0</v>
      </c>
      <c r="M204" s="0" t="n">
        <f aca="true">CRITBINOM(MAX(0,J204-K204),1-Coefficients!$B$32,RAND())</f>
        <v>0</v>
      </c>
      <c r="N204" s="0" t="n">
        <f aca="true">CRITBINOM(MAX(0,$C204-J204),MIN(0.6,Matchup!$C$40*SQRT($B204)/(1-MIN(0.75,Matchup!$C$39*$B204))),RAND())</f>
        <v>3</v>
      </c>
      <c r="O204" s="0" t="n">
        <f aca="false">6*J204+(J204-K204-M204)+2*L204+3*N204</f>
        <v>16</v>
      </c>
      <c r="P204" s="0" t="n">
        <f aca="true">RAND()</f>
        <v>0.170337819101561</v>
      </c>
      <c r="Q204" s="0" t="n">
        <f aca="true">RAND()</f>
        <v>0.945188805141459</v>
      </c>
      <c r="R204" s="0" t="n">
        <f aca="false">IF($I204&lt;&gt;$O204,0,IF(P204&lt;Matchup!$B$39,7,IF(P204&lt;Matchup!$B$39+Matchup!$B$40,3,0)))</f>
        <v>0</v>
      </c>
      <c r="S204" s="0" t="n">
        <f aca="false">IF($I204&lt;&gt;$O204,0,IF(Q204&lt;Matchup!$C$39,7,IF(Q204&lt;Matchup!$C$39+Matchup!$C$40,3,0)))</f>
        <v>0</v>
      </c>
      <c r="T204" s="0" t="n">
        <f aca="false">I204+R204</f>
        <v>34</v>
      </c>
      <c r="U204" s="0" t="n">
        <f aca="false">O204+S204</f>
        <v>16</v>
      </c>
      <c r="V204" s="0" t="n">
        <f aca="false">T204-U204</f>
        <v>18</v>
      </c>
      <c r="W204" s="0" t="n">
        <f aca="false">T204+U204</f>
        <v>50</v>
      </c>
    </row>
    <row r="205" customFormat="false" ht="15" hidden="false" customHeight="false" outlineLevel="0" collapsed="false">
      <c r="A205" s="0" t="n">
        <v>202</v>
      </c>
      <c r="B205" s="0" t="n">
        <f aca="true">NORMINV(RAND(),1,Coefficients!$B$22)</f>
        <v>0.989533866783474</v>
      </c>
      <c r="C205" s="0" t="n">
        <f aca="true">MEDIAN(8,16,ROUND(NORMINV(RAND(),Coefficients!$B$20,Coefficients!$B$21),0))</f>
        <v>11</v>
      </c>
      <c r="D205" s="0" t="n">
        <f aca="true">CRITBINOM($C205,MIN(0.75,Matchup!$B$39*$B205),RAND())</f>
        <v>4</v>
      </c>
      <c r="E205" s="0" t="n">
        <f aca="true">CRITBINOM(D205,Coefficients!$B$30,RAND())</f>
        <v>1</v>
      </c>
      <c r="F205" s="0" t="n">
        <f aca="true">CRITBINOM(E205,Coefficients!$B$31,RAND())</f>
        <v>1</v>
      </c>
      <c r="G205" s="0" t="n">
        <f aca="true">CRITBINOM(MAX(0,D205-E205),1-Coefficients!$B$32,RAND())</f>
        <v>0</v>
      </c>
      <c r="H205" s="0" t="n">
        <f aca="true">CRITBINOM(MAX(0,$C205-D205),MIN(0.6,Matchup!$B$40*SQRT($B205)/(1-MIN(0.75,Matchup!$B$39*$B205))),RAND())</f>
        <v>2</v>
      </c>
      <c r="I205" s="0" t="n">
        <f aca="false">6*D205+(D205-E205-G205)+2*F205+3*H205</f>
        <v>35</v>
      </c>
      <c r="J205" s="0" t="n">
        <f aca="true">CRITBINOM($C205,MIN(0.75,Matchup!$C$39*$B205),RAND())</f>
        <v>3</v>
      </c>
      <c r="K205" s="0" t="n">
        <f aca="true">CRITBINOM(J205,Coefficients!$B$30,RAND())</f>
        <v>0</v>
      </c>
      <c r="L205" s="0" t="n">
        <f aca="true">CRITBINOM(K205,Coefficients!$B$31,RAND())</f>
        <v>0</v>
      </c>
      <c r="M205" s="0" t="n">
        <f aca="true">CRITBINOM(MAX(0,J205-K205),1-Coefficients!$B$32,RAND())</f>
        <v>0</v>
      </c>
      <c r="N205" s="0" t="n">
        <f aca="true">CRITBINOM(MAX(0,$C205-J205),MIN(0.6,Matchup!$C$40*SQRT($B205)/(1-MIN(0.75,Matchup!$C$39*$B205))),RAND())</f>
        <v>1</v>
      </c>
      <c r="O205" s="0" t="n">
        <f aca="false">6*J205+(J205-K205-M205)+2*L205+3*N205</f>
        <v>24</v>
      </c>
      <c r="P205" s="0" t="n">
        <f aca="true">RAND()</f>
        <v>0.0157432686457373</v>
      </c>
      <c r="Q205" s="0" t="n">
        <f aca="true">RAND()</f>
        <v>0.232477810676477</v>
      </c>
      <c r="R205" s="0" t="n">
        <f aca="false">IF($I205&lt;&gt;$O205,0,IF(P205&lt;Matchup!$B$39,7,IF(P205&lt;Matchup!$B$39+Matchup!$B$40,3,0)))</f>
        <v>0</v>
      </c>
      <c r="S205" s="0" t="n">
        <f aca="false">IF($I205&lt;&gt;$O205,0,IF(Q205&lt;Matchup!$C$39,7,IF(Q205&lt;Matchup!$C$39+Matchup!$C$40,3,0)))</f>
        <v>0</v>
      </c>
      <c r="T205" s="0" t="n">
        <f aca="false">I205+R205</f>
        <v>35</v>
      </c>
      <c r="U205" s="0" t="n">
        <f aca="false">O205+S205</f>
        <v>24</v>
      </c>
      <c r="V205" s="0" t="n">
        <f aca="false">T205-U205</f>
        <v>11</v>
      </c>
      <c r="W205" s="0" t="n">
        <f aca="false">T205+U205</f>
        <v>59</v>
      </c>
    </row>
    <row r="206" customFormat="false" ht="15" hidden="false" customHeight="false" outlineLevel="0" collapsed="false">
      <c r="A206" s="0" t="n">
        <v>203</v>
      </c>
      <c r="B206" s="0" t="n">
        <f aca="true">NORMINV(RAND(),1,Coefficients!$B$22)</f>
        <v>1.05335048981836</v>
      </c>
      <c r="C206" s="0" t="n">
        <f aca="true">MEDIAN(8,16,ROUND(NORMINV(RAND(),Coefficients!$B$20,Coefficients!$B$21),0))</f>
        <v>13</v>
      </c>
      <c r="D206" s="0" t="n">
        <f aca="true">CRITBINOM($C206,MIN(0.75,Matchup!$B$39*$B206),RAND())</f>
        <v>5</v>
      </c>
      <c r="E206" s="0" t="n">
        <f aca="true">CRITBINOM(D206,Coefficients!$B$30,RAND())</f>
        <v>0</v>
      </c>
      <c r="F206" s="0" t="n">
        <f aca="true">CRITBINOM(E206,Coefficients!$B$31,RAND())</f>
        <v>0</v>
      </c>
      <c r="G206" s="0" t="n">
        <f aca="true">CRITBINOM(MAX(0,D206-E206),1-Coefficients!$B$32,RAND())</f>
        <v>0</v>
      </c>
      <c r="H206" s="0" t="n">
        <f aca="true">CRITBINOM(MAX(0,$C206-D206),MIN(0.6,Matchup!$B$40*SQRT($B206)/(1-MIN(0.75,Matchup!$B$39*$B206))),RAND())</f>
        <v>2</v>
      </c>
      <c r="I206" s="0" t="n">
        <f aca="false">6*D206+(D206-E206-G206)+2*F206+3*H206</f>
        <v>41</v>
      </c>
      <c r="J206" s="0" t="n">
        <f aca="true">CRITBINOM($C206,MIN(0.75,Matchup!$C$39*$B206),RAND())</f>
        <v>3</v>
      </c>
      <c r="K206" s="0" t="n">
        <f aca="true">CRITBINOM(J206,Coefficients!$B$30,RAND())</f>
        <v>1</v>
      </c>
      <c r="L206" s="0" t="n">
        <f aca="true">CRITBINOM(K206,Coefficients!$B$31,RAND())</f>
        <v>1</v>
      </c>
      <c r="M206" s="0" t="n">
        <f aca="true">CRITBINOM(MAX(0,J206-K206),1-Coefficients!$B$32,RAND())</f>
        <v>0</v>
      </c>
      <c r="N206" s="0" t="n">
        <f aca="true">CRITBINOM(MAX(0,$C206-J206),MIN(0.6,Matchup!$C$40*SQRT($B206)/(1-MIN(0.75,Matchup!$C$39*$B206))),RAND())</f>
        <v>2</v>
      </c>
      <c r="O206" s="0" t="n">
        <f aca="false">6*J206+(J206-K206-M206)+2*L206+3*N206</f>
        <v>28</v>
      </c>
      <c r="P206" s="0" t="n">
        <f aca="true">RAND()</f>
        <v>0.39491443238806</v>
      </c>
      <c r="Q206" s="0" t="n">
        <f aca="true">RAND()</f>
        <v>0.576162454796509</v>
      </c>
      <c r="R206" s="0" t="n">
        <f aca="false">IF($I206&lt;&gt;$O206,0,IF(P206&lt;Matchup!$B$39,7,IF(P206&lt;Matchup!$B$39+Matchup!$B$40,3,0)))</f>
        <v>0</v>
      </c>
      <c r="S206" s="0" t="n">
        <f aca="false">IF($I206&lt;&gt;$O206,0,IF(Q206&lt;Matchup!$C$39,7,IF(Q206&lt;Matchup!$C$39+Matchup!$C$40,3,0)))</f>
        <v>0</v>
      </c>
      <c r="T206" s="0" t="n">
        <f aca="false">I206+R206</f>
        <v>41</v>
      </c>
      <c r="U206" s="0" t="n">
        <f aca="false">O206+S206</f>
        <v>28</v>
      </c>
      <c r="V206" s="0" t="n">
        <f aca="false">T206-U206</f>
        <v>13</v>
      </c>
      <c r="W206" s="0" t="n">
        <f aca="false">T206+U206</f>
        <v>69</v>
      </c>
    </row>
    <row r="207" customFormat="false" ht="15" hidden="false" customHeight="false" outlineLevel="0" collapsed="false">
      <c r="A207" s="0" t="n">
        <v>204</v>
      </c>
      <c r="B207" s="0" t="n">
        <f aca="true">NORMINV(RAND(),1,Coefficients!$B$22)</f>
        <v>0.976993456374031</v>
      </c>
      <c r="C207" s="0" t="n">
        <f aca="true">MEDIAN(8,16,ROUND(NORMINV(RAND(),Coefficients!$B$20,Coefficients!$B$21),0))</f>
        <v>10</v>
      </c>
      <c r="D207" s="0" t="n">
        <f aca="true">CRITBINOM($C207,MIN(0.75,Matchup!$B$39*$B207),RAND())</f>
        <v>6</v>
      </c>
      <c r="E207" s="0" t="n">
        <f aca="true">CRITBINOM(D207,Coefficients!$B$30,RAND())</f>
        <v>4</v>
      </c>
      <c r="F207" s="0" t="n">
        <f aca="true">CRITBINOM(E207,Coefficients!$B$31,RAND())</f>
        <v>1</v>
      </c>
      <c r="G207" s="0" t="n">
        <f aca="true">CRITBINOM(MAX(0,D207-E207),1-Coefficients!$B$32,RAND())</f>
        <v>0</v>
      </c>
      <c r="H207" s="0" t="n">
        <f aca="true">CRITBINOM(MAX(0,$C207-D207),MIN(0.6,Matchup!$B$40*SQRT($B207)/(1-MIN(0.75,Matchup!$B$39*$B207))),RAND())</f>
        <v>0</v>
      </c>
      <c r="I207" s="0" t="n">
        <f aca="false">6*D207+(D207-E207-G207)+2*F207+3*H207</f>
        <v>40</v>
      </c>
      <c r="J207" s="0" t="n">
        <f aca="true">CRITBINOM($C207,MIN(0.75,Matchup!$C$39*$B207),RAND())</f>
        <v>1</v>
      </c>
      <c r="K207" s="0" t="n">
        <f aca="true">CRITBINOM(J207,Coefficients!$B$30,RAND())</f>
        <v>0</v>
      </c>
      <c r="L207" s="0" t="n">
        <f aca="true">CRITBINOM(K207,Coefficients!$B$31,RAND())</f>
        <v>0</v>
      </c>
      <c r="M207" s="0" t="n">
        <f aca="true">CRITBINOM(MAX(0,J207-K207),1-Coefficients!$B$32,RAND())</f>
        <v>0</v>
      </c>
      <c r="N207" s="0" t="n">
        <f aca="true">CRITBINOM(MAX(0,$C207-J207),MIN(0.6,Matchup!$C$40*SQRT($B207)/(1-MIN(0.75,Matchup!$C$39*$B207))),RAND())</f>
        <v>2</v>
      </c>
      <c r="O207" s="0" t="n">
        <f aca="false">6*J207+(J207-K207-M207)+2*L207+3*N207</f>
        <v>13</v>
      </c>
      <c r="P207" s="0" t="n">
        <f aca="true">RAND()</f>
        <v>0.192866675494576</v>
      </c>
      <c r="Q207" s="0" t="n">
        <f aca="true">RAND()</f>
        <v>0.998637667337415</v>
      </c>
      <c r="R207" s="0" t="n">
        <f aca="false">IF($I207&lt;&gt;$O207,0,IF(P207&lt;Matchup!$B$39,7,IF(P207&lt;Matchup!$B$39+Matchup!$B$40,3,0)))</f>
        <v>0</v>
      </c>
      <c r="S207" s="0" t="n">
        <f aca="false">IF($I207&lt;&gt;$O207,0,IF(Q207&lt;Matchup!$C$39,7,IF(Q207&lt;Matchup!$C$39+Matchup!$C$40,3,0)))</f>
        <v>0</v>
      </c>
      <c r="T207" s="0" t="n">
        <f aca="false">I207+R207</f>
        <v>40</v>
      </c>
      <c r="U207" s="0" t="n">
        <f aca="false">O207+S207</f>
        <v>13</v>
      </c>
      <c r="V207" s="0" t="n">
        <f aca="false">T207-U207</f>
        <v>27</v>
      </c>
      <c r="W207" s="0" t="n">
        <f aca="false">T207+U207</f>
        <v>53</v>
      </c>
    </row>
    <row r="208" customFormat="false" ht="15" hidden="false" customHeight="false" outlineLevel="0" collapsed="false">
      <c r="A208" s="0" t="n">
        <v>205</v>
      </c>
      <c r="B208" s="0" t="n">
        <f aca="true">NORMINV(RAND(),1,Coefficients!$B$22)</f>
        <v>1.04513559463183</v>
      </c>
      <c r="C208" s="0" t="n">
        <f aca="true">MEDIAN(8,16,ROUND(NORMINV(RAND(),Coefficients!$B$20,Coefficients!$B$21),0))</f>
        <v>11</v>
      </c>
      <c r="D208" s="0" t="n">
        <f aca="true">CRITBINOM($C208,MIN(0.75,Matchup!$B$39*$B208),RAND())</f>
        <v>3</v>
      </c>
      <c r="E208" s="0" t="n">
        <f aca="true">CRITBINOM(D208,Coefficients!$B$30,RAND())</f>
        <v>1</v>
      </c>
      <c r="F208" s="0" t="n">
        <f aca="true">CRITBINOM(E208,Coefficients!$B$31,RAND())</f>
        <v>1</v>
      </c>
      <c r="G208" s="0" t="n">
        <f aca="true">CRITBINOM(MAX(0,D208-E208),1-Coefficients!$B$32,RAND())</f>
        <v>0</v>
      </c>
      <c r="H208" s="0" t="n">
        <f aca="true">CRITBINOM(MAX(0,$C208-D208),MIN(0.6,Matchup!$B$40*SQRT($B208)/(1-MIN(0.75,Matchup!$B$39*$B208))),RAND())</f>
        <v>0</v>
      </c>
      <c r="I208" s="0" t="n">
        <f aca="false">6*D208+(D208-E208-G208)+2*F208+3*H208</f>
        <v>22</v>
      </c>
      <c r="J208" s="0" t="n">
        <f aca="true">CRITBINOM($C208,MIN(0.75,Matchup!$C$39*$B208),RAND())</f>
        <v>2</v>
      </c>
      <c r="K208" s="0" t="n">
        <f aca="true">CRITBINOM(J208,Coefficients!$B$30,RAND())</f>
        <v>0</v>
      </c>
      <c r="L208" s="0" t="n">
        <f aca="true">CRITBINOM(K208,Coefficients!$B$31,RAND())</f>
        <v>0</v>
      </c>
      <c r="M208" s="0" t="n">
        <f aca="true">CRITBINOM(MAX(0,J208-K208),1-Coefficients!$B$32,RAND())</f>
        <v>0</v>
      </c>
      <c r="N208" s="0" t="n">
        <f aca="true">CRITBINOM(MAX(0,$C208-J208),MIN(0.6,Matchup!$C$40*SQRT($B208)/(1-MIN(0.75,Matchup!$C$39*$B208))),RAND())</f>
        <v>2</v>
      </c>
      <c r="O208" s="0" t="n">
        <f aca="false">6*J208+(J208-K208-M208)+2*L208+3*N208</f>
        <v>20</v>
      </c>
      <c r="P208" s="0" t="n">
        <f aca="true">RAND()</f>
        <v>0.674306681860068</v>
      </c>
      <c r="Q208" s="0" t="n">
        <f aca="true">RAND()</f>
        <v>0.172103138421975</v>
      </c>
      <c r="R208" s="0" t="n">
        <f aca="false">IF($I208&lt;&gt;$O208,0,IF(P208&lt;Matchup!$B$39,7,IF(P208&lt;Matchup!$B$39+Matchup!$B$40,3,0)))</f>
        <v>0</v>
      </c>
      <c r="S208" s="0" t="n">
        <f aca="false">IF($I208&lt;&gt;$O208,0,IF(Q208&lt;Matchup!$C$39,7,IF(Q208&lt;Matchup!$C$39+Matchup!$C$40,3,0)))</f>
        <v>0</v>
      </c>
      <c r="T208" s="0" t="n">
        <f aca="false">I208+R208</f>
        <v>22</v>
      </c>
      <c r="U208" s="0" t="n">
        <f aca="false">O208+S208</f>
        <v>20</v>
      </c>
      <c r="V208" s="0" t="n">
        <f aca="false">T208-U208</f>
        <v>2</v>
      </c>
      <c r="W208" s="0" t="n">
        <f aca="false">T208+U208</f>
        <v>42</v>
      </c>
    </row>
    <row r="209" customFormat="false" ht="15" hidden="false" customHeight="false" outlineLevel="0" collapsed="false">
      <c r="A209" s="0" t="n">
        <v>206</v>
      </c>
      <c r="B209" s="0" t="n">
        <f aca="true">NORMINV(RAND(),1,Coefficients!$B$22)</f>
        <v>0.870127456370002</v>
      </c>
      <c r="C209" s="0" t="n">
        <f aca="true">MEDIAN(8,16,ROUND(NORMINV(RAND(),Coefficients!$B$20,Coefficients!$B$21),0))</f>
        <v>12</v>
      </c>
      <c r="D209" s="0" t="n">
        <f aca="true">CRITBINOM($C209,MIN(0.75,Matchup!$B$39*$B209),RAND())</f>
        <v>3</v>
      </c>
      <c r="E209" s="0" t="n">
        <f aca="true">CRITBINOM(D209,Coefficients!$B$30,RAND())</f>
        <v>0</v>
      </c>
      <c r="F209" s="0" t="n">
        <f aca="true">CRITBINOM(E209,Coefficients!$B$31,RAND())</f>
        <v>0</v>
      </c>
      <c r="G209" s="0" t="n">
        <f aca="true">CRITBINOM(MAX(0,D209-E209),1-Coefficients!$B$32,RAND())</f>
        <v>0</v>
      </c>
      <c r="H209" s="0" t="n">
        <f aca="true">CRITBINOM(MAX(0,$C209-D209),MIN(0.6,Matchup!$B$40*SQRT($B209)/(1-MIN(0.75,Matchup!$B$39*$B209))),RAND())</f>
        <v>0</v>
      </c>
      <c r="I209" s="0" t="n">
        <f aca="false">6*D209+(D209-E209-G209)+2*F209+3*H209</f>
        <v>21</v>
      </c>
      <c r="J209" s="0" t="n">
        <f aca="true">CRITBINOM($C209,MIN(0.75,Matchup!$C$39*$B209),RAND())</f>
        <v>3</v>
      </c>
      <c r="K209" s="0" t="n">
        <f aca="true">CRITBINOM(J209,Coefficients!$B$30,RAND())</f>
        <v>0</v>
      </c>
      <c r="L209" s="0" t="n">
        <f aca="true">CRITBINOM(K209,Coefficients!$B$31,RAND())</f>
        <v>0</v>
      </c>
      <c r="M209" s="0" t="n">
        <f aca="true">CRITBINOM(MAX(0,J209-K209),1-Coefficients!$B$32,RAND())</f>
        <v>1</v>
      </c>
      <c r="N209" s="0" t="n">
        <f aca="true">CRITBINOM(MAX(0,$C209-J209),MIN(0.6,Matchup!$C$40*SQRT($B209)/(1-MIN(0.75,Matchup!$C$39*$B209))),RAND())</f>
        <v>1</v>
      </c>
      <c r="O209" s="0" t="n">
        <f aca="false">6*J209+(J209-K209-M209)+2*L209+3*N209</f>
        <v>23</v>
      </c>
      <c r="P209" s="0" t="n">
        <f aca="true">RAND()</f>
        <v>0.927959640909821</v>
      </c>
      <c r="Q209" s="0" t="n">
        <f aca="true">RAND()</f>
        <v>0.620415984691851</v>
      </c>
      <c r="R209" s="0" t="n">
        <f aca="false">IF($I209&lt;&gt;$O209,0,IF(P209&lt;Matchup!$B$39,7,IF(P209&lt;Matchup!$B$39+Matchup!$B$40,3,0)))</f>
        <v>0</v>
      </c>
      <c r="S209" s="0" t="n">
        <f aca="false">IF($I209&lt;&gt;$O209,0,IF(Q209&lt;Matchup!$C$39,7,IF(Q209&lt;Matchup!$C$39+Matchup!$C$40,3,0)))</f>
        <v>0</v>
      </c>
      <c r="T209" s="0" t="n">
        <f aca="false">I209+R209</f>
        <v>21</v>
      </c>
      <c r="U209" s="0" t="n">
        <f aca="false">O209+S209</f>
        <v>23</v>
      </c>
      <c r="V209" s="0" t="n">
        <f aca="false">T209-U209</f>
        <v>-2</v>
      </c>
      <c r="W209" s="0" t="n">
        <f aca="false">T209+U209</f>
        <v>44</v>
      </c>
    </row>
    <row r="210" customFormat="false" ht="15" hidden="false" customHeight="false" outlineLevel="0" collapsed="false">
      <c r="A210" s="0" t="n">
        <v>207</v>
      </c>
      <c r="B210" s="0" t="n">
        <f aca="true">NORMINV(RAND(),1,Coefficients!$B$22)</f>
        <v>1.12997146340237</v>
      </c>
      <c r="C210" s="0" t="n">
        <f aca="true">MEDIAN(8,16,ROUND(NORMINV(RAND(),Coefficients!$B$20,Coefficients!$B$21),0))</f>
        <v>11</v>
      </c>
      <c r="D210" s="0" t="n">
        <f aca="true">CRITBINOM($C210,MIN(0.75,Matchup!$B$39*$B210),RAND())</f>
        <v>4</v>
      </c>
      <c r="E210" s="0" t="n">
        <f aca="true">CRITBINOM(D210,Coefficients!$B$30,RAND())</f>
        <v>1</v>
      </c>
      <c r="F210" s="0" t="n">
        <f aca="true">CRITBINOM(E210,Coefficients!$B$31,RAND())</f>
        <v>1</v>
      </c>
      <c r="G210" s="0" t="n">
        <f aca="true">CRITBINOM(MAX(0,D210-E210),1-Coefficients!$B$32,RAND())</f>
        <v>0</v>
      </c>
      <c r="H210" s="0" t="n">
        <f aca="true">CRITBINOM(MAX(0,$C210-D210),MIN(0.6,Matchup!$B$40*SQRT($B210)/(1-MIN(0.75,Matchup!$B$39*$B210))),RAND())</f>
        <v>1</v>
      </c>
      <c r="I210" s="0" t="n">
        <f aca="false">6*D210+(D210-E210-G210)+2*F210+3*H210</f>
        <v>32</v>
      </c>
      <c r="J210" s="0" t="n">
        <f aca="true">CRITBINOM($C210,MIN(0.75,Matchup!$C$39*$B210),RAND())</f>
        <v>0</v>
      </c>
      <c r="K210" s="0" t="n">
        <f aca="true">CRITBINOM(J210,Coefficients!$B$30,RAND())</f>
        <v>0</v>
      </c>
      <c r="L210" s="0" t="n">
        <f aca="true">CRITBINOM(K210,Coefficients!$B$31,RAND())</f>
        <v>0</v>
      </c>
      <c r="M210" s="0" t="n">
        <f aca="true">CRITBINOM(MAX(0,J210-K210),1-Coefficients!$B$32,RAND())</f>
        <v>0</v>
      </c>
      <c r="N210" s="0" t="n">
        <f aca="true">CRITBINOM(MAX(0,$C210-J210),MIN(0.6,Matchup!$C$40*SQRT($B210)/(1-MIN(0.75,Matchup!$C$39*$B210))),RAND())</f>
        <v>3</v>
      </c>
      <c r="O210" s="0" t="n">
        <f aca="false">6*J210+(J210-K210-M210)+2*L210+3*N210</f>
        <v>9</v>
      </c>
      <c r="P210" s="0" t="n">
        <f aca="true">RAND()</f>
        <v>0.0315495184651742</v>
      </c>
      <c r="Q210" s="0" t="n">
        <f aca="true">RAND()</f>
        <v>0.891747354196693</v>
      </c>
      <c r="R210" s="0" t="n">
        <f aca="false">IF($I210&lt;&gt;$O210,0,IF(P210&lt;Matchup!$B$39,7,IF(P210&lt;Matchup!$B$39+Matchup!$B$40,3,0)))</f>
        <v>0</v>
      </c>
      <c r="S210" s="0" t="n">
        <f aca="false">IF($I210&lt;&gt;$O210,0,IF(Q210&lt;Matchup!$C$39,7,IF(Q210&lt;Matchup!$C$39+Matchup!$C$40,3,0)))</f>
        <v>0</v>
      </c>
      <c r="T210" s="0" t="n">
        <f aca="false">I210+R210</f>
        <v>32</v>
      </c>
      <c r="U210" s="0" t="n">
        <f aca="false">O210+S210</f>
        <v>9</v>
      </c>
      <c r="V210" s="0" t="n">
        <f aca="false">T210-U210</f>
        <v>23</v>
      </c>
      <c r="W210" s="0" t="n">
        <f aca="false">T210+U210</f>
        <v>41</v>
      </c>
    </row>
    <row r="211" customFormat="false" ht="15" hidden="false" customHeight="false" outlineLevel="0" collapsed="false">
      <c r="A211" s="0" t="n">
        <v>208</v>
      </c>
      <c r="B211" s="0" t="n">
        <f aca="true">NORMINV(RAND(),1,Coefficients!$B$22)</f>
        <v>0.985484873911625</v>
      </c>
      <c r="C211" s="0" t="n">
        <f aca="true">MEDIAN(8,16,ROUND(NORMINV(RAND(),Coefficients!$B$20,Coefficients!$B$21),0))</f>
        <v>11</v>
      </c>
      <c r="D211" s="0" t="n">
        <f aca="true">CRITBINOM($C211,MIN(0.75,Matchup!$B$39*$B211),RAND())</f>
        <v>2</v>
      </c>
      <c r="E211" s="0" t="n">
        <f aca="true">CRITBINOM(D211,Coefficients!$B$30,RAND())</f>
        <v>0</v>
      </c>
      <c r="F211" s="0" t="n">
        <f aca="true">CRITBINOM(E211,Coefficients!$B$31,RAND())</f>
        <v>0</v>
      </c>
      <c r="G211" s="0" t="n">
        <f aca="true">CRITBINOM(MAX(0,D211-E211),1-Coefficients!$B$32,RAND())</f>
        <v>0</v>
      </c>
      <c r="H211" s="0" t="n">
        <f aca="true">CRITBINOM(MAX(0,$C211-D211),MIN(0.6,Matchup!$B$40*SQRT($B211)/(1-MIN(0.75,Matchup!$B$39*$B211))),RAND())</f>
        <v>4</v>
      </c>
      <c r="I211" s="0" t="n">
        <f aca="false">6*D211+(D211-E211-G211)+2*F211+3*H211</f>
        <v>26</v>
      </c>
      <c r="J211" s="0" t="n">
        <f aca="true">CRITBINOM($C211,MIN(0.75,Matchup!$C$39*$B211),RAND())</f>
        <v>2</v>
      </c>
      <c r="K211" s="0" t="n">
        <f aca="true">CRITBINOM(J211,Coefficients!$B$30,RAND())</f>
        <v>0</v>
      </c>
      <c r="L211" s="0" t="n">
        <f aca="true">CRITBINOM(K211,Coefficients!$B$31,RAND())</f>
        <v>0</v>
      </c>
      <c r="M211" s="0" t="n">
        <f aca="true">CRITBINOM(MAX(0,J211-K211),1-Coefficients!$B$32,RAND())</f>
        <v>0</v>
      </c>
      <c r="N211" s="0" t="n">
        <f aca="true">CRITBINOM(MAX(0,$C211-J211),MIN(0.6,Matchup!$C$40*SQRT($B211)/(1-MIN(0.75,Matchup!$C$39*$B211))),RAND())</f>
        <v>1</v>
      </c>
      <c r="O211" s="0" t="n">
        <f aca="false">6*J211+(J211-K211-M211)+2*L211+3*N211</f>
        <v>17</v>
      </c>
      <c r="P211" s="0" t="n">
        <f aca="true">RAND()</f>
        <v>0.944191980571714</v>
      </c>
      <c r="Q211" s="0" t="n">
        <f aca="true">RAND()</f>
        <v>0.384871914940857</v>
      </c>
      <c r="R211" s="0" t="n">
        <f aca="false">IF($I211&lt;&gt;$O211,0,IF(P211&lt;Matchup!$B$39,7,IF(P211&lt;Matchup!$B$39+Matchup!$B$40,3,0)))</f>
        <v>0</v>
      </c>
      <c r="S211" s="0" t="n">
        <f aca="false">IF($I211&lt;&gt;$O211,0,IF(Q211&lt;Matchup!$C$39,7,IF(Q211&lt;Matchup!$C$39+Matchup!$C$40,3,0)))</f>
        <v>0</v>
      </c>
      <c r="T211" s="0" t="n">
        <f aca="false">I211+R211</f>
        <v>26</v>
      </c>
      <c r="U211" s="0" t="n">
        <f aca="false">O211+S211</f>
        <v>17</v>
      </c>
      <c r="V211" s="0" t="n">
        <f aca="false">T211-U211</f>
        <v>9</v>
      </c>
      <c r="W211" s="0" t="n">
        <f aca="false">T211+U211</f>
        <v>43</v>
      </c>
    </row>
    <row r="212" customFormat="false" ht="15" hidden="false" customHeight="false" outlineLevel="0" collapsed="false">
      <c r="A212" s="0" t="n">
        <v>209</v>
      </c>
      <c r="B212" s="0" t="n">
        <f aca="true">NORMINV(RAND(),1,Coefficients!$B$22)</f>
        <v>1.01044086035021</v>
      </c>
      <c r="C212" s="0" t="n">
        <f aca="true">MEDIAN(8,16,ROUND(NORMINV(RAND(),Coefficients!$B$20,Coefficients!$B$21),0))</f>
        <v>11</v>
      </c>
      <c r="D212" s="0" t="n">
        <f aca="true">CRITBINOM($C212,MIN(0.75,Matchup!$B$39*$B212),RAND())</f>
        <v>4</v>
      </c>
      <c r="E212" s="0" t="n">
        <f aca="true">CRITBINOM(D212,Coefficients!$B$30,RAND())</f>
        <v>0</v>
      </c>
      <c r="F212" s="0" t="n">
        <f aca="true">CRITBINOM(E212,Coefficients!$B$31,RAND())</f>
        <v>0</v>
      </c>
      <c r="G212" s="0" t="n">
        <f aca="true">CRITBINOM(MAX(0,D212-E212),1-Coefficients!$B$32,RAND())</f>
        <v>0</v>
      </c>
      <c r="H212" s="0" t="n">
        <f aca="true">CRITBINOM(MAX(0,$C212-D212),MIN(0.6,Matchup!$B$40*SQRT($B212)/(1-MIN(0.75,Matchup!$B$39*$B212))),RAND())</f>
        <v>2</v>
      </c>
      <c r="I212" s="0" t="n">
        <f aca="false">6*D212+(D212-E212-G212)+2*F212+3*H212</f>
        <v>34</v>
      </c>
      <c r="J212" s="0" t="n">
        <f aca="true">CRITBINOM($C212,MIN(0.75,Matchup!$C$39*$B212),RAND())</f>
        <v>4</v>
      </c>
      <c r="K212" s="0" t="n">
        <f aca="true">CRITBINOM(J212,Coefficients!$B$30,RAND())</f>
        <v>2</v>
      </c>
      <c r="L212" s="0" t="n">
        <f aca="true">CRITBINOM(K212,Coefficients!$B$31,RAND())</f>
        <v>0</v>
      </c>
      <c r="M212" s="0" t="n">
        <f aca="true">CRITBINOM(MAX(0,J212-K212),1-Coefficients!$B$32,RAND())</f>
        <v>0</v>
      </c>
      <c r="N212" s="0" t="n">
        <f aca="true">CRITBINOM(MAX(0,$C212-J212),MIN(0.6,Matchup!$C$40*SQRT($B212)/(1-MIN(0.75,Matchup!$C$39*$B212))),RAND())</f>
        <v>0</v>
      </c>
      <c r="O212" s="0" t="n">
        <f aca="false">6*J212+(J212-K212-M212)+2*L212+3*N212</f>
        <v>26</v>
      </c>
      <c r="P212" s="0" t="n">
        <f aca="true">RAND()</f>
        <v>0.494434146851672</v>
      </c>
      <c r="Q212" s="0" t="n">
        <f aca="true">RAND()</f>
        <v>0.430235112779844</v>
      </c>
      <c r="R212" s="0" t="n">
        <f aca="false">IF($I212&lt;&gt;$O212,0,IF(P212&lt;Matchup!$B$39,7,IF(P212&lt;Matchup!$B$39+Matchup!$B$40,3,0)))</f>
        <v>0</v>
      </c>
      <c r="S212" s="0" t="n">
        <f aca="false">IF($I212&lt;&gt;$O212,0,IF(Q212&lt;Matchup!$C$39,7,IF(Q212&lt;Matchup!$C$39+Matchup!$C$40,3,0)))</f>
        <v>0</v>
      </c>
      <c r="T212" s="0" t="n">
        <f aca="false">I212+R212</f>
        <v>34</v>
      </c>
      <c r="U212" s="0" t="n">
        <f aca="false">O212+S212</f>
        <v>26</v>
      </c>
      <c r="V212" s="0" t="n">
        <f aca="false">T212-U212</f>
        <v>8</v>
      </c>
      <c r="W212" s="0" t="n">
        <f aca="false">T212+U212</f>
        <v>60</v>
      </c>
    </row>
    <row r="213" customFormat="false" ht="15" hidden="false" customHeight="false" outlineLevel="0" collapsed="false">
      <c r="A213" s="0" t="n">
        <v>210</v>
      </c>
      <c r="B213" s="0" t="n">
        <f aca="true">NORMINV(RAND(),1,Coefficients!$B$22)</f>
        <v>1.00906875901385</v>
      </c>
      <c r="C213" s="0" t="n">
        <f aca="true">MEDIAN(8,16,ROUND(NORMINV(RAND(),Coefficients!$B$20,Coefficients!$B$21),0))</f>
        <v>11</v>
      </c>
      <c r="D213" s="0" t="n">
        <f aca="true">CRITBINOM($C213,MIN(0.75,Matchup!$B$39*$B213),RAND())</f>
        <v>0</v>
      </c>
      <c r="E213" s="0" t="n">
        <f aca="true">CRITBINOM(D213,Coefficients!$B$30,RAND())</f>
        <v>0</v>
      </c>
      <c r="F213" s="0" t="n">
        <f aca="true">CRITBINOM(E213,Coefficients!$B$31,RAND())</f>
        <v>0</v>
      </c>
      <c r="G213" s="0" t="n">
        <f aca="true">CRITBINOM(MAX(0,D213-E213),1-Coefficients!$B$32,RAND())</f>
        <v>0</v>
      </c>
      <c r="H213" s="0" t="n">
        <f aca="true">CRITBINOM(MAX(0,$C213-D213),MIN(0.6,Matchup!$B$40*SQRT($B213)/(1-MIN(0.75,Matchup!$B$39*$B213))),RAND())</f>
        <v>3</v>
      </c>
      <c r="I213" s="0" t="n">
        <f aca="false">6*D213+(D213-E213-G213)+2*F213+3*H213</f>
        <v>9</v>
      </c>
      <c r="J213" s="0" t="n">
        <f aca="true">CRITBINOM($C213,MIN(0.75,Matchup!$C$39*$B213),RAND())</f>
        <v>4</v>
      </c>
      <c r="K213" s="0" t="n">
        <f aca="true">CRITBINOM(J213,Coefficients!$B$30,RAND())</f>
        <v>1</v>
      </c>
      <c r="L213" s="0" t="n">
        <f aca="true">CRITBINOM(K213,Coefficients!$B$31,RAND())</f>
        <v>0</v>
      </c>
      <c r="M213" s="0" t="n">
        <f aca="true">CRITBINOM(MAX(0,J213-K213),1-Coefficients!$B$32,RAND())</f>
        <v>0</v>
      </c>
      <c r="N213" s="0" t="n">
        <f aca="true">CRITBINOM(MAX(0,$C213-J213),MIN(0.6,Matchup!$C$40*SQRT($B213)/(1-MIN(0.75,Matchup!$C$39*$B213))),RAND())</f>
        <v>1</v>
      </c>
      <c r="O213" s="0" t="n">
        <f aca="false">6*J213+(J213-K213-M213)+2*L213+3*N213</f>
        <v>30</v>
      </c>
      <c r="P213" s="0" t="n">
        <f aca="true">RAND()</f>
        <v>0.166015405995874</v>
      </c>
      <c r="Q213" s="0" t="n">
        <f aca="true">RAND()</f>
        <v>0.857447176170113</v>
      </c>
      <c r="R213" s="0" t="n">
        <f aca="false">IF($I213&lt;&gt;$O213,0,IF(P213&lt;Matchup!$B$39,7,IF(P213&lt;Matchup!$B$39+Matchup!$B$40,3,0)))</f>
        <v>0</v>
      </c>
      <c r="S213" s="0" t="n">
        <f aca="false">IF($I213&lt;&gt;$O213,0,IF(Q213&lt;Matchup!$C$39,7,IF(Q213&lt;Matchup!$C$39+Matchup!$C$40,3,0)))</f>
        <v>0</v>
      </c>
      <c r="T213" s="0" t="n">
        <f aca="false">I213+R213</f>
        <v>9</v>
      </c>
      <c r="U213" s="0" t="n">
        <f aca="false">O213+S213</f>
        <v>30</v>
      </c>
      <c r="V213" s="0" t="n">
        <f aca="false">T213-U213</f>
        <v>-21</v>
      </c>
      <c r="W213" s="0" t="n">
        <f aca="false">T213+U213</f>
        <v>39</v>
      </c>
    </row>
    <row r="214" customFormat="false" ht="15" hidden="false" customHeight="false" outlineLevel="0" collapsed="false">
      <c r="A214" s="0" t="n">
        <v>211</v>
      </c>
      <c r="B214" s="0" t="n">
        <f aca="true">NORMINV(RAND(),1,Coefficients!$B$22)</f>
        <v>1.06761618362403</v>
      </c>
      <c r="C214" s="0" t="n">
        <f aca="true">MEDIAN(8,16,ROUND(NORMINV(RAND(),Coefficients!$B$20,Coefficients!$B$21),0))</f>
        <v>9</v>
      </c>
      <c r="D214" s="0" t="n">
        <f aca="true">CRITBINOM($C214,MIN(0.75,Matchup!$B$39*$B214),RAND())</f>
        <v>3</v>
      </c>
      <c r="E214" s="0" t="n">
        <f aca="true">CRITBINOM(D214,Coefficients!$B$30,RAND())</f>
        <v>1</v>
      </c>
      <c r="F214" s="0" t="n">
        <f aca="true">CRITBINOM(E214,Coefficients!$B$31,RAND())</f>
        <v>1</v>
      </c>
      <c r="G214" s="0" t="n">
        <f aca="true">CRITBINOM(MAX(0,D214-E214),1-Coefficients!$B$32,RAND())</f>
        <v>0</v>
      </c>
      <c r="H214" s="0" t="n">
        <f aca="true">CRITBINOM(MAX(0,$C214-D214),MIN(0.6,Matchup!$B$40*SQRT($B214)/(1-MIN(0.75,Matchup!$B$39*$B214))),RAND())</f>
        <v>1</v>
      </c>
      <c r="I214" s="0" t="n">
        <f aca="false">6*D214+(D214-E214-G214)+2*F214+3*H214</f>
        <v>25</v>
      </c>
      <c r="J214" s="0" t="n">
        <f aca="true">CRITBINOM($C214,MIN(0.75,Matchup!$C$39*$B214),RAND())</f>
        <v>1</v>
      </c>
      <c r="K214" s="0" t="n">
        <f aca="true">CRITBINOM(J214,Coefficients!$B$30,RAND())</f>
        <v>0</v>
      </c>
      <c r="L214" s="0" t="n">
        <f aca="true">CRITBINOM(K214,Coefficients!$B$31,RAND())</f>
        <v>0</v>
      </c>
      <c r="M214" s="0" t="n">
        <f aca="true">CRITBINOM(MAX(0,J214-K214),1-Coefficients!$B$32,RAND())</f>
        <v>1</v>
      </c>
      <c r="N214" s="0" t="n">
        <f aca="true">CRITBINOM(MAX(0,$C214-J214),MIN(0.6,Matchup!$C$40*SQRT($B214)/(1-MIN(0.75,Matchup!$C$39*$B214))),RAND())</f>
        <v>1</v>
      </c>
      <c r="O214" s="0" t="n">
        <f aca="false">6*J214+(J214-K214-M214)+2*L214+3*N214</f>
        <v>9</v>
      </c>
      <c r="P214" s="0" t="n">
        <f aca="true">RAND()</f>
        <v>0.669032465477141</v>
      </c>
      <c r="Q214" s="0" t="n">
        <f aca="true">RAND()</f>
        <v>0.877967407432479</v>
      </c>
      <c r="R214" s="0" t="n">
        <f aca="false">IF($I214&lt;&gt;$O214,0,IF(P214&lt;Matchup!$B$39,7,IF(P214&lt;Matchup!$B$39+Matchup!$B$40,3,0)))</f>
        <v>0</v>
      </c>
      <c r="S214" s="0" t="n">
        <f aca="false">IF($I214&lt;&gt;$O214,0,IF(Q214&lt;Matchup!$C$39,7,IF(Q214&lt;Matchup!$C$39+Matchup!$C$40,3,0)))</f>
        <v>0</v>
      </c>
      <c r="T214" s="0" t="n">
        <f aca="false">I214+R214</f>
        <v>25</v>
      </c>
      <c r="U214" s="0" t="n">
        <f aca="false">O214+S214</f>
        <v>9</v>
      </c>
      <c r="V214" s="0" t="n">
        <f aca="false">T214-U214</f>
        <v>16</v>
      </c>
      <c r="W214" s="0" t="n">
        <f aca="false">T214+U214</f>
        <v>34</v>
      </c>
    </row>
    <row r="215" customFormat="false" ht="15" hidden="false" customHeight="false" outlineLevel="0" collapsed="false">
      <c r="A215" s="0" t="n">
        <v>212</v>
      </c>
      <c r="B215" s="0" t="n">
        <f aca="true">NORMINV(RAND(),1,Coefficients!$B$22)</f>
        <v>1.14264386203362</v>
      </c>
      <c r="C215" s="0" t="n">
        <f aca="true">MEDIAN(8,16,ROUND(NORMINV(RAND(),Coefficients!$B$20,Coefficients!$B$21),0))</f>
        <v>10</v>
      </c>
      <c r="D215" s="0" t="n">
        <f aca="true">CRITBINOM($C215,MIN(0.75,Matchup!$B$39*$B215),RAND())</f>
        <v>1</v>
      </c>
      <c r="E215" s="0" t="n">
        <f aca="true">CRITBINOM(D215,Coefficients!$B$30,RAND())</f>
        <v>1</v>
      </c>
      <c r="F215" s="0" t="n">
        <f aca="true">CRITBINOM(E215,Coefficients!$B$31,RAND())</f>
        <v>1</v>
      </c>
      <c r="G215" s="0" t="n">
        <f aca="true">CRITBINOM(MAX(0,D215-E215),1-Coefficients!$B$32,RAND())</f>
        <v>0</v>
      </c>
      <c r="H215" s="0" t="n">
        <f aca="true">CRITBINOM(MAX(0,$C215-D215),MIN(0.6,Matchup!$B$40*SQRT($B215)/(1-MIN(0.75,Matchup!$B$39*$B215))),RAND())</f>
        <v>1</v>
      </c>
      <c r="I215" s="0" t="n">
        <f aca="false">6*D215+(D215-E215-G215)+2*F215+3*H215</f>
        <v>11</v>
      </c>
      <c r="J215" s="0" t="n">
        <f aca="true">CRITBINOM($C215,MIN(0.75,Matchup!$C$39*$B215),RAND())</f>
        <v>3</v>
      </c>
      <c r="K215" s="0" t="n">
        <f aca="true">CRITBINOM(J215,Coefficients!$B$30,RAND())</f>
        <v>1</v>
      </c>
      <c r="L215" s="0" t="n">
        <f aca="true">CRITBINOM(K215,Coefficients!$B$31,RAND())</f>
        <v>1</v>
      </c>
      <c r="M215" s="0" t="n">
        <f aca="true">CRITBINOM(MAX(0,J215-K215),1-Coefficients!$B$32,RAND())</f>
        <v>0</v>
      </c>
      <c r="N215" s="0" t="n">
        <f aca="true">CRITBINOM(MAX(0,$C215-J215),MIN(0.6,Matchup!$C$40*SQRT($B215)/(1-MIN(0.75,Matchup!$C$39*$B215))),RAND())</f>
        <v>2</v>
      </c>
      <c r="O215" s="0" t="n">
        <f aca="false">6*J215+(J215-K215-M215)+2*L215+3*N215</f>
        <v>28</v>
      </c>
      <c r="P215" s="0" t="n">
        <f aca="true">RAND()</f>
        <v>0.528398896239913</v>
      </c>
      <c r="Q215" s="0" t="n">
        <f aca="true">RAND()</f>
        <v>0.984074406596242</v>
      </c>
      <c r="R215" s="0" t="n">
        <f aca="false">IF($I215&lt;&gt;$O215,0,IF(P215&lt;Matchup!$B$39,7,IF(P215&lt;Matchup!$B$39+Matchup!$B$40,3,0)))</f>
        <v>0</v>
      </c>
      <c r="S215" s="0" t="n">
        <f aca="false">IF($I215&lt;&gt;$O215,0,IF(Q215&lt;Matchup!$C$39,7,IF(Q215&lt;Matchup!$C$39+Matchup!$C$40,3,0)))</f>
        <v>0</v>
      </c>
      <c r="T215" s="0" t="n">
        <f aca="false">I215+R215</f>
        <v>11</v>
      </c>
      <c r="U215" s="0" t="n">
        <f aca="false">O215+S215</f>
        <v>28</v>
      </c>
      <c r="V215" s="0" t="n">
        <f aca="false">T215-U215</f>
        <v>-17</v>
      </c>
      <c r="W215" s="0" t="n">
        <f aca="false">T215+U215</f>
        <v>39</v>
      </c>
    </row>
    <row r="216" customFormat="false" ht="15" hidden="false" customHeight="false" outlineLevel="0" collapsed="false">
      <c r="A216" s="0" t="n">
        <v>213</v>
      </c>
      <c r="B216" s="0" t="n">
        <f aca="true">NORMINV(RAND(),1,Coefficients!$B$22)</f>
        <v>1.02052410213421</v>
      </c>
      <c r="C216" s="0" t="n">
        <f aca="true">MEDIAN(8,16,ROUND(NORMINV(RAND(),Coefficients!$B$20,Coefficients!$B$21),0))</f>
        <v>12</v>
      </c>
      <c r="D216" s="0" t="n">
        <f aca="true">CRITBINOM($C216,MIN(0.75,Matchup!$B$39*$B216),RAND())</f>
        <v>1</v>
      </c>
      <c r="E216" s="0" t="n">
        <f aca="true">CRITBINOM(D216,Coefficients!$B$30,RAND())</f>
        <v>0</v>
      </c>
      <c r="F216" s="0" t="n">
        <f aca="true">CRITBINOM(E216,Coefficients!$B$31,RAND())</f>
        <v>0</v>
      </c>
      <c r="G216" s="0" t="n">
        <f aca="true">CRITBINOM(MAX(0,D216-E216),1-Coefficients!$B$32,RAND())</f>
        <v>0</v>
      </c>
      <c r="H216" s="0" t="n">
        <f aca="true">CRITBINOM(MAX(0,$C216-D216),MIN(0.6,Matchup!$B$40*SQRT($B216)/(1-MIN(0.75,Matchup!$B$39*$B216))),RAND())</f>
        <v>1</v>
      </c>
      <c r="I216" s="0" t="n">
        <f aca="false">6*D216+(D216-E216-G216)+2*F216+3*H216</f>
        <v>10</v>
      </c>
      <c r="J216" s="0" t="n">
        <f aca="true">CRITBINOM($C216,MIN(0.75,Matchup!$C$39*$B216),RAND())</f>
        <v>2</v>
      </c>
      <c r="K216" s="0" t="n">
        <f aca="true">CRITBINOM(J216,Coefficients!$B$30,RAND())</f>
        <v>0</v>
      </c>
      <c r="L216" s="0" t="n">
        <f aca="true">CRITBINOM(K216,Coefficients!$B$31,RAND())</f>
        <v>0</v>
      </c>
      <c r="M216" s="0" t="n">
        <f aca="true">CRITBINOM(MAX(0,J216-K216),1-Coefficients!$B$32,RAND())</f>
        <v>0</v>
      </c>
      <c r="N216" s="0" t="n">
        <f aca="true">CRITBINOM(MAX(0,$C216-J216),MIN(0.6,Matchup!$C$40*SQRT($B216)/(1-MIN(0.75,Matchup!$C$39*$B216))),RAND())</f>
        <v>2</v>
      </c>
      <c r="O216" s="0" t="n">
        <f aca="false">6*J216+(J216-K216-M216)+2*L216+3*N216</f>
        <v>20</v>
      </c>
      <c r="P216" s="0" t="n">
        <f aca="true">RAND()</f>
        <v>0.223221993343665</v>
      </c>
      <c r="Q216" s="0" t="n">
        <f aca="true">RAND()</f>
        <v>0.812428261234687</v>
      </c>
      <c r="R216" s="0" t="n">
        <f aca="false">IF($I216&lt;&gt;$O216,0,IF(P216&lt;Matchup!$B$39,7,IF(P216&lt;Matchup!$B$39+Matchup!$B$40,3,0)))</f>
        <v>0</v>
      </c>
      <c r="S216" s="0" t="n">
        <f aca="false">IF($I216&lt;&gt;$O216,0,IF(Q216&lt;Matchup!$C$39,7,IF(Q216&lt;Matchup!$C$39+Matchup!$C$40,3,0)))</f>
        <v>0</v>
      </c>
      <c r="T216" s="0" t="n">
        <f aca="false">I216+R216</f>
        <v>10</v>
      </c>
      <c r="U216" s="0" t="n">
        <f aca="false">O216+S216</f>
        <v>20</v>
      </c>
      <c r="V216" s="0" t="n">
        <f aca="false">T216-U216</f>
        <v>-10</v>
      </c>
      <c r="W216" s="0" t="n">
        <f aca="false">T216+U216</f>
        <v>30</v>
      </c>
    </row>
    <row r="217" customFormat="false" ht="15" hidden="false" customHeight="false" outlineLevel="0" collapsed="false">
      <c r="A217" s="0" t="n">
        <v>214</v>
      </c>
      <c r="B217" s="0" t="n">
        <f aca="true">NORMINV(RAND(),1,Coefficients!$B$22)</f>
        <v>1.01735786928838</v>
      </c>
      <c r="C217" s="0" t="n">
        <f aca="true">MEDIAN(8,16,ROUND(NORMINV(RAND(),Coefficients!$B$20,Coefficients!$B$21),0))</f>
        <v>10</v>
      </c>
      <c r="D217" s="0" t="n">
        <f aca="true">CRITBINOM($C217,MIN(0.75,Matchup!$B$39*$B217),RAND())</f>
        <v>2</v>
      </c>
      <c r="E217" s="0" t="n">
        <f aca="true">CRITBINOM(D217,Coefficients!$B$30,RAND())</f>
        <v>0</v>
      </c>
      <c r="F217" s="0" t="n">
        <f aca="true">CRITBINOM(E217,Coefficients!$B$31,RAND())</f>
        <v>0</v>
      </c>
      <c r="G217" s="0" t="n">
        <f aca="true">CRITBINOM(MAX(0,D217-E217),1-Coefficients!$B$32,RAND())</f>
        <v>0</v>
      </c>
      <c r="H217" s="0" t="n">
        <f aca="true">CRITBINOM(MAX(0,$C217-D217),MIN(0.6,Matchup!$B$40*SQRT($B217)/(1-MIN(0.75,Matchup!$B$39*$B217))),RAND())</f>
        <v>0</v>
      </c>
      <c r="I217" s="0" t="n">
        <f aca="false">6*D217+(D217-E217-G217)+2*F217+3*H217</f>
        <v>14</v>
      </c>
      <c r="J217" s="0" t="n">
        <f aca="true">CRITBINOM($C217,MIN(0.75,Matchup!$C$39*$B217),RAND())</f>
        <v>5</v>
      </c>
      <c r="K217" s="0" t="n">
        <f aca="true">CRITBINOM(J217,Coefficients!$B$30,RAND())</f>
        <v>0</v>
      </c>
      <c r="L217" s="0" t="n">
        <f aca="true">CRITBINOM(K217,Coefficients!$B$31,RAND())</f>
        <v>0</v>
      </c>
      <c r="M217" s="0" t="n">
        <f aca="true">CRITBINOM(MAX(0,J217-K217),1-Coefficients!$B$32,RAND())</f>
        <v>0</v>
      </c>
      <c r="N217" s="0" t="n">
        <f aca="true">CRITBINOM(MAX(0,$C217-J217),MIN(0.6,Matchup!$C$40*SQRT($B217)/(1-MIN(0.75,Matchup!$C$39*$B217))),RAND())</f>
        <v>0</v>
      </c>
      <c r="O217" s="0" t="n">
        <f aca="false">6*J217+(J217-K217-M217)+2*L217+3*N217</f>
        <v>35</v>
      </c>
      <c r="P217" s="0" t="n">
        <f aca="true">RAND()</f>
        <v>0.814606281406588</v>
      </c>
      <c r="Q217" s="0" t="n">
        <f aca="true">RAND()</f>
        <v>0.173194068473564</v>
      </c>
      <c r="R217" s="0" t="n">
        <f aca="false">IF($I217&lt;&gt;$O217,0,IF(P217&lt;Matchup!$B$39,7,IF(P217&lt;Matchup!$B$39+Matchup!$B$40,3,0)))</f>
        <v>0</v>
      </c>
      <c r="S217" s="0" t="n">
        <f aca="false">IF($I217&lt;&gt;$O217,0,IF(Q217&lt;Matchup!$C$39,7,IF(Q217&lt;Matchup!$C$39+Matchup!$C$40,3,0)))</f>
        <v>0</v>
      </c>
      <c r="T217" s="0" t="n">
        <f aca="false">I217+R217</f>
        <v>14</v>
      </c>
      <c r="U217" s="0" t="n">
        <f aca="false">O217+S217</f>
        <v>35</v>
      </c>
      <c r="V217" s="0" t="n">
        <f aca="false">T217-U217</f>
        <v>-21</v>
      </c>
      <c r="W217" s="0" t="n">
        <f aca="false">T217+U217</f>
        <v>49</v>
      </c>
    </row>
    <row r="218" customFormat="false" ht="15" hidden="false" customHeight="false" outlineLevel="0" collapsed="false">
      <c r="A218" s="0" t="n">
        <v>215</v>
      </c>
      <c r="B218" s="0" t="n">
        <f aca="true">NORMINV(RAND(),1,Coefficients!$B$22)</f>
        <v>1.07044320202717</v>
      </c>
      <c r="C218" s="0" t="n">
        <f aca="true">MEDIAN(8,16,ROUND(NORMINV(RAND(),Coefficients!$B$20,Coefficients!$B$21),0))</f>
        <v>11</v>
      </c>
      <c r="D218" s="0" t="n">
        <f aca="true">CRITBINOM($C218,MIN(0.75,Matchup!$B$39*$B218),RAND())</f>
        <v>3</v>
      </c>
      <c r="E218" s="0" t="n">
        <f aca="true">CRITBINOM(D218,Coefficients!$B$30,RAND())</f>
        <v>0</v>
      </c>
      <c r="F218" s="0" t="n">
        <f aca="true">CRITBINOM(E218,Coefficients!$B$31,RAND())</f>
        <v>0</v>
      </c>
      <c r="G218" s="0" t="n">
        <f aca="true">CRITBINOM(MAX(0,D218-E218),1-Coefficients!$B$32,RAND())</f>
        <v>0</v>
      </c>
      <c r="H218" s="0" t="n">
        <f aca="true">CRITBINOM(MAX(0,$C218-D218),MIN(0.6,Matchup!$B$40*SQRT($B218)/(1-MIN(0.75,Matchup!$B$39*$B218))),RAND())</f>
        <v>5</v>
      </c>
      <c r="I218" s="0" t="n">
        <f aca="false">6*D218+(D218-E218-G218)+2*F218+3*H218</f>
        <v>36</v>
      </c>
      <c r="J218" s="0" t="n">
        <f aca="true">CRITBINOM($C218,MIN(0.75,Matchup!$C$39*$B218),RAND())</f>
        <v>2</v>
      </c>
      <c r="K218" s="0" t="n">
        <f aca="true">CRITBINOM(J218,Coefficients!$B$30,RAND())</f>
        <v>1</v>
      </c>
      <c r="L218" s="0" t="n">
        <f aca="true">CRITBINOM(K218,Coefficients!$B$31,RAND())</f>
        <v>1</v>
      </c>
      <c r="M218" s="0" t="n">
        <f aca="true">CRITBINOM(MAX(0,J218-K218),1-Coefficients!$B$32,RAND())</f>
        <v>0</v>
      </c>
      <c r="N218" s="0" t="n">
        <f aca="true">CRITBINOM(MAX(0,$C218-J218),MIN(0.6,Matchup!$C$40*SQRT($B218)/(1-MIN(0.75,Matchup!$C$39*$B218))),RAND())</f>
        <v>1</v>
      </c>
      <c r="O218" s="0" t="n">
        <f aca="false">6*J218+(J218-K218-M218)+2*L218+3*N218</f>
        <v>18</v>
      </c>
      <c r="P218" s="0" t="n">
        <f aca="true">RAND()</f>
        <v>0.280992807906569</v>
      </c>
      <c r="Q218" s="0" t="n">
        <f aca="true">RAND()</f>
        <v>0.141988327116546</v>
      </c>
      <c r="R218" s="0" t="n">
        <f aca="false">IF($I218&lt;&gt;$O218,0,IF(P218&lt;Matchup!$B$39,7,IF(P218&lt;Matchup!$B$39+Matchup!$B$40,3,0)))</f>
        <v>0</v>
      </c>
      <c r="S218" s="0" t="n">
        <f aca="false">IF($I218&lt;&gt;$O218,0,IF(Q218&lt;Matchup!$C$39,7,IF(Q218&lt;Matchup!$C$39+Matchup!$C$40,3,0)))</f>
        <v>0</v>
      </c>
      <c r="T218" s="0" t="n">
        <f aca="false">I218+R218</f>
        <v>36</v>
      </c>
      <c r="U218" s="0" t="n">
        <f aca="false">O218+S218</f>
        <v>18</v>
      </c>
      <c r="V218" s="0" t="n">
        <f aca="false">T218-U218</f>
        <v>18</v>
      </c>
      <c r="W218" s="0" t="n">
        <f aca="false">T218+U218</f>
        <v>54</v>
      </c>
    </row>
    <row r="219" customFormat="false" ht="15" hidden="false" customHeight="false" outlineLevel="0" collapsed="false">
      <c r="A219" s="0" t="n">
        <v>216</v>
      </c>
      <c r="B219" s="0" t="n">
        <f aca="true">NORMINV(RAND(),1,Coefficients!$B$22)</f>
        <v>0.8356516008191</v>
      </c>
      <c r="C219" s="0" t="n">
        <f aca="true">MEDIAN(8,16,ROUND(NORMINV(RAND(),Coefficients!$B$20,Coefficients!$B$21),0))</f>
        <v>10</v>
      </c>
      <c r="D219" s="0" t="n">
        <f aca="true">CRITBINOM($C219,MIN(0.75,Matchup!$B$39*$B219),RAND())</f>
        <v>2</v>
      </c>
      <c r="E219" s="0" t="n">
        <f aca="true">CRITBINOM(D219,Coefficients!$B$30,RAND())</f>
        <v>0</v>
      </c>
      <c r="F219" s="0" t="n">
        <f aca="true">CRITBINOM(E219,Coefficients!$B$31,RAND())</f>
        <v>0</v>
      </c>
      <c r="G219" s="0" t="n">
        <f aca="true">CRITBINOM(MAX(0,D219-E219),1-Coefficients!$B$32,RAND())</f>
        <v>1</v>
      </c>
      <c r="H219" s="0" t="n">
        <f aca="true">CRITBINOM(MAX(0,$C219-D219),MIN(0.6,Matchup!$B$40*SQRT($B219)/(1-MIN(0.75,Matchup!$B$39*$B219))),RAND())</f>
        <v>1</v>
      </c>
      <c r="I219" s="0" t="n">
        <f aca="false">6*D219+(D219-E219-G219)+2*F219+3*H219</f>
        <v>16</v>
      </c>
      <c r="J219" s="0" t="n">
        <f aca="true">CRITBINOM($C219,MIN(0.75,Matchup!$C$39*$B219),RAND())</f>
        <v>3</v>
      </c>
      <c r="K219" s="0" t="n">
        <f aca="true">CRITBINOM(J219,Coefficients!$B$30,RAND())</f>
        <v>0</v>
      </c>
      <c r="L219" s="0" t="n">
        <f aca="true">CRITBINOM(K219,Coefficients!$B$31,RAND())</f>
        <v>0</v>
      </c>
      <c r="M219" s="0" t="n">
        <f aca="true">CRITBINOM(MAX(0,J219-K219),1-Coefficients!$B$32,RAND())</f>
        <v>0</v>
      </c>
      <c r="N219" s="0" t="n">
        <f aca="true">CRITBINOM(MAX(0,$C219-J219),MIN(0.6,Matchup!$C$40*SQRT($B219)/(1-MIN(0.75,Matchup!$C$39*$B219))),RAND())</f>
        <v>2</v>
      </c>
      <c r="O219" s="0" t="n">
        <f aca="false">6*J219+(J219-K219-M219)+2*L219+3*N219</f>
        <v>27</v>
      </c>
      <c r="P219" s="0" t="n">
        <f aca="true">RAND()</f>
        <v>0.783398252744488</v>
      </c>
      <c r="Q219" s="0" t="n">
        <f aca="true">RAND()</f>
        <v>0.292912601377496</v>
      </c>
      <c r="R219" s="0" t="n">
        <f aca="false">IF($I219&lt;&gt;$O219,0,IF(P219&lt;Matchup!$B$39,7,IF(P219&lt;Matchup!$B$39+Matchup!$B$40,3,0)))</f>
        <v>0</v>
      </c>
      <c r="S219" s="0" t="n">
        <f aca="false">IF($I219&lt;&gt;$O219,0,IF(Q219&lt;Matchup!$C$39,7,IF(Q219&lt;Matchup!$C$39+Matchup!$C$40,3,0)))</f>
        <v>0</v>
      </c>
      <c r="T219" s="0" t="n">
        <f aca="false">I219+R219</f>
        <v>16</v>
      </c>
      <c r="U219" s="0" t="n">
        <f aca="false">O219+S219</f>
        <v>27</v>
      </c>
      <c r="V219" s="0" t="n">
        <f aca="false">T219-U219</f>
        <v>-11</v>
      </c>
      <c r="W219" s="0" t="n">
        <f aca="false">T219+U219</f>
        <v>43</v>
      </c>
    </row>
    <row r="220" customFormat="false" ht="15" hidden="false" customHeight="false" outlineLevel="0" collapsed="false">
      <c r="A220" s="0" t="n">
        <v>217</v>
      </c>
      <c r="B220" s="0" t="n">
        <f aca="true">NORMINV(RAND(),1,Coefficients!$B$22)</f>
        <v>0.99260247286081</v>
      </c>
      <c r="C220" s="0" t="n">
        <f aca="true">MEDIAN(8,16,ROUND(NORMINV(RAND(),Coefficients!$B$20,Coefficients!$B$21),0))</f>
        <v>13</v>
      </c>
      <c r="D220" s="0" t="n">
        <f aca="true">CRITBINOM($C220,MIN(0.75,Matchup!$B$39*$B220),RAND())</f>
        <v>2</v>
      </c>
      <c r="E220" s="0" t="n">
        <f aca="true">CRITBINOM(D220,Coefficients!$B$30,RAND())</f>
        <v>0</v>
      </c>
      <c r="F220" s="0" t="n">
        <f aca="true">CRITBINOM(E220,Coefficients!$B$31,RAND())</f>
        <v>0</v>
      </c>
      <c r="G220" s="0" t="n">
        <f aca="true">CRITBINOM(MAX(0,D220-E220),1-Coefficients!$B$32,RAND())</f>
        <v>0</v>
      </c>
      <c r="H220" s="0" t="n">
        <f aca="true">CRITBINOM(MAX(0,$C220-D220),MIN(0.6,Matchup!$B$40*SQRT($B220)/(1-MIN(0.75,Matchup!$B$39*$B220))),RAND())</f>
        <v>3</v>
      </c>
      <c r="I220" s="0" t="n">
        <f aca="false">6*D220+(D220-E220-G220)+2*F220+3*H220</f>
        <v>23</v>
      </c>
      <c r="J220" s="0" t="n">
        <f aca="true">CRITBINOM($C220,MIN(0.75,Matchup!$C$39*$B220),RAND())</f>
        <v>2</v>
      </c>
      <c r="K220" s="0" t="n">
        <f aca="true">CRITBINOM(J220,Coefficients!$B$30,RAND())</f>
        <v>0</v>
      </c>
      <c r="L220" s="0" t="n">
        <f aca="true">CRITBINOM(K220,Coefficients!$B$31,RAND())</f>
        <v>0</v>
      </c>
      <c r="M220" s="0" t="n">
        <f aca="true">CRITBINOM(MAX(0,J220-K220),1-Coefficients!$B$32,RAND())</f>
        <v>0</v>
      </c>
      <c r="N220" s="0" t="n">
        <f aca="true">CRITBINOM(MAX(0,$C220-J220),MIN(0.6,Matchup!$C$40*SQRT($B220)/(1-MIN(0.75,Matchup!$C$39*$B220))),RAND())</f>
        <v>1</v>
      </c>
      <c r="O220" s="0" t="n">
        <f aca="false">6*J220+(J220-K220-M220)+2*L220+3*N220</f>
        <v>17</v>
      </c>
      <c r="P220" s="0" t="n">
        <f aca="true">RAND()</f>
        <v>0.30523114871281</v>
      </c>
      <c r="Q220" s="0" t="n">
        <f aca="true">RAND()</f>
        <v>0.59866647615002</v>
      </c>
      <c r="R220" s="0" t="n">
        <f aca="false">IF($I220&lt;&gt;$O220,0,IF(P220&lt;Matchup!$B$39,7,IF(P220&lt;Matchup!$B$39+Matchup!$B$40,3,0)))</f>
        <v>0</v>
      </c>
      <c r="S220" s="0" t="n">
        <f aca="false">IF($I220&lt;&gt;$O220,0,IF(Q220&lt;Matchup!$C$39,7,IF(Q220&lt;Matchup!$C$39+Matchup!$C$40,3,0)))</f>
        <v>0</v>
      </c>
      <c r="T220" s="0" t="n">
        <f aca="false">I220+R220</f>
        <v>23</v>
      </c>
      <c r="U220" s="0" t="n">
        <f aca="false">O220+S220</f>
        <v>17</v>
      </c>
      <c r="V220" s="0" t="n">
        <f aca="false">T220-U220</f>
        <v>6</v>
      </c>
      <c r="W220" s="0" t="n">
        <f aca="false">T220+U220</f>
        <v>40</v>
      </c>
    </row>
    <row r="221" customFormat="false" ht="15" hidden="false" customHeight="false" outlineLevel="0" collapsed="false">
      <c r="A221" s="0" t="n">
        <v>218</v>
      </c>
      <c r="B221" s="0" t="n">
        <f aca="true">NORMINV(RAND(),1,Coefficients!$B$22)</f>
        <v>1.06425645552773</v>
      </c>
      <c r="C221" s="0" t="n">
        <f aca="true">MEDIAN(8,16,ROUND(NORMINV(RAND(),Coefficients!$B$20,Coefficients!$B$21),0))</f>
        <v>13</v>
      </c>
      <c r="D221" s="0" t="n">
        <f aca="true">CRITBINOM($C221,MIN(0.75,Matchup!$B$39*$B221),RAND())</f>
        <v>2</v>
      </c>
      <c r="E221" s="0" t="n">
        <f aca="true">CRITBINOM(D221,Coefficients!$B$30,RAND())</f>
        <v>0</v>
      </c>
      <c r="F221" s="0" t="n">
        <f aca="true">CRITBINOM(E221,Coefficients!$B$31,RAND())</f>
        <v>0</v>
      </c>
      <c r="G221" s="0" t="n">
        <f aca="true">CRITBINOM(MAX(0,D221-E221),1-Coefficients!$B$32,RAND())</f>
        <v>0</v>
      </c>
      <c r="H221" s="0" t="n">
        <f aca="true">CRITBINOM(MAX(0,$C221-D221),MIN(0.6,Matchup!$B$40*SQRT($B221)/(1-MIN(0.75,Matchup!$B$39*$B221))),RAND())</f>
        <v>0</v>
      </c>
      <c r="I221" s="0" t="n">
        <f aca="false">6*D221+(D221-E221-G221)+2*F221+3*H221</f>
        <v>14</v>
      </c>
      <c r="J221" s="0" t="n">
        <f aca="true">CRITBINOM($C221,MIN(0.75,Matchup!$C$39*$B221),RAND())</f>
        <v>5</v>
      </c>
      <c r="K221" s="0" t="n">
        <f aca="true">CRITBINOM(J221,Coefficients!$B$30,RAND())</f>
        <v>1</v>
      </c>
      <c r="L221" s="0" t="n">
        <f aca="true">CRITBINOM(K221,Coefficients!$B$31,RAND())</f>
        <v>1</v>
      </c>
      <c r="M221" s="0" t="n">
        <f aca="true">CRITBINOM(MAX(0,J221-K221),1-Coefficients!$B$32,RAND())</f>
        <v>0</v>
      </c>
      <c r="N221" s="0" t="n">
        <f aca="true">CRITBINOM(MAX(0,$C221-J221),MIN(0.6,Matchup!$C$40*SQRT($B221)/(1-MIN(0.75,Matchup!$C$39*$B221))),RAND())</f>
        <v>3</v>
      </c>
      <c r="O221" s="0" t="n">
        <f aca="false">6*J221+(J221-K221-M221)+2*L221+3*N221</f>
        <v>45</v>
      </c>
      <c r="P221" s="0" t="n">
        <f aca="true">RAND()</f>
        <v>0.0118453249776487</v>
      </c>
      <c r="Q221" s="0" t="n">
        <f aca="true">RAND()</f>
        <v>0.976600489169291</v>
      </c>
      <c r="R221" s="0" t="n">
        <f aca="false">IF($I221&lt;&gt;$O221,0,IF(P221&lt;Matchup!$B$39,7,IF(P221&lt;Matchup!$B$39+Matchup!$B$40,3,0)))</f>
        <v>0</v>
      </c>
      <c r="S221" s="0" t="n">
        <f aca="false">IF($I221&lt;&gt;$O221,0,IF(Q221&lt;Matchup!$C$39,7,IF(Q221&lt;Matchup!$C$39+Matchup!$C$40,3,0)))</f>
        <v>0</v>
      </c>
      <c r="T221" s="0" t="n">
        <f aca="false">I221+R221</f>
        <v>14</v>
      </c>
      <c r="U221" s="0" t="n">
        <f aca="false">O221+S221</f>
        <v>45</v>
      </c>
      <c r="V221" s="0" t="n">
        <f aca="false">T221-U221</f>
        <v>-31</v>
      </c>
      <c r="W221" s="0" t="n">
        <f aca="false">T221+U221</f>
        <v>59</v>
      </c>
    </row>
    <row r="222" customFormat="false" ht="15" hidden="false" customHeight="false" outlineLevel="0" collapsed="false">
      <c r="A222" s="0" t="n">
        <v>219</v>
      </c>
      <c r="B222" s="0" t="n">
        <f aca="true">NORMINV(RAND(),1,Coefficients!$B$22)</f>
        <v>0.899631616207883</v>
      </c>
      <c r="C222" s="0" t="n">
        <f aca="true">MEDIAN(8,16,ROUND(NORMINV(RAND(),Coefficients!$B$20,Coefficients!$B$21),0))</f>
        <v>11</v>
      </c>
      <c r="D222" s="0" t="n">
        <f aca="true">CRITBINOM($C222,MIN(0.75,Matchup!$B$39*$B222),RAND())</f>
        <v>4</v>
      </c>
      <c r="E222" s="0" t="n">
        <f aca="true">CRITBINOM(D222,Coefficients!$B$30,RAND())</f>
        <v>0</v>
      </c>
      <c r="F222" s="0" t="n">
        <f aca="true">CRITBINOM(E222,Coefficients!$B$31,RAND())</f>
        <v>0</v>
      </c>
      <c r="G222" s="0" t="n">
        <f aca="true">CRITBINOM(MAX(0,D222-E222),1-Coefficients!$B$32,RAND())</f>
        <v>0</v>
      </c>
      <c r="H222" s="0" t="n">
        <f aca="true">CRITBINOM(MAX(0,$C222-D222),MIN(0.6,Matchup!$B$40*SQRT($B222)/(1-MIN(0.75,Matchup!$B$39*$B222))),RAND())</f>
        <v>2</v>
      </c>
      <c r="I222" s="0" t="n">
        <f aca="false">6*D222+(D222-E222-G222)+2*F222+3*H222</f>
        <v>34</v>
      </c>
      <c r="J222" s="0" t="n">
        <f aca="true">CRITBINOM($C222,MIN(0.75,Matchup!$C$39*$B222),RAND())</f>
        <v>0</v>
      </c>
      <c r="K222" s="0" t="n">
        <f aca="true">CRITBINOM(J222,Coefficients!$B$30,RAND())</f>
        <v>0</v>
      </c>
      <c r="L222" s="0" t="n">
        <f aca="true">CRITBINOM(K222,Coefficients!$B$31,RAND())</f>
        <v>0</v>
      </c>
      <c r="M222" s="0" t="n">
        <f aca="true">CRITBINOM(MAX(0,J222-K222),1-Coefficients!$B$32,RAND())</f>
        <v>0</v>
      </c>
      <c r="N222" s="0" t="n">
        <f aca="true">CRITBINOM(MAX(0,$C222-J222),MIN(0.6,Matchup!$C$40*SQRT($B222)/(1-MIN(0.75,Matchup!$C$39*$B222))),RAND())</f>
        <v>2</v>
      </c>
      <c r="O222" s="0" t="n">
        <f aca="false">6*J222+(J222-K222-M222)+2*L222+3*N222</f>
        <v>6</v>
      </c>
      <c r="P222" s="0" t="n">
        <f aca="true">RAND()</f>
        <v>0.647147675609015</v>
      </c>
      <c r="Q222" s="0" t="n">
        <f aca="true">RAND()</f>
        <v>0.155390695816749</v>
      </c>
      <c r="R222" s="0" t="n">
        <f aca="false">IF($I222&lt;&gt;$O222,0,IF(P222&lt;Matchup!$B$39,7,IF(P222&lt;Matchup!$B$39+Matchup!$B$40,3,0)))</f>
        <v>0</v>
      </c>
      <c r="S222" s="0" t="n">
        <f aca="false">IF($I222&lt;&gt;$O222,0,IF(Q222&lt;Matchup!$C$39,7,IF(Q222&lt;Matchup!$C$39+Matchup!$C$40,3,0)))</f>
        <v>0</v>
      </c>
      <c r="T222" s="0" t="n">
        <f aca="false">I222+R222</f>
        <v>34</v>
      </c>
      <c r="U222" s="0" t="n">
        <f aca="false">O222+S222</f>
        <v>6</v>
      </c>
      <c r="V222" s="0" t="n">
        <f aca="false">T222-U222</f>
        <v>28</v>
      </c>
      <c r="W222" s="0" t="n">
        <f aca="false">T222+U222</f>
        <v>40</v>
      </c>
    </row>
    <row r="223" customFormat="false" ht="15" hidden="false" customHeight="false" outlineLevel="0" collapsed="false">
      <c r="A223" s="0" t="n">
        <v>220</v>
      </c>
      <c r="B223" s="0" t="n">
        <f aca="true">NORMINV(RAND(),1,Coefficients!$B$22)</f>
        <v>1.05511897820698</v>
      </c>
      <c r="C223" s="0" t="n">
        <f aca="true">MEDIAN(8,16,ROUND(NORMINV(RAND(),Coefficients!$B$20,Coefficients!$B$21),0))</f>
        <v>11</v>
      </c>
      <c r="D223" s="0" t="n">
        <f aca="true">CRITBINOM($C223,MIN(0.75,Matchup!$B$39*$B223),RAND())</f>
        <v>2</v>
      </c>
      <c r="E223" s="0" t="n">
        <f aca="true">CRITBINOM(D223,Coefficients!$B$30,RAND())</f>
        <v>0</v>
      </c>
      <c r="F223" s="0" t="n">
        <f aca="true">CRITBINOM(E223,Coefficients!$B$31,RAND())</f>
        <v>0</v>
      </c>
      <c r="G223" s="0" t="n">
        <f aca="true">CRITBINOM(MAX(0,D223-E223),1-Coefficients!$B$32,RAND())</f>
        <v>0</v>
      </c>
      <c r="H223" s="0" t="n">
        <f aca="true">CRITBINOM(MAX(0,$C223-D223),MIN(0.6,Matchup!$B$40*SQRT($B223)/(1-MIN(0.75,Matchup!$B$39*$B223))),RAND())</f>
        <v>1</v>
      </c>
      <c r="I223" s="0" t="n">
        <f aca="false">6*D223+(D223-E223-G223)+2*F223+3*H223</f>
        <v>17</v>
      </c>
      <c r="J223" s="0" t="n">
        <f aca="true">CRITBINOM($C223,MIN(0.75,Matchup!$C$39*$B223),RAND())</f>
        <v>1</v>
      </c>
      <c r="K223" s="0" t="n">
        <f aca="true">CRITBINOM(J223,Coefficients!$B$30,RAND())</f>
        <v>0</v>
      </c>
      <c r="L223" s="0" t="n">
        <f aca="true">CRITBINOM(K223,Coefficients!$B$31,RAND())</f>
        <v>0</v>
      </c>
      <c r="M223" s="0" t="n">
        <f aca="true">CRITBINOM(MAX(0,J223-K223),1-Coefficients!$B$32,RAND())</f>
        <v>1</v>
      </c>
      <c r="N223" s="0" t="n">
        <f aca="true">CRITBINOM(MAX(0,$C223-J223),MIN(0.6,Matchup!$C$40*SQRT($B223)/(1-MIN(0.75,Matchup!$C$39*$B223))),RAND())</f>
        <v>2</v>
      </c>
      <c r="O223" s="0" t="n">
        <f aca="false">6*J223+(J223-K223-M223)+2*L223+3*N223</f>
        <v>12</v>
      </c>
      <c r="P223" s="0" t="n">
        <f aca="true">RAND()</f>
        <v>0.301117398315242</v>
      </c>
      <c r="Q223" s="0" t="n">
        <f aca="true">RAND()</f>
        <v>0.885691518139574</v>
      </c>
      <c r="R223" s="0" t="n">
        <f aca="false">IF($I223&lt;&gt;$O223,0,IF(P223&lt;Matchup!$B$39,7,IF(P223&lt;Matchup!$B$39+Matchup!$B$40,3,0)))</f>
        <v>0</v>
      </c>
      <c r="S223" s="0" t="n">
        <f aca="false">IF($I223&lt;&gt;$O223,0,IF(Q223&lt;Matchup!$C$39,7,IF(Q223&lt;Matchup!$C$39+Matchup!$C$40,3,0)))</f>
        <v>0</v>
      </c>
      <c r="T223" s="0" t="n">
        <f aca="false">I223+R223</f>
        <v>17</v>
      </c>
      <c r="U223" s="0" t="n">
        <f aca="false">O223+S223</f>
        <v>12</v>
      </c>
      <c r="V223" s="0" t="n">
        <f aca="false">T223-U223</f>
        <v>5</v>
      </c>
      <c r="W223" s="0" t="n">
        <f aca="false">T223+U223</f>
        <v>29</v>
      </c>
    </row>
    <row r="224" customFormat="false" ht="15" hidden="false" customHeight="false" outlineLevel="0" collapsed="false">
      <c r="A224" s="0" t="n">
        <v>221</v>
      </c>
      <c r="B224" s="0" t="n">
        <f aca="true">NORMINV(RAND(),1,Coefficients!$B$22)</f>
        <v>0.792241974925841</v>
      </c>
      <c r="C224" s="0" t="n">
        <f aca="true">MEDIAN(8,16,ROUND(NORMINV(RAND(),Coefficients!$B$20,Coefficients!$B$21),0))</f>
        <v>11</v>
      </c>
      <c r="D224" s="0" t="n">
        <f aca="true">CRITBINOM($C224,MIN(0.75,Matchup!$B$39*$B224),RAND())</f>
        <v>0</v>
      </c>
      <c r="E224" s="0" t="n">
        <f aca="true">CRITBINOM(D224,Coefficients!$B$30,RAND())</f>
        <v>0</v>
      </c>
      <c r="F224" s="0" t="n">
        <f aca="true">CRITBINOM(E224,Coefficients!$B$31,RAND())</f>
        <v>0</v>
      </c>
      <c r="G224" s="0" t="n">
        <f aca="true">CRITBINOM(MAX(0,D224-E224),1-Coefficients!$B$32,RAND())</f>
        <v>0</v>
      </c>
      <c r="H224" s="0" t="n">
        <f aca="true">CRITBINOM(MAX(0,$C224-D224),MIN(0.6,Matchup!$B$40*SQRT($B224)/(1-MIN(0.75,Matchup!$B$39*$B224))),RAND())</f>
        <v>2</v>
      </c>
      <c r="I224" s="0" t="n">
        <f aca="false">6*D224+(D224-E224-G224)+2*F224+3*H224</f>
        <v>6</v>
      </c>
      <c r="J224" s="0" t="n">
        <f aca="true">CRITBINOM($C224,MIN(0.75,Matchup!$C$39*$B224),RAND())</f>
        <v>3</v>
      </c>
      <c r="K224" s="0" t="n">
        <f aca="true">CRITBINOM(J224,Coefficients!$B$30,RAND())</f>
        <v>0</v>
      </c>
      <c r="L224" s="0" t="n">
        <f aca="true">CRITBINOM(K224,Coefficients!$B$31,RAND())</f>
        <v>0</v>
      </c>
      <c r="M224" s="0" t="n">
        <f aca="true">CRITBINOM(MAX(0,J224-K224),1-Coefficients!$B$32,RAND())</f>
        <v>0</v>
      </c>
      <c r="N224" s="0" t="n">
        <f aca="true">CRITBINOM(MAX(0,$C224-J224),MIN(0.6,Matchup!$C$40*SQRT($B224)/(1-MIN(0.75,Matchup!$C$39*$B224))),RAND())</f>
        <v>2</v>
      </c>
      <c r="O224" s="0" t="n">
        <f aca="false">6*J224+(J224-K224-M224)+2*L224+3*N224</f>
        <v>27</v>
      </c>
      <c r="P224" s="0" t="n">
        <f aca="true">RAND()</f>
        <v>0.790140459463788</v>
      </c>
      <c r="Q224" s="0" t="n">
        <f aca="true">RAND()</f>
        <v>0.681113951555006</v>
      </c>
      <c r="R224" s="0" t="n">
        <f aca="false">IF($I224&lt;&gt;$O224,0,IF(P224&lt;Matchup!$B$39,7,IF(P224&lt;Matchup!$B$39+Matchup!$B$40,3,0)))</f>
        <v>0</v>
      </c>
      <c r="S224" s="0" t="n">
        <f aca="false">IF($I224&lt;&gt;$O224,0,IF(Q224&lt;Matchup!$C$39,7,IF(Q224&lt;Matchup!$C$39+Matchup!$C$40,3,0)))</f>
        <v>0</v>
      </c>
      <c r="T224" s="0" t="n">
        <f aca="false">I224+R224</f>
        <v>6</v>
      </c>
      <c r="U224" s="0" t="n">
        <f aca="false">O224+S224</f>
        <v>27</v>
      </c>
      <c r="V224" s="0" t="n">
        <f aca="false">T224-U224</f>
        <v>-21</v>
      </c>
      <c r="W224" s="0" t="n">
        <f aca="false">T224+U224</f>
        <v>33</v>
      </c>
    </row>
    <row r="225" customFormat="false" ht="15" hidden="false" customHeight="false" outlineLevel="0" collapsed="false">
      <c r="A225" s="0" t="n">
        <v>222</v>
      </c>
      <c r="B225" s="0" t="n">
        <f aca="true">NORMINV(RAND(),1,Coefficients!$B$22)</f>
        <v>0.972107152305239</v>
      </c>
      <c r="C225" s="0" t="n">
        <f aca="true">MEDIAN(8,16,ROUND(NORMINV(RAND(),Coefficients!$B$20,Coefficients!$B$21),0))</f>
        <v>11</v>
      </c>
      <c r="D225" s="0" t="n">
        <f aca="true">CRITBINOM($C225,MIN(0.75,Matchup!$B$39*$B225),RAND())</f>
        <v>3</v>
      </c>
      <c r="E225" s="0" t="n">
        <f aca="true">CRITBINOM(D225,Coefficients!$B$30,RAND())</f>
        <v>0</v>
      </c>
      <c r="F225" s="0" t="n">
        <f aca="true">CRITBINOM(E225,Coefficients!$B$31,RAND())</f>
        <v>0</v>
      </c>
      <c r="G225" s="0" t="n">
        <f aca="true">CRITBINOM(MAX(0,D225-E225),1-Coefficients!$B$32,RAND())</f>
        <v>0</v>
      </c>
      <c r="H225" s="0" t="n">
        <f aca="true">CRITBINOM(MAX(0,$C225-D225),MIN(0.6,Matchup!$B$40*SQRT($B225)/(1-MIN(0.75,Matchup!$B$39*$B225))),RAND())</f>
        <v>2</v>
      </c>
      <c r="I225" s="0" t="n">
        <f aca="false">6*D225+(D225-E225-G225)+2*F225+3*H225</f>
        <v>27</v>
      </c>
      <c r="J225" s="0" t="n">
        <f aca="true">CRITBINOM($C225,MIN(0.75,Matchup!$C$39*$B225),RAND())</f>
        <v>2</v>
      </c>
      <c r="K225" s="0" t="n">
        <f aca="true">CRITBINOM(J225,Coefficients!$B$30,RAND())</f>
        <v>0</v>
      </c>
      <c r="L225" s="0" t="n">
        <f aca="true">CRITBINOM(K225,Coefficients!$B$31,RAND())</f>
        <v>0</v>
      </c>
      <c r="M225" s="0" t="n">
        <f aca="true">CRITBINOM(MAX(0,J225-K225),1-Coefficients!$B$32,RAND())</f>
        <v>0</v>
      </c>
      <c r="N225" s="0" t="n">
        <f aca="true">CRITBINOM(MAX(0,$C225-J225),MIN(0.6,Matchup!$C$40*SQRT($B225)/(1-MIN(0.75,Matchup!$C$39*$B225))),RAND())</f>
        <v>3</v>
      </c>
      <c r="O225" s="0" t="n">
        <f aca="false">6*J225+(J225-K225-M225)+2*L225+3*N225</f>
        <v>23</v>
      </c>
      <c r="P225" s="0" t="n">
        <f aca="true">RAND()</f>
        <v>0.158499391537904</v>
      </c>
      <c r="Q225" s="0" t="n">
        <f aca="true">RAND()</f>
        <v>0.0762452328923696</v>
      </c>
      <c r="R225" s="0" t="n">
        <f aca="false">IF($I225&lt;&gt;$O225,0,IF(P225&lt;Matchup!$B$39,7,IF(P225&lt;Matchup!$B$39+Matchup!$B$40,3,0)))</f>
        <v>0</v>
      </c>
      <c r="S225" s="0" t="n">
        <f aca="false">IF($I225&lt;&gt;$O225,0,IF(Q225&lt;Matchup!$C$39,7,IF(Q225&lt;Matchup!$C$39+Matchup!$C$40,3,0)))</f>
        <v>0</v>
      </c>
      <c r="T225" s="0" t="n">
        <f aca="false">I225+R225</f>
        <v>27</v>
      </c>
      <c r="U225" s="0" t="n">
        <f aca="false">O225+S225</f>
        <v>23</v>
      </c>
      <c r="V225" s="0" t="n">
        <f aca="false">T225-U225</f>
        <v>4</v>
      </c>
      <c r="W225" s="0" t="n">
        <f aca="false">T225+U225</f>
        <v>50</v>
      </c>
    </row>
    <row r="226" customFormat="false" ht="15" hidden="false" customHeight="false" outlineLevel="0" collapsed="false">
      <c r="A226" s="0" t="n">
        <v>223</v>
      </c>
      <c r="B226" s="0" t="n">
        <f aca="true">NORMINV(RAND(),1,Coefficients!$B$22)</f>
        <v>1.04404235056312</v>
      </c>
      <c r="C226" s="0" t="n">
        <f aca="true">MEDIAN(8,16,ROUND(NORMINV(RAND(),Coefficients!$B$20,Coefficients!$B$21),0))</f>
        <v>13</v>
      </c>
      <c r="D226" s="0" t="n">
        <f aca="true">CRITBINOM($C226,MIN(0.75,Matchup!$B$39*$B226),RAND())</f>
        <v>3</v>
      </c>
      <c r="E226" s="0" t="n">
        <f aca="true">CRITBINOM(D226,Coefficients!$B$30,RAND())</f>
        <v>1</v>
      </c>
      <c r="F226" s="0" t="n">
        <f aca="true">CRITBINOM(E226,Coefficients!$B$31,RAND())</f>
        <v>0</v>
      </c>
      <c r="G226" s="0" t="n">
        <f aca="true">CRITBINOM(MAX(0,D226-E226),1-Coefficients!$B$32,RAND())</f>
        <v>0</v>
      </c>
      <c r="H226" s="0" t="n">
        <f aca="true">CRITBINOM(MAX(0,$C226-D226),MIN(0.6,Matchup!$B$40*SQRT($B226)/(1-MIN(0.75,Matchup!$B$39*$B226))),RAND())</f>
        <v>1</v>
      </c>
      <c r="I226" s="0" t="n">
        <f aca="false">6*D226+(D226-E226-G226)+2*F226+3*H226</f>
        <v>23</v>
      </c>
      <c r="J226" s="0" t="n">
        <f aca="true">CRITBINOM($C226,MIN(0.75,Matchup!$C$39*$B226),RAND())</f>
        <v>4</v>
      </c>
      <c r="K226" s="0" t="n">
        <f aca="true">CRITBINOM(J226,Coefficients!$B$30,RAND())</f>
        <v>0</v>
      </c>
      <c r="L226" s="0" t="n">
        <f aca="true">CRITBINOM(K226,Coefficients!$B$31,RAND())</f>
        <v>0</v>
      </c>
      <c r="M226" s="0" t="n">
        <f aca="true">CRITBINOM(MAX(0,J226-K226),1-Coefficients!$B$32,RAND())</f>
        <v>0</v>
      </c>
      <c r="N226" s="0" t="n">
        <f aca="true">CRITBINOM(MAX(0,$C226-J226),MIN(0.6,Matchup!$C$40*SQRT($B226)/(1-MIN(0.75,Matchup!$C$39*$B226))),RAND())</f>
        <v>1</v>
      </c>
      <c r="O226" s="0" t="n">
        <f aca="false">6*J226+(J226-K226-M226)+2*L226+3*N226</f>
        <v>31</v>
      </c>
      <c r="P226" s="0" t="n">
        <f aca="true">RAND()</f>
        <v>0.579691780024322</v>
      </c>
      <c r="Q226" s="0" t="n">
        <f aca="true">RAND()</f>
        <v>0.748484709944169</v>
      </c>
      <c r="R226" s="0" t="n">
        <f aca="false">IF($I226&lt;&gt;$O226,0,IF(P226&lt;Matchup!$B$39,7,IF(P226&lt;Matchup!$B$39+Matchup!$B$40,3,0)))</f>
        <v>0</v>
      </c>
      <c r="S226" s="0" t="n">
        <f aca="false">IF($I226&lt;&gt;$O226,0,IF(Q226&lt;Matchup!$C$39,7,IF(Q226&lt;Matchup!$C$39+Matchup!$C$40,3,0)))</f>
        <v>0</v>
      </c>
      <c r="T226" s="0" t="n">
        <f aca="false">I226+R226</f>
        <v>23</v>
      </c>
      <c r="U226" s="0" t="n">
        <f aca="false">O226+S226</f>
        <v>31</v>
      </c>
      <c r="V226" s="0" t="n">
        <f aca="false">T226-U226</f>
        <v>-8</v>
      </c>
      <c r="W226" s="0" t="n">
        <f aca="false">T226+U226</f>
        <v>54</v>
      </c>
    </row>
    <row r="227" customFormat="false" ht="15" hidden="false" customHeight="false" outlineLevel="0" collapsed="false">
      <c r="A227" s="0" t="n">
        <v>224</v>
      </c>
      <c r="B227" s="0" t="n">
        <f aca="true">NORMINV(RAND(),1,Coefficients!$B$22)</f>
        <v>0.985640461006594</v>
      </c>
      <c r="C227" s="0" t="n">
        <f aca="true">MEDIAN(8,16,ROUND(NORMINV(RAND(),Coefficients!$B$20,Coefficients!$B$21),0))</f>
        <v>10</v>
      </c>
      <c r="D227" s="0" t="n">
        <f aca="true">CRITBINOM($C227,MIN(0.75,Matchup!$B$39*$B227),RAND())</f>
        <v>4</v>
      </c>
      <c r="E227" s="0" t="n">
        <f aca="true">CRITBINOM(D227,Coefficients!$B$30,RAND())</f>
        <v>0</v>
      </c>
      <c r="F227" s="0" t="n">
        <f aca="true">CRITBINOM(E227,Coefficients!$B$31,RAND())</f>
        <v>0</v>
      </c>
      <c r="G227" s="0" t="n">
        <f aca="true">CRITBINOM(MAX(0,D227-E227),1-Coefficients!$B$32,RAND())</f>
        <v>0</v>
      </c>
      <c r="H227" s="0" t="n">
        <f aca="true">CRITBINOM(MAX(0,$C227-D227),MIN(0.6,Matchup!$B$40*SQRT($B227)/(1-MIN(0.75,Matchup!$B$39*$B227))),RAND())</f>
        <v>4</v>
      </c>
      <c r="I227" s="0" t="n">
        <f aca="false">6*D227+(D227-E227-G227)+2*F227+3*H227</f>
        <v>40</v>
      </c>
      <c r="J227" s="0" t="n">
        <f aca="true">CRITBINOM($C227,MIN(0.75,Matchup!$C$39*$B227),RAND())</f>
        <v>1</v>
      </c>
      <c r="K227" s="0" t="n">
        <f aca="true">CRITBINOM(J227,Coefficients!$B$30,RAND())</f>
        <v>0</v>
      </c>
      <c r="L227" s="0" t="n">
        <f aca="true">CRITBINOM(K227,Coefficients!$B$31,RAND())</f>
        <v>0</v>
      </c>
      <c r="M227" s="0" t="n">
        <f aca="true">CRITBINOM(MAX(0,J227-K227),1-Coefficients!$B$32,RAND())</f>
        <v>0</v>
      </c>
      <c r="N227" s="0" t="n">
        <f aca="true">CRITBINOM(MAX(0,$C227-J227),MIN(0.6,Matchup!$C$40*SQRT($B227)/(1-MIN(0.75,Matchup!$C$39*$B227))),RAND())</f>
        <v>4</v>
      </c>
      <c r="O227" s="0" t="n">
        <f aca="false">6*J227+(J227-K227-M227)+2*L227+3*N227</f>
        <v>19</v>
      </c>
      <c r="P227" s="0" t="n">
        <f aca="true">RAND()</f>
        <v>0.154224870636987</v>
      </c>
      <c r="Q227" s="0" t="n">
        <f aca="true">RAND()</f>
        <v>0.917349777620549</v>
      </c>
      <c r="R227" s="0" t="n">
        <f aca="false">IF($I227&lt;&gt;$O227,0,IF(P227&lt;Matchup!$B$39,7,IF(P227&lt;Matchup!$B$39+Matchup!$B$40,3,0)))</f>
        <v>0</v>
      </c>
      <c r="S227" s="0" t="n">
        <f aca="false">IF($I227&lt;&gt;$O227,0,IF(Q227&lt;Matchup!$C$39,7,IF(Q227&lt;Matchup!$C$39+Matchup!$C$40,3,0)))</f>
        <v>0</v>
      </c>
      <c r="T227" s="0" t="n">
        <f aca="false">I227+R227</f>
        <v>40</v>
      </c>
      <c r="U227" s="0" t="n">
        <f aca="false">O227+S227</f>
        <v>19</v>
      </c>
      <c r="V227" s="0" t="n">
        <f aca="false">T227-U227</f>
        <v>21</v>
      </c>
      <c r="W227" s="0" t="n">
        <f aca="false">T227+U227</f>
        <v>59</v>
      </c>
    </row>
    <row r="228" customFormat="false" ht="15" hidden="false" customHeight="false" outlineLevel="0" collapsed="false">
      <c r="A228" s="0" t="n">
        <v>225</v>
      </c>
      <c r="B228" s="0" t="n">
        <f aca="true">NORMINV(RAND(),1,Coefficients!$B$22)</f>
        <v>0.983829801622241</v>
      </c>
      <c r="C228" s="0" t="n">
        <f aca="true">MEDIAN(8,16,ROUND(NORMINV(RAND(),Coefficients!$B$20,Coefficients!$B$21),0))</f>
        <v>12</v>
      </c>
      <c r="D228" s="0" t="n">
        <f aca="true">CRITBINOM($C228,MIN(0.75,Matchup!$B$39*$B228),RAND())</f>
        <v>2</v>
      </c>
      <c r="E228" s="0" t="n">
        <f aca="true">CRITBINOM(D228,Coefficients!$B$30,RAND())</f>
        <v>0</v>
      </c>
      <c r="F228" s="0" t="n">
        <f aca="true">CRITBINOM(E228,Coefficients!$B$31,RAND())</f>
        <v>0</v>
      </c>
      <c r="G228" s="0" t="n">
        <f aca="true">CRITBINOM(MAX(0,D228-E228),1-Coefficients!$B$32,RAND())</f>
        <v>0</v>
      </c>
      <c r="H228" s="0" t="n">
        <f aca="true">CRITBINOM(MAX(0,$C228-D228),MIN(0.6,Matchup!$B$40*SQRT($B228)/(1-MIN(0.75,Matchup!$B$39*$B228))),RAND())</f>
        <v>2</v>
      </c>
      <c r="I228" s="0" t="n">
        <f aca="false">6*D228+(D228-E228-G228)+2*F228+3*H228</f>
        <v>20</v>
      </c>
      <c r="J228" s="0" t="n">
        <f aca="true">CRITBINOM($C228,MIN(0.75,Matchup!$C$39*$B228),RAND())</f>
        <v>1</v>
      </c>
      <c r="K228" s="0" t="n">
        <f aca="true">CRITBINOM(J228,Coefficients!$B$30,RAND())</f>
        <v>0</v>
      </c>
      <c r="L228" s="0" t="n">
        <f aca="true">CRITBINOM(K228,Coefficients!$B$31,RAND())</f>
        <v>0</v>
      </c>
      <c r="M228" s="0" t="n">
        <f aca="true">CRITBINOM(MAX(0,J228-K228),1-Coefficients!$B$32,RAND())</f>
        <v>0</v>
      </c>
      <c r="N228" s="0" t="n">
        <f aca="true">CRITBINOM(MAX(0,$C228-J228),MIN(0.6,Matchup!$C$40*SQRT($B228)/(1-MIN(0.75,Matchup!$C$39*$B228))),RAND())</f>
        <v>0</v>
      </c>
      <c r="O228" s="0" t="n">
        <f aca="false">6*J228+(J228-K228-M228)+2*L228+3*N228</f>
        <v>7</v>
      </c>
      <c r="P228" s="0" t="n">
        <f aca="true">RAND()</f>
        <v>0.709186266285529</v>
      </c>
      <c r="Q228" s="0" t="n">
        <f aca="true">RAND()</f>
        <v>0.479826780402647</v>
      </c>
      <c r="R228" s="0" t="n">
        <f aca="false">IF($I228&lt;&gt;$O228,0,IF(P228&lt;Matchup!$B$39,7,IF(P228&lt;Matchup!$B$39+Matchup!$B$40,3,0)))</f>
        <v>0</v>
      </c>
      <c r="S228" s="0" t="n">
        <f aca="false">IF($I228&lt;&gt;$O228,0,IF(Q228&lt;Matchup!$C$39,7,IF(Q228&lt;Matchup!$C$39+Matchup!$C$40,3,0)))</f>
        <v>0</v>
      </c>
      <c r="T228" s="0" t="n">
        <f aca="false">I228+R228</f>
        <v>20</v>
      </c>
      <c r="U228" s="0" t="n">
        <f aca="false">O228+S228</f>
        <v>7</v>
      </c>
      <c r="V228" s="0" t="n">
        <f aca="false">T228-U228</f>
        <v>13</v>
      </c>
      <c r="W228" s="0" t="n">
        <f aca="false">T228+U228</f>
        <v>27</v>
      </c>
    </row>
    <row r="229" customFormat="false" ht="15" hidden="false" customHeight="false" outlineLevel="0" collapsed="false">
      <c r="A229" s="0" t="n">
        <v>226</v>
      </c>
      <c r="B229" s="0" t="n">
        <f aca="true">NORMINV(RAND(),1,Coefficients!$B$22)</f>
        <v>1.05905406127268</v>
      </c>
      <c r="C229" s="0" t="n">
        <f aca="true">MEDIAN(8,16,ROUND(NORMINV(RAND(),Coefficients!$B$20,Coefficients!$B$21),0))</f>
        <v>12</v>
      </c>
      <c r="D229" s="0" t="n">
        <f aca="true">CRITBINOM($C229,MIN(0.75,Matchup!$B$39*$B229),RAND())</f>
        <v>3</v>
      </c>
      <c r="E229" s="0" t="n">
        <f aca="true">CRITBINOM(D229,Coefficients!$B$30,RAND())</f>
        <v>0</v>
      </c>
      <c r="F229" s="0" t="n">
        <f aca="true">CRITBINOM(E229,Coefficients!$B$31,RAND())</f>
        <v>0</v>
      </c>
      <c r="G229" s="0" t="n">
        <f aca="true">CRITBINOM(MAX(0,D229-E229),1-Coefficients!$B$32,RAND())</f>
        <v>0</v>
      </c>
      <c r="H229" s="0" t="n">
        <f aca="true">CRITBINOM(MAX(0,$C229-D229),MIN(0.6,Matchup!$B$40*SQRT($B229)/(1-MIN(0.75,Matchup!$B$39*$B229))),RAND())</f>
        <v>1</v>
      </c>
      <c r="I229" s="0" t="n">
        <f aca="false">6*D229+(D229-E229-G229)+2*F229+3*H229</f>
        <v>24</v>
      </c>
      <c r="J229" s="0" t="n">
        <f aca="true">CRITBINOM($C229,MIN(0.75,Matchup!$C$39*$B229),RAND())</f>
        <v>1</v>
      </c>
      <c r="K229" s="0" t="n">
        <f aca="true">CRITBINOM(J229,Coefficients!$B$30,RAND())</f>
        <v>0</v>
      </c>
      <c r="L229" s="0" t="n">
        <f aca="true">CRITBINOM(K229,Coefficients!$B$31,RAND())</f>
        <v>0</v>
      </c>
      <c r="M229" s="0" t="n">
        <f aca="true">CRITBINOM(MAX(0,J229-K229),1-Coefficients!$B$32,RAND())</f>
        <v>0</v>
      </c>
      <c r="N229" s="0" t="n">
        <f aca="true">CRITBINOM(MAX(0,$C229-J229),MIN(0.6,Matchup!$C$40*SQRT($B229)/(1-MIN(0.75,Matchup!$C$39*$B229))),RAND())</f>
        <v>2</v>
      </c>
      <c r="O229" s="0" t="n">
        <f aca="false">6*J229+(J229-K229-M229)+2*L229+3*N229</f>
        <v>13</v>
      </c>
      <c r="P229" s="0" t="n">
        <f aca="true">RAND()</f>
        <v>0.244722740837117</v>
      </c>
      <c r="Q229" s="0" t="n">
        <f aca="true">RAND()</f>
        <v>0.517425027651652</v>
      </c>
      <c r="R229" s="0" t="n">
        <f aca="false">IF($I229&lt;&gt;$O229,0,IF(P229&lt;Matchup!$B$39,7,IF(P229&lt;Matchup!$B$39+Matchup!$B$40,3,0)))</f>
        <v>0</v>
      </c>
      <c r="S229" s="0" t="n">
        <f aca="false">IF($I229&lt;&gt;$O229,0,IF(Q229&lt;Matchup!$C$39,7,IF(Q229&lt;Matchup!$C$39+Matchup!$C$40,3,0)))</f>
        <v>0</v>
      </c>
      <c r="T229" s="0" t="n">
        <f aca="false">I229+R229</f>
        <v>24</v>
      </c>
      <c r="U229" s="0" t="n">
        <f aca="false">O229+S229</f>
        <v>13</v>
      </c>
      <c r="V229" s="0" t="n">
        <f aca="false">T229-U229</f>
        <v>11</v>
      </c>
      <c r="W229" s="0" t="n">
        <f aca="false">T229+U229</f>
        <v>37</v>
      </c>
    </row>
    <row r="230" customFormat="false" ht="15" hidden="false" customHeight="false" outlineLevel="0" collapsed="false">
      <c r="A230" s="0" t="n">
        <v>227</v>
      </c>
      <c r="B230" s="0" t="n">
        <f aca="true">NORMINV(RAND(),1,Coefficients!$B$22)</f>
        <v>1.02669186784193</v>
      </c>
      <c r="C230" s="0" t="n">
        <f aca="true">MEDIAN(8,16,ROUND(NORMINV(RAND(),Coefficients!$B$20,Coefficients!$B$21),0))</f>
        <v>11</v>
      </c>
      <c r="D230" s="0" t="n">
        <f aca="true">CRITBINOM($C230,MIN(0.75,Matchup!$B$39*$B230),RAND())</f>
        <v>5</v>
      </c>
      <c r="E230" s="0" t="n">
        <f aca="true">CRITBINOM(D230,Coefficients!$B$30,RAND())</f>
        <v>0</v>
      </c>
      <c r="F230" s="0" t="n">
        <f aca="true">CRITBINOM(E230,Coefficients!$B$31,RAND())</f>
        <v>0</v>
      </c>
      <c r="G230" s="0" t="n">
        <f aca="true">CRITBINOM(MAX(0,D230-E230),1-Coefficients!$B$32,RAND())</f>
        <v>0</v>
      </c>
      <c r="H230" s="0" t="n">
        <f aca="true">CRITBINOM(MAX(0,$C230-D230),MIN(0.6,Matchup!$B$40*SQRT($B230)/(1-MIN(0.75,Matchup!$B$39*$B230))),RAND())</f>
        <v>2</v>
      </c>
      <c r="I230" s="0" t="n">
        <f aca="false">6*D230+(D230-E230-G230)+2*F230+3*H230</f>
        <v>41</v>
      </c>
      <c r="J230" s="0" t="n">
        <f aca="true">CRITBINOM($C230,MIN(0.75,Matchup!$C$39*$B230),RAND())</f>
        <v>3</v>
      </c>
      <c r="K230" s="0" t="n">
        <f aca="true">CRITBINOM(J230,Coefficients!$B$30,RAND())</f>
        <v>0</v>
      </c>
      <c r="L230" s="0" t="n">
        <f aca="true">CRITBINOM(K230,Coefficients!$B$31,RAND())</f>
        <v>0</v>
      </c>
      <c r="M230" s="0" t="n">
        <f aca="true">CRITBINOM(MAX(0,J230-K230),1-Coefficients!$B$32,RAND())</f>
        <v>0</v>
      </c>
      <c r="N230" s="0" t="n">
        <f aca="true">CRITBINOM(MAX(0,$C230-J230),MIN(0.6,Matchup!$C$40*SQRT($B230)/(1-MIN(0.75,Matchup!$C$39*$B230))),RAND())</f>
        <v>1</v>
      </c>
      <c r="O230" s="0" t="n">
        <f aca="false">6*J230+(J230-K230-M230)+2*L230+3*N230</f>
        <v>24</v>
      </c>
      <c r="P230" s="0" t="n">
        <f aca="true">RAND()</f>
        <v>0.293210769864768</v>
      </c>
      <c r="Q230" s="0" t="n">
        <f aca="true">RAND()</f>
        <v>0.469967937052864</v>
      </c>
      <c r="R230" s="0" t="n">
        <f aca="false">IF($I230&lt;&gt;$O230,0,IF(P230&lt;Matchup!$B$39,7,IF(P230&lt;Matchup!$B$39+Matchup!$B$40,3,0)))</f>
        <v>0</v>
      </c>
      <c r="S230" s="0" t="n">
        <f aca="false">IF($I230&lt;&gt;$O230,0,IF(Q230&lt;Matchup!$C$39,7,IF(Q230&lt;Matchup!$C$39+Matchup!$C$40,3,0)))</f>
        <v>0</v>
      </c>
      <c r="T230" s="0" t="n">
        <f aca="false">I230+R230</f>
        <v>41</v>
      </c>
      <c r="U230" s="0" t="n">
        <f aca="false">O230+S230</f>
        <v>24</v>
      </c>
      <c r="V230" s="0" t="n">
        <f aca="false">T230-U230</f>
        <v>17</v>
      </c>
      <c r="W230" s="0" t="n">
        <f aca="false">T230+U230</f>
        <v>65</v>
      </c>
    </row>
    <row r="231" customFormat="false" ht="15" hidden="false" customHeight="false" outlineLevel="0" collapsed="false">
      <c r="A231" s="0" t="n">
        <v>228</v>
      </c>
      <c r="B231" s="0" t="n">
        <f aca="true">NORMINV(RAND(),1,Coefficients!$B$22)</f>
        <v>1.09866989659875</v>
      </c>
      <c r="C231" s="0" t="n">
        <f aca="true">MEDIAN(8,16,ROUND(NORMINV(RAND(),Coefficients!$B$20,Coefficients!$B$21),0))</f>
        <v>12</v>
      </c>
      <c r="D231" s="0" t="n">
        <f aca="true">CRITBINOM($C231,MIN(0.75,Matchup!$B$39*$B231),RAND())</f>
        <v>2</v>
      </c>
      <c r="E231" s="0" t="n">
        <f aca="true">CRITBINOM(D231,Coefficients!$B$30,RAND())</f>
        <v>0</v>
      </c>
      <c r="F231" s="0" t="n">
        <f aca="true">CRITBINOM(E231,Coefficients!$B$31,RAND())</f>
        <v>0</v>
      </c>
      <c r="G231" s="0" t="n">
        <f aca="true">CRITBINOM(MAX(0,D231-E231),1-Coefficients!$B$32,RAND())</f>
        <v>0</v>
      </c>
      <c r="H231" s="0" t="n">
        <f aca="true">CRITBINOM(MAX(0,$C231-D231),MIN(0.6,Matchup!$B$40*SQRT($B231)/(1-MIN(0.75,Matchup!$B$39*$B231))),RAND())</f>
        <v>1</v>
      </c>
      <c r="I231" s="0" t="n">
        <f aca="false">6*D231+(D231-E231-G231)+2*F231+3*H231</f>
        <v>17</v>
      </c>
      <c r="J231" s="0" t="n">
        <f aca="true">CRITBINOM($C231,MIN(0.75,Matchup!$C$39*$B231),RAND())</f>
        <v>2</v>
      </c>
      <c r="K231" s="0" t="n">
        <f aca="true">CRITBINOM(J231,Coefficients!$B$30,RAND())</f>
        <v>0</v>
      </c>
      <c r="L231" s="0" t="n">
        <f aca="true">CRITBINOM(K231,Coefficients!$B$31,RAND())</f>
        <v>0</v>
      </c>
      <c r="M231" s="0" t="n">
        <f aca="true">CRITBINOM(MAX(0,J231-K231),1-Coefficients!$B$32,RAND())</f>
        <v>0</v>
      </c>
      <c r="N231" s="0" t="n">
        <f aca="true">CRITBINOM(MAX(0,$C231-J231),MIN(0.6,Matchup!$C$40*SQRT($B231)/(1-MIN(0.75,Matchup!$C$39*$B231))),RAND())</f>
        <v>2</v>
      </c>
      <c r="O231" s="0" t="n">
        <f aca="false">6*J231+(J231-K231-M231)+2*L231+3*N231</f>
        <v>20</v>
      </c>
      <c r="P231" s="0" t="n">
        <f aca="true">RAND()</f>
        <v>0.959462998432557</v>
      </c>
      <c r="Q231" s="0" t="n">
        <f aca="true">RAND()</f>
        <v>0.105447871097854</v>
      </c>
      <c r="R231" s="0" t="n">
        <f aca="false">IF($I231&lt;&gt;$O231,0,IF(P231&lt;Matchup!$B$39,7,IF(P231&lt;Matchup!$B$39+Matchup!$B$40,3,0)))</f>
        <v>0</v>
      </c>
      <c r="S231" s="0" t="n">
        <f aca="false">IF($I231&lt;&gt;$O231,0,IF(Q231&lt;Matchup!$C$39,7,IF(Q231&lt;Matchup!$C$39+Matchup!$C$40,3,0)))</f>
        <v>0</v>
      </c>
      <c r="T231" s="0" t="n">
        <f aca="false">I231+R231</f>
        <v>17</v>
      </c>
      <c r="U231" s="0" t="n">
        <f aca="false">O231+S231</f>
        <v>20</v>
      </c>
      <c r="V231" s="0" t="n">
        <f aca="false">T231-U231</f>
        <v>-3</v>
      </c>
      <c r="W231" s="0" t="n">
        <f aca="false">T231+U231</f>
        <v>37</v>
      </c>
    </row>
    <row r="232" customFormat="false" ht="15" hidden="false" customHeight="false" outlineLevel="0" collapsed="false">
      <c r="A232" s="0" t="n">
        <v>229</v>
      </c>
      <c r="B232" s="0" t="n">
        <f aca="true">NORMINV(RAND(),1,Coefficients!$B$22)</f>
        <v>1.01432555678967</v>
      </c>
      <c r="C232" s="0" t="n">
        <f aca="true">MEDIAN(8,16,ROUND(NORMINV(RAND(),Coefficients!$B$20,Coefficients!$B$21),0))</f>
        <v>12</v>
      </c>
      <c r="D232" s="0" t="n">
        <f aca="true">CRITBINOM($C232,MIN(0.75,Matchup!$B$39*$B232),RAND())</f>
        <v>4</v>
      </c>
      <c r="E232" s="0" t="n">
        <f aca="true">CRITBINOM(D232,Coefficients!$B$30,RAND())</f>
        <v>0</v>
      </c>
      <c r="F232" s="0" t="n">
        <f aca="true">CRITBINOM(E232,Coefficients!$B$31,RAND())</f>
        <v>0</v>
      </c>
      <c r="G232" s="0" t="n">
        <f aca="true">CRITBINOM(MAX(0,D232-E232),1-Coefficients!$B$32,RAND())</f>
        <v>0</v>
      </c>
      <c r="H232" s="0" t="n">
        <f aca="true">CRITBINOM(MAX(0,$C232-D232),MIN(0.6,Matchup!$B$40*SQRT($B232)/(1-MIN(0.75,Matchup!$B$39*$B232))),RAND())</f>
        <v>1</v>
      </c>
      <c r="I232" s="0" t="n">
        <f aca="false">6*D232+(D232-E232-G232)+2*F232+3*H232</f>
        <v>31</v>
      </c>
      <c r="J232" s="0" t="n">
        <f aca="true">CRITBINOM($C232,MIN(0.75,Matchup!$C$39*$B232),RAND())</f>
        <v>5</v>
      </c>
      <c r="K232" s="0" t="n">
        <f aca="true">CRITBINOM(J232,Coefficients!$B$30,RAND())</f>
        <v>0</v>
      </c>
      <c r="L232" s="0" t="n">
        <f aca="true">CRITBINOM(K232,Coefficients!$B$31,RAND())</f>
        <v>0</v>
      </c>
      <c r="M232" s="0" t="n">
        <f aca="true">CRITBINOM(MAX(0,J232-K232),1-Coefficients!$B$32,RAND())</f>
        <v>0</v>
      </c>
      <c r="N232" s="0" t="n">
        <f aca="true">CRITBINOM(MAX(0,$C232-J232),MIN(0.6,Matchup!$C$40*SQRT($B232)/(1-MIN(0.75,Matchup!$C$39*$B232))),RAND())</f>
        <v>1</v>
      </c>
      <c r="O232" s="0" t="n">
        <f aca="false">6*J232+(J232-K232-M232)+2*L232+3*N232</f>
        <v>38</v>
      </c>
      <c r="P232" s="0" t="n">
        <f aca="true">RAND()</f>
        <v>0.429491304687887</v>
      </c>
      <c r="Q232" s="0" t="n">
        <f aca="true">RAND()</f>
        <v>0.00677033374498442</v>
      </c>
      <c r="R232" s="0" t="n">
        <f aca="false">IF($I232&lt;&gt;$O232,0,IF(P232&lt;Matchup!$B$39,7,IF(P232&lt;Matchup!$B$39+Matchup!$B$40,3,0)))</f>
        <v>0</v>
      </c>
      <c r="S232" s="0" t="n">
        <f aca="false">IF($I232&lt;&gt;$O232,0,IF(Q232&lt;Matchup!$C$39,7,IF(Q232&lt;Matchup!$C$39+Matchup!$C$40,3,0)))</f>
        <v>0</v>
      </c>
      <c r="T232" s="0" t="n">
        <f aca="false">I232+R232</f>
        <v>31</v>
      </c>
      <c r="U232" s="0" t="n">
        <f aca="false">O232+S232</f>
        <v>38</v>
      </c>
      <c r="V232" s="0" t="n">
        <f aca="false">T232-U232</f>
        <v>-7</v>
      </c>
      <c r="W232" s="0" t="n">
        <f aca="false">T232+U232</f>
        <v>69</v>
      </c>
    </row>
    <row r="233" customFormat="false" ht="15" hidden="false" customHeight="false" outlineLevel="0" collapsed="false">
      <c r="A233" s="0" t="n">
        <v>230</v>
      </c>
      <c r="B233" s="0" t="n">
        <f aca="true">NORMINV(RAND(),1,Coefficients!$B$22)</f>
        <v>1.0102437890035</v>
      </c>
      <c r="C233" s="0" t="n">
        <f aca="true">MEDIAN(8,16,ROUND(NORMINV(RAND(),Coefficients!$B$20,Coefficients!$B$21),0))</f>
        <v>11</v>
      </c>
      <c r="D233" s="0" t="n">
        <f aca="true">CRITBINOM($C233,MIN(0.75,Matchup!$B$39*$B233),RAND())</f>
        <v>2</v>
      </c>
      <c r="E233" s="0" t="n">
        <f aca="true">CRITBINOM(D233,Coefficients!$B$30,RAND())</f>
        <v>0</v>
      </c>
      <c r="F233" s="0" t="n">
        <f aca="true">CRITBINOM(E233,Coefficients!$B$31,RAND())</f>
        <v>0</v>
      </c>
      <c r="G233" s="0" t="n">
        <f aca="true">CRITBINOM(MAX(0,D233-E233),1-Coefficients!$B$32,RAND())</f>
        <v>0</v>
      </c>
      <c r="H233" s="0" t="n">
        <f aca="true">CRITBINOM(MAX(0,$C233-D233),MIN(0.6,Matchup!$B$40*SQRT($B233)/(1-MIN(0.75,Matchup!$B$39*$B233))),RAND())</f>
        <v>2</v>
      </c>
      <c r="I233" s="0" t="n">
        <f aca="false">6*D233+(D233-E233-G233)+2*F233+3*H233</f>
        <v>20</v>
      </c>
      <c r="J233" s="0" t="n">
        <f aca="true">CRITBINOM($C233,MIN(0.75,Matchup!$C$39*$B233),RAND())</f>
        <v>5</v>
      </c>
      <c r="K233" s="0" t="n">
        <f aca="true">CRITBINOM(J233,Coefficients!$B$30,RAND())</f>
        <v>0</v>
      </c>
      <c r="L233" s="0" t="n">
        <f aca="true">CRITBINOM(K233,Coefficients!$B$31,RAND())</f>
        <v>0</v>
      </c>
      <c r="M233" s="0" t="n">
        <f aca="true">CRITBINOM(MAX(0,J233-K233),1-Coefficients!$B$32,RAND())</f>
        <v>1</v>
      </c>
      <c r="N233" s="0" t="n">
        <f aca="true">CRITBINOM(MAX(0,$C233-J233),MIN(0.6,Matchup!$C$40*SQRT($B233)/(1-MIN(0.75,Matchup!$C$39*$B233))),RAND())</f>
        <v>1</v>
      </c>
      <c r="O233" s="0" t="n">
        <f aca="false">6*J233+(J233-K233-M233)+2*L233+3*N233</f>
        <v>37</v>
      </c>
      <c r="P233" s="0" t="n">
        <f aca="true">RAND()</f>
        <v>0.387484413335864</v>
      </c>
      <c r="Q233" s="0" t="n">
        <f aca="true">RAND()</f>
        <v>0.361415645596607</v>
      </c>
      <c r="R233" s="0" t="n">
        <f aca="false">IF($I233&lt;&gt;$O233,0,IF(P233&lt;Matchup!$B$39,7,IF(P233&lt;Matchup!$B$39+Matchup!$B$40,3,0)))</f>
        <v>0</v>
      </c>
      <c r="S233" s="0" t="n">
        <f aca="false">IF($I233&lt;&gt;$O233,0,IF(Q233&lt;Matchup!$C$39,7,IF(Q233&lt;Matchup!$C$39+Matchup!$C$40,3,0)))</f>
        <v>0</v>
      </c>
      <c r="T233" s="0" t="n">
        <f aca="false">I233+R233</f>
        <v>20</v>
      </c>
      <c r="U233" s="0" t="n">
        <f aca="false">O233+S233</f>
        <v>37</v>
      </c>
      <c r="V233" s="0" t="n">
        <f aca="false">T233-U233</f>
        <v>-17</v>
      </c>
      <c r="W233" s="0" t="n">
        <f aca="false">T233+U233</f>
        <v>57</v>
      </c>
    </row>
    <row r="234" customFormat="false" ht="15" hidden="false" customHeight="false" outlineLevel="0" collapsed="false">
      <c r="A234" s="0" t="n">
        <v>231</v>
      </c>
      <c r="B234" s="0" t="n">
        <f aca="true">NORMINV(RAND(),1,Coefficients!$B$22)</f>
        <v>1.10932478650666</v>
      </c>
      <c r="C234" s="0" t="n">
        <f aca="true">MEDIAN(8,16,ROUND(NORMINV(RAND(),Coefficients!$B$20,Coefficients!$B$21),0))</f>
        <v>9</v>
      </c>
      <c r="D234" s="0" t="n">
        <f aca="true">CRITBINOM($C234,MIN(0.75,Matchup!$B$39*$B234),RAND())</f>
        <v>0</v>
      </c>
      <c r="E234" s="0" t="n">
        <f aca="true">CRITBINOM(D234,Coefficients!$B$30,RAND())</f>
        <v>0</v>
      </c>
      <c r="F234" s="0" t="n">
        <f aca="true">CRITBINOM(E234,Coefficients!$B$31,RAND())</f>
        <v>0</v>
      </c>
      <c r="G234" s="0" t="n">
        <f aca="true">CRITBINOM(MAX(0,D234-E234),1-Coefficients!$B$32,RAND())</f>
        <v>0</v>
      </c>
      <c r="H234" s="0" t="n">
        <f aca="true">CRITBINOM(MAX(0,$C234-D234),MIN(0.6,Matchup!$B$40*SQRT($B234)/(1-MIN(0.75,Matchup!$B$39*$B234))),RAND())</f>
        <v>2</v>
      </c>
      <c r="I234" s="0" t="n">
        <f aca="false">6*D234+(D234-E234-G234)+2*F234+3*H234</f>
        <v>6</v>
      </c>
      <c r="J234" s="0" t="n">
        <f aca="true">CRITBINOM($C234,MIN(0.75,Matchup!$C$39*$B234),RAND())</f>
        <v>3</v>
      </c>
      <c r="K234" s="0" t="n">
        <f aca="true">CRITBINOM(J234,Coefficients!$B$30,RAND())</f>
        <v>0</v>
      </c>
      <c r="L234" s="0" t="n">
        <f aca="true">CRITBINOM(K234,Coefficients!$B$31,RAND())</f>
        <v>0</v>
      </c>
      <c r="M234" s="0" t="n">
        <f aca="true">CRITBINOM(MAX(0,J234-K234),1-Coefficients!$B$32,RAND())</f>
        <v>0</v>
      </c>
      <c r="N234" s="0" t="n">
        <f aca="true">CRITBINOM(MAX(0,$C234-J234),MIN(0.6,Matchup!$C$40*SQRT($B234)/(1-MIN(0.75,Matchup!$C$39*$B234))),RAND())</f>
        <v>1</v>
      </c>
      <c r="O234" s="0" t="n">
        <f aca="false">6*J234+(J234-K234-M234)+2*L234+3*N234</f>
        <v>24</v>
      </c>
      <c r="P234" s="0" t="n">
        <f aca="true">RAND()</f>
        <v>0.497866869941028</v>
      </c>
      <c r="Q234" s="0" t="n">
        <f aca="true">RAND()</f>
        <v>0.0824312137999868</v>
      </c>
      <c r="R234" s="0" t="n">
        <f aca="false">IF($I234&lt;&gt;$O234,0,IF(P234&lt;Matchup!$B$39,7,IF(P234&lt;Matchup!$B$39+Matchup!$B$40,3,0)))</f>
        <v>0</v>
      </c>
      <c r="S234" s="0" t="n">
        <f aca="false">IF($I234&lt;&gt;$O234,0,IF(Q234&lt;Matchup!$C$39,7,IF(Q234&lt;Matchup!$C$39+Matchup!$C$40,3,0)))</f>
        <v>0</v>
      </c>
      <c r="T234" s="0" t="n">
        <f aca="false">I234+R234</f>
        <v>6</v>
      </c>
      <c r="U234" s="0" t="n">
        <f aca="false">O234+S234</f>
        <v>24</v>
      </c>
      <c r="V234" s="0" t="n">
        <f aca="false">T234-U234</f>
        <v>-18</v>
      </c>
      <c r="W234" s="0" t="n">
        <f aca="false">T234+U234</f>
        <v>30</v>
      </c>
    </row>
    <row r="235" customFormat="false" ht="15" hidden="false" customHeight="false" outlineLevel="0" collapsed="false">
      <c r="A235" s="0" t="n">
        <v>232</v>
      </c>
      <c r="B235" s="0" t="n">
        <f aca="true">NORMINV(RAND(),1,Coefficients!$B$22)</f>
        <v>1.14154470169149</v>
      </c>
      <c r="C235" s="0" t="n">
        <f aca="true">MEDIAN(8,16,ROUND(NORMINV(RAND(),Coefficients!$B$20,Coefficients!$B$21),0))</f>
        <v>14</v>
      </c>
      <c r="D235" s="0" t="n">
        <f aca="true">CRITBINOM($C235,MIN(0.75,Matchup!$B$39*$B235),RAND())</f>
        <v>7</v>
      </c>
      <c r="E235" s="0" t="n">
        <f aca="true">CRITBINOM(D235,Coefficients!$B$30,RAND())</f>
        <v>0</v>
      </c>
      <c r="F235" s="0" t="n">
        <f aca="true">CRITBINOM(E235,Coefficients!$B$31,RAND())</f>
        <v>0</v>
      </c>
      <c r="G235" s="0" t="n">
        <f aca="true">CRITBINOM(MAX(0,D235-E235),1-Coefficients!$B$32,RAND())</f>
        <v>0</v>
      </c>
      <c r="H235" s="0" t="n">
        <f aca="true">CRITBINOM(MAX(0,$C235-D235),MIN(0.6,Matchup!$B$40*SQRT($B235)/(1-MIN(0.75,Matchup!$B$39*$B235))),RAND())</f>
        <v>0</v>
      </c>
      <c r="I235" s="0" t="n">
        <f aca="false">6*D235+(D235-E235-G235)+2*F235+3*H235</f>
        <v>49</v>
      </c>
      <c r="J235" s="0" t="n">
        <f aca="true">CRITBINOM($C235,MIN(0.75,Matchup!$C$39*$B235),RAND())</f>
        <v>4</v>
      </c>
      <c r="K235" s="0" t="n">
        <f aca="true">CRITBINOM(J235,Coefficients!$B$30,RAND())</f>
        <v>1</v>
      </c>
      <c r="L235" s="0" t="n">
        <f aca="true">CRITBINOM(K235,Coefficients!$B$31,RAND())</f>
        <v>0</v>
      </c>
      <c r="M235" s="0" t="n">
        <f aca="true">CRITBINOM(MAX(0,J235-K235),1-Coefficients!$B$32,RAND())</f>
        <v>0</v>
      </c>
      <c r="N235" s="0" t="n">
        <f aca="true">CRITBINOM(MAX(0,$C235-J235),MIN(0.6,Matchup!$C$40*SQRT($B235)/(1-MIN(0.75,Matchup!$C$39*$B235))),RAND())</f>
        <v>1</v>
      </c>
      <c r="O235" s="0" t="n">
        <f aca="false">6*J235+(J235-K235-M235)+2*L235+3*N235</f>
        <v>30</v>
      </c>
      <c r="P235" s="0" t="n">
        <f aca="true">RAND()</f>
        <v>0.796006009040439</v>
      </c>
      <c r="Q235" s="0" t="n">
        <f aca="true">RAND()</f>
        <v>0.830519026970013</v>
      </c>
      <c r="R235" s="0" t="n">
        <f aca="false">IF($I235&lt;&gt;$O235,0,IF(P235&lt;Matchup!$B$39,7,IF(P235&lt;Matchup!$B$39+Matchup!$B$40,3,0)))</f>
        <v>0</v>
      </c>
      <c r="S235" s="0" t="n">
        <f aca="false">IF($I235&lt;&gt;$O235,0,IF(Q235&lt;Matchup!$C$39,7,IF(Q235&lt;Matchup!$C$39+Matchup!$C$40,3,0)))</f>
        <v>0</v>
      </c>
      <c r="T235" s="0" t="n">
        <f aca="false">I235+R235</f>
        <v>49</v>
      </c>
      <c r="U235" s="0" t="n">
        <f aca="false">O235+S235</f>
        <v>30</v>
      </c>
      <c r="V235" s="0" t="n">
        <f aca="false">T235-U235</f>
        <v>19</v>
      </c>
      <c r="W235" s="0" t="n">
        <f aca="false">T235+U235</f>
        <v>79</v>
      </c>
    </row>
    <row r="236" customFormat="false" ht="15" hidden="false" customHeight="false" outlineLevel="0" collapsed="false">
      <c r="A236" s="0" t="n">
        <v>233</v>
      </c>
      <c r="B236" s="0" t="n">
        <f aca="true">NORMINV(RAND(),1,Coefficients!$B$22)</f>
        <v>1.02598705661533</v>
      </c>
      <c r="C236" s="0" t="n">
        <f aca="true">MEDIAN(8,16,ROUND(NORMINV(RAND(),Coefficients!$B$20,Coefficients!$B$21),0))</f>
        <v>13</v>
      </c>
      <c r="D236" s="0" t="n">
        <f aca="true">CRITBINOM($C236,MIN(0.75,Matchup!$B$39*$B236),RAND())</f>
        <v>2</v>
      </c>
      <c r="E236" s="0" t="n">
        <f aca="true">CRITBINOM(D236,Coefficients!$B$30,RAND())</f>
        <v>0</v>
      </c>
      <c r="F236" s="0" t="n">
        <f aca="true">CRITBINOM(E236,Coefficients!$B$31,RAND())</f>
        <v>0</v>
      </c>
      <c r="G236" s="0" t="n">
        <f aca="true">CRITBINOM(MAX(0,D236-E236),1-Coefficients!$B$32,RAND())</f>
        <v>0</v>
      </c>
      <c r="H236" s="0" t="n">
        <f aca="true">CRITBINOM(MAX(0,$C236-D236),MIN(0.6,Matchup!$B$40*SQRT($B236)/(1-MIN(0.75,Matchup!$B$39*$B236))),RAND())</f>
        <v>2</v>
      </c>
      <c r="I236" s="0" t="n">
        <f aca="false">6*D236+(D236-E236-G236)+2*F236+3*H236</f>
        <v>20</v>
      </c>
      <c r="J236" s="0" t="n">
        <f aca="true">CRITBINOM($C236,MIN(0.75,Matchup!$C$39*$B236),RAND())</f>
        <v>1</v>
      </c>
      <c r="K236" s="0" t="n">
        <f aca="true">CRITBINOM(J236,Coefficients!$B$30,RAND())</f>
        <v>1</v>
      </c>
      <c r="L236" s="0" t="n">
        <f aca="true">CRITBINOM(K236,Coefficients!$B$31,RAND())</f>
        <v>0</v>
      </c>
      <c r="M236" s="0" t="n">
        <f aca="true">CRITBINOM(MAX(0,J236-K236),1-Coefficients!$B$32,RAND())</f>
        <v>0</v>
      </c>
      <c r="N236" s="0" t="n">
        <f aca="true">CRITBINOM(MAX(0,$C236-J236),MIN(0.6,Matchup!$C$40*SQRT($B236)/(1-MIN(0.75,Matchup!$C$39*$B236))),RAND())</f>
        <v>2</v>
      </c>
      <c r="O236" s="0" t="n">
        <f aca="false">6*J236+(J236-K236-M236)+2*L236+3*N236</f>
        <v>12</v>
      </c>
      <c r="P236" s="0" t="n">
        <f aca="true">RAND()</f>
        <v>0.754504655797057</v>
      </c>
      <c r="Q236" s="0" t="n">
        <f aca="true">RAND()</f>
        <v>0.748836837056013</v>
      </c>
      <c r="R236" s="0" t="n">
        <f aca="false">IF($I236&lt;&gt;$O236,0,IF(P236&lt;Matchup!$B$39,7,IF(P236&lt;Matchup!$B$39+Matchup!$B$40,3,0)))</f>
        <v>0</v>
      </c>
      <c r="S236" s="0" t="n">
        <f aca="false">IF($I236&lt;&gt;$O236,0,IF(Q236&lt;Matchup!$C$39,7,IF(Q236&lt;Matchup!$C$39+Matchup!$C$40,3,0)))</f>
        <v>0</v>
      </c>
      <c r="T236" s="0" t="n">
        <f aca="false">I236+R236</f>
        <v>20</v>
      </c>
      <c r="U236" s="0" t="n">
        <f aca="false">O236+S236</f>
        <v>12</v>
      </c>
      <c r="V236" s="0" t="n">
        <f aca="false">T236-U236</f>
        <v>8</v>
      </c>
      <c r="W236" s="0" t="n">
        <f aca="false">T236+U236</f>
        <v>32</v>
      </c>
    </row>
    <row r="237" customFormat="false" ht="15" hidden="false" customHeight="false" outlineLevel="0" collapsed="false">
      <c r="A237" s="0" t="n">
        <v>234</v>
      </c>
      <c r="B237" s="0" t="n">
        <f aca="true">NORMINV(RAND(),1,Coefficients!$B$22)</f>
        <v>0.990802994158038</v>
      </c>
      <c r="C237" s="0" t="n">
        <f aca="true">MEDIAN(8,16,ROUND(NORMINV(RAND(),Coefficients!$B$20,Coefficients!$B$21),0))</f>
        <v>11</v>
      </c>
      <c r="D237" s="0" t="n">
        <f aca="true">CRITBINOM($C237,MIN(0.75,Matchup!$B$39*$B237),RAND())</f>
        <v>1</v>
      </c>
      <c r="E237" s="0" t="n">
        <f aca="true">CRITBINOM(D237,Coefficients!$B$30,RAND())</f>
        <v>0</v>
      </c>
      <c r="F237" s="0" t="n">
        <f aca="true">CRITBINOM(E237,Coefficients!$B$31,RAND())</f>
        <v>0</v>
      </c>
      <c r="G237" s="0" t="n">
        <f aca="true">CRITBINOM(MAX(0,D237-E237),1-Coefficients!$B$32,RAND())</f>
        <v>0</v>
      </c>
      <c r="H237" s="0" t="n">
        <f aca="true">CRITBINOM(MAX(0,$C237-D237),MIN(0.6,Matchup!$B$40*SQRT($B237)/(1-MIN(0.75,Matchup!$B$39*$B237))),RAND())</f>
        <v>1</v>
      </c>
      <c r="I237" s="0" t="n">
        <f aca="false">6*D237+(D237-E237-G237)+2*F237+3*H237</f>
        <v>10</v>
      </c>
      <c r="J237" s="0" t="n">
        <f aca="true">CRITBINOM($C237,MIN(0.75,Matchup!$C$39*$B237),RAND())</f>
        <v>3</v>
      </c>
      <c r="K237" s="0" t="n">
        <f aca="true">CRITBINOM(J237,Coefficients!$B$30,RAND())</f>
        <v>0</v>
      </c>
      <c r="L237" s="0" t="n">
        <f aca="true">CRITBINOM(K237,Coefficients!$B$31,RAND())</f>
        <v>0</v>
      </c>
      <c r="M237" s="0" t="n">
        <f aca="true">CRITBINOM(MAX(0,J237-K237),1-Coefficients!$B$32,RAND())</f>
        <v>1</v>
      </c>
      <c r="N237" s="0" t="n">
        <f aca="true">CRITBINOM(MAX(0,$C237-J237),MIN(0.6,Matchup!$C$40*SQRT($B237)/(1-MIN(0.75,Matchup!$C$39*$B237))),RAND())</f>
        <v>1</v>
      </c>
      <c r="O237" s="0" t="n">
        <f aca="false">6*J237+(J237-K237-M237)+2*L237+3*N237</f>
        <v>23</v>
      </c>
      <c r="P237" s="0" t="n">
        <f aca="true">RAND()</f>
        <v>0.318448841558701</v>
      </c>
      <c r="Q237" s="0" t="n">
        <f aca="true">RAND()</f>
        <v>0.479115475495977</v>
      </c>
      <c r="R237" s="0" t="n">
        <f aca="false">IF($I237&lt;&gt;$O237,0,IF(P237&lt;Matchup!$B$39,7,IF(P237&lt;Matchup!$B$39+Matchup!$B$40,3,0)))</f>
        <v>0</v>
      </c>
      <c r="S237" s="0" t="n">
        <f aca="false">IF($I237&lt;&gt;$O237,0,IF(Q237&lt;Matchup!$C$39,7,IF(Q237&lt;Matchup!$C$39+Matchup!$C$40,3,0)))</f>
        <v>0</v>
      </c>
      <c r="T237" s="0" t="n">
        <f aca="false">I237+R237</f>
        <v>10</v>
      </c>
      <c r="U237" s="0" t="n">
        <f aca="false">O237+S237</f>
        <v>23</v>
      </c>
      <c r="V237" s="0" t="n">
        <f aca="false">T237-U237</f>
        <v>-13</v>
      </c>
      <c r="W237" s="0" t="n">
        <f aca="false">T237+U237</f>
        <v>33</v>
      </c>
    </row>
    <row r="238" customFormat="false" ht="15" hidden="false" customHeight="false" outlineLevel="0" collapsed="false">
      <c r="A238" s="0" t="n">
        <v>235</v>
      </c>
      <c r="B238" s="0" t="n">
        <f aca="true">NORMINV(RAND(),1,Coefficients!$B$22)</f>
        <v>0.964613157980147</v>
      </c>
      <c r="C238" s="0" t="n">
        <f aca="true">MEDIAN(8,16,ROUND(NORMINV(RAND(),Coefficients!$B$20,Coefficients!$B$21),0))</f>
        <v>12</v>
      </c>
      <c r="D238" s="0" t="n">
        <f aca="true">CRITBINOM($C238,MIN(0.75,Matchup!$B$39*$B238),RAND())</f>
        <v>3</v>
      </c>
      <c r="E238" s="0" t="n">
        <f aca="true">CRITBINOM(D238,Coefficients!$B$30,RAND())</f>
        <v>0</v>
      </c>
      <c r="F238" s="0" t="n">
        <f aca="true">CRITBINOM(E238,Coefficients!$B$31,RAND())</f>
        <v>0</v>
      </c>
      <c r="G238" s="0" t="n">
        <f aca="true">CRITBINOM(MAX(0,D238-E238),1-Coefficients!$B$32,RAND())</f>
        <v>0</v>
      </c>
      <c r="H238" s="0" t="n">
        <f aca="true">CRITBINOM(MAX(0,$C238-D238),MIN(0.6,Matchup!$B$40*SQRT($B238)/(1-MIN(0.75,Matchup!$B$39*$B238))),RAND())</f>
        <v>1</v>
      </c>
      <c r="I238" s="0" t="n">
        <f aca="false">6*D238+(D238-E238-G238)+2*F238+3*H238</f>
        <v>24</v>
      </c>
      <c r="J238" s="0" t="n">
        <f aca="true">CRITBINOM($C238,MIN(0.75,Matchup!$C$39*$B238),RAND())</f>
        <v>0</v>
      </c>
      <c r="K238" s="0" t="n">
        <f aca="true">CRITBINOM(J238,Coefficients!$B$30,RAND())</f>
        <v>0</v>
      </c>
      <c r="L238" s="0" t="n">
        <f aca="true">CRITBINOM(K238,Coefficients!$B$31,RAND())</f>
        <v>0</v>
      </c>
      <c r="M238" s="0" t="n">
        <f aca="true">CRITBINOM(MAX(0,J238-K238),1-Coefficients!$B$32,RAND())</f>
        <v>0</v>
      </c>
      <c r="N238" s="0" t="n">
        <f aca="true">CRITBINOM(MAX(0,$C238-J238),MIN(0.6,Matchup!$C$40*SQRT($B238)/(1-MIN(0.75,Matchup!$C$39*$B238))),RAND())</f>
        <v>1</v>
      </c>
      <c r="O238" s="0" t="n">
        <f aca="false">6*J238+(J238-K238-M238)+2*L238+3*N238</f>
        <v>3</v>
      </c>
      <c r="P238" s="0" t="n">
        <f aca="true">RAND()</f>
        <v>0.82667154674395</v>
      </c>
      <c r="Q238" s="0" t="n">
        <f aca="true">RAND()</f>
        <v>0.12360377043953</v>
      </c>
      <c r="R238" s="0" t="n">
        <f aca="false">IF($I238&lt;&gt;$O238,0,IF(P238&lt;Matchup!$B$39,7,IF(P238&lt;Matchup!$B$39+Matchup!$B$40,3,0)))</f>
        <v>0</v>
      </c>
      <c r="S238" s="0" t="n">
        <f aca="false">IF($I238&lt;&gt;$O238,0,IF(Q238&lt;Matchup!$C$39,7,IF(Q238&lt;Matchup!$C$39+Matchup!$C$40,3,0)))</f>
        <v>0</v>
      </c>
      <c r="T238" s="0" t="n">
        <f aca="false">I238+R238</f>
        <v>24</v>
      </c>
      <c r="U238" s="0" t="n">
        <f aca="false">O238+S238</f>
        <v>3</v>
      </c>
      <c r="V238" s="0" t="n">
        <f aca="false">T238-U238</f>
        <v>21</v>
      </c>
      <c r="W238" s="0" t="n">
        <f aca="false">T238+U238</f>
        <v>27</v>
      </c>
    </row>
    <row r="239" customFormat="false" ht="15" hidden="false" customHeight="false" outlineLevel="0" collapsed="false">
      <c r="A239" s="0" t="n">
        <v>236</v>
      </c>
      <c r="B239" s="0" t="n">
        <f aca="true">NORMINV(RAND(),1,Coefficients!$B$22)</f>
        <v>0.926893423486014</v>
      </c>
      <c r="C239" s="0" t="n">
        <f aca="true">MEDIAN(8,16,ROUND(NORMINV(RAND(),Coefficients!$B$20,Coefficients!$B$21),0))</f>
        <v>10</v>
      </c>
      <c r="D239" s="0" t="n">
        <f aca="true">CRITBINOM($C239,MIN(0.75,Matchup!$B$39*$B239),RAND())</f>
        <v>0</v>
      </c>
      <c r="E239" s="0" t="n">
        <f aca="true">CRITBINOM(D239,Coefficients!$B$30,RAND())</f>
        <v>0</v>
      </c>
      <c r="F239" s="0" t="n">
        <f aca="true">CRITBINOM(E239,Coefficients!$B$31,RAND())</f>
        <v>0</v>
      </c>
      <c r="G239" s="0" t="n">
        <f aca="true">CRITBINOM(MAX(0,D239-E239),1-Coefficients!$B$32,RAND())</f>
        <v>0</v>
      </c>
      <c r="H239" s="0" t="n">
        <f aca="true">CRITBINOM(MAX(0,$C239-D239),MIN(0.6,Matchup!$B$40*SQRT($B239)/(1-MIN(0.75,Matchup!$B$39*$B239))),RAND())</f>
        <v>1</v>
      </c>
      <c r="I239" s="0" t="n">
        <f aca="false">6*D239+(D239-E239-G239)+2*F239+3*H239</f>
        <v>3</v>
      </c>
      <c r="J239" s="0" t="n">
        <f aca="true">CRITBINOM($C239,MIN(0.75,Matchup!$C$39*$B239),RAND())</f>
        <v>2</v>
      </c>
      <c r="K239" s="0" t="n">
        <f aca="true">CRITBINOM(J239,Coefficients!$B$30,RAND())</f>
        <v>0</v>
      </c>
      <c r="L239" s="0" t="n">
        <f aca="true">CRITBINOM(K239,Coefficients!$B$31,RAND())</f>
        <v>0</v>
      </c>
      <c r="M239" s="0" t="n">
        <f aca="true">CRITBINOM(MAX(0,J239-K239),1-Coefficients!$B$32,RAND())</f>
        <v>0</v>
      </c>
      <c r="N239" s="0" t="n">
        <f aca="true">CRITBINOM(MAX(0,$C239-J239),MIN(0.6,Matchup!$C$40*SQRT($B239)/(1-MIN(0.75,Matchup!$C$39*$B239))),RAND())</f>
        <v>2</v>
      </c>
      <c r="O239" s="0" t="n">
        <f aca="false">6*J239+(J239-K239-M239)+2*L239+3*N239</f>
        <v>20</v>
      </c>
      <c r="P239" s="0" t="n">
        <f aca="true">RAND()</f>
        <v>0.911959881840908</v>
      </c>
      <c r="Q239" s="0" t="n">
        <f aca="true">RAND()</f>
        <v>0.824346746977786</v>
      </c>
      <c r="R239" s="0" t="n">
        <f aca="false">IF($I239&lt;&gt;$O239,0,IF(P239&lt;Matchup!$B$39,7,IF(P239&lt;Matchup!$B$39+Matchup!$B$40,3,0)))</f>
        <v>0</v>
      </c>
      <c r="S239" s="0" t="n">
        <f aca="false">IF($I239&lt;&gt;$O239,0,IF(Q239&lt;Matchup!$C$39,7,IF(Q239&lt;Matchup!$C$39+Matchup!$C$40,3,0)))</f>
        <v>0</v>
      </c>
      <c r="T239" s="0" t="n">
        <f aca="false">I239+R239</f>
        <v>3</v>
      </c>
      <c r="U239" s="0" t="n">
        <f aca="false">O239+S239</f>
        <v>20</v>
      </c>
      <c r="V239" s="0" t="n">
        <f aca="false">T239-U239</f>
        <v>-17</v>
      </c>
      <c r="W239" s="0" t="n">
        <f aca="false">T239+U239</f>
        <v>23</v>
      </c>
    </row>
    <row r="240" customFormat="false" ht="15" hidden="false" customHeight="false" outlineLevel="0" collapsed="false">
      <c r="A240" s="0" t="n">
        <v>237</v>
      </c>
      <c r="B240" s="0" t="n">
        <f aca="true">NORMINV(RAND(),1,Coefficients!$B$22)</f>
        <v>1.06407688959839</v>
      </c>
      <c r="C240" s="0" t="n">
        <f aca="true">MEDIAN(8,16,ROUND(NORMINV(RAND(),Coefficients!$B$20,Coefficients!$B$21),0))</f>
        <v>11</v>
      </c>
      <c r="D240" s="0" t="n">
        <f aca="true">CRITBINOM($C240,MIN(0.75,Matchup!$B$39*$B240),RAND())</f>
        <v>3</v>
      </c>
      <c r="E240" s="0" t="n">
        <f aca="true">CRITBINOM(D240,Coefficients!$B$30,RAND())</f>
        <v>0</v>
      </c>
      <c r="F240" s="0" t="n">
        <f aca="true">CRITBINOM(E240,Coefficients!$B$31,RAND())</f>
        <v>0</v>
      </c>
      <c r="G240" s="0" t="n">
        <f aca="true">CRITBINOM(MAX(0,D240-E240),1-Coefficients!$B$32,RAND())</f>
        <v>1</v>
      </c>
      <c r="H240" s="0" t="n">
        <f aca="true">CRITBINOM(MAX(0,$C240-D240),MIN(0.6,Matchup!$B$40*SQRT($B240)/(1-MIN(0.75,Matchup!$B$39*$B240))),RAND())</f>
        <v>1</v>
      </c>
      <c r="I240" s="0" t="n">
        <f aca="false">6*D240+(D240-E240-G240)+2*F240+3*H240</f>
        <v>23</v>
      </c>
      <c r="J240" s="0" t="n">
        <f aca="true">CRITBINOM($C240,MIN(0.75,Matchup!$C$39*$B240),RAND())</f>
        <v>3</v>
      </c>
      <c r="K240" s="0" t="n">
        <f aca="true">CRITBINOM(J240,Coefficients!$B$30,RAND())</f>
        <v>2</v>
      </c>
      <c r="L240" s="0" t="n">
        <f aca="true">CRITBINOM(K240,Coefficients!$B$31,RAND())</f>
        <v>2</v>
      </c>
      <c r="M240" s="0" t="n">
        <f aca="true">CRITBINOM(MAX(0,J240-K240),1-Coefficients!$B$32,RAND())</f>
        <v>0</v>
      </c>
      <c r="N240" s="0" t="n">
        <f aca="true">CRITBINOM(MAX(0,$C240-J240),MIN(0.6,Matchup!$C$40*SQRT($B240)/(1-MIN(0.75,Matchup!$C$39*$B240))),RAND())</f>
        <v>0</v>
      </c>
      <c r="O240" s="0" t="n">
        <f aca="false">6*J240+(J240-K240-M240)+2*L240+3*N240</f>
        <v>23</v>
      </c>
      <c r="P240" s="0" t="n">
        <f aca="true">RAND()</f>
        <v>0.921190578406063</v>
      </c>
      <c r="Q240" s="0" t="n">
        <f aca="true">RAND()</f>
        <v>0.618201080629567</v>
      </c>
      <c r="R240" s="0" t="n">
        <f aca="false">IF($I240&lt;&gt;$O240,0,IF(P240&lt;Matchup!$B$39,7,IF(P240&lt;Matchup!$B$39+Matchup!$B$40,3,0)))</f>
        <v>0</v>
      </c>
      <c r="S240" s="0" t="n">
        <f aca="false">IF($I240&lt;&gt;$O240,0,IF(Q240&lt;Matchup!$C$39,7,IF(Q240&lt;Matchup!$C$39+Matchup!$C$40,3,0)))</f>
        <v>0</v>
      </c>
      <c r="T240" s="0" t="n">
        <f aca="false">I240+R240</f>
        <v>23</v>
      </c>
      <c r="U240" s="0" t="n">
        <f aca="false">O240+S240</f>
        <v>23</v>
      </c>
      <c r="V240" s="0" t="n">
        <f aca="false">T240-U240</f>
        <v>0</v>
      </c>
      <c r="W240" s="0" t="n">
        <f aca="false">T240+U240</f>
        <v>46</v>
      </c>
    </row>
    <row r="241" customFormat="false" ht="15" hidden="false" customHeight="false" outlineLevel="0" collapsed="false">
      <c r="A241" s="0" t="n">
        <v>238</v>
      </c>
      <c r="B241" s="0" t="n">
        <f aca="true">NORMINV(RAND(),1,Coefficients!$B$22)</f>
        <v>1.04613641875251</v>
      </c>
      <c r="C241" s="0" t="n">
        <f aca="true">MEDIAN(8,16,ROUND(NORMINV(RAND(),Coefficients!$B$20,Coefficients!$B$21),0))</f>
        <v>12</v>
      </c>
      <c r="D241" s="0" t="n">
        <f aca="true">CRITBINOM($C241,MIN(0.75,Matchup!$B$39*$B241),RAND())</f>
        <v>3</v>
      </c>
      <c r="E241" s="0" t="n">
        <f aca="true">CRITBINOM(D241,Coefficients!$B$30,RAND())</f>
        <v>0</v>
      </c>
      <c r="F241" s="0" t="n">
        <f aca="true">CRITBINOM(E241,Coefficients!$B$31,RAND())</f>
        <v>0</v>
      </c>
      <c r="G241" s="0" t="n">
        <f aca="true">CRITBINOM(MAX(0,D241-E241),1-Coefficients!$B$32,RAND())</f>
        <v>0</v>
      </c>
      <c r="H241" s="0" t="n">
        <f aca="true">CRITBINOM(MAX(0,$C241-D241),MIN(0.6,Matchup!$B$40*SQRT($B241)/(1-MIN(0.75,Matchup!$B$39*$B241))),RAND())</f>
        <v>3</v>
      </c>
      <c r="I241" s="0" t="n">
        <f aca="false">6*D241+(D241-E241-G241)+2*F241+3*H241</f>
        <v>30</v>
      </c>
      <c r="J241" s="0" t="n">
        <f aca="true">CRITBINOM($C241,MIN(0.75,Matchup!$C$39*$B241),RAND())</f>
        <v>3</v>
      </c>
      <c r="K241" s="0" t="n">
        <f aca="true">CRITBINOM(J241,Coefficients!$B$30,RAND())</f>
        <v>1</v>
      </c>
      <c r="L241" s="0" t="n">
        <f aca="true">CRITBINOM(K241,Coefficients!$B$31,RAND())</f>
        <v>0</v>
      </c>
      <c r="M241" s="0" t="n">
        <f aca="true">CRITBINOM(MAX(0,J241-K241),1-Coefficients!$B$32,RAND())</f>
        <v>0</v>
      </c>
      <c r="N241" s="0" t="n">
        <f aca="true">CRITBINOM(MAX(0,$C241-J241),MIN(0.6,Matchup!$C$40*SQRT($B241)/(1-MIN(0.75,Matchup!$C$39*$B241))),RAND())</f>
        <v>3</v>
      </c>
      <c r="O241" s="0" t="n">
        <f aca="false">6*J241+(J241-K241-M241)+2*L241+3*N241</f>
        <v>29</v>
      </c>
      <c r="P241" s="0" t="n">
        <f aca="true">RAND()</f>
        <v>0.18505377272566</v>
      </c>
      <c r="Q241" s="0" t="n">
        <f aca="true">RAND()</f>
        <v>0.526498073605468</v>
      </c>
      <c r="R241" s="0" t="n">
        <f aca="false">IF($I241&lt;&gt;$O241,0,IF(P241&lt;Matchup!$B$39,7,IF(P241&lt;Matchup!$B$39+Matchup!$B$40,3,0)))</f>
        <v>0</v>
      </c>
      <c r="S241" s="0" t="n">
        <f aca="false">IF($I241&lt;&gt;$O241,0,IF(Q241&lt;Matchup!$C$39,7,IF(Q241&lt;Matchup!$C$39+Matchup!$C$40,3,0)))</f>
        <v>0</v>
      </c>
      <c r="T241" s="0" t="n">
        <f aca="false">I241+R241</f>
        <v>30</v>
      </c>
      <c r="U241" s="0" t="n">
        <f aca="false">O241+S241</f>
        <v>29</v>
      </c>
      <c r="V241" s="0" t="n">
        <f aca="false">T241-U241</f>
        <v>1</v>
      </c>
      <c r="W241" s="0" t="n">
        <f aca="false">T241+U241</f>
        <v>59</v>
      </c>
    </row>
    <row r="242" customFormat="false" ht="15" hidden="false" customHeight="false" outlineLevel="0" collapsed="false">
      <c r="A242" s="0" t="n">
        <v>239</v>
      </c>
      <c r="B242" s="0" t="n">
        <f aca="true">NORMINV(RAND(),1,Coefficients!$B$22)</f>
        <v>1.00880604839069</v>
      </c>
      <c r="C242" s="0" t="n">
        <f aca="true">MEDIAN(8,16,ROUND(NORMINV(RAND(),Coefficients!$B$20,Coefficients!$B$21),0))</f>
        <v>11</v>
      </c>
      <c r="D242" s="0" t="n">
        <f aca="true">CRITBINOM($C242,MIN(0.75,Matchup!$B$39*$B242),RAND())</f>
        <v>1</v>
      </c>
      <c r="E242" s="0" t="n">
        <f aca="true">CRITBINOM(D242,Coefficients!$B$30,RAND())</f>
        <v>0</v>
      </c>
      <c r="F242" s="0" t="n">
        <f aca="true">CRITBINOM(E242,Coefficients!$B$31,RAND())</f>
        <v>0</v>
      </c>
      <c r="G242" s="0" t="n">
        <f aca="true">CRITBINOM(MAX(0,D242-E242),1-Coefficients!$B$32,RAND())</f>
        <v>0</v>
      </c>
      <c r="H242" s="0" t="n">
        <f aca="true">CRITBINOM(MAX(0,$C242-D242),MIN(0.6,Matchup!$B$40*SQRT($B242)/(1-MIN(0.75,Matchup!$B$39*$B242))),RAND())</f>
        <v>2</v>
      </c>
      <c r="I242" s="0" t="n">
        <f aca="false">6*D242+(D242-E242-G242)+2*F242+3*H242</f>
        <v>13</v>
      </c>
      <c r="J242" s="0" t="n">
        <f aca="true">CRITBINOM($C242,MIN(0.75,Matchup!$C$39*$B242),RAND())</f>
        <v>3</v>
      </c>
      <c r="K242" s="0" t="n">
        <f aca="true">CRITBINOM(J242,Coefficients!$B$30,RAND())</f>
        <v>0</v>
      </c>
      <c r="L242" s="0" t="n">
        <f aca="true">CRITBINOM(K242,Coefficients!$B$31,RAND())</f>
        <v>0</v>
      </c>
      <c r="M242" s="0" t="n">
        <f aca="true">CRITBINOM(MAX(0,J242-K242),1-Coefficients!$B$32,RAND())</f>
        <v>0</v>
      </c>
      <c r="N242" s="0" t="n">
        <f aca="true">CRITBINOM(MAX(0,$C242-J242),MIN(0.6,Matchup!$C$40*SQRT($B242)/(1-MIN(0.75,Matchup!$C$39*$B242))),RAND())</f>
        <v>2</v>
      </c>
      <c r="O242" s="0" t="n">
        <f aca="false">6*J242+(J242-K242-M242)+2*L242+3*N242</f>
        <v>27</v>
      </c>
      <c r="P242" s="0" t="n">
        <f aca="true">RAND()</f>
        <v>0.376183205047613</v>
      </c>
      <c r="Q242" s="0" t="n">
        <f aca="true">RAND()</f>
        <v>0.872581757398762</v>
      </c>
      <c r="R242" s="0" t="n">
        <f aca="false">IF($I242&lt;&gt;$O242,0,IF(P242&lt;Matchup!$B$39,7,IF(P242&lt;Matchup!$B$39+Matchup!$B$40,3,0)))</f>
        <v>0</v>
      </c>
      <c r="S242" s="0" t="n">
        <f aca="false">IF($I242&lt;&gt;$O242,0,IF(Q242&lt;Matchup!$C$39,7,IF(Q242&lt;Matchup!$C$39+Matchup!$C$40,3,0)))</f>
        <v>0</v>
      </c>
      <c r="T242" s="0" t="n">
        <f aca="false">I242+R242</f>
        <v>13</v>
      </c>
      <c r="U242" s="0" t="n">
        <f aca="false">O242+S242</f>
        <v>27</v>
      </c>
      <c r="V242" s="0" t="n">
        <f aca="false">T242-U242</f>
        <v>-14</v>
      </c>
      <c r="W242" s="0" t="n">
        <f aca="false">T242+U242</f>
        <v>40</v>
      </c>
    </row>
    <row r="243" customFormat="false" ht="15" hidden="false" customHeight="false" outlineLevel="0" collapsed="false">
      <c r="A243" s="0" t="n">
        <v>240</v>
      </c>
      <c r="B243" s="0" t="n">
        <f aca="true">NORMINV(RAND(),1,Coefficients!$B$22)</f>
        <v>1.0083413826928</v>
      </c>
      <c r="C243" s="0" t="n">
        <f aca="true">MEDIAN(8,16,ROUND(NORMINV(RAND(),Coefficients!$B$20,Coefficients!$B$21),0))</f>
        <v>14</v>
      </c>
      <c r="D243" s="0" t="n">
        <f aca="true">CRITBINOM($C243,MIN(0.75,Matchup!$B$39*$B243),RAND())</f>
        <v>2</v>
      </c>
      <c r="E243" s="0" t="n">
        <f aca="true">CRITBINOM(D243,Coefficients!$B$30,RAND())</f>
        <v>0</v>
      </c>
      <c r="F243" s="0" t="n">
        <f aca="true">CRITBINOM(E243,Coefficients!$B$31,RAND())</f>
        <v>0</v>
      </c>
      <c r="G243" s="0" t="n">
        <f aca="true">CRITBINOM(MAX(0,D243-E243),1-Coefficients!$B$32,RAND())</f>
        <v>0</v>
      </c>
      <c r="H243" s="0" t="n">
        <f aca="true">CRITBINOM(MAX(0,$C243-D243),MIN(0.6,Matchup!$B$40*SQRT($B243)/(1-MIN(0.75,Matchup!$B$39*$B243))),RAND())</f>
        <v>1</v>
      </c>
      <c r="I243" s="0" t="n">
        <f aca="false">6*D243+(D243-E243-G243)+2*F243+3*H243</f>
        <v>17</v>
      </c>
      <c r="J243" s="0" t="n">
        <f aca="true">CRITBINOM($C243,MIN(0.75,Matchup!$C$39*$B243),RAND())</f>
        <v>2</v>
      </c>
      <c r="K243" s="0" t="n">
        <f aca="true">CRITBINOM(J243,Coefficients!$B$30,RAND())</f>
        <v>0</v>
      </c>
      <c r="L243" s="0" t="n">
        <f aca="true">CRITBINOM(K243,Coefficients!$B$31,RAND())</f>
        <v>0</v>
      </c>
      <c r="M243" s="0" t="n">
        <f aca="true">CRITBINOM(MAX(0,J243-K243),1-Coefficients!$B$32,RAND())</f>
        <v>0</v>
      </c>
      <c r="N243" s="0" t="n">
        <f aca="true">CRITBINOM(MAX(0,$C243-J243),MIN(0.6,Matchup!$C$40*SQRT($B243)/(1-MIN(0.75,Matchup!$C$39*$B243))),RAND())</f>
        <v>3</v>
      </c>
      <c r="O243" s="0" t="n">
        <f aca="false">6*J243+(J243-K243-M243)+2*L243+3*N243</f>
        <v>23</v>
      </c>
      <c r="P243" s="0" t="n">
        <f aca="true">RAND()</f>
        <v>0.27514996531025</v>
      </c>
      <c r="Q243" s="0" t="n">
        <f aca="true">RAND()</f>
        <v>0.621973844190194</v>
      </c>
      <c r="R243" s="0" t="n">
        <f aca="false">IF($I243&lt;&gt;$O243,0,IF(P243&lt;Matchup!$B$39,7,IF(P243&lt;Matchup!$B$39+Matchup!$B$40,3,0)))</f>
        <v>0</v>
      </c>
      <c r="S243" s="0" t="n">
        <f aca="false">IF($I243&lt;&gt;$O243,0,IF(Q243&lt;Matchup!$C$39,7,IF(Q243&lt;Matchup!$C$39+Matchup!$C$40,3,0)))</f>
        <v>0</v>
      </c>
      <c r="T243" s="0" t="n">
        <f aca="false">I243+R243</f>
        <v>17</v>
      </c>
      <c r="U243" s="0" t="n">
        <f aca="false">O243+S243</f>
        <v>23</v>
      </c>
      <c r="V243" s="0" t="n">
        <f aca="false">T243-U243</f>
        <v>-6</v>
      </c>
      <c r="W243" s="0" t="n">
        <f aca="false">T243+U243</f>
        <v>40</v>
      </c>
    </row>
    <row r="244" customFormat="false" ht="15" hidden="false" customHeight="false" outlineLevel="0" collapsed="false">
      <c r="A244" s="0" t="n">
        <v>241</v>
      </c>
      <c r="B244" s="0" t="n">
        <f aca="true">NORMINV(RAND(),1,Coefficients!$B$22)</f>
        <v>1.10190982901006</v>
      </c>
      <c r="C244" s="0" t="n">
        <f aca="true">MEDIAN(8,16,ROUND(NORMINV(RAND(),Coefficients!$B$20,Coefficients!$B$21),0))</f>
        <v>9</v>
      </c>
      <c r="D244" s="0" t="n">
        <f aca="true">CRITBINOM($C244,MIN(0.75,Matchup!$B$39*$B244),RAND())</f>
        <v>4</v>
      </c>
      <c r="E244" s="0" t="n">
        <f aca="true">CRITBINOM(D244,Coefficients!$B$30,RAND())</f>
        <v>0</v>
      </c>
      <c r="F244" s="0" t="n">
        <f aca="true">CRITBINOM(E244,Coefficients!$B$31,RAND())</f>
        <v>0</v>
      </c>
      <c r="G244" s="0" t="n">
        <f aca="true">CRITBINOM(MAX(0,D244-E244),1-Coefficients!$B$32,RAND())</f>
        <v>1</v>
      </c>
      <c r="H244" s="0" t="n">
        <f aca="true">CRITBINOM(MAX(0,$C244-D244),MIN(0.6,Matchup!$B$40*SQRT($B244)/(1-MIN(0.75,Matchup!$B$39*$B244))),RAND())</f>
        <v>2</v>
      </c>
      <c r="I244" s="0" t="n">
        <f aca="false">6*D244+(D244-E244-G244)+2*F244+3*H244</f>
        <v>33</v>
      </c>
      <c r="J244" s="0" t="n">
        <f aca="true">CRITBINOM($C244,MIN(0.75,Matchup!$C$39*$B244),RAND())</f>
        <v>1</v>
      </c>
      <c r="K244" s="0" t="n">
        <f aca="true">CRITBINOM(J244,Coefficients!$B$30,RAND())</f>
        <v>0</v>
      </c>
      <c r="L244" s="0" t="n">
        <f aca="true">CRITBINOM(K244,Coefficients!$B$31,RAND())</f>
        <v>0</v>
      </c>
      <c r="M244" s="0" t="n">
        <f aca="true">CRITBINOM(MAX(0,J244-K244),1-Coefficients!$B$32,RAND())</f>
        <v>0</v>
      </c>
      <c r="N244" s="0" t="n">
        <f aca="true">CRITBINOM(MAX(0,$C244-J244),MIN(0.6,Matchup!$C$40*SQRT($B244)/(1-MIN(0.75,Matchup!$C$39*$B244))),RAND())</f>
        <v>1</v>
      </c>
      <c r="O244" s="0" t="n">
        <f aca="false">6*J244+(J244-K244-M244)+2*L244+3*N244</f>
        <v>10</v>
      </c>
      <c r="P244" s="0" t="n">
        <f aca="true">RAND()</f>
        <v>0.952954402391764</v>
      </c>
      <c r="Q244" s="0" t="n">
        <f aca="true">RAND()</f>
        <v>0.999281845257406</v>
      </c>
      <c r="R244" s="0" t="n">
        <f aca="false">IF($I244&lt;&gt;$O244,0,IF(P244&lt;Matchup!$B$39,7,IF(P244&lt;Matchup!$B$39+Matchup!$B$40,3,0)))</f>
        <v>0</v>
      </c>
      <c r="S244" s="0" t="n">
        <f aca="false">IF($I244&lt;&gt;$O244,0,IF(Q244&lt;Matchup!$C$39,7,IF(Q244&lt;Matchup!$C$39+Matchup!$C$40,3,0)))</f>
        <v>0</v>
      </c>
      <c r="T244" s="0" t="n">
        <f aca="false">I244+R244</f>
        <v>33</v>
      </c>
      <c r="U244" s="0" t="n">
        <f aca="false">O244+S244</f>
        <v>10</v>
      </c>
      <c r="V244" s="0" t="n">
        <f aca="false">T244-U244</f>
        <v>23</v>
      </c>
      <c r="W244" s="0" t="n">
        <f aca="false">T244+U244</f>
        <v>43</v>
      </c>
    </row>
    <row r="245" customFormat="false" ht="15" hidden="false" customHeight="false" outlineLevel="0" collapsed="false">
      <c r="A245" s="0" t="n">
        <v>242</v>
      </c>
      <c r="B245" s="0" t="n">
        <f aca="true">NORMINV(RAND(),1,Coefficients!$B$22)</f>
        <v>1.13598534147743</v>
      </c>
      <c r="C245" s="0" t="n">
        <f aca="true">MEDIAN(8,16,ROUND(NORMINV(RAND(),Coefficients!$B$20,Coefficients!$B$21),0))</f>
        <v>11</v>
      </c>
      <c r="D245" s="0" t="n">
        <f aca="true">CRITBINOM($C245,MIN(0.75,Matchup!$B$39*$B245),RAND())</f>
        <v>2</v>
      </c>
      <c r="E245" s="0" t="n">
        <f aca="true">CRITBINOM(D245,Coefficients!$B$30,RAND())</f>
        <v>0</v>
      </c>
      <c r="F245" s="0" t="n">
        <f aca="true">CRITBINOM(E245,Coefficients!$B$31,RAND())</f>
        <v>0</v>
      </c>
      <c r="G245" s="0" t="n">
        <f aca="true">CRITBINOM(MAX(0,D245-E245),1-Coefficients!$B$32,RAND())</f>
        <v>0</v>
      </c>
      <c r="H245" s="0" t="n">
        <f aca="true">CRITBINOM(MAX(0,$C245-D245),MIN(0.6,Matchup!$B$40*SQRT($B245)/(1-MIN(0.75,Matchup!$B$39*$B245))),RAND())</f>
        <v>4</v>
      </c>
      <c r="I245" s="0" t="n">
        <f aca="false">6*D245+(D245-E245-G245)+2*F245+3*H245</f>
        <v>26</v>
      </c>
      <c r="J245" s="0" t="n">
        <f aca="true">CRITBINOM($C245,MIN(0.75,Matchup!$C$39*$B245),RAND())</f>
        <v>1</v>
      </c>
      <c r="K245" s="0" t="n">
        <f aca="true">CRITBINOM(J245,Coefficients!$B$30,RAND())</f>
        <v>0</v>
      </c>
      <c r="L245" s="0" t="n">
        <f aca="true">CRITBINOM(K245,Coefficients!$B$31,RAND())</f>
        <v>0</v>
      </c>
      <c r="M245" s="0" t="n">
        <f aca="true">CRITBINOM(MAX(0,J245-K245),1-Coefficients!$B$32,RAND())</f>
        <v>0</v>
      </c>
      <c r="N245" s="0" t="n">
        <f aca="true">CRITBINOM(MAX(0,$C245-J245),MIN(0.6,Matchup!$C$40*SQRT($B245)/(1-MIN(0.75,Matchup!$C$39*$B245))),RAND())</f>
        <v>3</v>
      </c>
      <c r="O245" s="0" t="n">
        <f aca="false">6*J245+(J245-K245-M245)+2*L245+3*N245</f>
        <v>16</v>
      </c>
      <c r="P245" s="0" t="n">
        <f aca="true">RAND()</f>
        <v>0.290928289014668</v>
      </c>
      <c r="Q245" s="0" t="n">
        <f aca="true">RAND()</f>
        <v>0.50034958664724</v>
      </c>
      <c r="R245" s="0" t="n">
        <f aca="false">IF($I245&lt;&gt;$O245,0,IF(P245&lt;Matchup!$B$39,7,IF(P245&lt;Matchup!$B$39+Matchup!$B$40,3,0)))</f>
        <v>0</v>
      </c>
      <c r="S245" s="0" t="n">
        <f aca="false">IF($I245&lt;&gt;$O245,0,IF(Q245&lt;Matchup!$C$39,7,IF(Q245&lt;Matchup!$C$39+Matchup!$C$40,3,0)))</f>
        <v>0</v>
      </c>
      <c r="T245" s="0" t="n">
        <f aca="false">I245+R245</f>
        <v>26</v>
      </c>
      <c r="U245" s="0" t="n">
        <f aca="false">O245+S245</f>
        <v>16</v>
      </c>
      <c r="V245" s="0" t="n">
        <f aca="false">T245-U245</f>
        <v>10</v>
      </c>
      <c r="W245" s="0" t="n">
        <f aca="false">T245+U245</f>
        <v>42</v>
      </c>
    </row>
    <row r="246" customFormat="false" ht="15" hidden="false" customHeight="false" outlineLevel="0" collapsed="false">
      <c r="A246" s="0" t="n">
        <v>243</v>
      </c>
      <c r="B246" s="0" t="n">
        <f aca="true">NORMINV(RAND(),1,Coefficients!$B$22)</f>
        <v>0.988755156757271</v>
      </c>
      <c r="C246" s="0" t="n">
        <f aca="true">MEDIAN(8,16,ROUND(NORMINV(RAND(),Coefficients!$B$20,Coefficients!$B$21),0))</f>
        <v>10</v>
      </c>
      <c r="D246" s="0" t="n">
        <f aca="true">CRITBINOM($C246,MIN(0.75,Matchup!$B$39*$B246),RAND())</f>
        <v>2</v>
      </c>
      <c r="E246" s="0" t="n">
        <f aca="true">CRITBINOM(D246,Coefficients!$B$30,RAND())</f>
        <v>0</v>
      </c>
      <c r="F246" s="0" t="n">
        <f aca="true">CRITBINOM(E246,Coefficients!$B$31,RAND())</f>
        <v>0</v>
      </c>
      <c r="G246" s="0" t="n">
        <f aca="true">CRITBINOM(MAX(0,D246-E246),1-Coefficients!$B$32,RAND())</f>
        <v>0</v>
      </c>
      <c r="H246" s="0" t="n">
        <f aca="true">CRITBINOM(MAX(0,$C246-D246),MIN(0.6,Matchup!$B$40*SQRT($B246)/(1-MIN(0.75,Matchup!$B$39*$B246))),RAND())</f>
        <v>1</v>
      </c>
      <c r="I246" s="0" t="n">
        <f aca="false">6*D246+(D246-E246-G246)+2*F246+3*H246</f>
        <v>17</v>
      </c>
      <c r="J246" s="0" t="n">
        <f aca="true">CRITBINOM($C246,MIN(0.75,Matchup!$C$39*$B246),RAND())</f>
        <v>3</v>
      </c>
      <c r="K246" s="0" t="n">
        <f aca="true">CRITBINOM(J246,Coefficients!$B$30,RAND())</f>
        <v>0</v>
      </c>
      <c r="L246" s="0" t="n">
        <f aca="true">CRITBINOM(K246,Coefficients!$B$31,RAND())</f>
        <v>0</v>
      </c>
      <c r="M246" s="0" t="n">
        <f aca="true">CRITBINOM(MAX(0,J246-K246),1-Coefficients!$B$32,RAND())</f>
        <v>0</v>
      </c>
      <c r="N246" s="0" t="n">
        <f aca="true">CRITBINOM(MAX(0,$C246-J246),MIN(0.6,Matchup!$C$40*SQRT($B246)/(1-MIN(0.75,Matchup!$C$39*$B246))),RAND())</f>
        <v>1</v>
      </c>
      <c r="O246" s="0" t="n">
        <f aca="false">6*J246+(J246-K246-M246)+2*L246+3*N246</f>
        <v>24</v>
      </c>
      <c r="P246" s="0" t="n">
        <f aca="true">RAND()</f>
        <v>0.357724906571402</v>
      </c>
      <c r="Q246" s="0" t="n">
        <f aca="true">RAND()</f>
        <v>0.0721159887225955</v>
      </c>
      <c r="R246" s="0" t="n">
        <f aca="false">IF($I246&lt;&gt;$O246,0,IF(P246&lt;Matchup!$B$39,7,IF(P246&lt;Matchup!$B$39+Matchup!$B$40,3,0)))</f>
        <v>0</v>
      </c>
      <c r="S246" s="0" t="n">
        <f aca="false">IF($I246&lt;&gt;$O246,0,IF(Q246&lt;Matchup!$C$39,7,IF(Q246&lt;Matchup!$C$39+Matchup!$C$40,3,0)))</f>
        <v>0</v>
      </c>
      <c r="T246" s="0" t="n">
        <f aca="false">I246+R246</f>
        <v>17</v>
      </c>
      <c r="U246" s="0" t="n">
        <f aca="false">O246+S246</f>
        <v>24</v>
      </c>
      <c r="V246" s="0" t="n">
        <f aca="false">T246-U246</f>
        <v>-7</v>
      </c>
      <c r="W246" s="0" t="n">
        <f aca="false">T246+U246</f>
        <v>41</v>
      </c>
    </row>
    <row r="247" customFormat="false" ht="15" hidden="false" customHeight="false" outlineLevel="0" collapsed="false">
      <c r="A247" s="0" t="n">
        <v>244</v>
      </c>
      <c r="B247" s="0" t="n">
        <f aca="true">NORMINV(RAND(),1,Coefficients!$B$22)</f>
        <v>1.24175204750882</v>
      </c>
      <c r="C247" s="0" t="n">
        <f aca="true">MEDIAN(8,16,ROUND(NORMINV(RAND(),Coefficients!$B$20,Coefficients!$B$21),0))</f>
        <v>10</v>
      </c>
      <c r="D247" s="0" t="n">
        <f aca="true">CRITBINOM($C247,MIN(0.75,Matchup!$B$39*$B247),RAND())</f>
        <v>4</v>
      </c>
      <c r="E247" s="0" t="n">
        <f aca="true">CRITBINOM(D247,Coefficients!$B$30,RAND())</f>
        <v>1</v>
      </c>
      <c r="F247" s="0" t="n">
        <f aca="true">CRITBINOM(E247,Coefficients!$B$31,RAND())</f>
        <v>1</v>
      </c>
      <c r="G247" s="0" t="n">
        <f aca="true">CRITBINOM(MAX(0,D247-E247),1-Coefficients!$B$32,RAND())</f>
        <v>0</v>
      </c>
      <c r="H247" s="0" t="n">
        <f aca="true">CRITBINOM(MAX(0,$C247-D247),MIN(0.6,Matchup!$B$40*SQRT($B247)/(1-MIN(0.75,Matchup!$B$39*$B247))),RAND())</f>
        <v>1</v>
      </c>
      <c r="I247" s="0" t="n">
        <f aca="false">6*D247+(D247-E247-G247)+2*F247+3*H247</f>
        <v>32</v>
      </c>
      <c r="J247" s="0" t="n">
        <f aca="true">CRITBINOM($C247,MIN(0.75,Matchup!$C$39*$B247),RAND())</f>
        <v>4</v>
      </c>
      <c r="K247" s="0" t="n">
        <f aca="true">CRITBINOM(J247,Coefficients!$B$30,RAND())</f>
        <v>0</v>
      </c>
      <c r="L247" s="0" t="n">
        <f aca="true">CRITBINOM(K247,Coefficients!$B$31,RAND())</f>
        <v>0</v>
      </c>
      <c r="M247" s="0" t="n">
        <f aca="true">CRITBINOM(MAX(0,J247-K247),1-Coefficients!$B$32,RAND())</f>
        <v>0</v>
      </c>
      <c r="N247" s="0" t="n">
        <f aca="true">CRITBINOM(MAX(0,$C247-J247),MIN(0.6,Matchup!$C$40*SQRT($B247)/(1-MIN(0.75,Matchup!$C$39*$B247))),RAND())</f>
        <v>3</v>
      </c>
      <c r="O247" s="0" t="n">
        <f aca="false">6*J247+(J247-K247-M247)+2*L247+3*N247</f>
        <v>37</v>
      </c>
      <c r="P247" s="0" t="n">
        <f aca="true">RAND()</f>
        <v>0.245896374605286</v>
      </c>
      <c r="Q247" s="0" t="n">
        <f aca="true">RAND()</f>
        <v>0.282942440977249</v>
      </c>
      <c r="R247" s="0" t="n">
        <f aca="false">IF($I247&lt;&gt;$O247,0,IF(P247&lt;Matchup!$B$39,7,IF(P247&lt;Matchup!$B$39+Matchup!$B$40,3,0)))</f>
        <v>0</v>
      </c>
      <c r="S247" s="0" t="n">
        <f aca="false">IF($I247&lt;&gt;$O247,0,IF(Q247&lt;Matchup!$C$39,7,IF(Q247&lt;Matchup!$C$39+Matchup!$C$40,3,0)))</f>
        <v>0</v>
      </c>
      <c r="T247" s="0" t="n">
        <f aca="false">I247+R247</f>
        <v>32</v>
      </c>
      <c r="U247" s="0" t="n">
        <f aca="false">O247+S247</f>
        <v>37</v>
      </c>
      <c r="V247" s="0" t="n">
        <f aca="false">T247-U247</f>
        <v>-5</v>
      </c>
      <c r="W247" s="0" t="n">
        <f aca="false">T247+U247</f>
        <v>69</v>
      </c>
    </row>
    <row r="248" customFormat="false" ht="15" hidden="false" customHeight="false" outlineLevel="0" collapsed="false">
      <c r="A248" s="0" t="n">
        <v>245</v>
      </c>
      <c r="B248" s="0" t="n">
        <f aca="true">NORMINV(RAND(),1,Coefficients!$B$22)</f>
        <v>0.914961400857577</v>
      </c>
      <c r="C248" s="0" t="n">
        <f aca="true">MEDIAN(8,16,ROUND(NORMINV(RAND(),Coefficients!$B$20,Coefficients!$B$21),0))</f>
        <v>13</v>
      </c>
      <c r="D248" s="0" t="n">
        <f aca="true">CRITBINOM($C248,MIN(0.75,Matchup!$B$39*$B248),RAND())</f>
        <v>4</v>
      </c>
      <c r="E248" s="0" t="n">
        <f aca="true">CRITBINOM(D248,Coefficients!$B$30,RAND())</f>
        <v>0</v>
      </c>
      <c r="F248" s="0" t="n">
        <f aca="true">CRITBINOM(E248,Coefficients!$B$31,RAND())</f>
        <v>0</v>
      </c>
      <c r="G248" s="0" t="n">
        <f aca="true">CRITBINOM(MAX(0,D248-E248),1-Coefficients!$B$32,RAND())</f>
        <v>0</v>
      </c>
      <c r="H248" s="0" t="n">
        <f aca="true">CRITBINOM(MAX(0,$C248-D248),MIN(0.6,Matchup!$B$40*SQRT($B248)/(1-MIN(0.75,Matchup!$B$39*$B248))),RAND())</f>
        <v>3</v>
      </c>
      <c r="I248" s="0" t="n">
        <f aca="false">6*D248+(D248-E248-G248)+2*F248+3*H248</f>
        <v>37</v>
      </c>
      <c r="J248" s="0" t="n">
        <f aca="true">CRITBINOM($C248,MIN(0.75,Matchup!$C$39*$B248),RAND())</f>
        <v>5</v>
      </c>
      <c r="K248" s="0" t="n">
        <f aca="true">CRITBINOM(J248,Coefficients!$B$30,RAND())</f>
        <v>0</v>
      </c>
      <c r="L248" s="0" t="n">
        <f aca="true">CRITBINOM(K248,Coefficients!$B$31,RAND())</f>
        <v>0</v>
      </c>
      <c r="M248" s="0" t="n">
        <f aca="true">CRITBINOM(MAX(0,J248-K248),1-Coefficients!$B$32,RAND())</f>
        <v>0</v>
      </c>
      <c r="N248" s="0" t="n">
        <f aca="true">CRITBINOM(MAX(0,$C248-J248),MIN(0.6,Matchup!$C$40*SQRT($B248)/(1-MIN(0.75,Matchup!$C$39*$B248))),RAND())</f>
        <v>1</v>
      </c>
      <c r="O248" s="0" t="n">
        <f aca="false">6*J248+(J248-K248-M248)+2*L248+3*N248</f>
        <v>38</v>
      </c>
      <c r="P248" s="0" t="n">
        <f aca="true">RAND()</f>
        <v>0.586685312323666</v>
      </c>
      <c r="Q248" s="0" t="n">
        <f aca="true">RAND()</f>
        <v>0.390352696822154</v>
      </c>
      <c r="R248" s="0" t="n">
        <f aca="false">IF($I248&lt;&gt;$O248,0,IF(P248&lt;Matchup!$B$39,7,IF(P248&lt;Matchup!$B$39+Matchup!$B$40,3,0)))</f>
        <v>0</v>
      </c>
      <c r="S248" s="0" t="n">
        <f aca="false">IF($I248&lt;&gt;$O248,0,IF(Q248&lt;Matchup!$C$39,7,IF(Q248&lt;Matchup!$C$39+Matchup!$C$40,3,0)))</f>
        <v>0</v>
      </c>
      <c r="T248" s="0" t="n">
        <f aca="false">I248+R248</f>
        <v>37</v>
      </c>
      <c r="U248" s="0" t="n">
        <f aca="false">O248+S248</f>
        <v>38</v>
      </c>
      <c r="V248" s="0" t="n">
        <f aca="false">T248-U248</f>
        <v>-1</v>
      </c>
      <c r="W248" s="0" t="n">
        <f aca="false">T248+U248</f>
        <v>75</v>
      </c>
    </row>
    <row r="249" customFormat="false" ht="15" hidden="false" customHeight="false" outlineLevel="0" collapsed="false">
      <c r="A249" s="0" t="n">
        <v>246</v>
      </c>
      <c r="B249" s="0" t="n">
        <f aca="true">NORMINV(RAND(),1,Coefficients!$B$22)</f>
        <v>0.94092460437519</v>
      </c>
      <c r="C249" s="0" t="n">
        <f aca="true">MEDIAN(8,16,ROUND(NORMINV(RAND(),Coefficients!$B$20,Coefficients!$B$21),0))</f>
        <v>11</v>
      </c>
      <c r="D249" s="0" t="n">
        <f aca="true">CRITBINOM($C249,MIN(0.75,Matchup!$B$39*$B249),RAND())</f>
        <v>2</v>
      </c>
      <c r="E249" s="0" t="n">
        <f aca="true">CRITBINOM(D249,Coefficients!$B$30,RAND())</f>
        <v>0</v>
      </c>
      <c r="F249" s="0" t="n">
        <f aca="true">CRITBINOM(E249,Coefficients!$B$31,RAND())</f>
        <v>0</v>
      </c>
      <c r="G249" s="0" t="n">
        <f aca="true">CRITBINOM(MAX(0,D249-E249),1-Coefficients!$B$32,RAND())</f>
        <v>0</v>
      </c>
      <c r="H249" s="0" t="n">
        <f aca="true">CRITBINOM(MAX(0,$C249-D249),MIN(0.6,Matchup!$B$40*SQRT($B249)/(1-MIN(0.75,Matchup!$B$39*$B249))),RAND())</f>
        <v>3</v>
      </c>
      <c r="I249" s="0" t="n">
        <f aca="false">6*D249+(D249-E249-G249)+2*F249+3*H249</f>
        <v>23</v>
      </c>
      <c r="J249" s="0" t="n">
        <f aca="true">CRITBINOM($C249,MIN(0.75,Matchup!$C$39*$B249),RAND())</f>
        <v>2</v>
      </c>
      <c r="K249" s="0" t="n">
        <f aca="true">CRITBINOM(J249,Coefficients!$B$30,RAND())</f>
        <v>0</v>
      </c>
      <c r="L249" s="0" t="n">
        <f aca="true">CRITBINOM(K249,Coefficients!$B$31,RAND())</f>
        <v>0</v>
      </c>
      <c r="M249" s="0" t="n">
        <f aca="true">CRITBINOM(MAX(0,J249-K249),1-Coefficients!$B$32,RAND())</f>
        <v>1</v>
      </c>
      <c r="N249" s="0" t="n">
        <f aca="true">CRITBINOM(MAX(0,$C249-J249),MIN(0.6,Matchup!$C$40*SQRT($B249)/(1-MIN(0.75,Matchup!$C$39*$B249))),RAND())</f>
        <v>3</v>
      </c>
      <c r="O249" s="0" t="n">
        <f aca="false">6*J249+(J249-K249-M249)+2*L249+3*N249</f>
        <v>22</v>
      </c>
      <c r="P249" s="0" t="n">
        <f aca="true">RAND()</f>
        <v>0.3274000956532</v>
      </c>
      <c r="Q249" s="0" t="n">
        <f aca="true">RAND()</f>
        <v>0.168280073327447</v>
      </c>
      <c r="R249" s="0" t="n">
        <f aca="false">IF($I249&lt;&gt;$O249,0,IF(P249&lt;Matchup!$B$39,7,IF(P249&lt;Matchup!$B$39+Matchup!$B$40,3,0)))</f>
        <v>0</v>
      </c>
      <c r="S249" s="0" t="n">
        <f aca="false">IF($I249&lt;&gt;$O249,0,IF(Q249&lt;Matchup!$C$39,7,IF(Q249&lt;Matchup!$C$39+Matchup!$C$40,3,0)))</f>
        <v>0</v>
      </c>
      <c r="T249" s="0" t="n">
        <f aca="false">I249+R249</f>
        <v>23</v>
      </c>
      <c r="U249" s="0" t="n">
        <f aca="false">O249+S249</f>
        <v>22</v>
      </c>
      <c r="V249" s="0" t="n">
        <f aca="false">T249-U249</f>
        <v>1</v>
      </c>
      <c r="W249" s="0" t="n">
        <f aca="false">T249+U249</f>
        <v>45</v>
      </c>
    </row>
    <row r="250" customFormat="false" ht="15" hidden="false" customHeight="false" outlineLevel="0" collapsed="false">
      <c r="A250" s="0" t="n">
        <v>247</v>
      </c>
      <c r="B250" s="0" t="n">
        <f aca="true">NORMINV(RAND(),1,Coefficients!$B$22)</f>
        <v>0.9618374276871</v>
      </c>
      <c r="C250" s="0" t="n">
        <f aca="true">MEDIAN(8,16,ROUND(NORMINV(RAND(),Coefficients!$B$20,Coefficients!$B$21),0))</f>
        <v>13</v>
      </c>
      <c r="D250" s="0" t="n">
        <f aca="true">CRITBINOM($C250,MIN(0.75,Matchup!$B$39*$B250),RAND())</f>
        <v>1</v>
      </c>
      <c r="E250" s="0" t="n">
        <f aca="true">CRITBINOM(D250,Coefficients!$B$30,RAND())</f>
        <v>0</v>
      </c>
      <c r="F250" s="0" t="n">
        <f aca="true">CRITBINOM(E250,Coefficients!$B$31,RAND())</f>
        <v>0</v>
      </c>
      <c r="G250" s="0" t="n">
        <f aca="true">CRITBINOM(MAX(0,D250-E250),1-Coefficients!$B$32,RAND())</f>
        <v>0</v>
      </c>
      <c r="H250" s="0" t="n">
        <f aca="true">CRITBINOM(MAX(0,$C250-D250),MIN(0.6,Matchup!$B$40*SQRT($B250)/(1-MIN(0.75,Matchup!$B$39*$B250))),RAND())</f>
        <v>2</v>
      </c>
      <c r="I250" s="0" t="n">
        <f aca="false">6*D250+(D250-E250-G250)+2*F250+3*H250</f>
        <v>13</v>
      </c>
      <c r="J250" s="0" t="n">
        <f aca="true">CRITBINOM($C250,MIN(0.75,Matchup!$C$39*$B250),RAND())</f>
        <v>4</v>
      </c>
      <c r="K250" s="0" t="n">
        <f aca="true">CRITBINOM(J250,Coefficients!$B$30,RAND())</f>
        <v>2</v>
      </c>
      <c r="L250" s="0" t="n">
        <f aca="true">CRITBINOM(K250,Coefficients!$B$31,RAND())</f>
        <v>2</v>
      </c>
      <c r="M250" s="0" t="n">
        <f aca="true">CRITBINOM(MAX(0,J250-K250),1-Coefficients!$B$32,RAND())</f>
        <v>0</v>
      </c>
      <c r="N250" s="0" t="n">
        <f aca="true">CRITBINOM(MAX(0,$C250-J250),MIN(0.6,Matchup!$C$40*SQRT($B250)/(1-MIN(0.75,Matchup!$C$39*$B250))),RAND())</f>
        <v>0</v>
      </c>
      <c r="O250" s="0" t="n">
        <f aca="false">6*J250+(J250-K250-M250)+2*L250+3*N250</f>
        <v>30</v>
      </c>
      <c r="P250" s="0" t="n">
        <f aca="true">RAND()</f>
        <v>0.353573720365046</v>
      </c>
      <c r="Q250" s="0" t="n">
        <f aca="true">RAND()</f>
        <v>0.046443020016789</v>
      </c>
      <c r="R250" s="0" t="n">
        <f aca="false">IF($I250&lt;&gt;$O250,0,IF(P250&lt;Matchup!$B$39,7,IF(P250&lt;Matchup!$B$39+Matchup!$B$40,3,0)))</f>
        <v>0</v>
      </c>
      <c r="S250" s="0" t="n">
        <f aca="false">IF($I250&lt;&gt;$O250,0,IF(Q250&lt;Matchup!$C$39,7,IF(Q250&lt;Matchup!$C$39+Matchup!$C$40,3,0)))</f>
        <v>0</v>
      </c>
      <c r="T250" s="0" t="n">
        <f aca="false">I250+R250</f>
        <v>13</v>
      </c>
      <c r="U250" s="0" t="n">
        <f aca="false">O250+S250</f>
        <v>30</v>
      </c>
      <c r="V250" s="0" t="n">
        <f aca="false">T250-U250</f>
        <v>-17</v>
      </c>
      <c r="W250" s="0" t="n">
        <f aca="false">T250+U250</f>
        <v>43</v>
      </c>
    </row>
    <row r="251" customFormat="false" ht="15" hidden="false" customHeight="false" outlineLevel="0" collapsed="false">
      <c r="A251" s="0" t="n">
        <v>248</v>
      </c>
      <c r="B251" s="0" t="n">
        <f aca="true">NORMINV(RAND(),1,Coefficients!$B$22)</f>
        <v>1.22085567948566</v>
      </c>
      <c r="C251" s="0" t="n">
        <f aca="true">MEDIAN(8,16,ROUND(NORMINV(RAND(),Coefficients!$B$20,Coefficients!$B$21),0))</f>
        <v>11</v>
      </c>
      <c r="D251" s="0" t="n">
        <f aca="true">CRITBINOM($C251,MIN(0.75,Matchup!$B$39*$B251),RAND())</f>
        <v>4</v>
      </c>
      <c r="E251" s="0" t="n">
        <f aca="true">CRITBINOM(D251,Coefficients!$B$30,RAND())</f>
        <v>1</v>
      </c>
      <c r="F251" s="0" t="n">
        <f aca="true">CRITBINOM(E251,Coefficients!$B$31,RAND())</f>
        <v>1</v>
      </c>
      <c r="G251" s="0" t="n">
        <f aca="true">CRITBINOM(MAX(0,D251-E251),1-Coefficients!$B$32,RAND())</f>
        <v>0</v>
      </c>
      <c r="H251" s="0" t="n">
        <f aca="true">CRITBINOM(MAX(0,$C251-D251),MIN(0.6,Matchup!$B$40*SQRT($B251)/(1-MIN(0.75,Matchup!$B$39*$B251))),RAND())</f>
        <v>1</v>
      </c>
      <c r="I251" s="0" t="n">
        <f aca="false">6*D251+(D251-E251-G251)+2*F251+3*H251</f>
        <v>32</v>
      </c>
      <c r="J251" s="0" t="n">
        <f aca="true">CRITBINOM($C251,MIN(0.75,Matchup!$C$39*$B251),RAND())</f>
        <v>0</v>
      </c>
      <c r="K251" s="0" t="n">
        <f aca="true">CRITBINOM(J251,Coefficients!$B$30,RAND())</f>
        <v>0</v>
      </c>
      <c r="L251" s="0" t="n">
        <f aca="true">CRITBINOM(K251,Coefficients!$B$31,RAND())</f>
        <v>0</v>
      </c>
      <c r="M251" s="0" t="n">
        <f aca="true">CRITBINOM(MAX(0,J251-K251),1-Coefficients!$B$32,RAND())</f>
        <v>0</v>
      </c>
      <c r="N251" s="0" t="n">
        <f aca="true">CRITBINOM(MAX(0,$C251-J251),MIN(0.6,Matchup!$C$40*SQRT($B251)/(1-MIN(0.75,Matchup!$C$39*$B251))),RAND())</f>
        <v>0</v>
      </c>
      <c r="O251" s="0" t="n">
        <f aca="false">6*J251+(J251-K251-M251)+2*L251+3*N251</f>
        <v>0</v>
      </c>
      <c r="P251" s="0" t="n">
        <f aca="true">RAND()</f>
        <v>0.324993730274869</v>
      </c>
      <c r="Q251" s="0" t="n">
        <f aca="true">RAND()</f>
        <v>0.140089918360808</v>
      </c>
      <c r="R251" s="0" t="n">
        <f aca="false">IF($I251&lt;&gt;$O251,0,IF(P251&lt;Matchup!$B$39,7,IF(P251&lt;Matchup!$B$39+Matchup!$B$40,3,0)))</f>
        <v>0</v>
      </c>
      <c r="S251" s="0" t="n">
        <f aca="false">IF($I251&lt;&gt;$O251,0,IF(Q251&lt;Matchup!$C$39,7,IF(Q251&lt;Matchup!$C$39+Matchup!$C$40,3,0)))</f>
        <v>0</v>
      </c>
      <c r="T251" s="0" t="n">
        <f aca="false">I251+R251</f>
        <v>32</v>
      </c>
      <c r="U251" s="0" t="n">
        <f aca="false">O251+S251</f>
        <v>0</v>
      </c>
      <c r="V251" s="0" t="n">
        <f aca="false">T251-U251</f>
        <v>32</v>
      </c>
      <c r="W251" s="0" t="n">
        <f aca="false">T251+U251</f>
        <v>32</v>
      </c>
    </row>
    <row r="252" customFormat="false" ht="15" hidden="false" customHeight="false" outlineLevel="0" collapsed="false">
      <c r="A252" s="0" t="n">
        <v>249</v>
      </c>
      <c r="B252" s="0" t="n">
        <f aca="true">NORMINV(RAND(),1,Coefficients!$B$22)</f>
        <v>1.02538137276603</v>
      </c>
      <c r="C252" s="0" t="n">
        <f aca="true">MEDIAN(8,16,ROUND(NORMINV(RAND(),Coefficients!$B$20,Coefficients!$B$21),0))</f>
        <v>13</v>
      </c>
      <c r="D252" s="0" t="n">
        <f aca="true">CRITBINOM($C252,MIN(0.75,Matchup!$B$39*$B252),RAND())</f>
        <v>0</v>
      </c>
      <c r="E252" s="0" t="n">
        <f aca="true">CRITBINOM(D252,Coefficients!$B$30,RAND())</f>
        <v>0</v>
      </c>
      <c r="F252" s="0" t="n">
        <f aca="true">CRITBINOM(E252,Coefficients!$B$31,RAND())</f>
        <v>0</v>
      </c>
      <c r="G252" s="0" t="n">
        <f aca="true">CRITBINOM(MAX(0,D252-E252),1-Coefficients!$B$32,RAND())</f>
        <v>0</v>
      </c>
      <c r="H252" s="0" t="n">
        <f aca="true">CRITBINOM(MAX(0,$C252-D252),MIN(0.6,Matchup!$B$40*SQRT($B252)/(1-MIN(0.75,Matchup!$B$39*$B252))),RAND())</f>
        <v>3</v>
      </c>
      <c r="I252" s="0" t="n">
        <f aca="false">6*D252+(D252-E252-G252)+2*F252+3*H252</f>
        <v>9</v>
      </c>
      <c r="J252" s="0" t="n">
        <f aca="true">CRITBINOM($C252,MIN(0.75,Matchup!$C$39*$B252),RAND())</f>
        <v>2</v>
      </c>
      <c r="K252" s="0" t="n">
        <f aca="true">CRITBINOM(J252,Coefficients!$B$30,RAND())</f>
        <v>0</v>
      </c>
      <c r="L252" s="0" t="n">
        <f aca="true">CRITBINOM(K252,Coefficients!$B$31,RAND())</f>
        <v>0</v>
      </c>
      <c r="M252" s="0" t="n">
        <f aca="true">CRITBINOM(MAX(0,J252-K252),1-Coefficients!$B$32,RAND())</f>
        <v>0</v>
      </c>
      <c r="N252" s="0" t="n">
        <f aca="true">CRITBINOM(MAX(0,$C252-J252),MIN(0.6,Matchup!$C$40*SQRT($B252)/(1-MIN(0.75,Matchup!$C$39*$B252))),RAND())</f>
        <v>2</v>
      </c>
      <c r="O252" s="0" t="n">
        <f aca="false">6*J252+(J252-K252-M252)+2*L252+3*N252</f>
        <v>20</v>
      </c>
      <c r="P252" s="0" t="n">
        <f aca="true">RAND()</f>
        <v>0.77759574799587</v>
      </c>
      <c r="Q252" s="0" t="n">
        <f aca="true">RAND()</f>
        <v>0.646747746243711</v>
      </c>
      <c r="R252" s="0" t="n">
        <f aca="false">IF($I252&lt;&gt;$O252,0,IF(P252&lt;Matchup!$B$39,7,IF(P252&lt;Matchup!$B$39+Matchup!$B$40,3,0)))</f>
        <v>0</v>
      </c>
      <c r="S252" s="0" t="n">
        <f aca="false">IF($I252&lt;&gt;$O252,0,IF(Q252&lt;Matchup!$C$39,7,IF(Q252&lt;Matchup!$C$39+Matchup!$C$40,3,0)))</f>
        <v>0</v>
      </c>
      <c r="T252" s="0" t="n">
        <f aca="false">I252+R252</f>
        <v>9</v>
      </c>
      <c r="U252" s="0" t="n">
        <f aca="false">O252+S252</f>
        <v>20</v>
      </c>
      <c r="V252" s="0" t="n">
        <f aca="false">T252-U252</f>
        <v>-11</v>
      </c>
      <c r="W252" s="0" t="n">
        <f aca="false">T252+U252</f>
        <v>29</v>
      </c>
    </row>
    <row r="253" customFormat="false" ht="15" hidden="false" customHeight="false" outlineLevel="0" collapsed="false">
      <c r="A253" s="0" t="n">
        <v>250</v>
      </c>
      <c r="B253" s="0" t="n">
        <f aca="true">NORMINV(RAND(),1,Coefficients!$B$22)</f>
        <v>1.10010132276168</v>
      </c>
      <c r="C253" s="0" t="n">
        <f aca="true">MEDIAN(8,16,ROUND(NORMINV(RAND(),Coefficients!$B$20,Coefficients!$B$21),0))</f>
        <v>9</v>
      </c>
      <c r="D253" s="0" t="n">
        <f aca="true">CRITBINOM($C253,MIN(0.75,Matchup!$B$39*$B253),RAND())</f>
        <v>3</v>
      </c>
      <c r="E253" s="0" t="n">
        <f aca="true">CRITBINOM(D253,Coefficients!$B$30,RAND())</f>
        <v>0</v>
      </c>
      <c r="F253" s="0" t="n">
        <f aca="true">CRITBINOM(E253,Coefficients!$B$31,RAND())</f>
        <v>0</v>
      </c>
      <c r="G253" s="0" t="n">
        <f aca="true">CRITBINOM(MAX(0,D253-E253),1-Coefficients!$B$32,RAND())</f>
        <v>0</v>
      </c>
      <c r="H253" s="0" t="n">
        <f aca="true">CRITBINOM(MAX(0,$C253-D253),MIN(0.6,Matchup!$B$40*SQRT($B253)/(1-MIN(0.75,Matchup!$B$39*$B253))),RAND())</f>
        <v>1</v>
      </c>
      <c r="I253" s="0" t="n">
        <f aca="false">6*D253+(D253-E253-G253)+2*F253+3*H253</f>
        <v>24</v>
      </c>
      <c r="J253" s="0" t="n">
        <f aca="true">CRITBINOM($C253,MIN(0.75,Matchup!$C$39*$B253),RAND())</f>
        <v>1</v>
      </c>
      <c r="K253" s="0" t="n">
        <f aca="true">CRITBINOM(J253,Coefficients!$B$30,RAND())</f>
        <v>0</v>
      </c>
      <c r="L253" s="0" t="n">
        <f aca="true">CRITBINOM(K253,Coefficients!$B$31,RAND())</f>
        <v>0</v>
      </c>
      <c r="M253" s="0" t="n">
        <f aca="true">CRITBINOM(MAX(0,J253-K253),1-Coefficients!$B$32,RAND())</f>
        <v>0</v>
      </c>
      <c r="N253" s="0" t="n">
        <f aca="true">CRITBINOM(MAX(0,$C253-J253),MIN(0.6,Matchup!$C$40*SQRT($B253)/(1-MIN(0.75,Matchup!$C$39*$B253))),RAND())</f>
        <v>2</v>
      </c>
      <c r="O253" s="0" t="n">
        <f aca="false">6*J253+(J253-K253-M253)+2*L253+3*N253</f>
        <v>13</v>
      </c>
      <c r="P253" s="0" t="n">
        <f aca="true">RAND()</f>
        <v>0.0536780026186566</v>
      </c>
      <c r="Q253" s="0" t="n">
        <f aca="true">RAND()</f>
        <v>0.701312466262294</v>
      </c>
      <c r="R253" s="0" t="n">
        <f aca="false">IF($I253&lt;&gt;$O253,0,IF(P253&lt;Matchup!$B$39,7,IF(P253&lt;Matchup!$B$39+Matchup!$B$40,3,0)))</f>
        <v>0</v>
      </c>
      <c r="S253" s="0" t="n">
        <f aca="false">IF($I253&lt;&gt;$O253,0,IF(Q253&lt;Matchup!$C$39,7,IF(Q253&lt;Matchup!$C$39+Matchup!$C$40,3,0)))</f>
        <v>0</v>
      </c>
      <c r="T253" s="0" t="n">
        <f aca="false">I253+R253</f>
        <v>24</v>
      </c>
      <c r="U253" s="0" t="n">
        <f aca="false">O253+S253</f>
        <v>13</v>
      </c>
      <c r="V253" s="0" t="n">
        <f aca="false">T253-U253</f>
        <v>11</v>
      </c>
      <c r="W253" s="0" t="n">
        <f aca="false">T253+U253</f>
        <v>37</v>
      </c>
    </row>
    <row r="254" customFormat="false" ht="15" hidden="false" customHeight="false" outlineLevel="0" collapsed="false">
      <c r="A254" s="0" t="n">
        <v>251</v>
      </c>
      <c r="B254" s="0" t="n">
        <f aca="true">NORMINV(RAND(),1,Coefficients!$B$22)</f>
        <v>1.03503039873683</v>
      </c>
      <c r="C254" s="0" t="n">
        <f aca="true">MEDIAN(8,16,ROUND(NORMINV(RAND(),Coefficients!$B$20,Coefficients!$B$21),0))</f>
        <v>10</v>
      </c>
      <c r="D254" s="0" t="n">
        <f aca="true">CRITBINOM($C254,MIN(0.75,Matchup!$B$39*$B254),RAND())</f>
        <v>1</v>
      </c>
      <c r="E254" s="0" t="n">
        <f aca="true">CRITBINOM(D254,Coefficients!$B$30,RAND())</f>
        <v>0</v>
      </c>
      <c r="F254" s="0" t="n">
        <f aca="true">CRITBINOM(E254,Coefficients!$B$31,RAND())</f>
        <v>0</v>
      </c>
      <c r="G254" s="0" t="n">
        <f aca="true">CRITBINOM(MAX(0,D254-E254),1-Coefficients!$B$32,RAND())</f>
        <v>0</v>
      </c>
      <c r="H254" s="0" t="n">
        <f aca="true">CRITBINOM(MAX(0,$C254-D254),MIN(0.6,Matchup!$B$40*SQRT($B254)/(1-MIN(0.75,Matchup!$B$39*$B254))),RAND())</f>
        <v>1</v>
      </c>
      <c r="I254" s="0" t="n">
        <f aca="false">6*D254+(D254-E254-G254)+2*F254+3*H254</f>
        <v>10</v>
      </c>
      <c r="J254" s="0" t="n">
        <f aca="true">CRITBINOM($C254,MIN(0.75,Matchup!$C$39*$B254),RAND())</f>
        <v>2</v>
      </c>
      <c r="K254" s="0" t="n">
        <f aca="true">CRITBINOM(J254,Coefficients!$B$30,RAND())</f>
        <v>0</v>
      </c>
      <c r="L254" s="0" t="n">
        <f aca="true">CRITBINOM(K254,Coefficients!$B$31,RAND())</f>
        <v>0</v>
      </c>
      <c r="M254" s="0" t="n">
        <f aca="true">CRITBINOM(MAX(0,J254-K254),1-Coefficients!$B$32,RAND())</f>
        <v>1</v>
      </c>
      <c r="N254" s="0" t="n">
        <f aca="true">CRITBINOM(MAX(0,$C254-J254),MIN(0.6,Matchup!$C$40*SQRT($B254)/(1-MIN(0.75,Matchup!$C$39*$B254))),RAND())</f>
        <v>0</v>
      </c>
      <c r="O254" s="0" t="n">
        <f aca="false">6*J254+(J254-K254-M254)+2*L254+3*N254</f>
        <v>13</v>
      </c>
      <c r="P254" s="0" t="n">
        <f aca="true">RAND()</f>
        <v>0.058659852781962</v>
      </c>
      <c r="Q254" s="0" t="n">
        <f aca="true">RAND()</f>
        <v>0.892722177782489</v>
      </c>
      <c r="R254" s="0" t="n">
        <f aca="false">IF($I254&lt;&gt;$O254,0,IF(P254&lt;Matchup!$B$39,7,IF(P254&lt;Matchup!$B$39+Matchup!$B$40,3,0)))</f>
        <v>0</v>
      </c>
      <c r="S254" s="0" t="n">
        <f aca="false">IF($I254&lt;&gt;$O254,0,IF(Q254&lt;Matchup!$C$39,7,IF(Q254&lt;Matchup!$C$39+Matchup!$C$40,3,0)))</f>
        <v>0</v>
      </c>
      <c r="T254" s="0" t="n">
        <f aca="false">I254+R254</f>
        <v>10</v>
      </c>
      <c r="U254" s="0" t="n">
        <f aca="false">O254+S254</f>
        <v>13</v>
      </c>
      <c r="V254" s="0" t="n">
        <f aca="false">T254-U254</f>
        <v>-3</v>
      </c>
      <c r="W254" s="0" t="n">
        <f aca="false">T254+U254</f>
        <v>23</v>
      </c>
    </row>
    <row r="255" customFormat="false" ht="15" hidden="false" customHeight="false" outlineLevel="0" collapsed="false">
      <c r="A255" s="0" t="n">
        <v>252</v>
      </c>
      <c r="B255" s="0" t="n">
        <f aca="true">NORMINV(RAND(),1,Coefficients!$B$22)</f>
        <v>1.00360220904019</v>
      </c>
      <c r="C255" s="0" t="n">
        <f aca="true">MEDIAN(8,16,ROUND(NORMINV(RAND(),Coefficients!$B$20,Coefficients!$B$21),0))</f>
        <v>11</v>
      </c>
      <c r="D255" s="0" t="n">
        <f aca="true">CRITBINOM($C255,MIN(0.75,Matchup!$B$39*$B255),RAND())</f>
        <v>3</v>
      </c>
      <c r="E255" s="0" t="n">
        <f aca="true">CRITBINOM(D255,Coefficients!$B$30,RAND())</f>
        <v>1</v>
      </c>
      <c r="F255" s="0" t="n">
        <f aca="true">CRITBINOM(E255,Coefficients!$B$31,RAND())</f>
        <v>1</v>
      </c>
      <c r="G255" s="0" t="n">
        <f aca="true">CRITBINOM(MAX(0,D255-E255),1-Coefficients!$B$32,RAND())</f>
        <v>0</v>
      </c>
      <c r="H255" s="0" t="n">
        <f aca="true">CRITBINOM(MAX(0,$C255-D255),MIN(0.6,Matchup!$B$40*SQRT($B255)/(1-MIN(0.75,Matchup!$B$39*$B255))),RAND())</f>
        <v>4</v>
      </c>
      <c r="I255" s="0" t="n">
        <f aca="false">6*D255+(D255-E255-G255)+2*F255+3*H255</f>
        <v>34</v>
      </c>
      <c r="J255" s="0" t="n">
        <f aca="true">CRITBINOM($C255,MIN(0.75,Matchup!$C$39*$B255),RAND())</f>
        <v>2</v>
      </c>
      <c r="K255" s="0" t="n">
        <f aca="true">CRITBINOM(J255,Coefficients!$B$30,RAND())</f>
        <v>0</v>
      </c>
      <c r="L255" s="0" t="n">
        <f aca="true">CRITBINOM(K255,Coefficients!$B$31,RAND())</f>
        <v>0</v>
      </c>
      <c r="M255" s="0" t="n">
        <f aca="true">CRITBINOM(MAX(0,J255-K255),1-Coefficients!$B$32,RAND())</f>
        <v>0</v>
      </c>
      <c r="N255" s="0" t="n">
        <f aca="true">CRITBINOM(MAX(0,$C255-J255),MIN(0.6,Matchup!$C$40*SQRT($B255)/(1-MIN(0.75,Matchup!$C$39*$B255))),RAND())</f>
        <v>1</v>
      </c>
      <c r="O255" s="0" t="n">
        <f aca="false">6*J255+(J255-K255-M255)+2*L255+3*N255</f>
        <v>17</v>
      </c>
      <c r="P255" s="0" t="n">
        <f aca="true">RAND()</f>
        <v>0.576326073017062</v>
      </c>
      <c r="Q255" s="0" t="n">
        <f aca="true">RAND()</f>
        <v>0.914881668368748</v>
      </c>
      <c r="R255" s="0" t="n">
        <f aca="false">IF($I255&lt;&gt;$O255,0,IF(P255&lt;Matchup!$B$39,7,IF(P255&lt;Matchup!$B$39+Matchup!$B$40,3,0)))</f>
        <v>0</v>
      </c>
      <c r="S255" s="0" t="n">
        <f aca="false">IF($I255&lt;&gt;$O255,0,IF(Q255&lt;Matchup!$C$39,7,IF(Q255&lt;Matchup!$C$39+Matchup!$C$40,3,0)))</f>
        <v>0</v>
      </c>
      <c r="T255" s="0" t="n">
        <f aca="false">I255+R255</f>
        <v>34</v>
      </c>
      <c r="U255" s="0" t="n">
        <f aca="false">O255+S255</f>
        <v>17</v>
      </c>
      <c r="V255" s="0" t="n">
        <f aca="false">T255-U255</f>
        <v>17</v>
      </c>
      <c r="W255" s="0" t="n">
        <f aca="false">T255+U255</f>
        <v>51</v>
      </c>
    </row>
    <row r="256" customFormat="false" ht="15" hidden="false" customHeight="false" outlineLevel="0" collapsed="false">
      <c r="A256" s="0" t="n">
        <v>253</v>
      </c>
      <c r="B256" s="0" t="n">
        <f aca="true">NORMINV(RAND(),1,Coefficients!$B$22)</f>
        <v>0.965506730745686</v>
      </c>
      <c r="C256" s="0" t="n">
        <f aca="true">MEDIAN(8,16,ROUND(NORMINV(RAND(),Coefficients!$B$20,Coefficients!$B$21),0))</f>
        <v>9</v>
      </c>
      <c r="D256" s="0" t="n">
        <f aca="true">CRITBINOM($C256,MIN(0.75,Matchup!$B$39*$B256),RAND())</f>
        <v>3</v>
      </c>
      <c r="E256" s="0" t="n">
        <f aca="true">CRITBINOM(D256,Coefficients!$B$30,RAND())</f>
        <v>1</v>
      </c>
      <c r="F256" s="0" t="n">
        <f aca="true">CRITBINOM(E256,Coefficients!$B$31,RAND())</f>
        <v>1</v>
      </c>
      <c r="G256" s="0" t="n">
        <f aca="true">CRITBINOM(MAX(0,D256-E256),1-Coefficients!$B$32,RAND())</f>
        <v>0</v>
      </c>
      <c r="H256" s="0" t="n">
        <f aca="true">CRITBINOM(MAX(0,$C256-D256),MIN(0.6,Matchup!$B$40*SQRT($B256)/(1-MIN(0.75,Matchup!$B$39*$B256))),RAND())</f>
        <v>1</v>
      </c>
      <c r="I256" s="0" t="n">
        <f aca="false">6*D256+(D256-E256-G256)+2*F256+3*H256</f>
        <v>25</v>
      </c>
      <c r="J256" s="0" t="n">
        <f aca="true">CRITBINOM($C256,MIN(0.75,Matchup!$C$39*$B256),RAND())</f>
        <v>1</v>
      </c>
      <c r="K256" s="0" t="n">
        <f aca="true">CRITBINOM(J256,Coefficients!$B$30,RAND())</f>
        <v>0</v>
      </c>
      <c r="L256" s="0" t="n">
        <f aca="true">CRITBINOM(K256,Coefficients!$B$31,RAND())</f>
        <v>0</v>
      </c>
      <c r="M256" s="0" t="n">
        <f aca="true">CRITBINOM(MAX(0,J256-K256),1-Coefficients!$B$32,RAND())</f>
        <v>0</v>
      </c>
      <c r="N256" s="0" t="n">
        <f aca="true">CRITBINOM(MAX(0,$C256-J256),MIN(0.6,Matchup!$C$40*SQRT($B256)/(1-MIN(0.75,Matchup!$C$39*$B256))),RAND())</f>
        <v>3</v>
      </c>
      <c r="O256" s="0" t="n">
        <f aca="false">6*J256+(J256-K256-M256)+2*L256+3*N256</f>
        <v>16</v>
      </c>
      <c r="P256" s="0" t="n">
        <f aca="true">RAND()</f>
        <v>0.793109875785629</v>
      </c>
      <c r="Q256" s="0" t="n">
        <f aca="true">RAND()</f>
        <v>0.0665823643734307</v>
      </c>
      <c r="R256" s="0" t="n">
        <f aca="false">IF($I256&lt;&gt;$O256,0,IF(P256&lt;Matchup!$B$39,7,IF(P256&lt;Matchup!$B$39+Matchup!$B$40,3,0)))</f>
        <v>0</v>
      </c>
      <c r="S256" s="0" t="n">
        <f aca="false">IF($I256&lt;&gt;$O256,0,IF(Q256&lt;Matchup!$C$39,7,IF(Q256&lt;Matchup!$C$39+Matchup!$C$40,3,0)))</f>
        <v>0</v>
      </c>
      <c r="T256" s="0" t="n">
        <f aca="false">I256+R256</f>
        <v>25</v>
      </c>
      <c r="U256" s="0" t="n">
        <f aca="false">O256+S256</f>
        <v>16</v>
      </c>
      <c r="V256" s="0" t="n">
        <f aca="false">T256-U256</f>
        <v>9</v>
      </c>
      <c r="W256" s="0" t="n">
        <f aca="false">T256+U256</f>
        <v>41</v>
      </c>
    </row>
    <row r="257" customFormat="false" ht="15" hidden="false" customHeight="false" outlineLevel="0" collapsed="false">
      <c r="A257" s="0" t="n">
        <v>254</v>
      </c>
      <c r="B257" s="0" t="n">
        <f aca="true">NORMINV(RAND(),1,Coefficients!$B$22)</f>
        <v>1.12275621896357</v>
      </c>
      <c r="C257" s="0" t="n">
        <f aca="true">MEDIAN(8,16,ROUND(NORMINV(RAND(),Coefficients!$B$20,Coefficients!$B$21),0))</f>
        <v>13</v>
      </c>
      <c r="D257" s="0" t="n">
        <f aca="true">CRITBINOM($C257,MIN(0.75,Matchup!$B$39*$B257),RAND())</f>
        <v>4</v>
      </c>
      <c r="E257" s="0" t="n">
        <f aca="true">CRITBINOM(D257,Coefficients!$B$30,RAND())</f>
        <v>0</v>
      </c>
      <c r="F257" s="0" t="n">
        <f aca="true">CRITBINOM(E257,Coefficients!$B$31,RAND())</f>
        <v>0</v>
      </c>
      <c r="G257" s="0" t="n">
        <f aca="true">CRITBINOM(MAX(0,D257-E257),1-Coefficients!$B$32,RAND())</f>
        <v>1</v>
      </c>
      <c r="H257" s="0" t="n">
        <f aca="true">CRITBINOM(MAX(0,$C257-D257),MIN(0.6,Matchup!$B$40*SQRT($B257)/(1-MIN(0.75,Matchup!$B$39*$B257))),RAND())</f>
        <v>1</v>
      </c>
      <c r="I257" s="0" t="n">
        <f aca="false">6*D257+(D257-E257-G257)+2*F257+3*H257</f>
        <v>30</v>
      </c>
      <c r="J257" s="0" t="n">
        <f aca="true">CRITBINOM($C257,MIN(0.75,Matchup!$C$39*$B257),RAND())</f>
        <v>1</v>
      </c>
      <c r="K257" s="0" t="n">
        <f aca="true">CRITBINOM(J257,Coefficients!$B$30,RAND())</f>
        <v>0</v>
      </c>
      <c r="L257" s="0" t="n">
        <f aca="true">CRITBINOM(K257,Coefficients!$B$31,RAND())</f>
        <v>0</v>
      </c>
      <c r="M257" s="0" t="n">
        <f aca="true">CRITBINOM(MAX(0,J257-K257),1-Coefficients!$B$32,RAND())</f>
        <v>0</v>
      </c>
      <c r="N257" s="0" t="n">
        <f aca="true">CRITBINOM(MAX(0,$C257-J257),MIN(0.6,Matchup!$C$40*SQRT($B257)/(1-MIN(0.75,Matchup!$C$39*$B257))),RAND())</f>
        <v>1</v>
      </c>
      <c r="O257" s="0" t="n">
        <f aca="false">6*J257+(J257-K257-M257)+2*L257+3*N257</f>
        <v>10</v>
      </c>
      <c r="P257" s="0" t="n">
        <f aca="true">RAND()</f>
        <v>0.540925990602966</v>
      </c>
      <c r="Q257" s="0" t="n">
        <f aca="true">RAND()</f>
        <v>0.899807150541921</v>
      </c>
      <c r="R257" s="0" t="n">
        <f aca="false">IF($I257&lt;&gt;$O257,0,IF(P257&lt;Matchup!$B$39,7,IF(P257&lt;Matchup!$B$39+Matchup!$B$40,3,0)))</f>
        <v>0</v>
      </c>
      <c r="S257" s="0" t="n">
        <f aca="false">IF($I257&lt;&gt;$O257,0,IF(Q257&lt;Matchup!$C$39,7,IF(Q257&lt;Matchup!$C$39+Matchup!$C$40,3,0)))</f>
        <v>0</v>
      </c>
      <c r="T257" s="0" t="n">
        <f aca="false">I257+R257</f>
        <v>30</v>
      </c>
      <c r="U257" s="0" t="n">
        <f aca="false">O257+S257</f>
        <v>10</v>
      </c>
      <c r="V257" s="0" t="n">
        <f aca="false">T257-U257</f>
        <v>20</v>
      </c>
      <c r="W257" s="0" t="n">
        <f aca="false">T257+U257</f>
        <v>40</v>
      </c>
    </row>
    <row r="258" customFormat="false" ht="15" hidden="false" customHeight="false" outlineLevel="0" collapsed="false">
      <c r="A258" s="0" t="n">
        <v>255</v>
      </c>
      <c r="B258" s="0" t="n">
        <f aca="true">NORMINV(RAND(),1,Coefficients!$B$22)</f>
        <v>1.01162299210064</v>
      </c>
      <c r="C258" s="0" t="n">
        <f aca="true">MEDIAN(8,16,ROUND(NORMINV(RAND(),Coefficients!$B$20,Coefficients!$B$21),0))</f>
        <v>11</v>
      </c>
      <c r="D258" s="0" t="n">
        <f aca="true">CRITBINOM($C258,MIN(0.75,Matchup!$B$39*$B258),RAND())</f>
        <v>5</v>
      </c>
      <c r="E258" s="0" t="n">
        <f aca="true">CRITBINOM(D258,Coefficients!$B$30,RAND())</f>
        <v>1</v>
      </c>
      <c r="F258" s="0" t="n">
        <f aca="true">CRITBINOM(E258,Coefficients!$B$31,RAND())</f>
        <v>0</v>
      </c>
      <c r="G258" s="0" t="n">
        <f aca="true">CRITBINOM(MAX(0,D258-E258),1-Coefficients!$B$32,RAND())</f>
        <v>0</v>
      </c>
      <c r="H258" s="0" t="n">
        <f aca="true">CRITBINOM(MAX(0,$C258-D258),MIN(0.6,Matchup!$B$40*SQRT($B258)/(1-MIN(0.75,Matchup!$B$39*$B258))),RAND())</f>
        <v>2</v>
      </c>
      <c r="I258" s="0" t="n">
        <f aca="false">6*D258+(D258-E258-G258)+2*F258+3*H258</f>
        <v>40</v>
      </c>
      <c r="J258" s="0" t="n">
        <f aca="true">CRITBINOM($C258,MIN(0.75,Matchup!$C$39*$B258),RAND())</f>
        <v>0</v>
      </c>
      <c r="K258" s="0" t="n">
        <f aca="true">CRITBINOM(J258,Coefficients!$B$30,RAND())</f>
        <v>0</v>
      </c>
      <c r="L258" s="0" t="n">
        <f aca="true">CRITBINOM(K258,Coefficients!$B$31,RAND())</f>
        <v>0</v>
      </c>
      <c r="M258" s="0" t="n">
        <f aca="true">CRITBINOM(MAX(0,J258-K258),1-Coefficients!$B$32,RAND())</f>
        <v>0</v>
      </c>
      <c r="N258" s="0" t="n">
        <f aca="true">CRITBINOM(MAX(0,$C258-J258),MIN(0.6,Matchup!$C$40*SQRT($B258)/(1-MIN(0.75,Matchup!$C$39*$B258))),RAND())</f>
        <v>0</v>
      </c>
      <c r="O258" s="0" t="n">
        <f aca="false">6*J258+(J258-K258-M258)+2*L258+3*N258</f>
        <v>0</v>
      </c>
      <c r="P258" s="0" t="n">
        <f aca="true">RAND()</f>
        <v>0.305021004100005</v>
      </c>
      <c r="Q258" s="0" t="n">
        <f aca="true">RAND()</f>
        <v>0.57734756974605</v>
      </c>
      <c r="R258" s="0" t="n">
        <f aca="false">IF($I258&lt;&gt;$O258,0,IF(P258&lt;Matchup!$B$39,7,IF(P258&lt;Matchup!$B$39+Matchup!$B$40,3,0)))</f>
        <v>0</v>
      </c>
      <c r="S258" s="0" t="n">
        <f aca="false">IF($I258&lt;&gt;$O258,0,IF(Q258&lt;Matchup!$C$39,7,IF(Q258&lt;Matchup!$C$39+Matchup!$C$40,3,0)))</f>
        <v>0</v>
      </c>
      <c r="T258" s="0" t="n">
        <f aca="false">I258+R258</f>
        <v>40</v>
      </c>
      <c r="U258" s="0" t="n">
        <f aca="false">O258+S258</f>
        <v>0</v>
      </c>
      <c r="V258" s="0" t="n">
        <f aca="false">T258-U258</f>
        <v>40</v>
      </c>
      <c r="W258" s="0" t="n">
        <f aca="false">T258+U258</f>
        <v>40</v>
      </c>
    </row>
    <row r="259" customFormat="false" ht="15" hidden="false" customHeight="false" outlineLevel="0" collapsed="false">
      <c r="A259" s="0" t="n">
        <v>256</v>
      </c>
      <c r="B259" s="0" t="n">
        <f aca="true">NORMINV(RAND(),1,Coefficients!$B$22)</f>
        <v>0.873729818060823</v>
      </c>
      <c r="C259" s="0" t="n">
        <f aca="true">MEDIAN(8,16,ROUND(NORMINV(RAND(),Coefficients!$B$20,Coefficients!$B$21),0))</f>
        <v>11</v>
      </c>
      <c r="D259" s="0" t="n">
        <f aca="true">CRITBINOM($C259,MIN(0.75,Matchup!$B$39*$B259),RAND())</f>
        <v>2</v>
      </c>
      <c r="E259" s="0" t="n">
        <f aca="true">CRITBINOM(D259,Coefficients!$B$30,RAND())</f>
        <v>0</v>
      </c>
      <c r="F259" s="0" t="n">
        <f aca="true">CRITBINOM(E259,Coefficients!$B$31,RAND())</f>
        <v>0</v>
      </c>
      <c r="G259" s="0" t="n">
        <f aca="true">CRITBINOM(MAX(0,D259-E259),1-Coefficients!$B$32,RAND())</f>
        <v>0</v>
      </c>
      <c r="H259" s="0" t="n">
        <f aca="true">CRITBINOM(MAX(0,$C259-D259),MIN(0.6,Matchup!$B$40*SQRT($B259)/(1-MIN(0.75,Matchup!$B$39*$B259))),RAND())</f>
        <v>1</v>
      </c>
      <c r="I259" s="0" t="n">
        <f aca="false">6*D259+(D259-E259-G259)+2*F259+3*H259</f>
        <v>17</v>
      </c>
      <c r="J259" s="0" t="n">
        <f aca="true">CRITBINOM($C259,MIN(0.75,Matchup!$C$39*$B259),RAND())</f>
        <v>0</v>
      </c>
      <c r="K259" s="0" t="n">
        <f aca="true">CRITBINOM(J259,Coefficients!$B$30,RAND())</f>
        <v>0</v>
      </c>
      <c r="L259" s="0" t="n">
        <f aca="true">CRITBINOM(K259,Coefficients!$B$31,RAND())</f>
        <v>0</v>
      </c>
      <c r="M259" s="0" t="n">
        <f aca="true">CRITBINOM(MAX(0,J259-K259),1-Coefficients!$B$32,RAND())</f>
        <v>0</v>
      </c>
      <c r="N259" s="0" t="n">
        <f aca="true">CRITBINOM(MAX(0,$C259-J259),MIN(0.6,Matchup!$C$40*SQRT($B259)/(1-MIN(0.75,Matchup!$C$39*$B259))),RAND())</f>
        <v>1</v>
      </c>
      <c r="O259" s="0" t="n">
        <f aca="false">6*J259+(J259-K259-M259)+2*L259+3*N259</f>
        <v>3</v>
      </c>
      <c r="P259" s="0" t="n">
        <f aca="true">RAND()</f>
        <v>0.573226489867531</v>
      </c>
      <c r="Q259" s="0" t="n">
        <f aca="true">RAND()</f>
        <v>0.7240878843502</v>
      </c>
      <c r="R259" s="0" t="n">
        <f aca="false">IF($I259&lt;&gt;$O259,0,IF(P259&lt;Matchup!$B$39,7,IF(P259&lt;Matchup!$B$39+Matchup!$B$40,3,0)))</f>
        <v>0</v>
      </c>
      <c r="S259" s="0" t="n">
        <f aca="false">IF($I259&lt;&gt;$O259,0,IF(Q259&lt;Matchup!$C$39,7,IF(Q259&lt;Matchup!$C$39+Matchup!$C$40,3,0)))</f>
        <v>0</v>
      </c>
      <c r="T259" s="0" t="n">
        <f aca="false">I259+R259</f>
        <v>17</v>
      </c>
      <c r="U259" s="0" t="n">
        <f aca="false">O259+S259</f>
        <v>3</v>
      </c>
      <c r="V259" s="0" t="n">
        <f aca="false">T259-U259</f>
        <v>14</v>
      </c>
      <c r="W259" s="0" t="n">
        <f aca="false">T259+U259</f>
        <v>20</v>
      </c>
    </row>
    <row r="260" customFormat="false" ht="15" hidden="false" customHeight="false" outlineLevel="0" collapsed="false">
      <c r="A260" s="0" t="n">
        <v>257</v>
      </c>
      <c r="B260" s="0" t="n">
        <f aca="true">NORMINV(RAND(),1,Coefficients!$B$22)</f>
        <v>1.06440104906328</v>
      </c>
      <c r="C260" s="0" t="n">
        <f aca="true">MEDIAN(8,16,ROUND(NORMINV(RAND(),Coefficients!$B$20,Coefficients!$B$21),0))</f>
        <v>13</v>
      </c>
      <c r="D260" s="0" t="n">
        <f aca="true">CRITBINOM($C260,MIN(0.75,Matchup!$B$39*$B260),RAND())</f>
        <v>5</v>
      </c>
      <c r="E260" s="0" t="n">
        <f aca="true">CRITBINOM(D260,Coefficients!$B$30,RAND())</f>
        <v>0</v>
      </c>
      <c r="F260" s="0" t="n">
        <f aca="true">CRITBINOM(E260,Coefficients!$B$31,RAND())</f>
        <v>0</v>
      </c>
      <c r="G260" s="0" t="n">
        <f aca="true">CRITBINOM(MAX(0,D260-E260),1-Coefficients!$B$32,RAND())</f>
        <v>0</v>
      </c>
      <c r="H260" s="0" t="n">
        <f aca="true">CRITBINOM(MAX(0,$C260-D260),MIN(0.6,Matchup!$B$40*SQRT($B260)/(1-MIN(0.75,Matchup!$B$39*$B260))),RAND())</f>
        <v>1</v>
      </c>
      <c r="I260" s="0" t="n">
        <f aca="false">6*D260+(D260-E260-G260)+2*F260+3*H260</f>
        <v>38</v>
      </c>
      <c r="J260" s="0" t="n">
        <f aca="true">CRITBINOM($C260,MIN(0.75,Matchup!$C$39*$B260),RAND())</f>
        <v>4</v>
      </c>
      <c r="K260" s="0" t="n">
        <f aca="true">CRITBINOM(J260,Coefficients!$B$30,RAND())</f>
        <v>0</v>
      </c>
      <c r="L260" s="0" t="n">
        <f aca="true">CRITBINOM(K260,Coefficients!$B$31,RAND())</f>
        <v>0</v>
      </c>
      <c r="M260" s="0" t="n">
        <f aca="true">CRITBINOM(MAX(0,J260-K260),1-Coefficients!$B$32,RAND())</f>
        <v>1</v>
      </c>
      <c r="N260" s="0" t="n">
        <f aca="true">CRITBINOM(MAX(0,$C260-J260),MIN(0.6,Matchup!$C$40*SQRT($B260)/(1-MIN(0.75,Matchup!$C$39*$B260))),RAND())</f>
        <v>2</v>
      </c>
      <c r="O260" s="0" t="n">
        <f aca="false">6*J260+(J260-K260-M260)+2*L260+3*N260</f>
        <v>33</v>
      </c>
      <c r="P260" s="0" t="n">
        <f aca="true">RAND()</f>
        <v>0.308041571492926</v>
      </c>
      <c r="Q260" s="0" t="n">
        <f aca="true">RAND()</f>
        <v>0.711419152159238</v>
      </c>
      <c r="R260" s="0" t="n">
        <f aca="false">IF($I260&lt;&gt;$O260,0,IF(P260&lt;Matchup!$B$39,7,IF(P260&lt;Matchup!$B$39+Matchup!$B$40,3,0)))</f>
        <v>0</v>
      </c>
      <c r="S260" s="0" t="n">
        <f aca="false">IF($I260&lt;&gt;$O260,0,IF(Q260&lt;Matchup!$C$39,7,IF(Q260&lt;Matchup!$C$39+Matchup!$C$40,3,0)))</f>
        <v>0</v>
      </c>
      <c r="T260" s="0" t="n">
        <f aca="false">I260+R260</f>
        <v>38</v>
      </c>
      <c r="U260" s="0" t="n">
        <f aca="false">O260+S260</f>
        <v>33</v>
      </c>
      <c r="V260" s="0" t="n">
        <f aca="false">T260-U260</f>
        <v>5</v>
      </c>
      <c r="W260" s="0" t="n">
        <f aca="false">T260+U260</f>
        <v>71</v>
      </c>
    </row>
    <row r="261" customFormat="false" ht="15" hidden="false" customHeight="false" outlineLevel="0" collapsed="false">
      <c r="A261" s="0" t="n">
        <v>258</v>
      </c>
      <c r="B261" s="0" t="n">
        <f aca="true">NORMINV(RAND(),1,Coefficients!$B$22)</f>
        <v>0.957927425943301</v>
      </c>
      <c r="C261" s="0" t="n">
        <f aca="true">MEDIAN(8,16,ROUND(NORMINV(RAND(),Coefficients!$B$20,Coefficients!$B$21),0))</f>
        <v>12</v>
      </c>
      <c r="D261" s="0" t="n">
        <f aca="true">CRITBINOM($C261,MIN(0.75,Matchup!$B$39*$B261),RAND())</f>
        <v>3</v>
      </c>
      <c r="E261" s="0" t="n">
        <f aca="true">CRITBINOM(D261,Coefficients!$B$30,RAND())</f>
        <v>0</v>
      </c>
      <c r="F261" s="0" t="n">
        <f aca="true">CRITBINOM(E261,Coefficients!$B$31,RAND())</f>
        <v>0</v>
      </c>
      <c r="G261" s="0" t="n">
        <f aca="true">CRITBINOM(MAX(0,D261-E261),1-Coefficients!$B$32,RAND())</f>
        <v>0</v>
      </c>
      <c r="H261" s="0" t="n">
        <f aca="true">CRITBINOM(MAX(0,$C261-D261),MIN(0.6,Matchup!$B$40*SQRT($B261)/(1-MIN(0.75,Matchup!$B$39*$B261))),RAND())</f>
        <v>5</v>
      </c>
      <c r="I261" s="0" t="n">
        <f aca="false">6*D261+(D261-E261-G261)+2*F261+3*H261</f>
        <v>36</v>
      </c>
      <c r="J261" s="0" t="n">
        <f aca="true">CRITBINOM($C261,MIN(0.75,Matchup!$C$39*$B261),RAND())</f>
        <v>6</v>
      </c>
      <c r="K261" s="0" t="n">
        <f aca="true">CRITBINOM(J261,Coefficients!$B$30,RAND())</f>
        <v>1</v>
      </c>
      <c r="L261" s="0" t="n">
        <f aca="true">CRITBINOM(K261,Coefficients!$B$31,RAND())</f>
        <v>1</v>
      </c>
      <c r="M261" s="0" t="n">
        <f aca="true">CRITBINOM(MAX(0,J261-K261),1-Coefficients!$B$32,RAND())</f>
        <v>1</v>
      </c>
      <c r="N261" s="0" t="n">
        <f aca="true">CRITBINOM(MAX(0,$C261-J261),MIN(0.6,Matchup!$C$40*SQRT($B261)/(1-MIN(0.75,Matchup!$C$39*$B261))),RAND())</f>
        <v>2</v>
      </c>
      <c r="O261" s="0" t="n">
        <f aca="false">6*J261+(J261-K261-M261)+2*L261+3*N261</f>
        <v>48</v>
      </c>
      <c r="P261" s="0" t="n">
        <f aca="true">RAND()</f>
        <v>0.0603279662633184</v>
      </c>
      <c r="Q261" s="0" t="n">
        <f aca="true">RAND()</f>
        <v>0.348452743934884</v>
      </c>
      <c r="R261" s="0" t="n">
        <f aca="false">IF($I261&lt;&gt;$O261,0,IF(P261&lt;Matchup!$B$39,7,IF(P261&lt;Matchup!$B$39+Matchup!$B$40,3,0)))</f>
        <v>0</v>
      </c>
      <c r="S261" s="0" t="n">
        <f aca="false">IF($I261&lt;&gt;$O261,0,IF(Q261&lt;Matchup!$C$39,7,IF(Q261&lt;Matchup!$C$39+Matchup!$C$40,3,0)))</f>
        <v>0</v>
      </c>
      <c r="T261" s="0" t="n">
        <f aca="false">I261+R261</f>
        <v>36</v>
      </c>
      <c r="U261" s="0" t="n">
        <f aca="false">O261+S261</f>
        <v>48</v>
      </c>
      <c r="V261" s="0" t="n">
        <f aca="false">T261-U261</f>
        <v>-12</v>
      </c>
      <c r="W261" s="0" t="n">
        <f aca="false">T261+U261</f>
        <v>84</v>
      </c>
    </row>
    <row r="262" customFormat="false" ht="15" hidden="false" customHeight="false" outlineLevel="0" collapsed="false">
      <c r="A262" s="0" t="n">
        <v>259</v>
      </c>
      <c r="B262" s="0" t="n">
        <f aca="true">NORMINV(RAND(),1,Coefficients!$B$22)</f>
        <v>0.928668942543025</v>
      </c>
      <c r="C262" s="0" t="n">
        <f aca="true">MEDIAN(8,16,ROUND(NORMINV(RAND(),Coefficients!$B$20,Coefficients!$B$21),0))</f>
        <v>14</v>
      </c>
      <c r="D262" s="0" t="n">
        <f aca="true">CRITBINOM($C262,MIN(0.75,Matchup!$B$39*$B262),RAND())</f>
        <v>6</v>
      </c>
      <c r="E262" s="0" t="n">
        <f aca="true">CRITBINOM(D262,Coefficients!$B$30,RAND())</f>
        <v>0</v>
      </c>
      <c r="F262" s="0" t="n">
        <f aca="true">CRITBINOM(E262,Coefficients!$B$31,RAND())</f>
        <v>0</v>
      </c>
      <c r="G262" s="0" t="n">
        <f aca="true">CRITBINOM(MAX(0,D262-E262),1-Coefficients!$B$32,RAND())</f>
        <v>0</v>
      </c>
      <c r="H262" s="0" t="n">
        <f aca="true">CRITBINOM(MAX(0,$C262-D262),MIN(0.6,Matchup!$B$40*SQRT($B262)/(1-MIN(0.75,Matchup!$B$39*$B262))),RAND())</f>
        <v>2</v>
      </c>
      <c r="I262" s="0" t="n">
        <f aca="false">6*D262+(D262-E262-G262)+2*F262+3*H262</f>
        <v>48</v>
      </c>
      <c r="J262" s="0" t="n">
        <f aca="true">CRITBINOM($C262,MIN(0.75,Matchup!$C$39*$B262),RAND())</f>
        <v>5</v>
      </c>
      <c r="K262" s="0" t="n">
        <f aca="true">CRITBINOM(J262,Coefficients!$B$30,RAND())</f>
        <v>0</v>
      </c>
      <c r="L262" s="0" t="n">
        <f aca="true">CRITBINOM(K262,Coefficients!$B$31,RAND())</f>
        <v>0</v>
      </c>
      <c r="M262" s="0" t="n">
        <f aca="true">CRITBINOM(MAX(0,J262-K262),1-Coefficients!$B$32,RAND())</f>
        <v>1</v>
      </c>
      <c r="N262" s="0" t="n">
        <f aca="true">CRITBINOM(MAX(0,$C262-J262),MIN(0.6,Matchup!$C$40*SQRT($B262)/(1-MIN(0.75,Matchup!$C$39*$B262))),RAND())</f>
        <v>2</v>
      </c>
      <c r="O262" s="0" t="n">
        <f aca="false">6*J262+(J262-K262-M262)+2*L262+3*N262</f>
        <v>40</v>
      </c>
      <c r="P262" s="0" t="n">
        <f aca="true">RAND()</f>
        <v>0.160624736299043</v>
      </c>
      <c r="Q262" s="0" t="n">
        <f aca="true">RAND()</f>
        <v>0.583277966558019</v>
      </c>
      <c r="R262" s="0" t="n">
        <f aca="false">IF($I262&lt;&gt;$O262,0,IF(P262&lt;Matchup!$B$39,7,IF(P262&lt;Matchup!$B$39+Matchup!$B$40,3,0)))</f>
        <v>0</v>
      </c>
      <c r="S262" s="0" t="n">
        <f aca="false">IF($I262&lt;&gt;$O262,0,IF(Q262&lt;Matchup!$C$39,7,IF(Q262&lt;Matchup!$C$39+Matchup!$C$40,3,0)))</f>
        <v>0</v>
      </c>
      <c r="T262" s="0" t="n">
        <f aca="false">I262+R262</f>
        <v>48</v>
      </c>
      <c r="U262" s="0" t="n">
        <f aca="false">O262+S262</f>
        <v>40</v>
      </c>
      <c r="V262" s="0" t="n">
        <f aca="false">T262-U262</f>
        <v>8</v>
      </c>
      <c r="W262" s="0" t="n">
        <f aca="false">T262+U262</f>
        <v>88</v>
      </c>
    </row>
    <row r="263" customFormat="false" ht="15" hidden="false" customHeight="false" outlineLevel="0" collapsed="false">
      <c r="A263" s="0" t="n">
        <v>260</v>
      </c>
      <c r="B263" s="0" t="n">
        <f aca="true">NORMINV(RAND(),1,Coefficients!$B$22)</f>
        <v>0.909226450146799</v>
      </c>
      <c r="C263" s="0" t="n">
        <f aca="true">MEDIAN(8,16,ROUND(NORMINV(RAND(),Coefficients!$B$20,Coefficients!$B$21),0))</f>
        <v>11</v>
      </c>
      <c r="D263" s="0" t="n">
        <f aca="true">CRITBINOM($C263,MIN(0.75,Matchup!$B$39*$B263),RAND())</f>
        <v>2</v>
      </c>
      <c r="E263" s="0" t="n">
        <f aca="true">CRITBINOM(D263,Coefficients!$B$30,RAND())</f>
        <v>1</v>
      </c>
      <c r="F263" s="0" t="n">
        <f aca="true">CRITBINOM(E263,Coefficients!$B$31,RAND())</f>
        <v>0</v>
      </c>
      <c r="G263" s="0" t="n">
        <f aca="true">CRITBINOM(MAX(0,D263-E263),1-Coefficients!$B$32,RAND())</f>
        <v>0</v>
      </c>
      <c r="H263" s="0" t="n">
        <f aca="true">CRITBINOM(MAX(0,$C263-D263),MIN(0.6,Matchup!$B$40*SQRT($B263)/(1-MIN(0.75,Matchup!$B$39*$B263))),RAND())</f>
        <v>2</v>
      </c>
      <c r="I263" s="0" t="n">
        <f aca="false">6*D263+(D263-E263-G263)+2*F263+3*H263</f>
        <v>19</v>
      </c>
      <c r="J263" s="0" t="n">
        <f aca="true">CRITBINOM($C263,MIN(0.75,Matchup!$C$39*$B263),RAND())</f>
        <v>2</v>
      </c>
      <c r="K263" s="0" t="n">
        <f aca="true">CRITBINOM(J263,Coefficients!$B$30,RAND())</f>
        <v>0</v>
      </c>
      <c r="L263" s="0" t="n">
        <f aca="true">CRITBINOM(K263,Coefficients!$B$31,RAND())</f>
        <v>0</v>
      </c>
      <c r="M263" s="0" t="n">
        <f aca="true">CRITBINOM(MAX(0,J263-K263),1-Coefficients!$B$32,RAND())</f>
        <v>0</v>
      </c>
      <c r="N263" s="0" t="n">
        <f aca="true">CRITBINOM(MAX(0,$C263-J263),MIN(0.6,Matchup!$C$40*SQRT($B263)/(1-MIN(0.75,Matchup!$C$39*$B263))),RAND())</f>
        <v>1</v>
      </c>
      <c r="O263" s="0" t="n">
        <f aca="false">6*J263+(J263-K263-M263)+2*L263+3*N263</f>
        <v>17</v>
      </c>
      <c r="P263" s="0" t="n">
        <f aca="true">RAND()</f>
        <v>0.612690490244538</v>
      </c>
      <c r="Q263" s="0" t="n">
        <f aca="true">RAND()</f>
        <v>0.936856011735074</v>
      </c>
      <c r="R263" s="0" t="n">
        <f aca="false">IF($I263&lt;&gt;$O263,0,IF(P263&lt;Matchup!$B$39,7,IF(P263&lt;Matchup!$B$39+Matchup!$B$40,3,0)))</f>
        <v>0</v>
      </c>
      <c r="S263" s="0" t="n">
        <f aca="false">IF($I263&lt;&gt;$O263,0,IF(Q263&lt;Matchup!$C$39,7,IF(Q263&lt;Matchup!$C$39+Matchup!$C$40,3,0)))</f>
        <v>0</v>
      </c>
      <c r="T263" s="0" t="n">
        <f aca="false">I263+R263</f>
        <v>19</v>
      </c>
      <c r="U263" s="0" t="n">
        <f aca="false">O263+S263</f>
        <v>17</v>
      </c>
      <c r="V263" s="0" t="n">
        <f aca="false">T263-U263</f>
        <v>2</v>
      </c>
      <c r="W263" s="0" t="n">
        <f aca="false">T263+U263</f>
        <v>36</v>
      </c>
    </row>
    <row r="264" customFormat="false" ht="15" hidden="false" customHeight="false" outlineLevel="0" collapsed="false">
      <c r="A264" s="0" t="n">
        <v>261</v>
      </c>
      <c r="B264" s="0" t="n">
        <f aca="true">NORMINV(RAND(),1,Coefficients!$B$22)</f>
        <v>1.00526497151086</v>
      </c>
      <c r="C264" s="0" t="n">
        <f aca="true">MEDIAN(8,16,ROUND(NORMINV(RAND(),Coefficients!$B$20,Coefficients!$B$21),0))</f>
        <v>10</v>
      </c>
      <c r="D264" s="0" t="n">
        <f aca="true">CRITBINOM($C264,MIN(0.75,Matchup!$B$39*$B264),RAND())</f>
        <v>1</v>
      </c>
      <c r="E264" s="0" t="n">
        <f aca="true">CRITBINOM(D264,Coefficients!$B$30,RAND())</f>
        <v>0</v>
      </c>
      <c r="F264" s="0" t="n">
        <f aca="true">CRITBINOM(E264,Coefficients!$B$31,RAND())</f>
        <v>0</v>
      </c>
      <c r="G264" s="0" t="n">
        <f aca="true">CRITBINOM(MAX(0,D264-E264),1-Coefficients!$B$32,RAND())</f>
        <v>0</v>
      </c>
      <c r="H264" s="0" t="n">
        <f aca="true">CRITBINOM(MAX(0,$C264-D264),MIN(0.6,Matchup!$B$40*SQRT($B264)/(1-MIN(0.75,Matchup!$B$39*$B264))),RAND())</f>
        <v>2</v>
      </c>
      <c r="I264" s="0" t="n">
        <f aca="false">6*D264+(D264-E264-G264)+2*F264+3*H264</f>
        <v>13</v>
      </c>
      <c r="J264" s="0" t="n">
        <f aca="true">CRITBINOM($C264,MIN(0.75,Matchup!$C$39*$B264),RAND())</f>
        <v>1</v>
      </c>
      <c r="K264" s="0" t="n">
        <f aca="true">CRITBINOM(J264,Coefficients!$B$30,RAND())</f>
        <v>0</v>
      </c>
      <c r="L264" s="0" t="n">
        <f aca="true">CRITBINOM(K264,Coefficients!$B$31,RAND())</f>
        <v>0</v>
      </c>
      <c r="M264" s="0" t="n">
        <f aca="true">CRITBINOM(MAX(0,J264-K264),1-Coefficients!$B$32,RAND())</f>
        <v>0</v>
      </c>
      <c r="N264" s="0" t="n">
        <f aca="true">CRITBINOM(MAX(0,$C264-J264),MIN(0.6,Matchup!$C$40*SQRT($B264)/(1-MIN(0.75,Matchup!$C$39*$B264))),RAND())</f>
        <v>2</v>
      </c>
      <c r="O264" s="0" t="n">
        <f aca="false">6*J264+(J264-K264-M264)+2*L264+3*N264</f>
        <v>13</v>
      </c>
      <c r="P264" s="0" t="n">
        <f aca="true">RAND()</f>
        <v>0.835544675342349</v>
      </c>
      <c r="Q264" s="0" t="n">
        <f aca="true">RAND()</f>
        <v>0.187304797093902</v>
      </c>
      <c r="R264" s="0" t="n">
        <f aca="false">IF($I264&lt;&gt;$O264,0,IF(P264&lt;Matchup!$B$39,7,IF(P264&lt;Matchup!$B$39+Matchup!$B$40,3,0)))</f>
        <v>0</v>
      </c>
      <c r="S264" s="0" t="n">
        <f aca="false">IF($I264&lt;&gt;$O264,0,IF(Q264&lt;Matchup!$C$39,7,IF(Q264&lt;Matchup!$C$39+Matchup!$C$40,3,0)))</f>
        <v>7</v>
      </c>
      <c r="T264" s="0" t="n">
        <f aca="false">I264+R264</f>
        <v>13</v>
      </c>
      <c r="U264" s="0" t="n">
        <f aca="false">O264+S264</f>
        <v>20</v>
      </c>
      <c r="V264" s="0" t="n">
        <f aca="false">T264-U264</f>
        <v>-7</v>
      </c>
      <c r="W264" s="0" t="n">
        <f aca="false">T264+U264</f>
        <v>33</v>
      </c>
    </row>
    <row r="265" customFormat="false" ht="15" hidden="false" customHeight="false" outlineLevel="0" collapsed="false">
      <c r="A265" s="0" t="n">
        <v>262</v>
      </c>
      <c r="B265" s="0" t="n">
        <f aca="true">NORMINV(RAND(),1,Coefficients!$B$22)</f>
        <v>1.04175600153282</v>
      </c>
      <c r="C265" s="0" t="n">
        <f aca="true">MEDIAN(8,16,ROUND(NORMINV(RAND(),Coefficients!$B$20,Coefficients!$B$21),0))</f>
        <v>12</v>
      </c>
      <c r="D265" s="0" t="n">
        <f aca="true">CRITBINOM($C265,MIN(0.75,Matchup!$B$39*$B265),RAND())</f>
        <v>2</v>
      </c>
      <c r="E265" s="0" t="n">
        <f aca="true">CRITBINOM(D265,Coefficients!$B$30,RAND())</f>
        <v>0</v>
      </c>
      <c r="F265" s="0" t="n">
        <f aca="true">CRITBINOM(E265,Coefficients!$B$31,RAND())</f>
        <v>0</v>
      </c>
      <c r="G265" s="0" t="n">
        <f aca="true">CRITBINOM(MAX(0,D265-E265),1-Coefficients!$B$32,RAND())</f>
        <v>0</v>
      </c>
      <c r="H265" s="0" t="n">
        <f aca="true">CRITBINOM(MAX(0,$C265-D265),MIN(0.6,Matchup!$B$40*SQRT($B265)/(1-MIN(0.75,Matchup!$B$39*$B265))),RAND())</f>
        <v>1</v>
      </c>
      <c r="I265" s="0" t="n">
        <f aca="false">6*D265+(D265-E265-G265)+2*F265+3*H265</f>
        <v>17</v>
      </c>
      <c r="J265" s="0" t="n">
        <f aca="true">CRITBINOM($C265,MIN(0.75,Matchup!$C$39*$B265),RAND())</f>
        <v>5</v>
      </c>
      <c r="K265" s="0" t="n">
        <f aca="true">CRITBINOM(J265,Coefficients!$B$30,RAND())</f>
        <v>0</v>
      </c>
      <c r="L265" s="0" t="n">
        <f aca="true">CRITBINOM(K265,Coefficients!$B$31,RAND())</f>
        <v>0</v>
      </c>
      <c r="M265" s="0" t="n">
        <f aca="true">CRITBINOM(MAX(0,J265-K265),1-Coefficients!$B$32,RAND())</f>
        <v>0</v>
      </c>
      <c r="N265" s="0" t="n">
        <f aca="true">CRITBINOM(MAX(0,$C265-J265),MIN(0.6,Matchup!$C$40*SQRT($B265)/(1-MIN(0.75,Matchup!$C$39*$B265))),RAND())</f>
        <v>3</v>
      </c>
      <c r="O265" s="0" t="n">
        <f aca="false">6*J265+(J265-K265-M265)+2*L265+3*N265</f>
        <v>44</v>
      </c>
      <c r="P265" s="0" t="n">
        <f aca="true">RAND()</f>
        <v>0.424065448558381</v>
      </c>
      <c r="Q265" s="0" t="n">
        <f aca="true">RAND()</f>
        <v>0.295743631634731</v>
      </c>
      <c r="R265" s="0" t="n">
        <f aca="false">IF($I265&lt;&gt;$O265,0,IF(P265&lt;Matchup!$B$39,7,IF(P265&lt;Matchup!$B$39+Matchup!$B$40,3,0)))</f>
        <v>0</v>
      </c>
      <c r="S265" s="0" t="n">
        <f aca="false">IF($I265&lt;&gt;$O265,0,IF(Q265&lt;Matchup!$C$39,7,IF(Q265&lt;Matchup!$C$39+Matchup!$C$40,3,0)))</f>
        <v>0</v>
      </c>
      <c r="T265" s="0" t="n">
        <f aca="false">I265+R265</f>
        <v>17</v>
      </c>
      <c r="U265" s="0" t="n">
        <f aca="false">O265+S265</f>
        <v>44</v>
      </c>
      <c r="V265" s="0" t="n">
        <f aca="false">T265-U265</f>
        <v>-27</v>
      </c>
      <c r="W265" s="0" t="n">
        <f aca="false">T265+U265</f>
        <v>61</v>
      </c>
    </row>
    <row r="266" customFormat="false" ht="15" hidden="false" customHeight="false" outlineLevel="0" collapsed="false">
      <c r="A266" s="0" t="n">
        <v>263</v>
      </c>
      <c r="B266" s="0" t="n">
        <f aca="true">NORMINV(RAND(),1,Coefficients!$B$22)</f>
        <v>0.853900465955231</v>
      </c>
      <c r="C266" s="0" t="n">
        <f aca="true">MEDIAN(8,16,ROUND(NORMINV(RAND(),Coefficients!$B$20,Coefficients!$B$21),0))</f>
        <v>11</v>
      </c>
      <c r="D266" s="0" t="n">
        <f aca="true">CRITBINOM($C266,MIN(0.75,Matchup!$B$39*$B266),RAND())</f>
        <v>3</v>
      </c>
      <c r="E266" s="0" t="n">
        <f aca="true">CRITBINOM(D266,Coefficients!$B$30,RAND())</f>
        <v>0</v>
      </c>
      <c r="F266" s="0" t="n">
        <f aca="true">CRITBINOM(E266,Coefficients!$B$31,RAND())</f>
        <v>0</v>
      </c>
      <c r="G266" s="0" t="n">
        <f aca="true">CRITBINOM(MAX(0,D266-E266),1-Coefficients!$B$32,RAND())</f>
        <v>0</v>
      </c>
      <c r="H266" s="0" t="n">
        <f aca="true">CRITBINOM(MAX(0,$C266-D266),MIN(0.6,Matchup!$B$40*SQRT($B266)/(1-MIN(0.75,Matchup!$B$39*$B266))),RAND())</f>
        <v>1</v>
      </c>
      <c r="I266" s="0" t="n">
        <f aca="false">6*D266+(D266-E266-G266)+2*F266+3*H266</f>
        <v>24</v>
      </c>
      <c r="J266" s="0" t="n">
        <f aca="true">CRITBINOM($C266,MIN(0.75,Matchup!$C$39*$B266),RAND())</f>
        <v>1</v>
      </c>
      <c r="K266" s="0" t="n">
        <f aca="true">CRITBINOM(J266,Coefficients!$B$30,RAND())</f>
        <v>0</v>
      </c>
      <c r="L266" s="0" t="n">
        <f aca="true">CRITBINOM(K266,Coefficients!$B$31,RAND())</f>
        <v>0</v>
      </c>
      <c r="M266" s="0" t="n">
        <f aca="true">CRITBINOM(MAX(0,J266-K266),1-Coefficients!$B$32,RAND())</f>
        <v>0</v>
      </c>
      <c r="N266" s="0" t="n">
        <f aca="true">CRITBINOM(MAX(0,$C266-J266),MIN(0.6,Matchup!$C$40*SQRT($B266)/(1-MIN(0.75,Matchup!$C$39*$B266))),RAND())</f>
        <v>0</v>
      </c>
      <c r="O266" s="0" t="n">
        <f aca="false">6*J266+(J266-K266-M266)+2*L266+3*N266</f>
        <v>7</v>
      </c>
      <c r="P266" s="0" t="n">
        <f aca="true">RAND()</f>
        <v>0.694933651709604</v>
      </c>
      <c r="Q266" s="0" t="n">
        <f aca="true">RAND()</f>
        <v>0.0961121385981197</v>
      </c>
      <c r="R266" s="0" t="n">
        <f aca="false">IF($I266&lt;&gt;$O266,0,IF(P266&lt;Matchup!$B$39,7,IF(P266&lt;Matchup!$B$39+Matchup!$B$40,3,0)))</f>
        <v>0</v>
      </c>
      <c r="S266" s="0" t="n">
        <f aca="false">IF($I266&lt;&gt;$O266,0,IF(Q266&lt;Matchup!$C$39,7,IF(Q266&lt;Matchup!$C$39+Matchup!$C$40,3,0)))</f>
        <v>0</v>
      </c>
      <c r="T266" s="0" t="n">
        <f aca="false">I266+R266</f>
        <v>24</v>
      </c>
      <c r="U266" s="0" t="n">
        <f aca="false">O266+S266</f>
        <v>7</v>
      </c>
      <c r="V266" s="0" t="n">
        <f aca="false">T266-U266</f>
        <v>17</v>
      </c>
      <c r="W266" s="0" t="n">
        <f aca="false">T266+U266</f>
        <v>31</v>
      </c>
    </row>
    <row r="267" customFormat="false" ht="15" hidden="false" customHeight="false" outlineLevel="0" collapsed="false">
      <c r="A267" s="0" t="n">
        <v>264</v>
      </c>
      <c r="B267" s="0" t="n">
        <f aca="true">NORMINV(RAND(),1,Coefficients!$B$22)</f>
        <v>1.086773121143</v>
      </c>
      <c r="C267" s="0" t="n">
        <f aca="true">MEDIAN(8,16,ROUND(NORMINV(RAND(),Coefficients!$B$20,Coefficients!$B$21),0))</f>
        <v>12</v>
      </c>
      <c r="D267" s="0" t="n">
        <f aca="true">CRITBINOM($C267,MIN(0.75,Matchup!$B$39*$B267),RAND())</f>
        <v>2</v>
      </c>
      <c r="E267" s="0" t="n">
        <f aca="true">CRITBINOM(D267,Coefficients!$B$30,RAND())</f>
        <v>0</v>
      </c>
      <c r="F267" s="0" t="n">
        <f aca="true">CRITBINOM(E267,Coefficients!$B$31,RAND())</f>
        <v>0</v>
      </c>
      <c r="G267" s="0" t="n">
        <f aca="true">CRITBINOM(MAX(0,D267-E267),1-Coefficients!$B$32,RAND())</f>
        <v>1</v>
      </c>
      <c r="H267" s="0" t="n">
        <f aca="true">CRITBINOM(MAX(0,$C267-D267),MIN(0.6,Matchup!$B$40*SQRT($B267)/(1-MIN(0.75,Matchup!$B$39*$B267))),RAND())</f>
        <v>4</v>
      </c>
      <c r="I267" s="0" t="n">
        <f aca="false">6*D267+(D267-E267-G267)+2*F267+3*H267</f>
        <v>25</v>
      </c>
      <c r="J267" s="0" t="n">
        <f aca="true">CRITBINOM($C267,MIN(0.75,Matchup!$C$39*$B267),RAND())</f>
        <v>4</v>
      </c>
      <c r="K267" s="0" t="n">
        <f aca="true">CRITBINOM(J267,Coefficients!$B$30,RAND())</f>
        <v>0</v>
      </c>
      <c r="L267" s="0" t="n">
        <f aca="true">CRITBINOM(K267,Coefficients!$B$31,RAND())</f>
        <v>0</v>
      </c>
      <c r="M267" s="0" t="n">
        <f aca="true">CRITBINOM(MAX(0,J267-K267),1-Coefficients!$B$32,RAND())</f>
        <v>1</v>
      </c>
      <c r="N267" s="0" t="n">
        <f aca="true">CRITBINOM(MAX(0,$C267-J267),MIN(0.6,Matchup!$C$40*SQRT($B267)/(1-MIN(0.75,Matchup!$C$39*$B267))),RAND())</f>
        <v>1</v>
      </c>
      <c r="O267" s="0" t="n">
        <f aca="false">6*J267+(J267-K267-M267)+2*L267+3*N267</f>
        <v>30</v>
      </c>
      <c r="P267" s="0" t="n">
        <f aca="true">RAND()</f>
        <v>0.376072119436631</v>
      </c>
      <c r="Q267" s="0" t="n">
        <f aca="true">RAND()</f>
        <v>0.13600853428812</v>
      </c>
      <c r="R267" s="0" t="n">
        <f aca="false">IF($I267&lt;&gt;$O267,0,IF(P267&lt;Matchup!$B$39,7,IF(P267&lt;Matchup!$B$39+Matchup!$B$40,3,0)))</f>
        <v>0</v>
      </c>
      <c r="S267" s="0" t="n">
        <f aca="false">IF($I267&lt;&gt;$O267,0,IF(Q267&lt;Matchup!$C$39,7,IF(Q267&lt;Matchup!$C$39+Matchup!$C$40,3,0)))</f>
        <v>0</v>
      </c>
      <c r="T267" s="0" t="n">
        <f aca="false">I267+R267</f>
        <v>25</v>
      </c>
      <c r="U267" s="0" t="n">
        <f aca="false">O267+S267</f>
        <v>30</v>
      </c>
      <c r="V267" s="0" t="n">
        <f aca="false">T267-U267</f>
        <v>-5</v>
      </c>
      <c r="W267" s="0" t="n">
        <f aca="false">T267+U267</f>
        <v>55</v>
      </c>
    </row>
    <row r="268" customFormat="false" ht="15" hidden="false" customHeight="false" outlineLevel="0" collapsed="false">
      <c r="A268" s="0" t="n">
        <v>265</v>
      </c>
      <c r="B268" s="0" t="n">
        <f aca="true">NORMINV(RAND(),1,Coefficients!$B$22)</f>
        <v>0.941775701374523</v>
      </c>
      <c r="C268" s="0" t="n">
        <f aca="true">MEDIAN(8,16,ROUND(NORMINV(RAND(),Coefficients!$B$20,Coefficients!$B$21),0))</f>
        <v>12</v>
      </c>
      <c r="D268" s="0" t="n">
        <f aca="true">CRITBINOM($C268,MIN(0.75,Matchup!$B$39*$B268),RAND())</f>
        <v>4</v>
      </c>
      <c r="E268" s="0" t="n">
        <f aca="true">CRITBINOM(D268,Coefficients!$B$30,RAND())</f>
        <v>0</v>
      </c>
      <c r="F268" s="0" t="n">
        <f aca="true">CRITBINOM(E268,Coefficients!$B$31,RAND())</f>
        <v>0</v>
      </c>
      <c r="G268" s="0" t="n">
        <f aca="true">CRITBINOM(MAX(0,D268-E268),1-Coefficients!$B$32,RAND())</f>
        <v>0</v>
      </c>
      <c r="H268" s="0" t="n">
        <f aca="true">CRITBINOM(MAX(0,$C268-D268),MIN(0.6,Matchup!$B$40*SQRT($B268)/(1-MIN(0.75,Matchup!$B$39*$B268))),RAND())</f>
        <v>0</v>
      </c>
      <c r="I268" s="0" t="n">
        <f aca="false">6*D268+(D268-E268-G268)+2*F268+3*H268</f>
        <v>28</v>
      </c>
      <c r="J268" s="0" t="n">
        <f aca="true">CRITBINOM($C268,MIN(0.75,Matchup!$C$39*$B268),RAND())</f>
        <v>2</v>
      </c>
      <c r="K268" s="0" t="n">
        <f aca="true">CRITBINOM(J268,Coefficients!$B$30,RAND())</f>
        <v>0</v>
      </c>
      <c r="L268" s="0" t="n">
        <f aca="true">CRITBINOM(K268,Coefficients!$B$31,RAND())</f>
        <v>0</v>
      </c>
      <c r="M268" s="0" t="n">
        <f aca="true">CRITBINOM(MAX(0,J268-K268),1-Coefficients!$B$32,RAND())</f>
        <v>0</v>
      </c>
      <c r="N268" s="0" t="n">
        <f aca="true">CRITBINOM(MAX(0,$C268-J268),MIN(0.6,Matchup!$C$40*SQRT($B268)/(1-MIN(0.75,Matchup!$C$39*$B268))),RAND())</f>
        <v>2</v>
      </c>
      <c r="O268" s="0" t="n">
        <f aca="false">6*J268+(J268-K268-M268)+2*L268+3*N268</f>
        <v>20</v>
      </c>
      <c r="P268" s="0" t="n">
        <f aca="true">RAND()</f>
        <v>0.443825200524691</v>
      </c>
      <c r="Q268" s="0" t="n">
        <f aca="true">RAND()</f>
        <v>0.545455751456519</v>
      </c>
      <c r="R268" s="0" t="n">
        <f aca="false">IF($I268&lt;&gt;$O268,0,IF(P268&lt;Matchup!$B$39,7,IF(P268&lt;Matchup!$B$39+Matchup!$B$40,3,0)))</f>
        <v>0</v>
      </c>
      <c r="S268" s="0" t="n">
        <f aca="false">IF($I268&lt;&gt;$O268,0,IF(Q268&lt;Matchup!$C$39,7,IF(Q268&lt;Matchup!$C$39+Matchup!$C$40,3,0)))</f>
        <v>0</v>
      </c>
      <c r="T268" s="0" t="n">
        <f aca="false">I268+R268</f>
        <v>28</v>
      </c>
      <c r="U268" s="0" t="n">
        <f aca="false">O268+S268</f>
        <v>20</v>
      </c>
      <c r="V268" s="0" t="n">
        <f aca="false">T268-U268</f>
        <v>8</v>
      </c>
      <c r="W268" s="0" t="n">
        <f aca="false">T268+U268</f>
        <v>48</v>
      </c>
    </row>
    <row r="269" customFormat="false" ht="15" hidden="false" customHeight="false" outlineLevel="0" collapsed="false">
      <c r="A269" s="0" t="n">
        <v>266</v>
      </c>
      <c r="B269" s="0" t="n">
        <f aca="true">NORMINV(RAND(),1,Coefficients!$B$22)</f>
        <v>1.12964925850156</v>
      </c>
      <c r="C269" s="0" t="n">
        <f aca="true">MEDIAN(8,16,ROUND(NORMINV(RAND(),Coefficients!$B$20,Coefficients!$B$21),0))</f>
        <v>12</v>
      </c>
      <c r="D269" s="0" t="n">
        <f aca="true">CRITBINOM($C269,MIN(0.75,Matchup!$B$39*$B269),RAND())</f>
        <v>4</v>
      </c>
      <c r="E269" s="0" t="n">
        <f aca="true">CRITBINOM(D269,Coefficients!$B$30,RAND())</f>
        <v>0</v>
      </c>
      <c r="F269" s="0" t="n">
        <f aca="true">CRITBINOM(E269,Coefficients!$B$31,RAND())</f>
        <v>0</v>
      </c>
      <c r="G269" s="0" t="n">
        <f aca="true">CRITBINOM(MAX(0,D269-E269),1-Coefficients!$B$32,RAND())</f>
        <v>0</v>
      </c>
      <c r="H269" s="0" t="n">
        <f aca="true">CRITBINOM(MAX(0,$C269-D269),MIN(0.6,Matchup!$B$40*SQRT($B269)/(1-MIN(0.75,Matchup!$B$39*$B269))),RAND())</f>
        <v>2</v>
      </c>
      <c r="I269" s="0" t="n">
        <f aca="false">6*D269+(D269-E269-G269)+2*F269+3*H269</f>
        <v>34</v>
      </c>
      <c r="J269" s="0" t="n">
        <f aca="true">CRITBINOM($C269,MIN(0.75,Matchup!$C$39*$B269),RAND())</f>
        <v>4</v>
      </c>
      <c r="K269" s="0" t="n">
        <f aca="true">CRITBINOM(J269,Coefficients!$B$30,RAND())</f>
        <v>0</v>
      </c>
      <c r="L269" s="0" t="n">
        <f aca="true">CRITBINOM(K269,Coefficients!$B$31,RAND())</f>
        <v>0</v>
      </c>
      <c r="M269" s="0" t="n">
        <f aca="true">CRITBINOM(MAX(0,J269-K269),1-Coefficients!$B$32,RAND())</f>
        <v>0</v>
      </c>
      <c r="N269" s="0" t="n">
        <f aca="true">CRITBINOM(MAX(0,$C269-J269),MIN(0.6,Matchup!$C$40*SQRT($B269)/(1-MIN(0.75,Matchup!$C$39*$B269))),RAND())</f>
        <v>2</v>
      </c>
      <c r="O269" s="0" t="n">
        <f aca="false">6*J269+(J269-K269-M269)+2*L269+3*N269</f>
        <v>34</v>
      </c>
      <c r="P269" s="0" t="n">
        <f aca="true">RAND()</f>
        <v>0.701475055781213</v>
      </c>
      <c r="Q269" s="0" t="n">
        <f aca="true">RAND()</f>
        <v>0.508755032542164</v>
      </c>
      <c r="R269" s="0" t="n">
        <f aca="false">IF($I269&lt;&gt;$O269,0,IF(P269&lt;Matchup!$B$39,7,IF(P269&lt;Matchup!$B$39+Matchup!$B$40,3,0)))</f>
        <v>0</v>
      </c>
      <c r="S269" s="0" t="n">
        <f aca="false">IF($I269&lt;&gt;$O269,0,IF(Q269&lt;Matchup!$C$39,7,IF(Q269&lt;Matchup!$C$39+Matchup!$C$40,3,0)))</f>
        <v>0</v>
      </c>
      <c r="T269" s="0" t="n">
        <f aca="false">I269+R269</f>
        <v>34</v>
      </c>
      <c r="U269" s="0" t="n">
        <f aca="false">O269+S269</f>
        <v>34</v>
      </c>
      <c r="V269" s="0" t="n">
        <f aca="false">T269-U269</f>
        <v>0</v>
      </c>
      <c r="W269" s="0" t="n">
        <f aca="false">T269+U269</f>
        <v>68</v>
      </c>
    </row>
    <row r="270" customFormat="false" ht="15" hidden="false" customHeight="false" outlineLevel="0" collapsed="false">
      <c r="A270" s="0" t="n">
        <v>267</v>
      </c>
      <c r="B270" s="0" t="n">
        <f aca="true">NORMINV(RAND(),1,Coefficients!$B$22)</f>
        <v>1.06298299330592</v>
      </c>
      <c r="C270" s="0" t="n">
        <f aca="true">MEDIAN(8,16,ROUND(NORMINV(RAND(),Coefficients!$B$20,Coefficients!$B$21),0))</f>
        <v>12</v>
      </c>
      <c r="D270" s="0" t="n">
        <f aca="true">CRITBINOM($C270,MIN(0.75,Matchup!$B$39*$B270),RAND())</f>
        <v>2</v>
      </c>
      <c r="E270" s="0" t="n">
        <f aca="true">CRITBINOM(D270,Coefficients!$B$30,RAND())</f>
        <v>0</v>
      </c>
      <c r="F270" s="0" t="n">
        <f aca="true">CRITBINOM(E270,Coefficients!$B$31,RAND())</f>
        <v>0</v>
      </c>
      <c r="G270" s="0" t="n">
        <f aca="true">CRITBINOM(MAX(0,D270-E270),1-Coefficients!$B$32,RAND())</f>
        <v>0</v>
      </c>
      <c r="H270" s="0" t="n">
        <f aca="true">CRITBINOM(MAX(0,$C270-D270),MIN(0.6,Matchup!$B$40*SQRT($B270)/(1-MIN(0.75,Matchup!$B$39*$B270))),RAND())</f>
        <v>3</v>
      </c>
      <c r="I270" s="0" t="n">
        <f aca="false">6*D270+(D270-E270-G270)+2*F270+3*H270</f>
        <v>23</v>
      </c>
      <c r="J270" s="0" t="n">
        <f aca="true">CRITBINOM($C270,MIN(0.75,Matchup!$C$39*$B270),RAND())</f>
        <v>5</v>
      </c>
      <c r="K270" s="0" t="n">
        <f aca="true">CRITBINOM(J270,Coefficients!$B$30,RAND())</f>
        <v>1</v>
      </c>
      <c r="L270" s="0" t="n">
        <f aca="true">CRITBINOM(K270,Coefficients!$B$31,RAND())</f>
        <v>1</v>
      </c>
      <c r="M270" s="0" t="n">
        <f aca="true">CRITBINOM(MAX(0,J270-K270),1-Coefficients!$B$32,RAND())</f>
        <v>0</v>
      </c>
      <c r="N270" s="0" t="n">
        <f aca="true">CRITBINOM(MAX(0,$C270-J270),MIN(0.6,Matchup!$C$40*SQRT($B270)/(1-MIN(0.75,Matchup!$C$39*$B270))),RAND())</f>
        <v>1</v>
      </c>
      <c r="O270" s="0" t="n">
        <f aca="false">6*J270+(J270-K270-M270)+2*L270+3*N270</f>
        <v>39</v>
      </c>
      <c r="P270" s="0" t="n">
        <f aca="true">RAND()</f>
        <v>0.75787055962073</v>
      </c>
      <c r="Q270" s="0" t="n">
        <f aca="true">RAND()</f>
        <v>0.844342185264056</v>
      </c>
      <c r="R270" s="0" t="n">
        <f aca="false">IF($I270&lt;&gt;$O270,0,IF(P270&lt;Matchup!$B$39,7,IF(P270&lt;Matchup!$B$39+Matchup!$B$40,3,0)))</f>
        <v>0</v>
      </c>
      <c r="S270" s="0" t="n">
        <f aca="false">IF($I270&lt;&gt;$O270,0,IF(Q270&lt;Matchup!$C$39,7,IF(Q270&lt;Matchup!$C$39+Matchup!$C$40,3,0)))</f>
        <v>0</v>
      </c>
      <c r="T270" s="0" t="n">
        <f aca="false">I270+R270</f>
        <v>23</v>
      </c>
      <c r="U270" s="0" t="n">
        <f aca="false">O270+S270</f>
        <v>39</v>
      </c>
      <c r="V270" s="0" t="n">
        <f aca="false">T270-U270</f>
        <v>-16</v>
      </c>
      <c r="W270" s="0" t="n">
        <f aca="false">T270+U270</f>
        <v>62</v>
      </c>
    </row>
    <row r="271" customFormat="false" ht="15" hidden="false" customHeight="false" outlineLevel="0" collapsed="false">
      <c r="A271" s="0" t="n">
        <v>268</v>
      </c>
      <c r="B271" s="0" t="n">
        <f aca="true">NORMINV(RAND(),1,Coefficients!$B$22)</f>
        <v>0.959603415428698</v>
      </c>
      <c r="C271" s="0" t="n">
        <f aca="true">MEDIAN(8,16,ROUND(NORMINV(RAND(),Coefficients!$B$20,Coefficients!$B$21),0))</f>
        <v>12</v>
      </c>
      <c r="D271" s="0" t="n">
        <f aca="true">CRITBINOM($C271,MIN(0.75,Matchup!$B$39*$B271),RAND())</f>
        <v>1</v>
      </c>
      <c r="E271" s="0" t="n">
        <f aca="true">CRITBINOM(D271,Coefficients!$B$30,RAND())</f>
        <v>0</v>
      </c>
      <c r="F271" s="0" t="n">
        <f aca="true">CRITBINOM(E271,Coefficients!$B$31,RAND())</f>
        <v>0</v>
      </c>
      <c r="G271" s="0" t="n">
        <f aca="true">CRITBINOM(MAX(0,D271-E271),1-Coefficients!$B$32,RAND())</f>
        <v>0</v>
      </c>
      <c r="H271" s="0" t="n">
        <f aca="true">CRITBINOM(MAX(0,$C271-D271),MIN(0.6,Matchup!$B$40*SQRT($B271)/(1-MIN(0.75,Matchup!$B$39*$B271))),RAND())</f>
        <v>3</v>
      </c>
      <c r="I271" s="0" t="n">
        <f aca="false">6*D271+(D271-E271-G271)+2*F271+3*H271</f>
        <v>16</v>
      </c>
      <c r="J271" s="0" t="n">
        <f aca="true">CRITBINOM($C271,MIN(0.75,Matchup!$C$39*$B271),RAND())</f>
        <v>1</v>
      </c>
      <c r="K271" s="0" t="n">
        <f aca="true">CRITBINOM(J271,Coefficients!$B$30,RAND())</f>
        <v>0</v>
      </c>
      <c r="L271" s="0" t="n">
        <f aca="true">CRITBINOM(K271,Coefficients!$B$31,RAND())</f>
        <v>0</v>
      </c>
      <c r="M271" s="0" t="n">
        <f aca="true">CRITBINOM(MAX(0,J271-K271),1-Coefficients!$B$32,RAND())</f>
        <v>0</v>
      </c>
      <c r="N271" s="0" t="n">
        <f aca="true">CRITBINOM(MAX(0,$C271-J271),MIN(0.6,Matchup!$C$40*SQRT($B271)/(1-MIN(0.75,Matchup!$C$39*$B271))),RAND())</f>
        <v>1</v>
      </c>
      <c r="O271" s="0" t="n">
        <f aca="false">6*J271+(J271-K271-M271)+2*L271+3*N271</f>
        <v>10</v>
      </c>
      <c r="P271" s="0" t="n">
        <f aca="true">RAND()</f>
        <v>0.324128873997317</v>
      </c>
      <c r="Q271" s="0" t="n">
        <f aca="true">RAND()</f>
        <v>0.291782161962151</v>
      </c>
      <c r="R271" s="0" t="n">
        <f aca="false">IF($I271&lt;&gt;$O271,0,IF(P271&lt;Matchup!$B$39,7,IF(P271&lt;Matchup!$B$39+Matchup!$B$40,3,0)))</f>
        <v>0</v>
      </c>
      <c r="S271" s="0" t="n">
        <f aca="false">IF($I271&lt;&gt;$O271,0,IF(Q271&lt;Matchup!$C$39,7,IF(Q271&lt;Matchup!$C$39+Matchup!$C$40,3,0)))</f>
        <v>0</v>
      </c>
      <c r="T271" s="0" t="n">
        <f aca="false">I271+R271</f>
        <v>16</v>
      </c>
      <c r="U271" s="0" t="n">
        <f aca="false">O271+S271</f>
        <v>10</v>
      </c>
      <c r="V271" s="0" t="n">
        <f aca="false">T271-U271</f>
        <v>6</v>
      </c>
      <c r="W271" s="0" t="n">
        <f aca="false">T271+U271</f>
        <v>26</v>
      </c>
    </row>
    <row r="272" customFormat="false" ht="15" hidden="false" customHeight="false" outlineLevel="0" collapsed="false">
      <c r="A272" s="0" t="n">
        <v>269</v>
      </c>
      <c r="B272" s="0" t="n">
        <f aca="true">NORMINV(RAND(),1,Coefficients!$B$22)</f>
        <v>1.03529269855773</v>
      </c>
      <c r="C272" s="0" t="n">
        <f aca="true">MEDIAN(8,16,ROUND(NORMINV(RAND(),Coefficients!$B$20,Coefficients!$B$21),0))</f>
        <v>10</v>
      </c>
      <c r="D272" s="0" t="n">
        <f aca="true">CRITBINOM($C272,MIN(0.75,Matchup!$B$39*$B272),RAND())</f>
        <v>2</v>
      </c>
      <c r="E272" s="0" t="n">
        <f aca="true">CRITBINOM(D272,Coefficients!$B$30,RAND())</f>
        <v>0</v>
      </c>
      <c r="F272" s="0" t="n">
        <f aca="true">CRITBINOM(E272,Coefficients!$B$31,RAND())</f>
        <v>0</v>
      </c>
      <c r="G272" s="0" t="n">
        <f aca="true">CRITBINOM(MAX(0,D272-E272),1-Coefficients!$B$32,RAND())</f>
        <v>0</v>
      </c>
      <c r="H272" s="0" t="n">
        <f aca="true">CRITBINOM(MAX(0,$C272-D272),MIN(0.6,Matchup!$B$40*SQRT($B272)/(1-MIN(0.75,Matchup!$B$39*$B272))),RAND())</f>
        <v>2</v>
      </c>
      <c r="I272" s="0" t="n">
        <f aca="false">6*D272+(D272-E272-G272)+2*F272+3*H272</f>
        <v>20</v>
      </c>
      <c r="J272" s="0" t="n">
        <f aca="true">CRITBINOM($C272,MIN(0.75,Matchup!$C$39*$B272),RAND())</f>
        <v>2</v>
      </c>
      <c r="K272" s="0" t="n">
        <f aca="true">CRITBINOM(J272,Coefficients!$B$30,RAND())</f>
        <v>0</v>
      </c>
      <c r="L272" s="0" t="n">
        <f aca="true">CRITBINOM(K272,Coefficients!$B$31,RAND())</f>
        <v>0</v>
      </c>
      <c r="M272" s="0" t="n">
        <f aca="true">CRITBINOM(MAX(0,J272-K272),1-Coefficients!$B$32,RAND())</f>
        <v>0</v>
      </c>
      <c r="N272" s="0" t="n">
        <f aca="true">CRITBINOM(MAX(0,$C272-J272),MIN(0.6,Matchup!$C$40*SQRT($B272)/(1-MIN(0.75,Matchup!$C$39*$B272))),RAND())</f>
        <v>0</v>
      </c>
      <c r="O272" s="0" t="n">
        <f aca="false">6*J272+(J272-K272-M272)+2*L272+3*N272</f>
        <v>14</v>
      </c>
      <c r="P272" s="0" t="n">
        <f aca="true">RAND()</f>
        <v>0.983337528943127</v>
      </c>
      <c r="Q272" s="0" t="n">
        <f aca="true">RAND()</f>
        <v>0.714913916285503</v>
      </c>
      <c r="R272" s="0" t="n">
        <f aca="false">IF($I272&lt;&gt;$O272,0,IF(P272&lt;Matchup!$B$39,7,IF(P272&lt;Matchup!$B$39+Matchup!$B$40,3,0)))</f>
        <v>0</v>
      </c>
      <c r="S272" s="0" t="n">
        <f aca="false">IF($I272&lt;&gt;$O272,0,IF(Q272&lt;Matchup!$C$39,7,IF(Q272&lt;Matchup!$C$39+Matchup!$C$40,3,0)))</f>
        <v>0</v>
      </c>
      <c r="T272" s="0" t="n">
        <f aca="false">I272+R272</f>
        <v>20</v>
      </c>
      <c r="U272" s="0" t="n">
        <f aca="false">O272+S272</f>
        <v>14</v>
      </c>
      <c r="V272" s="0" t="n">
        <f aca="false">T272-U272</f>
        <v>6</v>
      </c>
      <c r="W272" s="0" t="n">
        <f aca="false">T272+U272</f>
        <v>34</v>
      </c>
    </row>
    <row r="273" customFormat="false" ht="15" hidden="false" customHeight="false" outlineLevel="0" collapsed="false">
      <c r="A273" s="0" t="n">
        <v>270</v>
      </c>
      <c r="B273" s="0" t="n">
        <f aca="true">NORMINV(RAND(),1,Coefficients!$B$22)</f>
        <v>1.07902492601141</v>
      </c>
      <c r="C273" s="0" t="n">
        <f aca="true">MEDIAN(8,16,ROUND(NORMINV(RAND(),Coefficients!$B$20,Coefficients!$B$21),0))</f>
        <v>12</v>
      </c>
      <c r="D273" s="0" t="n">
        <f aca="true">CRITBINOM($C273,MIN(0.75,Matchup!$B$39*$B273),RAND())</f>
        <v>2</v>
      </c>
      <c r="E273" s="0" t="n">
        <f aca="true">CRITBINOM(D273,Coefficients!$B$30,RAND())</f>
        <v>0</v>
      </c>
      <c r="F273" s="0" t="n">
        <f aca="true">CRITBINOM(E273,Coefficients!$B$31,RAND())</f>
        <v>0</v>
      </c>
      <c r="G273" s="0" t="n">
        <f aca="true">CRITBINOM(MAX(0,D273-E273),1-Coefficients!$B$32,RAND())</f>
        <v>0</v>
      </c>
      <c r="H273" s="0" t="n">
        <f aca="true">CRITBINOM(MAX(0,$C273-D273),MIN(0.6,Matchup!$B$40*SQRT($B273)/(1-MIN(0.75,Matchup!$B$39*$B273))),RAND())</f>
        <v>4</v>
      </c>
      <c r="I273" s="0" t="n">
        <f aca="false">6*D273+(D273-E273-G273)+2*F273+3*H273</f>
        <v>26</v>
      </c>
      <c r="J273" s="0" t="n">
        <f aca="true">CRITBINOM($C273,MIN(0.75,Matchup!$C$39*$B273),RAND())</f>
        <v>3</v>
      </c>
      <c r="K273" s="0" t="n">
        <f aca="true">CRITBINOM(J273,Coefficients!$B$30,RAND())</f>
        <v>0</v>
      </c>
      <c r="L273" s="0" t="n">
        <f aca="true">CRITBINOM(K273,Coefficients!$B$31,RAND())</f>
        <v>0</v>
      </c>
      <c r="M273" s="0" t="n">
        <f aca="true">CRITBINOM(MAX(0,J273-K273),1-Coefficients!$B$32,RAND())</f>
        <v>1</v>
      </c>
      <c r="N273" s="0" t="n">
        <f aca="true">CRITBINOM(MAX(0,$C273-J273),MIN(0.6,Matchup!$C$40*SQRT($B273)/(1-MIN(0.75,Matchup!$C$39*$B273))),RAND())</f>
        <v>3</v>
      </c>
      <c r="O273" s="0" t="n">
        <f aca="false">6*J273+(J273-K273-M273)+2*L273+3*N273</f>
        <v>29</v>
      </c>
      <c r="P273" s="0" t="n">
        <f aca="true">RAND()</f>
        <v>0.943417059470125</v>
      </c>
      <c r="Q273" s="0" t="n">
        <f aca="true">RAND()</f>
        <v>0.795470401030188</v>
      </c>
      <c r="R273" s="0" t="n">
        <f aca="false">IF($I273&lt;&gt;$O273,0,IF(P273&lt;Matchup!$B$39,7,IF(P273&lt;Matchup!$B$39+Matchup!$B$40,3,0)))</f>
        <v>0</v>
      </c>
      <c r="S273" s="0" t="n">
        <f aca="false">IF($I273&lt;&gt;$O273,0,IF(Q273&lt;Matchup!$C$39,7,IF(Q273&lt;Matchup!$C$39+Matchup!$C$40,3,0)))</f>
        <v>0</v>
      </c>
      <c r="T273" s="0" t="n">
        <f aca="false">I273+R273</f>
        <v>26</v>
      </c>
      <c r="U273" s="0" t="n">
        <f aca="false">O273+S273</f>
        <v>29</v>
      </c>
      <c r="V273" s="0" t="n">
        <f aca="false">T273-U273</f>
        <v>-3</v>
      </c>
      <c r="W273" s="0" t="n">
        <f aca="false">T273+U273</f>
        <v>55</v>
      </c>
    </row>
    <row r="274" customFormat="false" ht="15" hidden="false" customHeight="false" outlineLevel="0" collapsed="false">
      <c r="A274" s="0" t="n">
        <v>271</v>
      </c>
      <c r="B274" s="0" t="n">
        <f aca="true">NORMINV(RAND(),1,Coefficients!$B$22)</f>
        <v>0.855873230896588</v>
      </c>
      <c r="C274" s="0" t="n">
        <f aca="true">MEDIAN(8,16,ROUND(NORMINV(RAND(),Coefficients!$B$20,Coefficients!$B$21),0))</f>
        <v>11</v>
      </c>
      <c r="D274" s="0" t="n">
        <f aca="true">CRITBINOM($C274,MIN(0.75,Matchup!$B$39*$B274),RAND())</f>
        <v>2</v>
      </c>
      <c r="E274" s="0" t="n">
        <f aca="true">CRITBINOM(D274,Coefficients!$B$30,RAND())</f>
        <v>0</v>
      </c>
      <c r="F274" s="0" t="n">
        <f aca="true">CRITBINOM(E274,Coefficients!$B$31,RAND())</f>
        <v>0</v>
      </c>
      <c r="G274" s="0" t="n">
        <f aca="true">CRITBINOM(MAX(0,D274-E274),1-Coefficients!$B$32,RAND())</f>
        <v>0</v>
      </c>
      <c r="H274" s="0" t="n">
        <f aca="true">CRITBINOM(MAX(0,$C274-D274),MIN(0.6,Matchup!$B$40*SQRT($B274)/(1-MIN(0.75,Matchup!$B$39*$B274))),RAND())</f>
        <v>0</v>
      </c>
      <c r="I274" s="0" t="n">
        <f aca="false">6*D274+(D274-E274-G274)+2*F274+3*H274</f>
        <v>14</v>
      </c>
      <c r="J274" s="0" t="n">
        <f aca="true">CRITBINOM($C274,MIN(0.75,Matchup!$C$39*$B274),RAND())</f>
        <v>5</v>
      </c>
      <c r="K274" s="0" t="n">
        <f aca="true">CRITBINOM(J274,Coefficients!$B$30,RAND())</f>
        <v>1</v>
      </c>
      <c r="L274" s="0" t="n">
        <f aca="true">CRITBINOM(K274,Coefficients!$B$31,RAND())</f>
        <v>1</v>
      </c>
      <c r="M274" s="0" t="n">
        <f aca="true">CRITBINOM(MAX(0,J274-K274),1-Coefficients!$B$32,RAND())</f>
        <v>0</v>
      </c>
      <c r="N274" s="0" t="n">
        <f aca="true">CRITBINOM(MAX(0,$C274-J274),MIN(0.6,Matchup!$C$40*SQRT($B274)/(1-MIN(0.75,Matchup!$C$39*$B274))),RAND())</f>
        <v>0</v>
      </c>
      <c r="O274" s="0" t="n">
        <f aca="false">6*J274+(J274-K274-M274)+2*L274+3*N274</f>
        <v>36</v>
      </c>
      <c r="P274" s="0" t="n">
        <f aca="true">RAND()</f>
        <v>0.9320648905905</v>
      </c>
      <c r="Q274" s="0" t="n">
        <f aca="true">RAND()</f>
        <v>0.293172819685224</v>
      </c>
      <c r="R274" s="0" t="n">
        <f aca="false">IF($I274&lt;&gt;$O274,0,IF(P274&lt;Matchup!$B$39,7,IF(P274&lt;Matchup!$B$39+Matchup!$B$40,3,0)))</f>
        <v>0</v>
      </c>
      <c r="S274" s="0" t="n">
        <f aca="false">IF($I274&lt;&gt;$O274,0,IF(Q274&lt;Matchup!$C$39,7,IF(Q274&lt;Matchup!$C$39+Matchup!$C$40,3,0)))</f>
        <v>0</v>
      </c>
      <c r="T274" s="0" t="n">
        <f aca="false">I274+R274</f>
        <v>14</v>
      </c>
      <c r="U274" s="0" t="n">
        <f aca="false">O274+S274</f>
        <v>36</v>
      </c>
      <c r="V274" s="0" t="n">
        <f aca="false">T274-U274</f>
        <v>-22</v>
      </c>
      <c r="W274" s="0" t="n">
        <f aca="false">T274+U274</f>
        <v>50</v>
      </c>
    </row>
    <row r="275" customFormat="false" ht="15" hidden="false" customHeight="false" outlineLevel="0" collapsed="false">
      <c r="A275" s="0" t="n">
        <v>272</v>
      </c>
      <c r="B275" s="0" t="n">
        <f aca="true">NORMINV(RAND(),1,Coefficients!$B$22)</f>
        <v>1.01187836535057</v>
      </c>
      <c r="C275" s="0" t="n">
        <f aca="true">MEDIAN(8,16,ROUND(NORMINV(RAND(),Coefficients!$B$20,Coefficients!$B$21),0))</f>
        <v>13</v>
      </c>
      <c r="D275" s="0" t="n">
        <f aca="true">CRITBINOM($C275,MIN(0.75,Matchup!$B$39*$B275),RAND())</f>
        <v>4</v>
      </c>
      <c r="E275" s="0" t="n">
        <f aca="true">CRITBINOM(D275,Coefficients!$B$30,RAND())</f>
        <v>1</v>
      </c>
      <c r="F275" s="0" t="n">
        <f aca="true">CRITBINOM(E275,Coefficients!$B$31,RAND())</f>
        <v>0</v>
      </c>
      <c r="G275" s="0" t="n">
        <f aca="true">CRITBINOM(MAX(0,D275-E275),1-Coefficients!$B$32,RAND())</f>
        <v>0</v>
      </c>
      <c r="H275" s="0" t="n">
        <f aca="true">CRITBINOM(MAX(0,$C275-D275),MIN(0.6,Matchup!$B$40*SQRT($B275)/(1-MIN(0.75,Matchup!$B$39*$B275))),RAND())</f>
        <v>2</v>
      </c>
      <c r="I275" s="0" t="n">
        <f aca="false">6*D275+(D275-E275-G275)+2*F275+3*H275</f>
        <v>33</v>
      </c>
      <c r="J275" s="0" t="n">
        <f aca="true">CRITBINOM($C275,MIN(0.75,Matchup!$C$39*$B275),RAND())</f>
        <v>2</v>
      </c>
      <c r="K275" s="0" t="n">
        <f aca="true">CRITBINOM(J275,Coefficients!$B$30,RAND())</f>
        <v>0</v>
      </c>
      <c r="L275" s="0" t="n">
        <f aca="true">CRITBINOM(K275,Coefficients!$B$31,RAND())</f>
        <v>0</v>
      </c>
      <c r="M275" s="0" t="n">
        <f aca="true">CRITBINOM(MAX(0,J275-K275),1-Coefficients!$B$32,RAND())</f>
        <v>0</v>
      </c>
      <c r="N275" s="0" t="n">
        <f aca="true">CRITBINOM(MAX(0,$C275-J275),MIN(0.6,Matchup!$C$40*SQRT($B275)/(1-MIN(0.75,Matchup!$C$39*$B275))),RAND())</f>
        <v>0</v>
      </c>
      <c r="O275" s="0" t="n">
        <f aca="false">6*J275+(J275-K275-M275)+2*L275+3*N275</f>
        <v>14</v>
      </c>
      <c r="P275" s="0" t="n">
        <f aca="true">RAND()</f>
        <v>0.697113339657032</v>
      </c>
      <c r="Q275" s="0" t="n">
        <f aca="true">RAND()</f>
        <v>0.470472542653184</v>
      </c>
      <c r="R275" s="0" t="n">
        <f aca="false">IF($I275&lt;&gt;$O275,0,IF(P275&lt;Matchup!$B$39,7,IF(P275&lt;Matchup!$B$39+Matchup!$B$40,3,0)))</f>
        <v>0</v>
      </c>
      <c r="S275" s="0" t="n">
        <f aca="false">IF($I275&lt;&gt;$O275,0,IF(Q275&lt;Matchup!$C$39,7,IF(Q275&lt;Matchup!$C$39+Matchup!$C$40,3,0)))</f>
        <v>0</v>
      </c>
      <c r="T275" s="0" t="n">
        <f aca="false">I275+R275</f>
        <v>33</v>
      </c>
      <c r="U275" s="0" t="n">
        <f aca="false">O275+S275</f>
        <v>14</v>
      </c>
      <c r="V275" s="0" t="n">
        <f aca="false">T275-U275</f>
        <v>19</v>
      </c>
      <c r="W275" s="0" t="n">
        <f aca="false">T275+U275</f>
        <v>47</v>
      </c>
    </row>
    <row r="276" customFormat="false" ht="15" hidden="false" customHeight="false" outlineLevel="0" collapsed="false">
      <c r="A276" s="0" t="n">
        <v>273</v>
      </c>
      <c r="B276" s="0" t="n">
        <f aca="true">NORMINV(RAND(),1,Coefficients!$B$22)</f>
        <v>1.1058274932266</v>
      </c>
      <c r="C276" s="0" t="n">
        <f aca="true">MEDIAN(8,16,ROUND(NORMINV(RAND(),Coefficients!$B$20,Coefficients!$B$21),0))</f>
        <v>12</v>
      </c>
      <c r="D276" s="0" t="n">
        <f aca="true">CRITBINOM($C276,MIN(0.75,Matchup!$B$39*$B276),RAND())</f>
        <v>1</v>
      </c>
      <c r="E276" s="0" t="n">
        <f aca="true">CRITBINOM(D276,Coefficients!$B$30,RAND())</f>
        <v>0</v>
      </c>
      <c r="F276" s="0" t="n">
        <f aca="true">CRITBINOM(E276,Coefficients!$B$31,RAND())</f>
        <v>0</v>
      </c>
      <c r="G276" s="0" t="n">
        <f aca="true">CRITBINOM(MAX(0,D276-E276),1-Coefficients!$B$32,RAND())</f>
        <v>0</v>
      </c>
      <c r="H276" s="0" t="n">
        <f aca="true">CRITBINOM(MAX(0,$C276-D276),MIN(0.6,Matchup!$B$40*SQRT($B276)/(1-MIN(0.75,Matchup!$B$39*$B276))),RAND())</f>
        <v>0</v>
      </c>
      <c r="I276" s="0" t="n">
        <f aca="false">6*D276+(D276-E276-G276)+2*F276+3*H276</f>
        <v>7</v>
      </c>
      <c r="J276" s="0" t="n">
        <f aca="true">CRITBINOM($C276,MIN(0.75,Matchup!$C$39*$B276),RAND())</f>
        <v>5</v>
      </c>
      <c r="K276" s="0" t="n">
        <f aca="true">CRITBINOM(J276,Coefficients!$B$30,RAND())</f>
        <v>0</v>
      </c>
      <c r="L276" s="0" t="n">
        <f aca="true">CRITBINOM(K276,Coefficients!$B$31,RAND())</f>
        <v>0</v>
      </c>
      <c r="M276" s="0" t="n">
        <f aca="true">CRITBINOM(MAX(0,J276-K276),1-Coefficients!$B$32,RAND())</f>
        <v>0</v>
      </c>
      <c r="N276" s="0" t="n">
        <f aca="true">CRITBINOM(MAX(0,$C276-J276),MIN(0.6,Matchup!$C$40*SQRT($B276)/(1-MIN(0.75,Matchup!$C$39*$B276))),RAND())</f>
        <v>1</v>
      </c>
      <c r="O276" s="0" t="n">
        <f aca="false">6*J276+(J276-K276-M276)+2*L276+3*N276</f>
        <v>38</v>
      </c>
      <c r="P276" s="0" t="n">
        <f aca="true">RAND()</f>
        <v>0.219236592448595</v>
      </c>
      <c r="Q276" s="0" t="n">
        <f aca="true">RAND()</f>
        <v>0.173893610884126</v>
      </c>
      <c r="R276" s="0" t="n">
        <f aca="false">IF($I276&lt;&gt;$O276,0,IF(P276&lt;Matchup!$B$39,7,IF(P276&lt;Matchup!$B$39+Matchup!$B$40,3,0)))</f>
        <v>0</v>
      </c>
      <c r="S276" s="0" t="n">
        <f aca="false">IF($I276&lt;&gt;$O276,0,IF(Q276&lt;Matchup!$C$39,7,IF(Q276&lt;Matchup!$C$39+Matchup!$C$40,3,0)))</f>
        <v>0</v>
      </c>
      <c r="T276" s="0" t="n">
        <f aca="false">I276+R276</f>
        <v>7</v>
      </c>
      <c r="U276" s="0" t="n">
        <f aca="false">O276+S276</f>
        <v>38</v>
      </c>
      <c r="V276" s="0" t="n">
        <f aca="false">T276-U276</f>
        <v>-31</v>
      </c>
      <c r="W276" s="0" t="n">
        <f aca="false">T276+U276</f>
        <v>45</v>
      </c>
    </row>
    <row r="277" customFormat="false" ht="15" hidden="false" customHeight="false" outlineLevel="0" collapsed="false">
      <c r="A277" s="0" t="n">
        <v>274</v>
      </c>
      <c r="B277" s="0" t="n">
        <f aca="true">NORMINV(RAND(),1,Coefficients!$B$22)</f>
        <v>0.96956862106943</v>
      </c>
      <c r="C277" s="0" t="n">
        <f aca="true">MEDIAN(8,16,ROUND(NORMINV(RAND(),Coefficients!$B$20,Coefficients!$B$21),0))</f>
        <v>11</v>
      </c>
      <c r="D277" s="0" t="n">
        <f aca="true">CRITBINOM($C277,MIN(0.75,Matchup!$B$39*$B277),RAND())</f>
        <v>3</v>
      </c>
      <c r="E277" s="0" t="n">
        <f aca="true">CRITBINOM(D277,Coefficients!$B$30,RAND())</f>
        <v>0</v>
      </c>
      <c r="F277" s="0" t="n">
        <f aca="true">CRITBINOM(E277,Coefficients!$B$31,RAND())</f>
        <v>0</v>
      </c>
      <c r="G277" s="0" t="n">
        <f aca="true">CRITBINOM(MAX(0,D277-E277),1-Coefficients!$B$32,RAND())</f>
        <v>0</v>
      </c>
      <c r="H277" s="0" t="n">
        <f aca="true">CRITBINOM(MAX(0,$C277-D277),MIN(0.6,Matchup!$B$40*SQRT($B277)/(1-MIN(0.75,Matchup!$B$39*$B277))),RAND())</f>
        <v>1</v>
      </c>
      <c r="I277" s="0" t="n">
        <f aca="false">6*D277+(D277-E277-G277)+2*F277+3*H277</f>
        <v>24</v>
      </c>
      <c r="J277" s="0" t="n">
        <f aca="true">CRITBINOM($C277,MIN(0.75,Matchup!$C$39*$B277),RAND())</f>
        <v>0</v>
      </c>
      <c r="K277" s="0" t="n">
        <f aca="true">CRITBINOM(J277,Coefficients!$B$30,RAND())</f>
        <v>0</v>
      </c>
      <c r="L277" s="0" t="n">
        <f aca="true">CRITBINOM(K277,Coefficients!$B$31,RAND())</f>
        <v>0</v>
      </c>
      <c r="M277" s="0" t="n">
        <f aca="true">CRITBINOM(MAX(0,J277-K277),1-Coefficients!$B$32,RAND())</f>
        <v>0</v>
      </c>
      <c r="N277" s="0" t="n">
        <f aca="true">CRITBINOM(MAX(0,$C277-J277),MIN(0.6,Matchup!$C$40*SQRT($B277)/(1-MIN(0.75,Matchup!$C$39*$B277))),RAND())</f>
        <v>6</v>
      </c>
      <c r="O277" s="0" t="n">
        <f aca="false">6*J277+(J277-K277-M277)+2*L277+3*N277</f>
        <v>18</v>
      </c>
      <c r="P277" s="0" t="n">
        <f aca="true">RAND()</f>
        <v>0.850000527745726</v>
      </c>
      <c r="Q277" s="0" t="n">
        <f aca="true">RAND()</f>
        <v>0.074671423965016</v>
      </c>
      <c r="R277" s="0" t="n">
        <f aca="false">IF($I277&lt;&gt;$O277,0,IF(P277&lt;Matchup!$B$39,7,IF(P277&lt;Matchup!$B$39+Matchup!$B$40,3,0)))</f>
        <v>0</v>
      </c>
      <c r="S277" s="0" t="n">
        <f aca="false">IF($I277&lt;&gt;$O277,0,IF(Q277&lt;Matchup!$C$39,7,IF(Q277&lt;Matchup!$C$39+Matchup!$C$40,3,0)))</f>
        <v>0</v>
      </c>
      <c r="T277" s="0" t="n">
        <f aca="false">I277+R277</f>
        <v>24</v>
      </c>
      <c r="U277" s="0" t="n">
        <f aca="false">O277+S277</f>
        <v>18</v>
      </c>
      <c r="V277" s="0" t="n">
        <f aca="false">T277-U277</f>
        <v>6</v>
      </c>
      <c r="W277" s="0" t="n">
        <f aca="false">T277+U277</f>
        <v>42</v>
      </c>
    </row>
    <row r="278" customFormat="false" ht="15" hidden="false" customHeight="false" outlineLevel="0" collapsed="false">
      <c r="A278" s="0" t="n">
        <v>275</v>
      </c>
      <c r="B278" s="0" t="n">
        <f aca="true">NORMINV(RAND(),1,Coefficients!$B$22)</f>
        <v>0.86118028674978</v>
      </c>
      <c r="C278" s="0" t="n">
        <f aca="true">MEDIAN(8,16,ROUND(NORMINV(RAND(),Coefficients!$B$20,Coefficients!$B$21),0))</f>
        <v>11</v>
      </c>
      <c r="D278" s="0" t="n">
        <f aca="true">CRITBINOM($C278,MIN(0.75,Matchup!$B$39*$B278),RAND())</f>
        <v>2</v>
      </c>
      <c r="E278" s="0" t="n">
        <f aca="true">CRITBINOM(D278,Coefficients!$B$30,RAND())</f>
        <v>0</v>
      </c>
      <c r="F278" s="0" t="n">
        <f aca="true">CRITBINOM(E278,Coefficients!$B$31,RAND())</f>
        <v>0</v>
      </c>
      <c r="G278" s="0" t="n">
        <f aca="true">CRITBINOM(MAX(0,D278-E278),1-Coefficients!$B$32,RAND())</f>
        <v>0</v>
      </c>
      <c r="H278" s="0" t="n">
        <f aca="true">CRITBINOM(MAX(0,$C278-D278),MIN(0.6,Matchup!$B$40*SQRT($B278)/(1-MIN(0.75,Matchup!$B$39*$B278))),RAND())</f>
        <v>0</v>
      </c>
      <c r="I278" s="0" t="n">
        <f aca="false">6*D278+(D278-E278-G278)+2*F278+3*H278</f>
        <v>14</v>
      </c>
      <c r="J278" s="0" t="n">
        <f aca="true">CRITBINOM($C278,MIN(0.75,Matchup!$C$39*$B278),RAND())</f>
        <v>2</v>
      </c>
      <c r="K278" s="0" t="n">
        <f aca="true">CRITBINOM(J278,Coefficients!$B$30,RAND())</f>
        <v>0</v>
      </c>
      <c r="L278" s="0" t="n">
        <f aca="true">CRITBINOM(K278,Coefficients!$B$31,RAND())</f>
        <v>0</v>
      </c>
      <c r="M278" s="0" t="n">
        <f aca="true">CRITBINOM(MAX(0,J278-K278),1-Coefficients!$B$32,RAND())</f>
        <v>0</v>
      </c>
      <c r="N278" s="0" t="n">
        <f aca="true">CRITBINOM(MAX(0,$C278-J278),MIN(0.6,Matchup!$C$40*SQRT($B278)/(1-MIN(0.75,Matchup!$C$39*$B278))),RAND())</f>
        <v>1</v>
      </c>
      <c r="O278" s="0" t="n">
        <f aca="false">6*J278+(J278-K278-M278)+2*L278+3*N278</f>
        <v>17</v>
      </c>
      <c r="P278" s="0" t="n">
        <f aca="true">RAND()</f>
        <v>0.746679020675688</v>
      </c>
      <c r="Q278" s="0" t="n">
        <f aca="true">RAND()</f>
        <v>0.536102992363195</v>
      </c>
      <c r="R278" s="0" t="n">
        <f aca="false">IF($I278&lt;&gt;$O278,0,IF(P278&lt;Matchup!$B$39,7,IF(P278&lt;Matchup!$B$39+Matchup!$B$40,3,0)))</f>
        <v>0</v>
      </c>
      <c r="S278" s="0" t="n">
        <f aca="false">IF($I278&lt;&gt;$O278,0,IF(Q278&lt;Matchup!$C$39,7,IF(Q278&lt;Matchup!$C$39+Matchup!$C$40,3,0)))</f>
        <v>0</v>
      </c>
      <c r="T278" s="0" t="n">
        <f aca="false">I278+R278</f>
        <v>14</v>
      </c>
      <c r="U278" s="0" t="n">
        <f aca="false">O278+S278</f>
        <v>17</v>
      </c>
      <c r="V278" s="0" t="n">
        <f aca="false">T278-U278</f>
        <v>-3</v>
      </c>
      <c r="W278" s="0" t="n">
        <f aca="false">T278+U278</f>
        <v>31</v>
      </c>
    </row>
    <row r="279" customFormat="false" ht="15" hidden="false" customHeight="false" outlineLevel="0" collapsed="false">
      <c r="A279" s="0" t="n">
        <v>276</v>
      </c>
      <c r="B279" s="0" t="n">
        <f aca="true">NORMINV(RAND(),1,Coefficients!$B$22)</f>
        <v>1.07705879902698</v>
      </c>
      <c r="C279" s="0" t="n">
        <f aca="true">MEDIAN(8,16,ROUND(NORMINV(RAND(),Coefficients!$B$20,Coefficients!$B$21),0))</f>
        <v>10</v>
      </c>
      <c r="D279" s="0" t="n">
        <f aca="true">CRITBINOM($C279,MIN(0.75,Matchup!$B$39*$B279),RAND())</f>
        <v>2</v>
      </c>
      <c r="E279" s="0" t="n">
        <f aca="true">CRITBINOM(D279,Coefficients!$B$30,RAND())</f>
        <v>0</v>
      </c>
      <c r="F279" s="0" t="n">
        <f aca="true">CRITBINOM(E279,Coefficients!$B$31,RAND())</f>
        <v>0</v>
      </c>
      <c r="G279" s="0" t="n">
        <f aca="true">CRITBINOM(MAX(0,D279-E279),1-Coefficients!$B$32,RAND())</f>
        <v>0</v>
      </c>
      <c r="H279" s="0" t="n">
        <f aca="true">CRITBINOM(MAX(0,$C279-D279),MIN(0.6,Matchup!$B$40*SQRT($B279)/(1-MIN(0.75,Matchup!$B$39*$B279))),RAND())</f>
        <v>0</v>
      </c>
      <c r="I279" s="0" t="n">
        <f aca="false">6*D279+(D279-E279-G279)+2*F279+3*H279</f>
        <v>14</v>
      </c>
      <c r="J279" s="0" t="n">
        <f aca="true">CRITBINOM($C279,MIN(0.75,Matchup!$C$39*$B279),RAND())</f>
        <v>3</v>
      </c>
      <c r="K279" s="0" t="n">
        <f aca="true">CRITBINOM(J279,Coefficients!$B$30,RAND())</f>
        <v>0</v>
      </c>
      <c r="L279" s="0" t="n">
        <f aca="true">CRITBINOM(K279,Coefficients!$B$31,RAND())</f>
        <v>0</v>
      </c>
      <c r="M279" s="0" t="n">
        <f aca="true">CRITBINOM(MAX(0,J279-K279),1-Coefficients!$B$32,RAND())</f>
        <v>0</v>
      </c>
      <c r="N279" s="0" t="n">
        <f aca="true">CRITBINOM(MAX(0,$C279-J279),MIN(0.6,Matchup!$C$40*SQRT($B279)/(1-MIN(0.75,Matchup!$C$39*$B279))),RAND())</f>
        <v>3</v>
      </c>
      <c r="O279" s="0" t="n">
        <f aca="false">6*J279+(J279-K279-M279)+2*L279+3*N279</f>
        <v>30</v>
      </c>
      <c r="P279" s="0" t="n">
        <f aca="true">RAND()</f>
        <v>0.135377143987004</v>
      </c>
      <c r="Q279" s="0" t="n">
        <f aca="true">RAND()</f>
        <v>0.21444776004881</v>
      </c>
      <c r="R279" s="0" t="n">
        <f aca="false">IF($I279&lt;&gt;$O279,0,IF(P279&lt;Matchup!$B$39,7,IF(P279&lt;Matchup!$B$39+Matchup!$B$40,3,0)))</f>
        <v>0</v>
      </c>
      <c r="S279" s="0" t="n">
        <f aca="false">IF($I279&lt;&gt;$O279,0,IF(Q279&lt;Matchup!$C$39,7,IF(Q279&lt;Matchup!$C$39+Matchup!$C$40,3,0)))</f>
        <v>0</v>
      </c>
      <c r="T279" s="0" t="n">
        <f aca="false">I279+R279</f>
        <v>14</v>
      </c>
      <c r="U279" s="0" t="n">
        <f aca="false">O279+S279</f>
        <v>30</v>
      </c>
      <c r="V279" s="0" t="n">
        <f aca="false">T279-U279</f>
        <v>-16</v>
      </c>
      <c r="W279" s="0" t="n">
        <f aca="false">T279+U279</f>
        <v>44</v>
      </c>
    </row>
    <row r="280" customFormat="false" ht="15" hidden="false" customHeight="false" outlineLevel="0" collapsed="false">
      <c r="A280" s="0" t="n">
        <v>277</v>
      </c>
      <c r="B280" s="0" t="n">
        <f aca="true">NORMINV(RAND(),1,Coefficients!$B$22)</f>
        <v>1.02037876639883</v>
      </c>
      <c r="C280" s="0" t="n">
        <f aca="true">MEDIAN(8,16,ROUND(NORMINV(RAND(),Coefficients!$B$20,Coefficients!$B$21),0))</f>
        <v>11</v>
      </c>
      <c r="D280" s="0" t="n">
        <f aca="true">CRITBINOM($C280,MIN(0.75,Matchup!$B$39*$B280),RAND())</f>
        <v>5</v>
      </c>
      <c r="E280" s="0" t="n">
        <f aca="true">CRITBINOM(D280,Coefficients!$B$30,RAND())</f>
        <v>0</v>
      </c>
      <c r="F280" s="0" t="n">
        <f aca="true">CRITBINOM(E280,Coefficients!$B$31,RAND())</f>
        <v>0</v>
      </c>
      <c r="G280" s="0" t="n">
        <f aca="true">CRITBINOM(MAX(0,D280-E280),1-Coefficients!$B$32,RAND())</f>
        <v>0</v>
      </c>
      <c r="H280" s="0" t="n">
        <f aca="true">CRITBINOM(MAX(0,$C280-D280),MIN(0.6,Matchup!$B$40*SQRT($B280)/(1-MIN(0.75,Matchup!$B$39*$B280))),RAND())</f>
        <v>1</v>
      </c>
      <c r="I280" s="0" t="n">
        <f aca="false">6*D280+(D280-E280-G280)+2*F280+3*H280</f>
        <v>38</v>
      </c>
      <c r="J280" s="0" t="n">
        <f aca="true">CRITBINOM($C280,MIN(0.75,Matchup!$C$39*$B280),RAND())</f>
        <v>0</v>
      </c>
      <c r="K280" s="0" t="n">
        <f aca="true">CRITBINOM(J280,Coefficients!$B$30,RAND())</f>
        <v>0</v>
      </c>
      <c r="L280" s="0" t="n">
        <f aca="true">CRITBINOM(K280,Coefficients!$B$31,RAND())</f>
        <v>0</v>
      </c>
      <c r="M280" s="0" t="n">
        <f aca="true">CRITBINOM(MAX(0,J280-K280),1-Coefficients!$B$32,RAND())</f>
        <v>0</v>
      </c>
      <c r="N280" s="0" t="n">
        <f aca="true">CRITBINOM(MAX(0,$C280-J280),MIN(0.6,Matchup!$C$40*SQRT($B280)/(1-MIN(0.75,Matchup!$C$39*$B280))),RAND())</f>
        <v>2</v>
      </c>
      <c r="O280" s="0" t="n">
        <f aca="false">6*J280+(J280-K280-M280)+2*L280+3*N280</f>
        <v>6</v>
      </c>
      <c r="P280" s="0" t="n">
        <f aca="true">RAND()</f>
        <v>0.892931561033788</v>
      </c>
      <c r="Q280" s="0" t="n">
        <f aca="true">RAND()</f>
        <v>0.97721144600955</v>
      </c>
      <c r="R280" s="0" t="n">
        <f aca="false">IF($I280&lt;&gt;$O280,0,IF(P280&lt;Matchup!$B$39,7,IF(P280&lt;Matchup!$B$39+Matchup!$B$40,3,0)))</f>
        <v>0</v>
      </c>
      <c r="S280" s="0" t="n">
        <f aca="false">IF($I280&lt;&gt;$O280,0,IF(Q280&lt;Matchup!$C$39,7,IF(Q280&lt;Matchup!$C$39+Matchup!$C$40,3,0)))</f>
        <v>0</v>
      </c>
      <c r="T280" s="0" t="n">
        <f aca="false">I280+R280</f>
        <v>38</v>
      </c>
      <c r="U280" s="0" t="n">
        <f aca="false">O280+S280</f>
        <v>6</v>
      </c>
      <c r="V280" s="0" t="n">
        <f aca="false">T280-U280</f>
        <v>32</v>
      </c>
      <c r="W280" s="0" t="n">
        <f aca="false">T280+U280</f>
        <v>44</v>
      </c>
    </row>
    <row r="281" customFormat="false" ht="15" hidden="false" customHeight="false" outlineLevel="0" collapsed="false">
      <c r="A281" s="0" t="n">
        <v>278</v>
      </c>
      <c r="B281" s="0" t="n">
        <f aca="true">NORMINV(RAND(),1,Coefficients!$B$22)</f>
        <v>0.966934957146551</v>
      </c>
      <c r="C281" s="0" t="n">
        <f aca="true">MEDIAN(8,16,ROUND(NORMINV(RAND(),Coefficients!$B$20,Coefficients!$B$21),0))</f>
        <v>11</v>
      </c>
      <c r="D281" s="0" t="n">
        <f aca="true">CRITBINOM($C281,MIN(0.75,Matchup!$B$39*$B281),RAND())</f>
        <v>5</v>
      </c>
      <c r="E281" s="0" t="n">
        <f aca="true">CRITBINOM(D281,Coefficients!$B$30,RAND())</f>
        <v>0</v>
      </c>
      <c r="F281" s="0" t="n">
        <f aca="true">CRITBINOM(E281,Coefficients!$B$31,RAND())</f>
        <v>0</v>
      </c>
      <c r="G281" s="0" t="n">
        <f aca="true">CRITBINOM(MAX(0,D281-E281),1-Coefficients!$B$32,RAND())</f>
        <v>1</v>
      </c>
      <c r="H281" s="0" t="n">
        <f aca="true">CRITBINOM(MAX(0,$C281-D281),MIN(0.6,Matchup!$B$40*SQRT($B281)/(1-MIN(0.75,Matchup!$B$39*$B281))),RAND())</f>
        <v>1</v>
      </c>
      <c r="I281" s="0" t="n">
        <f aca="false">6*D281+(D281-E281-G281)+2*F281+3*H281</f>
        <v>37</v>
      </c>
      <c r="J281" s="0" t="n">
        <f aca="true">CRITBINOM($C281,MIN(0.75,Matchup!$C$39*$B281),RAND())</f>
        <v>5</v>
      </c>
      <c r="K281" s="0" t="n">
        <f aca="true">CRITBINOM(J281,Coefficients!$B$30,RAND())</f>
        <v>0</v>
      </c>
      <c r="L281" s="0" t="n">
        <f aca="true">CRITBINOM(K281,Coefficients!$B$31,RAND())</f>
        <v>0</v>
      </c>
      <c r="M281" s="0" t="n">
        <f aca="true">CRITBINOM(MAX(0,J281-K281),1-Coefficients!$B$32,RAND())</f>
        <v>1</v>
      </c>
      <c r="N281" s="0" t="n">
        <f aca="true">CRITBINOM(MAX(0,$C281-J281),MIN(0.6,Matchup!$C$40*SQRT($B281)/(1-MIN(0.75,Matchup!$C$39*$B281))),RAND())</f>
        <v>0</v>
      </c>
      <c r="O281" s="0" t="n">
        <f aca="false">6*J281+(J281-K281-M281)+2*L281+3*N281</f>
        <v>34</v>
      </c>
      <c r="P281" s="0" t="n">
        <f aca="true">RAND()</f>
        <v>0.0129254929405463</v>
      </c>
      <c r="Q281" s="0" t="n">
        <f aca="true">RAND()</f>
        <v>0.29492478214597</v>
      </c>
      <c r="R281" s="0" t="n">
        <f aca="false">IF($I281&lt;&gt;$O281,0,IF(P281&lt;Matchup!$B$39,7,IF(P281&lt;Matchup!$B$39+Matchup!$B$40,3,0)))</f>
        <v>0</v>
      </c>
      <c r="S281" s="0" t="n">
        <f aca="false">IF($I281&lt;&gt;$O281,0,IF(Q281&lt;Matchup!$C$39,7,IF(Q281&lt;Matchup!$C$39+Matchup!$C$40,3,0)))</f>
        <v>0</v>
      </c>
      <c r="T281" s="0" t="n">
        <f aca="false">I281+R281</f>
        <v>37</v>
      </c>
      <c r="U281" s="0" t="n">
        <f aca="false">O281+S281</f>
        <v>34</v>
      </c>
      <c r="V281" s="0" t="n">
        <f aca="false">T281-U281</f>
        <v>3</v>
      </c>
      <c r="W281" s="0" t="n">
        <f aca="false">T281+U281</f>
        <v>71</v>
      </c>
    </row>
    <row r="282" customFormat="false" ht="15" hidden="false" customHeight="false" outlineLevel="0" collapsed="false">
      <c r="A282" s="0" t="n">
        <v>279</v>
      </c>
      <c r="B282" s="0" t="n">
        <f aca="true">NORMINV(RAND(),1,Coefficients!$B$22)</f>
        <v>1.01587462442688</v>
      </c>
      <c r="C282" s="0" t="n">
        <f aca="true">MEDIAN(8,16,ROUND(NORMINV(RAND(),Coefficients!$B$20,Coefficients!$B$21),0))</f>
        <v>12</v>
      </c>
      <c r="D282" s="0" t="n">
        <f aca="true">CRITBINOM($C282,MIN(0.75,Matchup!$B$39*$B282),RAND())</f>
        <v>3</v>
      </c>
      <c r="E282" s="0" t="n">
        <f aca="true">CRITBINOM(D282,Coefficients!$B$30,RAND())</f>
        <v>0</v>
      </c>
      <c r="F282" s="0" t="n">
        <f aca="true">CRITBINOM(E282,Coefficients!$B$31,RAND())</f>
        <v>0</v>
      </c>
      <c r="G282" s="0" t="n">
        <f aca="true">CRITBINOM(MAX(0,D282-E282),1-Coefficients!$B$32,RAND())</f>
        <v>0</v>
      </c>
      <c r="H282" s="0" t="n">
        <f aca="true">CRITBINOM(MAX(0,$C282-D282),MIN(0.6,Matchup!$B$40*SQRT($B282)/(1-MIN(0.75,Matchup!$B$39*$B282))),RAND())</f>
        <v>0</v>
      </c>
      <c r="I282" s="0" t="n">
        <f aca="false">6*D282+(D282-E282-G282)+2*F282+3*H282</f>
        <v>21</v>
      </c>
      <c r="J282" s="0" t="n">
        <f aca="true">CRITBINOM($C282,MIN(0.75,Matchup!$C$39*$B282),RAND())</f>
        <v>7</v>
      </c>
      <c r="K282" s="0" t="n">
        <f aca="true">CRITBINOM(J282,Coefficients!$B$30,RAND())</f>
        <v>1</v>
      </c>
      <c r="L282" s="0" t="n">
        <f aca="true">CRITBINOM(K282,Coefficients!$B$31,RAND())</f>
        <v>1</v>
      </c>
      <c r="M282" s="0" t="n">
        <f aca="true">CRITBINOM(MAX(0,J282-K282),1-Coefficients!$B$32,RAND())</f>
        <v>0</v>
      </c>
      <c r="N282" s="0" t="n">
        <f aca="true">CRITBINOM(MAX(0,$C282-J282),MIN(0.6,Matchup!$C$40*SQRT($B282)/(1-MIN(0.75,Matchup!$C$39*$B282))),RAND())</f>
        <v>1</v>
      </c>
      <c r="O282" s="0" t="n">
        <f aca="false">6*J282+(J282-K282-M282)+2*L282+3*N282</f>
        <v>53</v>
      </c>
      <c r="P282" s="0" t="n">
        <f aca="true">RAND()</f>
        <v>0.91791992286622</v>
      </c>
      <c r="Q282" s="0" t="n">
        <f aca="true">RAND()</f>
        <v>0.0821110519271242</v>
      </c>
      <c r="R282" s="0" t="n">
        <f aca="false">IF($I282&lt;&gt;$O282,0,IF(P282&lt;Matchup!$B$39,7,IF(P282&lt;Matchup!$B$39+Matchup!$B$40,3,0)))</f>
        <v>0</v>
      </c>
      <c r="S282" s="0" t="n">
        <f aca="false">IF($I282&lt;&gt;$O282,0,IF(Q282&lt;Matchup!$C$39,7,IF(Q282&lt;Matchup!$C$39+Matchup!$C$40,3,0)))</f>
        <v>0</v>
      </c>
      <c r="T282" s="0" t="n">
        <f aca="false">I282+R282</f>
        <v>21</v>
      </c>
      <c r="U282" s="0" t="n">
        <f aca="false">O282+S282</f>
        <v>53</v>
      </c>
      <c r="V282" s="0" t="n">
        <f aca="false">T282-U282</f>
        <v>-32</v>
      </c>
      <c r="W282" s="0" t="n">
        <f aca="false">T282+U282</f>
        <v>74</v>
      </c>
    </row>
    <row r="283" customFormat="false" ht="15" hidden="false" customHeight="false" outlineLevel="0" collapsed="false">
      <c r="A283" s="0" t="n">
        <v>280</v>
      </c>
      <c r="B283" s="0" t="n">
        <f aca="true">NORMINV(RAND(),1,Coefficients!$B$22)</f>
        <v>0.934898888431832</v>
      </c>
      <c r="C283" s="0" t="n">
        <f aca="true">MEDIAN(8,16,ROUND(NORMINV(RAND(),Coefficients!$B$20,Coefficients!$B$21),0))</f>
        <v>12</v>
      </c>
      <c r="D283" s="0" t="n">
        <f aca="true">CRITBINOM($C283,MIN(0.75,Matchup!$B$39*$B283),RAND())</f>
        <v>3</v>
      </c>
      <c r="E283" s="0" t="n">
        <f aca="true">CRITBINOM(D283,Coefficients!$B$30,RAND())</f>
        <v>1</v>
      </c>
      <c r="F283" s="0" t="n">
        <f aca="true">CRITBINOM(E283,Coefficients!$B$31,RAND())</f>
        <v>1</v>
      </c>
      <c r="G283" s="0" t="n">
        <f aca="true">CRITBINOM(MAX(0,D283-E283),1-Coefficients!$B$32,RAND())</f>
        <v>1</v>
      </c>
      <c r="H283" s="0" t="n">
        <f aca="true">CRITBINOM(MAX(0,$C283-D283),MIN(0.6,Matchup!$B$40*SQRT($B283)/(1-MIN(0.75,Matchup!$B$39*$B283))),RAND())</f>
        <v>1</v>
      </c>
      <c r="I283" s="0" t="n">
        <f aca="false">6*D283+(D283-E283-G283)+2*F283+3*H283</f>
        <v>24</v>
      </c>
      <c r="J283" s="0" t="n">
        <f aca="true">CRITBINOM($C283,MIN(0.75,Matchup!$C$39*$B283),RAND())</f>
        <v>4</v>
      </c>
      <c r="K283" s="0" t="n">
        <f aca="true">CRITBINOM(J283,Coefficients!$B$30,RAND())</f>
        <v>0</v>
      </c>
      <c r="L283" s="0" t="n">
        <f aca="true">CRITBINOM(K283,Coefficients!$B$31,RAND())</f>
        <v>0</v>
      </c>
      <c r="M283" s="0" t="n">
        <f aca="true">CRITBINOM(MAX(0,J283-K283),1-Coefficients!$B$32,RAND())</f>
        <v>0</v>
      </c>
      <c r="N283" s="0" t="n">
        <f aca="true">CRITBINOM(MAX(0,$C283-J283),MIN(0.6,Matchup!$C$40*SQRT($B283)/(1-MIN(0.75,Matchup!$C$39*$B283))),RAND())</f>
        <v>1</v>
      </c>
      <c r="O283" s="0" t="n">
        <f aca="false">6*J283+(J283-K283-M283)+2*L283+3*N283</f>
        <v>31</v>
      </c>
      <c r="P283" s="0" t="n">
        <f aca="true">RAND()</f>
        <v>0.320442997289571</v>
      </c>
      <c r="Q283" s="0" t="n">
        <f aca="true">RAND()</f>
        <v>0.784556306855835</v>
      </c>
      <c r="R283" s="0" t="n">
        <f aca="false">IF($I283&lt;&gt;$O283,0,IF(P283&lt;Matchup!$B$39,7,IF(P283&lt;Matchup!$B$39+Matchup!$B$40,3,0)))</f>
        <v>0</v>
      </c>
      <c r="S283" s="0" t="n">
        <f aca="false">IF($I283&lt;&gt;$O283,0,IF(Q283&lt;Matchup!$C$39,7,IF(Q283&lt;Matchup!$C$39+Matchup!$C$40,3,0)))</f>
        <v>0</v>
      </c>
      <c r="T283" s="0" t="n">
        <f aca="false">I283+R283</f>
        <v>24</v>
      </c>
      <c r="U283" s="0" t="n">
        <f aca="false">O283+S283</f>
        <v>31</v>
      </c>
      <c r="V283" s="0" t="n">
        <f aca="false">T283-U283</f>
        <v>-7</v>
      </c>
      <c r="W283" s="0" t="n">
        <f aca="false">T283+U283</f>
        <v>55</v>
      </c>
    </row>
    <row r="284" customFormat="false" ht="15" hidden="false" customHeight="false" outlineLevel="0" collapsed="false">
      <c r="A284" s="0" t="n">
        <v>281</v>
      </c>
      <c r="B284" s="0" t="n">
        <f aca="true">NORMINV(RAND(),1,Coefficients!$B$22)</f>
        <v>0.98219188107794</v>
      </c>
      <c r="C284" s="0" t="n">
        <f aca="true">MEDIAN(8,16,ROUND(NORMINV(RAND(),Coefficients!$B$20,Coefficients!$B$21),0))</f>
        <v>10</v>
      </c>
      <c r="D284" s="0" t="n">
        <f aca="true">CRITBINOM($C284,MIN(0.75,Matchup!$B$39*$B284),RAND())</f>
        <v>2</v>
      </c>
      <c r="E284" s="0" t="n">
        <f aca="true">CRITBINOM(D284,Coefficients!$B$30,RAND())</f>
        <v>0</v>
      </c>
      <c r="F284" s="0" t="n">
        <f aca="true">CRITBINOM(E284,Coefficients!$B$31,RAND())</f>
        <v>0</v>
      </c>
      <c r="G284" s="0" t="n">
        <f aca="true">CRITBINOM(MAX(0,D284-E284),1-Coefficients!$B$32,RAND())</f>
        <v>0</v>
      </c>
      <c r="H284" s="0" t="n">
        <f aca="true">CRITBINOM(MAX(0,$C284-D284),MIN(0.6,Matchup!$B$40*SQRT($B284)/(1-MIN(0.75,Matchup!$B$39*$B284))),RAND())</f>
        <v>0</v>
      </c>
      <c r="I284" s="0" t="n">
        <f aca="false">6*D284+(D284-E284-G284)+2*F284+3*H284</f>
        <v>14</v>
      </c>
      <c r="J284" s="0" t="n">
        <f aca="true">CRITBINOM($C284,MIN(0.75,Matchup!$C$39*$B284),RAND())</f>
        <v>1</v>
      </c>
      <c r="K284" s="0" t="n">
        <f aca="true">CRITBINOM(J284,Coefficients!$B$30,RAND())</f>
        <v>0</v>
      </c>
      <c r="L284" s="0" t="n">
        <f aca="true">CRITBINOM(K284,Coefficients!$B$31,RAND())</f>
        <v>0</v>
      </c>
      <c r="M284" s="0" t="n">
        <f aca="true">CRITBINOM(MAX(0,J284-K284),1-Coefficients!$B$32,RAND())</f>
        <v>0</v>
      </c>
      <c r="N284" s="0" t="n">
        <f aca="true">CRITBINOM(MAX(0,$C284-J284),MIN(0.6,Matchup!$C$40*SQRT($B284)/(1-MIN(0.75,Matchup!$C$39*$B284))),RAND())</f>
        <v>2</v>
      </c>
      <c r="O284" s="0" t="n">
        <f aca="false">6*J284+(J284-K284-M284)+2*L284+3*N284</f>
        <v>13</v>
      </c>
      <c r="P284" s="0" t="n">
        <f aca="true">RAND()</f>
        <v>0.843902135979909</v>
      </c>
      <c r="Q284" s="0" t="n">
        <f aca="true">RAND()</f>
        <v>0.72109261853014</v>
      </c>
      <c r="R284" s="0" t="n">
        <f aca="false">IF($I284&lt;&gt;$O284,0,IF(P284&lt;Matchup!$B$39,7,IF(P284&lt;Matchup!$B$39+Matchup!$B$40,3,0)))</f>
        <v>0</v>
      </c>
      <c r="S284" s="0" t="n">
        <f aca="false">IF($I284&lt;&gt;$O284,0,IF(Q284&lt;Matchup!$C$39,7,IF(Q284&lt;Matchup!$C$39+Matchup!$C$40,3,0)))</f>
        <v>0</v>
      </c>
      <c r="T284" s="0" t="n">
        <f aca="false">I284+R284</f>
        <v>14</v>
      </c>
      <c r="U284" s="0" t="n">
        <f aca="false">O284+S284</f>
        <v>13</v>
      </c>
      <c r="V284" s="0" t="n">
        <f aca="false">T284-U284</f>
        <v>1</v>
      </c>
      <c r="W284" s="0" t="n">
        <f aca="false">T284+U284</f>
        <v>27</v>
      </c>
    </row>
    <row r="285" customFormat="false" ht="15" hidden="false" customHeight="false" outlineLevel="0" collapsed="false">
      <c r="A285" s="0" t="n">
        <v>282</v>
      </c>
      <c r="B285" s="0" t="n">
        <f aca="true">NORMINV(RAND(),1,Coefficients!$B$22)</f>
        <v>0.828524868524995</v>
      </c>
      <c r="C285" s="0" t="n">
        <f aca="true">MEDIAN(8,16,ROUND(NORMINV(RAND(),Coefficients!$B$20,Coefficients!$B$21),0))</f>
        <v>11</v>
      </c>
      <c r="D285" s="0" t="n">
        <f aca="true">CRITBINOM($C285,MIN(0.75,Matchup!$B$39*$B285),RAND())</f>
        <v>4</v>
      </c>
      <c r="E285" s="0" t="n">
        <f aca="true">CRITBINOM(D285,Coefficients!$B$30,RAND())</f>
        <v>1</v>
      </c>
      <c r="F285" s="0" t="n">
        <f aca="true">CRITBINOM(E285,Coefficients!$B$31,RAND())</f>
        <v>1</v>
      </c>
      <c r="G285" s="0" t="n">
        <f aca="true">CRITBINOM(MAX(0,D285-E285),1-Coefficients!$B$32,RAND())</f>
        <v>1</v>
      </c>
      <c r="H285" s="0" t="n">
        <f aca="true">CRITBINOM(MAX(0,$C285-D285),MIN(0.6,Matchup!$B$40*SQRT($B285)/(1-MIN(0.75,Matchup!$B$39*$B285))),RAND())</f>
        <v>1</v>
      </c>
      <c r="I285" s="0" t="n">
        <f aca="false">6*D285+(D285-E285-G285)+2*F285+3*H285</f>
        <v>31</v>
      </c>
      <c r="J285" s="0" t="n">
        <f aca="true">CRITBINOM($C285,MIN(0.75,Matchup!$C$39*$B285),RAND())</f>
        <v>1</v>
      </c>
      <c r="K285" s="0" t="n">
        <f aca="true">CRITBINOM(J285,Coefficients!$B$30,RAND())</f>
        <v>0</v>
      </c>
      <c r="L285" s="0" t="n">
        <f aca="true">CRITBINOM(K285,Coefficients!$B$31,RAND())</f>
        <v>0</v>
      </c>
      <c r="M285" s="0" t="n">
        <f aca="true">CRITBINOM(MAX(0,J285-K285),1-Coefficients!$B$32,RAND())</f>
        <v>0</v>
      </c>
      <c r="N285" s="0" t="n">
        <f aca="true">CRITBINOM(MAX(0,$C285-J285),MIN(0.6,Matchup!$C$40*SQRT($B285)/(1-MIN(0.75,Matchup!$C$39*$B285))),RAND())</f>
        <v>2</v>
      </c>
      <c r="O285" s="0" t="n">
        <f aca="false">6*J285+(J285-K285-M285)+2*L285+3*N285</f>
        <v>13</v>
      </c>
      <c r="P285" s="0" t="n">
        <f aca="true">RAND()</f>
        <v>0.836615295890587</v>
      </c>
      <c r="Q285" s="0" t="n">
        <f aca="true">RAND()</f>
        <v>0.550516006977111</v>
      </c>
      <c r="R285" s="0" t="n">
        <f aca="false">IF($I285&lt;&gt;$O285,0,IF(P285&lt;Matchup!$B$39,7,IF(P285&lt;Matchup!$B$39+Matchup!$B$40,3,0)))</f>
        <v>0</v>
      </c>
      <c r="S285" s="0" t="n">
        <f aca="false">IF($I285&lt;&gt;$O285,0,IF(Q285&lt;Matchup!$C$39,7,IF(Q285&lt;Matchup!$C$39+Matchup!$C$40,3,0)))</f>
        <v>0</v>
      </c>
      <c r="T285" s="0" t="n">
        <f aca="false">I285+R285</f>
        <v>31</v>
      </c>
      <c r="U285" s="0" t="n">
        <f aca="false">O285+S285</f>
        <v>13</v>
      </c>
      <c r="V285" s="0" t="n">
        <f aca="false">T285-U285</f>
        <v>18</v>
      </c>
      <c r="W285" s="0" t="n">
        <f aca="false">T285+U285</f>
        <v>44</v>
      </c>
    </row>
    <row r="286" customFormat="false" ht="15" hidden="false" customHeight="false" outlineLevel="0" collapsed="false">
      <c r="A286" s="0" t="n">
        <v>283</v>
      </c>
      <c r="B286" s="0" t="n">
        <f aca="true">NORMINV(RAND(),1,Coefficients!$B$22)</f>
        <v>1.02122606343332</v>
      </c>
      <c r="C286" s="0" t="n">
        <f aca="true">MEDIAN(8,16,ROUND(NORMINV(RAND(),Coefficients!$B$20,Coefficients!$B$21),0))</f>
        <v>12</v>
      </c>
      <c r="D286" s="0" t="n">
        <f aca="true">CRITBINOM($C286,MIN(0.75,Matchup!$B$39*$B286),RAND())</f>
        <v>2</v>
      </c>
      <c r="E286" s="0" t="n">
        <f aca="true">CRITBINOM(D286,Coefficients!$B$30,RAND())</f>
        <v>0</v>
      </c>
      <c r="F286" s="0" t="n">
        <f aca="true">CRITBINOM(E286,Coefficients!$B$31,RAND())</f>
        <v>0</v>
      </c>
      <c r="G286" s="0" t="n">
        <f aca="true">CRITBINOM(MAX(0,D286-E286),1-Coefficients!$B$32,RAND())</f>
        <v>0</v>
      </c>
      <c r="H286" s="0" t="n">
        <f aca="true">CRITBINOM(MAX(0,$C286-D286),MIN(0.6,Matchup!$B$40*SQRT($B286)/(1-MIN(0.75,Matchup!$B$39*$B286))),RAND())</f>
        <v>1</v>
      </c>
      <c r="I286" s="0" t="n">
        <f aca="false">6*D286+(D286-E286-G286)+2*F286+3*H286</f>
        <v>17</v>
      </c>
      <c r="J286" s="0" t="n">
        <f aca="true">CRITBINOM($C286,MIN(0.75,Matchup!$C$39*$B286),RAND())</f>
        <v>2</v>
      </c>
      <c r="K286" s="0" t="n">
        <f aca="true">CRITBINOM(J286,Coefficients!$B$30,RAND())</f>
        <v>1</v>
      </c>
      <c r="L286" s="0" t="n">
        <f aca="true">CRITBINOM(K286,Coefficients!$B$31,RAND())</f>
        <v>0</v>
      </c>
      <c r="M286" s="0" t="n">
        <f aca="true">CRITBINOM(MAX(0,J286-K286),1-Coefficients!$B$32,RAND())</f>
        <v>0</v>
      </c>
      <c r="N286" s="0" t="n">
        <f aca="true">CRITBINOM(MAX(0,$C286-J286),MIN(0.6,Matchup!$C$40*SQRT($B286)/(1-MIN(0.75,Matchup!$C$39*$B286))),RAND())</f>
        <v>2</v>
      </c>
      <c r="O286" s="0" t="n">
        <f aca="false">6*J286+(J286-K286-M286)+2*L286+3*N286</f>
        <v>19</v>
      </c>
      <c r="P286" s="0" t="n">
        <f aca="true">RAND()</f>
        <v>0.763148794870743</v>
      </c>
      <c r="Q286" s="0" t="n">
        <f aca="true">RAND()</f>
        <v>0.310883202394406</v>
      </c>
      <c r="R286" s="0" t="n">
        <f aca="false">IF($I286&lt;&gt;$O286,0,IF(P286&lt;Matchup!$B$39,7,IF(P286&lt;Matchup!$B$39+Matchup!$B$40,3,0)))</f>
        <v>0</v>
      </c>
      <c r="S286" s="0" t="n">
        <f aca="false">IF($I286&lt;&gt;$O286,0,IF(Q286&lt;Matchup!$C$39,7,IF(Q286&lt;Matchup!$C$39+Matchup!$C$40,3,0)))</f>
        <v>0</v>
      </c>
      <c r="T286" s="0" t="n">
        <f aca="false">I286+R286</f>
        <v>17</v>
      </c>
      <c r="U286" s="0" t="n">
        <f aca="false">O286+S286</f>
        <v>19</v>
      </c>
      <c r="V286" s="0" t="n">
        <f aca="false">T286-U286</f>
        <v>-2</v>
      </c>
      <c r="W286" s="0" t="n">
        <f aca="false">T286+U286</f>
        <v>36</v>
      </c>
    </row>
    <row r="287" customFormat="false" ht="15" hidden="false" customHeight="false" outlineLevel="0" collapsed="false">
      <c r="A287" s="0" t="n">
        <v>284</v>
      </c>
      <c r="B287" s="0" t="n">
        <f aca="true">NORMINV(RAND(),1,Coefficients!$B$22)</f>
        <v>1.03910221603381</v>
      </c>
      <c r="C287" s="0" t="n">
        <f aca="true">MEDIAN(8,16,ROUND(NORMINV(RAND(),Coefficients!$B$20,Coefficients!$B$21),0))</f>
        <v>11</v>
      </c>
      <c r="D287" s="0" t="n">
        <f aca="true">CRITBINOM($C287,MIN(0.75,Matchup!$B$39*$B287),RAND())</f>
        <v>3</v>
      </c>
      <c r="E287" s="0" t="n">
        <f aca="true">CRITBINOM(D287,Coefficients!$B$30,RAND())</f>
        <v>0</v>
      </c>
      <c r="F287" s="0" t="n">
        <f aca="true">CRITBINOM(E287,Coefficients!$B$31,RAND())</f>
        <v>0</v>
      </c>
      <c r="G287" s="0" t="n">
        <f aca="true">CRITBINOM(MAX(0,D287-E287),1-Coefficients!$B$32,RAND())</f>
        <v>0</v>
      </c>
      <c r="H287" s="0" t="n">
        <f aca="true">CRITBINOM(MAX(0,$C287-D287),MIN(0.6,Matchup!$B$40*SQRT($B287)/(1-MIN(0.75,Matchup!$B$39*$B287))),RAND())</f>
        <v>0</v>
      </c>
      <c r="I287" s="0" t="n">
        <f aca="false">6*D287+(D287-E287-G287)+2*F287+3*H287</f>
        <v>21</v>
      </c>
      <c r="J287" s="0" t="n">
        <f aca="true">CRITBINOM($C287,MIN(0.75,Matchup!$C$39*$B287),RAND())</f>
        <v>2</v>
      </c>
      <c r="K287" s="0" t="n">
        <f aca="true">CRITBINOM(J287,Coefficients!$B$30,RAND())</f>
        <v>1</v>
      </c>
      <c r="L287" s="0" t="n">
        <f aca="true">CRITBINOM(K287,Coefficients!$B$31,RAND())</f>
        <v>0</v>
      </c>
      <c r="M287" s="0" t="n">
        <f aca="true">CRITBINOM(MAX(0,J287-K287),1-Coefficients!$B$32,RAND())</f>
        <v>0</v>
      </c>
      <c r="N287" s="0" t="n">
        <f aca="true">CRITBINOM(MAX(0,$C287-J287),MIN(0.6,Matchup!$C$40*SQRT($B287)/(1-MIN(0.75,Matchup!$C$39*$B287))),RAND())</f>
        <v>0</v>
      </c>
      <c r="O287" s="0" t="n">
        <f aca="false">6*J287+(J287-K287-M287)+2*L287+3*N287</f>
        <v>13</v>
      </c>
      <c r="P287" s="0" t="n">
        <f aca="true">RAND()</f>
        <v>0.475385058820823</v>
      </c>
      <c r="Q287" s="0" t="n">
        <f aca="true">RAND()</f>
        <v>0.126878758844641</v>
      </c>
      <c r="R287" s="0" t="n">
        <f aca="false">IF($I287&lt;&gt;$O287,0,IF(P287&lt;Matchup!$B$39,7,IF(P287&lt;Matchup!$B$39+Matchup!$B$40,3,0)))</f>
        <v>0</v>
      </c>
      <c r="S287" s="0" t="n">
        <f aca="false">IF($I287&lt;&gt;$O287,0,IF(Q287&lt;Matchup!$C$39,7,IF(Q287&lt;Matchup!$C$39+Matchup!$C$40,3,0)))</f>
        <v>0</v>
      </c>
      <c r="T287" s="0" t="n">
        <f aca="false">I287+R287</f>
        <v>21</v>
      </c>
      <c r="U287" s="0" t="n">
        <f aca="false">O287+S287</f>
        <v>13</v>
      </c>
      <c r="V287" s="0" t="n">
        <f aca="false">T287-U287</f>
        <v>8</v>
      </c>
      <c r="W287" s="0" t="n">
        <f aca="false">T287+U287</f>
        <v>34</v>
      </c>
    </row>
    <row r="288" customFormat="false" ht="15" hidden="false" customHeight="false" outlineLevel="0" collapsed="false">
      <c r="A288" s="0" t="n">
        <v>285</v>
      </c>
      <c r="B288" s="0" t="n">
        <f aca="true">NORMINV(RAND(),1,Coefficients!$B$22)</f>
        <v>0.907832057665861</v>
      </c>
      <c r="C288" s="0" t="n">
        <f aca="true">MEDIAN(8,16,ROUND(NORMINV(RAND(),Coefficients!$B$20,Coefficients!$B$21),0))</f>
        <v>11</v>
      </c>
      <c r="D288" s="0" t="n">
        <f aca="true">CRITBINOM($C288,MIN(0.75,Matchup!$B$39*$B288),RAND())</f>
        <v>5</v>
      </c>
      <c r="E288" s="0" t="n">
        <f aca="true">CRITBINOM(D288,Coefficients!$B$30,RAND())</f>
        <v>0</v>
      </c>
      <c r="F288" s="0" t="n">
        <f aca="true">CRITBINOM(E288,Coefficients!$B$31,RAND())</f>
        <v>0</v>
      </c>
      <c r="G288" s="0" t="n">
        <f aca="true">CRITBINOM(MAX(0,D288-E288),1-Coefficients!$B$32,RAND())</f>
        <v>1</v>
      </c>
      <c r="H288" s="0" t="n">
        <f aca="true">CRITBINOM(MAX(0,$C288-D288),MIN(0.6,Matchup!$B$40*SQRT($B288)/(1-MIN(0.75,Matchup!$B$39*$B288))),RAND())</f>
        <v>0</v>
      </c>
      <c r="I288" s="0" t="n">
        <f aca="false">6*D288+(D288-E288-G288)+2*F288+3*H288</f>
        <v>34</v>
      </c>
      <c r="J288" s="0" t="n">
        <f aca="true">CRITBINOM($C288,MIN(0.75,Matchup!$C$39*$B288),RAND())</f>
        <v>1</v>
      </c>
      <c r="K288" s="0" t="n">
        <f aca="true">CRITBINOM(J288,Coefficients!$B$30,RAND())</f>
        <v>0</v>
      </c>
      <c r="L288" s="0" t="n">
        <f aca="true">CRITBINOM(K288,Coefficients!$B$31,RAND())</f>
        <v>0</v>
      </c>
      <c r="M288" s="0" t="n">
        <f aca="true">CRITBINOM(MAX(0,J288-K288),1-Coefficients!$B$32,RAND())</f>
        <v>0</v>
      </c>
      <c r="N288" s="0" t="n">
        <f aca="true">CRITBINOM(MAX(0,$C288-J288),MIN(0.6,Matchup!$C$40*SQRT($B288)/(1-MIN(0.75,Matchup!$C$39*$B288))),RAND())</f>
        <v>2</v>
      </c>
      <c r="O288" s="0" t="n">
        <f aca="false">6*J288+(J288-K288-M288)+2*L288+3*N288</f>
        <v>13</v>
      </c>
      <c r="P288" s="0" t="n">
        <f aca="true">RAND()</f>
        <v>0.947496903067487</v>
      </c>
      <c r="Q288" s="0" t="n">
        <f aca="true">RAND()</f>
        <v>0.420246464158677</v>
      </c>
      <c r="R288" s="0" t="n">
        <f aca="false">IF($I288&lt;&gt;$O288,0,IF(P288&lt;Matchup!$B$39,7,IF(P288&lt;Matchup!$B$39+Matchup!$B$40,3,0)))</f>
        <v>0</v>
      </c>
      <c r="S288" s="0" t="n">
        <f aca="false">IF($I288&lt;&gt;$O288,0,IF(Q288&lt;Matchup!$C$39,7,IF(Q288&lt;Matchup!$C$39+Matchup!$C$40,3,0)))</f>
        <v>0</v>
      </c>
      <c r="T288" s="0" t="n">
        <f aca="false">I288+R288</f>
        <v>34</v>
      </c>
      <c r="U288" s="0" t="n">
        <f aca="false">O288+S288</f>
        <v>13</v>
      </c>
      <c r="V288" s="0" t="n">
        <f aca="false">T288-U288</f>
        <v>21</v>
      </c>
      <c r="W288" s="0" t="n">
        <f aca="false">T288+U288</f>
        <v>47</v>
      </c>
    </row>
    <row r="289" customFormat="false" ht="15" hidden="false" customHeight="false" outlineLevel="0" collapsed="false">
      <c r="A289" s="0" t="n">
        <v>286</v>
      </c>
      <c r="B289" s="0" t="n">
        <f aca="true">NORMINV(RAND(),1,Coefficients!$B$22)</f>
        <v>1.01265947548624</v>
      </c>
      <c r="C289" s="0" t="n">
        <f aca="true">MEDIAN(8,16,ROUND(NORMINV(RAND(),Coefficients!$B$20,Coefficients!$B$21),0))</f>
        <v>11</v>
      </c>
      <c r="D289" s="0" t="n">
        <f aca="true">CRITBINOM($C289,MIN(0.75,Matchup!$B$39*$B289),RAND())</f>
        <v>1</v>
      </c>
      <c r="E289" s="0" t="n">
        <f aca="true">CRITBINOM(D289,Coefficients!$B$30,RAND())</f>
        <v>0</v>
      </c>
      <c r="F289" s="0" t="n">
        <f aca="true">CRITBINOM(E289,Coefficients!$B$31,RAND())</f>
        <v>0</v>
      </c>
      <c r="G289" s="0" t="n">
        <f aca="true">CRITBINOM(MAX(0,D289-E289),1-Coefficients!$B$32,RAND())</f>
        <v>0</v>
      </c>
      <c r="H289" s="0" t="n">
        <f aca="true">CRITBINOM(MAX(0,$C289-D289),MIN(0.6,Matchup!$B$40*SQRT($B289)/(1-MIN(0.75,Matchup!$B$39*$B289))),RAND())</f>
        <v>1</v>
      </c>
      <c r="I289" s="0" t="n">
        <f aca="false">6*D289+(D289-E289-G289)+2*F289+3*H289</f>
        <v>10</v>
      </c>
      <c r="J289" s="0" t="n">
        <f aca="true">CRITBINOM($C289,MIN(0.75,Matchup!$C$39*$B289),RAND())</f>
        <v>1</v>
      </c>
      <c r="K289" s="0" t="n">
        <f aca="true">CRITBINOM(J289,Coefficients!$B$30,RAND())</f>
        <v>0</v>
      </c>
      <c r="L289" s="0" t="n">
        <f aca="true">CRITBINOM(K289,Coefficients!$B$31,RAND())</f>
        <v>0</v>
      </c>
      <c r="M289" s="0" t="n">
        <f aca="true">CRITBINOM(MAX(0,J289-K289),1-Coefficients!$B$32,RAND())</f>
        <v>0</v>
      </c>
      <c r="N289" s="0" t="n">
        <f aca="true">CRITBINOM(MAX(0,$C289-J289),MIN(0.6,Matchup!$C$40*SQRT($B289)/(1-MIN(0.75,Matchup!$C$39*$B289))),RAND())</f>
        <v>2</v>
      </c>
      <c r="O289" s="0" t="n">
        <f aca="false">6*J289+(J289-K289-M289)+2*L289+3*N289</f>
        <v>13</v>
      </c>
      <c r="P289" s="0" t="n">
        <f aca="true">RAND()</f>
        <v>0.0931405793763262</v>
      </c>
      <c r="Q289" s="0" t="n">
        <f aca="true">RAND()</f>
        <v>0.0631790997583926</v>
      </c>
      <c r="R289" s="0" t="n">
        <f aca="false">IF($I289&lt;&gt;$O289,0,IF(P289&lt;Matchup!$B$39,7,IF(P289&lt;Matchup!$B$39+Matchup!$B$40,3,0)))</f>
        <v>0</v>
      </c>
      <c r="S289" s="0" t="n">
        <f aca="false">IF($I289&lt;&gt;$O289,0,IF(Q289&lt;Matchup!$C$39,7,IF(Q289&lt;Matchup!$C$39+Matchup!$C$40,3,0)))</f>
        <v>0</v>
      </c>
      <c r="T289" s="0" t="n">
        <f aca="false">I289+R289</f>
        <v>10</v>
      </c>
      <c r="U289" s="0" t="n">
        <f aca="false">O289+S289</f>
        <v>13</v>
      </c>
      <c r="V289" s="0" t="n">
        <f aca="false">T289-U289</f>
        <v>-3</v>
      </c>
      <c r="W289" s="0" t="n">
        <f aca="false">T289+U289</f>
        <v>23</v>
      </c>
    </row>
    <row r="290" customFormat="false" ht="15" hidden="false" customHeight="false" outlineLevel="0" collapsed="false">
      <c r="A290" s="0" t="n">
        <v>287</v>
      </c>
      <c r="B290" s="0" t="n">
        <f aca="true">NORMINV(RAND(),1,Coefficients!$B$22)</f>
        <v>0.870889549948745</v>
      </c>
      <c r="C290" s="0" t="n">
        <f aca="true">MEDIAN(8,16,ROUND(NORMINV(RAND(),Coefficients!$B$20,Coefficients!$B$21),0))</f>
        <v>13</v>
      </c>
      <c r="D290" s="0" t="n">
        <f aca="true">CRITBINOM($C290,MIN(0.75,Matchup!$B$39*$B290),RAND())</f>
        <v>3</v>
      </c>
      <c r="E290" s="0" t="n">
        <f aca="true">CRITBINOM(D290,Coefficients!$B$30,RAND())</f>
        <v>0</v>
      </c>
      <c r="F290" s="0" t="n">
        <f aca="true">CRITBINOM(E290,Coefficients!$B$31,RAND())</f>
        <v>0</v>
      </c>
      <c r="G290" s="0" t="n">
        <f aca="true">CRITBINOM(MAX(0,D290-E290),1-Coefficients!$B$32,RAND())</f>
        <v>0</v>
      </c>
      <c r="H290" s="0" t="n">
        <f aca="true">CRITBINOM(MAX(0,$C290-D290),MIN(0.6,Matchup!$B$40*SQRT($B290)/(1-MIN(0.75,Matchup!$B$39*$B290))),RAND())</f>
        <v>0</v>
      </c>
      <c r="I290" s="0" t="n">
        <f aca="false">6*D290+(D290-E290-G290)+2*F290+3*H290</f>
        <v>21</v>
      </c>
      <c r="J290" s="0" t="n">
        <f aca="true">CRITBINOM($C290,MIN(0.75,Matchup!$C$39*$B290),RAND())</f>
        <v>1</v>
      </c>
      <c r="K290" s="0" t="n">
        <f aca="true">CRITBINOM(J290,Coefficients!$B$30,RAND())</f>
        <v>0</v>
      </c>
      <c r="L290" s="0" t="n">
        <f aca="true">CRITBINOM(K290,Coefficients!$B$31,RAND())</f>
        <v>0</v>
      </c>
      <c r="M290" s="0" t="n">
        <f aca="true">CRITBINOM(MAX(0,J290-K290),1-Coefficients!$B$32,RAND())</f>
        <v>0</v>
      </c>
      <c r="N290" s="0" t="n">
        <f aca="true">CRITBINOM(MAX(0,$C290-J290),MIN(0.6,Matchup!$C$40*SQRT($B290)/(1-MIN(0.75,Matchup!$C$39*$B290))),RAND())</f>
        <v>2</v>
      </c>
      <c r="O290" s="0" t="n">
        <f aca="false">6*J290+(J290-K290-M290)+2*L290+3*N290</f>
        <v>13</v>
      </c>
      <c r="P290" s="0" t="n">
        <f aca="true">RAND()</f>
        <v>0.106559764463707</v>
      </c>
      <c r="Q290" s="0" t="n">
        <f aca="true">RAND()</f>
        <v>0.503487446839338</v>
      </c>
      <c r="R290" s="0" t="n">
        <f aca="false">IF($I290&lt;&gt;$O290,0,IF(P290&lt;Matchup!$B$39,7,IF(P290&lt;Matchup!$B$39+Matchup!$B$40,3,0)))</f>
        <v>0</v>
      </c>
      <c r="S290" s="0" t="n">
        <f aca="false">IF($I290&lt;&gt;$O290,0,IF(Q290&lt;Matchup!$C$39,7,IF(Q290&lt;Matchup!$C$39+Matchup!$C$40,3,0)))</f>
        <v>0</v>
      </c>
      <c r="T290" s="0" t="n">
        <f aca="false">I290+R290</f>
        <v>21</v>
      </c>
      <c r="U290" s="0" t="n">
        <f aca="false">O290+S290</f>
        <v>13</v>
      </c>
      <c r="V290" s="0" t="n">
        <f aca="false">T290-U290</f>
        <v>8</v>
      </c>
      <c r="W290" s="0" t="n">
        <f aca="false">T290+U290</f>
        <v>34</v>
      </c>
    </row>
    <row r="291" customFormat="false" ht="15" hidden="false" customHeight="false" outlineLevel="0" collapsed="false">
      <c r="A291" s="0" t="n">
        <v>288</v>
      </c>
      <c r="B291" s="0" t="n">
        <f aca="true">NORMINV(RAND(),1,Coefficients!$B$22)</f>
        <v>1.01737961895914</v>
      </c>
      <c r="C291" s="0" t="n">
        <f aca="true">MEDIAN(8,16,ROUND(NORMINV(RAND(),Coefficients!$B$20,Coefficients!$B$21),0))</f>
        <v>11</v>
      </c>
      <c r="D291" s="0" t="n">
        <f aca="true">CRITBINOM($C291,MIN(0.75,Matchup!$B$39*$B291),RAND())</f>
        <v>3</v>
      </c>
      <c r="E291" s="0" t="n">
        <f aca="true">CRITBINOM(D291,Coefficients!$B$30,RAND())</f>
        <v>0</v>
      </c>
      <c r="F291" s="0" t="n">
        <f aca="true">CRITBINOM(E291,Coefficients!$B$31,RAND())</f>
        <v>0</v>
      </c>
      <c r="G291" s="0" t="n">
        <f aca="true">CRITBINOM(MAX(0,D291-E291),1-Coefficients!$B$32,RAND())</f>
        <v>1</v>
      </c>
      <c r="H291" s="0" t="n">
        <f aca="true">CRITBINOM(MAX(0,$C291-D291),MIN(0.6,Matchup!$B$40*SQRT($B291)/(1-MIN(0.75,Matchup!$B$39*$B291))),RAND())</f>
        <v>2</v>
      </c>
      <c r="I291" s="0" t="n">
        <f aca="false">6*D291+(D291-E291-G291)+2*F291+3*H291</f>
        <v>26</v>
      </c>
      <c r="J291" s="0" t="n">
        <f aca="true">CRITBINOM($C291,MIN(0.75,Matchup!$C$39*$B291),RAND())</f>
        <v>3</v>
      </c>
      <c r="K291" s="0" t="n">
        <f aca="true">CRITBINOM(J291,Coefficients!$B$30,RAND())</f>
        <v>1</v>
      </c>
      <c r="L291" s="0" t="n">
        <f aca="true">CRITBINOM(K291,Coefficients!$B$31,RAND())</f>
        <v>0</v>
      </c>
      <c r="M291" s="0" t="n">
        <f aca="true">CRITBINOM(MAX(0,J291-K291),1-Coefficients!$B$32,RAND())</f>
        <v>1</v>
      </c>
      <c r="N291" s="0" t="n">
        <f aca="true">CRITBINOM(MAX(0,$C291-J291),MIN(0.6,Matchup!$C$40*SQRT($B291)/(1-MIN(0.75,Matchup!$C$39*$B291))),RAND())</f>
        <v>1</v>
      </c>
      <c r="O291" s="0" t="n">
        <f aca="false">6*J291+(J291-K291-M291)+2*L291+3*N291</f>
        <v>22</v>
      </c>
      <c r="P291" s="0" t="n">
        <f aca="true">RAND()</f>
        <v>0.236148777458347</v>
      </c>
      <c r="Q291" s="0" t="n">
        <f aca="true">RAND()</f>
        <v>0.985197947536676</v>
      </c>
      <c r="R291" s="0" t="n">
        <f aca="false">IF($I291&lt;&gt;$O291,0,IF(P291&lt;Matchup!$B$39,7,IF(P291&lt;Matchup!$B$39+Matchup!$B$40,3,0)))</f>
        <v>0</v>
      </c>
      <c r="S291" s="0" t="n">
        <f aca="false">IF($I291&lt;&gt;$O291,0,IF(Q291&lt;Matchup!$C$39,7,IF(Q291&lt;Matchup!$C$39+Matchup!$C$40,3,0)))</f>
        <v>0</v>
      </c>
      <c r="T291" s="0" t="n">
        <f aca="false">I291+R291</f>
        <v>26</v>
      </c>
      <c r="U291" s="0" t="n">
        <f aca="false">O291+S291</f>
        <v>22</v>
      </c>
      <c r="V291" s="0" t="n">
        <f aca="false">T291-U291</f>
        <v>4</v>
      </c>
      <c r="W291" s="0" t="n">
        <f aca="false">T291+U291</f>
        <v>48</v>
      </c>
    </row>
    <row r="292" customFormat="false" ht="15" hidden="false" customHeight="false" outlineLevel="0" collapsed="false">
      <c r="A292" s="0" t="n">
        <v>289</v>
      </c>
      <c r="B292" s="0" t="n">
        <f aca="true">NORMINV(RAND(),1,Coefficients!$B$22)</f>
        <v>0.952429542547907</v>
      </c>
      <c r="C292" s="0" t="n">
        <f aca="true">MEDIAN(8,16,ROUND(NORMINV(RAND(),Coefficients!$B$20,Coefficients!$B$21),0))</f>
        <v>12</v>
      </c>
      <c r="D292" s="0" t="n">
        <f aca="true">CRITBINOM($C292,MIN(0.75,Matchup!$B$39*$B292),RAND())</f>
        <v>5</v>
      </c>
      <c r="E292" s="0" t="n">
        <f aca="true">CRITBINOM(D292,Coefficients!$B$30,RAND())</f>
        <v>0</v>
      </c>
      <c r="F292" s="0" t="n">
        <f aca="true">CRITBINOM(E292,Coefficients!$B$31,RAND())</f>
        <v>0</v>
      </c>
      <c r="G292" s="0" t="n">
        <f aca="true">CRITBINOM(MAX(0,D292-E292),1-Coefficients!$B$32,RAND())</f>
        <v>0</v>
      </c>
      <c r="H292" s="0" t="n">
        <f aca="true">CRITBINOM(MAX(0,$C292-D292),MIN(0.6,Matchup!$B$40*SQRT($B292)/(1-MIN(0.75,Matchup!$B$39*$B292))),RAND())</f>
        <v>1</v>
      </c>
      <c r="I292" s="0" t="n">
        <f aca="false">6*D292+(D292-E292-G292)+2*F292+3*H292</f>
        <v>38</v>
      </c>
      <c r="J292" s="0" t="n">
        <f aca="true">CRITBINOM($C292,MIN(0.75,Matchup!$C$39*$B292),RAND())</f>
        <v>2</v>
      </c>
      <c r="K292" s="0" t="n">
        <f aca="true">CRITBINOM(J292,Coefficients!$B$30,RAND())</f>
        <v>0</v>
      </c>
      <c r="L292" s="0" t="n">
        <f aca="true">CRITBINOM(K292,Coefficients!$B$31,RAND())</f>
        <v>0</v>
      </c>
      <c r="M292" s="0" t="n">
        <f aca="true">CRITBINOM(MAX(0,J292-K292),1-Coefficients!$B$32,RAND())</f>
        <v>0</v>
      </c>
      <c r="N292" s="0" t="n">
        <f aca="true">CRITBINOM(MAX(0,$C292-J292),MIN(0.6,Matchup!$C$40*SQRT($B292)/(1-MIN(0.75,Matchup!$C$39*$B292))),RAND())</f>
        <v>2</v>
      </c>
      <c r="O292" s="0" t="n">
        <f aca="false">6*J292+(J292-K292-M292)+2*L292+3*N292</f>
        <v>20</v>
      </c>
      <c r="P292" s="0" t="n">
        <f aca="true">RAND()</f>
        <v>0.997646641089435</v>
      </c>
      <c r="Q292" s="0" t="n">
        <f aca="true">RAND()</f>
        <v>0.0210324112463534</v>
      </c>
      <c r="R292" s="0" t="n">
        <f aca="false">IF($I292&lt;&gt;$O292,0,IF(P292&lt;Matchup!$B$39,7,IF(P292&lt;Matchup!$B$39+Matchup!$B$40,3,0)))</f>
        <v>0</v>
      </c>
      <c r="S292" s="0" t="n">
        <f aca="false">IF($I292&lt;&gt;$O292,0,IF(Q292&lt;Matchup!$C$39,7,IF(Q292&lt;Matchup!$C$39+Matchup!$C$40,3,0)))</f>
        <v>0</v>
      </c>
      <c r="T292" s="0" t="n">
        <f aca="false">I292+R292</f>
        <v>38</v>
      </c>
      <c r="U292" s="0" t="n">
        <f aca="false">O292+S292</f>
        <v>20</v>
      </c>
      <c r="V292" s="0" t="n">
        <f aca="false">T292-U292</f>
        <v>18</v>
      </c>
      <c r="W292" s="0" t="n">
        <f aca="false">T292+U292</f>
        <v>58</v>
      </c>
    </row>
    <row r="293" customFormat="false" ht="15" hidden="false" customHeight="false" outlineLevel="0" collapsed="false">
      <c r="A293" s="0" t="n">
        <v>290</v>
      </c>
      <c r="B293" s="0" t="n">
        <f aca="true">NORMINV(RAND(),1,Coefficients!$B$22)</f>
        <v>0.957918366030213</v>
      </c>
      <c r="C293" s="0" t="n">
        <f aca="true">MEDIAN(8,16,ROUND(NORMINV(RAND(),Coefficients!$B$20,Coefficients!$B$21),0))</f>
        <v>12</v>
      </c>
      <c r="D293" s="0" t="n">
        <f aca="true">CRITBINOM($C293,MIN(0.75,Matchup!$B$39*$B293),RAND())</f>
        <v>3</v>
      </c>
      <c r="E293" s="0" t="n">
        <f aca="true">CRITBINOM(D293,Coefficients!$B$30,RAND())</f>
        <v>2</v>
      </c>
      <c r="F293" s="0" t="n">
        <f aca="true">CRITBINOM(E293,Coefficients!$B$31,RAND())</f>
        <v>1</v>
      </c>
      <c r="G293" s="0" t="n">
        <f aca="true">CRITBINOM(MAX(0,D293-E293),1-Coefficients!$B$32,RAND())</f>
        <v>0</v>
      </c>
      <c r="H293" s="0" t="n">
        <f aca="true">CRITBINOM(MAX(0,$C293-D293),MIN(0.6,Matchup!$B$40*SQRT($B293)/(1-MIN(0.75,Matchup!$B$39*$B293))),RAND())</f>
        <v>0</v>
      </c>
      <c r="I293" s="0" t="n">
        <f aca="false">6*D293+(D293-E293-G293)+2*F293+3*H293</f>
        <v>21</v>
      </c>
      <c r="J293" s="0" t="n">
        <f aca="true">CRITBINOM($C293,MIN(0.75,Matchup!$C$39*$B293),RAND())</f>
        <v>4</v>
      </c>
      <c r="K293" s="0" t="n">
        <f aca="true">CRITBINOM(J293,Coefficients!$B$30,RAND())</f>
        <v>1</v>
      </c>
      <c r="L293" s="0" t="n">
        <f aca="true">CRITBINOM(K293,Coefficients!$B$31,RAND())</f>
        <v>0</v>
      </c>
      <c r="M293" s="0" t="n">
        <f aca="true">CRITBINOM(MAX(0,J293-K293),1-Coefficients!$B$32,RAND())</f>
        <v>0</v>
      </c>
      <c r="N293" s="0" t="n">
        <f aca="true">CRITBINOM(MAX(0,$C293-J293),MIN(0.6,Matchup!$C$40*SQRT($B293)/(1-MIN(0.75,Matchup!$C$39*$B293))),RAND())</f>
        <v>1</v>
      </c>
      <c r="O293" s="0" t="n">
        <f aca="false">6*J293+(J293-K293-M293)+2*L293+3*N293</f>
        <v>30</v>
      </c>
      <c r="P293" s="0" t="n">
        <f aca="true">RAND()</f>
        <v>0.0556390390439346</v>
      </c>
      <c r="Q293" s="0" t="n">
        <f aca="true">RAND()</f>
        <v>0.659294870887871</v>
      </c>
      <c r="R293" s="0" t="n">
        <f aca="false">IF($I293&lt;&gt;$O293,0,IF(P293&lt;Matchup!$B$39,7,IF(P293&lt;Matchup!$B$39+Matchup!$B$40,3,0)))</f>
        <v>0</v>
      </c>
      <c r="S293" s="0" t="n">
        <f aca="false">IF($I293&lt;&gt;$O293,0,IF(Q293&lt;Matchup!$C$39,7,IF(Q293&lt;Matchup!$C$39+Matchup!$C$40,3,0)))</f>
        <v>0</v>
      </c>
      <c r="T293" s="0" t="n">
        <f aca="false">I293+R293</f>
        <v>21</v>
      </c>
      <c r="U293" s="0" t="n">
        <f aca="false">O293+S293</f>
        <v>30</v>
      </c>
      <c r="V293" s="0" t="n">
        <f aca="false">T293-U293</f>
        <v>-9</v>
      </c>
      <c r="W293" s="0" t="n">
        <f aca="false">T293+U293</f>
        <v>51</v>
      </c>
    </row>
    <row r="294" customFormat="false" ht="15" hidden="false" customHeight="false" outlineLevel="0" collapsed="false">
      <c r="A294" s="0" t="n">
        <v>291</v>
      </c>
      <c r="B294" s="0" t="n">
        <f aca="true">NORMINV(RAND(),1,Coefficients!$B$22)</f>
        <v>1.09883327426516</v>
      </c>
      <c r="C294" s="0" t="n">
        <f aca="true">MEDIAN(8,16,ROUND(NORMINV(RAND(),Coefficients!$B$20,Coefficients!$B$21),0))</f>
        <v>11</v>
      </c>
      <c r="D294" s="0" t="n">
        <f aca="true">CRITBINOM($C294,MIN(0.75,Matchup!$B$39*$B294),RAND())</f>
        <v>5</v>
      </c>
      <c r="E294" s="0" t="n">
        <f aca="true">CRITBINOM(D294,Coefficients!$B$30,RAND())</f>
        <v>0</v>
      </c>
      <c r="F294" s="0" t="n">
        <f aca="true">CRITBINOM(E294,Coefficients!$B$31,RAND())</f>
        <v>0</v>
      </c>
      <c r="G294" s="0" t="n">
        <f aca="true">CRITBINOM(MAX(0,D294-E294),1-Coefficients!$B$32,RAND())</f>
        <v>0</v>
      </c>
      <c r="H294" s="0" t="n">
        <f aca="true">CRITBINOM(MAX(0,$C294-D294),MIN(0.6,Matchup!$B$40*SQRT($B294)/(1-MIN(0.75,Matchup!$B$39*$B294))),RAND())</f>
        <v>1</v>
      </c>
      <c r="I294" s="0" t="n">
        <f aca="false">6*D294+(D294-E294-G294)+2*F294+3*H294</f>
        <v>38</v>
      </c>
      <c r="J294" s="0" t="n">
        <f aca="true">CRITBINOM($C294,MIN(0.75,Matchup!$C$39*$B294),RAND())</f>
        <v>0</v>
      </c>
      <c r="K294" s="0" t="n">
        <f aca="true">CRITBINOM(J294,Coefficients!$B$30,RAND())</f>
        <v>0</v>
      </c>
      <c r="L294" s="0" t="n">
        <f aca="true">CRITBINOM(K294,Coefficients!$B$31,RAND())</f>
        <v>0</v>
      </c>
      <c r="M294" s="0" t="n">
        <f aca="true">CRITBINOM(MAX(0,J294-K294),1-Coefficients!$B$32,RAND())</f>
        <v>0</v>
      </c>
      <c r="N294" s="0" t="n">
        <f aca="true">CRITBINOM(MAX(0,$C294-J294),MIN(0.6,Matchup!$C$40*SQRT($B294)/(1-MIN(0.75,Matchup!$C$39*$B294))),RAND())</f>
        <v>2</v>
      </c>
      <c r="O294" s="0" t="n">
        <f aca="false">6*J294+(J294-K294-M294)+2*L294+3*N294</f>
        <v>6</v>
      </c>
      <c r="P294" s="0" t="n">
        <f aca="true">RAND()</f>
        <v>0.275605188665734</v>
      </c>
      <c r="Q294" s="0" t="n">
        <f aca="true">RAND()</f>
        <v>0.216913358969164</v>
      </c>
      <c r="R294" s="0" t="n">
        <f aca="false">IF($I294&lt;&gt;$O294,0,IF(P294&lt;Matchup!$B$39,7,IF(P294&lt;Matchup!$B$39+Matchup!$B$40,3,0)))</f>
        <v>0</v>
      </c>
      <c r="S294" s="0" t="n">
        <f aca="false">IF($I294&lt;&gt;$O294,0,IF(Q294&lt;Matchup!$C$39,7,IF(Q294&lt;Matchup!$C$39+Matchup!$C$40,3,0)))</f>
        <v>0</v>
      </c>
      <c r="T294" s="0" t="n">
        <f aca="false">I294+R294</f>
        <v>38</v>
      </c>
      <c r="U294" s="0" t="n">
        <f aca="false">O294+S294</f>
        <v>6</v>
      </c>
      <c r="V294" s="0" t="n">
        <f aca="false">T294-U294</f>
        <v>32</v>
      </c>
      <c r="W294" s="0" t="n">
        <f aca="false">T294+U294</f>
        <v>44</v>
      </c>
    </row>
    <row r="295" customFormat="false" ht="15" hidden="false" customHeight="false" outlineLevel="0" collapsed="false">
      <c r="A295" s="0" t="n">
        <v>292</v>
      </c>
      <c r="B295" s="0" t="n">
        <f aca="true">NORMINV(RAND(),1,Coefficients!$B$22)</f>
        <v>1.05939565967618</v>
      </c>
      <c r="C295" s="0" t="n">
        <f aca="true">MEDIAN(8,16,ROUND(NORMINV(RAND(),Coefficients!$B$20,Coefficients!$B$21),0))</f>
        <v>11</v>
      </c>
      <c r="D295" s="0" t="n">
        <f aca="true">CRITBINOM($C295,MIN(0.75,Matchup!$B$39*$B295),RAND())</f>
        <v>1</v>
      </c>
      <c r="E295" s="0" t="n">
        <f aca="true">CRITBINOM(D295,Coefficients!$B$30,RAND())</f>
        <v>0</v>
      </c>
      <c r="F295" s="0" t="n">
        <f aca="true">CRITBINOM(E295,Coefficients!$B$31,RAND())</f>
        <v>0</v>
      </c>
      <c r="G295" s="0" t="n">
        <f aca="true">CRITBINOM(MAX(0,D295-E295),1-Coefficients!$B$32,RAND())</f>
        <v>0</v>
      </c>
      <c r="H295" s="0" t="n">
        <f aca="true">CRITBINOM(MAX(0,$C295-D295),MIN(0.6,Matchup!$B$40*SQRT($B295)/(1-MIN(0.75,Matchup!$B$39*$B295))),RAND())</f>
        <v>2</v>
      </c>
      <c r="I295" s="0" t="n">
        <f aca="false">6*D295+(D295-E295-G295)+2*F295+3*H295</f>
        <v>13</v>
      </c>
      <c r="J295" s="0" t="n">
        <f aca="true">CRITBINOM($C295,MIN(0.75,Matchup!$C$39*$B295),RAND())</f>
        <v>1</v>
      </c>
      <c r="K295" s="0" t="n">
        <f aca="true">CRITBINOM(J295,Coefficients!$B$30,RAND())</f>
        <v>0</v>
      </c>
      <c r="L295" s="0" t="n">
        <f aca="true">CRITBINOM(K295,Coefficients!$B$31,RAND())</f>
        <v>0</v>
      </c>
      <c r="M295" s="0" t="n">
        <f aca="true">CRITBINOM(MAX(0,J295-K295),1-Coefficients!$B$32,RAND())</f>
        <v>0</v>
      </c>
      <c r="N295" s="0" t="n">
        <f aca="true">CRITBINOM(MAX(0,$C295-J295),MIN(0.6,Matchup!$C$40*SQRT($B295)/(1-MIN(0.75,Matchup!$C$39*$B295))),RAND())</f>
        <v>3</v>
      </c>
      <c r="O295" s="0" t="n">
        <f aca="false">6*J295+(J295-K295-M295)+2*L295+3*N295</f>
        <v>16</v>
      </c>
      <c r="P295" s="0" t="n">
        <f aca="true">RAND()</f>
        <v>0.340005311494733</v>
      </c>
      <c r="Q295" s="0" t="n">
        <f aca="true">RAND()</f>
        <v>0.133544875616358</v>
      </c>
      <c r="R295" s="0" t="n">
        <f aca="false">IF($I295&lt;&gt;$O295,0,IF(P295&lt;Matchup!$B$39,7,IF(P295&lt;Matchup!$B$39+Matchup!$B$40,3,0)))</f>
        <v>0</v>
      </c>
      <c r="S295" s="0" t="n">
        <f aca="false">IF($I295&lt;&gt;$O295,0,IF(Q295&lt;Matchup!$C$39,7,IF(Q295&lt;Matchup!$C$39+Matchup!$C$40,3,0)))</f>
        <v>0</v>
      </c>
      <c r="T295" s="0" t="n">
        <f aca="false">I295+R295</f>
        <v>13</v>
      </c>
      <c r="U295" s="0" t="n">
        <f aca="false">O295+S295</f>
        <v>16</v>
      </c>
      <c r="V295" s="0" t="n">
        <f aca="false">T295-U295</f>
        <v>-3</v>
      </c>
      <c r="W295" s="0" t="n">
        <f aca="false">T295+U295</f>
        <v>29</v>
      </c>
    </row>
    <row r="296" customFormat="false" ht="15" hidden="false" customHeight="false" outlineLevel="0" collapsed="false">
      <c r="A296" s="0" t="n">
        <v>293</v>
      </c>
      <c r="B296" s="0" t="n">
        <f aca="true">NORMINV(RAND(),1,Coefficients!$B$22)</f>
        <v>0.936228557589353</v>
      </c>
      <c r="C296" s="0" t="n">
        <f aca="true">MEDIAN(8,16,ROUND(NORMINV(RAND(),Coefficients!$B$20,Coefficients!$B$21),0))</f>
        <v>12</v>
      </c>
      <c r="D296" s="0" t="n">
        <f aca="true">CRITBINOM($C296,MIN(0.75,Matchup!$B$39*$B296),RAND())</f>
        <v>3</v>
      </c>
      <c r="E296" s="0" t="n">
        <f aca="true">CRITBINOM(D296,Coefficients!$B$30,RAND())</f>
        <v>0</v>
      </c>
      <c r="F296" s="0" t="n">
        <f aca="true">CRITBINOM(E296,Coefficients!$B$31,RAND())</f>
        <v>0</v>
      </c>
      <c r="G296" s="0" t="n">
        <f aca="true">CRITBINOM(MAX(0,D296-E296),1-Coefficients!$B$32,RAND())</f>
        <v>0</v>
      </c>
      <c r="H296" s="0" t="n">
        <f aca="true">CRITBINOM(MAX(0,$C296-D296),MIN(0.6,Matchup!$B$40*SQRT($B296)/(1-MIN(0.75,Matchup!$B$39*$B296))),RAND())</f>
        <v>0</v>
      </c>
      <c r="I296" s="0" t="n">
        <f aca="false">6*D296+(D296-E296-G296)+2*F296+3*H296</f>
        <v>21</v>
      </c>
      <c r="J296" s="0" t="n">
        <f aca="true">CRITBINOM($C296,MIN(0.75,Matchup!$C$39*$B296),RAND())</f>
        <v>2</v>
      </c>
      <c r="K296" s="0" t="n">
        <f aca="true">CRITBINOM(J296,Coefficients!$B$30,RAND())</f>
        <v>0</v>
      </c>
      <c r="L296" s="0" t="n">
        <f aca="true">CRITBINOM(K296,Coefficients!$B$31,RAND())</f>
        <v>0</v>
      </c>
      <c r="M296" s="0" t="n">
        <f aca="true">CRITBINOM(MAX(0,J296-K296),1-Coefficients!$B$32,RAND())</f>
        <v>0</v>
      </c>
      <c r="N296" s="0" t="n">
        <f aca="true">CRITBINOM(MAX(0,$C296-J296),MIN(0.6,Matchup!$C$40*SQRT($B296)/(1-MIN(0.75,Matchup!$C$39*$B296))),RAND())</f>
        <v>0</v>
      </c>
      <c r="O296" s="0" t="n">
        <f aca="false">6*J296+(J296-K296-M296)+2*L296+3*N296</f>
        <v>14</v>
      </c>
      <c r="P296" s="0" t="n">
        <f aca="true">RAND()</f>
        <v>0.088854122241213</v>
      </c>
      <c r="Q296" s="0" t="n">
        <f aca="true">RAND()</f>
        <v>0.622549805293353</v>
      </c>
      <c r="R296" s="0" t="n">
        <f aca="false">IF($I296&lt;&gt;$O296,0,IF(P296&lt;Matchup!$B$39,7,IF(P296&lt;Matchup!$B$39+Matchup!$B$40,3,0)))</f>
        <v>0</v>
      </c>
      <c r="S296" s="0" t="n">
        <f aca="false">IF($I296&lt;&gt;$O296,0,IF(Q296&lt;Matchup!$C$39,7,IF(Q296&lt;Matchup!$C$39+Matchup!$C$40,3,0)))</f>
        <v>0</v>
      </c>
      <c r="T296" s="0" t="n">
        <f aca="false">I296+R296</f>
        <v>21</v>
      </c>
      <c r="U296" s="0" t="n">
        <f aca="false">O296+S296</f>
        <v>14</v>
      </c>
      <c r="V296" s="0" t="n">
        <f aca="false">T296-U296</f>
        <v>7</v>
      </c>
      <c r="W296" s="0" t="n">
        <f aca="false">T296+U296</f>
        <v>35</v>
      </c>
    </row>
    <row r="297" customFormat="false" ht="15" hidden="false" customHeight="false" outlineLevel="0" collapsed="false">
      <c r="A297" s="0" t="n">
        <v>294</v>
      </c>
      <c r="B297" s="0" t="n">
        <f aca="true">NORMINV(RAND(),1,Coefficients!$B$22)</f>
        <v>0.981084106421153</v>
      </c>
      <c r="C297" s="0" t="n">
        <f aca="true">MEDIAN(8,16,ROUND(NORMINV(RAND(),Coefficients!$B$20,Coefficients!$B$21),0))</f>
        <v>13</v>
      </c>
      <c r="D297" s="0" t="n">
        <f aca="true">CRITBINOM($C297,MIN(0.75,Matchup!$B$39*$B297),RAND())</f>
        <v>4</v>
      </c>
      <c r="E297" s="0" t="n">
        <f aca="true">CRITBINOM(D297,Coefficients!$B$30,RAND())</f>
        <v>1</v>
      </c>
      <c r="F297" s="0" t="n">
        <f aca="true">CRITBINOM(E297,Coefficients!$B$31,RAND())</f>
        <v>1</v>
      </c>
      <c r="G297" s="0" t="n">
        <f aca="true">CRITBINOM(MAX(0,D297-E297),1-Coefficients!$B$32,RAND())</f>
        <v>0</v>
      </c>
      <c r="H297" s="0" t="n">
        <f aca="true">CRITBINOM(MAX(0,$C297-D297),MIN(0.6,Matchup!$B$40*SQRT($B297)/(1-MIN(0.75,Matchup!$B$39*$B297))),RAND())</f>
        <v>1</v>
      </c>
      <c r="I297" s="0" t="n">
        <f aca="false">6*D297+(D297-E297-G297)+2*F297+3*H297</f>
        <v>32</v>
      </c>
      <c r="J297" s="0" t="n">
        <f aca="true">CRITBINOM($C297,MIN(0.75,Matchup!$C$39*$B297),RAND())</f>
        <v>2</v>
      </c>
      <c r="K297" s="0" t="n">
        <f aca="true">CRITBINOM(J297,Coefficients!$B$30,RAND())</f>
        <v>0</v>
      </c>
      <c r="L297" s="0" t="n">
        <f aca="true">CRITBINOM(K297,Coefficients!$B$31,RAND())</f>
        <v>0</v>
      </c>
      <c r="M297" s="0" t="n">
        <f aca="true">CRITBINOM(MAX(0,J297-K297),1-Coefficients!$B$32,RAND())</f>
        <v>0</v>
      </c>
      <c r="N297" s="0" t="n">
        <f aca="true">CRITBINOM(MAX(0,$C297-J297),MIN(0.6,Matchup!$C$40*SQRT($B297)/(1-MIN(0.75,Matchup!$C$39*$B297))),RAND())</f>
        <v>4</v>
      </c>
      <c r="O297" s="0" t="n">
        <f aca="false">6*J297+(J297-K297-M297)+2*L297+3*N297</f>
        <v>26</v>
      </c>
      <c r="P297" s="0" t="n">
        <f aca="true">RAND()</f>
        <v>0.127046752214222</v>
      </c>
      <c r="Q297" s="0" t="n">
        <f aca="true">RAND()</f>
        <v>0.346666256339146</v>
      </c>
      <c r="R297" s="0" t="n">
        <f aca="false">IF($I297&lt;&gt;$O297,0,IF(P297&lt;Matchup!$B$39,7,IF(P297&lt;Matchup!$B$39+Matchup!$B$40,3,0)))</f>
        <v>0</v>
      </c>
      <c r="S297" s="0" t="n">
        <f aca="false">IF($I297&lt;&gt;$O297,0,IF(Q297&lt;Matchup!$C$39,7,IF(Q297&lt;Matchup!$C$39+Matchup!$C$40,3,0)))</f>
        <v>0</v>
      </c>
      <c r="T297" s="0" t="n">
        <f aca="false">I297+R297</f>
        <v>32</v>
      </c>
      <c r="U297" s="0" t="n">
        <f aca="false">O297+S297</f>
        <v>26</v>
      </c>
      <c r="V297" s="0" t="n">
        <f aca="false">T297-U297</f>
        <v>6</v>
      </c>
      <c r="W297" s="0" t="n">
        <f aca="false">T297+U297</f>
        <v>58</v>
      </c>
    </row>
    <row r="298" customFormat="false" ht="15" hidden="false" customHeight="false" outlineLevel="0" collapsed="false">
      <c r="A298" s="0" t="n">
        <v>295</v>
      </c>
      <c r="B298" s="0" t="n">
        <f aca="true">NORMINV(RAND(),1,Coefficients!$B$22)</f>
        <v>0.99624666428889</v>
      </c>
      <c r="C298" s="0" t="n">
        <f aca="true">MEDIAN(8,16,ROUND(NORMINV(RAND(),Coefficients!$B$20,Coefficients!$B$21),0))</f>
        <v>14</v>
      </c>
      <c r="D298" s="0" t="n">
        <f aca="true">CRITBINOM($C298,MIN(0.75,Matchup!$B$39*$B298),RAND())</f>
        <v>4</v>
      </c>
      <c r="E298" s="0" t="n">
        <f aca="true">CRITBINOM(D298,Coefficients!$B$30,RAND())</f>
        <v>1</v>
      </c>
      <c r="F298" s="0" t="n">
        <f aca="true">CRITBINOM(E298,Coefficients!$B$31,RAND())</f>
        <v>0</v>
      </c>
      <c r="G298" s="0" t="n">
        <f aca="true">CRITBINOM(MAX(0,D298-E298),1-Coefficients!$B$32,RAND())</f>
        <v>0</v>
      </c>
      <c r="H298" s="0" t="n">
        <f aca="true">CRITBINOM(MAX(0,$C298-D298),MIN(0.6,Matchup!$B$40*SQRT($B298)/(1-MIN(0.75,Matchup!$B$39*$B298))),RAND())</f>
        <v>2</v>
      </c>
      <c r="I298" s="0" t="n">
        <f aca="false">6*D298+(D298-E298-G298)+2*F298+3*H298</f>
        <v>33</v>
      </c>
      <c r="J298" s="0" t="n">
        <f aca="true">CRITBINOM($C298,MIN(0.75,Matchup!$C$39*$B298),RAND())</f>
        <v>1</v>
      </c>
      <c r="K298" s="0" t="n">
        <f aca="true">CRITBINOM(J298,Coefficients!$B$30,RAND())</f>
        <v>0</v>
      </c>
      <c r="L298" s="0" t="n">
        <f aca="true">CRITBINOM(K298,Coefficients!$B$31,RAND())</f>
        <v>0</v>
      </c>
      <c r="M298" s="0" t="n">
        <f aca="true">CRITBINOM(MAX(0,J298-K298),1-Coefficients!$B$32,RAND())</f>
        <v>0</v>
      </c>
      <c r="N298" s="0" t="n">
        <f aca="true">CRITBINOM(MAX(0,$C298-J298),MIN(0.6,Matchup!$C$40*SQRT($B298)/(1-MIN(0.75,Matchup!$C$39*$B298))),RAND())</f>
        <v>1</v>
      </c>
      <c r="O298" s="0" t="n">
        <f aca="false">6*J298+(J298-K298-M298)+2*L298+3*N298</f>
        <v>10</v>
      </c>
      <c r="P298" s="0" t="n">
        <f aca="true">RAND()</f>
        <v>0.82093165726837</v>
      </c>
      <c r="Q298" s="0" t="n">
        <f aca="true">RAND()</f>
        <v>0.687142651476452</v>
      </c>
      <c r="R298" s="0" t="n">
        <f aca="false">IF($I298&lt;&gt;$O298,0,IF(P298&lt;Matchup!$B$39,7,IF(P298&lt;Matchup!$B$39+Matchup!$B$40,3,0)))</f>
        <v>0</v>
      </c>
      <c r="S298" s="0" t="n">
        <f aca="false">IF($I298&lt;&gt;$O298,0,IF(Q298&lt;Matchup!$C$39,7,IF(Q298&lt;Matchup!$C$39+Matchup!$C$40,3,0)))</f>
        <v>0</v>
      </c>
      <c r="T298" s="0" t="n">
        <f aca="false">I298+R298</f>
        <v>33</v>
      </c>
      <c r="U298" s="0" t="n">
        <f aca="false">O298+S298</f>
        <v>10</v>
      </c>
      <c r="V298" s="0" t="n">
        <f aca="false">T298-U298</f>
        <v>23</v>
      </c>
      <c r="W298" s="0" t="n">
        <f aca="false">T298+U298</f>
        <v>43</v>
      </c>
    </row>
    <row r="299" customFormat="false" ht="15" hidden="false" customHeight="false" outlineLevel="0" collapsed="false">
      <c r="A299" s="0" t="n">
        <v>296</v>
      </c>
      <c r="B299" s="0" t="n">
        <f aca="true">NORMINV(RAND(),1,Coefficients!$B$22)</f>
        <v>0.94925698552114</v>
      </c>
      <c r="C299" s="0" t="n">
        <f aca="true">MEDIAN(8,16,ROUND(NORMINV(RAND(),Coefficients!$B$20,Coefficients!$B$21),0))</f>
        <v>10</v>
      </c>
      <c r="D299" s="0" t="n">
        <f aca="true">CRITBINOM($C299,MIN(0.75,Matchup!$B$39*$B299),RAND())</f>
        <v>3</v>
      </c>
      <c r="E299" s="0" t="n">
        <f aca="true">CRITBINOM(D299,Coefficients!$B$30,RAND())</f>
        <v>0</v>
      </c>
      <c r="F299" s="0" t="n">
        <f aca="true">CRITBINOM(E299,Coefficients!$B$31,RAND())</f>
        <v>0</v>
      </c>
      <c r="G299" s="0" t="n">
        <f aca="true">CRITBINOM(MAX(0,D299-E299),1-Coefficients!$B$32,RAND())</f>
        <v>0</v>
      </c>
      <c r="H299" s="0" t="n">
        <f aca="true">CRITBINOM(MAX(0,$C299-D299),MIN(0.6,Matchup!$B$40*SQRT($B299)/(1-MIN(0.75,Matchup!$B$39*$B299))),RAND())</f>
        <v>1</v>
      </c>
      <c r="I299" s="0" t="n">
        <f aca="false">6*D299+(D299-E299-G299)+2*F299+3*H299</f>
        <v>24</v>
      </c>
      <c r="J299" s="0" t="n">
        <f aca="true">CRITBINOM($C299,MIN(0.75,Matchup!$C$39*$B299),RAND())</f>
        <v>2</v>
      </c>
      <c r="K299" s="0" t="n">
        <f aca="true">CRITBINOM(J299,Coefficients!$B$30,RAND())</f>
        <v>0</v>
      </c>
      <c r="L299" s="0" t="n">
        <f aca="true">CRITBINOM(K299,Coefficients!$B$31,RAND())</f>
        <v>0</v>
      </c>
      <c r="M299" s="0" t="n">
        <f aca="true">CRITBINOM(MAX(0,J299-K299),1-Coefficients!$B$32,RAND())</f>
        <v>0</v>
      </c>
      <c r="N299" s="0" t="n">
        <f aca="true">CRITBINOM(MAX(0,$C299-J299),MIN(0.6,Matchup!$C$40*SQRT($B299)/(1-MIN(0.75,Matchup!$C$39*$B299))),RAND())</f>
        <v>3</v>
      </c>
      <c r="O299" s="0" t="n">
        <f aca="false">6*J299+(J299-K299-M299)+2*L299+3*N299</f>
        <v>23</v>
      </c>
      <c r="P299" s="0" t="n">
        <f aca="true">RAND()</f>
        <v>0.643833123347128</v>
      </c>
      <c r="Q299" s="0" t="n">
        <f aca="true">RAND()</f>
        <v>0.406939469882108</v>
      </c>
      <c r="R299" s="0" t="n">
        <f aca="false">IF($I299&lt;&gt;$O299,0,IF(P299&lt;Matchup!$B$39,7,IF(P299&lt;Matchup!$B$39+Matchup!$B$40,3,0)))</f>
        <v>0</v>
      </c>
      <c r="S299" s="0" t="n">
        <f aca="false">IF($I299&lt;&gt;$O299,0,IF(Q299&lt;Matchup!$C$39,7,IF(Q299&lt;Matchup!$C$39+Matchup!$C$40,3,0)))</f>
        <v>0</v>
      </c>
      <c r="T299" s="0" t="n">
        <f aca="false">I299+R299</f>
        <v>24</v>
      </c>
      <c r="U299" s="0" t="n">
        <f aca="false">O299+S299</f>
        <v>23</v>
      </c>
      <c r="V299" s="0" t="n">
        <f aca="false">T299-U299</f>
        <v>1</v>
      </c>
      <c r="W299" s="0" t="n">
        <f aca="false">T299+U299</f>
        <v>47</v>
      </c>
    </row>
    <row r="300" customFormat="false" ht="15" hidden="false" customHeight="false" outlineLevel="0" collapsed="false">
      <c r="A300" s="0" t="n">
        <v>297</v>
      </c>
      <c r="B300" s="0" t="n">
        <f aca="true">NORMINV(RAND(),1,Coefficients!$B$22)</f>
        <v>0.899730945933914</v>
      </c>
      <c r="C300" s="0" t="n">
        <f aca="true">MEDIAN(8,16,ROUND(NORMINV(RAND(),Coefficients!$B$20,Coefficients!$B$21),0))</f>
        <v>11</v>
      </c>
      <c r="D300" s="0" t="n">
        <f aca="true">CRITBINOM($C300,MIN(0.75,Matchup!$B$39*$B300),RAND())</f>
        <v>4</v>
      </c>
      <c r="E300" s="0" t="n">
        <f aca="true">CRITBINOM(D300,Coefficients!$B$30,RAND())</f>
        <v>1</v>
      </c>
      <c r="F300" s="0" t="n">
        <f aca="true">CRITBINOM(E300,Coefficients!$B$31,RAND())</f>
        <v>0</v>
      </c>
      <c r="G300" s="0" t="n">
        <f aca="true">CRITBINOM(MAX(0,D300-E300),1-Coefficients!$B$32,RAND())</f>
        <v>0</v>
      </c>
      <c r="H300" s="0" t="n">
        <f aca="true">CRITBINOM(MAX(0,$C300-D300),MIN(0.6,Matchup!$B$40*SQRT($B300)/(1-MIN(0.75,Matchup!$B$39*$B300))),RAND())</f>
        <v>1</v>
      </c>
      <c r="I300" s="0" t="n">
        <f aca="false">6*D300+(D300-E300-G300)+2*F300+3*H300</f>
        <v>30</v>
      </c>
      <c r="J300" s="0" t="n">
        <f aca="true">CRITBINOM($C300,MIN(0.75,Matchup!$C$39*$B300),RAND())</f>
        <v>2</v>
      </c>
      <c r="K300" s="0" t="n">
        <f aca="true">CRITBINOM(J300,Coefficients!$B$30,RAND())</f>
        <v>0</v>
      </c>
      <c r="L300" s="0" t="n">
        <f aca="true">CRITBINOM(K300,Coefficients!$B$31,RAND())</f>
        <v>0</v>
      </c>
      <c r="M300" s="0" t="n">
        <f aca="true">CRITBINOM(MAX(0,J300-K300),1-Coefficients!$B$32,RAND())</f>
        <v>1</v>
      </c>
      <c r="N300" s="0" t="n">
        <f aca="true">CRITBINOM(MAX(0,$C300-J300),MIN(0.6,Matchup!$C$40*SQRT($B300)/(1-MIN(0.75,Matchup!$C$39*$B300))),RAND())</f>
        <v>2</v>
      </c>
      <c r="O300" s="0" t="n">
        <f aca="false">6*J300+(J300-K300-M300)+2*L300+3*N300</f>
        <v>19</v>
      </c>
      <c r="P300" s="0" t="n">
        <f aca="true">RAND()</f>
        <v>0.65589268321211</v>
      </c>
      <c r="Q300" s="0" t="n">
        <f aca="true">RAND()</f>
        <v>0.380444704210205</v>
      </c>
      <c r="R300" s="0" t="n">
        <f aca="false">IF($I300&lt;&gt;$O300,0,IF(P300&lt;Matchup!$B$39,7,IF(P300&lt;Matchup!$B$39+Matchup!$B$40,3,0)))</f>
        <v>0</v>
      </c>
      <c r="S300" s="0" t="n">
        <f aca="false">IF($I300&lt;&gt;$O300,0,IF(Q300&lt;Matchup!$C$39,7,IF(Q300&lt;Matchup!$C$39+Matchup!$C$40,3,0)))</f>
        <v>0</v>
      </c>
      <c r="T300" s="0" t="n">
        <f aca="false">I300+R300</f>
        <v>30</v>
      </c>
      <c r="U300" s="0" t="n">
        <f aca="false">O300+S300</f>
        <v>19</v>
      </c>
      <c r="V300" s="0" t="n">
        <f aca="false">T300-U300</f>
        <v>11</v>
      </c>
      <c r="W300" s="0" t="n">
        <f aca="false">T300+U300</f>
        <v>49</v>
      </c>
    </row>
    <row r="301" customFormat="false" ht="15" hidden="false" customHeight="false" outlineLevel="0" collapsed="false">
      <c r="A301" s="0" t="n">
        <v>298</v>
      </c>
      <c r="B301" s="0" t="n">
        <f aca="true">NORMINV(RAND(),1,Coefficients!$B$22)</f>
        <v>1.13080957712386</v>
      </c>
      <c r="C301" s="0" t="n">
        <f aca="true">MEDIAN(8,16,ROUND(NORMINV(RAND(),Coefficients!$B$20,Coefficients!$B$21),0))</f>
        <v>11</v>
      </c>
      <c r="D301" s="0" t="n">
        <f aca="true">CRITBINOM($C301,MIN(0.75,Matchup!$B$39*$B301),RAND())</f>
        <v>5</v>
      </c>
      <c r="E301" s="0" t="n">
        <f aca="true">CRITBINOM(D301,Coefficients!$B$30,RAND())</f>
        <v>0</v>
      </c>
      <c r="F301" s="0" t="n">
        <f aca="true">CRITBINOM(E301,Coefficients!$B$31,RAND())</f>
        <v>0</v>
      </c>
      <c r="G301" s="0" t="n">
        <f aca="true">CRITBINOM(MAX(0,D301-E301),1-Coefficients!$B$32,RAND())</f>
        <v>0</v>
      </c>
      <c r="H301" s="0" t="n">
        <f aca="true">CRITBINOM(MAX(0,$C301-D301),MIN(0.6,Matchup!$B$40*SQRT($B301)/(1-MIN(0.75,Matchup!$B$39*$B301))),RAND())</f>
        <v>1</v>
      </c>
      <c r="I301" s="0" t="n">
        <f aca="false">6*D301+(D301-E301-G301)+2*F301+3*H301</f>
        <v>38</v>
      </c>
      <c r="J301" s="0" t="n">
        <f aca="true">CRITBINOM($C301,MIN(0.75,Matchup!$C$39*$B301),RAND())</f>
        <v>4</v>
      </c>
      <c r="K301" s="0" t="n">
        <f aca="true">CRITBINOM(J301,Coefficients!$B$30,RAND())</f>
        <v>1</v>
      </c>
      <c r="L301" s="0" t="n">
        <f aca="true">CRITBINOM(K301,Coefficients!$B$31,RAND())</f>
        <v>0</v>
      </c>
      <c r="M301" s="0" t="n">
        <f aca="true">CRITBINOM(MAX(0,J301-K301),1-Coefficients!$B$32,RAND())</f>
        <v>1</v>
      </c>
      <c r="N301" s="0" t="n">
        <f aca="true">CRITBINOM(MAX(0,$C301-J301),MIN(0.6,Matchup!$C$40*SQRT($B301)/(1-MIN(0.75,Matchup!$C$39*$B301))),RAND())</f>
        <v>1</v>
      </c>
      <c r="O301" s="0" t="n">
        <f aca="false">6*J301+(J301-K301-M301)+2*L301+3*N301</f>
        <v>29</v>
      </c>
      <c r="P301" s="0" t="n">
        <f aca="true">RAND()</f>
        <v>0.434445697042001</v>
      </c>
      <c r="Q301" s="0" t="n">
        <f aca="true">RAND()</f>
        <v>0.850442385290414</v>
      </c>
      <c r="R301" s="0" t="n">
        <f aca="false">IF($I301&lt;&gt;$O301,0,IF(P301&lt;Matchup!$B$39,7,IF(P301&lt;Matchup!$B$39+Matchup!$B$40,3,0)))</f>
        <v>0</v>
      </c>
      <c r="S301" s="0" t="n">
        <f aca="false">IF($I301&lt;&gt;$O301,0,IF(Q301&lt;Matchup!$C$39,7,IF(Q301&lt;Matchup!$C$39+Matchup!$C$40,3,0)))</f>
        <v>0</v>
      </c>
      <c r="T301" s="0" t="n">
        <f aca="false">I301+R301</f>
        <v>38</v>
      </c>
      <c r="U301" s="0" t="n">
        <f aca="false">O301+S301</f>
        <v>29</v>
      </c>
      <c r="V301" s="0" t="n">
        <f aca="false">T301-U301</f>
        <v>9</v>
      </c>
      <c r="W301" s="0" t="n">
        <f aca="false">T301+U301</f>
        <v>67</v>
      </c>
    </row>
    <row r="302" customFormat="false" ht="15" hidden="false" customHeight="false" outlineLevel="0" collapsed="false">
      <c r="A302" s="0" t="n">
        <v>299</v>
      </c>
      <c r="B302" s="0" t="n">
        <f aca="true">NORMINV(RAND(),1,Coefficients!$B$22)</f>
        <v>0.885273441633261</v>
      </c>
      <c r="C302" s="0" t="n">
        <f aca="true">MEDIAN(8,16,ROUND(NORMINV(RAND(),Coefficients!$B$20,Coefficients!$B$21),0))</f>
        <v>11</v>
      </c>
      <c r="D302" s="0" t="n">
        <f aca="true">CRITBINOM($C302,MIN(0.75,Matchup!$B$39*$B302),RAND())</f>
        <v>2</v>
      </c>
      <c r="E302" s="0" t="n">
        <f aca="true">CRITBINOM(D302,Coefficients!$B$30,RAND())</f>
        <v>0</v>
      </c>
      <c r="F302" s="0" t="n">
        <f aca="true">CRITBINOM(E302,Coefficients!$B$31,RAND())</f>
        <v>0</v>
      </c>
      <c r="G302" s="0" t="n">
        <f aca="true">CRITBINOM(MAX(0,D302-E302),1-Coefficients!$B$32,RAND())</f>
        <v>0</v>
      </c>
      <c r="H302" s="0" t="n">
        <f aca="true">CRITBINOM(MAX(0,$C302-D302),MIN(0.6,Matchup!$B$40*SQRT($B302)/(1-MIN(0.75,Matchup!$B$39*$B302))),RAND())</f>
        <v>2</v>
      </c>
      <c r="I302" s="0" t="n">
        <f aca="false">6*D302+(D302-E302-G302)+2*F302+3*H302</f>
        <v>20</v>
      </c>
      <c r="J302" s="0" t="n">
        <f aca="true">CRITBINOM($C302,MIN(0.75,Matchup!$C$39*$B302),RAND())</f>
        <v>3</v>
      </c>
      <c r="K302" s="0" t="n">
        <f aca="true">CRITBINOM(J302,Coefficients!$B$30,RAND())</f>
        <v>0</v>
      </c>
      <c r="L302" s="0" t="n">
        <f aca="true">CRITBINOM(K302,Coefficients!$B$31,RAND())</f>
        <v>0</v>
      </c>
      <c r="M302" s="0" t="n">
        <f aca="true">CRITBINOM(MAX(0,J302-K302),1-Coefficients!$B$32,RAND())</f>
        <v>0</v>
      </c>
      <c r="N302" s="0" t="n">
        <f aca="true">CRITBINOM(MAX(0,$C302-J302),MIN(0.6,Matchup!$C$40*SQRT($B302)/(1-MIN(0.75,Matchup!$C$39*$B302))),RAND())</f>
        <v>0</v>
      </c>
      <c r="O302" s="0" t="n">
        <f aca="false">6*J302+(J302-K302-M302)+2*L302+3*N302</f>
        <v>21</v>
      </c>
      <c r="P302" s="0" t="n">
        <f aca="true">RAND()</f>
        <v>0.0689406584825586</v>
      </c>
      <c r="Q302" s="0" t="n">
        <f aca="true">RAND()</f>
        <v>0.317369610608883</v>
      </c>
      <c r="R302" s="0" t="n">
        <f aca="false">IF($I302&lt;&gt;$O302,0,IF(P302&lt;Matchup!$B$39,7,IF(P302&lt;Matchup!$B$39+Matchup!$B$40,3,0)))</f>
        <v>0</v>
      </c>
      <c r="S302" s="0" t="n">
        <f aca="false">IF($I302&lt;&gt;$O302,0,IF(Q302&lt;Matchup!$C$39,7,IF(Q302&lt;Matchup!$C$39+Matchup!$C$40,3,0)))</f>
        <v>0</v>
      </c>
      <c r="T302" s="0" t="n">
        <f aca="false">I302+R302</f>
        <v>20</v>
      </c>
      <c r="U302" s="0" t="n">
        <f aca="false">O302+S302</f>
        <v>21</v>
      </c>
      <c r="V302" s="0" t="n">
        <f aca="false">T302-U302</f>
        <v>-1</v>
      </c>
      <c r="W302" s="0" t="n">
        <f aca="false">T302+U302</f>
        <v>41</v>
      </c>
    </row>
    <row r="303" customFormat="false" ht="15" hidden="false" customHeight="false" outlineLevel="0" collapsed="false">
      <c r="A303" s="0" t="n">
        <v>300</v>
      </c>
      <c r="B303" s="0" t="n">
        <f aca="true">NORMINV(RAND(),1,Coefficients!$B$22)</f>
        <v>1.06026139614121</v>
      </c>
      <c r="C303" s="0" t="n">
        <f aca="true">MEDIAN(8,16,ROUND(NORMINV(RAND(),Coefficients!$B$20,Coefficients!$B$21),0))</f>
        <v>10</v>
      </c>
      <c r="D303" s="0" t="n">
        <f aca="true">CRITBINOM($C303,MIN(0.75,Matchup!$B$39*$B303),RAND())</f>
        <v>3</v>
      </c>
      <c r="E303" s="0" t="n">
        <f aca="true">CRITBINOM(D303,Coefficients!$B$30,RAND())</f>
        <v>1</v>
      </c>
      <c r="F303" s="0" t="n">
        <f aca="true">CRITBINOM(E303,Coefficients!$B$31,RAND())</f>
        <v>0</v>
      </c>
      <c r="G303" s="0" t="n">
        <f aca="true">CRITBINOM(MAX(0,D303-E303),1-Coefficients!$B$32,RAND())</f>
        <v>0</v>
      </c>
      <c r="H303" s="0" t="n">
        <f aca="true">CRITBINOM(MAX(0,$C303-D303),MIN(0.6,Matchup!$B$40*SQRT($B303)/(1-MIN(0.75,Matchup!$B$39*$B303))),RAND())</f>
        <v>0</v>
      </c>
      <c r="I303" s="0" t="n">
        <f aca="false">6*D303+(D303-E303-G303)+2*F303+3*H303</f>
        <v>20</v>
      </c>
      <c r="J303" s="0" t="n">
        <f aca="true">CRITBINOM($C303,MIN(0.75,Matchup!$C$39*$B303),RAND())</f>
        <v>1</v>
      </c>
      <c r="K303" s="0" t="n">
        <f aca="true">CRITBINOM(J303,Coefficients!$B$30,RAND())</f>
        <v>0</v>
      </c>
      <c r="L303" s="0" t="n">
        <f aca="true">CRITBINOM(K303,Coefficients!$B$31,RAND())</f>
        <v>0</v>
      </c>
      <c r="M303" s="0" t="n">
        <f aca="true">CRITBINOM(MAX(0,J303-K303),1-Coefficients!$B$32,RAND())</f>
        <v>0</v>
      </c>
      <c r="N303" s="0" t="n">
        <f aca="true">CRITBINOM(MAX(0,$C303-J303),MIN(0.6,Matchup!$C$40*SQRT($B303)/(1-MIN(0.75,Matchup!$C$39*$B303))),RAND())</f>
        <v>2</v>
      </c>
      <c r="O303" s="0" t="n">
        <f aca="false">6*J303+(J303-K303-M303)+2*L303+3*N303</f>
        <v>13</v>
      </c>
      <c r="P303" s="0" t="n">
        <f aca="true">RAND()</f>
        <v>0.432516483898111</v>
      </c>
      <c r="Q303" s="0" t="n">
        <f aca="true">RAND()</f>
        <v>0.028611759537571</v>
      </c>
      <c r="R303" s="0" t="n">
        <f aca="false">IF($I303&lt;&gt;$O303,0,IF(P303&lt;Matchup!$B$39,7,IF(P303&lt;Matchup!$B$39+Matchup!$B$40,3,0)))</f>
        <v>0</v>
      </c>
      <c r="S303" s="0" t="n">
        <f aca="false">IF($I303&lt;&gt;$O303,0,IF(Q303&lt;Matchup!$C$39,7,IF(Q303&lt;Matchup!$C$39+Matchup!$C$40,3,0)))</f>
        <v>0</v>
      </c>
      <c r="T303" s="0" t="n">
        <f aca="false">I303+R303</f>
        <v>20</v>
      </c>
      <c r="U303" s="0" t="n">
        <f aca="false">O303+S303</f>
        <v>13</v>
      </c>
      <c r="V303" s="0" t="n">
        <f aca="false">T303-U303</f>
        <v>7</v>
      </c>
      <c r="W303" s="0" t="n">
        <f aca="false">T303+U303</f>
        <v>33</v>
      </c>
    </row>
    <row r="304" customFormat="false" ht="15" hidden="false" customHeight="false" outlineLevel="0" collapsed="false">
      <c r="A304" s="0" t="n">
        <v>301</v>
      </c>
      <c r="B304" s="0" t="n">
        <f aca="true">NORMINV(RAND(),1,Coefficients!$B$22)</f>
        <v>0.988333421741574</v>
      </c>
      <c r="C304" s="0" t="n">
        <f aca="true">MEDIAN(8,16,ROUND(NORMINV(RAND(),Coefficients!$B$20,Coefficients!$B$21),0))</f>
        <v>11</v>
      </c>
      <c r="D304" s="0" t="n">
        <f aca="true">CRITBINOM($C304,MIN(0.75,Matchup!$B$39*$B304),RAND())</f>
        <v>2</v>
      </c>
      <c r="E304" s="0" t="n">
        <f aca="true">CRITBINOM(D304,Coefficients!$B$30,RAND())</f>
        <v>0</v>
      </c>
      <c r="F304" s="0" t="n">
        <f aca="true">CRITBINOM(E304,Coefficients!$B$31,RAND())</f>
        <v>0</v>
      </c>
      <c r="G304" s="0" t="n">
        <f aca="true">CRITBINOM(MAX(0,D304-E304),1-Coefficients!$B$32,RAND())</f>
        <v>0</v>
      </c>
      <c r="H304" s="0" t="n">
        <f aca="true">CRITBINOM(MAX(0,$C304-D304),MIN(0.6,Matchup!$B$40*SQRT($B304)/(1-MIN(0.75,Matchup!$B$39*$B304))),RAND())</f>
        <v>1</v>
      </c>
      <c r="I304" s="0" t="n">
        <f aca="false">6*D304+(D304-E304-G304)+2*F304+3*H304</f>
        <v>17</v>
      </c>
      <c r="J304" s="0" t="n">
        <f aca="true">CRITBINOM($C304,MIN(0.75,Matchup!$C$39*$B304),RAND())</f>
        <v>6</v>
      </c>
      <c r="K304" s="0" t="n">
        <f aca="true">CRITBINOM(J304,Coefficients!$B$30,RAND())</f>
        <v>0</v>
      </c>
      <c r="L304" s="0" t="n">
        <f aca="true">CRITBINOM(K304,Coefficients!$B$31,RAND())</f>
        <v>0</v>
      </c>
      <c r="M304" s="0" t="n">
        <f aca="true">CRITBINOM(MAX(0,J304-K304),1-Coefficients!$B$32,RAND())</f>
        <v>0</v>
      </c>
      <c r="N304" s="0" t="n">
        <f aca="true">CRITBINOM(MAX(0,$C304-J304),MIN(0.6,Matchup!$C$40*SQRT($B304)/(1-MIN(0.75,Matchup!$C$39*$B304))),RAND())</f>
        <v>1</v>
      </c>
      <c r="O304" s="0" t="n">
        <f aca="false">6*J304+(J304-K304-M304)+2*L304+3*N304</f>
        <v>45</v>
      </c>
      <c r="P304" s="0" t="n">
        <f aca="true">RAND()</f>
        <v>0.646055496071756</v>
      </c>
      <c r="Q304" s="0" t="n">
        <f aca="true">RAND()</f>
        <v>0.899662273092636</v>
      </c>
      <c r="R304" s="0" t="n">
        <f aca="false">IF($I304&lt;&gt;$O304,0,IF(P304&lt;Matchup!$B$39,7,IF(P304&lt;Matchup!$B$39+Matchup!$B$40,3,0)))</f>
        <v>0</v>
      </c>
      <c r="S304" s="0" t="n">
        <f aca="false">IF($I304&lt;&gt;$O304,0,IF(Q304&lt;Matchup!$C$39,7,IF(Q304&lt;Matchup!$C$39+Matchup!$C$40,3,0)))</f>
        <v>0</v>
      </c>
      <c r="T304" s="0" t="n">
        <f aca="false">I304+R304</f>
        <v>17</v>
      </c>
      <c r="U304" s="0" t="n">
        <f aca="false">O304+S304</f>
        <v>45</v>
      </c>
      <c r="V304" s="0" t="n">
        <f aca="false">T304-U304</f>
        <v>-28</v>
      </c>
      <c r="W304" s="0" t="n">
        <f aca="false">T304+U304</f>
        <v>62</v>
      </c>
    </row>
    <row r="305" customFormat="false" ht="15" hidden="false" customHeight="false" outlineLevel="0" collapsed="false">
      <c r="A305" s="0" t="n">
        <v>302</v>
      </c>
      <c r="B305" s="0" t="n">
        <f aca="true">NORMINV(RAND(),1,Coefficients!$B$22)</f>
        <v>0.969955446766554</v>
      </c>
      <c r="C305" s="0" t="n">
        <f aca="true">MEDIAN(8,16,ROUND(NORMINV(RAND(),Coefficients!$B$20,Coefficients!$B$21),0))</f>
        <v>11</v>
      </c>
      <c r="D305" s="0" t="n">
        <f aca="true">CRITBINOM($C305,MIN(0.75,Matchup!$B$39*$B305),RAND())</f>
        <v>1</v>
      </c>
      <c r="E305" s="0" t="n">
        <f aca="true">CRITBINOM(D305,Coefficients!$B$30,RAND())</f>
        <v>0</v>
      </c>
      <c r="F305" s="0" t="n">
        <f aca="true">CRITBINOM(E305,Coefficients!$B$31,RAND())</f>
        <v>0</v>
      </c>
      <c r="G305" s="0" t="n">
        <f aca="true">CRITBINOM(MAX(0,D305-E305),1-Coefficients!$B$32,RAND())</f>
        <v>0</v>
      </c>
      <c r="H305" s="0" t="n">
        <f aca="true">CRITBINOM(MAX(0,$C305-D305),MIN(0.6,Matchup!$B$40*SQRT($B305)/(1-MIN(0.75,Matchup!$B$39*$B305))),RAND())</f>
        <v>1</v>
      </c>
      <c r="I305" s="0" t="n">
        <f aca="false">6*D305+(D305-E305-G305)+2*F305+3*H305</f>
        <v>10</v>
      </c>
      <c r="J305" s="0" t="n">
        <f aca="true">CRITBINOM($C305,MIN(0.75,Matchup!$C$39*$B305),RAND())</f>
        <v>0</v>
      </c>
      <c r="K305" s="0" t="n">
        <f aca="true">CRITBINOM(J305,Coefficients!$B$30,RAND())</f>
        <v>0</v>
      </c>
      <c r="L305" s="0" t="n">
        <f aca="true">CRITBINOM(K305,Coefficients!$B$31,RAND())</f>
        <v>0</v>
      </c>
      <c r="M305" s="0" t="n">
        <f aca="true">CRITBINOM(MAX(0,J305-K305),1-Coefficients!$B$32,RAND())</f>
        <v>0</v>
      </c>
      <c r="N305" s="0" t="n">
        <f aca="true">CRITBINOM(MAX(0,$C305-J305),MIN(0.6,Matchup!$C$40*SQRT($B305)/(1-MIN(0.75,Matchup!$C$39*$B305))),RAND())</f>
        <v>2</v>
      </c>
      <c r="O305" s="0" t="n">
        <f aca="false">6*J305+(J305-K305-M305)+2*L305+3*N305</f>
        <v>6</v>
      </c>
      <c r="P305" s="0" t="n">
        <f aca="true">RAND()</f>
        <v>0.302040620286772</v>
      </c>
      <c r="Q305" s="0" t="n">
        <f aca="true">RAND()</f>
        <v>0.479886822375775</v>
      </c>
      <c r="R305" s="0" t="n">
        <f aca="false">IF($I305&lt;&gt;$O305,0,IF(P305&lt;Matchup!$B$39,7,IF(P305&lt;Matchup!$B$39+Matchup!$B$40,3,0)))</f>
        <v>0</v>
      </c>
      <c r="S305" s="0" t="n">
        <f aca="false">IF($I305&lt;&gt;$O305,0,IF(Q305&lt;Matchup!$C$39,7,IF(Q305&lt;Matchup!$C$39+Matchup!$C$40,3,0)))</f>
        <v>0</v>
      </c>
      <c r="T305" s="0" t="n">
        <f aca="false">I305+R305</f>
        <v>10</v>
      </c>
      <c r="U305" s="0" t="n">
        <f aca="false">O305+S305</f>
        <v>6</v>
      </c>
      <c r="V305" s="0" t="n">
        <f aca="false">T305-U305</f>
        <v>4</v>
      </c>
      <c r="W305" s="0" t="n">
        <f aca="false">T305+U305</f>
        <v>16</v>
      </c>
    </row>
    <row r="306" customFormat="false" ht="15" hidden="false" customHeight="false" outlineLevel="0" collapsed="false">
      <c r="A306" s="0" t="n">
        <v>303</v>
      </c>
      <c r="B306" s="0" t="n">
        <f aca="true">NORMINV(RAND(),1,Coefficients!$B$22)</f>
        <v>0.990723638870971</v>
      </c>
      <c r="C306" s="0" t="n">
        <f aca="true">MEDIAN(8,16,ROUND(NORMINV(RAND(),Coefficients!$B$20,Coefficients!$B$21),0))</f>
        <v>10</v>
      </c>
      <c r="D306" s="0" t="n">
        <f aca="true">CRITBINOM($C306,MIN(0.75,Matchup!$B$39*$B306),RAND())</f>
        <v>3</v>
      </c>
      <c r="E306" s="0" t="n">
        <f aca="true">CRITBINOM(D306,Coefficients!$B$30,RAND())</f>
        <v>0</v>
      </c>
      <c r="F306" s="0" t="n">
        <f aca="true">CRITBINOM(E306,Coefficients!$B$31,RAND())</f>
        <v>0</v>
      </c>
      <c r="G306" s="0" t="n">
        <f aca="true">CRITBINOM(MAX(0,D306-E306),1-Coefficients!$B$32,RAND())</f>
        <v>0</v>
      </c>
      <c r="H306" s="0" t="n">
        <f aca="true">CRITBINOM(MAX(0,$C306-D306),MIN(0.6,Matchup!$B$40*SQRT($B306)/(1-MIN(0.75,Matchup!$B$39*$B306))),RAND())</f>
        <v>0</v>
      </c>
      <c r="I306" s="0" t="n">
        <f aca="false">6*D306+(D306-E306-G306)+2*F306+3*H306</f>
        <v>21</v>
      </c>
      <c r="J306" s="0" t="n">
        <f aca="true">CRITBINOM($C306,MIN(0.75,Matchup!$C$39*$B306),RAND())</f>
        <v>2</v>
      </c>
      <c r="K306" s="0" t="n">
        <f aca="true">CRITBINOM(J306,Coefficients!$B$30,RAND())</f>
        <v>0</v>
      </c>
      <c r="L306" s="0" t="n">
        <f aca="true">CRITBINOM(K306,Coefficients!$B$31,RAND())</f>
        <v>0</v>
      </c>
      <c r="M306" s="0" t="n">
        <f aca="true">CRITBINOM(MAX(0,J306-K306),1-Coefficients!$B$32,RAND())</f>
        <v>0</v>
      </c>
      <c r="N306" s="0" t="n">
        <f aca="true">CRITBINOM(MAX(0,$C306-J306),MIN(0.6,Matchup!$C$40*SQRT($B306)/(1-MIN(0.75,Matchup!$C$39*$B306))),RAND())</f>
        <v>2</v>
      </c>
      <c r="O306" s="0" t="n">
        <f aca="false">6*J306+(J306-K306-M306)+2*L306+3*N306</f>
        <v>20</v>
      </c>
      <c r="P306" s="0" t="n">
        <f aca="true">RAND()</f>
        <v>0.22117453140709</v>
      </c>
      <c r="Q306" s="0" t="n">
        <f aca="true">RAND()</f>
        <v>0.612375820902331</v>
      </c>
      <c r="R306" s="0" t="n">
        <f aca="false">IF($I306&lt;&gt;$O306,0,IF(P306&lt;Matchup!$B$39,7,IF(P306&lt;Matchup!$B$39+Matchup!$B$40,3,0)))</f>
        <v>0</v>
      </c>
      <c r="S306" s="0" t="n">
        <f aca="false">IF($I306&lt;&gt;$O306,0,IF(Q306&lt;Matchup!$C$39,7,IF(Q306&lt;Matchup!$C$39+Matchup!$C$40,3,0)))</f>
        <v>0</v>
      </c>
      <c r="T306" s="0" t="n">
        <f aca="false">I306+R306</f>
        <v>21</v>
      </c>
      <c r="U306" s="0" t="n">
        <f aca="false">O306+S306</f>
        <v>20</v>
      </c>
      <c r="V306" s="0" t="n">
        <f aca="false">T306-U306</f>
        <v>1</v>
      </c>
      <c r="W306" s="0" t="n">
        <f aca="false">T306+U306</f>
        <v>41</v>
      </c>
    </row>
    <row r="307" customFormat="false" ht="15" hidden="false" customHeight="false" outlineLevel="0" collapsed="false">
      <c r="A307" s="0" t="n">
        <v>304</v>
      </c>
      <c r="B307" s="0" t="n">
        <f aca="true">NORMINV(RAND(),1,Coefficients!$B$22)</f>
        <v>1.01454216109109</v>
      </c>
      <c r="C307" s="0" t="n">
        <f aca="true">MEDIAN(8,16,ROUND(NORMINV(RAND(),Coefficients!$B$20,Coefficients!$B$21),0))</f>
        <v>10</v>
      </c>
      <c r="D307" s="0" t="n">
        <f aca="true">CRITBINOM($C307,MIN(0.75,Matchup!$B$39*$B307),RAND())</f>
        <v>3</v>
      </c>
      <c r="E307" s="0" t="n">
        <f aca="true">CRITBINOM(D307,Coefficients!$B$30,RAND())</f>
        <v>0</v>
      </c>
      <c r="F307" s="0" t="n">
        <f aca="true">CRITBINOM(E307,Coefficients!$B$31,RAND())</f>
        <v>0</v>
      </c>
      <c r="G307" s="0" t="n">
        <f aca="true">CRITBINOM(MAX(0,D307-E307),1-Coefficients!$B$32,RAND())</f>
        <v>0</v>
      </c>
      <c r="H307" s="0" t="n">
        <f aca="true">CRITBINOM(MAX(0,$C307-D307),MIN(0.6,Matchup!$B$40*SQRT($B307)/(1-MIN(0.75,Matchup!$B$39*$B307))),RAND())</f>
        <v>3</v>
      </c>
      <c r="I307" s="0" t="n">
        <f aca="false">6*D307+(D307-E307-G307)+2*F307+3*H307</f>
        <v>30</v>
      </c>
      <c r="J307" s="0" t="n">
        <f aca="true">CRITBINOM($C307,MIN(0.75,Matchup!$C$39*$B307),RAND())</f>
        <v>2</v>
      </c>
      <c r="K307" s="0" t="n">
        <f aca="true">CRITBINOM(J307,Coefficients!$B$30,RAND())</f>
        <v>0</v>
      </c>
      <c r="L307" s="0" t="n">
        <f aca="true">CRITBINOM(K307,Coefficients!$B$31,RAND())</f>
        <v>0</v>
      </c>
      <c r="M307" s="0" t="n">
        <f aca="true">CRITBINOM(MAX(0,J307-K307),1-Coefficients!$B$32,RAND())</f>
        <v>0</v>
      </c>
      <c r="N307" s="0" t="n">
        <f aca="true">CRITBINOM(MAX(0,$C307-J307),MIN(0.6,Matchup!$C$40*SQRT($B307)/(1-MIN(0.75,Matchup!$C$39*$B307))),RAND())</f>
        <v>1</v>
      </c>
      <c r="O307" s="0" t="n">
        <f aca="false">6*J307+(J307-K307-M307)+2*L307+3*N307</f>
        <v>17</v>
      </c>
      <c r="P307" s="0" t="n">
        <f aca="true">RAND()</f>
        <v>0.363256806799009</v>
      </c>
      <c r="Q307" s="0" t="n">
        <f aca="true">RAND()</f>
        <v>0.124833319512311</v>
      </c>
      <c r="R307" s="0" t="n">
        <f aca="false">IF($I307&lt;&gt;$O307,0,IF(P307&lt;Matchup!$B$39,7,IF(P307&lt;Matchup!$B$39+Matchup!$B$40,3,0)))</f>
        <v>0</v>
      </c>
      <c r="S307" s="0" t="n">
        <f aca="false">IF($I307&lt;&gt;$O307,0,IF(Q307&lt;Matchup!$C$39,7,IF(Q307&lt;Matchup!$C$39+Matchup!$C$40,3,0)))</f>
        <v>0</v>
      </c>
      <c r="T307" s="0" t="n">
        <f aca="false">I307+R307</f>
        <v>30</v>
      </c>
      <c r="U307" s="0" t="n">
        <f aca="false">O307+S307</f>
        <v>17</v>
      </c>
      <c r="V307" s="0" t="n">
        <f aca="false">T307-U307</f>
        <v>13</v>
      </c>
      <c r="W307" s="0" t="n">
        <f aca="false">T307+U307</f>
        <v>47</v>
      </c>
    </row>
    <row r="308" customFormat="false" ht="15" hidden="false" customHeight="false" outlineLevel="0" collapsed="false">
      <c r="A308" s="0" t="n">
        <v>305</v>
      </c>
      <c r="B308" s="0" t="n">
        <f aca="true">NORMINV(RAND(),1,Coefficients!$B$22)</f>
        <v>0.992805744782932</v>
      </c>
      <c r="C308" s="0" t="n">
        <f aca="true">MEDIAN(8,16,ROUND(NORMINV(RAND(),Coefficients!$B$20,Coefficients!$B$21),0))</f>
        <v>12</v>
      </c>
      <c r="D308" s="0" t="n">
        <f aca="true">CRITBINOM($C308,MIN(0.75,Matchup!$B$39*$B308),RAND())</f>
        <v>1</v>
      </c>
      <c r="E308" s="0" t="n">
        <f aca="true">CRITBINOM(D308,Coefficients!$B$30,RAND())</f>
        <v>1</v>
      </c>
      <c r="F308" s="0" t="n">
        <f aca="true">CRITBINOM(E308,Coefficients!$B$31,RAND())</f>
        <v>0</v>
      </c>
      <c r="G308" s="0" t="n">
        <f aca="true">CRITBINOM(MAX(0,D308-E308),1-Coefficients!$B$32,RAND())</f>
        <v>0</v>
      </c>
      <c r="H308" s="0" t="n">
        <f aca="true">CRITBINOM(MAX(0,$C308-D308),MIN(0.6,Matchup!$B$40*SQRT($B308)/(1-MIN(0.75,Matchup!$B$39*$B308))),RAND())</f>
        <v>1</v>
      </c>
      <c r="I308" s="0" t="n">
        <f aca="false">6*D308+(D308-E308-G308)+2*F308+3*H308</f>
        <v>9</v>
      </c>
      <c r="J308" s="0" t="n">
        <f aca="true">CRITBINOM($C308,MIN(0.75,Matchup!$C$39*$B308),RAND())</f>
        <v>4</v>
      </c>
      <c r="K308" s="0" t="n">
        <f aca="true">CRITBINOM(J308,Coefficients!$B$30,RAND())</f>
        <v>0</v>
      </c>
      <c r="L308" s="0" t="n">
        <f aca="true">CRITBINOM(K308,Coefficients!$B$31,RAND())</f>
        <v>0</v>
      </c>
      <c r="M308" s="0" t="n">
        <f aca="true">CRITBINOM(MAX(0,J308-K308),1-Coefficients!$B$32,RAND())</f>
        <v>0</v>
      </c>
      <c r="N308" s="0" t="n">
        <f aca="true">CRITBINOM(MAX(0,$C308-J308),MIN(0.6,Matchup!$C$40*SQRT($B308)/(1-MIN(0.75,Matchup!$C$39*$B308))),RAND())</f>
        <v>2</v>
      </c>
      <c r="O308" s="0" t="n">
        <f aca="false">6*J308+(J308-K308-M308)+2*L308+3*N308</f>
        <v>34</v>
      </c>
      <c r="P308" s="0" t="n">
        <f aca="true">RAND()</f>
        <v>0.610709622708465</v>
      </c>
      <c r="Q308" s="0" t="n">
        <f aca="true">RAND()</f>
        <v>0.261266430040125</v>
      </c>
      <c r="R308" s="0" t="n">
        <f aca="false">IF($I308&lt;&gt;$O308,0,IF(P308&lt;Matchup!$B$39,7,IF(P308&lt;Matchup!$B$39+Matchup!$B$40,3,0)))</f>
        <v>0</v>
      </c>
      <c r="S308" s="0" t="n">
        <f aca="false">IF($I308&lt;&gt;$O308,0,IF(Q308&lt;Matchup!$C$39,7,IF(Q308&lt;Matchup!$C$39+Matchup!$C$40,3,0)))</f>
        <v>0</v>
      </c>
      <c r="T308" s="0" t="n">
        <f aca="false">I308+R308</f>
        <v>9</v>
      </c>
      <c r="U308" s="0" t="n">
        <f aca="false">O308+S308</f>
        <v>34</v>
      </c>
      <c r="V308" s="0" t="n">
        <f aca="false">T308-U308</f>
        <v>-25</v>
      </c>
      <c r="W308" s="0" t="n">
        <f aca="false">T308+U308</f>
        <v>43</v>
      </c>
    </row>
    <row r="309" customFormat="false" ht="15" hidden="false" customHeight="false" outlineLevel="0" collapsed="false">
      <c r="A309" s="0" t="n">
        <v>306</v>
      </c>
      <c r="B309" s="0" t="n">
        <f aca="true">NORMINV(RAND(),1,Coefficients!$B$22)</f>
        <v>1.08844695775079</v>
      </c>
      <c r="C309" s="0" t="n">
        <f aca="true">MEDIAN(8,16,ROUND(NORMINV(RAND(),Coefficients!$B$20,Coefficients!$B$21),0))</f>
        <v>11</v>
      </c>
      <c r="D309" s="0" t="n">
        <f aca="true">CRITBINOM($C309,MIN(0.75,Matchup!$B$39*$B309),RAND())</f>
        <v>7</v>
      </c>
      <c r="E309" s="0" t="n">
        <f aca="true">CRITBINOM(D309,Coefficients!$B$30,RAND())</f>
        <v>0</v>
      </c>
      <c r="F309" s="0" t="n">
        <f aca="true">CRITBINOM(E309,Coefficients!$B$31,RAND())</f>
        <v>0</v>
      </c>
      <c r="G309" s="0" t="n">
        <f aca="true">CRITBINOM(MAX(0,D309-E309),1-Coefficients!$B$32,RAND())</f>
        <v>0</v>
      </c>
      <c r="H309" s="0" t="n">
        <f aca="true">CRITBINOM(MAX(0,$C309-D309),MIN(0.6,Matchup!$B$40*SQRT($B309)/(1-MIN(0.75,Matchup!$B$39*$B309))),RAND())</f>
        <v>0</v>
      </c>
      <c r="I309" s="0" t="n">
        <f aca="false">6*D309+(D309-E309-G309)+2*F309+3*H309</f>
        <v>49</v>
      </c>
      <c r="J309" s="0" t="n">
        <f aca="true">CRITBINOM($C309,MIN(0.75,Matchup!$C$39*$B309),RAND())</f>
        <v>2</v>
      </c>
      <c r="K309" s="0" t="n">
        <f aca="true">CRITBINOM(J309,Coefficients!$B$30,RAND())</f>
        <v>0</v>
      </c>
      <c r="L309" s="0" t="n">
        <f aca="true">CRITBINOM(K309,Coefficients!$B$31,RAND())</f>
        <v>0</v>
      </c>
      <c r="M309" s="0" t="n">
        <f aca="true">CRITBINOM(MAX(0,J309-K309),1-Coefficients!$B$32,RAND())</f>
        <v>0</v>
      </c>
      <c r="N309" s="0" t="n">
        <f aca="true">CRITBINOM(MAX(0,$C309-J309),MIN(0.6,Matchup!$C$40*SQRT($B309)/(1-MIN(0.75,Matchup!$C$39*$B309))),RAND())</f>
        <v>5</v>
      </c>
      <c r="O309" s="0" t="n">
        <f aca="false">6*J309+(J309-K309-M309)+2*L309+3*N309</f>
        <v>29</v>
      </c>
      <c r="P309" s="0" t="n">
        <f aca="true">RAND()</f>
        <v>0.477724018060811</v>
      </c>
      <c r="Q309" s="0" t="n">
        <f aca="true">RAND()</f>
        <v>0.649192079320081</v>
      </c>
      <c r="R309" s="0" t="n">
        <f aca="false">IF($I309&lt;&gt;$O309,0,IF(P309&lt;Matchup!$B$39,7,IF(P309&lt;Matchup!$B$39+Matchup!$B$40,3,0)))</f>
        <v>0</v>
      </c>
      <c r="S309" s="0" t="n">
        <f aca="false">IF($I309&lt;&gt;$O309,0,IF(Q309&lt;Matchup!$C$39,7,IF(Q309&lt;Matchup!$C$39+Matchup!$C$40,3,0)))</f>
        <v>0</v>
      </c>
      <c r="T309" s="0" t="n">
        <f aca="false">I309+R309</f>
        <v>49</v>
      </c>
      <c r="U309" s="0" t="n">
        <f aca="false">O309+S309</f>
        <v>29</v>
      </c>
      <c r="V309" s="0" t="n">
        <f aca="false">T309-U309</f>
        <v>20</v>
      </c>
      <c r="W309" s="0" t="n">
        <f aca="false">T309+U309</f>
        <v>78</v>
      </c>
    </row>
    <row r="310" customFormat="false" ht="15" hidden="false" customHeight="false" outlineLevel="0" collapsed="false">
      <c r="A310" s="0" t="n">
        <v>307</v>
      </c>
      <c r="B310" s="0" t="n">
        <f aca="true">NORMINV(RAND(),1,Coefficients!$B$22)</f>
        <v>0.946136939645567</v>
      </c>
      <c r="C310" s="0" t="n">
        <f aca="true">MEDIAN(8,16,ROUND(NORMINV(RAND(),Coefficients!$B$20,Coefficients!$B$21),0))</f>
        <v>11</v>
      </c>
      <c r="D310" s="0" t="n">
        <f aca="true">CRITBINOM($C310,MIN(0.75,Matchup!$B$39*$B310),RAND())</f>
        <v>2</v>
      </c>
      <c r="E310" s="0" t="n">
        <f aca="true">CRITBINOM(D310,Coefficients!$B$30,RAND())</f>
        <v>0</v>
      </c>
      <c r="F310" s="0" t="n">
        <f aca="true">CRITBINOM(E310,Coefficients!$B$31,RAND())</f>
        <v>0</v>
      </c>
      <c r="G310" s="0" t="n">
        <f aca="true">CRITBINOM(MAX(0,D310-E310),1-Coefficients!$B$32,RAND())</f>
        <v>1</v>
      </c>
      <c r="H310" s="0" t="n">
        <f aca="true">CRITBINOM(MAX(0,$C310-D310),MIN(0.6,Matchup!$B$40*SQRT($B310)/(1-MIN(0.75,Matchup!$B$39*$B310))),RAND())</f>
        <v>3</v>
      </c>
      <c r="I310" s="0" t="n">
        <f aca="false">6*D310+(D310-E310-G310)+2*F310+3*H310</f>
        <v>22</v>
      </c>
      <c r="J310" s="0" t="n">
        <f aca="true">CRITBINOM($C310,MIN(0.75,Matchup!$C$39*$B310),RAND())</f>
        <v>2</v>
      </c>
      <c r="K310" s="0" t="n">
        <f aca="true">CRITBINOM(J310,Coefficients!$B$30,RAND())</f>
        <v>0</v>
      </c>
      <c r="L310" s="0" t="n">
        <f aca="true">CRITBINOM(K310,Coefficients!$B$31,RAND())</f>
        <v>0</v>
      </c>
      <c r="M310" s="0" t="n">
        <f aca="true">CRITBINOM(MAX(0,J310-K310),1-Coefficients!$B$32,RAND())</f>
        <v>0</v>
      </c>
      <c r="N310" s="0" t="n">
        <f aca="true">CRITBINOM(MAX(0,$C310-J310),MIN(0.6,Matchup!$C$40*SQRT($B310)/(1-MIN(0.75,Matchup!$C$39*$B310))),RAND())</f>
        <v>1</v>
      </c>
      <c r="O310" s="0" t="n">
        <f aca="false">6*J310+(J310-K310-M310)+2*L310+3*N310</f>
        <v>17</v>
      </c>
      <c r="P310" s="0" t="n">
        <f aca="true">RAND()</f>
        <v>0.349740063990867</v>
      </c>
      <c r="Q310" s="0" t="n">
        <f aca="true">RAND()</f>
        <v>0.101741442095815</v>
      </c>
      <c r="R310" s="0" t="n">
        <f aca="false">IF($I310&lt;&gt;$O310,0,IF(P310&lt;Matchup!$B$39,7,IF(P310&lt;Matchup!$B$39+Matchup!$B$40,3,0)))</f>
        <v>0</v>
      </c>
      <c r="S310" s="0" t="n">
        <f aca="false">IF($I310&lt;&gt;$O310,0,IF(Q310&lt;Matchup!$C$39,7,IF(Q310&lt;Matchup!$C$39+Matchup!$C$40,3,0)))</f>
        <v>0</v>
      </c>
      <c r="T310" s="0" t="n">
        <f aca="false">I310+R310</f>
        <v>22</v>
      </c>
      <c r="U310" s="0" t="n">
        <f aca="false">O310+S310</f>
        <v>17</v>
      </c>
      <c r="V310" s="0" t="n">
        <f aca="false">T310-U310</f>
        <v>5</v>
      </c>
      <c r="W310" s="0" t="n">
        <f aca="false">T310+U310</f>
        <v>39</v>
      </c>
    </row>
    <row r="311" customFormat="false" ht="15" hidden="false" customHeight="false" outlineLevel="0" collapsed="false">
      <c r="A311" s="0" t="n">
        <v>308</v>
      </c>
      <c r="B311" s="0" t="n">
        <f aca="true">NORMINV(RAND(),1,Coefficients!$B$22)</f>
        <v>1.05251915436724</v>
      </c>
      <c r="C311" s="0" t="n">
        <f aca="true">MEDIAN(8,16,ROUND(NORMINV(RAND(),Coefficients!$B$20,Coefficients!$B$21),0))</f>
        <v>11</v>
      </c>
      <c r="D311" s="0" t="n">
        <f aca="true">CRITBINOM($C311,MIN(0.75,Matchup!$B$39*$B311),RAND())</f>
        <v>6</v>
      </c>
      <c r="E311" s="0" t="n">
        <f aca="true">CRITBINOM(D311,Coefficients!$B$30,RAND())</f>
        <v>3</v>
      </c>
      <c r="F311" s="0" t="n">
        <f aca="true">CRITBINOM(E311,Coefficients!$B$31,RAND())</f>
        <v>3</v>
      </c>
      <c r="G311" s="0" t="n">
        <f aca="true">CRITBINOM(MAX(0,D311-E311),1-Coefficients!$B$32,RAND())</f>
        <v>1</v>
      </c>
      <c r="H311" s="0" t="n">
        <f aca="true">CRITBINOM(MAX(0,$C311-D311),MIN(0.6,Matchup!$B$40*SQRT($B311)/(1-MIN(0.75,Matchup!$B$39*$B311))),RAND())</f>
        <v>4</v>
      </c>
      <c r="I311" s="0" t="n">
        <f aca="false">6*D311+(D311-E311-G311)+2*F311+3*H311</f>
        <v>56</v>
      </c>
      <c r="J311" s="0" t="n">
        <f aca="true">CRITBINOM($C311,MIN(0.75,Matchup!$C$39*$B311),RAND())</f>
        <v>1</v>
      </c>
      <c r="K311" s="0" t="n">
        <f aca="true">CRITBINOM(J311,Coefficients!$B$30,RAND())</f>
        <v>0</v>
      </c>
      <c r="L311" s="0" t="n">
        <f aca="true">CRITBINOM(K311,Coefficients!$B$31,RAND())</f>
        <v>0</v>
      </c>
      <c r="M311" s="0" t="n">
        <f aca="true">CRITBINOM(MAX(0,J311-K311),1-Coefficients!$B$32,RAND())</f>
        <v>0</v>
      </c>
      <c r="N311" s="0" t="n">
        <f aca="true">CRITBINOM(MAX(0,$C311-J311),MIN(0.6,Matchup!$C$40*SQRT($B311)/(1-MIN(0.75,Matchup!$C$39*$B311))),RAND())</f>
        <v>4</v>
      </c>
      <c r="O311" s="0" t="n">
        <f aca="false">6*J311+(J311-K311-M311)+2*L311+3*N311</f>
        <v>19</v>
      </c>
      <c r="P311" s="0" t="n">
        <f aca="true">RAND()</f>
        <v>0.800972157900248</v>
      </c>
      <c r="Q311" s="0" t="n">
        <f aca="true">RAND()</f>
        <v>0.244553598652144</v>
      </c>
      <c r="R311" s="0" t="n">
        <f aca="false">IF($I311&lt;&gt;$O311,0,IF(P311&lt;Matchup!$B$39,7,IF(P311&lt;Matchup!$B$39+Matchup!$B$40,3,0)))</f>
        <v>0</v>
      </c>
      <c r="S311" s="0" t="n">
        <f aca="false">IF($I311&lt;&gt;$O311,0,IF(Q311&lt;Matchup!$C$39,7,IF(Q311&lt;Matchup!$C$39+Matchup!$C$40,3,0)))</f>
        <v>0</v>
      </c>
      <c r="T311" s="0" t="n">
        <f aca="false">I311+R311</f>
        <v>56</v>
      </c>
      <c r="U311" s="0" t="n">
        <f aca="false">O311+S311</f>
        <v>19</v>
      </c>
      <c r="V311" s="0" t="n">
        <f aca="false">T311-U311</f>
        <v>37</v>
      </c>
      <c r="W311" s="0" t="n">
        <f aca="false">T311+U311</f>
        <v>75</v>
      </c>
    </row>
    <row r="312" customFormat="false" ht="15" hidden="false" customHeight="false" outlineLevel="0" collapsed="false">
      <c r="A312" s="0" t="n">
        <v>309</v>
      </c>
      <c r="B312" s="0" t="n">
        <f aca="true">NORMINV(RAND(),1,Coefficients!$B$22)</f>
        <v>0.937359901495052</v>
      </c>
      <c r="C312" s="0" t="n">
        <f aca="true">MEDIAN(8,16,ROUND(NORMINV(RAND(),Coefficients!$B$20,Coefficients!$B$21),0))</f>
        <v>13</v>
      </c>
      <c r="D312" s="0" t="n">
        <f aca="true">CRITBINOM($C312,MIN(0.75,Matchup!$B$39*$B312),RAND())</f>
        <v>2</v>
      </c>
      <c r="E312" s="0" t="n">
        <f aca="true">CRITBINOM(D312,Coefficients!$B$30,RAND())</f>
        <v>0</v>
      </c>
      <c r="F312" s="0" t="n">
        <f aca="true">CRITBINOM(E312,Coefficients!$B$31,RAND())</f>
        <v>0</v>
      </c>
      <c r="G312" s="0" t="n">
        <f aca="true">CRITBINOM(MAX(0,D312-E312),1-Coefficients!$B$32,RAND())</f>
        <v>0</v>
      </c>
      <c r="H312" s="0" t="n">
        <f aca="true">CRITBINOM(MAX(0,$C312-D312),MIN(0.6,Matchup!$B$40*SQRT($B312)/(1-MIN(0.75,Matchup!$B$39*$B312))),RAND())</f>
        <v>2</v>
      </c>
      <c r="I312" s="0" t="n">
        <f aca="false">6*D312+(D312-E312-G312)+2*F312+3*H312</f>
        <v>20</v>
      </c>
      <c r="J312" s="0" t="n">
        <f aca="true">CRITBINOM($C312,MIN(0.75,Matchup!$C$39*$B312),RAND())</f>
        <v>2</v>
      </c>
      <c r="K312" s="0" t="n">
        <f aca="true">CRITBINOM(J312,Coefficients!$B$30,RAND())</f>
        <v>0</v>
      </c>
      <c r="L312" s="0" t="n">
        <f aca="true">CRITBINOM(K312,Coefficients!$B$31,RAND())</f>
        <v>0</v>
      </c>
      <c r="M312" s="0" t="n">
        <f aca="true">CRITBINOM(MAX(0,J312-K312),1-Coefficients!$B$32,RAND())</f>
        <v>0</v>
      </c>
      <c r="N312" s="0" t="n">
        <f aca="true">CRITBINOM(MAX(0,$C312-J312),MIN(0.6,Matchup!$C$40*SQRT($B312)/(1-MIN(0.75,Matchup!$C$39*$B312))),RAND())</f>
        <v>2</v>
      </c>
      <c r="O312" s="0" t="n">
        <f aca="false">6*J312+(J312-K312-M312)+2*L312+3*N312</f>
        <v>20</v>
      </c>
      <c r="P312" s="0" t="n">
        <f aca="true">RAND()</f>
        <v>0.0998495227093596</v>
      </c>
      <c r="Q312" s="0" t="n">
        <f aca="true">RAND()</f>
        <v>0.761852169295946</v>
      </c>
      <c r="R312" s="0" t="n">
        <f aca="false">IF($I312&lt;&gt;$O312,0,IF(P312&lt;Matchup!$B$39,7,IF(P312&lt;Matchup!$B$39+Matchup!$B$40,3,0)))</f>
        <v>7</v>
      </c>
      <c r="S312" s="0" t="n">
        <f aca="false">IF($I312&lt;&gt;$O312,0,IF(Q312&lt;Matchup!$C$39,7,IF(Q312&lt;Matchup!$C$39+Matchup!$C$40,3,0)))</f>
        <v>0</v>
      </c>
      <c r="T312" s="0" t="n">
        <f aca="false">I312+R312</f>
        <v>27</v>
      </c>
      <c r="U312" s="0" t="n">
        <f aca="false">O312+S312</f>
        <v>20</v>
      </c>
      <c r="V312" s="0" t="n">
        <f aca="false">T312-U312</f>
        <v>7</v>
      </c>
      <c r="W312" s="0" t="n">
        <f aca="false">T312+U312</f>
        <v>47</v>
      </c>
    </row>
    <row r="313" customFormat="false" ht="15" hidden="false" customHeight="false" outlineLevel="0" collapsed="false">
      <c r="A313" s="0" t="n">
        <v>310</v>
      </c>
      <c r="B313" s="0" t="n">
        <f aca="true">NORMINV(RAND(),1,Coefficients!$B$22)</f>
        <v>0.982224903182758</v>
      </c>
      <c r="C313" s="0" t="n">
        <f aca="true">MEDIAN(8,16,ROUND(NORMINV(RAND(),Coefficients!$B$20,Coefficients!$B$21),0))</f>
        <v>9</v>
      </c>
      <c r="D313" s="0" t="n">
        <f aca="true">CRITBINOM($C313,MIN(0.75,Matchup!$B$39*$B313),RAND())</f>
        <v>2</v>
      </c>
      <c r="E313" s="0" t="n">
        <f aca="true">CRITBINOM(D313,Coefficients!$B$30,RAND())</f>
        <v>0</v>
      </c>
      <c r="F313" s="0" t="n">
        <f aca="true">CRITBINOM(E313,Coefficients!$B$31,RAND())</f>
        <v>0</v>
      </c>
      <c r="G313" s="0" t="n">
        <f aca="true">CRITBINOM(MAX(0,D313-E313),1-Coefficients!$B$32,RAND())</f>
        <v>0</v>
      </c>
      <c r="H313" s="0" t="n">
        <f aca="true">CRITBINOM(MAX(0,$C313-D313),MIN(0.6,Matchup!$B$40*SQRT($B313)/(1-MIN(0.75,Matchup!$B$39*$B313))),RAND())</f>
        <v>1</v>
      </c>
      <c r="I313" s="0" t="n">
        <f aca="false">6*D313+(D313-E313-G313)+2*F313+3*H313</f>
        <v>17</v>
      </c>
      <c r="J313" s="0" t="n">
        <f aca="true">CRITBINOM($C313,MIN(0.75,Matchup!$C$39*$B313),RAND())</f>
        <v>5</v>
      </c>
      <c r="K313" s="0" t="n">
        <f aca="true">CRITBINOM(J313,Coefficients!$B$30,RAND())</f>
        <v>2</v>
      </c>
      <c r="L313" s="0" t="n">
        <f aca="true">CRITBINOM(K313,Coefficients!$B$31,RAND())</f>
        <v>1</v>
      </c>
      <c r="M313" s="0" t="n">
        <f aca="true">CRITBINOM(MAX(0,J313-K313),1-Coefficients!$B$32,RAND())</f>
        <v>0</v>
      </c>
      <c r="N313" s="0" t="n">
        <f aca="true">CRITBINOM(MAX(0,$C313-J313),MIN(0.6,Matchup!$C$40*SQRT($B313)/(1-MIN(0.75,Matchup!$C$39*$B313))),RAND())</f>
        <v>3</v>
      </c>
      <c r="O313" s="0" t="n">
        <f aca="false">6*J313+(J313-K313-M313)+2*L313+3*N313</f>
        <v>44</v>
      </c>
      <c r="P313" s="0" t="n">
        <f aca="true">RAND()</f>
        <v>0.861725098160345</v>
      </c>
      <c r="Q313" s="0" t="n">
        <f aca="true">RAND()</f>
        <v>0.915051078204554</v>
      </c>
      <c r="R313" s="0" t="n">
        <f aca="false">IF($I313&lt;&gt;$O313,0,IF(P313&lt;Matchup!$B$39,7,IF(P313&lt;Matchup!$B$39+Matchup!$B$40,3,0)))</f>
        <v>0</v>
      </c>
      <c r="S313" s="0" t="n">
        <f aca="false">IF($I313&lt;&gt;$O313,0,IF(Q313&lt;Matchup!$C$39,7,IF(Q313&lt;Matchup!$C$39+Matchup!$C$40,3,0)))</f>
        <v>0</v>
      </c>
      <c r="T313" s="0" t="n">
        <f aca="false">I313+R313</f>
        <v>17</v>
      </c>
      <c r="U313" s="0" t="n">
        <f aca="false">O313+S313</f>
        <v>44</v>
      </c>
      <c r="V313" s="0" t="n">
        <f aca="false">T313-U313</f>
        <v>-27</v>
      </c>
      <c r="W313" s="0" t="n">
        <f aca="false">T313+U313</f>
        <v>61</v>
      </c>
    </row>
    <row r="314" customFormat="false" ht="15" hidden="false" customHeight="false" outlineLevel="0" collapsed="false">
      <c r="A314" s="0" t="n">
        <v>311</v>
      </c>
      <c r="B314" s="0" t="n">
        <f aca="true">NORMINV(RAND(),1,Coefficients!$B$22)</f>
        <v>1.02411805789823</v>
      </c>
      <c r="C314" s="0" t="n">
        <f aca="true">MEDIAN(8,16,ROUND(NORMINV(RAND(),Coefficients!$B$20,Coefficients!$B$21),0))</f>
        <v>9</v>
      </c>
      <c r="D314" s="0" t="n">
        <f aca="true">CRITBINOM($C314,MIN(0.75,Matchup!$B$39*$B314),RAND())</f>
        <v>1</v>
      </c>
      <c r="E314" s="0" t="n">
        <f aca="true">CRITBINOM(D314,Coefficients!$B$30,RAND())</f>
        <v>0</v>
      </c>
      <c r="F314" s="0" t="n">
        <f aca="true">CRITBINOM(E314,Coefficients!$B$31,RAND())</f>
        <v>0</v>
      </c>
      <c r="G314" s="0" t="n">
        <f aca="true">CRITBINOM(MAX(0,D314-E314),1-Coefficients!$B$32,RAND())</f>
        <v>0</v>
      </c>
      <c r="H314" s="0" t="n">
        <f aca="true">CRITBINOM(MAX(0,$C314-D314),MIN(0.6,Matchup!$B$40*SQRT($B314)/(1-MIN(0.75,Matchup!$B$39*$B314))),RAND())</f>
        <v>1</v>
      </c>
      <c r="I314" s="0" t="n">
        <f aca="false">6*D314+(D314-E314-G314)+2*F314+3*H314</f>
        <v>10</v>
      </c>
      <c r="J314" s="0" t="n">
        <f aca="true">CRITBINOM($C314,MIN(0.75,Matchup!$C$39*$B314),RAND())</f>
        <v>0</v>
      </c>
      <c r="K314" s="0" t="n">
        <f aca="true">CRITBINOM(J314,Coefficients!$B$30,RAND())</f>
        <v>0</v>
      </c>
      <c r="L314" s="0" t="n">
        <f aca="true">CRITBINOM(K314,Coefficients!$B$31,RAND())</f>
        <v>0</v>
      </c>
      <c r="M314" s="0" t="n">
        <f aca="true">CRITBINOM(MAX(0,J314-K314),1-Coefficients!$B$32,RAND())</f>
        <v>0</v>
      </c>
      <c r="N314" s="0" t="n">
        <f aca="true">CRITBINOM(MAX(0,$C314-J314),MIN(0.6,Matchup!$C$40*SQRT($B314)/(1-MIN(0.75,Matchup!$C$39*$B314))),RAND())</f>
        <v>3</v>
      </c>
      <c r="O314" s="0" t="n">
        <f aca="false">6*J314+(J314-K314-M314)+2*L314+3*N314</f>
        <v>9</v>
      </c>
      <c r="P314" s="0" t="n">
        <f aca="true">RAND()</f>
        <v>0.954158057214243</v>
      </c>
      <c r="Q314" s="0" t="n">
        <f aca="true">RAND()</f>
        <v>0.0196039673805353</v>
      </c>
      <c r="R314" s="0" t="n">
        <f aca="false">IF($I314&lt;&gt;$O314,0,IF(P314&lt;Matchup!$B$39,7,IF(P314&lt;Matchup!$B$39+Matchup!$B$40,3,0)))</f>
        <v>0</v>
      </c>
      <c r="S314" s="0" t="n">
        <f aca="false">IF($I314&lt;&gt;$O314,0,IF(Q314&lt;Matchup!$C$39,7,IF(Q314&lt;Matchup!$C$39+Matchup!$C$40,3,0)))</f>
        <v>0</v>
      </c>
      <c r="T314" s="0" t="n">
        <f aca="false">I314+R314</f>
        <v>10</v>
      </c>
      <c r="U314" s="0" t="n">
        <f aca="false">O314+S314</f>
        <v>9</v>
      </c>
      <c r="V314" s="0" t="n">
        <f aca="false">T314-U314</f>
        <v>1</v>
      </c>
      <c r="W314" s="0" t="n">
        <f aca="false">T314+U314</f>
        <v>19</v>
      </c>
    </row>
    <row r="315" customFormat="false" ht="15" hidden="false" customHeight="false" outlineLevel="0" collapsed="false">
      <c r="A315" s="0" t="n">
        <v>312</v>
      </c>
      <c r="B315" s="0" t="n">
        <f aca="true">NORMINV(RAND(),1,Coefficients!$B$22)</f>
        <v>0.991967785275154</v>
      </c>
      <c r="C315" s="0" t="n">
        <f aca="true">MEDIAN(8,16,ROUND(NORMINV(RAND(),Coefficients!$B$20,Coefficients!$B$21),0))</f>
        <v>11</v>
      </c>
      <c r="D315" s="0" t="n">
        <f aca="true">CRITBINOM($C315,MIN(0.75,Matchup!$B$39*$B315),RAND())</f>
        <v>6</v>
      </c>
      <c r="E315" s="0" t="n">
        <f aca="true">CRITBINOM(D315,Coefficients!$B$30,RAND())</f>
        <v>0</v>
      </c>
      <c r="F315" s="0" t="n">
        <f aca="true">CRITBINOM(E315,Coefficients!$B$31,RAND())</f>
        <v>0</v>
      </c>
      <c r="G315" s="0" t="n">
        <f aca="true">CRITBINOM(MAX(0,D315-E315),1-Coefficients!$B$32,RAND())</f>
        <v>0</v>
      </c>
      <c r="H315" s="0" t="n">
        <f aca="true">CRITBINOM(MAX(0,$C315-D315),MIN(0.6,Matchup!$B$40*SQRT($B315)/(1-MIN(0.75,Matchup!$B$39*$B315))),RAND())</f>
        <v>0</v>
      </c>
      <c r="I315" s="0" t="n">
        <f aca="false">6*D315+(D315-E315-G315)+2*F315+3*H315</f>
        <v>42</v>
      </c>
      <c r="J315" s="0" t="n">
        <f aca="true">CRITBINOM($C315,MIN(0.75,Matchup!$C$39*$B315),RAND())</f>
        <v>2</v>
      </c>
      <c r="K315" s="0" t="n">
        <f aca="true">CRITBINOM(J315,Coefficients!$B$30,RAND())</f>
        <v>0</v>
      </c>
      <c r="L315" s="0" t="n">
        <f aca="true">CRITBINOM(K315,Coefficients!$B$31,RAND())</f>
        <v>0</v>
      </c>
      <c r="M315" s="0" t="n">
        <f aca="true">CRITBINOM(MAX(0,J315-K315),1-Coefficients!$B$32,RAND())</f>
        <v>0</v>
      </c>
      <c r="N315" s="0" t="n">
        <f aca="true">CRITBINOM(MAX(0,$C315-J315),MIN(0.6,Matchup!$C$40*SQRT($B315)/(1-MIN(0.75,Matchup!$C$39*$B315))),RAND())</f>
        <v>1</v>
      </c>
      <c r="O315" s="0" t="n">
        <f aca="false">6*J315+(J315-K315-M315)+2*L315+3*N315</f>
        <v>17</v>
      </c>
      <c r="P315" s="0" t="n">
        <f aca="true">RAND()</f>
        <v>0.00508164936706363</v>
      </c>
      <c r="Q315" s="0" t="n">
        <f aca="true">RAND()</f>
        <v>0.157727161507055</v>
      </c>
      <c r="R315" s="0" t="n">
        <f aca="false">IF($I315&lt;&gt;$O315,0,IF(P315&lt;Matchup!$B$39,7,IF(P315&lt;Matchup!$B$39+Matchup!$B$40,3,0)))</f>
        <v>0</v>
      </c>
      <c r="S315" s="0" t="n">
        <f aca="false">IF($I315&lt;&gt;$O315,0,IF(Q315&lt;Matchup!$C$39,7,IF(Q315&lt;Matchup!$C$39+Matchup!$C$40,3,0)))</f>
        <v>0</v>
      </c>
      <c r="T315" s="0" t="n">
        <f aca="false">I315+R315</f>
        <v>42</v>
      </c>
      <c r="U315" s="0" t="n">
        <f aca="false">O315+S315</f>
        <v>17</v>
      </c>
      <c r="V315" s="0" t="n">
        <f aca="false">T315-U315</f>
        <v>25</v>
      </c>
      <c r="W315" s="0" t="n">
        <f aca="false">T315+U315</f>
        <v>59</v>
      </c>
    </row>
    <row r="316" customFormat="false" ht="15" hidden="false" customHeight="false" outlineLevel="0" collapsed="false">
      <c r="A316" s="0" t="n">
        <v>313</v>
      </c>
      <c r="B316" s="0" t="n">
        <f aca="true">NORMINV(RAND(),1,Coefficients!$B$22)</f>
        <v>1.02922799002622</v>
      </c>
      <c r="C316" s="0" t="n">
        <f aca="true">MEDIAN(8,16,ROUND(NORMINV(RAND(),Coefficients!$B$20,Coefficients!$B$21),0))</f>
        <v>13</v>
      </c>
      <c r="D316" s="0" t="n">
        <f aca="true">CRITBINOM($C316,MIN(0.75,Matchup!$B$39*$B316),RAND())</f>
        <v>2</v>
      </c>
      <c r="E316" s="0" t="n">
        <f aca="true">CRITBINOM(D316,Coefficients!$B$30,RAND())</f>
        <v>0</v>
      </c>
      <c r="F316" s="0" t="n">
        <f aca="true">CRITBINOM(E316,Coefficients!$B$31,RAND())</f>
        <v>0</v>
      </c>
      <c r="G316" s="0" t="n">
        <f aca="true">CRITBINOM(MAX(0,D316-E316),1-Coefficients!$B$32,RAND())</f>
        <v>0</v>
      </c>
      <c r="H316" s="0" t="n">
        <f aca="true">CRITBINOM(MAX(0,$C316-D316),MIN(0.6,Matchup!$B$40*SQRT($B316)/(1-MIN(0.75,Matchup!$B$39*$B316))),RAND())</f>
        <v>2</v>
      </c>
      <c r="I316" s="0" t="n">
        <f aca="false">6*D316+(D316-E316-G316)+2*F316+3*H316</f>
        <v>20</v>
      </c>
      <c r="J316" s="0" t="n">
        <f aca="true">CRITBINOM($C316,MIN(0.75,Matchup!$C$39*$B316),RAND())</f>
        <v>1</v>
      </c>
      <c r="K316" s="0" t="n">
        <f aca="true">CRITBINOM(J316,Coefficients!$B$30,RAND())</f>
        <v>0</v>
      </c>
      <c r="L316" s="0" t="n">
        <f aca="true">CRITBINOM(K316,Coefficients!$B$31,RAND())</f>
        <v>0</v>
      </c>
      <c r="M316" s="0" t="n">
        <f aca="true">CRITBINOM(MAX(0,J316-K316),1-Coefficients!$B$32,RAND())</f>
        <v>1</v>
      </c>
      <c r="N316" s="0" t="n">
        <f aca="true">CRITBINOM(MAX(0,$C316-J316),MIN(0.6,Matchup!$C$40*SQRT($B316)/(1-MIN(0.75,Matchup!$C$39*$B316))),RAND())</f>
        <v>1</v>
      </c>
      <c r="O316" s="0" t="n">
        <f aca="false">6*J316+(J316-K316-M316)+2*L316+3*N316</f>
        <v>9</v>
      </c>
      <c r="P316" s="0" t="n">
        <f aca="true">RAND()</f>
        <v>0.351759673231261</v>
      </c>
      <c r="Q316" s="0" t="n">
        <f aca="true">RAND()</f>
        <v>0.338985851827284</v>
      </c>
      <c r="R316" s="0" t="n">
        <f aca="false">IF($I316&lt;&gt;$O316,0,IF(P316&lt;Matchup!$B$39,7,IF(P316&lt;Matchup!$B$39+Matchup!$B$40,3,0)))</f>
        <v>0</v>
      </c>
      <c r="S316" s="0" t="n">
        <f aca="false">IF($I316&lt;&gt;$O316,0,IF(Q316&lt;Matchup!$C$39,7,IF(Q316&lt;Matchup!$C$39+Matchup!$C$40,3,0)))</f>
        <v>0</v>
      </c>
      <c r="T316" s="0" t="n">
        <f aca="false">I316+R316</f>
        <v>20</v>
      </c>
      <c r="U316" s="0" t="n">
        <f aca="false">O316+S316</f>
        <v>9</v>
      </c>
      <c r="V316" s="0" t="n">
        <f aca="false">T316-U316</f>
        <v>11</v>
      </c>
      <c r="W316" s="0" t="n">
        <f aca="false">T316+U316</f>
        <v>29</v>
      </c>
    </row>
    <row r="317" customFormat="false" ht="15" hidden="false" customHeight="false" outlineLevel="0" collapsed="false">
      <c r="A317" s="0" t="n">
        <v>314</v>
      </c>
      <c r="B317" s="0" t="n">
        <f aca="true">NORMINV(RAND(),1,Coefficients!$B$22)</f>
        <v>0.92320469807446</v>
      </c>
      <c r="C317" s="0" t="n">
        <f aca="true">MEDIAN(8,16,ROUND(NORMINV(RAND(),Coefficients!$B$20,Coefficients!$B$21),0))</f>
        <v>12</v>
      </c>
      <c r="D317" s="0" t="n">
        <f aca="true">CRITBINOM($C317,MIN(0.75,Matchup!$B$39*$B317),RAND())</f>
        <v>6</v>
      </c>
      <c r="E317" s="0" t="n">
        <f aca="true">CRITBINOM(D317,Coefficients!$B$30,RAND())</f>
        <v>1</v>
      </c>
      <c r="F317" s="0" t="n">
        <f aca="true">CRITBINOM(E317,Coefficients!$B$31,RAND())</f>
        <v>0</v>
      </c>
      <c r="G317" s="0" t="n">
        <f aca="true">CRITBINOM(MAX(0,D317-E317),1-Coefficients!$B$32,RAND())</f>
        <v>0</v>
      </c>
      <c r="H317" s="0" t="n">
        <f aca="true">CRITBINOM(MAX(0,$C317-D317),MIN(0.6,Matchup!$B$40*SQRT($B317)/(1-MIN(0.75,Matchup!$B$39*$B317))),RAND())</f>
        <v>1</v>
      </c>
      <c r="I317" s="0" t="n">
        <f aca="false">6*D317+(D317-E317-G317)+2*F317+3*H317</f>
        <v>44</v>
      </c>
      <c r="J317" s="0" t="n">
        <f aca="true">CRITBINOM($C317,MIN(0.75,Matchup!$C$39*$B317),RAND())</f>
        <v>4</v>
      </c>
      <c r="K317" s="0" t="n">
        <f aca="true">CRITBINOM(J317,Coefficients!$B$30,RAND())</f>
        <v>0</v>
      </c>
      <c r="L317" s="0" t="n">
        <f aca="true">CRITBINOM(K317,Coefficients!$B$31,RAND())</f>
        <v>0</v>
      </c>
      <c r="M317" s="0" t="n">
        <f aca="true">CRITBINOM(MAX(0,J317-K317),1-Coefficients!$B$32,RAND())</f>
        <v>0</v>
      </c>
      <c r="N317" s="0" t="n">
        <f aca="true">CRITBINOM(MAX(0,$C317-J317),MIN(0.6,Matchup!$C$40*SQRT($B317)/(1-MIN(0.75,Matchup!$C$39*$B317))),RAND())</f>
        <v>1</v>
      </c>
      <c r="O317" s="0" t="n">
        <f aca="false">6*J317+(J317-K317-M317)+2*L317+3*N317</f>
        <v>31</v>
      </c>
      <c r="P317" s="0" t="n">
        <f aca="true">RAND()</f>
        <v>0.424252562163078</v>
      </c>
      <c r="Q317" s="0" t="n">
        <f aca="true">RAND()</f>
        <v>0.966598496582323</v>
      </c>
      <c r="R317" s="0" t="n">
        <f aca="false">IF($I317&lt;&gt;$O317,0,IF(P317&lt;Matchup!$B$39,7,IF(P317&lt;Matchup!$B$39+Matchup!$B$40,3,0)))</f>
        <v>0</v>
      </c>
      <c r="S317" s="0" t="n">
        <f aca="false">IF($I317&lt;&gt;$O317,0,IF(Q317&lt;Matchup!$C$39,7,IF(Q317&lt;Matchup!$C$39+Matchup!$C$40,3,0)))</f>
        <v>0</v>
      </c>
      <c r="T317" s="0" t="n">
        <f aca="false">I317+R317</f>
        <v>44</v>
      </c>
      <c r="U317" s="0" t="n">
        <f aca="false">O317+S317</f>
        <v>31</v>
      </c>
      <c r="V317" s="0" t="n">
        <f aca="false">T317-U317</f>
        <v>13</v>
      </c>
      <c r="W317" s="0" t="n">
        <f aca="false">T317+U317</f>
        <v>75</v>
      </c>
    </row>
    <row r="318" customFormat="false" ht="15" hidden="false" customHeight="false" outlineLevel="0" collapsed="false">
      <c r="A318" s="0" t="n">
        <v>315</v>
      </c>
      <c r="B318" s="0" t="n">
        <f aca="true">NORMINV(RAND(),1,Coefficients!$B$22)</f>
        <v>1.03673080048617</v>
      </c>
      <c r="C318" s="0" t="n">
        <f aca="true">MEDIAN(8,16,ROUND(NORMINV(RAND(),Coefficients!$B$20,Coefficients!$B$21),0))</f>
        <v>9</v>
      </c>
      <c r="D318" s="0" t="n">
        <f aca="true">CRITBINOM($C318,MIN(0.75,Matchup!$B$39*$B318),RAND())</f>
        <v>5</v>
      </c>
      <c r="E318" s="0" t="n">
        <f aca="true">CRITBINOM(D318,Coefficients!$B$30,RAND())</f>
        <v>1</v>
      </c>
      <c r="F318" s="0" t="n">
        <f aca="true">CRITBINOM(E318,Coefficients!$B$31,RAND())</f>
        <v>0</v>
      </c>
      <c r="G318" s="0" t="n">
        <f aca="true">CRITBINOM(MAX(0,D318-E318),1-Coefficients!$B$32,RAND())</f>
        <v>2</v>
      </c>
      <c r="H318" s="0" t="n">
        <f aca="true">CRITBINOM(MAX(0,$C318-D318),MIN(0.6,Matchup!$B$40*SQRT($B318)/(1-MIN(0.75,Matchup!$B$39*$B318))),RAND())</f>
        <v>1</v>
      </c>
      <c r="I318" s="0" t="n">
        <f aca="false">6*D318+(D318-E318-G318)+2*F318+3*H318</f>
        <v>35</v>
      </c>
      <c r="J318" s="0" t="n">
        <f aca="true">CRITBINOM($C318,MIN(0.75,Matchup!$C$39*$B318),RAND())</f>
        <v>1</v>
      </c>
      <c r="K318" s="0" t="n">
        <f aca="true">CRITBINOM(J318,Coefficients!$B$30,RAND())</f>
        <v>0</v>
      </c>
      <c r="L318" s="0" t="n">
        <f aca="true">CRITBINOM(K318,Coefficients!$B$31,RAND())</f>
        <v>0</v>
      </c>
      <c r="M318" s="0" t="n">
        <f aca="true">CRITBINOM(MAX(0,J318-K318),1-Coefficients!$B$32,RAND())</f>
        <v>0</v>
      </c>
      <c r="N318" s="0" t="n">
        <f aca="true">CRITBINOM(MAX(0,$C318-J318),MIN(0.6,Matchup!$C$40*SQRT($B318)/(1-MIN(0.75,Matchup!$C$39*$B318))),RAND())</f>
        <v>1</v>
      </c>
      <c r="O318" s="0" t="n">
        <f aca="false">6*J318+(J318-K318-M318)+2*L318+3*N318</f>
        <v>10</v>
      </c>
      <c r="P318" s="0" t="n">
        <f aca="true">RAND()</f>
        <v>0.199395492648924</v>
      </c>
      <c r="Q318" s="0" t="n">
        <f aca="true">RAND()</f>
        <v>0.15925112454056</v>
      </c>
      <c r="R318" s="0" t="n">
        <f aca="false">IF($I318&lt;&gt;$O318,0,IF(P318&lt;Matchup!$B$39,7,IF(P318&lt;Matchup!$B$39+Matchup!$B$40,3,0)))</f>
        <v>0</v>
      </c>
      <c r="S318" s="0" t="n">
        <f aca="false">IF($I318&lt;&gt;$O318,0,IF(Q318&lt;Matchup!$C$39,7,IF(Q318&lt;Matchup!$C$39+Matchup!$C$40,3,0)))</f>
        <v>0</v>
      </c>
      <c r="T318" s="0" t="n">
        <f aca="false">I318+R318</f>
        <v>35</v>
      </c>
      <c r="U318" s="0" t="n">
        <f aca="false">O318+S318</f>
        <v>10</v>
      </c>
      <c r="V318" s="0" t="n">
        <f aca="false">T318-U318</f>
        <v>25</v>
      </c>
      <c r="W318" s="0" t="n">
        <f aca="false">T318+U318</f>
        <v>45</v>
      </c>
    </row>
    <row r="319" customFormat="false" ht="15" hidden="false" customHeight="false" outlineLevel="0" collapsed="false">
      <c r="A319" s="0" t="n">
        <v>316</v>
      </c>
      <c r="B319" s="0" t="n">
        <f aca="true">NORMINV(RAND(),1,Coefficients!$B$22)</f>
        <v>1.00872050079749</v>
      </c>
      <c r="C319" s="0" t="n">
        <f aca="true">MEDIAN(8,16,ROUND(NORMINV(RAND(),Coefficients!$B$20,Coefficients!$B$21),0))</f>
        <v>11</v>
      </c>
      <c r="D319" s="0" t="n">
        <f aca="true">CRITBINOM($C319,MIN(0.75,Matchup!$B$39*$B319),RAND())</f>
        <v>2</v>
      </c>
      <c r="E319" s="0" t="n">
        <f aca="true">CRITBINOM(D319,Coefficients!$B$30,RAND())</f>
        <v>0</v>
      </c>
      <c r="F319" s="0" t="n">
        <f aca="true">CRITBINOM(E319,Coefficients!$B$31,RAND())</f>
        <v>0</v>
      </c>
      <c r="G319" s="0" t="n">
        <f aca="true">CRITBINOM(MAX(0,D319-E319),1-Coefficients!$B$32,RAND())</f>
        <v>0</v>
      </c>
      <c r="H319" s="0" t="n">
        <f aca="true">CRITBINOM(MAX(0,$C319-D319),MIN(0.6,Matchup!$B$40*SQRT($B319)/(1-MIN(0.75,Matchup!$B$39*$B319))),RAND())</f>
        <v>1</v>
      </c>
      <c r="I319" s="0" t="n">
        <f aca="false">6*D319+(D319-E319-G319)+2*F319+3*H319</f>
        <v>17</v>
      </c>
      <c r="J319" s="0" t="n">
        <f aca="true">CRITBINOM($C319,MIN(0.75,Matchup!$C$39*$B319),RAND())</f>
        <v>0</v>
      </c>
      <c r="K319" s="0" t="n">
        <f aca="true">CRITBINOM(J319,Coefficients!$B$30,RAND())</f>
        <v>0</v>
      </c>
      <c r="L319" s="0" t="n">
        <f aca="true">CRITBINOM(K319,Coefficients!$B$31,RAND())</f>
        <v>0</v>
      </c>
      <c r="M319" s="0" t="n">
        <f aca="true">CRITBINOM(MAX(0,J319-K319),1-Coefficients!$B$32,RAND())</f>
        <v>0</v>
      </c>
      <c r="N319" s="0" t="n">
        <f aca="true">CRITBINOM(MAX(0,$C319-J319),MIN(0.6,Matchup!$C$40*SQRT($B319)/(1-MIN(0.75,Matchup!$C$39*$B319))),RAND())</f>
        <v>3</v>
      </c>
      <c r="O319" s="0" t="n">
        <f aca="false">6*J319+(J319-K319-M319)+2*L319+3*N319</f>
        <v>9</v>
      </c>
      <c r="P319" s="0" t="n">
        <f aca="true">RAND()</f>
        <v>0.239525117048989</v>
      </c>
      <c r="Q319" s="0" t="n">
        <f aca="true">RAND()</f>
        <v>0.638445684546117</v>
      </c>
      <c r="R319" s="0" t="n">
        <f aca="false">IF($I319&lt;&gt;$O319,0,IF(P319&lt;Matchup!$B$39,7,IF(P319&lt;Matchup!$B$39+Matchup!$B$40,3,0)))</f>
        <v>0</v>
      </c>
      <c r="S319" s="0" t="n">
        <f aca="false">IF($I319&lt;&gt;$O319,0,IF(Q319&lt;Matchup!$C$39,7,IF(Q319&lt;Matchup!$C$39+Matchup!$C$40,3,0)))</f>
        <v>0</v>
      </c>
      <c r="T319" s="0" t="n">
        <f aca="false">I319+R319</f>
        <v>17</v>
      </c>
      <c r="U319" s="0" t="n">
        <f aca="false">O319+S319</f>
        <v>9</v>
      </c>
      <c r="V319" s="0" t="n">
        <f aca="false">T319-U319</f>
        <v>8</v>
      </c>
      <c r="W319" s="0" t="n">
        <f aca="false">T319+U319</f>
        <v>26</v>
      </c>
    </row>
    <row r="320" customFormat="false" ht="15" hidden="false" customHeight="false" outlineLevel="0" collapsed="false">
      <c r="A320" s="0" t="n">
        <v>317</v>
      </c>
      <c r="B320" s="0" t="n">
        <f aca="true">NORMINV(RAND(),1,Coefficients!$B$22)</f>
        <v>1.05954094951334</v>
      </c>
      <c r="C320" s="0" t="n">
        <f aca="true">MEDIAN(8,16,ROUND(NORMINV(RAND(),Coefficients!$B$20,Coefficients!$B$21),0))</f>
        <v>12</v>
      </c>
      <c r="D320" s="0" t="n">
        <f aca="true">CRITBINOM($C320,MIN(0.75,Matchup!$B$39*$B320),RAND())</f>
        <v>7</v>
      </c>
      <c r="E320" s="0" t="n">
        <f aca="true">CRITBINOM(D320,Coefficients!$B$30,RAND())</f>
        <v>0</v>
      </c>
      <c r="F320" s="0" t="n">
        <f aca="true">CRITBINOM(E320,Coefficients!$B$31,RAND())</f>
        <v>0</v>
      </c>
      <c r="G320" s="0" t="n">
        <f aca="true">CRITBINOM(MAX(0,D320-E320),1-Coefficients!$B$32,RAND())</f>
        <v>0</v>
      </c>
      <c r="H320" s="0" t="n">
        <f aca="true">CRITBINOM(MAX(0,$C320-D320),MIN(0.6,Matchup!$B$40*SQRT($B320)/(1-MIN(0.75,Matchup!$B$39*$B320))),RAND())</f>
        <v>1</v>
      </c>
      <c r="I320" s="0" t="n">
        <f aca="false">6*D320+(D320-E320-G320)+2*F320+3*H320</f>
        <v>52</v>
      </c>
      <c r="J320" s="0" t="n">
        <f aca="true">CRITBINOM($C320,MIN(0.75,Matchup!$C$39*$B320),RAND())</f>
        <v>5</v>
      </c>
      <c r="K320" s="0" t="n">
        <f aca="true">CRITBINOM(J320,Coefficients!$B$30,RAND())</f>
        <v>1</v>
      </c>
      <c r="L320" s="0" t="n">
        <f aca="true">CRITBINOM(K320,Coefficients!$B$31,RAND())</f>
        <v>0</v>
      </c>
      <c r="M320" s="0" t="n">
        <f aca="true">CRITBINOM(MAX(0,J320-K320),1-Coefficients!$B$32,RAND())</f>
        <v>0</v>
      </c>
      <c r="N320" s="0" t="n">
        <f aca="true">CRITBINOM(MAX(0,$C320-J320),MIN(0.6,Matchup!$C$40*SQRT($B320)/(1-MIN(0.75,Matchup!$C$39*$B320))),RAND())</f>
        <v>1</v>
      </c>
      <c r="O320" s="0" t="n">
        <f aca="false">6*J320+(J320-K320-M320)+2*L320+3*N320</f>
        <v>37</v>
      </c>
      <c r="P320" s="0" t="n">
        <f aca="true">RAND()</f>
        <v>0.845710426419162</v>
      </c>
      <c r="Q320" s="0" t="n">
        <f aca="true">RAND()</f>
        <v>0.676973932702808</v>
      </c>
      <c r="R320" s="0" t="n">
        <f aca="false">IF($I320&lt;&gt;$O320,0,IF(P320&lt;Matchup!$B$39,7,IF(P320&lt;Matchup!$B$39+Matchup!$B$40,3,0)))</f>
        <v>0</v>
      </c>
      <c r="S320" s="0" t="n">
        <f aca="false">IF($I320&lt;&gt;$O320,0,IF(Q320&lt;Matchup!$C$39,7,IF(Q320&lt;Matchup!$C$39+Matchup!$C$40,3,0)))</f>
        <v>0</v>
      </c>
      <c r="T320" s="0" t="n">
        <f aca="false">I320+R320</f>
        <v>52</v>
      </c>
      <c r="U320" s="0" t="n">
        <f aca="false">O320+S320</f>
        <v>37</v>
      </c>
      <c r="V320" s="0" t="n">
        <f aca="false">T320-U320</f>
        <v>15</v>
      </c>
      <c r="W320" s="0" t="n">
        <f aca="false">T320+U320</f>
        <v>89</v>
      </c>
    </row>
    <row r="321" customFormat="false" ht="15" hidden="false" customHeight="false" outlineLevel="0" collapsed="false">
      <c r="A321" s="0" t="n">
        <v>318</v>
      </c>
      <c r="B321" s="0" t="n">
        <f aca="true">NORMINV(RAND(),1,Coefficients!$B$22)</f>
        <v>0.883271630902252</v>
      </c>
      <c r="C321" s="0" t="n">
        <f aca="true">MEDIAN(8,16,ROUND(NORMINV(RAND(),Coefficients!$B$20,Coefficients!$B$21),0))</f>
        <v>12</v>
      </c>
      <c r="D321" s="0" t="n">
        <f aca="true">CRITBINOM($C321,MIN(0.75,Matchup!$B$39*$B321),RAND())</f>
        <v>2</v>
      </c>
      <c r="E321" s="0" t="n">
        <f aca="true">CRITBINOM(D321,Coefficients!$B$30,RAND())</f>
        <v>2</v>
      </c>
      <c r="F321" s="0" t="n">
        <f aca="true">CRITBINOM(E321,Coefficients!$B$31,RAND())</f>
        <v>0</v>
      </c>
      <c r="G321" s="0" t="n">
        <f aca="true">CRITBINOM(MAX(0,D321-E321),1-Coefficients!$B$32,RAND())</f>
        <v>0</v>
      </c>
      <c r="H321" s="0" t="n">
        <f aca="true">CRITBINOM(MAX(0,$C321-D321),MIN(0.6,Matchup!$B$40*SQRT($B321)/(1-MIN(0.75,Matchup!$B$39*$B321))),RAND())</f>
        <v>0</v>
      </c>
      <c r="I321" s="0" t="n">
        <f aca="false">6*D321+(D321-E321-G321)+2*F321+3*H321</f>
        <v>12</v>
      </c>
      <c r="J321" s="0" t="n">
        <f aca="true">CRITBINOM($C321,MIN(0.75,Matchup!$C$39*$B321),RAND())</f>
        <v>3</v>
      </c>
      <c r="K321" s="0" t="n">
        <f aca="true">CRITBINOM(J321,Coefficients!$B$30,RAND())</f>
        <v>0</v>
      </c>
      <c r="L321" s="0" t="n">
        <f aca="true">CRITBINOM(K321,Coefficients!$B$31,RAND())</f>
        <v>0</v>
      </c>
      <c r="M321" s="0" t="n">
        <f aca="true">CRITBINOM(MAX(0,J321-K321),1-Coefficients!$B$32,RAND())</f>
        <v>0</v>
      </c>
      <c r="N321" s="0" t="n">
        <f aca="true">CRITBINOM(MAX(0,$C321-J321),MIN(0.6,Matchup!$C$40*SQRT($B321)/(1-MIN(0.75,Matchup!$C$39*$B321))),RAND())</f>
        <v>1</v>
      </c>
      <c r="O321" s="0" t="n">
        <f aca="false">6*J321+(J321-K321-M321)+2*L321+3*N321</f>
        <v>24</v>
      </c>
      <c r="P321" s="0" t="n">
        <f aca="true">RAND()</f>
        <v>0.875017874675941</v>
      </c>
      <c r="Q321" s="0" t="n">
        <f aca="true">RAND()</f>
        <v>0.297956645129031</v>
      </c>
      <c r="R321" s="0" t="n">
        <f aca="false">IF($I321&lt;&gt;$O321,0,IF(P321&lt;Matchup!$B$39,7,IF(P321&lt;Matchup!$B$39+Matchup!$B$40,3,0)))</f>
        <v>0</v>
      </c>
      <c r="S321" s="0" t="n">
        <f aca="false">IF($I321&lt;&gt;$O321,0,IF(Q321&lt;Matchup!$C$39,7,IF(Q321&lt;Matchup!$C$39+Matchup!$C$40,3,0)))</f>
        <v>0</v>
      </c>
      <c r="T321" s="0" t="n">
        <f aca="false">I321+R321</f>
        <v>12</v>
      </c>
      <c r="U321" s="0" t="n">
        <f aca="false">O321+S321</f>
        <v>24</v>
      </c>
      <c r="V321" s="0" t="n">
        <f aca="false">T321-U321</f>
        <v>-12</v>
      </c>
      <c r="W321" s="0" t="n">
        <f aca="false">T321+U321</f>
        <v>36</v>
      </c>
    </row>
    <row r="322" customFormat="false" ht="15" hidden="false" customHeight="false" outlineLevel="0" collapsed="false">
      <c r="A322" s="0" t="n">
        <v>319</v>
      </c>
      <c r="B322" s="0" t="n">
        <f aca="true">NORMINV(RAND(),1,Coefficients!$B$22)</f>
        <v>1.1227627065542</v>
      </c>
      <c r="C322" s="0" t="n">
        <f aca="true">MEDIAN(8,16,ROUND(NORMINV(RAND(),Coefficients!$B$20,Coefficients!$B$21),0))</f>
        <v>10</v>
      </c>
      <c r="D322" s="0" t="n">
        <f aca="true">CRITBINOM($C322,MIN(0.75,Matchup!$B$39*$B322),RAND())</f>
        <v>2</v>
      </c>
      <c r="E322" s="0" t="n">
        <f aca="true">CRITBINOM(D322,Coefficients!$B$30,RAND())</f>
        <v>0</v>
      </c>
      <c r="F322" s="0" t="n">
        <f aca="true">CRITBINOM(E322,Coefficients!$B$31,RAND())</f>
        <v>0</v>
      </c>
      <c r="G322" s="0" t="n">
        <f aca="true">CRITBINOM(MAX(0,D322-E322),1-Coefficients!$B$32,RAND())</f>
        <v>0</v>
      </c>
      <c r="H322" s="0" t="n">
        <f aca="true">CRITBINOM(MAX(0,$C322-D322),MIN(0.6,Matchup!$B$40*SQRT($B322)/(1-MIN(0.75,Matchup!$B$39*$B322))),RAND())</f>
        <v>2</v>
      </c>
      <c r="I322" s="0" t="n">
        <f aca="false">6*D322+(D322-E322-G322)+2*F322+3*H322</f>
        <v>20</v>
      </c>
      <c r="J322" s="0" t="n">
        <f aca="true">CRITBINOM($C322,MIN(0.75,Matchup!$C$39*$B322),RAND())</f>
        <v>4</v>
      </c>
      <c r="K322" s="0" t="n">
        <f aca="true">CRITBINOM(J322,Coefficients!$B$30,RAND())</f>
        <v>1</v>
      </c>
      <c r="L322" s="0" t="n">
        <f aca="true">CRITBINOM(K322,Coefficients!$B$31,RAND())</f>
        <v>0</v>
      </c>
      <c r="M322" s="0" t="n">
        <f aca="true">CRITBINOM(MAX(0,J322-K322),1-Coefficients!$B$32,RAND())</f>
        <v>0</v>
      </c>
      <c r="N322" s="0" t="n">
        <f aca="true">CRITBINOM(MAX(0,$C322-J322),MIN(0.6,Matchup!$C$40*SQRT($B322)/(1-MIN(0.75,Matchup!$C$39*$B322))),RAND())</f>
        <v>1</v>
      </c>
      <c r="O322" s="0" t="n">
        <f aca="false">6*J322+(J322-K322-M322)+2*L322+3*N322</f>
        <v>30</v>
      </c>
      <c r="P322" s="0" t="n">
        <f aca="true">RAND()</f>
        <v>0.518560908606754</v>
      </c>
      <c r="Q322" s="0" t="n">
        <f aca="true">RAND()</f>
        <v>0.0754187086999131</v>
      </c>
      <c r="R322" s="0" t="n">
        <f aca="false">IF($I322&lt;&gt;$O322,0,IF(P322&lt;Matchup!$B$39,7,IF(P322&lt;Matchup!$B$39+Matchup!$B$40,3,0)))</f>
        <v>0</v>
      </c>
      <c r="S322" s="0" t="n">
        <f aca="false">IF($I322&lt;&gt;$O322,0,IF(Q322&lt;Matchup!$C$39,7,IF(Q322&lt;Matchup!$C$39+Matchup!$C$40,3,0)))</f>
        <v>0</v>
      </c>
      <c r="T322" s="0" t="n">
        <f aca="false">I322+R322</f>
        <v>20</v>
      </c>
      <c r="U322" s="0" t="n">
        <f aca="false">O322+S322</f>
        <v>30</v>
      </c>
      <c r="V322" s="0" t="n">
        <f aca="false">T322-U322</f>
        <v>-10</v>
      </c>
      <c r="W322" s="0" t="n">
        <f aca="false">T322+U322</f>
        <v>50</v>
      </c>
    </row>
    <row r="323" customFormat="false" ht="15" hidden="false" customHeight="false" outlineLevel="0" collapsed="false">
      <c r="A323" s="0" t="n">
        <v>320</v>
      </c>
      <c r="B323" s="0" t="n">
        <f aca="true">NORMINV(RAND(),1,Coefficients!$B$22)</f>
        <v>0.995113255009468</v>
      </c>
      <c r="C323" s="0" t="n">
        <f aca="true">MEDIAN(8,16,ROUND(NORMINV(RAND(),Coefficients!$B$20,Coefficients!$B$21),0))</f>
        <v>10</v>
      </c>
      <c r="D323" s="0" t="n">
        <f aca="true">CRITBINOM($C323,MIN(0.75,Matchup!$B$39*$B323),RAND())</f>
        <v>4</v>
      </c>
      <c r="E323" s="0" t="n">
        <f aca="true">CRITBINOM(D323,Coefficients!$B$30,RAND())</f>
        <v>0</v>
      </c>
      <c r="F323" s="0" t="n">
        <f aca="true">CRITBINOM(E323,Coefficients!$B$31,RAND())</f>
        <v>0</v>
      </c>
      <c r="G323" s="0" t="n">
        <f aca="true">CRITBINOM(MAX(0,D323-E323),1-Coefficients!$B$32,RAND())</f>
        <v>1</v>
      </c>
      <c r="H323" s="0" t="n">
        <f aca="true">CRITBINOM(MAX(0,$C323-D323),MIN(0.6,Matchup!$B$40*SQRT($B323)/(1-MIN(0.75,Matchup!$B$39*$B323))),RAND())</f>
        <v>1</v>
      </c>
      <c r="I323" s="0" t="n">
        <f aca="false">6*D323+(D323-E323-G323)+2*F323+3*H323</f>
        <v>30</v>
      </c>
      <c r="J323" s="0" t="n">
        <f aca="true">CRITBINOM($C323,MIN(0.75,Matchup!$C$39*$B323),RAND())</f>
        <v>1</v>
      </c>
      <c r="K323" s="0" t="n">
        <f aca="true">CRITBINOM(J323,Coefficients!$B$30,RAND())</f>
        <v>0</v>
      </c>
      <c r="L323" s="0" t="n">
        <f aca="true">CRITBINOM(K323,Coefficients!$B$31,RAND())</f>
        <v>0</v>
      </c>
      <c r="M323" s="0" t="n">
        <f aca="true">CRITBINOM(MAX(0,J323-K323),1-Coefficients!$B$32,RAND())</f>
        <v>0</v>
      </c>
      <c r="N323" s="0" t="n">
        <f aca="true">CRITBINOM(MAX(0,$C323-J323),MIN(0.6,Matchup!$C$40*SQRT($B323)/(1-MIN(0.75,Matchup!$C$39*$B323))),RAND())</f>
        <v>2</v>
      </c>
      <c r="O323" s="0" t="n">
        <f aca="false">6*J323+(J323-K323-M323)+2*L323+3*N323</f>
        <v>13</v>
      </c>
      <c r="P323" s="0" t="n">
        <f aca="true">RAND()</f>
        <v>0.192764406151517</v>
      </c>
      <c r="Q323" s="0" t="n">
        <f aca="true">RAND()</f>
        <v>0.209106490051856</v>
      </c>
      <c r="R323" s="0" t="n">
        <f aca="false">IF($I323&lt;&gt;$O323,0,IF(P323&lt;Matchup!$B$39,7,IF(P323&lt;Matchup!$B$39+Matchup!$B$40,3,0)))</f>
        <v>0</v>
      </c>
      <c r="S323" s="0" t="n">
        <f aca="false">IF($I323&lt;&gt;$O323,0,IF(Q323&lt;Matchup!$C$39,7,IF(Q323&lt;Matchup!$C$39+Matchup!$C$40,3,0)))</f>
        <v>0</v>
      </c>
      <c r="T323" s="0" t="n">
        <f aca="false">I323+R323</f>
        <v>30</v>
      </c>
      <c r="U323" s="0" t="n">
        <f aca="false">O323+S323</f>
        <v>13</v>
      </c>
      <c r="V323" s="0" t="n">
        <f aca="false">T323-U323</f>
        <v>17</v>
      </c>
      <c r="W323" s="0" t="n">
        <f aca="false">T323+U323</f>
        <v>43</v>
      </c>
    </row>
    <row r="324" customFormat="false" ht="15" hidden="false" customHeight="false" outlineLevel="0" collapsed="false">
      <c r="A324" s="0" t="n">
        <v>321</v>
      </c>
      <c r="B324" s="0" t="n">
        <f aca="true">NORMINV(RAND(),1,Coefficients!$B$22)</f>
        <v>0.989163908959192</v>
      </c>
      <c r="C324" s="0" t="n">
        <f aca="true">MEDIAN(8,16,ROUND(NORMINV(RAND(),Coefficients!$B$20,Coefficients!$B$21),0))</f>
        <v>14</v>
      </c>
      <c r="D324" s="0" t="n">
        <f aca="true">CRITBINOM($C324,MIN(0.75,Matchup!$B$39*$B324),RAND())</f>
        <v>3</v>
      </c>
      <c r="E324" s="0" t="n">
        <f aca="true">CRITBINOM(D324,Coefficients!$B$30,RAND())</f>
        <v>0</v>
      </c>
      <c r="F324" s="0" t="n">
        <f aca="true">CRITBINOM(E324,Coefficients!$B$31,RAND())</f>
        <v>0</v>
      </c>
      <c r="G324" s="0" t="n">
        <f aca="true">CRITBINOM(MAX(0,D324-E324),1-Coefficients!$B$32,RAND())</f>
        <v>0</v>
      </c>
      <c r="H324" s="0" t="n">
        <f aca="true">CRITBINOM(MAX(0,$C324-D324),MIN(0.6,Matchup!$B$40*SQRT($B324)/(1-MIN(0.75,Matchup!$B$39*$B324))),RAND())</f>
        <v>0</v>
      </c>
      <c r="I324" s="0" t="n">
        <f aca="false">6*D324+(D324-E324-G324)+2*F324+3*H324</f>
        <v>21</v>
      </c>
      <c r="J324" s="0" t="n">
        <f aca="true">CRITBINOM($C324,MIN(0.75,Matchup!$C$39*$B324),RAND())</f>
        <v>2</v>
      </c>
      <c r="K324" s="0" t="n">
        <f aca="true">CRITBINOM(J324,Coefficients!$B$30,RAND())</f>
        <v>0</v>
      </c>
      <c r="L324" s="0" t="n">
        <f aca="true">CRITBINOM(K324,Coefficients!$B$31,RAND())</f>
        <v>0</v>
      </c>
      <c r="M324" s="0" t="n">
        <f aca="true">CRITBINOM(MAX(0,J324-K324),1-Coefficients!$B$32,RAND())</f>
        <v>0</v>
      </c>
      <c r="N324" s="0" t="n">
        <f aca="true">CRITBINOM(MAX(0,$C324-J324),MIN(0.6,Matchup!$C$40*SQRT($B324)/(1-MIN(0.75,Matchup!$C$39*$B324))),RAND())</f>
        <v>2</v>
      </c>
      <c r="O324" s="0" t="n">
        <f aca="false">6*J324+(J324-K324-M324)+2*L324+3*N324</f>
        <v>20</v>
      </c>
      <c r="P324" s="0" t="n">
        <f aca="true">RAND()</f>
        <v>0.947637776939894</v>
      </c>
      <c r="Q324" s="0" t="n">
        <f aca="true">RAND()</f>
        <v>0.716739764073023</v>
      </c>
      <c r="R324" s="0" t="n">
        <f aca="false">IF($I324&lt;&gt;$O324,0,IF(P324&lt;Matchup!$B$39,7,IF(P324&lt;Matchup!$B$39+Matchup!$B$40,3,0)))</f>
        <v>0</v>
      </c>
      <c r="S324" s="0" t="n">
        <f aca="false">IF($I324&lt;&gt;$O324,0,IF(Q324&lt;Matchup!$C$39,7,IF(Q324&lt;Matchup!$C$39+Matchup!$C$40,3,0)))</f>
        <v>0</v>
      </c>
      <c r="T324" s="0" t="n">
        <f aca="false">I324+R324</f>
        <v>21</v>
      </c>
      <c r="U324" s="0" t="n">
        <f aca="false">O324+S324</f>
        <v>20</v>
      </c>
      <c r="V324" s="0" t="n">
        <f aca="false">T324-U324</f>
        <v>1</v>
      </c>
      <c r="W324" s="0" t="n">
        <f aca="false">T324+U324</f>
        <v>41</v>
      </c>
    </row>
    <row r="325" customFormat="false" ht="15" hidden="false" customHeight="false" outlineLevel="0" collapsed="false">
      <c r="A325" s="0" t="n">
        <v>322</v>
      </c>
      <c r="B325" s="0" t="n">
        <f aca="true">NORMINV(RAND(),1,Coefficients!$B$22)</f>
        <v>1.0000641844876</v>
      </c>
      <c r="C325" s="0" t="n">
        <f aca="true">MEDIAN(8,16,ROUND(NORMINV(RAND(),Coefficients!$B$20,Coefficients!$B$21),0))</f>
        <v>12</v>
      </c>
      <c r="D325" s="0" t="n">
        <f aca="true">CRITBINOM($C325,MIN(0.75,Matchup!$B$39*$B325),RAND())</f>
        <v>3</v>
      </c>
      <c r="E325" s="0" t="n">
        <f aca="true">CRITBINOM(D325,Coefficients!$B$30,RAND())</f>
        <v>0</v>
      </c>
      <c r="F325" s="0" t="n">
        <f aca="true">CRITBINOM(E325,Coefficients!$B$31,RAND())</f>
        <v>0</v>
      </c>
      <c r="G325" s="0" t="n">
        <f aca="true">CRITBINOM(MAX(0,D325-E325),1-Coefficients!$B$32,RAND())</f>
        <v>0</v>
      </c>
      <c r="H325" s="0" t="n">
        <f aca="true">CRITBINOM(MAX(0,$C325-D325),MIN(0.6,Matchup!$B$40*SQRT($B325)/(1-MIN(0.75,Matchup!$B$39*$B325))),RAND())</f>
        <v>2</v>
      </c>
      <c r="I325" s="0" t="n">
        <f aca="false">6*D325+(D325-E325-G325)+2*F325+3*H325</f>
        <v>27</v>
      </c>
      <c r="J325" s="0" t="n">
        <f aca="true">CRITBINOM($C325,MIN(0.75,Matchup!$C$39*$B325),RAND())</f>
        <v>4</v>
      </c>
      <c r="K325" s="0" t="n">
        <f aca="true">CRITBINOM(J325,Coefficients!$B$30,RAND())</f>
        <v>0</v>
      </c>
      <c r="L325" s="0" t="n">
        <f aca="true">CRITBINOM(K325,Coefficients!$B$31,RAND())</f>
        <v>0</v>
      </c>
      <c r="M325" s="0" t="n">
        <f aca="true">CRITBINOM(MAX(0,J325-K325),1-Coefficients!$B$32,RAND())</f>
        <v>0</v>
      </c>
      <c r="N325" s="0" t="n">
        <f aca="true">CRITBINOM(MAX(0,$C325-J325),MIN(0.6,Matchup!$C$40*SQRT($B325)/(1-MIN(0.75,Matchup!$C$39*$B325))),RAND())</f>
        <v>2</v>
      </c>
      <c r="O325" s="0" t="n">
        <f aca="false">6*J325+(J325-K325-M325)+2*L325+3*N325</f>
        <v>34</v>
      </c>
      <c r="P325" s="0" t="n">
        <f aca="true">RAND()</f>
        <v>0.405972542861844</v>
      </c>
      <c r="Q325" s="0" t="n">
        <f aca="true">RAND()</f>
        <v>0.788602625274458</v>
      </c>
      <c r="R325" s="0" t="n">
        <f aca="false">IF($I325&lt;&gt;$O325,0,IF(P325&lt;Matchup!$B$39,7,IF(P325&lt;Matchup!$B$39+Matchup!$B$40,3,0)))</f>
        <v>0</v>
      </c>
      <c r="S325" s="0" t="n">
        <f aca="false">IF($I325&lt;&gt;$O325,0,IF(Q325&lt;Matchup!$C$39,7,IF(Q325&lt;Matchup!$C$39+Matchup!$C$40,3,0)))</f>
        <v>0</v>
      </c>
      <c r="T325" s="0" t="n">
        <f aca="false">I325+R325</f>
        <v>27</v>
      </c>
      <c r="U325" s="0" t="n">
        <f aca="false">O325+S325</f>
        <v>34</v>
      </c>
      <c r="V325" s="0" t="n">
        <f aca="false">T325-U325</f>
        <v>-7</v>
      </c>
      <c r="W325" s="0" t="n">
        <f aca="false">T325+U325</f>
        <v>61</v>
      </c>
    </row>
    <row r="326" customFormat="false" ht="15" hidden="false" customHeight="false" outlineLevel="0" collapsed="false">
      <c r="A326" s="0" t="n">
        <v>323</v>
      </c>
      <c r="B326" s="0" t="n">
        <f aca="true">NORMINV(RAND(),1,Coefficients!$B$22)</f>
        <v>0.951176024306744</v>
      </c>
      <c r="C326" s="0" t="n">
        <f aca="true">MEDIAN(8,16,ROUND(NORMINV(RAND(),Coefficients!$B$20,Coefficients!$B$21),0))</f>
        <v>9</v>
      </c>
      <c r="D326" s="0" t="n">
        <f aca="true">CRITBINOM($C326,MIN(0.75,Matchup!$B$39*$B326),RAND())</f>
        <v>2</v>
      </c>
      <c r="E326" s="0" t="n">
        <f aca="true">CRITBINOM(D326,Coefficients!$B$30,RAND())</f>
        <v>0</v>
      </c>
      <c r="F326" s="0" t="n">
        <f aca="true">CRITBINOM(E326,Coefficients!$B$31,RAND())</f>
        <v>0</v>
      </c>
      <c r="G326" s="0" t="n">
        <f aca="true">CRITBINOM(MAX(0,D326-E326),1-Coefficients!$B$32,RAND())</f>
        <v>0</v>
      </c>
      <c r="H326" s="0" t="n">
        <f aca="true">CRITBINOM(MAX(0,$C326-D326),MIN(0.6,Matchup!$B$40*SQRT($B326)/(1-MIN(0.75,Matchup!$B$39*$B326))),RAND())</f>
        <v>0</v>
      </c>
      <c r="I326" s="0" t="n">
        <f aca="false">6*D326+(D326-E326-G326)+2*F326+3*H326</f>
        <v>14</v>
      </c>
      <c r="J326" s="0" t="n">
        <f aca="true">CRITBINOM($C326,MIN(0.75,Matchup!$C$39*$B326),RAND())</f>
        <v>1</v>
      </c>
      <c r="K326" s="0" t="n">
        <f aca="true">CRITBINOM(J326,Coefficients!$B$30,RAND())</f>
        <v>0</v>
      </c>
      <c r="L326" s="0" t="n">
        <f aca="true">CRITBINOM(K326,Coefficients!$B$31,RAND())</f>
        <v>0</v>
      </c>
      <c r="M326" s="0" t="n">
        <f aca="true">CRITBINOM(MAX(0,J326-K326),1-Coefficients!$B$32,RAND())</f>
        <v>0</v>
      </c>
      <c r="N326" s="0" t="n">
        <f aca="true">CRITBINOM(MAX(0,$C326-J326),MIN(0.6,Matchup!$C$40*SQRT($B326)/(1-MIN(0.75,Matchup!$C$39*$B326))),RAND())</f>
        <v>0</v>
      </c>
      <c r="O326" s="0" t="n">
        <f aca="false">6*J326+(J326-K326-M326)+2*L326+3*N326</f>
        <v>7</v>
      </c>
      <c r="P326" s="0" t="n">
        <f aca="true">RAND()</f>
        <v>0.974538659423525</v>
      </c>
      <c r="Q326" s="0" t="n">
        <f aca="true">RAND()</f>
        <v>0.333765762276168</v>
      </c>
      <c r="R326" s="0" t="n">
        <f aca="false">IF($I326&lt;&gt;$O326,0,IF(P326&lt;Matchup!$B$39,7,IF(P326&lt;Matchup!$B$39+Matchup!$B$40,3,0)))</f>
        <v>0</v>
      </c>
      <c r="S326" s="0" t="n">
        <f aca="false">IF($I326&lt;&gt;$O326,0,IF(Q326&lt;Matchup!$C$39,7,IF(Q326&lt;Matchup!$C$39+Matchup!$C$40,3,0)))</f>
        <v>0</v>
      </c>
      <c r="T326" s="0" t="n">
        <f aca="false">I326+R326</f>
        <v>14</v>
      </c>
      <c r="U326" s="0" t="n">
        <f aca="false">O326+S326</f>
        <v>7</v>
      </c>
      <c r="V326" s="0" t="n">
        <f aca="false">T326-U326</f>
        <v>7</v>
      </c>
      <c r="W326" s="0" t="n">
        <f aca="false">T326+U326</f>
        <v>21</v>
      </c>
    </row>
    <row r="327" customFormat="false" ht="15" hidden="false" customHeight="false" outlineLevel="0" collapsed="false">
      <c r="A327" s="0" t="n">
        <v>324</v>
      </c>
      <c r="B327" s="0" t="n">
        <f aca="true">NORMINV(RAND(),1,Coefficients!$B$22)</f>
        <v>0.955790142328622</v>
      </c>
      <c r="C327" s="0" t="n">
        <f aca="true">MEDIAN(8,16,ROUND(NORMINV(RAND(),Coefficients!$B$20,Coefficients!$B$21),0))</f>
        <v>10</v>
      </c>
      <c r="D327" s="0" t="n">
        <f aca="true">CRITBINOM($C327,MIN(0.75,Matchup!$B$39*$B327),RAND())</f>
        <v>3</v>
      </c>
      <c r="E327" s="0" t="n">
        <f aca="true">CRITBINOM(D327,Coefficients!$B$30,RAND())</f>
        <v>1</v>
      </c>
      <c r="F327" s="0" t="n">
        <f aca="true">CRITBINOM(E327,Coefficients!$B$31,RAND())</f>
        <v>0</v>
      </c>
      <c r="G327" s="0" t="n">
        <f aca="true">CRITBINOM(MAX(0,D327-E327),1-Coefficients!$B$32,RAND())</f>
        <v>0</v>
      </c>
      <c r="H327" s="0" t="n">
        <f aca="true">CRITBINOM(MAX(0,$C327-D327),MIN(0.6,Matchup!$B$40*SQRT($B327)/(1-MIN(0.75,Matchup!$B$39*$B327))),RAND())</f>
        <v>1</v>
      </c>
      <c r="I327" s="0" t="n">
        <f aca="false">6*D327+(D327-E327-G327)+2*F327+3*H327</f>
        <v>23</v>
      </c>
      <c r="J327" s="0" t="n">
        <f aca="true">CRITBINOM($C327,MIN(0.75,Matchup!$C$39*$B327),RAND())</f>
        <v>1</v>
      </c>
      <c r="K327" s="0" t="n">
        <f aca="true">CRITBINOM(J327,Coefficients!$B$30,RAND())</f>
        <v>0</v>
      </c>
      <c r="L327" s="0" t="n">
        <f aca="true">CRITBINOM(K327,Coefficients!$B$31,RAND())</f>
        <v>0</v>
      </c>
      <c r="M327" s="0" t="n">
        <f aca="true">CRITBINOM(MAX(0,J327-K327),1-Coefficients!$B$32,RAND())</f>
        <v>0</v>
      </c>
      <c r="N327" s="0" t="n">
        <f aca="true">CRITBINOM(MAX(0,$C327-J327),MIN(0.6,Matchup!$C$40*SQRT($B327)/(1-MIN(0.75,Matchup!$C$39*$B327))),RAND())</f>
        <v>3</v>
      </c>
      <c r="O327" s="0" t="n">
        <f aca="false">6*J327+(J327-K327-M327)+2*L327+3*N327</f>
        <v>16</v>
      </c>
      <c r="P327" s="0" t="n">
        <f aca="true">RAND()</f>
        <v>0.137561579523745</v>
      </c>
      <c r="Q327" s="0" t="n">
        <f aca="true">RAND()</f>
        <v>0.283793606826912</v>
      </c>
      <c r="R327" s="0" t="n">
        <f aca="false">IF($I327&lt;&gt;$O327,0,IF(P327&lt;Matchup!$B$39,7,IF(P327&lt;Matchup!$B$39+Matchup!$B$40,3,0)))</f>
        <v>0</v>
      </c>
      <c r="S327" s="0" t="n">
        <f aca="false">IF($I327&lt;&gt;$O327,0,IF(Q327&lt;Matchup!$C$39,7,IF(Q327&lt;Matchup!$C$39+Matchup!$C$40,3,0)))</f>
        <v>0</v>
      </c>
      <c r="T327" s="0" t="n">
        <f aca="false">I327+R327</f>
        <v>23</v>
      </c>
      <c r="U327" s="0" t="n">
        <f aca="false">O327+S327</f>
        <v>16</v>
      </c>
      <c r="V327" s="0" t="n">
        <f aca="false">T327-U327</f>
        <v>7</v>
      </c>
      <c r="W327" s="0" t="n">
        <f aca="false">T327+U327</f>
        <v>39</v>
      </c>
    </row>
    <row r="328" customFormat="false" ht="15" hidden="false" customHeight="false" outlineLevel="0" collapsed="false">
      <c r="A328" s="0" t="n">
        <v>325</v>
      </c>
      <c r="B328" s="0" t="n">
        <f aca="true">NORMINV(RAND(),1,Coefficients!$B$22)</f>
        <v>0.986077189656013</v>
      </c>
      <c r="C328" s="0" t="n">
        <f aca="true">MEDIAN(8,16,ROUND(NORMINV(RAND(),Coefficients!$B$20,Coefficients!$B$21),0))</f>
        <v>12</v>
      </c>
      <c r="D328" s="0" t="n">
        <f aca="true">CRITBINOM($C328,MIN(0.75,Matchup!$B$39*$B328),RAND())</f>
        <v>5</v>
      </c>
      <c r="E328" s="0" t="n">
        <f aca="true">CRITBINOM(D328,Coefficients!$B$30,RAND())</f>
        <v>1</v>
      </c>
      <c r="F328" s="0" t="n">
        <f aca="true">CRITBINOM(E328,Coefficients!$B$31,RAND())</f>
        <v>1</v>
      </c>
      <c r="G328" s="0" t="n">
        <f aca="true">CRITBINOM(MAX(0,D328-E328),1-Coefficients!$B$32,RAND())</f>
        <v>0</v>
      </c>
      <c r="H328" s="0" t="n">
        <f aca="true">CRITBINOM(MAX(0,$C328-D328),MIN(0.6,Matchup!$B$40*SQRT($B328)/(1-MIN(0.75,Matchup!$B$39*$B328))),RAND())</f>
        <v>0</v>
      </c>
      <c r="I328" s="0" t="n">
        <f aca="false">6*D328+(D328-E328-G328)+2*F328+3*H328</f>
        <v>36</v>
      </c>
      <c r="J328" s="0" t="n">
        <f aca="true">CRITBINOM($C328,MIN(0.75,Matchup!$C$39*$B328),RAND())</f>
        <v>3</v>
      </c>
      <c r="K328" s="0" t="n">
        <f aca="true">CRITBINOM(J328,Coefficients!$B$30,RAND())</f>
        <v>0</v>
      </c>
      <c r="L328" s="0" t="n">
        <f aca="true">CRITBINOM(K328,Coefficients!$B$31,RAND())</f>
        <v>0</v>
      </c>
      <c r="M328" s="0" t="n">
        <f aca="true">CRITBINOM(MAX(0,J328-K328),1-Coefficients!$B$32,RAND())</f>
        <v>0</v>
      </c>
      <c r="N328" s="0" t="n">
        <f aca="true">CRITBINOM(MAX(0,$C328-J328),MIN(0.6,Matchup!$C$40*SQRT($B328)/(1-MIN(0.75,Matchup!$C$39*$B328))),RAND())</f>
        <v>1</v>
      </c>
      <c r="O328" s="0" t="n">
        <f aca="false">6*J328+(J328-K328-M328)+2*L328+3*N328</f>
        <v>24</v>
      </c>
      <c r="P328" s="0" t="n">
        <f aca="true">RAND()</f>
        <v>0.088745931923984</v>
      </c>
      <c r="Q328" s="0" t="n">
        <f aca="true">RAND()</f>
        <v>0.880081780574542</v>
      </c>
      <c r="R328" s="0" t="n">
        <f aca="false">IF($I328&lt;&gt;$O328,0,IF(P328&lt;Matchup!$B$39,7,IF(P328&lt;Matchup!$B$39+Matchup!$B$40,3,0)))</f>
        <v>0</v>
      </c>
      <c r="S328" s="0" t="n">
        <f aca="false">IF($I328&lt;&gt;$O328,0,IF(Q328&lt;Matchup!$C$39,7,IF(Q328&lt;Matchup!$C$39+Matchup!$C$40,3,0)))</f>
        <v>0</v>
      </c>
      <c r="T328" s="0" t="n">
        <f aca="false">I328+R328</f>
        <v>36</v>
      </c>
      <c r="U328" s="0" t="n">
        <f aca="false">O328+S328</f>
        <v>24</v>
      </c>
      <c r="V328" s="0" t="n">
        <f aca="false">T328-U328</f>
        <v>12</v>
      </c>
      <c r="W328" s="0" t="n">
        <f aca="false">T328+U328</f>
        <v>60</v>
      </c>
    </row>
    <row r="329" customFormat="false" ht="15" hidden="false" customHeight="false" outlineLevel="0" collapsed="false">
      <c r="A329" s="0" t="n">
        <v>326</v>
      </c>
      <c r="B329" s="0" t="n">
        <f aca="true">NORMINV(RAND(),1,Coefficients!$B$22)</f>
        <v>1.00826598801138</v>
      </c>
      <c r="C329" s="0" t="n">
        <f aca="true">MEDIAN(8,16,ROUND(NORMINV(RAND(),Coefficients!$B$20,Coefficients!$B$21),0))</f>
        <v>11</v>
      </c>
      <c r="D329" s="0" t="n">
        <f aca="true">CRITBINOM($C329,MIN(0.75,Matchup!$B$39*$B329),RAND())</f>
        <v>4</v>
      </c>
      <c r="E329" s="0" t="n">
        <f aca="true">CRITBINOM(D329,Coefficients!$B$30,RAND())</f>
        <v>0</v>
      </c>
      <c r="F329" s="0" t="n">
        <f aca="true">CRITBINOM(E329,Coefficients!$B$31,RAND())</f>
        <v>0</v>
      </c>
      <c r="G329" s="0" t="n">
        <f aca="true">CRITBINOM(MAX(0,D329-E329),1-Coefficients!$B$32,RAND())</f>
        <v>0</v>
      </c>
      <c r="H329" s="0" t="n">
        <f aca="true">CRITBINOM(MAX(0,$C329-D329),MIN(0.6,Matchup!$B$40*SQRT($B329)/(1-MIN(0.75,Matchup!$B$39*$B329))),RAND())</f>
        <v>0</v>
      </c>
      <c r="I329" s="0" t="n">
        <f aca="false">6*D329+(D329-E329-G329)+2*F329+3*H329</f>
        <v>28</v>
      </c>
      <c r="J329" s="0" t="n">
        <f aca="true">CRITBINOM($C329,MIN(0.75,Matchup!$C$39*$B329),RAND())</f>
        <v>2</v>
      </c>
      <c r="K329" s="0" t="n">
        <f aca="true">CRITBINOM(J329,Coefficients!$B$30,RAND())</f>
        <v>0</v>
      </c>
      <c r="L329" s="0" t="n">
        <f aca="true">CRITBINOM(K329,Coefficients!$B$31,RAND())</f>
        <v>0</v>
      </c>
      <c r="M329" s="0" t="n">
        <f aca="true">CRITBINOM(MAX(0,J329-K329),1-Coefficients!$B$32,RAND())</f>
        <v>0</v>
      </c>
      <c r="N329" s="0" t="n">
        <f aca="true">CRITBINOM(MAX(0,$C329-J329),MIN(0.6,Matchup!$C$40*SQRT($B329)/(1-MIN(0.75,Matchup!$C$39*$B329))),RAND())</f>
        <v>2</v>
      </c>
      <c r="O329" s="0" t="n">
        <f aca="false">6*J329+(J329-K329-M329)+2*L329+3*N329</f>
        <v>20</v>
      </c>
      <c r="P329" s="0" t="n">
        <f aca="true">RAND()</f>
        <v>0.265869372017074</v>
      </c>
      <c r="Q329" s="0" t="n">
        <f aca="true">RAND()</f>
        <v>0.435540156904058</v>
      </c>
      <c r="R329" s="0" t="n">
        <f aca="false">IF($I329&lt;&gt;$O329,0,IF(P329&lt;Matchup!$B$39,7,IF(P329&lt;Matchup!$B$39+Matchup!$B$40,3,0)))</f>
        <v>0</v>
      </c>
      <c r="S329" s="0" t="n">
        <f aca="false">IF($I329&lt;&gt;$O329,0,IF(Q329&lt;Matchup!$C$39,7,IF(Q329&lt;Matchup!$C$39+Matchup!$C$40,3,0)))</f>
        <v>0</v>
      </c>
      <c r="T329" s="0" t="n">
        <f aca="false">I329+R329</f>
        <v>28</v>
      </c>
      <c r="U329" s="0" t="n">
        <f aca="false">O329+S329</f>
        <v>20</v>
      </c>
      <c r="V329" s="0" t="n">
        <f aca="false">T329-U329</f>
        <v>8</v>
      </c>
      <c r="W329" s="0" t="n">
        <f aca="false">T329+U329</f>
        <v>48</v>
      </c>
    </row>
    <row r="330" customFormat="false" ht="15" hidden="false" customHeight="false" outlineLevel="0" collapsed="false">
      <c r="A330" s="0" t="n">
        <v>327</v>
      </c>
      <c r="B330" s="0" t="n">
        <f aca="true">NORMINV(RAND(),1,Coefficients!$B$22)</f>
        <v>1.03458887914773</v>
      </c>
      <c r="C330" s="0" t="n">
        <f aca="true">MEDIAN(8,16,ROUND(NORMINV(RAND(),Coefficients!$B$20,Coefficients!$B$21),0))</f>
        <v>12</v>
      </c>
      <c r="D330" s="0" t="n">
        <f aca="true">CRITBINOM($C330,MIN(0.75,Matchup!$B$39*$B330),RAND())</f>
        <v>3</v>
      </c>
      <c r="E330" s="0" t="n">
        <f aca="true">CRITBINOM(D330,Coefficients!$B$30,RAND())</f>
        <v>1</v>
      </c>
      <c r="F330" s="0" t="n">
        <f aca="true">CRITBINOM(E330,Coefficients!$B$31,RAND())</f>
        <v>0</v>
      </c>
      <c r="G330" s="0" t="n">
        <f aca="true">CRITBINOM(MAX(0,D330-E330),1-Coefficients!$B$32,RAND())</f>
        <v>0</v>
      </c>
      <c r="H330" s="0" t="n">
        <f aca="true">CRITBINOM(MAX(0,$C330-D330),MIN(0.6,Matchup!$B$40*SQRT($B330)/(1-MIN(0.75,Matchup!$B$39*$B330))),RAND())</f>
        <v>0</v>
      </c>
      <c r="I330" s="0" t="n">
        <f aca="false">6*D330+(D330-E330-G330)+2*F330+3*H330</f>
        <v>20</v>
      </c>
      <c r="J330" s="0" t="n">
        <f aca="true">CRITBINOM($C330,MIN(0.75,Matchup!$C$39*$B330),RAND())</f>
        <v>3</v>
      </c>
      <c r="K330" s="0" t="n">
        <f aca="true">CRITBINOM(J330,Coefficients!$B$30,RAND())</f>
        <v>1</v>
      </c>
      <c r="L330" s="0" t="n">
        <f aca="true">CRITBINOM(K330,Coefficients!$B$31,RAND())</f>
        <v>0</v>
      </c>
      <c r="M330" s="0" t="n">
        <f aca="true">CRITBINOM(MAX(0,J330-K330),1-Coefficients!$B$32,RAND())</f>
        <v>0</v>
      </c>
      <c r="N330" s="0" t="n">
        <f aca="true">CRITBINOM(MAX(0,$C330-J330),MIN(0.6,Matchup!$C$40*SQRT($B330)/(1-MIN(0.75,Matchup!$C$39*$B330))),RAND())</f>
        <v>2</v>
      </c>
      <c r="O330" s="0" t="n">
        <f aca="false">6*J330+(J330-K330-M330)+2*L330+3*N330</f>
        <v>26</v>
      </c>
      <c r="P330" s="0" t="n">
        <f aca="true">RAND()</f>
        <v>0.0953197370309796</v>
      </c>
      <c r="Q330" s="0" t="n">
        <f aca="true">RAND()</f>
        <v>0.613165503910213</v>
      </c>
      <c r="R330" s="0" t="n">
        <f aca="false">IF($I330&lt;&gt;$O330,0,IF(P330&lt;Matchup!$B$39,7,IF(P330&lt;Matchup!$B$39+Matchup!$B$40,3,0)))</f>
        <v>0</v>
      </c>
      <c r="S330" s="0" t="n">
        <f aca="false">IF($I330&lt;&gt;$O330,0,IF(Q330&lt;Matchup!$C$39,7,IF(Q330&lt;Matchup!$C$39+Matchup!$C$40,3,0)))</f>
        <v>0</v>
      </c>
      <c r="T330" s="0" t="n">
        <f aca="false">I330+R330</f>
        <v>20</v>
      </c>
      <c r="U330" s="0" t="n">
        <f aca="false">O330+S330</f>
        <v>26</v>
      </c>
      <c r="V330" s="0" t="n">
        <f aca="false">T330-U330</f>
        <v>-6</v>
      </c>
      <c r="W330" s="0" t="n">
        <f aca="false">T330+U330</f>
        <v>46</v>
      </c>
    </row>
    <row r="331" customFormat="false" ht="15" hidden="false" customHeight="false" outlineLevel="0" collapsed="false">
      <c r="A331" s="0" t="n">
        <v>328</v>
      </c>
      <c r="B331" s="0" t="n">
        <f aca="true">NORMINV(RAND(),1,Coefficients!$B$22)</f>
        <v>0.960092100288099</v>
      </c>
      <c r="C331" s="0" t="n">
        <f aca="true">MEDIAN(8,16,ROUND(NORMINV(RAND(),Coefficients!$B$20,Coefficients!$B$21),0))</f>
        <v>12</v>
      </c>
      <c r="D331" s="0" t="n">
        <f aca="true">CRITBINOM($C331,MIN(0.75,Matchup!$B$39*$B331),RAND())</f>
        <v>6</v>
      </c>
      <c r="E331" s="0" t="n">
        <f aca="true">CRITBINOM(D331,Coefficients!$B$30,RAND())</f>
        <v>1</v>
      </c>
      <c r="F331" s="0" t="n">
        <f aca="true">CRITBINOM(E331,Coefficients!$B$31,RAND())</f>
        <v>1</v>
      </c>
      <c r="G331" s="0" t="n">
        <f aca="true">CRITBINOM(MAX(0,D331-E331),1-Coefficients!$B$32,RAND())</f>
        <v>0</v>
      </c>
      <c r="H331" s="0" t="n">
        <f aca="true">CRITBINOM(MAX(0,$C331-D331),MIN(0.6,Matchup!$B$40*SQRT($B331)/(1-MIN(0.75,Matchup!$B$39*$B331))),RAND())</f>
        <v>2</v>
      </c>
      <c r="I331" s="0" t="n">
        <f aca="false">6*D331+(D331-E331-G331)+2*F331+3*H331</f>
        <v>49</v>
      </c>
      <c r="J331" s="0" t="n">
        <f aca="true">CRITBINOM($C331,MIN(0.75,Matchup!$C$39*$B331),RAND())</f>
        <v>4</v>
      </c>
      <c r="K331" s="0" t="n">
        <f aca="true">CRITBINOM(J331,Coefficients!$B$30,RAND())</f>
        <v>0</v>
      </c>
      <c r="L331" s="0" t="n">
        <f aca="true">CRITBINOM(K331,Coefficients!$B$31,RAND())</f>
        <v>0</v>
      </c>
      <c r="M331" s="0" t="n">
        <f aca="true">CRITBINOM(MAX(0,J331-K331),1-Coefficients!$B$32,RAND())</f>
        <v>0</v>
      </c>
      <c r="N331" s="0" t="n">
        <f aca="true">CRITBINOM(MAX(0,$C331-J331),MIN(0.6,Matchup!$C$40*SQRT($B331)/(1-MIN(0.75,Matchup!$C$39*$B331))),RAND())</f>
        <v>0</v>
      </c>
      <c r="O331" s="0" t="n">
        <f aca="false">6*J331+(J331-K331-M331)+2*L331+3*N331</f>
        <v>28</v>
      </c>
      <c r="P331" s="0" t="n">
        <f aca="true">RAND()</f>
        <v>0.486587015209125</v>
      </c>
      <c r="Q331" s="0" t="n">
        <f aca="true">RAND()</f>
        <v>0.2437963316809</v>
      </c>
      <c r="R331" s="0" t="n">
        <f aca="false">IF($I331&lt;&gt;$O331,0,IF(P331&lt;Matchup!$B$39,7,IF(P331&lt;Matchup!$B$39+Matchup!$B$40,3,0)))</f>
        <v>0</v>
      </c>
      <c r="S331" s="0" t="n">
        <f aca="false">IF($I331&lt;&gt;$O331,0,IF(Q331&lt;Matchup!$C$39,7,IF(Q331&lt;Matchup!$C$39+Matchup!$C$40,3,0)))</f>
        <v>0</v>
      </c>
      <c r="T331" s="0" t="n">
        <f aca="false">I331+R331</f>
        <v>49</v>
      </c>
      <c r="U331" s="0" t="n">
        <f aca="false">O331+S331</f>
        <v>28</v>
      </c>
      <c r="V331" s="0" t="n">
        <f aca="false">T331-U331</f>
        <v>21</v>
      </c>
      <c r="W331" s="0" t="n">
        <f aca="false">T331+U331</f>
        <v>77</v>
      </c>
    </row>
    <row r="332" customFormat="false" ht="15" hidden="false" customHeight="false" outlineLevel="0" collapsed="false">
      <c r="A332" s="0" t="n">
        <v>329</v>
      </c>
      <c r="B332" s="0" t="n">
        <f aca="true">NORMINV(RAND(),1,Coefficients!$B$22)</f>
        <v>1.10331911813399</v>
      </c>
      <c r="C332" s="0" t="n">
        <f aca="true">MEDIAN(8,16,ROUND(NORMINV(RAND(),Coefficients!$B$20,Coefficients!$B$21),0))</f>
        <v>12</v>
      </c>
      <c r="D332" s="0" t="n">
        <f aca="true">CRITBINOM($C332,MIN(0.75,Matchup!$B$39*$B332),RAND())</f>
        <v>3</v>
      </c>
      <c r="E332" s="0" t="n">
        <f aca="true">CRITBINOM(D332,Coefficients!$B$30,RAND())</f>
        <v>0</v>
      </c>
      <c r="F332" s="0" t="n">
        <f aca="true">CRITBINOM(E332,Coefficients!$B$31,RAND())</f>
        <v>0</v>
      </c>
      <c r="G332" s="0" t="n">
        <f aca="true">CRITBINOM(MAX(0,D332-E332),1-Coefficients!$B$32,RAND())</f>
        <v>0</v>
      </c>
      <c r="H332" s="0" t="n">
        <f aca="true">CRITBINOM(MAX(0,$C332-D332),MIN(0.6,Matchup!$B$40*SQRT($B332)/(1-MIN(0.75,Matchup!$B$39*$B332))),RAND())</f>
        <v>4</v>
      </c>
      <c r="I332" s="0" t="n">
        <f aca="false">6*D332+(D332-E332-G332)+2*F332+3*H332</f>
        <v>33</v>
      </c>
      <c r="J332" s="0" t="n">
        <f aca="true">CRITBINOM($C332,MIN(0.75,Matchup!$C$39*$B332),RAND())</f>
        <v>3</v>
      </c>
      <c r="K332" s="0" t="n">
        <f aca="true">CRITBINOM(J332,Coefficients!$B$30,RAND())</f>
        <v>0</v>
      </c>
      <c r="L332" s="0" t="n">
        <f aca="true">CRITBINOM(K332,Coefficients!$B$31,RAND())</f>
        <v>0</v>
      </c>
      <c r="M332" s="0" t="n">
        <f aca="true">CRITBINOM(MAX(0,J332-K332),1-Coefficients!$B$32,RAND())</f>
        <v>0</v>
      </c>
      <c r="N332" s="0" t="n">
        <f aca="true">CRITBINOM(MAX(0,$C332-J332),MIN(0.6,Matchup!$C$40*SQRT($B332)/(1-MIN(0.75,Matchup!$C$39*$B332))),RAND())</f>
        <v>3</v>
      </c>
      <c r="O332" s="0" t="n">
        <f aca="false">6*J332+(J332-K332-M332)+2*L332+3*N332</f>
        <v>30</v>
      </c>
      <c r="P332" s="0" t="n">
        <f aca="true">RAND()</f>
        <v>0.663308704858146</v>
      </c>
      <c r="Q332" s="0" t="n">
        <f aca="true">RAND()</f>
        <v>0.747917922436074</v>
      </c>
      <c r="R332" s="0" t="n">
        <f aca="false">IF($I332&lt;&gt;$O332,0,IF(P332&lt;Matchup!$B$39,7,IF(P332&lt;Matchup!$B$39+Matchup!$B$40,3,0)))</f>
        <v>0</v>
      </c>
      <c r="S332" s="0" t="n">
        <f aca="false">IF($I332&lt;&gt;$O332,0,IF(Q332&lt;Matchup!$C$39,7,IF(Q332&lt;Matchup!$C$39+Matchup!$C$40,3,0)))</f>
        <v>0</v>
      </c>
      <c r="T332" s="0" t="n">
        <f aca="false">I332+R332</f>
        <v>33</v>
      </c>
      <c r="U332" s="0" t="n">
        <f aca="false">O332+S332</f>
        <v>30</v>
      </c>
      <c r="V332" s="0" t="n">
        <f aca="false">T332-U332</f>
        <v>3</v>
      </c>
      <c r="W332" s="0" t="n">
        <f aca="false">T332+U332</f>
        <v>63</v>
      </c>
    </row>
    <row r="333" customFormat="false" ht="15" hidden="false" customHeight="false" outlineLevel="0" collapsed="false">
      <c r="A333" s="0" t="n">
        <v>330</v>
      </c>
      <c r="B333" s="0" t="n">
        <f aca="true">NORMINV(RAND(),1,Coefficients!$B$22)</f>
        <v>1.07072566370647</v>
      </c>
      <c r="C333" s="0" t="n">
        <f aca="true">MEDIAN(8,16,ROUND(NORMINV(RAND(),Coefficients!$B$20,Coefficients!$B$21),0))</f>
        <v>12</v>
      </c>
      <c r="D333" s="0" t="n">
        <f aca="true">CRITBINOM($C333,MIN(0.75,Matchup!$B$39*$B333),RAND())</f>
        <v>3</v>
      </c>
      <c r="E333" s="0" t="n">
        <f aca="true">CRITBINOM(D333,Coefficients!$B$30,RAND())</f>
        <v>0</v>
      </c>
      <c r="F333" s="0" t="n">
        <f aca="true">CRITBINOM(E333,Coefficients!$B$31,RAND())</f>
        <v>0</v>
      </c>
      <c r="G333" s="0" t="n">
        <f aca="true">CRITBINOM(MAX(0,D333-E333),1-Coefficients!$B$32,RAND())</f>
        <v>0</v>
      </c>
      <c r="H333" s="0" t="n">
        <f aca="true">CRITBINOM(MAX(0,$C333-D333),MIN(0.6,Matchup!$B$40*SQRT($B333)/(1-MIN(0.75,Matchup!$B$39*$B333))),RAND())</f>
        <v>2</v>
      </c>
      <c r="I333" s="0" t="n">
        <f aca="false">6*D333+(D333-E333-G333)+2*F333+3*H333</f>
        <v>27</v>
      </c>
      <c r="J333" s="0" t="n">
        <f aca="true">CRITBINOM($C333,MIN(0.75,Matchup!$C$39*$B333),RAND())</f>
        <v>4</v>
      </c>
      <c r="K333" s="0" t="n">
        <f aca="true">CRITBINOM(J333,Coefficients!$B$30,RAND())</f>
        <v>1</v>
      </c>
      <c r="L333" s="0" t="n">
        <f aca="true">CRITBINOM(K333,Coefficients!$B$31,RAND())</f>
        <v>0</v>
      </c>
      <c r="M333" s="0" t="n">
        <f aca="true">CRITBINOM(MAX(0,J333-K333),1-Coefficients!$B$32,RAND())</f>
        <v>0</v>
      </c>
      <c r="N333" s="0" t="n">
        <f aca="true">CRITBINOM(MAX(0,$C333-J333),MIN(0.6,Matchup!$C$40*SQRT($B333)/(1-MIN(0.75,Matchup!$C$39*$B333))),RAND())</f>
        <v>1</v>
      </c>
      <c r="O333" s="0" t="n">
        <f aca="false">6*J333+(J333-K333-M333)+2*L333+3*N333</f>
        <v>30</v>
      </c>
      <c r="P333" s="0" t="n">
        <f aca="true">RAND()</f>
        <v>0.055115303166756</v>
      </c>
      <c r="Q333" s="0" t="n">
        <f aca="true">RAND()</f>
        <v>0.230257167107604</v>
      </c>
      <c r="R333" s="0" t="n">
        <f aca="false">IF($I333&lt;&gt;$O333,0,IF(P333&lt;Matchup!$B$39,7,IF(P333&lt;Matchup!$B$39+Matchup!$B$40,3,0)))</f>
        <v>0</v>
      </c>
      <c r="S333" s="0" t="n">
        <f aca="false">IF($I333&lt;&gt;$O333,0,IF(Q333&lt;Matchup!$C$39,7,IF(Q333&lt;Matchup!$C$39+Matchup!$C$40,3,0)))</f>
        <v>0</v>
      </c>
      <c r="T333" s="0" t="n">
        <f aca="false">I333+R333</f>
        <v>27</v>
      </c>
      <c r="U333" s="0" t="n">
        <f aca="false">O333+S333</f>
        <v>30</v>
      </c>
      <c r="V333" s="0" t="n">
        <f aca="false">T333-U333</f>
        <v>-3</v>
      </c>
      <c r="W333" s="0" t="n">
        <f aca="false">T333+U333</f>
        <v>57</v>
      </c>
    </row>
    <row r="334" customFormat="false" ht="15" hidden="false" customHeight="false" outlineLevel="0" collapsed="false">
      <c r="A334" s="0" t="n">
        <v>331</v>
      </c>
      <c r="B334" s="0" t="n">
        <f aca="true">NORMINV(RAND(),1,Coefficients!$B$22)</f>
        <v>1.10926035395164</v>
      </c>
      <c r="C334" s="0" t="n">
        <f aca="true">MEDIAN(8,16,ROUND(NORMINV(RAND(),Coefficients!$B$20,Coefficients!$B$21),0))</f>
        <v>13</v>
      </c>
      <c r="D334" s="0" t="n">
        <f aca="true">CRITBINOM($C334,MIN(0.75,Matchup!$B$39*$B334),RAND())</f>
        <v>4</v>
      </c>
      <c r="E334" s="0" t="n">
        <f aca="true">CRITBINOM(D334,Coefficients!$B$30,RAND())</f>
        <v>0</v>
      </c>
      <c r="F334" s="0" t="n">
        <f aca="true">CRITBINOM(E334,Coefficients!$B$31,RAND())</f>
        <v>0</v>
      </c>
      <c r="G334" s="0" t="n">
        <f aca="true">CRITBINOM(MAX(0,D334-E334),1-Coefficients!$B$32,RAND())</f>
        <v>0</v>
      </c>
      <c r="H334" s="0" t="n">
        <f aca="true">CRITBINOM(MAX(0,$C334-D334),MIN(0.6,Matchup!$B$40*SQRT($B334)/(1-MIN(0.75,Matchup!$B$39*$B334))),RAND())</f>
        <v>2</v>
      </c>
      <c r="I334" s="0" t="n">
        <f aca="false">6*D334+(D334-E334-G334)+2*F334+3*H334</f>
        <v>34</v>
      </c>
      <c r="J334" s="0" t="n">
        <f aca="true">CRITBINOM($C334,MIN(0.75,Matchup!$C$39*$B334),RAND())</f>
        <v>3</v>
      </c>
      <c r="K334" s="0" t="n">
        <f aca="true">CRITBINOM(J334,Coefficients!$B$30,RAND())</f>
        <v>1</v>
      </c>
      <c r="L334" s="0" t="n">
        <f aca="true">CRITBINOM(K334,Coefficients!$B$31,RAND())</f>
        <v>0</v>
      </c>
      <c r="M334" s="0" t="n">
        <f aca="true">CRITBINOM(MAX(0,J334-K334),1-Coefficients!$B$32,RAND())</f>
        <v>0</v>
      </c>
      <c r="N334" s="0" t="n">
        <f aca="true">CRITBINOM(MAX(0,$C334-J334),MIN(0.6,Matchup!$C$40*SQRT($B334)/(1-MIN(0.75,Matchup!$C$39*$B334))),RAND())</f>
        <v>3</v>
      </c>
      <c r="O334" s="0" t="n">
        <f aca="false">6*J334+(J334-K334-M334)+2*L334+3*N334</f>
        <v>29</v>
      </c>
      <c r="P334" s="0" t="n">
        <f aca="true">RAND()</f>
        <v>0.253208174290627</v>
      </c>
      <c r="Q334" s="0" t="n">
        <f aca="true">RAND()</f>
        <v>0.909051725264865</v>
      </c>
      <c r="R334" s="0" t="n">
        <f aca="false">IF($I334&lt;&gt;$O334,0,IF(P334&lt;Matchup!$B$39,7,IF(P334&lt;Matchup!$B$39+Matchup!$B$40,3,0)))</f>
        <v>0</v>
      </c>
      <c r="S334" s="0" t="n">
        <f aca="false">IF($I334&lt;&gt;$O334,0,IF(Q334&lt;Matchup!$C$39,7,IF(Q334&lt;Matchup!$C$39+Matchup!$C$40,3,0)))</f>
        <v>0</v>
      </c>
      <c r="T334" s="0" t="n">
        <f aca="false">I334+R334</f>
        <v>34</v>
      </c>
      <c r="U334" s="0" t="n">
        <f aca="false">O334+S334</f>
        <v>29</v>
      </c>
      <c r="V334" s="0" t="n">
        <f aca="false">T334-U334</f>
        <v>5</v>
      </c>
      <c r="W334" s="0" t="n">
        <f aca="false">T334+U334</f>
        <v>63</v>
      </c>
    </row>
    <row r="335" customFormat="false" ht="15" hidden="false" customHeight="false" outlineLevel="0" collapsed="false">
      <c r="A335" s="0" t="n">
        <v>332</v>
      </c>
      <c r="B335" s="0" t="n">
        <f aca="true">NORMINV(RAND(),1,Coefficients!$B$22)</f>
        <v>0.919447073276849</v>
      </c>
      <c r="C335" s="0" t="n">
        <f aca="true">MEDIAN(8,16,ROUND(NORMINV(RAND(),Coefficients!$B$20,Coefficients!$B$21),0))</f>
        <v>11</v>
      </c>
      <c r="D335" s="0" t="n">
        <f aca="true">CRITBINOM($C335,MIN(0.75,Matchup!$B$39*$B335),RAND())</f>
        <v>4</v>
      </c>
      <c r="E335" s="0" t="n">
        <f aca="true">CRITBINOM(D335,Coefficients!$B$30,RAND())</f>
        <v>1</v>
      </c>
      <c r="F335" s="0" t="n">
        <f aca="true">CRITBINOM(E335,Coefficients!$B$31,RAND())</f>
        <v>1</v>
      </c>
      <c r="G335" s="0" t="n">
        <f aca="true">CRITBINOM(MAX(0,D335-E335),1-Coefficients!$B$32,RAND())</f>
        <v>0</v>
      </c>
      <c r="H335" s="0" t="n">
        <f aca="true">CRITBINOM(MAX(0,$C335-D335),MIN(0.6,Matchup!$B$40*SQRT($B335)/(1-MIN(0.75,Matchup!$B$39*$B335))),RAND())</f>
        <v>2</v>
      </c>
      <c r="I335" s="0" t="n">
        <f aca="false">6*D335+(D335-E335-G335)+2*F335+3*H335</f>
        <v>35</v>
      </c>
      <c r="J335" s="0" t="n">
        <f aca="true">CRITBINOM($C335,MIN(0.75,Matchup!$C$39*$B335),RAND())</f>
        <v>2</v>
      </c>
      <c r="K335" s="0" t="n">
        <f aca="true">CRITBINOM(J335,Coefficients!$B$30,RAND())</f>
        <v>0</v>
      </c>
      <c r="L335" s="0" t="n">
        <f aca="true">CRITBINOM(K335,Coefficients!$B$31,RAND())</f>
        <v>0</v>
      </c>
      <c r="M335" s="0" t="n">
        <f aca="true">CRITBINOM(MAX(0,J335-K335),1-Coefficients!$B$32,RAND())</f>
        <v>0</v>
      </c>
      <c r="N335" s="0" t="n">
        <f aca="true">CRITBINOM(MAX(0,$C335-J335),MIN(0.6,Matchup!$C$40*SQRT($B335)/(1-MIN(0.75,Matchup!$C$39*$B335))),RAND())</f>
        <v>0</v>
      </c>
      <c r="O335" s="0" t="n">
        <f aca="false">6*J335+(J335-K335-M335)+2*L335+3*N335</f>
        <v>14</v>
      </c>
      <c r="P335" s="0" t="n">
        <f aca="true">RAND()</f>
        <v>0.742796193250358</v>
      </c>
      <c r="Q335" s="0" t="n">
        <f aca="true">RAND()</f>
        <v>0.481132948652126</v>
      </c>
      <c r="R335" s="0" t="n">
        <f aca="false">IF($I335&lt;&gt;$O335,0,IF(P335&lt;Matchup!$B$39,7,IF(P335&lt;Matchup!$B$39+Matchup!$B$40,3,0)))</f>
        <v>0</v>
      </c>
      <c r="S335" s="0" t="n">
        <f aca="false">IF($I335&lt;&gt;$O335,0,IF(Q335&lt;Matchup!$C$39,7,IF(Q335&lt;Matchup!$C$39+Matchup!$C$40,3,0)))</f>
        <v>0</v>
      </c>
      <c r="T335" s="0" t="n">
        <f aca="false">I335+R335</f>
        <v>35</v>
      </c>
      <c r="U335" s="0" t="n">
        <f aca="false">O335+S335</f>
        <v>14</v>
      </c>
      <c r="V335" s="0" t="n">
        <f aca="false">T335-U335</f>
        <v>21</v>
      </c>
      <c r="W335" s="0" t="n">
        <f aca="false">T335+U335</f>
        <v>49</v>
      </c>
    </row>
    <row r="336" customFormat="false" ht="15" hidden="false" customHeight="false" outlineLevel="0" collapsed="false">
      <c r="A336" s="0" t="n">
        <v>333</v>
      </c>
      <c r="B336" s="0" t="n">
        <f aca="true">NORMINV(RAND(),1,Coefficients!$B$22)</f>
        <v>0.96597650370742</v>
      </c>
      <c r="C336" s="0" t="n">
        <f aca="true">MEDIAN(8,16,ROUND(NORMINV(RAND(),Coefficients!$B$20,Coefficients!$B$21),0))</f>
        <v>11</v>
      </c>
      <c r="D336" s="0" t="n">
        <f aca="true">CRITBINOM($C336,MIN(0.75,Matchup!$B$39*$B336),RAND())</f>
        <v>2</v>
      </c>
      <c r="E336" s="0" t="n">
        <f aca="true">CRITBINOM(D336,Coefficients!$B$30,RAND())</f>
        <v>0</v>
      </c>
      <c r="F336" s="0" t="n">
        <f aca="true">CRITBINOM(E336,Coefficients!$B$31,RAND())</f>
        <v>0</v>
      </c>
      <c r="G336" s="0" t="n">
        <f aca="true">CRITBINOM(MAX(0,D336-E336),1-Coefficients!$B$32,RAND())</f>
        <v>0</v>
      </c>
      <c r="H336" s="0" t="n">
        <f aca="true">CRITBINOM(MAX(0,$C336-D336),MIN(0.6,Matchup!$B$40*SQRT($B336)/(1-MIN(0.75,Matchup!$B$39*$B336))),RAND())</f>
        <v>2</v>
      </c>
      <c r="I336" s="0" t="n">
        <f aca="false">6*D336+(D336-E336-G336)+2*F336+3*H336</f>
        <v>20</v>
      </c>
      <c r="J336" s="0" t="n">
        <f aca="true">CRITBINOM($C336,MIN(0.75,Matchup!$C$39*$B336),RAND())</f>
        <v>1</v>
      </c>
      <c r="K336" s="0" t="n">
        <f aca="true">CRITBINOM(J336,Coefficients!$B$30,RAND())</f>
        <v>0</v>
      </c>
      <c r="L336" s="0" t="n">
        <f aca="true">CRITBINOM(K336,Coefficients!$B$31,RAND())</f>
        <v>0</v>
      </c>
      <c r="M336" s="0" t="n">
        <f aca="true">CRITBINOM(MAX(0,J336-K336),1-Coefficients!$B$32,RAND())</f>
        <v>0</v>
      </c>
      <c r="N336" s="0" t="n">
        <f aca="true">CRITBINOM(MAX(0,$C336-J336),MIN(0.6,Matchup!$C$40*SQRT($B336)/(1-MIN(0.75,Matchup!$C$39*$B336))),RAND())</f>
        <v>2</v>
      </c>
      <c r="O336" s="0" t="n">
        <f aca="false">6*J336+(J336-K336-M336)+2*L336+3*N336</f>
        <v>13</v>
      </c>
      <c r="P336" s="0" t="n">
        <f aca="true">RAND()</f>
        <v>0.928989992074331</v>
      </c>
      <c r="Q336" s="0" t="n">
        <f aca="true">RAND()</f>
        <v>0.397057297151789</v>
      </c>
      <c r="R336" s="0" t="n">
        <f aca="false">IF($I336&lt;&gt;$O336,0,IF(P336&lt;Matchup!$B$39,7,IF(P336&lt;Matchup!$B$39+Matchup!$B$40,3,0)))</f>
        <v>0</v>
      </c>
      <c r="S336" s="0" t="n">
        <f aca="false">IF($I336&lt;&gt;$O336,0,IF(Q336&lt;Matchup!$C$39,7,IF(Q336&lt;Matchup!$C$39+Matchup!$C$40,3,0)))</f>
        <v>0</v>
      </c>
      <c r="T336" s="0" t="n">
        <f aca="false">I336+R336</f>
        <v>20</v>
      </c>
      <c r="U336" s="0" t="n">
        <f aca="false">O336+S336</f>
        <v>13</v>
      </c>
      <c r="V336" s="0" t="n">
        <f aca="false">T336-U336</f>
        <v>7</v>
      </c>
      <c r="W336" s="0" t="n">
        <f aca="false">T336+U336</f>
        <v>33</v>
      </c>
    </row>
    <row r="337" customFormat="false" ht="15" hidden="false" customHeight="false" outlineLevel="0" collapsed="false">
      <c r="A337" s="0" t="n">
        <v>334</v>
      </c>
      <c r="B337" s="0" t="n">
        <f aca="true">NORMINV(RAND(),1,Coefficients!$B$22)</f>
        <v>1.06973473953195</v>
      </c>
      <c r="C337" s="0" t="n">
        <f aca="true">MEDIAN(8,16,ROUND(NORMINV(RAND(),Coefficients!$B$20,Coefficients!$B$21),0))</f>
        <v>12</v>
      </c>
      <c r="D337" s="0" t="n">
        <f aca="true">CRITBINOM($C337,MIN(0.75,Matchup!$B$39*$B337),RAND())</f>
        <v>2</v>
      </c>
      <c r="E337" s="0" t="n">
        <f aca="true">CRITBINOM(D337,Coefficients!$B$30,RAND())</f>
        <v>0</v>
      </c>
      <c r="F337" s="0" t="n">
        <f aca="true">CRITBINOM(E337,Coefficients!$B$31,RAND())</f>
        <v>0</v>
      </c>
      <c r="G337" s="0" t="n">
        <f aca="true">CRITBINOM(MAX(0,D337-E337),1-Coefficients!$B$32,RAND())</f>
        <v>0</v>
      </c>
      <c r="H337" s="0" t="n">
        <f aca="true">CRITBINOM(MAX(0,$C337-D337),MIN(0.6,Matchup!$B$40*SQRT($B337)/(1-MIN(0.75,Matchup!$B$39*$B337))),RAND())</f>
        <v>0</v>
      </c>
      <c r="I337" s="0" t="n">
        <f aca="false">6*D337+(D337-E337-G337)+2*F337+3*H337</f>
        <v>14</v>
      </c>
      <c r="J337" s="0" t="n">
        <f aca="true">CRITBINOM($C337,MIN(0.75,Matchup!$C$39*$B337),RAND())</f>
        <v>4</v>
      </c>
      <c r="K337" s="0" t="n">
        <f aca="true">CRITBINOM(J337,Coefficients!$B$30,RAND())</f>
        <v>1</v>
      </c>
      <c r="L337" s="0" t="n">
        <f aca="true">CRITBINOM(K337,Coefficients!$B$31,RAND())</f>
        <v>0</v>
      </c>
      <c r="M337" s="0" t="n">
        <f aca="true">CRITBINOM(MAX(0,J337-K337),1-Coefficients!$B$32,RAND())</f>
        <v>0</v>
      </c>
      <c r="N337" s="0" t="n">
        <f aca="true">CRITBINOM(MAX(0,$C337-J337),MIN(0.6,Matchup!$C$40*SQRT($B337)/(1-MIN(0.75,Matchup!$C$39*$B337))),RAND())</f>
        <v>3</v>
      </c>
      <c r="O337" s="0" t="n">
        <f aca="false">6*J337+(J337-K337-M337)+2*L337+3*N337</f>
        <v>36</v>
      </c>
      <c r="P337" s="0" t="n">
        <f aca="true">RAND()</f>
        <v>0.940725705323071</v>
      </c>
      <c r="Q337" s="0" t="n">
        <f aca="true">RAND()</f>
        <v>0.0681181331097292</v>
      </c>
      <c r="R337" s="0" t="n">
        <f aca="false">IF($I337&lt;&gt;$O337,0,IF(P337&lt;Matchup!$B$39,7,IF(P337&lt;Matchup!$B$39+Matchup!$B$40,3,0)))</f>
        <v>0</v>
      </c>
      <c r="S337" s="0" t="n">
        <f aca="false">IF($I337&lt;&gt;$O337,0,IF(Q337&lt;Matchup!$C$39,7,IF(Q337&lt;Matchup!$C$39+Matchup!$C$40,3,0)))</f>
        <v>0</v>
      </c>
      <c r="T337" s="0" t="n">
        <f aca="false">I337+R337</f>
        <v>14</v>
      </c>
      <c r="U337" s="0" t="n">
        <f aca="false">O337+S337</f>
        <v>36</v>
      </c>
      <c r="V337" s="0" t="n">
        <f aca="false">T337-U337</f>
        <v>-22</v>
      </c>
      <c r="W337" s="0" t="n">
        <f aca="false">T337+U337</f>
        <v>50</v>
      </c>
    </row>
    <row r="338" customFormat="false" ht="15" hidden="false" customHeight="false" outlineLevel="0" collapsed="false">
      <c r="A338" s="0" t="n">
        <v>335</v>
      </c>
      <c r="B338" s="0" t="n">
        <f aca="true">NORMINV(RAND(),1,Coefficients!$B$22)</f>
        <v>1.10093394585829</v>
      </c>
      <c r="C338" s="0" t="n">
        <f aca="true">MEDIAN(8,16,ROUND(NORMINV(RAND(),Coefficients!$B$20,Coefficients!$B$21),0))</f>
        <v>10</v>
      </c>
      <c r="D338" s="0" t="n">
        <f aca="true">CRITBINOM($C338,MIN(0.75,Matchup!$B$39*$B338),RAND())</f>
        <v>3</v>
      </c>
      <c r="E338" s="0" t="n">
        <f aca="true">CRITBINOM(D338,Coefficients!$B$30,RAND())</f>
        <v>1</v>
      </c>
      <c r="F338" s="0" t="n">
        <f aca="true">CRITBINOM(E338,Coefficients!$B$31,RAND())</f>
        <v>0</v>
      </c>
      <c r="G338" s="0" t="n">
        <f aca="true">CRITBINOM(MAX(0,D338-E338),1-Coefficients!$B$32,RAND())</f>
        <v>0</v>
      </c>
      <c r="H338" s="0" t="n">
        <f aca="true">CRITBINOM(MAX(0,$C338-D338),MIN(0.6,Matchup!$B$40*SQRT($B338)/(1-MIN(0.75,Matchup!$B$39*$B338))),RAND())</f>
        <v>1</v>
      </c>
      <c r="I338" s="0" t="n">
        <f aca="false">6*D338+(D338-E338-G338)+2*F338+3*H338</f>
        <v>23</v>
      </c>
      <c r="J338" s="0" t="n">
        <f aca="true">CRITBINOM($C338,MIN(0.75,Matchup!$C$39*$B338),RAND())</f>
        <v>1</v>
      </c>
      <c r="K338" s="0" t="n">
        <f aca="true">CRITBINOM(J338,Coefficients!$B$30,RAND())</f>
        <v>0</v>
      </c>
      <c r="L338" s="0" t="n">
        <f aca="true">CRITBINOM(K338,Coefficients!$B$31,RAND())</f>
        <v>0</v>
      </c>
      <c r="M338" s="0" t="n">
        <f aca="true">CRITBINOM(MAX(0,J338-K338),1-Coefficients!$B$32,RAND())</f>
        <v>0</v>
      </c>
      <c r="N338" s="0" t="n">
        <f aca="true">CRITBINOM(MAX(0,$C338-J338),MIN(0.6,Matchup!$C$40*SQRT($B338)/(1-MIN(0.75,Matchup!$C$39*$B338))),RAND())</f>
        <v>3</v>
      </c>
      <c r="O338" s="0" t="n">
        <f aca="false">6*J338+(J338-K338-M338)+2*L338+3*N338</f>
        <v>16</v>
      </c>
      <c r="P338" s="0" t="n">
        <f aca="true">RAND()</f>
        <v>0.624951446147069</v>
      </c>
      <c r="Q338" s="0" t="n">
        <f aca="true">RAND()</f>
        <v>0.45977797835949</v>
      </c>
      <c r="R338" s="0" t="n">
        <f aca="false">IF($I338&lt;&gt;$O338,0,IF(P338&lt;Matchup!$B$39,7,IF(P338&lt;Matchup!$B$39+Matchup!$B$40,3,0)))</f>
        <v>0</v>
      </c>
      <c r="S338" s="0" t="n">
        <f aca="false">IF($I338&lt;&gt;$O338,0,IF(Q338&lt;Matchup!$C$39,7,IF(Q338&lt;Matchup!$C$39+Matchup!$C$40,3,0)))</f>
        <v>0</v>
      </c>
      <c r="T338" s="0" t="n">
        <f aca="false">I338+R338</f>
        <v>23</v>
      </c>
      <c r="U338" s="0" t="n">
        <f aca="false">O338+S338</f>
        <v>16</v>
      </c>
      <c r="V338" s="0" t="n">
        <f aca="false">T338-U338</f>
        <v>7</v>
      </c>
      <c r="W338" s="0" t="n">
        <f aca="false">T338+U338</f>
        <v>39</v>
      </c>
    </row>
    <row r="339" customFormat="false" ht="15" hidden="false" customHeight="false" outlineLevel="0" collapsed="false">
      <c r="A339" s="0" t="n">
        <v>336</v>
      </c>
      <c r="B339" s="0" t="n">
        <f aca="true">NORMINV(RAND(),1,Coefficients!$B$22)</f>
        <v>1.06151589881517</v>
      </c>
      <c r="C339" s="0" t="n">
        <f aca="true">MEDIAN(8,16,ROUND(NORMINV(RAND(),Coefficients!$B$20,Coefficients!$B$21),0))</f>
        <v>13</v>
      </c>
      <c r="D339" s="0" t="n">
        <f aca="true">CRITBINOM($C339,MIN(0.75,Matchup!$B$39*$B339),RAND())</f>
        <v>2</v>
      </c>
      <c r="E339" s="0" t="n">
        <f aca="true">CRITBINOM(D339,Coefficients!$B$30,RAND())</f>
        <v>0</v>
      </c>
      <c r="F339" s="0" t="n">
        <f aca="true">CRITBINOM(E339,Coefficients!$B$31,RAND())</f>
        <v>0</v>
      </c>
      <c r="G339" s="0" t="n">
        <f aca="true">CRITBINOM(MAX(0,D339-E339),1-Coefficients!$B$32,RAND())</f>
        <v>0</v>
      </c>
      <c r="H339" s="0" t="n">
        <f aca="true">CRITBINOM(MAX(0,$C339-D339),MIN(0.6,Matchup!$B$40*SQRT($B339)/(1-MIN(0.75,Matchup!$B$39*$B339))),RAND())</f>
        <v>2</v>
      </c>
      <c r="I339" s="0" t="n">
        <f aca="false">6*D339+(D339-E339-G339)+2*F339+3*H339</f>
        <v>20</v>
      </c>
      <c r="J339" s="0" t="n">
        <f aca="true">CRITBINOM($C339,MIN(0.75,Matchup!$C$39*$B339),RAND())</f>
        <v>3</v>
      </c>
      <c r="K339" s="0" t="n">
        <f aca="true">CRITBINOM(J339,Coefficients!$B$30,RAND())</f>
        <v>0</v>
      </c>
      <c r="L339" s="0" t="n">
        <f aca="true">CRITBINOM(K339,Coefficients!$B$31,RAND())</f>
        <v>0</v>
      </c>
      <c r="M339" s="0" t="n">
        <f aca="true">CRITBINOM(MAX(0,J339-K339),1-Coefficients!$B$32,RAND())</f>
        <v>0</v>
      </c>
      <c r="N339" s="0" t="n">
        <f aca="true">CRITBINOM(MAX(0,$C339-J339),MIN(0.6,Matchup!$C$40*SQRT($B339)/(1-MIN(0.75,Matchup!$C$39*$B339))),RAND())</f>
        <v>0</v>
      </c>
      <c r="O339" s="0" t="n">
        <f aca="false">6*J339+(J339-K339-M339)+2*L339+3*N339</f>
        <v>21</v>
      </c>
      <c r="P339" s="0" t="n">
        <f aca="true">RAND()</f>
        <v>0.562708069806468</v>
      </c>
      <c r="Q339" s="0" t="n">
        <f aca="true">RAND()</f>
        <v>0.577533825336711</v>
      </c>
      <c r="R339" s="0" t="n">
        <f aca="false">IF($I339&lt;&gt;$O339,0,IF(P339&lt;Matchup!$B$39,7,IF(P339&lt;Matchup!$B$39+Matchup!$B$40,3,0)))</f>
        <v>0</v>
      </c>
      <c r="S339" s="0" t="n">
        <f aca="false">IF($I339&lt;&gt;$O339,0,IF(Q339&lt;Matchup!$C$39,7,IF(Q339&lt;Matchup!$C$39+Matchup!$C$40,3,0)))</f>
        <v>0</v>
      </c>
      <c r="T339" s="0" t="n">
        <f aca="false">I339+R339</f>
        <v>20</v>
      </c>
      <c r="U339" s="0" t="n">
        <f aca="false">O339+S339</f>
        <v>21</v>
      </c>
      <c r="V339" s="0" t="n">
        <f aca="false">T339-U339</f>
        <v>-1</v>
      </c>
      <c r="W339" s="0" t="n">
        <f aca="false">T339+U339</f>
        <v>41</v>
      </c>
    </row>
    <row r="340" customFormat="false" ht="15" hidden="false" customHeight="false" outlineLevel="0" collapsed="false">
      <c r="A340" s="0" t="n">
        <v>337</v>
      </c>
      <c r="B340" s="0" t="n">
        <f aca="true">NORMINV(RAND(),1,Coefficients!$B$22)</f>
        <v>0.94496105161735</v>
      </c>
      <c r="C340" s="0" t="n">
        <f aca="true">MEDIAN(8,16,ROUND(NORMINV(RAND(),Coefficients!$B$20,Coefficients!$B$21),0))</f>
        <v>10</v>
      </c>
      <c r="D340" s="0" t="n">
        <f aca="true">CRITBINOM($C340,MIN(0.75,Matchup!$B$39*$B340),RAND())</f>
        <v>2</v>
      </c>
      <c r="E340" s="0" t="n">
        <f aca="true">CRITBINOM(D340,Coefficients!$B$30,RAND())</f>
        <v>0</v>
      </c>
      <c r="F340" s="0" t="n">
        <f aca="true">CRITBINOM(E340,Coefficients!$B$31,RAND())</f>
        <v>0</v>
      </c>
      <c r="G340" s="0" t="n">
        <f aca="true">CRITBINOM(MAX(0,D340-E340),1-Coefficients!$B$32,RAND())</f>
        <v>0</v>
      </c>
      <c r="H340" s="0" t="n">
        <f aca="true">CRITBINOM(MAX(0,$C340-D340),MIN(0.6,Matchup!$B$40*SQRT($B340)/(1-MIN(0.75,Matchup!$B$39*$B340))),RAND())</f>
        <v>0</v>
      </c>
      <c r="I340" s="0" t="n">
        <f aca="false">6*D340+(D340-E340-G340)+2*F340+3*H340</f>
        <v>14</v>
      </c>
      <c r="J340" s="0" t="n">
        <f aca="true">CRITBINOM($C340,MIN(0.75,Matchup!$C$39*$B340),RAND())</f>
        <v>4</v>
      </c>
      <c r="K340" s="0" t="n">
        <f aca="true">CRITBINOM(J340,Coefficients!$B$30,RAND())</f>
        <v>0</v>
      </c>
      <c r="L340" s="0" t="n">
        <f aca="true">CRITBINOM(K340,Coefficients!$B$31,RAND())</f>
        <v>0</v>
      </c>
      <c r="M340" s="0" t="n">
        <f aca="true">CRITBINOM(MAX(0,J340-K340),1-Coefficients!$B$32,RAND())</f>
        <v>0</v>
      </c>
      <c r="N340" s="0" t="n">
        <f aca="true">CRITBINOM(MAX(0,$C340-J340),MIN(0.6,Matchup!$C$40*SQRT($B340)/(1-MIN(0.75,Matchup!$C$39*$B340))),RAND())</f>
        <v>0</v>
      </c>
      <c r="O340" s="0" t="n">
        <f aca="false">6*J340+(J340-K340-M340)+2*L340+3*N340</f>
        <v>28</v>
      </c>
      <c r="P340" s="0" t="n">
        <f aca="true">RAND()</f>
        <v>0.0825190586188591</v>
      </c>
      <c r="Q340" s="0" t="n">
        <f aca="true">RAND()</f>
        <v>0.00705895515032377</v>
      </c>
      <c r="R340" s="0" t="n">
        <f aca="false">IF($I340&lt;&gt;$O340,0,IF(P340&lt;Matchup!$B$39,7,IF(P340&lt;Matchup!$B$39+Matchup!$B$40,3,0)))</f>
        <v>0</v>
      </c>
      <c r="S340" s="0" t="n">
        <f aca="false">IF($I340&lt;&gt;$O340,0,IF(Q340&lt;Matchup!$C$39,7,IF(Q340&lt;Matchup!$C$39+Matchup!$C$40,3,0)))</f>
        <v>0</v>
      </c>
      <c r="T340" s="0" t="n">
        <f aca="false">I340+R340</f>
        <v>14</v>
      </c>
      <c r="U340" s="0" t="n">
        <f aca="false">O340+S340</f>
        <v>28</v>
      </c>
      <c r="V340" s="0" t="n">
        <f aca="false">T340-U340</f>
        <v>-14</v>
      </c>
      <c r="W340" s="0" t="n">
        <f aca="false">T340+U340</f>
        <v>42</v>
      </c>
    </row>
    <row r="341" customFormat="false" ht="15" hidden="false" customHeight="false" outlineLevel="0" collapsed="false">
      <c r="A341" s="0" t="n">
        <v>338</v>
      </c>
      <c r="B341" s="0" t="n">
        <f aca="true">NORMINV(RAND(),1,Coefficients!$B$22)</f>
        <v>0.895860723730157</v>
      </c>
      <c r="C341" s="0" t="n">
        <f aca="true">MEDIAN(8,16,ROUND(NORMINV(RAND(),Coefficients!$B$20,Coefficients!$B$21),0))</f>
        <v>12</v>
      </c>
      <c r="D341" s="0" t="n">
        <f aca="true">CRITBINOM($C341,MIN(0.75,Matchup!$B$39*$B341),RAND())</f>
        <v>5</v>
      </c>
      <c r="E341" s="0" t="n">
        <f aca="true">CRITBINOM(D341,Coefficients!$B$30,RAND())</f>
        <v>0</v>
      </c>
      <c r="F341" s="0" t="n">
        <f aca="true">CRITBINOM(E341,Coefficients!$B$31,RAND())</f>
        <v>0</v>
      </c>
      <c r="G341" s="0" t="n">
        <f aca="true">CRITBINOM(MAX(0,D341-E341),1-Coefficients!$B$32,RAND())</f>
        <v>0</v>
      </c>
      <c r="H341" s="0" t="n">
        <f aca="true">CRITBINOM(MAX(0,$C341-D341),MIN(0.6,Matchup!$B$40*SQRT($B341)/(1-MIN(0.75,Matchup!$B$39*$B341))),RAND())</f>
        <v>2</v>
      </c>
      <c r="I341" s="0" t="n">
        <f aca="false">6*D341+(D341-E341-G341)+2*F341+3*H341</f>
        <v>41</v>
      </c>
      <c r="J341" s="0" t="n">
        <f aca="true">CRITBINOM($C341,MIN(0.75,Matchup!$C$39*$B341),RAND())</f>
        <v>1</v>
      </c>
      <c r="K341" s="0" t="n">
        <f aca="true">CRITBINOM(J341,Coefficients!$B$30,RAND())</f>
        <v>1</v>
      </c>
      <c r="L341" s="0" t="n">
        <f aca="true">CRITBINOM(K341,Coefficients!$B$31,RAND())</f>
        <v>1</v>
      </c>
      <c r="M341" s="0" t="n">
        <f aca="true">CRITBINOM(MAX(0,J341-K341),1-Coefficients!$B$32,RAND())</f>
        <v>0</v>
      </c>
      <c r="N341" s="0" t="n">
        <f aca="true">CRITBINOM(MAX(0,$C341-J341),MIN(0.6,Matchup!$C$40*SQRT($B341)/(1-MIN(0.75,Matchup!$C$39*$B341))),RAND())</f>
        <v>4</v>
      </c>
      <c r="O341" s="0" t="n">
        <f aca="false">6*J341+(J341-K341-M341)+2*L341+3*N341</f>
        <v>20</v>
      </c>
      <c r="P341" s="0" t="n">
        <f aca="true">RAND()</f>
        <v>0.165535282306776</v>
      </c>
      <c r="Q341" s="0" t="n">
        <f aca="true">RAND()</f>
        <v>0.206776373212635</v>
      </c>
      <c r="R341" s="0" t="n">
        <f aca="false">IF($I341&lt;&gt;$O341,0,IF(P341&lt;Matchup!$B$39,7,IF(P341&lt;Matchup!$B$39+Matchup!$B$40,3,0)))</f>
        <v>0</v>
      </c>
      <c r="S341" s="0" t="n">
        <f aca="false">IF($I341&lt;&gt;$O341,0,IF(Q341&lt;Matchup!$C$39,7,IF(Q341&lt;Matchup!$C$39+Matchup!$C$40,3,0)))</f>
        <v>0</v>
      </c>
      <c r="T341" s="0" t="n">
        <f aca="false">I341+R341</f>
        <v>41</v>
      </c>
      <c r="U341" s="0" t="n">
        <f aca="false">O341+S341</f>
        <v>20</v>
      </c>
      <c r="V341" s="0" t="n">
        <f aca="false">T341-U341</f>
        <v>21</v>
      </c>
      <c r="W341" s="0" t="n">
        <f aca="false">T341+U341</f>
        <v>61</v>
      </c>
    </row>
    <row r="342" customFormat="false" ht="15" hidden="false" customHeight="false" outlineLevel="0" collapsed="false">
      <c r="A342" s="0" t="n">
        <v>339</v>
      </c>
      <c r="B342" s="0" t="n">
        <f aca="true">NORMINV(RAND(),1,Coefficients!$B$22)</f>
        <v>1.03791569615262</v>
      </c>
      <c r="C342" s="0" t="n">
        <f aca="true">MEDIAN(8,16,ROUND(NORMINV(RAND(),Coefficients!$B$20,Coefficients!$B$21),0))</f>
        <v>12</v>
      </c>
      <c r="D342" s="0" t="n">
        <f aca="true">CRITBINOM($C342,MIN(0.75,Matchup!$B$39*$B342),RAND())</f>
        <v>2</v>
      </c>
      <c r="E342" s="0" t="n">
        <f aca="true">CRITBINOM(D342,Coefficients!$B$30,RAND())</f>
        <v>0</v>
      </c>
      <c r="F342" s="0" t="n">
        <f aca="true">CRITBINOM(E342,Coefficients!$B$31,RAND())</f>
        <v>0</v>
      </c>
      <c r="G342" s="0" t="n">
        <f aca="true">CRITBINOM(MAX(0,D342-E342),1-Coefficients!$B$32,RAND())</f>
        <v>0</v>
      </c>
      <c r="H342" s="0" t="n">
        <f aca="true">CRITBINOM(MAX(0,$C342-D342),MIN(0.6,Matchup!$B$40*SQRT($B342)/(1-MIN(0.75,Matchup!$B$39*$B342))),RAND())</f>
        <v>2</v>
      </c>
      <c r="I342" s="0" t="n">
        <f aca="false">6*D342+(D342-E342-G342)+2*F342+3*H342</f>
        <v>20</v>
      </c>
      <c r="J342" s="0" t="n">
        <f aca="true">CRITBINOM($C342,MIN(0.75,Matchup!$C$39*$B342),RAND())</f>
        <v>3</v>
      </c>
      <c r="K342" s="0" t="n">
        <f aca="true">CRITBINOM(J342,Coefficients!$B$30,RAND())</f>
        <v>0</v>
      </c>
      <c r="L342" s="0" t="n">
        <f aca="true">CRITBINOM(K342,Coefficients!$B$31,RAND())</f>
        <v>0</v>
      </c>
      <c r="M342" s="0" t="n">
        <f aca="true">CRITBINOM(MAX(0,J342-K342),1-Coefficients!$B$32,RAND())</f>
        <v>0</v>
      </c>
      <c r="N342" s="0" t="n">
        <f aca="true">CRITBINOM(MAX(0,$C342-J342),MIN(0.6,Matchup!$C$40*SQRT($B342)/(1-MIN(0.75,Matchup!$C$39*$B342))),RAND())</f>
        <v>3</v>
      </c>
      <c r="O342" s="0" t="n">
        <f aca="false">6*J342+(J342-K342-M342)+2*L342+3*N342</f>
        <v>30</v>
      </c>
      <c r="P342" s="0" t="n">
        <f aca="true">RAND()</f>
        <v>0.605629618972025</v>
      </c>
      <c r="Q342" s="0" t="n">
        <f aca="true">RAND()</f>
        <v>0.7555549745073</v>
      </c>
      <c r="R342" s="0" t="n">
        <f aca="false">IF($I342&lt;&gt;$O342,0,IF(P342&lt;Matchup!$B$39,7,IF(P342&lt;Matchup!$B$39+Matchup!$B$40,3,0)))</f>
        <v>0</v>
      </c>
      <c r="S342" s="0" t="n">
        <f aca="false">IF($I342&lt;&gt;$O342,0,IF(Q342&lt;Matchup!$C$39,7,IF(Q342&lt;Matchup!$C$39+Matchup!$C$40,3,0)))</f>
        <v>0</v>
      </c>
      <c r="T342" s="0" t="n">
        <f aca="false">I342+R342</f>
        <v>20</v>
      </c>
      <c r="U342" s="0" t="n">
        <f aca="false">O342+S342</f>
        <v>30</v>
      </c>
      <c r="V342" s="0" t="n">
        <f aca="false">T342-U342</f>
        <v>-10</v>
      </c>
      <c r="W342" s="0" t="n">
        <f aca="false">T342+U342</f>
        <v>50</v>
      </c>
    </row>
    <row r="343" customFormat="false" ht="15" hidden="false" customHeight="false" outlineLevel="0" collapsed="false">
      <c r="A343" s="0" t="n">
        <v>340</v>
      </c>
      <c r="B343" s="0" t="n">
        <f aca="true">NORMINV(RAND(),1,Coefficients!$B$22)</f>
        <v>1.11195302560977</v>
      </c>
      <c r="C343" s="0" t="n">
        <f aca="true">MEDIAN(8,16,ROUND(NORMINV(RAND(),Coefficients!$B$20,Coefficients!$B$21),0))</f>
        <v>11</v>
      </c>
      <c r="D343" s="0" t="n">
        <f aca="true">CRITBINOM($C343,MIN(0.75,Matchup!$B$39*$B343),RAND())</f>
        <v>4</v>
      </c>
      <c r="E343" s="0" t="n">
        <f aca="true">CRITBINOM(D343,Coefficients!$B$30,RAND())</f>
        <v>1</v>
      </c>
      <c r="F343" s="0" t="n">
        <f aca="true">CRITBINOM(E343,Coefficients!$B$31,RAND())</f>
        <v>0</v>
      </c>
      <c r="G343" s="0" t="n">
        <f aca="true">CRITBINOM(MAX(0,D343-E343),1-Coefficients!$B$32,RAND())</f>
        <v>0</v>
      </c>
      <c r="H343" s="0" t="n">
        <f aca="true">CRITBINOM(MAX(0,$C343-D343),MIN(0.6,Matchup!$B$40*SQRT($B343)/(1-MIN(0.75,Matchup!$B$39*$B343))),RAND())</f>
        <v>2</v>
      </c>
      <c r="I343" s="0" t="n">
        <f aca="false">6*D343+(D343-E343-G343)+2*F343+3*H343</f>
        <v>33</v>
      </c>
      <c r="J343" s="0" t="n">
        <f aca="true">CRITBINOM($C343,MIN(0.75,Matchup!$C$39*$B343),RAND())</f>
        <v>5</v>
      </c>
      <c r="K343" s="0" t="n">
        <f aca="true">CRITBINOM(J343,Coefficients!$B$30,RAND())</f>
        <v>0</v>
      </c>
      <c r="L343" s="0" t="n">
        <f aca="true">CRITBINOM(K343,Coefficients!$B$31,RAND())</f>
        <v>0</v>
      </c>
      <c r="M343" s="0" t="n">
        <f aca="true">CRITBINOM(MAX(0,J343-K343),1-Coefficients!$B$32,RAND())</f>
        <v>0</v>
      </c>
      <c r="N343" s="0" t="n">
        <f aca="true">CRITBINOM(MAX(0,$C343-J343),MIN(0.6,Matchup!$C$40*SQRT($B343)/(1-MIN(0.75,Matchup!$C$39*$B343))),RAND())</f>
        <v>0</v>
      </c>
      <c r="O343" s="0" t="n">
        <f aca="false">6*J343+(J343-K343-M343)+2*L343+3*N343</f>
        <v>35</v>
      </c>
      <c r="P343" s="0" t="n">
        <f aca="true">RAND()</f>
        <v>0.0783286848851748</v>
      </c>
      <c r="Q343" s="0" t="n">
        <f aca="true">RAND()</f>
        <v>0.452389621253396</v>
      </c>
      <c r="R343" s="0" t="n">
        <f aca="false">IF($I343&lt;&gt;$O343,0,IF(P343&lt;Matchup!$B$39,7,IF(P343&lt;Matchup!$B$39+Matchup!$B$40,3,0)))</f>
        <v>0</v>
      </c>
      <c r="S343" s="0" t="n">
        <f aca="false">IF($I343&lt;&gt;$O343,0,IF(Q343&lt;Matchup!$C$39,7,IF(Q343&lt;Matchup!$C$39+Matchup!$C$40,3,0)))</f>
        <v>0</v>
      </c>
      <c r="T343" s="0" t="n">
        <f aca="false">I343+R343</f>
        <v>33</v>
      </c>
      <c r="U343" s="0" t="n">
        <f aca="false">O343+S343</f>
        <v>35</v>
      </c>
      <c r="V343" s="0" t="n">
        <f aca="false">T343-U343</f>
        <v>-2</v>
      </c>
      <c r="W343" s="0" t="n">
        <f aca="false">T343+U343</f>
        <v>68</v>
      </c>
    </row>
    <row r="344" customFormat="false" ht="15" hidden="false" customHeight="false" outlineLevel="0" collapsed="false">
      <c r="A344" s="0" t="n">
        <v>341</v>
      </c>
      <c r="B344" s="0" t="n">
        <f aca="true">NORMINV(RAND(),1,Coefficients!$B$22)</f>
        <v>1.02160650039784</v>
      </c>
      <c r="C344" s="0" t="n">
        <f aca="true">MEDIAN(8,16,ROUND(NORMINV(RAND(),Coefficients!$B$20,Coefficients!$B$21),0))</f>
        <v>12</v>
      </c>
      <c r="D344" s="0" t="n">
        <f aca="true">CRITBINOM($C344,MIN(0.75,Matchup!$B$39*$B344),RAND())</f>
        <v>1</v>
      </c>
      <c r="E344" s="0" t="n">
        <f aca="true">CRITBINOM(D344,Coefficients!$B$30,RAND())</f>
        <v>0</v>
      </c>
      <c r="F344" s="0" t="n">
        <f aca="true">CRITBINOM(E344,Coefficients!$B$31,RAND())</f>
        <v>0</v>
      </c>
      <c r="G344" s="0" t="n">
        <f aca="true">CRITBINOM(MAX(0,D344-E344),1-Coefficients!$B$32,RAND())</f>
        <v>0</v>
      </c>
      <c r="H344" s="0" t="n">
        <f aca="true">CRITBINOM(MAX(0,$C344-D344),MIN(0.6,Matchup!$B$40*SQRT($B344)/(1-MIN(0.75,Matchup!$B$39*$B344))),RAND())</f>
        <v>1</v>
      </c>
      <c r="I344" s="0" t="n">
        <f aca="false">6*D344+(D344-E344-G344)+2*F344+3*H344</f>
        <v>10</v>
      </c>
      <c r="J344" s="0" t="n">
        <f aca="true">CRITBINOM($C344,MIN(0.75,Matchup!$C$39*$B344),RAND())</f>
        <v>1</v>
      </c>
      <c r="K344" s="0" t="n">
        <f aca="true">CRITBINOM(J344,Coefficients!$B$30,RAND())</f>
        <v>0</v>
      </c>
      <c r="L344" s="0" t="n">
        <f aca="true">CRITBINOM(K344,Coefficients!$B$31,RAND())</f>
        <v>0</v>
      </c>
      <c r="M344" s="0" t="n">
        <f aca="true">CRITBINOM(MAX(0,J344-K344),1-Coefficients!$B$32,RAND())</f>
        <v>0</v>
      </c>
      <c r="N344" s="0" t="n">
        <f aca="true">CRITBINOM(MAX(0,$C344-J344),MIN(0.6,Matchup!$C$40*SQRT($B344)/(1-MIN(0.75,Matchup!$C$39*$B344))),RAND())</f>
        <v>3</v>
      </c>
      <c r="O344" s="0" t="n">
        <f aca="false">6*J344+(J344-K344-M344)+2*L344+3*N344</f>
        <v>16</v>
      </c>
      <c r="P344" s="0" t="n">
        <f aca="true">RAND()</f>
        <v>0.203202811148444</v>
      </c>
      <c r="Q344" s="0" t="n">
        <f aca="true">RAND()</f>
        <v>0.745003984937453</v>
      </c>
      <c r="R344" s="0" t="n">
        <f aca="false">IF($I344&lt;&gt;$O344,0,IF(P344&lt;Matchup!$B$39,7,IF(P344&lt;Matchup!$B$39+Matchup!$B$40,3,0)))</f>
        <v>0</v>
      </c>
      <c r="S344" s="0" t="n">
        <f aca="false">IF($I344&lt;&gt;$O344,0,IF(Q344&lt;Matchup!$C$39,7,IF(Q344&lt;Matchup!$C$39+Matchup!$C$40,3,0)))</f>
        <v>0</v>
      </c>
      <c r="T344" s="0" t="n">
        <f aca="false">I344+R344</f>
        <v>10</v>
      </c>
      <c r="U344" s="0" t="n">
        <f aca="false">O344+S344</f>
        <v>16</v>
      </c>
      <c r="V344" s="0" t="n">
        <f aca="false">T344-U344</f>
        <v>-6</v>
      </c>
      <c r="W344" s="0" t="n">
        <f aca="false">T344+U344</f>
        <v>26</v>
      </c>
    </row>
    <row r="345" customFormat="false" ht="15" hidden="false" customHeight="false" outlineLevel="0" collapsed="false">
      <c r="A345" s="0" t="n">
        <v>342</v>
      </c>
      <c r="B345" s="0" t="n">
        <f aca="true">NORMINV(RAND(),1,Coefficients!$B$22)</f>
        <v>0.965127755249871</v>
      </c>
      <c r="C345" s="0" t="n">
        <f aca="true">MEDIAN(8,16,ROUND(NORMINV(RAND(),Coefficients!$B$20,Coefficients!$B$21),0))</f>
        <v>9</v>
      </c>
      <c r="D345" s="0" t="n">
        <f aca="true">CRITBINOM($C345,MIN(0.75,Matchup!$B$39*$B345),RAND())</f>
        <v>0</v>
      </c>
      <c r="E345" s="0" t="n">
        <f aca="true">CRITBINOM(D345,Coefficients!$B$30,RAND())</f>
        <v>0</v>
      </c>
      <c r="F345" s="0" t="n">
        <f aca="true">CRITBINOM(E345,Coefficients!$B$31,RAND())</f>
        <v>0</v>
      </c>
      <c r="G345" s="0" t="n">
        <f aca="true">CRITBINOM(MAX(0,D345-E345),1-Coefficients!$B$32,RAND())</f>
        <v>0</v>
      </c>
      <c r="H345" s="0" t="n">
        <f aca="true">CRITBINOM(MAX(0,$C345-D345),MIN(0.6,Matchup!$B$40*SQRT($B345)/(1-MIN(0.75,Matchup!$B$39*$B345))),RAND())</f>
        <v>1</v>
      </c>
      <c r="I345" s="0" t="n">
        <f aca="false">6*D345+(D345-E345-G345)+2*F345+3*H345</f>
        <v>3</v>
      </c>
      <c r="J345" s="0" t="n">
        <f aca="true">CRITBINOM($C345,MIN(0.75,Matchup!$C$39*$B345),RAND())</f>
        <v>1</v>
      </c>
      <c r="K345" s="0" t="n">
        <f aca="true">CRITBINOM(J345,Coefficients!$B$30,RAND())</f>
        <v>0</v>
      </c>
      <c r="L345" s="0" t="n">
        <f aca="true">CRITBINOM(K345,Coefficients!$B$31,RAND())</f>
        <v>0</v>
      </c>
      <c r="M345" s="0" t="n">
        <f aca="true">CRITBINOM(MAX(0,J345-K345),1-Coefficients!$B$32,RAND())</f>
        <v>0</v>
      </c>
      <c r="N345" s="0" t="n">
        <f aca="true">CRITBINOM(MAX(0,$C345-J345),MIN(0.6,Matchup!$C$40*SQRT($B345)/(1-MIN(0.75,Matchup!$C$39*$B345))),RAND())</f>
        <v>2</v>
      </c>
      <c r="O345" s="0" t="n">
        <f aca="false">6*J345+(J345-K345-M345)+2*L345+3*N345</f>
        <v>13</v>
      </c>
      <c r="P345" s="0" t="n">
        <f aca="true">RAND()</f>
        <v>0.710050152182808</v>
      </c>
      <c r="Q345" s="0" t="n">
        <f aca="true">RAND()</f>
        <v>0.01975014787904</v>
      </c>
      <c r="R345" s="0" t="n">
        <f aca="false">IF($I345&lt;&gt;$O345,0,IF(P345&lt;Matchup!$B$39,7,IF(P345&lt;Matchup!$B$39+Matchup!$B$40,3,0)))</f>
        <v>0</v>
      </c>
      <c r="S345" s="0" t="n">
        <f aca="false">IF($I345&lt;&gt;$O345,0,IF(Q345&lt;Matchup!$C$39,7,IF(Q345&lt;Matchup!$C$39+Matchup!$C$40,3,0)))</f>
        <v>0</v>
      </c>
      <c r="T345" s="0" t="n">
        <f aca="false">I345+R345</f>
        <v>3</v>
      </c>
      <c r="U345" s="0" t="n">
        <f aca="false">O345+S345</f>
        <v>13</v>
      </c>
      <c r="V345" s="0" t="n">
        <f aca="false">T345-U345</f>
        <v>-10</v>
      </c>
      <c r="W345" s="0" t="n">
        <f aca="false">T345+U345</f>
        <v>16</v>
      </c>
    </row>
    <row r="346" customFormat="false" ht="15" hidden="false" customHeight="false" outlineLevel="0" collapsed="false">
      <c r="A346" s="0" t="n">
        <v>343</v>
      </c>
      <c r="B346" s="0" t="n">
        <f aca="true">NORMINV(RAND(),1,Coefficients!$B$22)</f>
        <v>0.984322148822195</v>
      </c>
      <c r="C346" s="0" t="n">
        <f aca="true">MEDIAN(8,16,ROUND(NORMINV(RAND(),Coefficients!$B$20,Coefficients!$B$21),0))</f>
        <v>11</v>
      </c>
      <c r="D346" s="0" t="n">
        <f aca="true">CRITBINOM($C346,MIN(0.75,Matchup!$B$39*$B346),RAND())</f>
        <v>6</v>
      </c>
      <c r="E346" s="0" t="n">
        <f aca="true">CRITBINOM(D346,Coefficients!$B$30,RAND())</f>
        <v>0</v>
      </c>
      <c r="F346" s="0" t="n">
        <f aca="true">CRITBINOM(E346,Coefficients!$B$31,RAND())</f>
        <v>0</v>
      </c>
      <c r="G346" s="0" t="n">
        <f aca="true">CRITBINOM(MAX(0,D346-E346),1-Coefficients!$B$32,RAND())</f>
        <v>0</v>
      </c>
      <c r="H346" s="0" t="n">
        <f aca="true">CRITBINOM(MAX(0,$C346-D346),MIN(0.6,Matchup!$B$40*SQRT($B346)/(1-MIN(0.75,Matchup!$B$39*$B346))),RAND())</f>
        <v>3</v>
      </c>
      <c r="I346" s="0" t="n">
        <f aca="false">6*D346+(D346-E346-G346)+2*F346+3*H346</f>
        <v>51</v>
      </c>
      <c r="J346" s="0" t="n">
        <f aca="true">CRITBINOM($C346,MIN(0.75,Matchup!$C$39*$B346),RAND())</f>
        <v>0</v>
      </c>
      <c r="K346" s="0" t="n">
        <f aca="true">CRITBINOM(J346,Coefficients!$B$30,RAND())</f>
        <v>0</v>
      </c>
      <c r="L346" s="0" t="n">
        <f aca="true">CRITBINOM(K346,Coefficients!$B$31,RAND())</f>
        <v>0</v>
      </c>
      <c r="M346" s="0" t="n">
        <f aca="true">CRITBINOM(MAX(0,J346-K346),1-Coefficients!$B$32,RAND())</f>
        <v>0</v>
      </c>
      <c r="N346" s="0" t="n">
        <f aca="true">CRITBINOM(MAX(0,$C346-J346),MIN(0.6,Matchup!$C$40*SQRT($B346)/(1-MIN(0.75,Matchup!$C$39*$B346))),RAND())</f>
        <v>1</v>
      </c>
      <c r="O346" s="0" t="n">
        <f aca="false">6*J346+(J346-K346-M346)+2*L346+3*N346</f>
        <v>3</v>
      </c>
      <c r="P346" s="0" t="n">
        <f aca="true">RAND()</f>
        <v>0.86531500711266</v>
      </c>
      <c r="Q346" s="0" t="n">
        <f aca="true">RAND()</f>
        <v>0.59831003052875</v>
      </c>
      <c r="R346" s="0" t="n">
        <f aca="false">IF($I346&lt;&gt;$O346,0,IF(P346&lt;Matchup!$B$39,7,IF(P346&lt;Matchup!$B$39+Matchup!$B$40,3,0)))</f>
        <v>0</v>
      </c>
      <c r="S346" s="0" t="n">
        <f aca="false">IF($I346&lt;&gt;$O346,0,IF(Q346&lt;Matchup!$C$39,7,IF(Q346&lt;Matchup!$C$39+Matchup!$C$40,3,0)))</f>
        <v>0</v>
      </c>
      <c r="T346" s="0" t="n">
        <f aca="false">I346+R346</f>
        <v>51</v>
      </c>
      <c r="U346" s="0" t="n">
        <f aca="false">O346+S346</f>
        <v>3</v>
      </c>
      <c r="V346" s="0" t="n">
        <f aca="false">T346-U346</f>
        <v>48</v>
      </c>
      <c r="W346" s="0" t="n">
        <f aca="false">T346+U346</f>
        <v>54</v>
      </c>
    </row>
    <row r="347" customFormat="false" ht="15" hidden="false" customHeight="false" outlineLevel="0" collapsed="false">
      <c r="A347" s="0" t="n">
        <v>344</v>
      </c>
      <c r="B347" s="0" t="n">
        <f aca="true">NORMINV(RAND(),1,Coefficients!$B$22)</f>
        <v>1.03651641087719</v>
      </c>
      <c r="C347" s="0" t="n">
        <f aca="true">MEDIAN(8,16,ROUND(NORMINV(RAND(),Coefficients!$B$20,Coefficients!$B$21),0))</f>
        <v>11</v>
      </c>
      <c r="D347" s="0" t="n">
        <f aca="true">CRITBINOM($C347,MIN(0.75,Matchup!$B$39*$B347),RAND())</f>
        <v>5</v>
      </c>
      <c r="E347" s="0" t="n">
        <f aca="true">CRITBINOM(D347,Coefficients!$B$30,RAND())</f>
        <v>0</v>
      </c>
      <c r="F347" s="0" t="n">
        <f aca="true">CRITBINOM(E347,Coefficients!$B$31,RAND())</f>
        <v>0</v>
      </c>
      <c r="G347" s="0" t="n">
        <f aca="true">CRITBINOM(MAX(0,D347-E347),1-Coefficients!$B$32,RAND())</f>
        <v>0</v>
      </c>
      <c r="H347" s="0" t="n">
        <f aca="true">CRITBINOM(MAX(0,$C347-D347),MIN(0.6,Matchup!$B$40*SQRT($B347)/(1-MIN(0.75,Matchup!$B$39*$B347))),RAND())</f>
        <v>1</v>
      </c>
      <c r="I347" s="0" t="n">
        <f aca="false">6*D347+(D347-E347-G347)+2*F347+3*H347</f>
        <v>38</v>
      </c>
      <c r="J347" s="0" t="n">
        <f aca="true">CRITBINOM($C347,MIN(0.75,Matchup!$C$39*$B347),RAND())</f>
        <v>3</v>
      </c>
      <c r="K347" s="0" t="n">
        <f aca="true">CRITBINOM(J347,Coefficients!$B$30,RAND())</f>
        <v>0</v>
      </c>
      <c r="L347" s="0" t="n">
        <f aca="true">CRITBINOM(K347,Coefficients!$B$31,RAND())</f>
        <v>0</v>
      </c>
      <c r="M347" s="0" t="n">
        <f aca="true">CRITBINOM(MAX(0,J347-K347),1-Coefficients!$B$32,RAND())</f>
        <v>0</v>
      </c>
      <c r="N347" s="0" t="n">
        <f aca="true">CRITBINOM(MAX(0,$C347-J347),MIN(0.6,Matchup!$C$40*SQRT($B347)/(1-MIN(0.75,Matchup!$C$39*$B347))),RAND())</f>
        <v>1</v>
      </c>
      <c r="O347" s="0" t="n">
        <f aca="false">6*J347+(J347-K347-M347)+2*L347+3*N347</f>
        <v>24</v>
      </c>
      <c r="P347" s="0" t="n">
        <f aca="true">RAND()</f>
        <v>0.926198402798823</v>
      </c>
      <c r="Q347" s="0" t="n">
        <f aca="true">RAND()</f>
        <v>0.471565226968954</v>
      </c>
      <c r="R347" s="0" t="n">
        <f aca="false">IF($I347&lt;&gt;$O347,0,IF(P347&lt;Matchup!$B$39,7,IF(P347&lt;Matchup!$B$39+Matchup!$B$40,3,0)))</f>
        <v>0</v>
      </c>
      <c r="S347" s="0" t="n">
        <f aca="false">IF($I347&lt;&gt;$O347,0,IF(Q347&lt;Matchup!$C$39,7,IF(Q347&lt;Matchup!$C$39+Matchup!$C$40,3,0)))</f>
        <v>0</v>
      </c>
      <c r="T347" s="0" t="n">
        <f aca="false">I347+R347</f>
        <v>38</v>
      </c>
      <c r="U347" s="0" t="n">
        <f aca="false">O347+S347</f>
        <v>24</v>
      </c>
      <c r="V347" s="0" t="n">
        <f aca="false">T347-U347</f>
        <v>14</v>
      </c>
      <c r="W347" s="0" t="n">
        <f aca="false">T347+U347</f>
        <v>62</v>
      </c>
    </row>
    <row r="348" customFormat="false" ht="15" hidden="false" customHeight="false" outlineLevel="0" collapsed="false">
      <c r="A348" s="0" t="n">
        <v>345</v>
      </c>
      <c r="B348" s="0" t="n">
        <f aca="true">NORMINV(RAND(),1,Coefficients!$B$22)</f>
        <v>1.07037817657607</v>
      </c>
      <c r="C348" s="0" t="n">
        <f aca="true">MEDIAN(8,16,ROUND(NORMINV(RAND(),Coefficients!$B$20,Coefficients!$B$21),0))</f>
        <v>11</v>
      </c>
      <c r="D348" s="0" t="n">
        <f aca="true">CRITBINOM($C348,MIN(0.75,Matchup!$B$39*$B348),RAND())</f>
        <v>2</v>
      </c>
      <c r="E348" s="0" t="n">
        <f aca="true">CRITBINOM(D348,Coefficients!$B$30,RAND())</f>
        <v>0</v>
      </c>
      <c r="F348" s="0" t="n">
        <f aca="true">CRITBINOM(E348,Coefficients!$B$31,RAND())</f>
        <v>0</v>
      </c>
      <c r="G348" s="0" t="n">
        <f aca="true">CRITBINOM(MAX(0,D348-E348),1-Coefficients!$B$32,RAND())</f>
        <v>0</v>
      </c>
      <c r="H348" s="0" t="n">
        <f aca="true">CRITBINOM(MAX(0,$C348-D348),MIN(0.6,Matchup!$B$40*SQRT($B348)/(1-MIN(0.75,Matchup!$B$39*$B348))),RAND())</f>
        <v>3</v>
      </c>
      <c r="I348" s="0" t="n">
        <f aca="false">6*D348+(D348-E348-G348)+2*F348+3*H348</f>
        <v>23</v>
      </c>
      <c r="J348" s="0" t="n">
        <f aca="true">CRITBINOM($C348,MIN(0.75,Matchup!$C$39*$B348),RAND())</f>
        <v>1</v>
      </c>
      <c r="K348" s="0" t="n">
        <f aca="true">CRITBINOM(J348,Coefficients!$B$30,RAND())</f>
        <v>0</v>
      </c>
      <c r="L348" s="0" t="n">
        <f aca="true">CRITBINOM(K348,Coefficients!$B$31,RAND())</f>
        <v>0</v>
      </c>
      <c r="M348" s="0" t="n">
        <f aca="true">CRITBINOM(MAX(0,J348-K348),1-Coefficients!$B$32,RAND())</f>
        <v>0</v>
      </c>
      <c r="N348" s="0" t="n">
        <f aca="true">CRITBINOM(MAX(0,$C348-J348),MIN(0.6,Matchup!$C$40*SQRT($B348)/(1-MIN(0.75,Matchup!$C$39*$B348))),RAND())</f>
        <v>1</v>
      </c>
      <c r="O348" s="0" t="n">
        <f aca="false">6*J348+(J348-K348-M348)+2*L348+3*N348</f>
        <v>10</v>
      </c>
      <c r="P348" s="0" t="n">
        <f aca="true">RAND()</f>
        <v>0.273591597703011</v>
      </c>
      <c r="Q348" s="0" t="n">
        <f aca="true">RAND()</f>
        <v>0.574494545296627</v>
      </c>
      <c r="R348" s="0" t="n">
        <f aca="false">IF($I348&lt;&gt;$O348,0,IF(P348&lt;Matchup!$B$39,7,IF(P348&lt;Matchup!$B$39+Matchup!$B$40,3,0)))</f>
        <v>0</v>
      </c>
      <c r="S348" s="0" t="n">
        <f aca="false">IF($I348&lt;&gt;$O348,0,IF(Q348&lt;Matchup!$C$39,7,IF(Q348&lt;Matchup!$C$39+Matchup!$C$40,3,0)))</f>
        <v>0</v>
      </c>
      <c r="T348" s="0" t="n">
        <f aca="false">I348+R348</f>
        <v>23</v>
      </c>
      <c r="U348" s="0" t="n">
        <f aca="false">O348+S348</f>
        <v>10</v>
      </c>
      <c r="V348" s="0" t="n">
        <f aca="false">T348-U348</f>
        <v>13</v>
      </c>
      <c r="W348" s="0" t="n">
        <f aca="false">T348+U348</f>
        <v>33</v>
      </c>
    </row>
    <row r="349" customFormat="false" ht="15" hidden="false" customHeight="false" outlineLevel="0" collapsed="false">
      <c r="A349" s="0" t="n">
        <v>346</v>
      </c>
      <c r="B349" s="0" t="n">
        <f aca="true">NORMINV(RAND(),1,Coefficients!$B$22)</f>
        <v>1.14356921058346</v>
      </c>
      <c r="C349" s="0" t="n">
        <f aca="true">MEDIAN(8,16,ROUND(NORMINV(RAND(),Coefficients!$B$20,Coefficients!$B$21),0))</f>
        <v>13</v>
      </c>
      <c r="D349" s="0" t="n">
        <f aca="true">CRITBINOM($C349,MIN(0.75,Matchup!$B$39*$B349),RAND())</f>
        <v>5</v>
      </c>
      <c r="E349" s="0" t="n">
        <f aca="true">CRITBINOM(D349,Coefficients!$B$30,RAND())</f>
        <v>0</v>
      </c>
      <c r="F349" s="0" t="n">
        <f aca="true">CRITBINOM(E349,Coefficients!$B$31,RAND())</f>
        <v>0</v>
      </c>
      <c r="G349" s="0" t="n">
        <f aca="true">CRITBINOM(MAX(0,D349-E349),1-Coefficients!$B$32,RAND())</f>
        <v>0</v>
      </c>
      <c r="H349" s="0" t="n">
        <f aca="true">CRITBINOM(MAX(0,$C349-D349),MIN(0.6,Matchup!$B$40*SQRT($B349)/(1-MIN(0.75,Matchup!$B$39*$B349))),RAND())</f>
        <v>1</v>
      </c>
      <c r="I349" s="0" t="n">
        <f aca="false">6*D349+(D349-E349-G349)+2*F349+3*H349</f>
        <v>38</v>
      </c>
      <c r="J349" s="0" t="n">
        <f aca="true">CRITBINOM($C349,MIN(0.75,Matchup!$C$39*$B349),RAND())</f>
        <v>1</v>
      </c>
      <c r="K349" s="0" t="n">
        <f aca="true">CRITBINOM(J349,Coefficients!$B$30,RAND())</f>
        <v>0</v>
      </c>
      <c r="L349" s="0" t="n">
        <f aca="true">CRITBINOM(K349,Coefficients!$B$31,RAND())</f>
        <v>0</v>
      </c>
      <c r="M349" s="0" t="n">
        <f aca="true">CRITBINOM(MAX(0,J349-K349),1-Coefficients!$B$32,RAND())</f>
        <v>0</v>
      </c>
      <c r="N349" s="0" t="n">
        <f aca="true">CRITBINOM(MAX(0,$C349-J349),MIN(0.6,Matchup!$C$40*SQRT($B349)/(1-MIN(0.75,Matchup!$C$39*$B349))),RAND())</f>
        <v>1</v>
      </c>
      <c r="O349" s="0" t="n">
        <f aca="false">6*J349+(J349-K349-M349)+2*L349+3*N349</f>
        <v>10</v>
      </c>
      <c r="P349" s="0" t="n">
        <f aca="true">RAND()</f>
        <v>0.947458556525057</v>
      </c>
      <c r="Q349" s="0" t="n">
        <f aca="true">RAND()</f>
        <v>0.503559695478558</v>
      </c>
      <c r="R349" s="0" t="n">
        <f aca="false">IF($I349&lt;&gt;$O349,0,IF(P349&lt;Matchup!$B$39,7,IF(P349&lt;Matchup!$B$39+Matchup!$B$40,3,0)))</f>
        <v>0</v>
      </c>
      <c r="S349" s="0" t="n">
        <f aca="false">IF($I349&lt;&gt;$O349,0,IF(Q349&lt;Matchup!$C$39,7,IF(Q349&lt;Matchup!$C$39+Matchup!$C$40,3,0)))</f>
        <v>0</v>
      </c>
      <c r="T349" s="0" t="n">
        <f aca="false">I349+R349</f>
        <v>38</v>
      </c>
      <c r="U349" s="0" t="n">
        <f aca="false">O349+S349</f>
        <v>10</v>
      </c>
      <c r="V349" s="0" t="n">
        <f aca="false">T349-U349</f>
        <v>28</v>
      </c>
      <c r="W349" s="0" t="n">
        <f aca="false">T349+U349</f>
        <v>48</v>
      </c>
    </row>
    <row r="350" customFormat="false" ht="15" hidden="false" customHeight="false" outlineLevel="0" collapsed="false">
      <c r="A350" s="0" t="n">
        <v>347</v>
      </c>
      <c r="B350" s="0" t="n">
        <f aca="true">NORMINV(RAND(),1,Coefficients!$B$22)</f>
        <v>0.848440307496156</v>
      </c>
      <c r="C350" s="0" t="n">
        <f aca="true">MEDIAN(8,16,ROUND(NORMINV(RAND(),Coefficients!$B$20,Coefficients!$B$21),0))</f>
        <v>10</v>
      </c>
      <c r="D350" s="0" t="n">
        <f aca="true">CRITBINOM($C350,MIN(0.75,Matchup!$B$39*$B350),RAND())</f>
        <v>2</v>
      </c>
      <c r="E350" s="0" t="n">
        <f aca="true">CRITBINOM(D350,Coefficients!$B$30,RAND())</f>
        <v>0</v>
      </c>
      <c r="F350" s="0" t="n">
        <f aca="true">CRITBINOM(E350,Coefficients!$B$31,RAND())</f>
        <v>0</v>
      </c>
      <c r="G350" s="0" t="n">
        <f aca="true">CRITBINOM(MAX(0,D350-E350),1-Coefficients!$B$32,RAND())</f>
        <v>0</v>
      </c>
      <c r="H350" s="0" t="n">
        <f aca="true">CRITBINOM(MAX(0,$C350-D350),MIN(0.6,Matchup!$B$40*SQRT($B350)/(1-MIN(0.75,Matchup!$B$39*$B350))),RAND())</f>
        <v>1</v>
      </c>
      <c r="I350" s="0" t="n">
        <f aca="false">6*D350+(D350-E350-G350)+2*F350+3*H350</f>
        <v>17</v>
      </c>
      <c r="J350" s="0" t="n">
        <f aca="true">CRITBINOM($C350,MIN(0.75,Matchup!$C$39*$B350),RAND())</f>
        <v>3</v>
      </c>
      <c r="K350" s="0" t="n">
        <f aca="true">CRITBINOM(J350,Coefficients!$B$30,RAND())</f>
        <v>1</v>
      </c>
      <c r="L350" s="0" t="n">
        <f aca="true">CRITBINOM(K350,Coefficients!$B$31,RAND())</f>
        <v>1</v>
      </c>
      <c r="M350" s="0" t="n">
        <f aca="true">CRITBINOM(MAX(0,J350-K350),1-Coefficients!$B$32,RAND())</f>
        <v>0</v>
      </c>
      <c r="N350" s="0" t="n">
        <f aca="true">CRITBINOM(MAX(0,$C350-J350),MIN(0.6,Matchup!$C$40*SQRT($B350)/(1-MIN(0.75,Matchup!$C$39*$B350))),RAND())</f>
        <v>2</v>
      </c>
      <c r="O350" s="0" t="n">
        <f aca="false">6*J350+(J350-K350-M350)+2*L350+3*N350</f>
        <v>28</v>
      </c>
      <c r="P350" s="0" t="n">
        <f aca="true">RAND()</f>
        <v>0.432737626135975</v>
      </c>
      <c r="Q350" s="0" t="n">
        <f aca="true">RAND()</f>
        <v>0.76037226306137</v>
      </c>
      <c r="R350" s="0" t="n">
        <f aca="false">IF($I350&lt;&gt;$O350,0,IF(P350&lt;Matchup!$B$39,7,IF(P350&lt;Matchup!$B$39+Matchup!$B$40,3,0)))</f>
        <v>0</v>
      </c>
      <c r="S350" s="0" t="n">
        <f aca="false">IF($I350&lt;&gt;$O350,0,IF(Q350&lt;Matchup!$C$39,7,IF(Q350&lt;Matchup!$C$39+Matchup!$C$40,3,0)))</f>
        <v>0</v>
      </c>
      <c r="T350" s="0" t="n">
        <f aca="false">I350+R350</f>
        <v>17</v>
      </c>
      <c r="U350" s="0" t="n">
        <f aca="false">O350+S350</f>
        <v>28</v>
      </c>
      <c r="V350" s="0" t="n">
        <f aca="false">T350-U350</f>
        <v>-11</v>
      </c>
      <c r="W350" s="0" t="n">
        <f aca="false">T350+U350</f>
        <v>45</v>
      </c>
    </row>
    <row r="351" customFormat="false" ht="15" hidden="false" customHeight="false" outlineLevel="0" collapsed="false">
      <c r="A351" s="0" t="n">
        <v>348</v>
      </c>
      <c r="B351" s="0" t="n">
        <f aca="true">NORMINV(RAND(),1,Coefficients!$B$22)</f>
        <v>1.03141618611802</v>
      </c>
      <c r="C351" s="0" t="n">
        <f aca="true">MEDIAN(8,16,ROUND(NORMINV(RAND(),Coefficients!$B$20,Coefficients!$B$21),0))</f>
        <v>12</v>
      </c>
      <c r="D351" s="0" t="n">
        <f aca="true">CRITBINOM($C351,MIN(0.75,Matchup!$B$39*$B351),RAND())</f>
        <v>2</v>
      </c>
      <c r="E351" s="0" t="n">
        <f aca="true">CRITBINOM(D351,Coefficients!$B$30,RAND())</f>
        <v>0</v>
      </c>
      <c r="F351" s="0" t="n">
        <f aca="true">CRITBINOM(E351,Coefficients!$B$31,RAND())</f>
        <v>0</v>
      </c>
      <c r="G351" s="0" t="n">
        <f aca="true">CRITBINOM(MAX(0,D351-E351),1-Coefficients!$B$32,RAND())</f>
        <v>0</v>
      </c>
      <c r="H351" s="0" t="n">
        <f aca="true">CRITBINOM(MAX(0,$C351-D351),MIN(0.6,Matchup!$B$40*SQRT($B351)/(1-MIN(0.75,Matchup!$B$39*$B351))),RAND())</f>
        <v>2</v>
      </c>
      <c r="I351" s="0" t="n">
        <f aca="false">6*D351+(D351-E351-G351)+2*F351+3*H351</f>
        <v>20</v>
      </c>
      <c r="J351" s="0" t="n">
        <f aca="true">CRITBINOM($C351,MIN(0.75,Matchup!$C$39*$B351),RAND())</f>
        <v>3</v>
      </c>
      <c r="K351" s="0" t="n">
        <f aca="true">CRITBINOM(J351,Coefficients!$B$30,RAND())</f>
        <v>0</v>
      </c>
      <c r="L351" s="0" t="n">
        <f aca="true">CRITBINOM(K351,Coefficients!$B$31,RAND())</f>
        <v>0</v>
      </c>
      <c r="M351" s="0" t="n">
        <f aca="true">CRITBINOM(MAX(0,J351-K351),1-Coefficients!$B$32,RAND())</f>
        <v>0</v>
      </c>
      <c r="N351" s="0" t="n">
        <f aca="true">CRITBINOM(MAX(0,$C351-J351),MIN(0.6,Matchup!$C$40*SQRT($B351)/(1-MIN(0.75,Matchup!$C$39*$B351))),RAND())</f>
        <v>2</v>
      </c>
      <c r="O351" s="0" t="n">
        <f aca="false">6*J351+(J351-K351-M351)+2*L351+3*N351</f>
        <v>27</v>
      </c>
      <c r="P351" s="0" t="n">
        <f aca="true">RAND()</f>
        <v>0.215121211283887</v>
      </c>
      <c r="Q351" s="0" t="n">
        <f aca="true">RAND()</f>
        <v>0.190582448845341</v>
      </c>
      <c r="R351" s="0" t="n">
        <f aca="false">IF($I351&lt;&gt;$O351,0,IF(P351&lt;Matchup!$B$39,7,IF(P351&lt;Matchup!$B$39+Matchup!$B$40,3,0)))</f>
        <v>0</v>
      </c>
      <c r="S351" s="0" t="n">
        <f aca="false">IF($I351&lt;&gt;$O351,0,IF(Q351&lt;Matchup!$C$39,7,IF(Q351&lt;Matchup!$C$39+Matchup!$C$40,3,0)))</f>
        <v>0</v>
      </c>
      <c r="T351" s="0" t="n">
        <f aca="false">I351+R351</f>
        <v>20</v>
      </c>
      <c r="U351" s="0" t="n">
        <f aca="false">O351+S351</f>
        <v>27</v>
      </c>
      <c r="V351" s="0" t="n">
        <f aca="false">T351-U351</f>
        <v>-7</v>
      </c>
      <c r="W351" s="0" t="n">
        <f aca="false">T351+U351</f>
        <v>47</v>
      </c>
    </row>
    <row r="352" customFormat="false" ht="15" hidden="false" customHeight="false" outlineLevel="0" collapsed="false">
      <c r="A352" s="0" t="n">
        <v>349</v>
      </c>
      <c r="B352" s="0" t="n">
        <f aca="true">NORMINV(RAND(),1,Coefficients!$B$22)</f>
        <v>0.949335917191385</v>
      </c>
      <c r="C352" s="0" t="n">
        <f aca="true">MEDIAN(8,16,ROUND(NORMINV(RAND(),Coefficients!$B$20,Coefficients!$B$21),0))</f>
        <v>10</v>
      </c>
      <c r="D352" s="0" t="n">
        <f aca="true">CRITBINOM($C352,MIN(0.75,Matchup!$B$39*$B352),RAND())</f>
        <v>0</v>
      </c>
      <c r="E352" s="0" t="n">
        <f aca="true">CRITBINOM(D352,Coefficients!$B$30,RAND())</f>
        <v>0</v>
      </c>
      <c r="F352" s="0" t="n">
        <f aca="true">CRITBINOM(E352,Coefficients!$B$31,RAND())</f>
        <v>0</v>
      </c>
      <c r="G352" s="0" t="n">
        <f aca="true">CRITBINOM(MAX(0,D352-E352),1-Coefficients!$B$32,RAND())</f>
        <v>0</v>
      </c>
      <c r="H352" s="0" t="n">
        <f aca="true">CRITBINOM(MAX(0,$C352-D352),MIN(0.6,Matchup!$B$40*SQRT($B352)/(1-MIN(0.75,Matchup!$B$39*$B352))),RAND())</f>
        <v>1</v>
      </c>
      <c r="I352" s="0" t="n">
        <f aca="false">6*D352+(D352-E352-G352)+2*F352+3*H352</f>
        <v>3</v>
      </c>
      <c r="J352" s="0" t="n">
        <f aca="true">CRITBINOM($C352,MIN(0.75,Matchup!$C$39*$B352),RAND())</f>
        <v>5</v>
      </c>
      <c r="K352" s="0" t="n">
        <f aca="true">CRITBINOM(J352,Coefficients!$B$30,RAND())</f>
        <v>0</v>
      </c>
      <c r="L352" s="0" t="n">
        <f aca="true">CRITBINOM(K352,Coefficients!$B$31,RAND())</f>
        <v>0</v>
      </c>
      <c r="M352" s="0" t="n">
        <f aca="true">CRITBINOM(MAX(0,J352-K352),1-Coefficients!$B$32,RAND())</f>
        <v>0</v>
      </c>
      <c r="N352" s="0" t="n">
        <f aca="true">CRITBINOM(MAX(0,$C352-J352),MIN(0.6,Matchup!$C$40*SQRT($B352)/(1-MIN(0.75,Matchup!$C$39*$B352))),RAND())</f>
        <v>1</v>
      </c>
      <c r="O352" s="0" t="n">
        <f aca="false">6*J352+(J352-K352-M352)+2*L352+3*N352</f>
        <v>38</v>
      </c>
      <c r="P352" s="0" t="n">
        <f aca="true">RAND()</f>
        <v>0.595434074363823</v>
      </c>
      <c r="Q352" s="0" t="n">
        <f aca="true">RAND()</f>
        <v>0.118955396546902</v>
      </c>
      <c r="R352" s="0" t="n">
        <f aca="false">IF($I352&lt;&gt;$O352,0,IF(P352&lt;Matchup!$B$39,7,IF(P352&lt;Matchup!$B$39+Matchup!$B$40,3,0)))</f>
        <v>0</v>
      </c>
      <c r="S352" s="0" t="n">
        <f aca="false">IF($I352&lt;&gt;$O352,0,IF(Q352&lt;Matchup!$C$39,7,IF(Q352&lt;Matchup!$C$39+Matchup!$C$40,3,0)))</f>
        <v>0</v>
      </c>
      <c r="T352" s="0" t="n">
        <f aca="false">I352+R352</f>
        <v>3</v>
      </c>
      <c r="U352" s="0" t="n">
        <f aca="false">O352+S352</f>
        <v>38</v>
      </c>
      <c r="V352" s="0" t="n">
        <f aca="false">T352-U352</f>
        <v>-35</v>
      </c>
      <c r="W352" s="0" t="n">
        <f aca="false">T352+U352</f>
        <v>41</v>
      </c>
    </row>
    <row r="353" customFormat="false" ht="15" hidden="false" customHeight="false" outlineLevel="0" collapsed="false">
      <c r="A353" s="0" t="n">
        <v>350</v>
      </c>
      <c r="B353" s="0" t="n">
        <f aca="true">NORMINV(RAND(),1,Coefficients!$B$22)</f>
        <v>1.00276248635179</v>
      </c>
      <c r="C353" s="0" t="n">
        <f aca="true">MEDIAN(8,16,ROUND(NORMINV(RAND(),Coefficients!$B$20,Coefficients!$B$21),0))</f>
        <v>13</v>
      </c>
      <c r="D353" s="0" t="n">
        <f aca="true">CRITBINOM($C353,MIN(0.75,Matchup!$B$39*$B353),RAND())</f>
        <v>4</v>
      </c>
      <c r="E353" s="0" t="n">
        <f aca="true">CRITBINOM(D353,Coefficients!$B$30,RAND())</f>
        <v>1</v>
      </c>
      <c r="F353" s="0" t="n">
        <f aca="true">CRITBINOM(E353,Coefficients!$B$31,RAND())</f>
        <v>1</v>
      </c>
      <c r="G353" s="0" t="n">
        <f aca="true">CRITBINOM(MAX(0,D353-E353),1-Coefficients!$B$32,RAND())</f>
        <v>0</v>
      </c>
      <c r="H353" s="0" t="n">
        <f aca="true">CRITBINOM(MAX(0,$C353-D353),MIN(0.6,Matchup!$B$40*SQRT($B353)/(1-MIN(0.75,Matchup!$B$39*$B353))),RAND())</f>
        <v>2</v>
      </c>
      <c r="I353" s="0" t="n">
        <f aca="false">6*D353+(D353-E353-G353)+2*F353+3*H353</f>
        <v>35</v>
      </c>
      <c r="J353" s="0" t="n">
        <f aca="true">CRITBINOM($C353,MIN(0.75,Matchup!$C$39*$B353),RAND())</f>
        <v>6</v>
      </c>
      <c r="K353" s="0" t="n">
        <f aca="true">CRITBINOM(J353,Coefficients!$B$30,RAND())</f>
        <v>0</v>
      </c>
      <c r="L353" s="0" t="n">
        <f aca="true">CRITBINOM(K353,Coefficients!$B$31,RAND())</f>
        <v>0</v>
      </c>
      <c r="M353" s="0" t="n">
        <f aca="true">CRITBINOM(MAX(0,J353-K353),1-Coefficients!$B$32,RAND())</f>
        <v>0</v>
      </c>
      <c r="N353" s="0" t="n">
        <f aca="true">CRITBINOM(MAX(0,$C353-J353),MIN(0.6,Matchup!$C$40*SQRT($B353)/(1-MIN(0.75,Matchup!$C$39*$B353))),RAND())</f>
        <v>0</v>
      </c>
      <c r="O353" s="0" t="n">
        <f aca="false">6*J353+(J353-K353-M353)+2*L353+3*N353</f>
        <v>42</v>
      </c>
      <c r="P353" s="0" t="n">
        <f aca="true">RAND()</f>
        <v>0.943648739793637</v>
      </c>
      <c r="Q353" s="0" t="n">
        <f aca="true">RAND()</f>
        <v>0.263614148975688</v>
      </c>
      <c r="R353" s="0" t="n">
        <f aca="false">IF($I353&lt;&gt;$O353,0,IF(P353&lt;Matchup!$B$39,7,IF(P353&lt;Matchup!$B$39+Matchup!$B$40,3,0)))</f>
        <v>0</v>
      </c>
      <c r="S353" s="0" t="n">
        <f aca="false">IF($I353&lt;&gt;$O353,0,IF(Q353&lt;Matchup!$C$39,7,IF(Q353&lt;Matchup!$C$39+Matchup!$C$40,3,0)))</f>
        <v>0</v>
      </c>
      <c r="T353" s="0" t="n">
        <f aca="false">I353+R353</f>
        <v>35</v>
      </c>
      <c r="U353" s="0" t="n">
        <f aca="false">O353+S353</f>
        <v>42</v>
      </c>
      <c r="V353" s="0" t="n">
        <f aca="false">T353-U353</f>
        <v>-7</v>
      </c>
      <c r="W353" s="0" t="n">
        <f aca="false">T353+U353</f>
        <v>77</v>
      </c>
    </row>
    <row r="354" customFormat="false" ht="15" hidden="false" customHeight="false" outlineLevel="0" collapsed="false">
      <c r="A354" s="0" t="n">
        <v>351</v>
      </c>
      <c r="B354" s="0" t="n">
        <f aca="true">NORMINV(RAND(),1,Coefficients!$B$22)</f>
        <v>1.00744179484924</v>
      </c>
      <c r="C354" s="0" t="n">
        <f aca="true">MEDIAN(8,16,ROUND(NORMINV(RAND(),Coefficients!$B$20,Coefficients!$B$21),0))</f>
        <v>12</v>
      </c>
      <c r="D354" s="0" t="n">
        <f aca="true">CRITBINOM($C354,MIN(0.75,Matchup!$B$39*$B354),RAND())</f>
        <v>4</v>
      </c>
      <c r="E354" s="0" t="n">
        <f aca="true">CRITBINOM(D354,Coefficients!$B$30,RAND())</f>
        <v>0</v>
      </c>
      <c r="F354" s="0" t="n">
        <f aca="true">CRITBINOM(E354,Coefficients!$B$31,RAND())</f>
        <v>0</v>
      </c>
      <c r="G354" s="0" t="n">
        <f aca="true">CRITBINOM(MAX(0,D354-E354),1-Coefficients!$B$32,RAND())</f>
        <v>0</v>
      </c>
      <c r="H354" s="0" t="n">
        <f aca="true">CRITBINOM(MAX(0,$C354-D354),MIN(0.6,Matchup!$B$40*SQRT($B354)/(1-MIN(0.75,Matchup!$B$39*$B354))),RAND())</f>
        <v>6</v>
      </c>
      <c r="I354" s="0" t="n">
        <f aca="false">6*D354+(D354-E354-G354)+2*F354+3*H354</f>
        <v>46</v>
      </c>
      <c r="J354" s="0" t="n">
        <f aca="true">CRITBINOM($C354,MIN(0.75,Matchup!$C$39*$B354),RAND())</f>
        <v>1</v>
      </c>
      <c r="K354" s="0" t="n">
        <f aca="true">CRITBINOM(J354,Coefficients!$B$30,RAND())</f>
        <v>0</v>
      </c>
      <c r="L354" s="0" t="n">
        <f aca="true">CRITBINOM(K354,Coefficients!$B$31,RAND())</f>
        <v>0</v>
      </c>
      <c r="M354" s="0" t="n">
        <f aca="true">CRITBINOM(MAX(0,J354-K354),1-Coefficients!$B$32,RAND())</f>
        <v>0</v>
      </c>
      <c r="N354" s="0" t="n">
        <f aca="true">CRITBINOM(MAX(0,$C354-J354),MIN(0.6,Matchup!$C$40*SQRT($B354)/(1-MIN(0.75,Matchup!$C$39*$B354))),RAND())</f>
        <v>2</v>
      </c>
      <c r="O354" s="0" t="n">
        <f aca="false">6*J354+(J354-K354-M354)+2*L354+3*N354</f>
        <v>13</v>
      </c>
      <c r="P354" s="0" t="n">
        <f aca="true">RAND()</f>
        <v>0.796018878700294</v>
      </c>
      <c r="Q354" s="0" t="n">
        <f aca="true">RAND()</f>
        <v>0.0790713335414041</v>
      </c>
      <c r="R354" s="0" t="n">
        <f aca="false">IF($I354&lt;&gt;$O354,0,IF(P354&lt;Matchup!$B$39,7,IF(P354&lt;Matchup!$B$39+Matchup!$B$40,3,0)))</f>
        <v>0</v>
      </c>
      <c r="S354" s="0" t="n">
        <f aca="false">IF($I354&lt;&gt;$O354,0,IF(Q354&lt;Matchup!$C$39,7,IF(Q354&lt;Matchup!$C$39+Matchup!$C$40,3,0)))</f>
        <v>0</v>
      </c>
      <c r="T354" s="0" t="n">
        <f aca="false">I354+R354</f>
        <v>46</v>
      </c>
      <c r="U354" s="0" t="n">
        <f aca="false">O354+S354</f>
        <v>13</v>
      </c>
      <c r="V354" s="0" t="n">
        <f aca="false">T354-U354</f>
        <v>33</v>
      </c>
      <c r="W354" s="0" t="n">
        <f aca="false">T354+U354</f>
        <v>59</v>
      </c>
    </row>
    <row r="355" customFormat="false" ht="15" hidden="false" customHeight="false" outlineLevel="0" collapsed="false">
      <c r="A355" s="0" t="n">
        <v>352</v>
      </c>
      <c r="B355" s="0" t="n">
        <f aca="true">NORMINV(RAND(),1,Coefficients!$B$22)</f>
        <v>1.07280460276434</v>
      </c>
      <c r="C355" s="0" t="n">
        <f aca="true">MEDIAN(8,16,ROUND(NORMINV(RAND(),Coefficients!$B$20,Coefficients!$B$21),0))</f>
        <v>12</v>
      </c>
      <c r="D355" s="0" t="n">
        <f aca="true">CRITBINOM($C355,MIN(0.75,Matchup!$B$39*$B355),RAND())</f>
        <v>2</v>
      </c>
      <c r="E355" s="0" t="n">
        <f aca="true">CRITBINOM(D355,Coefficients!$B$30,RAND())</f>
        <v>0</v>
      </c>
      <c r="F355" s="0" t="n">
        <f aca="true">CRITBINOM(E355,Coefficients!$B$31,RAND())</f>
        <v>0</v>
      </c>
      <c r="G355" s="0" t="n">
        <f aca="true">CRITBINOM(MAX(0,D355-E355),1-Coefficients!$B$32,RAND())</f>
        <v>0</v>
      </c>
      <c r="H355" s="0" t="n">
        <f aca="true">CRITBINOM(MAX(0,$C355-D355),MIN(0.6,Matchup!$B$40*SQRT($B355)/(1-MIN(0.75,Matchup!$B$39*$B355))),RAND())</f>
        <v>2</v>
      </c>
      <c r="I355" s="0" t="n">
        <f aca="false">6*D355+(D355-E355-G355)+2*F355+3*H355</f>
        <v>20</v>
      </c>
      <c r="J355" s="0" t="n">
        <f aca="true">CRITBINOM($C355,MIN(0.75,Matchup!$C$39*$B355),RAND())</f>
        <v>3</v>
      </c>
      <c r="K355" s="0" t="n">
        <f aca="true">CRITBINOM(J355,Coefficients!$B$30,RAND())</f>
        <v>0</v>
      </c>
      <c r="L355" s="0" t="n">
        <f aca="true">CRITBINOM(K355,Coefficients!$B$31,RAND())</f>
        <v>0</v>
      </c>
      <c r="M355" s="0" t="n">
        <f aca="true">CRITBINOM(MAX(0,J355-K355),1-Coefficients!$B$32,RAND())</f>
        <v>0</v>
      </c>
      <c r="N355" s="0" t="n">
        <f aca="true">CRITBINOM(MAX(0,$C355-J355),MIN(0.6,Matchup!$C$40*SQRT($B355)/(1-MIN(0.75,Matchup!$C$39*$B355))),RAND())</f>
        <v>1</v>
      </c>
      <c r="O355" s="0" t="n">
        <f aca="false">6*J355+(J355-K355-M355)+2*L355+3*N355</f>
        <v>24</v>
      </c>
      <c r="P355" s="0" t="n">
        <f aca="true">RAND()</f>
        <v>0.86111752799004</v>
      </c>
      <c r="Q355" s="0" t="n">
        <f aca="true">RAND()</f>
        <v>0.768017397189856</v>
      </c>
      <c r="R355" s="0" t="n">
        <f aca="false">IF($I355&lt;&gt;$O355,0,IF(P355&lt;Matchup!$B$39,7,IF(P355&lt;Matchup!$B$39+Matchup!$B$40,3,0)))</f>
        <v>0</v>
      </c>
      <c r="S355" s="0" t="n">
        <f aca="false">IF($I355&lt;&gt;$O355,0,IF(Q355&lt;Matchup!$C$39,7,IF(Q355&lt;Matchup!$C$39+Matchup!$C$40,3,0)))</f>
        <v>0</v>
      </c>
      <c r="T355" s="0" t="n">
        <f aca="false">I355+R355</f>
        <v>20</v>
      </c>
      <c r="U355" s="0" t="n">
        <f aca="false">O355+S355</f>
        <v>24</v>
      </c>
      <c r="V355" s="0" t="n">
        <f aca="false">T355-U355</f>
        <v>-4</v>
      </c>
      <c r="W355" s="0" t="n">
        <f aca="false">T355+U355</f>
        <v>44</v>
      </c>
    </row>
    <row r="356" customFormat="false" ht="15" hidden="false" customHeight="false" outlineLevel="0" collapsed="false">
      <c r="A356" s="0" t="n">
        <v>353</v>
      </c>
      <c r="B356" s="0" t="n">
        <f aca="true">NORMINV(RAND(),1,Coefficients!$B$22)</f>
        <v>1.00905245294154</v>
      </c>
      <c r="C356" s="0" t="n">
        <f aca="true">MEDIAN(8,16,ROUND(NORMINV(RAND(),Coefficients!$B$20,Coefficients!$B$21),0))</f>
        <v>12</v>
      </c>
      <c r="D356" s="0" t="n">
        <f aca="true">CRITBINOM($C356,MIN(0.75,Matchup!$B$39*$B356),RAND())</f>
        <v>3</v>
      </c>
      <c r="E356" s="0" t="n">
        <f aca="true">CRITBINOM(D356,Coefficients!$B$30,RAND())</f>
        <v>0</v>
      </c>
      <c r="F356" s="0" t="n">
        <f aca="true">CRITBINOM(E356,Coefficients!$B$31,RAND())</f>
        <v>0</v>
      </c>
      <c r="G356" s="0" t="n">
        <f aca="true">CRITBINOM(MAX(0,D356-E356),1-Coefficients!$B$32,RAND())</f>
        <v>1</v>
      </c>
      <c r="H356" s="0" t="n">
        <f aca="true">CRITBINOM(MAX(0,$C356-D356),MIN(0.6,Matchup!$B$40*SQRT($B356)/(1-MIN(0.75,Matchup!$B$39*$B356))),RAND())</f>
        <v>2</v>
      </c>
      <c r="I356" s="0" t="n">
        <f aca="false">6*D356+(D356-E356-G356)+2*F356+3*H356</f>
        <v>26</v>
      </c>
      <c r="J356" s="0" t="n">
        <f aca="true">CRITBINOM($C356,MIN(0.75,Matchup!$C$39*$B356),RAND())</f>
        <v>6</v>
      </c>
      <c r="K356" s="0" t="n">
        <f aca="true">CRITBINOM(J356,Coefficients!$B$30,RAND())</f>
        <v>1</v>
      </c>
      <c r="L356" s="0" t="n">
        <f aca="true">CRITBINOM(K356,Coefficients!$B$31,RAND())</f>
        <v>1</v>
      </c>
      <c r="M356" s="0" t="n">
        <f aca="true">CRITBINOM(MAX(0,J356-K356),1-Coefficients!$B$32,RAND())</f>
        <v>0</v>
      </c>
      <c r="N356" s="0" t="n">
        <f aca="true">CRITBINOM(MAX(0,$C356-J356),MIN(0.6,Matchup!$C$40*SQRT($B356)/(1-MIN(0.75,Matchup!$C$39*$B356))),RAND())</f>
        <v>0</v>
      </c>
      <c r="O356" s="0" t="n">
        <f aca="false">6*J356+(J356-K356-M356)+2*L356+3*N356</f>
        <v>43</v>
      </c>
      <c r="P356" s="0" t="n">
        <f aca="true">RAND()</f>
        <v>0.342274856471052</v>
      </c>
      <c r="Q356" s="0" t="n">
        <f aca="true">RAND()</f>
        <v>0.815349240303626</v>
      </c>
      <c r="R356" s="0" t="n">
        <f aca="false">IF($I356&lt;&gt;$O356,0,IF(P356&lt;Matchup!$B$39,7,IF(P356&lt;Matchup!$B$39+Matchup!$B$40,3,0)))</f>
        <v>0</v>
      </c>
      <c r="S356" s="0" t="n">
        <f aca="false">IF($I356&lt;&gt;$O356,0,IF(Q356&lt;Matchup!$C$39,7,IF(Q356&lt;Matchup!$C$39+Matchup!$C$40,3,0)))</f>
        <v>0</v>
      </c>
      <c r="T356" s="0" t="n">
        <f aca="false">I356+R356</f>
        <v>26</v>
      </c>
      <c r="U356" s="0" t="n">
        <f aca="false">O356+S356</f>
        <v>43</v>
      </c>
      <c r="V356" s="0" t="n">
        <f aca="false">T356-U356</f>
        <v>-17</v>
      </c>
      <c r="W356" s="0" t="n">
        <f aca="false">T356+U356</f>
        <v>69</v>
      </c>
    </row>
    <row r="357" customFormat="false" ht="15" hidden="false" customHeight="false" outlineLevel="0" collapsed="false">
      <c r="A357" s="0" t="n">
        <v>354</v>
      </c>
      <c r="B357" s="0" t="n">
        <f aca="true">NORMINV(RAND(),1,Coefficients!$B$22)</f>
        <v>0.860846491045149</v>
      </c>
      <c r="C357" s="0" t="n">
        <f aca="true">MEDIAN(8,16,ROUND(NORMINV(RAND(),Coefficients!$B$20,Coefficients!$B$21),0))</f>
        <v>13</v>
      </c>
      <c r="D357" s="0" t="n">
        <f aca="true">CRITBINOM($C357,MIN(0.75,Matchup!$B$39*$B357),RAND())</f>
        <v>4</v>
      </c>
      <c r="E357" s="0" t="n">
        <f aca="true">CRITBINOM(D357,Coefficients!$B$30,RAND())</f>
        <v>0</v>
      </c>
      <c r="F357" s="0" t="n">
        <f aca="true">CRITBINOM(E357,Coefficients!$B$31,RAND())</f>
        <v>0</v>
      </c>
      <c r="G357" s="0" t="n">
        <f aca="true">CRITBINOM(MAX(0,D357-E357),1-Coefficients!$B$32,RAND())</f>
        <v>0</v>
      </c>
      <c r="H357" s="0" t="n">
        <f aca="true">CRITBINOM(MAX(0,$C357-D357),MIN(0.6,Matchup!$B$40*SQRT($B357)/(1-MIN(0.75,Matchup!$B$39*$B357))),RAND())</f>
        <v>2</v>
      </c>
      <c r="I357" s="0" t="n">
        <f aca="false">6*D357+(D357-E357-G357)+2*F357+3*H357</f>
        <v>34</v>
      </c>
      <c r="J357" s="0" t="n">
        <f aca="true">CRITBINOM($C357,MIN(0.75,Matchup!$C$39*$B357),RAND())</f>
        <v>4</v>
      </c>
      <c r="K357" s="0" t="n">
        <f aca="true">CRITBINOM(J357,Coefficients!$B$30,RAND())</f>
        <v>0</v>
      </c>
      <c r="L357" s="0" t="n">
        <f aca="true">CRITBINOM(K357,Coefficients!$B$31,RAND())</f>
        <v>0</v>
      </c>
      <c r="M357" s="0" t="n">
        <f aca="true">CRITBINOM(MAX(0,J357-K357),1-Coefficients!$B$32,RAND())</f>
        <v>0</v>
      </c>
      <c r="N357" s="0" t="n">
        <f aca="true">CRITBINOM(MAX(0,$C357-J357),MIN(0.6,Matchup!$C$40*SQRT($B357)/(1-MIN(0.75,Matchup!$C$39*$B357))),RAND())</f>
        <v>2</v>
      </c>
      <c r="O357" s="0" t="n">
        <f aca="false">6*J357+(J357-K357-M357)+2*L357+3*N357</f>
        <v>34</v>
      </c>
      <c r="P357" s="0" t="n">
        <f aca="true">RAND()</f>
        <v>0.636029813696799</v>
      </c>
      <c r="Q357" s="0" t="n">
        <f aca="true">RAND()</f>
        <v>0.843364158914486</v>
      </c>
      <c r="R357" s="0" t="n">
        <f aca="false">IF($I357&lt;&gt;$O357,0,IF(P357&lt;Matchup!$B$39,7,IF(P357&lt;Matchup!$B$39+Matchup!$B$40,3,0)))</f>
        <v>0</v>
      </c>
      <c r="S357" s="0" t="n">
        <f aca="false">IF($I357&lt;&gt;$O357,0,IF(Q357&lt;Matchup!$C$39,7,IF(Q357&lt;Matchup!$C$39+Matchup!$C$40,3,0)))</f>
        <v>0</v>
      </c>
      <c r="T357" s="0" t="n">
        <f aca="false">I357+R357</f>
        <v>34</v>
      </c>
      <c r="U357" s="0" t="n">
        <f aca="false">O357+S357</f>
        <v>34</v>
      </c>
      <c r="V357" s="0" t="n">
        <f aca="false">T357-U357</f>
        <v>0</v>
      </c>
      <c r="W357" s="0" t="n">
        <f aca="false">T357+U357</f>
        <v>68</v>
      </c>
    </row>
    <row r="358" customFormat="false" ht="15" hidden="false" customHeight="false" outlineLevel="0" collapsed="false">
      <c r="A358" s="0" t="n">
        <v>355</v>
      </c>
      <c r="B358" s="0" t="n">
        <f aca="true">NORMINV(RAND(),1,Coefficients!$B$22)</f>
        <v>1.04661988552295</v>
      </c>
      <c r="C358" s="0" t="n">
        <f aca="true">MEDIAN(8,16,ROUND(NORMINV(RAND(),Coefficients!$B$20,Coefficients!$B$21),0))</f>
        <v>12</v>
      </c>
      <c r="D358" s="0" t="n">
        <f aca="true">CRITBINOM($C358,MIN(0.75,Matchup!$B$39*$B358),RAND())</f>
        <v>3</v>
      </c>
      <c r="E358" s="0" t="n">
        <f aca="true">CRITBINOM(D358,Coefficients!$B$30,RAND())</f>
        <v>0</v>
      </c>
      <c r="F358" s="0" t="n">
        <f aca="true">CRITBINOM(E358,Coefficients!$B$31,RAND())</f>
        <v>0</v>
      </c>
      <c r="G358" s="0" t="n">
        <f aca="true">CRITBINOM(MAX(0,D358-E358),1-Coefficients!$B$32,RAND())</f>
        <v>0</v>
      </c>
      <c r="H358" s="0" t="n">
        <f aca="true">CRITBINOM(MAX(0,$C358-D358),MIN(0.6,Matchup!$B$40*SQRT($B358)/(1-MIN(0.75,Matchup!$B$39*$B358))),RAND())</f>
        <v>2</v>
      </c>
      <c r="I358" s="0" t="n">
        <f aca="false">6*D358+(D358-E358-G358)+2*F358+3*H358</f>
        <v>27</v>
      </c>
      <c r="J358" s="0" t="n">
        <f aca="true">CRITBINOM($C358,MIN(0.75,Matchup!$C$39*$B358),RAND())</f>
        <v>0</v>
      </c>
      <c r="K358" s="0" t="n">
        <f aca="true">CRITBINOM(J358,Coefficients!$B$30,RAND())</f>
        <v>0</v>
      </c>
      <c r="L358" s="0" t="n">
        <f aca="true">CRITBINOM(K358,Coefficients!$B$31,RAND())</f>
        <v>0</v>
      </c>
      <c r="M358" s="0" t="n">
        <f aca="true">CRITBINOM(MAX(0,J358-K358),1-Coefficients!$B$32,RAND())</f>
        <v>0</v>
      </c>
      <c r="N358" s="0" t="n">
        <f aca="true">CRITBINOM(MAX(0,$C358-J358),MIN(0.6,Matchup!$C$40*SQRT($B358)/(1-MIN(0.75,Matchup!$C$39*$B358))),RAND())</f>
        <v>2</v>
      </c>
      <c r="O358" s="0" t="n">
        <f aca="false">6*J358+(J358-K358-M358)+2*L358+3*N358</f>
        <v>6</v>
      </c>
      <c r="P358" s="0" t="n">
        <f aca="true">RAND()</f>
        <v>0.998464657423489</v>
      </c>
      <c r="Q358" s="0" t="n">
        <f aca="true">RAND()</f>
        <v>0.281569756875365</v>
      </c>
      <c r="R358" s="0" t="n">
        <f aca="false">IF($I358&lt;&gt;$O358,0,IF(P358&lt;Matchup!$B$39,7,IF(P358&lt;Matchup!$B$39+Matchup!$B$40,3,0)))</f>
        <v>0</v>
      </c>
      <c r="S358" s="0" t="n">
        <f aca="false">IF($I358&lt;&gt;$O358,0,IF(Q358&lt;Matchup!$C$39,7,IF(Q358&lt;Matchup!$C$39+Matchup!$C$40,3,0)))</f>
        <v>0</v>
      </c>
      <c r="T358" s="0" t="n">
        <f aca="false">I358+R358</f>
        <v>27</v>
      </c>
      <c r="U358" s="0" t="n">
        <f aca="false">O358+S358</f>
        <v>6</v>
      </c>
      <c r="V358" s="0" t="n">
        <f aca="false">T358-U358</f>
        <v>21</v>
      </c>
      <c r="W358" s="0" t="n">
        <f aca="false">T358+U358</f>
        <v>33</v>
      </c>
    </row>
    <row r="359" customFormat="false" ht="15" hidden="false" customHeight="false" outlineLevel="0" collapsed="false">
      <c r="A359" s="0" t="n">
        <v>356</v>
      </c>
      <c r="B359" s="0" t="n">
        <f aca="true">NORMINV(RAND(),1,Coefficients!$B$22)</f>
        <v>0.909957913318202</v>
      </c>
      <c r="C359" s="0" t="n">
        <f aca="true">MEDIAN(8,16,ROUND(NORMINV(RAND(),Coefficients!$B$20,Coefficients!$B$21),0))</f>
        <v>14</v>
      </c>
      <c r="D359" s="0" t="n">
        <f aca="true">CRITBINOM($C359,MIN(0.75,Matchup!$B$39*$B359),RAND())</f>
        <v>2</v>
      </c>
      <c r="E359" s="0" t="n">
        <f aca="true">CRITBINOM(D359,Coefficients!$B$30,RAND())</f>
        <v>0</v>
      </c>
      <c r="F359" s="0" t="n">
        <f aca="true">CRITBINOM(E359,Coefficients!$B$31,RAND())</f>
        <v>0</v>
      </c>
      <c r="G359" s="0" t="n">
        <f aca="true">CRITBINOM(MAX(0,D359-E359),1-Coefficients!$B$32,RAND())</f>
        <v>0</v>
      </c>
      <c r="H359" s="0" t="n">
        <f aca="true">CRITBINOM(MAX(0,$C359-D359),MIN(0.6,Matchup!$B$40*SQRT($B359)/(1-MIN(0.75,Matchup!$B$39*$B359))),RAND())</f>
        <v>0</v>
      </c>
      <c r="I359" s="0" t="n">
        <f aca="false">6*D359+(D359-E359-G359)+2*F359+3*H359</f>
        <v>14</v>
      </c>
      <c r="J359" s="0" t="n">
        <f aca="true">CRITBINOM($C359,MIN(0.75,Matchup!$C$39*$B359),RAND())</f>
        <v>1</v>
      </c>
      <c r="K359" s="0" t="n">
        <f aca="true">CRITBINOM(J359,Coefficients!$B$30,RAND())</f>
        <v>0</v>
      </c>
      <c r="L359" s="0" t="n">
        <f aca="true">CRITBINOM(K359,Coefficients!$B$31,RAND())</f>
        <v>0</v>
      </c>
      <c r="M359" s="0" t="n">
        <f aca="true">CRITBINOM(MAX(0,J359-K359),1-Coefficients!$B$32,RAND())</f>
        <v>0</v>
      </c>
      <c r="N359" s="0" t="n">
        <f aca="true">CRITBINOM(MAX(0,$C359-J359),MIN(0.6,Matchup!$C$40*SQRT($B359)/(1-MIN(0.75,Matchup!$C$39*$B359))),RAND())</f>
        <v>2</v>
      </c>
      <c r="O359" s="0" t="n">
        <f aca="false">6*J359+(J359-K359-M359)+2*L359+3*N359</f>
        <v>13</v>
      </c>
      <c r="P359" s="0" t="n">
        <f aca="true">RAND()</f>
        <v>0.0270173818302197</v>
      </c>
      <c r="Q359" s="0" t="n">
        <f aca="true">RAND()</f>
        <v>0.046971361397334</v>
      </c>
      <c r="R359" s="0" t="n">
        <f aca="false">IF($I359&lt;&gt;$O359,0,IF(P359&lt;Matchup!$B$39,7,IF(P359&lt;Matchup!$B$39+Matchup!$B$40,3,0)))</f>
        <v>0</v>
      </c>
      <c r="S359" s="0" t="n">
        <f aca="false">IF($I359&lt;&gt;$O359,0,IF(Q359&lt;Matchup!$C$39,7,IF(Q359&lt;Matchup!$C$39+Matchup!$C$40,3,0)))</f>
        <v>0</v>
      </c>
      <c r="T359" s="0" t="n">
        <f aca="false">I359+R359</f>
        <v>14</v>
      </c>
      <c r="U359" s="0" t="n">
        <f aca="false">O359+S359</f>
        <v>13</v>
      </c>
      <c r="V359" s="0" t="n">
        <f aca="false">T359-U359</f>
        <v>1</v>
      </c>
      <c r="W359" s="0" t="n">
        <f aca="false">T359+U359</f>
        <v>27</v>
      </c>
    </row>
    <row r="360" customFormat="false" ht="15" hidden="false" customHeight="false" outlineLevel="0" collapsed="false">
      <c r="A360" s="0" t="n">
        <v>357</v>
      </c>
      <c r="B360" s="0" t="n">
        <f aca="true">NORMINV(RAND(),1,Coefficients!$B$22)</f>
        <v>0.883706238905357</v>
      </c>
      <c r="C360" s="0" t="n">
        <f aca="true">MEDIAN(8,16,ROUND(NORMINV(RAND(),Coefficients!$B$20,Coefficients!$B$21),0))</f>
        <v>10</v>
      </c>
      <c r="D360" s="0" t="n">
        <f aca="true">CRITBINOM($C360,MIN(0.75,Matchup!$B$39*$B360),RAND())</f>
        <v>1</v>
      </c>
      <c r="E360" s="0" t="n">
        <f aca="true">CRITBINOM(D360,Coefficients!$B$30,RAND())</f>
        <v>0</v>
      </c>
      <c r="F360" s="0" t="n">
        <f aca="true">CRITBINOM(E360,Coefficients!$B$31,RAND())</f>
        <v>0</v>
      </c>
      <c r="G360" s="0" t="n">
        <f aca="true">CRITBINOM(MAX(0,D360-E360),1-Coefficients!$B$32,RAND())</f>
        <v>0</v>
      </c>
      <c r="H360" s="0" t="n">
        <f aca="true">CRITBINOM(MAX(0,$C360-D360),MIN(0.6,Matchup!$B$40*SQRT($B360)/(1-MIN(0.75,Matchup!$B$39*$B360))),RAND())</f>
        <v>2</v>
      </c>
      <c r="I360" s="0" t="n">
        <f aca="false">6*D360+(D360-E360-G360)+2*F360+3*H360</f>
        <v>13</v>
      </c>
      <c r="J360" s="0" t="n">
        <f aca="true">CRITBINOM($C360,MIN(0.75,Matchup!$C$39*$B360),RAND())</f>
        <v>1</v>
      </c>
      <c r="K360" s="0" t="n">
        <f aca="true">CRITBINOM(J360,Coefficients!$B$30,RAND())</f>
        <v>0</v>
      </c>
      <c r="L360" s="0" t="n">
        <f aca="true">CRITBINOM(K360,Coefficients!$B$31,RAND())</f>
        <v>0</v>
      </c>
      <c r="M360" s="0" t="n">
        <f aca="true">CRITBINOM(MAX(0,J360-K360),1-Coefficients!$B$32,RAND())</f>
        <v>0</v>
      </c>
      <c r="N360" s="0" t="n">
        <f aca="true">CRITBINOM(MAX(0,$C360-J360),MIN(0.6,Matchup!$C$40*SQRT($B360)/(1-MIN(0.75,Matchup!$C$39*$B360))),RAND())</f>
        <v>2</v>
      </c>
      <c r="O360" s="0" t="n">
        <f aca="false">6*J360+(J360-K360-M360)+2*L360+3*N360</f>
        <v>13</v>
      </c>
      <c r="P360" s="0" t="n">
        <f aca="true">RAND()</f>
        <v>0.531218008410902</v>
      </c>
      <c r="Q360" s="0" t="n">
        <f aca="true">RAND()</f>
        <v>0.871879691604749</v>
      </c>
      <c r="R360" s="0" t="n">
        <f aca="false">IF($I360&lt;&gt;$O360,0,IF(P360&lt;Matchup!$B$39,7,IF(P360&lt;Matchup!$B$39+Matchup!$B$40,3,0)))</f>
        <v>0</v>
      </c>
      <c r="S360" s="0" t="n">
        <f aca="false">IF($I360&lt;&gt;$O360,0,IF(Q360&lt;Matchup!$C$39,7,IF(Q360&lt;Matchup!$C$39+Matchup!$C$40,3,0)))</f>
        <v>0</v>
      </c>
      <c r="T360" s="0" t="n">
        <f aca="false">I360+R360</f>
        <v>13</v>
      </c>
      <c r="U360" s="0" t="n">
        <f aca="false">O360+S360</f>
        <v>13</v>
      </c>
      <c r="V360" s="0" t="n">
        <f aca="false">T360-U360</f>
        <v>0</v>
      </c>
      <c r="W360" s="0" t="n">
        <f aca="false">T360+U360</f>
        <v>26</v>
      </c>
    </row>
    <row r="361" customFormat="false" ht="15" hidden="false" customHeight="false" outlineLevel="0" collapsed="false">
      <c r="A361" s="0" t="n">
        <v>358</v>
      </c>
      <c r="B361" s="0" t="n">
        <f aca="true">NORMINV(RAND(),1,Coefficients!$B$22)</f>
        <v>0.984437208678315</v>
      </c>
      <c r="C361" s="0" t="n">
        <f aca="true">MEDIAN(8,16,ROUND(NORMINV(RAND(),Coefficients!$B$20,Coefficients!$B$21),0))</f>
        <v>12</v>
      </c>
      <c r="D361" s="0" t="n">
        <f aca="true">CRITBINOM($C361,MIN(0.75,Matchup!$B$39*$B361),RAND())</f>
        <v>2</v>
      </c>
      <c r="E361" s="0" t="n">
        <f aca="true">CRITBINOM(D361,Coefficients!$B$30,RAND())</f>
        <v>0</v>
      </c>
      <c r="F361" s="0" t="n">
        <f aca="true">CRITBINOM(E361,Coefficients!$B$31,RAND())</f>
        <v>0</v>
      </c>
      <c r="G361" s="0" t="n">
        <f aca="true">CRITBINOM(MAX(0,D361-E361),1-Coefficients!$B$32,RAND())</f>
        <v>0</v>
      </c>
      <c r="H361" s="0" t="n">
        <f aca="true">CRITBINOM(MAX(0,$C361-D361),MIN(0.6,Matchup!$B$40*SQRT($B361)/(1-MIN(0.75,Matchup!$B$39*$B361))),RAND())</f>
        <v>2</v>
      </c>
      <c r="I361" s="0" t="n">
        <f aca="false">6*D361+(D361-E361-G361)+2*F361+3*H361</f>
        <v>20</v>
      </c>
      <c r="J361" s="0" t="n">
        <f aca="true">CRITBINOM($C361,MIN(0.75,Matchup!$C$39*$B361),RAND())</f>
        <v>0</v>
      </c>
      <c r="K361" s="0" t="n">
        <f aca="true">CRITBINOM(J361,Coefficients!$B$30,RAND())</f>
        <v>0</v>
      </c>
      <c r="L361" s="0" t="n">
        <f aca="true">CRITBINOM(K361,Coefficients!$B$31,RAND())</f>
        <v>0</v>
      </c>
      <c r="M361" s="0" t="n">
        <f aca="true">CRITBINOM(MAX(0,J361-K361),1-Coefficients!$B$32,RAND())</f>
        <v>0</v>
      </c>
      <c r="N361" s="0" t="n">
        <f aca="true">CRITBINOM(MAX(0,$C361-J361),MIN(0.6,Matchup!$C$40*SQRT($B361)/(1-MIN(0.75,Matchup!$C$39*$B361))),RAND())</f>
        <v>1</v>
      </c>
      <c r="O361" s="0" t="n">
        <f aca="false">6*J361+(J361-K361-M361)+2*L361+3*N361</f>
        <v>3</v>
      </c>
      <c r="P361" s="0" t="n">
        <f aca="true">RAND()</f>
        <v>0.467435094128468</v>
      </c>
      <c r="Q361" s="0" t="n">
        <f aca="true">RAND()</f>
        <v>0.00637529796577789</v>
      </c>
      <c r="R361" s="0" t="n">
        <f aca="false">IF($I361&lt;&gt;$O361,0,IF(P361&lt;Matchup!$B$39,7,IF(P361&lt;Matchup!$B$39+Matchup!$B$40,3,0)))</f>
        <v>0</v>
      </c>
      <c r="S361" s="0" t="n">
        <f aca="false">IF($I361&lt;&gt;$O361,0,IF(Q361&lt;Matchup!$C$39,7,IF(Q361&lt;Matchup!$C$39+Matchup!$C$40,3,0)))</f>
        <v>0</v>
      </c>
      <c r="T361" s="0" t="n">
        <f aca="false">I361+R361</f>
        <v>20</v>
      </c>
      <c r="U361" s="0" t="n">
        <f aca="false">O361+S361</f>
        <v>3</v>
      </c>
      <c r="V361" s="0" t="n">
        <f aca="false">T361-U361</f>
        <v>17</v>
      </c>
      <c r="W361" s="0" t="n">
        <f aca="false">T361+U361</f>
        <v>23</v>
      </c>
    </row>
    <row r="362" customFormat="false" ht="15" hidden="false" customHeight="false" outlineLevel="0" collapsed="false">
      <c r="A362" s="0" t="n">
        <v>359</v>
      </c>
      <c r="B362" s="0" t="n">
        <f aca="true">NORMINV(RAND(),1,Coefficients!$B$22)</f>
        <v>0.763705615264212</v>
      </c>
      <c r="C362" s="0" t="n">
        <f aca="true">MEDIAN(8,16,ROUND(NORMINV(RAND(),Coefficients!$B$20,Coefficients!$B$21),0))</f>
        <v>9</v>
      </c>
      <c r="D362" s="0" t="n">
        <f aca="true">CRITBINOM($C362,MIN(0.75,Matchup!$B$39*$B362),RAND())</f>
        <v>2</v>
      </c>
      <c r="E362" s="0" t="n">
        <f aca="true">CRITBINOM(D362,Coefficients!$B$30,RAND())</f>
        <v>0</v>
      </c>
      <c r="F362" s="0" t="n">
        <f aca="true">CRITBINOM(E362,Coefficients!$B$31,RAND())</f>
        <v>0</v>
      </c>
      <c r="G362" s="0" t="n">
        <f aca="true">CRITBINOM(MAX(0,D362-E362),1-Coefficients!$B$32,RAND())</f>
        <v>1</v>
      </c>
      <c r="H362" s="0" t="n">
        <f aca="true">CRITBINOM(MAX(0,$C362-D362),MIN(0.6,Matchup!$B$40*SQRT($B362)/(1-MIN(0.75,Matchup!$B$39*$B362))),RAND())</f>
        <v>1</v>
      </c>
      <c r="I362" s="0" t="n">
        <f aca="false">6*D362+(D362-E362-G362)+2*F362+3*H362</f>
        <v>16</v>
      </c>
      <c r="J362" s="0" t="n">
        <f aca="true">CRITBINOM($C362,MIN(0.75,Matchup!$C$39*$B362),RAND())</f>
        <v>1</v>
      </c>
      <c r="K362" s="0" t="n">
        <f aca="true">CRITBINOM(J362,Coefficients!$B$30,RAND())</f>
        <v>0</v>
      </c>
      <c r="L362" s="0" t="n">
        <f aca="true">CRITBINOM(K362,Coefficients!$B$31,RAND())</f>
        <v>0</v>
      </c>
      <c r="M362" s="0" t="n">
        <f aca="true">CRITBINOM(MAX(0,J362-K362),1-Coefficients!$B$32,RAND())</f>
        <v>0</v>
      </c>
      <c r="N362" s="0" t="n">
        <f aca="true">CRITBINOM(MAX(0,$C362-J362),MIN(0.6,Matchup!$C$40*SQRT($B362)/(1-MIN(0.75,Matchup!$C$39*$B362))),RAND())</f>
        <v>1</v>
      </c>
      <c r="O362" s="0" t="n">
        <f aca="false">6*J362+(J362-K362-M362)+2*L362+3*N362</f>
        <v>10</v>
      </c>
      <c r="P362" s="0" t="n">
        <f aca="true">RAND()</f>
        <v>0.6405133318503</v>
      </c>
      <c r="Q362" s="0" t="n">
        <f aca="true">RAND()</f>
        <v>0.277839784795251</v>
      </c>
      <c r="R362" s="0" t="n">
        <f aca="false">IF($I362&lt;&gt;$O362,0,IF(P362&lt;Matchup!$B$39,7,IF(P362&lt;Matchup!$B$39+Matchup!$B$40,3,0)))</f>
        <v>0</v>
      </c>
      <c r="S362" s="0" t="n">
        <f aca="false">IF($I362&lt;&gt;$O362,0,IF(Q362&lt;Matchup!$C$39,7,IF(Q362&lt;Matchup!$C$39+Matchup!$C$40,3,0)))</f>
        <v>0</v>
      </c>
      <c r="T362" s="0" t="n">
        <f aca="false">I362+R362</f>
        <v>16</v>
      </c>
      <c r="U362" s="0" t="n">
        <f aca="false">O362+S362</f>
        <v>10</v>
      </c>
      <c r="V362" s="0" t="n">
        <f aca="false">T362-U362</f>
        <v>6</v>
      </c>
      <c r="W362" s="0" t="n">
        <f aca="false">T362+U362</f>
        <v>26</v>
      </c>
    </row>
    <row r="363" customFormat="false" ht="15" hidden="false" customHeight="false" outlineLevel="0" collapsed="false">
      <c r="A363" s="0" t="n">
        <v>360</v>
      </c>
      <c r="B363" s="0" t="n">
        <f aca="true">NORMINV(RAND(),1,Coefficients!$B$22)</f>
        <v>1.04906048955308</v>
      </c>
      <c r="C363" s="0" t="n">
        <f aca="true">MEDIAN(8,16,ROUND(NORMINV(RAND(),Coefficients!$B$20,Coefficients!$B$21),0))</f>
        <v>11</v>
      </c>
      <c r="D363" s="0" t="n">
        <f aca="true">CRITBINOM($C363,MIN(0.75,Matchup!$B$39*$B363),RAND())</f>
        <v>4</v>
      </c>
      <c r="E363" s="0" t="n">
        <f aca="true">CRITBINOM(D363,Coefficients!$B$30,RAND())</f>
        <v>0</v>
      </c>
      <c r="F363" s="0" t="n">
        <f aca="true">CRITBINOM(E363,Coefficients!$B$31,RAND())</f>
        <v>0</v>
      </c>
      <c r="G363" s="0" t="n">
        <f aca="true">CRITBINOM(MAX(0,D363-E363),1-Coefficients!$B$32,RAND())</f>
        <v>0</v>
      </c>
      <c r="H363" s="0" t="n">
        <f aca="true">CRITBINOM(MAX(0,$C363-D363),MIN(0.6,Matchup!$B$40*SQRT($B363)/(1-MIN(0.75,Matchup!$B$39*$B363))),RAND())</f>
        <v>2</v>
      </c>
      <c r="I363" s="0" t="n">
        <f aca="false">6*D363+(D363-E363-G363)+2*F363+3*H363</f>
        <v>34</v>
      </c>
      <c r="J363" s="0" t="n">
        <f aca="true">CRITBINOM($C363,MIN(0.75,Matchup!$C$39*$B363),RAND())</f>
        <v>3</v>
      </c>
      <c r="K363" s="0" t="n">
        <f aca="true">CRITBINOM(J363,Coefficients!$B$30,RAND())</f>
        <v>1</v>
      </c>
      <c r="L363" s="0" t="n">
        <f aca="true">CRITBINOM(K363,Coefficients!$B$31,RAND())</f>
        <v>0</v>
      </c>
      <c r="M363" s="0" t="n">
        <f aca="true">CRITBINOM(MAX(0,J363-K363),1-Coefficients!$B$32,RAND())</f>
        <v>0</v>
      </c>
      <c r="N363" s="0" t="n">
        <f aca="true">CRITBINOM(MAX(0,$C363-J363),MIN(0.6,Matchup!$C$40*SQRT($B363)/(1-MIN(0.75,Matchup!$C$39*$B363))),RAND())</f>
        <v>2</v>
      </c>
      <c r="O363" s="0" t="n">
        <f aca="false">6*J363+(J363-K363-M363)+2*L363+3*N363</f>
        <v>26</v>
      </c>
      <c r="P363" s="0" t="n">
        <f aca="true">RAND()</f>
        <v>0.131643091776339</v>
      </c>
      <c r="Q363" s="0" t="n">
        <f aca="true">RAND()</f>
        <v>0.174476474396264</v>
      </c>
      <c r="R363" s="0" t="n">
        <f aca="false">IF($I363&lt;&gt;$O363,0,IF(P363&lt;Matchup!$B$39,7,IF(P363&lt;Matchup!$B$39+Matchup!$B$40,3,0)))</f>
        <v>0</v>
      </c>
      <c r="S363" s="0" t="n">
        <f aca="false">IF($I363&lt;&gt;$O363,0,IF(Q363&lt;Matchup!$C$39,7,IF(Q363&lt;Matchup!$C$39+Matchup!$C$40,3,0)))</f>
        <v>0</v>
      </c>
      <c r="T363" s="0" t="n">
        <f aca="false">I363+R363</f>
        <v>34</v>
      </c>
      <c r="U363" s="0" t="n">
        <f aca="false">O363+S363</f>
        <v>26</v>
      </c>
      <c r="V363" s="0" t="n">
        <f aca="false">T363-U363</f>
        <v>8</v>
      </c>
      <c r="W363" s="0" t="n">
        <f aca="false">T363+U363</f>
        <v>60</v>
      </c>
    </row>
    <row r="364" customFormat="false" ht="15" hidden="false" customHeight="false" outlineLevel="0" collapsed="false">
      <c r="A364" s="0" t="n">
        <v>361</v>
      </c>
      <c r="B364" s="0" t="n">
        <f aca="true">NORMINV(RAND(),1,Coefficients!$B$22)</f>
        <v>0.998936107269335</v>
      </c>
      <c r="C364" s="0" t="n">
        <f aca="true">MEDIAN(8,16,ROUND(NORMINV(RAND(),Coefficients!$B$20,Coefficients!$B$21),0))</f>
        <v>10</v>
      </c>
      <c r="D364" s="0" t="n">
        <f aca="true">CRITBINOM($C364,MIN(0.75,Matchup!$B$39*$B364),RAND())</f>
        <v>2</v>
      </c>
      <c r="E364" s="0" t="n">
        <f aca="true">CRITBINOM(D364,Coefficients!$B$30,RAND())</f>
        <v>1</v>
      </c>
      <c r="F364" s="0" t="n">
        <f aca="true">CRITBINOM(E364,Coefficients!$B$31,RAND())</f>
        <v>1</v>
      </c>
      <c r="G364" s="0" t="n">
        <f aca="true">CRITBINOM(MAX(0,D364-E364),1-Coefficients!$B$32,RAND())</f>
        <v>0</v>
      </c>
      <c r="H364" s="0" t="n">
        <f aca="true">CRITBINOM(MAX(0,$C364-D364),MIN(0.6,Matchup!$B$40*SQRT($B364)/(1-MIN(0.75,Matchup!$B$39*$B364))),RAND())</f>
        <v>2</v>
      </c>
      <c r="I364" s="0" t="n">
        <f aca="false">6*D364+(D364-E364-G364)+2*F364+3*H364</f>
        <v>21</v>
      </c>
      <c r="J364" s="0" t="n">
        <f aca="true">CRITBINOM($C364,MIN(0.75,Matchup!$C$39*$B364),RAND())</f>
        <v>3</v>
      </c>
      <c r="K364" s="0" t="n">
        <f aca="true">CRITBINOM(J364,Coefficients!$B$30,RAND())</f>
        <v>0</v>
      </c>
      <c r="L364" s="0" t="n">
        <f aca="true">CRITBINOM(K364,Coefficients!$B$31,RAND())</f>
        <v>0</v>
      </c>
      <c r="M364" s="0" t="n">
        <f aca="true">CRITBINOM(MAX(0,J364-K364),1-Coefficients!$B$32,RAND())</f>
        <v>0</v>
      </c>
      <c r="N364" s="0" t="n">
        <f aca="true">CRITBINOM(MAX(0,$C364-J364),MIN(0.6,Matchup!$C$40*SQRT($B364)/(1-MIN(0.75,Matchup!$C$39*$B364))),RAND())</f>
        <v>0</v>
      </c>
      <c r="O364" s="0" t="n">
        <f aca="false">6*J364+(J364-K364-M364)+2*L364+3*N364</f>
        <v>21</v>
      </c>
      <c r="P364" s="0" t="n">
        <f aca="true">RAND()</f>
        <v>0.14841668569329</v>
      </c>
      <c r="Q364" s="0" t="n">
        <f aca="true">RAND()</f>
        <v>0.24247528210118</v>
      </c>
      <c r="R364" s="0" t="n">
        <f aca="false">IF($I364&lt;&gt;$O364,0,IF(P364&lt;Matchup!$B$39,7,IF(P364&lt;Matchup!$B$39+Matchup!$B$40,3,0)))</f>
        <v>7</v>
      </c>
      <c r="S364" s="0" t="n">
        <f aca="false">IF($I364&lt;&gt;$O364,0,IF(Q364&lt;Matchup!$C$39,7,IF(Q364&lt;Matchup!$C$39+Matchup!$C$40,3,0)))</f>
        <v>3</v>
      </c>
      <c r="T364" s="0" t="n">
        <f aca="false">I364+R364</f>
        <v>28</v>
      </c>
      <c r="U364" s="0" t="n">
        <f aca="false">O364+S364</f>
        <v>24</v>
      </c>
      <c r="V364" s="0" t="n">
        <f aca="false">T364-U364</f>
        <v>4</v>
      </c>
      <c r="W364" s="0" t="n">
        <f aca="false">T364+U364</f>
        <v>52</v>
      </c>
    </row>
    <row r="365" customFormat="false" ht="15" hidden="false" customHeight="false" outlineLevel="0" collapsed="false">
      <c r="A365" s="0" t="n">
        <v>362</v>
      </c>
      <c r="B365" s="0" t="n">
        <f aca="true">NORMINV(RAND(),1,Coefficients!$B$22)</f>
        <v>0.917118713253118</v>
      </c>
      <c r="C365" s="0" t="n">
        <f aca="true">MEDIAN(8,16,ROUND(NORMINV(RAND(),Coefficients!$B$20,Coefficients!$B$21),0))</f>
        <v>11</v>
      </c>
      <c r="D365" s="0" t="n">
        <f aca="true">CRITBINOM($C365,MIN(0.75,Matchup!$B$39*$B365),RAND())</f>
        <v>3</v>
      </c>
      <c r="E365" s="0" t="n">
        <f aca="true">CRITBINOM(D365,Coefficients!$B$30,RAND())</f>
        <v>0</v>
      </c>
      <c r="F365" s="0" t="n">
        <f aca="true">CRITBINOM(E365,Coefficients!$B$31,RAND())</f>
        <v>0</v>
      </c>
      <c r="G365" s="0" t="n">
        <f aca="true">CRITBINOM(MAX(0,D365-E365),1-Coefficients!$B$32,RAND())</f>
        <v>0</v>
      </c>
      <c r="H365" s="0" t="n">
        <f aca="true">CRITBINOM(MAX(0,$C365-D365),MIN(0.6,Matchup!$B$40*SQRT($B365)/(1-MIN(0.75,Matchup!$B$39*$B365))),RAND())</f>
        <v>2</v>
      </c>
      <c r="I365" s="0" t="n">
        <f aca="false">6*D365+(D365-E365-G365)+2*F365+3*H365</f>
        <v>27</v>
      </c>
      <c r="J365" s="0" t="n">
        <f aca="true">CRITBINOM($C365,MIN(0.75,Matchup!$C$39*$B365),RAND())</f>
        <v>3</v>
      </c>
      <c r="K365" s="0" t="n">
        <f aca="true">CRITBINOM(J365,Coefficients!$B$30,RAND())</f>
        <v>1</v>
      </c>
      <c r="L365" s="0" t="n">
        <f aca="true">CRITBINOM(K365,Coefficients!$B$31,RAND())</f>
        <v>0</v>
      </c>
      <c r="M365" s="0" t="n">
        <f aca="true">CRITBINOM(MAX(0,J365-K365),1-Coefficients!$B$32,RAND())</f>
        <v>0</v>
      </c>
      <c r="N365" s="0" t="n">
        <f aca="true">CRITBINOM(MAX(0,$C365-J365),MIN(0.6,Matchup!$C$40*SQRT($B365)/(1-MIN(0.75,Matchup!$C$39*$B365))),RAND())</f>
        <v>0</v>
      </c>
      <c r="O365" s="0" t="n">
        <f aca="false">6*J365+(J365-K365-M365)+2*L365+3*N365</f>
        <v>20</v>
      </c>
      <c r="P365" s="0" t="n">
        <f aca="true">RAND()</f>
        <v>0.888814252461107</v>
      </c>
      <c r="Q365" s="0" t="n">
        <f aca="true">RAND()</f>
        <v>0.940650023413409</v>
      </c>
      <c r="R365" s="0" t="n">
        <f aca="false">IF($I365&lt;&gt;$O365,0,IF(P365&lt;Matchup!$B$39,7,IF(P365&lt;Matchup!$B$39+Matchup!$B$40,3,0)))</f>
        <v>0</v>
      </c>
      <c r="S365" s="0" t="n">
        <f aca="false">IF($I365&lt;&gt;$O365,0,IF(Q365&lt;Matchup!$C$39,7,IF(Q365&lt;Matchup!$C$39+Matchup!$C$40,3,0)))</f>
        <v>0</v>
      </c>
      <c r="T365" s="0" t="n">
        <f aca="false">I365+R365</f>
        <v>27</v>
      </c>
      <c r="U365" s="0" t="n">
        <f aca="false">O365+S365</f>
        <v>20</v>
      </c>
      <c r="V365" s="0" t="n">
        <f aca="false">T365-U365</f>
        <v>7</v>
      </c>
      <c r="W365" s="0" t="n">
        <f aca="false">T365+U365</f>
        <v>47</v>
      </c>
    </row>
    <row r="366" customFormat="false" ht="15" hidden="false" customHeight="false" outlineLevel="0" collapsed="false">
      <c r="A366" s="0" t="n">
        <v>363</v>
      </c>
      <c r="B366" s="0" t="n">
        <f aca="true">NORMINV(RAND(),1,Coefficients!$B$22)</f>
        <v>1.02162031363167</v>
      </c>
      <c r="C366" s="0" t="n">
        <f aca="true">MEDIAN(8,16,ROUND(NORMINV(RAND(),Coefficients!$B$20,Coefficients!$B$21),0))</f>
        <v>12</v>
      </c>
      <c r="D366" s="0" t="n">
        <f aca="true">CRITBINOM($C366,MIN(0.75,Matchup!$B$39*$B366),RAND())</f>
        <v>5</v>
      </c>
      <c r="E366" s="0" t="n">
        <f aca="true">CRITBINOM(D366,Coefficients!$B$30,RAND())</f>
        <v>0</v>
      </c>
      <c r="F366" s="0" t="n">
        <f aca="true">CRITBINOM(E366,Coefficients!$B$31,RAND())</f>
        <v>0</v>
      </c>
      <c r="G366" s="0" t="n">
        <f aca="true">CRITBINOM(MAX(0,D366-E366),1-Coefficients!$B$32,RAND())</f>
        <v>0</v>
      </c>
      <c r="H366" s="0" t="n">
        <f aca="true">CRITBINOM(MAX(0,$C366-D366),MIN(0.6,Matchup!$B$40*SQRT($B366)/(1-MIN(0.75,Matchup!$B$39*$B366))),RAND())</f>
        <v>1</v>
      </c>
      <c r="I366" s="0" t="n">
        <f aca="false">6*D366+(D366-E366-G366)+2*F366+3*H366</f>
        <v>38</v>
      </c>
      <c r="J366" s="0" t="n">
        <f aca="true">CRITBINOM($C366,MIN(0.75,Matchup!$C$39*$B366),RAND())</f>
        <v>4</v>
      </c>
      <c r="K366" s="0" t="n">
        <f aca="true">CRITBINOM(J366,Coefficients!$B$30,RAND())</f>
        <v>0</v>
      </c>
      <c r="L366" s="0" t="n">
        <f aca="true">CRITBINOM(K366,Coefficients!$B$31,RAND())</f>
        <v>0</v>
      </c>
      <c r="M366" s="0" t="n">
        <f aca="true">CRITBINOM(MAX(0,J366-K366),1-Coefficients!$B$32,RAND())</f>
        <v>0</v>
      </c>
      <c r="N366" s="0" t="n">
        <f aca="true">CRITBINOM(MAX(0,$C366-J366),MIN(0.6,Matchup!$C$40*SQRT($B366)/(1-MIN(0.75,Matchup!$C$39*$B366))),RAND())</f>
        <v>1</v>
      </c>
      <c r="O366" s="0" t="n">
        <f aca="false">6*J366+(J366-K366-M366)+2*L366+3*N366</f>
        <v>31</v>
      </c>
      <c r="P366" s="0" t="n">
        <f aca="true">RAND()</f>
        <v>0.20254968687132</v>
      </c>
      <c r="Q366" s="0" t="n">
        <f aca="true">RAND()</f>
        <v>0.0453286004703923</v>
      </c>
      <c r="R366" s="0" t="n">
        <f aca="false">IF($I366&lt;&gt;$O366,0,IF(P366&lt;Matchup!$B$39,7,IF(P366&lt;Matchup!$B$39+Matchup!$B$40,3,0)))</f>
        <v>0</v>
      </c>
      <c r="S366" s="0" t="n">
        <f aca="false">IF($I366&lt;&gt;$O366,0,IF(Q366&lt;Matchup!$C$39,7,IF(Q366&lt;Matchup!$C$39+Matchup!$C$40,3,0)))</f>
        <v>0</v>
      </c>
      <c r="T366" s="0" t="n">
        <f aca="false">I366+R366</f>
        <v>38</v>
      </c>
      <c r="U366" s="0" t="n">
        <f aca="false">O366+S366</f>
        <v>31</v>
      </c>
      <c r="V366" s="0" t="n">
        <f aca="false">T366-U366</f>
        <v>7</v>
      </c>
      <c r="W366" s="0" t="n">
        <f aca="false">T366+U366</f>
        <v>69</v>
      </c>
    </row>
    <row r="367" customFormat="false" ht="15" hidden="false" customHeight="false" outlineLevel="0" collapsed="false">
      <c r="A367" s="0" t="n">
        <v>364</v>
      </c>
      <c r="B367" s="0" t="n">
        <f aca="true">NORMINV(RAND(),1,Coefficients!$B$22)</f>
        <v>1.18582573011599</v>
      </c>
      <c r="C367" s="0" t="n">
        <f aca="true">MEDIAN(8,16,ROUND(NORMINV(RAND(),Coefficients!$B$20,Coefficients!$B$21),0))</f>
        <v>11</v>
      </c>
      <c r="D367" s="0" t="n">
        <f aca="true">CRITBINOM($C367,MIN(0.75,Matchup!$B$39*$B367),RAND())</f>
        <v>2</v>
      </c>
      <c r="E367" s="0" t="n">
        <f aca="true">CRITBINOM(D367,Coefficients!$B$30,RAND())</f>
        <v>0</v>
      </c>
      <c r="F367" s="0" t="n">
        <f aca="true">CRITBINOM(E367,Coefficients!$B$31,RAND())</f>
        <v>0</v>
      </c>
      <c r="G367" s="0" t="n">
        <f aca="true">CRITBINOM(MAX(0,D367-E367),1-Coefficients!$B$32,RAND())</f>
        <v>1</v>
      </c>
      <c r="H367" s="0" t="n">
        <f aca="true">CRITBINOM(MAX(0,$C367-D367),MIN(0.6,Matchup!$B$40*SQRT($B367)/(1-MIN(0.75,Matchup!$B$39*$B367))),RAND())</f>
        <v>3</v>
      </c>
      <c r="I367" s="0" t="n">
        <f aca="false">6*D367+(D367-E367-G367)+2*F367+3*H367</f>
        <v>22</v>
      </c>
      <c r="J367" s="0" t="n">
        <f aca="true">CRITBINOM($C367,MIN(0.75,Matchup!$C$39*$B367),RAND())</f>
        <v>5</v>
      </c>
      <c r="K367" s="0" t="n">
        <f aca="true">CRITBINOM(J367,Coefficients!$B$30,RAND())</f>
        <v>1</v>
      </c>
      <c r="L367" s="0" t="n">
        <f aca="true">CRITBINOM(K367,Coefficients!$B$31,RAND())</f>
        <v>1</v>
      </c>
      <c r="M367" s="0" t="n">
        <f aca="true">CRITBINOM(MAX(0,J367-K367),1-Coefficients!$B$32,RAND())</f>
        <v>0</v>
      </c>
      <c r="N367" s="0" t="n">
        <f aca="true">CRITBINOM(MAX(0,$C367-J367),MIN(0.6,Matchup!$C$40*SQRT($B367)/(1-MIN(0.75,Matchup!$C$39*$B367))),RAND())</f>
        <v>2</v>
      </c>
      <c r="O367" s="0" t="n">
        <f aca="false">6*J367+(J367-K367-M367)+2*L367+3*N367</f>
        <v>42</v>
      </c>
      <c r="P367" s="0" t="n">
        <f aca="true">RAND()</f>
        <v>0.714092937453963</v>
      </c>
      <c r="Q367" s="0" t="n">
        <f aca="true">RAND()</f>
        <v>0.985004427075795</v>
      </c>
      <c r="R367" s="0" t="n">
        <f aca="false">IF($I367&lt;&gt;$O367,0,IF(P367&lt;Matchup!$B$39,7,IF(P367&lt;Matchup!$B$39+Matchup!$B$40,3,0)))</f>
        <v>0</v>
      </c>
      <c r="S367" s="0" t="n">
        <f aca="false">IF($I367&lt;&gt;$O367,0,IF(Q367&lt;Matchup!$C$39,7,IF(Q367&lt;Matchup!$C$39+Matchup!$C$40,3,0)))</f>
        <v>0</v>
      </c>
      <c r="T367" s="0" t="n">
        <f aca="false">I367+R367</f>
        <v>22</v>
      </c>
      <c r="U367" s="0" t="n">
        <f aca="false">O367+S367</f>
        <v>42</v>
      </c>
      <c r="V367" s="0" t="n">
        <f aca="false">T367-U367</f>
        <v>-20</v>
      </c>
      <c r="W367" s="0" t="n">
        <f aca="false">T367+U367</f>
        <v>64</v>
      </c>
    </row>
    <row r="368" customFormat="false" ht="15" hidden="false" customHeight="false" outlineLevel="0" collapsed="false">
      <c r="A368" s="0" t="n">
        <v>365</v>
      </c>
      <c r="B368" s="0" t="n">
        <f aca="true">NORMINV(RAND(),1,Coefficients!$B$22)</f>
        <v>0.961946611571123</v>
      </c>
      <c r="C368" s="0" t="n">
        <f aca="true">MEDIAN(8,16,ROUND(NORMINV(RAND(),Coefficients!$B$20,Coefficients!$B$21),0))</f>
        <v>10</v>
      </c>
      <c r="D368" s="0" t="n">
        <f aca="true">CRITBINOM($C368,MIN(0.75,Matchup!$B$39*$B368),RAND())</f>
        <v>2</v>
      </c>
      <c r="E368" s="0" t="n">
        <f aca="true">CRITBINOM(D368,Coefficients!$B$30,RAND())</f>
        <v>0</v>
      </c>
      <c r="F368" s="0" t="n">
        <f aca="true">CRITBINOM(E368,Coefficients!$B$31,RAND())</f>
        <v>0</v>
      </c>
      <c r="G368" s="0" t="n">
        <f aca="true">CRITBINOM(MAX(0,D368-E368),1-Coefficients!$B$32,RAND())</f>
        <v>0</v>
      </c>
      <c r="H368" s="0" t="n">
        <f aca="true">CRITBINOM(MAX(0,$C368-D368),MIN(0.6,Matchup!$B$40*SQRT($B368)/(1-MIN(0.75,Matchup!$B$39*$B368))),RAND())</f>
        <v>0</v>
      </c>
      <c r="I368" s="0" t="n">
        <f aca="false">6*D368+(D368-E368-G368)+2*F368+3*H368</f>
        <v>14</v>
      </c>
      <c r="J368" s="0" t="n">
        <f aca="true">CRITBINOM($C368,MIN(0.75,Matchup!$C$39*$B368),RAND())</f>
        <v>1</v>
      </c>
      <c r="K368" s="0" t="n">
        <f aca="true">CRITBINOM(J368,Coefficients!$B$30,RAND())</f>
        <v>0</v>
      </c>
      <c r="L368" s="0" t="n">
        <f aca="true">CRITBINOM(K368,Coefficients!$B$31,RAND())</f>
        <v>0</v>
      </c>
      <c r="M368" s="0" t="n">
        <f aca="true">CRITBINOM(MAX(0,J368-K368),1-Coefficients!$B$32,RAND())</f>
        <v>0</v>
      </c>
      <c r="N368" s="0" t="n">
        <f aca="true">CRITBINOM(MAX(0,$C368-J368),MIN(0.6,Matchup!$C$40*SQRT($B368)/(1-MIN(0.75,Matchup!$C$39*$B368))),RAND())</f>
        <v>2</v>
      </c>
      <c r="O368" s="0" t="n">
        <f aca="false">6*J368+(J368-K368-M368)+2*L368+3*N368</f>
        <v>13</v>
      </c>
      <c r="P368" s="0" t="n">
        <f aca="true">RAND()</f>
        <v>0.266415761104155</v>
      </c>
      <c r="Q368" s="0" t="n">
        <f aca="true">RAND()</f>
        <v>0.296505496538797</v>
      </c>
      <c r="R368" s="0" t="n">
        <f aca="false">IF($I368&lt;&gt;$O368,0,IF(P368&lt;Matchup!$B$39,7,IF(P368&lt;Matchup!$B$39+Matchup!$B$40,3,0)))</f>
        <v>0</v>
      </c>
      <c r="S368" s="0" t="n">
        <f aca="false">IF($I368&lt;&gt;$O368,0,IF(Q368&lt;Matchup!$C$39,7,IF(Q368&lt;Matchup!$C$39+Matchup!$C$40,3,0)))</f>
        <v>0</v>
      </c>
      <c r="T368" s="0" t="n">
        <f aca="false">I368+R368</f>
        <v>14</v>
      </c>
      <c r="U368" s="0" t="n">
        <f aca="false">O368+S368</f>
        <v>13</v>
      </c>
      <c r="V368" s="0" t="n">
        <f aca="false">T368-U368</f>
        <v>1</v>
      </c>
      <c r="W368" s="0" t="n">
        <f aca="false">T368+U368</f>
        <v>27</v>
      </c>
    </row>
    <row r="369" customFormat="false" ht="15" hidden="false" customHeight="false" outlineLevel="0" collapsed="false">
      <c r="A369" s="0" t="n">
        <v>366</v>
      </c>
      <c r="B369" s="0" t="n">
        <f aca="true">NORMINV(RAND(),1,Coefficients!$B$22)</f>
        <v>0.982756557357754</v>
      </c>
      <c r="C369" s="0" t="n">
        <f aca="true">MEDIAN(8,16,ROUND(NORMINV(RAND(),Coefficients!$B$20,Coefficients!$B$21),0))</f>
        <v>9</v>
      </c>
      <c r="D369" s="0" t="n">
        <f aca="true">CRITBINOM($C369,MIN(0.75,Matchup!$B$39*$B369),RAND())</f>
        <v>1</v>
      </c>
      <c r="E369" s="0" t="n">
        <f aca="true">CRITBINOM(D369,Coefficients!$B$30,RAND())</f>
        <v>1</v>
      </c>
      <c r="F369" s="0" t="n">
        <f aca="true">CRITBINOM(E369,Coefficients!$B$31,RAND())</f>
        <v>0</v>
      </c>
      <c r="G369" s="0" t="n">
        <f aca="true">CRITBINOM(MAX(0,D369-E369),1-Coefficients!$B$32,RAND())</f>
        <v>0</v>
      </c>
      <c r="H369" s="0" t="n">
        <f aca="true">CRITBINOM(MAX(0,$C369-D369),MIN(0.6,Matchup!$B$40*SQRT($B369)/(1-MIN(0.75,Matchup!$B$39*$B369))),RAND())</f>
        <v>0</v>
      </c>
      <c r="I369" s="0" t="n">
        <f aca="false">6*D369+(D369-E369-G369)+2*F369+3*H369</f>
        <v>6</v>
      </c>
      <c r="J369" s="0" t="n">
        <f aca="true">CRITBINOM($C369,MIN(0.75,Matchup!$C$39*$B369),RAND())</f>
        <v>2</v>
      </c>
      <c r="K369" s="0" t="n">
        <f aca="true">CRITBINOM(J369,Coefficients!$B$30,RAND())</f>
        <v>0</v>
      </c>
      <c r="L369" s="0" t="n">
        <f aca="true">CRITBINOM(K369,Coefficients!$B$31,RAND())</f>
        <v>0</v>
      </c>
      <c r="M369" s="0" t="n">
        <f aca="true">CRITBINOM(MAX(0,J369-K369),1-Coefficients!$B$32,RAND())</f>
        <v>0</v>
      </c>
      <c r="N369" s="0" t="n">
        <f aca="true">CRITBINOM(MAX(0,$C369-J369),MIN(0.6,Matchup!$C$40*SQRT($B369)/(1-MIN(0.75,Matchup!$C$39*$B369))),RAND())</f>
        <v>2</v>
      </c>
      <c r="O369" s="0" t="n">
        <f aca="false">6*J369+(J369-K369-M369)+2*L369+3*N369</f>
        <v>20</v>
      </c>
      <c r="P369" s="0" t="n">
        <f aca="true">RAND()</f>
        <v>0.948778664058041</v>
      </c>
      <c r="Q369" s="0" t="n">
        <f aca="true">RAND()</f>
        <v>0.116691534069567</v>
      </c>
      <c r="R369" s="0" t="n">
        <f aca="false">IF($I369&lt;&gt;$O369,0,IF(P369&lt;Matchup!$B$39,7,IF(P369&lt;Matchup!$B$39+Matchup!$B$40,3,0)))</f>
        <v>0</v>
      </c>
      <c r="S369" s="0" t="n">
        <f aca="false">IF($I369&lt;&gt;$O369,0,IF(Q369&lt;Matchup!$C$39,7,IF(Q369&lt;Matchup!$C$39+Matchup!$C$40,3,0)))</f>
        <v>0</v>
      </c>
      <c r="T369" s="0" t="n">
        <f aca="false">I369+R369</f>
        <v>6</v>
      </c>
      <c r="U369" s="0" t="n">
        <f aca="false">O369+S369</f>
        <v>20</v>
      </c>
      <c r="V369" s="0" t="n">
        <f aca="false">T369-U369</f>
        <v>-14</v>
      </c>
      <c r="W369" s="0" t="n">
        <f aca="false">T369+U369</f>
        <v>26</v>
      </c>
    </row>
    <row r="370" customFormat="false" ht="15" hidden="false" customHeight="false" outlineLevel="0" collapsed="false">
      <c r="A370" s="0" t="n">
        <v>367</v>
      </c>
      <c r="B370" s="0" t="n">
        <f aca="true">NORMINV(RAND(),1,Coefficients!$B$22)</f>
        <v>0.966846401614421</v>
      </c>
      <c r="C370" s="0" t="n">
        <f aca="true">MEDIAN(8,16,ROUND(NORMINV(RAND(),Coefficients!$B$20,Coefficients!$B$21),0))</f>
        <v>12</v>
      </c>
      <c r="D370" s="0" t="n">
        <f aca="true">CRITBINOM($C370,MIN(0.75,Matchup!$B$39*$B370),RAND())</f>
        <v>4</v>
      </c>
      <c r="E370" s="0" t="n">
        <f aca="true">CRITBINOM(D370,Coefficients!$B$30,RAND())</f>
        <v>0</v>
      </c>
      <c r="F370" s="0" t="n">
        <f aca="true">CRITBINOM(E370,Coefficients!$B$31,RAND())</f>
        <v>0</v>
      </c>
      <c r="G370" s="0" t="n">
        <f aca="true">CRITBINOM(MAX(0,D370-E370),1-Coefficients!$B$32,RAND())</f>
        <v>1</v>
      </c>
      <c r="H370" s="0" t="n">
        <f aca="true">CRITBINOM(MAX(0,$C370-D370),MIN(0.6,Matchup!$B$40*SQRT($B370)/(1-MIN(0.75,Matchup!$B$39*$B370))),RAND())</f>
        <v>3</v>
      </c>
      <c r="I370" s="0" t="n">
        <f aca="false">6*D370+(D370-E370-G370)+2*F370+3*H370</f>
        <v>36</v>
      </c>
      <c r="J370" s="0" t="n">
        <f aca="true">CRITBINOM($C370,MIN(0.75,Matchup!$C$39*$B370),RAND())</f>
        <v>2</v>
      </c>
      <c r="K370" s="0" t="n">
        <f aca="true">CRITBINOM(J370,Coefficients!$B$30,RAND())</f>
        <v>0</v>
      </c>
      <c r="L370" s="0" t="n">
        <f aca="true">CRITBINOM(K370,Coefficients!$B$31,RAND())</f>
        <v>0</v>
      </c>
      <c r="M370" s="0" t="n">
        <f aca="true">CRITBINOM(MAX(0,J370-K370),1-Coefficients!$B$32,RAND())</f>
        <v>0</v>
      </c>
      <c r="N370" s="0" t="n">
        <f aca="true">CRITBINOM(MAX(0,$C370-J370),MIN(0.6,Matchup!$C$40*SQRT($B370)/(1-MIN(0.75,Matchup!$C$39*$B370))),RAND())</f>
        <v>2</v>
      </c>
      <c r="O370" s="0" t="n">
        <f aca="false">6*J370+(J370-K370-M370)+2*L370+3*N370</f>
        <v>20</v>
      </c>
      <c r="P370" s="0" t="n">
        <f aca="true">RAND()</f>
        <v>0.709739314549583</v>
      </c>
      <c r="Q370" s="0" t="n">
        <f aca="true">RAND()</f>
        <v>0.28799874459266</v>
      </c>
      <c r="R370" s="0" t="n">
        <f aca="false">IF($I370&lt;&gt;$O370,0,IF(P370&lt;Matchup!$B$39,7,IF(P370&lt;Matchup!$B$39+Matchup!$B$40,3,0)))</f>
        <v>0</v>
      </c>
      <c r="S370" s="0" t="n">
        <f aca="false">IF($I370&lt;&gt;$O370,0,IF(Q370&lt;Matchup!$C$39,7,IF(Q370&lt;Matchup!$C$39+Matchup!$C$40,3,0)))</f>
        <v>0</v>
      </c>
      <c r="T370" s="0" t="n">
        <f aca="false">I370+R370</f>
        <v>36</v>
      </c>
      <c r="U370" s="0" t="n">
        <f aca="false">O370+S370</f>
        <v>20</v>
      </c>
      <c r="V370" s="0" t="n">
        <f aca="false">T370-U370</f>
        <v>16</v>
      </c>
      <c r="W370" s="0" t="n">
        <f aca="false">T370+U370</f>
        <v>56</v>
      </c>
    </row>
    <row r="371" customFormat="false" ht="15" hidden="false" customHeight="false" outlineLevel="0" collapsed="false">
      <c r="A371" s="0" t="n">
        <v>368</v>
      </c>
      <c r="B371" s="0" t="n">
        <f aca="true">NORMINV(RAND(),1,Coefficients!$B$22)</f>
        <v>1.01306075283871</v>
      </c>
      <c r="C371" s="0" t="n">
        <f aca="true">MEDIAN(8,16,ROUND(NORMINV(RAND(),Coefficients!$B$20,Coefficients!$B$21),0))</f>
        <v>12</v>
      </c>
      <c r="D371" s="0" t="n">
        <f aca="true">CRITBINOM($C371,MIN(0.75,Matchup!$B$39*$B371),RAND())</f>
        <v>3</v>
      </c>
      <c r="E371" s="0" t="n">
        <f aca="true">CRITBINOM(D371,Coefficients!$B$30,RAND())</f>
        <v>0</v>
      </c>
      <c r="F371" s="0" t="n">
        <f aca="true">CRITBINOM(E371,Coefficients!$B$31,RAND())</f>
        <v>0</v>
      </c>
      <c r="G371" s="0" t="n">
        <f aca="true">CRITBINOM(MAX(0,D371-E371),1-Coefficients!$B$32,RAND())</f>
        <v>0</v>
      </c>
      <c r="H371" s="0" t="n">
        <f aca="true">CRITBINOM(MAX(0,$C371-D371),MIN(0.6,Matchup!$B$40*SQRT($B371)/(1-MIN(0.75,Matchup!$B$39*$B371))),RAND())</f>
        <v>2</v>
      </c>
      <c r="I371" s="0" t="n">
        <f aca="false">6*D371+(D371-E371-G371)+2*F371+3*H371</f>
        <v>27</v>
      </c>
      <c r="J371" s="0" t="n">
        <f aca="true">CRITBINOM($C371,MIN(0.75,Matchup!$C$39*$B371),RAND())</f>
        <v>5</v>
      </c>
      <c r="K371" s="0" t="n">
        <f aca="true">CRITBINOM(J371,Coefficients!$B$30,RAND())</f>
        <v>0</v>
      </c>
      <c r="L371" s="0" t="n">
        <f aca="true">CRITBINOM(K371,Coefficients!$B$31,RAND())</f>
        <v>0</v>
      </c>
      <c r="M371" s="0" t="n">
        <f aca="true">CRITBINOM(MAX(0,J371-K371),1-Coefficients!$B$32,RAND())</f>
        <v>1</v>
      </c>
      <c r="N371" s="0" t="n">
        <f aca="true">CRITBINOM(MAX(0,$C371-J371),MIN(0.6,Matchup!$C$40*SQRT($B371)/(1-MIN(0.75,Matchup!$C$39*$B371))),RAND())</f>
        <v>0</v>
      </c>
      <c r="O371" s="0" t="n">
        <f aca="false">6*J371+(J371-K371-M371)+2*L371+3*N371</f>
        <v>34</v>
      </c>
      <c r="P371" s="0" t="n">
        <f aca="true">RAND()</f>
        <v>0.0339340842204681</v>
      </c>
      <c r="Q371" s="0" t="n">
        <f aca="true">RAND()</f>
        <v>0.465244291230492</v>
      </c>
      <c r="R371" s="0" t="n">
        <f aca="false">IF($I371&lt;&gt;$O371,0,IF(P371&lt;Matchup!$B$39,7,IF(P371&lt;Matchup!$B$39+Matchup!$B$40,3,0)))</f>
        <v>0</v>
      </c>
      <c r="S371" s="0" t="n">
        <f aca="false">IF($I371&lt;&gt;$O371,0,IF(Q371&lt;Matchup!$C$39,7,IF(Q371&lt;Matchup!$C$39+Matchup!$C$40,3,0)))</f>
        <v>0</v>
      </c>
      <c r="T371" s="0" t="n">
        <f aca="false">I371+R371</f>
        <v>27</v>
      </c>
      <c r="U371" s="0" t="n">
        <f aca="false">O371+S371</f>
        <v>34</v>
      </c>
      <c r="V371" s="0" t="n">
        <f aca="false">T371-U371</f>
        <v>-7</v>
      </c>
      <c r="W371" s="0" t="n">
        <f aca="false">T371+U371</f>
        <v>61</v>
      </c>
    </row>
    <row r="372" customFormat="false" ht="15" hidden="false" customHeight="false" outlineLevel="0" collapsed="false">
      <c r="A372" s="0" t="n">
        <v>369</v>
      </c>
      <c r="B372" s="0" t="n">
        <f aca="true">NORMINV(RAND(),1,Coefficients!$B$22)</f>
        <v>1.10448724311155</v>
      </c>
      <c r="C372" s="0" t="n">
        <f aca="true">MEDIAN(8,16,ROUND(NORMINV(RAND(),Coefficients!$B$20,Coefficients!$B$21),0))</f>
        <v>11</v>
      </c>
      <c r="D372" s="0" t="n">
        <f aca="true">CRITBINOM($C372,MIN(0.75,Matchup!$B$39*$B372),RAND())</f>
        <v>3</v>
      </c>
      <c r="E372" s="0" t="n">
        <f aca="true">CRITBINOM(D372,Coefficients!$B$30,RAND())</f>
        <v>0</v>
      </c>
      <c r="F372" s="0" t="n">
        <f aca="true">CRITBINOM(E372,Coefficients!$B$31,RAND())</f>
        <v>0</v>
      </c>
      <c r="G372" s="0" t="n">
        <f aca="true">CRITBINOM(MAX(0,D372-E372),1-Coefficients!$B$32,RAND())</f>
        <v>1</v>
      </c>
      <c r="H372" s="0" t="n">
        <f aca="true">CRITBINOM(MAX(0,$C372-D372),MIN(0.6,Matchup!$B$40*SQRT($B372)/(1-MIN(0.75,Matchup!$B$39*$B372))),RAND())</f>
        <v>3</v>
      </c>
      <c r="I372" s="0" t="n">
        <f aca="false">6*D372+(D372-E372-G372)+2*F372+3*H372</f>
        <v>29</v>
      </c>
      <c r="J372" s="0" t="n">
        <f aca="true">CRITBINOM($C372,MIN(0.75,Matchup!$C$39*$B372),RAND())</f>
        <v>4</v>
      </c>
      <c r="K372" s="0" t="n">
        <f aca="true">CRITBINOM(J372,Coefficients!$B$30,RAND())</f>
        <v>0</v>
      </c>
      <c r="L372" s="0" t="n">
        <f aca="true">CRITBINOM(K372,Coefficients!$B$31,RAND())</f>
        <v>0</v>
      </c>
      <c r="M372" s="0" t="n">
        <f aca="true">CRITBINOM(MAX(0,J372-K372),1-Coefficients!$B$32,RAND())</f>
        <v>0</v>
      </c>
      <c r="N372" s="0" t="n">
        <f aca="true">CRITBINOM(MAX(0,$C372-J372),MIN(0.6,Matchup!$C$40*SQRT($B372)/(1-MIN(0.75,Matchup!$C$39*$B372))),RAND())</f>
        <v>2</v>
      </c>
      <c r="O372" s="0" t="n">
        <f aca="false">6*J372+(J372-K372-M372)+2*L372+3*N372</f>
        <v>34</v>
      </c>
      <c r="P372" s="0" t="n">
        <f aca="true">RAND()</f>
        <v>0.642222923450995</v>
      </c>
      <c r="Q372" s="0" t="n">
        <f aca="true">RAND()</f>
        <v>0.390674989031054</v>
      </c>
      <c r="R372" s="0" t="n">
        <f aca="false">IF($I372&lt;&gt;$O372,0,IF(P372&lt;Matchup!$B$39,7,IF(P372&lt;Matchup!$B$39+Matchup!$B$40,3,0)))</f>
        <v>0</v>
      </c>
      <c r="S372" s="0" t="n">
        <f aca="false">IF($I372&lt;&gt;$O372,0,IF(Q372&lt;Matchup!$C$39,7,IF(Q372&lt;Matchup!$C$39+Matchup!$C$40,3,0)))</f>
        <v>0</v>
      </c>
      <c r="T372" s="0" t="n">
        <f aca="false">I372+R372</f>
        <v>29</v>
      </c>
      <c r="U372" s="0" t="n">
        <f aca="false">O372+S372</f>
        <v>34</v>
      </c>
      <c r="V372" s="0" t="n">
        <f aca="false">T372-U372</f>
        <v>-5</v>
      </c>
      <c r="W372" s="0" t="n">
        <f aca="false">T372+U372</f>
        <v>63</v>
      </c>
    </row>
    <row r="373" customFormat="false" ht="15" hidden="false" customHeight="false" outlineLevel="0" collapsed="false">
      <c r="A373" s="0" t="n">
        <v>370</v>
      </c>
      <c r="B373" s="0" t="n">
        <f aca="true">NORMINV(RAND(),1,Coefficients!$B$22)</f>
        <v>1.0008211817707</v>
      </c>
      <c r="C373" s="0" t="n">
        <f aca="true">MEDIAN(8,16,ROUND(NORMINV(RAND(),Coefficients!$B$20,Coefficients!$B$21),0))</f>
        <v>12</v>
      </c>
      <c r="D373" s="0" t="n">
        <f aca="true">CRITBINOM($C373,MIN(0.75,Matchup!$B$39*$B373),RAND())</f>
        <v>3</v>
      </c>
      <c r="E373" s="0" t="n">
        <f aca="true">CRITBINOM(D373,Coefficients!$B$30,RAND())</f>
        <v>0</v>
      </c>
      <c r="F373" s="0" t="n">
        <f aca="true">CRITBINOM(E373,Coefficients!$B$31,RAND())</f>
        <v>0</v>
      </c>
      <c r="G373" s="0" t="n">
        <f aca="true">CRITBINOM(MAX(0,D373-E373),1-Coefficients!$B$32,RAND())</f>
        <v>0</v>
      </c>
      <c r="H373" s="0" t="n">
        <f aca="true">CRITBINOM(MAX(0,$C373-D373),MIN(0.6,Matchup!$B$40*SQRT($B373)/(1-MIN(0.75,Matchup!$B$39*$B373))),RAND())</f>
        <v>2</v>
      </c>
      <c r="I373" s="0" t="n">
        <f aca="false">6*D373+(D373-E373-G373)+2*F373+3*H373</f>
        <v>27</v>
      </c>
      <c r="J373" s="0" t="n">
        <f aca="true">CRITBINOM($C373,MIN(0.75,Matchup!$C$39*$B373),RAND())</f>
        <v>2</v>
      </c>
      <c r="K373" s="0" t="n">
        <f aca="true">CRITBINOM(J373,Coefficients!$B$30,RAND())</f>
        <v>1</v>
      </c>
      <c r="L373" s="0" t="n">
        <f aca="true">CRITBINOM(K373,Coefficients!$B$31,RAND())</f>
        <v>0</v>
      </c>
      <c r="M373" s="0" t="n">
        <f aca="true">CRITBINOM(MAX(0,J373-K373),1-Coefficients!$B$32,RAND())</f>
        <v>0</v>
      </c>
      <c r="N373" s="0" t="n">
        <f aca="true">CRITBINOM(MAX(0,$C373-J373),MIN(0.6,Matchup!$C$40*SQRT($B373)/(1-MIN(0.75,Matchup!$C$39*$B373))),RAND())</f>
        <v>1</v>
      </c>
      <c r="O373" s="0" t="n">
        <f aca="false">6*J373+(J373-K373-M373)+2*L373+3*N373</f>
        <v>16</v>
      </c>
      <c r="P373" s="0" t="n">
        <f aca="true">RAND()</f>
        <v>0.0290183829334671</v>
      </c>
      <c r="Q373" s="0" t="n">
        <f aca="true">RAND()</f>
        <v>0.887603405410802</v>
      </c>
      <c r="R373" s="0" t="n">
        <f aca="false">IF($I373&lt;&gt;$O373,0,IF(P373&lt;Matchup!$B$39,7,IF(P373&lt;Matchup!$B$39+Matchup!$B$40,3,0)))</f>
        <v>0</v>
      </c>
      <c r="S373" s="0" t="n">
        <f aca="false">IF($I373&lt;&gt;$O373,0,IF(Q373&lt;Matchup!$C$39,7,IF(Q373&lt;Matchup!$C$39+Matchup!$C$40,3,0)))</f>
        <v>0</v>
      </c>
      <c r="T373" s="0" t="n">
        <f aca="false">I373+R373</f>
        <v>27</v>
      </c>
      <c r="U373" s="0" t="n">
        <f aca="false">O373+S373</f>
        <v>16</v>
      </c>
      <c r="V373" s="0" t="n">
        <f aca="false">T373-U373</f>
        <v>11</v>
      </c>
      <c r="W373" s="0" t="n">
        <f aca="false">T373+U373</f>
        <v>43</v>
      </c>
    </row>
    <row r="374" customFormat="false" ht="15" hidden="false" customHeight="false" outlineLevel="0" collapsed="false">
      <c r="A374" s="0" t="n">
        <v>371</v>
      </c>
      <c r="B374" s="0" t="n">
        <f aca="true">NORMINV(RAND(),1,Coefficients!$B$22)</f>
        <v>1.04355856123494</v>
      </c>
      <c r="C374" s="0" t="n">
        <f aca="true">MEDIAN(8,16,ROUND(NORMINV(RAND(),Coefficients!$B$20,Coefficients!$B$21),0))</f>
        <v>11</v>
      </c>
      <c r="D374" s="0" t="n">
        <f aca="true">CRITBINOM($C374,MIN(0.75,Matchup!$B$39*$B374),RAND())</f>
        <v>5</v>
      </c>
      <c r="E374" s="0" t="n">
        <f aca="true">CRITBINOM(D374,Coefficients!$B$30,RAND())</f>
        <v>0</v>
      </c>
      <c r="F374" s="0" t="n">
        <f aca="true">CRITBINOM(E374,Coefficients!$B$31,RAND())</f>
        <v>0</v>
      </c>
      <c r="G374" s="0" t="n">
        <f aca="true">CRITBINOM(MAX(0,D374-E374),1-Coefficients!$B$32,RAND())</f>
        <v>0</v>
      </c>
      <c r="H374" s="0" t="n">
        <f aca="true">CRITBINOM(MAX(0,$C374-D374),MIN(0.6,Matchup!$B$40*SQRT($B374)/(1-MIN(0.75,Matchup!$B$39*$B374))),RAND())</f>
        <v>2</v>
      </c>
      <c r="I374" s="0" t="n">
        <f aca="false">6*D374+(D374-E374-G374)+2*F374+3*H374</f>
        <v>41</v>
      </c>
      <c r="J374" s="0" t="n">
        <f aca="true">CRITBINOM($C374,MIN(0.75,Matchup!$C$39*$B374),RAND())</f>
        <v>0</v>
      </c>
      <c r="K374" s="0" t="n">
        <f aca="true">CRITBINOM(J374,Coefficients!$B$30,RAND())</f>
        <v>0</v>
      </c>
      <c r="L374" s="0" t="n">
        <f aca="true">CRITBINOM(K374,Coefficients!$B$31,RAND())</f>
        <v>0</v>
      </c>
      <c r="M374" s="0" t="n">
        <f aca="true">CRITBINOM(MAX(0,J374-K374),1-Coefficients!$B$32,RAND())</f>
        <v>0</v>
      </c>
      <c r="N374" s="0" t="n">
        <f aca="true">CRITBINOM(MAX(0,$C374-J374),MIN(0.6,Matchup!$C$40*SQRT($B374)/(1-MIN(0.75,Matchup!$C$39*$B374))),RAND())</f>
        <v>0</v>
      </c>
      <c r="O374" s="0" t="n">
        <f aca="false">6*J374+(J374-K374-M374)+2*L374+3*N374</f>
        <v>0</v>
      </c>
      <c r="P374" s="0" t="n">
        <f aca="true">RAND()</f>
        <v>0.118307097932505</v>
      </c>
      <c r="Q374" s="0" t="n">
        <f aca="true">RAND()</f>
        <v>0.156302136095499</v>
      </c>
      <c r="R374" s="0" t="n">
        <f aca="false">IF($I374&lt;&gt;$O374,0,IF(P374&lt;Matchup!$B$39,7,IF(P374&lt;Matchup!$B$39+Matchup!$B$40,3,0)))</f>
        <v>0</v>
      </c>
      <c r="S374" s="0" t="n">
        <f aca="false">IF($I374&lt;&gt;$O374,0,IF(Q374&lt;Matchup!$C$39,7,IF(Q374&lt;Matchup!$C$39+Matchup!$C$40,3,0)))</f>
        <v>0</v>
      </c>
      <c r="T374" s="0" t="n">
        <f aca="false">I374+R374</f>
        <v>41</v>
      </c>
      <c r="U374" s="0" t="n">
        <f aca="false">O374+S374</f>
        <v>0</v>
      </c>
      <c r="V374" s="0" t="n">
        <f aca="false">T374-U374</f>
        <v>41</v>
      </c>
      <c r="W374" s="0" t="n">
        <f aca="false">T374+U374</f>
        <v>41</v>
      </c>
    </row>
    <row r="375" customFormat="false" ht="15" hidden="false" customHeight="false" outlineLevel="0" collapsed="false">
      <c r="A375" s="0" t="n">
        <v>372</v>
      </c>
      <c r="B375" s="0" t="n">
        <f aca="true">NORMINV(RAND(),1,Coefficients!$B$22)</f>
        <v>1.00370379232222</v>
      </c>
      <c r="C375" s="0" t="n">
        <f aca="true">MEDIAN(8,16,ROUND(NORMINV(RAND(),Coefficients!$B$20,Coefficients!$B$21),0))</f>
        <v>11</v>
      </c>
      <c r="D375" s="0" t="n">
        <f aca="true">CRITBINOM($C375,MIN(0.75,Matchup!$B$39*$B375),RAND())</f>
        <v>2</v>
      </c>
      <c r="E375" s="0" t="n">
        <f aca="true">CRITBINOM(D375,Coefficients!$B$30,RAND())</f>
        <v>1</v>
      </c>
      <c r="F375" s="0" t="n">
        <f aca="true">CRITBINOM(E375,Coefficients!$B$31,RAND())</f>
        <v>1</v>
      </c>
      <c r="G375" s="0" t="n">
        <f aca="true">CRITBINOM(MAX(0,D375-E375),1-Coefficients!$B$32,RAND())</f>
        <v>0</v>
      </c>
      <c r="H375" s="0" t="n">
        <f aca="true">CRITBINOM(MAX(0,$C375-D375),MIN(0.6,Matchup!$B$40*SQRT($B375)/(1-MIN(0.75,Matchup!$B$39*$B375))),RAND())</f>
        <v>1</v>
      </c>
      <c r="I375" s="0" t="n">
        <f aca="false">6*D375+(D375-E375-G375)+2*F375+3*H375</f>
        <v>18</v>
      </c>
      <c r="J375" s="0" t="n">
        <f aca="true">CRITBINOM($C375,MIN(0.75,Matchup!$C$39*$B375),RAND())</f>
        <v>3</v>
      </c>
      <c r="K375" s="0" t="n">
        <f aca="true">CRITBINOM(J375,Coefficients!$B$30,RAND())</f>
        <v>0</v>
      </c>
      <c r="L375" s="0" t="n">
        <f aca="true">CRITBINOM(K375,Coefficients!$B$31,RAND())</f>
        <v>0</v>
      </c>
      <c r="M375" s="0" t="n">
        <f aca="true">CRITBINOM(MAX(0,J375-K375),1-Coefficients!$B$32,RAND())</f>
        <v>0</v>
      </c>
      <c r="N375" s="0" t="n">
        <f aca="true">CRITBINOM(MAX(0,$C375-J375),MIN(0.6,Matchup!$C$40*SQRT($B375)/(1-MIN(0.75,Matchup!$C$39*$B375))),RAND())</f>
        <v>1</v>
      </c>
      <c r="O375" s="0" t="n">
        <f aca="false">6*J375+(J375-K375-M375)+2*L375+3*N375</f>
        <v>24</v>
      </c>
      <c r="P375" s="0" t="n">
        <f aca="true">RAND()</f>
        <v>0.281332333760961</v>
      </c>
      <c r="Q375" s="0" t="n">
        <f aca="true">RAND()</f>
        <v>0.582568704435974</v>
      </c>
      <c r="R375" s="0" t="n">
        <f aca="false">IF($I375&lt;&gt;$O375,0,IF(P375&lt;Matchup!$B$39,7,IF(P375&lt;Matchup!$B$39+Matchup!$B$40,3,0)))</f>
        <v>0</v>
      </c>
      <c r="S375" s="0" t="n">
        <f aca="false">IF($I375&lt;&gt;$O375,0,IF(Q375&lt;Matchup!$C$39,7,IF(Q375&lt;Matchup!$C$39+Matchup!$C$40,3,0)))</f>
        <v>0</v>
      </c>
      <c r="T375" s="0" t="n">
        <f aca="false">I375+R375</f>
        <v>18</v>
      </c>
      <c r="U375" s="0" t="n">
        <f aca="false">O375+S375</f>
        <v>24</v>
      </c>
      <c r="V375" s="0" t="n">
        <f aca="false">T375-U375</f>
        <v>-6</v>
      </c>
      <c r="W375" s="0" t="n">
        <f aca="false">T375+U375</f>
        <v>42</v>
      </c>
    </row>
    <row r="376" customFormat="false" ht="15" hidden="false" customHeight="false" outlineLevel="0" collapsed="false">
      <c r="A376" s="0" t="n">
        <v>373</v>
      </c>
      <c r="B376" s="0" t="n">
        <f aca="true">NORMINV(RAND(),1,Coefficients!$B$22)</f>
        <v>1.05039966016454</v>
      </c>
      <c r="C376" s="0" t="n">
        <f aca="true">MEDIAN(8,16,ROUND(NORMINV(RAND(),Coefficients!$B$20,Coefficients!$B$21),0))</f>
        <v>12</v>
      </c>
      <c r="D376" s="0" t="n">
        <f aca="true">CRITBINOM($C376,MIN(0.75,Matchup!$B$39*$B376),RAND())</f>
        <v>2</v>
      </c>
      <c r="E376" s="0" t="n">
        <f aca="true">CRITBINOM(D376,Coefficients!$B$30,RAND())</f>
        <v>0</v>
      </c>
      <c r="F376" s="0" t="n">
        <f aca="true">CRITBINOM(E376,Coefficients!$B$31,RAND())</f>
        <v>0</v>
      </c>
      <c r="G376" s="0" t="n">
        <f aca="true">CRITBINOM(MAX(0,D376-E376),1-Coefficients!$B$32,RAND())</f>
        <v>0</v>
      </c>
      <c r="H376" s="0" t="n">
        <f aca="true">CRITBINOM(MAX(0,$C376-D376),MIN(0.6,Matchup!$B$40*SQRT($B376)/(1-MIN(0.75,Matchup!$B$39*$B376))),RAND())</f>
        <v>3</v>
      </c>
      <c r="I376" s="0" t="n">
        <f aca="false">6*D376+(D376-E376-G376)+2*F376+3*H376</f>
        <v>23</v>
      </c>
      <c r="J376" s="0" t="n">
        <f aca="true">CRITBINOM($C376,MIN(0.75,Matchup!$C$39*$B376),RAND())</f>
        <v>3</v>
      </c>
      <c r="K376" s="0" t="n">
        <f aca="true">CRITBINOM(J376,Coefficients!$B$30,RAND())</f>
        <v>0</v>
      </c>
      <c r="L376" s="0" t="n">
        <f aca="true">CRITBINOM(K376,Coefficients!$B$31,RAND())</f>
        <v>0</v>
      </c>
      <c r="M376" s="0" t="n">
        <f aca="true">CRITBINOM(MAX(0,J376-K376),1-Coefficients!$B$32,RAND())</f>
        <v>0</v>
      </c>
      <c r="N376" s="0" t="n">
        <f aca="true">CRITBINOM(MAX(0,$C376-J376),MIN(0.6,Matchup!$C$40*SQRT($B376)/(1-MIN(0.75,Matchup!$C$39*$B376))),RAND())</f>
        <v>1</v>
      </c>
      <c r="O376" s="0" t="n">
        <f aca="false">6*J376+(J376-K376-M376)+2*L376+3*N376</f>
        <v>24</v>
      </c>
      <c r="P376" s="0" t="n">
        <f aca="true">RAND()</f>
        <v>0.33721370134376</v>
      </c>
      <c r="Q376" s="0" t="n">
        <f aca="true">RAND()</f>
        <v>0.354919568884808</v>
      </c>
      <c r="R376" s="0" t="n">
        <f aca="false">IF($I376&lt;&gt;$O376,0,IF(P376&lt;Matchup!$B$39,7,IF(P376&lt;Matchup!$B$39+Matchup!$B$40,3,0)))</f>
        <v>0</v>
      </c>
      <c r="S376" s="0" t="n">
        <f aca="false">IF($I376&lt;&gt;$O376,0,IF(Q376&lt;Matchup!$C$39,7,IF(Q376&lt;Matchup!$C$39+Matchup!$C$40,3,0)))</f>
        <v>0</v>
      </c>
      <c r="T376" s="0" t="n">
        <f aca="false">I376+R376</f>
        <v>23</v>
      </c>
      <c r="U376" s="0" t="n">
        <f aca="false">O376+S376</f>
        <v>24</v>
      </c>
      <c r="V376" s="0" t="n">
        <f aca="false">T376-U376</f>
        <v>-1</v>
      </c>
      <c r="W376" s="0" t="n">
        <f aca="false">T376+U376</f>
        <v>47</v>
      </c>
    </row>
    <row r="377" customFormat="false" ht="15" hidden="false" customHeight="false" outlineLevel="0" collapsed="false">
      <c r="A377" s="0" t="n">
        <v>374</v>
      </c>
      <c r="B377" s="0" t="n">
        <f aca="true">NORMINV(RAND(),1,Coefficients!$B$22)</f>
        <v>0.881896790177931</v>
      </c>
      <c r="C377" s="0" t="n">
        <f aca="true">MEDIAN(8,16,ROUND(NORMINV(RAND(),Coefficients!$B$20,Coefficients!$B$21),0))</f>
        <v>11</v>
      </c>
      <c r="D377" s="0" t="n">
        <f aca="true">CRITBINOM($C377,MIN(0.75,Matchup!$B$39*$B377),RAND())</f>
        <v>2</v>
      </c>
      <c r="E377" s="0" t="n">
        <f aca="true">CRITBINOM(D377,Coefficients!$B$30,RAND())</f>
        <v>0</v>
      </c>
      <c r="F377" s="0" t="n">
        <f aca="true">CRITBINOM(E377,Coefficients!$B$31,RAND())</f>
        <v>0</v>
      </c>
      <c r="G377" s="0" t="n">
        <f aca="true">CRITBINOM(MAX(0,D377-E377),1-Coefficients!$B$32,RAND())</f>
        <v>0</v>
      </c>
      <c r="H377" s="0" t="n">
        <f aca="true">CRITBINOM(MAX(0,$C377-D377),MIN(0.6,Matchup!$B$40*SQRT($B377)/(1-MIN(0.75,Matchup!$B$39*$B377))),RAND())</f>
        <v>1</v>
      </c>
      <c r="I377" s="0" t="n">
        <f aca="false">6*D377+(D377-E377-G377)+2*F377+3*H377</f>
        <v>17</v>
      </c>
      <c r="J377" s="0" t="n">
        <f aca="true">CRITBINOM($C377,MIN(0.75,Matchup!$C$39*$B377),RAND())</f>
        <v>2</v>
      </c>
      <c r="K377" s="0" t="n">
        <f aca="true">CRITBINOM(J377,Coefficients!$B$30,RAND())</f>
        <v>0</v>
      </c>
      <c r="L377" s="0" t="n">
        <f aca="true">CRITBINOM(K377,Coefficients!$B$31,RAND())</f>
        <v>0</v>
      </c>
      <c r="M377" s="0" t="n">
        <f aca="true">CRITBINOM(MAX(0,J377-K377),1-Coefficients!$B$32,RAND())</f>
        <v>0</v>
      </c>
      <c r="N377" s="0" t="n">
        <f aca="true">CRITBINOM(MAX(0,$C377-J377),MIN(0.6,Matchup!$C$40*SQRT($B377)/(1-MIN(0.75,Matchup!$C$39*$B377))),RAND())</f>
        <v>2</v>
      </c>
      <c r="O377" s="0" t="n">
        <f aca="false">6*J377+(J377-K377-M377)+2*L377+3*N377</f>
        <v>20</v>
      </c>
      <c r="P377" s="0" t="n">
        <f aca="true">RAND()</f>
        <v>0.65198554041473</v>
      </c>
      <c r="Q377" s="0" t="n">
        <f aca="true">RAND()</f>
        <v>0.037619863233862</v>
      </c>
      <c r="R377" s="0" t="n">
        <f aca="false">IF($I377&lt;&gt;$O377,0,IF(P377&lt;Matchup!$B$39,7,IF(P377&lt;Matchup!$B$39+Matchup!$B$40,3,0)))</f>
        <v>0</v>
      </c>
      <c r="S377" s="0" t="n">
        <f aca="false">IF($I377&lt;&gt;$O377,0,IF(Q377&lt;Matchup!$C$39,7,IF(Q377&lt;Matchup!$C$39+Matchup!$C$40,3,0)))</f>
        <v>0</v>
      </c>
      <c r="T377" s="0" t="n">
        <f aca="false">I377+R377</f>
        <v>17</v>
      </c>
      <c r="U377" s="0" t="n">
        <f aca="false">O377+S377</f>
        <v>20</v>
      </c>
      <c r="V377" s="0" t="n">
        <f aca="false">T377-U377</f>
        <v>-3</v>
      </c>
      <c r="W377" s="0" t="n">
        <f aca="false">T377+U377</f>
        <v>37</v>
      </c>
    </row>
    <row r="378" customFormat="false" ht="15" hidden="false" customHeight="false" outlineLevel="0" collapsed="false">
      <c r="A378" s="0" t="n">
        <v>375</v>
      </c>
      <c r="B378" s="0" t="n">
        <f aca="true">NORMINV(RAND(),1,Coefficients!$B$22)</f>
        <v>1.03336015578563</v>
      </c>
      <c r="C378" s="0" t="n">
        <f aca="true">MEDIAN(8,16,ROUND(NORMINV(RAND(),Coefficients!$B$20,Coefficients!$B$21),0))</f>
        <v>9</v>
      </c>
      <c r="D378" s="0" t="n">
        <f aca="true">CRITBINOM($C378,MIN(0.75,Matchup!$B$39*$B378),RAND())</f>
        <v>0</v>
      </c>
      <c r="E378" s="0" t="n">
        <f aca="true">CRITBINOM(D378,Coefficients!$B$30,RAND())</f>
        <v>0</v>
      </c>
      <c r="F378" s="0" t="n">
        <f aca="true">CRITBINOM(E378,Coefficients!$B$31,RAND())</f>
        <v>0</v>
      </c>
      <c r="G378" s="0" t="n">
        <f aca="true">CRITBINOM(MAX(0,D378-E378),1-Coefficients!$B$32,RAND())</f>
        <v>0</v>
      </c>
      <c r="H378" s="0" t="n">
        <f aca="true">CRITBINOM(MAX(0,$C378-D378),MIN(0.6,Matchup!$B$40*SQRT($B378)/(1-MIN(0.75,Matchup!$B$39*$B378))),RAND())</f>
        <v>0</v>
      </c>
      <c r="I378" s="0" t="n">
        <f aca="false">6*D378+(D378-E378-G378)+2*F378+3*H378</f>
        <v>0</v>
      </c>
      <c r="J378" s="0" t="n">
        <f aca="true">CRITBINOM($C378,MIN(0.75,Matchup!$C$39*$B378),RAND())</f>
        <v>2</v>
      </c>
      <c r="K378" s="0" t="n">
        <f aca="true">CRITBINOM(J378,Coefficients!$B$30,RAND())</f>
        <v>0</v>
      </c>
      <c r="L378" s="0" t="n">
        <f aca="true">CRITBINOM(K378,Coefficients!$B$31,RAND())</f>
        <v>0</v>
      </c>
      <c r="M378" s="0" t="n">
        <f aca="true">CRITBINOM(MAX(0,J378-K378),1-Coefficients!$B$32,RAND())</f>
        <v>0</v>
      </c>
      <c r="N378" s="0" t="n">
        <f aca="true">CRITBINOM(MAX(0,$C378-J378),MIN(0.6,Matchup!$C$40*SQRT($B378)/(1-MIN(0.75,Matchup!$C$39*$B378))),RAND())</f>
        <v>0</v>
      </c>
      <c r="O378" s="0" t="n">
        <f aca="false">6*J378+(J378-K378-M378)+2*L378+3*N378</f>
        <v>14</v>
      </c>
      <c r="P378" s="0" t="n">
        <f aca="true">RAND()</f>
        <v>0.636051406243546</v>
      </c>
      <c r="Q378" s="0" t="n">
        <f aca="true">RAND()</f>
        <v>0.6052202051419</v>
      </c>
      <c r="R378" s="0" t="n">
        <f aca="false">IF($I378&lt;&gt;$O378,0,IF(P378&lt;Matchup!$B$39,7,IF(P378&lt;Matchup!$B$39+Matchup!$B$40,3,0)))</f>
        <v>0</v>
      </c>
      <c r="S378" s="0" t="n">
        <f aca="false">IF($I378&lt;&gt;$O378,0,IF(Q378&lt;Matchup!$C$39,7,IF(Q378&lt;Matchup!$C$39+Matchup!$C$40,3,0)))</f>
        <v>0</v>
      </c>
      <c r="T378" s="0" t="n">
        <f aca="false">I378+R378</f>
        <v>0</v>
      </c>
      <c r="U378" s="0" t="n">
        <f aca="false">O378+S378</f>
        <v>14</v>
      </c>
      <c r="V378" s="0" t="n">
        <f aca="false">T378-U378</f>
        <v>-14</v>
      </c>
      <c r="W378" s="0" t="n">
        <f aca="false">T378+U378</f>
        <v>14</v>
      </c>
    </row>
    <row r="379" customFormat="false" ht="15" hidden="false" customHeight="false" outlineLevel="0" collapsed="false">
      <c r="A379" s="0" t="n">
        <v>376</v>
      </c>
      <c r="B379" s="0" t="n">
        <f aca="true">NORMINV(RAND(),1,Coefficients!$B$22)</f>
        <v>1.00235084914208</v>
      </c>
      <c r="C379" s="0" t="n">
        <f aca="true">MEDIAN(8,16,ROUND(NORMINV(RAND(),Coefficients!$B$20,Coefficients!$B$21),0))</f>
        <v>10</v>
      </c>
      <c r="D379" s="0" t="n">
        <f aca="true">CRITBINOM($C379,MIN(0.75,Matchup!$B$39*$B379),RAND())</f>
        <v>4</v>
      </c>
      <c r="E379" s="0" t="n">
        <f aca="true">CRITBINOM(D379,Coefficients!$B$30,RAND())</f>
        <v>0</v>
      </c>
      <c r="F379" s="0" t="n">
        <f aca="true">CRITBINOM(E379,Coefficients!$B$31,RAND())</f>
        <v>0</v>
      </c>
      <c r="G379" s="0" t="n">
        <f aca="true">CRITBINOM(MAX(0,D379-E379),1-Coefficients!$B$32,RAND())</f>
        <v>0</v>
      </c>
      <c r="H379" s="0" t="n">
        <f aca="true">CRITBINOM(MAX(0,$C379-D379),MIN(0.6,Matchup!$B$40*SQRT($B379)/(1-MIN(0.75,Matchup!$B$39*$B379))),RAND())</f>
        <v>0</v>
      </c>
      <c r="I379" s="0" t="n">
        <f aca="false">6*D379+(D379-E379-G379)+2*F379+3*H379</f>
        <v>28</v>
      </c>
      <c r="J379" s="0" t="n">
        <f aca="true">CRITBINOM($C379,MIN(0.75,Matchup!$C$39*$B379),RAND())</f>
        <v>2</v>
      </c>
      <c r="K379" s="0" t="n">
        <f aca="true">CRITBINOM(J379,Coefficients!$B$30,RAND())</f>
        <v>0</v>
      </c>
      <c r="L379" s="0" t="n">
        <f aca="true">CRITBINOM(K379,Coefficients!$B$31,RAND())</f>
        <v>0</v>
      </c>
      <c r="M379" s="0" t="n">
        <f aca="true">CRITBINOM(MAX(0,J379-K379),1-Coefficients!$B$32,RAND())</f>
        <v>0</v>
      </c>
      <c r="N379" s="0" t="n">
        <f aca="true">CRITBINOM(MAX(0,$C379-J379),MIN(0.6,Matchup!$C$40*SQRT($B379)/(1-MIN(0.75,Matchup!$C$39*$B379))),RAND())</f>
        <v>1</v>
      </c>
      <c r="O379" s="0" t="n">
        <f aca="false">6*J379+(J379-K379-M379)+2*L379+3*N379</f>
        <v>17</v>
      </c>
      <c r="P379" s="0" t="n">
        <f aca="true">RAND()</f>
        <v>0.752496975988832</v>
      </c>
      <c r="Q379" s="0" t="n">
        <f aca="true">RAND()</f>
        <v>0.735553971554362</v>
      </c>
      <c r="R379" s="0" t="n">
        <f aca="false">IF($I379&lt;&gt;$O379,0,IF(P379&lt;Matchup!$B$39,7,IF(P379&lt;Matchup!$B$39+Matchup!$B$40,3,0)))</f>
        <v>0</v>
      </c>
      <c r="S379" s="0" t="n">
        <f aca="false">IF($I379&lt;&gt;$O379,0,IF(Q379&lt;Matchup!$C$39,7,IF(Q379&lt;Matchup!$C$39+Matchup!$C$40,3,0)))</f>
        <v>0</v>
      </c>
      <c r="T379" s="0" t="n">
        <f aca="false">I379+R379</f>
        <v>28</v>
      </c>
      <c r="U379" s="0" t="n">
        <f aca="false">O379+S379</f>
        <v>17</v>
      </c>
      <c r="V379" s="0" t="n">
        <f aca="false">T379-U379</f>
        <v>11</v>
      </c>
      <c r="W379" s="0" t="n">
        <f aca="false">T379+U379</f>
        <v>45</v>
      </c>
    </row>
    <row r="380" customFormat="false" ht="15" hidden="false" customHeight="false" outlineLevel="0" collapsed="false">
      <c r="A380" s="0" t="n">
        <v>377</v>
      </c>
      <c r="B380" s="0" t="n">
        <f aca="true">NORMINV(RAND(),1,Coefficients!$B$22)</f>
        <v>0.989500549331518</v>
      </c>
      <c r="C380" s="0" t="n">
        <f aca="true">MEDIAN(8,16,ROUND(NORMINV(RAND(),Coefficients!$B$20,Coefficients!$B$21),0))</f>
        <v>11</v>
      </c>
      <c r="D380" s="0" t="n">
        <f aca="true">CRITBINOM($C380,MIN(0.75,Matchup!$B$39*$B380),RAND())</f>
        <v>5</v>
      </c>
      <c r="E380" s="0" t="n">
        <f aca="true">CRITBINOM(D380,Coefficients!$B$30,RAND())</f>
        <v>0</v>
      </c>
      <c r="F380" s="0" t="n">
        <f aca="true">CRITBINOM(E380,Coefficients!$B$31,RAND())</f>
        <v>0</v>
      </c>
      <c r="G380" s="0" t="n">
        <f aca="true">CRITBINOM(MAX(0,D380-E380),1-Coefficients!$B$32,RAND())</f>
        <v>0</v>
      </c>
      <c r="H380" s="0" t="n">
        <f aca="true">CRITBINOM(MAX(0,$C380-D380),MIN(0.6,Matchup!$B$40*SQRT($B380)/(1-MIN(0.75,Matchup!$B$39*$B380))),RAND())</f>
        <v>1</v>
      </c>
      <c r="I380" s="0" t="n">
        <f aca="false">6*D380+(D380-E380-G380)+2*F380+3*H380</f>
        <v>38</v>
      </c>
      <c r="J380" s="0" t="n">
        <f aca="true">CRITBINOM($C380,MIN(0.75,Matchup!$C$39*$B380),RAND())</f>
        <v>4</v>
      </c>
      <c r="K380" s="0" t="n">
        <f aca="true">CRITBINOM(J380,Coefficients!$B$30,RAND())</f>
        <v>0</v>
      </c>
      <c r="L380" s="0" t="n">
        <f aca="true">CRITBINOM(K380,Coefficients!$B$31,RAND())</f>
        <v>0</v>
      </c>
      <c r="M380" s="0" t="n">
        <f aca="true">CRITBINOM(MAX(0,J380-K380),1-Coefficients!$B$32,RAND())</f>
        <v>0</v>
      </c>
      <c r="N380" s="0" t="n">
        <f aca="true">CRITBINOM(MAX(0,$C380-J380),MIN(0.6,Matchup!$C$40*SQRT($B380)/(1-MIN(0.75,Matchup!$C$39*$B380))),RAND())</f>
        <v>1</v>
      </c>
      <c r="O380" s="0" t="n">
        <f aca="false">6*J380+(J380-K380-M380)+2*L380+3*N380</f>
        <v>31</v>
      </c>
      <c r="P380" s="0" t="n">
        <f aca="true">RAND()</f>
        <v>0.589898268976268</v>
      </c>
      <c r="Q380" s="0" t="n">
        <f aca="true">RAND()</f>
        <v>0.126896425890299</v>
      </c>
      <c r="R380" s="0" t="n">
        <f aca="false">IF($I380&lt;&gt;$O380,0,IF(P380&lt;Matchup!$B$39,7,IF(P380&lt;Matchup!$B$39+Matchup!$B$40,3,0)))</f>
        <v>0</v>
      </c>
      <c r="S380" s="0" t="n">
        <f aca="false">IF($I380&lt;&gt;$O380,0,IF(Q380&lt;Matchup!$C$39,7,IF(Q380&lt;Matchup!$C$39+Matchup!$C$40,3,0)))</f>
        <v>0</v>
      </c>
      <c r="T380" s="0" t="n">
        <f aca="false">I380+R380</f>
        <v>38</v>
      </c>
      <c r="U380" s="0" t="n">
        <f aca="false">O380+S380</f>
        <v>31</v>
      </c>
      <c r="V380" s="0" t="n">
        <f aca="false">T380-U380</f>
        <v>7</v>
      </c>
      <c r="W380" s="0" t="n">
        <f aca="false">T380+U380</f>
        <v>69</v>
      </c>
    </row>
    <row r="381" customFormat="false" ht="15" hidden="false" customHeight="false" outlineLevel="0" collapsed="false">
      <c r="A381" s="0" t="n">
        <v>378</v>
      </c>
      <c r="B381" s="0" t="n">
        <f aca="true">NORMINV(RAND(),1,Coefficients!$B$22)</f>
        <v>1.0694784678768</v>
      </c>
      <c r="C381" s="0" t="n">
        <f aca="true">MEDIAN(8,16,ROUND(NORMINV(RAND(),Coefficients!$B$20,Coefficients!$B$21),0))</f>
        <v>12</v>
      </c>
      <c r="D381" s="0" t="n">
        <f aca="true">CRITBINOM($C381,MIN(0.75,Matchup!$B$39*$B381),RAND())</f>
        <v>0</v>
      </c>
      <c r="E381" s="0" t="n">
        <f aca="true">CRITBINOM(D381,Coefficients!$B$30,RAND())</f>
        <v>0</v>
      </c>
      <c r="F381" s="0" t="n">
        <f aca="true">CRITBINOM(E381,Coefficients!$B$31,RAND())</f>
        <v>0</v>
      </c>
      <c r="G381" s="0" t="n">
        <f aca="true">CRITBINOM(MAX(0,D381-E381),1-Coefficients!$B$32,RAND())</f>
        <v>0</v>
      </c>
      <c r="H381" s="0" t="n">
        <f aca="true">CRITBINOM(MAX(0,$C381-D381),MIN(0.6,Matchup!$B$40*SQRT($B381)/(1-MIN(0.75,Matchup!$B$39*$B381))),RAND())</f>
        <v>1</v>
      </c>
      <c r="I381" s="0" t="n">
        <f aca="false">6*D381+(D381-E381-G381)+2*F381+3*H381</f>
        <v>3</v>
      </c>
      <c r="J381" s="0" t="n">
        <f aca="true">CRITBINOM($C381,MIN(0.75,Matchup!$C$39*$B381),RAND())</f>
        <v>4</v>
      </c>
      <c r="K381" s="0" t="n">
        <f aca="true">CRITBINOM(J381,Coefficients!$B$30,RAND())</f>
        <v>2</v>
      </c>
      <c r="L381" s="0" t="n">
        <f aca="true">CRITBINOM(K381,Coefficients!$B$31,RAND())</f>
        <v>2</v>
      </c>
      <c r="M381" s="0" t="n">
        <f aca="true">CRITBINOM(MAX(0,J381-K381),1-Coefficients!$B$32,RAND())</f>
        <v>0</v>
      </c>
      <c r="N381" s="0" t="n">
        <f aca="true">CRITBINOM(MAX(0,$C381-J381),MIN(0.6,Matchup!$C$40*SQRT($B381)/(1-MIN(0.75,Matchup!$C$39*$B381))),RAND())</f>
        <v>0</v>
      </c>
      <c r="O381" s="0" t="n">
        <f aca="false">6*J381+(J381-K381-M381)+2*L381+3*N381</f>
        <v>30</v>
      </c>
      <c r="P381" s="0" t="n">
        <f aca="true">RAND()</f>
        <v>0.602416413602662</v>
      </c>
      <c r="Q381" s="0" t="n">
        <f aca="true">RAND()</f>
        <v>0.889335272930275</v>
      </c>
      <c r="R381" s="0" t="n">
        <f aca="false">IF($I381&lt;&gt;$O381,0,IF(P381&lt;Matchup!$B$39,7,IF(P381&lt;Matchup!$B$39+Matchup!$B$40,3,0)))</f>
        <v>0</v>
      </c>
      <c r="S381" s="0" t="n">
        <f aca="false">IF($I381&lt;&gt;$O381,0,IF(Q381&lt;Matchup!$C$39,7,IF(Q381&lt;Matchup!$C$39+Matchup!$C$40,3,0)))</f>
        <v>0</v>
      </c>
      <c r="T381" s="0" t="n">
        <f aca="false">I381+R381</f>
        <v>3</v>
      </c>
      <c r="U381" s="0" t="n">
        <f aca="false">O381+S381</f>
        <v>30</v>
      </c>
      <c r="V381" s="0" t="n">
        <f aca="false">T381-U381</f>
        <v>-27</v>
      </c>
      <c r="W381" s="0" t="n">
        <f aca="false">T381+U381</f>
        <v>33</v>
      </c>
    </row>
    <row r="382" customFormat="false" ht="15" hidden="false" customHeight="false" outlineLevel="0" collapsed="false">
      <c r="A382" s="0" t="n">
        <v>379</v>
      </c>
      <c r="B382" s="0" t="n">
        <f aca="true">NORMINV(RAND(),1,Coefficients!$B$22)</f>
        <v>0.978814230467207</v>
      </c>
      <c r="C382" s="0" t="n">
        <f aca="true">MEDIAN(8,16,ROUND(NORMINV(RAND(),Coefficients!$B$20,Coefficients!$B$21),0))</f>
        <v>11</v>
      </c>
      <c r="D382" s="0" t="n">
        <f aca="true">CRITBINOM($C382,MIN(0.75,Matchup!$B$39*$B382),RAND())</f>
        <v>3</v>
      </c>
      <c r="E382" s="0" t="n">
        <f aca="true">CRITBINOM(D382,Coefficients!$B$30,RAND())</f>
        <v>0</v>
      </c>
      <c r="F382" s="0" t="n">
        <f aca="true">CRITBINOM(E382,Coefficients!$B$31,RAND())</f>
        <v>0</v>
      </c>
      <c r="G382" s="0" t="n">
        <f aca="true">CRITBINOM(MAX(0,D382-E382),1-Coefficients!$B$32,RAND())</f>
        <v>1</v>
      </c>
      <c r="H382" s="0" t="n">
        <f aca="true">CRITBINOM(MAX(0,$C382-D382),MIN(0.6,Matchup!$B$40*SQRT($B382)/(1-MIN(0.75,Matchup!$B$39*$B382))),RAND())</f>
        <v>0</v>
      </c>
      <c r="I382" s="0" t="n">
        <f aca="false">6*D382+(D382-E382-G382)+2*F382+3*H382</f>
        <v>20</v>
      </c>
      <c r="J382" s="0" t="n">
        <f aca="true">CRITBINOM($C382,MIN(0.75,Matchup!$C$39*$B382),RAND())</f>
        <v>2</v>
      </c>
      <c r="K382" s="0" t="n">
        <f aca="true">CRITBINOM(J382,Coefficients!$B$30,RAND())</f>
        <v>0</v>
      </c>
      <c r="L382" s="0" t="n">
        <f aca="true">CRITBINOM(K382,Coefficients!$B$31,RAND())</f>
        <v>0</v>
      </c>
      <c r="M382" s="0" t="n">
        <f aca="true">CRITBINOM(MAX(0,J382-K382),1-Coefficients!$B$32,RAND())</f>
        <v>0</v>
      </c>
      <c r="N382" s="0" t="n">
        <f aca="true">CRITBINOM(MAX(0,$C382-J382),MIN(0.6,Matchup!$C$40*SQRT($B382)/(1-MIN(0.75,Matchup!$C$39*$B382))),RAND())</f>
        <v>0</v>
      </c>
      <c r="O382" s="0" t="n">
        <f aca="false">6*J382+(J382-K382-M382)+2*L382+3*N382</f>
        <v>14</v>
      </c>
      <c r="P382" s="0" t="n">
        <f aca="true">RAND()</f>
        <v>0.708872742698823</v>
      </c>
      <c r="Q382" s="0" t="n">
        <f aca="true">RAND()</f>
        <v>0.361357746909839</v>
      </c>
      <c r="R382" s="0" t="n">
        <f aca="false">IF($I382&lt;&gt;$O382,0,IF(P382&lt;Matchup!$B$39,7,IF(P382&lt;Matchup!$B$39+Matchup!$B$40,3,0)))</f>
        <v>0</v>
      </c>
      <c r="S382" s="0" t="n">
        <f aca="false">IF($I382&lt;&gt;$O382,0,IF(Q382&lt;Matchup!$C$39,7,IF(Q382&lt;Matchup!$C$39+Matchup!$C$40,3,0)))</f>
        <v>0</v>
      </c>
      <c r="T382" s="0" t="n">
        <f aca="false">I382+R382</f>
        <v>20</v>
      </c>
      <c r="U382" s="0" t="n">
        <f aca="false">O382+S382</f>
        <v>14</v>
      </c>
      <c r="V382" s="0" t="n">
        <f aca="false">T382-U382</f>
        <v>6</v>
      </c>
      <c r="W382" s="0" t="n">
        <f aca="false">T382+U382</f>
        <v>34</v>
      </c>
    </row>
    <row r="383" customFormat="false" ht="15" hidden="false" customHeight="false" outlineLevel="0" collapsed="false">
      <c r="A383" s="0" t="n">
        <v>380</v>
      </c>
      <c r="B383" s="0" t="n">
        <f aca="true">NORMINV(RAND(),1,Coefficients!$B$22)</f>
        <v>0.986976966412947</v>
      </c>
      <c r="C383" s="0" t="n">
        <f aca="true">MEDIAN(8,16,ROUND(NORMINV(RAND(),Coefficients!$B$20,Coefficients!$B$21),0))</f>
        <v>9</v>
      </c>
      <c r="D383" s="0" t="n">
        <f aca="true">CRITBINOM($C383,MIN(0.75,Matchup!$B$39*$B383),RAND())</f>
        <v>1</v>
      </c>
      <c r="E383" s="0" t="n">
        <f aca="true">CRITBINOM(D383,Coefficients!$B$30,RAND())</f>
        <v>0</v>
      </c>
      <c r="F383" s="0" t="n">
        <f aca="true">CRITBINOM(E383,Coefficients!$B$31,RAND())</f>
        <v>0</v>
      </c>
      <c r="G383" s="0" t="n">
        <f aca="true">CRITBINOM(MAX(0,D383-E383),1-Coefficients!$B$32,RAND())</f>
        <v>0</v>
      </c>
      <c r="H383" s="0" t="n">
        <f aca="true">CRITBINOM(MAX(0,$C383-D383),MIN(0.6,Matchup!$B$40*SQRT($B383)/(1-MIN(0.75,Matchup!$B$39*$B383))),RAND())</f>
        <v>3</v>
      </c>
      <c r="I383" s="0" t="n">
        <f aca="false">6*D383+(D383-E383-G383)+2*F383+3*H383</f>
        <v>16</v>
      </c>
      <c r="J383" s="0" t="n">
        <f aca="true">CRITBINOM($C383,MIN(0.75,Matchup!$C$39*$B383),RAND())</f>
        <v>1</v>
      </c>
      <c r="K383" s="0" t="n">
        <f aca="true">CRITBINOM(J383,Coefficients!$B$30,RAND())</f>
        <v>0</v>
      </c>
      <c r="L383" s="0" t="n">
        <f aca="true">CRITBINOM(K383,Coefficients!$B$31,RAND())</f>
        <v>0</v>
      </c>
      <c r="M383" s="0" t="n">
        <f aca="true">CRITBINOM(MAX(0,J383-K383),1-Coefficients!$B$32,RAND())</f>
        <v>0</v>
      </c>
      <c r="N383" s="0" t="n">
        <f aca="true">CRITBINOM(MAX(0,$C383-J383),MIN(0.6,Matchup!$C$40*SQRT($B383)/(1-MIN(0.75,Matchup!$C$39*$B383))),RAND())</f>
        <v>3</v>
      </c>
      <c r="O383" s="0" t="n">
        <f aca="false">6*J383+(J383-K383-M383)+2*L383+3*N383</f>
        <v>16</v>
      </c>
      <c r="P383" s="0" t="n">
        <f aca="true">RAND()</f>
        <v>0.934421146975594</v>
      </c>
      <c r="Q383" s="0" t="n">
        <f aca="true">RAND()</f>
        <v>0.211859620971527</v>
      </c>
      <c r="R383" s="0" t="n">
        <f aca="false">IF($I383&lt;&gt;$O383,0,IF(P383&lt;Matchup!$B$39,7,IF(P383&lt;Matchup!$B$39+Matchup!$B$40,3,0)))</f>
        <v>0</v>
      </c>
      <c r="S383" s="0" t="n">
        <f aca="false">IF($I383&lt;&gt;$O383,0,IF(Q383&lt;Matchup!$C$39,7,IF(Q383&lt;Matchup!$C$39+Matchup!$C$40,3,0)))</f>
        <v>7</v>
      </c>
      <c r="T383" s="0" t="n">
        <f aca="false">I383+R383</f>
        <v>16</v>
      </c>
      <c r="U383" s="0" t="n">
        <f aca="false">O383+S383</f>
        <v>23</v>
      </c>
      <c r="V383" s="0" t="n">
        <f aca="false">T383-U383</f>
        <v>-7</v>
      </c>
      <c r="W383" s="0" t="n">
        <f aca="false">T383+U383</f>
        <v>39</v>
      </c>
    </row>
    <row r="384" customFormat="false" ht="15" hidden="false" customHeight="false" outlineLevel="0" collapsed="false">
      <c r="A384" s="0" t="n">
        <v>381</v>
      </c>
      <c r="B384" s="0" t="n">
        <f aca="true">NORMINV(RAND(),1,Coefficients!$B$22)</f>
        <v>0.94438379534002</v>
      </c>
      <c r="C384" s="0" t="n">
        <f aca="true">MEDIAN(8,16,ROUND(NORMINV(RAND(),Coefficients!$B$20,Coefficients!$B$21),0))</f>
        <v>12</v>
      </c>
      <c r="D384" s="0" t="n">
        <f aca="true">CRITBINOM($C384,MIN(0.75,Matchup!$B$39*$B384),RAND())</f>
        <v>3</v>
      </c>
      <c r="E384" s="0" t="n">
        <f aca="true">CRITBINOM(D384,Coefficients!$B$30,RAND())</f>
        <v>2</v>
      </c>
      <c r="F384" s="0" t="n">
        <f aca="true">CRITBINOM(E384,Coefficients!$B$31,RAND())</f>
        <v>0</v>
      </c>
      <c r="G384" s="0" t="n">
        <f aca="true">CRITBINOM(MAX(0,D384-E384),1-Coefficients!$B$32,RAND())</f>
        <v>0</v>
      </c>
      <c r="H384" s="0" t="n">
        <f aca="true">CRITBINOM(MAX(0,$C384-D384),MIN(0.6,Matchup!$B$40*SQRT($B384)/(1-MIN(0.75,Matchup!$B$39*$B384))),RAND())</f>
        <v>3</v>
      </c>
      <c r="I384" s="0" t="n">
        <f aca="false">6*D384+(D384-E384-G384)+2*F384+3*H384</f>
        <v>28</v>
      </c>
      <c r="J384" s="0" t="n">
        <f aca="true">CRITBINOM($C384,MIN(0.75,Matchup!$C$39*$B384),RAND())</f>
        <v>1</v>
      </c>
      <c r="K384" s="0" t="n">
        <f aca="true">CRITBINOM(J384,Coefficients!$B$30,RAND())</f>
        <v>0</v>
      </c>
      <c r="L384" s="0" t="n">
        <f aca="true">CRITBINOM(K384,Coefficients!$B$31,RAND())</f>
        <v>0</v>
      </c>
      <c r="M384" s="0" t="n">
        <f aca="true">CRITBINOM(MAX(0,J384-K384),1-Coefficients!$B$32,RAND())</f>
        <v>0</v>
      </c>
      <c r="N384" s="0" t="n">
        <f aca="true">CRITBINOM(MAX(0,$C384-J384),MIN(0.6,Matchup!$C$40*SQRT($B384)/(1-MIN(0.75,Matchup!$C$39*$B384))),RAND())</f>
        <v>3</v>
      </c>
      <c r="O384" s="0" t="n">
        <f aca="false">6*J384+(J384-K384-M384)+2*L384+3*N384</f>
        <v>16</v>
      </c>
      <c r="P384" s="0" t="n">
        <f aca="true">RAND()</f>
        <v>0.750975699550572</v>
      </c>
      <c r="Q384" s="0" t="n">
        <f aca="true">RAND()</f>
        <v>0.443554852722125</v>
      </c>
      <c r="R384" s="0" t="n">
        <f aca="false">IF($I384&lt;&gt;$O384,0,IF(P384&lt;Matchup!$B$39,7,IF(P384&lt;Matchup!$B$39+Matchup!$B$40,3,0)))</f>
        <v>0</v>
      </c>
      <c r="S384" s="0" t="n">
        <f aca="false">IF($I384&lt;&gt;$O384,0,IF(Q384&lt;Matchup!$C$39,7,IF(Q384&lt;Matchup!$C$39+Matchup!$C$40,3,0)))</f>
        <v>0</v>
      </c>
      <c r="T384" s="0" t="n">
        <f aca="false">I384+R384</f>
        <v>28</v>
      </c>
      <c r="U384" s="0" t="n">
        <f aca="false">O384+S384</f>
        <v>16</v>
      </c>
      <c r="V384" s="0" t="n">
        <f aca="false">T384-U384</f>
        <v>12</v>
      </c>
      <c r="W384" s="0" t="n">
        <f aca="false">T384+U384</f>
        <v>44</v>
      </c>
    </row>
    <row r="385" customFormat="false" ht="15" hidden="false" customHeight="false" outlineLevel="0" collapsed="false">
      <c r="A385" s="0" t="n">
        <v>382</v>
      </c>
      <c r="B385" s="0" t="n">
        <f aca="true">NORMINV(RAND(),1,Coefficients!$B$22)</f>
        <v>1.03019324668676</v>
      </c>
      <c r="C385" s="0" t="n">
        <f aca="true">MEDIAN(8,16,ROUND(NORMINV(RAND(),Coefficients!$B$20,Coefficients!$B$21),0))</f>
        <v>10</v>
      </c>
      <c r="D385" s="0" t="n">
        <f aca="true">CRITBINOM($C385,MIN(0.75,Matchup!$B$39*$B385),RAND())</f>
        <v>3</v>
      </c>
      <c r="E385" s="0" t="n">
        <f aca="true">CRITBINOM(D385,Coefficients!$B$30,RAND())</f>
        <v>2</v>
      </c>
      <c r="F385" s="0" t="n">
        <f aca="true">CRITBINOM(E385,Coefficients!$B$31,RAND())</f>
        <v>0</v>
      </c>
      <c r="G385" s="0" t="n">
        <f aca="true">CRITBINOM(MAX(0,D385-E385),1-Coefficients!$B$32,RAND())</f>
        <v>0</v>
      </c>
      <c r="H385" s="0" t="n">
        <f aca="true">CRITBINOM(MAX(0,$C385-D385),MIN(0.6,Matchup!$B$40*SQRT($B385)/(1-MIN(0.75,Matchup!$B$39*$B385))),RAND())</f>
        <v>0</v>
      </c>
      <c r="I385" s="0" t="n">
        <f aca="false">6*D385+(D385-E385-G385)+2*F385+3*H385</f>
        <v>19</v>
      </c>
      <c r="J385" s="0" t="n">
        <f aca="true">CRITBINOM($C385,MIN(0.75,Matchup!$C$39*$B385),RAND())</f>
        <v>3</v>
      </c>
      <c r="K385" s="0" t="n">
        <f aca="true">CRITBINOM(J385,Coefficients!$B$30,RAND())</f>
        <v>1</v>
      </c>
      <c r="L385" s="0" t="n">
        <f aca="true">CRITBINOM(K385,Coefficients!$B$31,RAND())</f>
        <v>0</v>
      </c>
      <c r="M385" s="0" t="n">
        <f aca="true">CRITBINOM(MAX(0,J385-K385),1-Coefficients!$B$32,RAND())</f>
        <v>0</v>
      </c>
      <c r="N385" s="0" t="n">
        <f aca="true">CRITBINOM(MAX(0,$C385-J385),MIN(0.6,Matchup!$C$40*SQRT($B385)/(1-MIN(0.75,Matchup!$C$39*$B385))),RAND())</f>
        <v>0</v>
      </c>
      <c r="O385" s="0" t="n">
        <f aca="false">6*J385+(J385-K385-M385)+2*L385+3*N385</f>
        <v>20</v>
      </c>
      <c r="P385" s="0" t="n">
        <f aca="true">RAND()</f>
        <v>0.217199496588503</v>
      </c>
      <c r="Q385" s="0" t="n">
        <f aca="true">RAND()</f>
        <v>0.233306023346818</v>
      </c>
      <c r="R385" s="0" t="n">
        <f aca="false">IF($I385&lt;&gt;$O385,0,IF(P385&lt;Matchup!$B$39,7,IF(P385&lt;Matchup!$B$39+Matchup!$B$40,3,0)))</f>
        <v>0</v>
      </c>
      <c r="S385" s="0" t="n">
        <f aca="false">IF($I385&lt;&gt;$O385,0,IF(Q385&lt;Matchup!$C$39,7,IF(Q385&lt;Matchup!$C$39+Matchup!$C$40,3,0)))</f>
        <v>0</v>
      </c>
      <c r="T385" s="0" t="n">
        <f aca="false">I385+R385</f>
        <v>19</v>
      </c>
      <c r="U385" s="0" t="n">
        <f aca="false">O385+S385</f>
        <v>20</v>
      </c>
      <c r="V385" s="0" t="n">
        <f aca="false">T385-U385</f>
        <v>-1</v>
      </c>
      <c r="W385" s="0" t="n">
        <f aca="false">T385+U385</f>
        <v>39</v>
      </c>
    </row>
    <row r="386" customFormat="false" ht="15" hidden="false" customHeight="false" outlineLevel="0" collapsed="false">
      <c r="A386" s="0" t="n">
        <v>383</v>
      </c>
      <c r="B386" s="0" t="n">
        <f aca="true">NORMINV(RAND(),1,Coefficients!$B$22)</f>
        <v>0.997495145563078</v>
      </c>
      <c r="C386" s="0" t="n">
        <f aca="true">MEDIAN(8,16,ROUND(NORMINV(RAND(),Coefficients!$B$20,Coefficients!$B$21),0))</f>
        <v>11</v>
      </c>
      <c r="D386" s="0" t="n">
        <f aca="true">CRITBINOM($C386,MIN(0.75,Matchup!$B$39*$B386),RAND())</f>
        <v>1</v>
      </c>
      <c r="E386" s="0" t="n">
        <f aca="true">CRITBINOM(D386,Coefficients!$B$30,RAND())</f>
        <v>0</v>
      </c>
      <c r="F386" s="0" t="n">
        <f aca="true">CRITBINOM(E386,Coefficients!$B$31,RAND())</f>
        <v>0</v>
      </c>
      <c r="G386" s="0" t="n">
        <f aca="true">CRITBINOM(MAX(0,D386-E386),1-Coefficients!$B$32,RAND())</f>
        <v>0</v>
      </c>
      <c r="H386" s="0" t="n">
        <f aca="true">CRITBINOM(MAX(0,$C386-D386),MIN(0.6,Matchup!$B$40*SQRT($B386)/(1-MIN(0.75,Matchup!$B$39*$B386))),RAND())</f>
        <v>2</v>
      </c>
      <c r="I386" s="0" t="n">
        <f aca="false">6*D386+(D386-E386-G386)+2*F386+3*H386</f>
        <v>13</v>
      </c>
      <c r="J386" s="0" t="n">
        <f aca="true">CRITBINOM($C386,MIN(0.75,Matchup!$C$39*$B386),RAND())</f>
        <v>2</v>
      </c>
      <c r="K386" s="0" t="n">
        <f aca="true">CRITBINOM(J386,Coefficients!$B$30,RAND())</f>
        <v>0</v>
      </c>
      <c r="L386" s="0" t="n">
        <f aca="true">CRITBINOM(K386,Coefficients!$B$31,RAND())</f>
        <v>0</v>
      </c>
      <c r="M386" s="0" t="n">
        <f aca="true">CRITBINOM(MAX(0,J386-K386),1-Coefficients!$B$32,RAND())</f>
        <v>0</v>
      </c>
      <c r="N386" s="0" t="n">
        <f aca="true">CRITBINOM(MAX(0,$C386-J386),MIN(0.6,Matchup!$C$40*SQRT($B386)/(1-MIN(0.75,Matchup!$C$39*$B386))),RAND())</f>
        <v>1</v>
      </c>
      <c r="O386" s="0" t="n">
        <f aca="false">6*J386+(J386-K386-M386)+2*L386+3*N386</f>
        <v>17</v>
      </c>
      <c r="P386" s="0" t="n">
        <f aca="true">RAND()</f>
        <v>0.00504011839980318</v>
      </c>
      <c r="Q386" s="0" t="n">
        <f aca="true">RAND()</f>
        <v>0.161361300829309</v>
      </c>
      <c r="R386" s="0" t="n">
        <f aca="false">IF($I386&lt;&gt;$O386,0,IF(P386&lt;Matchup!$B$39,7,IF(P386&lt;Matchup!$B$39+Matchup!$B$40,3,0)))</f>
        <v>0</v>
      </c>
      <c r="S386" s="0" t="n">
        <f aca="false">IF($I386&lt;&gt;$O386,0,IF(Q386&lt;Matchup!$C$39,7,IF(Q386&lt;Matchup!$C$39+Matchup!$C$40,3,0)))</f>
        <v>0</v>
      </c>
      <c r="T386" s="0" t="n">
        <f aca="false">I386+R386</f>
        <v>13</v>
      </c>
      <c r="U386" s="0" t="n">
        <f aca="false">O386+S386</f>
        <v>17</v>
      </c>
      <c r="V386" s="0" t="n">
        <f aca="false">T386-U386</f>
        <v>-4</v>
      </c>
      <c r="W386" s="0" t="n">
        <f aca="false">T386+U386</f>
        <v>30</v>
      </c>
    </row>
    <row r="387" customFormat="false" ht="15" hidden="false" customHeight="false" outlineLevel="0" collapsed="false">
      <c r="A387" s="0" t="n">
        <v>384</v>
      </c>
      <c r="B387" s="0" t="n">
        <f aca="true">NORMINV(RAND(),1,Coefficients!$B$22)</f>
        <v>0.979042278006758</v>
      </c>
      <c r="C387" s="0" t="n">
        <f aca="true">MEDIAN(8,16,ROUND(NORMINV(RAND(),Coefficients!$B$20,Coefficients!$B$21),0))</f>
        <v>10</v>
      </c>
      <c r="D387" s="0" t="n">
        <f aca="true">CRITBINOM($C387,MIN(0.75,Matchup!$B$39*$B387),RAND())</f>
        <v>4</v>
      </c>
      <c r="E387" s="0" t="n">
        <f aca="true">CRITBINOM(D387,Coefficients!$B$30,RAND())</f>
        <v>0</v>
      </c>
      <c r="F387" s="0" t="n">
        <f aca="true">CRITBINOM(E387,Coefficients!$B$31,RAND())</f>
        <v>0</v>
      </c>
      <c r="G387" s="0" t="n">
        <f aca="true">CRITBINOM(MAX(0,D387-E387),1-Coefficients!$B$32,RAND())</f>
        <v>0</v>
      </c>
      <c r="H387" s="0" t="n">
        <f aca="true">CRITBINOM(MAX(0,$C387-D387),MIN(0.6,Matchup!$B$40*SQRT($B387)/(1-MIN(0.75,Matchup!$B$39*$B387))),RAND())</f>
        <v>1</v>
      </c>
      <c r="I387" s="0" t="n">
        <f aca="false">6*D387+(D387-E387-G387)+2*F387+3*H387</f>
        <v>31</v>
      </c>
      <c r="J387" s="0" t="n">
        <f aca="true">CRITBINOM($C387,MIN(0.75,Matchup!$C$39*$B387),RAND())</f>
        <v>5</v>
      </c>
      <c r="K387" s="0" t="n">
        <f aca="true">CRITBINOM(J387,Coefficients!$B$30,RAND())</f>
        <v>0</v>
      </c>
      <c r="L387" s="0" t="n">
        <f aca="true">CRITBINOM(K387,Coefficients!$B$31,RAND())</f>
        <v>0</v>
      </c>
      <c r="M387" s="0" t="n">
        <f aca="true">CRITBINOM(MAX(0,J387-K387),1-Coefficients!$B$32,RAND())</f>
        <v>0</v>
      </c>
      <c r="N387" s="0" t="n">
        <f aca="true">CRITBINOM(MAX(0,$C387-J387),MIN(0.6,Matchup!$C$40*SQRT($B387)/(1-MIN(0.75,Matchup!$C$39*$B387))),RAND())</f>
        <v>0</v>
      </c>
      <c r="O387" s="0" t="n">
        <f aca="false">6*J387+(J387-K387-M387)+2*L387+3*N387</f>
        <v>35</v>
      </c>
      <c r="P387" s="0" t="n">
        <f aca="true">RAND()</f>
        <v>0.620082304165737</v>
      </c>
      <c r="Q387" s="0" t="n">
        <f aca="true">RAND()</f>
        <v>0.489888208475919</v>
      </c>
      <c r="R387" s="0" t="n">
        <f aca="false">IF($I387&lt;&gt;$O387,0,IF(P387&lt;Matchup!$B$39,7,IF(P387&lt;Matchup!$B$39+Matchup!$B$40,3,0)))</f>
        <v>0</v>
      </c>
      <c r="S387" s="0" t="n">
        <f aca="false">IF($I387&lt;&gt;$O387,0,IF(Q387&lt;Matchup!$C$39,7,IF(Q387&lt;Matchup!$C$39+Matchup!$C$40,3,0)))</f>
        <v>0</v>
      </c>
      <c r="T387" s="0" t="n">
        <f aca="false">I387+R387</f>
        <v>31</v>
      </c>
      <c r="U387" s="0" t="n">
        <f aca="false">O387+S387</f>
        <v>35</v>
      </c>
      <c r="V387" s="0" t="n">
        <f aca="false">T387-U387</f>
        <v>-4</v>
      </c>
      <c r="W387" s="0" t="n">
        <f aca="false">T387+U387</f>
        <v>66</v>
      </c>
    </row>
    <row r="388" customFormat="false" ht="15" hidden="false" customHeight="false" outlineLevel="0" collapsed="false">
      <c r="A388" s="0" t="n">
        <v>385</v>
      </c>
      <c r="B388" s="0" t="n">
        <f aca="true">NORMINV(RAND(),1,Coefficients!$B$22)</f>
        <v>1.04811017036572</v>
      </c>
      <c r="C388" s="0" t="n">
        <f aca="true">MEDIAN(8,16,ROUND(NORMINV(RAND(),Coefficients!$B$20,Coefficients!$B$21),0))</f>
        <v>11</v>
      </c>
      <c r="D388" s="0" t="n">
        <f aca="true">CRITBINOM($C388,MIN(0.75,Matchup!$B$39*$B388),RAND())</f>
        <v>5</v>
      </c>
      <c r="E388" s="0" t="n">
        <f aca="true">CRITBINOM(D388,Coefficients!$B$30,RAND())</f>
        <v>0</v>
      </c>
      <c r="F388" s="0" t="n">
        <f aca="true">CRITBINOM(E388,Coefficients!$B$31,RAND())</f>
        <v>0</v>
      </c>
      <c r="G388" s="0" t="n">
        <f aca="true">CRITBINOM(MAX(0,D388-E388),1-Coefficients!$B$32,RAND())</f>
        <v>0</v>
      </c>
      <c r="H388" s="0" t="n">
        <f aca="true">CRITBINOM(MAX(0,$C388-D388),MIN(0.6,Matchup!$B$40*SQRT($B388)/(1-MIN(0.75,Matchup!$B$39*$B388))),RAND())</f>
        <v>1</v>
      </c>
      <c r="I388" s="0" t="n">
        <f aca="false">6*D388+(D388-E388-G388)+2*F388+3*H388</f>
        <v>38</v>
      </c>
      <c r="J388" s="0" t="n">
        <f aca="true">CRITBINOM($C388,MIN(0.75,Matchup!$C$39*$B388),RAND())</f>
        <v>1</v>
      </c>
      <c r="K388" s="0" t="n">
        <f aca="true">CRITBINOM(J388,Coefficients!$B$30,RAND())</f>
        <v>0</v>
      </c>
      <c r="L388" s="0" t="n">
        <f aca="true">CRITBINOM(K388,Coefficients!$B$31,RAND())</f>
        <v>0</v>
      </c>
      <c r="M388" s="0" t="n">
        <f aca="true">CRITBINOM(MAX(0,J388-K388),1-Coefficients!$B$32,RAND())</f>
        <v>0</v>
      </c>
      <c r="N388" s="0" t="n">
        <f aca="true">CRITBINOM(MAX(0,$C388-J388),MIN(0.6,Matchup!$C$40*SQRT($B388)/(1-MIN(0.75,Matchup!$C$39*$B388))),RAND())</f>
        <v>1</v>
      </c>
      <c r="O388" s="0" t="n">
        <f aca="false">6*J388+(J388-K388-M388)+2*L388+3*N388</f>
        <v>10</v>
      </c>
      <c r="P388" s="0" t="n">
        <f aca="true">RAND()</f>
        <v>0.575862761135945</v>
      </c>
      <c r="Q388" s="0" t="n">
        <f aca="true">RAND()</f>
        <v>0.326272505675553</v>
      </c>
      <c r="R388" s="0" t="n">
        <f aca="false">IF($I388&lt;&gt;$O388,0,IF(P388&lt;Matchup!$B$39,7,IF(P388&lt;Matchup!$B$39+Matchup!$B$40,3,0)))</f>
        <v>0</v>
      </c>
      <c r="S388" s="0" t="n">
        <f aca="false">IF($I388&lt;&gt;$O388,0,IF(Q388&lt;Matchup!$C$39,7,IF(Q388&lt;Matchup!$C$39+Matchup!$C$40,3,0)))</f>
        <v>0</v>
      </c>
      <c r="T388" s="0" t="n">
        <f aca="false">I388+R388</f>
        <v>38</v>
      </c>
      <c r="U388" s="0" t="n">
        <f aca="false">O388+S388</f>
        <v>10</v>
      </c>
      <c r="V388" s="0" t="n">
        <f aca="false">T388-U388</f>
        <v>28</v>
      </c>
      <c r="W388" s="0" t="n">
        <f aca="false">T388+U388</f>
        <v>48</v>
      </c>
    </row>
    <row r="389" customFormat="false" ht="15" hidden="false" customHeight="false" outlineLevel="0" collapsed="false">
      <c r="A389" s="0" t="n">
        <v>386</v>
      </c>
      <c r="B389" s="0" t="n">
        <f aca="true">NORMINV(RAND(),1,Coefficients!$B$22)</f>
        <v>1.01890248443121</v>
      </c>
      <c r="C389" s="0" t="n">
        <f aca="true">MEDIAN(8,16,ROUND(NORMINV(RAND(),Coefficients!$B$20,Coefficients!$B$21),0))</f>
        <v>11</v>
      </c>
      <c r="D389" s="0" t="n">
        <f aca="true">CRITBINOM($C389,MIN(0.75,Matchup!$B$39*$B389),RAND())</f>
        <v>4</v>
      </c>
      <c r="E389" s="0" t="n">
        <f aca="true">CRITBINOM(D389,Coefficients!$B$30,RAND())</f>
        <v>1</v>
      </c>
      <c r="F389" s="0" t="n">
        <f aca="true">CRITBINOM(E389,Coefficients!$B$31,RAND())</f>
        <v>1</v>
      </c>
      <c r="G389" s="0" t="n">
        <f aca="true">CRITBINOM(MAX(0,D389-E389),1-Coefficients!$B$32,RAND())</f>
        <v>1</v>
      </c>
      <c r="H389" s="0" t="n">
        <f aca="true">CRITBINOM(MAX(0,$C389-D389),MIN(0.6,Matchup!$B$40*SQRT($B389)/(1-MIN(0.75,Matchup!$B$39*$B389))),RAND())</f>
        <v>2</v>
      </c>
      <c r="I389" s="0" t="n">
        <f aca="false">6*D389+(D389-E389-G389)+2*F389+3*H389</f>
        <v>34</v>
      </c>
      <c r="J389" s="0" t="n">
        <f aca="true">CRITBINOM($C389,MIN(0.75,Matchup!$C$39*$B389),RAND())</f>
        <v>1</v>
      </c>
      <c r="K389" s="0" t="n">
        <f aca="true">CRITBINOM(J389,Coefficients!$B$30,RAND())</f>
        <v>0</v>
      </c>
      <c r="L389" s="0" t="n">
        <f aca="true">CRITBINOM(K389,Coefficients!$B$31,RAND())</f>
        <v>0</v>
      </c>
      <c r="M389" s="0" t="n">
        <f aca="true">CRITBINOM(MAX(0,J389-K389),1-Coefficients!$B$32,RAND())</f>
        <v>0</v>
      </c>
      <c r="N389" s="0" t="n">
        <f aca="true">CRITBINOM(MAX(0,$C389-J389),MIN(0.6,Matchup!$C$40*SQRT($B389)/(1-MIN(0.75,Matchup!$C$39*$B389))),RAND())</f>
        <v>1</v>
      </c>
      <c r="O389" s="0" t="n">
        <f aca="false">6*J389+(J389-K389-M389)+2*L389+3*N389</f>
        <v>10</v>
      </c>
      <c r="P389" s="0" t="n">
        <f aca="true">RAND()</f>
        <v>0.334429937570366</v>
      </c>
      <c r="Q389" s="0" t="n">
        <f aca="true">RAND()</f>
        <v>0.831909090630164</v>
      </c>
      <c r="R389" s="0" t="n">
        <f aca="false">IF($I389&lt;&gt;$O389,0,IF(P389&lt;Matchup!$B$39,7,IF(P389&lt;Matchup!$B$39+Matchup!$B$40,3,0)))</f>
        <v>0</v>
      </c>
      <c r="S389" s="0" t="n">
        <f aca="false">IF($I389&lt;&gt;$O389,0,IF(Q389&lt;Matchup!$C$39,7,IF(Q389&lt;Matchup!$C$39+Matchup!$C$40,3,0)))</f>
        <v>0</v>
      </c>
      <c r="T389" s="0" t="n">
        <f aca="false">I389+R389</f>
        <v>34</v>
      </c>
      <c r="U389" s="0" t="n">
        <f aca="false">O389+S389</f>
        <v>10</v>
      </c>
      <c r="V389" s="0" t="n">
        <f aca="false">T389-U389</f>
        <v>24</v>
      </c>
      <c r="W389" s="0" t="n">
        <f aca="false">T389+U389</f>
        <v>44</v>
      </c>
    </row>
    <row r="390" customFormat="false" ht="15" hidden="false" customHeight="false" outlineLevel="0" collapsed="false">
      <c r="A390" s="0" t="n">
        <v>387</v>
      </c>
      <c r="B390" s="0" t="n">
        <f aca="true">NORMINV(RAND(),1,Coefficients!$B$22)</f>
        <v>1.02287563183623</v>
      </c>
      <c r="C390" s="0" t="n">
        <f aca="true">MEDIAN(8,16,ROUND(NORMINV(RAND(),Coefficients!$B$20,Coefficients!$B$21),0))</f>
        <v>13</v>
      </c>
      <c r="D390" s="0" t="n">
        <f aca="true">CRITBINOM($C390,MIN(0.75,Matchup!$B$39*$B390),RAND())</f>
        <v>3</v>
      </c>
      <c r="E390" s="0" t="n">
        <f aca="true">CRITBINOM(D390,Coefficients!$B$30,RAND())</f>
        <v>0</v>
      </c>
      <c r="F390" s="0" t="n">
        <f aca="true">CRITBINOM(E390,Coefficients!$B$31,RAND())</f>
        <v>0</v>
      </c>
      <c r="G390" s="0" t="n">
        <f aca="true">CRITBINOM(MAX(0,D390-E390),1-Coefficients!$B$32,RAND())</f>
        <v>0</v>
      </c>
      <c r="H390" s="0" t="n">
        <f aca="true">CRITBINOM(MAX(0,$C390-D390),MIN(0.6,Matchup!$B$40*SQRT($B390)/(1-MIN(0.75,Matchup!$B$39*$B390))),RAND())</f>
        <v>4</v>
      </c>
      <c r="I390" s="0" t="n">
        <f aca="false">6*D390+(D390-E390-G390)+2*F390+3*H390</f>
        <v>33</v>
      </c>
      <c r="J390" s="0" t="n">
        <f aca="true">CRITBINOM($C390,MIN(0.75,Matchup!$C$39*$B390),RAND())</f>
        <v>3</v>
      </c>
      <c r="K390" s="0" t="n">
        <f aca="true">CRITBINOM(J390,Coefficients!$B$30,RAND())</f>
        <v>0</v>
      </c>
      <c r="L390" s="0" t="n">
        <f aca="true">CRITBINOM(K390,Coefficients!$B$31,RAND())</f>
        <v>0</v>
      </c>
      <c r="M390" s="0" t="n">
        <f aca="true">CRITBINOM(MAX(0,J390-K390),1-Coefficients!$B$32,RAND())</f>
        <v>1</v>
      </c>
      <c r="N390" s="0" t="n">
        <f aca="true">CRITBINOM(MAX(0,$C390-J390),MIN(0.6,Matchup!$C$40*SQRT($B390)/(1-MIN(0.75,Matchup!$C$39*$B390))),RAND())</f>
        <v>2</v>
      </c>
      <c r="O390" s="0" t="n">
        <f aca="false">6*J390+(J390-K390-M390)+2*L390+3*N390</f>
        <v>26</v>
      </c>
      <c r="P390" s="0" t="n">
        <f aca="true">RAND()</f>
        <v>0.11851664755976</v>
      </c>
      <c r="Q390" s="0" t="n">
        <f aca="true">RAND()</f>
        <v>0.758707196409393</v>
      </c>
      <c r="R390" s="0" t="n">
        <f aca="false">IF($I390&lt;&gt;$O390,0,IF(P390&lt;Matchup!$B$39,7,IF(P390&lt;Matchup!$B$39+Matchup!$B$40,3,0)))</f>
        <v>0</v>
      </c>
      <c r="S390" s="0" t="n">
        <f aca="false">IF($I390&lt;&gt;$O390,0,IF(Q390&lt;Matchup!$C$39,7,IF(Q390&lt;Matchup!$C$39+Matchup!$C$40,3,0)))</f>
        <v>0</v>
      </c>
      <c r="T390" s="0" t="n">
        <f aca="false">I390+R390</f>
        <v>33</v>
      </c>
      <c r="U390" s="0" t="n">
        <f aca="false">O390+S390</f>
        <v>26</v>
      </c>
      <c r="V390" s="0" t="n">
        <f aca="false">T390-U390</f>
        <v>7</v>
      </c>
      <c r="W390" s="0" t="n">
        <f aca="false">T390+U390</f>
        <v>59</v>
      </c>
    </row>
    <row r="391" customFormat="false" ht="15" hidden="false" customHeight="false" outlineLevel="0" collapsed="false">
      <c r="A391" s="0" t="n">
        <v>388</v>
      </c>
      <c r="B391" s="0" t="n">
        <f aca="true">NORMINV(RAND(),1,Coefficients!$B$22)</f>
        <v>1.0290897305887</v>
      </c>
      <c r="C391" s="0" t="n">
        <f aca="true">MEDIAN(8,16,ROUND(NORMINV(RAND(),Coefficients!$B$20,Coefficients!$B$21),0))</f>
        <v>11</v>
      </c>
      <c r="D391" s="0" t="n">
        <f aca="true">CRITBINOM($C391,MIN(0.75,Matchup!$B$39*$B391),RAND())</f>
        <v>2</v>
      </c>
      <c r="E391" s="0" t="n">
        <f aca="true">CRITBINOM(D391,Coefficients!$B$30,RAND())</f>
        <v>0</v>
      </c>
      <c r="F391" s="0" t="n">
        <f aca="true">CRITBINOM(E391,Coefficients!$B$31,RAND())</f>
        <v>0</v>
      </c>
      <c r="G391" s="0" t="n">
        <f aca="true">CRITBINOM(MAX(0,D391-E391),1-Coefficients!$B$32,RAND())</f>
        <v>1</v>
      </c>
      <c r="H391" s="0" t="n">
        <f aca="true">CRITBINOM(MAX(0,$C391-D391),MIN(0.6,Matchup!$B$40*SQRT($B391)/(1-MIN(0.75,Matchup!$B$39*$B391))),RAND())</f>
        <v>0</v>
      </c>
      <c r="I391" s="0" t="n">
        <f aca="false">6*D391+(D391-E391-G391)+2*F391+3*H391</f>
        <v>13</v>
      </c>
      <c r="J391" s="0" t="n">
        <f aca="true">CRITBINOM($C391,MIN(0.75,Matchup!$C$39*$B391),RAND())</f>
        <v>2</v>
      </c>
      <c r="K391" s="0" t="n">
        <f aca="true">CRITBINOM(J391,Coefficients!$B$30,RAND())</f>
        <v>0</v>
      </c>
      <c r="L391" s="0" t="n">
        <f aca="true">CRITBINOM(K391,Coefficients!$B$31,RAND())</f>
        <v>0</v>
      </c>
      <c r="M391" s="0" t="n">
        <f aca="true">CRITBINOM(MAX(0,J391-K391),1-Coefficients!$B$32,RAND())</f>
        <v>0</v>
      </c>
      <c r="N391" s="0" t="n">
        <f aca="true">CRITBINOM(MAX(0,$C391-J391),MIN(0.6,Matchup!$C$40*SQRT($B391)/(1-MIN(0.75,Matchup!$C$39*$B391))),RAND())</f>
        <v>0</v>
      </c>
      <c r="O391" s="0" t="n">
        <f aca="false">6*J391+(J391-K391-M391)+2*L391+3*N391</f>
        <v>14</v>
      </c>
      <c r="P391" s="0" t="n">
        <f aca="true">RAND()</f>
        <v>0.150947980152429</v>
      </c>
      <c r="Q391" s="0" t="n">
        <f aca="true">RAND()</f>
        <v>0.74302635512178</v>
      </c>
      <c r="R391" s="0" t="n">
        <f aca="false">IF($I391&lt;&gt;$O391,0,IF(P391&lt;Matchup!$B$39,7,IF(P391&lt;Matchup!$B$39+Matchup!$B$40,3,0)))</f>
        <v>0</v>
      </c>
      <c r="S391" s="0" t="n">
        <f aca="false">IF($I391&lt;&gt;$O391,0,IF(Q391&lt;Matchup!$C$39,7,IF(Q391&lt;Matchup!$C$39+Matchup!$C$40,3,0)))</f>
        <v>0</v>
      </c>
      <c r="T391" s="0" t="n">
        <f aca="false">I391+R391</f>
        <v>13</v>
      </c>
      <c r="U391" s="0" t="n">
        <f aca="false">O391+S391</f>
        <v>14</v>
      </c>
      <c r="V391" s="0" t="n">
        <f aca="false">T391-U391</f>
        <v>-1</v>
      </c>
      <c r="W391" s="0" t="n">
        <f aca="false">T391+U391</f>
        <v>27</v>
      </c>
    </row>
    <row r="392" customFormat="false" ht="15" hidden="false" customHeight="false" outlineLevel="0" collapsed="false">
      <c r="A392" s="0" t="n">
        <v>389</v>
      </c>
      <c r="B392" s="0" t="n">
        <f aca="true">NORMINV(RAND(),1,Coefficients!$B$22)</f>
        <v>0.995423741159197</v>
      </c>
      <c r="C392" s="0" t="n">
        <f aca="true">MEDIAN(8,16,ROUND(NORMINV(RAND(),Coefficients!$B$20,Coefficients!$B$21),0))</f>
        <v>10</v>
      </c>
      <c r="D392" s="0" t="n">
        <f aca="true">CRITBINOM($C392,MIN(0.75,Matchup!$B$39*$B392),RAND())</f>
        <v>3</v>
      </c>
      <c r="E392" s="0" t="n">
        <f aca="true">CRITBINOM(D392,Coefficients!$B$30,RAND())</f>
        <v>0</v>
      </c>
      <c r="F392" s="0" t="n">
        <f aca="true">CRITBINOM(E392,Coefficients!$B$31,RAND())</f>
        <v>0</v>
      </c>
      <c r="G392" s="0" t="n">
        <f aca="true">CRITBINOM(MAX(0,D392-E392),1-Coefficients!$B$32,RAND())</f>
        <v>0</v>
      </c>
      <c r="H392" s="0" t="n">
        <f aca="true">CRITBINOM(MAX(0,$C392-D392),MIN(0.6,Matchup!$B$40*SQRT($B392)/(1-MIN(0.75,Matchup!$B$39*$B392))),RAND())</f>
        <v>3</v>
      </c>
      <c r="I392" s="0" t="n">
        <f aca="false">6*D392+(D392-E392-G392)+2*F392+3*H392</f>
        <v>30</v>
      </c>
      <c r="J392" s="0" t="n">
        <f aca="true">CRITBINOM($C392,MIN(0.75,Matchup!$C$39*$B392),RAND())</f>
        <v>3</v>
      </c>
      <c r="K392" s="0" t="n">
        <f aca="true">CRITBINOM(J392,Coefficients!$B$30,RAND())</f>
        <v>0</v>
      </c>
      <c r="L392" s="0" t="n">
        <f aca="true">CRITBINOM(K392,Coefficients!$B$31,RAND())</f>
        <v>0</v>
      </c>
      <c r="M392" s="0" t="n">
        <f aca="true">CRITBINOM(MAX(0,J392-K392),1-Coefficients!$B$32,RAND())</f>
        <v>0</v>
      </c>
      <c r="N392" s="0" t="n">
        <f aca="true">CRITBINOM(MAX(0,$C392-J392),MIN(0.6,Matchup!$C$40*SQRT($B392)/(1-MIN(0.75,Matchup!$C$39*$B392))),RAND())</f>
        <v>0</v>
      </c>
      <c r="O392" s="0" t="n">
        <f aca="false">6*J392+(J392-K392-M392)+2*L392+3*N392</f>
        <v>21</v>
      </c>
      <c r="P392" s="0" t="n">
        <f aca="true">RAND()</f>
        <v>0.441257552886725</v>
      </c>
      <c r="Q392" s="0" t="n">
        <f aca="true">RAND()</f>
        <v>0.779476493218957</v>
      </c>
      <c r="R392" s="0" t="n">
        <f aca="false">IF($I392&lt;&gt;$O392,0,IF(P392&lt;Matchup!$B$39,7,IF(P392&lt;Matchup!$B$39+Matchup!$B$40,3,0)))</f>
        <v>0</v>
      </c>
      <c r="S392" s="0" t="n">
        <f aca="false">IF($I392&lt;&gt;$O392,0,IF(Q392&lt;Matchup!$C$39,7,IF(Q392&lt;Matchup!$C$39+Matchup!$C$40,3,0)))</f>
        <v>0</v>
      </c>
      <c r="T392" s="0" t="n">
        <f aca="false">I392+R392</f>
        <v>30</v>
      </c>
      <c r="U392" s="0" t="n">
        <f aca="false">O392+S392</f>
        <v>21</v>
      </c>
      <c r="V392" s="0" t="n">
        <f aca="false">T392-U392</f>
        <v>9</v>
      </c>
      <c r="W392" s="0" t="n">
        <f aca="false">T392+U392</f>
        <v>51</v>
      </c>
    </row>
    <row r="393" customFormat="false" ht="15" hidden="false" customHeight="false" outlineLevel="0" collapsed="false">
      <c r="A393" s="0" t="n">
        <v>390</v>
      </c>
      <c r="B393" s="0" t="n">
        <f aca="true">NORMINV(RAND(),1,Coefficients!$B$22)</f>
        <v>1.00885476604504</v>
      </c>
      <c r="C393" s="0" t="n">
        <f aca="true">MEDIAN(8,16,ROUND(NORMINV(RAND(),Coefficients!$B$20,Coefficients!$B$21),0))</f>
        <v>11</v>
      </c>
      <c r="D393" s="0" t="n">
        <f aca="true">CRITBINOM($C393,MIN(0.75,Matchup!$B$39*$B393),RAND())</f>
        <v>2</v>
      </c>
      <c r="E393" s="0" t="n">
        <f aca="true">CRITBINOM(D393,Coefficients!$B$30,RAND())</f>
        <v>0</v>
      </c>
      <c r="F393" s="0" t="n">
        <f aca="true">CRITBINOM(E393,Coefficients!$B$31,RAND())</f>
        <v>0</v>
      </c>
      <c r="G393" s="0" t="n">
        <f aca="true">CRITBINOM(MAX(0,D393-E393),1-Coefficients!$B$32,RAND())</f>
        <v>1</v>
      </c>
      <c r="H393" s="0" t="n">
        <f aca="true">CRITBINOM(MAX(0,$C393-D393),MIN(0.6,Matchup!$B$40*SQRT($B393)/(1-MIN(0.75,Matchup!$B$39*$B393))),RAND())</f>
        <v>1</v>
      </c>
      <c r="I393" s="0" t="n">
        <f aca="false">6*D393+(D393-E393-G393)+2*F393+3*H393</f>
        <v>16</v>
      </c>
      <c r="J393" s="0" t="n">
        <f aca="true">CRITBINOM($C393,MIN(0.75,Matchup!$C$39*$B393),RAND())</f>
        <v>3</v>
      </c>
      <c r="K393" s="0" t="n">
        <f aca="true">CRITBINOM(J393,Coefficients!$B$30,RAND())</f>
        <v>1</v>
      </c>
      <c r="L393" s="0" t="n">
        <f aca="true">CRITBINOM(K393,Coefficients!$B$31,RAND())</f>
        <v>1</v>
      </c>
      <c r="M393" s="0" t="n">
        <f aca="true">CRITBINOM(MAX(0,J393-K393),1-Coefficients!$B$32,RAND())</f>
        <v>0</v>
      </c>
      <c r="N393" s="0" t="n">
        <f aca="true">CRITBINOM(MAX(0,$C393-J393),MIN(0.6,Matchup!$C$40*SQRT($B393)/(1-MIN(0.75,Matchup!$C$39*$B393))),RAND())</f>
        <v>1</v>
      </c>
      <c r="O393" s="0" t="n">
        <f aca="false">6*J393+(J393-K393-M393)+2*L393+3*N393</f>
        <v>25</v>
      </c>
      <c r="P393" s="0" t="n">
        <f aca="true">RAND()</f>
        <v>0.261450329227021</v>
      </c>
      <c r="Q393" s="0" t="n">
        <f aca="true">RAND()</f>
        <v>0.830735201330886</v>
      </c>
      <c r="R393" s="0" t="n">
        <f aca="false">IF($I393&lt;&gt;$O393,0,IF(P393&lt;Matchup!$B$39,7,IF(P393&lt;Matchup!$B$39+Matchup!$B$40,3,0)))</f>
        <v>0</v>
      </c>
      <c r="S393" s="0" t="n">
        <f aca="false">IF($I393&lt;&gt;$O393,0,IF(Q393&lt;Matchup!$C$39,7,IF(Q393&lt;Matchup!$C$39+Matchup!$C$40,3,0)))</f>
        <v>0</v>
      </c>
      <c r="T393" s="0" t="n">
        <f aca="false">I393+R393</f>
        <v>16</v>
      </c>
      <c r="U393" s="0" t="n">
        <f aca="false">O393+S393</f>
        <v>25</v>
      </c>
      <c r="V393" s="0" t="n">
        <f aca="false">T393-U393</f>
        <v>-9</v>
      </c>
      <c r="W393" s="0" t="n">
        <f aca="false">T393+U393</f>
        <v>41</v>
      </c>
    </row>
    <row r="394" customFormat="false" ht="15" hidden="false" customHeight="false" outlineLevel="0" collapsed="false">
      <c r="A394" s="0" t="n">
        <v>391</v>
      </c>
      <c r="B394" s="0" t="n">
        <f aca="true">NORMINV(RAND(),1,Coefficients!$B$22)</f>
        <v>1.09919737771882</v>
      </c>
      <c r="C394" s="0" t="n">
        <f aca="true">MEDIAN(8,16,ROUND(NORMINV(RAND(),Coefficients!$B$20,Coefficients!$B$21),0))</f>
        <v>13</v>
      </c>
      <c r="D394" s="0" t="n">
        <f aca="true">CRITBINOM($C394,MIN(0.75,Matchup!$B$39*$B394),RAND())</f>
        <v>3</v>
      </c>
      <c r="E394" s="0" t="n">
        <f aca="true">CRITBINOM(D394,Coefficients!$B$30,RAND())</f>
        <v>0</v>
      </c>
      <c r="F394" s="0" t="n">
        <f aca="true">CRITBINOM(E394,Coefficients!$B$31,RAND())</f>
        <v>0</v>
      </c>
      <c r="G394" s="0" t="n">
        <f aca="true">CRITBINOM(MAX(0,D394-E394),1-Coefficients!$B$32,RAND())</f>
        <v>0</v>
      </c>
      <c r="H394" s="0" t="n">
        <f aca="true">CRITBINOM(MAX(0,$C394-D394),MIN(0.6,Matchup!$B$40*SQRT($B394)/(1-MIN(0.75,Matchup!$B$39*$B394))),RAND())</f>
        <v>3</v>
      </c>
      <c r="I394" s="0" t="n">
        <f aca="false">6*D394+(D394-E394-G394)+2*F394+3*H394</f>
        <v>30</v>
      </c>
      <c r="J394" s="0" t="n">
        <f aca="true">CRITBINOM($C394,MIN(0.75,Matchup!$C$39*$B394),RAND())</f>
        <v>3</v>
      </c>
      <c r="K394" s="0" t="n">
        <f aca="true">CRITBINOM(J394,Coefficients!$B$30,RAND())</f>
        <v>0</v>
      </c>
      <c r="L394" s="0" t="n">
        <f aca="true">CRITBINOM(K394,Coefficients!$B$31,RAND())</f>
        <v>0</v>
      </c>
      <c r="M394" s="0" t="n">
        <f aca="true">CRITBINOM(MAX(0,J394-K394),1-Coefficients!$B$32,RAND())</f>
        <v>0</v>
      </c>
      <c r="N394" s="0" t="n">
        <f aca="true">CRITBINOM(MAX(0,$C394-J394),MIN(0.6,Matchup!$C$40*SQRT($B394)/(1-MIN(0.75,Matchup!$C$39*$B394))),RAND())</f>
        <v>0</v>
      </c>
      <c r="O394" s="0" t="n">
        <f aca="false">6*J394+(J394-K394-M394)+2*L394+3*N394</f>
        <v>21</v>
      </c>
      <c r="P394" s="0" t="n">
        <f aca="true">RAND()</f>
        <v>0.0253115483963779</v>
      </c>
      <c r="Q394" s="0" t="n">
        <f aca="true">RAND()</f>
        <v>0.708394624742943</v>
      </c>
      <c r="R394" s="0" t="n">
        <f aca="false">IF($I394&lt;&gt;$O394,0,IF(P394&lt;Matchup!$B$39,7,IF(P394&lt;Matchup!$B$39+Matchup!$B$40,3,0)))</f>
        <v>0</v>
      </c>
      <c r="S394" s="0" t="n">
        <f aca="false">IF($I394&lt;&gt;$O394,0,IF(Q394&lt;Matchup!$C$39,7,IF(Q394&lt;Matchup!$C$39+Matchup!$C$40,3,0)))</f>
        <v>0</v>
      </c>
      <c r="T394" s="0" t="n">
        <f aca="false">I394+R394</f>
        <v>30</v>
      </c>
      <c r="U394" s="0" t="n">
        <f aca="false">O394+S394</f>
        <v>21</v>
      </c>
      <c r="V394" s="0" t="n">
        <f aca="false">T394-U394</f>
        <v>9</v>
      </c>
      <c r="W394" s="0" t="n">
        <f aca="false">T394+U394</f>
        <v>51</v>
      </c>
    </row>
    <row r="395" customFormat="false" ht="15" hidden="false" customHeight="false" outlineLevel="0" collapsed="false">
      <c r="A395" s="0" t="n">
        <v>392</v>
      </c>
      <c r="B395" s="0" t="n">
        <f aca="true">NORMINV(RAND(),1,Coefficients!$B$22)</f>
        <v>1.06207602553978</v>
      </c>
      <c r="C395" s="0" t="n">
        <f aca="true">MEDIAN(8,16,ROUND(NORMINV(RAND(),Coefficients!$B$20,Coefficients!$B$21),0))</f>
        <v>10</v>
      </c>
      <c r="D395" s="0" t="n">
        <f aca="true">CRITBINOM($C395,MIN(0.75,Matchup!$B$39*$B395),RAND())</f>
        <v>2</v>
      </c>
      <c r="E395" s="0" t="n">
        <f aca="true">CRITBINOM(D395,Coefficients!$B$30,RAND())</f>
        <v>0</v>
      </c>
      <c r="F395" s="0" t="n">
        <f aca="true">CRITBINOM(E395,Coefficients!$B$31,RAND())</f>
        <v>0</v>
      </c>
      <c r="G395" s="0" t="n">
        <f aca="true">CRITBINOM(MAX(0,D395-E395),1-Coefficients!$B$32,RAND())</f>
        <v>0</v>
      </c>
      <c r="H395" s="0" t="n">
        <f aca="true">CRITBINOM(MAX(0,$C395-D395),MIN(0.6,Matchup!$B$40*SQRT($B395)/(1-MIN(0.75,Matchup!$B$39*$B395))),RAND())</f>
        <v>3</v>
      </c>
      <c r="I395" s="0" t="n">
        <f aca="false">6*D395+(D395-E395-G395)+2*F395+3*H395</f>
        <v>23</v>
      </c>
      <c r="J395" s="0" t="n">
        <f aca="true">CRITBINOM($C395,MIN(0.75,Matchup!$C$39*$B395),RAND())</f>
        <v>3</v>
      </c>
      <c r="K395" s="0" t="n">
        <f aca="true">CRITBINOM(J395,Coefficients!$B$30,RAND())</f>
        <v>0</v>
      </c>
      <c r="L395" s="0" t="n">
        <f aca="true">CRITBINOM(K395,Coefficients!$B$31,RAND())</f>
        <v>0</v>
      </c>
      <c r="M395" s="0" t="n">
        <f aca="true">CRITBINOM(MAX(0,J395-K395),1-Coefficients!$B$32,RAND())</f>
        <v>1</v>
      </c>
      <c r="N395" s="0" t="n">
        <f aca="true">CRITBINOM(MAX(0,$C395-J395),MIN(0.6,Matchup!$C$40*SQRT($B395)/(1-MIN(0.75,Matchup!$C$39*$B395))),RAND())</f>
        <v>2</v>
      </c>
      <c r="O395" s="0" t="n">
        <f aca="false">6*J395+(J395-K395-M395)+2*L395+3*N395</f>
        <v>26</v>
      </c>
      <c r="P395" s="0" t="n">
        <f aca="true">RAND()</f>
        <v>0.232156194093426</v>
      </c>
      <c r="Q395" s="0" t="n">
        <f aca="true">RAND()</f>
        <v>0.363215972259545</v>
      </c>
      <c r="R395" s="0" t="n">
        <f aca="false">IF($I395&lt;&gt;$O395,0,IF(P395&lt;Matchup!$B$39,7,IF(P395&lt;Matchup!$B$39+Matchup!$B$40,3,0)))</f>
        <v>0</v>
      </c>
      <c r="S395" s="0" t="n">
        <f aca="false">IF($I395&lt;&gt;$O395,0,IF(Q395&lt;Matchup!$C$39,7,IF(Q395&lt;Matchup!$C$39+Matchup!$C$40,3,0)))</f>
        <v>0</v>
      </c>
      <c r="T395" s="0" t="n">
        <f aca="false">I395+R395</f>
        <v>23</v>
      </c>
      <c r="U395" s="0" t="n">
        <f aca="false">O395+S395</f>
        <v>26</v>
      </c>
      <c r="V395" s="0" t="n">
        <f aca="false">T395-U395</f>
        <v>-3</v>
      </c>
      <c r="W395" s="0" t="n">
        <f aca="false">T395+U395</f>
        <v>49</v>
      </c>
    </row>
    <row r="396" customFormat="false" ht="15" hidden="false" customHeight="false" outlineLevel="0" collapsed="false">
      <c r="A396" s="0" t="n">
        <v>393</v>
      </c>
      <c r="B396" s="0" t="n">
        <f aca="true">NORMINV(RAND(),1,Coefficients!$B$22)</f>
        <v>0.905154799514222</v>
      </c>
      <c r="C396" s="0" t="n">
        <f aca="true">MEDIAN(8,16,ROUND(NORMINV(RAND(),Coefficients!$B$20,Coefficients!$B$21),0))</f>
        <v>10</v>
      </c>
      <c r="D396" s="0" t="n">
        <f aca="true">CRITBINOM($C396,MIN(0.75,Matchup!$B$39*$B396),RAND())</f>
        <v>3</v>
      </c>
      <c r="E396" s="0" t="n">
        <f aca="true">CRITBINOM(D396,Coefficients!$B$30,RAND())</f>
        <v>0</v>
      </c>
      <c r="F396" s="0" t="n">
        <f aca="true">CRITBINOM(E396,Coefficients!$B$31,RAND())</f>
        <v>0</v>
      </c>
      <c r="G396" s="0" t="n">
        <f aca="true">CRITBINOM(MAX(0,D396-E396),1-Coefficients!$B$32,RAND())</f>
        <v>0</v>
      </c>
      <c r="H396" s="0" t="n">
        <f aca="true">CRITBINOM(MAX(0,$C396-D396),MIN(0.6,Matchup!$B$40*SQRT($B396)/(1-MIN(0.75,Matchup!$B$39*$B396))),RAND())</f>
        <v>3</v>
      </c>
      <c r="I396" s="0" t="n">
        <f aca="false">6*D396+(D396-E396-G396)+2*F396+3*H396</f>
        <v>30</v>
      </c>
      <c r="J396" s="0" t="n">
        <f aca="true">CRITBINOM($C396,MIN(0.75,Matchup!$C$39*$B396),RAND())</f>
        <v>1</v>
      </c>
      <c r="K396" s="0" t="n">
        <f aca="true">CRITBINOM(J396,Coefficients!$B$30,RAND())</f>
        <v>0</v>
      </c>
      <c r="L396" s="0" t="n">
        <f aca="true">CRITBINOM(K396,Coefficients!$B$31,RAND())</f>
        <v>0</v>
      </c>
      <c r="M396" s="0" t="n">
        <f aca="true">CRITBINOM(MAX(0,J396-K396),1-Coefficients!$B$32,RAND())</f>
        <v>0</v>
      </c>
      <c r="N396" s="0" t="n">
        <f aca="true">CRITBINOM(MAX(0,$C396-J396),MIN(0.6,Matchup!$C$40*SQRT($B396)/(1-MIN(0.75,Matchup!$C$39*$B396))),RAND())</f>
        <v>2</v>
      </c>
      <c r="O396" s="0" t="n">
        <f aca="false">6*J396+(J396-K396-M396)+2*L396+3*N396</f>
        <v>13</v>
      </c>
      <c r="P396" s="0" t="n">
        <f aca="true">RAND()</f>
        <v>0.633131420868094</v>
      </c>
      <c r="Q396" s="0" t="n">
        <f aca="true">RAND()</f>
        <v>0.322889564390842</v>
      </c>
      <c r="R396" s="0" t="n">
        <f aca="false">IF($I396&lt;&gt;$O396,0,IF(P396&lt;Matchup!$B$39,7,IF(P396&lt;Matchup!$B$39+Matchup!$B$40,3,0)))</f>
        <v>0</v>
      </c>
      <c r="S396" s="0" t="n">
        <f aca="false">IF($I396&lt;&gt;$O396,0,IF(Q396&lt;Matchup!$C$39,7,IF(Q396&lt;Matchup!$C$39+Matchup!$C$40,3,0)))</f>
        <v>0</v>
      </c>
      <c r="T396" s="0" t="n">
        <f aca="false">I396+R396</f>
        <v>30</v>
      </c>
      <c r="U396" s="0" t="n">
        <f aca="false">O396+S396</f>
        <v>13</v>
      </c>
      <c r="V396" s="0" t="n">
        <f aca="false">T396-U396</f>
        <v>17</v>
      </c>
      <c r="W396" s="0" t="n">
        <f aca="false">T396+U396</f>
        <v>43</v>
      </c>
    </row>
    <row r="397" customFormat="false" ht="15" hidden="false" customHeight="false" outlineLevel="0" collapsed="false">
      <c r="A397" s="0" t="n">
        <v>394</v>
      </c>
      <c r="B397" s="0" t="n">
        <f aca="true">NORMINV(RAND(),1,Coefficients!$B$22)</f>
        <v>1.01780589687781</v>
      </c>
      <c r="C397" s="0" t="n">
        <f aca="true">MEDIAN(8,16,ROUND(NORMINV(RAND(),Coefficients!$B$20,Coefficients!$B$21),0))</f>
        <v>10</v>
      </c>
      <c r="D397" s="0" t="n">
        <f aca="true">CRITBINOM($C397,MIN(0.75,Matchup!$B$39*$B397),RAND())</f>
        <v>1</v>
      </c>
      <c r="E397" s="0" t="n">
        <f aca="true">CRITBINOM(D397,Coefficients!$B$30,RAND())</f>
        <v>0</v>
      </c>
      <c r="F397" s="0" t="n">
        <f aca="true">CRITBINOM(E397,Coefficients!$B$31,RAND())</f>
        <v>0</v>
      </c>
      <c r="G397" s="0" t="n">
        <f aca="true">CRITBINOM(MAX(0,D397-E397),1-Coefficients!$B$32,RAND())</f>
        <v>0</v>
      </c>
      <c r="H397" s="0" t="n">
        <f aca="true">CRITBINOM(MAX(0,$C397-D397),MIN(0.6,Matchup!$B$40*SQRT($B397)/(1-MIN(0.75,Matchup!$B$39*$B397))),RAND())</f>
        <v>2</v>
      </c>
      <c r="I397" s="0" t="n">
        <f aca="false">6*D397+(D397-E397-G397)+2*F397+3*H397</f>
        <v>13</v>
      </c>
      <c r="J397" s="0" t="n">
        <f aca="true">CRITBINOM($C397,MIN(0.75,Matchup!$C$39*$B397),RAND())</f>
        <v>2</v>
      </c>
      <c r="K397" s="0" t="n">
        <f aca="true">CRITBINOM(J397,Coefficients!$B$30,RAND())</f>
        <v>0</v>
      </c>
      <c r="L397" s="0" t="n">
        <f aca="true">CRITBINOM(K397,Coefficients!$B$31,RAND())</f>
        <v>0</v>
      </c>
      <c r="M397" s="0" t="n">
        <f aca="true">CRITBINOM(MAX(0,J397-K397),1-Coefficients!$B$32,RAND())</f>
        <v>0</v>
      </c>
      <c r="N397" s="0" t="n">
        <f aca="true">CRITBINOM(MAX(0,$C397-J397),MIN(0.6,Matchup!$C$40*SQRT($B397)/(1-MIN(0.75,Matchup!$C$39*$B397))),RAND())</f>
        <v>0</v>
      </c>
      <c r="O397" s="0" t="n">
        <f aca="false">6*J397+(J397-K397-M397)+2*L397+3*N397</f>
        <v>14</v>
      </c>
      <c r="P397" s="0" t="n">
        <f aca="true">RAND()</f>
        <v>0.158674337817519</v>
      </c>
      <c r="Q397" s="0" t="n">
        <f aca="true">RAND()</f>
        <v>0.117757012376684</v>
      </c>
      <c r="R397" s="0" t="n">
        <f aca="false">IF($I397&lt;&gt;$O397,0,IF(P397&lt;Matchup!$B$39,7,IF(P397&lt;Matchup!$B$39+Matchup!$B$40,3,0)))</f>
        <v>0</v>
      </c>
      <c r="S397" s="0" t="n">
        <f aca="false">IF($I397&lt;&gt;$O397,0,IF(Q397&lt;Matchup!$C$39,7,IF(Q397&lt;Matchup!$C$39+Matchup!$C$40,3,0)))</f>
        <v>0</v>
      </c>
      <c r="T397" s="0" t="n">
        <f aca="false">I397+R397</f>
        <v>13</v>
      </c>
      <c r="U397" s="0" t="n">
        <f aca="false">O397+S397</f>
        <v>14</v>
      </c>
      <c r="V397" s="0" t="n">
        <f aca="false">T397-U397</f>
        <v>-1</v>
      </c>
      <c r="W397" s="0" t="n">
        <f aca="false">T397+U397</f>
        <v>27</v>
      </c>
    </row>
    <row r="398" customFormat="false" ht="15" hidden="false" customHeight="false" outlineLevel="0" collapsed="false">
      <c r="A398" s="0" t="n">
        <v>395</v>
      </c>
      <c r="B398" s="0" t="n">
        <f aca="true">NORMINV(RAND(),1,Coefficients!$B$22)</f>
        <v>0.939864617800067</v>
      </c>
      <c r="C398" s="0" t="n">
        <f aca="true">MEDIAN(8,16,ROUND(NORMINV(RAND(),Coefficients!$B$20,Coefficients!$B$21),0))</f>
        <v>12</v>
      </c>
      <c r="D398" s="0" t="n">
        <f aca="true">CRITBINOM($C398,MIN(0.75,Matchup!$B$39*$B398),RAND())</f>
        <v>1</v>
      </c>
      <c r="E398" s="0" t="n">
        <f aca="true">CRITBINOM(D398,Coefficients!$B$30,RAND())</f>
        <v>0</v>
      </c>
      <c r="F398" s="0" t="n">
        <f aca="true">CRITBINOM(E398,Coefficients!$B$31,RAND())</f>
        <v>0</v>
      </c>
      <c r="G398" s="0" t="n">
        <f aca="true">CRITBINOM(MAX(0,D398-E398),1-Coefficients!$B$32,RAND())</f>
        <v>0</v>
      </c>
      <c r="H398" s="0" t="n">
        <f aca="true">CRITBINOM(MAX(0,$C398-D398),MIN(0.6,Matchup!$B$40*SQRT($B398)/(1-MIN(0.75,Matchup!$B$39*$B398))),RAND())</f>
        <v>4</v>
      </c>
      <c r="I398" s="0" t="n">
        <f aca="false">6*D398+(D398-E398-G398)+2*F398+3*H398</f>
        <v>19</v>
      </c>
      <c r="J398" s="0" t="n">
        <f aca="true">CRITBINOM($C398,MIN(0.75,Matchup!$C$39*$B398),RAND())</f>
        <v>3</v>
      </c>
      <c r="K398" s="0" t="n">
        <f aca="true">CRITBINOM(J398,Coefficients!$B$30,RAND())</f>
        <v>0</v>
      </c>
      <c r="L398" s="0" t="n">
        <f aca="true">CRITBINOM(K398,Coefficients!$B$31,RAND())</f>
        <v>0</v>
      </c>
      <c r="M398" s="0" t="n">
        <f aca="true">CRITBINOM(MAX(0,J398-K398),1-Coefficients!$B$32,RAND())</f>
        <v>0</v>
      </c>
      <c r="N398" s="0" t="n">
        <f aca="true">CRITBINOM(MAX(0,$C398-J398),MIN(0.6,Matchup!$C$40*SQRT($B398)/(1-MIN(0.75,Matchup!$C$39*$B398))),RAND())</f>
        <v>0</v>
      </c>
      <c r="O398" s="0" t="n">
        <f aca="false">6*J398+(J398-K398-M398)+2*L398+3*N398</f>
        <v>21</v>
      </c>
      <c r="P398" s="0" t="n">
        <f aca="true">RAND()</f>
        <v>0.357841863520671</v>
      </c>
      <c r="Q398" s="0" t="n">
        <f aca="true">RAND()</f>
        <v>0.371651169547171</v>
      </c>
      <c r="R398" s="0" t="n">
        <f aca="false">IF($I398&lt;&gt;$O398,0,IF(P398&lt;Matchup!$B$39,7,IF(P398&lt;Matchup!$B$39+Matchup!$B$40,3,0)))</f>
        <v>0</v>
      </c>
      <c r="S398" s="0" t="n">
        <f aca="false">IF($I398&lt;&gt;$O398,0,IF(Q398&lt;Matchup!$C$39,7,IF(Q398&lt;Matchup!$C$39+Matchup!$C$40,3,0)))</f>
        <v>0</v>
      </c>
      <c r="T398" s="0" t="n">
        <f aca="false">I398+R398</f>
        <v>19</v>
      </c>
      <c r="U398" s="0" t="n">
        <f aca="false">O398+S398</f>
        <v>21</v>
      </c>
      <c r="V398" s="0" t="n">
        <f aca="false">T398-U398</f>
        <v>-2</v>
      </c>
      <c r="W398" s="0" t="n">
        <f aca="false">T398+U398</f>
        <v>40</v>
      </c>
    </row>
    <row r="399" customFormat="false" ht="15" hidden="false" customHeight="false" outlineLevel="0" collapsed="false">
      <c r="A399" s="0" t="n">
        <v>396</v>
      </c>
      <c r="B399" s="0" t="n">
        <f aca="true">NORMINV(RAND(),1,Coefficients!$B$22)</f>
        <v>0.962253371036839</v>
      </c>
      <c r="C399" s="0" t="n">
        <f aca="true">MEDIAN(8,16,ROUND(NORMINV(RAND(),Coefficients!$B$20,Coefficients!$B$21),0))</f>
        <v>12</v>
      </c>
      <c r="D399" s="0" t="n">
        <f aca="true">CRITBINOM($C399,MIN(0.75,Matchup!$B$39*$B399),RAND())</f>
        <v>3</v>
      </c>
      <c r="E399" s="0" t="n">
        <f aca="true">CRITBINOM(D399,Coefficients!$B$30,RAND())</f>
        <v>0</v>
      </c>
      <c r="F399" s="0" t="n">
        <f aca="true">CRITBINOM(E399,Coefficients!$B$31,RAND())</f>
        <v>0</v>
      </c>
      <c r="G399" s="0" t="n">
        <f aca="true">CRITBINOM(MAX(0,D399-E399),1-Coefficients!$B$32,RAND())</f>
        <v>0</v>
      </c>
      <c r="H399" s="0" t="n">
        <f aca="true">CRITBINOM(MAX(0,$C399-D399),MIN(0.6,Matchup!$B$40*SQRT($B399)/(1-MIN(0.75,Matchup!$B$39*$B399))),RAND())</f>
        <v>5</v>
      </c>
      <c r="I399" s="0" t="n">
        <f aca="false">6*D399+(D399-E399-G399)+2*F399+3*H399</f>
        <v>36</v>
      </c>
      <c r="J399" s="0" t="n">
        <f aca="true">CRITBINOM($C399,MIN(0.75,Matchup!$C$39*$B399),RAND())</f>
        <v>1</v>
      </c>
      <c r="K399" s="0" t="n">
        <f aca="true">CRITBINOM(J399,Coefficients!$B$30,RAND())</f>
        <v>0</v>
      </c>
      <c r="L399" s="0" t="n">
        <f aca="true">CRITBINOM(K399,Coefficients!$B$31,RAND())</f>
        <v>0</v>
      </c>
      <c r="M399" s="0" t="n">
        <f aca="true">CRITBINOM(MAX(0,J399-K399),1-Coefficients!$B$32,RAND())</f>
        <v>0</v>
      </c>
      <c r="N399" s="0" t="n">
        <f aca="true">CRITBINOM(MAX(0,$C399-J399),MIN(0.6,Matchup!$C$40*SQRT($B399)/(1-MIN(0.75,Matchup!$C$39*$B399))),RAND())</f>
        <v>0</v>
      </c>
      <c r="O399" s="0" t="n">
        <f aca="false">6*J399+(J399-K399-M399)+2*L399+3*N399</f>
        <v>7</v>
      </c>
      <c r="P399" s="0" t="n">
        <f aca="true">RAND()</f>
        <v>0.866559132258784</v>
      </c>
      <c r="Q399" s="0" t="n">
        <f aca="true">RAND()</f>
        <v>0.823603584300745</v>
      </c>
      <c r="R399" s="0" t="n">
        <f aca="false">IF($I399&lt;&gt;$O399,0,IF(P399&lt;Matchup!$B$39,7,IF(P399&lt;Matchup!$B$39+Matchup!$B$40,3,0)))</f>
        <v>0</v>
      </c>
      <c r="S399" s="0" t="n">
        <f aca="false">IF($I399&lt;&gt;$O399,0,IF(Q399&lt;Matchup!$C$39,7,IF(Q399&lt;Matchup!$C$39+Matchup!$C$40,3,0)))</f>
        <v>0</v>
      </c>
      <c r="T399" s="0" t="n">
        <f aca="false">I399+R399</f>
        <v>36</v>
      </c>
      <c r="U399" s="0" t="n">
        <f aca="false">O399+S399</f>
        <v>7</v>
      </c>
      <c r="V399" s="0" t="n">
        <f aca="false">T399-U399</f>
        <v>29</v>
      </c>
      <c r="W399" s="0" t="n">
        <f aca="false">T399+U399</f>
        <v>43</v>
      </c>
    </row>
    <row r="400" customFormat="false" ht="15" hidden="false" customHeight="false" outlineLevel="0" collapsed="false">
      <c r="A400" s="0" t="n">
        <v>397</v>
      </c>
      <c r="B400" s="0" t="n">
        <f aca="true">NORMINV(RAND(),1,Coefficients!$B$22)</f>
        <v>0.956296545887999</v>
      </c>
      <c r="C400" s="0" t="n">
        <f aca="true">MEDIAN(8,16,ROUND(NORMINV(RAND(),Coefficients!$B$20,Coefficients!$B$21),0))</f>
        <v>11</v>
      </c>
      <c r="D400" s="0" t="n">
        <f aca="true">CRITBINOM($C400,MIN(0.75,Matchup!$B$39*$B400),RAND())</f>
        <v>5</v>
      </c>
      <c r="E400" s="0" t="n">
        <f aca="true">CRITBINOM(D400,Coefficients!$B$30,RAND())</f>
        <v>1</v>
      </c>
      <c r="F400" s="0" t="n">
        <f aca="true">CRITBINOM(E400,Coefficients!$B$31,RAND())</f>
        <v>0</v>
      </c>
      <c r="G400" s="0" t="n">
        <f aca="true">CRITBINOM(MAX(0,D400-E400),1-Coefficients!$B$32,RAND())</f>
        <v>0</v>
      </c>
      <c r="H400" s="0" t="n">
        <f aca="true">CRITBINOM(MAX(0,$C400-D400),MIN(0.6,Matchup!$B$40*SQRT($B400)/(1-MIN(0.75,Matchup!$B$39*$B400))),RAND())</f>
        <v>1</v>
      </c>
      <c r="I400" s="0" t="n">
        <f aca="false">6*D400+(D400-E400-G400)+2*F400+3*H400</f>
        <v>37</v>
      </c>
      <c r="J400" s="0" t="n">
        <f aca="true">CRITBINOM($C400,MIN(0.75,Matchup!$C$39*$B400),RAND())</f>
        <v>0</v>
      </c>
      <c r="K400" s="0" t="n">
        <f aca="true">CRITBINOM(J400,Coefficients!$B$30,RAND())</f>
        <v>0</v>
      </c>
      <c r="L400" s="0" t="n">
        <f aca="true">CRITBINOM(K400,Coefficients!$B$31,RAND())</f>
        <v>0</v>
      </c>
      <c r="M400" s="0" t="n">
        <f aca="true">CRITBINOM(MAX(0,J400-K400),1-Coefficients!$B$32,RAND())</f>
        <v>0</v>
      </c>
      <c r="N400" s="0" t="n">
        <f aca="true">CRITBINOM(MAX(0,$C400-J400),MIN(0.6,Matchup!$C$40*SQRT($B400)/(1-MIN(0.75,Matchup!$C$39*$B400))),RAND())</f>
        <v>3</v>
      </c>
      <c r="O400" s="0" t="n">
        <f aca="false">6*J400+(J400-K400-M400)+2*L400+3*N400</f>
        <v>9</v>
      </c>
      <c r="P400" s="0" t="n">
        <f aca="true">RAND()</f>
        <v>0.658927650681178</v>
      </c>
      <c r="Q400" s="0" t="n">
        <f aca="true">RAND()</f>
        <v>0.995794259649658</v>
      </c>
      <c r="R400" s="0" t="n">
        <f aca="false">IF($I400&lt;&gt;$O400,0,IF(P400&lt;Matchup!$B$39,7,IF(P400&lt;Matchup!$B$39+Matchup!$B$40,3,0)))</f>
        <v>0</v>
      </c>
      <c r="S400" s="0" t="n">
        <f aca="false">IF($I400&lt;&gt;$O400,0,IF(Q400&lt;Matchup!$C$39,7,IF(Q400&lt;Matchup!$C$39+Matchup!$C$40,3,0)))</f>
        <v>0</v>
      </c>
      <c r="T400" s="0" t="n">
        <f aca="false">I400+R400</f>
        <v>37</v>
      </c>
      <c r="U400" s="0" t="n">
        <f aca="false">O400+S400</f>
        <v>9</v>
      </c>
      <c r="V400" s="0" t="n">
        <f aca="false">T400-U400</f>
        <v>28</v>
      </c>
      <c r="W400" s="0" t="n">
        <f aca="false">T400+U400</f>
        <v>46</v>
      </c>
    </row>
    <row r="401" customFormat="false" ht="15" hidden="false" customHeight="false" outlineLevel="0" collapsed="false">
      <c r="A401" s="0" t="n">
        <v>398</v>
      </c>
      <c r="B401" s="0" t="n">
        <f aca="true">NORMINV(RAND(),1,Coefficients!$B$22)</f>
        <v>0.991978852628991</v>
      </c>
      <c r="C401" s="0" t="n">
        <f aca="true">MEDIAN(8,16,ROUND(NORMINV(RAND(),Coefficients!$B$20,Coefficients!$B$21),0))</f>
        <v>11</v>
      </c>
      <c r="D401" s="0" t="n">
        <f aca="true">CRITBINOM($C401,MIN(0.75,Matchup!$B$39*$B401),RAND())</f>
        <v>2</v>
      </c>
      <c r="E401" s="0" t="n">
        <f aca="true">CRITBINOM(D401,Coefficients!$B$30,RAND())</f>
        <v>0</v>
      </c>
      <c r="F401" s="0" t="n">
        <f aca="true">CRITBINOM(E401,Coefficients!$B$31,RAND())</f>
        <v>0</v>
      </c>
      <c r="G401" s="0" t="n">
        <f aca="true">CRITBINOM(MAX(0,D401-E401),1-Coefficients!$B$32,RAND())</f>
        <v>0</v>
      </c>
      <c r="H401" s="0" t="n">
        <f aca="true">CRITBINOM(MAX(0,$C401-D401),MIN(0.6,Matchup!$B$40*SQRT($B401)/(1-MIN(0.75,Matchup!$B$39*$B401))),RAND())</f>
        <v>0</v>
      </c>
      <c r="I401" s="0" t="n">
        <f aca="false">6*D401+(D401-E401-G401)+2*F401+3*H401</f>
        <v>14</v>
      </c>
      <c r="J401" s="0" t="n">
        <f aca="true">CRITBINOM($C401,MIN(0.75,Matchup!$C$39*$B401),RAND())</f>
        <v>3</v>
      </c>
      <c r="K401" s="0" t="n">
        <f aca="true">CRITBINOM(J401,Coefficients!$B$30,RAND())</f>
        <v>0</v>
      </c>
      <c r="L401" s="0" t="n">
        <f aca="true">CRITBINOM(K401,Coefficients!$B$31,RAND())</f>
        <v>0</v>
      </c>
      <c r="M401" s="0" t="n">
        <f aca="true">CRITBINOM(MAX(0,J401-K401),1-Coefficients!$B$32,RAND())</f>
        <v>0</v>
      </c>
      <c r="N401" s="0" t="n">
        <f aca="true">CRITBINOM(MAX(0,$C401-J401),MIN(0.6,Matchup!$C$40*SQRT($B401)/(1-MIN(0.75,Matchup!$C$39*$B401))),RAND())</f>
        <v>1</v>
      </c>
      <c r="O401" s="0" t="n">
        <f aca="false">6*J401+(J401-K401-M401)+2*L401+3*N401</f>
        <v>24</v>
      </c>
      <c r="P401" s="0" t="n">
        <f aca="true">RAND()</f>
        <v>0.413674906257914</v>
      </c>
      <c r="Q401" s="0" t="n">
        <f aca="true">RAND()</f>
        <v>0.562498006460947</v>
      </c>
      <c r="R401" s="0" t="n">
        <f aca="false">IF($I401&lt;&gt;$O401,0,IF(P401&lt;Matchup!$B$39,7,IF(P401&lt;Matchup!$B$39+Matchup!$B$40,3,0)))</f>
        <v>0</v>
      </c>
      <c r="S401" s="0" t="n">
        <f aca="false">IF($I401&lt;&gt;$O401,0,IF(Q401&lt;Matchup!$C$39,7,IF(Q401&lt;Matchup!$C$39+Matchup!$C$40,3,0)))</f>
        <v>0</v>
      </c>
      <c r="T401" s="0" t="n">
        <f aca="false">I401+R401</f>
        <v>14</v>
      </c>
      <c r="U401" s="0" t="n">
        <f aca="false">O401+S401</f>
        <v>24</v>
      </c>
      <c r="V401" s="0" t="n">
        <f aca="false">T401-U401</f>
        <v>-10</v>
      </c>
      <c r="W401" s="0" t="n">
        <f aca="false">T401+U401</f>
        <v>38</v>
      </c>
    </row>
    <row r="402" customFormat="false" ht="15" hidden="false" customHeight="false" outlineLevel="0" collapsed="false">
      <c r="A402" s="0" t="n">
        <v>399</v>
      </c>
      <c r="B402" s="0" t="n">
        <f aca="true">NORMINV(RAND(),1,Coefficients!$B$22)</f>
        <v>0.982019444431016</v>
      </c>
      <c r="C402" s="0" t="n">
        <f aca="true">MEDIAN(8,16,ROUND(NORMINV(RAND(),Coefficients!$B$20,Coefficients!$B$21),0))</f>
        <v>10</v>
      </c>
      <c r="D402" s="0" t="n">
        <f aca="true">CRITBINOM($C402,MIN(0.75,Matchup!$B$39*$B402),RAND())</f>
        <v>2</v>
      </c>
      <c r="E402" s="0" t="n">
        <f aca="true">CRITBINOM(D402,Coefficients!$B$30,RAND())</f>
        <v>0</v>
      </c>
      <c r="F402" s="0" t="n">
        <f aca="true">CRITBINOM(E402,Coefficients!$B$31,RAND())</f>
        <v>0</v>
      </c>
      <c r="G402" s="0" t="n">
        <f aca="true">CRITBINOM(MAX(0,D402-E402),1-Coefficients!$B$32,RAND())</f>
        <v>0</v>
      </c>
      <c r="H402" s="0" t="n">
        <f aca="true">CRITBINOM(MAX(0,$C402-D402),MIN(0.6,Matchup!$B$40*SQRT($B402)/(1-MIN(0.75,Matchup!$B$39*$B402))),RAND())</f>
        <v>0</v>
      </c>
      <c r="I402" s="0" t="n">
        <f aca="false">6*D402+(D402-E402-G402)+2*F402+3*H402</f>
        <v>14</v>
      </c>
      <c r="J402" s="0" t="n">
        <f aca="true">CRITBINOM($C402,MIN(0.75,Matchup!$C$39*$B402),RAND())</f>
        <v>1</v>
      </c>
      <c r="K402" s="0" t="n">
        <f aca="true">CRITBINOM(J402,Coefficients!$B$30,RAND())</f>
        <v>0</v>
      </c>
      <c r="L402" s="0" t="n">
        <f aca="true">CRITBINOM(K402,Coefficients!$B$31,RAND())</f>
        <v>0</v>
      </c>
      <c r="M402" s="0" t="n">
        <f aca="true">CRITBINOM(MAX(0,J402-K402),1-Coefficients!$B$32,RAND())</f>
        <v>1</v>
      </c>
      <c r="N402" s="0" t="n">
        <f aca="true">CRITBINOM(MAX(0,$C402-J402),MIN(0.6,Matchup!$C$40*SQRT($B402)/(1-MIN(0.75,Matchup!$C$39*$B402))),RAND())</f>
        <v>3</v>
      </c>
      <c r="O402" s="0" t="n">
        <f aca="false">6*J402+(J402-K402-M402)+2*L402+3*N402</f>
        <v>15</v>
      </c>
      <c r="P402" s="0" t="n">
        <f aca="true">RAND()</f>
        <v>0.228510656782277</v>
      </c>
      <c r="Q402" s="0" t="n">
        <f aca="true">RAND()</f>
        <v>0.143524469302841</v>
      </c>
      <c r="R402" s="0" t="n">
        <f aca="false">IF($I402&lt;&gt;$O402,0,IF(P402&lt;Matchup!$B$39,7,IF(P402&lt;Matchup!$B$39+Matchup!$B$40,3,0)))</f>
        <v>0</v>
      </c>
      <c r="S402" s="0" t="n">
        <f aca="false">IF($I402&lt;&gt;$O402,0,IF(Q402&lt;Matchup!$C$39,7,IF(Q402&lt;Matchup!$C$39+Matchup!$C$40,3,0)))</f>
        <v>0</v>
      </c>
      <c r="T402" s="0" t="n">
        <f aca="false">I402+R402</f>
        <v>14</v>
      </c>
      <c r="U402" s="0" t="n">
        <f aca="false">O402+S402</f>
        <v>15</v>
      </c>
      <c r="V402" s="0" t="n">
        <f aca="false">T402-U402</f>
        <v>-1</v>
      </c>
      <c r="W402" s="0" t="n">
        <f aca="false">T402+U402</f>
        <v>29</v>
      </c>
    </row>
    <row r="403" customFormat="false" ht="15" hidden="false" customHeight="false" outlineLevel="0" collapsed="false">
      <c r="A403" s="0" t="n">
        <v>400</v>
      </c>
      <c r="B403" s="0" t="n">
        <f aca="true">NORMINV(RAND(),1,Coefficients!$B$22)</f>
        <v>0.927527538637528</v>
      </c>
      <c r="C403" s="0" t="n">
        <f aca="true">MEDIAN(8,16,ROUND(NORMINV(RAND(),Coefficients!$B$20,Coefficients!$B$21),0))</f>
        <v>11</v>
      </c>
      <c r="D403" s="0" t="n">
        <f aca="true">CRITBINOM($C403,MIN(0.75,Matchup!$B$39*$B403),RAND())</f>
        <v>3</v>
      </c>
      <c r="E403" s="0" t="n">
        <f aca="true">CRITBINOM(D403,Coefficients!$B$30,RAND())</f>
        <v>1</v>
      </c>
      <c r="F403" s="0" t="n">
        <f aca="true">CRITBINOM(E403,Coefficients!$B$31,RAND())</f>
        <v>0</v>
      </c>
      <c r="G403" s="0" t="n">
        <f aca="true">CRITBINOM(MAX(0,D403-E403),1-Coefficients!$B$32,RAND())</f>
        <v>0</v>
      </c>
      <c r="H403" s="0" t="n">
        <f aca="true">CRITBINOM(MAX(0,$C403-D403),MIN(0.6,Matchup!$B$40*SQRT($B403)/(1-MIN(0.75,Matchup!$B$39*$B403))),RAND())</f>
        <v>0</v>
      </c>
      <c r="I403" s="0" t="n">
        <f aca="false">6*D403+(D403-E403-G403)+2*F403+3*H403</f>
        <v>20</v>
      </c>
      <c r="J403" s="0" t="n">
        <f aca="true">CRITBINOM($C403,MIN(0.75,Matchup!$C$39*$B403),RAND())</f>
        <v>1</v>
      </c>
      <c r="K403" s="0" t="n">
        <f aca="true">CRITBINOM(J403,Coefficients!$B$30,RAND())</f>
        <v>0</v>
      </c>
      <c r="L403" s="0" t="n">
        <f aca="true">CRITBINOM(K403,Coefficients!$B$31,RAND())</f>
        <v>0</v>
      </c>
      <c r="M403" s="0" t="n">
        <f aca="true">CRITBINOM(MAX(0,J403-K403),1-Coefficients!$B$32,RAND())</f>
        <v>0</v>
      </c>
      <c r="N403" s="0" t="n">
        <f aca="true">CRITBINOM(MAX(0,$C403-J403),MIN(0.6,Matchup!$C$40*SQRT($B403)/(1-MIN(0.75,Matchup!$C$39*$B403))),RAND())</f>
        <v>3</v>
      </c>
      <c r="O403" s="0" t="n">
        <f aca="false">6*J403+(J403-K403-M403)+2*L403+3*N403</f>
        <v>16</v>
      </c>
      <c r="P403" s="0" t="n">
        <f aca="true">RAND()</f>
        <v>0.101271275674951</v>
      </c>
      <c r="Q403" s="0" t="n">
        <f aca="true">RAND()</f>
        <v>0.767945244582195</v>
      </c>
      <c r="R403" s="0" t="n">
        <f aca="false">IF($I403&lt;&gt;$O403,0,IF(P403&lt;Matchup!$B$39,7,IF(P403&lt;Matchup!$B$39+Matchup!$B$40,3,0)))</f>
        <v>0</v>
      </c>
      <c r="S403" s="0" t="n">
        <f aca="false">IF($I403&lt;&gt;$O403,0,IF(Q403&lt;Matchup!$C$39,7,IF(Q403&lt;Matchup!$C$39+Matchup!$C$40,3,0)))</f>
        <v>0</v>
      </c>
      <c r="T403" s="0" t="n">
        <f aca="false">I403+R403</f>
        <v>20</v>
      </c>
      <c r="U403" s="0" t="n">
        <f aca="false">O403+S403</f>
        <v>16</v>
      </c>
      <c r="V403" s="0" t="n">
        <f aca="false">T403-U403</f>
        <v>4</v>
      </c>
      <c r="W403" s="0" t="n">
        <f aca="false">T403+U403</f>
        <v>36</v>
      </c>
    </row>
    <row r="404" customFormat="false" ht="15" hidden="false" customHeight="false" outlineLevel="0" collapsed="false">
      <c r="A404" s="0" t="n">
        <v>401</v>
      </c>
      <c r="B404" s="0" t="n">
        <f aca="true">NORMINV(RAND(),1,Coefficients!$B$22)</f>
        <v>0.943850646405441</v>
      </c>
      <c r="C404" s="0" t="n">
        <f aca="true">MEDIAN(8,16,ROUND(NORMINV(RAND(),Coefficients!$B$20,Coefficients!$B$21),0))</f>
        <v>10</v>
      </c>
      <c r="D404" s="0" t="n">
        <f aca="true">CRITBINOM($C404,MIN(0.75,Matchup!$B$39*$B404),RAND())</f>
        <v>1</v>
      </c>
      <c r="E404" s="0" t="n">
        <f aca="true">CRITBINOM(D404,Coefficients!$B$30,RAND())</f>
        <v>0</v>
      </c>
      <c r="F404" s="0" t="n">
        <f aca="true">CRITBINOM(E404,Coefficients!$B$31,RAND())</f>
        <v>0</v>
      </c>
      <c r="G404" s="0" t="n">
        <f aca="true">CRITBINOM(MAX(0,D404-E404),1-Coefficients!$B$32,RAND())</f>
        <v>0</v>
      </c>
      <c r="H404" s="0" t="n">
        <f aca="true">CRITBINOM(MAX(0,$C404-D404),MIN(0.6,Matchup!$B$40*SQRT($B404)/(1-MIN(0.75,Matchup!$B$39*$B404))),RAND())</f>
        <v>0</v>
      </c>
      <c r="I404" s="0" t="n">
        <f aca="false">6*D404+(D404-E404-G404)+2*F404+3*H404</f>
        <v>7</v>
      </c>
      <c r="J404" s="0" t="n">
        <f aca="true">CRITBINOM($C404,MIN(0.75,Matchup!$C$39*$B404),RAND())</f>
        <v>5</v>
      </c>
      <c r="K404" s="0" t="n">
        <f aca="true">CRITBINOM(J404,Coefficients!$B$30,RAND())</f>
        <v>0</v>
      </c>
      <c r="L404" s="0" t="n">
        <f aca="true">CRITBINOM(K404,Coefficients!$B$31,RAND())</f>
        <v>0</v>
      </c>
      <c r="M404" s="0" t="n">
        <f aca="true">CRITBINOM(MAX(0,J404-K404),1-Coefficients!$B$32,RAND())</f>
        <v>0</v>
      </c>
      <c r="N404" s="0" t="n">
        <f aca="true">CRITBINOM(MAX(0,$C404-J404),MIN(0.6,Matchup!$C$40*SQRT($B404)/(1-MIN(0.75,Matchup!$C$39*$B404))),RAND())</f>
        <v>0</v>
      </c>
      <c r="O404" s="0" t="n">
        <f aca="false">6*J404+(J404-K404-M404)+2*L404+3*N404</f>
        <v>35</v>
      </c>
      <c r="P404" s="0" t="n">
        <f aca="true">RAND()</f>
        <v>0.840412272445123</v>
      </c>
      <c r="Q404" s="0" t="n">
        <f aca="true">RAND()</f>
        <v>0.24948527694305</v>
      </c>
      <c r="R404" s="0" t="n">
        <f aca="false">IF($I404&lt;&gt;$O404,0,IF(P404&lt;Matchup!$B$39,7,IF(P404&lt;Matchup!$B$39+Matchup!$B$40,3,0)))</f>
        <v>0</v>
      </c>
      <c r="S404" s="0" t="n">
        <f aca="false">IF($I404&lt;&gt;$O404,0,IF(Q404&lt;Matchup!$C$39,7,IF(Q404&lt;Matchup!$C$39+Matchup!$C$40,3,0)))</f>
        <v>0</v>
      </c>
      <c r="T404" s="0" t="n">
        <f aca="false">I404+R404</f>
        <v>7</v>
      </c>
      <c r="U404" s="0" t="n">
        <f aca="false">O404+S404</f>
        <v>35</v>
      </c>
      <c r="V404" s="0" t="n">
        <f aca="false">T404-U404</f>
        <v>-28</v>
      </c>
      <c r="W404" s="0" t="n">
        <f aca="false">T404+U404</f>
        <v>42</v>
      </c>
    </row>
    <row r="405" customFormat="false" ht="15" hidden="false" customHeight="false" outlineLevel="0" collapsed="false">
      <c r="A405" s="0" t="n">
        <v>402</v>
      </c>
      <c r="B405" s="0" t="n">
        <f aca="true">NORMINV(RAND(),1,Coefficients!$B$22)</f>
        <v>0.94987666069025</v>
      </c>
      <c r="C405" s="0" t="n">
        <f aca="true">MEDIAN(8,16,ROUND(NORMINV(RAND(),Coefficients!$B$20,Coefficients!$B$21),0))</f>
        <v>12</v>
      </c>
      <c r="D405" s="0" t="n">
        <f aca="true">CRITBINOM($C405,MIN(0.75,Matchup!$B$39*$B405),RAND())</f>
        <v>5</v>
      </c>
      <c r="E405" s="0" t="n">
        <f aca="true">CRITBINOM(D405,Coefficients!$B$30,RAND())</f>
        <v>0</v>
      </c>
      <c r="F405" s="0" t="n">
        <f aca="true">CRITBINOM(E405,Coefficients!$B$31,RAND())</f>
        <v>0</v>
      </c>
      <c r="G405" s="0" t="n">
        <f aca="true">CRITBINOM(MAX(0,D405-E405),1-Coefficients!$B$32,RAND())</f>
        <v>0</v>
      </c>
      <c r="H405" s="0" t="n">
        <f aca="true">CRITBINOM(MAX(0,$C405-D405),MIN(0.6,Matchup!$B$40*SQRT($B405)/(1-MIN(0.75,Matchup!$B$39*$B405))),RAND())</f>
        <v>1</v>
      </c>
      <c r="I405" s="0" t="n">
        <f aca="false">6*D405+(D405-E405-G405)+2*F405+3*H405</f>
        <v>38</v>
      </c>
      <c r="J405" s="0" t="n">
        <f aca="true">CRITBINOM($C405,MIN(0.75,Matchup!$C$39*$B405),RAND())</f>
        <v>3</v>
      </c>
      <c r="K405" s="0" t="n">
        <f aca="true">CRITBINOM(J405,Coefficients!$B$30,RAND())</f>
        <v>0</v>
      </c>
      <c r="L405" s="0" t="n">
        <f aca="true">CRITBINOM(K405,Coefficients!$B$31,RAND())</f>
        <v>0</v>
      </c>
      <c r="M405" s="0" t="n">
        <f aca="true">CRITBINOM(MAX(0,J405-K405),1-Coefficients!$B$32,RAND())</f>
        <v>1</v>
      </c>
      <c r="N405" s="0" t="n">
        <f aca="true">CRITBINOM(MAX(0,$C405-J405),MIN(0.6,Matchup!$C$40*SQRT($B405)/(1-MIN(0.75,Matchup!$C$39*$B405))),RAND())</f>
        <v>4</v>
      </c>
      <c r="O405" s="0" t="n">
        <f aca="false">6*J405+(J405-K405-M405)+2*L405+3*N405</f>
        <v>32</v>
      </c>
      <c r="P405" s="0" t="n">
        <f aca="true">RAND()</f>
        <v>0.366218411654504</v>
      </c>
      <c r="Q405" s="0" t="n">
        <f aca="true">RAND()</f>
        <v>0.200737005179693</v>
      </c>
      <c r="R405" s="0" t="n">
        <f aca="false">IF($I405&lt;&gt;$O405,0,IF(P405&lt;Matchup!$B$39,7,IF(P405&lt;Matchup!$B$39+Matchup!$B$40,3,0)))</f>
        <v>0</v>
      </c>
      <c r="S405" s="0" t="n">
        <f aca="false">IF($I405&lt;&gt;$O405,0,IF(Q405&lt;Matchup!$C$39,7,IF(Q405&lt;Matchup!$C$39+Matchup!$C$40,3,0)))</f>
        <v>0</v>
      </c>
      <c r="T405" s="0" t="n">
        <f aca="false">I405+R405</f>
        <v>38</v>
      </c>
      <c r="U405" s="0" t="n">
        <f aca="false">O405+S405</f>
        <v>32</v>
      </c>
      <c r="V405" s="0" t="n">
        <f aca="false">T405-U405</f>
        <v>6</v>
      </c>
      <c r="W405" s="0" t="n">
        <f aca="false">T405+U405</f>
        <v>70</v>
      </c>
    </row>
    <row r="406" customFormat="false" ht="15" hidden="false" customHeight="false" outlineLevel="0" collapsed="false">
      <c r="A406" s="0" t="n">
        <v>403</v>
      </c>
      <c r="B406" s="0" t="n">
        <f aca="true">NORMINV(RAND(),1,Coefficients!$B$22)</f>
        <v>1.0876223476308</v>
      </c>
      <c r="C406" s="0" t="n">
        <f aca="true">MEDIAN(8,16,ROUND(NORMINV(RAND(),Coefficients!$B$20,Coefficients!$B$21),0))</f>
        <v>11</v>
      </c>
      <c r="D406" s="0" t="n">
        <f aca="true">CRITBINOM($C406,MIN(0.75,Matchup!$B$39*$B406),RAND())</f>
        <v>3</v>
      </c>
      <c r="E406" s="0" t="n">
        <f aca="true">CRITBINOM(D406,Coefficients!$B$30,RAND())</f>
        <v>1</v>
      </c>
      <c r="F406" s="0" t="n">
        <f aca="true">CRITBINOM(E406,Coefficients!$B$31,RAND())</f>
        <v>0</v>
      </c>
      <c r="G406" s="0" t="n">
        <f aca="true">CRITBINOM(MAX(0,D406-E406),1-Coefficients!$B$32,RAND())</f>
        <v>0</v>
      </c>
      <c r="H406" s="0" t="n">
        <f aca="true">CRITBINOM(MAX(0,$C406-D406),MIN(0.6,Matchup!$B$40*SQRT($B406)/(1-MIN(0.75,Matchup!$B$39*$B406))),RAND())</f>
        <v>0</v>
      </c>
      <c r="I406" s="0" t="n">
        <f aca="false">6*D406+(D406-E406-G406)+2*F406+3*H406</f>
        <v>20</v>
      </c>
      <c r="J406" s="0" t="n">
        <f aca="true">CRITBINOM($C406,MIN(0.75,Matchup!$C$39*$B406),RAND())</f>
        <v>2</v>
      </c>
      <c r="K406" s="0" t="n">
        <f aca="true">CRITBINOM(J406,Coefficients!$B$30,RAND())</f>
        <v>0</v>
      </c>
      <c r="L406" s="0" t="n">
        <f aca="true">CRITBINOM(K406,Coefficients!$B$31,RAND())</f>
        <v>0</v>
      </c>
      <c r="M406" s="0" t="n">
        <f aca="true">CRITBINOM(MAX(0,J406-K406),1-Coefficients!$B$32,RAND())</f>
        <v>0</v>
      </c>
      <c r="N406" s="0" t="n">
        <f aca="true">CRITBINOM(MAX(0,$C406-J406),MIN(0.6,Matchup!$C$40*SQRT($B406)/(1-MIN(0.75,Matchup!$C$39*$B406))),RAND())</f>
        <v>2</v>
      </c>
      <c r="O406" s="0" t="n">
        <f aca="false">6*J406+(J406-K406-M406)+2*L406+3*N406</f>
        <v>20</v>
      </c>
      <c r="P406" s="0" t="n">
        <f aca="true">RAND()</f>
        <v>0.834357627203428</v>
      </c>
      <c r="Q406" s="0" t="n">
        <f aca="true">RAND()</f>
        <v>0.370756310051885</v>
      </c>
      <c r="R406" s="0" t="n">
        <f aca="false">IF($I406&lt;&gt;$O406,0,IF(P406&lt;Matchup!$B$39,7,IF(P406&lt;Matchup!$B$39+Matchup!$B$40,3,0)))</f>
        <v>0</v>
      </c>
      <c r="S406" s="0" t="n">
        <f aca="false">IF($I406&lt;&gt;$O406,0,IF(Q406&lt;Matchup!$C$39,7,IF(Q406&lt;Matchup!$C$39+Matchup!$C$40,3,0)))</f>
        <v>0</v>
      </c>
      <c r="T406" s="0" t="n">
        <f aca="false">I406+R406</f>
        <v>20</v>
      </c>
      <c r="U406" s="0" t="n">
        <f aca="false">O406+S406</f>
        <v>20</v>
      </c>
      <c r="V406" s="0" t="n">
        <f aca="false">T406-U406</f>
        <v>0</v>
      </c>
      <c r="W406" s="0" t="n">
        <f aca="false">T406+U406</f>
        <v>40</v>
      </c>
    </row>
    <row r="407" customFormat="false" ht="15" hidden="false" customHeight="false" outlineLevel="0" collapsed="false">
      <c r="A407" s="0" t="n">
        <v>404</v>
      </c>
      <c r="B407" s="0" t="n">
        <f aca="true">NORMINV(RAND(),1,Coefficients!$B$22)</f>
        <v>1.01373610629742</v>
      </c>
      <c r="C407" s="0" t="n">
        <f aca="true">MEDIAN(8,16,ROUND(NORMINV(RAND(),Coefficients!$B$20,Coefficients!$B$21),0))</f>
        <v>11</v>
      </c>
      <c r="D407" s="0" t="n">
        <f aca="true">CRITBINOM($C407,MIN(0.75,Matchup!$B$39*$B407),RAND())</f>
        <v>2</v>
      </c>
      <c r="E407" s="0" t="n">
        <f aca="true">CRITBINOM(D407,Coefficients!$B$30,RAND())</f>
        <v>0</v>
      </c>
      <c r="F407" s="0" t="n">
        <f aca="true">CRITBINOM(E407,Coefficients!$B$31,RAND())</f>
        <v>0</v>
      </c>
      <c r="G407" s="0" t="n">
        <f aca="true">CRITBINOM(MAX(0,D407-E407),1-Coefficients!$B$32,RAND())</f>
        <v>0</v>
      </c>
      <c r="H407" s="0" t="n">
        <f aca="true">CRITBINOM(MAX(0,$C407-D407),MIN(0.6,Matchup!$B$40*SQRT($B407)/(1-MIN(0.75,Matchup!$B$39*$B407))),RAND())</f>
        <v>2</v>
      </c>
      <c r="I407" s="0" t="n">
        <f aca="false">6*D407+(D407-E407-G407)+2*F407+3*H407</f>
        <v>20</v>
      </c>
      <c r="J407" s="0" t="n">
        <f aca="true">CRITBINOM($C407,MIN(0.75,Matchup!$C$39*$B407),RAND())</f>
        <v>0</v>
      </c>
      <c r="K407" s="0" t="n">
        <f aca="true">CRITBINOM(J407,Coefficients!$B$30,RAND())</f>
        <v>0</v>
      </c>
      <c r="L407" s="0" t="n">
        <f aca="true">CRITBINOM(K407,Coefficients!$B$31,RAND())</f>
        <v>0</v>
      </c>
      <c r="M407" s="0" t="n">
        <f aca="true">CRITBINOM(MAX(0,J407-K407),1-Coefficients!$B$32,RAND())</f>
        <v>0</v>
      </c>
      <c r="N407" s="0" t="n">
        <f aca="true">CRITBINOM(MAX(0,$C407-J407),MIN(0.6,Matchup!$C$40*SQRT($B407)/(1-MIN(0.75,Matchup!$C$39*$B407))),RAND())</f>
        <v>2</v>
      </c>
      <c r="O407" s="0" t="n">
        <f aca="false">6*J407+(J407-K407-M407)+2*L407+3*N407</f>
        <v>6</v>
      </c>
      <c r="P407" s="0" t="n">
        <f aca="true">RAND()</f>
        <v>0.518505044938451</v>
      </c>
      <c r="Q407" s="0" t="n">
        <f aca="true">RAND()</f>
        <v>0.53196292319346</v>
      </c>
      <c r="R407" s="0" t="n">
        <f aca="false">IF($I407&lt;&gt;$O407,0,IF(P407&lt;Matchup!$B$39,7,IF(P407&lt;Matchup!$B$39+Matchup!$B$40,3,0)))</f>
        <v>0</v>
      </c>
      <c r="S407" s="0" t="n">
        <f aca="false">IF($I407&lt;&gt;$O407,0,IF(Q407&lt;Matchup!$C$39,7,IF(Q407&lt;Matchup!$C$39+Matchup!$C$40,3,0)))</f>
        <v>0</v>
      </c>
      <c r="T407" s="0" t="n">
        <f aca="false">I407+R407</f>
        <v>20</v>
      </c>
      <c r="U407" s="0" t="n">
        <f aca="false">O407+S407</f>
        <v>6</v>
      </c>
      <c r="V407" s="0" t="n">
        <f aca="false">T407-U407</f>
        <v>14</v>
      </c>
      <c r="W407" s="0" t="n">
        <f aca="false">T407+U407</f>
        <v>26</v>
      </c>
    </row>
    <row r="408" customFormat="false" ht="15" hidden="false" customHeight="false" outlineLevel="0" collapsed="false">
      <c r="A408" s="0" t="n">
        <v>405</v>
      </c>
      <c r="B408" s="0" t="n">
        <f aca="true">NORMINV(RAND(),1,Coefficients!$B$22)</f>
        <v>0.970131314547187</v>
      </c>
      <c r="C408" s="0" t="n">
        <f aca="true">MEDIAN(8,16,ROUND(NORMINV(RAND(),Coefficients!$B$20,Coefficients!$B$21),0))</f>
        <v>12</v>
      </c>
      <c r="D408" s="0" t="n">
        <f aca="true">CRITBINOM($C408,MIN(0.75,Matchup!$B$39*$B408),RAND())</f>
        <v>3</v>
      </c>
      <c r="E408" s="0" t="n">
        <f aca="true">CRITBINOM(D408,Coefficients!$B$30,RAND())</f>
        <v>1</v>
      </c>
      <c r="F408" s="0" t="n">
        <f aca="true">CRITBINOM(E408,Coefficients!$B$31,RAND())</f>
        <v>1</v>
      </c>
      <c r="G408" s="0" t="n">
        <f aca="true">CRITBINOM(MAX(0,D408-E408),1-Coefficients!$B$32,RAND())</f>
        <v>0</v>
      </c>
      <c r="H408" s="0" t="n">
        <f aca="true">CRITBINOM(MAX(0,$C408-D408),MIN(0.6,Matchup!$B$40*SQRT($B408)/(1-MIN(0.75,Matchup!$B$39*$B408))),RAND())</f>
        <v>1</v>
      </c>
      <c r="I408" s="0" t="n">
        <f aca="false">6*D408+(D408-E408-G408)+2*F408+3*H408</f>
        <v>25</v>
      </c>
      <c r="J408" s="0" t="n">
        <f aca="true">CRITBINOM($C408,MIN(0.75,Matchup!$C$39*$B408),RAND())</f>
        <v>0</v>
      </c>
      <c r="K408" s="0" t="n">
        <f aca="true">CRITBINOM(J408,Coefficients!$B$30,RAND())</f>
        <v>0</v>
      </c>
      <c r="L408" s="0" t="n">
        <f aca="true">CRITBINOM(K408,Coefficients!$B$31,RAND())</f>
        <v>0</v>
      </c>
      <c r="M408" s="0" t="n">
        <f aca="true">CRITBINOM(MAX(0,J408-K408),1-Coefficients!$B$32,RAND())</f>
        <v>0</v>
      </c>
      <c r="N408" s="0" t="n">
        <f aca="true">CRITBINOM(MAX(0,$C408-J408),MIN(0.6,Matchup!$C$40*SQRT($B408)/(1-MIN(0.75,Matchup!$C$39*$B408))),RAND())</f>
        <v>5</v>
      </c>
      <c r="O408" s="0" t="n">
        <f aca="false">6*J408+(J408-K408-M408)+2*L408+3*N408</f>
        <v>15</v>
      </c>
      <c r="P408" s="0" t="n">
        <f aca="true">RAND()</f>
        <v>0.721117184866247</v>
      </c>
      <c r="Q408" s="0" t="n">
        <f aca="true">RAND()</f>
        <v>0.881922812896708</v>
      </c>
      <c r="R408" s="0" t="n">
        <f aca="false">IF($I408&lt;&gt;$O408,0,IF(P408&lt;Matchup!$B$39,7,IF(P408&lt;Matchup!$B$39+Matchup!$B$40,3,0)))</f>
        <v>0</v>
      </c>
      <c r="S408" s="0" t="n">
        <f aca="false">IF($I408&lt;&gt;$O408,0,IF(Q408&lt;Matchup!$C$39,7,IF(Q408&lt;Matchup!$C$39+Matchup!$C$40,3,0)))</f>
        <v>0</v>
      </c>
      <c r="T408" s="0" t="n">
        <f aca="false">I408+R408</f>
        <v>25</v>
      </c>
      <c r="U408" s="0" t="n">
        <f aca="false">O408+S408</f>
        <v>15</v>
      </c>
      <c r="V408" s="0" t="n">
        <f aca="false">T408-U408</f>
        <v>10</v>
      </c>
      <c r="W408" s="0" t="n">
        <f aca="false">T408+U408</f>
        <v>40</v>
      </c>
    </row>
    <row r="409" customFormat="false" ht="15" hidden="false" customHeight="false" outlineLevel="0" collapsed="false">
      <c r="A409" s="0" t="n">
        <v>406</v>
      </c>
      <c r="B409" s="0" t="n">
        <f aca="true">NORMINV(RAND(),1,Coefficients!$B$22)</f>
        <v>1.16833651818218</v>
      </c>
      <c r="C409" s="0" t="n">
        <f aca="true">MEDIAN(8,16,ROUND(NORMINV(RAND(),Coefficients!$B$20,Coefficients!$B$21),0))</f>
        <v>11</v>
      </c>
      <c r="D409" s="0" t="n">
        <f aca="true">CRITBINOM($C409,MIN(0.75,Matchup!$B$39*$B409),RAND())</f>
        <v>3</v>
      </c>
      <c r="E409" s="0" t="n">
        <f aca="true">CRITBINOM(D409,Coefficients!$B$30,RAND())</f>
        <v>0</v>
      </c>
      <c r="F409" s="0" t="n">
        <f aca="true">CRITBINOM(E409,Coefficients!$B$31,RAND())</f>
        <v>0</v>
      </c>
      <c r="G409" s="0" t="n">
        <f aca="true">CRITBINOM(MAX(0,D409-E409),1-Coefficients!$B$32,RAND())</f>
        <v>0</v>
      </c>
      <c r="H409" s="0" t="n">
        <f aca="true">CRITBINOM(MAX(0,$C409-D409),MIN(0.6,Matchup!$B$40*SQRT($B409)/(1-MIN(0.75,Matchup!$B$39*$B409))),RAND())</f>
        <v>0</v>
      </c>
      <c r="I409" s="0" t="n">
        <f aca="false">6*D409+(D409-E409-G409)+2*F409+3*H409</f>
        <v>21</v>
      </c>
      <c r="J409" s="0" t="n">
        <f aca="true">CRITBINOM($C409,MIN(0.75,Matchup!$C$39*$B409),RAND())</f>
        <v>0</v>
      </c>
      <c r="K409" s="0" t="n">
        <f aca="true">CRITBINOM(J409,Coefficients!$B$30,RAND())</f>
        <v>0</v>
      </c>
      <c r="L409" s="0" t="n">
        <f aca="true">CRITBINOM(K409,Coefficients!$B$31,RAND())</f>
        <v>0</v>
      </c>
      <c r="M409" s="0" t="n">
        <f aca="true">CRITBINOM(MAX(0,J409-K409),1-Coefficients!$B$32,RAND())</f>
        <v>0</v>
      </c>
      <c r="N409" s="0" t="n">
        <f aca="true">CRITBINOM(MAX(0,$C409-J409),MIN(0.6,Matchup!$C$40*SQRT($B409)/(1-MIN(0.75,Matchup!$C$39*$B409))),RAND())</f>
        <v>1</v>
      </c>
      <c r="O409" s="0" t="n">
        <f aca="false">6*J409+(J409-K409-M409)+2*L409+3*N409</f>
        <v>3</v>
      </c>
      <c r="P409" s="0" t="n">
        <f aca="true">RAND()</f>
        <v>0.184324214024996</v>
      </c>
      <c r="Q409" s="0" t="n">
        <f aca="true">RAND()</f>
        <v>0.638345884331307</v>
      </c>
      <c r="R409" s="0" t="n">
        <f aca="false">IF($I409&lt;&gt;$O409,0,IF(P409&lt;Matchup!$B$39,7,IF(P409&lt;Matchup!$B$39+Matchup!$B$40,3,0)))</f>
        <v>0</v>
      </c>
      <c r="S409" s="0" t="n">
        <f aca="false">IF($I409&lt;&gt;$O409,0,IF(Q409&lt;Matchup!$C$39,7,IF(Q409&lt;Matchup!$C$39+Matchup!$C$40,3,0)))</f>
        <v>0</v>
      </c>
      <c r="T409" s="0" t="n">
        <f aca="false">I409+R409</f>
        <v>21</v>
      </c>
      <c r="U409" s="0" t="n">
        <f aca="false">O409+S409</f>
        <v>3</v>
      </c>
      <c r="V409" s="0" t="n">
        <f aca="false">T409-U409</f>
        <v>18</v>
      </c>
      <c r="W409" s="0" t="n">
        <f aca="false">T409+U409</f>
        <v>24</v>
      </c>
    </row>
    <row r="410" customFormat="false" ht="15" hidden="false" customHeight="false" outlineLevel="0" collapsed="false">
      <c r="A410" s="0" t="n">
        <v>407</v>
      </c>
      <c r="B410" s="0" t="n">
        <f aca="true">NORMINV(RAND(),1,Coefficients!$B$22)</f>
        <v>0.921847013585776</v>
      </c>
      <c r="C410" s="0" t="n">
        <f aca="true">MEDIAN(8,16,ROUND(NORMINV(RAND(),Coefficients!$B$20,Coefficients!$B$21),0))</f>
        <v>10</v>
      </c>
      <c r="D410" s="0" t="n">
        <f aca="true">CRITBINOM($C410,MIN(0.75,Matchup!$B$39*$B410),RAND())</f>
        <v>1</v>
      </c>
      <c r="E410" s="0" t="n">
        <f aca="true">CRITBINOM(D410,Coefficients!$B$30,RAND())</f>
        <v>0</v>
      </c>
      <c r="F410" s="0" t="n">
        <f aca="true">CRITBINOM(E410,Coefficients!$B$31,RAND())</f>
        <v>0</v>
      </c>
      <c r="G410" s="0" t="n">
        <f aca="true">CRITBINOM(MAX(0,D410-E410),1-Coefficients!$B$32,RAND())</f>
        <v>0</v>
      </c>
      <c r="H410" s="0" t="n">
        <f aca="true">CRITBINOM(MAX(0,$C410-D410),MIN(0.6,Matchup!$B$40*SQRT($B410)/(1-MIN(0.75,Matchup!$B$39*$B410))),RAND())</f>
        <v>1</v>
      </c>
      <c r="I410" s="0" t="n">
        <f aca="false">6*D410+(D410-E410-G410)+2*F410+3*H410</f>
        <v>10</v>
      </c>
      <c r="J410" s="0" t="n">
        <f aca="true">CRITBINOM($C410,MIN(0.75,Matchup!$C$39*$B410),RAND())</f>
        <v>3</v>
      </c>
      <c r="K410" s="0" t="n">
        <f aca="true">CRITBINOM(J410,Coefficients!$B$30,RAND())</f>
        <v>0</v>
      </c>
      <c r="L410" s="0" t="n">
        <f aca="true">CRITBINOM(K410,Coefficients!$B$31,RAND())</f>
        <v>0</v>
      </c>
      <c r="M410" s="0" t="n">
        <f aca="true">CRITBINOM(MAX(0,J410-K410),1-Coefficients!$B$32,RAND())</f>
        <v>0</v>
      </c>
      <c r="N410" s="0" t="n">
        <f aca="true">CRITBINOM(MAX(0,$C410-J410),MIN(0.6,Matchup!$C$40*SQRT($B410)/(1-MIN(0.75,Matchup!$C$39*$B410))),RAND())</f>
        <v>2</v>
      </c>
      <c r="O410" s="0" t="n">
        <f aca="false">6*J410+(J410-K410-M410)+2*L410+3*N410</f>
        <v>27</v>
      </c>
      <c r="P410" s="0" t="n">
        <f aca="true">RAND()</f>
        <v>0.675605735646899</v>
      </c>
      <c r="Q410" s="0" t="n">
        <f aca="true">RAND()</f>
        <v>0.0340600682719229</v>
      </c>
      <c r="R410" s="0" t="n">
        <f aca="false">IF($I410&lt;&gt;$O410,0,IF(P410&lt;Matchup!$B$39,7,IF(P410&lt;Matchup!$B$39+Matchup!$B$40,3,0)))</f>
        <v>0</v>
      </c>
      <c r="S410" s="0" t="n">
        <f aca="false">IF($I410&lt;&gt;$O410,0,IF(Q410&lt;Matchup!$C$39,7,IF(Q410&lt;Matchup!$C$39+Matchup!$C$40,3,0)))</f>
        <v>0</v>
      </c>
      <c r="T410" s="0" t="n">
        <f aca="false">I410+R410</f>
        <v>10</v>
      </c>
      <c r="U410" s="0" t="n">
        <f aca="false">O410+S410</f>
        <v>27</v>
      </c>
      <c r="V410" s="0" t="n">
        <f aca="false">T410-U410</f>
        <v>-17</v>
      </c>
      <c r="W410" s="0" t="n">
        <f aca="false">T410+U410</f>
        <v>37</v>
      </c>
    </row>
    <row r="411" customFormat="false" ht="15" hidden="false" customHeight="false" outlineLevel="0" collapsed="false">
      <c r="A411" s="0" t="n">
        <v>408</v>
      </c>
      <c r="B411" s="0" t="n">
        <f aca="true">NORMINV(RAND(),1,Coefficients!$B$22)</f>
        <v>0.856860640287079</v>
      </c>
      <c r="C411" s="0" t="n">
        <f aca="true">MEDIAN(8,16,ROUND(NORMINV(RAND(),Coefficients!$B$20,Coefficients!$B$21),0))</f>
        <v>12</v>
      </c>
      <c r="D411" s="0" t="n">
        <f aca="true">CRITBINOM($C411,MIN(0.75,Matchup!$B$39*$B411),RAND())</f>
        <v>0</v>
      </c>
      <c r="E411" s="0" t="n">
        <f aca="true">CRITBINOM(D411,Coefficients!$B$30,RAND())</f>
        <v>0</v>
      </c>
      <c r="F411" s="0" t="n">
        <f aca="true">CRITBINOM(E411,Coefficients!$B$31,RAND())</f>
        <v>0</v>
      </c>
      <c r="G411" s="0" t="n">
        <f aca="true">CRITBINOM(MAX(0,D411-E411),1-Coefficients!$B$32,RAND())</f>
        <v>0</v>
      </c>
      <c r="H411" s="0" t="n">
        <f aca="true">CRITBINOM(MAX(0,$C411-D411),MIN(0.6,Matchup!$B$40*SQRT($B411)/(1-MIN(0.75,Matchup!$B$39*$B411))),RAND())</f>
        <v>1</v>
      </c>
      <c r="I411" s="0" t="n">
        <f aca="false">6*D411+(D411-E411-G411)+2*F411+3*H411</f>
        <v>3</v>
      </c>
      <c r="J411" s="0" t="n">
        <f aca="true">CRITBINOM($C411,MIN(0.75,Matchup!$C$39*$B411),RAND())</f>
        <v>2</v>
      </c>
      <c r="K411" s="0" t="n">
        <f aca="true">CRITBINOM(J411,Coefficients!$B$30,RAND())</f>
        <v>0</v>
      </c>
      <c r="L411" s="0" t="n">
        <f aca="true">CRITBINOM(K411,Coefficients!$B$31,RAND())</f>
        <v>0</v>
      </c>
      <c r="M411" s="0" t="n">
        <f aca="true">CRITBINOM(MAX(0,J411-K411),1-Coefficients!$B$32,RAND())</f>
        <v>0</v>
      </c>
      <c r="N411" s="0" t="n">
        <f aca="true">CRITBINOM(MAX(0,$C411-J411),MIN(0.6,Matchup!$C$40*SQRT($B411)/(1-MIN(0.75,Matchup!$C$39*$B411))),RAND())</f>
        <v>1</v>
      </c>
      <c r="O411" s="0" t="n">
        <f aca="false">6*J411+(J411-K411-M411)+2*L411+3*N411</f>
        <v>17</v>
      </c>
      <c r="P411" s="0" t="n">
        <f aca="true">RAND()</f>
        <v>0.20876152546352</v>
      </c>
      <c r="Q411" s="0" t="n">
        <f aca="true">RAND()</f>
        <v>0.738367098576922</v>
      </c>
      <c r="R411" s="0" t="n">
        <f aca="false">IF($I411&lt;&gt;$O411,0,IF(P411&lt;Matchup!$B$39,7,IF(P411&lt;Matchup!$B$39+Matchup!$B$40,3,0)))</f>
        <v>0</v>
      </c>
      <c r="S411" s="0" t="n">
        <f aca="false">IF($I411&lt;&gt;$O411,0,IF(Q411&lt;Matchup!$C$39,7,IF(Q411&lt;Matchup!$C$39+Matchup!$C$40,3,0)))</f>
        <v>0</v>
      </c>
      <c r="T411" s="0" t="n">
        <f aca="false">I411+R411</f>
        <v>3</v>
      </c>
      <c r="U411" s="0" t="n">
        <f aca="false">O411+S411</f>
        <v>17</v>
      </c>
      <c r="V411" s="0" t="n">
        <f aca="false">T411-U411</f>
        <v>-14</v>
      </c>
      <c r="W411" s="0" t="n">
        <f aca="false">T411+U411</f>
        <v>20</v>
      </c>
    </row>
    <row r="412" customFormat="false" ht="15" hidden="false" customHeight="false" outlineLevel="0" collapsed="false">
      <c r="A412" s="0" t="n">
        <v>409</v>
      </c>
      <c r="B412" s="0" t="n">
        <f aca="true">NORMINV(RAND(),1,Coefficients!$B$22)</f>
        <v>1.04283235998124</v>
      </c>
      <c r="C412" s="0" t="n">
        <f aca="true">MEDIAN(8,16,ROUND(NORMINV(RAND(),Coefficients!$B$20,Coefficients!$B$21),0))</f>
        <v>12</v>
      </c>
      <c r="D412" s="0" t="n">
        <f aca="true">CRITBINOM($C412,MIN(0.75,Matchup!$B$39*$B412),RAND())</f>
        <v>6</v>
      </c>
      <c r="E412" s="0" t="n">
        <f aca="true">CRITBINOM(D412,Coefficients!$B$30,RAND())</f>
        <v>1</v>
      </c>
      <c r="F412" s="0" t="n">
        <f aca="true">CRITBINOM(E412,Coefficients!$B$31,RAND())</f>
        <v>1</v>
      </c>
      <c r="G412" s="0" t="n">
        <f aca="true">CRITBINOM(MAX(0,D412-E412),1-Coefficients!$B$32,RAND())</f>
        <v>0</v>
      </c>
      <c r="H412" s="0" t="n">
        <f aca="true">CRITBINOM(MAX(0,$C412-D412),MIN(0.6,Matchup!$B$40*SQRT($B412)/(1-MIN(0.75,Matchup!$B$39*$B412))),RAND())</f>
        <v>1</v>
      </c>
      <c r="I412" s="0" t="n">
        <f aca="false">6*D412+(D412-E412-G412)+2*F412+3*H412</f>
        <v>46</v>
      </c>
      <c r="J412" s="0" t="n">
        <f aca="true">CRITBINOM($C412,MIN(0.75,Matchup!$C$39*$B412),RAND())</f>
        <v>5</v>
      </c>
      <c r="K412" s="0" t="n">
        <f aca="true">CRITBINOM(J412,Coefficients!$B$30,RAND())</f>
        <v>1</v>
      </c>
      <c r="L412" s="0" t="n">
        <f aca="true">CRITBINOM(K412,Coefficients!$B$31,RAND())</f>
        <v>0</v>
      </c>
      <c r="M412" s="0" t="n">
        <f aca="true">CRITBINOM(MAX(0,J412-K412),1-Coefficients!$B$32,RAND())</f>
        <v>1</v>
      </c>
      <c r="N412" s="0" t="n">
        <f aca="true">CRITBINOM(MAX(0,$C412-J412),MIN(0.6,Matchup!$C$40*SQRT($B412)/(1-MIN(0.75,Matchup!$C$39*$B412))),RAND())</f>
        <v>0</v>
      </c>
      <c r="O412" s="0" t="n">
        <f aca="false">6*J412+(J412-K412-M412)+2*L412+3*N412</f>
        <v>33</v>
      </c>
      <c r="P412" s="0" t="n">
        <f aca="true">RAND()</f>
        <v>0.232559007127434</v>
      </c>
      <c r="Q412" s="0" t="n">
        <f aca="true">RAND()</f>
        <v>0.747359987969543</v>
      </c>
      <c r="R412" s="0" t="n">
        <f aca="false">IF($I412&lt;&gt;$O412,0,IF(P412&lt;Matchup!$B$39,7,IF(P412&lt;Matchup!$B$39+Matchup!$B$40,3,0)))</f>
        <v>0</v>
      </c>
      <c r="S412" s="0" t="n">
        <f aca="false">IF($I412&lt;&gt;$O412,0,IF(Q412&lt;Matchup!$C$39,7,IF(Q412&lt;Matchup!$C$39+Matchup!$C$40,3,0)))</f>
        <v>0</v>
      </c>
      <c r="T412" s="0" t="n">
        <f aca="false">I412+R412</f>
        <v>46</v>
      </c>
      <c r="U412" s="0" t="n">
        <f aca="false">O412+S412</f>
        <v>33</v>
      </c>
      <c r="V412" s="0" t="n">
        <f aca="false">T412-U412</f>
        <v>13</v>
      </c>
      <c r="W412" s="0" t="n">
        <f aca="false">T412+U412</f>
        <v>79</v>
      </c>
    </row>
    <row r="413" customFormat="false" ht="15" hidden="false" customHeight="false" outlineLevel="0" collapsed="false">
      <c r="A413" s="0" t="n">
        <v>410</v>
      </c>
      <c r="B413" s="0" t="n">
        <f aca="true">NORMINV(RAND(),1,Coefficients!$B$22)</f>
        <v>0.848677315567643</v>
      </c>
      <c r="C413" s="0" t="n">
        <f aca="true">MEDIAN(8,16,ROUND(NORMINV(RAND(),Coefficients!$B$20,Coefficients!$B$21),0))</f>
        <v>11</v>
      </c>
      <c r="D413" s="0" t="n">
        <f aca="true">CRITBINOM($C413,MIN(0.75,Matchup!$B$39*$B413),RAND())</f>
        <v>1</v>
      </c>
      <c r="E413" s="0" t="n">
        <f aca="true">CRITBINOM(D413,Coefficients!$B$30,RAND())</f>
        <v>0</v>
      </c>
      <c r="F413" s="0" t="n">
        <f aca="true">CRITBINOM(E413,Coefficients!$B$31,RAND())</f>
        <v>0</v>
      </c>
      <c r="G413" s="0" t="n">
        <f aca="true">CRITBINOM(MAX(0,D413-E413),1-Coefficients!$B$32,RAND())</f>
        <v>0</v>
      </c>
      <c r="H413" s="0" t="n">
        <f aca="true">CRITBINOM(MAX(0,$C413-D413),MIN(0.6,Matchup!$B$40*SQRT($B413)/(1-MIN(0.75,Matchup!$B$39*$B413))),RAND())</f>
        <v>0</v>
      </c>
      <c r="I413" s="0" t="n">
        <f aca="false">6*D413+(D413-E413-G413)+2*F413+3*H413</f>
        <v>7</v>
      </c>
      <c r="J413" s="0" t="n">
        <f aca="true">CRITBINOM($C413,MIN(0.75,Matchup!$C$39*$B413),RAND())</f>
        <v>1</v>
      </c>
      <c r="K413" s="0" t="n">
        <f aca="true">CRITBINOM(J413,Coefficients!$B$30,RAND())</f>
        <v>0</v>
      </c>
      <c r="L413" s="0" t="n">
        <f aca="true">CRITBINOM(K413,Coefficients!$B$31,RAND())</f>
        <v>0</v>
      </c>
      <c r="M413" s="0" t="n">
        <f aca="true">CRITBINOM(MAX(0,J413-K413),1-Coefficients!$B$32,RAND())</f>
        <v>0</v>
      </c>
      <c r="N413" s="0" t="n">
        <f aca="true">CRITBINOM(MAX(0,$C413-J413),MIN(0.6,Matchup!$C$40*SQRT($B413)/(1-MIN(0.75,Matchup!$C$39*$B413))),RAND())</f>
        <v>2</v>
      </c>
      <c r="O413" s="0" t="n">
        <f aca="false">6*J413+(J413-K413-M413)+2*L413+3*N413</f>
        <v>13</v>
      </c>
      <c r="P413" s="0" t="n">
        <f aca="true">RAND()</f>
        <v>0.0111426187673904</v>
      </c>
      <c r="Q413" s="0" t="n">
        <f aca="true">RAND()</f>
        <v>0.306172889596113</v>
      </c>
      <c r="R413" s="0" t="n">
        <f aca="false">IF($I413&lt;&gt;$O413,0,IF(P413&lt;Matchup!$B$39,7,IF(P413&lt;Matchup!$B$39+Matchup!$B$40,3,0)))</f>
        <v>0</v>
      </c>
      <c r="S413" s="0" t="n">
        <f aca="false">IF($I413&lt;&gt;$O413,0,IF(Q413&lt;Matchup!$C$39,7,IF(Q413&lt;Matchup!$C$39+Matchup!$C$40,3,0)))</f>
        <v>0</v>
      </c>
      <c r="T413" s="0" t="n">
        <f aca="false">I413+R413</f>
        <v>7</v>
      </c>
      <c r="U413" s="0" t="n">
        <f aca="false">O413+S413</f>
        <v>13</v>
      </c>
      <c r="V413" s="0" t="n">
        <f aca="false">T413-U413</f>
        <v>-6</v>
      </c>
      <c r="W413" s="0" t="n">
        <f aca="false">T413+U413</f>
        <v>20</v>
      </c>
    </row>
    <row r="414" customFormat="false" ht="15" hidden="false" customHeight="false" outlineLevel="0" collapsed="false">
      <c r="A414" s="0" t="n">
        <v>411</v>
      </c>
      <c r="B414" s="0" t="n">
        <f aca="true">NORMINV(RAND(),1,Coefficients!$B$22)</f>
        <v>1.00353534436088</v>
      </c>
      <c r="C414" s="0" t="n">
        <f aca="true">MEDIAN(8,16,ROUND(NORMINV(RAND(),Coefficients!$B$20,Coefficients!$B$21),0))</f>
        <v>13</v>
      </c>
      <c r="D414" s="0" t="n">
        <f aca="true">CRITBINOM($C414,MIN(0.75,Matchup!$B$39*$B414),RAND())</f>
        <v>5</v>
      </c>
      <c r="E414" s="0" t="n">
        <f aca="true">CRITBINOM(D414,Coefficients!$B$30,RAND())</f>
        <v>1</v>
      </c>
      <c r="F414" s="0" t="n">
        <f aca="true">CRITBINOM(E414,Coefficients!$B$31,RAND())</f>
        <v>0</v>
      </c>
      <c r="G414" s="0" t="n">
        <f aca="true">CRITBINOM(MAX(0,D414-E414),1-Coefficients!$B$32,RAND())</f>
        <v>0</v>
      </c>
      <c r="H414" s="0" t="n">
        <f aca="true">CRITBINOM(MAX(0,$C414-D414),MIN(0.6,Matchup!$B$40*SQRT($B414)/(1-MIN(0.75,Matchup!$B$39*$B414))),RAND())</f>
        <v>0</v>
      </c>
      <c r="I414" s="0" t="n">
        <f aca="false">6*D414+(D414-E414-G414)+2*F414+3*H414</f>
        <v>34</v>
      </c>
      <c r="J414" s="0" t="n">
        <f aca="true">CRITBINOM($C414,MIN(0.75,Matchup!$C$39*$B414),RAND())</f>
        <v>3</v>
      </c>
      <c r="K414" s="0" t="n">
        <f aca="true">CRITBINOM(J414,Coefficients!$B$30,RAND())</f>
        <v>0</v>
      </c>
      <c r="L414" s="0" t="n">
        <f aca="true">CRITBINOM(K414,Coefficients!$B$31,RAND())</f>
        <v>0</v>
      </c>
      <c r="M414" s="0" t="n">
        <f aca="true">CRITBINOM(MAX(0,J414-K414),1-Coefficients!$B$32,RAND())</f>
        <v>0</v>
      </c>
      <c r="N414" s="0" t="n">
        <f aca="true">CRITBINOM(MAX(0,$C414-J414),MIN(0.6,Matchup!$C$40*SQRT($B414)/(1-MIN(0.75,Matchup!$C$39*$B414))),RAND())</f>
        <v>4</v>
      </c>
      <c r="O414" s="0" t="n">
        <f aca="false">6*J414+(J414-K414-M414)+2*L414+3*N414</f>
        <v>33</v>
      </c>
      <c r="P414" s="0" t="n">
        <f aca="true">RAND()</f>
        <v>0.411153531285563</v>
      </c>
      <c r="Q414" s="0" t="n">
        <f aca="true">RAND()</f>
        <v>0.126048927422133</v>
      </c>
      <c r="R414" s="0" t="n">
        <f aca="false">IF($I414&lt;&gt;$O414,0,IF(P414&lt;Matchup!$B$39,7,IF(P414&lt;Matchup!$B$39+Matchup!$B$40,3,0)))</f>
        <v>0</v>
      </c>
      <c r="S414" s="0" t="n">
        <f aca="false">IF($I414&lt;&gt;$O414,0,IF(Q414&lt;Matchup!$C$39,7,IF(Q414&lt;Matchup!$C$39+Matchup!$C$40,3,0)))</f>
        <v>0</v>
      </c>
      <c r="T414" s="0" t="n">
        <f aca="false">I414+R414</f>
        <v>34</v>
      </c>
      <c r="U414" s="0" t="n">
        <f aca="false">O414+S414</f>
        <v>33</v>
      </c>
      <c r="V414" s="0" t="n">
        <f aca="false">T414-U414</f>
        <v>1</v>
      </c>
      <c r="W414" s="0" t="n">
        <f aca="false">T414+U414</f>
        <v>67</v>
      </c>
    </row>
    <row r="415" customFormat="false" ht="15" hidden="false" customHeight="false" outlineLevel="0" collapsed="false">
      <c r="A415" s="0" t="n">
        <v>412</v>
      </c>
      <c r="B415" s="0" t="n">
        <f aca="true">NORMINV(RAND(),1,Coefficients!$B$22)</f>
        <v>1.00474805822078</v>
      </c>
      <c r="C415" s="0" t="n">
        <f aca="true">MEDIAN(8,16,ROUND(NORMINV(RAND(),Coefficients!$B$20,Coefficients!$B$21),0))</f>
        <v>14</v>
      </c>
      <c r="D415" s="0" t="n">
        <f aca="true">CRITBINOM($C415,MIN(0.75,Matchup!$B$39*$B415),RAND())</f>
        <v>4</v>
      </c>
      <c r="E415" s="0" t="n">
        <f aca="true">CRITBINOM(D415,Coefficients!$B$30,RAND())</f>
        <v>0</v>
      </c>
      <c r="F415" s="0" t="n">
        <f aca="true">CRITBINOM(E415,Coefficients!$B$31,RAND())</f>
        <v>0</v>
      </c>
      <c r="G415" s="0" t="n">
        <f aca="true">CRITBINOM(MAX(0,D415-E415),1-Coefficients!$B$32,RAND())</f>
        <v>0</v>
      </c>
      <c r="H415" s="0" t="n">
        <f aca="true">CRITBINOM(MAX(0,$C415-D415),MIN(0.6,Matchup!$B$40*SQRT($B415)/(1-MIN(0.75,Matchup!$B$39*$B415))),RAND())</f>
        <v>1</v>
      </c>
      <c r="I415" s="0" t="n">
        <f aca="false">6*D415+(D415-E415-G415)+2*F415+3*H415</f>
        <v>31</v>
      </c>
      <c r="J415" s="0" t="n">
        <f aca="true">CRITBINOM($C415,MIN(0.75,Matchup!$C$39*$B415),RAND())</f>
        <v>3</v>
      </c>
      <c r="K415" s="0" t="n">
        <f aca="true">CRITBINOM(J415,Coefficients!$B$30,RAND())</f>
        <v>0</v>
      </c>
      <c r="L415" s="0" t="n">
        <f aca="true">CRITBINOM(K415,Coefficients!$B$31,RAND())</f>
        <v>0</v>
      </c>
      <c r="M415" s="0" t="n">
        <f aca="true">CRITBINOM(MAX(0,J415-K415),1-Coefficients!$B$32,RAND())</f>
        <v>0</v>
      </c>
      <c r="N415" s="0" t="n">
        <f aca="true">CRITBINOM(MAX(0,$C415-J415),MIN(0.6,Matchup!$C$40*SQRT($B415)/(1-MIN(0.75,Matchup!$C$39*$B415))),RAND())</f>
        <v>0</v>
      </c>
      <c r="O415" s="0" t="n">
        <f aca="false">6*J415+(J415-K415-M415)+2*L415+3*N415</f>
        <v>21</v>
      </c>
      <c r="P415" s="0" t="n">
        <f aca="true">RAND()</f>
        <v>0.279769908147854</v>
      </c>
      <c r="Q415" s="0" t="n">
        <f aca="true">RAND()</f>
        <v>0.545693299914449</v>
      </c>
      <c r="R415" s="0" t="n">
        <f aca="false">IF($I415&lt;&gt;$O415,0,IF(P415&lt;Matchup!$B$39,7,IF(P415&lt;Matchup!$B$39+Matchup!$B$40,3,0)))</f>
        <v>0</v>
      </c>
      <c r="S415" s="0" t="n">
        <f aca="false">IF($I415&lt;&gt;$O415,0,IF(Q415&lt;Matchup!$C$39,7,IF(Q415&lt;Matchup!$C$39+Matchup!$C$40,3,0)))</f>
        <v>0</v>
      </c>
      <c r="T415" s="0" t="n">
        <f aca="false">I415+R415</f>
        <v>31</v>
      </c>
      <c r="U415" s="0" t="n">
        <f aca="false">O415+S415</f>
        <v>21</v>
      </c>
      <c r="V415" s="0" t="n">
        <f aca="false">T415-U415</f>
        <v>10</v>
      </c>
      <c r="W415" s="0" t="n">
        <f aca="false">T415+U415</f>
        <v>52</v>
      </c>
    </row>
    <row r="416" customFormat="false" ht="15" hidden="false" customHeight="false" outlineLevel="0" collapsed="false">
      <c r="A416" s="0" t="n">
        <v>413</v>
      </c>
      <c r="B416" s="0" t="n">
        <f aca="true">NORMINV(RAND(),1,Coefficients!$B$22)</f>
        <v>1.08622359522015</v>
      </c>
      <c r="C416" s="0" t="n">
        <f aca="true">MEDIAN(8,16,ROUND(NORMINV(RAND(),Coefficients!$B$20,Coefficients!$B$21),0))</f>
        <v>13</v>
      </c>
      <c r="D416" s="0" t="n">
        <f aca="true">CRITBINOM($C416,MIN(0.75,Matchup!$B$39*$B416),RAND())</f>
        <v>2</v>
      </c>
      <c r="E416" s="0" t="n">
        <f aca="true">CRITBINOM(D416,Coefficients!$B$30,RAND())</f>
        <v>0</v>
      </c>
      <c r="F416" s="0" t="n">
        <f aca="true">CRITBINOM(E416,Coefficients!$B$31,RAND())</f>
        <v>0</v>
      </c>
      <c r="G416" s="0" t="n">
        <f aca="true">CRITBINOM(MAX(0,D416-E416),1-Coefficients!$B$32,RAND())</f>
        <v>0</v>
      </c>
      <c r="H416" s="0" t="n">
        <f aca="true">CRITBINOM(MAX(0,$C416-D416),MIN(0.6,Matchup!$B$40*SQRT($B416)/(1-MIN(0.75,Matchup!$B$39*$B416))),RAND())</f>
        <v>2</v>
      </c>
      <c r="I416" s="0" t="n">
        <f aca="false">6*D416+(D416-E416-G416)+2*F416+3*H416</f>
        <v>20</v>
      </c>
      <c r="J416" s="0" t="n">
        <f aca="true">CRITBINOM($C416,MIN(0.75,Matchup!$C$39*$B416),RAND())</f>
        <v>5</v>
      </c>
      <c r="K416" s="0" t="n">
        <f aca="true">CRITBINOM(J416,Coefficients!$B$30,RAND())</f>
        <v>1</v>
      </c>
      <c r="L416" s="0" t="n">
        <f aca="true">CRITBINOM(K416,Coefficients!$B$31,RAND())</f>
        <v>0</v>
      </c>
      <c r="M416" s="0" t="n">
        <f aca="true">CRITBINOM(MAX(0,J416-K416),1-Coefficients!$B$32,RAND())</f>
        <v>0</v>
      </c>
      <c r="N416" s="0" t="n">
        <f aca="true">CRITBINOM(MAX(0,$C416-J416),MIN(0.6,Matchup!$C$40*SQRT($B416)/(1-MIN(0.75,Matchup!$C$39*$B416))),RAND())</f>
        <v>2</v>
      </c>
      <c r="O416" s="0" t="n">
        <f aca="false">6*J416+(J416-K416-M416)+2*L416+3*N416</f>
        <v>40</v>
      </c>
      <c r="P416" s="0" t="n">
        <f aca="true">RAND()</f>
        <v>0.594997002380405</v>
      </c>
      <c r="Q416" s="0" t="n">
        <f aca="true">RAND()</f>
        <v>0.572721270927819</v>
      </c>
      <c r="R416" s="0" t="n">
        <f aca="false">IF($I416&lt;&gt;$O416,0,IF(P416&lt;Matchup!$B$39,7,IF(P416&lt;Matchup!$B$39+Matchup!$B$40,3,0)))</f>
        <v>0</v>
      </c>
      <c r="S416" s="0" t="n">
        <f aca="false">IF($I416&lt;&gt;$O416,0,IF(Q416&lt;Matchup!$C$39,7,IF(Q416&lt;Matchup!$C$39+Matchup!$C$40,3,0)))</f>
        <v>0</v>
      </c>
      <c r="T416" s="0" t="n">
        <f aca="false">I416+R416</f>
        <v>20</v>
      </c>
      <c r="U416" s="0" t="n">
        <f aca="false">O416+S416</f>
        <v>40</v>
      </c>
      <c r="V416" s="0" t="n">
        <f aca="false">T416-U416</f>
        <v>-20</v>
      </c>
      <c r="W416" s="0" t="n">
        <f aca="false">T416+U416</f>
        <v>60</v>
      </c>
    </row>
    <row r="417" customFormat="false" ht="15" hidden="false" customHeight="false" outlineLevel="0" collapsed="false">
      <c r="A417" s="0" t="n">
        <v>414</v>
      </c>
      <c r="B417" s="0" t="n">
        <f aca="true">NORMINV(RAND(),1,Coefficients!$B$22)</f>
        <v>0.882203265492642</v>
      </c>
      <c r="C417" s="0" t="n">
        <f aca="true">MEDIAN(8,16,ROUND(NORMINV(RAND(),Coefficients!$B$20,Coefficients!$B$21),0))</f>
        <v>12</v>
      </c>
      <c r="D417" s="0" t="n">
        <f aca="true">CRITBINOM($C417,MIN(0.75,Matchup!$B$39*$B417),RAND())</f>
        <v>3</v>
      </c>
      <c r="E417" s="0" t="n">
        <f aca="true">CRITBINOM(D417,Coefficients!$B$30,RAND())</f>
        <v>0</v>
      </c>
      <c r="F417" s="0" t="n">
        <f aca="true">CRITBINOM(E417,Coefficients!$B$31,RAND())</f>
        <v>0</v>
      </c>
      <c r="G417" s="0" t="n">
        <f aca="true">CRITBINOM(MAX(0,D417-E417),1-Coefficients!$B$32,RAND())</f>
        <v>0</v>
      </c>
      <c r="H417" s="0" t="n">
        <f aca="true">CRITBINOM(MAX(0,$C417-D417),MIN(0.6,Matchup!$B$40*SQRT($B417)/(1-MIN(0.75,Matchup!$B$39*$B417))),RAND())</f>
        <v>0</v>
      </c>
      <c r="I417" s="0" t="n">
        <f aca="false">6*D417+(D417-E417-G417)+2*F417+3*H417</f>
        <v>21</v>
      </c>
      <c r="J417" s="0" t="n">
        <f aca="true">CRITBINOM($C417,MIN(0.75,Matchup!$C$39*$B417),RAND())</f>
        <v>2</v>
      </c>
      <c r="K417" s="0" t="n">
        <f aca="true">CRITBINOM(J417,Coefficients!$B$30,RAND())</f>
        <v>0</v>
      </c>
      <c r="L417" s="0" t="n">
        <f aca="true">CRITBINOM(K417,Coefficients!$B$31,RAND())</f>
        <v>0</v>
      </c>
      <c r="M417" s="0" t="n">
        <f aca="true">CRITBINOM(MAX(0,J417-K417),1-Coefficients!$B$32,RAND())</f>
        <v>1</v>
      </c>
      <c r="N417" s="0" t="n">
        <f aca="true">CRITBINOM(MAX(0,$C417-J417),MIN(0.6,Matchup!$C$40*SQRT($B417)/(1-MIN(0.75,Matchup!$C$39*$B417))),RAND())</f>
        <v>2</v>
      </c>
      <c r="O417" s="0" t="n">
        <f aca="false">6*J417+(J417-K417-M417)+2*L417+3*N417</f>
        <v>19</v>
      </c>
      <c r="P417" s="0" t="n">
        <f aca="true">RAND()</f>
        <v>0.905428711834611</v>
      </c>
      <c r="Q417" s="0" t="n">
        <f aca="true">RAND()</f>
        <v>0.2978078263191</v>
      </c>
      <c r="R417" s="0" t="n">
        <f aca="false">IF($I417&lt;&gt;$O417,0,IF(P417&lt;Matchup!$B$39,7,IF(P417&lt;Matchup!$B$39+Matchup!$B$40,3,0)))</f>
        <v>0</v>
      </c>
      <c r="S417" s="0" t="n">
        <f aca="false">IF($I417&lt;&gt;$O417,0,IF(Q417&lt;Matchup!$C$39,7,IF(Q417&lt;Matchup!$C$39+Matchup!$C$40,3,0)))</f>
        <v>0</v>
      </c>
      <c r="T417" s="0" t="n">
        <f aca="false">I417+R417</f>
        <v>21</v>
      </c>
      <c r="U417" s="0" t="n">
        <f aca="false">O417+S417</f>
        <v>19</v>
      </c>
      <c r="V417" s="0" t="n">
        <f aca="false">T417-U417</f>
        <v>2</v>
      </c>
      <c r="W417" s="0" t="n">
        <f aca="false">T417+U417</f>
        <v>40</v>
      </c>
    </row>
    <row r="418" customFormat="false" ht="15" hidden="false" customHeight="false" outlineLevel="0" collapsed="false">
      <c r="A418" s="0" t="n">
        <v>415</v>
      </c>
      <c r="B418" s="0" t="n">
        <f aca="true">NORMINV(RAND(),1,Coefficients!$B$22)</f>
        <v>1.11410089610164</v>
      </c>
      <c r="C418" s="0" t="n">
        <f aca="true">MEDIAN(8,16,ROUND(NORMINV(RAND(),Coefficients!$B$20,Coefficients!$B$21),0))</f>
        <v>11</v>
      </c>
      <c r="D418" s="0" t="n">
        <f aca="true">CRITBINOM($C418,MIN(0.75,Matchup!$B$39*$B418),RAND())</f>
        <v>2</v>
      </c>
      <c r="E418" s="0" t="n">
        <f aca="true">CRITBINOM(D418,Coefficients!$B$30,RAND())</f>
        <v>0</v>
      </c>
      <c r="F418" s="0" t="n">
        <f aca="true">CRITBINOM(E418,Coefficients!$B$31,RAND())</f>
        <v>0</v>
      </c>
      <c r="G418" s="0" t="n">
        <f aca="true">CRITBINOM(MAX(0,D418-E418),1-Coefficients!$B$32,RAND())</f>
        <v>1</v>
      </c>
      <c r="H418" s="0" t="n">
        <f aca="true">CRITBINOM(MAX(0,$C418-D418),MIN(0.6,Matchup!$B$40*SQRT($B418)/(1-MIN(0.75,Matchup!$B$39*$B418))),RAND())</f>
        <v>2</v>
      </c>
      <c r="I418" s="0" t="n">
        <f aca="false">6*D418+(D418-E418-G418)+2*F418+3*H418</f>
        <v>19</v>
      </c>
      <c r="J418" s="0" t="n">
        <f aca="true">CRITBINOM($C418,MIN(0.75,Matchup!$C$39*$B418),RAND())</f>
        <v>4</v>
      </c>
      <c r="K418" s="0" t="n">
        <f aca="true">CRITBINOM(J418,Coefficients!$B$30,RAND())</f>
        <v>0</v>
      </c>
      <c r="L418" s="0" t="n">
        <f aca="true">CRITBINOM(K418,Coefficients!$B$31,RAND())</f>
        <v>0</v>
      </c>
      <c r="M418" s="0" t="n">
        <f aca="true">CRITBINOM(MAX(0,J418-K418),1-Coefficients!$B$32,RAND())</f>
        <v>0</v>
      </c>
      <c r="N418" s="0" t="n">
        <f aca="true">CRITBINOM(MAX(0,$C418-J418),MIN(0.6,Matchup!$C$40*SQRT($B418)/(1-MIN(0.75,Matchup!$C$39*$B418))),RAND())</f>
        <v>2</v>
      </c>
      <c r="O418" s="0" t="n">
        <f aca="false">6*J418+(J418-K418-M418)+2*L418+3*N418</f>
        <v>34</v>
      </c>
      <c r="P418" s="0" t="n">
        <f aca="true">RAND()</f>
        <v>0.33753787574424</v>
      </c>
      <c r="Q418" s="0" t="n">
        <f aca="true">RAND()</f>
        <v>0.208568739932469</v>
      </c>
      <c r="R418" s="0" t="n">
        <f aca="false">IF($I418&lt;&gt;$O418,0,IF(P418&lt;Matchup!$B$39,7,IF(P418&lt;Matchup!$B$39+Matchup!$B$40,3,0)))</f>
        <v>0</v>
      </c>
      <c r="S418" s="0" t="n">
        <f aca="false">IF($I418&lt;&gt;$O418,0,IF(Q418&lt;Matchup!$C$39,7,IF(Q418&lt;Matchup!$C$39+Matchup!$C$40,3,0)))</f>
        <v>0</v>
      </c>
      <c r="T418" s="0" t="n">
        <f aca="false">I418+R418</f>
        <v>19</v>
      </c>
      <c r="U418" s="0" t="n">
        <f aca="false">O418+S418</f>
        <v>34</v>
      </c>
      <c r="V418" s="0" t="n">
        <f aca="false">T418-U418</f>
        <v>-15</v>
      </c>
      <c r="W418" s="0" t="n">
        <f aca="false">T418+U418</f>
        <v>53</v>
      </c>
    </row>
    <row r="419" customFormat="false" ht="15" hidden="false" customHeight="false" outlineLevel="0" collapsed="false">
      <c r="A419" s="0" t="n">
        <v>416</v>
      </c>
      <c r="B419" s="0" t="n">
        <f aca="true">NORMINV(RAND(),1,Coefficients!$B$22)</f>
        <v>1.07286580551175</v>
      </c>
      <c r="C419" s="0" t="n">
        <f aca="true">MEDIAN(8,16,ROUND(NORMINV(RAND(),Coefficients!$B$20,Coefficients!$B$21),0))</f>
        <v>13</v>
      </c>
      <c r="D419" s="0" t="n">
        <f aca="true">CRITBINOM($C419,MIN(0.75,Matchup!$B$39*$B419),RAND())</f>
        <v>3</v>
      </c>
      <c r="E419" s="0" t="n">
        <f aca="true">CRITBINOM(D419,Coefficients!$B$30,RAND())</f>
        <v>1</v>
      </c>
      <c r="F419" s="0" t="n">
        <f aca="true">CRITBINOM(E419,Coefficients!$B$31,RAND())</f>
        <v>1</v>
      </c>
      <c r="G419" s="0" t="n">
        <f aca="true">CRITBINOM(MAX(0,D419-E419),1-Coefficients!$B$32,RAND())</f>
        <v>0</v>
      </c>
      <c r="H419" s="0" t="n">
        <f aca="true">CRITBINOM(MAX(0,$C419-D419),MIN(0.6,Matchup!$B$40*SQRT($B419)/(1-MIN(0.75,Matchup!$B$39*$B419))),RAND())</f>
        <v>2</v>
      </c>
      <c r="I419" s="0" t="n">
        <f aca="false">6*D419+(D419-E419-G419)+2*F419+3*H419</f>
        <v>28</v>
      </c>
      <c r="J419" s="0" t="n">
        <f aca="true">CRITBINOM($C419,MIN(0.75,Matchup!$C$39*$B419),RAND())</f>
        <v>4</v>
      </c>
      <c r="K419" s="0" t="n">
        <f aca="true">CRITBINOM(J419,Coefficients!$B$30,RAND())</f>
        <v>0</v>
      </c>
      <c r="L419" s="0" t="n">
        <f aca="true">CRITBINOM(K419,Coefficients!$B$31,RAND())</f>
        <v>0</v>
      </c>
      <c r="M419" s="0" t="n">
        <f aca="true">CRITBINOM(MAX(0,J419-K419),1-Coefficients!$B$32,RAND())</f>
        <v>0</v>
      </c>
      <c r="N419" s="0" t="n">
        <f aca="true">CRITBINOM(MAX(0,$C419-J419),MIN(0.6,Matchup!$C$40*SQRT($B419)/(1-MIN(0.75,Matchup!$C$39*$B419))),RAND())</f>
        <v>2</v>
      </c>
      <c r="O419" s="0" t="n">
        <f aca="false">6*J419+(J419-K419-M419)+2*L419+3*N419</f>
        <v>34</v>
      </c>
      <c r="P419" s="0" t="n">
        <f aca="true">RAND()</f>
        <v>0.940905743564711</v>
      </c>
      <c r="Q419" s="0" t="n">
        <f aca="true">RAND()</f>
        <v>0.736851925291652</v>
      </c>
      <c r="R419" s="0" t="n">
        <f aca="false">IF($I419&lt;&gt;$O419,0,IF(P419&lt;Matchup!$B$39,7,IF(P419&lt;Matchup!$B$39+Matchup!$B$40,3,0)))</f>
        <v>0</v>
      </c>
      <c r="S419" s="0" t="n">
        <f aca="false">IF($I419&lt;&gt;$O419,0,IF(Q419&lt;Matchup!$C$39,7,IF(Q419&lt;Matchup!$C$39+Matchup!$C$40,3,0)))</f>
        <v>0</v>
      </c>
      <c r="T419" s="0" t="n">
        <f aca="false">I419+R419</f>
        <v>28</v>
      </c>
      <c r="U419" s="0" t="n">
        <f aca="false">O419+S419</f>
        <v>34</v>
      </c>
      <c r="V419" s="0" t="n">
        <f aca="false">T419-U419</f>
        <v>-6</v>
      </c>
      <c r="W419" s="0" t="n">
        <f aca="false">T419+U419</f>
        <v>62</v>
      </c>
    </row>
    <row r="420" customFormat="false" ht="15" hidden="false" customHeight="false" outlineLevel="0" collapsed="false">
      <c r="A420" s="0" t="n">
        <v>417</v>
      </c>
      <c r="B420" s="0" t="n">
        <f aca="true">NORMINV(RAND(),1,Coefficients!$B$22)</f>
        <v>0.932194581566697</v>
      </c>
      <c r="C420" s="0" t="n">
        <f aca="true">MEDIAN(8,16,ROUND(NORMINV(RAND(),Coefficients!$B$20,Coefficients!$B$21),0))</f>
        <v>11</v>
      </c>
      <c r="D420" s="0" t="n">
        <f aca="true">CRITBINOM($C420,MIN(0.75,Matchup!$B$39*$B420),RAND())</f>
        <v>1</v>
      </c>
      <c r="E420" s="0" t="n">
        <f aca="true">CRITBINOM(D420,Coefficients!$B$30,RAND())</f>
        <v>0</v>
      </c>
      <c r="F420" s="0" t="n">
        <f aca="true">CRITBINOM(E420,Coefficients!$B$31,RAND())</f>
        <v>0</v>
      </c>
      <c r="G420" s="0" t="n">
        <f aca="true">CRITBINOM(MAX(0,D420-E420),1-Coefficients!$B$32,RAND())</f>
        <v>0</v>
      </c>
      <c r="H420" s="0" t="n">
        <f aca="true">CRITBINOM(MAX(0,$C420-D420),MIN(0.6,Matchup!$B$40*SQRT($B420)/(1-MIN(0.75,Matchup!$B$39*$B420))),RAND())</f>
        <v>1</v>
      </c>
      <c r="I420" s="0" t="n">
        <f aca="false">6*D420+(D420-E420-G420)+2*F420+3*H420</f>
        <v>10</v>
      </c>
      <c r="J420" s="0" t="n">
        <f aca="true">CRITBINOM($C420,MIN(0.75,Matchup!$C$39*$B420),RAND())</f>
        <v>1</v>
      </c>
      <c r="K420" s="0" t="n">
        <f aca="true">CRITBINOM(J420,Coefficients!$B$30,RAND())</f>
        <v>0</v>
      </c>
      <c r="L420" s="0" t="n">
        <f aca="true">CRITBINOM(K420,Coefficients!$B$31,RAND())</f>
        <v>0</v>
      </c>
      <c r="M420" s="0" t="n">
        <f aca="true">CRITBINOM(MAX(0,J420-K420),1-Coefficients!$B$32,RAND())</f>
        <v>0</v>
      </c>
      <c r="N420" s="0" t="n">
        <f aca="true">CRITBINOM(MAX(0,$C420-J420),MIN(0.6,Matchup!$C$40*SQRT($B420)/(1-MIN(0.75,Matchup!$C$39*$B420))),RAND())</f>
        <v>3</v>
      </c>
      <c r="O420" s="0" t="n">
        <f aca="false">6*J420+(J420-K420-M420)+2*L420+3*N420</f>
        <v>16</v>
      </c>
      <c r="P420" s="0" t="n">
        <f aca="true">RAND()</f>
        <v>0.894086868682182</v>
      </c>
      <c r="Q420" s="0" t="n">
        <f aca="true">RAND()</f>
        <v>0.981259366031962</v>
      </c>
      <c r="R420" s="0" t="n">
        <f aca="false">IF($I420&lt;&gt;$O420,0,IF(P420&lt;Matchup!$B$39,7,IF(P420&lt;Matchup!$B$39+Matchup!$B$40,3,0)))</f>
        <v>0</v>
      </c>
      <c r="S420" s="0" t="n">
        <f aca="false">IF($I420&lt;&gt;$O420,0,IF(Q420&lt;Matchup!$C$39,7,IF(Q420&lt;Matchup!$C$39+Matchup!$C$40,3,0)))</f>
        <v>0</v>
      </c>
      <c r="T420" s="0" t="n">
        <f aca="false">I420+R420</f>
        <v>10</v>
      </c>
      <c r="U420" s="0" t="n">
        <f aca="false">O420+S420</f>
        <v>16</v>
      </c>
      <c r="V420" s="0" t="n">
        <f aca="false">T420-U420</f>
        <v>-6</v>
      </c>
      <c r="W420" s="0" t="n">
        <f aca="false">T420+U420</f>
        <v>26</v>
      </c>
    </row>
    <row r="421" customFormat="false" ht="15" hidden="false" customHeight="false" outlineLevel="0" collapsed="false">
      <c r="A421" s="0" t="n">
        <v>418</v>
      </c>
      <c r="B421" s="0" t="n">
        <f aca="true">NORMINV(RAND(),1,Coefficients!$B$22)</f>
        <v>1.01587474786087</v>
      </c>
      <c r="C421" s="0" t="n">
        <f aca="true">MEDIAN(8,16,ROUND(NORMINV(RAND(),Coefficients!$B$20,Coefficients!$B$21),0))</f>
        <v>10</v>
      </c>
      <c r="D421" s="0" t="n">
        <f aca="true">CRITBINOM($C421,MIN(0.75,Matchup!$B$39*$B421),RAND())</f>
        <v>5</v>
      </c>
      <c r="E421" s="0" t="n">
        <f aca="true">CRITBINOM(D421,Coefficients!$B$30,RAND())</f>
        <v>2</v>
      </c>
      <c r="F421" s="0" t="n">
        <f aca="true">CRITBINOM(E421,Coefficients!$B$31,RAND())</f>
        <v>0</v>
      </c>
      <c r="G421" s="0" t="n">
        <f aca="true">CRITBINOM(MAX(0,D421-E421),1-Coefficients!$B$32,RAND())</f>
        <v>0</v>
      </c>
      <c r="H421" s="0" t="n">
        <f aca="true">CRITBINOM(MAX(0,$C421-D421),MIN(0.6,Matchup!$B$40*SQRT($B421)/(1-MIN(0.75,Matchup!$B$39*$B421))),RAND())</f>
        <v>0</v>
      </c>
      <c r="I421" s="0" t="n">
        <f aca="false">6*D421+(D421-E421-G421)+2*F421+3*H421</f>
        <v>33</v>
      </c>
      <c r="J421" s="0" t="n">
        <f aca="true">CRITBINOM($C421,MIN(0.75,Matchup!$C$39*$B421),RAND())</f>
        <v>3</v>
      </c>
      <c r="K421" s="0" t="n">
        <f aca="true">CRITBINOM(J421,Coefficients!$B$30,RAND())</f>
        <v>0</v>
      </c>
      <c r="L421" s="0" t="n">
        <f aca="true">CRITBINOM(K421,Coefficients!$B$31,RAND())</f>
        <v>0</v>
      </c>
      <c r="M421" s="0" t="n">
        <f aca="true">CRITBINOM(MAX(0,J421-K421),1-Coefficients!$B$32,RAND())</f>
        <v>0</v>
      </c>
      <c r="N421" s="0" t="n">
        <f aca="true">CRITBINOM(MAX(0,$C421-J421),MIN(0.6,Matchup!$C$40*SQRT($B421)/(1-MIN(0.75,Matchup!$C$39*$B421))),RAND())</f>
        <v>0</v>
      </c>
      <c r="O421" s="0" t="n">
        <f aca="false">6*J421+(J421-K421-M421)+2*L421+3*N421</f>
        <v>21</v>
      </c>
      <c r="P421" s="0" t="n">
        <f aca="true">RAND()</f>
        <v>0.0603519279323749</v>
      </c>
      <c r="Q421" s="0" t="n">
        <f aca="true">RAND()</f>
        <v>0.721172690643387</v>
      </c>
      <c r="R421" s="0" t="n">
        <f aca="false">IF($I421&lt;&gt;$O421,0,IF(P421&lt;Matchup!$B$39,7,IF(P421&lt;Matchup!$B$39+Matchup!$B$40,3,0)))</f>
        <v>0</v>
      </c>
      <c r="S421" s="0" t="n">
        <f aca="false">IF($I421&lt;&gt;$O421,0,IF(Q421&lt;Matchup!$C$39,7,IF(Q421&lt;Matchup!$C$39+Matchup!$C$40,3,0)))</f>
        <v>0</v>
      </c>
      <c r="T421" s="0" t="n">
        <f aca="false">I421+R421</f>
        <v>33</v>
      </c>
      <c r="U421" s="0" t="n">
        <f aca="false">O421+S421</f>
        <v>21</v>
      </c>
      <c r="V421" s="0" t="n">
        <f aca="false">T421-U421</f>
        <v>12</v>
      </c>
      <c r="W421" s="0" t="n">
        <f aca="false">T421+U421</f>
        <v>54</v>
      </c>
    </row>
    <row r="422" customFormat="false" ht="15" hidden="false" customHeight="false" outlineLevel="0" collapsed="false">
      <c r="A422" s="0" t="n">
        <v>419</v>
      </c>
      <c r="B422" s="0" t="n">
        <f aca="true">NORMINV(RAND(),1,Coefficients!$B$22)</f>
        <v>0.959865553272556</v>
      </c>
      <c r="C422" s="0" t="n">
        <f aca="true">MEDIAN(8,16,ROUND(NORMINV(RAND(),Coefficients!$B$20,Coefficients!$B$21),0))</f>
        <v>11</v>
      </c>
      <c r="D422" s="0" t="n">
        <f aca="true">CRITBINOM($C422,MIN(0.75,Matchup!$B$39*$B422),RAND())</f>
        <v>2</v>
      </c>
      <c r="E422" s="0" t="n">
        <f aca="true">CRITBINOM(D422,Coefficients!$B$30,RAND())</f>
        <v>0</v>
      </c>
      <c r="F422" s="0" t="n">
        <f aca="true">CRITBINOM(E422,Coefficients!$B$31,RAND())</f>
        <v>0</v>
      </c>
      <c r="G422" s="0" t="n">
        <f aca="true">CRITBINOM(MAX(0,D422-E422),1-Coefficients!$B$32,RAND())</f>
        <v>0</v>
      </c>
      <c r="H422" s="0" t="n">
        <f aca="true">CRITBINOM(MAX(0,$C422-D422),MIN(0.6,Matchup!$B$40*SQRT($B422)/(1-MIN(0.75,Matchup!$B$39*$B422))),RAND())</f>
        <v>2</v>
      </c>
      <c r="I422" s="0" t="n">
        <f aca="false">6*D422+(D422-E422-G422)+2*F422+3*H422</f>
        <v>20</v>
      </c>
      <c r="J422" s="0" t="n">
        <f aca="true">CRITBINOM($C422,MIN(0.75,Matchup!$C$39*$B422),RAND())</f>
        <v>1</v>
      </c>
      <c r="K422" s="0" t="n">
        <f aca="true">CRITBINOM(J422,Coefficients!$B$30,RAND())</f>
        <v>0</v>
      </c>
      <c r="L422" s="0" t="n">
        <f aca="true">CRITBINOM(K422,Coefficients!$B$31,RAND())</f>
        <v>0</v>
      </c>
      <c r="M422" s="0" t="n">
        <f aca="true">CRITBINOM(MAX(0,J422-K422),1-Coefficients!$B$32,RAND())</f>
        <v>0</v>
      </c>
      <c r="N422" s="0" t="n">
        <f aca="true">CRITBINOM(MAX(0,$C422-J422),MIN(0.6,Matchup!$C$40*SQRT($B422)/(1-MIN(0.75,Matchup!$C$39*$B422))),RAND())</f>
        <v>1</v>
      </c>
      <c r="O422" s="0" t="n">
        <f aca="false">6*J422+(J422-K422-M422)+2*L422+3*N422</f>
        <v>10</v>
      </c>
      <c r="P422" s="0" t="n">
        <f aca="true">RAND()</f>
        <v>0.499943853605076</v>
      </c>
      <c r="Q422" s="0" t="n">
        <f aca="true">RAND()</f>
        <v>0.614499419336269</v>
      </c>
      <c r="R422" s="0" t="n">
        <f aca="false">IF($I422&lt;&gt;$O422,0,IF(P422&lt;Matchup!$B$39,7,IF(P422&lt;Matchup!$B$39+Matchup!$B$40,3,0)))</f>
        <v>0</v>
      </c>
      <c r="S422" s="0" t="n">
        <f aca="false">IF($I422&lt;&gt;$O422,0,IF(Q422&lt;Matchup!$C$39,7,IF(Q422&lt;Matchup!$C$39+Matchup!$C$40,3,0)))</f>
        <v>0</v>
      </c>
      <c r="T422" s="0" t="n">
        <f aca="false">I422+R422</f>
        <v>20</v>
      </c>
      <c r="U422" s="0" t="n">
        <f aca="false">O422+S422</f>
        <v>10</v>
      </c>
      <c r="V422" s="0" t="n">
        <f aca="false">T422-U422</f>
        <v>10</v>
      </c>
      <c r="W422" s="0" t="n">
        <f aca="false">T422+U422</f>
        <v>30</v>
      </c>
    </row>
    <row r="423" customFormat="false" ht="15" hidden="false" customHeight="false" outlineLevel="0" collapsed="false">
      <c r="A423" s="0" t="n">
        <v>420</v>
      </c>
      <c r="B423" s="0" t="n">
        <f aca="true">NORMINV(RAND(),1,Coefficients!$B$22)</f>
        <v>1.05583914314562</v>
      </c>
      <c r="C423" s="0" t="n">
        <f aca="true">MEDIAN(8,16,ROUND(NORMINV(RAND(),Coefficients!$B$20,Coefficients!$B$21),0))</f>
        <v>11</v>
      </c>
      <c r="D423" s="0" t="n">
        <f aca="true">CRITBINOM($C423,MIN(0.75,Matchup!$B$39*$B423),RAND())</f>
        <v>6</v>
      </c>
      <c r="E423" s="0" t="n">
        <f aca="true">CRITBINOM(D423,Coefficients!$B$30,RAND())</f>
        <v>0</v>
      </c>
      <c r="F423" s="0" t="n">
        <f aca="true">CRITBINOM(E423,Coefficients!$B$31,RAND())</f>
        <v>0</v>
      </c>
      <c r="G423" s="0" t="n">
        <f aca="true">CRITBINOM(MAX(0,D423-E423),1-Coefficients!$B$32,RAND())</f>
        <v>1</v>
      </c>
      <c r="H423" s="0" t="n">
        <f aca="true">CRITBINOM(MAX(0,$C423-D423),MIN(0.6,Matchup!$B$40*SQRT($B423)/(1-MIN(0.75,Matchup!$B$39*$B423))),RAND())</f>
        <v>2</v>
      </c>
      <c r="I423" s="0" t="n">
        <f aca="false">6*D423+(D423-E423-G423)+2*F423+3*H423</f>
        <v>47</v>
      </c>
      <c r="J423" s="0" t="n">
        <f aca="true">CRITBINOM($C423,MIN(0.75,Matchup!$C$39*$B423),RAND())</f>
        <v>2</v>
      </c>
      <c r="K423" s="0" t="n">
        <f aca="true">CRITBINOM(J423,Coefficients!$B$30,RAND())</f>
        <v>1</v>
      </c>
      <c r="L423" s="0" t="n">
        <f aca="true">CRITBINOM(K423,Coefficients!$B$31,RAND())</f>
        <v>1</v>
      </c>
      <c r="M423" s="0" t="n">
        <f aca="true">CRITBINOM(MAX(0,J423-K423),1-Coefficients!$B$32,RAND())</f>
        <v>0</v>
      </c>
      <c r="N423" s="0" t="n">
        <f aca="true">CRITBINOM(MAX(0,$C423-J423),MIN(0.6,Matchup!$C$40*SQRT($B423)/(1-MIN(0.75,Matchup!$C$39*$B423))),RAND())</f>
        <v>3</v>
      </c>
      <c r="O423" s="0" t="n">
        <f aca="false">6*J423+(J423-K423-M423)+2*L423+3*N423</f>
        <v>24</v>
      </c>
      <c r="P423" s="0" t="n">
        <f aca="true">RAND()</f>
        <v>0.76517434634584</v>
      </c>
      <c r="Q423" s="0" t="n">
        <f aca="true">RAND()</f>
        <v>0.562238790319496</v>
      </c>
      <c r="R423" s="0" t="n">
        <f aca="false">IF($I423&lt;&gt;$O423,0,IF(P423&lt;Matchup!$B$39,7,IF(P423&lt;Matchup!$B$39+Matchup!$B$40,3,0)))</f>
        <v>0</v>
      </c>
      <c r="S423" s="0" t="n">
        <f aca="false">IF($I423&lt;&gt;$O423,0,IF(Q423&lt;Matchup!$C$39,7,IF(Q423&lt;Matchup!$C$39+Matchup!$C$40,3,0)))</f>
        <v>0</v>
      </c>
      <c r="T423" s="0" t="n">
        <f aca="false">I423+R423</f>
        <v>47</v>
      </c>
      <c r="U423" s="0" t="n">
        <f aca="false">O423+S423</f>
        <v>24</v>
      </c>
      <c r="V423" s="0" t="n">
        <f aca="false">T423-U423</f>
        <v>23</v>
      </c>
      <c r="W423" s="0" t="n">
        <f aca="false">T423+U423</f>
        <v>71</v>
      </c>
    </row>
    <row r="424" customFormat="false" ht="15" hidden="false" customHeight="false" outlineLevel="0" collapsed="false">
      <c r="A424" s="0" t="n">
        <v>421</v>
      </c>
      <c r="B424" s="0" t="n">
        <f aca="true">NORMINV(RAND(),1,Coefficients!$B$22)</f>
        <v>1.00520208597931</v>
      </c>
      <c r="C424" s="0" t="n">
        <f aca="true">MEDIAN(8,16,ROUND(NORMINV(RAND(),Coefficients!$B$20,Coefficients!$B$21),0))</f>
        <v>9</v>
      </c>
      <c r="D424" s="0" t="n">
        <f aca="true">CRITBINOM($C424,MIN(0.75,Matchup!$B$39*$B424),RAND())</f>
        <v>1</v>
      </c>
      <c r="E424" s="0" t="n">
        <f aca="true">CRITBINOM(D424,Coefficients!$B$30,RAND())</f>
        <v>0</v>
      </c>
      <c r="F424" s="0" t="n">
        <f aca="true">CRITBINOM(E424,Coefficients!$B$31,RAND())</f>
        <v>0</v>
      </c>
      <c r="G424" s="0" t="n">
        <f aca="true">CRITBINOM(MAX(0,D424-E424),1-Coefficients!$B$32,RAND())</f>
        <v>0</v>
      </c>
      <c r="H424" s="0" t="n">
        <f aca="true">CRITBINOM(MAX(0,$C424-D424),MIN(0.6,Matchup!$B$40*SQRT($B424)/(1-MIN(0.75,Matchup!$B$39*$B424))),RAND())</f>
        <v>2</v>
      </c>
      <c r="I424" s="0" t="n">
        <f aca="false">6*D424+(D424-E424-G424)+2*F424+3*H424</f>
        <v>13</v>
      </c>
      <c r="J424" s="0" t="n">
        <f aca="true">CRITBINOM($C424,MIN(0.75,Matchup!$C$39*$B424),RAND())</f>
        <v>3</v>
      </c>
      <c r="K424" s="0" t="n">
        <f aca="true">CRITBINOM(J424,Coefficients!$B$30,RAND())</f>
        <v>0</v>
      </c>
      <c r="L424" s="0" t="n">
        <f aca="true">CRITBINOM(K424,Coefficients!$B$31,RAND())</f>
        <v>0</v>
      </c>
      <c r="M424" s="0" t="n">
        <f aca="true">CRITBINOM(MAX(0,J424-K424),1-Coefficients!$B$32,RAND())</f>
        <v>1</v>
      </c>
      <c r="N424" s="0" t="n">
        <f aca="true">CRITBINOM(MAX(0,$C424-J424),MIN(0.6,Matchup!$C$40*SQRT($B424)/(1-MIN(0.75,Matchup!$C$39*$B424))),RAND())</f>
        <v>0</v>
      </c>
      <c r="O424" s="0" t="n">
        <f aca="false">6*J424+(J424-K424-M424)+2*L424+3*N424</f>
        <v>20</v>
      </c>
      <c r="P424" s="0" t="n">
        <f aca="true">RAND()</f>
        <v>0.780601149555997</v>
      </c>
      <c r="Q424" s="0" t="n">
        <f aca="true">RAND()</f>
        <v>0.00302278021445348</v>
      </c>
      <c r="R424" s="0" t="n">
        <f aca="false">IF($I424&lt;&gt;$O424,0,IF(P424&lt;Matchup!$B$39,7,IF(P424&lt;Matchup!$B$39+Matchup!$B$40,3,0)))</f>
        <v>0</v>
      </c>
      <c r="S424" s="0" t="n">
        <f aca="false">IF($I424&lt;&gt;$O424,0,IF(Q424&lt;Matchup!$C$39,7,IF(Q424&lt;Matchup!$C$39+Matchup!$C$40,3,0)))</f>
        <v>0</v>
      </c>
      <c r="T424" s="0" t="n">
        <f aca="false">I424+R424</f>
        <v>13</v>
      </c>
      <c r="U424" s="0" t="n">
        <f aca="false">O424+S424</f>
        <v>20</v>
      </c>
      <c r="V424" s="0" t="n">
        <f aca="false">T424-U424</f>
        <v>-7</v>
      </c>
      <c r="W424" s="0" t="n">
        <f aca="false">T424+U424</f>
        <v>33</v>
      </c>
    </row>
    <row r="425" customFormat="false" ht="15" hidden="false" customHeight="false" outlineLevel="0" collapsed="false">
      <c r="A425" s="0" t="n">
        <v>422</v>
      </c>
      <c r="B425" s="0" t="n">
        <f aca="true">NORMINV(RAND(),1,Coefficients!$B$22)</f>
        <v>1.0664125738957</v>
      </c>
      <c r="C425" s="0" t="n">
        <f aca="true">MEDIAN(8,16,ROUND(NORMINV(RAND(),Coefficients!$B$20,Coefficients!$B$21),0))</f>
        <v>11</v>
      </c>
      <c r="D425" s="0" t="n">
        <f aca="true">CRITBINOM($C425,MIN(0.75,Matchup!$B$39*$B425),RAND())</f>
        <v>1</v>
      </c>
      <c r="E425" s="0" t="n">
        <f aca="true">CRITBINOM(D425,Coefficients!$B$30,RAND())</f>
        <v>0</v>
      </c>
      <c r="F425" s="0" t="n">
        <f aca="true">CRITBINOM(E425,Coefficients!$B$31,RAND())</f>
        <v>0</v>
      </c>
      <c r="G425" s="0" t="n">
        <f aca="true">CRITBINOM(MAX(0,D425-E425),1-Coefficients!$B$32,RAND())</f>
        <v>0</v>
      </c>
      <c r="H425" s="0" t="n">
        <f aca="true">CRITBINOM(MAX(0,$C425-D425),MIN(0.6,Matchup!$B$40*SQRT($B425)/(1-MIN(0.75,Matchup!$B$39*$B425))),RAND())</f>
        <v>3</v>
      </c>
      <c r="I425" s="0" t="n">
        <f aca="false">6*D425+(D425-E425-G425)+2*F425+3*H425</f>
        <v>16</v>
      </c>
      <c r="J425" s="0" t="n">
        <f aca="true">CRITBINOM($C425,MIN(0.75,Matchup!$C$39*$B425),RAND())</f>
        <v>1</v>
      </c>
      <c r="K425" s="0" t="n">
        <f aca="true">CRITBINOM(J425,Coefficients!$B$30,RAND())</f>
        <v>0</v>
      </c>
      <c r="L425" s="0" t="n">
        <f aca="true">CRITBINOM(K425,Coefficients!$B$31,RAND())</f>
        <v>0</v>
      </c>
      <c r="M425" s="0" t="n">
        <f aca="true">CRITBINOM(MAX(0,J425-K425),1-Coefficients!$B$32,RAND())</f>
        <v>0</v>
      </c>
      <c r="N425" s="0" t="n">
        <f aca="true">CRITBINOM(MAX(0,$C425-J425),MIN(0.6,Matchup!$C$40*SQRT($B425)/(1-MIN(0.75,Matchup!$C$39*$B425))),RAND())</f>
        <v>2</v>
      </c>
      <c r="O425" s="0" t="n">
        <f aca="false">6*J425+(J425-K425-M425)+2*L425+3*N425</f>
        <v>13</v>
      </c>
      <c r="P425" s="0" t="n">
        <f aca="true">RAND()</f>
        <v>0.151928206489149</v>
      </c>
      <c r="Q425" s="0" t="n">
        <f aca="true">RAND()</f>
        <v>0.737626234052489</v>
      </c>
      <c r="R425" s="0" t="n">
        <f aca="false">IF($I425&lt;&gt;$O425,0,IF(P425&lt;Matchup!$B$39,7,IF(P425&lt;Matchup!$B$39+Matchup!$B$40,3,0)))</f>
        <v>0</v>
      </c>
      <c r="S425" s="0" t="n">
        <f aca="false">IF($I425&lt;&gt;$O425,0,IF(Q425&lt;Matchup!$C$39,7,IF(Q425&lt;Matchup!$C$39+Matchup!$C$40,3,0)))</f>
        <v>0</v>
      </c>
      <c r="T425" s="0" t="n">
        <f aca="false">I425+R425</f>
        <v>16</v>
      </c>
      <c r="U425" s="0" t="n">
        <f aca="false">O425+S425</f>
        <v>13</v>
      </c>
      <c r="V425" s="0" t="n">
        <f aca="false">T425-U425</f>
        <v>3</v>
      </c>
      <c r="W425" s="0" t="n">
        <f aca="false">T425+U425</f>
        <v>29</v>
      </c>
    </row>
    <row r="426" customFormat="false" ht="15" hidden="false" customHeight="false" outlineLevel="0" collapsed="false">
      <c r="A426" s="0" t="n">
        <v>423</v>
      </c>
      <c r="B426" s="0" t="n">
        <f aca="true">NORMINV(RAND(),1,Coefficients!$B$22)</f>
        <v>0.945447537157052</v>
      </c>
      <c r="C426" s="0" t="n">
        <f aca="true">MEDIAN(8,16,ROUND(NORMINV(RAND(),Coefficients!$B$20,Coefficients!$B$21),0))</f>
        <v>11</v>
      </c>
      <c r="D426" s="0" t="n">
        <f aca="true">CRITBINOM($C426,MIN(0.75,Matchup!$B$39*$B426),RAND())</f>
        <v>4</v>
      </c>
      <c r="E426" s="0" t="n">
        <f aca="true">CRITBINOM(D426,Coefficients!$B$30,RAND())</f>
        <v>2</v>
      </c>
      <c r="F426" s="0" t="n">
        <f aca="true">CRITBINOM(E426,Coefficients!$B$31,RAND())</f>
        <v>0</v>
      </c>
      <c r="G426" s="0" t="n">
        <f aca="true">CRITBINOM(MAX(0,D426-E426),1-Coefficients!$B$32,RAND())</f>
        <v>0</v>
      </c>
      <c r="H426" s="0" t="n">
        <f aca="true">CRITBINOM(MAX(0,$C426-D426),MIN(0.6,Matchup!$B$40*SQRT($B426)/(1-MIN(0.75,Matchup!$B$39*$B426))),RAND())</f>
        <v>1</v>
      </c>
      <c r="I426" s="0" t="n">
        <f aca="false">6*D426+(D426-E426-G426)+2*F426+3*H426</f>
        <v>29</v>
      </c>
      <c r="J426" s="0" t="n">
        <f aca="true">CRITBINOM($C426,MIN(0.75,Matchup!$C$39*$B426),RAND())</f>
        <v>3</v>
      </c>
      <c r="K426" s="0" t="n">
        <f aca="true">CRITBINOM(J426,Coefficients!$B$30,RAND())</f>
        <v>0</v>
      </c>
      <c r="L426" s="0" t="n">
        <f aca="true">CRITBINOM(K426,Coefficients!$B$31,RAND())</f>
        <v>0</v>
      </c>
      <c r="M426" s="0" t="n">
        <f aca="true">CRITBINOM(MAX(0,J426-K426),1-Coefficients!$B$32,RAND())</f>
        <v>1</v>
      </c>
      <c r="N426" s="0" t="n">
        <f aca="true">CRITBINOM(MAX(0,$C426-J426),MIN(0.6,Matchup!$C$40*SQRT($B426)/(1-MIN(0.75,Matchup!$C$39*$B426))),RAND())</f>
        <v>2</v>
      </c>
      <c r="O426" s="0" t="n">
        <f aca="false">6*J426+(J426-K426-M426)+2*L426+3*N426</f>
        <v>26</v>
      </c>
      <c r="P426" s="0" t="n">
        <f aca="true">RAND()</f>
        <v>0.912831401742844</v>
      </c>
      <c r="Q426" s="0" t="n">
        <f aca="true">RAND()</f>
        <v>0.0270094353036699</v>
      </c>
      <c r="R426" s="0" t="n">
        <f aca="false">IF($I426&lt;&gt;$O426,0,IF(P426&lt;Matchup!$B$39,7,IF(P426&lt;Matchup!$B$39+Matchup!$B$40,3,0)))</f>
        <v>0</v>
      </c>
      <c r="S426" s="0" t="n">
        <f aca="false">IF($I426&lt;&gt;$O426,0,IF(Q426&lt;Matchup!$C$39,7,IF(Q426&lt;Matchup!$C$39+Matchup!$C$40,3,0)))</f>
        <v>0</v>
      </c>
      <c r="T426" s="0" t="n">
        <f aca="false">I426+R426</f>
        <v>29</v>
      </c>
      <c r="U426" s="0" t="n">
        <f aca="false">O426+S426</f>
        <v>26</v>
      </c>
      <c r="V426" s="0" t="n">
        <f aca="false">T426-U426</f>
        <v>3</v>
      </c>
      <c r="W426" s="0" t="n">
        <f aca="false">T426+U426</f>
        <v>55</v>
      </c>
    </row>
    <row r="427" customFormat="false" ht="15" hidden="false" customHeight="false" outlineLevel="0" collapsed="false">
      <c r="A427" s="0" t="n">
        <v>424</v>
      </c>
      <c r="B427" s="0" t="n">
        <f aca="true">NORMINV(RAND(),1,Coefficients!$B$22)</f>
        <v>0.963273927340804</v>
      </c>
      <c r="C427" s="0" t="n">
        <f aca="true">MEDIAN(8,16,ROUND(NORMINV(RAND(),Coefficients!$B$20,Coefficients!$B$21),0))</f>
        <v>12</v>
      </c>
      <c r="D427" s="0" t="n">
        <f aca="true">CRITBINOM($C427,MIN(0.75,Matchup!$B$39*$B427),RAND())</f>
        <v>2</v>
      </c>
      <c r="E427" s="0" t="n">
        <f aca="true">CRITBINOM(D427,Coefficients!$B$30,RAND())</f>
        <v>0</v>
      </c>
      <c r="F427" s="0" t="n">
        <f aca="true">CRITBINOM(E427,Coefficients!$B$31,RAND())</f>
        <v>0</v>
      </c>
      <c r="G427" s="0" t="n">
        <f aca="true">CRITBINOM(MAX(0,D427-E427),1-Coefficients!$B$32,RAND())</f>
        <v>0</v>
      </c>
      <c r="H427" s="0" t="n">
        <f aca="true">CRITBINOM(MAX(0,$C427-D427),MIN(0.6,Matchup!$B$40*SQRT($B427)/(1-MIN(0.75,Matchup!$B$39*$B427))),RAND())</f>
        <v>2</v>
      </c>
      <c r="I427" s="0" t="n">
        <f aca="false">6*D427+(D427-E427-G427)+2*F427+3*H427</f>
        <v>20</v>
      </c>
      <c r="J427" s="0" t="n">
        <f aca="true">CRITBINOM($C427,MIN(0.75,Matchup!$C$39*$B427),RAND())</f>
        <v>2</v>
      </c>
      <c r="K427" s="0" t="n">
        <f aca="true">CRITBINOM(J427,Coefficients!$B$30,RAND())</f>
        <v>1</v>
      </c>
      <c r="L427" s="0" t="n">
        <f aca="true">CRITBINOM(K427,Coefficients!$B$31,RAND())</f>
        <v>1</v>
      </c>
      <c r="M427" s="0" t="n">
        <f aca="true">CRITBINOM(MAX(0,J427-K427),1-Coefficients!$B$32,RAND())</f>
        <v>0</v>
      </c>
      <c r="N427" s="0" t="n">
        <f aca="true">CRITBINOM(MAX(0,$C427-J427),MIN(0.6,Matchup!$C$40*SQRT($B427)/(1-MIN(0.75,Matchup!$C$39*$B427))),RAND())</f>
        <v>3</v>
      </c>
      <c r="O427" s="0" t="n">
        <f aca="false">6*J427+(J427-K427-M427)+2*L427+3*N427</f>
        <v>24</v>
      </c>
      <c r="P427" s="0" t="n">
        <f aca="true">RAND()</f>
        <v>0.0912922338709713</v>
      </c>
      <c r="Q427" s="0" t="n">
        <f aca="true">RAND()</f>
        <v>0.988038161270436</v>
      </c>
      <c r="R427" s="0" t="n">
        <f aca="false">IF($I427&lt;&gt;$O427,0,IF(P427&lt;Matchup!$B$39,7,IF(P427&lt;Matchup!$B$39+Matchup!$B$40,3,0)))</f>
        <v>0</v>
      </c>
      <c r="S427" s="0" t="n">
        <f aca="false">IF($I427&lt;&gt;$O427,0,IF(Q427&lt;Matchup!$C$39,7,IF(Q427&lt;Matchup!$C$39+Matchup!$C$40,3,0)))</f>
        <v>0</v>
      </c>
      <c r="T427" s="0" t="n">
        <f aca="false">I427+R427</f>
        <v>20</v>
      </c>
      <c r="U427" s="0" t="n">
        <f aca="false">O427+S427</f>
        <v>24</v>
      </c>
      <c r="V427" s="0" t="n">
        <f aca="false">T427-U427</f>
        <v>-4</v>
      </c>
      <c r="W427" s="0" t="n">
        <f aca="false">T427+U427</f>
        <v>44</v>
      </c>
    </row>
    <row r="428" customFormat="false" ht="15" hidden="false" customHeight="false" outlineLevel="0" collapsed="false">
      <c r="A428" s="0" t="n">
        <v>425</v>
      </c>
      <c r="B428" s="0" t="n">
        <f aca="true">NORMINV(RAND(),1,Coefficients!$B$22)</f>
        <v>0.994589209608256</v>
      </c>
      <c r="C428" s="0" t="n">
        <f aca="true">MEDIAN(8,16,ROUND(NORMINV(RAND(),Coefficients!$B$20,Coefficients!$B$21),0))</f>
        <v>9</v>
      </c>
      <c r="D428" s="0" t="n">
        <f aca="true">CRITBINOM($C428,MIN(0.75,Matchup!$B$39*$B428),RAND())</f>
        <v>1</v>
      </c>
      <c r="E428" s="0" t="n">
        <f aca="true">CRITBINOM(D428,Coefficients!$B$30,RAND())</f>
        <v>0</v>
      </c>
      <c r="F428" s="0" t="n">
        <f aca="true">CRITBINOM(E428,Coefficients!$B$31,RAND())</f>
        <v>0</v>
      </c>
      <c r="G428" s="0" t="n">
        <f aca="true">CRITBINOM(MAX(0,D428-E428),1-Coefficients!$B$32,RAND())</f>
        <v>0</v>
      </c>
      <c r="H428" s="0" t="n">
        <f aca="true">CRITBINOM(MAX(0,$C428-D428),MIN(0.6,Matchup!$B$40*SQRT($B428)/(1-MIN(0.75,Matchup!$B$39*$B428))),RAND())</f>
        <v>2</v>
      </c>
      <c r="I428" s="0" t="n">
        <f aca="false">6*D428+(D428-E428-G428)+2*F428+3*H428</f>
        <v>13</v>
      </c>
      <c r="J428" s="0" t="n">
        <f aca="true">CRITBINOM($C428,MIN(0.75,Matchup!$C$39*$B428),RAND())</f>
        <v>3</v>
      </c>
      <c r="K428" s="0" t="n">
        <f aca="true">CRITBINOM(J428,Coefficients!$B$30,RAND())</f>
        <v>1</v>
      </c>
      <c r="L428" s="0" t="n">
        <f aca="true">CRITBINOM(K428,Coefficients!$B$31,RAND())</f>
        <v>0</v>
      </c>
      <c r="M428" s="0" t="n">
        <f aca="true">CRITBINOM(MAX(0,J428-K428),1-Coefficients!$B$32,RAND())</f>
        <v>0</v>
      </c>
      <c r="N428" s="0" t="n">
        <f aca="true">CRITBINOM(MAX(0,$C428-J428),MIN(0.6,Matchup!$C$40*SQRT($B428)/(1-MIN(0.75,Matchup!$C$39*$B428))),RAND())</f>
        <v>1</v>
      </c>
      <c r="O428" s="0" t="n">
        <f aca="false">6*J428+(J428-K428-M428)+2*L428+3*N428</f>
        <v>23</v>
      </c>
      <c r="P428" s="0" t="n">
        <f aca="true">RAND()</f>
        <v>0.0143488063567246</v>
      </c>
      <c r="Q428" s="0" t="n">
        <f aca="true">RAND()</f>
        <v>0.509139587555149</v>
      </c>
      <c r="R428" s="0" t="n">
        <f aca="false">IF($I428&lt;&gt;$O428,0,IF(P428&lt;Matchup!$B$39,7,IF(P428&lt;Matchup!$B$39+Matchup!$B$40,3,0)))</f>
        <v>0</v>
      </c>
      <c r="S428" s="0" t="n">
        <f aca="false">IF($I428&lt;&gt;$O428,0,IF(Q428&lt;Matchup!$C$39,7,IF(Q428&lt;Matchup!$C$39+Matchup!$C$40,3,0)))</f>
        <v>0</v>
      </c>
      <c r="T428" s="0" t="n">
        <f aca="false">I428+R428</f>
        <v>13</v>
      </c>
      <c r="U428" s="0" t="n">
        <f aca="false">O428+S428</f>
        <v>23</v>
      </c>
      <c r="V428" s="0" t="n">
        <f aca="false">T428-U428</f>
        <v>-10</v>
      </c>
      <c r="W428" s="0" t="n">
        <f aca="false">T428+U428</f>
        <v>36</v>
      </c>
    </row>
    <row r="429" customFormat="false" ht="15" hidden="false" customHeight="false" outlineLevel="0" collapsed="false">
      <c r="A429" s="0" t="n">
        <v>426</v>
      </c>
      <c r="B429" s="0" t="n">
        <f aca="true">NORMINV(RAND(),1,Coefficients!$B$22)</f>
        <v>0.965356144256521</v>
      </c>
      <c r="C429" s="0" t="n">
        <f aca="true">MEDIAN(8,16,ROUND(NORMINV(RAND(),Coefficients!$B$20,Coefficients!$B$21),0))</f>
        <v>10</v>
      </c>
      <c r="D429" s="0" t="n">
        <f aca="true">CRITBINOM($C429,MIN(0.75,Matchup!$B$39*$B429),RAND())</f>
        <v>2</v>
      </c>
      <c r="E429" s="0" t="n">
        <f aca="true">CRITBINOM(D429,Coefficients!$B$30,RAND())</f>
        <v>0</v>
      </c>
      <c r="F429" s="0" t="n">
        <f aca="true">CRITBINOM(E429,Coefficients!$B$31,RAND())</f>
        <v>0</v>
      </c>
      <c r="G429" s="0" t="n">
        <f aca="true">CRITBINOM(MAX(0,D429-E429),1-Coefficients!$B$32,RAND())</f>
        <v>0</v>
      </c>
      <c r="H429" s="0" t="n">
        <f aca="true">CRITBINOM(MAX(0,$C429-D429),MIN(0.6,Matchup!$B$40*SQRT($B429)/(1-MIN(0.75,Matchup!$B$39*$B429))),RAND())</f>
        <v>0</v>
      </c>
      <c r="I429" s="0" t="n">
        <f aca="false">6*D429+(D429-E429-G429)+2*F429+3*H429</f>
        <v>14</v>
      </c>
      <c r="J429" s="0" t="n">
        <f aca="true">CRITBINOM($C429,MIN(0.75,Matchup!$C$39*$B429),RAND())</f>
        <v>2</v>
      </c>
      <c r="K429" s="0" t="n">
        <f aca="true">CRITBINOM(J429,Coefficients!$B$30,RAND())</f>
        <v>0</v>
      </c>
      <c r="L429" s="0" t="n">
        <f aca="true">CRITBINOM(K429,Coefficients!$B$31,RAND())</f>
        <v>0</v>
      </c>
      <c r="M429" s="0" t="n">
        <f aca="true">CRITBINOM(MAX(0,J429-K429),1-Coefficients!$B$32,RAND())</f>
        <v>0</v>
      </c>
      <c r="N429" s="0" t="n">
        <f aca="true">CRITBINOM(MAX(0,$C429-J429),MIN(0.6,Matchup!$C$40*SQRT($B429)/(1-MIN(0.75,Matchup!$C$39*$B429))),RAND())</f>
        <v>1</v>
      </c>
      <c r="O429" s="0" t="n">
        <f aca="false">6*J429+(J429-K429-M429)+2*L429+3*N429</f>
        <v>17</v>
      </c>
      <c r="P429" s="0" t="n">
        <f aca="true">RAND()</f>
        <v>0.16443812435843</v>
      </c>
      <c r="Q429" s="0" t="n">
        <f aca="true">RAND()</f>
        <v>0.342145733920289</v>
      </c>
      <c r="R429" s="0" t="n">
        <f aca="false">IF($I429&lt;&gt;$O429,0,IF(P429&lt;Matchup!$B$39,7,IF(P429&lt;Matchup!$B$39+Matchup!$B$40,3,0)))</f>
        <v>0</v>
      </c>
      <c r="S429" s="0" t="n">
        <f aca="false">IF($I429&lt;&gt;$O429,0,IF(Q429&lt;Matchup!$C$39,7,IF(Q429&lt;Matchup!$C$39+Matchup!$C$40,3,0)))</f>
        <v>0</v>
      </c>
      <c r="T429" s="0" t="n">
        <f aca="false">I429+R429</f>
        <v>14</v>
      </c>
      <c r="U429" s="0" t="n">
        <f aca="false">O429+S429</f>
        <v>17</v>
      </c>
      <c r="V429" s="0" t="n">
        <f aca="false">T429-U429</f>
        <v>-3</v>
      </c>
      <c r="W429" s="0" t="n">
        <f aca="false">T429+U429</f>
        <v>31</v>
      </c>
    </row>
    <row r="430" customFormat="false" ht="15" hidden="false" customHeight="false" outlineLevel="0" collapsed="false">
      <c r="A430" s="0" t="n">
        <v>427</v>
      </c>
      <c r="B430" s="0" t="n">
        <f aca="true">NORMINV(RAND(),1,Coefficients!$B$22)</f>
        <v>0.997314450794172</v>
      </c>
      <c r="C430" s="0" t="n">
        <f aca="true">MEDIAN(8,16,ROUND(NORMINV(RAND(),Coefficients!$B$20,Coefficients!$B$21),0))</f>
        <v>13</v>
      </c>
      <c r="D430" s="0" t="n">
        <f aca="true">CRITBINOM($C430,MIN(0.75,Matchup!$B$39*$B430),RAND())</f>
        <v>2</v>
      </c>
      <c r="E430" s="0" t="n">
        <f aca="true">CRITBINOM(D430,Coefficients!$B$30,RAND())</f>
        <v>0</v>
      </c>
      <c r="F430" s="0" t="n">
        <f aca="true">CRITBINOM(E430,Coefficients!$B$31,RAND())</f>
        <v>0</v>
      </c>
      <c r="G430" s="0" t="n">
        <f aca="true">CRITBINOM(MAX(0,D430-E430),1-Coefficients!$B$32,RAND())</f>
        <v>0</v>
      </c>
      <c r="H430" s="0" t="n">
        <f aca="true">CRITBINOM(MAX(0,$C430-D430),MIN(0.6,Matchup!$B$40*SQRT($B430)/(1-MIN(0.75,Matchup!$B$39*$B430))),RAND())</f>
        <v>2</v>
      </c>
      <c r="I430" s="0" t="n">
        <f aca="false">6*D430+(D430-E430-G430)+2*F430+3*H430</f>
        <v>20</v>
      </c>
      <c r="J430" s="0" t="n">
        <f aca="true">CRITBINOM($C430,MIN(0.75,Matchup!$C$39*$B430),RAND())</f>
        <v>3</v>
      </c>
      <c r="K430" s="0" t="n">
        <f aca="true">CRITBINOM(J430,Coefficients!$B$30,RAND())</f>
        <v>0</v>
      </c>
      <c r="L430" s="0" t="n">
        <f aca="true">CRITBINOM(K430,Coefficients!$B$31,RAND())</f>
        <v>0</v>
      </c>
      <c r="M430" s="0" t="n">
        <f aca="true">CRITBINOM(MAX(0,J430-K430),1-Coefficients!$B$32,RAND())</f>
        <v>0</v>
      </c>
      <c r="N430" s="0" t="n">
        <f aca="true">CRITBINOM(MAX(0,$C430-J430),MIN(0.6,Matchup!$C$40*SQRT($B430)/(1-MIN(0.75,Matchup!$C$39*$B430))),RAND())</f>
        <v>3</v>
      </c>
      <c r="O430" s="0" t="n">
        <f aca="false">6*J430+(J430-K430-M430)+2*L430+3*N430</f>
        <v>30</v>
      </c>
      <c r="P430" s="0" t="n">
        <f aca="true">RAND()</f>
        <v>0.261243571573145</v>
      </c>
      <c r="Q430" s="0" t="n">
        <f aca="true">RAND()</f>
        <v>0.816782960820468</v>
      </c>
      <c r="R430" s="0" t="n">
        <f aca="false">IF($I430&lt;&gt;$O430,0,IF(P430&lt;Matchup!$B$39,7,IF(P430&lt;Matchup!$B$39+Matchup!$B$40,3,0)))</f>
        <v>0</v>
      </c>
      <c r="S430" s="0" t="n">
        <f aca="false">IF($I430&lt;&gt;$O430,0,IF(Q430&lt;Matchup!$C$39,7,IF(Q430&lt;Matchup!$C$39+Matchup!$C$40,3,0)))</f>
        <v>0</v>
      </c>
      <c r="T430" s="0" t="n">
        <f aca="false">I430+R430</f>
        <v>20</v>
      </c>
      <c r="U430" s="0" t="n">
        <f aca="false">O430+S430</f>
        <v>30</v>
      </c>
      <c r="V430" s="0" t="n">
        <f aca="false">T430-U430</f>
        <v>-10</v>
      </c>
      <c r="W430" s="0" t="n">
        <f aca="false">T430+U430</f>
        <v>50</v>
      </c>
    </row>
    <row r="431" customFormat="false" ht="15" hidden="false" customHeight="false" outlineLevel="0" collapsed="false">
      <c r="A431" s="0" t="n">
        <v>428</v>
      </c>
      <c r="B431" s="0" t="n">
        <f aca="true">NORMINV(RAND(),1,Coefficients!$B$22)</f>
        <v>0.923753380386509</v>
      </c>
      <c r="C431" s="0" t="n">
        <f aca="true">MEDIAN(8,16,ROUND(NORMINV(RAND(),Coefficients!$B$20,Coefficients!$B$21),0))</f>
        <v>11</v>
      </c>
      <c r="D431" s="0" t="n">
        <f aca="true">CRITBINOM($C431,MIN(0.75,Matchup!$B$39*$B431),RAND())</f>
        <v>4</v>
      </c>
      <c r="E431" s="0" t="n">
        <f aca="true">CRITBINOM(D431,Coefficients!$B$30,RAND())</f>
        <v>1</v>
      </c>
      <c r="F431" s="0" t="n">
        <f aca="true">CRITBINOM(E431,Coefficients!$B$31,RAND())</f>
        <v>1</v>
      </c>
      <c r="G431" s="0" t="n">
        <f aca="true">CRITBINOM(MAX(0,D431-E431),1-Coefficients!$B$32,RAND())</f>
        <v>0</v>
      </c>
      <c r="H431" s="0" t="n">
        <f aca="true">CRITBINOM(MAX(0,$C431-D431),MIN(0.6,Matchup!$B$40*SQRT($B431)/(1-MIN(0.75,Matchup!$B$39*$B431))),RAND())</f>
        <v>2</v>
      </c>
      <c r="I431" s="0" t="n">
        <f aca="false">6*D431+(D431-E431-G431)+2*F431+3*H431</f>
        <v>35</v>
      </c>
      <c r="J431" s="0" t="n">
        <f aca="true">CRITBINOM($C431,MIN(0.75,Matchup!$C$39*$B431),RAND())</f>
        <v>1</v>
      </c>
      <c r="K431" s="0" t="n">
        <f aca="true">CRITBINOM(J431,Coefficients!$B$30,RAND())</f>
        <v>0</v>
      </c>
      <c r="L431" s="0" t="n">
        <f aca="true">CRITBINOM(K431,Coefficients!$B$31,RAND())</f>
        <v>0</v>
      </c>
      <c r="M431" s="0" t="n">
        <f aca="true">CRITBINOM(MAX(0,J431-K431),1-Coefficients!$B$32,RAND())</f>
        <v>0</v>
      </c>
      <c r="N431" s="0" t="n">
        <f aca="true">CRITBINOM(MAX(0,$C431-J431),MIN(0.6,Matchup!$C$40*SQRT($B431)/(1-MIN(0.75,Matchup!$C$39*$B431))),RAND())</f>
        <v>1</v>
      </c>
      <c r="O431" s="0" t="n">
        <f aca="false">6*J431+(J431-K431-M431)+2*L431+3*N431</f>
        <v>10</v>
      </c>
      <c r="P431" s="0" t="n">
        <f aca="true">RAND()</f>
        <v>0.224758763842132</v>
      </c>
      <c r="Q431" s="0" t="n">
        <f aca="true">RAND()</f>
        <v>0.768111985248848</v>
      </c>
      <c r="R431" s="0" t="n">
        <f aca="false">IF($I431&lt;&gt;$O431,0,IF(P431&lt;Matchup!$B$39,7,IF(P431&lt;Matchup!$B$39+Matchup!$B$40,3,0)))</f>
        <v>0</v>
      </c>
      <c r="S431" s="0" t="n">
        <f aca="false">IF($I431&lt;&gt;$O431,0,IF(Q431&lt;Matchup!$C$39,7,IF(Q431&lt;Matchup!$C$39+Matchup!$C$40,3,0)))</f>
        <v>0</v>
      </c>
      <c r="T431" s="0" t="n">
        <f aca="false">I431+R431</f>
        <v>35</v>
      </c>
      <c r="U431" s="0" t="n">
        <f aca="false">O431+S431</f>
        <v>10</v>
      </c>
      <c r="V431" s="0" t="n">
        <f aca="false">T431-U431</f>
        <v>25</v>
      </c>
      <c r="W431" s="0" t="n">
        <f aca="false">T431+U431</f>
        <v>45</v>
      </c>
    </row>
    <row r="432" customFormat="false" ht="15" hidden="false" customHeight="false" outlineLevel="0" collapsed="false">
      <c r="A432" s="0" t="n">
        <v>429</v>
      </c>
      <c r="B432" s="0" t="n">
        <f aca="true">NORMINV(RAND(),1,Coefficients!$B$22)</f>
        <v>0.94789980052798</v>
      </c>
      <c r="C432" s="0" t="n">
        <f aca="true">MEDIAN(8,16,ROUND(NORMINV(RAND(),Coefficients!$B$20,Coefficients!$B$21),0))</f>
        <v>11</v>
      </c>
      <c r="D432" s="0" t="n">
        <f aca="true">CRITBINOM($C432,MIN(0.75,Matchup!$B$39*$B432),RAND())</f>
        <v>2</v>
      </c>
      <c r="E432" s="0" t="n">
        <f aca="true">CRITBINOM(D432,Coefficients!$B$30,RAND())</f>
        <v>1</v>
      </c>
      <c r="F432" s="0" t="n">
        <f aca="true">CRITBINOM(E432,Coefficients!$B$31,RAND())</f>
        <v>0</v>
      </c>
      <c r="G432" s="0" t="n">
        <f aca="true">CRITBINOM(MAX(0,D432-E432),1-Coefficients!$B$32,RAND())</f>
        <v>0</v>
      </c>
      <c r="H432" s="0" t="n">
        <f aca="true">CRITBINOM(MAX(0,$C432-D432),MIN(0.6,Matchup!$B$40*SQRT($B432)/(1-MIN(0.75,Matchup!$B$39*$B432))),RAND())</f>
        <v>3</v>
      </c>
      <c r="I432" s="0" t="n">
        <f aca="false">6*D432+(D432-E432-G432)+2*F432+3*H432</f>
        <v>22</v>
      </c>
      <c r="J432" s="0" t="n">
        <f aca="true">CRITBINOM($C432,MIN(0.75,Matchup!$C$39*$B432),RAND())</f>
        <v>2</v>
      </c>
      <c r="K432" s="0" t="n">
        <f aca="true">CRITBINOM(J432,Coefficients!$B$30,RAND())</f>
        <v>0</v>
      </c>
      <c r="L432" s="0" t="n">
        <f aca="true">CRITBINOM(K432,Coefficients!$B$31,RAND())</f>
        <v>0</v>
      </c>
      <c r="M432" s="0" t="n">
        <f aca="true">CRITBINOM(MAX(0,J432-K432),1-Coefficients!$B$32,RAND())</f>
        <v>0</v>
      </c>
      <c r="N432" s="0" t="n">
        <f aca="true">CRITBINOM(MAX(0,$C432-J432),MIN(0.6,Matchup!$C$40*SQRT($B432)/(1-MIN(0.75,Matchup!$C$39*$B432))),RAND())</f>
        <v>0</v>
      </c>
      <c r="O432" s="0" t="n">
        <f aca="false">6*J432+(J432-K432-M432)+2*L432+3*N432</f>
        <v>14</v>
      </c>
      <c r="P432" s="0" t="n">
        <f aca="true">RAND()</f>
        <v>0.399039367676728</v>
      </c>
      <c r="Q432" s="0" t="n">
        <f aca="true">RAND()</f>
        <v>0.606031302346072</v>
      </c>
      <c r="R432" s="0" t="n">
        <f aca="false">IF($I432&lt;&gt;$O432,0,IF(P432&lt;Matchup!$B$39,7,IF(P432&lt;Matchup!$B$39+Matchup!$B$40,3,0)))</f>
        <v>0</v>
      </c>
      <c r="S432" s="0" t="n">
        <f aca="false">IF($I432&lt;&gt;$O432,0,IF(Q432&lt;Matchup!$C$39,7,IF(Q432&lt;Matchup!$C$39+Matchup!$C$40,3,0)))</f>
        <v>0</v>
      </c>
      <c r="T432" s="0" t="n">
        <f aca="false">I432+R432</f>
        <v>22</v>
      </c>
      <c r="U432" s="0" t="n">
        <f aca="false">O432+S432</f>
        <v>14</v>
      </c>
      <c r="V432" s="0" t="n">
        <f aca="false">T432-U432</f>
        <v>8</v>
      </c>
      <c r="W432" s="0" t="n">
        <f aca="false">T432+U432</f>
        <v>36</v>
      </c>
    </row>
    <row r="433" customFormat="false" ht="15" hidden="false" customHeight="false" outlineLevel="0" collapsed="false">
      <c r="A433" s="0" t="n">
        <v>430</v>
      </c>
      <c r="B433" s="0" t="n">
        <f aca="true">NORMINV(RAND(),1,Coefficients!$B$22)</f>
        <v>1.01194062493914</v>
      </c>
      <c r="C433" s="0" t="n">
        <f aca="true">MEDIAN(8,16,ROUND(NORMINV(RAND(),Coefficients!$B$20,Coefficients!$B$21),0))</f>
        <v>11</v>
      </c>
      <c r="D433" s="0" t="n">
        <f aca="true">CRITBINOM($C433,MIN(0.75,Matchup!$B$39*$B433),RAND())</f>
        <v>1</v>
      </c>
      <c r="E433" s="0" t="n">
        <f aca="true">CRITBINOM(D433,Coefficients!$B$30,RAND())</f>
        <v>0</v>
      </c>
      <c r="F433" s="0" t="n">
        <f aca="true">CRITBINOM(E433,Coefficients!$B$31,RAND())</f>
        <v>0</v>
      </c>
      <c r="G433" s="0" t="n">
        <f aca="true">CRITBINOM(MAX(0,D433-E433),1-Coefficients!$B$32,RAND())</f>
        <v>0</v>
      </c>
      <c r="H433" s="0" t="n">
        <f aca="true">CRITBINOM(MAX(0,$C433-D433),MIN(0.6,Matchup!$B$40*SQRT($B433)/(1-MIN(0.75,Matchup!$B$39*$B433))),RAND())</f>
        <v>0</v>
      </c>
      <c r="I433" s="0" t="n">
        <f aca="false">6*D433+(D433-E433-G433)+2*F433+3*H433</f>
        <v>7</v>
      </c>
      <c r="J433" s="0" t="n">
        <f aca="true">CRITBINOM($C433,MIN(0.75,Matchup!$C$39*$B433),RAND())</f>
        <v>2</v>
      </c>
      <c r="K433" s="0" t="n">
        <f aca="true">CRITBINOM(J433,Coefficients!$B$30,RAND())</f>
        <v>0</v>
      </c>
      <c r="L433" s="0" t="n">
        <f aca="true">CRITBINOM(K433,Coefficients!$B$31,RAND())</f>
        <v>0</v>
      </c>
      <c r="M433" s="0" t="n">
        <f aca="true">CRITBINOM(MAX(0,J433-K433),1-Coefficients!$B$32,RAND())</f>
        <v>0</v>
      </c>
      <c r="N433" s="0" t="n">
        <f aca="true">CRITBINOM(MAX(0,$C433-J433),MIN(0.6,Matchup!$C$40*SQRT($B433)/(1-MIN(0.75,Matchup!$C$39*$B433))),RAND())</f>
        <v>2</v>
      </c>
      <c r="O433" s="0" t="n">
        <f aca="false">6*J433+(J433-K433-M433)+2*L433+3*N433</f>
        <v>20</v>
      </c>
      <c r="P433" s="0" t="n">
        <f aca="true">RAND()</f>
        <v>0.0430379172493534</v>
      </c>
      <c r="Q433" s="0" t="n">
        <f aca="true">RAND()</f>
        <v>0.107292194841748</v>
      </c>
      <c r="R433" s="0" t="n">
        <f aca="false">IF($I433&lt;&gt;$O433,0,IF(P433&lt;Matchup!$B$39,7,IF(P433&lt;Matchup!$B$39+Matchup!$B$40,3,0)))</f>
        <v>0</v>
      </c>
      <c r="S433" s="0" t="n">
        <f aca="false">IF($I433&lt;&gt;$O433,0,IF(Q433&lt;Matchup!$C$39,7,IF(Q433&lt;Matchup!$C$39+Matchup!$C$40,3,0)))</f>
        <v>0</v>
      </c>
      <c r="T433" s="0" t="n">
        <f aca="false">I433+R433</f>
        <v>7</v>
      </c>
      <c r="U433" s="0" t="n">
        <f aca="false">O433+S433</f>
        <v>20</v>
      </c>
      <c r="V433" s="0" t="n">
        <f aca="false">T433-U433</f>
        <v>-13</v>
      </c>
      <c r="W433" s="0" t="n">
        <f aca="false">T433+U433</f>
        <v>27</v>
      </c>
    </row>
    <row r="434" customFormat="false" ht="15" hidden="false" customHeight="false" outlineLevel="0" collapsed="false">
      <c r="A434" s="0" t="n">
        <v>431</v>
      </c>
      <c r="B434" s="0" t="n">
        <f aca="true">NORMINV(RAND(),1,Coefficients!$B$22)</f>
        <v>1.05985882354984</v>
      </c>
      <c r="C434" s="0" t="n">
        <f aca="true">MEDIAN(8,16,ROUND(NORMINV(RAND(),Coefficients!$B$20,Coefficients!$B$21),0))</f>
        <v>11</v>
      </c>
      <c r="D434" s="0" t="n">
        <f aca="true">CRITBINOM($C434,MIN(0.75,Matchup!$B$39*$B434),RAND())</f>
        <v>1</v>
      </c>
      <c r="E434" s="0" t="n">
        <f aca="true">CRITBINOM(D434,Coefficients!$B$30,RAND())</f>
        <v>0</v>
      </c>
      <c r="F434" s="0" t="n">
        <f aca="true">CRITBINOM(E434,Coefficients!$B$31,RAND())</f>
        <v>0</v>
      </c>
      <c r="G434" s="0" t="n">
        <f aca="true">CRITBINOM(MAX(0,D434-E434),1-Coefficients!$B$32,RAND())</f>
        <v>1</v>
      </c>
      <c r="H434" s="0" t="n">
        <f aca="true">CRITBINOM(MAX(0,$C434-D434),MIN(0.6,Matchup!$B$40*SQRT($B434)/(1-MIN(0.75,Matchup!$B$39*$B434))),RAND())</f>
        <v>4</v>
      </c>
      <c r="I434" s="0" t="n">
        <f aca="false">6*D434+(D434-E434-G434)+2*F434+3*H434</f>
        <v>18</v>
      </c>
      <c r="J434" s="0" t="n">
        <f aca="true">CRITBINOM($C434,MIN(0.75,Matchup!$C$39*$B434),RAND())</f>
        <v>6</v>
      </c>
      <c r="K434" s="0" t="n">
        <f aca="true">CRITBINOM(J434,Coefficients!$B$30,RAND())</f>
        <v>1</v>
      </c>
      <c r="L434" s="0" t="n">
        <f aca="true">CRITBINOM(K434,Coefficients!$B$31,RAND())</f>
        <v>1</v>
      </c>
      <c r="M434" s="0" t="n">
        <f aca="true">CRITBINOM(MAX(0,J434-K434),1-Coefficients!$B$32,RAND())</f>
        <v>0</v>
      </c>
      <c r="N434" s="0" t="n">
        <f aca="true">CRITBINOM(MAX(0,$C434-J434),MIN(0.6,Matchup!$C$40*SQRT($B434)/(1-MIN(0.75,Matchup!$C$39*$B434))),RAND())</f>
        <v>1</v>
      </c>
      <c r="O434" s="0" t="n">
        <f aca="false">6*J434+(J434-K434-M434)+2*L434+3*N434</f>
        <v>46</v>
      </c>
      <c r="P434" s="0" t="n">
        <f aca="true">RAND()</f>
        <v>0.0542877810603124</v>
      </c>
      <c r="Q434" s="0" t="n">
        <f aca="true">RAND()</f>
        <v>0.148938186650997</v>
      </c>
      <c r="R434" s="0" t="n">
        <f aca="false">IF($I434&lt;&gt;$O434,0,IF(P434&lt;Matchup!$B$39,7,IF(P434&lt;Matchup!$B$39+Matchup!$B$40,3,0)))</f>
        <v>0</v>
      </c>
      <c r="S434" s="0" t="n">
        <f aca="false">IF($I434&lt;&gt;$O434,0,IF(Q434&lt;Matchup!$C$39,7,IF(Q434&lt;Matchup!$C$39+Matchup!$C$40,3,0)))</f>
        <v>0</v>
      </c>
      <c r="T434" s="0" t="n">
        <f aca="false">I434+R434</f>
        <v>18</v>
      </c>
      <c r="U434" s="0" t="n">
        <f aca="false">O434+S434</f>
        <v>46</v>
      </c>
      <c r="V434" s="0" t="n">
        <f aca="false">T434-U434</f>
        <v>-28</v>
      </c>
      <c r="W434" s="0" t="n">
        <f aca="false">T434+U434</f>
        <v>64</v>
      </c>
    </row>
    <row r="435" customFormat="false" ht="15" hidden="false" customHeight="false" outlineLevel="0" collapsed="false">
      <c r="A435" s="0" t="n">
        <v>432</v>
      </c>
      <c r="B435" s="0" t="n">
        <f aca="true">NORMINV(RAND(),1,Coefficients!$B$22)</f>
        <v>0.950240786425389</v>
      </c>
      <c r="C435" s="0" t="n">
        <f aca="true">MEDIAN(8,16,ROUND(NORMINV(RAND(),Coefficients!$B$20,Coefficients!$B$21),0))</f>
        <v>9</v>
      </c>
      <c r="D435" s="0" t="n">
        <f aca="true">CRITBINOM($C435,MIN(0.75,Matchup!$B$39*$B435),RAND())</f>
        <v>2</v>
      </c>
      <c r="E435" s="0" t="n">
        <f aca="true">CRITBINOM(D435,Coefficients!$B$30,RAND())</f>
        <v>0</v>
      </c>
      <c r="F435" s="0" t="n">
        <f aca="true">CRITBINOM(E435,Coefficients!$B$31,RAND())</f>
        <v>0</v>
      </c>
      <c r="G435" s="0" t="n">
        <f aca="true">CRITBINOM(MAX(0,D435-E435),1-Coefficients!$B$32,RAND())</f>
        <v>0</v>
      </c>
      <c r="H435" s="0" t="n">
        <f aca="true">CRITBINOM(MAX(0,$C435-D435),MIN(0.6,Matchup!$B$40*SQRT($B435)/(1-MIN(0.75,Matchup!$B$39*$B435))),RAND())</f>
        <v>1</v>
      </c>
      <c r="I435" s="0" t="n">
        <f aca="false">6*D435+(D435-E435-G435)+2*F435+3*H435</f>
        <v>17</v>
      </c>
      <c r="J435" s="0" t="n">
        <f aca="true">CRITBINOM($C435,MIN(0.75,Matchup!$C$39*$B435),RAND())</f>
        <v>2</v>
      </c>
      <c r="K435" s="0" t="n">
        <f aca="true">CRITBINOM(J435,Coefficients!$B$30,RAND())</f>
        <v>0</v>
      </c>
      <c r="L435" s="0" t="n">
        <f aca="true">CRITBINOM(K435,Coefficients!$B$31,RAND())</f>
        <v>0</v>
      </c>
      <c r="M435" s="0" t="n">
        <f aca="true">CRITBINOM(MAX(0,J435-K435),1-Coefficients!$B$32,RAND())</f>
        <v>0</v>
      </c>
      <c r="N435" s="0" t="n">
        <f aca="true">CRITBINOM(MAX(0,$C435-J435),MIN(0.6,Matchup!$C$40*SQRT($B435)/(1-MIN(0.75,Matchup!$C$39*$B435))),RAND())</f>
        <v>3</v>
      </c>
      <c r="O435" s="0" t="n">
        <f aca="false">6*J435+(J435-K435-M435)+2*L435+3*N435</f>
        <v>23</v>
      </c>
      <c r="P435" s="0" t="n">
        <f aca="true">RAND()</f>
        <v>0.0712890067424724</v>
      </c>
      <c r="Q435" s="0" t="n">
        <f aca="true">RAND()</f>
        <v>0.91089873896284</v>
      </c>
      <c r="R435" s="0" t="n">
        <f aca="false">IF($I435&lt;&gt;$O435,0,IF(P435&lt;Matchup!$B$39,7,IF(P435&lt;Matchup!$B$39+Matchup!$B$40,3,0)))</f>
        <v>0</v>
      </c>
      <c r="S435" s="0" t="n">
        <f aca="false">IF($I435&lt;&gt;$O435,0,IF(Q435&lt;Matchup!$C$39,7,IF(Q435&lt;Matchup!$C$39+Matchup!$C$40,3,0)))</f>
        <v>0</v>
      </c>
      <c r="T435" s="0" t="n">
        <f aca="false">I435+R435</f>
        <v>17</v>
      </c>
      <c r="U435" s="0" t="n">
        <f aca="false">O435+S435</f>
        <v>23</v>
      </c>
      <c r="V435" s="0" t="n">
        <f aca="false">T435-U435</f>
        <v>-6</v>
      </c>
      <c r="W435" s="0" t="n">
        <f aca="false">T435+U435</f>
        <v>40</v>
      </c>
    </row>
    <row r="436" customFormat="false" ht="15" hidden="false" customHeight="false" outlineLevel="0" collapsed="false">
      <c r="A436" s="0" t="n">
        <v>433</v>
      </c>
      <c r="B436" s="0" t="n">
        <f aca="true">NORMINV(RAND(),1,Coefficients!$B$22)</f>
        <v>1.14116463081864</v>
      </c>
      <c r="C436" s="0" t="n">
        <f aca="true">MEDIAN(8,16,ROUND(NORMINV(RAND(),Coefficients!$B$20,Coefficients!$B$21),0))</f>
        <v>11</v>
      </c>
      <c r="D436" s="0" t="n">
        <f aca="true">CRITBINOM($C436,MIN(0.75,Matchup!$B$39*$B436),RAND())</f>
        <v>3</v>
      </c>
      <c r="E436" s="0" t="n">
        <f aca="true">CRITBINOM(D436,Coefficients!$B$30,RAND())</f>
        <v>0</v>
      </c>
      <c r="F436" s="0" t="n">
        <f aca="true">CRITBINOM(E436,Coefficients!$B$31,RAND())</f>
        <v>0</v>
      </c>
      <c r="G436" s="0" t="n">
        <f aca="true">CRITBINOM(MAX(0,D436-E436),1-Coefficients!$B$32,RAND())</f>
        <v>1</v>
      </c>
      <c r="H436" s="0" t="n">
        <f aca="true">CRITBINOM(MAX(0,$C436-D436),MIN(0.6,Matchup!$B$40*SQRT($B436)/(1-MIN(0.75,Matchup!$B$39*$B436))),RAND())</f>
        <v>2</v>
      </c>
      <c r="I436" s="0" t="n">
        <f aca="false">6*D436+(D436-E436-G436)+2*F436+3*H436</f>
        <v>26</v>
      </c>
      <c r="J436" s="0" t="n">
        <f aca="true">CRITBINOM($C436,MIN(0.75,Matchup!$C$39*$B436),RAND())</f>
        <v>3</v>
      </c>
      <c r="K436" s="0" t="n">
        <f aca="true">CRITBINOM(J436,Coefficients!$B$30,RAND())</f>
        <v>1</v>
      </c>
      <c r="L436" s="0" t="n">
        <f aca="true">CRITBINOM(K436,Coefficients!$B$31,RAND())</f>
        <v>0</v>
      </c>
      <c r="M436" s="0" t="n">
        <f aca="true">CRITBINOM(MAX(0,J436-K436),1-Coefficients!$B$32,RAND())</f>
        <v>0</v>
      </c>
      <c r="N436" s="0" t="n">
        <f aca="true">CRITBINOM(MAX(0,$C436-J436),MIN(0.6,Matchup!$C$40*SQRT($B436)/(1-MIN(0.75,Matchup!$C$39*$B436))),RAND())</f>
        <v>1</v>
      </c>
      <c r="O436" s="0" t="n">
        <f aca="false">6*J436+(J436-K436-M436)+2*L436+3*N436</f>
        <v>23</v>
      </c>
      <c r="P436" s="0" t="n">
        <f aca="true">RAND()</f>
        <v>0.979621585613283</v>
      </c>
      <c r="Q436" s="0" t="n">
        <f aca="true">RAND()</f>
        <v>0.0400632136061268</v>
      </c>
      <c r="R436" s="0" t="n">
        <f aca="false">IF($I436&lt;&gt;$O436,0,IF(P436&lt;Matchup!$B$39,7,IF(P436&lt;Matchup!$B$39+Matchup!$B$40,3,0)))</f>
        <v>0</v>
      </c>
      <c r="S436" s="0" t="n">
        <f aca="false">IF($I436&lt;&gt;$O436,0,IF(Q436&lt;Matchup!$C$39,7,IF(Q436&lt;Matchup!$C$39+Matchup!$C$40,3,0)))</f>
        <v>0</v>
      </c>
      <c r="T436" s="0" t="n">
        <f aca="false">I436+R436</f>
        <v>26</v>
      </c>
      <c r="U436" s="0" t="n">
        <f aca="false">O436+S436</f>
        <v>23</v>
      </c>
      <c r="V436" s="0" t="n">
        <f aca="false">T436-U436</f>
        <v>3</v>
      </c>
      <c r="W436" s="0" t="n">
        <f aca="false">T436+U436</f>
        <v>49</v>
      </c>
    </row>
    <row r="437" customFormat="false" ht="15" hidden="false" customHeight="false" outlineLevel="0" collapsed="false">
      <c r="A437" s="0" t="n">
        <v>434</v>
      </c>
      <c r="B437" s="0" t="n">
        <f aca="true">NORMINV(RAND(),1,Coefficients!$B$22)</f>
        <v>0.928555634014425</v>
      </c>
      <c r="C437" s="0" t="n">
        <f aca="true">MEDIAN(8,16,ROUND(NORMINV(RAND(),Coefficients!$B$20,Coefficients!$B$21),0))</f>
        <v>11</v>
      </c>
      <c r="D437" s="0" t="n">
        <f aca="true">CRITBINOM($C437,MIN(0.75,Matchup!$B$39*$B437),RAND())</f>
        <v>1</v>
      </c>
      <c r="E437" s="0" t="n">
        <f aca="true">CRITBINOM(D437,Coefficients!$B$30,RAND())</f>
        <v>1</v>
      </c>
      <c r="F437" s="0" t="n">
        <f aca="true">CRITBINOM(E437,Coefficients!$B$31,RAND())</f>
        <v>0</v>
      </c>
      <c r="G437" s="0" t="n">
        <f aca="true">CRITBINOM(MAX(0,D437-E437),1-Coefficients!$B$32,RAND())</f>
        <v>0</v>
      </c>
      <c r="H437" s="0" t="n">
        <f aca="true">CRITBINOM(MAX(0,$C437-D437),MIN(0.6,Matchup!$B$40*SQRT($B437)/(1-MIN(0.75,Matchup!$B$39*$B437))),RAND())</f>
        <v>0</v>
      </c>
      <c r="I437" s="0" t="n">
        <f aca="false">6*D437+(D437-E437-G437)+2*F437+3*H437</f>
        <v>6</v>
      </c>
      <c r="J437" s="0" t="n">
        <f aca="true">CRITBINOM($C437,MIN(0.75,Matchup!$C$39*$B437),RAND())</f>
        <v>3</v>
      </c>
      <c r="K437" s="0" t="n">
        <f aca="true">CRITBINOM(J437,Coefficients!$B$30,RAND())</f>
        <v>1</v>
      </c>
      <c r="L437" s="0" t="n">
        <f aca="true">CRITBINOM(K437,Coefficients!$B$31,RAND())</f>
        <v>1</v>
      </c>
      <c r="M437" s="0" t="n">
        <f aca="true">CRITBINOM(MAX(0,J437-K437),1-Coefficients!$B$32,RAND())</f>
        <v>0</v>
      </c>
      <c r="N437" s="0" t="n">
        <f aca="true">CRITBINOM(MAX(0,$C437-J437),MIN(0.6,Matchup!$C$40*SQRT($B437)/(1-MIN(0.75,Matchup!$C$39*$B437))),RAND())</f>
        <v>0</v>
      </c>
      <c r="O437" s="0" t="n">
        <f aca="false">6*J437+(J437-K437-M437)+2*L437+3*N437</f>
        <v>22</v>
      </c>
      <c r="P437" s="0" t="n">
        <f aca="true">RAND()</f>
        <v>0.915626470321523</v>
      </c>
      <c r="Q437" s="0" t="n">
        <f aca="true">RAND()</f>
        <v>0.887802928552039</v>
      </c>
      <c r="R437" s="0" t="n">
        <f aca="false">IF($I437&lt;&gt;$O437,0,IF(P437&lt;Matchup!$B$39,7,IF(P437&lt;Matchup!$B$39+Matchup!$B$40,3,0)))</f>
        <v>0</v>
      </c>
      <c r="S437" s="0" t="n">
        <f aca="false">IF($I437&lt;&gt;$O437,0,IF(Q437&lt;Matchup!$C$39,7,IF(Q437&lt;Matchup!$C$39+Matchup!$C$40,3,0)))</f>
        <v>0</v>
      </c>
      <c r="T437" s="0" t="n">
        <f aca="false">I437+R437</f>
        <v>6</v>
      </c>
      <c r="U437" s="0" t="n">
        <f aca="false">O437+S437</f>
        <v>22</v>
      </c>
      <c r="V437" s="0" t="n">
        <f aca="false">T437-U437</f>
        <v>-16</v>
      </c>
      <c r="W437" s="0" t="n">
        <f aca="false">T437+U437</f>
        <v>28</v>
      </c>
    </row>
    <row r="438" customFormat="false" ht="15" hidden="false" customHeight="false" outlineLevel="0" collapsed="false">
      <c r="A438" s="0" t="n">
        <v>435</v>
      </c>
      <c r="B438" s="0" t="n">
        <f aca="true">NORMINV(RAND(),1,Coefficients!$B$22)</f>
        <v>1.0210164855123</v>
      </c>
      <c r="C438" s="0" t="n">
        <f aca="true">MEDIAN(8,16,ROUND(NORMINV(RAND(),Coefficients!$B$20,Coefficients!$B$21),0))</f>
        <v>12</v>
      </c>
      <c r="D438" s="0" t="n">
        <f aca="true">CRITBINOM($C438,MIN(0.75,Matchup!$B$39*$B438),RAND())</f>
        <v>3</v>
      </c>
      <c r="E438" s="0" t="n">
        <f aca="true">CRITBINOM(D438,Coefficients!$B$30,RAND())</f>
        <v>0</v>
      </c>
      <c r="F438" s="0" t="n">
        <f aca="true">CRITBINOM(E438,Coefficients!$B$31,RAND())</f>
        <v>0</v>
      </c>
      <c r="G438" s="0" t="n">
        <f aca="true">CRITBINOM(MAX(0,D438-E438),1-Coefficients!$B$32,RAND())</f>
        <v>0</v>
      </c>
      <c r="H438" s="0" t="n">
        <f aca="true">CRITBINOM(MAX(0,$C438-D438),MIN(0.6,Matchup!$B$40*SQRT($B438)/(1-MIN(0.75,Matchup!$B$39*$B438))),RAND())</f>
        <v>2</v>
      </c>
      <c r="I438" s="0" t="n">
        <f aca="false">6*D438+(D438-E438-G438)+2*F438+3*H438</f>
        <v>27</v>
      </c>
      <c r="J438" s="0" t="n">
        <f aca="true">CRITBINOM($C438,MIN(0.75,Matchup!$C$39*$B438),RAND())</f>
        <v>3</v>
      </c>
      <c r="K438" s="0" t="n">
        <f aca="true">CRITBINOM(J438,Coefficients!$B$30,RAND())</f>
        <v>0</v>
      </c>
      <c r="L438" s="0" t="n">
        <f aca="true">CRITBINOM(K438,Coefficients!$B$31,RAND())</f>
        <v>0</v>
      </c>
      <c r="M438" s="0" t="n">
        <f aca="true">CRITBINOM(MAX(0,J438-K438),1-Coefficients!$B$32,RAND())</f>
        <v>0</v>
      </c>
      <c r="N438" s="0" t="n">
        <f aca="true">CRITBINOM(MAX(0,$C438-J438),MIN(0.6,Matchup!$C$40*SQRT($B438)/(1-MIN(0.75,Matchup!$C$39*$B438))),RAND())</f>
        <v>1</v>
      </c>
      <c r="O438" s="0" t="n">
        <f aca="false">6*J438+(J438-K438-M438)+2*L438+3*N438</f>
        <v>24</v>
      </c>
      <c r="P438" s="0" t="n">
        <f aca="true">RAND()</f>
        <v>0.13438787854885</v>
      </c>
      <c r="Q438" s="0" t="n">
        <f aca="true">RAND()</f>
        <v>0.448532338668996</v>
      </c>
      <c r="R438" s="0" t="n">
        <f aca="false">IF($I438&lt;&gt;$O438,0,IF(P438&lt;Matchup!$B$39,7,IF(P438&lt;Matchup!$B$39+Matchup!$B$40,3,0)))</f>
        <v>0</v>
      </c>
      <c r="S438" s="0" t="n">
        <f aca="false">IF($I438&lt;&gt;$O438,0,IF(Q438&lt;Matchup!$C$39,7,IF(Q438&lt;Matchup!$C$39+Matchup!$C$40,3,0)))</f>
        <v>0</v>
      </c>
      <c r="T438" s="0" t="n">
        <f aca="false">I438+R438</f>
        <v>27</v>
      </c>
      <c r="U438" s="0" t="n">
        <f aca="false">O438+S438</f>
        <v>24</v>
      </c>
      <c r="V438" s="0" t="n">
        <f aca="false">T438-U438</f>
        <v>3</v>
      </c>
      <c r="W438" s="0" t="n">
        <f aca="false">T438+U438</f>
        <v>51</v>
      </c>
    </row>
    <row r="439" customFormat="false" ht="15" hidden="false" customHeight="false" outlineLevel="0" collapsed="false">
      <c r="A439" s="0" t="n">
        <v>436</v>
      </c>
      <c r="B439" s="0" t="n">
        <f aca="true">NORMINV(RAND(),1,Coefficients!$B$22)</f>
        <v>1.15361523215539</v>
      </c>
      <c r="C439" s="0" t="n">
        <f aca="true">MEDIAN(8,16,ROUND(NORMINV(RAND(),Coefficients!$B$20,Coefficients!$B$21),0))</f>
        <v>11</v>
      </c>
      <c r="D439" s="0" t="n">
        <f aca="true">CRITBINOM($C439,MIN(0.75,Matchup!$B$39*$B439),RAND())</f>
        <v>2</v>
      </c>
      <c r="E439" s="0" t="n">
        <f aca="true">CRITBINOM(D439,Coefficients!$B$30,RAND())</f>
        <v>0</v>
      </c>
      <c r="F439" s="0" t="n">
        <f aca="true">CRITBINOM(E439,Coefficients!$B$31,RAND())</f>
        <v>0</v>
      </c>
      <c r="G439" s="0" t="n">
        <f aca="true">CRITBINOM(MAX(0,D439-E439),1-Coefficients!$B$32,RAND())</f>
        <v>0</v>
      </c>
      <c r="H439" s="0" t="n">
        <f aca="true">CRITBINOM(MAX(0,$C439-D439),MIN(0.6,Matchup!$B$40*SQRT($B439)/(1-MIN(0.75,Matchup!$B$39*$B439))),RAND())</f>
        <v>2</v>
      </c>
      <c r="I439" s="0" t="n">
        <f aca="false">6*D439+(D439-E439-G439)+2*F439+3*H439</f>
        <v>20</v>
      </c>
      <c r="J439" s="0" t="n">
        <f aca="true">CRITBINOM($C439,MIN(0.75,Matchup!$C$39*$B439),RAND())</f>
        <v>2</v>
      </c>
      <c r="K439" s="0" t="n">
        <f aca="true">CRITBINOM(J439,Coefficients!$B$30,RAND())</f>
        <v>0</v>
      </c>
      <c r="L439" s="0" t="n">
        <f aca="true">CRITBINOM(K439,Coefficients!$B$31,RAND())</f>
        <v>0</v>
      </c>
      <c r="M439" s="0" t="n">
        <f aca="true">CRITBINOM(MAX(0,J439-K439),1-Coefficients!$B$32,RAND())</f>
        <v>0</v>
      </c>
      <c r="N439" s="0" t="n">
        <f aca="true">CRITBINOM(MAX(0,$C439-J439),MIN(0.6,Matchup!$C$40*SQRT($B439)/(1-MIN(0.75,Matchup!$C$39*$B439))),RAND())</f>
        <v>1</v>
      </c>
      <c r="O439" s="0" t="n">
        <f aca="false">6*J439+(J439-K439-M439)+2*L439+3*N439</f>
        <v>17</v>
      </c>
      <c r="P439" s="0" t="n">
        <f aca="true">RAND()</f>
        <v>0.621109361776691</v>
      </c>
      <c r="Q439" s="0" t="n">
        <f aca="true">RAND()</f>
        <v>0.348117964886252</v>
      </c>
      <c r="R439" s="0" t="n">
        <f aca="false">IF($I439&lt;&gt;$O439,0,IF(P439&lt;Matchup!$B$39,7,IF(P439&lt;Matchup!$B$39+Matchup!$B$40,3,0)))</f>
        <v>0</v>
      </c>
      <c r="S439" s="0" t="n">
        <f aca="false">IF($I439&lt;&gt;$O439,0,IF(Q439&lt;Matchup!$C$39,7,IF(Q439&lt;Matchup!$C$39+Matchup!$C$40,3,0)))</f>
        <v>0</v>
      </c>
      <c r="T439" s="0" t="n">
        <f aca="false">I439+R439</f>
        <v>20</v>
      </c>
      <c r="U439" s="0" t="n">
        <f aca="false">O439+S439</f>
        <v>17</v>
      </c>
      <c r="V439" s="0" t="n">
        <f aca="false">T439-U439</f>
        <v>3</v>
      </c>
      <c r="W439" s="0" t="n">
        <f aca="false">T439+U439</f>
        <v>37</v>
      </c>
    </row>
    <row r="440" customFormat="false" ht="15" hidden="false" customHeight="false" outlineLevel="0" collapsed="false">
      <c r="A440" s="0" t="n">
        <v>437</v>
      </c>
      <c r="B440" s="0" t="n">
        <f aca="true">NORMINV(RAND(),1,Coefficients!$B$22)</f>
        <v>1.03928891638017</v>
      </c>
      <c r="C440" s="0" t="n">
        <f aca="true">MEDIAN(8,16,ROUND(NORMINV(RAND(),Coefficients!$B$20,Coefficients!$B$21),0))</f>
        <v>12</v>
      </c>
      <c r="D440" s="0" t="n">
        <f aca="true">CRITBINOM($C440,MIN(0.75,Matchup!$B$39*$B440),RAND())</f>
        <v>5</v>
      </c>
      <c r="E440" s="0" t="n">
        <f aca="true">CRITBINOM(D440,Coefficients!$B$30,RAND())</f>
        <v>0</v>
      </c>
      <c r="F440" s="0" t="n">
        <f aca="true">CRITBINOM(E440,Coefficients!$B$31,RAND())</f>
        <v>0</v>
      </c>
      <c r="G440" s="0" t="n">
        <f aca="true">CRITBINOM(MAX(0,D440-E440),1-Coefficients!$B$32,RAND())</f>
        <v>0</v>
      </c>
      <c r="H440" s="0" t="n">
        <f aca="true">CRITBINOM(MAX(0,$C440-D440),MIN(0.6,Matchup!$B$40*SQRT($B440)/(1-MIN(0.75,Matchup!$B$39*$B440))),RAND())</f>
        <v>3</v>
      </c>
      <c r="I440" s="0" t="n">
        <f aca="false">6*D440+(D440-E440-G440)+2*F440+3*H440</f>
        <v>44</v>
      </c>
      <c r="J440" s="0" t="n">
        <f aca="true">CRITBINOM($C440,MIN(0.75,Matchup!$C$39*$B440),RAND())</f>
        <v>2</v>
      </c>
      <c r="K440" s="0" t="n">
        <f aca="true">CRITBINOM(J440,Coefficients!$B$30,RAND())</f>
        <v>0</v>
      </c>
      <c r="L440" s="0" t="n">
        <f aca="true">CRITBINOM(K440,Coefficients!$B$31,RAND())</f>
        <v>0</v>
      </c>
      <c r="M440" s="0" t="n">
        <f aca="true">CRITBINOM(MAX(0,J440-K440),1-Coefficients!$B$32,RAND())</f>
        <v>0</v>
      </c>
      <c r="N440" s="0" t="n">
        <f aca="true">CRITBINOM(MAX(0,$C440-J440),MIN(0.6,Matchup!$C$40*SQRT($B440)/(1-MIN(0.75,Matchup!$C$39*$B440))),RAND())</f>
        <v>2</v>
      </c>
      <c r="O440" s="0" t="n">
        <f aca="false">6*J440+(J440-K440-M440)+2*L440+3*N440</f>
        <v>20</v>
      </c>
      <c r="P440" s="0" t="n">
        <f aca="true">RAND()</f>
        <v>0.97698666564899</v>
      </c>
      <c r="Q440" s="0" t="n">
        <f aca="true">RAND()</f>
        <v>0.54443850887699</v>
      </c>
      <c r="R440" s="0" t="n">
        <f aca="false">IF($I440&lt;&gt;$O440,0,IF(P440&lt;Matchup!$B$39,7,IF(P440&lt;Matchup!$B$39+Matchup!$B$40,3,0)))</f>
        <v>0</v>
      </c>
      <c r="S440" s="0" t="n">
        <f aca="false">IF($I440&lt;&gt;$O440,0,IF(Q440&lt;Matchup!$C$39,7,IF(Q440&lt;Matchup!$C$39+Matchup!$C$40,3,0)))</f>
        <v>0</v>
      </c>
      <c r="T440" s="0" t="n">
        <f aca="false">I440+R440</f>
        <v>44</v>
      </c>
      <c r="U440" s="0" t="n">
        <f aca="false">O440+S440</f>
        <v>20</v>
      </c>
      <c r="V440" s="0" t="n">
        <f aca="false">T440-U440</f>
        <v>24</v>
      </c>
      <c r="W440" s="0" t="n">
        <f aca="false">T440+U440</f>
        <v>64</v>
      </c>
    </row>
    <row r="441" customFormat="false" ht="15" hidden="false" customHeight="false" outlineLevel="0" collapsed="false">
      <c r="A441" s="0" t="n">
        <v>438</v>
      </c>
      <c r="B441" s="0" t="n">
        <f aca="true">NORMINV(RAND(),1,Coefficients!$B$22)</f>
        <v>0.957950867877826</v>
      </c>
      <c r="C441" s="0" t="n">
        <f aca="true">MEDIAN(8,16,ROUND(NORMINV(RAND(),Coefficients!$B$20,Coefficients!$B$21),0))</f>
        <v>10</v>
      </c>
      <c r="D441" s="0" t="n">
        <f aca="true">CRITBINOM($C441,MIN(0.75,Matchup!$B$39*$B441),RAND())</f>
        <v>2</v>
      </c>
      <c r="E441" s="0" t="n">
        <f aca="true">CRITBINOM(D441,Coefficients!$B$30,RAND())</f>
        <v>0</v>
      </c>
      <c r="F441" s="0" t="n">
        <f aca="true">CRITBINOM(E441,Coefficients!$B$31,RAND())</f>
        <v>0</v>
      </c>
      <c r="G441" s="0" t="n">
        <f aca="true">CRITBINOM(MAX(0,D441-E441),1-Coefficients!$B$32,RAND())</f>
        <v>0</v>
      </c>
      <c r="H441" s="0" t="n">
        <f aca="true">CRITBINOM(MAX(0,$C441-D441),MIN(0.6,Matchup!$B$40*SQRT($B441)/(1-MIN(0.75,Matchup!$B$39*$B441))),RAND())</f>
        <v>1</v>
      </c>
      <c r="I441" s="0" t="n">
        <f aca="false">6*D441+(D441-E441-G441)+2*F441+3*H441</f>
        <v>17</v>
      </c>
      <c r="J441" s="0" t="n">
        <f aca="true">CRITBINOM($C441,MIN(0.75,Matchup!$C$39*$B441),RAND())</f>
        <v>4</v>
      </c>
      <c r="K441" s="0" t="n">
        <f aca="true">CRITBINOM(J441,Coefficients!$B$30,RAND())</f>
        <v>0</v>
      </c>
      <c r="L441" s="0" t="n">
        <f aca="true">CRITBINOM(K441,Coefficients!$B$31,RAND())</f>
        <v>0</v>
      </c>
      <c r="M441" s="0" t="n">
        <f aca="true">CRITBINOM(MAX(0,J441-K441),1-Coefficients!$B$32,RAND())</f>
        <v>0</v>
      </c>
      <c r="N441" s="0" t="n">
        <f aca="true">CRITBINOM(MAX(0,$C441-J441),MIN(0.6,Matchup!$C$40*SQRT($B441)/(1-MIN(0.75,Matchup!$C$39*$B441))),RAND())</f>
        <v>1</v>
      </c>
      <c r="O441" s="0" t="n">
        <f aca="false">6*J441+(J441-K441-M441)+2*L441+3*N441</f>
        <v>31</v>
      </c>
      <c r="P441" s="0" t="n">
        <f aca="true">RAND()</f>
        <v>0.798425657688993</v>
      </c>
      <c r="Q441" s="0" t="n">
        <f aca="true">RAND()</f>
        <v>0.636974456490465</v>
      </c>
      <c r="R441" s="0" t="n">
        <f aca="false">IF($I441&lt;&gt;$O441,0,IF(P441&lt;Matchup!$B$39,7,IF(P441&lt;Matchup!$B$39+Matchup!$B$40,3,0)))</f>
        <v>0</v>
      </c>
      <c r="S441" s="0" t="n">
        <f aca="false">IF($I441&lt;&gt;$O441,0,IF(Q441&lt;Matchup!$C$39,7,IF(Q441&lt;Matchup!$C$39+Matchup!$C$40,3,0)))</f>
        <v>0</v>
      </c>
      <c r="T441" s="0" t="n">
        <f aca="false">I441+R441</f>
        <v>17</v>
      </c>
      <c r="U441" s="0" t="n">
        <f aca="false">O441+S441</f>
        <v>31</v>
      </c>
      <c r="V441" s="0" t="n">
        <f aca="false">T441-U441</f>
        <v>-14</v>
      </c>
      <c r="W441" s="0" t="n">
        <f aca="false">T441+U441</f>
        <v>48</v>
      </c>
    </row>
    <row r="442" customFormat="false" ht="15" hidden="false" customHeight="false" outlineLevel="0" collapsed="false">
      <c r="A442" s="0" t="n">
        <v>439</v>
      </c>
      <c r="B442" s="0" t="n">
        <f aca="true">NORMINV(RAND(),1,Coefficients!$B$22)</f>
        <v>1.08081871333129</v>
      </c>
      <c r="C442" s="0" t="n">
        <f aca="true">MEDIAN(8,16,ROUND(NORMINV(RAND(),Coefficients!$B$20,Coefficients!$B$21),0))</f>
        <v>9</v>
      </c>
      <c r="D442" s="0" t="n">
        <f aca="true">CRITBINOM($C442,MIN(0.75,Matchup!$B$39*$B442),RAND())</f>
        <v>4</v>
      </c>
      <c r="E442" s="0" t="n">
        <f aca="true">CRITBINOM(D442,Coefficients!$B$30,RAND())</f>
        <v>0</v>
      </c>
      <c r="F442" s="0" t="n">
        <f aca="true">CRITBINOM(E442,Coefficients!$B$31,RAND())</f>
        <v>0</v>
      </c>
      <c r="G442" s="0" t="n">
        <f aca="true">CRITBINOM(MAX(0,D442-E442),1-Coefficients!$B$32,RAND())</f>
        <v>0</v>
      </c>
      <c r="H442" s="0" t="n">
        <f aca="true">CRITBINOM(MAX(0,$C442-D442),MIN(0.6,Matchup!$B$40*SQRT($B442)/(1-MIN(0.75,Matchup!$B$39*$B442))),RAND())</f>
        <v>2</v>
      </c>
      <c r="I442" s="0" t="n">
        <f aca="false">6*D442+(D442-E442-G442)+2*F442+3*H442</f>
        <v>34</v>
      </c>
      <c r="J442" s="0" t="n">
        <f aca="true">CRITBINOM($C442,MIN(0.75,Matchup!$C$39*$B442),RAND())</f>
        <v>0</v>
      </c>
      <c r="K442" s="0" t="n">
        <f aca="true">CRITBINOM(J442,Coefficients!$B$30,RAND())</f>
        <v>0</v>
      </c>
      <c r="L442" s="0" t="n">
        <f aca="true">CRITBINOM(K442,Coefficients!$B$31,RAND())</f>
        <v>0</v>
      </c>
      <c r="M442" s="0" t="n">
        <f aca="true">CRITBINOM(MAX(0,J442-K442),1-Coefficients!$B$32,RAND())</f>
        <v>0</v>
      </c>
      <c r="N442" s="0" t="n">
        <f aca="true">CRITBINOM(MAX(0,$C442-J442),MIN(0.6,Matchup!$C$40*SQRT($B442)/(1-MIN(0.75,Matchup!$C$39*$B442))),RAND())</f>
        <v>0</v>
      </c>
      <c r="O442" s="0" t="n">
        <f aca="false">6*J442+(J442-K442-M442)+2*L442+3*N442</f>
        <v>0</v>
      </c>
      <c r="P442" s="0" t="n">
        <f aca="true">RAND()</f>
        <v>0.389220751172164</v>
      </c>
      <c r="Q442" s="0" t="n">
        <f aca="true">RAND()</f>
        <v>0.679333971976831</v>
      </c>
      <c r="R442" s="0" t="n">
        <f aca="false">IF($I442&lt;&gt;$O442,0,IF(P442&lt;Matchup!$B$39,7,IF(P442&lt;Matchup!$B$39+Matchup!$B$40,3,0)))</f>
        <v>0</v>
      </c>
      <c r="S442" s="0" t="n">
        <f aca="false">IF($I442&lt;&gt;$O442,0,IF(Q442&lt;Matchup!$C$39,7,IF(Q442&lt;Matchup!$C$39+Matchup!$C$40,3,0)))</f>
        <v>0</v>
      </c>
      <c r="T442" s="0" t="n">
        <f aca="false">I442+R442</f>
        <v>34</v>
      </c>
      <c r="U442" s="0" t="n">
        <f aca="false">O442+S442</f>
        <v>0</v>
      </c>
      <c r="V442" s="0" t="n">
        <f aca="false">T442-U442</f>
        <v>34</v>
      </c>
      <c r="W442" s="0" t="n">
        <f aca="false">T442+U442</f>
        <v>34</v>
      </c>
    </row>
    <row r="443" customFormat="false" ht="15" hidden="false" customHeight="false" outlineLevel="0" collapsed="false">
      <c r="A443" s="0" t="n">
        <v>440</v>
      </c>
      <c r="B443" s="0" t="n">
        <f aca="true">NORMINV(RAND(),1,Coefficients!$B$22)</f>
        <v>0.913642667159914</v>
      </c>
      <c r="C443" s="0" t="n">
        <f aca="true">MEDIAN(8,16,ROUND(NORMINV(RAND(),Coefficients!$B$20,Coefficients!$B$21),0))</f>
        <v>11</v>
      </c>
      <c r="D443" s="0" t="n">
        <f aca="true">CRITBINOM($C443,MIN(0.75,Matchup!$B$39*$B443),RAND())</f>
        <v>3</v>
      </c>
      <c r="E443" s="0" t="n">
        <f aca="true">CRITBINOM(D443,Coefficients!$B$30,RAND())</f>
        <v>0</v>
      </c>
      <c r="F443" s="0" t="n">
        <f aca="true">CRITBINOM(E443,Coefficients!$B$31,RAND())</f>
        <v>0</v>
      </c>
      <c r="G443" s="0" t="n">
        <f aca="true">CRITBINOM(MAX(0,D443-E443),1-Coefficients!$B$32,RAND())</f>
        <v>0</v>
      </c>
      <c r="H443" s="0" t="n">
        <f aca="true">CRITBINOM(MAX(0,$C443-D443),MIN(0.6,Matchup!$B$40*SQRT($B443)/(1-MIN(0.75,Matchup!$B$39*$B443))),RAND())</f>
        <v>0</v>
      </c>
      <c r="I443" s="0" t="n">
        <f aca="false">6*D443+(D443-E443-G443)+2*F443+3*H443</f>
        <v>21</v>
      </c>
      <c r="J443" s="0" t="n">
        <f aca="true">CRITBINOM($C443,MIN(0.75,Matchup!$C$39*$B443),RAND())</f>
        <v>2</v>
      </c>
      <c r="K443" s="0" t="n">
        <f aca="true">CRITBINOM(J443,Coefficients!$B$30,RAND())</f>
        <v>0</v>
      </c>
      <c r="L443" s="0" t="n">
        <f aca="true">CRITBINOM(K443,Coefficients!$B$31,RAND())</f>
        <v>0</v>
      </c>
      <c r="M443" s="0" t="n">
        <f aca="true">CRITBINOM(MAX(0,J443-K443),1-Coefficients!$B$32,RAND())</f>
        <v>0</v>
      </c>
      <c r="N443" s="0" t="n">
        <f aca="true">CRITBINOM(MAX(0,$C443-J443),MIN(0.6,Matchup!$C$40*SQRT($B443)/(1-MIN(0.75,Matchup!$C$39*$B443))),RAND())</f>
        <v>2</v>
      </c>
      <c r="O443" s="0" t="n">
        <f aca="false">6*J443+(J443-K443-M443)+2*L443+3*N443</f>
        <v>20</v>
      </c>
      <c r="P443" s="0" t="n">
        <f aca="true">RAND()</f>
        <v>0.907568435490652</v>
      </c>
      <c r="Q443" s="0" t="n">
        <f aca="true">RAND()</f>
        <v>0.250237599207517</v>
      </c>
      <c r="R443" s="0" t="n">
        <f aca="false">IF($I443&lt;&gt;$O443,0,IF(P443&lt;Matchup!$B$39,7,IF(P443&lt;Matchup!$B$39+Matchup!$B$40,3,0)))</f>
        <v>0</v>
      </c>
      <c r="S443" s="0" t="n">
        <f aca="false">IF($I443&lt;&gt;$O443,0,IF(Q443&lt;Matchup!$C$39,7,IF(Q443&lt;Matchup!$C$39+Matchup!$C$40,3,0)))</f>
        <v>0</v>
      </c>
      <c r="T443" s="0" t="n">
        <f aca="false">I443+R443</f>
        <v>21</v>
      </c>
      <c r="U443" s="0" t="n">
        <f aca="false">O443+S443</f>
        <v>20</v>
      </c>
      <c r="V443" s="0" t="n">
        <f aca="false">T443-U443</f>
        <v>1</v>
      </c>
      <c r="W443" s="0" t="n">
        <f aca="false">T443+U443</f>
        <v>41</v>
      </c>
    </row>
    <row r="444" customFormat="false" ht="15" hidden="false" customHeight="false" outlineLevel="0" collapsed="false">
      <c r="A444" s="0" t="n">
        <v>441</v>
      </c>
      <c r="B444" s="0" t="n">
        <f aca="true">NORMINV(RAND(),1,Coefficients!$B$22)</f>
        <v>1.04384292045988</v>
      </c>
      <c r="C444" s="0" t="n">
        <f aca="true">MEDIAN(8,16,ROUND(NORMINV(RAND(),Coefficients!$B$20,Coefficients!$B$21),0))</f>
        <v>11</v>
      </c>
      <c r="D444" s="0" t="n">
        <f aca="true">CRITBINOM($C444,MIN(0.75,Matchup!$B$39*$B444),RAND())</f>
        <v>1</v>
      </c>
      <c r="E444" s="0" t="n">
        <f aca="true">CRITBINOM(D444,Coefficients!$B$30,RAND())</f>
        <v>0</v>
      </c>
      <c r="F444" s="0" t="n">
        <f aca="true">CRITBINOM(E444,Coefficients!$B$31,RAND())</f>
        <v>0</v>
      </c>
      <c r="G444" s="0" t="n">
        <f aca="true">CRITBINOM(MAX(0,D444-E444),1-Coefficients!$B$32,RAND())</f>
        <v>0</v>
      </c>
      <c r="H444" s="0" t="n">
        <f aca="true">CRITBINOM(MAX(0,$C444-D444),MIN(0.6,Matchup!$B$40*SQRT($B444)/(1-MIN(0.75,Matchup!$B$39*$B444))),RAND())</f>
        <v>1</v>
      </c>
      <c r="I444" s="0" t="n">
        <f aca="false">6*D444+(D444-E444-G444)+2*F444+3*H444</f>
        <v>10</v>
      </c>
      <c r="J444" s="0" t="n">
        <f aca="true">CRITBINOM($C444,MIN(0.75,Matchup!$C$39*$B444),RAND())</f>
        <v>6</v>
      </c>
      <c r="K444" s="0" t="n">
        <f aca="true">CRITBINOM(J444,Coefficients!$B$30,RAND())</f>
        <v>1</v>
      </c>
      <c r="L444" s="0" t="n">
        <f aca="true">CRITBINOM(K444,Coefficients!$B$31,RAND())</f>
        <v>0</v>
      </c>
      <c r="M444" s="0" t="n">
        <f aca="true">CRITBINOM(MAX(0,J444-K444),1-Coefficients!$B$32,RAND())</f>
        <v>0</v>
      </c>
      <c r="N444" s="0" t="n">
        <f aca="true">CRITBINOM(MAX(0,$C444-J444),MIN(0.6,Matchup!$C$40*SQRT($B444)/(1-MIN(0.75,Matchup!$C$39*$B444))),RAND())</f>
        <v>2</v>
      </c>
      <c r="O444" s="0" t="n">
        <f aca="false">6*J444+(J444-K444-M444)+2*L444+3*N444</f>
        <v>47</v>
      </c>
      <c r="P444" s="0" t="n">
        <f aca="true">RAND()</f>
        <v>0.312350207738451</v>
      </c>
      <c r="Q444" s="0" t="n">
        <f aca="true">RAND()</f>
        <v>0.650405764400259</v>
      </c>
      <c r="R444" s="0" t="n">
        <f aca="false">IF($I444&lt;&gt;$O444,0,IF(P444&lt;Matchup!$B$39,7,IF(P444&lt;Matchup!$B$39+Matchup!$B$40,3,0)))</f>
        <v>0</v>
      </c>
      <c r="S444" s="0" t="n">
        <f aca="false">IF($I444&lt;&gt;$O444,0,IF(Q444&lt;Matchup!$C$39,7,IF(Q444&lt;Matchup!$C$39+Matchup!$C$40,3,0)))</f>
        <v>0</v>
      </c>
      <c r="T444" s="0" t="n">
        <f aca="false">I444+R444</f>
        <v>10</v>
      </c>
      <c r="U444" s="0" t="n">
        <f aca="false">O444+S444</f>
        <v>47</v>
      </c>
      <c r="V444" s="0" t="n">
        <f aca="false">T444-U444</f>
        <v>-37</v>
      </c>
      <c r="W444" s="0" t="n">
        <f aca="false">T444+U444</f>
        <v>57</v>
      </c>
    </row>
    <row r="445" customFormat="false" ht="15" hidden="false" customHeight="false" outlineLevel="0" collapsed="false">
      <c r="A445" s="0" t="n">
        <v>442</v>
      </c>
      <c r="B445" s="0" t="n">
        <f aca="true">NORMINV(RAND(),1,Coefficients!$B$22)</f>
        <v>0.964272140184559</v>
      </c>
      <c r="C445" s="0" t="n">
        <f aca="true">MEDIAN(8,16,ROUND(NORMINV(RAND(),Coefficients!$B$20,Coefficients!$B$21),0))</f>
        <v>12</v>
      </c>
      <c r="D445" s="0" t="n">
        <f aca="true">CRITBINOM($C445,MIN(0.75,Matchup!$B$39*$B445),RAND())</f>
        <v>4</v>
      </c>
      <c r="E445" s="0" t="n">
        <f aca="true">CRITBINOM(D445,Coefficients!$B$30,RAND())</f>
        <v>0</v>
      </c>
      <c r="F445" s="0" t="n">
        <f aca="true">CRITBINOM(E445,Coefficients!$B$31,RAND())</f>
        <v>0</v>
      </c>
      <c r="G445" s="0" t="n">
        <f aca="true">CRITBINOM(MAX(0,D445-E445),1-Coefficients!$B$32,RAND())</f>
        <v>0</v>
      </c>
      <c r="H445" s="0" t="n">
        <f aca="true">CRITBINOM(MAX(0,$C445-D445),MIN(0.6,Matchup!$B$40*SQRT($B445)/(1-MIN(0.75,Matchup!$B$39*$B445))),RAND())</f>
        <v>4</v>
      </c>
      <c r="I445" s="0" t="n">
        <f aca="false">6*D445+(D445-E445-G445)+2*F445+3*H445</f>
        <v>40</v>
      </c>
      <c r="J445" s="0" t="n">
        <f aca="true">CRITBINOM($C445,MIN(0.75,Matchup!$C$39*$B445),RAND())</f>
        <v>0</v>
      </c>
      <c r="K445" s="0" t="n">
        <f aca="true">CRITBINOM(J445,Coefficients!$B$30,RAND())</f>
        <v>0</v>
      </c>
      <c r="L445" s="0" t="n">
        <f aca="true">CRITBINOM(K445,Coefficients!$B$31,RAND())</f>
        <v>0</v>
      </c>
      <c r="M445" s="0" t="n">
        <f aca="true">CRITBINOM(MAX(0,J445-K445),1-Coefficients!$B$32,RAND())</f>
        <v>0</v>
      </c>
      <c r="N445" s="0" t="n">
        <f aca="true">CRITBINOM(MAX(0,$C445-J445),MIN(0.6,Matchup!$C$40*SQRT($B445)/(1-MIN(0.75,Matchup!$C$39*$B445))),RAND())</f>
        <v>1</v>
      </c>
      <c r="O445" s="0" t="n">
        <f aca="false">6*J445+(J445-K445-M445)+2*L445+3*N445</f>
        <v>3</v>
      </c>
      <c r="P445" s="0" t="n">
        <f aca="true">RAND()</f>
        <v>0.55504363415827</v>
      </c>
      <c r="Q445" s="0" t="n">
        <f aca="true">RAND()</f>
        <v>0.56833425371891</v>
      </c>
      <c r="R445" s="0" t="n">
        <f aca="false">IF($I445&lt;&gt;$O445,0,IF(P445&lt;Matchup!$B$39,7,IF(P445&lt;Matchup!$B$39+Matchup!$B$40,3,0)))</f>
        <v>0</v>
      </c>
      <c r="S445" s="0" t="n">
        <f aca="false">IF($I445&lt;&gt;$O445,0,IF(Q445&lt;Matchup!$C$39,7,IF(Q445&lt;Matchup!$C$39+Matchup!$C$40,3,0)))</f>
        <v>0</v>
      </c>
      <c r="T445" s="0" t="n">
        <f aca="false">I445+R445</f>
        <v>40</v>
      </c>
      <c r="U445" s="0" t="n">
        <f aca="false">O445+S445</f>
        <v>3</v>
      </c>
      <c r="V445" s="0" t="n">
        <f aca="false">T445-U445</f>
        <v>37</v>
      </c>
      <c r="W445" s="0" t="n">
        <f aca="false">T445+U445</f>
        <v>43</v>
      </c>
    </row>
    <row r="446" customFormat="false" ht="15" hidden="false" customHeight="false" outlineLevel="0" collapsed="false">
      <c r="A446" s="0" t="n">
        <v>443</v>
      </c>
      <c r="B446" s="0" t="n">
        <f aca="true">NORMINV(RAND(),1,Coefficients!$B$22)</f>
        <v>0.938818008571401</v>
      </c>
      <c r="C446" s="0" t="n">
        <f aca="true">MEDIAN(8,16,ROUND(NORMINV(RAND(),Coefficients!$B$20,Coefficients!$B$21),0))</f>
        <v>13</v>
      </c>
      <c r="D446" s="0" t="n">
        <f aca="true">CRITBINOM($C446,MIN(0.75,Matchup!$B$39*$B446),RAND())</f>
        <v>7</v>
      </c>
      <c r="E446" s="0" t="n">
        <f aca="true">CRITBINOM(D446,Coefficients!$B$30,RAND())</f>
        <v>0</v>
      </c>
      <c r="F446" s="0" t="n">
        <f aca="true">CRITBINOM(E446,Coefficients!$B$31,RAND())</f>
        <v>0</v>
      </c>
      <c r="G446" s="0" t="n">
        <f aca="true">CRITBINOM(MAX(0,D446-E446),1-Coefficients!$B$32,RAND())</f>
        <v>0</v>
      </c>
      <c r="H446" s="0" t="n">
        <f aca="true">CRITBINOM(MAX(0,$C446-D446),MIN(0.6,Matchup!$B$40*SQRT($B446)/(1-MIN(0.75,Matchup!$B$39*$B446))),RAND())</f>
        <v>2</v>
      </c>
      <c r="I446" s="0" t="n">
        <f aca="false">6*D446+(D446-E446-G446)+2*F446+3*H446</f>
        <v>55</v>
      </c>
      <c r="J446" s="0" t="n">
        <f aca="true">CRITBINOM($C446,MIN(0.75,Matchup!$C$39*$B446),RAND())</f>
        <v>3</v>
      </c>
      <c r="K446" s="0" t="n">
        <f aca="true">CRITBINOM(J446,Coefficients!$B$30,RAND())</f>
        <v>1</v>
      </c>
      <c r="L446" s="0" t="n">
        <f aca="true">CRITBINOM(K446,Coefficients!$B$31,RAND())</f>
        <v>1</v>
      </c>
      <c r="M446" s="0" t="n">
        <f aca="true">CRITBINOM(MAX(0,J446-K446),1-Coefficients!$B$32,RAND())</f>
        <v>0</v>
      </c>
      <c r="N446" s="0" t="n">
        <f aca="true">CRITBINOM(MAX(0,$C446-J446),MIN(0.6,Matchup!$C$40*SQRT($B446)/(1-MIN(0.75,Matchup!$C$39*$B446))),RAND())</f>
        <v>2</v>
      </c>
      <c r="O446" s="0" t="n">
        <f aca="false">6*J446+(J446-K446-M446)+2*L446+3*N446</f>
        <v>28</v>
      </c>
      <c r="P446" s="0" t="n">
        <f aca="true">RAND()</f>
        <v>0.17558720518111</v>
      </c>
      <c r="Q446" s="0" t="n">
        <f aca="true">RAND()</f>
        <v>0.338382547254911</v>
      </c>
      <c r="R446" s="0" t="n">
        <f aca="false">IF($I446&lt;&gt;$O446,0,IF(P446&lt;Matchup!$B$39,7,IF(P446&lt;Matchup!$B$39+Matchup!$B$40,3,0)))</f>
        <v>0</v>
      </c>
      <c r="S446" s="0" t="n">
        <f aca="false">IF($I446&lt;&gt;$O446,0,IF(Q446&lt;Matchup!$C$39,7,IF(Q446&lt;Matchup!$C$39+Matchup!$C$40,3,0)))</f>
        <v>0</v>
      </c>
      <c r="T446" s="0" t="n">
        <f aca="false">I446+R446</f>
        <v>55</v>
      </c>
      <c r="U446" s="0" t="n">
        <f aca="false">O446+S446</f>
        <v>28</v>
      </c>
      <c r="V446" s="0" t="n">
        <f aca="false">T446-U446</f>
        <v>27</v>
      </c>
      <c r="W446" s="0" t="n">
        <f aca="false">T446+U446</f>
        <v>83</v>
      </c>
    </row>
    <row r="447" customFormat="false" ht="15" hidden="false" customHeight="false" outlineLevel="0" collapsed="false">
      <c r="A447" s="0" t="n">
        <v>444</v>
      </c>
      <c r="B447" s="0" t="n">
        <f aca="true">NORMINV(RAND(),1,Coefficients!$B$22)</f>
        <v>1.0033908515228</v>
      </c>
      <c r="C447" s="0" t="n">
        <f aca="true">MEDIAN(8,16,ROUND(NORMINV(RAND(),Coefficients!$B$20,Coefficients!$B$21),0))</f>
        <v>12</v>
      </c>
      <c r="D447" s="0" t="n">
        <f aca="true">CRITBINOM($C447,MIN(0.75,Matchup!$B$39*$B447),RAND())</f>
        <v>2</v>
      </c>
      <c r="E447" s="0" t="n">
        <f aca="true">CRITBINOM(D447,Coefficients!$B$30,RAND())</f>
        <v>0</v>
      </c>
      <c r="F447" s="0" t="n">
        <f aca="true">CRITBINOM(E447,Coefficients!$B$31,RAND())</f>
        <v>0</v>
      </c>
      <c r="G447" s="0" t="n">
        <f aca="true">CRITBINOM(MAX(0,D447-E447),1-Coefficients!$B$32,RAND())</f>
        <v>0</v>
      </c>
      <c r="H447" s="0" t="n">
        <f aca="true">CRITBINOM(MAX(0,$C447-D447),MIN(0.6,Matchup!$B$40*SQRT($B447)/(1-MIN(0.75,Matchup!$B$39*$B447))),RAND())</f>
        <v>0</v>
      </c>
      <c r="I447" s="0" t="n">
        <f aca="false">6*D447+(D447-E447-G447)+2*F447+3*H447</f>
        <v>14</v>
      </c>
      <c r="J447" s="0" t="n">
        <f aca="true">CRITBINOM($C447,MIN(0.75,Matchup!$C$39*$B447),RAND())</f>
        <v>5</v>
      </c>
      <c r="K447" s="0" t="n">
        <f aca="true">CRITBINOM(J447,Coefficients!$B$30,RAND())</f>
        <v>0</v>
      </c>
      <c r="L447" s="0" t="n">
        <f aca="true">CRITBINOM(K447,Coefficients!$B$31,RAND())</f>
        <v>0</v>
      </c>
      <c r="M447" s="0" t="n">
        <f aca="true">CRITBINOM(MAX(0,J447-K447),1-Coefficients!$B$32,RAND())</f>
        <v>1</v>
      </c>
      <c r="N447" s="0" t="n">
        <f aca="true">CRITBINOM(MAX(0,$C447-J447),MIN(0.6,Matchup!$C$40*SQRT($B447)/(1-MIN(0.75,Matchup!$C$39*$B447))),RAND())</f>
        <v>2</v>
      </c>
      <c r="O447" s="0" t="n">
        <f aca="false">6*J447+(J447-K447-M447)+2*L447+3*N447</f>
        <v>40</v>
      </c>
      <c r="P447" s="0" t="n">
        <f aca="true">RAND()</f>
        <v>0.311372687559144</v>
      </c>
      <c r="Q447" s="0" t="n">
        <f aca="true">RAND()</f>
        <v>0.669670566396974</v>
      </c>
      <c r="R447" s="0" t="n">
        <f aca="false">IF($I447&lt;&gt;$O447,0,IF(P447&lt;Matchup!$B$39,7,IF(P447&lt;Matchup!$B$39+Matchup!$B$40,3,0)))</f>
        <v>0</v>
      </c>
      <c r="S447" s="0" t="n">
        <f aca="false">IF($I447&lt;&gt;$O447,0,IF(Q447&lt;Matchup!$C$39,7,IF(Q447&lt;Matchup!$C$39+Matchup!$C$40,3,0)))</f>
        <v>0</v>
      </c>
      <c r="T447" s="0" t="n">
        <f aca="false">I447+R447</f>
        <v>14</v>
      </c>
      <c r="U447" s="0" t="n">
        <f aca="false">O447+S447</f>
        <v>40</v>
      </c>
      <c r="V447" s="0" t="n">
        <f aca="false">T447-U447</f>
        <v>-26</v>
      </c>
      <c r="W447" s="0" t="n">
        <f aca="false">T447+U447</f>
        <v>54</v>
      </c>
    </row>
    <row r="448" customFormat="false" ht="15" hidden="false" customHeight="false" outlineLevel="0" collapsed="false">
      <c r="A448" s="0" t="n">
        <v>445</v>
      </c>
      <c r="B448" s="0" t="n">
        <f aca="true">NORMINV(RAND(),1,Coefficients!$B$22)</f>
        <v>1.05428406170169</v>
      </c>
      <c r="C448" s="0" t="n">
        <f aca="true">MEDIAN(8,16,ROUND(NORMINV(RAND(),Coefficients!$B$20,Coefficients!$B$21),0))</f>
        <v>11</v>
      </c>
      <c r="D448" s="0" t="n">
        <f aca="true">CRITBINOM($C448,MIN(0.75,Matchup!$B$39*$B448),RAND())</f>
        <v>6</v>
      </c>
      <c r="E448" s="0" t="n">
        <f aca="true">CRITBINOM(D448,Coefficients!$B$30,RAND())</f>
        <v>1</v>
      </c>
      <c r="F448" s="0" t="n">
        <f aca="true">CRITBINOM(E448,Coefficients!$B$31,RAND())</f>
        <v>0</v>
      </c>
      <c r="G448" s="0" t="n">
        <f aca="true">CRITBINOM(MAX(0,D448-E448),1-Coefficients!$B$32,RAND())</f>
        <v>0</v>
      </c>
      <c r="H448" s="0" t="n">
        <f aca="true">CRITBINOM(MAX(0,$C448-D448),MIN(0.6,Matchup!$B$40*SQRT($B448)/(1-MIN(0.75,Matchup!$B$39*$B448))),RAND())</f>
        <v>0</v>
      </c>
      <c r="I448" s="0" t="n">
        <f aca="false">6*D448+(D448-E448-G448)+2*F448+3*H448</f>
        <v>41</v>
      </c>
      <c r="J448" s="0" t="n">
        <f aca="true">CRITBINOM($C448,MIN(0.75,Matchup!$C$39*$B448),RAND())</f>
        <v>4</v>
      </c>
      <c r="K448" s="0" t="n">
        <f aca="true">CRITBINOM(J448,Coefficients!$B$30,RAND())</f>
        <v>0</v>
      </c>
      <c r="L448" s="0" t="n">
        <f aca="true">CRITBINOM(K448,Coefficients!$B$31,RAND())</f>
        <v>0</v>
      </c>
      <c r="M448" s="0" t="n">
        <f aca="true">CRITBINOM(MAX(0,J448-K448),1-Coefficients!$B$32,RAND())</f>
        <v>1</v>
      </c>
      <c r="N448" s="0" t="n">
        <f aca="true">CRITBINOM(MAX(0,$C448-J448),MIN(0.6,Matchup!$C$40*SQRT($B448)/(1-MIN(0.75,Matchup!$C$39*$B448))),RAND())</f>
        <v>0</v>
      </c>
      <c r="O448" s="0" t="n">
        <f aca="false">6*J448+(J448-K448-M448)+2*L448+3*N448</f>
        <v>27</v>
      </c>
      <c r="P448" s="0" t="n">
        <f aca="true">RAND()</f>
        <v>0.902306125198873</v>
      </c>
      <c r="Q448" s="0" t="n">
        <f aca="true">RAND()</f>
        <v>0.498823596666684</v>
      </c>
      <c r="R448" s="0" t="n">
        <f aca="false">IF($I448&lt;&gt;$O448,0,IF(P448&lt;Matchup!$B$39,7,IF(P448&lt;Matchup!$B$39+Matchup!$B$40,3,0)))</f>
        <v>0</v>
      </c>
      <c r="S448" s="0" t="n">
        <f aca="false">IF($I448&lt;&gt;$O448,0,IF(Q448&lt;Matchup!$C$39,7,IF(Q448&lt;Matchup!$C$39+Matchup!$C$40,3,0)))</f>
        <v>0</v>
      </c>
      <c r="T448" s="0" t="n">
        <f aca="false">I448+R448</f>
        <v>41</v>
      </c>
      <c r="U448" s="0" t="n">
        <f aca="false">O448+S448</f>
        <v>27</v>
      </c>
      <c r="V448" s="0" t="n">
        <f aca="false">T448-U448</f>
        <v>14</v>
      </c>
      <c r="W448" s="0" t="n">
        <f aca="false">T448+U448</f>
        <v>68</v>
      </c>
    </row>
    <row r="449" customFormat="false" ht="15" hidden="false" customHeight="false" outlineLevel="0" collapsed="false">
      <c r="A449" s="0" t="n">
        <v>446</v>
      </c>
      <c r="B449" s="0" t="n">
        <f aca="true">NORMINV(RAND(),1,Coefficients!$B$22)</f>
        <v>0.979013483684326</v>
      </c>
      <c r="C449" s="0" t="n">
        <f aca="true">MEDIAN(8,16,ROUND(NORMINV(RAND(),Coefficients!$B$20,Coefficients!$B$21),0))</f>
        <v>13</v>
      </c>
      <c r="D449" s="0" t="n">
        <f aca="true">CRITBINOM($C449,MIN(0.75,Matchup!$B$39*$B449),RAND())</f>
        <v>1</v>
      </c>
      <c r="E449" s="0" t="n">
        <f aca="true">CRITBINOM(D449,Coefficients!$B$30,RAND())</f>
        <v>0</v>
      </c>
      <c r="F449" s="0" t="n">
        <f aca="true">CRITBINOM(E449,Coefficients!$B$31,RAND())</f>
        <v>0</v>
      </c>
      <c r="G449" s="0" t="n">
        <f aca="true">CRITBINOM(MAX(0,D449-E449),1-Coefficients!$B$32,RAND())</f>
        <v>0</v>
      </c>
      <c r="H449" s="0" t="n">
        <f aca="true">CRITBINOM(MAX(0,$C449-D449),MIN(0.6,Matchup!$B$40*SQRT($B449)/(1-MIN(0.75,Matchup!$B$39*$B449))),RAND())</f>
        <v>1</v>
      </c>
      <c r="I449" s="0" t="n">
        <f aca="false">6*D449+(D449-E449-G449)+2*F449+3*H449</f>
        <v>10</v>
      </c>
      <c r="J449" s="0" t="n">
        <f aca="true">CRITBINOM($C449,MIN(0.75,Matchup!$C$39*$B449),RAND())</f>
        <v>5</v>
      </c>
      <c r="K449" s="0" t="n">
        <f aca="true">CRITBINOM(J449,Coefficients!$B$30,RAND())</f>
        <v>0</v>
      </c>
      <c r="L449" s="0" t="n">
        <f aca="true">CRITBINOM(K449,Coefficients!$B$31,RAND())</f>
        <v>0</v>
      </c>
      <c r="M449" s="0" t="n">
        <f aca="true">CRITBINOM(MAX(0,J449-K449),1-Coefficients!$B$32,RAND())</f>
        <v>0</v>
      </c>
      <c r="N449" s="0" t="n">
        <f aca="true">CRITBINOM(MAX(0,$C449-J449),MIN(0.6,Matchup!$C$40*SQRT($B449)/(1-MIN(0.75,Matchup!$C$39*$B449))),RAND())</f>
        <v>1</v>
      </c>
      <c r="O449" s="0" t="n">
        <f aca="false">6*J449+(J449-K449-M449)+2*L449+3*N449</f>
        <v>38</v>
      </c>
      <c r="P449" s="0" t="n">
        <f aca="true">RAND()</f>
        <v>0.172413205232754</v>
      </c>
      <c r="Q449" s="0" t="n">
        <f aca="true">RAND()</f>
        <v>0.390629318949008</v>
      </c>
      <c r="R449" s="0" t="n">
        <f aca="false">IF($I449&lt;&gt;$O449,0,IF(P449&lt;Matchup!$B$39,7,IF(P449&lt;Matchup!$B$39+Matchup!$B$40,3,0)))</f>
        <v>0</v>
      </c>
      <c r="S449" s="0" t="n">
        <f aca="false">IF($I449&lt;&gt;$O449,0,IF(Q449&lt;Matchup!$C$39,7,IF(Q449&lt;Matchup!$C$39+Matchup!$C$40,3,0)))</f>
        <v>0</v>
      </c>
      <c r="T449" s="0" t="n">
        <f aca="false">I449+R449</f>
        <v>10</v>
      </c>
      <c r="U449" s="0" t="n">
        <f aca="false">O449+S449</f>
        <v>38</v>
      </c>
      <c r="V449" s="0" t="n">
        <f aca="false">T449-U449</f>
        <v>-28</v>
      </c>
      <c r="W449" s="0" t="n">
        <f aca="false">T449+U449</f>
        <v>48</v>
      </c>
    </row>
    <row r="450" customFormat="false" ht="15" hidden="false" customHeight="false" outlineLevel="0" collapsed="false">
      <c r="A450" s="0" t="n">
        <v>447</v>
      </c>
      <c r="B450" s="0" t="n">
        <f aca="true">NORMINV(RAND(),1,Coefficients!$B$22)</f>
        <v>1.06949971207025</v>
      </c>
      <c r="C450" s="0" t="n">
        <f aca="true">MEDIAN(8,16,ROUND(NORMINV(RAND(),Coefficients!$B$20,Coefficients!$B$21),0))</f>
        <v>11</v>
      </c>
      <c r="D450" s="0" t="n">
        <f aca="true">CRITBINOM($C450,MIN(0.75,Matchup!$B$39*$B450),RAND())</f>
        <v>1</v>
      </c>
      <c r="E450" s="0" t="n">
        <f aca="true">CRITBINOM(D450,Coefficients!$B$30,RAND())</f>
        <v>0</v>
      </c>
      <c r="F450" s="0" t="n">
        <f aca="true">CRITBINOM(E450,Coefficients!$B$31,RAND())</f>
        <v>0</v>
      </c>
      <c r="G450" s="0" t="n">
        <f aca="true">CRITBINOM(MAX(0,D450-E450),1-Coefficients!$B$32,RAND())</f>
        <v>0</v>
      </c>
      <c r="H450" s="0" t="n">
        <f aca="true">CRITBINOM(MAX(0,$C450-D450),MIN(0.6,Matchup!$B$40*SQRT($B450)/(1-MIN(0.75,Matchup!$B$39*$B450))),RAND())</f>
        <v>4</v>
      </c>
      <c r="I450" s="0" t="n">
        <f aca="false">6*D450+(D450-E450-G450)+2*F450+3*H450</f>
        <v>19</v>
      </c>
      <c r="J450" s="0" t="n">
        <f aca="true">CRITBINOM($C450,MIN(0.75,Matchup!$C$39*$B450),RAND())</f>
        <v>6</v>
      </c>
      <c r="K450" s="0" t="n">
        <f aca="true">CRITBINOM(J450,Coefficients!$B$30,RAND())</f>
        <v>2</v>
      </c>
      <c r="L450" s="0" t="n">
        <f aca="true">CRITBINOM(K450,Coefficients!$B$31,RAND())</f>
        <v>1</v>
      </c>
      <c r="M450" s="0" t="n">
        <f aca="true">CRITBINOM(MAX(0,J450-K450),1-Coefficients!$B$32,RAND())</f>
        <v>0</v>
      </c>
      <c r="N450" s="0" t="n">
        <f aca="true">CRITBINOM(MAX(0,$C450-J450),MIN(0.6,Matchup!$C$40*SQRT($B450)/(1-MIN(0.75,Matchup!$C$39*$B450))),RAND())</f>
        <v>2</v>
      </c>
      <c r="O450" s="0" t="n">
        <f aca="false">6*J450+(J450-K450-M450)+2*L450+3*N450</f>
        <v>48</v>
      </c>
      <c r="P450" s="0" t="n">
        <f aca="true">RAND()</f>
        <v>0.996169107134435</v>
      </c>
      <c r="Q450" s="0" t="n">
        <f aca="true">RAND()</f>
        <v>0.689097978195079</v>
      </c>
      <c r="R450" s="0" t="n">
        <f aca="false">IF($I450&lt;&gt;$O450,0,IF(P450&lt;Matchup!$B$39,7,IF(P450&lt;Matchup!$B$39+Matchup!$B$40,3,0)))</f>
        <v>0</v>
      </c>
      <c r="S450" s="0" t="n">
        <f aca="false">IF($I450&lt;&gt;$O450,0,IF(Q450&lt;Matchup!$C$39,7,IF(Q450&lt;Matchup!$C$39+Matchup!$C$40,3,0)))</f>
        <v>0</v>
      </c>
      <c r="T450" s="0" t="n">
        <f aca="false">I450+R450</f>
        <v>19</v>
      </c>
      <c r="U450" s="0" t="n">
        <f aca="false">O450+S450</f>
        <v>48</v>
      </c>
      <c r="V450" s="0" t="n">
        <f aca="false">T450-U450</f>
        <v>-29</v>
      </c>
      <c r="W450" s="0" t="n">
        <f aca="false">T450+U450</f>
        <v>67</v>
      </c>
    </row>
    <row r="451" customFormat="false" ht="15" hidden="false" customHeight="false" outlineLevel="0" collapsed="false">
      <c r="A451" s="0" t="n">
        <v>448</v>
      </c>
      <c r="B451" s="0" t="n">
        <f aca="true">NORMINV(RAND(),1,Coefficients!$B$22)</f>
        <v>0.945314988337446</v>
      </c>
      <c r="C451" s="0" t="n">
        <f aca="true">MEDIAN(8,16,ROUND(NORMINV(RAND(),Coefficients!$B$20,Coefficients!$B$21),0))</f>
        <v>11</v>
      </c>
      <c r="D451" s="0" t="n">
        <f aca="true">CRITBINOM($C451,MIN(0.75,Matchup!$B$39*$B451),RAND())</f>
        <v>3</v>
      </c>
      <c r="E451" s="0" t="n">
        <f aca="true">CRITBINOM(D451,Coefficients!$B$30,RAND())</f>
        <v>0</v>
      </c>
      <c r="F451" s="0" t="n">
        <f aca="true">CRITBINOM(E451,Coefficients!$B$31,RAND())</f>
        <v>0</v>
      </c>
      <c r="G451" s="0" t="n">
        <f aca="true">CRITBINOM(MAX(0,D451-E451),1-Coefficients!$B$32,RAND())</f>
        <v>0</v>
      </c>
      <c r="H451" s="0" t="n">
        <f aca="true">CRITBINOM(MAX(0,$C451-D451),MIN(0.6,Matchup!$B$40*SQRT($B451)/(1-MIN(0.75,Matchup!$B$39*$B451))),RAND())</f>
        <v>1</v>
      </c>
      <c r="I451" s="0" t="n">
        <f aca="false">6*D451+(D451-E451-G451)+2*F451+3*H451</f>
        <v>24</v>
      </c>
      <c r="J451" s="0" t="n">
        <f aca="true">CRITBINOM($C451,MIN(0.75,Matchup!$C$39*$B451),RAND())</f>
        <v>1</v>
      </c>
      <c r="K451" s="0" t="n">
        <f aca="true">CRITBINOM(J451,Coefficients!$B$30,RAND())</f>
        <v>0</v>
      </c>
      <c r="L451" s="0" t="n">
        <f aca="true">CRITBINOM(K451,Coefficients!$B$31,RAND())</f>
        <v>0</v>
      </c>
      <c r="M451" s="0" t="n">
        <f aca="true">CRITBINOM(MAX(0,J451-K451),1-Coefficients!$B$32,RAND())</f>
        <v>0</v>
      </c>
      <c r="N451" s="0" t="n">
        <f aca="true">CRITBINOM(MAX(0,$C451-J451),MIN(0.6,Matchup!$C$40*SQRT($B451)/(1-MIN(0.75,Matchup!$C$39*$B451))),RAND())</f>
        <v>0</v>
      </c>
      <c r="O451" s="0" t="n">
        <f aca="false">6*J451+(J451-K451-M451)+2*L451+3*N451</f>
        <v>7</v>
      </c>
      <c r="P451" s="0" t="n">
        <f aca="true">RAND()</f>
        <v>0.0431357012626377</v>
      </c>
      <c r="Q451" s="0" t="n">
        <f aca="true">RAND()</f>
        <v>0.127250561314788</v>
      </c>
      <c r="R451" s="0" t="n">
        <f aca="false">IF($I451&lt;&gt;$O451,0,IF(P451&lt;Matchup!$B$39,7,IF(P451&lt;Matchup!$B$39+Matchup!$B$40,3,0)))</f>
        <v>0</v>
      </c>
      <c r="S451" s="0" t="n">
        <f aca="false">IF($I451&lt;&gt;$O451,0,IF(Q451&lt;Matchup!$C$39,7,IF(Q451&lt;Matchup!$C$39+Matchup!$C$40,3,0)))</f>
        <v>0</v>
      </c>
      <c r="T451" s="0" t="n">
        <f aca="false">I451+R451</f>
        <v>24</v>
      </c>
      <c r="U451" s="0" t="n">
        <f aca="false">O451+S451</f>
        <v>7</v>
      </c>
      <c r="V451" s="0" t="n">
        <f aca="false">T451-U451</f>
        <v>17</v>
      </c>
      <c r="W451" s="0" t="n">
        <f aca="false">T451+U451</f>
        <v>31</v>
      </c>
    </row>
    <row r="452" customFormat="false" ht="15" hidden="false" customHeight="false" outlineLevel="0" collapsed="false">
      <c r="A452" s="0" t="n">
        <v>449</v>
      </c>
      <c r="B452" s="0" t="n">
        <f aca="true">NORMINV(RAND(),1,Coefficients!$B$22)</f>
        <v>0.907437577585236</v>
      </c>
      <c r="C452" s="0" t="n">
        <f aca="true">MEDIAN(8,16,ROUND(NORMINV(RAND(),Coefficients!$B$20,Coefficients!$B$21),0))</f>
        <v>12</v>
      </c>
      <c r="D452" s="0" t="n">
        <f aca="true">CRITBINOM($C452,MIN(0.75,Matchup!$B$39*$B452),RAND())</f>
        <v>3</v>
      </c>
      <c r="E452" s="0" t="n">
        <f aca="true">CRITBINOM(D452,Coefficients!$B$30,RAND())</f>
        <v>1</v>
      </c>
      <c r="F452" s="0" t="n">
        <f aca="true">CRITBINOM(E452,Coefficients!$B$31,RAND())</f>
        <v>1</v>
      </c>
      <c r="G452" s="0" t="n">
        <f aca="true">CRITBINOM(MAX(0,D452-E452),1-Coefficients!$B$32,RAND())</f>
        <v>0</v>
      </c>
      <c r="H452" s="0" t="n">
        <f aca="true">CRITBINOM(MAX(0,$C452-D452),MIN(0.6,Matchup!$B$40*SQRT($B452)/(1-MIN(0.75,Matchup!$B$39*$B452))),RAND())</f>
        <v>2</v>
      </c>
      <c r="I452" s="0" t="n">
        <f aca="false">6*D452+(D452-E452-G452)+2*F452+3*H452</f>
        <v>28</v>
      </c>
      <c r="J452" s="0" t="n">
        <f aca="true">CRITBINOM($C452,MIN(0.75,Matchup!$C$39*$B452),RAND())</f>
        <v>2</v>
      </c>
      <c r="K452" s="0" t="n">
        <f aca="true">CRITBINOM(J452,Coefficients!$B$30,RAND())</f>
        <v>1</v>
      </c>
      <c r="L452" s="0" t="n">
        <f aca="true">CRITBINOM(K452,Coefficients!$B$31,RAND())</f>
        <v>1</v>
      </c>
      <c r="M452" s="0" t="n">
        <f aca="true">CRITBINOM(MAX(0,J452-K452),1-Coefficients!$B$32,RAND())</f>
        <v>0</v>
      </c>
      <c r="N452" s="0" t="n">
        <f aca="true">CRITBINOM(MAX(0,$C452-J452),MIN(0.6,Matchup!$C$40*SQRT($B452)/(1-MIN(0.75,Matchup!$C$39*$B452))),RAND())</f>
        <v>3</v>
      </c>
      <c r="O452" s="0" t="n">
        <f aca="false">6*J452+(J452-K452-M452)+2*L452+3*N452</f>
        <v>24</v>
      </c>
      <c r="P452" s="0" t="n">
        <f aca="true">RAND()</f>
        <v>0.0724946195582057</v>
      </c>
      <c r="Q452" s="0" t="n">
        <f aca="true">RAND()</f>
        <v>0.0238413128120239</v>
      </c>
      <c r="R452" s="0" t="n">
        <f aca="false">IF($I452&lt;&gt;$O452,0,IF(P452&lt;Matchup!$B$39,7,IF(P452&lt;Matchup!$B$39+Matchup!$B$40,3,0)))</f>
        <v>0</v>
      </c>
      <c r="S452" s="0" t="n">
        <f aca="false">IF($I452&lt;&gt;$O452,0,IF(Q452&lt;Matchup!$C$39,7,IF(Q452&lt;Matchup!$C$39+Matchup!$C$40,3,0)))</f>
        <v>0</v>
      </c>
      <c r="T452" s="0" t="n">
        <f aca="false">I452+R452</f>
        <v>28</v>
      </c>
      <c r="U452" s="0" t="n">
        <f aca="false">O452+S452</f>
        <v>24</v>
      </c>
      <c r="V452" s="0" t="n">
        <f aca="false">T452-U452</f>
        <v>4</v>
      </c>
      <c r="W452" s="0" t="n">
        <f aca="false">T452+U452</f>
        <v>52</v>
      </c>
    </row>
    <row r="453" customFormat="false" ht="15" hidden="false" customHeight="false" outlineLevel="0" collapsed="false">
      <c r="A453" s="0" t="n">
        <v>450</v>
      </c>
      <c r="B453" s="0" t="n">
        <f aca="true">NORMINV(RAND(),1,Coefficients!$B$22)</f>
        <v>0.972296208032757</v>
      </c>
      <c r="C453" s="0" t="n">
        <f aca="true">MEDIAN(8,16,ROUND(NORMINV(RAND(),Coefficients!$B$20,Coefficients!$B$21),0))</f>
        <v>11</v>
      </c>
      <c r="D453" s="0" t="n">
        <f aca="true">CRITBINOM($C453,MIN(0.75,Matchup!$B$39*$B453),RAND())</f>
        <v>2</v>
      </c>
      <c r="E453" s="0" t="n">
        <f aca="true">CRITBINOM(D453,Coefficients!$B$30,RAND())</f>
        <v>0</v>
      </c>
      <c r="F453" s="0" t="n">
        <f aca="true">CRITBINOM(E453,Coefficients!$B$31,RAND())</f>
        <v>0</v>
      </c>
      <c r="G453" s="0" t="n">
        <f aca="true">CRITBINOM(MAX(0,D453-E453),1-Coefficients!$B$32,RAND())</f>
        <v>0</v>
      </c>
      <c r="H453" s="0" t="n">
        <f aca="true">CRITBINOM(MAX(0,$C453-D453),MIN(0.6,Matchup!$B$40*SQRT($B453)/(1-MIN(0.75,Matchup!$B$39*$B453))),RAND())</f>
        <v>1</v>
      </c>
      <c r="I453" s="0" t="n">
        <f aca="false">6*D453+(D453-E453-G453)+2*F453+3*H453</f>
        <v>17</v>
      </c>
      <c r="J453" s="0" t="n">
        <f aca="true">CRITBINOM($C453,MIN(0.75,Matchup!$C$39*$B453),RAND())</f>
        <v>2</v>
      </c>
      <c r="K453" s="0" t="n">
        <f aca="true">CRITBINOM(J453,Coefficients!$B$30,RAND())</f>
        <v>0</v>
      </c>
      <c r="L453" s="0" t="n">
        <f aca="true">CRITBINOM(K453,Coefficients!$B$31,RAND())</f>
        <v>0</v>
      </c>
      <c r="M453" s="0" t="n">
        <f aca="true">CRITBINOM(MAX(0,J453-K453),1-Coefficients!$B$32,RAND())</f>
        <v>0</v>
      </c>
      <c r="N453" s="0" t="n">
        <f aca="true">CRITBINOM(MAX(0,$C453-J453),MIN(0.6,Matchup!$C$40*SQRT($B453)/(1-MIN(0.75,Matchup!$C$39*$B453))),RAND())</f>
        <v>2</v>
      </c>
      <c r="O453" s="0" t="n">
        <f aca="false">6*J453+(J453-K453-M453)+2*L453+3*N453</f>
        <v>20</v>
      </c>
      <c r="P453" s="0" t="n">
        <f aca="true">RAND()</f>
        <v>0.361541534880305</v>
      </c>
      <c r="Q453" s="0" t="n">
        <f aca="true">RAND()</f>
        <v>0.542958584832566</v>
      </c>
      <c r="R453" s="0" t="n">
        <f aca="false">IF($I453&lt;&gt;$O453,0,IF(P453&lt;Matchup!$B$39,7,IF(P453&lt;Matchup!$B$39+Matchup!$B$40,3,0)))</f>
        <v>0</v>
      </c>
      <c r="S453" s="0" t="n">
        <f aca="false">IF($I453&lt;&gt;$O453,0,IF(Q453&lt;Matchup!$C$39,7,IF(Q453&lt;Matchup!$C$39+Matchup!$C$40,3,0)))</f>
        <v>0</v>
      </c>
      <c r="T453" s="0" t="n">
        <f aca="false">I453+R453</f>
        <v>17</v>
      </c>
      <c r="U453" s="0" t="n">
        <f aca="false">O453+S453</f>
        <v>20</v>
      </c>
      <c r="V453" s="0" t="n">
        <f aca="false">T453-U453</f>
        <v>-3</v>
      </c>
      <c r="W453" s="0" t="n">
        <f aca="false">T453+U453</f>
        <v>37</v>
      </c>
    </row>
    <row r="454" customFormat="false" ht="15" hidden="false" customHeight="false" outlineLevel="0" collapsed="false">
      <c r="A454" s="0" t="n">
        <v>451</v>
      </c>
      <c r="B454" s="0" t="n">
        <f aca="true">NORMINV(RAND(),1,Coefficients!$B$22)</f>
        <v>0.83445003762227</v>
      </c>
      <c r="C454" s="0" t="n">
        <f aca="true">MEDIAN(8,16,ROUND(NORMINV(RAND(),Coefficients!$B$20,Coefficients!$B$21),0))</f>
        <v>10</v>
      </c>
      <c r="D454" s="0" t="n">
        <f aca="true">CRITBINOM($C454,MIN(0.75,Matchup!$B$39*$B454),RAND())</f>
        <v>2</v>
      </c>
      <c r="E454" s="0" t="n">
        <f aca="true">CRITBINOM(D454,Coefficients!$B$30,RAND())</f>
        <v>2</v>
      </c>
      <c r="F454" s="0" t="n">
        <f aca="true">CRITBINOM(E454,Coefficients!$B$31,RAND())</f>
        <v>0</v>
      </c>
      <c r="G454" s="0" t="n">
        <f aca="true">CRITBINOM(MAX(0,D454-E454),1-Coefficients!$B$32,RAND())</f>
        <v>0</v>
      </c>
      <c r="H454" s="0" t="n">
        <f aca="true">CRITBINOM(MAX(0,$C454-D454),MIN(0.6,Matchup!$B$40*SQRT($B454)/(1-MIN(0.75,Matchup!$B$39*$B454))),RAND())</f>
        <v>2</v>
      </c>
      <c r="I454" s="0" t="n">
        <f aca="false">6*D454+(D454-E454-G454)+2*F454+3*H454</f>
        <v>18</v>
      </c>
      <c r="J454" s="0" t="n">
        <f aca="true">CRITBINOM($C454,MIN(0.75,Matchup!$C$39*$B454),RAND())</f>
        <v>2</v>
      </c>
      <c r="K454" s="0" t="n">
        <f aca="true">CRITBINOM(J454,Coefficients!$B$30,RAND())</f>
        <v>0</v>
      </c>
      <c r="L454" s="0" t="n">
        <f aca="true">CRITBINOM(K454,Coefficients!$B$31,RAND())</f>
        <v>0</v>
      </c>
      <c r="M454" s="0" t="n">
        <f aca="true">CRITBINOM(MAX(0,J454-K454),1-Coefficients!$B$32,RAND())</f>
        <v>0</v>
      </c>
      <c r="N454" s="0" t="n">
        <f aca="true">CRITBINOM(MAX(0,$C454-J454),MIN(0.6,Matchup!$C$40*SQRT($B454)/(1-MIN(0.75,Matchup!$C$39*$B454))),RAND())</f>
        <v>3</v>
      </c>
      <c r="O454" s="0" t="n">
        <f aca="false">6*J454+(J454-K454-M454)+2*L454+3*N454</f>
        <v>23</v>
      </c>
      <c r="P454" s="0" t="n">
        <f aca="true">RAND()</f>
        <v>0.733857322402236</v>
      </c>
      <c r="Q454" s="0" t="n">
        <f aca="true">RAND()</f>
        <v>0.822256419401178</v>
      </c>
      <c r="R454" s="0" t="n">
        <f aca="false">IF($I454&lt;&gt;$O454,0,IF(P454&lt;Matchup!$B$39,7,IF(P454&lt;Matchup!$B$39+Matchup!$B$40,3,0)))</f>
        <v>0</v>
      </c>
      <c r="S454" s="0" t="n">
        <f aca="false">IF($I454&lt;&gt;$O454,0,IF(Q454&lt;Matchup!$C$39,7,IF(Q454&lt;Matchup!$C$39+Matchup!$C$40,3,0)))</f>
        <v>0</v>
      </c>
      <c r="T454" s="0" t="n">
        <f aca="false">I454+R454</f>
        <v>18</v>
      </c>
      <c r="U454" s="0" t="n">
        <f aca="false">O454+S454</f>
        <v>23</v>
      </c>
      <c r="V454" s="0" t="n">
        <f aca="false">T454-U454</f>
        <v>-5</v>
      </c>
      <c r="W454" s="0" t="n">
        <f aca="false">T454+U454</f>
        <v>41</v>
      </c>
    </row>
    <row r="455" customFormat="false" ht="15" hidden="false" customHeight="false" outlineLevel="0" collapsed="false">
      <c r="A455" s="0" t="n">
        <v>452</v>
      </c>
      <c r="B455" s="0" t="n">
        <f aca="true">NORMINV(RAND(),1,Coefficients!$B$22)</f>
        <v>0.988892114716883</v>
      </c>
      <c r="C455" s="0" t="n">
        <f aca="true">MEDIAN(8,16,ROUND(NORMINV(RAND(),Coefficients!$B$20,Coefficients!$B$21),0))</f>
        <v>11</v>
      </c>
      <c r="D455" s="0" t="n">
        <f aca="true">CRITBINOM($C455,MIN(0.75,Matchup!$B$39*$B455),RAND())</f>
        <v>2</v>
      </c>
      <c r="E455" s="0" t="n">
        <f aca="true">CRITBINOM(D455,Coefficients!$B$30,RAND())</f>
        <v>1</v>
      </c>
      <c r="F455" s="0" t="n">
        <f aca="true">CRITBINOM(E455,Coefficients!$B$31,RAND())</f>
        <v>0</v>
      </c>
      <c r="G455" s="0" t="n">
        <f aca="true">CRITBINOM(MAX(0,D455-E455),1-Coefficients!$B$32,RAND())</f>
        <v>0</v>
      </c>
      <c r="H455" s="0" t="n">
        <f aca="true">CRITBINOM(MAX(0,$C455-D455),MIN(0.6,Matchup!$B$40*SQRT($B455)/(1-MIN(0.75,Matchup!$B$39*$B455))),RAND())</f>
        <v>1</v>
      </c>
      <c r="I455" s="0" t="n">
        <f aca="false">6*D455+(D455-E455-G455)+2*F455+3*H455</f>
        <v>16</v>
      </c>
      <c r="J455" s="0" t="n">
        <f aca="true">CRITBINOM($C455,MIN(0.75,Matchup!$C$39*$B455),RAND())</f>
        <v>2</v>
      </c>
      <c r="K455" s="0" t="n">
        <f aca="true">CRITBINOM(J455,Coefficients!$B$30,RAND())</f>
        <v>0</v>
      </c>
      <c r="L455" s="0" t="n">
        <f aca="true">CRITBINOM(K455,Coefficients!$B$31,RAND())</f>
        <v>0</v>
      </c>
      <c r="M455" s="0" t="n">
        <f aca="true">CRITBINOM(MAX(0,J455-K455),1-Coefficients!$B$32,RAND())</f>
        <v>0</v>
      </c>
      <c r="N455" s="0" t="n">
        <f aca="true">CRITBINOM(MAX(0,$C455-J455),MIN(0.6,Matchup!$C$40*SQRT($B455)/(1-MIN(0.75,Matchup!$C$39*$B455))),RAND())</f>
        <v>1</v>
      </c>
      <c r="O455" s="0" t="n">
        <f aca="false">6*J455+(J455-K455-M455)+2*L455+3*N455</f>
        <v>17</v>
      </c>
      <c r="P455" s="0" t="n">
        <f aca="true">RAND()</f>
        <v>0.00489931952962736</v>
      </c>
      <c r="Q455" s="0" t="n">
        <f aca="true">RAND()</f>
        <v>0.747601937423055</v>
      </c>
      <c r="R455" s="0" t="n">
        <f aca="false">IF($I455&lt;&gt;$O455,0,IF(P455&lt;Matchup!$B$39,7,IF(P455&lt;Matchup!$B$39+Matchup!$B$40,3,0)))</f>
        <v>0</v>
      </c>
      <c r="S455" s="0" t="n">
        <f aca="false">IF($I455&lt;&gt;$O455,0,IF(Q455&lt;Matchup!$C$39,7,IF(Q455&lt;Matchup!$C$39+Matchup!$C$40,3,0)))</f>
        <v>0</v>
      </c>
      <c r="T455" s="0" t="n">
        <f aca="false">I455+R455</f>
        <v>16</v>
      </c>
      <c r="U455" s="0" t="n">
        <f aca="false">O455+S455</f>
        <v>17</v>
      </c>
      <c r="V455" s="0" t="n">
        <f aca="false">T455-U455</f>
        <v>-1</v>
      </c>
      <c r="W455" s="0" t="n">
        <f aca="false">T455+U455</f>
        <v>33</v>
      </c>
    </row>
    <row r="456" customFormat="false" ht="15" hidden="false" customHeight="false" outlineLevel="0" collapsed="false">
      <c r="A456" s="0" t="n">
        <v>453</v>
      </c>
      <c r="B456" s="0" t="n">
        <f aca="true">NORMINV(RAND(),1,Coefficients!$B$22)</f>
        <v>1.136053293765</v>
      </c>
      <c r="C456" s="0" t="n">
        <f aca="true">MEDIAN(8,16,ROUND(NORMINV(RAND(),Coefficients!$B$20,Coefficients!$B$21),0))</f>
        <v>9</v>
      </c>
      <c r="D456" s="0" t="n">
        <f aca="true">CRITBINOM($C456,MIN(0.75,Matchup!$B$39*$B456),RAND())</f>
        <v>3</v>
      </c>
      <c r="E456" s="0" t="n">
        <f aca="true">CRITBINOM(D456,Coefficients!$B$30,RAND())</f>
        <v>0</v>
      </c>
      <c r="F456" s="0" t="n">
        <f aca="true">CRITBINOM(E456,Coefficients!$B$31,RAND())</f>
        <v>0</v>
      </c>
      <c r="G456" s="0" t="n">
        <f aca="true">CRITBINOM(MAX(0,D456-E456),1-Coefficients!$B$32,RAND())</f>
        <v>0</v>
      </c>
      <c r="H456" s="0" t="n">
        <f aca="true">CRITBINOM(MAX(0,$C456-D456),MIN(0.6,Matchup!$B$40*SQRT($B456)/(1-MIN(0.75,Matchup!$B$39*$B456))),RAND())</f>
        <v>0</v>
      </c>
      <c r="I456" s="0" t="n">
        <f aca="false">6*D456+(D456-E456-G456)+2*F456+3*H456</f>
        <v>21</v>
      </c>
      <c r="J456" s="0" t="n">
        <f aca="true">CRITBINOM($C456,MIN(0.75,Matchup!$C$39*$B456),RAND())</f>
        <v>2</v>
      </c>
      <c r="K456" s="0" t="n">
        <f aca="true">CRITBINOM(J456,Coefficients!$B$30,RAND())</f>
        <v>0</v>
      </c>
      <c r="L456" s="0" t="n">
        <f aca="true">CRITBINOM(K456,Coefficients!$B$31,RAND())</f>
        <v>0</v>
      </c>
      <c r="M456" s="0" t="n">
        <f aca="true">CRITBINOM(MAX(0,J456-K456),1-Coefficients!$B$32,RAND())</f>
        <v>0</v>
      </c>
      <c r="N456" s="0" t="n">
        <f aca="true">CRITBINOM(MAX(0,$C456-J456),MIN(0.6,Matchup!$C$40*SQRT($B456)/(1-MIN(0.75,Matchup!$C$39*$B456))),RAND())</f>
        <v>2</v>
      </c>
      <c r="O456" s="0" t="n">
        <f aca="false">6*J456+(J456-K456-M456)+2*L456+3*N456</f>
        <v>20</v>
      </c>
      <c r="P456" s="0" t="n">
        <f aca="true">RAND()</f>
        <v>0.287559988055391</v>
      </c>
      <c r="Q456" s="0" t="n">
        <f aca="true">RAND()</f>
        <v>0.00534561938111058</v>
      </c>
      <c r="R456" s="0" t="n">
        <f aca="false">IF($I456&lt;&gt;$O456,0,IF(P456&lt;Matchup!$B$39,7,IF(P456&lt;Matchup!$B$39+Matchup!$B$40,3,0)))</f>
        <v>0</v>
      </c>
      <c r="S456" s="0" t="n">
        <f aca="false">IF($I456&lt;&gt;$O456,0,IF(Q456&lt;Matchup!$C$39,7,IF(Q456&lt;Matchup!$C$39+Matchup!$C$40,3,0)))</f>
        <v>0</v>
      </c>
      <c r="T456" s="0" t="n">
        <f aca="false">I456+R456</f>
        <v>21</v>
      </c>
      <c r="U456" s="0" t="n">
        <f aca="false">O456+S456</f>
        <v>20</v>
      </c>
      <c r="V456" s="0" t="n">
        <f aca="false">T456-U456</f>
        <v>1</v>
      </c>
      <c r="W456" s="0" t="n">
        <f aca="false">T456+U456</f>
        <v>41</v>
      </c>
    </row>
    <row r="457" customFormat="false" ht="15" hidden="false" customHeight="false" outlineLevel="0" collapsed="false">
      <c r="A457" s="0" t="n">
        <v>454</v>
      </c>
      <c r="B457" s="0" t="n">
        <f aca="true">NORMINV(RAND(),1,Coefficients!$B$22)</f>
        <v>0.995370473891535</v>
      </c>
      <c r="C457" s="0" t="n">
        <f aca="true">MEDIAN(8,16,ROUND(NORMINV(RAND(),Coefficients!$B$20,Coefficients!$B$21),0))</f>
        <v>11</v>
      </c>
      <c r="D457" s="0" t="n">
        <f aca="true">CRITBINOM($C457,MIN(0.75,Matchup!$B$39*$B457),RAND())</f>
        <v>2</v>
      </c>
      <c r="E457" s="0" t="n">
        <f aca="true">CRITBINOM(D457,Coefficients!$B$30,RAND())</f>
        <v>0</v>
      </c>
      <c r="F457" s="0" t="n">
        <f aca="true">CRITBINOM(E457,Coefficients!$B$31,RAND())</f>
        <v>0</v>
      </c>
      <c r="G457" s="0" t="n">
        <f aca="true">CRITBINOM(MAX(0,D457-E457),1-Coefficients!$B$32,RAND())</f>
        <v>0</v>
      </c>
      <c r="H457" s="0" t="n">
        <f aca="true">CRITBINOM(MAX(0,$C457-D457),MIN(0.6,Matchup!$B$40*SQRT($B457)/(1-MIN(0.75,Matchup!$B$39*$B457))),RAND())</f>
        <v>2</v>
      </c>
      <c r="I457" s="0" t="n">
        <f aca="false">6*D457+(D457-E457-G457)+2*F457+3*H457</f>
        <v>20</v>
      </c>
      <c r="J457" s="0" t="n">
        <f aca="true">CRITBINOM($C457,MIN(0.75,Matchup!$C$39*$B457),RAND())</f>
        <v>2</v>
      </c>
      <c r="K457" s="0" t="n">
        <f aca="true">CRITBINOM(J457,Coefficients!$B$30,RAND())</f>
        <v>0</v>
      </c>
      <c r="L457" s="0" t="n">
        <f aca="true">CRITBINOM(K457,Coefficients!$B$31,RAND())</f>
        <v>0</v>
      </c>
      <c r="M457" s="0" t="n">
        <f aca="true">CRITBINOM(MAX(0,J457-K457),1-Coefficients!$B$32,RAND())</f>
        <v>0</v>
      </c>
      <c r="N457" s="0" t="n">
        <f aca="true">CRITBINOM(MAX(0,$C457-J457),MIN(0.6,Matchup!$C$40*SQRT($B457)/(1-MIN(0.75,Matchup!$C$39*$B457))),RAND())</f>
        <v>2</v>
      </c>
      <c r="O457" s="0" t="n">
        <f aca="false">6*J457+(J457-K457-M457)+2*L457+3*N457</f>
        <v>20</v>
      </c>
      <c r="P457" s="0" t="n">
        <f aca="true">RAND()</f>
        <v>0.742710188071953</v>
      </c>
      <c r="Q457" s="0" t="n">
        <f aca="true">RAND()</f>
        <v>0.501257922712418</v>
      </c>
      <c r="R457" s="0" t="n">
        <f aca="false">IF($I457&lt;&gt;$O457,0,IF(P457&lt;Matchup!$B$39,7,IF(P457&lt;Matchup!$B$39+Matchup!$B$40,3,0)))</f>
        <v>0</v>
      </c>
      <c r="S457" s="0" t="n">
        <f aca="false">IF($I457&lt;&gt;$O457,0,IF(Q457&lt;Matchup!$C$39,7,IF(Q457&lt;Matchup!$C$39+Matchup!$C$40,3,0)))</f>
        <v>0</v>
      </c>
      <c r="T457" s="0" t="n">
        <f aca="false">I457+R457</f>
        <v>20</v>
      </c>
      <c r="U457" s="0" t="n">
        <f aca="false">O457+S457</f>
        <v>20</v>
      </c>
      <c r="V457" s="0" t="n">
        <f aca="false">T457-U457</f>
        <v>0</v>
      </c>
      <c r="W457" s="0" t="n">
        <f aca="false">T457+U457</f>
        <v>40</v>
      </c>
    </row>
    <row r="458" customFormat="false" ht="15" hidden="false" customHeight="false" outlineLevel="0" collapsed="false">
      <c r="A458" s="0" t="n">
        <v>455</v>
      </c>
      <c r="B458" s="0" t="n">
        <f aca="true">NORMINV(RAND(),1,Coefficients!$B$22)</f>
        <v>1.07659305051539</v>
      </c>
      <c r="C458" s="0" t="n">
        <f aca="true">MEDIAN(8,16,ROUND(NORMINV(RAND(),Coefficients!$B$20,Coefficients!$B$21),0))</f>
        <v>10</v>
      </c>
      <c r="D458" s="0" t="n">
        <f aca="true">CRITBINOM($C458,MIN(0.75,Matchup!$B$39*$B458),RAND())</f>
        <v>0</v>
      </c>
      <c r="E458" s="0" t="n">
        <f aca="true">CRITBINOM(D458,Coefficients!$B$30,RAND())</f>
        <v>0</v>
      </c>
      <c r="F458" s="0" t="n">
        <f aca="true">CRITBINOM(E458,Coefficients!$B$31,RAND())</f>
        <v>0</v>
      </c>
      <c r="G458" s="0" t="n">
        <f aca="true">CRITBINOM(MAX(0,D458-E458),1-Coefficients!$B$32,RAND())</f>
        <v>0</v>
      </c>
      <c r="H458" s="0" t="n">
        <f aca="true">CRITBINOM(MAX(0,$C458-D458),MIN(0.6,Matchup!$B$40*SQRT($B458)/(1-MIN(0.75,Matchup!$B$39*$B458))),RAND())</f>
        <v>2</v>
      </c>
      <c r="I458" s="0" t="n">
        <f aca="false">6*D458+(D458-E458-G458)+2*F458+3*H458</f>
        <v>6</v>
      </c>
      <c r="J458" s="0" t="n">
        <f aca="true">CRITBINOM($C458,MIN(0.75,Matchup!$C$39*$B458),RAND())</f>
        <v>0</v>
      </c>
      <c r="K458" s="0" t="n">
        <f aca="true">CRITBINOM(J458,Coefficients!$B$30,RAND())</f>
        <v>0</v>
      </c>
      <c r="L458" s="0" t="n">
        <f aca="true">CRITBINOM(K458,Coefficients!$B$31,RAND())</f>
        <v>0</v>
      </c>
      <c r="M458" s="0" t="n">
        <f aca="true">CRITBINOM(MAX(0,J458-K458),1-Coefficients!$B$32,RAND())</f>
        <v>0</v>
      </c>
      <c r="N458" s="0" t="n">
        <f aca="true">CRITBINOM(MAX(0,$C458-J458),MIN(0.6,Matchup!$C$40*SQRT($B458)/(1-MIN(0.75,Matchup!$C$39*$B458))),RAND())</f>
        <v>1</v>
      </c>
      <c r="O458" s="0" t="n">
        <f aca="false">6*J458+(J458-K458-M458)+2*L458+3*N458</f>
        <v>3</v>
      </c>
      <c r="P458" s="0" t="n">
        <f aca="true">RAND()</f>
        <v>0.60587908574587</v>
      </c>
      <c r="Q458" s="0" t="n">
        <f aca="true">RAND()</f>
        <v>0.428037540748966</v>
      </c>
      <c r="R458" s="0" t="n">
        <f aca="false">IF($I458&lt;&gt;$O458,0,IF(P458&lt;Matchup!$B$39,7,IF(P458&lt;Matchup!$B$39+Matchup!$B$40,3,0)))</f>
        <v>0</v>
      </c>
      <c r="S458" s="0" t="n">
        <f aca="false">IF($I458&lt;&gt;$O458,0,IF(Q458&lt;Matchup!$C$39,7,IF(Q458&lt;Matchup!$C$39+Matchup!$C$40,3,0)))</f>
        <v>0</v>
      </c>
      <c r="T458" s="0" t="n">
        <f aca="false">I458+R458</f>
        <v>6</v>
      </c>
      <c r="U458" s="0" t="n">
        <f aca="false">O458+S458</f>
        <v>3</v>
      </c>
      <c r="V458" s="0" t="n">
        <f aca="false">T458-U458</f>
        <v>3</v>
      </c>
      <c r="W458" s="0" t="n">
        <f aca="false">T458+U458</f>
        <v>9</v>
      </c>
    </row>
    <row r="459" customFormat="false" ht="15" hidden="false" customHeight="false" outlineLevel="0" collapsed="false">
      <c r="A459" s="0" t="n">
        <v>456</v>
      </c>
      <c r="B459" s="0" t="n">
        <f aca="true">NORMINV(RAND(),1,Coefficients!$B$22)</f>
        <v>0.992003007041405</v>
      </c>
      <c r="C459" s="0" t="n">
        <f aca="true">MEDIAN(8,16,ROUND(NORMINV(RAND(),Coefficients!$B$20,Coefficients!$B$21),0))</f>
        <v>12</v>
      </c>
      <c r="D459" s="0" t="n">
        <f aca="true">CRITBINOM($C459,MIN(0.75,Matchup!$B$39*$B459),RAND())</f>
        <v>3</v>
      </c>
      <c r="E459" s="0" t="n">
        <f aca="true">CRITBINOM(D459,Coefficients!$B$30,RAND())</f>
        <v>0</v>
      </c>
      <c r="F459" s="0" t="n">
        <f aca="true">CRITBINOM(E459,Coefficients!$B$31,RAND())</f>
        <v>0</v>
      </c>
      <c r="G459" s="0" t="n">
        <f aca="true">CRITBINOM(MAX(0,D459-E459),1-Coefficients!$B$32,RAND())</f>
        <v>0</v>
      </c>
      <c r="H459" s="0" t="n">
        <f aca="true">CRITBINOM(MAX(0,$C459-D459),MIN(0.6,Matchup!$B$40*SQRT($B459)/(1-MIN(0.75,Matchup!$B$39*$B459))),RAND())</f>
        <v>0</v>
      </c>
      <c r="I459" s="0" t="n">
        <f aca="false">6*D459+(D459-E459-G459)+2*F459+3*H459</f>
        <v>21</v>
      </c>
      <c r="J459" s="0" t="n">
        <f aca="true">CRITBINOM($C459,MIN(0.75,Matchup!$C$39*$B459),RAND())</f>
        <v>7</v>
      </c>
      <c r="K459" s="0" t="n">
        <f aca="true">CRITBINOM(J459,Coefficients!$B$30,RAND())</f>
        <v>1</v>
      </c>
      <c r="L459" s="0" t="n">
        <f aca="true">CRITBINOM(K459,Coefficients!$B$31,RAND())</f>
        <v>1</v>
      </c>
      <c r="M459" s="0" t="n">
        <f aca="true">CRITBINOM(MAX(0,J459-K459),1-Coefficients!$B$32,RAND())</f>
        <v>0</v>
      </c>
      <c r="N459" s="0" t="n">
        <f aca="true">CRITBINOM(MAX(0,$C459-J459),MIN(0.6,Matchup!$C$40*SQRT($B459)/(1-MIN(0.75,Matchup!$C$39*$B459))),RAND())</f>
        <v>1</v>
      </c>
      <c r="O459" s="0" t="n">
        <f aca="false">6*J459+(J459-K459-M459)+2*L459+3*N459</f>
        <v>53</v>
      </c>
      <c r="P459" s="0" t="n">
        <f aca="true">RAND()</f>
        <v>0.604515079585869</v>
      </c>
      <c r="Q459" s="0" t="n">
        <f aca="true">RAND()</f>
        <v>0.755109776961028</v>
      </c>
      <c r="R459" s="0" t="n">
        <f aca="false">IF($I459&lt;&gt;$O459,0,IF(P459&lt;Matchup!$B$39,7,IF(P459&lt;Matchup!$B$39+Matchup!$B$40,3,0)))</f>
        <v>0</v>
      </c>
      <c r="S459" s="0" t="n">
        <f aca="false">IF($I459&lt;&gt;$O459,0,IF(Q459&lt;Matchup!$C$39,7,IF(Q459&lt;Matchup!$C$39+Matchup!$C$40,3,0)))</f>
        <v>0</v>
      </c>
      <c r="T459" s="0" t="n">
        <f aca="false">I459+R459</f>
        <v>21</v>
      </c>
      <c r="U459" s="0" t="n">
        <f aca="false">O459+S459</f>
        <v>53</v>
      </c>
      <c r="V459" s="0" t="n">
        <f aca="false">T459-U459</f>
        <v>-32</v>
      </c>
      <c r="W459" s="0" t="n">
        <f aca="false">T459+U459</f>
        <v>74</v>
      </c>
    </row>
    <row r="460" customFormat="false" ht="15" hidden="false" customHeight="false" outlineLevel="0" collapsed="false">
      <c r="A460" s="0" t="n">
        <v>457</v>
      </c>
      <c r="B460" s="0" t="n">
        <f aca="true">NORMINV(RAND(),1,Coefficients!$B$22)</f>
        <v>1.01162253128683</v>
      </c>
      <c r="C460" s="0" t="n">
        <f aca="true">MEDIAN(8,16,ROUND(NORMINV(RAND(),Coefficients!$B$20,Coefficients!$B$21),0))</f>
        <v>11</v>
      </c>
      <c r="D460" s="0" t="n">
        <f aca="true">CRITBINOM($C460,MIN(0.75,Matchup!$B$39*$B460),RAND())</f>
        <v>6</v>
      </c>
      <c r="E460" s="0" t="n">
        <f aca="true">CRITBINOM(D460,Coefficients!$B$30,RAND())</f>
        <v>1</v>
      </c>
      <c r="F460" s="0" t="n">
        <f aca="true">CRITBINOM(E460,Coefficients!$B$31,RAND())</f>
        <v>0</v>
      </c>
      <c r="G460" s="0" t="n">
        <f aca="true">CRITBINOM(MAX(0,D460-E460),1-Coefficients!$B$32,RAND())</f>
        <v>0</v>
      </c>
      <c r="H460" s="0" t="n">
        <f aca="true">CRITBINOM(MAX(0,$C460-D460),MIN(0.6,Matchup!$B$40*SQRT($B460)/(1-MIN(0.75,Matchup!$B$39*$B460))),RAND())</f>
        <v>0</v>
      </c>
      <c r="I460" s="0" t="n">
        <f aca="false">6*D460+(D460-E460-G460)+2*F460+3*H460</f>
        <v>41</v>
      </c>
      <c r="J460" s="0" t="n">
        <f aca="true">CRITBINOM($C460,MIN(0.75,Matchup!$C$39*$B460),RAND())</f>
        <v>1</v>
      </c>
      <c r="K460" s="0" t="n">
        <f aca="true">CRITBINOM(J460,Coefficients!$B$30,RAND())</f>
        <v>0</v>
      </c>
      <c r="L460" s="0" t="n">
        <f aca="true">CRITBINOM(K460,Coefficients!$B$31,RAND())</f>
        <v>0</v>
      </c>
      <c r="M460" s="0" t="n">
        <f aca="true">CRITBINOM(MAX(0,J460-K460),1-Coefficients!$B$32,RAND())</f>
        <v>0</v>
      </c>
      <c r="N460" s="0" t="n">
        <f aca="true">CRITBINOM(MAX(0,$C460-J460),MIN(0.6,Matchup!$C$40*SQRT($B460)/(1-MIN(0.75,Matchup!$C$39*$B460))),RAND())</f>
        <v>1</v>
      </c>
      <c r="O460" s="0" t="n">
        <f aca="false">6*J460+(J460-K460-M460)+2*L460+3*N460</f>
        <v>10</v>
      </c>
      <c r="P460" s="0" t="n">
        <f aca="true">RAND()</f>
        <v>0.414254048540714</v>
      </c>
      <c r="Q460" s="0" t="n">
        <f aca="true">RAND()</f>
        <v>0.733161926353197</v>
      </c>
      <c r="R460" s="0" t="n">
        <f aca="false">IF($I460&lt;&gt;$O460,0,IF(P460&lt;Matchup!$B$39,7,IF(P460&lt;Matchup!$B$39+Matchup!$B$40,3,0)))</f>
        <v>0</v>
      </c>
      <c r="S460" s="0" t="n">
        <f aca="false">IF($I460&lt;&gt;$O460,0,IF(Q460&lt;Matchup!$C$39,7,IF(Q460&lt;Matchup!$C$39+Matchup!$C$40,3,0)))</f>
        <v>0</v>
      </c>
      <c r="T460" s="0" t="n">
        <f aca="false">I460+R460</f>
        <v>41</v>
      </c>
      <c r="U460" s="0" t="n">
        <f aca="false">O460+S460</f>
        <v>10</v>
      </c>
      <c r="V460" s="0" t="n">
        <f aca="false">T460-U460</f>
        <v>31</v>
      </c>
      <c r="W460" s="0" t="n">
        <f aca="false">T460+U460</f>
        <v>51</v>
      </c>
    </row>
    <row r="461" customFormat="false" ht="15" hidden="false" customHeight="false" outlineLevel="0" collapsed="false">
      <c r="A461" s="0" t="n">
        <v>458</v>
      </c>
      <c r="B461" s="0" t="n">
        <f aca="true">NORMINV(RAND(),1,Coefficients!$B$22)</f>
        <v>1.04123952069075</v>
      </c>
      <c r="C461" s="0" t="n">
        <f aca="true">MEDIAN(8,16,ROUND(NORMINV(RAND(),Coefficients!$B$20,Coefficients!$B$21),0))</f>
        <v>10</v>
      </c>
      <c r="D461" s="0" t="n">
        <f aca="true">CRITBINOM($C461,MIN(0.75,Matchup!$B$39*$B461),RAND())</f>
        <v>3</v>
      </c>
      <c r="E461" s="0" t="n">
        <f aca="true">CRITBINOM(D461,Coefficients!$B$30,RAND())</f>
        <v>1</v>
      </c>
      <c r="F461" s="0" t="n">
        <f aca="true">CRITBINOM(E461,Coefficients!$B$31,RAND())</f>
        <v>0</v>
      </c>
      <c r="G461" s="0" t="n">
        <f aca="true">CRITBINOM(MAX(0,D461-E461),1-Coefficients!$B$32,RAND())</f>
        <v>1</v>
      </c>
      <c r="H461" s="0" t="n">
        <f aca="true">CRITBINOM(MAX(0,$C461-D461),MIN(0.6,Matchup!$B$40*SQRT($B461)/(1-MIN(0.75,Matchup!$B$39*$B461))),RAND())</f>
        <v>1</v>
      </c>
      <c r="I461" s="0" t="n">
        <f aca="false">6*D461+(D461-E461-G461)+2*F461+3*H461</f>
        <v>22</v>
      </c>
      <c r="J461" s="0" t="n">
        <f aca="true">CRITBINOM($C461,MIN(0.75,Matchup!$C$39*$B461),RAND())</f>
        <v>1</v>
      </c>
      <c r="K461" s="0" t="n">
        <f aca="true">CRITBINOM(J461,Coefficients!$B$30,RAND())</f>
        <v>0</v>
      </c>
      <c r="L461" s="0" t="n">
        <f aca="true">CRITBINOM(K461,Coefficients!$B$31,RAND())</f>
        <v>0</v>
      </c>
      <c r="M461" s="0" t="n">
        <f aca="true">CRITBINOM(MAX(0,J461-K461),1-Coefficients!$B$32,RAND())</f>
        <v>0</v>
      </c>
      <c r="N461" s="0" t="n">
        <f aca="true">CRITBINOM(MAX(0,$C461-J461),MIN(0.6,Matchup!$C$40*SQRT($B461)/(1-MIN(0.75,Matchup!$C$39*$B461))),RAND())</f>
        <v>2</v>
      </c>
      <c r="O461" s="0" t="n">
        <f aca="false">6*J461+(J461-K461-M461)+2*L461+3*N461</f>
        <v>13</v>
      </c>
      <c r="P461" s="0" t="n">
        <f aca="true">RAND()</f>
        <v>0.501083885378263</v>
      </c>
      <c r="Q461" s="0" t="n">
        <f aca="true">RAND()</f>
        <v>0.521181228945196</v>
      </c>
      <c r="R461" s="0" t="n">
        <f aca="false">IF($I461&lt;&gt;$O461,0,IF(P461&lt;Matchup!$B$39,7,IF(P461&lt;Matchup!$B$39+Matchup!$B$40,3,0)))</f>
        <v>0</v>
      </c>
      <c r="S461" s="0" t="n">
        <f aca="false">IF($I461&lt;&gt;$O461,0,IF(Q461&lt;Matchup!$C$39,7,IF(Q461&lt;Matchup!$C$39+Matchup!$C$40,3,0)))</f>
        <v>0</v>
      </c>
      <c r="T461" s="0" t="n">
        <f aca="false">I461+R461</f>
        <v>22</v>
      </c>
      <c r="U461" s="0" t="n">
        <f aca="false">O461+S461</f>
        <v>13</v>
      </c>
      <c r="V461" s="0" t="n">
        <f aca="false">T461-U461</f>
        <v>9</v>
      </c>
      <c r="W461" s="0" t="n">
        <f aca="false">T461+U461</f>
        <v>35</v>
      </c>
    </row>
    <row r="462" customFormat="false" ht="15" hidden="false" customHeight="false" outlineLevel="0" collapsed="false">
      <c r="A462" s="0" t="n">
        <v>459</v>
      </c>
      <c r="B462" s="0" t="n">
        <f aca="true">NORMINV(RAND(),1,Coefficients!$B$22)</f>
        <v>1.01375900643191</v>
      </c>
      <c r="C462" s="0" t="n">
        <f aca="true">MEDIAN(8,16,ROUND(NORMINV(RAND(),Coefficients!$B$20,Coefficients!$B$21),0))</f>
        <v>11</v>
      </c>
      <c r="D462" s="0" t="n">
        <f aca="true">CRITBINOM($C462,MIN(0.75,Matchup!$B$39*$B462),RAND())</f>
        <v>2</v>
      </c>
      <c r="E462" s="0" t="n">
        <f aca="true">CRITBINOM(D462,Coefficients!$B$30,RAND())</f>
        <v>0</v>
      </c>
      <c r="F462" s="0" t="n">
        <f aca="true">CRITBINOM(E462,Coefficients!$B$31,RAND())</f>
        <v>0</v>
      </c>
      <c r="G462" s="0" t="n">
        <f aca="true">CRITBINOM(MAX(0,D462-E462),1-Coefficients!$B$32,RAND())</f>
        <v>0</v>
      </c>
      <c r="H462" s="0" t="n">
        <f aca="true">CRITBINOM(MAX(0,$C462-D462),MIN(0.6,Matchup!$B$40*SQRT($B462)/(1-MIN(0.75,Matchup!$B$39*$B462))),RAND())</f>
        <v>2</v>
      </c>
      <c r="I462" s="0" t="n">
        <f aca="false">6*D462+(D462-E462-G462)+2*F462+3*H462</f>
        <v>20</v>
      </c>
      <c r="J462" s="0" t="n">
        <f aca="true">CRITBINOM($C462,MIN(0.75,Matchup!$C$39*$B462),RAND())</f>
        <v>2</v>
      </c>
      <c r="K462" s="0" t="n">
        <f aca="true">CRITBINOM(J462,Coefficients!$B$30,RAND())</f>
        <v>0</v>
      </c>
      <c r="L462" s="0" t="n">
        <f aca="true">CRITBINOM(K462,Coefficients!$B$31,RAND())</f>
        <v>0</v>
      </c>
      <c r="M462" s="0" t="n">
        <f aca="true">CRITBINOM(MAX(0,J462-K462),1-Coefficients!$B$32,RAND())</f>
        <v>0</v>
      </c>
      <c r="N462" s="0" t="n">
        <f aca="true">CRITBINOM(MAX(0,$C462-J462),MIN(0.6,Matchup!$C$40*SQRT($B462)/(1-MIN(0.75,Matchup!$C$39*$B462))),RAND())</f>
        <v>3</v>
      </c>
      <c r="O462" s="0" t="n">
        <f aca="false">6*J462+(J462-K462-M462)+2*L462+3*N462</f>
        <v>23</v>
      </c>
      <c r="P462" s="0" t="n">
        <f aca="true">RAND()</f>
        <v>0.269044890094498</v>
      </c>
      <c r="Q462" s="0" t="n">
        <f aca="true">RAND()</f>
        <v>0.868105222259284</v>
      </c>
      <c r="R462" s="0" t="n">
        <f aca="false">IF($I462&lt;&gt;$O462,0,IF(P462&lt;Matchup!$B$39,7,IF(P462&lt;Matchup!$B$39+Matchup!$B$40,3,0)))</f>
        <v>0</v>
      </c>
      <c r="S462" s="0" t="n">
        <f aca="false">IF($I462&lt;&gt;$O462,0,IF(Q462&lt;Matchup!$C$39,7,IF(Q462&lt;Matchup!$C$39+Matchup!$C$40,3,0)))</f>
        <v>0</v>
      </c>
      <c r="T462" s="0" t="n">
        <f aca="false">I462+R462</f>
        <v>20</v>
      </c>
      <c r="U462" s="0" t="n">
        <f aca="false">O462+S462</f>
        <v>23</v>
      </c>
      <c r="V462" s="0" t="n">
        <f aca="false">T462-U462</f>
        <v>-3</v>
      </c>
      <c r="W462" s="0" t="n">
        <f aca="false">T462+U462</f>
        <v>43</v>
      </c>
    </row>
    <row r="463" customFormat="false" ht="15" hidden="false" customHeight="false" outlineLevel="0" collapsed="false">
      <c r="A463" s="0" t="n">
        <v>460</v>
      </c>
      <c r="B463" s="0" t="n">
        <f aca="true">NORMINV(RAND(),1,Coefficients!$B$22)</f>
        <v>1.02254547984807</v>
      </c>
      <c r="C463" s="0" t="n">
        <f aca="true">MEDIAN(8,16,ROUND(NORMINV(RAND(),Coefficients!$B$20,Coefficients!$B$21),0))</f>
        <v>12</v>
      </c>
      <c r="D463" s="0" t="n">
        <f aca="true">CRITBINOM($C463,MIN(0.75,Matchup!$B$39*$B463),RAND())</f>
        <v>0</v>
      </c>
      <c r="E463" s="0" t="n">
        <f aca="true">CRITBINOM(D463,Coefficients!$B$30,RAND())</f>
        <v>0</v>
      </c>
      <c r="F463" s="0" t="n">
        <f aca="true">CRITBINOM(E463,Coefficients!$B$31,RAND())</f>
        <v>0</v>
      </c>
      <c r="G463" s="0" t="n">
        <f aca="true">CRITBINOM(MAX(0,D463-E463),1-Coefficients!$B$32,RAND())</f>
        <v>0</v>
      </c>
      <c r="H463" s="0" t="n">
        <f aca="true">CRITBINOM(MAX(0,$C463-D463),MIN(0.6,Matchup!$B$40*SQRT($B463)/(1-MIN(0.75,Matchup!$B$39*$B463))),RAND())</f>
        <v>3</v>
      </c>
      <c r="I463" s="0" t="n">
        <f aca="false">6*D463+(D463-E463-G463)+2*F463+3*H463</f>
        <v>9</v>
      </c>
      <c r="J463" s="0" t="n">
        <f aca="true">CRITBINOM($C463,MIN(0.75,Matchup!$C$39*$B463),RAND())</f>
        <v>3</v>
      </c>
      <c r="K463" s="0" t="n">
        <f aca="true">CRITBINOM(J463,Coefficients!$B$30,RAND())</f>
        <v>0</v>
      </c>
      <c r="L463" s="0" t="n">
        <f aca="true">CRITBINOM(K463,Coefficients!$B$31,RAND())</f>
        <v>0</v>
      </c>
      <c r="M463" s="0" t="n">
        <f aca="true">CRITBINOM(MAX(0,J463-K463),1-Coefficients!$B$32,RAND())</f>
        <v>1</v>
      </c>
      <c r="N463" s="0" t="n">
        <f aca="true">CRITBINOM(MAX(0,$C463-J463),MIN(0.6,Matchup!$C$40*SQRT($B463)/(1-MIN(0.75,Matchup!$C$39*$B463))),RAND())</f>
        <v>0</v>
      </c>
      <c r="O463" s="0" t="n">
        <f aca="false">6*J463+(J463-K463-M463)+2*L463+3*N463</f>
        <v>20</v>
      </c>
      <c r="P463" s="0" t="n">
        <f aca="true">RAND()</f>
        <v>0.3934848679626</v>
      </c>
      <c r="Q463" s="0" t="n">
        <f aca="true">RAND()</f>
        <v>0.110968916378575</v>
      </c>
      <c r="R463" s="0" t="n">
        <f aca="false">IF($I463&lt;&gt;$O463,0,IF(P463&lt;Matchup!$B$39,7,IF(P463&lt;Matchup!$B$39+Matchup!$B$40,3,0)))</f>
        <v>0</v>
      </c>
      <c r="S463" s="0" t="n">
        <f aca="false">IF($I463&lt;&gt;$O463,0,IF(Q463&lt;Matchup!$C$39,7,IF(Q463&lt;Matchup!$C$39+Matchup!$C$40,3,0)))</f>
        <v>0</v>
      </c>
      <c r="T463" s="0" t="n">
        <f aca="false">I463+R463</f>
        <v>9</v>
      </c>
      <c r="U463" s="0" t="n">
        <f aca="false">O463+S463</f>
        <v>20</v>
      </c>
      <c r="V463" s="0" t="n">
        <f aca="false">T463-U463</f>
        <v>-11</v>
      </c>
      <c r="W463" s="0" t="n">
        <f aca="false">T463+U463</f>
        <v>29</v>
      </c>
    </row>
    <row r="464" customFormat="false" ht="15" hidden="false" customHeight="false" outlineLevel="0" collapsed="false">
      <c r="A464" s="0" t="n">
        <v>461</v>
      </c>
      <c r="B464" s="0" t="n">
        <f aca="true">NORMINV(RAND(),1,Coefficients!$B$22)</f>
        <v>0.901216032666638</v>
      </c>
      <c r="C464" s="0" t="n">
        <f aca="true">MEDIAN(8,16,ROUND(NORMINV(RAND(),Coefficients!$B$20,Coefficients!$B$21),0))</f>
        <v>9</v>
      </c>
      <c r="D464" s="0" t="n">
        <f aca="true">CRITBINOM($C464,MIN(0.75,Matchup!$B$39*$B464),RAND())</f>
        <v>4</v>
      </c>
      <c r="E464" s="0" t="n">
        <f aca="true">CRITBINOM(D464,Coefficients!$B$30,RAND())</f>
        <v>0</v>
      </c>
      <c r="F464" s="0" t="n">
        <f aca="true">CRITBINOM(E464,Coefficients!$B$31,RAND())</f>
        <v>0</v>
      </c>
      <c r="G464" s="0" t="n">
        <f aca="true">CRITBINOM(MAX(0,D464-E464),1-Coefficients!$B$32,RAND())</f>
        <v>0</v>
      </c>
      <c r="H464" s="0" t="n">
        <f aca="true">CRITBINOM(MAX(0,$C464-D464),MIN(0.6,Matchup!$B$40*SQRT($B464)/(1-MIN(0.75,Matchup!$B$39*$B464))),RAND())</f>
        <v>1</v>
      </c>
      <c r="I464" s="0" t="n">
        <f aca="false">6*D464+(D464-E464-G464)+2*F464+3*H464</f>
        <v>31</v>
      </c>
      <c r="J464" s="0" t="n">
        <f aca="true">CRITBINOM($C464,MIN(0.75,Matchup!$C$39*$B464),RAND())</f>
        <v>1</v>
      </c>
      <c r="K464" s="0" t="n">
        <f aca="true">CRITBINOM(J464,Coefficients!$B$30,RAND())</f>
        <v>0</v>
      </c>
      <c r="L464" s="0" t="n">
        <f aca="true">CRITBINOM(K464,Coefficients!$B$31,RAND())</f>
        <v>0</v>
      </c>
      <c r="M464" s="0" t="n">
        <f aca="true">CRITBINOM(MAX(0,J464-K464),1-Coefficients!$B$32,RAND())</f>
        <v>0</v>
      </c>
      <c r="N464" s="0" t="n">
        <f aca="true">CRITBINOM(MAX(0,$C464-J464),MIN(0.6,Matchup!$C$40*SQRT($B464)/(1-MIN(0.75,Matchup!$C$39*$B464))),RAND())</f>
        <v>1</v>
      </c>
      <c r="O464" s="0" t="n">
        <f aca="false">6*J464+(J464-K464-M464)+2*L464+3*N464</f>
        <v>10</v>
      </c>
      <c r="P464" s="0" t="n">
        <f aca="true">RAND()</f>
        <v>0.216363259425108</v>
      </c>
      <c r="Q464" s="0" t="n">
        <f aca="true">RAND()</f>
        <v>0.840820427146091</v>
      </c>
      <c r="R464" s="0" t="n">
        <f aca="false">IF($I464&lt;&gt;$O464,0,IF(P464&lt;Matchup!$B$39,7,IF(P464&lt;Matchup!$B$39+Matchup!$B$40,3,0)))</f>
        <v>0</v>
      </c>
      <c r="S464" s="0" t="n">
        <f aca="false">IF($I464&lt;&gt;$O464,0,IF(Q464&lt;Matchup!$C$39,7,IF(Q464&lt;Matchup!$C$39+Matchup!$C$40,3,0)))</f>
        <v>0</v>
      </c>
      <c r="T464" s="0" t="n">
        <f aca="false">I464+R464</f>
        <v>31</v>
      </c>
      <c r="U464" s="0" t="n">
        <f aca="false">O464+S464</f>
        <v>10</v>
      </c>
      <c r="V464" s="0" t="n">
        <f aca="false">T464-U464</f>
        <v>21</v>
      </c>
      <c r="W464" s="0" t="n">
        <f aca="false">T464+U464</f>
        <v>41</v>
      </c>
    </row>
    <row r="465" customFormat="false" ht="15" hidden="false" customHeight="false" outlineLevel="0" collapsed="false">
      <c r="A465" s="0" t="n">
        <v>462</v>
      </c>
      <c r="B465" s="0" t="n">
        <f aca="true">NORMINV(RAND(),1,Coefficients!$B$22)</f>
        <v>1.0120605881318</v>
      </c>
      <c r="C465" s="0" t="n">
        <f aca="true">MEDIAN(8,16,ROUND(NORMINV(RAND(),Coefficients!$B$20,Coefficients!$B$21),0))</f>
        <v>11</v>
      </c>
      <c r="D465" s="0" t="n">
        <f aca="true">CRITBINOM($C465,MIN(0.75,Matchup!$B$39*$B465),RAND())</f>
        <v>3</v>
      </c>
      <c r="E465" s="0" t="n">
        <f aca="true">CRITBINOM(D465,Coefficients!$B$30,RAND())</f>
        <v>0</v>
      </c>
      <c r="F465" s="0" t="n">
        <f aca="true">CRITBINOM(E465,Coefficients!$B$31,RAND())</f>
        <v>0</v>
      </c>
      <c r="G465" s="0" t="n">
        <f aca="true">CRITBINOM(MAX(0,D465-E465),1-Coefficients!$B$32,RAND())</f>
        <v>0</v>
      </c>
      <c r="H465" s="0" t="n">
        <f aca="true">CRITBINOM(MAX(0,$C465-D465),MIN(0.6,Matchup!$B$40*SQRT($B465)/(1-MIN(0.75,Matchup!$B$39*$B465))),RAND())</f>
        <v>0</v>
      </c>
      <c r="I465" s="0" t="n">
        <f aca="false">6*D465+(D465-E465-G465)+2*F465+3*H465</f>
        <v>21</v>
      </c>
      <c r="J465" s="0" t="n">
        <f aca="true">CRITBINOM($C465,MIN(0.75,Matchup!$C$39*$B465),RAND())</f>
        <v>0</v>
      </c>
      <c r="K465" s="0" t="n">
        <f aca="true">CRITBINOM(J465,Coefficients!$B$30,RAND())</f>
        <v>0</v>
      </c>
      <c r="L465" s="0" t="n">
        <f aca="true">CRITBINOM(K465,Coefficients!$B$31,RAND())</f>
        <v>0</v>
      </c>
      <c r="M465" s="0" t="n">
        <f aca="true">CRITBINOM(MAX(0,J465-K465),1-Coefficients!$B$32,RAND())</f>
        <v>0</v>
      </c>
      <c r="N465" s="0" t="n">
        <f aca="true">CRITBINOM(MAX(0,$C465-J465),MIN(0.6,Matchup!$C$40*SQRT($B465)/(1-MIN(0.75,Matchup!$C$39*$B465))),RAND())</f>
        <v>2</v>
      </c>
      <c r="O465" s="0" t="n">
        <f aca="false">6*J465+(J465-K465-M465)+2*L465+3*N465</f>
        <v>6</v>
      </c>
      <c r="P465" s="0" t="n">
        <f aca="true">RAND()</f>
        <v>0.663430292611212</v>
      </c>
      <c r="Q465" s="0" t="n">
        <f aca="true">RAND()</f>
        <v>0.825614327459223</v>
      </c>
      <c r="R465" s="0" t="n">
        <f aca="false">IF($I465&lt;&gt;$O465,0,IF(P465&lt;Matchup!$B$39,7,IF(P465&lt;Matchup!$B$39+Matchup!$B$40,3,0)))</f>
        <v>0</v>
      </c>
      <c r="S465" s="0" t="n">
        <f aca="false">IF($I465&lt;&gt;$O465,0,IF(Q465&lt;Matchup!$C$39,7,IF(Q465&lt;Matchup!$C$39+Matchup!$C$40,3,0)))</f>
        <v>0</v>
      </c>
      <c r="T465" s="0" t="n">
        <f aca="false">I465+R465</f>
        <v>21</v>
      </c>
      <c r="U465" s="0" t="n">
        <f aca="false">O465+S465</f>
        <v>6</v>
      </c>
      <c r="V465" s="0" t="n">
        <f aca="false">T465-U465</f>
        <v>15</v>
      </c>
      <c r="W465" s="0" t="n">
        <f aca="false">T465+U465</f>
        <v>27</v>
      </c>
    </row>
    <row r="466" customFormat="false" ht="15" hidden="false" customHeight="false" outlineLevel="0" collapsed="false">
      <c r="A466" s="0" t="n">
        <v>463</v>
      </c>
      <c r="B466" s="0" t="n">
        <f aca="true">NORMINV(RAND(),1,Coefficients!$B$22)</f>
        <v>0.98279054024975</v>
      </c>
      <c r="C466" s="0" t="n">
        <f aca="true">MEDIAN(8,16,ROUND(NORMINV(RAND(),Coefficients!$B$20,Coefficients!$B$21),0))</f>
        <v>10</v>
      </c>
      <c r="D466" s="0" t="n">
        <f aca="true">CRITBINOM($C466,MIN(0.75,Matchup!$B$39*$B466),RAND())</f>
        <v>2</v>
      </c>
      <c r="E466" s="0" t="n">
        <f aca="true">CRITBINOM(D466,Coefficients!$B$30,RAND())</f>
        <v>0</v>
      </c>
      <c r="F466" s="0" t="n">
        <f aca="true">CRITBINOM(E466,Coefficients!$B$31,RAND())</f>
        <v>0</v>
      </c>
      <c r="G466" s="0" t="n">
        <f aca="true">CRITBINOM(MAX(0,D466-E466),1-Coefficients!$B$32,RAND())</f>
        <v>0</v>
      </c>
      <c r="H466" s="0" t="n">
        <f aca="true">CRITBINOM(MAX(0,$C466-D466),MIN(0.6,Matchup!$B$40*SQRT($B466)/(1-MIN(0.75,Matchup!$B$39*$B466))),RAND())</f>
        <v>4</v>
      </c>
      <c r="I466" s="0" t="n">
        <f aca="false">6*D466+(D466-E466-G466)+2*F466+3*H466</f>
        <v>26</v>
      </c>
      <c r="J466" s="0" t="n">
        <f aca="true">CRITBINOM($C466,MIN(0.75,Matchup!$C$39*$B466),RAND())</f>
        <v>3</v>
      </c>
      <c r="K466" s="0" t="n">
        <f aca="true">CRITBINOM(J466,Coefficients!$B$30,RAND())</f>
        <v>0</v>
      </c>
      <c r="L466" s="0" t="n">
        <f aca="true">CRITBINOM(K466,Coefficients!$B$31,RAND())</f>
        <v>0</v>
      </c>
      <c r="M466" s="0" t="n">
        <f aca="true">CRITBINOM(MAX(0,J466-K466),1-Coefficients!$B$32,RAND())</f>
        <v>0</v>
      </c>
      <c r="N466" s="0" t="n">
        <f aca="true">CRITBINOM(MAX(0,$C466-J466),MIN(0.6,Matchup!$C$40*SQRT($B466)/(1-MIN(0.75,Matchup!$C$39*$B466))),RAND())</f>
        <v>1</v>
      </c>
      <c r="O466" s="0" t="n">
        <f aca="false">6*J466+(J466-K466-M466)+2*L466+3*N466</f>
        <v>24</v>
      </c>
      <c r="P466" s="0" t="n">
        <f aca="true">RAND()</f>
        <v>0.78611058074644</v>
      </c>
      <c r="Q466" s="0" t="n">
        <f aca="true">RAND()</f>
        <v>0.984224626808898</v>
      </c>
      <c r="R466" s="0" t="n">
        <f aca="false">IF($I466&lt;&gt;$O466,0,IF(P466&lt;Matchup!$B$39,7,IF(P466&lt;Matchup!$B$39+Matchup!$B$40,3,0)))</f>
        <v>0</v>
      </c>
      <c r="S466" s="0" t="n">
        <f aca="false">IF($I466&lt;&gt;$O466,0,IF(Q466&lt;Matchup!$C$39,7,IF(Q466&lt;Matchup!$C$39+Matchup!$C$40,3,0)))</f>
        <v>0</v>
      </c>
      <c r="T466" s="0" t="n">
        <f aca="false">I466+R466</f>
        <v>26</v>
      </c>
      <c r="U466" s="0" t="n">
        <f aca="false">O466+S466</f>
        <v>24</v>
      </c>
      <c r="V466" s="0" t="n">
        <f aca="false">T466-U466</f>
        <v>2</v>
      </c>
      <c r="W466" s="0" t="n">
        <f aca="false">T466+U466</f>
        <v>50</v>
      </c>
    </row>
    <row r="467" customFormat="false" ht="15" hidden="false" customHeight="false" outlineLevel="0" collapsed="false">
      <c r="A467" s="0" t="n">
        <v>464</v>
      </c>
      <c r="B467" s="0" t="n">
        <f aca="true">NORMINV(RAND(),1,Coefficients!$B$22)</f>
        <v>0.972207195480402</v>
      </c>
      <c r="C467" s="0" t="n">
        <f aca="true">MEDIAN(8,16,ROUND(NORMINV(RAND(),Coefficients!$B$20,Coefficients!$B$21),0))</f>
        <v>12</v>
      </c>
      <c r="D467" s="0" t="n">
        <f aca="true">CRITBINOM($C467,MIN(0.75,Matchup!$B$39*$B467),RAND())</f>
        <v>5</v>
      </c>
      <c r="E467" s="0" t="n">
        <f aca="true">CRITBINOM(D467,Coefficients!$B$30,RAND())</f>
        <v>0</v>
      </c>
      <c r="F467" s="0" t="n">
        <f aca="true">CRITBINOM(E467,Coefficients!$B$31,RAND())</f>
        <v>0</v>
      </c>
      <c r="G467" s="0" t="n">
        <f aca="true">CRITBINOM(MAX(0,D467-E467),1-Coefficients!$B$32,RAND())</f>
        <v>0</v>
      </c>
      <c r="H467" s="0" t="n">
        <f aca="true">CRITBINOM(MAX(0,$C467-D467),MIN(0.6,Matchup!$B$40*SQRT($B467)/(1-MIN(0.75,Matchup!$B$39*$B467))),RAND())</f>
        <v>0</v>
      </c>
      <c r="I467" s="0" t="n">
        <f aca="false">6*D467+(D467-E467-G467)+2*F467+3*H467</f>
        <v>35</v>
      </c>
      <c r="J467" s="0" t="n">
        <f aca="true">CRITBINOM($C467,MIN(0.75,Matchup!$C$39*$B467),RAND())</f>
        <v>3</v>
      </c>
      <c r="K467" s="0" t="n">
        <f aca="true">CRITBINOM(J467,Coefficients!$B$30,RAND())</f>
        <v>0</v>
      </c>
      <c r="L467" s="0" t="n">
        <f aca="true">CRITBINOM(K467,Coefficients!$B$31,RAND())</f>
        <v>0</v>
      </c>
      <c r="M467" s="0" t="n">
        <f aca="true">CRITBINOM(MAX(0,J467-K467),1-Coefficients!$B$32,RAND())</f>
        <v>1</v>
      </c>
      <c r="N467" s="0" t="n">
        <f aca="true">CRITBINOM(MAX(0,$C467-J467),MIN(0.6,Matchup!$C$40*SQRT($B467)/(1-MIN(0.75,Matchup!$C$39*$B467))),RAND())</f>
        <v>1</v>
      </c>
      <c r="O467" s="0" t="n">
        <f aca="false">6*J467+(J467-K467-M467)+2*L467+3*N467</f>
        <v>23</v>
      </c>
      <c r="P467" s="0" t="n">
        <f aca="true">RAND()</f>
        <v>0.889019687612037</v>
      </c>
      <c r="Q467" s="0" t="n">
        <f aca="true">RAND()</f>
        <v>0.390950397633033</v>
      </c>
      <c r="R467" s="0" t="n">
        <f aca="false">IF($I467&lt;&gt;$O467,0,IF(P467&lt;Matchup!$B$39,7,IF(P467&lt;Matchup!$B$39+Matchup!$B$40,3,0)))</f>
        <v>0</v>
      </c>
      <c r="S467" s="0" t="n">
        <f aca="false">IF($I467&lt;&gt;$O467,0,IF(Q467&lt;Matchup!$C$39,7,IF(Q467&lt;Matchup!$C$39+Matchup!$C$40,3,0)))</f>
        <v>0</v>
      </c>
      <c r="T467" s="0" t="n">
        <f aca="false">I467+R467</f>
        <v>35</v>
      </c>
      <c r="U467" s="0" t="n">
        <f aca="false">O467+S467</f>
        <v>23</v>
      </c>
      <c r="V467" s="0" t="n">
        <f aca="false">T467-U467</f>
        <v>12</v>
      </c>
      <c r="W467" s="0" t="n">
        <f aca="false">T467+U467</f>
        <v>58</v>
      </c>
    </row>
    <row r="468" customFormat="false" ht="15" hidden="false" customHeight="false" outlineLevel="0" collapsed="false">
      <c r="A468" s="0" t="n">
        <v>465</v>
      </c>
      <c r="B468" s="0" t="n">
        <f aca="true">NORMINV(RAND(),1,Coefficients!$B$22)</f>
        <v>1.02536863319811</v>
      </c>
      <c r="C468" s="0" t="n">
        <f aca="true">MEDIAN(8,16,ROUND(NORMINV(RAND(),Coefficients!$B$20,Coefficients!$B$21),0))</f>
        <v>13</v>
      </c>
      <c r="D468" s="0" t="n">
        <f aca="true">CRITBINOM($C468,MIN(0.75,Matchup!$B$39*$B468),RAND())</f>
        <v>4</v>
      </c>
      <c r="E468" s="0" t="n">
        <f aca="true">CRITBINOM(D468,Coefficients!$B$30,RAND())</f>
        <v>1</v>
      </c>
      <c r="F468" s="0" t="n">
        <f aca="true">CRITBINOM(E468,Coefficients!$B$31,RAND())</f>
        <v>1</v>
      </c>
      <c r="G468" s="0" t="n">
        <f aca="true">CRITBINOM(MAX(0,D468-E468),1-Coefficients!$B$32,RAND())</f>
        <v>0</v>
      </c>
      <c r="H468" s="0" t="n">
        <f aca="true">CRITBINOM(MAX(0,$C468-D468),MIN(0.6,Matchup!$B$40*SQRT($B468)/(1-MIN(0.75,Matchup!$B$39*$B468))),RAND())</f>
        <v>1</v>
      </c>
      <c r="I468" s="0" t="n">
        <f aca="false">6*D468+(D468-E468-G468)+2*F468+3*H468</f>
        <v>32</v>
      </c>
      <c r="J468" s="0" t="n">
        <f aca="true">CRITBINOM($C468,MIN(0.75,Matchup!$C$39*$B468),RAND())</f>
        <v>5</v>
      </c>
      <c r="K468" s="0" t="n">
        <f aca="true">CRITBINOM(J468,Coefficients!$B$30,RAND())</f>
        <v>0</v>
      </c>
      <c r="L468" s="0" t="n">
        <f aca="true">CRITBINOM(K468,Coefficients!$B$31,RAND())</f>
        <v>0</v>
      </c>
      <c r="M468" s="0" t="n">
        <f aca="true">CRITBINOM(MAX(0,J468-K468),1-Coefficients!$B$32,RAND())</f>
        <v>1</v>
      </c>
      <c r="N468" s="0" t="n">
        <f aca="true">CRITBINOM(MAX(0,$C468-J468),MIN(0.6,Matchup!$C$40*SQRT($B468)/(1-MIN(0.75,Matchup!$C$39*$B468))),RAND())</f>
        <v>2</v>
      </c>
      <c r="O468" s="0" t="n">
        <f aca="false">6*J468+(J468-K468-M468)+2*L468+3*N468</f>
        <v>40</v>
      </c>
      <c r="P468" s="0" t="n">
        <f aca="true">RAND()</f>
        <v>0.810392396039939</v>
      </c>
      <c r="Q468" s="0" t="n">
        <f aca="true">RAND()</f>
        <v>0.793706917073553</v>
      </c>
      <c r="R468" s="0" t="n">
        <f aca="false">IF($I468&lt;&gt;$O468,0,IF(P468&lt;Matchup!$B$39,7,IF(P468&lt;Matchup!$B$39+Matchup!$B$40,3,0)))</f>
        <v>0</v>
      </c>
      <c r="S468" s="0" t="n">
        <f aca="false">IF($I468&lt;&gt;$O468,0,IF(Q468&lt;Matchup!$C$39,7,IF(Q468&lt;Matchup!$C$39+Matchup!$C$40,3,0)))</f>
        <v>0</v>
      </c>
      <c r="T468" s="0" t="n">
        <f aca="false">I468+R468</f>
        <v>32</v>
      </c>
      <c r="U468" s="0" t="n">
        <f aca="false">O468+S468</f>
        <v>40</v>
      </c>
      <c r="V468" s="0" t="n">
        <f aca="false">T468-U468</f>
        <v>-8</v>
      </c>
      <c r="W468" s="0" t="n">
        <f aca="false">T468+U468</f>
        <v>72</v>
      </c>
    </row>
    <row r="469" customFormat="false" ht="15" hidden="false" customHeight="false" outlineLevel="0" collapsed="false">
      <c r="A469" s="0" t="n">
        <v>466</v>
      </c>
      <c r="B469" s="0" t="n">
        <f aca="true">NORMINV(RAND(),1,Coefficients!$B$22)</f>
        <v>1.04851648155611</v>
      </c>
      <c r="C469" s="0" t="n">
        <f aca="true">MEDIAN(8,16,ROUND(NORMINV(RAND(),Coefficients!$B$20,Coefficients!$B$21),0))</f>
        <v>10</v>
      </c>
      <c r="D469" s="0" t="n">
        <f aca="true">CRITBINOM($C469,MIN(0.75,Matchup!$B$39*$B469),RAND())</f>
        <v>2</v>
      </c>
      <c r="E469" s="0" t="n">
        <f aca="true">CRITBINOM(D469,Coefficients!$B$30,RAND())</f>
        <v>0</v>
      </c>
      <c r="F469" s="0" t="n">
        <f aca="true">CRITBINOM(E469,Coefficients!$B$31,RAND())</f>
        <v>0</v>
      </c>
      <c r="G469" s="0" t="n">
        <f aca="true">CRITBINOM(MAX(0,D469-E469),1-Coefficients!$B$32,RAND())</f>
        <v>0</v>
      </c>
      <c r="H469" s="0" t="n">
        <f aca="true">CRITBINOM(MAX(0,$C469-D469),MIN(0.6,Matchup!$B$40*SQRT($B469)/(1-MIN(0.75,Matchup!$B$39*$B469))),RAND())</f>
        <v>2</v>
      </c>
      <c r="I469" s="0" t="n">
        <f aca="false">6*D469+(D469-E469-G469)+2*F469+3*H469</f>
        <v>20</v>
      </c>
      <c r="J469" s="0" t="n">
        <f aca="true">CRITBINOM($C469,MIN(0.75,Matchup!$C$39*$B469),RAND())</f>
        <v>3</v>
      </c>
      <c r="K469" s="0" t="n">
        <f aca="true">CRITBINOM(J469,Coefficients!$B$30,RAND())</f>
        <v>0</v>
      </c>
      <c r="L469" s="0" t="n">
        <f aca="true">CRITBINOM(K469,Coefficients!$B$31,RAND())</f>
        <v>0</v>
      </c>
      <c r="M469" s="0" t="n">
        <f aca="true">CRITBINOM(MAX(0,J469-K469),1-Coefficients!$B$32,RAND())</f>
        <v>0</v>
      </c>
      <c r="N469" s="0" t="n">
        <f aca="true">CRITBINOM(MAX(0,$C469-J469),MIN(0.6,Matchup!$C$40*SQRT($B469)/(1-MIN(0.75,Matchup!$C$39*$B469))),RAND())</f>
        <v>1</v>
      </c>
      <c r="O469" s="0" t="n">
        <f aca="false">6*J469+(J469-K469-M469)+2*L469+3*N469</f>
        <v>24</v>
      </c>
      <c r="P469" s="0" t="n">
        <f aca="true">RAND()</f>
        <v>0.761324500655844</v>
      </c>
      <c r="Q469" s="0" t="n">
        <f aca="true">RAND()</f>
        <v>0.805019536252185</v>
      </c>
      <c r="R469" s="0" t="n">
        <f aca="false">IF($I469&lt;&gt;$O469,0,IF(P469&lt;Matchup!$B$39,7,IF(P469&lt;Matchup!$B$39+Matchup!$B$40,3,0)))</f>
        <v>0</v>
      </c>
      <c r="S469" s="0" t="n">
        <f aca="false">IF($I469&lt;&gt;$O469,0,IF(Q469&lt;Matchup!$C$39,7,IF(Q469&lt;Matchup!$C$39+Matchup!$C$40,3,0)))</f>
        <v>0</v>
      </c>
      <c r="T469" s="0" t="n">
        <f aca="false">I469+R469</f>
        <v>20</v>
      </c>
      <c r="U469" s="0" t="n">
        <f aca="false">O469+S469</f>
        <v>24</v>
      </c>
      <c r="V469" s="0" t="n">
        <f aca="false">T469-U469</f>
        <v>-4</v>
      </c>
      <c r="W469" s="0" t="n">
        <f aca="false">T469+U469</f>
        <v>44</v>
      </c>
    </row>
    <row r="470" customFormat="false" ht="15" hidden="false" customHeight="false" outlineLevel="0" collapsed="false">
      <c r="A470" s="0" t="n">
        <v>467</v>
      </c>
      <c r="B470" s="0" t="n">
        <f aca="true">NORMINV(RAND(),1,Coefficients!$B$22)</f>
        <v>1.04258998159081</v>
      </c>
      <c r="C470" s="0" t="n">
        <f aca="true">MEDIAN(8,16,ROUND(NORMINV(RAND(),Coefficients!$B$20,Coefficients!$B$21),0))</f>
        <v>12</v>
      </c>
      <c r="D470" s="0" t="n">
        <f aca="true">CRITBINOM($C470,MIN(0.75,Matchup!$B$39*$B470),RAND())</f>
        <v>3</v>
      </c>
      <c r="E470" s="0" t="n">
        <f aca="true">CRITBINOM(D470,Coefficients!$B$30,RAND())</f>
        <v>0</v>
      </c>
      <c r="F470" s="0" t="n">
        <f aca="true">CRITBINOM(E470,Coefficients!$B$31,RAND())</f>
        <v>0</v>
      </c>
      <c r="G470" s="0" t="n">
        <f aca="true">CRITBINOM(MAX(0,D470-E470),1-Coefficients!$B$32,RAND())</f>
        <v>0</v>
      </c>
      <c r="H470" s="0" t="n">
        <f aca="true">CRITBINOM(MAX(0,$C470-D470),MIN(0.6,Matchup!$B$40*SQRT($B470)/(1-MIN(0.75,Matchup!$B$39*$B470))),RAND())</f>
        <v>1</v>
      </c>
      <c r="I470" s="0" t="n">
        <f aca="false">6*D470+(D470-E470-G470)+2*F470+3*H470</f>
        <v>24</v>
      </c>
      <c r="J470" s="0" t="n">
        <f aca="true">CRITBINOM($C470,MIN(0.75,Matchup!$C$39*$B470),RAND())</f>
        <v>3</v>
      </c>
      <c r="K470" s="0" t="n">
        <f aca="true">CRITBINOM(J470,Coefficients!$B$30,RAND())</f>
        <v>1</v>
      </c>
      <c r="L470" s="0" t="n">
        <f aca="true">CRITBINOM(K470,Coefficients!$B$31,RAND())</f>
        <v>1</v>
      </c>
      <c r="M470" s="0" t="n">
        <f aca="true">CRITBINOM(MAX(0,J470-K470),1-Coefficients!$B$32,RAND())</f>
        <v>0</v>
      </c>
      <c r="N470" s="0" t="n">
        <f aca="true">CRITBINOM(MAX(0,$C470-J470),MIN(0.6,Matchup!$C$40*SQRT($B470)/(1-MIN(0.75,Matchup!$C$39*$B470))),RAND())</f>
        <v>1</v>
      </c>
      <c r="O470" s="0" t="n">
        <f aca="false">6*J470+(J470-K470-M470)+2*L470+3*N470</f>
        <v>25</v>
      </c>
      <c r="P470" s="0" t="n">
        <f aca="true">RAND()</f>
        <v>0.768816105475217</v>
      </c>
      <c r="Q470" s="0" t="n">
        <f aca="true">RAND()</f>
        <v>0.894048869373042</v>
      </c>
      <c r="R470" s="0" t="n">
        <f aca="false">IF($I470&lt;&gt;$O470,0,IF(P470&lt;Matchup!$B$39,7,IF(P470&lt;Matchup!$B$39+Matchup!$B$40,3,0)))</f>
        <v>0</v>
      </c>
      <c r="S470" s="0" t="n">
        <f aca="false">IF($I470&lt;&gt;$O470,0,IF(Q470&lt;Matchup!$C$39,7,IF(Q470&lt;Matchup!$C$39+Matchup!$C$40,3,0)))</f>
        <v>0</v>
      </c>
      <c r="T470" s="0" t="n">
        <f aca="false">I470+R470</f>
        <v>24</v>
      </c>
      <c r="U470" s="0" t="n">
        <f aca="false">O470+S470</f>
        <v>25</v>
      </c>
      <c r="V470" s="0" t="n">
        <f aca="false">T470-U470</f>
        <v>-1</v>
      </c>
      <c r="W470" s="0" t="n">
        <f aca="false">T470+U470</f>
        <v>49</v>
      </c>
    </row>
    <row r="471" customFormat="false" ht="15" hidden="false" customHeight="false" outlineLevel="0" collapsed="false">
      <c r="A471" s="0" t="n">
        <v>468</v>
      </c>
      <c r="B471" s="0" t="n">
        <f aca="true">NORMINV(RAND(),1,Coefficients!$B$22)</f>
        <v>1.07097676969795</v>
      </c>
      <c r="C471" s="0" t="n">
        <f aca="true">MEDIAN(8,16,ROUND(NORMINV(RAND(),Coefficients!$B$20,Coefficients!$B$21),0))</f>
        <v>12</v>
      </c>
      <c r="D471" s="0" t="n">
        <f aca="true">CRITBINOM($C471,MIN(0.75,Matchup!$B$39*$B471),RAND())</f>
        <v>3</v>
      </c>
      <c r="E471" s="0" t="n">
        <f aca="true">CRITBINOM(D471,Coefficients!$B$30,RAND())</f>
        <v>0</v>
      </c>
      <c r="F471" s="0" t="n">
        <f aca="true">CRITBINOM(E471,Coefficients!$B$31,RAND())</f>
        <v>0</v>
      </c>
      <c r="G471" s="0" t="n">
        <f aca="true">CRITBINOM(MAX(0,D471-E471),1-Coefficients!$B$32,RAND())</f>
        <v>0</v>
      </c>
      <c r="H471" s="0" t="n">
        <f aca="true">CRITBINOM(MAX(0,$C471-D471),MIN(0.6,Matchup!$B$40*SQRT($B471)/(1-MIN(0.75,Matchup!$B$39*$B471))),RAND())</f>
        <v>1</v>
      </c>
      <c r="I471" s="0" t="n">
        <f aca="false">6*D471+(D471-E471-G471)+2*F471+3*H471</f>
        <v>24</v>
      </c>
      <c r="J471" s="0" t="n">
        <f aca="true">CRITBINOM($C471,MIN(0.75,Matchup!$C$39*$B471),RAND())</f>
        <v>2</v>
      </c>
      <c r="K471" s="0" t="n">
        <f aca="true">CRITBINOM(J471,Coefficients!$B$30,RAND())</f>
        <v>1</v>
      </c>
      <c r="L471" s="0" t="n">
        <f aca="true">CRITBINOM(K471,Coefficients!$B$31,RAND())</f>
        <v>1</v>
      </c>
      <c r="M471" s="0" t="n">
        <f aca="true">CRITBINOM(MAX(0,J471-K471),1-Coefficients!$B$32,RAND())</f>
        <v>0</v>
      </c>
      <c r="N471" s="0" t="n">
        <f aca="true">CRITBINOM(MAX(0,$C471-J471),MIN(0.6,Matchup!$C$40*SQRT($B471)/(1-MIN(0.75,Matchup!$C$39*$B471))),RAND())</f>
        <v>3</v>
      </c>
      <c r="O471" s="0" t="n">
        <f aca="false">6*J471+(J471-K471-M471)+2*L471+3*N471</f>
        <v>24</v>
      </c>
      <c r="P471" s="0" t="n">
        <f aca="true">RAND()</f>
        <v>0.924759924506127</v>
      </c>
      <c r="Q471" s="0" t="n">
        <f aca="true">RAND()</f>
        <v>0.874385333422983</v>
      </c>
      <c r="R471" s="0" t="n">
        <f aca="false">IF($I471&lt;&gt;$O471,0,IF(P471&lt;Matchup!$B$39,7,IF(P471&lt;Matchup!$B$39+Matchup!$B$40,3,0)))</f>
        <v>0</v>
      </c>
      <c r="S471" s="0" t="n">
        <f aca="false">IF($I471&lt;&gt;$O471,0,IF(Q471&lt;Matchup!$C$39,7,IF(Q471&lt;Matchup!$C$39+Matchup!$C$40,3,0)))</f>
        <v>0</v>
      </c>
      <c r="T471" s="0" t="n">
        <f aca="false">I471+R471</f>
        <v>24</v>
      </c>
      <c r="U471" s="0" t="n">
        <f aca="false">O471+S471</f>
        <v>24</v>
      </c>
      <c r="V471" s="0" t="n">
        <f aca="false">T471-U471</f>
        <v>0</v>
      </c>
      <c r="W471" s="0" t="n">
        <f aca="false">T471+U471</f>
        <v>48</v>
      </c>
    </row>
    <row r="472" customFormat="false" ht="15" hidden="false" customHeight="false" outlineLevel="0" collapsed="false">
      <c r="A472" s="0" t="n">
        <v>469</v>
      </c>
      <c r="B472" s="0" t="n">
        <f aca="true">NORMINV(RAND(),1,Coefficients!$B$22)</f>
        <v>1.0452335732034</v>
      </c>
      <c r="C472" s="0" t="n">
        <f aca="true">MEDIAN(8,16,ROUND(NORMINV(RAND(),Coefficients!$B$20,Coefficients!$B$21),0))</f>
        <v>11</v>
      </c>
      <c r="D472" s="0" t="n">
        <f aca="true">CRITBINOM($C472,MIN(0.75,Matchup!$B$39*$B472),RAND())</f>
        <v>3</v>
      </c>
      <c r="E472" s="0" t="n">
        <f aca="true">CRITBINOM(D472,Coefficients!$B$30,RAND())</f>
        <v>0</v>
      </c>
      <c r="F472" s="0" t="n">
        <f aca="true">CRITBINOM(E472,Coefficients!$B$31,RAND())</f>
        <v>0</v>
      </c>
      <c r="G472" s="0" t="n">
        <f aca="true">CRITBINOM(MAX(0,D472-E472),1-Coefficients!$B$32,RAND())</f>
        <v>0</v>
      </c>
      <c r="H472" s="0" t="n">
        <f aca="true">CRITBINOM(MAX(0,$C472-D472),MIN(0.6,Matchup!$B$40*SQRT($B472)/(1-MIN(0.75,Matchup!$B$39*$B472))),RAND())</f>
        <v>1</v>
      </c>
      <c r="I472" s="0" t="n">
        <f aca="false">6*D472+(D472-E472-G472)+2*F472+3*H472</f>
        <v>24</v>
      </c>
      <c r="J472" s="0" t="n">
        <f aca="true">CRITBINOM($C472,MIN(0.75,Matchup!$C$39*$B472),RAND())</f>
        <v>4</v>
      </c>
      <c r="K472" s="0" t="n">
        <f aca="true">CRITBINOM(J472,Coefficients!$B$30,RAND())</f>
        <v>0</v>
      </c>
      <c r="L472" s="0" t="n">
        <f aca="true">CRITBINOM(K472,Coefficients!$B$31,RAND())</f>
        <v>0</v>
      </c>
      <c r="M472" s="0" t="n">
        <f aca="true">CRITBINOM(MAX(0,J472-K472),1-Coefficients!$B$32,RAND())</f>
        <v>0</v>
      </c>
      <c r="N472" s="0" t="n">
        <f aca="true">CRITBINOM(MAX(0,$C472-J472),MIN(0.6,Matchup!$C$40*SQRT($B472)/(1-MIN(0.75,Matchup!$C$39*$B472))),RAND())</f>
        <v>1</v>
      </c>
      <c r="O472" s="0" t="n">
        <f aca="false">6*J472+(J472-K472-M472)+2*L472+3*N472</f>
        <v>31</v>
      </c>
      <c r="P472" s="0" t="n">
        <f aca="true">RAND()</f>
        <v>0.119034156997206</v>
      </c>
      <c r="Q472" s="0" t="n">
        <f aca="true">RAND()</f>
        <v>0.833035159945951</v>
      </c>
      <c r="R472" s="0" t="n">
        <f aca="false">IF($I472&lt;&gt;$O472,0,IF(P472&lt;Matchup!$B$39,7,IF(P472&lt;Matchup!$B$39+Matchup!$B$40,3,0)))</f>
        <v>0</v>
      </c>
      <c r="S472" s="0" t="n">
        <f aca="false">IF($I472&lt;&gt;$O472,0,IF(Q472&lt;Matchup!$C$39,7,IF(Q472&lt;Matchup!$C$39+Matchup!$C$40,3,0)))</f>
        <v>0</v>
      </c>
      <c r="T472" s="0" t="n">
        <f aca="false">I472+R472</f>
        <v>24</v>
      </c>
      <c r="U472" s="0" t="n">
        <f aca="false">O472+S472</f>
        <v>31</v>
      </c>
      <c r="V472" s="0" t="n">
        <f aca="false">T472-U472</f>
        <v>-7</v>
      </c>
      <c r="W472" s="0" t="n">
        <f aca="false">T472+U472</f>
        <v>55</v>
      </c>
    </row>
    <row r="473" customFormat="false" ht="15" hidden="false" customHeight="false" outlineLevel="0" collapsed="false">
      <c r="A473" s="0" t="n">
        <v>470</v>
      </c>
      <c r="B473" s="0" t="n">
        <f aca="true">NORMINV(RAND(),1,Coefficients!$B$22)</f>
        <v>1.0297514017369</v>
      </c>
      <c r="C473" s="0" t="n">
        <f aca="true">MEDIAN(8,16,ROUND(NORMINV(RAND(),Coefficients!$B$20,Coefficients!$B$21),0))</f>
        <v>10</v>
      </c>
      <c r="D473" s="0" t="n">
        <f aca="true">CRITBINOM($C473,MIN(0.75,Matchup!$B$39*$B473),RAND())</f>
        <v>2</v>
      </c>
      <c r="E473" s="0" t="n">
        <f aca="true">CRITBINOM(D473,Coefficients!$B$30,RAND())</f>
        <v>1</v>
      </c>
      <c r="F473" s="0" t="n">
        <f aca="true">CRITBINOM(E473,Coefficients!$B$31,RAND())</f>
        <v>1</v>
      </c>
      <c r="G473" s="0" t="n">
        <f aca="true">CRITBINOM(MAX(0,D473-E473),1-Coefficients!$B$32,RAND())</f>
        <v>0</v>
      </c>
      <c r="H473" s="0" t="n">
        <f aca="true">CRITBINOM(MAX(0,$C473-D473),MIN(0.6,Matchup!$B$40*SQRT($B473)/(1-MIN(0.75,Matchup!$B$39*$B473))),RAND())</f>
        <v>1</v>
      </c>
      <c r="I473" s="0" t="n">
        <f aca="false">6*D473+(D473-E473-G473)+2*F473+3*H473</f>
        <v>18</v>
      </c>
      <c r="J473" s="0" t="n">
        <f aca="true">CRITBINOM($C473,MIN(0.75,Matchup!$C$39*$B473),RAND())</f>
        <v>1</v>
      </c>
      <c r="K473" s="0" t="n">
        <f aca="true">CRITBINOM(J473,Coefficients!$B$30,RAND())</f>
        <v>0</v>
      </c>
      <c r="L473" s="0" t="n">
        <f aca="true">CRITBINOM(K473,Coefficients!$B$31,RAND())</f>
        <v>0</v>
      </c>
      <c r="M473" s="0" t="n">
        <f aca="true">CRITBINOM(MAX(0,J473-K473),1-Coefficients!$B$32,RAND())</f>
        <v>0</v>
      </c>
      <c r="N473" s="0" t="n">
        <f aca="true">CRITBINOM(MAX(0,$C473-J473),MIN(0.6,Matchup!$C$40*SQRT($B473)/(1-MIN(0.75,Matchup!$C$39*$B473))),RAND())</f>
        <v>0</v>
      </c>
      <c r="O473" s="0" t="n">
        <f aca="false">6*J473+(J473-K473-M473)+2*L473+3*N473</f>
        <v>7</v>
      </c>
      <c r="P473" s="0" t="n">
        <f aca="true">RAND()</f>
        <v>0.965140642099732</v>
      </c>
      <c r="Q473" s="0" t="n">
        <f aca="true">RAND()</f>
        <v>0.222732484891115</v>
      </c>
      <c r="R473" s="0" t="n">
        <f aca="false">IF($I473&lt;&gt;$O473,0,IF(P473&lt;Matchup!$B$39,7,IF(P473&lt;Matchup!$B$39+Matchup!$B$40,3,0)))</f>
        <v>0</v>
      </c>
      <c r="S473" s="0" t="n">
        <f aca="false">IF($I473&lt;&gt;$O473,0,IF(Q473&lt;Matchup!$C$39,7,IF(Q473&lt;Matchup!$C$39+Matchup!$C$40,3,0)))</f>
        <v>0</v>
      </c>
      <c r="T473" s="0" t="n">
        <f aca="false">I473+R473</f>
        <v>18</v>
      </c>
      <c r="U473" s="0" t="n">
        <f aca="false">O473+S473</f>
        <v>7</v>
      </c>
      <c r="V473" s="0" t="n">
        <f aca="false">T473-U473</f>
        <v>11</v>
      </c>
      <c r="W473" s="0" t="n">
        <f aca="false">T473+U473</f>
        <v>25</v>
      </c>
    </row>
    <row r="474" customFormat="false" ht="15" hidden="false" customHeight="false" outlineLevel="0" collapsed="false">
      <c r="A474" s="0" t="n">
        <v>471</v>
      </c>
      <c r="B474" s="0" t="n">
        <f aca="true">NORMINV(RAND(),1,Coefficients!$B$22)</f>
        <v>0.924565164749623</v>
      </c>
      <c r="C474" s="0" t="n">
        <f aca="true">MEDIAN(8,16,ROUND(NORMINV(RAND(),Coefficients!$B$20,Coefficients!$B$21),0))</f>
        <v>12</v>
      </c>
      <c r="D474" s="0" t="n">
        <f aca="true">CRITBINOM($C474,MIN(0.75,Matchup!$B$39*$B474),RAND())</f>
        <v>4</v>
      </c>
      <c r="E474" s="0" t="n">
        <f aca="true">CRITBINOM(D474,Coefficients!$B$30,RAND())</f>
        <v>0</v>
      </c>
      <c r="F474" s="0" t="n">
        <f aca="true">CRITBINOM(E474,Coefficients!$B$31,RAND())</f>
        <v>0</v>
      </c>
      <c r="G474" s="0" t="n">
        <f aca="true">CRITBINOM(MAX(0,D474-E474),1-Coefficients!$B$32,RAND())</f>
        <v>0</v>
      </c>
      <c r="H474" s="0" t="n">
        <f aca="true">CRITBINOM(MAX(0,$C474-D474),MIN(0.6,Matchup!$B$40*SQRT($B474)/(1-MIN(0.75,Matchup!$B$39*$B474))),RAND())</f>
        <v>1</v>
      </c>
      <c r="I474" s="0" t="n">
        <f aca="false">6*D474+(D474-E474-G474)+2*F474+3*H474</f>
        <v>31</v>
      </c>
      <c r="J474" s="0" t="n">
        <f aca="true">CRITBINOM($C474,MIN(0.75,Matchup!$C$39*$B474),RAND())</f>
        <v>2</v>
      </c>
      <c r="K474" s="0" t="n">
        <f aca="true">CRITBINOM(J474,Coefficients!$B$30,RAND())</f>
        <v>0</v>
      </c>
      <c r="L474" s="0" t="n">
        <f aca="true">CRITBINOM(K474,Coefficients!$B$31,RAND())</f>
        <v>0</v>
      </c>
      <c r="M474" s="0" t="n">
        <f aca="true">CRITBINOM(MAX(0,J474-K474),1-Coefficients!$B$32,RAND())</f>
        <v>0</v>
      </c>
      <c r="N474" s="0" t="n">
        <f aca="true">CRITBINOM(MAX(0,$C474-J474),MIN(0.6,Matchup!$C$40*SQRT($B474)/(1-MIN(0.75,Matchup!$C$39*$B474))),RAND())</f>
        <v>1</v>
      </c>
      <c r="O474" s="0" t="n">
        <f aca="false">6*J474+(J474-K474-M474)+2*L474+3*N474</f>
        <v>17</v>
      </c>
      <c r="P474" s="0" t="n">
        <f aca="true">RAND()</f>
        <v>0.392646061528079</v>
      </c>
      <c r="Q474" s="0" t="n">
        <f aca="true">RAND()</f>
        <v>0.549682056674039</v>
      </c>
      <c r="R474" s="0" t="n">
        <f aca="false">IF($I474&lt;&gt;$O474,0,IF(P474&lt;Matchup!$B$39,7,IF(P474&lt;Matchup!$B$39+Matchup!$B$40,3,0)))</f>
        <v>0</v>
      </c>
      <c r="S474" s="0" t="n">
        <f aca="false">IF($I474&lt;&gt;$O474,0,IF(Q474&lt;Matchup!$C$39,7,IF(Q474&lt;Matchup!$C$39+Matchup!$C$40,3,0)))</f>
        <v>0</v>
      </c>
      <c r="T474" s="0" t="n">
        <f aca="false">I474+R474</f>
        <v>31</v>
      </c>
      <c r="U474" s="0" t="n">
        <f aca="false">O474+S474</f>
        <v>17</v>
      </c>
      <c r="V474" s="0" t="n">
        <f aca="false">T474-U474</f>
        <v>14</v>
      </c>
      <c r="W474" s="0" t="n">
        <f aca="false">T474+U474</f>
        <v>48</v>
      </c>
    </row>
    <row r="475" customFormat="false" ht="15" hidden="false" customHeight="false" outlineLevel="0" collapsed="false">
      <c r="A475" s="0" t="n">
        <v>472</v>
      </c>
      <c r="B475" s="0" t="n">
        <f aca="true">NORMINV(RAND(),1,Coefficients!$B$22)</f>
        <v>1.01604195959094</v>
      </c>
      <c r="C475" s="0" t="n">
        <f aca="true">MEDIAN(8,16,ROUND(NORMINV(RAND(),Coefficients!$B$20,Coefficients!$B$21),0))</f>
        <v>11</v>
      </c>
      <c r="D475" s="0" t="n">
        <f aca="true">CRITBINOM($C475,MIN(0.75,Matchup!$B$39*$B475),RAND())</f>
        <v>3</v>
      </c>
      <c r="E475" s="0" t="n">
        <f aca="true">CRITBINOM(D475,Coefficients!$B$30,RAND())</f>
        <v>0</v>
      </c>
      <c r="F475" s="0" t="n">
        <f aca="true">CRITBINOM(E475,Coefficients!$B$31,RAND())</f>
        <v>0</v>
      </c>
      <c r="G475" s="0" t="n">
        <f aca="true">CRITBINOM(MAX(0,D475-E475),1-Coefficients!$B$32,RAND())</f>
        <v>0</v>
      </c>
      <c r="H475" s="0" t="n">
        <f aca="true">CRITBINOM(MAX(0,$C475-D475),MIN(0.6,Matchup!$B$40*SQRT($B475)/(1-MIN(0.75,Matchup!$B$39*$B475))),RAND())</f>
        <v>0</v>
      </c>
      <c r="I475" s="0" t="n">
        <f aca="false">6*D475+(D475-E475-G475)+2*F475+3*H475</f>
        <v>21</v>
      </c>
      <c r="J475" s="0" t="n">
        <f aca="true">CRITBINOM($C475,MIN(0.75,Matchup!$C$39*$B475),RAND())</f>
        <v>5</v>
      </c>
      <c r="K475" s="0" t="n">
        <f aca="true">CRITBINOM(J475,Coefficients!$B$30,RAND())</f>
        <v>2</v>
      </c>
      <c r="L475" s="0" t="n">
        <f aca="true">CRITBINOM(K475,Coefficients!$B$31,RAND())</f>
        <v>0</v>
      </c>
      <c r="M475" s="0" t="n">
        <f aca="true">CRITBINOM(MAX(0,J475-K475),1-Coefficients!$B$32,RAND())</f>
        <v>0</v>
      </c>
      <c r="N475" s="0" t="n">
        <f aca="true">CRITBINOM(MAX(0,$C475-J475),MIN(0.6,Matchup!$C$40*SQRT($B475)/(1-MIN(0.75,Matchup!$C$39*$B475))),RAND())</f>
        <v>2</v>
      </c>
      <c r="O475" s="0" t="n">
        <f aca="false">6*J475+(J475-K475-M475)+2*L475+3*N475</f>
        <v>39</v>
      </c>
      <c r="P475" s="0" t="n">
        <f aca="true">RAND()</f>
        <v>0.0428243626008449</v>
      </c>
      <c r="Q475" s="0" t="n">
        <f aca="true">RAND()</f>
        <v>0.223341088319347</v>
      </c>
      <c r="R475" s="0" t="n">
        <f aca="false">IF($I475&lt;&gt;$O475,0,IF(P475&lt;Matchup!$B$39,7,IF(P475&lt;Matchup!$B$39+Matchup!$B$40,3,0)))</f>
        <v>0</v>
      </c>
      <c r="S475" s="0" t="n">
        <f aca="false">IF($I475&lt;&gt;$O475,0,IF(Q475&lt;Matchup!$C$39,7,IF(Q475&lt;Matchup!$C$39+Matchup!$C$40,3,0)))</f>
        <v>0</v>
      </c>
      <c r="T475" s="0" t="n">
        <f aca="false">I475+R475</f>
        <v>21</v>
      </c>
      <c r="U475" s="0" t="n">
        <f aca="false">O475+S475</f>
        <v>39</v>
      </c>
      <c r="V475" s="0" t="n">
        <f aca="false">T475-U475</f>
        <v>-18</v>
      </c>
      <c r="W475" s="0" t="n">
        <f aca="false">T475+U475</f>
        <v>60</v>
      </c>
    </row>
    <row r="476" customFormat="false" ht="15" hidden="false" customHeight="false" outlineLevel="0" collapsed="false">
      <c r="A476" s="0" t="n">
        <v>473</v>
      </c>
      <c r="B476" s="0" t="n">
        <f aca="true">NORMINV(RAND(),1,Coefficients!$B$22)</f>
        <v>1.08507189826519</v>
      </c>
      <c r="C476" s="0" t="n">
        <f aca="true">MEDIAN(8,16,ROUND(NORMINV(RAND(),Coefficients!$B$20,Coefficients!$B$21),0))</f>
        <v>11</v>
      </c>
      <c r="D476" s="0" t="n">
        <f aca="true">CRITBINOM($C476,MIN(0.75,Matchup!$B$39*$B476),RAND())</f>
        <v>5</v>
      </c>
      <c r="E476" s="0" t="n">
        <f aca="true">CRITBINOM(D476,Coefficients!$B$30,RAND())</f>
        <v>0</v>
      </c>
      <c r="F476" s="0" t="n">
        <f aca="true">CRITBINOM(E476,Coefficients!$B$31,RAND())</f>
        <v>0</v>
      </c>
      <c r="G476" s="0" t="n">
        <f aca="true">CRITBINOM(MAX(0,D476-E476),1-Coefficients!$B$32,RAND())</f>
        <v>0</v>
      </c>
      <c r="H476" s="0" t="n">
        <f aca="true">CRITBINOM(MAX(0,$C476-D476),MIN(0.6,Matchup!$B$40*SQRT($B476)/(1-MIN(0.75,Matchup!$B$39*$B476))),RAND())</f>
        <v>2</v>
      </c>
      <c r="I476" s="0" t="n">
        <f aca="false">6*D476+(D476-E476-G476)+2*F476+3*H476</f>
        <v>41</v>
      </c>
      <c r="J476" s="0" t="n">
        <f aca="true">CRITBINOM($C476,MIN(0.75,Matchup!$C$39*$B476),RAND())</f>
        <v>3</v>
      </c>
      <c r="K476" s="0" t="n">
        <f aca="true">CRITBINOM(J476,Coefficients!$B$30,RAND())</f>
        <v>0</v>
      </c>
      <c r="L476" s="0" t="n">
        <f aca="true">CRITBINOM(K476,Coefficients!$B$31,RAND())</f>
        <v>0</v>
      </c>
      <c r="M476" s="0" t="n">
        <f aca="true">CRITBINOM(MAX(0,J476-K476),1-Coefficients!$B$32,RAND())</f>
        <v>0</v>
      </c>
      <c r="N476" s="0" t="n">
        <f aca="true">CRITBINOM(MAX(0,$C476-J476),MIN(0.6,Matchup!$C$40*SQRT($B476)/(1-MIN(0.75,Matchup!$C$39*$B476))),RAND())</f>
        <v>0</v>
      </c>
      <c r="O476" s="0" t="n">
        <f aca="false">6*J476+(J476-K476-M476)+2*L476+3*N476</f>
        <v>21</v>
      </c>
      <c r="P476" s="0" t="n">
        <f aca="true">RAND()</f>
        <v>0.445356187262901</v>
      </c>
      <c r="Q476" s="0" t="n">
        <f aca="true">RAND()</f>
        <v>0.14721393660272</v>
      </c>
      <c r="R476" s="0" t="n">
        <f aca="false">IF($I476&lt;&gt;$O476,0,IF(P476&lt;Matchup!$B$39,7,IF(P476&lt;Matchup!$B$39+Matchup!$B$40,3,0)))</f>
        <v>0</v>
      </c>
      <c r="S476" s="0" t="n">
        <f aca="false">IF($I476&lt;&gt;$O476,0,IF(Q476&lt;Matchup!$C$39,7,IF(Q476&lt;Matchup!$C$39+Matchup!$C$40,3,0)))</f>
        <v>0</v>
      </c>
      <c r="T476" s="0" t="n">
        <f aca="false">I476+R476</f>
        <v>41</v>
      </c>
      <c r="U476" s="0" t="n">
        <f aca="false">O476+S476</f>
        <v>21</v>
      </c>
      <c r="V476" s="0" t="n">
        <f aca="false">T476-U476</f>
        <v>20</v>
      </c>
      <c r="W476" s="0" t="n">
        <f aca="false">T476+U476</f>
        <v>62</v>
      </c>
    </row>
    <row r="477" customFormat="false" ht="15" hidden="false" customHeight="false" outlineLevel="0" collapsed="false">
      <c r="A477" s="0" t="n">
        <v>474</v>
      </c>
      <c r="B477" s="0" t="n">
        <f aca="true">NORMINV(RAND(),1,Coefficients!$B$22)</f>
        <v>0.894313604649276</v>
      </c>
      <c r="C477" s="0" t="n">
        <f aca="true">MEDIAN(8,16,ROUND(NORMINV(RAND(),Coefficients!$B$20,Coefficients!$B$21),0))</f>
        <v>11</v>
      </c>
      <c r="D477" s="0" t="n">
        <f aca="true">CRITBINOM($C477,MIN(0.75,Matchup!$B$39*$B477),RAND())</f>
        <v>4</v>
      </c>
      <c r="E477" s="0" t="n">
        <f aca="true">CRITBINOM(D477,Coefficients!$B$30,RAND())</f>
        <v>0</v>
      </c>
      <c r="F477" s="0" t="n">
        <f aca="true">CRITBINOM(E477,Coefficients!$B$31,RAND())</f>
        <v>0</v>
      </c>
      <c r="G477" s="0" t="n">
        <f aca="true">CRITBINOM(MAX(0,D477-E477),1-Coefficients!$B$32,RAND())</f>
        <v>0</v>
      </c>
      <c r="H477" s="0" t="n">
        <f aca="true">CRITBINOM(MAX(0,$C477-D477),MIN(0.6,Matchup!$B$40*SQRT($B477)/(1-MIN(0.75,Matchup!$B$39*$B477))),RAND())</f>
        <v>0</v>
      </c>
      <c r="I477" s="0" t="n">
        <f aca="false">6*D477+(D477-E477-G477)+2*F477+3*H477</f>
        <v>28</v>
      </c>
      <c r="J477" s="0" t="n">
        <f aca="true">CRITBINOM($C477,MIN(0.75,Matchup!$C$39*$B477),RAND())</f>
        <v>1</v>
      </c>
      <c r="K477" s="0" t="n">
        <f aca="true">CRITBINOM(J477,Coefficients!$B$30,RAND())</f>
        <v>0</v>
      </c>
      <c r="L477" s="0" t="n">
        <f aca="true">CRITBINOM(K477,Coefficients!$B$31,RAND())</f>
        <v>0</v>
      </c>
      <c r="M477" s="0" t="n">
        <f aca="true">CRITBINOM(MAX(0,J477-K477),1-Coefficients!$B$32,RAND())</f>
        <v>0</v>
      </c>
      <c r="N477" s="0" t="n">
        <f aca="true">CRITBINOM(MAX(0,$C477-J477),MIN(0.6,Matchup!$C$40*SQRT($B477)/(1-MIN(0.75,Matchup!$C$39*$B477))),RAND())</f>
        <v>1</v>
      </c>
      <c r="O477" s="0" t="n">
        <f aca="false">6*J477+(J477-K477-M477)+2*L477+3*N477</f>
        <v>10</v>
      </c>
      <c r="P477" s="0" t="n">
        <f aca="true">RAND()</f>
        <v>0.171334823016506</v>
      </c>
      <c r="Q477" s="0" t="n">
        <f aca="true">RAND()</f>
        <v>0.282329135559769</v>
      </c>
      <c r="R477" s="0" t="n">
        <f aca="false">IF($I477&lt;&gt;$O477,0,IF(P477&lt;Matchup!$B$39,7,IF(P477&lt;Matchup!$B$39+Matchup!$B$40,3,0)))</f>
        <v>0</v>
      </c>
      <c r="S477" s="0" t="n">
        <f aca="false">IF($I477&lt;&gt;$O477,0,IF(Q477&lt;Matchup!$C$39,7,IF(Q477&lt;Matchup!$C$39+Matchup!$C$40,3,0)))</f>
        <v>0</v>
      </c>
      <c r="T477" s="0" t="n">
        <f aca="false">I477+R477</f>
        <v>28</v>
      </c>
      <c r="U477" s="0" t="n">
        <f aca="false">O477+S477</f>
        <v>10</v>
      </c>
      <c r="V477" s="0" t="n">
        <f aca="false">T477-U477</f>
        <v>18</v>
      </c>
      <c r="W477" s="0" t="n">
        <f aca="false">T477+U477</f>
        <v>38</v>
      </c>
    </row>
    <row r="478" customFormat="false" ht="15" hidden="false" customHeight="false" outlineLevel="0" collapsed="false">
      <c r="A478" s="0" t="n">
        <v>475</v>
      </c>
      <c r="B478" s="0" t="n">
        <f aca="true">NORMINV(RAND(),1,Coefficients!$B$22)</f>
        <v>0.860502265271671</v>
      </c>
      <c r="C478" s="0" t="n">
        <f aca="true">MEDIAN(8,16,ROUND(NORMINV(RAND(),Coefficients!$B$20,Coefficients!$B$21),0))</f>
        <v>11</v>
      </c>
      <c r="D478" s="0" t="n">
        <f aca="true">CRITBINOM($C478,MIN(0.75,Matchup!$B$39*$B478),RAND())</f>
        <v>1</v>
      </c>
      <c r="E478" s="0" t="n">
        <f aca="true">CRITBINOM(D478,Coefficients!$B$30,RAND())</f>
        <v>0</v>
      </c>
      <c r="F478" s="0" t="n">
        <f aca="true">CRITBINOM(E478,Coefficients!$B$31,RAND())</f>
        <v>0</v>
      </c>
      <c r="G478" s="0" t="n">
        <f aca="true">CRITBINOM(MAX(0,D478-E478),1-Coefficients!$B$32,RAND())</f>
        <v>1</v>
      </c>
      <c r="H478" s="0" t="n">
        <f aca="true">CRITBINOM(MAX(0,$C478-D478),MIN(0.6,Matchup!$B$40*SQRT($B478)/(1-MIN(0.75,Matchup!$B$39*$B478))),RAND())</f>
        <v>2</v>
      </c>
      <c r="I478" s="0" t="n">
        <f aca="false">6*D478+(D478-E478-G478)+2*F478+3*H478</f>
        <v>12</v>
      </c>
      <c r="J478" s="0" t="n">
        <f aca="true">CRITBINOM($C478,MIN(0.75,Matchup!$C$39*$B478),RAND())</f>
        <v>2</v>
      </c>
      <c r="K478" s="0" t="n">
        <f aca="true">CRITBINOM(J478,Coefficients!$B$30,RAND())</f>
        <v>0</v>
      </c>
      <c r="L478" s="0" t="n">
        <f aca="true">CRITBINOM(K478,Coefficients!$B$31,RAND())</f>
        <v>0</v>
      </c>
      <c r="M478" s="0" t="n">
        <f aca="true">CRITBINOM(MAX(0,J478-K478),1-Coefficients!$B$32,RAND())</f>
        <v>0</v>
      </c>
      <c r="N478" s="0" t="n">
        <f aca="true">CRITBINOM(MAX(0,$C478-J478),MIN(0.6,Matchup!$C$40*SQRT($B478)/(1-MIN(0.75,Matchup!$C$39*$B478))),RAND())</f>
        <v>1</v>
      </c>
      <c r="O478" s="0" t="n">
        <f aca="false">6*J478+(J478-K478-M478)+2*L478+3*N478</f>
        <v>17</v>
      </c>
      <c r="P478" s="0" t="n">
        <f aca="true">RAND()</f>
        <v>0.725478819831562</v>
      </c>
      <c r="Q478" s="0" t="n">
        <f aca="true">RAND()</f>
        <v>0.485447033163949</v>
      </c>
      <c r="R478" s="0" t="n">
        <f aca="false">IF($I478&lt;&gt;$O478,0,IF(P478&lt;Matchup!$B$39,7,IF(P478&lt;Matchup!$B$39+Matchup!$B$40,3,0)))</f>
        <v>0</v>
      </c>
      <c r="S478" s="0" t="n">
        <f aca="false">IF($I478&lt;&gt;$O478,0,IF(Q478&lt;Matchup!$C$39,7,IF(Q478&lt;Matchup!$C$39+Matchup!$C$40,3,0)))</f>
        <v>0</v>
      </c>
      <c r="T478" s="0" t="n">
        <f aca="false">I478+R478</f>
        <v>12</v>
      </c>
      <c r="U478" s="0" t="n">
        <f aca="false">O478+S478</f>
        <v>17</v>
      </c>
      <c r="V478" s="0" t="n">
        <f aca="false">T478-U478</f>
        <v>-5</v>
      </c>
      <c r="W478" s="0" t="n">
        <f aca="false">T478+U478</f>
        <v>29</v>
      </c>
    </row>
    <row r="479" customFormat="false" ht="15" hidden="false" customHeight="false" outlineLevel="0" collapsed="false">
      <c r="A479" s="0" t="n">
        <v>476</v>
      </c>
      <c r="B479" s="0" t="n">
        <f aca="true">NORMINV(RAND(),1,Coefficients!$B$22)</f>
        <v>0.929462492633828</v>
      </c>
      <c r="C479" s="0" t="n">
        <f aca="true">MEDIAN(8,16,ROUND(NORMINV(RAND(),Coefficients!$B$20,Coefficients!$B$21),0))</f>
        <v>9</v>
      </c>
      <c r="D479" s="0" t="n">
        <f aca="true">CRITBINOM($C479,MIN(0.75,Matchup!$B$39*$B479),RAND())</f>
        <v>3</v>
      </c>
      <c r="E479" s="0" t="n">
        <f aca="true">CRITBINOM(D479,Coefficients!$B$30,RAND())</f>
        <v>0</v>
      </c>
      <c r="F479" s="0" t="n">
        <f aca="true">CRITBINOM(E479,Coefficients!$B$31,RAND())</f>
        <v>0</v>
      </c>
      <c r="G479" s="0" t="n">
        <f aca="true">CRITBINOM(MAX(0,D479-E479),1-Coefficients!$B$32,RAND())</f>
        <v>1</v>
      </c>
      <c r="H479" s="0" t="n">
        <f aca="true">CRITBINOM(MAX(0,$C479-D479),MIN(0.6,Matchup!$B$40*SQRT($B479)/(1-MIN(0.75,Matchup!$B$39*$B479))),RAND())</f>
        <v>0</v>
      </c>
      <c r="I479" s="0" t="n">
        <f aca="false">6*D479+(D479-E479-G479)+2*F479+3*H479</f>
        <v>20</v>
      </c>
      <c r="J479" s="0" t="n">
        <f aca="true">CRITBINOM($C479,MIN(0.75,Matchup!$C$39*$B479),RAND())</f>
        <v>0</v>
      </c>
      <c r="K479" s="0" t="n">
        <f aca="true">CRITBINOM(J479,Coefficients!$B$30,RAND())</f>
        <v>0</v>
      </c>
      <c r="L479" s="0" t="n">
        <f aca="true">CRITBINOM(K479,Coefficients!$B$31,RAND())</f>
        <v>0</v>
      </c>
      <c r="M479" s="0" t="n">
        <f aca="true">CRITBINOM(MAX(0,J479-K479),1-Coefficients!$B$32,RAND())</f>
        <v>0</v>
      </c>
      <c r="N479" s="0" t="n">
        <f aca="true">CRITBINOM(MAX(0,$C479-J479),MIN(0.6,Matchup!$C$40*SQRT($B479)/(1-MIN(0.75,Matchup!$C$39*$B479))),RAND())</f>
        <v>2</v>
      </c>
      <c r="O479" s="0" t="n">
        <f aca="false">6*J479+(J479-K479-M479)+2*L479+3*N479</f>
        <v>6</v>
      </c>
      <c r="P479" s="0" t="n">
        <f aca="true">RAND()</f>
        <v>0.123519975011518</v>
      </c>
      <c r="Q479" s="0" t="n">
        <f aca="true">RAND()</f>
        <v>0.19882783891482</v>
      </c>
      <c r="R479" s="0" t="n">
        <f aca="false">IF($I479&lt;&gt;$O479,0,IF(P479&lt;Matchup!$B$39,7,IF(P479&lt;Matchup!$B$39+Matchup!$B$40,3,0)))</f>
        <v>0</v>
      </c>
      <c r="S479" s="0" t="n">
        <f aca="false">IF($I479&lt;&gt;$O479,0,IF(Q479&lt;Matchup!$C$39,7,IF(Q479&lt;Matchup!$C$39+Matchup!$C$40,3,0)))</f>
        <v>0</v>
      </c>
      <c r="T479" s="0" t="n">
        <f aca="false">I479+R479</f>
        <v>20</v>
      </c>
      <c r="U479" s="0" t="n">
        <f aca="false">O479+S479</f>
        <v>6</v>
      </c>
      <c r="V479" s="0" t="n">
        <f aca="false">T479-U479</f>
        <v>14</v>
      </c>
      <c r="W479" s="0" t="n">
        <f aca="false">T479+U479</f>
        <v>26</v>
      </c>
    </row>
    <row r="480" customFormat="false" ht="15" hidden="false" customHeight="false" outlineLevel="0" collapsed="false">
      <c r="A480" s="0" t="n">
        <v>477</v>
      </c>
      <c r="B480" s="0" t="n">
        <f aca="true">NORMINV(RAND(),1,Coefficients!$B$22)</f>
        <v>0.911752884206036</v>
      </c>
      <c r="C480" s="0" t="n">
        <f aca="true">MEDIAN(8,16,ROUND(NORMINV(RAND(),Coefficients!$B$20,Coefficients!$B$21),0))</f>
        <v>11</v>
      </c>
      <c r="D480" s="0" t="n">
        <f aca="true">CRITBINOM($C480,MIN(0.75,Matchup!$B$39*$B480),RAND())</f>
        <v>2</v>
      </c>
      <c r="E480" s="0" t="n">
        <f aca="true">CRITBINOM(D480,Coefficients!$B$30,RAND())</f>
        <v>0</v>
      </c>
      <c r="F480" s="0" t="n">
        <f aca="true">CRITBINOM(E480,Coefficients!$B$31,RAND())</f>
        <v>0</v>
      </c>
      <c r="G480" s="0" t="n">
        <f aca="true">CRITBINOM(MAX(0,D480-E480),1-Coefficients!$B$32,RAND())</f>
        <v>0</v>
      </c>
      <c r="H480" s="0" t="n">
        <f aca="true">CRITBINOM(MAX(0,$C480-D480),MIN(0.6,Matchup!$B$40*SQRT($B480)/(1-MIN(0.75,Matchup!$B$39*$B480))),RAND())</f>
        <v>1</v>
      </c>
      <c r="I480" s="0" t="n">
        <f aca="false">6*D480+(D480-E480-G480)+2*F480+3*H480</f>
        <v>17</v>
      </c>
      <c r="J480" s="0" t="n">
        <f aca="true">CRITBINOM($C480,MIN(0.75,Matchup!$C$39*$B480),RAND())</f>
        <v>4</v>
      </c>
      <c r="K480" s="0" t="n">
        <f aca="true">CRITBINOM(J480,Coefficients!$B$30,RAND())</f>
        <v>0</v>
      </c>
      <c r="L480" s="0" t="n">
        <f aca="true">CRITBINOM(K480,Coefficients!$B$31,RAND())</f>
        <v>0</v>
      </c>
      <c r="M480" s="0" t="n">
        <f aca="true">CRITBINOM(MAX(0,J480-K480),1-Coefficients!$B$32,RAND())</f>
        <v>0</v>
      </c>
      <c r="N480" s="0" t="n">
        <f aca="true">CRITBINOM(MAX(0,$C480-J480),MIN(0.6,Matchup!$C$40*SQRT($B480)/(1-MIN(0.75,Matchup!$C$39*$B480))),RAND())</f>
        <v>1</v>
      </c>
      <c r="O480" s="0" t="n">
        <f aca="false">6*J480+(J480-K480-M480)+2*L480+3*N480</f>
        <v>31</v>
      </c>
      <c r="P480" s="0" t="n">
        <f aca="true">RAND()</f>
        <v>0.220485134340021</v>
      </c>
      <c r="Q480" s="0" t="n">
        <f aca="true">RAND()</f>
        <v>0.178648353157847</v>
      </c>
      <c r="R480" s="0" t="n">
        <f aca="false">IF($I480&lt;&gt;$O480,0,IF(P480&lt;Matchup!$B$39,7,IF(P480&lt;Matchup!$B$39+Matchup!$B$40,3,0)))</f>
        <v>0</v>
      </c>
      <c r="S480" s="0" t="n">
        <f aca="false">IF($I480&lt;&gt;$O480,0,IF(Q480&lt;Matchup!$C$39,7,IF(Q480&lt;Matchup!$C$39+Matchup!$C$40,3,0)))</f>
        <v>0</v>
      </c>
      <c r="T480" s="0" t="n">
        <f aca="false">I480+R480</f>
        <v>17</v>
      </c>
      <c r="U480" s="0" t="n">
        <f aca="false">O480+S480</f>
        <v>31</v>
      </c>
      <c r="V480" s="0" t="n">
        <f aca="false">T480-U480</f>
        <v>-14</v>
      </c>
      <c r="W480" s="0" t="n">
        <f aca="false">T480+U480</f>
        <v>48</v>
      </c>
    </row>
    <row r="481" customFormat="false" ht="15" hidden="false" customHeight="false" outlineLevel="0" collapsed="false">
      <c r="A481" s="0" t="n">
        <v>478</v>
      </c>
      <c r="B481" s="0" t="n">
        <f aca="true">NORMINV(RAND(),1,Coefficients!$B$22)</f>
        <v>1.05934122949013</v>
      </c>
      <c r="C481" s="0" t="n">
        <f aca="true">MEDIAN(8,16,ROUND(NORMINV(RAND(),Coefficients!$B$20,Coefficients!$B$21),0))</f>
        <v>11</v>
      </c>
      <c r="D481" s="0" t="n">
        <f aca="true">CRITBINOM($C481,MIN(0.75,Matchup!$B$39*$B481),RAND())</f>
        <v>3</v>
      </c>
      <c r="E481" s="0" t="n">
        <f aca="true">CRITBINOM(D481,Coefficients!$B$30,RAND())</f>
        <v>1</v>
      </c>
      <c r="F481" s="0" t="n">
        <f aca="true">CRITBINOM(E481,Coefficients!$B$31,RAND())</f>
        <v>0</v>
      </c>
      <c r="G481" s="0" t="n">
        <f aca="true">CRITBINOM(MAX(0,D481-E481),1-Coefficients!$B$32,RAND())</f>
        <v>0</v>
      </c>
      <c r="H481" s="0" t="n">
        <f aca="true">CRITBINOM(MAX(0,$C481-D481),MIN(0.6,Matchup!$B$40*SQRT($B481)/(1-MIN(0.75,Matchup!$B$39*$B481))),RAND())</f>
        <v>1</v>
      </c>
      <c r="I481" s="0" t="n">
        <f aca="false">6*D481+(D481-E481-G481)+2*F481+3*H481</f>
        <v>23</v>
      </c>
      <c r="J481" s="0" t="n">
        <f aca="true">CRITBINOM($C481,MIN(0.75,Matchup!$C$39*$B481),RAND())</f>
        <v>4</v>
      </c>
      <c r="K481" s="0" t="n">
        <f aca="true">CRITBINOM(J481,Coefficients!$B$30,RAND())</f>
        <v>0</v>
      </c>
      <c r="L481" s="0" t="n">
        <f aca="true">CRITBINOM(K481,Coefficients!$B$31,RAND())</f>
        <v>0</v>
      </c>
      <c r="M481" s="0" t="n">
        <f aca="true">CRITBINOM(MAX(0,J481-K481),1-Coefficients!$B$32,RAND())</f>
        <v>0</v>
      </c>
      <c r="N481" s="0" t="n">
        <f aca="true">CRITBINOM(MAX(0,$C481-J481),MIN(0.6,Matchup!$C$40*SQRT($B481)/(1-MIN(0.75,Matchup!$C$39*$B481))),RAND())</f>
        <v>0</v>
      </c>
      <c r="O481" s="0" t="n">
        <f aca="false">6*J481+(J481-K481-M481)+2*L481+3*N481</f>
        <v>28</v>
      </c>
      <c r="P481" s="0" t="n">
        <f aca="true">RAND()</f>
        <v>0.838058051733707</v>
      </c>
      <c r="Q481" s="0" t="n">
        <f aca="true">RAND()</f>
        <v>0.286479116909576</v>
      </c>
      <c r="R481" s="0" t="n">
        <f aca="false">IF($I481&lt;&gt;$O481,0,IF(P481&lt;Matchup!$B$39,7,IF(P481&lt;Matchup!$B$39+Matchup!$B$40,3,0)))</f>
        <v>0</v>
      </c>
      <c r="S481" s="0" t="n">
        <f aca="false">IF($I481&lt;&gt;$O481,0,IF(Q481&lt;Matchup!$C$39,7,IF(Q481&lt;Matchup!$C$39+Matchup!$C$40,3,0)))</f>
        <v>0</v>
      </c>
      <c r="T481" s="0" t="n">
        <f aca="false">I481+R481</f>
        <v>23</v>
      </c>
      <c r="U481" s="0" t="n">
        <f aca="false">O481+S481</f>
        <v>28</v>
      </c>
      <c r="V481" s="0" t="n">
        <f aca="false">T481-U481</f>
        <v>-5</v>
      </c>
      <c r="W481" s="0" t="n">
        <f aca="false">T481+U481</f>
        <v>51</v>
      </c>
    </row>
    <row r="482" customFormat="false" ht="15" hidden="false" customHeight="false" outlineLevel="0" collapsed="false">
      <c r="A482" s="0" t="n">
        <v>479</v>
      </c>
      <c r="B482" s="0" t="n">
        <f aca="true">NORMINV(RAND(),1,Coefficients!$B$22)</f>
        <v>1.04606228077563</v>
      </c>
      <c r="C482" s="0" t="n">
        <f aca="true">MEDIAN(8,16,ROUND(NORMINV(RAND(),Coefficients!$B$20,Coefficients!$B$21),0))</f>
        <v>12</v>
      </c>
      <c r="D482" s="0" t="n">
        <f aca="true">CRITBINOM($C482,MIN(0.75,Matchup!$B$39*$B482),RAND())</f>
        <v>2</v>
      </c>
      <c r="E482" s="0" t="n">
        <f aca="true">CRITBINOM(D482,Coefficients!$B$30,RAND())</f>
        <v>1</v>
      </c>
      <c r="F482" s="0" t="n">
        <f aca="true">CRITBINOM(E482,Coefficients!$B$31,RAND())</f>
        <v>0</v>
      </c>
      <c r="G482" s="0" t="n">
        <f aca="true">CRITBINOM(MAX(0,D482-E482),1-Coefficients!$B$32,RAND())</f>
        <v>0</v>
      </c>
      <c r="H482" s="0" t="n">
        <f aca="true">CRITBINOM(MAX(0,$C482-D482),MIN(0.6,Matchup!$B$40*SQRT($B482)/(1-MIN(0.75,Matchup!$B$39*$B482))),RAND())</f>
        <v>3</v>
      </c>
      <c r="I482" s="0" t="n">
        <f aca="false">6*D482+(D482-E482-G482)+2*F482+3*H482</f>
        <v>22</v>
      </c>
      <c r="J482" s="0" t="n">
        <f aca="true">CRITBINOM($C482,MIN(0.75,Matchup!$C$39*$B482),RAND())</f>
        <v>3</v>
      </c>
      <c r="K482" s="0" t="n">
        <f aca="true">CRITBINOM(J482,Coefficients!$B$30,RAND())</f>
        <v>1</v>
      </c>
      <c r="L482" s="0" t="n">
        <f aca="true">CRITBINOM(K482,Coefficients!$B$31,RAND())</f>
        <v>1</v>
      </c>
      <c r="M482" s="0" t="n">
        <f aca="true">CRITBINOM(MAX(0,J482-K482),1-Coefficients!$B$32,RAND())</f>
        <v>0</v>
      </c>
      <c r="N482" s="0" t="n">
        <f aca="true">CRITBINOM(MAX(0,$C482-J482),MIN(0.6,Matchup!$C$40*SQRT($B482)/(1-MIN(0.75,Matchup!$C$39*$B482))),RAND())</f>
        <v>1</v>
      </c>
      <c r="O482" s="0" t="n">
        <f aca="false">6*J482+(J482-K482-M482)+2*L482+3*N482</f>
        <v>25</v>
      </c>
      <c r="P482" s="0" t="n">
        <f aca="true">RAND()</f>
        <v>0.612327275616815</v>
      </c>
      <c r="Q482" s="0" t="n">
        <f aca="true">RAND()</f>
        <v>0.476378968449174</v>
      </c>
      <c r="R482" s="0" t="n">
        <f aca="false">IF($I482&lt;&gt;$O482,0,IF(P482&lt;Matchup!$B$39,7,IF(P482&lt;Matchup!$B$39+Matchup!$B$40,3,0)))</f>
        <v>0</v>
      </c>
      <c r="S482" s="0" t="n">
        <f aca="false">IF($I482&lt;&gt;$O482,0,IF(Q482&lt;Matchup!$C$39,7,IF(Q482&lt;Matchup!$C$39+Matchup!$C$40,3,0)))</f>
        <v>0</v>
      </c>
      <c r="T482" s="0" t="n">
        <f aca="false">I482+R482</f>
        <v>22</v>
      </c>
      <c r="U482" s="0" t="n">
        <f aca="false">O482+S482</f>
        <v>25</v>
      </c>
      <c r="V482" s="0" t="n">
        <f aca="false">T482-U482</f>
        <v>-3</v>
      </c>
      <c r="W482" s="0" t="n">
        <f aca="false">T482+U482</f>
        <v>47</v>
      </c>
    </row>
    <row r="483" customFormat="false" ht="15" hidden="false" customHeight="false" outlineLevel="0" collapsed="false">
      <c r="A483" s="0" t="n">
        <v>480</v>
      </c>
      <c r="B483" s="0" t="n">
        <f aca="true">NORMINV(RAND(),1,Coefficients!$B$22)</f>
        <v>0.970595598461185</v>
      </c>
      <c r="C483" s="0" t="n">
        <f aca="true">MEDIAN(8,16,ROUND(NORMINV(RAND(),Coefficients!$B$20,Coefficients!$B$21),0))</f>
        <v>10</v>
      </c>
      <c r="D483" s="0" t="n">
        <f aca="true">CRITBINOM($C483,MIN(0.75,Matchup!$B$39*$B483),RAND())</f>
        <v>1</v>
      </c>
      <c r="E483" s="0" t="n">
        <f aca="true">CRITBINOM(D483,Coefficients!$B$30,RAND())</f>
        <v>0</v>
      </c>
      <c r="F483" s="0" t="n">
        <f aca="true">CRITBINOM(E483,Coefficients!$B$31,RAND())</f>
        <v>0</v>
      </c>
      <c r="G483" s="0" t="n">
        <f aca="true">CRITBINOM(MAX(0,D483-E483),1-Coefficients!$B$32,RAND())</f>
        <v>1</v>
      </c>
      <c r="H483" s="0" t="n">
        <f aca="true">CRITBINOM(MAX(0,$C483-D483),MIN(0.6,Matchup!$B$40*SQRT($B483)/(1-MIN(0.75,Matchup!$B$39*$B483))),RAND())</f>
        <v>3</v>
      </c>
      <c r="I483" s="0" t="n">
        <f aca="false">6*D483+(D483-E483-G483)+2*F483+3*H483</f>
        <v>15</v>
      </c>
      <c r="J483" s="0" t="n">
        <f aca="true">CRITBINOM($C483,MIN(0.75,Matchup!$C$39*$B483),RAND())</f>
        <v>3</v>
      </c>
      <c r="K483" s="0" t="n">
        <f aca="true">CRITBINOM(J483,Coefficients!$B$30,RAND())</f>
        <v>1</v>
      </c>
      <c r="L483" s="0" t="n">
        <f aca="true">CRITBINOM(K483,Coefficients!$B$31,RAND())</f>
        <v>1</v>
      </c>
      <c r="M483" s="0" t="n">
        <f aca="true">CRITBINOM(MAX(0,J483-K483),1-Coefficients!$B$32,RAND())</f>
        <v>0</v>
      </c>
      <c r="N483" s="0" t="n">
        <f aca="true">CRITBINOM(MAX(0,$C483-J483),MIN(0.6,Matchup!$C$40*SQRT($B483)/(1-MIN(0.75,Matchup!$C$39*$B483))),RAND())</f>
        <v>1</v>
      </c>
      <c r="O483" s="0" t="n">
        <f aca="false">6*J483+(J483-K483-M483)+2*L483+3*N483</f>
        <v>25</v>
      </c>
      <c r="P483" s="0" t="n">
        <f aca="true">RAND()</f>
        <v>0.821707863004744</v>
      </c>
      <c r="Q483" s="0" t="n">
        <f aca="true">RAND()</f>
        <v>0.900493778718507</v>
      </c>
      <c r="R483" s="0" t="n">
        <f aca="false">IF($I483&lt;&gt;$O483,0,IF(P483&lt;Matchup!$B$39,7,IF(P483&lt;Matchup!$B$39+Matchup!$B$40,3,0)))</f>
        <v>0</v>
      </c>
      <c r="S483" s="0" t="n">
        <f aca="false">IF($I483&lt;&gt;$O483,0,IF(Q483&lt;Matchup!$C$39,7,IF(Q483&lt;Matchup!$C$39+Matchup!$C$40,3,0)))</f>
        <v>0</v>
      </c>
      <c r="T483" s="0" t="n">
        <f aca="false">I483+R483</f>
        <v>15</v>
      </c>
      <c r="U483" s="0" t="n">
        <f aca="false">O483+S483</f>
        <v>25</v>
      </c>
      <c r="V483" s="0" t="n">
        <f aca="false">T483-U483</f>
        <v>-10</v>
      </c>
      <c r="W483" s="0" t="n">
        <f aca="false">T483+U483</f>
        <v>40</v>
      </c>
    </row>
    <row r="484" customFormat="false" ht="15" hidden="false" customHeight="false" outlineLevel="0" collapsed="false">
      <c r="A484" s="0" t="n">
        <v>481</v>
      </c>
      <c r="B484" s="0" t="n">
        <f aca="true">NORMINV(RAND(),1,Coefficients!$B$22)</f>
        <v>0.846558543697185</v>
      </c>
      <c r="C484" s="0" t="n">
        <f aca="true">MEDIAN(8,16,ROUND(NORMINV(RAND(),Coefficients!$B$20,Coefficients!$B$21),0))</f>
        <v>9</v>
      </c>
      <c r="D484" s="0" t="n">
        <f aca="true">CRITBINOM($C484,MIN(0.75,Matchup!$B$39*$B484),RAND())</f>
        <v>3</v>
      </c>
      <c r="E484" s="0" t="n">
        <f aca="true">CRITBINOM(D484,Coefficients!$B$30,RAND())</f>
        <v>0</v>
      </c>
      <c r="F484" s="0" t="n">
        <f aca="true">CRITBINOM(E484,Coefficients!$B$31,RAND())</f>
        <v>0</v>
      </c>
      <c r="G484" s="0" t="n">
        <f aca="true">CRITBINOM(MAX(0,D484-E484),1-Coefficients!$B$32,RAND())</f>
        <v>0</v>
      </c>
      <c r="H484" s="0" t="n">
        <f aca="true">CRITBINOM(MAX(0,$C484-D484),MIN(0.6,Matchup!$B$40*SQRT($B484)/(1-MIN(0.75,Matchup!$B$39*$B484))),RAND())</f>
        <v>0</v>
      </c>
      <c r="I484" s="0" t="n">
        <f aca="false">6*D484+(D484-E484-G484)+2*F484+3*H484</f>
        <v>21</v>
      </c>
      <c r="J484" s="0" t="n">
        <f aca="true">CRITBINOM($C484,MIN(0.75,Matchup!$C$39*$B484),RAND())</f>
        <v>2</v>
      </c>
      <c r="K484" s="0" t="n">
        <f aca="true">CRITBINOM(J484,Coefficients!$B$30,RAND())</f>
        <v>0</v>
      </c>
      <c r="L484" s="0" t="n">
        <f aca="true">CRITBINOM(K484,Coefficients!$B$31,RAND())</f>
        <v>0</v>
      </c>
      <c r="M484" s="0" t="n">
        <f aca="true">CRITBINOM(MAX(0,J484-K484),1-Coefficients!$B$32,RAND())</f>
        <v>0</v>
      </c>
      <c r="N484" s="0" t="n">
        <f aca="true">CRITBINOM(MAX(0,$C484-J484),MIN(0.6,Matchup!$C$40*SQRT($B484)/(1-MIN(0.75,Matchup!$C$39*$B484))),RAND())</f>
        <v>0</v>
      </c>
      <c r="O484" s="0" t="n">
        <f aca="false">6*J484+(J484-K484-M484)+2*L484+3*N484</f>
        <v>14</v>
      </c>
      <c r="P484" s="0" t="n">
        <f aca="true">RAND()</f>
        <v>0.907102281662593</v>
      </c>
      <c r="Q484" s="0" t="n">
        <f aca="true">RAND()</f>
        <v>0.839892695732789</v>
      </c>
      <c r="R484" s="0" t="n">
        <f aca="false">IF($I484&lt;&gt;$O484,0,IF(P484&lt;Matchup!$B$39,7,IF(P484&lt;Matchup!$B$39+Matchup!$B$40,3,0)))</f>
        <v>0</v>
      </c>
      <c r="S484" s="0" t="n">
        <f aca="false">IF($I484&lt;&gt;$O484,0,IF(Q484&lt;Matchup!$C$39,7,IF(Q484&lt;Matchup!$C$39+Matchup!$C$40,3,0)))</f>
        <v>0</v>
      </c>
      <c r="T484" s="0" t="n">
        <f aca="false">I484+R484</f>
        <v>21</v>
      </c>
      <c r="U484" s="0" t="n">
        <f aca="false">O484+S484</f>
        <v>14</v>
      </c>
      <c r="V484" s="0" t="n">
        <f aca="false">T484-U484</f>
        <v>7</v>
      </c>
      <c r="W484" s="0" t="n">
        <f aca="false">T484+U484</f>
        <v>35</v>
      </c>
    </row>
    <row r="485" customFormat="false" ht="15" hidden="false" customHeight="false" outlineLevel="0" collapsed="false">
      <c r="A485" s="0" t="n">
        <v>482</v>
      </c>
      <c r="B485" s="0" t="n">
        <f aca="true">NORMINV(RAND(),1,Coefficients!$B$22)</f>
        <v>0.990516717999035</v>
      </c>
      <c r="C485" s="0" t="n">
        <f aca="true">MEDIAN(8,16,ROUND(NORMINV(RAND(),Coefficients!$B$20,Coefficients!$B$21),0))</f>
        <v>12</v>
      </c>
      <c r="D485" s="0" t="n">
        <f aca="true">CRITBINOM($C485,MIN(0.75,Matchup!$B$39*$B485),RAND())</f>
        <v>1</v>
      </c>
      <c r="E485" s="0" t="n">
        <f aca="true">CRITBINOM(D485,Coefficients!$B$30,RAND())</f>
        <v>0</v>
      </c>
      <c r="F485" s="0" t="n">
        <f aca="true">CRITBINOM(E485,Coefficients!$B$31,RAND())</f>
        <v>0</v>
      </c>
      <c r="G485" s="0" t="n">
        <f aca="true">CRITBINOM(MAX(0,D485-E485),1-Coefficients!$B$32,RAND())</f>
        <v>0</v>
      </c>
      <c r="H485" s="0" t="n">
        <f aca="true">CRITBINOM(MAX(0,$C485-D485),MIN(0.6,Matchup!$B$40*SQRT($B485)/(1-MIN(0.75,Matchup!$B$39*$B485))),RAND())</f>
        <v>1</v>
      </c>
      <c r="I485" s="0" t="n">
        <f aca="false">6*D485+(D485-E485-G485)+2*F485+3*H485</f>
        <v>10</v>
      </c>
      <c r="J485" s="0" t="n">
        <f aca="true">CRITBINOM($C485,MIN(0.75,Matchup!$C$39*$B485),RAND())</f>
        <v>0</v>
      </c>
      <c r="K485" s="0" t="n">
        <f aca="true">CRITBINOM(J485,Coefficients!$B$30,RAND())</f>
        <v>0</v>
      </c>
      <c r="L485" s="0" t="n">
        <f aca="true">CRITBINOM(K485,Coefficients!$B$31,RAND())</f>
        <v>0</v>
      </c>
      <c r="M485" s="0" t="n">
        <f aca="true">CRITBINOM(MAX(0,J485-K485),1-Coefficients!$B$32,RAND())</f>
        <v>0</v>
      </c>
      <c r="N485" s="0" t="n">
        <f aca="true">CRITBINOM(MAX(0,$C485-J485),MIN(0.6,Matchup!$C$40*SQRT($B485)/(1-MIN(0.75,Matchup!$C$39*$B485))),RAND())</f>
        <v>1</v>
      </c>
      <c r="O485" s="0" t="n">
        <f aca="false">6*J485+(J485-K485-M485)+2*L485+3*N485</f>
        <v>3</v>
      </c>
      <c r="P485" s="0" t="n">
        <f aca="true">RAND()</f>
        <v>0.143781580309399</v>
      </c>
      <c r="Q485" s="0" t="n">
        <f aca="true">RAND()</f>
        <v>0.00573960827241082</v>
      </c>
      <c r="R485" s="0" t="n">
        <f aca="false">IF($I485&lt;&gt;$O485,0,IF(P485&lt;Matchup!$B$39,7,IF(P485&lt;Matchup!$B$39+Matchup!$B$40,3,0)))</f>
        <v>0</v>
      </c>
      <c r="S485" s="0" t="n">
        <f aca="false">IF($I485&lt;&gt;$O485,0,IF(Q485&lt;Matchup!$C$39,7,IF(Q485&lt;Matchup!$C$39+Matchup!$C$40,3,0)))</f>
        <v>0</v>
      </c>
      <c r="T485" s="0" t="n">
        <f aca="false">I485+R485</f>
        <v>10</v>
      </c>
      <c r="U485" s="0" t="n">
        <f aca="false">O485+S485</f>
        <v>3</v>
      </c>
      <c r="V485" s="0" t="n">
        <f aca="false">T485-U485</f>
        <v>7</v>
      </c>
      <c r="W485" s="0" t="n">
        <f aca="false">T485+U485</f>
        <v>13</v>
      </c>
    </row>
    <row r="486" customFormat="false" ht="15" hidden="false" customHeight="false" outlineLevel="0" collapsed="false">
      <c r="A486" s="0" t="n">
        <v>483</v>
      </c>
      <c r="B486" s="0" t="n">
        <f aca="true">NORMINV(RAND(),1,Coefficients!$B$22)</f>
        <v>1.08737383682784</v>
      </c>
      <c r="C486" s="0" t="n">
        <f aca="true">MEDIAN(8,16,ROUND(NORMINV(RAND(),Coefficients!$B$20,Coefficients!$B$21),0))</f>
        <v>12</v>
      </c>
      <c r="D486" s="0" t="n">
        <f aca="true">CRITBINOM($C486,MIN(0.75,Matchup!$B$39*$B486),RAND())</f>
        <v>3</v>
      </c>
      <c r="E486" s="0" t="n">
        <f aca="true">CRITBINOM(D486,Coefficients!$B$30,RAND())</f>
        <v>1</v>
      </c>
      <c r="F486" s="0" t="n">
        <f aca="true">CRITBINOM(E486,Coefficients!$B$31,RAND())</f>
        <v>1</v>
      </c>
      <c r="G486" s="0" t="n">
        <f aca="true">CRITBINOM(MAX(0,D486-E486),1-Coefficients!$B$32,RAND())</f>
        <v>0</v>
      </c>
      <c r="H486" s="0" t="n">
        <f aca="true">CRITBINOM(MAX(0,$C486-D486),MIN(0.6,Matchup!$B$40*SQRT($B486)/(1-MIN(0.75,Matchup!$B$39*$B486))),RAND())</f>
        <v>5</v>
      </c>
      <c r="I486" s="0" t="n">
        <f aca="false">6*D486+(D486-E486-G486)+2*F486+3*H486</f>
        <v>37</v>
      </c>
      <c r="J486" s="0" t="n">
        <f aca="true">CRITBINOM($C486,MIN(0.75,Matchup!$C$39*$B486),RAND())</f>
        <v>2</v>
      </c>
      <c r="K486" s="0" t="n">
        <f aca="true">CRITBINOM(J486,Coefficients!$B$30,RAND())</f>
        <v>0</v>
      </c>
      <c r="L486" s="0" t="n">
        <f aca="true">CRITBINOM(K486,Coefficients!$B$31,RAND())</f>
        <v>0</v>
      </c>
      <c r="M486" s="0" t="n">
        <f aca="true">CRITBINOM(MAX(0,J486-K486),1-Coefficients!$B$32,RAND())</f>
        <v>0</v>
      </c>
      <c r="N486" s="0" t="n">
        <f aca="true">CRITBINOM(MAX(0,$C486-J486),MIN(0.6,Matchup!$C$40*SQRT($B486)/(1-MIN(0.75,Matchup!$C$39*$B486))),RAND())</f>
        <v>1</v>
      </c>
      <c r="O486" s="0" t="n">
        <f aca="false">6*J486+(J486-K486-M486)+2*L486+3*N486</f>
        <v>17</v>
      </c>
      <c r="P486" s="0" t="n">
        <f aca="true">RAND()</f>
        <v>0.998738483239347</v>
      </c>
      <c r="Q486" s="0" t="n">
        <f aca="true">RAND()</f>
        <v>0.283396056626262</v>
      </c>
      <c r="R486" s="0" t="n">
        <f aca="false">IF($I486&lt;&gt;$O486,0,IF(P486&lt;Matchup!$B$39,7,IF(P486&lt;Matchup!$B$39+Matchup!$B$40,3,0)))</f>
        <v>0</v>
      </c>
      <c r="S486" s="0" t="n">
        <f aca="false">IF($I486&lt;&gt;$O486,0,IF(Q486&lt;Matchup!$C$39,7,IF(Q486&lt;Matchup!$C$39+Matchup!$C$40,3,0)))</f>
        <v>0</v>
      </c>
      <c r="T486" s="0" t="n">
        <f aca="false">I486+R486</f>
        <v>37</v>
      </c>
      <c r="U486" s="0" t="n">
        <f aca="false">O486+S486</f>
        <v>17</v>
      </c>
      <c r="V486" s="0" t="n">
        <f aca="false">T486-U486</f>
        <v>20</v>
      </c>
      <c r="W486" s="0" t="n">
        <f aca="false">T486+U486</f>
        <v>54</v>
      </c>
    </row>
    <row r="487" customFormat="false" ht="15" hidden="false" customHeight="false" outlineLevel="0" collapsed="false">
      <c r="A487" s="0" t="n">
        <v>484</v>
      </c>
      <c r="B487" s="0" t="n">
        <f aca="true">NORMINV(RAND(),1,Coefficients!$B$22)</f>
        <v>1.05081472190261</v>
      </c>
      <c r="C487" s="0" t="n">
        <f aca="true">MEDIAN(8,16,ROUND(NORMINV(RAND(),Coefficients!$B$20,Coefficients!$B$21),0))</f>
        <v>11</v>
      </c>
      <c r="D487" s="0" t="n">
        <f aca="true">CRITBINOM($C487,MIN(0.75,Matchup!$B$39*$B487),RAND())</f>
        <v>3</v>
      </c>
      <c r="E487" s="0" t="n">
        <f aca="true">CRITBINOM(D487,Coefficients!$B$30,RAND())</f>
        <v>0</v>
      </c>
      <c r="F487" s="0" t="n">
        <f aca="true">CRITBINOM(E487,Coefficients!$B$31,RAND())</f>
        <v>0</v>
      </c>
      <c r="G487" s="0" t="n">
        <f aca="true">CRITBINOM(MAX(0,D487-E487),1-Coefficients!$B$32,RAND())</f>
        <v>0</v>
      </c>
      <c r="H487" s="0" t="n">
        <f aca="true">CRITBINOM(MAX(0,$C487-D487),MIN(0.6,Matchup!$B$40*SQRT($B487)/(1-MIN(0.75,Matchup!$B$39*$B487))),RAND())</f>
        <v>0</v>
      </c>
      <c r="I487" s="0" t="n">
        <f aca="false">6*D487+(D487-E487-G487)+2*F487+3*H487</f>
        <v>21</v>
      </c>
      <c r="J487" s="0" t="n">
        <f aca="true">CRITBINOM($C487,MIN(0.75,Matchup!$C$39*$B487),RAND())</f>
        <v>3</v>
      </c>
      <c r="K487" s="0" t="n">
        <f aca="true">CRITBINOM(J487,Coefficients!$B$30,RAND())</f>
        <v>0</v>
      </c>
      <c r="L487" s="0" t="n">
        <f aca="true">CRITBINOM(K487,Coefficients!$B$31,RAND())</f>
        <v>0</v>
      </c>
      <c r="M487" s="0" t="n">
        <f aca="true">CRITBINOM(MAX(0,J487-K487),1-Coefficients!$B$32,RAND())</f>
        <v>0</v>
      </c>
      <c r="N487" s="0" t="n">
        <f aca="true">CRITBINOM(MAX(0,$C487-J487),MIN(0.6,Matchup!$C$40*SQRT($B487)/(1-MIN(0.75,Matchup!$C$39*$B487))),RAND())</f>
        <v>1</v>
      </c>
      <c r="O487" s="0" t="n">
        <f aca="false">6*J487+(J487-K487-M487)+2*L487+3*N487</f>
        <v>24</v>
      </c>
      <c r="P487" s="0" t="n">
        <f aca="true">RAND()</f>
        <v>0.374603655719508</v>
      </c>
      <c r="Q487" s="0" t="n">
        <f aca="true">RAND()</f>
        <v>0.160260082194289</v>
      </c>
      <c r="R487" s="0" t="n">
        <f aca="false">IF($I487&lt;&gt;$O487,0,IF(P487&lt;Matchup!$B$39,7,IF(P487&lt;Matchup!$B$39+Matchup!$B$40,3,0)))</f>
        <v>0</v>
      </c>
      <c r="S487" s="0" t="n">
        <f aca="false">IF($I487&lt;&gt;$O487,0,IF(Q487&lt;Matchup!$C$39,7,IF(Q487&lt;Matchup!$C$39+Matchup!$C$40,3,0)))</f>
        <v>0</v>
      </c>
      <c r="T487" s="0" t="n">
        <f aca="false">I487+R487</f>
        <v>21</v>
      </c>
      <c r="U487" s="0" t="n">
        <f aca="false">O487+S487</f>
        <v>24</v>
      </c>
      <c r="V487" s="0" t="n">
        <f aca="false">T487-U487</f>
        <v>-3</v>
      </c>
      <c r="W487" s="0" t="n">
        <f aca="false">T487+U487</f>
        <v>45</v>
      </c>
    </row>
    <row r="488" customFormat="false" ht="15" hidden="false" customHeight="false" outlineLevel="0" collapsed="false">
      <c r="A488" s="0" t="n">
        <v>485</v>
      </c>
      <c r="B488" s="0" t="n">
        <f aca="true">NORMINV(RAND(),1,Coefficients!$B$22)</f>
        <v>1.11771901180818</v>
      </c>
      <c r="C488" s="0" t="n">
        <f aca="true">MEDIAN(8,16,ROUND(NORMINV(RAND(),Coefficients!$B$20,Coefficients!$B$21),0))</f>
        <v>9</v>
      </c>
      <c r="D488" s="0" t="n">
        <f aca="true">CRITBINOM($C488,MIN(0.75,Matchup!$B$39*$B488),RAND())</f>
        <v>2</v>
      </c>
      <c r="E488" s="0" t="n">
        <f aca="true">CRITBINOM(D488,Coefficients!$B$30,RAND())</f>
        <v>0</v>
      </c>
      <c r="F488" s="0" t="n">
        <f aca="true">CRITBINOM(E488,Coefficients!$B$31,RAND())</f>
        <v>0</v>
      </c>
      <c r="G488" s="0" t="n">
        <f aca="true">CRITBINOM(MAX(0,D488-E488),1-Coefficients!$B$32,RAND())</f>
        <v>0</v>
      </c>
      <c r="H488" s="0" t="n">
        <f aca="true">CRITBINOM(MAX(0,$C488-D488),MIN(0.6,Matchup!$B$40*SQRT($B488)/(1-MIN(0.75,Matchup!$B$39*$B488))),RAND())</f>
        <v>1</v>
      </c>
      <c r="I488" s="0" t="n">
        <f aca="false">6*D488+(D488-E488-G488)+2*F488+3*H488</f>
        <v>17</v>
      </c>
      <c r="J488" s="0" t="n">
        <f aca="true">CRITBINOM($C488,MIN(0.75,Matchup!$C$39*$B488),RAND())</f>
        <v>3</v>
      </c>
      <c r="K488" s="0" t="n">
        <f aca="true">CRITBINOM(J488,Coefficients!$B$30,RAND())</f>
        <v>1</v>
      </c>
      <c r="L488" s="0" t="n">
        <f aca="true">CRITBINOM(K488,Coefficients!$B$31,RAND())</f>
        <v>1</v>
      </c>
      <c r="M488" s="0" t="n">
        <f aca="true">CRITBINOM(MAX(0,J488-K488),1-Coefficients!$B$32,RAND())</f>
        <v>0</v>
      </c>
      <c r="N488" s="0" t="n">
        <f aca="true">CRITBINOM(MAX(0,$C488-J488),MIN(0.6,Matchup!$C$40*SQRT($B488)/(1-MIN(0.75,Matchup!$C$39*$B488))),RAND())</f>
        <v>2</v>
      </c>
      <c r="O488" s="0" t="n">
        <f aca="false">6*J488+(J488-K488-M488)+2*L488+3*N488</f>
        <v>28</v>
      </c>
      <c r="P488" s="0" t="n">
        <f aca="true">RAND()</f>
        <v>0.749749532877034</v>
      </c>
      <c r="Q488" s="0" t="n">
        <f aca="true">RAND()</f>
        <v>0.8000529118903</v>
      </c>
      <c r="R488" s="0" t="n">
        <f aca="false">IF($I488&lt;&gt;$O488,0,IF(P488&lt;Matchup!$B$39,7,IF(P488&lt;Matchup!$B$39+Matchup!$B$40,3,0)))</f>
        <v>0</v>
      </c>
      <c r="S488" s="0" t="n">
        <f aca="false">IF($I488&lt;&gt;$O488,0,IF(Q488&lt;Matchup!$C$39,7,IF(Q488&lt;Matchup!$C$39+Matchup!$C$40,3,0)))</f>
        <v>0</v>
      </c>
      <c r="T488" s="0" t="n">
        <f aca="false">I488+R488</f>
        <v>17</v>
      </c>
      <c r="U488" s="0" t="n">
        <f aca="false">O488+S488</f>
        <v>28</v>
      </c>
      <c r="V488" s="0" t="n">
        <f aca="false">T488-U488</f>
        <v>-11</v>
      </c>
      <c r="W488" s="0" t="n">
        <f aca="false">T488+U488</f>
        <v>45</v>
      </c>
    </row>
    <row r="489" customFormat="false" ht="15" hidden="false" customHeight="false" outlineLevel="0" collapsed="false">
      <c r="A489" s="0" t="n">
        <v>486</v>
      </c>
      <c r="B489" s="0" t="n">
        <f aca="true">NORMINV(RAND(),1,Coefficients!$B$22)</f>
        <v>0.999398926856031</v>
      </c>
      <c r="C489" s="0" t="n">
        <f aca="true">MEDIAN(8,16,ROUND(NORMINV(RAND(),Coefficients!$B$20,Coefficients!$B$21),0))</f>
        <v>8</v>
      </c>
      <c r="D489" s="0" t="n">
        <f aca="true">CRITBINOM($C489,MIN(0.75,Matchup!$B$39*$B489),RAND())</f>
        <v>1</v>
      </c>
      <c r="E489" s="0" t="n">
        <f aca="true">CRITBINOM(D489,Coefficients!$B$30,RAND())</f>
        <v>0</v>
      </c>
      <c r="F489" s="0" t="n">
        <f aca="true">CRITBINOM(E489,Coefficients!$B$31,RAND())</f>
        <v>0</v>
      </c>
      <c r="G489" s="0" t="n">
        <f aca="true">CRITBINOM(MAX(0,D489-E489),1-Coefficients!$B$32,RAND())</f>
        <v>0</v>
      </c>
      <c r="H489" s="0" t="n">
        <f aca="true">CRITBINOM(MAX(0,$C489-D489),MIN(0.6,Matchup!$B$40*SQRT($B489)/(1-MIN(0.75,Matchup!$B$39*$B489))),RAND())</f>
        <v>1</v>
      </c>
      <c r="I489" s="0" t="n">
        <f aca="false">6*D489+(D489-E489-G489)+2*F489+3*H489</f>
        <v>10</v>
      </c>
      <c r="J489" s="0" t="n">
        <f aca="true">CRITBINOM($C489,MIN(0.75,Matchup!$C$39*$B489),RAND())</f>
        <v>3</v>
      </c>
      <c r="K489" s="0" t="n">
        <f aca="true">CRITBINOM(J489,Coefficients!$B$30,RAND())</f>
        <v>0</v>
      </c>
      <c r="L489" s="0" t="n">
        <f aca="true">CRITBINOM(K489,Coefficients!$B$31,RAND())</f>
        <v>0</v>
      </c>
      <c r="M489" s="0" t="n">
        <f aca="true">CRITBINOM(MAX(0,J489-K489),1-Coefficients!$B$32,RAND())</f>
        <v>0</v>
      </c>
      <c r="N489" s="0" t="n">
        <f aca="true">CRITBINOM(MAX(0,$C489-J489),MIN(0.6,Matchup!$C$40*SQRT($B489)/(1-MIN(0.75,Matchup!$C$39*$B489))),RAND())</f>
        <v>1</v>
      </c>
      <c r="O489" s="0" t="n">
        <f aca="false">6*J489+(J489-K489-M489)+2*L489+3*N489</f>
        <v>24</v>
      </c>
      <c r="P489" s="0" t="n">
        <f aca="true">RAND()</f>
        <v>0.739963799669202</v>
      </c>
      <c r="Q489" s="0" t="n">
        <f aca="true">RAND()</f>
        <v>0.173556094488383</v>
      </c>
      <c r="R489" s="0" t="n">
        <f aca="false">IF($I489&lt;&gt;$O489,0,IF(P489&lt;Matchup!$B$39,7,IF(P489&lt;Matchup!$B$39+Matchup!$B$40,3,0)))</f>
        <v>0</v>
      </c>
      <c r="S489" s="0" t="n">
        <f aca="false">IF($I489&lt;&gt;$O489,0,IF(Q489&lt;Matchup!$C$39,7,IF(Q489&lt;Matchup!$C$39+Matchup!$C$40,3,0)))</f>
        <v>0</v>
      </c>
      <c r="T489" s="0" t="n">
        <f aca="false">I489+R489</f>
        <v>10</v>
      </c>
      <c r="U489" s="0" t="n">
        <f aca="false">O489+S489</f>
        <v>24</v>
      </c>
      <c r="V489" s="0" t="n">
        <f aca="false">T489-U489</f>
        <v>-14</v>
      </c>
      <c r="W489" s="0" t="n">
        <f aca="false">T489+U489</f>
        <v>34</v>
      </c>
    </row>
    <row r="490" customFormat="false" ht="15" hidden="false" customHeight="false" outlineLevel="0" collapsed="false">
      <c r="A490" s="0" t="n">
        <v>487</v>
      </c>
      <c r="B490" s="0" t="n">
        <f aca="true">NORMINV(RAND(),1,Coefficients!$B$22)</f>
        <v>1.01643951128228</v>
      </c>
      <c r="C490" s="0" t="n">
        <f aca="true">MEDIAN(8,16,ROUND(NORMINV(RAND(),Coefficients!$B$20,Coefficients!$B$21),0))</f>
        <v>12</v>
      </c>
      <c r="D490" s="0" t="n">
        <f aca="true">CRITBINOM($C490,MIN(0.75,Matchup!$B$39*$B490),RAND())</f>
        <v>2</v>
      </c>
      <c r="E490" s="0" t="n">
        <f aca="true">CRITBINOM(D490,Coefficients!$B$30,RAND())</f>
        <v>0</v>
      </c>
      <c r="F490" s="0" t="n">
        <f aca="true">CRITBINOM(E490,Coefficients!$B$31,RAND())</f>
        <v>0</v>
      </c>
      <c r="G490" s="0" t="n">
        <f aca="true">CRITBINOM(MAX(0,D490-E490),1-Coefficients!$B$32,RAND())</f>
        <v>0</v>
      </c>
      <c r="H490" s="0" t="n">
        <f aca="true">CRITBINOM(MAX(0,$C490-D490),MIN(0.6,Matchup!$B$40*SQRT($B490)/(1-MIN(0.75,Matchup!$B$39*$B490))),RAND())</f>
        <v>2</v>
      </c>
      <c r="I490" s="0" t="n">
        <f aca="false">6*D490+(D490-E490-G490)+2*F490+3*H490</f>
        <v>20</v>
      </c>
      <c r="J490" s="0" t="n">
        <f aca="true">CRITBINOM($C490,MIN(0.75,Matchup!$C$39*$B490),RAND())</f>
        <v>1</v>
      </c>
      <c r="K490" s="0" t="n">
        <f aca="true">CRITBINOM(J490,Coefficients!$B$30,RAND())</f>
        <v>0</v>
      </c>
      <c r="L490" s="0" t="n">
        <f aca="true">CRITBINOM(K490,Coefficients!$B$31,RAND())</f>
        <v>0</v>
      </c>
      <c r="M490" s="0" t="n">
        <f aca="true">CRITBINOM(MAX(0,J490-K490),1-Coefficients!$B$32,RAND())</f>
        <v>0</v>
      </c>
      <c r="N490" s="0" t="n">
        <f aca="true">CRITBINOM(MAX(0,$C490-J490),MIN(0.6,Matchup!$C$40*SQRT($B490)/(1-MIN(0.75,Matchup!$C$39*$B490))),RAND())</f>
        <v>1</v>
      </c>
      <c r="O490" s="0" t="n">
        <f aca="false">6*J490+(J490-K490-M490)+2*L490+3*N490</f>
        <v>10</v>
      </c>
      <c r="P490" s="0" t="n">
        <f aca="true">RAND()</f>
        <v>0.457381244936544</v>
      </c>
      <c r="Q490" s="0" t="n">
        <f aca="true">RAND()</f>
        <v>0.0861904953553454</v>
      </c>
      <c r="R490" s="0" t="n">
        <f aca="false">IF($I490&lt;&gt;$O490,0,IF(P490&lt;Matchup!$B$39,7,IF(P490&lt;Matchup!$B$39+Matchup!$B$40,3,0)))</f>
        <v>0</v>
      </c>
      <c r="S490" s="0" t="n">
        <f aca="false">IF($I490&lt;&gt;$O490,0,IF(Q490&lt;Matchup!$C$39,7,IF(Q490&lt;Matchup!$C$39+Matchup!$C$40,3,0)))</f>
        <v>0</v>
      </c>
      <c r="T490" s="0" t="n">
        <f aca="false">I490+R490</f>
        <v>20</v>
      </c>
      <c r="U490" s="0" t="n">
        <f aca="false">O490+S490</f>
        <v>10</v>
      </c>
      <c r="V490" s="0" t="n">
        <f aca="false">T490-U490</f>
        <v>10</v>
      </c>
      <c r="W490" s="0" t="n">
        <f aca="false">T490+U490</f>
        <v>30</v>
      </c>
    </row>
    <row r="491" customFormat="false" ht="15" hidden="false" customHeight="false" outlineLevel="0" collapsed="false">
      <c r="A491" s="0" t="n">
        <v>488</v>
      </c>
      <c r="B491" s="0" t="n">
        <f aca="true">NORMINV(RAND(),1,Coefficients!$B$22)</f>
        <v>0.998877909034595</v>
      </c>
      <c r="C491" s="0" t="n">
        <f aca="true">MEDIAN(8,16,ROUND(NORMINV(RAND(),Coefficients!$B$20,Coefficients!$B$21),0))</f>
        <v>10</v>
      </c>
      <c r="D491" s="0" t="n">
        <f aca="true">CRITBINOM($C491,MIN(0.75,Matchup!$B$39*$B491),RAND())</f>
        <v>4</v>
      </c>
      <c r="E491" s="0" t="n">
        <f aca="true">CRITBINOM(D491,Coefficients!$B$30,RAND())</f>
        <v>0</v>
      </c>
      <c r="F491" s="0" t="n">
        <f aca="true">CRITBINOM(E491,Coefficients!$B$31,RAND())</f>
        <v>0</v>
      </c>
      <c r="G491" s="0" t="n">
        <f aca="true">CRITBINOM(MAX(0,D491-E491),1-Coefficients!$B$32,RAND())</f>
        <v>0</v>
      </c>
      <c r="H491" s="0" t="n">
        <f aca="true">CRITBINOM(MAX(0,$C491-D491),MIN(0.6,Matchup!$B$40*SQRT($B491)/(1-MIN(0.75,Matchup!$B$39*$B491))),RAND())</f>
        <v>4</v>
      </c>
      <c r="I491" s="0" t="n">
        <f aca="false">6*D491+(D491-E491-G491)+2*F491+3*H491</f>
        <v>40</v>
      </c>
      <c r="J491" s="0" t="n">
        <f aca="true">CRITBINOM($C491,MIN(0.75,Matchup!$C$39*$B491),RAND())</f>
        <v>6</v>
      </c>
      <c r="K491" s="0" t="n">
        <f aca="true">CRITBINOM(J491,Coefficients!$B$30,RAND())</f>
        <v>0</v>
      </c>
      <c r="L491" s="0" t="n">
        <f aca="true">CRITBINOM(K491,Coefficients!$B$31,RAND())</f>
        <v>0</v>
      </c>
      <c r="M491" s="0" t="n">
        <f aca="true">CRITBINOM(MAX(0,J491-K491),1-Coefficients!$B$32,RAND())</f>
        <v>0</v>
      </c>
      <c r="N491" s="0" t="n">
        <f aca="true">CRITBINOM(MAX(0,$C491-J491),MIN(0.6,Matchup!$C$40*SQRT($B491)/(1-MIN(0.75,Matchup!$C$39*$B491))),RAND())</f>
        <v>2</v>
      </c>
      <c r="O491" s="0" t="n">
        <f aca="false">6*J491+(J491-K491-M491)+2*L491+3*N491</f>
        <v>48</v>
      </c>
      <c r="P491" s="0" t="n">
        <f aca="true">RAND()</f>
        <v>0.706469943763591</v>
      </c>
      <c r="Q491" s="0" t="n">
        <f aca="true">RAND()</f>
        <v>0.309604641186637</v>
      </c>
      <c r="R491" s="0" t="n">
        <f aca="false">IF($I491&lt;&gt;$O491,0,IF(P491&lt;Matchup!$B$39,7,IF(P491&lt;Matchup!$B$39+Matchup!$B$40,3,0)))</f>
        <v>0</v>
      </c>
      <c r="S491" s="0" t="n">
        <f aca="false">IF($I491&lt;&gt;$O491,0,IF(Q491&lt;Matchup!$C$39,7,IF(Q491&lt;Matchup!$C$39+Matchup!$C$40,3,0)))</f>
        <v>0</v>
      </c>
      <c r="T491" s="0" t="n">
        <f aca="false">I491+R491</f>
        <v>40</v>
      </c>
      <c r="U491" s="0" t="n">
        <f aca="false">O491+S491</f>
        <v>48</v>
      </c>
      <c r="V491" s="0" t="n">
        <f aca="false">T491-U491</f>
        <v>-8</v>
      </c>
      <c r="W491" s="0" t="n">
        <f aca="false">T491+U491</f>
        <v>88</v>
      </c>
    </row>
    <row r="492" customFormat="false" ht="15" hidden="false" customHeight="false" outlineLevel="0" collapsed="false">
      <c r="A492" s="0" t="n">
        <v>489</v>
      </c>
      <c r="B492" s="0" t="n">
        <f aca="true">NORMINV(RAND(),1,Coefficients!$B$22)</f>
        <v>1.03914521855818</v>
      </c>
      <c r="C492" s="0" t="n">
        <f aca="true">MEDIAN(8,16,ROUND(NORMINV(RAND(),Coefficients!$B$20,Coefficients!$B$21),0))</f>
        <v>11</v>
      </c>
      <c r="D492" s="0" t="n">
        <f aca="true">CRITBINOM($C492,MIN(0.75,Matchup!$B$39*$B492),RAND())</f>
        <v>3</v>
      </c>
      <c r="E492" s="0" t="n">
        <f aca="true">CRITBINOM(D492,Coefficients!$B$30,RAND())</f>
        <v>0</v>
      </c>
      <c r="F492" s="0" t="n">
        <f aca="true">CRITBINOM(E492,Coefficients!$B$31,RAND())</f>
        <v>0</v>
      </c>
      <c r="G492" s="0" t="n">
        <f aca="true">CRITBINOM(MAX(0,D492-E492),1-Coefficients!$B$32,RAND())</f>
        <v>0</v>
      </c>
      <c r="H492" s="0" t="n">
        <f aca="true">CRITBINOM(MAX(0,$C492-D492),MIN(0.6,Matchup!$B$40*SQRT($B492)/(1-MIN(0.75,Matchup!$B$39*$B492))),RAND())</f>
        <v>1</v>
      </c>
      <c r="I492" s="0" t="n">
        <f aca="false">6*D492+(D492-E492-G492)+2*F492+3*H492</f>
        <v>24</v>
      </c>
      <c r="J492" s="0" t="n">
        <f aca="true">CRITBINOM($C492,MIN(0.75,Matchup!$C$39*$B492),RAND())</f>
        <v>3</v>
      </c>
      <c r="K492" s="0" t="n">
        <f aca="true">CRITBINOM(J492,Coefficients!$B$30,RAND())</f>
        <v>1</v>
      </c>
      <c r="L492" s="0" t="n">
        <f aca="true">CRITBINOM(K492,Coefficients!$B$31,RAND())</f>
        <v>0</v>
      </c>
      <c r="M492" s="0" t="n">
        <f aca="true">CRITBINOM(MAX(0,J492-K492),1-Coefficients!$B$32,RAND())</f>
        <v>0</v>
      </c>
      <c r="N492" s="0" t="n">
        <f aca="true">CRITBINOM(MAX(0,$C492-J492),MIN(0.6,Matchup!$C$40*SQRT($B492)/(1-MIN(0.75,Matchup!$C$39*$B492))),RAND())</f>
        <v>1</v>
      </c>
      <c r="O492" s="0" t="n">
        <f aca="false">6*J492+(J492-K492-M492)+2*L492+3*N492</f>
        <v>23</v>
      </c>
      <c r="P492" s="0" t="n">
        <f aca="true">RAND()</f>
        <v>0.765464277631201</v>
      </c>
      <c r="Q492" s="0" t="n">
        <f aca="true">RAND()</f>
        <v>0.605326666077494</v>
      </c>
      <c r="R492" s="0" t="n">
        <f aca="false">IF($I492&lt;&gt;$O492,0,IF(P492&lt;Matchup!$B$39,7,IF(P492&lt;Matchup!$B$39+Matchup!$B$40,3,0)))</f>
        <v>0</v>
      </c>
      <c r="S492" s="0" t="n">
        <f aca="false">IF($I492&lt;&gt;$O492,0,IF(Q492&lt;Matchup!$C$39,7,IF(Q492&lt;Matchup!$C$39+Matchup!$C$40,3,0)))</f>
        <v>0</v>
      </c>
      <c r="T492" s="0" t="n">
        <f aca="false">I492+R492</f>
        <v>24</v>
      </c>
      <c r="U492" s="0" t="n">
        <f aca="false">O492+S492</f>
        <v>23</v>
      </c>
      <c r="V492" s="0" t="n">
        <f aca="false">T492-U492</f>
        <v>1</v>
      </c>
      <c r="W492" s="0" t="n">
        <f aca="false">T492+U492</f>
        <v>47</v>
      </c>
    </row>
    <row r="493" customFormat="false" ht="15" hidden="false" customHeight="false" outlineLevel="0" collapsed="false">
      <c r="A493" s="0" t="n">
        <v>490</v>
      </c>
      <c r="B493" s="0" t="n">
        <f aca="true">NORMINV(RAND(),1,Coefficients!$B$22)</f>
        <v>1.02112284374308</v>
      </c>
      <c r="C493" s="0" t="n">
        <f aca="true">MEDIAN(8,16,ROUND(NORMINV(RAND(),Coefficients!$B$20,Coefficients!$B$21),0))</f>
        <v>12</v>
      </c>
      <c r="D493" s="0" t="n">
        <f aca="true">CRITBINOM($C493,MIN(0.75,Matchup!$B$39*$B493),RAND())</f>
        <v>2</v>
      </c>
      <c r="E493" s="0" t="n">
        <f aca="true">CRITBINOM(D493,Coefficients!$B$30,RAND())</f>
        <v>1</v>
      </c>
      <c r="F493" s="0" t="n">
        <f aca="true">CRITBINOM(E493,Coefficients!$B$31,RAND())</f>
        <v>0</v>
      </c>
      <c r="G493" s="0" t="n">
        <f aca="true">CRITBINOM(MAX(0,D493-E493),1-Coefficients!$B$32,RAND())</f>
        <v>0</v>
      </c>
      <c r="H493" s="0" t="n">
        <f aca="true">CRITBINOM(MAX(0,$C493-D493),MIN(0.6,Matchup!$B$40*SQRT($B493)/(1-MIN(0.75,Matchup!$B$39*$B493))),RAND())</f>
        <v>2</v>
      </c>
      <c r="I493" s="0" t="n">
        <f aca="false">6*D493+(D493-E493-G493)+2*F493+3*H493</f>
        <v>19</v>
      </c>
      <c r="J493" s="0" t="n">
        <f aca="true">CRITBINOM($C493,MIN(0.75,Matchup!$C$39*$B493),RAND())</f>
        <v>4</v>
      </c>
      <c r="K493" s="0" t="n">
        <f aca="true">CRITBINOM(J493,Coefficients!$B$30,RAND())</f>
        <v>0</v>
      </c>
      <c r="L493" s="0" t="n">
        <f aca="true">CRITBINOM(K493,Coefficients!$B$31,RAND())</f>
        <v>0</v>
      </c>
      <c r="M493" s="0" t="n">
        <f aca="true">CRITBINOM(MAX(0,J493-K493),1-Coefficients!$B$32,RAND())</f>
        <v>0</v>
      </c>
      <c r="N493" s="0" t="n">
        <f aca="true">CRITBINOM(MAX(0,$C493-J493),MIN(0.6,Matchup!$C$40*SQRT($B493)/(1-MIN(0.75,Matchup!$C$39*$B493))),RAND())</f>
        <v>0</v>
      </c>
      <c r="O493" s="0" t="n">
        <f aca="false">6*J493+(J493-K493-M493)+2*L493+3*N493</f>
        <v>28</v>
      </c>
      <c r="P493" s="0" t="n">
        <f aca="true">RAND()</f>
        <v>0.734607959226397</v>
      </c>
      <c r="Q493" s="0" t="n">
        <f aca="true">RAND()</f>
        <v>0.16124534878584</v>
      </c>
      <c r="R493" s="0" t="n">
        <f aca="false">IF($I493&lt;&gt;$O493,0,IF(P493&lt;Matchup!$B$39,7,IF(P493&lt;Matchup!$B$39+Matchup!$B$40,3,0)))</f>
        <v>0</v>
      </c>
      <c r="S493" s="0" t="n">
        <f aca="false">IF($I493&lt;&gt;$O493,0,IF(Q493&lt;Matchup!$C$39,7,IF(Q493&lt;Matchup!$C$39+Matchup!$C$40,3,0)))</f>
        <v>0</v>
      </c>
      <c r="T493" s="0" t="n">
        <f aca="false">I493+R493</f>
        <v>19</v>
      </c>
      <c r="U493" s="0" t="n">
        <f aca="false">O493+S493</f>
        <v>28</v>
      </c>
      <c r="V493" s="0" t="n">
        <f aca="false">T493-U493</f>
        <v>-9</v>
      </c>
      <c r="W493" s="0" t="n">
        <f aca="false">T493+U493</f>
        <v>47</v>
      </c>
    </row>
    <row r="494" customFormat="false" ht="15" hidden="false" customHeight="false" outlineLevel="0" collapsed="false">
      <c r="A494" s="0" t="n">
        <v>491</v>
      </c>
      <c r="B494" s="0" t="n">
        <f aca="true">NORMINV(RAND(),1,Coefficients!$B$22)</f>
        <v>0.944015500827855</v>
      </c>
      <c r="C494" s="0" t="n">
        <f aca="true">MEDIAN(8,16,ROUND(NORMINV(RAND(),Coefficients!$B$20,Coefficients!$B$21),0))</f>
        <v>10</v>
      </c>
      <c r="D494" s="0" t="n">
        <f aca="true">CRITBINOM($C494,MIN(0.75,Matchup!$B$39*$B494),RAND())</f>
        <v>1</v>
      </c>
      <c r="E494" s="0" t="n">
        <f aca="true">CRITBINOM(D494,Coefficients!$B$30,RAND())</f>
        <v>0</v>
      </c>
      <c r="F494" s="0" t="n">
        <f aca="true">CRITBINOM(E494,Coefficients!$B$31,RAND())</f>
        <v>0</v>
      </c>
      <c r="G494" s="0" t="n">
        <f aca="true">CRITBINOM(MAX(0,D494-E494),1-Coefficients!$B$32,RAND())</f>
        <v>0</v>
      </c>
      <c r="H494" s="0" t="n">
        <f aca="true">CRITBINOM(MAX(0,$C494-D494),MIN(0.6,Matchup!$B$40*SQRT($B494)/(1-MIN(0.75,Matchup!$B$39*$B494))),RAND())</f>
        <v>2</v>
      </c>
      <c r="I494" s="0" t="n">
        <f aca="false">6*D494+(D494-E494-G494)+2*F494+3*H494</f>
        <v>13</v>
      </c>
      <c r="J494" s="0" t="n">
        <f aca="true">CRITBINOM($C494,MIN(0.75,Matchup!$C$39*$B494),RAND())</f>
        <v>2</v>
      </c>
      <c r="K494" s="0" t="n">
        <f aca="true">CRITBINOM(J494,Coefficients!$B$30,RAND())</f>
        <v>0</v>
      </c>
      <c r="L494" s="0" t="n">
        <f aca="true">CRITBINOM(K494,Coefficients!$B$31,RAND())</f>
        <v>0</v>
      </c>
      <c r="M494" s="0" t="n">
        <f aca="true">CRITBINOM(MAX(0,J494-K494),1-Coefficients!$B$32,RAND())</f>
        <v>0</v>
      </c>
      <c r="N494" s="0" t="n">
        <f aca="true">CRITBINOM(MAX(0,$C494-J494),MIN(0.6,Matchup!$C$40*SQRT($B494)/(1-MIN(0.75,Matchup!$C$39*$B494))),RAND())</f>
        <v>1</v>
      </c>
      <c r="O494" s="0" t="n">
        <f aca="false">6*J494+(J494-K494-M494)+2*L494+3*N494</f>
        <v>17</v>
      </c>
      <c r="P494" s="0" t="n">
        <f aca="true">RAND()</f>
        <v>0.633591426484745</v>
      </c>
      <c r="Q494" s="0" t="n">
        <f aca="true">RAND()</f>
        <v>0.4352620434146</v>
      </c>
      <c r="R494" s="0" t="n">
        <f aca="false">IF($I494&lt;&gt;$O494,0,IF(P494&lt;Matchup!$B$39,7,IF(P494&lt;Matchup!$B$39+Matchup!$B$40,3,0)))</f>
        <v>0</v>
      </c>
      <c r="S494" s="0" t="n">
        <f aca="false">IF($I494&lt;&gt;$O494,0,IF(Q494&lt;Matchup!$C$39,7,IF(Q494&lt;Matchup!$C$39+Matchup!$C$40,3,0)))</f>
        <v>0</v>
      </c>
      <c r="T494" s="0" t="n">
        <f aca="false">I494+R494</f>
        <v>13</v>
      </c>
      <c r="U494" s="0" t="n">
        <f aca="false">O494+S494</f>
        <v>17</v>
      </c>
      <c r="V494" s="0" t="n">
        <f aca="false">T494-U494</f>
        <v>-4</v>
      </c>
      <c r="W494" s="0" t="n">
        <f aca="false">T494+U494</f>
        <v>30</v>
      </c>
    </row>
    <row r="495" customFormat="false" ht="15" hidden="false" customHeight="false" outlineLevel="0" collapsed="false">
      <c r="A495" s="0" t="n">
        <v>492</v>
      </c>
      <c r="B495" s="0" t="n">
        <f aca="true">NORMINV(RAND(),1,Coefficients!$B$22)</f>
        <v>0.887448073422383</v>
      </c>
      <c r="C495" s="0" t="n">
        <f aca="true">MEDIAN(8,16,ROUND(NORMINV(RAND(),Coefficients!$B$20,Coefficients!$B$21),0))</f>
        <v>13</v>
      </c>
      <c r="D495" s="0" t="n">
        <f aca="true">CRITBINOM($C495,MIN(0.75,Matchup!$B$39*$B495),RAND())</f>
        <v>4</v>
      </c>
      <c r="E495" s="0" t="n">
        <f aca="true">CRITBINOM(D495,Coefficients!$B$30,RAND())</f>
        <v>1</v>
      </c>
      <c r="F495" s="0" t="n">
        <f aca="true">CRITBINOM(E495,Coefficients!$B$31,RAND())</f>
        <v>0</v>
      </c>
      <c r="G495" s="0" t="n">
        <f aca="true">CRITBINOM(MAX(0,D495-E495),1-Coefficients!$B$32,RAND())</f>
        <v>0</v>
      </c>
      <c r="H495" s="0" t="n">
        <f aca="true">CRITBINOM(MAX(0,$C495-D495),MIN(0.6,Matchup!$B$40*SQRT($B495)/(1-MIN(0.75,Matchup!$B$39*$B495))),RAND())</f>
        <v>2</v>
      </c>
      <c r="I495" s="0" t="n">
        <f aca="false">6*D495+(D495-E495-G495)+2*F495+3*H495</f>
        <v>33</v>
      </c>
      <c r="J495" s="0" t="n">
        <f aca="true">CRITBINOM($C495,MIN(0.75,Matchup!$C$39*$B495),RAND())</f>
        <v>6</v>
      </c>
      <c r="K495" s="0" t="n">
        <f aca="true">CRITBINOM(J495,Coefficients!$B$30,RAND())</f>
        <v>0</v>
      </c>
      <c r="L495" s="0" t="n">
        <f aca="true">CRITBINOM(K495,Coefficients!$B$31,RAND())</f>
        <v>0</v>
      </c>
      <c r="M495" s="0" t="n">
        <f aca="true">CRITBINOM(MAX(0,J495-K495),1-Coefficients!$B$32,RAND())</f>
        <v>0</v>
      </c>
      <c r="N495" s="0" t="n">
        <f aca="true">CRITBINOM(MAX(0,$C495-J495),MIN(0.6,Matchup!$C$40*SQRT($B495)/(1-MIN(0.75,Matchup!$C$39*$B495))),RAND())</f>
        <v>1</v>
      </c>
      <c r="O495" s="0" t="n">
        <f aca="false">6*J495+(J495-K495-M495)+2*L495+3*N495</f>
        <v>45</v>
      </c>
      <c r="P495" s="0" t="n">
        <f aca="true">RAND()</f>
        <v>0.0189728918086981</v>
      </c>
      <c r="Q495" s="0" t="n">
        <f aca="true">RAND()</f>
        <v>0.448226616550447</v>
      </c>
      <c r="R495" s="0" t="n">
        <f aca="false">IF($I495&lt;&gt;$O495,0,IF(P495&lt;Matchup!$B$39,7,IF(P495&lt;Matchup!$B$39+Matchup!$B$40,3,0)))</f>
        <v>0</v>
      </c>
      <c r="S495" s="0" t="n">
        <f aca="false">IF($I495&lt;&gt;$O495,0,IF(Q495&lt;Matchup!$C$39,7,IF(Q495&lt;Matchup!$C$39+Matchup!$C$40,3,0)))</f>
        <v>0</v>
      </c>
      <c r="T495" s="0" t="n">
        <f aca="false">I495+R495</f>
        <v>33</v>
      </c>
      <c r="U495" s="0" t="n">
        <f aca="false">O495+S495</f>
        <v>45</v>
      </c>
      <c r="V495" s="0" t="n">
        <f aca="false">T495-U495</f>
        <v>-12</v>
      </c>
      <c r="W495" s="0" t="n">
        <f aca="false">T495+U495</f>
        <v>78</v>
      </c>
    </row>
    <row r="496" customFormat="false" ht="15" hidden="false" customHeight="false" outlineLevel="0" collapsed="false">
      <c r="A496" s="0" t="n">
        <v>493</v>
      </c>
      <c r="B496" s="0" t="n">
        <f aca="true">NORMINV(RAND(),1,Coefficients!$B$22)</f>
        <v>1.11116455414661</v>
      </c>
      <c r="C496" s="0" t="n">
        <f aca="true">MEDIAN(8,16,ROUND(NORMINV(RAND(),Coefficients!$B$20,Coefficients!$B$21),0))</f>
        <v>11</v>
      </c>
      <c r="D496" s="0" t="n">
        <f aca="true">CRITBINOM($C496,MIN(0.75,Matchup!$B$39*$B496),RAND())</f>
        <v>2</v>
      </c>
      <c r="E496" s="0" t="n">
        <f aca="true">CRITBINOM(D496,Coefficients!$B$30,RAND())</f>
        <v>1</v>
      </c>
      <c r="F496" s="0" t="n">
        <f aca="true">CRITBINOM(E496,Coefficients!$B$31,RAND())</f>
        <v>1</v>
      </c>
      <c r="G496" s="0" t="n">
        <f aca="true">CRITBINOM(MAX(0,D496-E496),1-Coefficients!$B$32,RAND())</f>
        <v>0</v>
      </c>
      <c r="H496" s="0" t="n">
        <f aca="true">CRITBINOM(MAX(0,$C496-D496),MIN(0.6,Matchup!$B$40*SQRT($B496)/(1-MIN(0.75,Matchup!$B$39*$B496))),RAND())</f>
        <v>3</v>
      </c>
      <c r="I496" s="0" t="n">
        <f aca="false">6*D496+(D496-E496-G496)+2*F496+3*H496</f>
        <v>24</v>
      </c>
      <c r="J496" s="0" t="n">
        <f aca="true">CRITBINOM($C496,MIN(0.75,Matchup!$C$39*$B496),RAND())</f>
        <v>1</v>
      </c>
      <c r="K496" s="0" t="n">
        <f aca="true">CRITBINOM(J496,Coefficients!$B$30,RAND())</f>
        <v>1</v>
      </c>
      <c r="L496" s="0" t="n">
        <f aca="true">CRITBINOM(K496,Coefficients!$B$31,RAND())</f>
        <v>1</v>
      </c>
      <c r="M496" s="0" t="n">
        <f aca="true">CRITBINOM(MAX(0,J496-K496),1-Coefficients!$B$32,RAND())</f>
        <v>0</v>
      </c>
      <c r="N496" s="0" t="n">
        <f aca="true">CRITBINOM(MAX(0,$C496-J496),MIN(0.6,Matchup!$C$40*SQRT($B496)/(1-MIN(0.75,Matchup!$C$39*$B496))),RAND())</f>
        <v>3</v>
      </c>
      <c r="O496" s="0" t="n">
        <f aca="false">6*J496+(J496-K496-M496)+2*L496+3*N496</f>
        <v>17</v>
      </c>
      <c r="P496" s="0" t="n">
        <f aca="true">RAND()</f>
        <v>0.405730389826013</v>
      </c>
      <c r="Q496" s="0" t="n">
        <f aca="true">RAND()</f>
        <v>0.994850797084781</v>
      </c>
      <c r="R496" s="0" t="n">
        <f aca="false">IF($I496&lt;&gt;$O496,0,IF(P496&lt;Matchup!$B$39,7,IF(P496&lt;Matchup!$B$39+Matchup!$B$40,3,0)))</f>
        <v>0</v>
      </c>
      <c r="S496" s="0" t="n">
        <f aca="false">IF($I496&lt;&gt;$O496,0,IF(Q496&lt;Matchup!$C$39,7,IF(Q496&lt;Matchup!$C$39+Matchup!$C$40,3,0)))</f>
        <v>0</v>
      </c>
      <c r="T496" s="0" t="n">
        <f aca="false">I496+R496</f>
        <v>24</v>
      </c>
      <c r="U496" s="0" t="n">
        <f aca="false">O496+S496</f>
        <v>17</v>
      </c>
      <c r="V496" s="0" t="n">
        <f aca="false">T496-U496</f>
        <v>7</v>
      </c>
      <c r="W496" s="0" t="n">
        <f aca="false">T496+U496</f>
        <v>41</v>
      </c>
    </row>
    <row r="497" customFormat="false" ht="15" hidden="false" customHeight="false" outlineLevel="0" collapsed="false">
      <c r="A497" s="0" t="n">
        <v>494</v>
      </c>
      <c r="B497" s="0" t="n">
        <f aca="true">NORMINV(RAND(),1,Coefficients!$B$22)</f>
        <v>0.863876416727793</v>
      </c>
      <c r="C497" s="0" t="n">
        <f aca="true">MEDIAN(8,16,ROUND(NORMINV(RAND(),Coefficients!$B$20,Coefficients!$B$21),0))</f>
        <v>12</v>
      </c>
      <c r="D497" s="0" t="n">
        <f aca="true">CRITBINOM($C497,MIN(0.75,Matchup!$B$39*$B497),RAND())</f>
        <v>1</v>
      </c>
      <c r="E497" s="0" t="n">
        <f aca="true">CRITBINOM(D497,Coefficients!$B$30,RAND())</f>
        <v>1</v>
      </c>
      <c r="F497" s="0" t="n">
        <f aca="true">CRITBINOM(E497,Coefficients!$B$31,RAND())</f>
        <v>0</v>
      </c>
      <c r="G497" s="0" t="n">
        <f aca="true">CRITBINOM(MAX(0,D497-E497),1-Coefficients!$B$32,RAND())</f>
        <v>0</v>
      </c>
      <c r="H497" s="0" t="n">
        <f aca="true">CRITBINOM(MAX(0,$C497-D497),MIN(0.6,Matchup!$B$40*SQRT($B497)/(1-MIN(0.75,Matchup!$B$39*$B497))),RAND())</f>
        <v>4</v>
      </c>
      <c r="I497" s="0" t="n">
        <f aca="false">6*D497+(D497-E497-G497)+2*F497+3*H497</f>
        <v>18</v>
      </c>
      <c r="J497" s="0" t="n">
        <f aca="true">CRITBINOM($C497,MIN(0.75,Matchup!$C$39*$B497),RAND())</f>
        <v>3</v>
      </c>
      <c r="K497" s="0" t="n">
        <f aca="true">CRITBINOM(J497,Coefficients!$B$30,RAND())</f>
        <v>0</v>
      </c>
      <c r="L497" s="0" t="n">
        <f aca="true">CRITBINOM(K497,Coefficients!$B$31,RAND())</f>
        <v>0</v>
      </c>
      <c r="M497" s="0" t="n">
        <f aca="true">CRITBINOM(MAX(0,J497-K497),1-Coefficients!$B$32,RAND())</f>
        <v>0</v>
      </c>
      <c r="N497" s="0" t="n">
        <f aca="true">CRITBINOM(MAX(0,$C497-J497),MIN(0.6,Matchup!$C$40*SQRT($B497)/(1-MIN(0.75,Matchup!$C$39*$B497))),RAND())</f>
        <v>2</v>
      </c>
      <c r="O497" s="0" t="n">
        <f aca="false">6*J497+(J497-K497-M497)+2*L497+3*N497</f>
        <v>27</v>
      </c>
      <c r="P497" s="0" t="n">
        <f aca="true">RAND()</f>
        <v>0.70005180608442</v>
      </c>
      <c r="Q497" s="0" t="n">
        <f aca="true">RAND()</f>
        <v>0.928762207426984</v>
      </c>
      <c r="R497" s="0" t="n">
        <f aca="false">IF($I497&lt;&gt;$O497,0,IF(P497&lt;Matchup!$B$39,7,IF(P497&lt;Matchup!$B$39+Matchup!$B$40,3,0)))</f>
        <v>0</v>
      </c>
      <c r="S497" s="0" t="n">
        <f aca="false">IF($I497&lt;&gt;$O497,0,IF(Q497&lt;Matchup!$C$39,7,IF(Q497&lt;Matchup!$C$39+Matchup!$C$40,3,0)))</f>
        <v>0</v>
      </c>
      <c r="T497" s="0" t="n">
        <f aca="false">I497+R497</f>
        <v>18</v>
      </c>
      <c r="U497" s="0" t="n">
        <f aca="false">O497+S497</f>
        <v>27</v>
      </c>
      <c r="V497" s="0" t="n">
        <f aca="false">T497-U497</f>
        <v>-9</v>
      </c>
      <c r="W497" s="0" t="n">
        <f aca="false">T497+U497</f>
        <v>45</v>
      </c>
    </row>
    <row r="498" customFormat="false" ht="15" hidden="false" customHeight="false" outlineLevel="0" collapsed="false">
      <c r="A498" s="0" t="n">
        <v>495</v>
      </c>
      <c r="B498" s="0" t="n">
        <f aca="true">NORMINV(RAND(),1,Coefficients!$B$22)</f>
        <v>1.00264557529412</v>
      </c>
      <c r="C498" s="0" t="n">
        <f aca="true">MEDIAN(8,16,ROUND(NORMINV(RAND(),Coefficients!$B$20,Coefficients!$B$21),0))</f>
        <v>12</v>
      </c>
      <c r="D498" s="0" t="n">
        <f aca="true">CRITBINOM($C498,MIN(0.75,Matchup!$B$39*$B498),RAND())</f>
        <v>3</v>
      </c>
      <c r="E498" s="0" t="n">
        <f aca="true">CRITBINOM(D498,Coefficients!$B$30,RAND())</f>
        <v>0</v>
      </c>
      <c r="F498" s="0" t="n">
        <f aca="true">CRITBINOM(E498,Coefficients!$B$31,RAND())</f>
        <v>0</v>
      </c>
      <c r="G498" s="0" t="n">
        <f aca="true">CRITBINOM(MAX(0,D498-E498),1-Coefficients!$B$32,RAND())</f>
        <v>0</v>
      </c>
      <c r="H498" s="0" t="n">
        <f aca="true">CRITBINOM(MAX(0,$C498-D498),MIN(0.6,Matchup!$B$40*SQRT($B498)/(1-MIN(0.75,Matchup!$B$39*$B498))),RAND())</f>
        <v>1</v>
      </c>
      <c r="I498" s="0" t="n">
        <f aca="false">6*D498+(D498-E498-G498)+2*F498+3*H498</f>
        <v>24</v>
      </c>
      <c r="J498" s="0" t="n">
        <f aca="true">CRITBINOM($C498,MIN(0.75,Matchup!$C$39*$B498),RAND())</f>
        <v>2</v>
      </c>
      <c r="K498" s="0" t="n">
        <f aca="true">CRITBINOM(J498,Coefficients!$B$30,RAND())</f>
        <v>0</v>
      </c>
      <c r="L498" s="0" t="n">
        <f aca="true">CRITBINOM(K498,Coefficients!$B$31,RAND())</f>
        <v>0</v>
      </c>
      <c r="M498" s="0" t="n">
        <f aca="true">CRITBINOM(MAX(0,J498-K498),1-Coefficients!$B$32,RAND())</f>
        <v>0</v>
      </c>
      <c r="N498" s="0" t="n">
        <f aca="true">CRITBINOM(MAX(0,$C498-J498),MIN(0.6,Matchup!$C$40*SQRT($B498)/(1-MIN(0.75,Matchup!$C$39*$B498))),RAND())</f>
        <v>1</v>
      </c>
      <c r="O498" s="0" t="n">
        <f aca="false">6*J498+(J498-K498-M498)+2*L498+3*N498</f>
        <v>17</v>
      </c>
      <c r="P498" s="0" t="n">
        <f aca="true">RAND()</f>
        <v>0.0337514466022684</v>
      </c>
      <c r="Q498" s="0" t="n">
        <f aca="true">RAND()</f>
        <v>0.811558539819171</v>
      </c>
      <c r="R498" s="0" t="n">
        <f aca="false">IF($I498&lt;&gt;$O498,0,IF(P498&lt;Matchup!$B$39,7,IF(P498&lt;Matchup!$B$39+Matchup!$B$40,3,0)))</f>
        <v>0</v>
      </c>
      <c r="S498" s="0" t="n">
        <f aca="false">IF($I498&lt;&gt;$O498,0,IF(Q498&lt;Matchup!$C$39,7,IF(Q498&lt;Matchup!$C$39+Matchup!$C$40,3,0)))</f>
        <v>0</v>
      </c>
      <c r="T498" s="0" t="n">
        <f aca="false">I498+R498</f>
        <v>24</v>
      </c>
      <c r="U498" s="0" t="n">
        <f aca="false">O498+S498</f>
        <v>17</v>
      </c>
      <c r="V498" s="0" t="n">
        <f aca="false">T498-U498</f>
        <v>7</v>
      </c>
      <c r="W498" s="0" t="n">
        <f aca="false">T498+U498</f>
        <v>41</v>
      </c>
    </row>
    <row r="499" customFormat="false" ht="15" hidden="false" customHeight="false" outlineLevel="0" collapsed="false">
      <c r="A499" s="0" t="n">
        <v>496</v>
      </c>
      <c r="B499" s="0" t="n">
        <f aca="true">NORMINV(RAND(),1,Coefficients!$B$22)</f>
        <v>1.03722670443404</v>
      </c>
      <c r="C499" s="0" t="n">
        <f aca="true">MEDIAN(8,16,ROUND(NORMINV(RAND(),Coefficients!$B$20,Coefficients!$B$21),0))</f>
        <v>11</v>
      </c>
      <c r="D499" s="0" t="n">
        <f aca="true">CRITBINOM($C499,MIN(0.75,Matchup!$B$39*$B499),RAND())</f>
        <v>2</v>
      </c>
      <c r="E499" s="0" t="n">
        <f aca="true">CRITBINOM(D499,Coefficients!$B$30,RAND())</f>
        <v>0</v>
      </c>
      <c r="F499" s="0" t="n">
        <f aca="true">CRITBINOM(E499,Coefficients!$B$31,RAND())</f>
        <v>0</v>
      </c>
      <c r="G499" s="0" t="n">
        <f aca="true">CRITBINOM(MAX(0,D499-E499),1-Coefficients!$B$32,RAND())</f>
        <v>0</v>
      </c>
      <c r="H499" s="0" t="n">
        <f aca="true">CRITBINOM(MAX(0,$C499-D499),MIN(0.6,Matchup!$B$40*SQRT($B499)/(1-MIN(0.75,Matchup!$B$39*$B499))),RAND())</f>
        <v>1</v>
      </c>
      <c r="I499" s="0" t="n">
        <f aca="false">6*D499+(D499-E499-G499)+2*F499+3*H499</f>
        <v>17</v>
      </c>
      <c r="J499" s="0" t="n">
        <f aca="true">CRITBINOM($C499,MIN(0.75,Matchup!$C$39*$B499),RAND())</f>
        <v>3</v>
      </c>
      <c r="K499" s="0" t="n">
        <f aca="true">CRITBINOM(J499,Coefficients!$B$30,RAND())</f>
        <v>0</v>
      </c>
      <c r="L499" s="0" t="n">
        <f aca="true">CRITBINOM(K499,Coefficients!$B$31,RAND())</f>
        <v>0</v>
      </c>
      <c r="M499" s="0" t="n">
        <f aca="true">CRITBINOM(MAX(0,J499-K499),1-Coefficients!$B$32,RAND())</f>
        <v>0</v>
      </c>
      <c r="N499" s="0" t="n">
        <f aca="true">CRITBINOM(MAX(0,$C499-J499),MIN(0.6,Matchup!$C$40*SQRT($B499)/(1-MIN(0.75,Matchup!$C$39*$B499))),RAND())</f>
        <v>2</v>
      </c>
      <c r="O499" s="0" t="n">
        <f aca="false">6*J499+(J499-K499-M499)+2*L499+3*N499</f>
        <v>27</v>
      </c>
      <c r="P499" s="0" t="n">
        <f aca="true">RAND()</f>
        <v>0.83932728230109</v>
      </c>
      <c r="Q499" s="0" t="n">
        <f aca="true">RAND()</f>
        <v>0.101549727358671</v>
      </c>
      <c r="R499" s="0" t="n">
        <f aca="false">IF($I499&lt;&gt;$O499,0,IF(P499&lt;Matchup!$B$39,7,IF(P499&lt;Matchup!$B$39+Matchup!$B$40,3,0)))</f>
        <v>0</v>
      </c>
      <c r="S499" s="0" t="n">
        <f aca="false">IF($I499&lt;&gt;$O499,0,IF(Q499&lt;Matchup!$C$39,7,IF(Q499&lt;Matchup!$C$39+Matchup!$C$40,3,0)))</f>
        <v>0</v>
      </c>
      <c r="T499" s="0" t="n">
        <f aca="false">I499+R499</f>
        <v>17</v>
      </c>
      <c r="U499" s="0" t="n">
        <f aca="false">O499+S499</f>
        <v>27</v>
      </c>
      <c r="V499" s="0" t="n">
        <f aca="false">T499-U499</f>
        <v>-10</v>
      </c>
      <c r="W499" s="0" t="n">
        <f aca="false">T499+U499</f>
        <v>44</v>
      </c>
    </row>
    <row r="500" customFormat="false" ht="15" hidden="false" customHeight="false" outlineLevel="0" collapsed="false">
      <c r="A500" s="0" t="n">
        <v>497</v>
      </c>
      <c r="B500" s="0" t="n">
        <f aca="true">NORMINV(RAND(),1,Coefficients!$B$22)</f>
        <v>0.942906609467822</v>
      </c>
      <c r="C500" s="0" t="n">
        <f aca="true">MEDIAN(8,16,ROUND(NORMINV(RAND(),Coefficients!$B$20,Coefficients!$B$21),0))</f>
        <v>10</v>
      </c>
      <c r="D500" s="0" t="n">
        <f aca="true">CRITBINOM($C500,MIN(0.75,Matchup!$B$39*$B500),RAND())</f>
        <v>4</v>
      </c>
      <c r="E500" s="0" t="n">
        <f aca="true">CRITBINOM(D500,Coefficients!$B$30,RAND())</f>
        <v>1</v>
      </c>
      <c r="F500" s="0" t="n">
        <f aca="true">CRITBINOM(E500,Coefficients!$B$31,RAND())</f>
        <v>1</v>
      </c>
      <c r="G500" s="0" t="n">
        <f aca="true">CRITBINOM(MAX(0,D500-E500),1-Coefficients!$B$32,RAND())</f>
        <v>0</v>
      </c>
      <c r="H500" s="0" t="n">
        <f aca="true">CRITBINOM(MAX(0,$C500-D500),MIN(0.6,Matchup!$B$40*SQRT($B500)/(1-MIN(0.75,Matchup!$B$39*$B500))),RAND())</f>
        <v>1</v>
      </c>
      <c r="I500" s="0" t="n">
        <f aca="false">6*D500+(D500-E500-G500)+2*F500+3*H500</f>
        <v>32</v>
      </c>
      <c r="J500" s="0" t="n">
        <f aca="true">CRITBINOM($C500,MIN(0.75,Matchup!$C$39*$B500),RAND())</f>
        <v>2</v>
      </c>
      <c r="K500" s="0" t="n">
        <f aca="true">CRITBINOM(J500,Coefficients!$B$30,RAND())</f>
        <v>0</v>
      </c>
      <c r="L500" s="0" t="n">
        <f aca="true">CRITBINOM(K500,Coefficients!$B$31,RAND())</f>
        <v>0</v>
      </c>
      <c r="M500" s="0" t="n">
        <f aca="true">CRITBINOM(MAX(0,J500-K500),1-Coefficients!$B$32,RAND())</f>
        <v>0</v>
      </c>
      <c r="N500" s="0" t="n">
        <f aca="true">CRITBINOM(MAX(0,$C500-J500),MIN(0.6,Matchup!$C$40*SQRT($B500)/(1-MIN(0.75,Matchup!$C$39*$B500))),RAND())</f>
        <v>0</v>
      </c>
      <c r="O500" s="0" t="n">
        <f aca="false">6*J500+(J500-K500-M500)+2*L500+3*N500</f>
        <v>14</v>
      </c>
      <c r="P500" s="0" t="n">
        <f aca="true">RAND()</f>
        <v>0.792895986394551</v>
      </c>
      <c r="Q500" s="0" t="n">
        <f aca="true">RAND()</f>
        <v>0.710702455411481</v>
      </c>
      <c r="R500" s="0" t="n">
        <f aca="false">IF($I500&lt;&gt;$O500,0,IF(P500&lt;Matchup!$B$39,7,IF(P500&lt;Matchup!$B$39+Matchup!$B$40,3,0)))</f>
        <v>0</v>
      </c>
      <c r="S500" s="0" t="n">
        <f aca="false">IF($I500&lt;&gt;$O500,0,IF(Q500&lt;Matchup!$C$39,7,IF(Q500&lt;Matchup!$C$39+Matchup!$C$40,3,0)))</f>
        <v>0</v>
      </c>
      <c r="T500" s="0" t="n">
        <f aca="false">I500+R500</f>
        <v>32</v>
      </c>
      <c r="U500" s="0" t="n">
        <f aca="false">O500+S500</f>
        <v>14</v>
      </c>
      <c r="V500" s="0" t="n">
        <f aca="false">T500-U500</f>
        <v>18</v>
      </c>
      <c r="W500" s="0" t="n">
        <f aca="false">T500+U500</f>
        <v>46</v>
      </c>
    </row>
    <row r="501" customFormat="false" ht="15" hidden="false" customHeight="false" outlineLevel="0" collapsed="false">
      <c r="A501" s="0" t="n">
        <v>498</v>
      </c>
      <c r="B501" s="0" t="n">
        <f aca="true">NORMINV(RAND(),1,Coefficients!$B$22)</f>
        <v>1.02195837051242</v>
      </c>
      <c r="C501" s="0" t="n">
        <f aca="true">MEDIAN(8,16,ROUND(NORMINV(RAND(),Coefficients!$B$20,Coefficients!$B$21),0))</f>
        <v>11</v>
      </c>
      <c r="D501" s="0" t="n">
        <f aca="true">CRITBINOM($C501,MIN(0.75,Matchup!$B$39*$B501),RAND())</f>
        <v>4</v>
      </c>
      <c r="E501" s="0" t="n">
        <f aca="true">CRITBINOM(D501,Coefficients!$B$30,RAND())</f>
        <v>1</v>
      </c>
      <c r="F501" s="0" t="n">
        <f aca="true">CRITBINOM(E501,Coefficients!$B$31,RAND())</f>
        <v>1</v>
      </c>
      <c r="G501" s="0" t="n">
        <f aca="true">CRITBINOM(MAX(0,D501-E501),1-Coefficients!$B$32,RAND())</f>
        <v>0</v>
      </c>
      <c r="H501" s="0" t="n">
        <f aca="true">CRITBINOM(MAX(0,$C501-D501),MIN(0.6,Matchup!$B$40*SQRT($B501)/(1-MIN(0.75,Matchup!$B$39*$B501))),RAND())</f>
        <v>2</v>
      </c>
      <c r="I501" s="0" t="n">
        <f aca="false">6*D501+(D501-E501-G501)+2*F501+3*H501</f>
        <v>35</v>
      </c>
      <c r="J501" s="0" t="n">
        <f aca="true">CRITBINOM($C501,MIN(0.75,Matchup!$C$39*$B501),RAND())</f>
        <v>3</v>
      </c>
      <c r="K501" s="0" t="n">
        <f aca="true">CRITBINOM(J501,Coefficients!$B$30,RAND())</f>
        <v>2</v>
      </c>
      <c r="L501" s="0" t="n">
        <f aca="true">CRITBINOM(K501,Coefficients!$B$31,RAND())</f>
        <v>1</v>
      </c>
      <c r="M501" s="0" t="n">
        <f aca="true">CRITBINOM(MAX(0,J501-K501),1-Coefficients!$B$32,RAND())</f>
        <v>0</v>
      </c>
      <c r="N501" s="0" t="n">
        <f aca="true">CRITBINOM(MAX(0,$C501-J501),MIN(0.6,Matchup!$C$40*SQRT($B501)/(1-MIN(0.75,Matchup!$C$39*$B501))),RAND())</f>
        <v>1</v>
      </c>
      <c r="O501" s="0" t="n">
        <f aca="false">6*J501+(J501-K501-M501)+2*L501+3*N501</f>
        <v>24</v>
      </c>
      <c r="P501" s="0" t="n">
        <f aca="true">RAND()</f>
        <v>0.639563277686042</v>
      </c>
      <c r="Q501" s="0" t="n">
        <f aca="true">RAND()</f>
        <v>0.856918595507031</v>
      </c>
      <c r="R501" s="0" t="n">
        <f aca="false">IF($I501&lt;&gt;$O501,0,IF(P501&lt;Matchup!$B$39,7,IF(P501&lt;Matchup!$B$39+Matchup!$B$40,3,0)))</f>
        <v>0</v>
      </c>
      <c r="S501" s="0" t="n">
        <f aca="false">IF($I501&lt;&gt;$O501,0,IF(Q501&lt;Matchup!$C$39,7,IF(Q501&lt;Matchup!$C$39+Matchup!$C$40,3,0)))</f>
        <v>0</v>
      </c>
      <c r="T501" s="0" t="n">
        <f aca="false">I501+R501</f>
        <v>35</v>
      </c>
      <c r="U501" s="0" t="n">
        <f aca="false">O501+S501</f>
        <v>24</v>
      </c>
      <c r="V501" s="0" t="n">
        <f aca="false">T501-U501</f>
        <v>11</v>
      </c>
      <c r="W501" s="0" t="n">
        <f aca="false">T501+U501</f>
        <v>59</v>
      </c>
    </row>
    <row r="502" customFormat="false" ht="15" hidden="false" customHeight="false" outlineLevel="0" collapsed="false">
      <c r="A502" s="0" t="n">
        <v>499</v>
      </c>
      <c r="B502" s="0" t="n">
        <f aca="true">NORMINV(RAND(),1,Coefficients!$B$22)</f>
        <v>0.93689699602241</v>
      </c>
      <c r="C502" s="0" t="n">
        <f aca="true">MEDIAN(8,16,ROUND(NORMINV(RAND(),Coefficients!$B$20,Coefficients!$B$21),0))</f>
        <v>12</v>
      </c>
      <c r="D502" s="0" t="n">
        <f aca="true">CRITBINOM($C502,MIN(0.75,Matchup!$B$39*$B502),RAND())</f>
        <v>1</v>
      </c>
      <c r="E502" s="0" t="n">
        <f aca="true">CRITBINOM(D502,Coefficients!$B$30,RAND())</f>
        <v>0</v>
      </c>
      <c r="F502" s="0" t="n">
        <f aca="true">CRITBINOM(E502,Coefficients!$B$31,RAND())</f>
        <v>0</v>
      </c>
      <c r="G502" s="0" t="n">
        <f aca="true">CRITBINOM(MAX(0,D502-E502),1-Coefficients!$B$32,RAND())</f>
        <v>0</v>
      </c>
      <c r="H502" s="0" t="n">
        <f aca="true">CRITBINOM(MAX(0,$C502-D502),MIN(0.6,Matchup!$B$40*SQRT($B502)/(1-MIN(0.75,Matchup!$B$39*$B502))),RAND())</f>
        <v>4</v>
      </c>
      <c r="I502" s="0" t="n">
        <f aca="false">6*D502+(D502-E502-G502)+2*F502+3*H502</f>
        <v>19</v>
      </c>
      <c r="J502" s="0" t="n">
        <f aca="true">CRITBINOM($C502,MIN(0.75,Matchup!$C$39*$B502),RAND())</f>
        <v>0</v>
      </c>
      <c r="K502" s="0" t="n">
        <f aca="true">CRITBINOM(J502,Coefficients!$B$30,RAND())</f>
        <v>0</v>
      </c>
      <c r="L502" s="0" t="n">
        <f aca="true">CRITBINOM(K502,Coefficients!$B$31,RAND())</f>
        <v>0</v>
      </c>
      <c r="M502" s="0" t="n">
        <f aca="true">CRITBINOM(MAX(0,J502-K502),1-Coefficients!$B$32,RAND())</f>
        <v>0</v>
      </c>
      <c r="N502" s="0" t="n">
        <f aca="true">CRITBINOM(MAX(0,$C502-J502),MIN(0.6,Matchup!$C$40*SQRT($B502)/(1-MIN(0.75,Matchup!$C$39*$B502))),RAND())</f>
        <v>2</v>
      </c>
      <c r="O502" s="0" t="n">
        <f aca="false">6*J502+(J502-K502-M502)+2*L502+3*N502</f>
        <v>6</v>
      </c>
      <c r="P502" s="0" t="n">
        <f aca="true">RAND()</f>
        <v>0.193443382862318</v>
      </c>
      <c r="Q502" s="0" t="n">
        <f aca="true">RAND()</f>
        <v>0.348686745819625</v>
      </c>
      <c r="R502" s="0" t="n">
        <f aca="false">IF($I502&lt;&gt;$O502,0,IF(P502&lt;Matchup!$B$39,7,IF(P502&lt;Matchup!$B$39+Matchup!$B$40,3,0)))</f>
        <v>0</v>
      </c>
      <c r="S502" s="0" t="n">
        <f aca="false">IF($I502&lt;&gt;$O502,0,IF(Q502&lt;Matchup!$C$39,7,IF(Q502&lt;Matchup!$C$39+Matchup!$C$40,3,0)))</f>
        <v>0</v>
      </c>
      <c r="T502" s="0" t="n">
        <f aca="false">I502+R502</f>
        <v>19</v>
      </c>
      <c r="U502" s="0" t="n">
        <f aca="false">O502+S502</f>
        <v>6</v>
      </c>
      <c r="V502" s="0" t="n">
        <f aca="false">T502-U502</f>
        <v>13</v>
      </c>
      <c r="W502" s="0" t="n">
        <f aca="false">T502+U502</f>
        <v>25</v>
      </c>
    </row>
    <row r="503" customFormat="false" ht="15" hidden="false" customHeight="false" outlineLevel="0" collapsed="false">
      <c r="A503" s="0" t="n">
        <v>500</v>
      </c>
      <c r="B503" s="0" t="n">
        <f aca="true">NORMINV(RAND(),1,Coefficients!$B$22)</f>
        <v>0.998043650856793</v>
      </c>
      <c r="C503" s="0" t="n">
        <f aca="true">MEDIAN(8,16,ROUND(NORMINV(RAND(),Coefficients!$B$20,Coefficients!$B$21),0))</f>
        <v>13</v>
      </c>
      <c r="D503" s="0" t="n">
        <f aca="true">CRITBINOM($C503,MIN(0.75,Matchup!$B$39*$B503),RAND())</f>
        <v>4</v>
      </c>
      <c r="E503" s="0" t="n">
        <f aca="true">CRITBINOM(D503,Coefficients!$B$30,RAND())</f>
        <v>0</v>
      </c>
      <c r="F503" s="0" t="n">
        <f aca="true">CRITBINOM(E503,Coefficients!$B$31,RAND())</f>
        <v>0</v>
      </c>
      <c r="G503" s="0" t="n">
        <f aca="true">CRITBINOM(MAX(0,D503-E503),1-Coefficients!$B$32,RAND())</f>
        <v>0</v>
      </c>
      <c r="H503" s="0" t="n">
        <f aca="true">CRITBINOM(MAX(0,$C503-D503),MIN(0.6,Matchup!$B$40*SQRT($B503)/(1-MIN(0.75,Matchup!$B$39*$B503))),RAND())</f>
        <v>0</v>
      </c>
      <c r="I503" s="0" t="n">
        <f aca="false">6*D503+(D503-E503-G503)+2*F503+3*H503</f>
        <v>28</v>
      </c>
      <c r="J503" s="0" t="n">
        <f aca="true">CRITBINOM($C503,MIN(0.75,Matchup!$C$39*$B503),RAND())</f>
        <v>3</v>
      </c>
      <c r="K503" s="0" t="n">
        <f aca="true">CRITBINOM(J503,Coefficients!$B$30,RAND())</f>
        <v>0</v>
      </c>
      <c r="L503" s="0" t="n">
        <f aca="true">CRITBINOM(K503,Coefficients!$B$31,RAND())</f>
        <v>0</v>
      </c>
      <c r="M503" s="0" t="n">
        <f aca="true">CRITBINOM(MAX(0,J503-K503),1-Coefficients!$B$32,RAND())</f>
        <v>0</v>
      </c>
      <c r="N503" s="0" t="n">
        <f aca="true">CRITBINOM(MAX(0,$C503-J503),MIN(0.6,Matchup!$C$40*SQRT($B503)/(1-MIN(0.75,Matchup!$C$39*$B503))),RAND())</f>
        <v>2</v>
      </c>
      <c r="O503" s="0" t="n">
        <f aca="false">6*J503+(J503-K503-M503)+2*L503+3*N503</f>
        <v>27</v>
      </c>
      <c r="P503" s="0" t="n">
        <f aca="true">RAND()</f>
        <v>0.635745413696002</v>
      </c>
      <c r="Q503" s="0" t="n">
        <f aca="true">RAND()</f>
        <v>0.0610457608141865</v>
      </c>
      <c r="R503" s="0" t="n">
        <f aca="false">IF($I503&lt;&gt;$O503,0,IF(P503&lt;Matchup!$B$39,7,IF(P503&lt;Matchup!$B$39+Matchup!$B$40,3,0)))</f>
        <v>0</v>
      </c>
      <c r="S503" s="0" t="n">
        <f aca="false">IF($I503&lt;&gt;$O503,0,IF(Q503&lt;Matchup!$C$39,7,IF(Q503&lt;Matchup!$C$39+Matchup!$C$40,3,0)))</f>
        <v>0</v>
      </c>
      <c r="T503" s="0" t="n">
        <f aca="false">I503+R503</f>
        <v>28</v>
      </c>
      <c r="U503" s="0" t="n">
        <f aca="false">O503+S503</f>
        <v>27</v>
      </c>
      <c r="V503" s="0" t="n">
        <f aca="false">T503-U503</f>
        <v>1</v>
      </c>
      <c r="W503" s="0" t="n">
        <f aca="false">T503+U503</f>
        <v>55</v>
      </c>
    </row>
    <row r="504" customFormat="false" ht="15" hidden="false" customHeight="false" outlineLevel="0" collapsed="false">
      <c r="A504" s="0" t="n">
        <v>501</v>
      </c>
      <c r="B504" s="0" t="n">
        <f aca="true">NORMINV(RAND(),1,Coefficients!$B$22)</f>
        <v>0.992162826731038</v>
      </c>
      <c r="C504" s="0" t="n">
        <f aca="true">MEDIAN(8,16,ROUND(NORMINV(RAND(),Coefficients!$B$20,Coefficients!$B$21),0))</f>
        <v>9</v>
      </c>
      <c r="D504" s="0" t="n">
        <f aca="true">CRITBINOM($C504,MIN(0.75,Matchup!$B$39*$B504),RAND())</f>
        <v>6</v>
      </c>
      <c r="E504" s="0" t="n">
        <f aca="true">CRITBINOM(D504,Coefficients!$B$30,RAND())</f>
        <v>0</v>
      </c>
      <c r="F504" s="0" t="n">
        <f aca="true">CRITBINOM(E504,Coefficients!$B$31,RAND())</f>
        <v>0</v>
      </c>
      <c r="G504" s="0" t="n">
        <f aca="true">CRITBINOM(MAX(0,D504-E504),1-Coefficients!$B$32,RAND())</f>
        <v>0</v>
      </c>
      <c r="H504" s="0" t="n">
        <f aca="true">CRITBINOM(MAX(0,$C504-D504),MIN(0.6,Matchup!$B$40*SQRT($B504)/(1-MIN(0.75,Matchup!$B$39*$B504))),RAND())</f>
        <v>0</v>
      </c>
      <c r="I504" s="0" t="n">
        <f aca="false">6*D504+(D504-E504-G504)+2*F504+3*H504</f>
        <v>42</v>
      </c>
      <c r="J504" s="0" t="n">
        <f aca="true">CRITBINOM($C504,MIN(0.75,Matchup!$C$39*$B504),RAND())</f>
        <v>1</v>
      </c>
      <c r="K504" s="0" t="n">
        <f aca="true">CRITBINOM(J504,Coefficients!$B$30,RAND())</f>
        <v>0</v>
      </c>
      <c r="L504" s="0" t="n">
        <f aca="true">CRITBINOM(K504,Coefficients!$B$31,RAND())</f>
        <v>0</v>
      </c>
      <c r="M504" s="0" t="n">
        <f aca="true">CRITBINOM(MAX(0,J504-K504),1-Coefficients!$B$32,RAND())</f>
        <v>0</v>
      </c>
      <c r="N504" s="0" t="n">
        <f aca="true">CRITBINOM(MAX(0,$C504-J504),MIN(0.6,Matchup!$C$40*SQRT($B504)/(1-MIN(0.75,Matchup!$C$39*$B504))),RAND())</f>
        <v>2</v>
      </c>
      <c r="O504" s="0" t="n">
        <f aca="false">6*J504+(J504-K504-M504)+2*L504+3*N504</f>
        <v>13</v>
      </c>
      <c r="P504" s="0" t="n">
        <f aca="true">RAND()</f>
        <v>0.158891914277765</v>
      </c>
      <c r="Q504" s="0" t="n">
        <f aca="true">RAND()</f>
        <v>0.392535786276894</v>
      </c>
      <c r="R504" s="0" t="n">
        <f aca="false">IF($I504&lt;&gt;$O504,0,IF(P504&lt;Matchup!$B$39,7,IF(P504&lt;Matchup!$B$39+Matchup!$B$40,3,0)))</f>
        <v>0</v>
      </c>
      <c r="S504" s="0" t="n">
        <f aca="false">IF($I504&lt;&gt;$O504,0,IF(Q504&lt;Matchup!$C$39,7,IF(Q504&lt;Matchup!$C$39+Matchup!$C$40,3,0)))</f>
        <v>0</v>
      </c>
      <c r="T504" s="0" t="n">
        <f aca="false">I504+R504</f>
        <v>42</v>
      </c>
      <c r="U504" s="0" t="n">
        <f aca="false">O504+S504</f>
        <v>13</v>
      </c>
      <c r="V504" s="0" t="n">
        <f aca="false">T504-U504</f>
        <v>29</v>
      </c>
      <c r="W504" s="0" t="n">
        <f aca="false">T504+U504</f>
        <v>55</v>
      </c>
    </row>
    <row r="505" customFormat="false" ht="15" hidden="false" customHeight="false" outlineLevel="0" collapsed="false">
      <c r="A505" s="0" t="n">
        <v>502</v>
      </c>
      <c r="B505" s="0" t="n">
        <f aca="true">NORMINV(RAND(),1,Coefficients!$B$22)</f>
        <v>1.03453610855665</v>
      </c>
      <c r="C505" s="0" t="n">
        <f aca="true">MEDIAN(8,16,ROUND(NORMINV(RAND(),Coefficients!$B$20,Coefficients!$B$21),0))</f>
        <v>11</v>
      </c>
      <c r="D505" s="0" t="n">
        <f aca="true">CRITBINOM($C505,MIN(0.75,Matchup!$B$39*$B505),RAND())</f>
        <v>4</v>
      </c>
      <c r="E505" s="0" t="n">
        <f aca="true">CRITBINOM(D505,Coefficients!$B$30,RAND())</f>
        <v>0</v>
      </c>
      <c r="F505" s="0" t="n">
        <f aca="true">CRITBINOM(E505,Coefficients!$B$31,RAND())</f>
        <v>0</v>
      </c>
      <c r="G505" s="0" t="n">
        <f aca="true">CRITBINOM(MAX(0,D505-E505),1-Coefficients!$B$32,RAND())</f>
        <v>2</v>
      </c>
      <c r="H505" s="0" t="n">
        <f aca="true">CRITBINOM(MAX(0,$C505-D505),MIN(0.6,Matchup!$B$40*SQRT($B505)/(1-MIN(0.75,Matchup!$B$39*$B505))),RAND())</f>
        <v>1</v>
      </c>
      <c r="I505" s="0" t="n">
        <f aca="false">6*D505+(D505-E505-G505)+2*F505+3*H505</f>
        <v>29</v>
      </c>
      <c r="J505" s="0" t="n">
        <f aca="true">CRITBINOM($C505,MIN(0.75,Matchup!$C$39*$B505),RAND())</f>
        <v>4</v>
      </c>
      <c r="K505" s="0" t="n">
        <f aca="true">CRITBINOM(J505,Coefficients!$B$30,RAND())</f>
        <v>0</v>
      </c>
      <c r="L505" s="0" t="n">
        <f aca="true">CRITBINOM(K505,Coefficients!$B$31,RAND())</f>
        <v>0</v>
      </c>
      <c r="M505" s="0" t="n">
        <f aca="true">CRITBINOM(MAX(0,J505-K505),1-Coefficients!$B$32,RAND())</f>
        <v>0</v>
      </c>
      <c r="N505" s="0" t="n">
        <f aca="true">CRITBINOM(MAX(0,$C505-J505),MIN(0.6,Matchup!$C$40*SQRT($B505)/(1-MIN(0.75,Matchup!$C$39*$B505))),RAND())</f>
        <v>1</v>
      </c>
      <c r="O505" s="0" t="n">
        <f aca="false">6*J505+(J505-K505-M505)+2*L505+3*N505</f>
        <v>31</v>
      </c>
      <c r="P505" s="0" t="n">
        <f aca="true">RAND()</f>
        <v>0.662165233119503</v>
      </c>
      <c r="Q505" s="0" t="n">
        <f aca="true">RAND()</f>
        <v>0.139461225298926</v>
      </c>
      <c r="R505" s="0" t="n">
        <f aca="false">IF($I505&lt;&gt;$O505,0,IF(P505&lt;Matchup!$B$39,7,IF(P505&lt;Matchup!$B$39+Matchup!$B$40,3,0)))</f>
        <v>0</v>
      </c>
      <c r="S505" s="0" t="n">
        <f aca="false">IF($I505&lt;&gt;$O505,0,IF(Q505&lt;Matchup!$C$39,7,IF(Q505&lt;Matchup!$C$39+Matchup!$C$40,3,0)))</f>
        <v>0</v>
      </c>
      <c r="T505" s="0" t="n">
        <f aca="false">I505+R505</f>
        <v>29</v>
      </c>
      <c r="U505" s="0" t="n">
        <f aca="false">O505+S505</f>
        <v>31</v>
      </c>
      <c r="V505" s="0" t="n">
        <f aca="false">T505-U505</f>
        <v>-2</v>
      </c>
      <c r="W505" s="0" t="n">
        <f aca="false">T505+U505</f>
        <v>60</v>
      </c>
    </row>
    <row r="506" customFormat="false" ht="15" hidden="false" customHeight="false" outlineLevel="0" collapsed="false">
      <c r="A506" s="0" t="n">
        <v>503</v>
      </c>
      <c r="B506" s="0" t="n">
        <f aca="true">NORMINV(RAND(),1,Coefficients!$B$22)</f>
        <v>1.04079006690874</v>
      </c>
      <c r="C506" s="0" t="n">
        <f aca="true">MEDIAN(8,16,ROUND(NORMINV(RAND(),Coefficients!$B$20,Coefficients!$B$21),0))</f>
        <v>11</v>
      </c>
      <c r="D506" s="0" t="n">
        <f aca="true">CRITBINOM($C506,MIN(0.75,Matchup!$B$39*$B506),RAND())</f>
        <v>4</v>
      </c>
      <c r="E506" s="0" t="n">
        <f aca="true">CRITBINOM(D506,Coefficients!$B$30,RAND())</f>
        <v>0</v>
      </c>
      <c r="F506" s="0" t="n">
        <f aca="true">CRITBINOM(E506,Coefficients!$B$31,RAND())</f>
        <v>0</v>
      </c>
      <c r="G506" s="0" t="n">
        <f aca="true">CRITBINOM(MAX(0,D506-E506),1-Coefficients!$B$32,RAND())</f>
        <v>0</v>
      </c>
      <c r="H506" s="0" t="n">
        <f aca="true">CRITBINOM(MAX(0,$C506-D506),MIN(0.6,Matchup!$B$40*SQRT($B506)/(1-MIN(0.75,Matchup!$B$39*$B506))),RAND())</f>
        <v>2</v>
      </c>
      <c r="I506" s="0" t="n">
        <f aca="false">6*D506+(D506-E506-G506)+2*F506+3*H506</f>
        <v>34</v>
      </c>
      <c r="J506" s="0" t="n">
        <f aca="true">CRITBINOM($C506,MIN(0.75,Matchup!$C$39*$B506),RAND())</f>
        <v>3</v>
      </c>
      <c r="K506" s="0" t="n">
        <f aca="true">CRITBINOM(J506,Coefficients!$B$30,RAND())</f>
        <v>1</v>
      </c>
      <c r="L506" s="0" t="n">
        <f aca="true">CRITBINOM(K506,Coefficients!$B$31,RAND())</f>
        <v>0</v>
      </c>
      <c r="M506" s="0" t="n">
        <f aca="true">CRITBINOM(MAX(0,J506-K506),1-Coefficients!$B$32,RAND())</f>
        <v>0</v>
      </c>
      <c r="N506" s="0" t="n">
        <f aca="true">CRITBINOM(MAX(0,$C506-J506),MIN(0.6,Matchup!$C$40*SQRT($B506)/(1-MIN(0.75,Matchup!$C$39*$B506))),RAND())</f>
        <v>2</v>
      </c>
      <c r="O506" s="0" t="n">
        <f aca="false">6*J506+(J506-K506-M506)+2*L506+3*N506</f>
        <v>26</v>
      </c>
      <c r="P506" s="0" t="n">
        <f aca="true">RAND()</f>
        <v>0.149787688582761</v>
      </c>
      <c r="Q506" s="0" t="n">
        <f aca="true">RAND()</f>
        <v>0.346259013449159</v>
      </c>
      <c r="R506" s="0" t="n">
        <f aca="false">IF($I506&lt;&gt;$O506,0,IF(P506&lt;Matchup!$B$39,7,IF(P506&lt;Matchup!$B$39+Matchup!$B$40,3,0)))</f>
        <v>0</v>
      </c>
      <c r="S506" s="0" t="n">
        <f aca="false">IF($I506&lt;&gt;$O506,0,IF(Q506&lt;Matchup!$C$39,7,IF(Q506&lt;Matchup!$C$39+Matchup!$C$40,3,0)))</f>
        <v>0</v>
      </c>
      <c r="T506" s="0" t="n">
        <f aca="false">I506+R506</f>
        <v>34</v>
      </c>
      <c r="U506" s="0" t="n">
        <f aca="false">O506+S506</f>
        <v>26</v>
      </c>
      <c r="V506" s="0" t="n">
        <f aca="false">T506-U506</f>
        <v>8</v>
      </c>
      <c r="W506" s="0" t="n">
        <f aca="false">T506+U506</f>
        <v>60</v>
      </c>
    </row>
    <row r="507" customFormat="false" ht="15" hidden="false" customHeight="false" outlineLevel="0" collapsed="false">
      <c r="A507" s="0" t="n">
        <v>504</v>
      </c>
      <c r="B507" s="0" t="n">
        <f aca="true">NORMINV(RAND(),1,Coefficients!$B$22)</f>
        <v>1.01262456606504</v>
      </c>
      <c r="C507" s="0" t="n">
        <f aca="true">MEDIAN(8,16,ROUND(NORMINV(RAND(),Coefficients!$B$20,Coefficients!$B$21),0))</f>
        <v>12</v>
      </c>
      <c r="D507" s="0" t="n">
        <f aca="true">CRITBINOM($C507,MIN(0.75,Matchup!$B$39*$B507),RAND())</f>
        <v>2</v>
      </c>
      <c r="E507" s="0" t="n">
        <f aca="true">CRITBINOM(D507,Coefficients!$B$30,RAND())</f>
        <v>0</v>
      </c>
      <c r="F507" s="0" t="n">
        <f aca="true">CRITBINOM(E507,Coefficients!$B$31,RAND())</f>
        <v>0</v>
      </c>
      <c r="G507" s="0" t="n">
        <f aca="true">CRITBINOM(MAX(0,D507-E507),1-Coefficients!$B$32,RAND())</f>
        <v>0</v>
      </c>
      <c r="H507" s="0" t="n">
        <f aca="true">CRITBINOM(MAX(0,$C507-D507),MIN(0.6,Matchup!$B$40*SQRT($B507)/(1-MIN(0.75,Matchup!$B$39*$B507))),RAND())</f>
        <v>1</v>
      </c>
      <c r="I507" s="0" t="n">
        <f aca="false">6*D507+(D507-E507-G507)+2*F507+3*H507</f>
        <v>17</v>
      </c>
      <c r="J507" s="0" t="n">
        <f aca="true">CRITBINOM($C507,MIN(0.75,Matchup!$C$39*$B507),RAND())</f>
        <v>6</v>
      </c>
      <c r="K507" s="0" t="n">
        <f aca="true">CRITBINOM(J507,Coefficients!$B$30,RAND())</f>
        <v>2</v>
      </c>
      <c r="L507" s="0" t="n">
        <f aca="true">CRITBINOM(K507,Coefficients!$B$31,RAND())</f>
        <v>1</v>
      </c>
      <c r="M507" s="0" t="n">
        <f aca="true">CRITBINOM(MAX(0,J507-K507),1-Coefficients!$B$32,RAND())</f>
        <v>0</v>
      </c>
      <c r="N507" s="0" t="n">
        <f aca="true">CRITBINOM(MAX(0,$C507-J507),MIN(0.6,Matchup!$C$40*SQRT($B507)/(1-MIN(0.75,Matchup!$C$39*$B507))),RAND())</f>
        <v>2</v>
      </c>
      <c r="O507" s="0" t="n">
        <f aca="false">6*J507+(J507-K507-M507)+2*L507+3*N507</f>
        <v>48</v>
      </c>
      <c r="P507" s="0" t="n">
        <f aca="true">RAND()</f>
        <v>0.248409020934677</v>
      </c>
      <c r="Q507" s="0" t="n">
        <f aca="true">RAND()</f>
        <v>0.846775318347122</v>
      </c>
      <c r="R507" s="0" t="n">
        <f aca="false">IF($I507&lt;&gt;$O507,0,IF(P507&lt;Matchup!$B$39,7,IF(P507&lt;Matchup!$B$39+Matchup!$B$40,3,0)))</f>
        <v>0</v>
      </c>
      <c r="S507" s="0" t="n">
        <f aca="false">IF($I507&lt;&gt;$O507,0,IF(Q507&lt;Matchup!$C$39,7,IF(Q507&lt;Matchup!$C$39+Matchup!$C$40,3,0)))</f>
        <v>0</v>
      </c>
      <c r="T507" s="0" t="n">
        <f aca="false">I507+R507</f>
        <v>17</v>
      </c>
      <c r="U507" s="0" t="n">
        <f aca="false">O507+S507</f>
        <v>48</v>
      </c>
      <c r="V507" s="0" t="n">
        <f aca="false">T507-U507</f>
        <v>-31</v>
      </c>
      <c r="W507" s="0" t="n">
        <f aca="false">T507+U507</f>
        <v>65</v>
      </c>
    </row>
    <row r="508" customFormat="false" ht="15" hidden="false" customHeight="false" outlineLevel="0" collapsed="false">
      <c r="A508" s="0" t="n">
        <v>505</v>
      </c>
      <c r="B508" s="0" t="n">
        <f aca="true">NORMINV(RAND(),1,Coefficients!$B$22)</f>
        <v>1.08188861141229</v>
      </c>
      <c r="C508" s="0" t="n">
        <f aca="true">MEDIAN(8,16,ROUND(NORMINV(RAND(),Coefficients!$B$20,Coefficients!$B$21),0))</f>
        <v>11</v>
      </c>
      <c r="D508" s="0" t="n">
        <f aca="true">CRITBINOM($C508,MIN(0.75,Matchup!$B$39*$B508),RAND())</f>
        <v>4</v>
      </c>
      <c r="E508" s="0" t="n">
        <f aca="true">CRITBINOM(D508,Coefficients!$B$30,RAND())</f>
        <v>0</v>
      </c>
      <c r="F508" s="0" t="n">
        <f aca="true">CRITBINOM(E508,Coefficients!$B$31,RAND())</f>
        <v>0</v>
      </c>
      <c r="G508" s="0" t="n">
        <f aca="true">CRITBINOM(MAX(0,D508-E508),1-Coefficients!$B$32,RAND())</f>
        <v>0</v>
      </c>
      <c r="H508" s="0" t="n">
        <f aca="true">CRITBINOM(MAX(0,$C508-D508),MIN(0.6,Matchup!$B$40*SQRT($B508)/(1-MIN(0.75,Matchup!$B$39*$B508))),RAND())</f>
        <v>1</v>
      </c>
      <c r="I508" s="0" t="n">
        <f aca="false">6*D508+(D508-E508-G508)+2*F508+3*H508</f>
        <v>31</v>
      </c>
      <c r="J508" s="0" t="n">
        <f aca="true">CRITBINOM($C508,MIN(0.75,Matchup!$C$39*$B508),RAND())</f>
        <v>3</v>
      </c>
      <c r="K508" s="0" t="n">
        <f aca="true">CRITBINOM(J508,Coefficients!$B$30,RAND())</f>
        <v>0</v>
      </c>
      <c r="L508" s="0" t="n">
        <f aca="true">CRITBINOM(K508,Coefficients!$B$31,RAND())</f>
        <v>0</v>
      </c>
      <c r="M508" s="0" t="n">
        <f aca="true">CRITBINOM(MAX(0,J508-K508),1-Coefficients!$B$32,RAND())</f>
        <v>0</v>
      </c>
      <c r="N508" s="0" t="n">
        <f aca="true">CRITBINOM(MAX(0,$C508-J508),MIN(0.6,Matchup!$C$40*SQRT($B508)/(1-MIN(0.75,Matchup!$C$39*$B508))),RAND())</f>
        <v>2</v>
      </c>
      <c r="O508" s="0" t="n">
        <f aca="false">6*J508+(J508-K508-M508)+2*L508+3*N508</f>
        <v>27</v>
      </c>
      <c r="P508" s="0" t="n">
        <f aca="true">RAND()</f>
        <v>0.991523631458622</v>
      </c>
      <c r="Q508" s="0" t="n">
        <f aca="true">RAND()</f>
        <v>0.765316882282549</v>
      </c>
      <c r="R508" s="0" t="n">
        <f aca="false">IF($I508&lt;&gt;$O508,0,IF(P508&lt;Matchup!$B$39,7,IF(P508&lt;Matchup!$B$39+Matchup!$B$40,3,0)))</f>
        <v>0</v>
      </c>
      <c r="S508" s="0" t="n">
        <f aca="false">IF($I508&lt;&gt;$O508,0,IF(Q508&lt;Matchup!$C$39,7,IF(Q508&lt;Matchup!$C$39+Matchup!$C$40,3,0)))</f>
        <v>0</v>
      </c>
      <c r="T508" s="0" t="n">
        <f aca="false">I508+R508</f>
        <v>31</v>
      </c>
      <c r="U508" s="0" t="n">
        <f aca="false">O508+S508</f>
        <v>27</v>
      </c>
      <c r="V508" s="0" t="n">
        <f aca="false">T508-U508</f>
        <v>4</v>
      </c>
      <c r="W508" s="0" t="n">
        <f aca="false">T508+U508</f>
        <v>58</v>
      </c>
    </row>
    <row r="509" customFormat="false" ht="15" hidden="false" customHeight="false" outlineLevel="0" collapsed="false">
      <c r="A509" s="0" t="n">
        <v>506</v>
      </c>
      <c r="B509" s="0" t="n">
        <f aca="true">NORMINV(RAND(),1,Coefficients!$B$22)</f>
        <v>0.974140893768272</v>
      </c>
      <c r="C509" s="0" t="n">
        <f aca="true">MEDIAN(8,16,ROUND(NORMINV(RAND(),Coefficients!$B$20,Coefficients!$B$21),0))</f>
        <v>10</v>
      </c>
      <c r="D509" s="0" t="n">
        <f aca="true">CRITBINOM($C509,MIN(0.75,Matchup!$B$39*$B509),RAND())</f>
        <v>1</v>
      </c>
      <c r="E509" s="0" t="n">
        <f aca="true">CRITBINOM(D509,Coefficients!$B$30,RAND())</f>
        <v>0</v>
      </c>
      <c r="F509" s="0" t="n">
        <f aca="true">CRITBINOM(E509,Coefficients!$B$31,RAND())</f>
        <v>0</v>
      </c>
      <c r="G509" s="0" t="n">
        <f aca="true">CRITBINOM(MAX(0,D509-E509),1-Coefficients!$B$32,RAND())</f>
        <v>0</v>
      </c>
      <c r="H509" s="0" t="n">
        <f aca="true">CRITBINOM(MAX(0,$C509-D509),MIN(0.6,Matchup!$B$40*SQRT($B509)/(1-MIN(0.75,Matchup!$B$39*$B509))),RAND())</f>
        <v>2</v>
      </c>
      <c r="I509" s="0" t="n">
        <f aca="false">6*D509+(D509-E509-G509)+2*F509+3*H509</f>
        <v>13</v>
      </c>
      <c r="J509" s="0" t="n">
        <f aca="true">CRITBINOM($C509,MIN(0.75,Matchup!$C$39*$B509),RAND())</f>
        <v>3</v>
      </c>
      <c r="K509" s="0" t="n">
        <f aca="true">CRITBINOM(J509,Coefficients!$B$30,RAND())</f>
        <v>0</v>
      </c>
      <c r="L509" s="0" t="n">
        <f aca="true">CRITBINOM(K509,Coefficients!$B$31,RAND())</f>
        <v>0</v>
      </c>
      <c r="M509" s="0" t="n">
        <f aca="true">CRITBINOM(MAX(0,J509-K509),1-Coefficients!$B$32,RAND())</f>
        <v>0</v>
      </c>
      <c r="N509" s="0" t="n">
        <f aca="true">CRITBINOM(MAX(0,$C509-J509),MIN(0.6,Matchup!$C$40*SQRT($B509)/(1-MIN(0.75,Matchup!$C$39*$B509))),RAND())</f>
        <v>3</v>
      </c>
      <c r="O509" s="0" t="n">
        <f aca="false">6*J509+(J509-K509-M509)+2*L509+3*N509</f>
        <v>30</v>
      </c>
      <c r="P509" s="0" t="n">
        <f aca="true">RAND()</f>
        <v>0.609350821467112</v>
      </c>
      <c r="Q509" s="0" t="n">
        <f aca="true">RAND()</f>
        <v>0.584058714884404</v>
      </c>
      <c r="R509" s="0" t="n">
        <f aca="false">IF($I509&lt;&gt;$O509,0,IF(P509&lt;Matchup!$B$39,7,IF(P509&lt;Matchup!$B$39+Matchup!$B$40,3,0)))</f>
        <v>0</v>
      </c>
      <c r="S509" s="0" t="n">
        <f aca="false">IF($I509&lt;&gt;$O509,0,IF(Q509&lt;Matchup!$C$39,7,IF(Q509&lt;Matchup!$C$39+Matchup!$C$40,3,0)))</f>
        <v>0</v>
      </c>
      <c r="T509" s="0" t="n">
        <f aca="false">I509+R509</f>
        <v>13</v>
      </c>
      <c r="U509" s="0" t="n">
        <f aca="false">O509+S509</f>
        <v>30</v>
      </c>
      <c r="V509" s="0" t="n">
        <f aca="false">T509-U509</f>
        <v>-17</v>
      </c>
      <c r="W509" s="0" t="n">
        <f aca="false">T509+U509</f>
        <v>43</v>
      </c>
    </row>
    <row r="510" customFormat="false" ht="15" hidden="false" customHeight="false" outlineLevel="0" collapsed="false">
      <c r="A510" s="0" t="n">
        <v>507</v>
      </c>
      <c r="B510" s="0" t="n">
        <f aca="true">NORMINV(RAND(),1,Coefficients!$B$22)</f>
        <v>1.00343116702275</v>
      </c>
      <c r="C510" s="0" t="n">
        <f aca="true">MEDIAN(8,16,ROUND(NORMINV(RAND(),Coefficients!$B$20,Coefficients!$B$21),0))</f>
        <v>11</v>
      </c>
      <c r="D510" s="0" t="n">
        <f aca="true">CRITBINOM($C510,MIN(0.75,Matchup!$B$39*$B510),RAND())</f>
        <v>4</v>
      </c>
      <c r="E510" s="0" t="n">
        <f aca="true">CRITBINOM(D510,Coefficients!$B$30,RAND())</f>
        <v>0</v>
      </c>
      <c r="F510" s="0" t="n">
        <f aca="true">CRITBINOM(E510,Coefficients!$B$31,RAND())</f>
        <v>0</v>
      </c>
      <c r="G510" s="0" t="n">
        <f aca="true">CRITBINOM(MAX(0,D510-E510),1-Coefficients!$B$32,RAND())</f>
        <v>0</v>
      </c>
      <c r="H510" s="0" t="n">
        <f aca="true">CRITBINOM(MAX(0,$C510-D510),MIN(0.6,Matchup!$B$40*SQRT($B510)/(1-MIN(0.75,Matchup!$B$39*$B510))),RAND())</f>
        <v>1</v>
      </c>
      <c r="I510" s="0" t="n">
        <f aca="false">6*D510+(D510-E510-G510)+2*F510+3*H510</f>
        <v>31</v>
      </c>
      <c r="J510" s="0" t="n">
        <f aca="true">CRITBINOM($C510,MIN(0.75,Matchup!$C$39*$B510),RAND())</f>
        <v>3</v>
      </c>
      <c r="K510" s="0" t="n">
        <f aca="true">CRITBINOM(J510,Coefficients!$B$30,RAND())</f>
        <v>0</v>
      </c>
      <c r="L510" s="0" t="n">
        <f aca="true">CRITBINOM(K510,Coefficients!$B$31,RAND())</f>
        <v>0</v>
      </c>
      <c r="M510" s="0" t="n">
        <f aca="true">CRITBINOM(MAX(0,J510-K510),1-Coefficients!$B$32,RAND())</f>
        <v>0</v>
      </c>
      <c r="N510" s="0" t="n">
        <f aca="true">CRITBINOM(MAX(0,$C510-J510),MIN(0.6,Matchup!$C$40*SQRT($B510)/(1-MIN(0.75,Matchup!$C$39*$B510))),RAND())</f>
        <v>4</v>
      </c>
      <c r="O510" s="0" t="n">
        <f aca="false">6*J510+(J510-K510-M510)+2*L510+3*N510</f>
        <v>33</v>
      </c>
      <c r="P510" s="0" t="n">
        <f aca="true">RAND()</f>
        <v>0.29041382909127</v>
      </c>
      <c r="Q510" s="0" t="n">
        <f aca="true">RAND()</f>
        <v>0.778245824350363</v>
      </c>
      <c r="R510" s="0" t="n">
        <f aca="false">IF($I510&lt;&gt;$O510,0,IF(P510&lt;Matchup!$B$39,7,IF(P510&lt;Matchup!$B$39+Matchup!$B$40,3,0)))</f>
        <v>0</v>
      </c>
      <c r="S510" s="0" t="n">
        <f aca="false">IF($I510&lt;&gt;$O510,0,IF(Q510&lt;Matchup!$C$39,7,IF(Q510&lt;Matchup!$C$39+Matchup!$C$40,3,0)))</f>
        <v>0</v>
      </c>
      <c r="T510" s="0" t="n">
        <f aca="false">I510+R510</f>
        <v>31</v>
      </c>
      <c r="U510" s="0" t="n">
        <f aca="false">O510+S510</f>
        <v>33</v>
      </c>
      <c r="V510" s="0" t="n">
        <f aca="false">T510-U510</f>
        <v>-2</v>
      </c>
      <c r="W510" s="0" t="n">
        <f aca="false">T510+U510</f>
        <v>64</v>
      </c>
    </row>
    <row r="511" customFormat="false" ht="15" hidden="false" customHeight="false" outlineLevel="0" collapsed="false">
      <c r="A511" s="0" t="n">
        <v>508</v>
      </c>
      <c r="B511" s="0" t="n">
        <f aca="true">NORMINV(RAND(),1,Coefficients!$B$22)</f>
        <v>0.92497084056919</v>
      </c>
      <c r="C511" s="0" t="n">
        <f aca="true">MEDIAN(8,16,ROUND(NORMINV(RAND(),Coefficients!$B$20,Coefficients!$B$21),0))</f>
        <v>9</v>
      </c>
      <c r="D511" s="0" t="n">
        <f aca="true">CRITBINOM($C511,MIN(0.75,Matchup!$B$39*$B511),RAND())</f>
        <v>2</v>
      </c>
      <c r="E511" s="0" t="n">
        <f aca="true">CRITBINOM(D511,Coefficients!$B$30,RAND())</f>
        <v>0</v>
      </c>
      <c r="F511" s="0" t="n">
        <f aca="true">CRITBINOM(E511,Coefficients!$B$31,RAND())</f>
        <v>0</v>
      </c>
      <c r="G511" s="0" t="n">
        <f aca="true">CRITBINOM(MAX(0,D511-E511),1-Coefficients!$B$32,RAND())</f>
        <v>0</v>
      </c>
      <c r="H511" s="0" t="n">
        <f aca="true">CRITBINOM(MAX(0,$C511-D511),MIN(0.6,Matchup!$B$40*SQRT($B511)/(1-MIN(0.75,Matchup!$B$39*$B511))),RAND())</f>
        <v>0</v>
      </c>
      <c r="I511" s="0" t="n">
        <f aca="false">6*D511+(D511-E511-G511)+2*F511+3*H511</f>
        <v>14</v>
      </c>
      <c r="J511" s="0" t="n">
        <f aca="true">CRITBINOM($C511,MIN(0.75,Matchup!$C$39*$B511),RAND())</f>
        <v>3</v>
      </c>
      <c r="K511" s="0" t="n">
        <f aca="true">CRITBINOM(J511,Coefficients!$B$30,RAND())</f>
        <v>0</v>
      </c>
      <c r="L511" s="0" t="n">
        <f aca="true">CRITBINOM(K511,Coefficients!$B$31,RAND())</f>
        <v>0</v>
      </c>
      <c r="M511" s="0" t="n">
        <f aca="true">CRITBINOM(MAX(0,J511-K511),1-Coefficients!$B$32,RAND())</f>
        <v>0</v>
      </c>
      <c r="N511" s="0" t="n">
        <f aca="true">CRITBINOM(MAX(0,$C511-J511),MIN(0.6,Matchup!$C$40*SQRT($B511)/(1-MIN(0.75,Matchup!$C$39*$B511))),RAND())</f>
        <v>0</v>
      </c>
      <c r="O511" s="0" t="n">
        <f aca="false">6*J511+(J511-K511-M511)+2*L511+3*N511</f>
        <v>21</v>
      </c>
      <c r="P511" s="0" t="n">
        <f aca="true">RAND()</f>
        <v>0.525608151106141</v>
      </c>
      <c r="Q511" s="0" t="n">
        <f aca="true">RAND()</f>
        <v>0.82411781958489</v>
      </c>
      <c r="R511" s="0" t="n">
        <f aca="false">IF($I511&lt;&gt;$O511,0,IF(P511&lt;Matchup!$B$39,7,IF(P511&lt;Matchup!$B$39+Matchup!$B$40,3,0)))</f>
        <v>0</v>
      </c>
      <c r="S511" s="0" t="n">
        <f aca="false">IF($I511&lt;&gt;$O511,0,IF(Q511&lt;Matchup!$C$39,7,IF(Q511&lt;Matchup!$C$39+Matchup!$C$40,3,0)))</f>
        <v>0</v>
      </c>
      <c r="T511" s="0" t="n">
        <f aca="false">I511+R511</f>
        <v>14</v>
      </c>
      <c r="U511" s="0" t="n">
        <f aca="false">O511+S511</f>
        <v>21</v>
      </c>
      <c r="V511" s="0" t="n">
        <f aca="false">T511-U511</f>
        <v>-7</v>
      </c>
      <c r="W511" s="0" t="n">
        <f aca="false">T511+U511</f>
        <v>35</v>
      </c>
    </row>
    <row r="512" customFormat="false" ht="15" hidden="false" customHeight="false" outlineLevel="0" collapsed="false">
      <c r="A512" s="0" t="n">
        <v>509</v>
      </c>
      <c r="B512" s="0" t="n">
        <f aca="true">NORMINV(RAND(),1,Coefficients!$B$22)</f>
        <v>1.07142436975318</v>
      </c>
      <c r="C512" s="0" t="n">
        <f aca="true">MEDIAN(8,16,ROUND(NORMINV(RAND(),Coefficients!$B$20,Coefficients!$B$21),0))</f>
        <v>10</v>
      </c>
      <c r="D512" s="0" t="n">
        <f aca="true">CRITBINOM($C512,MIN(0.75,Matchup!$B$39*$B512),RAND())</f>
        <v>1</v>
      </c>
      <c r="E512" s="0" t="n">
        <f aca="true">CRITBINOM(D512,Coefficients!$B$30,RAND())</f>
        <v>1</v>
      </c>
      <c r="F512" s="0" t="n">
        <f aca="true">CRITBINOM(E512,Coefficients!$B$31,RAND())</f>
        <v>1</v>
      </c>
      <c r="G512" s="0" t="n">
        <f aca="true">CRITBINOM(MAX(0,D512-E512),1-Coefficients!$B$32,RAND())</f>
        <v>0</v>
      </c>
      <c r="H512" s="0" t="n">
        <f aca="true">CRITBINOM(MAX(0,$C512-D512),MIN(0.6,Matchup!$B$40*SQRT($B512)/(1-MIN(0.75,Matchup!$B$39*$B512))),RAND())</f>
        <v>2</v>
      </c>
      <c r="I512" s="0" t="n">
        <f aca="false">6*D512+(D512-E512-G512)+2*F512+3*H512</f>
        <v>14</v>
      </c>
      <c r="J512" s="0" t="n">
        <f aca="true">CRITBINOM($C512,MIN(0.75,Matchup!$C$39*$B512),RAND())</f>
        <v>3</v>
      </c>
      <c r="K512" s="0" t="n">
        <f aca="true">CRITBINOM(J512,Coefficients!$B$30,RAND())</f>
        <v>0</v>
      </c>
      <c r="L512" s="0" t="n">
        <f aca="true">CRITBINOM(K512,Coefficients!$B$31,RAND())</f>
        <v>0</v>
      </c>
      <c r="M512" s="0" t="n">
        <f aca="true">CRITBINOM(MAX(0,J512-K512),1-Coefficients!$B$32,RAND())</f>
        <v>0</v>
      </c>
      <c r="N512" s="0" t="n">
        <f aca="true">CRITBINOM(MAX(0,$C512-J512),MIN(0.6,Matchup!$C$40*SQRT($B512)/(1-MIN(0.75,Matchup!$C$39*$B512))),RAND())</f>
        <v>2</v>
      </c>
      <c r="O512" s="0" t="n">
        <f aca="false">6*J512+(J512-K512-M512)+2*L512+3*N512</f>
        <v>27</v>
      </c>
      <c r="P512" s="0" t="n">
        <f aca="true">RAND()</f>
        <v>0.436163786206958</v>
      </c>
      <c r="Q512" s="0" t="n">
        <f aca="true">RAND()</f>
        <v>0.945083559532641</v>
      </c>
      <c r="R512" s="0" t="n">
        <f aca="false">IF($I512&lt;&gt;$O512,0,IF(P512&lt;Matchup!$B$39,7,IF(P512&lt;Matchup!$B$39+Matchup!$B$40,3,0)))</f>
        <v>0</v>
      </c>
      <c r="S512" s="0" t="n">
        <f aca="false">IF($I512&lt;&gt;$O512,0,IF(Q512&lt;Matchup!$C$39,7,IF(Q512&lt;Matchup!$C$39+Matchup!$C$40,3,0)))</f>
        <v>0</v>
      </c>
      <c r="T512" s="0" t="n">
        <f aca="false">I512+R512</f>
        <v>14</v>
      </c>
      <c r="U512" s="0" t="n">
        <f aca="false">O512+S512</f>
        <v>27</v>
      </c>
      <c r="V512" s="0" t="n">
        <f aca="false">T512-U512</f>
        <v>-13</v>
      </c>
      <c r="W512" s="0" t="n">
        <f aca="false">T512+U512</f>
        <v>41</v>
      </c>
    </row>
    <row r="513" customFormat="false" ht="15" hidden="false" customHeight="false" outlineLevel="0" collapsed="false">
      <c r="A513" s="0" t="n">
        <v>510</v>
      </c>
      <c r="B513" s="0" t="n">
        <f aca="true">NORMINV(RAND(),1,Coefficients!$B$22)</f>
        <v>0.944196991786083</v>
      </c>
      <c r="C513" s="0" t="n">
        <f aca="true">MEDIAN(8,16,ROUND(NORMINV(RAND(),Coefficients!$B$20,Coefficients!$B$21),0))</f>
        <v>11</v>
      </c>
      <c r="D513" s="0" t="n">
        <f aca="true">CRITBINOM($C513,MIN(0.75,Matchup!$B$39*$B513),RAND())</f>
        <v>2</v>
      </c>
      <c r="E513" s="0" t="n">
        <f aca="true">CRITBINOM(D513,Coefficients!$B$30,RAND())</f>
        <v>0</v>
      </c>
      <c r="F513" s="0" t="n">
        <f aca="true">CRITBINOM(E513,Coefficients!$B$31,RAND())</f>
        <v>0</v>
      </c>
      <c r="G513" s="0" t="n">
        <f aca="true">CRITBINOM(MAX(0,D513-E513),1-Coefficients!$B$32,RAND())</f>
        <v>0</v>
      </c>
      <c r="H513" s="0" t="n">
        <f aca="true">CRITBINOM(MAX(0,$C513-D513),MIN(0.6,Matchup!$B$40*SQRT($B513)/(1-MIN(0.75,Matchup!$B$39*$B513))),RAND())</f>
        <v>2</v>
      </c>
      <c r="I513" s="0" t="n">
        <f aca="false">6*D513+(D513-E513-G513)+2*F513+3*H513</f>
        <v>20</v>
      </c>
      <c r="J513" s="0" t="n">
        <f aca="true">CRITBINOM($C513,MIN(0.75,Matchup!$C$39*$B513),RAND())</f>
        <v>3</v>
      </c>
      <c r="K513" s="0" t="n">
        <f aca="true">CRITBINOM(J513,Coefficients!$B$30,RAND())</f>
        <v>0</v>
      </c>
      <c r="L513" s="0" t="n">
        <f aca="true">CRITBINOM(K513,Coefficients!$B$31,RAND())</f>
        <v>0</v>
      </c>
      <c r="M513" s="0" t="n">
        <f aca="true">CRITBINOM(MAX(0,J513-K513),1-Coefficients!$B$32,RAND())</f>
        <v>0</v>
      </c>
      <c r="N513" s="0" t="n">
        <f aca="true">CRITBINOM(MAX(0,$C513-J513),MIN(0.6,Matchup!$C$40*SQRT($B513)/(1-MIN(0.75,Matchup!$C$39*$B513))),RAND())</f>
        <v>3</v>
      </c>
      <c r="O513" s="0" t="n">
        <f aca="false">6*J513+(J513-K513-M513)+2*L513+3*N513</f>
        <v>30</v>
      </c>
      <c r="P513" s="0" t="n">
        <f aca="true">RAND()</f>
        <v>0.264917711460833</v>
      </c>
      <c r="Q513" s="0" t="n">
        <f aca="true">RAND()</f>
        <v>0.155971186199119</v>
      </c>
      <c r="R513" s="0" t="n">
        <f aca="false">IF($I513&lt;&gt;$O513,0,IF(P513&lt;Matchup!$B$39,7,IF(P513&lt;Matchup!$B$39+Matchup!$B$40,3,0)))</f>
        <v>0</v>
      </c>
      <c r="S513" s="0" t="n">
        <f aca="false">IF($I513&lt;&gt;$O513,0,IF(Q513&lt;Matchup!$C$39,7,IF(Q513&lt;Matchup!$C$39+Matchup!$C$40,3,0)))</f>
        <v>0</v>
      </c>
      <c r="T513" s="0" t="n">
        <f aca="false">I513+R513</f>
        <v>20</v>
      </c>
      <c r="U513" s="0" t="n">
        <f aca="false">O513+S513</f>
        <v>30</v>
      </c>
      <c r="V513" s="0" t="n">
        <f aca="false">T513-U513</f>
        <v>-10</v>
      </c>
      <c r="W513" s="0" t="n">
        <f aca="false">T513+U513</f>
        <v>50</v>
      </c>
    </row>
    <row r="514" customFormat="false" ht="15" hidden="false" customHeight="false" outlineLevel="0" collapsed="false">
      <c r="A514" s="0" t="n">
        <v>511</v>
      </c>
      <c r="B514" s="0" t="n">
        <f aca="true">NORMINV(RAND(),1,Coefficients!$B$22)</f>
        <v>1.00759304359908</v>
      </c>
      <c r="C514" s="0" t="n">
        <f aca="true">MEDIAN(8,16,ROUND(NORMINV(RAND(),Coefficients!$B$20,Coefficients!$B$21),0))</f>
        <v>10</v>
      </c>
      <c r="D514" s="0" t="n">
        <f aca="true">CRITBINOM($C514,MIN(0.75,Matchup!$B$39*$B514),RAND())</f>
        <v>0</v>
      </c>
      <c r="E514" s="0" t="n">
        <f aca="true">CRITBINOM(D514,Coefficients!$B$30,RAND())</f>
        <v>0</v>
      </c>
      <c r="F514" s="0" t="n">
        <f aca="true">CRITBINOM(E514,Coefficients!$B$31,RAND())</f>
        <v>0</v>
      </c>
      <c r="G514" s="0" t="n">
        <f aca="true">CRITBINOM(MAX(0,D514-E514),1-Coefficients!$B$32,RAND())</f>
        <v>0</v>
      </c>
      <c r="H514" s="0" t="n">
        <f aca="true">CRITBINOM(MAX(0,$C514-D514),MIN(0.6,Matchup!$B$40*SQRT($B514)/(1-MIN(0.75,Matchup!$B$39*$B514))),RAND())</f>
        <v>3</v>
      </c>
      <c r="I514" s="0" t="n">
        <f aca="false">6*D514+(D514-E514-G514)+2*F514+3*H514</f>
        <v>9</v>
      </c>
      <c r="J514" s="0" t="n">
        <f aca="true">CRITBINOM($C514,MIN(0.75,Matchup!$C$39*$B514),RAND())</f>
        <v>2</v>
      </c>
      <c r="K514" s="0" t="n">
        <f aca="true">CRITBINOM(J514,Coefficients!$B$30,RAND())</f>
        <v>0</v>
      </c>
      <c r="L514" s="0" t="n">
        <f aca="true">CRITBINOM(K514,Coefficients!$B$31,RAND())</f>
        <v>0</v>
      </c>
      <c r="M514" s="0" t="n">
        <f aca="true">CRITBINOM(MAX(0,J514-K514),1-Coefficients!$B$32,RAND())</f>
        <v>0</v>
      </c>
      <c r="N514" s="0" t="n">
        <f aca="true">CRITBINOM(MAX(0,$C514-J514),MIN(0.6,Matchup!$C$40*SQRT($B514)/(1-MIN(0.75,Matchup!$C$39*$B514))),RAND())</f>
        <v>3</v>
      </c>
      <c r="O514" s="0" t="n">
        <f aca="false">6*J514+(J514-K514-M514)+2*L514+3*N514</f>
        <v>23</v>
      </c>
      <c r="P514" s="0" t="n">
        <f aca="true">RAND()</f>
        <v>0.861791511393866</v>
      </c>
      <c r="Q514" s="0" t="n">
        <f aca="true">RAND()</f>
        <v>0.649400650087537</v>
      </c>
      <c r="R514" s="0" t="n">
        <f aca="false">IF($I514&lt;&gt;$O514,0,IF(P514&lt;Matchup!$B$39,7,IF(P514&lt;Matchup!$B$39+Matchup!$B$40,3,0)))</f>
        <v>0</v>
      </c>
      <c r="S514" s="0" t="n">
        <f aca="false">IF($I514&lt;&gt;$O514,0,IF(Q514&lt;Matchup!$C$39,7,IF(Q514&lt;Matchup!$C$39+Matchup!$C$40,3,0)))</f>
        <v>0</v>
      </c>
      <c r="T514" s="0" t="n">
        <f aca="false">I514+R514</f>
        <v>9</v>
      </c>
      <c r="U514" s="0" t="n">
        <f aca="false">O514+S514</f>
        <v>23</v>
      </c>
      <c r="V514" s="0" t="n">
        <f aca="false">T514-U514</f>
        <v>-14</v>
      </c>
      <c r="W514" s="0" t="n">
        <f aca="false">T514+U514</f>
        <v>32</v>
      </c>
    </row>
    <row r="515" customFormat="false" ht="15" hidden="false" customHeight="false" outlineLevel="0" collapsed="false">
      <c r="A515" s="0" t="n">
        <v>512</v>
      </c>
      <c r="B515" s="0" t="n">
        <f aca="true">NORMINV(RAND(),1,Coefficients!$B$22)</f>
        <v>0.976563869206548</v>
      </c>
      <c r="C515" s="0" t="n">
        <f aca="true">MEDIAN(8,16,ROUND(NORMINV(RAND(),Coefficients!$B$20,Coefficients!$B$21),0))</f>
        <v>12</v>
      </c>
      <c r="D515" s="0" t="n">
        <f aca="true">CRITBINOM($C515,MIN(0.75,Matchup!$B$39*$B515),RAND())</f>
        <v>3</v>
      </c>
      <c r="E515" s="0" t="n">
        <f aca="true">CRITBINOM(D515,Coefficients!$B$30,RAND())</f>
        <v>1</v>
      </c>
      <c r="F515" s="0" t="n">
        <f aca="true">CRITBINOM(E515,Coefficients!$B$31,RAND())</f>
        <v>1</v>
      </c>
      <c r="G515" s="0" t="n">
        <f aca="true">CRITBINOM(MAX(0,D515-E515),1-Coefficients!$B$32,RAND())</f>
        <v>0</v>
      </c>
      <c r="H515" s="0" t="n">
        <f aca="true">CRITBINOM(MAX(0,$C515-D515),MIN(0.6,Matchup!$B$40*SQRT($B515)/(1-MIN(0.75,Matchup!$B$39*$B515))),RAND())</f>
        <v>1</v>
      </c>
      <c r="I515" s="0" t="n">
        <f aca="false">6*D515+(D515-E515-G515)+2*F515+3*H515</f>
        <v>25</v>
      </c>
      <c r="J515" s="0" t="n">
        <f aca="true">CRITBINOM($C515,MIN(0.75,Matchup!$C$39*$B515),RAND())</f>
        <v>4</v>
      </c>
      <c r="K515" s="0" t="n">
        <f aca="true">CRITBINOM(J515,Coefficients!$B$30,RAND())</f>
        <v>0</v>
      </c>
      <c r="L515" s="0" t="n">
        <f aca="true">CRITBINOM(K515,Coefficients!$B$31,RAND())</f>
        <v>0</v>
      </c>
      <c r="M515" s="0" t="n">
        <f aca="true">CRITBINOM(MAX(0,J515-K515),1-Coefficients!$B$32,RAND())</f>
        <v>0</v>
      </c>
      <c r="N515" s="0" t="n">
        <f aca="true">CRITBINOM(MAX(0,$C515-J515),MIN(0.6,Matchup!$C$40*SQRT($B515)/(1-MIN(0.75,Matchup!$C$39*$B515))),RAND())</f>
        <v>1</v>
      </c>
      <c r="O515" s="0" t="n">
        <f aca="false">6*J515+(J515-K515-M515)+2*L515+3*N515</f>
        <v>31</v>
      </c>
      <c r="P515" s="0" t="n">
        <f aca="true">RAND()</f>
        <v>0.692152725827644</v>
      </c>
      <c r="Q515" s="0" t="n">
        <f aca="true">RAND()</f>
        <v>0.351600576483621</v>
      </c>
      <c r="R515" s="0" t="n">
        <f aca="false">IF($I515&lt;&gt;$O515,0,IF(P515&lt;Matchup!$B$39,7,IF(P515&lt;Matchup!$B$39+Matchup!$B$40,3,0)))</f>
        <v>0</v>
      </c>
      <c r="S515" s="0" t="n">
        <f aca="false">IF($I515&lt;&gt;$O515,0,IF(Q515&lt;Matchup!$C$39,7,IF(Q515&lt;Matchup!$C$39+Matchup!$C$40,3,0)))</f>
        <v>0</v>
      </c>
      <c r="T515" s="0" t="n">
        <f aca="false">I515+R515</f>
        <v>25</v>
      </c>
      <c r="U515" s="0" t="n">
        <f aca="false">O515+S515</f>
        <v>31</v>
      </c>
      <c r="V515" s="0" t="n">
        <f aca="false">T515-U515</f>
        <v>-6</v>
      </c>
      <c r="W515" s="0" t="n">
        <f aca="false">T515+U515</f>
        <v>56</v>
      </c>
    </row>
    <row r="516" customFormat="false" ht="15" hidden="false" customHeight="false" outlineLevel="0" collapsed="false">
      <c r="A516" s="0" t="n">
        <v>513</v>
      </c>
      <c r="B516" s="0" t="n">
        <f aca="true">NORMINV(RAND(),1,Coefficients!$B$22)</f>
        <v>0.853720612605833</v>
      </c>
      <c r="C516" s="0" t="n">
        <f aca="true">MEDIAN(8,16,ROUND(NORMINV(RAND(),Coefficients!$B$20,Coefficients!$B$21),0))</f>
        <v>11</v>
      </c>
      <c r="D516" s="0" t="n">
        <f aca="true">CRITBINOM($C516,MIN(0.75,Matchup!$B$39*$B516),RAND())</f>
        <v>5</v>
      </c>
      <c r="E516" s="0" t="n">
        <f aca="true">CRITBINOM(D516,Coefficients!$B$30,RAND())</f>
        <v>0</v>
      </c>
      <c r="F516" s="0" t="n">
        <f aca="true">CRITBINOM(E516,Coefficients!$B$31,RAND())</f>
        <v>0</v>
      </c>
      <c r="G516" s="0" t="n">
        <f aca="true">CRITBINOM(MAX(0,D516-E516),1-Coefficients!$B$32,RAND())</f>
        <v>0</v>
      </c>
      <c r="H516" s="0" t="n">
        <f aca="true">CRITBINOM(MAX(0,$C516-D516),MIN(0.6,Matchup!$B$40*SQRT($B516)/(1-MIN(0.75,Matchup!$B$39*$B516))),RAND())</f>
        <v>0</v>
      </c>
      <c r="I516" s="0" t="n">
        <f aca="false">6*D516+(D516-E516-G516)+2*F516+3*H516</f>
        <v>35</v>
      </c>
      <c r="J516" s="0" t="n">
        <f aca="true">CRITBINOM($C516,MIN(0.75,Matchup!$C$39*$B516),RAND())</f>
        <v>2</v>
      </c>
      <c r="K516" s="0" t="n">
        <f aca="true">CRITBINOM(J516,Coefficients!$B$30,RAND())</f>
        <v>0</v>
      </c>
      <c r="L516" s="0" t="n">
        <f aca="true">CRITBINOM(K516,Coefficients!$B$31,RAND())</f>
        <v>0</v>
      </c>
      <c r="M516" s="0" t="n">
        <f aca="true">CRITBINOM(MAX(0,J516-K516),1-Coefficients!$B$32,RAND())</f>
        <v>0</v>
      </c>
      <c r="N516" s="0" t="n">
        <f aca="true">CRITBINOM(MAX(0,$C516-J516),MIN(0.6,Matchup!$C$40*SQRT($B516)/(1-MIN(0.75,Matchup!$C$39*$B516))),RAND())</f>
        <v>1</v>
      </c>
      <c r="O516" s="0" t="n">
        <f aca="false">6*J516+(J516-K516-M516)+2*L516+3*N516</f>
        <v>17</v>
      </c>
      <c r="P516" s="0" t="n">
        <f aca="true">RAND()</f>
        <v>0.888576753124742</v>
      </c>
      <c r="Q516" s="0" t="n">
        <f aca="true">RAND()</f>
        <v>0.229783423130925</v>
      </c>
      <c r="R516" s="0" t="n">
        <f aca="false">IF($I516&lt;&gt;$O516,0,IF(P516&lt;Matchup!$B$39,7,IF(P516&lt;Matchup!$B$39+Matchup!$B$40,3,0)))</f>
        <v>0</v>
      </c>
      <c r="S516" s="0" t="n">
        <f aca="false">IF($I516&lt;&gt;$O516,0,IF(Q516&lt;Matchup!$C$39,7,IF(Q516&lt;Matchup!$C$39+Matchup!$C$40,3,0)))</f>
        <v>0</v>
      </c>
      <c r="T516" s="0" t="n">
        <f aca="false">I516+R516</f>
        <v>35</v>
      </c>
      <c r="U516" s="0" t="n">
        <f aca="false">O516+S516</f>
        <v>17</v>
      </c>
      <c r="V516" s="0" t="n">
        <f aca="false">T516-U516</f>
        <v>18</v>
      </c>
      <c r="W516" s="0" t="n">
        <f aca="false">T516+U516</f>
        <v>52</v>
      </c>
    </row>
    <row r="517" customFormat="false" ht="15" hidden="false" customHeight="false" outlineLevel="0" collapsed="false">
      <c r="A517" s="0" t="n">
        <v>514</v>
      </c>
      <c r="B517" s="0" t="n">
        <f aca="true">NORMINV(RAND(),1,Coefficients!$B$22)</f>
        <v>1.09510502133647</v>
      </c>
      <c r="C517" s="0" t="n">
        <f aca="true">MEDIAN(8,16,ROUND(NORMINV(RAND(),Coefficients!$B$20,Coefficients!$B$21),0))</f>
        <v>10</v>
      </c>
      <c r="D517" s="0" t="n">
        <f aca="true">CRITBINOM($C517,MIN(0.75,Matchup!$B$39*$B517),RAND())</f>
        <v>3</v>
      </c>
      <c r="E517" s="0" t="n">
        <f aca="true">CRITBINOM(D517,Coefficients!$B$30,RAND())</f>
        <v>0</v>
      </c>
      <c r="F517" s="0" t="n">
        <f aca="true">CRITBINOM(E517,Coefficients!$B$31,RAND())</f>
        <v>0</v>
      </c>
      <c r="G517" s="0" t="n">
        <f aca="true">CRITBINOM(MAX(0,D517-E517),1-Coefficients!$B$32,RAND())</f>
        <v>0</v>
      </c>
      <c r="H517" s="0" t="n">
        <f aca="true">CRITBINOM(MAX(0,$C517-D517),MIN(0.6,Matchup!$B$40*SQRT($B517)/(1-MIN(0.75,Matchup!$B$39*$B517))),RAND())</f>
        <v>0</v>
      </c>
      <c r="I517" s="0" t="n">
        <f aca="false">6*D517+(D517-E517-G517)+2*F517+3*H517</f>
        <v>21</v>
      </c>
      <c r="J517" s="0" t="n">
        <f aca="true">CRITBINOM($C517,MIN(0.75,Matchup!$C$39*$B517),RAND())</f>
        <v>2</v>
      </c>
      <c r="K517" s="0" t="n">
        <f aca="true">CRITBINOM(J517,Coefficients!$B$30,RAND())</f>
        <v>1</v>
      </c>
      <c r="L517" s="0" t="n">
        <f aca="true">CRITBINOM(K517,Coefficients!$B$31,RAND())</f>
        <v>1</v>
      </c>
      <c r="M517" s="0" t="n">
        <f aca="true">CRITBINOM(MAX(0,J517-K517),1-Coefficients!$B$32,RAND())</f>
        <v>0</v>
      </c>
      <c r="N517" s="0" t="n">
        <f aca="true">CRITBINOM(MAX(0,$C517-J517),MIN(0.6,Matchup!$C$40*SQRT($B517)/(1-MIN(0.75,Matchup!$C$39*$B517))),RAND())</f>
        <v>1</v>
      </c>
      <c r="O517" s="0" t="n">
        <f aca="false">6*J517+(J517-K517-M517)+2*L517+3*N517</f>
        <v>18</v>
      </c>
      <c r="P517" s="0" t="n">
        <f aca="true">RAND()</f>
        <v>0.604753350648118</v>
      </c>
      <c r="Q517" s="0" t="n">
        <f aca="true">RAND()</f>
        <v>0.280567501213106</v>
      </c>
      <c r="R517" s="0" t="n">
        <f aca="false">IF($I517&lt;&gt;$O517,0,IF(P517&lt;Matchup!$B$39,7,IF(P517&lt;Matchup!$B$39+Matchup!$B$40,3,0)))</f>
        <v>0</v>
      </c>
      <c r="S517" s="0" t="n">
        <f aca="false">IF($I517&lt;&gt;$O517,0,IF(Q517&lt;Matchup!$C$39,7,IF(Q517&lt;Matchup!$C$39+Matchup!$C$40,3,0)))</f>
        <v>0</v>
      </c>
      <c r="T517" s="0" t="n">
        <f aca="false">I517+R517</f>
        <v>21</v>
      </c>
      <c r="U517" s="0" t="n">
        <f aca="false">O517+S517</f>
        <v>18</v>
      </c>
      <c r="V517" s="0" t="n">
        <f aca="false">T517-U517</f>
        <v>3</v>
      </c>
      <c r="W517" s="0" t="n">
        <f aca="false">T517+U517</f>
        <v>39</v>
      </c>
    </row>
    <row r="518" customFormat="false" ht="15" hidden="false" customHeight="false" outlineLevel="0" collapsed="false">
      <c r="A518" s="0" t="n">
        <v>515</v>
      </c>
      <c r="B518" s="0" t="n">
        <f aca="true">NORMINV(RAND(),1,Coefficients!$B$22)</f>
        <v>1.02338003322706</v>
      </c>
      <c r="C518" s="0" t="n">
        <f aca="true">MEDIAN(8,16,ROUND(NORMINV(RAND(),Coefficients!$B$20,Coefficients!$B$21),0))</f>
        <v>11</v>
      </c>
      <c r="D518" s="0" t="n">
        <f aca="true">CRITBINOM($C518,MIN(0.75,Matchup!$B$39*$B518),RAND())</f>
        <v>1</v>
      </c>
      <c r="E518" s="0" t="n">
        <f aca="true">CRITBINOM(D518,Coefficients!$B$30,RAND())</f>
        <v>0</v>
      </c>
      <c r="F518" s="0" t="n">
        <f aca="true">CRITBINOM(E518,Coefficients!$B$31,RAND())</f>
        <v>0</v>
      </c>
      <c r="G518" s="0" t="n">
        <f aca="true">CRITBINOM(MAX(0,D518-E518),1-Coefficients!$B$32,RAND())</f>
        <v>0</v>
      </c>
      <c r="H518" s="0" t="n">
        <f aca="true">CRITBINOM(MAX(0,$C518-D518),MIN(0.6,Matchup!$B$40*SQRT($B518)/(1-MIN(0.75,Matchup!$B$39*$B518))),RAND())</f>
        <v>1</v>
      </c>
      <c r="I518" s="0" t="n">
        <f aca="false">6*D518+(D518-E518-G518)+2*F518+3*H518</f>
        <v>10</v>
      </c>
      <c r="J518" s="0" t="n">
        <f aca="true">CRITBINOM($C518,MIN(0.75,Matchup!$C$39*$B518),RAND())</f>
        <v>5</v>
      </c>
      <c r="K518" s="0" t="n">
        <f aca="true">CRITBINOM(J518,Coefficients!$B$30,RAND())</f>
        <v>1</v>
      </c>
      <c r="L518" s="0" t="n">
        <f aca="true">CRITBINOM(K518,Coefficients!$B$31,RAND())</f>
        <v>1</v>
      </c>
      <c r="M518" s="0" t="n">
        <f aca="true">CRITBINOM(MAX(0,J518-K518),1-Coefficients!$B$32,RAND())</f>
        <v>0</v>
      </c>
      <c r="N518" s="0" t="n">
        <f aca="true">CRITBINOM(MAX(0,$C518-J518),MIN(0.6,Matchup!$C$40*SQRT($B518)/(1-MIN(0.75,Matchup!$C$39*$B518))),RAND())</f>
        <v>1</v>
      </c>
      <c r="O518" s="0" t="n">
        <f aca="false">6*J518+(J518-K518-M518)+2*L518+3*N518</f>
        <v>39</v>
      </c>
      <c r="P518" s="0" t="n">
        <f aca="true">RAND()</f>
        <v>0.713886434643927</v>
      </c>
      <c r="Q518" s="0" t="n">
        <f aca="true">RAND()</f>
        <v>0.361921373247816</v>
      </c>
      <c r="R518" s="0" t="n">
        <f aca="false">IF($I518&lt;&gt;$O518,0,IF(P518&lt;Matchup!$B$39,7,IF(P518&lt;Matchup!$B$39+Matchup!$B$40,3,0)))</f>
        <v>0</v>
      </c>
      <c r="S518" s="0" t="n">
        <f aca="false">IF($I518&lt;&gt;$O518,0,IF(Q518&lt;Matchup!$C$39,7,IF(Q518&lt;Matchup!$C$39+Matchup!$C$40,3,0)))</f>
        <v>0</v>
      </c>
      <c r="T518" s="0" t="n">
        <f aca="false">I518+R518</f>
        <v>10</v>
      </c>
      <c r="U518" s="0" t="n">
        <f aca="false">O518+S518</f>
        <v>39</v>
      </c>
      <c r="V518" s="0" t="n">
        <f aca="false">T518-U518</f>
        <v>-29</v>
      </c>
      <c r="W518" s="0" t="n">
        <f aca="false">T518+U518</f>
        <v>49</v>
      </c>
    </row>
    <row r="519" customFormat="false" ht="15" hidden="false" customHeight="false" outlineLevel="0" collapsed="false">
      <c r="A519" s="0" t="n">
        <v>516</v>
      </c>
      <c r="B519" s="0" t="n">
        <f aca="true">NORMINV(RAND(),1,Coefficients!$B$22)</f>
        <v>1.03547286607912</v>
      </c>
      <c r="C519" s="0" t="n">
        <f aca="true">MEDIAN(8,16,ROUND(NORMINV(RAND(),Coefficients!$B$20,Coefficients!$B$21),0))</f>
        <v>12</v>
      </c>
      <c r="D519" s="0" t="n">
        <f aca="true">CRITBINOM($C519,MIN(0.75,Matchup!$B$39*$B519),RAND())</f>
        <v>4</v>
      </c>
      <c r="E519" s="0" t="n">
        <f aca="true">CRITBINOM(D519,Coefficients!$B$30,RAND())</f>
        <v>1</v>
      </c>
      <c r="F519" s="0" t="n">
        <f aca="true">CRITBINOM(E519,Coefficients!$B$31,RAND())</f>
        <v>1</v>
      </c>
      <c r="G519" s="0" t="n">
        <f aca="true">CRITBINOM(MAX(0,D519-E519),1-Coefficients!$B$32,RAND())</f>
        <v>0</v>
      </c>
      <c r="H519" s="0" t="n">
        <f aca="true">CRITBINOM(MAX(0,$C519-D519),MIN(0.6,Matchup!$B$40*SQRT($B519)/(1-MIN(0.75,Matchup!$B$39*$B519))),RAND())</f>
        <v>1</v>
      </c>
      <c r="I519" s="0" t="n">
        <f aca="false">6*D519+(D519-E519-G519)+2*F519+3*H519</f>
        <v>32</v>
      </c>
      <c r="J519" s="0" t="n">
        <f aca="true">CRITBINOM($C519,MIN(0.75,Matchup!$C$39*$B519),RAND())</f>
        <v>4</v>
      </c>
      <c r="K519" s="0" t="n">
        <f aca="true">CRITBINOM(J519,Coefficients!$B$30,RAND())</f>
        <v>0</v>
      </c>
      <c r="L519" s="0" t="n">
        <f aca="true">CRITBINOM(K519,Coefficients!$B$31,RAND())</f>
        <v>0</v>
      </c>
      <c r="M519" s="0" t="n">
        <f aca="true">CRITBINOM(MAX(0,J519-K519),1-Coefficients!$B$32,RAND())</f>
        <v>0</v>
      </c>
      <c r="N519" s="0" t="n">
        <f aca="true">CRITBINOM(MAX(0,$C519-J519),MIN(0.6,Matchup!$C$40*SQRT($B519)/(1-MIN(0.75,Matchup!$C$39*$B519))),RAND())</f>
        <v>1</v>
      </c>
      <c r="O519" s="0" t="n">
        <f aca="false">6*J519+(J519-K519-M519)+2*L519+3*N519</f>
        <v>31</v>
      </c>
      <c r="P519" s="0" t="n">
        <f aca="true">RAND()</f>
        <v>0.159305512223348</v>
      </c>
      <c r="Q519" s="0" t="n">
        <f aca="true">RAND()</f>
        <v>0.226318651044953</v>
      </c>
      <c r="R519" s="0" t="n">
        <f aca="false">IF($I519&lt;&gt;$O519,0,IF(P519&lt;Matchup!$B$39,7,IF(P519&lt;Matchup!$B$39+Matchup!$B$40,3,0)))</f>
        <v>0</v>
      </c>
      <c r="S519" s="0" t="n">
        <f aca="false">IF($I519&lt;&gt;$O519,0,IF(Q519&lt;Matchup!$C$39,7,IF(Q519&lt;Matchup!$C$39+Matchup!$C$40,3,0)))</f>
        <v>0</v>
      </c>
      <c r="T519" s="0" t="n">
        <f aca="false">I519+R519</f>
        <v>32</v>
      </c>
      <c r="U519" s="0" t="n">
        <f aca="false">O519+S519</f>
        <v>31</v>
      </c>
      <c r="V519" s="0" t="n">
        <f aca="false">T519-U519</f>
        <v>1</v>
      </c>
      <c r="W519" s="0" t="n">
        <f aca="false">T519+U519</f>
        <v>63</v>
      </c>
    </row>
    <row r="520" customFormat="false" ht="15" hidden="false" customHeight="false" outlineLevel="0" collapsed="false">
      <c r="A520" s="0" t="n">
        <v>517</v>
      </c>
      <c r="B520" s="0" t="n">
        <f aca="true">NORMINV(RAND(),1,Coefficients!$B$22)</f>
        <v>0.89876010390816</v>
      </c>
      <c r="C520" s="0" t="n">
        <f aca="true">MEDIAN(8,16,ROUND(NORMINV(RAND(),Coefficients!$B$20,Coefficients!$B$21),0))</f>
        <v>11</v>
      </c>
      <c r="D520" s="0" t="n">
        <f aca="true">CRITBINOM($C520,MIN(0.75,Matchup!$B$39*$B520),RAND())</f>
        <v>3</v>
      </c>
      <c r="E520" s="0" t="n">
        <f aca="true">CRITBINOM(D520,Coefficients!$B$30,RAND())</f>
        <v>0</v>
      </c>
      <c r="F520" s="0" t="n">
        <f aca="true">CRITBINOM(E520,Coefficients!$B$31,RAND())</f>
        <v>0</v>
      </c>
      <c r="G520" s="0" t="n">
        <f aca="true">CRITBINOM(MAX(0,D520-E520),1-Coefficients!$B$32,RAND())</f>
        <v>0</v>
      </c>
      <c r="H520" s="0" t="n">
        <f aca="true">CRITBINOM(MAX(0,$C520-D520),MIN(0.6,Matchup!$B$40*SQRT($B520)/(1-MIN(0.75,Matchup!$B$39*$B520))),RAND())</f>
        <v>0</v>
      </c>
      <c r="I520" s="0" t="n">
        <f aca="false">6*D520+(D520-E520-G520)+2*F520+3*H520</f>
        <v>21</v>
      </c>
      <c r="J520" s="0" t="n">
        <f aca="true">CRITBINOM($C520,MIN(0.75,Matchup!$C$39*$B520),RAND())</f>
        <v>2</v>
      </c>
      <c r="K520" s="0" t="n">
        <f aca="true">CRITBINOM(J520,Coefficients!$B$30,RAND())</f>
        <v>0</v>
      </c>
      <c r="L520" s="0" t="n">
        <f aca="true">CRITBINOM(K520,Coefficients!$B$31,RAND())</f>
        <v>0</v>
      </c>
      <c r="M520" s="0" t="n">
        <f aca="true">CRITBINOM(MAX(0,J520-K520),1-Coefficients!$B$32,RAND())</f>
        <v>0</v>
      </c>
      <c r="N520" s="0" t="n">
        <f aca="true">CRITBINOM(MAX(0,$C520-J520),MIN(0.6,Matchup!$C$40*SQRT($B520)/(1-MIN(0.75,Matchup!$C$39*$B520))),RAND())</f>
        <v>1</v>
      </c>
      <c r="O520" s="0" t="n">
        <f aca="false">6*J520+(J520-K520-M520)+2*L520+3*N520</f>
        <v>17</v>
      </c>
      <c r="P520" s="0" t="n">
        <f aca="true">RAND()</f>
        <v>0.0879713714597682</v>
      </c>
      <c r="Q520" s="0" t="n">
        <f aca="true">RAND()</f>
        <v>0.801265425052796</v>
      </c>
      <c r="R520" s="0" t="n">
        <f aca="false">IF($I520&lt;&gt;$O520,0,IF(P520&lt;Matchup!$B$39,7,IF(P520&lt;Matchup!$B$39+Matchup!$B$40,3,0)))</f>
        <v>0</v>
      </c>
      <c r="S520" s="0" t="n">
        <f aca="false">IF($I520&lt;&gt;$O520,0,IF(Q520&lt;Matchup!$C$39,7,IF(Q520&lt;Matchup!$C$39+Matchup!$C$40,3,0)))</f>
        <v>0</v>
      </c>
      <c r="T520" s="0" t="n">
        <f aca="false">I520+R520</f>
        <v>21</v>
      </c>
      <c r="U520" s="0" t="n">
        <f aca="false">O520+S520</f>
        <v>17</v>
      </c>
      <c r="V520" s="0" t="n">
        <f aca="false">T520-U520</f>
        <v>4</v>
      </c>
      <c r="W520" s="0" t="n">
        <f aca="false">T520+U520</f>
        <v>38</v>
      </c>
    </row>
    <row r="521" customFormat="false" ht="15" hidden="false" customHeight="false" outlineLevel="0" collapsed="false">
      <c r="A521" s="0" t="n">
        <v>518</v>
      </c>
      <c r="B521" s="0" t="n">
        <f aca="true">NORMINV(RAND(),1,Coefficients!$B$22)</f>
        <v>0.914509320739897</v>
      </c>
      <c r="C521" s="0" t="n">
        <f aca="true">MEDIAN(8,16,ROUND(NORMINV(RAND(),Coefficients!$B$20,Coefficients!$B$21),0))</f>
        <v>12</v>
      </c>
      <c r="D521" s="0" t="n">
        <f aca="true">CRITBINOM($C521,MIN(0.75,Matchup!$B$39*$B521),RAND())</f>
        <v>4</v>
      </c>
      <c r="E521" s="0" t="n">
        <f aca="true">CRITBINOM(D521,Coefficients!$B$30,RAND())</f>
        <v>0</v>
      </c>
      <c r="F521" s="0" t="n">
        <f aca="true">CRITBINOM(E521,Coefficients!$B$31,RAND())</f>
        <v>0</v>
      </c>
      <c r="G521" s="0" t="n">
        <f aca="true">CRITBINOM(MAX(0,D521-E521),1-Coefficients!$B$32,RAND())</f>
        <v>0</v>
      </c>
      <c r="H521" s="0" t="n">
        <f aca="true">CRITBINOM(MAX(0,$C521-D521),MIN(0.6,Matchup!$B$40*SQRT($B521)/(1-MIN(0.75,Matchup!$B$39*$B521))),RAND())</f>
        <v>1</v>
      </c>
      <c r="I521" s="0" t="n">
        <f aca="false">6*D521+(D521-E521-G521)+2*F521+3*H521</f>
        <v>31</v>
      </c>
      <c r="J521" s="0" t="n">
        <f aca="true">CRITBINOM($C521,MIN(0.75,Matchup!$C$39*$B521),RAND())</f>
        <v>1</v>
      </c>
      <c r="K521" s="0" t="n">
        <f aca="true">CRITBINOM(J521,Coefficients!$B$30,RAND())</f>
        <v>0</v>
      </c>
      <c r="L521" s="0" t="n">
        <f aca="true">CRITBINOM(K521,Coefficients!$B$31,RAND())</f>
        <v>0</v>
      </c>
      <c r="M521" s="0" t="n">
        <f aca="true">CRITBINOM(MAX(0,J521-K521),1-Coefficients!$B$32,RAND())</f>
        <v>0</v>
      </c>
      <c r="N521" s="0" t="n">
        <f aca="true">CRITBINOM(MAX(0,$C521-J521),MIN(0.6,Matchup!$C$40*SQRT($B521)/(1-MIN(0.75,Matchup!$C$39*$B521))),RAND())</f>
        <v>2</v>
      </c>
      <c r="O521" s="0" t="n">
        <f aca="false">6*J521+(J521-K521-M521)+2*L521+3*N521</f>
        <v>13</v>
      </c>
      <c r="P521" s="0" t="n">
        <f aca="true">RAND()</f>
        <v>0.241607598800397</v>
      </c>
      <c r="Q521" s="0" t="n">
        <f aca="true">RAND()</f>
        <v>0.0699603390662021</v>
      </c>
      <c r="R521" s="0" t="n">
        <f aca="false">IF($I521&lt;&gt;$O521,0,IF(P521&lt;Matchup!$B$39,7,IF(P521&lt;Matchup!$B$39+Matchup!$B$40,3,0)))</f>
        <v>0</v>
      </c>
      <c r="S521" s="0" t="n">
        <f aca="false">IF($I521&lt;&gt;$O521,0,IF(Q521&lt;Matchup!$C$39,7,IF(Q521&lt;Matchup!$C$39+Matchup!$C$40,3,0)))</f>
        <v>0</v>
      </c>
      <c r="T521" s="0" t="n">
        <f aca="false">I521+R521</f>
        <v>31</v>
      </c>
      <c r="U521" s="0" t="n">
        <f aca="false">O521+S521</f>
        <v>13</v>
      </c>
      <c r="V521" s="0" t="n">
        <f aca="false">T521-U521</f>
        <v>18</v>
      </c>
      <c r="W521" s="0" t="n">
        <f aca="false">T521+U521</f>
        <v>44</v>
      </c>
    </row>
    <row r="522" customFormat="false" ht="15" hidden="false" customHeight="false" outlineLevel="0" collapsed="false">
      <c r="A522" s="0" t="n">
        <v>519</v>
      </c>
      <c r="B522" s="0" t="n">
        <f aca="true">NORMINV(RAND(),1,Coefficients!$B$22)</f>
        <v>1.05333656161414</v>
      </c>
      <c r="C522" s="0" t="n">
        <f aca="true">MEDIAN(8,16,ROUND(NORMINV(RAND(),Coefficients!$B$20,Coefficients!$B$21),0))</f>
        <v>11</v>
      </c>
      <c r="D522" s="0" t="n">
        <f aca="true">CRITBINOM($C522,MIN(0.75,Matchup!$B$39*$B522),RAND())</f>
        <v>4</v>
      </c>
      <c r="E522" s="0" t="n">
        <f aca="true">CRITBINOM(D522,Coefficients!$B$30,RAND())</f>
        <v>0</v>
      </c>
      <c r="F522" s="0" t="n">
        <f aca="true">CRITBINOM(E522,Coefficients!$B$31,RAND())</f>
        <v>0</v>
      </c>
      <c r="G522" s="0" t="n">
        <f aca="true">CRITBINOM(MAX(0,D522-E522),1-Coefficients!$B$32,RAND())</f>
        <v>0</v>
      </c>
      <c r="H522" s="0" t="n">
        <f aca="true">CRITBINOM(MAX(0,$C522-D522),MIN(0.6,Matchup!$B$40*SQRT($B522)/(1-MIN(0.75,Matchup!$B$39*$B522))),RAND())</f>
        <v>3</v>
      </c>
      <c r="I522" s="0" t="n">
        <f aca="false">6*D522+(D522-E522-G522)+2*F522+3*H522</f>
        <v>37</v>
      </c>
      <c r="J522" s="0" t="n">
        <f aca="true">CRITBINOM($C522,MIN(0.75,Matchup!$C$39*$B522),RAND())</f>
        <v>2</v>
      </c>
      <c r="K522" s="0" t="n">
        <f aca="true">CRITBINOM(J522,Coefficients!$B$30,RAND())</f>
        <v>0</v>
      </c>
      <c r="L522" s="0" t="n">
        <f aca="true">CRITBINOM(K522,Coefficients!$B$31,RAND())</f>
        <v>0</v>
      </c>
      <c r="M522" s="0" t="n">
        <f aca="true">CRITBINOM(MAX(0,J522-K522),1-Coefficients!$B$32,RAND())</f>
        <v>0</v>
      </c>
      <c r="N522" s="0" t="n">
        <f aca="true">CRITBINOM(MAX(0,$C522-J522),MIN(0.6,Matchup!$C$40*SQRT($B522)/(1-MIN(0.75,Matchup!$C$39*$B522))),RAND())</f>
        <v>4</v>
      </c>
      <c r="O522" s="0" t="n">
        <f aca="false">6*J522+(J522-K522-M522)+2*L522+3*N522</f>
        <v>26</v>
      </c>
      <c r="P522" s="0" t="n">
        <f aca="true">RAND()</f>
        <v>0.861565813442662</v>
      </c>
      <c r="Q522" s="0" t="n">
        <f aca="true">RAND()</f>
        <v>0.611812838372293</v>
      </c>
      <c r="R522" s="0" t="n">
        <f aca="false">IF($I522&lt;&gt;$O522,0,IF(P522&lt;Matchup!$B$39,7,IF(P522&lt;Matchup!$B$39+Matchup!$B$40,3,0)))</f>
        <v>0</v>
      </c>
      <c r="S522" s="0" t="n">
        <f aca="false">IF($I522&lt;&gt;$O522,0,IF(Q522&lt;Matchup!$C$39,7,IF(Q522&lt;Matchup!$C$39+Matchup!$C$40,3,0)))</f>
        <v>0</v>
      </c>
      <c r="T522" s="0" t="n">
        <f aca="false">I522+R522</f>
        <v>37</v>
      </c>
      <c r="U522" s="0" t="n">
        <f aca="false">O522+S522</f>
        <v>26</v>
      </c>
      <c r="V522" s="0" t="n">
        <f aca="false">T522-U522</f>
        <v>11</v>
      </c>
      <c r="W522" s="0" t="n">
        <f aca="false">T522+U522</f>
        <v>63</v>
      </c>
    </row>
    <row r="523" customFormat="false" ht="15" hidden="false" customHeight="false" outlineLevel="0" collapsed="false">
      <c r="A523" s="0" t="n">
        <v>520</v>
      </c>
      <c r="B523" s="0" t="n">
        <f aca="true">NORMINV(RAND(),1,Coefficients!$B$22)</f>
        <v>0.921844980776912</v>
      </c>
      <c r="C523" s="0" t="n">
        <f aca="true">MEDIAN(8,16,ROUND(NORMINV(RAND(),Coefficients!$B$20,Coefficients!$B$21),0))</f>
        <v>10</v>
      </c>
      <c r="D523" s="0" t="n">
        <f aca="true">CRITBINOM($C523,MIN(0.75,Matchup!$B$39*$B523),RAND())</f>
        <v>2</v>
      </c>
      <c r="E523" s="0" t="n">
        <f aca="true">CRITBINOM(D523,Coefficients!$B$30,RAND())</f>
        <v>0</v>
      </c>
      <c r="F523" s="0" t="n">
        <f aca="true">CRITBINOM(E523,Coefficients!$B$31,RAND())</f>
        <v>0</v>
      </c>
      <c r="G523" s="0" t="n">
        <f aca="true">CRITBINOM(MAX(0,D523-E523),1-Coefficients!$B$32,RAND())</f>
        <v>0</v>
      </c>
      <c r="H523" s="0" t="n">
        <f aca="true">CRITBINOM(MAX(0,$C523-D523),MIN(0.6,Matchup!$B$40*SQRT($B523)/(1-MIN(0.75,Matchup!$B$39*$B523))),RAND())</f>
        <v>3</v>
      </c>
      <c r="I523" s="0" t="n">
        <f aca="false">6*D523+(D523-E523-G523)+2*F523+3*H523</f>
        <v>23</v>
      </c>
      <c r="J523" s="0" t="n">
        <f aca="true">CRITBINOM($C523,MIN(0.75,Matchup!$C$39*$B523),RAND())</f>
        <v>1</v>
      </c>
      <c r="K523" s="0" t="n">
        <f aca="true">CRITBINOM(J523,Coefficients!$B$30,RAND())</f>
        <v>0</v>
      </c>
      <c r="L523" s="0" t="n">
        <f aca="true">CRITBINOM(K523,Coefficients!$B$31,RAND())</f>
        <v>0</v>
      </c>
      <c r="M523" s="0" t="n">
        <f aca="true">CRITBINOM(MAX(0,J523-K523),1-Coefficients!$B$32,RAND())</f>
        <v>0</v>
      </c>
      <c r="N523" s="0" t="n">
        <f aca="true">CRITBINOM(MAX(0,$C523-J523),MIN(0.6,Matchup!$C$40*SQRT($B523)/(1-MIN(0.75,Matchup!$C$39*$B523))),RAND())</f>
        <v>2</v>
      </c>
      <c r="O523" s="0" t="n">
        <f aca="false">6*J523+(J523-K523-M523)+2*L523+3*N523</f>
        <v>13</v>
      </c>
      <c r="P523" s="0" t="n">
        <f aca="true">RAND()</f>
        <v>0.0516804098273506</v>
      </c>
      <c r="Q523" s="0" t="n">
        <f aca="true">RAND()</f>
        <v>0.172392484206223</v>
      </c>
      <c r="R523" s="0" t="n">
        <f aca="false">IF($I523&lt;&gt;$O523,0,IF(P523&lt;Matchup!$B$39,7,IF(P523&lt;Matchup!$B$39+Matchup!$B$40,3,0)))</f>
        <v>0</v>
      </c>
      <c r="S523" s="0" t="n">
        <f aca="false">IF($I523&lt;&gt;$O523,0,IF(Q523&lt;Matchup!$C$39,7,IF(Q523&lt;Matchup!$C$39+Matchup!$C$40,3,0)))</f>
        <v>0</v>
      </c>
      <c r="T523" s="0" t="n">
        <f aca="false">I523+R523</f>
        <v>23</v>
      </c>
      <c r="U523" s="0" t="n">
        <f aca="false">O523+S523</f>
        <v>13</v>
      </c>
      <c r="V523" s="0" t="n">
        <f aca="false">T523-U523</f>
        <v>10</v>
      </c>
      <c r="W523" s="0" t="n">
        <f aca="false">T523+U523</f>
        <v>36</v>
      </c>
    </row>
    <row r="524" customFormat="false" ht="15" hidden="false" customHeight="false" outlineLevel="0" collapsed="false">
      <c r="A524" s="0" t="n">
        <v>521</v>
      </c>
      <c r="B524" s="0" t="n">
        <f aca="true">NORMINV(RAND(),1,Coefficients!$B$22)</f>
        <v>0.955209102079395</v>
      </c>
      <c r="C524" s="0" t="n">
        <f aca="true">MEDIAN(8,16,ROUND(NORMINV(RAND(),Coefficients!$B$20,Coefficients!$B$21),0))</f>
        <v>12</v>
      </c>
      <c r="D524" s="0" t="n">
        <f aca="true">CRITBINOM($C524,MIN(0.75,Matchup!$B$39*$B524),RAND())</f>
        <v>4</v>
      </c>
      <c r="E524" s="0" t="n">
        <f aca="true">CRITBINOM(D524,Coefficients!$B$30,RAND())</f>
        <v>0</v>
      </c>
      <c r="F524" s="0" t="n">
        <f aca="true">CRITBINOM(E524,Coefficients!$B$31,RAND())</f>
        <v>0</v>
      </c>
      <c r="G524" s="0" t="n">
        <f aca="true">CRITBINOM(MAX(0,D524-E524),1-Coefficients!$B$32,RAND())</f>
        <v>0</v>
      </c>
      <c r="H524" s="0" t="n">
        <f aca="true">CRITBINOM(MAX(0,$C524-D524),MIN(0.6,Matchup!$B$40*SQRT($B524)/(1-MIN(0.75,Matchup!$B$39*$B524))),RAND())</f>
        <v>1</v>
      </c>
      <c r="I524" s="0" t="n">
        <f aca="false">6*D524+(D524-E524-G524)+2*F524+3*H524</f>
        <v>31</v>
      </c>
      <c r="J524" s="0" t="n">
        <f aca="true">CRITBINOM($C524,MIN(0.75,Matchup!$C$39*$B524),RAND())</f>
        <v>1</v>
      </c>
      <c r="K524" s="0" t="n">
        <f aca="true">CRITBINOM(J524,Coefficients!$B$30,RAND())</f>
        <v>0</v>
      </c>
      <c r="L524" s="0" t="n">
        <f aca="true">CRITBINOM(K524,Coefficients!$B$31,RAND())</f>
        <v>0</v>
      </c>
      <c r="M524" s="0" t="n">
        <f aca="true">CRITBINOM(MAX(0,J524-K524),1-Coefficients!$B$32,RAND())</f>
        <v>0</v>
      </c>
      <c r="N524" s="0" t="n">
        <f aca="true">CRITBINOM(MAX(0,$C524-J524),MIN(0.6,Matchup!$C$40*SQRT($B524)/(1-MIN(0.75,Matchup!$C$39*$B524))),RAND())</f>
        <v>1</v>
      </c>
      <c r="O524" s="0" t="n">
        <f aca="false">6*J524+(J524-K524-M524)+2*L524+3*N524</f>
        <v>10</v>
      </c>
      <c r="P524" s="0" t="n">
        <f aca="true">RAND()</f>
        <v>0.608084481586812</v>
      </c>
      <c r="Q524" s="0" t="n">
        <f aca="true">RAND()</f>
        <v>0.381590116880389</v>
      </c>
      <c r="R524" s="0" t="n">
        <f aca="false">IF($I524&lt;&gt;$O524,0,IF(P524&lt;Matchup!$B$39,7,IF(P524&lt;Matchup!$B$39+Matchup!$B$40,3,0)))</f>
        <v>0</v>
      </c>
      <c r="S524" s="0" t="n">
        <f aca="false">IF($I524&lt;&gt;$O524,0,IF(Q524&lt;Matchup!$C$39,7,IF(Q524&lt;Matchup!$C$39+Matchup!$C$40,3,0)))</f>
        <v>0</v>
      </c>
      <c r="T524" s="0" t="n">
        <f aca="false">I524+R524</f>
        <v>31</v>
      </c>
      <c r="U524" s="0" t="n">
        <f aca="false">O524+S524</f>
        <v>10</v>
      </c>
      <c r="V524" s="0" t="n">
        <f aca="false">T524-U524</f>
        <v>21</v>
      </c>
      <c r="W524" s="0" t="n">
        <f aca="false">T524+U524</f>
        <v>41</v>
      </c>
    </row>
    <row r="525" customFormat="false" ht="15" hidden="false" customHeight="false" outlineLevel="0" collapsed="false">
      <c r="A525" s="0" t="n">
        <v>522</v>
      </c>
      <c r="B525" s="0" t="n">
        <f aca="true">NORMINV(RAND(),1,Coefficients!$B$22)</f>
        <v>0.881887105496064</v>
      </c>
      <c r="C525" s="0" t="n">
        <f aca="true">MEDIAN(8,16,ROUND(NORMINV(RAND(),Coefficients!$B$20,Coefficients!$B$21),0))</f>
        <v>12</v>
      </c>
      <c r="D525" s="0" t="n">
        <f aca="true">CRITBINOM($C525,MIN(0.75,Matchup!$B$39*$B525),RAND())</f>
        <v>4</v>
      </c>
      <c r="E525" s="0" t="n">
        <f aca="true">CRITBINOM(D525,Coefficients!$B$30,RAND())</f>
        <v>2</v>
      </c>
      <c r="F525" s="0" t="n">
        <f aca="true">CRITBINOM(E525,Coefficients!$B$31,RAND())</f>
        <v>1</v>
      </c>
      <c r="G525" s="0" t="n">
        <f aca="true">CRITBINOM(MAX(0,D525-E525),1-Coefficients!$B$32,RAND())</f>
        <v>1</v>
      </c>
      <c r="H525" s="0" t="n">
        <f aca="true">CRITBINOM(MAX(0,$C525-D525),MIN(0.6,Matchup!$B$40*SQRT($B525)/(1-MIN(0.75,Matchup!$B$39*$B525))),RAND())</f>
        <v>1</v>
      </c>
      <c r="I525" s="0" t="n">
        <f aca="false">6*D525+(D525-E525-G525)+2*F525+3*H525</f>
        <v>30</v>
      </c>
      <c r="J525" s="0" t="n">
        <f aca="true">CRITBINOM($C525,MIN(0.75,Matchup!$C$39*$B525),RAND())</f>
        <v>1</v>
      </c>
      <c r="K525" s="0" t="n">
        <f aca="true">CRITBINOM(J525,Coefficients!$B$30,RAND())</f>
        <v>0</v>
      </c>
      <c r="L525" s="0" t="n">
        <f aca="true">CRITBINOM(K525,Coefficients!$B$31,RAND())</f>
        <v>0</v>
      </c>
      <c r="M525" s="0" t="n">
        <f aca="true">CRITBINOM(MAX(0,J525-K525),1-Coefficients!$B$32,RAND())</f>
        <v>0</v>
      </c>
      <c r="N525" s="0" t="n">
        <f aca="true">CRITBINOM(MAX(0,$C525-J525),MIN(0.6,Matchup!$C$40*SQRT($B525)/(1-MIN(0.75,Matchup!$C$39*$B525))),RAND())</f>
        <v>4</v>
      </c>
      <c r="O525" s="0" t="n">
        <f aca="false">6*J525+(J525-K525-M525)+2*L525+3*N525</f>
        <v>19</v>
      </c>
      <c r="P525" s="0" t="n">
        <f aca="true">RAND()</f>
        <v>0.181532813982641</v>
      </c>
      <c r="Q525" s="0" t="n">
        <f aca="true">RAND()</f>
        <v>0.893764464008273</v>
      </c>
      <c r="R525" s="0" t="n">
        <f aca="false">IF($I525&lt;&gt;$O525,0,IF(P525&lt;Matchup!$B$39,7,IF(P525&lt;Matchup!$B$39+Matchup!$B$40,3,0)))</f>
        <v>0</v>
      </c>
      <c r="S525" s="0" t="n">
        <f aca="false">IF($I525&lt;&gt;$O525,0,IF(Q525&lt;Matchup!$C$39,7,IF(Q525&lt;Matchup!$C$39+Matchup!$C$40,3,0)))</f>
        <v>0</v>
      </c>
      <c r="T525" s="0" t="n">
        <f aca="false">I525+R525</f>
        <v>30</v>
      </c>
      <c r="U525" s="0" t="n">
        <f aca="false">O525+S525</f>
        <v>19</v>
      </c>
      <c r="V525" s="0" t="n">
        <f aca="false">T525-U525</f>
        <v>11</v>
      </c>
      <c r="W525" s="0" t="n">
        <f aca="false">T525+U525</f>
        <v>49</v>
      </c>
    </row>
    <row r="526" customFormat="false" ht="15" hidden="false" customHeight="false" outlineLevel="0" collapsed="false">
      <c r="A526" s="0" t="n">
        <v>523</v>
      </c>
      <c r="B526" s="0" t="n">
        <f aca="true">NORMINV(RAND(),1,Coefficients!$B$22)</f>
        <v>0.902301787720797</v>
      </c>
      <c r="C526" s="0" t="n">
        <f aca="true">MEDIAN(8,16,ROUND(NORMINV(RAND(),Coefficients!$B$20,Coefficients!$B$21),0))</f>
        <v>12</v>
      </c>
      <c r="D526" s="0" t="n">
        <f aca="true">CRITBINOM($C526,MIN(0.75,Matchup!$B$39*$B526),RAND())</f>
        <v>1</v>
      </c>
      <c r="E526" s="0" t="n">
        <f aca="true">CRITBINOM(D526,Coefficients!$B$30,RAND())</f>
        <v>0</v>
      </c>
      <c r="F526" s="0" t="n">
        <f aca="true">CRITBINOM(E526,Coefficients!$B$31,RAND())</f>
        <v>0</v>
      </c>
      <c r="G526" s="0" t="n">
        <f aca="true">CRITBINOM(MAX(0,D526-E526),1-Coefficients!$B$32,RAND())</f>
        <v>1</v>
      </c>
      <c r="H526" s="0" t="n">
        <f aca="true">CRITBINOM(MAX(0,$C526-D526),MIN(0.6,Matchup!$B$40*SQRT($B526)/(1-MIN(0.75,Matchup!$B$39*$B526))),RAND())</f>
        <v>2</v>
      </c>
      <c r="I526" s="0" t="n">
        <f aca="false">6*D526+(D526-E526-G526)+2*F526+3*H526</f>
        <v>12</v>
      </c>
      <c r="J526" s="0" t="n">
        <f aca="true">CRITBINOM($C526,MIN(0.75,Matchup!$C$39*$B526),RAND())</f>
        <v>1</v>
      </c>
      <c r="K526" s="0" t="n">
        <f aca="true">CRITBINOM(J526,Coefficients!$B$30,RAND())</f>
        <v>0</v>
      </c>
      <c r="L526" s="0" t="n">
        <f aca="true">CRITBINOM(K526,Coefficients!$B$31,RAND())</f>
        <v>0</v>
      </c>
      <c r="M526" s="0" t="n">
        <f aca="true">CRITBINOM(MAX(0,J526-K526),1-Coefficients!$B$32,RAND())</f>
        <v>1</v>
      </c>
      <c r="N526" s="0" t="n">
        <f aca="true">CRITBINOM(MAX(0,$C526-J526),MIN(0.6,Matchup!$C$40*SQRT($B526)/(1-MIN(0.75,Matchup!$C$39*$B526))),RAND())</f>
        <v>1</v>
      </c>
      <c r="O526" s="0" t="n">
        <f aca="false">6*J526+(J526-K526-M526)+2*L526+3*N526</f>
        <v>9</v>
      </c>
      <c r="P526" s="0" t="n">
        <f aca="true">RAND()</f>
        <v>0.00227044344854746</v>
      </c>
      <c r="Q526" s="0" t="n">
        <f aca="true">RAND()</f>
        <v>0.909338592183407</v>
      </c>
      <c r="R526" s="0" t="n">
        <f aca="false">IF($I526&lt;&gt;$O526,0,IF(P526&lt;Matchup!$B$39,7,IF(P526&lt;Matchup!$B$39+Matchup!$B$40,3,0)))</f>
        <v>0</v>
      </c>
      <c r="S526" s="0" t="n">
        <f aca="false">IF($I526&lt;&gt;$O526,0,IF(Q526&lt;Matchup!$C$39,7,IF(Q526&lt;Matchup!$C$39+Matchup!$C$40,3,0)))</f>
        <v>0</v>
      </c>
      <c r="T526" s="0" t="n">
        <f aca="false">I526+R526</f>
        <v>12</v>
      </c>
      <c r="U526" s="0" t="n">
        <f aca="false">O526+S526</f>
        <v>9</v>
      </c>
      <c r="V526" s="0" t="n">
        <f aca="false">T526-U526</f>
        <v>3</v>
      </c>
      <c r="W526" s="0" t="n">
        <f aca="false">T526+U526</f>
        <v>21</v>
      </c>
    </row>
    <row r="527" customFormat="false" ht="15" hidden="false" customHeight="false" outlineLevel="0" collapsed="false">
      <c r="A527" s="0" t="n">
        <v>524</v>
      </c>
      <c r="B527" s="0" t="n">
        <f aca="true">NORMINV(RAND(),1,Coefficients!$B$22)</f>
        <v>1.05688752655065</v>
      </c>
      <c r="C527" s="0" t="n">
        <f aca="true">MEDIAN(8,16,ROUND(NORMINV(RAND(),Coefficients!$B$20,Coefficients!$B$21),0))</f>
        <v>13</v>
      </c>
      <c r="D527" s="0" t="n">
        <f aca="true">CRITBINOM($C527,MIN(0.75,Matchup!$B$39*$B527),RAND())</f>
        <v>4</v>
      </c>
      <c r="E527" s="0" t="n">
        <f aca="true">CRITBINOM(D527,Coefficients!$B$30,RAND())</f>
        <v>0</v>
      </c>
      <c r="F527" s="0" t="n">
        <f aca="true">CRITBINOM(E527,Coefficients!$B$31,RAND())</f>
        <v>0</v>
      </c>
      <c r="G527" s="0" t="n">
        <f aca="true">CRITBINOM(MAX(0,D527-E527),1-Coefficients!$B$32,RAND())</f>
        <v>0</v>
      </c>
      <c r="H527" s="0" t="n">
        <f aca="true">CRITBINOM(MAX(0,$C527-D527),MIN(0.6,Matchup!$B$40*SQRT($B527)/(1-MIN(0.75,Matchup!$B$39*$B527))),RAND())</f>
        <v>1</v>
      </c>
      <c r="I527" s="0" t="n">
        <f aca="false">6*D527+(D527-E527-G527)+2*F527+3*H527</f>
        <v>31</v>
      </c>
      <c r="J527" s="0" t="n">
        <f aca="true">CRITBINOM($C527,MIN(0.75,Matchup!$C$39*$B527),RAND())</f>
        <v>1</v>
      </c>
      <c r="K527" s="0" t="n">
        <f aca="true">CRITBINOM(J527,Coefficients!$B$30,RAND())</f>
        <v>0</v>
      </c>
      <c r="L527" s="0" t="n">
        <f aca="true">CRITBINOM(K527,Coefficients!$B$31,RAND())</f>
        <v>0</v>
      </c>
      <c r="M527" s="0" t="n">
        <f aca="true">CRITBINOM(MAX(0,J527-K527),1-Coefficients!$B$32,RAND())</f>
        <v>0</v>
      </c>
      <c r="N527" s="0" t="n">
        <f aca="true">CRITBINOM(MAX(0,$C527-J527),MIN(0.6,Matchup!$C$40*SQRT($B527)/(1-MIN(0.75,Matchup!$C$39*$B527))),RAND())</f>
        <v>1</v>
      </c>
      <c r="O527" s="0" t="n">
        <f aca="false">6*J527+(J527-K527-M527)+2*L527+3*N527</f>
        <v>10</v>
      </c>
      <c r="P527" s="0" t="n">
        <f aca="true">RAND()</f>
        <v>0.215346566310057</v>
      </c>
      <c r="Q527" s="0" t="n">
        <f aca="true">RAND()</f>
        <v>0.914258747892165</v>
      </c>
      <c r="R527" s="0" t="n">
        <f aca="false">IF($I527&lt;&gt;$O527,0,IF(P527&lt;Matchup!$B$39,7,IF(P527&lt;Matchup!$B$39+Matchup!$B$40,3,0)))</f>
        <v>0</v>
      </c>
      <c r="S527" s="0" t="n">
        <f aca="false">IF($I527&lt;&gt;$O527,0,IF(Q527&lt;Matchup!$C$39,7,IF(Q527&lt;Matchup!$C$39+Matchup!$C$40,3,0)))</f>
        <v>0</v>
      </c>
      <c r="T527" s="0" t="n">
        <f aca="false">I527+R527</f>
        <v>31</v>
      </c>
      <c r="U527" s="0" t="n">
        <f aca="false">O527+S527</f>
        <v>10</v>
      </c>
      <c r="V527" s="0" t="n">
        <f aca="false">T527-U527</f>
        <v>21</v>
      </c>
      <c r="W527" s="0" t="n">
        <f aca="false">T527+U527</f>
        <v>41</v>
      </c>
    </row>
    <row r="528" customFormat="false" ht="15" hidden="false" customHeight="false" outlineLevel="0" collapsed="false">
      <c r="A528" s="0" t="n">
        <v>525</v>
      </c>
      <c r="B528" s="0" t="n">
        <f aca="true">NORMINV(RAND(),1,Coefficients!$B$22)</f>
        <v>0.900683913823851</v>
      </c>
      <c r="C528" s="0" t="n">
        <f aca="true">MEDIAN(8,16,ROUND(NORMINV(RAND(),Coefficients!$B$20,Coefficients!$B$21),0))</f>
        <v>10</v>
      </c>
      <c r="D528" s="0" t="n">
        <f aca="true">CRITBINOM($C528,MIN(0.75,Matchup!$B$39*$B528),RAND())</f>
        <v>4</v>
      </c>
      <c r="E528" s="0" t="n">
        <f aca="true">CRITBINOM(D528,Coefficients!$B$30,RAND())</f>
        <v>0</v>
      </c>
      <c r="F528" s="0" t="n">
        <f aca="true">CRITBINOM(E528,Coefficients!$B$31,RAND())</f>
        <v>0</v>
      </c>
      <c r="G528" s="0" t="n">
        <f aca="true">CRITBINOM(MAX(0,D528-E528),1-Coefficients!$B$32,RAND())</f>
        <v>0</v>
      </c>
      <c r="H528" s="0" t="n">
        <f aca="true">CRITBINOM(MAX(0,$C528-D528),MIN(0.6,Matchup!$B$40*SQRT($B528)/(1-MIN(0.75,Matchup!$B$39*$B528))),RAND())</f>
        <v>2</v>
      </c>
      <c r="I528" s="0" t="n">
        <f aca="false">6*D528+(D528-E528-G528)+2*F528+3*H528</f>
        <v>34</v>
      </c>
      <c r="J528" s="0" t="n">
        <f aca="true">CRITBINOM($C528,MIN(0.75,Matchup!$C$39*$B528),RAND())</f>
        <v>3</v>
      </c>
      <c r="K528" s="0" t="n">
        <f aca="true">CRITBINOM(J528,Coefficients!$B$30,RAND())</f>
        <v>0</v>
      </c>
      <c r="L528" s="0" t="n">
        <f aca="true">CRITBINOM(K528,Coefficients!$B$31,RAND())</f>
        <v>0</v>
      </c>
      <c r="M528" s="0" t="n">
        <f aca="true">CRITBINOM(MAX(0,J528-K528),1-Coefficients!$B$32,RAND())</f>
        <v>0</v>
      </c>
      <c r="N528" s="0" t="n">
        <f aca="true">CRITBINOM(MAX(0,$C528-J528),MIN(0.6,Matchup!$C$40*SQRT($B528)/(1-MIN(0.75,Matchup!$C$39*$B528))),RAND())</f>
        <v>1</v>
      </c>
      <c r="O528" s="0" t="n">
        <f aca="false">6*J528+(J528-K528-M528)+2*L528+3*N528</f>
        <v>24</v>
      </c>
      <c r="P528" s="0" t="n">
        <f aca="true">RAND()</f>
        <v>0.310387176823403</v>
      </c>
      <c r="Q528" s="0" t="n">
        <f aca="true">RAND()</f>
        <v>0.0592815427251049</v>
      </c>
      <c r="R528" s="0" t="n">
        <f aca="false">IF($I528&lt;&gt;$O528,0,IF(P528&lt;Matchup!$B$39,7,IF(P528&lt;Matchup!$B$39+Matchup!$B$40,3,0)))</f>
        <v>0</v>
      </c>
      <c r="S528" s="0" t="n">
        <f aca="false">IF($I528&lt;&gt;$O528,0,IF(Q528&lt;Matchup!$C$39,7,IF(Q528&lt;Matchup!$C$39+Matchup!$C$40,3,0)))</f>
        <v>0</v>
      </c>
      <c r="T528" s="0" t="n">
        <f aca="false">I528+R528</f>
        <v>34</v>
      </c>
      <c r="U528" s="0" t="n">
        <f aca="false">O528+S528</f>
        <v>24</v>
      </c>
      <c r="V528" s="0" t="n">
        <f aca="false">T528-U528</f>
        <v>10</v>
      </c>
      <c r="W528" s="0" t="n">
        <f aca="false">T528+U528</f>
        <v>58</v>
      </c>
    </row>
    <row r="529" customFormat="false" ht="15" hidden="false" customHeight="false" outlineLevel="0" collapsed="false">
      <c r="A529" s="0" t="n">
        <v>526</v>
      </c>
      <c r="B529" s="0" t="n">
        <f aca="true">NORMINV(RAND(),1,Coefficients!$B$22)</f>
        <v>1.04626436688935</v>
      </c>
      <c r="C529" s="0" t="n">
        <f aca="true">MEDIAN(8,16,ROUND(NORMINV(RAND(),Coefficients!$B$20,Coefficients!$B$21),0))</f>
        <v>9</v>
      </c>
      <c r="D529" s="0" t="n">
        <f aca="true">CRITBINOM($C529,MIN(0.75,Matchup!$B$39*$B529),RAND())</f>
        <v>2</v>
      </c>
      <c r="E529" s="0" t="n">
        <f aca="true">CRITBINOM(D529,Coefficients!$B$30,RAND())</f>
        <v>0</v>
      </c>
      <c r="F529" s="0" t="n">
        <f aca="true">CRITBINOM(E529,Coefficients!$B$31,RAND())</f>
        <v>0</v>
      </c>
      <c r="G529" s="0" t="n">
        <f aca="true">CRITBINOM(MAX(0,D529-E529),1-Coefficients!$B$32,RAND())</f>
        <v>0</v>
      </c>
      <c r="H529" s="0" t="n">
        <f aca="true">CRITBINOM(MAX(0,$C529-D529),MIN(0.6,Matchup!$B$40*SQRT($B529)/(1-MIN(0.75,Matchup!$B$39*$B529))),RAND())</f>
        <v>0</v>
      </c>
      <c r="I529" s="0" t="n">
        <f aca="false">6*D529+(D529-E529-G529)+2*F529+3*H529</f>
        <v>14</v>
      </c>
      <c r="J529" s="0" t="n">
        <f aca="true">CRITBINOM($C529,MIN(0.75,Matchup!$C$39*$B529),RAND())</f>
        <v>2</v>
      </c>
      <c r="K529" s="0" t="n">
        <f aca="true">CRITBINOM(J529,Coefficients!$B$30,RAND())</f>
        <v>0</v>
      </c>
      <c r="L529" s="0" t="n">
        <f aca="true">CRITBINOM(K529,Coefficients!$B$31,RAND())</f>
        <v>0</v>
      </c>
      <c r="M529" s="0" t="n">
        <f aca="true">CRITBINOM(MAX(0,J529-K529),1-Coefficients!$B$32,RAND())</f>
        <v>0</v>
      </c>
      <c r="N529" s="0" t="n">
        <f aca="true">CRITBINOM(MAX(0,$C529-J529),MIN(0.6,Matchup!$C$40*SQRT($B529)/(1-MIN(0.75,Matchup!$C$39*$B529))),RAND())</f>
        <v>1</v>
      </c>
      <c r="O529" s="0" t="n">
        <f aca="false">6*J529+(J529-K529-M529)+2*L529+3*N529</f>
        <v>17</v>
      </c>
      <c r="P529" s="0" t="n">
        <f aca="true">RAND()</f>
        <v>0.431253620350303</v>
      </c>
      <c r="Q529" s="0" t="n">
        <f aca="true">RAND()</f>
        <v>0.172515114063852</v>
      </c>
      <c r="R529" s="0" t="n">
        <f aca="false">IF($I529&lt;&gt;$O529,0,IF(P529&lt;Matchup!$B$39,7,IF(P529&lt;Matchup!$B$39+Matchup!$B$40,3,0)))</f>
        <v>0</v>
      </c>
      <c r="S529" s="0" t="n">
        <f aca="false">IF($I529&lt;&gt;$O529,0,IF(Q529&lt;Matchup!$C$39,7,IF(Q529&lt;Matchup!$C$39+Matchup!$C$40,3,0)))</f>
        <v>0</v>
      </c>
      <c r="T529" s="0" t="n">
        <f aca="false">I529+R529</f>
        <v>14</v>
      </c>
      <c r="U529" s="0" t="n">
        <f aca="false">O529+S529</f>
        <v>17</v>
      </c>
      <c r="V529" s="0" t="n">
        <f aca="false">T529-U529</f>
        <v>-3</v>
      </c>
      <c r="W529" s="0" t="n">
        <f aca="false">T529+U529</f>
        <v>31</v>
      </c>
    </row>
    <row r="530" customFormat="false" ht="15" hidden="false" customHeight="false" outlineLevel="0" collapsed="false">
      <c r="A530" s="0" t="n">
        <v>527</v>
      </c>
      <c r="B530" s="0" t="n">
        <f aca="true">NORMINV(RAND(),1,Coefficients!$B$22)</f>
        <v>1.08395784508529</v>
      </c>
      <c r="C530" s="0" t="n">
        <f aca="true">MEDIAN(8,16,ROUND(NORMINV(RAND(),Coefficients!$B$20,Coefficients!$B$21),0))</f>
        <v>12</v>
      </c>
      <c r="D530" s="0" t="n">
        <f aca="true">CRITBINOM($C530,MIN(0.75,Matchup!$B$39*$B530),RAND())</f>
        <v>2</v>
      </c>
      <c r="E530" s="0" t="n">
        <f aca="true">CRITBINOM(D530,Coefficients!$B$30,RAND())</f>
        <v>0</v>
      </c>
      <c r="F530" s="0" t="n">
        <f aca="true">CRITBINOM(E530,Coefficients!$B$31,RAND())</f>
        <v>0</v>
      </c>
      <c r="G530" s="0" t="n">
        <f aca="true">CRITBINOM(MAX(0,D530-E530),1-Coefficients!$B$32,RAND())</f>
        <v>0</v>
      </c>
      <c r="H530" s="0" t="n">
        <f aca="true">CRITBINOM(MAX(0,$C530-D530),MIN(0.6,Matchup!$B$40*SQRT($B530)/(1-MIN(0.75,Matchup!$B$39*$B530))),RAND())</f>
        <v>2</v>
      </c>
      <c r="I530" s="0" t="n">
        <f aca="false">6*D530+(D530-E530-G530)+2*F530+3*H530</f>
        <v>20</v>
      </c>
      <c r="J530" s="0" t="n">
        <f aca="true">CRITBINOM($C530,MIN(0.75,Matchup!$C$39*$B530),RAND())</f>
        <v>5</v>
      </c>
      <c r="K530" s="0" t="n">
        <f aca="true">CRITBINOM(J530,Coefficients!$B$30,RAND())</f>
        <v>0</v>
      </c>
      <c r="L530" s="0" t="n">
        <f aca="true">CRITBINOM(K530,Coefficients!$B$31,RAND())</f>
        <v>0</v>
      </c>
      <c r="M530" s="0" t="n">
        <f aca="true">CRITBINOM(MAX(0,J530-K530),1-Coefficients!$B$32,RAND())</f>
        <v>0</v>
      </c>
      <c r="N530" s="0" t="n">
        <f aca="true">CRITBINOM(MAX(0,$C530-J530),MIN(0.6,Matchup!$C$40*SQRT($B530)/(1-MIN(0.75,Matchup!$C$39*$B530))),RAND())</f>
        <v>1</v>
      </c>
      <c r="O530" s="0" t="n">
        <f aca="false">6*J530+(J530-K530-M530)+2*L530+3*N530</f>
        <v>38</v>
      </c>
      <c r="P530" s="0" t="n">
        <f aca="true">RAND()</f>
        <v>0.991776157811607</v>
      </c>
      <c r="Q530" s="0" t="n">
        <f aca="true">RAND()</f>
        <v>0.908995898970115</v>
      </c>
      <c r="R530" s="0" t="n">
        <f aca="false">IF($I530&lt;&gt;$O530,0,IF(P530&lt;Matchup!$B$39,7,IF(P530&lt;Matchup!$B$39+Matchup!$B$40,3,0)))</f>
        <v>0</v>
      </c>
      <c r="S530" s="0" t="n">
        <f aca="false">IF($I530&lt;&gt;$O530,0,IF(Q530&lt;Matchup!$C$39,7,IF(Q530&lt;Matchup!$C$39+Matchup!$C$40,3,0)))</f>
        <v>0</v>
      </c>
      <c r="T530" s="0" t="n">
        <f aca="false">I530+R530</f>
        <v>20</v>
      </c>
      <c r="U530" s="0" t="n">
        <f aca="false">O530+S530</f>
        <v>38</v>
      </c>
      <c r="V530" s="0" t="n">
        <f aca="false">T530-U530</f>
        <v>-18</v>
      </c>
      <c r="W530" s="0" t="n">
        <f aca="false">T530+U530</f>
        <v>58</v>
      </c>
    </row>
    <row r="531" customFormat="false" ht="15" hidden="false" customHeight="false" outlineLevel="0" collapsed="false">
      <c r="A531" s="0" t="n">
        <v>528</v>
      </c>
      <c r="B531" s="0" t="n">
        <f aca="true">NORMINV(RAND(),1,Coefficients!$B$22)</f>
        <v>1.0087208487959</v>
      </c>
      <c r="C531" s="0" t="n">
        <f aca="true">MEDIAN(8,16,ROUND(NORMINV(RAND(),Coefficients!$B$20,Coefficients!$B$21),0))</f>
        <v>10</v>
      </c>
      <c r="D531" s="0" t="n">
        <f aca="true">CRITBINOM($C531,MIN(0.75,Matchup!$B$39*$B531),RAND())</f>
        <v>3</v>
      </c>
      <c r="E531" s="0" t="n">
        <f aca="true">CRITBINOM(D531,Coefficients!$B$30,RAND())</f>
        <v>0</v>
      </c>
      <c r="F531" s="0" t="n">
        <f aca="true">CRITBINOM(E531,Coefficients!$B$31,RAND())</f>
        <v>0</v>
      </c>
      <c r="G531" s="0" t="n">
        <f aca="true">CRITBINOM(MAX(0,D531-E531),1-Coefficients!$B$32,RAND())</f>
        <v>0</v>
      </c>
      <c r="H531" s="0" t="n">
        <f aca="true">CRITBINOM(MAX(0,$C531-D531),MIN(0.6,Matchup!$B$40*SQRT($B531)/(1-MIN(0.75,Matchup!$B$39*$B531))),RAND())</f>
        <v>3</v>
      </c>
      <c r="I531" s="0" t="n">
        <f aca="false">6*D531+(D531-E531-G531)+2*F531+3*H531</f>
        <v>30</v>
      </c>
      <c r="J531" s="0" t="n">
        <f aca="true">CRITBINOM($C531,MIN(0.75,Matchup!$C$39*$B531),RAND())</f>
        <v>1</v>
      </c>
      <c r="K531" s="0" t="n">
        <f aca="true">CRITBINOM(J531,Coefficients!$B$30,RAND())</f>
        <v>0</v>
      </c>
      <c r="L531" s="0" t="n">
        <f aca="true">CRITBINOM(K531,Coefficients!$B$31,RAND())</f>
        <v>0</v>
      </c>
      <c r="M531" s="0" t="n">
        <f aca="true">CRITBINOM(MAX(0,J531-K531),1-Coefficients!$B$32,RAND())</f>
        <v>0</v>
      </c>
      <c r="N531" s="0" t="n">
        <f aca="true">CRITBINOM(MAX(0,$C531-J531),MIN(0.6,Matchup!$C$40*SQRT($B531)/(1-MIN(0.75,Matchup!$C$39*$B531))),RAND())</f>
        <v>2</v>
      </c>
      <c r="O531" s="0" t="n">
        <f aca="false">6*J531+(J531-K531-M531)+2*L531+3*N531</f>
        <v>13</v>
      </c>
      <c r="P531" s="0" t="n">
        <f aca="true">RAND()</f>
        <v>0.441895948880792</v>
      </c>
      <c r="Q531" s="0" t="n">
        <f aca="true">RAND()</f>
        <v>0.999341670417201</v>
      </c>
      <c r="R531" s="0" t="n">
        <f aca="false">IF($I531&lt;&gt;$O531,0,IF(P531&lt;Matchup!$B$39,7,IF(P531&lt;Matchup!$B$39+Matchup!$B$40,3,0)))</f>
        <v>0</v>
      </c>
      <c r="S531" s="0" t="n">
        <f aca="false">IF($I531&lt;&gt;$O531,0,IF(Q531&lt;Matchup!$C$39,7,IF(Q531&lt;Matchup!$C$39+Matchup!$C$40,3,0)))</f>
        <v>0</v>
      </c>
      <c r="T531" s="0" t="n">
        <f aca="false">I531+R531</f>
        <v>30</v>
      </c>
      <c r="U531" s="0" t="n">
        <f aca="false">O531+S531</f>
        <v>13</v>
      </c>
      <c r="V531" s="0" t="n">
        <f aca="false">T531-U531</f>
        <v>17</v>
      </c>
      <c r="W531" s="0" t="n">
        <f aca="false">T531+U531</f>
        <v>43</v>
      </c>
    </row>
    <row r="532" customFormat="false" ht="15" hidden="false" customHeight="false" outlineLevel="0" collapsed="false">
      <c r="A532" s="0" t="n">
        <v>529</v>
      </c>
      <c r="B532" s="0" t="n">
        <f aca="true">NORMINV(RAND(),1,Coefficients!$B$22)</f>
        <v>0.880473000421364</v>
      </c>
      <c r="C532" s="0" t="n">
        <f aca="true">MEDIAN(8,16,ROUND(NORMINV(RAND(),Coefficients!$B$20,Coefficients!$B$21),0))</f>
        <v>12</v>
      </c>
      <c r="D532" s="0" t="n">
        <f aca="true">CRITBINOM($C532,MIN(0.75,Matchup!$B$39*$B532),RAND())</f>
        <v>4</v>
      </c>
      <c r="E532" s="0" t="n">
        <f aca="true">CRITBINOM(D532,Coefficients!$B$30,RAND())</f>
        <v>0</v>
      </c>
      <c r="F532" s="0" t="n">
        <f aca="true">CRITBINOM(E532,Coefficients!$B$31,RAND())</f>
        <v>0</v>
      </c>
      <c r="G532" s="0" t="n">
        <f aca="true">CRITBINOM(MAX(0,D532-E532),1-Coefficients!$B$32,RAND())</f>
        <v>0</v>
      </c>
      <c r="H532" s="0" t="n">
        <f aca="true">CRITBINOM(MAX(0,$C532-D532),MIN(0.6,Matchup!$B$40*SQRT($B532)/(1-MIN(0.75,Matchup!$B$39*$B532))),RAND())</f>
        <v>0</v>
      </c>
      <c r="I532" s="0" t="n">
        <f aca="false">6*D532+(D532-E532-G532)+2*F532+3*H532</f>
        <v>28</v>
      </c>
      <c r="J532" s="0" t="n">
        <f aca="true">CRITBINOM($C532,MIN(0.75,Matchup!$C$39*$B532),RAND())</f>
        <v>2</v>
      </c>
      <c r="K532" s="0" t="n">
        <f aca="true">CRITBINOM(J532,Coefficients!$B$30,RAND())</f>
        <v>0</v>
      </c>
      <c r="L532" s="0" t="n">
        <f aca="true">CRITBINOM(K532,Coefficients!$B$31,RAND())</f>
        <v>0</v>
      </c>
      <c r="M532" s="0" t="n">
        <f aca="true">CRITBINOM(MAX(0,J532-K532),1-Coefficients!$B$32,RAND())</f>
        <v>1</v>
      </c>
      <c r="N532" s="0" t="n">
        <f aca="true">CRITBINOM(MAX(0,$C532-J532),MIN(0.6,Matchup!$C$40*SQRT($B532)/(1-MIN(0.75,Matchup!$C$39*$B532))),RAND())</f>
        <v>1</v>
      </c>
      <c r="O532" s="0" t="n">
        <f aca="false">6*J532+(J532-K532-M532)+2*L532+3*N532</f>
        <v>16</v>
      </c>
      <c r="P532" s="0" t="n">
        <f aca="true">RAND()</f>
        <v>0.587779348701015</v>
      </c>
      <c r="Q532" s="0" t="n">
        <f aca="true">RAND()</f>
        <v>0.140804886985683</v>
      </c>
      <c r="R532" s="0" t="n">
        <f aca="false">IF($I532&lt;&gt;$O532,0,IF(P532&lt;Matchup!$B$39,7,IF(P532&lt;Matchup!$B$39+Matchup!$B$40,3,0)))</f>
        <v>0</v>
      </c>
      <c r="S532" s="0" t="n">
        <f aca="false">IF($I532&lt;&gt;$O532,0,IF(Q532&lt;Matchup!$C$39,7,IF(Q532&lt;Matchup!$C$39+Matchup!$C$40,3,0)))</f>
        <v>0</v>
      </c>
      <c r="T532" s="0" t="n">
        <f aca="false">I532+R532</f>
        <v>28</v>
      </c>
      <c r="U532" s="0" t="n">
        <f aca="false">O532+S532</f>
        <v>16</v>
      </c>
      <c r="V532" s="0" t="n">
        <f aca="false">T532-U532</f>
        <v>12</v>
      </c>
      <c r="W532" s="0" t="n">
        <f aca="false">T532+U532</f>
        <v>44</v>
      </c>
    </row>
    <row r="533" customFormat="false" ht="15" hidden="false" customHeight="false" outlineLevel="0" collapsed="false">
      <c r="A533" s="0" t="n">
        <v>530</v>
      </c>
      <c r="B533" s="0" t="n">
        <f aca="true">NORMINV(RAND(),1,Coefficients!$B$22)</f>
        <v>1.21298302456163</v>
      </c>
      <c r="C533" s="0" t="n">
        <f aca="true">MEDIAN(8,16,ROUND(NORMINV(RAND(),Coefficients!$B$20,Coefficients!$B$21),0))</f>
        <v>11</v>
      </c>
      <c r="D533" s="0" t="n">
        <f aca="true">CRITBINOM($C533,MIN(0.75,Matchup!$B$39*$B533),RAND())</f>
        <v>2</v>
      </c>
      <c r="E533" s="0" t="n">
        <f aca="true">CRITBINOM(D533,Coefficients!$B$30,RAND())</f>
        <v>0</v>
      </c>
      <c r="F533" s="0" t="n">
        <f aca="true">CRITBINOM(E533,Coefficients!$B$31,RAND())</f>
        <v>0</v>
      </c>
      <c r="G533" s="0" t="n">
        <f aca="true">CRITBINOM(MAX(0,D533-E533),1-Coefficients!$B$32,RAND())</f>
        <v>0</v>
      </c>
      <c r="H533" s="0" t="n">
        <f aca="true">CRITBINOM(MAX(0,$C533-D533),MIN(0.6,Matchup!$B$40*SQRT($B533)/(1-MIN(0.75,Matchup!$B$39*$B533))),RAND())</f>
        <v>1</v>
      </c>
      <c r="I533" s="0" t="n">
        <f aca="false">6*D533+(D533-E533-G533)+2*F533+3*H533</f>
        <v>17</v>
      </c>
      <c r="J533" s="0" t="n">
        <f aca="true">CRITBINOM($C533,MIN(0.75,Matchup!$C$39*$B533),RAND())</f>
        <v>5</v>
      </c>
      <c r="K533" s="0" t="n">
        <f aca="true">CRITBINOM(J533,Coefficients!$B$30,RAND())</f>
        <v>0</v>
      </c>
      <c r="L533" s="0" t="n">
        <f aca="true">CRITBINOM(K533,Coefficients!$B$31,RAND())</f>
        <v>0</v>
      </c>
      <c r="M533" s="0" t="n">
        <f aca="true">CRITBINOM(MAX(0,J533-K533),1-Coefficients!$B$32,RAND())</f>
        <v>0</v>
      </c>
      <c r="N533" s="0" t="n">
        <f aca="true">CRITBINOM(MAX(0,$C533-J533),MIN(0.6,Matchup!$C$40*SQRT($B533)/(1-MIN(0.75,Matchup!$C$39*$B533))),RAND())</f>
        <v>3</v>
      </c>
      <c r="O533" s="0" t="n">
        <f aca="false">6*J533+(J533-K533-M533)+2*L533+3*N533</f>
        <v>44</v>
      </c>
      <c r="P533" s="0" t="n">
        <f aca="true">RAND()</f>
        <v>0.411435129885253</v>
      </c>
      <c r="Q533" s="0" t="n">
        <f aca="true">RAND()</f>
        <v>0.848246047292211</v>
      </c>
      <c r="R533" s="0" t="n">
        <f aca="false">IF($I533&lt;&gt;$O533,0,IF(P533&lt;Matchup!$B$39,7,IF(P533&lt;Matchup!$B$39+Matchup!$B$40,3,0)))</f>
        <v>0</v>
      </c>
      <c r="S533" s="0" t="n">
        <f aca="false">IF($I533&lt;&gt;$O533,0,IF(Q533&lt;Matchup!$C$39,7,IF(Q533&lt;Matchup!$C$39+Matchup!$C$40,3,0)))</f>
        <v>0</v>
      </c>
      <c r="T533" s="0" t="n">
        <f aca="false">I533+R533</f>
        <v>17</v>
      </c>
      <c r="U533" s="0" t="n">
        <f aca="false">O533+S533</f>
        <v>44</v>
      </c>
      <c r="V533" s="0" t="n">
        <f aca="false">T533-U533</f>
        <v>-27</v>
      </c>
      <c r="W533" s="0" t="n">
        <f aca="false">T533+U533</f>
        <v>61</v>
      </c>
    </row>
    <row r="534" customFormat="false" ht="15" hidden="false" customHeight="false" outlineLevel="0" collapsed="false">
      <c r="A534" s="0" t="n">
        <v>531</v>
      </c>
      <c r="B534" s="0" t="n">
        <f aca="true">NORMINV(RAND(),1,Coefficients!$B$22)</f>
        <v>1.02152195062894</v>
      </c>
      <c r="C534" s="0" t="n">
        <f aca="true">MEDIAN(8,16,ROUND(NORMINV(RAND(),Coefficients!$B$20,Coefficients!$B$21),0))</f>
        <v>10</v>
      </c>
      <c r="D534" s="0" t="n">
        <f aca="true">CRITBINOM($C534,MIN(0.75,Matchup!$B$39*$B534),RAND())</f>
        <v>3</v>
      </c>
      <c r="E534" s="0" t="n">
        <f aca="true">CRITBINOM(D534,Coefficients!$B$30,RAND())</f>
        <v>1</v>
      </c>
      <c r="F534" s="0" t="n">
        <f aca="true">CRITBINOM(E534,Coefficients!$B$31,RAND())</f>
        <v>0</v>
      </c>
      <c r="G534" s="0" t="n">
        <f aca="true">CRITBINOM(MAX(0,D534-E534),1-Coefficients!$B$32,RAND())</f>
        <v>0</v>
      </c>
      <c r="H534" s="0" t="n">
        <f aca="true">CRITBINOM(MAX(0,$C534-D534),MIN(0.6,Matchup!$B$40*SQRT($B534)/(1-MIN(0.75,Matchup!$B$39*$B534))),RAND())</f>
        <v>3</v>
      </c>
      <c r="I534" s="0" t="n">
        <f aca="false">6*D534+(D534-E534-G534)+2*F534+3*H534</f>
        <v>29</v>
      </c>
      <c r="J534" s="0" t="n">
        <f aca="true">CRITBINOM($C534,MIN(0.75,Matchup!$C$39*$B534),RAND())</f>
        <v>2</v>
      </c>
      <c r="K534" s="0" t="n">
        <f aca="true">CRITBINOM(J534,Coefficients!$B$30,RAND())</f>
        <v>0</v>
      </c>
      <c r="L534" s="0" t="n">
        <f aca="true">CRITBINOM(K534,Coefficients!$B$31,RAND())</f>
        <v>0</v>
      </c>
      <c r="M534" s="0" t="n">
        <f aca="true">CRITBINOM(MAX(0,J534-K534),1-Coefficients!$B$32,RAND())</f>
        <v>0</v>
      </c>
      <c r="N534" s="0" t="n">
        <f aca="true">CRITBINOM(MAX(0,$C534-J534),MIN(0.6,Matchup!$C$40*SQRT($B534)/(1-MIN(0.75,Matchup!$C$39*$B534))),RAND())</f>
        <v>0</v>
      </c>
      <c r="O534" s="0" t="n">
        <f aca="false">6*J534+(J534-K534-M534)+2*L534+3*N534</f>
        <v>14</v>
      </c>
      <c r="P534" s="0" t="n">
        <f aca="true">RAND()</f>
        <v>0.811481216169007</v>
      </c>
      <c r="Q534" s="0" t="n">
        <f aca="true">RAND()</f>
        <v>0.956684803910104</v>
      </c>
      <c r="R534" s="0" t="n">
        <f aca="false">IF($I534&lt;&gt;$O534,0,IF(P534&lt;Matchup!$B$39,7,IF(P534&lt;Matchup!$B$39+Matchup!$B$40,3,0)))</f>
        <v>0</v>
      </c>
      <c r="S534" s="0" t="n">
        <f aca="false">IF($I534&lt;&gt;$O534,0,IF(Q534&lt;Matchup!$C$39,7,IF(Q534&lt;Matchup!$C$39+Matchup!$C$40,3,0)))</f>
        <v>0</v>
      </c>
      <c r="T534" s="0" t="n">
        <f aca="false">I534+R534</f>
        <v>29</v>
      </c>
      <c r="U534" s="0" t="n">
        <f aca="false">O534+S534</f>
        <v>14</v>
      </c>
      <c r="V534" s="0" t="n">
        <f aca="false">T534-U534</f>
        <v>15</v>
      </c>
      <c r="W534" s="0" t="n">
        <f aca="false">T534+U534</f>
        <v>43</v>
      </c>
    </row>
    <row r="535" customFormat="false" ht="15" hidden="false" customHeight="false" outlineLevel="0" collapsed="false">
      <c r="A535" s="0" t="n">
        <v>532</v>
      </c>
      <c r="B535" s="0" t="n">
        <f aca="true">NORMINV(RAND(),1,Coefficients!$B$22)</f>
        <v>0.968475045984069</v>
      </c>
      <c r="C535" s="0" t="n">
        <f aca="true">MEDIAN(8,16,ROUND(NORMINV(RAND(),Coefficients!$B$20,Coefficients!$B$21),0))</f>
        <v>11</v>
      </c>
      <c r="D535" s="0" t="n">
        <f aca="true">CRITBINOM($C535,MIN(0.75,Matchup!$B$39*$B535),RAND())</f>
        <v>1</v>
      </c>
      <c r="E535" s="0" t="n">
        <f aca="true">CRITBINOM(D535,Coefficients!$B$30,RAND())</f>
        <v>0</v>
      </c>
      <c r="F535" s="0" t="n">
        <f aca="true">CRITBINOM(E535,Coefficients!$B$31,RAND())</f>
        <v>0</v>
      </c>
      <c r="G535" s="0" t="n">
        <f aca="true">CRITBINOM(MAX(0,D535-E535),1-Coefficients!$B$32,RAND())</f>
        <v>0</v>
      </c>
      <c r="H535" s="0" t="n">
        <f aca="true">CRITBINOM(MAX(0,$C535-D535),MIN(0.6,Matchup!$B$40*SQRT($B535)/(1-MIN(0.75,Matchup!$B$39*$B535))),RAND())</f>
        <v>3</v>
      </c>
      <c r="I535" s="0" t="n">
        <f aca="false">6*D535+(D535-E535-G535)+2*F535+3*H535</f>
        <v>16</v>
      </c>
      <c r="J535" s="0" t="n">
        <f aca="true">CRITBINOM($C535,MIN(0.75,Matchup!$C$39*$B535),RAND())</f>
        <v>5</v>
      </c>
      <c r="K535" s="0" t="n">
        <f aca="true">CRITBINOM(J535,Coefficients!$B$30,RAND())</f>
        <v>0</v>
      </c>
      <c r="L535" s="0" t="n">
        <f aca="true">CRITBINOM(K535,Coefficients!$B$31,RAND())</f>
        <v>0</v>
      </c>
      <c r="M535" s="0" t="n">
        <f aca="true">CRITBINOM(MAX(0,J535-K535),1-Coefficients!$B$32,RAND())</f>
        <v>0</v>
      </c>
      <c r="N535" s="0" t="n">
        <f aca="true">CRITBINOM(MAX(0,$C535-J535),MIN(0.6,Matchup!$C$40*SQRT($B535)/(1-MIN(0.75,Matchup!$C$39*$B535))),RAND())</f>
        <v>1</v>
      </c>
      <c r="O535" s="0" t="n">
        <f aca="false">6*J535+(J535-K535-M535)+2*L535+3*N535</f>
        <v>38</v>
      </c>
      <c r="P535" s="0" t="n">
        <f aca="true">RAND()</f>
        <v>0.633220704261565</v>
      </c>
      <c r="Q535" s="0" t="n">
        <f aca="true">RAND()</f>
        <v>0.0933188507025527</v>
      </c>
      <c r="R535" s="0" t="n">
        <f aca="false">IF($I535&lt;&gt;$O535,0,IF(P535&lt;Matchup!$B$39,7,IF(P535&lt;Matchup!$B$39+Matchup!$B$40,3,0)))</f>
        <v>0</v>
      </c>
      <c r="S535" s="0" t="n">
        <f aca="false">IF($I535&lt;&gt;$O535,0,IF(Q535&lt;Matchup!$C$39,7,IF(Q535&lt;Matchup!$C$39+Matchup!$C$40,3,0)))</f>
        <v>0</v>
      </c>
      <c r="T535" s="0" t="n">
        <f aca="false">I535+R535</f>
        <v>16</v>
      </c>
      <c r="U535" s="0" t="n">
        <f aca="false">O535+S535</f>
        <v>38</v>
      </c>
      <c r="V535" s="0" t="n">
        <f aca="false">T535-U535</f>
        <v>-22</v>
      </c>
      <c r="W535" s="0" t="n">
        <f aca="false">T535+U535</f>
        <v>54</v>
      </c>
    </row>
    <row r="536" customFormat="false" ht="15" hidden="false" customHeight="false" outlineLevel="0" collapsed="false">
      <c r="A536" s="0" t="n">
        <v>533</v>
      </c>
      <c r="B536" s="0" t="n">
        <f aca="true">NORMINV(RAND(),1,Coefficients!$B$22)</f>
        <v>1.01215110601753</v>
      </c>
      <c r="C536" s="0" t="n">
        <f aca="true">MEDIAN(8,16,ROUND(NORMINV(RAND(),Coefficients!$B$20,Coefficients!$B$21),0))</f>
        <v>11</v>
      </c>
      <c r="D536" s="0" t="n">
        <f aca="true">CRITBINOM($C536,MIN(0.75,Matchup!$B$39*$B536),RAND())</f>
        <v>5</v>
      </c>
      <c r="E536" s="0" t="n">
        <f aca="true">CRITBINOM(D536,Coefficients!$B$30,RAND())</f>
        <v>0</v>
      </c>
      <c r="F536" s="0" t="n">
        <f aca="true">CRITBINOM(E536,Coefficients!$B$31,RAND())</f>
        <v>0</v>
      </c>
      <c r="G536" s="0" t="n">
        <f aca="true">CRITBINOM(MAX(0,D536-E536),1-Coefficients!$B$32,RAND())</f>
        <v>0</v>
      </c>
      <c r="H536" s="0" t="n">
        <f aca="true">CRITBINOM(MAX(0,$C536-D536),MIN(0.6,Matchup!$B$40*SQRT($B536)/(1-MIN(0.75,Matchup!$B$39*$B536))),RAND())</f>
        <v>0</v>
      </c>
      <c r="I536" s="0" t="n">
        <f aca="false">6*D536+(D536-E536-G536)+2*F536+3*H536</f>
        <v>35</v>
      </c>
      <c r="J536" s="0" t="n">
        <f aca="true">CRITBINOM($C536,MIN(0.75,Matchup!$C$39*$B536),RAND())</f>
        <v>0</v>
      </c>
      <c r="K536" s="0" t="n">
        <f aca="true">CRITBINOM(J536,Coefficients!$B$30,RAND())</f>
        <v>0</v>
      </c>
      <c r="L536" s="0" t="n">
        <f aca="true">CRITBINOM(K536,Coefficients!$B$31,RAND())</f>
        <v>0</v>
      </c>
      <c r="M536" s="0" t="n">
        <f aca="true">CRITBINOM(MAX(0,J536-K536),1-Coefficients!$B$32,RAND())</f>
        <v>0</v>
      </c>
      <c r="N536" s="0" t="n">
        <f aca="true">CRITBINOM(MAX(0,$C536-J536),MIN(0.6,Matchup!$C$40*SQRT($B536)/(1-MIN(0.75,Matchup!$C$39*$B536))),RAND())</f>
        <v>1</v>
      </c>
      <c r="O536" s="0" t="n">
        <f aca="false">6*J536+(J536-K536-M536)+2*L536+3*N536</f>
        <v>3</v>
      </c>
      <c r="P536" s="0" t="n">
        <f aca="true">RAND()</f>
        <v>0.989625959950717</v>
      </c>
      <c r="Q536" s="0" t="n">
        <f aca="true">RAND()</f>
        <v>0.514864430707733</v>
      </c>
      <c r="R536" s="0" t="n">
        <f aca="false">IF($I536&lt;&gt;$O536,0,IF(P536&lt;Matchup!$B$39,7,IF(P536&lt;Matchup!$B$39+Matchup!$B$40,3,0)))</f>
        <v>0</v>
      </c>
      <c r="S536" s="0" t="n">
        <f aca="false">IF($I536&lt;&gt;$O536,0,IF(Q536&lt;Matchup!$C$39,7,IF(Q536&lt;Matchup!$C$39+Matchup!$C$40,3,0)))</f>
        <v>0</v>
      </c>
      <c r="T536" s="0" t="n">
        <f aca="false">I536+R536</f>
        <v>35</v>
      </c>
      <c r="U536" s="0" t="n">
        <f aca="false">O536+S536</f>
        <v>3</v>
      </c>
      <c r="V536" s="0" t="n">
        <f aca="false">T536-U536</f>
        <v>32</v>
      </c>
      <c r="W536" s="0" t="n">
        <f aca="false">T536+U536</f>
        <v>38</v>
      </c>
    </row>
    <row r="537" customFormat="false" ht="15" hidden="false" customHeight="false" outlineLevel="0" collapsed="false">
      <c r="A537" s="0" t="n">
        <v>534</v>
      </c>
      <c r="B537" s="0" t="n">
        <f aca="true">NORMINV(RAND(),1,Coefficients!$B$22)</f>
        <v>0.919133481661989</v>
      </c>
      <c r="C537" s="0" t="n">
        <f aca="true">MEDIAN(8,16,ROUND(NORMINV(RAND(),Coefficients!$B$20,Coefficients!$B$21),0))</f>
        <v>13</v>
      </c>
      <c r="D537" s="0" t="n">
        <f aca="true">CRITBINOM($C537,MIN(0.75,Matchup!$B$39*$B537),RAND())</f>
        <v>3</v>
      </c>
      <c r="E537" s="0" t="n">
        <f aca="true">CRITBINOM(D537,Coefficients!$B$30,RAND())</f>
        <v>1</v>
      </c>
      <c r="F537" s="0" t="n">
        <f aca="true">CRITBINOM(E537,Coefficients!$B$31,RAND())</f>
        <v>0</v>
      </c>
      <c r="G537" s="0" t="n">
        <f aca="true">CRITBINOM(MAX(0,D537-E537),1-Coefficients!$B$32,RAND())</f>
        <v>0</v>
      </c>
      <c r="H537" s="0" t="n">
        <f aca="true">CRITBINOM(MAX(0,$C537-D537),MIN(0.6,Matchup!$B$40*SQRT($B537)/(1-MIN(0.75,Matchup!$B$39*$B537))),RAND())</f>
        <v>2</v>
      </c>
      <c r="I537" s="0" t="n">
        <f aca="false">6*D537+(D537-E537-G537)+2*F537+3*H537</f>
        <v>26</v>
      </c>
      <c r="J537" s="0" t="n">
        <f aca="true">CRITBINOM($C537,MIN(0.75,Matchup!$C$39*$B537),RAND())</f>
        <v>2</v>
      </c>
      <c r="K537" s="0" t="n">
        <f aca="true">CRITBINOM(J537,Coefficients!$B$30,RAND())</f>
        <v>0</v>
      </c>
      <c r="L537" s="0" t="n">
        <f aca="true">CRITBINOM(K537,Coefficients!$B$31,RAND())</f>
        <v>0</v>
      </c>
      <c r="M537" s="0" t="n">
        <f aca="true">CRITBINOM(MAX(0,J537-K537),1-Coefficients!$B$32,RAND())</f>
        <v>0</v>
      </c>
      <c r="N537" s="0" t="n">
        <f aca="true">CRITBINOM(MAX(0,$C537-J537),MIN(0.6,Matchup!$C$40*SQRT($B537)/(1-MIN(0.75,Matchup!$C$39*$B537))),RAND())</f>
        <v>2</v>
      </c>
      <c r="O537" s="0" t="n">
        <f aca="false">6*J537+(J537-K537-M537)+2*L537+3*N537</f>
        <v>20</v>
      </c>
      <c r="P537" s="0" t="n">
        <f aca="true">RAND()</f>
        <v>0.692092788956287</v>
      </c>
      <c r="Q537" s="0" t="n">
        <f aca="true">RAND()</f>
        <v>0.865154729784551</v>
      </c>
      <c r="R537" s="0" t="n">
        <f aca="false">IF($I537&lt;&gt;$O537,0,IF(P537&lt;Matchup!$B$39,7,IF(P537&lt;Matchup!$B$39+Matchup!$B$40,3,0)))</f>
        <v>0</v>
      </c>
      <c r="S537" s="0" t="n">
        <f aca="false">IF($I537&lt;&gt;$O537,0,IF(Q537&lt;Matchup!$C$39,7,IF(Q537&lt;Matchup!$C$39+Matchup!$C$40,3,0)))</f>
        <v>0</v>
      </c>
      <c r="T537" s="0" t="n">
        <f aca="false">I537+R537</f>
        <v>26</v>
      </c>
      <c r="U537" s="0" t="n">
        <f aca="false">O537+S537</f>
        <v>20</v>
      </c>
      <c r="V537" s="0" t="n">
        <f aca="false">T537-U537</f>
        <v>6</v>
      </c>
      <c r="W537" s="0" t="n">
        <f aca="false">T537+U537</f>
        <v>46</v>
      </c>
    </row>
    <row r="538" customFormat="false" ht="15" hidden="false" customHeight="false" outlineLevel="0" collapsed="false">
      <c r="A538" s="0" t="n">
        <v>535</v>
      </c>
      <c r="B538" s="0" t="n">
        <f aca="true">NORMINV(RAND(),1,Coefficients!$B$22)</f>
        <v>0.942016226601948</v>
      </c>
      <c r="C538" s="0" t="n">
        <f aca="true">MEDIAN(8,16,ROUND(NORMINV(RAND(),Coefficients!$B$20,Coefficients!$B$21),0))</f>
        <v>10</v>
      </c>
      <c r="D538" s="0" t="n">
        <f aca="true">CRITBINOM($C538,MIN(0.75,Matchup!$B$39*$B538),RAND())</f>
        <v>5</v>
      </c>
      <c r="E538" s="0" t="n">
        <f aca="true">CRITBINOM(D538,Coefficients!$B$30,RAND())</f>
        <v>2</v>
      </c>
      <c r="F538" s="0" t="n">
        <f aca="true">CRITBINOM(E538,Coefficients!$B$31,RAND())</f>
        <v>1</v>
      </c>
      <c r="G538" s="0" t="n">
        <f aca="true">CRITBINOM(MAX(0,D538-E538),1-Coefficients!$B$32,RAND())</f>
        <v>0</v>
      </c>
      <c r="H538" s="0" t="n">
        <f aca="true">CRITBINOM(MAX(0,$C538-D538),MIN(0.6,Matchup!$B$40*SQRT($B538)/(1-MIN(0.75,Matchup!$B$39*$B538))),RAND())</f>
        <v>0</v>
      </c>
      <c r="I538" s="0" t="n">
        <f aca="false">6*D538+(D538-E538-G538)+2*F538+3*H538</f>
        <v>35</v>
      </c>
      <c r="J538" s="0" t="n">
        <f aca="true">CRITBINOM($C538,MIN(0.75,Matchup!$C$39*$B538),RAND())</f>
        <v>1</v>
      </c>
      <c r="K538" s="0" t="n">
        <f aca="true">CRITBINOM(J538,Coefficients!$B$30,RAND())</f>
        <v>1</v>
      </c>
      <c r="L538" s="0" t="n">
        <f aca="true">CRITBINOM(K538,Coefficients!$B$31,RAND())</f>
        <v>1</v>
      </c>
      <c r="M538" s="0" t="n">
        <f aca="true">CRITBINOM(MAX(0,J538-K538),1-Coefficients!$B$32,RAND())</f>
        <v>0</v>
      </c>
      <c r="N538" s="0" t="n">
        <f aca="true">CRITBINOM(MAX(0,$C538-J538),MIN(0.6,Matchup!$C$40*SQRT($B538)/(1-MIN(0.75,Matchup!$C$39*$B538))),RAND())</f>
        <v>0</v>
      </c>
      <c r="O538" s="0" t="n">
        <f aca="false">6*J538+(J538-K538-M538)+2*L538+3*N538</f>
        <v>8</v>
      </c>
      <c r="P538" s="0" t="n">
        <f aca="true">RAND()</f>
        <v>0.611541158578613</v>
      </c>
      <c r="Q538" s="0" t="n">
        <f aca="true">RAND()</f>
        <v>0.38924912108923</v>
      </c>
      <c r="R538" s="0" t="n">
        <f aca="false">IF($I538&lt;&gt;$O538,0,IF(P538&lt;Matchup!$B$39,7,IF(P538&lt;Matchup!$B$39+Matchup!$B$40,3,0)))</f>
        <v>0</v>
      </c>
      <c r="S538" s="0" t="n">
        <f aca="false">IF($I538&lt;&gt;$O538,0,IF(Q538&lt;Matchup!$C$39,7,IF(Q538&lt;Matchup!$C$39+Matchup!$C$40,3,0)))</f>
        <v>0</v>
      </c>
      <c r="T538" s="0" t="n">
        <f aca="false">I538+R538</f>
        <v>35</v>
      </c>
      <c r="U538" s="0" t="n">
        <f aca="false">O538+S538</f>
        <v>8</v>
      </c>
      <c r="V538" s="0" t="n">
        <f aca="false">T538-U538</f>
        <v>27</v>
      </c>
      <c r="W538" s="0" t="n">
        <f aca="false">T538+U538</f>
        <v>43</v>
      </c>
    </row>
    <row r="539" customFormat="false" ht="15" hidden="false" customHeight="false" outlineLevel="0" collapsed="false">
      <c r="A539" s="0" t="n">
        <v>536</v>
      </c>
      <c r="B539" s="0" t="n">
        <f aca="true">NORMINV(RAND(),1,Coefficients!$B$22)</f>
        <v>1.05376995513787</v>
      </c>
      <c r="C539" s="0" t="n">
        <f aca="true">MEDIAN(8,16,ROUND(NORMINV(RAND(),Coefficients!$B$20,Coefficients!$B$21),0))</f>
        <v>10</v>
      </c>
      <c r="D539" s="0" t="n">
        <f aca="true">CRITBINOM($C539,MIN(0.75,Matchup!$B$39*$B539),RAND())</f>
        <v>4</v>
      </c>
      <c r="E539" s="0" t="n">
        <f aca="true">CRITBINOM(D539,Coefficients!$B$30,RAND())</f>
        <v>1</v>
      </c>
      <c r="F539" s="0" t="n">
        <f aca="true">CRITBINOM(E539,Coefficients!$B$31,RAND())</f>
        <v>1</v>
      </c>
      <c r="G539" s="0" t="n">
        <f aca="true">CRITBINOM(MAX(0,D539-E539),1-Coefficients!$B$32,RAND())</f>
        <v>0</v>
      </c>
      <c r="H539" s="0" t="n">
        <f aca="true">CRITBINOM(MAX(0,$C539-D539),MIN(0.6,Matchup!$B$40*SQRT($B539)/(1-MIN(0.75,Matchup!$B$39*$B539))),RAND())</f>
        <v>0</v>
      </c>
      <c r="I539" s="0" t="n">
        <f aca="false">6*D539+(D539-E539-G539)+2*F539+3*H539</f>
        <v>29</v>
      </c>
      <c r="J539" s="0" t="n">
        <f aca="true">CRITBINOM($C539,MIN(0.75,Matchup!$C$39*$B539),RAND())</f>
        <v>3</v>
      </c>
      <c r="K539" s="0" t="n">
        <f aca="true">CRITBINOM(J539,Coefficients!$B$30,RAND())</f>
        <v>0</v>
      </c>
      <c r="L539" s="0" t="n">
        <f aca="true">CRITBINOM(K539,Coefficients!$B$31,RAND())</f>
        <v>0</v>
      </c>
      <c r="M539" s="0" t="n">
        <f aca="true">CRITBINOM(MAX(0,J539-K539),1-Coefficients!$B$32,RAND())</f>
        <v>0</v>
      </c>
      <c r="N539" s="0" t="n">
        <f aca="true">CRITBINOM(MAX(0,$C539-J539),MIN(0.6,Matchup!$C$40*SQRT($B539)/(1-MIN(0.75,Matchup!$C$39*$B539))),RAND())</f>
        <v>1</v>
      </c>
      <c r="O539" s="0" t="n">
        <f aca="false">6*J539+(J539-K539-M539)+2*L539+3*N539</f>
        <v>24</v>
      </c>
      <c r="P539" s="0" t="n">
        <f aca="true">RAND()</f>
        <v>0.511511274216234</v>
      </c>
      <c r="Q539" s="0" t="n">
        <f aca="true">RAND()</f>
        <v>0.844510567244551</v>
      </c>
      <c r="R539" s="0" t="n">
        <f aca="false">IF($I539&lt;&gt;$O539,0,IF(P539&lt;Matchup!$B$39,7,IF(P539&lt;Matchup!$B$39+Matchup!$B$40,3,0)))</f>
        <v>0</v>
      </c>
      <c r="S539" s="0" t="n">
        <f aca="false">IF($I539&lt;&gt;$O539,0,IF(Q539&lt;Matchup!$C$39,7,IF(Q539&lt;Matchup!$C$39+Matchup!$C$40,3,0)))</f>
        <v>0</v>
      </c>
      <c r="T539" s="0" t="n">
        <f aca="false">I539+R539</f>
        <v>29</v>
      </c>
      <c r="U539" s="0" t="n">
        <f aca="false">O539+S539</f>
        <v>24</v>
      </c>
      <c r="V539" s="0" t="n">
        <f aca="false">T539-U539</f>
        <v>5</v>
      </c>
      <c r="W539" s="0" t="n">
        <f aca="false">T539+U539</f>
        <v>53</v>
      </c>
    </row>
    <row r="540" customFormat="false" ht="15" hidden="false" customHeight="false" outlineLevel="0" collapsed="false">
      <c r="A540" s="0" t="n">
        <v>537</v>
      </c>
      <c r="B540" s="0" t="n">
        <f aca="true">NORMINV(RAND(),1,Coefficients!$B$22)</f>
        <v>0.89885409701245</v>
      </c>
      <c r="C540" s="0" t="n">
        <f aca="true">MEDIAN(8,16,ROUND(NORMINV(RAND(),Coefficients!$B$20,Coefficients!$B$21),0))</f>
        <v>11</v>
      </c>
      <c r="D540" s="0" t="n">
        <f aca="true">CRITBINOM($C540,MIN(0.75,Matchup!$B$39*$B540),RAND())</f>
        <v>2</v>
      </c>
      <c r="E540" s="0" t="n">
        <f aca="true">CRITBINOM(D540,Coefficients!$B$30,RAND())</f>
        <v>0</v>
      </c>
      <c r="F540" s="0" t="n">
        <f aca="true">CRITBINOM(E540,Coefficients!$B$31,RAND())</f>
        <v>0</v>
      </c>
      <c r="G540" s="0" t="n">
        <f aca="true">CRITBINOM(MAX(0,D540-E540),1-Coefficients!$B$32,RAND())</f>
        <v>0</v>
      </c>
      <c r="H540" s="0" t="n">
        <f aca="true">CRITBINOM(MAX(0,$C540-D540),MIN(0.6,Matchup!$B$40*SQRT($B540)/(1-MIN(0.75,Matchup!$B$39*$B540))),RAND())</f>
        <v>2</v>
      </c>
      <c r="I540" s="0" t="n">
        <f aca="false">6*D540+(D540-E540-G540)+2*F540+3*H540</f>
        <v>20</v>
      </c>
      <c r="J540" s="0" t="n">
        <f aca="true">CRITBINOM($C540,MIN(0.75,Matchup!$C$39*$B540),RAND())</f>
        <v>4</v>
      </c>
      <c r="K540" s="0" t="n">
        <f aca="true">CRITBINOM(J540,Coefficients!$B$30,RAND())</f>
        <v>1</v>
      </c>
      <c r="L540" s="0" t="n">
        <f aca="true">CRITBINOM(K540,Coefficients!$B$31,RAND())</f>
        <v>1</v>
      </c>
      <c r="M540" s="0" t="n">
        <f aca="true">CRITBINOM(MAX(0,J540-K540),1-Coefficients!$B$32,RAND())</f>
        <v>0</v>
      </c>
      <c r="N540" s="0" t="n">
        <f aca="true">CRITBINOM(MAX(0,$C540-J540),MIN(0.6,Matchup!$C$40*SQRT($B540)/(1-MIN(0.75,Matchup!$C$39*$B540))),RAND())</f>
        <v>1</v>
      </c>
      <c r="O540" s="0" t="n">
        <f aca="false">6*J540+(J540-K540-M540)+2*L540+3*N540</f>
        <v>32</v>
      </c>
      <c r="P540" s="0" t="n">
        <f aca="true">RAND()</f>
        <v>0.71252930100459</v>
      </c>
      <c r="Q540" s="0" t="n">
        <f aca="true">RAND()</f>
        <v>0.0661674635295324</v>
      </c>
      <c r="R540" s="0" t="n">
        <f aca="false">IF($I540&lt;&gt;$O540,0,IF(P540&lt;Matchup!$B$39,7,IF(P540&lt;Matchup!$B$39+Matchup!$B$40,3,0)))</f>
        <v>0</v>
      </c>
      <c r="S540" s="0" t="n">
        <f aca="false">IF($I540&lt;&gt;$O540,0,IF(Q540&lt;Matchup!$C$39,7,IF(Q540&lt;Matchup!$C$39+Matchup!$C$40,3,0)))</f>
        <v>0</v>
      </c>
      <c r="T540" s="0" t="n">
        <f aca="false">I540+R540</f>
        <v>20</v>
      </c>
      <c r="U540" s="0" t="n">
        <f aca="false">O540+S540</f>
        <v>32</v>
      </c>
      <c r="V540" s="0" t="n">
        <f aca="false">T540-U540</f>
        <v>-12</v>
      </c>
      <c r="W540" s="0" t="n">
        <f aca="false">T540+U540</f>
        <v>52</v>
      </c>
    </row>
    <row r="541" customFormat="false" ht="15" hidden="false" customHeight="false" outlineLevel="0" collapsed="false">
      <c r="A541" s="0" t="n">
        <v>538</v>
      </c>
      <c r="B541" s="0" t="n">
        <f aca="true">NORMINV(RAND(),1,Coefficients!$B$22)</f>
        <v>1.04273758424917</v>
      </c>
      <c r="C541" s="0" t="n">
        <f aca="true">MEDIAN(8,16,ROUND(NORMINV(RAND(),Coefficients!$B$20,Coefficients!$B$21),0))</f>
        <v>10</v>
      </c>
      <c r="D541" s="0" t="n">
        <f aca="true">CRITBINOM($C541,MIN(0.75,Matchup!$B$39*$B541),RAND())</f>
        <v>2</v>
      </c>
      <c r="E541" s="0" t="n">
        <f aca="true">CRITBINOM(D541,Coefficients!$B$30,RAND())</f>
        <v>0</v>
      </c>
      <c r="F541" s="0" t="n">
        <f aca="true">CRITBINOM(E541,Coefficients!$B$31,RAND())</f>
        <v>0</v>
      </c>
      <c r="G541" s="0" t="n">
        <f aca="true">CRITBINOM(MAX(0,D541-E541),1-Coefficients!$B$32,RAND())</f>
        <v>0</v>
      </c>
      <c r="H541" s="0" t="n">
        <f aca="true">CRITBINOM(MAX(0,$C541-D541),MIN(0.6,Matchup!$B$40*SQRT($B541)/(1-MIN(0.75,Matchup!$B$39*$B541))),RAND())</f>
        <v>0</v>
      </c>
      <c r="I541" s="0" t="n">
        <f aca="false">6*D541+(D541-E541-G541)+2*F541+3*H541</f>
        <v>14</v>
      </c>
      <c r="J541" s="0" t="n">
        <f aca="true">CRITBINOM($C541,MIN(0.75,Matchup!$C$39*$B541),RAND())</f>
        <v>0</v>
      </c>
      <c r="K541" s="0" t="n">
        <f aca="true">CRITBINOM(J541,Coefficients!$B$30,RAND())</f>
        <v>0</v>
      </c>
      <c r="L541" s="0" t="n">
        <f aca="true">CRITBINOM(K541,Coefficients!$B$31,RAND())</f>
        <v>0</v>
      </c>
      <c r="M541" s="0" t="n">
        <f aca="true">CRITBINOM(MAX(0,J541-K541),1-Coefficients!$B$32,RAND())</f>
        <v>0</v>
      </c>
      <c r="N541" s="0" t="n">
        <f aca="true">CRITBINOM(MAX(0,$C541-J541),MIN(0.6,Matchup!$C$40*SQRT($B541)/(1-MIN(0.75,Matchup!$C$39*$B541))),RAND())</f>
        <v>1</v>
      </c>
      <c r="O541" s="0" t="n">
        <f aca="false">6*J541+(J541-K541-M541)+2*L541+3*N541</f>
        <v>3</v>
      </c>
      <c r="P541" s="0" t="n">
        <f aca="true">RAND()</f>
        <v>0.566164975869641</v>
      </c>
      <c r="Q541" s="0" t="n">
        <f aca="true">RAND()</f>
        <v>0.254526722019492</v>
      </c>
      <c r="R541" s="0" t="n">
        <f aca="false">IF($I541&lt;&gt;$O541,0,IF(P541&lt;Matchup!$B$39,7,IF(P541&lt;Matchup!$B$39+Matchup!$B$40,3,0)))</f>
        <v>0</v>
      </c>
      <c r="S541" s="0" t="n">
        <f aca="false">IF($I541&lt;&gt;$O541,0,IF(Q541&lt;Matchup!$C$39,7,IF(Q541&lt;Matchup!$C$39+Matchup!$C$40,3,0)))</f>
        <v>0</v>
      </c>
      <c r="T541" s="0" t="n">
        <f aca="false">I541+R541</f>
        <v>14</v>
      </c>
      <c r="U541" s="0" t="n">
        <f aca="false">O541+S541</f>
        <v>3</v>
      </c>
      <c r="V541" s="0" t="n">
        <f aca="false">T541-U541</f>
        <v>11</v>
      </c>
      <c r="W541" s="0" t="n">
        <f aca="false">T541+U541</f>
        <v>17</v>
      </c>
    </row>
    <row r="542" customFormat="false" ht="15" hidden="false" customHeight="false" outlineLevel="0" collapsed="false">
      <c r="A542" s="0" t="n">
        <v>539</v>
      </c>
      <c r="B542" s="0" t="n">
        <f aca="true">NORMINV(RAND(),1,Coefficients!$B$22)</f>
        <v>1.03306010862878</v>
      </c>
      <c r="C542" s="0" t="n">
        <f aca="true">MEDIAN(8,16,ROUND(NORMINV(RAND(),Coefficients!$B$20,Coefficients!$B$21),0))</f>
        <v>10</v>
      </c>
      <c r="D542" s="0" t="n">
        <f aca="true">CRITBINOM($C542,MIN(0.75,Matchup!$B$39*$B542),RAND())</f>
        <v>2</v>
      </c>
      <c r="E542" s="0" t="n">
        <f aca="true">CRITBINOM(D542,Coefficients!$B$30,RAND())</f>
        <v>1</v>
      </c>
      <c r="F542" s="0" t="n">
        <f aca="true">CRITBINOM(E542,Coefficients!$B$31,RAND())</f>
        <v>1</v>
      </c>
      <c r="G542" s="0" t="n">
        <f aca="true">CRITBINOM(MAX(0,D542-E542),1-Coefficients!$B$32,RAND())</f>
        <v>0</v>
      </c>
      <c r="H542" s="0" t="n">
        <f aca="true">CRITBINOM(MAX(0,$C542-D542),MIN(0.6,Matchup!$B$40*SQRT($B542)/(1-MIN(0.75,Matchup!$B$39*$B542))),RAND())</f>
        <v>1</v>
      </c>
      <c r="I542" s="0" t="n">
        <f aca="false">6*D542+(D542-E542-G542)+2*F542+3*H542</f>
        <v>18</v>
      </c>
      <c r="J542" s="0" t="n">
        <f aca="true">CRITBINOM($C542,MIN(0.75,Matchup!$C$39*$B542),RAND())</f>
        <v>3</v>
      </c>
      <c r="K542" s="0" t="n">
        <f aca="true">CRITBINOM(J542,Coefficients!$B$30,RAND())</f>
        <v>0</v>
      </c>
      <c r="L542" s="0" t="n">
        <f aca="true">CRITBINOM(K542,Coefficients!$B$31,RAND())</f>
        <v>0</v>
      </c>
      <c r="M542" s="0" t="n">
        <f aca="true">CRITBINOM(MAX(0,J542-K542),1-Coefficients!$B$32,RAND())</f>
        <v>0</v>
      </c>
      <c r="N542" s="0" t="n">
        <f aca="true">CRITBINOM(MAX(0,$C542-J542),MIN(0.6,Matchup!$C$40*SQRT($B542)/(1-MIN(0.75,Matchup!$C$39*$B542))),RAND())</f>
        <v>1</v>
      </c>
      <c r="O542" s="0" t="n">
        <f aca="false">6*J542+(J542-K542-M542)+2*L542+3*N542</f>
        <v>24</v>
      </c>
      <c r="P542" s="0" t="n">
        <f aca="true">RAND()</f>
        <v>0.829767588965899</v>
      </c>
      <c r="Q542" s="0" t="n">
        <f aca="true">RAND()</f>
        <v>0.137614747500655</v>
      </c>
      <c r="R542" s="0" t="n">
        <f aca="false">IF($I542&lt;&gt;$O542,0,IF(P542&lt;Matchup!$B$39,7,IF(P542&lt;Matchup!$B$39+Matchup!$B$40,3,0)))</f>
        <v>0</v>
      </c>
      <c r="S542" s="0" t="n">
        <f aca="false">IF($I542&lt;&gt;$O542,0,IF(Q542&lt;Matchup!$C$39,7,IF(Q542&lt;Matchup!$C$39+Matchup!$C$40,3,0)))</f>
        <v>0</v>
      </c>
      <c r="T542" s="0" t="n">
        <f aca="false">I542+R542</f>
        <v>18</v>
      </c>
      <c r="U542" s="0" t="n">
        <f aca="false">O542+S542</f>
        <v>24</v>
      </c>
      <c r="V542" s="0" t="n">
        <f aca="false">T542-U542</f>
        <v>-6</v>
      </c>
      <c r="W542" s="0" t="n">
        <f aca="false">T542+U542</f>
        <v>42</v>
      </c>
    </row>
    <row r="543" customFormat="false" ht="15" hidden="false" customHeight="false" outlineLevel="0" collapsed="false">
      <c r="A543" s="0" t="n">
        <v>540</v>
      </c>
      <c r="B543" s="0" t="n">
        <f aca="true">NORMINV(RAND(),1,Coefficients!$B$22)</f>
        <v>1.07744573917124</v>
      </c>
      <c r="C543" s="0" t="n">
        <f aca="true">MEDIAN(8,16,ROUND(NORMINV(RAND(),Coefficients!$B$20,Coefficients!$B$21),0))</f>
        <v>11</v>
      </c>
      <c r="D543" s="0" t="n">
        <f aca="true">CRITBINOM($C543,MIN(0.75,Matchup!$B$39*$B543),RAND())</f>
        <v>1</v>
      </c>
      <c r="E543" s="0" t="n">
        <f aca="true">CRITBINOM(D543,Coefficients!$B$30,RAND())</f>
        <v>0</v>
      </c>
      <c r="F543" s="0" t="n">
        <f aca="true">CRITBINOM(E543,Coefficients!$B$31,RAND())</f>
        <v>0</v>
      </c>
      <c r="G543" s="0" t="n">
        <f aca="true">CRITBINOM(MAX(0,D543-E543),1-Coefficients!$B$32,RAND())</f>
        <v>0</v>
      </c>
      <c r="H543" s="0" t="n">
        <f aca="true">CRITBINOM(MAX(0,$C543-D543),MIN(0.6,Matchup!$B$40*SQRT($B543)/(1-MIN(0.75,Matchup!$B$39*$B543))),RAND())</f>
        <v>3</v>
      </c>
      <c r="I543" s="0" t="n">
        <f aca="false">6*D543+(D543-E543-G543)+2*F543+3*H543</f>
        <v>16</v>
      </c>
      <c r="J543" s="0" t="n">
        <f aca="true">CRITBINOM($C543,MIN(0.75,Matchup!$C$39*$B543),RAND())</f>
        <v>3</v>
      </c>
      <c r="K543" s="0" t="n">
        <f aca="true">CRITBINOM(J543,Coefficients!$B$30,RAND())</f>
        <v>0</v>
      </c>
      <c r="L543" s="0" t="n">
        <f aca="true">CRITBINOM(K543,Coefficients!$B$31,RAND())</f>
        <v>0</v>
      </c>
      <c r="M543" s="0" t="n">
        <f aca="true">CRITBINOM(MAX(0,J543-K543),1-Coefficients!$B$32,RAND())</f>
        <v>2</v>
      </c>
      <c r="N543" s="0" t="n">
        <f aca="true">CRITBINOM(MAX(0,$C543-J543),MIN(0.6,Matchup!$C$40*SQRT($B543)/(1-MIN(0.75,Matchup!$C$39*$B543))),RAND())</f>
        <v>1</v>
      </c>
      <c r="O543" s="0" t="n">
        <f aca="false">6*J543+(J543-K543-M543)+2*L543+3*N543</f>
        <v>22</v>
      </c>
      <c r="P543" s="0" t="n">
        <f aca="true">RAND()</f>
        <v>0.511410034585327</v>
      </c>
      <c r="Q543" s="0" t="n">
        <f aca="true">RAND()</f>
        <v>0.219890503528056</v>
      </c>
      <c r="R543" s="0" t="n">
        <f aca="false">IF($I543&lt;&gt;$O543,0,IF(P543&lt;Matchup!$B$39,7,IF(P543&lt;Matchup!$B$39+Matchup!$B$40,3,0)))</f>
        <v>0</v>
      </c>
      <c r="S543" s="0" t="n">
        <f aca="false">IF($I543&lt;&gt;$O543,0,IF(Q543&lt;Matchup!$C$39,7,IF(Q543&lt;Matchup!$C$39+Matchup!$C$40,3,0)))</f>
        <v>0</v>
      </c>
      <c r="T543" s="0" t="n">
        <f aca="false">I543+R543</f>
        <v>16</v>
      </c>
      <c r="U543" s="0" t="n">
        <f aca="false">O543+S543</f>
        <v>22</v>
      </c>
      <c r="V543" s="0" t="n">
        <f aca="false">T543-U543</f>
        <v>-6</v>
      </c>
      <c r="W543" s="0" t="n">
        <f aca="false">T543+U543</f>
        <v>38</v>
      </c>
    </row>
    <row r="544" customFormat="false" ht="15" hidden="false" customHeight="false" outlineLevel="0" collapsed="false">
      <c r="A544" s="0" t="n">
        <v>541</v>
      </c>
      <c r="B544" s="0" t="n">
        <f aca="true">NORMINV(RAND(),1,Coefficients!$B$22)</f>
        <v>0.976982843337779</v>
      </c>
      <c r="C544" s="0" t="n">
        <f aca="true">MEDIAN(8,16,ROUND(NORMINV(RAND(),Coefficients!$B$20,Coefficients!$B$21),0))</f>
        <v>11</v>
      </c>
      <c r="D544" s="0" t="n">
        <f aca="true">CRITBINOM($C544,MIN(0.75,Matchup!$B$39*$B544),RAND())</f>
        <v>4</v>
      </c>
      <c r="E544" s="0" t="n">
        <f aca="true">CRITBINOM(D544,Coefficients!$B$30,RAND())</f>
        <v>0</v>
      </c>
      <c r="F544" s="0" t="n">
        <f aca="true">CRITBINOM(E544,Coefficients!$B$31,RAND())</f>
        <v>0</v>
      </c>
      <c r="G544" s="0" t="n">
        <f aca="true">CRITBINOM(MAX(0,D544-E544),1-Coefficients!$B$32,RAND())</f>
        <v>0</v>
      </c>
      <c r="H544" s="0" t="n">
        <f aca="true">CRITBINOM(MAX(0,$C544-D544),MIN(0.6,Matchup!$B$40*SQRT($B544)/(1-MIN(0.75,Matchup!$B$39*$B544))),RAND())</f>
        <v>0</v>
      </c>
      <c r="I544" s="0" t="n">
        <f aca="false">6*D544+(D544-E544-G544)+2*F544+3*H544</f>
        <v>28</v>
      </c>
      <c r="J544" s="0" t="n">
        <f aca="true">CRITBINOM($C544,MIN(0.75,Matchup!$C$39*$B544),RAND())</f>
        <v>1</v>
      </c>
      <c r="K544" s="0" t="n">
        <f aca="true">CRITBINOM(J544,Coefficients!$B$30,RAND())</f>
        <v>0</v>
      </c>
      <c r="L544" s="0" t="n">
        <f aca="true">CRITBINOM(K544,Coefficients!$B$31,RAND())</f>
        <v>0</v>
      </c>
      <c r="M544" s="0" t="n">
        <f aca="true">CRITBINOM(MAX(0,J544-K544),1-Coefficients!$B$32,RAND())</f>
        <v>0</v>
      </c>
      <c r="N544" s="0" t="n">
        <f aca="true">CRITBINOM(MAX(0,$C544-J544),MIN(0.6,Matchup!$C$40*SQRT($B544)/(1-MIN(0.75,Matchup!$C$39*$B544))),RAND())</f>
        <v>3</v>
      </c>
      <c r="O544" s="0" t="n">
        <f aca="false">6*J544+(J544-K544-M544)+2*L544+3*N544</f>
        <v>16</v>
      </c>
      <c r="P544" s="0" t="n">
        <f aca="true">RAND()</f>
        <v>0.929755543931925</v>
      </c>
      <c r="Q544" s="0" t="n">
        <f aca="true">RAND()</f>
        <v>0.985240240517102</v>
      </c>
      <c r="R544" s="0" t="n">
        <f aca="false">IF($I544&lt;&gt;$O544,0,IF(P544&lt;Matchup!$B$39,7,IF(P544&lt;Matchup!$B$39+Matchup!$B$40,3,0)))</f>
        <v>0</v>
      </c>
      <c r="S544" s="0" t="n">
        <f aca="false">IF($I544&lt;&gt;$O544,0,IF(Q544&lt;Matchup!$C$39,7,IF(Q544&lt;Matchup!$C$39+Matchup!$C$40,3,0)))</f>
        <v>0</v>
      </c>
      <c r="T544" s="0" t="n">
        <f aca="false">I544+R544</f>
        <v>28</v>
      </c>
      <c r="U544" s="0" t="n">
        <f aca="false">O544+S544</f>
        <v>16</v>
      </c>
      <c r="V544" s="0" t="n">
        <f aca="false">T544-U544</f>
        <v>12</v>
      </c>
      <c r="W544" s="0" t="n">
        <f aca="false">T544+U544</f>
        <v>44</v>
      </c>
    </row>
    <row r="545" customFormat="false" ht="15" hidden="false" customHeight="false" outlineLevel="0" collapsed="false">
      <c r="A545" s="0" t="n">
        <v>542</v>
      </c>
      <c r="B545" s="0" t="n">
        <f aca="true">NORMINV(RAND(),1,Coefficients!$B$22)</f>
        <v>1.09738918745596</v>
      </c>
      <c r="C545" s="0" t="n">
        <f aca="true">MEDIAN(8,16,ROUND(NORMINV(RAND(),Coefficients!$B$20,Coefficients!$B$21),0))</f>
        <v>13</v>
      </c>
      <c r="D545" s="0" t="n">
        <f aca="true">CRITBINOM($C545,MIN(0.75,Matchup!$B$39*$B545),RAND())</f>
        <v>3</v>
      </c>
      <c r="E545" s="0" t="n">
        <f aca="true">CRITBINOM(D545,Coefficients!$B$30,RAND())</f>
        <v>0</v>
      </c>
      <c r="F545" s="0" t="n">
        <f aca="true">CRITBINOM(E545,Coefficients!$B$31,RAND())</f>
        <v>0</v>
      </c>
      <c r="G545" s="0" t="n">
        <f aca="true">CRITBINOM(MAX(0,D545-E545),1-Coefficients!$B$32,RAND())</f>
        <v>0</v>
      </c>
      <c r="H545" s="0" t="n">
        <f aca="true">CRITBINOM(MAX(0,$C545-D545),MIN(0.6,Matchup!$B$40*SQRT($B545)/(1-MIN(0.75,Matchup!$B$39*$B545))),RAND())</f>
        <v>2</v>
      </c>
      <c r="I545" s="0" t="n">
        <f aca="false">6*D545+(D545-E545-G545)+2*F545+3*H545</f>
        <v>27</v>
      </c>
      <c r="J545" s="0" t="n">
        <f aca="true">CRITBINOM($C545,MIN(0.75,Matchup!$C$39*$B545),RAND())</f>
        <v>3</v>
      </c>
      <c r="K545" s="0" t="n">
        <f aca="true">CRITBINOM(J545,Coefficients!$B$30,RAND())</f>
        <v>0</v>
      </c>
      <c r="L545" s="0" t="n">
        <f aca="true">CRITBINOM(K545,Coefficients!$B$31,RAND())</f>
        <v>0</v>
      </c>
      <c r="M545" s="0" t="n">
        <f aca="true">CRITBINOM(MAX(0,J545-K545),1-Coefficients!$B$32,RAND())</f>
        <v>0</v>
      </c>
      <c r="N545" s="0" t="n">
        <f aca="true">CRITBINOM(MAX(0,$C545-J545),MIN(0.6,Matchup!$C$40*SQRT($B545)/(1-MIN(0.75,Matchup!$C$39*$B545))),RAND())</f>
        <v>3</v>
      </c>
      <c r="O545" s="0" t="n">
        <f aca="false">6*J545+(J545-K545-M545)+2*L545+3*N545</f>
        <v>30</v>
      </c>
      <c r="P545" s="0" t="n">
        <f aca="true">RAND()</f>
        <v>0.495844288830872</v>
      </c>
      <c r="Q545" s="0" t="n">
        <f aca="true">RAND()</f>
        <v>0.521647111876171</v>
      </c>
      <c r="R545" s="0" t="n">
        <f aca="false">IF($I545&lt;&gt;$O545,0,IF(P545&lt;Matchup!$B$39,7,IF(P545&lt;Matchup!$B$39+Matchup!$B$40,3,0)))</f>
        <v>0</v>
      </c>
      <c r="S545" s="0" t="n">
        <f aca="false">IF($I545&lt;&gt;$O545,0,IF(Q545&lt;Matchup!$C$39,7,IF(Q545&lt;Matchup!$C$39+Matchup!$C$40,3,0)))</f>
        <v>0</v>
      </c>
      <c r="T545" s="0" t="n">
        <f aca="false">I545+R545</f>
        <v>27</v>
      </c>
      <c r="U545" s="0" t="n">
        <f aca="false">O545+S545</f>
        <v>30</v>
      </c>
      <c r="V545" s="0" t="n">
        <f aca="false">T545-U545</f>
        <v>-3</v>
      </c>
      <c r="W545" s="0" t="n">
        <f aca="false">T545+U545</f>
        <v>57</v>
      </c>
    </row>
    <row r="546" customFormat="false" ht="15" hidden="false" customHeight="false" outlineLevel="0" collapsed="false">
      <c r="A546" s="0" t="n">
        <v>543</v>
      </c>
      <c r="B546" s="0" t="n">
        <f aca="true">NORMINV(RAND(),1,Coefficients!$B$22)</f>
        <v>1.00776142004272</v>
      </c>
      <c r="C546" s="0" t="n">
        <f aca="true">MEDIAN(8,16,ROUND(NORMINV(RAND(),Coefficients!$B$20,Coefficients!$B$21),0))</f>
        <v>12</v>
      </c>
      <c r="D546" s="0" t="n">
        <f aca="true">CRITBINOM($C546,MIN(0.75,Matchup!$B$39*$B546),RAND())</f>
        <v>6</v>
      </c>
      <c r="E546" s="0" t="n">
        <f aca="true">CRITBINOM(D546,Coefficients!$B$30,RAND())</f>
        <v>0</v>
      </c>
      <c r="F546" s="0" t="n">
        <f aca="true">CRITBINOM(E546,Coefficients!$B$31,RAND())</f>
        <v>0</v>
      </c>
      <c r="G546" s="0" t="n">
        <f aca="true">CRITBINOM(MAX(0,D546-E546),1-Coefficients!$B$32,RAND())</f>
        <v>0</v>
      </c>
      <c r="H546" s="0" t="n">
        <f aca="true">CRITBINOM(MAX(0,$C546-D546),MIN(0.6,Matchup!$B$40*SQRT($B546)/(1-MIN(0.75,Matchup!$B$39*$B546))),RAND())</f>
        <v>1</v>
      </c>
      <c r="I546" s="0" t="n">
        <f aca="false">6*D546+(D546-E546-G546)+2*F546+3*H546</f>
        <v>45</v>
      </c>
      <c r="J546" s="0" t="n">
        <f aca="true">CRITBINOM($C546,MIN(0.75,Matchup!$C$39*$B546),RAND())</f>
        <v>3</v>
      </c>
      <c r="K546" s="0" t="n">
        <f aca="true">CRITBINOM(J546,Coefficients!$B$30,RAND())</f>
        <v>1</v>
      </c>
      <c r="L546" s="0" t="n">
        <f aca="true">CRITBINOM(K546,Coefficients!$B$31,RAND())</f>
        <v>0</v>
      </c>
      <c r="M546" s="0" t="n">
        <f aca="true">CRITBINOM(MAX(0,J546-K546),1-Coefficients!$B$32,RAND())</f>
        <v>0</v>
      </c>
      <c r="N546" s="0" t="n">
        <f aca="true">CRITBINOM(MAX(0,$C546-J546),MIN(0.6,Matchup!$C$40*SQRT($B546)/(1-MIN(0.75,Matchup!$C$39*$B546))),RAND())</f>
        <v>2</v>
      </c>
      <c r="O546" s="0" t="n">
        <f aca="false">6*J546+(J546-K546-M546)+2*L546+3*N546</f>
        <v>26</v>
      </c>
      <c r="P546" s="0" t="n">
        <f aca="true">RAND()</f>
        <v>0.862366690241043</v>
      </c>
      <c r="Q546" s="0" t="n">
        <f aca="true">RAND()</f>
        <v>0.0616071765613471</v>
      </c>
      <c r="R546" s="0" t="n">
        <f aca="false">IF($I546&lt;&gt;$O546,0,IF(P546&lt;Matchup!$B$39,7,IF(P546&lt;Matchup!$B$39+Matchup!$B$40,3,0)))</f>
        <v>0</v>
      </c>
      <c r="S546" s="0" t="n">
        <f aca="false">IF($I546&lt;&gt;$O546,0,IF(Q546&lt;Matchup!$C$39,7,IF(Q546&lt;Matchup!$C$39+Matchup!$C$40,3,0)))</f>
        <v>0</v>
      </c>
      <c r="T546" s="0" t="n">
        <f aca="false">I546+R546</f>
        <v>45</v>
      </c>
      <c r="U546" s="0" t="n">
        <f aca="false">O546+S546</f>
        <v>26</v>
      </c>
      <c r="V546" s="0" t="n">
        <f aca="false">T546-U546</f>
        <v>19</v>
      </c>
      <c r="W546" s="0" t="n">
        <f aca="false">T546+U546</f>
        <v>71</v>
      </c>
    </row>
    <row r="547" customFormat="false" ht="15" hidden="false" customHeight="false" outlineLevel="0" collapsed="false">
      <c r="A547" s="0" t="n">
        <v>544</v>
      </c>
      <c r="B547" s="0" t="n">
        <f aca="true">NORMINV(RAND(),1,Coefficients!$B$22)</f>
        <v>0.992841307886741</v>
      </c>
      <c r="C547" s="0" t="n">
        <f aca="true">MEDIAN(8,16,ROUND(NORMINV(RAND(),Coefficients!$B$20,Coefficients!$B$21),0))</f>
        <v>10</v>
      </c>
      <c r="D547" s="0" t="n">
        <f aca="true">CRITBINOM($C547,MIN(0.75,Matchup!$B$39*$B547),RAND())</f>
        <v>3</v>
      </c>
      <c r="E547" s="0" t="n">
        <f aca="true">CRITBINOM(D547,Coefficients!$B$30,RAND())</f>
        <v>0</v>
      </c>
      <c r="F547" s="0" t="n">
        <f aca="true">CRITBINOM(E547,Coefficients!$B$31,RAND())</f>
        <v>0</v>
      </c>
      <c r="G547" s="0" t="n">
        <f aca="true">CRITBINOM(MAX(0,D547-E547),1-Coefficients!$B$32,RAND())</f>
        <v>0</v>
      </c>
      <c r="H547" s="0" t="n">
        <f aca="true">CRITBINOM(MAX(0,$C547-D547),MIN(0.6,Matchup!$B$40*SQRT($B547)/(1-MIN(0.75,Matchup!$B$39*$B547))),RAND())</f>
        <v>0</v>
      </c>
      <c r="I547" s="0" t="n">
        <f aca="false">6*D547+(D547-E547-G547)+2*F547+3*H547</f>
        <v>21</v>
      </c>
      <c r="J547" s="0" t="n">
        <f aca="true">CRITBINOM($C547,MIN(0.75,Matchup!$C$39*$B547),RAND())</f>
        <v>1</v>
      </c>
      <c r="K547" s="0" t="n">
        <f aca="true">CRITBINOM(J547,Coefficients!$B$30,RAND())</f>
        <v>0</v>
      </c>
      <c r="L547" s="0" t="n">
        <f aca="true">CRITBINOM(K547,Coefficients!$B$31,RAND())</f>
        <v>0</v>
      </c>
      <c r="M547" s="0" t="n">
        <f aca="true">CRITBINOM(MAX(0,J547-K547),1-Coefficients!$B$32,RAND())</f>
        <v>1</v>
      </c>
      <c r="N547" s="0" t="n">
        <f aca="true">CRITBINOM(MAX(0,$C547-J547),MIN(0.6,Matchup!$C$40*SQRT($B547)/(1-MIN(0.75,Matchup!$C$39*$B547))),RAND())</f>
        <v>0</v>
      </c>
      <c r="O547" s="0" t="n">
        <f aca="false">6*J547+(J547-K547-M547)+2*L547+3*N547</f>
        <v>6</v>
      </c>
      <c r="P547" s="0" t="n">
        <f aca="true">RAND()</f>
        <v>0.0251635080302568</v>
      </c>
      <c r="Q547" s="0" t="n">
        <f aca="true">RAND()</f>
        <v>0.293837581911293</v>
      </c>
      <c r="R547" s="0" t="n">
        <f aca="false">IF($I547&lt;&gt;$O547,0,IF(P547&lt;Matchup!$B$39,7,IF(P547&lt;Matchup!$B$39+Matchup!$B$40,3,0)))</f>
        <v>0</v>
      </c>
      <c r="S547" s="0" t="n">
        <f aca="false">IF($I547&lt;&gt;$O547,0,IF(Q547&lt;Matchup!$C$39,7,IF(Q547&lt;Matchup!$C$39+Matchup!$C$40,3,0)))</f>
        <v>0</v>
      </c>
      <c r="T547" s="0" t="n">
        <f aca="false">I547+R547</f>
        <v>21</v>
      </c>
      <c r="U547" s="0" t="n">
        <f aca="false">O547+S547</f>
        <v>6</v>
      </c>
      <c r="V547" s="0" t="n">
        <f aca="false">T547-U547</f>
        <v>15</v>
      </c>
      <c r="W547" s="0" t="n">
        <f aca="false">T547+U547</f>
        <v>27</v>
      </c>
    </row>
    <row r="548" customFormat="false" ht="15" hidden="false" customHeight="false" outlineLevel="0" collapsed="false">
      <c r="A548" s="0" t="n">
        <v>545</v>
      </c>
      <c r="B548" s="0" t="n">
        <f aca="true">NORMINV(RAND(),1,Coefficients!$B$22)</f>
        <v>1.05516394556149</v>
      </c>
      <c r="C548" s="0" t="n">
        <f aca="true">MEDIAN(8,16,ROUND(NORMINV(RAND(),Coefficients!$B$20,Coefficients!$B$21),0))</f>
        <v>12</v>
      </c>
      <c r="D548" s="0" t="n">
        <f aca="true">CRITBINOM($C548,MIN(0.75,Matchup!$B$39*$B548),RAND())</f>
        <v>5</v>
      </c>
      <c r="E548" s="0" t="n">
        <f aca="true">CRITBINOM(D548,Coefficients!$B$30,RAND())</f>
        <v>0</v>
      </c>
      <c r="F548" s="0" t="n">
        <f aca="true">CRITBINOM(E548,Coefficients!$B$31,RAND())</f>
        <v>0</v>
      </c>
      <c r="G548" s="0" t="n">
        <f aca="true">CRITBINOM(MAX(0,D548-E548),1-Coefficients!$B$32,RAND())</f>
        <v>0</v>
      </c>
      <c r="H548" s="0" t="n">
        <f aca="true">CRITBINOM(MAX(0,$C548-D548),MIN(0.6,Matchup!$B$40*SQRT($B548)/(1-MIN(0.75,Matchup!$B$39*$B548))),RAND())</f>
        <v>3</v>
      </c>
      <c r="I548" s="0" t="n">
        <f aca="false">6*D548+(D548-E548-G548)+2*F548+3*H548</f>
        <v>44</v>
      </c>
      <c r="J548" s="0" t="n">
        <f aca="true">CRITBINOM($C548,MIN(0.75,Matchup!$C$39*$B548),RAND())</f>
        <v>4</v>
      </c>
      <c r="K548" s="0" t="n">
        <f aca="true">CRITBINOM(J548,Coefficients!$B$30,RAND())</f>
        <v>0</v>
      </c>
      <c r="L548" s="0" t="n">
        <f aca="true">CRITBINOM(K548,Coefficients!$B$31,RAND())</f>
        <v>0</v>
      </c>
      <c r="M548" s="0" t="n">
        <f aca="true">CRITBINOM(MAX(0,J548-K548),1-Coefficients!$B$32,RAND())</f>
        <v>0</v>
      </c>
      <c r="N548" s="0" t="n">
        <f aca="true">CRITBINOM(MAX(0,$C548-J548),MIN(0.6,Matchup!$C$40*SQRT($B548)/(1-MIN(0.75,Matchup!$C$39*$B548))),RAND())</f>
        <v>1</v>
      </c>
      <c r="O548" s="0" t="n">
        <f aca="false">6*J548+(J548-K548-M548)+2*L548+3*N548</f>
        <v>31</v>
      </c>
      <c r="P548" s="0" t="n">
        <f aca="true">RAND()</f>
        <v>0.623216488901864</v>
      </c>
      <c r="Q548" s="0" t="n">
        <f aca="true">RAND()</f>
        <v>0.998899069333621</v>
      </c>
      <c r="R548" s="0" t="n">
        <f aca="false">IF($I548&lt;&gt;$O548,0,IF(P548&lt;Matchup!$B$39,7,IF(P548&lt;Matchup!$B$39+Matchup!$B$40,3,0)))</f>
        <v>0</v>
      </c>
      <c r="S548" s="0" t="n">
        <f aca="false">IF($I548&lt;&gt;$O548,0,IF(Q548&lt;Matchup!$C$39,7,IF(Q548&lt;Matchup!$C$39+Matchup!$C$40,3,0)))</f>
        <v>0</v>
      </c>
      <c r="T548" s="0" t="n">
        <f aca="false">I548+R548</f>
        <v>44</v>
      </c>
      <c r="U548" s="0" t="n">
        <f aca="false">O548+S548</f>
        <v>31</v>
      </c>
      <c r="V548" s="0" t="n">
        <f aca="false">T548-U548</f>
        <v>13</v>
      </c>
      <c r="W548" s="0" t="n">
        <f aca="false">T548+U548</f>
        <v>75</v>
      </c>
    </row>
    <row r="549" customFormat="false" ht="15" hidden="false" customHeight="false" outlineLevel="0" collapsed="false">
      <c r="A549" s="0" t="n">
        <v>546</v>
      </c>
      <c r="B549" s="0" t="n">
        <f aca="true">NORMINV(RAND(),1,Coefficients!$B$22)</f>
        <v>0.919433043063544</v>
      </c>
      <c r="C549" s="0" t="n">
        <f aca="true">MEDIAN(8,16,ROUND(NORMINV(RAND(),Coefficients!$B$20,Coefficients!$B$21),0))</f>
        <v>10</v>
      </c>
      <c r="D549" s="0" t="n">
        <f aca="true">CRITBINOM($C549,MIN(0.75,Matchup!$B$39*$B549),RAND())</f>
        <v>2</v>
      </c>
      <c r="E549" s="0" t="n">
        <f aca="true">CRITBINOM(D549,Coefficients!$B$30,RAND())</f>
        <v>0</v>
      </c>
      <c r="F549" s="0" t="n">
        <f aca="true">CRITBINOM(E549,Coefficients!$B$31,RAND())</f>
        <v>0</v>
      </c>
      <c r="G549" s="0" t="n">
        <f aca="true">CRITBINOM(MAX(0,D549-E549),1-Coefficients!$B$32,RAND())</f>
        <v>0</v>
      </c>
      <c r="H549" s="0" t="n">
        <f aca="true">CRITBINOM(MAX(0,$C549-D549),MIN(0.6,Matchup!$B$40*SQRT($B549)/(1-MIN(0.75,Matchup!$B$39*$B549))),RAND())</f>
        <v>0</v>
      </c>
      <c r="I549" s="0" t="n">
        <f aca="false">6*D549+(D549-E549-G549)+2*F549+3*H549</f>
        <v>14</v>
      </c>
      <c r="J549" s="0" t="n">
        <f aca="true">CRITBINOM($C549,MIN(0.75,Matchup!$C$39*$B549),RAND())</f>
        <v>1</v>
      </c>
      <c r="K549" s="0" t="n">
        <f aca="true">CRITBINOM(J549,Coefficients!$B$30,RAND())</f>
        <v>0</v>
      </c>
      <c r="L549" s="0" t="n">
        <f aca="true">CRITBINOM(K549,Coefficients!$B$31,RAND())</f>
        <v>0</v>
      </c>
      <c r="M549" s="0" t="n">
        <f aca="true">CRITBINOM(MAX(0,J549-K549),1-Coefficients!$B$32,RAND())</f>
        <v>0</v>
      </c>
      <c r="N549" s="0" t="n">
        <f aca="true">CRITBINOM(MAX(0,$C549-J549),MIN(0.6,Matchup!$C$40*SQRT($B549)/(1-MIN(0.75,Matchup!$C$39*$B549))),RAND())</f>
        <v>3</v>
      </c>
      <c r="O549" s="0" t="n">
        <f aca="false">6*J549+(J549-K549-M549)+2*L549+3*N549</f>
        <v>16</v>
      </c>
      <c r="P549" s="0" t="n">
        <f aca="true">RAND()</f>
        <v>0.973352706523379</v>
      </c>
      <c r="Q549" s="0" t="n">
        <f aca="true">RAND()</f>
        <v>0.70638667025216</v>
      </c>
      <c r="R549" s="0" t="n">
        <f aca="false">IF($I549&lt;&gt;$O549,0,IF(P549&lt;Matchup!$B$39,7,IF(P549&lt;Matchup!$B$39+Matchup!$B$40,3,0)))</f>
        <v>0</v>
      </c>
      <c r="S549" s="0" t="n">
        <f aca="false">IF($I549&lt;&gt;$O549,0,IF(Q549&lt;Matchup!$C$39,7,IF(Q549&lt;Matchup!$C$39+Matchup!$C$40,3,0)))</f>
        <v>0</v>
      </c>
      <c r="T549" s="0" t="n">
        <f aca="false">I549+R549</f>
        <v>14</v>
      </c>
      <c r="U549" s="0" t="n">
        <f aca="false">O549+S549</f>
        <v>16</v>
      </c>
      <c r="V549" s="0" t="n">
        <f aca="false">T549-U549</f>
        <v>-2</v>
      </c>
      <c r="W549" s="0" t="n">
        <f aca="false">T549+U549</f>
        <v>30</v>
      </c>
    </row>
    <row r="550" customFormat="false" ht="15" hidden="false" customHeight="false" outlineLevel="0" collapsed="false">
      <c r="A550" s="0" t="n">
        <v>547</v>
      </c>
      <c r="B550" s="0" t="n">
        <f aca="true">NORMINV(RAND(),1,Coefficients!$B$22)</f>
        <v>1.10241301663258</v>
      </c>
      <c r="C550" s="0" t="n">
        <f aca="true">MEDIAN(8,16,ROUND(NORMINV(RAND(),Coefficients!$B$20,Coefficients!$B$21),0))</f>
        <v>11</v>
      </c>
      <c r="D550" s="0" t="n">
        <f aca="true">CRITBINOM($C550,MIN(0.75,Matchup!$B$39*$B550),RAND())</f>
        <v>1</v>
      </c>
      <c r="E550" s="0" t="n">
        <f aca="true">CRITBINOM(D550,Coefficients!$B$30,RAND())</f>
        <v>1</v>
      </c>
      <c r="F550" s="0" t="n">
        <f aca="true">CRITBINOM(E550,Coefficients!$B$31,RAND())</f>
        <v>0</v>
      </c>
      <c r="G550" s="0" t="n">
        <f aca="true">CRITBINOM(MAX(0,D550-E550),1-Coefficients!$B$32,RAND())</f>
        <v>0</v>
      </c>
      <c r="H550" s="0" t="n">
        <f aca="true">CRITBINOM(MAX(0,$C550-D550),MIN(0.6,Matchup!$B$40*SQRT($B550)/(1-MIN(0.75,Matchup!$B$39*$B550))),RAND())</f>
        <v>2</v>
      </c>
      <c r="I550" s="0" t="n">
        <f aca="false">6*D550+(D550-E550-G550)+2*F550+3*H550</f>
        <v>12</v>
      </c>
      <c r="J550" s="0" t="n">
        <f aca="true">CRITBINOM($C550,MIN(0.75,Matchup!$C$39*$B550),RAND())</f>
        <v>2</v>
      </c>
      <c r="K550" s="0" t="n">
        <f aca="true">CRITBINOM(J550,Coefficients!$B$30,RAND())</f>
        <v>1</v>
      </c>
      <c r="L550" s="0" t="n">
        <f aca="true">CRITBINOM(K550,Coefficients!$B$31,RAND())</f>
        <v>1</v>
      </c>
      <c r="M550" s="0" t="n">
        <f aca="true">CRITBINOM(MAX(0,J550-K550),1-Coefficients!$B$32,RAND())</f>
        <v>0</v>
      </c>
      <c r="N550" s="0" t="n">
        <f aca="true">CRITBINOM(MAX(0,$C550-J550),MIN(0.6,Matchup!$C$40*SQRT($B550)/(1-MIN(0.75,Matchup!$C$39*$B550))),RAND())</f>
        <v>2</v>
      </c>
      <c r="O550" s="0" t="n">
        <f aca="false">6*J550+(J550-K550-M550)+2*L550+3*N550</f>
        <v>21</v>
      </c>
      <c r="P550" s="0" t="n">
        <f aca="true">RAND()</f>
        <v>0.634013911200362</v>
      </c>
      <c r="Q550" s="0" t="n">
        <f aca="true">RAND()</f>
        <v>0.172768640858466</v>
      </c>
      <c r="R550" s="0" t="n">
        <f aca="false">IF($I550&lt;&gt;$O550,0,IF(P550&lt;Matchup!$B$39,7,IF(P550&lt;Matchup!$B$39+Matchup!$B$40,3,0)))</f>
        <v>0</v>
      </c>
      <c r="S550" s="0" t="n">
        <f aca="false">IF($I550&lt;&gt;$O550,0,IF(Q550&lt;Matchup!$C$39,7,IF(Q550&lt;Matchup!$C$39+Matchup!$C$40,3,0)))</f>
        <v>0</v>
      </c>
      <c r="T550" s="0" t="n">
        <f aca="false">I550+R550</f>
        <v>12</v>
      </c>
      <c r="U550" s="0" t="n">
        <f aca="false">O550+S550</f>
        <v>21</v>
      </c>
      <c r="V550" s="0" t="n">
        <f aca="false">T550-U550</f>
        <v>-9</v>
      </c>
      <c r="W550" s="0" t="n">
        <f aca="false">T550+U550</f>
        <v>33</v>
      </c>
    </row>
    <row r="551" customFormat="false" ht="15" hidden="false" customHeight="false" outlineLevel="0" collapsed="false">
      <c r="A551" s="0" t="n">
        <v>548</v>
      </c>
      <c r="B551" s="0" t="n">
        <f aca="true">NORMINV(RAND(),1,Coefficients!$B$22)</f>
        <v>1.01259121571019</v>
      </c>
      <c r="C551" s="0" t="n">
        <f aca="true">MEDIAN(8,16,ROUND(NORMINV(RAND(),Coefficients!$B$20,Coefficients!$B$21),0))</f>
        <v>14</v>
      </c>
      <c r="D551" s="0" t="n">
        <f aca="true">CRITBINOM($C551,MIN(0.75,Matchup!$B$39*$B551),RAND())</f>
        <v>2</v>
      </c>
      <c r="E551" s="0" t="n">
        <f aca="true">CRITBINOM(D551,Coefficients!$B$30,RAND())</f>
        <v>0</v>
      </c>
      <c r="F551" s="0" t="n">
        <f aca="true">CRITBINOM(E551,Coefficients!$B$31,RAND())</f>
        <v>0</v>
      </c>
      <c r="G551" s="0" t="n">
        <f aca="true">CRITBINOM(MAX(0,D551-E551),1-Coefficients!$B$32,RAND())</f>
        <v>0</v>
      </c>
      <c r="H551" s="0" t="n">
        <f aca="true">CRITBINOM(MAX(0,$C551-D551),MIN(0.6,Matchup!$B$40*SQRT($B551)/(1-MIN(0.75,Matchup!$B$39*$B551))),RAND())</f>
        <v>1</v>
      </c>
      <c r="I551" s="0" t="n">
        <f aca="false">6*D551+(D551-E551-G551)+2*F551+3*H551</f>
        <v>17</v>
      </c>
      <c r="J551" s="0" t="n">
        <f aca="true">CRITBINOM($C551,MIN(0.75,Matchup!$C$39*$B551),RAND())</f>
        <v>6</v>
      </c>
      <c r="K551" s="0" t="n">
        <f aca="true">CRITBINOM(J551,Coefficients!$B$30,RAND())</f>
        <v>2</v>
      </c>
      <c r="L551" s="0" t="n">
        <f aca="true">CRITBINOM(K551,Coefficients!$B$31,RAND())</f>
        <v>0</v>
      </c>
      <c r="M551" s="0" t="n">
        <f aca="true">CRITBINOM(MAX(0,J551-K551),1-Coefficients!$B$32,RAND())</f>
        <v>0</v>
      </c>
      <c r="N551" s="0" t="n">
        <f aca="true">CRITBINOM(MAX(0,$C551-J551),MIN(0.6,Matchup!$C$40*SQRT($B551)/(1-MIN(0.75,Matchup!$C$39*$B551))),RAND())</f>
        <v>2</v>
      </c>
      <c r="O551" s="0" t="n">
        <f aca="false">6*J551+(J551-K551-M551)+2*L551+3*N551</f>
        <v>46</v>
      </c>
      <c r="P551" s="0" t="n">
        <f aca="true">RAND()</f>
        <v>0.315356668842206</v>
      </c>
      <c r="Q551" s="0" t="n">
        <f aca="true">RAND()</f>
        <v>0.485122442845258</v>
      </c>
      <c r="R551" s="0" t="n">
        <f aca="false">IF($I551&lt;&gt;$O551,0,IF(P551&lt;Matchup!$B$39,7,IF(P551&lt;Matchup!$B$39+Matchup!$B$40,3,0)))</f>
        <v>0</v>
      </c>
      <c r="S551" s="0" t="n">
        <f aca="false">IF($I551&lt;&gt;$O551,0,IF(Q551&lt;Matchup!$C$39,7,IF(Q551&lt;Matchup!$C$39+Matchup!$C$40,3,0)))</f>
        <v>0</v>
      </c>
      <c r="T551" s="0" t="n">
        <f aca="false">I551+R551</f>
        <v>17</v>
      </c>
      <c r="U551" s="0" t="n">
        <f aca="false">O551+S551</f>
        <v>46</v>
      </c>
      <c r="V551" s="0" t="n">
        <f aca="false">T551-U551</f>
        <v>-29</v>
      </c>
      <c r="W551" s="0" t="n">
        <f aca="false">T551+U551</f>
        <v>63</v>
      </c>
    </row>
    <row r="552" customFormat="false" ht="15" hidden="false" customHeight="false" outlineLevel="0" collapsed="false">
      <c r="A552" s="0" t="n">
        <v>549</v>
      </c>
      <c r="B552" s="0" t="n">
        <f aca="true">NORMINV(RAND(),1,Coefficients!$B$22)</f>
        <v>1.0426121856278</v>
      </c>
      <c r="C552" s="0" t="n">
        <f aca="true">MEDIAN(8,16,ROUND(NORMINV(RAND(),Coefficients!$B$20,Coefficients!$B$21),0))</f>
        <v>11</v>
      </c>
      <c r="D552" s="0" t="n">
        <f aca="true">CRITBINOM($C552,MIN(0.75,Matchup!$B$39*$B552),RAND())</f>
        <v>6</v>
      </c>
      <c r="E552" s="0" t="n">
        <f aca="true">CRITBINOM(D552,Coefficients!$B$30,RAND())</f>
        <v>0</v>
      </c>
      <c r="F552" s="0" t="n">
        <f aca="true">CRITBINOM(E552,Coefficients!$B$31,RAND())</f>
        <v>0</v>
      </c>
      <c r="G552" s="0" t="n">
        <f aca="true">CRITBINOM(MAX(0,D552-E552),1-Coefficients!$B$32,RAND())</f>
        <v>1</v>
      </c>
      <c r="H552" s="0" t="n">
        <f aca="true">CRITBINOM(MAX(0,$C552-D552),MIN(0.6,Matchup!$B$40*SQRT($B552)/(1-MIN(0.75,Matchup!$B$39*$B552))),RAND())</f>
        <v>0</v>
      </c>
      <c r="I552" s="0" t="n">
        <f aca="false">6*D552+(D552-E552-G552)+2*F552+3*H552</f>
        <v>41</v>
      </c>
      <c r="J552" s="0" t="n">
        <f aca="true">CRITBINOM($C552,MIN(0.75,Matchup!$C$39*$B552),RAND())</f>
        <v>0</v>
      </c>
      <c r="K552" s="0" t="n">
        <f aca="true">CRITBINOM(J552,Coefficients!$B$30,RAND())</f>
        <v>0</v>
      </c>
      <c r="L552" s="0" t="n">
        <f aca="true">CRITBINOM(K552,Coefficients!$B$31,RAND())</f>
        <v>0</v>
      </c>
      <c r="M552" s="0" t="n">
        <f aca="true">CRITBINOM(MAX(0,J552-K552),1-Coefficients!$B$32,RAND())</f>
        <v>0</v>
      </c>
      <c r="N552" s="0" t="n">
        <f aca="true">CRITBINOM(MAX(0,$C552-J552),MIN(0.6,Matchup!$C$40*SQRT($B552)/(1-MIN(0.75,Matchup!$C$39*$B552))),RAND())</f>
        <v>1</v>
      </c>
      <c r="O552" s="0" t="n">
        <f aca="false">6*J552+(J552-K552-M552)+2*L552+3*N552</f>
        <v>3</v>
      </c>
      <c r="P552" s="0" t="n">
        <f aca="true">RAND()</f>
        <v>0.167023887848134</v>
      </c>
      <c r="Q552" s="0" t="n">
        <f aca="true">RAND()</f>
        <v>0.896356832686269</v>
      </c>
      <c r="R552" s="0" t="n">
        <f aca="false">IF($I552&lt;&gt;$O552,0,IF(P552&lt;Matchup!$B$39,7,IF(P552&lt;Matchup!$B$39+Matchup!$B$40,3,0)))</f>
        <v>0</v>
      </c>
      <c r="S552" s="0" t="n">
        <f aca="false">IF($I552&lt;&gt;$O552,0,IF(Q552&lt;Matchup!$C$39,7,IF(Q552&lt;Matchup!$C$39+Matchup!$C$40,3,0)))</f>
        <v>0</v>
      </c>
      <c r="T552" s="0" t="n">
        <f aca="false">I552+R552</f>
        <v>41</v>
      </c>
      <c r="U552" s="0" t="n">
        <f aca="false">O552+S552</f>
        <v>3</v>
      </c>
      <c r="V552" s="0" t="n">
        <f aca="false">T552-U552</f>
        <v>38</v>
      </c>
      <c r="W552" s="0" t="n">
        <f aca="false">T552+U552</f>
        <v>44</v>
      </c>
    </row>
    <row r="553" customFormat="false" ht="15" hidden="false" customHeight="false" outlineLevel="0" collapsed="false">
      <c r="A553" s="0" t="n">
        <v>550</v>
      </c>
      <c r="B553" s="0" t="n">
        <f aca="true">NORMINV(RAND(),1,Coefficients!$B$22)</f>
        <v>1.01417311986249</v>
      </c>
      <c r="C553" s="0" t="n">
        <f aca="true">MEDIAN(8,16,ROUND(NORMINV(RAND(),Coefficients!$B$20,Coefficients!$B$21),0))</f>
        <v>10</v>
      </c>
      <c r="D553" s="0" t="n">
        <f aca="true">CRITBINOM($C553,MIN(0.75,Matchup!$B$39*$B553),RAND())</f>
        <v>1</v>
      </c>
      <c r="E553" s="0" t="n">
        <f aca="true">CRITBINOM(D553,Coefficients!$B$30,RAND())</f>
        <v>0</v>
      </c>
      <c r="F553" s="0" t="n">
        <f aca="true">CRITBINOM(E553,Coefficients!$B$31,RAND())</f>
        <v>0</v>
      </c>
      <c r="G553" s="0" t="n">
        <f aca="true">CRITBINOM(MAX(0,D553-E553),1-Coefficients!$B$32,RAND())</f>
        <v>0</v>
      </c>
      <c r="H553" s="0" t="n">
        <f aca="true">CRITBINOM(MAX(0,$C553-D553),MIN(0.6,Matchup!$B$40*SQRT($B553)/(1-MIN(0.75,Matchup!$B$39*$B553))),RAND())</f>
        <v>3</v>
      </c>
      <c r="I553" s="0" t="n">
        <f aca="false">6*D553+(D553-E553-G553)+2*F553+3*H553</f>
        <v>16</v>
      </c>
      <c r="J553" s="0" t="n">
        <f aca="true">CRITBINOM($C553,MIN(0.75,Matchup!$C$39*$B553),RAND())</f>
        <v>4</v>
      </c>
      <c r="K553" s="0" t="n">
        <f aca="true">CRITBINOM(J553,Coefficients!$B$30,RAND())</f>
        <v>0</v>
      </c>
      <c r="L553" s="0" t="n">
        <f aca="true">CRITBINOM(K553,Coefficients!$B$31,RAND())</f>
        <v>0</v>
      </c>
      <c r="M553" s="0" t="n">
        <f aca="true">CRITBINOM(MAX(0,J553-K553),1-Coefficients!$B$32,RAND())</f>
        <v>0</v>
      </c>
      <c r="N553" s="0" t="n">
        <f aca="true">CRITBINOM(MAX(0,$C553-J553),MIN(0.6,Matchup!$C$40*SQRT($B553)/(1-MIN(0.75,Matchup!$C$39*$B553))),RAND())</f>
        <v>1</v>
      </c>
      <c r="O553" s="0" t="n">
        <f aca="false">6*J553+(J553-K553-M553)+2*L553+3*N553</f>
        <v>31</v>
      </c>
      <c r="P553" s="0" t="n">
        <f aca="true">RAND()</f>
        <v>0.594991702424973</v>
      </c>
      <c r="Q553" s="0" t="n">
        <f aca="true">RAND()</f>
        <v>0.0961525065434018</v>
      </c>
      <c r="R553" s="0" t="n">
        <f aca="false">IF($I553&lt;&gt;$O553,0,IF(P553&lt;Matchup!$B$39,7,IF(P553&lt;Matchup!$B$39+Matchup!$B$40,3,0)))</f>
        <v>0</v>
      </c>
      <c r="S553" s="0" t="n">
        <f aca="false">IF($I553&lt;&gt;$O553,0,IF(Q553&lt;Matchup!$C$39,7,IF(Q553&lt;Matchup!$C$39+Matchup!$C$40,3,0)))</f>
        <v>0</v>
      </c>
      <c r="T553" s="0" t="n">
        <f aca="false">I553+R553</f>
        <v>16</v>
      </c>
      <c r="U553" s="0" t="n">
        <f aca="false">O553+S553</f>
        <v>31</v>
      </c>
      <c r="V553" s="0" t="n">
        <f aca="false">T553-U553</f>
        <v>-15</v>
      </c>
      <c r="W553" s="0" t="n">
        <f aca="false">T553+U553</f>
        <v>47</v>
      </c>
    </row>
    <row r="554" customFormat="false" ht="15" hidden="false" customHeight="false" outlineLevel="0" collapsed="false">
      <c r="A554" s="0" t="n">
        <v>551</v>
      </c>
      <c r="B554" s="0" t="n">
        <f aca="true">NORMINV(RAND(),1,Coefficients!$B$22)</f>
        <v>1.00106599346558</v>
      </c>
      <c r="C554" s="0" t="n">
        <f aca="true">MEDIAN(8,16,ROUND(NORMINV(RAND(),Coefficients!$B$20,Coefficients!$B$21),0))</f>
        <v>12</v>
      </c>
      <c r="D554" s="0" t="n">
        <f aca="true">CRITBINOM($C554,MIN(0.75,Matchup!$B$39*$B554),RAND())</f>
        <v>6</v>
      </c>
      <c r="E554" s="0" t="n">
        <f aca="true">CRITBINOM(D554,Coefficients!$B$30,RAND())</f>
        <v>0</v>
      </c>
      <c r="F554" s="0" t="n">
        <f aca="true">CRITBINOM(E554,Coefficients!$B$31,RAND())</f>
        <v>0</v>
      </c>
      <c r="G554" s="0" t="n">
        <f aca="true">CRITBINOM(MAX(0,D554-E554),1-Coefficients!$B$32,RAND())</f>
        <v>0</v>
      </c>
      <c r="H554" s="0" t="n">
        <f aca="true">CRITBINOM(MAX(0,$C554-D554),MIN(0.6,Matchup!$B$40*SQRT($B554)/(1-MIN(0.75,Matchup!$B$39*$B554))),RAND())</f>
        <v>1</v>
      </c>
      <c r="I554" s="0" t="n">
        <f aca="false">6*D554+(D554-E554-G554)+2*F554+3*H554</f>
        <v>45</v>
      </c>
      <c r="J554" s="0" t="n">
        <f aca="true">CRITBINOM($C554,MIN(0.75,Matchup!$C$39*$B554),RAND())</f>
        <v>3</v>
      </c>
      <c r="K554" s="0" t="n">
        <f aca="true">CRITBINOM(J554,Coefficients!$B$30,RAND())</f>
        <v>0</v>
      </c>
      <c r="L554" s="0" t="n">
        <f aca="true">CRITBINOM(K554,Coefficients!$B$31,RAND())</f>
        <v>0</v>
      </c>
      <c r="M554" s="0" t="n">
        <f aca="true">CRITBINOM(MAX(0,J554-K554),1-Coefficients!$B$32,RAND())</f>
        <v>0</v>
      </c>
      <c r="N554" s="0" t="n">
        <f aca="true">CRITBINOM(MAX(0,$C554-J554),MIN(0.6,Matchup!$C$40*SQRT($B554)/(1-MIN(0.75,Matchup!$C$39*$B554))),RAND())</f>
        <v>1</v>
      </c>
      <c r="O554" s="0" t="n">
        <f aca="false">6*J554+(J554-K554-M554)+2*L554+3*N554</f>
        <v>24</v>
      </c>
      <c r="P554" s="0" t="n">
        <f aca="true">RAND()</f>
        <v>0.345025851269096</v>
      </c>
      <c r="Q554" s="0" t="n">
        <f aca="true">RAND()</f>
        <v>0.213270741706431</v>
      </c>
      <c r="R554" s="0" t="n">
        <f aca="false">IF($I554&lt;&gt;$O554,0,IF(P554&lt;Matchup!$B$39,7,IF(P554&lt;Matchup!$B$39+Matchup!$B$40,3,0)))</f>
        <v>0</v>
      </c>
      <c r="S554" s="0" t="n">
        <f aca="false">IF($I554&lt;&gt;$O554,0,IF(Q554&lt;Matchup!$C$39,7,IF(Q554&lt;Matchup!$C$39+Matchup!$C$40,3,0)))</f>
        <v>0</v>
      </c>
      <c r="T554" s="0" t="n">
        <f aca="false">I554+R554</f>
        <v>45</v>
      </c>
      <c r="U554" s="0" t="n">
        <f aca="false">O554+S554</f>
        <v>24</v>
      </c>
      <c r="V554" s="0" t="n">
        <f aca="false">T554-U554</f>
        <v>21</v>
      </c>
      <c r="W554" s="0" t="n">
        <f aca="false">T554+U554</f>
        <v>69</v>
      </c>
    </row>
    <row r="555" customFormat="false" ht="15" hidden="false" customHeight="false" outlineLevel="0" collapsed="false">
      <c r="A555" s="0" t="n">
        <v>552</v>
      </c>
      <c r="B555" s="0" t="n">
        <f aca="true">NORMINV(RAND(),1,Coefficients!$B$22)</f>
        <v>1.06326559141104</v>
      </c>
      <c r="C555" s="0" t="n">
        <f aca="true">MEDIAN(8,16,ROUND(NORMINV(RAND(),Coefficients!$B$20,Coefficients!$B$21),0))</f>
        <v>11</v>
      </c>
      <c r="D555" s="0" t="n">
        <f aca="true">CRITBINOM($C555,MIN(0.75,Matchup!$B$39*$B555),RAND())</f>
        <v>4</v>
      </c>
      <c r="E555" s="0" t="n">
        <f aca="true">CRITBINOM(D555,Coefficients!$B$30,RAND())</f>
        <v>1</v>
      </c>
      <c r="F555" s="0" t="n">
        <f aca="true">CRITBINOM(E555,Coefficients!$B$31,RAND())</f>
        <v>1</v>
      </c>
      <c r="G555" s="0" t="n">
        <f aca="true">CRITBINOM(MAX(0,D555-E555),1-Coefficients!$B$32,RAND())</f>
        <v>0</v>
      </c>
      <c r="H555" s="0" t="n">
        <f aca="true">CRITBINOM(MAX(0,$C555-D555),MIN(0.6,Matchup!$B$40*SQRT($B555)/(1-MIN(0.75,Matchup!$B$39*$B555))),RAND())</f>
        <v>1</v>
      </c>
      <c r="I555" s="0" t="n">
        <f aca="false">6*D555+(D555-E555-G555)+2*F555+3*H555</f>
        <v>32</v>
      </c>
      <c r="J555" s="0" t="n">
        <f aca="true">CRITBINOM($C555,MIN(0.75,Matchup!$C$39*$B555),RAND())</f>
        <v>2</v>
      </c>
      <c r="K555" s="0" t="n">
        <f aca="true">CRITBINOM(J555,Coefficients!$B$30,RAND())</f>
        <v>0</v>
      </c>
      <c r="L555" s="0" t="n">
        <f aca="true">CRITBINOM(K555,Coefficients!$B$31,RAND())</f>
        <v>0</v>
      </c>
      <c r="M555" s="0" t="n">
        <f aca="true">CRITBINOM(MAX(0,J555-K555),1-Coefficients!$B$32,RAND())</f>
        <v>0</v>
      </c>
      <c r="N555" s="0" t="n">
        <f aca="true">CRITBINOM(MAX(0,$C555-J555),MIN(0.6,Matchup!$C$40*SQRT($B555)/(1-MIN(0.75,Matchup!$C$39*$B555))),RAND())</f>
        <v>3</v>
      </c>
      <c r="O555" s="0" t="n">
        <f aca="false">6*J555+(J555-K555-M555)+2*L555+3*N555</f>
        <v>23</v>
      </c>
      <c r="P555" s="0" t="n">
        <f aca="true">RAND()</f>
        <v>0.829416376467393</v>
      </c>
      <c r="Q555" s="0" t="n">
        <f aca="true">RAND()</f>
        <v>0.427483283014873</v>
      </c>
      <c r="R555" s="0" t="n">
        <f aca="false">IF($I555&lt;&gt;$O555,0,IF(P555&lt;Matchup!$B$39,7,IF(P555&lt;Matchup!$B$39+Matchup!$B$40,3,0)))</f>
        <v>0</v>
      </c>
      <c r="S555" s="0" t="n">
        <f aca="false">IF($I555&lt;&gt;$O555,0,IF(Q555&lt;Matchup!$C$39,7,IF(Q555&lt;Matchup!$C$39+Matchup!$C$40,3,0)))</f>
        <v>0</v>
      </c>
      <c r="T555" s="0" t="n">
        <f aca="false">I555+R555</f>
        <v>32</v>
      </c>
      <c r="U555" s="0" t="n">
        <f aca="false">O555+S555</f>
        <v>23</v>
      </c>
      <c r="V555" s="0" t="n">
        <f aca="false">T555-U555</f>
        <v>9</v>
      </c>
      <c r="W555" s="0" t="n">
        <f aca="false">T555+U555</f>
        <v>55</v>
      </c>
    </row>
    <row r="556" customFormat="false" ht="15" hidden="false" customHeight="false" outlineLevel="0" collapsed="false">
      <c r="A556" s="0" t="n">
        <v>553</v>
      </c>
      <c r="B556" s="0" t="n">
        <f aca="true">NORMINV(RAND(),1,Coefficients!$B$22)</f>
        <v>0.970019297614165</v>
      </c>
      <c r="C556" s="0" t="n">
        <f aca="true">MEDIAN(8,16,ROUND(NORMINV(RAND(),Coefficients!$B$20,Coefficients!$B$21),0))</f>
        <v>10</v>
      </c>
      <c r="D556" s="0" t="n">
        <f aca="true">CRITBINOM($C556,MIN(0.75,Matchup!$B$39*$B556),RAND())</f>
        <v>2</v>
      </c>
      <c r="E556" s="0" t="n">
        <f aca="true">CRITBINOM(D556,Coefficients!$B$30,RAND())</f>
        <v>0</v>
      </c>
      <c r="F556" s="0" t="n">
        <f aca="true">CRITBINOM(E556,Coefficients!$B$31,RAND())</f>
        <v>0</v>
      </c>
      <c r="G556" s="0" t="n">
        <f aca="true">CRITBINOM(MAX(0,D556-E556),1-Coefficients!$B$32,RAND())</f>
        <v>1</v>
      </c>
      <c r="H556" s="0" t="n">
        <f aca="true">CRITBINOM(MAX(0,$C556-D556),MIN(0.6,Matchup!$B$40*SQRT($B556)/(1-MIN(0.75,Matchup!$B$39*$B556))),RAND())</f>
        <v>0</v>
      </c>
      <c r="I556" s="0" t="n">
        <f aca="false">6*D556+(D556-E556-G556)+2*F556+3*H556</f>
        <v>13</v>
      </c>
      <c r="J556" s="0" t="n">
        <f aca="true">CRITBINOM($C556,MIN(0.75,Matchup!$C$39*$B556),RAND())</f>
        <v>0</v>
      </c>
      <c r="K556" s="0" t="n">
        <f aca="true">CRITBINOM(J556,Coefficients!$B$30,RAND())</f>
        <v>0</v>
      </c>
      <c r="L556" s="0" t="n">
        <f aca="true">CRITBINOM(K556,Coefficients!$B$31,RAND())</f>
        <v>0</v>
      </c>
      <c r="M556" s="0" t="n">
        <f aca="true">CRITBINOM(MAX(0,J556-K556),1-Coefficients!$B$32,RAND())</f>
        <v>0</v>
      </c>
      <c r="N556" s="0" t="n">
        <f aca="true">CRITBINOM(MAX(0,$C556-J556),MIN(0.6,Matchup!$C$40*SQRT($B556)/(1-MIN(0.75,Matchup!$C$39*$B556))),RAND())</f>
        <v>1</v>
      </c>
      <c r="O556" s="0" t="n">
        <f aca="false">6*J556+(J556-K556-M556)+2*L556+3*N556</f>
        <v>3</v>
      </c>
      <c r="P556" s="0" t="n">
        <f aca="true">RAND()</f>
        <v>0.620175042436064</v>
      </c>
      <c r="Q556" s="0" t="n">
        <f aca="true">RAND()</f>
        <v>0.271334504249356</v>
      </c>
      <c r="R556" s="0" t="n">
        <f aca="false">IF($I556&lt;&gt;$O556,0,IF(P556&lt;Matchup!$B$39,7,IF(P556&lt;Matchup!$B$39+Matchup!$B$40,3,0)))</f>
        <v>0</v>
      </c>
      <c r="S556" s="0" t="n">
        <f aca="false">IF($I556&lt;&gt;$O556,0,IF(Q556&lt;Matchup!$C$39,7,IF(Q556&lt;Matchup!$C$39+Matchup!$C$40,3,0)))</f>
        <v>0</v>
      </c>
      <c r="T556" s="0" t="n">
        <f aca="false">I556+R556</f>
        <v>13</v>
      </c>
      <c r="U556" s="0" t="n">
        <f aca="false">O556+S556</f>
        <v>3</v>
      </c>
      <c r="V556" s="0" t="n">
        <f aca="false">T556-U556</f>
        <v>10</v>
      </c>
      <c r="W556" s="0" t="n">
        <f aca="false">T556+U556</f>
        <v>16</v>
      </c>
    </row>
    <row r="557" customFormat="false" ht="15" hidden="false" customHeight="false" outlineLevel="0" collapsed="false">
      <c r="A557" s="0" t="n">
        <v>554</v>
      </c>
      <c r="B557" s="0" t="n">
        <f aca="true">NORMINV(RAND(),1,Coefficients!$B$22)</f>
        <v>0.919163911470581</v>
      </c>
      <c r="C557" s="0" t="n">
        <f aca="true">MEDIAN(8,16,ROUND(NORMINV(RAND(),Coefficients!$B$20,Coefficients!$B$21),0))</f>
        <v>9</v>
      </c>
      <c r="D557" s="0" t="n">
        <f aca="true">CRITBINOM($C557,MIN(0.75,Matchup!$B$39*$B557),RAND())</f>
        <v>4</v>
      </c>
      <c r="E557" s="0" t="n">
        <f aca="true">CRITBINOM(D557,Coefficients!$B$30,RAND())</f>
        <v>0</v>
      </c>
      <c r="F557" s="0" t="n">
        <f aca="true">CRITBINOM(E557,Coefficients!$B$31,RAND())</f>
        <v>0</v>
      </c>
      <c r="G557" s="0" t="n">
        <f aca="true">CRITBINOM(MAX(0,D557-E557),1-Coefficients!$B$32,RAND())</f>
        <v>0</v>
      </c>
      <c r="H557" s="0" t="n">
        <f aca="true">CRITBINOM(MAX(0,$C557-D557),MIN(0.6,Matchup!$B$40*SQRT($B557)/(1-MIN(0.75,Matchup!$B$39*$B557))),RAND())</f>
        <v>1</v>
      </c>
      <c r="I557" s="0" t="n">
        <f aca="false">6*D557+(D557-E557-G557)+2*F557+3*H557</f>
        <v>31</v>
      </c>
      <c r="J557" s="0" t="n">
        <f aca="true">CRITBINOM($C557,MIN(0.75,Matchup!$C$39*$B557),RAND())</f>
        <v>3</v>
      </c>
      <c r="K557" s="0" t="n">
        <f aca="true">CRITBINOM(J557,Coefficients!$B$30,RAND())</f>
        <v>2</v>
      </c>
      <c r="L557" s="0" t="n">
        <f aca="true">CRITBINOM(K557,Coefficients!$B$31,RAND())</f>
        <v>2</v>
      </c>
      <c r="M557" s="0" t="n">
        <f aca="true">CRITBINOM(MAX(0,J557-K557),1-Coefficients!$B$32,RAND())</f>
        <v>0</v>
      </c>
      <c r="N557" s="0" t="n">
        <f aca="true">CRITBINOM(MAX(0,$C557-J557),MIN(0.6,Matchup!$C$40*SQRT($B557)/(1-MIN(0.75,Matchup!$C$39*$B557))),RAND())</f>
        <v>3</v>
      </c>
      <c r="O557" s="0" t="n">
        <f aca="false">6*J557+(J557-K557-M557)+2*L557+3*N557</f>
        <v>32</v>
      </c>
      <c r="P557" s="0" t="n">
        <f aca="true">RAND()</f>
        <v>0.336640558366883</v>
      </c>
      <c r="Q557" s="0" t="n">
        <f aca="true">RAND()</f>
        <v>0.312890529232779</v>
      </c>
      <c r="R557" s="0" t="n">
        <f aca="false">IF($I557&lt;&gt;$O557,0,IF(P557&lt;Matchup!$B$39,7,IF(P557&lt;Matchup!$B$39+Matchup!$B$40,3,0)))</f>
        <v>0</v>
      </c>
      <c r="S557" s="0" t="n">
        <f aca="false">IF($I557&lt;&gt;$O557,0,IF(Q557&lt;Matchup!$C$39,7,IF(Q557&lt;Matchup!$C$39+Matchup!$C$40,3,0)))</f>
        <v>0</v>
      </c>
      <c r="T557" s="0" t="n">
        <f aca="false">I557+R557</f>
        <v>31</v>
      </c>
      <c r="U557" s="0" t="n">
        <f aca="false">O557+S557</f>
        <v>32</v>
      </c>
      <c r="V557" s="0" t="n">
        <f aca="false">T557-U557</f>
        <v>-1</v>
      </c>
      <c r="W557" s="0" t="n">
        <f aca="false">T557+U557</f>
        <v>63</v>
      </c>
    </row>
    <row r="558" customFormat="false" ht="15" hidden="false" customHeight="false" outlineLevel="0" collapsed="false">
      <c r="A558" s="0" t="n">
        <v>555</v>
      </c>
      <c r="B558" s="0" t="n">
        <f aca="true">NORMINV(RAND(),1,Coefficients!$B$22)</f>
        <v>0.92531032480083</v>
      </c>
      <c r="C558" s="0" t="n">
        <f aca="true">MEDIAN(8,16,ROUND(NORMINV(RAND(),Coefficients!$B$20,Coefficients!$B$21),0))</f>
        <v>13</v>
      </c>
      <c r="D558" s="0" t="n">
        <f aca="true">CRITBINOM($C558,MIN(0.75,Matchup!$B$39*$B558),RAND())</f>
        <v>2</v>
      </c>
      <c r="E558" s="0" t="n">
        <f aca="true">CRITBINOM(D558,Coefficients!$B$30,RAND())</f>
        <v>0</v>
      </c>
      <c r="F558" s="0" t="n">
        <f aca="true">CRITBINOM(E558,Coefficients!$B$31,RAND())</f>
        <v>0</v>
      </c>
      <c r="G558" s="0" t="n">
        <f aca="true">CRITBINOM(MAX(0,D558-E558),1-Coefficients!$B$32,RAND())</f>
        <v>1</v>
      </c>
      <c r="H558" s="0" t="n">
        <f aca="true">CRITBINOM(MAX(0,$C558-D558),MIN(0.6,Matchup!$B$40*SQRT($B558)/(1-MIN(0.75,Matchup!$B$39*$B558))),RAND())</f>
        <v>2</v>
      </c>
      <c r="I558" s="0" t="n">
        <f aca="false">6*D558+(D558-E558-G558)+2*F558+3*H558</f>
        <v>19</v>
      </c>
      <c r="J558" s="0" t="n">
        <f aca="true">CRITBINOM($C558,MIN(0.75,Matchup!$C$39*$B558),RAND())</f>
        <v>1</v>
      </c>
      <c r="K558" s="0" t="n">
        <f aca="true">CRITBINOM(J558,Coefficients!$B$30,RAND())</f>
        <v>1</v>
      </c>
      <c r="L558" s="0" t="n">
        <f aca="true">CRITBINOM(K558,Coefficients!$B$31,RAND())</f>
        <v>0</v>
      </c>
      <c r="M558" s="0" t="n">
        <f aca="true">CRITBINOM(MAX(0,J558-K558),1-Coefficients!$B$32,RAND())</f>
        <v>0</v>
      </c>
      <c r="N558" s="0" t="n">
        <f aca="true">CRITBINOM(MAX(0,$C558-J558),MIN(0.6,Matchup!$C$40*SQRT($B558)/(1-MIN(0.75,Matchup!$C$39*$B558))),RAND())</f>
        <v>2</v>
      </c>
      <c r="O558" s="0" t="n">
        <f aca="false">6*J558+(J558-K558-M558)+2*L558+3*N558</f>
        <v>12</v>
      </c>
      <c r="P558" s="0" t="n">
        <f aca="true">RAND()</f>
        <v>0.837175545324491</v>
      </c>
      <c r="Q558" s="0" t="n">
        <f aca="true">RAND()</f>
        <v>0.340662587355497</v>
      </c>
      <c r="R558" s="0" t="n">
        <f aca="false">IF($I558&lt;&gt;$O558,0,IF(P558&lt;Matchup!$B$39,7,IF(P558&lt;Matchup!$B$39+Matchup!$B$40,3,0)))</f>
        <v>0</v>
      </c>
      <c r="S558" s="0" t="n">
        <f aca="false">IF($I558&lt;&gt;$O558,0,IF(Q558&lt;Matchup!$C$39,7,IF(Q558&lt;Matchup!$C$39+Matchup!$C$40,3,0)))</f>
        <v>0</v>
      </c>
      <c r="T558" s="0" t="n">
        <f aca="false">I558+R558</f>
        <v>19</v>
      </c>
      <c r="U558" s="0" t="n">
        <f aca="false">O558+S558</f>
        <v>12</v>
      </c>
      <c r="V558" s="0" t="n">
        <f aca="false">T558-U558</f>
        <v>7</v>
      </c>
      <c r="W558" s="0" t="n">
        <f aca="false">T558+U558</f>
        <v>31</v>
      </c>
    </row>
    <row r="559" customFormat="false" ht="15" hidden="false" customHeight="false" outlineLevel="0" collapsed="false">
      <c r="A559" s="0" t="n">
        <v>556</v>
      </c>
      <c r="B559" s="0" t="n">
        <f aca="true">NORMINV(RAND(),1,Coefficients!$B$22)</f>
        <v>1.00840965212556</v>
      </c>
      <c r="C559" s="0" t="n">
        <f aca="true">MEDIAN(8,16,ROUND(NORMINV(RAND(),Coefficients!$B$20,Coefficients!$B$21),0))</f>
        <v>10</v>
      </c>
      <c r="D559" s="0" t="n">
        <f aca="true">CRITBINOM($C559,MIN(0.75,Matchup!$B$39*$B559),RAND())</f>
        <v>1</v>
      </c>
      <c r="E559" s="0" t="n">
        <f aca="true">CRITBINOM(D559,Coefficients!$B$30,RAND())</f>
        <v>0</v>
      </c>
      <c r="F559" s="0" t="n">
        <f aca="true">CRITBINOM(E559,Coefficients!$B$31,RAND())</f>
        <v>0</v>
      </c>
      <c r="G559" s="0" t="n">
        <f aca="true">CRITBINOM(MAX(0,D559-E559),1-Coefficients!$B$32,RAND())</f>
        <v>0</v>
      </c>
      <c r="H559" s="0" t="n">
        <f aca="true">CRITBINOM(MAX(0,$C559-D559),MIN(0.6,Matchup!$B$40*SQRT($B559)/(1-MIN(0.75,Matchup!$B$39*$B559))),RAND())</f>
        <v>0</v>
      </c>
      <c r="I559" s="0" t="n">
        <f aca="false">6*D559+(D559-E559-G559)+2*F559+3*H559</f>
        <v>7</v>
      </c>
      <c r="J559" s="0" t="n">
        <f aca="true">CRITBINOM($C559,MIN(0.75,Matchup!$C$39*$B559),RAND())</f>
        <v>2</v>
      </c>
      <c r="K559" s="0" t="n">
        <f aca="true">CRITBINOM(J559,Coefficients!$B$30,RAND())</f>
        <v>0</v>
      </c>
      <c r="L559" s="0" t="n">
        <f aca="true">CRITBINOM(K559,Coefficients!$B$31,RAND())</f>
        <v>0</v>
      </c>
      <c r="M559" s="0" t="n">
        <f aca="true">CRITBINOM(MAX(0,J559-K559),1-Coefficients!$B$32,RAND())</f>
        <v>0</v>
      </c>
      <c r="N559" s="0" t="n">
        <f aca="true">CRITBINOM(MAX(0,$C559-J559),MIN(0.6,Matchup!$C$40*SQRT($B559)/(1-MIN(0.75,Matchup!$C$39*$B559))),RAND())</f>
        <v>2</v>
      </c>
      <c r="O559" s="0" t="n">
        <f aca="false">6*J559+(J559-K559-M559)+2*L559+3*N559</f>
        <v>20</v>
      </c>
      <c r="P559" s="0" t="n">
        <f aca="true">RAND()</f>
        <v>0.813011672081456</v>
      </c>
      <c r="Q559" s="0" t="n">
        <f aca="true">RAND()</f>
        <v>0.165271349379015</v>
      </c>
      <c r="R559" s="0" t="n">
        <f aca="false">IF($I559&lt;&gt;$O559,0,IF(P559&lt;Matchup!$B$39,7,IF(P559&lt;Matchup!$B$39+Matchup!$B$40,3,0)))</f>
        <v>0</v>
      </c>
      <c r="S559" s="0" t="n">
        <f aca="false">IF($I559&lt;&gt;$O559,0,IF(Q559&lt;Matchup!$C$39,7,IF(Q559&lt;Matchup!$C$39+Matchup!$C$40,3,0)))</f>
        <v>0</v>
      </c>
      <c r="T559" s="0" t="n">
        <f aca="false">I559+R559</f>
        <v>7</v>
      </c>
      <c r="U559" s="0" t="n">
        <f aca="false">O559+S559</f>
        <v>20</v>
      </c>
      <c r="V559" s="0" t="n">
        <f aca="false">T559-U559</f>
        <v>-13</v>
      </c>
      <c r="W559" s="0" t="n">
        <f aca="false">T559+U559</f>
        <v>27</v>
      </c>
    </row>
    <row r="560" customFormat="false" ht="15" hidden="false" customHeight="false" outlineLevel="0" collapsed="false">
      <c r="A560" s="0" t="n">
        <v>557</v>
      </c>
      <c r="B560" s="0" t="n">
        <f aca="true">NORMINV(RAND(),1,Coefficients!$B$22)</f>
        <v>1.05324014039385</v>
      </c>
      <c r="C560" s="0" t="n">
        <f aca="true">MEDIAN(8,16,ROUND(NORMINV(RAND(),Coefficients!$B$20,Coefficients!$B$21),0))</f>
        <v>10</v>
      </c>
      <c r="D560" s="0" t="n">
        <f aca="true">CRITBINOM($C560,MIN(0.75,Matchup!$B$39*$B560),RAND())</f>
        <v>1</v>
      </c>
      <c r="E560" s="0" t="n">
        <f aca="true">CRITBINOM(D560,Coefficients!$B$30,RAND())</f>
        <v>0</v>
      </c>
      <c r="F560" s="0" t="n">
        <f aca="true">CRITBINOM(E560,Coefficients!$B$31,RAND())</f>
        <v>0</v>
      </c>
      <c r="G560" s="0" t="n">
        <f aca="true">CRITBINOM(MAX(0,D560-E560),1-Coefficients!$B$32,RAND())</f>
        <v>0</v>
      </c>
      <c r="H560" s="0" t="n">
        <f aca="true">CRITBINOM(MAX(0,$C560-D560),MIN(0.6,Matchup!$B$40*SQRT($B560)/(1-MIN(0.75,Matchup!$B$39*$B560))),RAND())</f>
        <v>2</v>
      </c>
      <c r="I560" s="0" t="n">
        <f aca="false">6*D560+(D560-E560-G560)+2*F560+3*H560</f>
        <v>13</v>
      </c>
      <c r="J560" s="0" t="n">
        <f aca="true">CRITBINOM($C560,MIN(0.75,Matchup!$C$39*$B560),RAND())</f>
        <v>2</v>
      </c>
      <c r="K560" s="0" t="n">
        <f aca="true">CRITBINOM(J560,Coefficients!$B$30,RAND())</f>
        <v>1</v>
      </c>
      <c r="L560" s="0" t="n">
        <f aca="true">CRITBINOM(K560,Coefficients!$B$31,RAND())</f>
        <v>1</v>
      </c>
      <c r="M560" s="0" t="n">
        <f aca="true">CRITBINOM(MAX(0,J560-K560),1-Coefficients!$B$32,RAND())</f>
        <v>1</v>
      </c>
      <c r="N560" s="0" t="n">
        <f aca="true">CRITBINOM(MAX(0,$C560-J560),MIN(0.6,Matchup!$C$40*SQRT($B560)/(1-MIN(0.75,Matchup!$C$39*$B560))),RAND())</f>
        <v>1</v>
      </c>
      <c r="O560" s="0" t="n">
        <f aca="false">6*J560+(J560-K560-M560)+2*L560+3*N560</f>
        <v>17</v>
      </c>
      <c r="P560" s="0" t="n">
        <f aca="true">RAND()</f>
        <v>0.0979527463448719</v>
      </c>
      <c r="Q560" s="0" t="n">
        <f aca="true">RAND()</f>
        <v>0.601629805616876</v>
      </c>
      <c r="R560" s="0" t="n">
        <f aca="false">IF($I560&lt;&gt;$O560,0,IF(P560&lt;Matchup!$B$39,7,IF(P560&lt;Matchup!$B$39+Matchup!$B$40,3,0)))</f>
        <v>0</v>
      </c>
      <c r="S560" s="0" t="n">
        <f aca="false">IF($I560&lt;&gt;$O560,0,IF(Q560&lt;Matchup!$C$39,7,IF(Q560&lt;Matchup!$C$39+Matchup!$C$40,3,0)))</f>
        <v>0</v>
      </c>
      <c r="T560" s="0" t="n">
        <f aca="false">I560+R560</f>
        <v>13</v>
      </c>
      <c r="U560" s="0" t="n">
        <f aca="false">O560+S560</f>
        <v>17</v>
      </c>
      <c r="V560" s="0" t="n">
        <f aca="false">T560-U560</f>
        <v>-4</v>
      </c>
      <c r="W560" s="0" t="n">
        <f aca="false">T560+U560</f>
        <v>30</v>
      </c>
    </row>
    <row r="561" customFormat="false" ht="15" hidden="false" customHeight="false" outlineLevel="0" collapsed="false">
      <c r="A561" s="0" t="n">
        <v>558</v>
      </c>
      <c r="B561" s="0" t="n">
        <f aca="true">NORMINV(RAND(),1,Coefficients!$B$22)</f>
        <v>1.07856495275031</v>
      </c>
      <c r="C561" s="0" t="n">
        <f aca="true">MEDIAN(8,16,ROUND(NORMINV(RAND(),Coefficients!$B$20,Coefficients!$B$21),0))</f>
        <v>12</v>
      </c>
      <c r="D561" s="0" t="n">
        <f aca="true">CRITBINOM($C561,MIN(0.75,Matchup!$B$39*$B561),RAND())</f>
        <v>1</v>
      </c>
      <c r="E561" s="0" t="n">
        <f aca="true">CRITBINOM(D561,Coefficients!$B$30,RAND())</f>
        <v>0</v>
      </c>
      <c r="F561" s="0" t="n">
        <f aca="true">CRITBINOM(E561,Coefficients!$B$31,RAND())</f>
        <v>0</v>
      </c>
      <c r="G561" s="0" t="n">
        <f aca="true">CRITBINOM(MAX(0,D561-E561),1-Coefficients!$B$32,RAND())</f>
        <v>0</v>
      </c>
      <c r="H561" s="0" t="n">
        <f aca="true">CRITBINOM(MAX(0,$C561-D561),MIN(0.6,Matchup!$B$40*SQRT($B561)/(1-MIN(0.75,Matchup!$B$39*$B561))),RAND())</f>
        <v>2</v>
      </c>
      <c r="I561" s="0" t="n">
        <f aca="false">6*D561+(D561-E561-G561)+2*F561+3*H561</f>
        <v>13</v>
      </c>
      <c r="J561" s="0" t="n">
        <f aca="true">CRITBINOM($C561,MIN(0.75,Matchup!$C$39*$B561),RAND())</f>
        <v>2</v>
      </c>
      <c r="K561" s="0" t="n">
        <f aca="true">CRITBINOM(J561,Coefficients!$B$30,RAND())</f>
        <v>0</v>
      </c>
      <c r="L561" s="0" t="n">
        <f aca="true">CRITBINOM(K561,Coefficients!$B$31,RAND())</f>
        <v>0</v>
      </c>
      <c r="M561" s="0" t="n">
        <f aca="true">CRITBINOM(MAX(0,J561-K561),1-Coefficients!$B$32,RAND())</f>
        <v>0</v>
      </c>
      <c r="N561" s="0" t="n">
        <f aca="true">CRITBINOM(MAX(0,$C561-J561),MIN(0.6,Matchup!$C$40*SQRT($B561)/(1-MIN(0.75,Matchup!$C$39*$B561))),RAND())</f>
        <v>1</v>
      </c>
      <c r="O561" s="0" t="n">
        <f aca="false">6*J561+(J561-K561-M561)+2*L561+3*N561</f>
        <v>17</v>
      </c>
      <c r="P561" s="0" t="n">
        <f aca="true">RAND()</f>
        <v>0.819505205308971</v>
      </c>
      <c r="Q561" s="0" t="n">
        <f aca="true">RAND()</f>
        <v>0.0159895602523895</v>
      </c>
      <c r="R561" s="0" t="n">
        <f aca="false">IF($I561&lt;&gt;$O561,0,IF(P561&lt;Matchup!$B$39,7,IF(P561&lt;Matchup!$B$39+Matchup!$B$40,3,0)))</f>
        <v>0</v>
      </c>
      <c r="S561" s="0" t="n">
        <f aca="false">IF($I561&lt;&gt;$O561,0,IF(Q561&lt;Matchup!$C$39,7,IF(Q561&lt;Matchup!$C$39+Matchup!$C$40,3,0)))</f>
        <v>0</v>
      </c>
      <c r="T561" s="0" t="n">
        <f aca="false">I561+R561</f>
        <v>13</v>
      </c>
      <c r="U561" s="0" t="n">
        <f aca="false">O561+S561</f>
        <v>17</v>
      </c>
      <c r="V561" s="0" t="n">
        <f aca="false">T561-U561</f>
        <v>-4</v>
      </c>
      <c r="W561" s="0" t="n">
        <f aca="false">T561+U561</f>
        <v>30</v>
      </c>
    </row>
    <row r="562" customFormat="false" ht="15" hidden="false" customHeight="false" outlineLevel="0" collapsed="false">
      <c r="A562" s="0" t="n">
        <v>559</v>
      </c>
      <c r="B562" s="0" t="n">
        <f aca="true">NORMINV(RAND(),1,Coefficients!$B$22)</f>
        <v>1.03312305199611</v>
      </c>
      <c r="C562" s="0" t="n">
        <f aca="true">MEDIAN(8,16,ROUND(NORMINV(RAND(),Coefficients!$B$20,Coefficients!$B$21),0))</f>
        <v>10</v>
      </c>
      <c r="D562" s="0" t="n">
        <f aca="true">CRITBINOM($C562,MIN(0.75,Matchup!$B$39*$B562),RAND())</f>
        <v>2</v>
      </c>
      <c r="E562" s="0" t="n">
        <f aca="true">CRITBINOM(D562,Coefficients!$B$30,RAND())</f>
        <v>0</v>
      </c>
      <c r="F562" s="0" t="n">
        <f aca="true">CRITBINOM(E562,Coefficients!$B$31,RAND())</f>
        <v>0</v>
      </c>
      <c r="G562" s="0" t="n">
        <f aca="true">CRITBINOM(MAX(0,D562-E562),1-Coefficients!$B$32,RAND())</f>
        <v>1</v>
      </c>
      <c r="H562" s="0" t="n">
        <f aca="true">CRITBINOM(MAX(0,$C562-D562),MIN(0.6,Matchup!$B$40*SQRT($B562)/(1-MIN(0.75,Matchup!$B$39*$B562))),RAND())</f>
        <v>1</v>
      </c>
      <c r="I562" s="0" t="n">
        <f aca="false">6*D562+(D562-E562-G562)+2*F562+3*H562</f>
        <v>16</v>
      </c>
      <c r="J562" s="0" t="n">
        <f aca="true">CRITBINOM($C562,MIN(0.75,Matchup!$C$39*$B562),RAND())</f>
        <v>2</v>
      </c>
      <c r="K562" s="0" t="n">
        <f aca="true">CRITBINOM(J562,Coefficients!$B$30,RAND())</f>
        <v>0</v>
      </c>
      <c r="L562" s="0" t="n">
        <f aca="true">CRITBINOM(K562,Coefficients!$B$31,RAND())</f>
        <v>0</v>
      </c>
      <c r="M562" s="0" t="n">
        <f aca="true">CRITBINOM(MAX(0,J562-K562),1-Coefficients!$B$32,RAND())</f>
        <v>0</v>
      </c>
      <c r="N562" s="0" t="n">
        <f aca="true">CRITBINOM(MAX(0,$C562-J562),MIN(0.6,Matchup!$C$40*SQRT($B562)/(1-MIN(0.75,Matchup!$C$39*$B562))),RAND())</f>
        <v>3</v>
      </c>
      <c r="O562" s="0" t="n">
        <f aca="false">6*J562+(J562-K562-M562)+2*L562+3*N562</f>
        <v>23</v>
      </c>
      <c r="P562" s="0" t="n">
        <f aca="true">RAND()</f>
        <v>0.84593322363534</v>
      </c>
      <c r="Q562" s="0" t="n">
        <f aca="true">RAND()</f>
        <v>0.424806938351558</v>
      </c>
      <c r="R562" s="0" t="n">
        <f aca="false">IF($I562&lt;&gt;$O562,0,IF(P562&lt;Matchup!$B$39,7,IF(P562&lt;Matchup!$B$39+Matchup!$B$40,3,0)))</f>
        <v>0</v>
      </c>
      <c r="S562" s="0" t="n">
        <f aca="false">IF($I562&lt;&gt;$O562,0,IF(Q562&lt;Matchup!$C$39,7,IF(Q562&lt;Matchup!$C$39+Matchup!$C$40,3,0)))</f>
        <v>0</v>
      </c>
      <c r="T562" s="0" t="n">
        <f aca="false">I562+R562</f>
        <v>16</v>
      </c>
      <c r="U562" s="0" t="n">
        <f aca="false">O562+S562</f>
        <v>23</v>
      </c>
      <c r="V562" s="0" t="n">
        <f aca="false">T562-U562</f>
        <v>-7</v>
      </c>
      <c r="W562" s="0" t="n">
        <f aca="false">T562+U562</f>
        <v>39</v>
      </c>
    </row>
    <row r="563" customFormat="false" ht="15" hidden="false" customHeight="false" outlineLevel="0" collapsed="false">
      <c r="A563" s="0" t="n">
        <v>560</v>
      </c>
      <c r="B563" s="0" t="n">
        <f aca="true">NORMINV(RAND(),1,Coefficients!$B$22)</f>
        <v>1.09196539990013</v>
      </c>
      <c r="C563" s="0" t="n">
        <f aca="true">MEDIAN(8,16,ROUND(NORMINV(RAND(),Coefficients!$B$20,Coefficients!$B$21),0))</f>
        <v>11</v>
      </c>
      <c r="D563" s="0" t="n">
        <f aca="true">CRITBINOM($C563,MIN(0.75,Matchup!$B$39*$B563),RAND())</f>
        <v>6</v>
      </c>
      <c r="E563" s="0" t="n">
        <f aca="true">CRITBINOM(D563,Coefficients!$B$30,RAND())</f>
        <v>0</v>
      </c>
      <c r="F563" s="0" t="n">
        <f aca="true">CRITBINOM(E563,Coefficients!$B$31,RAND())</f>
        <v>0</v>
      </c>
      <c r="G563" s="0" t="n">
        <f aca="true">CRITBINOM(MAX(0,D563-E563),1-Coefficients!$B$32,RAND())</f>
        <v>1</v>
      </c>
      <c r="H563" s="0" t="n">
        <f aca="true">CRITBINOM(MAX(0,$C563-D563),MIN(0.6,Matchup!$B$40*SQRT($B563)/(1-MIN(0.75,Matchup!$B$39*$B563))),RAND())</f>
        <v>1</v>
      </c>
      <c r="I563" s="0" t="n">
        <f aca="false">6*D563+(D563-E563-G563)+2*F563+3*H563</f>
        <v>44</v>
      </c>
      <c r="J563" s="0" t="n">
        <f aca="true">CRITBINOM($C563,MIN(0.75,Matchup!$C$39*$B563),RAND())</f>
        <v>2</v>
      </c>
      <c r="K563" s="0" t="n">
        <f aca="true">CRITBINOM(J563,Coefficients!$B$30,RAND())</f>
        <v>0</v>
      </c>
      <c r="L563" s="0" t="n">
        <f aca="true">CRITBINOM(K563,Coefficients!$B$31,RAND())</f>
        <v>0</v>
      </c>
      <c r="M563" s="0" t="n">
        <f aca="true">CRITBINOM(MAX(0,J563-K563),1-Coefficients!$B$32,RAND())</f>
        <v>1</v>
      </c>
      <c r="N563" s="0" t="n">
        <f aca="true">CRITBINOM(MAX(0,$C563-J563),MIN(0.6,Matchup!$C$40*SQRT($B563)/(1-MIN(0.75,Matchup!$C$39*$B563))),RAND())</f>
        <v>2</v>
      </c>
      <c r="O563" s="0" t="n">
        <f aca="false">6*J563+(J563-K563-M563)+2*L563+3*N563</f>
        <v>19</v>
      </c>
      <c r="P563" s="0" t="n">
        <f aca="true">RAND()</f>
        <v>0.368869559154949</v>
      </c>
      <c r="Q563" s="0" t="n">
        <f aca="true">RAND()</f>
        <v>0.579395315378893</v>
      </c>
      <c r="R563" s="0" t="n">
        <f aca="false">IF($I563&lt;&gt;$O563,0,IF(P563&lt;Matchup!$B$39,7,IF(P563&lt;Matchup!$B$39+Matchup!$B$40,3,0)))</f>
        <v>0</v>
      </c>
      <c r="S563" s="0" t="n">
        <f aca="false">IF($I563&lt;&gt;$O563,0,IF(Q563&lt;Matchup!$C$39,7,IF(Q563&lt;Matchup!$C$39+Matchup!$C$40,3,0)))</f>
        <v>0</v>
      </c>
      <c r="T563" s="0" t="n">
        <f aca="false">I563+R563</f>
        <v>44</v>
      </c>
      <c r="U563" s="0" t="n">
        <f aca="false">O563+S563</f>
        <v>19</v>
      </c>
      <c r="V563" s="0" t="n">
        <f aca="false">T563-U563</f>
        <v>25</v>
      </c>
      <c r="W563" s="0" t="n">
        <f aca="false">T563+U563</f>
        <v>63</v>
      </c>
    </row>
    <row r="564" customFormat="false" ht="15" hidden="false" customHeight="false" outlineLevel="0" collapsed="false">
      <c r="A564" s="0" t="n">
        <v>561</v>
      </c>
      <c r="B564" s="0" t="n">
        <f aca="true">NORMINV(RAND(),1,Coefficients!$B$22)</f>
        <v>1.15281220055881</v>
      </c>
      <c r="C564" s="0" t="n">
        <f aca="true">MEDIAN(8,16,ROUND(NORMINV(RAND(),Coefficients!$B$20,Coefficients!$B$21),0))</f>
        <v>11</v>
      </c>
      <c r="D564" s="0" t="n">
        <f aca="true">CRITBINOM($C564,MIN(0.75,Matchup!$B$39*$B564),RAND())</f>
        <v>4</v>
      </c>
      <c r="E564" s="0" t="n">
        <f aca="true">CRITBINOM(D564,Coefficients!$B$30,RAND())</f>
        <v>0</v>
      </c>
      <c r="F564" s="0" t="n">
        <f aca="true">CRITBINOM(E564,Coefficients!$B$31,RAND())</f>
        <v>0</v>
      </c>
      <c r="G564" s="0" t="n">
        <f aca="true">CRITBINOM(MAX(0,D564-E564),1-Coefficients!$B$32,RAND())</f>
        <v>0</v>
      </c>
      <c r="H564" s="0" t="n">
        <f aca="true">CRITBINOM(MAX(0,$C564-D564),MIN(0.6,Matchup!$B$40*SQRT($B564)/(1-MIN(0.75,Matchup!$B$39*$B564))),RAND())</f>
        <v>2</v>
      </c>
      <c r="I564" s="0" t="n">
        <f aca="false">6*D564+(D564-E564-G564)+2*F564+3*H564</f>
        <v>34</v>
      </c>
      <c r="J564" s="0" t="n">
        <f aca="true">CRITBINOM($C564,MIN(0.75,Matchup!$C$39*$B564),RAND())</f>
        <v>1</v>
      </c>
      <c r="K564" s="0" t="n">
        <f aca="true">CRITBINOM(J564,Coefficients!$B$30,RAND())</f>
        <v>0</v>
      </c>
      <c r="L564" s="0" t="n">
        <f aca="true">CRITBINOM(K564,Coefficients!$B$31,RAND())</f>
        <v>0</v>
      </c>
      <c r="M564" s="0" t="n">
        <f aca="true">CRITBINOM(MAX(0,J564-K564),1-Coefficients!$B$32,RAND())</f>
        <v>0</v>
      </c>
      <c r="N564" s="0" t="n">
        <f aca="true">CRITBINOM(MAX(0,$C564-J564),MIN(0.6,Matchup!$C$40*SQRT($B564)/(1-MIN(0.75,Matchup!$C$39*$B564))),RAND())</f>
        <v>2</v>
      </c>
      <c r="O564" s="0" t="n">
        <f aca="false">6*J564+(J564-K564-M564)+2*L564+3*N564</f>
        <v>13</v>
      </c>
      <c r="P564" s="0" t="n">
        <f aca="true">RAND()</f>
        <v>0.0253887056446107</v>
      </c>
      <c r="Q564" s="0" t="n">
        <f aca="true">RAND()</f>
        <v>0.178977880863198</v>
      </c>
      <c r="R564" s="0" t="n">
        <f aca="false">IF($I564&lt;&gt;$O564,0,IF(P564&lt;Matchup!$B$39,7,IF(P564&lt;Matchup!$B$39+Matchup!$B$40,3,0)))</f>
        <v>0</v>
      </c>
      <c r="S564" s="0" t="n">
        <f aca="false">IF($I564&lt;&gt;$O564,0,IF(Q564&lt;Matchup!$C$39,7,IF(Q564&lt;Matchup!$C$39+Matchup!$C$40,3,0)))</f>
        <v>0</v>
      </c>
      <c r="T564" s="0" t="n">
        <f aca="false">I564+R564</f>
        <v>34</v>
      </c>
      <c r="U564" s="0" t="n">
        <f aca="false">O564+S564</f>
        <v>13</v>
      </c>
      <c r="V564" s="0" t="n">
        <f aca="false">T564-U564</f>
        <v>21</v>
      </c>
      <c r="W564" s="0" t="n">
        <f aca="false">T564+U564</f>
        <v>47</v>
      </c>
    </row>
    <row r="565" customFormat="false" ht="15" hidden="false" customHeight="false" outlineLevel="0" collapsed="false">
      <c r="A565" s="0" t="n">
        <v>562</v>
      </c>
      <c r="B565" s="0" t="n">
        <f aca="true">NORMINV(RAND(),1,Coefficients!$B$22)</f>
        <v>0.966477237330606</v>
      </c>
      <c r="C565" s="0" t="n">
        <f aca="true">MEDIAN(8,16,ROUND(NORMINV(RAND(),Coefficients!$B$20,Coefficients!$B$21),0))</f>
        <v>12</v>
      </c>
      <c r="D565" s="0" t="n">
        <f aca="true">CRITBINOM($C565,MIN(0.75,Matchup!$B$39*$B565),RAND())</f>
        <v>5</v>
      </c>
      <c r="E565" s="0" t="n">
        <f aca="true">CRITBINOM(D565,Coefficients!$B$30,RAND())</f>
        <v>1</v>
      </c>
      <c r="F565" s="0" t="n">
        <f aca="true">CRITBINOM(E565,Coefficients!$B$31,RAND())</f>
        <v>1</v>
      </c>
      <c r="G565" s="0" t="n">
        <f aca="true">CRITBINOM(MAX(0,D565-E565),1-Coefficients!$B$32,RAND())</f>
        <v>0</v>
      </c>
      <c r="H565" s="0" t="n">
        <f aca="true">CRITBINOM(MAX(0,$C565-D565),MIN(0.6,Matchup!$B$40*SQRT($B565)/(1-MIN(0.75,Matchup!$B$39*$B565))),RAND())</f>
        <v>1</v>
      </c>
      <c r="I565" s="0" t="n">
        <f aca="false">6*D565+(D565-E565-G565)+2*F565+3*H565</f>
        <v>39</v>
      </c>
      <c r="J565" s="0" t="n">
        <f aca="true">CRITBINOM($C565,MIN(0.75,Matchup!$C$39*$B565),RAND())</f>
        <v>2</v>
      </c>
      <c r="K565" s="0" t="n">
        <f aca="true">CRITBINOM(J565,Coefficients!$B$30,RAND())</f>
        <v>0</v>
      </c>
      <c r="L565" s="0" t="n">
        <f aca="true">CRITBINOM(K565,Coefficients!$B$31,RAND())</f>
        <v>0</v>
      </c>
      <c r="M565" s="0" t="n">
        <f aca="true">CRITBINOM(MAX(0,J565-K565),1-Coefficients!$B$32,RAND())</f>
        <v>0</v>
      </c>
      <c r="N565" s="0" t="n">
        <f aca="true">CRITBINOM(MAX(0,$C565-J565),MIN(0.6,Matchup!$C$40*SQRT($B565)/(1-MIN(0.75,Matchup!$C$39*$B565))),RAND())</f>
        <v>2</v>
      </c>
      <c r="O565" s="0" t="n">
        <f aca="false">6*J565+(J565-K565-M565)+2*L565+3*N565</f>
        <v>20</v>
      </c>
      <c r="P565" s="0" t="n">
        <f aca="true">RAND()</f>
        <v>0.213548148832761</v>
      </c>
      <c r="Q565" s="0" t="n">
        <f aca="true">RAND()</f>
        <v>0.646292249040748</v>
      </c>
      <c r="R565" s="0" t="n">
        <f aca="false">IF($I565&lt;&gt;$O565,0,IF(P565&lt;Matchup!$B$39,7,IF(P565&lt;Matchup!$B$39+Matchup!$B$40,3,0)))</f>
        <v>0</v>
      </c>
      <c r="S565" s="0" t="n">
        <f aca="false">IF($I565&lt;&gt;$O565,0,IF(Q565&lt;Matchup!$C$39,7,IF(Q565&lt;Matchup!$C$39+Matchup!$C$40,3,0)))</f>
        <v>0</v>
      </c>
      <c r="T565" s="0" t="n">
        <f aca="false">I565+R565</f>
        <v>39</v>
      </c>
      <c r="U565" s="0" t="n">
        <f aca="false">O565+S565</f>
        <v>20</v>
      </c>
      <c r="V565" s="0" t="n">
        <f aca="false">T565-U565</f>
        <v>19</v>
      </c>
      <c r="W565" s="0" t="n">
        <f aca="false">T565+U565</f>
        <v>59</v>
      </c>
    </row>
    <row r="566" customFormat="false" ht="15" hidden="false" customHeight="false" outlineLevel="0" collapsed="false">
      <c r="A566" s="0" t="n">
        <v>563</v>
      </c>
      <c r="B566" s="0" t="n">
        <f aca="true">NORMINV(RAND(),1,Coefficients!$B$22)</f>
        <v>1.06504932740191</v>
      </c>
      <c r="C566" s="0" t="n">
        <f aca="true">MEDIAN(8,16,ROUND(NORMINV(RAND(),Coefficients!$B$20,Coefficients!$B$21),0))</f>
        <v>12</v>
      </c>
      <c r="D566" s="0" t="n">
        <f aca="true">CRITBINOM($C566,MIN(0.75,Matchup!$B$39*$B566),RAND())</f>
        <v>5</v>
      </c>
      <c r="E566" s="0" t="n">
        <f aca="true">CRITBINOM(D566,Coefficients!$B$30,RAND())</f>
        <v>1</v>
      </c>
      <c r="F566" s="0" t="n">
        <f aca="true">CRITBINOM(E566,Coefficients!$B$31,RAND())</f>
        <v>0</v>
      </c>
      <c r="G566" s="0" t="n">
        <f aca="true">CRITBINOM(MAX(0,D566-E566),1-Coefficients!$B$32,RAND())</f>
        <v>0</v>
      </c>
      <c r="H566" s="0" t="n">
        <f aca="true">CRITBINOM(MAX(0,$C566-D566),MIN(0.6,Matchup!$B$40*SQRT($B566)/(1-MIN(0.75,Matchup!$B$39*$B566))),RAND())</f>
        <v>1</v>
      </c>
      <c r="I566" s="0" t="n">
        <f aca="false">6*D566+(D566-E566-G566)+2*F566+3*H566</f>
        <v>37</v>
      </c>
      <c r="J566" s="0" t="n">
        <f aca="true">CRITBINOM($C566,MIN(0.75,Matchup!$C$39*$B566),RAND())</f>
        <v>3</v>
      </c>
      <c r="K566" s="0" t="n">
        <f aca="true">CRITBINOM(J566,Coefficients!$B$30,RAND())</f>
        <v>0</v>
      </c>
      <c r="L566" s="0" t="n">
        <f aca="true">CRITBINOM(K566,Coefficients!$B$31,RAND())</f>
        <v>0</v>
      </c>
      <c r="M566" s="0" t="n">
        <f aca="true">CRITBINOM(MAX(0,J566-K566),1-Coefficients!$B$32,RAND())</f>
        <v>0</v>
      </c>
      <c r="N566" s="0" t="n">
        <f aca="true">CRITBINOM(MAX(0,$C566-J566),MIN(0.6,Matchup!$C$40*SQRT($B566)/(1-MIN(0.75,Matchup!$C$39*$B566))),RAND())</f>
        <v>1</v>
      </c>
      <c r="O566" s="0" t="n">
        <f aca="false">6*J566+(J566-K566-M566)+2*L566+3*N566</f>
        <v>24</v>
      </c>
      <c r="P566" s="0" t="n">
        <f aca="true">RAND()</f>
        <v>0.622493631763702</v>
      </c>
      <c r="Q566" s="0" t="n">
        <f aca="true">RAND()</f>
        <v>0.906079069571868</v>
      </c>
      <c r="R566" s="0" t="n">
        <f aca="false">IF($I566&lt;&gt;$O566,0,IF(P566&lt;Matchup!$B$39,7,IF(P566&lt;Matchup!$B$39+Matchup!$B$40,3,0)))</f>
        <v>0</v>
      </c>
      <c r="S566" s="0" t="n">
        <f aca="false">IF($I566&lt;&gt;$O566,0,IF(Q566&lt;Matchup!$C$39,7,IF(Q566&lt;Matchup!$C$39+Matchup!$C$40,3,0)))</f>
        <v>0</v>
      </c>
      <c r="T566" s="0" t="n">
        <f aca="false">I566+R566</f>
        <v>37</v>
      </c>
      <c r="U566" s="0" t="n">
        <f aca="false">O566+S566</f>
        <v>24</v>
      </c>
      <c r="V566" s="0" t="n">
        <f aca="false">T566-U566</f>
        <v>13</v>
      </c>
      <c r="W566" s="0" t="n">
        <f aca="false">T566+U566</f>
        <v>61</v>
      </c>
    </row>
    <row r="567" customFormat="false" ht="15" hidden="false" customHeight="false" outlineLevel="0" collapsed="false">
      <c r="A567" s="0" t="n">
        <v>564</v>
      </c>
      <c r="B567" s="0" t="n">
        <f aca="true">NORMINV(RAND(),1,Coefficients!$B$22)</f>
        <v>0.885349546589237</v>
      </c>
      <c r="C567" s="0" t="n">
        <f aca="true">MEDIAN(8,16,ROUND(NORMINV(RAND(),Coefficients!$B$20,Coefficients!$B$21),0))</f>
        <v>11</v>
      </c>
      <c r="D567" s="0" t="n">
        <f aca="true">CRITBINOM($C567,MIN(0.75,Matchup!$B$39*$B567),RAND())</f>
        <v>4</v>
      </c>
      <c r="E567" s="0" t="n">
        <f aca="true">CRITBINOM(D567,Coefficients!$B$30,RAND())</f>
        <v>0</v>
      </c>
      <c r="F567" s="0" t="n">
        <f aca="true">CRITBINOM(E567,Coefficients!$B$31,RAND())</f>
        <v>0</v>
      </c>
      <c r="G567" s="0" t="n">
        <f aca="true">CRITBINOM(MAX(0,D567-E567),1-Coefficients!$B$32,RAND())</f>
        <v>0</v>
      </c>
      <c r="H567" s="0" t="n">
        <f aca="true">CRITBINOM(MAX(0,$C567-D567),MIN(0.6,Matchup!$B$40*SQRT($B567)/(1-MIN(0.75,Matchup!$B$39*$B567))),RAND())</f>
        <v>1</v>
      </c>
      <c r="I567" s="0" t="n">
        <f aca="false">6*D567+(D567-E567-G567)+2*F567+3*H567</f>
        <v>31</v>
      </c>
      <c r="J567" s="0" t="n">
        <f aca="true">CRITBINOM($C567,MIN(0.75,Matchup!$C$39*$B567),RAND())</f>
        <v>3</v>
      </c>
      <c r="K567" s="0" t="n">
        <f aca="true">CRITBINOM(J567,Coefficients!$B$30,RAND())</f>
        <v>1</v>
      </c>
      <c r="L567" s="0" t="n">
        <f aca="true">CRITBINOM(K567,Coefficients!$B$31,RAND())</f>
        <v>0</v>
      </c>
      <c r="M567" s="0" t="n">
        <f aca="true">CRITBINOM(MAX(0,J567-K567),1-Coefficients!$B$32,RAND())</f>
        <v>0</v>
      </c>
      <c r="N567" s="0" t="n">
        <f aca="true">CRITBINOM(MAX(0,$C567-J567),MIN(0.6,Matchup!$C$40*SQRT($B567)/(1-MIN(0.75,Matchup!$C$39*$B567))),RAND())</f>
        <v>1</v>
      </c>
      <c r="O567" s="0" t="n">
        <f aca="false">6*J567+(J567-K567-M567)+2*L567+3*N567</f>
        <v>23</v>
      </c>
      <c r="P567" s="0" t="n">
        <f aca="true">RAND()</f>
        <v>0.146575634913906</v>
      </c>
      <c r="Q567" s="0" t="n">
        <f aca="true">RAND()</f>
        <v>0.979119966618264</v>
      </c>
      <c r="R567" s="0" t="n">
        <f aca="false">IF($I567&lt;&gt;$O567,0,IF(P567&lt;Matchup!$B$39,7,IF(P567&lt;Matchup!$B$39+Matchup!$B$40,3,0)))</f>
        <v>0</v>
      </c>
      <c r="S567" s="0" t="n">
        <f aca="false">IF($I567&lt;&gt;$O567,0,IF(Q567&lt;Matchup!$C$39,7,IF(Q567&lt;Matchup!$C$39+Matchup!$C$40,3,0)))</f>
        <v>0</v>
      </c>
      <c r="T567" s="0" t="n">
        <f aca="false">I567+R567</f>
        <v>31</v>
      </c>
      <c r="U567" s="0" t="n">
        <f aca="false">O567+S567</f>
        <v>23</v>
      </c>
      <c r="V567" s="0" t="n">
        <f aca="false">T567-U567</f>
        <v>8</v>
      </c>
      <c r="W567" s="0" t="n">
        <f aca="false">T567+U567</f>
        <v>54</v>
      </c>
    </row>
    <row r="568" customFormat="false" ht="15" hidden="false" customHeight="false" outlineLevel="0" collapsed="false">
      <c r="A568" s="0" t="n">
        <v>565</v>
      </c>
      <c r="B568" s="0" t="n">
        <f aca="true">NORMINV(RAND(),1,Coefficients!$B$22)</f>
        <v>1.05268082223579</v>
      </c>
      <c r="C568" s="0" t="n">
        <f aca="true">MEDIAN(8,16,ROUND(NORMINV(RAND(),Coefficients!$B$20,Coefficients!$B$21),0))</f>
        <v>12</v>
      </c>
      <c r="D568" s="0" t="n">
        <f aca="true">CRITBINOM($C568,MIN(0.75,Matchup!$B$39*$B568),RAND())</f>
        <v>5</v>
      </c>
      <c r="E568" s="0" t="n">
        <f aca="true">CRITBINOM(D568,Coefficients!$B$30,RAND())</f>
        <v>1</v>
      </c>
      <c r="F568" s="0" t="n">
        <f aca="true">CRITBINOM(E568,Coefficients!$B$31,RAND())</f>
        <v>0</v>
      </c>
      <c r="G568" s="0" t="n">
        <f aca="true">CRITBINOM(MAX(0,D568-E568),1-Coefficients!$B$32,RAND())</f>
        <v>0</v>
      </c>
      <c r="H568" s="0" t="n">
        <f aca="true">CRITBINOM(MAX(0,$C568-D568),MIN(0.6,Matchup!$B$40*SQRT($B568)/(1-MIN(0.75,Matchup!$B$39*$B568))),RAND())</f>
        <v>1</v>
      </c>
      <c r="I568" s="0" t="n">
        <f aca="false">6*D568+(D568-E568-G568)+2*F568+3*H568</f>
        <v>37</v>
      </c>
      <c r="J568" s="0" t="n">
        <f aca="true">CRITBINOM($C568,MIN(0.75,Matchup!$C$39*$B568),RAND())</f>
        <v>1</v>
      </c>
      <c r="K568" s="0" t="n">
        <f aca="true">CRITBINOM(J568,Coefficients!$B$30,RAND())</f>
        <v>0</v>
      </c>
      <c r="L568" s="0" t="n">
        <f aca="true">CRITBINOM(K568,Coefficients!$B$31,RAND())</f>
        <v>0</v>
      </c>
      <c r="M568" s="0" t="n">
        <f aca="true">CRITBINOM(MAX(0,J568-K568),1-Coefficients!$B$32,RAND())</f>
        <v>0</v>
      </c>
      <c r="N568" s="0" t="n">
        <f aca="true">CRITBINOM(MAX(0,$C568-J568),MIN(0.6,Matchup!$C$40*SQRT($B568)/(1-MIN(0.75,Matchup!$C$39*$B568))),RAND())</f>
        <v>4</v>
      </c>
      <c r="O568" s="0" t="n">
        <f aca="false">6*J568+(J568-K568-M568)+2*L568+3*N568</f>
        <v>19</v>
      </c>
      <c r="P568" s="0" t="n">
        <f aca="true">RAND()</f>
        <v>0.811732932299304</v>
      </c>
      <c r="Q568" s="0" t="n">
        <f aca="true">RAND()</f>
        <v>0.960795861839566</v>
      </c>
      <c r="R568" s="0" t="n">
        <f aca="false">IF($I568&lt;&gt;$O568,0,IF(P568&lt;Matchup!$B$39,7,IF(P568&lt;Matchup!$B$39+Matchup!$B$40,3,0)))</f>
        <v>0</v>
      </c>
      <c r="S568" s="0" t="n">
        <f aca="false">IF($I568&lt;&gt;$O568,0,IF(Q568&lt;Matchup!$C$39,7,IF(Q568&lt;Matchup!$C$39+Matchup!$C$40,3,0)))</f>
        <v>0</v>
      </c>
      <c r="T568" s="0" t="n">
        <f aca="false">I568+R568</f>
        <v>37</v>
      </c>
      <c r="U568" s="0" t="n">
        <f aca="false">O568+S568</f>
        <v>19</v>
      </c>
      <c r="V568" s="0" t="n">
        <f aca="false">T568-U568</f>
        <v>18</v>
      </c>
      <c r="W568" s="0" t="n">
        <f aca="false">T568+U568</f>
        <v>56</v>
      </c>
    </row>
    <row r="569" customFormat="false" ht="15" hidden="false" customHeight="false" outlineLevel="0" collapsed="false">
      <c r="A569" s="0" t="n">
        <v>566</v>
      </c>
      <c r="B569" s="0" t="n">
        <f aca="true">NORMINV(RAND(),1,Coefficients!$B$22)</f>
        <v>0.977745161227468</v>
      </c>
      <c r="C569" s="0" t="n">
        <f aca="true">MEDIAN(8,16,ROUND(NORMINV(RAND(),Coefficients!$B$20,Coefficients!$B$21),0))</f>
        <v>12</v>
      </c>
      <c r="D569" s="0" t="n">
        <f aca="true">CRITBINOM($C569,MIN(0.75,Matchup!$B$39*$B569),RAND())</f>
        <v>5</v>
      </c>
      <c r="E569" s="0" t="n">
        <f aca="true">CRITBINOM(D569,Coefficients!$B$30,RAND())</f>
        <v>0</v>
      </c>
      <c r="F569" s="0" t="n">
        <f aca="true">CRITBINOM(E569,Coefficients!$B$31,RAND())</f>
        <v>0</v>
      </c>
      <c r="G569" s="0" t="n">
        <f aca="true">CRITBINOM(MAX(0,D569-E569),1-Coefficients!$B$32,RAND())</f>
        <v>0</v>
      </c>
      <c r="H569" s="0" t="n">
        <f aca="true">CRITBINOM(MAX(0,$C569-D569),MIN(0.6,Matchup!$B$40*SQRT($B569)/(1-MIN(0.75,Matchup!$B$39*$B569))),RAND())</f>
        <v>1</v>
      </c>
      <c r="I569" s="0" t="n">
        <f aca="false">6*D569+(D569-E569-G569)+2*F569+3*H569</f>
        <v>38</v>
      </c>
      <c r="J569" s="0" t="n">
        <f aca="true">CRITBINOM($C569,MIN(0.75,Matchup!$C$39*$B569),RAND())</f>
        <v>2</v>
      </c>
      <c r="K569" s="0" t="n">
        <f aca="true">CRITBINOM(J569,Coefficients!$B$30,RAND())</f>
        <v>0</v>
      </c>
      <c r="L569" s="0" t="n">
        <f aca="true">CRITBINOM(K569,Coefficients!$B$31,RAND())</f>
        <v>0</v>
      </c>
      <c r="M569" s="0" t="n">
        <f aca="true">CRITBINOM(MAX(0,J569-K569),1-Coefficients!$B$32,RAND())</f>
        <v>1</v>
      </c>
      <c r="N569" s="0" t="n">
        <f aca="true">CRITBINOM(MAX(0,$C569-J569),MIN(0.6,Matchup!$C$40*SQRT($B569)/(1-MIN(0.75,Matchup!$C$39*$B569))),RAND())</f>
        <v>2</v>
      </c>
      <c r="O569" s="0" t="n">
        <f aca="false">6*J569+(J569-K569-M569)+2*L569+3*N569</f>
        <v>19</v>
      </c>
      <c r="P569" s="0" t="n">
        <f aca="true">RAND()</f>
        <v>0.739360211355517</v>
      </c>
      <c r="Q569" s="0" t="n">
        <f aca="true">RAND()</f>
        <v>0.446379542852982</v>
      </c>
      <c r="R569" s="0" t="n">
        <f aca="false">IF($I569&lt;&gt;$O569,0,IF(P569&lt;Matchup!$B$39,7,IF(P569&lt;Matchup!$B$39+Matchup!$B$40,3,0)))</f>
        <v>0</v>
      </c>
      <c r="S569" s="0" t="n">
        <f aca="false">IF($I569&lt;&gt;$O569,0,IF(Q569&lt;Matchup!$C$39,7,IF(Q569&lt;Matchup!$C$39+Matchup!$C$40,3,0)))</f>
        <v>0</v>
      </c>
      <c r="T569" s="0" t="n">
        <f aca="false">I569+R569</f>
        <v>38</v>
      </c>
      <c r="U569" s="0" t="n">
        <f aca="false">O569+S569</f>
        <v>19</v>
      </c>
      <c r="V569" s="0" t="n">
        <f aca="false">T569-U569</f>
        <v>19</v>
      </c>
      <c r="W569" s="0" t="n">
        <f aca="false">T569+U569</f>
        <v>57</v>
      </c>
    </row>
    <row r="570" customFormat="false" ht="15" hidden="false" customHeight="false" outlineLevel="0" collapsed="false">
      <c r="A570" s="0" t="n">
        <v>567</v>
      </c>
      <c r="B570" s="0" t="n">
        <f aca="true">NORMINV(RAND(),1,Coefficients!$B$22)</f>
        <v>0.949905545708704</v>
      </c>
      <c r="C570" s="0" t="n">
        <f aca="true">MEDIAN(8,16,ROUND(NORMINV(RAND(),Coefficients!$B$20,Coefficients!$B$21),0))</f>
        <v>11</v>
      </c>
      <c r="D570" s="0" t="n">
        <f aca="true">CRITBINOM($C570,MIN(0.75,Matchup!$B$39*$B570),RAND())</f>
        <v>4</v>
      </c>
      <c r="E570" s="0" t="n">
        <f aca="true">CRITBINOM(D570,Coefficients!$B$30,RAND())</f>
        <v>1</v>
      </c>
      <c r="F570" s="0" t="n">
        <f aca="true">CRITBINOM(E570,Coefficients!$B$31,RAND())</f>
        <v>0</v>
      </c>
      <c r="G570" s="0" t="n">
        <f aca="true">CRITBINOM(MAX(0,D570-E570),1-Coefficients!$B$32,RAND())</f>
        <v>0</v>
      </c>
      <c r="H570" s="0" t="n">
        <f aca="true">CRITBINOM(MAX(0,$C570-D570),MIN(0.6,Matchup!$B$40*SQRT($B570)/(1-MIN(0.75,Matchup!$B$39*$B570))),RAND())</f>
        <v>1</v>
      </c>
      <c r="I570" s="0" t="n">
        <f aca="false">6*D570+(D570-E570-G570)+2*F570+3*H570</f>
        <v>30</v>
      </c>
      <c r="J570" s="0" t="n">
        <f aca="true">CRITBINOM($C570,MIN(0.75,Matchup!$C$39*$B570),RAND())</f>
        <v>2</v>
      </c>
      <c r="K570" s="0" t="n">
        <f aca="true">CRITBINOM(J570,Coefficients!$B$30,RAND())</f>
        <v>0</v>
      </c>
      <c r="L570" s="0" t="n">
        <f aca="true">CRITBINOM(K570,Coefficients!$B$31,RAND())</f>
        <v>0</v>
      </c>
      <c r="M570" s="0" t="n">
        <f aca="true">CRITBINOM(MAX(0,J570-K570),1-Coefficients!$B$32,RAND())</f>
        <v>0</v>
      </c>
      <c r="N570" s="0" t="n">
        <f aca="true">CRITBINOM(MAX(0,$C570-J570),MIN(0.6,Matchup!$C$40*SQRT($B570)/(1-MIN(0.75,Matchup!$C$39*$B570))),RAND())</f>
        <v>0</v>
      </c>
      <c r="O570" s="0" t="n">
        <f aca="false">6*J570+(J570-K570-M570)+2*L570+3*N570</f>
        <v>14</v>
      </c>
      <c r="P570" s="0" t="n">
        <f aca="true">RAND()</f>
        <v>0.906588559419665</v>
      </c>
      <c r="Q570" s="0" t="n">
        <f aca="true">RAND()</f>
        <v>0.389745747243272</v>
      </c>
      <c r="R570" s="0" t="n">
        <f aca="false">IF($I570&lt;&gt;$O570,0,IF(P570&lt;Matchup!$B$39,7,IF(P570&lt;Matchup!$B$39+Matchup!$B$40,3,0)))</f>
        <v>0</v>
      </c>
      <c r="S570" s="0" t="n">
        <f aca="false">IF($I570&lt;&gt;$O570,0,IF(Q570&lt;Matchup!$C$39,7,IF(Q570&lt;Matchup!$C$39+Matchup!$C$40,3,0)))</f>
        <v>0</v>
      </c>
      <c r="T570" s="0" t="n">
        <f aca="false">I570+R570</f>
        <v>30</v>
      </c>
      <c r="U570" s="0" t="n">
        <f aca="false">O570+S570</f>
        <v>14</v>
      </c>
      <c r="V570" s="0" t="n">
        <f aca="false">T570-U570</f>
        <v>16</v>
      </c>
      <c r="W570" s="0" t="n">
        <f aca="false">T570+U570</f>
        <v>44</v>
      </c>
    </row>
    <row r="571" customFormat="false" ht="15" hidden="false" customHeight="false" outlineLevel="0" collapsed="false">
      <c r="A571" s="0" t="n">
        <v>568</v>
      </c>
      <c r="B571" s="0" t="n">
        <f aca="true">NORMINV(RAND(),1,Coefficients!$B$22)</f>
        <v>0.978561608806238</v>
      </c>
      <c r="C571" s="0" t="n">
        <f aca="true">MEDIAN(8,16,ROUND(NORMINV(RAND(),Coefficients!$B$20,Coefficients!$B$21),0))</f>
        <v>10</v>
      </c>
      <c r="D571" s="0" t="n">
        <f aca="true">CRITBINOM($C571,MIN(0.75,Matchup!$B$39*$B571),RAND())</f>
        <v>1</v>
      </c>
      <c r="E571" s="0" t="n">
        <f aca="true">CRITBINOM(D571,Coefficients!$B$30,RAND())</f>
        <v>1</v>
      </c>
      <c r="F571" s="0" t="n">
        <f aca="true">CRITBINOM(E571,Coefficients!$B$31,RAND())</f>
        <v>1</v>
      </c>
      <c r="G571" s="0" t="n">
        <f aca="true">CRITBINOM(MAX(0,D571-E571),1-Coefficients!$B$32,RAND())</f>
        <v>0</v>
      </c>
      <c r="H571" s="0" t="n">
        <f aca="true">CRITBINOM(MAX(0,$C571-D571),MIN(0.6,Matchup!$B$40*SQRT($B571)/(1-MIN(0.75,Matchup!$B$39*$B571))),RAND())</f>
        <v>1</v>
      </c>
      <c r="I571" s="0" t="n">
        <f aca="false">6*D571+(D571-E571-G571)+2*F571+3*H571</f>
        <v>11</v>
      </c>
      <c r="J571" s="0" t="n">
        <f aca="true">CRITBINOM($C571,MIN(0.75,Matchup!$C$39*$B571),RAND())</f>
        <v>1</v>
      </c>
      <c r="K571" s="0" t="n">
        <f aca="true">CRITBINOM(J571,Coefficients!$B$30,RAND())</f>
        <v>0</v>
      </c>
      <c r="L571" s="0" t="n">
        <f aca="true">CRITBINOM(K571,Coefficients!$B$31,RAND())</f>
        <v>0</v>
      </c>
      <c r="M571" s="0" t="n">
        <f aca="true">CRITBINOM(MAX(0,J571-K571),1-Coefficients!$B$32,RAND())</f>
        <v>0</v>
      </c>
      <c r="N571" s="0" t="n">
        <f aca="true">CRITBINOM(MAX(0,$C571-J571),MIN(0.6,Matchup!$C$40*SQRT($B571)/(1-MIN(0.75,Matchup!$C$39*$B571))),RAND())</f>
        <v>2</v>
      </c>
      <c r="O571" s="0" t="n">
        <f aca="false">6*J571+(J571-K571-M571)+2*L571+3*N571</f>
        <v>13</v>
      </c>
      <c r="P571" s="0" t="n">
        <f aca="true">RAND()</f>
        <v>0.736952966628741</v>
      </c>
      <c r="Q571" s="0" t="n">
        <f aca="true">RAND()</f>
        <v>0.351699900817858</v>
      </c>
      <c r="R571" s="0" t="n">
        <f aca="false">IF($I571&lt;&gt;$O571,0,IF(P571&lt;Matchup!$B$39,7,IF(P571&lt;Matchup!$B$39+Matchup!$B$40,3,0)))</f>
        <v>0</v>
      </c>
      <c r="S571" s="0" t="n">
        <f aca="false">IF($I571&lt;&gt;$O571,0,IF(Q571&lt;Matchup!$C$39,7,IF(Q571&lt;Matchup!$C$39+Matchup!$C$40,3,0)))</f>
        <v>0</v>
      </c>
      <c r="T571" s="0" t="n">
        <f aca="false">I571+R571</f>
        <v>11</v>
      </c>
      <c r="U571" s="0" t="n">
        <f aca="false">O571+S571</f>
        <v>13</v>
      </c>
      <c r="V571" s="0" t="n">
        <f aca="false">T571-U571</f>
        <v>-2</v>
      </c>
      <c r="W571" s="0" t="n">
        <f aca="false">T571+U571</f>
        <v>24</v>
      </c>
    </row>
    <row r="572" customFormat="false" ht="15" hidden="false" customHeight="false" outlineLevel="0" collapsed="false">
      <c r="A572" s="0" t="n">
        <v>569</v>
      </c>
      <c r="B572" s="0" t="n">
        <f aca="true">NORMINV(RAND(),1,Coefficients!$B$22)</f>
        <v>1.03252355275826</v>
      </c>
      <c r="C572" s="0" t="n">
        <f aca="true">MEDIAN(8,16,ROUND(NORMINV(RAND(),Coefficients!$B$20,Coefficients!$B$21),0))</f>
        <v>13</v>
      </c>
      <c r="D572" s="0" t="n">
        <f aca="true">CRITBINOM($C572,MIN(0.75,Matchup!$B$39*$B572),RAND())</f>
        <v>1</v>
      </c>
      <c r="E572" s="0" t="n">
        <f aca="true">CRITBINOM(D572,Coefficients!$B$30,RAND())</f>
        <v>1</v>
      </c>
      <c r="F572" s="0" t="n">
        <f aca="true">CRITBINOM(E572,Coefficients!$B$31,RAND())</f>
        <v>1</v>
      </c>
      <c r="G572" s="0" t="n">
        <f aca="true">CRITBINOM(MAX(0,D572-E572),1-Coefficients!$B$32,RAND())</f>
        <v>0</v>
      </c>
      <c r="H572" s="0" t="n">
        <f aca="true">CRITBINOM(MAX(0,$C572-D572),MIN(0.6,Matchup!$B$40*SQRT($B572)/(1-MIN(0.75,Matchup!$B$39*$B572))),RAND())</f>
        <v>1</v>
      </c>
      <c r="I572" s="0" t="n">
        <f aca="false">6*D572+(D572-E572-G572)+2*F572+3*H572</f>
        <v>11</v>
      </c>
      <c r="J572" s="0" t="n">
        <f aca="true">CRITBINOM($C572,MIN(0.75,Matchup!$C$39*$B572),RAND())</f>
        <v>4</v>
      </c>
      <c r="K572" s="0" t="n">
        <f aca="true">CRITBINOM(J572,Coefficients!$B$30,RAND())</f>
        <v>0</v>
      </c>
      <c r="L572" s="0" t="n">
        <f aca="true">CRITBINOM(K572,Coefficients!$B$31,RAND())</f>
        <v>0</v>
      </c>
      <c r="M572" s="0" t="n">
        <f aca="true">CRITBINOM(MAX(0,J572-K572),1-Coefficients!$B$32,RAND())</f>
        <v>0</v>
      </c>
      <c r="N572" s="0" t="n">
        <f aca="true">CRITBINOM(MAX(0,$C572-J572),MIN(0.6,Matchup!$C$40*SQRT($B572)/(1-MIN(0.75,Matchup!$C$39*$B572))),RAND())</f>
        <v>3</v>
      </c>
      <c r="O572" s="0" t="n">
        <f aca="false">6*J572+(J572-K572-M572)+2*L572+3*N572</f>
        <v>37</v>
      </c>
      <c r="P572" s="0" t="n">
        <f aca="true">RAND()</f>
        <v>0.825989289975282</v>
      </c>
      <c r="Q572" s="0" t="n">
        <f aca="true">RAND()</f>
        <v>0.779625240268983</v>
      </c>
      <c r="R572" s="0" t="n">
        <f aca="false">IF($I572&lt;&gt;$O572,0,IF(P572&lt;Matchup!$B$39,7,IF(P572&lt;Matchup!$B$39+Matchup!$B$40,3,0)))</f>
        <v>0</v>
      </c>
      <c r="S572" s="0" t="n">
        <f aca="false">IF($I572&lt;&gt;$O572,0,IF(Q572&lt;Matchup!$C$39,7,IF(Q572&lt;Matchup!$C$39+Matchup!$C$40,3,0)))</f>
        <v>0</v>
      </c>
      <c r="T572" s="0" t="n">
        <f aca="false">I572+R572</f>
        <v>11</v>
      </c>
      <c r="U572" s="0" t="n">
        <f aca="false">O572+S572</f>
        <v>37</v>
      </c>
      <c r="V572" s="0" t="n">
        <f aca="false">T572-U572</f>
        <v>-26</v>
      </c>
      <c r="W572" s="0" t="n">
        <f aca="false">T572+U572</f>
        <v>48</v>
      </c>
    </row>
    <row r="573" customFormat="false" ht="15" hidden="false" customHeight="false" outlineLevel="0" collapsed="false">
      <c r="A573" s="0" t="n">
        <v>570</v>
      </c>
      <c r="B573" s="0" t="n">
        <f aca="true">NORMINV(RAND(),1,Coefficients!$B$22)</f>
        <v>1.03612889287855</v>
      </c>
      <c r="C573" s="0" t="n">
        <f aca="true">MEDIAN(8,16,ROUND(NORMINV(RAND(),Coefficients!$B$20,Coefficients!$B$21),0))</f>
        <v>13</v>
      </c>
      <c r="D573" s="0" t="n">
        <f aca="true">CRITBINOM($C573,MIN(0.75,Matchup!$B$39*$B573),RAND())</f>
        <v>3</v>
      </c>
      <c r="E573" s="0" t="n">
        <f aca="true">CRITBINOM(D573,Coefficients!$B$30,RAND())</f>
        <v>0</v>
      </c>
      <c r="F573" s="0" t="n">
        <f aca="true">CRITBINOM(E573,Coefficients!$B$31,RAND())</f>
        <v>0</v>
      </c>
      <c r="G573" s="0" t="n">
        <f aca="true">CRITBINOM(MAX(0,D573-E573),1-Coefficients!$B$32,RAND())</f>
        <v>0</v>
      </c>
      <c r="H573" s="0" t="n">
        <f aca="true">CRITBINOM(MAX(0,$C573-D573),MIN(0.6,Matchup!$B$40*SQRT($B573)/(1-MIN(0.75,Matchup!$B$39*$B573))),RAND())</f>
        <v>2</v>
      </c>
      <c r="I573" s="0" t="n">
        <f aca="false">6*D573+(D573-E573-G573)+2*F573+3*H573</f>
        <v>27</v>
      </c>
      <c r="J573" s="0" t="n">
        <f aca="true">CRITBINOM($C573,MIN(0.75,Matchup!$C$39*$B573),RAND())</f>
        <v>3</v>
      </c>
      <c r="K573" s="0" t="n">
        <f aca="true">CRITBINOM(J573,Coefficients!$B$30,RAND())</f>
        <v>1</v>
      </c>
      <c r="L573" s="0" t="n">
        <f aca="true">CRITBINOM(K573,Coefficients!$B$31,RAND())</f>
        <v>0</v>
      </c>
      <c r="M573" s="0" t="n">
        <f aca="true">CRITBINOM(MAX(0,J573-K573),1-Coefficients!$B$32,RAND())</f>
        <v>0</v>
      </c>
      <c r="N573" s="0" t="n">
        <f aca="true">CRITBINOM(MAX(0,$C573-J573),MIN(0.6,Matchup!$C$40*SQRT($B573)/(1-MIN(0.75,Matchup!$C$39*$B573))),RAND())</f>
        <v>2</v>
      </c>
      <c r="O573" s="0" t="n">
        <f aca="false">6*J573+(J573-K573-M573)+2*L573+3*N573</f>
        <v>26</v>
      </c>
      <c r="P573" s="0" t="n">
        <f aca="true">RAND()</f>
        <v>0.0612164403029294</v>
      </c>
      <c r="Q573" s="0" t="n">
        <f aca="true">RAND()</f>
        <v>0.222569147426121</v>
      </c>
      <c r="R573" s="0" t="n">
        <f aca="false">IF($I573&lt;&gt;$O573,0,IF(P573&lt;Matchup!$B$39,7,IF(P573&lt;Matchup!$B$39+Matchup!$B$40,3,0)))</f>
        <v>0</v>
      </c>
      <c r="S573" s="0" t="n">
        <f aca="false">IF($I573&lt;&gt;$O573,0,IF(Q573&lt;Matchup!$C$39,7,IF(Q573&lt;Matchup!$C$39+Matchup!$C$40,3,0)))</f>
        <v>0</v>
      </c>
      <c r="T573" s="0" t="n">
        <f aca="false">I573+R573</f>
        <v>27</v>
      </c>
      <c r="U573" s="0" t="n">
        <f aca="false">O573+S573</f>
        <v>26</v>
      </c>
      <c r="V573" s="0" t="n">
        <f aca="false">T573-U573</f>
        <v>1</v>
      </c>
      <c r="W573" s="0" t="n">
        <f aca="false">T573+U573</f>
        <v>53</v>
      </c>
    </row>
    <row r="574" customFormat="false" ht="15" hidden="false" customHeight="false" outlineLevel="0" collapsed="false">
      <c r="A574" s="0" t="n">
        <v>571</v>
      </c>
      <c r="B574" s="0" t="n">
        <f aca="true">NORMINV(RAND(),1,Coefficients!$B$22)</f>
        <v>0.9288826664699</v>
      </c>
      <c r="C574" s="0" t="n">
        <f aca="true">MEDIAN(8,16,ROUND(NORMINV(RAND(),Coefficients!$B$20,Coefficients!$B$21),0))</f>
        <v>10</v>
      </c>
      <c r="D574" s="0" t="n">
        <f aca="true">CRITBINOM($C574,MIN(0.75,Matchup!$B$39*$B574),RAND())</f>
        <v>2</v>
      </c>
      <c r="E574" s="0" t="n">
        <f aca="true">CRITBINOM(D574,Coefficients!$B$30,RAND())</f>
        <v>0</v>
      </c>
      <c r="F574" s="0" t="n">
        <f aca="true">CRITBINOM(E574,Coefficients!$B$31,RAND())</f>
        <v>0</v>
      </c>
      <c r="G574" s="0" t="n">
        <f aca="true">CRITBINOM(MAX(0,D574-E574),1-Coefficients!$B$32,RAND())</f>
        <v>0</v>
      </c>
      <c r="H574" s="0" t="n">
        <f aca="true">CRITBINOM(MAX(0,$C574-D574),MIN(0.6,Matchup!$B$40*SQRT($B574)/(1-MIN(0.75,Matchup!$B$39*$B574))),RAND())</f>
        <v>1</v>
      </c>
      <c r="I574" s="0" t="n">
        <f aca="false">6*D574+(D574-E574-G574)+2*F574+3*H574</f>
        <v>17</v>
      </c>
      <c r="J574" s="0" t="n">
        <f aca="true">CRITBINOM($C574,MIN(0.75,Matchup!$C$39*$B574),RAND())</f>
        <v>2</v>
      </c>
      <c r="K574" s="0" t="n">
        <f aca="true">CRITBINOM(J574,Coefficients!$B$30,RAND())</f>
        <v>0</v>
      </c>
      <c r="L574" s="0" t="n">
        <f aca="true">CRITBINOM(K574,Coefficients!$B$31,RAND())</f>
        <v>0</v>
      </c>
      <c r="M574" s="0" t="n">
        <f aca="true">CRITBINOM(MAX(0,J574-K574),1-Coefficients!$B$32,RAND())</f>
        <v>1</v>
      </c>
      <c r="N574" s="0" t="n">
        <f aca="true">CRITBINOM(MAX(0,$C574-J574),MIN(0.6,Matchup!$C$40*SQRT($B574)/(1-MIN(0.75,Matchup!$C$39*$B574))),RAND())</f>
        <v>2</v>
      </c>
      <c r="O574" s="0" t="n">
        <f aca="false">6*J574+(J574-K574-M574)+2*L574+3*N574</f>
        <v>19</v>
      </c>
      <c r="P574" s="0" t="n">
        <f aca="true">RAND()</f>
        <v>0.870159706508593</v>
      </c>
      <c r="Q574" s="0" t="n">
        <f aca="true">RAND()</f>
        <v>0.524061660392291</v>
      </c>
      <c r="R574" s="0" t="n">
        <f aca="false">IF($I574&lt;&gt;$O574,0,IF(P574&lt;Matchup!$B$39,7,IF(P574&lt;Matchup!$B$39+Matchup!$B$40,3,0)))</f>
        <v>0</v>
      </c>
      <c r="S574" s="0" t="n">
        <f aca="false">IF($I574&lt;&gt;$O574,0,IF(Q574&lt;Matchup!$C$39,7,IF(Q574&lt;Matchup!$C$39+Matchup!$C$40,3,0)))</f>
        <v>0</v>
      </c>
      <c r="T574" s="0" t="n">
        <f aca="false">I574+R574</f>
        <v>17</v>
      </c>
      <c r="U574" s="0" t="n">
        <f aca="false">O574+S574</f>
        <v>19</v>
      </c>
      <c r="V574" s="0" t="n">
        <f aca="false">T574-U574</f>
        <v>-2</v>
      </c>
      <c r="W574" s="0" t="n">
        <f aca="false">T574+U574</f>
        <v>36</v>
      </c>
    </row>
    <row r="575" customFormat="false" ht="15" hidden="false" customHeight="false" outlineLevel="0" collapsed="false">
      <c r="A575" s="0" t="n">
        <v>572</v>
      </c>
      <c r="B575" s="0" t="n">
        <f aca="true">NORMINV(RAND(),1,Coefficients!$B$22)</f>
        <v>0.947766079974633</v>
      </c>
      <c r="C575" s="0" t="n">
        <f aca="true">MEDIAN(8,16,ROUND(NORMINV(RAND(),Coefficients!$B$20,Coefficients!$B$21),0))</f>
        <v>11</v>
      </c>
      <c r="D575" s="0" t="n">
        <f aca="true">CRITBINOM($C575,MIN(0.75,Matchup!$B$39*$B575),RAND())</f>
        <v>4</v>
      </c>
      <c r="E575" s="0" t="n">
        <f aca="true">CRITBINOM(D575,Coefficients!$B$30,RAND())</f>
        <v>1</v>
      </c>
      <c r="F575" s="0" t="n">
        <f aca="true">CRITBINOM(E575,Coefficients!$B$31,RAND())</f>
        <v>0</v>
      </c>
      <c r="G575" s="0" t="n">
        <f aca="true">CRITBINOM(MAX(0,D575-E575),1-Coefficients!$B$32,RAND())</f>
        <v>0</v>
      </c>
      <c r="H575" s="0" t="n">
        <f aca="true">CRITBINOM(MAX(0,$C575-D575),MIN(0.6,Matchup!$B$40*SQRT($B575)/(1-MIN(0.75,Matchup!$B$39*$B575))),RAND())</f>
        <v>0</v>
      </c>
      <c r="I575" s="0" t="n">
        <f aca="false">6*D575+(D575-E575-G575)+2*F575+3*H575</f>
        <v>27</v>
      </c>
      <c r="J575" s="0" t="n">
        <f aca="true">CRITBINOM($C575,MIN(0.75,Matchup!$C$39*$B575),RAND())</f>
        <v>4</v>
      </c>
      <c r="K575" s="0" t="n">
        <f aca="true">CRITBINOM(J575,Coefficients!$B$30,RAND())</f>
        <v>0</v>
      </c>
      <c r="L575" s="0" t="n">
        <f aca="true">CRITBINOM(K575,Coefficients!$B$31,RAND())</f>
        <v>0</v>
      </c>
      <c r="M575" s="0" t="n">
        <f aca="true">CRITBINOM(MAX(0,J575-K575),1-Coefficients!$B$32,RAND())</f>
        <v>0</v>
      </c>
      <c r="N575" s="0" t="n">
        <f aca="true">CRITBINOM(MAX(0,$C575-J575),MIN(0.6,Matchup!$C$40*SQRT($B575)/(1-MIN(0.75,Matchup!$C$39*$B575))),RAND())</f>
        <v>0</v>
      </c>
      <c r="O575" s="0" t="n">
        <f aca="false">6*J575+(J575-K575-M575)+2*L575+3*N575</f>
        <v>28</v>
      </c>
      <c r="P575" s="0" t="n">
        <f aca="true">RAND()</f>
        <v>0.685149520940851</v>
      </c>
      <c r="Q575" s="0" t="n">
        <f aca="true">RAND()</f>
        <v>0.540323953908584</v>
      </c>
      <c r="R575" s="0" t="n">
        <f aca="false">IF($I575&lt;&gt;$O575,0,IF(P575&lt;Matchup!$B$39,7,IF(P575&lt;Matchup!$B$39+Matchup!$B$40,3,0)))</f>
        <v>0</v>
      </c>
      <c r="S575" s="0" t="n">
        <f aca="false">IF($I575&lt;&gt;$O575,0,IF(Q575&lt;Matchup!$C$39,7,IF(Q575&lt;Matchup!$C$39+Matchup!$C$40,3,0)))</f>
        <v>0</v>
      </c>
      <c r="T575" s="0" t="n">
        <f aca="false">I575+R575</f>
        <v>27</v>
      </c>
      <c r="U575" s="0" t="n">
        <f aca="false">O575+S575</f>
        <v>28</v>
      </c>
      <c r="V575" s="0" t="n">
        <f aca="false">T575-U575</f>
        <v>-1</v>
      </c>
      <c r="W575" s="0" t="n">
        <f aca="false">T575+U575</f>
        <v>55</v>
      </c>
    </row>
    <row r="576" customFormat="false" ht="15" hidden="false" customHeight="false" outlineLevel="0" collapsed="false">
      <c r="A576" s="0" t="n">
        <v>573</v>
      </c>
      <c r="B576" s="0" t="n">
        <f aca="true">NORMINV(RAND(),1,Coefficients!$B$22)</f>
        <v>1.0909654545248</v>
      </c>
      <c r="C576" s="0" t="n">
        <f aca="true">MEDIAN(8,16,ROUND(NORMINV(RAND(),Coefficients!$B$20,Coefficients!$B$21),0))</f>
        <v>13</v>
      </c>
      <c r="D576" s="0" t="n">
        <f aca="true">CRITBINOM($C576,MIN(0.75,Matchup!$B$39*$B576),RAND())</f>
        <v>2</v>
      </c>
      <c r="E576" s="0" t="n">
        <f aca="true">CRITBINOM(D576,Coefficients!$B$30,RAND())</f>
        <v>0</v>
      </c>
      <c r="F576" s="0" t="n">
        <f aca="true">CRITBINOM(E576,Coefficients!$B$31,RAND())</f>
        <v>0</v>
      </c>
      <c r="G576" s="0" t="n">
        <f aca="true">CRITBINOM(MAX(0,D576-E576),1-Coefficients!$B$32,RAND())</f>
        <v>0</v>
      </c>
      <c r="H576" s="0" t="n">
        <f aca="true">CRITBINOM(MAX(0,$C576-D576),MIN(0.6,Matchup!$B$40*SQRT($B576)/(1-MIN(0.75,Matchup!$B$39*$B576))),RAND())</f>
        <v>3</v>
      </c>
      <c r="I576" s="0" t="n">
        <f aca="false">6*D576+(D576-E576-G576)+2*F576+3*H576</f>
        <v>23</v>
      </c>
      <c r="J576" s="0" t="n">
        <f aca="true">CRITBINOM($C576,MIN(0.75,Matchup!$C$39*$B576),RAND())</f>
        <v>0</v>
      </c>
      <c r="K576" s="0" t="n">
        <f aca="true">CRITBINOM(J576,Coefficients!$B$30,RAND())</f>
        <v>0</v>
      </c>
      <c r="L576" s="0" t="n">
        <f aca="true">CRITBINOM(K576,Coefficients!$B$31,RAND())</f>
        <v>0</v>
      </c>
      <c r="M576" s="0" t="n">
        <f aca="true">CRITBINOM(MAX(0,J576-K576),1-Coefficients!$B$32,RAND())</f>
        <v>0</v>
      </c>
      <c r="N576" s="0" t="n">
        <f aca="true">CRITBINOM(MAX(0,$C576-J576),MIN(0.6,Matchup!$C$40*SQRT($B576)/(1-MIN(0.75,Matchup!$C$39*$B576))),RAND())</f>
        <v>1</v>
      </c>
      <c r="O576" s="0" t="n">
        <f aca="false">6*J576+(J576-K576-M576)+2*L576+3*N576</f>
        <v>3</v>
      </c>
      <c r="P576" s="0" t="n">
        <f aca="true">RAND()</f>
        <v>0.11687838190651</v>
      </c>
      <c r="Q576" s="0" t="n">
        <f aca="true">RAND()</f>
        <v>0.0595985989879278</v>
      </c>
      <c r="R576" s="0" t="n">
        <f aca="false">IF($I576&lt;&gt;$O576,0,IF(P576&lt;Matchup!$B$39,7,IF(P576&lt;Matchup!$B$39+Matchup!$B$40,3,0)))</f>
        <v>0</v>
      </c>
      <c r="S576" s="0" t="n">
        <f aca="false">IF($I576&lt;&gt;$O576,0,IF(Q576&lt;Matchup!$C$39,7,IF(Q576&lt;Matchup!$C$39+Matchup!$C$40,3,0)))</f>
        <v>0</v>
      </c>
      <c r="T576" s="0" t="n">
        <f aca="false">I576+R576</f>
        <v>23</v>
      </c>
      <c r="U576" s="0" t="n">
        <f aca="false">O576+S576</f>
        <v>3</v>
      </c>
      <c r="V576" s="0" t="n">
        <f aca="false">T576-U576</f>
        <v>20</v>
      </c>
      <c r="W576" s="0" t="n">
        <f aca="false">T576+U576</f>
        <v>26</v>
      </c>
    </row>
    <row r="577" customFormat="false" ht="15" hidden="false" customHeight="false" outlineLevel="0" collapsed="false">
      <c r="A577" s="0" t="n">
        <v>574</v>
      </c>
      <c r="B577" s="0" t="n">
        <f aca="true">NORMINV(RAND(),1,Coefficients!$B$22)</f>
        <v>0.914279345847982</v>
      </c>
      <c r="C577" s="0" t="n">
        <f aca="true">MEDIAN(8,16,ROUND(NORMINV(RAND(),Coefficients!$B$20,Coefficients!$B$21),0))</f>
        <v>10</v>
      </c>
      <c r="D577" s="0" t="n">
        <f aca="true">CRITBINOM($C577,MIN(0.75,Matchup!$B$39*$B577),RAND())</f>
        <v>2</v>
      </c>
      <c r="E577" s="0" t="n">
        <f aca="true">CRITBINOM(D577,Coefficients!$B$30,RAND())</f>
        <v>0</v>
      </c>
      <c r="F577" s="0" t="n">
        <f aca="true">CRITBINOM(E577,Coefficients!$B$31,RAND())</f>
        <v>0</v>
      </c>
      <c r="G577" s="0" t="n">
        <f aca="true">CRITBINOM(MAX(0,D577-E577),1-Coefficients!$B$32,RAND())</f>
        <v>0</v>
      </c>
      <c r="H577" s="0" t="n">
        <f aca="true">CRITBINOM(MAX(0,$C577-D577),MIN(0.6,Matchup!$B$40*SQRT($B577)/(1-MIN(0.75,Matchup!$B$39*$B577))),RAND())</f>
        <v>2</v>
      </c>
      <c r="I577" s="0" t="n">
        <f aca="false">6*D577+(D577-E577-G577)+2*F577+3*H577</f>
        <v>20</v>
      </c>
      <c r="J577" s="0" t="n">
        <f aca="true">CRITBINOM($C577,MIN(0.75,Matchup!$C$39*$B577),RAND())</f>
        <v>1</v>
      </c>
      <c r="K577" s="0" t="n">
        <f aca="true">CRITBINOM(J577,Coefficients!$B$30,RAND())</f>
        <v>0</v>
      </c>
      <c r="L577" s="0" t="n">
        <f aca="true">CRITBINOM(K577,Coefficients!$B$31,RAND())</f>
        <v>0</v>
      </c>
      <c r="M577" s="0" t="n">
        <f aca="true">CRITBINOM(MAX(0,J577-K577),1-Coefficients!$B$32,RAND())</f>
        <v>1</v>
      </c>
      <c r="N577" s="0" t="n">
        <f aca="true">CRITBINOM(MAX(0,$C577-J577),MIN(0.6,Matchup!$C$40*SQRT($B577)/(1-MIN(0.75,Matchup!$C$39*$B577))),RAND())</f>
        <v>0</v>
      </c>
      <c r="O577" s="0" t="n">
        <f aca="false">6*J577+(J577-K577-M577)+2*L577+3*N577</f>
        <v>6</v>
      </c>
      <c r="P577" s="0" t="n">
        <f aca="true">RAND()</f>
        <v>0.667856041115743</v>
      </c>
      <c r="Q577" s="0" t="n">
        <f aca="true">RAND()</f>
        <v>0.132292469866224</v>
      </c>
      <c r="R577" s="0" t="n">
        <f aca="false">IF($I577&lt;&gt;$O577,0,IF(P577&lt;Matchup!$B$39,7,IF(P577&lt;Matchup!$B$39+Matchup!$B$40,3,0)))</f>
        <v>0</v>
      </c>
      <c r="S577" s="0" t="n">
        <f aca="false">IF($I577&lt;&gt;$O577,0,IF(Q577&lt;Matchup!$C$39,7,IF(Q577&lt;Matchup!$C$39+Matchup!$C$40,3,0)))</f>
        <v>0</v>
      </c>
      <c r="T577" s="0" t="n">
        <f aca="false">I577+R577</f>
        <v>20</v>
      </c>
      <c r="U577" s="0" t="n">
        <f aca="false">O577+S577</f>
        <v>6</v>
      </c>
      <c r="V577" s="0" t="n">
        <f aca="false">T577-U577</f>
        <v>14</v>
      </c>
      <c r="W577" s="0" t="n">
        <f aca="false">T577+U577</f>
        <v>26</v>
      </c>
    </row>
    <row r="578" customFormat="false" ht="15" hidden="false" customHeight="false" outlineLevel="0" collapsed="false">
      <c r="A578" s="0" t="n">
        <v>575</v>
      </c>
      <c r="B578" s="0" t="n">
        <f aca="true">NORMINV(RAND(),1,Coefficients!$B$22)</f>
        <v>1.01685052235921</v>
      </c>
      <c r="C578" s="0" t="n">
        <f aca="true">MEDIAN(8,16,ROUND(NORMINV(RAND(),Coefficients!$B$20,Coefficients!$B$21),0))</f>
        <v>12</v>
      </c>
      <c r="D578" s="0" t="n">
        <f aca="true">CRITBINOM($C578,MIN(0.75,Matchup!$B$39*$B578),RAND())</f>
        <v>5</v>
      </c>
      <c r="E578" s="0" t="n">
        <f aca="true">CRITBINOM(D578,Coefficients!$B$30,RAND())</f>
        <v>0</v>
      </c>
      <c r="F578" s="0" t="n">
        <f aca="true">CRITBINOM(E578,Coefficients!$B$31,RAND())</f>
        <v>0</v>
      </c>
      <c r="G578" s="0" t="n">
        <f aca="true">CRITBINOM(MAX(0,D578-E578),1-Coefficients!$B$32,RAND())</f>
        <v>0</v>
      </c>
      <c r="H578" s="0" t="n">
        <f aca="true">CRITBINOM(MAX(0,$C578-D578),MIN(0.6,Matchup!$B$40*SQRT($B578)/(1-MIN(0.75,Matchup!$B$39*$B578))),RAND())</f>
        <v>0</v>
      </c>
      <c r="I578" s="0" t="n">
        <f aca="false">6*D578+(D578-E578-G578)+2*F578+3*H578</f>
        <v>35</v>
      </c>
      <c r="J578" s="0" t="n">
        <f aca="true">CRITBINOM($C578,MIN(0.75,Matchup!$C$39*$B578),RAND())</f>
        <v>0</v>
      </c>
      <c r="K578" s="0" t="n">
        <f aca="true">CRITBINOM(J578,Coefficients!$B$30,RAND())</f>
        <v>0</v>
      </c>
      <c r="L578" s="0" t="n">
        <f aca="true">CRITBINOM(K578,Coefficients!$B$31,RAND())</f>
        <v>0</v>
      </c>
      <c r="M578" s="0" t="n">
        <f aca="true">CRITBINOM(MAX(0,J578-K578),1-Coefficients!$B$32,RAND())</f>
        <v>0</v>
      </c>
      <c r="N578" s="0" t="n">
        <f aca="true">CRITBINOM(MAX(0,$C578-J578),MIN(0.6,Matchup!$C$40*SQRT($B578)/(1-MIN(0.75,Matchup!$C$39*$B578))),RAND())</f>
        <v>2</v>
      </c>
      <c r="O578" s="0" t="n">
        <f aca="false">6*J578+(J578-K578-M578)+2*L578+3*N578</f>
        <v>6</v>
      </c>
      <c r="P578" s="0" t="n">
        <f aca="true">RAND()</f>
        <v>0.285893816199801</v>
      </c>
      <c r="Q578" s="0" t="n">
        <f aca="true">RAND()</f>
        <v>0.536366826788611</v>
      </c>
      <c r="R578" s="0" t="n">
        <f aca="false">IF($I578&lt;&gt;$O578,0,IF(P578&lt;Matchup!$B$39,7,IF(P578&lt;Matchup!$B$39+Matchup!$B$40,3,0)))</f>
        <v>0</v>
      </c>
      <c r="S578" s="0" t="n">
        <f aca="false">IF($I578&lt;&gt;$O578,0,IF(Q578&lt;Matchup!$C$39,7,IF(Q578&lt;Matchup!$C$39+Matchup!$C$40,3,0)))</f>
        <v>0</v>
      </c>
      <c r="T578" s="0" t="n">
        <f aca="false">I578+R578</f>
        <v>35</v>
      </c>
      <c r="U578" s="0" t="n">
        <f aca="false">O578+S578</f>
        <v>6</v>
      </c>
      <c r="V578" s="0" t="n">
        <f aca="false">T578-U578</f>
        <v>29</v>
      </c>
      <c r="W578" s="0" t="n">
        <f aca="false">T578+U578</f>
        <v>41</v>
      </c>
    </row>
    <row r="579" customFormat="false" ht="15" hidden="false" customHeight="false" outlineLevel="0" collapsed="false">
      <c r="A579" s="0" t="n">
        <v>576</v>
      </c>
      <c r="B579" s="0" t="n">
        <f aca="true">NORMINV(RAND(),1,Coefficients!$B$22)</f>
        <v>0.923828788923223</v>
      </c>
      <c r="C579" s="0" t="n">
        <f aca="true">MEDIAN(8,16,ROUND(NORMINV(RAND(),Coefficients!$B$20,Coefficients!$B$21),0))</f>
        <v>10</v>
      </c>
      <c r="D579" s="0" t="n">
        <f aca="true">CRITBINOM($C579,MIN(0.75,Matchup!$B$39*$B579),RAND())</f>
        <v>3</v>
      </c>
      <c r="E579" s="0" t="n">
        <f aca="true">CRITBINOM(D579,Coefficients!$B$30,RAND())</f>
        <v>0</v>
      </c>
      <c r="F579" s="0" t="n">
        <f aca="true">CRITBINOM(E579,Coefficients!$B$31,RAND())</f>
        <v>0</v>
      </c>
      <c r="G579" s="0" t="n">
        <f aca="true">CRITBINOM(MAX(0,D579-E579),1-Coefficients!$B$32,RAND())</f>
        <v>0</v>
      </c>
      <c r="H579" s="0" t="n">
        <f aca="true">CRITBINOM(MAX(0,$C579-D579),MIN(0.6,Matchup!$B$40*SQRT($B579)/(1-MIN(0.75,Matchup!$B$39*$B579))),RAND())</f>
        <v>1</v>
      </c>
      <c r="I579" s="0" t="n">
        <f aca="false">6*D579+(D579-E579-G579)+2*F579+3*H579</f>
        <v>24</v>
      </c>
      <c r="J579" s="0" t="n">
        <f aca="true">CRITBINOM($C579,MIN(0.75,Matchup!$C$39*$B579),RAND())</f>
        <v>3</v>
      </c>
      <c r="K579" s="0" t="n">
        <f aca="true">CRITBINOM(J579,Coefficients!$B$30,RAND())</f>
        <v>0</v>
      </c>
      <c r="L579" s="0" t="n">
        <f aca="true">CRITBINOM(K579,Coefficients!$B$31,RAND())</f>
        <v>0</v>
      </c>
      <c r="M579" s="0" t="n">
        <f aca="true">CRITBINOM(MAX(0,J579-K579),1-Coefficients!$B$32,RAND())</f>
        <v>0</v>
      </c>
      <c r="N579" s="0" t="n">
        <f aca="true">CRITBINOM(MAX(0,$C579-J579),MIN(0.6,Matchup!$C$40*SQRT($B579)/(1-MIN(0.75,Matchup!$C$39*$B579))),RAND())</f>
        <v>2</v>
      </c>
      <c r="O579" s="0" t="n">
        <f aca="false">6*J579+(J579-K579-M579)+2*L579+3*N579</f>
        <v>27</v>
      </c>
      <c r="P579" s="0" t="n">
        <f aca="true">RAND()</f>
        <v>0.718260445568756</v>
      </c>
      <c r="Q579" s="0" t="n">
        <f aca="true">RAND()</f>
        <v>0.702336747385224</v>
      </c>
      <c r="R579" s="0" t="n">
        <f aca="false">IF($I579&lt;&gt;$O579,0,IF(P579&lt;Matchup!$B$39,7,IF(P579&lt;Matchup!$B$39+Matchup!$B$40,3,0)))</f>
        <v>0</v>
      </c>
      <c r="S579" s="0" t="n">
        <f aca="false">IF($I579&lt;&gt;$O579,0,IF(Q579&lt;Matchup!$C$39,7,IF(Q579&lt;Matchup!$C$39+Matchup!$C$40,3,0)))</f>
        <v>0</v>
      </c>
      <c r="T579" s="0" t="n">
        <f aca="false">I579+R579</f>
        <v>24</v>
      </c>
      <c r="U579" s="0" t="n">
        <f aca="false">O579+S579</f>
        <v>27</v>
      </c>
      <c r="V579" s="0" t="n">
        <f aca="false">T579-U579</f>
        <v>-3</v>
      </c>
      <c r="W579" s="0" t="n">
        <f aca="false">T579+U579</f>
        <v>51</v>
      </c>
    </row>
    <row r="580" customFormat="false" ht="15" hidden="false" customHeight="false" outlineLevel="0" collapsed="false">
      <c r="A580" s="0" t="n">
        <v>577</v>
      </c>
      <c r="B580" s="0" t="n">
        <f aca="true">NORMINV(RAND(),1,Coefficients!$B$22)</f>
        <v>1.01823137530853</v>
      </c>
      <c r="C580" s="0" t="n">
        <f aca="true">MEDIAN(8,16,ROUND(NORMINV(RAND(),Coefficients!$B$20,Coefficients!$B$21),0))</f>
        <v>10</v>
      </c>
      <c r="D580" s="0" t="n">
        <f aca="true">CRITBINOM($C580,MIN(0.75,Matchup!$B$39*$B580),RAND())</f>
        <v>2</v>
      </c>
      <c r="E580" s="0" t="n">
        <f aca="true">CRITBINOM(D580,Coefficients!$B$30,RAND())</f>
        <v>1</v>
      </c>
      <c r="F580" s="0" t="n">
        <f aca="true">CRITBINOM(E580,Coefficients!$B$31,RAND())</f>
        <v>0</v>
      </c>
      <c r="G580" s="0" t="n">
        <f aca="true">CRITBINOM(MAX(0,D580-E580),1-Coefficients!$B$32,RAND())</f>
        <v>0</v>
      </c>
      <c r="H580" s="0" t="n">
        <f aca="true">CRITBINOM(MAX(0,$C580-D580),MIN(0.6,Matchup!$B$40*SQRT($B580)/(1-MIN(0.75,Matchup!$B$39*$B580))),RAND())</f>
        <v>1</v>
      </c>
      <c r="I580" s="0" t="n">
        <f aca="false">6*D580+(D580-E580-G580)+2*F580+3*H580</f>
        <v>16</v>
      </c>
      <c r="J580" s="0" t="n">
        <f aca="true">CRITBINOM($C580,MIN(0.75,Matchup!$C$39*$B580),RAND())</f>
        <v>5</v>
      </c>
      <c r="K580" s="0" t="n">
        <f aca="true">CRITBINOM(J580,Coefficients!$B$30,RAND())</f>
        <v>0</v>
      </c>
      <c r="L580" s="0" t="n">
        <f aca="true">CRITBINOM(K580,Coefficients!$B$31,RAND())</f>
        <v>0</v>
      </c>
      <c r="M580" s="0" t="n">
        <f aca="true">CRITBINOM(MAX(0,J580-K580),1-Coefficients!$B$32,RAND())</f>
        <v>1</v>
      </c>
      <c r="N580" s="0" t="n">
        <f aca="true">CRITBINOM(MAX(0,$C580-J580),MIN(0.6,Matchup!$C$40*SQRT($B580)/(1-MIN(0.75,Matchup!$C$39*$B580))),RAND())</f>
        <v>0</v>
      </c>
      <c r="O580" s="0" t="n">
        <f aca="false">6*J580+(J580-K580-M580)+2*L580+3*N580</f>
        <v>34</v>
      </c>
      <c r="P580" s="0" t="n">
        <f aca="true">RAND()</f>
        <v>0.152313415930185</v>
      </c>
      <c r="Q580" s="0" t="n">
        <f aca="true">RAND()</f>
        <v>0.465401563253637</v>
      </c>
      <c r="R580" s="0" t="n">
        <f aca="false">IF($I580&lt;&gt;$O580,0,IF(P580&lt;Matchup!$B$39,7,IF(P580&lt;Matchup!$B$39+Matchup!$B$40,3,0)))</f>
        <v>0</v>
      </c>
      <c r="S580" s="0" t="n">
        <f aca="false">IF($I580&lt;&gt;$O580,0,IF(Q580&lt;Matchup!$C$39,7,IF(Q580&lt;Matchup!$C$39+Matchup!$C$40,3,0)))</f>
        <v>0</v>
      </c>
      <c r="T580" s="0" t="n">
        <f aca="false">I580+R580</f>
        <v>16</v>
      </c>
      <c r="U580" s="0" t="n">
        <f aca="false">O580+S580</f>
        <v>34</v>
      </c>
      <c r="V580" s="0" t="n">
        <f aca="false">T580-U580</f>
        <v>-18</v>
      </c>
      <c r="W580" s="0" t="n">
        <f aca="false">T580+U580</f>
        <v>50</v>
      </c>
    </row>
    <row r="581" customFormat="false" ht="15" hidden="false" customHeight="false" outlineLevel="0" collapsed="false">
      <c r="A581" s="0" t="n">
        <v>578</v>
      </c>
      <c r="B581" s="0" t="n">
        <f aca="true">NORMINV(RAND(),1,Coefficients!$B$22)</f>
        <v>1.04341656212956</v>
      </c>
      <c r="C581" s="0" t="n">
        <f aca="true">MEDIAN(8,16,ROUND(NORMINV(RAND(),Coefficients!$B$20,Coefficients!$B$21),0))</f>
        <v>12</v>
      </c>
      <c r="D581" s="0" t="n">
        <f aca="true">CRITBINOM($C581,MIN(0.75,Matchup!$B$39*$B581),RAND())</f>
        <v>6</v>
      </c>
      <c r="E581" s="0" t="n">
        <f aca="true">CRITBINOM(D581,Coefficients!$B$30,RAND())</f>
        <v>0</v>
      </c>
      <c r="F581" s="0" t="n">
        <f aca="true">CRITBINOM(E581,Coefficients!$B$31,RAND())</f>
        <v>0</v>
      </c>
      <c r="G581" s="0" t="n">
        <f aca="true">CRITBINOM(MAX(0,D581-E581),1-Coefficients!$B$32,RAND())</f>
        <v>1</v>
      </c>
      <c r="H581" s="0" t="n">
        <f aca="true">CRITBINOM(MAX(0,$C581-D581),MIN(0.6,Matchup!$B$40*SQRT($B581)/(1-MIN(0.75,Matchup!$B$39*$B581))),RAND())</f>
        <v>3</v>
      </c>
      <c r="I581" s="0" t="n">
        <f aca="false">6*D581+(D581-E581-G581)+2*F581+3*H581</f>
        <v>50</v>
      </c>
      <c r="J581" s="0" t="n">
        <f aca="true">CRITBINOM($C581,MIN(0.75,Matchup!$C$39*$B581),RAND())</f>
        <v>3</v>
      </c>
      <c r="K581" s="0" t="n">
        <f aca="true">CRITBINOM(J581,Coefficients!$B$30,RAND())</f>
        <v>0</v>
      </c>
      <c r="L581" s="0" t="n">
        <f aca="true">CRITBINOM(K581,Coefficients!$B$31,RAND())</f>
        <v>0</v>
      </c>
      <c r="M581" s="0" t="n">
        <f aca="true">CRITBINOM(MAX(0,J581-K581),1-Coefficients!$B$32,RAND())</f>
        <v>0</v>
      </c>
      <c r="N581" s="0" t="n">
        <f aca="true">CRITBINOM(MAX(0,$C581-J581),MIN(0.6,Matchup!$C$40*SQRT($B581)/(1-MIN(0.75,Matchup!$C$39*$B581))),RAND())</f>
        <v>1</v>
      </c>
      <c r="O581" s="0" t="n">
        <f aca="false">6*J581+(J581-K581-M581)+2*L581+3*N581</f>
        <v>24</v>
      </c>
      <c r="P581" s="0" t="n">
        <f aca="true">RAND()</f>
        <v>0.0832292388805658</v>
      </c>
      <c r="Q581" s="0" t="n">
        <f aca="true">RAND()</f>
        <v>0.394229596139776</v>
      </c>
      <c r="R581" s="0" t="n">
        <f aca="false">IF($I581&lt;&gt;$O581,0,IF(P581&lt;Matchup!$B$39,7,IF(P581&lt;Matchup!$B$39+Matchup!$B$40,3,0)))</f>
        <v>0</v>
      </c>
      <c r="S581" s="0" t="n">
        <f aca="false">IF($I581&lt;&gt;$O581,0,IF(Q581&lt;Matchup!$C$39,7,IF(Q581&lt;Matchup!$C$39+Matchup!$C$40,3,0)))</f>
        <v>0</v>
      </c>
      <c r="T581" s="0" t="n">
        <f aca="false">I581+R581</f>
        <v>50</v>
      </c>
      <c r="U581" s="0" t="n">
        <f aca="false">O581+S581</f>
        <v>24</v>
      </c>
      <c r="V581" s="0" t="n">
        <f aca="false">T581-U581</f>
        <v>26</v>
      </c>
      <c r="W581" s="0" t="n">
        <f aca="false">T581+U581</f>
        <v>74</v>
      </c>
    </row>
    <row r="582" customFormat="false" ht="15" hidden="false" customHeight="false" outlineLevel="0" collapsed="false">
      <c r="A582" s="0" t="n">
        <v>579</v>
      </c>
      <c r="B582" s="0" t="n">
        <f aca="true">NORMINV(RAND(),1,Coefficients!$B$22)</f>
        <v>1.03452068420074</v>
      </c>
      <c r="C582" s="0" t="n">
        <f aca="true">MEDIAN(8,16,ROUND(NORMINV(RAND(),Coefficients!$B$20,Coefficients!$B$21),0))</f>
        <v>12</v>
      </c>
      <c r="D582" s="0" t="n">
        <f aca="true">CRITBINOM($C582,MIN(0.75,Matchup!$B$39*$B582),RAND())</f>
        <v>2</v>
      </c>
      <c r="E582" s="0" t="n">
        <f aca="true">CRITBINOM(D582,Coefficients!$B$30,RAND())</f>
        <v>0</v>
      </c>
      <c r="F582" s="0" t="n">
        <f aca="true">CRITBINOM(E582,Coefficients!$B$31,RAND())</f>
        <v>0</v>
      </c>
      <c r="G582" s="0" t="n">
        <f aca="true">CRITBINOM(MAX(0,D582-E582),1-Coefficients!$B$32,RAND())</f>
        <v>0</v>
      </c>
      <c r="H582" s="0" t="n">
        <f aca="true">CRITBINOM(MAX(0,$C582-D582),MIN(0.6,Matchup!$B$40*SQRT($B582)/(1-MIN(0.75,Matchup!$B$39*$B582))),RAND())</f>
        <v>3</v>
      </c>
      <c r="I582" s="0" t="n">
        <f aca="false">6*D582+(D582-E582-G582)+2*F582+3*H582</f>
        <v>23</v>
      </c>
      <c r="J582" s="0" t="n">
        <f aca="true">CRITBINOM($C582,MIN(0.75,Matchup!$C$39*$B582),RAND())</f>
        <v>4</v>
      </c>
      <c r="K582" s="0" t="n">
        <f aca="true">CRITBINOM(J582,Coefficients!$B$30,RAND())</f>
        <v>0</v>
      </c>
      <c r="L582" s="0" t="n">
        <f aca="true">CRITBINOM(K582,Coefficients!$B$31,RAND())</f>
        <v>0</v>
      </c>
      <c r="M582" s="0" t="n">
        <f aca="true">CRITBINOM(MAX(0,J582-K582),1-Coefficients!$B$32,RAND())</f>
        <v>0</v>
      </c>
      <c r="N582" s="0" t="n">
        <f aca="true">CRITBINOM(MAX(0,$C582-J582),MIN(0.6,Matchup!$C$40*SQRT($B582)/(1-MIN(0.75,Matchup!$C$39*$B582))),RAND())</f>
        <v>0</v>
      </c>
      <c r="O582" s="0" t="n">
        <f aca="false">6*J582+(J582-K582-M582)+2*L582+3*N582</f>
        <v>28</v>
      </c>
      <c r="P582" s="0" t="n">
        <f aca="true">RAND()</f>
        <v>0.922844795721159</v>
      </c>
      <c r="Q582" s="0" t="n">
        <f aca="true">RAND()</f>
        <v>0.0269661662983272</v>
      </c>
      <c r="R582" s="0" t="n">
        <f aca="false">IF($I582&lt;&gt;$O582,0,IF(P582&lt;Matchup!$B$39,7,IF(P582&lt;Matchup!$B$39+Matchup!$B$40,3,0)))</f>
        <v>0</v>
      </c>
      <c r="S582" s="0" t="n">
        <f aca="false">IF($I582&lt;&gt;$O582,0,IF(Q582&lt;Matchup!$C$39,7,IF(Q582&lt;Matchup!$C$39+Matchup!$C$40,3,0)))</f>
        <v>0</v>
      </c>
      <c r="T582" s="0" t="n">
        <f aca="false">I582+R582</f>
        <v>23</v>
      </c>
      <c r="U582" s="0" t="n">
        <f aca="false">O582+S582</f>
        <v>28</v>
      </c>
      <c r="V582" s="0" t="n">
        <f aca="false">T582-U582</f>
        <v>-5</v>
      </c>
      <c r="W582" s="0" t="n">
        <f aca="false">T582+U582</f>
        <v>51</v>
      </c>
    </row>
    <row r="583" customFormat="false" ht="15" hidden="false" customHeight="false" outlineLevel="0" collapsed="false">
      <c r="A583" s="0" t="n">
        <v>580</v>
      </c>
      <c r="B583" s="0" t="n">
        <f aca="true">NORMINV(RAND(),1,Coefficients!$B$22)</f>
        <v>1.02944038532644</v>
      </c>
      <c r="C583" s="0" t="n">
        <f aca="true">MEDIAN(8,16,ROUND(NORMINV(RAND(),Coefficients!$B$20,Coefficients!$B$21),0))</f>
        <v>10</v>
      </c>
      <c r="D583" s="0" t="n">
        <f aca="true">CRITBINOM($C583,MIN(0.75,Matchup!$B$39*$B583),RAND())</f>
        <v>3</v>
      </c>
      <c r="E583" s="0" t="n">
        <f aca="true">CRITBINOM(D583,Coefficients!$B$30,RAND())</f>
        <v>0</v>
      </c>
      <c r="F583" s="0" t="n">
        <f aca="true">CRITBINOM(E583,Coefficients!$B$31,RAND())</f>
        <v>0</v>
      </c>
      <c r="G583" s="0" t="n">
        <f aca="true">CRITBINOM(MAX(0,D583-E583),1-Coefficients!$B$32,RAND())</f>
        <v>0</v>
      </c>
      <c r="H583" s="0" t="n">
        <f aca="true">CRITBINOM(MAX(0,$C583-D583),MIN(0.6,Matchup!$B$40*SQRT($B583)/(1-MIN(0.75,Matchup!$B$39*$B583))),RAND())</f>
        <v>3</v>
      </c>
      <c r="I583" s="0" t="n">
        <f aca="false">6*D583+(D583-E583-G583)+2*F583+3*H583</f>
        <v>30</v>
      </c>
      <c r="J583" s="0" t="n">
        <f aca="true">CRITBINOM($C583,MIN(0.75,Matchup!$C$39*$B583),RAND())</f>
        <v>2</v>
      </c>
      <c r="K583" s="0" t="n">
        <f aca="true">CRITBINOM(J583,Coefficients!$B$30,RAND())</f>
        <v>0</v>
      </c>
      <c r="L583" s="0" t="n">
        <f aca="true">CRITBINOM(K583,Coefficients!$B$31,RAND())</f>
        <v>0</v>
      </c>
      <c r="M583" s="0" t="n">
        <f aca="true">CRITBINOM(MAX(0,J583-K583),1-Coefficients!$B$32,RAND())</f>
        <v>0</v>
      </c>
      <c r="N583" s="0" t="n">
        <f aca="true">CRITBINOM(MAX(0,$C583-J583),MIN(0.6,Matchup!$C$40*SQRT($B583)/(1-MIN(0.75,Matchup!$C$39*$B583))),RAND())</f>
        <v>2</v>
      </c>
      <c r="O583" s="0" t="n">
        <f aca="false">6*J583+(J583-K583-M583)+2*L583+3*N583</f>
        <v>20</v>
      </c>
      <c r="P583" s="0" t="n">
        <f aca="true">RAND()</f>
        <v>0.933901941501503</v>
      </c>
      <c r="Q583" s="0" t="n">
        <f aca="true">RAND()</f>
        <v>0.299660801192872</v>
      </c>
      <c r="R583" s="0" t="n">
        <f aca="false">IF($I583&lt;&gt;$O583,0,IF(P583&lt;Matchup!$B$39,7,IF(P583&lt;Matchup!$B$39+Matchup!$B$40,3,0)))</f>
        <v>0</v>
      </c>
      <c r="S583" s="0" t="n">
        <f aca="false">IF($I583&lt;&gt;$O583,0,IF(Q583&lt;Matchup!$C$39,7,IF(Q583&lt;Matchup!$C$39+Matchup!$C$40,3,0)))</f>
        <v>0</v>
      </c>
      <c r="T583" s="0" t="n">
        <f aca="false">I583+R583</f>
        <v>30</v>
      </c>
      <c r="U583" s="0" t="n">
        <f aca="false">O583+S583</f>
        <v>20</v>
      </c>
      <c r="V583" s="0" t="n">
        <f aca="false">T583-U583</f>
        <v>10</v>
      </c>
      <c r="W583" s="0" t="n">
        <f aca="false">T583+U583</f>
        <v>50</v>
      </c>
    </row>
    <row r="584" customFormat="false" ht="15" hidden="false" customHeight="false" outlineLevel="0" collapsed="false">
      <c r="A584" s="0" t="n">
        <v>581</v>
      </c>
      <c r="B584" s="0" t="n">
        <f aca="true">NORMINV(RAND(),1,Coefficients!$B$22)</f>
        <v>1.03248779540503</v>
      </c>
      <c r="C584" s="0" t="n">
        <f aca="true">MEDIAN(8,16,ROUND(NORMINV(RAND(),Coefficients!$B$20,Coefficients!$B$21),0))</f>
        <v>11</v>
      </c>
      <c r="D584" s="0" t="n">
        <f aca="true">CRITBINOM($C584,MIN(0.75,Matchup!$B$39*$B584),RAND())</f>
        <v>2</v>
      </c>
      <c r="E584" s="0" t="n">
        <f aca="true">CRITBINOM(D584,Coefficients!$B$30,RAND())</f>
        <v>0</v>
      </c>
      <c r="F584" s="0" t="n">
        <f aca="true">CRITBINOM(E584,Coefficients!$B$31,RAND())</f>
        <v>0</v>
      </c>
      <c r="G584" s="0" t="n">
        <f aca="true">CRITBINOM(MAX(0,D584-E584),1-Coefficients!$B$32,RAND())</f>
        <v>0</v>
      </c>
      <c r="H584" s="0" t="n">
        <f aca="true">CRITBINOM(MAX(0,$C584-D584),MIN(0.6,Matchup!$B$40*SQRT($B584)/(1-MIN(0.75,Matchup!$B$39*$B584))),RAND())</f>
        <v>2</v>
      </c>
      <c r="I584" s="0" t="n">
        <f aca="false">6*D584+(D584-E584-G584)+2*F584+3*H584</f>
        <v>20</v>
      </c>
      <c r="J584" s="0" t="n">
        <f aca="true">CRITBINOM($C584,MIN(0.75,Matchup!$C$39*$B584),RAND())</f>
        <v>0</v>
      </c>
      <c r="K584" s="0" t="n">
        <f aca="true">CRITBINOM(J584,Coefficients!$B$30,RAND())</f>
        <v>0</v>
      </c>
      <c r="L584" s="0" t="n">
        <f aca="true">CRITBINOM(K584,Coefficients!$B$31,RAND())</f>
        <v>0</v>
      </c>
      <c r="M584" s="0" t="n">
        <f aca="true">CRITBINOM(MAX(0,J584-K584),1-Coefficients!$B$32,RAND())</f>
        <v>0</v>
      </c>
      <c r="N584" s="0" t="n">
        <f aca="true">CRITBINOM(MAX(0,$C584-J584),MIN(0.6,Matchup!$C$40*SQRT($B584)/(1-MIN(0.75,Matchup!$C$39*$B584))),RAND())</f>
        <v>3</v>
      </c>
      <c r="O584" s="0" t="n">
        <f aca="false">6*J584+(J584-K584-M584)+2*L584+3*N584</f>
        <v>9</v>
      </c>
      <c r="P584" s="0" t="n">
        <f aca="true">RAND()</f>
        <v>0.366258809031227</v>
      </c>
      <c r="Q584" s="0" t="n">
        <f aca="true">RAND()</f>
        <v>0.235477652476113</v>
      </c>
      <c r="R584" s="0" t="n">
        <f aca="false">IF($I584&lt;&gt;$O584,0,IF(P584&lt;Matchup!$B$39,7,IF(P584&lt;Matchup!$B$39+Matchup!$B$40,3,0)))</f>
        <v>0</v>
      </c>
      <c r="S584" s="0" t="n">
        <f aca="false">IF($I584&lt;&gt;$O584,0,IF(Q584&lt;Matchup!$C$39,7,IF(Q584&lt;Matchup!$C$39+Matchup!$C$40,3,0)))</f>
        <v>0</v>
      </c>
      <c r="T584" s="0" t="n">
        <f aca="false">I584+R584</f>
        <v>20</v>
      </c>
      <c r="U584" s="0" t="n">
        <f aca="false">O584+S584</f>
        <v>9</v>
      </c>
      <c r="V584" s="0" t="n">
        <f aca="false">T584-U584</f>
        <v>11</v>
      </c>
      <c r="W584" s="0" t="n">
        <f aca="false">T584+U584</f>
        <v>29</v>
      </c>
    </row>
    <row r="585" customFormat="false" ht="15" hidden="false" customHeight="false" outlineLevel="0" collapsed="false">
      <c r="A585" s="0" t="n">
        <v>582</v>
      </c>
      <c r="B585" s="0" t="n">
        <f aca="true">NORMINV(RAND(),1,Coefficients!$B$22)</f>
        <v>1.01963933267901</v>
      </c>
      <c r="C585" s="0" t="n">
        <f aca="true">MEDIAN(8,16,ROUND(NORMINV(RAND(),Coefficients!$B$20,Coefficients!$B$21),0))</f>
        <v>12</v>
      </c>
      <c r="D585" s="0" t="n">
        <f aca="true">CRITBINOM($C585,MIN(0.75,Matchup!$B$39*$B585),RAND())</f>
        <v>3</v>
      </c>
      <c r="E585" s="0" t="n">
        <f aca="true">CRITBINOM(D585,Coefficients!$B$30,RAND())</f>
        <v>0</v>
      </c>
      <c r="F585" s="0" t="n">
        <f aca="true">CRITBINOM(E585,Coefficients!$B$31,RAND())</f>
        <v>0</v>
      </c>
      <c r="G585" s="0" t="n">
        <f aca="true">CRITBINOM(MAX(0,D585-E585),1-Coefficients!$B$32,RAND())</f>
        <v>0</v>
      </c>
      <c r="H585" s="0" t="n">
        <f aca="true">CRITBINOM(MAX(0,$C585-D585),MIN(0.6,Matchup!$B$40*SQRT($B585)/(1-MIN(0.75,Matchup!$B$39*$B585))),RAND())</f>
        <v>3</v>
      </c>
      <c r="I585" s="0" t="n">
        <f aca="false">6*D585+(D585-E585-G585)+2*F585+3*H585</f>
        <v>30</v>
      </c>
      <c r="J585" s="0" t="n">
        <f aca="true">CRITBINOM($C585,MIN(0.75,Matchup!$C$39*$B585),RAND())</f>
        <v>5</v>
      </c>
      <c r="K585" s="0" t="n">
        <f aca="true">CRITBINOM(J585,Coefficients!$B$30,RAND())</f>
        <v>0</v>
      </c>
      <c r="L585" s="0" t="n">
        <f aca="true">CRITBINOM(K585,Coefficients!$B$31,RAND())</f>
        <v>0</v>
      </c>
      <c r="M585" s="0" t="n">
        <f aca="true">CRITBINOM(MAX(0,J585-K585),1-Coefficients!$B$32,RAND())</f>
        <v>0</v>
      </c>
      <c r="N585" s="0" t="n">
        <f aca="true">CRITBINOM(MAX(0,$C585-J585),MIN(0.6,Matchup!$C$40*SQRT($B585)/(1-MIN(0.75,Matchup!$C$39*$B585))),RAND())</f>
        <v>2</v>
      </c>
      <c r="O585" s="0" t="n">
        <f aca="false">6*J585+(J585-K585-M585)+2*L585+3*N585</f>
        <v>41</v>
      </c>
      <c r="P585" s="0" t="n">
        <f aca="true">RAND()</f>
        <v>0.683432301561875</v>
      </c>
      <c r="Q585" s="0" t="n">
        <f aca="true">RAND()</f>
        <v>0.905288013773503</v>
      </c>
      <c r="R585" s="0" t="n">
        <f aca="false">IF($I585&lt;&gt;$O585,0,IF(P585&lt;Matchup!$B$39,7,IF(P585&lt;Matchup!$B$39+Matchup!$B$40,3,0)))</f>
        <v>0</v>
      </c>
      <c r="S585" s="0" t="n">
        <f aca="false">IF($I585&lt;&gt;$O585,0,IF(Q585&lt;Matchup!$C$39,7,IF(Q585&lt;Matchup!$C$39+Matchup!$C$40,3,0)))</f>
        <v>0</v>
      </c>
      <c r="T585" s="0" t="n">
        <f aca="false">I585+R585</f>
        <v>30</v>
      </c>
      <c r="U585" s="0" t="n">
        <f aca="false">O585+S585</f>
        <v>41</v>
      </c>
      <c r="V585" s="0" t="n">
        <f aca="false">T585-U585</f>
        <v>-11</v>
      </c>
      <c r="W585" s="0" t="n">
        <f aca="false">T585+U585</f>
        <v>71</v>
      </c>
    </row>
    <row r="586" customFormat="false" ht="15" hidden="false" customHeight="false" outlineLevel="0" collapsed="false">
      <c r="A586" s="0" t="n">
        <v>583</v>
      </c>
      <c r="B586" s="0" t="n">
        <f aca="true">NORMINV(RAND(),1,Coefficients!$B$22)</f>
        <v>1.00593571084627</v>
      </c>
      <c r="C586" s="0" t="n">
        <f aca="true">MEDIAN(8,16,ROUND(NORMINV(RAND(),Coefficients!$B$20,Coefficients!$B$21),0))</f>
        <v>12</v>
      </c>
      <c r="D586" s="0" t="n">
        <f aca="true">CRITBINOM($C586,MIN(0.75,Matchup!$B$39*$B586),RAND())</f>
        <v>3</v>
      </c>
      <c r="E586" s="0" t="n">
        <f aca="true">CRITBINOM(D586,Coefficients!$B$30,RAND())</f>
        <v>0</v>
      </c>
      <c r="F586" s="0" t="n">
        <f aca="true">CRITBINOM(E586,Coefficients!$B$31,RAND())</f>
        <v>0</v>
      </c>
      <c r="G586" s="0" t="n">
        <f aca="true">CRITBINOM(MAX(0,D586-E586),1-Coefficients!$B$32,RAND())</f>
        <v>0</v>
      </c>
      <c r="H586" s="0" t="n">
        <f aca="true">CRITBINOM(MAX(0,$C586-D586),MIN(0.6,Matchup!$B$40*SQRT($B586)/(1-MIN(0.75,Matchup!$B$39*$B586))),RAND())</f>
        <v>2</v>
      </c>
      <c r="I586" s="0" t="n">
        <f aca="false">6*D586+(D586-E586-G586)+2*F586+3*H586</f>
        <v>27</v>
      </c>
      <c r="J586" s="0" t="n">
        <f aca="true">CRITBINOM($C586,MIN(0.75,Matchup!$C$39*$B586),RAND())</f>
        <v>5</v>
      </c>
      <c r="K586" s="0" t="n">
        <f aca="true">CRITBINOM(J586,Coefficients!$B$30,RAND())</f>
        <v>1</v>
      </c>
      <c r="L586" s="0" t="n">
        <f aca="true">CRITBINOM(K586,Coefficients!$B$31,RAND())</f>
        <v>0</v>
      </c>
      <c r="M586" s="0" t="n">
        <f aca="true">CRITBINOM(MAX(0,J586-K586),1-Coefficients!$B$32,RAND())</f>
        <v>0</v>
      </c>
      <c r="N586" s="0" t="n">
        <f aca="true">CRITBINOM(MAX(0,$C586-J586),MIN(0.6,Matchup!$C$40*SQRT($B586)/(1-MIN(0.75,Matchup!$C$39*$B586))),RAND())</f>
        <v>2</v>
      </c>
      <c r="O586" s="0" t="n">
        <f aca="false">6*J586+(J586-K586-M586)+2*L586+3*N586</f>
        <v>40</v>
      </c>
      <c r="P586" s="0" t="n">
        <f aca="true">RAND()</f>
        <v>0.00206056836623518</v>
      </c>
      <c r="Q586" s="0" t="n">
        <f aca="true">RAND()</f>
        <v>0.249201744925362</v>
      </c>
      <c r="R586" s="0" t="n">
        <f aca="false">IF($I586&lt;&gt;$O586,0,IF(P586&lt;Matchup!$B$39,7,IF(P586&lt;Matchup!$B$39+Matchup!$B$40,3,0)))</f>
        <v>0</v>
      </c>
      <c r="S586" s="0" t="n">
        <f aca="false">IF($I586&lt;&gt;$O586,0,IF(Q586&lt;Matchup!$C$39,7,IF(Q586&lt;Matchup!$C$39+Matchup!$C$40,3,0)))</f>
        <v>0</v>
      </c>
      <c r="T586" s="0" t="n">
        <f aca="false">I586+R586</f>
        <v>27</v>
      </c>
      <c r="U586" s="0" t="n">
        <f aca="false">O586+S586</f>
        <v>40</v>
      </c>
      <c r="V586" s="0" t="n">
        <f aca="false">T586-U586</f>
        <v>-13</v>
      </c>
      <c r="W586" s="0" t="n">
        <f aca="false">T586+U586</f>
        <v>67</v>
      </c>
    </row>
    <row r="587" customFormat="false" ht="15" hidden="false" customHeight="false" outlineLevel="0" collapsed="false">
      <c r="A587" s="0" t="n">
        <v>584</v>
      </c>
      <c r="B587" s="0" t="n">
        <f aca="true">NORMINV(RAND(),1,Coefficients!$B$22)</f>
        <v>0.876517401162954</v>
      </c>
      <c r="C587" s="0" t="n">
        <f aca="true">MEDIAN(8,16,ROUND(NORMINV(RAND(),Coefficients!$B$20,Coefficients!$B$21),0))</f>
        <v>9</v>
      </c>
      <c r="D587" s="0" t="n">
        <f aca="true">CRITBINOM($C587,MIN(0.75,Matchup!$B$39*$B587),RAND())</f>
        <v>2</v>
      </c>
      <c r="E587" s="0" t="n">
        <f aca="true">CRITBINOM(D587,Coefficients!$B$30,RAND())</f>
        <v>0</v>
      </c>
      <c r="F587" s="0" t="n">
        <f aca="true">CRITBINOM(E587,Coefficients!$B$31,RAND())</f>
        <v>0</v>
      </c>
      <c r="G587" s="0" t="n">
        <f aca="true">CRITBINOM(MAX(0,D587-E587),1-Coefficients!$B$32,RAND())</f>
        <v>0</v>
      </c>
      <c r="H587" s="0" t="n">
        <f aca="true">CRITBINOM(MAX(0,$C587-D587),MIN(0.6,Matchup!$B$40*SQRT($B587)/(1-MIN(0.75,Matchup!$B$39*$B587))),RAND())</f>
        <v>2</v>
      </c>
      <c r="I587" s="0" t="n">
        <f aca="false">6*D587+(D587-E587-G587)+2*F587+3*H587</f>
        <v>20</v>
      </c>
      <c r="J587" s="0" t="n">
        <f aca="true">CRITBINOM($C587,MIN(0.75,Matchup!$C$39*$B587),RAND())</f>
        <v>0</v>
      </c>
      <c r="K587" s="0" t="n">
        <f aca="true">CRITBINOM(J587,Coefficients!$B$30,RAND())</f>
        <v>0</v>
      </c>
      <c r="L587" s="0" t="n">
        <f aca="true">CRITBINOM(K587,Coefficients!$B$31,RAND())</f>
        <v>0</v>
      </c>
      <c r="M587" s="0" t="n">
        <f aca="true">CRITBINOM(MAX(0,J587-K587),1-Coefficients!$B$32,RAND())</f>
        <v>0</v>
      </c>
      <c r="N587" s="0" t="n">
        <f aca="true">CRITBINOM(MAX(0,$C587-J587),MIN(0.6,Matchup!$C$40*SQRT($B587)/(1-MIN(0.75,Matchup!$C$39*$B587))),RAND())</f>
        <v>3</v>
      </c>
      <c r="O587" s="0" t="n">
        <f aca="false">6*J587+(J587-K587-M587)+2*L587+3*N587</f>
        <v>9</v>
      </c>
      <c r="P587" s="0" t="n">
        <f aca="true">RAND()</f>
        <v>0.356671676677524</v>
      </c>
      <c r="Q587" s="0" t="n">
        <f aca="true">RAND()</f>
        <v>0.677651158566789</v>
      </c>
      <c r="R587" s="0" t="n">
        <f aca="false">IF($I587&lt;&gt;$O587,0,IF(P587&lt;Matchup!$B$39,7,IF(P587&lt;Matchup!$B$39+Matchup!$B$40,3,0)))</f>
        <v>0</v>
      </c>
      <c r="S587" s="0" t="n">
        <f aca="false">IF($I587&lt;&gt;$O587,0,IF(Q587&lt;Matchup!$C$39,7,IF(Q587&lt;Matchup!$C$39+Matchup!$C$40,3,0)))</f>
        <v>0</v>
      </c>
      <c r="T587" s="0" t="n">
        <f aca="false">I587+R587</f>
        <v>20</v>
      </c>
      <c r="U587" s="0" t="n">
        <f aca="false">O587+S587</f>
        <v>9</v>
      </c>
      <c r="V587" s="0" t="n">
        <f aca="false">T587-U587</f>
        <v>11</v>
      </c>
      <c r="W587" s="0" t="n">
        <f aca="false">T587+U587</f>
        <v>29</v>
      </c>
    </row>
    <row r="588" customFormat="false" ht="15" hidden="false" customHeight="false" outlineLevel="0" collapsed="false">
      <c r="A588" s="0" t="n">
        <v>585</v>
      </c>
      <c r="B588" s="0" t="n">
        <f aca="true">NORMINV(RAND(),1,Coefficients!$B$22)</f>
        <v>0.823782174558433</v>
      </c>
      <c r="C588" s="0" t="n">
        <f aca="true">MEDIAN(8,16,ROUND(NORMINV(RAND(),Coefficients!$B$20,Coefficients!$B$21),0))</f>
        <v>13</v>
      </c>
      <c r="D588" s="0" t="n">
        <f aca="true">CRITBINOM($C588,MIN(0.75,Matchup!$B$39*$B588),RAND())</f>
        <v>3</v>
      </c>
      <c r="E588" s="0" t="n">
        <f aca="true">CRITBINOM(D588,Coefficients!$B$30,RAND())</f>
        <v>1</v>
      </c>
      <c r="F588" s="0" t="n">
        <f aca="true">CRITBINOM(E588,Coefficients!$B$31,RAND())</f>
        <v>1</v>
      </c>
      <c r="G588" s="0" t="n">
        <f aca="true">CRITBINOM(MAX(0,D588-E588),1-Coefficients!$B$32,RAND())</f>
        <v>0</v>
      </c>
      <c r="H588" s="0" t="n">
        <f aca="true">CRITBINOM(MAX(0,$C588-D588),MIN(0.6,Matchup!$B$40*SQRT($B588)/(1-MIN(0.75,Matchup!$B$39*$B588))),RAND())</f>
        <v>5</v>
      </c>
      <c r="I588" s="0" t="n">
        <f aca="false">6*D588+(D588-E588-G588)+2*F588+3*H588</f>
        <v>37</v>
      </c>
      <c r="J588" s="0" t="n">
        <f aca="true">CRITBINOM($C588,MIN(0.75,Matchup!$C$39*$B588),RAND())</f>
        <v>2</v>
      </c>
      <c r="K588" s="0" t="n">
        <f aca="true">CRITBINOM(J588,Coefficients!$B$30,RAND())</f>
        <v>0</v>
      </c>
      <c r="L588" s="0" t="n">
        <f aca="true">CRITBINOM(K588,Coefficients!$B$31,RAND())</f>
        <v>0</v>
      </c>
      <c r="M588" s="0" t="n">
        <f aca="true">CRITBINOM(MAX(0,J588-K588),1-Coefficients!$B$32,RAND())</f>
        <v>0</v>
      </c>
      <c r="N588" s="0" t="n">
        <f aca="true">CRITBINOM(MAX(0,$C588-J588),MIN(0.6,Matchup!$C$40*SQRT($B588)/(1-MIN(0.75,Matchup!$C$39*$B588))),RAND())</f>
        <v>2</v>
      </c>
      <c r="O588" s="0" t="n">
        <f aca="false">6*J588+(J588-K588-M588)+2*L588+3*N588</f>
        <v>20</v>
      </c>
      <c r="P588" s="0" t="n">
        <f aca="true">RAND()</f>
        <v>0.897268712094526</v>
      </c>
      <c r="Q588" s="0" t="n">
        <f aca="true">RAND()</f>
        <v>0.0548794798087693</v>
      </c>
      <c r="R588" s="0" t="n">
        <f aca="false">IF($I588&lt;&gt;$O588,0,IF(P588&lt;Matchup!$B$39,7,IF(P588&lt;Matchup!$B$39+Matchup!$B$40,3,0)))</f>
        <v>0</v>
      </c>
      <c r="S588" s="0" t="n">
        <f aca="false">IF($I588&lt;&gt;$O588,0,IF(Q588&lt;Matchup!$C$39,7,IF(Q588&lt;Matchup!$C$39+Matchup!$C$40,3,0)))</f>
        <v>0</v>
      </c>
      <c r="T588" s="0" t="n">
        <f aca="false">I588+R588</f>
        <v>37</v>
      </c>
      <c r="U588" s="0" t="n">
        <f aca="false">O588+S588</f>
        <v>20</v>
      </c>
      <c r="V588" s="0" t="n">
        <f aca="false">T588-U588</f>
        <v>17</v>
      </c>
      <c r="W588" s="0" t="n">
        <f aca="false">T588+U588</f>
        <v>57</v>
      </c>
    </row>
    <row r="589" customFormat="false" ht="15" hidden="false" customHeight="false" outlineLevel="0" collapsed="false">
      <c r="A589" s="0" t="n">
        <v>586</v>
      </c>
      <c r="B589" s="0" t="n">
        <f aca="true">NORMINV(RAND(),1,Coefficients!$B$22)</f>
        <v>1.06064816161816</v>
      </c>
      <c r="C589" s="0" t="n">
        <f aca="true">MEDIAN(8,16,ROUND(NORMINV(RAND(),Coefficients!$B$20,Coefficients!$B$21),0))</f>
        <v>11</v>
      </c>
      <c r="D589" s="0" t="n">
        <f aca="true">CRITBINOM($C589,MIN(0.75,Matchup!$B$39*$B589),RAND())</f>
        <v>3</v>
      </c>
      <c r="E589" s="0" t="n">
        <f aca="true">CRITBINOM(D589,Coefficients!$B$30,RAND())</f>
        <v>0</v>
      </c>
      <c r="F589" s="0" t="n">
        <f aca="true">CRITBINOM(E589,Coefficients!$B$31,RAND())</f>
        <v>0</v>
      </c>
      <c r="G589" s="0" t="n">
        <f aca="true">CRITBINOM(MAX(0,D589-E589),1-Coefficients!$B$32,RAND())</f>
        <v>0</v>
      </c>
      <c r="H589" s="0" t="n">
        <f aca="true">CRITBINOM(MAX(0,$C589-D589),MIN(0.6,Matchup!$B$40*SQRT($B589)/(1-MIN(0.75,Matchup!$B$39*$B589))),RAND())</f>
        <v>2</v>
      </c>
      <c r="I589" s="0" t="n">
        <f aca="false">6*D589+(D589-E589-G589)+2*F589+3*H589</f>
        <v>27</v>
      </c>
      <c r="J589" s="0" t="n">
        <f aca="true">CRITBINOM($C589,MIN(0.75,Matchup!$C$39*$B589),RAND())</f>
        <v>3</v>
      </c>
      <c r="K589" s="0" t="n">
        <f aca="true">CRITBINOM(J589,Coefficients!$B$30,RAND())</f>
        <v>0</v>
      </c>
      <c r="L589" s="0" t="n">
        <f aca="true">CRITBINOM(K589,Coefficients!$B$31,RAND())</f>
        <v>0</v>
      </c>
      <c r="M589" s="0" t="n">
        <f aca="true">CRITBINOM(MAX(0,J589-K589),1-Coefficients!$B$32,RAND())</f>
        <v>0</v>
      </c>
      <c r="N589" s="0" t="n">
        <f aca="true">CRITBINOM(MAX(0,$C589-J589),MIN(0.6,Matchup!$C$40*SQRT($B589)/(1-MIN(0.75,Matchup!$C$39*$B589))),RAND())</f>
        <v>4</v>
      </c>
      <c r="O589" s="0" t="n">
        <f aca="false">6*J589+(J589-K589-M589)+2*L589+3*N589</f>
        <v>33</v>
      </c>
      <c r="P589" s="0" t="n">
        <f aca="true">RAND()</f>
        <v>0.299609463578571</v>
      </c>
      <c r="Q589" s="0" t="n">
        <f aca="true">RAND()</f>
        <v>0.796617313589262</v>
      </c>
      <c r="R589" s="0" t="n">
        <f aca="false">IF($I589&lt;&gt;$O589,0,IF(P589&lt;Matchup!$B$39,7,IF(P589&lt;Matchup!$B$39+Matchup!$B$40,3,0)))</f>
        <v>0</v>
      </c>
      <c r="S589" s="0" t="n">
        <f aca="false">IF($I589&lt;&gt;$O589,0,IF(Q589&lt;Matchup!$C$39,7,IF(Q589&lt;Matchup!$C$39+Matchup!$C$40,3,0)))</f>
        <v>0</v>
      </c>
      <c r="T589" s="0" t="n">
        <f aca="false">I589+R589</f>
        <v>27</v>
      </c>
      <c r="U589" s="0" t="n">
        <f aca="false">O589+S589</f>
        <v>33</v>
      </c>
      <c r="V589" s="0" t="n">
        <f aca="false">T589-U589</f>
        <v>-6</v>
      </c>
      <c r="W589" s="0" t="n">
        <f aca="false">T589+U589</f>
        <v>60</v>
      </c>
    </row>
    <row r="590" customFormat="false" ht="15" hidden="false" customHeight="false" outlineLevel="0" collapsed="false">
      <c r="A590" s="0" t="n">
        <v>587</v>
      </c>
      <c r="B590" s="0" t="n">
        <f aca="true">NORMINV(RAND(),1,Coefficients!$B$22)</f>
        <v>0.967161480911001</v>
      </c>
      <c r="C590" s="0" t="n">
        <f aca="true">MEDIAN(8,16,ROUND(NORMINV(RAND(),Coefficients!$B$20,Coefficients!$B$21),0))</f>
        <v>10</v>
      </c>
      <c r="D590" s="0" t="n">
        <f aca="true">CRITBINOM($C590,MIN(0.75,Matchup!$B$39*$B590),RAND())</f>
        <v>2</v>
      </c>
      <c r="E590" s="0" t="n">
        <f aca="true">CRITBINOM(D590,Coefficients!$B$30,RAND())</f>
        <v>0</v>
      </c>
      <c r="F590" s="0" t="n">
        <f aca="true">CRITBINOM(E590,Coefficients!$B$31,RAND())</f>
        <v>0</v>
      </c>
      <c r="G590" s="0" t="n">
        <f aca="true">CRITBINOM(MAX(0,D590-E590),1-Coefficients!$B$32,RAND())</f>
        <v>0</v>
      </c>
      <c r="H590" s="0" t="n">
        <f aca="true">CRITBINOM(MAX(0,$C590-D590),MIN(0.6,Matchup!$B$40*SQRT($B590)/(1-MIN(0.75,Matchup!$B$39*$B590))),RAND())</f>
        <v>3</v>
      </c>
      <c r="I590" s="0" t="n">
        <f aca="false">6*D590+(D590-E590-G590)+2*F590+3*H590</f>
        <v>23</v>
      </c>
      <c r="J590" s="0" t="n">
        <f aca="true">CRITBINOM($C590,MIN(0.75,Matchup!$C$39*$B590),RAND())</f>
        <v>3</v>
      </c>
      <c r="K590" s="0" t="n">
        <f aca="true">CRITBINOM(J590,Coefficients!$B$30,RAND())</f>
        <v>0</v>
      </c>
      <c r="L590" s="0" t="n">
        <f aca="true">CRITBINOM(K590,Coefficients!$B$31,RAND())</f>
        <v>0</v>
      </c>
      <c r="M590" s="0" t="n">
        <f aca="true">CRITBINOM(MAX(0,J590-K590),1-Coefficients!$B$32,RAND())</f>
        <v>0</v>
      </c>
      <c r="N590" s="0" t="n">
        <f aca="true">CRITBINOM(MAX(0,$C590-J590),MIN(0.6,Matchup!$C$40*SQRT($B590)/(1-MIN(0.75,Matchup!$C$39*$B590))),RAND())</f>
        <v>2</v>
      </c>
      <c r="O590" s="0" t="n">
        <f aca="false">6*J590+(J590-K590-M590)+2*L590+3*N590</f>
        <v>27</v>
      </c>
      <c r="P590" s="0" t="n">
        <f aca="true">RAND()</f>
        <v>0.261077119080614</v>
      </c>
      <c r="Q590" s="0" t="n">
        <f aca="true">RAND()</f>
        <v>0.307079918757636</v>
      </c>
      <c r="R590" s="0" t="n">
        <f aca="false">IF($I590&lt;&gt;$O590,0,IF(P590&lt;Matchup!$B$39,7,IF(P590&lt;Matchup!$B$39+Matchup!$B$40,3,0)))</f>
        <v>0</v>
      </c>
      <c r="S590" s="0" t="n">
        <f aca="false">IF($I590&lt;&gt;$O590,0,IF(Q590&lt;Matchup!$C$39,7,IF(Q590&lt;Matchup!$C$39+Matchup!$C$40,3,0)))</f>
        <v>0</v>
      </c>
      <c r="T590" s="0" t="n">
        <f aca="false">I590+R590</f>
        <v>23</v>
      </c>
      <c r="U590" s="0" t="n">
        <f aca="false">O590+S590</f>
        <v>27</v>
      </c>
      <c r="V590" s="0" t="n">
        <f aca="false">T590-U590</f>
        <v>-4</v>
      </c>
      <c r="W590" s="0" t="n">
        <f aca="false">T590+U590</f>
        <v>50</v>
      </c>
    </row>
    <row r="591" customFormat="false" ht="15" hidden="false" customHeight="false" outlineLevel="0" collapsed="false">
      <c r="A591" s="0" t="n">
        <v>588</v>
      </c>
      <c r="B591" s="0" t="n">
        <f aca="true">NORMINV(RAND(),1,Coefficients!$B$22)</f>
        <v>1.0548729292399</v>
      </c>
      <c r="C591" s="0" t="n">
        <f aca="true">MEDIAN(8,16,ROUND(NORMINV(RAND(),Coefficients!$B$20,Coefficients!$B$21),0))</f>
        <v>12</v>
      </c>
      <c r="D591" s="0" t="n">
        <f aca="true">CRITBINOM($C591,MIN(0.75,Matchup!$B$39*$B591),RAND())</f>
        <v>3</v>
      </c>
      <c r="E591" s="0" t="n">
        <f aca="true">CRITBINOM(D591,Coefficients!$B$30,RAND())</f>
        <v>0</v>
      </c>
      <c r="F591" s="0" t="n">
        <f aca="true">CRITBINOM(E591,Coefficients!$B$31,RAND())</f>
        <v>0</v>
      </c>
      <c r="G591" s="0" t="n">
        <f aca="true">CRITBINOM(MAX(0,D591-E591),1-Coefficients!$B$32,RAND())</f>
        <v>1</v>
      </c>
      <c r="H591" s="0" t="n">
        <f aca="true">CRITBINOM(MAX(0,$C591-D591),MIN(0.6,Matchup!$B$40*SQRT($B591)/(1-MIN(0.75,Matchup!$B$39*$B591))),RAND())</f>
        <v>2</v>
      </c>
      <c r="I591" s="0" t="n">
        <f aca="false">6*D591+(D591-E591-G591)+2*F591+3*H591</f>
        <v>26</v>
      </c>
      <c r="J591" s="0" t="n">
        <f aca="true">CRITBINOM($C591,MIN(0.75,Matchup!$C$39*$B591),RAND())</f>
        <v>3</v>
      </c>
      <c r="K591" s="0" t="n">
        <f aca="true">CRITBINOM(J591,Coefficients!$B$30,RAND())</f>
        <v>0</v>
      </c>
      <c r="L591" s="0" t="n">
        <f aca="true">CRITBINOM(K591,Coefficients!$B$31,RAND())</f>
        <v>0</v>
      </c>
      <c r="M591" s="0" t="n">
        <f aca="true">CRITBINOM(MAX(0,J591-K591),1-Coefficients!$B$32,RAND())</f>
        <v>0</v>
      </c>
      <c r="N591" s="0" t="n">
        <f aca="true">CRITBINOM(MAX(0,$C591-J591),MIN(0.6,Matchup!$C$40*SQRT($B591)/(1-MIN(0.75,Matchup!$C$39*$B591))),RAND())</f>
        <v>1</v>
      </c>
      <c r="O591" s="0" t="n">
        <f aca="false">6*J591+(J591-K591-M591)+2*L591+3*N591</f>
        <v>24</v>
      </c>
      <c r="P591" s="0" t="n">
        <f aca="true">RAND()</f>
        <v>0.0782198125126008</v>
      </c>
      <c r="Q591" s="0" t="n">
        <f aca="true">RAND()</f>
        <v>0.187946277211293</v>
      </c>
      <c r="R591" s="0" t="n">
        <f aca="false">IF($I591&lt;&gt;$O591,0,IF(P591&lt;Matchup!$B$39,7,IF(P591&lt;Matchup!$B$39+Matchup!$B$40,3,0)))</f>
        <v>0</v>
      </c>
      <c r="S591" s="0" t="n">
        <f aca="false">IF($I591&lt;&gt;$O591,0,IF(Q591&lt;Matchup!$C$39,7,IF(Q591&lt;Matchup!$C$39+Matchup!$C$40,3,0)))</f>
        <v>0</v>
      </c>
      <c r="T591" s="0" t="n">
        <f aca="false">I591+R591</f>
        <v>26</v>
      </c>
      <c r="U591" s="0" t="n">
        <f aca="false">O591+S591</f>
        <v>24</v>
      </c>
      <c r="V591" s="0" t="n">
        <f aca="false">T591-U591</f>
        <v>2</v>
      </c>
      <c r="W591" s="0" t="n">
        <f aca="false">T591+U591</f>
        <v>50</v>
      </c>
    </row>
    <row r="592" customFormat="false" ht="15" hidden="false" customHeight="false" outlineLevel="0" collapsed="false">
      <c r="A592" s="0" t="n">
        <v>589</v>
      </c>
      <c r="B592" s="0" t="n">
        <f aca="true">NORMINV(RAND(),1,Coefficients!$B$22)</f>
        <v>0.979566304631687</v>
      </c>
      <c r="C592" s="0" t="n">
        <f aca="true">MEDIAN(8,16,ROUND(NORMINV(RAND(),Coefficients!$B$20,Coefficients!$B$21),0))</f>
        <v>13</v>
      </c>
      <c r="D592" s="0" t="n">
        <f aca="true">CRITBINOM($C592,MIN(0.75,Matchup!$B$39*$B592),RAND())</f>
        <v>1</v>
      </c>
      <c r="E592" s="0" t="n">
        <f aca="true">CRITBINOM(D592,Coefficients!$B$30,RAND())</f>
        <v>0</v>
      </c>
      <c r="F592" s="0" t="n">
        <f aca="true">CRITBINOM(E592,Coefficients!$B$31,RAND())</f>
        <v>0</v>
      </c>
      <c r="G592" s="0" t="n">
        <f aca="true">CRITBINOM(MAX(0,D592-E592),1-Coefficients!$B$32,RAND())</f>
        <v>0</v>
      </c>
      <c r="H592" s="0" t="n">
        <f aca="true">CRITBINOM(MAX(0,$C592-D592),MIN(0.6,Matchup!$B$40*SQRT($B592)/(1-MIN(0.75,Matchup!$B$39*$B592))),RAND())</f>
        <v>2</v>
      </c>
      <c r="I592" s="0" t="n">
        <f aca="false">6*D592+(D592-E592-G592)+2*F592+3*H592</f>
        <v>13</v>
      </c>
      <c r="J592" s="0" t="n">
        <f aca="true">CRITBINOM($C592,MIN(0.75,Matchup!$C$39*$B592),RAND())</f>
        <v>3</v>
      </c>
      <c r="K592" s="0" t="n">
        <f aca="true">CRITBINOM(J592,Coefficients!$B$30,RAND())</f>
        <v>1</v>
      </c>
      <c r="L592" s="0" t="n">
        <f aca="true">CRITBINOM(K592,Coefficients!$B$31,RAND())</f>
        <v>0</v>
      </c>
      <c r="M592" s="0" t="n">
        <f aca="true">CRITBINOM(MAX(0,J592-K592),1-Coefficients!$B$32,RAND())</f>
        <v>0</v>
      </c>
      <c r="N592" s="0" t="n">
        <f aca="true">CRITBINOM(MAX(0,$C592-J592),MIN(0.6,Matchup!$C$40*SQRT($B592)/(1-MIN(0.75,Matchup!$C$39*$B592))),RAND())</f>
        <v>0</v>
      </c>
      <c r="O592" s="0" t="n">
        <f aca="false">6*J592+(J592-K592-M592)+2*L592+3*N592</f>
        <v>20</v>
      </c>
      <c r="P592" s="0" t="n">
        <f aca="true">RAND()</f>
        <v>0.151938304560941</v>
      </c>
      <c r="Q592" s="0" t="n">
        <f aca="true">RAND()</f>
        <v>0.818922416814194</v>
      </c>
      <c r="R592" s="0" t="n">
        <f aca="false">IF($I592&lt;&gt;$O592,0,IF(P592&lt;Matchup!$B$39,7,IF(P592&lt;Matchup!$B$39+Matchup!$B$40,3,0)))</f>
        <v>0</v>
      </c>
      <c r="S592" s="0" t="n">
        <f aca="false">IF($I592&lt;&gt;$O592,0,IF(Q592&lt;Matchup!$C$39,7,IF(Q592&lt;Matchup!$C$39+Matchup!$C$40,3,0)))</f>
        <v>0</v>
      </c>
      <c r="T592" s="0" t="n">
        <f aca="false">I592+R592</f>
        <v>13</v>
      </c>
      <c r="U592" s="0" t="n">
        <f aca="false">O592+S592</f>
        <v>20</v>
      </c>
      <c r="V592" s="0" t="n">
        <f aca="false">T592-U592</f>
        <v>-7</v>
      </c>
      <c r="W592" s="0" t="n">
        <f aca="false">T592+U592</f>
        <v>33</v>
      </c>
    </row>
    <row r="593" customFormat="false" ht="15" hidden="false" customHeight="false" outlineLevel="0" collapsed="false">
      <c r="A593" s="0" t="n">
        <v>590</v>
      </c>
      <c r="B593" s="0" t="n">
        <f aca="true">NORMINV(RAND(),1,Coefficients!$B$22)</f>
        <v>0.911070697541294</v>
      </c>
      <c r="C593" s="0" t="n">
        <f aca="true">MEDIAN(8,16,ROUND(NORMINV(RAND(),Coefficients!$B$20,Coefficients!$B$21),0))</f>
        <v>11</v>
      </c>
      <c r="D593" s="0" t="n">
        <f aca="true">CRITBINOM($C593,MIN(0.75,Matchup!$B$39*$B593),RAND())</f>
        <v>5</v>
      </c>
      <c r="E593" s="0" t="n">
        <f aca="true">CRITBINOM(D593,Coefficients!$B$30,RAND())</f>
        <v>0</v>
      </c>
      <c r="F593" s="0" t="n">
        <f aca="true">CRITBINOM(E593,Coefficients!$B$31,RAND())</f>
        <v>0</v>
      </c>
      <c r="G593" s="0" t="n">
        <f aca="true">CRITBINOM(MAX(0,D593-E593),1-Coefficients!$B$32,RAND())</f>
        <v>0</v>
      </c>
      <c r="H593" s="0" t="n">
        <f aca="true">CRITBINOM(MAX(0,$C593-D593),MIN(0.6,Matchup!$B$40*SQRT($B593)/(1-MIN(0.75,Matchup!$B$39*$B593))),RAND())</f>
        <v>2</v>
      </c>
      <c r="I593" s="0" t="n">
        <f aca="false">6*D593+(D593-E593-G593)+2*F593+3*H593</f>
        <v>41</v>
      </c>
      <c r="J593" s="0" t="n">
        <f aca="true">CRITBINOM($C593,MIN(0.75,Matchup!$C$39*$B593),RAND())</f>
        <v>2</v>
      </c>
      <c r="K593" s="0" t="n">
        <f aca="true">CRITBINOM(J593,Coefficients!$B$30,RAND())</f>
        <v>0</v>
      </c>
      <c r="L593" s="0" t="n">
        <f aca="true">CRITBINOM(K593,Coefficients!$B$31,RAND())</f>
        <v>0</v>
      </c>
      <c r="M593" s="0" t="n">
        <f aca="true">CRITBINOM(MAX(0,J593-K593),1-Coefficients!$B$32,RAND())</f>
        <v>0</v>
      </c>
      <c r="N593" s="0" t="n">
        <f aca="true">CRITBINOM(MAX(0,$C593-J593),MIN(0.6,Matchup!$C$40*SQRT($B593)/(1-MIN(0.75,Matchup!$C$39*$B593))),RAND())</f>
        <v>2</v>
      </c>
      <c r="O593" s="0" t="n">
        <f aca="false">6*J593+(J593-K593-M593)+2*L593+3*N593</f>
        <v>20</v>
      </c>
      <c r="P593" s="0" t="n">
        <f aca="true">RAND()</f>
        <v>0.222816667772701</v>
      </c>
      <c r="Q593" s="0" t="n">
        <f aca="true">RAND()</f>
        <v>0.481146524508799</v>
      </c>
      <c r="R593" s="0" t="n">
        <f aca="false">IF($I593&lt;&gt;$O593,0,IF(P593&lt;Matchup!$B$39,7,IF(P593&lt;Matchup!$B$39+Matchup!$B$40,3,0)))</f>
        <v>0</v>
      </c>
      <c r="S593" s="0" t="n">
        <f aca="false">IF($I593&lt;&gt;$O593,0,IF(Q593&lt;Matchup!$C$39,7,IF(Q593&lt;Matchup!$C$39+Matchup!$C$40,3,0)))</f>
        <v>0</v>
      </c>
      <c r="T593" s="0" t="n">
        <f aca="false">I593+R593</f>
        <v>41</v>
      </c>
      <c r="U593" s="0" t="n">
        <f aca="false">O593+S593</f>
        <v>20</v>
      </c>
      <c r="V593" s="0" t="n">
        <f aca="false">T593-U593</f>
        <v>21</v>
      </c>
      <c r="W593" s="0" t="n">
        <f aca="false">T593+U593</f>
        <v>61</v>
      </c>
    </row>
    <row r="594" customFormat="false" ht="15" hidden="false" customHeight="false" outlineLevel="0" collapsed="false">
      <c r="A594" s="0" t="n">
        <v>591</v>
      </c>
      <c r="B594" s="0" t="n">
        <f aca="true">NORMINV(RAND(),1,Coefficients!$B$22)</f>
        <v>0.947048181300433</v>
      </c>
      <c r="C594" s="0" t="n">
        <f aca="true">MEDIAN(8,16,ROUND(NORMINV(RAND(),Coefficients!$B$20,Coefficients!$B$21),0))</f>
        <v>11</v>
      </c>
      <c r="D594" s="0" t="n">
        <f aca="true">CRITBINOM($C594,MIN(0.75,Matchup!$B$39*$B594),RAND())</f>
        <v>0</v>
      </c>
      <c r="E594" s="0" t="n">
        <f aca="true">CRITBINOM(D594,Coefficients!$B$30,RAND())</f>
        <v>0</v>
      </c>
      <c r="F594" s="0" t="n">
        <f aca="true">CRITBINOM(E594,Coefficients!$B$31,RAND())</f>
        <v>0</v>
      </c>
      <c r="G594" s="0" t="n">
        <f aca="true">CRITBINOM(MAX(0,D594-E594),1-Coefficients!$B$32,RAND())</f>
        <v>0</v>
      </c>
      <c r="H594" s="0" t="n">
        <f aca="true">CRITBINOM(MAX(0,$C594-D594),MIN(0.6,Matchup!$B$40*SQRT($B594)/(1-MIN(0.75,Matchup!$B$39*$B594))),RAND())</f>
        <v>0</v>
      </c>
      <c r="I594" s="0" t="n">
        <f aca="false">6*D594+(D594-E594-G594)+2*F594+3*H594</f>
        <v>0</v>
      </c>
      <c r="J594" s="0" t="n">
        <f aca="true">CRITBINOM($C594,MIN(0.75,Matchup!$C$39*$B594),RAND())</f>
        <v>2</v>
      </c>
      <c r="K594" s="0" t="n">
        <f aca="true">CRITBINOM(J594,Coefficients!$B$30,RAND())</f>
        <v>0</v>
      </c>
      <c r="L594" s="0" t="n">
        <f aca="true">CRITBINOM(K594,Coefficients!$B$31,RAND())</f>
        <v>0</v>
      </c>
      <c r="M594" s="0" t="n">
        <f aca="true">CRITBINOM(MAX(0,J594-K594),1-Coefficients!$B$32,RAND())</f>
        <v>0</v>
      </c>
      <c r="N594" s="0" t="n">
        <f aca="true">CRITBINOM(MAX(0,$C594-J594),MIN(0.6,Matchup!$C$40*SQRT($B594)/(1-MIN(0.75,Matchup!$C$39*$B594))),RAND())</f>
        <v>4</v>
      </c>
      <c r="O594" s="0" t="n">
        <f aca="false">6*J594+(J594-K594-M594)+2*L594+3*N594</f>
        <v>26</v>
      </c>
      <c r="P594" s="0" t="n">
        <f aca="true">RAND()</f>
        <v>0.154339610647984</v>
      </c>
      <c r="Q594" s="0" t="n">
        <f aca="true">RAND()</f>
        <v>0.644162952755099</v>
      </c>
      <c r="R594" s="0" t="n">
        <f aca="false">IF($I594&lt;&gt;$O594,0,IF(P594&lt;Matchup!$B$39,7,IF(P594&lt;Matchup!$B$39+Matchup!$B$40,3,0)))</f>
        <v>0</v>
      </c>
      <c r="S594" s="0" t="n">
        <f aca="false">IF($I594&lt;&gt;$O594,0,IF(Q594&lt;Matchup!$C$39,7,IF(Q594&lt;Matchup!$C$39+Matchup!$C$40,3,0)))</f>
        <v>0</v>
      </c>
      <c r="T594" s="0" t="n">
        <f aca="false">I594+R594</f>
        <v>0</v>
      </c>
      <c r="U594" s="0" t="n">
        <f aca="false">O594+S594</f>
        <v>26</v>
      </c>
      <c r="V594" s="0" t="n">
        <f aca="false">T594-U594</f>
        <v>-26</v>
      </c>
      <c r="W594" s="0" t="n">
        <f aca="false">T594+U594</f>
        <v>26</v>
      </c>
    </row>
    <row r="595" customFormat="false" ht="15" hidden="false" customHeight="false" outlineLevel="0" collapsed="false">
      <c r="A595" s="0" t="n">
        <v>592</v>
      </c>
      <c r="B595" s="0" t="n">
        <f aca="true">NORMINV(RAND(),1,Coefficients!$B$22)</f>
        <v>1.10340509444353</v>
      </c>
      <c r="C595" s="0" t="n">
        <f aca="true">MEDIAN(8,16,ROUND(NORMINV(RAND(),Coefficients!$B$20,Coefficients!$B$21),0))</f>
        <v>13</v>
      </c>
      <c r="D595" s="0" t="n">
        <f aca="true">CRITBINOM($C595,MIN(0.75,Matchup!$B$39*$B595),RAND())</f>
        <v>3</v>
      </c>
      <c r="E595" s="0" t="n">
        <f aca="true">CRITBINOM(D595,Coefficients!$B$30,RAND())</f>
        <v>0</v>
      </c>
      <c r="F595" s="0" t="n">
        <f aca="true">CRITBINOM(E595,Coefficients!$B$31,RAND())</f>
        <v>0</v>
      </c>
      <c r="G595" s="0" t="n">
        <f aca="true">CRITBINOM(MAX(0,D595-E595),1-Coefficients!$B$32,RAND())</f>
        <v>0</v>
      </c>
      <c r="H595" s="0" t="n">
        <f aca="true">CRITBINOM(MAX(0,$C595-D595),MIN(0.6,Matchup!$B$40*SQRT($B595)/(1-MIN(0.75,Matchup!$B$39*$B595))),RAND())</f>
        <v>1</v>
      </c>
      <c r="I595" s="0" t="n">
        <f aca="false">6*D595+(D595-E595-G595)+2*F595+3*H595</f>
        <v>24</v>
      </c>
      <c r="J595" s="0" t="n">
        <f aca="true">CRITBINOM($C595,MIN(0.75,Matchup!$C$39*$B595),RAND())</f>
        <v>4</v>
      </c>
      <c r="K595" s="0" t="n">
        <f aca="true">CRITBINOM(J595,Coefficients!$B$30,RAND())</f>
        <v>0</v>
      </c>
      <c r="L595" s="0" t="n">
        <f aca="true">CRITBINOM(K595,Coefficients!$B$31,RAND())</f>
        <v>0</v>
      </c>
      <c r="M595" s="0" t="n">
        <f aca="true">CRITBINOM(MAX(0,J595-K595),1-Coefficients!$B$32,RAND())</f>
        <v>0</v>
      </c>
      <c r="N595" s="0" t="n">
        <f aca="true">CRITBINOM(MAX(0,$C595-J595),MIN(0.6,Matchup!$C$40*SQRT($B595)/(1-MIN(0.75,Matchup!$C$39*$B595))),RAND())</f>
        <v>3</v>
      </c>
      <c r="O595" s="0" t="n">
        <f aca="false">6*J595+(J595-K595-M595)+2*L595+3*N595</f>
        <v>37</v>
      </c>
      <c r="P595" s="0" t="n">
        <f aca="true">RAND()</f>
        <v>0.766342036886567</v>
      </c>
      <c r="Q595" s="0" t="n">
        <f aca="true">RAND()</f>
        <v>0.297976571058118</v>
      </c>
      <c r="R595" s="0" t="n">
        <f aca="false">IF($I595&lt;&gt;$O595,0,IF(P595&lt;Matchup!$B$39,7,IF(P595&lt;Matchup!$B$39+Matchup!$B$40,3,0)))</f>
        <v>0</v>
      </c>
      <c r="S595" s="0" t="n">
        <f aca="false">IF($I595&lt;&gt;$O595,0,IF(Q595&lt;Matchup!$C$39,7,IF(Q595&lt;Matchup!$C$39+Matchup!$C$40,3,0)))</f>
        <v>0</v>
      </c>
      <c r="T595" s="0" t="n">
        <f aca="false">I595+R595</f>
        <v>24</v>
      </c>
      <c r="U595" s="0" t="n">
        <f aca="false">O595+S595</f>
        <v>37</v>
      </c>
      <c r="V595" s="0" t="n">
        <f aca="false">T595-U595</f>
        <v>-13</v>
      </c>
      <c r="W595" s="0" t="n">
        <f aca="false">T595+U595</f>
        <v>61</v>
      </c>
    </row>
    <row r="596" customFormat="false" ht="15" hidden="false" customHeight="false" outlineLevel="0" collapsed="false">
      <c r="A596" s="0" t="n">
        <v>593</v>
      </c>
      <c r="B596" s="0" t="n">
        <f aca="true">NORMINV(RAND(),1,Coefficients!$B$22)</f>
        <v>0.93262746013406</v>
      </c>
      <c r="C596" s="0" t="n">
        <f aca="true">MEDIAN(8,16,ROUND(NORMINV(RAND(),Coefficients!$B$20,Coefficients!$B$21),0))</f>
        <v>12</v>
      </c>
      <c r="D596" s="0" t="n">
        <f aca="true">CRITBINOM($C596,MIN(0.75,Matchup!$B$39*$B596),RAND())</f>
        <v>2</v>
      </c>
      <c r="E596" s="0" t="n">
        <f aca="true">CRITBINOM(D596,Coefficients!$B$30,RAND())</f>
        <v>0</v>
      </c>
      <c r="F596" s="0" t="n">
        <f aca="true">CRITBINOM(E596,Coefficients!$B$31,RAND())</f>
        <v>0</v>
      </c>
      <c r="G596" s="0" t="n">
        <f aca="true">CRITBINOM(MAX(0,D596-E596),1-Coefficients!$B$32,RAND())</f>
        <v>0</v>
      </c>
      <c r="H596" s="0" t="n">
        <f aca="true">CRITBINOM(MAX(0,$C596-D596),MIN(0.6,Matchup!$B$40*SQRT($B596)/(1-MIN(0.75,Matchup!$B$39*$B596))),RAND())</f>
        <v>1</v>
      </c>
      <c r="I596" s="0" t="n">
        <f aca="false">6*D596+(D596-E596-G596)+2*F596+3*H596</f>
        <v>17</v>
      </c>
      <c r="J596" s="0" t="n">
        <f aca="true">CRITBINOM($C596,MIN(0.75,Matchup!$C$39*$B596),RAND())</f>
        <v>2</v>
      </c>
      <c r="K596" s="0" t="n">
        <f aca="true">CRITBINOM(J596,Coefficients!$B$30,RAND())</f>
        <v>0</v>
      </c>
      <c r="L596" s="0" t="n">
        <f aca="true">CRITBINOM(K596,Coefficients!$B$31,RAND())</f>
        <v>0</v>
      </c>
      <c r="M596" s="0" t="n">
        <f aca="true">CRITBINOM(MAX(0,J596-K596),1-Coefficients!$B$32,RAND())</f>
        <v>0</v>
      </c>
      <c r="N596" s="0" t="n">
        <f aca="true">CRITBINOM(MAX(0,$C596-J596),MIN(0.6,Matchup!$C$40*SQRT($B596)/(1-MIN(0.75,Matchup!$C$39*$B596))),RAND())</f>
        <v>0</v>
      </c>
      <c r="O596" s="0" t="n">
        <f aca="false">6*J596+(J596-K596-M596)+2*L596+3*N596</f>
        <v>14</v>
      </c>
      <c r="P596" s="0" t="n">
        <f aca="true">RAND()</f>
        <v>0.960795777657863</v>
      </c>
      <c r="Q596" s="0" t="n">
        <f aca="true">RAND()</f>
        <v>0.214483934168494</v>
      </c>
      <c r="R596" s="0" t="n">
        <f aca="false">IF($I596&lt;&gt;$O596,0,IF(P596&lt;Matchup!$B$39,7,IF(P596&lt;Matchup!$B$39+Matchup!$B$40,3,0)))</f>
        <v>0</v>
      </c>
      <c r="S596" s="0" t="n">
        <f aca="false">IF($I596&lt;&gt;$O596,0,IF(Q596&lt;Matchup!$C$39,7,IF(Q596&lt;Matchup!$C$39+Matchup!$C$40,3,0)))</f>
        <v>0</v>
      </c>
      <c r="T596" s="0" t="n">
        <f aca="false">I596+R596</f>
        <v>17</v>
      </c>
      <c r="U596" s="0" t="n">
        <f aca="false">O596+S596</f>
        <v>14</v>
      </c>
      <c r="V596" s="0" t="n">
        <f aca="false">T596-U596</f>
        <v>3</v>
      </c>
      <c r="W596" s="0" t="n">
        <f aca="false">T596+U596</f>
        <v>31</v>
      </c>
    </row>
    <row r="597" customFormat="false" ht="15" hidden="false" customHeight="false" outlineLevel="0" collapsed="false">
      <c r="A597" s="0" t="n">
        <v>594</v>
      </c>
      <c r="B597" s="0" t="n">
        <f aca="true">NORMINV(RAND(),1,Coefficients!$B$22)</f>
        <v>1.08285913702481</v>
      </c>
      <c r="C597" s="0" t="n">
        <f aca="true">MEDIAN(8,16,ROUND(NORMINV(RAND(),Coefficients!$B$20,Coefficients!$B$21),0))</f>
        <v>10</v>
      </c>
      <c r="D597" s="0" t="n">
        <f aca="true">CRITBINOM($C597,MIN(0.75,Matchup!$B$39*$B597),RAND())</f>
        <v>0</v>
      </c>
      <c r="E597" s="0" t="n">
        <f aca="true">CRITBINOM(D597,Coefficients!$B$30,RAND())</f>
        <v>0</v>
      </c>
      <c r="F597" s="0" t="n">
        <f aca="true">CRITBINOM(E597,Coefficients!$B$31,RAND())</f>
        <v>0</v>
      </c>
      <c r="G597" s="0" t="n">
        <f aca="true">CRITBINOM(MAX(0,D597-E597),1-Coefficients!$B$32,RAND())</f>
        <v>0</v>
      </c>
      <c r="H597" s="0" t="n">
        <f aca="true">CRITBINOM(MAX(0,$C597-D597),MIN(0.6,Matchup!$B$40*SQRT($B597)/(1-MIN(0.75,Matchup!$B$39*$B597))),RAND())</f>
        <v>1</v>
      </c>
      <c r="I597" s="0" t="n">
        <f aca="false">6*D597+(D597-E597-G597)+2*F597+3*H597</f>
        <v>3</v>
      </c>
      <c r="J597" s="0" t="n">
        <f aca="true">CRITBINOM($C597,MIN(0.75,Matchup!$C$39*$B597),RAND())</f>
        <v>5</v>
      </c>
      <c r="K597" s="0" t="n">
        <f aca="true">CRITBINOM(J597,Coefficients!$B$30,RAND())</f>
        <v>0</v>
      </c>
      <c r="L597" s="0" t="n">
        <f aca="true">CRITBINOM(K597,Coefficients!$B$31,RAND())</f>
        <v>0</v>
      </c>
      <c r="M597" s="0" t="n">
        <f aca="true">CRITBINOM(MAX(0,J597-K597),1-Coefficients!$B$32,RAND())</f>
        <v>0</v>
      </c>
      <c r="N597" s="0" t="n">
        <f aca="true">CRITBINOM(MAX(0,$C597-J597),MIN(0.6,Matchup!$C$40*SQRT($B597)/(1-MIN(0.75,Matchup!$C$39*$B597))),RAND())</f>
        <v>1</v>
      </c>
      <c r="O597" s="0" t="n">
        <f aca="false">6*J597+(J597-K597-M597)+2*L597+3*N597</f>
        <v>38</v>
      </c>
      <c r="P597" s="0" t="n">
        <f aca="true">RAND()</f>
        <v>0.840570828607076</v>
      </c>
      <c r="Q597" s="0" t="n">
        <f aca="true">RAND()</f>
        <v>0.933848416810852</v>
      </c>
      <c r="R597" s="0" t="n">
        <f aca="false">IF($I597&lt;&gt;$O597,0,IF(P597&lt;Matchup!$B$39,7,IF(P597&lt;Matchup!$B$39+Matchup!$B$40,3,0)))</f>
        <v>0</v>
      </c>
      <c r="S597" s="0" t="n">
        <f aca="false">IF($I597&lt;&gt;$O597,0,IF(Q597&lt;Matchup!$C$39,7,IF(Q597&lt;Matchup!$C$39+Matchup!$C$40,3,0)))</f>
        <v>0</v>
      </c>
      <c r="T597" s="0" t="n">
        <f aca="false">I597+R597</f>
        <v>3</v>
      </c>
      <c r="U597" s="0" t="n">
        <f aca="false">O597+S597</f>
        <v>38</v>
      </c>
      <c r="V597" s="0" t="n">
        <f aca="false">T597-U597</f>
        <v>-35</v>
      </c>
      <c r="W597" s="0" t="n">
        <f aca="false">T597+U597</f>
        <v>41</v>
      </c>
    </row>
    <row r="598" customFormat="false" ht="15" hidden="false" customHeight="false" outlineLevel="0" collapsed="false">
      <c r="A598" s="0" t="n">
        <v>595</v>
      </c>
      <c r="B598" s="0" t="n">
        <f aca="true">NORMINV(RAND(),1,Coefficients!$B$22)</f>
        <v>1.03193589899587</v>
      </c>
      <c r="C598" s="0" t="n">
        <f aca="true">MEDIAN(8,16,ROUND(NORMINV(RAND(),Coefficients!$B$20,Coefficients!$B$21),0))</f>
        <v>12</v>
      </c>
      <c r="D598" s="0" t="n">
        <f aca="true">CRITBINOM($C598,MIN(0.75,Matchup!$B$39*$B598),RAND())</f>
        <v>3</v>
      </c>
      <c r="E598" s="0" t="n">
        <f aca="true">CRITBINOM(D598,Coefficients!$B$30,RAND())</f>
        <v>0</v>
      </c>
      <c r="F598" s="0" t="n">
        <f aca="true">CRITBINOM(E598,Coefficients!$B$31,RAND())</f>
        <v>0</v>
      </c>
      <c r="G598" s="0" t="n">
        <f aca="true">CRITBINOM(MAX(0,D598-E598),1-Coefficients!$B$32,RAND())</f>
        <v>0</v>
      </c>
      <c r="H598" s="0" t="n">
        <f aca="true">CRITBINOM(MAX(0,$C598-D598),MIN(0.6,Matchup!$B$40*SQRT($B598)/(1-MIN(0.75,Matchup!$B$39*$B598))),RAND())</f>
        <v>1</v>
      </c>
      <c r="I598" s="0" t="n">
        <f aca="false">6*D598+(D598-E598-G598)+2*F598+3*H598</f>
        <v>24</v>
      </c>
      <c r="J598" s="0" t="n">
        <f aca="true">CRITBINOM($C598,MIN(0.75,Matchup!$C$39*$B598),RAND())</f>
        <v>3</v>
      </c>
      <c r="K598" s="0" t="n">
        <f aca="true">CRITBINOM(J598,Coefficients!$B$30,RAND())</f>
        <v>0</v>
      </c>
      <c r="L598" s="0" t="n">
        <f aca="true">CRITBINOM(K598,Coefficients!$B$31,RAND())</f>
        <v>0</v>
      </c>
      <c r="M598" s="0" t="n">
        <f aca="true">CRITBINOM(MAX(0,J598-K598),1-Coefficients!$B$32,RAND())</f>
        <v>0</v>
      </c>
      <c r="N598" s="0" t="n">
        <f aca="true">CRITBINOM(MAX(0,$C598-J598),MIN(0.6,Matchup!$C$40*SQRT($B598)/(1-MIN(0.75,Matchup!$C$39*$B598))),RAND())</f>
        <v>2</v>
      </c>
      <c r="O598" s="0" t="n">
        <f aca="false">6*J598+(J598-K598-M598)+2*L598+3*N598</f>
        <v>27</v>
      </c>
      <c r="P598" s="0" t="n">
        <f aca="true">RAND()</f>
        <v>0.846248929210623</v>
      </c>
      <c r="Q598" s="0" t="n">
        <f aca="true">RAND()</f>
        <v>0.220856899603507</v>
      </c>
      <c r="R598" s="0" t="n">
        <f aca="false">IF($I598&lt;&gt;$O598,0,IF(P598&lt;Matchup!$B$39,7,IF(P598&lt;Matchup!$B$39+Matchup!$B$40,3,0)))</f>
        <v>0</v>
      </c>
      <c r="S598" s="0" t="n">
        <f aca="false">IF($I598&lt;&gt;$O598,0,IF(Q598&lt;Matchup!$C$39,7,IF(Q598&lt;Matchup!$C$39+Matchup!$C$40,3,0)))</f>
        <v>0</v>
      </c>
      <c r="T598" s="0" t="n">
        <f aca="false">I598+R598</f>
        <v>24</v>
      </c>
      <c r="U598" s="0" t="n">
        <f aca="false">O598+S598</f>
        <v>27</v>
      </c>
      <c r="V598" s="0" t="n">
        <f aca="false">T598-U598</f>
        <v>-3</v>
      </c>
      <c r="W598" s="0" t="n">
        <f aca="false">T598+U598</f>
        <v>51</v>
      </c>
    </row>
    <row r="599" customFormat="false" ht="15" hidden="false" customHeight="false" outlineLevel="0" collapsed="false">
      <c r="A599" s="0" t="n">
        <v>596</v>
      </c>
      <c r="B599" s="0" t="n">
        <f aca="true">NORMINV(RAND(),1,Coefficients!$B$22)</f>
        <v>0.925599247787415</v>
      </c>
      <c r="C599" s="0" t="n">
        <f aca="true">MEDIAN(8,16,ROUND(NORMINV(RAND(),Coefficients!$B$20,Coefficients!$B$21),0))</f>
        <v>10</v>
      </c>
      <c r="D599" s="0" t="n">
        <f aca="true">CRITBINOM($C599,MIN(0.75,Matchup!$B$39*$B599),RAND())</f>
        <v>1</v>
      </c>
      <c r="E599" s="0" t="n">
        <f aca="true">CRITBINOM(D599,Coefficients!$B$30,RAND())</f>
        <v>0</v>
      </c>
      <c r="F599" s="0" t="n">
        <f aca="true">CRITBINOM(E599,Coefficients!$B$31,RAND())</f>
        <v>0</v>
      </c>
      <c r="G599" s="0" t="n">
        <f aca="true">CRITBINOM(MAX(0,D599-E599),1-Coefficients!$B$32,RAND())</f>
        <v>0</v>
      </c>
      <c r="H599" s="0" t="n">
        <f aca="true">CRITBINOM(MAX(0,$C599-D599),MIN(0.6,Matchup!$B$40*SQRT($B599)/(1-MIN(0.75,Matchup!$B$39*$B599))),RAND())</f>
        <v>1</v>
      </c>
      <c r="I599" s="0" t="n">
        <f aca="false">6*D599+(D599-E599-G599)+2*F599+3*H599</f>
        <v>10</v>
      </c>
      <c r="J599" s="0" t="n">
        <f aca="true">CRITBINOM($C599,MIN(0.75,Matchup!$C$39*$B599),RAND())</f>
        <v>3</v>
      </c>
      <c r="K599" s="0" t="n">
        <f aca="true">CRITBINOM(J599,Coefficients!$B$30,RAND())</f>
        <v>0</v>
      </c>
      <c r="L599" s="0" t="n">
        <f aca="true">CRITBINOM(K599,Coefficients!$B$31,RAND())</f>
        <v>0</v>
      </c>
      <c r="M599" s="0" t="n">
        <f aca="true">CRITBINOM(MAX(0,J599-K599),1-Coefficients!$B$32,RAND())</f>
        <v>0</v>
      </c>
      <c r="N599" s="0" t="n">
        <f aca="true">CRITBINOM(MAX(0,$C599-J599),MIN(0.6,Matchup!$C$40*SQRT($B599)/(1-MIN(0.75,Matchup!$C$39*$B599))),RAND())</f>
        <v>1</v>
      </c>
      <c r="O599" s="0" t="n">
        <f aca="false">6*J599+(J599-K599-M599)+2*L599+3*N599</f>
        <v>24</v>
      </c>
      <c r="P599" s="0" t="n">
        <f aca="true">RAND()</f>
        <v>0.154622378348509</v>
      </c>
      <c r="Q599" s="0" t="n">
        <f aca="true">RAND()</f>
        <v>0.638183434316745</v>
      </c>
      <c r="R599" s="0" t="n">
        <f aca="false">IF($I599&lt;&gt;$O599,0,IF(P599&lt;Matchup!$B$39,7,IF(P599&lt;Matchup!$B$39+Matchup!$B$40,3,0)))</f>
        <v>0</v>
      </c>
      <c r="S599" s="0" t="n">
        <f aca="false">IF($I599&lt;&gt;$O599,0,IF(Q599&lt;Matchup!$C$39,7,IF(Q599&lt;Matchup!$C$39+Matchup!$C$40,3,0)))</f>
        <v>0</v>
      </c>
      <c r="T599" s="0" t="n">
        <f aca="false">I599+R599</f>
        <v>10</v>
      </c>
      <c r="U599" s="0" t="n">
        <f aca="false">O599+S599</f>
        <v>24</v>
      </c>
      <c r="V599" s="0" t="n">
        <f aca="false">T599-U599</f>
        <v>-14</v>
      </c>
      <c r="W599" s="0" t="n">
        <f aca="false">T599+U599</f>
        <v>34</v>
      </c>
    </row>
    <row r="600" customFormat="false" ht="15" hidden="false" customHeight="false" outlineLevel="0" collapsed="false">
      <c r="A600" s="0" t="n">
        <v>597</v>
      </c>
      <c r="B600" s="0" t="n">
        <f aca="true">NORMINV(RAND(),1,Coefficients!$B$22)</f>
        <v>1.08202120543985</v>
      </c>
      <c r="C600" s="0" t="n">
        <f aca="true">MEDIAN(8,16,ROUND(NORMINV(RAND(),Coefficients!$B$20,Coefficients!$B$21),0))</f>
        <v>10</v>
      </c>
      <c r="D600" s="0" t="n">
        <f aca="true">CRITBINOM($C600,MIN(0.75,Matchup!$B$39*$B600),RAND())</f>
        <v>1</v>
      </c>
      <c r="E600" s="0" t="n">
        <f aca="true">CRITBINOM(D600,Coefficients!$B$30,RAND())</f>
        <v>0</v>
      </c>
      <c r="F600" s="0" t="n">
        <f aca="true">CRITBINOM(E600,Coefficients!$B$31,RAND())</f>
        <v>0</v>
      </c>
      <c r="G600" s="0" t="n">
        <f aca="true">CRITBINOM(MAX(0,D600-E600),1-Coefficients!$B$32,RAND())</f>
        <v>1</v>
      </c>
      <c r="H600" s="0" t="n">
        <f aca="true">CRITBINOM(MAX(0,$C600-D600),MIN(0.6,Matchup!$B$40*SQRT($B600)/(1-MIN(0.75,Matchup!$B$39*$B600))),RAND())</f>
        <v>1</v>
      </c>
      <c r="I600" s="0" t="n">
        <f aca="false">6*D600+(D600-E600-G600)+2*F600+3*H600</f>
        <v>9</v>
      </c>
      <c r="J600" s="0" t="n">
        <f aca="true">CRITBINOM($C600,MIN(0.75,Matchup!$C$39*$B600),RAND())</f>
        <v>2</v>
      </c>
      <c r="K600" s="0" t="n">
        <f aca="true">CRITBINOM(J600,Coefficients!$B$30,RAND())</f>
        <v>1</v>
      </c>
      <c r="L600" s="0" t="n">
        <f aca="true">CRITBINOM(K600,Coefficients!$B$31,RAND())</f>
        <v>1</v>
      </c>
      <c r="M600" s="0" t="n">
        <f aca="true">CRITBINOM(MAX(0,J600-K600),1-Coefficients!$B$32,RAND())</f>
        <v>0</v>
      </c>
      <c r="N600" s="0" t="n">
        <f aca="true">CRITBINOM(MAX(0,$C600-J600),MIN(0.6,Matchup!$C$40*SQRT($B600)/(1-MIN(0.75,Matchup!$C$39*$B600))),RAND())</f>
        <v>2</v>
      </c>
      <c r="O600" s="0" t="n">
        <f aca="false">6*J600+(J600-K600-M600)+2*L600+3*N600</f>
        <v>21</v>
      </c>
      <c r="P600" s="0" t="n">
        <f aca="true">RAND()</f>
        <v>0.324508061788753</v>
      </c>
      <c r="Q600" s="0" t="n">
        <f aca="true">RAND()</f>
        <v>0.00371770752786413</v>
      </c>
      <c r="R600" s="0" t="n">
        <f aca="false">IF($I600&lt;&gt;$O600,0,IF(P600&lt;Matchup!$B$39,7,IF(P600&lt;Matchup!$B$39+Matchup!$B$40,3,0)))</f>
        <v>0</v>
      </c>
      <c r="S600" s="0" t="n">
        <f aca="false">IF($I600&lt;&gt;$O600,0,IF(Q600&lt;Matchup!$C$39,7,IF(Q600&lt;Matchup!$C$39+Matchup!$C$40,3,0)))</f>
        <v>0</v>
      </c>
      <c r="T600" s="0" t="n">
        <f aca="false">I600+R600</f>
        <v>9</v>
      </c>
      <c r="U600" s="0" t="n">
        <f aca="false">O600+S600</f>
        <v>21</v>
      </c>
      <c r="V600" s="0" t="n">
        <f aca="false">T600-U600</f>
        <v>-12</v>
      </c>
      <c r="W600" s="0" t="n">
        <f aca="false">T600+U600</f>
        <v>30</v>
      </c>
    </row>
    <row r="601" customFormat="false" ht="15" hidden="false" customHeight="false" outlineLevel="0" collapsed="false">
      <c r="A601" s="0" t="n">
        <v>598</v>
      </c>
      <c r="B601" s="0" t="n">
        <f aca="true">NORMINV(RAND(),1,Coefficients!$B$22)</f>
        <v>0.960384552000675</v>
      </c>
      <c r="C601" s="0" t="n">
        <f aca="true">MEDIAN(8,16,ROUND(NORMINV(RAND(),Coefficients!$B$20,Coefficients!$B$21),0))</f>
        <v>11</v>
      </c>
      <c r="D601" s="0" t="n">
        <f aca="true">CRITBINOM($C601,MIN(0.75,Matchup!$B$39*$B601),RAND())</f>
        <v>1</v>
      </c>
      <c r="E601" s="0" t="n">
        <f aca="true">CRITBINOM(D601,Coefficients!$B$30,RAND())</f>
        <v>0</v>
      </c>
      <c r="F601" s="0" t="n">
        <f aca="true">CRITBINOM(E601,Coefficients!$B$31,RAND())</f>
        <v>0</v>
      </c>
      <c r="G601" s="0" t="n">
        <f aca="true">CRITBINOM(MAX(0,D601-E601),1-Coefficients!$B$32,RAND())</f>
        <v>0</v>
      </c>
      <c r="H601" s="0" t="n">
        <f aca="true">CRITBINOM(MAX(0,$C601-D601),MIN(0.6,Matchup!$B$40*SQRT($B601)/(1-MIN(0.75,Matchup!$B$39*$B601))),RAND())</f>
        <v>2</v>
      </c>
      <c r="I601" s="0" t="n">
        <f aca="false">6*D601+(D601-E601-G601)+2*F601+3*H601</f>
        <v>13</v>
      </c>
      <c r="J601" s="0" t="n">
        <f aca="true">CRITBINOM($C601,MIN(0.75,Matchup!$C$39*$B601),RAND())</f>
        <v>5</v>
      </c>
      <c r="K601" s="0" t="n">
        <f aca="true">CRITBINOM(J601,Coefficients!$B$30,RAND())</f>
        <v>0</v>
      </c>
      <c r="L601" s="0" t="n">
        <f aca="true">CRITBINOM(K601,Coefficients!$B$31,RAND())</f>
        <v>0</v>
      </c>
      <c r="M601" s="0" t="n">
        <f aca="true">CRITBINOM(MAX(0,J601-K601),1-Coefficients!$B$32,RAND())</f>
        <v>0</v>
      </c>
      <c r="N601" s="0" t="n">
        <f aca="true">CRITBINOM(MAX(0,$C601-J601),MIN(0.6,Matchup!$C$40*SQRT($B601)/(1-MIN(0.75,Matchup!$C$39*$B601))),RAND())</f>
        <v>1</v>
      </c>
      <c r="O601" s="0" t="n">
        <f aca="false">6*J601+(J601-K601-M601)+2*L601+3*N601</f>
        <v>38</v>
      </c>
      <c r="P601" s="0" t="n">
        <f aca="true">RAND()</f>
        <v>0.724818078750134</v>
      </c>
      <c r="Q601" s="0" t="n">
        <f aca="true">RAND()</f>
        <v>0.478313357344838</v>
      </c>
      <c r="R601" s="0" t="n">
        <f aca="false">IF($I601&lt;&gt;$O601,0,IF(P601&lt;Matchup!$B$39,7,IF(P601&lt;Matchup!$B$39+Matchup!$B$40,3,0)))</f>
        <v>0</v>
      </c>
      <c r="S601" s="0" t="n">
        <f aca="false">IF($I601&lt;&gt;$O601,0,IF(Q601&lt;Matchup!$C$39,7,IF(Q601&lt;Matchup!$C$39+Matchup!$C$40,3,0)))</f>
        <v>0</v>
      </c>
      <c r="T601" s="0" t="n">
        <f aca="false">I601+R601</f>
        <v>13</v>
      </c>
      <c r="U601" s="0" t="n">
        <f aca="false">O601+S601</f>
        <v>38</v>
      </c>
      <c r="V601" s="0" t="n">
        <f aca="false">T601-U601</f>
        <v>-25</v>
      </c>
      <c r="W601" s="0" t="n">
        <f aca="false">T601+U601</f>
        <v>51</v>
      </c>
    </row>
    <row r="602" customFormat="false" ht="15" hidden="false" customHeight="false" outlineLevel="0" collapsed="false">
      <c r="A602" s="0" t="n">
        <v>599</v>
      </c>
      <c r="B602" s="0" t="n">
        <f aca="true">NORMINV(RAND(),1,Coefficients!$B$22)</f>
        <v>1.04065534531506</v>
      </c>
      <c r="C602" s="0" t="n">
        <f aca="true">MEDIAN(8,16,ROUND(NORMINV(RAND(),Coefficients!$B$20,Coefficients!$B$21),0))</f>
        <v>11</v>
      </c>
      <c r="D602" s="0" t="n">
        <f aca="true">CRITBINOM($C602,MIN(0.75,Matchup!$B$39*$B602),RAND())</f>
        <v>2</v>
      </c>
      <c r="E602" s="0" t="n">
        <f aca="true">CRITBINOM(D602,Coefficients!$B$30,RAND())</f>
        <v>0</v>
      </c>
      <c r="F602" s="0" t="n">
        <f aca="true">CRITBINOM(E602,Coefficients!$B$31,RAND())</f>
        <v>0</v>
      </c>
      <c r="G602" s="0" t="n">
        <f aca="true">CRITBINOM(MAX(0,D602-E602),1-Coefficients!$B$32,RAND())</f>
        <v>0</v>
      </c>
      <c r="H602" s="0" t="n">
        <f aca="true">CRITBINOM(MAX(0,$C602-D602),MIN(0.6,Matchup!$B$40*SQRT($B602)/(1-MIN(0.75,Matchup!$B$39*$B602))),RAND())</f>
        <v>2</v>
      </c>
      <c r="I602" s="0" t="n">
        <f aca="false">6*D602+(D602-E602-G602)+2*F602+3*H602</f>
        <v>20</v>
      </c>
      <c r="J602" s="0" t="n">
        <f aca="true">CRITBINOM($C602,MIN(0.75,Matchup!$C$39*$B602),RAND())</f>
        <v>0</v>
      </c>
      <c r="K602" s="0" t="n">
        <f aca="true">CRITBINOM(J602,Coefficients!$B$30,RAND())</f>
        <v>0</v>
      </c>
      <c r="L602" s="0" t="n">
        <f aca="true">CRITBINOM(K602,Coefficients!$B$31,RAND())</f>
        <v>0</v>
      </c>
      <c r="M602" s="0" t="n">
        <f aca="true">CRITBINOM(MAX(0,J602-K602),1-Coefficients!$B$32,RAND())</f>
        <v>0</v>
      </c>
      <c r="N602" s="0" t="n">
        <f aca="true">CRITBINOM(MAX(0,$C602-J602),MIN(0.6,Matchup!$C$40*SQRT($B602)/(1-MIN(0.75,Matchup!$C$39*$B602))),RAND())</f>
        <v>3</v>
      </c>
      <c r="O602" s="0" t="n">
        <f aca="false">6*J602+(J602-K602-M602)+2*L602+3*N602</f>
        <v>9</v>
      </c>
      <c r="P602" s="0" t="n">
        <f aca="true">RAND()</f>
        <v>0.646262583317883</v>
      </c>
      <c r="Q602" s="0" t="n">
        <f aca="true">RAND()</f>
        <v>0.0055309575763451</v>
      </c>
      <c r="R602" s="0" t="n">
        <f aca="false">IF($I602&lt;&gt;$O602,0,IF(P602&lt;Matchup!$B$39,7,IF(P602&lt;Matchup!$B$39+Matchup!$B$40,3,0)))</f>
        <v>0</v>
      </c>
      <c r="S602" s="0" t="n">
        <f aca="false">IF($I602&lt;&gt;$O602,0,IF(Q602&lt;Matchup!$C$39,7,IF(Q602&lt;Matchup!$C$39+Matchup!$C$40,3,0)))</f>
        <v>0</v>
      </c>
      <c r="T602" s="0" t="n">
        <f aca="false">I602+R602</f>
        <v>20</v>
      </c>
      <c r="U602" s="0" t="n">
        <f aca="false">O602+S602</f>
        <v>9</v>
      </c>
      <c r="V602" s="0" t="n">
        <f aca="false">T602-U602</f>
        <v>11</v>
      </c>
      <c r="W602" s="0" t="n">
        <f aca="false">T602+U602</f>
        <v>29</v>
      </c>
    </row>
    <row r="603" customFormat="false" ht="15" hidden="false" customHeight="false" outlineLevel="0" collapsed="false">
      <c r="A603" s="0" t="n">
        <v>600</v>
      </c>
      <c r="B603" s="0" t="n">
        <f aca="true">NORMINV(RAND(),1,Coefficients!$B$22)</f>
        <v>0.916472533137817</v>
      </c>
      <c r="C603" s="0" t="n">
        <f aca="true">MEDIAN(8,16,ROUND(NORMINV(RAND(),Coefficients!$B$20,Coefficients!$B$21),0))</f>
        <v>13</v>
      </c>
      <c r="D603" s="0" t="n">
        <f aca="true">CRITBINOM($C603,MIN(0.75,Matchup!$B$39*$B603),RAND())</f>
        <v>4</v>
      </c>
      <c r="E603" s="0" t="n">
        <f aca="true">CRITBINOM(D603,Coefficients!$B$30,RAND())</f>
        <v>0</v>
      </c>
      <c r="F603" s="0" t="n">
        <f aca="true">CRITBINOM(E603,Coefficients!$B$31,RAND())</f>
        <v>0</v>
      </c>
      <c r="G603" s="0" t="n">
        <f aca="true">CRITBINOM(MAX(0,D603-E603),1-Coefficients!$B$32,RAND())</f>
        <v>0</v>
      </c>
      <c r="H603" s="0" t="n">
        <f aca="true">CRITBINOM(MAX(0,$C603-D603),MIN(0.6,Matchup!$B$40*SQRT($B603)/(1-MIN(0.75,Matchup!$B$39*$B603))),RAND())</f>
        <v>0</v>
      </c>
      <c r="I603" s="0" t="n">
        <f aca="false">6*D603+(D603-E603-G603)+2*F603+3*H603</f>
        <v>28</v>
      </c>
      <c r="J603" s="0" t="n">
        <f aca="true">CRITBINOM($C603,MIN(0.75,Matchup!$C$39*$B603),RAND())</f>
        <v>1</v>
      </c>
      <c r="K603" s="0" t="n">
        <f aca="true">CRITBINOM(J603,Coefficients!$B$30,RAND())</f>
        <v>0</v>
      </c>
      <c r="L603" s="0" t="n">
        <f aca="true">CRITBINOM(K603,Coefficients!$B$31,RAND())</f>
        <v>0</v>
      </c>
      <c r="M603" s="0" t="n">
        <f aca="true">CRITBINOM(MAX(0,J603-K603),1-Coefficients!$B$32,RAND())</f>
        <v>0</v>
      </c>
      <c r="N603" s="0" t="n">
        <f aca="true">CRITBINOM(MAX(0,$C603-J603),MIN(0.6,Matchup!$C$40*SQRT($B603)/(1-MIN(0.75,Matchup!$C$39*$B603))),RAND())</f>
        <v>1</v>
      </c>
      <c r="O603" s="0" t="n">
        <f aca="false">6*J603+(J603-K603-M603)+2*L603+3*N603</f>
        <v>10</v>
      </c>
      <c r="P603" s="0" t="n">
        <f aca="true">RAND()</f>
        <v>0.427682728970696</v>
      </c>
      <c r="Q603" s="0" t="n">
        <f aca="true">RAND()</f>
        <v>0.600346322459176</v>
      </c>
      <c r="R603" s="0" t="n">
        <f aca="false">IF($I603&lt;&gt;$O603,0,IF(P603&lt;Matchup!$B$39,7,IF(P603&lt;Matchup!$B$39+Matchup!$B$40,3,0)))</f>
        <v>0</v>
      </c>
      <c r="S603" s="0" t="n">
        <f aca="false">IF($I603&lt;&gt;$O603,0,IF(Q603&lt;Matchup!$C$39,7,IF(Q603&lt;Matchup!$C$39+Matchup!$C$40,3,0)))</f>
        <v>0</v>
      </c>
      <c r="T603" s="0" t="n">
        <f aca="false">I603+R603</f>
        <v>28</v>
      </c>
      <c r="U603" s="0" t="n">
        <f aca="false">O603+S603</f>
        <v>10</v>
      </c>
      <c r="V603" s="0" t="n">
        <f aca="false">T603-U603</f>
        <v>18</v>
      </c>
      <c r="W603" s="0" t="n">
        <f aca="false">T603+U603</f>
        <v>38</v>
      </c>
    </row>
    <row r="604" customFormat="false" ht="15" hidden="false" customHeight="false" outlineLevel="0" collapsed="false">
      <c r="A604" s="0" t="n">
        <v>601</v>
      </c>
      <c r="B604" s="0" t="n">
        <f aca="true">NORMINV(RAND(),1,Coefficients!$B$22)</f>
        <v>1.01698545103076</v>
      </c>
      <c r="C604" s="0" t="n">
        <f aca="true">MEDIAN(8,16,ROUND(NORMINV(RAND(),Coefficients!$B$20,Coefficients!$B$21),0))</f>
        <v>14</v>
      </c>
      <c r="D604" s="0" t="n">
        <f aca="true">CRITBINOM($C604,MIN(0.75,Matchup!$B$39*$B604),RAND())</f>
        <v>3</v>
      </c>
      <c r="E604" s="0" t="n">
        <f aca="true">CRITBINOM(D604,Coefficients!$B$30,RAND())</f>
        <v>0</v>
      </c>
      <c r="F604" s="0" t="n">
        <f aca="true">CRITBINOM(E604,Coefficients!$B$31,RAND())</f>
        <v>0</v>
      </c>
      <c r="G604" s="0" t="n">
        <f aca="true">CRITBINOM(MAX(0,D604-E604),1-Coefficients!$B$32,RAND())</f>
        <v>0</v>
      </c>
      <c r="H604" s="0" t="n">
        <f aca="true">CRITBINOM(MAX(0,$C604-D604),MIN(0.6,Matchup!$B$40*SQRT($B604)/(1-MIN(0.75,Matchup!$B$39*$B604))),RAND())</f>
        <v>3</v>
      </c>
      <c r="I604" s="0" t="n">
        <f aca="false">6*D604+(D604-E604-G604)+2*F604+3*H604</f>
        <v>30</v>
      </c>
      <c r="J604" s="0" t="n">
        <f aca="true">CRITBINOM($C604,MIN(0.75,Matchup!$C$39*$B604),RAND())</f>
        <v>2</v>
      </c>
      <c r="K604" s="0" t="n">
        <f aca="true">CRITBINOM(J604,Coefficients!$B$30,RAND())</f>
        <v>0</v>
      </c>
      <c r="L604" s="0" t="n">
        <f aca="true">CRITBINOM(K604,Coefficients!$B$31,RAND())</f>
        <v>0</v>
      </c>
      <c r="M604" s="0" t="n">
        <f aca="true">CRITBINOM(MAX(0,J604-K604),1-Coefficients!$B$32,RAND())</f>
        <v>0</v>
      </c>
      <c r="N604" s="0" t="n">
        <f aca="true">CRITBINOM(MAX(0,$C604-J604),MIN(0.6,Matchup!$C$40*SQRT($B604)/(1-MIN(0.75,Matchup!$C$39*$B604))),RAND())</f>
        <v>4</v>
      </c>
      <c r="O604" s="0" t="n">
        <f aca="false">6*J604+(J604-K604-M604)+2*L604+3*N604</f>
        <v>26</v>
      </c>
      <c r="P604" s="0" t="n">
        <f aca="true">RAND()</f>
        <v>0.884825664772244</v>
      </c>
      <c r="Q604" s="0" t="n">
        <f aca="true">RAND()</f>
        <v>0.853819688695621</v>
      </c>
      <c r="R604" s="0" t="n">
        <f aca="false">IF($I604&lt;&gt;$O604,0,IF(P604&lt;Matchup!$B$39,7,IF(P604&lt;Matchup!$B$39+Matchup!$B$40,3,0)))</f>
        <v>0</v>
      </c>
      <c r="S604" s="0" t="n">
        <f aca="false">IF($I604&lt;&gt;$O604,0,IF(Q604&lt;Matchup!$C$39,7,IF(Q604&lt;Matchup!$C$39+Matchup!$C$40,3,0)))</f>
        <v>0</v>
      </c>
      <c r="T604" s="0" t="n">
        <f aca="false">I604+R604</f>
        <v>30</v>
      </c>
      <c r="U604" s="0" t="n">
        <f aca="false">O604+S604</f>
        <v>26</v>
      </c>
      <c r="V604" s="0" t="n">
        <f aca="false">T604-U604</f>
        <v>4</v>
      </c>
      <c r="W604" s="0" t="n">
        <f aca="false">T604+U604</f>
        <v>56</v>
      </c>
    </row>
    <row r="605" customFormat="false" ht="15" hidden="false" customHeight="false" outlineLevel="0" collapsed="false">
      <c r="A605" s="0" t="n">
        <v>602</v>
      </c>
      <c r="B605" s="0" t="n">
        <f aca="true">NORMINV(RAND(),1,Coefficients!$B$22)</f>
        <v>1.00433308525346</v>
      </c>
      <c r="C605" s="0" t="n">
        <f aca="true">MEDIAN(8,16,ROUND(NORMINV(RAND(),Coefficients!$B$20,Coefficients!$B$21),0))</f>
        <v>12</v>
      </c>
      <c r="D605" s="0" t="n">
        <f aca="true">CRITBINOM($C605,MIN(0.75,Matchup!$B$39*$B605),RAND())</f>
        <v>2</v>
      </c>
      <c r="E605" s="0" t="n">
        <f aca="true">CRITBINOM(D605,Coefficients!$B$30,RAND())</f>
        <v>0</v>
      </c>
      <c r="F605" s="0" t="n">
        <f aca="true">CRITBINOM(E605,Coefficients!$B$31,RAND())</f>
        <v>0</v>
      </c>
      <c r="G605" s="0" t="n">
        <f aca="true">CRITBINOM(MAX(0,D605-E605),1-Coefficients!$B$32,RAND())</f>
        <v>0</v>
      </c>
      <c r="H605" s="0" t="n">
        <f aca="true">CRITBINOM(MAX(0,$C605-D605),MIN(0.6,Matchup!$B$40*SQRT($B605)/(1-MIN(0.75,Matchup!$B$39*$B605))),RAND())</f>
        <v>1</v>
      </c>
      <c r="I605" s="0" t="n">
        <f aca="false">6*D605+(D605-E605-G605)+2*F605+3*H605</f>
        <v>17</v>
      </c>
      <c r="J605" s="0" t="n">
        <f aca="true">CRITBINOM($C605,MIN(0.75,Matchup!$C$39*$B605),RAND())</f>
        <v>2</v>
      </c>
      <c r="K605" s="0" t="n">
        <f aca="true">CRITBINOM(J605,Coefficients!$B$30,RAND())</f>
        <v>0</v>
      </c>
      <c r="L605" s="0" t="n">
        <f aca="true">CRITBINOM(K605,Coefficients!$B$31,RAND())</f>
        <v>0</v>
      </c>
      <c r="M605" s="0" t="n">
        <f aca="true">CRITBINOM(MAX(0,J605-K605),1-Coefficients!$B$32,RAND())</f>
        <v>0</v>
      </c>
      <c r="N605" s="0" t="n">
        <f aca="true">CRITBINOM(MAX(0,$C605-J605),MIN(0.6,Matchup!$C$40*SQRT($B605)/(1-MIN(0.75,Matchup!$C$39*$B605))),RAND())</f>
        <v>2</v>
      </c>
      <c r="O605" s="0" t="n">
        <f aca="false">6*J605+(J605-K605-M605)+2*L605+3*N605</f>
        <v>20</v>
      </c>
      <c r="P605" s="0" t="n">
        <f aca="true">RAND()</f>
        <v>0.692018403745515</v>
      </c>
      <c r="Q605" s="0" t="n">
        <f aca="true">RAND()</f>
        <v>0.179078420055308</v>
      </c>
      <c r="R605" s="0" t="n">
        <f aca="false">IF($I605&lt;&gt;$O605,0,IF(P605&lt;Matchup!$B$39,7,IF(P605&lt;Matchup!$B$39+Matchup!$B$40,3,0)))</f>
        <v>0</v>
      </c>
      <c r="S605" s="0" t="n">
        <f aca="false">IF($I605&lt;&gt;$O605,0,IF(Q605&lt;Matchup!$C$39,7,IF(Q605&lt;Matchup!$C$39+Matchup!$C$40,3,0)))</f>
        <v>0</v>
      </c>
      <c r="T605" s="0" t="n">
        <f aca="false">I605+R605</f>
        <v>17</v>
      </c>
      <c r="U605" s="0" t="n">
        <f aca="false">O605+S605</f>
        <v>20</v>
      </c>
      <c r="V605" s="0" t="n">
        <f aca="false">T605-U605</f>
        <v>-3</v>
      </c>
      <c r="W605" s="0" t="n">
        <f aca="false">T605+U605</f>
        <v>37</v>
      </c>
    </row>
    <row r="606" customFormat="false" ht="15" hidden="false" customHeight="false" outlineLevel="0" collapsed="false">
      <c r="A606" s="0" t="n">
        <v>603</v>
      </c>
      <c r="B606" s="0" t="n">
        <f aca="true">NORMINV(RAND(),1,Coefficients!$B$22)</f>
        <v>0.908278304136565</v>
      </c>
      <c r="C606" s="0" t="n">
        <f aca="true">MEDIAN(8,16,ROUND(NORMINV(RAND(),Coefficients!$B$20,Coefficients!$B$21),0))</f>
        <v>13</v>
      </c>
      <c r="D606" s="0" t="n">
        <f aca="true">CRITBINOM($C606,MIN(0.75,Matchup!$B$39*$B606),RAND())</f>
        <v>3</v>
      </c>
      <c r="E606" s="0" t="n">
        <f aca="true">CRITBINOM(D606,Coefficients!$B$30,RAND())</f>
        <v>0</v>
      </c>
      <c r="F606" s="0" t="n">
        <f aca="true">CRITBINOM(E606,Coefficients!$B$31,RAND())</f>
        <v>0</v>
      </c>
      <c r="G606" s="0" t="n">
        <f aca="true">CRITBINOM(MAX(0,D606-E606),1-Coefficients!$B$32,RAND())</f>
        <v>0</v>
      </c>
      <c r="H606" s="0" t="n">
        <f aca="true">CRITBINOM(MAX(0,$C606-D606),MIN(0.6,Matchup!$B$40*SQRT($B606)/(1-MIN(0.75,Matchup!$B$39*$B606))),RAND())</f>
        <v>3</v>
      </c>
      <c r="I606" s="0" t="n">
        <f aca="false">6*D606+(D606-E606-G606)+2*F606+3*H606</f>
        <v>30</v>
      </c>
      <c r="J606" s="0" t="n">
        <f aca="true">CRITBINOM($C606,MIN(0.75,Matchup!$C$39*$B606),RAND())</f>
        <v>4</v>
      </c>
      <c r="K606" s="0" t="n">
        <f aca="true">CRITBINOM(J606,Coefficients!$B$30,RAND())</f>
        <v>0</v>
      </c>
      <c r="L606" s="0" t="n">
        <f aca="true">CRITBINOM(K606,Coefficients!$B$31,RAND())</f>
        <v>0</v>
      </c>
      <c r="M606" s="0" t="n">
        <f aca="true">CRITBINOM(MAX(0,J606-K606),1-Coefficients!$B$32,RAND())</f>
        <v>1</v>
      </c>
      <c r="N606" s="0" t="n">
        <f aca="true">CRITBINOM(MAX(0,$C606-J606),MIN(0.6,Matchup!$C$40*SQRT($B606)/(1-MIN(0.75,Matchup!$C$39*$B606))),RAND())</f>
        <v>1</v>
      </c>
      <c r="O606" s="0" t="n">
        <f aca="false">6*J606+(J606-K606-M606)+2*L606+3*N606</f>
        <v>30</v>
      </c>
      <c r="P606" s="0" t="n">
        <f aca="true">RAND()</f>
        <v>0.408450005827655</v>
      </c>
      <c r="Q606" s="0" t="n">
        <f aca="true">RAND()</f>
        <v>0.883756901375257</v>
      </c>
      <c r="R606" s="0" t="n">
        <f aca="false">IF($I606&lt;&gt;$O606,0,IF(P606&lt;Matchup!$B$39,7,IF(P606&lt;Matchup!$B$39+Matchup!$B$40,3,0)))</f>
        <v>0</v>
      </c>
      <c r="S606" s="0" t="n">
        <f aca="false">IF($I606&lt;&gt;$O606,0,IF(Q606&lt;Matchup!$C$39,7,IF(Q606&lt;Matchup!$C$39+Matchup!$C$40,3,0)))</f>
        <v>0</v>
      </c>
      <c r="T606" s="0" t="n">
        <f aca="false">I606+R606</f>
        <v>30</v>
      </c>
      <c r="U606" s="0" t="n">
        <f aca="false">O606+S606</f>
        <v>30</v>
      </c>
      <c r="V606" s="0" t="n">
        <f aca="false">T606-U606</f>
        <v>0</v>
      </c>
      <c r="W606" s="0" t="n">
        <f aca="false">T606+U606</f>
        <v>60</v>
      </c>
    </row>
    <row r="607" customFormat="false" ht="15" hidden="false" customHeight="false" outlineLevel="0" collapsed="false">
      <c r="A607" s="0" t="n">
        <v>604</v>
      </c>
      <c r="B607" s="0" t="n">
        <f aca="true">NORMINV(RAND(),1,Coefficients!$B$22)</f>
        <v>1.01795707920347</v>
      </c>
      <c r="C607" s="0" t="n">
        <f aca="true">MEDIAN(8,16,ROUND(NORMINV(RAND(),Coefficients!$B$20,Coefficients!$B$21),0))</f>
        <v>13</v>
      </c>
      <c r="D607" s="0" t="n">
        <f aca="true">CRITBINOM($C607,MIN(0.75,Matchup!$B$39*$B607),RAND())</f>
        <v>3</v>
      </c>
      <c r="E607" s="0" t="n">
        <f aca="true">CRITBINOM(D607,Coefficients!$B$30,RAND())</f>
        <v>1</v>
      </c>
      <c r="F607" s="0" t="n">
        <f aca="true">CRITBINOM(E607,Coefficients!$B$31,RAND())</f>
        <v>1</v>
      </c>
      <c r="G607" s="0" t="n">
        <f aca="true">CRITBINOM(MAX(0,D607-E607),1-Coefficients!$B$32,RAND())</f>
        <v>1</v>
      </c>
      <c r="H607" s="0" t="n">
        <f aca="true">CRITBINOM(MAX(0,$C607-D607),MIN(0.6,Matchup!$B$40*SQRT($B607)/(1-MIN(0.75,Matchup!$B$39*$B607))),RAND())</f>
        <v>0</v>
      </c>
      <c r="I607" s="0" t="n">
        <f aca="false">6*D607+(D607-E607-G607)+2*F607+3*H607</f>
        <v>21</v>
      </c>
      <c r="J607" s="0" t="n">
        <f aca="true">CRITBINOM($C607,MIN(0.75,Matchup!$C$39*$B607),RAND())</f>
        <v>4</v>
      </c>
      <c r="K607" s="0" t="n">
        <f aca="true">CRITBINOM(J607,Coefficients!$B$30,RAND())</f>
        <v>1</v>
      </c>
      <c r="L607" s="0" t="n">
        <f aca="true">CRITBINOM(K607,Coefficients!$B$31,RAND())</f>
        <v>1</v>
      </c>
      <c r="M607" s="0" t="n">
        <f aca="true">CRITBINOM(MAX(0,J607-K607),1-Coefficients!$B$32,RAND())</f>
        <v>0</v>
      </c>
      <c r="N607" s="0" t="n">
        <f aca="true">CRITBINOM(MAX(0,$C607-J607),MIN(0.6,Matchup!$C$40*SQRT($B607)/(1-MIN(0.75,Matchup!$C$39*$B607))),RAND())</f>
        <v>0</v>
      </c>
      <c r="O607" s="0" t="n">
        <f aca="false">6*J607+(J607-K607-M607)+2*L607+3*N607</f>
        <v>29</v>
      </c>
      <c r="P607" s="0" t="n">
        <f aca="true">RAND()</f>
        <v>0.267364370813925</v>
      </c>
      <c r="Q607" s="0" t="n">
        <f aca="true">RAND()</f>
        <v>0.105772201069198</v>
      </c>
      <c r="R607" s="0" t="n">
        <f aca="false">IF($I607&lt;&gt;$O607,0,IF(P607&lt;Matchup!$B$39,7,IF(P607&lt;Matchup!$B$39+Matchup!$B$40,3,0)))</f>
        <v>0</v>
      </c>
      <c r="S607" s="0" t="n">
        <f aca="false">IF($I607&lt;&gt;$O607,0,IF(Q607&lt;Matchup!$C$39,7,IF(Q607&lt;Matchup!$C$39+Matchup!$C$40,3,0)))</f>
        <v>0</v>
      </c>
      <c r="T607" s="0" t="n">
        <f aca="false">I607+R607</f>
        <v>21</v>
      </c>
      <c r="U607" s="0" t="n">
        <f aca="false">O607+S607</f>
        <v>29</v>
      </c>
      <c r="V607" s="0" t="n">
        <f aca="false">T607-U607</f>
        <v>-8</v>
      </c>
      <c r="W607" s="0" t="n">
        <f aca="false">T607+U607</f>
        <v>50</v>
      </c>
    </row>
    <row r="608" customFormat="false" ht="15" hidden="false" customHeight="false" outlineLevel="0" collapsed="false">
      <c r="A608" s="0" t="n">
        <v>605</v>
      </c>
      <c r="B608" s="0" t="n">
        <f aca="true">NORMINV(RAND(),1,Coefficients!$B$22)</f>
        <v>1.05695068059743</v>
      </c>
      <c r="C608" s="0" t="n">
        <f aca="true">MEDIAN(8,16,ROUND(NORMINV(RAND(),Coefficients!$B$20,Coefficients!$B$21),0))</f>
        <v>10</v>
      </c>
      <c r="D608" s="0" t="n">
        <f aca="true">CRITBINOM($C608,MIN(0.75,Matchup!$B$39*$B608),RAND())</f>
        <v>5</v>
      </c>
      <c r="E608" s="0" t="n">
        <f aca="true">CRITBINOM(D608,Coefficients!$B$30,RAND())</f>
        <v>1</v>
      </c>
      <c r="F608" s="0" t="n">
        <f aca="true">CRITBINOM(E608,Coefficients!$B$31,RAND())</f>
        <v>1</v>
      </c>
      <c r="G608" s="0" t="n">
        <f aca="true">CRITBINOM(MAX(0,D608-E608),1-Coefficients!$B$32,RAND())</f>
        <v>1</v>
      </c>
      <c r="H608" s="0" t="n">
        <f aca="true">CRITBINOM(MAX(0,$C608-D608),MIN(0.6,Matchup!$B$40*SQRT($B608)/(1-MIN(0.75,Matchup!$B$39*$B608))),RAND())</f>
        <v>2</v>
      </c>
      <c r="I608" s="0" t="n">
        <f aca="false">6*D608+(D608-E608-G608)+2*F608+3*H608</f>
        <v>41</v>
      </c>
      <c r="J608" s="0" t="n">
        <f aca="true">CRITBINOM($C608,MIN(0.75,Matchup!$C$39*$B608),RAND())</f>
        <v>2</v>
      </c>
      <c r="K608" s="0" t="n">
        <f aca="true">CRITBINOM(J608,Coefficients!$B$30,RAND())</f>
        <v>0</v>
      </c>
      <c r="L608" s="0" t="n">
        <f aca="true">CRITBINOM(K608,Coefficients!$B$31,RAND())</f>
        <v>0</v>
      </c>
      <c r="M608" s="0" t="n">
        <f aca="true">CRITBINOM(MAX(0,J608-K608),1-Coefficients!$B$32,RAND())</f>
        <v>0</v>
      </c>
      <c r="N608" s="0" t="n">
        <f aca="true">CRITBINOM(MAX(0,$C608-J608),MIN(0.6,Matchup!$C$40*SQRT($B608)/(1-MIN(0.75,Matchup!$C$39*$B608))),RAND())</f>
        <v>3</v>
      </c>
      <c r="O608" s="0" t="n">
        <f aca="false">6*J608+(J608-K608-M608)+2*L608+3*N608</f>
        <v>23</v>
      </c>
      <c r="P608" s="0" t="n">
        <f aca="true">RAND()</f>
        <v>0.900943893426887</v>
      </c>
      <c r="Q608" s="0" t="n">
        <f aca="true">RAND()</f>
        <v>0.209218082317494</v>
      </c>
      <c r="R608" s="0" t="n">
        <f aca="false">IF($I608&lt;&gt;$O608,0,IF(P608&lt;Matchup!$B$39,7,IF(P608&lt;Matchup!$B$39+Matchup!$B$40,3,0)))</f>
        <v>0</v>
      </c>
      <c r="S608" s="0" t="n">
        <f aca="false">IF($I608&lt;&gt;$O608,0,IF(Q608&lt;Matchup!$C$39,7,IF(Q608&lt;Matchup!$C$39+Matchup!$C$40,3,0)))</f>
        <v>0</v>
      </c>
      <c r="T608" s="0" t="n">
        <f aca="false">I608+R608</f>
        <v>41</v>
      </c>
      <c r="U608" s="0" t="n">
        <f aca="false">O608+S608</f>
        <v>23</v>
      </c>
      <c r="V608" s="0" t="n">
        <f aca="false">T608-U608</f>
        <v>18</v>
      </c>
      <c r="W608" s="0" t="n">
        <f aca="false">T608+U608</f>
        <v>64</v>
      </c>
    </row>
    <row r="609" customFormat="false" ht="15" hidden="false" customHeight="false" outlineLevel="0" collapsed="false">
      <c r="A609" s="0" t="n">
        <v>606</v>
      </c>
      <c r="B609" s="0" t="n">
        <f aca="true">NORMINV(RAND(),1,Coefficients!$B$22)</f>
        <v>1.02523861521449</v>
      </c>
      <c r="C609" s="0" t="n">
        <f aca="true">MEDIAN(8,16,ROUND(NORMINV(RAND(),Coefficients!$B$20,Coefficients!$B$21),0))</f>
        <v>11</v>
      </c>
      <c r="D609" s="0" t="n">
        <f aca="true">CRITBINOM($C609,MIN(0.75,Matchup!$B$39*$B609),RAND())</f>
        <v>1</v>
      </c>
      <c r="E609" s="0" t="n">
        <f aca="true">CRITBINOM(D609,Coefficients!$B$30,RAND())</f>
        <v>0</v>
      </c>
      <c r="F609" s="0" t="n">
        <f aca="true">CRITBINOM(E609,Coefficients!$B$31,RAND())</f>
        <v>0</v>
      </c>
      <c r="G609" s="0" t="n">
        <f aca="true">CRITBINOM(MAX(0,D609-E609),1-Coefficients!$B$32,RAND())</f>
        <v>0</v>
      </c>
      <c r="H609" s="0" t="n">
        <f aca="true">CRITBINOM(MAX(0,$C609-D609),MIN(0.6,Matchup!$B$40*SQRT($B609)/(1-MIN(0.75,Matchup!$B$39*$B609))),RAND())</f>
        <v>3</v>
      </c>
      <c r="I609" s="0" t="n">
        <f aca="false">6*D609+(D609-E609-G609)+2*F609+3*H609</f>
        <v>16</v>
      </c>
      <c r="J609" s="0" t="n">
        <f aca="true">CRITBINOM($C609,MIN(0.75,Matchup!$C$39*$B609),RAND())</f>
        <v>4</v>
      </c>
      <c r="K609" s="0" t="n">
        <f aca="true">CRITBINOM(J609,Coefficients!$B$30,RAND())</f>
        <v>1</v>
      </c>
      <c r="L609" s="0" t="n">
        <f aca="true">CRITBINOM(K609,Coefficients!$B$31,RAND())</f>
        <v>1</v>
      </c>
      <c r="M609" s="0" t="n">
        <f aca="true">CRITBINOM(MAX(0,J609-K609),1-Coefficients!$B$32,RAND())</f>
        <v>0</v>
      </c>
      <c r="N609" s="0" t="n">
        <f aca="true">CRITBINOM(MAX(0,$C609-J609),MIN(0.6,Matchup!$C$40*SQRT($B609)/(1-MIN(0.75,Matchup!$C$39*$B609))),RAND())</f>
        <v>2</v>
      </c>
      <c r="O609" s="0" t="n">
        <f aca="false">6*J609+(J609-K609-M609)+2*L609+3*N609</f>
        <v>35</v>
      </c>
      <c r="P609" s="0" t="n">
        <f aca="true">RAND()</f>
        <v>0.225302285521292</v>
      </c>
      <c r="Q609" s="0" t="n">
        <f aca="true">RAND()</f>
        <v>0.902293807368644</v>
      </c>
      <c r="R609" s="0" t="n">
        <f aca="false">IF($I609&lt;&gt;$O609,0,IF(P609&lt;Matchup!$B$39,7,IF(P609&lt;Matchup!$B$39+Matchup!$B$40,3,0)))</f>
        <v>0</v>
      </c>
      <c r="S609" s="0" t="n">
        <f aca="false">IF($I609&lt;&gt;$O609,0,IF(Q609&lt;Matchup!$C$39,7,IF(Q609&lt;Matchup!$C$39+Matchup!$C$40,3,0)))</f>
        <v>0</v>
      </c>
      <c r="T609" s="0" t="n">
        <f aca="false">I609+R609</f>
        <v>16</v>
      </c>
      <c r="U609" s="0" t="n">
        <f aca="false">O609+S609</f>
        <v>35</v>
      </c>
      <c r="V609" s="0" t="n">
        <f aca="false">T609-U609</f>
        <v>-19</v>
      </c>
      <c r="W609" s="0" t="n">
        <f aca="false">T609+U609</f>
        <v>51</v>
      </c>
    </row>
    <row r="610" customFormat="false" ht="15" hidden="false" customHeight="false" outlineLevel="0" collapsed="false">
      <c r="A610" s="0" t="n">
        <v>607</v>
      </c>
      <c r="B610" s="0" t="n">
        <f aca="true">NORMINV(RAND(),1,Coefficients!$B$22)</f>
        <v>1.11549858734199</v>
      </c>
      <c r="C610" s="0" t="n">
        <f aca="true">MEDIAN(8,16,ROUND(NORMINV(RAND(),Coefficients!$B$20,Coefficients!$B$21),0))</f>
        <v>11</v>
      </c>
      <c r="D610" s="0" t="n">
        <f aca="true">CRITBINOM($C610,MIN(0.75,Matchup!$B$39*$B610),RAND())</f>
        <v>5</v>
      </c>
      <c r="E610" s="0" t="n">
        <f aca="true">CRITBINOM(D610,Coefficients!$B$30,RAND())</f>
        <v>0</v>
      </c>
      <c r="F610" s="0" t="n">
        <f aca="true">CRITBINOM(E610,Coefficients!$B$31,RAND())</f>
        <v>0</v>
      </c>
      <c r="G610" s="0" t="n">
        <f aca="true">CRITBINOM(MAX(0,D610-E610),1-Coefficients!$B$32,RAND())</f>
        <v>0</v>
      </c>
      <c r="H610" s="0" t="n">
        <f aca="true">CRITBINOM(MAX(0,$C610-D610),MIN(0.6,Matchup!$B$40*SQRT($B610)/(1-MIN(0.75,Matchup!$B$39*$B610))),RAND())</f>
        <v>0</v>
      </c>
      <c r="I610" s="0" t="n">
        <f aca="false">6*D610+(D610-E610-G610)+2*F610+3*H610</f>
        <v>35</v>
      </c>
      <c r="J610" s="0" t="n">
        <f aca="true">CRITBINOM($C610,MIN(0.75,Matchup!$C$39*$B610),RAND())</f>
        <v>4</v>
      </c>
      <c r="K610" s="0" t="n">
        <f aca="true">CRITBINOM(J610,Coefficients!$B$30,RAND())</f>
        <v>1</v>
      </c>
      <c r="L610" s="0" t="n">
        <f aca="true">CRITBINOM(K610,Coefficients!$B$31,RAND())</f>
        <v>0</v>
      </c>
      <c r="M610" s="0" t="n">
        <f aca="true">CRITBINOM(MAX(0,J610-K610),1-Coefficients!$B$32,RAND())</f>
        <v>0</v>
      </c>
      <c r="N610" s="0" t="n">
        <f aca="true">CRITBINOM(MAX(0,$C610-J610),MIN(0.6,Matchup!$C$40*SQRT($B610)/(1-MIN(0.75,Matchup!$C$39*$B610))),RAND())</f>
        <v>2</v>
      </c>
      <c r="O610" s="0" t="n">
        <f aca="false">6*J610+(J610-K610-M610)+2*L610+3*N610</f>
        <v>33</v>
      </c>
      <c r="P610" s="0" t="n">
        <f aca="true">RAND()</f>
        <v>0.0426519051258256</v>
      </c>
      <c r="Q610" s="0" t="n">
        <f aca="true">RAND()</f>
        <v>0.238462109035888</v>
      </c>
      <c r="R610" s="0" t="n">
        <f aca="false">IF($I610&lt;&gt;$O610,0,IF(P610&lt;Matchup!$B$39,7,IF(P610&lt;Matchup!$B$39+Matchup!$B$40,3,0)))</f>
        <v>0</v>
      </c>
      <c r="S610" s="0" t="n">
        <f aca="false">IF($I610&lt;&gt;$O610,0,IF(Q610&lt;Matchup!$C$39,7,IF(Q610&lt;Matchup!$C$39+Matchup!$C$40,3,0)))</f>
        <v>0</v>
      </c>
      <c r="T610" s="0" t="n">
        <f aca="false">I610+R610</f>
        <v>35</v>
      </c>
      <c r="U610" s="0" t="n">
        <f aca="false">O610+S610</f>
        <v>33</v>
      </c>
      <c r="V610" s="0" t="n">
        <f aca="false">T610-U610</f>
        <v>2</v>
      </c>
      <c r="W610" s="0" t="n">
        <f aca="false">T610+U610</f>
        <v>68</v>
      </c>
    </row>
    <row r="611" customFormat="false" ht="15" hidden="false" customHeight="false" outlineLevel="0" collapsed="false">
      <c r="A611" s="0" t="n">
        <v>608</v>
      </c>
      <c r="B611" s="0" t="n">
        <f aca="true">NORMINV(RAND(),1,Coefficients!$B$22)</f>
        <v>1.08919717001612</v>
      </c>
      <c r="C611" s="0" t="n">
        <f aca="true">MEDIAN(8,16,ROUND(NORMINV(RAND(),Coefficients!$B$20,Coefficients!$B$21),0))</f>
        <v>12</v>
      </c>
      <c r="D611" s="0" t="n">
        <f aca="true">CRITBINOM($C611,MIN(0.75,Matchup!$B$39*$B611),RAND())</f>
        <v>6</v>
      </c>
      <c r="E611" s="0" t="n">
        <f aca="true">CRITBINOM(D611,Coefficients!$B$30,RAND())</f>
        <v>0</v>
      </c>
      <c r="F611" s="0" t="n">
        <f aca="true">CRITBINOM(E611,Coefficients!$B$31,RAND())</f>
        <v>0</v>
      </c>
      <c r="G611" s="0" t="n">
        <f aca="true">CRITBINOM(MAX(0,D611-E611),1-Coefficients!$B$32,RAND())</f>
        <v>0</v>
      </c>
      <c r="H611" s="0" t="n">
        <f aca="true">CRITBINOM(MAX(0,$C611-D611),MIN(0.6,Matchup!$B$40*SQRT($B611)/(1-MIN(0.75,Matchup!$B$39*$B611))),RAND())</f>
        <v>2</v>
      </c>
      <c r="I611" s="0" t="n">
        <f aca="false">6*D611+(D611-E611-G611)+2*F611+3*H611</f>
        <v>48</v>
      </c>
      <c r="J611" s="0" t="n">
        <f aca="true">CRITBINOM($C611,MIN(0.75,Matchup!$C$39*$B611),RAND())</f>
        <v>1</v>
      </c>
      <c r="K611" s="0" t="n">
        <f aca="true">CRITBINOM(J611,Coefficients!$B$30,RAND())</f>
        <v>0</v>
      </c>
      <c r="L611" s="0" t="n">
        <f aca="true">CRITBINOM(K611,Coefficients!$B$31,RAND())</f>
        <v>0</v>
      </c>
      <c r="M611" s="0" t="n">
        <f aca="true">CRITBINOM(MAX(0,J611-K611),1-Coefficients!$B$32,RAND())</f>
        <v>0</v>
      </c>
      <c r="N611" s="0" t="n">
        <f aca="true">CRITBINOM(MAX(0,$C611-J611),MIN(0.6,Matchup!$C$40*SQRT($B611)/(1-MIN(0.75,Matchup!$C$39*$B611))),RAND())</f>
        <v>0</v>
      </c>
      <c r="O611" s="0" t="n">
        <f aca="false">6*J611+(J611-K611-M611)+2*L611+3*N611</f>
        <v>7</v>
      </c>
      <c r="P611" s="0" t="n">
        <f aca="true">RAND()</f>
        <v>0.215965626011259</v>
      </c>
      <c r="Q611" s="0" t="n">
        <f aca="true">RAND()</f>
        <v>0.773177510943563</v>
      </c>
      <c r="R611" s="0" t="n">
        <f aca="false">IF($I611&lt;&gt;$O611,0,IF(P611&lt;Matchup!$B$39,7,IF(P611&lt;Matchup!$B$39+Matchup!$B$40,3,0)))</f>
        <v>0</v>
      </c>
      <c r="S611" s="0" t="n">
        <f aca="false">IF($I611&lt;&gt;$O611,0,IF(Q611&lt;Matchup!$C$39,7,IF(Q611&lt;Matchup!$C$39+Matchup!$C$40,3,0)))</f>
        <v>0</v>
      </c>
      <c r="T611" s="0" t="n">
        <f aca="false">I611+R611</f>
        <v>48</v>
      </c>
      <c r="U611" s="0" t="n">
        <f aca="false">O611+S611</f>
        <v>7</v>
      </c>
      <c r="V611" s="0" t="n">
        <f aca="false">T611-U611</f>
        <v>41</v>
      </c>
      <c r="W611" s="0" t="n">
        <f aca="false">T611+U611</f>
        <v>55</v>
      </c>
    </row>
    <row r="612" customFormat="false" ht="15" hidden="false" customHeight="false" outlineLevel="0" collapsed="false">
      <c r="A612" s="0" t="n">
        <v>609</v>
      </c>
      <c r="B612" s="0" t="n">
        <f aca="true">NORMINV(RAND(),1,Coefficients!$B$22)</f>
        <v>0.970861682988049</v>
      </c>
      <c r="C612" s="0" t="n">
        <f aca="true">MEDIAN(8,16,ROUND(NORMINV(RAND(),Coefficients!$B$20,Coefficients!$B$21),0))</f>
        <v>12</v>
      </c>
      <c r="D612" s="0" t="n">
        <f aca="true">CRITBINOM($C612,MIN(0.75,Matchup!$B$39*$B612),RAND())</f>
        <v>2</v>
      </c>
      <c r="E612" s="0" t="n">
        <f aca="true">CRITBINOM(D612,Coefficients!$B$30,RAND())</f>
        <v>0</v>
      </c>
      <c r="F612" s="0" t="n">
        <f aca="true">CRITBINOM(E612,Coefficients!$B$31,RAND())</f>
        <v>0</v>
      </c>
      <c r="G612" s="0" t="n">
        <f aca="true">CRITBINOM(MAX(0,D612-E612),1-Coefficients!$B$32,RAND())</f>
        <v>0</v>
      </c>
      <c r="H612" s="0" t="n">
        <f aca="true">CRITBINOM(MAX(0,$C612-D612),MIN(0.6,Matchup!$B$40*SQRT($B612)/(1-MIN(0.75,Matchup!$B$39*$B612))),RAND())</f>
        <v>2</v>
      </c>
      <c r="I612" s="0" t="n">
        <f aca="false">6*D612+(D612-E612-G612)+2*F612+3*H612</f>
        <v>20</v>
      </c>
      <c r="J612" s="0" t="n">
        <f aca="true">CRITBINOM($C612,MIN(0.75,Matchup!$C$39*$B612),RAND())</f>
        <v>1</v>
      </c>
      <c r="K612" s="0" t="n">
        <f aca="true">CRITBINOM(J612,Coefficients!$B$30,RAND())</f>
        <v>0</v>
      </c>
      <c r="L612" s="0" t="n">
        <f aca="true">CRITBINOM(K612,Coefficients!$B$31,RAND())</f>
        <v>0</v>
      </c>
      <c r="M612" s="0" t="n">
        <f aca="true">CRITBINOM(MAX(0,J612-K612),1-Coefficients!$B$32,RAND())</f>
        <v>0</v>
      </c>
      <c r="N612" s="0" t="n">
        <f aca="true">CRITBINOM(MAX(0,$C612-J612),MIN(0.6,Matchup!$C$40*SQRT($B612)/(1-MIN(0.75,Matchup!$C$39*$B612))),RAND())</f>
        <v>1</v>
      </c>
      <c r="O612" s="0" t="n">
        <f aca="false">6*J612+(J612-K612-M612)+2*L612+3*N612</f>
        <v>10</v>
      </c>
      <c r="P612" s="0" t="n">
        <f aca="true">RAND()</f>
        <v>0.956178188997549</v>
      </c>
      <c r="Q612" s="0" t="n">
        <f aca="true">RAND()</f>
        <v>0.257296847158735</v>
      </c>
      <c r="R612" s="0" t="n">
        <f aca="false">IF($I612&lt;&gt;$O612,0,IF(P612&lt;Matchup!$B$39,7,IF(P612&lt;Matchup!$B$39+Matchup!$B$40,3,0)))</f>
        <v>0</v>
      </c>
      <c r="S612" s="0" t="n">
        <f aca="false">IF($I612&lt;&gt;$O612,0,IF(Q612&lt;Matchup!$C$39,7,IF(Q612&lt;Matchup!$C$39+Matchup!$C$40,3,0)))</f>
        <v>0</v>
      </c>
      <c r="T612" s="0" t="n">
        <f aca="false">I612+R612</f>
        <v>20</v>
      </c>
      <c r="U612" s="0" t="n">
        <f aca="false">O612+S612</f>
        <v>10</v>
      </c>
      <c r="V612" s="0" t="n">
        <f aca="false">T612-U612</f>
        <v>10</v>
      </c>
      <c r="W612" s="0" t="n">
        <f aca="false">T612+U612</f>
        <v>30</v>
      </c>
    </row>
    <row r="613" customFormat="false" ht="15" hidden="false" customHeight="false" outlineLevel="0" collapsed="false">
      <c r="A613" s="0" t="n">
        <v>610</v>
      </c>
      <c r="B613" s="0" t="n">
        <f aca="true">NORMINV(RAND(),1,Coefficients!$B$22)</f>
        <v>1.0033072919072</v>
      </c>
      <c r="C613" s="0" t="n">
        <f aca="true">MEDIAN(8,16,ROUND(NORMINV(RAND(),Coefficients!$B$20,Coefficients!$B$21),0))</f>
        <v>13</v>
      </c>
      <c r="D613" s="0" t="n">
        <f aca="true">CRITBINOM($C613,MIN(0.75,Matchup!$B$39*$B613),RAND())</f>
        <v>4</v>
      </c>
      <c r="E613" s="0" t="n">
        <f aca="true">CRITBINOM(D613,Coefficients!$B$30,RAND())</f>
        <v>1</v>
      </c>
      <c r="F613" s="0" t="n">
        <f aca="true">CRITBINOM(E613,Coefficients!$B$31,RAND())</f>
        <v>1</v>
      </c>
      <c r="G613" s="0" t="n">
        <f aca="true">CRITBINOM(MAX(0,D613-E613),1-Coefficients!$B$32,RAND())</f>
        <v>1</v>
      </c>
      <c r="H613" s="0" t="n">
        <f aca="true">CRITBINOM(MAX(0,$C613-D613),MIN(0.6,Matchup!$B$40*SQRT($B613)/(1-MIN(0.75,Matchup!$B$39*$B613))),RAND())</f>
        <v>1</v>
      </c>
      <c r="I613" s="0" t="n">
        <f aca="false">6*D613+(D613-E613-G613)+2*F613+3*H613</f>
        <v>31</v>
      </c>
      <c r="J613" s="0" t="n">
        <f aca="true">CRITBINOM($C613,MIN(0.75,Matchup!$C$39*$B613),RAND())</f>
        <v>3</v>
      </c>
      <c r="K613" s="0" t="n">
        <f aca="true">CRITBINOM(J613,Coefficients!$B$30,RAND())</f>
        <v>0</v>
      </c>
      <c r="L613" s="0" t="n">
        <f aca="true">CRITBINOM(K613,Coefficients!$B$31,RAND())</f>
        <v>0</v>
      </c>
      <c r="M613" s="0" t="n">
        <f aca="true">CRITBINOM(MAX(0,J613-K613),1-Coefficients!$B$32,RAND())</f>
        <v>1</v>
      </c>
      <c r="N613" s="0" t="n">
        <f aca="true">CRITBINOM(MAX(0,$C613-J613),MIN(0.6,Matchup!$C$40*SQRT($B613)/(1-MIN(0.75,Matchup!$C$39*$B613))),RAND())</f>
        <v>1</v>
      </c>
      <c r="O613" s="0" t="n">
        <f aca="false">6*J613+(J613-K613-M613)+2*L613+3*N613</f>
        <v>23</v>
      </c>
      <c r="P613" s="0" t="n">
        <f aca="true">RAND()</f>
        <v>0.0343742470424789</v>
      </c>
      <c r="Q613" s="0" t="n">
        <f aca="true">RAND()</f>
        <v>0.599386376619293</v>
      </c>
      <c r="R613" s="0" t="n">
        <f aca="false">IF($I613&lt;&gt;$O613,0,IF(P613&lt;Matchup!$B$39,7,IF(P613&lt;Matchup!$B$39+Matchup!$B$40,3,0)))</f>
        <v>0</v>
      </c>
      <c r="S613" s="0" t="n">
        <f aca="false">IF($I613&lt;&gt;$O613,0,IF(Q613&lt;Matchup!$C$39,7,IF(Q613&lt;Matchup!$C$39+Matchup!$C$40,3,0)))</f>
        <v>0</v>
      </c>
      <c r="T613" s="0" t="n">
        <f aca="false">I613+R613</f>
        <v>31</v>
      </c>
      <c r="U613" s="0" t="n">
        <f aca="false">O613+S613</f>
        <v>23</v>
      </c>
      <c r="V613" s="0" t="n">
        <f aca="false">T613-U613</f>
        <v>8</v>
      </c>
      <c r="W613" s="0" t="n">
        <f aca="false">T613+U613</f>
        <v>54</v>
      </c>
    </row>
    <row r="614" customFormat="false" ht="15" hidden="false" customHeight="false" outlineLevel="0" collapsed="false">
      <c r="A614" s="0" t="n">
        <v>611</v>
      </c>
      <c r="B614" s="0" t="n">
        <f aca="true">NORMINV(RAND(),1,Coefficients!$B$22)</f>
        <v>1.05034495144964</v>
      </c>
      <c r="C614" s="0" t="n">
        <f aca="true">MEDIAN(8,16,ROUND(NORMINV(RAND(),Coefficients!$B$20,Coefficients!$B$21),0))</f>
        <v>11</v>
      </c>
      <c r="D614" s="0" t="n">
        <f aca="true">CRITBINOM($C614,MIN(0.75,Matchup!$B$39*$B614),RAND())</f>
        <v>2</v>
      </c>
      <c r="E614" s="0" t="n">
        <f aca="true">CRITBINOM(D614,Coefficients!$B$30,RAND())</f>
        <v>0</v>
      </c>
      <c r="F614" s="0" t="n">
        <f aca="true">CRITBINOM(E614,Coefficients!$B$31,RAND())</f>
        <v>0</v>
      </c>
      <c r="G614" s="0" t="n">
        <f aca="true">CRITBINOM(MAX(0,D614-E614),1-Coefficients!$B$32,RAND())</f>
        <v>0</v>
      </c>
      <c r="H614" s="0" t="n">
        <f aca="true">CRITBINOM(MAX(0,$C614-D614),MIN(0.6,Matchup!$B$40*SQRT($B614)/(1-MIN(0.75,Matchup!$B$39*$B614))),RAND())</f>
        <v>3</v>
      </c>
      <c r="I614" s="0" t="n">
        <f aca="false">6*D614+(D614-E614-G614)+2*F614+3*H614</f>
        <v>23</v>
      </c>
      <c r="J614" s="0" t="n">
        <f aca="true">CRITBINOM($C614,MIN(0.75,Matchup!$C$39*$B614),RAND())</f>
        <v>1</v>
      </c>
      <c r="K614" s="0" t="n">
        <f aca="true">CRITBINOM(J614,Coefficients!$B$30,RAND())</f>
        <v>0</v>
      </c>
      <c r="L614" s="0" t="n">
        <f aca="true">CRITBINOM(K614,Coefficients!$B$31,RAND())</f>
        <v>0</v>
      </c>
      <c r="M614" s="0" t="n">
        <f aca="true">CRITBINOM(MAX(0,J614-K614),1-Coefficients!$B$32,RAND())</f>
        <v>0</v>
      </c>
      <c r="N614" s="0" t="n">
        <f aca="true">CRITBINOM(MAX(0,$C614-J614),MIN(0.6,Matchup!$C$40*SQRT($B614)/(1-MIN(0.75,Matchup!$C$39*$B614))),RAND())</f>
        <v>0</v>
      </c>
      <c r="O614" s="0" t="n">
        <f aca="false">6*J614+(J614-K614-M614)+2*L614+3*N614</f>
        <v>7</v>
      </c>
      <c r="P614" s="0" t="n">
        <f aca="true">RAND()</f>
        <v>0.229782845009317</v>
      </c>
      <c r="Q614" s="0" t="n">
        <f aca="true">RAND()</f>
        <v>0.691169461015101</v>
      </c>
      <c r="R614" s="0" t="n">
        <f aca="false">IF($I614&lt;&gt;$O614,0,IF(P614&lt;Matchup!$B$39,7,IF(P614&lt;Matchup!$B$39+Matchup!$B$40,3,0)))</f>
        <v>0</v>
      </c>
      <c r="S614" s="0" t="n">
        <f aca="false">IF($I614&lt;&gt;$O614,0,IF(Q614&lt;Matchup!$C$39,7,IF(Q614&lt;Matchup!$C$39+Matchup!$C$40,3,0)))</f>
        <v>0</v>
      </c>
      <c r="T614" s="0" t="n">
        <f aca="false">I614+R614</f>
        <v>23</v>
      </c>
      <c r="U614" s="0" t="n">
        <f aca="false">O614+S614</f>
        <v>7</v>
      </c>
      <c r="V614" s="0" t="n">
        <f aca="false">T614-U614</f>
        <v>16</v>
      </c>
      <c r="W614" s="0" t="n">
        <f aca="false">T614+U614</f>
        <v>30</v>
      </c>
    </row>
    <row r="615" customFormat="false" ht="15" hidden="false" customHeight="false" outlineLevel="0" collapsed="false">
      <c r="A615" s="0" t="n">
        <v>612</v>
      </c>
      <c r="B615" s="0" t="n">
        <f aca="true">NORMINV(RAND(),1,Coefficients!$B$22)</f>
        <v>1.07305028760654</v>
      </c>
      <c r="C615" s="0" t="n">
        <f aca="true">MEDIAN(8,16,ROUND(NORMINV(RAND(),Coefficients!$B$20,Coefficients!$B$21),0))</f>
        <v>12</v>
      </c>
      <c r="D615" s="0" t="n">
        <f aca="true">CRITBINOM($C615,MIN(0.75,Matchup!$B$39*$B615),RAND())</f>
        <v>6</v>
      </c>
      <c r="E615" s="0" t="n">
        <f aca="true">CRITBINOM(D615,Coefficients!$B$30,RAND())</f>
        <v>3</v>
      </c>
      <c r="F615" s="0" t="n">
        <f aca="true">CRITBINOM(E615,Coefficients!$B$31,RAND())</f>
        <v>2</v>
      </c>
      <c r="G615" s="0" t="n">
        <f aca="true">CRITBINOM(MAX(0,D615-E615),1-Coefficients!$B$32,RAND())</f>
        <v>0</v>
      </c>
      <c r="H615" s="0" t="n">
        <f aca="true">CRITBINOM(MAX(0,$C615-D615),MIN(0.6,Matchup!$B$40*SQRT($B615)/(1-MIN(0.75,Matchup!$B$39*$B615))),RAND())</f>
        <v>3</v>
      </c>
      <c r="I615" s="0" t="n">
        <f aca="false">6*D615+(D615-E615-G615)+2*F615+3*H615</f>
        <v>52</v>
      </c>
      <c r="J615" s="0" t="n">
        <f aca="true">CRITBINOM($C615,MIN(0.75,Matchup!$C$39*$B615),RAND())</f>
        <v>9</v>
      </c>
      <c r="K615" s="0" t="n">
        <f aca="true">CRITBINOM(J615,Coefficients!$B$30,RAND())</f>
        <v>0</v>
      </c>
      <c r="L615" s="0" t="n">
        <f aca="true">CRITBINOM(K615,Coefficients!$B$31,RAND())</f>
        <v>0</v>
      </c>
      <c r="M615" s="0" t="n">
        <f aca="true">CRITBINOM(MAX(0,J615-K615),1-Coefficients!$B$32,RAND())</f>
        <v>0</v>
      </c>
      <c r="N615" s="0" t="n">
        <f aca="true">CRITBINOM(MAX(0,$C615-J615),MIN(0.6,Matchup!$C$40*SQRT($B615)/(1-MIN(0.75,Matchup!$C$39*$B615))),RAND())</f>
        <v>1</v>
      </c>
      <c r="O615" s="0" t="n">
        <f aca="false">6*J615+(J615-K615-M615)+2*L615+3*N615</f>
        <v>66</v>
      </c>
      <c r="P615" s="0" t="n">
        <f aca="true">RAND()</f>
        <v>0.694377384567838</v>
      </c>
      <c r="Q615" s="0" t="n">
        <f aca="true">RAND()</f>
        <v>0.388766157845334</v>
      </c>
      <c r="R615" s="0" t="n">
        <f aca="false">IF($I615&lt;&gt;$O615,0,IF(P615&lt;Matchup!$B$39,7,IF(P615&lt;Matchup!$B$39+Matchup!$B$40,3,0)))</f>
        <v>0</v>
      </c>
      <c r="S615" s="0" t="n">
        <f aca="false">IF($I615&lt;&gt;$O615,0,IF(Q615&lt;Matchup!$C$39,7,IF(Q615&lt;Matchup!$C$39+Matchup!$C$40,3,0)))</f>
        <v>0</v>
      </c>
      <c r="T615" s="0" t="n">
        <f aca="false">I615+R615</f>
        <v>52</v>
      </c>
      <c r="U615" s="0" t="n">
        <f aca="false">O615+S615</f>
        <v>66</v>
      </c>
      <c r="V615" s="0" t="n">
        <f aca="false">T615-U615</f>
        <v>-14</v>
      </c>
      <c r="W615" s="0" t="n">
        <f aca="false">T615+U615</f>
        <v>118</v>
      </c>
    </row>
    <row r="616" customFormat="false" ht="15" hidden="false" customHeight="false" outlineLevel="0" collapsed="false">
      <c r="A616" s="0" t="n">
        <v>613</v>
      </c>
      <c r="B616" s="0" t="n">
        <f aca="true">NORMINV(RAND(),1,Coefficients!$B$22)</f>
        <v>1.11796125780435</v>
      </c>
      <c r="C616" s="0" t="n">
        <f aca="true">MEDIAN(8,16,ROUND(NORMINV(RAND(),Coefficients!$B$20,Coefficients!$B$21),0))</f>
        <v>10</v>
      </c>
      <c r="D616" s="0" t="n">
        <f aca="true">CRITBINOM($C616,MIN(0.75,Matchup!$B$39*$B616),RAND())</f>
        <v>4</v>
      </c>
      <c r="E616" s="0" t="n">
        <f aca="true">CRITBINOM(D616,Coefficients!$B$30,RAND())</f>
        <v>1</v>
      </c>
      <c r="F616" s="0" t="n">
        <f aca="true">CRITBINOM(E616,Coefficients!$B$31,RAND())</f>
        <v>0</v>
      </c>
      <c r="G616" s="0" t="n">
        <f aca="true">CRITBINOM(MAX(0,D616-E616),1-Coefficients!$B$32,RAND())</f>
        <v>0</v>
      </c>
      <c r="H616" s="0" t="n">
        <f aca="true">CRITBINOM(MAX(0,$C616-D616),MIN(0.6,Matchup!$B$40*SQRT($B616)/(1-MIN(0.75,Matchup!$B$39*$B616))),RAND())</f>
        <v>0</v>
      </c>
      <c r="I616" s="0" t="n">
        <f aca="false">6*D616+(D616-E616-G616)+2*F616+3*H616</f>
        <v>27</v>
      </c>
      <c r="J616" s="0" t="n">
        <f aca="true">CRITBINOM($C616,MIN(0.75,Matchup!$C$39*$B616),RAND())</f>
        <v>2</v>
      </c>
      <c r="K616" s="0" t="n">
        <f aca="true">CRITBINOM(J616,Coefficients!$B$30,RAND())</f>
        <v>0</v>
      </c>
      <c r="L616" s="0" t="n">
        <f aca="true">CRITBINOM(K616,Coefficients!$B$31,RAND())</f>
        <v>0</v>
      </c>
      <c r="M616" s="0" t="n">
        <f aca="true">CRITBINOM(MAX(0,J616-K616),1-Coefficients!$B$32,RAND())</f>
        <v>0</v>
      </c>
      <c r="N616" s="0" t="n">
        <f aca="true">CRITBINOM(MAX(0,$C616-J616),MIN(0.6,Matchup!$C$40*SQRT($B616)/(1-MIN(0.75,Matchup!$C$39*$B616))),RAND())</f>
        <v>1</v>
      </c>
      <c r="O616" s="0" t="n">
        <f aca="false">6*J616+(J616-K616-M616)+2*L616+3*N616</f>
        <v>17</v>
      </c>
      <c r="P616" s="0" t="n">
        <f aca="true">RAND()</f>
        <v>0.888939704130188</v>
      </c>
      <c r="Q616" s="0" t="n">
        <f aca="true">RAND()</f>
        <v>0.680494584409484</v>
      </c>
      <c r="R616" s="0" t="n">
        <f aca="false">IF($I616&lt;&gt;$O616,0,IF(P616&lt;Matchup!$B$39,7,IF(P616&lt;Matchup!$B$39+Matchup!$B$40,3,0)))</f>
        <v>0</v>
      </c>
      <c r="S616" s="0" t="n">
        <f aca="false">IF($I616&lt;&gt;$O616,0,IF(Q616&lt;Matchup!$C$39,7,IF(Q616&lt;Matchup!$C$39+Matchup!$C$40,3,0)))</f>
        <v>0</v>
      </c>
      <c r="T616" s="0" t="n">
        <f aca="false">I616+R616</f>
        <v>27</v>
      </c>
      <c r="U616" s="0" t="n">
        <f aca="false">O616+S616</f>
        <v>17</v>
      </c>
      <c r="V616" s="0" t="n">
        <f aca="false">T616-U616</f>
        <v>10</v>
      </c>
      <c r="W616" s="0" t="n">
        <f aca="false">T616+U616</f>
        <v>44</v>
      </c>
    </row>
    <row r="617" customFormat="false" ht="15" hidden="false" customHeight="false" outlineLevel="0" collapsed="false">
      <c r="A617" s="0" t="n">
        <v>614</v>
      </c>
      <c r="B617" s="0" t="n">
        <f aca="true">NORMINV(RAND(),1,Coefficients!$B$22)</f>
        <v>1.02528004141342</v>
      </c>
      <c r="C617" s="0" t="n">
        <f aca="true">MEDIAN(8,16,ROUND(NORMINV(RAND(),Coefficients!$B$20,Coefficients!$B$21),0))</f>
        <v>10</v>
      </c>
      <c r="D617" s="0" t="n">
        <f aca="true">CRITBINOM($C617,MIN(0.75,Matchup!$B$39*$B617),RAND())</f>
        <v>5</v>
      </c>
      <c r="E617" s="0" t="n">
        <f aca="true">CRITBINOM(D617,Coefficients!$B$30,RAND())</f>
        <v>1</v>
      </c>
      <c r="F617" s="0" t="n">
        <f aca="true">CRITBINOM(E617,Coefficients!$B$31,RAND())</f>
        <v>1</v>
      </c>
      <c r="G617" s="0" t="n">
        <f aca="true">CRITBINOM(MAX(0,D617-E617),1-Coefficients!$B$32,RAND())</f>
        <v>0</v>
      </c>
      <c r="H617" s="0" t="n">
        <f aca="true">CRITBINOM(MAX(0,$C617-D617),MIN(0.6,Matchup!$B$40*SQRT($B617)/(1-MIN(0.75,Matchup!$B$39*$B617))),RAND())</f>
        <v>0</v>
      </c>
      <c r="I617" s="0" t="n">
        <f aca="false">6*D617+(D617-E617-G617)+2*F617+3*H617</f>
        <v>36</v>
      </c>
      <c r="J617" s="0" t="n">
        <f aca="true">CRITBINOM($C617,MIN(0.75,Matchup!$C$39*$B617),RAND())</f>
        <v>2</v>
      </c>
      <c r="K617" s="0" t="n">
        <f aca="true">CRITBINOM(J617,Coefficients!$B$30,RAND())</f>
        <v>0</v>
      </c>
      <c r="L617" s="0" t="n">
        <f aca="true">CRITBINOM(K617,Coefficients!$B$31,RAND())</f>
        <v>0</v>
      </c>
      <c r="M617" s="0" t="n">
        <f aca="true">CRITBINOM(MAX(0,J617-K617),1-Coefficients!$B$32,RAND())</f>
        <v>0</v>
      </c>
      <c r="N617" s="0" t="n">
        <f aca="true">CRITBINOM(MAX(0,$C617-J617),MIN(0.6,Matchup!$C$40*SQRT($B617)/(1-MIN(0.75,Matchup!$C$39*$B617))),RAND())</f>
        <v>0</v>
      </c>
      <c r="O617" s="0" t="n">
        <f aca="false">6*J617+(J617-K617-M617)+2*L617+3*N617</f>
        <v>14</v>
      </c>
      <c r="P617" s="0" t="n">
        <f aca="true">RAND()</f>
        <v>0.349534563332945</v>
      </c>
      <c r="Q617" s="0" t="n">
        <f aca="true">RAND()</f>
        <v>0.199061074465036</v>
      </c>
      <c r="R617" s="0" t="n">
        <f aca="false">IF($I617&lt;&gt;$O617,0,IF(P617&lt;Matchup!$B$39,7,IF(P617&lt;Matchup!$B$39+Matchup!$B$40,3,0)))</f>
        <v>0</v>
      </c>
      <c r="S617" s="0" t="n">
        <f aca="false">IF($I617&lt;&gt;$O617,0,IF(Q617&lt;Matchup!$C$39,7,IF(Q617&lt;Matchup!$C$39+Matchup!$C$40,3,0)))</f>
        <v>0</v>
      </c>
      <c r="T617" s="0" t="n">
        <f aca="false">I617+R617</f>
        <v>36</v>
      </c>
      <c r="U617" s="0" t="n">
        <f aca="false">O617+S617</f>
        <v>14</v>
      </c>
      <c r="V617" s="0" t="n">
        <f aca="false">T617-U617</f>
        <v>22</v>
      </c>
      <c r="W617" s="0" t="n">
        <f aca="false">T617+U617</f>
        <v>50</v>
      </c>
    </row>
    <row r="618" customFormat="false" ht="15" hidden="false" customHeight="false" outlineLevel="0" collapsed="false">
      <c r="A618" s="0" t="n">
        <v>615</v>
      </c>
      <c r="B618" s="0" t="n">
        <f aca="true">NORMINV(RAND(),1,Coefficients!$B$22)</f>
        <v>0.937931348200143</v>
      </c>
      <c r="C618" s="0" t="n">
        <f aca="true">MEDIAN(8,16,ROUND(NORMINV(RAND(),Coefficients!$B$20,Coefficients!$B$21),0))</f>
        <v>11</v>
      </c>
      <c r="D618" s="0" t="n">
        <f aca="true">CRITBINOM($C618,MIN(0.75,Matchup!$B$39*$B618),RAND())</f>
        <v>1</v>
      </c>
      <c r="E618" s="0" t="n">
        <f aca="true">CRITBINOM(D618,Coefficients!$B$30,RAND())</f>
        <v>0</v>
      </c>
      <c r="F618" s="0" t="n">
        <f aca="true">CRITBINOM(E618,Coefficients!$B$31,RAND())</f>
        <v>0</v>
      </c>
      <c r="G618" s="0" t="n">
        <f aca="true">CRITBINOM(MAX(0,D618-E618),1-Coefficients!$B$32,RAND())</f>
        <v>0</v>
      </c>
      <c r="H618" s="0" t="n">
        <f aca="true">CRITBINOM(MAX(0,$C618-D618),MIN(0.6,Matchup!$B$40*SQRT($B618)/(1-MIN(0.75,Matchup!$B$39*$B618))),RAND())</f>
        <v>0</v>
      </c>
      <c r="I618" s="0" t="n">
        <f aca="false">6*D618+(D618-E618-G618)+2*F618+3*H618</f>
        <v>7</v>
      </c>
      <c r="J618" s="0" t="n">
        <f aca="true">CRITBINOM($C618,MIN(0.75,Matchup!$C$39*$B618),RAND())</f>
        <v>1</v>
      </c>
      <c r="K618" s="0" t="n">
        <f aca="true">CRITBINOM(J618,Coefficients!$B$30,RAND())</f>
        <v>1</v>
      </c>
      <c r="L618" s="0" t="n">
        <f aca="true">CRITBINOM(K618,Coefficients!$B$31,RAND())</f>
        <v>0</v>
      </c>
      <c r="M618" s="0" t="n">
        <f aca="true">CRITBINOM(MAX(0,J618-K618),1-Coefficients!$B$32,RAND())</f>
        <v>0</v>
      </c>
      <c r="N618" s="0" t="n">
        <f aca="true">CRITBINOM(MAX(0,$C618-J618),MIN(0.6,Matchup!$C$40*SQRT($B618)/(1-MIN(0.75,Matchup!$C$39*$B618))),RAND())</f>
        <v>1</v>
      </c>
      <c r="O618" s="0" t="n">
        <f aca="false">6*J618+(J618-K618-M618)+2*L618+3*N618</f>
        <v>9</v>
      </c>
      <c r="P618" s="0" t="n">
        <f aca="true">RAND()</f>
        <v>0.684439761144295</v>
      </c>
      <c r="Q618" s="0" t="n">
        <f aca="true">RAND()</f>
        <v>0.96460567896924</v>
      </c>
      <c r="R618" s="0" t="n">
        <f aca="false">IF($I618&lt;&gt;$O618,0,IF(P618&lt;Matchup!$B$39,7,IF(P618&lt;Matchup!$B$39+Matchup!$B$40,3,0)))</f>
        <v>0</v>
      </c>
      <c r="S618" s="0" t="n">
        <f aca="false">IF($I618&lt;&gt;$O618,0,IF(Q618&lt;Matchup!$C$39,7,IF(Q618&lt;Matchup!$C$39+Matchup!$C$40,3,0)))</f>
        <v>0</v>
      </c>
      <c r="T618" s="0" t="n">
        <f aca="false">I618+R618</f>
        <v>7</v>
      </c>
      <c r="U618" s="0" t="n">
        <f aca="false">O618+S618</f>
        <v>9</v>
      </c>
      <c r="V618" s="0" t="n">
        <f aca="false">T618-U618</f>
        <v>-2</v>
      </c>
      <c r="W618" s="0" t="n">
        <f aca="false">T618+U618</f>
        <v>16</v>
      </c>
    </row>
    <row r="619" customFormat="false" ht="15" hidden="false" customHeight="false" outlineLevel="0" collapsed="false">
      <c r="A619" s="0" t="n">
        <v>616</v>
      </c>
      <c r="B619" s="0" t="n">
        <f aca="true">NORMINV(RAND(),1,Coefficients!$B$22)</f>
        <v>0.923525507962435</v>
      </c>
      <c r="C619" s="0" t="n">
        <f aca="true">MEDIAN(8,16,ROUND(NORMINV(RAND(),Coefficients!$B$20,Coefficients!$B$21),0))</f>
        <v>12</v>
      </c>
      <c r="D619" s="0" t="n">
        <f aca="true">CRITBINOM($C619,MIN(0.75,Matchup!$B$39*$B619),RAND())</f>
        <v>5</v>
      </c>
      <c r="E619" s="0" t="n">
        <f aca="true">CRITBINOM(D619,Coefficients!$B$30,RAND())</f>
        <v>1</v>
      </c>
      <c r="F619" s="0" t="n">
        <f aca="true">CRITBINOM(E619,Coefficients!$B$31,RAND())</f>
        <v>0</v>
      </c>
      <c r="G619" s="0" t="n">
        <f aca="true">CRITBINOM(MAX(0,D619-E619),1-Coefficients!$B$32,RAND())</f>
        <v>0</v>
      </c>
      <c r="H619" s="0" t="n">
        <f aca="true">CRITBINOM(MAX(0,$C619-D619),MIN(0.6,Matchup!$B$40*SQRT($B619)/(1-MIN(0.75,Matchup!$B$39*$B619))),RAND())</f>
        <v>2</v>
      </c>
      <c r="I619" s="0" t="n">
        <f aca="false">6*D619+(D619-E619-G619)+2*F619+3*H619</f>
        <v>40</v>
      </c>
      <c r="J619" s="0" t="n">
        <f aca="true">CRITBINOM($C619,MIN(0.75,Matchup!$C$39*$B619),RAND())</f>
        <v>2</v>
      </c>
      <c r="K619" s="0" t="n">
        <f aca="true">CRITBINOM(J619,Coefficients!$B$30,RAND())</f>
        <v>1</v>
      </c>
      <c r="L619" s="0" t="n">
        <f aca="true">CRITBINOM(K619,Coefficients!$B$31,RAND())</f>
        <v>1</v>
      </c>
      <c r="M619" s="0" t="n">
        <f aca="true">CRITBINOM(MAX(0,J619-K619),1-Coefficients!$B$32,RAND())</f>
        <v>0</v>
      </c>
      <c r="N619" s="0" t="n">
        <f aca="true">CRITBINOM(MAX(0,$C619-J619),MIN(0.6,Matchup!$C$40*SQRT($B619)/(1-MIN(0.75,Matchup!$C$39*$B619))),RAND())</f>
        <v>2</v>
      </c>
      <c r="O619" s="0" t="n">
        <f aca="false">6*J619+(J619-K619-M619)+2*L619+3*N619</f>
        <v>21</v>
      </c>
      <c r="P619" s="0" t="n">
        <f aca="true">RAND()</f>
        <v>0.0254139503377703</v>
      </c>
      <c r="Q619" s="0" t="n">
        <f aca="true">RAND()</f>
        <v>0.491757422613177</v>
      </c>
      <c r="R619" s="0" t="n">
        <f aca="false">IF($I619&lt;&gt;$O619,0,IF(P619&lt;Matchup!$B$39,7,IF(P619&lt;Matchup!$B$39+Matchup!$B$40,3,0)))</f>
        <v>0</v>
      </c>
      <c r="S619" s="0" t="n">
        <f aca="false">IF($I619&lt;&gt;$O619,0,IF(Q619&lt;Matchup!$C$39,7,IF(Q619&lt;Matchup!$C$39+Matchup!$C$40,3,0)))</f>
        <v>0</v>
      </c>
      <c r="T619" s="0" t="n">
        <f aca="false">I619+R619</f>
        <v>40</v>
      </c>
      <c r="U619" s="0" t="n">
        <f aca="false">O619+S619</f>
        <v>21</v>
      </c>
      <c r="V619" s="0" t="n">
        <f aca="false">T619-U619</f>
        <v>19</v>
      </c>
      <c r="W619" s="0" t="n">
        <f aca="false">T619+U619</f>
        <v>61</v>
      </c>
    </row>
    <row r="620" customFormat="false" ht="15" hidden="false" customHeight="false" outlineLevel="0" collapsed="false">
      <c r="A620" s="0" t="n">
        <v>617</v>
      </c>
      <c r="B620" s="0" t="n">
        <f aca="true">NORMINV(RAND(),1,Coefficients!$B$22)</f>
        <v>1.14925867583005</v>
      </c>
      <c r="C620" s="0" t="n">
        <f aca="true">MEDIAN(8,16,ROUND(NORMINV(RAND(),Coefficients!$B$20,Coefficients!$B$21),0))</f>
        <v>13</v>
      </c>
      <c r="D620" s="0" t="n">
        <f aca="true">CRITBINOM($C620,MIN(0.75,Matchup!$B$39*$B620),RAND())</f>
        <v>6</v>
      </c>
      <c r="E620" s="0" t="n">
        <f aca="true">CRITBINOM(D620,Coefficients!$B$30,RAND())</f>
        <v>0</v>
      </c>
      <c r="F620" s="0" t="n">
        <f aca="true">CRITBINOM(E620,Coefficients!$B$31,RAND())</f>
        <v>0</v>
      </c>
      <c r="G620" s="0" t="n">
        <f aca="true">CRITBINOM(MAX(0,D620-E620),1-Coefficients!$B$32,RAND())</f>
        <v>1</v>
      </c>
      <c r="H620" s="0" t="n">
        <f aca="true">CRITBINOM(MAX(0,$C620-D620),MIN(0.6,Matchup!$B$40*SQRT($B620)/(1-MIN(0.75,Matchup!$B$39*$B620))),RAND())</f>
        <v>1</v>
      </c>
      <c r="I620" s="0" t="n">
        <f aca="false">6*D620+(D620-E620-G620)+2*F620+3*H620</f>
        <v>44</v>
      </c>
      <c r="J620" s="0" t="n">
        <f aca="true">CRITBINOM($C620,MIN(0.75,Matchup!$C$39*$B620),RAND())</f>
        <v>6</v>
      </c>
      <c r="K620" s="0" t="n">
        <f aca="true">CRITBINOM(J620,Coefficients!$B$30,RAND())</f>
        <v>2</v>
      </c>
      <c r="L620" s="0" t="n">
        <f aca="true">CRITBINOM(K620,Coefficients!$B$31,RAND())</f>
        <v>1</v>
      </c>
      <c r="M620" s="0" t="n">
        <f aca="true">CRITBINOM(MAX(0,J620-K620),1-Coefficients!$B$32,RAND())</f>
        <v>0</v>
      </c>
      <c r="N620" s="0" t="n">
        <f aca="true">CRITBINOM(MAX(0,$C620-J620),MIN(0.6,Matchup!$C$40*SQRT($B620)/(1-MIN(0.75,Matchup!$C$39*$B620))),RAND())</f>
        <v>0</v>
      </c>
      <c r="O620" s="0" t="n">
        <f aca="false">6*J620+(J620-K620-M620)+2*L620+3*N620</f>
        <v>42</v>
      </c>
      <c r="P620" s="0" t="n">
        <f aca="true">RAND()</f>
        <v>0.637652926414372</v>
      </c>
      <c r="Q620" s="0" t="n">
        <f aca="true">RAND()</f>
        <v>0.480492791504623</v>
      </c>
      <c r="R620" s="0" t="n">
        <f aca="false">IF($I620&lt;&gt;$O620,0,IF(P620&lt;Matchup!$B$39,7,IF(P620&lt;Matchup!$B$39+Matchup!$B$40,3,0)))</f>
        <v>0</v>
      </c>
      <c r="S620" s="0" t="n">
        <f aca="false">IF($I620&lt;&gt;$O620,0,IF(Q620&lt;Matchup!$C$39,7,IF(Q620&lt;Matchup!$C$39+Matchup!$C$40,3,0)))</f>
        <v>0</v>
      </c>
      <c r="T620" s="0" t="n">
        <f aca="false">I620+R620</f>
        <v>44</v>
      </c>
      <c r="U620" s="0" t="n">
        <f aca="false">O620+S620</f>
        <v>42</v>
      </c>
      <c r="V620" s="0" t="n">
        <f aca="false">T620-U620</f>
        <v>2</v>
      </c>
      <c r="W620" s="0" t="n">
        <f aca="false">T620+U620</f>
        <v>86</v>
      </c>
    </row>
    <row r="621" customFormat="false" ht="15" hidden="false" customHeight="false" outlineLevel="0" collapsed="false">
      <c r="A621" s="0" t="n">
        <v>618</v>
      </c>
      <c r="B621" s="0" t="n">
        <f aca="true">NORMINV(RAND(),1,Coefficients!$B$22)</f>
        <v>0.883568402669045</v>
      </c>
      <c r="C621" s="0" t="n">
        <f aca="true">MEDIAN(8,16,ROUND(NORMINV(RAND(),Coefficients!$B$20,Coefficients!$B$21),0))</f>
        <v>11</v>
      </c>
      <c r="D621" s="0" t="n">
        <f aca="true">CRITBINOM($C621,MIN(0.75,Matchup!$B$39*$B621),RAND())</f>
        <v>2</v>
      </c>
      <c r="E621" s="0" t="n">
        <f aca="true">CRITBINOM(D621,Coefficients!$B$30,RAND())</f>
        <v>1</v>
      </c>
      <c r="F621" s="0" t="n">
        <f aca="true">CRITBINOM(E621,Coefficients!$B$31,RAND())</f>
        <v>1</v>
      </c>
      <c r="G621" s="0" t="n">
        <f aca="true">CRITBINOM(MAX(0,D621-E621),1-Coefficients!$B$32,RAND())</f>
        <v>0</v>
      </c>
      <c r="H621" s="0" t="n">
        <f aca="true">CRITBINOM(MAX(0,$C621-D621),MIN(0.6,Matchup!$B$40*SQRT($B621)/(1-MIN(0.75,Matchup!$B$39*$B621))),RAND())</f>
        <v>2</v>
      </c>
      <c r="I621" s="0" t="n">
        <f aca="false">6*D621+(D621-E621-G621)+2*F621+3*H621</f>
        <v>21</v>
      </c>
      <c r="J621" s="0" t="n">
        <f aca="true">CRITBINOM($C621,MIN(0.75,Matchup!$C$39*$B621),RAND())</f>
        <v>3</v>
      </c>
      <c r="K621" s="0" t="n">
        <f aca="true">CRITBINOM(J621,Coefficients!$B$30,RAND())</f>
        <v>0</v>
      </c>
      <c r="L621" s="0" t="n">
        <f aca="true">CRITBINOM(K621,Coefficients!$B$31,RAND())</f>
        <v>0</v>
      </c>
      <c r="M621" s="0" t="n">
        <f aca="true">CRITBINOM(MAX(0,J621-K621),1-Coefficients!$B$32,RAND())</f>
        <v>0</v>
      </c>
      <c r="N621" s="0" t="n">
        <f aca="true">CRITBINOM(MAX(0,$C621-J621),MIN(0.6,Matchup!$C$40*SQRT($B621)/(1-MIN(0.75,Matchup!$C$39*$B621))),RAND())</f>
        <v>1</v>
      </c>
      <c r="O621" s="0" t="n">
        <f aca="false">6*J621+(J621-K621-M621)+2*L621+3*N621</f>
        <v>24</v>
      </c>
      <c r="P621" s="0" t="n">
        <f aca="true">RAND()</f>
        <v>0.834575726439689</v>
      </c>
      <c r="Q621" s="0" t="n">
        <f aca="true">RAND()</f>
        <v>0.544394429795663</v>
      </c>
      <c r="R621" s="0" t="n">
        <f aca="false">IF($I621&lt;&gt;$O621,0,IF(P621&lt;Matchup!$B$39,7,IF(P621&lt;Matchup!$B$39+Matchup!$B$40,3,0)))</f>
        <v>0</v>
      </c>
      <c r="S621" s="0" t="n">
        <f aca="false">IF($I621&lt;&gt;$O621,0,IF(Q621&lt;Matchup!$C$39,7,IF(Q621&lt;Matchup!$C$39+Matchup!$C$40,3,0)))</f>
        <v>0</v>
      </c>
      <c r="T621" s="0" t="n">
        <f aca="false">I621+R621</f>
        <v>21</v>
      </c>
      <c r="U621" s="0" t="n">
        <f aca="false">O621+S621</f>
        <v>24</v>
      </c>
      <c r="V621" s="0" t="n">
        <f aca="false">T621-U621</f>
        <v>-3</v>
      </c>
      <c r="W621" s="0" t="n">
        <f aca="false">T621+U621</f>
        <v>45</v>
      </c>
    </row>
    <row r="622" customFormat="false" ht="15" hidden="false" customHeight="false" outlineLevel="0" collapsed="false">
      <c r="A622" s="0" t="n">
        <v>619</v>
      </c>
      <c r="B622" s="0" t="n">
        <f aca="true">NORMINV(RAND(),1,Coefficients!$B$22)</f>
        <v>0.980578835555371</v>
      </c>
      <c r="C622" s="0" t="n">
        <f aca="true">MEDIAN(8,16,ROUND(NORMINV(RAND(),Coefficients!$B$20,Coefficients!$B$21),0))</f>
        <v>12</v>
      </c>
      <c r="D622" s="0" t="n">
        <f aca="true">CRITBINOM($C622,MIN(0.75,Matchup!$B$39*$B622),RAND())</f>
        <v>2</v>
      </c>
      <c r="E622" s="0" t="n">
        <f aca="true">CRITBINOM(D622,Coefficients!$B$30,RAND())</f>
        <v>0</v>
      </c>
      <c r="F622" s="0" t="n">
        <f aca="true">CRITBINOM(E622,Coefficients!$B$31,RAND())</f>
        <v>0</v>
      </c>
      <c r="G622" s="0" t="n">
        <f aca="true">CRITBINOM(MAX(0,D622-E622),1-Coefficients!$B$32,RAND())</f>
        <v>0</v>
      </c>
      <c r="H622" s="0" t="n">
        <f aca="true">CRITBINOM(MAX(0,$C622-D622),MIN(0.6,Matchup!$B$40*SQRT($B622)/(1-MIN(0.75,Matchup!$B$39*$B622))),RAND())</f>
        <v>4</v>
      </c>
      <c r="I622" s="0" t="n">
        <f aca="false">6*D622+(D622-E622-G622)+2*F622+3*H622</f>
        <v>26</v>
      </c>
      <c r="J622" s="0" t="n">
        <f aca="true">CRITBINOM($C622,MIN(0.75,Matchup!$C$39*$B622),RAND())</f>
        <v>3</v>
      </c>
      <c r="K622" s="0" t="n">
        <f aca="true">CRITBINOM(J622,Coefficients!$B$30,RAND())</f>
        <v>0</v>
      </c>
      <c r="L622" s="0" t="n">
        <f aca="true">CRITBINOM(K622,Coefficients!$B$31,RAND())</f>
        <v>0</v>
      </c>
      <c r="M622" s="0" t="n">
        <f aca="true">CRITBINOM(MAX(0,J622-K622),1-Coefficients!$B$32,RAND())</f>
        <v>0</v>
      </c>
      <c r="N622" s="0" t="n">
        <f aca="true">CRITBINOM(MAX(0,$C622-J622),MIN(0.6,Matchup!$C$40*SQRT($B622)/(1-MIN(0.75,Matchup!$C$39*$B622))),RAND())</f>
        <v>1</v>
      </c>
      <c r="O622" s="0" t="n">
        <f aca="false">6*J622+(J622-K622-M622)+2*L622+3*N622</f>
        <v>24</v>
      </c>
      <c r="P622" s="0" t="n">
        <f aca="true">RAND()</f>
        <v>0.755886229210645</v>
      </c>
      <c r="Q622" s="0" t="n">
        <f aca="true">RAND()</f>
        <v>0.0212013476570591</v>
      </c>
      <c r="R622" s="0" t="n">
        <f aca="false">IF($I622&lt;&gt;$O622,0,IF(P622&lt;Matchup!$B$39,7,IF(P622&lt;Matchup!$B$39+Matchup!$B$40,3,0)))</f>
        <v>0</v>
      </c>
      <c r="S622" s="0" t="n">
        <f aca="false">IF($I622&lt;&gt;$O622,0,IF(Q622&lt;Matchup!$C$39,7,IF(Q622&lt;Matchup!$C$39+Matchup!$C$40,3,0)))</f>
        <v>0</v>
      </c>
      <c r="T622" s="0" t="n">
        <f aca="false">I622+R622</f>
        <v>26</v>
      </c>
      <c r="U622" s="0" t="n">
        <f aca="false">O622+S622</f>
        <v>24</v>
      </c>
      <c r="V622" s="0" t="n">
        <f aca="false">T622-U622</f>
        <v>2</v>
      </c>
      <c r="W622" s="0" t="n">
        <f aca="false">T622+U622</f>
        <v>50</v>
      </c>
    </row>
    <row r="623" customFormat="false" ht="15" hidden="false" customHeight="false" outlineLevel="0" collapsed="false">
      <c r="A623" s="0" t="n">
        <v>620</v>
      </c>
      <c r="B623" s="0" t="n">
        <f aca="true">NORMINV(RAND(),1,Coefficients!$B$22)</f>
        <v>0.991568352674604</v>
      </c>
      <c r="C623" s="0" t="n">
        <f aca="true">MEDIAN(8,16,ROUND(NORMINV(RAND(),Coefficients!$B$20,Coefficients!$B$21),0))</f>
        <v>10</v>
      </c>
      <c r="D623" s="0" t="n">
        <f aca="true">CRITBINOM($C623,MIN(0.75,Matchup!$B$39*$B623),RAND())</f>
        <v>2</v>
      </c>
      <c r="E623" s="0" t="n">
        <f aca="true">CRITBINOM(D623,Coefficients!$B$30,RAND())</f>
        <v>1</v>
      </c>
      <c r="F623" s="0" t="n">
        <f aca="true">CRITBINOM(E623,Coefficients!$B$31,RAND())</f>
        <v>0</v>
      </c>
      <c r="G623" s="0" t="n">
        <f aca="true">CRITBINOM(MAX(0,D623-E623),1-Coefficients!$B$32,RAND())</f>
        <v>0</v>
      </c>
      <c r="H623" s="0" t="n">
        <f aca="true">CRITBINOM(MAX(0,$C623-D623),MIN(0.6,Matchup!$B$40*SQRT($B623)/(1-MIN(0.75,Matchup!$B$39*$B623))),RAND())</f>
        <v>0</v>
      </c>
      <c r="I623" s="0" t="n">
        <f aca="false">6*D623+(D623-E623-G623)+2*F623+3*H623</f>
        <v>13</v>
      </c>
      <c r="J623" s="0" t="n">
        <f aca="true">CRITBINOM($C623,MIN(0.75,Matchup!$C$39*$B623),RAND())</f>
        <v>1</v>
      </c>
      <c r="K623" s="0" t="n">
        <f aca="true">CRITBINOM(J623,Coefficients!$B$30,RAND())</f>
        <v>0</v>
      </c>
      <c r="L623" s="0" t="n">
        <f aca="true">CRITBINOM(K623,Coefficients!$B$31,RAND())</f>
        <v>0</v>
      </c>
      <c r="M623" s="0" t="n">
        <f aca="true">CRITBINOM(MAX(0,J623-K623),1-Coefficients!$B$32,RAND())</f>
        <v>0</v>
      </c>
      <c r="N623" s="0" t="n">
        <f aca="true">CRITBINOM(MAX(0,$C623-J623),MIN(0.6,Matchup!$C$40*SQRT($B623)/(1-MIN(0.75,Matchup!$C$39*$B623))),RAND())</f>
        <v>3</v>
      </c>
      <c r="O623" s="0" t="n">
        <f aca="false">6*J623+(J623-K623-M623)+2*L623+3*N623</f>
        <v>16</v>
      </c>
      <c r="P623" s="0" t="n">
        <f aca="true">RAND()</f>
        <v>0.977268178475237</v>
      </c>
      <c r="Q623" s="0" t="n">
        <f aca="true">RAND()</f>
        <v>0.430344719576698</v>
      </c>
      <c r="R623" s="0" t="n">
        <f aca="false">IF($I623&lt;&gt;$O623,0,IF(P623&lt;Matchup!$B$39,7,IF(P623&lt;Matchup!$B$39+Matchup!$B$40,3,0)))</f>
        <v>0</v>
      </c>
      <c r="S623" s="0" t="n">
        <f aca="false">IF($I623&lt;&gt;$O623,0,IF(Q623&lt;Matchup!$C$39,7,IF(Q623&lt;Matchup!$C$39+Matchup!$C$40,3,0)))</f>
        <v>0</v>
      </c>
      <c r="T623" s="0" t="n">
        <f aca="false">I623+R623</f>
        <v>13</v>
      </c>
      <c r="U623" s="0" t="n">
        <f aca="false">O623+S623</f>
        <v>16</v>
      </c>
      <c r="V623" s="0" t="n">
        <f aca="false">T623-U623</f>
        <v>-3</v>
      </c>
      <c r="W623" s="0" t="n">
        <f aca="false">T623+U623</f>
        <v>29</v>
      </c>
    </row>
    <row r="624" customFormat="false" ht="15" hidden="false" customHeight="false" outlineLevel="0" collapsed="false">
      <c r="A624" s="0" t="n">
        <v>621</v>
      </c>
      <c r="B624" s="0" t="n">
        <f aca="true">NORMINV(RAND(),1,Coefficients!$B$22)</f>
        <v>1.08685105053155</v>
      </c>
      <c r="C624" s="0" t="n">
        <f aca="true">MEDIAN(8,16,ROUND(NORMINV(RAND(),Coefficients!$B$20,Coefficients!$B$21),0))</f>
        <v>11</v>
      </c>
      <c r="D624" s="0" t="n">
        <f aca="true">CRITBINOM($C624,MIN(0.75,Matchup!$B$39*$B624),RAND())</f>
        <v>4</v>
      </c>
      <c r="E624" s="0" t="n">
        <f aca="true">CRITBINOM(D624,Coefficients!$B$30,RAND())</f>
        <v>0</v>
      </c>
      <c r="F624" s="0" t="n">
        <f aca="true">CRITBINOM(E624,Coefficients!$B$31,RAND())</f>
        <v>0</v>
      </c>
      <c r="G624" s="0" t="n">
        <f aca="true">CRITBINOM(MAX(0,D624-E624),1-Coefficients!$B$32,RAND())</f>
        <v>0</v>
      </c>
      <c r="H624" s="0" t="n">
        <f aca="true">CRITBINOM(MAX(0,$C624-D624),MIN(0.6,Matchup!$B$40*SQRT($B624)/(1-MIN(0.75,Matchup!$B$39*$B624))),RAND())</f>
        <v>2</v>
      </c>
      <c r="I624" s="0" t="n">
        <f aca="false">6*D624+(D624-E624-G624)+2*F624+3*H624</f>
        <v>34</v>
      </c>
      <c r="J624" s="0" t="n">
        <f aca="true">CRITBINOM($C624,MIN(0.75,Matchup!$C$39*$B624),RAND())</f>
        <v>1</v>
      </c>
      <c r="K624" s="0" t="n">
        <f aca="true">CRITBINOM(J624,Coefficients!$B$30,RAND())</f>
        <v>0</v>
      </c>
      <c r="L624" s="0" t="n">
        <f aca="true">CRITBINOM(K624,Coefficients!$B$31,RAND())</f>
        <v>0</v>
      </c>
      <c r="M624" s="0" t="n">
        <f aca="true">CRITBINOM(MAX(0,J624-K624),1-Coefficients!$B$32,RAND())</f>
        <v>0</v>
      </c>
      <c r="N624" s="0" t="n">
        <f aca="true">CRITBINOM(MAX(0,$C624-J624),MIN(0.6,Matchup!$C$40*SQRT($B624)/(1-MIN(0.75,Matchup!$C$39*$B624))),RAND())</f>
        <v>2</v>
      </c>
      <c r="O624" s="0" t="n">
        <f aca="false">6*J624+(J624-K624-M624)+2*L624+3*N624</f>
        <v>13</v>
      </c>
      <c r="P624" s="0" t="n">
        <f aca="true">RAND()</f>
        <v>0.3395535882775</v>
      </c>
      <c r="Q624" s="0" t="n">
        <f aca="true">RAND()</f>
        <v>0.30080419308173</v>
      </c>
      <c r="R624" s="0" t="n">
        <f aca="false">IF($I624&lt;&gt;$O624,0,IF(P624&lt;Matchup!$B$39,7,IF(P624&lt;Matchup!$B$39+Matchup!$B$40,3,0)))</f>
        <v>0</v>
      </c>
      <c r="S624" s="0" t="n">
        <f aca="false">IF($I624&lt;&gt;$O624,0,IF(Q624&lt;Matchup!$C$39,7,IF(Q624&lt;Matchup!$C$39+Matchup!$C$40,3,0)))</f>
        <v>0</v>
      </c>
      <c r="T624" s="0" t="n">
        <f aca="false">I624+R624</f>
        <v>34</v>
      </c>
      <c r="U624" s="0" t="n">
        <f aca="false">O624+S624</f>
        <v>13</v>
      </c>
      <c r="V624" s="0" t="n">
        <f aca="false">T624-U624</f>
        <v>21</v>
      </c>
      <c r="W624" s="0" t="n">
        <f aca="false">T624+U624</f>
        <v>47</v>
      </c>
    </row>
    <row r="625" customFormat="false" ht="15" hidden="false" customHeight="false" outlineLevel="0" collapsed="false">
      <c r="A625" s="0" t="n">
        <v>622</v>
      </c>
      <c r="B625" s="0" t="n">
        <f aca="true">NORMINV(RAND(),1,Coefficients!$B$22)</f>
        <v>0.969670576813346</v>
      </c>
      <c r="C625" s="0" t="n">
        <f aca="true">MEDIAN(8,16,ROUND(NORMINV(RAND(),Coefficients!$B$20,Coefficients!$B$21),0))</f>
        <v>12</v>
      </c>
      <c r="D625" s="0" t="n">
        <f aca="true">CRITBINOM($C625,MIN(0.75,Matchup!$B$39*$B625),RAND())</f>
        <v>1</v>
      </c>
      <c r="E625" s="0" t="n">
        <f aca="true">CRITBINOM(D625,Coefficients!$B$30,RAND())</f>
        <v>0</v>
      </c>
      <c r="F625" s="0" t="n">
        <f aca="true">CRITBINOM(E625,Coefficients!$B$31,RAND())</f>
        <v>0</v>
      </c>
      <c r="G625" s="0" t="n">
        <f aca="true">CRITBINOM(MAX(0,D625-E625),1-Coefficients!$B$32,RAND())</f>
        <v>0</v>
      </c>
      <c r="H625" s="0" t="n">
        <f aca="true">CRITBINOM(MAX(0,$C625-D625),MIN(0.6,Matchup!$B$40*SQRT($B625)/(1-MIN(0.75,Matchup!$B$39*$B625))),RAND())</f>
        <v>2</v>
      </c>
      <c r="I625" s="0" t="n">
        <f aca="false">6*D625+(D625-E625-G625)+2*F625+3*H625</f>
        <v>13</v>
      </c>
      <c r="J625" s="0" t="n">
        <f aca="true">CRITBINOM($C625,MIN(0.75,Matchup!$C$39*$B625),RAND())</f>
        <v>1</v>
      </c>
      <c r="K625" s="0" t="n">
        <f aca="true">CRITBINOM(J625,Coefficients!$B$30,RAND())</f>
        <v>0</v>
      </c>
      <c r="L625" s="0" t="n">
        <f aca="true">CRITBINOM(K625,Coefficients!$B$31,RAND())</f>
        <v>0</v>
      </c>
      <c r="M625" s="0" t="n">
        <f aca="true">CRITBINOM(MAX(0,J625-K625),1-Coefficients!$B$32,RAND())</f>
        <v>0</v>
      </c>
      <c r="N625" s="0" t="n">
        <f aca="true">CRITBINOM(MAX(0,$C625-J625),MIN(0.6,Matchup!$C$40*SQRT($B625)/(1-MIN(0.75,Matchup!$C$39*$B625))),RAND())</f>
        <v>4</v>
      </c>
      <c r="O625" s="0" t="n">
        <f aca="false">6*J625+(J625-K625-M625)+2*L625+3*N625</f>
        <v>19</v>
      </c>
      <c r="P625" s="0" t="n">
        <f aca="true">RAND()</f>
        <v>0.0991663964280679</v>
      </c>
      <c r="Q625" s="0" t="n">
        <f aca="true">RAND()</f>
        <v>0.769050584823818</v>
      </c>
      <c r="R625" s="0" t="n">
        <f aca="false">IF($I625&lt;&gt;$O625,0,IF(P625&lt;Matchup!$B$39,7,IF(P625&lt;Matchup!$B$39+Matchup!$B$40,3,0)))</f>
        <v>0</v>
      </c>
      <c r="S625" s="0" t="n">
        <f aca="false">IF($I625&lt;&gt;$O625,0,IF(Q625&lt;Matchup!$C$39,7,IF(Q625&lt;Matchup!$C$39+Matchup!$C$40,3,0)))</f>
        <v>0</v>
      </c>
      <c r="T625" s="0" t="n">
        <f aca="false">I625+R625</f>
        <v>13</v>
      </c>
      <c r="U625" s="0" t="n">
        <f aca="false">O625+S625</f>
        <v>19</v>
      </c>
      <c r="V625" s="0" t="n">
        <f aca="false">T625-U625</f>
        <v>-6</v>
      </c>
      <c r="W625" s="0" t="n">
        <f aca="false">T625+U625</f>
        <v>32</v>
      </c>
    </row>
    <row r="626" customFormat="false" ht="15" hidden="false" customHeight="false" outlineLevel="0" collapsed="false">
      <c r="A626" s="0" t="n">
        <v>623</v>
      </c>
      <c r="B626" s="0" t="n">
        <f aca="true">NORMINV(RAND(),1,Coefficients!$B$22)</f>
        <v>1.01047847641723</v>
      </c>
      <c r="C626" s="0" t="n">
        <f aca="true">MEDIAN(8,16,ROUND(NORMINV(RAND(),Coefficients!$B$20,Coefficients!$B$21),0))</f>
        <v>11</v>
      </c>
      <c r="D626" s="0" t="n">
        <f aca="true">CRITBINOM($C626,MIN(0.75,Matchup!$B$39*$B626),RAND())</f>
        <v>2</v>
      </c>
      <c r="E626" s="0" t="n">
        <f aca="true">CRITBINOM(D626,Coefficients!$B$30,RAND())</f>
        <v>0</v>
      </c>
      <c r="F626" s="0" t="n">
        <f aca="true">CRITBINOM(E626,Coefficients!$B$31,RAND())</f>
        <v>0</v>
      </c>
      <c r="G626" s="0" t="n">
        <f aca="true">CRITBINOM(MAX(0,D626-E626),1-Coefficients!$B$32,RAND())</f>
        <v>0</v>
      </c>
      <c r="H626" s="0" t="n">
        <f aca="true">CRITBINOM(MAX(0,$C626-D626),MIN(0.6,Matchup!$B$40*SQRT($B626)/(1-MIN(0.75,Matchup!$B$39*$B626))),RAND())</f>
        <v>5</v>
      </c>
      <c r="I626" s="0" t="n">
        <f aca="false">6*D626+(D626-E626-G626)+2*F626+3*H626</f>
        <v>29</v>
      </c>
      <c r="J626" s="0" t="n">
        <f aca="true">CRITBINOM($C626,MIN(0.75,Matchup!$C$39*$B626),RAND())</f>
        <v>2</v>
      </c>
      <c r="K626" s="0" t="n">
        <f aca="true">CRITBINOM(J626,Coefficients!$B$30,RAND())</f>
        <v>1</v>
      </c>
      <c r="L626" s="0" t="n">
        <f aca="true">CRITBINOM(K626,Coefficients!$B$31,RAND())</f>
        <v>0</v>
      </c>
      <c r="M626" s="0" t="n">
        <f aca="true">CRITBINOM(MAX(0,J626-K626),1-Coefficients!$B$32,RAND())</f>
        <v>0</v>
      </c>
      <c r="N626" s="0" t="n">
        <f aca="true">CRITBINOM(MAX(0,$C626-J626),MIN(0.6,Matchup!$C$40*SQRT($B626)/(1-MIN(0.75,Matchup!$C$39*$B626))),RAND())</f>
        <v>3</v>
      </c>
      <c r="O626" s="0" t="n">
        <f aca="false">6*J626+(J626-K626-M626)+2*L626+3*N626</f>
        <v>22</v>
      </c>
      <c r="P626" s="0" t="n">
        <f aca="true">RAND()</f>
        <v>0.998523610617484</v>
      </c>
      <c r="Q626" s="0" t="n">
        <f aca="true">RAND()</f>
        <v>0.138068338440603</v>
      </c>
      <c r="R626" s="0" t="n">
        <f aca="false">IF($I626&lt;&gt;$O626,0,IF(P626&lt;Matchup!$B$39,7,IF(P626&lt;Matchup!$B$39+Matchup!$B$40,3,0)))</f>
        <v>0</v>
      </c>
      <c r="S626" s="0" t="n">
        <f aca="false">IF($I626&lt;&gt;$O626,0,IF(Q626&lt;Matchup!$C$39,7,IF(Q626&lt;Matchup!$C$39+Matchup!$C$40,3,0)))</f>
        <v>0</v>
      </c>
      <c r="T626" s="0" t="n">
        <f aca="false">I626+R626</f>
        <v>29</v>
      </c>
      <c r="U626" s="0" t="n">
        <f aca="false">O626+S626</f>
        <v>22</v>
      </c>
      <c r="V626" s="0" t="n">
        <f aca="false">T626-U626</f>
        <v>7</v>
      </c>
      <c r="W626" s="0" t="n">
        <f aca="false">T626+U626</f>
        <v>51</v>
      </c>
    </row>
    <row r="627" customFormat="false" ht="15" hidden="false" customHeight="false" outlineLevel="0" collapsed="false">
      <c r="A627" s="0" t="n">
        <v>624</v>
      </c>
      <c r="B627" s="0" t="n">
        <f aca="true">NORMINV(RAND(),1,Coefficients!$B$22)</f>
        <v>1.02034008855544</v>
      </c>
      <c r="C627" s="0" t="n">
        <f aca="true">MEDIAN(8,16,ROUND(NORMINV(RAND(),Coefficients!$B$20,Coefficients!$B$21),0))</f>
        <v>10</v>
      </c>
      <c r="D627" s="0" t="n">
        <f aca="true">CRITBINOM($C627,MIN(0.75,Matchup!$B$39*$B627),RAND())</f>
        <v>3</v>
      </c>
      <c r="E627" s="0" t="n">
        <f aca="true">CRITBINOM(D627,Coefficients!$B$30,RAND())</f>
        <v>0</v>
      </c>
      <c r="F627" s="0" t="n">
        <f aca="true">CRITBINOM(E627,Coefficients!$B$31,RAND())</f>
        <v>0</v>
      </c>
      <c r="G627" s="0" t="n">
        <f aca="true">CRITBINOM(MAX(0,D627-E627),1-Coefficients!$B$32,RAND())</f>
        <v>0</v>
      </c>
      <c r="H627" s="0" t="n">
        <f aca="true">CRITBINOM(MAX(0,$C627-D627),MIN(0.6,Matchup!$B$40*SQRT($B627)/(1-MIN(0.75,Matchup!$B$39*$B627))),RAND())</f>
        <v>1</v>
      </c>
      <c r="I627" s="0" t="n">
        <f aca="false">6*D627+(D627-E627-G627)+2*F627+3*H627</f>
        <v>24</v>
      </c>
      <c r="J627" s="0" t="n">
        <f aca="true">CRITBINOM($C627,MIN(0.75,Matchup!$C$39*$B627),RAND())</f>
        <v>2</v>
      </c>
      <c r="K627" s="0" t="n">
        <f aca="true">CRITBINOM(J627,Coefficients!$B$30,RAND())</f>
        <v>0</v>
      </c>
      <c r="L627" s="0" t="n">
        <f aca="true">CRITBINOM(K627,Coefficients!$B$31,RAND())</f>
        <v>0</v>
      </c>
      <c r="M627" s="0" t="n">
        <f aca="true">CRITBINOM(MAX(0,J627-K627),1-Coefficients!$B$32,RAND())</f>
        <v>0</v>
      </c>
      <c r="N627" s="0" t="n">
        <f aca="true">CRITBINOM(MAX(0,$C627-J627),MIN(0.6,Matchup!$C$40*SQRT($B627)/(1-MIN(0.75,Matchup!$C$39*$B627))),RAND())</f>
        <v>1</v>
      </c>
      <c r="O627" s="0" t="n">
        <f aca="false">6*J627+(J627-K627-M627)+2*L627+3*N627</f>
        <v>17</v>
      </c>
      <c r="P627" s="0" t="n">
        <f aca="true">RAND()</f>
        <v>0.921224720864339</v>
      </c>
      <c r="Q627" s="0" t="n">
        <f aca="true">RAND()</f>
        <v>0.573060551345271</v>
      </c>
      <c r="R627" s="0" t="n">
        <f aca="false">IF($I627&lt;&gt;$O627,0,IF(P627&lt;Matchup!$B$39,7,IF(P627&lt;Matchup!$B$39+Matchup!$B$40,3,0)))</f>
        <v>0</v>
      </c>
      <c r="S627" s="0" t="n">
        <f aca="false">IF($I627&lt;&gt;$O627,0,IF(Q627&lt;Matchup!$C$39,7,IF(Q627&lt;Matchup!$C$39+Matchup!$C$40,3,0)))</f>
        <v>0</v>
      </c>
      <c r="T627" s="0" t="n">
        <f aca="false">I627+R627</f>
        <v>24</v>
      </c>
      <c r="U627" s="0" t="n">
        <f aca="false">O627+S627</f>
        <v>17</v>
      </c>
      <c r="V627" s="0" t="n">
        <f aca="false">T627-U627</f>
        <v>7</v>
      </c>
      <c r="W627" s="0" t="n">
        <f aca="false">T627+U627</f>
        <v>41</v>
      </c>
    </row>
    <row r="628" customFormat="false" ht="15" hidden="false" customHeight="false" outlineLevel="0" collapsed="false">
      <c r="A628" s="0" t="n">
        <v>625</v>
      </c>
      <c r="B628" s="0" t="n">
        <f aca="true">NORMINV(RAND(),1,Coefficients!$B$22)</f>
        <v>1.07957466425952</v>
      </c>
      <c r="C628" s="0" t="n">
        <f aca="true">MEDIAN(8,16,ROUND(NORMINV(RAND(),Coefficients!$B$20,Coefficients!$B$21),0))</f>
        <v>11</v>
      </c>
      <c r="D628" s="0" t="n">
        <f aca="true">CRITBINOM($C628,MIN(0.75,Matchup!$B$39*$B628),RAND())</f>
        <v>2</v>
      </c>
      <c r="E628" s="0" t="n">
        <f aca="true">CRITBINOM(D628,Coefficients!$B$30,RAND())</f>
        <v>0</v>
      </c>
      <c r="F628" s="0" t="n">
        <f aca="true">CRITBINOM(E628,Coefficients!$B$31,RAND())</f>
        <v>0</v>
      </c>
      <c r="G628" s="0" t="n">
        <f aca="true">CRITBINOM(MAX(0,D628-E628),1-Coefficients!$B$32,RAND())</f>
        <v>0</v>
      </c>
      <c r="H628" s="0" t="n">
        <f aca="true">CRITBINOM(MAX(0,$C628-D628),MIN(0.6,Matchup!$B$40*SQRT($B628)/(1-MIN(0.75,Matchup!$B$39*$B628))),RAND())</f>
        <v>4</v>
      </c>
      <c r="I628" s="0" t="n">
        <f aca="false">6*D628+(D628-E628-G628)+2*F628+3*H628</f>
        <v>26</v>
      </c>
      <c r="J628" s="0" t="n">
        <f aca="true">CRITBINOM($C628,MIN(0.75,Matchup!$C$39*$B628),RAND())</f>
        <v>2</v>
      </c>
      <c r="K628" s="0" t="n">
        <f aca="true">CRITBINOM(J628,Coefficients!$B$30,RAND())</f>
        <v>0</v>
      </c>
      <c r="L628" s="0" t="n">
        <f aca="true">CRITBINOM(K628,Coefficients!$B$31,RAND())</f>
        <v>0</v>
      </c>
      <c r="M628" s="0" t="n">
        <f aca="true">CRITBINOM(MAX(0,J628-K628),1-Coefficients!$B$32,RAND())</f>
        <v>0</v>
      </c>
      <c r="N628" s="0" t="n">
        <f aca="true">CRITBINOM(MAX(0,$C628-J628),MIN(0.6,Matchup!$C$40*SQRT($B628)/(1-MIN(0.75,Matchup!$C$39*$B628))),RAND())</f>
        <v>2</v>
      </c>
      <c r="O628" s="0" t="n">
        <f aca="false">6*J628+(J628-K628-M628)+2*L628+3*N628</f>
        <v>20</v>
      </c>
      <c r="P628" s="0" t="n">
        <f aca="true">RAND()</f>
        <v>0.65889843815545</v>
      </c>
      <c r="Q628" s="0" t="n">
        <f aca="true">RAND()</f>
        <v>0.415526764724928</v>
      </c>
      <c r="R628" s="0" t="n">
        <f aca="false">IF($I628&lt;&gt;$O628,0,IF(P628&lt;Matchup!$B$39,7,IF(P628&lt;Matchup!$B$39+Matchup!$B$40,3,0)))</f>
        <v>0</v>
      </c>
      <c r="S628" s="0" t="n">
        <f aca="false">IF($I628&lt;&gt;$O628,0,IF(Q628&lt;Matchup!$C$39,7,IF(Q628&lt;Matchup!$C$39+Matchup!$C$40,3,0)))</f>
        <v>0</v>
      </c>
      <c r="T628" s="0" t="n">
        <f aca="false">I628+R628</f>
        <v>26</v>
      </c>
      <c r="U628" s="0" t="n">
        <f aca="false">O628+S628</f>
        <v>20</v>
      </c>
      <c r="V628" s="0" t="n">
        <f aca="false">T628-U628</f>
        <v>6</v>
      </c>
      <c r="W628" s="0" t="n">
        <f aca="false">T628+U628</f>
        <v>46</v>
      </c>
    </row>
    <row r="629" customFormat="false" ht="15" hidden="false" customHeight="false" outlineLevel="0" collapsed="false">
      <c r="A629" s="0" t="n">
        <v>626</v>
      </c>
      <c r="B629" s="0" t="n">
        <f aca="true">NORMINV(RAND(),1,Coefficients!$B$22)</f>
        <v>1.01861827388524</v>
      </c>
      <c r="C629" s="0" t="n">
        <f aca="true">MEDIAN(8,16,ROUND(NORMINV(RAND(),Coefficients!$B$20,Coefficients!$B$21),0))</f>
        <v>11</v>
      </c>
      <c r="D629" s="0" t="n">
        <f aca="true">CRITBINOM($C629,MIN(0.75,Matchup!$B$39*$B629),RAND())</f>
        <v>2</v>
      </c>
      <c r="E629" s="0" t="n">
        <f aca="true">CRITBINOM(D629,Coefficients!$B$30,RAND())</f>
        <v>0</v>
      </c>
      <c r="F629" s="0" t="n">
        <f aca="true">CRITBINOM(E629,Coefficients!$B$31,RAND())</f>
        <v>0</v>
      </c>
      <c r="G629" s="0" t="n">
        <f aca="true">CRITBINOM(MAX(0,D629-E629),1-Coefficients!$B$32,RAND())</f>
        <v>0</v>
      </c>
      <c r="H629" s="0" t="n">
        <f aca="true">CRITBINOM(MAX(0,$C629-D629),MIN(0.6,Matchup!$B$40*SQRT($B629)/(1-MIN(0.75,Matchup!$B$39*$B629))),RAND())</f>
        <v>2</v>
      </c>
      <c r="I629" s="0" t="n">
        <f aca="false">6*D629+(D629-E629-G629)+2*F629+3*H629</f>
        <v>20</v>
      </c>
      <c r="J629" s="0" t="n">
        <f aca="true">CRITBINOM($C629,MIN(0.75,Matchup!$C$39*$B629),RAND())</f>
        <v>1</v>
      </c>
      <c r="K629" s="0" t="n">
        <f aca="true">CRITBINOM(J629,Coefficients!$B$30,RAND())</f>
        <v>0</v>
      </c>
      <c r="L629" s="0" t="n">
        <f aca="true">CRITBINOM(K629,Coefficients!$B$31,RAND())</f>
        <v>0</v>
      </c>
      <c r="M629" s="0" t="n">
        <f aca="true">CRITBINOM(MAX(0,J629-K629),1-Coefficients!$B$32,RAND())</f>
        <v>0</v>
      </c>
      <c r="N629" s="0" t="n">
        <f aca="true">CRITBINOM(MAX(0,$C629-J629),MIN(0.6,Matchup!$C$40*SQRT($B629)/(1-MIN(0.75,Matchup!$C$39*$B629))),RAND())</f>
        <v>1</v>
      </c>
      <c r="O629" s="0" t="n">
        <f aca="false">6*J629+(J629-K629-M629)+2*L629+3*N629</f>
        <v>10</v>
      </c>
      <c r="P629" s="0" t="n">
        <f aca="true">RAND()</f>
        <v>0.124600404370983</v>
      </c>
      <c r="Q629" s="0" t="n">
        <f aca="true">RAND()</f>
        <v>0.765288119413832</v>
      </c>
      <c r="R629" s="0" t="n">
        <f aca="false">IF($I629&lt;&gt;$O629,0,IF(P629&lt;Matchup!$B$39,7,IF(P629&lt;Matchup!$B$39+Matchup!$B$40,3,0)))</f>
        <v>0</v>
      </c>
      <c r="S629" s="0" t="n">
        <f aca="false">IF($I629&lt;&gt;$O629,0,IF(Q629&lt;Matchup!$C$39,7,IF(Q629&lt;Matchup!$C$39+Matchup!$C$40,3,0)))</f>
        <v>0</v>
      </c>
      <c r="T629" s="0" t="n">
        <f aca="false">I629+R629</f>
        <v>20</v>
      </c>
      <c r="U629" s="0" t="n">
        <f aca="false">O629+S629</f>
        <v>10</v>
      </c>
      <c r="V629" s="0" t="n">
        <f aca="false">T629-U629</f>
        <v>10</v>
      </c>
      <c r="W629" s="0" t="n">
        <f aca="false">T629+U629</f>
        <v>30</v>
      </c>
    </row>
    <row r="630" customFormat="false" ht="15" hidden="false" customHeight="false" outlineLevel="0" collapsed="false">
      <c r="A630" s="0" t="n">
        <v>627</v>
      </c>
      <c r="B630" s="0" t="n">
        <f aca="true">NORMINV(RAND(),1,Coefficients!$B$22)</f>
        <v>0.981105685441102</v>
      </c>
      <c r="C630" s="0" t="n">
        <f aca="true">MEDIAN(8,16,ROUND(NORMINV(RAND(),Coefficients!$B$20,Coefficients!$B$21),0))</f>
        <v>10</v>
      </c>
      <c r="D630" s="0" t="n">
        <f aca="true">CRITBINOM($C630,MIN(0.75,Matchup!$B$39*$B630),RAND())</f>
        <v>4</v>
      </c>
      <c r="E630" s="0" t="n">
        <f aca="true">CRITBINOM(D630,Coefficients!$B$30,RAND())</f>
        <v>0</v>
      </c>
      <c r="F630" s="0" t="n">
        <f aca="true">CRITBINOM(E630,Coefficients!$B$31,RAND())</f>
        <v>0</v>
      </c>
      <c r="G630" s="0" t="n">
        <f aca="true">CRITBINOM(MAX(0,D630-E630),1-Coefficients!$B$32,RAND())</f>
        <v>1</v>
      </c>
      <c r="H630" s="0" t="n">
        <f aca="true">CRITBINOM(MAX(0,$C630-D630),MIN(0.6,Matchup!$B$40*SQRT($B630)/(1-MIN(0.75,Matchup!$B$39*$B630))),RAND())</f>
        <v>2</v>
      </c>
      <c r="I630" s="0" t="n">
        <f aca="false">6*D630+(D630-E630-G630)+2*F630+3*H630</f>
        <v>33</v>
      </c>
      <c r="J630" s="0" t="n">
        <f aca="true">CRITBINOM($C630,MIN(0.75,Matchup!$C$39*$B630),RAND())</f>
        <v>1</v>
      </c>
      <c r="K630" s="0" t="n">
        <f aca="true">CRITBINOM(J630,Coefficients!$B$30,RAND())</f>
        <v>0</v>
      </c>
      <c r="L630" s="0" t="n">
        <f aca="true">CRITBINOM(K630,Coefficients!$B$31,RAND())</f>
        <v>0</v>
      </c>
      <c r="M630" s="0" t="n">
        <f aca="true">CRITBINOM(MAX(0,J630-K630),1-Coefficients!$B$32,RAND())</f>
        <v>0</v>
      </c>
      <c r="N630" s="0" t="n">
        <f aca="true">CRITBINOM(MAX(0,$C630-J630),MIN(0.6,Matchup!$C$40*SQRT($B630)/(1-MIN(0.75,Matchup!$C$39*$B630))),RAND())</f>
        <v>4</v>
      </c>
      <c r="O630" s="0" t="n">
        <f aca="false">6*J630+(J630-K630-M630)+2*L630+3*N630</f>
        <v>19</v>
      </c>
      <c r="P630" s="0" t="n">
        <f aca="true">RAND()</f>
        <v>0.908288790837945</v>
      </c>
      <c r="Q630" s="0" t="n">
        <f aca="true">RAND()</f>
        <v>0.782747416673307</v>
      </c>
      <c r="R630" s="0" t="n">
        <f aca="false">IF($I630&lt;&gt;$O630,0,IF(P630&lt;Matchup!$B$39,7,IF(P630&lt;Matchup!$B$39+Matchup!$B$40,3,0)))</f>
        <v>0</v>
      </c>
      <c r="S630" s="0" t="n">
        <f aca="false">IF($I630&lt;&gt;$O630,0,IF(Q630&lt;Matchup!$C$39,7,IF(Q630&lt;Matchup!$C$39+Matchup!$C$40,3,0)))</f>
        <v>0</v>
      </c>
      <c r="T630" s="0" t="n">
        <f aca="false">I630+R630</f>
        <v>33</v>
      </c>
      <c r="U630" s="0" t="n">
        <f aca="false">O630+S630</f>
        <v>19</v>
      </c>
      <c r="V630" s="0" t="n">
        <f aca="false">T630-U630</f>
        <v>14</v>
      </c>
      <c r="W630" s="0" t="n">
        <f aca="false">T630+U630</f>
        <v>52</v>
      </c>
    </row>
    <row r="631" customFormat="false" ht="15" hidden="false" customHeight="false" outlineLevel="0" collapsed="false">
      <c r="A631" s="0" t="n">
        <v>628</v>
      </c>
      <c r="B631" s="0" t="n">
        <f aca="true">NORMINV(RAND(),1,Coefficients!$B$22)</f>
        <v>0.993000113035582</v>
      </c>
      <c r="C631" s="0" t="n">
        <f aca="true">MEDIAN(8,16,ROUND(NORMINV(RAND(),Coefficients!$B$20,Coefficients!$B$21),0))</f>
        <v>13</v>
      </c>
      <c r="D631" s="0" t="n">
        <f aca="true">CRITBINOM($C631,MIN(0.75,Matchup!$B$39*$B631),RAND())</f>
        <v>2</v>
      </c>
      <c r="E631" s="0" t="n">
        <f aca="true">CRITBINOM(D631,Coefficients!$B$30,RAND())</f>
        <v>0</v>
      </c>
      <c r="F631" s="0" t="n">
        <f aca="true">CRITBINOM(E631,Coefficients!$B$31,RAND())</f>
        <v>0</v>
      </c>
      <c r="G631" s="0" t="n">
        <f aca="true">CRITBINOM(MAX(0,D631-E631),1-Coefficients!$B$32,RAND())</f>
        <v>0</v>
      </c>
      <c r="H631" s="0" t="n">
        <f aca="true">CRITBINOM(MAX(0,$C631-D631),MIN(0.6,Matchup!$B$40*SQRT($B631)/(1-MIN(0.75,Matchup!$B$39*$B631))),RAND())</f>
        <v>0</v>
      </c>
      <c r="I631" s="0" t="n">
        <f aca="false">6*D631+(D631-E631-G631)+2*F631+3*H631</f>
        <v>14</v>
      </c>
      <c r="J631" s="0" t="n">
        <f aca="true">CRITBINOM($C631,MIN(0.75,Matchup!$C$39*$B631),RAND())</f>
        <v>4</v>
      </c>
      <c r="K631" s="0" t="n">
        <f aca="true">CRITBINOM(J631,Coefficients!$B$30,RAND())</f>
        <v>1</v>
      </c>
      <c r="L631" s="0" t="n">
        <f aca="true">CRITBINOM(K631,Coefficients!$B$31,RAND())</f>
        <v>0</v>
      </c>
      <c r="M631" s="0" t="n">
        <f aca="true">CRITBINOM(MAX(0,J631-K631),1-Coefficients!$B$32,RAND())</f>
        <v>0</v>
      </c>
      <c r="N631" s="0" t="n">
        <f aca="true">CRITBINOM(MAX(0,$C631-J631),MIN(0.6,Matchup!$C$40*SQRT($B631)/(1-MIN(0.75,Matchup!$C$39*$B631))),RAND())</f>
        <v>1</v>
      </c>
      <c r="O631" s="0" t="n">
        <f aca="false">6*J631+(J631-K631-M631)+2*L631+3*N631</f>
        <v>30</v>
      </c>
      <c r="P631" s="0" t="n">
        <f aca="true">RAND()</f>
        <v>0.144369789304596</v>
      </c>
      <c r="Q631" s="0" t="n">
        <f aca="true">RAND()</f>
        <v>0.695769448242176</v>
      </c>
      <c r="R631" s="0" t="n">
        <f aca="false">IF($I631&lt;&gt;$O631,0,IF(P631&lt;Matchup!$B$39,7,IF(P631&lt;Matchup!$B$39+Matchup!$B$40,3,0)))</f>
        <v>0</v>
      </c>
      <c r="S631" s="0" t="n">
        <f aca="false">IF($I631&lt;&gt;$O631,0,IF(Q631&lt;Matchup!$C$39,7,IF(Q631&lt;Matchup!$C$39+Matchup!$C$40,3,0)))</f>
        <v>0</v>
      </c>
      <c r="T631" s="0" t="n">
        <f aca="false">I631+R631</f>
        <v>14</v>
      </c>
      <c r="U631" s="0" t="n">
        <f aca="false">O631+S631</f>
        <v>30</v>
      </c>
      <c r="V631" s="0" t="n">
        <f aca="false">T631-U631</f>
        <v>-16</v>
      </c>
      <c r="W631" s="0" t="n">
        <f aca="false">T631+U631</f>
        <v>44</v>
      </c>
    </row>
    <row r="632" customFormat="false" ht="15" hidden="false" customHeight="false" outlineLevel="0" collapsed="false">
      <c r="A632" s="0" t="n">
        <v>629</v>
      </c>
      <c r="B632" s="0" t="n">
        <f aca="true">NORMINV(RAND(),1,Coefficients!$B$22)</f>
        <v>1.08680494328628</v>
      </c>
      <c r="C632" s="0" t="n">
        <f aca="true">MEDIAN(8,16,ROUND(NORMINV(RAND(),Coefficients!$B$20,Coefficients!$B$21),0))</f>
        <v>13</v>
      </c>
      <c r="D632" s="0" t="n">
        <f aca="true">CRITBINOM($C632,MIN(0.75,Matchup!$B$39*$B632),RAND())</f>
        <v>7</v>
      </c>
      <c r="E632" s="0" t="n">
        <f aca="true">CRITBINOM(D632,Coefficients!$B$30,RAND())</f>
        <v>1</v>
      </c>
      <c r="F632" s="0" t="n">
        <f aca="true">CRITBINOM(E632,Coefficients!$B$31,RAND())</f>
        <v>1</v>
      </c>
      <c r="G632" s="0" t="n">
        <f aca="true">CRITBINOM(MAX(0,D632-E632),1-Coefficients!$B$32,RAND())</f>
        <v>0</v>
      </c>
      <c r="H632" s="0" t="n">
        <f aca="true">CRITBINOM(MAX(0,$C632-D632),MIN(0.6,Matchup!$B$40*SQRT($B632)/(1-MIN(0.75,Matchup!$B$39*$B632))),RAND())</f>
        <v>2</v>
      </c>
      <c r="I632" s="0" t="n">
        <f aca="false">6*D632+(D632-E632-G632)+2*F632+3*H632</f>
        <v>56</v>
      </c>
      <c r="J632" s="0" t="n">
        <f aca="true">CRITBINOM($C632,MIN(0.75,Matchup!$C$39*$B632),RAND())</f>
        <v>3</v>
      </c>
      <c r="K632" s="0" t="n">
        <f aca="true">CRITBINOM(J632,Coefficients!$B$30,RAND())</f>
        <v>0</v>
      </c>
      <c r="L632" s="0" t="n">
        <f aca="true">CRITBINOM(K632,Coefficients!$B$31,RAND())</f>
        <v>0</v>
      </c>
      <c r="M632" s="0" t="n">
        <f aca="true">CRITBINOM(MAX(0,J632-K632),1-Coefficients!$B$32,RAND())</f>
        <v>0</v>
      </c>
      <c r="N632" s="0" t="n">
        <f aca="true">CRITBINOM(MAX(0,$C632-J632),MIN(0.6,Matchup!$C$40*SQRT($B632)/(1-MIN(0.75,Matchup!$C$39*$B632))),RAND())</f>
        <v>2</v>
      </c>
      <c r="O632" s="0" t="n">
        <f aca="false">6*J632+(J632-K632-M632)+2*L632+3*N632</f>
        <v>27</v>
      </c>
      <c r="P632" s="0" t="n">
        <f aca="true">RAND()</f>
        <v>0.100754790590849</v>
      </c>
      <c r="Q632" s="0" t="n">
        <f aca="true">RAND()</f>
        <v>0.405446231199664</v>
      </c>
      <c r="R632" s="0" t="n">
        <f aca="false">IF($I632&lt;&gt;$O632,0,IF(P632&lt;Matchup!$B$39,7,IF(P632&lt;Matchup!$B$39+Matchup!$B$40,3,0)))</f>
        <v>0</v>
      </c>
      <c r="S632" s="0" t="n">
        <f aca="false">IF($I632&lt;&gt;$O632,0,IF(Q632&lt;Matchup!$C$39,7,IF(Q632&lt;Matchup!$C$39+Matchup!$C$40,3,0)))</f>
        <v>0</v>
      </c>
      <c r="T632" s="0" t="n">
        <f aca="false">I632+R632</f>
        <v>56</v>
      </c>
      <c r="U632" s="0" t="n">
        <f aca="false">O632+S632</f>
        <v>27</v>
      </c>
      <c r="V632" s="0" t="n">
        <f aca="false">T632-U632</f>
        <v>29</v>
      </c>
      <c r="W632" s="0" t="n">
        <f aca="false">T632+U632</f>
        <v>83</v>
      </c>
    </row>
    <row r="633" customFormat="false" ht="15" hidden="false" customHeight="false" outlineLevel="0" collapsed="false">
      <c r="A633" s="0" t="n">
        <v>630</v>
      </c>
      <c r="B633" s="0" t="n">
        <f aca="true">NORMINV(RAND(),1,Coefficients!$B$22)</f>
        <v>1.05484871554862</v>
      </c>
      <c r="C633" s="0" t="n">
        <f aca="true">MEDIAN(8,16,ROUND(NORMINV(RAND(),Coefficients!$B$20,Coefficients!$B$21),0))</f>
        <v>10</v>
      </c>
      <c r="D633" s="0" t="n">
        <f aca="true">CRITBINOM($C633,MIN(0.75,Matchup!$B$39*$B633),RAND())</f>
        <v>3</v>
      </c>
      <c r="E633" s="0" t="n">
        <f aca="true">CRITBINOM(D633,Coefficients!$B$30,RAND())</f>
        <v>0</v>
      </c>
      <c r="F633" s="0" t="n">
        <f aca="true">CRITBINOM(E633,Coefficients!$B$31,RAND())</f>
        <v>0</v>
      </c>
      <c r="G633" s="0" t="n">
        <f aca="true">CRITBINOM(MAX(0,D633-E633),1-Coefficients!$B$32,RAND())</f>
        <v>0</v>
      </c>
      <c r="H633" s="0" t="n">
        <f aca="true">CRITBINOM(MAX(0,$C633-D633),MIN(0.6,Matchup!$B$40*SQRT($B633)/(1-MIN(0.75,Matchup!$B$39*$B633))),RAND())</f>
        <v>1</v>
      </c>
      <c r="I633" s="0" t="n">
        <f aca="false">6*D633+(D633-E633-G633)+2*F633+3*H633</f>
        <v>24</v>
      </c>
      <c r="J633" s="0" t="n">
        <f aca="true">CRITBINOM($C633,MIN(0.75,Matchup!$C$39*$B633),RAND())</f>
        <v>2</v>
      </c>
      <c r="K633" s="0" t="n">
        <f aca="true">CRITBINOM(J633,Coefficients!$B$30,RAND())</f>
        <v>0</v>
      </c>
      <c r="L633" s="0" t="n">
        <f aca="true">CRITBINOM(K633,Coefficients!$B$31,RAND())</f>
        <v>0</v>
      </c>
      <c r="M633" s="0" t="n">
        <f aca="true">CRITBINOM(MAX(0,J633-K633),1-Coefficients!$B$32,RAND())</f>
        <v>0</v>
      </c>
      <c r="N633" s="0" t="n">
        <f aca="true">CRITBINOM(MAX(0,$C633-J633),MIN(0.6,Matchup!$C$40*SQRT($B633)/(1-MIN(0.75,Matchup!$C$39*$B633))),RAND())</f>
        <v>2</v>
      </c>
      <c r="O633" s="0" t="n">
        <f aca="false">6*J633+(J633-K633-M633)+2*L633+3*N633</f>
        <v>20</v>
      </c>
      <c r="P633" s="0" t="n">
        <f aca="true">RAND()</f>
        <v>0.552059764596041</v>
      </c>
      <c r="Q633" s="0" t="n">
        <f aca="true">RAND()</f>
        <v>0.871096939679397</v>
      </c>
      <c r="R633" s="0" t="n">
        <f aca="false">IF($I633&lt;&gt;$O633,0,IF(P633&lt;Matchup!$B$39,7,IF(P633&lt;Matchup!$B$39+Matchup!$B$40,3,0)))</f>
        <v>0</v>
      </c>
      <c r="S633" s="0" t="n">
        <f aca="false">IF($I633&lt;&gt;$O633,0,IF(Q633&lt;Matchup!$C$39,7,IF(Q633&lt;Matchup!$C$39+Matchup!$C$40,3,0)))</f>
        <v>0</v>
      </c>
      <c r="T633" s="0" t="n">
        <f aca="false">I633+R633</f>
        <v>24</v>
      </c>
      <c r="U633" s="0" t="n">
        <f aca="false">O633+S633</f>
        <v>20</v>
      </c>
      <c r="V633" s="0" t="n">
        <f aca="false">T633-U633</f>
        <v>4</v>
      </c>
      <c r="W633" s="0" t="n">
        <f aca="false">T633+U633</f>
        <v>44</v>
      </c>
    </row>
    <row r="634" customFormat="false" ht="15" hidden="false" customHeight="false" outlineLevel="0" collapsed="false">
      <c r="A634" s="0" t="n">
        <v>631</v>
      </c>
      <c r="B634" s="0" t="n">
        <f aca="true">NORMINV(RAND(),1,Coefficients!$B$22)</f>
        <v>0.978819415796108</v>
      </c>
      <c r="C634" s="0" t="n">
        <f aca="true">MEDIAN(8,16,ROUND(NORMINV(RAND(),Coefficients!$B$20,Coefficients!$B$21),0))</f>
        <v>11</v>
      </c>
      <c r="D634" s="0" t="n">
        <f aca="true">CRITBINOM($C634,MIN(0.75,Matchup!$B$39*$B634),RAND())</f>
        <v>3</v>
      </c>
      <c r="E634" s="0" t="n">
        <f aca="true">CRITBINOM(D634,Coefficients!$B$30,RAND())</f>
        <v>0</v>
      </c>
      <c r="F634" s="0" t="n">
        <f aca="true">CRITBINOM(E634,Coefficients!$B$31,RAND())</f>
        <v>0</v>
      </c>
      <c r="G634" s="0" t="n">
        <f aca="true">CRITBINOM(MAX(0,D634-E634),1-Coefficients!$B$32,RAND())</f>
        <v>0</v>
      </c>
      <c r="H634" s="0" t="n">
        <f aca="true">CRITBINOM(MAX(0,$C634-D634),MIN(0.6,Matchup!$B$40*SQRT($B634)/(1-MIN(0.75,Matchup!$B$39*$B634))),RAND())</f>
        <v>0</v>
      </c>
      <c r="I634" s="0" t="n">
        <f aca="false">6*D634+(D634-E634-G634)+2*F634+3*H634</f>
        <v>21</v>
      </c>
      <c r="J634" s="0" t="n">
        <f aca="true">CRITBINOM($C634,MIN(0.75,Matchup!$C$39*$B634),RAND())</f>
        <v>1</v>
      </c>
      <c r="K634" s="0" t="n">
        <f aca="true">CRITBINOM(J634,Coefficients!$B$30,RAND())</f>
        <v>0</v>
      </c>
      <c r="L634" s="0" t="n">
        <f aca="true">CRITBINOM(K634,Coefficients!$B$31,RAND())</f>
        <v>0</v>
      </c>
      <c r="M634" s="0" t="n">
        <f aca="true">CRITBINOM(MAX(0,J634-K634),1-Coefficients!$B$32,RAND())</f>
        <v>0</v>
      </c>
      <c r="N634" s="0" t="n">
        <f aca="true">CRITBINOM(MAX(0,$C634-J634),MIN(0.6,Matchup!$C$40*SQRT($B634)/(1-MIN(0.75,Matchup!$C$39*$B634))),RAND())</f>
        <v>0</v>
      </c>
      <c r="O634" s="0" t="n">
        <f aca="false">6*J634+(J634-K634-M634)+2*L634+3*N634</f>
        <v>7</v>
      </c>
      <c r="P634" s="0" t="n">
        <f aca="true">RAND()</f>
        <v>0.404911590973121</v>
      </c>
      <c r="Q634" s="0" t="n">
        <f aca="true">RAND()</f>
        <v>0.0256422372217967</v>
      </c>
      <c r="R634" s="0" t="n">
        <f aca="false">IF($I634&lt;&gt;$O634,0,IF(P634&lt;Matchup!$B$39,7,IF(P634&lt;Matchup!$B$39+Matchup!$B$40,3,0)))</f>
        <v>0</v>
      </c>
      <c r="S634" s="0" t="n">
        <f aca="false">IF($I634&lt;&gt;$O634,0,IF(Q634&lt;Matchup!$C$39,7,IF(Q634&lt;Matchup!$C$39+Matchup!$C$40,3,0)))</f>
        <v>0</v>
      </c>
      <c r="T634" s="0" t="n">
        <f aca="false">I634+R634</f>
        <v>21</v>
      </c>
      <c r="U634" s="0" t="n">
        <f aca="false">O634+S634</f>
        <v>7</v>
      </c>
      <c r="V634" s="0" t="n">
        <f aca="false">T634-U634</f>
        <v>14</v>
      </c>
      <c r="W634" s="0" t="n">
        <f aca="false">T634+U634</f>
        <v>28</v>
      </c>
    </row>
    <row r="635" customFormat="false" ht="15" hidden="false" customHeight="false" outlineLevel="0" collapsed="false">
      <c r="A635" s="0" t="n">
        <v>632</v>
      </c>
      <c r="B635" s="0" t="n">
        <f aca="true">NORMINV(RAND(),1,Coefficients!$B$22)</f>
        <v>1.09439962167622</v>
      </c>
      <c r="C635" s="0" t="n">
        <f aca="true">MEDIAN(8,16,ROUND(NORMINV(RAND(),Coefficients!$B$20,Coefficients!$B$21),0))</f>
        <v>12</v>
      </c>
      <c r="D635" s="0" t="n">
        <f aca="true">CRITBINOM($C635,MIN(0.75,Matchup!$B$39*$B635),RAND())</f>
        <v>2</v>
      </c>
      <c r="E635" s="0" t="n">
        <f aca="true">CRITBINOM(D635,Coefficients!$B$30,RAND())</f>
        <v>0</v>
      </c>
      <c r="F635" s="0" t="n">
        <f aca="true">CRITBINOM(E635,Coefficients!$B$31,RAND())</f>
        <v>0</v>
      </c>
      <c r="G635" s="0" t="n">
        <f aca="true">CRITBINOM(MAX(0,D635-E635),1-Coefficients!$B$32,RAND())</f>
        <v>0</v>
      </c>
      <c r="H635" s="0" t="n">
        <f aca="true">CRITBINOM(MAX(0,$C635-D635),MIN(0.6,Matchup!$B$40*SQRT($B635)/(1-MIN(0.75,Matchup!$B$39*$B635))),RAND())</f>
        <v>2</v>
      </c>
      <c r="I635" s="0" t="n">
        <f aca="false">6*D635+(D635-E635-G635)+2*F635+3*H635</f>
        <v>20</v>
      </c>
      <c r="J635" s="0" t="n">
        <f aca="true">CRITBINOM($C635,MIN(0.75,Matchup!$C$39*$B635),RAND())</f>
        <v>4</v>
      </c>
      <c r="K635" s="0" t="n">
        <f aca="true">CRITBINOM(J635,Coefficients!$B$30,RAND())</f>
        <v>0</v>
      </c>
      <c r="L635" s="0" t="n">
        <f aca="true">CRITBINOM(K635,Coefficients!$B$31,RAND())</f>
        <v>0</v>
      </c>
      <c r="M635" s="0" t="n">
        <f aca="true">CRITBINOM(MAX(0,J635-K635),1-Coefficients!$B$32,RAND())</f>
        <v>1</v>
      </c>
      <c r="N635" s="0" t="n">
        <f aca="true">CRITBINOM(MAX(0,$C635-J635),MIN(0.6,Matchup!$C$40*SQRT($B635)/(1-MIN(0.75,Matchup!$C$39*$B635))),RAND())</f>
        <v>0</v>
      </c>
      <c r="O635" s="0" t="n">
        <f aca="false">6*J635+(J635-K635-M635)+2*L635+3*N635</f>
        <v>27</v>
      </c>
      <c r="P635" s="0" t="n">
        <f aca="true">RAND()</f>
        <v>0.278593519464491</v>
      </c>
      <c r="Q635" s="0" t="n">
        <f aca="true">RAND()</f>
        <v>0.356874576473582</v>
      </c>
      <c r="R635" s="0" t="n">
        <f aca="false">IF($I635&lt;&gt;$O635,0,IF(P635&lt;Matchup!$B$39,7,IF(P635&lt;Matchup!$B$39+Matchup!$B$40,3,0)))</f>
        <v>0</v>
      </c>
      <c r="S635" s="0" t="n">
        <f aca="false">IF($I635&lt;&gt;$O635,0,IF(Q635&lt;Matchup!$C$39,7,IF(Q635&lt;Matchup!$C$39+Matchup!$C$40,3,0)))</f>
        <v>0</v>
      </c>
      <c r="T635" s="0" t="n">
        <f aca="false">I635+R635</f>
        <v>20</v>
      </c>
      <c r="U635" s="0" t="n">
        <f aca="false">O635+S635</f>
        <v>27</v>
      </c>
      <c r="V635" s="0" t="n">
        <f aca="false">T635-U635</f>
        <v>-7</v>
      </c>
      <c r="W635" s="0" t="n">
        <f aca="false">T635+U635</f>
        <v>47</v>
      </c>
    </row>
    <row r="636" customFormat="false" ht="15" hidden="false" customHeight="false" outlineLevel="0" collapsed="false">
      <c r="A636" s="0" t="n">
        <v>633</v>
      </c>
      <c r="B636" s="0" t="n">
        <f aca="true">NORMINV(RAND(),1,Coefficients!$B$22)</f>
        <v>1.06461360215472</v>
      </c>
      <c r="C636" s="0" t="n">
        <f aca="true">MEDIAN(8,16,ROUND(NORMINV(RAND(),Coefficients!$B$20,Coefficients!$B$21),0))</f>
        <v>10</v>
      </c>
      <c r="D636" s="0" t="n">
        <f aca="true">CRITBINOM($C636,MIN(0.75,Matchup!$B$39*$B636),RAND())</f>
        <v>2</v>
      </c>
      <c r="E636" s="0" t="n">
        <f aca="true">CRITBINOM(D636,Coefficients!$B$30,RAND())</f>
        <v>0</v>
      </c>
      <c r="F636" s="0" t="n">
        <f aca="true">CRITBINOM(E636,Coefficients!$B$31,RAND())</f>
        <v>0</v>
      </c>
      <c r="G636" s="0" t="n">
        <f aca="true">CRITBINOM(MAX(0,D636-E636),1-Coefficients!$B$32,RAND())</f>
        <v>0</v>
      </c>
      <c r="H636" s="0" t="n">
        <f aca="true">CRITBINOM(MAX(0,$C636-D636),MIN(0.6,Matchup!$B$40*SQRT($B636)/(1-MIN(0.75,Matchup!$B$39*$B636))),RAND())</f>
        <v>4</v>
      </c>
      <c r="I636" s="0" t="n">
        <f aca="false">6*D636+(D636-E636-G636)+2*F636+3*H636</f>
        <v>26</v>
      </c>
      <c r="J636" s="0" t="n">
        <f aca="true">CRITBINOM($C636,MIN(0.75,Matchup!$C$39*$B636),RAND())</f>
        <v>2</v>
      </c>
      <c r="K636" s="0" t="n">
        <f aca="true">CRITBINOM(J636,Coefficients!$B$30,RAND())</f>
        <v>0</v>
      </c>
      <c r="L636" s="0" t="n">
        <f aca="true">CRITBINOM(K636,Coefficients!$B$31,RAND())</f>
        <v>0</v>
      </c>
      <c r="M636" s="0" t="n">
        <f aca="true">CRITBINOM(MAX(0,J636-K636),1-Coefficients!$B$32,RAND())</f>
        <v>0</v>
      </c>
      <c r="N636" s="0" t="n">
        <f aca="true">CRITBINOM(MAX(0,$C636-J636),MIN(0.6,Matchup!$C$40*SQRT($B636)/(1-MIN(0.75,Matchup!$C$39*$B636))),RAND())</f>
        <v>1</v>
      </c>
      <c r="O636" s="0" t="n">
        <f aca="false">6*J636+(J636-K636-M636)+2*L636+3*N636</f>
        <v>17</v>
      </c>
      <c r="P636" s="0" t="n">
        <f aca="true">RAND()</f>
        <v>0.649472304488022</v>
      </c>
      <c r="Q636" s="0" t="n">
        <f aca="true">RAND()</f>
        <v>0.918748563725544</v>
      </c>
      <c r="R636" s="0" t="n">
        <f aca="false">IF($I636&lt;&gt;$O636,0,IF(P636&lt;Matchup!$B$39,7,IF(P636&lt;Matchup!$B$39+Matchup!$B$40,3,0)))</f>
        <v>0</v>
      </c>
      <c r="S636" s="0" t="n">
        <f aca="false">IF($I636&lt;&gt;$O636,0,IF(Q636&lt;Matchup!$C$39,7,IF(Q636&lt;Matchup!$C$39+Matchup!$C$40,3,0)))</f>
        <v>0</v>
      </c>
      <c r="T636" s="0" t="n">
        <f aca="false">I636+R636</f>
        <v>26</v>
      </c>
      <c r="U636" s="0" t="n">
        <f aca="false">O636+S636</f>
        <v>17</v>
      </c>
      <c r="V636" s="0" t="n">
        <f aca="false">T636-U636</f>
        <v>9</v>
      </c>
      <c r="W636" s="0" t="n">
        <f aca="false">T636+U636</f>
        <v>43</v>
      </c>
    </row>
    <row r="637" customFormat="false" ht="15" hidden="false" customHeight="false" outlineLevel="0" collapsed="false">
      <c r="A637" s="0" t="n">
        <v>634</v>
      </c>
      <c r="B637" s="0" t="n">
        <f aca="true">NORMINV(RAND(),1,Coefficients!$B$22)</f>
        <v>0.929556425256827</v>
      </c>
      <c r="C637" s="0" t="n">
        <f aca="true">MEDIAN(8,16,ROUND(NORMINV(RAND(),Coefficients!$B$20,Coefficients!$B$21),0))</f>
        <v>10</v>
      </c>
      <c r="D637" s="0" t="n">
        <f aca="true">CRITBINOM($C637,MIN(0.75,Matchup!$B$39*$B637),RAND())</f>
        <v>1</v>
      </c>
      <c r="E637" s="0" t="n">
        <f aca="true">CRITBINOM(D637,Coefficients!$B$30,RAND())</f>
        <v>0</v>
      </c>
      <c r="F637" s="0" t="n">
        <f aca="true">CRITBINOM(E637,Coefficients!$B$31,RAND())</f>
        <v>0</v>
      </c>
      <c r="G637" s="0" t="n">
        <f aca="true">CRITBINOM(MAX(0,D637-E637),1-Coefficients!$B$32,RAND())</f>
        <v>0</v>
      </c>
      <c r="H637" s="0" t="n">
        <f aca="true">CRITBINOM(MAX(0,$C637-D637),MIN(0.6,Matchup!$B$40*SQRT($B637)/(1-MIN(0.75,Matchup!$B$39*$B637))),RAND())</f>
        <v>2</v>
      </c>
      <c r="I637" s="0" t="n">
        <f aca="false">6*D637+(D637-E637-G637)+2*F637+3*H637</f>
        <v>13</v>
      </c>
      <c r="J637" s="0" t="n">
        <f aca="true">CRITBINOM($C637,MIN(0.75,Matchup!$C$39*$B637),RAND())</f>
        <v>1</v>
      </c>
      <c r="K637" s="0" t="n">
        <f aca="true">CRITBINOM(J637,Coefficients!$B$30,RAND())</f>
        <v>1</v>
      </c>
      <c r="L637" s="0" t="n">
        <f aca="true">CRITBINOM(K637,Coefficients!$B$31,RAND())</f>
        <v>0</v>
      </c>
      <c r="M637" s="0" t="n">
        <f aca="true">CRITBINOM(MAX(0,J637-K637),1-Coefficients!$B$32,RAND())</f>
        <v>0</v>
      </c>
      <c r="N637" s="0" t="n">
        <f aca="true">CRITBINOM(MAX(0,$C637-J637),MIN(0.6,Matchup!$C$40*SQRT($B637)/(1-MIN(0.75,Matchup!$C$39*$B637))),RAND())</f>
        <v>3</v>
      </c>
      <c r="O637" s="0" t="n">
        <f aca="false">6*J637+(J637-K637-M637)+2*L637+3*N637</f>
        <v>15</v>
      </c>
      <c r="P637" s="0" t="n">
        <f aca="true">RAND()</f>
        <v>0.845351245691611</v>
      </c>
      <c r="Q637" s="0" t="n">
        <f aca="true">RAND()</f>
        <v>0.75031181223563</v>
      </c>
      <c r="R637" s="0" t="n">
        <f aca="false">IF($I637&lt;&gt;$O637,0,IF(P637&lt;Matchup!$B$39,7,IF(P637&lt;Matchup!$B$39+Matchup!$B$40,3,0)))</f>
        <v>0</v>
      </c>
      <c r="S637" s="0" t="n">
        <f aca="false">IF($I637&lt;&gt;$O637,0,IF(Q637&lt;Matchup!$C$39,7,IF(Q637&lt;Matchup!$C$39+Matchup!$C$40,3,0)))</f>
        <v>0</v>
      </c>
      <c r="T637" s="0" t="n">
        <f aca="false">I637+R637</f>
        <v>13</v>
      </c>
      <c r="U637" s="0" t="n">
        <f aca="false">O637+S637</f>
        <v>15</v>
      </c>
      <c r="V637" s="0" t="n">
        <f aca="false">T637-U637</f>
        <v>-2</v>
      </c>
      <c r="W637" s="0" t="n">
        <f aca="false">T637+U637</f>
        <v>28</v>
      </c>
    </row>
    <row r="638" customFormat="false" ht="15" hidden="false" customHeight="false" outlineLevel="0" collapsed="false">
      <c r="A638" s="0" t="n">
        <v>635</v>
      </c>
      <c r="B638" s="0" t="n">
        <f aca="true">NORMINV(RAND(),1,Coefficients!$B$22)</f>
        <v>0.906831053456993</v>
      </c>
      <c r="C638" s="0" t="n">
        <f aca="true">MEDIAN(8,16,ROUND(NORMINV(RAND(),Coefficients!$B$20,Coefficients!$B$21),0))</f>
        <v>14</v>
      </c>
      <c r="D638" s="0" t="n">
        <f aca="true">CRITBINOM($C638,MIN(0.75,Matchup!$B$39*$B638),RAND())</f>
        <v>0</v>
      </c>
      <c r="E638" s="0" t="n">
        <f aca="true">CRITBINOM(D638,Coefficients!$B$30,RAND())</f>
        <v>0</v>
      </c>
      <c r="F638" s="0" t="n">
        <f aca="true">CRITBINOM(E638,Coefficients!$B$31,RAND())</f>
        <v>0</v>
      </c>
      <c r="G638" s="0" t="n">
        <f aca="true">CRITBINOM(MAX(0,D638-E638),1-Coefficients!$B$32,RAND())</f>
        <v>0</v>
      </c>
      <c r="H638" s="0" t="n">
        <f aca="true">CRITBINOM(MAX(0,$C638-D638),MIN(0.6,Matchup!$B$40*SQRT($B638)/(1-MIN(0.75,Matchup!$B$39*$B638))),RAND())</f>
        <v>1</v>
      </c>
      <c r="I638" s="0" t="n">
        <f aca="false">6*D638+(D638-E638-G638)+2*F638+3*H638</f>
        <v>3</v>
      </c>
      <c r="J638" s="0" t="n">
        <f aca="true">CRITBINOM($C638,MIN(0.75,Matchup!$C$39*$B638),RAND())</f>
        <v>2</v>
      </c>
      <c r="K638" s="0" t="n">
        <f aca="true">CRITBINOM(J638,Coefficients!$B$30,RAND())</f>
        <v>1</v>
      </c>
      <c r="L638" s="0" t="n">
        <f aca="true">CRITBINOM(K638,Coefficients!$B$31,RAND())</f>
        <v>0</v>
      </c>
      <c r="M638" s="0" t="n">
        <f aca="true">CRITBINOM(MAX(0,J638-K638),1-Coefficients!$B$32,RAND())</f>
        <v>0</v>
      </c>
      <c r="N638" s="0" t="n">
        <f aca="true">CRITBINOM(MAX(0,$C638-J638),MIN(0.6,Matchup!$C$40*SQRT($B638)/(1-MIN(0.75,Matchup!$C$39*$B638))),RAND())</f>
        <v>1</v>
      </c>
      <c r="O638" s="0" t="n">
        <f aca="false">6*J638+(J638-K638-M638)+2*L638+3*N638</f>
        <v>16</v>
      </c>
      <c r="P638" s="0" t="n">
        <f aca="true">RAND()</f>
        <v>0.464897291520851</v>
      </c>
      <c r="Q638" s="0" t="n">
        <f aca="true">RAND()</f>
        <v>0.393670432281168</v>
      </c>
      <c r="R638" s="0" t="n">
        <f aca="false">IF($I638&lt;&gt;$O638,0,IF(P638&lt;Matchup!$B$39,7,IF(P638&lt;Matchup!$B$39+Matchup!$B$40,3,0)))</f>
        <v>0</v>
      </c>
      <c r="S638" s="0" t="n">
        <f aca="false">IF($I638&lt;&gt;$O638,0,IF(Q638&lt;Matchup!$C$39,7,IF(Q638&lt;Matchup!$C$39+Matchup!$C$40,3,0)))</f>
        <v>0</v>
      </c>
      <c r="T638" s="0" t="n">
        <f aca="false">I638+R638</f>
        <v>3</v>
      </c>
      <c r="U638" s="0" t="n">
        <f aca="false">O638+S638</f>
        <v>16</v>
      </c>
      <c r="V638" s="0" t="n">
        <f aca="false">T638-U638</f>
        <v>-13</v>
      </c>
      <c r="W638" s="0" t="n">
        <f aca="false">T638+U638</f>
        <v>19</v>
      </c>
    </row>
    <row r="639" customFormat="false" ht="15" hidden="false" customHeight="false" outlineLevel="0" collapsed="false">
      <c r="A639" s="0" t="n">
        <v>636</v>
      </c>
      <c r="B639" s="0" t="n">
        <f aca="true">NORMINV(RAND(),1,Coefficients!$B$22)</f>
        <v>1.0095739546964</v>
      </c>
      <c r="C639" s="0" t="n">
        <f aca="true">MEDIAN(8,16,ROUND(NORMINV(RAND(),Coefficients!$B$20,Coefficients!$B$21),0))</f>
        <v>11</v>
      </c>
      <c r="D639" s="0" t="n">
        <f aca="true">CRITBINOM($C639,MIN(0.75,Matchup!$B$39*$B639),RAND())</f>
        <v>4</v>
      </c>
      <c r="E639" s="0" t="n">
        <f aca="true">CRITBINOM(D639,Coefficients!$B$30,RAND())</f>
        <v>0</v>
      </c>
      <c r="F639" s="0" t="n">
        <f aca="true">CRITBINOM(E639,Coefficients!$B$31,RAND())</f>
        <v>0</v>
      </c>
      <c r="G639" s="0" t="n">
        <f aca="true">CRITBINOM(MAX(0,D639-E639),1-Coefficients!$B$32,RAND())</f>
        <v>0</v>
      </c>
      <c r="H639" s="0" t="n">
        <f aca="true">CRITBINOM(MAX(0,$C639-D639),MIN(0.6,Matchup!$B$40*SQRT($B639)/(1-MIN(0.75,Matchup!$B$39*$B639))),RAND())</f>
        <v>1</v>
      </c>
      <c r="I639" s="0" t="n">
        <f aca="false">6*D639+(D639-E639-G639)+2*F639+3*H639</f>
        <v>31</v>
      </c>
      <c r="J639" s="0" t="n">
        <f aca="true">CRITBINOM($C639,MIN(0.75,Matchup!$C$39*$B639),RAND())</f>
        <v>2</v>
      </c>
      <c r="K639" s="0" t="n">
        <f aca="true">CRITBINOM(J639,Coefficients!$B$30,RAND())</f>
        <v>0</v>
      </c>
      <c r="L639" s="0" t="n">
        <f aca="true">CRITBINOM(K639,Coefficients!$B$31,RAND())</f>
        <v>0</v>
      </c>
      <c r="M639" s="0" t="n">
        <f aca="true">CRITBINOM(MAX(0,J639-K639),1-Coefficients!$B$32,RAND())</f>
        <v>0</v>
      </c>
      <c r="N639" s="0" t="n">
        <f aca="true">CRITBINOM(MAX(0,$C639-J639),MIN(0.6,Matchup!$C$40*SQRT($B639)/(1-MIN(0.75,Matchup!$C$39*$B639))),RAND())</f>
        <v>3</v>
      </c>
      <c r="O639" s="0" t="n">
        <f aca="false">6*J639+(J639-K639-M639)+2*L639+3*N639</f>
        <v>23</v>
      </c>
      <c r="P639" s="0" t="n">
        <f aca="true">RAND()</f>
        <v>0.344015184405892</v>
      </c>
      <c r="Q639" s="0" t="n">
        <f aca="true">RAND()</f>
        <v>0.102657413772334</v>
      </c>
      <c r="R639" s="0" t="n">
        <f aca="false">IF($I639&lt;&gt;$O639,0,IF(P639&lt;Matchup!$B$39,7,IF(P639&lt;Matchup!$B$39+Matchup!$B$40,3,0)))</f>
        <v>0</v>
      </c>
      <c r="S639" s="0" t="n">
        <f aca="false">IF($I639&lt;&gt;$O639,0,IF(Q639&lt;Matchup!$C$39,7,IF(Q639&lt;Matchup!$C$39+Matchup!$C$40,3,0)))</f>
        <v>0</v>
      </c>
      <c r="T639" s="0" t="n">
        <f aca="false">I639+R639</f>
        <v>31</v>
      </c>
      <c r="U639" s="0" t="n">
        <f aca="false">O639+S639</f>
        <v>23</v>
      </c>
      <c r="V639" s="0" t="n">
        <f aca="false">T639-U639</f>
        <v>8</v>
      </c>
      <c r="W639" s="0" t="n">
        <f aca="false">T639+U639</f>
        <v>54</v>
      </c>
    </row>
    <row r="640" customFormat="false" ht="15" hidden="false" customHeight="false" outlineLevel="0" collapsed="false">
      <c r="A640" s="0" t="n">
        <v>637</v>
      </c>
      <c r="B640" s="0" t="n">
        <f aca="true">NORMINV(RAND(),1,Coefficients!$B$22)</f>
        <v>0.960200691683752</v>
      </c>
      <c r="C640" s="0" t="n">
        <f aca="true">MEDIAN(8,16,ROUND(NORMINV(RAND(),Coefficients!$B$20,Coefficients!$B$21),0))</f>
        <v>11</v>
      </c>
      <c r="D640" s="0" t="n">
        <f aca="true">CRITBINOM($C640,MIN(0.75,Matchup!$B$39*$B640),RAND())</f>
        <v>2</v>
      </c>
      <c r="E640" s="0" t="n">
        <f aca="true">CRITBINOM(D640,Coefficients!$B$30,RAND())</f>
        <v>0</v>
      </c>
      <c r="F640" s="0" t="n">
        <f aca="true">CRITBINOM(E640,Coefficients!$B$31,RAND())</f>
        <v>0</v>
      </c>
      <c r="G640" s="0" t="n">
        <f aca="true">CRITBINOM(MAX(0,D640-E640),1-Coefficients!$B$32,RAND())</f>
        <v>0</v>
      </c>
      <c r="H640" s="0" t="n">
        <f aca="true">CRITBINOM(MAX(0,$C640-D640),MIN(0.6,Matchup!$B$40*SQRT($B640)/(1-MIN(0.75,Matchup!$B$39*$B640))),RAND())</f>
        <v>1</v>
      </c>
      <c r="I640" s="0" t="n">
        <f aca="false">6*D640+(D640-E640-G640)+2*F640+3*H640</f>
        <v>17</v>
      </c>
      <c r="J640" s="0" t="n">
        <f aca="true">CRITBINOM($C640,MIN(0.75,Matchup!$C$39*$B640),RAND())</f>
        <v>3</v>
      </c>
      <c r="K640" s="0" t="n">
        <f aca="true">CRITBINOM(J640,Coefficients!$B$30,RAND())</f>
        <v>0</v>
      </c>
      <c r="L640" s="0" t="n">
        <f aca="true">CRITBINOM(K640,Coefficients!$B$31,RAND())</f>
        <v>0</v>
      </c>
      <c r="M640" s="0" t="n">
        <f aca="true">CRITBINOM(MAX(0,J640-K640),1-Coefficients!$B$32,RAND())</f>
        <v>0</v>
      </c>
      <c r="N640" s="0" t="n">
        <f aca="true">CRITBINOM(MAX(0,$C640-J640),MIN(0.6,Matchup!$C$40*SQRT($B640)/(1-MIN(0.75,Matchup!$C$39*$B640))),RAND())</f>
        <v>1</v>
      </c>
      <c r="O640" s="0" t="n">
        <f aca="false">6*J640+(J640-K640-M640)+2*L640+3*N640</f>
        <v>24</v>
      </c>
      <c r="P640" s="0" t="n">
        <f aca="true">RAND()</f>
        <v>0.640348854020729</v>
      </c>
      <c r="Q640" s="0" t="n">
        <f aca="true">RAND()</f>
        <v>0.209002915875058</v>
      </c>
      <c r="R640" s="0" t="n">
        <f aca="false">IF($I640&lt;&gt;$O640,0,IF(P640&lt;Matchup!$B$39,7,IF(P640&lt;Matchup!$B$39+Matchup!$B$40,3,0)))</f>
        <v>0</v>
      </c>
      <c r="S640" s="0" t="n">
        <f aca="false">IF($I640&lt;&gt;$O640,0,IF(Q640&lt;Matchup!$C$39,7,IF(Q640&lt;Matchup!$C$39+Matchup!$C$40,3,0)))</f>
        <v>0</v>
      </c>
      <c r="T640" s="0" t="n">
        <f aca="false">I640+R640</f>
        <v>17</v>
      </c>
      <c r="U640" s="0" t="n">
        <f aca="false">O640+S640</f>
        <v>24</v>
      </c>
      <c r="V640" s="0" t="n">
        <f aca="false">T640-U640</f>
        <v>-7</v>
      </c>
      <c r="W640" s="0" t="n">
        <f aca="false">T640+U640</f>
        <v>41</v>
      </c>
    </row>
    <row r="641" customFormat="false" ht="15" hidden="false" customHeight="false" outlineLevel="0" collapsed="false">
      <c r="A641" s="0" t="n">
        <v>638</v>
      </c>
      <c r="B641" s="0" t="n">
        <f aca="true">NORMINV(RAND(),1,Coefficients!$B$22)</f>
        <v>0.991397875252543</v>
      </c>
      <c r="C641" s="0" t="n">
        <f aca="true">MEDIAN(8,16,ROUND(NORMINV(RAND(),Coefficients!$B$20,Coefficients!$B$21),0))</f>
        <v>11</v>
      </c>
      <c r="D641" s="0" t="n">
        <f aca="true">CRITBINOM($C641,MIN(0.75,Matchup!$B$39*$B641),RAND())</f>
        <v>3</v>
      </c>
      <c r="E641" s="0" t="n">
        <f aca="true">CRITBINOM(D641,Coefficients!$B$30,RAND())</f>
        <v>0</v>
      </c>
      <c r="F641" s="0" t="n">
        <f aca="true">CRITBINOM(E641,Coefficients!$B$31,RAND())</f>
        <v>0</v>
      </c>
      <c r="G641" s="0" t="n">
        <f aca="true">CRITBINOM(MAX(0,D641-E641),1-Coefficients!$B$32,RAND())</f>
        <v>0</v>
      </c>
      <c r="H641" s="0" t="n">
        <f aca="true">CRITBINOM(MAX(0,$C641-D641),MIN(0.6,Matchup!$B$40*SQRT($B641)/(1-MIN(0.75,Matchup!$B$39*$B641))),RAND())</f>
        <v>1</v>
      </c>
      <c r="I641" s="0" t="n">
        <f aca="false">6*D641+(D641-E641-G641)+2*F641+3*H641</f>
        <v>24</v>
      </c>
      <c r="J641" s="0" t="n">
        <f aca="true">CRITBINOM($C641,MIN(0.75,Matchup!$C$39*$B641),RAND())</f>
        <v>1</v>
      </c>
      <c r="K641" s="0" t="n">
        <f aca="true">CRITBINOM(J641,Coefficients!$B$30,RAND())</f>
        <v>0</v>
      </c>
      <c r="L641" s="0" t="n">
        <f aca="true">CRITBINOM(K641,Coefficients!$B$31,RAND())</f>
        <v>0</v>
      </c>
      <c r="M641" s="0" t="n">
        <f aca="true">CRITBINOM(MAX(0,J641-K641),1-Coefficients!$B$32,RAND())</f>
        <v>0</v>
      </c>
      <c r="N641" s="0" t="n">
        <f aca="true">CRITBINOM(MAX(0,$C641-J641),MIN(0.6,Matchup!$C$40*SQRT($B641)/(1-MIN(0.75,Matchup!$C$39*$B641))),RAND())</f>
        <v>1</v>
      </c>
      <c r="O641" s="0" t="n">
        <f aca="false">6*J641+(J641-K641-M641)+2*L641+3*N641</f>
        <v>10</v>
      </c>
      <c r="P641" s="0" t="n">
        <f aca="true">RAND()</f>
        <v>0.561596493594187</v>
      </c>
      <c r="Q641" s="0" t="n">
        <f aca="true">RAND()</f>
        <v>0.486935241990431</v>
      </c>
      <c r="R641" s="0" t="n">
        <f aca="false">IF($I641&lt;&gt;$O641,0,IF(P641&lt;Matchup!$B$39,7,IF(P641&lt;Matchup!$B$39+Matchup!$B$40,3,0)))</f>
        <v>0</v>
      </c>
      <c r="S641" s="0" t="n">
        <f aca="false">IF($I641&lt;&gt;$O641,0,IF(Q641&lt;Matchup!$C$39,7,IF(Q641&lt;Matchup!$C$39+Matchup!$C$40,3,0)))</f>
        <v>0</v>
      </c>
      <c r="T641" s="0" t="n">
        <f aca="false">I641+R641</f>
        <v>24</v>
      </c>
      <c r="U641" s="0" t="n">
        <f aca="false">O641+S641</f>
        <v>10</v>
      </c>
      <c r="V641" s="0" t="n">
        <f aca="false">T641-U641</f>
        <v>14</v>
      </c>
      <c r="W641" s="0" t="n">
        <f aca="false">T641+U641</f>
        <v>34</v>
      </c>
    </row>
    <row r="642" customFormat="false" ht="15" hidden="false" customHeight="false" outlineLevel="0" collapsed="false">
      <c r="A642" s="0" t="n">
        <v>639</v>
      </c>
      <c r="B642" s="0" t="n">
        <f aca="true">NORMINV(RAND(),1,Coefficients!$B$22)</f>
        <v>0.99045086551879</v>
      </c>
      <c r="C642" s="0" t="n">
        <f aca="true">MEDIAN(8,16,ROUND(NORMINV(RAND(),Coefficients!$B$20,Coefficients!$B$21),0))</f>
        <v>12</v>
      </c>
      <c r="D642" s="0" t="n">
        <f aca="true">CRITBINOM($C642,MIN(0.75,Matchup!$B$39*$B642),RAND())</f>
        <v>5</v>
      </c>
      <c r="E642" s="0" t="n">
        <f aca="true">CRITBINOM(D642,Coefficients!$B$30,RAND())</f>
        <v>1</v>
      </c>
      <c r="F642" s="0" t="n">
        <f aca="true">CRITBINOM(E642,Coefficients!$B$31,RAND())</f>
        <v>0</v>
      </c>
      <c r="G642" s="0" t="n">
        <f aca="true">CRITBINOM(MAX(0,D642-E642),1-Coefficients!$B$32,RAND())</f>
        <v>0</v>
      </c>
      <c r="H642" s="0" t="n">
        <f aca="true">CRITBINOM(MAX(0,$C642-D642),MIN(0.6,Matchup!$B$40*SQRT($B642)/(1-MIN(0.75,Matchup!$B$39*$B642))),RAND())</f>
        <v>3</v>
      </c>
      <c r="I642" s="0" t="n">
        <f aca="false">6*D642+(D642-E642-G642)+2*F642+3*H642</f>
        <v>43</v>
      </c>
      <c r="J642" s="0" t="n">
        <f aca="true">CRITBINOM($C642,MIN(0.75,Matchup!$C$39*$B642),RAND())</f>
        <v>1</v>
      </c>
      <c r="K642" s="0" t="n">
        <f aca="true">CRITBINOM(J642,Coefficients!$B$30,RAND())</f>
        <v>1</v>
      </c>
      <c r="L642" s="0" t="n">
        <f aca="true">CRITBINOM(K642,Coefficients!$B$31,RAND())</f>
        <v>0</v>
      </c>
      <c r="M642" s="0" t="n">
        <f aca="true">CRITBINOM(MAX(0,J642-K642),1-Coefficients!$B$32,RAND())</f>
        <v>0</v>
      </c>
      <c r="N642" s="0" t="n">
        <f aca="true">CRITBINOM(MAX(0,$C642-J642),MIN(0.6,Matchup!$C$40*SQRT($B642)/(1-MIN(0.75,Matchup!$C$39*$B642))),RAND())</f>
        <v>1</v>
      </c>
      <c r="O642" s="0" t="n">
        <f aca="false">6*J642+(J642-K642-M642)+2*L642+3*N642</f>
        <v>9</v>
      </c>
      <c r="P642" s="0" t="n">
        <f aca="true">RAND()</f>
        <v>0.72194548143882</v>
      </c>
      <c r="Q642" s="0" t="n">
        <f aca="true">RAND()</f>
        <v>0.158635162315713</v>
      </c>
      <c r="R642" s="0" t="n">
        <f aca="false">IF($I642&lt;&gt;$O642,0,IF(P642&lt;Matchup!$B$39,7,IF(P642&lt;Matchup!$B$39+Matchup!$B$40,3,0)))</f>
        <v>0</v>
      </c>
      <c r="S642" s="0" t="n">
        <f aca="false">IF($I642&lt;&gt;$O642,0,IF(Q642&lt;Matchup!$C$39,7,IF(Q642&lt;Matchup!$C$39+Matchup!$C$40,3,0)))</f>
        <v>0</v>
      </c>
      <c r="T642" s="0" t="n">
        <f aca="false">I642+R642</f>
        <v>43</v>
      </c>
      <c r="U642" s="0" t="n">
        <f aca="false">O642+S642</f>
        <v>9</v>
      </c>
      <c r="V642" s="0" t="n">
        <f aca="false">T642-U642</f>
        <v>34</v>
      </c>
      <c r="W642" s="0" t="n">
        <f aca="false">T642+U642</f>
        <v>52</v>
      </c>
    </row>
    <row r="643" customFormat="false" ht="15" hidden="false" customHeight="false" outlineLevel="0" collapsed="false">
      <c r="A643" s="0" t="n">
        <v>640</v>
      </c>
      <c r="B643" s="0" t="n">
        <f aca="true">NORMINV(RAND(),1,Coefficients!$B$22)</f>
        <v>1.06907465261354</v>
      </c>
      <c r="C643" s="0" t="n">
        <f aca="true">MEDIAN(8,16,ROUND(NORMINV(RAND(),Coefficients!$B$20,Coefficients!$B$21),0))</f>
        <v>10</v>
      </c>
      <c r="D643" s="0" t="n">
        <f aca="true">CRITBINOM($C643,MIN(0.75,Matchup!$B$39*$B643),RAND())</f>
        <v>0</v>
      </c>
      <c r="E643" s="0" t="n">
        <f aca="true">CRITBINOM(D643,Coefficients!$B$30,RAND())</f>
        <v>0</v>
      </c>
      <c r="F643" s="0" t="n">
        <f aca="true">CRITBINOM(E643,Coefficients!$B$31,RAND())</f>
        <v>0</v>
      </c>
      <c r="G643" s="0" t="n">
        <f aca="true">CRITBINOM(MAX(0,D643-E643),1-Coefficients!$B$32,RAND())</f>
        <v>0</v>
      </c>
      <c r="H643" s="0" t="n">
        <f aca="true">CRITBINOM(MAX(0,$C643-D643),MIN(0.6,Matchup!$B$40*SQRT($B643)/(1-MIN(0.75,Matchup!$B$39*$B643))),RAND())</f>
        <v>5</v>
      </c>
      <c r="I643" s="0" t="n">
        <f aca="false">6*D643+(D643-E643-G643)+2*F643+3*H643</f>
        <v>15</v>
      </c>
      <c r="J643" s="0" t="n">
        <f aca="true">CRITBINOM($C643,MIN(0.75,Matchup!$C$39*$B643),RAND())</f>
        <v>1</v>
      </c>
      <c r="K643" s="0" t="n">
        <f aca="true">CRITBINOM(J643,Coefficients!$B$30,RAND())</f>
        <v>0</v>
      </c>
      <c r="L643" s="0" t="n">
        <f aca="true">CRITBINOM(K643,Coefficients!$B$31,RAND())</f>
        <v>0</v>
      </c>
      <c r="M643" s="0" t="n">
        <f aca="true">CRITBINOM(MAX(0,J643-K643),1-Coefficients!$B$32,RAND())</f>
        <v>0</v>
      </c>
      <c r="N643" s="0" t="n">
        <f aca="true">CRITBINOM(MAX(0,$C643-J643),MIN(0.6,Matchup!$C$40*SQRT($B643)/(1-MIN(0.75,Matchup!$C$39*$B643))),RAND())</f>
        <v>2</v>
      </c>
      <c r="O643" s="0" t="n">
        <f aca="false">6*J643+(J643-K643-M643)+2*L643+3*N643</f>
        <v>13</v>
      </c>
      <c r="P643" s="0" t="n">
        <f aca="true">RAND()</f>
        <v>0.85635228053209</v>
      </c>
      <c r="Q643" s="0" t="n">
        <f aca="true">RAND()</f>
        <v>0.601457267415826</v>
      </c>
      <c r="R643" s="0" t="n">
        <f aca="false">IF($I643&lt;&gt;$O643,0,IF(P643&lt;Matchup!$B$39,7,IF(P643&lt;Matchup!$B$39+Matchup!$B$40,3,0)))</f>
        <v>0</v>
      </c>
      <c r="S643" s="0" t="n">
        <f aca="false">IF($I643&lt;&gt;$O643,0,IF(Q643&lt;Matchup!$C$39,7,IF(Q643&lt;Matchup!$C$39+Matchup!$C$40,3,0)))</f>
        <v>0</v>
      </c>
      <c r="T643" s="0" t="n">
        <f aca="false">I643+R643</f>
        <v>15</v>
      </c>
      <c r="U643" s="0" t="n">
        <f aca="false">O643+S643</f>
        <v>13</v>
      </c>
      <c r="V643" s="0" t="n">
        <f aca="false">T643-U643</f>
        <v>2</v>
      </c>
      <c r="W643" s="0" t="n">
        <f aca="false">T643+U643</f>
        <v>28</v>
      </c>
    </row>
    <row r="644" customFormat="false" ht="15" hidden="false" customHeight="false" outlineLevel="0" collapsed="false">
      <c r="A644" s="0" t="n">
        <v>641</v>
      </c>
      <c r="B644" s="0" t="n">
        <f aca="true">NORMINV(RAND(),1,Coefficients!$B$22)</f>
        <v>1.10002679889693</v>
      </c>
      <c r="C644" s="0" t="n">
        <f aca="true">MEDIAN(8,16,ROUND(NORMINV(RAND(),Coefficients!$B$20,Coefficients!$B$21),0))</f>
        <v>10</v>
      </c>
      <c r="D644" s="0" t="n">
        <f aca="true">CRITBINOM($C644,MIN(0.75,Matchup!$B$39*$B644),RAND())</f>
        <v>5</v>
      </c>
      <c r="E644" s="0" t="n">
        <f aca="true">CRITBINOM(D644,Coefficients!$B$30,RAND())</f>
        <v>1</v>
      </c>
      <c r="F644" s="0" t="n">
        <f aca="true">CRITBINOM(E644,Coefficients!$B$31,RAND())</f>
        <v>0</v>
      </c>
      <c r="G644" s="0" t="n">
        <f aca="true">CRITBINOM(MAX(0,D644-E644),1-Coefficients!$B$32,RAND())</f>
        <v>1</v>
      </c>
      <c r="H644" s="0" t="n">
        <f aca="true">CRITBINOM(MAX(0,$C644-D644),MIN(0.6,Matchup!$B$40*SQRT($B644)/(1-MIN(0.75,Matchup!$B$39*$B644))),RAND())</f>
        <v>3</v>
      </c>
      <c r="I644" s="0" t="n">
        <f aca="false">6*D644+(D644-E644-G644)+2*F644+3*H644</f>
        <v>42</v>
      </c>
      <c r="J644" s="0" t="n">
        <f aca="true">CRITBINOM($C644,MIN(0.75,Matchup!$C$39*$B644),RAND())</f>
        <v>3</v>
      </c>
      <c r="K644" s="0" t="n">
        <f aca="true">CRITBINOM(J644,Coefficients!$B$30,RAND())</f>
        <v>0</v>
      </c>
      <c r="L644" s="0" t="n">
        <f aca="true">CRITBINOM(K644,Coefficients!$B$31,RAND())</f>
        <v>0</v>
      </c>
      <c r="M644" s="0" t="n">
        <f aca="true">CRITBINOM(MAX(0,J644-K644),1-Coefficients!$B$32,RAND())</f>
        <v>0</v>
      </c>
      <c r="N644" s="0" t="n">
        <f aca="true">CRITBINOM(MAX(0,$C644-J644),MIN(0.6,Matchup!$C$40*SQRT($B644)/(1-MIN(0.75,Matchup!$C$39*$B644))),RAND())</f>
        <v>1</v>
      </c>
      <c r="O644" s="0" t="n">
        <f aca="false">6*J644+(J644-K644-M644)+2*L644+3*N644</f>
        <v>24</v>
      </c>
      <c r="P644" s="0" t="n">
        <f aca="true">RAND()</f>
        <v>0.0974022487859758</v>
      </c>
      <c r="Q644" s="0" t="n">
        <f aca="true">RAND()</f>
        <v>0.784142424178517</v>
      </c>
      <c r="R644" s="0" t="n">
        <f aca="false">IF($I644&lt;&gt;$O644,0,IF(P644&lt;Matchup!$B$39,7,IF(P644&lt;Matchup!$B$39+Matchup!$B$40,3,0)))</f>
        <v>0</v>
      </c>
      <c r="S644" s="0" t="n">
        <f aca="false">IF($I644&lt;&gt;$O644,0,IF(Q644&lt;Matchup!$C$39,7,IF(Q644&lt;Matchup!$C$39+Matchup!$C$40,3,0)))</f>
        <v>0</v>
      </c>
      <c r="T644" s="0" t="n">
        <f aca="false">I644+R644</f>
        <v>42</v>
      </c>
      <c r="U644" s="0" t="n">
        <f aca="false">O644+S644</f>
        <v>24</v>
      </c>
      <c r="V644" s="0" t="n">
        <f aca="false">T644-U644</f>
        <v>18</v>
      </c>
      <c r="W644" s="0" t="n">
        <f aca="false">T644+U644</f>
        <v>66</v>
      </c>
    </row>
    <row r="645" customFormat="false" ht="15" hidden="false" customHeight="false" outlineLevel="0" collapsed="false">
      <c r="A645" s="0" t="n">
        <v>642</v>
      </c>
      <c r="B645" s="0" t="n">
        <f aca="true">NORMINV(RAND(),1,Coefficients!$B$22)</f>
        <v>0.938290478539279</v>
      </c>
      <c r="C645" s="0" t="n">
        <f aca="true">MEDIAN(8,16,ROUND(NORMINV(RAND(),Coefficients!$B$20,Coefficients!$B$21),0))</f>
        <v>13</v>
      </c>
      <c r="D645" s="0" t="n">
        <f aca="true">CRITBINOM($C645,MIN(0.75,Matchup!$B$39*$B645),RAND())</f>
        <v>6</v>
      </c>
      <c r="E645" s="0" t="n">
        <f aca="true">CRITBINOM(D645,Coefficients!$B$30,RAND())</f>
        <v>0</v>
      </c>
      <c r="F645" s="0" t="n">
        <f aca="true">CRITBINOM(E645,Coefficients!$B$31,RAND())</f>
        <v>0</v>
      </c>
      <c r="G645" s="0" t="n">
        <f aca="true">CRITBINOM(MAX(0,D645-E645),1-Coefficients!$B$32,RAND())</f>
        <v>0</v>
      </c>
      <c r="H645" s="0" t="n">
        <f aca="true">CRITBINOM(MAX(0,$C645-D645),MIN(0.6,Matchup!$B$40*SQRT($B645)/(1-MIN(0.75,Matchup!$B$39*$B645))),RAND())</f>
        <v>0</v>
      </c>
      <c r="I645" s="0" t="n">
        <f aca="false">6*D645+(D645-E645-G645)+2*F645+3*H645</f>
        <v>42</v>
      </c>
      <c r="J645" s="0" t="n">
        <f aca="true">CRITBINOM($C645,MIN(0.75,Matchup!$C$39*$B645),RAND())</f>
        <v>3</v>
      </c>
      <c r="K645" s="0" t="n">
        <f aca="true">CRITBINOM(J645,Coefficients!$B$30,RAND())</f>
        <v>0</v>
      </c>
      <c r="L645" s="0" t="n">
        <f aca="true">CRITBINOM(K645,Coefficients!$B$31,RAND())</f>
        <v>0</v>
      </c>
      <c r="M645" s="0" t="n">
        <f aca="true">CRITBINOM(MAX(0,J645-K645),1-Coefficients!$B$32,RAND())</f>
        <v>0</v>
      </c>
      <c r="N645" s="0" t="n">
        <f aca="true">CRITBINOM(MAX(0,$C645-J645),MIN(0.6,Matchup!$C$40*SQRT($B645)/(1-MIN(0.75,Matchup!$C$39*$B645))),RAND())</f>
        <v>1</v>
      </c>
      <c r="O645" s="0" t="n">
        <f aca="false">6*J645+(J645-K645-M645)+2*L645+3*N645</f>
        <v>24</v>
      </c>
      <c r="P645" s="0" t="n">
        <f aca="true">RAND()</f>
        <v>0.240051358667042</v>
      </c>
      <c r="Q645" s="0" t="n">
        <f aca="true">RAND()</f>
        <v>0.639367581597757</v>
      </c>
      <c r="R645" s="0" t="n">
        <f aca="false">IF($I645&lt;&gt;$O645,0,IF(P645&lt;Matchup!$B$39,7,IF(P645&lt;Matchup!$B$39+Matchup!$B$40,3,0)))</f>
        <v>0</v>
      </c>
      <c r="S645" s="0" t="n">
        <f aca="false">IF($I645&lt;&gt;$O645,0,IF(Q645&lt;Matchup!$C$39,7,IF(Q645&lt;Matchup!$C$39+Matchup!$C$40,3,0)))</f>
        <v>0</v>
      </c>
      <c r="T645" s="0" t="n">
        <f aca="false">I645+R645</f>
        <v>42</v>
      </c>
      <c r="U645" s="0" t="n">
        <f aca="false">O645+S645</f>
        <v>24</v>
      </c>
      <c r="V645" s="0" t="n">
        <f aca="false">T645-U645</f>
        <v>18</v>
      </c>
      <c r="W645" s="0" t="n">
        <f aca="false">T645+U645</f>
        <v>66</v>
      </c>
    </row>
    <row r="646" customFormat="false" ht="15" hidden="false" customHeight="false" outlineLevel="0" collapsed="false">
      <c r="A646" s="0" t="n">
        <v>643</v>
      </c>
      <c r="B646" s="0" t="n">
        <f aca="true">NORMINV(RAND(),1,Coefficients!$B$22)</f>
        <v>1.02109705683824</v>
      </c>
      <c r="C646" s="0" t="n">
        <f aca="true">MEDIAN(8,16,ROUND(NORMINV(RAND(),Coefficients!$B$20,Coefficients!$B$21),0))</f>
        <v>12</v>
      </c>
      <c r="D646" s="0" t="n">
        <f aca="true">CRITBINOM($C646,MIN(0.75,Matchup!$B$39*$B646),RAND())</f>
        <v>3</v>
      </c>
      <c r="E646" s="0" t="n">
        <f aca="true">CRITBINOM(D646,Coefficients!$B$30,RAND())</f>
        <v>1</v>
      </c>
      <c r="F646" s="0" t="n">
        <f aca="true">CRITBINOM(E646,Coefficients!$B$31,RAND())</f>
        <v>1</v>
      </c>
      <c r="G646" s="0" t="n">
        <f aca="true">CRITBINOM(MAX(0,D646-E646),1-Coefficients!$B$32,RAND())</f>
        <v>1</v>
      </c>
      <c r="H646" s="0" t="n">
        <f aca="true">CRITBINOM(MAX(0,$C646-D646),MIN(0.6,Matchup!$B$40*SQRT($B646)/(1-MIN(0.75,Matchup!$B$39*$B646))),RAND())</f>
        <v>1</v>
      </c>
      <c r="I646" s="0" t="n">
        <f aca="false">6*D646+(D646-E646-G646)+2*F646+3*H646</f>
        <v>24</v>
      </c>
      <c r="J646" s="0" t="n">
        <f aca="true">CRITBINOM($C646,MIN(0.75,Matchup!$C$39*$B646),RAND())</f>
        <v>0</v>
      </c>
      <c r="K646" s="0" t="n">
        <f aca="true">CRITBINOM(J646,Coefficients!$B$30,RAND())</f>
        <v>0</v>
      </c>
      <c r="L646" s="0" t="n">
        <f aca="true">CRITBINOM(K646,Coefficients!$B$31,RAND())</f>
        <v>0</v>
      </c>
      <c r="M646" s="0" t="n">
        <f aca="true">CRITBINOM(MAX(0,J646-K646),1-Coefficients!$B$32,RAND())</f>
        <v>0</v>
      </c>
      <c r="N646" s="0" t="n">
        <f aca="true">CRITBINOM(MAX(0,$C646-J646),MIN(0.6,Matchup!$C$40*SQRT($B646)/(1-MIN(0.75,Matchup!$C$39*$B646))),RAND())</f>
        <v>2</v>
      </c>
      <c r="O646" s="0" t="n">
        <f aca="false">6*J646+(J646-K646-M646)+2*L646+3*N646</f>
        <v>6</v>
      </c>
      <c r="P646" s="0" t="n">
        <f aca="true">RAND()</f>
        <v>0.0976552525406498</v>
      </c>
      <c r="Q646" s="0" t="n">
        <f aca="true">RAND()</f>
        <v>0.8561764085955</v>
      </c>
      <c r="R646" s="0" t="n">
        <f aca="false">IF($I646&lt;&gt;$O646,0,IF(P646&lt;Matchup!$B$39,7,IF(P646&lt;Matchup!$B$39+Matchup!$B$40,3,0)))</f>
        <v>0</v>
      </c>
      <c r="S646" s="0" t="n">
        <f aca="false">IF($I646&lt;&gt;$O646,0,IF(Q646&lt;Matchup!$C$39,7,IF(Q646&lt;Matchup!$C$39+Matchup!$C$40,3,0)))</f>
        <v>0</v>
      </c>
      <c r="T646" s="0" t="n">
        <f aca="false">I646+R646</f>
        <v>24</v>
      </c>
      <c r="U646" s="0" t="n">
        <f aca="false">O646+S646</f>
        <v>6</v>
      </c>
      <c r="V646" s="0" t="n">
        <f aca="false">T646-U646</f>
        <v>18</v>
      </c>
      <c r="W646" s="0" t="n">
        <f aca="false">T646+U646</f>
        <v>30</v>
      </c>
    </row>
    <row r="647" customFormat="false" ht="15" hidden="false" customHeight="false" outlineLevel="0" collapsed="false">
      <c r="A647" s="0" t="n">
        <v>644</v>
      </c>
      <c r="B647" s="0" t="n">
        <f aca="true">NORMINV(RAND(),1,Coefficients!$B$22)</f>
        <v>0.91140560896189</v>
      </c>
      <c r="C647" s="0" t="n">
        <f aca="true">MEDIAN(8,16,ROUND(NORMINV(RAND(),Coefficients!$B$20,Coefficients!$B$21),0))</f>
        <v>12</v>
      </c>
      <c r="D647" s="0" t="n">
        <f aca="true">CRITBINOM($C647,MIN(0.75,Matchup!$B$39*$B647),RAND())</f>
        <v>0</v>
      </c>
      <c r="E647" s="0" t="n">
        <f aca="true">CRITBINOM(D647,Coefficients!$B$30,RAND())</f>
        <v>0</v>
      </c>
      <c r="F647" s="0" t="n">
        <f aca="true">CRITBINOM(E647,Coefficients!$B$31,RAND())</f>
        <v>0</v>
      </c>
      <c r="G647" s="0" t="n">
        <f aca="true">CRITBINOM(MAX(0,D647-E647),1-Coefficients!$B$32,RAND())</f>
        <v>0</v>
      </c>
      <c r="H647" s="0" t="n">
        <f aca="true">CRITBINOM(MAX(0,$C647-D647),MIN(0.6,Matchup!$B$40*SQRT($B647)/(1-MIN(0.75,Matchup!$B$39*$B647))),RAND())</f>
        <v>1</v>
      </c>
      <c r="I647" s="0" t="n">
        <f aca="false">6*D647+(D647-E647-G647)+2*F647+3*H647</f>
        <v>3</v>
      </c>
      <c r="J647" s="0" t="n">
        <f aca="true">CRITBINOM($C647,MIN(0.75,Matchup!$C$39*$B647),RAND())</f>
        <v>3</v>
      </c>
      <c r="K647" s="0" t="n">
        <f aca="true">CRITBINOM(J647,Coefficients!$B$30,RAND())</f>
        <v>1</v>
      </c>
      <c r="L647" s="0" t="n">
        <f aca="true">CRITBINOM(K647,Coefficients!$B$31,RAND())</f>
        <v>0</v>
      </c>
      <c r="M647" s="0" t="n">
        <f aca="true">CRITBINOM(MAX(0,J647-K647),1-Coefficients!$B$32,RAND())</f>
        <v>0</v>
      </c>
      <c r="N647" s="0" t="n">
        <f aca="true">CRITBINOM(MAX(0,$C647-J647),MIN(0.6,Matchup!$C$40*SQRT($B647)/(1-MIN(0.75,Matchup!$C$39*$B647))),RAND())</f>
        <v>2</v>
      </c>
      <c r="O647" s="0" t="n">
        <f aca="false">6*J647+(J647-K647-M647)+2*L647+3*N647</f>
        <v>26</v>
      </c>
      <c r="P647" s="0" t="n">
        <f aca="true">RAND()</f>
        <v>0.333626421303774</v>
      </c>
      <c r="Q647" s="0" t="n">
        <f aca="true">RAND()</f>
        <v>0.0661372527617343</v>
      </c>
      <c r="R647" s="0" t="n">
        <f aca="false">IF($I647&lt;&gt;$O647,0,IF(P647&lt;Matchup!$B$39,7,IF(P647&lt;Matchup!$B$39+Matchup!$B$40,3,0)))</f>
        <v>0</v>
      </c>
      <c r="S647" s="0" t="n">
        <f aca="false">IF($I647&lt;&gt;$O647,0,IF(Q647&lt;Matchup!$C$39,7,IF(Q647&lt;Matchup!$C$39+Matchup!$C$40,3,0)))</f>
        <v>0</v>
      </c>
      <c r="T647" s="0" t="n">
        <f aca="false">I647+R647</f>
        <v>3</v>
      </c>
      <c r="U647" s="0" t="n">
        <f aca="false">O647+S647</f>
        <v>26</v>
      </c>
      <c r="V647" s="0" t="n">
        <f aca="false">T647-U647</f>
        <v>-23</v>
      </c>
      <c r="W647" s="0" t="n">
        <f aca="false">T647+U647</f>
        <v>29</v>
      </c>
    </row>
    <row r="648" customFormat="false" ht="15" hidden="false" customHeight="false" outlineLevel="0" collapsed="false">
      <c r="A648" s="0" t="n">
        <v>645</v>
      </c>
      <c r="B648" s="0" t="n">
        <f aca="true">NORMINV(RAND(),1,Coefficients!$B$22)</f>
        <v>1.06348232221261</v>
      </c>
      <c r="C648" s="0" t="n">
        <f aca="true">MEDIAN(8,16,ROUND(NORMINV(RAND(),Coefficients!$B$20,Coefficients!$B$21),0))</f>
        <v>13</v>
      </c>
      <c r="D648" s="0" t="n">
        <f aca="true">CRITBINOM($C648,MIN(0.75,Matchup!$B$39*$B648),RAND())</f>
        <v>2</v>
      </c>
      <c r="E648" s="0" t="n">
        <f aca="true">CRITBINOM(D648,Coefficients!$B$30,RAND())</f>
        <v>0</v>
      </c>
      <c r="F648" s="0" t="n">
        <f aca="true">CRITBINOM(E648,Coefficients!$B$31,RAND())</f>
        <v>0</v>
      </c>
      <c r="G648" s="0" t="n">
        <f aca="true">CRITBINOM(MAX(0,D648-E648),1-Coefficients!$B$32,RAND())</f>
        <v>0</v>
      </c>
      <c r="H648" s="0" t="n">
        <f aca="true">CRITBINOM(MAX(0,$C648-D648),MIN(0.6,Matchup!$B$40*SQRT($B648)/(1-MIN(0.75,Matchup!$B$39*$B648))),RAND())</f>
        <v>4</v>
      </c>
      <c r="I648" s="0" t="n">
        <f aca="false">6*D648+(D648-E648-G648)+2*F648+3*H648</f>
        <v>26</v>
      </c>
      <c r="J648" s="0" t="n">
        <f aca="true">CRITBINOM($C648,MIN(0.75,Matchup!$C$39*$B648),RAND())</f>
        <v>2</v>
      </c>
      <c r="K648" s="0" t="n">
        <f aca="true">CRITBINOM(J648,Coefficients!$B$30,RAND())</f>
        <v>0</v>
      </c>
      <c r="L648" s="0" t="n">
        <f aca="true">CRITBINOM(K648,Coefficients!$B$31,RAND())</f>
        <v>0</v>
      </c>
      <c r="M648" s="0" t="n">
        <f aca="true">CRITBINOM(MAX(0,J648-K648),1-Coefficients!$B$32,RAND())</f>
        <v>0</v>
      </c>
      <c r="N648" s="0" t="n">
        <f aca="true">CRITBINOM(MAX(0,$C648-J648),MIN(0.6,Matchup!$C$40*SQRT($B648)/(1-MIN(0.75,Matchup!$C$39*$B648))),RAND())</f>
        <v>5</v>
      </c>
      <c r="O648" s="0" t="n">
        <f aca="false">6*J648+(J648-K648-M648)+2*L648+3*N648</f>
        <v>29</v>
      </c>
      <c r="P648" s="0" t="n">
        <f aca="true">RAND()</f>
        <v>0.818234173322428</v>
      </c>
      <c r="Q648" s="0" t="n">
        <f aca="true">RAND()</f>
        <v>0.664727375012333</v>
      </c>
      <c r="R648" s="0" t="n">
        <f aca="false">IF($I648&lt;&gt;$O648,0,IF(P648&lt;Matchup!$B$39,7,IF(P648&lt;Matchup!$B$39+Matchup!$B$40,3,0)))</f>
        <v>0</v>
      </c>
      <c r="S648" s="0" t="n">
        <f aca="false">IF($I648&lt;&gt;$O648,0,IF(Q648&lt;Matchup!$C$39,7,IF(Q648&lt;Matchup!$C$39+Matchup!$C$40,3,0)))</f>
        <v>0</v>
      </c>
      <c r="T648" s="0" t="n">
        <f aca="false">I648+R648</f>
        <v>26</v>
      </c>
      <c r="U648" s="0" t="n">
        <f aca="false">O648+S648</f>
        <v>29</v>
      </c>
      <c r="V648" s="0" t="n">
        <f aca="false">T648-U648</f>
        <v>-3</v>
      </c>
      <c r="W648" s="0" t="n">
        <f aca="false">T648+U648</f>
        <v>55</v>
      </c>
    </row>
    <row r="649" customFormat="false" ht="15" hidden="false" customHeight="false" outlineLevel="0" collapsed="false">
      <c r="A649" s="0" t="n">
        <v>646</v>
      </c>
      <c r="B649" s="0" t="n">
        <f aca="true">NORMINV(RAND(),1,Coefficients!$B$22)</f>
        <v>0.804264037902442</v>
      </c>
      <c r="C649" s="0" t="n">
        <f aca="true">MEDIAN(8,16,ROUND(NORMINV(RAND(),Coefficients!$B$20,Coefficients!$B$21),0))</f>
        <v>11</v>
      </c>
      <c r="D649" s="0" t="n">
        <f aca="true">CRITBINOM($C649,MIN(0.75,Matchup!$B$39*$B649),RAND())</f>
        <v>2</v>
      </c>
      <c r="E649" s="0" t="n">
        <f aca="true">CRITBINOM(D649,Coefficients!$B$30,RAND())</f>
        <v>0</v>
      </c>
      <c r="F649" s="0" t="n">
        <f aca="true">CRITBINOM(E649,Coefficients!$B$31,RAND())</f>
        <v>0</v>
      </c>
      <c r="G649" s="0" t="n">
        <f aca="true">CRITBINOM(MAX(0,D649-E649),1-Coefficients!$B$32,RAND())</f>
        <v>0</v>
      </c>
      <c r="H649" s="0" t="n">
        <f aca="true">CRITBINOM(MAX(0,$C649-D649),MIN(0.6,Matchup!$B$40*SQRT($B649)/(1-MIN(0.75,Matchup!$B$39*$B649))),RAND())</f>
        <v>3</v>
      </c>
      <c r="I649" s="0" t="n">
        <f aca="false">6*D649+(D649-E649-G649)+2*F649+3*H649</f>
        <v>23</v>
      </c>
      <c r="J649" s="0" t="n">
        <f aca="true">CRITBINOM($C649,MIN(0.75,Matchup!$C$39*$B649),RAND())</f>
        <v>4</v>
      </c>
      <c r="K649" s="0" t="n">
        <f aca="true">CRITBINOM(J649,Coefficients!$B$30,RAND())</f>
        <v>0</v>
      </c>
      <c r="L649" s="0" t="n">
        <f aca="true">CRITBINOM(K649,Coefficients!$B$31,RAND())</f>
        <v>0</v>
      </c>
      <c r="M649" s="0" t="n">
        <f aca="true">CRITBINOM(MAX(0,J649-K649),1-Coefficients!$B$32,RAND())</f>
        <v>0</v>
      </c>
      <c r="N649" s="0" t="n">
        <f aca="true">CRITBINOM(MAX(0,$C649-J649),MIN(0.6,Matchup!$C$40*SQRT($B649)/(1-MIN(0.75,Matchup!$C$39*$B649))),RAND())</f>
        <v>1</v>
      </c>
      <c r="O649" s="0" t="n">
        <f aca="false">6*J649+(J649-K649-M649)+2*L649+3*N649</f>
        <v>31</v>
      </c>
      <c r="P649" s="0" t="n">
        <f aca="true">RAND()</f>
        <v>0.311834296814256</v>
      </c>
      <c r="Q649" s="0" t="n">
        <f aca="true">RAND()</f>
        <v>0.309756494275381</v>
      </c>
      <c r="R649" s="0" t="n">
        <f aca="false">IF($I649&lt;&gt;$O649,0,IF(P649&lt;Matchup!$B$39,7,IF(P649&lt;Matchup!$B$39+Matchup!$B$40,3,0)))</f>
        <v>0</v>
      </c>
      <c r="S649" s="0" t="n">
        <f aca="false">IF($I649&lt;&gt;$O649,0,IF(Q649&lt;Matchup!$C$39,7,IF(Q649&lt;Matchup!$C$39+Matchup!$C$40,3,0)))</f>
        <v>0</v>
      </c>
      <c r="T649" s="0" t="n">
        <f aca="false">I649+R649</f>
        <v>23</v>
      </c>
      <c r="U649" s="0" t="n">
        <f aca="false">O649+S649</f>
        <v>31</v>
      </c>
      <c r="V649" s="0" t="n">
        <f aca="false">T649-U649</f>
        <v>-8</v>
      </c>
      <c r="W649" s="0" t="n">
        <f aca="false">T649+U649</f>
        <v>54</v>
      </c>
    </row>
    <row r="650" customFormat="false" ht="15" hidden="false" customHeight="false" outlineLevel="0" collapsed="false">
      <c r="A650" s="0" t="n">
        <v>647</v>
      </c>
      <c r="B650" s="0" t="n">
        <f aca="true">NORMINV(RAND(),1,Coefficients!$B$22)</f>
        <v>1.01305982143724</v>
      </c>
      <c r="C650" s="0" t="n">
        <f aca="true">MEDIAN(8,16,ROUND(NORMINV(RAND(),Coefficients!$B$20,Coefficients!$B$21),0))</f>
        <v>10</v>
      </c>
      <c r="D650" s="0" t="n">
        <f aca="true">CRITBINOM($C650,MIN(0.75,Matchup!$B$39*$B650),RAND())</f>
        <v>2</v>
      </c>
      <c r="E650" s="0" t="n">
        <f aca="true">CRITBINOM(D650,Coefficients!$B$30,RAND())</f>
        <v>1</v>
      </c>
      <c r="F650" s="0" t="n">
        <f aca="true">CRITBINOM(E650,Coefficients!$B$31,RAND())</f>
        <v>0</v>
      </c>
      <c r="G650" s="0" t="n">
        <f aca="true">CRITBINOM(MAX(0,D650-E650),1-Coefficients!$B$32,RAND())</f>
        <v>0</v>
      </c>
      <c r="H650" s="0" t="n">
        <f aca="true">CRITBINOM(MAX(0,$C650-D650),MIN(0.6,Matchup!$B$40*SQRT($B650)/(1-MIN(0.75,Matchup!$B$39*$B650))),RAND())</f>
        <v>3</v>
      </c>
      <c r="I650" s="0" t="n">
        <f aca="false">6*D650+(D650-E650-G650)+2*F650+3*H650</f>
        <v>22</v>
      </c>
      <c r="J650" s="0" t="n">
        <f aca="true">CRITBINOM($C650,MIN(0.75,Matchup!$C$39*$B650),RAND())</f>
        <v>2</v>
      </c>
      <c r="K650" s="0" t="n">
        <f aca="true">CRITBINOM(J650,Coefficients!$B$30,RAND())</f>
        <v>1</v>
      </c>
      <c r="L650" s="0" t="n">
        <f aca="true">CRITBINOM(K650,Coefficients!$B$31,RAND())</f>
        <v>0</v>
      </c>
      <c r="M650" s="0" t="n">
        <f aca="true">CRITBINOM(MAX(0,J650-K650),1-Coefficients!$B$32,RAND())</f>
        <v>0</v>
      </c>
      <c r="N650" s="0" t="n">
        <f aca="true">CRITBINOM(MAX(0,$C650-J650),MIN(0.6,Matchup!$C$40*SQRT($B650)/(1-MIN(0.75,Matchup!$C$39*$B650))),RAND())</f>
        <v>2</v>
      </c>
      <c r="O650" s="0" t="n">
        <f aca="false">6*J650+(J650-K650-M650)+2*L650+3*N650</f>
        <v>19</v>
      </c>
      <c r="P650" s="0" t="n">
        <f aca="true">RAND()</f>
        <v>0.451680719930826</v>
      </c>
      <c r="Q650" s="0" t="n">
        <f aca="true">RAND()</f>
        <v>0.253438924522962</v>
      </c>
      <c r="R650" s="0" t="n">
        <f aca="false">IF($I650&lt;&gt;$O650,0,IF(P650&lt;Matchup!$B$39,7,IF(P650&lt;Matchup!$B$39+Matchup!$B$40,3,0)))</f>
        <v>0</v>
      </c>
      <c r="S650" s="0" t="n">
        <f aca="false">IF($I650&lt;&gt;$O650,0,IF(Q650&lt;Matchup!$C$39,7,IF(Q650&lt;Matchup!$C$39+Matchup!$C$40,3,0)))</f>
        <v>0</v>
      </c>
      <c r="T650" s="0" t="n">
        <f aca="false">I650+R650</f>
        <v>22</v>
      </c>
      <c r="U650" s="0" t="n">
        <f aca="false">O650+S650</f>
        <v>19</v>
      </c>
      <c r="V650" s="0" t="n">
        <f aca="false">T650-U650</f>
        <v>3</v>
      </c>
      <c r="W650" s="0" t="n">
        <f aca="false">T650+U650</f>
        <v>41</v>
      </c>
    </row>
    <row r="651" customFormat="false" ht="15" hidden="false" customHeight="false" outlineLevel="0" collapsed="false">
      <c r="A651" s="0" t="n">
        <v>648</v>
      </c>
      <c r="B651" s="0" t="n">
        <f aca="true">NORMINV(RAND(),1,Coefficients!$B$22)</f>
        <v>1.08077279597332</v>
      </c>
      <c r="C651" s="0" t="n">
        <f aca="true">MEDIAN(8,16,ROUND(NORMINV(RAND(),Coefficients!$B$20,Coefficients!$B$21),0))</f>
        <v>9</v>
      </c>
      <c r="D651" s="0" t="n">
        <f aca="true">CRITBINOM($C651,MIN(0.75,Matchup!$B$39*$B651),RAND())</f>
        <v>3</v>
      </c>
      <c r="E651" s="0" t="n">
        <f aca="true">CRITBINOM(D651,Coefficients!$B$30,RAND())</f>
        <v>0</v>
      </c>
      <c r="F651" s="0" t="n">
        <f aca="true">CRITBINOM(E651,Coefficients!$B$31,RAND())</f>
        <v>0</v>
      </c>
      <c r="G651" s="0" t="n">
        <f aca="true">CRITBINOM(MAX(0,D651-E651),1-Coefficients!$B$32,RAND())</f>
        <v>0</v>
      </c>
      <c r="H651" s="0" t="n">
        <f aca="true">CRITBINOM(MAX(0,$C651-D651),MIN(0.6,Matchup!$B$40*SQRT($B651)/(1-MIN(0.75,Matchup!$B$39*$B651))),RAND())</f>
        <v>0</v>
      </c>
      <c r="I651" s="0" t="n">
        <f aca="false">6*D651+(D651-E651-G651)+2*F651+3*H651</f>
        <v>21</v>
      </c>
      <c r="J651" s="0" t="n">
        <f aca="true">CRITBINOM($C651,MIN(0.75,Matchup!$C$39*$B651),RAND())</f>
        <v>1</v>
      </c>
      <c r="K651" s="0" t="n">
        <f aca="true">CRITBINOM(J651,Coefficients!$B$30,RAND())</f>
        <v>0</v>
      </c>
      <c r="L651" s="0" t="n">
        <f aca="true">CRITBINOM(K651,Coefficients!$B$31,RAND())</f>
        <v>0</v>
      </c>
      <c r="M651" s="0" t="n">
        <f aca="true">CRITBINOM(MAX(0,J651-K651),1-Coefficients!$B$32,RAND())</f>
        <v>0</v>
      </c>
      <c r="N651" s="0" t="n">
        <f aca="true">CRITBINOM(MAX(0,$C651-J651),MIN(0.6,Matchup!$C$40*SQRT($B651)/(1-MIN(0.75,Matchup!$C$39*$B651))),RAND())</f>
        <v>2</v>
      </c>
      <c r="O651" s="0" t="n">
        <f aca="false">6*J651+(J651-K651-M651)+2*L651+3*N651</f>
        <v>13</v>
      </c>
      <c r="P651" s="0" t="n">
        <f aca="true">RAND()</f>
        <v>0.640976084890017</v>
      </c>
      <c r="Q651" s="0" t="n">
        <f aca="true">RAND()</f>
        <v>0.332811252749998</v>
      </c>
      <c r="R651" s="0" t="n">
        <f aca="false">IF($I651&lt;&gt;$O651,0,IF(P651&lt;Matchup!$B$39,7,IF(P651&lt;Matchup!$B$39+Matchup!$B$40,3,0)))</f>
        <v>0</v>
      </c>
      <c r="S651" s="0" t="n">
        <f aca="false">IF($I651&lt;&gt;$O651,0,IF(Q651&lt;Matchup!$C$39,7,IF(Q651&lt;Matchup!$C$39+Matchup!$C$40,3,0)))</f>
        <v>0</v>
      </c>
      <c r="T651" s="0" t="n">
        <f aca="false">I651+R651</f>
        <v>21</v>
      </c>
      <c r="U651" s="0" t="n">
        <f aca="false">O651+S651</f>
        <v>13</v>
      </c>
      <c r="V651" s="0" t="n">
        <f aca="false">T651-U651</f>
        <v>8</v>
      </c>
      <c r="W651" s="0" t="n">
        <f aca="false">T651+U651</f>
        <v>34</v>
      </c>
    </row>
    <row r="652" customFormat="false" ht="15" hidden="false" customHeight="false" outlineLevel="0" collapsed="false">
      <c r="A652" s="0" t="n">
        <v>649</v>
      </c>
      <c r="B652" s="0" t="n">
        <f aca="true">NORMINV(RAND(),1,Coefficients!$B$22)</f>
        <v>0.971426474223204</v>
      </c>
      <c r="C652" s="0" t="n">
        <f aca="true">MEDIAN(8,16,ROUND(NORMINV(RAND(),Coefficients!$B$20,Coefficients!$B$21),0))</f>
        <v>11</v>
      </c>
      <c r="D652" s="0" t="n">
        <f aca="true">CRITBINOM($C652,MIN(0.75,Matchup!$B$39*$B652),RAND())</f>
        <v>3</v>
      </c>
      <c r="E652" s="0" t="n">
        <f aca="true">CRITBINOM(D652,Coefficients!$B$30,RAND())</f>
        <v>0</v>
      </c>
      <c r="F652" s="0" t="n">
        <f aca="true">CRITBINOM(E652,Coefficients!$B$31,RAND())</f>
        <v>0</v>
      </c>
      <c r="G652" s="0" t="n">
        <f aca="true">CRITBINOM(MAX(0,D652-E652),1-Coefficients!$B$32,RAND())</f>
        <v>0</v>
      </c>
      <c r="H652" s="0" t="n">
        <f aca="true">CRITBINOM(MAX(0,$C652-D652),MIN(0.6,Matchup!$B$40*SQRT($B652)/(1-MIN(0.75,Matchup!$B$39*$B652))),RAND())</f>
        <v>0</v>
      </c>
      <c r="I652" s="0" t="n">
        <f aca="false">6*D652+(D652-E652-G652)+2*F652+3*H652</f>
        <v>21</v>
      </c>
      <c r="J652" s="0" t="n">
        <f aca="true">CRITBINOM($C652,MIN(0.75,Matchup!$C$39*$B652),RAND())</f>
        <v>2</v>
      </c>
      <c r="K652" s="0" t="n">
        <f aca="true">CRITBINOM(J652,Coefficients!$B$30,RAND())</f>
        <v>0</v>
      </c>
      <c r="L652" s="0" t="n">
        <f aca="true">CRITBINOM(K652,Coefficients!$B$31,RAND())</f>
        <v>0</v>
      </c>
      <c r="M652" s="0" t="n">
        <f aca="true">CRITBINOM(MAX(0,J652-K652),1-Coefficients!$B$32,RAND())</f>
        <v>0</v>
      </c>
      <c r="N652" s="0" t="n">
        <f aca="true">CRITBINOM(MAX(0,$C652-J652),MIN(0.6,Matchup!$C$40*SQRT($B652)/(1-MIN(0.75,Matchup!$C$39*$B652))),RAND())</f>
        <v>2</v>
      </c>
      <c r="O652" s="0" t="n">
        <f aca="false">6*J652+(J652-K652-M652)+2*L652+3*N652</f>
        <v>20</v>
      </c>
      <c r="P652" s="0" t="n">
        <f aca="true">RAND()</f>
        <v>0.898419041278136</v>
      </c>
      <c r="Q652" s="0" t="n">
        <f aca="true">RAND()</f>
        <v>0.971884053249646</v>
      </c>
      <c r="R652" s="0" t="n">
        <f aca="false">IF($I652&lt;&gt;$O652,0,IF(P652&lt;Matchup!$B$39,7,IF(P652&lt;Matchup!$B$39+Matchup!$B$40,3,0)))</f>
        <v>0</v>
      </c>
      <c r="S652" s="0" t="n">
        <f aca="false">IF($I652&lt;&gt;$O652,0,IF(Q652&lt;Matchup!$C$39,7,IF(Q652&lt;Matchup!$C$39+Matchup!$C$40,3,0)))</f>
        <v>0</v>
      </c>
      <c r="T652" s="0" t="n">
        <f aca="false">I652+R652</f>
        <v>21</v>
      </c>
      <c r="U652" s="0" t="n">
        <f aca="false">O652+S652</f>
        <v>20</v>
      </c>
      <c r="V652" s="0" t="n">
        <f aca="false">T652-U652</f>
        <v>1</v>
      </c>
      <c r="W652" s="0" t="n">
        <f aca="false">T652+U652</f>
        <v>41</v>
      </c>
    </row>
    <row r="653" customFormat="false" ht="15" hidden="false" customHeight="false" outlineLevel="0" collapsed="false">
      <c r="A653" s="0" t="n">
        <v>650</v>
      </c>
      <c r="B653" s="0" t="n">
        <f aca="true">NORMINV(RAND(),1,Coefficients!$B$22)</f>
        <v>0.906673364638235</v>
      </c>
      <c r="C653" s="0" t="n">
        <f aca="true">MEDIAN(8,16,ROUND(NORMINV(RAND(),Coefficients!$B$20,Coefficients!$B$21),0))</f>
        <v>10</v>
      </c>
      <c r="D653" s="0" t="n">
        <f aca="true">CRITBINOM($C653,MIN(0.75,Matchup!$B$39*$B653),RAND())</f>
        <v>2</v>
      </c>
      <c r="E653" s="0" t="n">
        <f aca="true">CRITBINOM(D653,Coefficients!$B$30,RAND())</f>
        <v>0</v>
      </c>
      <c r="F653" s="0" t="n">
        <f aca="true">CRITBINOM(E653,Coefficients!$B$31,RAND())</f>
        <v>0</v>
      </c>
      <c r="G653" s="0" t="n">
        <f aca="true">CRITBINOM(MAX(0,D653-E653),1-Coefficients!$B$32,RAND())</f>
        <v>0</v>
      </c>
      <c r="H653" s="0" t="n">
        <f aca="true">CRITBINOM(MAX(0,$C653-D653),MIN(0.6,Matchup!$B$40*SQRT($B653)/(1-MIN(0.75,Matchup!$B$39*$B653))),RAND())</f>
        <v>0</v>
      </c>
      <c r="I653" s="0" t="n">
        <f aca="false">6*D653+(D653-E653-G653)+2*F653+3*H653</f>
        <v>14</v>
      </c>
      <c r="J653" s="0" t="n">
        <f aca="true">CRITBINOM($C653,MIN(0.75,Matchup!$C$39*$B653),RAND())</f>
        <v>5</v>
      </c>
      <c r="K653" s="0" t="n">
        <f aca="true">CRITBINOM(J653,Coefficients!$B$30,RAND())</f>
        <v>0</v>
      </c>
      <c r="L653" s="0" t="n">
        <f aca="true">CRITBINOM(K653,Coefficients!$B$31,RAND())</f>
        <v>0</v>
      </c>
      <c r="M653" s="0" t="n">
        <f aca="true">CRITBINOM(MAX(0,J653-K653),1-Coefficients!$B$32,RAND())</f>
        <v>0</v>
      </c>
      <c r="N653" s="0" t="n">
        <f aca="true">CRITBINOM(MAX(0,$C653-J653),MIN(0.6,Matchup!$C$40*SQRT($B653)/(1-MIN(0.75,Matchup!$C$39*$B653))),RAND())</f>
        <v>1</v>
      </c>
      <c r="O653" s="0" t="n">
        <f aca="false">6*J653+(J653-K653-M653)+2*L653+3*N653</f>
        <v>38</v>
      </c>
      <c r="P653" s="0" t="n">
        <f aca="true">RAND()</f>
        <v>0.888857160569889</v>
      </c>
      <c r="Q653" s="0" t="n">
        <f aca="true">RAND()</f>
        <v>0.316725381915736</v>
      </c>
      <c r="R653" s="0" t="n">
        <f aca="false">IF($I653&lt;&gt;$O653,0,IF(P653&lt;Matchup!$B$39,7,IF(P653&lt;Matchup!$B$39+Matchup!$B$40,3,0)))</f>
        <v>0</v>
      </c>
      <c r="S653" s="0" t="n">
        <f aca="false">IF($I653&lt;&gt;$O653,0,IF(Q653&lt;Matchup!$C$39,7,IF(Q653&lt;Matchup!$C$39+Matchup!$C$40,3,0)))</f>
        <v>0</v>
      </c>
      <c r="T653" s="0" t="n">
        <f aca="false">I653+R653</f>
        <v>14</v>
      </c>
      <c r="U653" s="0" t="n">
        <f aca="false">O653+S653</f>
        <v>38</v>
      </c>
      <c r="V653" s="0" t="n">
        <f aca="false">T653-U653</f>
        <v>-24</v>
      </c>
      <c r="W653" s="0" t="n">
        <f aca="false">T653+U653</f>
        <v>52</v>
      </c>
    </row>
    <row r="654" customFormat="false" ht="15" hidden="false" customHeight="false" outlineLevel="0" collapsed="false">
      <c r="A654" s="0" t="n">
        <v>651</v>
      </c>
      <c r="B654" s="0" t="n">
        <f aca="true">NORMINV(RAND(),1,Coefficients!$B$22)</f>
        <v>1.06363200347049</v>
      </c>
      <c r="C654" s="0" t="n">
        <f aca="true">MEDIAN(8,16,ROUND(NORMINV(RAND(),Coefficients!$B$20,Coefficients!$B$21),0))</f>
        <v>11</v>
      </c>
      <c r="D654" s="0" t="n">
        <f aca="true">CRITBINOM($C654,MIN(0.75,Matchup!$B$39*$B654),RAND())</f>
        <v>5</v>
      </c>
      <c r="E654" s="0" t="n">
        <f aca="true">CRITBINOM(D654,Coefficients!$B$30,RAND())</f>
        <v>0</v>
      </c>
      <c r="F654" s="0" t="n">
        <f aca="true">CRITBINOM(E654,Coefficients!$B$31,RAND())</f>
        <v>0</v>
      </c>
      <c r="G654" s="0" t="n">
        <f aca="true">CRITBINOM(MAX(0,D654-E654),1-Coefficients!$B$32,RAND())</f>
        <v>0</v>
      </c>
      <c r="H654" s="0" t="n">
        <f aca="true">CRITBINOM(MAX(0,$C654-D654),MIN(0.6,Matchup!$B$40*SQRT($B654)/(1-MIN(0.75,Matchup!$B$39*$B654))),RAND())</f>
        <v>1</v>
      </c>
      <c r="I654" s="0" t="n">
        <f aca="false">6*D654+(D654-E654-G654)+2*F654+3*H654</f>
        <v>38</v>
      </c>
      <c r="J654" s="0" t="n">
        <f aca="true">CRITBINOM($C654,MIN(0.75,Matchup!$C$39*$B654),RAND())</f>
        <v>4</v>
      </c>
      <c r="K654" s="0" t="n">
        <f aca="true">CRITBINOM(J654,Coefficients!$B$30,RAND())</f>
        <v>0</v>
      </c>
      <c r="L654" s="0" t="n">
        <f aca="true">CRITBINOM(K654,Coefficients!$B$31,RAND())</f>
        <v>0</v>
      </c>
      <c r="M654" s="0" t="n">
        <f aca="true">CRITBINOM(MAX(0,J654-K654),1-Coefficients!$B$32,RAND())</f>
        <v>0</v>
      </c>
      <c r="N654" s="0" t="n">
        <f aca="true">CRITBINOM(MAX(0,$C654-J654),MIN(0.6,Matchup!$C$40*SQRT($B654)/(1-MIN(0.75,Matchup!$C$39*$B654))),RAND())</f>
        <v>3</v>
      </c>
      <c r="O654" s="0" t="n">
        <f aca="false">6*J654+(J654-K654-M654)+2*L654+3*N654</f>
        <v>37</v>
      </c>
      <c r="P654" s="0" t="n">
        <f aca="true">RAND()</f>
        <v>0.475686494273624</v>
      </c>
      <c r="Q654" s="0" t="n">
        <f aca="true">RAND()</f>
        <v>0.920967135231906</v>
      </c>
      <c r="R654" s="0" t="n">
        <f aca="false">IF($I654&lt;&gt;$O654,0,IF(P654&lt;Matchup!$B$39,7,IF(P654&lt;Matchup!$B$39+Matchup!$B$40,3,0)))</f>
        <v>0</v>
      </c>
      <c r="S654" s="0" t="n">
        <f aca="false">IF($I654&lt;&gt;$O654,0,IF(Q654&lt;Matchup!$C$39,7,IF(Q654&lt;Matchup!$C$39+Matchup!$C$40,3,0)))</f>
        <v>0</v>
      </c>
      <c r="T654" s="0" t="n">
        <f aca="false">I654+R654</f>
        <v>38</v>
      </c>
      <c r="U654" s="0" t="n">
        <f aca="false">O654+S654</f>
        <v>37</v>
      </c>
      <c r="V654" s="0" t="n">
        <f aca="false">T654-U654</f>
        <v>1</v>
      </c>
      <c r="W654" s="0" t="n">
        <f aca="false">T654+U654</f>
        <v>75</v>
      </c>
    </row>
    <row r="655" customFormat="false" ht="15" hidden="false" customHeight="false" outlineLevel="0" collapsed="false">
      <c r="A655" s="0" t="n">
        <v>652</v>
      </c>
      <c r="B655" s="0" t="n">
        <f aca="true">NORMINV(RAND(),1,Coefficients!$B$22)</f>
        <v>0.918343475052923</v>
      </c>
      <c r="C655" s="0" t="n">
        <f aca="true">MEDIAN(8,16,ROUND(NORMINV(RAND(),Coefficients!$B$20,Coefficients!$B$21),0))</f>
        <v>11</v>
      </c>
      <c r="D655" s="0" t="n">
        <f aca="true">CRITBINOM($C655,MIN(0.75,Matchup!$B$39*$B655),RAND())</f>
        <v>2</v>
      </c>
      <c r="E655" s="0" t="n">
        <f aca="true">CRITBINOM(D655,Coefficients!$B$30,RAND())</f>
        <v>0</v>
      </c>
      <c r="F655" s="0" t="n">
        <f aca="true">CRITBINOM(E655,Coefficients!$B$31,RAND())</f>
        <v>0</v>
      </c>
      <c r="G655" s="0" t="n">
        <f aca="true">CRITBINOM(MAX(0,D655-E655),1-Coefficients!$B$32,RAND())</f>
        <v>0</v>
      </c>
      <c r="H655" s="0" t="n">
        <f aca="true">CRITBINOM(MAX(0,$C655-D655),MIN(0.6,Matchup!$B$40*SQRT($B655)/(1-MIN(0.75,Matchup!$B$39*$B655))),RAND())</f>
        <v>1</v>
      </c>
      <c r="I655" s="0" t="n">
        <f aca="false">6*D655+(D655-E655-G655)+2*F655+3*H655</f>
        <v>17</v>
      </c>
      <c r="J655" s="0" t="n">
        <f aca="true">CRITBINOM($C655,MIN(0.75,Matchup!$C$39*$B655),RAND())</f>
        <v>1</v>
      </c>
      <c r="K655" s="0" t="n">
        <f aca="true">CRITBINOM(J655,Coefficients!$B$30,RAND())</f>
        <v>0</v>
      </c>
      <c r="L655" s="0" t="n">
        <f aca="true">CRITBINOM(K655,Coefficients!$B$31,RAND())</f>
        <v>0</v>
      </c>
      <c r="M655" s="0" t="n">
        <f aca="true">CRITBINOM(MAX(0,J655-K655),1-Coefficients!$B$32,RAND())</f>
        <v>0</v>
      </c>
      <c r="N655" s="0" t="n">
        <f aca="true">CRITBINOM(MAX(0,$C655-J655),MIN(0.6,Matchup!$C$40*SQRT($B655)/(1-MIN(0.75,Matchup!$C$39*$B655))),RAND())</f>
        <v>0</v>
      </c>
      <c r="O655" s="0" t="n">
        <f aca="false">6*J655+(J655-K655-M655)+2*L655+3*N655</f>
        <v>7</v>
      </c>
      <c r="P655" s="0" t="n">
        <f aca="true">RAND()</f>
        <v>0.364168542139379</v>
      </c>
      <c r="Q655" s="0" t="n">
        <f aca="true">RAND()</f>
        <v>0.720130933988477</v>
      </c>
      <c r="R655" s="0" t="n">
        <f aca="false">IF($I655&lt;&gt;$O655,0,IF(P655&lt;Matchup!$B$39,7,IF(P655&lt;Matchup!$B$39+Matchup!$B$40,3,0)))</f>
        <v>0</v>
      </c>
      <c r="S655" s="0" t="n">
        <f aca="false">IF($I655&lt;&gt;$O655,0,IF(Q655&lt;Matchup!$C$39,7,IF(Q655&lt;Matchup!$C$39+Matchup!$C$40,3,0)))</f>
        <v>0</v>
      </c>
      <c r="T655" s="0" t="n">
        <f aca="false">I655+R655</f>
        <v>17</v>
      </c>
      <c r="U655" s="0" t="n">
        <f aca="false">O655+S655</f>
        <v>7</v>
      </c>
      <c r="V655" s="0" t="n">
        <f aca="false">T655-U655</f>
        <v>10</v>
      </c>
      <c r="W655" s="0" t="n">
        <f aca="false">T655+U655</f>
        <v>24</v>
      </c>
    </row>
    <row r="656" customFormat="false" ht="15" hidden="false" customHeight="false" outlineLevel="0" collapsed="false">
      <c r="A656" s="0" t="n">
        <v>653</v>
      </c>
      <c r="B656" s="0" t="n">
        <f aca="true">NORMINV(RAND(),1,Coefficients!$B$22)</f>
        <v>1.097941022659</v>
      </c>
      <c r="C656" s="0" t="n">
        <f aca="true">MEDIAN(8,16,ROUND(NORMINV(RAND(),Coefficients!$B$20,Coefficients!$B$21),0))</f>
        <v>11</v>
      </c>
      <c r="D656" s="0" t="n">
        <f aca="true">CRITBINOM($C656,MIN(0.75,Matchup!$B$39*$B656),RAND())</f>
        <v>5</v>
      </c>
      <c r="E656" s="0" t="n">
        <f aca="true">CRITBINOM(D656,Coefficients!$B$30,RAND())</f>
        <v>2</v>
      </c>
      <c r="F656" s="0" t="n">
        <f aca="true">CRITBINOM(E656,Coefficients!$B$31,RAND())</f>
        <v>2</v>
      </c>
      <c r="G656" s="0" t="n">
        <f aca="true">CRITBINOM(MAX(0,D656-E656),1-Coefficients!$B$32,RAND())</f>
        <v>0</v>
      </c>
      <c r="H656" s="0" t="n">
        <f aca="true">CRITBINOM(MAX(0,$C656-D656),MIN(0.6,Matchup!$B$40*SQRT($B656)/(1-MIN(0.75,Matchup!$B$39*$B656))),RAND())</f>
        <v>1</v>
      </c>
      <c r="I656" s="0" t="n">
        <f aca="false">6*D656+(D656-E656-G656)+2*F656+3*H656</f>
        <v>40</v>
      </c>
      <c r="J656" s="0" t="n">
        <f aca="true">CRITBINOM($C656,MIN(0.75,Matchup!$C$39*$B656),RAND())</f>
        <v>4</v>
      </c>
      <c r="K656" s="0" t="n">
        <f aca="true">CRITBINOM(J656,Coefficients!$B$30,RAND())</f>
        <v>0</v>
      </c>
      <c r="L656" s="0" t="n">
        <f aca="true">CRITBINOM(K656,Coefficients!$B$31,RAND())</f>
        <v>0</v>
      </c>
      <c r="M656" s="0" t="n">
        <f aca="true">CRITBINOM(MAX(0,J656-K656),1-Coefficients!$B$32,RAND())</f>
        <v>1</v>
      </c>
      <c r="N656" s="0" t="n">
        <f aca="true">CRITBINOM(MAX(0,$C656-J656),MIN(0.6,Matchup!$C$40*SQRT($B656)/(1-MIN(0.75,Matchup!$C$39*$B656))),RAND())</f>
        <v>0</v>
      </c>
      <c r="O656" s="0" t="n">
        <f aca="false">6*J656+(J656-K656-M656)+2*L656+3*N656</f>
        <v>27</v>
      </c>
      <c r="P656" s="0" t="n">
        <f aca="true">RAND()</f>
        <v>0.646151786553602</v>
      </c>
      <c r="Q656" s="0" t="n">
        <f aca="true">RAND()</f>
        <v>0.953997702367656</v>
      </c>
      <c r="R656" s="0" t="n">
        <f aca="false">IF($I656&lt;&gt;$O656,0,IF(P656&lt;Matchup!$B$39,7,IF(P656&lt;Matchup!$B$39+Matchup!$B$40,3,0)))</f>
        <v>0</v>
      </c>
      <c r="S656" s="0" t="n">
        <f aca="false">IF($I656&lt;&gt;$O656,0,IF(Q656&lt;Matchup!$C$39,7,IF(Q656&lt;Matchup!$C$39+Matchup!$C$40,3,0)))</f>
        <v>0</v>
      </c>
      <c r="T656" s="0" t="n">
        <f aca="false">I656+R656</f>
        <v>40</v>
      </c>
      <c r="U656" s="0" t="n">
        <f aca="false">O656+S656</f>
        <v>27</v>
      </c>
      <c r="V656" s="0" t="n">
        <f aca="false">T656-U656</f>
        <v>13</v>
      </c>
      <c r="W656" s="0" t="n">
        <f aca="false">T656+U656</f>
        <v>67</v>
      </c>
    </row>
    <row r="657" customFormat="false" ht="15" hidden="false" customHeight="false" outlineLevel="0" collapsed="false">
      <c r="A657" s="0" t="n">
        <v>654</v>
      </c>
      <c r="B657" s="0" t="n">
        <f aca="true">NORMINV(RAND(),1,Coefficients!$B$22)</f>
        <v>1.01914841959685</v>
      </c>
      <c r="C657" s="0" t="n">
        <f aca="true">MEDIAN(8,16,ROUND(NORMINV(RAND(),Coefficients!$B$20,Coefficients!$B$21),0))</f>
        <v>9</v>
      </c>
      <c r="D657" s="0" t="n">
        <f aca="true">CRITBINOM($C657,MIN(0.75,Matchup!$B$39*$B657),RAND())</f>
        <v>2</v>
      </c>
      <c r="E657" s="0" t="n">
        <f aca="true">CRITBINOM(D657,Coefficients!$B$30,RAND())</f>
        <v>0</v>
      </c>
      <c r="F657" s="0" t="n">
        <f aca="true">CRITBINOM(E657,Coefficients!$B$31,RAND())</f>
        <v>0</v>
      </c>
      <c r="G657" s="0" t="n">
        <f aca="true">CRITBINOM(MAX(0,D657-E657),1-Coefficients!$B$32,RAND())</f>
        <v>0</v>
      </c>
      <c r="H657" s="0" t="n">
        <f aca="true">CRITBINOM(MAX(0,$C657-D657),MIN(0.6,Matchup!$B$40*SQRT($B657)/(1-MIN(0.75,Matchup!$B$39*$B657))),RAND())</f>
        <v>1</v>
      </c>
      <c r="I657" s="0" t="n">
        <f aca="false">6*D657+(D657-E657-G657)+2*F657+3*H657</f>
        <v>17</v>
      </c>
      <c r="J657" s="0" t="n">
        <f aca="true">CRITBINOM($C657,MIN(0.75,Matchup!$C$39*$B657),RAND())</f>
        <v>2</v>
      </c>
      <c r="K657" s="0" t="n">
        <f aca="true">CRITBINOM(J657,Coefficients!$B$30,RAND())</f>
        <v>0</v>
      </c>
      <c r="L657" s="0" t="n">
        <f aca="true">CRITBINOM(K657,Coefficients!$B$31,RAND())</f>
        <v>0</v>
      </c>
      <c r="M657" s="0" t="n">
        <f aca="true">CRITBINOM(MAX(0,J657-K657),1-Coefficients!$B$32,RAND())</f>
        <v>0</v>
      </c>
      <c r="N657" s="0" t="n">
        <f aca="true">CRITBINOM(MAX(0,$C657-J657),MIN(0.6,Matchup!$C$40*SQRT($B657)/(1-MIN(0.75,Matchup!$C$39*$B657))),RAND())</f>
        <v>1</v>
      </c>
      <c r="O657" s="0" t="n">
        <f aca="false">6*J657+(J657-K657-M657)+2*L657+3*N657</f>
        <v>17</v>
      </c>
      <c r="P657" s="0" t="n">
        <f aca="true">RAND()</f>
        <v>0.388118619883058</v>
      </c>
      <c r="Q657" s="0" t="n">
        <f aca="true">RAND()</f>
        <v>0.117628623954961</v>
      </c>
      <c r="R657" s="0" t="n">
        <f aca="false">IF($I657&lt;&gt;$O657,0,IF(P657&lt;Matchup!$B$39,7,IF(P657&lt;Matchup!$B$39+Matchup!$B$40,3,0)))</f>
        <v>3</v>
      </c>
      <c r="S657" s="0" t="n">
        <f aca="false">IF($I657&lt;&gt;$O657,0,IF(Q657&lt;Matchup!$C$39,7,IF(Q657&lt;Matchup!$C$39+Matchup!$C$40,3,0)))</f>
        <v>7</v>
      </c>
      <c r="T657" s="0" t="n">
        <f aca="false">I657+R657</f>
        <v>20</v>
      </c>
      <c r="U657" s="0" t="n">
        <f aca="false">O657+S657</f>
        <v>24</v>
      </c>
      <c r="V657" s="0" t="n">
        <f aca="false">T657-U657</f>
        <v>-4</v>
      </c>
      <c r="W657" s="0" t="n">
        <f aca="false">T657+U657</f>
        <v>44</v>
      </c>
    </row>
    <row r="658" customFormat="false" ht="15" hidden="false" customHeight="false" outlineLevel="0" collapsed="false">
      <c r="A658" s="0" t="n">
        <v>655</v>
      </c>
      <c r="B658" s="0" t="n">
        <f aca="true">NORMINV(RAND(),1,Coefficients!$B$22)</f>
        <v>0.983873691810696</v>
      </c>
      <c r="C658" s="0" t="n">
        <f aca="true">MEDIAN(8,16,ROUND(NORMINV(RAND(),Coefficients!$B$20,Coefficients!$B$21),0))</f>
        <v>10</v>
      </c>
      <c r="D658" s="0" t="n">
        <f aca="true">CRITBINOM($C658,MIN(0.75,Matchup!$B$39*$B658),RAND())</f>
        <v>2</v>
      </c>
      <c r="E658" s="0" t="n">
        <f aca="true">CRITBINOM(D658,Coefficients!$B$30,RAND())</f>
        <v>0</v>
      </c>
      <c r="F658" s="0" t="n">
        <f aca="true">CRITBINOM(E658,Coefficients!$B$31,RAND())</f>
        <v>0</v>
      </c>
      <c r="G658" s="0" t="n">
        <f aca="true">CRITBINOM(MAX(0,D658-E658),1-Coefficients!$B$32,RAND())</f>
        <v>0</v>
      </c>
      <c r="H658" s="0" t="n">
        <f aca="true">CRITBINOM(MAX(0,$C658-D658),MIN(0.6,Matchup!$B$40*SQRT($B658)/(1-MIN(0.75,Matchup!$B$39*$B658))),RAND())</f>
        <v>1</v>
      </c>
      <c r="I658" s="0" t="n">
        <f aca="false">6*D658+(D658-E658-G658)+2*F658+3*H658</f>
        <v>17</v>
      </c>
      <c r="J658" s="0" t="n">
        <f aca="true">CRITBINOM($C658,MIN(0.75,Matchup!$C$39*$B658),RAND())</f>
        <v>2</v>
      </c>
      <c r="K658" s="0" t="n">
        <f aca="true">CRITBINOM(J658,Coefficients!$B$30,RAND())</f>
        <v>0</v>
      </c>
      <c r="L658" s="0" t="n">
        <f aca="true">CRITBINOM(K658,Coefficients!$B$31,RAND())</f>
        <v>0</v>
      </c>
      <c r="M658" s="0" t="n">
        <f aca="true">CRITBINOM(MAX(0,J658-K658),1-Coefficients!$B$32,RAND())</f>
        <v>0</v>
      </c>
      <c r="N658" s="0" t="n">
        <f aca="true">CRITBINOM(MAX(0,$C658-J658),MIN(0.6,Matchup!$C$40*SQRT($B658)/(1-MIN(0.75,Matchup!$C$39*$B658))),RAND())</f>
        <v>0</v>
      </c>
      <c r="O658" s="0" t="n">
        <f aca="false">6*J658+(J658-K658-M658)+2*L658+3*N658</f>
        <v>14</v>
      </c>
      <c r="P658" s="0" t="n">
        <f aca="true">RAND()</f>
        <v>0.534597594017595</v>
      </c>
      <c r="Q658" s="0" t="n">
        <f aca="true">RAND()</f>
        <v>0.559090489010391</v>
      </c>
      <c r="R658" s="0" t="n">
        <f aca="false">IF($I658&lt;&gt;$O658,0,IF(P658&lt;Matchup!$B$39,7,IF(P658&lt;Matchup!$B$39+Matchup!$B$40,3,0)))</f>
        <v>0</v>
      </c>
      <c r="S658" s="0" t="n">
        <f aca="false">IF($I658&lt;&gt;$O658,0,IF(Q658&lt;Matchup!$C$39,7,IF(Q658&lt;Matchup!$C$39+Matchup!$C$40,3,0)))</f>
        <v>0</v>
      </c>
      <c r="T658" s="0" t="n">
        <f aca="false">I658+R658</f>
        <v>17</v>
      </c>
      <c r="U658" s="0" t="n">
        <f aca="false">O658+S658</f>
        <v>14</v>
      </c>
      <c r="V658" s="0" t="n">
        <f aca="false">T658-U658</f>
        <v>3</v>
      </c>
      <c r="W658" s="0" t="n">
        <f aca="false">T658+U658</f>
        <v>31</v>
      </c>
    </row>
    <row r="659" customFormat="false" ht="15" hidden="false" customHeight="false" outlineLevel="0" collapsed="false">
      <c r="A659" s="0" t="n">
        <v>656</v>
      </c>
      <c r="B659" s="0" t="n">
        <f aca="true">NORMINV(RAND(),1,Coefficients!$B$22)</f>
        <v>0.938849532857003</v>
      </c>
      <c r="C659" s="0" t="n">
        <f aca="true">MEDIAN(8,16,ROUND(NORMINV(RAND(),Coefficients!$B$20,Coefficients!$B$21),0))</f>
        <v>12</v>
      </c>
      <c r="D659" s="0" t="n">
        <f aca="true">CRITBINOM($C659,MIN(0.75,Matchup!$B$39*$B659),RAND())</f>
        <v>1</v>
      </c>
      <c r="E659" s="0" t="n">
        <f aca="true">CRITBINOM(D659,Coefficients!$B$30,RAND())</f>
        <v>0</v>
      </c>
      <c r="F659" s="0" t="n">
        <f aca="true">CRITBINOM(E659,Coefficients!$B$31,RAND())</f>
        <v>0</v>
      </c>
      <c r="G659" s="0" t="n">
        <f aca="true">CRITBINOM(MAX(0,D659-E659),1-Coefficients!$B$32,RAND())</f>
        <v>0</v>
      </c>
      <c r="H659" s="0" t="n">
        <f aca="true">CRITBINOM(MAX(0,$C659-D659),MIN(0.6,Matchup!$B$40*SQRT($B659)/(1-MIN(0.75,Matchup!$B$39*$B659))),RAND())</f>
        <v>1</v>
      </c>
      <c r="I659" s="0" t="n">
        <f aca="false">6*D659+(D659-E659-G659)+2*F659+3*H659</f>
        <v>10</v>
      </c>
      <c r="J659" s="0" t="n">
        <f aca="true">CRITBINOM($C659,MIN(0.75,Matchup!$C$39*$B659),RAND())</f>
        <v>1</v>
      </c>
      <c r="K659" s="0" t="n">
        <f aca="true">CRITBINOM(J659,Coefficients!$B$30,RAND())</f>
        <v>0</v>
      </c>
      <c r="L659" s="0" t="n">
        <f aca="true">CRITBINOM(K659,Coefficients!$B$31,RAND())</f>
        <v>0</v>
      </c>
      <c r="M659" s="0" t="n">
        <f aca="true">CRITBINOM(MAX(0,J659-K659),1-Coefficients!$B$32,RAND())</f>
        <v>0</v>
      </c>
      <c r="N659" s="0" t="n">
        <f aca="true">CRITBINOM(MAX(0,$C659-J659),MIN(0.6,Matchup!$C$40*SQRT($B659)/(1-MIN(0.75,Matchup!$C$39*$B659))),RAND())</f>
        <v>3</v>
      </c>
      <c r="O659" s="0" t="n">
        <f aca="false">6*J659+(J659-K659-M659)+2*L659+3*N659</f>
        <v>16</v>
      </c>
      <c r="P659" s="0" t="n">
        <f aca="true">RAND()</f>
        <v>0.224999993884945</v>
      </c>
      <c r="Q659" s="0" t="n">
        <f aca="true">RAND()</f>
        <v>0.885498671868788</v>
      </c>
      <c r="R659" s="0" t="n">
        <f aca="false">IF($I659&lt;&gt;$O659,0,IF(P659&lt;Matchup!$B$39,7,IF(P659&lt;Matchup!$B$39+Matchup!$B$40,3,0)))</f>
        <v>0</v>
      </c>
      <c r="S659" s="0" t="n">
        <f aca="false">IF($I659&lt;&gt;$O659,0,IF(Q659&lt;Matchup!$C$39,7,IF(Q659&lt;Matchup!$C$39+Matchup!$C$40,3,0)))</f>
        <v>0</v>
      </c>
      <c r="T659" s="0" t="n">
        <f aca="false">I659+R659</f>
        <v>10</v>
      </c>
      <c r="U659" s="0" t="n">
        <f aca="false">O659+S659</f>
        <v>16</v>
      </c>
      <c r="V659" s="0" t="n">
        <f aca="false">T659-U659</f>
        <v>-6</v>
      </c>
      <c r="W659" s="0" t="n">
        <f aca="false">T659+U659</f>
        <v>26</v>
      </c>
    </row>
    <row r="660" customFormat="false" ht="15" hidden="false" customHeight="false" outlineLevel="0" collapsed="false">
      <c r="A660" s="0" t="n">
        <v>657</v>
      </c>
      <c r="B660" s="0" t="n">
        <f aca="true">NORMINV(RAND(),1,Coefficients!$B$22)</f>
        <v>1.03822806320418</v>
      </c>
      <c r="C660" s="0" t="n">
        <f aca="true">MEDIAN(8,16,ROUND(NORMINV(RAND(),Coefficients!$B$20,Coefficients!$B$21),0))</f>
        <v>11</v>
      </c>
      <c r="D660" s="0" t="n">
        <f aca="true">CRITBINOM($C660,MIN(0.75,Matchup!$B$39*$B660),RAND())</f>
        <v>4</v>
      </c>
      <c r="E660" s="0" t="n">
        <f aca="true">CRITBINOM(D660,Coefficients!$B$30,RAND())</f>
        <v>1</v>
      </c>
      <c r="F660" s="0" t="n">
        <f aca="true">CRITBINOM(E660,Coefficients!$B$31,RAND())</f>
        <v>1</v>
      </c>
      <c r="G660" s="0" t="n">
        <f aca="true">CRITBINOM(MAX(0,D660-E660),1-Coefficients!$B$32,RAND())</f>
        <v>0</v>
      </c>
      <c r="H660" s="0" t="n">
        <f aca="true">CRITBINOM(MAX(0,$C660-D660),MIN(0.6,Matchup!$B$40*SQRT($B660)/(1-MIN(0.75,Matchup!$B$39*$B660))),RAND())</f>
        <v>1</v>
      </c>
      <c r="I660" s="0" t="n">
        <f aca="false">6*D660+(D660-E660-G660)+2*F660+3*H660</f>
        <v>32</v>
      </c>
      <c r="J660" s="0" t="n">
        <f aca="true">CRITBINOM($C660,MIN(0.75,Matchup!$C$39*$B660),RAND())</f>
        <v>1</v>
      </c>
      <c r="K660" s="0" t="n">
        <f aca="true">CRITBINOM(J660,Coefficients!$B$30,RAND())</f>
        <v>0</v>
      </c>
      <c r="L660" s="0" t="n">
        <f aca="true">CRITBINOM(K660,Coefficients!$B$31,RAND())</f>
        <v>0</v>
      </c>
      <c r="M660" s="0" t="n">
        <f aca="true">CRITBINOM(MAX(0,J660-K660),1-Coefficients!$B$32,RAND())</f>
        <v>0</v>
      </c>
      <c r="N660" s="0" t="n">
        <f aca="true">CRITBINOM(MAX(0,$C660-J660),MIN(0.6,Matchup!$C$40*SQRT($B660)/(1-MIN(0.75,Matchup!$C$39*$B660))),RAND())</f>
        <v>1</v>
      </c>
      <c r="O660" s="0" t="n">
        <f aca="false">6*J660+(J660-K660-M660)+2*L660+3*N660</f>
        <v>10</v>
      </c>
      <c r="P660" s="0" t="n">
        <f aca="true">RAND()</f>
        <v>0.442447179726735</v>
      </c>
      <c r="Q660" s="0" t="n">
        <f aca="true">RAND()</f>
        <v>0.383421972269052</v>
      </c>
      <c r="R660" s="0" t="n">
        <f aca="false">IF($I660&lt;&gt;$O660,0,IF(P660&lt;Matchup!$B$39,7,IF(P660&lt;Matchup!$B$39+Matchup!$B$40,3,0)))</f>
        <v>0</v>
      </c>
      <c r="S660" s="0" t="n">
        <f aca="false">IF($I660&lt;&gt;$O660,0,IF(Q660&lt;Matchup!$C$39,7,IF(Q660&lt;Matchup!$C$39+Matchup!$C$40,3,0)))</f>
        <v>0</v>
      </c>
      <c r="T660" s="0" t="n">
        <f aca="false">I660+R660</f>
        <v>32</v>
      </c>
      <c r="U660" s="0" t="n">
        <f aca="false">O660+S660</f>
        <v>10</v>
      </c>
      <c r="V660" s="0" t="n">
        <f aca="false">T660-U660</f>
        <v>22</v>
      </c>
      <c r="W660" s="0" t="n">
        <f aca="false">T660+U660</f>
        <v>42</v>
      </c>
    </row>
    <row r="661" customFormat="false" ht="15" hidden="false" customHeight="false" outlineLevel="0" collapsed="false">
      <c r="A661" s="0" t="n">
        <v>658</v>
      </c>
      <c r="B661" s="0" t="n">
        <f aca="true">NORMINV(RAND(),1,Coefficients!$B$22)</f>
        <v>1.02357009479045</v>
      </c>
      <c r="C661" s="0" t="n">
        <f aca="true">MEDIAN(8,16,ROUND(NORMINV(RAND(),Coefficients!$B$20,Coefficients!$B$21),0))</f>
        <v>11</v>
      </c>
      <c r="D661" s="0" t="n">
        <f aca="true">CRITBINOM($C661,MIN(0.75,Matchup!$B$39*$B661),RAND())</f>
        <v>2</v>
      </c>
      <c r="E661" s="0" t="n">
        <f aca="true">CRITBINOM(D661,Coefficients!$B$30,RAND())</f>
        <v>0</v>
      </c>
      <c r="F661" s="0" t="n">
        <f aca="true">CRITBINOM(E661,Coefficients!$B$31,RAND())</f>
        <v>0</v>
      </c>
      <c r="G661" s="0" t="n">
        <f aca="true">CRITBINOM(MAX(0,D661-E661),1-Coefficients!$B$32,RAND())</f>
        <v>0</v>
      </c>
      <c r="H661" s="0" t="n">
        <f aca="true">CRITBINOM(MAX(0,$C661-D661),MIN(0.6,Matchup!$B$40*SQRT($B661)/(1-MIN(0.75,Matchup!$B$39*$B661))),RAND())</f>
        <v>3</v>
      </c>
      <c r="I661" s="0" t="n">
        <f aca="false">6*D661+(D661-E661-G661)+2*F661+3*H661</f>
        <v>23</v>
      </c>
      <c r="J661" s="0" t="n">
        <f aca="true">CRITBINOM($C661,MIN(0.75,Matchup!$C$39*$B661),RAND())</f>
        <v>2</v>
      </c>
      <c r="K661" s="0" t="n">
        <f aca="true">CRITBINOM(J661,Coefficients!$B$30,RAND())</f>
        <v>0</v>
      </c>
      <c r="L661" s="0" t="n">
        <f aca="true">CRITBINOM(K661,Coefficients!$B$31,RAND())</f>
        <v>0</v>
      </c>
      <c r="M661" s="0" t="n">
        <f aca="true">CRITBINOM(MAX(0,J661-K661),1-Coefficients!$B$32,RAND())</f>
        <v>0</v>
      </c>
      <c r="N661" s="0" t="n">
        <f aca="true">CRITBINOM(MAX(0,$C661-J661),MIN(0.6,Matchup!$C$40*SQRT($B661)/(1-MIN(0.75,Matchup!$C$39*$B661))),RAND())</f>
        <v>3</v>
      </c>
      <c r="O661" s="0" t="n">
        <f aca="false">6*J661+(J661-K661-M661)+2*L661+3*N661</f>
        <v>23</v>
      </c>
      <c r="P661" s="0" t="n">
        <f aca="true">RAND()</f>
        <v>0.011493641637576</v>
      </c>
      <c r="Q661" s="0" t="n">
        <f aca="true">RAND()</f>
        <v>0.0302664295281375</v>
      </c>
      <c r="R661" s="0" t="n">
        <f aca="false">IF($I661&lt;&gt;$O661,0,IF(P661&lt;Matchup!$B$39,7,IF(P661&lt;Matchup!$B$39+Matchup!$B$40,3,0)))</f>
        <v>7</v>
      </c>
      <c r="S661" s="0" t="n">
        <f aca="false">IF($I661&lt;&gt;$O661,0,IF(Q661&lt;Matchup!$C$39,7,IF(Q661&lt;Matchup!$C$39+Matchup!$C$40,3,0)))</f>
        <v>7</v>
      </c>
      <c r="T661" s="0" t="n">
        <f aca="false">I661+R661</f>
        <v>30</v>
      </c>
      <c r="U661" s="0" t="n">
        <f aca="false">O661+S661</f>
        <v>30</v>
      </c>
      <c r="V661" s="0" t="n">
        <f aca="false">T661-U661</f>
        <v>0</v>
      </c>
      <c r="W661" s="0" t="n">
        <f aca="false">T661+U661</f>
        <v>60</v>
      </c>
    </row>
    <row r="662" customFormat="false" ht="15" hidden="false" customHeight="false" outlineLevel="0" collapsed="false">
      <c r="A662" s="0" t="n">
        <v>659</v>
      </c>
      <c r="B662" s="0" t="n">
        <f aca="true">NORMINV(RAND(),1,Coefficients!$B$22)</f>
        <v>1.01717968934065</v>
      </c>
      <c r="C662" s="0" t="n">
        <f aca="true">MEDIAN(8,16,ROUND(NORMINV(RAND(),Coefficients!$B$20,Coefficients!$B$21),0))</f>
        <v>10</v>
      </c>
      <c r="D662" s="0" t="n">
        <f aca="true">CRITBINOM($C662,MIN(0.75,Matchup!$B$39*$B662),RAND())</f>
        <v>4</v>
      </c>
      <c r="E662" s="0" t="n">
        <f aca="true">CRITBINOM(D662,Coefficients!$B$30,RAND())</f>
        <v>0</v>
      </c>
      <c r="F662" s="0" t="n">
        <f aca="true">CRITBINOM(E662,Coefficients!$B$31,RAND())</f>
        <v>0</v>
      </c>
      <c r="G662" s="0" t="n">
        <f aca="true">CRITBINOM(MAX(0,D662-E662),1-Coefficients!$B$32,RAND())</f>
        <v>0</v>
      </c>
      <c r="H662" s="0" t="n">
        <f aca="true">CRITBINOM(MAX(0,$C662-D662),MIN(0.6,Matchup!$B$40*SQRT($B662)/(1-MIN(0.75,Matchup!$B$39*$B662))),RAND())</f>
        <v>3</v>
      </c>
      <c r="I662" s="0" t="n">
        <f aca="false">6*D662+(D662-E662-G662)+2*F662+3*H662</f>
        <v>37</v>
      </c>
      <c r="J662" s="0" t="n">
        <f aca="true">CRITBINOM($C662,MIN(0.75,Matchup!$C$39*$B662),RAND())</f>
        <v>6</v>
      </c>
      <c r="K662" s="0" t="n">
        <f aca="true">CRITBINOM(J662,Coefficients!$B$30,RAND())</f>
        <v>0</v>
      </c>
      <c r="L662" s="0" t="n">
        <f aca="true">CRITBINOM(K662,Coefficients!$B$31,RAND())</f>
        <v>0</v>
      </c>
      <c r="M662" s="0" t="n">
        <f aca="true">CRITBINOM(MAX(0,J662-K662),1-Coefficients!$B$32,RAND())</f>
        <v>0</v>
      </c>
      <c r="N662" s="0" t="n">
        <f aca="true">CRITBINOM(MAX(0,$C662-J662),MIN(0.6,Matchup!$C$40*SQRT($B662)/(1-MIN(0.75,Matchup!$C$39*$B662))),RAND())</f>
        <v>2</v>
      </c>
      <c r="O662" s="0" t="n">
        <f aca="false">6*J662+(J662-K662-M662)+2*L662+3*N662</f>
        <v>48</v>
      </c>
      <c r="P662" s="0" t="n">
        <f aca="true">RAND()</f>
        <v>0.630020342998994</v>
      </c>
      <c r="Q662" s="0" t="n">
        <f aca="true">RAND()</f>
        <v>0.431389609203136</v>
      </c>
      <c r="R662" s="0" t="n">
        <f aca="false">IF($I662&lt;&gt;$O662,0,IF(P662&lt;Matchup!$B$39,7,IF(P662&lt;Matchup!$B$39+Matchup!$B$40,3,0)))</f>
        <v>0</v>
      </c>
      <c r="S662" s="0" t="n">
        <f aca="false">IF($I662&lt;&gt;$O662,0,IF(Q662&lt;Matchup!$C$39,7,IF(Q662&lt;Matchup!$C$39+Matchup!$C$40,3,0)))</f>
        <v>0</v>
      </c>
      <c r="T662" s="0" t="n">
        <f aca="false">I662+R662</f>
        <v>37</v>
      </c>
      <c r="U662" s="0" t="n">
        <f aca="false">O662+S662</f>
        <v>48</v>
      </c>
      <c r="V662" s="0" t="n">
        <f aca="false">T662-U662</f>
        <v>-11</v>
      </c>
      <c r="W662" s="0" t="n">
        <f aca="false">T662+U662</f>
        <v>85</v>
      </c>
    </row>
    <row r="663" customFormat="false" ht="15" hidden="false" customHeight="false" outlineLevel="0" collapsed="false">
      <c r="A663" s="0" t="n">
        <v>660</v>
      </c>
      <c r="B663" s="0" t="n">
        <f aca="true">NORMINV(RAND(),1,Coefficients!$B$22)</f>
        <v>0.999029968306099</v>
      </c>
      <c r="C663" s="0" t="n">
        <f aca="true">MEDIAN(8,16,ROUND(NORMINV(RAND(),Coefficients!$B$20,Coefficients!$B$21),0))</f>
        <v>11</v>
      </c>
      <c r="D663" s="0" t="n">
        <f aca="true">CRITBINOM($C663,MIN(0.75,Matchup!$B$39*$B663),RAND())</f>
        <v>4</v>
      </c>
      <c r="E663" s="0" t="n">
        <f aca="true">CRITBINOM(D663,Coefficients!$B$30,RAND())</f>
        <v>1</v>
      </c>
      <c r="F663" s="0" t="n">
        <f aca="true">CRITBINOM(E663,Coefficients!$B$31,RAND())</f>
        <v>0</v>
      </c>
      <c r="G663" s="0" t="n">
        <f aca="true">CRITBINOM(MAX(0,D663-E663),1-Coefficients!$B$32,RAND())</f>
        <v>0</v>
      </c>
      <c r="H663" s="0" t="n">
        <f aca="true">CRITBINOM(MAX(0,$C663-D663),MIN(0.6,Matchup!$B$40*SQRT($B663)/(1-MIN(0.75,Matchup!$B$39*$B663))),RAND())</f>
        <v>0</v>
      </c>
      <c r="I663" s="0" t="n">
        <f aca="false">6*D663+(D663-E663-G663)+2*F663+3*H663</f>
        <v>27</v>
      </c>
      <c r="J663" s="0" t="n">
        <f aca="true">CRITBINOM($C663,MIN(0.75,Matchup!$C$39*$B663),RAND())</f>
        <v>1</v>
      </c>
      <c r="K663" s="0" t="n">
        <f aca="true">CRITBINOM(J663,Coefficients!$B$30,RAND())</f>
        <v>0</v>
      </c>
      <c r="L663" s="0" t="n">
        <f aca="true">CRITBINOM(K663,Coefficients!$B$31,RAND())</f>
        <v>0</v>
      </c>
      <c r="M663" s="0" t="n">
        <f aca="true">CRITBINOM(MAX(0,J663-K663),1-Coefficients!$B$32,RAND())</f>
        <v>0</v>
      </c>
      <c r="N663" s="0" t="n">
        <f aca="true">CRITBINOM(MAX(0,$C663-J663),MIN(0.6,Matchup!$C$40*SQRT($B663)/(1-MIN(0.75,Matchup!$C$39*$B663))),RAND())</f>
        <v>0</v>
      </c>
      <c r="O663" s="0" t="n">
        <f aca="false">6*J663+(J663-K663-M663)+2*L663+3*N663</f>
        <v>7</v>
      </c>
      <c r="P663" s="0" t="n">
        <f aca="true">RAND()</f>
        <v>0.787498397510961</v>
      </c>
      <c r="Q663" s="0" t="n">
        <f aca="true">RAND()</f>
        <v>0.915672755129752</v>
      </c>
      <c r="R663" s="0" t="n">
        <f aca="false">IF($I663&lt;&gt;$O663,0,IF(P663&lt;Matchup!$B$39,7,IF(P663&lt;Matchup!$B$39+Matchup!$B$40,3,0)))</f>
        <v>0</v>
      </c>
      <c r="S663" s="0" t="n">
        <f aca="false">IF($I663&lt;&gt;$O663,0,IF(Q663&lt;Matchup!$C$39,7,IF(Q663&lt;Matchup!$C$39+Matchup!$C$40,3,0)))</f>
        <v>0</v>
      </c>
      <c r="T663" s="0" t="n">
        <f aca="false">I663+R663</f>
        <v>27</v>
      </c>
      <c r="U663" s="0" t="n">
        <f aca="false">O663+S663</f>
        <v>7</v>
      </c>
      <c r="V663" s="0" t="n">
        <f aca="false">T663-U663</f>
        <v>20</v>
      </c>
      <c r="W663" s="0" t="n">
        <f aca="false">T663+U663</f>
        <v>34</v>
      </c>
    </row>
    <row r="664" customFormat="false" ht="15" hidden="false" customHeight="false" outlineLevel="0" collapsed="false">
      <c r="A664" s="0" t="n">
        <v>661</v>
      </c>
      <c r="B664" s="0" t="n">
        <f aca="true">NORMINV(RAND(),1,Coefficients!$B$22)</f>
        <v>0.96511253971177</v>
      </c>
      <c r="C664" s="0" t="n">
        <f aca="true">MEDIAN(8,16,ROUND(NORMINV(RAND(),Coefficients!$B$20,Coefficients!$B$21),0))</f>
        <v>12</v>
      </c>
      <c r="D664" s="0" t="n">
        <f aca="true">CRITBINOM($C664,MIN(0.75,Matchup!$B$39*$B664),RAND())</f>
        <v>4</v>
      </c>
      <c r="E664" s="0" t="n">
        <f aca="true">CRITBINOM(D664,Coefficients!$B$30,RAND())</f>
        <v>0</v>
      </c>
      <c r="F664" s="0" t="n">
        <f aca="true">CRITBINOM(E664,Coefficients!$B$31,RAND())</f>
        <v>0</v>
      </c>
      <c r="G664" s="0" t="n">
        <f aca="true">CRITBINOM(MAX(0,D664-E664),1-Coefficients!$B$32,RAND())</f>
        <v>0</v>
      </c>
      <c r="H664" s="0" t="n">
        <f aca="true">CRITBINOM(MAX(0,$C664-D664),MIN(0.6,Matchup!$B$40*SQRT($B664)/(1-MIN(0.75,Matchup!$B$39*$B664))),RAND())</f>
        <v>3</v>
      </c>
      <c r="I664" s="0" t="n">
        <f aca="false">6*D664+(D664-E664-G664)+2*F664+3*H664</f>
        <v>37</v>
      </c>
      <c r="J664" s="0" t="n">
        <f aca="true">CRITBINOM($C664,MIN(0.75,Matchup!$C$39*$B664),RAND())</f>
        <v>4</v>
      </c>
      <c r="K664" s="0" t="n">
        <f aca="true">CRITBINOM(J664,Coefficients!$B$30,RAND())</f>
        <v>0</v>
      </c>
      <c r="L664" s="0" t="n">
        <f aca="true">CRITBINOM(K664,Coefficients!$B$31,RAND())</f>
        <v>0</v>
      </c>
      <c r="M664" s="0" t="n">
        <f aca="true">CRITBINOM(MAX(0,J664-K664),1-Coefficients!$B$32,RAND())</f>
        <v>0</v>
      </c>
      <c r="N664" s="0" t="n">
        <f aca="true">CRITBINOM(MAX(0,$C664-J664),MIN(0.6,Matchup!$C$40*SQRT($B664)/(1-MIN(0.75,Matchup!$C$39*$B664))),RAND())</f>
        <v>1</v>
      </c>
      <c r="O664" s="0" t="n">
        <f aca="false">6*J664+(J664-K664-M664)+2*L664+3*N664</f>
        <v>31</v>
      </c>
      <c r="P664" s="0" t="n">
        <f aca="true">RAND()</f>
        <v>0.320792670679272</v>
      </c>
      <c r="Q664" s="0" t="n">
        <f aca="true">RAND()</f>
        <v>0.294726821500817</v>
      </c>
      <c r="R664" s="0" t="n">
        <f aca="false">IF($I664&lt;&gt;$O664,0,IF(P664&lt;Matchup!$B$39,7,IF(P664&lt;Matchup!$B$39+Matchup!$B$40,3,0)))</f>
        <v>0</v>
      </c>
      <c r="S664" s="0" t="n">
        <f aca="false">IF($I664&lt;&gt;$O664,0,IF(Q664&lt;Matchup!$C$39,7,IF(Q664&lt;Matchup!$C$39+Matchup!$C$40,3,0)))</f>
        <v>0</v>
      </c>
      <c r="T664" s="0" t="n">
        <f aca="false">I664+R664</f>
        <v>37</v>
      </c>
      <c r="U664" s="0" t="n">
        <f aca="false">O664+S664</f>
        <v>31</v>
      </c>
      <c r="V664" s="0" t="n">
        <f aca="false">T664-U664</f>
        <v>6</v>
      </c>
      <c r="W664" s="0" t="n">
        <f aca="false">T664+U664</f>
        <v>68</v>
      </c>
    </row>
    <row r="665" customFormat="false" ht="15" hidden="false" customHeight="false" outlineLevel="0" collapsed="false">
      <c r="A665" s="0" t="n">
        <v>662</v>
      </c>
      <c r="B665" s="0" t="n">
        <f aca="true">NORMINV(RAND(),1,Coefficients!$B$22)</f>
        <v>0.973647052069264</v>
      </c>
      <c r="C665" s="0" t="n">
        <f aca="true">MEDIAN(8,16,ROUND(NORMINV(RAND(),Coefficients!$B$20,Coefficients!$B$21),0))</f>
        <v>12</v>
      </c>
      <c r="D665" s="0" t="n">
        <f aca="true">CRITBINOM($C665,MIN(0.75,Matchup!$B$39*$B665),RAND())</f>
        <v>4</v>
      </c>
      <c r="E665" s="0" t="n">
        <f aca="true">CRITBINOM(D665,Coefficients!$B$30,RAND())</f>
        <v>0</v>
      </c>
      <c r="F665" s="0" t="n">
        <f aca="true">CRITBINOM(E665,Coefficients!$B$31,RAND())</f>
        <v>0</v>
      </c>
      <c r="G665" s="0" t="n">
        <f aca="true">CRITBINOM(MAX(0,D665-E665),1-Coefficients!$B$32,RAND())</f>
        <v>0</v>
      </c>
      <c r="H665" s="0" t="n">
        <f aca="true">CRITBINOM(MAX(0,$C665-D665),MIN(0.6,Matchup!$B$40*SQRT($B665)/(1-MIN(0.75,Matchup!$B$39*$B665))),RAND())</f>
        <v>0</v>
      </c>
      <c r="I665" s="0" t="n">
        <f aca="false">6*D665+(D665-E665-G665)+2*F665+3*H665</f>
        <v>28</v>
      </c>
      <c r="J665" s="0" t="n">
        <f aca="true">CRITBINOM($C665,MIN(0.75,Matchup!$C$39*$B665),RAND())</f>
        <v>0</v>
      </c>
      <c r="K665" s="0" t="n">
        <f aca="true">CRITBINOM(J665,Coefficients!$B$30,RAND())</f>
        <v>0</v>
      </c>
      <c r="L665" s="0" t="n">
        <f aca="true">CRITBINOM(K665,Coefficients!$B$31,RAND())</f>
        <v>0</v>
      </c>
      <c r="M665" s="0" t="n">
        <f aca="true">CRITBINOM(MAX(0,J665-K665),1-Coefficients!$B$32,RAND())</f>
        <v>0</v>
      </c>
      <c r="N665" s="0" t="n">
        <f aca="true">CRITBINOM(MAX(0,$C665-J665),MIN(0.6,Matchup!$C$40*SQRT($B665)/(1-MIN(0.75,Matchup!$C$39*$B665))),RAND())</f>
        <v>2</v>
      </c>
      <c r="O665" s="0" t="n">
        <f aca="false">6*J665+(J665-K665-M665)+2*L665+3*N665</f>
        <v>6</v>
      </c>
      <c r="P665" s="0" t="n">
        <f aca="true">RAND()</f>
        <v>0.0529675273891865</v>
      </c>
      <c r="Q665" s="0" t="n">
        <f aca="true">RAND()</f>
        <v>0.274344303683259</v>
      </c>
      <c r="R665" s="0" t="n">
        <f aca="false">IF($I665&lt;&gt;$O665,0,IF(P665&lt;Matchup!$B$39,7,IF(P665&lt;Matchup!$B$39+Matchup!$B$40,3,0)))</f>
        <v>0</v>
      </c>
      <c r="S665" s="0" t="n">
        <f aca="false">IF($I665&lt;&gt;$O665,0,IF(Q665&lt;Matchup!$C$39,7,IF(Q665&lt;Matchup!$C$39+Matchup!$C$40,3,0)))</f>
        <v>0</v>
      </c>
      <c r="T665" s="0" t="n">
        <f aca="false">I665+R665</f>
        <v>28</v>
      </c>
      <c r="U665" s="0" t="n">
        <f aca="false">O665+S665</f>
        <v>6</v>
      </c>
      <c r="V665" s="0" t="n">
        <f aca="false">T665-U665</f>
        <v>22</v>
      </c>
      <c r="W665" s="0" t="n">
        <f aca="false">T665+U665</f>
        <v>34</v>
      </c>
    </row>
    <row r="666" customFormat="false" ht="15" hidden="false" customHeight="false" outlineLevel="0" collapsed="false">
      <c r="A666" s="0" t="n">
        <v>663</v>
      </c>
      <c r="B666" s="0" t="n">
        <f aca="true">NORMINV(RAND(),1,Coefficients!$B$22)</f>
        <v>0.951788744659787</v>
      </c>
      <c r="C666" s="0" t="n">
        <f aca="true">MEDIAN(8,16,ROUND(NORMINV(RAND(),Coefficients!$B$20,Coefficients!$B$21),0))</f>
        <v>12</v>
      </c>
      <c r="D666" s="0" t="n">
        <f aca="true">CRITBINOM($C666,MIN(0.75,Matchup!$B$39*$B666),RAND())</f>
        <v>2</v>
      </c>
      <c r="E666" s="0" t="n">
        <f aca="true">CRITBINOM(D666,Coefficients!$B$30,RAND())</f>
        <v>1</v>
      </c>
      <c r="F666" s="0" t="n">
        <f aca="true">CRITBINOM(E666,Coefficients!$B$31,RAND())</f>
        <v>0</v>
      </c>
      <c r="G666" s="0" t="n">
        <f aca="true">CRITBINOM(MAX(0,D666-E666),1-Coefficients!$B$32,RAND())</f>
        <v>0</v>
      </c>
      <c r="H666" s="0" t="n">
        <f aca="true">CRITBINOM(MAX(0,$C666-D666),MIN(0.6,Matchup!$B$40*SQRT($B666)/(1-MIN(0.75,Matchup!$B$39*$B666))),RAND())</f>
        <v>3</v>
      </c>
      <c r="I666" s="0" t="n">
        <f aca="false">6*D666+(D666-E666-G666)+2*F666+3*H666</f>
        <v>22</v>
      </c>
      <c r="J666" s="0" t="n">
        <f aca="true">CRITBINOM($C666,MIN(0.75,Matchup!$C$39*$B666),RAND())</f>
        <v>2</v>
      </c>
      <c r="K666" s="0" t="n">
        <f aca="true">CRITBINOM(J666,Coefficients!$B$30,RAND())</f>
        <v>0</v>
      </c>
      <c r="L666" s="0" t="n">
        <f aca="true">CRITBINOM(K666,Coefficients!$B$31,RAND())</f>
        <v>0</v>
      </c>
      <c r="M666" s="0" t="n">
        <f aca="true">CRITBINOM(MAX(0,J666-K666),1-Coefficients!$B$32,RAND())</f>
        <v>0</v>
      </c>
      <c r="N666" s="0" t="n">
        <f aca="true">CRITBINOM(MAX(0,$C666-J666),MIN(0.6,Matchup!$C$40*SQRT($B666)/(1-MIN(0.75,Matchup!$C$39*$B666))),RAND())</f>
        <v>6</v>
      </c>
      <c r="O666" s="0" t="n">
        <f aca="false">6*J666+(J666-K666-M666)+2*L666+3*N666</f>
        <v>32</v>
      </c>
      <c r="P666" s="0" t="n">
        <f aca="true">RAND()</f>
        <v>0.407806459924594</v>
      </c>
      <c r="Q666" s="0" t="n">
        <f aca="true">RAND()</f>
        <v>0.00490868066235004</v>
      </c>
      <c r="R666" s="0" t="n">
        <f aca="false">IF($I666&lt;&gt;$O666,0,IF(P666&lt;Matchup!$B$39,7,IF(P666&lt;Matchup!$B$39+Matchup!$B$40,3,0)))</f>
        <v>0</v>
      </c>
      <c r="S666" s="0" t="n">
        <f aca="false">IF($I666&lt;&gt;$O666,0,IF(Q666&lt;Matchup!$C$39,7,IF(Q666&lt;Matchup!$C$39+Matchup!$C$40,3,0)))</f>
        <v>0</v>
      </c>
      <c r="T666" s="0" t="n">
        <f aca="false">I666+R666</f>
        <v>22</v>
      </c>
      <c r="U666" s="0" t="n">
        <f aca="false">O666+S666</f>
        <v>32</v>
      </c>
      <c r="V666" s="0" t="n">
        <f aca="false">T666-U666</f>
        <v>-10</v>
      </c>
      <c r="W666" s="0" t="n">
        <f aca="false">T666+U666</f>
        <v>54</v>
      </c>
    </row>
    <row r="667" customFormat="false" ht="15" hidden="false" customHeight="false" outlineLevel="0" collapsed="false">
      <c r="A667" s="0" t="n">
        <v>664</v>
      </c>
      <c r="B667" s="0" t="n">
        <f aca="true">NORMINV(RAND(),1,Coefficients!$B$22)</f>
        <v>0.942374845491205</v>
      </c>
      <c r="C667" s="0" t="n">
        <f aca="true">MEDIAN(8,16,ROUND(NORMINV(RAND(),Coefficients!$B$20,Coefficients!$B$21),0))</f>
        <v>11</v>
      </c>
      <c r="D667" s="0" t="n">
        <f aca="true">CRITBINOM($C667,MIN(0.75,Matchup!$B$39*$B667),RAND())</f>
        <v>3</v>
      </c>
      <c r="E667" s="0" t="n">
        <f aca="true">CRITBINOM(D667,Coefficients!$B$30,RAND())</f>
        <v>0</v>
      </c>
      <c r="F667" s="0" t="n">
        <f aca="true">CRITBINOM(E667,Coefficients!$B$31,RAND())</f>
        <v>0</v>
      </c>
      <c r="G667" s="0" t="n">
        <f aca="true">CRITBINOM(MAX(0,D667-E667),1-Coefficients!$B$32,RAND())</f>
        <v>0</v>
      </c>
      <c r="H667" s="0" t="n">
        <f aca="true">CRITBINOM(MAX(0,$C667-D667),MIN(0.6,Matchup!$B$40*SQRT($B667)/(1-MIN(0.75,Matchup!$B$39*$B667))),RAND())</f>
        <v>1</v>
      </c>
      <c r="I667" s="0" t="n">
        <f aca="false">6*D667+(D667-E667-G667)+2*F667+3*H667</f>
        <v>24</v>
      </c>
      <c r="J667" s="0" t="n">
        <f aca="true">CRITBINOM($C667,MIN(0.75,Matchup!$C$39*$B667),RAND())</f>
        <v>4</v>
      </c>
      <c r="K667" s="0" t="n">
        <f aca="true">CRITBINOM(J667,Coefficients!$B$30,RAND())</f>
        <v>1</v>
      </c>
      <c r="L667" s="0" t="n">
        <f aca="true">CRITBINOM(K667,Coefficients!$B$31,RAND())</f>
        <v>0</v>
      </c>
      <c r="M667" s="0" t="n">
        <f aca="true">CRITBINOM(MAX(0,J667-K667),1-Coefficients!$B$32,RAND())</f>
        <v>0</v>
      </c>
      <c r="N667" s="0" t="n">
        <f aca="true">CRITBINOM(MAX(0,$C667-J667),MIN(0.6,Matchup!$C$40*SQRT($B667)/(1-MIN(0.75,Matchup!$C$39*$B667))),RAND())</f>
        <v>1</v>
      </c>
      <c r="O667" s="0" t="n">
        <f aca="false">6*J667+(J667-K667-M667)+2*L667+3*N667</f>
        <v>30</v>
      </c>
      <c r="P667" s="0" t="n">
        <f aca="true">RAND()</f>
        <v>0.359753228867575</v>
      </c>
      <c r="Q667" s="0" t="n">
        <f aca="true">RAND()</f>
        <v>0.678013099118118</v>
      </c>
      <c r="R667" s="0" t="n">
        <f aca="false">IF($I667&lt;&gt;$O667,0,IF(P667&lt;Matchup!$B$39,7,IF(P667&lt;Matchup!$B$39+Matchup!$B$40,3,0)))</f>
        <v>0</v>
      </c>
      <c r="S667" s="0" t="n">
        <f aca="false">IF($I667&lt;&gt;$O667,0,IF(Q667&lt;Matchup!$C$39,7,IF(Q667&lt;Matchup!$C$39+Matchup!$C$40,3,0)))</f>
        <v>0</v>
      </c>
      <c r="T667" s="0" t="n">
        <f aca="false">I667+R667</f>
        <v>24</v>
      </c>
      <c r="U667" s="0" t="n">
        <f aca="false">O667+S667</f>
        <v>30</v>
      </c>
      <c r="V667" s="0" t="n">
        <f aca="false">T667-U667</f>
        <v>-6</v>
      </c>
      <c r="W667" s="0" t="n">
        <f aca="false">T667+U667</f>
        <v>54</v>
      </c>
    </row>
    <row r="668" customFormat="false" ht="15" hidden="false" customHeight="false" outlineLevel="0" collapsed="false">
      <c r="A668" s="0" t="n">
        <v>665</v>
      </c>
      <c r="B668" s="0" t="n">
        <f aca="true">NORMINV(RAND(),1,Coefficients!$B$22)</f>
        <v>1.03257073428087</v>
      </c>
      <c r="C668" s="0" t="n">
        <f aca="true">MEDIAN(8,16,ROUND(NORMINV(RAND(),Coefficients!$B$20,Coefficients!$B$21),0))</f>
        <v>12</v>
      </c>
      <c r="D668" s="0" t="n">
        <f aca="true">CRITBINOM($C668,MIN(0.75,Matchup!$B$39*$B668),RAND())</f>
        <v>1</v>
      </c>
      <c r="E668" s="0" t="n">
        <f aca="true">CRITBINOM(D668,Coefficients!$B$30,RAND())</f>
        <v>0</v>
      </c>
      <c r="F668" s="0" t="n">
        <f aca="true">CRITBINOM(E668,Coefficients!$B$31,RAND())</f>
        <v>0</v>
      </c>
      <c r="G668" s="0" t="n">
        <f aca="true">CRITBINOM(MAX(0,D668-E668),1-Coefficients!$B$32,RAND())</f>
        <v>0</v>
      </c>
      <c r="H668" s="0" t="n">
        <f aca="true">CRITBINOM(MAX(0,$C668-D668),MIN(0.6,Matchup!$B$40*SQRT($B668)/(1-MIN(0.75,Matchup!$B$39*$B668))),RAND())</f>
        <v>2</v>
      </c>
      <c r="I668" s="0" t="n">
        <f aca="false">6*D668+(D668-E668-G668)+2*F668+3*H668</f>
        <v>13</v>
      </c>
      <c r="J668" s="0" t="n">
        <f aca="true">CRITBINOM($C668,MIN(0.75,Matchup!$C$39*$B668),RAND())</f>
        <v>2</v>
      </c>
      <c r="K668" s="0" t="n">
        <f aca="true">CRITBINOM(J668,Coefficients!$B$30,RAND())</f>
        <v>0</v>
      </c>
      <c r="L668" s="0" t="n">
        <f aca="true">CRITBINOM(K668,Coefficients!$B$31,RAND())</f>
        <v>0</v>
      </c>
      <c r="M668" s="0" t="n">
        <f aca="true">CRITBINOM(MAX(0,J668-K668),1-Coefficients!$B$32,RAND())</f>
        <v>0</v>
      </c>
      <c r="N668" s="0" t="n">
        <f aca="true">CRITBINOM(MAX(0,$C668-J668),MIN(0.6,Matchup!$C$40*SQRT($B668)/(1-MIN(0.75,Matchup!$C$39*$B668))),RAND())</f>
        <v>3</v>
      </c>
      <c r="O668" s="0" t="n">
        <f aca="false">6*J668+(J668-K668-M668)+2*L668+3*N668</f>
        <v>23</v>
      </c>
      <c r="P668" s="0" t="n">
        <f aca="true">RAND()</f>
        <v>0.846638112851115</v>
      </c>
      <c r="Q668" s="0" t="n">
        <f aca="true">RAND()</f>
        <v>0.0730609229214662</v>
      </c>
      <c r="R668" s="0" t="n">
        <f aca="false">IF($I668&lt;&gt;$O668,0,IF(P668&lt;Matchup!$B$39,7,IF(P668&lt;Matchup!$B$39+Matchup!$B$40,3,0)))</f>
        <v>0</v>
      </c>
      <c r="S668" s="0" t="n">
        <f aca="false">IF($I668&lt;&gt;$O668,0,IF(Q668&lt;Matchup!$C$39,7,IF(Q668&lt;Matchup!$C$39+Matchup!$C$40,3,0)))</f>
        <v>0</v>
      </c>
      <c r="T668" s="0" t="n">
        <f aca="false">I668+R668</f>
        <v>13</v>
      </c>
      <c r="U668" s="0" t="n">
        <f aca="false">O668+S668</f>
        <v>23</v>
      </c>
      <c r="V668" s="0" t="n">
        <f aca="false">T668-U668</f>
        <v>-10</v>
      </c>
      <c r="W668" s="0" t="n">
        <f aca="false">T668+U668</f>
        <v>36</v>
      </c>
    </row>
    <row r="669" customFormat="false" ht="15" hidden="false" customHeight="false" outlineLevel="0" collapsed="false">
      <c r="A669" s="0" t="n">
        <v>666</v>
      </c>
      <c r="B669" s="0" t="n">
        <f aca="true">NORMINV(RAND(),1,Coefficients!$B$22)</f>
        <v>0.993816987457591</v>
      </c>
      <c r="C669" s="0" t="n">
        <f aca="true">MEDIAN(8,16,ROUND(NORMINV(RAND(),Coefficients!$B$20,Coefficients!$B$21),0))</f>
        <v>12</v>
      </c>
      <c r="D669" s="0" t="n">
        <f aca="true">CRITBINOM($C669,MIN(0.75,Matchup!$B$39*$B669),RAND())</f>
        <v>3</v>
      </c>
      <c r="E669" s="0" t="n">
        <f aca="true">CRITBINOM(D669,Coefficients!$B$30,RAND())</f>
        <v>0</v>
      </c>
      <c r="F669" s="0" t="n">
        <f aca="true">CRITBINOM(E669,Coefficients!$B$31,RAND())</f>
        <v>0</v>
      </c>
      <c r="G669" s="0" t="n">
        <f aca="true">CRITBINOM(MAX(0,D669-E669),1-Coefficients!$B$32,RAND())</f>
        <v>0</v>
      </c>
      <c r="H669" s="0" t="n">
        <f aca="true">CRITBINOM(MAX(0,$C669-D669),MIN(0.6,Matchup!$B$40*SQRT($B669)/(1-MIN(0.75,Matchup!$B$39*$B669))),RAND())</f>
        <v>0</v>
      </c>
      <c r="I669" s="0" t="n">
        <f aca="false">6*D669+(D669-E669-G669)+2*F669+3*H669</f>
        <v>21</v>
      </c>
      <c r="J669" s="0" t="n">
        <f aca="true">CRITBINOM($C669,MIN(0.75,Matchup!$C$39*$B669),RAND())</f>
        <v>1</v>
      </c>
      <c r="K669" s="0" t="n">
        <f aca="true">CRITBINOM(J669,Coefficients!$B$30,RAND())</f>
        <v>0</v>
      </c>
      <c r="L669" s="0" t="n">
        <f aca="true">CRITBINOM(K669,Coefficients!$B$31,RAND())</f>
        <v>0</v>
      </c>
      <c r="M669" s="0" t="n">
        <f aca="true">CRITBINOM(MAX(0,J669-K669),1-Coefficients!$B$32,RAND())</f>
        <v>0</v>
      </c>
      <c r="N669" s="0" t="n">
        <f aca="true">CRITBINOM(MAX(0,$C669-J669),MIN(0.6,Matchup!$C$40*SQRT($B669)/(1-MIN(0.75,Matchup!$C$39*$B669))),RAND())</f>
        <v>2</v>
      </c>
      <c r="O669" s="0" t="n">
        <f aca="false">6*J669+(J669-K669-M669)+2*L669+3*N669</f>
        <v>13</v>
      </c>
      <c r="P669" s="0" t="n">
        <f aca="true">RAND()</f>
        <v>0.74189544519466</v>
      </c>
      <c r="Q669" s="0" t="n">
        <f aca="true">RAND()</f>
        <v>0.670695642423792</v>
      </c>
      <c r="R669" s="0" t="n">
        <f aca="false">IF($I669&lt;&gt;$O669,0,IF(P669&lt;Matchup!$B$39,7,IF(P669&lt;Matchup!$B$39+Matchup!$B$40,3,0)))</f>
        <v>0</v>
      </c>
      <c r="S669" s="0" t="n">
        <f aca="false">IF($I669&lt;&gt;$O669,0,IF(Q669&lt;Matchup!$C$39,7,IF(Q669&lt;Matchup!$C$39+Matchup!$C$40,3,0)))</f>
        <v>0</v>
      </c>
      <c r="T669" s="0" t="n">
        <f aca="false">I669+R669</f>
        <v>21</v>
      </c>
      <c r="U669" s="0" t="n">
        <f aca="false">O669+S669</f>
        <v>13</v>
      </c>
      <c r="V669" s="0" t="n">
        <f aca="false">T669-U669</f>
        <v>8</v>
      </c>
      <c r="W669" s="0" t="n">
        <f aca="false">T669+U669</f>
        <v>34</v>
      </c>
    </row>
    <row r="670" customFormat="false" ht="15" hidden="false" customHeight="false" outlineLevel="0" collapsed="false">
      <c r="A670" s="0" t="n">
        <v>667</v>
      </c>
      <c r="B670" s="0" t="n">
        <f aca="true">NORMINV(RAND(),1,Coefficients!$B$22)</f>
        <v>0.947150752526121</v>
      </c>
      <c r="C670" s="0" t="n">
        <f aca="true">MEDIAN(8,16,ROUND(NORMINV(RAND(),Coefficients!$B$20,Coefficients!$B$21),0))</f>
        <v>10</v>
      </c>
      <c r="D670" s="0" t="n">
        <f aca="true">CRITBINOM($C670,MIN(0.75,Matchup!$B$39*$B670),RAND())</f>
        <v>5</v>
      </c>
      <c r="E670" s="0" t="n">
        <f aca="true">CRITBINOM(D670,Coefficients!$B$30,RAND())</f>
        <v>1</v>
      </c>
      <c r="F670" s="0" t="n">
        <f aca="true">CRITBINOM(E670,Coefficients!$B$31,RAND())</f>
        <v>0</v>
      </c>
      <c r="G670" s="0" t="n">
        <f aca="true">CRITBINOM(MAX(0,D670-E670),1-Coefficients!$B$32,RAND())</f>
        <v>0</v>
      </c>
      <c r="H670" s="0" t="n">
        <f aca="true">CRITBINOM(MAX(0,$C670-D670),MIN(0.6,Matchup!$B$40*SQRT($B670)/(1-MIN(0.75,Matchup!$B$39*$B670))),RAND())</f>
        <v>1</v>
      </c>
      <c r="I670" s="0" t="n">
        <f aca="false">6*D670+(D670-E670-G670)+2*F670+3*H670</f>
        <v>37</v>
      </c>
      <c r="J670" s="0" t="n">
        <f aca="true">CRITBINOM($C670,MIN(0.75,Matchup!$C$39*$B670),RAND())</f>
        <v>1</v>
      </c>
      <c r="K670" s="0" t="n">
        <f aca="true">CRITBINOM(J670,Coefficients!$B$30,RAND())</f>
        <v>0</v>
      </c>
      <c r="L670" s="0" t="n">
        <f aca="true">CRITBINOM(K670,Coefficients!$B$31,RAND())</f>
        <v>0</v>
      </c>
      <c r="M670" s="0" t="n">
        <f aca="true">CRITBINOM(MAX(0,J670-K670),1-Coefficients!$B$32,RAND())</f>
        <v>0</v>
      </c>
      <c r="N670" s="0" t="n">
        <f aca="true">CRITBINOM(MAX(0,$C670-J670),MIN(0.6,Matchup!$C$40*SQRT($B670)/(1-MIN(0.75,Matchup!$C$39*$B670))),RAND())</f>
        <v>1</v>
      </c>
      <c r="O670" s="0" t="n">
        <f aca="false">6*J670+(J670-K670-M670)+2*L670+3*N670</f>
        <v>10</v>
      </c>
      <c r="P670" s="0" t="n">
        <f aca="true">RAND()</f>
        <v>0.599084466769819</v>
      </c>
      <c r="Q670" s="0" t="n">
        <f aca="true">RAND()</f>
        <v>0.494661709254539</v>
      </c>
      <c r="R670" s="0" t="n">
        <f aca="false">IF($I670&lt;&gt;$O670,0,IF(P670&lt;Matchup!$B$39,7,IF(P670&lt;Matchup!$B$39+Matchup!$B$40,3,0)))</f>
        <v>0</v>
      </c>
      <c r="S670" s="0" t="n">
        <f aca="false">IF($I670&lt;&gt;$O670,0,IF(Q670&lt;Matchup!$C$39,7,IF(Q670&lt;Matchup!$C$39+Matchup!$C$40,3,0)))</f>
        <v>0</v>
      </c>
      <c r="T670" s="0" t="n">
        <f aca="false">I670+R670</f>
        <v>37</v>
      </c>
      <c r="U670" s="0" t="n">
        <f aca="false">O670+S670</f>
        <v>10</v>
      </c>
      <c r="V670" s="0" t="n">
        <f aca="false">T670-U670</f>
        <v>27</v>
      </c>
      <c r="W670" s="0" t="n">
        <f aca="false">T670+U670</f>
        <v>47</v>
      </c>
    </row>
    <row r="671" customFormat="false" ht="15" hidden="false" customHeight="false" outlineLevel="0" collapsed="false">
      <c r="A671" s="0" t="n">
        <v>668</v>
      </c>
      <c r="B671" s="0" t="n">
        <f aca="true">NORMINV(RAND(),1,Coefficients!$B$22)</f>
        <v>0.885314684884776</v>
      </c>
      <c r="C671" s="0" t="n">
        <f aca="true">MEDIAN(8,16,ROUND(NORMINV(RAND(),Coefficients!$B$20,Coefficients!$B$21),0))</f>
        <v>11</v>
      </c>
      <c r="D671" s="0" t="n">
        <f aca="true">CRITBINOM($C671,MIN(0.75,Matchup!$B$39*$B671),RAND())</f>
        <v>1</v>
      </c>
      <c r="E671" s="0" t="n">
        <f aca="true">CRITBINOM(D671,Coefficients!$B$30,RAND())</f>
        <v>0</v>
      </c>
      <c r="F671" s="0" t="n">
        <f aca="true">CRITBINOM(E671,Coefficients!$B$31,RAND())</f>
        <v>0</v>
      </c>
      <c r="G671" s="0" t="n">
        <f aca="true">CRITBINOM(MAX(0,D671-E671),1-Coefficients!$B$32,RAND())</f>
        <v>0</v>
      </c>
      <c r="H671" s="0" t="n">
        <f aca="true">CRITBINOM(MAX(0,$C671-D671),MIN(0.6,Matchup!$B$40*SQRT($B671)/(1-MIN(0.75,Matchup!$B$39*$B671))),RAND())</f>
        <v>3</v>
      </c>
      <c r="I671" s="0" t="n">
        <f aca="false">6*D671+(D671-E671-G671)+2*F671+3*H671</f>
        <v>16</v>
      </c>
      <c r="J671" s="0" t="n">
        <f aca="true">CRITBINOM($C671,MIN(0.75,Matchup!$C$39*$B671),RAND())</f>
        <v>2</v>
      </c>
      <c r="K671" s="0" t="n">
        <f aca="true">CRITBINOM(J671,Coefficients!$B$30,RAND())</f>
        <v>0</v>
      </c>
      <c r="L671" s="0" t="n">
        <f aca="true">CRITBINOM(K671,Coefficients!$B$31,RAND())</f>
        <v>0</v>
      </c>
      <c r="M671" s="0" t="n">
        <f aca="true">CRITBINOM(MAX(0,J671-K671),1-Coefficients!$B$32,RAND())</f>
        <v>0</v>
      </c>
      <c r="N671" s="0" t="n">
        <f aca="true">CRITBINOM(MAX(0,$C671-J671),MIN(0.6,Matchup!$C$40*SQRT($B671)/(1-MIN(0.75,Matchup!$C$39*$B671))),RAND())</f>
        <v>3</v>
      </c>
      <c r="O671" s="0" t="n">
        <f aca="false">6*J671+(J671-K671-M671)+2*L671+3*N671</f>
        <v>23</v>
      </c>
      <c r="P671" s="0" t="n">
        <f aca="true">RAND()</f>
        <v>0.321193900131992</v>
      </c>
      <c r="Q671" s="0" t="n">
        <f aca="true">RAND()</f>
        <v>0.937903289868857</v>
      </c>
      <c r="R671" s="0" t="n">
        <f aca="false">IF($I671&lt;&gt;$O671,0,IF(P671&lt;Matchup!$B$39,7,IF(P671&lt;Matchup!$B$39+Matchup!$B$40,3,0)))</f>
        <v>0</v>
      </c>
      <c r="S671" s="0" t="n">
        <f aca="false">IF($I671&lt;&gt;$O671,0,IF(Q671&lt;Matchup!$C$39,7,IF(Q671&lt;Matchup!$C$39+Matchup!$C$40,3,0)))</f>
        <v>0</v>
      </c>
      <c r="T671" s="0" t="n">
        <f aca="false">I671+R671</f>
        <v>16</v>
      </c>
      <c r="U671" s="0" t="n">
        <f aca="false">O671+S671</f>
        <v>23</v>
      </c>
      <c r="V671" s="0" t="n">
        <f aca="false">T671-U671</f>
        <v>-7</v>
      </c>
      <c r="W671" s="0" t="n">
        <f aca="false">T671+U671</f>
        <v>39</v>
      </c>
    </row>
    <row r="672" customFormat="false" ht="15" hidden="false" customHeight="false" outlineLevel="0" collapsed="false">
      <c r="A672" s="0" t="n">
        <v>669</v>
      </c>
      <c r="B672" s="0" t="n">
        <f aca="true">NORMINV(RAND(),1,Coefficients!$B$22)</f>
        <v>0.944863197453228</v>
      </c>
      <c r="C672" s="0" t="n">
        <f aca="true">MEDIAN(8,16,ROUND(NORMINV(RAND(),Coefficients!$B$20,Coefficients!$B$21),0))</f>
        <v>10</v>
      </c>
      <c r="D672" s="0" t="n">
        <f aca="true">CRITBINOM($C672,MIN(0.75,Matchup!$B$39*$B672),RAND())</f>
        <v>0</v>
      </c>
      <c r="E672" s="0" t="n">
        <f aca="true">CRITBINOM(D672,Coefficients!$B$30,RAND())</f>
        <v>0</v>
      </c>
      <c r="F672" s="0" t="n">
        <f aca="true">CRITBINOM(E672,Coefficients!$B$31,RAND())</f>
        <v>0</v>
      </c>
      <c r="G672" s="0" t="n">
        <f aca="true">CRITBINOM(MAX(0,D672-E672),1-Coefficients!$B$32,RAND())</f>
        <v>0</v>
      </c>
      <c r="H672" s="0" t="n">
        <f aca="true">CRITBINOM(MAX(0,$C672-D672),MIN(0.6,Matchup!$B$40*SQRT($B672)/(1-MIN(0.75,Matchup!$B$39*$B672))),RAND())</f>
        <v>3</v>
      </c>
      <c r="I672" s="0" t="n">
        <f aca="false">6*D672+(D672-E672-G672)+2*F672+3*H672</f>
        <v>9</v>
      </c>
      <c r="J672" s="0" t="n">
        <f aca="true">CRITBINOM($C672,MIN(0.75,Matchup!$C$39*$B672),RAND())</f>
        <v>1</v>
      </c>
      <c r="K672" s="0" t="n">
        <f aca="true">CRITBINOM(J672,Coefficients!$B$30,RAND())</f>
        <v>0</v>
      </c>
      <c r="L672" s="0" t="n">
        <f aca="true">CRITBINOM(K672,Coefficients!$B$31,RAND())</f>
        <v>0</v>
      </c>
      <c r="M672" s="0" t="n">
        <f aca="true">CRITBINOM(MAX(0,J672-K672),1-Coefficients!$B$32,RAND())</f>
        <v>0</v>
      </c>
      <c r="N672" s="0" t="n">
        <f aca="true">CRITBINOM(MAX(0,$C672-J672),MIN(0.6,Matchup!$C$40*SQRT($B672)/(1-MIN(0.75,Matchup!$C$39*$B672))),RAND())</f>
        <v>2</v>
      </c>
      <c r="O672" s="0" t="n">
        <f aca="false">6*J672+(J672-K672-M672)+2*L672+3*N672</f>
        <v>13</v>
      </c>
      <c r="P672" s="0" t="n">
        <f aca="true">RAND()</f>
        <v>0.0130910975348254</v>
      </c>
      <c r="Q672" s="0" t="n">
        <f aca="true">RAND()</f>
        <v>0.328831653760526</v>
      </c>
      <c r="R672" s="0" t="n">
        <f aca="false">IF($I672&lt;&gt;$O672,0,IF(P672&lt;Matchup!$B$39,7,IF(P672&lt;Matchup!$B$39+Matchup!$B$40,3,0)))</f>
        <v>0</v>
      </c>
      <c r="S672" s="0" t="n">
        <f aca="false">IF($I672&lt;&gt;$O672,0,IF(Q672&lt;Matchup!$C$39,7,IF(Q672&lt;Matchup!$C$39+Matchup!$C$40,3,0)))</f>
        <v>0</v>
      </c>
      <c r="T672" s="0" t="n">
        <f aca="false">I672+R672</f>
        <v>9</v>
      </c>
      <c r="U672" s="0" t="n">
        <f aca="false">O672+S672</f>
        <v>13</v>
      </c>
      <c r="V672" s="0" t="n">
        <f aca="false">T672-U672</f>
        <v>-4</v>
      </c>
      <c r="W672" s="0" t="n">
        <f aca="false">T672+U672</f>
        <v>22</v>
      </c>
    </row>
    <row r="673" customFormat="false" ht="15" hidden="false" customHeight="false" outlineLevel="0" collapsed="false">
      <c r="A673" s="0" t="n">
        <v>670</v>
      </c>
      <c r="B673" s="0" t="n">
        <f aca="true">NORMINV(RAND(),1,Coefficients!$B$22)</f>
        <v>0.932165817038878</v>
      </c>
      <c r="C673" s="0" t="n">
        <f aca="true">MEDIAN(8,16,ROUND(NORMINV(RAND(),Coefficients!$B$20,Coefficients!$B$21),0))</f>
        <v>11</v>
      </c>
      <c r="D673" s="0" t="n">
        <f aca="true">CRITBINOM($C673,MIN(0.75,Matchup!$B$39*$B673),RAND())</f>
        <v>3</v>
      </c>
      <c r="E673" s="0" t="n">
        <f aca="true">CRITBINOM(D673,Coefficients!$B$30,RAND())</f>
        <v>0</v>
      </c>
      <c r="F673" s="0" t="n">
        <f aca="true">CRITBINOM(E673,Coefficients!$B$31,RAND())</f>
        <v>0</v>
      </c>
      <c r="G673" s="0" t="n">
        <f aca="true">CRITBINOM(MAX(0,D673-E673),1-Coefficients!$B$32,RAND())</f>
        <v>0</v>
      </c>
      <c r="H673" s="0" t="n">
        <f aca="true">CRITBINOM(MAX(0,$C673-D673),MIN(0.6,Matchup!$B$40*SQRT($B673)/(1-MIN(0.75,Matchup!$B$39*$B673))),RAND())</f>
        <v>1</v>
      </c>
      <c r="I673" s="0" t="n">
        <f aca="false">6*D673+(D673-E673-G673)+2*F673+3*H673</f>
        <v>24</v>
      </c>
      <c r="J673" s="0" t="n">
        <f aca="true">CRITBINOM($C673,MIN(0.75,Matchup!$C$39*$B673),RAND())</f>
        <v>3</v>
      </c>
      <c r="K673" s="0" t="n">
        <f aca="true">CRITBINOM(J673,Coefficients!$B$30,RAND())</f>
        <v>0</v>
      </c>
      <c r="L673" s="0" t="n">
        <f aca="true">CRITBINOM(K673,Coefficients!$B$31,RAND())</f>
        <v>0</v>
      </c>
      <c r="M673" s="0" t="n">
        <f aca="true">CRITBINOM(MAX(0,J673-K673),1-Coefficients!$B$32,RAND())</f>
        <v>1</v>
      </c>
      <c r="N673" s="0" t="n">
        <f aca="true">CRITBINOM(MAX(0,$C673-J673),MIN(0.6,Matchup!$C$40*SQRT($B673)/(1-MIN(0.75,Matchup!$C$39*$B673))),RAND())</f>
        <v>1</v>
      </c>
      <c r="O673" s="0" t="n">
        <f aca="false">6*J673+(J673-K673-M673)+2*L673+3*N673</f>
        <v>23</v>
      </c>
      <c r="P673" s="0" t="n">
        <f aca="true">RAND()</f>
        <v>0.79584672192536</v>
      </c>
      <c r="Q673" s="0" t="n">
        <f aca="true">RAND()</f>
        <v>0.683529180602469</v>
      </c>
      <c r="R673" s="0" t="n">
        <f aca="false">IF($I673&lt;&gt;$O673,0,IF(P673&lt;Matchup!$B$39,7,IF(P673&lt;Matchup!$B$39+Matchup!$B$40,3,0)))</f>
        <v>0</v>
      </c>
      <c r="S673" s="0" t="n">
        <f aca="false">IF($I673&lt;&gt;$O673,0,IF(Q673&lt;Matchup!$C$39,7,IF(Q673&lt;Matchup!$C$39+Matchup!$C$40,3,0)))</f>
        <v>0</v>
      </c>
      <c r="T673" s="0" t="n">
        <f aca="false">I673+R673</f>
        <v>24</v>
      </c>
      <c r="U673" s="0" t="n">
        <f aca="false">O673+S673</f>
        <v>23</v>
      </c>
      <c r="V673" s="0" t="n">
        <f aca="false">T673-U673</f>
        <v>1</v>
      </c>
      <c r="W673" s="0" t="n">
        <f aca="false">T673+U673</f>
        <v>47</v>
      </c>
    </row>
    <row r="674" customFormat="false" ht="15" hidden="false" customHeight="false" outlineLevel="0" collapsed="false">
      <c r="A674" s="0" t="n">
        <v>671</v>
      </c>
      <c r="B674" s="0" t="n">
        <f aca="true">NORMINV(RAND(),1,Coefficients!$B$22)</f>
        <v>1.08620599495431</v>
      </c>
      <c r="C674" s="0" t="n">
        <f aca="true">MEDIAN(8,16,ROUND(NORMINV(RAND(),Coefficients!$B$20,Coefficients!$B$21),0))</f>
        <v>12</v>
      </c>
      <c r="D674" s="0" t="n">
        <f aca="true">CRITBINOM($C674,MIN(0.75,Matchup!$B$39*$B674),RAND())</f>
        <v>3</v>
      </c>
      <c r="E674" s="0" t="n">
        <f aca="true">CRITBINOM(D674,Coefficients!$B$30,RAND())</f>
        <v>0</v>
      </c>
      <c r="F674" s="0" t="n">
        <f aca="true">CRITBINOM(E674,Coefficients!$B$31,RAND())</f>
        <v>0</v>
      </c>
      <c r="G674" s="0" t="n">
        <f aca="true">CRITBINOM(MAX(0,D674-E674),1-Coefficients!$B$32,RAND())</f>
        <v>0</v>
      </c>
      <c r="H674" s="0" t="n">
        <f aca="true">CRITBINOM(MAX(0,$C674-D674),MIN(0.6,Matchup!$B$40*SQRT($B674)/(1-MIN(0.75,Matchup!$B$39*$B674))),RAND())</f>
        <v>2</v>
      </c>
      <c r="I674" s="0" t="n">
        <f aca="false">6*D674+(D674-E674-G674)+2*F674+3*H674</f>
        <v>27</v>
      </c>
      <c r="J674" s="0" t="n">
        <f aca="true">CRITBINOM($C674,MIN(0.75,Matchup!$C$39*$B674),RAND())</f>
        <v>3</v>
      </c>
      <c r="K674" s="0" t="n">
        <f aca="true">CRITBINOM(J674,Coefficients!$B$30,RAND())</f>
        <v>0</v>
      </c>
      <c r="L674" s="0" t="n">
        <f aca="true">CRITBINOM(K674,Coefficients!$B$31,RAND())</f>
        <v>0</v>
      </c>
      <c r="M674" s="0" t="n">
        <f aca="true">CRITBINOM(MAX(0,J674-K674),1-Coefficients!$B$32,RAND())</f>
        <v>0</v>
      </c>
      <c r="N674" s="0" t="n">
        <f aca="true">CRITBINOM(MAX(0,$C674-J674),MIN(0.6,Matchup!$C$40*SQRT($B674)/(1-MIN(0.75,Matchup!$C$39*$B674))),RAND())</f>
        <v>3</v>
      </c>
      <c r="O674" s="0" t="n">
        <f aca="false">6*J674+(J674-K674-M674)+2*L674+3*N674</f>
        <v>30</v>
      </c>
      <c r="P674" s="0" t="n">
        <f aca="true">RAND()</f>
        <v>0.15572622416683</v>
      </c>
      <c r="Q674" s="0" t="n">
        <f aca="true">RAND()</f>
        <v>0.893662687278811</v>
      </c>
      <c r="R674" s="0" t="n">
        <f aca="false">IF($I674&lt;&gt;$O674,0,IF(P674&lt;Matchup!$B$39,7,IF(P674&lt;Matchup!$B$39+Matchup!$B$40,3,0)))</f>
        <v>0</v>
      </c>
      <c r="S674" s="0" t="n">
        <f aca="false">IF($I674&lt;&gt;$O674,0,IF(Q674&lt;Matchup!$C$39,7,IF(Q674&lt;Matchup!$C$39+Matchup!$C$40,3,0)))</f>
        <v>0</v>
      </c>
      <c r="T674" s="0" t="n">
        <f aca="false">I674+R674</f>
        <v>27</v>
      </c>
      <c r="U674" s="0" t="n">
        <f aca="false">O674+S674</f>
        <v>30</v>
      </c>
      <c r="V674" s="0" t="n">
        <f aca="false">T674-U674</f>
        <v>-3</v>
      </c>
      <c r="W674" s="0" t="n">
        <f aca="false">T674+U674</f>
        <v>57</v>
      </c>
    </row>
    <row r="675" customFormat="false" ht="15" hidden="false" customHeight="false" outlineLevel="0" collapsed="false">
      <c r="A675" s="0" t="n">
        <v>672</v>
      </c>
      <c r="B675" s="0" t="n">
        <f aca="true">NORMINV(RAND(),1,Coefficients!$B$22)</f>
        <v>0.925532819861723</v>
      </c>
      <c r="C675" s="0" t="n">
        <f aca="true">MEDIAN(8,16,ROUND(NORMINV(RAND(),Coefficients!$B$20,Coefficients!$B$21),0))</f>
        <v>10</v>
      </c>
      <c r="D675" s="0" t="n">
        <f aca="true">CRITBINOM($C675,MIN(0.75,Matchup!$B$39*$B675),RAND())</f>
        <v>3</v>
      </c>
      <c r="E675" s="0" t="n">
        <f aca="true">CRITBINOM(D675,Coefficients!$B$30,RAND())</f>
        <v>1</v>
      </c>
      <c r="F675" s="0" t="n">
        <f aca="true">CRITBINOM(E675,Coefficients!$B$31,RAND())</f>
        <v>0</v>
      </c>
      <c r="G675" s="0" t="n">
        <f aca="true">CRITBINOM(MAX(0,D675-E675),1-Coefficients!$B$32,RAND())</f>
        <v>0</v>
      </c>
      <c r="H675" s="0" t="n">
        <f aca="true">CRITBINOM(MAX(0,$C675-D675),MIN(0.6,Matchup!$B$40*SQRT($B675)/(1-MIN(0.75,Matchup!$B$39*$B675))),RAND())</f>
        <v>2</v>
      </c>
      <c r="I675" s="0" t="n">
        <f aca="false">6*D675+(D675-E675-G675)+2*F675+3*H675</f>
        <v>26</v>
      </c>
      <c r="J675" s="0" t="n">
        <f aca="true">CRITBINOM($C675,MIN(0.75,Matchup!$C$39*$B675),RAND())</f>
        <v>1</v>
      </c>
      <c r="K675" s="0" t="n">
        <f aca="true">CRITBINOM(J675,Coefficients!$B$30,RAND())</f>
        <v>1</v>
      </c>
      <c r="L675" s="0" t="n">
        <f aca="true">CRITBINOM(K675,Coefficients!$B$31,RAND())</f>
        <v>1</v>
      </c>
      <c r="M675" s="0" t="n">
        <f aca="true">CRITBINOM(MAX(0,J675-K675),1-Coefficients!$B$32,RAND())</f>
        <v>0</v>
      </c>
      <c r="N675" s="0" t="n">
        <f aca="true">CRITBINOM(MAX(0,$C675-J675),MIN(0.6,Matchup!$C$40*SQRT($B675)/(1-MIN(0.75,Matchup!$C$39*$B675))),RAND())</f>
        <v>1</v>
      </c>
      <c r="O675" s="0" t="n">
        <f aca="false">6*J675+(J675-K675-M675)+2*L675+3*N675</f>
        <v>11</v>
      </c>
      <c r="P675" s="0" t="n">
        <f aca="true">RAND()</f>
        <v>0.846635489850708</v>
      </c>
      <c r="Q675" s="0" t="n">
        <f aca="true">RAND()</f>
        <v>0.098095364226851</v>
      </c>
      <c r="R675" s="0" t="n">
        <f aca="false">IF($I675&lt;&gt;$O675,0,IF(P675&lt;Matchup!$B$39,7,IF(P675&lt;Matchup!$B$39+Matchup!$B$40,3,0)))</f>
        <v>0</v>
      </c>
      <c r="S675" s="0" t="n">
        <f aca="false">IF($I675&lt;&gt;$O675,0,IF(Q675&lt;Matchup!$C$39,7,IF(Q675&lt;Matchup!$C$39+Matchup!$C$40,3,0)))</f>
        <v>0</v>
      </c>
      <c r="T675" s="0" t="n">
        <f aca="false">I675+R675</f>
        <v>26</v>
      </c>
      <c r="U675" s="0" t="n">
        <f aca="false">O675+S675</f>
        <v>11</v>
      </c>
      <c r="V675" s="0" t="n">
        <f aca="false">T675-U675</f>
        <v>15</v>
      </c>
      <c r="W675" s="0" t="n">
        <f aca="false">T675+U675</f>
        <v>37</v>
      </c>
    </row>
    <row r="676" customFormat="false" ht="15" hidden="false" customHeight="false" outlineLevel="0" collapsed="false">
      <c r="A676" s="0" t="n">
        <v>673</v>
      </c>
      <c r="B676" s="0" t="n">
        <f aca="true">NORMINV(RAND(),1,Coefficients!$B$22)</f>
        <v>1.04173211641862</v>
      </c>
      <c r="C676" s="0" t="n">
        <f aca="true">MEDIAN(8,16,ROUND(NORMINV(RAND(),Coefficients!$B$20,Coefficients!$B$21),0))</f>
        <v>12</v>
      </c>
      <c r="D676" s="0" t="n">
        <f aca="true">CRITBINOM($C676,MIN(0.75,Matchup!$B$39*$B676),RAND())</f>
        <v>6</v>
      </c>
      <c r="E676" s="0" t="n">
        <f aca="true">CRITBINOM(D676,Coefficients!$B$30,RAND())</f>
        <v>2</v>
      </c>
      <c r="F676" s="0" t="n">
        <f aca="true">CRITBINOM(E676,Coefficients!$B$31,RAND())</f>
        <v>0</v>
      </c>
      <c r="G676" s="0" t="n">
        <f aca="true">CRITBINOM(MAX(0,D676-E676),1-Coefficients!$B$32,RAND())</f>
        <v>0</v>
      </c>
      <c r="H676" s="0" t="n">
        <f aca="true">CRITBINOM(MAX(0,$C676-D676),MIN(0.6,Matchup!$B$40*SQRT($B676)/(1-MIN(0.75,Matchup!$B$39*$B676))),RAND())</f>
        <v>2</v>
      </c>
      <c r="I676" s="0" t="n">
        <f aca="false">6*D676+(D676-E676-G676)+2*F676+3*H676</f>
        <v>46</v>
      </c>
      <c r="J676" s="0" t="n">
        <f aca="true">CRITBINOM($C676,MIN(0.75,Matchup!$C$39*$B676),RAND())</f>
        <v>2</v>
      </c>
      <c r="K676" s="0" t="n">
        <f aca="true">CRITBINOM(J676,Coefficients!$B$30,RAND())</f>
        <v>0</v>
      </c>
      <c r="L676" s="0" t="n">
        <f aca="true">CRITBINOM(K676,Coefficients!$B$31,RAND())</f>
        <v>0</v>
      </c>
      <c r="M676" s="0" t="n">
        <f aca="true">CRITBINOM(MAX(0,J676-K676),1-Coefficients!$B$32,RAND())</f>
        <v>0</v>
      </c>
      <c r="N676" s="0" t="n">
        <f aca="true">CRITBINOM(MAX(0,$C676-J676),MIN(0.6,Matchup!$C$40*SQRT($B676)/(1-MIN(0.75,Matchup!$C$39*$B676))),RAND())</f>
        <v>0</v>
      </c>
      <c r="O676" s="0" t="n">
        <f aca="false">6*J676+(J676-K676-M676)+2*L676+3*N676</f>
        <v>14</v>
      </c>
      <c r="P676" s="0" t="n">
        <f aca="true">RAND()</f>
        <v>0.809946345655109</v>
      </c>
      <c r="Q676" s="0" t="n">
        <f aca="true">RAND()</f>
        <v>0.373557686493423</v>
      </c>
      <c r="R676" s="0" t="n">
        <f aca="false">IF($I676&lt;&gt;$O676,0,IF(P676&lt;Matchup!$B$39,7,IF(P676&lt;Matchup!$B$39+Matchup!$B$40,3,0)))</f>
        <v>0</v>
      </c>
      <c r="S676" s="0" t="n">
        <f aca="false">IF($I676&lt;&gt;$O676,0,IF(Q676&lt;Matchup!$C$39,7,IF(Q676&lt;Matchup!$C$39+Matchup!$C$40,3,0)))</f>
        <v>0</v>
      </c>
      <c r="T676" s="0" t="n">
        <f aca="false">I676+R676</f>
        <v>46</v>
      </c>
      <c r="U676" s="0" t="n">
        <f aca="false">O676+S676</f>
        <v>14</v>
      </c>
      <c r="V676" s="0" t="n">
        <f aca="false">T676-U676</f>
        <v>32</v>
      </c>
      <c r="W676" s="0" t="n">
        <f aca="false">T676+U676</f>
        <v>60</v>
      </c>
    </row>
    <row r="677" customFormat="false" ht="15" hidden="false" customHeight="false" outlineLevel="0" collapsed="false">
      <c r="A677" s="0" t="n">
        <v>674</v>
      </c>
      <c r="B677" s="0" t="n">
        <f aca="true">NORMINV(RAND(),1,Coefficients!$B$22)</f>
        <v>0.893933875002364</v>
      </c>
      <c r="C677" s="0" t="n">
        <f aca="true">MEDIAN(8,16,ROUND(NORMINV(RAND(),Coefficients!$B$20,Coefficients!$B$21),0))</f>
        <v>11</v>
      </c>
      <c r="D677" s="0" t="n">
        <f aca="true">CRITBINOM($C677,MIN(0.75,Matchup!$B$39*$B677),RAND())</f>
        <v>1</v>
      </c>
      <c r="E677" s="0" t="n">
        <f aca="true">CRITBINOM(D677,Coefficients!$B$30,RAND())</f>
        <v>0</v>
      </c>
      <c r="F677" s="0" t="n">
        <f aca="true">CRITBINOM(E677,Coefficients!$B$31,RAND())</f>
        <v>0</v>
      </c>
      <c r="G677" s="0" t="n">
        <f aca="true">CRITBINOM(MAX(0,D677-E677),1-Coefficients!$B$32,RAND())</f>
        <v>0</v>
      </c>
      <c r="H677" s="0" t="n">
        <f aca="true">CRITBINOM(MAX(0,$C677-D677),MIN(0.6,Matchup!$B$40*SQRT($B677)/(1-MIN(0.75,Matchup!$B$39*$B677))),RAND())</f>
        <v>1</v>
      </c>
      <c r="I677" s="0" t="n">
        <f aca="false">6*D677+(D677-E677-G677)+2*F677+3*H677</f>
        <v>10</v>
      </c>
      <c r="J677" s="0" t="n">
        <f aca="true">CRITBINOM($C677,MIN(0.75,Matchup!$C$39*$B677),RAND())</f>
        <v>1</v>
      </c>
      <c r="K677" s="0" t="n">
        <f aca="true">CRITBINOM(J677,Coefficients!$B$30,RAND())</f>
        <v>0</v>
      </c>
      <c r="L677" s="0" t="n">
        <f aca="true">CRITBINOM(K677,Coefficients!$B$31,RAND())</f>
        <v>0</v>
      </c>
      <c r="M677" s="0" t="n">
        <f aca="true">CRITBINOM(MAX(0,J677-K677),1-Coefficients!$B$32,RAND())</f>
        <v>0</v>
      </c>
      <c r="N677" s="0" t="n">
        <f aca="true">CRITBINOM(MAX(0,$C677-J677),MIN(0.6,Matchup!$C$40*SQRT($B677)/(1-MIN(0.75,Matchup!$C$39*$B677))),RAND())</f>
        <v>2</v>
      </c>
      <c r="O677" s="0" t="n">
        <f aca="false">6*J677+(J677-K677-M677)+2*L677+3*N677</f>
        <v>13</v>
      </c>
      <c r="P677" s="0" t="n">
        <f aca="true">RAND()</f>
        <v>0.492564965621694</v>
      </c>
      <c r="Q677" s="0" t="n">
        <f aca="true">RAND()</f>
        <v>0.0737745469732567</v>
      </c>
      <c r="R677" s="0" t="n">
        <f aca="false">IF($I677&lt;&gt;$O677,0,IF(P677&lt;Matchup!$B$39,7,IF(P677&lt;Matchup!$B$39+Matchup!$B$40,3,0)))</f>
        <v>0</v>
      </c>
      <c r="S677" s="0" t="n">
        <f aca="false">IF($I677&lt;&gt;$O677,0,IF(Q677&lt;Matchup!$C$39,7,IF(Q677&lt;Matchup!$C$39+Matchup!$C$40,3,0)))</f>
        <v>0</v>
      </c>
      <c r="T677" s="0" t="n">
        <f aca="false">I677+R677</f>
        <v>10</v>
      </c>
      <c r="U677" s="0" t="n">
        <f aca="false">O677+S677</f>
        <v>13</v>
      </c>
      <c r="V677" s="0" t="n">
        <f aca="false">T677-U677</f>
        <v>-3</v>
      </c>
      <c r="W677" s="0" t="n">
        <f aca="false">T677+U677</f>
        <v>23</v>
      </c>
    </row>
    <row r="678" customFormat="false" ht="15" hidden="false" customHeight="false" outlineLevel="0" collapsed="false">
      <c r="A678" s="0" t="n">
        <v>675</v>
      </c>
      <c r="B678" s="0" t="n">
        <f aca="true">NORMINV(RAND(),1,Coefficients!$B$22)</f>
        <v>0.924582928447133</v>
      </c>
      <c r="C678" s="0" t="n">
        <f aca="true">MEDIAN(8,16,ROUND(NORMINV(RAND(),Coefficients!$B$20,Coefficients!$B$21),0))</f>
        <v>13</v>
      </c>
      <c r="D678" s="0" t="n">
        <f aca="true">CRITBINOM($C678,MIN(0.75,Matchup!$B$39*$B678),RAND())</f>
        <v>3</v>
      </c>
      <c r="E678" s="0" t="n">
        <f aca="true">CRITBINOM(D678,Coefficients!$B$30,RAND())</f>
        <v>0</v>
      </c>
      <c r="F678" s="0" t="n">
        <f aca="true">CRITBINOM(E678,Coefficients!$B$31,RAND())</f>
        <v>0</v>
      </c>
      <c r="G678" s="0" t="n">
        <f aca="true">CRITBINOM(MAX(0,D678-E678),1-Coefficients!$B$32,RAND())</f>
        <v>0</v>
      </c>
      <c r="H678" s="0" t="n">
        <f aca="true">CRITBINOM(MAX(0,$C678-D678),MIN(0.6,Matchup!$B$40*SQRT($B678)/(1-MIN(0.75,Matchup!$B$39*$B678))),RAND())</f>
        <v>2</v>
      </c>
      <c r="I678" s="0" t="n">
        <f aca="false">6*D678+(D678-E678-G678)+2*F678+3*H678</f>
        <v>27</v>
      </c>
      <c r="J678" s="0" t="n">
        <f aca="true">CRITBINOM($C678,MIN(0.75,Matchup!$C$39*$B678),RAND())</f>
        <v>4</v>
      </c>
      <c r="K678" s="0" t="n">
        <f aca="true">CRITBINOM(J678,Coefficients!$B$30,RAND())</f>
        <v>0</v>
      </c>
      <c r="L678" s="0" t="n">
        <f aca="true">CRITBINOM(K678,Coefficients!$B$31,RAND())</f>
        <v>0</v>
      </c>
      <c r="M678" s="0" t="n">
        <f aca="true">CRITBINOM(MAX(0,J678-K678),1-Coefficients!$B$32,RAND())</f>
        <v>0</v>
      </c>
      <c r="N678" s="0" t="n">
        <f aca="true">CRITBINOM(MAX(0,$C678-J678),MIN(0.6,Matchup!$C$40*SQRT($B678)/(1-MIN(0.75,Matchup!$C$39*$B678))),RAND())</f>
        <v>1</v>
      </c>
      <c r="O678" s="0" t="n">
        <f aca="false">6*J678+(J678-K678-M678)+2*L678+3*N678</f>
        <v>31</v>
      </c>
      <c r="P678" s="0" t="n">
        <f aca="true">RAND()</f>
        <v>0.466832280043364</v>
      </c>
      <c r="Q678" s="0" t="n">
        <f aca="true">RAND()</f>
        <v>0.918853568213256</v>
      </c>
      <c r="R678" s="0" t="n">
        <f aca="false">IF($I678&lt;&gt;$O678,0,IF(P678&lt;Matchup!$B$39,7,IF(P678&lt;Matchup!$B$39+Matchup!$B$40,3,0)))</f>
        <v>0</v>
      </c>
      <c r="S678" s="0" t="n">
        <f aca="false">IF($I678&lt;&gt;$O678,0,IF(Q678&lt;Matchup!$C$39,7,IF(Q678&lt;Matchup!$C$39+Matchup!$C$40,3,0)))</f>
        <v>0</v>
      </c>
      <c r="T678" s="0" t="n">
        <f aca="false">I678+R678</f>
        <v>27</v>
      </c>
      <c r="U678" s="0" t="n">
        <f aca="false">O678+S678</f>
        <v>31</v>
      </c>
      <c r="V678" s="0" t="n">
        <f aca="false">T678-U678</f>
        <v>-4</v>
      </c>
      <c r="W678" s="0" t="n">
        <f aca="false">T678+U678</f>
        <v>58</v>
      </c>
    </row>
    <row r="679" customFormat="false" ht="15" hidden="false" customHeight="false" outlineLevel="0" collapsed="false">
      <c r="A679" s="0" t="n">
        <v>676</v>
      </c>
      <c r="B679" s="0" t="n">
        <f aca="true">NORMINV(RAND(),1,Coefficients!$B$22)</f>
        <v>1.02875667439116</v>
      </c>
      <c r="C679" s="0" t="n">
        <f aca="true">MEDIAN(8,16,ROUND(NORMINV(RAND(),Coefficients!$B$20,Coefficients!$B$21),0))</f>
        <v>12</v>
      </c>
      <c r="D679" s="0" t="n">
        <f aca="true">CRITBINOM($C679,MIN(0.75,Matchup!$B$39*$B679),RAND())</f>
        <v>1</v>
      </c>
      <c r="E679" s="0" t="n">
        <f aca="true">CRITBINOM(D679,Coefficients!$B$30,RAND())</f>
        <v>0</v>
      </c>
      <c r="F679" s="0" t="n">
        <f aca="true">CRITBINOM(E679,Coefficients!$B$31,RAND())</f>
        <v>0</v>
      </c>
      <c r="G679" s="0" t="n">
        <f aca="true">CRITBINOM(MAX(0,D679-E679),1-Coefficients!$B$32,RAND())</f>
        <v>0</v>
      </c>
      <c r="H679" s="0" t="n">
        <f aca="true">CRITBINOM(MAX(0,$C679-D679),MIN(0.6,Matchup!$B$40*SQRT($B679)/(1-MIN(0.75,Matchup!$B$39*$B679))),RAND())</f>
        <v>3</v>
      </c>
      <c r="I679" s="0" t="n">
        <f aca="false">6*D679+(D679-E679-G679)+2*F679+3*H679</f>
        <v>16</v>
      </c>
      <c r="J679" s="0" t="n">
        <f aca="true">CRITBINOM($C679,MIN(0.75,Matchup!$C$39*$B679),RAND())</f>
        <v>1</v>
      </c>
      <c r="K679" s="0" t="n">
        <f aca="true">CRITBINOM(J679,Coefficients!$B$30,RAND())</f>
        <v>1</v>
      </c>
      <c r="L679" s="0" t="n">
        <f aca="true">CRITBINOM(K679,Coefficients!$B$31,RAND())</f>
        <v>0</v>
      </c>
      <c r="M679" s="0" t="n">
        <f aca="true">CRITBINOM(MAX(0,J679-K679),1-Coefficients!$B$32,RAND())</f>
        <v>0</v>
      </c>
      <c r="N679" s="0" t="n">
        <f aca="true">CRITBINOM(MAX(0,$C679-J679),MIN(0.6,Matchup!$C$40*SQRT($B679)/(1-MIN(0.75,Matchup!$C$39*$B679))),RAND())</f>
        <v>1</v>
      </c>
      <c r="O679" s="0" t="n">
        <f aca="false">6*J679+(J679-K679-M679)+2*L679+3*N679</f>
        <v>9</v>
      </c>
      <c r="P679" s="0" t="n">
        <f aca="true">RAND()</f>
        <v>0.519734944391994</v>
      </c>
      <c r="Q679" s="0" t="n">
        <f aca="true">RAND()</f>
        <v>0.397460867789627</v>
      </c>
      <c r="R679" s="0" t="n">
        <f aca="false">IF($I679&lt;&gt;$O679,0,IF(P679&lt;Matchup!$B$39,7,IF(P679&lt;Matchup!$B$39+Matchup!$B$40,3,0)))</f>
        <v>0</v>
      </c>
      <c r="S679" s="0" t="n">
        <f aca="false">IF($I679&lt;&gt;$O679,0,IF(Q679&lt;Matchup!$C$39,7,IF(Q679&lt;Matchup!$C$39+Matchup!$C$40,3,0)))</f>
        <v>0</v>
      </c>
      <c r="T679" s="0" t="n">
        <f aca="false">I679+R679</f>
        <v>16</v>
      </c>
      <c r="U679" s="0" t="n">
        <f aca="false">O679+S679</f>
        <v>9</v>
      </c>
      <c r="V679" s="0" t="n">
        <f aca="false">T679-U679</f>
        <v>7</v>
      </c>
      <c r="W679" s="0" t="n">
        <f aca="false">T679+U679</f>
        <v>25</v>
      </c>
    </row>
    <row r="680" customFormat="false" ht="15" hidden="false" customHeight="false" outlineLevel="0" collapsed="false">
      <c r="A680" s="0" t="n">
        <v>677</v>
      </c>
      <c r="B680" s="0" t="n">
        <f aca="true">NORMINV(RAND(),1,Coefficients!$B$22)</f>
        <v>0.934901943430669</v>
      </c>
      <c r="C680" s="0" t="n">
        <f aca="true">MEDIAN(8,16,ROUND(NORMINV(RAND(),Coefficients!$B$20,Coefficients!$B$21),0))</f>
        <v>10</v>
      </c>
      <c r="D680" s="0" t="n">
        <f aca="true">CRITBINOM($C680,MIN(0.75,Matchup!$B$39*$B680),RAND())</f>
        <v>0</v>
      </c>
      <c r="E680" s="0" t="n">
        <f aca="true">CRITBINOM(D680,Coefficients!$B$30,RAND())</f>
        <v>0</v>
      </c>
      <c r="F680" s="0" t="n">
        <f aca="true">CRITBINOM(E680,Coefficients!$B$31,RAND())</f>
        <v>0</v>
      </c>
      <c r="G680" s="0" t="n">
        <f aca="true">CRITBINOM(MAX(0,D680-E680),1-Coefficients!$B$32,RAND())</f>
        <v>0</v>
      </c>
      <c r="H680" s="0" t="n">
        <f aca="true">CRITBINOM(MAX(0,$C680-D680),MIN(0.6,Matchup!$B$40*SQRT($B680)/(1-MIN(0.75,Matchup!$B$39*$B680))),RAND())</f>
        <v>3</v>
      </c>
      <c r="I680" s="0" t="n">
        <f aca="false">6*D680+(D680-E680-G680)+2*F680+3*H680</f>
        <v>9</v>
      </c>
      <c r="J680" s="0" t="n">
        <f aca="true">CRITBINOM($C680,MIN(0.75,Matchup!$C$39*$B680),RAND())</f>
        <v>3</v>
      </c>
      <c r="K680" s="0" t="n">
        <f aca="true">CRITBINOM(J680,Coefficients!$B$30,RAND())</f>
        <v>0</v>
      </c>
      <c r="L680" s="0" t="n">
        <f aca="true">CRITBINOM(K680,Coefficients!$B$31,RAND())</f>
        <v>0</v>
      </c>
      <c r="M680" s="0" t="n">
        <f aca="true">CRITBINOM(MAX(0,J680-K680),1-Coefficients!$B$32,RAND())</f>
        <v>0</v>
      </c>
      <c r="N680" s="0" t="n">
        <f aca="true">CRITBINOM(MAX(0,$C680-J680),MIN(0.6,Matchup!$C$40*SQRT($B680)/(1-MIN(0.75,Matchup!$C$39*$B680))),RAND())</f>
        <v>2</v>
      </c>
      <c r="O680" s="0" t="n">
        <f aca="false">6*J680+(J680-K680-M680)+2*L680+3*N680</f>
        <v>27</v>
      </c>
      <c r="P680" s="0" t="n">
        <f aca="true">RAND()</f>
        <v>0.42301759969346</v>
      </c>
      <c r="Q680" s="0" t="n">
        <f aca="true">RAND()</f>
        <v>0.641136216344844</v>
      </c>
      <c r="R680" s="0" t="n">
        <f aca="false">IF($I680&lt;&gt;$O680,0,IF(P680&lt;Matchup!$B$39,7,IF(P680&lt;Matchup!$B$39+Matchup!$B$40,3,0)))</f>
        <v>0</v>
      </c>
      <c r="S680" s="0" t="n">
        <f aca="false">IF($I680&lt;&gt;$O680,0,IF(Q680&lt;Matchup!$C$39,7,IF(Q680&lt;Matchup!$C$39+Matchup!$C$40,3,0)))</f>
        <v>0</v>
      </c>
      <c r="T680" s="0" t="n">
        <f aca="false">I680+R680</f>
        <v>9</v>
      </c>
      <c r="U680" s="0" t="n">
        <f aca="false">O680+S680</f>
        <v>27</v>
      </c>
      <c r="V680" s="0" t="n">
        <f aca="false">T680-U680</f>
        <v>-18</v>
      </c>
      <c r="W680" s="0" t="n">
        <f aca="false">T680+U680</f>
        <v>36</v>
      </c>
    </row>
    <row r="681" customFormat="false" ht="15" hidden="false" customHeight="false" outlineLevel="0" collapsed="false">
      <c r="A681" s="0" t="n">
        <v>678</v>
      </c>
      <c r="B681" s="0" t="n">
        <f aca="true">NORMINV(RAND(),1,Coefficients!$B$22)</f>
        <v>1.0550155681802</v>
      </c>
      <c r="C681" s="0" t="n">
        <f aca="true">MEDIAN(8,16,ROUND(NORMINV(RAND(),Coefficients!$B$20,Coefficients!$B$21),0))</f>
        <v>10</v>
      </c>
      <c r="D681" s="0" t="n">
        <f aca="true">CRITBINOM($C681,MIN(0.75,Matchup!$B$39*$B681),RAND())</f>
        <v>2</v>
      </c>
      <c r="E681" s="0" t="n">
        <f aca="true">CRITBINOM(D681,Coefficients!$B$30,RAND())</f>
        <v>1</v>
      </c>
      <c r="F681" s="0" t="n">
        <f aca="true">CRITBINOM(E681,Coefficients!$B$31,RAND())</f>
        <v>0</v>
      </c>
      <c r="G681" s="0" t="n">
        <f aca="true">CRITBINOM(MAX(0,D681-E681),1-Coefficients!$B$32,RAND())</f>
        <v>0</v>
      </c>
      <c r="H681" s="0" t="n">
        <f aca="true">CRITBINOM(MAX(0,$C681-D681),MIN(0.6,Matchup!$B$40*SQRT($B681)/(1-MIN(0.75,Matchup!$B$39*$B681))),RAND())</f>
        <v>1</v>
      </c>
      <c r="I681" s="0" t="n">
        <f aca="false">6*D681+(D681-E681-G681)+2*F681+3*H681</f>
        <v>16</v>
      </c>
      <c r="J681" s="0" t="n">
        <f aca="true">CRITBINOM($C681,MIN(0.75,Matchup!$C$39*$B681),RAND())</f>
        <v>3</v>
      </c>
      <c r="K681" s="0" t="n">
        <f aca="true">CRITBINOM(J681,Coefficients!$B$30,RAND())</f>
        <v>0</v>
      </c>
      <c r="L681" s="0" t="n">
        <f aca="true">CRITBINOM(K681,Coefficients!$B$31,RAND())</f>
        <v>0</v>
      </c>
      <c r="M681" s="0" t="n">
        <f aca="true">CRITBINOM(MAX(0,J681-K681),1-Coefficients!$B$32,RAND())</f>
        <v>0</v>
      </c>
      <c r="N681" s="0" t="n">
        <f aca="true">CRITBINOM(MAX(0,$C681-J681),MIN(0.6,Matchup!$C$40*SQRT($B681)/(1-MIN(0.75,Matchup!$C$39*$B681))),RAND())</f>
        <v>1</v>
      </c>
      <c r="O681" s="0" t="n">
        <f aca="false">6*J681+(J681-K681-M681)+2*L681+3*N681</f>
        <v>24</v>
      </c>
      <c r="P681" s="0" t="n">
        <f aca="true">RAND()</f>
        <v>0.399005837983556</v>
      </c>
      <c r="Q681" s="0" t="n">
        <f aca="true">RAND()</f>
        <v>0.366910734748973</v>
      </c>
      <c r="R681" s="0" t="n">
        <f aca="false">IF($I681&lt;&gt;$O681,0,IF(P681&lt;Matchup!$B$39,7,IF(P681&lt;Matchup!$B$39+Matchup!$B$40,3,0)))</f>
        <v>0</v>
      </c>
      <c r="S681" s="0" t="n">
        <f aca="false">IF($I681&lt;&gt;$O681,0,IF(Q681&lt;Matchup!$C$39,7,IF(Q681&lt;Matchup!$C$39+Matchup!$C$40,3,0)))</f>
        <v>0</v>
      </c>
      <c r="T681" s="0" t="n">
        <f aca="false">I681+R681</f>
        <v>16</v>
      </c>
      <c r="U681" s="0" t="n">
        <f aca="false">O681+S681</f>
        <v>24</v>
      </c>
      <c r="V681" s="0" t="n">
        <f aca="false">T681-U681</f>
        <v>-8</v>
      </c>
      <c r="W681" s="0" t="n">
        <f aca="false">T681+U681</f>
        <v>40</v>
      </c>
    </row>
    <row r="682" customFormat="false" ht="15" hidden="false" customHeight="false" outlineLevel="0" collapsed="false">
      <c r="A682" s="0" t="n">
        <v>679</v>
      </c>
      <c r="B682" s="0" t="n">
        <f aca="true">NORMINV(RAND(),1,Coefficients!$B$22)</f>
        <v>0.974038386644842</v>
      </c>
      <c r="C682" s="0" t="n">
        <f aca="true">MEDIAN(8,16,ROUND(NORMINV(RAND(),Coefficients!$B$20,Coefficients!$B$21),0))</f>
        <v>10</v>
      </c>
      <c r="D682" s="0" t="n">
        <f aca="true">CRITBINOM($C682,MIN(0.75,Matchup!$B$39*$B682),RAND())</f>
        <v>2</v>
      </c>
      <c r="E682" s="0" t="n">
        <f aca="true">CRITBINOM(D682,Coefficients!$B$30,RAND())</f>
        <v>0</v>
      </c>
      <c r="F682" s="0" t="n">
        <f aca="true">CRITBINOM(E682,Coefficients!$B$31,RAND())</f>
        <v>0</v>
      </c>
      <c r="G682" s="0" t="n">
        <f aca="true">CRITBINOM(MAX(0,D682-E682),1-Coefficients!$B$32,RAND())</f>
        <v>0</v>
      </c>
      <c r="H682" s="0" t="n">
        <f aca="true">CRITBINOM(MAX(0,$C682-D682),MIN(0.6,Matchup!$B$40*SQRT($B682)/(1-MIN(0.75,Matchup!$B$39*$B682))),RAND())</f>
        <v>2</v>
      </c>
      <c r="I682" s="0" t="n">
        <f aca="false">6*D682+(D682-E682-G682)+2*F682+3*H682</f>
        <v>20</v>
      </c>
      <c r="J682" s="0" t="n">
        <f aca="true">CRITBINOM($C682,MIN(0.75,Matchup!$C$39*$B682),RAND())</f>
        <v>2</v>
      </c>
      <c r="K682" s="0" t="n">
        <f aca="true">CRITBINOM(J682,Coefficients!$B$30,RAND())</f>
        <v>1</v>
      </c>
      <c r="L682" s="0" t="n">
        <f aca="true">CRITBINOM(K682,Coefficients!$B$31,RAND())</f>
        <v>1</v>
      </c>
      <c r="M682" s="0" t="n">
        <f aca="true">CRITBINOM(MAX(0,J682-K682),1-Coefficients!$B$32,RAND())</f>
        <v>0</v>
      </c>
      <c r="N682" s="0" t="n">
        <f aca="true">CRITBINOM(MAX(0,$C682-J682),MIN(0.6,Matchup!$C$40*SQRT($B682)/(1-MIN(0.75,Matchup!$C$39*$B682))),RAND())</f>
        <v>0</v>
      </c>
      <c r="O682" s="0" t="n">
        <f aca="false">6*J682+(J682-K682-M682)+2*L682+3*N682</f>
        <v>15</v>
      </c>
      <c r="P682" s="0" t="n">
        <f aca="true">RAND()</f>
        <v>0.763355203478269</v>
      </c>
      <c r="Q682" s="0" t="n">
        <f aca="true">RAND()</f>
        <v>0.285773676920036</v>
      </c>
      <c r="R682" s="0" t="n">
        <f aca="false">IF($I682&lt;&gt;$O682,0,IF(P682&lt;Matchup!$B$39,7,IF(P682&lt;Matchup!$B$39+Matchup!$B$40,3,0)))</f>
        <v>0</v>
      </c>
      <c r="S682" s="0" t="n">
        <f aca="false">IF($I682&lt;&gt;$O682,0,IF(Q682&lt;Matchup!$C$39,7,IF(Q682&lt;Matchup!$C$39+Matchup!$C$40,3,0)))</f>
        <v>0</v>
      </c>
      <c r="T682" s="0" t="n">
        <f aca="false">I682+R682</f>
        <v>20</v>
      </c>
      <c r="U682" s="0" t="n">
        <f aca="false">O682+S682</f>
        <v>15</v>
      </c>
      <c r="V682" s="0" t="n">
        <f aca="false">T682-U682</f>
        <v>5</v>
      </c>
      <c r="W682" s="0" t="n">
        <f aca="false">T682+U682</f>
        <v>35</v>
      </c>
    </row>
    <row r="683" customFormat="false" ht="15" hidden="false" customHeight="false" outlineLevel="0" collapsed="false">
      <c r="A683" s="0" t="n">
        <v>680</v>
      </c>
      <c r="B683" s="0" t="n">
        <f aca="true">NORMINV(RAND(),1,Coefficients!$B$22)</f>
        <v>0.979534120536569</v>
      </c>
      <c r="C683" s="0" t="n">
        <f aca="true">MEDIAN(8,16,ROUND(NORMINV(RAND(),Coefficients!$B$20,Coefficients!$B$21),0))</f>
        <v>12</v>
      </c>
      <c r="D683" s="0" t="n">
        <f aca="true">CRITBINOM($C683,MIN(0.75,Matchup!$B$39*$B683),RAND())</f>
        <v>2</v>
      </c>
      <c r="E683" s="0" t="n">
        <f aca="true">CRITBINOM(D683,Coefficients!$B$30,RAND())</f>
        <v>0</v>
      </c>
      <c r="F683" s="0" t="n">
        <f aca="true">CRITBINOM(E683,Coefficients!$B$31,RAND())</f>
        <v>0</v>
      </c>
      <c r="G683" s="0" t="n">
        <f aca="true">CRITBINOM(MAX(0,D683-E683),1-Coefficients!$B$32,RAND())</f>
        <v>0</v>
      </c>
      <c r="H683" s="0" t="n">
        <f aca="true">CRITBINOM(MAX(0,$C683-D683),MIN(0.6,Matchup!$B$40*SQRT($B683)/(1-MIN(0.75,Matchup!$B$39*$B683))),RAND())</f>
        <v>3</v>
      </c>
      <c r="I683" s="0" t="n">
        <f aca="false">6*D683+(D683-E683-G683)+2*F683+3*H683</f>
        <v>23</v>
      </c>
      <c r="J683" s="0" t="n">
        <f aca="true">CRITBINOM($C683,MIN(0.75,Matchup!$C$39*$B683),RAND())</f>
        <v>5</v>
      </c>
      <c r="K683" s="0" t="n">
        <f aca="true">CRITBINOM(J683,Coefficients!$B$30,RAND())</f>
        <v>0</v>
      </c>
      <c r="L683" s="0" t="n">
        <f aca="true">CRITBINOM(K683,Coefficients!$B$31,RAND())</f>
        <v>0</v>
      </c>
      <c r="M683" s="0" t="n">
        <f aca="true">CRITBINOM(MAX(0,J683-K683),1-Coefficients!$B$32,RAND())</f>
        <v>0</v>
      </c>
      <c r="N683" s="0" t="n">
        <f aca="true">CRITBINOM(MAX(0,$C683-J683),MIN(0.6,Matchup!$C$40*SQRT($B683)/(1-MIN(0.75,Matchup!$C$39*$B683))),RAND())</f>
        <v>0</v>
      </c>
      <c r="O683" s="0" t="n">
        <f aca="false">6*J683+(J683-K683-M683)+2*L683+3*N683</f>
        <v>35</v>
      </c>
      <c r="P683" s="0" t="n">
        <f aca="true">RAND()</f>
        <v>0.691295527396435</v>
      </c>
      <c r="Q683" s="0" t="n">
        <f aca="true">RAND()</f>
        <v>0.0613532464428884</v>
      </c>
      <c r="R683" s="0" t="n">
        <f aca="false">IF($I683&lt;&gt;$O683,0,IF(P683&lt;Matchup!$B$39,7,IF(P683&lt;Matchup!$B$39+Matchup!$B$40,3,0)))</f>
        <v>0</v>
      </c>
      <c r="S683" s="0" t="n">
        <f aca="false">IF($I683&lt;&gt;$O683,0,IF(Q683&lt;Matchup!$C$39,7,IF(Q683&lt;Matchup!$C$39+Matchup!$C$40,3,0)))</f>
        <v>0</v>
      </c>
      <c r="T683" s="0" t="n">
        <f aca="false">I683+R683</f>
        <v>23</v>
      </c>
      <c r="U683" s="0" t="n">
        <f aca="false">O683+S683</f>
        <v>35</v>
      </c>
      <c r="V683" s="0" t="n">
        <f aca="false">T683-U683</f>
        <v>-12</v>
      </c>
      <c r="W683" s="0" t="n">
        <f aca="false">T683+U683</f>
        <v>58</v>
      </c>
    </row>
    <row r="684" customFormat="false" ht="15" hidden="false" customHeight="false" outlineLevel="0" collapsed="false">
      <c r="A684" s="0" t="n">
        <v>681</v>
      </c>
      <c r="B684" s="0" t="n">
        <f aca="true">NORMINV(RAND(),1,Coefficients!$B$22)</f>
        <v>1.01191883757233</v>
      </c>
      <c r="C684" s="0" t="n">
        <f aca="true">MEDIAN(8,16,ROUND(NORMINV(RAND(),Coefficients!$B$20,Coefficients!$B$21),0))</f>
        <v>13</v>
      </c>
      <c r="D684" s="0" t="n">
        <f aca="true">CRITBINOM($C684,MIN(0.75,Matchup!$B$39*$B684),RAND())</f>
        <v>1</v>
      </c>
      <c r="E684" s="0" t="n">
        <f aca="true">CRITBINOM(D684,Coefficients!$B$30,RAND())</f>
        <v>0</v>
      </c>
      <c r="F684" s="0" t="n">
        <f aca="true">CRITBINOM(E684,Coefficients!$B$31,RAND())</f>
        <v>0</v>
      </c>
      <c r="G684" s="0" t="n">
        <f aca="true">CRITBINOM(MAX(0,D684-E684),1-Coefficients!$B$32,RAND())</f>
        <v>0</v>
      </c>
      <c r="H684" s="0" t="n">
        <f aca="true">CRITBINOM(MAX(0,$C684-D684),MIN(0.6,Matchup!$B$40*SQRT($B684)/(1-MIN(0.75,Matchup!$B$39*$B684))),RAND())</f>
        <v>1</v>
      </c>
      <c r="I684" s="0" t="n">
        <f aca="false">6*D684+(D684-E684-G684)+2*F684+3*H684</f>
        <v>10</v>
      </c>
      <c r="J684" s="0" t="n">
        <f aca="true">CRITBINOM($C684,MIN(0.75,Matchup!$C$39*$B684),RAND())</f>
        <v>2</v>
      </c>
      <c r="K684" s="0" t="n">
        <f aca="true">CRITBINOM(J684,Coefficients!$B$30,RAND())</f>
        <v>1</v>
      </c>
      <c r="L684" s="0" t="n">
        <f aca="true">CRITBINOM(K684,Coefficients!$B$31,RAND())</f>
        <v>1</v>
      </c>
      <c r="M684" s="0" t="n">
        <f aca="true">CRITBINOM(MAX(0,J684-K684),1-Coefficients!$B$32,RAND())</f>
        <v>0</v>
      </c>
      <c r="N684" s="0" t="n">
        <f aca="true">CRITBINOM(MAX(0,$C684-J684),MIN(0.6,Matchup!$C$40*SQRT($B684)/(1-MIN(0.75,Matchup!$C$39*$B684))),RAND())</f>
        <v>3</v>
      </c>
      <c r="O684" s="0" t="n">
        <f aca="false">6*J684+(J684-K684-M684)+2*L684+3*N684</f>
        <v>24</v>
      </c>
      <c r="P684" s="0" t="n">
        <f aca="true">RAND()</f>
        <v>0.272424156335074</v>
      </c>
      <c r="Q684" s="0" t="n">
        <f aca="true">RAND()</f>
        <v>0.616149805555222</v>
      </c>
      <c r="R684" s="0" t="n">
        <f aca="false">IF($I684&lt;&gt;$O684,0,IF(P684&lt;Matchup!$B$39,7,IF(P684&lt;Matchup!$B$39+Matchup!$B$40,3,0)))</f>
        <v>0</v>
      </c>
      <c r="S684" s="0" t="n">
        <f aca="false">IF($I684&lt;&gt;$O684,0,IF(Q684&lt;Matchup!$C$39,7,IF(Q684&lt;Matchup!$C$39+Matchup!$C$40,3,0)))</f>
        <v>0</v>
      </c>
      <c r="T684" s="0" t="n">
        <f aca="false">I684+R684</f>
        <v>10</v>
      </c>
      <c r="U684" s="0" t="n">
        <f aca="false">O684+S684</f>
        <v>24</v>
      </c>
      <c r="V684" s="0" t="n">
        <f aca="false">T684-U684</f>
        <v>-14</v>
      </c>
      <c r="W684" s="0" t="n">
        <f aca="false">T684+U684</f>
        <v>34</v>
      </c>
    </row>
    <row r="685" customFormat="false" ht="15" hidden="false" customHeight="false" outlineLevel="0" collapsed="false">
      <c r="A685" s="0" t="n">
        <v>682</v>
      </c>
      <c r="B685" s="0" t="n">
        <f aca="true">NORMINV(RAND(),1,Coefficients!$B$22)</f>
        <v>1.11676619825462</v>
      </c>
      <c r="C685" s="0" t="n">
        <f aca="true">MEDIAN(8,16,ROUND(NORMINV(RAND(),Coefficients!$B$20,Coefficients!$B$21),0))</f>
        <v>12</v>
      </c>
      <c r="D685" s="0" t="n">
        <f aca="true">CRITBINOM($C685,MIN(0.75,Matchup!$B$39*$B685),RAND())</f>
        <v>5</v>
      </c>
      <c r="E685" s="0" t="n">
        <f aca="true">CRITBINOM(D685,Coefficients!$B$30,RAND())</f>
        <v>0</v>
      </c>
      <c r="F685" s="0" t="n">
        <f aca="true">CRITBINOM(E685,Coefficients!$B$31,RAND())</f>
        <v>0</v>
      </c>
      <c r="G685" s="0" t="n">
        <f aca="true">CRITBINOM(MAX(0,D685-E685),1-Coefficients!$B$32,RAND())</f>
        <v>0</v>
      </c>
      <c r="H685" s="0" t="n">
        <f aca="true">CRITBINOM(MAX(0,$C685-D685),MIN(0.6,Matchup!$B$40*SQRT($B685)/(1-MIN(0.75,Matchup!$B$39*$B685))),RAND())</f>
        <v>1</v>
      </c>
      <c r="I685" s="0" t="n">
        <f aca="false">6*D685+(D685-E685-G685)+2*F685+3*H685</f>
        <v>38</v>
      </c>
      <c r="J685" s="0" t="n">
        <f aca="true">CRITBINOM($C685,MIN(0.75,Matchup!$C$39*$B685),RAND())</f>
        <v>3</v>
      </c>
      <c r="K685" s="0" t="n">
        <f aca="true">CRITBINOM(J685,Coefficients!$B$30,RAND())</f>
        <v>1</v>
      </c>
      <c r="L685" s="0" t="n">
        <f aca="true">CRITBINOM(K685,Coefficients!$B$31,RAND())</f>
        <v>1</v>
      </c>
      <c r="M685" s="0" t="n">
        <f aca="true">CRITBINOM(MAX(0,J685-K685),1-Coefficients!$B$32,RAND())</f>
        <v>0</v>
      </c>
      <c r="N685" s="0" t="n">
        <f aca="true">CRITBINOM(MAX(0,$C685-J685),MIN(0.6,Matchup!$C$40*SQRT($B685)/(1-MIN(0.75,Matchup!$C$39*$B685))),RAND())</f>
        <v>1</v>
      </c>
      <c r="O685" s="0" t="n">
        <f aca="false">6*J685+(J685-K685-M685)+2*L685+3*N685</f>
        <v>25</v>
      </c>
      <c r="P685" s="0" t="n">
        <f aca="true">RAND()</f>
        <v>0.442774350332432</v>
      </c>
      <c r="Q685" s="0" t="n">
        <f aca="true">RAND()</f>
        <v>0.591037286935752</v>
      </c>
      <c r="R685" s="0" t="n">
        <f aca="false">IF($I685&lt;&gt;$O685,0,IF(P685&lt;Matchup!$B$39,7,IF(P685&lt;Matchup!$B$39+Matchup!$B$40,3,0)))</f>
        <v>0</v>
      </c>
      <c r="S685" s="0" t="n">
        <f aca="false">IF($I685&lt;&gt;$O685,0,IF(Q685&lt;Matchup!$C$39,7,IF(Q685&lt;Matchup!$C$39+Matchup!$C$40,3,0)))</f>
        <v>0</v>
      </c>
      <c r="T685" s="0" t="n">
        <f aca="false">I685+R685</f>
        <v>38</v>
      </c>
      <c r="U685" s="0" t="n">
        <f aca="false">O685+S685</f>
        <v>25</v>
      </c>
      <c r="V685" s="0" t="n">
        <f aca="false">T685-U685</f>
        <v>13</v>
      </c>
      <c r="W685" s="0" t="n">
        <f aca="false">T685+U685</f>
        <v>63</v>
      </c>
    </row>
    <row r="686" customFormat="false" ht="15" hidden="false" customHeight="false" outlineLevel="0" collapsed="false">
      <c r="A686" s="0" t="n">
        <v>683</v>
      </c>
      <c r="B686" s="0" t="n">
        <f aca="true">NORMINV(RAND(),1,Coefficients!$B$22)</f>
        <v>1.03057550862471</v>
      </c>
      <c r="C686" s="0" t="n">
        <f aca="true">MEDIAN(8,16,ROUND(NORMINV(RAND(),Coefficients!$B$20,Coefficients!$B$21),0))</f>
        <v>11</v>
      </c>
      <c r="D686" s="0" t="n">
        <f aca="true">CRITBINOM($C686,MIN(0.75,Matchup!$B$39*$B686),RAND())</f>
        <v>3</v>
      </c>
      <c r="E686" s="0" t="n">
        <f aca="true">CRITBINOM(D686,Coefficients!$B$30,RAND())</f>
        <v>0</v>
      </c>
      <c r="F686" s="0" t="n">
        <f aca="true">CRITBINOM(E686,Coefficients!$B$31,RAND())</f>
        <v>0</v>
      </c>
      <c r="G686" s="0" t="n">
        <f aca="true">CRITBINOM(MAX(0,D686-E686),1-Coefficients!$B$32,RAND())</f>
        <v>0</v>
      </c>
      <c r="H686" s="0" t="n">
        <f aca="true">CRITBINOM(MAX(0,$C686-D686),MIN(0.6,Matchup!$B$40*SQRT($B686)/(1-MIN(0.75,Matchup!$B$39*$B686))),RAND())</f>
        <v>4</v>
      </c>
      <c r="I686" s="0" t="n">
        <f aca="false">6*D686+(D686-E686-G686)+2*F686+3*H686</f>
        <v>33</v>
      </c>
      <c r="J686" s="0" t="n">
        <f aca="true">CRITBINOM($C686,MIN(0.75,Matchup!$C$39*$B686),RAND())</f>
        <v>3</v>
      </c>
      <c r="K686" s="0" t="n">
        <f aca="true">CRITBINOM(J686,Coefficients!$B$30,RAND())</f>
        <v>0</v>
      </c>
      <c r="L686" s="0" t="n">
        <f aca="true">CRITBINOM(K686,Coefficients!$B$31,RAND())</f>
        <v>0</v>
      </c>
      <c r="M686" s="0" t="n">
        <f aca="true">CRITBINOM(MAX(0,J686-K686),1-Coefficients!$B$32,RAND())</f>
        <v>1</v>
      </c>
      <c r="N686" s="0" t="n">
        <f aca="true">CRITBINOM(MAX(0,$C686-J686),MIN(0.6,Matchup!$C$40*SQRT($B686)/(1-MIN(0.75,Matchup!$C$39*$B686))),RAND())</f>
        <v>1</v>
      </c>
      <c r="O686" s="0" t="n">
        <f aca="false">6*J686+(J686-K686-M686)+2*L686+3*N686</f>
        <v>23</v>
      </c>
      <c r="P686" s="0" t="n">
        <f aca="true">RAND()</f>
        <v>0.904432847304647</v>
      </c>
      <c r="Q686" s="0" t="n">
        <f aca="true">RAND()</f>
        <v>0.512478382764981</v>
      </c>
      <c r="R686" s="0" t="n">
        <f aca="false">IF($I686&lt;&gt;$O686,0,IF(P686&lt;Matchup!$B$39,7,IF(P686&lt;Matchup!$B$39+Matchup!$B$40,3,0)))</f>
        <v>0</v>
      </c>
      <c r="S686" s="0" t="n">
        <f aca="false">IF($I686&lt;&gt;$O686,0,IF(Q686&lt;Matchup!$C$39,7,IF(Q686&lt;Matchup!$C$39+Matchup!$C$40,3,0)))</f>
        <v>0</v>
      </c>
      <c r="T686" s="0" t="n">
        <f aca="false">I686+R686</f>
        <v>33</v>
      </c>
      <c r="U686" s="0" t="n">
        <f aca="false">O686+S686</f>
        <v>23</v>
      </c>
      <c r="V686" s="0" t="n">
        <f aca="false">T686-U686</f>
        <v>10</v>
      </c>
      <c r="W686" s="0" t="n">
        <f aca="false">T686+U686</f>
        <v>56</v>
      </c>
    </row>
    <row r="687" customFormat="false" ht="15" hidden="false" customHeight="false" outlineLevel="0" collapsed="false">
      <c r="A687" s="0" t="n">
        <v>684</v>
      </c>
      <c r="B687" s="0" t="n">
        <f aca="true">NORMINV(RAND(),1,Coefficients!$B$22)</f>
        <v>0.920767991002218</v>
      </c>
      <c r="C687" s="0" t="n">
        <f aca="true">MEDIAN(8,16,ROUND(NORMINV(RAND(),Coefficients!$B$20,Coefficients!$B$21),0))</f>
        <v>11</v>
      </c>
      <c r="D687" s="0" t="n">
        <f aca="true">CRITBINOM($C687,MIN(0.75,Matchup!$B$39*$B687),RAND())</f>
        <v>5</v>
      </c>
      <c r="E687" s="0" t="n">
        <f aca="true">CRITBINOM(D687,Coefficients!$B$30,RAND())</f>
        <v>0</v>
      </c>
      <c r="F687" s="0" t="n">
        <f aca="true">CRITBINOM(E687,Coefficients!$B$31,RAND())</f>
        <v>0</v>
      </c>
      <c r="G687" s="0" t="n">
        <f aca="true">CRITBINOM(MAX(0,D687-E687),1-Coefficients!$B$32,RAND())</f>
        <v>0</v>
      </c>
      <c r="H687" s="0" t="n">
        <f aca="true">CRITBINOM(MAX(0,$C687-D687),MIN(0.6,Matchup!$B$40*SQRT($B687)/(1-MIN(0.75,Matchup!$B$39*$B687))),RAND())</f>
        <v>0</v>
      </c>
      <c r="I687" s="0" t="n">
        <f aca="false">6*D687+(D687-E687-G687)+2*F687+3*H687</f>
        <v>35</v>
      </c>
      <c r="J687" s="0" t="n">
        <f aca="true">CRITBINOM($C687,MIN(0.75,Matchup!$C$39*$B687),RAND())</f>
        <v>3</v>
      </c>
      <c r="K687" s="0" t="n">
        <f aca="true">CRITBINOM(J687,Coefficients!$B$30,RAND())</f>
        <v>2</v>
      </c>
      <c r="L687" s="0" t="n">
        <f aca="true">CRITBINOM(K687,Coefficients!$B$31,RAND())</f>
        <v>2</v>
      </c>
      <c r="M687" s="0" t="n">
        <f aca="true">CRITBINOM(MAX(0,J687-K687),1-Coefficients!$B$32,RAND())</f>
        <v>0</v>
      </c>
      <c r="N687" s="0" t="n">
        <f aca="true">CRITBINOM(MAX(0,$C687-J687),MIN(0.6,Matchup!$C$40*SQRT($B687)/(1-MIN(0.75,Matchup!$C$39*$B687))),RAND())</f>
        <v>1</v>
      </c>
      <c r="O687" s="0" t="n">
        <f aca="false">6*J687+(J687-K687-M687)+2*L687+3*N687</f>
        <v>26</v>
      </c>
      <c r="P687" s="0" t="n">
        <f aca="true">RAND()</f>
        <v>0.67942540618263</v>
      </c>
      <c r="Q687" s="0" t="n">
        <f aca="true">RAND()</f>
        <v>0.177956209863038</v>
      </c>
      <c r="R687" s="0" t="n">
        <f aca="false">IF($I687&lt;&gt;$O687,0,IF(P687&lt;Matchup!$B$39,7,IF(P687&lt;Matchup!$B$39+Matchup!$B$40,3,0)))</f>
        <v>0</v>
      </c>
      <c r="S687" s="0" t="n">
        <f aca="false">IF($I687&lt;&gt;$O687,0,IF(Q687&lt;Matchup!$C$39,7,IF(Q687&lt;Matchup!$C$39+Matchup!$C$40,3,0)))</f>
        <v>0</v>
      </c>
      <c r="T687" s="0" t="n">
        <f aca="false">I687+R687</f>
        <v>35</v>
      </c>
      <c r="U687" s="0" t="n">
        <f aca="false">O687+S687</f>
        <v>26</v>
      </c>
      <c r="V687" s="0" t="n">
        <f aca="false">T687-U687</f>
        <v>9</v>
      </c>
      <c r="W687" s="0" t="n">
        <f aca="false">T687+U687</f>
        <v>61</v>
      </c>
    </row>
    <row r="688" customFormat="false" ht="15" hidden="false" customHeight="false" outlineLevel="0" collapsed="false">
      <c r="A688" s="0" t="n">
        <v>685</v>
      </c>
      <c r="B688" s="0" t="n">
        <f aca="true">NORMINV(RAND(),1,Coefficients!$B$22)</f>
        <v>0.873975642710054</v>
      </c>
      <c r="C688" s="0" t="n">
        <f aca="true">MEDIAN(8,16,ROUND(NORMINV(RAND(),Coefficients!$B$20,Coefficients!$B$21),0))</f>
        <v>10</v>
      </c>
      <c r="D688" s="0" t="n">
        <f aca="true">CRITBINOM($C688,MIN(0.75,Matchup!$B$39*$B688),RAND())</f>
        <v>2</v>
      </c>
      <c r="E688" s="0" t="n">
        <f aca="true">CRITBINOM(D688,Coefficients!$B$30,RAND())</f>
        <v>1</v>
      </c>
      <c r="F688" s="0" t="n">
        <f aca="true">CRITBINOM(E688,Coefficients!$B$31,RAND())</f>
        <v>1</v>
      </c>
      <c r="G688" s="0" t="n">
        <f aca="true">CRITBINOM(MAX(0,D688-E688),1-Coefficients!$B$32,RAND())</f>
        <v>0</v>
      </c>
      <c r="H688" s="0" t="n">
        <f aca="true">CRITBINOM(MAX(0,$C688-D688),MIN(0.6,Matchup!$B$40*SQRT($B688)/(1-MIN(0.75,Matchup!$B$39*$B688))),RAND())</f>
        <v>2</v>
      </c>
      <c r="I688" s="0" t="n">
        <f aca="false">6*D688+(D688-E688-G688)+2*F688+3*H688</f>
        <v>21</v>
      </c>
      <c r="J688" s="0" t="n">
        <f aca="true">CRITBINOM($C688,MIN(0.75,Matchup!$C$39*$B688),RAND())</f>
        <v>3</v>
      </c>
      <c r="K688" s="0" t="n">
        <f aca="true">CRITBINOM(J688,Coefficients!$B$30,RAND())</f>
        <v>1</v>
      </c>
      <c r="L688" s="0" t="n">
        <f aca="true">CRITBINOM(K688,Coefficients!$B$31,RAND())</f>
        <v>1</v>
      </c>
      <c r="M688" s="0" t="n">
        <f aca="true">CRITBINOM(MAX(0,J688-K688),1-Coefficients!$B$32,RAND())</f>
        <v>0</v>
      </c>
      <c r="N688" s="0" t="n">
        <f aca="true">CRITBINOM(MAX(0,$C688-J688),MIN(0.6,Matchup!$C$40*SQRT($B688)/(1-MIN(0.75,Matchup!$C$39*$B688))),RAND())</f>
        <v>1</v>
      </c>
      <c r="O688" s="0" t="n">
        <f aca="false">6*J688+(J688-K688-M688)+2*L688+3*N688</f>
        <v>25</v>
      </c>
      <c r="P688" s="0" t="n">
        <f aca="true">RAND()</f>
        <v>0.631878876884648</v>
      </c>
      <c r="Q688" s="0" t="n">
        <f aca="true">RAND()</f>
        <v>0.703880782855957</v>
      </c>
      <c r="R688" s="0" t="n">
        <f aca="false">IF($I688&lt;&gt;$O688,0,IF(P688&lt;Matchup!$B$39,7,IF(P688&lt;Matchup!$B$39+Matchup!$B$40,3,0)))</f>
        <v>0</v>
      </c>
      <c r="S688" s="0" t="n">
        <f aca="false">IF($I688&lt;&gt;$O688,0,IF(Q688&lt;Matchup!$C$39,7,IF(Q688&lt;Matchup!$C$39+Matchup!$C$40,3,0)))</f>
        <v>0</v>
      </c>
      <c r="T688" s="0" t="n">
        <f aca="false">I688+R688</f>
        <v>21</v>
      </c>
      <c r="U688" s="0" t="n">
        <f aca="false">O688+S688</f>
        <v>25</v>
      </c>
      <c r="V688" s="0" t="n">
        <f aca="false">T688-U688</f>
        <v>-4</v>
      </c>
      <c r="W688" s="0" t="n">
        <f aca="false">T688+U688</f>
        <v>46</v>
      </c>
    </row>
    <row r="689" customFormat="false" ht="15" hidden="false" customHeight="false" outlineLevel="0" collapsed="false">
      <c r="A689" s="0" t="n">
        <v>686</v>
      </c>
      <c r="B689" s="0" t="n">
        <f aca="true">NORMINV(RAND(),1,Coefficients!$B$22)</f>
        <v>1.10619884157835</v>
      </c>
      <c r="C689" s="0" t="n">
        <f aca="true">MEDIAN(8,16,ROUND(NORMINV(RAND(),Coefficients!$B$20,Coefficients!$B$21),0))</f>
        <v>10</v>
      </c>
      <c r="D689" s="0" t="n">
        <f aca="true">CRITBINOM($C689,MIN(0.75,Matchup!$B$39*$B689),RAND())</f>
        <v>3</v>
      </c>
      <c r="E689" s="0" t="n">
        <f aca="true">CRITBINOM(D689,Coefficients!$B$30,RAND())</f>
        <v>0</v>
      </c>
      <c r="F689" s="0" t="n">
        <f aca="true">CRITBINOM(E689,Coefficients!$B$31,RAND())</f>
        <v>0</v>
      </c>
      <c r="G689" s="0" t="n">
        <f aca="true">CRITBINOM(MAX(0,D689-E689),1-Coefficients!$B$32,RAND())</f>
        <v>1</v>
      </c>
      <c r="H689" s="0" t="n">
        <f aca="true">CRITBINOM(MAX(0,$C689-D689),MIN(0.6,Matchup!$B$40*SQRT($B689)/(1-MIN(0.75,Matchup!$B$39*$B689))),RAND())</f>
        <v>4</v>
      </c>
      <c r="I689" s="0" t="n">
        <f aca="false">6*D689+(D689-E689-G689)+2*F689+3*H689</f>
        <v>32</v>
      </c>
      <c r="J689" s="0" t="n">
        <f aca="true">CRITBINOM($C689,MIN(0.75,Matchup!$C$39*$B689),RAND())</f>
        <v>4</v>
      </c>
      <c r="K689" s="0" t="n">
        <f aca="true">CRITBINOM(J689,Coefficients!$B$30,RAND())</f>
        <v>0</v>
      </c>
      <c r="L689" s="0" t="n">
        <f aca="true">CRITBINOM(K689,Coefficients!$B$31,RAND())</f>
        <v>0</v>
      </c>
      <c r="M689" s="0" t="n">
        <f aca="true">CRITBINOM(MAX(0,J689-K689),1-Coefficients!$B$32,RAND())</f>
        <v>0</v>
      </c>
      <c r="N689" s="0" t="n">
        <f aca="true">CRITBINOM(MAX(0,$C689-J689),MIN(0.6,Matchup!$C$40*SQRT($B689)/(1-MIN(0.75,Matchup!$C$39*$B689))),RAND())</f>
        <v>0</v>
      </c>
      <c r="O689" s="0" t="n">
        <f aca="false">6*J689+(J689-K689-M689)+2*L689+3*N689</f>
        <v>28</v>
      </c>
      <c r="P689" s="0" t="n">
        <f aca="true">RAND()</f>
        <v>0.902049708197704</v>
      </c>
      <c r="Q689" s="0" t="n">
        <f aca="true">RAND()</f>
        <v>0.439815750043131</v>
      </c>
      <c r="R689" s="0" t="n">
        <f aca="false">IF($I689&lt;&gt;$O689,0,IF(P689&lt;Matchup!$B$39,7,IF(P689&lt;Matchup!$B$39+Matchup!$B$40,3,0)))</f>
        <v>0</v>
      </c>
      <c r="S689" s="0" t="n">
        <f aca="false">IF($I689&lt;&gt;$O689,0,IF(Q689&lt;Matchup!$C$39,7,IF(Q689&lt;Matchup!$C$39+Matchup!$C$40,3,0)))</f>
        <v>0</v>
      </c>
      <c r="T689" s="0" t="n">
        <f aca="false">I689+R689</f>
        <v>32</v>
      </c>
      <c r="U689" s="0" t="n">
        <f aca="false">O689+S689</f>
        <v>28</v>
      </c>
      <c r="V689" s="0" t="n">
        <f aca="false">T689-U689</f>
        <v>4</v>
      </c>
      <c r="W689" s="0" t="n">
        <f aca="false">T689+U689</f>
        <v>60</v>
      </c>
    </row>
    <row r="690" customFormat="false" ht="15" hidden="false" customHeight="false" outlineLevel="0" collapsed="false">
      <c r="A690" s="0" t="n">
        <v>687</v>
      </c>
      <c r="B690" s="0" t="n">
        <f aca="true">NORMINV(RAND(),1,Coefficients!$B$22)</f>
        <v>0.979774919958193</v>
      </c>
      <c r="C690" s="0" t="n">
        <f aca="true">MEDIAN(8,16,ROUND(NORMINV(RAND(),Coefficients!$B$20,Coefficients!$B$21),0))</f>
        <v>12</v>
      </c>
      <c r="D690" s="0" t="n">
        <f aca="true">CRITBINOM($C690,MIN(0.75,Matchup!$B$39*$B690),RAND())</f>
        <v>4</v>
      </c>
      <c r="E690" s="0" t="n">
        <f aca="true">CRITBINOM(D690,Coefficients!$B$30,RAND())</f>
        <v>1</v>
      </c>
      <c r="F690" s="0" t="n">
        <f aca="true">CRITBINOM(E690,Coefficients!$B$31,RAND())</f>
        <v>0</v>
      </c>
      <c r="G690" s="0" t="n">
        <f aca="true">CRITBINOM(MAX(0,D690-E690),1-Coefficients!$B$32,RAND())</f>
        <v>0</v>
      </c>
      <c r="H690" s="0" t="n">
        <f aca="true">CRITBINOM(MAX(0,$C690-D690),MIN(0.6,Matchup!$B$40*SQRT($B690)/(1-MIN(0.75,Matchup!$B$39*$B690))),RAND())</f>
        <v>2</v>
      </c>
      <c r="I690" s="0" t="n">
        <f aca="false">6*D690+(D690-E690-G690)+2*F690+3*H690</f>
        <v>33</v>
      </c>
      <c r="J690" s="0" t="n">
        <f aca="true">CRITBINOM($C690,MIN(0.75,Matchup!$C$39*$B690),RAND())</f>
        <v>2</v>
      </c>
      <c r="K690" s="0" t="n">
        <f aca="true">CRITBINOM(J690,Coefficients!$B$30,RAND())</f>
        <v>0</v>
      </c>
      <c r="L690" s="0" t="n">
        <f aca="true">CRITBINOM(K690,Coefficients!$B$31,RAND())</f>
        <v>0</v>
      </c>
      <c r="M690" s="0" t="n">
        <f aca="true">CRITBINOM(MAX(0,J690-K690),1-Coefficients!$B$32,RAND())</f>
        <v>0</v>
      </c>
      <c r="N690" s="0" t="n">
        <f aca="true">CRITBINOM(MAX(0,$C690-J690),MIN(0.6,Matchup!$C$40*SQRT($B690)/(1-MIN(0.75,Matchup!$C$39*$B690))),RAND())</f>
        <v>2</v>
      </c>
      <c r="O690" s="0" t="n">
        <f aca="false">6*J690+(J690-K690-M690)+2*L690+3*N690</f>
        <v>20</v>
      </c>
      <c r="P690" s="0" t="n">
        <f aca="true">RAND()</f>
        <v>0.820560284733902</v>
      </c>
      <c r="Q690" s="0" t="n">
        <f aca="true">RAND()</f>
        <v>0.479082369072494</v>
      </c>
      <c r="R690" s="0" t="n">
        <f aca="false">IF($I690&lt;&gt;$O690,0,IF(P690&lt;Matchup!$B$39,7,IF(P690&lt;Matchup!$B$39+Matchup!$B$40,3,0)))</f>
        <v>0</v>
      </c>
      <c r="S690" s="0" t="n">
        <f aca="false">IF($I690&lt;&gt;$O690,0,IF(Q690&lt;Matchup!$C$39,7,IF(Q690&lt;Matchup!$C$39+Matchup!$C$40,3,0)))</f>
        <v>0</v>
      </c>
      <c r="T690" s="0" t="n">
        <f aca="false">I690+R690</f>
        <v>33</v>
      </c>
      <c r="U690" s="0" t="n">
        <f aca="false">O690+S690</f>
        <v>20</v>
      </c>
      <c r="V690" s="0" t="n">
        <f aca="false">T690-U690</f>
        <v>13</v>
      </c>
      <c r="W690" s="0" t="n">
        <f aca="false">T690+U690</f>
        <v>53</v>
      </c>
    </row>
    <row r="691" customFormat="false" ht="15" hidden="false" customHeight="false" outlineLevel="0" collapsed="false">
      <c r="A691" s="0" t="n">
        <v>688</v>
      </c>
      <c r="B691" s="0" t="n">
        <f aca="true">NORMINV(RAND(),1,Coefficients!$B$22)</f>
        <v>0.947364453050915</v>
      </c>
      <c r="C691" s="0" t="n">
        <f aca="true">MEDIAN(8,16,ROUND(NORMINV(RAND(),Coefficients!$B$20,Coefficients!$B$21),0))</f>
        <v>11</v>
      </c>
      <c r="D691" s="0" t="n">
        <f aca="true">CRITBINOM($C691,MIN(0.75,Matchup!$B$39*$B691),RAND())</f>
        <v>1</v>
      </c>
      <c r="E691" s="0" t="n">
        <f aca="true">CRITBINOM(D691,Coefficients!$B$30,RAND())</f>
        <v>0</v>
      </c>
      <c r="F691" s="0" t="n">
        <f aca="true">CRITBINOM(E691,Coefficients!$B$31,RAND())</f>
        <v>0</v>
      </c>
      <c r="G691" s="0" t="n">
        <f aca="true">CRITBINOM(MAX(0,D691-E691),1-Coefficients!$B$32,RAND())</f>
        <v>0</v>
      </c>
      <c r="H691" s="0" t="n">
        <f aca="true">CRITBINOM(MAX(0,$C691-D691),MIN(0.6,Matchup!$B$40*SQRT($B691)/(1-MIN(0.75,Matchup!$B$39*$B691))),RAND())</f>
        <v>2</v>
      </c>
      <c r="I691" s="0" t="n">
        <f aca="false">6*D691+(D691-E691-G691)+2*F691+3*H691</f>
        <v>13</v>
      </c>
      <c r="J691" s="0" t="n">
        <f aca="true">CRITBINOM($C691,MIN(0.75,Matchup!$C$39*$B691),RAND())</f>
        <v>1</v>
      </c>
      <c r="K691" s="0" t="n">
        <f aca="true">CRITBINOM(J691,Coefficients!$B$30,RAND())</f>
        <v>0</v>
      </c>
      <c r="L691" s="0" t="n">
        <f aca="true">CRITBINOM(K691,Coefficients!$B$31,RAND())</f>
        <v>0</v>
      </c>
      <c r="M691" s="0" t="n">
        <f aca="true">CRITBINOM(MAX(0,J691-K691),1-Coefficients!$B$32,RAND())</f>
        <v>0</v>
      </c>
      <c r="N691" s="0" t="n">
        <f aca="true">CRITBINOM(MAX(0,$C691-J691),MIN(0.6,Matchup!$C$40*SQRT($B691)/(1-MIN(0.75,Matchup!$C$39*$B691))),RAND())</f>
        <v>3</v>
      </c>
      <c r="O691" s="0" t="n">
        <f aca="false">6*J691+(J691-K691-M691)+2*L691+3*N691</f>
        <v>16</v>
      </c>
      <c r="P691" s="0" t="n">
        <f aca="true">RAND()</f>
        <v>0.74143230991311</v>
      </c>
      <c r="Q691" s="0" t="n">
        <f aca="true">RAND()</f>
        <v>0.0780849522384426</v>
      </c>
      <c r="R691" s="0" t="n">
        <f aca="false">IF($I691&lt;&gt;$O691,0,IF(P691&lt;Matchup!$B$39,7,IF(P691&lt;Matchup!$B$39+Matchup!$B$40,3,0)))</f>
        <v>0</v>
      </c>
      <c r="S691" s="0" t="n">
        <f aca="false">IF($I691&lt;&gt;$O691,0,IF(Q691&lt;Matchup!$C$39,7,IF(Q691&lt;Matchup!$C$39+Matchup!$C$40,3,0)))</f>
        <v>0</v>
      </c>
      <c r="T691" s="0" t="n">
        <f aca="false">I691+R691</f>
        <v>13</v>
      </c>
      <c r="U691" s="0" t="n">
        <f aca="false">O691+S691</f>
        <v>16</v>
      </c>
      <c r="V691" s="0" t="n">
        <f aca="false">T691-U691</f>
        <v>-3</v>
      </c>
      <c r="W691" s="0" t="n">
        <f aca="false">T691+U691</f>
        <v>29</v>
      </c>
    </row>
    <row r="692" customFormat="false" ht="15" hidden="false" customHeight="false" outlineLevel="0" collapsed="false">
      <c r="A692" s="0" t="n">
        <v>689</v>
      </c>
      <c r="B692" s="0" t="n">
        <f aca="true">NORMINV(RAND(),1,Coefficients!$B$22)</f>
        <v>0.986309011092188</v>
      </c>
      <c r="C692" s="0" t="n">
        <f aca="true">MEDIAN(8,16,ROUND(NORMINV(RAND(),Coefficients!$B$20,Coefficients!$B$21),0))</f>
        <v>9</v>
      </c>
      <c r="D692" s="0" t="n">
        <f aca="true">CRITBINOM($C692,MIN(0.75,Matchup!$B$39*$B692),RAND())</f>
        <v>3</v>
      </c>
      <c r="E692" s="0" t="n">
        <f aca="true">CRITBINOM(D692,Coefficients!$B$30,RAND())</f>
        <v>0</v>
      </c>
      <c r="F692" s="0" t="n">
        <f aca="true">CRITBINOM(E692,Coefficients!$B$31,RAND())</f>
        <v>0</v>
      </c>
      <c r="G692" s="0" t="n">
        <f aca="true">CRITBINOM(MAX(0,D692-E692),1-Coefficients!$B$32,RAND())</f>
        <v>1</v>
      </c>
      <c r="H692" s="0" t="n">
        <f aca="true">CRITBINOM(MAX(0,$C692-D692),MIN(0.6,Matchup!$B$40*SQRT($B692)/(1-MIN(0.75,Matchup!$B$39*$B692))),RAND())</f>
        <v>2</v>
      </c>
      <c r="I692" s="0" t="n">
        <f aca="false">6*D692+(D692-E692-G692)+2*F692+3*H692</f>
        <v>26</v>
      </c>
      <c r="J692" s="0" t="n">
        <f aca="true">CRITBINOM($C692,MIN(0.75,Matchup!$C$39*$B692),RAND())</f>
        <v>2</v>
      </c>
      <c r="K692" s="0" t="n">
        <f aca="true">CRITBINOM(J692,Coefficients!$B$30,RAND())</f>
        <v>0</v>
      </c>
      <c r="L692" s="0" t="n">
        <f aca="true">CRITBINOM(K692,Coefficients!$B$31,RAND())</f>
        <v>0</v>
      </c>
      <c r="M692" s="0" t="n">
        <f aca="true">CRITBINOM(MAX(0,J692-K692),1-Coefficients!$B$32,RAND())</f>
        <v>0</v>
      </c>
      <c r="N692" s="0" t="n">
        <f aca="true">CRITBINOM(MAX(0,$C692-J692),MIN(0.6,Matchup!$C$40*SQRT($B692)/(1-MIN(0.75,Matchup!$C$39*$B692))),RAND())</f>
        <v>2</v>
      </c>
      <c r="O692" s="0" t="n">
        <f aca="false">6*J692+(J692-K692-M692)+2*L692+3*N692</f>
        <v>20</v>
      </c>
      <c r="P692" s="0" t="n">
        <f aca="true">RAND()</f>
        <v>0.0525178785552463</v>
      </c>
      <c r="Q692" s="0" t="n">
        <f aca="true">RAND()</f>
        <v>0.0432811981957901</v>
      </c>
      <c r="R692" s="0" t="n">
        <f aca="false">IF($I692&lt;&gt;$O692,0,IF(P692&lt;Matchup!$B$39,7,IF(P692&lt;Matchup!$B$39+Matchup!$B$40,3,0)))</f>
        <v>0</v>
      </c>
      <c r="S692" s="0" t="n">
        <f aca="false">IF($I692&lt;&gt;$O692,0,IF(Q692&lt;Matchup!$C$39,7,IF(Q692&lt;Matchup!$C$39+Matchup!$C$40,3,0)))</f>
        <v>0</v>
      </c>
      <c r="T692" s="0" t="n">
        <f aca="false">I692+R692</f>
        <v>26</v>
      </c>
      <c r="U692" s="0" t="n">
        <f aca="false">O692+S692</f>
        <v>20</v>
      </c>
      <c r="V692" s="0" t="n">
        <f aca="false">T692-U692</f>
        <v>6</v>
      </c>
      <c r="W692" s="0" t="n">
        <f aca="false">T692+U692</f>
        <v>46</v>
      </c>
    </row>
    <row r="693" customFormat="false" ht="15" hidden="false" customHeight="false" outlineLevel="0" collapsed="false">
      <c r="A693" s="0" t="n">
        <v>690</v>
      </c>
      <c r="B693" s="0" t="n">
        <f aca="true">NORMINV(RAND(),1,Coefficients!$B$22)</f>
        <v>1.14504649645893</v>
      </c>
      <c r="C693" s="0" t="n">
        <f aca="true">MEDIAN(8,16,ROUND(NORMINV(RAND(),Coefficients!$B$20,Coefficients!$B$21),0))</f>
        <v>13</v>
      </c>
      <c r="D693" s="0" t="n">
        <f aca="true">CRITBINOM($C693,MIN(0.75,Matchup!$B$39*$B693),RAND())</f>
        <v>6</v>
      </c>
      <c r="E693" s="0" t="n">
        <f aca="true">CRITBINOM(D693,Coefficients!$B$30,RAND())</f>
        <v>1</v>
      </c>
      <c r="F693" s="0" t="n">
        <f aca="true">CRITBINOM(E693,Coefficients!$B$31,RAND())</f>
        <v>0</v>
      </c>
      <c r="G693" s="0" t="n">
        <f aca="true">CRITBINOM(MAX(0,D693-E693),1-Coefficients!$B$32,RAND())</f>
        <v>1</v>
      </c>
      <c r="H693" s="0" t="n">
        <f aca="true">CRITBINOM(MAX(0,$C693-D693),MIN(0.6,Matchup!$B$40*SQRT($B693)/(1-MIN(0.75,Matchup!$B$39*$B693))),RAND())</f>
        <v>0</v>
      </c>
      <c r="I693" s="0" t="n">
        <f aca="false">6*D693+(D693-E693-G693)+2*F693+3*H693</f>
        <v>40</v>
      </c>
      <c r="J693" s="0" t="n">
        <f aca="true">CRITBINOM($C693,MIN(0.75,Matchup!$C$39*$B693),RAND())</f>
        <v>3</v>
      </c>
      <c r="K693" s="0" t="n">
        <f aca="true">CRITBINOM(J693,Coefficients!$B$30,RAND())</f>
        <v>1</v>
      </c>
      <c r="L693" s="0" t="n">
        <f aca="true">CRITBINOM(K693,Coefficients!$B$31,RAND())</f>
        <v>0</v>
      </c>
      <c r="M693" s="0" t="n">
        <f aca="true">CRITBINOM(MAX(0,J693-K693),1-Coefficients!$B$32,RAND())</f>
        <v>0</v>
      </c>
      <c r="N693" s="0" t="n">
        <f aca="true">CRITBINOM(MAX(0,$C693-J693),MIN(0.6,Matchup!$C$40*SQRT($B693)/(1-MIN(0.75,Matchup!$C$39*$B693))),RAND())</f>
        <v>2</v>
      </c>
      <c r="O693" s="0" t="n">
        <f aca="false">6*J693+(J693-K693-M693)+2*L693+3*N693</f>
        <v>26</v>
      </c>
      <c r="P693" s="0" t="n">
        <f aca="true">RAND()</f>
        <v>0.633469675537601</v>
      </c>
      <c r="Q693" s="0" t="n">
        <f aca="true">RAND()</f>
        <v>0.843316374800273</v>
      </c>
      <c r="R693" s="0" t="n">
        <f aca="false">IF($I693&lt;&gt;$O693,0,IF(P693&lt;Matchup!$B$39,7,IF(P693&lt;Matchup!$B$39+Matchup!$B$40,3,0)))</f>
        <v>0</v>
      </c>
      <c r="S693" s="0" t="n">
        <f aca="false">IF($I693&lt;&gt;$O693,0,IF(Q693&lt;Matchup!$C$39,7,IF(Q693&lt;Matchup!$C$39+Matchup!$C$40,3,0)))</f>
        <v>0</v>
      </c>
      <c r="T693" s="0" t="n">
        <f aca="false">I693+R693</f>
        <v>40</v>
      </c>
      <c r="U693" s="0" t="n">
        <f aca="false">O693+S693</f>
        <v>26</v>
      </c>
      <c r="V693" s="0" t="n">
        <f aca="false">T693-U693</f>
        <v>14</v>
      </c>
      <c r="W693" s="0" t="n">
        <f aca="false">T693+U693</f>
        <v>66</v>
      </c>
    </row>
    <row r="694" customFormat="false" ht="15" hidden="false" customHeight="false" outlineLevel="0" collapsed="false">
      <c r="A694" s="0" t="n">
        <v>691</v>
      </c>
      <c r="B694" s="0" t="n">
        <f aca="true">NORMINV(RAND(),1,Coefficients!$B$22)</f>
        <v>1.03738142871922</v>
      </c>
      <c r="C694" s="0" t="n">
        <f aca="true">MEDIAN(8,16,ROUND(NORMINV(RAND(),Coefficients!$B$20,Coefficients!$B$21),0))</f>
        <v>12</v>
      </c>
      <c r="D694" s="0" t="n">
        <f aca="true">CRITBINOM($C694,MIN(0.75,Matchup!$B$39*$B694),RAND())</f>
        <v>1</v>
      </c>
      <c r="E694" s="0" t="n">
        <f aca="true">CRITBINOM(D694,Coefficients!$B$30,RAND())</f>
        <v>0</v>
      </c>
      <c r="F694" s="0" t="n">
        <f aca="true">CRITBINOM(E694,Coefficients!$B$31,RAND())</f>
        <v>0</v>
      </c>
      <c r="G694" s="0" t="n">
        <f aca="true">CRITBINOM(MAX(0,D694-E694),1-Coefficients!$B$32,RAND())</f>
        <v>0</v>
      </c>
      <c r="H694" s="0" t="n">
        <f aca="true">CRITBINOM(MAX(0,$C694-D694),MIN(0.6,Matchup!$B$40*SQRT($B694)/(1-MIN(0.75,Matchup!$B$39*$B694))),RAND())</f>
        <v>4</v>
      </c>
      <c r="I694" s="0" t="n">
        <f aca="false">6*D694+(D694-E694-G694)+2*F694+3*H694</f>
        <v>19</v>
      </c>
      <c r="J694" s="0" t="n">
        <f aca="true">CRITBINOM($C694,MIN(0.75,Matchup!$C$39*$B694),RAND())</f>
        <v>3</v>
      </c>
      <c r="K694" s="0" t="n">
        <f aca="true">CRITBINOM(J694,Coefficients!$B$30,RAND())</f>
        <v>1</v>
      </c>
      <c r="L694" s="0" t="n">
        <f aca="true">CRITBINOM(K694,Coefficients!$B$31,RAND())</f>
        <v>1</v>
      </c>
      <c r="M694" s="0" t="n">
        <f aca="true">CRITBINOM(MAX(0,J694-K694),1-Coefficients!$B$32,RAND())</f>
        <v>0</v>
      </c>
      <c r="N694" s="0" t="n">
        <f aca="true">CRITBINOM(MAX(0,$C694-J694),MIN(0.6,Matchup!$C$40*SQRT($B694)/(1-MIN(0.75,Matchup!$C$39*$B694))),RAND())</f>
        <v>0</v>
      </c>
      <c r="O694" s="0" t="n">
        <f aca="false">6*J694+(J694-K694-M694)+2*L694+3*N694</f>
        <v>22</v>
      </c>
      <c r="P694" s="0" t="n">
        <f aca="true">RAND()</f>
        <v>0.00449161454976967</v>
      </c>
      <c r="Q694" s="0" t="n">
        <f aca="true">RAND()</f>
        <v>0.196724464587959</v>
      </c>
      <c r="R694" s="0" t="n">
        <f aca="false">IF($I694&lt;&gt;$O694,0,IF(P694&lt;Matchup!$B$39,7,IF(P694&lt;Matchup!$B$39+Matchup!$B$40,3,0)))</f>
        <v>0</v>
      </c>
      <c r="S694" s="0" t="n">
        <f aca="false">IF($I694&lt;&gt;$O694,0,IF(Q694&lt;Matchup!$C$39,7,IF(Q694&lt;Matchup!$C$39+Matchup!$C$40,3,0)))</f>
        <v>0</v>
      </c>
      <c r="T694" s="0" t="n">
        <f aca="false">I694+R694</f>
        <v>19</v>
      </c>
      <c r="U694" s="0" t="n">
        <f aca="false">O694+S694</f>
        <v>22</v>
      </c>
      <c r="V694" s="0" t="n">
        <f aca="false">T694-U694</f>
        <v>-3</v>
      </c>
      <c r="W694" s="0" t="n">
        <f aca="false">T694+U694</f>
        <v>41</v>
      </c>
    </row>
    <row r="695" customFormat="false" ht="15" hidden="false" customHeight="false" outlineLevel="0" collapsed="false">
      <c r="A695" s="0" t="n">
        <v>692</v>
      </c>
      <c r="B695" s="0" t="n">
        <f aca="true">NORMINV(RAND(),1,Coefficients!$B$22)</f>
        <v>0.975356706580072</v>
      </c>
      <c r="C695" s="0" t="n">
        <f aca="true">MEDIAN(8,16,ROUND(NORMINV(RAND(),Coefficients!$B$20,Coefficients!$B$21),0))</f>
        <v>12</v>
      </c>
      <c r="D695" s="0" t="n">
        <f aca="true">CRITBINOM($C695,MIN(0.75,Matchup!$B$39*$B695),RAND())</f>
        <v>3</v>
      </c>
      <c r="E695" s="0" t="n">
        <f aca="true">CRITBINOM(D695,Coefficients!$B$30,RAND())</f>
        <v>0</v>
      </c>
      <c r="F695" s="0" t="n">
        <f aca="true">CRITBINOM(E695,Coefficients!$B$31,RAND())</f>
        <v>0</v>
      </c>
      <c r="G695" s="0" t="n">
        <f aca="true">CRITBINOM(MAX(0,D695-E695),1-Coefficients!$B$32,RAND())</f>
        <v>0</v>
      </c>
      <c r="H695" s="0" t="n">
        <f aca="true">CRITBINOM(MAX(0,$C695-D695),MIN(0.6,Matchup!$B$40*SQRT($B695)/(1-MIN(0.75,Matchup!$B$39*$B695))),RAND())</f>
        <v>3</v>
      </c>
      <c r="I695" s="0" t="n">
        <f aca="false">6*D695+(D695-E695-G695)+2*F695+3*H695</f>
        <v>30</v>
      </c>
      <c r="J695" s="0" t="n">
        <f aca="true">CRITBINOM($C695,MIN(0.75,Matchup!$C$39*$B695),RAND())</f>
        <v>6</v>
      </c>
      <c r="K695" s="0" t="n">
        <f aca="true">CRITBINOM(J695,Coefficients!$B$30,RAND())</f>
        <v>0</v>
      </c>
      <c r="L695" s="0" t="n">
        <f aca="true">CRITBINOM(K695,Coefficients!$B$31,RAND())</f>
        <v>0</v>
      </c>
      <c r="M695" s="0" t="n">
        <f aca="true">CRITBINOM(MAX(0,J695-K695),1-Coefficients!$B$32,RAND())</f>
        <v>1</v>
      </c>
      <c r="N695" s="0" t="n">
        <f aca="true">CRITBINOM(MAX(0,$C695-J695),MIN(0.6,Matchup!$C$40*SQRT($B695)/(1-MIN(0.75,Matchup!$C$39*$B695))),RAND())</f>
        <v>2</v>
      </c>
      <c r="O695" s="0" t="n">
        <f aca="false">6*J695+(J695-K695-M695)+2*L695+3*N695</f>
        <v>47</v>
      </c>
      <c r="P695" s="0" t="n">
        <f aca="true">RAND()</f>
        <v>0.86017874743739</v>
      </c>
      <c r="Q695" s="0" t="n">
        <f aca="true">RAND()</f>
        <v>0.791061265516811</v>
      </c>
      <c r="R695" s="0" t="n">
        <f aca="false">IF($I695&lt;&gt;$O695,0,IF(P695&lt;Matchup!$B$39,7,IF(P695&lt;Matchup!$B$39+Matchup!$B$40,3,0)))</f>
        <v>0</v>
      </c>
      <c r="S695" s="0" t="n">
        <f aca="false">IF($I695&lt;&gt;$O695,0,IF(Q695&lt;Matchup!$C$39,7,IF(Q695&lt;Matchup!$C$39+Matchup!$C$40,3,0)))</f>
        <v>0</v>
      </c>
      <c r="T695" s="0" t="n">
        <f aca="false">I695+R695</f>
        <v>30</v>
      </c>
      <c r="U695" s="0" t="n">
        <f aca="false">O695+S695</f>
        <v>47</v>
      </c>
      <c r="V695" s="0" t="n">
        <f aca="false">T695-U695</f>
        <v>-17</v>
      </c>
      <c r="W695" s="0" t="n">
        <f aca="false">T695+U695</f>
        <v>77</v>
      </c>
    </row>
    <row r="696" customFormat="false" ht="15" hidden="false" customHeight="false" outlineLevel="0" collapsed="false">
      <c r="A696" s="0" t="n">
        <v>693</v>
      </c>
      <c r="B696" s="0" t="n">
        <f aca="true">NORMINV(RAND(),1,Coefficients!$B$22)</f>
        <v>1.02843852243382</v>
      </c>
      <c r="C696" s="0" t="n">
        <f aca="true">MEDIAN(8,16,ROUND(NORMINV(RAND(),Coefficients!$B$20,Coefficients!$B$21),0))</f>
        <v>12</v>
      </c>
      <c r="D696" s="0" t="n">
        <f aca="true">CRITBINOM($C696,MIN(0.75,Matchup!$B$39*$B696),RAND())</f>
        <v>1</v>
      </c>
      <c r="E696" s="0" t="n">
        <f aca="true">CRITBINOM(D696,Coefficients!$B$30,RAND())</f>
        <v>0</v>
      </c>
      <c r="F696" s="0" t="n">
        <f aca="true">CRITBINOM(E696,Coefficients!$B$31,RAND())</f>
        <v>0</v>
      </c>
      <c r="G696" s="0" t="n">
        <f aca="true">CRITBINOM(MAX(0,D696-E696),1-Coefficients!$B$32,RAND())</f>
        <v>0</v>
      </c>
      <c r="H696" s="0" t="n">
        <f aca="true">CRITBINOM(MAX(0,$C696-D696),MIN(0.6,Matchup!$B$40*SQRT($B696)/(1-MIN(0.75,Matchup!$B$39*$B696))),RAND())</f>
        <v>1</v>
      </c>
      <c r="I696" s="0" t="n">
        <f aca="false">6*D696+(D696-E696-G696)+2*F696+3*H696</f>
        <v>10</v>
      </c>
      <c r="J696" s="0" t="n">
        <f aca="true">CRITBINOM($C696,MIN(0.75,Matchup!$C$39*$B696),RAND())</f>
        <v>2</v>
      </c>
      <c r="K696" s="0" t="n">
        <f aca="true">CRITBINOM(J696,Coefficients!$B$30,RAND())</f>
        <v>1</v>
      </c>
      <c r="L696" s="0" t="n">
        <f aca="true">CRITBINOM(K696,Coefficients!$B$31,RAND())</f>
        <v>1</v>
      </c>
      <c r="M696" s="0" t="n">
        <f aca="true">CRITBINOM(MAX(0,J696-K696),1-Coefficients!$B$32,RAND())</f>
        <v>0</v>
      </c>
      <c r="N696" s="0" t="n">
        <f aca="true">CRITBINOM(MAX(0,$C696-J696),MIN(0.6,Matchup!$C$40*SQRT($B696)/(1-MIN(0.75,Matchup!$C$39*$B696))),RAND())</f>
        <v>2</v>
      </c>
      <c r="O696" s="0" t="n">
        <f aca="false">6*J696+(J696-K696-M696)+2*L696+3*N696</f>
        <v>21</v>
      </c>
      <c r="P696" s="0" t="n">
        <f aca="true">RAND()</f>
        <v>0.495354542174453</v>
      </c>
      <c r="Q696" s="0" t="n">
        <f aca="true">RAND()</f>
        <v>0.597259746943782</v>
      </c>
      <c r="R696" s="0" t="n">
        <f aca="false">IF($I696&lt;&gt;$O696,0,IF(P696&lt;Matchup!$B$39,7,IF(P696&lt;Matchup!$B$39+Matchup!$B$40,3,0)))</f>
        <v>0</v>
      </c>
      <c r="S696" s="0" t="n">
        <f aca="false">IF($I696&lt;&gt;$O696,0,IF(Q696&lt;Matchup!$C$39,7,IF(Q696&lt;Matchup!$C$39+Matchup!$C$40,3,0)))</f>
        <v>0</v>
      </c>
      <c r="T696" s="0" t="n">
        <f aca="false">I696+R696</f>
        <v>10</v>
      </c>
      <c r="U696" s="0" t="n">
        <f aca="false">O696+S696</f>
        <v>21</v>
      </c>
      <c r="V696" s="0" t="n">
        <f aca="false">T696-U696</f>
        <v>-11</v>
      </c>
      <c r="W696" s="0" t="n">
        <f aca="false">T696+U696</f>
        <v>31</v>
      </c>
    </row>
    <row r="697" customFormat="false" ht="15" hidden="false" customHeight="false" outlineLevel="0" collapsed="false">
      <c r="A697" s="0" t="n">
        <v>694</v>
      </c>
      <c r="B697" s="0" t="n">
        <f aca="true">NORMINV(RAND(),1,Coefficients!$B$22)</f>
        <v>0.788043045838439</v>
      </c>
      <c r="C697" s="0" t="n">
        <f aca="true">MEDIAN(8,16,ROUND(NORMINV(RAND(),Coefficients!$B$20,Coefficients!$B$21),0))</f>
        <v>12</v>
      </c>
      <c r="D697" s="0" t="n">
        <f aca="true">CRITBINOM($C697,MIN(0.75,Matchup!$B$39*$B697),RAND())</f>
        <v>1</v>
      </c>
      <c r="E697" s="0" t="n">
        <f aca="true">CRITBINOM(D697,Coefficients!$B$30,RAND())</f>
        <v>0</v>
      </c>
      <c r="F697" s="0" t="n">
        <f aca="true">CRITBINOM(E697,Coefficients!$B$31,RAND())</f>
        <v>0</v>
      </c>
      <c r="G697" s="0" t="n">
        <f aca="true">CRITBINOM(MAX(0,D697-E697),1-Coefficients!$B$32,RAND())</f>
        <v>0</v>
      </c>
      <c r="H697" s="0" t="n">
        <f aca="true">CRITBINOM(MAX(0,$C697-D697),MIN(0.6,Matchup!$B$40*SQRT($B697)/(1-MIN(0.75,Matchup!$B$39*$B697))),RAND())</f>
        <v>2</v>
      </c>
      <c r="I697" s="0" t="n">
        <f aca="false">6*D697+(D697-E697-G697)+2*F697+3*H697</f>
        <v>13</v>
      </c>
      <c r="J697" s="0" t="n">
        <f aca="true">CRITBINOM($C697,MIN(0.75,Matchup!$C$39*$B697),RAND())</f>
        <v>2</v>
      </c>
      <c r="K697" s="0" t="n">
        <f aca="true">CRITBINOM(J697,Coefficients!$B$30,RAND())</f>
        <v>0</v>
      </c>
      <c r="L697" s="0" t="n">
        <f aca="true">CRITBINOM(K697,Coefficients!$B$31,RAND())</f>
        <v>0</v>
      </c>
      <c r="M697" s="0" t="n">
        <f aca="true">CRITBINOM(MAX(0,J697-K697),1-Coefficients!$B$32,RAND())</f>
        <v>0</v>
      </c>
      <c r="N697" s="0" t="n">
        <f aca="true">CRITBINOM(MAX(0,$C697-J697),MIN(0.6,Matchup!$C$40*SQRT($B697)/(1-MIN(0.75,Matchup!$C$39*$B697))),RAND())</f>
        <v>2</v>
      </c>
      <c r="O697" s="0" t="n">
        <f aca="false">6*J697+(J697-K697-M697)+2*L697+3*N697</f>
        <v>20</v>
      </c>
      <c r="P697" s="0" t="n">
        <f aca="true">RAND()</f>
        <v>0.137463729058114</v>
      </c>
      <c r="Q697" s="0" t="n">
        <f aca="true">RAND()</f>
        <v>0.0163866387670447</v>
      </c>
      <c r="R697" s="0" t="n">
        <f aca="false">IF($I697&lt;&gt;$O697,0,IF(P697&lt;Matchup!$B$39,7,IF(P697&lt;Matchup!$B$39+Matchup!$B$40,3,0)))</f>
        <v>0</v>
      </c>
      <c r="S697" s="0" t="n">
        <f aca="false">IF($I697&lt;&gt;$O697,0,IF(Q697&lt;Matchup!$C$39,7,IF(Q697&lt;Matchup!$C$39+Matchup!$C$40,3,0)))</f>
        <v>0</v>
      </c>
      <c r="T697" s="0" t="n">
        <f aca="false">I697+R697</f>
        <v>13</v>
      </c>
      <c r="U697" s="0" t="n">
        <f aca="false">O697+S697</f>
        <v>20</v>
      </c>
      <c r="V697" s="0" t="n">
        <f aca="false">T697-U697</f>
        <v>-7</v>
      </c>
      <c r="W697" s="0" t="n">
        <f aca="false">T697+U697</f>
        <v>33</v>
      </c>
    </row>
    <row r="698" customFormat="false" ht="15" hidden="false" customHeight="false" outlineLevel="0" collapsed="false">
      <c r="A698" s="0" t="n">
        <v>695</v>
      </c>
      <c r="B698" s="0" t="n">
        <f aca="true">NORMINV(RAND(),1,Coefficients!$B$22)</f>
        <v>0.899552142446778</v>
      </c>
      <c r="C698" s="0" t="n">
        <f aca="true">MEDIAN(8,16,ROUND(NORMINV(RAND(),Coefficients!$B$20,Coefficients!$B$21),0))</f>
        <v>12</v>
      </c>
      <c r="D698" s="0" t="n">
        <f aca="true">CRITBINOM($C698,MIN(0.75,Matchup!$B$39*$B698),RAND())</f>
        <v>3</v>
      </c>
      <c r="E698" s="0" t="n">
        <f aca="true">CRITBINOM(D698,Coefficients!$B$30,RAND())</f>
        <v>0</v>
      </c>
      <c r="F698" s="0" t="n">
        <f aca="true">CRITBINOM(E698,Coefficients!$B$31,RAND())</f>
        <v>0</v>
      </c>
      <c r="G698" s="0" t="n">
        <f aca="true">CRITBINOM(MAX(0,D698-E698),1-Coefficients!$B$32,RAND())</f>
        <v>0</v>
      </c>
      <c r="H698" s="0" t="n">
        <f aca="true">CRITBINOM(MAX(0,$C698-D698),MIN(0.6,Matchup!$B$40*SQRT($B698)/(1-MIN(0.75,Matchup!$B$39*$B698))),RAND())</f>
        <v>2</v>
      </c>
      <c r="I698" s="0" t="n">
        <f aca="false">6*D698+(D698-E698-G698)+2*F698+3*H698</f>
        <v>27</v>
      </c>
      <c r="J698" s="0" t="n">
        <f aca="true">CRITBINOM($C698,MIN(0.75,Matchup!$C$39*$B698),RAND())</f>
        <v>2</v>
      </c>
      <c r="K698" s="0" t="n">
        <f aca="true">CRITBINOM(J698,Coefficients!$B$30,RAND())</f>
        <v>0</v>
      </c>
      <c r="L698" s="0" t="n">
        <f aca="true">CRITBINOM(K698,Coefficients!$B$31,RAND())</f>
        <v>0</v>
      </c>
      <c r="M698" s="0" t="n">
        <f aca="true">CRITBINOM(MAX(0,J698-K698),1-Coefficients!$B$32,RAND())</f>
        <v>0</v>
      </c>
      <c r="N698" s="0" t="n">
        <f aca="true">CRITBINOM(MAX(0,$C698-J698),MIN(0.6,Matchup!$C$40*SQRT($B698)/(1-MIN(0.75,Matchup!$C$39*$B698))),RAND())</f>
        <v>4</v>
      </c>
      <c r="O698" s="0" t="n">
        <f aca="false">6*J698+(J698-K698-M698)+2*L698+3*N698</f>
        <v>26</v>
      </c>
      <c r="P698" s="0" t="n">
        <f aca="true">RAND()</f>
        <v>0.836166840989303</v>
      </c>
      <c r="Q698" s="0" t="n">
        <f aca="true">RAND()</f>
        <v>0.914419671694807</v>
      </c>
      <c r="R698" s="0" t="n">
        <f aca="false">IF($I698&lt;&gt;$O698,0,IF(P698&lt;Matchup!$B$39,7,IF(P698&lt;Matchup!$B$39+Matchup!$B$40,3,0)))</f>
        <v>0</v>
      </c>
      <c r="S698" s="0" t="n">
        <f aca="false">IF($I698&lt;&gt;$O698,0,IF(Q698&lt;Matchup!$C$39,7,IF(Q698&lt;Matchup!$C$39+Matchup!$C$40,3,0)))</f>
        <v>0</v>
      </c>
      <c r="T698" s="0" t="n">
        <f aca="false">I698+R698</f>
        <v>27</v>
      </c>
      <c r="U698" s="0" t="n">
        <f aca="false">O698+S698</f>
        <v>26</v>
      </c>
      <c r="V698" s="0" t="n">
        <f aca="false">T698-U698</f>
        <v>1</v>
      </c>
      <c r="W698" s="0" t="n">
        <f aca="false">T698+U698</f>
        <v>53</v>
      </c>
    </row>
    <row r="699" customFormat="false" ht="15" hidden="false" customHeight="false" outlineLevel="0" collapsed="false">
      <c r="A699" s="0" t="n">
        <v>696</v>
      </c>
      <c r="B699" s="0" t="n">
        <f aca="true">NORMINV(RAND(),1,Coefficients!$B$22)</f>
        <v>0.999679152028317</v>
      </c>
      <c r="C699" s="0" t="n">
        <f aca="true">MEDIAN(8,16,ROUND(NORMINV(RAND(),Coefficients!$B$20,Coefficients!$B$21),0))</f>
        <v>12</v>
      </c>
      <c r="D699" s="0" t="n">
        <f aca="true">CRITBINOM($C699,MIN(0.75,Matchup!$B$39*$B699),RAND())</f>
        <v>3</v>
      </c>
      <c r="E699" s="0" t="n">
        <f aca="true">CRITBINOM(D699,Coefficients!$B$30,RAND())</f>
        <v>0</v>
      </c>
      <c r="F699" s="0" t="n">
        <f aca="true">CRITBINOM(E699,Coefficients!$B$31,RAND())</f>
        <v>0</v>
      </c>
      <c r="G699" s="0" t="n">
        <f aca="true">CRITBINOM(MAX(0,D699-E699),1-Coefficients!$B$32,RAND())</f>
        <v>0</v>
      </c>
      <c r="H699" s="0" t="n">
        <f aca="true">CRITBINOM(MAX(0,$C699-D699),MIN(0.6,Matchup!$B$40*SQRT($B699)/(1-MIN(0.75,Matchup!$B$39*$B699))),RAND())</f>
        <v>3</v>
      </c>
      <c r="I699" s="0" t="n">
        <f aca="false">6*D699+(D699-E699-G699)+2*F699+3*H699</f>
        <v>30</v>
      </c>
      <c r="J699" s="0" t="n">
        <f aca="true">CRITBINOM($C699,MIN(0.75,Matchup!$C$39*$B699),RAND())</f>
        <v>4</v>
      </c>
      <c r="K699" s="0" t="n">
        <f aca="true">CRITBINOM(J699,Coefficients!$B$30,RAND())</f>
        <v>0</v>
      </c>
      <c r="L699" s="0" t="n">
        <f aca="true">CRITBINOM(K699,Coefficients!$B$31,RAND())</f>
        <v>0</v>
      </c>
      <c r="M699" s="0" t="n">
        <f aca="true">CRITBINOM(MAX(0,J699-K699),1-Coefficients!$B$32,RAND())</f>
        <v>0</v>
      </c>
      <c r="N699" s="0" t="n">
        <f aca="true">CRITBINOM(MAX(0,$C699-J699),MIN(0.6,Matchup!$C$40*SQRT($B699)/(1-MIN(0.75,Matchup!$C$39*$B699))),RAND())</f>
        <v>3</v>
      </c>
      <c r="O699" s="0" t="n">
        <f aca="false">6*J699+(J699-K699-M699)+2*L699+3*N699</f>
        <v>37</v>
      </c>
      <c r="P699" s="0" t="n">
        <f aca="true">RAND()</f>
        <v>0.888440132792094</v>
      </c>
      <c r="Q699" s="0" t="n">
        <f aca="true">RAND()</f>
        <v>0.908344912630505</v>
      </c>
      <c r="R699" s="0" t="n">
        <f aca="false">IF($I699&lt;&gt;$O699,0,IF(P699&lt;Matchup!$B$39,7,IF(P699&lt;Matchup!$B$39+Matchup!$B$40,3,0)))</f>
        <v>0</v>
      </c>
      <c r="S699" s="0" t="n">
        <f aca="false">IF($I699&lt;&gt;$O699,0,IF(Q699&lt;Matchup!$C$39,7,IF(Q699&lt;Matchup!$C$39+Matchup!$C$40,3,0)))</f>
        <v>0</v>
      </c>
      <c r="T699" s="0" t="n">
        <f aca="false">I699+R699</f>
        <v>30</v>
      </c>
      <c r="U699" s="0" t="n">
        <f aca="false">O699+S699</f>
        <v>37</v>
      </c>
      <c r="V699" s="0" t="n">
        <f aca="false">T699-U699</f>
        <v>-7</v>
      </c>
      <c r="W699" s="0" t="n">
        <f aca="false">T699+U699</f>
        <v>67</v>
      </c>
    </row>
    <row r="700" customFormat="false" ht="15" hidden="false" customHeight="false" outlineLevel="0" collapsed="false">
      <c r="A700" s="0" t="n">
        <v>697</v>
      </c>
      <c r="B700" s="0" t="n">
        <f aca="true">NORMINV(RAND(),1,Coefficients!$B$22)</f>
        <v>0.907666284465395</v>
      </c>
      <c r="C700" s="0" t="n">
        <f aca="true">MEDIAN(8,16,ROUND(NORMINV(RAND(),Coefficients!$B$20,Coefficients!$B$21),0))</f>
        <v>10</v>
      </c>
      <c r="D700" s="0" t="n">
        <f aca="true">CRITBINOM($C700,MIN(0.75,Matchup!$B$39*$B700),RAND())</f>
        <v>3</v>
      </c>
      <c r="E700" s="0" t="n">
        <f aca="true">CRITBINOM(D700,Coefficients!$B$30,RAND())</f>
        <v>0</v>
      </c>
      <c r="F700" s="0" t="n">
        <f aca="true">CRITBINOM(E700,Coefficients!$B$31,RAND())</f>
        <v>0</v>
      </c>
      <c r="G700" s="0" t="n">
        <f aca="true">CRITBINOM(MAX(0,D700-E700),1-Coefficients!$B$32,RAND())</f>
        <v>0</v>
      </c>
      <c r="H700" s="0" t="n">
        <f aca="true">CRITBINOM(MAX(0,$C700-D700),MIN(0.6,Matchup!$B$40*SQRT($B700)/(1-MIN(0.75,Matchup!$B$39*$B700))),RAND())</f>
        <v>1</v>
      </c>
      <c r="I700" s="0" t="n">
        <f aca="false">6*D700+(D700-E700-G700)+2*F700+3*H700</f>
        <v>24</v>
      </c>
      <c r="J700" s="0" t="n">
        <f aca="true">CRITBINOM($C700,MIN(0.75,Matchup!$C$39*$B700),RAND())</f>
        <v>2</v>
      </c>
      <c r="K700" s="0" t="n">
        <f aca="true">CRITBINOM(J700,Coefficients!$B$30,RAND())</f>
        <v>0</v>
      </c>
      <c r="L700" s="0" t="n">
        <f aca="true">CRITBINOM(K700,Coefficients!$B$31,RAND())</f>
        <v>0</v>
      </c>
      <c r="M700" s="0" t="n">
        <f aca="true">CRITBINOM(MAX(0,J700-K700),1-Coefficients!$B$32,RAND())</f>
        <v>1</v>
      </c>
      <c r="N700" s="0" t="n">
        <f aca="true">CRITBINOM(MAX(0,$C700-J700),MIN(0.6,Matchup!$C$40*SQRT($B700)/(1-MIN(0.75,Matchup!$C$39*$B700))),RAND())</f>
        <v>2</v>
      </c>
      <c r="O700" s="0" t="n">
        <f aca="false">6*J700+(J700-K700-M700)+2*L700+3*N700</f>
        <v>19</v>
      </c>
      <c r="P700" s="0" t="n">
        <f aca="true">RAND()</f>
        <v>0.535880044328784</v>
      </c>
      <c r="Q700" s="0" t="n">
        <f aca="true">RAND()</f>
        <v>0.918500490258864</v>
      </c>
      <c r="R700" s="0" t="n">
        <f aca="false">IF($I700&lt;&gt;$O700,0,IF(P700&lt;Matchup!$B$39,7,IF(P700&lt;Matchup!$B$39+Matchup!$B$40,3,0)))</f>
        <v>0</v>
      </c>
      <c r="S700" s="0" t="n">
        <f aca="false">IF($I700&lt;&gt;$O700,0,IF(Q700&lt;Matchup!$C$39,7,IF(Q700&lt;Matchup!$C$39+Matchup!$C$40,3,0)))</f>
        <v>0</v>
      </c>
      <c r="T700" s="0" t="n">
        <f aca="false">I700+R700</f>
        <v>24</v>
      </c>
      <c r="U700" s="0" t="n">
        <f aca="false">O700+S700</f>
        <v>19</v>
      </c>
      <c r="V700" s="0" t="n">
        <f aca="false">T700-U700</f>
        <v>5</v>
      </c>
      <c r="W700" s="0" t="n">
        <f aca="false">T700+U700</f>
        <v>43</v>
      </c>
    </row>
    <row r="701" customFormat="false" ht="15" hidden="false" customHeight="false" outlineLevel="0" collapsed="false">
      <c r="A701" s="0" t="n">
        <v>698</v>
      </c>
      <c r="B701" s="0" t="n">
        <f aca="true">NORMINV(RAND(),1,Coefficients!$B$22)</f>
        <v>0.885362452720507</v>
      </c>
      <c r="C701" s="0" t="n">
        <f aca="true">MEDIAN(8,16,ROUND(NORMINV(RAND(),Coefficients!$B$20,Coefficients!$B$21),0))</f>
        <v>9</v>
      </c>
      <c r="D701" s="0" t="n">
        <f aca="true">CRITBINOM($C701,MIN(0.75,Matchup!$B$39*$B701),RAND())</f>
        <v>2</v>
      </c>
      <c r="E701" s="0" t="n">
        <f aca="true">CRITBINOM(D701,Coefficients!$B$30,RAND())</f>
        <v>0</v>
      </c>
      <c r="F701" s="0" t="n">
        <f aca="true">CRITBINOM(E701,Coefficients!$B$31,RAND())</f>
        <v>0</v>
      </c>
      <c r="G701" s="0" t="n">
        <f aca="true">CRITBINOM(MAX(0,D701-E701),1-Coefficients!$B$32,RAND())</f>
        <v>1</v>
      </c>
      <c r="H701" s="0" t="n">
        <f aca="true">CRITBINOM(MAX(0,$C701-D701),MIN(0.6,Matchup!$B$40*SQRT($B701)/(1-MIN(0.75,Matchup!$B$39*$B701))),RAND())</f>
        <v>2</v>
      </c>
      <c r="I701" s="0" t="n">
        <f aca="false">6*D701+(D701-E701-G701)+2*F701+3*H701</f>
        <v>19</v>
      </c>
      <c r="J701" s="0" t="n">
        <f aca="true">CRITBINOM($C701,MIN(0.75,Matchup!$C$39*$B701),RAND())</f>
        <v>2</v>
      </c>
      <c r="K701" s="0" t="n">
        <f aca="true">CRITBINOM(J701,Coefficients!$B$30,RAND())</f>
        <v>1</v>
      </c>
      <c r="L701" s="0" t="n">
        <f aca="true">CRITBINOM(K701,Coefficients!$B$31,RAND())</f>
        <v>0</v>
      </c>
      <c r="M701" s="0" t="n">
        <f aca="true">CRITBINOM(MAX(0,J701-K701),1-Coefficients!$B$32,RAND())</f>
        <v>0</v>
      </c>
      <c r="N701" s="0" t="n">
        <f aca="true">CRITBINOM(MAX(0,$C701-J701),MIN(0.6,Matchup!$C$40*SQRT($B701)/(1-MIN(0.75,Matchup!$C$39*$B701))),RAND())</f>
        <v>1</v>
      </c>
      <c r="O701" s="0" t="n">
        <f aca="false">6*J701+(J701-K701-M701)+2*L701+3*N701</f>
        <v>16</v>
      </c>
      <c r="P701" s="0" t="n">
        <f aca="true">RAND()</f>
        <v>0.838198205753797</v>
      </c>
      <c r="Q701" s="0" t="n">
        <f aca="true">RAND()</f>
        <v>0.652842996183701</v>
      </c>
      <c r="R701" s="0" t="n">
        <f aca="false">IF($I701&lt;&gt;$O701,0,IF(P701&lt;Matchup!$B$39,7,IF(P701&lt;Matchup!$B$39+Matchup!$B$40,3,0)))</f>
        <v>0</v>
      </c>
      <c r="S701" s="0" t="n">
        <f aca="false">IF($I701&lt;&gt;$O701,0,IF(Q701&lt;Matchup!$C$39,7,IF(Q701&lt;Matchup!$C$39+Matchup!$C$40,3,0)))</f>
        <v>0</v>
      </c>
      <c r="T701" s="0" t="n">
        <f aca="false">I701+R701</f>
        <v>19</v>
      </c>
      <c r="U701" s="0" t="n">
        <f aca="false">O701+S701</f>
        <v>16</v>
      </c>
      <c r="V701" s="0" t="n">
        <f aca="false">T701-U701</f>
        <v>3</v>
      </c>
      <c r="W701" s="0" t="n">
        <f aca="false">T701+U701</f>
        <v>35</v>
      </c>
    </row>
    <row r="702" customFormat="false" ht="15" hidden="false" customHeight="false" outlineLevel="0" collapsed="false">
      <c r="A702" s="0" t="n">
        <v>699</v>
      </c>
      <c r="B702" s="0" t="n">
        <f aca="true">NORMINV(RAND(),1,Coefficients!$B$22)</f>
        <v>0.935285460329335</v>
      </c>
      <c r="C702" s="0" t="n">
        <f aca="true">MEDIAN(8,16,ROUND(NORMINV(RAND(),Coefficients!$B$20,Coefficients!$B$21),0))</f>
        <v>11</v>
      </c>
      <c r="D702" s="0" t="n">
        <f aca="true">CRITBINOM($C702,MIN(0.75,Matchup!$B$39*$B702),RAND())</f>
        <v>1</v>
      </c>
      <c r="E702" s="0" t="n">
        <f aca="true">CRITBINOM(D702,Coefficients!$B$30,RAND())</f>
        <v>0</v>
      </c>
      <c r="F702" s="0" t="n">
        <f aca="true">CRITBINOM(E702,Coefficients!$B$31,RAND())</f>
        <v>0</v>
      </c>
      <c r="G702" s="0" t="n">
        <f aca="true">CRITBINOM(MAX(0,D702-E702),1-Coefficients!$B$32,RAND())</f>
        <v>0</v>
      </c>
      <c r="H702" s="0" t="n">
        <f aca="true">CRITBINOM(MAX(0,$C702-D702),MIN(0.6,Matchup!$B$40*SQRT($B702)/(1-MIN(0.75,Matchup!$B$39*$B702))),RAND())</f>
        <v>3</v>
      </c>
      <c r="I702" s="0" t="n">
        <f aca="false">6*D702+(D702-E702-G702)+2*F702+3*H702</f>
        <v>16</v>
      </c>
      <c r="J702" s="0" t="n">
        <f aca="true">CRITBINOM($C702,MIN(0.75,Matchup!$C$39*$B702),RAND())</f>
        <v>3</v>
      </c>
      <c r="K702" s="0" t="n">
        <f aca="true">CRITBINOM(J702,Coefficients!$B$30,RAND())</f>
        <v>1</v>
      </c>
      <c r="L702" s="0" t="n">
        <f aca="true">CRITBINOM(K702,Coefficients!$B$31,RAND())</f>
        <v>0</v>
      </c>
      <c r="M702" s="0" t="n">
        <f aca="true">CRITBINOM(MAX(0,J702-K702),1-Coefficients!$B$32,RAND())</f>
        <v>1</v>
      </c>
      <c r="N702" s="0" t="n">
        <f aca="true">CRITBINOM(MAX(0,$C702-J702),MIN(0.6,Matchup!$C$40*SQRT($B702)/(1-MIN(0.75,Matchup!$C$39*$B702))),RAND())</f>
        <v>3</v>
      </c>
      <c r="O702" s="0" t="n">
        <f aca="false">6*J702+(J702-K702-M702)+2*L702+3*N702</f>
        <v>28</v>
      </c>
      <c r="P702" s="0" t="n">
        <f aca="true">RAND()</f>
        <v>0.817943248110798</v>
      </c>
      <c r="Q702" s="0" t="n">
        <f aca="true">RAND()</f>
        <v>0.0556990304214622</v>
      </c>
      <c r="R702" s="0" t="n">
        <f aca="false">IF($I702&lt;&gt;$O702,0,IF(P702&lt;Matchup!$B$39,7,IF(P702&lt;Matchup!$B$39+Matchup!$B$40,3,0)))</f>
        <v>0</v>
      </c>
      <c r="S702" s="0" t="n">
        <f aca="false">IF($I702&lt;&gt;$O702,0,IF(Q702&lt;Matchup!$C$39,7,IF(Q702&lt;Matchup!$C$39+Matchup!$C$40,3,0)))</f>
        <v>0</v>
      </c>
      <c r="T702" s="0" t="n">
        <f aca="false">I702+R702</f>
        <v>16</v>
      </c>
      <c r="U702" s="0" t="n">
        <f aca="false">O702+S702</f>
        <v>28</v>
      </c>
      <c r="V702" s="0" t="n">
        <f aca="false">T702-U702</f>
        <v>-12</v>
      </c>
      <c r="W702" s="0" t="n">
        <f aca="false">T702+U702</f>
        <v>44</v>
      </c>
    </row>
    <row r="703" customFormat="false" ht="15" hidden="false" customHeight="false" outlineLevel="0" collapsed="false">
      <c r="A703" s="0" t="n">
        <v>700</v>
      </c>
      <c r="B703" s="0" t="n">
        <f aca="true">NORMINV(RAND(),1,Coefficients!$B$22)</f>
        <v>1.09129882488051</v>
      </c>
      <c r="C703" s="0" t="n">
        <f aca="true">MEDIAN(8,16,ROUND(NORMINV(RAND(),Coefficients!$B$20,Coefficients!$B$21),0))</f>
        <v>10</v>
      </c>
      <c r="D703" s="0" t="n">
        <f aca="true">CRITBINOM($C703,MIN(0.75,Matchup!$B$39*$B703),RAND())</f>
        <v>3</v>
      </c>
      <c r="E703" s="0" t="n">
        <f aca="true">CRITBINOM(D703,Coefficients!$B$30,RAND())</f>
        <v>0</v>
      </c>
      <c r="F703" s="0" t="n">
        <f aca="true">CRITBINOM(E703,Coefficients!$B$31,RAND())</f>
        <v>0</v>
      </c>
      <c r="G703" s="0" t="n">
        <f aca="true">CRITBINOM(MAX(0,D703-E703),1-Coefficients!$B$32,RAND())</f>
        <v>0</v>
      </c>
      <c r="H703" s="0" t="n">
        <f aca="true">CRITBINOM(MAX(0,$C703-D703),MIN(0.6,Matchup!$B$40*SQRT($B703)/(1-MIN(0.75,Matchup!$B$39*$B703))),RAND())</f>
        <v>0</v>
      </c>
      <c r="I703" s="0" t="n">
        <f aca="false">6*D703+(D703-E703-G703)+2*F703+3*H703</f>
        <v>21</v>
      </c>
      <c r="J703" s="0" t="n">
        <f aca="true">CRITBINOM($C703,MIN(0.75,Matchup!$C$39*$B703),RAND())</f>
        <v>4</v>
      </c>
      <c r="K703" s="0" t="n">
        <f aca="true">CRITBINOM(J703,Coefficients!$B$30,RAND())</f>
        <v>0</v>
      </c>
      <c r="L703" s="0" t="n">
        <f aca="true">CRITBINOM(K703,Coefficients!$B$31,RAND())</f>
        <v>0</v>
      </c>
      <c r="M703" s="0" t="n">
        <f aca="true">CRITBINOM(MAX(0,J703-K703),1-Coefficients!$B$32,RAND())</f>
        <v>0</v>
      </c>
      <c r="N703" s="0" t="n">
        <f aca="true">CRITBINOM(MAX(0,$C703-J703),MIN(0.6,Matchup!$C$40*SQRT($B703)/(1-MIN(0.75,Matchup!$C$39*$B703))),RAND())</f>
        <v>3</v>
      </c>
      <c r="O703" s="0" t="n">
        <f aca="false">6*J703+(J703-K703-M703)+2*L703+3*N703</f>
        <v>37</v>
      </c>
      <c r="P703" s="0" t="n">
        <f aca="true">RAND()</f>
        <v>0.959641325276231</v>
      </c>
      <c r="Q703" s="0" t="n">
        <f aca="true">RAND()</f>
        <v>0.823686736635879</v>
      </c>
      <c r="R703" s="0" t="n">
        <f aca="false">IF($I703&lt;&gt;$O703,0,IF(P703&lt;Matchup!$B$39,7,IF(P703&lt;Matchup!$B$39+Matchup!$B$40,3,0)))</f>
        <v>0</v>
      </c>
      <c r="S703" s="0" t="n">
        <f aca="false">IF($I703&lt;&gt;$O703,0,IF(Q703&lt;Matchup!$C$39,7,IF(Q703&lt;Matchup!$C$39+Matchup!$C$40,3,0)))</f>
        <v>0</v>
      </c>
      <c r="T703" s="0" t="n">
        <f aca="false">I703+R703</f>
        <v>21</v>
      </c>
      <c r="U703" s="0" t="n">
        <f aca="false">O703+S703</f>
        <v>37</v>
      </c>
      <c r="V703" s="0" t="n">
        <f aca="false">T703-U703</f>
        <v>-16</v>
      </c>
      <c r="W703" s="0" t="n">
        <f aca="false">T703+U703</f>
        <v>58</v>
      </c>
    </row>
    <row r="704" customFormat="false" ht="15" hidden="false" customHeight="false" outlineLevel="0" collapsed="false">
      <c r="A704" s="0" t="n">
        <v>701</v>
      </c>
      <c r="B704" s="0" t="n">
        <f aca="true">NORMINV(RAND(),1,Coefficients!$B$22)</f>
        <v>1.0866044163849</v>
      </c>
      <c r="C704" s="0" t="n">
        <f aca="true">MEDIAN(8,16,ROUND(NORMINV(RAND(),Coefficients!$B$20,Coefficients!$B$21),0))</f>
        <v>11</v>
      </c>
      <c r="D704" s="0" t="n">
        <f aca="true">CRITBINOM($C704,MIN(0.75,Matchup!$B$39*$B704),RAND())</f>
        <v>3</v>
      </c>
      <c r="E704" s="0" t="n">
        <f aca="true">CRITBINOM(D704,Coefficients!$B$30,RAND())</f>
        <v>0</v>
      </c>
      <c r="F704" s="0" t="n">
        <f aca="true">CRITBINOM(E704,Coefficients!$B$31,RAND())</f>
        <v>0</v>
      </c>
      <c r="G704" s="0" t="n">
        <f aca="true">CRITBINOM(MAX(0,D704-E704),1-Coefficients!$B$32,RAND())</f>
        <v>0</v>
      </c>
      <c r="H704" s="0" t="n">
        <f aca="true">CRITBINOM(MAX(0,$C704-D704),MIN(0.6,Matchup!$B$40*SQRT($B704)/(1-MIN(0.75,Matchup!$B$39*$B704))),RAND())</f>
        <v>0</v>
      </c>
      <c r="I704" s="0" t="n">
        <f aca="false">6*D704+(D704-E704-G704)+2*F704+3*H704</f>
        <v>21</v>
      </c>
      <c r="J704" s="0" t="n">
        <f aca="true">CRITBINOM($C704,MIN(0.75,Matchup!$C$39*$B704),RAND())</f>
        <v>5</v>
      </c>
      <c r="K704" s="0" t="n">
        <f aca="true">CRITBINOM(J704,Coefficients!$B$30,RAND())</f>
        <v>1</v>
      </c>
      <c r="L704" s="0" t="n">
        <f aca="true">CRITBINOM(K704,Coefficients!$B$31,RAND())</f>
        <v>0</v>
      </c>
      <c r="M704" s="0" t="n">
        <f aca="true">CRITBINOM(MAX(0,J704-K704),1-Coefficients!$B$32,RAND())</f>
        <v>0</v>
      </c>
      <c r="N704" s="0" t="n">
        <f aca="true">CRITBINOM(MAX(0,$C704-J704),MIN(0.6,Matchup!$C$40*SQRT($B704)/(1-MIN(0.75,Matchup!$C$39*$B704))),RAND())</f>
        <v>0</v>
      </c>
      <c r="O704" s="0" t="n">
        <f aca="false">6*J704+(J704-K704-M704)+2*L704+3*N704</f>
        <v>34</v>
      </c>
      <c r="P704" s="0" t="n">
        <f aca="true">RAND()</f>
        <v>0.208887365162807</v>
      </c>
      <c r="Q704" s="0" t="n">
        <f aca="true">RAND()</f>
        <v>0.300025080003493</v>
      </c>
      <c r="R704" s="0" t="n">
        <f aca="false">IF($I704&lt;&gt;$O704,0,IF(P704&lt;Matchup!$B$39,7,IF(P704&lt;Matchup!$B$39+Matchup!$B$40,3,0)))</f>
        <v>0</v>
      </c>
      <c r="S704" s="0" t="n">
        <f aca="false">IF($I704&lt;&gt;$O704,0,IF(Q704&lt;Matchup!$C$39,7,IF(Q704&lt;Matchup!$C$39+Matchup!$C$40,3,0)))</f>
        <v>0</v>
      </c>
      <c r="T704" s="0" t="n">
        <f aca="false">I704+R704</f>
        <v>21</v>
      </c>
      <c r="U704" s="0" t="n">
        <f aca="false">O704+S704</f>
        <v>34</v>
      </c>
      <c r="V704" s="0" t="n">
        <f aca="false">T704-U704</f>
        <v>-13</v>
      </c>
      <c r="W704" s="0" t="n">
        <f aca="false">T704+U704</f>
        <v>55</v>
      </c>
    </row>
    <row r="705" customFormat="false" ht="15" hidden="false" customHeight="false" outlineLevel="0" collapsed="false">
      <c r="A705" s="0" t="n">
        <v>702</v>
      </c>
      <c r="B705" s="0" t="n">
        <f aca="true">NORMINV(RAND(),1,Coefficients!$B$22)</f>
        <v>1.03862626694695</v>
      </c>
      <c r="C705" s="0" t="n">
        <f aca="true">MEDIAN(8,16,ROUND(NORMINV(RAND(),Coefficients!$B$20,Coefficients!$B$21),0))</f>
        <v>11</v>
      </c>
      <c r="D705" s="0" t="n">
        <f aca="true">CRITBINOM($C705,MIN(0.75,Matchup!$B$39*$B705),RAND())</f>
        <v>4</v>
      </c>
      <c r="E705" s="0" t="n">
        <f aca="true">CRITBINOM(D705,Coefficients!$B$30,RAND())</f>
        <v>0</v>
      </c>
      <c r="F705" s="0" t="n">
        <f aca="true">CRITBINOM(E705,Coefficients!$B$31,RAND())</f>
        <v>0</v>
      </c>
      <c r="G705" s="0" t="n">
        <f aca="true">CRITBINOM(MAX(0,D705-E705),1-Coefficients!$B$32,RAND())</f>
        <v>0</v>
      </c>
      <c r="H705" s="0" t="n">
        <f aca="true">CRITBINOM(MAX(0,$C705-D705),MIN(0.6,Matchup!$B$40*SQRT($B705)/(1-MIN(0.75,Matchup!$B$39*$B705))),RAND())</f>
        <v>2</v>
      </c>
      <c r="I705" s="0" t="n">
        <f aca="false">6*D705+(D705-E705-G705)+2*F705+3*H705</f>
        <v>34</v>
      </c>
      <c r="J705" s="0" t="n">
        <f aca="true">CRITBINOM($C705,MIN(0.75,Matchup!$C$39*$B705),RAND())</f>
        <v>4</v>
      </c>
      <c r="K705" s="0" t="n">
        <f aca="true">CRITBINOM(J705,Coefficients!$B$30,RAND())</f>
        <v>0</v>
      </c>
      <c r="L705" s="0" t="n">
        <f aca="true">CRITBINOM(K705,Coefficients!$B$31,RAND())</f>
        <v>0</v>
      </c>
      <c r="M705" s="0" t="n">
        <f aca="true">CRITBINOM(MAX(0,J705-K705),1-Coefficients!$B$32,RAND())</f>
        <v>0</v>
      </c>
      <c r="N705" s="0" t="n">
        <f aca="true">CRITBINOM(MAX(0,$C705-J705),MIN(0.6,Matchup!$C$40*SQRT($B705)/(1-MIN(0.75,Matchup!$C$39*$B705))),RAND())</f>
        <v>2</v>
      </c>
      <c r="O705" s="0" t="n">
        <f aca="false">6*J705+(J705-K705-M705)+2*L705+3*N705</f>
        <v>34</v>
      </c>
      <c r="P705" s="0" t="n">
        <f aca="true">RAND()</f>
        <v>0.364545789775229</v>
      </c>
      <c r="Q705" s="0" t="n">
        <f aca="true">RAND()</f>
        <v>0.99180592508238</v>
      </c>
      <c r="R705" s="0" t="n">
        <f aca="false">IF($I705&lt;&gt;$O705,0,IF(P705&lt;Matchup!$B$39,7,IF(P705&lt;Matchup!$B$39+Matchup!$B$40,3,0)))</f>
        <v>3</v>
      </c>
      <c r="S705" s="0" t="n">
        <f aca="false">IF($I705&lt;&gt;$O705,0,IF(Q705&lt;Matchup!$C$39,7,IF(Q705&lt;Matchup!$C$39+Matchup!$C$40,3,0)))</f>
        <v>0</v>
      </c>
      <c r="T705" s="0" t="n">
        <f aca="false">I705+R705</f>
        <v>37</v>
      </c>
      <c r="U705" s="0" t="n">
        <f aca="false">O705+S705</f>
        <v>34</v>
      </c>
      <c r="V705" s="0" t="n">
        <f aca="false">T705-U705</f>
        <v>3</v>
      </c>
      <c r="W705" s="0" t="n">
        <f aca="false">T705+U705</f>
        <v>71</v>
      </c>
    </row>
    <row r="706" customFormat="false" ht="15" hidden="false" customHeight="false" outlineLevel="0" collapsed="false">
      <c r="A706" s="0" t="n">
        <v>703</v>
      </c>
      <c r="B706" s="0" t="n">
        <f aca="true">NORMINV(RAND(),1,Coefficients!$B$22)</f>
        <v>1.05594310464099</v>
      </c>
      <c r="C706" s="0" t="n">
        <f aca="true">MEDIAN(8,16,ROUND(NORMINV(RAND(),Coefficients!$B$20,Coefficients!$B$21),0))</f>
        <v>13</v>
      </c>
      <c r="D706" s="0" t="n">
        <f aca="true">CRITBINOM($C706,MIN(0.75,Matchup!$B$39*$B706),RAND())</f>
        <v>4</v>
      </c>
      <c r="E706" s="0" t="n">
        <f aca="true">CRITBINOM(D706,Coefficients!$B$30,RAND())</f>
        <v>1</v>
      </c>
      <c r="F706" s="0" t="n">
        <f aca="true">CRITBINOM(E706,Coefficients!$B$31,RAND())</f>
        <v>1</v>
      </c>
      <c r="G706" s="0" t="n">
        <f aca="true">CRITBINOM(MAX(0,D706-E706),1-Coefficients!$B$32,RAND())</f>
        <v>0</v>
      </c>
      <c r="H706" s="0" t="n">
        <f aca="true">CRITBINOM(MAX(0,$C706-D706),MIN(0.6,Matchup!$B$40*SQRT($B706)/(1-MIN(0.75,Matchup!$B$39*$B706))),RAND())</f>
        <v>2</v>
      </c>
      <c r="I706" s="0" t="n">
        <f aca="false">6*D706+(D706-E706-G706)+2*F706+3*H706</f>
        <v>35</v>
      </c>
      <c r="J706" s="0" t="n">
        <f aca="true">CRITBINOM($C706,MIN(0.75,Matchup!$C$39*$B706),RAND())</f>
        <v>3</v>
      </c>
      <c r="K706" s="0" t="n">
        <f aca="true">CRITBINOM(J706,Coefficients!$B$30,RAND())</f>
        <v>1</v>
      </c>
      <c r="L706" s="0" t="n">
        <f aca="true">CRITBINOM(K706,Coefficients!$B$31,RAND())</f>
        <v>0</v>
      </c>
      <c r="M706" s="0" t="n">
        <f aca="true">CRITBINOM(MAX(0,J706-K706),1-Coefficients!$B$32,RAND())</f>
        <v>0</v>
      </c>
      <c r="N706" s="0" t="n">
        <f aca="true">CRITBINOM(MAX(0,$C706-J706),MIN(0.6,Matchup!$C$40*SQRT($B706)/(1-MIN(0.75,Matchup!$C$39*$B706))),RAND())</f>
        <v>1</v>
      </c>
      <c r="O706" s="0" t="n">
        <f aca="false">6*J706+(J706-K706-M706)+2*L706+3*N706</f>
        <v>23</v>
      </c>
      <c r="P706" s="0" t="n">
        <f aca="true">RAND()</f>
        <v>0.629519332604194</v>
      </c>
      <c r="Q706" s="0" t="n">
        <f aca="true">RAND()</f>
        <v>0.617029706516329</v>
      </c>
      <c r="R706" s="0" t="n">
        <f aca="false">IF($I706&lt;&gt;$O706,0,IF(P706&lt;Matchup!$B$39,7,IF(P706&lt;Matchup!$B$39+Matchup!$B$40,3,0)))</f>
        <v>0</v>
      </c>
      <c r="S706" s="0" t="n">
        <f aca="false">IF($I706&lt;&gt;$O706,0,IF(Q706&lt;Matchup!$C$39,7,IF(Q706&lt;Matchup!$C$39+Matchup!$C$40,3,0)))</f>
        <v>0</v>
      </c>
      <c r="T706" s="0" t="n">
        <f aca="false">I706+R706</f>
        <v>35</v>
      </c>
      <c r="U706" s="0" t="n">
        <f aca="false">O706+S706</f>
        <v>23</v>
      </c>
      <c r="V706" s="0" t="n">
        <f aca="false">T706-U706</f>
        <v>12</v>
      </c>
      <c r="W706" s="0" t="n">
        <f aca="false">T706+U706</f>
        <v>58</v>
      </c>
    </row>
    <row r="707" customFormat="false" ht="15" hidden="false" customHeight="false" outlineLevel="0" collapsed="false">
      <c r="A707" s="0" t="n">
        <v>704</v>
      </c>
      <c r="B707" s="0" t="n">
        <f aca="true">NORMINV(RAND(),1,Coefficients!$B$22)</f>
        <v>0.968545995516165</v>
      </c>
      <c r="C707" s="0" t="n">
        <f aca="true">MEDIAN(8,16,ROUND(NORMINV(RAND(),Coefficients!$B$20,Coefficients!$B$21),0))</f>
        <v>12</v>
      </c>
      <c r="D707" s="0" t="n">
        <f aca="true">CRITBINOM($C707,MIN(0.75,Matchup!$B$39*$B707),RAND())</f>
        <v>1</v>
      </c>
      <c r="E707" s="0" t="n">
        <f aca="true">CRITBINOM(D707,Coefficients!$B$30,RAND())</f>
        <v>0</v>
      </c>
      <c r="F707" s="0" t="n">
        <f aca="true">CRITBINOM(E707,Coefficients!$B$31,RAND())</f>
        <v>0</v>
      </c>
      <c r="G707" s="0" t="n">
        <f aca="true">CRITBINOM(MAX(0,D707-E707),1-Coefficients!$B$32,RAND())</f>
        <v>0</v>
      </c>
      <c r="H707" s="0" t="n">
        <f aca="true">CRITBINOM(MAX(0,$C707-D707),MIN(0.6,Matchup!$B$40*SQRT($B707)/(1-MIN(0.75,Matchup!$B$39*$B707))),RAND())</f>
        <v>3</v>
      </c>
      <c r="I707" s="0" t="n">
        <f aca="false">6*D707+(D707-E707-G707)+2*F707+3*H707</f>
        <v>16</v>
      </c>
      <c r="J707" s="0" t="n">
        <f aca="true">CRITBINOM($C707,MIN(0.75,Matchup!$C$39*$B707),RAND())</f>
        <v>3</v>
      </c>
      <c r="K707" s="0" t="n">
        <f aca="true">CRITBINOM(J707,Coefficients!$B$30,RAND())</f>
        <v>1</v>
      </c>
      <c r="L707" s="0" t="n">
        <f aca="true">CRITBINOM(K707,Coefficients!$B$31,RAND())</f>
        <v>0</v>
      </c>
      <c r="M707" s="0" t="n">
        <f aca="true">CRITBINOM(MAX(0,J707-K707),1-Coefficients!$B$32,RAND())</f>
        <v>0</v>
      </c>
      <c r="N707" s="0" t="n">
        <f aca="true">CRITBINOM(MAX(0,$C707-J707),MIN(0.6,Matchup!$C$40*SQRT($B707)/(1-MIN(0.75,Matchup!$C$39*$B707))),RAND())</f>
        <v>2</v>
      </c>
      <c r="O707" s="0" t="n">
        <f aca="false">6*J707+(J707-K707-M707)+2*L707+3*N707</f>
        <v>26</v>
      </c>
      <c r="P707" s="0" t="n">
        <f aca="true">RAND()</f>
        <v>0.208200439341791</v>
      </c>
      <c r="Q707" s="0" t="n">
        <f aca="true">RAND()</f>
        <v>0.410047897442713</v>
      </c>
      <c r="R707" s="0" t="n">
        <f aca="false">IF($I707&lt;&gt;$O707,0,IF(P707&lt;Matchup!$B$39,7,IF(P707&lt;Matchup!$B$39+Matchup!$B$40,3,0)))</f>
        <v>0</v>
      </c>
      <c r="S707" s="0" t="n">
        <f aca="false">IF($I707&lt;&gt;$O707,0,IF(Q707&lt;Matchup!$C$39,7,IF(Q707&lt;Matchup!$C$39+Matchup!$C$40,3,0)))</f>
        <v>0</v>
      </c>
      <c r="T707" s="0" t="n">
        <f aca="false">I707+R707</f>
        <v>16</v>
      </c>
      <c r="U707" s="0" t="n">
        <f aca="false">O707+S707</f>
        <v>26</v>
      </c>
      <c r="V707" s="0" t="n">
        <f aca="false">T707-U707</f>
        <v>-10</v>
      </c>
      <c r="W707" s="0" t="n">
        <f aca="false">T707+U707</f>
        <v>42</v>
      </c>
    </row>
    <row r="708" customFormat="false" ht="15" hidden="false" customHeight="false" outlineLevel="0" collapsed="false">
      <c r="A708" s="0" t="n">
        <v>705</v>
      </c>
      <c r="B708" s="0" t="n">
        <f aca="true">NORMINV(RAND(),1,Coefficients!$B$22)</f>
        <v>1.05060582801966</v>
      </c>
      <c r="C708" s="0" t="n">
        <f aca="true">MEDIAN(8,16,ROUND(NORMINV(RAND(),Coefficients!$B$20,Coefficients!$B$21),0))</f>
        <v>10</v>
      </c>
      <c r="D708" s="0" t="n">
        <f aca="true">CRITBINOM($C708,MIN(0.75,Matchup!$B$39*$B708),RAND())</f>
        <v>3</v>
      </c>
      <c r="E708" s="0" t="n">
        <f aca="true">CRITBINOM(D708,Coefficients!$B$30,RAND())</f>
        <v>0</v>
      </c>
      <c r="F708" s="0" t="n">
        <f aca="true">CRITBINOM(E708,Coefficients!$B$31,RAND())</f>
        <v>0</v>
      </c>
      <c r="G708" s="0" t="n">
        <f aca="true">CRITBINOM(MAX(0,D708-E708),1-Coefficients!$B$32,RAND())</f>
        <v>0</v>
      </c>
      <c r="H708" s="0" t="n">
        <f aca="true">CRITBINOM(MAX(0,$C708-D708),MIN(0.6,Matchup!$B$40*SQRT($B708)/(1-MIN(0.75,Matchup!$B$39*$B708))),RAND())</f>
        <v>0</v>
      </c>
      <c r="I708" s="0" t="n">
        <f aca="false">6*D708+(D708-E708-G708)+2*F708+3*H708</f>
        <v>21</v>
      </c>
      <c r="J708" s="0" t="n">
        <f aca="true">CRITBINOM($C708,MIN(0.75,Matchup!$C$39*$B708),RAND())</f>
        <v>2</v>
      </c>
      <c r="K708" s="0" t="n">
        <f aca="true">CRITBINOM(J708,Coefficients!$B$30,RAND())</f>
        <v>0</v>
      </c>
      <c r="L708" s="0" t="n">
        <f aca="true">CRITBINOM(K708,Coefficients!$B$31,RAND())</f>
        <v>0</v>
      </c>
      <c r="M708" s="0" t="n">
        <f aca="true">CRITBINOM(MAX(0,J708-K708),1-Coefficients!$B$32,RAND())</f>
        <v>0</v>
      </c>
      <c r="N708" s="0" t="n">
        <f aca="true">CRITBINOM(MAX(0,$C708-J708),MIN(0.6,Matchup!$C$40*SQRT($B708)/(1-MIN(0.75,Matchup!$C$39*$B708))),RAND())</f>
        <v>0</v>
      </c>
      <c r="O708" s="0" t="n">
        <f aca="false">6*J708+(J708-K708-M708)+2*L708+3*N708</f>
        <v>14</v>
      </c>
      <c r="P708" s="0" t="n">
        <f aca="true">RAND()</f>
        <v>0.715796664038776</v>
      </c>
      <c r="Q708" s="0" t="n">
        <f aca="true">RAND()</f>
        <v>0.334769222827195</v>
      </c>
      <c r="R708" s="0" t="n">
        <f aca="false">IF($I708&lt;&gt;$O708,0,IF(P708&lt;Matchup!$B$39,7,IF(P708&lt;Matchup!$B$39+Matchup!$B$40,3,0)))</f>
        <v>0</v>
      </c>
      <c r="S708" s="0" t="n">
        <f aca="false">IF($I708&lt;&gt;$O708,0,IF(Q708&lt;Matchup!$C$39,7,IF(Q708&lt;Matchup!$C$39+Matchup!$C$40,3,0)))</f>
        <v>0</v>
      </c>
      <c r="T708" s="0" t="n">
        <f aca="false">I708+R708</f>
        <v>21</v>
      </c>
      <c r="U708" s="0" t="n">
        <f aca="false">O708+S708</f>
        <v>14</v>
      </c>
      <c r="V708" s="0" t="n">
        <f aca="false">T708-U708</f>
        <v>7</v>
      </c>
      <c r="W708" s="0" t="n">
        <f aca="false">T708+U708</f>
        <v>35</v>
      </c>
    </row>
    <row r="709" customFormat="false" ht="15" hidden="false" customHeight="false" outlineLevel="0" collapsed="false">
      <c r="A709" s="0" t="n">
        <v>706</v>
      </c>
      <c r="B709" s="0" t="n">
        <f aca="true">NORMINV(RAND(),1,Coefficients!$B$22)</f>
        <v>0.869442657748892</v>
      </c>
      <c r="C709" s="0" t="n">
        <f aca="true">MEDIAN(8,16,ROUND(NORMINV(RAND(),Coefficients!$B$20,Coefficients!$B$21),0))</f>
        <v>11</v>
      </c>
      <c r="D709" s="0" t="n">
        <f aca="true">CRITBINOM($C709,MIN(0.75,Matchup!$B$39*$B709),RAND())</f>
        <v>2</v>
      </c>
      <c r="E709" s="0" t="n">
        <f aca="true">CRITBINOM(D709,Coefficients!$B$30,RAND())</f>
        <v>1</v>
      </c>
      <c r="F709" s="0" t="n">
        <f aca="true">CRITBINOM(E709,Coefficients!$B$31,RAND())</f>
        <v>0</v>
      </c>
      <c r="G709" s="0" t="n">
        <f aca="true">CRITBINOM(MAX(0,D709-E709),1-Coefficients!$B$32,RAND())</f>
        <v>0</v>
      </c>
      <c r="H709" s="0" t="n">
        <f aca="true">CRITBINOM(MAX(0,$C709-D709),MIN(0.6,Matchup!$B$40*SQRT($B709)/(1-MIN(0.75,Matchup!$B$39*$B709))),RAND())</f>
        <v>3</v>
      </c>
      <c r="I709" s="0" t="n">
        <f aca="false">6*D709+(D709-E709-G709)+2*F709+3*H709</f>
        <v>22</v>
      </c>
      <c r="J709" s="0" t="n">
        <f aca="true">CRITBINOM($C709,MIN(0.75,Matchup!$C$39*$B709),RAND())</f>
        <v>1</v>
      </c>
      <c r="K709" s="0" t="n">
        <f aca="true">CRITBINOM(J709,Coefficients!$B$30,RAND())</f>
        <v>0</v>
      </c>
      <c r="L709" s="0" t="n">
        <f aca="true">CRITBINOM(K709,Coefficients!$B$31,RAND())</f>
        <v>0</v>
      </c>
      <c r="M709" s="0" t="n">
        <f aca="true">CRITBINOM(MAX(0,J709-K709),1-Coefficients!$B$32,RAND())</f>
        <v>0</v>
      </c>
      <c r="N709" s="0" t="n">
        <f aca="true">CRITBINOM(MAX(0,$C709-J709),MIN(0.6,Matchup!$C$40*SQRT($B709)/(1-MIN(0.75,Matchup!$C$39*$B709))),RAND())</f>
        <v>1</v>
      </c>
      <c r="O709" s="0" t="n">
        <f aca="false">6*J709+(J709-K709-M709)+2*L709+3*N709</f>
        <v>10</v>
      </c>
      <c r="P709" s="0" t="n">
        <f aca="true">RAND()</f>
        <v>0.380548317853861</v>
      </c>
      <c r="Q709" s="0" t="n">
        <f aca="true">RAND()</f>
        <v>0.903242582625637</v>
      </c>
      <c r="R709" s="0" t="n">
        <f aca="false">IF($I709&lt;&gt;$O709,0,IF(P709&lt;Matchup!$B$39,7,IF(P709&lt;Matchup!$B$39+Matchup!$B$40,3,0)))</f>
        <v>0</v>
      </c>
      <c r="S709" s="0" t="n">
        <f aca="false">IF($I709&lt;&gt;$O709,0,IF(Q709&lt;Matchup!$C$39,7,IF(Q709&lt;Matchup!$C$39+Matchup!$C$40,3,0)))</f>
        <v>0</v>
      </c>
      <c r="T709" s="0" t="n">
        <f aca="false">I709+R709</f>
        <v>22</v>
      </c>
      <c r="U709" s="0" t="n">
        <f aca="false">O709+S709</f>
        <v>10</v>
      </c>
      <c r="V709" s="0" t="n">
        <f aca="false">T709-U709</f>
        <v>12</v>
      </c>
      <c r="W709" s="0" t="n">
        <f aca="false">T709+U709</f>
        <v>32</v>
      </c>
    </row>
    <row r="710" customFormat="false" ht="15" hidden="false" customHeight="false" outlineLevel="0" collapsed="false">
      <c r="A710" s="0" t="n">
        <v>707</v>
      </c>
      <c r="B710" s="0" t="n">
        <f aca="true">NORMINV(RAND(),1,Coefficients!$B$22)</f>
        <v>1.00203121299847</v>
      </c>
      <c r="C710" s="0" t="n">
        <f aca="true">MEDIAN(8,16,ROUND(NORMINV(RAND(),Coefficients!$B$20,Coefficients!$B$21),0))</f>
        <v>12</v>
      </c>
      <c r="D710" s="0" t="n">
        <f aca="true">CRITBINOM($C710,MIN(0.75,Matchup!$B$39*$B710),RAND())</f>
        <v>1</v>
      </c>
      <c r="E710" s="0" t="n">
        <f aca="true">CRITBINOM(D710,Coefficients!$B$30,RAND())</f>
        <v>0</v>
      </c>
      <c r="F710" s="0" t="n">
        <f aca="true">CRITBINOM(E710,Coefficients!$B$31,RAND())</f>
        <v>0</v>
      </c>
      <c r="G710" s="0" t="n">
        <f aca="true">CRITBINOM(MAX(0,D710-E710),1-Coefficients!$B$32,RAND())</f>
        <v>0</v>
      </c>
      <c r="H710" s="0" t="n">
        <f aca="true">CRITBINOM(MAX(0,$C710-D710),MIN(0.6,Matchup!$B$40*SQRT($B710)/(1-MIN(0.75,Matchup!$B$39*$B710))),RAND())</f>
        <v>4</v>
      </c>
      <c r="I710" s="0" t="n">
        <f aca="false">6*D710+(D710-E710-G710)+2*F710+3*H710</f>
        <v>19</v>
      </c>
      <c r="J710" s="0" t="n">
        <f aca="true">CRITBINOM($C710,MIN(0.75,Matchup!$C$39*$B710),RAND())</f>
        <v>2</v>
      </c>
      <c r="K710" s="0" t="n">
        <f aca="true">CRITBINOM(J710,Coefficients!$B$30,RAND())</f>
        <v>0</v>
      </c>
      <c r="L710" s="0" t="n">
        <f aca="true">CRITBINOM(K710,Coefficients!$B$31,RAND())</f>
        <v>0</v>
      </c>
      <c r="M710" s="0" t="n">
        <f aca="true">CRITBINOM(MAX(0,J710-K710),1-Coefficients!$B$32,RAND())</f>
        <v>0</v>
      </c>
      <c r="N710" s="0" t="n">
        <f aca="true">CRITBINOM(MAX(0,$C710-J710),MIN(0.6,Matchup!$C$40*SQRT($B710)/(1-MIN(0.75,Matchup!$C$39*$B710))),RAND())</f>
        <v>0</v>
      </c>
      <c r="O710" s="0" t="n">
        <f aca="false">6*J710+(J710-K710-M710)+2*L710+3*N710</f>
        <v>14</v>
      </c>
      <c r="P710" s="0" t="n">
        <f aca="true">RAND()</f>
        <v>0.0496172158140975</v>
      </c>
      <c r="Q710" s="0" t="n">
        <f aca="true">RAND()</f>
        <v>0.277393090569241</v>
      </c>
      <c r="R710" s="0" t="n">
        <f aca="false">IF($I710&lt;&gt;$O710,0,IF(P710&lt;Matchup!$B$39,7,IF(P710&lt;Matchup!$B$39+Matchup!$B$40,3,0)))</f>
        <v>0</v>
      </c>
      <c r="S710" s="0" t="n">
        <f aca="false">IF($I710&lt;&gt;$O710,0,IF(Q710&lt;Matchup!$C$39,7,IF(Q710&lt;Matchup!$C$39+Matchup!$C$40,3,0)))</f>
        <v>0</v>
      </c>
      <c r="T710" s="0" t="n">
        <f aca="false">I710+R710</f>
        <v>19</v>
      </c>
      <c r="U710" s="0" t="n">
        <f aca="false">O710+S710</f>
        <v>14</v>
      </c>
      <c r="V710" s="0" t="n">
        <f aca="false">T710-U710</f>
        <v>5</v>
      </c>
      <c r="W710" s="0" t="n">
        <f aca="false">T710+U710</f>
        <v>33</v>
      </c>
    </row>
    <row r="711" customFormat="false" ht="15" hidden="false" customHeight="false" outlineLevel="0" collapsed="false">
      <c r="A711" s="0" t="n">
        <v>708</v>
      </c>
      <c r="B711" s="0" t="n">
        <f aca="true">NORMINV(RAND(),1,Coefficients!$B$22)</f>
        <v>0.948997057703702</v>
      </c>
      <c r="C711" s="0" t="n">
        <f aca="true">MEDIAN(8,16,ROUND(NORMINV(RAND(),Coefficients!$B$20,Coefficients!$B$21),0))</f>
        <v>13</v>
      </c>
      <c r="D711" s="0" t="n">
        <f aca="true">CRITBINOM($C711,MIN(0.75,Matchup!$B$39*$B711),RAND())</f>
        <v>3</v>
      </c>
      <c r="E711" s="0" t="n">
        <f aca="true">CRITBINOM(D711,Coefficients!$B$30,RAND())</f>
        <v>0</v>
      </c>
      <c r="F711" s="0" t="n">
        <f aca="true">CRITBINOM(E711,Coefficients!$B$31,RAND())</f>
        <v>0</v>
      </c>
      <c r="G711" s="0" t="n">
        <f aca="true">CRITBINOM(MAX(0,D711-E711),1-Coefficients!$B$32,RAND())</f>
        <v>0</v>
      </c>
      <c r="H711" s="0" t="n">
        <f aca="true">CRITBINOM(MAX(0,$C711-D711),MIN(0.6,Matchup!$B$40*SQRT($B711)/(1-MIN(0.75,Matchup!$B$39*$B711))),RAND())</f>
        <v>0</v>
      </c>
      <c r="I711" s="0" t="n">
        <f aca="false">6*D711+(D711-E711-G711)+2*F711+3*H711</f>
        <v>21</v>
      </c>
      <c r="J711" s="0" t="n">
        <f aca="true">CRITBINOM($C711,MIN(0.75,Matchup!$C$39*$B711),RAND())</f>
        <v>3</v>
      </c>
      <c r="K711" s="0" t="n">
        <f aca="true">CRITBINOM(J711,Coefficients!$B$30,RAND())</f>
        <v>0</v>
      </c>
      <c r="L711" s="0" t="n">
        <f aca="true">CRITBINOM(K711,Coefficients!$B$31,RAND())</f>
        <v>0</v>
      </c>
      <c r="M711" s="0" t="n">
        <f aca="true">CRITBINOM(MAX(0,J711-K711),1-Coefficients!$B$32,RAND())</f>
        <v>0</v>
      </c>
      <c r="N711" s="0" t="n">
        <f aca="true">CRITBINOM(MAX(0,$C711-J711),MIN(0.6,Matchup!$C$40*SQRT($B711)/(1-MIN(0.75,Matchup!$C$39*$B711))),RAND())</f>
        <v>1</v>
      </c>
      <c r="O711" s="0" t="n">
        <f aca="false">6*J711+(J711-K711-M711)+2*L711+3*N711</f>
        <v>24</v>
      </c>
      <c r="P711" s="0" t="n">
        <f aca="true">RAND()</f>
        <v>0.981567893334859</v>
      </c>
      <c r="Q711" s="0" t="n">
        <f aca="true">RAND()</f>
        <v>0.582792245985927</v>
      </c>
      <c r="R711" s="0" t="n">
        <f aca="false">IF($I711&lt;&gt;$O711,0,IF(P711&lt;Matchup!$B$39,7,IF(P711&lt;Matchup!$B$39+Matchup!$B$40,3,0)))</f>
        <v>0</v>
      </c>
      <c r="S711" s="0" t="n">
        <f aca="false">IF($I711&lt;&gt;$O711,0,IF(Q711&lt;Matchup!$C$39,7,IF(Q711&lt;Matchup!$C$39+Matchup!$C$40,3,0)))</f>
        <v>0</v>
      </c>
      <c r="T711" s="0" t="n">
        <f aca="false">I711+R711</f>
        <v>21</v>
      </c>
      <c r="U711" s="0" t="n">
        <f aca="false">O711+S711</f>
        <v>24</v>
      </c>
      <c r="V711" s="0" t="n">
        <f aca="false">T711-U711</f>
        <v>-3</v>
      </c>
      <c r="W711" s="0" t="n">
        <f aca="false">T711+U711</f>
        <v>45</v>
      </c>
    </row>
    <row r="712" customFormat="false" ht="15" hidden="false" customHeight="false" outlineLevel="0" collapsed="false">
      <c r="A712" s="0" t="n">
        <v>709</v>
      </c>
      <c r="B712" s="0" t="n">
        <f aca="true">NORMINV(RAND(),1,Coefficients!$B$22)</f>
        <v>0.98452284736186</v>
      </c>
      <c r="C712" s="0" t="n">
        <f aca="true">MEDIAN(8,16,ROUND(NORMINV(RAND(),Coefficients!$B$20,Coefficients!$B$21),0))</f>
        <v>11</v>
      </c>
      <c r="D712" s="0" t="n">
        <f aca="true">CRITBINOM($C712,MIN(0.75,Matchup!$B$39*$B712),RAND())</f>
        <v>3</v>
      </c>
      <c r="E712" s="0" t="n">
        <f aca="true">CRITBINOM(D712,Coefficients!$B$30,RAND())</f>
        <v>0</v>
      </c>
      <c r="F712" s="0" t="n">
        <f aca="true">CRITBINOM(E712,Coefficients!$B$31,RAND())</f>
        <v>0</v>
      </c>
      <c r="G712" s="0" t="n">
        <f aca="true">CRITBINOM(MAX(0,D712-E712),1-Coefficients!$B$32,RAND())</f>
        <v>0</v>
      </c>
      <c r="H712" s="0" t="n">
        <f aca="true">CRITBINOM(MAX(0,$C712-D712),MIN(0.6,Matchup!$B$40*SQRT($B712)/(1-MIN(0.75,Matchup!$B$39*$B712))),RAND())</f>
        <v>3</v>
      </c>
      <c r="I712" s="0" t="n">
        <f aca="false">6*D712+(D712-E712-G712)+2*F712+3*H712</f>
        <v>30</v>
      </c>
      <c r="J712" s="0" t="n">
        <f aca="true">CRITBINOM($C712,MIN(0.75,Matchup!$C$39*$B712),RAND())</f>
        <v>4</v>
      </c>
      <c r="K712" s="0" t="n">
        <f aca="true">CRITBINOM(J712,Coefficients!$B$30,RAND())</f>
        <v>0</v>
      </c>
      <c r="L712" s="0" t="n">
        <f aca="true">CRITBINOM(K712,Coefficients!$B$31,RAND())</f>
        <v>0</v>
      </c>
      <c r="M712" s="0" t="n">
        <f aca="true">CRITBINOM(MAX(0,J712-K712),1-Coefficients!$B$32,RAND())</f>
        <v>0</v>
      </c>
      <c r="N712" s="0" t="n">
        <f aca="true">CRITBINOM(MAX(0,$C712-J712),MIN(0.6,Matchup!$C$40*SQRT($B712)/(1-MIN(0.75,Matchup!$C$39*$B712))),RAND())</f>
        <v>2</v>
      </c>
      <c r="O712" s="0" t="n">
        <f aca="false">6*J712+(J712-K712-M712)+2*L712+3*N712</f>
        <v>34</v>
      </c>
      <c r="P712" s="0" t="n">
        <f aca="true">RAND()</f>
        <v>0.71871848472647</v>
      </c>
      <c r="Q712" s="0" t="n">
        <f aca="true">RAND()</f>
        <v>0.89044265947939</v>
      </c>
      <c r="R712" s="0" t="n">
        <f aca="false">IF($I712&lt;&gt;$O712,0,IF(P712&lt;Matchup!$B$39,7,IF(P712&lt;Matchup!$B$39+Matchup!$B$40,3,0)))</f>
        <v>0</v>
      </c>
      <c r="S712" s="0" t="n">
        <f aca="false">IF($I712&lt;&gt;$O712,0,IF(Q712&lt;Matchup!$C$39,7,IF(Q712&lt;Matchup!$C$39+Matchup!$C$40,3,0)))</f>
        <v>0</v>
      </c>
      <c r="T712" s="0" t="n">
        <f aca="false">I712+R712</f>
        <v>30</v>
      </c>
      <c r="U712" s="0" t="n">
        <f aca="false">O712+S712</f>
        <v>34</v>
      </c>
      <c r="V712" s="0" t="n">
        <f aca="false">T712-U712</f>
        <v>-4</v>
      </c>
      <c r="W712" s="0" t="n">
        <f aca="false">T712+U712</f>
        <v>64</v>
      </c>
    </row>
    <row r="713" customFormat="false" ht="15" hidden="false" customHeight="false" outlineLevel="0" collapsed="false">
      <c r="A713" s="0" t="n">
        <v>710</v>
      </c>
      <c r="B713" s="0" t="n">
        <f aca="true">NORMINV(RAND(),1,Coefficients!$B$22)</f>
        <v>0.997286588464049</v>
      </c>
      <c r="C713" s="0" t="n">
        <f aca="true">MEDIAN(8,16,ROUND(NORMINV(RAND(),Coefficients!$B$20,Coefficients!$B$21),0))</f>
        <v>11</v>
      </c>
      <c r="D713" s="0" t="n">
        <f aca="true">CRITBINOM($C713,MIN(0.75,Matchup!$B$39*$B713),RAND())</f>
        <v>1</v>
      </c>
      <c r="E713" s="0" t="n">
        <f aca="true">CRITBINOM(D713,Coefficients!$B$30,RAND())</f>
        <v>1</v>
      </c>
      <c r="F713" s="0" t="n">
        <f aca="true">CRITBINOM(E713,Coefficients!$B$31,RAND())</f>
        <v>0</v>
      </c>
      <c r="G713" s="0" t="n">
        <f aca="true">CRITBINOM(MAX(0,D713-E713),1-Coefficients!$B$32,RAND())</f>
        <v>0</v>
      </c>
      <c r="H713" s="0" t="n">
        <f aca="true">CRITBINOM(MAX(0,$C713-D713),MIN(0.6,Matchup!$B$40*SQRT($B713)/(1-MIN(0.75,Matchup!$B$39*$B713))),RAND())</f>
        <v>3</v>
      </c>
      <c r="I713" s="0" t="n">
        <f aca="false">6*D713+(D713-E713-G713)+2*F713+3*H713</f>
        <v>15</v>
      </c>
      <c r="J713" s="0" t="n">
        <f aca="true">CRITBINOM($C713,MIN(0.75,Matchup!$C$39*$B713),RAND())</f>
        <v>2</v>
      </c>
      <c r="K713" s="0" t="n">
        <f aca="true">CRITBINOM(J713,Coefficients!$B$30,RAND())</f>
        <v>0</v>
      </c>
      <c r="L713" s="0" t="n">
        <f aca="true">CRITBINOM(K713,Coefficients!$B$31,RAND())</f>
        <v>0</v>
      </c>
      <c r="M713" s="0" t="n">
        <f aca="true">CRITBINOM(MAX(0,J713-K713),1-Coefficients!$B$32,RAND())</f>
        <v>0</v>
      </c>
      <c r="N713" s="0" t="n">
        <f aca="true">CRITBINOM(MAX(0,$C713-J713),MIN(0.6,Matchup!$C$40*SQRT($B713)/(1-MIN(0.75,Matchup!$C$39*$B713))),RAND())</f>
        <v>2</v>
      </c>
      <c r="O713" s="0" t="n">
        <f aca="false">6*J713+(J713-K713-M713)+2*L713+3*N713</f>
        <v>20</v>
      </c>
      <c r="P713" s="0" t="n">
        <f aca="true">RAND()</f>
        <v>0.594985552155171</v>
      </c>
      <c r="Q713" s="0" t="n">
        <f aca="true">RAND()</f>
        <v>0.539103146002498</v>
      </c>
      <c r="R713" s="0" t="n">
        <f aca="false">IF($I713&lt;&gt;$O713,0,IF(P713&lt;Matchup!$B$39,7,IF(P713&lt;Matchup!$B$39+Matchup!$B$40,3,0)))</f>
        <v>0</v>
      </c>
      <c r="S713" s="0" t="n">
        <f aca="false">IF($I713&lt;&gt;$O713,0,IF(Q713&lt;Matchup!$C$39,7,IF(Q713&lt;Matchup!$C$39+Matchup!$C$40,3,0)))</f>
        <v>0</v>
      </c>
      <c r="T713" s="0" t="n">
        <f aca="false">I713+R713</f>
        <v>15</v>
      </c>
      <c r="U713" s="0" t="n">
        <f aca="false">O713+S713</f>
        <v>20</v>
      </c>
      <c r="V713" s="0" t="n">
        <f aca="false">T713-U713</f>
        <v>-5</v>
      </c>
      <c r="W713" s="0" t="n">
        <f aca="false">T713+U713</f>
        <v>35</v>
      </c>
    </row>
    <row r="714" customFormat="false" ht="15" hidden="false" customHeight="false" outlineLevel="0" collapsed="false">
      <c r="A714" s="0" t="n">
        <v>711</v>
      </c>
      <c r="B714" s="0" t="n">
        <f aca="true">NORMINV(RAND(),1,Coefficients!$B$22)</f>
        <v>1.06951060234999</v>
      </c>
      <c r="C714" s="0" t="n">
        <f aca="true">MEDIAN(8,16,ROUND(NORMINV(RAND(),Coefficients!$B$20,Coefficients!$B$21),0))</f>
        <v>12</v>
      </c>
      <c r="D714" s="0" t="n">
        <f aca="true">CRITBINOM($C714,MIN(0.75,Matchup!$B$39*$B714),RAND())</f>
        <v>1</v>
      </c>
      <c r="E714" s="0" t="n">
        <f aca="true">CRITBINOM(D714,Coefficients!$B$30,RAND())</f>
        <v>0</v>
      </c>
      <c r="F714" s="0" t="n">
        <f aca="true">CRITBINOM(E714,Coefficients!$B$31,RAND())</f>
        <v>0</v>
      </c>
      <c r="G714" s="0" t="n">
        <f aca="true">CRITBINOM(MAX(0,D714-E714),1-Coefficients!$B$32,RAND())</f>
        <v>0</v>
      </c>
      <c r="H714" s="0" t="n">
        <f aca="true">CRITBINOM(MAX(0,$C714-D714),MIN(0.6,Matchup!$B$40*SQRT($B714)/(1-MIN(0.75,Matchup!$B$39*$B714))),RAND())</f>
        <v>3</v>
      </c>
      <c r="I714" s="0" t="n">
        <f aca="false">6*D714+(D714-E714-G714)+2*F714+3*H714</f>
        <v>16</v>
      </c>
      <c r="J714" s="0" t="n">
        <f aca="true">CRITBINOM($C714,MIN(0.75,Matchup!$C$39*$B714),RAND())</f>
        <v>2</v>
      </c>
      <c r="K714" s="0" t="n">
        <f aca="true">CRITBINOM(J714,Coefficients!$B$30,RAND())</f>
        <v>0</v>
      </c>
      <c r="L714" s="0" t="n">
        <f aca="true">CRITBINOM(K714,Coefficients!$B$31,RAND())</f>
        <v>0</v>
      </c>
      <c r="M714" s="0" t="n">
        <f aca="true">CRITBINOM(MAX(0,J714-K714),1-Coefficients!$B$32,RAND())</f>
        <v>0</v>
      </c>
      <c r="N714" s="0" t="n">
        <f aca="true">CRITBINOM(MAX(0,$C714-J714),MIN(0.6,Matchup!$C$40*SQRT($B714)/(1-MIN(0.75,Matchup!$C$39*$B714))),RAND())</f>
        <v>3</v>
      </c>
      <c r="O714" s="0" t="n">
        <f aca="false">6*J714+(J714-K714-M714)+2*L714+3*N714</f>
        <v>23</v>
      </c>
      <c r="P714" s="0" t="n">
        <f aca="true">RAND()</f>
        <v>0.679203705376831</v>
      </c>
      <c r="Q714" s="0" t="n">
        <f aca="true">RAND()</f>
        <v>0.499812663982032</v>
      </c>
      <c r="R714" s="0" t="n">
        <f aca="false">IF($I714&lt;&gt;$O714,0,IF(P714&lt;Matchup!$B$39,7,IF(P714&lt;Matchup!$B$39+Matchup!$B$40,3,0)))</f>
        <v>0</v>
      </c>
      <c r="S714" s="0" t="n">
        <f aca="false">IF($I714&lt;&gt;$O714,0,IF(Q714&lt;Matchup!$C$39,7,IF(Q714&lt;Matchup!$C$39+Matchup!$C$40,3,0)))</f>
        <v>0</v>
      </c>
      <c r="T714" s="0" t="n">
        <f aca="false">I714+R714</f>
        <v>16</v>
      </c>
      <c r="U714" s="0" t="n">
        <f aca="false">O714+S714</f>
        <v>23</v>
      </c>
      <c r="V714" s="0" t="n">
        <f aca="false">T714-U714</f>
        <v>-7</v>
      </c>
      <c r="W714" s="0" t="n">
        <f aca="false">T714+U714</f>
        <v>39</v>
      </c>
    </row>
    <row r="715" customFormat="false" ht="15" hidden="false" customHeight="false" outlineLevel="0" collapsed="false">
      <c r="A715" s="0" t="n">
        <v>712</v>
      </c>
      <c r="B715" s="0" t="n">
        <f aca="true">NORMINV(RAND(),1,Coefficients!$B$22)</f>
        <v>0.955003475136347</v>
      </c>
      <c r="C715" s="0" t="n">
        <f aca="true">MEDIAN(8,16,ROUND(NORMINV(RAND(),Coefficients!$B$20,Coefficients!$B$21),0))</f>
        <v>10</v>
      </c>
      <c r="D715" s="0" t="n">
        <f aca="true">CRITBINOM($C715,MIN(0.75,Matchup!$B$39*$B715),RAND())</f>
        <v>1</v>
      </c>
      <c r="E715" s="0" t="n">
        <f aca="true">CRITBINOM(D715,Coefficients!$B$30,RAND())</f>
        <v>0</v>
      </c>
      <c r="F715" s="0" t="n">
        <f aca="true">CRITBINOM(E715,Coefficients!$B$31,RAND())</f>
        <v>0</v>
      </c>
      <c r="G715" s="0" t="n">
        <f aca="true">CRITBINOM(MAX(0,D715-E715),1-Coefficients!$B$32,RAND())</f>
        <v>0</v>
      </c>
      <c r="H715" s="0" t="n">
        <f aca="true">CRITBINOM(MAX(0,$C715-D715),MIN(0.6,Matchup!$B$40*SQRT($B715)/(1-MIN(0.75,Matchup!$B$39*$B715))),RAND())</f>
        <v>2</v>
      </c>
      <c r="I715" s="0" t="n">
        <f aca="false">6*D715+(D715-E715-G715)+2*F715+3*H715</f>
        <v>13</v>
      </c>
      <c r="J715" s="0" t="n">
        <f aca="true">CRITBINOM($C715,MIN(0.75,Matchup!$C$39*$B715),RAND())</f>
        <v>2</v>
      </c>
      <c r="K715" s="0" t="n">
        <f aca="true">CRITBINOM(J715,Coefficients!$B$30,RAND())</f>
        <v>0</v>
      </c>
      <c r="L715" s="0" t="n">
        <f aca="true">CRITBINOM(K715,Coefficients!$B$31,RAND())</f>
        <v>0</v>
      </c>
      <c r="M715" s="0" t="n">
        <f aca="true">CRITBINOM(MAX(0,J715-K715),1-Coefficients!$B$32,RAND())</f>
        <v>0</v>
      </c>
      <c r="N715" s="0" t="n">
        <f aca="true">CRITBINOM(MAX(0,$C715-J715),MIN(0.6,Matchup!$C$40*SQRT($B715)/(1-MIN(0.75,Matchup!$C$39*$B715))),RAND())</f>
        <v>2</v>
      </c>
      <c r="O715" s="0" t="n">
        <f aca="false">6*J715+(J715-K715-M715)+2*L715+3*N715</f>
        <v>20</v>
      </c>
      <c r="P715" s="0" t="n">
        <f aca="true">RAND()</f>
        <v>0.280241362565028</v>
      </c>
      <c r="Q715" s="0" t="n">
        <f aca="true">RAND()</f>
        <v>0.228957550229721</v>
      </c>
      <c r="R715" s="0" t="n">
        <f aca="false">IF($I715&lt;&gt;$O715,0,IF(P715&lt;Matchup!$B$39,7,IF(P715&lt;Matchup!$B$39+Matchup!$B$40,3,0)))</f>
        <v>0</v>
      </c>
      <c r="S715" s="0" t="n">
        <f aca="false">IF($I715&lt;&gt;$O715,0,IF(Q715&lt;Matchup!$C$39,7,IF(Q715&lt;Matchup!$C$39+Matchup!$C$40,3,0)))</f>
        <v>0</v>
      </c>
      <c r="T715" s="0" t="n">
        <f aca="false">I715+R715</f>
        <v>13</v>
      </c>
      <c r="U715" s="0" t="n">
        <f aca="false">O715+S715</f>
        <v>20</v>
      </c>
      <c r="V715" s="0" t="n">
        <f aca="false">T715-U715</f>
        <v>-7</v>
      </c>
      <c r="W715" s="0" t="n">
        <f aca="false">T715+U715</f>
        <v>33</v>
      </c>
    </row>
    <row r="716" customFormat="false" ht="15" hidden="false" customHeight="false" outlineLevel="0" collapsed="false">
      <c r="A716" s="0" t="n">
        <v>713</v>
      </c>
      <c r="B716" s="0" t="n">
        <f aca="true">NORMINV(RAND(),1,Coefficients!$B$22)</f>
        <v>1.06509704617337</v>
      </c>
      <c r="C716" s="0" t="n">
        <f aca="true">MEDIAN(8,16,ROUND(NORMINV(RAND(),Coefficients!$B$20,Coefficients!$B$21),0))</f>
        <v>12</v>
      </c>
      <c r="D716" s="0" t="n">
        <f aca="true">CRITBINOM($C716,MIN(0.75,Matchup!$B$39*$B716),RAND())</f>
        <v>4</v>
      </c>
      <c r="E716" s="0" t="n">
        <f aca="true">CRITBINOM(D716,Coefficients!$B$30,RAND())</f>
        <v>0</v>
      </c>
      <c r="F716" s="0" t="n">
        <f aca="true">CRITBINOM(E716,Coefficients!$B$31,RAND())</f>
        <v>0</v>
      </c>
      <c r="G716" s="0" t="n">
        <f aca="true">CRITBINOM(MAX(0,D716-E716),1-Coefficients!$B$32,RAND())</f>
        <v>0</v>
      </c>
      <c r="H716" s="0" t="n">
        <f aca="true">CRITBINOM(MAX(0,$C716-D716),MIN(0.6,Matchup!$B$40*SQRT($B716)/(1-MIN(0.75,Matchup!$B$39*$B716))),RAND())</f>
        <v>2</v>
      </c>
      <c r="I716" s="0" t="n">
        <f aca="false">6*D716+(D716-E716-G716)+2*F716+3*H716</f>
        <v>34</v>
      </c>
      <c r="J716" s="0" t="n">
        <f aca="true">CRITBINOM($C716,MIN(0.75,Matchup!$C$39*$B716),RAND())</f>
        <v>4</v>
      </c>
      <c r="K716" s="0" t="n">
        <f aca="true">CRITBINOM(J716,Coefficients!$B$30,RAND())</f>
        <v>0</v>
      </c>
      <c r="L716" s="0" t="n">
        <f aca="true">CRITBINOM(K716,Coefficients!$B$31,RAND())</f>
        <v>0</v>
      </c>
      <c r="M716" s="0" t="n">
        <f aca="true">CRITBINOM(MAX(0,J716-K716),1-Coefficients!$B$32,RAND())</f>
        <v>1</v>
      </c>
      <c r="N716" s="0" t="n">
        <f aca="true">CRITBINOM(MAX(0,$C716-J716),MIN(0.6,Matchup!$C$40*SQRT($B716)/(1-MIN(0.75,Matchup!$C$39*$B716))),RAND())</f>
        <v>3</v>
      </c>
      <c r="O716" s="0" t="n">
        <f aca="false">6*J716+(J716-K716-M716)+2*L716+3*N716</f>
        <v>36</v>
      </c>
      <c r="P716" s="0" t="n">
        <f aca="true">RAND()</f>
        <v>0.976153479444606</v>
      </c>
      <c r="Q716" s="0" t="n">
        <f aca="true">RAND()</f>
        <v>0.842215437515698</v>
      </c>
      <c r="R716" s="0" t="n">
        <f aca="false">IF($I716&lt;&gt;$O716,0,IF(P716&lt;Matchup!$B$39,7,IF(P716&lt;Matchup!$B$39+Matchup!$B$40,3,0)))</f>
        <v>0</v>
      </c>
      <c r="S716" s="0" t="n">
        <f aca="false">IF($I716&lt;&gt;$O716,0,IF(Q716&lt;Matchup!$C$39,7,IF(Q716&lt;Matchup!$C$39+Matchup!$C$40,3,0)))</f>
        <v>0</v>
      </c>
      <c r="T716" s="0" t="n">
        <f aca="false">I716+R716</f>
        <v>34</v>
      </c>
      <c r="U716" s="0" t="n">
        <f aca="false">O716+S716</f>
        <v>36</v>
      </c>
      <c r="V716" s="0" t="n">
        <f aca="false">T716-U716</f>
        <v>-2</v>
      </c>
      <c r="W716" s="0" t="n">
        <f aca="false">T716+U716</f>
        <v>70</v>
      </c>
    </row>
    <row r="717" customFormat="false" ht="15" hidden="false" customHeight="false" outlineLevel="0" collapsed="false">
      <c r="A717" s="0" t="n">
        <v>714</v>
      </c>
      <c r="B717" s="0" t="n">
        <f aca="true">NORMINV(RAND(),1,Coefficients!$B$22)</f>
        <v>0.99250696539021</v>
      </c>
      <c r="C717" s="0" t="n">
        <f aca="true">MEDIAN(8,16,ROUND(NORMINV(RAND(),Coefficients!$B$20,Coefficients!$B$21),0))</f>
        <v>12</v>
      </c>
      <c r="D717" s="0" t="n">
        <f aca="true">CRITBINOM($C717,MIN(0.75,Matchup!$B$39*$B717),RAND())</f>
        <v>2</v>
      </c>
      <c r="E717" s="0" t="n">
        <f aca="true">CRITBINOM(D717,Coefficients!$B$30,RAND())</f>
        <v>0</v>
      </c>
      <c r="F717" s="0" t="n">
        <f aca="true">CRITBINOM(E717,Coefficients!$B$31,RAND())</f>
        <v>0</v>
      </c>
      <c r="G717" s="0" t="n">
        <f aca="true">CRITBINOM(MAX(0,D717-E717),1-Coefficients!$B$32,RAND())</f>
        <v>0</v>
      </c>
      <c r="H717" s="0" t="n">
        <f aca="true">CRITBINOM(MAX(0,$C717-D717),MIN(0.6,Matchup!$B$40*SQRT($B717)/(1-MIN(0.75,Matchup!$B$39*$B717))),RAND())</f>
        <v>2</v>
      </c>
      <c r="I717" s="0" t="n">
        <f aca="false">6*D717+(D717-E717-G717)+2*F717+3*H717</f>
        <v>20</v>
      </c>
      <c r="J717" s="0" t="n">
        <f aca="true">CRITBINOM($C717,MIN(0.75,Matchup!$C$39*$B717),RAND())</f>
        <v>2</v>
      </c>
      <c r="K717" s="0" t="n">
        <f aca="true">CRITBINOM(J717,Coefficients!$B$30,RAND())</f>
        <v>0</v>
      </c>
      <c r="L717" s="0" t="n">
        <f aca="true">CRITBINOM(K717,Coefficients!$B$31,RAND())</f>
        <v>0</v>
      </c>
      <c r="M717" s="0" t="n">
        <f aca="true">CRITBINOM(MAX(0,J717-K717),1-Coefficients!$B$32,RAND())</f>
        <v>0</v>
      </c>
      <c r="N717" s="0" t="n">
        <f aca="true">CRITBINOM(MAX(0,$C717-J717),MIN(0.6,Matchup!$C$40*SQRT($B717)/(1-MIN(0.75,Matchup!$C$39*$B717))),RAND())</f>
        <v>0</v>
      </c>
      <c r="O717" s="0" t="n">
        <f aca="false">6*J717+(J717-K717-M717)+2*L717+3*N717</f>
        <v>14</v>
      </c>
      <c r="P717" s="0" t="n">
        <f aca="true">RAND()</f>
        <v>0.658496609064984</v>
      </c>
      <c r="Q717" s="0" t="n">
        <f aca="true">RAND()</f>
        <v>0.484451791729059</v>
      </c>
      <c r="R717" s="0" t="n">
        <f aca="false">IF($I717&lt;&gt;$O717,0,IF(P717&lt;Matchup!$B$39,7,IF(P717&lt;Matchup!$B$39+Matchup!$B$40,3,0)))</f>
        <v>0</v>
      </c>
      <c r="S717" s="0" t="n">
        <f aca="false">IF($I717&lt;&gt;$O717,0,IF(Q717&lt;Matchup!$C$39,7,IF(Q717&lt;Matchup!$C$39+Matchup!$C$40,3,0)))</f>
        <v>0</v>
      </c>
      <c r="T717" s="0" t="n">
        <f aca="false">I717+R717</f>
        <v>20</v>
      </c>
      <c r="U717" s="0" t="n">
        <f aca="false">O717+S717</f>
        <v>14</v>
      </c>
      <c r="V717" s="0" t="n">
        <f aca="false">T717-U717</f>
        <v>6</v>
      </c>
      <c r="W717" s="0" t="n">
        <f aca="false">T717+U717</f>
        <v>34</v>
      </c>
    </row>
    <row r="718" customFormat="false" ht="15" hidden="false" customHeight="false" outlineLevel="0" collapsed="false">
      <c r="A718" s="0" t="n">
        <v>715</v>
      </c>
      <c r="B718" s="0" t="n">
        <f aca="true">NORMINV(RAND(),1,Coefficients!$B$22)</f>
        <v>1.04260939154972</v>
      </c>
      <c r="C718" s="0" t="n">
        <f aca="true">MEDIAN(8,16,ROUND(NORMINV(RAND(),Coefficients!$B$20,Coefficients!$B$21),0))</f>
        <v>11</v>
      </c>
      <c r="D718" s="0" t="n">
        <f aca="true">CRITBINOM($C718,MIN(0.75,Matchup!$B$39*$B718),RAND())</f>
        <v>1</v>
      </c>
      <c r="E718" s="0" t="n">
        <f aca="true">CRITBINOM(D718,Coefficients!$B$30,RAND())</f>
        <v>0</v>
      </c>
      <c r="F718" s="0" t="n">
        <f aca="true">CRITBINOM(E718,Coefficients!$B$31,RAND())</f>
        <v>0</v>
      </c>
      <c r="G718" s="0" t="n">
        <f aca="true">CRITBINOM(MAX(0,D718-E718),1-Coefficients!$B$32,RAND())</f>
        <v>0</v>
      </c>
      <c r="H718" s="0" t="n">
        <f aca="true">CRITBINOM(MAX(0,$C718-D718),MIN(0.6,Matchup!$B$40*SQRT($B718)/(1-MIN(0.75,Matchup!$B$39*$B718))),RAND())</f>
        <v>3</v>
      </c>
      <c r="I718" s="0" t="n">
        <f aca="false">6*D718+(D718-E718-G718)+2*F718+3*H718</f>
        <v>16</v>
      </c>
      <c r="J718" s="0" t="n">
        <f aca="true">CRITBINOM($C718,MIN(0.75,Matchup!$C$39*$B718),RAND())</f>
        <v>4</v>
      </c>
      <c r="K718" s="0" t="n">
        <f aca="true">CRITBINOM(J718,Coefficients!$B$30,RAND())</f>
        <v>1</v>
      </c>
      <c r="L718" s="0" t="n">
        <f aca="true">CRITBINOM(K718,Coefficients!$B$31,RAND())</f>
        <v>1</v>
      </c>
      <c r="M718" s="0" t="n">
        <f aca="true">CRITBINOM(MAX(0,J718-K718),1-Coefficients!$B$32,RAND())</f>
        <v>0</v>
      </c>
      <c r="N718" s="0" t="n">
        <f aca="true">CRITBINOM(MAX(0,$C718-J718),MIN(0.6,Matchup!$C$40*SQRT($B718)/(1-MIN(0.75,Matchup!$C$39*$B718))),RAND())</f>
        <v>3</v>
      </c>
      <c r="O718" s="0" t="n">
        <f aca="false">6*J718+(J718-K718-M718)+2*L718+3*N718</f>
        <v>38</v>
      </c>
      <c r="P718" s="0" t="n">
        <f aca="true">RAND()</f>
        <v>0.352127296954104</v>
      </c>
      <c r="Q718" s="0" t="n">
        <f aca="true">RAND()</f>
        <v>0.0134961887727083</v>
      </c>
      <c r="R718" s="0" t="n">
        <f aca="false">IF($I718&lt;&gt;$O718,0,IF(P718&lt;Matchup!$B$39,7,IF(P718&lt;Matchup!$B$39+Matchup!$B$40,3,0)))</f>
        <v>0</v>
      </c>
      <c r="S718" s="0" t="n">
        <f aca="false">IF($I718&lt;&gt;$O718,0,IF(Q718&lt;Matchup!$C$39,7,IF(Q718&lt;Matchup!$C$39+Matchup!$C$40,3,0)))</f>
        <v>0</v>
      </c>
      <c r="T718" s="0" t="n">
        <f aca="false">I718+R718</f>
        <v>16</v>
      </c>
      <c r="U718" s="0" t="n">
        <f aca="false">O718+S718</f>
        <v>38</v>
      </c>
      <c r="V718" s="0" t="n">
        <f aca="false">T718-U718</f>
        <v>-22</v>
      </c>
      <c r="W718" s="0" t="n">
        <f aca="false">T718+U718</f>
        <v>54</v>
      </c>
    </row>
    <row r="719" customFormat="false" ht="15" hidden="false" customHeight="false" outlineLevel="0" collapsed="false">
      <c r="A719" s="0" t="n">
        <v>716</v>
      </c>
      <c r="B719" s="0" t="n">
        <f aca="true">NORMINV(RAND(),1,Coefficients!$B$22)</f>
        <v>0.992190372377797</v>
      </c>
      <c r="C719" s="0" t="n">
        <f aca="true">MEDIAN(8,16,ROUND(NORMINV(RAND(),Coefficients!$B$20,Coefficients!$B$21),0))</f>
        <v>8</v>
      </c>
      <c r="D719" s="0" t="n">
        <f aca="true">CRITBINOM($C719,MIN(0.75,Matchup!$B$39*$B719),RAND())</f>
        <v>2</v>
      </c>
      <c r="E719" s="0" t="n">
        <f aca="true">CRITBINOM(D719,Coefficients!$B$30,RAND())</f>
        <v>0</v>
      </c>
      <c r="F719" s="0" t="n">
        <f aca="true">CRITBINOM(E719,Coefficients!$B$31,RAND())</f>
        <v>0</v>
      </c>
      <c r="G719" s="0" t="n">
        <f aca="true">CRITBINOM(MAX(0,D719-E719),1-Coefficients!$B$32,RAND())</f>
        <v>0</v>
      </c>
      <c r="H719" s="0" t="n">
        <f aca="true">CRITBINOM(MAX(0,$C719-D719),MIN(0.6,Matchup!$B$40*SQRT($B719)/(1-MIN(0.75,Matchup!$B$39*$B719))),RAND())</f>
        <v>0</v>
      </c>
      <c r="I719" s="0" t="n">
        <f aca="false">6*D719+(D719-E719-G719)+2*F719+3*H719</f>
        <v>14</v>
      </c>
      <c r="J719" s="0" t="n">
        <f aca="true">CRITBINOM($C719,MIN(0.75,Matchup!$C$39*$B719),RAND())</f>
        <v>2</v>
      </c>
      <c r="K719" s="0" t="n">
        <f aca="true">CRITBINOM(J719,Coefficients!$B$30,RAND())</f>
        <v>2</v>
      </c>
      <c r="L719" s="0" t="n">
        <f aca="true">CRITBINOM(K719,Coefficients!$B$31,RAND())</f>
        <v>1</v>
      </c>
      <c r="M719" s="0" t="n">
        <f aca="true">CRITBINOM(MAX(0,J719-K719),1-Coefficients!$B$32,RAND())</f>
        <v>0</v>
      </c>
      <c r="N719" s="0" t="n">
        <f aca="true">CRITBINOM(MAX(0,$C719-J719),MIN(0.6,Matchup!$C$40*SQRT($B719)/(1-MIN(0.75,Matchup!$C$39*$B719))),RAND())</f>
        <v>1</v>
      </c>
      <c r="O719" s="0" t="n">
        <f aca="false">6*J719+(J719-K719-M719)+2*L719+3*N719</f>
        <v>17</v>
      </c>
      <c r="P719" s="0" t="n">
        <f aca="true">RAND()</f>
        <v>0.0539156083744297</v>
      </c>
      <c r="Q719" s="0" t="n">
        <f aca="true">RAND()</f>
        <v>0.333527720175939</v>
      </c>
      <c r="R719" s="0" t="n">
        <f aca="false">IF($I719&lt;&gt;$O719,0,IF(P719&lt;Matchup!$B$39,7,IF(P719&lt;Matchup!$B$39+Matchup!$B$40,3,0)))</f>
        <v>0</v>
      </c>
      <c r="S719" s="0" t="n">
        <f aca="false">IF($I719&lt;&gt;$O719,0,IF(Q719&lt;Matchup!$C$39,7,IF(Q719&lt;Matchup!$C$39+Matchup!$C$40,3,0)))</f>
        <v>0</v>
      </c>
      <c r="T719" s="0" t="n">
        <f aca="false">I719+R719</f>
        <v>14</v>
      </c>
      <c r="U719" s="0" t="n">
        <f aca="false">O719+S719</f>
        <v>17</v>
      </c>
      <c r="V719" s="0" t="n">
        <f aca="false">T719-U719</f>
        <v>-3</v>
      </c>
      <c r="W719" s="0" t="n">
        <f aca="false">T719+U719</f>
        <v>31</v>
      </c>
    </row>
    <row r="720" customFormat="false" ht="15" hidden="false" customHeight="false" outlineLevel="0" collapsed="false">
      <c r="A720" s="0" t="n">
        <v>717</v>
      </c>
      <c r="B720" s="0" t="n">
        <f aca="true">NORMINV(RAND(),1,Coefficients!$B$22)</f>
        <v>1.15117749789285</v>
      </c>
      <c r="C720" s="0" t="n">
        <f aca="true">MEDIAN(8,16,ROUND(NORMINV(RAND(),Coefficients!$B$20,Coefficients!$B$21),0))</f>
        <v>10</v>
      </c>
      <c r="D720" s="0" t="n">
        <f aca="true">CRITBINOM($C720,MIN(0.75,Matchup!$B$39*$B720),RAND())</f>
        <v>3</v>
      </c>
      <c r="E720" s="0" t="n">
        <f aca="true">CRITBINOM(D720,Coefficients!$B$30,RAND())</f>
        <v>0</v>
      </c>
      <c r="F720" s="0" t="n">
        <f aca="true">CRITBINOM(E720,Coefficients!$B$31,RAND())</f>
        <v>0</v>
      </c>
      <c r="G720" s="0" t="n">
        <f aca="true">CRITBINOM(MAX(0,D720-E720),1-Coefficients!$B$32,RAND())</f>
        <v>0</v>
      </c>
      <c r="H720" s="0" t="n">
        <f aca="true">CRITBINOM(MAX(0,$C720-D720),MIN(0.6,Matchup!$B$40*SQRT($B720)/(1-MIN(0.75,Matchup!$B$39*$B720))),RAND())</f>
        <v>4</v>
      </c>
      <c r="I720" s="0" t="n">
        <f aca="false">6*D720+(D720-E720-G720)+2*F720+3*H720</f>
        <v>33</v>
      </c>
      <c r="J720" s="0" t="n">
        <f aca="true">CRITBINOM($C720,MIN(0.75,Matchup!$C$39*$B720),RAND())</f>
        <v>3</v>
      </c>
      <c r="K720" s="0" t="n">
        <f aca="true">CRITBINOM(J720,Coefficients!$B$30,RAND())</f>
        <v>1</v>
      </c>
      <c r="L720" s="0" t="n">
        <f aca="true">CRITBINOM(K720,Coefficients!$B$31,RAND())</f>
        <v>1</v>
      </c>
      <c r="M720" s="0" t="n">
        <f aca="true">CRITBINOM(MAX(0,J720-K720),1-Coefficients!$B$32,RAND())</f>
        <v>0</v>
      </c>
      <c r="N720" s="0" t="n">
        <f aca="true">CRITBINOM(MAX(0,$C720-J720),MIN(0.6,Matchup!$C$40*SQRT($B720)/(1-MIN(0.75,Matchup!$C$39*$B720))),RAND())</f>
        <v>2</v>
      </c>
      <c r="O720" s="0" t="n">
        <f aca="false">6*J720+(J720-K720-M720)+2*L720+3*N720</f>
        <v>28</v>
      </c>
      <c r="P720" s="0" t="n">
        <f aca="true">RAND()</f>
        <v>0.920322032783277</v>
      </c>
      <c r="Q720" s="0" t="n">
        <f aca="true">RAND()</f>
        <v>0.140394827640734</v>
      </c>
      <c r="R720" s="0" t="n">
        <f aca="false">IF($I720&lt;&gt;$O720,0,IF(P720&lt;Matchup!$B$39,7,IF(P720&lt;Matchup!$B$39+Matchup!$B$40,3,0)))</f>
        <v>0</v>
      </c>
      <c r="S720" s="0" t="n">
        <f aca="false">IF($I720&lt;&gt;$O720,0,IF(Q720&lt;Matchup!$C$39,7,IF(Q720&lt;Matchup!$C$39+Matchup!$C$40,3,0)))</f>
        <v>0</v>
      </c>
      <c r="T720" s="0" t="n">
        <f aca="false">I720+R720</f>
        <v>33</v>
      </c>
      <c r="U720" s="0" t="n">
        <f aca="false">O720+S720</f>
        <v>28</v>
      </c>
      <c r="V720" s="0" t="n">
        <f aca="false">T720-U720</f>
        <v>5</v>
      </c>
      <c r="W720" s="0" t="n">
        <f aca="false">T720+U720</f>
        <v>61</v>
      </c>
    </row>
    <row r="721" customFormat="false" ht="15" hidden="false" customHeight="false" outlineLevel="0" collapsed="false">
      <c r="A721" s="0" t="n">
        <v>718</v>
      </c>
      <c r="B721" s="0" t="n">
        <f aca="true">NORMINV(RAND(),1,Coefficients!$B$22)</f>
        <v>1.01423529648025</v>
      </c>
      <c r="C721" s="0" t="n">
        <f aca="true">MEDIAN(8,16,ROUND(NORMINV(RAND(),Coefficients!$B$20,Coefficients!$B$21),0))</f>
        <v>10</v>
      </c>
      <c r="D721" s="0" t="n">
        <f aca="true">CRITBINOM($C721,MIN(0.75,Matchup!$B$39*$B721),RAND())</f>
        <v>2</v>
      </c>
      <c r="E721" s="0" t="n">
        <f aca="true">CRITBINOM(D721,Coefficients!$B$30,RAND())</f>
        <v>0</v>
      </c>
      <c r="F721" s="0" t="n">
        <f aca="true">CRITBINOM(E721,Coefficients!$B$31,RAND())</f>
        <v>0</v>
      </c>
      <c r="G721" s="0" t="n">
        <f aca="true">CRITBINOM(MAX(0,D721-E721),1-Coefficients!$B$32,RAND())</f>
        <v>0</v>
      </c>
      <c r="H721" s="0" t="n">
        <f aca="true">CRITBINOM(MAX(0,$C721-D721),MIN(0.6,Matchup!$B$40*SQRT($B721)/(1-MIN(0.75,Matchup!$B$39*$B721))),RAND())</f>
        <v>3</v>
      </c>
      <c r="I721" s="0" t="n">
        <f aca="false">6*D721+(D721-E721-G721)+2*F721+3*H721</f>
        <v>23</v>
      </c>
      <c r="J721" s="0" t="n">
        <f aca="true">CRITBINOM($C721,MIN(0.75,Matchup!$C$39*$B721),RAND())</f>
        <v>2</v>
      </c>
      <c r="K721" s="0" t="n">
        <f aca="true">CRITBINOM(J721,Coefficients!$B$30,RAND())</f>
        <v>0</v>
      </c>
      <c r="L721" s="0" t="n">
        <f aca="true">CRITBINOM(K721,Coefficients!$B$31,RAND())</f>
        <v>0</v>
      </c>
      <c r="M721" s="0" t="n">
        <f aca="true">CRITBINOM(MAX(0,J721-K721),1-Coefficients!$B$32,RAND())</f>
        <v>0</v>
      </c>
      <c r="N721" s="0" t="n">
        <f aca="true">CRITBINOM(MAX(0,$C721-J721),MIN(0.6,Matchup!$C$40*SQRT($B721)/(1-MIN(0.75,Matchup!$C$39*$B721))),RAND())</f>
        <v>1</v>
      </c>
      <c r="O721" s="0" t="n">
        <f aca="false">6*J721+(J721-K721-M721)+2*L721+3*N721</f>
        <v>17</v>
      </c>
      <c r="P721" s="0" t="n">
        <f aca="true">RAND()</f>
        <v>0.00247816482800836</v>
      </c>
      <c r="Q721" s="0" t="n">
        <f aca="true">RAND()</f>
        <v>0.80572125952975</v>
      </c>
      <c r="R721" s="0" t="n">
        <f aca="false">IF($I721&lt;&gt;$O721,0,IF(P721&lt;Matchup!$B$39,7,IF(P721&lt;Matchup!$B$39+Matchup!$B$40,3,0)))</f>
        <v>0</v>
      </c>
      <c r="S721" s="0" t="n">
        <f aca="false">IF($I721&lt;&gt;$O721,0,IF(Q721&lt;Matchup!$C$39,7,IF(Q721&lt;Matchup!$C$39+Matchup!$C$40,3,0)))</f>
        <v>0</v>
      </c>
      <c r="T721" s="0" t="n">
        <f aca="false">I721+R721</f>
        <v>23</v>
      </c>
      <c r="U721" s="0" t="n">
        <f aca="false">O721+S721</f>
        <v>17</v>
      </c>
      <c r="V721" s="0" t="n">
        <f aca="false">T721-U721</f>
        <v>6</v>
      </c>
      <c r="W721" s="0" t="n">
        <f aca="false">T721+U721</f>
        <v>40</v>
      </c>
    </row>
    <row r="722" customFormat="false" ht="15" hidden="false" customHeight="false" outlineLevel="0" collapsed="false">
      <c r="A722" s="0" t="n">
        <v>719</v>
      </c>
      <c r="B722" s="0" t="n">
        <f aca="true">NORMINV(RAND(),1,Coefficients!$B$22)</f>
        <v>0.89787763737256</v>
      </c>
      <c r="C722" s="0" t="n">
        <f aca="true">MEDIAN(8,16,ROUND(NORMINV(RAND(),Coefficients!$B$20,Coefficients!$B$21),0))</f>
        <v>9</v>
      </c>
      <c r="D722" s="0" t="n">
        <f aca="true">CRITBINOM($C722,MIN(0.75,Matchup!$B$39*$B722),RAND())</f>
        <v>2</v>
      </c>
      <c r="E722" s="0" t="n">
        <f aca="true">CRITBINOM(D722,Coefficients!$B$30,RAND())</f>
        <v>0</v>
      </c>
      <c r="F722" s="0" t="n">
        <f aca="true">CRITBINOM(E722,Coefficients!$B$31,RAND())</f>
        <v>0</v>
      </c>
      <c r="G722" s="0" t="n">
        <f aca="true">CRITBINOM(MAX(0,D722-E722),1-Coefficients!$B$32,RAND())</f>
        <v>0</v>
      </c>
      <c r="H722" s="0" t="n">
        <f aca="true">CRITBINOM(MAX(0,$C722-D722),MIN(0.6,Matchup!$B$40*SQRT($B722)/(1-MIN(0.75,Matchup!$B$39*$B722))),RAND())</f>
        <v>3</v>
      </c>
      <c r="I722" s="0" t="n">
        <f aca="false">6*D722+(D722-E722-G722)+2*F722+3*H722</f>
        <v>23</v>
      </c>
      <c r="J722" s="0" t="n">
        <f aca="true">CRITBINOM($C722,MIN(0.75,Matchup!$C$39*$B722),RAND())</f>
        <v>5</v>
      </c>
      <c r="K722" s="0" t="n">
        <f aca="true">CRITBINOM(J722,Coefficients!$B$30,RAND())</f>
        <v>0</v>
      </c>
      <c r="L722" s="0" t="n">
        <f aca="true">CRITBINOM(K722,Coefficients!$B$31,RAND())</f>
        <v>0</v>
      </c>
      <c r="M722" s="0" t="n">
        <f aca="true">CRITBINOM(MAX(0,J722-K722),1-Coefficients!$B$32,RAND())</f>
        <v>0</v>
      </c>
      <c r="N722" s="0" t="n">
        <f aca="true">CRITBINOM(MAX(0,$C722-J722),MIN(0.6,Matchup!$C$40*SQRT($B722)/(1-MIN(0.75,Matchup!$C$39*$B722))),RAND())</f>
        <v>0</v>
      </c>
      <c r="O722" s="0" t="n">
        <f aca="false">6*J722+(J722-K722-M722)+2*L722+3*N722</f>
        <v>35</v>
      </c>
      <c r="P722" s="0" t="n">
        <f aca="true">RAND()</f>
        <v>0.719148188428394</v>
      </c>
      <c r="Q722" s="0" t="n">
        <f aca="true">RAND()</f>
        <v>0.195428966863621</v>
      </c>
      <c r="R722" s="0" t="n">
        <f aca="false">IF($I722&lt;&gt;$O722,0,IF(P722&lt;Matchup!$B$39,7,IF(P722&lt;Matchup!$B$39+Matchup!$B$40,3,0)))</f>
        <v>0</v>
      </c>
      <c r="S722" s="0" t="n">
        <f aca="false">IF($I722&lt;&gt;$O722,0,IF(Q722&lt;Matchup!$C$39,7,IF(Q722&lt;Matchup!$C$39+Matchup!$C$40,3,0)))</f>
        <v>0</v>
      </c>
      <c r="T722" s="0" t="n">
        <f aca="false">I722+R722</f>
        <v>23</v>
      </c>
      <c r="U722" s="0" t="n">
        <f aca="false">O722+S722</f>
        <v>35</v>
      </c>
      <c r="V722" s="0" t="n">
        <f aca="false">T722-U722</f>
        <v>-12</v>
      </c>
      <c r="W722" s="0" t="n">
        <f aca="false">T722+U722</f>
        <v>58</v>
      </c>
    </row>
    <row r="723" customFormat="false" ht="15" hidden="false" customHeight="false" outlineLevel="0" collapsed="false">
      <c r="A723" s="0" t="n">
        <v>720</v>
      </c>
      <c r="B723" s="0" t="n">
        <f aca="true">NORMINV(RAND(),1,Coefficients!$B$22)</f>
        <v>1.0460140708001</v>
      </c>
      <c r="C723" s="0" t="n">
        <f aca="true">MEDIAN(8,16,ROUND(NORMINV(RAND(),Coefficients!$B$20,Coefficients!$B$21),0))</f>
        <v>11</v>
      </c>
      <c r="D723" s="0" t="n">
        <f aca="true">CRITBINOM($C723,MIN(0.75,Matchup!$B$39*$B723),RAND())</f>
        <v>5</v>
      </c>
      <c r="E723" s="0" t="n">
        <f aca="true">CRITBINOM(D723,Coefficients!$B$30,RAND())</f>
        <v>0</v>
      </c>
      <c r="F723" s="0" t="n">
        <f aca="true">CRITBINOM(E723,Coefficients!$B$31,RAND())</f>
        <v>0</v>
      </c>
      <c r="G723" s="0" t="n">
        <f aca="true">CRITBINOM(MAX(0,D723-E723),1-Coefficients!$B$32,RAND())</f>
        <v>0</v>
      </c>
      <c r="H723" s="0" t="n">
        <f aca="true">CRITBINOM(MAX(0,$C723-D723),MIN(0.6,Matchup!$B$40*SQRT($B723)/(1-MIN(0.75,Matchup!$B$39*$B723))),RAND())</f>
        <v>1</v>
      </c>
      <c r="I723" s="0" t="n">
        <f aca="false">6*D723+(D723-E723-G723)+2*F723+3*H723</f>
        <v>38</v>
      </c>
      <c r="J723" s="0" t="n">
        <f aca="true">CRITBINOM($C723,MIN(0.75,Matchup!$C$39*$B723),RAND())</f>
        <v>3</v>
      </c>
      <c r="K723" s="0" t="n">
        <f aca="true">CRITBINOM(J723,Coefficients!$B$30,RAND())</f>
        <v>0</v>
      </c>
      <c r="L723" s="0" t="n">
        <f aca="true">CRITBINOM(K723,Coefficients!$B$31,RAND())</f>
        <v>0</v>
      </c>
      <c r="M723" s="0" t="n">
        <f aca="true">CRITBINOM(MAX(0,J723-K723),1-Coefficients!$B$32,RAND())</f>
        <v>0</v>
      </c>
      <c r="N723" s="0" t="n">
        <f aca="true">CRITBINOM(MAX(0,$C723-J723),MIN(0.6,Matchup!$C$40*SQRT($B723)/(1-MIN(0.75,Matchup!$C$39*$B723))),RAND())</f>
        <v>2</v>
      </c>
      <c r="O723" s="0" t="n">
        <f aca="false">6*J723+(J723-K723-M723)+2*L723+3*N723</f>
        <v>27</v>
      </c>
      <c r="P723" s="0" t="n">
        <f aca="true">RAND()</f>
        <v>0.332721989864722</v>
      </c>
      <c r="Q723" s="0" t="n">
        <f aca="true">RAND()</f>
        <v>0.285279052242249</v>
      </c>
      <c r="R723" s="0" t="n">
        <f aca="false">IF($I723&lt;&gt;$O723,0,IF(P723&lt;Matchup!$B$39,7,IF(P723&lt;Matchup!$B$39+Matchup!$B$40,3,0)))</f>
        <v>0</v>
      </c>
      <c r="S723" s="0" t="n">
        <f aca="false">IF($I723&lt;&gt;$O723,0,IF(Q723&lt;Matchup!$C$39,7,IF(Q723&lt;Matchup!$C$39+Matchup!$C$40,3,0)))</f>
        <v>0</v>
      </c>
      <c r="T723" s="0" t="n">
        <f aca="false">I723+R723</f>
        <v>38</v>
      </c>
      <c r="U723" s="0" t="n">
        <f aca="false">O723+S723</f>
        <v>27</v>
      </c>
      <c r="V723" s="0" t="n">
        <f aca="false">T723-U723</f>
        <v>11</v>
      </c>
      <c r="W723" s="0" t="n">
        <f aca="false">T723+U723</f>
        <v>65</v>
      </c>
    </row>
    <row r="724" customFormat="false" ht="15" hidden="false" customHeight="false" outlineLevel="0" collapsed="false">
      <c r="A724" s="0" t="n">
        <v>721</v>
      </c>
      <c r="B724" s="0" t="n">
        <f aca="true">NORMINV(RAND(),1,Coefficients!$B$22)</f>
        <v>0.958292654634288</v>
      </c>
      <c r="C724" s="0" t="n">
        <f aca="true">MEDIAN(8,16,ROUND(NORMINV(RAND(),Coefficients!$B$20,Coefficients!$B$21),0))</f>
        <v>12</v>
      </c>
      <c r="D724" s="0" t="n">
        <f aca="true">CRITBINOM($C724,MIN(0.75,Matchup!$B$39*$B724),RAND())</f>
        <v>3</v>
      </c>
      <c r="E724" s="0" t="n">
        <f aca="true">CRITBINOM(D724,Coefficients!$B$30,RAND())</f>
        <v>1</v>
      </c>
      <c r="F724" s="0" t="n">
        <f aca="true">CRITBINOM(E724,Coefficients!$B$31,RAND())</f>
        <v>1</v>
      </c>
      <c r="G724" s="0" t="n">
        <f aca="true">CRITBINOM(MAX(0,D724-E724),1-Coefficients!$B$32,RAND())</f>
        <v>0</v>
      </c>
      <c r="H724" s="0" t="n">
        <f aca="true">CRITBINOM(MAX(0,$C724-D724),MIN(0.6,Matchup!$B$40*SQRT($B724)/(1-MIN(0.75,Matchup!$B$39*$B724))),RAND())</f>
        <v>3</v>
      </c>
      <c r="I724" s="0" t="n">
        <f aca="false">6*D724+(D724-E724-G724)+2*F724+3*H724</f>
        <v>31</v>
      </c>
      <c r="J724" s="0" t="n">
        <f aca="true">CRITBINOM($C724,MIN(0.75,Matchup!$C$39*$B724),RAND())</f>
        <v>4</v>
      </c>
      <c r="K724" s="0" t="n">
        <f aca="true">CRITBINOM(J724,Coefficients!$B$30,RAND())</f>
        <v>0</v>
      </c>
      <c r="L724" s="0" t="n">
        <f aca="true">CRITBINOM(K724,Coefficients!$B$31,RAND())</f>
        <v>0</v>
      </c>
      <c r="M724" s="0" t="n">
        <f aca="true">CRITBINOM(MAX(0,J724-K724),1-Coefficients!$B$32,RAND())</f>
        <v>0</v>
      </c>
      <c r="N724" s="0" t="n">
        <f aca="true">CRITBINOM(MAX(0,$C724-J724),MIN(0.6,Matchup!$C$40*SQRT($B724)/(1-MIN(0.75,Matchup!$C$39*$B724))),RAND())</f>
        <v>2</v>
      </c>
      <c r="O724" s="0" t="n">
        <f aca="false">6*J724+(J724-K724-M724)+2*L724+3*N724</f>
        <v>34</v>
      </c>
      <c r="P724" s="0" t="n">
        <f aca="true">RAND()</f>
        <v>0.42529885366555</v>
      </c>
      <c r="Q724" s="0" t="n">
        <f aca="true">RAND()</f>
        <v>0.63070736909576</v>
      </c>
      <c r="R724" s="0" t="n">
        <f aca="false">IF($I724&lt;&gt;$O724,0,IF(P724&lt;Matchup!$B$39,7,IF(P724&lt;Matchup!$B$39+Matchup!$B$40,3,0)))</f>
        <v>0</v>
      </c>
      <c r="S724" s="0" t="n">
        <f aca="false">IF($I724&lt;&gt;$O724,0,IF(Q724&lt;Matchup!$C$39,7,IF(Q724&lt;Matchup!$C$39+Matchup!$C$40,3,0)))</f>
        <v>0</v>
      </c>
      <c r="T724" s="0" t="n">
        <f aca="false">I724+R724</f>
        <v>31</v>
      </c>
      <c r="U724" s="0" t="n">
        <f aca="false">O724+S724</f>
        <v>34</v>
      </c>
      <c r="V724" s="0" t="n">
        <f aca="false">T724-U724</f>
        <v>-3</v>
      </c>
      <c r="W724" s="0" t="n">
        <f aca="false">T724+U724</f>
        <v>65</v>
      </c>
    </row>
    <row r="725" customFormat="false" ht="15" hidden="false" customHeight="false" outlineLevel="0" collapsed="false">
      <c r="A725" s="0" t="n">
        <v>722</v>
      </c>
      <c r="B725" s="0" t="n">
        <f aca="true">NORMINV(RAND(),1,Coefficients!$B$22)</f>
        <v>0.980288151009454</v>
      </c>
      <c r="C725" s="0" t="n">
        <f aca="true">MEDIAN(8,16,ROUND(NORMINV(RAND(),Coefficients!$B$20,Coefficients!$B$21),0))</f>
        <v>11</v>
      </c>
      <c r="D725" s="0" t="n">
        <f aca="true">CRITBINOM($C725,MIN(0.75,Matchup!$B$39*$B725),RAND())</f>
        <v>1</v>
      </c>
      <c r="E725" s="0" t="n">
        <f aca="true">CRITBINOM(D725,Coefficients!$B$30,RAND())</f>
        <v>0</v>
      </c>
      <c r="F725" s="0" t="n">
        <f aca="true">CRITBINOM(E725,Coefficients!$B$31,RAND())</f>
        <v>0</v>
      </c>
      <c r="G725" s="0" t="n">
        <f aca="true">CRITBINOM(MAX(0,D725-E725),1-Coefficients!$B$32,RAND())</f>
        <v>0</v>
      </c>
      <c r="H725" s="0" t="n">
        <f aca="true">CRITBINOM(MAX(0,$C725-D725),MIN(0.6,Matchup!$B$40*SQRT($B725)/(1-MIN(0.75,Matchup!$B$39*$B725))),RAND())</f>
        <v>2</v>
      </c>
      <c r="I725" s="0" t="n">
        <f aca="false">6*D725+(D725-E725-G725)+2*F725+3*H725</f>
        <v>13</v>
      </c>
      <c r="J725" s="0" t="n">
        <f aca="true">CRITBINOM($C725,MIN(0.75,Matchup!$C$39*$B725),RAND())</f>
        <v>5</v>
      </c>
      <c r="K725" s="0" t="n">
        <f aca="true">CRITBINOM(J725,Coefficients!$B$30,RAND())</f>
        <v>0</v>
      </c>
      <c r="L725" s="0" t="n">
        <f aca="true">CRITBINOM(K725,Coefficients!$B$31,RAND())</f>
        <v>0</v>
      </c>
      <c r="M725" s="0" t="n">
        <f aca="true">CRITBINOM(MAX(0,J725-K725),1-Coefficients!$B$32,RAND())</f>
        <v>0</v>
      </c>
      <c r="N725" s="0" t="n">
        <f aca="true">CRITBINOM(MAX(0,$C725-J725),MIN(0.6,Matchup!$C$40*SQRT($B725)/(1-MIN(0.75,Matchup!$C$39*$B725))),RAND())</f>
        <v>1</v>
      </c>
      <c r="O725" s="0" t="n">
        <f aca="false">6*J725+(J725-K725-M725)+2*L725+3*N725</f>
        <v>38</v>
      </c>
      <c r="P725" s="0" t="n">
        <f aca="true">RAND()</f>
        <v>0.541730903085887</v>
      </c>
      <c r="Q725" s="0" t="n">
        <f aca="true">RAND()</f>
        <v>0.571420386195356</v>
      </c>
      <c r="R725" s="0" t="n">
        <f aca="false">IF($I725&lt;&gt;$O725,0,IF(P725&lt;Matchup!$B$39,7,IF(P725&lt;Matchup!$B$39+Matchup!$B$40,3,0)))</f>
        <v>0</v>
      </c>
      <c r="S725" s="0" t="n">
        <f aca="false">IF($I725&lt;&gt;$O725,0,IF(Q725&lt;Matchup!$C$39,7,IF(Q725&lt;Matchup!$C$39+Matchup!$C$40,3,0)))</f>
        <v>0</v>
      </c>
      <c r="T725" s="0" t="n">
        <f aca="false">I725+R725</f>
        <v>13</v>
      </c>
      <c r="U725" s="0" t="n">
        <f aca="false">O725+S725</f>
        <v>38</v>
      </c>
      <c r="V725" s="0" t="n">
        <f aca="false">T725-U725</f>
        <v>-25</v>
      </c>
      <c r="W725" s="0" t="n">
        <f aca="false">T725+U725</f>
        <v>51</v>
      </c>
    </row>
    <row r="726" customFormat="false" ht="15" hidden="false" customHeight="false" outlineLevel="0" collapsed="false">
      <c r="A726" s="0" t="n">
        <v>723</v>
      </c>
      <c r="B726" s="0" t="n">
        <f aca="true">NORMINV(RAND(),1,Coefficients!$B$22)</f>
        <v>1.07840906114027</v>
      </c>
      <c r="C726" s="0" t="n">
        <f aca="true">MEDIAN(8,16,ROUND(NORMINV(RAND(),Coefficients!$B$20,Coefficients!$B$21),0))</f>
        <v>13</v>
      </c>
      <c r="D726" s="0" t="n">
        <f aca="true">CRITBINOM($C726,MIN(0.75,Matchup!$B$39*$B726),RAND())</f>
        <v>3</v>
      </c>
      <c r="E726" s="0" t="n">
        <f aca="true">CRITBINOM(D726,Coefficients!$B$30,RAND())</f>
        <v>0</v>
      </c>
      <c r="F726" s="0" t="n">
        <f aca="true">CRITBINOM(E726,Coefficients!$B$31,RAND())</f>
        <v>0</v>
      </c>
      <c r="G726" s="0" t="n">
        <f aca="true">CRITBINOM(MAX(0,D726-E726),1-Coefficients!$B$32,RAND())</f>
        <v>0</v>
      </c>
      <c r="H726" s="0" t="n">
        <f aca="true">CRITBINOM(MAX(0,$C726-D726),MIN(0.6,Matchup!$B$40*SQRT($B726)/(1-MIN(0.75,Matchup!$B$39*$B726))),RAND())</f>
        <v>2</v>
      </c>
      <c r="I726" s="0" t="n">
        <f aca="false">6*D726+(D726-E726-G726)+2*F726+3*H726</f>
        <v>27</v>
      </c>
      <c r="J726" s="0" t="n">
        <f aca="true">CRITBINOM($C726,MIN(0.75,Matchup!$C$39*$B726),RAND())</f>
        <v>3</v>
      </c>
      <c r="K726" s="0" t="n">
        <f aca="true">CRITBINOM(J726,Coefficients!$B$30,RAND())</f>
        <v>0</v>
      </c>
      <c r="L726" s="0" t="n">
        <f aca="true">CRITBINOM(K726,Coefficients!$B$31,RAND())</f>
        <v>0</v>
      </c>
      <c r="M726" s="0" t="n">
        <f aca="true">CRITBINOM(MAX(0,J726-K726),1-Coefficients!$B$32,RAND())</f>
        <v>0</v>
      </c>
      <c r="N726" s="0" t="n">
        <f aca="true">CRITBINOM(MAX(0,$C726-J726),MIN(0.6,Matchup!$C$40*SQRT($B726)/(1-MIN(0.75,Matchup!$C$39*$B726))),RAND())</f>
        <v>1</v>
      </c>
      <c r="O726" s="0" t="n">
        <f aca="false">6*J726+(J726-K726-M726)+2*L726+3*N726</f>
        <v>24</v>
      </c>
      <c r="P726" s="0" t="n">
        <f aca="true">RAND()</f>
        <v>0.933766571507508</v>
      </c>
      <c r="Q726" s="0" t="n">
        <f aca="true">RAND()</f>
        <v>0.595746715853939</v>
      </c>
      <c r="R726" s="0" t="n">
        <f aca="false">IF($I726&lt;&gt;$O726,0,IF(P726&lt;Matchup!$B$39,7,IF(P726&lt;Matchup!$B$39+Matchup!$B$40,3,0)))</f>
        <v>0</v>
      </c>
      <c r="S726" s="0" t="n">
        <f aca="false">IF($I726&lt;&gt;$O726,0,IF(Q726&lt;Matchup!$C$39,7,IF(Q726&lt;Matchup!$C$39+Matchup!$C$40,3,0)))</f>
        <v>0</v>
      </c>
      <c r="T726" s="0" t="n">
        <f aca="false">I726+R726</f>
        <v>27</v>
      </c>
      <c r="U726" s="0" t="n">
        <f aca="false">O726+S726</f>
        <v>24</v>
      </c>
      <c r="V726" s="0" t="n">
        <f aca="false">T726-U726</f>
        <v>3</v>
      </c>
      <c r="W726" s="0" t="n">
        <f aca="false">T726+U726</f>
        <v>51</v>
      </c>
    </row>
    <row r="727" customFormat="false" ht="15" hidden="false" customHeight="false" outlineLevel="0" collapsed="false">
      <c r="A727" s="0" t="n">
        <v>724</v>
      </c>
      <c r="B727" s="0" t="n">
        <f aca="true">NORMINV(RAND(),1,Coefficients!$B$22)</f>
        <v>1.02390775678351</v>
      </c>
      <c r="C727" s="0" t="n">
        <f aca="true">MEDIAN(8,16,ROUND(NORMINV(RAND(),Coefficients!$B$20,Coefficients!$B$21),0))</f>
        <v>10</v>
      </c>
      <c r="D727" s="0" t="n">
        <f aca="true">CRITBINOM($C727,MIN(0.75,Matchup!$B$39*$B727),RAND())</f>
        <v>2</v>
      </c>
      <c r="E727" s="0" t="n">
        <f aca="true">CRITBINOM(D727,Coefficients!$B$30,RAND())</f>
        <v>1</v>
      </c>
      <c r="F727" s="0" t="n">
        <f aca="true">CRITBINOM(E727,Coefficients!$B$31,RAND())</f>
        <v>0</v>
      </c>
      <c r="G727" s="0" t="n">
        <f aca="true">CRITBINOM(MAX(0,D727-E727),1-Coefficients!$B$32,RAND())</f>
        <v>0</v>
      </c>
      <c r="H727" s="0" t="n">
        <f aca="true">CRITBINOM(MAX(0,$C727-D727),MIN(0.6,Matchup!$B$40*SQRT($B727)/(1-MIN(0.75,Matchup!$B$39*$B727))),RAND())</f>
        <v>3</v>
      </c>
      <c r="I727" s="0" t="n">
        <f aca="false">6*D727+(D727-E727-G727)+2*F727+3*H727</f>
        <v>22</v>
      </c>
      <c r="J727" s="0" t="n">
        <f aca="true">CRITBINOM($C727,MIN(0.75,Matchup!$C$39*$B727),RAND())</f>
        <v>1</v>
      </c>
      <c r="K727" s="0" t="n">
        <f aca="true">CRITBINOM(J727,Coefficients!$B$30,RAND())</f>
        <v>0</v>
      </c>
      <c r="L727" s="0" t="n">
        <f aca="true">CRITBINOM(K727,Coefficients!$B$31,RAND())</f>
        <v>0</v>
      </c>
      <c r="M727" s="0" t="n">
        <f aca="true">CRITBINOM(MAX(0,J727-K727),1-Coefficients!$B$32,RAND())</f>
        <v>0</v>
      </c>
      <c r="N727" s="0" t="n">
        <f aca="true">CRITBINOM(MAX(0,$C727-J727),MIN(0.6,Matchup!$C$40*SQRT($B727)/(1-MIN(0.75,Matchup!$C$39*$B727))),RAND())</f>
        <v>2</v>
      </c>
      <c r="O727" s="0" t="n">
        <f aca="false">6*J727+(J727-K727-M727)+2*L727+3*N727</f>
        <v>13</v>
      </c>
      <c r="P727" s="0" t="n">
        <f aca="true">RAND()</f>
        <v>0.441259688386185</v>
      </c>
      <c r="Q727" s="0" t="n">
        <f aca="true">RAND()</f>
        <v>0.784978458251509</v>
      </c>
      <c r="R727" s="0" t="n">
        <f aca="false">IF($I727&lt;&gt;$O727,0,IF(P727&lt;Matchup!$B$39,7,IF(P727&lt;Matchup!$B$39+Matchup!$B$40,3,0)))</f>
        <v>0</v>
      </c>
      <c r="S727" s="0" t="n">
        <f aca="false">IF($I727&lt;&gt;$O727,0,IF(Q727&lt;Matchup!$C$39,7,IF(Q727&lt;Matchup!$C$39+Matchup!$C$40,3,0)))</f>
        <v>0</v>
      </c>
      <c r="T727" s="0" t="n">
        <f aca="false">I727+R727</f>
        <v>22</v>
      </c>
      <c r="U727" s="0" t="n">
        <f aca="false">O727+S727</f>
        <v>13</v>
      </c>
      <c r="V727" s="0" t="n">
        <f aca="false">T727-U727</f>
        <v>9</v>
      </c>
      <c r="W727" s="0" t="n">
        <f aca="false">T727+U727</f>
        <v>35</v>
      </c>
    </row>
    <row r="728" customFormat="false" ht="15" hidden="false" customHeight="false" outlineLevel="0" collapsed="false">
      <c r="A728" s="0" t="n">
        <v>725</v>
      </c>
      <c r="B728" s="0" t="n">
        <f aca="true">NORMINV(RAND(),1,Coefficients!$B$22)</f>
        <v>0.898177711762607</v>
      </c>
      <c r="C728" s="0" t="n">
        <f aca="true">MEDIAN(8,16,ROUND(NORMINV(RAND(),Coefficients!$B$20,Coefficients!$B$21),0))</f>
        <v>12</v>
      </c>
      <c r="D728" s="0" t="n">
        <f aca="true">CRITBINOM($C728,MIN(0.75,Matchup!$B$39*$B728),RAND())</f>
        <v>3</v>
      </c>
      <c r="E728" s="0" t="n">
        <f aca="true">CRITBINOM(D728,Coefficients!$B$30,RAND())</f>
        <v>0</v>
      </c>
      <c r="F728" s="0" t="n">
        <f aca="true">CRITBINOM(E728,Coefficients!$B$31,RAND())</f>
        <v>0</v>
      </c>
      <c r="G728" s="0" t="n">
        <f aca="true">CRITBINOM(MAX(0,D728-E728),1-Coefficients!$B$32,RAND())</f>
        <v>0</v>
      </c>
      <c r="H728" s="0" t="n">
        <f aca="true">CRITBINOM(MAX(0,$C728-D728),MIN(0.6,Matchup!$B$40*SQRT($B728)/(1-MIN(0.75,Matchup!$B$39*$B728))),RAND())</f>
        <v>3</v>
      </c>
      <c r="I728" s="0" t="n">
        <f aca="false">6*D728+(D728-E728-G728)+2*F728+3*H728</f>
        <v>30</v>
      </c>
      <c r="J728" s="0" t="n">
        <f aca="true">CRITBINOM($C728,MIN(0.75,Matchup!$C$39*$B728),RAND())</f>
        <v>2</v>
      </c>
      <c r="K728" s="0" t="n">
        <f aca="true">CRITBINOM(J728,Coefficients!$B$30,RAND())</f>
        <v>1</v>
      </c>
      <c r="L728" s="0" t="n">
        <f aca="true">CRITBINOM(K728,Coefficients!$B$31,RAND())</f>
        <v>1</v>
      </c>
      <c r="M728" s="0" t="n">
        <f aca="true">CRITBINOM(MAX(0,J728-K728),1-Coefficients!$B$32,RAND())</f>
        <v>0</v>
      </c>
      <c r="N728" s="0" t="n">
        <f aca="true">CRITBINOM(MAX(0,$C728-J728),MIN(0.6,Matchup!$C$40*SQRT($B728)/(1-MIN(0.75,Matchup!$C$39*$B728))),RAND())</f>
        <v>3</v>
      </c>
      <c r="O728" s="0" t="n">
        <f aca="false">6*J728+(J728-K728-M728)+2*L728+3*N728</f>
        <v>24</v>
      </c>
      <c r="P728" s="0" t="n">
        <f aca="true">RAND()</f>
        <v>0.633431749944608</v>
      </c>
      <c r="Q728" s="0" t="n">
        <f aca="true">RAND()</f>
        <v>0.862051187843884</v>
      </c>
      <c r="R728" s="0" t="n">
        <f aca="false">IF($I728&lt;&gt;$O728,0,IF(P728&lt;Matchup!$B$39,7,IF(P728&lt;Matchup!$B$39+Matchup!$B$40,3,0)))</f>
        <v>0</v>
      </c>
      <c r="S728" s="0" t="n">
        <f aca="false">IF($I728&lt;&gt;$O728,0,IF(Q728&lt;Matchup!$C$39,7,IF(Q728&lt;Matchup!$C$39+Matchup!$C$40,3,0)))</f>
        <v>0</v>
      </c>
      <c r="T728" s="0" t="n">
        <f aca="false">I728+R728</f>
        <v>30</v>
      </c>
      <c r="U728" s="0" t="n">
        <f aca="false">O728+S728</f>
        <v>24</v>
      </c>
      <c r="V728" s="0" t="n">
        <f aca="false">T728-U728</f>
        <v>6</v>
      </c>
      <c r="W728" s="0" t="n">
        <f aca="false">T728+U728</f>
        <v>54</v>
      </c>
    </row>
    <row r="729" customFormat="false" ht="15" hidden="false" customHeight="false" outlineLevel="0" collapsed="false">
      <c r="A729" s="0" t="n">
        <v>726</v>
      </c>
      <c r="B729" s="0" t="n">
        <f aca="true">NORMINV(RAND(),1,Coefficients!$B$22)</f>
        <v>1.05594321283991</v>
      </c>
      <c r="C729" s="0" t="n">
        <f aca="true">MEDIAN(8,16,ROUND(NORMINV(RAND(),Coefficients!$B$20,Coefficients!$B$21),0))</f>
        <v>10</v>
      </c>
      <c r="D729" s="0" t="n">
        <f aca="true">CRITBINOM($C729,MIN(0.75,Matchup!$B$39*$B729),RAND())</f>
        <v>4</v>
      </c>
      <c r="E729" s="0" t="n">
        <f aca="true">CRITBINOM(D729,Coefficients!$B$30,RAND())</f>
        <v>0</v>
      </c>
      <c r="F729" s="0" t="n">
        <f aca="true">CRITBINOM(E729,Coefficients!$B$31,RAND())</f>
        <v>0</v>
      </c>
      <c r="G729" s="0" t="n">
        <f aca="true">CRITBINOM(MAX(0,D729-E729),1-Coefficients!$B$32,RAND())</f>
        <v>0</v>
      </c>
      <c r="H729" s="0" t="n">
        <f aca="true">CRITBINOM(MAX(0,$C729-D729),MIN(0.6,Matchup!$B$40*SQRT($B729)/(1-MIN(0.75,Matchup!$B$39*$B729))),RAND())</f>
        <v>2</v>
      </c>
      <c r="I729" s="0" t="n">
        <f aca="false">6*D729+(D729-E729-G729)+2*F729+3*H729</f>
        <v>34</v>
      </c>
      <c r="J729" s="0" t="n">
        <f aca="true">CRITBINOM($C729,MIN(0.75,Matchup!$C$39*$B729),RAND())</f>
        <v>1</v>
      </c>
      <c r="K729" s="0" t="n">
        <f aca="true">CRITBINOM(J729,Coefficients!$B$30,RAND())</f>
        <v>0</v>
      </c>
      <c r="L729" s="0" t="n">
        <f aca="true">CRITBINOM(K729,Coefficients!$B$31,RAND())</f>
        <v>0</v>
      </c>
      <c r="M729" s="0" t="n">
        <f aca="true">CRITBINOM(MAX(0,J729-K729),1-Coefficients!$B$32,RAND())</f>
        <v>0</v>
      </c>
      <c r="N729" s="0" t="n">
        <f aca="true">CRITBINOM(MAX(0,$C729-J729),MIN(0.6,Matchup!$C$40*SQRT($B729)/(1-MIN(0.75,Matchup!$C$39*$B729))),RAND())</f>
        <v>3</v>
      </c>
      <c r="O729" s="0" t="n">
        <f aca="false">6*J729+(J729-K729-M729)+2*L729+3*N729</f>
        <v>16</v>
      </c>
      <c r="P729" s="0" t="n">
        <f aca="true">RAND()</f>
        <v>0.682159942815473</v>
      </c>
      <c r="Q729" s="0" t="n">
        <f aca="true">RAND()</f>
        <v>0.556127582926003</v>
      </c>
      <c r="R729" s="0" t="n">
        <f aca="false">IF($I729&lt;&gt;$O729,0,IF(P729&lt;Matchup!$B$39,7,IF(P729&lt;Matchup!$B$39+Matchup!$B$40,3,0)))</f>
        <v>0</v>
      </c>
      <c r="S729" s="0" t="n">
        <f aca="false">IF($I729&lt;&gt;$O729,0,IF(Q729&lt;Matchup!$C$39,7,IF(Q729&lt;Matchup!$C$39+Matchup!$C$40,3,0)))</f>
        <v>0</v>
      </c>
      <c r="T729" s="0" t="n">
        <f aca="false">I729+R729</f>
        <v>34</v>
      </c>
      <c r="U729" s="0" t="n">
        <f aca="false">O729+S729</f>
        <v>16</v>
      </c>
      <c r="V729" s="0" t="n">
        <f aca="false">T729-U729</f>
        <v>18</v>
      </c>
      <c r="W729" s="0" t="n">
        <f aca="false">T729+U729</f>
        <v>50</v>
      </c>
    </row>
    <row r="730" customFormat="false" ht="15" hidden="false" customHeight="false" outlineLevel="0" collapsed="false">
      <c r="A730" s="0" t="n">
        <v>727</v>
      </c>
      <c r="B730" s="0" t="n">
        <f aca="true">NORMINV(RAND(),1,Coefficients!$B$22)</f>
        <v>1.11636971233483</v>
      </c>
      <c r="C730" s="0" t="n">
        <f aca="true">MEDIAN(8,16,ROUND(NORMINV(RAND(),Coefficients!$B$20,Coefficients!$B$21),0))</f>
        <v>12</v>
      </c>
      <c r="D730" s="0" t="n">
        <f aca="true">CRITBINOM($C730,MIN(0.75,Matchup!$B$39*$B730),RAND())</f>
        <v>2</v>
      </c>
      <c r="E730" s="0" t="n">
        <f aca="true">CRITBINOM(D730,Coefficients!$B$30,RAND())</f>
        <v>0</v>
      </c>
      <c r="F730" s="0" t="n">
        <f aca="true">CRITBINOM(E730,Coefficients!$B$31,RAND())</f>
        <v>0</v>
      </c>
      <c r="G730" s="0" t="n">
        <f aca="true">CRITBINOM(MAX(0,D730-E730),1-Coefficients!$B$32,RAND())</f>
        <v>0</v>
      </c>
      <c r="H730" s="0" t="n">
        <f aca="true">CRITBINOM(MAX(0,$C730-D730),MIN(0.6,Matchup!$B$40*SQRT($B730)/(1-MIN(0.75,Matchup!$B$39*$B730))),RAND())</f>
        <v>2</v>
      </c>
      <c r="I730" s="0" t="n">
        <f aca="false">6*D730+(D730-E730-G730)+2*F730+3*H730</f>
        <v>20</v>
      </c>
      <c r="J730" s="0" t="n">
        <f aca="true">CRITBINOM($C730,MIN(0.75,Matchup!$C$39*$B730),RAND())</f>
        <v>8</v>
      </c>
      <c r="K730" s="0" t="n">
        <f aca="true">CRITBINOM(J730,Coefficients!$B$30,RAND())</f>
        <v>0</v>
      </c>
      <c r="L730" s="0" t="n">
        <f aca="true">CRITBINOM(K730,Coefficients!$B$31,RAND())</f>
        <v>0</v>
      </c>
      <c r="M730" s="0" t="n">
        <f aca="true">CRITBINOM(MAX(0,J730-K730),1-Coefficients!$B$32,RAND())</f>
        <v>0</v>
      </c>
      <c r="N730" s="0" t="n">
        <f aca="true">CRITBINOM(MAX(0,$C730-J730),MIN(0.6,Matchup!$C$40*SQRT($B730)/(1-MIN(0.75,Matchup!$C$39*$B730))),RAND())</f>
        <v>0</v>
      </c>
      <c r="O730" s="0" t="n">
        <f aca="false">6*J730+(J730-K730-M730)+2*L730+3*N730</f>
        <v>56</v>
      </c>
      <c r="P730" s="0" t="n">
        <f aca="true">RAND()</f>
        <v>0.488396299952732</v>
      </c>
      <c r="Q730" s="0" t="n">
        <f aca="true">RAND()</f>
        <v>0.940705825056802</v>
      </c>
      <c r="R730" s="0" t="n">
        <f aca="false">IF($I730&lt;&gt;$O730,0,IF(P730&lt;Matchup!$B$39,7,IF(P730&lt;Matchup!$B$39+Matchup!$B$40,3,0)))</f>
        <v>0</v>
      </c>
      <c r="S730" s="0" t="n">
        <f aca="false">IF($I730&lt;&gt;$O730,0,IF(Q730&lt;Matchup!$C$39,7,IF(Q730&lt;Matchup!$C$39+Matchup!$C$40,3,0)))</f>
        <v>0</v>
      </c>
      <c r="T730" s="0" t="n">
        <f aca="false">I730+R730</f>
        <v>20</v>
      </c>
      <c r="U730" s="0" t="n">
        <f aca="false">O730+S730</f>
        <v>56</v>
      </c>
      <c r="V730" s="0" t="n">
        <f aca="false">T730-U730</f>
        <v>-36</v>
      </c>
      <c r="W730" s="0" t="n">
        <f aca="false">T730+U730</f>
        <v>76</v>
      </c>
    </row>
    <row r="731" customFormat="false" ht="15" hidden="false" customHeight="false" outlineLevel="0" collapsed="false">
      <c r="A731" s="0" t="n">
        <v>728</v>
      </c>
      <c r="B731" s="0" t="n">
        <f aca="true">NORMINV(RAND(),1,Coefficients!$B$22)</f>
        <v>1.0733110136829</v>
      </c>
      <c r="C731" s="0" t="n">
        <f aca="true">MEDIAN(8,16,ROUND(NORMINV(RAND(),Coefficients!$B$20,Coefficients!$B$21),0))</f>
        <v>12</v>
      </c>
      <c r="D731" s="0" t="n">
        <f aca="true">CRITBINOM($C731,MIN(0.75,Matchup!$B$39*$B731),RAND())</f>
        <v>1</v>
      </c>
      <c r="E731" s="0" t="n">
        <f aca="true">CRITBINOM(D731,Coefficients!$B$30,RAND())</f>
        <v>0</v>
      </c>
      <c r="F731" s="0" t="n">
        <f aca="true">CRITBINOM(E731,Coefficients!$B$31,RAND())</f>
        <v>0</v>
      </c>
      <c r="G731" s="0" t="n">
        <f aca="true">CRITBINOM(MAX(0,D731-E731),1-Coefficients!$B$32,RAND())</f>
        <v>0</v>
      </c>
      <c r="H731" s="0" t="n">
        <f aca="true">CRITBINOM(MAX(0,$C731-D731),MIN(0.6,Matchup!$B$40*SQRT($B731)/(1-MIN(0.75,Matchup!$B$39*$B731))),RAND())</f>
        <v>3</v>
      </c>
      <c r="I731" s="0" t="n">
        <f aca="false">6*D731+(D731-E731-G731)+2*F731+3*H731</f>
        <v>16</v>
      </c>
      <c r="J731" s="0" t="n">
        <f aca="true">CRITBINOM($C731,MIN(0.75,Matchup!$C$39*$B731),RAND())</f>
        <v>2</v>
      </c>
      <c r="K731" s="0" t="n">
        <f aca="true">CRITBINOM(J731,Coefficients!$B$30,RAND())</f>
        <v>0</v>
      </c>
      <c r="L731" s="0" t="n">
        <f aca="true">CRITBINOM(K731,Coefficients!$B$31,RAND())</f>
        <v>0</v>
      </c>
      <c r="M731" s="0" t="n">
        <f aca="true">CRITBINOM(MAX(0,J731-K731),1-Coefficients!$B$32,RAND())</f>
        <v>0</v>
      </c>
      <c r="N731" s="0" t="n">
        <f aca="true">CRITBINOM(MAX(0,$C731-J731),MIN(0.6,Matchup!$C$40*SQRT($B731)/(1-MIN(0.75,Matchup!$C$39*$B731))),RAND())</f>
        <v>1</v>
      </c>
      <c r="O731" s="0" t="n">
        <f aca="false">6*J731+(J731-K731-M731)+2*L731+3*N731</f>
        <v>17</v>
      </c>
      <c r="P731" s="0" t="n">
        <f aca="true">RAND()</f>
        <v>0.994001543981985</v>
      </c>
      <c r="Q731" s="0" t="n">
        <f aca="true">RAND()</f>
        <v>0.0669764214704053</v>
      </c>
      <c r="R731" s="0" t="n">
        <f aca="false">IF($I731&lt;&gt;$O731,0,IF(P731&lt;Matchup!$B$39,7,IF(P731&lt;Matchup!$B$39+Matchup!$B$40,3,0)))</f>
        <v>0</v>
      </c>
      <c r="S731" s="0" t="n">
        <f aca="false">IF($I731&lt;&gt;$O731,0,IF(Q731&lt;Matchup!$C$39,7,IF(Q731&lt;Matchup!$C$39+Matchup!$C$40,3,0)))</f>
        <v>0</v>
      </c>
      <c r="T731" s="0" t="n">
        <f aca="false">I731+R731</f>
        <v>16</v>
      </c>
      <c r="U731" s="0" t="n">
        <f aca="false">O731+S731</f>
        <v>17</v>
      </c>
      <c r="V731" s="0" t="n">
        <f aca="false">T731-U731</f>
        <v>-1</v>
      </c>
      <c r="W731" s="0" t="n">
        <f aca="false">T731+U731</f>
        <v>33</v>
      </c>
    </row>
    <row r="732" customFormat="false" ht="15" hidden="false" customHeight="false" outlineLevel="0" collapsed="false">
      <c r="A732" s="0" t="n">
        <v>729</v>
      </c>
      <c r="B732" s="0" t="n">
        <f aca="true">NORMINV(RAND(),1,Coefficients!$B$22)</f>
        <v>1.0811855824601</v>
      </c>
      <c r="C732" s="0" t="n">
        <f aca="true">MEDIAN(8,16,ROUND(NORMINV(RAND(),Coefficients!$B$20,Coefficients!$B$21),0))</f>
        <v>12</v>
      </c>
      <c r="D732" s="0" t="n">
        <f aca="true">CRITBINOM($C732,MIN(0.75,Matchup!$B$39*$B732),RAND())</f>
        <v>4</v>
      </c>
      <c r="E732" s="0" t="n">
        <f aca="true">CRITBINOM(D732,Coefficients!$B$30,RAND())</f>
        <v>1</v>
      </c>
      <c r="F732" s="0" t="n">
        <f aca="true">CRITBINOM(E732,Coefficients!$B$31,RAND())</f>
        <v>1</v>
      </c>
      <c r="G732" s="0" t="n">
        <f aca="true">CRITBINOM(MAX(0,D732-E732),1-Coefficients!$B$32,RAND())</f>
        <v>0</v>
      </c>
      <c r="H732" s="0" t="n">
        <f aca="true">CRITBINOM(MAX(0,$C732-D732),MIN(0.6,Matchup!$B$40*SQRT($B732)/(1-MIN(0.75,Matchup!$B$39*$B732))),RAND())</f>
        <v>2</v>
      </c>
      <c r="I732" s="0" t="n">
        <f aca="false">6*D732+(D732-E732-G732)+2*F732+3*H732</f>
        <v>35</v>
      </c>
      <c r="J732" s="0" t="n">
        <f aca="true">CRITBINOM($C732,MIN(0.75,Matchup!$C$39*$B732),RAND())</f>
        <v>3</v>
      </c>
      <c r="K732" s="0" t="n">
        <f aca="true">CRITBINOM(J732,Coefficients!$B$30,RAND())</f>
        <v>0</v>
      </c>
      <c r="L732" s="0" t="n">
        <f aca="true">CRITBINOM(K732,Coefficients!$B$31,RAND())</f>
        <v>0</v>
      </c>
      <c r="M732" s="0" t="n">
        <f aca="true">CRITBINOM(MAX(0,J732-K732),1-Coefficients!$B$32,RAND())</f>
        <v>0</v>
      </c>
      <c r="N732" s="0" t="n">
        <f aca="true">CRITBINOM(MAX(0,$C732-J732),MIN(0.6,Matchup!$C$40*SQRT($B732)/(1-MIN(0.75,Matchup!$C$39*$B732))),RAND())</f>
        <v>3</v>
      </c>
      <c r="O732" s="0" t="n">
        <f aca="false">6*J732+(J732-K732-M732)+2*L732+3*N732</f>
        <v>30</v>
      </c>
      <c r="P732" s="0" t="n">
        <f aca="true">RAND()</f>
        <v>0.729358695699682</v>
      </c>
      <c r="Q732" s="0" t="n">
        <f aca="true">RAND()</f>
        <v>0.249140215631682</v>
      </c>
      <c r="R732" s="0" t="n">
        <f aca="false">IF($I732&lt;&gt;$O732,0,IF(P732&lt;Matchup!$B$39,7,IF(P732&lt;Matchup!$B$39+Matchup!$B$40,3,0)))</f>
        <v>0</v>
      </c>
      <c r="S732" s="0" t="n">
        <f aca="false">IF($I732&lt;&gt;$O732,0,IF(Q732&lt;Matchup!$C$39,7,IF(Q732&lt;Matchup!$C$39+Matchup!$C$40,3,0)))</f>
        <v>0</v>
      </c>
      <c r="T732" s="0" t="n">
        <f aca="false">I732+R732</f>
        <v>35</v>
      </c>
      <c r="U732" s="0" t="n">
        <f aca="false">O732+S732</f>
        <v>30</v>
      </c>
      <c r="V732" s="0" t="n">
        <f aca="false">T732-U732</f>
        <v>5</v>
      </c>
      <c r="W732" s="0" t="n">
        <f aca="false">T732+U732</f>
        <v>65</v>
      </c>
    </row>
    <row r="733" customFormat="false" ht="15" hidden="false" customHeight="false" outlineLevel="0" collapsed="false">
      <c r="A733" s="0" t="n">
        <v>730</v>
      </c>
      <c r="B733" s="0" t="n">
        <f aca="true">NORMINV(RAND(),1,Coefficients!$B$22)</f>
        <v>0.926843255134461</v>
      </c>
      <c r="C733" s="0" t="n">
        <f aca="true">MEDIAN(8,16,ROUND(NORMINV(RAND(),Coefficients!$B$20,Coefficients!$B$21),0))</f>
        <v>10</v>
      </c>
      <c r="D733" s="0" t="n">
        <f aca="true">CRITBINOM($C733,MIN(0.75,Matchup!$B$39*$B733),RAND())</f>
        <v>4</v>
      </c>
      <c r="E733" s="0" t="n">
        <f aca="true">CRITBINOM(D733,Coefficients!$B$30,RAND())</f>
        <v>0</v>
      </c>
      <c r="F733" s="0" t="n">
        <f aca="true">CRITBINOM(E733,Coefficients!$B$31,RAND())</f>
        <v>0</v>
      </c>
      <c r="G733" s="0" t="n">
        <f aca="true">CRITBINOM(MAX(0,D733-E733),1-Coefficients!$B$32,RAND())</f>
        <v>0</v>
      </c>
      <c r="H733" s="0" t="n">
        <f aca="true">CRITBINOM(MAX(0,$C733-D733),MIN(0.6,Matchup!$B$40*SQRT($B733)/(1-MIN(0.75,Matchup!$B$39*$B733))),RAND())</f>
        <v>1</v>
      </c>
      <c r="I733" s="0" t="n">
        <f aca="false">6*D733+(D733-E733-G733)+2*F733+3*H733</f>
        <v>31</v>
      </c>
      <c r="J733" s="0" t="n">
        <f aca="true">CRITBINOM($C733,MIN(0.75,Matchup!$C$39*$B733),RAND())</f>
        <v>0</v>
      </c>
      <c r="K733" s="0" t="n">
        <f aca="true">CRITBINOM(J733,Coefficients!$B$30,RAND())</f>
        <v>0</v>
      </c>
      <c r="L733" s="0" t="n">
        <f aca="true">CRITBINOM(K733,Coefficients!$B$31,RAND())</f>
        <v>0</v>
      </c>
      <c r="M733" s="0" t="n">
        <f aca="true">CRITBINOM(MAX(0,J733-K733),1-Coefficients!$B$32,RAND())</f>
        <v>0</v>
      </c>
      <c r="N733" s="0" t="n">
        <f aca="true">CRITBINOM(MAX(0,$C733-J733),MIN(0.6,Matchup!$C$40*SQRT($B733)/(1-MIN(0.75,Matchup!$C$39*$B733))),RAND())</f>
        <v>0</v>
      </c>
      <c r="O733" s="0" t="n">
        <f aca="false">6*J733+(J733-K733-M733)+2*L733+3*N733</f>
        <v>0</v>
      </c>
      <c r="P733" s="0" t="n">
        <f aca="true">RAND()</f>
        <v>0.499059084323668</v>
      </c>
      <c r="Q733" s="0" t="n">
        <f aca="true">RAND()</f>
        <v>0.0565605596091257</v>
      </c>
      <c r="R733" s="0" t="n">
        <f aca="false">IF($I733&lt;&gt;$O733,0,IF(P733&lt;Matchup!$B$39,7,IF(P733&lt;Matchup!$B$39+Matchup!$B$40,3,0)))</f>
        <v>0</v>
      </c>
      <c r="S733" s="0" t="n">
        <f aca="false">IF($I733&lt;&gt;$O733,0,IF(Q733&lt;Matchup!$C$39,7,IF(Q733&lt;Matchup!$C$39+Matchup!$C$40,3,0)))</f>
        <v>0</v>
      </c>
      <c r="T733" s="0" t="n">
        <f aca="false">I733+R733</f>
        <v>31</v>
      </c>
      <c r="U733" s="0" t="n">
        <f aca="false">O733+S733</f>
        <v>0</v>
      </c>
      <c r="V733" s="0" t="n">
        <f aca="false">T733-U733</f>
        <v>31</v>
      </c>
      <c r="W733" s="0" t="n">
        <f aca="false">T733+U733</f>
        <v>31</v>
      </c>
    </row>
    <row r="734" customFormat="false" ht="15" hidden="false" customHeight="false" outlineLevel="0" collapsed="false">
      <c r="A734" s="0" t="n">
        <v>731</v>
      </c>
      <c r="B734" s="0" t="n">
        <f aca="true">NORMINV(RAND(),1,Coefficients!$B$22)</f>
        <v>0.91182869074263</v>
      </c>
      <c r="C734" s="0" t="n">
        <f aca="true">MEDIAN(8,16,ROUND(NORMINV(RAND(),Coefficients!$B$20,Coefficients!$B$21),0))</f>
        <v>12</v>
      </c>
      <c r="D734" s="0" t="n">
        <f aca="true">CRITBINOM($C734,MIN(0.75,Matchup!$B$39*$B734),RAND())</f>
        <v>1</v>
      </c>
      <c r="E734" s="0" t="n">
        <f aca="true">CRITBINOM(D734,Coefficients!$B$30,RAND())</f>
        <v>0</v>
      </c>
      <c r="F734" s="0" t="n">
        <f aca="true">CRITBINOM(E734,Coefficients!$B$31,RAND())</f>
        <v>0</v>
      </c>
      <c r="G734" s="0" t="n">
        <f aca="true">CRITBINOM(MAX(0,D734-E734),1-Coefficients!$B$32,RAND())</f>
        <v>0</v>
      </c>
      <c r="H734" s="0" t="n">
        <f aca="true">CRITBINOM(MAX(0,$C734-D734),MIN(0.6,Matchup!$B$40*SQRT($B734)/(1-MIN(0.75,Matchup!$B$39*$B734))),RAND())</f>
        <v>2</v>
      </c>
      <c r="I734" s="0" t="n">
        <f aca="false">6*D734+(D734-E734-G734)+2*F734+3*H734</f>
        <v>13</v>
      </c>
      <c r="J734" s="0" t="n">
        <f aca="true">CRITBINOM($C734,MIN(0.75,Matchup!$C$39*$B734),RAND())</f>
        <v>0</v>
      </c>
      <c r="K734" s="0" t="n">
        <f aca="true">CRITBINOM(J734,Coefficients!$B$30,RAND())</f>
        <v>0</v>
      </c>
      <c r="L734" s="0" t="n">
        <f aca="true">CRITBINOM(K734,Coefficients!$B$31,RAND())</f>
        <v>0</v>
      </c>
      <c r="M734" s="0" t="n">
        <f aca="true">CRITBINOM(MAX(0,J734-K734),1-Coefficients!$B$32,RAND())</f>
        <v>0</v>
      </c>
      <c r="N734" s="0" t="n">
        <f aca="true">CRITBINOM(MAX(0,$C734-J734),MIN(0.6,Matchup!$C$40*SQRT($B734)/(1-MIN(0.75,Matchup!$C$39*$B734))),RAND())</f>
        <v>4</v>
      </c>
      <c r="O734" s="0" t="n">
        <f aca="false">6*J734+(J734-K734-M734)+2*L734+3*N734</f>
        <v>12</v>
      </c>
      <c r="P734" s="0" t="n">
        <f aca="true">RAND()</f>
        <v>0.402593977310242</v>
      </c>
      <c r="Q734" s="0" t="n">
        <f aca="true">RAND()</f>
        <v>0.577065934777922</v>
      </c>
      <c r="R734" s="0" t="n">
        <f aca="false">IF($I734&lt;&gt;$O734,0,IF(P734&lt;Matchup!$B$39,7,IF(P734&lt;Matchup!$B$39+Matchup!$B$40,3,0)))</f>
        <v>0</v>
      </c>
      <c r="S734" s="0" t="n">
        <f aca="false">IF($I734&lt;&gt;$O734,0,IF(Q734&lt;Matchup!$C$39,7,IF(Q734&lt;Matchup!$C$39+Matchup!$C$40,3,0)))</f>
        <v>0</v>
      </c>
      <c r="T734" s="0" t="n">
        <f aca="false">I734+R734</f>
        <v>13</v>
      </c>
      <c r="U734" s="0" t="n">
        <f aca="false">O734+S734</f>
        <v>12</v>
      </c>
      <c r="V734" s="0" t="n">
        <f aca="false">T734-U734</f>
        <v>1</v>
      </c>
      <c r="W734" s="0" t="n">
        <f aca="false">T734+U734</f>
        <v>25</v>
      </c>
    </row>
    <row r="735" customFormat="false" ht="15" hidden="false" customHeight="false" outlineLevel="0" collapsed="false">
      <c r="A735" s="0" t="n">
        <v>732</v>
      </c>
      <c r="B735" s="0" t="n">
        <f aca="true">NORMINV(RAND(),1,Coefficients!$B$22)</f>
        <v>0.937969852571827</v>
      </c>
      <c r="C735" s="0" t="n">
        <f aca="true">MEDIAN(8,16,ROUND(NORMINV(RAND(),Coefficients!$B$20,Coefficients!$B$21),0))</f>
        <v>12</v>
      </c>
      <c r="D735" s="0" t="n">
        <f aca="true">CRITBINOM($C735,MIN(0.75,Matchup!$B$39*$B735),RAND())</f>
        <v>2</v>
      </c>
      <c r="E735" s="0" t="n">
        <f aca="true">CRITBINOM(D735,Coefficients!$B$30,RAND())</f>
        <v>0</v>
      </c>
      <c r="F735" s="0" t="n">
        <f aca="true">CRITBINOM(E735,Coefficients!$B$31,RAND())</f>
        <v>0</v>
      </c>
      <c r="G735" s="0" t="n">
        <f aca="true">CRITBINOM(MAX(0,D735-E735),1-Coefficients!$B$32,RAND())</f>
        <v>0</v>
      </c>
      <c r="H735" s="0" t="n">
        <f aca="true">CRITBINOM(MAX(0,$C735-D735),MIN(0.6,Matchup!$B$40*SQRT($B735)/(1-MIN(0.75,Matchup!$B$39*$B735))),RAND())</f>
        <v>1</v>
      </c>
      <c r="I735" s="0" t="n">
        <f aca="false">6*D735+(D735-E735-G735)+2*F735+3*H735</f>
        <v>17</v>
      </c>
      <c r="J735" s="0" t="n">
        <f aca="true">CRITBINOM($C735,MIN(0.75,Matchup!$C$39*$B735),RAND())</f>
        <v>1</v>
      </c>
      <c r="K735" s="0" t="n">
        <f aca="true">CRITBINOM(J735,Coefficients!$B$30,RAND())</f>
        <v>0</v>
      </c>
      <c r="L735" s="0" t="n">
        <f aca="true">CRITBINOM(K735,Coefficients!$B$31,RAND())</f>
        <v>0</v>
      </c>
      <c r="M735" s="0" t="n">
        <f aca="true">CRITBINOM(MAX(0,J735-K735),1-Coefficients!$B$32,RAND())</f>
        <v>0</v>
      </c>
      <c r="N735" s="0" t="n">
        <f aca="true">CRITBINOM(MAX(0,$C735-J735),MIN(0.6,Matchup!$C$40*SQRT($B735)/(1-MIN(0.75,Matchup!$C$39*$B735))),RAND())</f>
        <v>3</v>
      </c>
      <c r="O735" s="0" t="n">
        <f aca="false">6*J735+(J735-K735-M735)+2*L735+3*N735</f>
        <v>16</v>
      </c>
      <c r="P735" s="0" t="n">
        <f aca="true">RAND()</f>
        <v>0.855559866117305</v>
      </c>
      <c r="Q735" s="0" t="n">
        <f aca="true">RAND()</f>
        <v>0.620465641961624</v>
      </c>
      <c r="R735" s="0" t="n">
        <f aca="false">IF($I735&lt;&gt;$O735,0,IF(P735&lt;Matchup!$B$39,7,IF(P735&lt;Matchup!$B$39+Matchup!$B$40,3,0)))</f>
        <v>0</v>
      </c>
      <c r="S735" s="0" t="n">
        <f aca="false">IF($I735&lt;&gt;$O735,0,IF(Q735&lt;Matchup!$C$39,7,IF(Q735&lt;Matchup!$C$39+Matchup!$C$40,3,0)))</f>
        <v>0</v>
      </c>
      <c r="T735" s="0" t="n">
        <f aca="false">I735+R735</f>
        <v>17</v>
      </c>
      <c r="U735" s="0" t="n">
        <f aca="false">O735+S735</f>
        <v>16</v>
      </c>
      <c r="V735" s="0" t="n">
        <f aca="false">T735-U735</f>
        <v>1</v>
      </c>
      <c r="W735" s="0" t="n">
        <f aca="false">T735+U735</f>
        <v>33</v>
      </c>
    </row>
    <row r="736" customFormat="false" ht="15" hidden="false" customHeight="false" outlineLevel="0" collapsed="false">
      <c r="A736" s="0" t="n">
        <v>733</v>
      </c>
      <c r="B736" s="0" t="n">
        <f aca="true">NORMINV(RAND(),1,Coefficients!$B$22)</f>
        <v>0.912952275690018</v>
      </c>
      <c r="C736" s="0" t="n">
        <f aca="true">MEDIAN(8,16,ROUND(NORMINV(RAND(),Coefficients!$B$20,Coefficients!$B$21),0))</f>
        <v>12</v>
      </c>
      <c r="D736" s="0" t="n">
        <f aca="true">CRITBINOM($C736,MIN(0.75,Matchup!$B$39*$B736),RAND())</f>
        <v>2</v>
      </c>
      <c r="E736" s="0" t="n">
        <f aca="true">CRITBINOM(D736,Coefficients!$B$30,RAND())</f>
        <v>1</v>
      </c>
      <c r="F736" s="0" t="n">
        <f aca="true">CRITBINOM(E736,Coefficients!$B$31,RAND())</f>
        <v>0</v>
      </c>
      <c r="G736" s="0" t="n">
        <f aca="true">CRITBINOM(MAX(0,D736-E736),1-Coefficients!$B$32,RAND())</f>
        <v>0</v>
      </c>
      <c r="H736" s="0" t="n">
        <f aca="true">CRITBINOM(MAX(0,$C736-D736),MIN(0.6,Matchup!$B$40*SQRT($B736)/(1-MIN(0.75,Matchup!$B$39*$B736))),RAND())</f>
        <v>2</v>
      </c>
      <c r="I736" s="0" t="n">
        <f aca="false">6*D736+(D736-E736-G736)+2*F736+3*H736</f>
        <v>19</v>
      </c>
      <c r="J736" s="0" t="n">
        <f aca="true">CRITBINOM($C736,MIN(0.75,Matchup!$C$39*$B736),RAND())</f>
        <v>0</v>
      </c>
      <c r="K736" s="0" t="n">
        <f aca="true">CRITBINOM(J736,Coefficients!$B$30,RAND())</f>
        <v>0</v>
      </c>
      <c r="L736" s="0" t="n">
        <f aca="true">CRITBINOM(K736,Coefficients!$B$31,RAND())</f>
        <v>0</v>
      </c>
      <c r="M736" s="0" t="n">
        <f aca="true">CRITBINOM(MAX(0,J736-K736),1-Coefficients!$B$32,RAND())</f>
        <v>0</v>
      </c>
      <c r="N736" s="0" t="n">
        <f aca="true">CRITBINOM(MAX(0,$C736-J736),MIN(0.6,Matchup!$C$40*SQRT($B736)/(1-MIN(0.75,Matchup!$C$39*$B736))),RAND())</f>
        <v>0</v>
      </c>
      <c r="O736" s="0" t="n">
        <f aca="false">6*J736+(J736-K736-M736)+2*L736+3*N736</f>
        <v>0</v>
      </c>
      <c r="P736" s="0" t="n">
        <f aca="true">RAND()</f>
        <v>0.851259382581077</v>
      </c>
      <c r="Q736" s="0" t="n">
        <f aca="true">RAND()</f>
        <v>0.138853156340606</v>
      </c>
      <c r="R736" s="0" t="n">
        <f aca="false">IF($I736&lt;&gt;$O736,0,IF(P736&lt;Matchup!$B$39,7,IF(P736&lt;Matchup!$B$39+Matchup!$B$40,3,0)))</f>
        <v>0</v>
      </c>
      <c r="S736" s="0" t="n">
        <f aca="false">IF($I736&lt;&gt;$O736,0,IF(Q736&lt;Matchup!$C$39,7,IF(Q736&lt;Matchup!$C$39+Matchup!$C$40,3,0)))</f>
        <v>0</v>
      </c>
      <c r="T736" s="0" t="n">
        <f aca="false">I736+R736</f>
        <v>19</v>
      </c>
      <c r="U736" s="0" t="n">
        <f aca="false">O736+S736</f>
        <v>0</v>
      </c>
      <c r="V736" s="0" t="n">
        <f aca="false">T736-U736</f>
        <v>19</v>
      </c>
      <c r="W736" s="0" t="n">
        <f aca="false">T736+U736</f>
        <v>19</v>
      </c>
    </row>
    <row r="737" customFormat="false" ht="15" hidden="false" customHeight="false" outlineLevel="0" collapsed="false">
      <c r="A737" s="0" t="n">
        <v>734</v>
      </c>
      <c r="B737" s="0" t="n">
        <f aca="true">NORMINV(RAND(),1,Coefficients!$B$22)</f>
        <v>1.00314780474997</v>
      </c>
      <c r="C737" s="0" t="n">
        <f aca="true">MEDIAN(8,16,ROUND(NORMINV(RAND(),Coefficients!$B$20,Coefficients!$B$21),0))</f>
        <v>11</v>
      </c>
      <c r="D737" s="0" t="n">
        <f aca="true">CRITBINOM($C737,MIN(0.75,Matchup!$B$39*$B737),RAND())</f>
        <v>3</v>
      </c>
      <c r="E737" s="0" t="n">
        <f aca="true">CRITBINOM(D737,Coefficients!$B$30,RAND())</f>
        <v>0</v>
      </c>
      <c r="F737" s="0" t="n">
        <f aca="true">CRITBINOM(E737,Coefficients!$B$31,RAND())</f>
        <v>0</v>
      </c>
      <c r="G737" s="0" t="n">
        <f aca="true">CRITBINOM(MAX(0,D737-E737),1-Coefficients!$B$32,RAND())</f>
        <v>0</v>
      </c>
      <c r="H737" s="0" t="n">
        <f aca="true">CRITBINOM(MAX(0,$C737-D737),MIN(0.6,Matchup!$B$40*SQRT($B737)/(1-MIN(0.75,Matchup!$B$39*$B737))),RAND())</f>
        <v>3</v>
      </c>
      <c r="I737" s="0" t="n">
        <f aca="false">6*D737+(D737-E737-G737)+2*F737+3*H737</f>
        <v>30</v>
      </c>
      <c r="J737" s="0" t="n">
        <f aca="true">CRITBINOM($C737,MIN(0.75,Matchup!$C$39*$B737),RAND())</f>
        <v>4</v>
      </c>
      <c r="K737" s="0" t="n">
        <f aca="true">CRITBINOM(J737,Coefficients!$B$30,RAND())</f>
        <v>0</v>
      </c>
      <c r="L737" s="0" t="n">
        <f aca="true">CRITBINOM(K737,Coefficients!$B$31,RAND())</f>
        <v>0</v>
      </c>
      <c r="M737" s="0" t="n">
        <f aca="true">CRITBINOM(MAX(0,J737-K737),1-Coefficients!$B$32,RAND())</f>
        <v>0</v>
      </c>
      <c r="N737" s="0" t="n">
        <f aca="true">CRITBINOM(MAX(0,$C737-J737),MIN(0.6,Matchup!$C$40*SQRT($B737)/(1-MIN(0.75,Matchup!$C$39*$B737))),RAND())</f>
        <v>0</v>
      </c>
      <c r="O737" s="0" t="n">
        <f aca="false">6*J737+(J737-K737-M737)+2*L737+3*N737</f>
        <v>28</v>
      </c>
      <c r="P737" s="0" t="n">
        <f aca="true">RAND()</f>
        <v>0.307874724809179</v>
      </c>
      <c r="Q737" s="0" t="n">
        <f aca="true">RAND()</f>
        <v>0.624318097749552</v>
      </c>
      <c r="R737" s="0" t="n">
        <f aca="false">IF($I737&lt;&gt;$O737,0,IF(P737&lt;Matchup!$B$39,7,IF(P737&lt;Matchup!$B$39+Matchup!$B$40,3,0)))</f>
        <v>0</v>
      </c>
      <c r="S737" s="0" t="n">
        <f aca="false">IF($I737&lt;&gt;$O737,0,IF(Q737&lt;Matchup!$C$39,7,IF(Q737&lt;Matchup!$C$39+Matchup!$C$40,3,0)))</f>
        <v>0</v>
      </c>
      <c r="T737" s="0" t="n">
        <f aca="false">I737+R737</f>
        <v>30</v>
      </c>
      <c r="U737" s="0" t="n">
        <f aca="false">O737+S737</f>
        <v>28</v>
      </c>
      <c r="V737" s="0" t="n">
        <f aca="false">T737-U737</f>
        <v>2</v>
      </c>
      <c r="W737" s="0" t="n">
        <f aca="false">T737+U737</f>
        <v>58</v>
      </c>
    </row>
    <row r="738" customFormat="false" ht="15" hidden="false" customHeight="false" outlineLevel="0" collapsed="false">
      <c r="A738" s="0" t="n">
        <v>735</v>
      </c>
      <c r="B738" s="0" t="n">
        <f aca="true">NORMINV(RAND(),1,Coefficients!$B$22)</f>
        <v>1.10610136197906</v>
      </c>
      <c r="C738" s="0" t="n">
        <f aca="true">MEDIAN(8,16,ROUND(NORMINV(RAND(),Coefficients!$B$20,Coefficients!$B$21),0))</f>
        <v>10</v>
      </c>
      <c r="D738" s="0" t="n">
        <f aca="true">CRITBINOM($C738,MIN(0.75,Matchup!$B$39*$B738),RAND())</f>
        <v>2</v>
      </c>
      <c r="E738" s="0" t="n">
        <f aca="true">CRITBINOM(D738,Coefficients!$B$30,RAND())</f>
        <v>1</v>
      </c>
      <c r="F738" s="0" t="n">
        <f aca="true">CRITBINOM(E738,Coefficients!$B$31,RAND())</f>
        <v>1</v>
      </c>
      <c r="G738" s="0" t="n">
        <f aca="true">CRITBINOM(MAX(0,D738-E738),1-Coefficients!$B$32,RAND())</f>
        <v>0</v>
      </c>
      <c r="H738" s="0" t="n">
        <f aca="true">CRITBINOM(MAX(0,$C738-D738),MIN(0.6,Matchup!$B$40*SQRT($B738)/(1-MIN(0.75,Matchup!$B$39*$B738))),RAND())</f>
        <v>0</v>
      </c>
      <c r="I738" s="0" t="n">
        <f aca="false">6*D738+(D738-E738-G738)+2*F738+3*H738</f>
        <v>15</v>
      </c>
      <c r="J738" s="0" t="n">
        <f aca="true">CRITBINOM($C738,MIN(0.75,Matchup!$C$39*$B738),RAND())</f>
        <v>5</v>
      </c>
      <c r="K738" s="0" t="n">
        <f aca="true">CRITBINOM(J738,Coefficients!$B$30,RAND())</f>
        <v>1</v>
      </c>
      <c r="L738" s="0" t="n">
        <f aca="true">CRITBINOM(K738,Coefficients!$B$31,RAND())</f>
        <v>1</v>
      </c>
      <c r="M738" s="0" t="n">
        <f aca="true">CRITBINOM(MAX(0,J738-K738),1-Coefficients!$B$32,RAND())</f>
        <v>0</v>
      </c>
      <c r="N738" s="0" t="n">
        <f aca="true">CRITBINOM(MAX(0,$C738-J738),MIN(0.6,Matchup!$C$40*SQRT($B738)/(1-MIN(0.75,Matchup!$C$39*$B738))),RAND())</f>
        <v>2</v>
      </c>
      <c r="O738" s="0" t="n">
        <f aca="false">6*J738+(J738-K738-M738)+2*L738+3*N738</f>
        <v>42</v>
      </c>
      <c r="P738" s="0" t="n">
        <f aca="true">RAND()</f>
        <v>0.537748032366711</v>
      </c>
      <c r="Q738" s="0" t="n">
        <f aca="true">RAND()</f>
        <v>0.96570373546916</v>
      </c>
      <c r="R738" s="0" t="n">
        <f aca="false">IF($I738&lt;&gt;$O738,0,IF(P738&lt;Matchup!$B$39,7,IF(P738&lt;Matchup!$B$39+Matchup!$B$40,3,0)))</f>
        <v>0</v>
      </c>
      <c r="S738" s="0" t="n">
        <f aca="false">IF($I738&lt;&gt;$O738,0,IF(Q738&lt;Matchup!$C$39,7,IF(Q738&lt;Matchup!$C$39+Matchup!$C$40,3,0)))</f>
        <v>0</v>
      </c>
      <c r="T738" s="0" t="n">
        <f aca="false">I738+R738</f>
        <v>15</v>
      </c>
      <c r="U738" s="0" t="n">
        <f aca="false">O738+S738</f>
        <v>42</v>
      </c>
      <c r="V738" s="0" t="n">
        <f aca="false">T738-U738</f>
        <v>-27</v>
      </c>
      <c r="W738" s="0" t="n">
        <f aca="false">T738+U738</f>
        <v>57</v>
      </c>
    </row>
    <row r="739" customFormat="false" ht="15" hidden="false" customHeight="false" outlineLevel="0" collapsed="false">
      <c r="A739" s="0" t="n">
        <v>736</v>
      </c>
      <c r="B739" s="0" t="n">
        <f aca="true">NORMINV(RAND(),1,Coefficients!$B$22)</f>
        <v>0.977500066122774</v>
      </c>
      <c r="C739" s="0" t="n">
        <f aca="true">MEDIAN(8,16,ROUND(NORMINV(RAND(),Coefficients!$B$20,Coefficients!$B$21),0))</f>
        <v>13</v>
      </c>
      <c r="D739" s="0" t="n">
        <f aca="true">CRITBINOM($C739,MIN(0.75,Matchup!$B$39*$B739),RAND())</f>
        <v>2</v>
      </c>
      <c r="E739" s="0" t="n">
        <f aca="true">CRITBINOM(D739,Coefficients!$B$30,RAND())</f>
        <v>1</v>
      </c>
      <c r="F739" s="0" t="n">
        <f aca="true">CRITBINOM(E739,Coefficients!$B$31,RAND())</f>
        <v>1</v>
      </c>
      <c r="G739" s="0" t="n">
        <f aca="true">CRITBINOM(MAX(0,D739-E739),1-Coefficients!$B$32,RAND())</f>
        <v>0</v>
      </c>
      <c r="H739" s="0" t="n">
        <f aca="true">CRITBINOM(MAX(0,$C739-D739),MIN(0.6,Matchup!$B$40*SQRT($B739)/(1-MIN(0.75,Matchup!$B$39*$B739))),RAND())</f>
        <v>1</v>
      </c>
      <c r="I739" s="0" t="n">
        <f aca="false">6*D739+(D739-E739-G739)+2*F739+3*H739</f>
        <v>18</v>
      </c>
      <c r="J739" s="0" t="n">
        <f aca="true">CRITBINOM($C739,MIN(0.75,Matchup!$C$39*$B739),RAND())</f>
        <v>3</v>
      </c>
      <c r="K739" s="0" t="n">
        <f aca="true">CRITBINOM(J739,Coefficients!$B$30,RAND())</f>
        <v>0</v>
      </c>
      <c r="L739" s="0" t="n">
        <f aca="true">CRITBINOM(K739,Coefficients!$B$31,RAND())</f>
        <v>0</v>
      </c>
      <c r="M739" s="0" t="n">
        <f aca="true">CRITBINOM(MAX(0,J739-K739),1-Coefficients!$B$32,RAND())</f>
        <v>0</v>
      </c>
      <c r="N739" s="0" t="n">
        <f aca="true">CRITBINOM(MAX(0,$C739-J739),MIN(0.6,Matchup!$C$40*SQRT($B739)/(1-MIN(0.75,Matchup!$C$39*$B739))),RAND())</f>
        <v>1</v>
      </c>
      <c r="O739" s="0" t="n">
        <f aca="false">6*J739+(J739-K739-M739)+2*L739+3*N739</f>
        <v>24</v>
      </c>
      <c r="P739" s="0" t="n">
        <f aca="true">RAND()</f>
        <v>0.670677569382847</v>
      </c>
      <c r="Q739" s="0" t="n">
        <f aca="true">RAND()</f>
        <v>0.0640068919026016</v>
      </c>
      <c r="R739" s="0" t="n">
        <f aca="false">IF($I739&lt;&gt;$O739,0,IF(P739&lt;Matchup!$B$39,7,IF(P739&lt;Matchup!$B$39+Matchup!$B$40,3,0)))</f>
        <v>0</v>
      </c>
      <c r="S739" s="0" t="n">
        <f aca="false">IF($I739&lt;&gt;$O739,0,IF(Q739&lt;Matchup!$C$39,7,IF(Q739&lt;Matchup!$C$39+Matchup!$C$40,3,0)))</f>
        <v>0</v>
      </c>
      <c r="T739" s="0" t="n">
        <f aca="false">I739+R739</f>
        <v>18</v>
      </c>
      <c r="U739" s="0" t="n">
        <f aca="false">O739+S739</f>
        <v>24</v>
      </c>
      <c r="V739" s="0" t="n">
        <f aca="false">T739-U739</f>
        <v>-6</v>
      </c>
      <c r="W739" s="0" t="n">
        <f aca="false">T739+U739</f>
        <v>42</v>
      </c>
    </row>
    <row r="740" customFormat="false" ht="15" hidden="false" customHeight="false" outlineLevel="0" collapsed="false">
      <c r="A740" s="0" t="n">
        <v>737</v>
      </c>
      <c r="B740" s="0" t="n">
        <f aca="true">NORMINV(RAND(),1,Coefficients!$B$22)</f>
        <v>0.956565451674701</v>
      </c>
      <c r="C740" s="0" t="n">
        <f aca="true">MEDIAN(8,16,ROUND(NORMINV(RAND(),Coefficients!$B$20,Coefficients!$B$21),0))</f>
        <v>12</v>
      </c>
      <c r="D740" s="0" t="n">
        <f aca="true">CRITBINOM($C740,MIN(0.75,Matchup!$B$39*$B740),RAND())</f>
        <v>1</v>
      </c>
      <c r="E740" s="0" t="n">
        <f aca="true">CRITBINOM(D740,Coefficients!$B$30,RAND())</f>
        <v>0</v>
      </c>
      <c r="F740" s="0" t="n">
        <f aca="true">CRITBINOM(E740,Coefficients!$B$31,RAND())</f>
        <v>0</v>
      </c>
      <c r="G740" s="0" t="n">
        <f aca="true">CRITBINOM(MAX(0,D740-E740),1-Coefficients!$B$32,RAND())</f>
        <v>0</v>
      </c>
      <c r="H740" s="0" t="n">
        <f aca="true">CRITBINOM(MAX(0,$C740-D740),MIN(0.6,Matchup!$B$40*SQRT($B740)/(1-MIN(0.75,Matchup!$B$39*$B740))),RAND())</f>
        <v>6</v>
      </c>
      <c r="I740" s="0" t="n">
        <f aca="false">6*D740+(D740-E740-G740)+2*F740+3*H740</f>
        <v>25</v>
      </c>
      <c r="J740" s="0" t="n">
        <f aca="true">CRITBINOM($C740,MIN(0.75,Matchup!$C$39*$B740),RAND())</f>
        <v>4</v>
      </c>
      <c r="K740" s="0" t="n">
        <f aca="true">CRITBINOM(J740,Coefficients!$B$30,RAND())</f>
        <v>0</v>
      </c>
      <c r="L740" s="0" t="n">
        <f aca="true">CRITBINOM(K740,Coefficients!$B$31,RAND())</f>
        <v>0</v>
      </c>
      <c r="M740" s="0" t="n">
        <f aca="true">CRITBINOM(MAX(0,J740-K740),1-Coefficients!$B$32,RAND())</f>
        <v>0</v>
      </c>
      <c r="N740" s="0" t="n">
        <f aca="true">CRITBINOM(MAX(0,$C740-J740),MIN(0.6,Matchup!$C$40*SQRT($B740)/(1-MIN(0.75,Matchup!$C$39*$B740))),RAND())</f>
        <v>1</v>
      </c>
      <c r="O740" s="0" t="n">
        <f aca="false">6*J740+(J740-K740-M740)+2*L740+3*N740</f>
        <v>31</v>
      </c>
      <c r="P740" s="0" t="n">
        <f aca="true">RAND()</f>
        <v>0.638302782066509</v>
      </c>
      <c r="Q740" s="0" t="n">
        <f aca="true">RAND()</f>
        <v>0.49093773551866</v>
      </c>
      <c r="R740" s="0" t="n">
        <f aca="false">IF($I740&lt;&gt;$O740,0,IF(P740&lt;Matchup!$B$39,7,IF(P740&lt;Matchup!$B$39+Matchup!$B$40,3,0)))</f>
        <v>0</v>
      </c>
      <c r="S740" s="0" t="n">
        <f aca="false">IF($I740&lt;&gt;$O740,0,IF(Q740&lt;Matchup!$C$39,7,IF(Q740&lt;Matchup!$C$39+Matchup!$C$40,3,0)))</f>
        <v>0</v>
      </c>
      <c r="T740" s="0" t="n">
        <f aca="false">I740+R740</f>
        <v>25</v>
      </c>
      <c r="U740" s="0" t="n">
        <f aca="false">O740+S740</f>
        <v>31</v>
      </c>
      <c r="V740" s="0" t="n">
        <f aca="false">T740-U740</f>
        <v>-6</v>
      </c>
      <c r="W740" s="0" t="n">
        <f aca="false">T740+U740</f>
        <v>56</v>
      </c>
    </row>
    <row r="741" customFormat="false" ht="15" hidden="false" customHeight="false" outlineLevel="0" collapsed="false">
      <c r="A741" s="0" t="n">
        <v>738</v>
      </c>
      <c r="B741" s="0" t="n">
        <f aca="true">NORMINV(RAND(),1,Coefficients!$B$22)</f>
        <v>0.973416261004132</v>
      </c>
      <c r="C741" s="0" t="n">
        <f aca="true">MEDIAN(8,16,ROUND(NORMINV(RAND(),Coefficients!$B$20,Coefficients!$B$21),0))</f>
        <v>12</v>
      </c>
      <c r="D741" s="0" t="n">
        <f aca="true">CRITBINOM($C741,MIN(0.75,Matchup!$B$39*$B741),RAND())</f>
        <v>3</v>
      </c>
      <c r="E741" s="0" t="n">
        <f aca="true">CRITBINOM(D741,Coefficients!$B$30,RAND())</f>
        <v>1</v>
      </c>
      <c r="F741" s="0" t="n">
        <f aca="true">CRITBINOM(E741,Coefficients!$B$31,RAND())</f>
        <v>1</v>
      </c>
      <c r="G741" s="0" t="n">
        <f aca="true">CRITBINOM(MAX(0,D741-E741),1-Coefficients!$B$32,RAND())</f>
        <v>0</v>
      </c>
      <c r="H741" s="0" t="n">
        <f aca="true">CRITBINOM(MAX(0,$C741-D741),MIN(0.6,Matchup!$B$40*SQRT($B741)/(1-MIN(0.75,Matchup!$B$39*$B741))),RAND())</f>
        <v>3</v>
      </c>
      <c r="I741" s="0" t="n">
        <f aca="false">6*D741+(D741-E741-G741)+2*F741+3*H741</f>
        <v>31</v>
      </c>
      <c r="J741" s="0" t="n">
        <f aca="true">CRITBINOM($C741,MIN(0.75,Matchup!$C$39*$B741),RAND())</f>
        <v>4</v>
      </c>
      <c r="K741" s="0" t="n">
        <f aca="true">CRITBINOM(J741,Coefficients!$B$30,RAND())</f>
        <v>1</v>
      </c>
      <c r="L741" s="0" t="n">
        <f aca="true">CRITBINOM(K741,Coefficients!$B$31,RAND())</f>
        <v>1</v>
      </c>
      <c r="M741" s="0" t="n">
        <f aca="true">CRITBINOM(MAX(0,J741-K741),1-Coefficients!$B$32,RAND())</f>
        <v>0</v>
      </c>
      <c r="N741" s="0" t="n">
        <f aca="true">CRITBINOM(MAX(0,$C741-J741),MIN(0.6,Matchup!$C$40*SQRT($B741)/(1-MIN(0.75,Matchup!$C$39*$B741))),RAND())</f>
        <v>0</v>
      </c>
      <c r="O741" s="0" t="n">
        <f aca="false">6*J741+(J741-K741-M741)+2*L741+3*N741</f>
        <v>29</v>
      </c>
      <c r="P741" s="0" t="n">
        <f aca="true">RAND()</f>
        <v>0.633758295754836</v>
      </c>
      <c r="Q741" s="0" t="n">
        <f aca="true">RAND()</f>
        <v>0.564630710508325</v>
      </c>
      <c r="R741" s="0" t="n">
        <f aca="false">IF($I741&lt;&gt;$O741,0,IF(P741&lt;Matchup!$B$39,7,IF(P741&lt;Matchup!$B$39+Matchup!$B$40,3,0)))</f>
        <v>0</v>
      </c>
      <c r="S741" s="0" t="n">
        <f aca="false">IF($I741&lt;&gt;$O741,0,IF(Q741&lt;Matchup!$C$39,7,IF(Q741&lt;Matchup!$C$39+Matchup!$C$40,3,0)))</f>
        <v>0</v>
      </c>
      <c r="T741" s="0" t="n">
        <f aca="false">I741+R741</f>
        <v>31</v>
      </c>
      <c r="U741" s="0" t="n">
        <f aca="false">O741+S741</f>
        <v>29</v>
      </c>
      <c r="V741" s="0" t="n">
        <f aca="false">T741-U741</f>
        <v>2</v>
      </c>
      <c r="W741" s="0" t="n">
        <f aca="false">T741+U741</f>
        <v>60</v>
      </c>
    </row>
    <row r="742" customFormat="false" ht="15" hidden="false" customHeight="false" outlineLevel="0" collapsed="false">
      <c r="A742" s="0" t="n">
        <v>739</v>
      </c>
      <c r="B742" s="0" t="n">
        <f aca="true">NORMINV(RAND(),1,Coefficients!$B$22)</f>
        <v>1.06710422557408</v>
      </c>
      <c r="C742" s="0" t="n">
        <f aca="true">MEDIAN(8,16,ROUND(NORMINV(RAND(),Coefficients!$B$20,Coefficients!$B$21),0))</f>
        <v>11</v>
      </c>
      <c r="D742" s="0" t="n">
        <f aca="true">CRITBINOM($C742,MIN(0.75,Matchup!$B$39*$B742),RAND())</f>
        <v>2</v>
      </c>
      <c r="E742" s="0" t="n">
        <f aca="true">CRITBINOM(D742,Coefficients!$B$30,RAND())</f>
        <v>1</v>
      </c>
      <c r="F742" s="0" t="n">
        <f aca="true">CRITBINOM(E742,Coefficients!$B$31,RAND())</f>
        <v>0</v>
      </c>
      <c r="G742" s="0" t="n">
        <f aca="true">CRITBINOM(MAX(0,D742-E742),1-Coefficients!$B$32,RAND())</f>
        <v>0</v>
      </c>
      <c r="H742" s="0" t="n">
        <f aca="true">CRITBINOM(MAX(0,$C742-D742),MIN(0.6,Matchup!$B$40*SQRT($B742)/(1-MIN(0.75,Matchup!$B$39*$B742))),RAND())</f>
        <v>2</v>
      </c>
      <c r="I742" s="0" t="n">
        <f aca="false">6*D742+(D742-E742-G742)+2*F742+3*H742</f>
        <v>19</v>
      </c>
      <c r="J742" s="0" t="n">
        <f aca="true">CRITBINOM($C742,MIN(0.75,Matchup!$C$39*$B742),RAND())</f>
        <v>5</v>
      </c>
      <c r="K742" s="0" t="n">
        <f aca="true">CRITBINOM(J742,Coefficients!$B$30,RAND())</f>
        <v>0</v>
      </c>
      <c r="L742" s="0" t="n">
        <f aca="true">CRITBINOM(K742,Coefficients!$B$31,RAND())</f>
        <v>0</v>
      </c>
      <c r="M742" s="0" t="n">
        <f aca="true">CRITBINOM(MAX(0,J742-K742),1-Coefficients!$B$32,RAND())</f>
        <v>0</v>
      </c>
      <c r="N742" s="0" t="n">
        <f aca="true">CRITBINOM(MAX(0,$C742-J742),MIN(0.6,Matchup!$C$40*SQRT($B742)/(1-MIN(0.75,Matchup!$C$39*$B742))),RAND())</f>
        <v>1</v>
      </c>
      <c r="O742" s="0" t="n">
        <f aca="false">6*J742+(J742-K742-M742)+2*L742+3*N742</f>
        <v>38</v>
      </c>
      <c r="P742" s="0" t="n">
        <f aca="true">RAND()</f>
        <v>0.883510609542948</v>
      </c>
      <c r="Q742" s="0" t="n">
        <f aca="true">RAND()</f>
        <v>0.694660527645918</v>
      </c>
      <c r="R742" s="0" t="n">
        <f aca="false">IF($I742&lt;&gt;$O742,0,IF(P742&lt;Matchup!$B$39,7,IF(P742&lt;Matchup!$B$39+Matchup!$B$40,3,0)))</f>
        <v>0</v>
      </c>
      <c r="S742" s="0" t="n">
        <f aca="false">IF($I742&lt;&gt;$O742,0,IF(Q742&lt;Matchup!$C$39,7,IF(Q742&lt;Matchup!$C$39+Matchup!$C$40,3,0)))</f>
        <v>0</v>
      </c>
      <c r="T742" s="0" t="n">
        <f aca="false">I742+R742</f>
        <v>19</v>
      </c>
      <c r="U742" s="0" t="n">
        <f aca="false">O742+S742</f>
        <v>38</v>
      </c>
      <c r="V742" s="0" t="n">
        <f aca="false">T742-U742</f>
        <v>-19</v>
      </c>
      <c r="W742" s="0" t="n">
        <f aca="false">T742+U742</f>
        <v>57</v>
      </c>
    </row>
    <row r="743" customFormat="false" ht="15" hidden="false" customHeight="false" outlineLevel="0" collapsed="false">
      <c r="A743" s="0" t="n">
        <v>740</v>
      </c>
      <c r="B743" s="0" t="n">
        <f aca="true">NORMINV(RAND(),1,Coefficients!$B$22)</f>
        <v>0.973678260669359</v>
      </c>
      <c r="C743" s="0" t="n">
        <f aca="true">MEDIAN(8,16,ROUND(NORMINV(RAND(),Coefficients!$B$20,Coefficients!$B$21),0))</f>
        <v>11</v>
      </c>
      <c r="D743" s="0" t="n">
        <f aca="true">CRITBINOM($C743,MIN(0.75,Matchup!$B$39*$B743),RAND())</f>
        <v>0</v>
      </c>
      <c r="E743" s="0" t="n">
        <f aca="true">CRITBINOM(D743,Coefficients!$B$30,RAND())</f>
        <v>0</v>
      </c>
      <c r="F743" s="0" t="n">
        <f aca="true">CRITBINOM(E743,Coefficients!$B$31,RAND())</f>
        <v>0</v>
      </c>
      <c r="G743" s="0" t="n">
        <f aca="true">CRITBINOM(MAX(0,D743-E743),1-Coefficients!$B$32,RAND())</f>
        <v>0</v>
      </c>
      <c r="H743" s="0" t="n">
        <f aca="true">CRITBINOM(MAX(0,$C743-D743),MIN(0.6,Matchup!$B$40*SQRT($B743)/(1-MIN(0.75,Matchup!$B$39*$B743))),RAND())</f>
        <v>3</v>
      </c>
      <c r="I743" s="0" t="n">
        <f aca="false">6*D743+(D743-E743-G743)+2*F743+3*H743</f>
        <v>9</v>
      </c>
      <c r="J743" s="0" t="n">
        <f aca="true">CRITBINOM($C743,MIN(0.75,Matchup!$C$39*$B743),RAND())</f>
        <v>3</v>
      </c>
      <c r="K743" s="0" t="n">
        <f aca="true">CRITBINOM(J743,Coefficients!$B$30,RAND())</f>
        <v>0</v>
      </c>
      <c r="L743" s="0" t="n">
        <f aca="true">CRITBINOM(K743,Coefficients!$B$31,RAND())</f>
        <v>0</v>
      </c>
      <c r="M743" s="0" t="n">
        <f aca="true">CRITBINOM(MAX(0,J743-K743),1-Coefficients!$B$32,RAND())</f>
        <v>0</v>
      </c>
      <c r="N743" s="0" t="n">
        <f aca="true">CRITBINOM(MAX(0,$C743-J743),MIN(0.6,Matchup!$C$40*SQRT($B743)/(1-MIN(0.75,Matchup!$C$39*$B743))),RAND())</f>
        <v>2</v>
      </c>
      <c r="O743" s="0" t="n">
        <f aca="false">6*J743+(J743-K743-M743)+2*L743+3*N743</f>
        <v>27</v>
      </c>
      <c r="P743" s="0" t="n">
        <f aca="true">RAND()</f>
        <v>0.412358368300673</v>
      </c>
      <c r="Q743" s="0" t="n">
        <f aca="true">RAND()</f>
        <v>0.686358541373206</v>
      </c>
      <c r="R743" s="0" t="n">
        <f aca="false">IF($I743&lt;&gt;$O743,0,IF(P743&lt;Matchup!$B$39,7,IF(P743&lt;Matchup!$B$39+Matchup!$B$40,3,0)))</f>
        <v>0</v>
      </c>
      <c r="S743" s="0" t="n">
        <f aca="false">IF($I743&lt;&gt;$O743,0,IF(Q743&lt;Matchup!$C$39,7,IF(Q743&lt;Matchup!$C$39+Matchup!$C$40,3,0)))</f>
        <v>0</v>
      </c>
      <c r="T743" s="0" t="n">
        <f aca="false">I743+R743</f>
        <v>9</v>
      </c>
      <c r="U743" s="0" t="n">
        <f aca="false">O743+S743</f>
        <v>27</v>
      </c>
      <c r="V743" s="0" t="n">
        <f aca="false">T743-U743</f>
        <v>-18</v>
      </c>
      <c r="W743" s="0" t="n">
        <f aca="false">T743+U743</f>
        <v>36</v>
      </c>
    </row>
    <row r="744" customFormat="false" ht="15" hidden="false" customHeight="false" outlineLevel="0" collapsed="false">
      <c r="A744" s="0" t="n">
        <v>741</v>
      </c>
      <c r="B744" s="0" t="n">
        <f aca="true">NORMINV(RAND(),1,Coefficients!$B$22)</f>
        <v>1.08151718035585</v>
      </c>
      <c r="C744" s="0" t="n">
        <f aca="true">MEDIAN(8,16,ROUND(NORMINV(RAND(),Coefficients!$B$20,Coefficients!$B$21),0))</f>
        <v>10</v>
      </c>
      <c r="D744" s="0" t="n">
        <f aca="true">CRITBINOM($C744,MIN(0.75,Matchup!$B$39*$B744),RAND())</f>
        <v>4</v>
      </c>
      <c r="E744" s="0" t="n">
        <f aca="true">CRITBINOM(D744,Coefficients!$B$30,RAND())</f>
        <v>0</v>
      </c>
      <c r="F744" s="0" t="n">
        <f aca="true">CRITBINOM(E744,Coefficients!$B$31,RAND())</f>
        <v>0</v>
      </c>
      <c r="G744" s="0" t="n">
        <f aca="true">CRITBINOM(MAX(0,D744-E744),1-Coefficients!$B$32,RAND())</f>
        <v>1</v>
      </c>
      <c r="H744" s="0" t="n">
        <f aca="true">CRITBINOM(MAX(0,$C744-D744),MIN(0.6,Matchup!$B$40*SQRT($B744)/(1-MIN(0.75,Matchup!$B$39*$B744))),RAND())</f>
        <v>2</v>
      </c>
      <c r="I744" s="0" t="n">
        <f aca="false">6*D744+(D744-E744-G744)+2*F744+3*H744</f>
        <v>33</v>
      </c>
      <c r="J744" s="0" t="n">
        <f aca="true">CRITBINOM($C744,MIN(0.75,Matchup!$C$39*$B744),RAND())</f>
        <v>0</v>
      </c>
      <c r="K744" s="0" t="n">
        <f aca="true">CRITBINOM(J744,Coefficients!$B$30,RAND())</f>
        <v>0</v>
      </c>
      <c r="L744" s="0" t="n">
        <f aca="true">CRITBINOM(K744,Coefficients!$B$31,RAND())</f>
        <v>0</v>
      </c>
      <c r="M744" s="0" t="n">
        <f aca="true">CRITBINOM(MAX(0,J744-K744),1-Coefficients!$B$32,RAND())</f>
        <v>0</v>
      </c>
      <c r="N744" s="0" t="n">
        <f aca="true">CRITBINOM(MAX(0,$C744-J744),MIN(0.6,Matchup!$C$40*SQRT($B744)/(1-MIN(0.75,Matchup!$C$39*$B744))),RAND())</f>
        <v>1</v>
      </c>
      <c r="O744" s="0" t="n">
        <f aca="false">6*J744+(J744-K744-M744)+2*L744+3*N744</f>
        <v>3</v>
      </c>
      <c r="P744" s="0" t="n">
        <f aca="true">RAND()</f>
        <v>0.453154977290623</v>
      </c>
      <c r="Q744" s="0" t="n">
        <f aca="true">RAND()</f>
        <v>0.265664475449467</v>
      </c>
      <c r="R744" s="0" t="n">
        <f aca="false">IF($I744&lt;&gt;$O744,0,IF(P744&lt;Matchup!$B$39,7,IF(P744&lt;Matchup!$B$39+Matchup!$B$40,3,0)))</f>
        <v>0</v>
      </c>
      <c r="S744" s="0" t="n">
        <f aca="false">IF($I744&lt;&gt;$O744,0,IF(Q744&lt;Matchup!$C$39,7,IF(Q744&lt;Matchup!$C$39+Matchup!$C$40,3,0)))</f>
        <v>0</v>
      </c>
      <c r="T744" s="0" t="n">
        <f aca="false">I744+R744</f>
        <v>33</v>
      </c>
      <c r="U744" s="0" t="n">
        <f aca="false">O744+S744</f>
        <v>3</v>
      </c>
      <c r="V744" s="0" t="n">
        <f aca="false">T744-U744</f>
        <v>30</v>
      </c>
      <c r="W744" s="0" t="n">
        <f aca="false">T744+U744</f>
        <v>36</v>
      </c>
    </row>
    <row r="745" customFormat="false" ht="15" hidden="false" customHeight="false" outlineLevel="0" collapsed="false">
      <c r="A745" s="0" t="n">
        <v>742</v>
      </c>
      <c r="B745" s="0" t="n">
        <f aca="true">NORMINV(RAND(),1,Coefficients!$B$22)</f>
        <v>1.16422357760871</v>
      </c>
      <c r="C745" s="0" t="n">
        <f aca="true">MEDIAN(8,16,ROUND(NORMINV(RAND(),Coefficients!$B$20,Coefficients!$B$21),0))</f>
        <v>10</v>
      </c>
      <c r="D745" s="0" t="n">
        <f aca="true">CRITBINOM($C745,MIN(0.75,Matchup!$B$39*$B745),RAND())</f>
        <v>3</v>
      </c>
      <c r="E745" s="0" t="n">
        <f aca="true">CRITBINOM(D745,Coefficients!$B$30,RAND())</f>
        <v>0</v>
      </c>
      <c r="F745" s="0" t="n">
        <f aca="true">CRITBINOM(E745,Coefficients!$B$31,RAND())</f>
        <v>0</v>
      </c>
      <c r="G745" s="0" t="n">
        <f aca="true">CRITBINOM(MAX(0,D745-E745),1-Coefficients!$B$32,RAND())</f>
        <v>0</v>
      </c>
      <c r="H745" s="0" t="n">
        <f aca="true">CRITBINOM(MAX(0,$C745-D745),MIN(0.6,Matchup!$B$40*SQRT($B745)/(1-MIN(0.75,Matchup!$B$39*$B745))),RAND())</f>
        <v>1</v>
      </c>
      <c r="I745" s="0" t="n">
        <f aca="false">6*D745+(D745-E745-G745)+2*F745+3*H745</f>
        <v>24</v>
      </c>
      <c r="J745" s="0" t="n">
        <f aca="true">CRITBINOM($C745,MIN(0.75,Matchup!$C$39*$B745),RAND())</f>
        <v>1</v>
      </c>
      <c r="K745" s="0" t="n">
        <f aca="true">CRITBINOM(J745,Coefficients!$B$30,RAND())</f>
        <v>0</v>
      </c>
      <c r="L745" s="0" t="n">
        <f aca="true">CRITBINOM(K745,Coefficients!$B$31,RAND())</f>
        <v>0</v>
      </c>
      <c r="M745" s="0" t="n">
        <f aca="true">CRITBINOM(MAX(0,J745-K745),1-Coefficients!$B$32,RAND())</f>
        <v>0</v>
      </c>
      <c r="N745" s="0" t="n">
        <f aca="true">CRITBINOM(MAX(0,$C745-J745),MIN(0.6,Matchup!$C$40*SQRT($B745)/(1-MIN(0.75,Matchup!$C$39*$B745))),RAND())</f>
        <v>1</v>
      </c>
      <c r="O745" s="0" t="n">
        <f aca="false">6*J745+(J745-K745-M745)+2*L745+3*N745</f>
        <v>10</v>
      </c>
      <c r="P745" s="0" t="n">
        <f aca="true">RAND()</f>
        <v>0.616219736681316</v>
      </c>
      <c r="Q745" s="0" t="n">
        <f aca="true">RAND()</f>
        <v>0.328420144268872</v>
      </c>
      <c r="R745" s="0" t="n">
        <f aca="false">IF($I745&lt;&gt;$O745,0,IF(P745&lt;Matchup!$B$39,7,IF(P745&lt;Matchup!$B$39+Matchup!$B$40,3,0)))</f>
        <v>0</v>
      </c>
      <c r="S745" s="0" t="n">
        <f aca="false">IF($I745&lt;&gt;$O745,0,IF(Q745&lt;Matchup!$C$39,7,IF(Q745&lt;Matchup!$C$39+Matchup!$C$40,3,0)))</f>
        <v>0</v>
      </c>
      <c r="T745" s="0" t="n">
        <f aca="false">I745+R745</f>
        <v>24</v>
      </c>
      <c r="U745" s="0" t="n">
        <f aca="false">O745+S745</f>
        <v>10</v>
      </c>
      <c r="V745" s="0" t="n">
        <f aca="false">T745-U745</f>
        <v>14</v>
      </c>
      <c r="W745" s="0" t="n">
        <f aca="false">T745+U745</f>
        <v>34</v>
      </c>
    </row>
    <row r="746" customFormat="false" ht="15" hidden="false" customHeight="false" outlineLevel="0" collapsed="false">
      <c r="A746" s="0" t="n">
        <v>743</v>
      </c>
      <c r="B746" s="0" t="n">
        <f aca="true">NORMINV(RAND(),1,Coefficients!$B$22)</f>
        <v>1.01673914367358</v>
      </c>
      <c r="C746" s="0" t="n">
        <f aca="true">MEDIAN(8,16,ROUND(NORMINV(RAND(),Coefficients!$B$20,Coefficients!$B$21),0))</f>
        <v>13</v>
      </c>
      <c r="D746" s="0" t="n">
        <f aca="true">CRITBINOM($C746,MIN(0.75,Matchup!$B$39*$B746),RAND())</f>
        <v>6</v>
      </c>
      <c r="E746" s="0" t="n">
        <f aca="true">CRITBINOM(D746,Coefficients!$B$30,RAND())</f>
        <v>0</v>
      </c>
      <c r="F746" s="0" t="n">
        <f aca="true">CRITBINOM(E746,Coefficients!$B$31,RAND())</f>
        <v>0</v>
      </c>
      <c r="G746" s="0" t="n">
        <f aca="true">CRITBINOM(MAX(0,D746-E746),1-Coefficients!$B$32,RAND())</f>
        <v>1</v>
      </c>
      <c r="H746" s="0" t="n">
        <f aca="true">CRITBINOM(MAX(0,$C746-D746),MIN(0.6,Matchup!$B$40*SQRT($B746)/(1-MIN(0.75,Matchup!$B$39*$B746))),RAND())</f>
        <v>0</v>
      </c>
      <c r="I746" s="0" t="n">
        <f aca="false">6*D746+(D746-E746-G746)+2*F746+3*H746</f>
        <v>41</v>
      </c>
      <c r="J746" s="0" t="n">
        <f aca="true">CRITBINOM($C746,MIN(0.75,Matchup!$C$39*$B746),RAND())</f>
        <v>3</v>
      </c>
      <c r="K746" s="0" t="n">
        <f aca="true">CRITBINOM(J746,Coefficients!$B$30,RAND())</f>
        <v>2</v>
      </c>
      <c r="L746" s="0" t="n">
        <f aca="true">CRITBINOM(K746,Coefficients!$B$31,RAND())</f>
        <v>2</v>
      </c>
      <c r="M746" s="0" t="n">
        <f aca="true">CRITBINOM(MAX(0,J746-K746),1-Coefficients!$B$32,RAND())</f>
        <v>0</v>
      </c>
      <c r="N746" s="0" t="n">
        <f aca="true">CRITBINOM(MAX(0,$C746-J746),MIN(0.6,Matchup!$C$40*SQRT($B746)/(1-MIN(0.75,Matchup!$C$39*$B746))),RAND())</f>
        <v>1</v>
      </c>
      <c r="O746" s="0" t="n">
        <f aca="false">6*J746+(J746-K746-M746)+2*L746+3*N746</f>
        <v>26</v>
      </c>
      <c r="P746" s="0" t="n">
        <f aca="true">RAND()</f>
        <v>0.502566313203868</v>
      </c>
      <c r="Q746" s="0" t="n">
        <f aca="true">RAND()</f>
        <v>0.833820017244625</v>
      </c>
      <c r="R746" s="0" t="n">
        <f aca="false">IF($I746&lt;&gt;$O746,0,IF(P746&lt;Matchup!$B$39,7,IF(P746&lt;Matchup!$B$39+Matchup!$B$40,3,0)))</f>
        <v>0</v>
      </c>
      <c r="S746" s="0" t="n">
        <f aca="false">IF($I746&lt;&gt;$O746,0,IF(Q746&lt;Matchup!$C$39,7,IF(Q746&lt;Matchup!$C$39+Matchup!$C$40,3,0)))</f>
        <v>0</v>
      </c>
      <c r="T746" s="0" t="n">
        <f aca="false">I746+R746</f>
        <v>41</v>
      </c>
      <c r="U746" s="0" t="n">
        <f aca="false">O746+S746</f>
        <v>26</v>
      </c>
      <c r="V746" s="0" t="n">
        <f aca="false">T746-U746</f>
        <v>15</v>
      </c>
      <c r="W746" s="0" t="n">
        <f aca="false">T746+U746</f>
        <v>67</v>
      </c>
    </row>
    <row r="747" customFormat="false" ht="15" hidden="false" customHeight="false" outlineLevel="0" collapsed="false">
      <c r="A747" s="0" t="n">
        <v>744</v>
      </c>
      <c r="B747" s="0" t="n">
        <f aca="true">NORMINV(RAND(),1,Coefficients!$B$22)</f>
        <v>0.921583366539754</v>
      </c>
      <c r="C747" s="0" t="n">
        <f aca="true">MEDIAN(8,16,ROUND(NORMINV(RAND(),Coefficients!$B$20,Coefficients!$B$21),0))</f>
        <v>10</v>
      </c>
      <c r="D747" s="0" t="n">
        <f aca="true">CRITBINOM($C747,MIN(0.75,Matchup!$B$39*$B747),RAND())</f>
        <v>0</v>
      </c>
      <c r="E747" s="0" t="n">
        <f aca="true">CRITBINOM(D747,Coefficients!$B$30,RAND())</f>
        <v>0</v>
      </c>
      <c r="F747" s="0" t="n">
        <f aca="true">CRITBINOM(E747,Coefficients!$B$31,RAND())</f>
        <v>0</v>
      </c>
      <c r="G747" s="0" t="n">
        <f aca="true">CRITBINOM(MAX(0,D747-E747),1-Coefficients!$B$32,RAND())</f>
        <v>0</v>
      </c>
      <c r="H747" s="0" t="n">
        <f aca="true">CRITBINOM(MAX(0,$C747-D747),MIN(0.6,Matchup!$B$40*SQRT($B747)/(1-MIN(0.75,Matchup!$B$39*$B747))),RAND())</f>
        <v>2</v>
      </c>
      <c r="I747" s="0" t="n">
        <f aca="false">6*D747+(D747-E747-G747)+2*F747+3*H747</f>
        <v>6</v>
      </c>
      <c r="J747" s="0" t="n">
        <f aca="true">CRITBINOM($C747,MIN(0.75,Matchup!$C$39*$B747),RAND())</f>
        <v>1</v>
      </c>
      <c r="K747" s="0" t="n">
        <f aca="true">CRITBINOM(J747,Coefficients!$B$30,RAND())</f>
        <v>0</v>
      </c>
      <c r="L747" s="0" t="n">
        <f aca="true">CRITBINOM(K747,Coefficients!$B$31,RAND())</f>
        <v>0</v>
      </c>
      <c r="M747" s="0" t="n">
        <f aca="true">CRITBINOM(MAX(0,J747-K747),1-Coefficients!$B$32,RAND())</f>
        <v>0</v>
      </c>
      <c r="N747" s="0" t="n">
        <f aca="true">CRITBINOM(MAX(0,$C747-J747),MIN(0.6,Matchup!$C$40*SQRT($B747)/(1-MIN(0.75,Matchup!$C$39*$B747))),RAND())</f>
        <v>1</v>
      </c>
      <c r="O747" s="0" t="n">
        <f aca="false">6*J747+(J747-K747-M747)+2*L747+3*N747</f>
        <v>10</v>
      </c>
      <c r="P747" s="0" t="n">
        <f aca="true">RAND()</f>
        <v>0.6468780004807</v>
      </c>
      <c r="Q747" s="0" t="n">
        <f aca="true">RAND()</f>
        <v>0.012149402401123</v>
      </c>
      <c r="R747" s="0" t="n">
        <f aca="false">IF($I747&lt;&gt;$O747,0,IF(P747&lt;Matchup!$B$39,7,IF(P747&lt;Matchup!$B$39+Matchup!$B$40,3,0)))</f>
        <v>0</v>
      </c>
      <c r="S747" s="0" t="n">
        <f aca="false">IF($I747&lt;&gt;$O747,0,IF(Q747&lt;Matchup!$C$39,7,IF(Q747&lt;Matchup!$C$39+Matchup!$C$40,3,0)))</f>
        <v>0</v>
      </c>
      <c r="T747" s="0" t="n">
        <f aca="false">I747+R747</f>
        <v>6</v>
      </c>
      <c r="U747" s="0" t="n">
        <f aca="false">O747+S747</f>
        <v>10</v>
      </c>
      <c r="V747" s="0" t="n">
        <f aca="false">T747-U747</f>
        <v>-4</v>
      </c>
      <c r="W747" s="0" t="n">
        <f aca="false">T747+U747</f>
        <v>16</v>
      </c>
    </row>
    <row r="748" customFormat="false" ht="15" hidden="false" customHeight="false" outlineLevel="0" collapsed="false">
      <c r="A748" s="0" t="n">
        <v>745</v>
      </c>
      <c r="B748" s="0" t="n">
        <f aca="true">NORMINV(RAND(),1,Coefficients!$B$22)</f>
        <v>0.908239000750336</v>
      </c>
      <c r="C748" s="0" t="n">
        <f aca="true">MEDIAN(8,16,ROUND(NORMINV(RAND(),Coefficients!$B$20,Coefficients!$B$21),0))</f>
        <v>13</v>
      </c>
      <c r="D748" s="0" t="n">
        <f aca="true">CRITBINOM($C748,MIN(0.75,Matchup!$B$39*$B748),RAND())</f>
        <v>4</v>
      </c>
      <c r="E748" s="0" t="n">
        <f aca="true">CRITBINOM(D748,Coefficients!$B$30,RAND())</f>
        <v>0</v>
      </c>
      <c r="F748" s="0" t="n">
        <f aca="true">CRITBINOM(E748,Coefficients!$B$31,RAND())</f>
        <v>0</v>
      </c>
      <c r="G748" s="0" t="n">
        <f aca="true">CRITBINOM(MAX(0,D748-E748),1-Coefficients!$B$32,RAND())</f>
        <v>0</v>
      </c>
      <c r="H748" s="0" t="n">
        <f aca="true">CRITBINOM(MAX(0,$C748-D748),MIN(0.6,Matchup!$B$40*SQRT($B748)/(1-MIN(0.75,Matchup!$B$39*$B748))),RAND())</f>
        <v>1</v>
      </c>
      <c r="I748" s="0" t="n">
        <f aca="false">6*D748+(D748-E748-G748)+2*F748+3*H748</f>
        <v>31</v>
      </c>
      <c r="J748" s="0" t="n">
        <f aca="true">CRITBINOM($C748,MIN(0.75,Matchup!$C$39*$B748),RAND())</f>
        <v>3</v>
      </c>
      <c r="K748" s="0" t="n">
        <f aca="true">CRITBINOM(J748,Coefficients!$B$30,RAND())</f>
        <v>0</v>
      </c>
      <c r="L748" s="0" t="n">
        <f aca="true">CRITBINOM(K748,Coefficients!$B$31,RAND())</f>
        <v>0</v>
      </c>
      <c r="M748" s="0" t="n">
        <f aca="true">CRITBINOM(MAX(0,J748-K748),1-Coefficients!$B$32,RAND())</f>
        <v>0</v>
      </c>
      <c r="N748" s="0" t="n">
        <f aca="true">CRITBINOM(MAX(0,$C748-J748),MIN(0.6,Matchup!$C$40*SQRT($B748)/(1-MIN(0.75,Matchup!$C$39*$B748))),RAND())</f>
        <v>1</v>
      </c>
      <c r="O748" s="0" t="n">
        <f aca="false">6*J748+(J748-K748-M748)+2*L748+3*N748</f>
        <v>24</v>
      </c>
      <c r="P748" s="0" t="n">
        <f aca="true">RAND()</f>
        <v>0.0300154578708726</v>
      </c>
      <c r="Q748" s="0" t="n">
        <f aca="true">RAND()</f>
        <v>0.155593080478556</v>
      </c>
      <c r="R748" s="0" t="n">
        <f aca="false">IF($I748&lt;&gt;$O748,0,IF(P748&lt;Matchup!$B$39,7,IF(P748&lt;Matchup!$B$39+Matchup!$B$40,3,0)))</f>
        <v>0</v>
      </c>
      <c r="S748" s="0" t="n">
        <f aca="false">IF($I748&lt;&gt;$O748,0,IF(Q748&lt;Matchup!$C$39,7,IF(Q748&lt;Matchup!$C$39+Matchup!$C$40,3,0)))</f>
        <v>0</v>
      </c>
      <c r="T748" s="0" t="n">
        <f aca="false">I748+R748</f>
        <v>31</v>
      </c>
      <c r="U748" s="0" t="n">
        <f aca="false">O748+S748</f>
        <v>24</v>
      </c>
      <c r="V748" s="0" t="n">
        <f aca="false">T748-U748</f>
        <v>7</v>
      </c>
      <c r="W748" s="0" t="n">
        <f aca="false">T748+U748</f>
        <v>55</v>
      </c>
    </row>
    <row r="749" customFormat="false" ht="15" hidden="false" customHeight="false" outlineLevel="0" collapsed="false">
      <c r="A749" s="0" t="n">
        <v>746</v>
      </c>
      <c r="B749" s="0" t="n">
        <f aca="true">NORMINV(RAND(),1,Coefficients!$B$22)</f>
        <v>1.06743622953767</v>
      </c>
      <c r="C749" s="0" t="n">
        <f aca="true">MEDIAN(8,16,ROUND(NORMINV(RAND(),Coefficients!$B$20,Coefficients!$B$21),0))</f>
        <v>12</v>
      </c>
      <c r="D749" s="0" t="n">
        <f aca="true">CRITBINOM($C749,MIN(0.75,Matchup!$B$39*$B749),RAND())</f>
        <v>3</v>
      </c>
      <c r="E749" s="0" t="n">
        <f aca="true">CRITBINOM(D749,Coefficients!$B$30,RAND())</f>
        <v>2</v>
      </c>
      <c r="F749" s="0" t="n">
        <f aca="true">CRITBINOM(E749,Coefficients!$B$31,RAND())</f>
        <v>2</v>
      </c>
      <c r="G749" s="0" t="n">
        <f aca="true">CRITBINOM(MAX(0,D749-E749),1-Coefficients!$B$32,RAND())</f>
        <v>0</v>
      </c>
      <c r="H749" s="0" t="n">
        <f aca="true">CRITBINOM(MAX(0,$C749-D749),MIN(0.6,Matchup!$B$40*SQRT($B749)/(1-MIN(0.75,Matchup!$B$39*$B749))),RAND())</f>
        <v>1</v>
      </c>
      <c r="I749" s="0" t="n">
        <f aca="false">6*D749+(D749-E749-G749)+2*F749+3*H749</f>
        <v>26</v>
      </c>
      <c r="J749" s="0" t="n">
        <f aca="true">CRITBINOM($C749,MIN(0.75,Matchup!$C$39*$B749),RAND())</f>
        <v>3</v>
      </c>
      <c r="K749" s="0" t="n">
        <f aca="true">CRITBINOM(J749,Coefficients!$B$30,RAND())</f>
        <v>0</v>
      </c>
      <c r="L749" s="0" t="n">
        <f aca="true">CRITBINOM(K749,Coefficients!$B$31,RAND())</f>
        <v>0</v>
      </c>
      <c r="M749" s="0" t="n">
        <f aca="true">CRITBINOM(MAX(0,J749-K749),1-Coefficients!$B$32,RAND())</f>
        <v>0</v>
      </c>
      <c r="N749" s="0" t="n">
        <f aca="true">CRITBINOM(MAX(0,$C749-J749),MIN(0.6,Matchup!$C$40*SQRT($B749)/(1-MIN(0.75,Matchup!$C$39*$B749))),RAND())</f>
        <v>0</v>
      </c>
      <c r="O749" s="0" t="n">
        <f aca="false">6*J749+(J749-K749-M749)+2*L749+3*N749</f>
        <v>21</v>
      </c>
      <c r="P749" s="0" t="n">
        <f aca="true">RAND()</f>
        <v>0.534922317724332</v>
      </c>
      <c r="Q749" s="0" t="n">
        <f aca="true">RAND()</f>
        <v>0.0153259031958966</v>
      </c>
      <c r="R749" s="0" t="n">
        <f aca="false">IF($I749&lt;&gt;$O749,0,IF(P749&lt;Matchup!$B$39,7,IF(P749&lt;Matchup!$B$39+Matchup!$B$40,3,0)))</f>
        <v>0</v>
      </c>
      <c r="S749" s="0" t="n">
        <f aca="false">IF($I749&lt;&gt;$O749,0,IF(Q749&lt;Matchup!$C$39,7,IF(Q749&lt;Matchup!$C$39+Matchup!$C$40,3,0)))</f>
        <v>0</v>
      </c>
      <c r="T749" s="0" t="n">
        <f aca="false">I749+R749</f>
        <v>26</v>
      </c>
      <c r="U749" s="0" t="n">
        <f aca="false">O749+S749</f>
        <v>21</v>
      </c>
      <c r="V749" s="0" t="n">
        <f aca="false">T749-U749</f>
        <v>5</v>
      </c>
      <c r="W749" s="0" t="n">
        <f aca="false">T749+U749</f>
        <v>47</v>
      </c>
    </row>
    <row r="750" customFormat="false" ht="15" hidden="false" customHeight="false" outlineLevel="0" collapsed="false">
      <c r="A750" s="0" t="n">
        <v>747</v>
      </c>
      <c r="B750" s="0" t="n">
        <f aca="true">NORMINV(RAND(),1,Coefficients!$B$22)</f>
        <v>0.954978640557704</v>
      </c>
      <c r="C750" s="0" t="n">
        <f aca="true">MEDIAN(8,16,ROUND(NORMINV(RAND(),Coefficients!$B$20,Coefficients!$B$21),0))</f>
        <v>12</v>
      </c>
      <c r="D750" s="0" t="n">
        <f aca="true">CRITBINOM($C750,MIN(0.75,Matchup!$B$39*$B750),RAND())</f>
        <v>4</v>
      </c>
      <c r="E750" s="0" t="n">
        <f aca="true">CRITBINOM(D750,Coefficients!$B$30,RAND())</f>
        <v>1</v>
      </c>
      <c r="F750" s="0" t="n">
        <f aca="true">CRITBINOM(E750,Coefficients!$B$31,RAND())</f>
        <v>0</v>
      </c>
      <c r="G750" s="0" t="n">
        <f aca="true">CRITBINOM(MAX(0,D750-E750),1-Coefficients!$B$32,RAND())</f>
        <v>1</v>
      </c>
      <c r="H750" s="0" t="n">
        <f aca="true">CRITBINOM(MAX(0,$C750-D750),MIN(0.6,Matchup!$B$40*SQRT($B750)/(1-MIN(0.75,Matchup!$B$39*$B750))),RAND())</f>
        <v>1</v>
      </c>
      <c r="I750" s="0" t="n">
        <f aca="false">6*D750+(D750-E750-G750)+2*F750+3*H750</f>
        <v>29</v>
      </c>
      <c r="J750" s="0" t="n">
        <f aca="true">CRITBINOM($C750,MIN(0.75,Matchup!$C$39*$B750),RAND())</f>
        <v>1</v>
      </c>
      <c r="K750" s="0" t="n">
        <f aca="true">CRITBINOM(J750,Coefficients!$B$30,RAND())</f>
        <v>0</v>
      </c>
      <c r="L750" s="0" t="n">
        <f aca="true">CRITBINOM(K750,Coefficients!$B$31,RAND())</f>
        <v>0</v>
      </c>
      <c r="M750" s="0" t="n">
        <f aca="true">CRITBINOM(MAX(0,J750-K750),1-Coefficients!$B$32,RAND())</f>
        <v>0</v>
      </c>
      <c r="N750" s="0" t="n">
        <f aca="true">CRITBINOM(MAX(0,$C750-J750),MIN(0.6,Matchup!$C$40*SQRT($B750)/(1-MIN(0.75,Matchup!$C$39*$B750))),RAND())</f>
        <v>3</v>
      </c>
      <c r="O750" s="0" t="n">
        <f aca="false">6*J750+(J750-K750-M750)+2*L750+3*N750</f>
        <v>16</v>
      </c>
      <c r="P750" s="0" t="n">
        <f aca="true">RAND()</f>
        <v>0.357484917377894</v>
      </c>
      <c r="Q750" s="0" t="n">
        <f aca="true">RAND()</f>
        <v>0.927855052188857</v>
      </c>
      <c r="R750" s="0" t="n">
        <f aca="false">IF($I750&lt;&gt;$O750,0,IF(P750&lt;Matchup!$B$39,7,IF(P750&lt;Matchup!$B$39+Matchup!$B$40,3,0)))</f>
        <v>0</v>
      </c>
      <c r="S750" s="0" t="n">
        <f aca="false">IF($I750&lt;&gt;$O750,0,IF(Q750&lt;Matchup!$C$39,7,IF(Q750&lt;Matchup!$C$39+Matchup!$C$40,3,0)))</f>
        <v>0</v>
      </c>
      <c r="T750" s="0" t="n">
        <f aca="false">I750+R750</f>
        <v>29</v>
      </c>
      <c r="U750" s="0" t="n">
        <f aca="false">O750+S750</f>
        <v>16</v>
      </c>
      <c r="V750" s="0" t="n">
        <f aca="false">T750-U750</f>
        <v>13</v>
      </c>
      <c r="W750" s="0" t="n">
        <f aca="false">T750+U750</f>
        <v>45</v>
      </c>
    </row>
    <row r="751" customFormat="false" ht="15" hidden="false" customHeight="false" outlineLevel="0" collapsed="false">
      <c r="A751" s="0" t="n">
        <v>748</v>
      </c>
      <c r="B751" s="0" t="n">
        <f aca="true">NORMINV(RAND(),1,Coefficients!$B$22)</f>
        <v>0.951836623545282</v>
      </c>
      <c r="C751" s="0" t="n">
        <f aca="true">MEDIAN(8,16,ROUND(NORMINV(RAND(),Coefficients!$B$20,Coefficients!$B$21),0))</f>
        <v>11</v>
      </c>
      <c r="D751" s="0" t="n">
        <f aca="true">CRITBINOM($C751,MIN(0.75,Matchup!$B$39*$B751),RAND())</f>
        <v>3</v>
      </c>
      <c r="E751" s="0" t="n">
        <f aca="true">CRITBINOM(D751,Coefficients!$B$30,RAND())</f>
        <v>1</v>
      </c>
      <c r="F751" s="0" t="n">
        <f aca="true">CRITBINOM(E751,Coefficients!$B$31,RAND())</f>
        <v>1</v>
      </c>
      <c r="G751" s="0" t="n">
        <f aca="true">CRITBINOM(MAX(0,D751-E751),1-Coefficients!$B$32,RAND())</f>
        <v>1</v>
      </c>
      <c r="H751" s="0" t="n">
        <f aca="true">CRITBINOM(MAX(0,$C751-D751),MIN(0.6,Matchup!$B$40*SQRT($B751)/(1-MIN(0.75,Matchup!$B$39*$B751))),RAND())</f>
        <v>1</v>
      </c>
      <c r="I751" s="0" t="n">
        <f aca="false">6*D751+(D751-E751-G751)+2*F751+3*H751</f>
        <v>24</v>
      </c>
      <c r="J751" s="0" t="n">
        <f aca="true">CRITBINOM($C751,MIN(0.75,Matchup!$C$39*$B751),RAND())</f>
        <v>2</v>
      </c>
      <c r="K751" s="0" t="n">
        <f aca="true">CRITBINOM(J751,Coefficients!$B$30,RAND())</f>
        <v>0</v>
      </c>
      <c r="L751" s="0" t="n">
        <f aca="true">CRITBINOM(K751,Coefficients!$B$31,RAND())</f>
        <v>0</v>
      </c>
      <c r="M751" s="0" t="n">
        <f aca="true">CRITBINOM(MAX(0,J751-K751),1-Coefficients!$B$32,RAND())</f>
        <v>0</v>
      </c>
      <c r="N751" s="0" t="n">
        <f aca="true">CRITBINOM(MAX(0,$C751-J751),MIN(0.6,Matchup!$C$40*SQRT($B751)/(1-MIN(0.75,Matchup!$C$39*$B751))),RAND())</f>
        <v>2</v>
      </c>
      <c r="O751" s="0" t="n">
        <f aca="false">6*J751+(J751-K751-M751)+2*L751+3*N751</f>
        <v>20</v>
      </c>
      <c r="P751" s="0" t="n">
        <f aca="true">RAND()</f>
        <v>0.575352853594159</v>
      </c>
      <c r="Q751" s="0" t="n">
        <f aca="true">RAND()</f>
        <v>0.394631784120569</v>
      </c>
      <c r="R751" s="0" t="n">
        <f aca="false">IF($I751&lt;&gt;$O751,0,IF(P751&lt;Matchup!$B$39,7,IF(P751&lt;Matchup!$B$39+Matchup!$B$40,3,0)))</f>
        <v>0</v>
      </c>
      <c r="S751" s="0" t="n">
        <f aca="false">IF($I751&lt;&gt;$O751,0,IF(Q751&lt;Matchup!$C$39,7,IF(Q751&lt;Matchup!$C$39+Matchup!$C$40,3,0)))</f>
        <v>0</v>
      </c>
      <c r="T751" s="0" t="n">
        <f aca="false">I751+R751</f>
        <v>24</v>
      </c>
      <c r="U751" s="0" t="n">
        <f aca="false">O751+S751</f>
        <v>20</v>
      </c>
      <c r="V751" s="0" t="n">
        <f aca="false">T751-U751</f>
        <v>4</v>
      </c>
      <c r="W751" s="0" t="n">
        <f aca="false">T751+U751</f>
        <v>44</v>
      </c>
    </row>
    <row r="752" customFormat="false" ht="15" hidden="false" customHeight="false" outlineLevel="0" collapsed="false">
      <c r="A752" s="0" t="n">
        <v>749</v>
      </c>
      <c r="B752" s="0" t="n">
        <f aca="true">NORMINV(RAND(),1,Coefficients!$B$22)</f>
        <v>0.949197618403042</v>
      </c>
      <c r="C752" s="0" t="n">
        <f aca="true">MEDIAN(8,16,ROUND(NORMINV(RAND(),Coefficients!$B$20,Coefficients!$B$21),0))</f>
        <v>11</v>
      </c>
      <c r="D752" s="0" t="n">
        <f aca="true">CRITBINOM($C752,MIN(0.75,Matchup!$B$39*$B752),RAND())</f>
        <v>1</v>
      </c>
      <c r="E752" s="0" t="n">
        <f aca="true">CRITBINOM(D752,Coefficients!$B$30,RAND())</f>
        <v>0</v>
      </c>
      <c r="F752" s="0" t="n">
        <f aca="true">CRITBINOM(E752,Coefficients!$B$31,RAND())</f>
        <v>0</v>
      </c>
      <c r="G752" s="0" t="n">
        <f aca="true">CRITBINOM(MAX(0,D752-E752),1-Coefficients!$B$32,RAND())</f>
        <v>0</v>
      </c>
      <c r="H752" s="0" t="n">
        <f aca="true">CRITBINOM(MAX(0,$C752-D752),MIN(0.6,Matchup!$B$40*SQRT($B752)/(1-MIN(0.75,Matchup!$B$39*$B752))),RAND())</f>
        <v>2</v>
      </c>
      <c r="I752" s="0" t="n">
        <f aca="false">6*D752+(D752-E752-G752)+2*F752+3*H752</f>
        <v>13</v>
      </c>
      <c r="J752" s="0" t="n">
        <f aca="true">CRITBINOM($C752,MIN(0.75,Matchup!$C$39*$B752),RAND())</f>
        <v>2</v>
      </c>
      <c r="K752" s="0" t="n">
        <f aca="true">CRITBINOM(J752,Coefficients!$B$30,RAND())</f>
        <v>0</v>
      </c>
      <c r="L752" s="0" t="n">
        <f aca="true">CRITBINOM(K752,Coefficients!$B$31,RAND())</f>
        <v>0</v>
      </c>
      <c r="M752" s="0" t="n">
        <f aca="true">CRITBINOM(MAX(0,J752-K752),1-Coefficients!$B$32,RAND())</f>
        <v>0</v>
      </c>
      <c r="N752" s="0" t="n">
        <f aca="true">CRITBINOM(MAX(0,$C752-J752),MIN(0.6,Matchup!$C$40*SQRT($B752)/(1-MIN(0.75,Matchup!$C$39*$B752))),RAND())</f>
        <v>3</v>
      </c>
      <c r="O752" s="0" t="n">
        <f aca="false">6*J752+(J752-K752-M752)+2*L752+3*N752</f>
        <v>23</v>
      </c>
      <c r="P752" s="0" t="n">
        <f aca="true">RAND()</f>
        <v>0.452092027652595</v>
      </c>
      <c r="Q752" s="0" t="n">
        <f aca="true">RAND()</f>
        <v>0.911638379439035</v>
      </c>
      <c r="R752" s="0" t="n">
        <f aca="false">IF($I752&lt;&gt;$O752,0,IF(P752&lt;Matchup!$B$39,7,IF(P752&lt;Matchup!$B$39+Matchup!$B$40,3,0)))</f>
        <v>0</v>
      </c>
      <c r="S752" s="0" t="n">
        <f aca="false">IF($I752&lt;&gt;$O752,0,IF(Q752&lt;Matchup!$C$39,7,IF(Q752&lt;Matchup!$C$39+Matchup!$C$40,3,0)))</f>
        <v>0</v>
      </c>
      <c r="T752" s="0" t="n">
        <f aca="false">I752+R752</f>
        <v>13</v>
      </c>
      <c r="U752" s="0" t="n">
        <f aca="false">O752+S752</f>
        <v>23</v>
      </c>
      <c r="V752" s="0" t="n">
        <f aca="false">T752-U752</f>
        <v>-10</v>
      </c>
      <c r="W752" s="0" t="n">
        <f aca="false">T752+U752</f>
        <v>36</v>
      </c>
    </row>
    <row r="753" customFormat="false" ht="15" hidden="false" customHeight="false" outlineLevel="0" collapsed="false">
      <c r="A753" s="0" t="n">
        <v>750</v>
      </c>
      <c r="B753" s="0" t="n">
        <f aca="true">NORMINV(RAND(),1,Coefficients!$B$22)</f>
        <v>1.18656614650612</v>
      </c>
      <c r="C753" s="0" t="n">
        <f aca="true">MEDIAN(8,16,ROUND(NORMINV(RAND(),Coefficients!$B$20,Coefficients!$B$21),0))</f>
        <v>12</v>
      </c>
      <c r="D753" s="0" t="n">
        <f aca="true">CRITBINOM($C753,MIN(0.75,Matchup!$B$39*$B753),RAND())</f>
        <v>5</v>
      </c>
      <c r="E753" s="0" t="n">
        <f aca="true">CRITBINOM(D753,Coefficients!$B$30,RAND())</f>
        <v>0</v>
      </c>
      <c r="F753" s="0" t="n">
        <f aca="true">CRITBINOM(E753,Coefficients!$B$31,RAND())</f>
        <v>0</v>
      </c>
      <c r="G753" s="0" t="n">
        <f aca="true">CRITBINOM(MAX(0,D753-E753),1-Coefficients!$B$32,RAND())</f>
        <v>0</v>
      </c>
      <c r="H753" s="0" t="n">
        <f aca="true">CRITBINOM(MAX(0,$C753-D753),MIN(0.6,Matchup!$B$40*SQRT($B753)/(1-MIN(0.75,Matchup!$B$39*$B753))),RAND())</f>
        <v>1</v>
      </c>
      <c r="I753" s="0" t="n">
        <f aca="false">6*D753+(D753-E753-G753)+2*F753+3*H753</f>
        <v>38</v>
      </c>
      <c r="J753" s="0" t="n">
        <f aca="true">CRITBINOM($C753,MIN(0.75,Matchup!$C$39*$B753),RAND())</f>
        <v>1</v>
      </c>
      <c r="K753" s="0" t="n">
        <f aca="true">CRITBINOM(J753,Coefficients!$B$30,RAND())</f>
        <v>0</v>
      </c>
      <c r="L753" s="0" t="n">
        <f aca="true">CRITBINOM(K753,Coefficients!$B$31,RAND())</f>
        <v>0</v>
      </c>
      <c r="M753" s="0" t="n">
        <f aca="true">CRITBINOM(MAX(0,J753-K753),1-Coefficients!$B$32,RAND())</f>
        <v>0</v>
      </c>
      <c r="N753" s="0" t="n">
        <f aca="true">CRITBINOM(MAX(0,$C753-J753),MIN(0.6,Matchup!$C$40*SQRT($B753)/(1-MIN(0.75,Matchup!$C$39*$B753))),RAND())</f>
        <v>4</v>
      </c>
      <c r="O753" s="0" t="n">
        <f aca="false">6*J753+(J753-K753-M753)+2*L753+3*N753</f>
        <v>19</v>
      </c>
      <c r="P753" s="0" t="n">
        <f aca="true">RAND()</f>
        <v>0.555551057670647</v>
      </c>
      <c r="Q753" s="0" t="n">
        <f aca="true">RAND()</f>
        <v>0.829413273299946</v>
      </c>
      <c r="R753" s="0" t="n">
        <f aca="false">IF($I753&lt;&gt;$O753,0,IF(P753&lt;Matchup!$B$39,7,IF(P753&lt;Matchup!$B$39+Matchup!$B$40,3,0)))</f>
        <v>0</v>
      </c>
      <c r="S753" s="0" t="n">
        <f aca="false">IF($I753&lt;&gt;$O753,0,IF(Q753&lt;Matchup!$C$39,7,IF(Q753&lt;Matchup!$C$39+Matchup!$C$40,3,0)))</f>
        <v>0</v>
      </c>
      <c r="T753" s="0" t="n">
        <f aca="false">I753+R753</f>
        <v>38</v>
      </c>
      <c r="U753" s="0" t="n">
        <f aca="false">O753+S753</f>
        <v>19</v>
      </c>
      <c r="V753" s="0" t="n">
        <f aca="false">T753-U753</f>
        <v>19</v>
      </c>
      <c r="W753" s="0" t="n">
        <f aca="false">T753+U753</f>
        <v>57</v>
      </c>
    </row>
    <row r="754" customFormat="false" ht="15" hidden="false" customHeight="false" outlineLevel="0" collapsed="false">
      <c r="A754" s="0" t="n">
        <v>751</v>
      </c>
      <c r="B754" s="0" t="n">
        <f aca="true">NORMINV(RAND(),1,Coefficients!$B$22)</f>
        <v>0.983009688916873</v>
      </c>
      <c r="C754" s="0" t="n">
        <f aca="true">MEDIAN(8,16,ROUND(NORMINV(RAND(),Coefficients!$B$20,Coefficients!$B$21),0))</f>
        <v>11</v>
      </c>
      <c r="D754" s="0" t="n">
        <f aca="true">CRITBINOM($C754,MIN(0.75,Matchup!$B$39*$B754),RAND())</f>
        <v>2</v>
      </c>
      <c r="E754" s="0" t="n">
        <f aca="true">CRITBINOM(D754,Coefficients!$B$30,RAND())</f>
        <v>0</v>
      </c>
      <c r="F754" s="0" t="n">
        <f aca="true">CRITBINOM(E754,Coefficients!$B$31,RAND())</f>
        <v>0</v>
      </c>
      <c r="G754" s="0" t="n">
        <f aca="true">CRITBINOM(MAX(0,D754-E754),1-Coefficients!$B$32,RAND())</f>
        <v>0</v>
      </c>
      <c r="H754" s="0" t="n">
        <f aca="true">CRITBINOM(MAX(0,$C754-D754),MIN(0.6,Matchup!$B$40*SQRT($B754)/(1-MIN(0.75,Matchup!$B$39*$B754))),RAND())</f>
        <v>0</v>
      </c>
      <c r="I754" s="0" t="n">
        <f aca="false">6*D754+(D754-E754-G754)+2*F754+3*H754</f>
        <v>14</v>
      </c>
      <c r="J754" s="0" t="n">
        <f aca="true">CRITBINOM($C754,MIN(0.75,Matchup!$C$39*$B754),RAND())</f>
        <v>2</v>
      </c>
      <c r="K754" s="0" t="n">
        <f aca="true">CRITBINOM(J754,Coefficients!$B$30,RAND())</f>
        <v>0</v>
      </c>
      <c r="L754" s="0" t="n">
        <f aca="true">CRITBINOM(K754,Coefficients!$B$31,RAND())</f>
        <v>0</v>
      </c>
      <c r="M754" s="0" t="n">
        <f aca="true">CRITBINOM(MAX(0,J754-K754),1-Coefficients!$B$32,RAND())</f>
        <v>0</v>
      </c>
      <c r="N754" s="0" t="n">
        <f aca="true">CRITBINOM(MAX(0,$C754-J754),MIN(0.6,Matchup!$C$40*SQRT($B754)/(1-MIN(0.75,Matchup!$C$39*$B754))),RAND())</f>
        <v>2</v>
      </c>
      <c r="O754" s="0" t="n">
        <f aca="false">6*J754+(J754-K754-M754)+2*L754+3*N754</f>
        <v>20</v>
      </c>
      <c r="P754" s="0" t="n">
        <f aca="true">RAND()</f>
        <v>0.301808015610756</v>
      </c>
      <c r="Q754" s="0" t="n">
        <f aca="true">RAND()</f>
        <v>0.721889248613184</v>
      </c>
      <c r="R754" s="0" t="n">
        <f aca="false">IF($I754&lt;&gt;$O754,0,IF(P754&lt;Matchup!$B$39,7,IF(P754&lt;Matchup!$B$39+Matchup!$B$40,3,0)))</f>
        <v>0</v>
      </c>
      <c r="S754" s="0" t="n">
        <f aca="false">IF($I754&lt;&gt;$O754,0,IF(Q754&lt;Matchup!$C$39,7,IF(Q754&lt;Matchup!$C$39+Matchup!$C$40,3,0)))</f>
        <v>0</v>
      </c>
      <c r="T754" s="0" t="n">
        <f aca="false">I754+R754</f>
        <v>14</v>
      </c>
      <c r="U754" s="0" t="n">
        <f aca="false">O754+S754</f>
        <v>20</v>
      </c>
      <c r="V754" s="0" t="n">
        <f aca="false">T754-U754</f>
        <v>-6</v>
      </c>
      <c r="W754" s="0" t="n">
        <f aca="false">T754+U754</f>
        <v>34</v>
      </c>
    </row>
    <row r="755" customFormat="false" ht="15" hidden="false" customHeight="false" outlineLevel="0" collapsed="false">
      <c r="A755" s="0" t="n">
        <v>752</v>
      </c>
      <c r="B755" s="0" t="n">
        <f aca="true">NORMINV(RAND(),1,Coefficients!$B$22)</f>
        <v>0.981475755324459</v>
      </c>
      <c r="C755" s="0" t="n">
        <f aca="true">MEDIAN(8,16,ROUND(NORMINV(RAND(),Coefficients!$B$20,Coefficients!$B$21),0))</f>
        <v>9</v>
      </c>
      <c r="D755" s="0" t="n">
        <f aca="true">CRITBINOM($C755,MIN(0.75,Matchup!$B$39*$B755),RAND())</f>
        <v>2</v>
      </c>
      <c r="E755" s="0" t="n">
        <f aca="true">CRITBINOM(D755,Coefficients!$B$30,RAND())</f>
        <v>0</v>
      </c>
      <c r="F755" s="0" t="n">
        <f aca="true">CRITBINOM(E755,Coefficients!$B$31,RAND())</f>
        <v>0</v>
      </c>
      <c r="G755" s="0" t="n">
        <f aca="true">CRITBINOM(MAX(0,D755-E755),1-Coefficients!$B$32,RAND())</f>
        <v>0</v>
      </c>
      <c r="H755" s="0" t="n">
        <f aca="true">CRITBINOM(MAX(0,$C755-D755),MIN(0.6,Matchup!$B$40*SQRT($B755)/(1-MIN(0.75,Matchup!$B$39*$B755))),RAND())</f>
        <v>2</v>
      </c>
      <c r="I755" s="0" t="n">
        <f aca="false">6*D755+(D755-E755-G755)+2*F755+3*H755</f>
        <v>20</v>
      </c>
      <c r="J755" s="0" t="n">
        <f aca="true">CRITBINOM($C755,MIN(0.75,Matchup!$C$39*$B755),RAND())</f>
        <v>3</v>
      </c>
      <c r="K755" s="0" t="n">
        <f aca="true">CRITBINOM(J755,Coefficients!$B$30,RAND())</f>
        <v>0</v>
      </c>
      <c r="L755" s="0" t="n">
        <f aca="true">CRITBINOM(K755,Coefficients!$B$31,RAND())</f>
        <v>0</v>
      </c>
      <c r="M755" s="0" t="n">
        <f aca="true">CRITBINOM(MAX(0,J755-K755),1-Coefficients!$B$32,RAND())</f>
        <v>0</v>
      </c>
      <c r="N755" s="0" t="n">
        <f aca="true">CRITBINOM(MAX(0,$C755-J755),MIN(0.6,Matchup!$C$40*SQRT($B755)/(1-MIN(0.75,Matchup!$C$39*$B755))),RAND())</f>
        <v>0</v>
      </c>
      <c r="O755" s="0" t="n">
        <f aca="false">6*J755+(J755-K755-M755)+2*L755+3*N755</f>
        <v>21</v>
      </c>
      <c r="P755" s="0" t="n">
        <f aca="true">RAND()</f>
        <v>0.909394943725482</v>
      </c>
      <c r="Q755" s="0" t="n">
        <f aca="true">RAND()</f>
        <v>0.406803830160981</v>
      </c>
      <c r="R755" s="0" t="n">
        <f aca="false">IF($I755&lt;&gt;$O755,0,IF(P755&lt;Matchup!$B$39,7,IF(P755&lt;Matchup!$B$39+Matchup!$B$40,3,0)))</f>
        <v>0</v>
      </c>
      <c r="S755" s="0" t="n">
        <f aca="false">IF($I755&lt;&gt;$O755,0,IF(Q755&lt;Matchup!$C$39,7,IF(Q755&lt;Matchup!$C$39+Matchup!$C$40,3,0)))</f>
        <v>0</v>
      </c>
      <c r="T755" s="0" t="n">
        <f aca="false">I755+R755</f>
        <v>20</v>
      </c>
      <c r="U755" s="0" t="n">
        <f aca="false">O755+S755</f>
        <v>21</v>
      </c>
      <c r="V755" s="0" t="n">
        <f aca="false">T755-U755</f>
        <v>-1</v>
      </c>
      <c r="W755" s="0" t="n">
        <f aca="false">T755+U755</f>
        <v>41</v>
      </c>
    </row>
    <row r="756" customFormat="false" ht="15" hidden="false" customHeight="false" outlineLevel="0" collapsed="false">
      <c r="A756" s="0" t="n">
        <v>753</v>
      </c>
      <c r="B756" s="0" t="n">
        <f aca="true">NORMINV(RAND(),1,Coefficients!$B$22)</f>
        <v>1.02986113730401</v>
      </c>
      <c r="C756" s="0" t="n">
        <f aca="true">MEDIAN(8,16,ROUND(NORMINV(RAND(),Coefficients!$B$20,Coefficients!$B$21),0))</f>
        <v>12</v>
      </c>
      <c r="D756" s="0" t="n">
        <f aca="true">CRITBINOM($C756,MIN(0.75,Matchup!$B$39*$B756),RAND())</f>
        <v>3</v>
      </c>
      <c r="E756" s="0" t="n">
        <f aca="true">CRITBINOM(D756,Coefficients!$B$30,RAND())</f>
        <v>1</v>
      </c>
      <c r="F756" s="0" t="n">
        <f aca="true">CRITBINOM(E756,Coefficients!$B$31,RAND())</f>
        <v>0</v>
      </c>
      <c r="G756" s="0" t="n">
        <f aca="true">CRITBINOM(MAX(0,D756-E756),1-Coefficients!$B$32,RAND())</f>
        <v>0</v>
      </c>
      <c r="H756" s="0" t="n">
        <f aca="true">CRITBINOM(MAX(0,$C756-D756),MIN(0.6,Matchup!$B$40*SQRT($B756)/(1-MIN(0.75,Matchup!$B$39*$B756))),RAND())</f>
        <v>3</v>
      </c>
      <c r="I756" s="0" t="n">
        <f aca="false">6*D756+(D756-E756-G756)+2*F756+3*H756</f>
        <v>29</v>
      </c>
      <c r="J756" s="0" t="n">
        <f aca="true">CRITBINOM($C756,MIN(0.75,Matchup!$C$39*$B756),RAND())</f>
        <v>4</v>
      </c>
      <c r="K756" s="0" t="n">
        <f aca="true">CRITBINOM(J756,Coefficients!$B$30,RAND())</f>
        <v>0</v>
      </c>
      <c r="L756" s="0" t="n">
        <f aca="true">CRITBINOM(K756,Coefficients!$B$31,RAND())</f>
        <v>0</v>
      </c>
      <c r="M756" s="0" t="n">
        <f aca="true">CRITBINOM(MAX(0,J756-K756),1-Coefficients!$B$32,RAND())</f>
        <v>0</v>
      </c>
      <c r="N756" s="0" t="n">
        <f aca="true">CRITBINOM(MAX(0,$C756-J756),MIN(0.6,Matchup!$C$40*SQRT($B756)/(1-MIN(0.75,Matchup!$C$39*$B756))),RAND())</f>
        <v>3</v>
      </c>
      <c r="O756" s="0" t="n">
        <f aca="false">6*J756+(J756-K756-M756)+2*L756+3*N756</f>
        <v>37</v>
      </c>
      <c r="P756" s="0" t="n">
        <f aca="true">RAND()</f>
        <v>0.887875815710615</v>
      </c>
      <c r="Q756" s="0" t="n">
        <f aca="true">RAND()</f>
        <v>0.997346141164737</v>
      </c>
      <c r="R756" s="0" t="n">
        <f aca="false">IF($I756&lt;&gt;$O756,0,IF(P756&lt;Matchup!$B$39,7,IF(P756&lt;Matchup!$B$39+Matchup!$B$40,3,0)))</f>
        <v>0</v>
      </c>
      <c r="S756" s="0" t="n">
        <f aca="false">IF($I756&lt;&gt;$O756,0,IF(Q756&lt;Matchup!$C$39,7,IF(Q756&lt;Matchup!$C$39+Matchup!$C$40,3,0)))</f>
        <v>0</v>
      </c>
      <c r="T756" s="0" t="n">
        <f aca="false">I756+R756</f>
        <v>29</v>
      </c>
      <c r="U756" s="0" t="n">
        <f aca="false">O756+S756</f>
        <v>37</v>
      </c>
      <c r="V756" s="0" t="n">
        <f aca="false">T756-U756</f>
        <v>-8</v>
      </c>
      <c r="W756" s="0" t="n">
        <f aca="false">T756+U756</f>
        <v>66</v>
      </c>
    </row>
    <row r="757" customFormat="false" ht="15" hidden="false" customHeight="false" outlineLevel="0" collapsed="false">
      <c r="A757" s="0" t="n">
        <v>754</v>
      </c>
      <c r="B757" s="0" t="n">
        <f aca="true">NORMINV(RAND(),1,Coefficients!$B$22)</f>
        <v>0.980148358951248</v>
      </c>
      <c r="C757" s="0" t="n">
        <f aca="true">MEDIAN(8,16,ROUND(NORMINV(RAND(),Coefficients!$B$20,Coefficients!$B$21),0))</f>
        <v>10</v>
      </c>
      <c r="D757" s="0" t="n">
        <f aca="true">CRITBINOM($C757,MIN(0.75,Matchup!$B$39*$B757),RAND())</f>
        <v>4</v>
      </c>
      <c r="E757" s="0" t="n">
        <f aca="true">CRITBINOM(D757,Coefficients!$B$30,RAND())</f>
        <v>0</v>
      </c>
      <c r="F757" s="0" t="n">
        <f aca="true">CRITBINOM(E757,Coefficients!$B$31,RAND())</f>
        <v>0</v>
      </c>
      <c r="G757" s="0" t="n">
        <f aca="true">CRITBINOM(MAX(0,D757-E757),1-Coefficients!$B$32,RAND())</f>
        <v>0</v>
      </c>
      <c r="H757" s="0" t="n">
        <f aca="true">CRITBINOM(MAX(0,$C757-D757),MIN(0.6,Matchup!$B$40*SQRT($B757)/(1-MIN(0.75,Matchup!$B$39*$B757))),RAND())</f>
        <v>0</v>
      </c>
      <c r="I757" s="0" t="n">
        <f aca="false">6*D757+(D757-E757-G757)+2*F757+3*H757</f>
        <v>28</v>
      </c>
      <c r="J757" s="0" t="n">
        <f aca="true">CRITBINOM($C757,MIN(0.75,Matchup!$C$39*$B757),RAND())</f>
        <v>2</v>
      </c>
      <c r="K757" s="0" t="n">
        <f aca="true">CRITBINOM(J757,Coefficients!$B$30,RAND())</f>
        <v>0</v>
      </c>
      <c r="L757" s="0" t="n">
        <f aca="true">CRITBINOM(K757,Coefficients!$B$31,RAND())</f>
        <v>0</v>
      </c>
      <c r="M757" s="0" t="n">
        <f aca="true">CRITBINOM(MAX(0,J757-K757),1-Coefficients!$B$32,RAND())</f>
        <v>0</v>
      </c>
      <c r="N757" s="0" t="n">
        <f aca="true">CRITBINOM(MAX(0,$C757-J757),MIN(0.6,Matchup!$C$40*SQRT($B757)/(1-MIN(0.75,Matchup!$C$39*$B757))),RAND())</f>
        <v>1</v>
      </c>
      <c r="O757" s="0" t="n">
        <f aca="false">6*J757+(J757-K757-M757)+2*L757+3*N757</f>
        <v>17</v>
      </c>
      <c r="P757" s="0" t="n">
        <f aca="true">RAND()</f>
        <v>0.868528023377738</v>
      </c>
      <c r="Q757" s="0" t="n">
        <f aca="true">RAND()</f>
        <v>0.811913496821664</v>
      </c>
      <c r="R757" s="0" t="n">
        <f aca="false">IF($I757&lt;&gt;$O757,0,IF(P757&lt;Matchup!$B$39,7,IF(P757&lt;Matchup!$B$39+Matchup!$B$40,3,0)))</f>
        <v>0</v>
      </c>
      <c r="S757" s="0" t="n">
        <f aca="false">IF($I757&lt;&gt;$O757,0,IF(Q757&lt;Matchup!$C$39,7,IF(Q757&lt;Matchup!$C$39+Matchup!$C$40,3,0)))</f>
        <v>0</v>
      </c>
      <c r="T757" s="0" t="n">
        <f aca="false">I757+R757</f>
        <v>28</v>
      </c>
      <c r="U757" s="0" t="n">
        <f aca="false">O757+S757</f>
        <v>17</v>
      </c>
      <c r="V757" s="0" t="n">
        <f aca="false">T757-U757</f>
        <v>11</v>
      </c>
      <c r="W757" s="0" t="n">
        <f aca="false">T757+U757</f>
        <v>45</v>
      </c>
    </row>
    <row r="758" customFormat="false" ht="15" hidden="false" customHeight="false" outlineLevel="0" collapsed="false">
      <c r="A758" s="0" t="n">
        <v>755</v>
      </c>
      <c r="B758" s="0" t="n">
        <f aca="true">NORMINV(RAND(),1,Coefficients!$B$22)</f>
        <v>0.987883598816297</v>
      </c>
      <c r="C758" s="0" t="n">
        <f aca="true">MEDIAN(8,16,ROUND(NORMINV(RAND(),Coefficients!$B$20,Coefficients!$B$21),0))</f>
        <v>12</v>
      </c>
      <c r="D758" s="0" t="n">
        <f aca="true">CRITBINOM($C758,MIN(0.75,Matchup!$B$39*$B758),RAND())</f>
        <v>3</v>
      </c>
      <c r="E758" s="0" t="n">
        <f aca="true">CRITBINOM(D758,Coefficients!$B$30,RAND())</f>
        <v>0</v>
      </c>
      <c r="F758" s="0" t="n">
        <f aca="true">CRITBINOM(E758,Coefficients!$B$31,RAND())</f>
        <v>0</v>
      </c>
      <c r="G758" s="0" t="n">
        <f aca="true">CRITBINOM(MAX(0,D758-E758),1-Coefficients!$B$32,RAND())</f>
        <v>0</v>
      </c>
      <c r="H758" s="0" t="n">
        <f aca="true">CRITBINOM(MAX(0,$C758-D758),MIN(0.6,Matchup!$B$40*SQRT($B758)/(1-MIN(0.75,Matchup!$B$39*$B758))),RAND())</f>
        <v>1</v>
      </c>
      <c r="I758" s="0" t="n">
        <f aca="false">6*D758+(D758-E758-G758)+2*F758+3*H758</f>
        <v>24</v>
      </c>
      <c r="J758" s="0" t="n">
        <f aca="true">CRITBINOM($C758,MIN(0.75,Matchup!$C$39*$B758),RAND())</f>
        <v>3</v>
      </c>
      <c r="K758" s="0" t="n">
        <f aca="true">CRITBINOM(J758,Coefficients!$B$30,RAND())</f>
        <v>0</v>
      </c>
      <c r="L758" s="0" t="n">
        <f aca="true">CRITBINOM(K758,Coefficients!$B$31,RAND())</f>
        <v>0</v>
      </c>
      <c r="M758" s="0" t="n">
        <f aca="true">CRITBINOM(MAX(0,J758-K758),1-Coefficients!$B$32,RAND())</f>
        <v>0</v>
      </c>
      <c r="N758" s="0" t="n">
        <f aca="true">CRITBINOM(MAX(0,$C758-J758),MIN(0.6,Matchup!$C$40*SQRT($B758)/(1-MIN(0.75,Matchup!$C$39*$B758))),RAND())</f>
        <v>2</v>
      </c>
      <c r="O758" s="0" t="n">
        <f aca="false">6*J758+(J758-K758-M758)+2*L758+3*N758</f>
        <v>27</v>
      </c>
      <c r="P758" s="0" t="n">
        <f aca="true">RAND()</f>
        <v>0.687605654507332</v>
      </c>
      <c r="Q758" s="0" t="n">
        <f aca="true">RAND()</f>
        <v>0.558805442420057</v>
      </c>
      <c r="R758" s="0" t="n">
        <f aca="false">IF($I758&lt;&gt;$O758,0,IF(P758&lt;Matchup!$B$39,7,IF(P758&lt;Matchup!$B$39+Matchup!$B$40,3,0)))</f>
        <v>0</v>
      </c>
      <c r="S758" s="0" t="n">
        <f aca="false">IF($I758&lt;&gt;$O758,0,IF(Q758&lt;Matchup!$C$39,7,IF(Q758&lt;Matchup!$C$39+Matchup!$C$40,3,0)))</f>
        <v>0</v>
      </c>
      <c r="T758" s="0" t="n">
        <f aca="false">I758+R758</f>
        <v>24</v>
      </c>
      <c r="U758" s="0" t="n">
        <f aca="false">O758+S758</f>
        <v>27</v>
      </c>
      <c r="V758" s="0" t="n">
        <f aca="false">T758-U758</f>
        <v>-3</v>
      </c>
      <c r="W758" s="0" t="n">
        <f aca="false">T758+U758</f>
        <v>51</v>
      </c>
    </row>
    <row r="759" customFormat="false" ht="15" hidden="false" customHeight="false" outlineLevel="0" collapsed="false">
      <c r="A759" s="0" t="n">
        <v>756</v>
      </c>
      <c r="B759" s="0" t="n">
        <f aca="true">NORMINV(RAND(),1,Coefficients!$B$22)</f>
        <v>1.00796869987773</v>
      </c>
      <c r="C759" s="0" t="n">
        <f aca="true">MEDIAN(8,16,ROUND(NORMINV(RAND(),Coefficients!$B$20,Coefficients!$B$21),0))</f>
        <v>11</v>
      </c>
      <c r="D759" s="0" t="n">
        <f aca="true">CRITBINOM($C759,MIN(0.75,Matchup!$B$39*$B759),RAND())</f>
        <v>2</v>
      </c>
      <c r="E759" s="0" t="n">
        <f aca="true">CRITBINOM(D759,Coefficients!$B$30,RAND())</f>
        <v>0</v>
      </c>
      <c r="F759" s="0" t="n">
        <f aca="true">CRITBINOM(E759,Coefficients!$B$31,RAND())</f>
        <v>0</v>
      </c>
      <c r="G759" s="0" t="n">
        <f aca="true">CRITBINOM(MAX(0,D759-E759),1-Coefficients!$B$32,RAND())</f>
        <v>0</v>
      </c>
      <c r="H759" s="0" t="n">
        <f aca="true">CRITBINOM(MAX(0,$C759-D759),MIN(0.6,Matchup!$B$40*SQRT($B759)/(1-MIN(0.75,Matchup!$B$39*$B759))),RAND())</f>
        <v>2</v>
      </c>
      <c r="I759" s="0" t="n">
        <f aca="false">6*D759+(D759-E759-G759)+2*F759+3*H759</f>
        <v>20</v>
      </c>
      <c r="J759" s="0" t="n">
        <f aca="true">CRITBINOM($C759,MIN(0.75,Matchup!$C$39*$B759),RAND())</f>
        <v>3</v>
      </c>
      <c r="K759" s="0" t="n">
        <f aca="true">CRITBINOM(J759,Coefficients!$B$30,RAND())</f>
        <v>1</v>
      </c>
      <c r="L759" s="0" t="n">
        <f aca="true">CRITBINOM(K759,Coefficients!$B$31,RAND())</f>
        <v>1</v>
      </c>
      <c r="M759" s="0" t="n">
        <f aca="true">CRITBINOM(MAX(0,J759-K759),1-Coefficients!$B$32,RAND())</f>
        <v>0</v>
      </c>
      <c r="N759" s="0" t="n">
        <f aca="true">CRITBINOM(MAX(0,$C759-J759),MIN(0.6,Matchup!$C$40*SQRT($B759)/(1-MIN(0.75,Matchup!$C$39*$B759))),RAND())</f>
        <v>0</v>
      </c>
      <c r="O759" s="0" t="n">
        <f aca="false">6*J759+(J759-K759-M759)+2*L759+3*N759</f>
        <v>22</v>
      </c>
      <c r="P759" s="0" t="n">
        <f aca="true">RAND()</f>
        <v>0.246572385136227</v>
      </c>
      <c r="Q759" s="0" t="n">
        <f aca="true">RAND()</f>
        <v>0.120780582255041</v>
      </c>
      <c r="R759" s="0" t="n">
        <f aca="false">IF($I759&lt;&gt;$O759,0,IF(P759&lt;Matchup!$B$39,7,IF(P759&lt;Matchup!$B$39+Matchup!$B$40,3,0)))</f>
        <v>0</v>
      </c>
      <c r="S759" s="0" t="n">
        <f aca="false">IF($I759&lt;&gt;$O759,0,IF(Q759&lt;Matchup!$C$39,7,IF(Q759&lt;Matchup!$C$39+Matchup!$C$40,3,0)))</f>
        <v>0</v>
      </c>
      <c r="T759" s="0" t="n">
        <f aca="false">I759+R759</f>
        <v>20</v>
      </c>
      <c r="U759" s="0" t="n">
        <f aca="false">O759+S759</f>
        <v>22</v>
      </c>
      <c r="V759" s="0" t="n">
        <f aca="false">T759-U759</f>
        <v>-2</v>
      </c>
      <c r="W759" s="0" t="n">
        <f aca="false">T759+U759</f>
        <v>42</v>
      </c>
    </row>
    <row r="760" customFormat="false" ht="15" hidden="false" customHeight="false" outlineLevel="0" collapsed="false">
      <c r="A760" s="0" t="n">
        <v>757</v>
      </c>
      <c r="B760" s="0" t="n">
        <f aca="true">NORMINV(RAND(),1,Coefficients!$B$22)</f>
        <v>0.922657710488793</v>
      </c>
      <c r="C760" s="0" t="n">
        <f aca="true">MEDIAN(8,16,ROUND(NORMINV(RAND(),Coefficients!$B$20,Coefficients!$B$21),0))</f>
        <v>13</v>
      </c>
      <c r="D760" s="0" t="n">
        <f aca="true">CRITBINOM($C760,MIN(0.75,Matchup!$B$39*$B760),RAND())</f>
        <v>1</v>
      </c>
      <c r="E760" s="0" t="n">
        <f aca="true">CRITBINOM(D760,Coefficients!$B$30,RAND())</f>
        <v>0</v>
      </c>
      <c r="F760" s="0" t="n">
        <f aca="true">CRITBINOM(E760,Coefficients!$B$31,RAND())</f>
        <v>0</v>
      </c>
      <c r="G760" s="0" t="n">
        <f aca="true">CRITBINOM(MAX(0,D760-E760),1-Coefficients!$B$32,RAND())</f>
        <v>0</v>
      </c>
      <c r="H760" s="0" t="n">
        <f aca="true">CRITBINOM(MAX(0,$C760-D760),MIN(0.6,Matchup!$B$40*SQRT($B760)/(1-MIN(0.75,Matchup!$B$39*$B760))),RAND())</f>
        <v>1</v>
      </c>
      <c r="I760" s="0" t="n">
        <f aca="false">6*D760+(D760-E760-G760)+2*F760+3*H760</f>
        <v>10</v>
      </c>
      <c r="J760" s="0" t="n">
        <f aca="true">CRITBINOM($C760,MIN(0.75,Matchup!$C$39*$B760),RAND())</f>
        <v>4</v>
      </c>
      <c r="K760" s="0" t="n">
        <f aca="true">CRITBINOM(J760,Coefficients!$B$30,RAND())</f>
        <v>0</v>
      </c>
      <c r="L760" s="0" t="n">
        <f aca="true">CRITBINOM(K760,Coefficients!$B$31,RAND())</f>
        <v>0</v>
      </c>
      <c r="M760" s="0" t="n">
        <f aca="true">CRITBINOM(MAX(0,J760-K760),1-Coefficients!$B$32,RAND())</f>
        <v>0</v>
      </c>
      <c r="N760" s="0" t="n">
        <f aca="true">CRITBINOM(MAX(0,$C760-J760),MIN(0.6,Matchup!$C$40*SQRT($B760)/(1-MIN(0.75,Matchup!$C$39*$B760))),RAND())</f>
        <v>2</v>
      </c>
      <c r="O760" s="0" t="n">
        <f aca="false">6*J760+(J760-K760-M760)+2*L760+3*N760</f>
        <v>34</v>
      </c>
      <c r="P760" s="0" t="n">
        <f aca="true">RAND()</f>
        <v>0.179850512267607</v>
      </c>
      <c r="Q760" s="0" t="n">
        <f aca="true">RAND()</f>
        <v>0.508699979022993</v>
      </c>
      <c r="R760" s="0" t="n">
        <f aca="false">IF($I760&lt;&gt;$O760,0,IF(P760&lt;Matchup!$B$39,7,IF(P760&lt;Matchup!$B$39+Matchup!$B$40,3,0)))</f>
        <v>0</v>
      </c>
      <c r="S760" s="0" t="n">
        <f aca="false">IF($I760&lt;&gt;$O760,0,IF(Q760&lt;Matchup!$C$39,7,IF(Q760&lt;Matchup!$C$39+Matchup!$C$40,3,0)))</f>
        <v>0</v>
      </c>
      <c r="T760" s="0" t="n">
        <f aca="false">I760+R760</f>
        <v>10</v>
      </c>
      <c r="U760" s="0" t="n">
        <f aca="false">O760+S760</f>
        <v>34</v>
      </c>
      <c r="V760" s="0" t="n">
        <f aca="false">T760-U760</f>
        <v>-24</v>
      </c>
      <c r="W760" s="0" t="n">
        <f aca="false">T760+U760</f>
        <v>44</v>
      </c>
    </row>
    <row r="761" customFormat="false" ht="15" hidden="false" customHeight="false" outlineLevel="0" collapsed="false">
      <c r="A761" s="0" t="n">
        <v>758</v>
      </c>
      <c r="B761" s="0" t="n">
        <f aca="true">NORMINV(RAND(),1,Coefficients!$B$22)</f>
        <v>0.730561876399381</v>
      </c>
      <c r="C761" s="0" t="n">
        <f aca="true">MEDIAN(8,16,ROUND(NORMINV(RAND(),Coefficients!$B$20,Coefficients!$B$21),0))</f>
        <v>13</v>
      </c>
      <c r="D761" s="0" t="n">
        <f aca="true">CRITBINOM($C761,MIN(0.75,Matchup!$B$39*$B761),RAND())</f>
        <v>4</v>
      </c>
      <c r="E761" s="0" t="n">
        <f aca="true">CRITBINOM(D761,Coefficients!$B$30,RAND())</f>
        <v>0</v>
      </c>
      <c r="F761" s="0" t="n">
        <f aca="true">CRITBINOM(E761,Coefficients!$B$31,RAND())</f>
        <v>0</v>
      </c>
      <c r="G761" s="0" t="n">
        <f aca="true">CRITBINOM(MAX(0,D761-E761),1-Coefficients!$B$32,RAND())</f>
        <v>0</v>
      </c>
      <c r="H761" s="0" t="n">
        <f aca="true">CRITBINOM(MAX(0,$C761-D761),MIN(0.6,Matchup!$B$40*SQRT($B761)/(1-MIN(0.75,Matchup!$B$39*$B761))),RAND())</f>
        <v>1</v>
      </c>
      <c r="I761" s="0" t="n">
        <f aca="false">6*D761+(D761-E761-G761)+2*F761+3*H761</f>
        <v>31</v>
      </c>
      <c r="J761" s="0" t="n">
        <f aca="true">CRITBINOM($C761,MIN(0.75,Matchup!$C$39*$B761),RAND())</f>
        <v>2</v>
      </c>
      <c r="K761" s="0" t="n">
        <f aca="true">CRITBINOM(J761,Coefficients!$B$30,RAND())</f>
        <v>0</v>
      </c>
      <c r="L761" s="0" t="n">
        <f aca="true">CRITBINOM(K761,Coefficients!$B$31,RAND())</f>
        <v>0</v>
      </c>
      <c r="M761" s="0" t="n">
        <f aca="true">CRITBINOM(MAX(0,J761-K761),1-Coefficients!$B$32,RAND())</f>
        <v>0</v>
      </c>
      <c r="N761" s="0" t="n">
        <f aca="true">CRITBINOM(MAX(0,$C761-J761),MIN(0.6,Matchup!$C$40*SQRT($B761)/(1-MIN(0.75,Matchup!$C$39*$B761))),RAND())</f>
        <v>3</v>
      </c>
      <c r="O761" s="0" t="n">
        <f aca="false">6*J761+(J761-K761-M761)+2*L761+3*N761</f>
        <v>23</v>
      </c>
      <c r="P761" s="0" t="n">
        <f aca="true">RAND()</f>
        <v>0.542642948970133</v>
      </c>
      <c r="Q761" s="0" t="n">
        <f aca="true">RAND()</f>
        <v>0.425125222917348</v>
      </c>
      <c r="R761" s="0" t="n">
        <f aca="false">IF($I761&lt;&gt;$O761,0,IF(P761&lt;Matchup!$B$39,7,IF(P761&lt;Matchup!$B$39+Matchup!$B$40,3,0)))</f>
        <v>0</v>
      </c>
      <c r="S761" s="0" t="n">
        <f aca="false">IF($I761&lt;&gt;$O761,0,IF(Q761&lt;Matchup!$C$39,7,IF(Q761&lt;Matchup!$C$39+Matchup!$C$40,3,0)))</f>
        <v>0</v>
      </c>
      <c r="T761" s="0" t="n">
        <f aca="false">I761+R761</f>
        <v>31</v>
      </c>
      <c r="U761" s="0" t="n">
        <f aca="false">O761+S761</f>
        <v>23</v>
      </c>
      <c r="V761" s="0" t="n">
        <f aca="false">T761-U761</f>
        <v>8</v>
      </c>
      <c r="W761" s="0" t="n">
        <f aca="false">T761+U761</f>
        <v>54</v>
      </c>
    </row>
    <row r="762" customFormat="false" ht="15" hidden="false" customHeight="false" outlineLevel="0" collapsed="false">
      <c r="A762" s="0" t="n">
        <v>759</v>
      </c>
      <c r="B762" s="0" t="n">
        <f aca="true">NORMINV(RAND(),1,Coefficients!$B$22)</f>
        <v>0.972915825909543</v>
      </c>
      <c r="C762" s="0" t="n">
        <f aca="true">MEDIAN(8,16,ROUND(NORMINV(RAND(),Coefficients!$B$20,Coefficients!$B$21),0))</f>
        <v>12</v>
      </c>
      <c r="D762" s="0" t="n">
        <f aca="true">CRITBINOM($C762,MIN(0.75,Matchup!$B$39*$B762),RAND())</f>
        <v>2</v>
      </c>
      <c r="E762" s="0" t="n">
        <f aca="true">CRITBINOM(D762,Coefficients!$B$30,RAND())</f>
        <v>0</v>
      </c>
      <c r="F762" s="0" t="n">
        <f aca="true">CRITBINOM(E762,Coefficients!$B$31,RAND())</f>
        <v>0</v>
      </c>
      <c r="G762" s="0" t="n">
        <f aca="true">CRITBINOM(MAX(0,D762-E762),1-Coefficients!$B$32,RAND())</f>
        <v>0</v>
      </c>
      <c r="H762" s="0" t="n">
        <f aca="true">CRITBINOM(MAX(0,$C762-D762),MIN(0.6,Matchup!$B$40*SQRT($B762)/(1-MIN(0.75,Matchup!$B$39*$B762))),RAND())</f>
        <v>3</v>
      </c>
      <c r="I762" s="0" t="n">
        <f aca="false">6*D762+(D762-E762-G762)+2*F762+3*H762</f>
        <v>23</v>
      </c>
      <c r="J762" s="0" t="n">
        <f aca="true">CRITBINOM($C762,MIN(0.75,Matchup!$C$39*$B762),RAND())</f>
        <v>4</v>
      </c>
      <c r="K762" s="0" t="n">
        <f aca="true">CRITBINOM(J762,Coefficients!$B$30,RAND())</f>
        <v>0</v>
      </c>
      <c r="L762" s="0" t="n">
        <f aca="true">CRITBINOM(K762,Coefficients!$B$31,RAND())</f>
        <v>0</v>
      </c>
      <c r="M762" s="0" t="n">
        <f aca="true">CRITBINOM(MAX(0,J762-K762),1-Coefficients!$B$32,RAND())</f>
        <v>0</v>
      </c>
      <c r="N762" s="0" t="n">
        <f aca="true">CRITBINOM(MAX(0,$C762-J762),MIN(0.6,Matchup!$C$40*SQRT($B762)/(1-MIN(0.75,Matchup!$C$39*$B762))),RAND())</f>
        <v>0</v>
      </c>
      <c r="O762" s="0" t="n">
        <f aca="false">6*J762+(J762-K762-M762)+2*L762+3*N762</f>
        <v>28</v>
      </c>
      <c r="P762" s="0" t="n">
        <f aca="true">RAND()</f>
        <v>0.628659109222497</v>
      </c>
      <c r="Q762" s="0" t="n">
        <f aca="true">RAND()</f>
        <v>0.348686150758353</v>
      </c>
      <c r="R762" s="0" t="n">
        <f aca="false">IF($I762&lt;&gt;$O762,0,IF(P762&lt;Matchup!$B$39,7,IF(P762&lt;Matchup!$B$39+Matchup!$B$40,3,0)))</f>
        <v>0</v>
      </c>
      <c r="S762" s="0" t="n">
        <f aca="false">IF($I762&lt;&gt;$O762,0,IF(Q762&lt;Matchup!$C$39,7,IF(Q762&lt;Matchup!$C$39+Matchup!$C$40,3,0)))</f>
        <v>0</v>
      </c>
      <c r="T762" s="0" t="n">
        <f aca="false">I762+R762</f>
        <v>23</v>
      </c>
      <c r="U762" s="0" t="n">
        <f aca="false">O762+S762</f>
        <v>28</v>
      </c>
      <c r="V762" s="0" t="n">
        <f aca="false">T762-U762</f>
        <v>-5</v>
      </c>
      <c r="W762" s="0" t="n">
        <f aca="false">T762+U762</f>
        <v>51</v>
      </c>
    </row>
    <row r="763" customFormat="false" ht="15" hidden="false" customHeight="false" outlineLevel="0" collapsed="false">
      <c r="A763" s="0" t="n">
        <v>760</v>
      </c>
      <c r="B763" s="0" t="n">
        <f aca="true">NORMINV(RAND(),1,Coefficients!$B$22)</f>
        <v>1.04300625522629</v>
      </c>
      <c r="C763" s="0" t="n">
        <f aca="true">MEDIAN(8,16,ROUND(NORMINV(RAND(),Coefficients!$B$20,Coefficients!$B$21),0))</f>
        <v>10</v>
      </c>
      <c r="D763" s="0" t="n">
        <f aca="true">CRITBINOM($C763,MIN(0.75,Matchup!$B$39*$B763),RAND())</f>
        <v>3</v>
      </c>
      <c r="E763" s="0" t="n">
        <f aca="true">CRITBINOM(D763,Coefficients!$B$30,RAND())</f>
        <v>0</v>
      </c>
      <c r="F763" s="0" t="n">
        <f aca="true">CRITBINOM(E763,Coefficients!$B$31,RAND())</f>
        <v>0</v>
      </c>
      <c r="G763" s="0" t="n">
        <f aca="true">CRITBINOM(MAX(0,D763-E763),1-Coefficients!$B$32,RAND())</f>
        <v>0</v>
      </c>
      <c r="H763" s="0" t="n">
        <f aca="true">CRITBINOM(MAX(0,$C763-D763),MIN(0.6,Matchup!$B$40*SQRT($B763)/(1-MIN(0.75,Matchup!$B$39*$B763))),RAND())</f>
        <v>2</v>
      </c>
      <c r="I763" s="0" t="n">
        <f aca="false">6*D763+(D763-E763-G763)+2*F763+3*H763</f>
        <v>27</v>
      </c>
      <c r="J763" s="0" t="n">
        <f aca="true">CRITBINOM($C763,MIN(0.75,Matchup!$C$39*$B763),RAND())</f>
        <v>0</v>
      </c>
      <c r="K763" s="0" t="n">
        <f aca="true">CRITBINOM(J763,Coefficients!$B$30,RAND())</f>
        <v>0</v>
      </c>
      <c r="L763" s="0" t="n">
        <f aca="true">CRITBINOM(K763,Coefficients!$B$31,RAND())</f>
        <v>0</v>
      </c>
      <c r="M763" s="0" t="n">
        <f aca="true">CRITBINOM(MAX(0,J763-K763),1-Coefficients!$B$32,RAND())</f>
        <v>0</v>
      </c>
      <c r="N763" s="0" t="n">
        <f aca="true">CRITBINOM(MAX(0,$C763-J763),MIN(0.6,Matchup!$C$40*SQRT($B763)/(1-MIN(0.75,Matchup!$C$39*$B763))),RAND())</f>
        <v>2</v>
      </c>
      <c r="O763" s="0" t="n">
        <f aca="false">6*J763+(J763-K763-M763)+2*L763+3*N763</f>
        <v>6</v>
      </c>
      <c r="P763" s="0" t="n">
        <f aca="true">RAND()</f>
        <v>0.15632077634648</v>
      </c>
      <c r="Q763" s="0" t="n">
        <f aca="true">RAND()</f>
        <v>0.657244964207487</v>
      </c>
      <c r="R763" s="0" t="n">
        <f aca="false">IF($I763&lt;&gt;$O763,0,IF(P763&lt;Matchup!$B$39,7,IF(P763&lt;Matchup!$B$39+Matchup!$B$40,3,0)))</f>
        <v>0</v>
      </c>
      <c r="S763" s="0" t="n">
        <f aca="false">IF($I763&lt;&gt;$O763,0,IF(Q763&lt;Matchup!$C$39,7,IF(Q763&lt;Matchup!$C$39+Matchup!$C$40,3,0)))</f>
        <v>0</v>
      </c>
      <c r="T763" s="0" t="n">
        <f aca="false">I763+R763</f>
        <v>27</v>
      </c>
      <c r="U763" s="0" t="n">
        <f aca="false">O763+S763</f>
        <v>6</v>
      </c>
      <c r="V763" s="0" t="n">
        <f aca="false">T763-U763</f>
        <v>21</v>
      </c>
      <c r="W763" s="0" t="n">
        <f aca="false">T763+U763</f>
        <v>33</v>
      </c>
    </row>
    <row r="764" customFormat="false" ht="15" hidden="false" customHeight="false" outlineLevel="0" collapsed="false">
      <c r="A764" s="0" t="n">
        <v>761</v>
      </c>
      <c r="B764" s="0" t="n">
        <f aca="true">NORMINV(RAND(),1,Coefficients!$B$22)</f>
        <v>0.910468227226731</v>
      </c>
      <c r="C764" s="0" t="n">
        <f aca="true">MEDIAN(8,16,ROUND(NORMINV(RAND(),Coefficients!$B$20,Coefficients!$B$21),0))</f>
        <v>12</v>
      </c>
      <c r="D764" s="0" t="n">
        <f aca="true">CRITBINOM($C764,MIN(0.75,Matchup!$B$39*$B764),RAND())</f>
        <v>3</v>
      </c>
      <c r="E764" s="0" t="n">
        <f aca="true">CRITBINOM(D764,Coefficients!$B$30,RAND())</f>
        <v>0</v>
      </c>
      <c r="F764" s="0" t="n">
        <f aca="true">CRITBINOM(E764,Coefficients!$B$31,RAND())</f>
        <v>0</v>
      </c>
      <c r="G764" s="0" t="n">
        <f aca="true">CRITBINOM(MAX(0,D764-E764),1-Coefficients!$B$32,RAND())</f>
        <v>0</v>
      </c>
      <c r="H764" s="0" t="n">
        <f aca="true">CRITBINOM(MAX(0,$C764-D764),MIN(0.6,Matchup!$B$40*SQRT($B764)/(1-MIN(0.75,Matchup!$B$39*$B764))),RAND())</f>
        <v>3</v>
      </c>
      <c r="I764" s="0" t="n">
        <f aca="false">6*D764+(D764-E764-G764)+2*F764+3*H764</f>
        <v>30</v>
      </c>
      <c r="J764" s="0" t="n">
        <f aca="true">CRITBINOM($C764,MIN(0.75,Matchup!$C$39*$B764),RAND())</f>
        <v>3</v>
      </c>
      <c r="K764" s="0" t="n">
        <f aca="true">CRITBINOM(J764,Coefficients!$B$30,RAND())</f>
        <v>1</v>
      </c>
      <c r="L764" s="0" t="n">
        <f aca="true">CRITBINOM(K764,Coefficients!$B$31,RAND())</f>
        <v>0</v>
      </c>
      <c r="M764" s="0" t="n">
        <f aca="true">CRITBINOM(MAX(0,J764-K764),1-Coefficients!$B$32,RAND())</f>
        <v>0</v>
      </c>
      <c r="N764" s="0" t="n">
        <f aca="true">CRITBINOM(MAX(0,$C764-J764),MIN(0.6,Matchup!$C$40*SQRT($B764)/(1-MIN(0.75,Matchup!$C$39*$B764))),RAND())</f>
        <v>3</v>
      </c>
      <c r="O764" s="0" t="n">
        <f aca="false">6*J764+(J764-K764-M764)+2*L764+3*N764</f>
        <v>29</v>
      </c>
      <c r="P764" s="0" t="n">
        <f aca="true">RAND()</f>
        <v>0.916103252369454</v>
      </c>
      <c r="Q764" s="0" t="n">
        <f aca="true">RAND()</f>
        <v>0.0684151254722324</v>
      </c>
      <c r="R764" s="0" t="n">
        <f aca="false">IF($I764&lt;&gt;$O764,0,IF(P764&lt;Matchup!$B$39,7,IF(P764&lt;Matchup!$B$39+Matchup!$B$40,3,0)))</f>
        <v>0</v>
      </c>
      <c r="S764" s="0" t="n">
        <f aca="false">IF($I764&lt;&gt;$O764,0,IF(Q764&lt;Matchup!$C$39,7,IF(Q764&lt;Matchup!$C$39+Matchup!$C$40,3,0)))</f>
        <v>0</v>
      </c>
      <c r="T764" s="0" t="n">
        <f aca="false">I764+R764</f>
        <v>30</v>
      </c>
      <c r="U764" s="0" t="n">
        <f aca="false">O764+S764</f>
        <v>29</v>
      </c>
      <c r="V764" s="0" t="n">
        <f aca="false">T764-U764</f>
        <v>1</v>
      </c>
      <c r="W764" s="0" t="n">
        <f aca="false">T764+U764</f>
        <v>59</v>
      </c>
    </row>
    <row r="765" customFormat="false" ht="15" hidden="false" customHeight="false" outlineLevel="0" collapsed="false">
      <c r="A765" s="0" t="n">
        <v>762</v>
      </c>
      <c r="B765" s="0" t="n">
        <f aca="true">NORMINV(RAND(),1,Coefficients!$B$22)</f>
        <v>0.987576120209681</v>
      </c>
      <c r="C765" s="0" t="n">
        <f aca="true">MEDIAN(8,16,ROUND(NORMINV(RAND(),Coefficients!$B$20,Coefficients!$B$21),0))</f>
        <v>11</v>
      </c>
      <c r="D765" s="0" t="n">
        <f aca="true">CRITBINOM($C765,MIN(0.75,Matchup!$B$39*$B765),RAND())</f>
        <v>3</v>
      </c>
      <c r="E765" s="0" t="n">
        <f aca="true">CRITBINOM(D765,Coefficients!$B$30,RAND())</f>
        <v>0</v>
      </c>
      <c r="F765" s="0" t="n">
        <f aca="true">CRITBINOM(E765,Coefficients!$B$31,RAND())</f>
        <v>0</v>
      </c>
      <c r="G765" s="0" t="n">
        <f aca="true">CRITBINOM(MAX(0,D765-E765),1-Coefficients!$B$32,RAND())</f>
        <v>0</v>
      </c>
      <c r="H765" s="0" t="n">
        <f aca="true">CRITBINOM(MAX(0,$C765-D765),MIN(0.6,Matchup!$B$40*SQRT($B765)/(1-MIN(0.75,Matchup!$B$39*$B765))),RAND())</f>
        <v>0</v>
      </c>
      <c r="I765" s="0" t="n">
        <f aca="false">6*D765+(D765-E765-G765)+2*F765+3*H765</f>
        <v>21</v>
      </c>
      <c r="J765" s="0" t="n">
        <f aca="true">CRITBINOM($C765,MIN(0.75,Matchup!$C$39*$B765),RAND())</f>
        <v>1</v>
      </c>
      <c r="K765" s="0" t="n">
        <f aca="true">CRITBINOM(J765,Coefficients!$B$30,RAND())</f>
        <v>0</v>
      </c>
      <c r="L765" s="0" t="n">
        <f aca="true">CRITBINOM(K765,Coefficients!$B$31,RAND())</f>
        <v>0</v>
      </c>
      <c r="M765" s="0" t="n">
        <f aca="true">CRITBINOM(MAX(0,J765-K765),1-Coefficients!$B$32,RAND())</f>
        <v>1</v>
      </c>
      <c r="N765" s="0" t="n">
        <f aca="true">CRITBINOM(MAX(0,$C765-J765),MIN(0.6,Matchup!$C$40*SQRT($B765)/(1-MIN(0.75,Matchup!$C$39*$B765))),RAND())</f>
        <v>2</v>
      </c>
      <c r="O765" s="0" t="n">
        <f aca="false">6*J765+(J765-K765-M765)+2*L765+3*N765</f>
        <v>12</v>
      </c>
      <c r="P765" s="0" t="n">
        <f aca="true">RAND()</f>
        <v>0.6513245357721</v>
      </c>
      <c r="Q765" s="0" t="n">
        <f aca="true">RAND()</f>
        <v>0.784786500060517</v>
      </c>
      <c r="R765" s="0" t="n">
        <f aca="false">IF($I765&lt;&gt;$O765,0,IF(P765&lt;Matchup!$B$39,7,IF(P765&lt;Matchup!$B$39+Matchup!$B$40,3,0)))</f>
        <v>0</v>
      </c>
      <c r="S765" s="0" t="n">
        <f aca="false">IF($I765&lt;&gt;$O765,0,IF(Q765&lt;Matchup!$C$39,7,IF(Q765&lt;Matchup!$C$39+Matchup!$C$40,3,0)))</f>
        <v>0</v>
      </c>
      <c r="T765" s="0" t="n">
        <f aca="false">I765+R765</f>
        <v>21</v>
      </c>
      <c r="U765" s="0" t="n">
        <f aca="false">O765+S765</f>
        <v>12</v>
      </c>
      <c r="V765" s="0" t="n">
        <f aca="false">T765-U765</f>
        <v>9</v>
      </c>
      <c r="W765" s="0" t="n">
        <f aca="false">T765+U765</f>
        <v>33</v>
      </c>
    </row>
    <row r="766" customFormat="false" ht="15" hidden="false" customHeight="false" outlineLevel="0" collapsed="false">
      <c r="A766" s="0" t="n">
        <v>763</v>
      </c>
      <c r="B766" s="0" t="n">
        <f aca="true">NORMINV(RAND(),1,Coefficients!$B$22)</f>
        <v>0.927990014329314</v>
      </c>
      <c r="C766" s="0" t="n">
        <f aca="true">MEDIAN(8,16,ROUND(NORMINV(RAND(),Coefficients!$B$20,Coefficients!$B$21),0))</f>
        <v>11</v>
      </c>
      <c r="D766" s="0" t="n">
        <f aca="true">CRITBINOM($C766,MIN(0.75,Matchup!$B$39*$B766),RAND())</f>
        <v>4</v>
      </c>
      <c r="E766" s="0" t="n">
        <f aca="true">CRITBINOM(D766,Coefficients!$B$30,RAND())</f>
        <v>0</v>
      </c>
      <c r="F766" s="0" t="n">
        <f aca="true">CRITBINOM(E766,Coefficients!$B$31,RAND())</f>
        <v>0</v>
      </c>
      <c r="G766" s="0" t="n">
        <f aca="true">CRITBINOM(MAX(0,D766-E766),1-Coefficients!$B$32,RAND())</f>
        <v>1</v>
      </c>
      <c r="H766" s="0" t="n">
        <f aca="true">CRITBINOM(MAX(0,$C766-D766),MIN(0.6,Matchup!$B$40*SQRT($B766)/(1-MIN(0.75,Matchup!$B$39*$B766))),RAND())</f>
        <v>0</v>
      </c>
      <c r="I766" s="0" t="n">
        <f aca="false">6*D766+(D766-E766-G766)+2*F766+3*H766</f>
        <v>27</v>
      </c>
      <c r="J766" s="0" t="n">
        <f aca="true">CRITBINOM($C766,MIN(0.75,Matchup!$C$39*$B766),RAND())</f>
        <v>0</v>
      </c>
      <c r="K766" s="0" t="n">
        <f aca="true">CRITBINOM(J766,Coefficients!$B$30,RAND())</f>
        <v>0</v>
      </c>
      <c r="L766" s="0" t="n">
        <f aca="true">CRITBINOM(K766,Coefficients!$B$31,RAND())</f>
        <v>0</v>
      </c>
      <c r="M766" s="0" t="n">
        <f aca="true">CRITBINOM(MAX(0,J766-K766),1-Coefficients!$B$32,RAND())</f>
        <v>0</v>
      </c>
      <c r="N766" s="0" t="n">
        <f aca="true">CRITBINOM(MAX(0,$C766-J766),MIN(0.6,Matchup!$C$40*SQRT($B766)/(1-MIN(0.75,Matchup!$C$39*$B766))),RAND())</f>
        <v>1</v>
      </c>
      <c r="O766" s="0" t="n">
        <f aca="false">6*J766+(J766-K766-M766)+2*L766+3*N766</f>
        <v>3</v>
      </c>
      <c r="P766" s="0" t="n">
        <f aca="true">RAND()</f>
        <v>0.684481672976858</v>
      </c>
      <c r="Q766" s="0" t="n">
        <f aca="true">RAND()</f>
        <v>0.906292613994533</v>
      </c>
      <c r="R766" s="0" t="n">
        <f aca="false">IF($I766&lt;&gt;$O766,0,IF(P766&lt;Matchup!$B$39,7,IF(P766&lt;Matchup!$B$39+Matchup!$B$40,3,0)))</f>
        <v>0</v>
      </c>
      <c r="S766" s="0" t="n">
        <f aca="false">IF($I766&lt;&gt;$O766,0,IF(Q766&lt;Matchup!$C$39,7,IF(Q766&lt;Matchup!$C$39+Matchup!$C$40,3,0)))</f>
        <v>0</v>
      </c>
      <c r="T766" s="0" t="n">
        <f aca="false">I766+R766</f>
        <v>27</v>
      </c>
      <c r="U766" s="0" t="n">
        <f aca="false">O766+S766</f>
        <v>3</v>
      </c>
      <c r="V766" s="0" t="n">
        <f aca="false">T766-U766</f>
        <v>24</v>
      </c>
      <c r="W766" s="0" t="n">
        <f aca="false">T766+U766</f>
        <v>30</v>
      </c>
    </row>
    <row r="767" customFormat="false" ht="15" hidden="false" customHeight="false" outlineLevel="0" collapsed="false">
      <c r="A767" s="0" t="n">
        <v>764</v>
      </c>
      <c r="B767" s="0" t="n">
        <f aca="true">NORMINV(RAND(),1,Coefficients!$B$22)</f>
        <v>0.91374309573093</v>
      </c>
      <c r="C767" s="0" t="n">
        <f aca="true">MEDIAN(8,16,ROUND(NORMINV(RAND(),Coefficients!$B$20,Coefficients!$B$21),0))</f>
        <v>11</v>
      </c>
      <c r="D767" s="0" t="n">
        <f aca="true">CRITBINOM($C767,MIN(0.75,Matchup!$B$39*$B767),RAND())</f>
        <v>2</v>
      </c>
      <c r="E767" s="0" t="n">
        <f aca="true">CRITBINOM(D767,Coefficients!$B$30,RAND())</f>
        <v>0</v>
      </c>
      <c r="F767" s="0" t="n">
        <f aca="true">CRITBINOM(E767,Coefficients!$B$31,RAND())</f>
        <v>0</v>
      </c>
      <c r="G767" s="0" t="n">
        <f aca="true">CRITBINOM(MAX(0,D767-E767),1-Coefficients!$B$32,RAND())</f>
        <v>0</v>
      </c>
      <c r="H767" s="0" t="n">
        <f aca="true">CRITBINOM(MAX(0,$C767-D767),MIN(0.6,Matchup!$B$40*SQRT($B767)/(1-MIN(0.75,Matchup!$B$39*$B767))),RAND())</f>
        <v>2</v>
      </c>
      <c r="I767" s="0" t="n">
        <f aca="false">6*D767+(D767-E767-G767)+2*F767+3*H767</f>
        <v>20</v>
      </c>
      <c r="J767" s="0" t="n">
        <f aca="true">CRITBINOM($C767,MIN(0.75,Matchup!$C$39*$B767),RAND())</f>
        <v>2</v>
      </c>
      <c r="K767" s="0" t="n">
        <f aca="true">CRITBINOM(J767,Coefficients!$B$30,RAND())</f>
        <v>0</v>
      </c>
      <c r="L767" s="0" t="n">
        <f aca="true">CRITBINOM(K767,Coefficients!$B$31,RAND())</f>
        <v>0</v>
      </c>
      <c r="M767" s="0" t="n">
        <f aca="true">CRITBINOM(MAX(0,J767-K767),1-Coefficients!$B$32,RAND())</f>
        <v>0</v>
      </c>
      <c r="N767" s="0" t="n">
        <f aca="true">CRITBINOM(MAX(0,$C767-J767),MIN(0.6,Matchup!$C$40*SQRT($B767)/(1-MIN(0.75,Matchup!$C$39*$B767))),RAND())</f>
        <v>1</v>
      </c>
      <c r="O767" s="0" t="n">
        <f aca="false">6*J767+(J767-K767-M767)+2*L767+3*N767</f>
        <v>17</v>
      </c>
      <c r="P767" s="0" t="n">
        <f aca="true">RAND()</f>
        <v>0.828404015360873</v>
      </c>
      <c r="Q767" s="0" t="n">
        <f aca="true">RAND()</f>
        <v>0.0910412359166723</v>
      </c>
      <c r="R767" s="0" t="n">
        <f aca="false">IF($I767&lt;&gt;$O767,0,IF(P767&lt;Matchup!$B$39,7,IF(P767&lt;Matchup!$B$39+Matchup!$B$40,3,0)))</f>
        <v>0</v>
      </c>
      <c r="S767" s="0" t="n">
        <f aca="false">IF($I767&lt;&gt;$O767,0,IF(Q767&lt;Matchup!$C$39,7,IF(Q767&lt;Matchup!$C$39+Matchup!$C$40,3,0)))</f>
        <v>0</v>
      </c>
      <c r="T767" s="0" t="n">
        <f aca="false">I767+R767</f>
        <v>20</v>
      </c>
      <c r="U767" s="0" t="n">
        <f aca="false">O767+S767</f>
        <v>17</v>
      </c>
      <c r="V767" s="0" t="n">
        <f aca="false">T767-U767</f>
        <v>3</v>
      </c>
      <c r="W767" s="0" t="n">
        <f aca="false">T767+U767</f>
        <v>37</v>
      </c>
    </row>
    <row r="768" customFormat="false" ht="15" hidden="false" customHeight="false" outlineLevel="0" collapsed="false">
      <c r="A768" s="0" t="n">
        <v>765</v>
      </c>
      <c r="B768" s="0" t="n">
        <f aca="true">NORMINV(RAND(),1,Coefficients!$B$22)</f>
        <v>0.935933690595595</v>
      </c>
      <c r="C768" s="0" t="n">
        <f aca="true">MEDIAN(8,16,ROUND(NORMINV(RAND(),Coefficients!$B$20,Coefficients!$B$21),0))</f>
        <v>13</v>
      </c>
      <c r="D768" s="0" t="n">
        <f aca="true">CRITBINOM($C768,MIN(0.75,Matchup!$B$39*$B768),RAND())</f>
        <v>3</v>
      </c>
      <c r="E768" s="0" t="n">
        <f aca="true">CRITBINOM(D768,Coefficients!$B$30,RAND())</f>
        <v>0</v>
      </c>
      <c r="F768" s="0" t="n">
        <f aca="true">CRITBINOM(E768,Coefficients!$B$31,RAND())</f>
        <v>0</v>
      </c>
      <c r="G768" s="0" t="n">
        <f aca="true">CRITBINOM(MAX(0,D768-E768),1-Coefficients!$B$32,RAND())</f>
        <v>0</v>
      </c>
      <c r="H768" s="0" t="n">
        <f aca="true">CRITBINOM(MAX(0,$C768-D768),MIN(0.6,Matchup!$B$40*SQRT($B768)/(1-MIN(0.75,Matchup!$B$39*$B768))),RAND())</f>
        <v>4</v>
      </c>
      <c r="I768" s="0" t="n">
        <f aca="false">6*D768+(D768-E768-G768)+2*F768+3*H768</f>
        <v>33</v>
      </c>
      <c r="J768" s="0" t="n">
        <f aca="true">CRITBINOM($C768,MIN(0.75,Matchup!$C$39*$B768),RAND())</f>
        <v>4</v>
      </c>
      <c r="K768" s="0" t="n">
        <f aca="true">CRITBINOM(J768,Coefficients!$B$30,RAND())</f>
        <v>2</v>
      </c>
      <c r="L768" s="0" t="n">
        <f aca="true">CRITBINOM(K768,Coefficients!$B$31,RAND())</f>
        <v>2</v>
      </c>
      <c r="M768" s="0" t="n">
        <f aca="true">CRITBINOM(MAX(0,J768-K768),1-Coefficients!$B$32,RAND())</f>
        <v>0</v>
      </c>
      <c r="N768" s="0" t="n">
        <f aca="true">CRITBINOM(MAX(0,$C768-J768),MIN(0.6,Matchup!$C$40*SQRT($B768)/(1-MIN(0.75,Matchup!$C$39*$B768))),RAND())</f>
        <v>3</v>
      </c>
      <c r="O768" s="0" t="n">
        <f aca="false">6*J768+(J768-K768-M768)+2*L768+3*N768</f>
        <v>39</v>
      </c>
      <c r="P768" s="0" t="n">
        <f aca="true">RAND()</f>
        <v>0.571671422936999</v>
      </c>
      <c r="Q768" s="0" t="n">
        <f aca="true">RAND()</f>
        <v>0.614274768636322</v>
      </c>
      <c r="R768" s="0" t="n">
        <f aca="false">IF($I768&lt;&gt;$O768,0,IF(P768&lt;Matchup!$B$39,7,IF(P768&lt;Matchup!$B$39+Matchup!$B$40,3,0)))</f>
        <v>0</v>
      </c>
      <c r="S768" s="0" t="n">
        <f aca="false">IF($I768&lt;&gt;$O768,0,IF(Q768&lt;Matchup!$C$39,7,IF(Q768&lt;Matchup!$C$39+Matchup!$C$40,3,0)))</f>
        <v>0</v>
      </c>
      <c r="T768" s="0" t="n">
        <f aca="false">I768+R768</f>
        <v>33</v>
      </c>
      <c r="U768" s="0" t="n">
        <f aca="false">O768+S768</f>
        <v>39</v>
      </c>
      <c r="V768" s="0" t="n">
        <f aca="false">T768-U768</f>
        <v>-6</v>
      </c>
      <c r="W768" s="0" t="n">
        <f aca="false">T768+U768</f>
        <v>72</v>
      </c>
    </row>
    <row r="769" customFormat="false" ht="15" hidden="false" customHeight="false" outlineLevel="0" collapsed="false">
      <c r="A769" s="0" t="n">
        <v>766</v>
      </c>
      <c r="B769" s="0" t="n">
        <f aca="true">NORMINV(RAND(),1,Coefficients!$B$22)</f>
        <v>1.05447511654347</v>
      </c>
      <c r="C769" s="0" t="n">
        <f aca="true">MEDIAN(8,16,ROUND(NORMINV(RAND(),Coefficients!$B$20,Coefficients!$B$21),0))</f>
        <v>11</v>
      </c>
      <c r="D769" s="0" t="n">
        <f aca="true">CRITBINOM($C769,MIN(0.75,Matchup!$B$39*$B769),RAND())</f>
        <v>3</v>
      </c>
      <c r="E769" s="0" t="n">
        <f aca="true">CRITBINOM(D769,Coefficients!$B$30,RAND())</f>
        <v>0</v>
      </c>
      <c r="F769" s="0" t="n">
        <f aca="true">CRITBINOM(E769,Coefficients!$B$31,RAND())</f>
        <v>0</v>
      </c>
      <c r="G769" s="0" t="n">
        <f aca="true">CRITBINOM(MAX(0,D769-E769),1-Coefficients!$B$32,RAND())</f>
        <v>0</v>
      </c>
      <c r="H769" s="0" t="n">
        <f aca="true">CRITBINOM(MAX(0,$C769-D769),MIN(0.6,Matchup!$B$40*SQRT($B769)/(1-MIN(0.75,Matchup!$B$39*$B769))),RAND())</f>
        <v>0</v>
      </c>
      <c r="I769" s="0" t="n">
        <f aca="false">6*D769+(D769-E769-G769)+2*F769+3*H769</f>
        <v>21</v>
      </c>
      <c r="J769" s="0" t="n">
        <f aca="true">CRITBINOM($C769,MIN(0.75,Matchup!$C$39*$B769),RAND())</f>
        <v>5</v>
      </c>
      <c r="K769" s="0" t="n">
        <f aca="true">CRITBINOM(J769,Coefficients!$B$30,RAND())</f>
        <v>0</v>
      </c>
      <c r="L769" s="0" t="n">
        <f aca="true">CRITBINOM(K769,Coefficients!$B$31,RAND())</f>
        <v>0</v>
      </c>
      <c r="M769" s="0" t="n">
        <f aca="true">CRITBINOM(MAX(0,J769-K769),1-Coefficients!$B$32,RAND())</f>
        <v>0</v>
      </c>
      <c r="N769" s="0" t="n">
        <f aca="true">CRITBINOM(MAX(0,$C769-J769),MIN(0.6,Matchup!$C$40*SQRT($B769)/(1-MIN(0.75,Matchup!$C$39*$B769))),RAND())</f>
        <v>1</v>
      </c>
      <c r="O769" s="0" t="n">
        <f aca="false">6*J769+(J769-K769-M769)+2*L769+3*N769</f>
        <v>38</v>
      </c>
      <c r="P769" s="0" t="n">
        <f aca="true">RAND()</f>
        <v>0.187711609413331</v>
      </c>
      <c r="Q769" s="0" t="n">
        <f aca="true">RAND()</f>
        <v>0.628386541108275</v>
      </c>
      <c r="R769" s="0" t="n">
        <f aca="false">IF($I769&lt;&gt;$O769,0,IF(P769&lt;Matchup!$B$39,7,IF(P769&lt;Matchup!$B$39+Matchup!$B$40,3,0)))</f>
        <v>0</v>
      </c>
      <c r="S769" s="0" t="n">
        <f aca="false">IF($I769&lt;&gt;$O769,0,IF(Q769&lt;Matchup!$C$39,7,IF(Q769&lt;Matchup!$C$39+Matchup!$C$40,3,0)))</f>
        <v>0</v>
      </c>
      <c r="T769" s="0" t="n">
        <f aca="false">I769+R769</f>
        <v>21</v>
      </c>
      <c r="U769" s="0" t="n">
        <f aca="false">O769+S769</f>
        <v>38</v>
      </c>
      <c r="V769" s="0" t="n">
        <f aca="false">T769-U769</f>
        <v>-17</v>
      </c>
      <c r="W769" s="0" t="n">
        <f aca="false">T769+U769</f>
        <v>59</v>
      </c>
    </row>
    <row r="770" customFormat="false" ht="15" hidden="false" customHeight="false" outlineLevel="0" collapsed="false">
      <c r="A770" s="0" t="n">
        <v>767</v>
      </c>
      <c r="B770" s="0" t="n">
        <f aca="true">NORMINV(RAND(),1,Coefficients!$B$22)</f>
        <v>1.0002158591272</v>
      </c>
      <c r="C770" s="0" t="n">
        <f aca="true">MEDIAN(8,16,ROUND(NORMINV(RAND(),Coefficients!$B$20,Coefficients!$B$21),0))</f>
        <v>9</v>
      </c>
      <c r="D770" s="0" t="n">
        <f aca="true">CRITBINOM($C770,MIN(0.75,Matchup!$B$39*$B770),RAND())</f>
        <v>1</v>
      </c>
      <c r="E770" s="0" t="n">
        <f aca="true">CRITBINOM(D770,Coefficients!$B$30,RAND())</f>
        <v>0</v>
      </c>
      <c r="F770" s="0" t="n">
        <f aca="true">CRITBINOM(E770,Coefficients!$B$31,RAND())</f>
        <v>0</v>
      </c>
      <c r="G770" s="0" t="n">
        <f aca="true">CRITBINOM(MAX(0,D770-E770),1-Coefficients!$B$32,RAND())</f>
        <v>0</v>
      </c>
      <c r="H770" s="0" t="n">
        <f aca="true">CRITBINOM(MAX(0,$C770-D770),MIN(0.6,Matchup!$B$40*SQRT($B770)/(1-MIN(0.75,Matchup!$B$39*$B770))),RAND())</f>
        <v>1</v>
      </c>
      <c r="I770" s="0" t="n">
        <f aca="false">6*D770+(D770-E770-G770)+2*F770+3*H770</f>
        <v>10</v>
      </c>
      <c r="J770" s="0" t="n">
        <f aca="true">CRITBINOM($C770,MIN(0.75,Matchup!$C$39*$B770),RAND())</f>
        <v>2</v>
      </c>
      <c r="K770" s="0" t="n">
        <f aca="true">CRITBINOM(J770,Coefficients!$B$30,RAND())</f>
        <v>1</v>
      </c>
      <c r="L770" s="0" t="n">
        <f aca="true">CRITBINOM(K770,Coefficients!$B$31,RAND())</f>
        <v>0</v>
      </c>
      <c r="M770" s="0" t="n">
        <f aca="true">CRITBINOM(MAX(0,J770-K770),1-Coefficients!$B$32,RAND())</f>
        <v>0</v>
      </c>
      <c r="N770" s="0" t="n">
        <f aca="true">CRITBINOM(MAX(0,$C770-J770),MIN(0.6,Matchup!$C$40*SQRT($B770)/(1-MIN(0.75,Matchup!$C$39*$B770))),RAND())</f>
        <v>0</v>
      </c>
      <c r="O770" s="0" t="n">
        <f aca="false">6*J770+(J770-K770-M770)+2*L770+3*N770</f>
        <v>13</v>
      </c>
      <c r="P770" s="0" t="n">
        <f aca="true">RAND()</f>
        <v>0.728939405545993</v>
      </c>
      <c r="Q770" s="0" t="n">
        <f aca="true">RAND()</f>
        <v>0.797878268567759</v>
      </c>
      <c r="R770" s="0" t="n">
        <f aca="false">IF($I770&lt;&gt;$O770,0,IF(P770&lt;Matchup!$B$39,7,IF(P770&lt;Matchup!$B$39+Matchup!$B$40,3,0)))</f>
        <v>0</v>
      </c>
      <c r="S770" s="0" t="n">
        <f aca="false">IF($I770&lt;&gt;$O770,0,IF(Q770&lt;Matchup!$C$39,7,IF(Q770&lt;Matchup!$C$39+Matchup!$C$40,3,0)))</f>
        <v>0</v>
      </c>
      <c r="T770" s="0" t="n">
        <f aca="false">I770+R770</f>
        <v>10</v>
      </c>
      <c r="U770" s="0" t="n">
        <f aca="false">O770+S770</f>
        <v>13</v>
      </c>
      <c r="V770" s="0" t="n">
        <f aca="false">T770-U770</f>
        <v>-3</v>
      </c>
      <c r="W770" s="0" t="n">
        <f aca="false">T770+U770</f>
        <v>23</v>
      </c>
    </row>
    <row r="771" customFormat="false" ht="15" hidden="false" customHeight="false" outlineLevel="0" collapsed="false">
      <c r="A771" s="0" t="n">
        <v>768</v>
      </c>
      <c r="B771" s="0" t="n">
        <f aca="true">NORMINV(RAND(),1,Coefficients!$B$22)</f>
        <v>0.922777615639265</v>
      </c>
      <c r="C771" s="0" t="n">
        <f aca="true">MEDIAN(8,16,ROUND(NORMINV(RAND(),Coefficients!$B$20,Coefficients!$B$21),0))</f>
        <v>11</v>
      </c>
      <c r="D771" s="0" t="n">
        <f aca="true">CRITBINOM($C771,MIN(0.75,Matchup!$B$39*$B771),RAND())</f>
        <v>5</v>
      </c>
      <c r="E771" s="0" t="n">
        <f aca="true">CRITBINOM(D771,Coefficients!$B$30,RAND())</f>
        <v>0</v>
      </c>
      <c r="F771" s="0" t="n">
        <f aca="true">CRITBINOM(E771,Coefficients!$B$31,RAND())</f>
        <v>0</v>
      </c>
      <c r="G771" s="0" t="n">
        <f aca="true">CRITBINOM(MAX(0,D771-E771),1-Coefficients!$B$32,RAND())</f>
        <v>0</v>
      </c>
      <c r="H771" s="0" t="n">
        <f aca="true">CRITBINOM(MAX(0,$C771-D771),MIN(0.6,Matchup!$B$40*SQRT($B771)/(1-MIN(0.75,Matchup!$B$39*$B771))),RAND())</f>
        <v>2</v>
      </c>
      <c r="I771" s="0" t="n">
        <f aca="false">6*D771+(D771-E771-G771)+2*F771+3*H771</f>
        <v>41</v>
      </c>
      <c r="J771" s="0" t="n">
        <f aca="true">CRITBINOM($C771,MIN(0.75,Matchup!$C$39*$B771),RAND())</f>
        <v>1</v>
      </c>
      <c r="K771" s="0" t="n">
        <f aca="true">CRITBINOM(J771,Coefficients!$B$30,RAND())</f>
        <v>0</v>
      </c>
      <c r="L771" s="0" t="n">
        <f aca="true">CRITBINOM(K771,Coefficients!$B$31,RAND())</f>
        <v>0</v>
      </c>
      <c r="M771" s="0" t="n">
        <f aca="true">CRITBINOM(MAX(0,J771-K771),1-Coefficients!$B$32,RAND())</f>
        <v>0</v>
      </c>
      <c r="N771" s="0" t="n">
        <f aca="true">CRITBINOM(MAX(0,$C771-J771),MIN(0.6,Matchup!$C$40*SQRT($B771)/(1-MIN(0.75,Matchup!$C$39*$B771))),RAND())</f>
        <v>1</v>
      </c>
      <c r="O771" s="0" t="n">
        <f aca="false">6*J771+(J771-K771-M771)+2*L771+3*N771</f>
        <v>10</v>
      </c>
      <c r="P771" s="0" t="n">
        <f aca="true">RAND()</f>
        <v>0.435281154034027</v>
      </c>
      <c r="Q771" s="0" t="n">
        <f aca="true">RAND()</f>
        <v>0.181904721190595</v>
      </c>
      <c r="R771" s="0" t="n">
        <f aca="false">IF($I771&lt;&gt;$O771,0,IF(P771&lt;Matchup!$B$39,7,IF(P771&lt;Matchup!$B$39+Matchup!$B$40,3,0)))</f>
        <v>0</v>
      </c>
      <c r="S771" s="0" t="n">
        <f aca="false">IF($I771&lt;&gt;$O771,0,IF(Q771&lt;Matchup!$C$39,7,IF(Q771&lt;Matchup!$C$39+Matchup!$C$40,3,0)))</f>
        <v>0</v>
      </c>
      <c r="T771" s="0" t="n">
        <f aca="false">I771+R771</f>
        <v>41</v>
      </c>
      <c r="U771" s="0" t="n">
        <f aca="false">O771+S771</f>
        <v>10</v>
      </c>
      <c r="V771" s="0" t="n">
        <f aca="false">T771-U771</f>
        <v>31</v>
      </c>
      <c r="W771" s="0" t="n">
        <f aca="false">T771+U771</f>
        <v>51</v>
      </c>
    </row>
    <row r="772" customFormat="false" ht="15" hidden="false" customHeight="false" outlineLevel="0" collapsed="false">
      <c r="A772" s="0" t="n">
        <v>769</v>
      </c>
      <c r="B772" s="0" t="n">
        <f aca="true">NORMINV(RAND(),1,Coefficients!$B$22)</f>
        <v>0.911636646164124</v>
      </c>
      <c r="C772" s="0" t="n">
        <f aca="true">MEDIAN(8,16,ROUND(NORMINV(RAND(),Coefficients!$B$20,Coefficients!$B$21),0))</f>
        <v>14</v>
      </c>
      <c r="D772" s="0" t="n">
        <f aca="true">CRITBINOM($C772,MIN(0.75,Matchup!$B$39*$B772),RAND())</f>
        <v>2</v>
      </c>
      <c r="E772" s="0" t="n">
        <f aca="true">CRITBINOM(D772,Coefficients!$B$30,RAND())</f>
        <v>1</v>
      </c>
      <c r="F772" s="0" t="n">
        <f aca="true">CRITBINOM(E772,Coefficients!$B$31,RAND())</f>
        <v>1</v>
      </c>
      <c r="G772" s="0" t="n">
        <f aca="true">CRITBINOM(MAX(0,D772-E772),1-Coefficients!$B$32,RAND())</f>
        <v>0</v>
      </c>
      <c r="H772" s="0" t="n">
        <f aca="true">CRITBINOM(MAX(0,$C772-D772),MIN(0.6,Matchup!$B$40*SQRT($B772)/(1-MIN(0.75,Matchup!$B$39*$B772))),RAND())</f>
        <v>3</v>
      </c>
      <c r="I772" s="0" t="n">
        <f aca="false">6*D772+(D772-E772-G772)+2*F772+3*H772</f>
        <v>24</v>
      </c>
      <c r="J772" s="0" t="n">
        <f aca="true">CRITBINOM($C772,MIN(0.75,Matchup!$C$39*$B772),RAND())</f>
        <v>2</v>
      </c>
      <c r="K772" s="0" t="n">
        <f aca="true">CRITBINOM(J772,Coefficients!$B$30,RAND())</f>
        <v>0</v>
      </c>
      <c r="L772" s="0" t="n">
        <f aca="true">CRITBINOM(K772,Coefficients!$B$31,RAND())</f>
        <v>0</v>
      </c>
      <c r="M772" s="0" t="n">
        <f aca="true">CRITBINOM(MAX(0,J772-K772),1-Coefficients!$B$32,RAND())</f>
        <v>0</v>
      </c>
      <c r="N772" s="0" t="n">
        <f aca="true">CRITBINOM(MAX(0,$C772-J772),MIN(0.6,Matchup!$C$40*SQRT($B772)/(1-MIN(0.75,Matchup!$C$39*$B772))),RAND())</f>
        <v>0</v>
      </c>
      <c r="O772" s="0" t="n">
        <f aca="false">6*J772+(J772-K772-M772)+2*L772+3*N772</f>
        <v>14</v>
      </c>
      <c r="P772" s="0" t="n">
        <f aca="true">RAND()</f>
        <v>0.249746242218363</v>
      </c>
      <c r="Q772" s="0" t="n">
        <f aca="true">RAND()</f>
        <v>0.27377088461516</v>
      </c>
      <c r="R772" s="0" t="n">
        <f aca="false">IF($I772&lt;&gt;$O772,0,IF(P772&lt;Matchup!$B$39,7,IF(P772&lt;Matchup!$B$39+Matchup!$B$40,3,0)))</f>
        <v>0</v>
      </c>
      <c r="S772" s="0" t="n">
        <f aca="false">IF($I772&lt;&gt;$O772,0,IF(Q772&lt;Matchup!$C$39,7,IF(Q772&lt;Matchup!$C$39+Matchup!$C$40,3,0)))</f>
        <v>0</v>
      </c>
      <c r="T772" s="0" t="n">
        <f aca="false">I772+R772</f>
        <v>24</v>
      </c>
      <c r="U772" s="0" t="n">
        <f aca="false">O772+S772</f>
        <v>14</v>
      </c>
      <c r="V772" s="0" t="n">
        <f aca="false">T772-U772</f>
        <v>10</v>
      </c>
      <c r="W772" s="0" t="n">
        <f aca="false">T772+U772</f>
        <v>38</v>
      </c>
    </row>
    <row r="773" customFormat="false" ht="15" hidden="false" customHeight="false" outlineLevel="0" collapsed="false">
      <c r="A773" s="0" t="n">
        <v>770</v>
      </c>
      <c r="B773" s="0" t="n">
        <f aca="true">NORMINV(RAND(),1,Coefficients!$B$22)</f>
        <v>1.06098118581016</v>
      </c>
      <c r="C773" s="0" t="n">
        <f aca="true">MEDIAN(8,16,ROUND(NORMINV(RAND(),Coefficients!$B$20,Coefficients!$B$21),0))</f>
        <v>10</v>
      </c>
      <c r="D773" s="0" t="n">
        <f aca="true">CRITBINOM($C773,MIN(0.75,Matchup!$B$39*$B773),RAND())</f>
        <v>5</v>
      </c>
      <c r="E773" s="0" t="n">
        <f aca="true">CRITBINOM(D773,Coefficients!$B$30,RAND())</f>
        <v>0</v>
      </c>
      <c r="F773" s="0" t="n">
        <f aca="true">CRITBINOM(E773,Coefficients!$B$31,RAND())</f>
        <v>0</v>
      </c>
      <c r="G773" s="0" t="n">
        <f aca="true">CRITBINOM(MAX(0,D773-E773),1-Coefficients!$B$32,RAND())</f>
        <v>0</v>
      </c>
      <c r="H773" s="0" t="n">
        <f aca="true">CRITBINOM(MAX(0,$C773-D773),MIN(0.6,Matchup!$B$40*SQRT($B773)/(1-MIN(0.75,Matchup!$B$39*$B773))),RAND())</f>
        <v>3</v>
      </c>
      <c r="I773" s="0" t="n">
        <f aca="false">6*D773+(D773-E773-G773)+2*F773+3*H773</f>
        <v>44</v>
      </c>
      <c r="J773" s="0" t="n">
        <f aca="true">CRITBINOM($C773,MIN(0.75,Matchup!$C$39*$B773),RAND())</f>
        <v>3</v>
      </c>
      <c r="K773" s="0" t="n">
        <f aca="true">CRITBINOM(J773,Coefficients!$B$30,RAND())</f>
        <v>1</v>
      </c>
      <c r="L773" s="0" t="n">
        <f aca="true">CRITBINOM(K773,Coefficients!$B$31,RAND())</f>
        <v>0</v>
      </c>
      <c r="M773" s="0" t="n">
        <f aca="true">CRITBINOM(MAX(0,J773-K773),1-Coefficients!$B$32,RAND())</f>
        <v>0</v>
      </c>
      <c r="N773" s="0" t="n">
        <f aca="true">CRITBINOM(MAX(0,$C773-J773),MIN(0.6,Matchup!$C$40*SQRT($B773)/(1-MIN(0.75,Matchup!$C$39*$B773))),RAND())</f>
        <v>1</v>
      </c>
      <c r="O773" s="0" t="n">
        <f aca="false">6*J773+(J773-K773-M773)+2*L773+3*N773</f>
        <v>23</v>
      </c>
      <c r="P773" s="0" t="n">
        <f aca="true">RAND()</f>
        <v>0.419523425968752</v>
      </c>
      <c r="Q773" s="0" t="n">
        <f aca="true">RAND()</f>
        <v>0.556513984607437</v>
      </c>
      <c r="R773" s="0" t="n">
        <f aca="false">IF($I773&lt;&gt;$O773,0,IF(P773&lt;Matchup!$B$39,7,IF(P773&lt;Matchup!$B$39+Matchup!$B$40,3,0)))</f>
        <v>0</v>
      </c>
      <c r="S773" s="0" t="n">
        <f aca="false">IF($I773&lt;&gt;$O773,0,IF(Q773&lt;Matchup!$C$39,7,IF(Q773&lt;Matchup!$C$39+Matchup!$C$40,3,0)))</f>
        <v>0</v>
      </c>
      <c r="T773" s="0" t="n">
        <f aca="false">I773+R773</f>
        <v>44</v>
      </c>
      <c r="U773" s="0" t="n">
        <f aca="false">O773+S773</f>
        <v>23</v>
      </c>
      <c r="V773" s="0" t="n">
        <f aca="false">T773-U773</f>
        <v>21</v>
      </c>
      <c r="W773" s="0" t="n">
        <f aca="false">T773+U773</f>
        <v>67</v>
      </c>
    </row>
    <row r="774" customFormat="false" ht="15" hidden="false" customHeight="false" outlineLevel="0" collapsed="false">
      <c r="A774" s="0" t="n">
        <v>771</v>
      </c>
      <c r="B774" s="0" t="n">
        <f aca="true">NORMINV(RAND(),1,Coefficients!$B$22)</f>
        <v>0.913858204107163</v>
      </c>
      <c r="C774" s="0" t="n">
        <f aca="true">MEDIAN(8,16,ROUND(NORMINV(RAND(),Coefficients!$B$20,Coefficients!$B$21),0))</f>
        <v>11</v>
      </c>
      <c r="D774" s="0" t="n">
        <f aca="true">CRITBINOM($C774,MIN(0.75,Matchup!$B$39*$B774),RAND())</f>
        <v>2</v>
      </c>
      <c r="E774" s="0" t="n">
        <f aca="true">CRITBINOM(D774,Coefficients!$B$30,RAND())</f>
        <v>0</v>
      </c>
      <c r="F774" s="0" t="n">
        <f aca="true">CRITBINOM(E774,Coefficients!$B$31,RAND())</f>
        <v>0</v>
      </c>
      <c r="G774" s="0" t="n">
        <f aca="true">CRITBINOM(MAX(0,D774-E774),1-Coefficients!$B$32,RAND())</f>
        <v>0</v>
      </c>
      <c r="H774" s="0" t="n">
        <f aca="true">CRITBINOM(MAX(0,$C774-D774),MIN(0.6,Matchup!$B$40*SQRT($B774)/(1-MIN(0.75,Matchup!$B$39*$B774))),RAND())</f>
        <v>1</v>
      </c>
      <c r="I774" s="0" t="n">
        <f aca="false">6*D774+(D774-E774-G774)+2*F774+3*H774</f>
        <v>17</v>
      </c>
      <c r="J774" s="0" t="n">
        <f aca="true">CRITBINOM($C774,MIN(0.75,Matchup!$C$39*$B774),RAND())</f>
        <v>1</v>
      </c>
      <c r="K774" s="0" t="n">
        <f aca="true">CRITBINOM(J774,Coefficients!$B$30,RAND())</f>
        <v>0</v>
      </c>
      <c r="L774" s="0" t="n">
        <f aca="true">CRITBINOM(K774,Coefficients!$B$31,RAND())</f>
        <v>0</v>
      </c>
      <c r="M774" s="0" t="n">
        <f aca="true">CRITBINOM(MAX(0,J774-K774),1-Coefficients!$B$32,RAND())</f>
        <v>1</v>
      </c>
      <c r="N774" s="0" t="n">
        <f aca="true">CRITBINOM(MAX(0,$C774-J774),MIN(0.6,Matchup!$C$40*SQRT($B774)/(1-MIN(0.75,Matchup!$C$39*$B774))),RAND())</f>
        <v>3</v>
      </c>
      <c r="O774" s="0" t="n">
        <f aca="false">6*J774+(J774-K774-M774)+2*L774+3*N774</f>
        <v>15</v>
      </c>
      <c r="P774" s="0" t="n">
        <f aca="true">RAND()</f>
        <v>0.196978640527628</v>
      </c>
      <c r="Q774" s="0" t="n">
        <f aca="true">RAND()</f>
        <v>0.501942493111715</v>
      </c>
      <c r="R774" s="0" t="n">
        <f aca="false">IF($I774&lt;&gt;$O774,0,IF(P774&lt;Matchup!$B$39,7,IF(P774&lt;Matchup!$B$39+Matchup!$B$40,3,0)))</f>
        <v>0</v>
      </c>
      <c r="S774" s="0" t="n">
        <f aca="false">IF($I774&lt;&gt;$O774,0,IF(Q774&lt;Matchup!$C$39,7,IF(Q774&lt;Matchup!$C$39+Matchup!$C$40,3,0)))</f>
        <v>0</v>
      </c>
      <c r="T774" s="0" t="n">
        <f aca="false">I774+R774</f>
        <v>17</v>
      </c>
      <c r="U774" s="0" t="n">
        <f aca="false">O774+S774</f>
        <v>15</v>
      </c>
      <c r="V774" s="0" t="n">
        <f aca="false">T774-U774</f>
        <v>2</v>
      </c>
      <c r="W774" s="0" t="n">
        <f aca="false">T774+U774</f>
        <v>32</v>
      </c>
    </row>
    <row r="775" customFormat="false" ht="15" hidden="false" customHeight="false" outlineLevel="0" collapsed="false">
      <c r="A775" s="0" t="n">
        <v>772</v>
      </c>
      <c r="B775" s="0" t="n">
        <f aca="true">NORMINV(RAND(),1,Coefficients!$B$22)</f>
        <v>1.05224396678626</v>
      </c>
      <c r="C775" s="0" t="n">
        <f aca="true">MEDIAN(8,16,ROUND(NORMINV(RAND(),Coefficients!$B$20,Coefficients!$B$21),0))</f>
        <v>12</v>
      </c>
      <c r="D775" s="0" t="n">
        <f aca="true">CRITBINOM($C775,MIN(0.75,Matchup!$B$39*$B775),RAND())</f>
        <v>2</v>
      </c>
      <c r="E775" s="0" t="n">
        <f aca="true">CRITBINOM(D775,Coefficients!$B$30,RAND())</f>
        <v>0</v>
      </c>
      <c r="F775" s="0" t="n">
        <f aca="true">CRITBINOM(E775,Coefficients!$B$31,RAND())</f>
        <v>0</v>
      </c>
      <c r="G775" s="0" t="n">
        <f aca="true">CRITBINOM(MAX(0,D775-E775),1-Coefficients!$B$32,RAND())</f>
        <v>0</v>
      </c>
      <c r="H775" s="0" t="n">
        <f aca="true">CRITBINOM(MAX(0,$C775-D775),MIN(0.6,Matchup!$B$40*SQRT($B775)/(1-MIN(0.75,Matchup!$B$39*$B775))),RAND())</f>
        <v>2</v>
      </c>
      <c r="I775" s="0" t="n">
        <f aca="false">6*D775+(D775-E775-G775)+2*F775+3*H775</f>
        <v>20</v>
      </c>
      <c r="J775" s="0" t="n">
        <f aca="true">CRITBINOM($C775,MIN(0.75,Matchup!$C$39*$B775),RAND())</f>
        <v>5</v>
      </c>
      <c r="K775" s="0" t="n">
        <f aca="true">CRITBINOM(J775,Coefficients!$B$30,RAND())</f>
        <v>0</v>
      </c>
      <c r="L775" s="0" t="n">
        <f aca="true">CRITBINOM(K775,Coefficients!$B$31,RAND())</f>
        <v>0</v>
      </c>
      <c r="M775" s="0" t="n">
        <f aca="true">CRITBINOM(MAX(0,J775-K775),1-Coefficients!$B$32,RAND())</f>
        <v>0</v>
      </c>
      <c r="N775" s="0" t="n">
        <f aca="true">CRITBINOM(MAX(0,$C775-J775),MIN(0.6,Matchup!$C$40*SQRT($B775)/(1-MIN(0.75,Matchup!$C$39*$B775))),RAND())</f>
        <v>1</v>
      </c>
      <c r="O775" s="0" t="n">
        <f aca="false">6*J775+(J775-K775-M775)+2*L775+3*N775</f>
        <v>38</v>
      </c>
      <c r="P775" s="0" t="n">
        <f aca="true">RAND()</f>
        <v>0.0184098140090072</v>
      </c>
      <c r="Q775" s="0" t="n">
        <f aca="true">RAND()</f>
        <v>0.975348858323757</v>
      </c>
      <c r="R775" s="0" t="n">
        <f aca="false">IF($I775&lt;&gt;$O775,0,IF(P775&lt;Matchup!$B$39,7,IF(P775&lt;Matchup!$B$39+Matchup!$B$40,3,0)))</f>
        <v>0</v>
      </c>
      <c r="S775" s="0" t="n">
        <f aca="false">IF($I775&lt;&gt;$O775,0,IF(Q775&lt;Matchup!$C$39,7,IF(Q775&lt;Matchup!$C$39+Matchup!$C$40,3,0)))</f>
        <v>0</v>
      </c>
      <c r="T775" s="0" t="n">
        <f aca="false">I775+R775</f>
        <v>20</v>
      </c>
      <c r="U775" s="0" t="n">
        <f aca="false">O775+S775</f>
        <v>38</v>
      </c>
      <c r="V775" s="0" t="n">
        <f aca="false">T775-U775</f>
        <v>-18</v>
      </c>
      <c r="W775" s="0" t="n">
        <f aca="false">T775+U775</f>
        <v>58</v>
      </c>
    </row>
    <row r="776" customFormat="false" ht="15" hidden="false" customHeight="false" outlineLevel="0" collapsed="false">
      <c r="A776" s="0" t="n">
        <v>773</v>
      </c>
      <c r="B776" s="0" t="n">
        <f aca="true">NORMINV(RAND(),1,Coefficients!$B$22)</f>
        <v>0.880812965674987</v>
      </c>
      <c r="C776" s="0" t="n">
        <f aca="true">MEDIAN(8,16,ROUND(NORMINV(RAND(),Coefficients!$B$20,Coefficients!$B$21),0))</f>
        <v>11</v>
      </c>
      <c r="D776" s="0" t="n">
        <f aca="true">CRITBINOM($C776,MIN(0.75,Matchup!$B$39*$B776),RAND())</f>
        <v>2</v>
      </c>
      <c r="E776" s="0" t="n">
        <f aca="true">CRITBINOM(D776,Coefficients!$B$30,RAND())</f>
        <v>0</v>
      </c>
      <c r="F776" s="0" t="n">
        <f aca="true">CRITBINOM(E776,Coefficients!$B$31,RAND())</f>
        <v>0</v>
      </c>
      <c r="G776" s="0" t="n">
        <f aca="true">CRITBINOM(MAX(0,D776-E776),1-Coefficients!$B$32,RAND())</f>
        <v>0</v>
      </c>
      <c r="H776" s="0" t="n">
        <f aca="true">CRITBINOM(MAX(0,$C776-D776),MIN(0.6,Matchup!$B$40*SQRT($B776)/(1-MIN(0.75,Matchup!$B$39*$B776))),RAND())</f>
        <v>1</v>
      </c>
      <c r="I776" s="0" t="n">
        <f aca="false">6*D776+(D776-E776-G776)+2*F776+3*H776</f>
        <v>17</v>
      </c>
      <c r="J776" s="0" t="n">
        <f aca="true">CRITBINOM($C776,MIN(0.75,Matchup!$C$39*$B776),RAND())</f>
        <v>3</v>
      </c>
      <c r="K776" s="0" t="n">
        <f aca="true">CRITBINOM(J776,Coefficients!$B$30,RAND())</f>
        <v>0</v>
      </c>
      <c r="L776" s="0" t="n">
        <f aca="true">CRITBINOM(K776,Coefficients!$B$31,RAND())</f>
        <v>0</v>
      </c>
      <c r="M776" s="0" t="n">
        <f aca="true">CRITBINOM(MAX(0,J776-K776),1-Coefficients!$B$32,RAND())</f>
        <v>1</v>
      </c>
      <c r="N776" s="0" t="n">
        <f aca="true">CRITBINOM(MAX(0,$C776-J776),MIN(0.6,Matchup!$C$40*SQRT($B776)/(1-MIN(0.75,Matchup!$C$39*$B776))),RAND())</f>
        <v>1</v>
      </c>
      <c r="O776" s="0" t="n">
        <f aca="false">6*J776+(J776-K776-M776)+2*L776+3*N776</f>
        <v>23</v>
      </c>
      <c r="P776" s="0" t="n">
        <f aca="true">RAND()</f>
        <v>0.559173324309309</v>
      </c>
      <c r="Q776" s="0" t="n">
        <f aca="true">RAND()</f>
        <v>0.30174990303964</v>
      </c>
      <c r="R776" s="0" t="n">
        <f aca="false">IF($I776&lt;&gt;$O776,0,IF(P776&lt;Matchup!$B$39,7,IF(P776&lt;Matchup!$B$39+Matchup!$B$40,3,0)))</f>
        <v>0</v>
      </c>
      <c r="S776" s="0" t="n">
        <f aca="false">IF($I776&lt;&gt;$O776,0,IF(Q776&lt;Matchup!$C$39,7,IF(Q776&lt;Matchup!$C$39+Matchup!$C$40,3,0)))</f>
        <v>0</v>
      </c>
      <c r="T776" s="0" t="n">
        <f aca="false">I776+R776</f>
        <v>17</v>
      </c>
      <c r="U776" s="0" t="n">
        <f aca="false">O776+S776</f>
        <v>23</v>
      </c>
      <c r="V776" s="0" t="n">
        <f aca="false">T776-U776</f>
        <v>-6</v>
      </c>
      <c r="W776" s="0" t="n">
        <f aca="false">T776+U776</f>
        <v>40</v>
      </c>
    </row>
    <row r="777" customFormat="false" ht="15" hidden="false" customHeight="false" outlineLevel="0" collapsed="false">
      <c r="A777" s="0" t="n">
        <v>774</v>
      </c>
      <c r="B777" s="0" t="n">
        <f aca="true">NORMINV(RAND(),1,Coefficients!$B$22)</f>
        <v>1.06369397487442</v>
      </c>
      <c r="C777" s="0" t="n">
        <f aca="true">MEDIAN(8,16,ROUND(NORMINV(RAND(),Coefficients!$B$20,Coefficients!$B$21),0))</f>
        <v>12</v>
      </c>
      <c r="D777" s="0" t="n">
        <f aca="true">CRITBINOM($C777,MIN(0.75,Matchup!$B$39*$B777),RAND())</f>
        <v>4</v>
      </c>
      <c r="E777" s="0" t="n">
        <f aca="true">CRITBINOM(D777,Coefficients!$B$30,RAND())</f>
        <v>0</v>
      </c>
      <c r="F777" s="0" t="n">
        <f aca="true">CRITBINOM(E777,Coefficients!$B$31,RAND())</f>
        <v>0</v>
      </c>
      <c r="G777" s="0" t="n">
        <f aca="true">CRITBINOM(MAX(0,D777-E777),1-Coefficients!$B$32,RAND())</f>
        <v>0</v>
      </c>
      <c r="H777" s="0" t="n">
        <f aca="true">CRITBINOM(MAX(0,$C777-D777),MIN(0.6,Matchup!$B$40*SQRT($B777)/(1-MIN(0.75,Matchup!$B$39*$B777))),RAND())</f>
        <v>1</v>
      </c>
      <c r="I777" s="0" t="n">
        <f aca="false">6*D777+(D777-E777-G777)+2*F777+3*H777</f>
        <v>31</v>
      </c>
      <c r="J777" s="0" t="n">
        <f aca="true">CRITBINOM($C777,MIN(0.75,Matchup!$C$39*$B777),RAND())</f>
        <v>1</v>
      </c>
      <c r="K777" s="0" t="n">
        <f aca="true">CRITBINOM(J777,Coefficients!$B$30,RAND())</f>
        <v>0</v>
      </c>
      <c r="L777" s="0" t="n">
        <f aca="true">CRITBINOM(K777,Coefficients!$B$31,RAND())</f>
        <v>0</v>
      </c>
      <c r="M777" s="0" t="n">
        <f aca="true">CRITBINOM(MAX(0,J777-K777),1-Coefficients!$B$32,RAND())</f>
        <v>0</v>
      </c>
      <c r="N777" s="0" t="n">
        <f aca="true">CRITBINOM(MAX(0,$C777-J777),MIN(0.6,Matchup!$C$40*SQRT($B777)/(1-MIN(0.75,Matchup!$C$39*$B777))),RAND())</f>
        <v>1</v>
      </c>
      <c r="O777" s="0" t="n">
        <f aca="false">6*J777+(J777-K777-M777)+2*L777+3*N777</f>
        <v>10</v>
      </c>
      <c r="P777" s="0" t="n">
        <f aca="true">RAND()</f>
        <v>0.990734096127033</v>
      </c>
      <c r="Q777" s="0" t="n">
        <f aca="true">RAND()</f>
        <v>0.80065635280812</v>
      </c>
      <c r="R777" s="0" t="n">
        <f aca="false">IF($I777&lt;&gt;$O777,0,IF(P777&lt;Matchup!$B$39,7,IF(P777&lt;Matchup!$B$39+Matchup!$B$40,3,0)))</f>
        <v>0</v>
      </c>
      <c r="S777" s="0" t="n">
        <f aca="false">IF($I777&lt;&gt;$O777,0,IF(Q777&lt;Matchup!$C$39,7,IF(Q777&lt;Matchup!$C$39+Matchup!$C$40,3,0)))</f>
        <v>0</v>
      </c>
      <c r="T777" s="0" t="n">
        <f aca="false">I777+R777</f>
        <v>31</v>
      </c>
      <c r="U777" s="0" t="n">
        <f aca="false">O777+S777</f>
        <v>10</v>
      </c>
      <c r="V777" s="0" t="n">
        <f aca="false">T777-U777</f>
        <v>21</v>
      </c>
      <c r="W777" s="0" t="n">
        <f aca="false">T777+U777</f>
        <v>41</v>
      </c>
    </row>
    <row r="778" customFormat="false" ht="15" hidden="false" customHeight="false" outlineLevel="0" collapsed="false">
      <c r="A778" s="0" t="n">
        <v>775</v>
      </c>
      <c r="B778" s="0" t="n">
        <f aca="true">NORMINV(RAND(),1,Coefficients!$B$22)</f>
        <v>0.954587941170145</v>
      </c>
      <c r="C778" s="0" t="n">
        <f aca="true">MEDIAN(8,16,ROUND(NORMINV(RAND(),Coefficients!$B$20,Coefficients!$B$21),0))</f>
        <v>12</v>
      </c>
      <c r="D778" s="0" t="n">
        <f aca="true">CRITBINOM($C778,MIN(0.75,Matchup!$B$39*$B778),RAND())</f>
        <v>2</v>
      </c>
      <c r="E778" s="0" t="n">
        <f aca="true">CRITBINOM(D778,Coefficients!$B$30,RAND())</f>
        <v>1</v>
      </c>
      <c r="F778" s="0" t="n">
        <f aca="true">CRITBINOM(E778,Coefficients!$B$31,RAND())</f>
        <v>0</v>
      </c>
      <c r="G778" s="0" t="n">
        <f aca="true">CRITBINOM(MAX(0,D778-E778),1-Coefficients!$B$32,RAND())</f>
        <v>0</v>
      </c>
      <c r="H778" s="0" t="n">
        <f aca="true">CRITBINOM(MAX(0,$C778-D778),MIN(0.6,Matchup!$B$40*SQRT($B778)/(1-MIN(0.75,Matchup!$B$39*$B778))),RAND())</f>
        <v>1</v>
      </c>
      <c r="I778" s="0" t="n">
        <f aca="false">6*D778+(D778-E778-G778)+2*F778+3*H778</f>
        <v>16</v>
      </c>
      <c r="J778" s="0" t="n">
        <f aca="true">CRITBINOM($C778,MIN(0.75,Matchup!$C$39*$B778),RAND())</f>
        <v>3</v>
      </c>
      <c r="K778" s="0" t="n">
        <f aca="true">CRITBINOM(J778,Coefficients!$B$30,RAND())</f>
        <v>0</v>
      </c>
      <c r="L778" s="0" t="n">
        <f aca="true">CRITBINOM(K778,Coefficients!$B$31,RAND())</f>
        <v>0</v>
      </c>
      <c r="M778" s="0" t="n">
        <f aca="true">CRITBINOM(MAX(0,J778-K778),1-Coefficients!$B$32,RAND())</f>
        <v>0</v>
      </c>
      <c r="N778" s="0" t="n">
        <f aca="true">CRITBINOM(MAX(0,$C778-J778),MIN(0.6,Matchup!$C$40*SQRT($B778)/(1-MIN(0.75,Matchup!$C$39*$B778))),RAND())</f>
        <v>0</v>
      </c>
      <c r="O778" s="0" t="n">
        <f aca="false">6*J778+(J778-K778-M778)+2*L778+3*N778</f>
        <v>21</v>
      </c>
      <c r="P778" s="0" t="n">
        <f aca="true">RAND()</f>
        <v>0.24211012500537</v>
      </c>
      <c r="Q778" s="0" t="n">
        <f aca="true">RAND()</f>
        <v>0.888196178444699</v>
      </c>
      <c r="R778" s="0" t="n">
        <f aca="false">IF($I778&lt;&gt;$O778,0,IF(P778&lt;Matchup!$B$39,7,IF(P778&lt;Matchup!$B$39+Matchup!$B$40,3,0)))</f>
        <v>0</v>
      </c>
      <c r="S778" s="0" t="n">
        <f aca="false">IF($I778&lt;&gt;$O778,0,IF(Q778&lt;Matchup!$C$39,7,IF(Q778&lt;Matchup!$C$39+Matchup!$C$40,3,0)))</f>
        <v>0</v>
      </c>
      <c r="T778" s="0" t="n">
        <f aca="false">I778+R778</f>
        <v>16</v>
      </c>
      <c r="U778" s="0" t="n">
        <f aca="false">O778+S778</f>
        <v>21</v>
      </c>
      <c r="V778" s="0" t="n">
        <f aca="false">T778-U778</f>
        <v>-5</v>
      </c>
      <c r="W778" s="0" t="n">
        <f aca="false">T778+U778</f>
        <v>37</v>
      </c>
    </row>
    <row r="779" customFormat="false" ht="15" hidden="false" customHeight="false" outlineLevel="0" collapsed="false">
      <c r="A779" s="0" t="n">
        <v>776</v>
      </c>
      <c r="B779" s="0" t="n">
        <f aca="true">NORMINV(RAND(),1,Coefficients!$B$22)</f>
        <v>0.984905500671378</v>
      </c>
      <c r="C779" s="0" t="n">
        <f aca="true">MEDIAN(8,16,ROUND(NORMINV(RAND(),Coefficients!$B$20,Coefficients!$B$21),0))</f>
        <v>11</v>
      </c>
      <c r="D779" s="0" t="n">
        <f aca="true">CRITBINOM($C779,MIN(0.75,Matchup!$B$39*$B779),RAND())</f>
        <v>4</v>
      </c>
      <c r="E779" s="0" t="n">
        <f aca="true">CRITBINOM(D779,Coefficients!$B$30,RAND())</f>
        <v>1</v>
      </c>
      <c r="F779" s="0" t="n">
        <f aca="true">CRITBINOM(E779,Coefficients!$B$31,RAND())</f>
        <v>0</v>
      </c>
      <c r="G779" s="0" t="n">
        <f aca="true">CRITBINOM(MAX(0,D779-E779),1-Coefficients!$B$32,RAND())</f>
        <v>0</v>
      </c>
      <c r="H779" s="0" t="n">
        <f aca="true">CRITBINOM(MAX(0,$C779-D779),MIN(0.6,Matchup!$B$40*SQRT($B779)/(1-MIN(0.75,Matchup!$B$39*$B779))),RAND())</f>
        <v>1</v>
      </c>
      <c r="I779" s="0" t="n">
        <f aca="false">6*D779+(D779-E779-G779)+2*F779+3*H779</f>
        <v>30</v>
      </c>
      <c r="J779" s="0" t="n">
        <f aca="true">CRITBINOM($C779,MIN(0.75,Matchup!$C$39*$B779),RAND())</f>
        <v>0</v>
      </c>
      <c r="K779" s="0" t="n">
        <f aca="true">CRITBINOM(J779,Coefficients!$B$30,RAND())</f>
        <v>0</v>
      </c>
      <c r="L779" s="0" t="n">
        <f aca="true">CRITBINOM(K779,Coefficients!$B$31,RAND())</f>
        <v>0</v>
      </c>
      <c r="M779" s="0" t="n">
        <f aca="true">CRITBINOM(MAX(0,J779-K779),1-Coefficients!$B$32,RAND())</f>
        <v>0</v>
      </c>
      <c r="N779" s="0" t="n">
        <f aca="true">CRITBINOM(MAX(0,$C779-J779),MIN(0.6,Matchup!$C$40*SQRT($B779)/(1-MIN(0.75,Matchup!$C$39*$B779))),RAND())</f>
        <v>3</v>
      </c>
      <c r="O779" s="0" t="n">
        <f aca="false">6*J779+(J779-K779-M779)+2*L779+3*N779</f>
        <v>9</v>
      </c>
      <c r="P779" s="0" t="n">
        <f aca="true">RAND()</f>
        <v>0.401470029589371</v>
      </c>
      <c r="Q779" s="0" t="n">
        <f aca="true">RAND()</f>
        <v>0.1911257552931</v>
      </c>
      <c r="R779" s="0" t="n">
        <f aca="false">IF($I779&lt;&gt;$O779,0,IF(P779&lt;Matchup!$B$39,7,IF(P779&lt;Matchup!$B$39+Matchup!$B$40,3,0)))</f>
        <v>0</v>
      </c>
      <c r="S779" s="0" t="n">
        <f aca="false">IF($I779&lt;&gt;$O779,0,IF(Q779&lt;Matchup!$C$39,7,IF(Q779&lt;Matchup!$C$39+Matchup!$C$40,3,0)))</f>
        <v>0</v>
      </c>
      <c r="T779" s="0" t="n">
        <f aca="false">I779+R779</f>
        <v>30</v>
      </c>
      <c r="U779" s="0" t="n">
        <f aca="false">O779+S779</f>
        <v>9</v>
      </c>
      <c r="V779" s="0" t="n">
        <f aca="false">T779-U779</f>
        <v>21</v>
      </c>
      <c r="W779" s="0" t="n">
        <f aca="false">T779+U779</f>
        <v>39</v>
      </c>
    </row>
    <row r="780" customFormat="false" ht="15" hidden="false" customHeight="false" outlineLevel="0" collapsed="false">
      <c r="A780" s="0" t="n">
        <v>777</v>
      </c>
      <c r="B780" s="0" t="n">
        <f aca="true">NORMINV(RAND(),1,Coefficients!$B$22)</f>
        <v>1.0552021214168</v>
      </c>
      <c r="C780" s="0" t="n">
        <f aca="true">MEDIAN(8,16,ROUND(NORMINV(RAND(),Coefficients!$B$20,Coefficients!$B$21),0))</f>
        <v>10</v>
      </c>
      <c r="D780" s="0" t="n">
        <f aca="true">CRITBINOM($C780,MIN(0.75,Matchup!$B$39*$B780),RAND())</f>
        <v>0</v>
      </c>
      <c r="E780" s="0" t="n">
        <f aca="true">CRITBINOM(D780,Coefficients!$B$30,RAND())</f>
        <v>0</v>
      </c>
      <c r="F780" s="0" t="n">
        <f aca="true">CRITBINOM(E780,Coefficients!$B$31,RAND())</f>
        <v>0</v>
      </c>
      <c r="G780" s="0" t="n">
        <f aca="true">CRITBINOM(MAX(0,D780-E780),1-Coefficients!$B$32,RAND())</f>
        <v>0</v>
      </c>
      <c r="H780" s="0" t="n">
        <f aca="true">CRITBINOM(MAX(0,$C780-D780),MIN(0.6,Matchup!$B$40*SQRT($B780)/(1-MIN(0.75,Matchup!$B$39*$B780))),RAND())</f>
        <v>3</v>
      </c>
      <c r="I780" s="0" t="n">
        <f aca="false">6*D780+(D780-E780-G780)+2*F780+3*H780</f>
        <v>9</v>
      </c>
      <c r="J780" s="0" t="n">
        <f aca="true">CRITBINOM($C780,MIN(0.75,Matchup!$C$39*$B780),RAND())</f>
        <v>3</v>
      </c>
      <c r="K780" s="0" t="n">
        <f aca="true">CRITBINOM(J780,Coefficients!$B$30,RAND())</f>
        <v>0</v>
      </c>
      <c r="L780" s="0" t="n">
        <f aca="true">CRITBINOM(K780,Coefficients!$B$31,RAND())</f>
        <v>0</v>
      </c>
      <c r="M780" s="0" t="n">
        <f aca="true">CRITBINOM(MAX(0,J780-K780),1-Coefficients!$B$32,RAND())</f>
        <v>0</v>
      </c>
      <c r="N780" s="0" t="n">
        <f aca="true">CRITBINOM(MAX(0,$C780-J780),MIN(0.6,Matchup!$C$40*SQRT($B780)/(1-MIN(0.75,Matchup!$C$39*$B780))),RAND())</f>
        <v>0</v>
      </c>
      <c r="O780" s="0" t="n">
        <f aca="false">6*J780+(J780-K780-M780)+2*L780+3*N780</f>
        <v>21</v>
      </c>
      <c r="P780" s="0" t="n">
        <f aca="true">RAND()</f>
        <v>0.571843476729387</v>
      </c>
      <c r="Q780" s="0" t="n">
        <f aca="true">RAND()</f>
        <v>0.798438732837555</v>
      </c>
      <c r="R780" s="0" t="n">
        <f aca="false">IF($I780&lt;&gt;$O780,0,IF(P780&lt;Matchup!$B$39,7,IF(P780&lt;Matchup!$B$39+Matchup!$B$40,3,0)))</f>
        <v>0</v>
      </c>
      <c r="S780" s="0" t="n">
        <f aca="false">IF($I780&lt;&gt;$O780,0,IF(Q780&lt;Matchup!$C$39,7,IF(Q780&lt;Matchup!$C$39+Matchup!$C$40,3,0)))</f>
        <v>0</v>
      </c>
      <c r="T780" s="0" t="n">
        <f aca="false">I780+R780</f>
        <v>9</v>
      </c>
      <c r="U780" s="0" t="n">
        <f aca="false">O780+S780</f>
        <v>21</v>
      </c>
      <c r="V780" s="0" t="n">
        <f aca="false">T780-U780</f>
        <v>-12</v>
      </c>
      <c r="W780" s="0" t="n">
        <f aca="false">T780+U780</f>
        <v>30</v>
      </c>
    </row>
    <row r="781" customFormat="false" ht="15" hidden="false" customHeight="false" outlineLevel="0" collapsed="false">
      <c r="A781" s="0" t="n">
        <v>778</v>
      </c>
      <c r="B781" s="0" t="n">
        <f aca="true">NORMINV(RAND(),1,Coefficients!$B$22)</f>
        <v>1.06849877636406</v>
      </c>
      <c r="C781" s="0" t="n">
        <f aca="true">MEDIAN(8,16,ROUND(NORMINV(RAND(),Coefficients!$B$20,Coefficients!$B$21),0))</f>
        <v>11</v>
      </c>
      <c r="D781" s="0" t="n">
        <f aca="true">CRITBINOM($C781,MIN(0.75,Matchup!$B$39*$B781),RAND())</f>
        <v>4</v>
      </c>
      <c r="E781" s="0" t="n">
        <f aca="true">CRITBINOM(D781,Coefficients!$B$30,RAND())</f>
        <v>0</v>
      </c>
      <c r="F781" s="0" t="n">
        <f aca="true">CRITBINOM(E781,Coefficients!$B$31,RAND())</f>
        <v>0</v>
      </c>
      <c r="G781" s="0" t="n">
        <f aca="true">CRITBINOM(MAX(0,D781-E781),1-Coefficients!$B$32,RAND())</f>
        <v>0</v>
      </c>
      <c r="H781" s="0" t="n">
        <f aca="true">CRITBINOM(MAX(0,$C781-D781),MIN(0.6,Matchup!$B$40*SQRT($B781)/(1-MIN(0.75,Matchup!$B$39*$B781))),RAND())</f>
        <v>2</v>
      </c>
      <c r="I781" s="0" t="n">
        <f aca="false">6*D781+(D781-E781-G781)+2*F781+3*H781</f>
        <v>34</v>
      </c>
      <c r="J781" s="0" t="n">
        <f aca="true">CRITBINOM($C781,MIN(0.75,Matchup!$C$39*$B781),RAND())</f>
        <v>3</v>
      </c>
      <c r="K781" s="0" t="n">
        <f aca="true">CRITBINOM(J781,Coefficients!$B$30,RAND())</f>
        <v>1</v>
      </c>
      <c r="L781" s="0" t="n">
        <f aca="true">CRITBINOM(K781,Coefficients!$B$31,RAND())</f>
        <v>0</v>
      </c>
      <c r="M781" s="0" t="n">
        <f aca="true">CRITBINOM(MAX(0,J781-K781),1-Coefficients!$B$32,RAND())</f>
        <v>1</v>
      </c>
      <c r="N781" s="0" t="n">
        <f aca="true">CRITBINOM(MAX(0,$C781-J781),MIN(0.6,Matchup!$C$40*SQRT($B781)/(1-MIN(0.75,Matchup!$C$39*$B781))),RAND())</f>
        <v>0</v>
      </c>
      <c r="O781" s="0" t="n">
        <f aca="false">6*J781+(J781-K781-M781)+2*L781+3*N781</f>
        <v>19</v>
      </c>
      <c r="P781" s="0" t="n">
        <f aca="true">RAND()</f>
        <v>0.0574296400415074</v>
      </c>
      <c r="Q781" s="0" t="n">
        <f aca="true">RAND()</f>
        <v>0.137672600461112</v>
      </c>
      <c r="R781" s="0" t="n">
        <f aca="false">IF($I781&lt;&gt;$O781,0,IF(P781&lt;Matchup!$B$39,7,IF(P781&lt;Matchup!$B$39+Matchup!$B$40,3,0)))</f>
        <v>0</v>
      </c>
      <c r="S781" s="0" t="n">
        <f aca="false">IF($I781&lt;&gt;$O781,0,IF(Q781&lt;Matchup!$C$39,7,IF(Q781&lt;Matchup!$C$39+Matchup!$C$40,3,0)))</f>
        <v>0</v>
      </c>
      <c r="T781" s="0" t="n">
        <f aca="false">I781+R781</f>
        <v>34</v>
      </c>
      <c r="U781" s="0" t="n">
        <f aca="false">O781+S781</f>
        <v>19</v>
      </c>
      <c r="V781" s="0" t="n">
        <f aca="false">T781-U781</f>
        <v>15</v>
      </c>
      <c r="W781" s="0" t="n">
        <f aca="false">T781+U781</f>
        <v>53</v>
      </c>
    </row>
    <row r="782" customFormat="false" ht="15" hidden="false" customHeight="false" outlineLevel="0" collapsed="false">
      <c r="A782" s="0" t="n">
        <v>779</v>
      </c>
      <c r="B782" s="0" t="n">
        <f aca="true">NORMINV(RAND(),1,Coefficients!$B$22)</f>
        <v>1.02327664699096</v>
      </c>
      <c r="C782" s="0" t="n">
        <f aca="true">MEDIAN(8,16,ROUND(NORMINV(RAND(),Coefficients!$B$20,Coefficients!$B$21),0))</f>
        <v>11</v>
      </c>
      <c r="D782" s="0" t="n">
        <f aca="true">CRITBINOM($C782,MIN(0.75,Matchup!$B$39*$B782),RAND())</f>
        <v>2</v>
      </c>
      <c r="E782" s="0" t="n">
        <f aca="true">CRITBINOM(D782,Coefficients!$B$30,RAND())</f>
        <v>0</v>
      </c>
      <c r="F782" s="0" t="n">
        <f aca="true">CRITBINOM(E782,Coefficients!$B$31,RAND())</f>
        <v>0</v>
      </c>
      <c r="G782" s="0" t="n">
        <f aca="true">CRITBINOM(MAX(0,D782-E782),1-Coefficients!$B$32,RAND())</f>
        <v>0</v>
      </c>
      <c r="H782" s="0" t="n">
        <f aca="true">CRITBINOM(MAX(0,$C782-D782),MIN(0.6,Matchup!$B$40*SQRT($B782)/(1-MIN(0.75,Matchup!$B$39*$B782))),RAND())</f>
        <v>0</v>
      </c>
      <c r="I782" s="0" t="n">
        <f aca="false">6*D782+(D782-E782-G782)+2*F782+3*H782</f>
        <v>14</v>
      </c>
      <c r="J782" s="0" t="n">
        <f aca="true">CRITBINOM($C782,MIN(0.75,Matchup!$C$39*$B782),RAND())</f>
        <v>4</v>
      </c>
      <c r="K782" s="0" t="n">
        <f aca="true">CRITBINOM(J782,Coefficients!$B$30,RAND())</f>
        <v>1</v>
      </c>
      <c r="L782" s="0" t="n">
        <f aca="true">CRITBINOM(K782,Coefficients!$B$31,RAND())</f>
        <v>1</v>
      </c>
      <c r="M782" s="0" t="n">
        <f aca="true">CRITBINOM(MAX(0,J782-K782),1-Coefficients!$B$32,RAND())</f>
        <v>0</v>
      </c>
      <c r="N782" s="0" t="n">
        <f aca="true">CRITBINOM(MAX(0,$C782-J782),MIN(0.6,Matchup!$C$40*SQRT($B782)/(1-MIN(0.75,Matchup!$C$39*$B782))),RAND())</f>
        <v>2</v>
      </c>
      <c r="O782" s="0" t="n">
        <f aca="false">6*J782+(J782-K782-M782)+2*L782+3*N782</f>
        <v>35</v>
      </c>
      <c r="P782" s="0" t="n">
        <f aca="true">RAND()</f>
        <v>0.00255732990024936</v>
      </c>
      <c r="Q782" s="0" t="n">
        <f aca="true">RAND()</f>
        <v>0.453989454167841</v>
      </c>
      <c r="R782" s="0" t="n">
        <f aca="false">IF($I782&lt;&gt;$O782,0,IF(P782&lt;Matchup!$B$39,7,IF(P782&lt;Matchup!$B$39+Matchup!$B$40,3,0)))</f>
        <v>0</v>
      </c>
      <c r="S782" s="0" t="n">
        <f aca="false">IF($I782&lt;&gt;$O782,0,IF(Q782&lt;Matchup!$C$39,7,IF(Q782&lt;Matchup!$C$39+Matchup!$C$40,3,0)))</f>
        <v>0</v>
      </c>
      <c r="T782" s="0" t="n">
        <f aca="false">I782+R782</f>
        <v>14</v>
      </c>
      <c r="U782" s="0" t="n">
        <f aca="false">O782+S782</f>
        <v>35</v>
      </c>
      <c r="V782" s="0" t="n">
        <f aca="false">T782-U782</f>
        <v>-21</v>
      </c>
      <c r="W782" s="0" t="n">
        <f aca="false">T782+U782</f>
        <v>49</v>
      </c>
    </row>
    <row r="783" customFormat="false" ht="15" hidden="false" customHeight="false" outlineLevel="0" collapsed="false">
      <c r="A783" s="0" t="n">
        <v>780</v>
      </c>
      <c r="B783" s="0" t="n">
        <f aca="true">NORMINV(RAND(),1,Coefficients!$B$22)</f>
        <v>1.16994094162993</v>
      </c>
      <c r="C783" s="0" t="n">
        <f aca="true">MEDIAN(8,16,ROUND(NORMINV(RAND(),Coefficients!$B$20,Coefficients!$B$21),0))</f>
        <v>11</v>
      </c>
      <c r="D783" s="0" t="n">
        <f aca="true">CRITBINOM($C783,MIN(0.75,Matchup!$B$39*$B783),RAND())</f>
        <v>4</v>
      </c>
      <c r="E783" s="0" t="n">
        <f aca="true">CRITBINOM(D783,Coefficients!$B$30,RAND())</f>
        <v>1</v>
      </c>
      <c r="F783" s="0" t="n">
        <f aca="true">CRITBINOM(E783,Coefficients!$B$31,RAND())</f>
        <v>1</v>
      </c>
      <c r="G783" s="0" t="n">
        <f aca="true">CRITBINOM(MAX(0,D783-E783),1-Coefficients!$B$32,RAND())</f>
        <v>0</v>
      </c>
      <c r="H783" s="0" t="n">
        <f aca="true">CRITBINOM(MAX(0,$C783-D783),MIN(0.6,Matchup!$B$40*SQRT($B783)/(1-MIN(0.75,Matchup!$B$39*$B783))),RAND())</f>
        <v>1</v>
      </c>
      <c r="I783" s="0" t="n">
        <f aca="false">6*D783+(D783-E783-G783)+2*F783+3*H783</f>
        <v>32</v>
      </c>
      <c r="J783" s="0" t="n">
        <f aca="true">CRITBINOM($C783,MIN(0.75,Matchup!$C$39*$B783),RAND())</f>
        <v>3</v>
      </c>
      <c r="K783" s="0" t="n">
        <f aca="true">CRITBINOM(J783,Coefficients!$B$30,RAND())</f>
        <v>2</v>
      </c>
      <c r="L783" s="0" t="n">
        <f aca="true">CRITBINOM(K783,Coefficients!$B$31,RAND())</f>
        <v>1</v>
      </c>
      <c r="M783" s="0" t="n">
        <f aca="true">CRITBINOM(MAX(0,J783-K783),1-Coefficients!$B$32,RAND())</f>
        <v>0</v>
      </c>
      <c r="N783" s="0" t="n">
        <f aca="true">CRITBINOM(MAX(0,$C783-J783),MIN(0.6,Matchup!$C$40*SQRT($B783)/(1-MIN(0.75,Matchup!$C$39*$B783))),RAND())</f>
        <v>3</v>
      </c>
      <c r="O783" s="0" t="n">
        <f aca="false">6*J783+(J783-K783-M783)+2*L783+3*N783</f>
        <v>30</v>
      </c>
      <c r="P783" s="0" t="n">
        <f aca="true">RAND()</f>
        <v>0.87316752015875</v>
      </c>
      <c r="Q783" s="0" t="n">
        <f aca="true">RAND()</f>
        <v>0.494082939258219</v>
      </c>
      <c r="R783" s="0" t="n">
        <f aca="false">IF($I783&lt;&gt;$O783,0,IF(P783&lt;Matchup!$B$39,7,IF(P783&lt;Matchup!$B$39+Matchup!$B$40,3,0)))</f>
        <v>0</v>
      </c>
      <c r="S783" s="0" t="n">
        <f aca="false">IF($I783&lt;&gt;$O783,0,IF(Q783&lt;Matchup!$C$39,7,IF(Q783&lt;Matchup!$C$39+Matchup!$C$40,3,0)))</f>
        <v>0</v>
      </c>
      <c r="T783" s="0" t="n">
        <f aca="false">I783+R783</f>
        <v>32</v>
      </c>
      <c r="U783" s="0" t="n">
        <f aca="false">O783+S783</f>
        <v>30</v>
      </c>
      <c r="V783" s="0" t="n">
        <f aca="false">T783-U783</f>
        <v>2</v>
      </c>
      <c r="W783" s="0" t="n">
        <f aca="false">T783+U783</f>
        <v>62</v>
      </c>
    </row>
    <row r="784" customFormat="false" ht="15" hidden="false" customHeight="false" outlineLevel="0" collapsed="false">
      <c r="A784" s="0" t="n">
        <v>781</v>
      </c>
      <c r="B784" s="0" t="n">
        <f aca="true">NORMINV(RAND(),1,Coefficients!$B$22)</f>
        <v>0.903529808820588</v>
      </c>
      <c r="C784" s="0" t="n">
        <f aca="true">MEDIAN(8,16,ROUND(NORMINV(RAND(),Coefficients!$B$20,Coefficients!$B$21),0))</f>
        <v>10</v>
      </c>
      <c r="D784" s="0" t="n">
        <f aca="true">CRITBINOM($C784,MIN(0.75,Matchup!$B$39*$B784),RAND())</f>
        <v>1</v>
      </c>
      <c r="E784" s="0" t="n">
        <f aca="true">CRITBINOM(D784,Coefficients!$B$30,RAND())</f>
        <v>0</v>
      </c>
      <c r="F784" s="0" t="n">
        <f aca="true">CRITBINOM(E784,Coefficients!$B$31,RAND())</f>
        <v>0</v>
      </c>
      <c r="G784" s="0" t="n">
        <f aca="true">CRITBINOM(MAX(0,D784-E784),1-Coefficients!$B$32,RAND())</f>
        <v>0</v>
      </c>
      <c r="H784" s="0" t="n">
        <f aca="true">CRITBINOM(MAX(0,$C784-D784),MIN(0.6,Matchup!$B$40*SQRT($B784)/(1-MIN(0.75,Matchup!$B$39*$B784))),RAND())</f>
        <v>0</v>
      </c>
      <c r="I784" s="0" t="n">
        <f aca="false">6*D784+(D784-E784-G784)+2*F784+3*H784</f>
        <v>7</v>
      </c>
      <c r="J784" s="0" t="n">
        <f aca="true">CRITBINOM($C784,MIN(0.75,Matchup!$C$39*$B784),RAND())</f>
        <v>1</v>
      </c>
      <c r="K784" s="0" t="n">
        <f aca="true">CRITBINOM(J784,Coefficients!$B$30,RAND())</f>
        <v>0</v>
      </c>
      <c r="L784" s="0" t="n">
        <f aca="true">CRITBINOM(K784,Coefficients!$B$31,RAND())</f>
        <v>0</v>
      </c>
      <c r="M784" s="0" t="n">
        <f aca="true">CRITBINOM(MAX(0,J784-K784),1-Coefficients!$B$32,RAND())</f>
        <v>0</v>
      </c>
      <c r="N784" s="0" t="n">
        <f aca="true">CRITBINOM(MAX(0,$C784-J784),MIN(0.6,Matchup!$C$40*SQRT($B784)/(1-MIN(0.75,Matchup!$C$39*$B784))),RAND())</f>
        <v>0</v>
      </c>
      <c r="O784" s="0" t="n">
        <f aca="false">6*J784+(J784-K784-M784)+2*L784+3*N784</f>
        <v>7</v>
      </c>
      <c r="P784" s="0" t="n">
        <f aca="true">RAND()</f>
        <v>0.881441615419548</v>
      </c>
      <c r="Q784" s="0" t="n">
        <f aca="true">RAND()</f>
        <v>0.119579752926794</v>
      </c>
      <c r="R784" s="0" t="n">
        <f aca="false">IF($I784&lt;&gt;$O784,0,IF(P784&lt;Matchup!$B$39,7,IF(P784&lt;Matchup!$B$39+Matchup!$B$40,3,0)))</f>
        <v>0</v>
      </c>
      <c r="S784" s="0" t="n">
        <f aca="false">IF($I784&lt;&gt;$O784,0,IF(Q784&lt;Matchup!$C$39,7,IF(Q784&lt;Matchup!$C$39+Matchup!$C$40,3,0)))</f>
        <v>7</v>
      </c>
      <c r="T784" s="0" t="n">
        <f aca="false">I784+R784</f>
        <v>7</v>
      </c>
      <c r="U784" s="0" t="n">
        <f aca="false">O784+S784</f>
        <v>14</v>
      </c>
      <c r="V784" s="0" t="n">
        <f aca="false">T784-U784</f>
        <v>-7</v>
      </c>
      <c r="W784" s="0" t="n">
        <f aca="false">T784+U784</f>
        <v>21</v>
      </c>
    </row>
    <row r="785" customFormat="false" ht="15" hidden="false" customHeight="false" outlineLevel="0" collapsed="false">
      <c r="A785" s="0" t="n">
        <v>782</v>
      </c>
      <c r="B785" s="0" t="n">
        <f aca="true">NORMINV(RAND(),1,Coefficients!$B$22)</f>
        <v>1.07723772334576</v>
      </c>
      <c r="C785" s="0" t="n">
        <f aca="true">MEDIAN(8,16,ROUND(NORMINV(RAND(),Coefficients!$B$20,Coefficients!$B$21),0))</f>
        <v>11</v>
      </c>
      <c r="D785" s="0" t="n">
        <f aca="true">CRITBINOM($C785,MIN(0.75,Matchup!$B$39*$B785),RAND())</f>
        <v>2</v>
      </c>
      <c r="E785" s="0" t="n">
        <f aca="true">CRITBINOM(D785,Coefficients!$B$30,RAND())</f>
        <v>0</v>
      </c>
      <c r="F785" s="0" t="n">
        <f aca="true">CRITBINOM(E785,Coefficients!$B$31,RAND())</f>
        <v>0</v>
      </c>
      <c r="G785" s="0" t="n">
        <f aca="true">CRITBINOM(MAX(0,D785-E785),1-Coefficients!$B$32,RAND())</f>
        <v>0</v>
      </c>
      <c r="H785" s="0" t="n">
        <f aca="true">CRITBINOM(MAX(0,$C785-D785),MIN(0.6,Matchup!$B$40*SQRT($B785)/(1-MIN(0.75,Matchup!$B$39*$B785))),RAND())</f>
        <v>1</v>
      </c>
      <c r="I785" s="0" t="n">
        <f aca="false">6*D785+(D785-E785-G785)+2*F785+3*H785</f>
        <v>17</v>
      </c>
      <c r="J785" s="0" t="n">
        <f aca="true">CRITBINOM($C785,MIN(0.75,Matchup!$C$39*$B785),RAND())</f>
        <v>3</v>
      </c>
      <c r="K785" s="0" t="n">
        <f aca="true">CRITBINOM(J785,Coefficients!$B$30,RAND())</f>
        <v>0</v>
      </c>
      <c r="L785" s="0" t="n">
        <f aca="true">CRITBINOM(K785,Coefficients!$B$31,RAND())</f>
        <v>0</v>
      </c>
      <c r="M785" s="0" t="n">
        <f aca="true">CRITBINOM(MAX(0,J785-K785),1-Coefficients!$B$32,RAND())</f>
        <v>0</v>
      </c>
      <c r="N785" s="0" t="n">
        <f aca="true">CRITBINOM(MAX(0,$C785-J785),MIN(0.6,Matchup!$C$40*SQRT($B785)/(1-MIN(0.75,Matchup!$C$39*$B785))),RAND())</f>
        <v>1</v>
      </c>
      <c r="O785" s="0" t="n">
        <f aca="false">6*J785+(J785-K785-M785)+2*L785+3*N785</f>
        <v>24</v>
      </c>
      <c r="P785" s="0" t="n">
        <f aca="true">RAND()</f>
        <v>0.989072585448033</v>
      </c>
      <c r="Q785" s="0" t="n">
        <f aca="true">RAND()</f>
        <v>0.531792322207762</v>
      </c>
      <c r="R785" s="0" t="n">
        <f aca="false">IF($I785&lt;&gt;$O785,0,IF(P785&lt;Matchup!$B$39,7,IF(P785&lt;Matchup!$B$39+Matchup!$B$40,3,0)))</f>
        <v>0</v>
      </c>
      <c r="S785" s="0" t="n">
        <f aca="false">IF($I785&lt;&gt;$O785,0,IF(Q785&lt;Matchup!$C$39,7,IF(Q785&lt;Matchup!$C$39+Matchup!$C$40,3,0)))</f>
        <v>0</v>
      </c>
      <c r="T785" s="0" t="n">
        <f aca="false">I785+R785</f>
        <v>17</v>
      </c>
      <c r="U785" s="0" t="n">
        <f aca="false">O785+S785</f>
        <v>24</v>
      </c>
      <c r="V785" s="0" t="n">
        <f aca="false">T785-U785</f>
        <v>-7</v>
      </c>
      <c r="W785" s="0" t="n">
        <f aca="false">T785+U785</f>
        <v>41</v>
      </c>
    </row>
    <row r="786" customFormat="false" ht="15" hidden="false" customHeight="false" outlineLevel="0" collapsed="false">
      <c r="A786" s="0" t="n">
        <v>783</v>
      </c>
      <c r="B786" s="0" t="n">
        <f aca="true">NORMINV(RAND(),1,Coefficients!$B$22)</f>
        <v>0.910180877707635</v>
      </c>
      <c r="C786" s="0" t="n">
        <f aca="true">MEDIAN(8,16,ROUND(NORMINV(RAND(),Coefficients!$B$20,Coefficients!$B$21),0))</f>
        <v>11</v>
      </c>
      <c r="D786" s="0" t="n">
        <f aca="true">CRITBINOM($C786,MIN(0.75,Matchup!$B$39*$B786),RAND())</f>
        <v>2</v>
      </c>
      <c r="E786" s="0" t="n">
        <f aca="true">CRITBINOM(D786,Coefficients!$B$30,RAND())</f>
        <v>0</v>
      </c>
      <c r="F786" s="0" t="n">
        <f aca="true">CRITBINOM(E786,Coefficients!$B$31,RAND())</f>
        <v>0</v>
      </c>
      <c r="G786" s="0" t="n">
        <f aca="true">CRITBINOM(MAX(0,D786-E786),1-Coefficients!$B$32,RAND())</f>
        <v>0</v>
      </c>
      <c r="H786" s="0" t="n">
        <f aca="true">CRITBINOM(MAX(0,$C786-D786),MIN(0.6,Matchup!$B$40*SQRT($B786)/(1-MIN(0.75,Matchup!$B$39*$B786))),RAND())</f>
        <v>2</v>
      </c>
      <c r="I786" s="0" t="n">
        <f aca="false">6*D786+(D786-E786-G786)+2*F786+3*H786</f>
        <v>20</v>
      </c>
      <c r="J786" s="0" t="n">
        <f aca="true">CRITBINOM($C786,MIN(0.75,Matchup!$C$39*$B786),RAND())</f>
        <v>0</v>
      </c>
      <c r="K786" s="0" t="n">
        <f aca="true">CRITBINOM(J786,Coefficients!$B$30,RAND())</f>
        <v>0</v>
      </c>
      <c r="L786" s="0" t="n">
        <f aca="true">CRITBINOM(K786,Coefficients!$B$31,RAND())</f>
        <v>0</v>
      </c>
      <c r="M786" s="0" t="n">
        <f aca="true">CRITBINOM(MAX(0,J786-K786),1-Coefficients!$B$32,RAND())</f>
        <v>0</v>
      </c>
      <c r="N786" s="0" t="n">
        <f aca="true">CRITBINOM(MAX(0,$C786-J786),MIN(0.6,Matchup!$C$40*SQRT($B786)/(1-MIN(0.75,Matchup!$C$39*$B786))),RAND())</f>
        <v>2</v>
      </c>
      <c r="O786" s="0" t="n">
        <f aca="false">6*J786+(J786-K786-M786)+2*L786+3*N786</f>
        <v>6</v>
      </c>
      <c r="P786" s="0" t="n">
        <f aca="true">RAND()</f>
        <v>0.173079385002189</v>
      </c>
      <c r="Q786" s="0" t="n">
        <f aca="true">RAND()</f>
        <v>0.776082888232767</v>
      </c>
      <c r="R786" s="0" t="n">
        <f aca="false">IF($I786&lt;&gt;$O786,0,IF(P786&lt;Matchup!$B$39,7,IF(P786&lt;Matchup!$B$39+Matchup!$B$40,3,0)))</f>
        <v>0</v>
      </c>
      <c r="S786" s="0" t="n">
        <f aca="false">IF($I786&lt;&gt;$O786,0,IF(Q786&lt;Matchup!$C$39,7,IF(Q786&lt;Matchup!$C$39+Matchup!$C$40,3,0)))</f>
        <v>0</v>
      </c>
      <c r="T786" s="0" t="n">
        <f aca="false">I786+R786</f>
        <v>20</v>
      </c>
      <c r="U786" s="0" t="n">
        <f aca="false">O786+S786</f>
        <v>6</v>
      </c>
      <c r="V786" s="0" t="n">
        <f aca="false">T786-U786</f>
        <v>14</v>
      </c>
      <c r="W786" s="0" t="n">
        <f aca="false">T786+U786</f>
        <v>26</v>
      </c>
    </row>
    <row r="787" customFormat="false" ht="15" hidden="false" customHeight="false" outlineLevel="0" collapsed="false">
      <c r="A787" s="0" t="n">
        <v>784</v>
      </c>
      <c r="B787" s="0" t="n">
        <f aca="true">NORMINV(RAND(),1,Coefficients!$B$22)</f>
        <v>0.983850710899619</v>
      </c>
      <c r="C787" s="0" t="n">
        <f aca="true">MEDIAN(8,16,ROUND(NORMINV(RAND(),Coefficients!$B$20,Coefficients!$B$21),0))</f>
        <v>12</v>
      </c>
      <c r="D787" s="0" t="n">
        <f aca="true">CRITBINOM($C787,MIN(0.75,Matchup!$B$39*$B787),RAND())</f>
        <v>5</v>
      </c>
      <c r="E787" s="0" t="n">
        <f aca="true">CRITBINOM(D787,Coefficients!$B$30,RAND())</f>
        <v>0</v>
      </c>
      <c r="F787" s="0" t="n">
        <f aca="true">CRITBINOM(E787,Coefficients!$B$31,RAND())</f>
        <v>0</v>
      </c>
      <c r="G787" s="0" t="n">
        <f aca="true">CRITBINOM(MAX(0,D787-E787),1-Coefficients!$B$32,RAND())</f>
        <v>0</v>
      </c>
      <c r="H787" s="0" t="n">
        <f aca="true">CRITBINOM(MAX(0,$C787-D787),MIN(0.6,Matchup!$B$40*SQRT($B787)/(1-MIN(0.75,Matchup!$B$39*$B787))),RAND())</f>
        <v>1</v>
      </c>
      <c r="I787" s="0" t="n">
        <f aca="false">6*D787+(D787-E787-G787)+2*F787+3*H787</f>
        <v>38</v>
      </c>
      <c r="J787" s="0" t="n">
        <f aca="true">CRITBINOM($C787,MIN(0.75,Matchup!$C$39*$B787),RAND())</f>
        <v>1</v>
      </c>
      <c r="K787" s="0" t="n">
        <f aca="true">CRITBINOM(J787,Coefficients!$B$30,RAND())</f>
        <v>0</v>
      </c>
      <c r="L787" s="0" t="n">
        <f aca="true">CRITBINOM(K787,Coefficients!$B$31,RAND())</f>
        <v>0</v>
      </c>
      <c r="M787" s="0" t="n">
        <f aca="true">CRITBINOM(MAX(0,J787-K787),1-Coefficients!$B$32,RAND())</f>
        <v>0</v>
      </c>
      <c r="N787" s="0" t="n">
        <f aca="true">CRITBINOM(MAX(0,$C787-J787),MIN(0.6,Matchup!$C$40*SQRT($B787)/(1-MIN(0.75,Matchup!$C$39*$B787))),RAND())</f>
        <v>0</v>
      </c>
      <c r="O787" s="0" t="n">
        <f aca="false">6*J787+(J787-K787-M787)+2*L787+3*N787</f>
        <v>7</v>
      </c>
      <c r="P787" s="0" t="n">
        <f aca="true">RAND()</f>
        <v>0.882308407748419</v>
      </c>
      <c r="Q787" s="0" t="n">
        <f aca="true">RAND()</f>
        <v>0.949180338568912</v>
      </c>
      <c r="R787" s="0" t="n">
        <f aca="false">IF($I787&lt;&gt;$O787,0,IF(P787&lt;Matchup!$B$39,7,IF(P787&lt;Matchup!$B$39+Matchup!$B$40,3,0)))</f>
        <v>0</v>
      </c>
      <c r="S787" s="0" t="n">
        <f aca="false">IF($I787&lt;&gt;$O787,0,IF(Q787&lt;Matchup!$C$39,7,IF(Q787&lt;Matchup!$C$39+Matchup!$C$40,3,0)))</f>
        <v>0</v>
      </c>
      <c r="T787" s="0" t="n">
        <f aca="false">I787+R787</f>
        <v>38</v>
      </c>
      <c r="U787" s="0" t="n">
        <f aca="false">O787+S787</f>
        <v>7</v>
      </c>
      <c r="V787" s="0" t="n">
        <f aca="false">T787-U787</f>
        <v>31</v>
      </c>
      <c r="W787" s="0" t="n">
        <f aca="false">T787+U787</f>
        <v>45</v>
      </c>
    </row>
    <row r="788" customFormat="false" ht="15" hidden="false" customHeight="false" outlineLevel="0" collapsed="false">
      <c r="A788" s="0" t="n">
        <v>785</v>
      </c>
      <c r="B788" s="0" t="n">
        <f aca="true">NORMINV(RAND(),1,Coefficients!$B$22)</f>
        <v>0.975690455873172</v>
      </c>
      <c r="C788" s="0" t="n">
        <f aca="true">MEDIAN(8,16,ROUND(NORMINV(RAND(),Coefficients!$B$20,Coefficients!$B$21),0))</f>
        <v>9</v>
      </c>
      <c r="D788" s="0" t="n">
        <f aca="true">CRITBINOM($C788,MIN(0.75,Matchup!$B$39*$B788),RAND())</f>
        <v>1</v>
      </c>
      <c r="E788" s="0" t="n">
        <f aca="true">CRITBINOM(D788,Coefficients!$B$30,RAND())</f>
        <v>0</v>
      </c>
      <c r="F788" s="0" t="n">
        <f aca="true">CRITBINOM(E788,Coefficients!$B$31,RAND())</f>
        <v>0</v>
      </c>
      <c r="G788" s="0" t="n">
        <f aca="true">CRITBINOM(MAX(0,D788-E788),1-Coefficients!$B$32,RAND())</f>
        <v>0</v>
      </c>
      <c r="H788" s="0" t="n">
        <f aca="true">CRITBINOM(MAX(0,$C788-D788),MIN(0.6,Matchup!$B$40*SQRT($B788)/(1-MIN(0.75,Matchup!$B$39*$B788))),RAND())</f>
        <v>1</v>
      </c>
      <c r="I788" s="0" t="n">
        <f aca="false">6*D788+(D788-E788-G788)+2*F788+3*H788</f>
        <v>10</v>
      </c>
      <c r="J788" s="0" t="n">
        <f aca="true">CRITBINOM($C788,MIN(0.75,Matchup!$C$39*$B788),RAND())</f>
        <v>2</v>
      </c>
      <c r="K788" s="0" t="n">
        <f aca="true">CRITBINOM(J788,Coefficients!$B$30,RAND())</f>
        <v>0</v>
      </c>
      <c r="L788" s="0" t="n">
        <f aca="true">CRITBINOM(K788,Coefficients!$B$31,RAND())</f>
        <v>0</v>
      </c>
      <c r="M788" s="0" t="n">
        <f aca="true">CRITBINOM(MAX(0,J788-K788),1-Coefficients!$B$32,RAND())</f>
        <v>0</v>
      </c>
      <c r="N788" s="0" t="n">
        <f aca="true">CRITBINOM(MAX(0,$C788-J788),MIN(0.6,Matchup!$C$40*SQRT($B788)/(1-MIN(0.75,Matchup!$C$39*$B788))),RAND())</f>
        <v>0</v>
      </c>
      <c r="O788" s="0" t="n">
        <f aca="false">6*J788+(J788-K788-M788)+2*L788+3*N788</f>
        <v>14</v>
      </c>
      <c r="P788" s="0" t="n">
        <f aca="true">RAND()</f>
        <v>0.136114754241728</v>
      </c>
      <c r="Q788" s="0" t="n">
        <f aca="true">RAND()</f>
        <v>0.90637423888551</v>
      </c>
      <c r="R788" s="0" t="n">
        <f aca="false">IF($I788&lt;&gt;$O788,0,IF(P788&lt;Matchup!$B$39,7,IF(P788&lt;Matchup!$B$39+Matchup!$B$40,3,0)))</f>
        <v>0</v>
      </c>
      <c r="S788" s="0" t="n">
        <f aca="false">IF($I788&lt;&gt;$O788,0,IF(Q788&lt;Matchup!$C$39,7,IF(Q788&lt;Matchup!$C$39+Matchup!$C$40,3,0)))</f>
        <v>0</v>
      </c>
      <c r="T788" s="0" t="n">
        <f aca="false">I788+R788</f>
        <v>10</v>
      </c>
      <c r="U788" s="0" t="n">
        <f aca="false">O788+S788</f>
        <v>14</v>
      </c>
      <c r="V788" s="0" t="n">
        <f aca="false">T788-U788</f>
        <v>-4</v>
      </c>
      <c r="W788" s="0" t="n">
        <f aca="false">T788+U788</f>
        <v>24</v>
      </c>
    </row>
    <row r="789" customFormat="false" ht="15" hidden="false" customHeight="false" outlineLevel="0" collapsed="false">
      <c r="A789" s="0" t="n">
        <v>786</v>
      </c>
      <c r="B789" s="0" t="n">
        <f aca="true">NORMINV(RAND(),1,Coefficients!$B$22)</f>
        <v>0.975816232090381</v>
      </c>
      <c r="C789" s="0" t="n">
        <f aca="true">MEDIAN(8,16,ROUND(NORMINV(RAND(),Coefficients!$B$20,Coefficients!$B$21),0))</f>
        <v>11</v>
      </c>
      <c r="D789" s="0" t="n">
        <f aca="true">CRITBINOM($C789,MIN(0.75,Matchup!$B$39*$B789),RAND())</f>
        <v>1</v>
      </c>
      <c r="E789" s="0" t="n">
        <f aca="true">CRITBINOM(D789,Coefficients!$B$30,RAND())</f>
        <v>0</v>
      </c>
      <c r="F789" s="0" t="n">
        <f aca="true">CRITBINOM(E789,Coefficients!$B$31,RAND())</f>
        <v>0</v>
      </c>
      <c r="G789" s="0" t="n">
        <f aca="true">CRITBINOM(MAX(0,D789-E789),1-Coefficients!$B$32,RAND())</f>
        <v>0</v>
      </c>
      <c r="H789" s="0" t="n">
        <f aca="true">CRITBINOM(MAX(0,$C789-D789),MIN(0.6,Matchup!$B$40*SQRT($B789)/(1-MIN(0.75,Matchup!$B$39*$B789))),RAND())</f>
        <v>1</v>
      </c>
      <c r="I789" s="0" t="n">
        <f aca="false">6*D789+(D789-E789-G789)+2*F789+3*H789</f>
        <v>10</v>
      </c>
      <c r="J789" s="0" t="n">
        <f aca="true">CRITBINOM($C789,MIN(0.75,Matchup!$C$39*$B789),RAND())</f>
        <v>2</v>
      </c>
      <c r="K789" s="0" t="n">
        <f aca="true">CRITBINOM(J789,Coefficients!$B$30,RAND())</f>
        <v>1</v>
      </c>
      <c r="L789" s="0" t="n">
        <f aca="true">CRITBINOM(K789,Coefficients!$B$31,RAND())</f>
        <v>1</v>
      </c>
      <c r="M789" s="0" t="n">
        <f aca="true">CRITBINOM(MAX(0,J789-K789),1-Coefficients!$B$32,RAND())</f>
        <v>0</v>
      </c>
      <c r="N789" s="0" t="n">
        <f aca="true">CRITBINOM(MAX(0,$C789-J789),MIN(0.6,Matchup!$C$40*SQRT($B789)/(1-MIN(0.75,Matchup!$C$39*$B789))),RAND())</f>
        <v>1</v>
      </c>
      <c r="O789" s="0" t="n">
        <f aca="false">6*J789+(J789-K789-M789)+2*L789+3*N789</f>
        <v>18</v>
      </c>
      <c r="P789" s="0" t="n">
        <f aca="true">RAND()</f>
        <v>0.12112166643605</v>
      </c>
      <c r="Q789" s="0" t="n">
        <f aca="true">RAND()</f>
        <v>0.945073109185125</v>
      </c>
      <c r="R789" s="0" t="n">
        <f aca="false">IF($I789&lt;&gt;$O789,0,IF(P789&lt;Matchup!$B$39,7,IF(P789&lt;Matchup!$B$39+Matchup!$B$40,3,0)))</f>
        <v>0</v>
      </c>
      <c r="S789" s="0" t="n">
        <f aca="false">IF($I789&lt;&gt;$O789,0,IF(Q789&lt;Matchup!$C$39,7,IF(Q789&lt;Matchup!$C$39+Matchup!$C$40,3,0)))</f>
        <v>0</v>
      </c>
      <c r="T789" s="0" t="n">
        <f aca="false">I789+R789</f>
        <v>10</v>
      </c>
      <c r="U789" s="0" t="n">
        <f aca="false">O789+S789</f>
        <v>18</v>
      </c>
      <c r="V789" s="0" t="n">
        <f aca="false">T789-U789</f>
        <v>-8</v>
      </c>
      <c r="W789" s="0" t="n">
        <f aca="false">T789+U789</f>
        <v>28</v>
      </c>
    </row>
    <row r="790" customFormat="false" ht="15" hidden="false" customHeight="false" outlineLevel="0" collapsed="false">
      <c r="A790" s="0" t="n">
        <v>787</v>
      </c>
      <c r="B790" s="0" t="n">
        <f aca="true">NORMINV(RAND(),1,Coefficients!$B$22)</f>
        <v>1.11187173720596</v>
      </c>
      <c r="C790" s="0" t="n">
        <f aca="true">MEDIAN(8,16,ROUND(NORMINV(RAND(),Coefficients!$B$20,Coefficients!$B$21),0))</f>
        <v>9</v>
      </c>
      <c r="D790" s="0" t="n">
        <f aca="true">CRITBINOM($C790,MIN(0.75,Matchup!$B$39*$B790),RAND())</f>
        <v>4</v>
      </c>
      <c r="E790" s="0" t="n">
        <f aca="true">CRITBINOM(D790,Coefficients!$B$30,RAND())</f>
        <v>0</v>
      </c>
      <c r="F790" s="0" t="n">
        <f aca="true">CRITBINOM(E790,Coefficients!$B$31,RAND())</f>
        <v>0</v>
      </c>
      <c r="G790" s="0" t="n">
        <f aca="true">CRITBINOM(MAX(0,D790-E790),1-Coefficients!$B$32,RAND())</f>
        <v>0</v>
      </c>
      <c r="H790" s="0" t="n">
        <f aca="true">CRITBINOM(MAX(0,$C790-D790),MIN(0.6,Matchup!$B$40*SQRT($B790)/(1-MIN(0.75,Matchup!$B$39*$B790))),RAND())</f>
        <v>0</v>
      </c>
      <c r="I790" s="0" t="n">
        <f aca="false">6*D790+(D790-E790-G790)+2*F790+3*H790</f>
        <v>28</v>
      </c>
      <c r="J790" s="0" t="n">
        <f aca="true">CRITBINOM($C790,MIN(0.75,Matchup!$C$39*$B790),RAND())</f>
        <v>1</v>
      </c>
      <c r="K790" s="0" t="n">
        <f aca="true">CRITBINOM(J790,Coefficients!$B$30,RAND())</f>
        <v>0</v>
      </c>
      <c r="L790" s="0" t="n">
        <f aca="true">CRITBINOM(K790,Coefficients!$B$31,RAND())</f>
        <v>0</v>
      </c>
      <c r="M790" s="0" t="n">
        <f aca="true">CRITBINOM(MAX(0,J790-K790),1-Coefficients!$B$32,RAND())</f>
        <v>0</v>
      </c>
      <c r="N790" s="0" t="n">
        <f aca="true">CRITBINOM(MAX(0,$C790-J790),MIN(0.6,Matchup!$C$40*SQRT($B790)/(1-MIN(0.75,Matchup!$C$39*$B790))),RAND())</f>
        <v>2</v>
      </c>
      <c r="O790" s="0" t="n">
        <f aca="false">6*J790+(J790-K790-M790)+2*L790+3*N790</f>
        <v>13</v>
      </c>
      <c r="P790" s="0" t="n">
        <f aca="true">RAND()</f>
        <v>0.230063824699616</v>
      </c>
      <c r="Q790" s="0" t="n">
        <f aca="true">RAND()</f>
        <v>0.804551283023982</v>
      </c>
      <c r="R790" s="0" t="n">
        <f aca="false">IF($I790&lt;&gt;$O790,0,IF(P790&lt;Matchup!$B$39,7,IF(P790&lt;Matchup!$B$39+Matchup!$B$40,3,0)))</f>
        <v>0</v>
      </c>
      <c r="S790" s="0" t="n">
        <f aca="false">IF($I790&lt;&gt;$O790,0,IF(Q790&lt;Matchup!$C$39,7,IF(Q790&lt;Matchup!$C$39+Matchup!$C$40,3,0)))</f>
        <v>0</v>
      </c>
      <c r="T790" s="0" t="n">
        <f aca="false">I790+R790</f>
        <v>28</v>
      </c>
      <c r="U790" s="0" t="n">
        <f aca="false">O790+S790</f>
        <v>13</v>
      </c>
      <c r="V790" s="0" t="n">
        <f aca="false">T790-U790</f>
        <v>15</v>
      </c>
      <c r="W790" s="0" t="n">
        <f aca="false">T790+U790</f>
        <v>41</v>
      </c>
    </row>
    <row r="791" customFormat="false" ht="15" hidden="false" customHeight="false" outlineLevel="0" collapsed="false">
      <c r="A791" s="0" t="n">
        <v>788</v>
      </c>
      <c r="B791" s="0" t="n">
        <f aca="true">NORMINV(RAND(),1,Coefficients!$B$22)</f>
        <v>0.985809928385856</v>
      </c>
      <c r="C791" s="0" t="n">
        <f aca="true">MEDIAN(8,16,ROUND(NORMINV(RAND(),Coefficients!$B$20,Coefficients!$B$21),0))</f>
        <v>10</v>
      </c>
      <c r="D791" s="0" t="n">
        <f aca="true">CRITBINOM($C791,MIN(0.75,Matchup!$B$39*$B791),RAND())</f>
        <v>6</v>
      </c>
      <c r="E791" s="0" t="n">
        <f aca="true">CRITBINOM(D791,Coefficients!$B$30,RAND())</f>
        <v>2</v>
      </c>
      <c r="F791" s="0" t="n">
        <f aca="true">CRITBINOM(E791,Coefficients!$B$31,RAND())</f>
        <v>1</v>
      </c>
      <c r="G791" s="0" t="n">
        <f aca="true">CRITBINOM(MAX(0,D791-E791),1-Coefficients!$B$32,RAND())</f>
        <v>0</v>
      </c>
      <c r="H791" s="0" t="n">
        <f aca="true">CRITBINOM(MAX(0,$C791-D791),MIN(0.6,Matchup!$B$40*SQRT($B791)/(1-MIN(0.75,Matchup!$B$39*$B791))),RAND())</f>
        <v>0</v>
      </c>
      <c r="I791" s="0" t="n">
        <f aca="false">6*D791+(D791-E791-G791)+2*F791+3*H791</f>
        <v>42</v>
      </c>
      <c r="J791" s="0" t="n">
        <f aca="true">CRITBINOM($C791,MIN(0.75,Matchup!$C$39*$B791),RAND())</f>
        <v>1</v>
      </c>
      <c r="K791" s="0" t="n">
        <f aca="true">CRITBINOM(J791,Coefficients!$B$30,RAND())</f>
        <v>0</v>
      </c>
      <c r="L791" s="0" t="n">
        <f aca="true">CRITBINOM(K791,Coefficients!$B$31,RAND())</f>
        <v>0</v>
      </c>
      <c r="M791" s="0" t="n">
        <f aca="true">CRITBINOM(MAX(0,J791-K791),1-Coefficients!$B$32,RAND())</f>
        <v>0</v>
      </c>
      <c r="N791" s="0" t="n">
        <f aca="true">CRITBINOM(MAX(0,$C791-J791),MIN(0.6,Matchup!$C$40*SQRT($B791)/(1-MIN(0.75,Matchup!$C$39*$B791))),RAND())</f>
        <v>2</v>
      </c>
      <c r="O791" s="0" t="n">
        <f aca="false">6*J791+(J791-K791-M791)+2*L791+3*N791</f>
        <v>13</v>
      </c>
      <c r="P791" s="0" t="n">
        <f aca="true">RAND()</f>
        <v>0.477715607350265</v>
      </c>
      <c r="Q791" s="0" t="n">
        <f aca="true">RAND()</f>
        <v>0.633227123621551</v>
      </c>
      <c r="R791" s="0" t="n">
        <f aca="false">IF($I791&lt;&gt;$O791,0,IF(P791&lt;Matchup!$B$39,7,IF(P791&lt;Matchup!$B$39+Matchup!$B$40,3,0)))</f>
        <v>0</v>
      </c>
      <c r="S791" s="0" t="n">
        <f aca="false">IF($I791&lt;&gt;$O791,0,IF(Q791&lt;Matchup!$C$39,7,IF(Q791&lt;Matchup!$C$39+Matchup!$C$40,3,0)))</f>
        <v>0</v>
      </c>
      <c r="T791" s="0" t="n">
        <f aca="false">I791+R791</f>
        <v>42</v>
      </c>
      <c r="U791" s="0" t="n">
        <f aca="false">O791+S791</f>
        <v>13</v>
      </c>
      <c r="V791" s="0" t="n">
        <f aca="false">T791-U791</f>
        <v>29</v>
      </c>
      <c r="W791" s="0" t="n">
        <f aca="false">T791+U791</f>
        <v>55</v>
      </c>
    </row>
    <row r="792" customFormat="false" ht="15" hidden="false" customHeight="false" outlineLevel="0" collapsed="false">
      <c r="A792" s="0" t="n">
        <v>789</v>
      </c>
      <c r="B792" s="0" t="n">
        <f aca="true">NORMINV(RAND(),1,Coefficients!$B$22)</f>
        <v>1.02332857651813</v>
      </c>
      <c r="C792" s="0" t="n">
        <f aca="true">MEDIAN(8,16,ROUND(NORMINV(RAND(),Coefficients!$B$20,Coefficients!$B$21),0))</f>
        <v>11</v>
      </c>
      <c r="D792" s="0" t="n">
        <f aca="true">CRITBINOM($C792,MIN(0.75,Matchup!$B$39*$B792),RAND())</f>
        <v>3</v>
      </c>
      <c r="E792" s="0" t="n">
        <f aca="true">CRITBINOM(D792,Coefficients!$B$30,RAND())</f>
        <v>0</v>
      </c>
      <c r="F792" s="0" t="n">
        <f aca="true">CRITBINOM(E792,Coefficients!$B$31,RAND())</f>
        <v>0</v>
      </c>
      <c r="G792" s="0" t="n">
        <f aca="true">CRITBINOM(MAX(0,D792-E792),1-Coefficients!$B$32,RAND())</f>
        <v>1</v>
      </c>
      <c r="H792" s="0" t="n">
        <f aca="true">CRITBINOM(MAX(0,$C792-D792),MIN(0.6,Matchup!$B$40*SQRT($B792)/(1-MIN(0.75,Matchup!$B$39*$B792))),RAND())</f>
        <v>1</v>
      </c>
      <c r="I792" s="0" t="n">
        <f aca="false">6*D792+(D792-E792-G792)+2*F792+3*H792</f>
        <v>23</v>
      </c>
      <c r="J792" s="0" t="n">
        <f aca="true">CRITBINOM($C792,MIN(0.75,Matchup!$C$39*$B792),RAND())</f>
        <v>2</v>
      </c>
      <c r="K792" s="0" t="n">
        <f aca="true">CRITBINOM(J792,Coefficients!$B$30,RAND())</f>
        <v>0</v>
      </c>
      <c r="L792" s="0" t="n">
        <f aca="true">CRITBINOM(K792,Coefficients!$B$31,RAND())</f>
        <v>0</v>
      </c>
      <c r="M792" s="0" t="n">
        <f aca="true">CRITBINOM(MAX(0,J792-K792),1-Coefficients!$B$32,RAND())</f>
        <v>0</v>
      </c>
      <c r="N792" s="0" t="n">
        <f aca="true">CRITBINOM(MAX(0,$C792-J792),MIN(0.6,Matchup!$C$40*SQRT($B792)/(1-MIN(0.75,Matchup!$C$39*$B792))),RAND())</f>
        <v>0</v>
      </c>
      <c r="O792" s="0" t="n">
        <f aca="false">6*J792+(J792-K792-M792)+2*L792+3*N792</f>
        <v>14</v>
      </c>
      <c r="P792" s="0" t="n">
        <f aca="true">RAND()</f>
        <v>0.217246398947003</v>
      </c>
      <c r="Q792" s="0" t="n">
        <f aca="true">RAND()</f>
        <v>0.89409977988524</v>
      </c>
      <c r="R792" s="0" t="n">
        <f aca="false">IF($I792&lt;&gt;$O792,0,IF(P792&lt;Matchup!$B$39,7,IF(P792&lt;Matchup!$B$39+Matchup!$B$40,3,0)))</f>
        <v>0</v>
      </c>
      <c r="S792" s="0" t="n">
        <f aca="false">IF($I792&lt;&gt;$O792,0,IF(Q792&lt;Matchup!$C$39,7,IF(Q792&lt;Matchup!$C$39+Matchup!$C$40,3,0)))</f>
        <v>0</v>
      </c>
      <c r="T792" s="0" t="n">
        <f aca="false">I792+R792</f>
        <v>23</v>
      </c>
      <c r="U792" s="0" t="n">
        <f aca="false">O792+S792</f>
        <v>14</v>
      </c>
      <c r="V792" s="0" t="n">
        <f aca="false">T792-U792</f>
        <v>9</v>
      </c>
      <c r="W792" s="0" t="n">
        <f aca="false">T792+U792</f>
        <v>37</v>
      </c>
    </row>
    <row r="793" customFormat="false" ht="15" hidden="false" customHeight="false" outlineLevel="0" collapsed="false">
      <c r="A793" s="0" t="n">
        <v>790</v>
      </c>
      <c r="B793" s="0" t="n">
        <f aca="true">NORMINV(RAND(),1,Coefficients!$B$22)</f>
        <v>1.05669658448226</v>
      </c>
      <c r="C793" s="0" t="n">
        <f aca="true">MEDIAN(8,16,ROUND(NORMINV(RAND(),Coefficients!$B$20,Coefficients!$B$21),0))</f>
        <v>11</v>
      </c>
      <c r="D793" s="0" t="n">
        <f aca="true">CRITBINOM($C793,MIN(0.75,Matchup!$B$39*$B793),RAND())</f>
        <v>4</v>
      </c>
      <c r="E793" s="0" t="n">
        <f aca="true">CRITBINOM(D793,Coefficients!$B$30,RAND())</f>
        <v>0</v>
      </c>
      <c r="F793" s="0" t="n">
        <f aca="true">CRITBINOM(E793,Coefficients!$B$31,RAND())</f>
        <v>0</v>
      </c>
      <c r="G793" s="0" t="n">
        <f aca="true">CRITBINOM(MAX(0,D793-E793),1-Coefficients!$B$32,RAND())</f>
        <v>1</v>
      </c>
      <c r="H793" s="0" t="n">
        <f aca="true">CRITBINOM(MAX(0,$C793-D793),MIN(0.6,Matchup!$B$40*SQRT($B793)/(1-MIN(0.75,Matchup!$B$39*$B793))),RAND())</f>
        <v>0</v>
      </c>
      <c r="I793" s="0" t="n">
        <f aca="false">6*D793+(D793-E793-G793)+2*F793+3*H793</f>
        <v>27</v>
      </c>
      <c r="J793" s="0" t="n">
        <f aca="true">CRITBINOM($C793,MIN(0.75,Matchup!$C$39*$B793),RAND())</f>
        <v>4</v>
      </c>
      <c r="K793" s="0" t="n">
        <f aca="true">CRITBINOM(J793,Coefficients!$B$30,RAND())</f>
        <v>2</v>
      </c>
      <c r="L793" s="0" t="n">
        <f aca="true">CRITBINOM(K793,Coefficients!$B$31,RAND())</f>
        <v>2</v>
      </c>
      <c r="M793" s="0" t="n">
        <f aca="true">CRITBINOM(MAX(0,J793-K793),1-Coefficients!$B$32,RAND())</f>
        <v>0</v>
      </c>
      <c r="N793" s="0" t="n">
        <f aca="true">CRITBINOM(MAX(0,$C793-J793),MIN(0.6,Matchup!$C$40*SQRT($B793)/(1-MIN(0.75,Matchup!$C$39*$B793))),RAND())</f>
        <v>1</v>
      </c>
      <c r="O793" s="0" t="n">
        <f aca="false">6*J793+(J793-K793-M793)+2*L793+3*N793</f>
        <v>33</v>
      </c>
      <c r="P793" s="0" t="n">
        <f aca="true">RAND()</f>
        <v>0.537798318583699</v>
      </c>
      <c r="Q793" s="0" t="n">
        <f aca="true">RAND()</f>
        <v>0.294685767169428</v>
      </c>
      <c r="R793" s="0" t="n">
        <f aca="false">IF($I793&lt;&gt;$O793,0,IF(P793&lt;Matchup!$B$39,7,IF(P793&lt;Matchup!$B$39+Matchup!$B$40,3,0)))</f>
        <v>0</v>
      </c>
      <c r="S793" s="0" t="n">
        <f aca="false">IF($I793&lt;&gt;$O793,0,IF(Q793&lt;Matchup!$C$39,7,IF(Q793&lt;Matchup!$C$39+Matchup!$C$40,3,0)))</f>
        <v>0</v>
      </c>
      <c r="T793" s="0" t="n">
        <f aca="false">I793+R793</f>
        <v>27</v>
      </c>
      <c r="U793" s="0" t="n">
        <f aca="false">O793+S793</f>
        <v>33</v>
      </c>
      <c r="V793" s="0" t="n">
        <f aca="false">T793-U793</f>
        <v>-6</v>
      </c>
      <c r="W793" s="0" t="n">
        <f aca="false">T793+U793</f>
        <v>60</v>
      </c>
    </row>
    <row r="794" customFormat="false" ht="15" hidden="false" customHeight="false" outlineLevel="0" collapsed="false">
      <c r="A794" s="0" t="n">
        <v>791</v>
      </c>
      <c r="B794" s="0" t="n">
        <f aca="true">NORMINV(RAND(),1,Coefficients!$B$22)</f>
        <v>0.931682093866035</v>
      </c>
      <c r="C794" s="0" t="n">
        <f aca="true">MEDIAN(8,16,ROUND(NORMINV(RAND(),Coefficients!$B$20,Coefficients!$B$21),0))</f>
        <v>10</v>
      </c>
      <c r="D794" s="0" t="n">
        <f aca="true">CRITBINOM($C794,MIN(0.75,Matchup!$B$39*$B794),RAND())</f>
        <v>2</v>
      </c>
      <c r="E794" s="0" t="n">
        <f aca="true">CRITBINOM(D794,Coefficients!$B$30,RAND())</f>
        <v>1</v>
      </c>
      <c r="F794" s="0" t="n">
        <f aca="true">CRITBINOM(E794,Coefficients!$B$31,RAND())</f>
        <v>1</v>
      </c>
      <c r="G794" s="0" t="n">
        <f aca="true">CRITBINOM(MAX(0,D794-E794),1-Coefficients!$B$32,RAND())</f>
        <v>0</v>
      </c>
      <c r="H794" s="0" t="n">
        <f aca="true">CRITBINOM(MAX(0,$C794-D794),MIN(0.6,Matchup!$B$40*SQRT($B794)/(1-MIN(0.75,Matchup!$B$39*$B794))),RAND())</f>
        <v>2</v>
      </c>
      <c r="I794" s="0" t="n">
        <f aca="false">6*D794+(D794-E794-G794)+2*F794+3*H794</f>
        <v>21</v>
      </c>
      <c r="J794" s="0" t="n">
        <f aca="true">CRITBINOM($C794,MIN(0.75,Matchup!$C$39*$B794),RAND())</f>
        <v>2</v>
      </c>
      <c r="K794" s="0" t="n">
        <f aca="true">CRITBINOM(J794,Coefficients!$B$30,RAND())</f>
        <v>0</v>
      </c>
      <c r="L794" s="0" t="n">
        <f aca="true">CRITBINOM(K794,Coefficients!$B$31,RAND())</f>
        <v>0</v>
      </c>
      <c r="M794" s="0" t="n">
        <f aca="true">CRITBINOM(MAX(0,J794-K794),1-Coefficients!$B$32,RAND())</f>
        <v>0</v>
      </c>
      <c r="N794" s="0" t="n">
        <f aca="true">CRITBINOM(MAX(0,$C794-J794),MIN(0.6,Matchup!$C$40*SQRT($B794)/(1-MIN(0.75,Matchup!$C$39*$B794))),RAND())</f>
        <v>1</v>
      </c>
      <c r="O794" s="0" t="n">
        <f aca="false">6*J794+(J794-K794-M794)+2*L794+3*N794</f>
        <v>17</v>
      </c>
      <c r="P794" s="0" t="n">
        <f aca="true">RAND()</f>
        <v>0.510492205646475</v>
      </c>
      <c r="Q794" s="0" t="n">
        <f aca="true">RAND()</f>
        <v>0.643383020295768</v>
      </c>
      <c r="R794" s="0" t="n">
        <f aca="false">IF($I794&lt;&gt;$O794,0,IF(P794&lt;Matchup!$B$39,7,IF(P794&lt;Matchup!$B$39+Matchup!$B$40,3,0)))</f>
        <v>0</v>
      </c>
      <c r="S794" s="0" t="n">
        <f aca="false">IF($I794&lt;&gt;$O794,0,IF(Q794&lt;Matchup!$C$39,7,IF(Q794&lt;Matchup!$C$39+Matchup!$C$40,3,0)))</f>
        <v>0</v>
      </c>
      <c r="T794" s="0" t="n">
        <f aca="false">I794+R794</f>
        <v>21</v>
      </c>
      <c r="U794" s="0" t="n">
        <f aca="false">O794+S794</f>
        <v>17</v>
      </c>
      <c r="V794" s="0" t="n">
        <f aca="false">T794-U794</f>
        <v>4</v>
      </c>
      <c r="W794" s="0" t="n">
        <f aca="false">T794+U794</f>
        <v>38</v>
      </c>
    </row>
    <row r="795" customFormat="false" ht="15" hidden="false" customHeight="false" outlineLevel="0" collapsed="false">
      <c r="A795" s="0" t="n">
        <v>792</v>
      </c>
      <c r="B795" s="0" t="n">
        <f aca="true">NORMINV(RAND(),1,Coefficients!$B$22)</f>
        <v>0.902682854988553</v>
      </c>
      <c r="C795" s="0" t="n">
        <f aca="true">MEDIAN(8,16,ROUND(NORMINV(RAND(),Coefficients!$B$20,Coefficients!$B$21),0))</f>
        <v>11</v>
      </c>
      <c r="D795" s="0" t="n">
        <f aca="true">CRITBINOM($C795,MIN(0.75,Matchup!$B$39*$B795),RAND())</f>
        <v>1</v>
      </c>
      <c r="E795" s="0" t="n">
        <f aca="true">CRITBINOM(D795,Coefficients!$B$30,RAND())</f>
        <v>0</v>
      </c>
      <c r="F795" s="0" t="n">
        <f aca="true">CRITBINOM(E795,Coefficients!$B$31,RAND())</f>
        <v>0</v>
      </c>
      <c r="G795" s="0" t="n">
        <f aca="true">CRITBINOM(MAX(0,D795-E795),1-Coefficients!$B$32,RAND())</f>
        <v>0</v>
      </c>
      <c r="H795" s="0" t="n">
        <f aca="true">CRITBINOM(MAX(0,$C795-D795),MIN(0.6,Matchup!$B$40*SQRT($B795)/(1-MIN(0.75,Matchup!$B$39*$B795))),RAND())</f>
        <v>1</v>
      </c>
      <c r="I795" s="0" t="n">
        <f aca="false">6*D795+(D795-E795-G795)+2*F795+3*H795</f>
        <v>10</v>
      </c>
      <c r="J795" s="0" t="n">
        <f aca="true">CRITBINOM($C795,MIN(0.75,Matchup!$C$39*$B795),RAND())</f>
        <v>4</v>
      </c>
      <c r="K795" s="0" t="n">
        <f aca="true">CRITBINOM(J795,Coefficients!$B$30,RAND())</f>
        <v>0</v>
      </c>
      <c r="L795" s="0" t="n">
        <f aca="true">CRITBINOM(K795,Coefficients!$B$31,RAND())</f>
        <v>0</v>
      </c>
      <c r="M795" s="0" t="n">
        <f aca="true">CRITBINOM(MAX(0,J795-K795),1-Coefficients!$B$32,RAND())</f>
        <v>0</v>
      </c>
      <c r="N795" s="0" t="n">
        <f aca="true">CRITBINOM(MAX(0,$C795-J795),MIN(0.6,Matchup!$C$40*SQRT($B795)/(1-MIN(0.75,Matchup!$C$39*$B795))),RAND())</f>
        <v>2</v>
      </c>
      <c r="O795" s="0" t="n">
        <f aca="false">6*J795+(J795-K795-M795)+2*L795+3*N795</f>
        <v>34</v>
      </c>
      <c r="P795" s="0" t="n">
        <f aca="true">RAND()</f>
        <v>0.334967374527553</v>
      </c>
      <c r="Q795" s="0" t="n">
        <f aca="true">RAND()</f>
        <v>0.833633543438293</v>
      </c>
      <c r="R795" s="0" t="n">
        <f aca="false">IF($I795&lt;&gt;$O795,0,IF(P795&lt;Matchup!$B$39,7,IF(P795&lt;Matchup!$B$39+Matchup!$B$40,3,0)))</f>
        <v>0</v>
      </c>
      <c r="S795" s="0" t="n">
        <f aca="false">IF($I795&lt;&gt;$O795,0,IF(Q795&lt;Matchup!$C$39,7,IF(Q795&lt;Matchup!$C$39+Matchup!$C$40,3,0)))</f>
        <v>0</v>
      </c>
      <c r="T795" s="0" t="n">
        <f aca="false">I795+R795</f>
        <v>10</v>
      </c>
      <c r="U795" s="0" t="n">
        <f aca="false">O795+S795</f>
        <v>34</v>
      </c>
      <c r="V795" s="0" t="n">
        <f aca="false">T795-U795</f>
        <v>-24</v>
      </c>
      <c r="W795" s="0" t="n">
        <f aca="false">T795+U795</f>
        <v>44</v>
      </c>
    </row>
    <row r="796" customFormat="false" ht="15" hidden="false" customHeight="false" outlineLevel="0" collapsed="false">
      <c r="A796" s="0" t="n">
        <v>793</v>
      </c>
      <c r="B796" s="0" t="n">
        <f aca="true">NORMINV(RAND(),1,Coefficients!$B$22)</f>
        <v>1.04198213435866</v>
      </c>
      <c r="C796" s="0" t="n">
        <f aca="true">MEDIAN(8,16,ROUND(NORMINV(RAND(),Coefficients!$B$20,Coefficients!$B$21),0))</f>
        <v>12</v>
      </c>
      <c r="D796" s="0" t="n">
        <f aca="true">CRITBINOM($C796,MIN(0.75,Matchup!$B$39*$B796),RAND())</f>
        <v>6</v>
      </c>
      <c r="E796" s="0" t="n">
        <f aca="true">CRITBINOM(D796,Coefficients!$B$30,RAND())</f>
        <v>0</v>
      </c>
      <c r="F796" s="0" t="n">
        <f aca="true">CRITBINOM(E796,Coefficients!$B$31,RAND())</f>
        <v>0</v>
      </c>
      <c r="G796" s="0" t="n">
        <f aca="true">CRITBINOM(MAX(0,D796-E796),1-Coefficients!$B$32,RAND())</f>
        <v>1</v>
      </c>
      <c r="H796" s="0" t="n">
        <f aca="true">CRITBINOM(MAX(0,$C796-D796),MIN(0.6,Matchup!$B$40*SQRT($B796)/(1-MIN(0.75,Matchup!$B$39*$B796))),RAND())</f>
        <v>3</v>
      </c>
      <c r="I796" s="0" t="n">
        <f aca="false">6*D796+(D796-E796-G796)+2*F796+3*H796</f>
        <v>50</v>
      </c>
      <c r="J796" s="0" t="n">
        <f aca="true">CRITBINOM($C796,MIN(0.75,Matchup!$C$39*$B796),RAND())</f>
        <v>4</v>
      </c>
      <c r="K796" s="0" t="n">
        <f aca="true">CRITBINOM(J796,Coefficients!$B$30,RAND())</f>
        <v>0</v>
      </c>
      <c r="L796" s="0" t="n">
        <f aca="true">CRITBINOM(K796,Coefficients!$B$31,RAND())</f>
        <v>0</v>
      </c>
      <c r="M796" s="0" t="n">
        <f aca="true">CRITBINOM(MAX(0,J796-K796),1-Coefficients!$B$32,RAND())</f>
        <v>0</v>
      </c>
      <c r="N796" s="0" t="n">
        <f aca="true">CRITBINOM(MAX(0,$C796-J796),MIN(0.6,Matchup!$C$40*SQRT($B796)/(1-MIN(0.75,Matchup!$C$39*$B796))),RAND())</f>
        <v>0</v>
      </c>
      <c r="O796" s="0" t="n">
        <f aca="false">6*J796+(J796-K796-M796)+2*L796+3*N796</f>
        <v>28</v>
      </c>
      <c r="P796" s="0" t="n">
        <f aca="true">RAND()</f>
        <v>0.425488714603852</v>
      </c>
      <c r="Q796" s="0" t="n">
        <f aca="true">RAND()</f>
        <v>0.622986670586723</v>
      </c>
      <c r="R796" s="0" t="n">
        <f aca="false">IF($I796&lt;&gt;$O796,0,IF(P796&lt;Matchup!$B$39,7,IF(P796&lt;Matchup!$B$39+Matchup!$B$40,3,0)))</f>
        <v>0</v>
      </c>
      <c r="S796" s="0" t="n">
        <f aca="false">IF($I796&lt;&gt;$O796,0,IF(Q796&lt;Matchup!$C$39,7,IF(Q796&lt;Matchup!$C$39+Matchup!$C$40,3,0)))</f>
        <v>0</v>
      </c>
      <c r="T796" s="0" t="n">
        <f aca="false">I796+R796</f>
        <v>50</v>
      </c>
      <c r="U796" s="0" t="n">
        <f aca="false">O796+S796</f>
        <v>28</v>
      </c>
      <c r="V796" s="0" t="n">
        <f aca="false">T796-U796</f>
        <v>22</v>
      </c>
      <c r="W796" s="0" t="n">
        <f aca="false">T796+U796</f>
        <v>78</v>
      </c>
    </row>
    <row r="797" customFormat="false" ht="15" hidden="false" customHeight="false" outlineLevel="0" collapsed="false">
      <c r="A797" s="0" t="n">
        <v>794</v>
      </c>
      <c r="B797" s="0" t="n">
        <f aca="true">NORMINV(RAND(),1,Coefficients!$B$22)</f>
        <v>1.15141196285207</v>
      </c>
      <c r="C797" s="0" t="n">
        <f aca="true">MEDIAN(8,16,ROUND(NORMINV(RAND(),Coefficients!$B$20,Coefficients!$B$21),0))</f>
        <v>12</v>
      </c>
      <c r="D797" s="0" t="n">
        <f aca="true">CRITBINOM($C797,MIN(0.75,Matchup!$B$39*$B797),RAND())</f>
        <v>3</v>
      </c>
      <c r="E797" s="0" t="n">
        <f aca="true">CRITBINOM(D797,Coefficients!$B$30,RAND())</f>
        <v>0</v>
      </c>
      <c r="F797" s="0" t="n">
        <f aca="true">CRITBINOM(E797,Coefficients!$B$31,RAND())</f>
        <v>0</v>
      </c>
      <c r="G797" s="0" t="n">
        <f aca="true">CRITBINOM(MAX(0,D797-E797),1-Coefficients!$B$32,RAND())</f>
        <v>1</v>
      </c>
      <c r="H797" s="0" t="n">
        <f aca="true">CRITBINOM(MAX(0,$C797-D797),MIN(0.6,Matchup!$B$40*SQRT($B797)/(1-MIN(0.75,Matchup!$B$39*$B797))),RAND())</f>
        <v>2</v>
      </c>
      <c r="I797" s="0" t="n">
        <f aca="false">6*D797+(D797-E797-G797)+2*F797+3*H797</f>
        <v>26</v>
      </c>
      <c r="J797" s="0" t="n">
        <f aca="true">CRITBINOM($C797,MIN(0.75,Matchup!$C$39*$B797),RAND())</f>
        <v>3</v>
      </c>
      <c r="K797" s="0" t="n">
        <f aca="true">CRITBINOM(J797,Coefficients!$B$30,RAND())</f>
        <v>0</v>
      </c>
      <c r="L797" s="0" t="n">
        <f aca="true">CRITBINOM(K797,Coefficients!$B$31,RAND())</f>
        <v>0</v>
      </c>
      <c r="M797" s="0" t="n">
        <f aca="true">CRITBINOM(MAX(0,J797-K797),1-Coefficients!$B$32,RAND())</f>
        <v>0</v>
      </c>
      <c r="N797" s="0" t="n">
        <f aca="true">CRITBINOM(MAX(0,$C797-J797),MIN(0.6,Matchup!$C$40*SQRT($B797)/(1-MIN(0.75,Matchup!$C$39*$B797))),RAND())</f>
        <v>1</v>
      </c>
      <c r="O797" s="0" t="n">
        <f aca="false">6*J797+(J797-K797-M797)+2*L797+3*N797</f>
        <v>24</v>
      </c>
      <c r="P797" s="0" t="n">
        <f aca="true">RAND()</f>
        <v>0.64871729324416</v>
      </c>
      <c r="Q797" s="0" t="n">
        <f aca="true">RAND()</f>
        <v>0.227230698847944</v>
      </c>
      <c r="R797" s="0" t="n">
        <f aca="false">IF($I797&lt;&gt;$O797,0,IF(P797&lt;Matchup!$B$39,7,IF(P797&lt;Matchup!$B$39+Matchup!$B$40,3,0)))</f>
        <v>0</v>
      </c>
      <c r="S797" s="0" t="n">
        <f aca="false">IF($I797&lt;&gt;$O797,0,IF(Q797&lt;Matchup!$C$39,7,IF(Q797&lt;Matchup!$C$39+Matchup!$C$40,3,0)))</f>
        <v>0</v>
      </c>
      <c r="T797" s="0" t="n">
        <f aca="false">I797+R797</f>
        <v>26</v>
      </c>
      <c r="U797" s="0" t="n">
        <f aca="false">O797+S797</f>
        <v>24</v>
      </c>
      <c r="V797" s="0" t="n">
        <f aca="false">T797-U797</f>
        <v>2</v>
      </c>
      <c r="W797" s="0" t="n">
        <f aca="false">T797+U797</f>
        <v>50</v>
      </c>
    </row>
    <row r="798" customFormat="false" ht="15" hidden="false" customHeight="false" outlineLevel="0" collapsed="false">
      <c r="A798" s="0" t="n">
        <v>795</v>
      </c>
      <c r="B798" s="0" t="n">
        <f aca="true">NORMINV(RAND(),1,Coefficients!$B$22)</f>
        <v>0.963531442487214</v>
      </c>
      <c r="C798" s="0" t="n">
        <f aca="true">MEDIAN(8,16,ROUND(NORMINV(RAND(),Coefficients!$B$20,Coefficients!$B$21),0))</f>
        <v>10</v>
      </c>
      <c r="D798" s="0" t="n">
        <f aca="true">CRITBINOM($C798,MIN(0.75,Matchup!$B$39*$B798),RAND())</f>
        <v>3</v>
      </c>
      <c r="E798" s="0" t="n">
        <f aca="true">CRITBINOM(D798,Coefficients!$B$30,RAND())</f>
        <v>0</v>
      </c>
      <c r="F798" s="0" t="n">
        <f aca="true">CRITBINOM(E798,Coefficients!$B$31,RAND())</f>
        <v>0</v>
      </c>
      <c r="G798" s="0" t="n">
        <f aca="true">CRITBINOM(MAX(0,D798-E798),1-Coefficients!$B$32,RAND())</f>
        <v>0</v>
      </c>
      <c r="H798" s="0" t="n">
        <f aca="true">CRITBINOM(MAX(0,$C798-D798),MIN(0.6,Matchup!$B$40*SQRT($B798)/(1-MIN(0.75,Matchup!$B$39*$B798))),RAND())</f>
        <v>3</v>
      </c>
      <c r="I798" s="0" t="n">
        <f aca="false">6*D798+(D798-E798-G798)+2*F798+3*H798</f>
        <v>30</v>
      </c>
      <c r="J798" s="0" t="n">
        <f aca="true">CRITBINOM($C798,MIN(0.75,Matchup!$C$39*$B798),RAND())</f>
        <v>2</v>
      </c>
      <c r="K798" s="0" t="n">
        <f aca="true">CRITBINOM(J798,Coefficients!$B$30,RAND())</f>
        <v>1</v>
      </c>
      <c r="L798" s="0" t="n">
        <f aca="true">CRITBINOM(K798,Coefficients!$B$31,RAND())</f>
        <v>0</v>
      </c>
      <c r="M798" s="0" t="n">
        <f aca="true">CRITBINOM(MAX(0,J798-K798),1-Coefficients!$B$32,RAND())</f>
        <v>0</v>
      </c>
      <c r="N798" s="0" t="n">
        <f aca="true">CRITBINOM(MAX(0,$C798-J798),MIN(0.6,Matchup!$C$40*SQRT($B798)/(1-MIN(0.75,Matchup!$C$39*$B798))),RAND())</f>
        <v>1</v>
      </c>
      <c r="O798" s="0" t="n">
        <f aca="false">6*J798+(J798-K798-M798)+2*L798+3*N798</f>
        <v>16</v>
      </c>
      <c r="P798" s="0" t="n">
        <f aca="true">RAND()</f>
        <v>0.977283787340436</v>
      </c>
      <c r="Q798" s="0" t="n">
        <f aca="true">RAND()</f>
        <v>0.972307276176701</v>
      </c>
      <c r="R798" s="0" t="n">
        <f aca="false">IF($I798&lt;&gt;$O798,0,IF(P798&lt;Matchup!$B$39,7,IF(P798&lt;Matchup!$B$39+Matchup!$B$40,3,0)))</f>
        <v>0</v>
      </c>
      <c r="S798" s="0" t="n">
        <f aca="false">IF($I798&lt;&gt;$O798,0,IF(Q798&lt;Matchup!$C$39,7,IF(Q798&lt;Matchup!$C$39+Matchup!$C$40,3,0)))</f>
        <v>0</v>
      </c>
      <c r="T798" s="0" t="n">
        <f aca="false">I798+R798</f>
        <v>30</v>
      </c>
      <c r="U798" s="0" t="n">
        <f aca="false">O798+S798</f>
        <v>16</v>
      </c>
      <c r="V798" s="0" t="n">
        <f aca="false">T798-U798</f>
        <v>14</v>
      </c>
      <c r="W798" s="0" t="n">
        <f aca="false">T798+U798</f>
        <v>46</v>
      </c>
    </row>
    <row r="799" customFormat="false" ht="15" hidden="false" customHeight="false" outlineLevel="0" collapsed="false">
      <c r="A799" s="0" t="n">
        <v>796</v>
      </c>
      <c r="B799" s="0" t="n">
        <f aca="true">NORMINV(RAND(),1,Coefficients!$B$22)</f>
        <v>0.975722941871103</v>
      </c>
      <c r="C799" s="0" t="n">
        <f aca="true">MEDIAN(8,16,ROUND(NORMINV(RAND(),Coefficients!$B$20,Coefficients!$B$21),0))</f>
        <v>12</v>
      </c>
      <c r="D799" s="0" t="n">
        <f aca="true">CRITBINOM($C799,MIN(0.75,Matchup!$B$39*$B799),RAND())</f>
        <v>1</v>
      </c>
      <c r="E799" s="0" t="n">
        <f aca="true">CRITBINOM(D799,Coefficients!$B$30,RAND())</f>
        <v>0</v>
      </c>
      <c r="F799" s="0" t="n">
        <f aca="true">CRITBINOM(E799,Coefficients!$B$31,RAND())</f>
        <v>0</v>
      </c>
      <c r="G799" s="0" t="n">
        <f aca="true">CRITBINOM(MAX(0,D799-E799),1-Coefficients!$B$32,RAND())</f>
        <v>0</v>
      </c>
      <c r="H799" s="0" t="n">
        <f aca="true">CRITBINOM(MAX(0,$C799-D799),MIN(0.6,Matchup!$B$40*SQRT($B799)/(1-MIN(0.75,Matchup!$B$39*$B799))),RAND())</f>
        <v>2</v>
      </c>
      <c r="I799" s="0" t="n">
        <f aca="false">6*D799+(D799-E799-G799)+2*F799+3*H799</f>
        <v>13</v>
      </c>
      <c r="J799" s="0" t="n">
        <f aca="true">CRITBINOM($C799,MIN(0.75,Matchup!$C$39*$B799),RAND())</f>
        <v>4</v>
      </c>
      <c r="K799" s="0" t="n">
        <f aca="true">CRITBINOM(J799,Coefficients!$B$30,RAND())</f>
        <v>0</v>
      </c>
      <c r="L799" s="0" t="n">
        <f aca="true">CRITBINOM(K799,Coefficients!$B$31,RAND())</f>
        <v>0</v>
      </c>
      <c r="M799" s="0" t="n">
        <f aca="true">CRITBINOM(MAX(0,J799-K799),1-Coefficients!$B$32,RAND())</f>
        <v>0</v>
      </c>
      <c r="N799" s="0" t="n">
        <f aca="true">CRITBINOM(MAX(0,$C799-J799),MIN(0.6,Matchup!$C$40*SQRT($B799)/(1-MIN(0.75,Matchup!$C$39*$B799))),RAND())</f>
        <v>1</v>
      </c>
      <c r="O799" s="0" t="n">
        <f aca="false">6*J799+(J799-K799-M799)+2*L799+3*N799</f>
        <v>31</v>
      </c>
      <c r="P799" s="0" t="n">
        <f aca="true">RAND()</f>
        <v>0.619656683064808</v>
      </c>
      <c r="Q799" s="0" t="n">
        <f aca="true">RAND()</f>
        <v>0.402062035833486</v>
      </c>
      <c r="R799" s="0" t="n">
        <f aca="false">IF($I799&lt;&gt;$O799,0,IF(P799&lt;Matchup!$B$39,7,IF(P799&lt;Matchup!$B$39+Matchup!$B$40,3,0)))</f>
        <v>0</v>
      </c>
      <c r="S799" s="0" t="n">
        <f aca="false">IF($I799&lt;&gt;$O799,0,IF(Q799&lt;Matchup!$C$39,7,IF(Q799&lt;Matchup!$C$39+Matchup!$C$40,3,0)))</f>
        <v>0</v>
      </c>
      <c r="T799" s="0" t="n">
        <f aca="false">I799+R799</f>
        <v>13</v>
      </c>
      <c r="U799" s="0" t="n">
        <f aca="false">O799+S799</f>
        <v>31</v>
      </c>
      <c r="V799" s="0" t="n">
        <f aca="false">T799-U799</f>
        <v>-18</v>
      </c>
      <c r="W799" s="0" t="n">
        <f aca="false">T799+U799</f>
        <v>44</v>
      </c>
    </row>
    <row r="800" customFormat="false" ht="15" hidden="false" customHeight="false" outlineLevel="0" collapsed="false">
      <c r="A800" s="0" t="n">
        <v>797</v>
      </c>
      <c r="B800" s="0" t="n">
        <f aca="true">NORMINV(RAND(),1,Coefficients!$B$22)</f>
        <v>1.0650442078293</v>
      </c>
      <c r="C800" s="0" t="n">
        <f aca="true">MEDIAN(8,16,ROUND(NORMINV(RAND(),Coefficients!$B$20,Coefficients!$B$21),0))</f>
        <v>9</v>
      </c>
      <c r="D800" s="0" t="n">
        <f aca="true">CRITBINOM($C800,MIN(0.75,Matchup!$B$39*$B800),RAND())</f>
        <v>0</v>
      </c>
      <c r="E800" s="0" t="n">
        <f aca="true">CRITBINOM(D800,Coefficients!$B$30,RAND())</f>
        <v>0</v>
      </c>
      <c r="F800" s="0" t="n">
        <f aca="true">CRITBINOM(E800,Coefficients!$B$31,RAND())</f>
        <v>0</v>
      </c>
      <c r="G800" s="0" t="n">
        <f aca="true">CRITBINOM(MAX(0,D800-E800),1-Coefficients!$B$32,RAND())</f>
        <v>0</v>
      </c>
      <c r="H800" s="0" t="n">
        <f aca="true">CRITBINOM(MAX(0,$C800-D800),MIN(0.6,Matchup!$B$40*SQRT($B800)/(1-MIN(0.75,Matchup!$B$39*$B800))),RAND())</f>
        <v>2</v>
      </c>
      <c r="I800" s="0" t="n">
        <f aca="false">6*D800+(D800-E800-G800)+2*F800+3*H800</f>
        <v>6</v>
      </c>
      <c r="J800" s="0" t="n">
        <f aca="true">CRITBINOM($C800,MIN(0.75,Matchup!$C$39*$B800),RAND())</f>
        <v>4</v>
      </c>
      <c r="K800" s="0" t="n">
        <f aca="true">CRITBINOM(J800,Coefficients!$B$30,RAND())</f>
        <v>1</v>
      </c>
      <c r="L800" s="0" t="n">
        <f aca="true">CRITBINOM(K800,Coefficients!$B$31,RAND())</f>
        <v>0</v>
      </c>
      <c r="M800" s="0" t="n">
        <f aca="true">CRITBINOM(MAX(0,J800-K800),1-Coefficients!$B$32,RAND())</f>
        <v>1</v>
      </c>
      <c r="N800" s="0" t="n">
        <f aca="true">CRITBINOM(MAX(0,$C800-J800),MIN(0.6,Matchup!$C$40*SQRT($B800)/(1-MIN(0.75,Matchup!$C$39*$B800))),RAND())</f>
        <v>1</v>
      </c>
      <c r="O800" s="0" t="n">
        <f aca="false">6*J800+(J800-K800-M800)+2*L800+3*N800</f>
        <v>29</v>
      </c>
      <c r="P800" s="0" t="n">
        <f aca="true">RAND()</f>
        <v>0.868987513388551</v>
      </c>
      <c r="Q800" s="0" t="n">
        <f aca="true">RAND()</f>
        <v>0.02769821681589</v>
      </c>
      <c r="R800" s="0" t="n">
        <f aca="false">IF($I800&lt;&gt;$O800,0,IF(P800&lt;Matchup!$B$39,7,IF(P800&lt;Matchup!$B$39+Matchup!$B$40,3,0)))</f>
        <v>0</v>
      </c>
      <c r="S800" s="0" t="n">
        <f aca="false">IF($I800&lt;&gt;$O800,0,IF(Q800&lt;Matchup!$C$39,7,IF(Q800&lt;Matchup!$C$39+Matchup!$C$40,3,0)))</f>
        <v>0</v>
      </c>
      <c r="T800" s="0" t="n">
        <f aca="false">I800+R800</f>
        <v>6</v>
      </c>
      <c r="U800" s="0" t="n">
        <f aca="false">O800+S800</f>
        <v>29</v>
      </c>
      <c r="V800" s="0" t="n">
        <f aca="false">T800-U800</f>
        <v>-23</v>
      </c>
      <c r="W800" s="0" t="n">
        <f aca="false">T800+U800</f>
        <v>35</v>
      </c>
    </row>
    <row r="801" customFormat="false" ht="15" hidden="false" customHeight="false" outlineLevel="0" collapsed="false">
      <c r="A801" s="0" t="n">
        <v>798</v>
      </c>
      <c r="B801" s="0" t="n">
        <f aca="true">NORMINV(RAND(),1,Coefficients!$B$22)</f>
        <v>1.00802717406183</v>
      </c>
      <c r="C801" s="0" t="n">
        <f aca="true">MEDIAN(8,16,ROUND(NORMINV(RAND(),Coefficients!$B$20,Coefficients!$B$21),0))</f>
        <v>11</v>
      </c>
      <c r="D801" s="0" t="n">
        <f aca="true">CRITBINOM($C801,MIN(0.75,Matchup!$B$39*$B801),RAND())</f>
        <v>2</v>
      </c>
      <c r="E801" s="0" t="n">
        <f aca="true">CRITBINOM(D801,Coefficients!$B$30,RAND())</f>
        <v>1</v>
      </c>
      <c r="F801" s="0" t="n">
        <f aca="true">CRITBINOM(E801,Coefficients!$B$31,RAND())</f>
        <v>1</v>
      </c>
      <c r="G801" s="0" t="n">
        <f aca="true">CRITBINOM(MAX(0,D801-E801),1-Coefficients!$B$32,RAND())</f>
        <v>0</v>
      </c>
      <c r="H801" s="0" t="n">
        <f aca="true">CRITBINOM(MAX(0,$C801-D801),MIN(0.6,Matchup!$B$40*SQRT($B801)/(1-MIN(0.75,Matchup!$B$39*$B801))),RAND())</f>
        <v>2</v>
      </c>
      <c r="I801" s="0" t="n">
        <f aca="false">6*D801+(D801-E801-G801)+2*F801+3*H801</f>
        <v>21</v>
      </c>
      <c r="J801" s="0" t="n">
        <f aca="true">CRITBINOM($C801,MIN(0.75,Matchup!$C$39*$B801),RAND())</f>
        <v>3</v>
      </c>
      <c r="K801" s="0" t="n">
        <f aca="true">CRITBINOM(J801,Coefficients!$B$30,RAND())</f>
        <v>0</v>
      </c>
      <c r="L801" s="0" t="n">
        <f aca="true">CRITBINOM(K801,Coefficients!$B$31,RAND())</f>
        <v>0</v>
      </c>
      <c r="M801" s="0" t="n">
        <f aca="true">CRITBINOM(MAX(0,J801-K801),1-Coefficients!$B$32,RAND())</f>
        <v>0</v>
      </c>
      <c r="N801" s="0" t="n">
        <f aca="true">CRITBINOM(MAX(0,$C801-J801),MIN(0.6,Matchup!$C$40*SQRT($B801)/(1-MIN(0.75,Matchup!$C$39*$B801))),RAND())</f>
        <v>0</v>
      </c>
      <c r="O801" s="0" t="n">
        <f aca="false">6*J801+(J801-K801-M801)+2*L801+3*N801</f>
        <v>21</v>
      </c>
      <c r="P801" s="0" t="n">
        <f aca="true">RAND()</f>
        <v>0.343846925504986</v>
      </c>
      <c r="Q801" s="0" t="n">
        <f aca="true">RAND()</f>
        <v>0.460201477922876</v>
      </c>
      <c r="R801" s="0" t="n">
        <f aca="false">IF($I801&lt;&gt;$O801,0,IF(P801&lt;Matchup!$B$39,7,IF(P801&lt;Matchup!$B$39+Matchup!$B$40,3,0)))</f>
        <v>3</v>
      </c>
      <c r="S801" s="0" t="n">
        <f aca="false">IF($I801&lt;&gt;$O801,0,IF(Q801&lt;Matchup!$C$39,7,IF(Q801&lt;Matchup!$C$39+Matchup!$C$40,3,0)))</f>
        <v>0</v>
      </c>
      <c r="T801" s="0" t="n">
        <f aca="false">I801+R801</f>
        <v>24</v>
      </c>
      <c r="U801" s="0" t="n">
        <f aca="false">O801+S801</f>
        <v>21</v>
      </c>
      <c r="V801" s="0" t="n">
        <f aca="false">T801-U801</f>
        <v>3</v>
      </c>
      <c r="W801" s="0" t="n">
        <f aca="false">T801+U801</f>
        <v>45</v>
      </c>
    </row>
    <row r="802" customFormat="false" ht="15" hidden="false" customHeight="false" outlineLevel="0" collapsed="false">
      <c r="A802" s="0" t="n">
        <v>799</v>
      </c>
      <c r="B802" s="0" t="n">
        <f aca="true">NORMINV(RAND(),1,Coefficients!$B$22)</f>
        <v>1.10191425635221</v>
      </c>
      <c r="C802" s="0" t="n">
        <f aca="true">MEDIAN(8,16,ROUND(NORMINV(RAND(),Coefficients!$B$20,Coefficients!$B$21),0))</f>
        <v>10</v>
      </c>
      <c r="D802" s="0" t="n">
        <f aca="true">CRITBINOM($C802,MIN(0.75,Matchup!$B$39*$B802),RAND())</f>
        <v>3</v>
      </c>
      <c r="E802" s="0" t="n">
        <f aca="true">CRITBINOM(D802,Coefficients!$B$30,RAND())</f>
        <v>0</v>
      </c>
      <c r="F802" s="0" t="n">
        <f aca="true">CRITBINOM(E802,Coefficients!$B$31,RAND())</f>
        <v>0</v>
      </c>
      <c r="G802" s="0" t="n">
        <f aca="true">CRITBINOM(MAX(0,D802-E802),1-Coefficients!$B$32,RAND())</f>
        <v>0</v>
      </c>
      <c r="H802" s="0" t="n">
        <f aca="true">CRITBINOM(MAX(0,$C802-D802),MIN(0.6,Matchup!$B$40*SQRT($B802)/(1-MIN(0.75,Matchup!$B$39*$B802))),RAND())</f>
        <v>3</v>
      </c>
      <c r="I802" s="0" t="n">
        <f aca="false">6*D802+(D802-E802-G802)+2*F802+3*H802</f>
        <v>30</v>
      </c>
      <c r="J802" s="0" t="n">
        <f aca="true">CRITBINOM($C802,MIN(0.75,Matchup!$C$39*$B802),RAND())</f>
        <v>2</v>
      </c>
      <c r="K802" s="0" t="n">
        <f aca="true">CRITBINOM(J802,Coefficients!$B$30,RAND())</f>
        <v>0</v>
      </c>
      <c r="L802" s="0" t="n">
        <f aca="true">CRITBINOM(K802,Coefficients!$B$31,RAND())</f>
        <v>0</v>
      </c>
      <c r="M802" s="0" t="n">
        <f aca="true">CRITBINOM(MAX(0,J802-K802),1-Coefficients!$B$32,RAND())</f>
        <v>0</v>
      </c>
      <c r="N802" s="0" t="n">
        <f aca="true">CRITBINOM(MAX(0,$C802-J802),MIN(0.6,Matchup!$C$40*SQRT($B802)/(1-MIN(0.75,Matchup!$C$39*$B802))),RAND())</f>
        <v>3</v>
      </c>
      <c r="O802" s="0" t="n">
        <f aca="false">6*J802+(J802-K802-M802)+2*L802+3*N802</f>
        <v>23</v>
      </c>
      <c r="P802" s="0" t="n">
        <f aca="true">RAND()</f>
        <v>0.544887869575962</v>
      </c>
      <c r="Q802" s="0" t="n">
        <f aca="true">RAND()</f>
        <v>0.653755358267808</v>
      </c>
      <c r="R802" s="0" t="n">
        <f aca="false">IF($I802&lt;&gt;$O802,0,IF(P802&lt;Matchup!$B$39,7,IF(P802&lt;Matchup!$B$39+Matchup!$B$40,3,0)))</f>
        <v>0</v>
      </c>
      <c r="S802" s="0" t="n">
        <f aca="false">IF($I802&lt;&gt;$O802,0,IF(Q802&lt;Matchup!$C$39,7,IF(Q802&lt;Matchup!$C$39+Matchup!$C$40,3,0)))</f>
        <v>0</v>
      </c>
      <c r="T802" s="0" t="n">
        <f aca="false">I802+R802</f>
        <v>30</v>
      </c>
      <c r="U802" s="0" t="n">
        <f aca="false">O802+S802</f>
        <v>23</v>
      </c>
      <c r="V802" s="0" t="n">
        <f aca="false">T802-U802</f>
        <v>7</v>
      </c>
      <c r="W802" s="0" t="n">
        <f aca="false">T802+U802</f>
        <v>53</v>
      </c>
    </row>
    <row r="803" customFormat="false" ht="15" hidden="false" customHeight="false" outlineLevel="0" collapsed="false">
      <c r="A803" s="0" t="n">
        <v>800</v>
      </c>
      <c r="B803" s="0" t="n">
        <f aca="true">NORMINV(RAND(),1,Coefficients!$B$22)</f>
        <v>1.01631820488385</v>
      </c>
      <c r="C803" s="0" t="n">
        <f aca="true">MEDIAN(8,16,ROUND(NORMINV(RAND(),Coefficients!$B$20,Coefficients!$B$21),0))</f>
        <v>11</v>
      </c>
      <c r="D803" s="0" t="n">
        <f aca="true">CRITBINOM($C803,MIN(0.75,Matchup!$B$39*$B803),RAND())</f>
        <v>4</v>
      </c>
      <c r="E803" s="0" t="n">
        <f aca="true">CRITBINOM(D803,Coefficients!$B$30,RAND())</f>
        <v>0</v>
      </c>
      <c r="F803" s="0" t="n">
        <f aca="true">CRITBINOM(E803,Coefficients!$B$31,RAND())</f>
        <v>0</v>
      </c>
      <c r="G803" s="0" t="n">
        <f aca="true">CRITBINOM(MAX(0,D803-E803),1-Coefficients!$B$32,RAND())</f>
        <v>0</v>
      </c>
      <c r="H803" s="0" t="n">
        <f aca="true">CRITBINOM(MAX(0,$C803-D803),MIN(0.6,Matchup!$B$40*SQRT($B803)/(1-MIN(0.75,Matchup!$B$39*$B803))),RAND())</f>
        <v>1</v>
      </c>
      <c r="I803" s="0" t="n">
        <f aca="false">6*D803+(D803-E803-G803)+2*F803+3*H803</f>
        <v>31</v>
      </c>
      <c r="J803" s="0" t="n">
        <f aca="true">CRITBINOM($C803,MIN(0.75,Matchup!$C$39*$B803),RAND())</f>
        <v>3</v>
      </c>
      <c r="K803" s="0" t="n">
        <f aca="true">CRITBINOM(J803,Coefficients!$B$30,RAND())</f>
        <v>0</v>
      </c>
      <c r="L803" s="0" t="n">
        <f aca="true">CRITBINOM(K803,Coefficients!$B$31,RAND())</f>
        <v>0</v>
      </c>
      <c r="M803" s="0" t="n">
        <f aca="true">CRITBINOM(MAX(0,J803-K803),1-Coefficients!$B$32,RAND())</f>
        <v>0</v>
      </c>
      <c r="N803" s="0" t="n">
        <f aca="true">CRITBINOM(MAX(0,$C803-J803),MIN(0.6,Matchup!$C$40*SQRT($B803)/(1-MIN(0.75,Matchup!$C$39*$B803))),RAND())</f>
        <v>2</v>
      </c>
      <c r="O803" s="0" t="n">
        <f aca="false">6*J803+(J803-K803-M803)+2*L803+3*N803</f>
        <v>27</v>
      </c>
      <c r="P803" s="0" t="n">
        <f aca="true">RAND()</f>
        <v>0.0580782369733502</v>
      </c>
      <c r="Q803" s="0" t="n">
        <f aca="true">RAND()</f>
        <v>0.677330992134319</v>
      </c>
      <c r="R803" s="0" t="n">
        <f aca="false">IF($I803&lt;&gt;$O803,0,IF(P803&lt;Matchup!$B$39,7,IF(P803&lt;Matchup!$B$39+Matchup!$B$40,3,0)))</f>
        <v>0</v>
      </c>
      <c r="S803" s="0" t="n">
        <f aca="false">IF($I803&lt;&gt;$O803,0,IF(Q803&lt;Matchup!$C$39,7,IF(Q803&lt;Matchup!$C$39+Matchup!$C$40,3,0)))</f>
        <v>0</v>
      </c>
      <c r="T803" s="0" t="n">
        <f aca="false">I803+R803</f>
        <v>31</v>
      </c>
      <c r="U803" s="0" t="n">
        <f aca="false">O803+S803</f>
        <v>27</v>
      </c>
      <c r="V803" s="0" t="n">
        <f aca="false">T803-U803</f>
        <v>4</v>
      </c>
      <c r="W803" s="0" t="n">
        <f aca="false">T803+U803</f>
        <v>58</v>
      </c>
    </row>
    <row r="804" customFormat="false" ht="15" hidden="false" customHeight="false" outlineLevel="0" collapsed="false">
      <c r="A804" s="0" t="n">
        <v>801</v>
      </c>
      <c r="B804" s="0" t="n">
        <f aca="true">NORMINV(RAND(),1,Coefficients!$B$22)</f>
        <v>1.05734340449498</v>
      </c>
      <c r="C804" s="0" t="n">
        <f aca="true">MEDIAN(8,16,ROUND(NORMINV(RAND(),Coefficients!$B$20,Coefficients!$B$21),0))</f>
        <v>11</v>
      </c>
      <c r="D804" s="0" t="n">
        <f aca="true">CRITBINOM($C804,MIN(0.75,Matchup!$B$39*$B804),RAND())</f>
        <v>4</v>
      </c>
      <c r="E804" s="0" t="n">
        <f aca="true">CRITBINOM(D804,Coefficients!$B$30,RAND())</f>
        <v>0</v>
      </c>
      <c r="F804" s="0" t="n">
        <f aca="true">CRITBINOM(E804,Coefficients!$B$31,RAND())</f>
        <v>0</v>
      </c>
      <c r="G804" s="0" t="n">
        <f aca="true">CRITBINOM(MAX(0,D804-E804),1-Coefficients!$B$32,RAND())</f>
        <v>0</v>
      </c>
      <c r="H804" s="0" t="n">
        <f aca="true">CRITBINOM(MAX(0,$C804-D804),MIN(0.6,Matchup!$B$40*SQRT($B804)/(1-MIN(0.75,Matchup!$B$39*$B804))),RAND())</f>
        <v>1</v>
      </c>
      <c r="I804" s="0" t="n">
        <f aca="false">6*D804+(D804-E804-G804)+2*F804+3*H804</f>
        <v>31</v>
      </c>
      <c r="J804" s="0" t="n">
        <f aca="true">CRITBINOM($C804,MIN(0.75,Matchup!$C$39*$B804),RAND())</f>
        <v>4</v>
      </c>
      <c r="K804" s="0" t="n">
        <f aca="true">CRITBINOM(J804,Coefficients!$B$30,RAND())</f>
        <v>0</v>
      </c>
      <c r="L804" s="0" t="n">
        <f aca="true">CRITBINOM(K804,Coefficients!$B$31,RAND())</f>
        <v>0</v>
      </c>
      <c r="M804" s="0" t="n">
        <f aca="true">CRITBINOM(MAX(0,J804-K804),1-Coefficients!$B$32,RAND())</f>
        <v>0</v>
      </c>
      <c r="N804" s="0" t="n">
        <f aca="true">CRITBINOM(MAX(0,$C804-J804),MIN(0.6,Matchup!$C$40*SQRT($B804)/(1-MIN(0.75,Matchup!$C$39*$B804))),RAND())</f>
        <v>1</v>
      </c>
      <c r="O804" s="0" t="n">
        <f aca="false">6*J804+(J804-K804-M804)+2*L804+3*N804</f>
        <v>31</v>
      </c>
      <c r="P804" s="0" t="n">
        <f aca="true">RAND()</f>
        <v>0.37152730041603</v>
      </c>
      <c r="Q804" s="0" t="n">
        <f aca="true">RAND()</f>
        <v>0.667160388673923</v>
      </c>
      <c r="R804" s="0" t="n">
        <f aca="false">IF($I804&lt;&gt;$O804,0,IF(P804&lt;Matchup!$B$39,7,IF(P804&lt;Matchup!$B$39+Matchup!$B$40,3,0)))</f>
        <v>3</v>
      </c>
      <c r="S804" s="0" t="n">
        <f aca="false">IF($I804&lt;&gt;$O804,0,IF(Q804&lt;Matchup!$C$39,7,IF(Q804&lt;Matchup!$C$39+Matchup!$C$40,3,0)))</f>
        <v>0</v>
      </c>
      <c r="T804" s="0" t="n">
        <f aca="false">I804+R804</f>
        <v>34</v>
      </c>
      <c r="U804" s="0" t="n">
        <f aca="false">O804+S804</f>
        <v>31</v>
      </c>
      <c r="V804" s="0" t="n">
        <f aca="false">T804-U804</f>
        <v>3</v>
      </c>
      <c r="W804" s="0" t="n">
        <f aca="false">T804+U804</f>
        <v>65</v>
      </c>
    </row>
    <row r="805" customFormat="false" ht="15" hidden="false" customHeight="false" outlineLevel="0" collapsed="false">
      <c r="A805" s="0" t="n">
        <v>802</v>
      </c>
      <c r="B805" s="0" t="n">
        <f aca="true">NORMINV(RAND(),1,Coefficients!$B$22)</f>
        <v>0.998427763657959</v>
      </c>
      <c r="C805" s="0" t="n">
        <f aca="true">MEDIAN(8,16,ROUND(NORMINV(RAND(),Coefficients!$B$20,Coefficients!$B$21),0))</f>
        <v>11</v>
      </c>
      <c r="D805" s="0" t="n">
        <f aca="true">CRITBINOM($C805,MIN(0.75,Matchup!$B$39*$B805),RAND())</f>
        <v>3</v>
      </c>
      <c r="E805" s="0" t="n">
        <f aca="true">CRITBINOM(D805,Coefficients!$B$30,RAND())</f>
        <v>0</v>
      </c>
      <c r="F805" s="0" t="n">
        <f aca="true">CRITBINOM(E805,Coefficients!$B$31,RAND())</f>
        <v>0</v>
      </c>
      <c r="G805" s="0" t="n">
        <f aca="true">CRITBINOM(MAX(0,D805-E805),1-Coefficients!$B$32,RAND())</f>
        <v>0</v>
      </c>
      <c r="H805" s="0" t="n">
        <f aca="true">CRITBINOM(MAX(0,$C805-D805),MIN(0.6,Matchup!$B$40*SQRT($B805)/(1-MIN(0.75,Matchup!$B$39*$B805))),RAND())</f>
        <v>3</v>
      </c>
      <c r="I805" s="0" t="n">
        <f aca="false">6*D805+(D805-E805-G805)+2*F805+3*H805</f>
        <v>30</v>
      </c>
      <c r="J805" s="0" t="n">
        <f aca="true">CRITBINOM($C805,MIN(0.75,Matchup!$C$39*$B805),RAND())</f>
        <v>4</v>
      </c>
      <c r="K805" s="0" t="n">
        <f aca="true">CRITBINOM(J805,Coefficients!$B$30,RAND())</f>
        <v>0</v>
      </c>
      <c r="L805" s="0" t="n">
        <f aca="true">CRITBINOM(K805,Coefficients!$B$31,RAND())</f>
        <v>0</v>
      </c>
      <c r="M805" s="0" t="n">
        <f aca="true">CRITBINOM(MAX(0,J805-K805),1-Coefficients!$B$32,RAND())</f>
        <v>0</v>
      </c>
      <c r="N805" s="0" t="n">
        <f aca="true">CRITBINOM(MAX(0,$C805-J805),MIN(0.6,Matchup!$C$40*SQRT($B805)/(1-MIN(0.75,Matchup!$C$39*$B805))),RAND())</f>
        <v>3</v>
      </c>
      <c r="O805" s="0" t="n">
        <f aca="false">6*J805+(J805-K805-M805)+2*L805+3*N805</f>
        <v>37</v>
      </c>
      <c r="P805" s="0" t="n">
        <f aca="true">RAND()</f>
        <v>0.813492888662962</v>
      </c>
      <c r="Q805" s="0" t="n">
        <f aca="true">RAND()</f>
        <v>0.213249945431503</v>
      </c>
      <c r="R805" s="0" t="n">
        <f aca="false">IF($I805&lt;&gt;$O805,0,IF(P805&lt;Matchup!$B$39,7,IF(P805&lt;Matchup!$B$39+Matchup!$B$40,3,0)))</f>
        <v>0</v>
      </c>
      <c r="S805" s="0" t="n">
        <f aca="false">IF($I805&lt;&gt;$O805,0,IF(Q805&lt;Matchup!$C$39,7,IF(Q805&lt;Matchup!$C$39+Matchup!$C$40,3,0)))</f>
        <v>0</v>
      </c>
      <c r="T805" s="0" t="n">
        <f aca="false">I805+R805</f>
        <v>30</v>
      </c>
      <c r="U805" s="0" t="n">
        <f aca="false">O805+S805</f>
        <v>37</v>
      </c>
      <c r="V805" s="0" t="n">
        <f aca="false">T805-U805</f>
        <v>-7</v>
      </c>
      <c r="W805" s="0" t="n">
        <f aca="false">T805+U805</f>
        <v>67</v>
      </c>
    </row>
    <row r="806" customFormat="false" ht="15" hidden="false" customHeight="false" outlineLevel="0" collapsed="false">
      <c r="A806" s="0" t="n">
        <v>803</v>
      </c>
      <c r="B806" s="0" t="n">
        <f aca="true">NORMINV(RAND(),1,Coefficients!$B$22)</f>
        <v>1.11179809198061</v>
      </c>
      <c r="C806" s="0" t="n">
        <f aca="true">MEDIAN(8,16,ROUND(NORMINV(RAND(),Coefficients!$B$20,Coefficients!$B$21),0))</f>
        <v>10</v>
      </c>
      <c r="D806" s="0" t="n">
        <f aca="true">CRITBINOM($C806,MIN(0.75,Matchup!$B$39*$B806),RAND())</f>
        <v>2</v>
      </c>
      <c r="E806" s="0" t="n">
        <f aca="true">CRITBINOM(D806,Coefficients!$B$30,RAND())</f>
        <v>0</v>
      </c>
      <c r="F806" s="0" t="n">
        <f aca="true">CRITBINOM(E806,Coefficients!$B$31,RAND())</f>
        <v>0</v>
      </c>
      <c r="G806" s="0" t="n">
        <f aca="true">CRITBINOM(MAX(0,D806-E806),1-Coefficients!$B$32,RAND())</f>
        <v>0</v>
      </c>
      <c r="H806" s="0" t="n">
        <f aca="true">CRITBINOM(MAX(0,$C806-D806),MIN(0.6,Matchup!$B$40*SQRT($B806)/(1-MIN(0.75,Matchup!$B$39*$B806))),RAND())</f>
        <v>3</v>
      </c>
      <c r="I806" s="0" t="n">
        <f aca="false">6*D806+(D806-E806-G806)+2*F806+3*H806</f>
        <v>23</v>
      </c>
      <c r="J806" s="0" t="n">
        <f aca="true">CRITBINOM($C806,MIN(0.75,Matchup!$C$39*$B806),RAND())</f>
        <v>3</v>
      </c>
      <c r="K806" s="0" t="n">
        <f aca="true">CRITBINOM(J806,Coefficients!$B$30,RAND())</f>
        <v>0</v>
      </c>
      <c r="L806" s="0" t="n">
        <f aca="true">CRITBINOM(K806,Coefficients!$B$31,RAND())</f>
        <v>0</v>
      </c>
      <c r="M806" s="0" t="n">
        <f aca="true">CRITBINOM(MAX(0,J806-K806),1-Coefficients!$B$32,RAND())</f>
        <v>0</v>
      </c>
      <c r="N806" s="0" t="n">
        <f aca="true">CRITBINOM(MAX(0,$C806-J806),MIN(0.6,Matchup!$C$40*SQRT($B806)/(1-MIN(0.75,Matchup!$C$39*$B806))),RAND())</f>
        <v>1</v>
      </c>
      <c r="O806" s="0" t="n">
        <f aca="false">6*J806+(J806-K806-M806)+2*L806+3*N806</f>
        <v>24</v>
      </c>
      <c r="P806" s="0" t="n">
        <f aca="true">RAND()</f>
        <v>0.990599596121272</v>
      </c>
      <c r="Q806" s="0" t="n">
        <f aca="true">RAND()</f>
        <v>0.888601329546301</v>
      </c>
      <c r="R806" s="0" t="n">
        <f aca="false">IF($I806&lt;&gt;$O806,0,IF(P806&lt;Matchup!$B$39,7,IF(P806&lt;Matchup!$B$39+Matchup!$B$40,3,0)))</f>
        <v>0</v>
      </c>
      <c r="S806" s="0" t="n">
        <f aca="false">IF($I806&lt;&gt;$O806,0,IF(Q806&lt;Matchup!$C$39,7,IF(Q806&lt;Matchup!$C$39+Matchup!$C$40,3,0)))</f>
        <v>0</v>
      </c>
      <c r="T806" s="0" t="n">
        <f aca="false">I806+R806</f>
        <v>23</v>
      </c>
      <c r="U806" s="0" t="n">
        <f aca="false">O806+S806</f>
        <v>24</v>
      </c>
      <c r="V806" s="0" t="n">
        <f aca="false">T806-U806</f>
        <v>-1</v>
      </c>
      <c r="W806" s="0" t="n">
        <f aca="false">T806+U806</f>
        <v>47</v>
      </c>
    </row>
    <row r="807" customFormat="false" ht="15" hidden="false" customHeight="false" outlineLevel="0" collapsed="false">
      <c r="A807" s="0" t="n">
        <v>804</v>
      </c>
      <c r="B807" s="0" t="n">
        <f aca="true">NORMINV(RAND(),1,Coefficients!$B$22)</f>
        <v>1.00150305222964</v>
      </c>
      <c r="C807" s="0" t="n">
        <f aca="true">MEDIAN(8,16,ROUND(NORMINV(RAND(),Coefficients!$B$20,Coefficients!$B$21),0))</f>
        <v>11</v>
      </c>
      <c r="D807" s="0" t="n">
        <f aca="true">CRITBINOM($C807,MIN(0.75,Matchup!$B$39*$B807),RAND())</f>
        <v>4</v>
      </c>
      <c r="E807" s="0" t="n">
        <f aca="true">CRITBINOM(D807,Coefficients!$B$30,RAND())</f>
        <v>0</v>
      </c>
      <c r="F807" s="0" t="n">
        <f aca="true">CRITBINOM(E807,Coefficients!$B$31,RAND())</f>
        <v>0</v>
      </c>
      <c r="G807" s="0" t="n">
        <f aca="true">CRITBINOM(MAX(0,D807-E807),1-Coefficients!$B$32,RAND())</f>
        <v>0</v>
      </c>
      <c r="H807" s="0" t="n">
        <f aca="true">CRITBINOM(MAX(0,$C807-D807),MIN(0.6,Matchup!$B$40*SQRT($B807)/(1-MIN(0.75,Matchup!$B$39*$B807))),RAND())</f>
        <v>1</v>
      </c>
      <c r="I807" s="0" t="n">
        <f aca="false">6*D807+(D807-E807-G807)+2*F807+3*H807</f>
        <v>31</v>
      </c>
      <c r="J807" s="0" t="n">
        <f aca="true">CRITBINOM($C807,MIN(0.75,Matchup!$C$39*$B807),RAND())</f>
        <v>2</v>
      </c>
      <c r="K807" s="0" t="n">
        <f aca="true">CRITBINOM(J807,Coefficients!$B$30,RAND())</f>
        <v>1</v>
      </c>
      <c r="L807" s="0" t="n">
        <f aca="true">CRITBINOM(K807,Coefficients!$B$31,RAND())</f>
        <v>1</v>
      </c>
      <c r="M807" s="0" t="n">
        <f aca="true">CRITBINOM(MAX(0,J807-K807),1-Coefficients!$B$32,RAND())</f>
        <v>0</v>
      </c>
      <c r="N807" s="0" t="n">
        <f aca="true">CRITBINOM(MAX(0,$C807-J807),MIN(0.6,Matchup!$C$40*SQRT($B807)/(1-MIN(0.75,Matchup!$C$39*$B807))),RAND())</f>
        <v>2</v>
      </c>
      <c r="O807" s="0" t="n">
        <f aca="false">6*J807+(J807-K807-M807)+2*L807+3*N807</f>
        <v>21</v>
      </c>
      <c r="P807" s="0" t="n">
        <f aca="true">RAND()</f>
        <v>0.659782789876854</v>
      </c>
      <c r="Q807" s="0" t="n">
        <f aca="true">RAND()</f>
        <v>0.737929784862011</v>
      </c>
      <c r="R807" s="0" t="n">
        <f aca="false">IF($I807&lt;&gt;$O807,0,IF(P807&lt;Matchup!$B$39,7,IF(P807&lt;Matchup!$B$39+Matchup!$B$40,3,0)))</f>
        <v>0</v>
      </c>
      <c r="S807" s="0" t="n">
        <f aca="false">IF($I807&lt;&gt;$O807,0,IF(Q807&lt;Matchup!$C$39,7,IF(Q807&lt;Matchup!$C$39+Matchup!$C$40,3,0)))</f>
        <v>0</v>
      </c>
      <c r="T807" s="0" t="n">
        <f aca="false">I807+R807</f>
        <v>31</v>
      </c>
      <c r="U807" s="0" t="n">
        <f aca="false">O807+S807</f>
        <v>21</v>
      </c>
      <c r="V807" s="0" t="n">
        <f aca="false">T807-U807</f>
        <v>10</v>
      </c>
      <c r="W807" s="0" t="n">
        <f aca="false">T807+U807</f>
        <v>52</v>
      </c>
    </row>
    <row r="808" customFormat="false" ht="15" hidden="false" customHeight="false" outlineLevel="0" collapsed="false">
      <c r="A808" s="0" t="n">
        <v>805</v>
      </c>
      <c r="B808" s="0" t="n">
        <f aca="true">NORMINV(RAND(),1,Coefficients!$B$22)</f>
        <v>0.980291181869557</v>
      </c>
      <c r="C808" s="0" t="n">
        <f aca="true">MEDIAN(8,16,ROUND(NORMINV(RAND(),Coefficients!$B$20,Coefficients!$B$21),0))</f>
        <v>12</v>
      </c>
      <c r="D808" s="0" t="n">
        <f aca="true">CRITBINOM($C808,MIN(0.75,Matchup!$B$39*$B808),RAND())</f>
        <v>2</v>
      </c>
      <c r="E808" s="0" t="n">
        <f aca="true">CRITBINOM(D808,Coefficients!$B$30,RAND())</f>
        <v>0</v>
      </c>
      <c r="F808" s="0" t="n">
        <f aca="true">CRITBINOM(E808,Coefficients!$B$31,RAND())</f>
        <v>0</v>
      </c>
      <c r="G808" s="0" t="n">
        <f aca="true">CRITBINOM(MAX(0,D808-E808),1-Coefficients!$B$32,RAND())</f>
        <v>0</v>
      </c>
      <c r="H808" s="0" t="n">
        <f aca="true">CRITBINOM(MAX(0,$C808-D808),MIN(0.6,Matchup!$B$40*SQRT($B808)/(1-MIN(0.75,Matchup!$B$39*$B808))),RAND())</f>
        <v>1</v>
      </c>
      <c r="I808" s="0" t="n">
        <f aca="false">6*D808+(D808-E808-G808)+2*F808+3*H808</f>
        <v>17</v>
      </c>
      <c r="J808" s="0" t="n">
        <f aca="true">CRITBINOM($C808,MIN(0.75,Matchup!$C$39*$B808),RAND())</f>
        <v>4</v>
      </c>
      <c r="K808" s="0" t="n">
        <f aca="true">CRITBINOM(J808,Coefficients!$B$30,RAND())</f>
        <v>0</v>
      </c>
      <c r="L808" s="0" t="n">
        <f aca="true">CRITBINOM(K808,Coefficients!$B$31,RAND())</f>
        <v>0</v>
      </c>
      <c r="M808" s="0" t="n">
        <f aca="true">CRITBINOM(MAX(0,J808-K808),1-Coefficients!$B$32,RAND())</f>
        <v>0</v>
      </c>
      <c r="N808" s="0" t="n">
        <f aca="true">CRITBINOM(MAX(0,$C808-J808),MIN(0.6,Matchup!$C$40*SQRT($B808)/(1-MIN(0.75,Matchup!$C$39*$B808))),RAND())</f>
        <v>2</v>
      </c>
      <c r="O808" s="0" t="n">
        <f aca="false">6*J808+(J808-K808-M808)+2*L808+3*N808</f>
        <v>34</v>
      </c>
      <c r="P808" s="0" t="n">
        <f aca="true">RAND()</f>
        <v>0.780084339367307</v>
      </c>
      <c r="Q808" s="0" t="n">
        <f aca="true">RAND()</f>
        <v>0.753863126072185</v>
      </c>
      <c r="R808" s="0" t="n">
        <f aca="false">IF($I808&lt;&gt;$O808,0,IF(P808&lt;Matchup!$B$39,7,IF(P808&lt;Matchup!$B$39+Matchup!$B$40,3,0)))</f>
        <v>0</v>
      </c>
      <c r="S808" s="0" t="n">
        <f aca="false">IF($I808&lt;&gt;$O808,0,IF(Q808&lt;Matchup!$C$39,7,IF(Q808&lt;Matchup!$C$39+Matchup!$C$40,3,0)))</f>
        <v>0</v>
      </c>
      <c r="T808" s="0" t="n">
        <f aca="false">I808+R808</f>
        <v>17</v>
      </c>
      <c r="U808" s="0" t="n">
        <f aca="false">O808+S808</f>
        <v>34</v>
      </c>
      <c r="V808" s="0" t="n">
        <f aca="false">T808-U808</f>
        <v>-17</v>
      </c>
      <c r="W808" s="0" t="n">
        <f aca="false">T808+U808</f>
        <v>51</v>
      </c>
    </row>
    <row r="809" customFormat="false" ht="15" hidden="false" customHeight="false" outlineLevel="0" collapsed="false">
      <c r="A809" s="0" t="n">
        <v>806</v>
      </c>
      <c r="B809" s="0" t="n">
        <f aca="true">NORMINV(RAND(),1,Coefficients!$B$22)</f>
        <v>1.05013881961066</v>
      </c>
      <c r="C809" s="0" t="n">
        <f aca="true">MEDIAN(8,16,ROUND(NORMINV(RAND(),Coefficients!$B$20,Coefficients!$B$21),0))</f>
        <v>12</v>
      </c>
      <c r="D809" s="0" t="n">
        <f aca="true">CRITBINOM($C809,MIN(0.75,Matchup!$B$39*$B809),RAND())</f>
        <v>3</v>
      </c>
      <c r="E809" s="0" t="n">
        <f aca="true">CRITBINOM(D809,Coefficients!$B$30,RAND())</f>
        <v>0</v>
      </c>
      <c r="F809" s="0" t="n">
        <f aca="true">CRITBINOM(E809,Coefficients!$B$31,RAND())</f>
        <v>0</v>
      </c>
      <c r="G809" s="0" t="n">
        <f aca="true">CRITBINOM(MAX(0,D809-E809),1-Coefficients!$B$32,RAND())</f>
        <v>0</v>
      </c>
      <c r="H809" s="0" t="n">
        <f aca="true">CRITBINOM(MAX(0,$C809-D809),MIN(0.6,Matchup!$B$40*SQRT($B809)/(1-MIN(0.75,Matchup!$B$39*$B809))),RAND())</f>
        <v>1</v>
      </c>
      <c r="I809" s="0" t="n">
        <f aca="false">6*D809+(D809-E809-G809)+2*F809+3*H809</f>
        <v>24</v>
      </c>
      <c r="J809" s="0" t="n">
        <f aca="true">CRITBINOM($C809,MIN(0.75,Matchup!$C$39*$B809),RAND())</f>
        <v>4</v>
      </c>
      <c r="K809" s="0" t="n">
        <f aca="true">CRITBINOM(J809,Coefficients!$B$30,RAND())</f>
        <v>0</v>
      </c>
      <c r="L809" s="0" t="n">
        <f aca="true">CRITBINOM(K809,Coefficients!$B$31,RAND())</f>
        <v>0</v>
      </c>
      <c r="M809" s="0" t="n">
        <f aca="true">CRITBINOM(MAX(0,J809-K809),1-Coefficients!$B$32,RAND())</f>
        <v>0</v>
      </c>
      <c r="N809" s="0" t="n">
        <f aca="true">CRITBINOM(MAX(0,$C809-J809),MIN(0.6,Matchup!$C$40*SQRT($B809)/(1-MIN(0.75,Matchup!$C$39*$B809))),RAND())</f>
        <v>0</v>
      </c>
      <c r="O809" s="0" t="n">
        <f aca="false">6*J809+(J809-K809-M809)+2*L809+3*N809</f>
        <v>28</v>
      </c>
      <c r="P809" s="0" t="n">
        <f aca="true">RAND()</f>
        <v>0.405973602111899</v>
      </c>
      <c r="Q809" s="0" t="n">
        <f aca="true">RAND()</f>
        <v>0.508454137977569</v>
      </c>
      <c r="R809" s="0" t="n">
        <f aca="false">IF($I809&lt;&gt;$O809,0,IF(P809&lt;Matchup!$B$39,7,IF(P809&lt;Matchup!$B$39+Matchup!$B$40,3,0)))</f>
        <v>0</v>
      </c>
      <c r="S809" s="0" t="n">
        <f aca="false">IF($I809&lt;&gt;$O809,0,IF(Q809&lt;Matchup!$C$39,7,IF(Q809&lt;Matchup!$C$39+Matchup!$C$40,3,0)))</f>
        <v>0</v>
      </c>
      <c r="T809" s="0" t="n">
        <f aca="false">I809+R809</f>
        <v>24</v>
      </c>
      <c r="U809" s="0" t="n">
        <f aca="false">O809+S809</f>
        <v>28</v>
      </c>
      <c r="V809" s="0" t="n">
        <f aca="false">T809-U809</f>
        <v>-4</v>
      </c>
      <c r="W809" s="0" t="n">
        <f aca="false">T809+U809</f>
        <v>52</v>
      </c>
    </row>
    <row r="810" customFormat="false" ht="15" hidden="false" customHeight="false" outlineLevel="0" collapsed="false">
      <c r="A810" s="0" t="n">
        <v>807</v>
      </c>
      <c r="B810" s="0" t="n">
        <f aca="true">NORMINV(RAND(),1,Coefficients!$B$22)</f>
        <v>0.926086651892978</v>
      </c>
      <c r="C810" s="0" t="n">
        <f aca="true">MEDIAN(8,16,ROUND(NORMINV(RAND(),Coefficients!$B$20,Coefficients!$B$21),0))</f>
        <v>12</v>
      </c>
      <c r="D810" s="0" t="n">
        <f aca="true">CRITBINOM($C810,MIN(0.75,Matchup!$B$39*$B810),RAND())</f>
        <v>3</v>
      </c>
      <c r="E810" s="0" t="n">
        <f aca="true">CRITBINOM(D810,Coefficients!$B$30,RAND())</f>
        <v>1</v>
      </c>
      <c r="F810" s="0" t="n">
        <f aca="true">CRITBINOM(E810,Coefficients!$B$31,RAND())</f>
        <v>0</v>
      </c>
      <c r="G810" s="0" t="n">
        <f aca="true">CRITBINOM(MAX(0,D810-E810),1-Coefficients!$B$32,RAND())</f>
        <v>0</v>
      </c>
      <c r="H810" s="0" t="n">
        <f aca="true">CRITBINOM(MAX(0,$C810-D810),MIN(0.6,Matchup!$B$40*SQRT($B810)/(1-MIN(0.75,Matchup!$B$39*$B810))),RAND())</f>
        <v>2</v>
      </c>
      <c r="I810" s="0" t="n">
        <f aca="false">6*D810+(D810-E810-G810)+2*F810+3*H810</f>
        <v>26</v>
      </c>
      <c r="J810" s="0" t="n">
        <f aca="true">CRITBINOM($C810,MIN(0.75,Matchup!$C$39*$B810),RAND())</f>
        <v>5</v>
      </c>
      <c r="K810" s="0" t="n">
        <f aca="true">CRITBINOM(J810,Coefficients!$B$30,RAND())</f>
        <v>1</v>
      </c>
      <c r="L810" s="0" t="n">
        <f aca="true">CRITBINOM(K810,Coefficients!$B$31,RAND())</f>
        <v>0</v>
      </c>
      <c r="M810" s="0" t="n">
        <f aca="true">CRITBINOM(MAX(0,J810-K810),1-Coefficients!$B$32,RAND())</f>
        <v>1</v>
      </c>
      <c r="N810" s="0" t="n">
        <f aca="true">CRITBINOM(MAX(0,$C810-J810),MIN(0.6,Matchup!$C$40*SQRT($B810)/(1-MIN(0.75,Matchup!$C$39*$B810))),RAND())</f>
        <v>2</v>
      </c>
      <c r="O810" s="0" t="n">
        <f aca="false">6*J810+(J810-K810-M810)+2*L810+3*N810</f>
        <v>39</v>
      </c>
      <c r="P810" s="0" t="n">
        <f aca="true">RAND()</f>
        <v>0.059998102145518</v>
      </c>
      <c r="Q810" s="0" t="n">
        <f aca="true">RAND()</f>
        <v>0.608179061187338</v>
      </c>
      <c r="R810" s="0" t="n">
        <f aca="false">IF($I810&lt;&gt;$O810,0,IF(P810&lt;Matchup!$B$39,7,IF(P810&lt;Matchup!$B$39+Matchup!$B$40,3,0)))</f>
        <v>0</v>
      </c>
      <c r="S810" s="0" t="n">
        <f aca="false">IF($I810&lt;&gt;$O810,0,IF(Q810&lt;Matchup!$C$39,7,IF(Q810&lt;Matchup!$C$39+Matchup!$C$40,3,0)))</f>
        <v>0</v>
      </c>
      <c r="T810" s="0" t="n">
        <f aca="false">I810+R810</f>
        <v>26</v>
      </c>
      <c r="U810" s="0" t="n">
        <f aca="false">O810+S810</f>
        <v>39</v>
      </c>
      <c r="V810" s="0" t="n">
        <f aca="false">T810-U810</f>
        <v>-13</v>
      </c>
      <c r="W810" s="0" t="n">
        <f aca="false">T810+U810</f>
        <v>65</v>
      </c>
    </row>
    <row r="811" customFormat="false" ht="15" hidden="false" customHeight="false" outlineLevel="0" collapsed="false">
      <c r="A811" s="0" t="n">
        <v>808</v>
      </c>
      <c r="B811" s="0" t="n">
        <f aca="true">NORMINV(RAND(),1,Coefficients!$B$22)</f>
        <v>1.04005160821352</v>
      </c>
      <c r="C811" s="0" t="n">
        <f aca="true">MEDIAN(8,16,ROUND(NORMINV(RAND(),Coefficients!$B$20,Coefficients!$B$21),0))</f>
        <v>13</v>
      </c>
      <c r="D811" s="0" t="n">
        <f aca="true">CRITBINOM($C811,MIN(0.75,Matchup!$B$39*$B811),RAND())</f>
        <v>2</v>
      </c>
      <c r="E811" s="0" t="n">
        <f aca="true">CRITBINOM(D811,Coefficients!$B$30,RAND())</f>
        <v>0</v>
      </c>
      <c r="F811" s="0" t="n">
        <f aca="true">CRITBINOM(E811,Coefficients!$B$31,RAND())</f>
        <v>0</v>
      </c>
      <c r="G811" s="0" t="n">
        <f aca="true">CRITBINOM(MAX(0,D811-E811),1-Coefficients!$B$32,RAND())</f>
        <v>0</v>
      </c>
      <c r="H811" s="0" t="n">
        <f aca="true">CRITBINOM(MAX(0,$C811-D811),MIN(0.6,Matchup!$B$40*SQRT($B811)/(1-MIN(0.75,Matchup!$B$39*$B811))),RAND())</f>
        <v>3</v>
      </c>
      <c r="I811" s="0" t="n">
        <f aca="false">6*D811+(D811-E811-G811)+2*F811+3*H811</f>
        <v>23</v>
      </c>
      <c r="J811" s="0" t="n">
        <f aca="true">CRITBINOM($C811,MIN(0.75,Matchup!$C$39*$B811),RAND())</f>
        <v>3</v>
      </c>
      <c r="K811" s="0" t="n">
        <f aca="true">CRITBINOM(J811,Coefficients!$B$30,RAND())</f>
        <v>0</v>
      </c>
      <c r="L811" s="0" t="n">
        <f aca="true">CRITBINOM(K811,Coefficients!$B$31,RAND())</f>
        <v>0</v>
      </c>
      <c r="M811" s="0" t="n">
        <f aca="true">CRITBINOM(MAX(0,J811-K811),1-Coefficients!$B$32,RAND())</f>
        <v>0</v>
      </c>
      <c r="N811" s="0" t="n">
        <f aca="true">CRITBINOM(MAX(0,$C811-J811),MIN(0.6,Matchup!$C$40*SQRT($B811)/(1-MIN(0.75,Matchup!$C$39*$B811))),RAND())</f>
        <v>4</v>
      </c>
      <c r="O811" s="0" t="n">
        <f aca="false">6*J811+(J811-K811-M811)+2*L811+3*N811</f>
        <v>33</v>
      </c>
      <c r="P811" s="0" t="n">
        <f aca="true">RAND()</f>
        <v>0.379435191789668</v>
      </c>
      <c r="Q811" s="0" t="n">
        <f aca="true">RAND()</f>
        <v>0.113869577371289</v>
      </c>
      <c r="R811" s="0" t="n">
        <f aca="false">IF($I811&lt;&gt;$O811,0,IF(P811&lt;Matchup!$B$39,7,IF(P811&lt;Matchup!$B$39+Matchup!$B$40,3,0)))</f>
        <v>0</v>
      </c>
      <c r="S811" s="0" t="n">
        <f aca="false">IF($I811&lt;&gt;$O811,0,IF(Q811&lt;Matchup!$C$39,7,IF(Q811&lt;Matchup!$C$39+Matchup!$C$40,3,0)))</f>
        <v>0</v>
      </c>
      <c r="T811" s="0" t="n">
        <f aca="false">I811+R811</f>
        <v>23</v>
      </c>
      <c r="U811" s="0" t="n">
        <f aca="false">O811+S811</f>
        <v>33</v>
      </c>
      <c r="V811" s="0" t="n">
        <f aca="false">T811-U811</f>
        <v>-10</v>
      </c>
      <c r="W811" s="0" t="n">
        <f aca="false">T811+U811</f>
        <v>56</v>
      </c>
    </row>
    <row r="812" customFormat="false" ht="15" hidden="false" customHeight="false" outlineLevel="0" collapsed="false">
      <c r="A812" s="0" t="n">
        <v>809</v>
      </c>
      <c r="B812" s="0" t="n">
        <f aca="true">NORMINV(RAND(),1,Coefficients!$B$22)</f>
        <v>1.01915459634791</v>
      </c>
      <c r="C812" s="0" t="n">
        <f aca="true">MEDIAN(8,16,ROUND(NORMINV(RAND(),Coefficients!$B$20,Coefficients!$B$21),0))</f>
        <v>12</v>
      </c>
      <c r="D812" s="0" t="n">
        <f aca="true">CRITBINOM($C812,MIN(0.75,Matchup!$B$39*$B812),RAND())</f>
        <v>3</v>
      </c>
      <c r="E812" s="0" t="n">
        <f aca="true">CRITBINOM(D812,Coefficients!$B$30,RAND())</f>
        <v>0</v>
      </c>
      <c r="F812" s="0" t="n">
        <f aca="true">CRITBINOM(E812,Coefficients!$B$31,RAND())</f>
        <v>0</v>
      </c>
      <c r="G812" s="0" t="n">
        <f aca="true">CRITBINOM(MAX(0,D812-E812),1-Coefficients!$B$32,RAND())</f>
        <v>1</v>
      </c>
      <c r="H812" s="0" t="n">
        <f aca="true">CRITBINOM(MAX(0,$C812-D812),MIN(0.6,Matchup!$B$40*SQRT($B812)/(1-MIN(0.75,Matchup!$B$39*$B812))),RAND())</f>
        <v>2</v>
      </c>
      <c r="I812" s="0" t="n">
        <f aca="false">6*D812+(D812-E812-G812)+2*F812+3*H812</f>
        <v>26</v>
      </c>
      <c r="J812" s="0" t="n">
        <f aca="true">CRITBINOM($C812,MIN(0.75,Matchup!$C$39*$B812),RAND())</f>
        <v>4</v>
      </c>
      <c r="K812" s="0" t="n">
        <f aca="true">CRITBINOM(J812,Coefficients!$B$30,RAND())</f>
        <v>0</v>
      </c>
      <c r="L812" s="0" t="n">
        <f aca="true">CRITBINOM(K812,Coefficients!$B$31,RAND())</f>
        <v>0</v>
      </c>
      <c r="M812" s="0" t="n">
        <f aca="true">CRITBINOM(MAX(0,J812-K812),1-Coefficients!$B$32,RAND())</f>
        <v>1</v>
      </c>
      <c r="N812" s="0" t="n">
        <f aca="true">CRITBINOM(MAX(0,$C812-J812),MIN(0.6,Matchup!$C$40*SQRT($B812)/(1-MIN(0.75,Matchup!$C$39*$B812))),RAND())</f>
        <v>0</v>
      </c>
      <c r="O812" s="0" t="n">
        <f aca="false">6*J812+(J812-K812-M812)+2*L812+3*N812</f>
        <v>27</v>
      </c>
      <c r="P812" s="0" t="n">
        <f aca="true">RAND()</f>
        <v>0.0649763224485803</v>
      </c>
      <c r="Q812" s="0" t="n">
        <f aca="true">RAND()</f>
        <v>0.0532464271911466</v>
      </c>
      <c r="R812" s="0" t="n">
        <f aca="false">IF($I812&lt;&gt;$O812,0,IF(P812&lt;Matchup!$B$39,7,IF(P812&lt;Matchup!$B$39+Matchup!$B$40,3,0)))</f>
        <v>0</v>
      </c>
      <c r="S812" s="0" t="n">
        <f aca="false">IF($I812&lt;&gt;$O812,0,IF(Q812&lt;Matchup!$C$39,7,IF(Q812&lt;Matchup!$C$39+Matchup!$C$40,3,0)))</f>
        <v>0</v>
      </c>
      <c r="T812" s="0" t="n">
        <f aca="false">I812+R812</f>
        <v>26</v>
      </c>
      <c r="U812" s="0" t="n">
        <f aca="false">O812+S812</f>
        <v>27</v>
      </c>
      <c r="V812" s="0" t="n">
        <f aca="false">T812-U812</f>
        <v>-1</v>
      </c>
      <c r="W812" s="0" t="n">
        <f aca="false">T812+U812</f>
        <v>53</v>
      </c>
    </row>
    <row r="813" customFormat="false" ht="15" hidden="false" customHeight="false" outlineLevel="0" collapsed="false">
      <c r="A813" s="0" t="n">
        <v>810</v>
      </c>
      <c r="B813" s="0" t="n">
        <f aca="true">NORMINV(RAND(),1,Coefficients!$B$22)</f>
        <v>0.914649347848666</v>
      </c>
      <c r="C813" s="0" t="n">
        <f aca="true">MEDIAN(8,16,ROUND(NORMINV(RAND(),Coefficients!$B$20,Coefficients!$B$21),0))</f>
        <v>10</v>
      </c>
      <c r="D813" s="0" t="n">
        <f aca="true">CRITBINOM($C813,MIN(0.75,Matchup!$B$39*$B813),RAND())</f>
        <v>3</v>
      </c>
      <c r="E813" s="0" t="n">
        <f aca="true">CRITBINOM(D813,Coefficients!$B$30,RAND())</f>
        <v>0</v>
      </c>
      <c r="F813" s="0" t="n">
        <f aca="true">CRITBINOM(E813,Coefficients!$B$31,RAND())</f>
        <v>0</v>
      </c>
      <c r="G813" s="0" t="n">
        <f aca="true">CRITBINOM(MAX(0,D813-E813),1-Coefficients!$B$32,RAND())</f>
        <v>0</v>
      </c>
      <c r="H813" s="0" t="n">
        <f aca="true">CRITBINOM(MAX(0,$C813-D813),MIN(0.6,Matchup!$B$40*SQRT($B813)/(1-MIN(0.75,Matchup!$B$39*$B813))),RAND())</f>
        <v>2</v>
      </c>
      <c r="I813" s="0" t="n">
        <f aca="false">6*D813+(D813-E813-G813)+2*F813+3*H813</f>
        <v>27</v>
      </c>
      <c r="J813" s="0" t="n">
        <f aca="true">CRITBINOM($C813,MIN(0.75,Matchup!$C$39*$B813),RAND())</f>
        <v>1</v>
      </c>
      <c r="K813" s="0" t="n">
        <f aca="true">CRITBINOM(J813,Coefficients!$B$30,RAND())</f>
        <v>0</v>
      </c>
      <c r="L813" s="0" t="n">
        <f aca="true">CRITBINOM(K813,Coefficients!$B$31,RAND())</f>
        <v>0</v>
      </c>
      <c r="M813" s="0" t="n">
        <f aca="true">CRITBINOM(MAX(0,J813-K813),1-Coefficients!$B$32,RAND())</f>
        <v>0</v>
      </c>
      <c r="N813" s="0" t="n">
        <f aca="true">CRITBINOM(MAX(0,$C813-J813),MIN(0.6,Matchup!$C$40*SQRT($B813)/(1-MIN(0.75,Matchup!$C$39*$B813))),RAND())</f>
        <v>2</v>
      </c>
      <c r="O813" s="0" t="n">
        <f aca="false">6*J813+(J813-K813-M813)+2*L813+3*N813</f>
        <v>13</v>
      </c>
      <c r="P813" s="0" t="n">
        <f aca="true">RAND()</f>
        <v>0.0506517284296582</v>
      </c>
      <c r="Q813" s="0" t="n">
        <f aca="true">RAND()</f>
        <v>0.394850347378107</v>
      </c>
      <c r="R813" s="0" t="n">
        <f aca="false">IF($I813&lt;&gt;$O813,0,IF(P813&lt;Matchup!$B$39,7,IF(P813&lt;Matchup!$B$39+Matchup!$B$40,3,0)))</f>
        <v>0</v>
      </c>
      <c r="S813" s="0" t="n">
        <f aca="false">IF($I813&lt;&gt;$O813,0,IF(Q813&lt;Matchup!$C$39,7,IF(Q813&lt;Matchup!$C$39+Matchup!$C$40,3,0)))</f>
        <v>0</v>
      </c>
      <c r="T813" s="0" t="n">
        <f aca="false">I813+R813</f>
        <v>27</v>
      </c>
      <c r="U813" s="0" t="n">
        <f aca="false">O813+S813</f>
        <v>13</v>
      </c>
      <c r="V813" s="0" t="n">
        <f aca="false">T813-U813</f>
        <v>14</v>
      </c>
      <c r="W813" s="0" t="n">
        <f aca="false">T813+U813</f>
        <v>40</v>
      </c>
    </row>
    <row r="814" customFormat="false" ht="15" hidden="false" customHeight="false" outlineLevel="0" collapsed="false">
      <c r="A814" s="0" t="n">
        <v>811</v>
      </c>
      <c r="B814" s="0" t="n">
        <f aca="true">NORMINV(RAND(),1,Coefficients!$B$22)</f>
        <v>0.852774581398601</v>
      </c>
      <c r="C814" s="0" t="n">
        <f aca="true">MEDIAN(8,16,ROUND(NORMINV(RAND(),Coefficients!$B$20,Coefficients!$B$21),0))</f>
        <v>13</v>
      </c>
      <c r="D814" s="0" t="n">
        <f aca="true">CRITBINOM($C814,MIN(0.75,Matchup!$B$39*$B814),RAND())</f>
        <v>1</v>
      </c>
      <c r="E814" s="0" t="n">
        <f aca="true">CRITBINOM(D814,Coefficients!$B$30,RAND())</f>
        <v>0</v>
      </c>
      <c r="F814" s="0" t="n">
        <f aca="true">CRITBINOM(E814,Coefficients!$B$31,RAND())</f>
        <v>0</v>
      </c>
      <c r="G814" s="0" t="n">
        <f aca="true">CRITBINOM(MAX(0,D814-E814),1-Coefficients!$B$32,RAND())</f>
        <v>0</v>
      </c>
      <c r="H814" s="0" t="n">
        <f aca="true">CRITBINOM(MAX(0,$C814-D814),MIN(0.6,Matchup!$B$40*SQRT($B814)/(1-MIN(0.75,Matchup!$B$39*$B814))),RAND())</f>
        <v>5</v>
      </c>
      <c r="I814" s="0" t="n">
        <f aca="false">6*D814+(D814-E814-G814)+2*F814+3*H814</f>
        <v>22</v>
      </c>
      <c r="J814" s="0" t="n">
        <f aca="true">CRITBINOM($C814,MIN(0.75,Matchup!$C$39*$B814),RAND())</f>
        <v>1</v>
      </c>
      <c r="K814" s="0" t="n">
        <f aca="true">CRITBINOM(J814,Coefficients!$B$30,RAND())</f>
        <v>0</v>
      </c>
      <c r="L814" s="0" t="n">
        <f aca="true">CRITBINOM(K814,Coefficients!$B$31,RAND())</f>
        <v>0</v>
      </c>
      <c r="M814" s="0" t="n">
        <f aca="true">CRITBINOM(MAX(0,J814-K814),1-Coefficients!$B$32,RAND())</f>
        <v>0</v>
      </c>
      <c r="N814" s="0" t="n">
        <f aca="true">CRITBINOM(MAX(0,$C814-J814),MIN(0.6,Matchup!$C$40*SQRT($B814)/(1-MIN(0.75,Matchup!$C$39*$B814))),RAND())</f>
        <v>2</v>
      </c>
      <c r="O814" s="0" t="n">
        <f aca="false">6*J814+(J814-K814-M814)+2*L814+3*N814</f>
        <v>13</v>
      </c>
      <c r="P814" s="0" t="n">
        <f aca="true">RAND()</f>
        <v>0.261744573896124</v>
      </c>
      <c r="Q814" s="0" t="n">
        <f aca="true">RAND()</f>
        <v>0.559581012586026</v>
      </c>
      <c r="R814" s="0" t="n">
        <f aca="false">IF($I814&lt;&gt;$O814,0,IF(P814&lt;Matchup!$B$39,7,IF(P814&lt;Matchup!$B$39+Matchup!$B$40,3,0)))</f>
        <v>0</v>
      </c>
      <c r="S814" s="0" t="n">
        <f aca="false">IF($I814&lt;&gt;$O814,0,IF(Q814&lt;Matchup!$C$39,7,IF(Q814&lt;Matchup!$C$39+Matchup!$C$40,3,0)))</f>
        <v>0</v>
      </c>
      <c r="T814" s="0" t="n">
        <f aca="false">I814+R814</f>
        <v>22</v>
      </c>
      <c r="U814" s="0" t="n">
        <f aca="false">O814+S814</f>
        <v>13</v>
      </c>
      <c r="V814" s="0" t="n">
        <f aca="false">T814-U814</f>
        <v>9</v>
      </c>
      <c r="W814" s="0" t="n">
        <f aca="false">T814+U814</f>
        <v>35</v>
      </c>
    </row>
    <row r="815" customFormat="false" ht="15" hidden="false" customHeight="false" outlineLevel="0" collapsed="false">
      <c r="A815" s="0" t="n">
        <v>812</v>
      </c>
      <c r="B815" s="0" t="n">
        <f aca="true">NORMINV(RAND(),1,Coefficients!$B$22)</f>
        <v>0.907902056995521</v>
      </c>
      <c r="C815" s="0" t="n">
        <f aca="true">MEDIAN(8,16,ROUND(NORMINV(RAND(),Coefficients!$B$20,Coefficients!$B$21),0))</f>
        <v>11</v>
      </c>
      <c r="D815" s="0" t="n">
        <f aca="true">CRITBINOM($C815,MIN(0.75,Matchup!$B$39*$B815),RAND())</f>
        <v>5</v>
      </c>
      <c r="E815" s="0" t="n">
        <f aca="true">CRITBINOM(D815,Coefficients!$B$30,RAND())</f>
        <v>1</v>
      </c>
      <c r="F815" s="0" t="n">
        <f aca="true">CRITBINOM(E815,Coefficients!$B$31,RAND())</f>
        <v>0</v>
      </c>
      <c r="G815" s="0" t="n">
        <f aca="true">CRITBINOM(MAX(0,D815-E815),1-Coefficients!$B$32,RAND())</f>
        <v>0</v>
      </c>
      <c r="H815" s="0" t="n">
        <f aca="true">CRITBINOM(MAX(0,$C815-D815),MIN(0.6,Matchup!$B$40*SQRT($B815)/(1-MIN(0.75,Matchup!$B$39*$B815))),RAND())</f>
        <v>1</v>
      </c>
      <c r="I815" s="0" t="n">
        <f aca="false">6*D815+(D815-E815-G815)+2*F815+3*H815</f>
        <v>37</v>
      </c>
      <c r="J815" s="0" t="n">
        <f aca="true">CRITBINOM($C815,MIN(0.75,Matchup!$C$39*$B815),RAND())</f>
        <v>1</v>
      </c>
      <c r="K815" s="0" t="n">
        <f aca="true">CRITBINOM(J815,Coefficients!$B$30,RAND())</f>
        <v>1</v>
      </c>
      <c r="L815" s="0" t="n">
        <f aca="true">CRITBINOM(K815,Coefficients!$B$31,RAND())</f>
        <v>0</v>
      </c>
      <c r="M815" s="0" t="n">
        <f aca="true">CRITBINOM(MAX(0,J815-K815),1-Coefficients!$B$32,RAND())</f>
        <v>0</v>
      </c>
      <c r="N815" s="0" t="n">
        <f aca="true">CRITBINOM(MAX(0,$C815-J815),MIN(0.6,Matchup!$C$40*SQRT($B815)/(1-MIN(0.75,Matchup!$C$39*$B815))),RAND())</f>
        <v>5</v>
      </c>
      <c r="O815" s="0" t="n">
        <f aca="false">6*J815+(J815-K815-M815)+2*L815+3*N815</f>
        <v>21</v>
      </c>
      <c r="P815" s="0" t="n">
        <f aca="true">RAND()</f>
        <v>0.961864034463666</v>
      </c>
      <c r="Q815" s="0" t="n">
        <f aca="true">RAND()</f>
        <v>0.86511224977821</v>
      </c>
      <c r="R815" s="0" t="n">
        <f aca="false">IF($I815&lt;&gt;$O815,0,IF(P815&lt;Matchup!$B$39,7,IF(P815&lt;Matchup!$B$39+Matchup!$B$40,3,0)))</f>
        <v>0</v>
      </c>
      <c r="S815" s="0" t="n">
        <f aca="false">IF($I815&lt;&gt;$O815,0,IF(Q815&lt;Matchup!$C$39,7,IF(Q815&lt;Matchup!$C$39+Matchup!$C$40,3,0)))</f>
        <v>0</v>
      </c>
      <c r="T815" s="0" t="n">
        <f aca="false">I815+R815</f>
        <v>37</v>
      </c>
      <c r="U815" s="0" t="n">
        <f aca="false">O815+S815</f>
        <v>21</v>
      </c>
      <c r="V815" s="0" t="n">
        <f aca="false">T815-U815</f>
        <v>16</v>
      </c>
      <c r="W815" s="0" t="n">
        <f aca="false">T815+U815</f>
        <v>58</v>
      </c>
    </row>
    <row r="816" customFormat="false" ht="15" hidden="false" customHeight="false" outlineLevel="0" collapsed="false">
      <c r="A816" s="0" t="n">
        <v>813</v>
      </c>
      <c r="B816" s="0" t="n">
        <f aca="true">NORMINV(RAND(),1,Coefficients!$B$22)</f>
        <v>1.00546303864747</v>
      </c>
      <c r="C816" s="0" t="n">
        <f aca="true">MEDIAN(8,16,ROUND(NORMINV(RAND(),Coefficients!$B$20,Coefficients!$B$21),0))</f>
        <v>10</v>
      </c>
      <c r="D816" s="0" t="n">
        <f aca="true">CRITBINOM($C816,MIN(0.75,Matchup!$B$39*$B816),RAND())</f>
        <v>3</v>
      </c>
      <c r="E816" s="0" t="n">
        <f aca="true">CRITBINOM(D816,Coefficients!$B$30,RAND())</f>
        <v>0</v>
      </c>
      <c r="F816" s="0" t="n">
        <f aca="true">CRITBINOM(E816,Coefficients!$B$31,RAND())</f>
        <v>0</v>
      </c>
      <c r="G816" s="0" t="n">
        <f aca="true">CRITBINOM(MAX(0,D816-E816),1-Coefficients!$B$32,RAND())</f>
        <v>0</v>
      </c>
      <c r="H816" s="0" t="n">
        <f aca="true">CRITBINOM(MAX(0,$C816-D816),MIN(0.6,Matchup!$B$40*SQRT($B816)/(1-MIN(0.75,Matchup!$B$39*$B816))),RAND())</f>
        <v>1</v>
      </c>
      <c r="I816" s="0" t="n">
        <f aca="false">6*D816+(D816-E816-G816)+2*F816+3*H816</f>
        <v>24</v>
      </c>
      <c r="J816" s="0" t="n">
        <f aca="true">CRITBINOM($C816,MIN(0.75,Matchup!$C$39*$B816),RAND())</f>
        <v>2</v>
      </c>
      <c r="K816" s="0" t="n">
        <f aca="true">CRITBINOM(J816,Coefficients!$B$30,RAND())</f>
        <v>0</v>
      </c>
      <c r="L816" s="0" t="n">
        <f aca="true">CRITBINOM(K816,Coefficients!$B$31,RAND())</f>
        <v>0</v>
      </c>
      <c r="M816" s="0" t="n">
        <f aca="true">CRITBINOM(MAX(0,J816-K816),1-Coefficients!$B$32,RAND())</f>
        <v>0</v>
      </c>
      <c r="N816" s="0" t="n">
        <f aca="true">CRITBINOM(MAX(0,$C816-J816),MIN(0.6,Matchup!$C$40*SQRT($B816)/(1-MIN(0.75,Matchup!$C$39*$B816))),RAND())</f>
        <v>1</v>
      </c>
      <c r="O816" s="0" t="n">
        <f aca="false">6*J816+(J816-K816-M816)+2*L816+3*N816</f>
        <v>17</v>
      </c>
      <c r="P816" s="0" t="n">
        <f aca="true">RAND()</f>
        <v>0.57844114243928</v>
      </c>
      <c r="Q816" s="0" t="n">
        <f aca="true">RAND()</f>
        <v>0.810792532176091</v>
      </c>
      <c r="R816" s="0" t="n">
        <f aca="false">IF($I816&lt;&gt;$O816,0,IF(P816&lt;Matchup!$B$39,7,IF(P816&lt;Matchup!$B$39+Matchup!$B$40,3,0)))</f>
        <v>0</v>
      </c>
      <c r="S816" s="0" t="n">
        <f aca="false">IF($I816&lt;&gt;$O816,0,IF(Q816&lt;Matchup!$C$39,7,IF(Q816&lt;Matchup!$C$39+Matchup!$C$40,3,0)))</f>
        <v>0</v>
      </c>
      <c r="T816" s="0" t="n">
        <f aca="false">I816+R816</f>
        <v>24</v>
      </c>
      <c r="U816" s="0" t="n">
        <f aca="false">O816+S816</f>
        <v>17</v>
      </c>
      <c r="V816" s="0" t="n">
        <f aca="false">T816-U816</f>
        <v>7</v>
      </c>
      <c r="W816" s="0" t="n">
        <f aca="false">T816+U816</f>
        <v>41</v>
      </c>
    </row>
    <row r="817" customFormat="false" ht="15" hidden="false" customHeight="false" outlineLevel="0" collapsed="false">
      <c r="A817" s="0" t="n">
        <v>814</v>
      </c>
      <c r="B817" s="0" t="n">
        <f aca="true">NORMINV(RAND(),1,Coefficients!$B$22)</f>
        <v>1.0405339143188</v>
      </c>
      <c r="C817" s="0" t="n">
        <f aca="true">MEDIAN(8,16,ROUND(NORMINV(RAND(),Coefficients!$B$20,Coefficients!$B$21),0))</f>
        <v>9</v>
      </c>
      <c r="D817" s="0" t="n">
        <f aca="true">CRITBINOM($C817,MIN(0.75,Matchup!$B$39*$B817),RAND())</f>
        <v>2</v>
      </c>
      <c r="E817" s="0" t="n">
        <f aca="true">CRITBINOM(D817,Coefficients!$B$30,RAND())</f>
        <v>1</v>
      </c>
      <c r="F817" s="0" t="n">
        <f aca="true">CRITBINOM(E817,Coefficients!$B$31,RAND())</f>
        <v>1</v>
      </c>
      <c r="G817" s="0" t="n">
        <f aca="true">CRITBINOM(MAX(0,D817-E817),1-Coefficients!$B$32,RAND())</f>
        <v>0</v>
      </c>
      <c r="H817" s="0" t="n">
        <f aca="true">CRITBINOM(MAX(0,$C817-D817),MIN(0.6,Matchup!$B$40*SQRT($B817)/(1-MIN(0.75,Matchup!$B$39*$B817))),RAND())</f>
        <v>1</v>
      </c>
      <c r="I817" s="0" t="n">
        <f aca="false">6*D817+(D817-E817-G817)+2*F817+3*H817</f>
        <v>18</v>
      </c>
      <c r="J817" s="0" t="n">
        <f aca="true">CRITBINOM($C817,MIN(0.75,Matchup!$C$39*$B817),RAND())</f>
        <v>1</v>
      </c>
      <c r="K817" s="0" t="n">
        <f aca="true">CRITBINOM(J817,Coefficients!$B$30,RAND())</f>
        <v>0</v>
      </c>
      <c r="L817" s="0" t="n">
        <f aca="true">CRITBINOM(K817,Coefficients!$B$31,RAND())</f>
        <v>0</v>
      </c>
      <c r="M817" s="0" t="n">
        <f aca="true">CRITBINOM(MAX(0,J817-K817),1-Coefficients!$B$32,RAND())</f>
        <v>0</v>
      </c>
      <c r="N817" s="0" t="n">
        <f aca="true">CRITBINOM(MAX(0,$C817-J817),MIN(0.6,Matchup!$C$40*SQRT($B817)/(1-MIN(0.75,Matchup!$C$39*$B817))),RAND())</f>
        <v>1</v>
      </c>
      <c r="O817" s="0" t="n">
        <f aca="false">6*J817+(J817-K817-M817)+2*L817+3*N817</f>
        <v>10</v>
      </c>
      <c r="P817" s="0" t="n">
        <f aca="true">RAND()</f>
        <v>0.764284217218814</v>
      </c>
      <c r="Q817" s="0" t="n">
        <f aca="true">RAND()</f>
        <v>0.405241355174019</v>
      </c>
      <c r="R817" s="0" t="n">
        <f aca="false">IF($I817&lt;&gt;$O817,0,IF(P817&lt;Matchup!$B$39,7,IF(P817&lt;Matchup!$B$39+Matchup!$B$40,3,0)))</f>
        <v>0</v>
      </c>
      <c r="S817" s="0" t="n">
        <f aca="false">IF($I817&lt;&gt;$O817,0,IF(Q817&lt;Matchup!$C$39,7,IF(Q817&lt;Matchup!$C$39+Matchup!$C$40,3,0)))</f>
        <v>0</v>
      </c>
      <c r="T817" s="0" t="n">
        <f aca="false">I817+R817</f>
        <v>18</v>
      </c>
      <c r="U817" s="0" t="n">
        <f aca="false">O817+S817</f>
        <v>10</v>
      </c>
      <c r="V817" s="0" t="n">
        <f aca="false">T817-U817</f>
        <v>8</v>
      </c>
      <c r="W817" s="0" t="n">
        <f aca="false">T817+U817</f>
        <v>28</v>
      </c>
    </row>
    <row r="818" customFormat="false" ht="15" hidden="false" customHeight="false" outlineLevel="0" collapsed="false">
      <c r="A818" s="0" t="n">
        <v>815</v>
      </c>
      <c r="B818" s="0" t="n">
        <f aca="true">NORMINV(RAND(),1,Coefficients!$B$22)</f>
        <v>1.01527187405069</v>
      </c>
      <c r="C818" s="0" t="n">
        <f aca="true">MEDIAN(8,16,ROUND(NORMINV(RAND(),Coefficients!$B$20,Coefficients!$B$21),0))</f>
        <v>10</v>
      </c>
      <c r="D818" s="0" t="n">
        <f aca="true">CRITBINOM($C818,MIN(0.75,Matchup!$B$39*$B818),RAND())</f>
        <v>3</v>
      </c>
      <c r="E818" s="0" t="n">
        <f aca="true">CRITBINOM(D818,Coefficients!$B$30,RAND())</f>
        <v>0</v>
      </c>
      <c r="F818" s="0" t="n">
        <f aca="true">CRITBINOM(E818,Coefficients!$B$31,RAND())</f>
        <v>0</v>
      </c>
      <c r="G818" s="0" t="n">
        <f aca="true">CRITBINOM(MAX(0,D818-E818),1-Coefficients!$B$32,RAND())</f>
        <v>0</v>
      </c>
      <c r="H818" s="0" t="n">
        <f aca="true">CRITBINOM(MAX(0,$C818-D818),MIN(0.6,Matchup!$B$40*SQRT($B818)/(1-MIN(0.75,Matchup!$B$39*$B818))),RAND())</f>
        <v>1</v>
      </c>
      <c r="I818" s="0" t="n">
        <f aca="false">6*D818+(D818-E818-G818)+2*F818+3*H818</f>
        <v>24</v>
      </c>
      <c r="J818" s="0" t="n">
        <f aca="true">CRITBINOM($C818,MIN(0.75,Matchup!$C$39*$B818),RAND())</f>
        <v>3</v>
      </c>
      <c r="K818" s="0" t="n">
        <f aca="true">CRITBINOM(J818,Coefficients!$B$30,RAND())</f>
        <v>0</v>
      </c>
      <c r="L818" s="0" t="n">
        <f aca="true">CRITBINOM(K818,Coefficients!$B$31,RAND())</f>
        <v>0</v>
      </c>
      <c r="M818" s="0" t="n">
        <f aca="true">CRITBINOM(MAX(0,J818-K818),1-Coefficients!$B$32,RAND())</f>
        <v>0</v>
      </c>
      <c r="N818" s="0" t="n">
        <f aca="true">CRITBINOM(MAX(0,$C818-J818),MIN(0.6,Matchup!$C$40*SQRT($B818)/(1-MIN(0.75,Matchup!$C$39*$B818))),RAND())</f>
        <v>2</v>
      </c>
      <c r="O818" s="0" t="n">
        <f aca="false">6*J818+(J818-K818-M818)+2*L818+3*N818</f>
        <v>27</v>
      </c>
      <c r="P818" s="0" t="n">
        <f aca="true">RAND()</f>
        <v>0.276893026116306</v>
      </c>
      <c r="Q818" s="0" t="n">
        <f aca="true">RAND()</f>
        <v>0.526937058939319</v>
      </c>
      <c r="R818" s="0" t="n">
        <f aca="false">IF($I818&lt;&gt;$O818,0,IF(P818&lt;Matchup!$B$39,7,IF(P818&lt;Matchup!$B$39+Matchup!$B$40,3,0)))</f>
        <v>0</v>
      </c>
      <c r="S818" s="0" t="n">
        <f aca="false">IF($I818&lt;&gt;$O818,0,IF(Q818&lt;Matchup!$C$39,7,IF(Q818&lt;Matchup!$C$39+Matchup!$C$40,3,0)))</f>
        <v>0</v>
      </c>
      <c r="T818" s="0" t="n">
        <f aca="false">I818+R818</f>
        <v>24</v>
      </c>
      <c r="U818" s="0" t="n">
        <f aca="false">O818+S818</f>
        <v>27</v>
      </c>
      <c r="V818" s="0" t="n">
        <f aca="false">T818-U818</f>
        <v>-3</v>
      </c>
      <c r="W818" s="0" t="n">
        <f aca="false">T818+U818</f>
        <v>51</v>
      </c>
    </row>
    <row r="819" customFormat="false" ht="15" hidden="false" customHeight="false" outlineLevel="0" collapsed="false">
      <c r="A819" s="0" t="n">
        <v>816</v>
      </c>
      <c r="B819" s="0" t="n">
        <f aca="true">NORMINV(RAND(),1,Coefficients!$B$22)</f>
        <v>1.01137689910234</v>
      </c>
      <c r="C819" s="0" t="n">
        <f aca="true">MEDIAN(8,16,ROUND(NORMINV(RAND(),Coefficients!$B$20,Coefficients!$B$21),0))</f>
        <v>12</v>
      </c>
      <c r="D819" s="0" t="n">
        <f aca="true">CRITBINOM($C819,MIN(0.75,Matchup!$B$39*$B819),RAND())</f>
        <v>2</v>
      </c>
      <c r="E819" s="0" t="n">
        <f aca="true">CRITBINOM(D819,Coefficients!$B$30,RAND())</f>
        <v>0</v>
      </c>
      <c r="F819" s="0" t="n">
        <f aca="true">CRITBINOM(E819,Coefficients!$B$31,RAND())</f>
        <v>0</v>
      </c>
      <c r="G819" s="0" t="n">
        <f aca="true">CRITBINOM(MAX(0,D819-E819),1-Coefficients!$B$32,RAND())</f>
        <v>0</v>
      </c>
      <c r="H819" s="0" t="n">
        <f aca="true">CRITBINOM(MAX(0,$C819-D819),MIN(0.6,Matchup!$B$40*SQRT($B819)/(1-MIN(0.75,Matchup!$B$39*$B819))),RAND())</f>
        <v>2</v>
      </c>
      <c r="I819" s="0" t="n">
        <f aca="false">6*D819+(D819-E819-G819)+2*F819+3*H819</f>
        <v>20</v>
      </c>
      <c r="J819" s="0" t="n">
        <f aca="true">CRITBINOM($C819,MIN(0.75,Matchup!$C$39*$B819),RAND())</f>
        <v>2</v>
      </c>
      <c r="K819" s="0" t="n">
        <f aca="true">CRITBINOM(J819,Coefficients!$B$30,RAND())</f>
        <v>0</v>
      </c>
      <c r="L819" s="0" t="n">
        <f aca="true">CRITBINOM(K819,Coefficients!$B$31,RAND())</f>
        <v>0</v>
      </c>
      <c r="M819" s="0" t="n">
        <f aca="true">CRITBINOM(MAX(0,J819-K819),1-Coefficients!$B$32,RAND())</f>
        <v>0</v>
      </c>
      <c r="N819" s="0" t="n">
        <f aca="true">CRITBINOM(MAX(0,$C819-J819),MIN(0.6,Matchup!$C$40*SQRT($B819)/(1-MIN(0.75,Matchup!$C$39*$B819))),RAND())</f>
        <v>2</v>
      </c>
      <c r="O819" s="0" t="n">
        <f aca="false">6*J819+(J819-K819-M819)+2*L819+3*N819</f>
        <v>20</v>
      </c>
      <c r="P819" s="0" t="n">
        <f aca="true">RAND()</f>
        <v>0.909488429654399</v>
      </c>
      <c r="Q819" s="0" t="n">
        <f aca="true">RAND()</f>
        <v>0.971419520428576</v>
      </c>
      <c r="R819" s="0" t="n">
        <f aca="false">IF($I819&lt;&gt;$O819,0,IF(P819&lt;Matchup!$B$39,7,IF(P819&lt;Matchup!$B$39+Matchup!$B$40,3,0)))</f>
        <v>0</v>
      </c>
      <c r="S819" s="0" t="n">
        <f aca="false">IF($I819&lt;&gt;$O819,0,IF(Q819&lt;Matchup!$C$39,7,IF(Q819&lt;Matchup!$C$39+Matchup!$C$40,3,0)))</f>
        <v>0</v>
      </c>
      <c r="T819" s="0" t="n">
        <f aca="false">I819+R819</f>
        <v>20</v>
      </c>
      <c r="U819" s="0" t="n">
        <f aca="false">O819+S819</f>
        <v>20</v>
      </c>
      <c r="V819" s="0" t="n">
        <f aca="false">T819-U819</f>
        <v>0</v>
      </c>
      <c r="W819" s="0" t="n">
        <f aca="false">T819+U819</f>
        <v>40</v>
      </c>
    </row>
    <row r="820" customFormat="false" ht="15" hidden="false" customHeight="false" outlineLevel="0" collapsed="false">
      <c r="A820" s="0" t="n">
        <v>817</v>
      </c>
      <c r="B820" s="0" t="n">
        <f aca="true">NORMINV(RAND(),1,Coefficients!$B$22)</f>
        <v>1.13740358640014</v>
      </c>
      <c r="C820" s="0" t="n">
        <f aca="true">MEDIAN(8,16,ROUND(NORMINV(RAND(),Coefficients!$B$20,Coefficients!$B$21),0))</f>
        <v>11</v>
      </c>
      <c r="D820" s="0" t="n">
        <f aca="true">CRITBINOM($C820,MIN(0.75,Matchup!$B$39*$B820),RAND())</f>
        <v>2</v>
      </c>
      <c r="E820" s="0" t="n">
        <f aca="true">CRITBINOM(D820,Coefficients!$B$30,RAND())</f>
        <v>0</v>
      </c>
      <c r="F820" s="0" t="n">
        <f aca="true">CRITBINOM(E820,Coefficients!$B$31,RAND())</f>
        <v>0</v>
      </c>
      <c r="G820" s="0" t="n">
        <f aca="true">CRITBINOM(MAX(0,D820-E820),1-Coefficients!$B$32,RAND())</f>
        <v>0</v>
      </c>
      <c r="H820" s="0" t="n">
        <f aca="true">CRITBINOM(MAX(0,$C820-D820),MIN(0.6,Matchup!$B$40*SQRT($B820)/(1-MIN(0.75,Matchup!$B$39*$B820))),RAND())</f>
        <v>0</v>
      </c>
      <c r="I820" s="0" t="n">
        <f aca="false">6*D820+(D820-E820-G820)+2*F820+3*H820</f>
        <v>14</v>
      </c>
      <c r="J820" s="0" t="n">
        <f aca="true">CRITBINOM($C820,MIN(0.75,Matchup!$C$39*$B820),RAND())</f>
        <v>5</v>
      </c>
      <c r="K820" s="0" t="n">
        <f aca="true">CRITBINOM(J820,Coefficients!$B$30,RAND())</f>
        <v>0</v>
      </c>
      <c r="L820" s="0" t="n">
        <f aca="true">CRITBINOM(K820,Coefficients!$B$31,RAND())</f>
        <v>0</v>
      </c>
      <c r="M820" s="0" t="n">
        <f aca="true">CRITBINOM(MAX(0,J820-K820),1-Coefficients!$B$32,RAND())</f>
        <v>0</v>
      </c>
      <c r="N820" s="0" t="n">
        <f aca="true">CRITBINOM(MAX(0,$C820-J820),MIN(0.6,Matchup!$C$40*SQRT($B820)/(1-MIN(0.75,Matchup!$C$39*$B820))),RAND())</f>
        <v>0</v>
      </c>
      <c r="O820" s="0" t="n">
        <f aca="false">6*J820+(J820-K820-M820)+2*L820+3*N820</f>
        <v>35</v>
      </c>
      <c r="P820" s="0" t="n">
        <f aca="true">RAND()</f>
        <v>0.532997577324321</v>
      </c>
      <c r="Q820" s="0" t="n">
        <f aca="true">RAND()</f>
        <v>0.512875467476048</v>
      </c>
      <c r="R820" s="0" t="n">
        <f aca="false">IF($I820&lt;&gt;$O820,0,IF(P820&lt;Matchup!$B$39,7,IF(P820&lt;Matchup!$B$39+Matchup!$B$40,3,0)))</f>
        <v>0</v>
      </c>
      <c r="S820" s="0" t="n">
        <f aca="false">IF($I820&lt;&gt;$O820,0,IF(Q820&lt;Matchup!$C$39,7,IF(Q820&lt;Matchup!$C$39+Matchup!$C$40,3,0)))</f>
        <v>0</v>
      </c>
      <c r="T820" s="0" t="n">
        <f aca="false">I820+R820</f>
        <v>14</v>
      </c>
      <c r="U820" s="0" t="n">
        <f aca="false">O820+S820</f>
        <v>35</v>
      </c>
      <c r="V820" s="0" t="n">
        <f aca="false">T820-U820</f>
        <v>-21</v>
      </c>
      <c r="W820" s="0" t="n">
        <f aca="false">T820+U820</f>
        <v>49</v>
      </c>
    </row>
    <row r="821" customFormat="false" ht="15" hidden="false" customHeight="false" outlineLevel="0" collapsed="false">
      <c r="A821" s="0" t="n">
        <v>818</v>
      </c>
      <c r="B821" s="0" t="n">
        <f aca="true">NORMINV(RAND(),1,Coefficients!$B$22)</f>
        <v>0.992846655974883</v>
      </c>
      <c r="C821" s="0" t="n">
        <f aca="true">MEDIAN(8,16,ROUND(NORMINV(RAND(),Coefficients!$B$20,Coefficients!$B$21),0))</f>
        <v>11</v>
      </c>
      <c r="D821" s="0" t="n">
        <f aca="true">CRITBINOM($C821,MIN(0.75,Matchup!$B$39*$B821),RAND())</f>
        <v>3</v>
      </c>
      <c r="E821" s="0" t="n">
        <f aca="true">CRITBINOM(D821,Coefficients!$B$30,RAND())</f>
        <v>0</v>
      </c>
      <c r="F821" s="0" t="n">
        <f aca="true">CRITBINOM(E821,Coefficients!$B$31,RAND())</f>
        <v>0</v>
      </c>
      <c r="G821" s="0" t="n">
        <f aca="true">CRITBINOM(MAX(0,D821-E821),1-Coefficients!$B$32,RAND())</f>
        <v>0</v>
      </c>
      <c r="H821" s="0" t="n">
        <f aca="true">CRITBINOM(MAX(0,$C821-D821),MIN(0.6,Matchup!$B$40*SQRT($B821)/(1-MIN(0.75,Matchup!$B$39*$B821))),RAND())</f>
        <v>3</v>
      </c>
      <c r="I821" s="0" t="n">
        <f aca="false">6*D821+(D821-E821-G821)+2*F821+3*H821</f>
        <v>30</v>
      </c>
      <c r="J821" s="0" t="n">
        <f aca="true">CRITBINOM($C821,MIN(0.75,Matchup!$C$39*$B821),RAND())</f>
        <v>4</v>
      </c>
      <c r="K821" s="0" t="n">
        <f aca="true">CRITBINOM(J821,Coefficients!$B$30,RAND())</f>
        <v>0</v>
      </c>
      <c r="L821" s="0" t="n">
        <f aca="true">CRITBINOM(K821,Coefficients!$B$31,RAND())</f>
        <v>0</v>
      </c>
      <c r="M821" s="0" t="n">
        <f aca="true">CRITBINOM(MAX(0,J821-K821),1-Coefficients!$B$32,RAND())</f>
        <v>1</v>
      </c>
      <c r="N821" s="0" t="n">
        <f aca="true">CRITBINOM(MAX(0,$C821-J821),MIN(0.6,Matchup!$C$40*SQRT($B821)/(1-MIN(0.75,Matchup!$C$39*$B821))),RAND())</f>
        <v>1</v>
      </c>
      <c r="O821" s="0" t="n">
        <f aca="false">6*J821+(J821-K821-M821)+2*L821+3*N821</f>
        <v>30</v>
      </c>
      <c r="P821" s="0" t="n">
        <f aca="true">RAND()</f>
        <v>0.591412329772338</v>
      </c>
      <c r="Q821" s="0" t="n">
        <f aca="true">RAND()</f>
        <v>0.696242862912962</v>
      </c>
      <c r="R821" s="0" t="n">
        <f aca="false">IF($I821&lt;&gt;$O821,0,IF(P821&lt;Matchup!$B$39,7,IF(P821&lt;Matchup!$B$39+Matchup!$B$40,3,0)))</f>
        <v>0</v>
      </c>
      <c r="S821" s="0" t="n">
        <f aca="false">IF($I821&lt;&gt;$O821,0,IF(Q821&lt;Matchup!$C$39,7,IF(Q821&lt;Matchup!$C$39+Matchup!$C$40,3,0)))</f>
        <v>0</v>
      </c>
      <c r="T821" s="0" t="n">
        <f aca="false">I821+R821</f>
        <v>30</v>
      </c>
      <c r="U821" s="0" t="n">
        <f aca="false">O821+S821</f>
        <v>30</v>
      </c>
      <c r="V821" s="0" t="n">
        <f aca="false">T821-U821</f>
        <v>0</v>
      </c>
      <c r="W821" s="0" t="n">
        <f aca="false">T821+U821</f>
        <v>60</v>
      </c>
    </row>
    <row r="822" customFormat="false" ht="15" hidden="false" customHeight="false" outlineLevel="0" collapsed="false">
      <c r="A822" s="0" t="n">
        <v>819</v>
      </c>
      <c r="B822" s="0" t="n">
        <f aca="true">NORMINV(RAND(),1,Coefficients!$B$22)</f>
        <v>0.951184552873041</v>
      </c>
      <c r="C822" s="0" t="n">
        <f aca="true">MEDIAN(8,16,ROUND(NORMINV(RAND(),Coefficients!$B$20,Coefficients!$B$21),0))</f>
        <v>10</v>
      </c>
      <c r="D822" s="0" t="n">
        <f aca="true">CRITBINOM($C822,MIN(0.75,Matchup!$B$39*$B822),RAND())</f>
        <v>1</v>
      </c>
      <c r="E822" s="0" t="n">
        <f aca="true">CRITBINOM(D822,Coefficients!$B$30,RAND())</f>
        <v>0</v>
      </c>
      <c r="F822" s="0" t="n">
        <f aca="true">CRITBINOM(E822,Coefficients!$B$31,RAND())</f>
        <v>0</v>
      </c>
      <c r="G822" s="0" t="n">
        <f aca="true">CRITBINOM(MAX(0,D822-E822),1-Coefficients!$B$32,RAND())</f>
        <v>0</v>
      </c>
      <c r="H822" s="0" t="n">
        <f aca="true">CRITBINOM(MAX(0,$C822-D822),MIN(0.6,Matchup!$B$40*SQRT($B822)/(1-MIN(0.75,Matchup!$B$39*$B822))),RAND())</f>
        <v>1</v>
      </c>
      <c r="I822" s="0" t="n">
        <f aca="false">6*D822+(D822-E822-G822)+2*F822+3*H822</f>
        <v>10</v>
      </c>
      <c r="J822" s="0" t="n">
        <f aca="true">CRITBINOM($C822,MIN(0.75,Matchup!$C$39*$B822),RAND())</f>
        <v>5</v>
      </c>
      <c r="K822" s="0" t="n">
        <f aca="true">CRITBINOM(J822,Coefficients!$B$30,RAND())</f>
        <v>1</v>
      </c>
      <c r="L822" s="0" t="n">
        <f aca="true">CRITBINOM(K822,Coefficients!$B$31,RAND())</f>
        <v>1</v>
      </c>
      <c r="M822" s="0" t="n">
        <f aca="true">CRITBINOM(MAX(0,J822-K822),1-Coefficients!$B$32,RAND())</f>
        <v>0</v>
      </c>
      <c r="N822" s="0" t="n">
        <f aca="true">CRITBINOM(MAX(0,$C822-J822),MIN(0.6,Matchup!$C$40*SQRT($B822)/(1-MIN(0.75,Matchup!$C$39*$B822))),RAND())</f>
        <v>1</v>
      </c>
      <c r="O822" s="0" t="n">
        <f aca="false">6*J822+(J822-K822-M822)+2*L822+3*N822</f>
        <v>39</v>
      </c>
      <c r="P822" s="0" t="n">
        <f aca="true">RAND()</f>
        <v>0.576203016131549</v>
      </c>
      <c r="Q822" s="0" t="n">
        <f aca="true">RAND()</f>
        <v>0.23298361989425</v>
      </c>
      <c r="R822" s="0" t="n">
        <f aca="false">IF($I822&lt;&gt;$O822,0,IF(P822&lt;Matchup!$B$39,7,IF(P822&lt;Matchup!$B$39+Matchup!$B$40,3,0)))</f>
        <v>0</v>
      </c>
      <c r="S822" s="0" t="n">
        <f aca="false">IF($I822&lt;&gt;$O822,0,IF(Q822&lt;Matchup!$C$39,7,IF(Q822&lt;Matchup!$C$39+Matchup!$C$40,3,0)))</f>
        <v>0</v>
      </c>
      <c r="T822" s="0" t="n">
        <f aca="false">I822+R822</f>
        <v>10</v>
      </c>
      <c r="U822" s="0" t="n">
        <f aca="false">O822+S822</f>
        <v>39</v>
      </c>
      <c r="V822" s="0" t="n">
        <f aca="false">T822-U822</f>
        <v>-29</v>
      </c>
      <c r="W822" s="0" t="n">
        <f aca="false">T822+U822</f>
        <v>49</v>
      </c>
    </row>
    <row r="823" customFormat="false" ht="15" hidden="false" customHeight="false" outlineLevel="0" collapsed="false">
      <c r="A823" s="0" t="n">
        <v>820</v>
      </c>
      <c r="B823" s="0" t="n">
        <f aca="true">NORMINV(RAND(),1,Coefficients!$B$22)</f>
        <v>0.979551142394657</v>
      </c>
      <c r="C823" s="0" t="n">
        <f aca="true">MEDIAN(8,16,ROUND(NORMINV(RAND(),Coefficients!$B$20,Coefficients!$B$21),0))</f>
        <v>10</v>
      </c>
      <c r="D823" s="0" t="n">
        <f aca="true">CRITBINOM($C823,MIN(0.75,Matchup!$B$39*$B823),RAND())</f>
        <v>2</v>
      </c>
      <c r="E823" s="0" t="n">
        <f aca="true">CRITBINOM(D823,Coefficients!$B$30,RAND())</f>
        <v>0</v>
      </c>
      <c r="F823" s="0" t="n">
        <f aca="true">CRITBINOM(E823,Coefficients!$B$31,RAND())</f>
        <v>0</v>
      </c>
      <c r="G823" s="0" t="n">
        <f aca="true">CRITBINOM(MAX(0,D823-E823),1-Coefficients!$B$32,RAND())</f>
        <v>0</v>
      </c>
      <c r="H823" s="0" t="n">
        <f aca="true">CRITBINOM(MAX(0,$C823-D823),MIN(0.6,Matchup!$B$40*SQRT($B823)/(1-MIN(0.75,Matchup!$B$39*$B823))),RAND())</f>
        <v>0</v>
      </c>
      <c r="I823" s="0" t="n">
        <f aca="false">6*D823+(D823-E823-G823)+2*F823+3*H823</f>
        <v>14</v>
      </c>
      <c r="J823" s="0" t="n">
        <f aca="true">CRITBINOM($C823,MIN(0.75,Matchup!$C$39*$B823),RAND())</f>
        <v>4</v>
      </c>
      <c r="K823" s="0" t="n">
        <f aca="true">CRITBINOM(J823,Coefficients!$B$30,RAND())</f>
        <v>0</v>
      </c>
      <c r="L823" s="0" t="n">
        <f aca="true">CRITBINOM(K823,Coefficients!$B$31,RAND())</f>
        <v>0</v>
      </c>
      <c r="M823" s="0" t="n">
        <f aca="true">CRITBINOM(MAX(0,J823-K823),1-Coefficients!$B$32,RAND())</f>
        <v>0</v>
      </c>
      <c r="N823" s="0" t="n">
        <f aca="true">CRITBINOM(MAX(0,$C823-J823),MIN(0.6,Matchup!$C$40*SQRT($B823)/(1-MIN(0.75,Matchup!$C$39*$B823))),RAND())</f>
        <v>0</v>
      </c>
      <c r="O823" s="0" t="n">
        <f aca="false">6*J823+(J823-K823-M823)+2*L823+3*N823</f>
        <v>28</v>
      </c>
      <c r="P823" s="0" t="n">
        <f aca="true">RAND()</f>
        <v>0.12830750221485</v>
      </c>
      <c r="Q823" s="0" t="n">
        <f aca="true">RAND()</f>
        <v>0.110574724684096</v>
      </c>
      <c r="R823" s="0" t="n">
        <f aca="false">IF($I823&lt;&gt;$O823,0,IF(P823&lt;Matchup!$B$39,7,IF(P823&lt;Matchup!$B$39+Matchup!$B$40,3,0)))</f>
        <v>0</v>
      </c>
      <c r="S823" s="0" t="n">
        <f aca="false">IF($I823&lt;&gt;$O823,0,IF(Q823&lt;Matchup!$C$39,7,IF(Q823&lt;Matchup!$C$39+Matchup!$C$40,3,0)))</f>
        <v>0</v>
      </c>
      <c r="T823" s="0" t="n">
        <f aca="false">I823+R823</f>
        <v>14</v>
      </c>
      <c r="U823" s="0" t="n">
        <f aca="false">O823+S823</f>
        <v>28</v>
      </c>
      <c r="V823" s="0" t="n">
        <f aca="false">T823-U823</f>
        <v>-14</v>
      </c>
      <c r="W823" s="0" t="n">
        <f aca="false">T823+U823</f>
        <v>42</v>
      </c>
    </row>
    <row r="824" customFormat="false" ht="15" hidden="false" customHeight="false" outlineLevel="0" collapsed="false">
      <c r="A824" s="0" t="n">
        <v>821</v>
      </c>
      <c r="B824" s="0" t="n">
        <f aca="true">NORMINV(RAND(),1,Coefficients!$B$22)</f>
        <v>1.07167431343146</v>
      </c>
      <c r="C824" s="0" t="n">
        <f aca="true">MEDIAN(8,16,ROUND(NORMINV(RAND(),Coefficients!$B$20,Coefficients!$B$21),0))</f>
        <v>10</v>
      </c>
      <c r="D824" s="0" t="n">
        <f aca="true">CRITBINOM($C824,MIN(0.75,Matchup!$B$39*$B824),RAND())</f>
        <v>5</v>
      </c>
      <c r="E824" s="0" t="n">
        <f aca="true">CRITBINOM(D824,Coefficients!$B$30,RAND())</f>
        <v>0</v>
      </c>
      <c r="F824" s="0" t="n">
        <f aca="true">CRITBINOM(E824,Coefficients!$B$31,RAND())</f>
        <v>0</v>
      </c>
      <c r="G824" s="0" t="n">
        <f aca="true">CRITBINOM(MAX(0,D824-E824),1-Coefficients!$B$32,RAND())</f>
        <v>0</v>
      </c>
      <c r="H824" s="0" t="n">
        <f aca="true">CRITBINOM(MAX(0,$C824-D824),MIN(0.6,Matchup!$B$40*SQRT($B824)/(1-MIN(0.75,Matchup!$B$39*$B824))),RAND())</f>
        <v>3</v>
      </c>
      <c r="I824" s="0" t="n">
        <f aca="false">6*D824+(D824-E824-G824)+2*F824+3*H824</f>
        <v>44</v>
      </c>
      <c r="J824" s="0" t="n">
        <f aca="true">CRITBINOM($C824,MIN(0.75,Matchup!$C$39*$B824),RAND())</f>
        <v>4</v>
      </c>
      <c r="K824" s="0" t="n">
        <f aca="true">CRITBINOM(J824,Coefficients!$B$30,RAND())</f>
        <v>0</v>
      </c>
      <c r="L824" s="0" t="n">
        <f aca="true">CRITBINOM(K824,Coefficients!$B$31,RAND())</f>
        <v>0</v>
      </c>
      <c r="M824" s="0" t="n">
        <f aca="true">CRITBINOM(MAX(0,J824-K824),1-Coefficients!$B$32,RAND())</f>
        <v>0</v>
      </c>
      <c r="N824" s="0" t="n">
        <f aca="true">CRITBINOM(MAX(0,$C824-J824),MIN(0.6,Matchup!$C$40*SQRT($B824)/(1-MIN(0.75,Matchup!$C$39*$B824))),RAND())</f>
        <v>1</v>
      </c>
      <c r="O824" s="0" t="n">
        <f aca="false">6*J824+(J824-K824-M824)+2*L824+3*N824</f>
        <v>31</v>
      </c>
      <c r="P824" s="0" t="n">
        <f aca="true">RAND()</f>
        <v>0.914096669436841</v>
      </c>
      <c r="Q824" s="0" t="n">
        <f aca="true">RAND()</f>
        <v>0.544609503802665</v>
      </c>
      <c r="R824" s="0" t="n">
        <f aca="false">IF($I824&lt;&gt;$O824,0,IF(P824&lt;Matchup!$B$39,7,IF(P824&lt;Matchup!$B$39+Matchup!$B$40,3,0)))</f>
        <v>0</v>
      </c>
      <c r="S824" s="0" t="n">
        <f aca="false">IF($I824&lt;&gt;$O824,0,IF(Q824&lt;Matchup!$C$39,7,IF(Q824&lt;Matchup!$C$39+Matchup!$C$40,3,0)))</f>
        <v>0</v>
      </c>
      <c r="T824" s="0" t="n">
        <f aca="false">I824+R824</f>
        <v>44</v>
      </c>
      <c r="U824" s="0" t="n">
        <f aca="false">O824+S824</f>
        <v>31</v>
      </c>
      <c r="V824" s="0" t="n">
        <f aca="false">T824-U824</f>
        <v>13</v>
      </c>
      <c r="W824" s="0" t="n">
        <f aca="false">T824+U824</f>
        <v>75</v>
      </c>
    </row>
    <row r="825" customFormat="false" ht="15" hidden="false" customHeight="false" outlineLevel="0" collapsed="false">
      <c r="A825" s="0" t="n">
        <v>822</v>
      </c>
      <c r="B825" s="0" t="n">
        <f aca="true">NORMINV(RAND(),1,Coefficients!$B$22)</f>
        <v>0.981822683680557</v>
      </c>
      <c r="C825" s="0" t="n">
        <f aca="true">MEDIAN(8,16,ROUND(NORMINV(RAND(),Coefficients!$B$20,Coefficients!$B$21),0))</f>
        <v>10</v>
      </c>
      <c r="D825" s="0" t="n">
        <f aca="true">CRITBINOM($C825,MIN(0.75,Matchup!$B$39*$B825),RAND())</f>
        <v>2</v>
      </c>
      <c r="E825" s="0" t="n">
        <f aca="true">CRITBINOM(D825,Coefficients!$B$30,RAND())</f>
        <v>0</v>
      </c>
      <c r="F825" s="0" t="n">
        <f aca="true">CRITBINOM(E825,Coefficients!$B$31,RAND())</f>
        <v>0</v>
      </c>
      <c r="G825" s="0" t="n">
        <f aca="true">CRITBINOM(MAX(0,D825-E825),1-Coefficients!$B$32,RAND())</f>
        <v>1</v>
      </c>
      <c r="H825" s="0" t="n">
        <f aca="true">CRITBINOM(MAX(0,$C825-D825),MIN(0.6,Matchup!$B$40*SQRT($B825)/(1-MIN(0.75,Matchup!$B$39*$B825))),RAND())</f>
        <v>0</v>
      </c>
      <c r="I825" s="0" t="n">
        <f aca="false">6*D825+(D825-E825-G825)+2*F825+3*H825</f>
        <v>13</v>
      </c>
      <c r="J825" s="0" t="n">
        <f aca="true">CRITBINOM($C825,MIN(0.75,Matchup!$C$39*$B825),RAND())</f>
        <v>2</v>
      </c>
      <c r="K825" s="0" t="n">
        <f aca="true">CRITBINOM(J825,Coefficients!$B$30,RAND())</f>
        <v>0</v>
      </c>
      <c r="L825" s="0" t="n">
        <f aca="true">CRITBINOM(K825,Coefficients!$B$31,RAND())</f>
        <v>0</v>
      </c>
      <c r="M825" s="0" t="n">
        <f aca="true">CRITBINOM(MAX(0,J825-K825),1-Coefficients!$B$32,RAND())</f>
        <v>0</v>
      </c>
      <c r="N825" s="0" t="n">
        <f aca="true">CRITBINOM(MAX(0,$C825-J825),MIN(0.6,Matchup!$C$40*SQRT($B825)/(1-MIN(0.75,Matchup!$C$39*$B825))),RAND())</f>
        <v>1</v>
      </c>
      <c r="O825" s="0" t="n">
        <f aca="false">6*J825+(J825-K825-M825)+2*L825+3*N825</f>
        <v>17</v>
      </c>
      <c r="P825" s="0" t="n">
        <f aca="true">RAND()</f>
        <v>0.651234552920252</v>
      </c>
      <c r="Q825" s="0" t="n">
        <f aca="true">RAND()</f>
        <v>0.0358455176272886</v>
      </c>
      <c r="R825" s="0" t="n">
        <f aca="false">IF($I825&lt;&gt;$O825,0,IF(P825&lt;Matchup!$B$39,7,IF(P825&lt;Matchup!$B$39+Matchup!$B$40,3,0)))</f>
        <v>0</v>
      </c>
      <c r="S825" s="0" t="n">
        <f aca="false">IF($I825&lt;&gt;$O825,0,IF(Q825&lt;Matchup!$C$39,7,IF(Q825&lt;Matchup!$C$39+Matchup!$C$40,3,0)))</f>
        <v>0</v>
      </c>
      <c r="T825" s="0" t="n">
        <f aca="false">I825+R825</f>
        <v>13</v>
      </c>
      <c r="U825" s="0" t="n">
        <f aca="false">O825+S825</f>
        <v>17</v>
      </c>
      <c r="V825" s="0" t="n">
        <f aca="false">T825-U825</f>
        <v>-4</v>
      </c>
      <c r="W825" s="0" t="n">
        <f aca="false">T825+U825</f>
        <v>30</v>
      </c>
    </row>
    <row r="826" customFormat="false" ht="15" hidden="false" customHeight="false" outlineLevel="0" collapsed="false">
      <c r="A826" s="0" t="n">
        <v>823</v>
      </c>
      <c r="B826" s="0" t="n">
        <f aca="true">NORMINV(RAND(),1,Coefficients!$B$22)</f>
        <v>1.00647789876346</v>
      </c>
      <c r="C826" s="0" t="n">
        <f aca="true">MEDIAN(8,16,ROUND(NORMINV(RAND(),Coefficients!$B$20,Coefficients!$B$21),0))</f>
        <v>11</v>
      </c>
      <c r="D826" s="0" t="n">
        <f aca="true">CRITBINOM($C826,MIN(0.75,Matchup!$B$39*$B826),RAND())</f>
        <v>4</v>
      </c>
      <c r="E826" s="0" t="n">
        <f aca="true">CRITBINOM(D826,Coefficients!$B$30,RAND())</f>
        <v>1</v>
      </c>
      <c r="F826" s="0" t="n">
        <f aca="true">CRITBINOM(E826,Coefficients!$B$31,RAND())</f>
        <v>1</v>
      </c>
      <c r="G826" s="0" t="n">
        <f aca="true">CRITBINOM(MAX(0,D826-E826),1-Coefficients!$B$32,RAND())</f>
        <v>0</v>
      </c>
      <c r="H826" s="0" t="n">
        <f aca="true">CRITBINOM(MAX(0,$C826-D826),MIN(0.6,Matchup!$B$40*SQRT($B826)/(1-MIN(0.75,Matchup!$B$39*$B826))),RAND())</f>
        <v>0</v>
      </c>
      <c r="I826" s="0" t="n">
        <f aca="false">6*D826+(D826-E826-G826)+2*F826+3*H826</f>
        <v>29</v>
      </c>
      <c r="J826" s="0" t="n">
        <f aca="true">CRITBINOM($C826,MIN(0.75,Matchup!$C$39*$B826),RAND())</f>
        <v>5</v>
      </c>
      <c r="K826" s="0" t="n">
        <f aca="true">CRITBINOM(J826,Coefficients!$B$30,RAND())</f>
        <v>0</v>
      </c>
      <c r="L826" s="0" t="n">
        <f aca="true">CRITBINOM(K826,Coefficients!$B$31,RAND())</f>
        <v>0</v>
      </c>
      <c r="M826" s="0" t="n">
        <f aca="true">CRITBINOM(MAX(0,J826-K826),1-Coefficients!$B$32,RAND())</f>
        <v>0</v>
      </c>
      <c r="N826" s="0" t="n">
        <f aca="true">CRITBINOM(MAX(0,$C826-J826),MIN(0.6,Matchup!$C$40*SQRT($B826)/(1-MIN(0.75,Matchup!$C$39*$B826))),RAND())</f>
        <v>1</v>
      </c>
      <c r="O826" s="0" t="n">
        <f aca="false">6*J826+(J826-K826-M826)+2*L826+3*N826</f>
        <v>38</v>
      </c>
      <c r="P826" s="0" t="n">
        <f aca="true">RAND()</f>
        <v>0.045256033908982</v>
      </c>
      <c r="Q826" s="0" t="n">
        <f aca="true">RAND()</f>
        <v>0.73868408011538</v>
      </c>
      <c r="R826" s="0" t="n">
        <f aca="false">IF($I826&lt;&gt;$O826,0,IF(P826&lt;Matchup!$B$39,7,IF(P826&lt;Matchup!$B$39+Matchup!$B$40,3,0)))</f>
        <v>0</v>
      </c>
      <c r="S826" s="0" t="n">
        <f aca="false">IF($I826&lt;&gt;$O826,0,IF(Q826&lt;Matchup!$C$39,7,IF(Q826&lt;Matchup!$C$39+Matchup!$C$40,3,0)))</f>
        <v>0</v>
      </c>
      <c r="T826" s="0" t="n">
        <f aca="false">I826+R826</f>
        <v>29</v>
      </c>
      <c r="U826" s="0" t="n">
        <f aca="false">O826+S826</f>
        <v>38</v>
      </c>
      <c r="V826" s="0" t="n">
        <f aca="false">T826-U826</f>
        <v>-9</v>
      </c>
      <c r="W826" s="0" t="n">
        <f aca="false">T826+U826</f>
        <v>67</v>
      </c>
    </row>
    <row r="827" customFormat="false" ht="15" hidden="false" customHeight="false" outlineLevel="0" collapsed="false">
      <c r="A827" s="0" t="n">
        <v>824</v>
      </c>
      <c r="B827" s="0" t="n">
        <f aca="true">NORMINV(RAND(),1,Coefficients!$B$22)</f>
        <v>0.952086820079355</v>
      </c>
      <c r="C827" s="0" t="n">
        <f aca="true">MEDIAN(8,16,ROUND(NORMINV(RAND(),Coefficients!$B$20,Coefficients!$B$21),0))</f>
        <v>11</v>
      </c>
      <c r="D827" s="0" t="n">
        <f aca="true">CRITBINOM($C827,MIN(0.75,Matchup!$B$39*$B827),RAND())</f>
        <v>4</v>
      </c>
      <c r="E827" s="0" t="n">
        <f aca="true">CRITBINOM(D827,Coefficients!$B$30,RAND())</f>
        <v>0</v>
      </c>
      <c r="F827" s="0" t="n">
        <f aca="true">CRITBINOM(E827,Coefficients!$B$31,RAND())</f>
        <v>0</v>
      </c>
      <c r="G827" s="0" t="n">
        <f aca="true">CRITBINOM(MAX(0,D827-E827),1-Coefficients!$B$32,RAND())</f>
        <v>0</v>
      </c>
      <c r="H827" s="0" t="n">
        <f aca="true">CRITBINOM(MAX(0,$C827-D827),MIN(0.6,Matchup!$B$40*SQRT($B827)/(1-MIN(0.75,Matchup!$B$39*$B827))),RAND())</f>
        <v>0</v>
      </c>
      <c r="I827" s="0" t="n">
        <f aca="false">6*D827+(D827-E827-G827)+2*F827+3*H827</f>
        <v>28</v>
      </c>
      <c r="J827" s="0" t="n">
        <f aca="true">CRITBINOM($C827,MIN(0.75,Matchup!$C$39*$B827),RAND())</f>
        <v>2</v>
      </c>
      <c r="K827" s="0" t="n">
        <f aca="true">CRITBINOM(J827,Coefficients!$B$30,RAND())</f>
        <v>0</v>
      </c>
      <c r="L827" s="0" t="n">
        <f aca="true">CRITBINOM(K827,Coefficients!$B$31,RAND())</f>
        <v>0</v>
      </c>
      <c r="M827" s="0" t="n">
        <f aca="true">CRITBINOM(MAX(0,J827-K827),1-Coefficients!$B$32,RAND())</f>
        <v>0</v>
      </c>
      <c r="N827" s="0" t="n">
        <f aca="true">CRITBINOM(MAX(0,$C827-J827),MIN(0.6,Matchup!$C$40*SQRT($B827)/(1-MIN(0.75,Matchup!$C$39*$B827))),RAND())</f>
        <v>1</v>
      </c>
      <c r="O827" s="0" t="n">
        <f aca="false">6*J827+(J827-K827-M827)+2*L827+3*N827</f>
        <v>17</v>
      </c>
      <c r="P827" s="0" t="n">
        <f aca="true">RAND()</f>
        <v>0.114595480642357</v>
      </c>
      <c r="Q827" s="0" t="n">
        <f aca="true">RAND()</f>
        <v>0.892192763436944</v>
      </c>
      <c r="R827" s="0" t="n">
        <f aca="false">IF($I827&lt;&gt;$O827,0,IF(P827&lt;Matchup!$B$39,7,IF(P827&lt;Matchup!$B$39+Matchup!$B$40,3,0)))</f>
        <v>0</v>
      </c>
      <c r="S827" s="0" t="n">
        <f aca="false">IF($I827&lt;&gt;$O827,0,IF(Q827&lt;Matchup!$C$39,7,IF(Q827&lt;Matchup!$C$39+Matchup!$C$40,3,0)))</f>
        <v>0</v>
      </c>
      <c r="T827" s="0" t="n">
        <f aca="false">I827+R827</f>
        <v>28</v>
      </c>
      <c r="U827" s="0" t="n">
        <f aca="false">O827+S827</f>
        <v>17</v>
      </c>
      <c r="V827" s="0" t="n">
        <f aca="false">T827-U827</f>
        <v>11</v>
      </c>
      <c r="W827" s="0" t="n">
        <f aca="false">T827+U827</f>
        <v>45</v>
      </c>
    </row>
    <row r="828" customFormat="false" ht="15" hidden="false" customHeight="false" outlineLevel="0" collapsed="false">
      <c r="A828" s="0" t="n">
        <v>825</v>
      </c>
      <c r="B828" s="0" t="n">
        <f aca="true">NORMINV(RAND(),1,Coefficients!$B$22)</f>
        <v>1.08955268604363</v>
      </c>
      <c r="C828" s="0" t="n">
        <f aca="true">MEDIAN(8,16,ROUND(NORMINV(RAND(),Coefficients!$B$20,Coefficients!$B$21),0))</f>
        <v>12</v>
      </c>
      <c r="D828" s="0" t="n">
        <f aca="true">CRITBINOM($C828,MIN(0.75,Matchup!$B$39*$B828),RAND())</f>
        <v>5</v>
      </c>
      <c r="E828" s="0" t="n">
        <f aca="true">CRITBINOM(D828,Coefficients!$B$30,RAND())</f>
        <v>0</v>
      </c>
      <c r="F828" s="0" t="n">
        <f aca="true">CRITBINOM(E828,Coefficients!$B$31,RAND())</f>
        <v>0</v>
      </c>
      <c r="G828" s="0" t="n">
        <f aca="true">CRITBINOM(MAX(0,D828-E828),1-Coefficients!$B$32,RAND())</f>
        <v>1</v>
      </c>
      <c r="H828" s="0" t="n">
        <f aca="true">CRITBINOM(MAX(0,$C828-D828),MIN(0.6,Matchup!$B$40*SQRT($B828)/(1-MIN(0.75,Matchup!$B$39*$B828))),RAND())</f>
        <v>0</v>
      </c>
      <c r="I828" s="0" t="n">
        <f aca="false">6*D828+(D828-E828-G828)+2*F828+3*H828</f>
        <v>34</v>
      </c>
      <c r="J828" s="0" t="n">
        <f aca="true">CRITBINOM($C828,MIN(0.75,Matchup!$C$39*$B828),RAND())</f>
        <v>4</v>
      </c>
      <c r="K828" s="0" t="n">
        <f aca="true">CRITBINOM(J828,Coefficients!$B$30,RAND())</f>
        <v>1</v>
      </c>
      <c r="L828" s="0" t="n">
        <f aca="true">CRITBINOM(K828,Coefficients!$B$31,RAND())</f>
        <v>0</v>
      </c>
      <c r="M828" s="0" t="n">
        <f aca="true">CRITBINOM(MAX(0,J828-K828),1-Coefficients!$B$32,RAND())</f>
        <v>0</v>
      </c>
      <c r="N828" s="0" t="n">
        <f aca="true">CRITBINOM(MAX(0,$C828-J828),MIN(0.6,Matchup!$C$40*SQRT($B828)/(1-MIN(0.75,Matchup!$C$39*$B828))),RAND())</f>
        <v>1</v>
      </c>
      <c r="O828" s="0" t="n">
        <f aca="false">6*J828+(J828-K828-M828)+2*L828+3*N828</f>
        <v>30</v>
      </c>
      <c r="P828" s="0" t="n">
        <f aca="true">RAND()</f>
        <v>0.637074281799647</v>
      </c>
      <c r="Q828" s="0" t="n">
        <f aca="true">RAND()</f>
        <v>0.638667497174937</v>
      </c>
      <c r="R828" s="0" t="n">
        <f aca="false">IF($I828&lt;&gt;$O828,0,IF(P828&lt;Matchup!$B$39,7,IF(P828&lt;Matchup!$B$39+Matchup!$B$40,3,0)))</f>
        <v>0</v>
      </c>
      <c r="S828" s="0" t="n">
        <f aca="false">IF($I828&lt;&gt;$O828,0,IF(Q828&lt;Matchup!$C$39,7,IF(Q828&lt;Matchup!$C$39+Matchup!$C$40,3,0)))</f>
        <v>0</v>
      </c>
      <c r="T828" s="0" t="n">
        <f aca="false">I828+R828</f>
        <v>34</v>
      </c>
      <c r="U828" s="0" t="n">
        <f aca="false">O828+S828</f>
        <v>30</v>
      </c>
      <c r="V828" s="0" t="n">
        <f aca="false">T828-U828</f>
        <v>4</v>
      </c>
      <c r="W828" s="0" t="n">
        <f aca="false">T828+U828</f>
        <v>64</v>
      </c>
    </row>
    <row r="829" customFormat="false" ht="15" hidden="false" customHeight="false" outlineLevel="0" collapsed="false">
      <c r="A829" s="0" t="n">
        <v>826</v>
      </c>
      <c r="B829" s="0" t="n">
        <f aca="true">NORMINV(RAND(),1,Coefficients!$B$22)</f>
        <v>0.911134301148016</v>
      </c>
      <c r="C829" s="0" t="n">
        <f aca="true">MEDIAN(8,16,ROUND(NORMINV(RAND(),Coefficients!$B$20,Coefficients!$B$21),0))</f>
        <v>12</v>
      </c>
      <c r="D829" s="0" t="n">
        <f aca="true">CRITBINOM($C829,MIN(0.75,Matchup!$B$39*$B829),RAND())</f>
        <v>4</v>
      </c>
      <c r="E829" s="0" t="n">
        <f aca="true">CRITBINOM(D829,Coefficients!$B$30,RAND())</f>
        <v>0</v>
      </c>
      <c r="F829" s="0" t="n">
        <f aca="true">CRITBINOM(E829,Coefficients!$B$31,RAND())</f>
        <v>0</v>
      </c>
      <c r="G829" s="0" t="n">
        <f aca="true">CRITBINOM(MAX(0,D829-E829),1-Coefficients!$B$32,RAND())</f>
        <v>0</v>
      </c>
      <c r="H829" s="0" t="n">
        <f aca="true">CRITBINOM(MAX(0,$C829-D829),MIN(0.6,Matchup!$B$40*SQRT($B829)/(1-MIN(0.75,Matchup!$B$39*$B829))),RAND())</f>
        <v>2</v>
      </c>
      <c r="I829" s="0" t="n">
        <f aca="false">6*D829+(D829-E829-G829)+2*F829+3*H829</f>
        <v>34</v>
      </c>
      <c r="J829" s="0" t="n">
        <f aca="true">CRITBINOM($C829,MIN(0.75,Matchup!$C$39*$B829),RAND())</f>
        <v>2</v>
      </c>
      <c r="K829" s="0" t="n">
        <f aca="true">CRITBINOM(J829,Coefficients!$B$30,RAND())</f>
        <v>0</v>
      </c>
      <c r="L829" s="0" t="n">
        <f aca="true">CRITBINOM(K829,Coefficients!$B$31,RAND())</f>
        <v>0</v>
      </c>
      <c r="M829" s="0" t="n">
        <f aca="true">CRITBINOM(MAX(0,J829-K829),1-Coefficients!$B$32,RAND())</f>
        <v>0</v>
      </c>
      <c r="N829" s="0" t="n">
        <f aca="true">CRITBINOM(MAX(0,$C829-J829),MIN(0.6,Matchup!$C$40*SQRT($B829)/(1-MIN(0.75,Matchup!$C$39*$B829))),RAND())</f>
        <v>3</v>
      </c>
      <c r="O829" s="0" t="n">
        <f aca="false">6*J829+(J829-K829-M829)+2*L829+3*N829</f>
        <v>23</v>
      </c>
      <c r="P829" s="0" t="n">
        <f aca="true">RAND()</f>
        <v>0.515304388952333</v>
      </c>
      <c r="Q829" s="0" t="n">
        <f aca="true">RAND()</f>
        <v>0.507406179250394</v>
      </c>
      <c r="R829" s="0" t="n">
        <f aca="false">IF($I829&lt;&gt;$O829,0,IF(P829&lt;Matchup!$B$39,7,IF(P829&lt;Matchup!$B$39+Matchup!$B$40,3,0)))</f>
        <v>0</v>
      </c>
      <c r="S829" s="0" t="n">
        <f aca="false">IF($I829&lt;&gt;$O829,0,IF(Q829&lt;Matchup!$C$39,7,IF(Q829&lt;Matchup!$C$39+Matchup!$C$40,3,0)))</f>
        <v>0</v>
      </c>
      <c r="T829" s="0" t="n">
        <f aca="false">I829+R829</f>
        <v>34</v>
      </c>
      <c r="U829" s="0" t="n">
        <f aca="false">O829+S829</f>
        <v>23</v>
      </c>
      <c r="V829" s="0" t="n">
        <f aca="false">T829-U829</f>
        <v>11</v>
      </c>
      <c r="W829" s="0" t="n">
        <f aca="false">T829+U829</f>
        <v>57</v>
      </c>
    </row>
    <row r="830" customFormat="false" ht="15" hidden="false" customHeight="false" outlineLevel="0" collapsed="false">
      <c r="A830" s="0" t="n">
        <v>827</v>
      </c>
      <c r="B830" s="0" t="n">
        <f aca="true">NORMINV(RAND(),1,Coefficients!$B$22)</f>
        <v>1.05604358813433</v>
      </c>
      <c r="C830" s="0" t="n">
        <f aca="true">MEDIAN(8,16,ROUND(NORMINV(RAND(),Coefficients!$B$20,Coefficients!$B$21),0))</f>
        <v>10</v>
      </c>
      <c r="D830" s="0" t="n">
        <f aca="true">CRITBINOM($C830,MIN(0.75,Matchup!$B$39*$B830),RAND())</f>
        <v>3</v>
      </c>
      <c r="E830" s="0" t="n">
        <f aca="true">CRITBINOM(D830,Coefficients!$B$30,RAND())</f>
        <v>0</v>
      </c>
      <c r="F830" s="0" t="n">
        <f aca="true">CRITBINOM(E830,Coefficients!$B$31,RAND())</f>
        <v>0</v>
      </c>
      <c r="G830" s="0" t="n">
        <f aca="true">CRITBINOM(MAX(0,D830-E830),1-Coefficients!$B$32,RAND())</f>
        <v>0</v>
      </c>
      <c r="H830" s="0" t="n">
        <f aca="true">CRITBINOM(MAX(0,$C830-D830),MIN(0.6,Matchup!$B$40*SQRT($B830)/(1-MIN(0.75,Matchup!$B$39*$B830))),RAND())</f>
        <v>1</v>
      </c>
      <c r="I830" s="0" t="n">
        <f aca="false">6*D830+(D830-E830-G830)+2*F830+3*H830</f>
        <v>24</v>
      </c>
      <c r="J830" s="0" t="n">
        <f aca="true">CRITBINOM($C830,MIN(0.75,Matchup!$C$39*$B830),RAND())</f>
        <v>3</v>
      </c>
      <c r="K830" s="0" t="n">
        <f aca="true">CRITBINOM(J830,Coefficients!$B$30,RAND())</f>
        <v>1</v>
      </c>
      <c r="L830" s="0" t="n">
        <f aca="true">CRITBINOM(K830,Coefficients!$B$31,RAND())</f>
        <v>1</v>
      </c>
      <c r="M830" s="0" t="n">
        <f aca="true">CRITBINOM(MAX(0,J830-K830),1-Coefficients!$B$32,RAND())</f>
        <v>0</v>
      </c>
      <c r="N830" s="0" t="n">
        <f aca="true">CRITBINOM(MAX(0,$C830-J830),MIN(0.6,Matchup!$C$40*SQRT($B830)/(1-MIN(0.75,Matchup!$C$39*$B830))),RAND())</f>
        <v>3</v>
      </c>
      <c r="O830" s="0" t="n">
        <f aca="false">6*J830+(J830-K830-M830)+2*L830+3*N830</f>
        <v>31</v>
      </c>
      <c r="P830" s="0" t="n">
        <f aca="true">RAND()</f>
        <v>0.0958423743669102</v>
      </c>
      <c r="Q830" s="0" t="n">
        <f aca="true">RAND()</f>
        <v>0.345345749141846</v>
      </c>
      <c r="R830" s="0" t="n">
        <f aca="false">IF($I830&lt;&gt;$O830,0,IF(P830&lt;Matchup!$B$39,7,IF(P830&lt;Matchup!$B$39+Matchup!$B$40,3,0)))</f>
        <v>0</v>
      </c>
      <c r="S830" s="0" t="n">
        <f aca="false">IF($I830&lt;&gt;$O830,0,IF(Q830&lt;Matchup!$C$39,7,IF(Q830&lt;Matchup!$C$39+Matchup!$C$40,3,0)))</f>
        <v>0</v>
      </c>
      <c r="T830" s="0" t="n">
        <f aca="false">I830+R830</f>
        <v>24</v>
      </c>
      <c r="U830" s="0" t="n">
        <f aca="false">O830+S830</f>
        <v>31</v>
      </c>
      <c r="V830" s="0" t="n">
        <f aca="false">T830-U830</f>
        <v>-7</v>
      </c>
      <c r="W830" s="0" t="n">
        <f aca="false">T830+U830</f>
        <v>55</v>
      </c>
    </row>
    <row r="831" customFormat="false" ht="15" hidden="false" customHeight="false" outlineLevel="0" collapsed="false">
      <c r="A831" s="0" t="n">
        <v>828</v>
      </c>
      <c r="B831" s="0" t="n">
        <f aca="true">NORMINV(RAND(),1,Coefficients!$B$22)</f>
        <v>0.99764609005909</v>
      </c>
      <c r="C831" s="0" t="n">
        <f aca="true">MEDIAN(8,16,ROUND(NORMINV(RAND(),Coefficients!$B$20,Coefficients!$B$21),0))</f>
        <v>10</v>
      </c>
      <c r="D831" s="0" t="n">
        <f aca="true">CRITBINOM($C831,MIN(0.75,Matchup!$B$39*$B831),RAND())</f>
        <v>3</v>
      </c>
      <c r="E831" s="0" t="n">
        <f aca="true">CRITBINOM(D831,Coefficients!$B$30,RAND())</f>
        <v>0</v>
      </c>
      <c r="F831" s="0" t="n">
        <f aca="true">CRITBINOM(E831,Coefficients!$B$31,RAND())</f>
        <v>0</v>
      </c>
      <c r="G831" s="0" t="n">
        <f aca="true">CRITBINOM(MAX(0,D831-E831),1-Coefficients!$B$32,RAND())</f>
        <v>0</v>
      </c>
      <c r="H831" s="0" t="n">
        <f aca="true">CRITBINOM(MAX(0,$C831-D831),MIN(0.6,Matchup!$B$40*SQRT($B831)/(1-MIN(0.75,Matchup!$B$39*$B831))),RAND())</f>
        <v>1</v>
      </c>
      <c r="I831" s="0" t="n">
        <f aca="false">6*D831+(D831-E831-G831)+2*F831+3*H831</f>
        <v>24</v>
      </c>
      <c r="J831" s="0" t="n">
        <f aca="true">CRITBINOM($C831,MIN(0.75,Matchup!$C$39*$B831),RAND())</f>
        <v>2</v>
      </c>
      <c r="K831" s="0" t="n">
        <f aca="true">CRITBINOM(J831,Coefficients!$B$30,RAND())</f>
        <v>0</v>
      </c>
      <c r="L831" s="0" t="n">
        <f aca="true">CRITBINOM(K831,Coefficients!$B$31,RAND())</f>
        <v>0</v>
      </c>
      <c r="M831" s="0" t="n">
        <f aca="true">CRITBINOM(MAX(0,J831-K831),1-Coefficients!$B$32,RAND())</f>
        <v>1</v>
      </c>
      <c r="N831" s="0" t="n">
        <f aca="true">CRITBINOM(MAX(0,$C831-J831),MIN(0.6,Matchup!$C$40*SQRT($B831)/(1-MIN(0.75,Matchup!$C$39*$B831))),RAND())</f>
        <v>0</v>
      </c>
      <c r="O831" s="0" t="n">
        <f aca="false">6*J831+(J831-K831-M831)+2*L831+3*N831</f>
        <v>13</v>
      </c>
      <c r="P831" s="0" t="n">
        <f aca="true">RAND()</f>
        <v>0.633783443895488</v>
      </c>
      <c r="Q831" s="0" t="n">
        <f aca="true">RAND()</f>
        <v>0.199531338785493</v>
      </c>
      <c r="R831" s="0" t="n">
        <f aca="false">IF($I831&lt;&gt;$O831,0,IF(P831&lt;Matchup!$B$39,7,IF(P831&lt;Matchup!$B$39+Matchup!$B$40,3,0)))</f>
        <v>0</v>
      </c>
      <c r="S831" s="0" t="n">
        <f aca="false">IF($I831&lt;&gt;$O831,0,IF(Q831&lt;Matchup!$C$39,7,IF(Q831&lt;Matchup!$C$39+Matchup!$C$40,3,0)))</f>
        <v>0</v>
      </c>
      <c r="T831" s="0" t="n">
        <f aca="false">I831+R831</f>
        <v>24</v>
      </c>
      <c r="U831" s="0" t="n">
        <f aca="false">O831+S831</f>
        <v>13</v>
      </c>
      <c r="V831" s="0" t="n">
        <f aca="false">T831-U831</f>
        <v>11</v>
      </c>
      <c r="W831" s="0" t="n">
        <f aca="false">T831+U831</f>
        <v>37</v>
      </c>
    </row>
    <row r="832" customFormat="false" ht="15" hidden="false" customHeight="false" outlineLevel="0" collapsed="false">
      <c r="A832" s="0" t="n">
        <v>829</v>
      </c>
      <c r="B832" s="0" t="n">
        <f aca="true">NORMINV(RAND(),1,Coefficients!$B$22)</f>
        <v>0.886205503152972</v>
      </c>
      <c r="C832" s="0" t="n">
        <f aca="true">MEDIAN(8,16,ROUND(NORMINV(RAND(),Coefficients!$B$20,Coefficients!$B$21),0))</f>
        <v>12</v>
      </c>
      <c r="D832" s="0" t="n">
        <f aca="true">CRITBINOM($C832,MIN(0.75,Matchup!$B$39*$B832),RAND())</f>
        <v>0</v>
      </c>
      <c r="E832" s="0" t="n">
        <f aca="true">CRITBINOM(D832,Coefficients!$B$30,RAND())</f>
        <v>0</v>
      </c>
      <c r="F832" s="0" t="n">
        <f aca="true">CRITBINOM(E832,Coefficients!$B$31,RAND())</f>
        <v>0</v>
      </c>
      <c r="G832" s="0" t="n">
        <f aca="true">CRITBINOM(MAX(0,D832-E832),1-Coefficients!$B$32,RAND())</f>
        <v>0</v>
      </c>
      <c r="H832" s="0" t="n">
        <f aca="true">CRITBINOM(MAX(0,$C832-D832),MIN(0.6,Matchup!$B$40*SQRT($B832)/(1-MIN(0.75,Matchup!$B$39*$B832))),RAND())</f>
        <v>4</v>
      </c>
      <c r="I832" s="0" t="n">
        <f aca="false">6*D832+(D832-E832-G832)+2*F832+3*H832</f>
        <v>12</v>
      </c>
      <c r="J832" s="0" t="n">
        <f aca="true">CRITBINOM($C832,MIN(0.75,Matchup!$C$39*$B832),RAND())</f>
        <v>1</v>
      </c>
      <c r="K832" s="0" t="n">
        <f aca="true">CRITBINOM(J832,Coefficients!$B$30,RAND())</f>
        <v>0</v>
      </c>
      <c r="L832" s="0" t="n">
        <f aca="true">CRITBINOM(K832,Coefficients!$B$31,RAND())</f>
        <v>0</v>
      </c>
      <c r="M832" s="0" t="n">
        <f aca="true">CRITBINOM(MAX(0,J832-K832),1-Coefficients!$B$32,RAND())</f>
        <v>0</v>
      </c>
      <c r="N832" s="0" t="n">
        <f aca="true">CRITBINOM(MAX(0,$C832-J832),MIN(0.6,Matchup!$C$40*SQRT($B832)/(1-MIN(0.75,Matchup!$C$39*$B832))),RAND())</f>
        <v>1</v>
      </c>
      <c r="O832" s="0" t="n">
        <f aca="false">6*J832+(J832-K832-M832)+2*L832+3*N832</f>
        <v>10</v>
      </c>
      <c r="P832" s="0" t="n">
        <f aca="true">RAND()</f>
        <v>0.18841635292997</v>
      </c>
      <c r="Q832" s="0" t="n">
        <f aca="true">RAND()</f>
        <v>0.31744749952488</v>
      </c>
      <c r="R832" s="0" t="n">
        <f aca="false">IF($I832&lt;&gt;$O832,0,IF(P832&lt;Matchup!$B$39,7,IF(P832&lt;Matchup!$B$39+Matchup!$B$40,3,0)))</f>
        <v>0</v>
      </c>
      <c r="S832" s="0" t="n">
        <f aca="false">IF($I832&lt;&gt;$O832,0,IF(Q832&lt;Matchup!$C$39,7,IF(Q832&lt;Matchup!$C$39+Matchup!$C$40,3,0)))</f>
        <v>0</v>
      </c>
      <c r="T832" s="0" t="n">
        <f aca="false">I832+R832</f>
        <v>12</v>
      </c>
      <c r="U832" s="0" t="n">
        <f aca="false">O832+S832</f>
        <v>10</v>
      </c>
      <c r="V832" s="0" t="n">
        <f aca="false">T832-U832</f>
        <v>2</v>
      </c>
      <c r="W832" s="0" t="n">
        <f aca="false">T832+U832</f>
        <v>22</v>
      </c>
    </row>
    <row r="833" customFormat="false" ht="15" hidden="false" customHeight="false" outlineLevel="0" collapsed="false">
      <c r="A833" s="0" t="n">
        <v>830</v>
      </c>
      <c r="B833" s="0" t="n">
        <f aca="true">NORMINV(RAND(),1,Coefficients!$B$22)</f>
        <v>0.969833435309622</v>
      </c>
      <c r="C833" s="0" t="n">
        <f aca="true">MEDIAN(8,16,ROUND(NORMINV(RAND(),Coefficients!$B$20,Coefficients!$B$21),0))</f>
        <v>10</v>
      </c>
      <c r="D833" s="0" t="n">
        <f aca="true">CRITBINOM($C833,MIN(0.75,Matchup!$B$39*$B833),RAND())</f>
        <v>4</v>
      </c>
      <c r="E833" s="0" t="n">
        <f aca="true">CRITBINOM(D833,Coefficients!$B$30,RAND())</f>
        <v>0</v>
      </c>
      <c r="F833" s="0" t="n">
        <f aca="true">CRITBINOM(E833,Coefficients!$B$31,RAND())</f>
        <v>0</v>
      </c>
      <c r="G833" s="0" t="n">
        <f aca="true">CRITBINOM(MAX(0,D833-E833),1-Coefficients!$B$32,RAND())</f>
        <v>1</v>
      </c>
      <c r="H833" s="0" t="n">
        <f aca="true">CRITBINOM(MAX(0,$C833-D833),MIN(0.6,Matchup!$B$40*SQRT($B833)/(1-MIN(0.75,Matchup!$B$39*$B833))),RAND())</f>
        <v>1</v>
      </c>
      <c r="I833" s="0" t="n">
        <f aca="false">6*D833+(D833-E833-G833)+2*F833+3*H833</f>
        <v>30</v>
      </c>
      <c r="J833" s="0" t="n">
        <f aca="true">CRITBINOM($C833,MIN(0.75,Matchup!$C$39*$B833),RAND())</f>
        <v>1</v>
      </c>
      <c r="K833" s="0" t="n">
        <f aca="true">CRITBINOM(J833,Coefficients!$B$30,RAND())</f>
        <v>1</v>
      </c>
      <c r="L833" s="0" t="n">
        <f aca="true">CRITBINOM(K833,Coefficients!$B$31,RAND())</f>
        <v>0</v>
      </c>
      <c r="M833" s="0" t="n">
        <f aca="true">CRITBINOM(MAX(0,J833-K833),1-Coefficients!$B$32,RAND())</f>
        <v>0</v>
      </c>
      <c r="N833" s="0" t="n">
        <f aca="true">CRITBINOM(MAX(0,$C833-J833),MIN(0.6,Matchup!$C$40*SQRT($B833)/(1-MIN(0.75,Matchup!$C$39*$B833))),RAND())</f>
        <v>2</v>
      </c>
      <c r="O833" s="0" t="n">
        <f aca="false">6*J833+(J833-K833-M833)+2*L833+3*N833</f>
        <v>12</v>
      </c>
      <c r="P833" s="0" t="n">
        <f aca="true">RAND()</f>
        <v>0.288491215457434</v>
      </c>
      <c r="Q833" s="0" t="n">
        <f aca="true">RAND()</f>
        <v>0.311014368973942</v>
      </c>
      <c r="R833" s="0" t="n">
        <f aca="false">IF($I833&lt;&gt;$O833,0,IF(P833&lt;Matchup!$B$39,7,IF(P833&lt;Matchup!$B$39+Matchup!$B$40,3,0)))</f>
        <v>0</v>
      </c>
      <c r="S833" s="0" t="n">
        <f aca="false">IF($I833&lt;&gt;$O833,0,IF(Q833&lt;Matchup!$C$39,7,IF(Q833&lt;Matchup!$C$39+Matchup!$C$40,3,0)))</f>
        <v>0</v>
      </c>
      <c r="T833" s="0" t="n">
        <f aca="false">I833+R833</f>
        <v>30</v>
      </c>
      <c r="U833" s="0" t="n">
        <f aca="false">O833+S833</f>
        <v>12</v>
      </c>
      <c r="V833" s="0" t="n">
        <f aca="false">T833-U833</f>
        <v>18</v>
      </c>
      <c r="W833" s="0" t="n">
        <f aca="false">T833+U833</f>
        <v>42</v>
      </c>
    </row>
    <row r="834" customFormat="false" ht="15" hidden="false" customHeight="false" outlineLevel="0" collapsed="false">
      <c r="A834" s="0" t="n">
        <v>831</v>
      </c>
      <c r="B834" s="0" t="n">
        <f aca="true">NORMINV(RAND(),1,Coefficients!$B$22)</f>
        <v>1.00210469814699</v>
      </c>
      <c r="C834" s="0" t="n">
        <f aca="true">MEDIAN(8,16,ROUND(NORMINV(RAND(),Coefficients!$B$20,Coefficients!$B$21),0))</f>
        <v>11</v>
      </c>
      <c r="D834" s="0" t="n">
        <f aca="true">CRITBINOM($C834,MIN(0.75,Matchup!$B$39*$B834),RAND())</f>
        <v>2</v>
      </c>
      <c r="E834" s="0" t="n">
        <f aca="true">CRITBINOM(D834,Coefficients!$B$30,RAND())</f>
        <v>0</v>
      </c>
      <c r="F834" s="0" t="n">
        <f aca="true">CRITBINOM(E834,Coefficients!$B$31,RAND())</f>
        <v>0</v>
      </c>
      <c r="G834" s="0" t="n">
        <f aca="true">CRITBINOM(MAX(0,D834-E834),1-Coefficients!$B$32,RAND())</f>
        <v>0</v>
      </c>
      <c r="H834" s="0" t="n">
        <f aca="true">CRITBINOM(MAX(0,$C834-D834),MIN(0.6,Matchup!$B$40*SQRT($B834)/(1-MIN(0.75,Matchup!$B$39*$B834))),RAND())</f>
        <v>1</v>
      </c>
      <c r="I834" s="0" t="n">
        <f aca="false">6*D834+(D834-E834-G834)+2*F834+3*H834</f>
        <v>17</v>
      </c>
      <c r="J834" s="0" t="n">
        <f aca="true">CRITBINOM($C834,MIN(0.75,Matchup!$C$39*$B834),RAND())</f>
        <v>3</v>
      </c>
      <c r="K834" s="0" t="n">
        <f aca="true">CRITBINOM(J834,Coefficients!$B$30,RAND())</f>
        <v>0</v>
      </c>
      <c r="L834" s="0" t="n">
        <f aca="true">CRITBINOM(K834,Coefficients!$B$31,RAND())</f>
        <v>0</v>
      </c>
      <c r="M834" s="0" t="n">
        <f aca="true">CRITBINOM(MAX(0,J834-K834),1-Coefficients!$B$32,RAND())</f>
        <v>0</v>
      </c>
      <c r="N834" s="0" t="n">
        <f aca="true">CRITBINOM(MAX(0,$C834-J834),MIN(0.6,Matchup!$C$40*SQRT($B834)/(1-MIN(0.75,Matchup!$C$39*$B834))),RAND())</f>
        <v>1</v>
      </c>
      <c r="O834" s="0" t="n">
        <f aca="false">6*J834+(J834-K834-M834)+2*L834+3*N834</f>
        <v>24</v>
      </c>
      <c r="P834" s="0" t="n">
        <f aca="true">RAND()</f>
        <v>0.321339810456344</v>
      </c>
      <c r="Q834" s="0" t="n">
        <f aca="true">RAND()</f>
        <v>0.643053136104529</v>
      </c>
      <c r="R834" s="0" t="n">
        <f aca="false">IF($I834&lt;&gt;$O834,0,IF(P834&lt;Matchup!$B$39,7,IF(P834&lt;Matchup!$B$39+Matchup!$B$40,3,0)))</f>
        <v>0</v>
      </c>
      <c r="S834" s="0" t="n">
        <f aca="false">IF($I834&lt;&gt;$O834,0,IF(Q834&lt;Matchup!$C$39,7,IF(Q834&lt;Matchup!$C$39+Matchup!$C$40,3,0)))</f>
        <v>0</v>
      </c>
      <c r="T834" s="0" t="n">
        <f aca="false">I834+R834</f>
        <v>17</v>
      </c>
      <c r="U834" s="0" t="n">
        <f aca="false">O834+S834</f>
        <v>24</v>
      </c>
      <c r="V834" s="0" t="n">
        <f aca="false">T834-U834</f>
        <v>-7</v>
      </c>
      <c r="W834" s="0" t="n">
        <f aca="false">T834+U834</f>
        <v>41</v>
      </c>
    </row>
    <row r="835" customFormat="false" ht="15" hidden="false" customHeight="false" outlineLevel="0" collapsed="false">
      <c r="A835" s="0" t="n">
        <v>832</v>
      </c>
      <c r="B835" s="0" t="n">
        <f aca="true">NORMINV(RAND(),1,Coefficients!$B$22)</f>
        <v>1.02630924823905</v>
      </c>
      <c r="C835" s="0" t="n">
        <f aca="true">MEDIAN(8,16,ROUND(NORMINV(RAND(),Coefficients!$B$20,Coefficients!$B$21),0))</f>
        <v>11</v>
      </c>
      <c r="D835" s="0" t="n">
        <f aca="true">CRITBINOM($C835,MIN(0.75,Matchup!$B$39*$B835),RAND())</f>
        <v>4</v>
      </c>
      <c r="E835" s="0" t="n">
        <f aca="true">CRITBINOM(D835,Coefficients!$B$30,RAND())</f>
        <v>0</v>
      </c>
      <c r="F835" s="0" t="n">
        <f aca="true">CRITBINOM(E835,Coefficients!$B$31,RAND())</f>
        <v>0</v>
      </c>
      <c r="G835" s="0" t="n">
        <f aca="true">CRITBINOM(MAX(0,D835-E835),1-Coefficients!$B$32,RAND())</f>
        <v>0</v>
      </c>
      <c r="H835" s="0" t="n">
        <f aca="true">CRITBINOM(MAX(0,$C835-D835),MIN(0.6,Matchup!$B$40*SQRT($B835)/(1-MIN(0.75,Matchup!$B$39*$B835))),RAND())</f>
        <v>3</v>
      </c>
      <c r="I835" s="0" t="n">
        <f aca="false">6*D835+(D835-E835-G835)+2*F835+3*H835</f>
        <v>37</v>
      </c>
      <c r="J835" s="0" t="n">
        <f aca="true">CRITBINOM($C835,MIN(0.75,Matchup!$C$39*$B835),RAND())</f>
        <v>2</v>
      </c>
      <c r="K835" s="0" t="n">
        <f aca="true">CRITBINOM(J835,Coefficients!$B$30,RAND())</f>
        <v>0</v>
      </c>
      <c r="L835" s="0" t="n">
        <f aca="true">CRITBINOM(K835,Coefficients!$B$31,RAND())</f>
        <v>0</v>
      </c>
      <c r="M835" s="0" t="n">
        <f aca="true">CRITBINOM(MAX(0,J835-K835),1-Coefficients!$B$32,RAND())</f>
        <v>0</v>
      </c>
      <c r="N835" s="0" t="n">
        <f aca="true">CRITBINOM(MAX(0,$C835-J835),MIN(0.6,Matchup!$C$40*SQRT($B835)/(1-MIN(0.75,Matchup!$C$39*$B835))),RAND())</f>
        <v>3</v>
      </c>
      <c r="O835" s="0" t="n">
        <f aca="false">6*J835+(J835-K835-M835)+2*L835+3*N835</f>
        <v>23</v>
      </c>
      <c r="P835" s="0" t="n">
        <f aca="true">RAND()</f>
        <v>0.0916242103267954</v>
      </c>
      <c r="Q835" s="0" t="n">
        <f aca="true">RAND()</f>
        <v>0.409811786751843</v>
      </c>
      <c r="R835" s="0" t="n">
        <f aca="false">IF($I835&lt;&gt;$O835,0,IF(P835&lt;Matchup!$B$39,7,IF(P835&lt;Matchup!$B$39+Matchup!$B$40,3,0)))</f>
        <v>0</v>
      </c>
      <c r="S835" s="0" t="n">
        <f aca="false">IF($I835&lt;&gt;$O835,0,IF(Q835&lt;Matchup!$C$39,7,IF(Q835&lt;Matchup!$C$39+Matchup!$C$40,3,0)))</f>
        <v>0</v>
      </c>
      <c r="T835" s="0" t="n">
        <f aca="false">I835+R835</f>
        <v>37</v>
      </c>
      <c r="U835" s="0" t="n">
        <f aca="false">O835+S835</f>
        <v>23</v>
      </c>
      <c r="V835" s="0" t="n">
        <f aca="false">T835-U835</f>
        <v>14</v>
      </c>
      <c r="W835" s="0" t="n">
        <f aca="false">T835+U835</f>
        <v>60</v>
      </c>
    </row>
    <row r="836" customFormat="false" ht="15" hidden="false" customHeight="false" outlineLevel="0" collapsed="false">
      <c r="A836" s="0" t="n">
        <v>833</v>
      </c>
      <c r="B836" s="0" t="n">
        <f aca="true">NORMINV(RAND(),1,Coefficients!$B$22)</f>
        <v>0.857569542325025</v>
      </c>
      <c r="C836" s="0" t="n">
        <f aca="true">MEDIAN(8,16,ROUND(NORMINV(RAND(),Coefficients!$B$20,Coefficients!$B$21),0))</f>
        <v>10</v>
      </c>
      <c r="D836" s="0" t="n">
        <f aca="true">CRITBINOM($C836,MIN(0.75,Matchup!$B$39*$B836),RAND())</f>
        <v>1</v>
      </c>
      <c r="E836" s="0" t="n">
        <f aca="true">CRITBINOM(D836,Coefficients!$B$30,RAND())</f>
        <v>0</v>
      </c>
      <c r="F836" s="0" t="n">
        <f aca="true">CRITBINOM(E836,Coefficients!$B$31,RAND())</f>
        <v>0</v>
      </c>
      <c r="G836" s="0" t="n">
        <f aca="true">CRITBINOM(MAX(0,D836-E836),1-Coefficients!$B$32,RAND())</f>
        <v>0</v>
      </c>
      <c r="H836" s="0" t="n">
        <f aca="true">CRITBINOM(MAX(0,$C836-D836),MIN(0.6,Matchup!$B$40*SQRT($B836)/(1-MIN(0.75,Matchup!$B$39*$B836))),RAND())</f>
        <v>3</v>
      </c>
      <c r="I836" s="0" t="n">
        <f aca="false">6*D836+(D836-E836-G836)+2*F836+3*H836</f>
        <v>16</v>
      </c>
      <c r="J836" s="0" t="n">
        <f aca="true">CRITBINOM($C836,MIN(0.75,Matchup!$C$39*$B836),RAND())</f>
        <v>2</v>
      </c>
      <c r="K836" s="0" t="n">
        <f aca="true">CRITBINOM(J836,Coefficients!$B$30,RAND())</f>
        <v>0</v>
      </c>
      <c r="L836" s="0" t="n">
        <f aca="true">CRITBINOM(K836,Coefficients!$B$31,RAND())</f>
        <v>0</v>
      </c>
      <c r="M836" s="0" t="n">
        <f aca="true">CRITBINOM(MAX(0,J836-K836),1-Coefficients!$B$32,RAND())</f>
        <v>0</v>
      </c>
      <c r="N836" s="0" t="n">
        <f aca="true">CRITBINOM(MAX(0,$C836-J836),MIN(0.6,Matchup!$C$40*SQRT($B836)/(1-MIN(0.75,Matchup!$C$39*$B836))),RAND())</f>
        <v>1</v>
      </c>
      <c r="O836" s="0" t="n">
        <f aca="false">6*J836+(J836-K836-M836)+2*L836+3*N836</f>
        <v>17</v>
      </c>
      <c r="P836" s="0" t="n">
        <f aca="true">RAND()</f>
        <v>0.855819242232462</v>
      </c>
      <c r="Q836" s="0" t="n">
        <f aca="true">RAND()</f>
        <v>0.219958533610743</v>
      </c>
      <c r="R836" s="0" t="n">
        <f aca="false">IF($I836&lt;&gt;$O836,0,IF(P836&lt;Matchup!$B$39,7,IF(P836&lt;Matchup!$B$39+Matchup!$B$40,3,0)))</f>
        <v>0</v>
      </c>
      <c r="S836" s="0" t="n">
        <f aca="false">IF($I836&lt;&gt;$O836,0,IF(Q836&lt;Matchup!$C$39,7,IF(Q836&lt;Matchup!$C$39+Matchup!$C$40,3,0)))</f>
        <v>0</v>
      </c>
      <c r="T836" s="0" t="n">
        <f aca="false">I836+R836</f>
        <v>16</v>
      </c>
      <c r="U836" s="0" t="n">
        <f aca="false">O836+S836</f>
        <v>17</v>
      </c>
      <c r="V836" s="0" t="n">
        <f aca="false">T836-U836</f>
        <v>-1</v>
      </c>
      <c r="W836" s="0" t="n">
        <f aca="false">T836+U836</f>
        <v>33</v>
      </c>
    </row>
    <row r="837" customFormat="false" ht="15" hidden="false" customHeight="false" outlineLevel="0" collapsed="false">
      <c r="A837" s="0" t="n">
        <v>834</v>
      </c>
      <c r="B837" s="0" t="n">
        <f aca="true">NORMINV(RAND(),1,Coefficients!$B$22)</f>
        <v>0.953076292655186</v>
      </c>
      <c r="C837" s="0" t="n">
        <f aca="true">MEDIAN(8,16,ROUND(NORMINV(RAND(),Coefficients!$B$20,Coefficients!$B$21),0))</f>
        <v>13</v>
      </c>
      <c r="D837" s="0" t="n">
        <f aca="true">CRITBINOM($C837,MIN(0.75,Matchup!$B$39*$B837),RAND())</f>
        <v>7</v>
      </c>
      <c r="E837" s="0" t="n">
        <f aca="true">CRITBINOM(D837,Coefficients!$B$30,RAND())</f>
        <v>0</v>
      </c>
      <c r="F837" s="0" t="n">
        <f aca="true">CRITBINOM(E837,Coefficients!$B$31,RAND())</f>
        <v>0</v>
      </c>
      <c r="G837" s="0" t="n">
        <f aca="true">CRITBINOM(MAX(0,D837-E837),1-Coefficients!$B$32,RAND())</f>
        <v>0</v>
      </c>
      <c r="H837" s="0" t="n">
        <f aca="true">CRITBINOM(MAX(0,$C837-D837),MIN(0.6,Matchup!$B$40*SQRT($B837)/(1-MIN(0.75,Matchup!$B$39*$B837))),RAND())</f>
        <v>1</v>
      </c>
      <c r="I837" s="0" t="n">
        <f aca="false">6*D837+(D837-E837-G837)+2*F837+3*H837</f>
        <v>52</v>
      </c>
      <c r="J837" s="0" t="n">
        <f aca="true">CRITBINOM($C837,MIN(0.75,Matchup!$C$39*$B837),RAND())</f>
        <v>4</v>
      </c>
      <c r="K837" s="0" t="n">
        <f aca="true">CRITBINOM(J837,Coefficients!$B$30,RAND())</f>
        <v>1</v>
      </c>
      <c r="L837" s="0" t="n">
        <f aca="true">CRITBINOM(K837,Coefficients!$B$31,RAND())</f>
        <v>0</v>
      </c>
      <c r="M837" s="0" t="n">
        <f aca="true">CRITBINOM(MAX(0,J837-K837),1-Coefficients!$B$32,RAND())</f>
        <v>0</v>
      </c>
      <c r="N837" s="0" t="n">
        <f aca="true">CRITBINOM(MAX(0,$C837-J837),MIN(0.6,Matchup!$C$40*SQRT($B837)/(1-MIN(0.75,Matchup!$C$39*$B837))),RAND())</f>
        <v>1</v>
      </c>
      <c r="O837" s="0" t="n">
        <f aca="false">6*J837+(J837-K837-M837)+2*L837+3*N837</f>
        <v>30</v>
      </c>
      <c r="P837" s="0" t="n">
        <f aca="true">RAND()</f>
        <v>0.953662712160252</v>
      </c>
      <c r="Q837" s="0" t="n">
        <f aca="true">RAND()</f>
        <v>0.930998872236928</v>
      </c>
      <c r="R837" s="0" t="n">
        <f aca="false">IF($I837&lt;&gt;$O837,0,IF(P837&lt;Matchup!$B$39,7,IF(P837&lt;Matchup!$B$39+Matchup!$B$40,3,0)))</f>
        <v>0</v>
      </c>
      <c r="S837" s="0" t="n">
        <f aca="false">IF($I837&lt;&gt;$O837,0,IF(Q837&lt;Matchup!$C$39,7,IF(Q837&lt;Matchup!$C$39+Matchup!$C$40,3,0)))</f>
        <v>0</v>
      </c>
      <c r="T837" s="0" t="n">
        <f aca="false">I837+R837</f>
        <v>52</v>
      </c>
      <c r="U837" s="0" t="n">
        <f aca="false">O837+S837</f>
        <v>30</v>
      </c>
      <c r="V837" s="0" t="n">
        <f aca="false">T837-U837</f>
        <v>22</v>
      </c>
      <c r="W837" s="0" t="n">
        <f aca="false">T837+U837</f>
        <v>82</v>
      </c>
    </row>
    <row r="838" customFormat="false" ht="15" hidden="false" customHeight="false" outlineLevel="0" collapsed="false">
      <c r="A838" s="0" t="n">
        <v>835</v>
      </c>
      <c r="B838" s="0" t="n">
        <f aca="true">NORMINV(RAND(),1,Coefficients!$B$22)</f>
        <v>0.927689869729699</v>
      </c>
      <c r="C838" s="0" t="n">
        <f aca="true">MEDIAN(8,16,ROUND(NORMINV(RAND(),Coefficients!$B$20,Coefficients!$B$21),0))</f>
        <v>12</v>
      </c>
      <c r="D838" s="0" t="n">
        <f aca="true">CRITBINOM($C838,MIN(0.75,Matchup!$B$39*$B838),RAND())</f>
        <v>3</v>
      </c>
      <c r="E838" s="0" t="n">
        <f aca="true">CRITBINOM(D838,Coefficients!$B$30,RAND())</f>
        <v>0</v>
      </c>
      <c r="F838" s="0" t="n">
        <f aca="true">CRITBINOM(E838,Coefficients!$B$31,RAND())</f>
        <v>0</v>
      </c>
      <c r="G838" s="0" t="n">
        <f aca="true">CRITBINOM(MAX(0,D838-E838),1-Coefficients!$B$32,RAND())</f>
        <v>0</v>
      </c>
      <c r="H838" s="0" t="n">
        <f aca="true">CRITBINOM(MAX(0,$C838-D838),MIN(0.6,Matchup!$B$40*SQRT($B838)/(1-MIN(0.75,Matchup!$B$39*$B838))),RAND())</f>
        <v>1</v>
      </c>
      <c r="I838" s="0" t="n">
        <f aca="false">6*D838+(D838-E838-G838)+2*F838+3*H838</f>
        <v>24</v>
      </c>
      <c r="J838" s="0" t="n">
        <f aca="true">CRITBINOM($C838,MIN(0.75,Matchup!$C$39*$B838),RAND())</f>
        <v>3</v>
      </c>
      <c r="K838" s="0" t="n">
        <f aca="true">CRITBINOM(J838,Coefficients!$B$30,RAND())</f>
        <v>0</v>
      </c>
      <c r="L838" s="0" t="n">
        <f aca="true">CRITBINOM(K838,Coefficients!$B$31,RAND())</f>
        <v>0</v>
      </c>
      <c r="M838" s="0" t="n">
        <f aca="true">CRITBINOM(MAX(0,J838-K838),1-Coefficients!$B$32,RAND())</f>
        <v>0</v>
      </c>
      <c r="N838" s="0" t="n">
        <f aca="true">CRITBINOM(MAX(0,$C838-J838),MIN(0.6,Matchup!$C$40*SQRT($B838)/(1-MIN(0.75,Matchup!$C$39*$B838))),RAND())</f>
        <v>2</v>
      </c>
      <c r="O838" s="0" t="n">
        <f aca="false">6*J838+(J838-K838-M838)+2*L838+3*N838</f>
        <v>27</v>
      </c>
      <c r="P838" s="0" t="n">
        <f aca="true">RAND()</f>
        <v>0.636325401593363</v>
      </c>
      <c r="Q838" s="0" t="n">
        <f aca="true">RAND()</f>
        <v>0.263596705259898</v>
      </c>
      <c r="R838" s="0" t="n">
        <f aca="false">IF($I838&lt;&gt;$O838,0,IF(P838&lt;Matchup!$B$39,7,IF(P838&lt;Matchup!$B$39+Matchup!$B$40,3,0)))</f>
        <v>0</v>
      </c>
      <c r="S838" s="0" t="n">
        <f aca="false">IF($I838&lt;&gt;$O838,0,IF(Q838&lt;Matchup!$C$39,7,IF(Q838&lt;Matchup!$C$39+Matchup!$C$40,3,0)))</f>
        <v>0</v>
      </c>
      <c r="T838" s="0" t="n">
        <f aca="false">I838+R838</f>
        <v>24</v>
      </c>
      <c r="U838" s="0" t="n">
        <f aca="false">O838+S838</f>
        <v>27</v>
      </c>
      <c r="V838" s="0" t="n">
        <f aca="false">T838-U838</f>
        <v>-3</v>
      </c>
      <c r="W838" s="0" t="n">
        <f aca="false">T838+U838</f>
        <v>51</v>
      </c>
    </row>
    <row r="839" customFormat="false" ht="15" hidden="false" customHeight="false" outlineLevel="0" collapsed="false">
      <c r="A839" s="0" t="n">
        <v>836</v>
      </c>
      <c r="B839" s="0" t="n">
        <f aca="true">NORMINV(RAND(),1,Coefficients!$B$22)</f>
        <v>1.06052482798641</v>
      </c>
      <c r="C839" s="0" t="n">
        <f aca="true">MEDIAN(8,16,ROUND(NORMINV(RAND(),Coefficients!$B$20,Coefficients!$B$21),0))</f>
        <v>12</v>
      </c>
      <c r="D839" s="0" t="n">
        <f aca="true">CRITBINOM($C839,MIN(0.75,Matchup!$B$39*$B839),RAND())</f>
        <v>2</v>
      </c>
      <c r="E839" s="0" t="n">
        <f aca="true">CRITBINOM(D839,Coefficients!$B$30,RAND())</f>
        <v>0</v>
      </c>
      <c r="F839" s="0" t="n">
        <f aca="true">CRITBINOM(E839,Coefficients!$B$31,RAND())</f>
        <v>0</v>
      </c>
      <c r="G839" s="0" t="n">
        <f aca="true">CRITBINOM(MAX(0,D839-E839),1-Coefficients!$B$32,RAND())</f>
        <v>0</v>
      </c>
      <c r="H839" s="0" t="n">
        <f aca="true">CRITBINOM(MAX(0,$C839-D839),MIN(0.6,Matchup!$B$40*SQRT($B839)/(1-MIN(0.75,Matchup!$B$39*$B839))),RAND())</f>
        <v>1</v>
      </c>
      <c r="I839" s="0" t="n">
        <f aca="false">6*D839+(D839-E839-G839)+2*F839+3*H839</f>
        <v>17</v>
      </c>
      <c r="J839" s="0" t="n">
        <f aca="true">CRITBINOM($C839,MIN(0.75,Matchup!$C$39*$B839),RAND())</f>
        <v>3</v>
      </c>
      <c r="K839" s="0" t="n">
        <f aca="true">CRITBINOM(J839,Coefficients!$B$30,RAND())</f>
        <v>1</v>
      </c>
      <c r="L839" s="0" t="n">
        <f aca="true">CRITBINOM(K839,Coefficients!$B$31,RAND())</f>
        <v>0</v>
      </c>
      <c r="M839" s="0" t="n">
        <f aca="true">CRITBINOM(MAX(0,J839-K839),1-Coefficients!$B$32,RAND())</f>
        <v>0</v>
      </c>
      <c r="N839" s="0" t="n">
        <f aca="true">CRITBINOM(MAX(0,$C839-J839),MIN(0.6,Matchup!$C$40*SQRT($B839)/(1-MIN(0.75,Matchup!$C$39*$B839))),RAND())</f>
        <v>4</v>
      </c>
      <c r="O839" s="0" t="n">
        <f aca="false">6*J839+(J839-K839-M839)+2*L839+3*N839</f>
        <v>32</v>
      </c>
      <c r="P839" s="0" t="n">
        <f aca="true">RAND()</f>
        <v>0.763920821435337</v>
      </c>
      <c r="Q839" s="0" t="n">
        <f aca="true">RAND()</f>
        <v>0.804836599943271</v>
      </c>
      <c r="R839" s="0" t="n">
        <f aca="false">IF($I839&lt;&gt;$O839,0,IF(P839&lt;Matchup!$B$39,7,IF(P839&lt;Matchup!$B$39+Matchup!$B$40,3,0)))</f>
        <v>0</v>
      </c>
      <c r="S839" s="0" t="n">
        <f aca="false">IF($I839&lt;&gt;$O839,0,IF(Q839&lt;Matchup!$C$39,7,IF(Q839&lt;Matchup!$C$39+Matchup!$C$40,3,0)))</f>
        <v>0</v>
      </c>
      <c r="T839" s="0" t="n">
        <f aca="false">I839+R839</f>
        <v>17</v>
      </c>
      <c r="U839" s="0" t="n">
        <f aca="false">O839+S839</f>
        <v>32</v>
      </c>
      <c r="V839" s="0" t="n">
        <f aca="false">T839-U839</f>
        <v>-15</v>
      </c>
      <c r="W839" s="0" t="n">
        <f aca="false">T839+U839</f>
        <v>49</v>
      </c>
    </row>
    <row r="840" customFormat="false" ht="15" hidden="false" customHeight="false" outlineLevel="0" collapsed="false">
      <c r="A840" s="0" t="n">
        <v>837</v>
      </c>
      <c r="B840" s="0" t="n">
        <f aca="true">NORMINV(RAND(),1,Coefficients!$B$22)</f>
        <v>1.03592137404669</v>
      </c>
      <c r="C840" s="0" t="n">
        <f aca="true">MEDIAN(8,16,ROUND(NORMINV(RAND(),Coefficients!$B$20,Coefficients!$B$21),0))</f>
        <v>10</v>
      </c>
      <c r="D840" s="0" t="n">
        <f aca="true">CRITBINOM($C840,MIN(0.75,Matchup!$B$39*$B840),RAND())</f>
        <v>2</v>
      </c>
      <c r="E840" s="0" t="n">
        <f aca="true">CRITBINOM(D840,Coefficients!$B$30,RAND())</f>
        <v>0</v>
      </c>
      <c r="F840" s="0" t="n">
        <f aca="true">CRITBINOM(E840,Coefficients!$B$31,RAND())</f>
        <v>0</v>
      </c>
      <c r="G840" s="0" t="n">
        <f aca="true">CRITBINOM(MAX(0,D840-E840),1-Coefficients!$B$32,RAND())</f>
        <v>0</v>
      </c>
      <c r="H840" s="0" t="n">
        <f aca="true">CRITBINOM(MAX(0,$C840-D840),MIN(0.6,Matchup!$B$40*SQRT($B840)/(1-MIN(0.75,Matchup!$B$39*$B840))),RAND())</f>
        <v>2</v>
      </c>
      <c r="I840" s="0" t="n">
        <f aca="false">6*D840+(D840-E840-G840)+2*F840+3*H840</f>
        <v>20</v>
      </c>
      <c r="J840" s="0" t="n">
        <f aca="true">CRITBINOM($C840,MIN(0.75,Matchup!$C$39*$B840),RAND())</f>
        <v>3</v>
      </c>
      <c r="K840" s="0" t="n">
        <f aca="true">CRITBINOM(J840,Coefficients!$B$30,RAND())</f>
        <v>0</v>
      </c>
      <c r="L840" s="0" t="n">
        <f aca="true">CRITBINOM(K840,Coefficients!$B$31,RAND())</f>
        <v>0</v>
      </c>
      <c r="M840" s="0" t="n">
        <f aca="true">CRITBINOM(MAX(0,J840-K840),1-Coefficients!$B$32,RAND())</f>
        <v>0</v>
      </c>
      <c r="N840" s="0" t="n">
        <f aca="true">CRITBINOM(MAX(0,$C840-J840),MIN(0.6,Matchup!$C$40*SQRT($B840)/(1-MIN(0.75,Matchup!$C$39*$B840))),RAND())</f>
        <v>1</v>
      </c>
      <c r="O840" s="0" t="n">
        <f aca="false">6*J840+(J840-K840-M840)+2*L840+3*N840</f>
        <v>24</v>
      </c>
      <c r="P840" s="0" t="n">
        <f aca="true">RAND()</f>
        <v>0.835783230651586</v>
      </c>
      <c r="Q840" s="0" t="n">
        <f aca="true">RAND()</f>
        <v>0.450497635520799</v>
      </c>
      <c r="R840" s="0" t="n">
        <f aca="false">IF($I840&lt;&gt;$O840,0,IF(P840&lt;Matchup!$B$39,7,IF(P840&lt;Matchup!$B$39+Matchup!$B$40,3,0)))</f>
        <v>0</v>
      </c>
      <c r="S840" s="0" t="n">
        <f aca="false">IF($I840&lt;&gt;$O840,0,IF(Q840&lt;Matchup!$C$39,7,IF(Q840&lt;Matchup!$C$39+Matchup!$C$40,3,0)))</f>
        <v>0</v>
      </c>
      <c r="T840" s="0" t="n">
        <f aca="false">I840+R840</f>
        <v>20</v>
      </c>
      <c r="U840" s="0" t="n">
        <f aca="false">O840+S840</f>
        <v>24</v>
      </c>
      <c r="V840" s="0" t="n">
        <f aca="false">T840-U840</f>
        <v>-4</v>
      </c>
      <c r="W840" s="0" t="n">
        <f aca="false">T840+U840</f>
        <v>44</v>
      </c>
    </row>
    <row r="841" customFormat="false" ht="15" hidden="false" customHeight="false" outlineLevel="0" collapsed="false">
      <c r="A841" s="0" t="n">
        <v>838</v>
      </c>
      <c r="B841" s="0" t="n">
        <f aca="true">NORMINV(RAND(),1,Coefficients!$B$22)</f>
        <v>1.02909383856851</v>
      </c>
      <c r="C841" s="0" t="n">
        <f aca="true">MEDIAN(8,16,ROUND(NORMINV(RAND(),Coefficients!$B$20,Coefficients!$B$21),0))</f>
        <v>12</v>
      </c>
      <c r="D841" s="0" t="n">
        <f aca="true">CRITBINOM($C841,MIN(0.75,Matchup!$B$39*$B841),RAND())</f>
        <v>4</v>
      </c>
      <c r="E841" s="0" t="n">
        <f aca="true">CRITBINOM(D841,Coefficients!$B$30,RAND())</f>
        <v>1</v>
      </c>
      <c r="F841" s="0" t="n">
        <f aca="true">CRITBINOM(E841,Coefficients!$B$31,RAND())</f>
        <v>1</v>
      </c>
      <c r="G841" s="0" t="n">
        <f aca="true">CRITBINOM(MAX(0,D841-E841),1-Coefficients!$B$32,RAND())</f>
        <v>0</v>
      </c>
      <c r="H841" s="0" t="n">
        <f aca="true">CRITBINOM(MAX(0,$C841-D841),MIN(0.6,Matchup!$B$40*SQRT($B841)/(1-MIN(0.75,Matchup!$B$39*$B841))),RAND())</f>
        <v>1</v>
      </c>
      <c r="I841" s="0" t="n">
        <f aca="false">6*D841+(D841-E841-G841)+2*F841+3*H841</f>
        <v>32</v>
      </c>
      <c r="J841" s="0" t="n">
        <f aca="true">CRITBINOM($C841,MIN(0.75,Matchup!$C$39*$B841),RAND())</f>
        <v>3</v>
      </c>
      <c r="K841" s="0" t="n">
        <f aca="true">CRITBINOM(J841,Coefficients!$B$30,RAND())</f>
        <v>0</v>
      </c>
      <c r="L841" s="0" t="n">
        <f aca="true">CRITBINOM(K841,Coefficients!$B$31,RAND())</f>
        <v>0</v>
      </c>
      <c r="M841" s="0" t="n">
        <f aca="true">CRITBINOM(MAX(0,J841-K841),1-Coefficients!$B$32,RAND())</f>
        <v>0</v>
      </c>
      <c r="N841" s="0" t="n">
        <f aca="true">CRITBINOM(MAX(0,$C841-J841),MIN(0.6,Matchup!$C$40*SQRT($B841)/(1-MIN(0.75,Matchup!$C$39*$B841))),RAND())</f>
        <v>1</v>
      </c>
      <c r="O841" s="0" t="n">
        <f aca="false">6*J841+(J841-K841-M841)+2*L841+3*N841</f>
        <v>24</v>
      </c>
      <c r="P841" s="0" t="n">
        <f aca="true">RAND()</f>
        <v>0.520120807154416</v>
      </c>
      <c r="Q841" s="0" t="n">
        <f aca="true">RAND()</f>
        <v>0.680171152742334</v>
      </c>
      <c r="R841" s="0" t="n">
        <f aca="false">IF($I841&lt;&gt;$O841,0,IF(P841&lt;Matchup!$B$39,7,IF(P841&lt;Matchup!$B$39+Matchup!$B$40,3,0)))</f>
        <v>0</v>
      </c>
      <c r="S841" s="0" t="n">
        <f aca="false">IF($I841&lt;&gt;$O841,0,IF(Q841&lt;Matchup!$C$39,7,IF(Q841&lt;Matchup!$C$39+Matchup!$C$40,3,0)))</f>
        <v>0</v>
      </c>
      <c r="T841" s="0" t="n">
        <f aca="false">I841+R841</f>
        <v>32</v>
      </c>
      <c r="U841" s="0" t="n">
        <f aca="false">O841+S841</f>
        <v>24</v>
      </c>
      <c r="V841" s="0" t="n">
        <f aca="false">T841-U841</f>
        <v>8</v>
      </c>
      <c r="W841" s="0" t="n">
        <f aca="false">T841+U841</f>
        <v>56</v>
      </c>
    </row>
    <row r="842" customFormat="false" ht="15" hidden="false" customHeight="false" outlineLevel="0" collapsed="false">
      <c r="A842" s="0" t="n">
        <v>839</v>
      </c>
      <c r="B842" s="0" t="n">
        <f aca="true">NORMINV(RAND(),1,Coefficients!$B$22)</f>
        <v>0.954422250280501</v>
      </c>
      <c r="C842" s="0" t="n">
        <f aca="true">MEDIAN(8,16,ROUND(NORMINV(RAND(),Coefficients!$B$20,Coefficients!$B$21),0))</f>
        <v>12</v>
      </c>
      <c r="D842" s="0" t="n">
        <f aca="true">CRITBINOM($C842,MIN(0.75,Matchup!$B$39*$B842),RAND())</f>
        <v>2</v>
      </c>
      <c r="E842" s="0" t="n">
        <f aca="true">CRITBINOM(D842,Coefficients!$B$30,RAND())</f>
        <v>0</v>
      </c>
      <c r="F842" s="0" t="n">
        <f aca="true">CRITBINOM(E842,Coefficients!$B$31,RAND())</f>
        <v>0</v>
      </c>
      <c r="G842" s="0" t="n">
        <f aca="true">CRITBINOM(MAX(0,D842-E842),1-Coefficients!$B$32,RAND())</f>
        <v>0</v>
      </c>
      <c r="H842" s="0" t="n">
        <f aca="true">CRITBINOM(MAX(0,$C842-D842),MIN(0.6,Matchup!$B$40*SQRT($B842)/(1-MIN(0.75,Matchup!$B$39*$B842))),RAND())</f>
        <v>2</v>
      </c>
      <c r="I842" s="0" t="n">
        <f aca="false">6*D842+(D842-E842-G842)+2*F842+3*H842</f>
        <v>20</v>
      </c>
      <c r="J842" s="0" t="n">
        <f aca="true">CRITBINOM($C842,MIN(0.75,Matchup!$C$39*$B842),RAND())</f>
        <v>2</v>
      </c>
      <c r="K842" s="0" t="n">
        <f aca="true">CRITBINOM(J842,Coefficients!$B$30,RAND())</f>
        <v>0</v>
      </c>
      <c r="L842" s="0" t="n">
        <f aca="true">CRITBINOM(K842,Coefficients!$B$31,RAND())</f>
        <v>0</v>
      </c>
      <c r="M842" s="0" t="n">
        <f aca="true">CRITBINOM(MAX(0,J842-K842),1-Coefficients!$B$32,RAND())</f>
        <v>0</v>
      </c>
      <c r="N842" s="0" t="n">
        <f aca="true">CRITBINOM(MAX(0,$C842-J842),MIN(0.6,Matchup!$C$40*SQRT($B842)/(1-MIN(0.75,Matchup!$C$39*$B842))),RAND())</f>
        <v>2</v>
      </c>
      <c r="O842" s="0" t="n">
        <f aca="false">6*J842+(J842-K842-M842)+2*L842+3*N842</f>
        <v>20</v>
      </c>
      <c r="P842" s="0" t="n">
        <f aca="true">RAND()</f>
        <v>0.516831611237782</v>
      </c>
      <c r="Q842" s="0" t="n">
        <f aca="true">RAND()</f>
        <v>0.141264161600011</v>
      </c>
      <c r="R842" s="0" t="n">
        <f aca="false">IF($I842&lt;&gt;$O842,0,IF(P842&lt;Matchup!$B$39,7,IF(P842&lt;Matchup!$B$39+Matchup!$B$40,3,0)))</f>
        <v>0</v>
      </c>
      <c r="S842" s="0" t="n">
        <f aca="false">IF($I842&lt;&gt;$O842,0,IF(Q842&lt;Matchup!$C$39,7,IF(Q842&lt;Matchup!$C$39+Matchup!$C$40,3,0)))</f>
        <v>7</v>
      </c>
      <c r="T842" s="0" t="n">
        <f aca="false">I842+R842</f>
        <v>20</v>
      </c>
      <c r="U842" s="0" t="n">
        <f aca="false">O842+S842</f>
        <v>27</v>
      </c>
      <c r="V842" s="0" t="n">
        <f aca="false">T842-U842</f>
        <v>-7</v>
      </c>
      <c r="W842" s="0" t="n">
        <f aca="false">T842+U842</f>
        <v>47</v>
      </c>
    </row>
    <row r="843" customFormat="false" ht="15" hidden="false" customHeight="false" outlineLevel="0" collapsed="false">
      <c r="A843" s="0" t="n">
        <v>840</v>
      </c>
      <c r="B843" s="0" t="n">
        <f aca="true">NORMINV(RAND(),1,Coefficients!$B$22)</f>
        <v>1.08355993675073</v>
      </c>
      <c r="C843" s="0" t="n">
        <f aca="true">MEDIAN(8,16,ROUND(NORMINV(RAND(),Coefficients!$B$20,Coefficients!$B$21),0))</f>
        <v>11</v>
      </c>
      <c r="D843" s="0" t="n">
        <f aca="true">CRITBINOM($C843,MIN(0.75,Matchup!$B$39*$B843),RAND())</f>
        <v>2</v>
      </c>
      <c r="E843" s="0" t="n">
        <f aca="true">CRITBINOM(D843,Coefficients!$B$30,RAND())</f>
        <v>0</v>
      </c>
      <c r="F843" s="0" t="n">
        <f aca="true">CRITBINOM(E843,Coefficients!$B$31,RAND())</f>
        <v>0</v>
      </c>
      <c r="G843" s="0" t="n">
        <f aca="true">CRITBINOM(MAX(0,D843-E843),1-Coefficients!$B$32,RAND())</f>
        <v>0</v>
      </c>
      <c r="H843" s="0" t="n">
        <f aca="true">CRITBINOM(MAX(0,$C843-D843),MIN(0.6,Matchup!$B$40*SQRT($B843)/(1-MIN(0.75,Matchup!$B$39*$B843))),RAND())</f>
        <v>3</v>
      </c>
      <c r="I843" s="0" t="n">
        <f aca="false">6*D843+(D843-E843-G843)+2*F843+3*H843</f>
        <v>23</v>
      </c>
      <c r="J843" s="0" t="n">
        <f aca="true">CRITBINOM($C843,MIN(0.75,Matchup!$C$39*$B843),RAND())</f>
        <v>3</v>
      </c>
      <c r="K843" s="0" t="n">
        <f aca="true">CRITBINOM(J843,Coefficients!$B$30,RAND())</f>
        <v>0</v>
      </c>
      <c r="L843" s="0" t="n">
        <f aca="true">CRITBINOM(K843,Coefficients!$B$31,RAND())</f>
        <v>0</v>
      </c>
      <c r="M843" s="0" t="n">
        <f aca="true">CRITBINOM(MAX(0,J843-K843),1-Coefficients!$B$32,RAND())</f>
        <v>1</v>
      </c>
      <c r="N843" s="0" t="n">
        <f aca="true">CRITBINOM(MAX(0,$C843-J843),MIN(0.6,Matchup!$C$40*SQRT($B843)/(1-MIN(0.75,Matchup!$C$39*$B843))),RAND())</f>
        <v>2</v>
      </c>
      <c r="O843" s="0" t="n">
        <f aca="false">6*J843+(J843-K843-M843)+2*L843+3*N843</f>
        <v>26</v>
      </c>
      <c r="P843" s="0" t="n">
        <f aca="true">RAND()</f>
        <v>0.959941803218529</v>
      </c>
      <c r="Q843" s="0" t="n">
        <f aca="true">RAND()</f>
        <v>0.449871125138032</v>
      </c>
      <c r="R843" s="0" t="n">
        <f aca="false">IF($I843&lt;&gt;$O843,0,IF(P843&lt;Matchup!$B$39,7,IF(P843&lt;Matchup!$B$39+Matchup!$B$40,3,0)))</f>
        <v>0</v>
      </c>
      <c r="S843" s="0" t="n">
        <f aca="false">IF($I843&lt;&gt;$O843,0,IF(Q843&lt;Matchup!$C$39,7,IF(Q843&lt;Matchup!$C$39+Matchup!$C$40,3,0)))</f>
        <v>0</v>
      </c>
      <c r="T843" s="0" t="n">
        <f aca="false">I843+R843</f>
        <v>23</v>
      </c>
      <c r="U843" s="0" t="n">
        <f aca="false">O843+S843</f>
        <v>26</v>
      </c>
      <c r="V843" s="0" t="n">
        <f aca="false">T843-U843</f>
        <v>-3</v>
      </c>
      <c r="W843" s="0" t="n">
        <f aca="false">T843+U843</f>
        <v>49</v>
      </c>
    </row>
    <row r="844" customFormat="false" ht="15" hidden="false" customHeight="false" outlineLevel="0" collapsed="false">
      <c r="A844" s="0" t="n">
        <v>841</v>
      </c>
      <c r="B844" s="0" t="n">
        <f aca="true">NORMINV(RAND(),1,Coefficients!$B$22)</f>
        <v>1.10985560603838</v>
      </c>
      <c r="C844" s="0" t="n">
        <f aca="true">MEDIAN(8,16,ROUND(NORMINV(RAND(),Coefficients!$B$20,Coefficients!$B$21),0))</f>
        <v>10</v>
      </c>
      <c r="D844" s="0" t="n">
        <f aca="true">CRITBINOM($C844,MIN(0.75,Matchup!$B$39*$B844),RAND())</f>
        <v>4</v>
      </c>
      <c r="E844" s="0" t="n">
        <f aca="true">CRITBINOM(D844,Coefficients!$B$30,RAND())</f>
        <v>1</v>
      </c>
      <c r="F844" s="0" t="n">
        <f aca="true">CRITBINOM(E844,Coefficients!$B$31,RAND())</f>
        <v>1</v>
      </c>
      <c r="G844" s="0" t="n">
        <f aca="true">CRITBINOM(MAX(0,D844-E844),1-Coefficients!$B$32,RAND())</f>
        <v>0</v>
      </c>
      <c r="H844" s="0" t="n">
        <f aca="true">CRITBINOM(MAX(0,$C844-D844),MIN(0.6,Matchup!$B$40*SQRT($B844)/(1-MIN(0.75,Matchup!$B$39*$B844))),RAND())</f>
        <v>2</v>
      </c>
      <c r="I844" s="0" t="n">
        <f aca="false">6*D844+(D844-E844-G844)+2*F844+3*H844</f>
        <v>35</v>
      </c>
      <c r="J844" s="0" t="n">
        <f aca="true">CRITBINOM($C844,MIN(0.75,Matchup!$C$39*$B844),RAND())</f>
        <v>1</v>
      </c>
      <c r="K844" s="0" t="n">
        <f aca="true">CRITBINOM(J844,Coefficients!$B$30,RAND())</f>
        <v>0</v>
      </c>
      <c r="L844" s="0" t="n">
        <f aca="true">CRITBINOM(K844,Coefficients!$B$31,RAND())</f>
        <v>0</v>
      </c>
      <c r="M844" s="0" t="n">
        <f aca="true">CRITBINOM(MAX(0,J844-K844),1-Coefficients!$B$32,RAND())</f>
        <v>0</v>
      </c>
      <c r="N844" s="0" t="n">
        <f aca="true">CRITBINOM(MAX(0,$C844-J844),MIN(0.6,Matchup!$C$40*SQRT($B844)/(1-MIN(0.75,Matchup!$C$39*$B844))),RAND())</f>
        <v>2</v>
      </c>
      <c r="O844" s="0" t="n">
        <f aca="false">6*J844+(J844-K844-M844)+2*L844+3*N844</f>
        <v>13</v>
      </c>
      <c r="P844" s="0" t="n">
        <f aca="true">RAND()</f>
        <v>0.0861443724221974</v>
      </c>
      <c r="Q844" s="0" t="n">
        <f aca="true">RAND()</f>
        <v>0.558503746127967</v>
      </c>
      <c r="R844" s="0" t="n">
        <f aca="false">IF($I844&lt;&gt;$O844,0,IF(P844&lt;Matchup!$B$39,7,IF(P844&lt;Matchup!$B$39+Matchup!$B$40,3,0)))</f>
        <v>0</v>
      </c>
      <c r="S844" s="0" t="n">
        <f aca="false">IF($I844&lt;&gt;$O844,0,IF(Q844&lt;Matchup!$C$39,7,IF(Q844&lt;Matchup!$C$39+Matchup!$C$40,3,0)))</f>
        <v>0</v>
      </c>
      <c r="T844" s="0" t="n">
        <f aca="false">I844+R844</f>
        <v>35</v>
      </c>
      <c r="U844" s="0" t="n">
        <f aca="false">O844+S844</f>
        <v>13</v>
      </c>
      <c r="V844" s="0" t="n">
        <f aca="false">T844-U844</f>
        <v>22</v>
      </c>
      <c r="W844" s="0" t="n">
        <f aca="false">T844+U844</f>
        <v>48</v>
      </c>
    </row>
    <row r="845" customFormat="false" ht="15" hidden="false" customHeight="false" outlineLevel="0" collapsed="false">
      <c r="A845" s="0" t="n">
        <v>842</v>
      </c>
      <c r="B845" s="0" t="n">
        <f aca="true">NORMINV(RAND(),1,Coefficients!$B$22)</f>
        <v>1.13238748965306</v>
      </c>
      <c r="C845" s="0" t="n">
        <f aca="true">MEDIAN(8,16,ROUND(NORMINV(RAND(),Coefficients!$B$20,Coefficients!$B$21),0))</f>
        <v>10</v>
      </c>
      <c r="D845" s="0" t="n">
        <f aca="true">CRITBINOM($C845,MIN(0.75,Matchup!$B$39*$B845),RAND())</f>
        <v>0</v>
      </c>
      <c r="E845" s="0" t="n">
        <f aca="true">CRITBINOM(D845,Coefficients!$B$30,RAND())</f>
        <v>0</v>
      </c>
      <c r="F845" s="0" t="n">
        <f aca="true">CRITBINOM(E845,Coefficients!$B$31,RAND())</f>
        <v>0</v>
      </c>
      <c r="G845" s="0" t="n">
        <f aca="true">CRITBINOM(MAX(0,D845-E845),1-Coefficients!$B$32,RAND())</f>
        <v>0</v>
      </c>
      <c r="H845" s="0" t="n">
        <f aca="true">CRITBINOM(MAX(0,$C845-D845),MIN(0.6,Matchup!$B$40*SQRT($B845)/(1-MIN(0.75,Matchup!$B$39*$B845))),RAND())</f>
        <v>2</v>
      </c>
      <c r="I845" s="0" t="n">
        <f aca="false">6*D845+(D845-E845-G845)+2*F845+3*H845</f>
        <v>6</v>
      </c>
      <c r="J845" s="0" t="n">
        <f aca="true">CRITBINOM($C845,MIN(0.75,Matchup!$C$39*$B845),RAND())</f>
        <v>3</v>
      </c>
      <c r="K845" s="0" t="n">
        <f aca="true">CRITBINOM(J845,Coefficients!$B$30,RAND())</f>
        <v>0</v>
      </c>
      <c r="L845" s="0" t="n">
        <f aca="true">CRITBINOM(K845,Coefficients!$B$31,RAND())</f>
        <v>0</v>
      </c>
      <c r="M845" s="0" t="n">
        <f aca="true">CRITBINOM(MAX(0,J845-K845),1-Coefficients!$B$32,RAND())</f>
        <v>0</v>
      </c>
      <c r="N845" s="0" t="n">
        <f aca="true">CRITBINOM(MAX(0,$C845-J845),MIN(0.6,Matchup!$C$40*SQRT($B845)/(1-MIN(0.75,Matchup!$C$39*$B845))),RAND())</f>
        <v>1</v>
      </c>
      <c r="O845" s="0" t="n">
        <f aca="false">6*J845+(J845-K845-M845)+2*L845+3*N845</f>
        <v>24</v>
      </c>
      <c r="P845" s="0" t="n">
        <f aca="true">RAND()</f>
        <v>0.0306747412493272</v>
      </c>
      <c r="Q845" s="0" t="n">
        <f aca="true">RAND()</f>
        <v>0.395529096988475</v>
      </c>
      <c r="R845" s="0" t="n">
        <f aca="false">IF($I845&lt;&gt;$O845,0,IF(P845&lt;Matchup!$B$39,7,IF(P845&lt;Matchup!$B$39+Matchup!$B$40,3,0)))</f>
        <v>0</v>
      </c>
      <c r="S845" s="0" t="n">
        <f aca="false">IF($I845&lt;&gt;$O845,0,IF(Q845&lt;Matchup!$C$39,7,IF(Q845&lt;Matchup!$C$39+Matchup!$C$40,3,0)))</f>
        <v>0</v>
      </c>
      <c r="T845" s="0" t="n">
        <f aca="false">I845+R845</f>
        <v>6</v>
      </c>
      <c r="U845" s="0" t="n">
        <f aca="false">O845+S845</f>
        <v>24</v>
      </c>
      <c r="V845" s="0" t="n">
        <f aca="false">T845-U845</f>
        <v>-18</v>
      </c>
      <c r="W845" s="0" t="n">
        <f aca="false">T845+U845</f>
        <v>30</v>
      </c>
    </row>
    <row r="846" customFormat="false" ht="15" hidden="false" customHeight="false" outlineLevel="0" collapsed="false">
      <c r="A846" s="0" t="n">
        <v>843</v>
      </c>
      <c r="B846" s="0" t="n">
        <f aca="true">NORMINV(RAND(),1,Coefficients!$B$22)</f>
        <v>0.992750221457651</v>
      </c>
      <c r="C846" s="0" t="n">
        <f aca="true">MEDIAN(8,16,ROUND(NORMINV(RAND(),Coefficients!$B$20,Coefficients!$B$21),0))</f>
        <v>11</v>
      </c>
      <c r="D846" s="0" t="n">
        <f aca="true">CRITBINOM($C846,MIN(0.75,Matchup!$B$39*$B846),RAND())</f>
        <v>2</v>
      </c>
      <c r="E846" s="0" t="n">
        <f aca="true">CRITBINOM(D846,Coefficients!$B$30,RAND())</f>
        <v>0</v>
      </c>
      <c r="F846" s="0" t="n">
        <f aca="true">CRITBINOM(E846,Coefficients!$B$31,RAND())</f>
        <v>0</v>
      </c>
      <c r="G846" s="0" t="n">
        <f aca="true">CRITBINOM(MAX(0,D846-E846),1-Coefficients!$B$32,RAND())</f>
        <v>0</v>
      </c>
      <c r="H846" s="0" t="n">
        <f aca="true">CRITBINOM(MAX(0,$C846-D846),MIN(0.6,Matchup!$B$40*SQRT($B846)/(1-MIN(0.75,Matchup!$B$39*$B846))),RAND())</f>
        <v>2</v>
      </c>
      <c r="I846" s="0" t="n">
        <f aca="false">6*D846+(D846-E846-G846)+2*F846+3*H846</f>
        <v>20</v>
      </c>
      <c r="J846" s="0" t="n">
        <f aca="true">CRITBINOM($C846,MIN(0.75,Matchup!$C$39*$B846),RAND())</f>
        <v>1</v>
      </c>
      <c r="K846" s="0" t="n">
        <f aca="true">CRITBINOM(J846,Coefficients!$B$30,RAND())</f>
        <v>0</v>
      </c>
      <c r="L846" s="0" t="n">
        <f aca="true">CRITBINOM(K846,Coefficients!$B$31,RAND())</f>
        <v>0</v>
      </c>
      <c r="M846" s="0" t="n">
        <f aca="true">CRITBINOM(MAX(0,J846-K846),1-Coefficients!$B$32,RAND())</f>
        <v>0</v>
      </c>
      <c r="N846" s="0" t="n">
        <f aca="true">CRITBINOM(MAX(0,$C846-J846),MIN(0.6,Matchup!$C$40*SQRT($B846)/(1-MIN(0.75,Matchup!$C$39*$B846))),RAND())</f>
        <v>5</v>
      </c>
      <c r="O846" s="0" t="n">
        <f aca="false">6*J846+(J846-K846-M846)+2*L846+3*N846</f>
        <v>22</v>
      </c>
      <c r="P846" s="0" t="n">
        <f aca="true">RAND()</f>
        <v>0.879992422667996</v>
      </c>
      <c r="Q846" s="0" t="n">
        <f aca="true">RAND()</f>
        <v>0.657628047543159</v>
      </c>
      <c r="R846" s="0" t="n">
        <f aca="false">IF($I846&lt;&gt;$O846,0,IF(P846&lt;Matchup!$B$39,7,IF(P846&lt;Matchup!$B$39+Matchup!$B$40,3,0)))</f>
        <v>0</v>
      </c>
      <c r="S846" s="0" t="n">
        <f aca="false">IF($I846&lt;&gt;$O846,0,IF(Q846&lt;Matchup!$C$39,7,IF(Q846&lt;Matchup!$C$39+Matchup!$C$40,3,0)))</f>
        <v>0</v>
      </c>
      <c r="T846" s="0" t="n">
        <f aca="false">I846+R846</f>
        <v>20</v>
      </c>
      <c r="U846" s="0" t="n">
        <f aca="false">O846+S846</f>
        <v>22</v>
      </c>
      <c r="V846" s="0" t="n">
        <f aca="false">T846-U846</f>
        <v>-2</v>
      </c>
      <c r="W846" s="0" t="n">
        <f aca="false">T846+U846</f>
        <v>42</v>
      </c>
    </row>
    <row r="847" customFormat="false" ht="15" hidden="false" customHeight="false" outlineLevel="0" collapsed="false">
      <c r="A847" s="0" t="n">
        <v>844</v>
      </c>
      <c r="B847" s="0" t="n">
        <f aca="true">NORMINV(RAND(),1,Coefficients!$B$22)</f>
        <v>1.08799927440163</v>
      </c>
      <c r="C847" s="0" t="n">
        <f aca="true">MEDIAN(8,16,ROUND(NORMINV(RAND(),Coefficients!$B$20,Coefficients!$B$21),0))</f>
        <v>12</v>
      </c>
      <c r="D847" s="0" t="n">
        <f aca="true">CRITBINOM($C847,MIN(0.75,Matchup!$B$39*$B847),RAND())</f>
        <v>4</v>
      </c>
      <c r="E847" s="0" t="n">
        <f aca="true">CRITBINOM(D847,Coefficients!$B$30,RAND())</f>
        <v>0</v>
      </c>
      <c r="F847" s="0" t="n">
        <f aca="true">CRITBINOM(E847,Coefficients!$B$31,RAND())</f>
        <v>0</v>
      </c>
      <c r="G847" s="0" t="n">
        <f aca="true">CRITBINOM(MAX(0,D847-E847),1-Coefficients!$B$32,RAND())</f>
        <v>0</v>
      </c>
      <c r="H847" s="0" t="n">
        <f aca="true">CRITBINOM(MAX(0,$C847-D847),MIN(0.6,Matchup!$B$40*SQRT($B847)/(1-MIN(0.75,Matchup!$B$39*$B847))),RAND())</f>
        <v>0</v>
      </c>
      <c r="I847" s="0" t="n">
        <f aca="false">6*D847+(D847-E847-G847)+2*F847+3*H847</f>
        <v>28</v>
      </c>
      <c r="J847" s="0" t="n">
        <f aca="true">CRITBINOM($C847,MIN(0.75,Matchup!$C$39*$B847),RAND())</f>
        <v>3</v>
      </c>
      <c r="K847" s="0" t="n">
        <f aca="true">CRITBINOM(J847,Coefficients!$B$30,RAND())</f>
        <v>0</v>
      </c>
      <c r="L847" s="0" t="n">
        <f aca="true">CRITBINOM(K847,Coefficients!$B$31,RAND())</f>
        <v>0</v>
      </c>
      <c r="M847" s="0" t="n">
        <f aca="true">CRITBINOM(MAX(0,J847-K847),1-Coefficients!$B$32,RAND())</f>
        <v>0</v>
      </c>
      <c r="N847" s="0" t="n">
        <f aca="true">CRITBINOM(MAX(0,$C847-J847),MIN(0.6,Matchup!$C$40*SQRT($B847)/(1-MIN(0.75,Matchup!$C$39*$B847))),RAND())</f>
        <v>2</v>
      </c>
      <c r="O847" s="0" t="n">
        <f aca="false">6*J847+(J847-K847-M847)+2*L847+3*N847</f>
        <v>27</v>
      </c>
      <c r="P847" s="0" t="n">
        <f aca="true">RAND()</f>
        <v>0.459723556521016</v>
      </c>
      <c r="Q847" s="0" t="n">
        <f aca="true">RAND()</f>
        <v>0.999941131927594</v>
      </c>
      <c r="R847" s="0" t="n">
        <f aca="false">IF($I847&lt;&gt;$O847,0,IF(P847&lt;Matchup!$B$39,7,IF(P847&lt;Matchup!$B$39+Matchup!$B$40,3,0)))</f>
        <v>0</v>
      </c>
      <c r="S847" s="0" t="n">
        <f aca="false">IF($I847&lt;&gt;$O847,0,IF(Q847&lt;Matchup!$C$39,7,IF(Q847&lt;Matchup!$C$39+Matchup!$C$40,3,0)))</f>
        <v>0</v>
      </c>
      <c r="T847" s="0" t="n">
        <f aca="false">I847+R847</f>
        <v>28</v>
      </c>
      <c r="U847" s="0" t="n">
        <f aca="false">O847+S847</f>
        <v>27</v>
      </c>
      <c r="V847" s="0" t="n">
        <f aca="false">T847-U847</f>
        <v>1</v>
      </c>
      <c r="W847" s="0" t="n">
        <f aca="false">T847+U847</f>
        <v>55</v>
      </c>
    </row>
    <row r="848" customFormat="false" ht="15" hidden="false" customHeight="false" outlineLevel="0" collapsed="false">
      <c r="A848" s="0" t="n">
        <v>845</v>
      </c>
      <c r="B848" s="0" t="n">
        <f aca="true">NORMINV(RAND(),1,Coefficients!$B$22)</f>
        <v>0.990871905397019</v>
      </c>
      <c r="C848" s="0" t="n">
        <f aca="true">MEDIAN(8,16,ROUND(NORMINV(RAND(),Coefficients!$B$20,Coefficients!$B$21),0))</f>
        <v>12</v>
      </c>
      <c r="D848" s="0" t="n">
        <f aca="true">CRITBINOM($C848,MIN(0.75,Matchup!$B$39*$B848),RAND())</f>
        <v>3</v>
      </c>
      <c r="E848" s="0" t="n">
        <f aca="true">CRITBINOM(D848,Coefficients!$B$30,RAND())</f>
        <v>1</v>
      </c>
      <c r="F848" s="0" t="n">
        <f aca="true">CRITBINOM(E848,Coefficients!$B$31,RAND())</f>
        <v>1</v>
      </c>
      <c r="G848" s="0" t="n">
        <f aca="true">CRITBINOM(MAX(0,D848-E848),1-Coefficients!$B$32,RAND())</f>
        <v>0</v>
      </c>
      <c r="H848" s="0" t="n">
        <f aca="true">CRITBINOM(MAX(0,$C848-D848),MIN(0.6,Matchup!$B$40*SQRT($B848)/(1-MIN(0.75,Matchup!$B$39*$B848))),RAND())</f>
        <v>2</v>
      </c>
      <c r="I848" s="0" t="n">
        <f aca="false">6*D848+(D848-E848-G848)+2*F848+3*H848</f>
        <v>28</v>
      </c>
      <c r="J848" s="0" t="n">
        <f aca="true">CRITBINOM($C848,MIN(0.75,Matchup!$C$39*$B848),RAND())</f>
        <v>1</v>
      </c>
      <c r="K848" s="0" t="n">
        <f aca="true">CRITBINOM(J848,Coefficients!$B$30,RAND())</f>
        <v>0</v>
      </c>
      <c r="L848" s="0" t="n">
        <f aca="true">CRITBINOM(K848,Coefficients!$B$31,RAND())</f>
        <v>0</v>
      </c>
      <c r="M848" s="0" t="n">
        <f aca="true">CRITBINOM(MAX(0,J848-K848),1-Coefficients!$B$32,RAND())</f>
        <v>0</v>
      </c>
      <c r="N848" s="0" t="n">
        <f aca="true">CRITBINOM(MAX(0,$C848-J848),MIN(0.6,Matchup!$C$40*SQRT($B848)/(1-MIN(0.75,Matchup!$C$39*$B848))),RAND())</f>
        <v>2</v>
      </c>
      <c r="O848" s="0" t="n">
        <f aca="false">6*J848+(J848-K848-M848)+2*L848+3*N848</f>
        <v>13</v>
      </c>
      <c r="P848" s="0" t="n">
        <f aca="true">RAND()</f>
        <v>0.732114302246777</v>
      </c>
      <c r="Q848" s="0" t="n">
        <f aca="true">RAND()</f>
        <v>0.0609343468343515</v>
      </c>
      <c r="R848" s="0" t="n">
        <f aca="false">IF($I848&lt;&gt;$O848,0,IF(P848&lt;Matchup!$B$39,7,IF(P848&lt;Matchup!$B$39+Matchup!$B$40,3,0)))</f>
        <v>0</v>
      </c>
      <c r="S848" s="0" t="n">
        <f aca="false">IF($I848&lt;&gt;$O848,0,IF(Q848&lt;Matchup!$C$39,7,IF(Q848&lt;Matchup!$C$39+Matchup!$C$40,3,0)))</f>
        <v>0</v>
      </c>
      <c r="T848" s="0" t="n">
        <f aca="false">I848+R848</f>
        <v>28</v>
      </c>
      <c r="U848" s="0" t="n">
        <f aca="false">O848+S848</f>
        <v>13</v>
      </c>
      <c r="V848" s="0" t="n">
        <f aca="false">T848-U848</f>
        <v>15</v>
      </c>
      <c r="W848" s="0" t="n">
        <f aca="false">T848+U848</f>
        <v>41</v>
      </c>
    </row>
    <row r="849" customFormat="false" ht="15" hidden="false" customHeight="false" outlineLevel="0" collapsed="false">
      <c r="A849" s="0" t="n">
        <v>846</v>
      </c>
      <c r="B849" s="0" t="n">
        <f aca="true">NORMINV(RAND(),1,Coefficients!$B$22)</f>
        <v>0.933601148480128</v>
      </c>
      <c r="C849" s="0" t="n">
        <f aca="true">MEDIAN(8,16,ROUND(NORMINV(RAND(),Coefficients!$B$20,Coefficients!$B$21),0))</f>
        <v>11</v>
      </c>
      <c r="D849" s="0" t="n">
        <f aca="true">CRITBINOM($C849,MIN(0.75,Matchup!$B$39*$B849),RAND())</f>
        <v>3</v>
      </c>
      <c r="E849" s="0" t="n">
        <f aca="true">CRITBINOM(D849,Coefficients!$B$30,RAND())</f>
        <v>0</v>
      </c>
      <c r="F849" s="0" t="n">
        <f aca="true">CRITBINOM(E849,Coefficients!$B$31,RAND())</f>
        <v>0</v>
      </c>
      <c r="G849" s="0" t="n">
        <f aca="true">CRITBINOM(MAX(0,D849-E849),1-Coefficients!$B$32,RAND())</f>
        <v>0</v>
      </c>
      <c r="H849" s="0" t="n">
        <f aca="true">CRITBINOM(MAX(0,$C849-D849),MIN(0.6,Matchup!$B$40*SQRT($B849)/(1-MIN(0.75,Matchup!$B$39*$B849))),RAND())</f>
        <v>2</v>
      </c>
      <c r="I849" s="0" t="n">
        <f aca="false">6*D849+(D849-E849-G849)+2*F849+3*H849</f>
        <v>27</v>
      </c>
      <c r="J849" s="0" t="n">
        <f aca="true">CRITBINOM($C849,MIN(0.75,Matchup!$C$39*$B849),RAND())</f>
        <v>1</v>
      </c>
      <c r="K849" s="0" t="n">
        <f aca="true">CRITBINOM(J849,Coefficients!$B$30,RAND())</f>
        <v>1</v>
      </c>
      <c r="L849" s="0" t="n">
        <f aca="true">CRITBINOM(K849,Coefficients!$B$31,RAND())</f>
        <v>1</v>
      </c>
      <c r="M849" s="0" t="n">
        <f aca="true">CRITBINOM(MAX(0,J849-K849),1-Coefficients!$B$32,RAND())</f>
        <v>0</v>
      </c>
      <c r="N849" s="0" t="n">
        <f aca="true">CRITBINOM(MAX(0,$C849-J849),MIN(0.6,Matchup!$C$40*SQRT($B849)/(1-MIN(0.75,Matchup!$C$39*$B849))),RAND())</f>
        <v>0</v>
      </c>
      <c r="O849" s="0" t="n">
        <f aca="false">6*J849+(J849-K849-M849)+2*L849+3*N849</f>
        <v>8</v>
      </c>
      <c r="P849" s="0" t="n">
        <f aca="true">RAND()</f>
        <v>0.825419097354034</v>
      </c>
      <c r="Q849" s="0" t="n">
        <f aca="true">RAND()</f>
        <v>0.15840335898602</v>
      </c>
      <c r="R849" s="0" t="n">
        <f aca="false">IF($I849&lt;&gt;$O849,0,IF(P849&lt;Matchup!$B$39,7,IF(P849&lt;Matchup!$B$39+Matchup!$B$40,3,0)))</f>
        <v>0</v>
      </c>
      <c r="S849" s="0" t="n">
        <f aca="false">IF($I849&lt;&gt;$O849,0,IF(Q849&lt;Matchup!$C$39,7,IF(Q849&lt;Matchup!$C$39+Matchup!$C$40,3,0)))</f>
        <v>0</v>
      </c>
      <c r="T849" s="0" t="n">
        <f aca="false">I849+R849</f>
        <v>27</v>
      </c>
      <c r="U849" s="0" t="n">
        <f aca="false">O849+S849</f>
        <v>8</v>
      </c>
      <c r="V849" s="0" t="n">
        <f aca="false">T849-U849</f>
        <v>19</v>
      </c>
      <c r="W849" s="0" t="n">
        <f aca="false">T849+U849</f>
        <v>35</v>
      </c>
    </row>
    <row r="850" customFormat="false" ht="15" hidden="false" customHeight="false" outlineLevel="0" collapsed="false">
      <c r="A850" s="0" t="n">
        <v>847</v>
      </c>
      <c r="B850" s="0" t="n">
        <f aca="true">NORMINV(RAND(),1,Coefficients!$B$22)</f>
        <v>0.923314801316567</v>
      </c>
      <c r="C850" s="0" t="n">
        <f aca="true">MEDIAN(8,16,ROUND(NORMINV(RAND(),Coefficients!$B$20,Coefficients!$B$21),0))</f>
        <v>10</v>
      </c>
      <c r="D850" s="0" t="n">
        <f aca="true">CRITBINOM($C850,MIN(0.75,Matchup!$B$39*$B850),RAND())</f>
        <v>2</v>
      </c>
      <c r="E850" s="0" t="n">
        <f aca="true">CRITBINOM(D850,Coefficients!$B$30,RAND())</f>
        <v>0</v>
      </c>
      <c r="F850" s="0" t="n">
        <f aca="true">CRITBINOM(E850,Coefficients!$B$31,RAND())</f>
        <v>0</v>
      </c>
      <c r="G850" s="0" t="n">
        <f aca="true">CRITBINOM(MAX(0,D850-E850),1-Coefficients!$B$32,RAND())</f>
        <v>0</v>
      </c>
      <c r="H850" s="0" t="n">
        <f aca="true">CRITBINOM(MAX(0,$C850-D850),MIN(0.6,Matchup!$B$40*SQRT($B850)/(1-MIN(0.75,Matchup!$B$39*$B850))),RAND())</f>
        <v>2</v>
      </c>
      <c r="I850" s="0" t="n">
        <f aca="false">6*D850+(D850-E850-G850)+2*F850+3*H850</f>
        <v>20</v>
      </c>
      <c r="J850" s="0" t="n">
        <f aca="true">CRITBINOM($C850,MIN(0.75,Matchup!$C$39*$B850),RAND())</f>
        <v>2</v>
      </c>
      <c r="K850" s="0" t="n">
        <f aca="true">CRITBINOM(J850,Coefficients!$B$30,RAND())</f>
        <v>0</v>
      </c>
      <c r="L850" s="0" t="n">
        <f aca="true">CRITBINOM(K850,Coefficients!$B$31,RAND())</f>
        <v>0</v>
      </c>
      <c r="M850" s="0" t="n">
        <f aca="true">CRITBINOM(MAX(0,J850-K850),1-Coefficients!$B$32,RAND())</f>
        <v>0</v>
      </c>
      <c r="N850" s="0" t="n">
        <f aca="true">CRITBINOM(MAX(0,$C850-J850),MIN(0.6,Matchup!$C$40*SQRT($B850)/(1-MIN(0.75,Matchup!$C$39*$B850))),RAND())</f>
        <v>2</v>
      </c>
      <c r="O850" s="0" t="n">
        <f aca="false">6*J850+(J850-K850-M850)+2*L850+3*N850</f>
        <v>20</v>
      </c>
      <c r="P850" s="0" t="n">
        <f aca="true">RAND()</f>
        <v>0.113175312720445</v>
      </c>
      <c r="Q850" s="0" t="n">
        <f aca="true">RAND()</f>
        <v>0.0871558308626341</v>
      </c>
      <c r="R850" s="0" t="n">
        <f aca="false">IF($I850&lt;&gt;$O850,0,IF(P850&lt;Matchup!$B$39,7,IF(P850&lt;Matchup!$B$39+Matchup!$B$40,3,0)))</f>
        <v>7</v>
      </c>
      <c r="S850" s="0" t="n">
        <f aca="false">IF($I850&lt;&gt;$O850,0,IF(Q850&lt;Matchup!$C$39,7,IF(Q850&lt;Matchup!$C$39+Matchup!$C$40,3,0)))</f>
        <v>7</v>
      </c>
      <c r="T850" s="0" t="n">
        <f aca="false">I850+R850</f>
        <v>27</v>
      </c>
      <c r="U850" s="0" t="n">
        <f aca="false">O850+S850</f>
        <v>27</v>
      </c>
      <c r="V850" s="0" t="n">
        <f aca="false">T850-U850</f>
        <v>0</v>
      </c>
      <c r="W850" s="0" t="n">
        <f aca="false">T850+U850</f>
        <v>54</v>
      </c>
    </row>
    <row r="851" customFormat="false" ht="15" hidden="false" customHeight="false" outlineLevel="0" collapsed="false">
      <c r="A851" s="0" t="n">
        <v>848</v>
      </c>
      <c r="B851" s="0" t="n">
        <f aca="true">NORMINV(RAND(),1,Coefficients!$B$22)</f>
        <v>1.13155357890547</v>
      </c>
      <c r="C851" s="0" t="n">
        <f aca="true">MEDIAN(8,16,ROUND(NORMINV(RAND(),Coefficients!$B$20,Coefficients!$B$21),0))</f>
        <v>12</v>
      </c>
      <c r="D851" s="0" t="n">
        <f aca="true">CRITBINOM($C851,MIN(0.75,Matchup!$B$39*$B851),RAND())</f>
        <v>3</v>
      </c>
      <c r="E851" s="0" t="n">
        <f aca="true">CRITBINOM(D851,Coefficients!$B$30,RAND())</f>
        <v>0</v>
      </c>
      <c r="F851" s="0" t="n">
        <f aca="true">CRITBINOM(E851,Coefficients!$B$31,RAND())</f>
        <v>0</v>
      </c>
      <c r="G851" s="0" t="n">
        <f aca="true">CRITBINOM(MAX(0,D851-E851),1-Coefficients!$B$32,RAND())</f>
        <v>1</v>
      </c>
      <c r="H851" s="0" t="n">
        <f aca="true">CRITBINOM(MAX(0,$C851-D851),MIN(0.6,Matchup!$B$40*SQRT($B851)/(1-MIN(0.75,Matchup!$B$39*$B851))),RAND())</f>
        <v>1</v>
      </c>
      <c r="I851" s="0" t="n">
        <f aca="false">6*D851+(D851-E851-G851)+2*F851+3*H851</f>
        <v>23</v>
      </c>
      <c r="J851" s="0" t="n">
        <f aca="true">CRITBINOM($C851,MIN(0.75,Matchup!$C$39*$B851),RAND())</f>
        <v>2</v>
      </c>
      <c r="K851" s="0" t="n">
        <f aca="true">CRITBINOM(J851,Coefficients!$B$30,RAND())</f>
        <v>0</v>
      </c>
      <c r="L851" s="0" t="n">
        <f aca="true">CRITBINOM(K851,Coefficients!$B$31,RAND())</f>
        <v>0</v>
      </c>
      <c r="M851" s="0" t="n">
        <f aca="true">CRITBINOM(MAX(0,J851-K851),1-Coefficients!$B$32,RAND())</f>
        <v>0</v>
      </c>
      <c r="N851" s="0" t="n">
        <f aca="true">CRITBINOM(MAX(0,$C851-J851),MIN(0.6,Matchup!$C$40*SQRT($B851)/(1-MIN(0.75,Matchup!$C$39*$B851))),RAND())</f>
        <v>1</v>
      </c>
      <c r="O851" s="0" t="n">
        <f aca="false">6*J851+(J851-K851-M851)+2*L851+3*N851</f>
        <v>17</v>
      </c>
      <c r="P851" s="0" t="n">
        <f aca="true">RAND()</f>
        <v>0.416193644163559</v>
      </c>
      <c r="Q851" s="0" t="n">
        <f aca="true">RAND()</f>
        <v>0.465015294946754</v>
      </c>
      <c r="R851" s="0" t="n">
        <f aca="false">IF($I851&lt;&gt;$O851,0,IF(P851&lt;Matchup!$B$39,7,IF(P851&lt;Matchup!$B$39+Matchup!$B$40,3,0)))</f>
        <v>0</v>
      </c>
      <c r="S851" s="0" t="n">
        <f aca="false">IF($I851&lt;&gt;$O851,0,IF(Q851&lt;Matchup!$C$39,7,IF(Q851&lt;Matchup!$C$39+Matchup!$C$40,3,0)))</f>
        <v>0</v>
      </c>
      <c r="T851" s="0" t="n">
        <f aca="false">I851+R851</f>
        <v>23</v>
      </c>
      <c r="U851" s="0" t="n">
        <f aca="false">O851+S851</f>
        <v>17</v>
      </c>
      <c r="V851" s="0" t="n">
        <f aca="false">T851-U851</f>
        <v>6</v>
      </c>
      <c r="W851" s="0" t="n">
        <f aca="false">T851+U851</f>
        <v>40</v>
      </c>
    </row>
    <row r="852" customFormat="false" ht="15" hidden="false" customHeight="false" outlineLevel="0" collapsed="false">
      <c r="A852" s="0" t="n">
        <v>849</v>
      </c>
      <c r="B852" s="0" t="n">
        <f aca="true">NORMINV(RAND(),1,Coefficients!$B$22)</f>
        <v>0.945743651334134</v>
      </c>
      <c r="C852" s="0" t="n">
        <f aca="true">MEDIAN(8,16,ROUND(NORMINV(RAND(),Coefficients!$B$20,Coefficients!$B$21),0))</f>
        <v>12</v>
      </c>
      <c r="D852" s="0" t="n">
        <f aca="true">CRITBINOM($C852,MIN(0.75,Matchup!$B$39*$B852),RAND())</f>
        <v>1</v>
      </c>
      <c r="E852" s="0" t="n">
        <f aca="true">CRITBINOM(D852,Coefficients!$B$30,RAND())</f>
        <v>1</v>
      </c>
      <c r="F852" s="0" t="n">
        <f aca="true">CRITBINOM(E852,Coefficients!$B$31,RAND())</f>
        <v>0</v>
      </c>
      <c r="G852" s="0" t="n">
        <f aca="true">CRITBINOM(MAX(0,D852-E852),1-Coefficients!$B$32,RAND())</f>
        <v>0</v>
      </c>
      <c r="H852" s="0" t="n">
        <f aca="true">CRITBINOM(MAX(0,$C852-D852),MIN(0.6,Matchup!$B$40*SQRT($B852)/(1-MIN(0.75,Matchup!$B$39*$B852))),RAND())</f>
        <v>1</v>
      </c>
      <c r="I852" s="0" t="n">
        <f aca="false">6*D852+(D852-E852-G852)+2*F852+3*H852</f>
        <v>9</v>
      </c>
      <c r="J852" s="0" t="n">
        <f aca="true">CRITBINOM($C852,MIN(0.75,Matchup!$C$39*$B852),RAND())</f>
        <v>3</v>
      </c>
      <c r="K852" s="0" t="n">
        <f aca="true">CRITBINOM(J852,Coefficients!$B$30,RAND())</f>
        <v>0</v>
      </c>
      <c r="L852" s="0" t="n">
        <f aca="true">CRITBINOM(K852,Coefficients!$B$31,RAND())</f>
        <v>0</v>
      </c>
      <c r="M852" s="0" t="n">
        <f aca="true">CRITBINOM(MAX(0,J852-K852),1-Coefficients!$B$32,RAND())</f>
        <v>0</v>
      </c>
      <c r="N852" s="0" t="n">
        <f aca="true">CRITBINOM(MAX(0,$C852-J852),MIN(0.6,Matchup!$C$40*SQRT($B852)/(1-MIN(0.75,Matchup!$C$39*$B852))),RAND())</f>
        <v>3</v>
      </c>
      <c r="O852" s="0" t="n">
        <f aca="false">6*J852+(J852-K852-M852)+2*L852+3*N852</f>
        <v>30</v>
      </c>
      <c r="P852" s="0" t="n">
        <f aca="true">RAND()</f>
        <v>0.49737460862821</v>
      </c>
      <c r="Q852" s="0" t="n">
        <f aca="true">RAND()</f>
        <v>0.605331792615471</v>
      </c>
      <c r="R852" s="0" t="n">
        <f aca="false">IF($I852&lt;&gt;$O852,0,IF(P852&lt;Matchup!$B$39,7,IF(P852&lt;Matchup!$B$39+Matchup!$B$40,3,0)))</f>
        <v>0</v>
      </c>
      <c r="S852" s="0" t="n">
        <f aca="false">IF($I852&lt;&gt;$O852,0,IF(Q852&lt;Matchup!$C$39,7,IF(Q852&lt;Matchup!$C$39+Matchup!$C$40,3,0)))</f>
        <v>0</v>
      </c>
      <c r="T852" s="0" t="n">
        <f aca="false">I852+R852</f>
        <v>9</v>
      </c>
      <c r="U852" s="0" t="n">
        <f aca="false">O852+S852</f>
        <v>30</v>
      </c>
      <c r="V852" s="0" t="n">
        <f aca="false">T852-U852</f>
        <v>-21</v>
      </c>
      <c r="W852" s="0" t="n">
        <f aca="false">T852+U852</f>
        <v>39</v>
      </c>
    </row>
    <row r="853" customFormat="false" ht="15" hidden="false" customHeight="false" outlineLevel="0" collapsed="false">
      <c r="A853" s="0" t="n">
        <v>850</v>
      </c>
      <c r="B853" s="0" t="n">
        <f aca="true">NORMINV(RAND(),1,Coefficients!$B$22)</f>
        <v>0.990853896760847</v>
      </c>
      <c r="C853" s="0" t="n">
        <f aca="true">MEDIAN(8,16,ROUND(NORMINV(RAND(),Coefficients!$B$20,Coefficients!$B$21),0))</f>
        <v>12</v>
      </c>
      <c r="D853" s="0" t="n">
        <f aca="true">CRITBINOM($C853,MIN(0.75,Matchup!$B$39*$B853),RAND())</f>
        <v>3</v>
      </c>
      <c r="E853" s="0" t="n">
        <f aca="true">CRITBINOM(D853,Coefficients!$B$30,RAND())</f>
        <v>0</v>
      </c>
      <c r="F853" s="0" t="n">
        <f aca="true">CRITBINOM(E853,Coefficients!$B$31,RAND())</f>
        <v>0</v>
      </c>
      <c r="G853" s="0" t="n">
        <f aca="true">CRITBINOM(MAX(0,D853-E853),1-Coefficients!$B$32,RAND())</f>
        <v>0</v>
      </c>
      <c r="H853" s="0" t="n">
        <f aca="true">CRITBINOM(MAX(0,$C853-D853),MIN(0.6,Matchup!$B$40*SQRT($B853)/(1-MIN(0.75,Matchup!$B$39*$B853))),RAND())</f>
        <v>3</v>
      </c>
      <c r="I853" s="0" t="n">
        <f aca="false">6*D853+(D853-E853-G853)+2*F853+3*H853</f>
        <v>30</v>
      </c>
      <c r="J853" s="0" t="n">
        <f aca="true">CRITBINOM($C853,MIN(0.75,Matchup!$C$39*$B853),RAND())</f>
        <v>3</v>
      </c>
      <c r="K853" s="0" t="n">
        <f aca="true">CRITBINOM(J853,Coefficients!$B$30,RAND())</f>
        <v>0</v>
      </c>
      <c r="L853" s="0" t="n">
        <f aca="true">CRITBINOM(K853,Coefficients!$B$31,RAND())</f>
        <v>0</v>
      </c>
      <c r="M853" s="0" t="n">
        <f aca="true">CRITBINOM(MAX(0,J853-K853),1-Coefficients!$B$32,RAND())</f>
        <v>0</v>
      </c>
      <c r="N853" s="0" t="n">
        <f aca="true">CRITBINOM(MAX(0,$C853-J853),MIN(0.6,Matchup!$C$40*SQRT($B853)/(1-MIN(0.75,Matchup!$C$39*$B853))),RAND())</f>
        <v>1</v>
      </c>
      <c r="O853" s="0" t="n">
        <f aca="false">6*J853+(J853-K853-M853)+2*L853+3*N853</f>
        <v>24</v>
      </c>
      <c r="P853" s="0" t="n">
        <f aca="true">RAND()</f>
        <v>0.293906480181795</v>
      </c>
      <c r="Q853" s="0" t="n">
        <f aca="true">RAND()</f>
        <v>0.987269202879741</v>
      </c>
      <c r="R853" s="0" t="n">
        <f aca="false">IF($I853&lt;&gt;$O853,0,IF(P853&lt;Matchup!$B$39,7,IF(P853&lt;Matchup!$B$39+Matchup!$B$40,3,0)))</f>
        <v>0</v>
      </c>
      <c r="S853" s="0" t="n">
        <f aca="false">IF($I853&lt;&gt;$O853,0,IF(Q853&lt;Matchup!$C$39,7,IF(Q853&lt;Matchup!$C$39+Matchup!$C$40,3,0)))</f>
        <v>0</v>
      </c>
      <c r="T853" s="0" t="n">
        <f aca="false">I853+R853</f>
        <v>30</v>
      </c>
      <c r="U853" s="0" t="n">
        <f aca="false">O853+S853</f>
        <v>24</v>
      </c>
      <c r="V853" s="0" t="n">
        <f aca="false">T853-U853</f>
        <v>6</v>
      </c>
      <c r="W853" s="0" t="n">
        <f aca="false">T853+U853</f>
        <v>54</v>
      </c>
    </row>
    <row r="854" customFormat="false" ht="15" hidden="false" customHeight="false" outlineLevel="0" collapsed="false">
      <c r="A854" s="0" t="n">
        <v>851</v>
      </c>
      <c r="B854" s="0" t="n">
        <f aca="true">NORMINV(RAND(),1,Coefficients!$B$22)</f>
        <v>0.966570684524252</v>
      </c>
      <c r="C854" s="0" t="n">
        <f aca="true">MEDIAN(8,16,ROUND(NORMINV(RAND(),Coefficients!$B$20,Coefficients!$B$21),0))</f>
        <v>10</v>
      </c>
      <c r="D854" s="0" t="n">
        <f aca="true">CRITBINOM($C854,MIN(0.75,Matchup!$B$39*$B854),RAND())</f>
        <v>5</v>
      </c>
      <c r="E854" s="0" t="n">
        <f aca="true">CRITBINOM(D854,Coefficients!$B$30,RAND())</f>
        <v>2</v>
      </c>
      <c r="F854" s="0" t="n">
        <f aca="true">CRITBINOM(E854,Coefficients!$B$31,RAND())</f>
        <v>2</v>
      </c>
      <c r="G854" s="0" t="n">
        <f aca="true">CRITBINOM(MAX(0,D854-E854),1-Coefficients!$B$32,RAND())</f>
        <v>0</v>
      </c>
      <c r="H854" s="0" t="n">
        <f aca="true">CRITBINOM(MAX(0,$C854-D854),MIN(0.6,Matchup!$B$40*SQRT($B854)/(1-MIN(0.75,Matchup!$B$39*$B854))),RAND())</f>
        <v>0</v>
      </c>
      <c r="I854" s="0" t="n">
        <f aca="false">6*D854+(D854-E854-G854)+2*F854+3*H854</f>
        <v>37</v>
      </c>
      <c r="J854" s="0" t="n">
        <f aca="true">CRITBINOM($C854,MIN(0.75,Matchup!$C$39*$B854),RAND())</f>
        <v>3</v>
      </c>
      <c r="K854" s="0" t="n">
        <f aca="true">CRITBINOM(J854,Coefficients!$B$30,RAND())</f>
        <v>1</v>
      </c>
      <c r="L854" s="0" t="n">
        <f aca="true">CRITBINOM(K854,Coefficients!$B$31,RAND())</f>
        <v>1</v>
      </c>
      <c r="M854" s="0" t="n">
        <f aca="true">CRITBINOM(MAX(0,J854-K854),1-Coefficients!$B$32,RAND())</f>
        <v>0</v>
      </c>
      <c r="N854" s="0" t="n">
        <f aca="true">CRITBINOM(MAX(0,$C854-J854),MIN(0.6,Matchup!$C$40*SQRT($B854)/(1-MIN(0.75,Matchup!$C$39*$B854))),RAND())</f>
        <v>2</v>
      </c>
      <c r="O854" s="0" t="n">
        <f aca="false">6*J854+(J854-K854-M854)+2*L854+3*N854</f>
        <v>28</v>
      </c>
      <c r="P854" s="0" t="n">
        <f aca="true">RAND()</f>
        <v>0.906786091036915</v>
      </c>
      <c r="Q854" s="0" t="n">
        <f aca="true">RAND()</f>
        <v>0.543112572096758</v>
      </c>
      <c r="R854" s="0" t="n">
        <f aca="false">IF($I854&lt;&gt;$O854,0,IF(P854&lt;Matchup!$B$39,7,IF(P854&lt;Matchup!$B$39+Matchup!$B$40,3,0)))</f>
        <v>0</v>
      </c>
      <c r="S854" s="0" t="n">
        <f aca="false">IF($I854&lt;&gt;$O854,0,IF(Q854&lt;Matchup!$C$39,7,IF(Q854&lt;Matchup!$C$39+Matchup!$C$40,3,0)))</f>
        <v>0</v>
      </c>
      <c r="T854" s="0" t="n">
        <f aca="false">I854+R854</f>
        <v>37</v>
      </c>
      <c r="U854" s="0" t="n">
        <f aca="false">O854+S854</f>
        <v>28</v>
      </c>
      <c r="V854" s="0" t="n">
        <f aca="false">T854-U854</f>
        <v>9</v>
      </c>
      <c r="W854" s="0" t="n">
        <f aca="false">T854+U854</f>
        <v>65</v>
      </c>
    </row>
    <row r="855" customFormat="false" ht="15" hidden="false" customHeight="false" outlineLevel="0" collapsed="false">
      <c r="A855" s="0" t="n">
        <v>852</v>
      </c>
      <c r="B855" s="0" t="n">
        <f aca="true">NORMINV(RAND(),1,Coefficients!$B$22)</f>
        <v>1.07333695291379</v>
      </c>
      <c r="C855" s="0" t="n">
        <f aca="true">MEDIAN(8,16,ROUND(NORMINV(RAND(),Coefficients!$B$20,Coefficients!$B$21),0))</f>
        <v>13</v>
      </c>
      <c r="D855" s="0" t="n">
        <f aca="true">CRITBINOM($C855,MIN(0.75,Matchup!$B$39*$B855),RAND())</f>
        <v>2</v>
      </c>
      <c r="E855" s="0" t="n">
        <f aca="true">CRITBINOM(D855,Coefficients!$B$30,RAND())</f>
        <v>1</v>
      </c>
      <c r="F855" s="0" t="n">
        <f aca="true">CRITBINOM(E855,Coefficients!$B$31,RAND())</f>
        <v>1</v>
      </c>
      <c r="G855" s="0" t="n">
        <f aca="true">CRITBINOM(MAX(0,D855-E855),1-Coefficients!$B$32,RAND())</f>
        <v>0</v>
      </c>
      <c r="H855" s="0" t="n">
        <f aca="true">CRITBINOM(MAX(0,$C855-D855),MIN(0.6,Matchup!$B$40*SQRT($B855)/(1-MIN(0.75,Matchup!$B$39*$B855))),RAND())</f>
        <v>1</v>
      </c>
      <c r="I855" s="0" t="n">
        <f aca="false">6*D855+(D855-E855-G855)+2*F855+3*H855</f>
        <v>18</v>
      </c>
      <c r="J855" s="0" t="n">
        <f aca="true">CRITBINOM($C855,MIN(0.75,Matchup!$C$39*$B855),RAND())</f>
        <v>3</v>
      </c>
      <c r="K855" s="0" t="n">
        <f aca="true">CRITBINOM(J855,Coefficients!$B$30,RAND())</f>
        <v>0</v>
      </c>
      <c r="L855" s="0" t="n">
        <f aca="true">CRITBINOM(K855,Coefficients!$B$31,RAND())</f>
        <v>0</v>
      </c>
      <c r="M855" s="0" t="n">
        <f aca="true">CRITBINOM(MAX(0,J855-K855),1-Coefficients!$B$32,RAND())</f>
        <v>0</v>
      </c>
      <c r="N855" s="0" t="n">
        <f aca="true">CRITBINOM(MAX(0,$C855-J855),MIN(0.6,Matchup!$C$40*SQRT($B855)/(1-MIN(0.75,Matchup!$C$39*$B855))),RAND())</f>
        <v>2</v>
      </c>
      <c r="O855" s="0" t="n">
        <f aca="false">6*J855+(J855-K855-M855)+2*L855+3*N855</f>
        <v>27</v>
      </c>
      <c r="P855" s="0" t="n">
        <f aca="true">RAND()</f>
        <v>0.13729386123271</v>
      </c>
      <c r="Q855" s="0" t="n">
        <f aca="true">RAND()</f>
        <v>0.864131293753754</v>
      </c>
      <c r="R855" s="0" t="n">
        <f aca="false">IF($I855&lt;&gt;$O855,0,IF(P855&lt;Matchup!$B$39,7,IF(P855&lt;Matchup!$B$39+Matchup!$B$40,3,0)))</f>
        <v>0</v>
      </c>
      <c r="S855" s="0" t="n">
        <f aca="false">IF($I855&lt;&gt;$O855,0,IF(Q855&lt;Matchup!$C$39,7,IF(Q855&lt;Matchup!$C$39+Matchup!$C$40,3,0)))</f>
        <v>0</v>
      </c>
      <c r="T855" s="0" t="n">
        <f aca="false">I855+R855</f>
        <v>18</v>
      </c>
      <c r="U855" s="0" t="n">
        <f aca="false">O855+S855</f>
        <v>27</v>
      </c>
      <c r="V855" s="0" t="n">
        <f aca="false">T855-U855</f>
        <v>-9</v>
      </c>
      <c r="W855" s="0" t="n">
        <f aca="false">T855+U855</f>
        <v>45</v>
      </c>
    </row>
    <row r="856" customFormat="false" ht="15" hidden="false" customHeight="false" outlineLevel="0" collapsed="false">
      <c r="A856" s="0" t="n">
        <v>853</v>
      </c>
      <c r="B856" s="0" t="n">
        <f aca="true">NORMINV(RAND(),1,Coefficients!$B$22)</f>
        <v>1.10358339173192</v>
      </c>
      <c r="C856" s="0" t="n">
        <f aca="true">MEDIAN(8,16,ROUND(NORMINV(RAND(),Coefficients!$B$20,Coefficients!$B$21),0))</f>
        <v>12</v>
      </c>
      <c r="D856" s="0" t="n">
        <f aca="true">CRITBINOM($C856,MIN(0.75,Matchup!$B$39*$B856),RAND())</f>
        <v>0</v>
      </c>
      <c r="E856" s="0" t="n">
        <f aca="true">CRITBINOM(D856,Coefficients!$B$30,RAND())</f>
        <v>0</v>
      </c>
      <c r="F856" s="0" t="n">
        <f aca="true">CRITBINOM(E856,Coefficients!$B$31,RAND())</f>
        <v>0</v>
      </c>
      <c r="G856" s="0" t="n">
        <f aca="true">CRITBINOM(MAX(0,D856-E856),1-Coefficients!$B$32,RAND())</f>
        <v>0</v>
      </c>
      <c r="H856" s="0" t="n">
        <f aca="true">CRITBINOM(MAX(0,$C856-D856),MIN(0.6,Matchup!$B$40*SQRT($B856)/(1-MIN(0.75,Matchup!$B$39*$B856))),RAND())</f>
        <v>3</v>
      </c>
      <c r="I856" s="0" t="n">
        <f aca="false">6*D856+(D856-E856-G856)+2*F856+3*H856</f>
        <v>9</v>
      </c>
      <c r="J856" s="0" t="n">
        <f aca="true">CRITBINOM($C856,MIN(0.75,Matchup!$C$39*$B856),RAND())</f>
        <v>4</v>
      </c>
      <c r="K856" s="0" t="n">
        <f aca="true">CRITBINOM(J856,Coefficients!$B$30,RAND())</f>
        <v>1</v>
      </c>
      <c r="L856" s="0" t="n">
        <f aca="true">CRITBINOM(K856,Coefficients!$B$31,RAND())</f>
        <v>0</v>
      </c>
      <c r="M856" s="0" t="n">
        <f aca="true">CRITBINOM(MAX(0,J856-K856),1-Coefficients!$B$32,RAND())</f>
        <v>0</v>
      </c>
      <c r="N856" s="0" t="n">
        <f aca="true">CRITBINOM(MAX(0,$C856-J856),MIN(0.6,Matchup!$C$40*SQRT($B856)/(1-MIN(0.75,Matchup!$C$39*$B856))),RAND())</f>
        <v>2</v>
      </c>
      <c r="O856" s="0" t="n">
        <f aca="false">6*J856+(J856-K856-M856)+2*L856+3*N856</f>
        <v>33</v>
      </c>
      <c r="P856" s="0" t="n">
        <f aca="true">RAND()</f>
        <v>0.56461539143439</v>
      </c>
      <c r="Q856" s="0" t="n">
        <f aca="true">RAND()</f>
        <v>0.755016640388925</v>
      </c>
      <c r="R856" s="0" t="n">
        <f aca="false">IF($I856&lt;&gt;$O856,0,IF(P856&lt;Matchup!$B$39,7,IF(P856&lt;Matchup!$B$39+Matchup!$B$40,3,0)))</f>
        <v>0</v>
      </c>
      <c r="S856" s="0" t="n">
        <f aca="false">IF($I856&lt;&gt;$O856,0,IF(Q856&lt;Matchup!$C$39,7,IF(Q856&lt;Matchup!$C$39+Matchup!$C$40,3,0)))</f>
        <v>0</v>
      </c>
      <c r="T856" s="0" t="n">
        <f aca="false">I856+R856</f>
        <v>9</v>
      </c>
      <c r="U856" s="0" t="n">
        <f aca="false">O856+S856</f>
        <v>33</v>
      </c>
      <c r="V856" s="0" t="n">
        <f aca="false">T856-U856</f>
        <v>-24</v>
      </c>
      <c r="W856" s="0" t="n">
        <f aca="false">T856+U856</f>
        <v>42</v>
      </c>
    </row>
    <row r="857" customFormat="false" ht="15" hidden="false" customHeight="false" outlineLevel="0" collapsed="false">
      <c r="A857" s="0" t="n">
        <v>854</v>
      </c>
      <c r="B857" s="0" t="n">
        <f aca="true">NORMINV(RAND(),1,Coefficients!$B$22)</f>
        <v>0.959062759390053</v>
      </c>
      <c r="C857" s="0" t="n">
        <f aca="true">MEDIAN(8,16,ROUND(NORMINV(RAND(),Coefficients!$B$20,Coefficients!$B$21),0))</f>
        <v>11</v>
      </c>
      <c r="D857" s="0" t="n">
        <f aca="true">CRITBINOM($C857,MIN(0.75,Matchup!$B$39*$B857),RAND())</f>
        <v>2</v>
      </c>
      <c r="E857" s="0" t="n">
        <f aca="true">CRITBINOM(D857,Coefficients!$B$30,RAND())</f>
        <v>0</v>
      </c>
      <c r="F857" s="0" t="n">
        <f aca="true">CRITBINOM(E857,Coefficients!$B$31,RAND())</f>
        <v>0</v>
      </c>
      <c r="G857" s="0" t="n">
        <f aca="true">CRITBINOM(MAX(0,D857-E857),1-Coefficients!$B$32,RAND())</f>
        <v>0</v>
      </c>
      <c r="H857" s="0" t="n">
        <f aca="true">CRITBINOM(MAX(0,$C857-D857),MIN(0.6,Matchup!$B$40*SQRT($B857)/(1-MIN(0.75,Matchup!$B$39*$B857))),RAND())</f>
        <v>1</v>
      </c>
      <c r="I857" s="0" t="n">
        <f aca="false">6*D857+(D857-E857-G857)+2*F857+3*H857</f>
        <v>17</v>
      </c>
      <c r="J857" s="0" t="n">
        <f aca="true">CRITBINOM($C857,MIN(0.75,Matchup!$C$39*$B857),RAND())</f>
        <v>2</v>
      </c>
      <c r="K857" s="0" t="n">
        <f aca="true">CRITBINOM(J857,Coefficients!$B$30,RAND())</f>
        <v>1</v>
      </c>
      <c r="L857" s="0" t="n">
        <f aca="true">CRITBINOM(K857,Coefficients!$B$31,RAND())</f>
        <v>0</v>
      </c>
      <c r="M857" s="0" t="n">
        <f aca="true">CRITBINOM(MAX(0,J857-K857),1-Coefficients!$B$32,RAND())</f>
        <v>0</v>
      </c>
      <c r="N857" s="0" t="n">
        <f aca="true">CRITBINOM(MAX(0,$C857-J857),MIN(0.6,Matchup!$C$40*SQRT($B857)/(1-MIN(0.75,Matchup!$C$39*$B857))),RAND())</f>
        <v>1</v>
      </c>
      <c r="O857" s="0" t="n">
        <f aca="false">6*J857+(J857-K857-M857)+2*L857+3*N857</f>
        <v>16</v>
      </c>
      <c r="P857" s="0" t="n">
        <f aca="true">RAND()</f>
        <v>0.853348558783676</v>
      </c>
      <c r="Q857" s="0" t="n">
        <f aca="true">RAND()</f>
        <v>0.375954337778733</v>
      </c>
      <c r="R857" s="0" t="n">
        <f aca="false">IF($I857&lt;&gt;$O857,0,IF(P857&lt;Matchup!$B$39,7,IF(P857&lt;Matchup!$B$39+Matchup!$B$40,3,0)))</f>
        <v>0</v>
      </c>
      <c r="S857" s="0" t="n">
        <f aca="false">IF($I857&lt;&gt;$O857,0,IF(Q857&lt;Matchup!$C$39,7,IF(Q857&lt;Matchup!$C$39+Matchup!$C$40,3,0)))</f>
        <v>0</v>
      </c>
      <c r="T857" s="0" t="n">
        <f aca="false">I857+R857</f>
        <v>17</v>
      </c>
      <c r="U857" s="0" t="n">
        <f aca="false">O857+S857</f>
        <v>16</v>
      </c>
      <c r="V857" s="0" t="n">
        <f aca="false">T857-U857</f>
        <v>1</v>
      </c>
      <c r="W857" s="0" t="n">
        <f aca="false">T857+U857</f>
        <v>33</v>
      </c>
    </row>
    <row r="858" customFormat="false" ht="15" hidden="false" customHeight="false" outlineLevel="0" collapsed="false">
      <c r="A858" s="0" t="n">
        <v>855</v>
      </c>
      <c r="B858" s="0" t="n">
        <f aca="true">NORMINV(RAND(),1,Coefficients!$B$22)</f>
        <v>0.930238417489454</v>
      </c>
      <c r="C858" s="0" t="n">
        <f aca="true">MEDIAN(8,16,ROUND(NORMINV(RAND(),Coefficients!$B$20,Coefficients!$B$21),0))</f>
        <v>11</v>
      </c>
      <c r="D858" s="0" t="n">
        <f aca="true">CRITBINOM($C858,MIN(0.75,Matchup!$B$39*$B858),RAND())</f>
        <v>4</v>
      </c>
      <c r="E858" s="0" t="n">
        <f aca="true">CRITBINOM(D858,Coefficients!$B$30,RAND())</f>
        <v>0</v>
      </c>
      <c r="F858" s="0" t="n">
        <f aca="true">CRITBINOM(E858,Coefficients!$B$31,RAND())</f>
        <v>0</v>
      </c>
      <c r="G858" s="0" t="n">
        <f aca="true">CRITBINOM(MAX(0,D858-E858),1-Coefficients!$B$32,RAND())</f>
        <v>0</v>
      </c>
      <c r="H858" s="0" t="n">
        <f aca="true">CRITBINOM(MAX(0,$C858-D858),MIN(0.6,Matchup!$B$40*SQRT($B858)/(1-MIN(0.75,Matchup!$B$39*$B858))),RAND())</f>
        <v>2</v>
      </c>
      <c r="I858" s="0" t="n">
        <f aca="false">6*D858+(D858-E858-G858)+2*F858+3*H858</f>
        <v>34</v>
      </c>
      <c r="J858" s="0" t="n">
        <f aca="true">CRITBINOM($C858,MIN(0.75,Matchup!$C$39*$B858),RAND())</f>
        <v>1</v>
      </c>
      <c r="K858" s="0" t="n">
        <f aca="true">CRITBINOM(J858,Coefficients!$B$30,RAND())</f>
        <v>0</v>
      </c>
      <c r="L858" s="0" t="n">
        <f aca="true">CRITBINOM(K858,Coefficients!$B$31,RAND())</f>
        <v>0</v>
      </c>
      <c r="M858" s="0" t="n">
        <f aca="true">CRITBINOM(MAX(0,J858-K858),1-Coefficients!$B$32,RAND())</f>
        <v>0</v>
      </c>
      <c r="N858" s="0" t="n">
        <f aca="true">CRITBINOM(MAX(0,$C858-J858),MIN(0.6,Matchup!$C$40*SQRT($B858)/(1-MIN(0.75,Matchup!$C$39*$B858))),RAND())</f>
        <v>1</v>
      </c>
      <c r="O858" s="0" t="n">
        <f aca="false">6*J858+(J858-K858-M858)+2*L858+3*N858</f>
        <v>10</v>
      </c>
      <c r="P858" s="0" t="n">
        <f aca="true">RAND()</f>
        <v>0.16602325209236</v>
      </c>
      <c r="Q858" s="0" t="n">
        <f aca="true">RAND()</f>
        <v>0.493696393634713</v>
      </c>
      <c r="R858" s="0" t="n">
        <f aca="false">IF($I858&lt;&gt;$O858,0,IF(P858&lt;Matchup!$B$39,7,IF(P858&lt;Matchup!$B$39+Matchup!$B$40,3,0)))</f>
        <v>0</v>
      </c>
      <c r="S858" s="0" t="n">
        <f aca="false">IF($I858&lt;&gt;$O858,0,IF(Q858&lt;Matchup!$C$39,7,IF(Q858&lt;Matchup!$C$39+Matchup!$C$40,3,0)))</f>
        <v>0</v>
      </c>
      <c r="T858" s="0" t="n">
        <f aca="false">I858+R858</f>
        <v>34</v>
      </c>
      <c r="U858" s="0" t="n">
        <f aca="false">O858+S858</f>
        <v>10</v>
      </c>
      <c r="V858" s="0" t="n">
        <f aca="false">T858-U858</f>
        <v>24</v>
      </c>
      <c r="W858" s="0" t="n">
        <f aca="false">T858+U858</f>
        <v>44</v>
      </c>
    </row>
    <row r="859" customFormat="false" ht="15" hidden="false" customHeight="false" outlineLevel="0" collapsed="false">
      <c r="A859" s="0" t="n">
        <v>856</v>
      </c>
      <c r="B859" s="0" t="n">
        <f aca="true">NORMINV(RAND(),1,Coefficients!$B$22)</f>
        <v>0.961563246098739</v>
      </c>
      <c r="C859" s="0" t="n">
        <f aca="true">MEDIAN(8,16,ROUND(NORMINV(RAND(),Coefficients!$B$20,Coefficients!$B$21),0))</f>
        <v>12</v>
      </c>
      <c r="D859" s="0" t="n">
        <f aca="true">CRITBINOM($C859,MIN(0.75,Matchup!$B$39*$B859),RAND())</f>
        <v>4</v>
      </c>
      <c r="E859" s="0" t="n">
        <f aca="true">CRITBINOM(D859,Coefficients!$B$30,RAND())</f>
        <v>0</v>
      </c>
      <c r="F859" s="0" t="n">
        <f aca="true">CRITBINOM(E859,Coefficients!$B$31,RAND())</f>
        <v>0</v>
      </c>
      <c r="G859" s="0" t="n">
        <f aca="true">CRITBINOM(MAX(0,D859-E859),1-Coefficients!$B$32,RAND())</f>
        <v>1</v>
      </c>
      <c r="H859" s="0" t="n">
        <f aca="true">CRITBINOM(MAX(0,$C859-D859),MIN(0.6,Matchup!$B$40*SQRT($B859)/(1-MIN(0.75,Matchup!$B$39*$B859))),RAND())</f>
        <v>0</v>
      </c>
      <c r="I859" s="0" t="n">
        <f aca="false">6*D859+(D859-E859-G859)+2*F859+3*H859</f>
        <v>27</v>
      </c>
      <c r="J859" s="0" t="n">
        <f aca="true">CRITBINOM($C859,MIN(0.75,Matchup!$C$39*$B859),RAND())</f>
        <v>0</v>
      </c>
      <c r="K859" s="0" t="n">
        <f aca="true">CRITBINOM(J859,Coefficients!$B$30,RAND())</f>
        <v>0</v>
      </c>
      <c r="L859" s="0" t="n">
        <f aca="true">CRITBINOM(K859,Coefficients!$B$31,RAND())</f>
        <v>0</v>
      </c>
      <c r="M859" s="0" t="n">
        <f aca="true">CRITBINOM(MAX(0,J859-K859),1-Coefficients!$B$32,RAND())</f>
        <v>0</v>
      </c>
      <c r="N859" s="0" t="n">
        <f aca="true">CRITBINOM(MAX(0,$C859-J859),MIN(0.6,Matchup!$C$40*SQRT($B859)/(1-MIN(0.75,Matchup!$C$39*$B859))),RAND())</f>
        <v>2</v>
      </c>
      <c r="O859" s="0" t="n">
        <f aca="false">6*J859+(J859-K859-M859)+2*L859+3*N859</f>
        <v>6</v>
      </c>
      <c r="P859" s="0" t="n">
        <f aca="true">RAND()</f>
        <v>0.71085953660981</v>
      </c>
      <c r="Q859" s="0" t="n">
        <f aca="true">RAND()</f>
        <v>0.219279416986847</v>
      </c>
      <c r="R859" s="0" t="n">
        <f aca="false">IF($I859&lt;&gt;$O859,0,IF(P859&lt;Matchup!$B$39,7,IF(P859&lt;Matchup!$B$39+Matchup!$B$40,3,0)))</f>
        <v>0</v>
      </c>
      <c r="S859" s="0" t="n">
        <f aca="false">IF($I859&lt;&gt;$O859,0,IF(Q859&lt;Matchup!$C$39,7,IF(Q859&lt;Matchup!$C$39+Matchup!$C$40,3,0)))</f>
        <v>0</v>
      </c>
      <c r="T859" s="0" t="n">
        <f aca="false">I859+R859</f>
        <v>27</v>
      </c>
      <c r="U859" s="0" t="n">
        <f aca="false">O859+S859</f>
        <v>6</v>
      </c>
      <c r="V859" s="0" t="n">
        <f aca="false">T859-U859</f>
        <v>21</v>
      </c>
      <c r="W859" s="0" t="n">
        <f aca="false">T859+U859</f>
        <v>33</v>
      </c>
    </row>
    <row r="860" customFormat="false" ht="15" hidden="false" customHeight="false" outlineLevel="0" collapsed="false">
      <c r="A860" s="0" t="n">
        <v>857</v>
      </c>
      <c r="B860" s="0" t="n">
        <f aca="true">NORMINV(RAND(),1,Coefficients!$B$22)</f>
        <v>1.13034985335178</v>
      </c>
      <c r="C860" s="0" t="n">
        <f aca="true">MEDIAN(8,16,ROUND(NORMINV(RAND(),Coefficients!$B$20,Coefficients!$B$21),0))</f>
        <v>10</v>
      </c>
      <c r="D860" s="0" t="n">
        <f aca="true">CRITBINOM($C860,MIN(0.75,Matchup!$B$39*$B860),RAND())</f>
        <v>2</v>
      </c>
      <c r="E860" s="0" t="n">
        <f aca="true">CRITBINOM(D860,Coefficients!$B$30,RAND())</f>
        <v>0</v>
      </c>
      <c r="F860" s="0" t="n">
        <f aca="true">CRITBINOM(E860,Coefficients!$B$31,RAND())</f>
        <v>0</v>
      </c>
      <c r="G860" s="0" t="n">
        <f aca="true">CRITBINOM(MAX(0,D860-E860),1-Coefficients!$B$32,RAND())</f>
        <v>0</v>
      </c>
      <c r="H860" s="0" t="n">
        <f aca="true">CRITBINOM(MAX(0,$C860-D860),MIN(0.6,Matchup!$B$40*SQRT($B860)/(1-MIN(0.75,Matchup!$B$39*$B860))),RAND())</f>
        <v>1</v>
      </c>
      <c r="I860" s="0" t="n">
        <f aca="false">6*D860+(D860-E860-G860)+2*F860+3*H860</f>
        <v>17</v>
      </c>
      <c r="J860" s="0" t="n">
        <f aca="true">CRITBINOM($C860,MIN(0.75,Matchup!$C$39*$B860),RAND())</f>
        <v>1</v>
      </c>
      <c r="K860" s="0" t="n">
        <f aca="true">CRITBINOM(J860,Coefficients!$B$30,RAND())</f>
        <v>0</v>
      </c>
      <c r="L860" s="0" t="n">
        <f aca="true">CRITBINOM(K860,Coefficients!$B$31,RAND())</f>
        <v>0</v>
      </c>
      <c r="M860" s="0" t="n">
        <f aca="true">CRITBINOM(MAX(0,J860-K860),1-Coefficients!$B$32,RAND())</f>
        <v>0</v>
      </c>
      <c r="N860" s="0" t="n">
        <f aca="true">CRITBINOM(MAX(0,$C860-J860),MIN(0.6,Matchup!$C$40*SQRT($B860)/(1-MIN(0.75,Matchup!$C$39*$B860))),RAND())</f>
        <v>0</v>
      </c>
      <c r="O860" s="0" t="n">
        <f aca="false">6*J860+(J860-K860-M860)+2*L860+3*N860</f>
        <v>7</v>
      </c>
      <c r="P860" s="0" t="n">
        <f aca="true">RAND()</f>
        <v>0.815497378109716</v>
      </c>
      <c r="Q860" s="0" t="n">
        <f aca="true">RAND()</f>
        <v>0.256002410289951</v>
      </c>
      <c r="R860" s="0" t="n">
        <f aca="false">IF($I860&lt;&gt;$O860,0,IF(P860&lt;Matchup!$B$39,7,IF(P860&lt;Matchup!$B$39+Matchup!$B$40,3,0)))</f>
        <v>0</v>
      </c>
      <c r="S860" s="0" t="n">
        <f aca="false">IF($I860&lt;&gt;$O860,0,IF(Q860&lt;Matchup!$C$39,7,IF(Q860&lt;Matchup!$C$39+Matchup!$C$40,3,0)))</f>
        <v>0</v>
      </c>
      <c r="T860" s="0" t="n">
        <f aca="false">I860+R860</f>
        <v>17</v>
      </c>
      <c r="U860" s="0" t="n">
        <f aca="false">O860+S860</f>
        <v>7</v>
      </c>
      <c r="V860" s="0" t="n">
        <f aca="false">T860-U860</f>
        <v>10</v>
      </c>
      <c r="W860" s="0" t="n">
        <f aca="false">T860+U860</f>
        <v>24</v>
      </c>
    </row>
    <row r="861" customFormat="false" ht="15" hidden="false" customHeight="false" outlineLevel="0" collapsed="false">
      <c r="A861" s="0" t="n">
        <v>858</v>
      </c>
      <c r="B861" s="0" t="n">
        <f aca="true">NORMINV(RAND(),1,Coefficients!$B$22)</f>
        <v>1.04036973963449</v>
      </c>
      <c r="C861" s="0" t="n">
        <f aca="true">MEDIAN(8,16,ROUND(NORMINV(RAND(),Coefficients!$B$20,Coefficients!$B$21),0))</f>
        <v>13</v>
      </c>
      <c r="D861" s="0" t="n">
        <f aca="true">CRITBINOM($C861,MIN(0.75,Matchup!$B$39*$B861),RAND())</f>
        <v>2</v>
      </c>
      <c r="E861" s="0" t="n">
        <f aca="true">CRITBINOM(D861,Coefficients!$B$30,RAND())</f>
        <v>0</v>
      </c>
      <c r="F861" s="0" t="n">
        <f aca="true">CRITBINOM(E861,Coefficients!$B$31,RAND())</f>
        <v>0</v>
      </c>
      <c r="G861" s="0" t="n">
        <f aca="true">CRITBINOM(MAX(0,D861-E861),1-Coefficients!$B$32,RAND())</f>
        <v>0</v>
      </c>
      <c r="H861" s="0" t="n">
        <f aca="true">CRITBINOM(MAX(0,$C861-D861),MIN(0.6,Matchup!$B$40*SQRT($B861)/(1-MIN(0.75,Matchup!$B$39*$B861))),RAND())</f>
        <v>2</v>
      </c>
      <c r="I861" s="0" t="n">
        <f aca="false">6*D861+(D861-E861-G861)+2*F861+3*H861</f>
        <v>20</v>
      </c>
      <c r="J861" s="0" t="n">
        <f aca="true">CRITBINOM($C861,MIN(0.75,Matchup!$C$39*$B861),RAND())</f>
        <v>3</v>
      </c>
      <c r="K861" s="0" t="n">
        <f aca="true">CRITBINOM(J861,Coefficients!$B$30,RAND())</f>
        <v>0</v>
      </c>
      <c r="L861" s="0" t="n">
        <f aca="true">CRITBINOM(K861,Coefficients!$B$31,RAND())</f>
        <v>0</v>
      </c>
      <c r="M861" s="0" t="n">
        <f aca="true">CRITBINOM(MAX(0,J861-K861),1-Coefficients!$B$32,RAND())</f>
        <v>0</v>
      </c>
      <c r="N861" s="0" t="n">
        <f aca="true">CRITBINOM(MAX(0,$C861-J861),MIN(0.6,Matchup!$C$40*SQRT($B861)/(1-MIN(0.75,Matchup!$C$39*$B861))),RAND())</f>
        <v>2</v>
      </c>
      <c r="O861" s="0" t="n">
        <f aca="false">6*J861+(J861-K861-M861)+2*L861+3*N861</f>
        <v>27</v>
      </c>
      <c r="P861" s="0" t="n">
        <f aca="true">RAND()</f>
        <v>0.436015191665636</v>
      </c>
      <c r="Q861" s="0" t="n">
        <f aca="true">RAND()</f>
        <v>0.903141932851821</v>
      </c>
      <c r="R861" s="0" t="n">
        <f aca="false">IF($I861&lt;&gt;$O861,0,IF(P861&lt;Matchup!$B$39,7,IF(P861&lt;Matchup!$B$39+Matchup!$B$40,3,0)))</f>
        <v>0</v>
      </c>
      <c r="S861" s="0" t="n">
        <f aca="false">IF($I861&lt;&gt;$O861,0,IF(Q861&lt;Matchup!$C$39,7,IF(Q861&lt;Matchup!$C$39+Matchup!$C$40,3,0)))</f>
        <v>0</v>
      </c>
      <c r="T861" s="0" t="n">
        <f aca="false">I861+R861</f>
        <v>20</v>
      </c>
      <c r="U861" s="0" t="n">
        <f aca="false">O861+S861</f>
        <v>27</v>
      </c>
      <c r="V861" s="0" t="n">
        <f aca="false">T861-U861</f>
        <v>-7</v>
      </c>
      <c r="W861" s="0" t="n">
        <f aca="false">T861+U861</f>
        <v>47</v>
      </c>
    </row>
    <row r="862" customFormat="false" ht="15" hidden="false" customHeight="false" outlineLevel="0" collapsed="false">
      <c r="A862" s="0" t="n">
        <v>859</v>
      </c>
      <c r="B862" s="0" t="n">
        <f aca="true">NORMINV(RAND(),1,Coefficients!$B$22)</f>
        <v>0.920506165131594</v>
      </c>
      <c r="C862" s="0" t="n">
        <f aca="true">MEDIAN(8,16,ROUND(NORMINV(RAND(),Coefficients!$B$20,Coefficients!$B$21),0))</f>
        <v>11</v>
      </c>
      <c r="D862" s="0" t="n">
        <f aca="true">CRITBINOM($C862,MIN(0.75,Matchup!$B$39*$B862),RAND())</f>
        <v>4</v>
      </c>
      <c r="E862" s="0" t="n">
        <f aca="true">CRITBINOM(D862,Coefficients!$B$30,RAND())</f>
        <v>0</v>
      </c>
      <c r="F862" s="0" t="n">
        <f aca="true">CRITBINOM(E862,Coefficients!$B$31,RAND())</f>
        <v>0</v>
      </c>
      <c r="G862" s="0" t="n">
        <f aca="true">CRITBINOM(MAX(0,D862-E862),1-Coefficients!$B$32,RAND())</f>
        <v>0</v>
      </c>
      <c r="H862" s="0" t="n">
        <f aca="true">CRITBINOM(MAX(0,$C862-D862),MIN(0.6,Matchup!$B$40*SQRT($B862)/(1-MIN(0.75,Matchup!$B$39*$B862))),RAND())</f>
        <v>1</v>
      </c>
      <c r="I862" s="0" t="n">
        <f aca="false">6*D862+(D862-E862-G862)+2*F862+3*H862</f>
        <v>31</v>
      </c>
      <c r="J862" s="0" t="n">
        <f aca="true">CRITBINOM($C862,MIN(0.75,Matchup!$C$39*$B862),RAND())</f>
        <v>3</v>
      </c>
      <c r="K862" s="0" t="n">
        <f aca="true">CRITBINOM(J862,Coefficients!$B$30,RAND())</f>
        <v>0</v>
      </c>
      <c r="L862" s="0" t="n">
        <f aca="true">CRITBINOM(K862,Coefficients!$B$31,RAND())</f>
        <v>0</v>
      </c>
      <c r="M862" s="0" t="n">
        <f aca="true">CRITBINOM(MAX(0,J862-K862),1-Coefficients!$B$32,RAND())</f>
        <v>0</v>
      </c>
      <c r="N862" s="0" t="n">
        <f aca="true">CRITBINOM(MAX(0,$C862-J862),MIN(0.6,Matchup!$C$40*SQRT($B862)/(1-MIN(0.75,Matchup!$C$39*$B862))),RAND())</f>
        <v>2</v>
      </c>
      <c r="O862" s="0" t="n">
        <f aca="false">6*J862+(J862-K862-M862)+2*L862+3*N862</f>
        <v>27</v>
      </c>
      <c r="P862" s="0" t="n">
        <f aca="true">RAND()</f>
        <v>0.56198209806036</v>
      </c>
      <c r="Q862" s="0" t="n">
        <f aca="true">RAND()</f>
        <v>0.838013447945158</v>
      </c>
      <c r="R862" s="0" t="n">
        <f aca="false">IF($I862&lt;&gt;$O862,0,IF(P862&lt;Matchup!$B$39,7,IF(P862&lt;Matchup!$B$39+Matchup!$B$40,3,0)))</f>
        <v>0</v>
      </c>
      <c r="S862" s="0" t="n">
        <f aca="false">IF($I862&lt;&gt;$O862,0,IF(Q862&lt;Matchup!$C$39,7,IF(Q862&lt;Matchup!$C$39+Matchup!$C$40,3,0)))</f>
        <v>0</v>
      </c>
      <c r="T862" s="0" t="n">
        <f aca="false">I862+R862</f>
        <v>31</v>
      </c>
      <c r="U862" s="0" t="n">
        <f aca="false">O862+S862</f>
        <v>27</v>
      </c>
      <c r="V862" s="0" t="n">
        <f aca="false">T862-U862</f>
        <v>4</v>
      </c>
      <c r="W862" s="0" t="n">
        <f aca="false">T862+U862</f>
        <v>58</v>
      </c>
    </row>
    <row r="863" customFormat="false" ht="15" hidden="false" customHeight="false" outlineLevel="0" collapsed="false">
      <c r="A863" s="0" t="n">
        <v>860</v>
      </c>
      <c r="B863" s="0" t="n">
        <f aca="true">NORMINV(RAND(),1,Coefficients!$B$22)</f>
        <v>0.877450446955873</v>
      </c>
      <c r="C863" s="0" t="n">
        <f aca="true">MEDIAN(8,16,ROUND(NORMINV(RAND(),Coefficients!$B$20,Coefficients!$B$21),0))</f>
        <v>10</v>
      </c>
      <c r="D863" s="0" t="n">
        <f aca="true">CRITBINOM($C863,MIN(0.75,Matchup!$B$39*$B863),RAND())</f>
        <v>2</v>
      </c>
      <c r="E863" s="0" t="n">
        <f aca="true">CRITBINOM(D863,Coefficients!$B$30,RAND())</f>
        <v>1</v>
      </c>
      <c r="F863" s="0" t="n">
        <f aca="true">CRITBINOM(E863,Coefficients!$B$31,RAND())</f>
        <v>1</v>
      </c>
      <c r="G863" s="0" t="n">
        <f aca="true">CRITBINOM(MAX(0,D863-E863),1-Coefficients!$B$32,RAND())</f>
        <v>0</v>
      </c>
      <c r="H863" s="0" t="n">
        <f aca="true">CRITBINOM(MAX(0,$C863-D863),MIN(0.6,Matchup!$B$40*SQRT($B863)/(1-MIN(0.75,Matchup!$B$39*$B863))),RAND())</f>
        <v>1</v>
      </c>
      <c r="I863" s="0" t="n">
        <f aca="false">6*D863+(D863-E863-G863)+2*F863+3*H863</f>
        <v>18</v>
      </c>
      <c r="J863" s="0" t="n">
        <f aca="true">CRITBINOM($C863,MIN(0.75,Matchup!$C$39*$B863),RAND())</f>
        <v>0</v>
      </c>
      <c r="K863" s="0" t="n">
        <f aca="true">CRITBINOM(J863,Coefficients!$B$30,RAND())</f>
        <v>0</v>
      </c>
      <c r="L863" s="0" t="n">
        <f aca="true">CRITBINOM(K863,Coefficients!$B$31,RAND())</f>
        <v>0</v>
      </c>
      <c r="M863" s="0" t="n">
        <f aca="true">CRITBINOM(MAX(0,J863-K863),1-Coefficients!$B$32,RAND())</f>
        <v>0</v>
      </c>
      <c r="N863" s="0" t="n">
        <f aca="true">CRITBINOM(MAX(0,$C863-J863),MIN(0.6,Matchup!$C$40*SQRT($B863)/(1-MIN(0.75,Matchup!$C$39*$B863))),RAND())</f>
        <v>1</v>
      </c>
      <c r="O863" s="0" t="n">
        <f aca="false">6*J863+(J863-K863-M863)+2*L863+3*N863</f>
        <v>3</v>
      </c>
      <c r="P863" s="0" t="n">
        <f aca="true">RAND()</f>
        <v>0.507607059717913</v>
      </c>
      <c r="Q863" s="0" t="n">
        <f aca="true">RAND()</f>
        <v>0.342513141110023</v>
      </c>
      <c r="R863" s="0" t="n">
        <f aca="false">IF($I863&lt;&gt;$O863,0,IF(P863&lt;Matchup!$B$39,7,IF(P863&lt;Matchup!$B$39+Matchup!$B$40,3,0)))</f>
        <v>0</v>
      </c>
      <c r="S863" s="0" t="n">
        <f aca="false">IF($I863&lt;&gt;$O863,0,IF(Q863&lt;Matchup!$C$39,7,IF(Q863&lt;Matchup!$C$39+Matchup!$C$40,3,0)))</f>
        <v>0</v>
      </c>
      <c r="T863" s="0" t="n">
        <f aca="false">I863+R863</f>
        <v>18</v>
      </c>
      <c r="U863" s="0" t="n">
        <f aca="false">O863+S863</f>
        <v>3</v>
      </c>
      <c r="V863" s="0" t="n">
        <f aca="false">T863-U863</f>
        <v>15</v>
      </c>
      <c r="W863" s="0" t="n">
        <f aca="false">T863+U863</f>
        <v>21</v>
      </c>
    </row>
    <row r="864" customFormat="false" ht="15" hidden="false" customHeight="false" outlineLevel="0" collapsed="false">
      <c r="A864" s="0" t="n">
        <v>861</v>
      </c>
      <c r="B864" s="0" t="n">
        <f aca="true">NORMINV(RAND(),1,Coefficients!$B$22)</f>
        <v>1.11396007067129</v>
      </c>
      <c r="C864" s="0" t="n">
        <f aca="true">MEDIAN(8,16,ROUND(NORMINV(RAND(),Coefficients!$B$20,Coefficients!$B$21),0))</f>
        <v>10</v>
      </c>
      <c r="D864" s="0" t="n">
        <f aca="true">CRITBINOM($C864,MIN(0.75,Matchup!$B$39*$B864),RAND())</f>
        <v>3</v>
      </c>
      <c r="E864" s="0" t="n">
        <f aca="true">CRITBINOM(D864,Coefficients!$B$30,RAND())</f>
        <v>0</v>
      </c>
      <c r="F864" s="0" t="n">
        <f aca="true">CRITBINOM(E864,Coefficients!$B$31,RAND())</f>
        <v>0</v>
      </c>
      <c r="G864" s="0" t="n">
        <f aca="true">CRITBINOM(MAX(0,D864-E864),1-Coefficients!$B$32,RAND())</f>
        <v>0</v>
      </c>
      <c r="H864" s="0" t="n">
        <f aca="true">CRITBINOM(MAX(0,$C864-D864),MIN(0.6,Matchup!$B$40*SQRT($B864)/(1-MIN(0.75,Matchup!$B$39*$B864))),RAND())</f>
        <v>1</v>
      </c>
      <c r="I864" s="0" t="n">
        <f aca="false">6*D864+(D864-E864-G864)+2*F864+3*H864</f>
        <v>24</v>
      </c>
      <c r="J864" s="0" t="n">
        <f aca="true">CRITBINOM($C864,MIN(0.75,Matchup!$C$39*$B864),RAND())</f>
        <v>3</v>
      </c>
      <c r="K864" s="0" t="n">
        <f aca="true">CRITBINOM(J864,Coefficients!$B$30,RAND())</f>
        <v>1</v>
      </c>
      <c r="L864" s="0" t="n">
        <f aca="true">CRITBINOM(K864,Coefficients!$B$31,RAND())</f>
        <v>1</v>
      </c>
      <c r="M864" s="0" t="n">
        <f aca="true">CRITBINOM(MAX(0,J864-K864),1-Coefficients!$B$32,RAND())</f>
        <v>0</v>
      </c>
      <c r="N864" s="0" t="n">
        <f aca="true">CRITBINOM(MAX(0,$C864-J864),MIN(0.6,Matchup!$C$40*SQRT($B864)/(1-MIN(0.75,Matchup!$C$39*$B864))),RAND())</f>
        <v>3</v>
      </c>
      <c r="O864" s="0" t="n">
        <f aca="false">6*J864+(J864-K864-M864)+2*L864+3*N864</f>
        <v>31</v>
      </c>
      <c r="P864" s="0" t="n">
        <f aca="true">RAND()</f>
        <v>0.12429791038233</v>
      </c>
      <c r="Q864" s="0" t="n">
        <f aca="true">RAND()</f>
        <v>0.175338439500249</v>
      </c>
      <c r="R864" s="0" t="n">
        <f aca="false">IF($I864&lt;&gt;$O864,0,IF(P864&lt;Matchup!$B$39,7,IF(P864&lt;Matchup!$B$39+Matchup!$B$40,3,0)))</f>
        <v>0</v>
      </c>
      <c r="S864" s="0" t="n">
        <f aca="false">IF($I864&lt;&gt;$O864,0,IF(Q864&lt;Matchup!$C$39,7,IF(Q864&lt;Matchup!$C$39+Matchup!$C$40,3,0)))</f>
        <v>0</v>
      </c>
      <c r="T864" s="0" t="n">
        <f aca="false">I864+R864</f>
        <v>24</v>
      </c>
      <c r="U864" s="0" t="n">
        <f aca="false">O864+S864</f>
        <v>31</v>
      </c>
      <c r="V864" s="0" t="n">
        <f aca="false">T864-U864</f>
        <v>-7</v>
      </c>
      <c r="W864" s="0" t="n">
        <f aca="false">T864+U864</f>
        <v>55</v>
      </c>
    </row>
    <row r="865" customFormat="false" ht="15" hidden="false" customHeight="false" outlineLevel="0" collapsed="false">
      <c r="A865" s="0" t="n">
        <v>862</v>
      </c>
      <c r="B865" s="0" t="n">
        <f aca="true">NORMINV(RAND(),1,Coefficients!$B$22)</f>
        <v>0.94897481452722</v>
      </c>
      <c r="C865" s="0" t="n">
        <f aca="true">MEDIAN(8,16,ROUND(NORMINV(RAND(),Coefficients!$B$20,Coefficients!$B$21),0))</f>
        <v>9</v>
      </c>
      <c r="D865" s="0" t="n">
        <f aca="true">CRITBINOM($C865,MIN(0.75,Matchup!$B$39*$B865),RAND())</f>
        <v>7</v>
      </c>
      <c r="E865" s="0" t="n">
        <f aca="true">CRITBINOM(D865,Coefficients!$B$30,RAND())</f>
        <v>0</v>
      </c>
      <c r="F865" s="0" t="n">
        <f aca="true">CRITBINOM(E865,Coefficients!$B$31,RAND())</f>
        <v>0</v>
      </c>
      <c r="G865" s="0" t="n">
        <f aca="true">CRITBINOM(MAX(0,D865-E865),1-Coefficients!$B$32,RAND())</f>
        <v>0</v>
      </c>
      <c r="H865" s="0" t="n">
        <f aca="true">CRITBINOM(MAX(0,$C865-D865),MIN(0.6,Matchup!$B$40*SQRT($B865)/(1-MIN(0.75,Matchup!$B$39*$B865))),RAND())</f>
        <v>0</v>
      </c>
      <c r="I865" s="0" t="n">
        <f aca="false">6*D865+(D865-E865-G865)+2*F865+3*H865</f>
        <v>49</v>
      </c>
      <c r="J865" s="0" t="n">
        <f aca="true">CRITBINOM($C865,MIN(0.75,Matchup!$C$39*$B865),RAND())</f>
        <v>1</v>
      </c>
      <c r="K865" s="0" t="n">
        <f aca="true">CRITBINOM(J865,Coefficients!$B$30,RAND())</f>
        <v>0</v>
      </c>
      <c r="L865" s="0" t="n">
        <f aca="true">CRITBINOM(K865,Coefficients!$B$31,RAND())</f>
        <v>0</v>
      </c>
      <c r="M865" s="0" t="n">
        <f aca="true">CRITBINOM(MAX(0,J865-K865),1-Coefficients!$B$32,RAND())</f>
        <v>0</v>
      </c>
      <c r="N865" s="0" t="n">
        <f aca="true">CRITBINOM(MAX(0,$C865-J865),MIN(0.6,Matchup!$C$40*SQRT($B865)/(1-MIN(0.75,Matchup!$C$39*$B865))),RAND())</f>
        <v>2</v>
      </c>
      <c r="O865" s="0" t="n">
        <f aca="false">6*J865+(J865-K865-M865)+2*L865+3*N865</f>
        <v>13</v>
      </c>
      <c r="P865" s="0" t="n">
        <f aca="true">RAND()</f>
        <v>0.0209193155352768</v>
      </c>
      <c r="Q865" s="0" t="n">
        <f aca="true">RAND()</f>
        <v>0.647500759424774</v>
      </c>
      <c r="R865" s="0" t="n">
        <f aca="false">IF($I865&lt;&gt;$O865,0,IF(P865&lt;Matchup!$B$39,7,IF(P865&lt;Matchup!$B$39+Matchup!$B$40,3,0)))</f>
        <v>0</v>
      </c>
      <c r="S865" s="0" t="n">
        <f aca="false">IF($I865&lt;&gt;$O865,0,IF(Q865&lt;Matchup!$C$39,7,IF(Q865&lt;Matchup!$C$39+Matchup!$C$40,3,0)))</f>
        <v>0</v>
      </c>
      <c r="T865" s="0" t="n">
        <f aca="false">I865+R865</f>
        <v>49</v>
      </c>
      <c r="U865" s="0" t="n">
        <f aca="false">O865+S865</f>
        <v>13</v>
      </c>
      <c r="V865" s="0" t="n">
        <f aca="false">T865-U865</f>
        <v>36</v>
      </c>
      <c r="W865" s="0" t="n">
        <f aca="false">T865+U865</f>
        <v>62</v>
      </c>
    </row>
    <row r="866" customFormat="false" ht="15" hidden="false" customHeight="false" outlineLevel="0" collapsed="false">
      <c r="A866" s="0" t="n">
        <v>863</v>
      </c>
      <c r="B866" s="0" t="n">
        <f aca="true">NORMINV(RAND(),1,Coefficients!$B$22)</f>
        <v>1.03636540198483</v>
      </c>
      <c r="C866" s="0" t="n">
        <f aca="true">MEDIAN(8,16,ROUND(NORMINV(RAND(),Coefficients!$B$20,Coefficients!$B$21),0))</f>
        <v>9</v>
      </c>
      <c r="D866" s="0" t="n">
        <f aca="true">CRITBINOM($C866,MIN(0.75,Matchup!$B$39*$B866),RAND())</f>
        <v>3</v>
      </c>
      <c r="E866" s="0" t="n">
        <f aca="true">CRITBINOM(D866,Coefficients!$B$30,RAND())</f>
        <v>0</v>
      </c>
      <c r="F866" s="0" t="n">
        <f aca="true">CRITBINOM(E866,Coefficients!$B$31,RAND())</f>
        <v>0</v>
      </c>
      <c r="G866" s="0" t="n">
        <f aca="true">CRITBINOM(MAX(0,D866-E866),1-Coefficients!$B$32,RAND())</f>
        <v>0</v>
      </c>
      <c r="H866" s="0" t="n">
        <f aca="true">CRITBINOM(MAX(0,$C866-D866),MIN(0.6,Matchup!$B$40*SQRT($B866)/(1-MIN(0.75,Matchup!$B$39*$B866))),RAND())</f>
        <v>1</v>
      </c>
      <c r="I866" s="0" t="n">
        <f aca="false">6*D866+(D866-E866-G866)+2*F866+3*H866</f>
        <v>24</v>
      </c>
      <c r="J866" s="0" t="n">
        <f aca="true">CRITBINOM($C866,MIN(0.75,Matchup!$C$39*$B866),RAND())</f>
        <v>1</v>
      </c>
      <c r="K866" s="0" t="n">
        <f aca="true">CRITBINOM(J866,Coefficients!$B$30,RAND())</f>
        <v>0</v>
      </c>
      <c r="L866" s="0" t="n">
        <f aca="true">CRITBINOM(K866,Coefficients!$B$31,RAND())</f>
        <v>0</v>
      </c>
      <c r="M866" s="0" t="n">
        <f aca="true">CRITBINOM(MAX(0,J866-K866),1-Coefficients!$B$32,RAND())</f>
        <v>0</v>
      </c>
      <c r="N866" s="0" t="n">
        <f aca="true">CRITBINOM(MAX(0,$C866-J866),MIN(0.6,Matchup!$C$40*SQRT($B866)/(1-MIN(0.75,Matchup!$C$39*$B866))),RAND())</f>
        <v>2</v>
      </c>
      <c r="O866" s="0" t="n">
        <f aca="false">6*J866+(J866-K866-M866)+2*L866+3*N866</f>
        <v>13</v>
      </c>
      <c r="P866" s="0" t="n">
        <f aca="true">RAND()</f>
        <v>0.483684235448838</v>
      </c>
      <c r="Q866" s="0" t="n">
        <f aca="true">RAND()</f>
        <v>0.918546583574406</v>
      </c>
      <c r="R866" s="0" t="n">
        <f aca="false">IF($I866&lt;&gt;$O866,0,IF(P866&lt;Matchup!$B$39,7,IF(P866&lt;Matchup!$B$39+Matchup!$B$40,3,0)))</f>
        <v>0</v>
      </c>
      <c r="S866" s="0" t="n">
        <f aca="false">IF($I866&lt;&gt;$O866,0,IF(Q866&lt;Matchup!$C$39,7,IF(Q866&lt;Matchup!$C$39+Matchup!$C$40,3,0)))</f>
        <v>0</v>
      </c>
      <c r="T866" s="0" t="n">
        <f aca="false">I866+R866</f>
        <v>24</v>
      </c>
      <c r="U866" s="0" t="n">
        <f aca="false">O866+S866</f>
        <v>13</v>
      </c>
      <c r="V866" s="0" t="n">
        <f aca="false">T866-U866</f>
        <v>11</v>
      </c>
      <c r="W866" s="0" t="n">
        <f aca="false">T866+U866</f>
        <v>37</v>
      </c>
    </row>
    <row r="867" customFormat="false" ht="15" hidden="false" customHeight="false" outlineLevel="0" collapsed="false">
      <c r="A867" s="0" t="n">
        <v>864</v>
      </c>
      <c r="B867" s="0" t="n">
        <f aca="true">NORMINV(RAND(),1,Coefficients!$B$22)</f>
        <v>1.03421979420235</v>
      </c>
      <c r="C867" s="0" t="n">
        <f aca="true">MEDIAN(8,16,ROUND(NORMINV(RAND(),Coefficients!$B$20,Coefficients!$B$21),0))</f>
        <v>11</v>
      </c>
      <c r="D867" s="0" t="n">
        <f aca="true">CRITBINOM($C867,MIN(0.75,Matchup!$B$39*$B867),RAND())</f>
        <v>3</v>
      </c>
      <c r="E867" s="0" t="n">
        <f aca="true">CRITBINOM(D867,Coefficients!$B$30,RAND())</f>
        <v>0</v>
      </c>
      <c r="F867" s="0" t="n">
        <f aca="true">CRITBINOM(E867,Coefficients!$B$31,RAND())</f>
        <v>0</v>
      </c>
      <c r="G867" s="0" t="n">
        <f aca="true">CRITBINOM(MAX(0,D867-E867),1-Coefficients!$B$32,RAND())</f>
        <v>0</v>
      </c>
      <c r="H867" s="0" t="n">
        <f aca="true">CRITBINOM(MAX(0,$C867-D867),MIN(0.6,Matchup!$B$40*SQRT($B867)/(1-MIN(0.75,Matchup!$B$39*$B867))),RAND())</f>
        <v>1</v>
      </c>
      <c r="I867" s="0" t="n">
        <f aca="false">6*D867+(D867-E867-G867)+2*F867+3*H867</f>
        <v>24</v>
      </c>
      <c r="J867" s="0" t="n">
        <f aca="true">CRITBINOM($C867,MIN(0.75,Matchup!$C$39*$B867),RAND())</f>
        <v>0</v>
      </c>
      <c r="K867" s="0" t="n">
        <f aca="true">CRITBINOM(J867,Coefficients!$B$30,RAND())</f>
        <v>0</v>
      </c>
      <c r="L867" s="0" t="n">
        <f aca="true">CRITBINOM(K867,Coefficients!$B$31,RAND())</f>
        <v>0</v>
      </c>
      <c r="M867" s="0" t="n">
        <f aca="true">CRITBINOM(MAX(0,J867-K867),1-Coefficients!$B$32,RAND())</f>
        <v>0</v>
      </c>
      <c r="N867" s="0" t="n">
        <f aca="true">CRITBINOM(MAX(0,$C867-J867),MIN(0.6,Matchup!$C$40*SQRT($B867)/(1-MIN(0.75,Matchup!$C$39*$B867))),RAND())</f>
        <v>0</v>
      </c>
      <c r="O867" s="0" t="n">
        <f aca="false">6*J867+(J867-K867-M867)+2*L867+3*N867</f>
        <v>0</v>
      </c>
      <c r="P867" s="0" t="n">
        <f aca="true">RAND()</f>
        <v>0.00226869291991207</v>
      </c>
      <c r="Q867" s="0" t="n">
        <f aca="true">RAND()</f>
        <v>0.837767574516078</v>
      </c>
      <c r="R867" s="0" t="n">
        <f aca="false">IF($I867&lt;&gt;$O867,0,IF(P867&lt;Matchup!$B$39,7,IF(P867&lt;Matchup!$B$39+Matchup!$B$40,3,0)))</f>
        <v>0</v>
      </c>
      <c r="S867" s="0" t="n">
        <f aca="false">IF($I867&lt;&gt;$O867,0,IF(Q867&lt;Matchup!$C$39,7,IF(Q867&lt;Matchup!$C$39+Matchup!$C$40,3,0)))</f>
        <v>0</v>
      </c>
      <c r="T867" s="0" t="n">
        <f aca="false">I867+R867</f>
        <v>24</v>
      </c>
      <c r="U867" s="0" t="n">
        <f aca="false">O867+S867</f>
        <v>0</v>
      </c>
      <c r="V867" s="0" t="n">
        <f aca="false">T867-U867</f>
        <v>24</v>
      </c>
      <c r="W867" s="0" t="n">
        <f aca="false">T867+U867</f>
        <v>24</v>
      </c>
    </row>
    <row r="868" customFormat="false" ht="15" hidden="false" customHeight="false" outlineLevel="0" collapsed="false">
      <c r="A868" s="0" t="n">
        <v>865</v>
      </c>
      <c r="B868" s="0" t="n">
        <f aca="true">NORMINV(RAND(),1,Coefficients!$B$22)</f>
        <v>0.84593048103368</v>
      </c>
      <c r="C868" s="0" t="n">
        <f aca="true">MEDIAN(8,16,ROUND(NORMINV(RAND(),Coefficients!$B$20,Coefficients!$B$21),0))</f>
        <v>13</v>
      </c>
      <c r="D868" s="0" t="n">
        <f aca="true">CRITBINOM($C868,MIN(0.75,Matchup!$B$39*$B868),RAND())</f>
        <v>4</v>
      </c>
      <c r="E868" s="0" t="n">
        <f aca="true">CRITBINOM(D868,Coefficients!$B$30,RAND())</f>
        <v>1</v>
      </c>
      <c r="F868" s="0" t="n">
        <f aca="true">CRITBINOM(E868,Coefficients!$B$31,RAND())</f>
        <v>0</v>
      </c>
      <c r="G868" s="0" t="n">
        <f aca="true">CRITBINOM(MAX(0,D868-E868),1-Coefficients!$B$32,RAND())</f>
        <v>0</v>
      </c>
      <c r="H868" s="0" t="n">
        <f aca="true">CRITBINOM(MAX(0,$C868-D868),MIN(0.6,Matchup!$B$40*SQRT($B868)/(1-MIN(0.75,Matchup!$B$39*$B868))),RAND())</f>
        <v>1</v>
      </c>
      <c r="I868" s="0" t="n">
        <f aca="false">6*D868+(D868-E868-G868)+2*F868+3*H868</f>
        <v>30</v>
      </c>
      <c r="J868" s="0" t="n">
        <f aca="true">CRITBINOM($C868,MIN(0.75,Matchup!$C$39*$B868),RAND())</f>
        <v>2</v>
      </c>
      <c r="K868" s="0" t="n">
        <f aca="true">CRITBINOM(J868,Coefficients!$B$30,RAND())</f>
        <v>0</v>
      </c>
      <c r="L868" s="0" t="n">
        <f aca="true">CRITBINOM(K868,Coefficients!$B$31,RAND())</f>
        <v>0</v>
      </c>
      <c r="M868" s="0" t="n">
        <f aca="true">CRITBINOM(MAX(0,J868-K868),1-Coefficients!$B$32,RAND())</f>
        <v>0</v>
      </c>
      <c r="N868" s="0" t="n">
        <f aca="true">CRITBINOM(MAX(0,$C868-J868),MIN(0.6,Matchup!$C$40*SQRT($B868)/(1-MIN(0.75,Matchup!$C$39*$B868))),RAND())</f>
        <v>0</v>
      </c>
      <c r="O868" s="0" t="n">
        <f aca="false">6*J868+(J868-K868-M868)+2*L868+3*N868</f>
        <v>14</v>
      </c>
      <c r="P868" s="0" t="n">
        <f aca="true">RAND()</f>
        <v>0.407931022945442</v>
      </c>
      <c r="Q868" s="0" t="n">
        <f aca="true">RAND()</f>
        <v>0.6277008857265</v>
      </c>
      <c r="R868" s="0" t="n">
        <f aca="false">IF($I868&lt;&gt;$O868,0,IF(P868&lt;Matchup!$B$39,7,IF(P868&lt;Matchup!$B$39+Matchup!$B$40,3,0)))</f>
        <v>0</v>
      </c>
      <c r="S868" s="0" t="n">
        <f aca="false">IF($I868&lt;&gt;$O868,0,IF(Q868&lt;Matchup!$C$39,7,IF(Q868&lt;Matchup!$C$39+Matchup!$C$40,3,0)))</f>
        <v>0</v>
      </c>
      <c r="T868" s="0" t="n">
        <f aca="false">I868+R868</f>
        <v>30</v>
      </c>
      <c r="U868" s="0" t="n">
        <f aca="false">O868+S868</f>
        <v>14</v>
      </c>
      <c r="V868" s="0" t="n">
        <f aca="false">T868-U868</f>
        <v>16</v>
      </c>
      <c r="W868" s="0" t="n">
        <f aca="false">T868+U868</f>
        <v>44</v>
      </c>
    </row>
    <row r="869" customFormat="false" ht="15" hidden="false" customHeight="false" outlineLevel="0" collapsed="false">
      <c r="A869" s="0" t="n">
        <v>866</v>
      </c>
      <c r="B869" s="0" t="n">
        <f aca="true">NORMINV(RAND(),1,Coefficients!$B$22)</f>
        <v>0.940349611087893</v>
      </c>
      <c r="C869" s="0" t="n">
        <f aca="true">MEDIAN(8,16,ROUND(NORMINV(RAND(),Coefficients!$B$20,Coefficients!$B$21),0))</f>
        <v>11</v>
      </c>
      <c r="D869" s="0" t="n">
        <f aca="true">CRITBINOM($C869,MIN(0.75,Matchup!$B$39*$B869),RAND())</f>
        <v>2</v>
      </c>
      <c r="E869" s="0" t="n">
        <f aca="true">CRITBINOM(D869,Coefficients!$B$30,RAND())</f>
        <v>0</v>
      </c>
      <c r="F869" s="0" t="n">
        <f aca="true">CRITBINOM(E869,Coefficients!$B$31,RAND())</f>
        <v>0</v>
      </c>
      <c r="G869" s="0" t="n">
        <f aca="true">CRITBINOM(MAX(0,D869-E869),1-Coefficients!$B$32,RAND())</f>
        <v>0</v>
      </c>
      <c r="H869" s="0" t="n">
        <f aca="true">CRITBINOM(MAX(0,$C869-D869),MIN(0.6,Matchup!$B$40*SQRT($B869)/(1-MIN(0.75,Matchup!$B$39*$B869))),RAND())</f>
        <v>0</v>
      </c>
      <c r="I869" s="0" t="n">
        <f aca="false">6*D869+(D869-E869-G869)+2*F869+3*H869</f>
        <v>14</v>
      </c>
      <c r="J869" s="0" t="n">
        <f aca="true">CRITBINOM($C869,MIN(0.75,Matchup!$C$39*$B869),RAND())</f>
        <v>3</v>
      </c>
      <c r="K869" s="0" t="n">
        <f aca="true">CRITBINOM(J869,Coefficients!$B$30,RAND())</f>
        <v>0</v>
      </c>
      <c r="L869" s="0" t="n">
        <f aca="true">CRITBINOM(K869,Coefficients!$B$31,RAND())</f>
        <v>0</v>
      </c>
      <c r="M869" s="0" t="n">
        <f aca="true">CRITBINOM(MAX(0,J869-K869),1-Coefficients!$B$32,RAND())</f>
        <v>0</v>
      </c>
      <c r="N869" s="0" t="n">
        <f aca="true">CRITBINOM(MAX(0,$C869-J869),MIN(0.6,Matchup!$C$40*SQRT($B869)/(1-MIN(0.75,Matchup!$C$39*$B869))),RAND())</f>
        <v>0</v>
      </c>
      <c r="O869" s="0" t="n">
        <f aca="false">6*J869+(J869-K869-M869)+2*L869+3*N869</f>
        <v>21</v>
      </c>
      <c r="P869" s="0" t="n">
        <f aca="true">RAND()</f>
        <v>0.604812873667683</v>
      </c>
      <c r="Q869" s="0" t="n">
        <f aca="true">RAND()</f>
        <v>0.658579917800733</v>
      </c>
      <c r="R869" s="0" t="n">
        <f aca="false">IF($I869&lt;&gt;$O869,0,IF(P869&lt;Matchup!$B$39,7,IF(P869&lt;Matchup!$B$39+Matchup!$B$40,3,0)))</f>
        <v>0</v>
      </c>
      <c r="S869" s="0" t="n">
        <f aca="false">IF($I869&lt;&gt;$O869,0,IF(Q869&lt;Matchup!$C$39,7,IF(Q869&lt;Matchup!$C$39+Matchup!$C$40,3,0)))</f>
        <v>0</v>
      </c>
      <c r="T869" s="0" t="n">
        <f aca="false">I869+R869</f>
        <v>14</v>
      </c>
      <c r="U869" s="0" t="n">
        <f aca="false">O869+S869</f>
        <v>21</v>
      </c>
      <c r="V869" s="0" t="n">
        <f aca="false">T869-U869</f>
        <v>-7</v>
      </c>
      <c r="W869" s="0" t="n">
        <f aca="false">T869+U869</f>
        <v>35</v>
      </c>
    </row>
    <row r="870" customFormat="false" ht="15" hidden="false" customHeight="false" outlineLevel="0" collapsed="false">
      <c r="A870" s="0" t="n">
        <v>867</v>
      </c>
      <c r="B870" s="0" t="n">
        <f aca="true">NORMINV(RAND(),1,Coefficients!$B$22)</f>
        <v>1.12231788014499</v>
      </c>
      <c r="C870" s="0" t="n">
        <f aca="true">MEDIAN(8,16,ROUND(NORMINV(RAND(),Coefficients!$B$20,Coefficients!$B$21),0))</f>
        <v>13</v>
      </c>
      <c r="D870" s="0" t="n">
        <f aca="true">CRITBINOM($C870,MIN(0.75,Matchup!$B$39*$B870),RAND())</f>
        <v>6</v>
      </c>
      <c r="E870" s="0" t="n">
        <f aca="true">CRITBINOM(D870,Coefficients!$B$30,RAND())</f>
        <v>0</v>
      </c>
      <c r="F870" s="0" t="n">
        <f aca="true">CRITBINOM(E870,Coefficients!$B$31,RAND())</f>
        <v>0</v>
      </c>
      <c r="G870" s="0" t="n">
        <f aca="true">CRITBINOM(MAX(0,D870-E870),1-Coefficients!$B$32,RAND())</f>
        <v>0</v>
      </c>
      <c r="H870" s="0" t="n">
        <f aca="true">CRITBINOM(MAX(0,$C870-D870),MIN(0.6,Matchup!$B$40*SQRT($B870)/(1-MIN(0.75,Matchup!$B$39*$B870))),RAND())</f>
        <v>3</v>
      </c>
      <c r="I870" s="0" t="n">
        <f aca="false">6*D870+(D870-E870-G870)+2*F870+3*H870</f>
        <v>51</v>
      </c>
      <c r="J870" s="0" t="n">
        <f aca="true">CRITBINOM($C870,MIN(0.75,Matchup!$C$39*$B870),RAND())</f>
        <v>1</v>
      </c>
      <c r="K870" s="0" t="n">
        <f aca="true">CRITBINOM(J870,Coefficients!$B$30,RAND())</f>
        <v>0</v>
      </c>
      <c r="L870" s="0" t="n">
        <f aca="true">CRITBINOM(K870,Coefficients!$B$31,RAND())</f>
        <v>0</v>
      </c>
      <c r="M870" s="0" t="n">
        <f aca="true">CRITBINOM(MAX(0,J870-K870),1-Coefficients!$B$32,RAND())</f>
        <v>0</v>
      </c>
      <c r="N870" s="0" t="n">
        <f aca="true">CRITBINOM(MAX(0,$C870-J870),MIN(0.6,Matchup!$C$40*SQRT($B870)/(1-MIN(0.75,Matchup!$C$39*$B870))),RAND())</f>
        <v>4</v>
      </c>
      <c r="O870" s="0" t="n">
        <f aca="false">6*J870+(J870-K870-M870)+2*L870+3*N870</f>
        <v>19</v>
      </c>
      <c r="P870" s="0" t="n">
        <f aca="true">RAND()</f>
        <v>0.498578192272351</v>
      </c>
      <c r="Q870" s="0" t="n">
        <f aca="true">RAND()</f>
        <v>0.282575518158627</v>
      </c>
      <c r="R870" s="0" t="n">
        <f aca="false">IF($I870&lt;&gt;$O870,0,IF(P870&lt;Matchup!$B$39,7,IF(P870&lt;Matchup!$B$39+Matchup!$B$40,3,0)))</f>
        <v>0</v>
      </c>
      <c r="S870" s="0" t="n">
        <f aca="false">IF($I870&lt;&gt;$O870,0,IF(Q870&lt;Matchup!$C$39,7,IF(Q870&lt;Matchup!$C$39+Matchup!$C$40,3,0)))</f>
        <v>0</v>
      </c>
      <c r="T870" s="0" t="n">
        <f aca="false">I870+R870</f>
        <v>51</v>
      </c>
      <c r="U870" s="0" t="n">
        <f aca="false">O870+S870</f>
        <v>19</v>
      </c>
      <c r="V870" s="0" t="n">
        <f aca="false">T870-U870</f>
        <v>32</v>
      </c>
      <c r="W870" s="0" t="n">
        <f aca="false">T870+U870</f>
        <v>70</v>
      </c>
    </row>
    <row r="871" customFormat="false" ht="15" hidden="false" customHeight="false" outlineLevel="0" collapsed="false">
      <c r="A871" s="0" t="n">
        <v>868</v>
      </c>
      <c r="B871" s="0" t="n">
        <f aca="true">NORMINV(RAND(),1,Coefficients!$B$22)</f>
        <v>1.0354196655945</v>
      </c>
      <c r="C871" s="0" t="n">
        <f aca="true">MEDIAN(8,16,ROUND(NORMINV(RAND(),Coefficients!$B$20,Coefficients!$B$21),0))</f>
        <v>10</v>
      </c>
      <c r="D871" s="0" t="n">
        <f aca="true">CRITBINOM($C871,MIN(0.75,Matchup!$B$39*$B871),RAND())</f>
        <v>2</v>
      </c>
      <c r="E871" s="0" t="n">
        <f aca="true">CRITBINOM(D871,Coefficients!$B$30,RAND())</f>
        <v>0</v>
      </c>
      <c r="F871" s="0" t="n">
        <f aca="true">CRITBINOM(E871,Coefficients!$B$31,RAND())</f>
        <v>0</v>
      </c>
      <c r="G871" s="0" t="n">
        <f aca="true">CRITBINOM(MAX(0,D871-E871),1-Coefficients!$B$32,RAND())</f>
        <v>0</v>
      </c>
      <c r="H871" s="0" t="n">
        <f aca="true">CRITBINOM(MAX(0,$C871-D871),MIN(0.6,Matchup!$B$40*SQRT($B871)/(1-MIN(0.75,Matchup!$B$39*$B871))),RAND())</f>
        <v>0</v>
      </c>
      <c r="I871" s="0" t="n">
        <f aca="false">6*D871+(D871-E871-G871)+2*F871+3*H871</f>
        <v>14</v>
      </c>
      <c r="J871" s="0" t="n">
        <f aca="true">CRITBINOM($C871,MIN(0.75,Matchup!$C$39*$B871),RAND())</f>
        <v>2</v>
      </c>
      <c r="K871" s="0" t="n">
        <f aca="true">CRITBINOM(J871,Coefficients!$B$30,RAND())</f>
        <v>0</v>
      </c>
      <c r="L871" s="0" t="n">
        <f aca="true">CRITBINOM(K871,Coefficients!$B$31,RAND())</f>
        <v>0</v>
      </c>
      <c r="M871" s="0" t="n">
        <f aca="true">CRITBINOM(MAX(0,J871-K871),1-Coefficients!$B$32,RAND())</f>
        <v>1</v>
      </c>
      <c r="N871" s="0" t="n">
        <f aca="true">CRITBINOM(MAX(0,$C871-J871),MIN(0.6,Matchup!$C$40*SQRT($B871)/(1-MIN(0.75,Matchup!$C$39*$B871))),RAND())</f>
        <v>0</v>
      </c>
      <c r="O871" s="0" t="n">
        <f aca="false">6*J871+(J871-K871-M871)+2*L871+3*N871</f>
        <v>13</v>
      </c>
      <c r="P871" s="0" t="n">
        <f aca="true">RAND()</f>
        <v>0.636512687442277</v>
      </c>
      <c r="Q871" s="0" t="n">
        <f aca="true">RAND()</f>
        <v>0.401735669305302</v>
      </c>
      <c r="R871" s="0" t="n">
        <f aca="false">IF($I871&lt;&gt;$O871,0,IF(P871&lt;Matchup!$B$39,7,IF(P871&lt;Matchup!$B$39+Matchup!$B$40,3,0)))</f>
        <v>0</v>
      </c>
      <c r="S871" s="0" t="n">
        <f aca="false">IF($I871&lt;&gt;$O871,0,IF(Q871&lt;Matchup!$C$39,7,IF(Q871&lt;Matchup!$C$39+Matchup!$C$40,3,0)))</f>
        <v>0</v>
      </c>
      <c r="T871" s="0" t="n">
        <f aca="false">I871+R871</f>
        <v>14</v>
      </c>
      <c r="U871" s="0" t="n">
        <f aca="false">O871+S871</f>
        <v>13</v>
      </c>
      <c r="V871" s="0" t="n">
        <f aca="false">T871-U871</f>
        <v>1</v>
      </c>
      <c r="W871" s="0" t="n">
        <f aca="false">T871+U871</f>
        <v>27</v>
      </c>
    </row>
    <row r="872" customFormat="false" ht="15" hidden="false" customHeight="false" outlineLevel="0" collapsed="false">
      <c r="A872" s="0" t="n">
        <v>869</v>
      </c>
      <c r="B872" s="0" t="n">
        <f aca="true">NORMINV(RAND(),1,Coefficients!$B$22)</f>
        <v>0.942140088480912</v>
      </c>
      <c r="C872" s="0" t="n">
        <f aca="true">MEDIAN(8,16,ROUND(NORMINV(RAND(),Coefficients!$B$20,Coefficients!$B$21),0))</f>
        <v>11</v>
      </c>
      <c r="D872" s="0" t="n">
        <f aca="true">CRITBINOM($C872,MIN(0.75,Matchup!$B$39*$B872),RAND())</f>
        <v>4</v>
      </c>
      <c r="E872" s="0" t="n">
        <f aca="true">CRITBINOM(D872,Coefficients!$B$30,RAND())</f>
        <v>0</v>
      </c>
      <c r="F872" s="0" t="n">
        <f aca="true">CRITBINOM(E872,Coefficients!$B$31,RAND())</f>
        <v>0</v>
      </c>
      <c r="G872" s="0" t="n">
        <f aca="true">CRITBINOM(MAX(0,D872-E872),1-Coefficients!$B$32,RAND())</f>
        <v>0</v>
      </c>
      <c r="H872" s="0" t="n">
        <f aca="true">CRITBINOM(MAX(0,$C872-D872),MIN(0.6,Matchup!$B$40*SQRT($B872)/(1-MIN(0.75,Matchup!$B$39*$B872))),RAND())</f>
        <v>0</v>
      </c>
      <c r="I872" s="0" t="n">
        <f aca="false">6*D872+(D872-E872-G872)+2*F872+3*H872</f>
        <v>28</v>
      </c>
      <c r="J872" s="0" t="n">
        <f aca="true">CRITBINOM($C872,MIN(0.75,Matchup!$C$39*$B872),RAND())</f>
        <v>4</v>
      </c>
      <c r="K872" s="0" t="n">
        <f aca="true">CRITBINOM(J872,Coefficients!$B$30,RAND())</f>
        <v>1</v>
      </c>
      <c r="L872" s="0" t="n">
        <f aca="true">CRITBINOM(K872,Coefficients!$B$31,RAND())</f>
        <v>0</v>
      </c>
      <c r="M872" s="0" t="n">
        <f aca="true">CRITBINOM(MAX(0,J872-K872),1-Coefficients!$B$32,RAND())</f>
        <v>0</v>
      </c>
      <c r="N872" s="0" t="n">
        <f aca="true">CRITBINOM(MAX(0,$C872-J872),MIN(0.6,Matchup!$C$40*SQRT($B872)/(1-MIN(0.75,Matchup!$C$39*$B872))),RAND())</f>
        <v>2</v>
      </c>
      <c r="O872" s="0" t="n">
        <f aca="false">6*J872+(J872-K872-M872)+2*L872+3*N872</f>
        <v>33</v>
      </c>
      <c r="P872" s="0" t="n">
        <f aca="true">RAND()</f>
        <v>0.755885157815825</v>
      </c>
      <c r="Q872" s="0" t="n">
        <f aca="true">RAND()</f>
        <v>0.0372426949092301</v>
      </c>
      <c r="R872" s="0" t="n">
        <f aca="false">IF($I872&lt;&gt;$O872,0,IF(P872&lt;Matchup!$B$39,7,IF(P872&lt;Matchup!$B$39+Matchup!$B$40,3,0)))</f>
        <v>0</v>
      </c>
      <c r="S872" s="0" t="n">
        <f aca="false">IF($I872&lt;&gt;$O872,0,IF(Q872&lt;Matchup!$C$39,7,IF(Q872&lt;Matchup!$C$39+Matchup!$C$40,3,0)))</f>
        <v>0</v>
      </c>
      <c r="T872" s="0" t="n">
        <f aca="false">I872+R872</f>
        <v>28</v>
      </c>
      <c r="U872" s="0" t="n">
        <f aca="false">O872+S872</f>
        <v>33</v>
      </c>
      <c r="V872" s="0" t="n">
        <f aca="false">T872-U872</f>
        <v>-5</v>
      </c>
      <c r="W872" s="0" t="n">
        <f aca="false">T872+U872</f>
        <v>61</v>
      </c>
    </row>
    <row r="873" customFormat="false" ht="15" hidden="false" customHeight="false" outlineLevel="0" collapsed="false">
      <c r="A873" s="0" t="n">
        <v>870</v>
      </c>
      <c r="B873" s="0" t="n">
        <f aca="true">NORMINV(RAND(),1,Coefficients!$B$22)</f>
        <v>0.888119929902687</v>
      </c>
      <c r="C873" s="0" t="n">
        <f aca="true">MEDIAN(8,16,ROUND(NORMINV(RAND(),Coefficients!$B$20,Coefficients!$B$21),0))</f>
        <v>11</v>
      </c>
      <c r="D873" s="0" t="n">
        <f aca="true">CRITBINOM($C873,MIN(0.75,Matchup!$B$39*$B873),RAND())</f>
        <v>0</v>
      </c>
      <c r="E873" s="0" t="n">
        <f aca="true">CRITBINOM(D873,Coefficients!$B$30,RAND())</f>
        <v>0</v>
      </c>
      <c r="F873" s="0" t="n">
        <f aca="true">CRITBINOM(E873,Coefficients!$B$31,RAND())</f>
        <v>0</v>
      </c>
      <c r="G873" s="0" t="n">
        <f aca="true">CRITBINOM(MAX(0,D873-E873),1-Coefficients!$B$32,RAND())</f>
        <v>0</v>
      </c>
      <c r="H873" s="0" t="n">
        <f aca="true">CRITBINOM(MAX(0,$C873-D873),MIN(0.6,Matchup!$B$40*SQRT($B873)/(1-MIN(0.75,Matchup!$B$39*$B873))),RAND())</f>
        <v>5</v>
      </c>
      <c r="I873" s="0" t="n">
        <f aca="false">6*D873+(D873-E873-G873)+2*F873+3*H873</f>
        <v>15</v>
      </c>
      <c r="J873" s="0" t="n">
        <f aca="true">CRITBINOM($C873,MIN(0.75,Matchup!$C$39*$B873),RAND())</f>
        <v>3</v>
      </c>
      <c r="K873" s="0" t="n">
        <f aca="true">CRITBINOM(J873,Coefficients!$B$30,RAND())</f>
        <v>0</v>
      </c>
      <c r="L873" s="0" t="n">
        <f aca="true">CRITBINOM(K873,Coefficients!$B$31,RAND())</f>
        <v>0</v>
      </c>
      <c r="M873" s="0" t="n">
        <f aca="true">CRITBINOM(MAX(0,J873-K873),1-Coefficients!$B$32,RAND())</f>
        <v>0</v>
      </c>
      <c r="N873" s="0" t="n">
        <f aca="true">CRITBINOM(MAX(0,$C873-J873),MIN(0.6,Matchup!$C$40*SQRT($B873)/(1-MIN(0.75,Matchup!$C$39*$B873))),RAND())</f>
        <v>2</v>
      </c>
      <c r="O873" s="0" t="n">
        <f aca="false">6*J873+(J873-K873-M873)+2*L873+3*N873</f>
        <v>27</v>
      </c>
      <c r="P873" s="0" t="n">
        <f aca="true">RAND()</f>
        <v>0.0585001636116136</v>
      </c>
      <c r="Q873" s="0" t="n">
        <f aca="true">RAND()</f>
        <v>0.705330616524034</v>
      </c>
      <c r="R873" s="0" t="n">
        <f aca="false">IF($I873&lt;&gt;$O873,0,IF(P873&lt;Matchup!$B$39,7,IF(P873&lt;Matchup!$B$39+Matchup!$B$40,3,0)))</f>
        <v>0</v>
      </c>
      <c r="S873" s="0" t="n">
        <f aca="false">IF($I873&lt;&gt;$O873,0,IF(Q873&lt;Matchup!$C$39,7,IF(Q873&lt;Matchup!$C$39+Matchup!$C$40,3,0)))</f>
        <v>0</v>
      </c>
      <c r="T873" s="0" t="n">
        <f aca="false">I873+R873</f>
        <v>15</v>
      </c>
      <c r="U873" s="0" t="n">
        <f aca="false">O873+S873</f>
        <v>27</v>
      </c>
      <c r="V873" s="0" t="n">
        <f aca="false">T873-U873</f>
        <v>-12</v>
      </c>
      <c r="W873" s="0" t="n">
        <f aca="false">T873+U873</f>
        <v>42</v>
      </c>
    </row>
    <row r="874" customFormat="false" ht="15" hidden="false" customHeight="false" outlineLevel="0" collapsed="false">
      <c r="A874" s="0" t="n">
        <v>871</v>
      </c>
      <c r="B874" s="0" t="n">
        <f aca="true">NORMINV(RAND(),1,Coefficients!$B$22)</f>
        <v>1.03245548782172</v>
      </c>
      <c r="C874" s="0" t="n">
        <f aca="true">MEDIAN(8,16,ROUND(NORMINV(RAND(),Coefficients!$B$20,Coefficients!$B$21),0))</f>
        <v>13</v>
      </c>
      <c r="D874" s="0" t="n">
        <f aca="true">CRITBINOM($C874,MIN(0.75,Matchup!$B$39*$B874),RAND())</f>
        <v>2</v>
      </c>
      <c r="E874" s="0" t="n">
        <f aca="true">CRITBINOM(D874,Coefficients!$B$30,RAND())</f>
        <v>1</v>
      </c>
      <c r="F874" s="0" t="n">
        <f aca="true">CRITBINOM(E874,Coefficients!$B$31,RAND())</f>
        <v>1</v>
      </c>
      <c r="G874" s="0" t="n">
        <f aca="true">CRITBINOM(MAX(0,D874-E874),1-Coefficients!$B$32,RAND())</f>
        <v>0</v>
      </c>
      <c r="H874" s="0" t="n">
        <f aca="true">CRITBINOM(MAX(0,$C874-D874),MIN(0.6,Matchup!$B$40*SQRT($B874)/(1-MIN(0.75,Matchup!$B$39*$B874))),RAND())</f>
        <v>3</v>
      </c>
      <c r="I874" s="0" t="n">
        <f aca="false">6*D874+(D874-E874-G874)+2*F874+3*H874</f>
        <v>24</v>
      </c>
      <c r="J874" s="0" t="n">
        <f aca="true">CRITBINOM($C874,MIN(0.75,Matchup!$C$39*$B874),RAND())</f>
        <v>4</v>
      </c>
      <c r="K874" s="0" t="n">
        <f aca="true">CRITBINOM(J874,Coefficients!$B$30,RAND())</f>
        <v>0</v>
      </c>
      <c r="L874" s="0" t="n">
        <f aca="true">CRITBINOM(K874,Coefficients!$B$31,RAND())</f>
        <v>0</v>
      </c>
      <c r="M874" s="0" t="n">
        <f aca="true">CRITBINOM(MAX(0,J874-K874),1-Coefficients!$B$32,RAND())</f>
        <v>1</v>
      </c>
      <c r="N874" s="0" t="n">
        <f aca="true">CRITBINOM(MAX(0,$C874-J874),MIN(0.6,Matchup!$C$40*SQRT($B874)/(1-MIN(0.75,Matchup!$C$39*$B874))),RAND())</f>
        <v>1</v>
      </c>
      <c r="O874" s="0" t="n">
        <f aca="false">6*J874+(J874-K874-M874)+2*L874+3*N874</f>
        <v>30</v>
      </c>
      <c r="P874" s="0" t="n">
        <f aca="true">RAND()</f>
        <v>0.122050206753822</v>
      </c>
      <c r="Q874" s="0" t="n">
        <f aca="true">RAND()</f>
        <v>0.0927198082710988</v>
      </c>
      <c r="R874" s="0" t="n">
        <f aca="false">IF($I874&lt;&gt;$O874,0,IF(P874&lt;Matchup!$B$39,7,IF(P874&lt;Matchup!$B$39+Matchup!$B$40,3,0)))</f>
        <v>0</v>
      </c>
      <c r="S874" s="0" t="n">
        <f aca="false">IF($I874&lt;&gt;$O874,0,IF(Q874&lt;Matchup!$C$39,7,IF(Q874&lt;Matchup!$C$39+Matchup!$C$40,3,0)))</f>
        <v>0</v>
      </c>
      <c r="T874" s="0" t="n">
        <f aca="false">I874+R874</f>
        <v>24</v>
      </c>
      <c r="U874" s="0" t="n">
        <f aca="false">O874+S874</f>
        <v>30</v>
      </c>
      <c r="V874" s="0" t="n">
        <f aca="false">T874-U874</f>
        <v>-6</v>
      </c>
      <c r="W874" s="0" t="n">
        <f aca="false">T874+U874</f>
        <v>54</v>
      </c>
    </row>
    <row r="875" customFormat="false" ht="15" hidden="false" customHeight="false" outlineLevel="0" collapsed="false">
      <c r="A875" s="0" t="n">
        <v>872</v>
      </c>
      <c r="B875" s="0" t="n">
        <f aca="true">NORMINV(RAND(),1,Coefficients!$B$22)</f>
        <v>0.998781634316398</v>
      </c>
      <c r="C875" s="0" t="n">
        <f aca="true">MEDIAN(8,16,ROUND(NORMINV(RAND(),Coefficients!$B$20,Coefficients!$B$21),0))</f>
        <v>10</v>
      </c>
      <c r="D875" s="0" t="n">
        <f aca="true">CRITBINOM($C875,MIN(0.75,Matchup!$B$39*$B875),RAND())</f>
        <v>3</v>
      </c>
      <c r="E875" s="0" t="n">
        <f aca="true">CRITBINOM(D875,Coefficients!$B$30,RAND())</f>
        <v>1</v>
      </c>
      <c r="F875" s="0" t="n">
        <f aca="true">CRITBINOM(E875,Coefficients!$B$31,RAND())</f>
        <v>0</v>
      </c>
      <c r="G875" s="0" t="n">
        <f aca="true">CRITBINOM(MAX(0,D875-E875),1-Coefficients!$B$32,RAND())</f>
        <v>0</v>
      </c>
      <c r="H875" s="0" t="n">
        <f aca="true">CRITBINOM(MAX(0,$C875-D875),MIN(0.6,Matchup!$B$40*SQRT($B875)/(1-MIN(0.75,Matchup!$B$39*$B875))),RAND())</f>
        <v>4</v>
      </c>
      <c r="I875" s="0" t="n">
        <f aca="false">6*D875+(D875-E875-G875)+2*F875+3*H875</f>
        <v>32</v>
      </c>
      <c r="J875" s="0" t="n">
        <f aca="true">CRITBINOM($C875,MIN(0.75,Matchup!$C$39*$B875),RAND())</f>
        <v>3</v>
      </c>
      <c r="K875" s="0" t="n">
        <f aca="true">CRITBINOM(J875,Coefficients!$B$30,RAND())</f>
        <v>1</v>
      </c>
      <c r="L875" s="0" t="n">
        <f aca="true">CRITBINOM(K875,Coefficients!$B$31,RAND())</f>
        <v>1</v>
      </c>
      <c r="M875" s="0" t="n">
        <f aca="true">CRITBINOM(MAX(0,J875-K875),1-Coefficients!$B$32,RAND())</f>
        <v>0</v>
      </c>
      <c r="N875" s="0" t="n">
        <f aca="true">CRITBINOM(MAX(0,$C875-J875),MIN(0.6,Matchup!$C$40*SQRT($B875)/(1-MIN(0.75,Matchup!$C$39*$B875))),RAND())</f>
        <v>0</v>
      </c>
      <c r="O875" s="0" t="n">
        <f aca="false">6*J875+(J875-K875-M875)+2*L875+3*N875</f>
        <v>22</v>
      </c>
      <c r="P875" s="0" t="n">
        <f aca="true">RAND()</f>
        <v>0.533313513499469</v>
      </c>
      <c r="Q875" s="0" t="n">
        <f aca="true">RAND()</f>
        <v>0.576379005221689</v>
      </c>
      <c r="R875" s="0" t="n">
        <f aca="false">IF($I875&lt;&gt;$O875,0,IF(P875&lt;Matchup!$B$39,7,IF(P875&lt;Matchup!$B$39+Matchup!$B$40,3,0)))</f>
        <v>0</v>
      </c>
      <c r="S875" s="0" t="n">
        <f aca="false">IF($I875&lt;&gt;$O875,0,IF(Q875&lt;Matchup!$C$39,7,IF(Q875&lt;Matchup!$C$39+Matchup!$C$40,3,0)))</f>
        <v>0</v>
      </c>
      <c r="T875" s="0" t="n">
        <f aca="false">I875+R875</f>
        <v>32</v>
      </c>
      <c r="U875" s="0" t="n">
        <f aca="false">O875+S875</f>
        <v>22</v>
      </c>
      <c r="V875" s="0" t="n">
        <f aca="false">T875-U875</f>
        <v>10</v>
      </c>
      <c r="W875" s="0" t="n">
        <f aca="false">T875+U875</f>
        <v>54</v>
      </c>
    </row>
    <row r="876" customFormat="false" ht="15" hidden="false" customHeight="false" outlineLevel="0" collapsed="false">
      <c r="A876" s="0" t="n">
        <v>873</v>
      </c>
      <c r="B876" s="0" t="n">
        <f aca="true">NORMINV(RAND(),1,Coefficients!$B$22)</f>
        <v>0.954024950195074</v>
      </c>
      <c r="C876" s="0" t="n">
        <f aca="true">MEDIAN(8,16,ROUND(NORMINV(RAND(),Coefficients!$B$20,Coefficients!$B$21),0))</f>
        <v>11</v>
      </c>
      <c r="D876" s="0" t="n">
        <f aca="true">CRITBINOM($C876,MIN(0.75,Matchup!$B$39*$B876),RAND())</f>
        <v>7</v>
      </c>
      <c r="E876" s="0" t="n">
        <f aca="true">CRITBINOM(D876,Coefficients!$B$30,RAND())</f>
        <v>0</v>
      </c>
      <c r="F876" s="0" t="n">
        <f aca="true">CRITBINOM(E876,Coefficients!$B$31,RAND())</f>
        <v>0</v>
      </c>
      <c r="G876" s="0" t="n">
        <f aca="true">CRITBINOM(MAX(0,D876-E876),1-Coefficients!$B$32,RAND())</f>
        <v>1</v>
      </c>
      <c r="H876" s="0" t="n">
        <f aca="true">CRITBINOM(MAX(0,$C876-D876),MIN(0.6,Matchup!$B$40*SQRT($B876)/(1-MIN(0.75,Matchup!$B$39*$B876))),RAND())</f>
        <v>0</v>
      </c>
      <c r="I876" s="0" t="n">
        <f aca="false">6*D876+(D876-E876-G876)+2*F876+3*H876</f>
        <v>48</v>
      </c>
      <c r="J876" s="0" t="n">
        <f aca="true">CRITBINOM($C876,MIN(0.75,Matchup!$C$39*$B876),RAND())</f>
        <v>1</v>
      </c>
      <c r="K876" s="0" t="n">
        <f aca="true">CRITBINOM(J876,Coefficients!$B$30,RAND())</f>
        <v>0</v>
      </c>
      <c r="L876" s="0" t="n">
        <f aca="true">CRITBINOM(K876,Coefficients!$B$31,RAND())</f>
        <v>0</v>
      </c>
      <c r="M876" s="0" t="n">
        <f aca="true">CRITBINOM(MAX(0,J876-K876),1-Coefficients!$B$32,RAND())</f>
        <v>0</v>
      </c>
      <c r="N876" s="0" t="n">
        <f aca="true">CRITBINOM(MAX(0,$C876-J876),MIN(0.6,Matchup!$C$40*SQRT($B876)/(1-MIN(0.75,Matchup!$C$39*$B876))),RAND())</f>
        <v>1</v>
      </c>
      <c r="O876" s="0" t="n">
        <f aca="false">6*J876+(J876-K876-M876)+2*L876+3*N876</f>
        <v>10</v>
      </c>
      <c r="P876" s="0" t="n">
        <f aca="true">RAND()</f>
        <v>0.44447634079885</v>
      </c>
      <c r="Q876" s="0" t="n">
        <f aca="true">RAND()</f>
        <v>0.80270917236796</v>
      </c>
      <c r="R876" s="0" t="n">
        <f aca="false">IF($I876&lt;&gt;$O876,0,IF(P876&lt;Matchup!$B$39,7,IF(P876&lt;Matchup!$B$39+Matchup!$B$40,3,0)))</f>
        <v>0</v>
      </c>
      <c r="S876" s="0" t="n">
        <f aca="false">IF($I876&lt;&gt;$O876,0,IF(Q876&lt;Matchup!$C$39,7,IF(Q876&lt;Matchup!$C$39+Matchup!$C$40,3,0)))</f>
        <v>0</v>
      </c>
      <c r="T876" s="0" t="n">
        <f aca="false">I876+R876</f>
        <v>48</v>
      </c>
      <c r="U876" s="0" t="n">
        <f aca="false">O876+S876</f>
        <v>10</v>
      </c>
      <c r="V876" s="0" t="n">
        <f aca="false">T876-U876</f>
        <v>38</v>
      </c>
      <c r="W876" s="0" t="n">
        <f aca="false">T876+U876</f>
        <v>58</v>
      </c>
    </row>
    <row r="877" customFormat="false" ht="15" hidden="false" customHeight="false" outlineLevel="0" collapsed="false">
      <c r="A877" s="0" t="n">
        <v>874</v>
      </c>
      <c r="B877" s="0" t="n">
        <f aca="true">NORMINV(RAND(),1,Coefficients!$B$22)</f>
        <v>0.938419150518691</v>
      </c>
      <c r="C877" s="0" t="n">
        <f aca="true">MEDIAN(8,16,ROUND(NORMINV(RAND(),Coefficients!$B$20,Coefficients!$B$21),0))</f>
        <v>13</v>
      </c>
      <c r="D877" s="0" t="n">
        <f aca="true">CRITBINOM($C877,MIN(0.75,Matchup!$B$39*$B877),RAND())</f>
        <v>2</v>
      </c>
      <c r="E877" s="0" t="n">
        <f aca="true">CRITBINOM(D877,Coefficients!$B$30,RAND())</f>
        <v>0</v>
      </c>
      <c r="F877" s="0" t="n">
        <f aca="true">CRITBINOM(E877,Coefficients!$B$31,RAND())</f>
        <v>0</v>
      </c>
      <c r="G877" s="0" t="n">
        <f aca="true">CRITBINOM(MAX(0,D877-E877),1-Coefficients!$B$32,RAND())</f>
        <v>0</v>
      </c>
      <c r="H877" s="0" t="n">
        <f aca="true">CRITBINOM(MAX(0,$C877-D877),MIN(0.6,Matchup!$B$40*SQRT($B877)/(1-MIN(0.75,Matchup!$B$39*$B877))),RAND())</f>
        <v>2</v>
      </c>
      <c r="I877" s="0" t="n">
        <f aca="false">6*D877+(D877-E877-G877)+2*F877+3*H877</f>
        <v>20</v>
      </c>
      <c r="J877" s="0" t="n">
        <f aca="true">CRITBINOM($C877,MIN(0.75,Matchup!$C$39*$B877),RAND())</f>
        <v>3</v>
      </c>
      <c r="K877" s="0" t="n">
        <f aca="true">CRITBINOM(J877,Coefficients!$B$30,RAND())</f>
        <v>0</v>
      </c>
      <c r="L877" s="0" t="n">
        <f aca="true">CRITBINOM(K877,Coefficients!$B$31,RAND())</f>
        <v>0</v>
      </c>
      <c r="M877" s="0" t="n">
        <f aca="true">CRITBINOM(MAX(0,J877-K877),1-Coefficients!$B$32,RAND())</f>
        <v>0</v>
      </c>
      <c r="N877" s="0" t="n">
        <f aca="true">CRITBINOM(MAX(0,$C877-J877),MIN(0.6,Matchup!$C$40*SQRT($B877)/(1-MIN(0.75,Matchup!$C$39*$B877))),RAND())</f>
        <v>2</v>
      </c>
      <c r="O877" s="0" t="n">
        <f aca="false">6*J877+(J877-K877-M877)+2*L877+3*N877</f>
        <v>27</v>
      </c>
      <c r="P877" s="0" t="n">
        <f aca="true">RAND()</f>
        <v>0.475911425619773</v>
      </c>
      <c r="Q877" s="0" t="n">
        <f aca="true">RAND()</f>
        <v>0.290672406609539</v>
      </c>
      <c r="R877" s="0" t="n">
        <f aca="false">IF($I877&lt;&gt;$O877,0,IF(P877&lt;Matchup!$B$39,7,IF(P877&lt;Matchup!$B$39+Matchup!$B$40,3,0)))</f>
        <v>0</v>
      </c>
      <c r="S877" s="0" t="n">
        <f aca="false">IF($I877&lt;&gt;$O877,0,IF(Q877&lt;Matchup!$C$39,7,IF(Q877&lt;Matchup!$C$39+Matchup!$C$40,3,0)))</f>
        <v>0</v>
      </c>
      <c r="T877" s="0" t="n">
        <f aca="false">I877+R877</f>
        <v>20</v>
      </c>
      <c r="U877" s="0" t="n">
        <f aca="false">O877+S877</f>
        <v>27</v>
      </c>
      <c r="V877" s="0" t="n">
        <f aca="false">T877-U877</f>
        <v>-7</v>
      </c>
      <c r="W877" s="0" t="n">
        <f aca="false">T877+U877</f>
        <v>47</v>
      </c>
    </row>
    <row r="878" customFormat="false" ht="15" hidden="false" customHeight="false" outlineLevel="0" collapsed="false">
      <c r="A878" s="0" t="n">
        <v>875</v>
      </c>
      <c r="B878" s="0" t="n">
        <f aca="true">NORMINV(RAND(),1,Coefficients!$B$22)</f>
        <v>1.05829393074498</v>
      </c>
      <c r="C878" s="0" t="n">
        <f aca="true">MEDIAN(8,16,ROUND(NORMINV(RAND(),Coefficients!$B$20,Coefficients!$B$21),0))</f>
        <v>11</v>
      </c>
      <c r="D878" s="0" t="n">
        <f aca="true">CRITBINOM($C878,MIN(0.75,Matchup!$B$39*$B878),RAND())</f>
        <v>3</v>
      </c>
      <c r="E878" s="0" t="n">
        <f aca="true">CRITBINOM(D878,Coefficients!$B$30,RAND())</f>
        <v>0</v>
      </c>
      <c r="F878" s="0" t="n">
        <f aca="true">CRITBINOM(E878,Coefficients!$B$31,RAND())</f>
        <v>0</v>
      </c>
      <c r="G878" s="0" t="n">
        <f aca="true">CRITBINOM(MAX(0,D878-E878),1-Coefficients!$B$32,RAND())</f>
        <v>0</v>
      </c>
      <c r="H878" s="0" t="n">
        <f aca="true">CRITBINOM(MAX(0,$C878-D878),MIN(0.6,Matchup!$B$40*SQRT($B878)/(1-MIN(0.75,Matchup!$B$39*$B878))),RAND())</f>
        <v>0</v>
      </c>
      <c r="I878" s="0" t="n">
        <f aca="false">6*D878+(D878-E878-G878)+2*F878+3*H878</f>
        <v>21</v>
      </c>
      <c r="J878" s="0" t="n">
        <f aca="true">CRITBINOM($C878,MIN(0.75,Matchup!$C$39*$B878),RAND())</f>
        <v>2</v>
      </c>
      <c r="K878" s="0" t="n">
        <f aca="true">CRITBINOM(J878,Coefficients!$B$30,RAND())</f>
        <v>0</v>
      </c>
      <c r="L878" s="0" t="n">
        <f aca="true">CRITBINOM(K878,Coefficients!$B$31,RAND())</f>
        <v>0</v>
      </c>
      <c r="M878" s="0" t="n">
        <f aca="true">CRITBINOM(MAX(0,J878-K878),1-Coefficients!$B$32,RAND())</f>
        <v>0</v>
      </c>
      <c r="N878" s="0" t="n">
        <f aca="true">CRITBINOM(MAX(0,$C878-J878),MIN(0.6,Matchup!$C$40*SQRT($B878)/(1-MIN(0.75,Matchup!$C$39*$B878))),RAND())</f>
        <v>0</v>
      </c>
      <c r="O878" s="0" t="n">
        <f aca="false">6*J878+(J878-K878-M878)+2*L878+3*N878</f>
        <v>14</v>
      </c>
      <c r="P878" s="0" t="n">
        <f aca="true">RAND()</f>
        <v>0.0936993782990425</v>
      </c>
      <c r="Q878" s="0" t="n">
        <f aca="true">RAND()</f>
        <v>0.483859845575568</v>
      </c>
      <c r="R878" s="0" t="n">
        <f aca="false">IF($I878&lt;&gt;$O878,0,IF(P878&lt;Matchup!$B$39,7,IF(P878&lt;Matchup!$B$39+Matchup!$B$40,3,0)))</f>
        <v>0</v>
      </c>
      <c r="S878" s="0" t="n">
        <f aca="false">IF($I878&lt;&gt;$O878,0,IF(Q878&lt;Matchup!$C$39,7,IF(Q878&lt;Matchup!$C$39+Matchup!$C$40,3,0)))</f>
        <v>0</v>
      </c>
      <c r="T878" s="0" t="n">
        <f aca="false">I878+R878</f>
        <v>21</v>
      </c>
      <c r="U878" s="0" t="n">
        <f aca="false">O878+S878</f>
        <v>14</v>
      </c>
      <c r="V878" s="0" t="n">
        <f aca="false">T878-U878</f>
        <v>7</v>
      </c>
      <c r="W878" s="0" t="n">
        <f aca="false">T878+U878</f>
        <v>35</v>
      </c>
    </row>
    <row r="879" customFormat="false" ht="15" hidden="false" customHeight="false" outlineLevel="0" collapsed="false">
      <c r="A879" s="0" t="n">
        <v>876</v>
      </c>
      <c r="B879" s="0" t="n">
        <f aca="true">NORMINV(RAND(),1,Coefficients!$B$22)</f>
        <v>1.02067101166495</v>
      </c>
      <c r="C879" s="0" t="n">
        <f aca="true">MEDIAN(8,16,ROUND(NORMINV(RAND(),Coefficients!$B$20,Coefficients!$B$21),0))</f>
        <v>12</v>
      </c>
      <c r="D879" s="0" t="n">
        <f aca="true">CRITBINOM($C879,MIN(0.75,Matchup!$B$39*$B879),RAND())</f>
        <v>2</v>
      </c>
      <c r="E879" s="0" t="n">
        <f aca="true">CRITBINOM(D879,Coefficients!$B$30,RAND())</f>
        <v>0</v>
      </c>
      <c r="F879" s="0" t="n">
        <f aca="true">CRITBINOM(E879,Coefficients!$B$31,RAND())</f>
        <v>0</v>
      </c>
      <c r="G879" s="0" t="n">
        <f aca="true">CRITBINOM(MAX(0,D879-E879),1-Coefficients!$B$32,RAND())</f>
        <v>0</v>
      </c>
      <c r="H879" s="0" t="n">
        <f aca="true">CRITBINOM(MAX(0,$C879-D879),MIN(0.6,Matchup!$B$40*SQRT($B879)/(1-MIN(0.75,Matchup!$B$39*$B879))),RAND())</f>
        <v>3</v>
      </c>
      <c r="I879" s="0" t="n">
        <f aca="false">6*D879+(D879-E879-G879)+2*F879+3*H879</f>
        <v>23</v>
      </c>
      <c r="J879" s="0" t="n">
        <f aca="true">CRITBINOM($C879,MIN(0.75,Matchup!$C$39*$B879),RAND())</f>
        <v>2</v>
      </c>
      <c r="K879" s="0" t="n">
        <f aca="true">CRITBINOM(J879,Coefficients!$B$30,RAND())</f>
        <v>0</v>
      </c>
      <c r="L879" s="0" t="n">
        <f aca="true">CRITBINOM(K879,Coefficients!$B$31,RAND())</f>
        <v>0</v>
      </c>
      <c r="M879" s="0" t="n">
        <f aca="true">CRITBINOM(MAX(0,J879-K879),1-Coefficients!$B$32,RAND())</f>
        <v>0</v>
      </c>
      <c r="N879" s="0" t="n">
        <f aca="true">CRITBINOM(MAX(0,$C879-J879),MIN(0.6,Matchup!$C$40*SQRT($B879)/(1-MIN(0.75,Matchup!$C$39*$B879))),RAND())</f>
        <v>1</v>
      </c>
      <c r="O879" s="0" t="n">
        <f aca="false">6*J879+(J879-K879-M879)+2*L879+3*N879</f>
        <v>17</v>
      </c>
      <c r="P879" s="0" t="n">
        <f aca="true">RAND()</f>
        <v>0.614347133695919</v>
      </c>
      <c r="Q879" s="0" t="n">
        <f aca="true">RAND()</f>
        <v>0.620213688048337</v>
      </c>
      <c r="R879" s="0" t="n">
        <f aca="false">IF($I879&lt;&gt;$O879,0,IF(P879&lt;Matchup!$B$39,7,IF(P879&lt;Matchup!$B$39+Matchup!$B$40,3,0)))</f>
        <v>0</v>
      </c>
      <c r="S879" s="0" t="n">
        <f aca="false">IF($I879&lt;&gt;$O879,0,IF(Q879&lt;Matchup!$C$39,7,IF(Q879&lt;Matchup!$C$39+Matchup!$C$40,3,0)))</f>
        <v>0</v>
      </c>
      <c r="T879" s="0" t="n">
        <f aca="false">I879+R879</f>
        <v>23</v>
      </c>
      <c r="U879" s="0" t="n">
        <f aca="false">O879+S879</f>
        <v>17</v>
      </c>
      <c r="V879" s="0" t="n">
        <f aca="false">T879-U879</f>
        <v>6</v>
      </c>
      <c r="W879" s="0" t="n">
        <f aca="false">T879+U879</f>
        <v>40</v>
      </c>
    </row>
    <row r="880" customFormat="false" ht="15" hidden="false" customHeight="false" outlineLevel="0" collapsed="false">
      <c r="A880" s="0" t="n">
        <v>877</v>
      </c>
      <c r="B880" s="0" t="n">
        <f aca="true">NORMINV(RAND(),1,Coefficients!$B$22)</f>
        <v>0.978919462211084</v>
      </c>
      <c r="C880" s="0" t="n">
        <f aca="true">MEDIAN(8,16,ROUND(NORMINV(RAND(),Coefficients!$B$20,Coefficients!$B$21),0))</f>
        <v>11</v>
      </c>
      <c r="D880" s="0" t="n">
        <f aca="true">CRITBINOM($C880,MIN(0.75,Matchup!$B$39*$B880),RAND())</f>
        <v>2</v>
      </c>
      <c r="E880" s="0" t="n">
        <f aca="true">CRITBINOM(D880,Coefficients!$B$30,RAND())</f>
        <v>0</v>
      </c>
      <c r="F880" s="0" t="n">
        <f aca="true">CRITBINOM(E880,Coefficients!$B$31,RAND())</f>
        <v>0</v>
      </c>
      <c r="G880" s="0" t="n">
        <f aca="true">CRITBINOM(MAX(0,D880-E880),1-Coefficients!$B$32,RAND())</f>
        <v>0</v>
      </c>
      <c r="H880" s="0" t="n">
        <f aca="true">CRITBINOM(MAX(0,$C880-D880),MIN(0.6,Matchup!$B$40*SQRT($B880)/(1-MIN(0.75,Matchup!$B$39*$B880))),RAND())</f>
        <v>1</v>
      </c>
      <c r="I880" s="0" t="n">
        <f aca="false">6*D880+(D880-E880-G880)+2*F880+3*H880</f>
        <v>17</v>
      </c>
      <c r="J880" s="0" t="n">
        <f aca="true">CRITBINOM($C880,MIN(0.75,Matchup!$C$39*$B880),RAND())</f>
        <v>3</v>
      </c>
      <c r="K880" s="0" t="n">
        <f aca="true">CRITBINOM(J880,Coefficients!$B$30,RAND())</f>
        <v>1</v>
      </c>
      <c r="L880" s="0" t="n">
        <f aca="true">CRITBINOM(K880,Coefficients!$B$31,RAND())</f>
        <v>1</v>
      </c>
      <c r="M880" s="0" t="n">
        <f aca="true">CRITBINOM(MAX(0,J880-K880),1-Coefficients!$B$32,RAND())</f>
        <v>1</v>
      </c>
      <c r="N880" s="0" t="n">
        <f aca="true">CRITBINOM(MAX(0,$C880-J880),MIN(0.6,Matchup!$C$40*SQRT($B880)/(1-MIN(0.75,Matchup!$C$39*$B880))),RAND())</f>
        <v>2</v>
      </c>
      <c r="O880" s="0" t="n">
        <f aca="false">6*J880+(J880-K880-M880)+2*L880+3*N880</f>
        <v>27</v>
      </c>
      <c r="P880" s="0" t="n">
        <f aca="true">RAND()</f>
        <v>0.389241990156505</v>
      </c>
      <c r="Q880" s="0" t="n">
        <f aca="true">RAND()</f>
        <v>0.902358680581058</v>
      </c>
      <c r="R880" s="0" t="n">
        <f aca="false">IF($I880&lt;&gt;$O880,0,IF(P880&lt;Matchup!$B$39,7,IF(P880&lt;Matchup!$B$39+Matchup!$B$40,3,0)))</f>
        <v>0</v>
      </c>
      <c r="S880" s="0" t="n">
        <f aca="false">IF($I880&lt;&gt;$O880,0,IF(Q880&lt;Matchup!$C$39,7,IF(Q880&lt;Matchup!$C$39+Matchup!$C$40,3,0)))</f>
        <v>0</v>
      </c>
      <c r="T880" s="0" t="n">
        <f aca="false">I880+R880</f>
        <v>17</v>
      </c>
      <c r="U880" s="0" t="n">
        <f aca="false">O880+S880</f>
        <v>27</v>
      </c>
      <c r="V880" s="0" t="n">
        <f aca="false">T880-U880</f>
        <v>-10</v>
      </c>
      <c r="W880" s="0" t="n">
        <f aca="false">T880+U880</f>
        <v>44</v>
      </c>
    </row>
    <row r="881" customFormat="false" ht="15" hidden="false" customHeight="false" outlineLevel="0" collapsed="false">
      <c r="A881" s="0" t="n">
        <v>878</v>
      </c>
      <c r="B881" s="0" t="n">
        <f aca="true">NORMINV(RAND(),1,Coefficients!$B$22)</f>
        <v>1.01334713037681</v>
      </c>
      <c r="C881" s="0" t="n">
        <f aca="true">MEDIAN(8,16,ROUND(NORMINV(RAND(),Coefficients!$B$20,Coefficients!$B$21),0))</f>
        <v>12</v>
      </c>
      <c r="D881" s="0" t="n">
        <f aca="true">CRITBINOM($C881,MIN(0.75,Matchup!$B$39*$B881),RAND())</f>
        <v>5</v>
      </c>
      <c r="E881" s="0" t="n">
        <f aca="true">CRITBINOM(D881,Coefficients!$B$30,RAND())</f>
        <v>0</v>
      </c>
      <c r="F881" s="0" t="n">
        <f aca="true">CRITBINOM(E881,Coefficients!$B$31,RAND())</f>
        <v>0</v>
      </c>
      <c r="G881" s="0" t="n">
        <f aca="true">CRITBINOM(MAX(0,D881-E881),1-Coefficients!$B$32,RAND())</f>
        <v>0</v>
      </c>
      <c r="H881" s="0" t="n">
        <f aca="true">CRITBINOM(MAX(0,$C881-D881),MIN(0.6,Matchup!$B$40*SQRT($B881)/(1-MIN(0.75,Matchup!$B$39*$B881))),RAND())</f>
        <v>1</v>
      </c>
      <c r="I881" s="0" t="n">
        <f aca="false">6*D881+(D881-E881-G881)+2*F881+3*H881</f>
        <v>38</v>
      </c>
      <c r="J881" s="0" t="n">
        <f aca="true">CRITBINOM($C881,MIN(0.75,Matchup!$C$39*$B881),RAND())</f>
        <v>3</v>
      </c>
      <c r="K881" s="0" t="n">
        <f aca="true">CRITBINOM(J881,Coefficients!$B$30,RAND())</f>
        <v>0</v>
      </c>
      <c r="L881" s="0" t="n">
        <f aca="true">CRITBINOM(K881,Coefficients!$B$31,RAND())</f>
        <v>0</v>
      </c>
      <c r="M881" s="0" t="n">
        <f aca="true">CRITBINOM(MAX(0,J881-K881),1-Coefficients!$B$32,RAND())</f>
        <v>0</v>
      </c>
      <c r="N881" s="0" t="n">
        <f aca="true">CRITBINOM(MAX(0,$C881-J881),MIN(0.6,Matchup!$C$40*SQRT($B881)/(1-MIN(0.75,Matchup!$C$39*$B881))),RAND())</f>
        <v>1</v>
      </c>
      <c r="O881" s="0" t="n">
        <f aca="false">6*J881+(J881-K881-M881)+2*L881+3*N881</f>
        <v>24</v>
      </c>
      <c r="P881" s="0" t="n">
        <f aca="true">RAND()</f>
        <v>0.0800627652651749</v>
      </c>
      <c r="Q881" s="0" t="n">
        <f aca="true">RAND()</f>
        <v>0.0779941235756757</v>
      </c>
      <c r="R881" s="0" t="n">
        <f aca="false">IF($I881&lt;&gt;$O881,0,IF(P881&lt;Matchup!$B$39,7,IF(P881&lt;Matchup!$B$39+Matchup!$B$40,3,0)))</f>
        <v>0</v>
      </c>
      <c r="S881" s="0" t="n">
        <f aca="false">IF($I881&lt;&gt;$O881,0,IF(Q881&lt;Matchup!$C$39,7,IF(Q881&lt;Matchup!$C$39+Matchup!$C$40,3,0)))</f>
        <v>0</v>
      </c>
      <c r="T881" s="0" t="n">
        <f aca="false">I881+R881</f>
        <v>38</v>
      </c>
      <c r="U881" s="0" t="n">
        <f aca="false">O881+S881</f>
        <v>24</v>
      </c>
      <c r="V881" s="0" t="n">
        <f aca="false">T881-U881</f>
        <v>14</v>
      </c>
      <c r="W881" s="0" t="n">
        <f aca="false">T881+U881</f>
        <v>62</v>
      </c>
    </row>
    <row r="882" customFormat="false" ht="15" hidden="false" customHeight="false" outlineLevel="0" collapsed="false">
      <c r="A882" s="0" t="n">
        <v>879</v>
      </c>
      <c r="B882" s="0" t="n">
        <f aca="true">NORMINV(RAND(),1,Coefficients!$B$22)</f>
        <v>1.14473698676874</v>
      </c>
      <c r="C882" s="0" t="n">
        <f aca="true">MEDIAN(8,16,ROUND(NORMINV(RAND(),Coefficients!$B$20,Coefficients!$B$21),0))</f>
        <v>10</v>
      </c>
      <c r="D882" s="0" t="n">
        <f aca="true">CRITBINOM($C882,MIN(0.75,Matchup!$B$39*$B882),RAND())</f>
        <v>4</v>
      </c>
      <c r="E882" s="0" t="n">
        <f aca="true">CRITBINOM(D882,Coefficients!$B$30,RAND())</f>
        <v>0</v>
      </c>
      <c r="F882" s="0" t="n">
        <f aca="true">CRITBINOM(E882,Coefficients!$B$31,RAND())</f>
        <v>0</v>
      </c>
      <c r="G882" s="0" t="n">
        <f aca="true">CRITBINOM(MAX(0,D882-E882),1-Coefficients!$B$32,RAND())</f>
        <v>0</v>
      </c>
      <c r="H882" s="0" t="n">
        <f aca="true">CRITBINOM(MAX(0,$C882-D882),MIN(0.6,Matchup!$B$40*SQRT($B882)/(1-MIN(0.75,Matchup!$B$39*$B882))),RAND())</f>
        <v>3</v>
      </c>
      <c r="I882" s="0" t="n">
        <f aca="false">6*D882+(D882-E882-G882)+2*F882+3*H882</f>
        <v>37</v>
      </c>
      <c r="J882" s="0" t="n">
        <f aca="true">CRITBINOM($C882,MIN(0.75,Matchup!$C$39*$B882),RAND())</f>
        <v>4</v>
      </c>
      <c r="K882" s="0" t="n">
        <f aca="true">CRITBINOM(J882,Coefficients!$B$30,RAND())</f>
        <v>0</v>
      </c>
      <c r="L882" s="0" t="n">
        <f aca="true">CRITBINOM(K882,Coefficients!$B$31,RAND())</f>
        <v>0</v>
      </c>
      <c r="M882" s="0" t="n">
        <f aca="true">CRITBINOM(MAX(0,J882-K882),1-Coefficients!$B$32,RAND())</f>
        <v>1</v>
      </c>
      <c r="N882" s="0" t="n">
        <f aca="true">CRITBINOM(MAX(0,$C882-J882),MIN(0.6,Matchup!$C$40*SQRT($B882)/(1-MIN(0.75,Matchup!$C$39*$B882))),RAND())</f>
        <v>3</v>
      </c>
      <c r="O882" s="0" t="n">
        <f aca="false">6*J882+(J882-K882-M882)+2*L882+3*N882</f>
        <v>36</v>
      </c>
      <c r="P882" s="0" t="n">
        <f aca="true">RAND()</f>
        <v>0.267198187268419</v>
      </c>
      <c r="Q882" s="0" t="n">
        <f aca="true">RAND()</f>
        <v>0.604082274388016</v>
      </c>
      <c r="R882" s="0" t="n">
        <f aca="false">IF($I882&lt;&gt;$O882,0,IF(P882&lt;Matchup!$B$39,7,IF(P882&lt;Matchup!$B$39+Matchup!$B$40,3,0)))</f>
        <v>0</v>
      </c>
      <c r="S882" s="0" t="n">
        <f aca="false">IF($I882&lt;&gt;$O882,0,IF(Q882&lt;Matchup!$C$39,7,IF(Q882&lt;Matchup!$C$39+Matchup!$C$40,3,0)))</f>
        <v>0</v>
      </c>
      <c r="T882" s="0" t="n">
        <f aca="false">I882+R882</f>
        <v>37</v>
      </c>
      <c r="U882" s="0" t="n">
        <f aca="false">O882+S882</f>
        <v>36</v>
      </c>
      <c r="V882" s="0" t="n">
        <f aca="false">T882-U882</f>
        <v>1</v>
      </c>
      <c r="W882" s="0" t="n">
        <f aca="false">T882+U882</f>
        <v>73</v>
      </c>
    </row>
    <row r="883" customFormat="false" ht="15" hidden="false" customHeight="false" outlineLevel="0" collapsed="false">
      <c r="A883" s="0" t="n">
        <v>880</v>
      </c>
      <c r="B883" s="0" t="n">
        <f aca="true">NORMINV(RAND(),1,Coefficients!$B$22)</f>
        <v>0.970854165155455</v>
      </c>
      <c r="C883" s="0" t="n">
        <f aca="true">MEDIAN(8,16,ROUND(NORMINV(RAND(),Coefficients!$B$20,Coefficients!$B$21),0))</f>
        <v>9</v>
      </c>
      <c r="D883" s="0" t="n">
        <f aca="true">CRITBINOM($C883,MIN(0.75,Matchup!$B$39*$B883),RAND())</f>
        <v>3</v>
      </c>
      <c r="E883" s="0" t="n">
        <f aca="true">CRITBINOM(D883,Coefficients!$B$30,RAND())</f>
        <v>0</v>
      </c>
      <c r="F883" s="0" t="n">
        <f aca="true">CRITBINOM(E883,Coefficients!$B$31,RAND())</f>
        <v>0</v>
      </c>
      <c r="G883" s="0" t="n">
        <f aca="true">CRITBINOM(MAX(0,D883-E883),1-Coefficients!$B$32,RAND())</f>
        <v>0</v>
      </c>
      <c r="H883" s="0" t="n">
        <f aca="true">CRITBINOM(MAX(0,$C883-D883),MIN(0.6,Matchup!$B$40*SQRT($B883)/(1-MIN(0.75,Matchup!$B$39*$B883))),RAND())</f>
        <v>2</v>
      </c>
      <c r="I883" s="0" t="n">
        <f aca="false">6*D883+(D883-E883-G883)+2*F883+3*H883</f>
        <v>27</v>
      </c>
      <c r="J883" s="0" t="n">
        <f aca="true">CRITBINOM($C883,MIN(0.75,Matchup!$C$39*$B883),RAND())</f>
        <v>5</v>
      </c>
      <c r="K883" s="0" t="n">
        <f aca="true">CRITBINOM(J883,Coefficients!$B$30,RAND())</f>
        <v>0</v>
      </c>
      <c r="L883" s="0" t="n">
        <f aca="true">CRITBINOM(K883,Coefficients!$B$31,RAND())</f>
        <v>0</v>
      </c>
      <c r="M883" s="0" t="n">
        <f aca="true">CRITBINOM(MAX(0,J883-K883),1-Coefficients!$B$32,RAND())</f>
        <v>0</v>
      </c>
      <c r="N883" s="0" t="n">
        <f aca="true">CRITBINOM(MAX(0,$C883-J883),MIN(0.6,Matchup!$C$40*SQRT($B883)/(1-MIN(0.75,Matchup!$C$39*$B883))),RAND())</f>
        <v>1</v>
      </c>
      <c r="O883" s="0" t="n">
        <f aca="false">6*J883+(J883-K883-M883)+2*L883+3*N883</f>
        <v>38</v>
      </c>
      <c r="P883" s="0" t="n">
        <f aca="true">RAND()</f>
        <v>0.63687587186172</v>
      </c>
      <c r="Q883" s="0" t="n">
        <f aca="true">RAND()</f>
        <v>0.772091320198555</v>
      </c>
      <c r="R883" s="0" t="n">
        <f aca="false">IF($I883&lt;&gt;$O883,0,IF(P883&lt;Matchup!$B$39,7,IF(P883&lt;Matchup!$B$39+Matchup!$B$40,3,0)))</f>
        <v>0</v>
      </c>
      <c r="S883" s="0" t="n">
        <f aca="false">IF($I883&lt;&gt;$O883,0,IF(Q883&lt;Matchup!$C$39,7,IF(Q883&lt;Matchup!$C$39+Matchup!$C$40,3,0)))</f>
        <v>0</v>
      </c>
      <c r="T883" s="0" t="n">
        <f aca="false">I883+R883</f>
        <v>27</v>
      </c>
      <c r="U883" s="0" t="n">
        <f aca="false">O883+S883</f>
        <v>38</v>
      </c>
      <c r="V883" s="0" t="n">
        <f aca="false">T883-U883</f>
        <v>-11</v>
      </c>
      <c r="W883" s="0" t="n">
        <f aca="false">T883+U883</f>
        <v>65</v>
      </c>
    </row>
    <row r="884" customFormat="false" ht="15" hidden="false" customHeight="false" outlineLevel="0" collapsed="false">
      <c r="A884" s="0" t="n">
        <v>881</v>
      </c>
      <c r="B884" s="0" t="n">
        <f aca="true">NORMINV(RAND(),1,Coefficients!$B$22)</f>
        <v>0.986288308073925</v>
      </c>
      <c r="C884" s="0" t="n">
        <f aca="true">MEDIAN(8,16,ROUND(NORMINV(RAND(),Coefficients!$B$20,Coefficients!$B$21),0))</f>
        <v>10</v>
      </c>
      <c r="D884" s="0" t="n">
        <f aca="true">CRITBINOM($C884,MIN(0.75,Matchup!$B$39*$B884),RAND())</f>
        <v>3</v>
      </c>
      <c r="E884" s="0" t="n">
        <f aca="true">CRITBINOM(D884,Coefficients!$B$30,RAND())</f>
        <v>0</v>
      </c>
      <c r="F884" s="0" t="n">
        <f aca="true">CRITBINOM(E884,Coefficients!$B$31,RAND())</f>
        <v>0</v>
      </c>
      <c r="G884" s="0" t="n">
        <f aca="true">CRITBINOM(MAX(0,D884-E884),1-Coefficients!$B$32,RAND())</f>
        <v>0</v>
      </c>
      <c r="H884" s="0" t="n">
        <f aca="true">CRITBINOM(MAX(0,$C884-D884),MIN(0.6,Matchup!$B$40*SQRT($B884)/(1-MIN(0.75,Matchup!$B$39*$B884))),RAND())</f>
        <v>1</v>
      </c>
      <c r="I884" s="0" t="n">
        <f aca="false">6*D884+(D884-E884-G884)+2*F884+3*H884</f>
        <v>24</v>
      </c>
      <c r="J884" s="0" t="n">
        <f aca="true">CRITBINOM($C884,MIN(0.75,Matchup!$C$39*$B884),RAND())</f>
        <v>4</v>
      </c>
      <c r="K884" s="0" t="n">
        <f aca="true">CRITBINOM(J884,Coefficients!$B$30,RAND())</f>
        <v>1</v>
      </c>
      <c r="L884" s="0" t="n">
        <f aca="true">CRITBINOM(K884,Coefficients!$B$31,RAND())</f>
        <v>1</v>
      </c>
      <c r="M884" s="0" t="n">
        <f aca="true">CRITBINOM(MAX(0,J884-K884),1-Coefficients!$B$32,RAND())</f>
        <v>0</v>
      </c>
      <c r="N884" s="0" t="n">
        <f aca="true">CRITBINOM(MAX(0,$C884-J884),MIN(0.6,Matchup!$C$40*SQRT($B884)/(1-MIN(0.75,Matchup!$C$39*$B884))),RAND())</f>
        <v>0</v>
      </c>
      <c r="O884" s="0" t="n">
        <f aca="false">6*J884+(J884-K884-M884)+2*L884+3*N884</f>
        <v>29</v>
      </c>
      <c r="P884" s="0" t="n">
        <f aca="true">RAND()</f>
        <v>0.675505842085282</v>
      </c>
      <c r="Q884" s="0" t="n">
        <f aca="true">RAND()</f>
        <v>0.73816334828349</v>
      </c>
      <c r="R884" s="0" t="n">
        <f aca="false">IF($I884&lt;&gt;$O884,0,IF(P884&lt;Matchup!$B$39,7,IF(P884&lt;Matchup!$B$39+Matchup!$B$40,3,0)))</f>
        <v>0</v>
      </c>
      <c r="S884" s="0" t="n">
        <f aca="false">IF($I884&lt;&gt;$O884,0,IF(Q884&lt;Matchup!$C$39,7,IF(Q884&lt;Matchup!$C$39+Matchup!$C$40,3,0)))</f>
        <v>0</v>
      </c>
      <c r="T884" s="0" t="n">
        <f aca="false">I884+R884</f>
        <v>24</v>
      </c>
      <c r="U884" s="0" t="n">
        <f aca="false">O884+S884</f>
        <v>29</v>
      </c>
      <c r="V884" s="0" t="n">
        <f aca="false">T884-U884</f>
        <v>-5</v>
      </c>
      <c r="W884" s="0" t="n">
        <f aca="false">T884+U884</f>
        <v>53</v>
      </c>
    </row>
    <row r="885" customFormat="false" ht="15" hidden="false" customHeight="false" outlineLevel="0" collapsed="false">
      <c r="A885" s="0" t="n">
        <v>882</v>
      </c>
      <c r="B885" s="0" t="n">
        <f aca="true">NORMINV(RAND(),1,Coefficients!$B$22)</f>
        <v>0.883162101605628</v>
      </c>
      <c r="C885" s="0" t="n">
        <f aca="true">MEDIAN(8,16,ROUND(NORMINV(RAND(),Coefficients!$B$20,Coefficients!$B$21),0))</f>
        <v>10</v>
      </c>
      <c r="D885" s="0" t="n">
        <f aca="true">CRITBINOM($C885,MIN(0.75,Matchup!$B$39*$B885),RAND())</f>
        <v>1</v>
      </c>
      <c r="E885" s="0" t="n">
        <f aca="true">CRITBINOM(D885,Coefficients!$B$30,RAND())</f>
        <v>0</v>
      </c>
      <c r="F885" s="0" t="n">
        <f aca="true">CRITBINOM(E885,Coefficients!$B$31,RAND())</f>
        <v>0</v>
      </c>
      <c r="G885" s="0" t="n">
        <f aca="true">CRITBINOM(MAX(0,D885-E885),1-Coefficients!$B$32,RAND())</f>
        <v>0</v>
      </c>
      <c r="H885" s="0" t="n">
        <f aca="true">CRITBINOM(MAX(0,$C885-D885),MIN(0.6,Matchup!$B$40*SQRT($B885)/(1-MIN(0.75,Matchup!$B$39*$B885))),RAND())</f>
        <v>2</v>
      </c>
      <c r="I885" s="0" t="n">
        <f aca="false">6*D885+(D885-E885-G885)+2*F885+3*H885</f>
        <v>13</v>
      </c>
      <c r="J885" s="0" t="n">
        <f aca="true">CRITBINOM($C885,MIN(0.75,Matchup!$C$39*$B885),RAND())</f>
        <v>4</v>
      </c>
      <c r="K885" s="0" t="n">
        <f aca="true">CRITBINOM(J885,Coefficients!$B$30,RAND())</f>
        <v>0</v>
      </c>
      <c r="L885" s="0" t="n">
        <f aca="true">CRITBINOM(K885,Coefficients!$B$31,RAND())</f>
        <v>0</v>
      </c>
      <c r="M885" s="0" t="n">
        <f aca="true">CRITBINOM(MAX(0,J885-K885),1-Coefficients!$B$32,RAND())</f>
        <v>0</v>
      </c>
      <c r="N885" s="0" t="n">
        <f aca="true">CRITBINOM(MAX(0,$C885-J885),MIN(0.6,Matchup!$C$40*SQRT($B885)/(1-MIN(0.75,Matchup!$C$39*$B885))),RAND())</f>
        <v>1</v>
      </c>
      <c r="O885" s="0" t="n">
        <f aca="false">6*J885+(J885-K885-M885)+2*L885+3*N885</f>
        <v>31</v>
      </c>
      <c r="P885" s="0" t="n">
        <f aca="true">RAND()</f>
        <v>0.534756491285803</v>
      </c>
      <c r="Q885" s="0" t="n">
        <f aca="true">RAND()</f>
        <v>0.744257535636786</v>
      </c>
      <c r="R885" s="0" t="n">
        <f aca="false">IF($I885&lt;&gt;$O885,0,IF(P885&lt;Matchup!$B$39,7,IF(P885&lt;Matchup!$B$39+Matchup!$B$40,3,0)))</f>
        <v>0</v>
      </c>
      <c r="S885" s="0" t="n">
        <f aca="false">IF($I885&lt;&gt;$O885,0,IF(Q885&lt;Matchup!$C$39,7,IF(Q885&lt;Matchup!$C$39+Matchup!$C$40,3,0)))</f>
        <v>0</v>
      </c>
      <c r="T885" s="0" t="n">
        <f aca="false">I885+R885</f>
        <v>13</v>
      </c>
      <c r="U885" s="0" t="n">
        <f aca="false">O885+S885</f>
        <v>31</v>
      </c>
      <c r="V885" s="0" t="n">
        <f aca="false">T885-U885</f>
        <v>-18</v>
      </c>
      <c r="W885" s="0" t="n">
        <f aca="false">T885+U885</f>
        <v>44</v>
      </c>
    </row>
    <row r="886" customFormat="false" ht="15" hidden="false" customHeight="false" outlineLevel="0" collapsed="false">
      <c r="A886" s="0" t="n">
        <v>883</v>
      </c>
      <c r="B886" s="0" t="n">
        <f aca="true">NORMINV(RAND(),1,Coefficients!$B$22)</f>
        <v>1.06247756954287</v>
      </c>
      <c r="C886" s="0" t="n">
        <f aca="true">MEDIAN(8,16,ROUND(NORMINV(RAND(),Coefficients!$B$20,Coefficients!$B$21),0))</f>
        <v>13</v>
      </c>
      <c r="D886" s="0" t="n">
        <f aca="true">CRITBINOM($C886,MIN(0.75,Matchup!$B$39*$B886),RAND())</f>
        <v>4</v>
      </c>
      <c r="E886" s="0" t="n">
        <f aca="true">CRITBINOM(D886,Coefficients!$B$30,RAND())</f>
        <v>0</v>
      </c>
      <c r="F886" s="0" t="n">
        <f aca="true">CRITBINOM(E886,Coefficients!$B$31,RAND())</f>
        <v>0</v>
      </c>
      <c r="G886" s="0" t="n">
        <f aca="true">CRITBINOM(MAX(0,D886-E886),1-Coefficients!$B$32,RAND())</f>
        <v>0</v>
      </c>
      <c r="H886" s="0" t="n">
        <f aca="true">CRITBINOM(MAX(0,$C886-D886),MIN(0.6,Matchup!$B$40*SQRT($B886)/(1-MIN(0.75,Matchup!$B$39*$B886))),RAND())</f>
        <v>4</v>
      </c>
      <c r="I886" s="0" t="n">
        <f aca="false">6*D886+(D886-E886-G886)+2*F886+3*H886</f>
        <v>40</v>
      </c>
      <c r="J886" s="0" t="n">
        <f aca="true">CRITBINOM($C886,MIN(0.75,Matchup!$C$39*$B886),RAND())</f>
        <v>3</v>
      </c>
      <c r="K886" s="0" t="n">
        <f aca="true">CRITBINOM(J886,Coefficients!$B$30,RAND())</f>
        <v>0</v>
      </c>
      <c r="L886" s="0" t="n">
        <f aca="true">CRITBINOM(K886,Coefficients!$B$31,RAND())</f>
        <v>0</v>
      </c>
      <c r="M886" s="0" t="n">
        <f aca="true">CRITBINOM(MAX(0,J886-K886),1-Coefficients!$B$32,RAND())</f>
        <v>0</v>
      </c>
      <c r="N886" s="0" t="n">
        <f aca="true">CRITBINOM(MAX(0,$C886-J886),MIN(0.6,Matchup!$C$40*SQRT($B886)/(1-MIN(0.75,Matchup!$C$39*$B886))),RAND())</f>
        <v>1</v>
      </c>
      <c r="O886" s="0" t="n">
        <f aca="false">6*J886+(J886-K886-M886)+2*L886+3*N886</f>
        <v>24</v>
      </c>
      <c r="P886" s="0" t="n">
        <f aca="true">RAND()</f>
        <v>0.0137026136509209</v>
      </c>
      <c r="Q886" s="0" t="n">
        <f aca="true">RAND()</f>
        <v>0.0754253828358192</v>
      </c>
      <c r="R886" s="0" t="n">
        <f aca="false">IF($I886&lt;&gt;$O886,0,IF(P886&lt;Matchup!$B$39,7,IF(P886&lt;Matchup!$B$39+Matchup!$B$40,3,0)))</f>
        <v>0</v>
      </c>
      <c r="S886" s="0" t="n">
        <f aca="false">IF($I886&lt;&gt;$O886,0,IF(Q886&lt;Matchup!$C$39,7,IF(Q886&lt;Matchup!$C$39+Matchup!$C$40,3,0)))</f>
        <v>0</v>
      </c>
      <c r="T886" s="0" t="n">
        <f aca="false">I886+R886</f>
        <v>40</v>
      </c>
      <c r="U886" s="0" t="n">
        <f aca="false">O886+S886</f>
        <v>24</v>
      </c>
      <c r="V886" s="0" t="n">
        <f aca="false">T886-U886</f>
        <v>16</v>
      </c>
      <c r="W886" s="0" t="n">
        <f aca="false">T886+U886</f>
        <v>64</v>
      </c>
    </row>
    <row r="887" customFormat="false" ht="15" hidden="false" customHeight="false" outlineLevel="0" collapsed="false">
      <c r="A887" s="0" t="n">
        <v>884</v>
      </c>
      <c r="B887" s="0" t="n">
        <f aca="true">NORMINV(RAND(),1,Coefficients!$B$22)</f>
        <v>0.997333190913977</v>
      </c>
      <c r="C887" s="0" t="n">
        <f aca="true">MEDIAN(8,16,ROUND(NORMINV(RAND(),Coefficients!$B$20,Coefficients!$B$21),0))</f>
        <v>9</v>
      </c>
      <c r="D887" s="0" t="n">
        <f aca="true">CRITBINOM($C887,MIN(0.75,Matchup!$B$39*$B887),RAND())</f>
        <v>1</v>
      </c>
      <c r="E887" s="0" t="n">
        <f aca="true">CRITBINOM(D887,Coefficients!$B$30,RAND())</f>
        <v>0</v>
      </c>
      <c r="F887" s="0" t="n">
        <f aca="true">CRITBINOM(E887,Coefficients!$B$31,RAND())</f>
        <v>0</v>
      </c>
      <c r="G887" s="0" t="n">
        <f aca="true">CRITBINOM(MAX(0,D887-E887),1-Coefficients!$B$32,RAND())</f>
        <v>0</v>
      </c>
      <c r="H887" s="0" t="n">
        <f aca="true">CRITBINOM(MAX(0,$C887-D887),MIN(0.6,Matchup!$B$40*SQRT($B887)/(1-MIN(0.75,Matchup!$B$39*$B887))),RAND())</f>
        <v>0</v>
      </c>
      <c r="I887" s="0" t="n">
        <f aca="false">6*D887+(D887-E887-G887)+2*F887+3*H887</f>
        <v>7</v>
      </c>
      <c r="J887" s="0" t="n">
        <f aca="true">CRITBINOM($C887,MIN(0.75,Matchup!$C$39*$B887),RAND())</f>
        <v>3</v>
      </c>
      <c r="K887" s="0" t="n">
        <f aca="true">CRITBINOM(J887,Coefficients!$B$30,RAND())</f>
        <v>0</v>
      </c>
      <c r="L887" s="0" t="n">
        <f aca="true">CRITBINOM(K887,Coefficients!$B$31,RAND())</f>
        <v>0</v>
      </c>
      <c r="M887" s="0" t="n">
        <f aca="true">CRITBINOM(MAX(0,J887-K887),1-Coefficients!$B$32,RAND())</f>
        <v>0</v>
      </c>
      <c r="N887" s="0" t="n">
        <f aca="true">CRITBINOM(MAX(0,$C887-J887),MIN(0.6,Matchup!$C$40*SQRT($B887)/(1-MIN(0.75,Matchup!$C$39*$B887))),RAND())</f>
        <v>1</v>
      </c>
      <c r="O887" s="0" t="n">
        <f aca="false">6*J887+(J887-K887-M887)+2*L887+3*N887</f>
        <v>24</v>
      </c>
      <c r="P887" s="0" t="n">
        <f aca="true">RAND()</f>
        <v>0.151072171853148</v>
      </c>
      <c r="Q887" s="0" t="n">
        <f aca="true">RAND()</f>
        <v>0.12688407209245</v>
      </c>
      <c r="R887" s="0" t="n">
        <f aca="false">IF($I887&lt;&gt;$O887,0,IF(P887&lt;Matchup!$B$39,7,IF(P887&lt;Matchup!$B$39+Matchup!$B$40,3,0)))</f>
        <v>0</v>
      </c>
      <c r="S887" s="0" t="n">
        <f aca="false">IF($I887&lt;&gt;$O887,0,IF(Q887&lt;Matchup!$C$39,7,IF(Q887&lt;Matchup!$C$39+Matchup!$C$40,3,0)))</f>
        <v>0</v>
      </c>
      <c r="T887" s="0" t="n">
        <f aca="false">I887+R887</f>
        <v>7</v>
      </c>
      <c r="U887" s="0" t="n">
        <f aca="false">O887+S887</f>
        <v>24</v>
      </c>
      <c r="V887" s="0" t="n">
        <f aca="false">T887-U887</f>
        <v>-17</v>
      </c>
      <c r="W887" s="0" t="n">
        <f aca="false">T887+U887</f>
        <v>31</v>
      </c>
    </row>
    <row r="888" customFormat="false" ht="15" hidden="false" customHeight="false" outlineLevel="0" collapsed="false">
      <c r="A888" s="0" t="n">
        <v>885</v>
      </c>
      <c r="B888" s="0" t="n">
        <f aca="true">NORMINV(RAND(),1,Coefficients!$B$22)</f>
        <v>1.07528808528559</v>
      </c>
      <c r="C888" s="0" t="n">
        <f aca="true">MEDIAN(8,16,ROUND(NORMINV(RAND(),Coefficients!$B$20,Coefficients!$B$21),0))</f>
        <v>13</v>
      </c>
      <c r="D888" s="0" t="n">
        <f aca="true">CRITBINOM($C888,MIN(0.75,Matchup!$B$39*$B888),RAND())</f>
        <v>6</v>
      </c>
      <c r="E888" s="0" t="n">
        <f aca="true">CRITBINOM(D888,Coefficients!$B$30,RAND())</f>
        <v>2</v>
      </c>
      <c r="F888" s="0" t="n">
        <f aca="true">CRITBINOM(E888,Coefficients!$B$31,RAND())</f>
        <v>1</v>
      </c>
      <c r="G888" s="0" t="n">
        <f aca="true">CRITBINOM(MAX(0,D888-E888),1-Coefficients!$B$32,RAND())</f>
        <v>0</v>
      </c>
      <c r="H888" s="0" t="n">
        <f aca="true">CRITBINOM(MAX(0,$C888-D888),MIN(0.6,Matchup!$B$40*SQRT($B888)/(1-MIN(0.75,Matchup!$B$39*$B888))),RAND())</f>
        <v>1</v>
      </c>
      <c r="I888" s="0" t="n">
        <f aca="false">6*D888+(D888-E888-G888)+2*F888+3*H888</f>
        <v>45</v>
      </c>
      <c r="J888" s="0" t="n">
        <f aca="true">CRITBINOM($C888,MIN(0.75,Matchup!$C$39*$B888),RAND())</f>
        <v>3</v>
      </c>
      <c r="K888" s="0" t="n">
        <f aca="true">CRITBINOM(J888,Coefficients!$B$30,RAND())</f>
        <v>1</v>
      </c>
      <c r="L888" s="0" t="n">
        <f aca="true">CRITBINOM(K888,Coefficients!$B$31,RAND())</f>
        <v>0</v>
      </c>
      <c r="M888" s="0" t="n">
        <f aca="true">CRITBINOM(MAX(0,J888-K888),1-Coefficients!$B$32,RAND())</f>
        <v>0</v>
      </c>
      <c r="N888" s="0" t="n">
        <f aca="true">CRITBINOM(MAX(0,$C888-J888),MIN(0.6,Matchup!$C$40*SQRT($B888)/(1-MIN(0.75,Matchup!$C$39*$B888))),RAND())</f>
        <v>2</v>
      </c>
      <c r="O888" s="0" t="n">
        <f aca="false">6*J888+(J888-K888-M888)+2*L888+3*N888</f>
        <v>26</v>
      </c>
      <c r="P888" s="0" t="n">
        <f aca="true">RAND()</f>
        <v>0.918876049508167</v>
      </c>
      <c r="Q888" s="0" t="n">
        <f aca="true">RAND()</f>
        <v>0.173057389640583</v>
      </c>
      <c r="R888" s="0" t="n">
        <f aca="false">IF($I888&lt;&gt;$O888,0,IF(P888&lt;Matchup!$B$39,7,IF(P888&lt;Matchup!$B$39+Matchup!$B$40,3,0)))</f>
        <v>0</v>
      </c>
      <c r="S888" s="0" t="n">
        <f aca="false">IF($I888&lt;&gt;$O888,0,IF(Q888&lt;Matchup!$C$39,7,IF(Q888&lt;Matchup!$C$39+Matchup!$C$40,3,0)))</f>
        <v>0</v>
      </c>
      <c r="T888" s="0" t="n">
        <f aca="false">I888+R888</f>
        <v>45</v>
      </c>
      <c r="U888" s="0" t="n">
        <f aca="false">O888+S888</f>
        <v>26</v>
      </c>
      <c r="V888" s="0" t="n">
        <f aca="false">T888-U888</f>
        <v>19</v>
      </c>
      <c r="W888" s="0" t="n">
        <f aca="false">T888+U888</f>
        <v>71</v>
      </c>
    </row>
    <row r="889" customFormat="false" ht="15" hidden="false" customHeight="false" outlineLevel="0" collapsed="false">
      <c r="A889" s="0" t="n">
        <v>886</v>
      </c>
      <c r="B889" s="0" t="n">
        <f aca="true">NORMINV(RAND(),1,Coefficients!$B$22)</f>
        <v>1.10184542177652</v>
      </c>
      <c r="C889" s="0" t="n">
        <f aca="true">MEDIAN(8,16,ROUND(NORMINV(RAND(),Coefficients!$B$20,Coefficients!$B$21),0))</f>
        <v>11</v>
      </c>
      <c r="D889" s="0" t="n">
        <f aca="true">CRITBINOM($C889,MIN(0.75,Matchup!$B$39*$B889),RAND())</f>
        <v>3</v>
      </c>
      <c r="E889" s="0" t="n">
        <f aca="true">CRITBINOM(D889,Coefficients!$B$30,RAND())</f>
        <v>1</v>
      </c>
      <c r="F889" s="0" t="n">
        <f aca="true">CRITBINOM(E889,Coefficients!$B$31,RAND())</f>
        <v>1</v>
      </c>
      <c r="G889" s="0" t="n">
        <f aca="true">CRITBINOM(MAX(0,D889-E889),1-Coefficients!$B$32,RAND())</f>
        <v>0</v>
      </c>
      <c r="H889" s="0" t="n">
        <f aca="true">CRITBINOM(MAX(0,$C889-D889),MIN(0.6,Matchup!$B$40*SQRT($B889)/(1-MIN(0.75,Matchup!$B$39*$B889))),RAND())</f>
        <v>2</v>
      </c>
      <c r="I889" s="0" t="n">
        <f aca="false">6*D889+(D889-E889-G889)+2*F889+3*H889</f>
        <v>28</v>
      </c>
      <c r="J889" s="0" t="n">
        <f aca="true">CRITBINOM($C889,MIN(0.75,Matchup!$C$39*$B889),RAND())</f>
        <v>3</v>
      </c>
      <c r="K889" s="0" t="n">
        <f aca="true">CRITBINOM(J889,Coefficients!$B$30,RAND())</f>
        <v>0</v>
      </c>
      <c r="L889" s="0" t="n">
        <f aca="true">CRITBINOM(K889,Coefficients!$B$31,RAND())</f>
        <v>0</v>
      </c>
      <c r="M889" s="0" t="n">
        <f aca="true">CRITBINOM(MAX(0,J889-K889),1-Coefficients!$B$32,RAND())</f>
        <v>0</v>
      </c>
      <c r="N889" s="0" t="n">
        <f aca="true">CRITBINOM(MAX(0,$C889-J889),MIN(0.6,Matchup!$C$40*SQRT($B889)/(1-MIN(0.75,Matchup!$C$39*$B889))),RAND())</f>
        <v>1</v>
      </c>
      <c r="O889" s="0" t="n">
        <f aca="false">6*J889+(J889-K889-M889)+2*L889+3*N889</f>
        <v>24</v>
      </c>
      <c r="P889" s="0" t="n">
        <f aca="true">RAND()</f>
        <v>0.90843261540005</v>
      </c>
      <c r="Q889" s="0" t="n">
        <f aca="true">RAND()</f>
        <v>0.181193787254391</v>
      </c>
      <c r="R889" s="0" t="n">
        <f aca="false">IF($I889&lt;&gt;$O889,0,IF(P889&lt;Matchup!$B$39,7,IF(P889&lt;Matchup!$B$39+Matchup!$B$40,3,0)))</f>
        <v>0</v>
      </c>
      <c r="S889" s="0" t="n">
        <f aca="false">IF($I889&lt;&gt;$O889,0,IF(Q889&lt;Matchup!$C$39,7,IF(Q889&lt;Matchup!$C$39+Matchup!$C$40,3,0)))</f>
        <v>0</v>
      </c>
      <c r="T889" s="0" t="n">
        <f aca="false">I889+R889</f>
        <v>28</v>
      </c>
      <c r="U889" s="0" t="n">
        <f aca="false">O889+S889</f>
        <v>24</v>
      </c>
      <c r="V889" s="0" t="n">
        <f aca="false">T889-U889</f>
        <v>4</v>
      </c>
      <c r="W889" s="0" t="n">
        <f aca="false">T889+U889</f>
        <v>52</v>
      </c>
    </row>
    <row r="890" customFormat="false" ht="15" hidden="false" customHeight="false" outlineLevel="0" collapsed="false">
      <c r="A890" s="0" t="n">
        <v>887</v>
      </c>
      <c r="B890" s="0" t="n">
        <f aca="true">NORMINV(RAND(),1,Coefficients!$B$22)</f>
        <v>0.99429986694068</v>
      </c>
      <c r="C890" s="0" t="n">
        <f aca="true">MEDIAN(8,16,ROUND(NORMINV(RAND(),Coefficients!$B$20,Coefficients!$B$21),0))</f>
        <v>12</v>
      </c>
      <c r="D890" s="0" t="n">
        <f aca="true">CRITBINOM($C890,MIN(0.75,Matchup!$B$39*$B890),RAND())</f>
        <v>4</v>
      </c>
      <c r="E890" s="0" t="n">
        <f aca="true">CRITBINOM(D890,Coefficients!$B$30,RAND())</f>
        <v>0</v>
      </c>
      <c r="F890" s="0" t="n">
        <f aca="true">CRITBINOM(E890,Coefficients!$B$31,RAND())</f>
        <v>0</v>
      </c>
      <c r="G890" s="0" t="n">
        <f aca="true">CRITBINOM(MAX(0,D890-E890),1-Coefficients!$B$32,RAND())</f>
        <v>0</v>
      </c>
      <c r="H890" s="0" t="n">
        <f aca="true">CRITBINOM(MAX(0,$C890-D890),MIN(0.6,Matchup!$B$40*SQRT($B890)/(1-MIN(0.75,Matchup!$B$39*$B890))),RAND())</f>
        <v>1</v>
      </c>
      <c r="I890" s="0" t="n">
        <f aca="false">6*D890+(D890-E890-G890)+2*F890+3*H890</f>
        <v>31</v>
      </c>
      <c r="J890" s="0" t="n">
        <f aca="true">CRITBINOM($C890,MIN(0.75,Matchup!$C$39*$B890),RAND())</f>
        <v>3</v>
      </c>
      <c r="K890" s="0" t="n">
        <f aca="true">CRITBINOM(J890,Coefficients!$B$30,RAND())</f>
        <v>0</v>
      </c>
      <c r="L890" s="0" t="n">
        <f aca="true">CRITBINOM(K890,Coefficients!$B$31,RAND())</f>
        <v>0</v>
      </c>
      <c r="M890" s="0" t="n">
        <f aca="true">CRITBINOM(MAX(0,J890-K890),1-Coefficients!$B$32,RAND())</f>
        <v>0</v>
      </c>
      <c r="N890" s="0" t="n">
        <f aca="true">CRITBINOM(MAX(0,$C890-J890),MIN(0.6,Matchup!$C$40*SQRT($B890)/(1-MIN(0.75,Matchup!$C$39*$B890))),RAND())</f>
        <v>1</v>
      </c>
      <c r="O890" s="0" t="n">
        <f aca="false">6*J890+(J890-K890-M890)+2*L890+3*N890</f>
        <v>24</v>
      </c>
      <c r="P890" s="0" t="n">
        <f aca="true">RAND()</f>
        <v>0.448082982387767</v>
      </c>
      <c r="Q890" s="0" t="n">
        <f aca="true">RAND()</f>
        <v>0.490234275108006</v>
      </c>
      <c r="R890" s="0" t="n">
        <f aca="false">IF($I890&lt;&gt;$O890,0,IF(P890&lt;Matchup!$B$39,7,IF(P890&lt;Matchup!$B$39+Matchup!$B$40,3,0)))</f>
        <v>0</v>
      </c>
      <c r="S890" s="0" t="n">
        <f aca="false">IF($I890&lt;&gt;$O890,0,IF(Q890&lt;Matchup!$C$39,7,IF(Q890&lt;Matchup!$C$39+Matchup!$C$40,3,0)))</f>
        <v>0</v>
      </c>
      <c r="T890" s="0" t="n">
        <f aca="false">I890+R890</f>
        <v>31</v>
      </c>
      <c r="U890" s="0" t="n">
        <f aca="false">O890+S890</f>
        <v>24</v>
      </c>
      <c r="V890" s="0" t="n">
        <f aca="false">T890-U890</f>
        <v>7</v>
      </c>
      <c r="W890" s="0" t="n">
        <f aca="false">T890+U890</f>
        <v>55</v>
      </c>
    </row>
    <row r="891" customFormat="false" ht="15" hidden="false" customHeight="false" outlineLevel="0" collapsed="false">
      <c r="A891" s="0" t="n">
        <v>888</v>
      </c>
      <c r="B891" s="0" t="n">
        <f aca="true">NORMINV(RAND(),1,Coefficients!$B$22)</f>
        <v>1.06887788871869</v>
      </c>
      <c r="C891" s="0" t="n">
        <f aca="true">MEDIAN(8,16,ROUND(NORMINV(RAND(),Coefficients!$B$20,Coefficients!$B$21),0))</f>
        <v>11</v>
      </c>
      <c r="D891" s="0" t="n">
        <f aca="true">CRITBINOM($C891,MIN(0.75,Matchup!$B$39*$B891),RAND())</f>
        <v>3</v>
      </c>
      <c r="E891" s="0" t="n">
        <f aca="true">CRITBINOM(D891,Coefficients!$B$30,RAND())</f>
        <v>0</v>
      </c>
      <c r="F891" s="0" t="n">
        <f aca="true">CRITBINOM(E891,Coefficients!$B$31,RAND())</f>
        <v>0</v>
      </c>
      <c r="G891" s="0" t="n">
        <f aca="true">CRITBINOM(MAX(0,D891-E891),1-Coefficients!$B$32,RAND())</f>
        <v>0</v>
      </c>
      <c r="H891" s="0" t="n">
        <f aca="true">CRITBINOM(MAX(0,$C891-D891),MIN(0.6,Matchup!$B$40*SQRT($B891)/(1-MIN(0.75,Matchup!$B$39*$B891))),RAND())</f>
        <v>1</v>
      </c>
      <c r="I891" s="0" t="n">
        <f aca="false">6*D891+(D891-E891-G891)+2*F891+3*H891</f>
        <v>24</v>
      </c>
      <c r="J891" s="0" t="n">
        <f aca="true">CRITBINOM($C891,MIN(0.75,Matchup!$C$39*$B891),RAND())</f>
        <v>4</v>
      </c>
      <c r="K891" s="0" t="n">
        <f aca="true">CRITBINOM(J891,Coefficients!$B$30,RAND())</f>
        <v>0</v>
      </c>
      <c r="L891" s="0" t="n">
        <f aca="true">CRITBINOM(K891,Coefficients!$B$31,RAND())</f>
        <v>0</v>
      </c>
      <c r="M891" s="0" t="n">
        <f aca="true">CRITBINOM(MAX(0,J891-K891),1-Coefficients!$B$32,RAND())</f>
        <v>0</v>
      </c>
      <c r="N891" s="0" t="n">
        <f aca="true">CRITBINOM(MAX(0,$C891-J891),MIN(0.6,Matchup!$C$40*SQRT($B891)/(1-MIN(0.75,Matchup!$C$39*$B891))),RAND())</f>
        <v>1</v>
      </c>
      <c r="O891" s="0" t="n">
        <f aca="false">6*J891+(J891-K891-M891)+2*L891+3*N891</f>
        <v>31</v>
      </c>
      <c r="P891" s="0" t="n">
        <f aca="true">RAND()</f>
        <v>0.85044724731906</v>
      </c>
      <c r="Q891" s="0" t="n">
        <f aca="true">RAND()</f>
        <v>0.172166523624936</v>
      </c>
      <c r="R891" s="0" t="n">
        <f aca="false">IF($I891&lt;&gt;$O891,0,IF(P891&lt;Matchup!$B$39,7,IF(P891&lt;Matchup!$B$39+Matchup!$B$40,3,0)))</f>
        <v>0</v>
      </c>
      <c r="S891" s="0" t="n">
        <f aca="false">IF($I891&lt;&gt;$O891,0,IF(Q891&lt;Matchup!$C$39,7,IF(Q891&lt;Matchup!$C$39+Matchup!$C$40,3,0)))</f>
        <v>0</v>
      </c>
      <c r="T891" s="0" t="n">
        <f aca="false">I891+R891</f>
        <v>24</v>
      </c>
      <c r="U891" s="0" t="n">
        <f aca="false">O891+S891</f>
        <v>31</v>
      </c>
      <c r="V891" s="0" t="n">
        <f aca="false">T891-U891</f>
        <v>-7</v>
      </c>
      <c r="W891" s="0" t="n">
        <f aca="false">T891+U891</f>
        <v>55</v>
      </c>
    </row>
    <row r="892" customFormat="false" ht="15" hidden="false" customHeight="false" outlineLevel="0" collapsed="false">
      <c r="A892" s="0" t="n">
        <v>889</v>
      </c>
      <c r="B892" s="0" t="n">
        <f aca="true">NORMINV(RAND(),1,Coefficients!$B$22)</f>
        <v>1.09280056610947</v>
      </c>
      <c r="C892" s="0" t="n">
        <f aca="true">MEDIAN(8,16,ROUND(NORMINV(RAND(),Coefficients!$B$20,Coefficients!$B$21),0))</f>
        <v>11</v>
      </c>
      <c r="D892" s="0" t="n">
        <f aca="true">CRITBINOM($C892,MIN(0.75,Matchup!$B$39*$B892),RAND())</f>
        <v>4</v>
      </c>
      <c r="E892" s="0" t="n">
        <f aca="true">CRITBINOM(D892,Coefficients!$B$30,RAND())</f>
        <v>1</v>
      </c>
      <c r="F892" s="0" t="n">
        <f aca="true">CRITBINOM(E892,Coefficients!$B$31,RAND())</f>
        <v>1</v>
      </c>
      <c r="G892" s="0" t="n">
        <f aca="true">CRITBINOM(MAX(0,D892-E892),1-Coefficients!$B$32,RAND())</f>
        <v>0</v>
      </c>
      <c r="H892" s="0" t="n">
        <f aca="true">CRITBINOM(MAX(0,$C892-D892),MIN(0.6,Matchup!$B$40*SQRT($B892)/(1-MIN(0.75,Matchup!$B$39*$B892))),RAND())</f>
        <v>0</v>
      </c>
      <c r="I892" s="0" t="n">
        <f aca="false">6*D892+(D892-E892-G892)+2*F892+3*H892</f>
        <v>29</v>
      </c>
      <c r="J892" s="0" t="n">
        <f aca="true">CRITBINOM($C892,MIN(0.75,Matchup!$C$39*$B892),RAND())</f>
        <v>0</v>
      </c>
      <c r="K892" s="0" t="n">
        <f aca="true">CRITBINOM(J892,Coefficients!$B$30,RAND())</f>
        <v>0</v>
      </c>
      <c r="L892" s="0" t="n">
        <f aca="true">CRITBINOM(K892,Coefficients!$B$31,RAND())</f>
        <v>0</v>
      </c>
      <c r="M892" s="0" t="n">
        <f aca="true">CRITBINOM(MAX(0,J892-K892),1-Coefficients!$B$32,RAND())</f>
        <v>0</v>
      </c>
      <c r="N892" s="0" t="n">
        <f aca="true">CRITBINOM(MAX(0,$C892-J892),MIN(0.6,Matchup!$C$40*SQRT($B892)/(1-MIN(0.75,Matchup!$C$39*$B892))),RAND())</f>
        <v>2</v>
      </c>
      <c r="O892" s="0" t="n">
        <f aca="false">6*J892+(J892-K892-M892)+2*L892+3*N892</f>
        <v>6</v>
      </c>
      <c r="P892" s="0" t="n">
        <f aca="true">RAND()</f>
        <v>0.345697510157549</v>
      </c>
      <c r="Q892" s="0" t="n">
        <f aca="true">RAND()</f>
        <v>0.468506744294998</v>
      </c>
      <c r="R892" s="0" t="n">
        <f aca="false">IF($I892&lt;&gt;$O892,0,IF(P892&lt;Matchup!$B$39,7,IF(P892&lt;Matchup!$B$39+Matchup!$B$40,3,0)))</f>
        <v>0</v>
      </c>
      <c r="S892" s="0" t="n">
        <f aca="false">IF($I892&lt;&gt;$O892,0,IF(Q892&lt;Matchup!$C$39,7,IF(Q892&lt;Matchup!$C$39+Matchup!$C$40,3,0)))</f>
        <v>0</v>
      </c>
      <c r="T892" s="0" t="n">
        <f aca="false">I892+R892</f>
        <v>29</v>
      </c>
      <c r="U892" s="0" t="n">
        <f aca="false">O892+S892</f>
        <v>6</v>
      </c>
      <c r="V892" s="0" t="n">
        <f aca="false">T892-U892</f>
        <v>23</v>
      </c>
      <c r="W892" s="0" t="n">
        <f aca="false">T892+U892</f>
        <v>35</v>
      </c>
    </row>
    <row r="893" customFormat="false" ht="15" hidden="false" customHeight="false" outlineLevel="0" collapsed="false">
      <c r="A893" s="0" t="n">
        <v>890</v>
      </c>
      <c r="B893" s="0" t="n">
        <f aca="true">NORMINV(RAND(),1,Coefficients!$B$22)</f>
        <v>0.972501967443748</v>
      </c>
      <c r="C893" s="0" t="n">
        <f aca="true">MEDIAN(8,16,ROUND(NORMINV(RAND(),Coefficients!$B$20,Coefficients!$B$21),0))</f>
        <v>12</v>
      </c>
      <c r="D893" s="0" t="n">
        <f aca="true">CRITBINOM($C893,MIN(0.75,Matchup!$B$39*$B893),RAND())</f>
        <v>3</v>
      </c>
      <c r="E893" s="0" t="n">
        <f aca="true">CRITBINOM(D893,Coefficients!$B$30,RAND())</f>
        <v>1</v>
      </c>
      <c r="F893" s="0" t="n">
        <f aca="true">CRITBINOM(E893,Coefficients!$B$31,RAND())</f>
        <v>1</v>
      </c>
      <c r="G893" s="0" t="n">
        <f aca="true">CRITBINOM(MAX(0,D893-E893),1-Coefficients!$B$32,RAND())</f>
        <v>0</v>
      </c>
      <c r="H893" s="0" t="n">
        <f aca="true">CRITBINOM(MAX(0,$C893-D893),MIN(0.6,Matchup!$B$40*SQRT($B893)/(1-MIN(0.75,Matchup!$B$39*$B893))),RAND())</f>
        <v>0</v>
      </c>
      <c r="I893" s="0" t="n">
        <f aca="false">6*D893+(D893-E893-G893)+2*F893+3*H893</f>
        <v>22</v>
      </c>
      <c r="J893" s="0" t="n">
        <f aca="true">CRITBINOM($C893,MIN(0.75,Matchup!$C$39*$B893),RAND())</f>
        <v>5</v>
      </c>
      <c r="K893" s="0" t="n">
        <f aca="true">CRITBINOM(J893,Coefficients!$B$30,RAND())</f>
        <v>0</v>
      </c>
      <c r="L893" s="0" t="n">
        <f aca="true">CRITBINOM(K893,Coefficients!$B$31,RAND())</f>
        <v>0</v>
      </c>
      <c r="M893" s="0" t="n">
        <f aca="true">CRITBINOM(MAX(0,J893-K893),1-Coefficients!$B$32,RAND())</f>
        <v>0</v>
      </c>
      <c r="N893" s="0" t="n">
        <f aca="true">CRITBINOM(MAX(0,$C893-J893),MIN(0.6,Matchup!$C$40*SQRT($B893)/(1-MIN(0.75,Matchup!$C$39*$B893))),RAND())</f>
        <v>3</v>
      </c>
      <c r="O893" s="0" t="n">
        <f aca="false">6*J893+(J893-K893-M893)+2*L893+3*N893</f>
        <v>44</v>
      </c>
      <c r="P893" s="0" t="n">
        <f aca="true">RAND()</f>
        <v>0.106517148275989</v>
      </c>
      <c r="Q893" s="0" t="n">
        <f aca="true">RAND()</f>
        <v>0.409008184126387</v>
      </c>
      <c r="R893" s="0" t="n">
        <f aca="false">IF($I893&lt;&gt;$O893,0,IF(P893&lt;Matchup!$B$39,7,IF(P893&lt;Matchup!$B$39+Matchup!$B$40,3,0)))</f>
        <v>0</v>
      </c>
      <c r="S893" s="0" t="n">
        <f aca="false">IF($I893&lt;&gt;$O893,0,IF(Q893&lt;Matchup!$C$39,7,IF(Q893&lt;Matchup!$C$39+Matchup!$C$40,3,0)))</f>
        <v>0</v>
      </c>
      <c r="T893" s="0" t="n">
        <f aca="false">I893+R893</f>
        <v>22</v>
      </c>
      <c r="U893" s="0" t="n">
        <f aca="false">O893+S893</f>
        <v>44</v>
      </c>
      <c r="V893" s="0" t="n">
        <f aca="false">T893-U893</f>
        <v>-22</v>
      </c>
      <c r="W893" s="0" t="n">
        <f aca="false">T893+U893</f>
        <v>66</v>
      </c>
    </row>
    <row r="894" customFormat="false" ht="15" hidden="false" customHeight="false" outlineLevel="0" collapsed="false">
      <c r="A894" s="0" t="n">
        <v>891</v>
      </c>
      <c r="B894" s="0" t="n">
        <f aca="true">NORMINV(RAND(),1,Coefficients!$B$22)</f>
        <v>0.885084981017027</v>
      </c>
      <c r="C894" s="0" t="n">
        <f aca="true">MEDIAN(8,16,ROUND(NORMINV(RAND(),Coefficients!$B$20,Coefficients!$B$21),0))</f>
        <v>10</v>
      </c>
      <c r="D894" s="0" t="n">
        <f aca="true">CRITBINOM($C894,MIN(0.75,Matchup!$B$39*$B894),RAND())</f>
        <v>1</v>
      </c>
      <c r="E894" s="0" t="n">
        <f aca="true">CRITBINOM(D894,Coefficients!$B$30,RAND())</f>
        <v>0</v>
      </c>
      <c r="F894" s="0" t="n">
        <f aca="true">CRITBINOM(E894,Coefficients!$B$31,RAND())</f>
        <v>0</v>
      </c>
      <c r="G894" s="0" t="n">
        <f aca="true">CRITBINOM(MAX(0,D894-E894),1-Coefficients!$B$32,RAND())</f>
        <v>0</v>
      </c>
      <c r="H894" s="0" t="n">
        <f aca="true">CRITBINOM(MAX(0,$C894-D894),MIN(0.6,Matchup!$B$40*SQRT($B894)/(1-MIN(0.75,Matchup!$B$39*$B894))),RAND())</f>
        <v>2</v>
      </c>
      <c r="I894" s="0" t="n">
        <f aca="false">6*D894+(D894-E894-G894)+2*F894+3*H894</f>
        <v>13</v>
      </c>
      <c r="J894" s="0" t="n">
        <f aca="true">CRITBINOM($C894,MIN(0.75,Matchup!$C$39*$B894),RAND())</f>
        <v>2</v>
      </c>
      <c r="K894" s="0" t="n">
        <f aca="true">CRITBINOM(J894,Coefficients!$B$30,RAND())</f>
        <v>0</v>
      </c>
      <c r="L894" s="0" t="n">
        <f aca="true">CRITBINOM(K894,Coefficients!$B$31,RAND())</f>
        <v>0</v>
      </c>
      <c r="M894" s="0" t="n">
        <f aca="true">CRITBINOM(MAX(0,J894-K894),1-Coefficients!$B$32,RAND())</f>
        <v>0</v>
      </c>
      <c r="N894" s="0" t="n">
        <f aca="true">CRITBINOM(MAX(0,$C894-J894),MIN(0.6,Matchup!$C$40*SQRT($B894)/(1-MIN(0.75,Matchup!$C$39*$B894))),RAND())</f>
        <v>1</v>
      </c>
      <c r="O894" s="0" t="n">
        <f aca="false">6*J894+(J894-K894-M894)+2*L894+3*N894</f>
        <v>17</v>
      </c>
      <c r="P894" s="0" t="n">
        <f aca="true">RAND()</f>
        <v>0.48126992134991</v>
      </c>
      <c r="Q894" s="0" t="n">
        <f aca="true">RAND()</f>
        <v>0.88196971113343</v>
      </c>
      <c r="R894" s="0" t="n">
        <f aca="false">IF($I894&lt;&gt;$O894,0,IF(P894&lt;Matchup!$B$39,7,IF(P894&lt;Matchup!$B$39+Matchup!$B$40,3,0)))</f>
        <v>0</v>
      </c>
      <c r="S894" s="0" t="n">
        <f aca="false">IF($I894&lt;&gt;$O894,0,IF(Q894&lt;Matchup!$C$39,7,IF(Q894&lt;Matchup!$C$39+Matchup!$C$40,3,0)))</f>
        <v>0</v>
      </c>
      <c r="T894" s="0" t="n">
        <f aca="false">I894+R894</f>
        <v>13</v>
      </c>
      <c r="U894" s="0" t="n">
        <f aca="false">O894+S894</f>
        <v>17</v>
      </c>
      <c r="V894" s="0" t="n">
        <f aca="false">T894-U894</f>
        <v>-4</v>
      </c>
      <c r="W894" s="0" t="n">
        <f aca="false">T894+U894</f>
        <v>30</v>
      </c>
    </row>
    <row r="895" customFormat="false" ht="15" hidden="false" customHeight="false" outlineLevel="0" collapsed="false">
      <c r="A895" s="0" t="n">
        <v>892</v>
      </c>
      <c r="B895" s="0" t="n">
        <f aca="true">NORMINV(RAND(),1,Coefficients!$B$22)</f>
        <v>0.999453507801036</v>
      </c>
      <c r="C895" s="0" t="n">
        <f aca="true">MEDIAN(8,16,ROUND(NORMINV(RAND(),Coefficients!$B$20,Coefficients!$B$21),0))</f>
        <v>10</v>
      </c>
      <c r="D895" s="0" t="n">
        <f aca="true">CRITBINOM($C895,MIN(0.75,Matchup!$B$39*$B895),RAND())</f>
        <v>2</v>
      </c>
      <c r="E895" s="0" t="n">
        <f aca="true">CRITBINOM(D895,Coefficients!$B$30,RAND())</f>
        <v>0</v>
      </c>
      <c r="F895" s="0" t="n">
        <f aca="true">CRITBINOM(E895,Coefficients!$B$31,RAND())</f>
        <v>0</v>
      </c>
      <c r="G895" s="0" t="n">
        <f aca="true">CRITBINOM(MAX(0,D895-E895),1-Coefficients!$B$32,RAND())</f>
        <v>1</v>
      </c>
      <c r="H895" s="0" t="n">
        <f aca="true">CRITBINOM(MAX(0,$C895-D895),MIN(0.6,Matchup!$B$40*SQRT($B895)/(1-MIN(0.75,Matchup!$B$39*$B895))),RAND())</f>
        <v>1</v>
      </c>
      <c r="I895" s="0" t="n">
        <f aca="false">6*D895+(D895-E895-G895)+2*F895+3*H895</f>
        <v>16</v>
      </c>
      <c r="J895" s="0" t="n">
        <f aca="true">CRITBINOM($C895,MIN(0.75,Matchup!$C$39*$B895),RAND())</f>
        <v>4</v>
      </c>
      <c r="K895" s="0" t="n">
        <f aca="true">CRITBINOM(J895,Coefficients!$B$30,RAND())</f>
        <v>0</v>
      </c>
      <c r="L895" s="0" t="n">
        <f aca="true">CRITBINOM(K895,Coefficients!$B$31,RAND())</f>
        <v>0</v>
      </c>
      <c r="M895" s="0" t="n">
        <f aca="true">CRITBINOM(MAX(0,J895-K895),1-Coefficients!$B$32,RAND())</f>
        <v>0</v>
      </c>
      <c r="N895" s="0" t="n">
        <f aca="true">CRITBINOM(MAX(0,$C895-J895),MIN(0.6,Matchup!$C$40*SQRT($B895)/(1-MIN(0.75,Matchup!$C$39*$B895))),RAND())</f>
        <v>0</v>
      </c>
      <c r="O895" s="0" t="n">
        <f aca="false">6*J895+(J895-K895-M895)+2*L895+3*N895</f>
        <v>28</v>
      </c>
      <c r="P895" s="0" t="n">
        <f aca="true">RAND()</f>
        <v>0.265056182239444</v>
      </c>
      <c r="Q895" s="0" t="n">
        <f aca="true">RAND()</f>
        <v>0.113639688850917</v>
      </c>
      <c r="R895" s="0" t="n">
        <f aca="false">IF($I895&lt;&gt;$O895,0,IF(P895&lt;Matchup!$B$39,7,IF(P895&lt;Matchup!$B$39+Matchup!$B$40,3,0)))</f>
        <v>0</v>
      </c>
      <c r="S895" s="0" t="n">
        <f aca="false">IF($I895&lt;&gt;$O895,0,IF(Q895&lt;Matchup!$C$39,7,IF(Q895&lt;Matchup!$C$39+Matchup!$C$40,3,0)))</f>
        <v>0</v>
      </c>
      <c r="T895" s="0" t="n">
        <f aca="false">I895+R895</f>
        <v>16</v>
      </c>
      <c r="U895" s="0" t="n">
        <f aca="false">O895+S895</f>
        <v>28</v>
      </c>
      <c r="V895" s="0" t="n">
        <f aca="false">T895-U895</f>
        <v>-12</v>
      </c>
      <c r="W895" s="0" t="n">
        <f aca="false">T895+U895</f>
        <v>44</v>
      </c>
    </row>
    <row r="896" customFormat="false" ht="15" hidden="false" customHeight="false" outlineLevel="0" collapsed="false">
      <c r="A896" s="0" t="n">
        <v>893</v>
      </c>
      <c r="B896" s="0" t="n">
        <f aca="true">NORMINV(RAND(),1,Coefficients!$B$22)</f>
        <v>0.992087955730768</v>
      </c>
      <c r="C896" s="0" t="n">
        <f aca="true">MEDIAN(8,16,ROUND(NORMINV(RAND(),Coefficients!$B$20,Coefficients!$B$21),0))</f>
        <v>13</v>
      </c>
      <c r="D896" s="0" t="n">
        <f aca="true">CRITBINOM($C896,MIN(0.75,Matchup!$B$39*$B896),RAND())</f>
        <v>3</v>
      </c>
      <c r="E896" s="0" t="n">
        <f aca="true">CRITBINOM(D896,Coefficients!$B$30,RAND())</f>
        <v>0</v>
      </c>
      <c r="F896" s="0" t="n">
        <f aca="true">CRITBINOM(E896,Coefficients!$B$31,RAND())</f>
        <v>0</v>
      </c>
      <c r="G896" s="0" t="n">
        <f aca="true">CRITBINOM(MAX(0,D896-E896),1-Coefficients!$B$32,RAND())</f>
        <v>0</v>
      </c>
      <c r="H896" s="0" t="n">
        <f aca="true">CRITBINOM(MAX(0,$C896-D896),MIN(0.6,Matchup!$B$40*SQRT($B896)/(1-MIN(0.75,Matchup!$B$39*$B896))),RAND())</f>
        <v>2</v>
      </c>
      <c r="I896" s="0" t="n">
        <f aca="false">6*D896+(D896-E896-G896)+2*F896+3*H896</f>
        <v>27</v>
      </c>
      <c r="J896" s="0" t="n">
        <f aca="true">CRITBINOM($C896,MIN(0.75,Matchup!$C$39*$B896),RAND())</f>
        <v>5</v>
      </c>
      <c r="K896" s="0" t="n">
        <f aca="true">CRITBINOM(J896,Coefficients!$B$30,RAND())</f>
        <v>0</v>
      </c>
      <c r="L896" s="0" t="n">
        <f aca="true">CRITBINOM(K896,Coefficients!$B$31,RAND())</f>
        <v>0</v>
      </c>
      <c r="M896" s="0" t="n">
        <f aca="true">CRITBINOM(MAX(0,J896-K896),1-Coefficients!$B$32,RAND())</f>
        <v>0</v>
      </c>
      <c r="N896" s="0" t="n">
        <f aca="true">CRITBINOM(MAX(0,$C896-J896),MIN(0.6,Matchup!$C$40*SQRT($B896)/(1-MIN(0.75,Matchup!$C$39*$B896))),RAND())</f>
        <v>0</v>
      </c>
      <c r="O896" s="0" t="n">
        <f aca="false">6*J896+(J896-K896-M896)+2*L896+3*N896</f>
        <v>35</v>
      </c>
      <c r="P896" s="0" t="n">
        <f aca="true">RAND()</f>
        <v>0.223880940815536</v>
      </c>
      <c r="Q896" s="0" t="n">
        <f aca="true">RAND()</f>
        <v>0.350023385813354</v>
      </c>
      <c r="R896" s="0" t="n">
        <f aca="false">IF($I896&lt;&gt;$O896,0,IF(P896&lt;Matchup!$B$39,7,IF(P896&lt;Matchup!$B$39+Matchup!$B$40,3,0)))</f>
        <v>0</v>
      </c>
      <c r="S896" s="0" t="n">
        <f aca="false">IF($I896&lt;&gt;$O896,0,IF(Q896&lt;Matchup!$C$39,7,IF(Q896&lt;Matchup!$C$39+Matchup!$C$40,3,0)))</f>
        <v>0</v>
      </c>
      <c r="T896" s="0" t="n">
        <f aca="false">I896+R896</f>
        <v>27</v>
      </c>
      <c r="U896" s="0" t="n">
        <f aca="false">O896+S896</f>
        <v>35</v>
      </c>
      <c r="V896" s="0" t="n">
        <f aca="false">T896-U896</f>
        <v>-8</v>
      </c>
      <c r="W896" s="0" t="n">
        <f aca="false">T896+U896</f>
        <v>62</v>
      </c>
    </row>
    <row r="897" customFormat="false" ht="15" hidden="false" customHeight="false" outlineLevel="0" collapsed="false">
      <c r="A897" s="0" t="n">
        <v>894</v>
      </c>
      <c r="B897" s="0" t="n">
        <f aca="true">NORMINV(RAND(),1,Coefficients!$B$22)</f>
        <v>1.00030528897199</v>
      </c>
      <c r="C897" s="0" t="n">
        <f aca="true">MEDIAN(8,16,ROUND(NORMINV(RAND(),Coefficients!$B$20,Coefficients!$B$21),0))</f>
        <v>11</v>
      </c>
      <c r="D897" s="0" t="n">
        <f aca="true">CRITBINOM($C897,MIN(0.75,Matchup!$B$39*$B897),RAND())</f>
        <v>3</v>
      </c>
      <c r="E897" s="0" t="n">
        <f aca="true">CRITBINOM(D897,Coefficients!$B$30,RAND())</f>
        <v>0</v>
      </c>
      <c r="F897" s="0" t="n">
        <f aca="true">CRITBINOM(E897,Coefficients!$B$31,RAND())</f>
        <v>0</v>
      </c>
      <c r="G897" s="0" t="n">
        <f aca="true">CRITBINOM(MAX(0,D897-E897),1-Coefficients!$B$32,RAND())</f>
        <v>0</v>
      </c>
      <c r="H897" s="0" t="n">
        <f aca="true">CRITBINOM(MAX(0,$C897-D897),MIN(0.6,Matchup!$B$40*SQRT($B897)/(1-MIN(0.75,Matchup!$B$39*$B897))),RAND())</f>
        <v>1</v>
      </c>
      <c r="I897" s="0" t="n">
        <f aca="false">6*D897+(D897-E897-G897)+2*F897+3*H897</f>
        <v>24</v>
      </c>
      <c r="J897" s="0" t="n">
        <f aca="true">CRITBINOM($C897,MIN(0.75,Matchup!$C$39*$B897),RAND())</f>
        <v>2</v>
      </c>
      <c r="K897" s="0" t="n">
        <f aca="true">CRITBINOM(J897,Coefficients!$B$30,RAND())</f>
        <v>1</v>
      </c>
      <c r="L897" s="0" t="n">
        <f aca="true">CRITBINOM(K897,Coefficients!$B$31,RAND())</f>
        <v>0</v>
      </c>
      <c r="M897" s="0" t="n">
        <f aca="true">CRITBINOM(MAX(0,J897-K897),1-Coefficients!$B$32,RAND())</f>
        <v>0</v>
      </c>
      <c r="N897" s="0" t="n">
        <f aca="true">CRITBINOM(MAX(0,$C897-J897),MIN(0.6,Matchup!$C$40*SQRT($B897)/(1-MIN(0.75,Matchup!$C$39*$B897))),RAND())</f>
        <v>0</v>
      </c>
      <c r="O897" s="0" t="n">
        <f aca="false">6*J897+(J897-K897-M897)+2*L897+3*N897</f>
        <v>13</v>
      </c>
      <c r="P897" s="0" t="n">
        <f aca="true">RAND()</f>
        <v>0.894931318104979</v>
      </c>
      <c r="Q897" s="0" t="n">
        <f aca="true">RAND()</f>
        <v>0.638467078306019</v>
      </c>
      <c r="R897" s="0" t="n">
        <f aca="false">IF($I897&lt;&gt;$O897,0,IF(P897&lt;Matchup!$B$39,7,IF(P897&lt;Matchup!$B$39+Matchup!$B$40,3,0)))</f>
        <v>0</v>
      </c>
      <c r="S897" s="0" t="n">
        <f aca="false">IF($I897&lt;&gt;$O897,0,IF(Q897&lt;Matchup!$C$39,7,IF(Q897&lt;Matchup!$C$39+Matchup!$C$40,3,0)))</f>
        <v>0</v>
      </c>
      <c r="T897" s="0" t="n">
        <f aca="false">I897+R897</f>
        <v>24</v>
      </c>
      <c r="U897" s="0" t="n">
        <f aca="false">O897+S897</f>
        <v>13</v>
      </c>
      <c r="V897" s="0" t="n">
        <f aca="false">T897-U897</f>
        <v>11</v>
      </c>
      <c r="W897" s="0" t="n">
        <f aca="false">T897+U897</f>
        <v>37</v>
      </c>
    </row>
    <row r="898" customFormat="false" ht="15" hidden="false" customHeight="false" outlineLevel="0" collapsed="false">
      <c r="A898" s="0" t="n">
        <v>895</v>
      </c>
      <c r="B898" s="0" t="n">
        <f aca="true">NORMINV(RAND(),1,Coefficients!$B$22)</f>
        <v>0.984083851413206</v>
      </c>
      <c r="C898" s="0" t="n">
        <f aca="true">MEDIAN(8,16,ROUND(NORMINV(RAND(),Coefficients!$B$20,Coefficients!$B$21),0))</f>
        <v>12</v>
      </c>
      <c r="D898" s="0" t="n">
        <f aca="true">CRITBINOM($C898,MIN(0.75,Matchup!$B$39*$B898),RAND())</f>
        <v>2</v>
      </c>
      <c r="E898" s="0" t="n">
        <f aca="true">CRITBINOM(D898,Coefficients!$B$30,RAND())</f>
        <v>0</v>
      </c>
      <c r="F898" s="0" t="n">
        <f aca="true">CRITBINOM(E898,Coefficients!$B$31,RAND())</f>
        <v>0</v>
      </c>
      <c r="G898" s="0" t="n">
        <f aca="true">CRITBINOM(MAX(0,D898-E898),1-Coefficients!$B$32,RAND())</f>
        <v>0</v>
      </c>
      <c r="H898" s="0" t="n">
        <f aca="true">CRITBINOM(MAX(0,$C898-D898),MIN(0.6,Matchup!$B$40*SQRT($B898)/(1-MIN(0.75,Matchup!$B$39*$B898))),RAND())</f>
        <v>3</v>
      </c>
      <c r="I898" s="0" t="n">
        <f aca="false">6*D898+(D898-E898-G898)+2*F898+3*H898</f>
        <v>23</v>
      </c>
      <c r="J898" s="0" t="n">
        <f aca="true">CRITBINOM($C898,MIN(0.75,Matchup!$C$39*$B898),RAND())</f>
        <v>4</v>
      </c>
      <c r="K898" s="0" t="n">
        <f aca="true">CRITBINOM(J898,Coefficients!$B$30,RAND())</f>
        <v>1</v>
      </c>
      <c r="L898" s="0" t="n">
        <f aca="true">CRITBINOM(K898,Coefficients!$B$31,RAND())</f>
        <v>1</v>
      </c>
      <c r="M898" s="0" t="n">
        <f aca="true">CRITBINOM(MAX(0,J898-K898),1-Coefficients!$B$32,RAND())</f>
        <v>1</v>
      </c>
      <c r="N898" s="0" t="n">
        <f aca="true">CRITBINOM(MAX(0,$C898-J898),MIN(0.6,Matchup!$C$40*SQRT($B898)/(1-MIN(0.75,Matchup!$C$39*$B898))),RAND())</f>
        <v>0</v>
      </c>
      <c r="O898" s="0" t="n">
        <f aca="false">6*J898+(J898-K898-M898)+2*L898+3*N898</f>
        <v>28</v>
      </c>
      <c r="P898" s="0" t="n">
        <f aca="true">RAND()</f>
        <v>0.0758185336492959</v>
      </c>
      <c r="Q898" s="0" t="n">
        <f aca="true">RAND()</f>
        <v>0.230414792354207</v>
      </c>
      <c r="R898" s="0" t="n">
        <f aca="false">IF($I898&lt;&gt;$O898,0,IF(P898&lt;Matchup!$B$39,7,IF(P898&lt;Matchup!$B$39+Matchup!$B$40,3,0)))</f>
        <v>0</v>
      </c>
      <c r="S898" s="0" t="n">
        <f aca="false">IF($I898&lt;&gt;$O898,0,IF(Q898&lt;Matchup!$C$39,7,IF(Q898&lt;Matchup!$C$39+Matchup!$C$40,3,0)))</f>
        <v>0</v>
      </c>
      <c r="T898" s="0" t="n">
        <f aca="false">I898+R898</f>
        <v>23</v>
      </c>
      <c r="U898" s="0" t="n">
        <f aca="false">O898+S898</f>
        <v>28</v>
      </c>
      <c r="V898" s="0" t="n">
        <f aca="false">T898-U898</f>
        <v>-5</v>
      </c>
      <c r="W898" s="0" t="n">
        <f aca="false">T898+U898</f>
        <v>51</v>
      </c>
    </row>
    <row r="899" customFormat="false" ht="15" hidden="false" customHeight="false" outlineLevel="0" collapsed="false">
      <c r="A899" s="0" t="n">
        <v>896</v>
      </c>
      <c r="B899" s="0" t="n">
        <f aca="true">NORMINV(RAND(),1,Coefficients!$B$22)</f>
        <v>1.06783767398818</v>
      </c>
      <c r="C899" s="0" t="n">
        <f aca="true">MEDIAN(8,16,ROUND(NORMINV(RAND(),Coefficients!$B$20,Coefficients!$B$21),0))</f>
        <v>10</v>
      </c>
      <c r="D899" s="0" t="n">
        <f aca="true">CRITBINOM($C899,MIN(0.75,Matchup!$B$39*$B899),RAND())</f>
        <v>4</v>
      </c>
      <c r="E899" s="0" t="n">
        <f aca="true">CRITBINOM(D899,Coefficients!$B$30,RAND())</f>
        <v>0</v>
      </c>
      <c r="F899" s="0" t="n">
        <f aca="true">CRITBINOM(E899,Coefficients!$B$31,RAND())</f>
        <v>0</v>
      </c>
      <c r="G899" s="0" t="n">
        <f aca="true">CRITBINOM(MAX(0,D899-E899),1-Coefficients!$B$32,RAND())</f>
        <v>0</v>
      </c>
      <c r="H899" s="0" t="n">
        <f aca="true">CRITBINOM(MAX(0,$C899-D899),MIN(0.6,Matchup!$B$40*SQRT($B899)/(1-MIN(0.75,Matchup!$B$39*$B899))),RAND())</f>
        <v>1</v>
      </c>
      <c r="I899" s="0" t="n">
        <f aca="false">6*D899+(D899-E899-G899)+2*F899+3*H899</f>
        <v>31</v>
      </c>
      <c r="J899" s="0" t="n">
        <f aca="true">CRITBINOM($C899,MIN(0.75,Matchup!$C$39*$B899),RAND())</f>
        <v>3</v>
      </c>
      <c r="K899" s="0" t="n">
        <f aca="true">CRITBINOM(J899,Coefficients!$B$30,RAND())</f>
        <v>0</v>
      </c>
      <c r="L899" s="0" t="n">
        <f aca="true">CRITBINOM(K899,Coefficients!$B$31,RAND())</f>
        <v>0</v>
      </c>
      <c r="M899" s="0" t="n">
        <f aca="true">CRITBINOM(MAX(0,J899-K899),1-Coefficients!$B$32,RAND())</f>
        <v>0</v>
      </c>
      <c r="N899" s="0" t="n">
        <f aca="true">CRITBINOM(MAX(0,$C899-J899),MIN(0.6,Matchup!$C$40*SQRT($B899)/(1-MIN(0.75,Matchup!$C$39*$B899))),RAND())</f>
        <v>0</v>
      </c>
      <c r="O899" s="0" t="n">
        <f aca="false">6*J899+(J899-K899-M899)+2*L899+3*N899</f>
        <v>21</v>
      </c>
      <c r="P899" s="0" t="n">
        <f aca="true">RAND()</f>
        <v>0.346444321724621</v>
      </c>
      <c r="Q899" s="0" t="n">
        <f aca="true">RAND()</f>
        <v>0.212308687467409</v>
      </c>
      <c r="R899" s="0" t="n">
        <f aca="false">IF($I899&lt;&gt;$O899,0,IF(P899&lt;Matchup!$B$39,7,IF(P899&lt;Matchup!$B$39+Matchup!$B$40,3,0)))</f>
        <v>0</v>
      </c>
      <c r="S899" s="0" t="n">
        <f aca="false">IF($I899&lt;&gt;$O899,0,IF(Q899&lt;Matchup!$C$39,7,IF(Q899&lt;Matchup!$C$39+Matchup!$C$40,3,0)))</f>
        <v>0</v>
      </c>
      <c r="T899" s="0" t="n">
        <f aca="false">I899+R899</f>
        <v>31</v>
      </c>
      <c r="U899" s="0" t="n">
        <f aca="false">O899+S899</f>
        <v>21</v>
      </c>
      <c r="V899" s="0" t="n">
        <f aca="false">T899-U899</f>
        <v>10</v>
      </c>
      <c r="W899" s="0" t="n">
        <f aca="false">T899+U899</f>
        <v>52</v>
      </c>
    </row>
    <row r="900" customFormat="false" ht="15" hidden="false" customHeight="false" outlineLevel="0" collapsed="false">
      <c r="A900" s="0" t="n">
        <v>897</v>
      </c>
      <c r="B900" s="0" t="n">
        <f aca="true">NORMINV(RAND(),1,Coefficients!$B$22)</f>
        <v>1.02773042498459</v>
      </c>
      <c r="C900" s="0" t="n">
        <f aca="true">MEDIAN(8,16,ROUND(NORMINV(RAND(),Coefficients!$B$20,Coefficients!$B$21),0))</f>
        <v>13</v>
      </c>
      <c r="D900" s="0" t="n">
        <f aca="true">CRITBINOM($C900,MIN(0.75,Matchup!$B$39*$B900),RAND())</f>
        <v>1</v>
      </c>
      <c r="E900" s="0" t="n">
        <f aca="true">CRITBINOM(D900,Coefficients!$B$30,RAND())</f>
        <v>0</v>
      </c>
      <c r="F900" s="0" t="n">
        <f aca="true">CRITBINOM(E900,Coefficients!$B$31,RAND())</f>
        <v>0</v>
      </c>
      <c r="G900" s="0" t="n">
        <f aca="true">CRITBINOM(MAX(0,D900-E900),1-Coefficients!$B$32,RAND())</f>
        <v>0</v>
      </c>
      <c r="H900" s="0" t="n">
        <f aca="true">CRITBINOM(MAX(0,$C900-D900),MIN(0.6,Matchup!$B$40*SQRT($B900)/(1-MIN(0.75,Matchup!$B$39*$B900))),RAND())</f>
        <v>5</v>
      </c>
      <c r="I900" s="0" t="n">
        <f aca="false">6*D900+(D900-E900-G900)+2*F900+3*H900</f>
        <v>22</v>
      </c>
      <c r="J900" s="0" t="n">
        <f aca="true">CRITBINOM($C900,MIN(0.75,Matchup!$C$39*$B900),RAND())</f>
        <v>3</v>
      </c>
      <c r="K900" s="0" t="n">
        <f aca="true">CRITBINOM(J900,Coefficients!$B$30,RAND())</f>
        <v>0</v>
      </c>
      <c r="L900" s="0" t="n">
        <f aca="true">CRITBINOM(K900,Coefficients!$B$31,RAND())</f>
        <v>0</v>
      </c>
      <c r="M900" s="0" t="n">
        <f aca="true">CRITBINOM(MAX(0,J900-K900),1-Coefficients!$B$32,RAND())</f>
        <v>0</v>
      </c>
      <c r="N900" s="0" t="n">
        <f aca="true">CRITBINOM(MAX(0,$C900-J900),MIN(0.6,Matchup!$C$40*SQRT($B900)/(1-MIN(0.75,Matchup!$C$39*$B900))),RAND())</f>
        <v>1</v>
      </c>
      <c r="O900" s="0" t="n">
        <f aca="false">6*J900+(J900-K900-M900)+2*L900+3*N900</f>
        <v>24</v>
      </c>
      <c r="P900" s="0" t="n">
        <f aca="true">RAND()</f>
        <v>0.126664452832732</v>
      </c>
      <c r="Q900" s="0" t="n">
        <f aca="true">RAND()</f>
        <v>0.260411775364032</v>
      </c>
      <c r="R900" s="0" t="n">
        <f aca="false">IF($I900&lt;&gt;$O900,0,IF(P900&lt;Matchup!$B$39,7,IF(P900&lt;Matchup!$B$39+Matchup!$B$40,3,0)))</f>
        <v>0</v>
      </c>
      <c r="S900" s="0" t="n">
        <f aca="false">IF($I900&lt;&gt;$O900,0,IF(Q900&lt;Matchup!$C$39,7,IF(Q900&lt;Matchup!$C$39+Matchup!$C$40,3,0)))</f>
        <v>0</v>
      </c>
      <c r="T900" s="0" t="n">
        <f aca="false">I900+R900</f>
        <v>22</v>
      </c>
      <c r="U900" s="0" t="n">
        <f aca="false">O900+S900</f>
        <v>24</v>
      </c>
      <c r="V900" s="0" t="n">
        <f aca="false">T900-U900</f>
        <v>-2</v>
      </c>
      <c r="W900" s="0" t="n">
        <f aca="false">T900+U900</f>
        <v>46</v>
      </c>
    </row>
    <row r="901" customFormat="false" ht="15" hidden="false" customHeight="false" outlineLevel="0" collapsed="false">
      <c r="A901" s="0" t="n">
        <v>898</v>
      </c>
      <c r="B901" s="0" t="n">
        <f aca="true">NORMINV(RAND(),1,Coefficients!$B$22)</f>
        <v>0.996762376215</v>
      </c>
      <c r="C901" s="0" t="n">
        <f aca="true">MEDIAN(8,16,ROUND(NORMINV(RAND(),Coefficients!$B$20,Coefficients!$B$21),0))</f>
        <v>11</v>
      </c>
      <c r="D901" s="0" t="n">
        <f aca="true">CRITBINOM($C901,MIN(0.75,Matchup!$B$39*$B901),RAND())</f>
        <v>2</v>
      </c>
      <c r="E901" s="0" t="n">
        <f aca="true">CRITBINOM(D901,Coefficients!$B$30,RAND())</f>
        <v>0</v>
      </c>
      <c r="F901" s="0" t="n">
        <f aca="true">CRITBINOM(E901,Coefficients!$B$31,RAND())</f>
        <v>0</v>
      </c>
      <c r="G901" s="0" t="n">
        <f aca="true">CRITBINOM(MAX(0,D901-E901),1-Coefficients!$B$32,RAND())</f>
        <v>0</v>
      </c>
      <c r="H901" s="0" t="n">
        <f aca="true">CRITBINOM(MAX(0,$C901-D901),MIN(0.6,Matchup!$B$40*SQRT($B901)/(1-MIN(0.75,Matchup!$B$39*$B901))),RAND())</f>
        <v>3</v>
      </c>
      <c r="I901" s="0" t="n">
        <f aca="false">6*D901+(D901-E901-G901)+2*F901+3*H901</f>
        <v>23</v>
      </c>
      <c r="J901" s="0" t="n">
        <f aca="true">CRITBINOM($C901,MIN(0.75,Matchup!$C$39*$B901),RAND())</f>
        <v>3</v>
      </c>
      <c r="K901" s="0" t="n">
        <f aca="true">CRITBINOM(J901,Coefficients!$B$30,RAND())</f>
        <v>0</v>
      </c>
      <c r="L901" s="0" t="n">
        <f aca="true">CRITBINOM(K901,Coefficients!$B$31,RAND())</f>
        <v>0</v>
      </c>
      <c r="M901" s="0" t="n">
        <f aca="true">CRITBINOM(MAX(0,J901-K901),1-Coefficients!$B$32,RAND())</f>
        <v>0</v>
      </c>
      <c r="N901" s="0" t="n">
        <f aca="true">CRITBINOM(MAX(0,$C901-J901),MIN(0.6,Matchup!$C$40*SQRT($B901)/(1-MIN(0.75,Matchup!$C$39*$B901))),RAND())</f>
        <v>0</v>
      </c>
      <c r="O901" s="0" t="n">
        <f aca="false">6*J901+(J901-K901-M901)+2*L901+3*N901</f>
        <v>21</v>
      </c>
      <c r="P901" s="0" t="n">
        <f aca="true">RAND()</f>
        <v>0.121523445875394</v>
      </c>
      <c r="Q901" s="0" t="n">
        <f aca="true">RAND()</f>
        <v>0.973577376111059</v>
      </c>
      <c r="R901" s="0" t="n">
        <f aca="false">IF($I901&lt;&gt;$O901,0,IF(P901&lt;Matchup!$B$39,7,IF(P901&lt;Matchup!$B$39+Matchup!$B$40,3,0)))</f>
        <v>0</v>
      </c>
      <c r="S901" s="0" t="n">
        <f aca="false">IF($I901&lt;&gt;$O901,0,IF(Q901&lt;Matchup!$C$39,7,IF(Q901&lt;Matchup!$C$39+Matchup!$C$40,3,0)))</f>
        <v>0</v>
      </c>
      <c r="T901" s="0" t="n">
        <f aca="false">I901+R901</f>
        <v>23</v>
      </c>
      <c r="U901" s="0" t="n">
        <f aca="false">O901+S901</f>
        <v>21</v>
      </c>
      <c r="V901" s="0" t="n">
        <f aca="false">T901-U901</f>
        <v>2</v>
      </c>
      <c r="W901" s="0" t="n">
        <f aca="false">T901+U901</f>
        <v>44</v>
      </c>
    </row>
    <row r="902" customFormat="false" ht="15" hidden="false" customHeight="false" outlineLevel="0" collapsed="false">
      <c r="A902" s="0" t="n">
        <v>899</v>
      </c>
      <c r="B902" s="0" t="n">
        <f aca="true">NORMINV(RAND(),1,Coefficients!$B$22)</f>
        <v>1.03360853396383</v>
      </c>
      <c r="C902" s="0" t="n">
        <f aca="true">MEDIAN(8,16,ROUND(NORMINV(RAND(),Coefficients!$B$20,Coefficients!$B$21),0))</f>
        <v>8</v>
      </c>
      <c r="D902" s="0" t="n">
        <f aca="true">CRITBINOM($C902,MIN(0.75,Matchup!$B$39*$B902),RAND())</f>
        <v>0</v>
      </c>
      <c r="E902" s="0" t="n">
        <f aca="true">CRITBINOM(D902,Coefficients!$B$30,RAND())</f>
        <v>0</v>
      </c>
      <c r="F902" s="0" t="n">
        <f aca="true">CRITBINOM(E902,Coefficients!$B$31,RAND())</f>
        <v>0</v>
      </c>
      <c r="G902" s="0" t="n">
        <f aca="true">CRITBINOM(MAX(0,D902-E902),1-Coefficients!$B$32,RAND())</f>
        <v>0</v>
      </c>
      <c r="H902" s="0" t="n">
        <f aca="true">CRITBINOM(MAX(0,$C902-D902),MIN(0.6,Matchup!$B$40*SQRT($B902)/(1-MIN(0.75,Matchup!$B$39*$B902))),RAND())</f>
        <v>4</v>
      </c>
      <c r="I902" s="0" t="n">
        <f aca="false">6*D902+(D902-E902-G902)+2*F902+3*H902</f>
        <v>12</v>
      </c>
      <c r="J902" s="0" t="n">
        <f aca="true">CRITBINOM($C902,MIN(0.75,Matchup!$C$39*$B902),RAND())</f>
        <v>2</v>
      </c>
      <c r="K902" s="0" t="n">
        <f aca="true">CRITBINOM(J902,Coefficients!$B$30,RAND())</f>
        <v>1</v>
      </c>
      <c r="L902" s="0" t="n">
        <f aca="true">CRITBINOM(K902,Coefficients!$B$31,RAND())</f>
        <v>1</v>
      </c>
      <c r="M902" s="0" t="n">
        <f aca="true">CRITBINOM(MAX(0,J902-K902),1-Coefficients!$B$32,RAND())</f>
        <v>0</v>
      </c>
      <c r="N902" s="0" t="n">
        <f aca="true">CRITBINOM(MAX(0,$C902-J902),MIN(0.6,Matchup!$C$40*SQRT($B902)/(1-MIN(0.75,Matchup!$C$39*$B902))),RAND())</f>
        <v>0</v>
      </c>
      <c r="O902" s="0" t="n">
        <f aca="false">6*J902+(J902-K902-M902)+2*L902+3*N902</f>
        <v>15</v>
      </c>
      <c r="P902" s="0" t="n">
        <f aca="true">RAND()</f>
        <v>0.556667659843911</v>
      </c>
      <c r="Q902" s="0" t="n">
        <f aca="true">RAND()</f>
        <v>0.80632008479871</v>
      </c>
      <c r="R902" s="0" t="n">
        <f aca="false">IF($I902&lt;&gt;$O902,0,IF(P902&lt;Matchup!$B$39,7,IF(P902&lt;Matchup!$B$39+Matchup!$B$40,3,0)))</f>
        <v>0</v>
      </c>
      <c r="S902" s="0" t="n">
        <f aca="false">IF($I902&lt;&gt;$O902,0,IF(Q902&lt;Matchup!$C$39,7,IF(Q902&lt;Matchup!$C$39+Matchup!$C$40,3,0)))</f>
        <v>0</v>
      </c>
      <c r="T902" s="0" t="n">
        <f aca="false">I902+R902</f>
        <v>12</v>
      </c>
      <c r="U902" s="0" t="n">
        <f aca="false">O902+S902</f>
        <v>15</v>
      </c>
      <c r="V902" s="0" t="n">
        <f aca="false">T902-U902</f>
        <v>-3</v>
      </c>
      <c r="W902" s="0" t="n">
        <f aca="false">T902+U902</f>
        <v>27</v>
      </c>
    </row>
    <row r="903" customFormat="false" ht="15" hidden="false" customHeight="false" outlineLevel="0" collapsed="false">
      <c r="A903" s="0" t="n">
        <v>900</v>
      </c>
      <c r="B903" s="0" t="n">
        <f aca="true">NORMINV(RAND(),1,Coefficients!$B$22)</f>
        <v>1.10655587058106</v>
      </c>
      <c r="C903" s="0" t="n">
        <f aca="true">MEDIAN(8,16,ROUND(NORMINV(RAND(),Coefficients!$B$20,Coefficients!$B$21),0))</f>
        <v>11</v>
      </c>
      <c r="D903" s="0" t="n">
        <f aca="true">CRITBINOM($C903,MIN(0.75,Matchup!$B$39*$B903),RAND())</f>
        <v>2</v>
      </c>
      <c r="E903" s="0" t="n">
        <f aca="true">CRITBINOM(D903,Coefficients!$B$30,RAND())</f>
        <v>0</v>
      </c>
      <c r="F903" s="0" t="n">
        <f aca="true">CRITBINOM(E903,Coefficients!$B$31,RAND())</f>
        <v>0</v>
      </c>
      <c r="G903" s="0" t="n">
        <f aca="true">CRITBINOM(MAX(0,D903-E903),1-Coefficients!$B$32,RAND())</f>
        <v>1</v>
      </c>
      <c r="H903" s="0" t="n">
        <f aca="true">CRITBINOM(MAX(0,$C903-D903),MIN(0.6,Matchup!$B$40*SQRT($B903)/(1-MIN(0.75,Matchup!$B$39*$B903))),RAND())</f>
        <v>2</v>
      </c>
      <c r="I903" s="0" t="n">
        <f aca="false">6*D903+(D903-E903-G903)+2*F903+3*H903</f>
        <v>19</v>
      </c>
      <c r="J903" s="0" t="n">
        <f aca="true">CRITBINOM($C903,MIN(0.75,Matchup!$C$39*$B903),RAND())</f>
        <v>2</v>
      </c>
      <c r="K903" s="0" t="n">
        <f aca="true">CRITBINOM(J903,Coefficients!$B$30,RAND())</f>
        <v>0</v>
      </c>
      <c r="L903" s="0" t="n">
        <f aca="true">CRITBINOM(K903,Coefficients!$B$31,RAND())</f>
        <v>0</v>
      </c>
      <c r="M903" s="0" t="n">
        <f aca="true">CRITBINOM(MAX(0,J903-K903),1-Coefficients!$B$32,RAND())</f>
        <v>0</v>
      </c>
      <c r="N903" s="0" t="n">
        <f aca="true">CRITBINOM(MAX(0,$C903-J903),MIN(0.6,Matchup!$C$40*SQRT($B903)/(1-MIN(0.75,Matchup!$C$39*$B903))),RAND())</f>
        <v>3</v>
      </c>
      <c r="O903" s="0" t="n">
        <f aca="false">6*J903+(J903-K903-M903)+2*L903+3*N903</f>
        <v>23</v>
      </c>
      <c r="P903" s="0" t="n">
        <f aca="true">RAND()</f>
        <v>0.783300414665656</v>
      </c>
      <c r="Q903" s="0" t="n">
        <f aca="true">RAND()</f>
        <v>0.122407192531172</v>
      </c>
      <c r="R903" s="0" t="n">
        <f aca="false">IF($I903&lt;&gt;$O903,0,IF(P903&lt;Matchup!$B$39,7,IF(P903&lt;Matchup!$B$39+Matchup!$B$40,3,0)))</f>
        <v>0</v>
      </c>
      <c r="S903" s="0" t="n">
        <f aca="false">IF($I903&lt;&gt;$O903,0,IF(Q903&lt;Matchup!$C$39,7,IF(Q903&lt;Matchup!$C$39+Matchup!$C$40,3,0)))</f>
        <v>0</v>
      </c>
      <c r="T903" s="0" t="n">
        <f aca="false">I903+R903</f>
        <v>19</v>
      </c>
      <c r="U903" s="0" t="n">
        <f aca="false">O903+S903</f>
        <v>23</v>
      </c>
      <c r="V903" s="0" t="n">
        <f aca="false">T903-U903</f>
        <v>-4</v>
      </c>
      <c r="W903" s="0" t="n">
        <f aca="false">T903+U903</f>
        <v>42</v>
      </c>
    </row>
    <row r="904" customFormat="false" ht="15" hidden="false" customHeight="false" outlineLevel="0" collapsed="false">
      <c r="A904" s="0" t="n">
        <v>901</v>
      </c>
      <c r="B904" s="0" t="n">
        <f aca="true">NORMINV(RAND(),1,Coefficients!$B$22)</f>
        <v>0.950905998769936</v>
      </c>
      <c r="C904" s="0" t="n">
        <f aca="true">MEDIAN(8,16,ROUND(NORMINV(RAND(),Coefficients!$B$20,Coefficients!$B$21),0))</f>
        <v>9</v>
      </c>
      <c r="D904" s="0" t="n">
        <f aca="true">CRITBINOM($C904,MIN(0.75,Matchup!$B$39*$B904),RAND())</f>
        <v>2</v>
      </c>
      <c r="E904" s="0" t="n">
        <f aca="true">CRITBINOM(D904,Coefficients!$B$30,RAND())</f>
        <v>0</v>
      </c>
      <c r="F904" s="0" t="n">
        <f aca="true">CRITBINOM(E904,Coefficients!$B$31,RAND())</f>
        <v>0</v>
      </c>
      <c r="G904" s="0" t="n">
        <f aca="true">CRITBINOM(MAX(0,D904-E904),1-Coefficients!$B$32,RAND())</f>
        <v>0</v>
      </c>
      <c r="H904" s="0" t="n">
        <f aca="true">CRITBINOM(MAX(0,$C904-D904),MIN(0.6,Matchup!$B$40*SQRT($B904)/(1-MIN(0.75,Matchup!$B$39*$B904))),RAND())</f>
        <v>1</v>
      </c>
      <c r="I904" s="0" t="n">
        <f aca="false">6*D904+(D904-E904-G904)+2*F904+3*H904</f>
        <v>17</v>
      </c>
      <c r="J904" s="0" t="n">
        <f aca="true">CRITBINOM($C904,MIN(0.75,Matchup!$C$39*$B904),RAND())</f>
        <v>0</v>
      </c>
      <c r="K904" s="0" t="n">
        <f aca="true">CRITBINOM(J904,Coefficients!$B$30,RAND())</f>
        <v>0</v>
      </c>
      <c r="L904" s="0" t="n">
        <f aca="true">CRITBINOM(K904,Coefficients!$B$31,RAND())</f>
        <v>0</v>
      </c>
      <c r="M904" s="0" t="n">
        <f aca="true">CRITBINOM(MAX(0,J904-K904),1-Coefficients!$B$32,RAND())</f>
        <v>0</v>
      </c>
      <c r="N904" s="0" t="n">
        <f aca="true">CRITBINOM(MAX(0,$C904-J904),MIN(0.6,Matchup!$C$40*SQRT($B904)/(1-MIN(0.75,Matchup!$C$39*$B904))),RAND())</f>
        <v>0</v>
      </c>
      <c r="O904" s="0" t="n">
        <f aca="false">6*J904+(J904-K904-M904)+2*L904+3*N904</f>
        <v>0</v>
      </c>
      <c r="P904" s="0" t="n">
        <f aca="true">RAND()</f>
        <v>0.511320073062124</v>
      </c>
      <c r="Q904" s="0" t="n">
        <f aca="true">RAND()</f>
        <v>0.308100301204674</v>
      </c>
      <c r="R904" s="0" t="n">
        <f aca="false">IF($I904&lt;&gt;$O904,0,IF(P904&lt;Matchup!$B$39,7,IF(P904&lt;Matchup!$B$39+Matchup!$B$40,3,0)))</f>
        <v>0</v>
      </c>
      <c r="S904" s="0" t="n">
        <f aca="false">IF($I904&lt;&gt;$O904,0,IF(Q904&lt;Matchup!$C$39,7,IF(Q904&lt;Matchup!$C$39+Matchup!$C$40,3,0)))</f>
        <v>0</v>
      </c>
      <c r="T904" s="0" t="n">
        <f aca="false">I904+R904</f>
        <v>17</v>
      </c>
      <c r="U904" s="0" t="n">
        <f aca="false">O904+S904</f>
        <v>0</v>
      </c>
      <c r="V904" s="0" t="n">
        <f aca="false">T904-U904</f>
        <v>17</v>
      </c>
      <c r="W904" s="0" t="n">
        <f aca="false">T904+U904</f>
        <v>17</v>
      </c>
    </row>
    <row r="905" customFormat="false" ht="15" hidden="false" customHeight="false" outlineLevel="0" collapsed="false">
      <c r="A905" s="0" t="n">
        <v>902</v>
      </c>
      <c r="B905" s="0" t="n">
        <f aca="true">NORMINV(RAND(),1,Coefficients!$B$22)</f>
        <v>1.04654170803294</v>
      </c>
      <c r="C905" s="0" t="n">
        <f aca="true">MEDIAN(8,16,ROUND(NORMINV(RAND(),Coefficients!$B$20,Coefficients!$B$21),0))</f>
        <v>12</v>
      </c>
      <c r="D905" s="0" t="n">
        <f aca="true">CRITBINOM($C905,MIN(0.75,Matchup!$B$39*$B905),RAND())</f>
        <v>2</v>
      </c>
      <c r="E905" s="0" t="n">
        <f aca="true">CRITBINOM(D905,Coefficients!$B$30,RAND())</f>
        <v>0</v>
      </c>
      <c r="F905" s="0" t="n">
        <f aca="true">CRITBINOM(E905,Coefficients!$B$31,RAND())</f>
        <v>0</v>
      </c>
      <c r="G905" s="0" t="n">
        <f aca="true">CRITBINOM(MAX(0,D905-E905),1-Coefficients!$B$32,RAND())</f>
        <v>0</v>
      </c>
      <c r="H905" s="0" t="n">
        <f aca="true">CRITBINOM(MAX(0,$C905-D905),MIN(0.6,Matchup!$B$40*SQRT($B905)/(1-MIN(0.75,Matchup!$B$39*$B905))),RAND())</f>
        <v>0</v>
      </c>
      <c r="I905" s="0" t="n">
        <f aca="false">6*D905+(D905-E905-G905)+2*F905+3*H905</f>
        <v>14</v>
      </c>
      <c r="J905" s="0" t="n">
        <f aca="true">CRITBINOM($C905,MIN(0.75,Matchup!$C$39*$B905),RAND())</f>
        <v>2</v>
      </c>
      <c r="K905" s="0" t="n">
        <f aca="true">CRITBINOM(J905,Coefficients!$B$30,RAND())</f>
        <v>0</v>
      </c>
      <c r="L905" s="0" t="n">
        <f aca="true">CRITBINOM(K905,Coefficients!$B$31,RAND())</f>
        <v>0</v>
      </c>
      <c r="M905" s="0" t="n">
        <f aca="true">CRITBINOM(MAX(0,J905-K905),1-Coefficients!$B$32,RAND())</f>
        <v>0</v>
      </c>
      <c r="N905" s="0" t="n">
        <f aca="true">CRITBINOM(MAX(0,$C905-J905),MIN(0.6,Matchup!$C$40*SQRT($B905)/(1-MIN(0.75,Matchup!$C$39*$B905))),RAND())</f>
        <v>0</v>
      </c>
      <c r="O905" s="0" t="n">
        <f aca="false">6*J905+(J905-K905-M905)+2*L905+3*N905</f>
        <v>14</v>
      </c>
      <c r="P905" s="0" t="n">
        <f aca="true">RAND()</f>
        <v>0.970710816216729</v>
      </c>
      <c r="Q905" s="0" t="n">
        <f aca="true">RAND()</f>
        <v>0.336048462433789</v>
      </c>
      <c r="R905" s="0" t="n">
        <f aca="false">IF($I905&lt;&gt;$O905,0,IF(P905&lt;Matchup!$B$39,7,IF(P905&lt;Matchup!$B$39+Matchup!$B$40,3,0)))</f>
        <v>0</v>
      </c>
      <c r="S905" s="0" t="n">
        <f aca="false">IF($I905&lt;&gt;$O905,0,IF(Q905&lt;Matchup!$C$39,7,IF(Q905&lt;Matchup!$C$39+Matchup!$C$40,3,0)))</f>
        <v>3</v>
      </c>
      <c r="T905" s="0" t="n">
        <f aca="false">I905+R905</f>
        <v>14</v>
      </c>
      <c r="U905" s="0" t="n">
        <f aca="false">O905+S905</f>
        <v>17</v>
      </c>
      <c r="V905" s="0" t="n">
        <f aca="false">T905-U905</f>
        <v>-3</v>
      </c>
      <c r="W905" s="0" t="n">
        <f aca="false">T905+U905</f>
        <v>31</v>
      </c>
    </row>
    <row r="906" customFormat="false" ht="15" hidden="false" customHeight="false" outlineLevel="0" collapsed="false">
      <c r="A906" s="0" t="n">
        <v>903</v>
      </c>
      <c r="B906" s="0" t="n">
        <f aca="true">NORMINV(RAND(),1,Coefficients!$B$22)</f>
        <v>1.00212266689638</v>
      </c>
      <c r="C906" s="0" t="n">
        <f aca="true">MEDIAN(8,16,ROUND(NORMINV(RAND(),Coefficients!$B$20,Coefficients!$B$21),0))</f>
        <v>12</v>
      </c>
      <c r="D906" s="0" t="n">
        <f aca="true">CRITBINOM($C906,MIN(0.75,Matchup!$B$39*$B906),RAND())</f>
        <v>3</v>
      </c>
      <c r="E906" s="0" t="n">
        <f aca="true">CRITBINOM(D906,Coefficients!$B$30,RAND())</f>
        <v>0</v>
      </c>
      <c r="F906" s="0" t="n">
        <f aca="true">CRITBINOM(E906,Coefficients!$B$31,RAND())</f>
        <v>0</v>
      </c>
      <c r="G906" s="0" t="n">
        <f aca="true">CRITBINOM(MAX(0,D906-E906),1-Coefficients!$B$32,RAND())</f>
        <v>1</v>
      </c>
      <c r="H906" s="0" t="n">
        <f aca="true">CRITBINOM(MAX(0,$C906-D906),MIN(0.6,Matchup!$B$40*SQRT($B906)/(1-MIN(0.75,Matchup!$B$39*$B906))),RAND())</f>
        <v>2</v>
      </c>
      <c r="I906" s="0" t="n">
        <f aca="false">6*D906+(D906-E906-G906)+2*F906+3*H906</f>
        <v>26</v>
      </c>
      <c r="J906" s="0" t="n">
        <f aca="true">CRITBINOM($C906,MIN(0.75,Matchup!$C$39*$B906),RAND())</f>
        <v>4</v>
      </c>
      <c r="K906" s="0" t="n">
        <f aca="true">CRITBINOM(J906,Coefficients!$B$30,RAND())</f>
        <v>0</v>
      </c>
      <c r="L906" s="0" t="n">
        <f aca="true">CRITBINOM(K906,Coefficients!$B$31,RAND())</f>
        <v>0</v>
      </c>
      <c r="M906" s="0" t="n">
        <f aca="true">CRITBINOM(MAX(0,J906-K906),1-Coefficients!$B$32,RAND())</f>
        <v>0</v>
      </c>
      <c r="N906" s="0" t="n">
        <f aca="true">CRITBINOM(MAX(0,$C906-J906),MIN(0.6,Matchup!$C$40*SQRT($B906)/(1-MIN(0.75,Matchup!$C$39*$B906))),RAND())</f>
        <v>0</v>
      </c>
      <c r="O906" s="0" t="n">
        <f aca="false">6*J906+(J906-K906-M906)+2*L906+3*N906</f>
        <v>28</v>
      </c>
      <c r="P906" s="0" t="n">
        <f aca="true">RAND()</f>
        <v>0.0265207533592832</v>
      </c>
      <c r="Q906" s="0" t="n">
        <f aca="true">RAND()</f>
        <v>0.93558019964377</v>
      </c>
      <c r="R906" s="0" t="n">
        <f aca="false">IF($I906&lt;&gt;$O906,0,IF(P906&lt;Matchup!$B$39,7,IF(P906&lt;Matchup!$B$39+Matchup!$B$40,3,0)))</f>
        <v>0</v>
      </c>
      <c r="S906" s="0" t="n">
        <f aca="false">IF($I906&lt;&gt;$O906,0,IF(Q906&lt;Matchup!$C$39,7,IF(Q906&lt;Matchup!$C$39+Matchup!$C$40,3,0)))</f>
        <v>0</v>
      </c>
      <c r="T906" s="0" t="n">
        <f aca="false">I906+R906</f>
        <v>26</v>
      </c>
      <c r="U906" s="0" t="n">
        <f aca="false">O906+S906</f>
        <v>28</v>
      </c>
      <c r="V906" s="0" t="n">
        <f aca="false">T906-U906</f>
        <v>-2</v>
      </c>
      <c r="W906" s="0" t="n">
        <f aca="false">T906+U906</f>
        <v>54</v>
      </c>
    </row>
    <row r="907" customFormat="false" ht="15" hidden="false" customHeight="false" outlineLevel="0" collapsed="false">
      <c r="A907" s="0" t="n">
        <v>904</v>
      </c>
      <c r="B907" s="0" t="n">
        <f aca="true">NORMINV(RAND(),1,Coefficients!$B$22)</f>
        <v>0.921961527578557</v>
      </c>
      <c r="C907" s="0" t="n">
        <f aca="true">MEDIAN(8,16,ROUND(NORMINV(RAND(),Coefficients!$B$20,Coefficients!$B$21),0))</f>
        <v>11</v>
      </c>
      <c r="D907" s="0" t="n">
        <f aca="true">CRITBINOM($C907,MIN(0.75,Matchup!$B$39*$B907),RAND())</f>
        <v>4</v>
      </c>
      <c r="E907" s="0" t="n">
        <f aca="true">CRITBINOM(D907,Coefficients!$B$30,RAND())</f>
        <v>1</v>
      </c>
      <c r="F907" s="0" t="n">
        <f aca="true">CRITBINOM(E907,Coefficients!$B$31,RAND())</f>
        <v>1</v>
      </c>
      <c r="G907" s="0" t="n">
        <f aca="true">CRITBINOM(MAX(0,D907-E907),1-Coefficients!$B$32,RAND())</f>
        <v>0</v>
      </c>
      <c r="H907" s="0" t="n">
        <f aca="true">CRITBINOM(MAX(0,$C907-D907),MIN(0.6,Matchup!$B$40*SQRT($B907)/(1-MIN(0.75,Matchup!$B$39*$B907))),RAND())</f>
        <v>0</v>
      </c>
      <c r="I907" s="0" t="n">
        <f aca="false">6*D907+(D907-E907-G907)+2*F907+3*H907</f>
        <v>29</v>
      </c>
      <c r="J907" s="0" t="n">
        <f aca="true">CRITBINOM($C907,MIN(0.75,Matchup!$C$39*$B907),RAND())</f>
        <v>4</v>
      </c>
      <c r="K907" s="0" t="n">
        <f aca="true">CRITBINOM(J907,Coefficients!$B$30,RAND())</f>
        <v>0</v>
      </c>
      <c r="L907" s="0" t="n">
        <f aca="true">CRITBINOM(K907,Coefficients!$B$31,RAND())</f>
        <v>0</v>
      </c>
      <c r="M907" s="0" t="n">
        <f aca="true">CRITBINOM(MAX(0,J907-K907),1-Coefficients!$B$32,RAND())</f>
        <v>1</v>
      </c>
      <c r="N907" s="0" t="n">
        <f aca="true">CRITBINOM(MAX(0,$C907-J907),MIN(0.6,Matchup!$C$40*SQRT($B907)/(1-MIN(0.75,Matchup!$C$39*$B907))),RAND())</f>
        <v>2</v>
      </c>
      <c r="O907" s="0" t="n">
        <f aca="false">6*J907+(J907-K907-M907)+2*L907+3*N907</f>
        <v>33</v>
      </c>
      <c r="P907" s="0" t="n">
        <f aca="true">RAND()</f>
        <v>0.204972288489872</v>
      </c>
      <c r="Q907" s="0" t="n">
        <f aca="true">RAND()</f>
        <v>0.76691313052311</v>
      </c>
      <c r="R907" s="0" t="n">
        <f aca="false">IF($I907&lt;&gt;$O907,0,IF(P907&lt;Matchup!$B$39,7,IF(P907&lt;Matchup!$B$39+Matchup!$B$40,3,0)))</f>
        <v>0</v>
      </c>
      <c r="S907" s="0" t="n">
        <f aca="false">IF($I907&lt;&gt;$O907,0,IF(Q907&lt;Matchup!$C$39,7,IF(Q907&lt;Matchup!$C$39+Matchup!$C$40,3,0)))</f>
        <v>0</v>
      </c>
      <c r="T907" s="0" t="n">
        <f aca="false">I907+R907</f>
        <v>29</v>
      </c>
      <c r="U907" s="0" t="n">
        <f aca="false">O907+S907</f>
        <v>33</v>
      </c>
      <c r="V907" s="0" t="n">
        <f aca="false">T907-U907</f>
        <v>-4</v>
      </c>
      <c r="W907" s="0" t="n">
        <f aca="false">T907+U907</f>
        <v>62</v>
      </c>
    </row>
    <row r="908" customFormat="false" ht="15" hidden="false" customHeight="false" outlineLevel="0" collapsed="false">
      <c r="A908" s="0" t="n">
        <v>905</v>
      </c>
      <c r="B908" s="0" t="n">
        <f aca="true">NORMINV(RAND(),1,Coefficients!$B$22)</f>
        <v>1.05229808276862</v>
      </c>
      <c r="C908" s="0" t="n">
        <f aca="true">MEDIAN(8,16,ROUND(NORMINV(RAND(),Coefficients!$B$20,Coefficients!$B$21),0))</f>
        <v>11</v>
      </c>
      <c r="D908" s="0" t="n">
        <f aca="true">CRITBINOM($C908,MIN(0.75,Matchup!$B$39*$B908),RAND())</f>
        <v>4</v>
      </c>
      <c r="E908" s="0" t="n">
        <f aca="true">CRITBINOM(D908,Coefficients!$B$30,RAND())</f>
        <v>0</v>
      </c>
      <c r="F908" s="0" t="n">
        <f aca="true">CRITBINOM(E908,Coefficients!$B$31,RAND())</f>
        <v>0</v>
      </c>
      <c r="G908" s="0" t="n">
        <f aca="true">CRITBINOM(MAX(0,D908-E908),1-Coefficients!$B$32,RAND())</f>
        <v>1</v>
      </c>
      <c r="H908" s="0" t="n">
        <f aca="true">CRITBINOM(MAX(0,$C908-D908),MIN(0.6,Matchup!$B$40*SQRT($B908)/(1-MIN(0.75,Matchup!$B$39*$B908))),RAND())</f>
        <v>1</v>
      </c>
      <c r="I908" s="0" t="n">
        <f aca="false">6*D908+(D908-E908-G908)+2*F908+3*H908</f>
        <v>30</v>
      </c>
      <c r="J908" s="0" t="n">
        <f aca="true">CRITBINOM($C908,MIN(0.75,Matchup!$C$39*$B908),RAND())</f>
        <v>4</v>
      </c>
      <c r="K908" s="0" t="n">
        <f aca="true">CRITBINOM(J908,Coefficients!$B$30,RAND())</f>
        <v>0</v>
      </c>
      <c r="L908" s="0" t="n">
        <f aca="true">CRITBINOM(K908,Coefficients!$B$31,RAND())</f>
        <v>0</v>
      </c>
      <c r="M908" s="0" t="n">
        <f aca="true">CRITBINOM(MAX(0,J908-K908),1-Coefficients!$B$32,RAND())</f>
        <v>0</v>
      </c>
      <c r="N908" s="0" t="n">
        <f aca="true">CRITBINOM(MAX(0,$C908-J908),MIN(0.6,Matchup!$C$40*SQRT($B908)/(1-MIN(0.75,Matchup!$C$39*$B908))),RAND())</f>
        <v>1</v>
      </c>
      <c r="O908" s="0" t="n">
        <f aca="false">6*J908+(J908-K908-M908)+2*L908+3*N908</f>
        <v>31</v>
      </c>
      <c r="P908" s="0" t="n">
        <f aca="true">RAND()</f>
        <v>0.322498227655798</v>
      </c>
      <c r="Q908" s="0" t="n">
        <f aca="true">RAND()</f>
        <v>0.107963167754763</v>
      </c>
      <c r="R908" s="0" t="n">
        <f aca="false">IF($I908&lt;&gt;$O908,0,IF(P908&lt;Matchup!$B$39,7,IF(P908&lt;Matchup!$B$39+Matchup!$B$40,3,0)))</f>
        <v>0</v>
      </c>
      <c r="S908" s="0" t="n">
        <f aca="false">IF($I908&lt;&gt;$O908,0,IF(Q908&lt;Matchup!$C$39,7,IF(Q908&lt;Matchup!$C$39+Matchup!$C$40,3,0)))</f>
        <v>0</v>
      </c>
      <c r="T908" s="0" t="n">
        <f aca="false">I908+R908</f>
        <v>30</v>
      </c>
      <c r="U908" s="0" t="n">
        <f aca="false">O908+S908</f>
        <v>31</v>
      </c>
      <c r="V908" s="0" t="n">
        <f aca="false">T908-U908</f>
        <v>-1</v>
      </c>
      <c r="W908" s="0" t="n">
        <f aca="false">T908+U908</f>
        <v>61</v>
      </c>
    </row>
    <row r="909" customFormat="false" ht="15" hidden="false" customHeight="false" outlineLevel="0" collapsed="false">
      <c r="A909" s="0" t="n">
        <v>906</v>
      </c>
      <c r="B909" s="0" t="n">
        <f aca="true">NORMINV(RAND(),1,Coefficients!$B$22)</f>
        <v>0.911107181577726</v>
      </c>
      <c r="C909" s="0" t="n">
        <f aca="true">MEDIAN(8,16,ROUND(NORMINV(RAND(),Coefficients!$B$20,Coefficients!$B$21),0))</f>
        <v>11</v>
      </c>
      <c r="D909" s="0" t="n">
        <f aca="true">CRITBINOM($C909,MIN(0.75,Matchup!$B$39*$B909),RAND())</f>
        <v>2</v>
      </c>
      <c r="E909" s="0" t="n">
        <f aca="true">CRITBINOM(D909,Coefficients!$B$30,RAND())</f>
        <v>0</v>
      </c>
      <c r="F909" s="0" t="n">
        <f aca="true">CRITBINOM(E909,Coefficients!$B$31,RAND())</f>
        <v>0</v>
      </c>
      <c r="G909" s="0" t="n">
        <f aca="true">CRITBINOM(MAX(0,D909-E909),1-Coefficients!$B$32,RAND())</f>
        <v>0</v>
      </c>
      <c r="H909" s="0" t="n">
        <f aca="true">CRITBINOM(MAX(0,$C909-D909),MIN(0.6,Matchup!$B$40*SQRT($B909)/(1-MIN(0.75,Matchup!$B$39*$B909))),RAND())</f>
        <v>0</v>
      </c>
      <c r="I909" s="0" t="n">
        <f aca="false">6*D909+(D909-E909-G909)+2*F909+3*H909</f>
        <v>14</v>
      </c>
      <c r="J909" s="0" t="n">
        <f aca="true">CRITBINOM($C909,MIN(0.75,Matchup!$C$39*$B909),RAND())</f>
        <v>2</v>
      </c>
      <c r="K909" s="0" t="n">
        <f aca="true">CRITBINOM(J909,Coefficients!$B$30,RAND())</f>
        <v>0</v>
      </c>
      <c r="L909" s="0" t="n">
        <f aca="true">CRITBINOM(K909,Coefficients!$B$31,RAND())</f>
        <v>0</v>
      </c>
      <c r="M909" s="0" t="n">
        <f aca="true">CRITBINOM(MAX(0,J909-K909),1-Coefficients!$B$32,RAND())</f>
        <v>0</v>
      </c>
      <c r="N909" s="0" t="n">
        <f aca="true">CRITBINOM(MAX(0,$C909-J909),MIN(0.6,Matchup!$C$40*SQRT($B909)/(1-MIN(0.75,Matchup!$C$39*$B909))),RAND())</f>
        <v>0</v>
      </c>
      <c r="O909" s="0" t="n">
        <f aca="false">6*J909+(J909-K909-M909)+2*L909+3*N909</f>
        <v>14</v>
      </c>
      <c r="P909" s="0" t="n">
        <f aca="true">RAND()</f>
        <v>0.381579177524898</v>
      </c>
      <c r="Q909" s="0" t="n">
        <f aca="true">RAND()</f>
        <v>0.638950699657323</v>
      </c>
      <c r="R909" s="0" t="n">
        <f aca="false">IF($I909&lt;&gt;$O909,0,IF(P909&lt;Matchup!$B$39,7,IF(P909&lt;Matchup!$B$39+Matchup!$B$40,3,0)))</f>
        <v>3</v>
      </c>
      <c r="S909" s="0" t="n">
        <f aca="false">IF($I909&lt;&gt;$O909,0,IF(Q909&lt;Matchup!$C$39,7,IF(Q909&lt;Matchup!$C$39+Matchup!$C$40,3,0)))</f>
        <v>0</v>
      </c>
      <c r="T909" s="0" t="n">
        <f aca="false">I909+R909</f>
        <v>17</v>
      </c>
      <c r="U909" s="0" t="n">
        <f aca="false">O909+S909</f>
        <v>14</v>
      </c>
      <c r="V909" s="0" t="n">
        <f aca="false">T909-U909</f>
        <v>3</v>
      </c>
      <c r="W909" s="0" t="n">
        <f aca="false">T909+U909</f>
        <v>31</v>
      </c>
    </row>
    <row r="910" customFormat="false" ht="15" hidden="false" customHeight="false" outlineLevel="0" collapsed="false">
      <c r="A910" s="0" t="n">
        <v>907</v>
      </c>
      <c r="B910" s="0" t="n">
        <f aca="true">NORMINV(RAND(),1,Coefficients!$B$22)</f>
        <v>0.962986771696161</v>
      </c>
      <c r="C910" s="0" t="n">
        <f aca="true">MEDIAN(8,16,ROUND(NORMINV(RAND(),Coefficients!$B$20,Coefficients!$B$21),0))</f>
        <v>11</v>
      </c>
      <c r="D910" s="0" t="n">
        <f aca="true">CRITBINOM($C910,MIN(0.75,Matchup!$B$39*$B910),RAND())</f>
        <v>3</v>
      </c>
      <c r="E910" s="0" t="n">
        <f aca="true">CRITBINOM(D910,Coefficients!$B$30,RAND())</f>
        <v>0</v>
      </c>
      <c r="F910" s="0" t="n">
        <f aca="true">CRITBINOM(E910,Coefficients!$B$31,RAND())</f>
        <v>0</v>
      </c>
      <c r="G910" s="0" t="n">
        <f aca="true">CRITBINOM(MAX(0,D910-E910),1-Coefficients!$B$32,RAND())</f>
        <v>0</v>
      </c>
      <c r="H910" s="0" t="n">
        <f aca="true">CRITBINOM(MAX(0,$C910-D910),MIN(0.6,Matchup!$B$40*SQRT($B910)/(1-MIN(0.75,Matchup!$B$39*$B910))),RAND())</f>
        <v>2</v>
      </c>
      <c r="I910" s="0" t="n">
        <f aca="false">6*D910+(D910-E910-G910)+2*F910+3*H910</f>
        <v>27</v>
      </c>
      <c r="J910" s="0" t="n">
        <f aca="true">CRITBINOM($C910,MIN(0.75,Matchup!$C$39*$B910),RAND())</f>
        <v>4</v>
      </c>
      <c r="K910" s="0" t="n">
        <f aca="true">CRITBINOM(J910,Coefficients!$B$30,RAND())</f>
        <v>0</v>
      </c>
      <c r="L910" s="0" t="n">
        <f aca="true">CRITBINOM(K910,Coefficients!$B$31,RAND())</f>
        <v>0</v>
      </c>
      <c r="M910" s="0" t="n">
        <f aca="true">CRITBINOM(MAX(0,J910-K910),1-Coefficients!$B$32,RAND())</f>
        <v>0</v>
      </c>
      <c r="N910" s="0" t="n">
        <f aca="true">CRITBINOM(MAX(0,$C910-J910),MIN(0.6,Matchup!$C$40*SQRT($B910)/(1-MIN(0.75,Matchup!$C$39*$B910))),RAND())</f>
        <v>1</v>
      </c>
      <c r="O910" s="0" t="n">
        <f aca="false">6*J910+(J910-K910-M910)+2*L910+3*N910</f>
        <v>31</v>
      </c>
      <c r="P910" s="0" t="n">
        <f aca="true">RAND()</f>
        <v>0.0615151573491011</v>
      </c>
      <c r="Q910" s="0" t="n">
        <f aca="true">RAND()</f>
        <v>0.336826940707182</v>
      </c>
      <c r="R910" s="0" t="n">
        <f aca="false">IF($I910&lt;&gt;$O910,0,IF(P910&lt;Matchup!$B$39,7,IF(P910&lt;Matchup!$B$39+Matchup!$B$40,3,0)))</f>
        <v>0</v>
      </c>
      <c r="S910" s="0" t="n">
        <f aca="false">IF($I910&lt;&gt;$O910,0,IF(Q910&lt;Matchup!$C$39,7,IF(Q910&lt;Matchup!$C$39+Matchup!$C$40,3,0)))</f>
        <v>0</v>
      </c>
      <c r="T910" s="0" t="n">
        <f aca="false">I910+R910</f>
        <v>27</v>
      </c>
      <c r="U910" s="0" t="n">
        <f aca="false">O910+S910</f>
        <v>31</v>
      </c>
      <c r="V910" s="0" t="n">
        <f aca="false">T910-U910</f>
        <v>-4</v>
      </c>
      <c r="W910" s="0" t="n">
        <f aca="false">T910+U910</f>
        <v>58</v>
      </c>
    </row>
    <row r="911" customFormat="false" ht="15" hidden="false" customHeight="false" outlineLevel="0" collapsed="false">
      <c r="A911" s="0" t="n">
        <v>908</v>
      </c>
      <c r="B911" s="0" t="n">
        <f aca="true">NORMINV(RAND(),1,Coefficients!$B$22)</f>
        <v>1.16235603188963</v>
      </c>
      <c r="C911" s="0" t="n">
        <f aca="true">MEDIAN(8,16,ROUND(NORMINV(RAND(),Coefficients!$B$20,Coefficients!$B$21),0))</f>
        <v>9</v>
      </c>
      <c r="D911" s="0" t="n">
        <f aca="true">CRITBINOM($C911,MIN(0.75,Matchup!$B$39*$B911),RAND())</f>
        <v>2</v>
      </c>
      <c r="E911" s="0" t="n">
        <f aca="true">CRITBINOM(D911,Coefficients!$B$30,RAND())</f>
        <v>0</v>
      </c>
      <c r="F911" s="0" t="n">
        <f aca="true">CRITBINOM(E911,Coefficients!$B$31,RAND())</f>
        <v>0</v>
      </c>
      <c r="G911" s="0" t="n">
        <f aca="true">CRITBINOM(MAX(0,D911-E911),1-Coefficients!$B$32,RAND())</f>
        <v>0</v>
      </c>
      <c r="H911" s="0" t="n">
        <f aca="true">CRITBINOM(MAX(0,$C911-D911),MIN(0.6,Matchup!$B$40*SQRT($B911)/(1-MIN(0.75,Matchup!$B$39*$B911))),RAND())</f>
        <v>0</v>
      </c>
      <c r="I911" s="0" t="n">
        <f aca="false">6*D911+(D911-E911-G911)+2*F911+3*H911</f>
        <v>14</v>
      </c>
      <c r="J911" s="0" t="n">
        <f aca="true">CRITBINOM($C911,MIN(0.75,Matchup!$C$39*$B911),RAND())</f>
        <v>3</v>
      </c>
      <c r="K911" s="0" t="n">
        <f aca="true">CRITBINOM(J911,Coefficients!$B$30,RAND())</f>
        <v>0</v>
      </c>
      <c r="L911" s="0" t="n">
        <f aca="true">CRITBINOM(K911,Coefficients!$B$31,RAND())</f>
        <v>0</v>
      </c>
      <c r="M911" s="0" t="n">
        <f aca="true">CRITBINOM(MAX(0,J911-K911),1-Coefficients!$B$32,RAND())</f>
        <v>0</v>
      </c>
      <c r="N911" s="0" t="n">
        <f aca="true">CRITBINOM(MAX(0,$C911-J911),MIN(0.6,Matchup!$C$40*SQRT($B911)/(1-MIN(0.75,Matchup!$C$39*$B911))),RAND())</f>
        <v>1</v>
      </c>
      <c r="O911" s="0" t="n">
        <f aca="false">6*J911+(J911-K911-M911)+2*L911+3*N911</f>
        <v>24</v>
      </c>
      <c r="P911" s="0" t="n">
        <f aca="true">RAND()</f>
        <v>0.746492433014468</v>
      </c>
      <c r="Q911" s="0" t="n">
        <f aca="true">RAND()</f>
        <v>0.747671883344102</v>
      </c>
      <c r="R911" s="0" t="n">
        <f aca="false">IF($I911&lt;&gt;$O911,0,IF(P911&lt;Matchup!$B$39,7,IF(P911&lt;Matchup!$B$39+Matchup!$B$40,3,0)))</f>
        <v>0</v>
      </c>
      <c r="S911" s="0" t="n">
        <f aca="false">IF($I911&lt;&gt;$O911,0,IF(Q911&lt;Matchup!$C$39,7,IF(Q911&lt;Matchup!$C$39+Matchup!$C$40,3,0)))</f>
        <v>0</v>
      </c>
      <c r="T911" s="0" t="n">
        <f aca="false">I911+R911</f>
        <v>14</v>
      </c>
      <c r="U911" s="0" t="n">
        <f aca="false">O911+S911</f>
        <v>24</v>
      </c>
      <c r="V911" s="0" t="n">
        <f aca="false">T911-U911</f>
        <v>-10</v>
      </c>
      <c r="W911" s="0" t="n">
        <f aca="false">T911+U911</f>
        <v>38</v>
      </c>
    </row>
    <row r="912" customFormat="false" ht="15" hidden="false" customHeight="false" outlineLevel="0" collapsed="false">
      <c r="A912" s="0" t="n">
        <v>909</v>
      </c>
      <c r="B912" s="0" t="n">
        <f aca="true">NORMINV(RAND(),1,Coefficients!$B$22)</f>
        <v>0.961187124379795</v>
      </c>
      <c r="C912" s="0" t="n">
        <f aca="true">MEDIAN(8,16,ROUND(NORMINV(RAND(),Coefficients!$B$20,Coefficients!$B$21),0))</f>
        <v>10</v>
      </c>
      <c r="D912" s="0" t="n">
        <f aca="true">CRITBINOM($C912,MIN(0.75,Matchup!$B$39*$B912),RAND())</f>
        <v>0</v>
      </c>
      <c r="E912" s="0" t="n">
        <f aca="true">CRITBINOM(D912,Coefficients!$B$30,RAND())</f>
        <v>0</v>
      </c>
      <c r="F912" s="0" t="n">
        <f aca="true">CRITBINOM(E912,Coefficients!$B$31,RAND())</f>
        <v>0</v>
      </c>
      <c r="G912" s="0" t="n">
        <f aca="true">CRITBINOM(MAX(0,D912-E912),1-Coefficients!$B$32,RAND())</f>
        <v>0</v>
      </c>
      <c r="H912" s="0" t="n">
        <f aca="true">CRITBINOM(MAX(0,$C912-D912),MIN(0.6,Matchup!$B$40*SQRT($B912)/(1-MIN(0.75,Matchup!$B$39*$B912))),RAND())</f>
        <v>3</v>
      </c>
      <c r="I912" s="0" t="n">
        <f aca="false">6*D912+(D912-E912-G912)+2*F912+3*H912</f>
        <v>9</v>
      </c>
      <c r="J912" s="0" t="n">
        <f aca="true">CRITBINOM($C912,MIN(0.75,Matchup!$C$39*$B912),RAND())</f>
        <v>1</v>
      </c>
      <c r="K912" s="0" t="n">
        <f aca="true">CRITBINOM(J912,Coefficients!$B$30,RAND())</f>
        <v>0</v>
      </c>
      <c r="L912" s="0" t="n">
        <f aca="true">CRITBINOM(K912,Coefficients!$B$31,RAND())</f>
        <v>0</v>
      </c>
      <c r="M912" s="0" t="n">
        <f aca="true">CRITBINOM(MAX(0,J912-K912),1-Coefficients!$B$32,RAND())</f>
        <v>0</v>
      </c>
      <c r="N912" s="0" t="n">
        <f aca="true">CRITBINOM(MAX(0,$C912-J912),MIN(0.6,Matchup!$C$40*SQRT($B912)/(1-MIN(0.75,Matchup!$C$39*$B912))),RAND())</f>
        <v>1</v>
      </c>
      <c r="O912" s="0" t="n">
        <f aca="false">6*J912+(J912-K912-M912)+2*L912+3*N912</f>
        <v>10</v>
      </c>
      <c r="P912" s="0" t="n">
        <f aca="true">RAND()</f>
        <v>0.0395806837878586</v>
      </c>
      <c r="Q912" s="0" t="n">
        <f aca="true">RAND()</f>
        <v>0.951763233919358</v>
      </c>
      <c r="R912" s="0" t="n">
        <f aca="false">IF($I912&lt;&gt;$O912,0,IF(P912&lt;Matchup!$B$39,7,IF(P912&lt;Matchup!$B$39+Matchup!$B$40,3,0)))</f>
        <v>0</v>
      </c>
      <c r="S912" s="0" t="n">
        <f aca="false">IF($I912&lt;&gt;$O912,0,IF(Q912&lt;Matchup!$C$39,7,IF(Q912&lt;Matchup!$C$39+Matchup!$C$40,3,0)))</f>
        <v>0</v>
      </c>
      <c r="T912" s="0" t="n">
        <f aca="false">I912+R912</f>
        <v>9</v>
      </c>
      <c r="U912" s="0" t="n">
        <f aca="false">O912+S912</f>
        <v>10</v>
      </c>
      <c r="V912" s="0" t="n">
        <f aca="false">T912-U912</f>
        <v>-1</v>
      </c>
      <c r="W912" s="0" t="n">
        <f aca="false">T912+U912</f>
        <v>19</v>
      </c>
    </row>
    <row r="913" customFormat="false" ht="15" hidden="false" customHeight="false" outlineLevel="0" collapsed="false">
      <c r="A913" s="0" t="n">
        <v>910</v>
      </c>
      <c r="B913" s="0" t="n">
        <f aca="true">NORMINV(RAND(),1,Coefficients!$B$22)</f>
        <v>1.02907348532868</v>
      </c>
      <c r="C913" s="0" t="n">
        <f aca="true">MEDIAN(8,16,ROUND(NORMINV(RAND(),Coefficients!$B$20,Coefficients!$B$21),0))</f>
        <v>12</v>
      </c>
      <c r="D913" s="0" t="n">
        <f aca="true">CRITBINOM($C913,MIN(0.75,Matchup!$B$39*$B913),RAND())</f>
        <v>6</v>
      </c>
      <c r="E913" s="0" t="n">
        <f aca="true">CRITBINOM(D913,Coefficients!$B$30,RAND())</f>
        <v>0</v>
      </c>
      <c r="F913" s="0" t="n">
        <f aca="true">CRITBINOM(E913,Coefficients!$B$31,RAND())</f>
        <v>0</v>
      </c>
      <c r="G913" s="0" t="n">
        <f aca="true">CRITBINOM(MAX(0,D913-E913),1-Coefficients!$B$32,RAND())</f>
        <v>1</v>
      </c>
      <c r="H913" s="0" t="n">
        <f aca="true">CRITBINOM(MAX(0,$C913-D913),MIN(0.6,Matchup!$B$40*SQRT($B913)/(1-MIN(0.75,Matchup!$B$39*$B913))),RAND())</f>
        <v>1</v>
      </c>
      <c r="I913" s="0" t="n">
        <f aca="false">6*D913+(D913-E913-G913)+2*F913+3*H913</f>
        <v>44</v>
      </c>
      <c r="J913" s="0" t="n">
        <f aca="true">CRITBINOM($C913,MIN(0.75,Matchup!$C$39*$B913),RAND())</f>
        <v>2</v>
      </c>
      <c r="K913" s="0" t="n">
        <f aca="true">CRITBINOM(J913,Coefficients!$B$30,RAND())</f>
        <v>0</v>
      </c>
      <c r="L913" s="0" t="n">
        <f aca="true">CRITBINOM(K913,Coefficients!$B$31,RAND())</f>
        <v>0</v>
      </c>
      <c r="M913" s="0" t="n">
        <f aca="true">CRITBINOM(MAX(0,J913-K913),1-Coefficients!$B$32,RAND())</f>
        <v>0</v>
      </c>
      <c r="N913" s="0" t="n">
        <f aca="true">CRITBINOM(MAX(0,$C913-J913),MIN(0.6,Matchup!$C$40*SQRT($B913)/(1-MIN(0.75,Matchup!$C$39*$B913))),RAND())</f>
        <v>2</v>
      </c>
      <c r="O913" s="0" t="n">
        <f aca="false">6*J913+(J913-K913-M913)+2*L913+3*N913</f>
        <v>20</v>
      </c>
      <c r="P913" s="0" t="n">
        <f aca="true">RAND()</f>
        <v>0.0815538972158635</v>
      </c>
      <c r="Q913" s="0" t="n">
        <f aca="true">RAND()</f>
        <v>0.0328650096782107</v>
      </c>
      <c r="R913" s="0" t="n">
        <f aca="false">IF($I913&lt;&gt;$O913,0,IF(P913&lt;Matchup!$B$39,7,IF(P913&lt;Matchup!$B$39+Matchup!$B$40,3,0)))</f>
        <v>0</v>
      </c>
      <c r="S913" s="0" t="n">
        <f aca="false">IF($I913&lt;&gt;$O913,0,IF(Q913&lt;Matchup!$C$39,7,IF(Q913&lt;Matchup!$C$39+Matchup!$C$40,3,0)))</f>
        <v>0</v>
      </c>
      <c r="T913" s="0" t="n">
        <f aca="false">I913+R913</f>
        <v>44</v>
      </c>
      <c r="U913" s="0" t="n">
        <f aca="false">O913+S913</f>
        <v>20</v>
      </c>
      <c r="V913" s="0" t="n">
        <f aca="false">T913-U913</f>
        <v>24</v>
      </c>
      <c r="W913" s="0" t="n">
        <f aca="false">T913+U913</f>
        <v>64</v>
      </c>
    </row>
    <row r="914" customFormat="false" ht="15" hidden="false" customHeight="false" outlineLevel="0" collapsed="false">
      <c r="A914" s="0" t="n">
        <v>911</v>
      </c>
      <c r="B914" s="0" t="n">
        <f aca="true">NORMINV(RAND(),1,Coefficients!$B$22)</f>
        <v>0.994682754751041</v>
      </c>
      <c r="C914" s="0" t="n">
        <f aca="true">MEDIAN(8,16,ROUND(NORMINV(RAND(),Coefficients!$B$20,Coefficients!$B$21),0))</f>
        <v>11</v>
      </c>
      <c r="D914" s="0" t="n">
        <f aca="true">CRITBINOM($C914,MIN(0.75,Matchup!$B$39*$B914),RAND())</f>
        <v>2</v>
      </c>
      <c r="E914" s="0" t="n">
        <f aca="true">CRITBINOM(D914,Coefficients!$B$30,RAND())</f>
        <v>0</v>
      </c>
      <c r="F914" s="0" t="n">
        <f aca="true">CRITBINOM(E914,Coefficients!$B$31,RAND())</f>
        <v>0</v>
      </c>
      <c r="G914" s="0" t="n">
        <f aca="true">CRITBINOM(MAX(0,D914-E914),1-Coefficients!$B$32,RAND())</f>
        <v>0</v>
      </c>
      <c r="H914" s="0" t="n">
        <f aca="true">CRITBINOM(MAX(0,$C914-D914),MIN(0.6,Matchup!$B$40*SQRT($B914)/(1-MIN(0.75,Matchup!$B$39*$B914))),RAND())</f>
        <v>0</v>
      </c>
      <c r="I914" s="0" t="n">
        <f aca="false">6*D914+(D914-E914-G914)+2*F914+3*H914</f>
        <v>14</v>
      </c>
      <c r="J914" s="0" t="n">
        <f aca="true">CRITBINOM($C914,MIN(0.75,Matchup!$C$39*$B914),RAND())</f>
        <v>2</v>
      </c>
      <c r="K914" s="0" t="n">
        <f aca="true">CRITBINOM(J914,Coefficients!$B$30,RAND())</f>
        <v>0</v>
      </c>
      <c r="L914" s="0" t="n">
        <f aca="true">CRITBINOM(K914,Coefficients!$B$31,RAND())</f>
        <v>0</v>
      </c>
      <c r="M914" s="0" t="n">
        <f aca="true">CRITBINOM(MAX(0,J914-K914),1-Coefficients!$B$32,RAND())</f>
        <v>0</v>
      </c>
      <c r="N914" s="0" t="n">
        <f aca="true">CRITBINOM(MAX(0,$C914-J914),MIN(0.6,Matchup!$C$40*SQRT($B914)/(1-MIN(0.75,Matchup!$C$39*$B914))),RAND())</f>
        <v>1</v>
      </c>
      <c r="O914" s="0" t="n">
        <f aca="false">6*J914+(J914-K914-M914)+2*L914+3*N914</f>
        <v>17</v>
      </c>
      <c r="P914" s="0" t="n">
        <f aca="true">RAND()</f>
        <v>0.950746418203146</v>
      </c>
      <c r="Q914" s="0" t="n">
        <f aca="true">RAND()</f>
        <v>0.219070073502735</v>
      </c>
      <c r="R914" s="0" t="n">
        <f aca="false">IF($I914&lt;&gt;$O914,0,IF(P914&lt;Matchup!$B$39,7,IF(P914&lt;Matchup!$B$39+Matchup!$B$40,3,0)))</f>
        <v>0</v>
      </c>
      <c r="S914" s="0" t="n">
        <f aca="false">IF($I914&lt;&gt;$O914,0,IF(Q914&lt;Matchup!$C$39,7,IF(Q914&lt;Matchup!$C$39+Matchup!$C$40,3,0)))</f>
        <v>0</v>
      </c>
      <c r="T914" s="0" t="n">
        <f aca="false">I914+R914</f>
        <v>14</v>
      </c>
      <c r="U914" s="0" t="n">
        <f aca="false">O914+S914</f>
        <v>17</v>
      </c>
      <c r="V914" s="0" t="n">
        <f aca="false">T914-U914</f>
        <v>-3</v>
      </c>
      <c r="W914" s="0" t="n">
        <f aca="false">T914+U914</f>
        <v>31</v>
      </c>
    </row>
    <row r="915" customFormat="false" ht="15" hidden="false" customHeight="false" outlineLevel="0" collapsed="false">
      <c r="A915" s="0" t="n">
        <v>912</v>
      </c>
      <c r="B915" s="0" t="n">
        <f aca="true">NORMINV(RAND(),1,Coefficients!$B$22)</f>
        <v>1.02777379789103</v>
      </c>
      <c r="C915" s="0" t="n">
        <f aca="true">MEDIAN(8,16,ROUND(NORMINV(RAND(),Coefficients!$B$20,Coefficients!$B$21),0))</f>
        <v>11</v>
      </c>
      <c r="D915" s="0" t="n">
        <f aca="true">CRITBINOM($C915,MIN(0.75,Matchup!$B$39*$B915),RAND())</f>
        <v>1</v>
      </c>
      <c r="E915" s="0" t="n">
        <f aca="true">CRITBINOM(D915,Coefficients!$B$30,RAND())</f>
        <v>0</v>
      </c>
      <c r="F915" s="0" t="n">
        <f aca="true">CRITBINOM(E915,Coefficients!$B$31,RAND())</f>
        <v>0</v>
      </c>
      <c r="G915" s="0" t="n">
        <f aca="true">CRITBINOM(MAX(0,D915-E915),1-Coefficients!$B$32,RAND())</f>
        <v>0</v>
      </c>
      <c r="H915" s="0" t="n">
        <f aca="true">CRITBINOM(MAX(0,$C915-D915),MIN(0.6,Matchup!$B$40*SQRT($B915)/(1-MIN(0.75,Matchup!$B$39*$B915))),RAND())</f>
        <v>3</v>
      </c>
      <c r="I915" s="0" t="n">
        <f aca="false">6*D915+(D915-E915-G915)+2*F915+3*H915</f>
        <v>16</v>
      </c>
      <c r="J915" s="0" t="n">
        <f aca="true">CRITBINOM($C915,MIN(0.75,Matchup!$C$39*$B915),RAND())</f>
        <v>5</v>
      </c>
      <c r="K915" s="0" t="n">
        <f aca="true">CRITBINOM(J915,Coefficients!$B$30,RAND())</f>
        <v>0</v>
      </c>
      <c r="L915" s="0" t="n">
        <f aca="true">CRITBINOM(K915,Coefficients!$B$31,RAND())</f>
        <v>0</v>
      </c>
      <c r="M915" s="0" t="n">
        <f aca="true">CRITBINOM(MAX(0,J915-K915),1-Coefficients!$B$32,RAND())</f>
        <v>2</v>
      </c>
      <c r="N915" s="0" t="n">
        <f aca="true">CRITBINOM(MAX(0,$C915-J915),MIN(0.6,Matchup!$C$40*SQRT($B915)/(1-MIN(0.75,Matchup!$C$39*$B915))),RAND())</f>
        <v>0</v>
      </c>
      <c r="O915" s="0" t="n">
        <f aca="false">6*J915+(J915-K915-M915)+2*L915+3*N915</f>
        <v>33</v>
      </c>
      <c r="P915" s="0" t="n">
        <f aca="true">RAND()</f>
        <v>0.307248362488182</v>
      </c>
      <c r="Q915" s="0" t="n">
        <f aca="true">RAND()</f>
        <v>0.740299545791183</v>
      </c>
      <c r="R915" s="0" t="n">
        <f aca="false">IF($I915&lt;&gt;$O915,0,IF(P915&lt;Matchup!$B$39,7,IF(P915&lt;Matchup!$B$39+Matchup!$B$40,3,0)))</f>
        <v>0</v>
      </c>
      <c r="S915" s="0" t="n">
        <f aca="false">IF($I915&lt;&gt;$O915,0,IF(Q915&lt;Matchup!$C$39,7,IF(Q915&lt;Matchup!$C$39+Matchup!$C$40,3,0)))</f>
        <v>0</v>
      </c>
      <c r="T915" s="0" t="n">
        <f aca="false">I915+R915</f>
        <v>16</v>
      </c>
      <c r="U915" s="0" t="n">
        <f aca="false">O915+S915</f>
        <v>33</v>
      </c>
      <c r="V915" s="0" t="n">
        <f aca="false">T915-U915</f>
        <v>-17</v>
      </c>
      <c r="W915" s="0" t="n">
        <f aca="false">T915+U915</f>
        <v>49</v>
      </c>
    </row>
    <row r="916" customFormat="false" ht="15" hidden="false" customHeight="false" outlineLevel="0" collapsed="false">
      <c r="A916" s="0" t="n">
        <v>913</v>
      </c>
      <c r="B916" s="0" t="n">
        <f aca="true">NORMINV(RAND(),1,Coefficients!$B$22)</f>
        <v>0.934781280887621</v>
      </c>
      <c r="C916" s="0" t="n">
        <f aca="true">MEDIAN(8,16,ROUND(NORMINV(RAND(),Coefficients!$B$20,Coefficients!$B$21),0))</f>
        <v>13</v>
      </c>
      <c r="D916" s="0" t="n">
        <f aca="true">CRITBINOM($C916,MIN(0.75,Matchup!$B$39*$B916),RAND())</f>
        <v>3</v>
      </c>
      <c r="E916" s="0" t="n">
        <f aca="true">CRITBINOM(D916,Coefficients!$B$30,RAND())</f>
        <v>1</v>
      </c>
      <c r="F916" s="0" t="n">
        <f aca="true">CRITBINOM(E916,Coefficients!$B$31,RAND())</f>
        <v>1</v>
      </c>
      <c r="G916" s="0" t="n">
        <f aca="true">CRITBINOM(MAX(0,D916-E916),1-Coefficients!$B$32,RAND())</f>
        <v>0</v>
      </c>
      <c r="H916" s="0" t="n">
        <f aca="true">CRITBINOM(MAX(0,$C916-D916),MIN(0.6,Matchup!$B$40*SQRT($B916)/(1-MIN(0.75,Matchup!$B$39*$B916))),RAND())</f>
        <v>1</v>
      </c>
      <c r="I916" s="0" t="n">
        <f aca="false">6*D916+(D916-E916-G916)+2*F916+3*H916</f>
        <v>25</v>
      </c>
      <c r="J916" s="0" t="n">
        <f aca="true">CRITBINOM($C916,MIN(0.75,Matchup!$C$39*$B916),RAND())</f>
        <v>4</v>
      </c>
      <c r="K916" s="0" t="n">
        <f aca="true">CRITBINOM(J916,Coefficients!$B$30,RAND())</f>
        <v>0</v>
      </c>
      <c r="L916" s="0" t="n">
        <f aca="true">CRITBINOM(K916,Coefficients!$B$31,RAND())</f>
        <v>0</v>
      </c>
      <c r="M916" s="0" t="n">
        <f aca="true">CRITBINOM(MAX(0,J916-K916),1-Coefficients!$B$32,RAND())</f>
        <v>0</v>
      </c>
      <c r="N916" s="0" t="n">
        <f aca="true">CRITBINOM(MAX(0,$C916-J916),MIN(0.6,Matchup!$C$40*SQRT($B916)/(1-MIN(0.75,Matchup!$C$39*$B916))),RAND())</f>
        <v>1</v>
      </c>
      <c r="O916" s="0" t="n">
        <f aca="false">6*J916+(J916-K916-M916)+2*L916+3*N916</f>
        <v>31</v>
      </c>
      <c r="P916" s="0" t="n">
        <f aca="true">RAND()</f>
        <v>0.480869910022316</v>
      </c>
      <c r="Q916" s="0" t="n">
        <f aca="true">RAND()</f>
        <v>0.156515661480955</v>
      </c>
      <c r="R916" s="0" t="n">
        <f aca="false">IF($I916&lt;&gt;$O916,0,IF(P916&lt;Matchup!$B$39,7,IF(P916&lt;Matchup!$B$39+Matchup!$B$40,3,0)))</f>
        <v>0</v>
      </c>
      <c r="S916" s="0" t="n">
        <f aca="false">IF($I916&lt;&gt;$O916,0,IF(Q916&lt;Matchup!$C$39,7,IF(Q916&lt;Matchup!$C$39+Matchup!$C$40,3,0)))</f>
        <v>0</v>
      </c>
      <c r="T916" s="0" t="n">
        <f aca="false">I916+R916</f>
        <v>25</v>
      </c>
      <c r="U916" s="0" t="n">
        <f aca="false">O916+S916</f>
        <v>31</v>
      </c>
      <c r="V916" s="0" t="n">
        <f aca="false">T916-U916</f>
        <v>-6</v>
      </c>
      <c r="W916" s="0" t="n">
        <f aca="false">T916+U916</f>
        <v>56</v>
      </c>
    </row>
    <row r="917" customFormat="false" ht="15" hidden="false" customHeight="false" outlineLevel="0" collapsed="false">
      <c r="A917" s="0" t="n">
        <v>914</v>
      </c>
      <c r="B917" s="0" t="n">
        <f aca="true">NORMINV(RAND(),1,Coefficients!$B$22)</f>
        <v>0.967214095953823</v>
      </c>
      <c r="C917" s="0" t="n">
        <f aca="true">MEDIAN(8,16,ROUND(NORMINV(RAND(),Coefficients!$B$20,Coefficients!$B$21),0))</f>
        <v>11</v>
      </c>
      <c r="D917" s="0" t="n">
        <f aca="true">CRITBINOM($C917,MIN(0.75,Matchup!$B$39*$B917),RAND())</f>
        <v>3</v>
      </c>
      <c r="E917" s="0" t="n">
        <f aca="true">CRITBINOM(D917,Coefficients!$B$30,RAND())</f>
        <v>0</v>
      </c>
      <c r="F917" s="0" t="n">
        <f aca="true">CRITBINOM(E917,Coefficients!$B$31,RAND())</f>
        <v>0</v>
      </c>
      <c r="G917" s="0" t="n">
        <f aca="true">CRITBINOM(MAX(0,D917-E917),1-Coefficients!$B$32,RAND())</f>
        <v>0</v>
      </c>
      <c r="H917" s="0" t="n">
        <f aca="true">CRITBINOM(MAX(0,$C917-D917),MIN(0.6,Matchup!$B$40*SQRT($B917)/(1-MIN(0.75,Matchup!$B$39*$B917))),RAND())</f>
        <v>3</v>
      </c>
      <c r="I917" s="0" t="n">
        <f aca="false">6*D917+(D917-E917-G917)+2*F917+3*H917</f>
        <v>30</v>
      </c>
      <c r="J917" s="0" t="n">
        <f aca="true">CRITBINOM($C917,MIN(0.75,Matchup!$C$39*$B917),RAND())</f>
        <v>3</v>
      </c>
      <c r="K917" s="0" t="n">
        <f aca="true">CRITBINOM(J917,Coefficients!$B$30,RAND())</f>
        <v>0</v>
      </c>
      <c r="L917" s="0" t="n">
        <f aca="true">CRITBINOM(K917,Coefficients!$B$31,RAND())</f>
        <v>0</v>
      </c>
      <c r="M917" s="0" t="n">
        <f aca="true">CRITBINOM(MAX(0,J917-K917),1-Coefficients!$B$32,RAND())</f>
        <v>0</v>
      </c>
      <c r="N917" s="0" t="n">
        <f aca="true">CRITBINOM(MAX(0,$C917-J917),MIN(0.6,Matchup!$C$40*SQRT($B917)/(1-MIN(0.75,Matchup!$C$39*$B917))),RAND())</f>
        <v>0</v>
      </c>
      <c r="O917" s="0" t="n">
        <f aca="false">6*J917+(J917-K917-M917)+2*L917+3*N917</f>
        <v>21</v>
      </c>
      <c r="P917" s="0" t="n">
        <f aca="true">RAND()</f>
        <v>0.837305146464186</v>
      </c>
      <c r="Q917" s="0" t="n">
        <f aca="true">RAND()</f>
        <v>0.953722218009988</v>
      </c>
      <c r="R917" s="0" t="n">
        <f aca="false">IF($I917&lt;&gt;$O917,0,IF(P917&lt;Matchup!$B$39,7,IF(P917&lt;Matchup!$B$39+Matchup!$B$40,3,0)))</f>
        <v>0</v>
      </c>
      <c r="S917" s="0" t="n">
        <f aca="false">IF($I917&lt;&gt;$O917,0,IF(Q917&lt;Matchup!$C$39,7,IF(Q917&lt;Matchup!$C$39+Matchup!$C$40,3,0)))</f>
        <v>0</v>
      </c>
      <c r="T917" s="0" t="n">
        <f aca="false">I917+R917</f>
        <v>30</v>
      </c>
      <c r="U917" s="0" t="n">
        <f aca="false">O917+S917</f>
        <v>21</v>
      </c>
      <c r="V917" s="0" t="n">
        <f aca="false">T917-U917</f>
        <v>9</v>
      </c>
      <c r="W917" s="0" t="n">
        <f aca="false">T917+U917</f>
        <v>51</v>
      </c>
    </row>
    <row r="918" customFormat="false" ht="15" hidden="false" customHeight="false" outlineLevel="0" collapsed="false">
      <c r="A918" s="0" t="n">
        <v>915</v>
      </c>
      <c r="B918" s="0" t="n">
        <f aca="true">NORMINV(RAND(),1,Coefficients!$B$22)</f>
        <v>1.00008216988541</v>
      </c>
      <c r="C918" s="0" t="n">
        <f aca="true">MEDIAN(8,16,ROUND(NORMINV(RAND(),Coefficients!$B$20,Coefficients!$B$21),0))</f>
        <v>10</v>
      </c>
      <c r="D918" s="0" t="n">
        <f aca="true">CRITBINOM($C918,MIN(0.75,Matchup!$B$39*$B918),RAND())</f>
        <v>2</v>
      </c>
      <c r="E918" s="0" t="n">
        <f aca="true">CRITBINOM(D918,Coefficients!$B$30,RAND())</f>
        <v>0</v>
      </c>
      <c r="F918" s="0" t="n">
        <f aca="true">CRITBINOM(E918,Coefficients!$B$31,RAND())</f>
        <v>0</v>
      </c>
      <c r="G918" s="0" t="n">
        <f aca="true">CRITBINOM(MAX(0,D918-E918),1-Coefficients!$B$32,RAND())</f>
        <v>0</v>
      </c>
      <c r="H918" s="0" t="n">
        <f aca="true">CRITBINOM(MAX(0,$C918-D918),MIN(0.6,Matchup!$B$40*SQRT($B918)/(1-MIN(0.75,Matchup!$B$39*$B918))),RAND())</f>
        <v>1</v>
      </c>
      <c r="I918" s="0" t="n">
        <f aca="false">6*D918+(D918-E918-G918)+2*F918+3*H918</f>
        <v>17</v>
      </c>
      <c r="J918" s="0" t="n">
        <f aca="true">CRITBINOM($C918,MIN(0.75,Matchup!$C$39*$B918),RAND())</f>
        <v>1</v>
      </c>
      <c r="K918" s="0" t="n">
        <f aca="true">CRITBINOM(J918,Coefficients!$B$30,RAND())</f>
        <v>1</v>
      </c>
      <c r="L918" s="0" t="n">
        <f aca="true">CRITBINOM(K918,Coefficients!$B$31,RAND())</f>
        <v>1</v>
      </c>
      <c r="M918" s="0" t="n">
        <f aca="true">CRITBINOM(MAX(0,J918-K918),1-Coefficients!$B$32,RAND())</f>
        <v>0</v>
      </c>
      <c r="N918" s="0" t="n">
        <f aca="true">CRITBINOM(MAX(0,$C918-J918),MIN(0.6,Matchup!$C$40*SQRT($B918)/(1-MIN(0.75,Matchup!$C$39*$B918))),RAND())</f>
        <v>2</v>
      </c>
      <c r="O918" s="0" t="n">
        <f aca="false">6*J918+(J918-K918-M918)+2*L918+3*N918</f>
        <v>14</v>
      </c>
      <c r="P918" s="0" t="n">
        <f aca="true">RAND()</f>
        <v>0.0931667592653341</v>
      </c>
      <c r="Q918" s="0" t="n">
        <f aca="true">RAND()</f>
        <v>0.0521330806819828</v>
      </c>
      <c r="R918" s="0" t="n">
        <f aca="false">IF($I918&lt;&gt;$O918,0,IF(P918&lt;Matchup!$B$39,7,IF(P918&lt;Matchup!$B$39+Matchup!$B$40,3,0)))</f>
        <v>0</v>
      </c>
      <c r="S918" s="0" t="n">
        <f aca="false">IF($I918&lt;&gt;$O918,0,IF(Q918&lt;Matchup!$C$39,7,IF(Q918&lt;Matchup!$C$39+Matchup!$C$40,3,0)))</f>
        <v>0</v>
      </c>
      <c r="T918" s="0" t="n">
        <f aca="false">I918+R918</f>
        <v>17</v>
      </c>
      <c r="U918" s="0" t="n">
        <f aca="false">O918+S918</f>
        <v>14</v>
      </c>
      <c r="V918" s="0" t="n">
        <f aca="false">T918-U918</f>
        <v>3</v>
      </c>
      <c r="W918" s="0" t="n">
        <f aca="false">T918+U918</f>
        <v>31</v>
      </c>
    </row>
    <row r="919" customFormat="false" ht="15" hidden="false" customHeight="false" outlineLevel="0" collapsed="false">
      <c r="A919" s="0" t="n">
        <v>916</v>
      </c>
      <c r="B919" s="0" t="n">
        <f aca="true">NORMINV(RAND(),1,Coefficients!$B$22)</f>
        <v>0.993454144852132</v>
      </c>
      <c r="C919" s="0" t="n">
        <f aca="true">MEDIAN(8,16,ROUND(NORMINV(RAND(),Coefficients!$B$20,Coefficients!$B$21),0))</f>
        <v>12</v>
      </c>
      <c r="D919" s="0" t="n">
        <f aca="true">CRITBINOM($C919,MIN(0.75,Matchup!$B$39*$B919),RAND())</f>
        <v>5</v>
      </c>
      <c r="E919" s="0" t="n">
        <f aca="true">CRITBINOM(D919,Coefficients!$B$30,RAND())</f>
        <v>0</v>
      </c>
      <c r="F919" s="0" t="n">
        <f aca="true">CRITBINOM(E919,Coefficients!$B$31,RAND())</f>
        <v>0</v>
      </c>
      <c r="G919" s="0" t="n">
        <f aca="true">CRITBINOM(MAX(0,D919-E919),1-Coefficients!$B$32,RAND())</f>
        <v>0</v>
      </c>
      <c r="H919" s="0" t="n">
        <f aca="true">CRITBINOM(MAX(0,$C919-D919),MIN(0.6,Matchup!$B$40*SQRT($B919)/(1-MIN(0.75,Matchup!$B$39*$B919))),RAND())</f>
        <v>2</v>
      </c>
      <c r="I919" s="0" t="n">
        <f aca="false">6*D919+(D919-E919-G919)+2*F919+3*H919</f>
        <v>41</v>
      </c>
      <c r="J919" s="0" t="n">
        <f aca="true">CRITBINOM($C919,MIN(0.75,Matchup!$C$39*$B919),RAND())</f>
        <v>2</v>
      </c>
      <c r="K919" s="0" t="n">
        <f aca="true">CRITBINOM(J919,Coefficients!$B$30,RAND())</f>
        <v>0</v>
      </c>
      <c r="L919" s="0" t="n">
        <f aca="true">CRITBINOM(K919,Coefficients!$B$31,RAND())</f>
        <v>0</v>
      </c>
      <c r="M919" s="0" t="n">
        <f aca="true">CRITBINOM(MAX(0,J919-K919),1-Coefficients!$B$32,RAND())</f>
        <v>0</v>
      </c>
      <c r="N919" s="0" t="n">
        <f aca="true">CRITBINOM(MAX(0,$C919-J919),MIN(0.6,Matchup!$C$40*SQRT($B919)/(1-MIN(0.75,Matchup!$C$39*$B919))),RAND())</f>
        <v>1</v>
      </c>
      <c r="O919" s="0" t="n">
        <f aca="false">6*J919+(J919-K919-M919)+2*L919+3*N919</f>
        <v>17</v>
      </c>
      <c r="P919" s="0" t="n">
        <f aca="true">RAND()</f>
        <v>0.166321660304562</v>
      </c>
      <c r="Q919" s="0" t="n">
        <f aca="true">RAND()</f>
        <v>0.464873601190493</v>
      </c>
      <c r="R919" s="0" t="n">
        <f aca="false">IF($I919&lt;&gt;$O919,0,IF(P919&lt;Matchup!$B$39,7,IF(P919&lt;Matchup!$B$39+Matchup!$B$40,3,0)))</f>
        <v>0</v>
      </c>
      <c r="S919" s="0" t="n">
        <f aca="false">IF($I919&lt;&gt;$O919,0,IF(Q919&lt;Matchup!$C$39,7,IF(Q919&lt;Matchup!$C$39+Matchup!$C$40,3,0)))</f>
        <v>0</v>
      </c>
      <c r="T919" s="0" t="n">
        <f aca="false">I919+R919</f>
        <v>41</v>
      </c>
      <c r="U919" s="0" t="n">
        <f aca="false">O919+S919</f>
        <v>17</v>
      </c>
      <c r="V919" s="0" t="n">
        <f aca="false">T919-U919</f>
        <v>24</v>
      </c>
      <c r="W919" s="0" t="n">
        <f aca="false">T919+U919</f>
        <v>58</v>
      </c>
    </row>
    <row r="920" customFormat="false" ht="15" hidden="false" customHeight="false" outlineLevel="0" collapsed="false">
      <c r="A920" s="0" t="n">
        <v>917</v>
      </c>
      <c r="B920" s="0" t="n">
        <f aca="true">NORMINV(RAND(),1,Coefficients!$B$22)</f>
        <v>0.99433145038614</v>
      </c>
      <c r="C920" s="0" t="n">
        <f aca="true">MEDIAN(8,16,ROUND(NORMINV(RAND(),Coefficients!$B$20,Coefficients!$B$21),0))</f>
        <v>11</v>
      </c>
      <c r="D920" s="0" t="n">
        <f aca="true">CRITBINOM($C920,MIN(0.75,Matchup!$B$39*$B920),RAND())</f>
        <v>3</v>
      </c>
      <c r="E920" s="0" t="n">
        <f aca="true">CRITBINOM(D920,Coefficients!$B$30,RAND())</f>
        <v>0</v>
      </c>
      <c r="F920" s="0" t="n">
        <f aca="true">CRITBINOM(E920,Coefficients!$B$31,RAND())</f>
        <v>0</v>
      </c>
      <c r="G920" s="0" t="n">
        <f aca="true">CRITBINOM(MAX(0,D920-E920),1-Coefficients!$B$32,RAND())</f>
        <v>0</v>
      </c>
      <c r="H920" s="0" t="n">
        <f aca="true">CRITBINOM(MAX(0,$C920-D920),MIN(0.6,Matchup!$B$40*SQRT($B920)/(1-MIN(0.75,Matchup!$B$39*$B920))),RAND())</f>
        <v>2</v>
      </c>
      <c r="I920" s="0" t="n">
        <f aca="false">6*D920+(D920-E920-G920)+2*F920+3*H920</f>
        <v>27</v>
      </c>
      <c r="J920" s="0" t="n">
        <f aca="true">CRITBINOM($C920,MIN(0.75,Matchup!$C$39*$B920),RAND())</f>
        <v>5</v>
      </c>
      <c r="K920" s="0" t="n">
        <f aca="true">CRITBINOM(J920,Coefficients!$B$30,RAND())</f>
        <v>2</v>
      </c>
      <c r="L920" s="0" t="n">
        <f aca="true">CRITBINOM(K920,Coefficients!$B$31,RAND())</f>
        <v>0</v>
      </c>
      <c r="M920" s="0" t="n">
        <f aca="true">CRITBINOM(MAX(0,J920-K920),1-Coefficients!$B$32,RAND())</f>
        <v>0</v>
      </c>
      <c r="N920" s="0" t="n">
        <f aca="true">CRITBINOM(MAX(0,$C920-J920),MIN(0.6,Matchup!$C$40*SQRT($B920)/(1-MIN(0.75,Matchup!$C$39*$B920))),RAND())</f>
        <v>1</v>
      </c>
      <c r="O920" s="0" t="n">
        <f aca="false">6*J920+(J920-K920-M920)+2*L920+3*N920</f>
        <v>36</v>
      </c>
      <c r="P920" s="0" t="n">
        <f aca="true">RAND()</f>
        <v>0.213321627505986</v>
      </c>
      <c r="Q920" s="0" t="n">
        <f aca="true">RAND()</f>
        <v>0.624779037286613</v>
      </c>
      <c r="R920" s="0" t="n">
        <f aca="false">IF($I920&lt;&gt;$O920,0,IF(P920&lt;Matchup!$B$39,7,IF(P920&lt;Matchup!$B$39+Matchup!$B$40,3,0)))</f>
        <v>0</v>
      </c>
      <c r="S920" s="0" t="n">
        <f aca="false">IF($I920&lt;&gt;$O920,0,IF(Q920&lt;Matchup!$C$39,7,IF(Q920&lt;Matchup!$C$39+Matchup!$C$40,3,0)))</f>
        <v>0</v>
      </c>
      <c r="T920" s="0" t="n">
        <f aca="false">I920+R920</f>
        <v>27</v>
      </c>
      <c r="U920" s="0" t="n">
        <f aca="false">O920+S920</f>
        <v>36</v>
      </c>
      <c r="V920" s="0" t="n">
        <f aca="false">T920-U920</f>
        <v>-9</v>
      </c>
      <c r="W920" s="0" t="n">
        <f aca="false">T920+U920</f>
        <v>63</v>
      </c>
    </row>
    <row r="921" customFormat="false" ht="15" hidden="false" customHeight="false" outlineLevel="0" collapsed="false">
      <c r="A921" s="0" t="n">
        <v>918</v>
      </c>
      <c r="B921" s="0" t="n">
        <f aca="true">NORMINV(RAND(),1,Coefficients!$B$22)</f>
        <v>0.928221281880122</v>
      </c>
      <c r="C921" s="0" t="n">
        <f aca="true">MEDIAN(8,16,ROUND(NORMINV(RAND(),Coefficients!$B$20,Coefficients!$B$21),0))</f>
        <v>9</v>
      </c>
      <c r="D921" s="0" t="n">
        <f aca="true">CRITBINOM($C921,MIN(0.75,Matchup!$B$39*$B921),RAND())</f>
        <v>3</v>
      </c>
      <c r="E921" s="0" t="n">
        <f aca="true">CRITBINOM(D921,Coefficients!$B$30,RAND())</f>
        <v>0</v>
      </c>
      <c r="F921" s="0" t="n">
        <f aca="true">CRITBINOM(E921,Coefficients!$B$31,RAND())</f>
        <v>0</v>
      </c>
      <c r="G921" s="0" t="n">
        <f aca="true">CRITBINOM(MAX(0,D921-E921),1-Coefficients!$B$32,RAND())</f>
        <v>0</v>
      </c>
      <c r="H921" s="0" t="n">
        <f aca="true">CRITBINOM(MAX(0,$C921-D921),MIN(0.6,Matchup!$B$40*SQRT($B921)/(1-MIN(0.75,Matchup!$B$39*$B921))),RAND())</f>
        <v>0</v>
      </c>
      <c r="I921" s="0" t="n">
        <f aca="false">6*D921+(D921-E921-G921)+2*F921+3*H921</f>
        <v>21</v>
      </c>
      <c r="J921" s="0" t="n">
        <f aca="true">CRITBINOM($C921,MIN(0.75,Matchup!$C$39*$B921),RAND())</f>
        <v>3</v>
      </c>
      <c r="K921" s="0" t="n">
        <f aca="true">CRITBINOM(J921,Coefficients!$B$30,RAND())</f>
        <v>0</v>
      </c>
      <c r="L921" s="0" t="n">
        <f aca="true">CRITBINOM(K921,Coefficients!$B$31,RAND())</f>
        <v>0</v>
      </c>
      <c r="M921" s="0" t="n">
        <f aca="true">CRITBINOM(MAX(0,J921-K921),1-Coefficients!$B$32,RAND())</f>
        <v>0</v>
      </c>
      <c r="N921" s="0" t="n">
        <f aca="true">CRITBINOM(MAX(0,$C921-J921),MIN(0.6,Matchup!$C$40*SQRT($B921)/(1-MIN(0.75,Matchup!$C$39*$B921))),RAND())</f>
        <v>0</v>
      </c>
      <c r="O921" s="0" t="n">
        <f aca="false">6*J921+(J921-K921-M921)+2*L921+3*N921</f>
        <v>21</v>
      </c>
      <c r="P921" s="0" t="n">
        <f aca="true">RAND()</f>
        <v>0.556076143458923</v>
      </c>
      <c r="Q921" s="0" t="n">
        <f aca="true">RAND()</f>
        <v>0.379526799795713</v>
      </c>
      <c r="R921" s="0" t="n">
        <f aca="false">IF($I921&lt;&gt;$O921,0,IF(P921&lt;Matchup!$B$39,7,IF(P921&lt;Matchup!$B$39+Matchup!$B$40,3,0)))</f>
        <v>0</v>
      </c>
      <c r="S921" s="0" t="n">
        <f aca="false">IF($I921&lt;&gt;$O921,0,IF(Q921&lt;Matchup!$C$39,7,IF(Q921&lt;Matchup!$C$39+Matchup!$C$40,3,0)))</f>
        <v>0</v>
      </c>
      <c r="T921" s="0" t="n">
        <f aca="false">I921+R921</f>
        <v>21</v>
      </c>
      <c r="U921" s="0" t="n">
        <f aca="false">O921+S921</f>
        <v>21</v>
      </c>
      <c r="V921" s="0" t="n">
        <f aca="false">T921-U921</f>
        <v>0</v>
      </c>
      <c r="W921" s="0" t="n">
        <f aca="false">T921+U921</f>
        <v>42</v>
      </c>
    </row>
    <row r="922" customFormat="false" ht="15" hidden="false" customHeight="false" outlineLevel="0" collapsed="false">
      <c r="A922" s="0" t="n">
        <v>919</v>
      </c>
      <c r="B922" s="0" t="n">
        <f aca="true">NORMINV(RAND(),1,Coefficients!$B$22)</f>
        <v>0.851160772806132</v>
      </c>
      <c r="C922" s="0" t="n">
        <f aca="true">MEDIAN(8,16,ROUND(NORMINV(RAND(),Coefficients!$B$20,Coefficients!$B$21),0))</f>
        <v>12</v>
      </c>
      <c r="D922" s="0" t="n">
        <f aca="true">CRITBINOM($C922,MIN(0.75,Matchup!$B$39*$B922),RAND())</f>
        <v>2</v>
      </c>
      <c r="E922" s="0" t="n">
        <f aca="true">CRITBINOM(D922,Coefficients!$B$30,RAND())</f>
        <v>0</v>
      </c>
      <c r="F922" s="0" t="n">
        <f aca="true">CRITBINOM(E922,Coefficients!$B$31,RAND())</f>
        <v>0</v>
      </c>
      <c r="G922" s="0" t="n">
        <f aca="true">CRITBINOM(MAX(0,D922-E922),1-Coefficients!$B$32,RAND())</f>
        <v>0</v>
      </c>
      <c r="H922" s="0" t="n">
        <f aca="true">CRITBINOM(MAX(0,$C922-D922),MIN(0.6,Matchup!$B$40*SQRT($B922)/(1-MIN(0.75,Matchup!$B$39*$B922))),RAND())</f>
        <v>1</v>
      </c>
      <c r="I922" s="0" t="n">
        <f aca="false">6*D922+(D922-E922-G922)+2*F922+3*H922</f>
        <v>17</v>
      </c>
      <c r="J922" s="0" t="n">
        <f aca="true">CRITBINOM($C922,MIN(0.75,Matchup!$C$39*$B922),RAND())</f>
        <v>0</v>
      </c>
      <c r="K922" s="0" t="n">
        <f aca="true">CRITBINOM(J922,Coefficients!$B$30,RAND())</f>
        <v>0</v>
      </c>
      <c r="L922" s="0" t="n">
        <f aca="true">CRITBINOM(K922,Coefficients!$B$31,RAND())</f>
        <v>0</v>
      </c>
      <c r="M922" s="0" t="n">
        <f aca="true">CRITBINOM(MAX(0,J922-K922),1-Coefficients!$B$32,RAND())</f>
        <v>0</v>
      </c>
      <c r="N922" s="0" t="n">
        <f aca="true">CRITBINOM(MAX(0,$C922-J922),MIN(0.6,Matchup!$C$40*SQRT($B922)/(1-MIN(0.75,Matchup!$C$39*$B922))),RAND())</f>
        <v>1</v>
      </c>
      <c r="O922" s="0" t="n">
        <f aca="false">6*J922+(J922-K922-M922)+2*L922+3*N922</f>
        <v>3</v>
      </c>
      <c r="P922" s="0" t="n">
        <f aca="true">RAND()</f>
        <v>0.943190562552574</v>
      </c>
      <c r="Q922" s="0" t="n">
        <f aca="true">RAND()</f>
        <v>0.75737249823697</v>
      </c>
      <c r="R922" s="0" t="n">
        <f aca="false">IF($I922&lt;&gt;$O922,0,IF(P922&lt;Matchup!$B$39,7,IF(P922&lt;Matchup!$B$39+Matchup!$B$40,3,0)))</f>
        <v>0</v>
      </c>
      <c r="S922" s="0" t="n">
        <f aca="false">IF($I922&lt;&gt;$O922,0,IF(Q922&lt;Matchup!$C$39,7,IF(Q922&lt;Matchup!$C$39+Matchup!$C$40,3,0)))</f>
        <v>0</v>
      </c>
      <c r="T922" s="0" t="n">
        <f aca="false">I922+R922</f>
        <v>17</v>
      </c>
      <c r="U922" s="0" t="n">
        <f aca="false">O922+S922</f>
        <v>3</v>
      </c>
      <c r="V922" s="0" t="n">
        <f aca="false">T922-U922</f>
        <v>14</v>
      </c>
      <c r="W922" s="0" t="n">
        <f aca="false">T922+U922</f>
        <v>20</v>
      </c>
    </row>
    <row r="923" customFormat="false" ht="15" hidden="false" customHeight="false" outlineLevel="0" collapsed="false">
      <c r="A923" s="0" t="n">
        <v>920</v>
      </c>
      <c r="B923" s="0" t="n">
        <f aca="true">NORMINV(RAND(),1,Coefficients!$B$22)</f>
        <v>0.892586989358336</v>
      </c>
      <c r="C923" s="0" t="n">
        <f aca="true">MEDIAN(8,16,ROUND(NORMINV(RAND(),Coefficients!$B$20,Coefficients!$B$21),0))</f>
        <v>10</v>
      </c>
      <c r="D923" s="0" t="n">
        <f aca="true">CRITBINOM($C923,MIN(0.75,Matchup!$B$39*$B923),RAND())</f>
        <v>1</v>
      </c>
      <c r="E923" s="0" t="n">
        <f aca="true">CRITBINOM(D923,Coefficients!$B$30,RAND())</f>
        <v>0</v>
      </c>
      <c r="F923" s="0" t="n">
        <f aca="true">CRITBINOM(E923,Coefficients!$B$31,RAND())</f>
        <v>0</v>
      </c>
      <c r="G923" s="0" t="n">
        <f aca="true">CRITBINOM(MAX(0,D923-E923),1-Coefficients!$B$32,RAND())</f>
        <v>0</v>
      </c>
      <c r="H923" s="0" t="n">
        <f aca="true">CRITBINOM(MAX(0,$C923-D923),MIN(0.6,Matchup!$B$40*SQRT($B923)/(1-MIN(0.75,Matchup!$B$39*$B923))),RAND())</f>
        <v>1</v>
      </c>
      <c r="I923" s="0" t="n">
        <f aca="false">6*D923+(D923-E923-G923)+2*F923+3*H923</f>
        <v>10</v>
      </c>
      <c r="J923" s="0" t="n">
        <f aca="true">CRITBINOM($C923,MIN(0.75,Matchup!$C$39*$B923),RAND())</f>
        <v>2</v>
      </c>
      <c r="K923" s="0" t="n">
        <f aca="true">CRITBINOM(J923,Coefficients!$B$30,RAND())</f>
        <v>0</v>
      </c>
      <c r="L923" s="0" t="n">
        <f aca="true">CRITBINOM(K923,Coefficients!$B$31,RAND())</f>
        <v>0</v>
      </c>
      <c r="M923" s="0" t="n">
        <f aca="true">CRITBINOM(MAX(0,J923-K923),1-Coefficients!$B$32,RAND())</f>
        <v>0</v>
      </c>
      <c r="N923" s="0" t="n">
        <f aca="true">CRITBINOM(MAX(0,$C923-J923),MIN(0.6,Matchup!$C$40*SQRT($B923)/(1-MIN(0.75,Matchup!$C$39*$B923))),RAND())</f>
        <v>3</v>
      </c>
      <c r="O923" s="0" t="n">
        <f aca="false">6*J923+(J923-K923-M923)+2*L923+3*N923</f>
        <v>23</v>
      </c>
      <c r="P923" s="0" t="n">
        <f aca="true">RAND()</f>
        <v>0.46400797068521</v>
      </c>
      <c r="Q923" s="0" t="n">
        <f aca="true">RAND()</f>
        <v>0.690070827364234</v>
      </c>
      <c r="R923" s="0" t="n">
        <f aca="false">IF($I923&lt;&gt;$O923,0,IF(P923&lt;Matchup!$B$39,7,IF(P923&lt;Matchup!$B$39+Matchup!$B$40,3,0)))</f>
        <v>0</v>
      </c>
      <c r="S923" s="0" t="n">
        <f aca="false">IF($I923&lt;&gt;$O923,0,IF(Q923&lt;Matchup!$C$39,7,IF(Q923&lt;Matchup!$C$39+Matchup!$C$40,3,0)))</f>
        <v>0</v>
      </c>
      <c r="T923" s="0" t="n">
        <f aca="false">I923+R923</f>
        <v>10</v>
      </c>
      <c r="U923" s="0" t="n">
        <f aca="false">O923+S923</f>
        <v>23</v>
      </c>
      <c r="V923" s="0" t="n">
        <f aca="false">T923-U923</f>
        <v>-13</v>
      </c>
      <c r="W923" s="0" t="n">
        <f aca="false">T923+U923</f>
        <v>33</v>
      </c>
    </row>
    <row r="924" customFormat="false" ht="15" hidden="false" customHeight="false" outlineLevel="0" collapsed="false">
      <c r="A924" s="0" t="n">
        <v>921</v>
      </c>
      <c r="B924" s="0" t="n">
        <f aca="true">NORMINV(RAND(),1,Coefficients!$B$22)</f>
        <v>1.06369561619603</v>
      </c>
      <c r="C924" s="0" t="n">
        <f aca="true">MEDIAN(8,16,ROUND(NORMINV(RAND(),Coefficients!$B$20,Coefficients!$B$21),0))</f>
        <v>12</v>
      </c>
      <c r="D924" s="0" t="n">
        <f aca="true">CRITBINOM($C924,MIN(0.75,Matchup!$B$39*$B924),RAND())</f>
        <v>4</v>
      </c>
      <c r="E924" s="0" t="n">
        <f aca="true">CRITBINOM(D924,Coefficients!$B$30,RAND())</f>
        <v>2</v>
      </c>
      <c r="F924" s="0" t="n">
        <f aca="true">CRITBINOM(E924,Coefficients!$B$31,RAND())</f>
        <v>2</v>
      </c>
      <c r="G924" s="0" t="n">
        <f aca="true">CRITBINOM(MAX(0,D924-E924),1-Coefficients!$B$32,RAND())</f>
        <v>0</v>
      </c>
      <c r="H924" s="0" t="n">
        <f aca="true">CRITBINOM(MAX(0,$C924-D924),MIN(0.6,Matchup!$B$40*SQRT($B924)/(1-MIN(0.75,Matchup!$B$39*$B924))),RAND())</f>
        <v>3</v>
      </c>
      <c r="I924" s="0" t="n">
        <f aca="false">6*D924+(D924-E924-G924)+2*F924+3*H924</f>
        <v>39</v>
      </c>
      <c r="J924" s="0" t="n">
        <f aca="true">CRITBINOM($C924,MIN(0.75,Matchup!$C$39*$B924),RAND())</f>
        <v>7</v>
      </c>
      <c r="K924" s="0" t="n">
        <f aca="true">CRITBINOM(J924,Coefficients!$B$30,RAND())</f>
        <v>0</v>
      </c>
      <c r="L924" s="0" t="n">
        <f aca="true">CRITBINOM(K924,Coefficients!$B$31,RAND())</f>
        <v>0</v>
      </c>
      <c r="M924" s="0" t="n">
        <f aca="true">CRITBINOM(MAX(0,J924-K924),1-Coefficients!$B$32,RAND())</f>
        <v>1</v>
      </c>
      <c r="N924" s="0" t="n">
        <f aca="true">CRITBINOM(MAX(0,$C924-J924),MIN(0.6,Matchup!$C$40*SQRT($B924)/(1-MIN(0.75,Matchup!$C$39*$B924))),RAND())</f>
        <v>1</v>
      </c>
      <c r="O924" s="0" t="n">
        <f aca="false">6*J924+(J924-K924-M924)+2*L924+3*N924</f>
        <v>51</v>
      </c>
      <c r="P924" s="0" t="n">
        <f aca="true">RAND()</f>
        <v>0.367068362292839</v>
      </c>
      <c r="Q924" s="0" t="n">
        <f aca="true">RAND()</f>
        <v>0.589129106771802</v>
      </c>
      <c r="R924" s="0" t="n">
        <f aca="false">IF($I924&lt;&gt;$O924,0,IF(P924&lt;Matchup!$B$39,7,IF(P924&lt;Matchup!$B$39+Matchup!$B$40,3,0)))</f>
        <v>0</v>
      </c>
      <c r="S924" s="0" t="n">
        <f aca="false">IF($I924&lt;&gt;$O924,0,IF(Q924&lt;Matchup!$C$39,7,IF(Q924&lt;Matchup!$C$39+Matchup!$C$40,3,0)))</f>
        <v>0</v>
      </c>
      <c r="T924" s="0" t="n">
        <f aca="false">I924+R924</f>
        <v>39</v>
      </c>
      <c r="U924" s="0" t="n">
        <f aca="false">O924+S924</f>
        <v>51</v>
      </c>
      <c r="V924" s="0" t="n">
        <f aca="false">T924-U924</f>
        <v>-12</v>
      </c>
      <c r="W924" s="0" t="n">
        <f aca="false">T924+U924</f>
        <v>90</v>
      </c>
    </row>
    <row r="925" customFormat="false" ht="15" hidden="false" customHeight="false" outlineLevel="0" collapsed="false">
      <c r="A925" s="0" t="n">
        <v>922</v>
      </c>
      <c r="B925" s="0" t="n">
        <f aca="true">NORMINV(RAND(),1,Coefficients!$B$22)</f>
        <v>1.01792648891038</v>
      </c>
      <c r="C925" s="0" t="n">
        <f aca="true">MEDIAN(8,16,ROUND(NORMINV(RAND(),Coefficients!$B$20,Coefficients!$B$21),0))</f>
        <v>12</v>
      </c>
      <c r="D925" s="0" t="n">
        <f aca="true">CRITBINOM($C925,MIN(0.75,Matchup!$B$39*$B925),RAND())</f>
        <v>1</v>
      </c>
      <c r="E925" s="0" t="n">
        <f aca="true">CRITBINOM(D925,Coefficients!$B$30,RAND())</f>
        <v>0</v>
      </c>
      <c r="F925" s="0" t="n">
        <f aca="true">CRITBINOM(E925,Coefficients!$B$31,RAND())</f>
        <v>0</v>
      </c>
      <c r="G925" s="0" t="n">
        <f aca="true">CRITBINOM(MAX(0,D925-E925),1-Coefficients!$B$32,RAND())</f>
        <v>0</v>
      </c>
      <c r="H925" s="0" t="n">
        <f aca="true">CRITBINOM(MAX(0,$C925-D925),MIN(0.6,Matchup!$B$40*SQRT($B925)/(1-MIN(0.75,Matchup!$B$39*$B925))),RAND())</f>
        <v>5</v>
      </c>
      <c r="I925" s="0" t="n">
        <f aca="false">6*D925+(D925-E925-G925)+2*F925+3*H925</f>
        <v>22</v>
      </c>
      <c r="J925" s="0" t="n">
        <f aca="true">CRITBINOM($C925,MIN(0.75,Matchup!$C$39*$B925),RAND())</f>
        <v>3</v>
      </c>
      <c r="K925" s="0" t="n">
        <f aca="true">CRITBINOM(J925,Coefficients!$B$30,RAND())</f>
        <v>0</v>
      </c>
      <c r="L925" s="0" t="n">
        <f aca="true">CRITBINOM(K925,Coefficients!$B$31,RAND())</f>
        <v>0</v>
      </c>
      <c r="M925" s="0" t="n">
        <f aca="true">CRITBINOM(MAX(0,J925-K925),1-Coefficients!$B$32,RAND())</f>
        <v>0</v>
      </c>
      <c r="N925" s="0" t="n">
        <f aca="true">CRITBINOM(MAX(0,$C925-J925),MIN(0.6,Matchup!$C$40*SQRT($B925)/(1-MIN(0.75,Matchup!$C$39*$B925))),RAND())</f>
        <v>1</v>
      </c>
      <c r="O925" s="0" t="n">
        <f aca="false">6*J925+(J925-K925-M925)+2*L925+3*N925</f>
        <v>24</v>
      </c>
      <c r="P925" s="0" t="n">
        <f aca="true">RAND()</f>
        <v>0.149645167957178</v>
      </c>
      <c r="Q925" s="0" t="n">
        <f aca="true">RAND()</f>
        <v>0.0565305113416129</v>
      </c>
      <c r="R925" s="0" t="n">
        <f aca="false">IF($I925&lt;&gt;$O925,0,IF(P925&lt;Matchup!$B$39,7,IF(P925&lt;Matchup!$B$39+Matchup!$B$40,3,0)))</f>
        <v>0</v>
      </c>
      <c r="S925" s="0" t="n">
        <f aca="false">IF($I925&lt;&gt;$O925,0,IF(Q925&lt;Matchup!$C$39,7,IF(Q925&lt;Matchup!$C$39+Matchup!$C$40,3,0)))</f>
        <v>0</v>
      </c>
      <c r="T925" s="0" t="n">
        <f aca="false">I925+R925</f>
        <v>22</v>
      </c>
      <c r="U925" s="0" t="n">
        <f aca="false">O925+S925</f>
        <v>24</v>
      </c>
      <c r="V925" s="0" t="n">
        <f aca="false">T925-U925</f>
        <v>-2</v>
      </c>
      <c r="W925" s="0" t="n">
        <f aca="false">T925+U925</f>
        <v>46</v>
      </c>
    </row>
    <row r="926" customFormat="false" ht="15" hidden="false" customHeight="false" outlineLevel="0" collapsed="false">
      <c r="A926" s="0" t="n">
        <v>923</v>
      </c>
      <c r="B926" s="0" t="n">
        <f aca="true">NORMINV(RAND(),1,Coefficients!$B$22)</f>
        <v>0.966110518673669</v>
      </c>
      <c r="C926" s="0" t="n">
        <f aca="true">MEDIAN(8,16,ROUND(NORMINV(RAND(),Coefficients!$B$20,Coefficients!$B$21),0))</f>
        <v>10</v>
      </c>
      <c r="D926" s="0" t="n">
        <f aca="true">CRITBINOM($C926,MIN(0.75,Matchup!$B$39*$B926),RAND())</f>
        <v>3</v>
      </c>
      <c r="E926" s="0" t="n">
        <f aca="true">CRITBINOM(D926,Coefficients!$B$30,RAND())</f>
        <v>0</v>
      </c>
      <c r="F926" s="0" t="n">
        <f aca="true">CRITBINOM(E926,Coefficients!$B$31,RAND())</f>
        <v>0</v>
      </c>
      <c r="G926" s="0" t="n">
        <f aca="true">CRITBINOM(MAX(0,D926-E926),1-Coefficients!$B$32,RAND())</f>
        <v>0</v>
      </c>
      <c r="H926" s="0" t="n">
        <f aca="true">CRITBINOM(MAX(0,$C926-D926),MIN(0.6,Matchup!$B$40*SQRT($B926)/(1-MIN(0.75,Matchup!$B$39*$B926))),RAND())</f>
        <v>2</v>
      </c>
      <c r="I926" s="0" t="n">
        <f aca="false">6*D926+(D926-E926-G926)+2*F926+3*H926</f>
        <v>27</v>
      </c>
      <c r="J926" s="0" t="n">
        <f aca="true">CRITBINOM($C926,MIN(0.75,Matchup!$C$39*$B926),RAND())</f>
        <v>1</v>
      </c>
      <c r="K926" s="0" t="n">
        <f aca="true">CRITBINOM(J926,Coefficients!$B$30,RAND())</f>
        <v>0</v>
      </c>
      <c r="L926" s="0" t="n">
        <f aca="true">CRITBINOM(K926,Coefficients!$B$31,RAND())</f>
        <v>0</v>
      </c>
      <c r="M926" s="0" t="n">
        <f aca="true">CRITBINOM(MAX(0,J926-K926),1-Coefficients!$B$32,RAND())</f>
        <v>0</v>
      </c>
      <c r="N926" s="0" t="n">
        <f aca="true">CRITBINOM(MAX(0,$C926-J926),MIN(0.6,Matchup!$C$40*SQRT($B926)/(1-MIN(0.75,Matchup!$C$39*$B926))),RAND())</f>
        <v>1</v>
      </c>
      <c r="O926" s="0" t="n">
        <f aca="false">6*J926+(J926-K926-M926)+2*L926+3*N926</f>
        <v>10</v>
      </c>
      <c r="P926" s="0" t="n">
        <f aca="true">RAND()</f>
        <v>0.160082822671484</v>
      </c>
      <c r="Q926" s="0" t="n">
        <f aca="true">RAND()</f>
        <v>0.277664121702919</v>
      </c>
      <c r="R926" s="0" t="n">
        <f aca="false">IF($I926&lt;&gt;$O926,0,IF(P926&lt;Matchup!$B$39,7,IF(P926&lt;Matchup!$B$39+Matchup!$B$40,3,0)))</f>
        <v>0</v>
      </c>
      <c r="S926" s="0" t="n">
        <f aca="false">IF($I926&lt;&gt;$O926,0,IF(Q926&lt;Matchup!$C$39,7,IF(Q926&lt;Matchup!$C$39+Matchup!$C$40,3,0)))</f>
        <v>0</v>
      </c>
      <c r="T926" s="0" t="n">
        <f aca="false">I926+R926</f>
        <v>27</v>
      </c>
      <c r="U926" s="0" t="n">
        <f aca="false">O926+S926</f>
        <v>10</v>
      </c>
      <c r="V926" s="0" t="n">
        <f aca="false">T926-U926</f>
        <v>17</v>
      </c>
      <c r="W926" s="0" t="n">
        <f aca="false">T926+U926</f>
        <v>37</v>
      </c>
    </row>
    <row r="927" customFormat="false" ht="15" hidden="false" customHeight="false" outlineLevel="0" collapsed="false">
      <c r="A927" s="0" t="n">
        <v>924</v>
      </c>
      <c r="B927" s="0" t="n">
        <f aca="true">NORMINV(RAND(),1,Coefficients!$B$22)</f>
        <v>1.16268855191472</v>
      </c>
      <c r="C927" s="0" t="n">
        <f aca="true">MEDIAN(8,16,ROUND(NORMINV(RAND(),Coefficients!$B$20,Coefficients!$B$21),0))</f>
        <v>12</v>
      </c>
      <c r="D927" s="0" t="n">
        <f aca="true">CRITBINOM($C927,MIN(0.75,Matchup!$B$39*$B927),RAND())</f>
        <v>5</v>
      </c>
      <c r="E927" s="0" t="n">
        <f aca="true">CRITBINOM(D927,Coefficients!$B$30,RAND())</f>
        <v>0</v>
      </c>
      <c r="F927" s="0" t="n">
        <f aca="true">CRITBINOM(E927,Coefficients!$B$31,RAND())</f>
        <v>0</v>
      </c>
      <c r="G927" s="0" t="n">
        <f aca="true">CRITBINOM(MAX(0,D927-E927),1-Coefficients!$B$32,RAND())</f>
        <v>0</v>
      </c>
      <c r="H927" s="0" t="n">
        <f aca="true">CRITBINOM(MAX(0,$C927-D927),MIN(0.6,Matchup!$B$40*SQRT($B927)/(1-MIN(0.75,Matchup!$B$39*$B927))),RAND())</f>
        <v>0</v>
      </c>
      <c r="I927" s="0" t="n">
        <f aca="false">6*D927+(D927-E927-G927)+2*F927+3*H927</f>
        <v>35</v>
      </c>
      <c r="J927" s="0" t="n">
        <f aca="true">CRITBINOM($C927,MIN(0.75,Matchup!$C$39*$B927),RAND())</f>
        <v>3</v>
      </c>
      <c r="K927" s="0" t="n">
        <f aca="true">CRITBINOM(J927,Coefficients!$B$30,RAND())</f>
        <v>0</v>
      </c>
      <c r="L927" s="0" t="n">
        <f aca="true">CRITBINOM(K927,Coefficients!$B$31,RAND())</f>
        <v>0</v>
      </c>
      <c r="M927" s="0" t="n">
        <f aca="true">CRITBINOM(MAX(0,J927-K927),1-Coefficients!$B$32,RAND())</f>
        <v>0</v>
      </c>
      <c r="N927" s="0" t="n">
        <f aca="true">CRITBINOM(MAX(0,$C927-J927),MIN(0.6,Matchup!$C$40*SQRT($B927)/(1-MIN(0.75,Matchup!$C$39*$B927))),RAND())</f>
        <v>2</v>
      </c>
      <c r="O927" s="0" t="n">
        <f aca="false">6*J927+(J927-K927-M927)+2*L927+3*N927</f>
        <v>27</v>
      </c>
      <c r="P927" s="0" t="n">
        <f aca="true">RAND()</f>
        <v>0.375589747645997</v>
      </c>
      <c r="Q927" s="0" t="n">
        <f aca="true">RAND()</f>
        <v>0.493140191418514</v>
      </c>
      <c r="R927" s="0" t="n">
        <f aca="false">IF($I927&lt;&gt;$O927,0,IF(P927&lt;Matchup!$B$39,7,IF(P927&lt;Matchup!$B$39+Matchup!$B$40,3,0)))</f>
        <v>0</v>
      </c>
      <c r="S927" s="0" t="n">
        <f aca="false">IF($I927&lt;&gt;$O927,0,IF(Q927&lt;Matchup!$C$39,7,IF(Q927&lt;Matchup!$C$39+Matchup!$C$40,3,0)))</f>
        <v>0</v>
      </c>
      <c r="T927" s="0" t="n">
        <f aca="false">I927+R927</f>
        <v>35</v>
      </c>
      <c r="U927" s="0" t="n">
        <f aca="false">O927+S927</f>
        <v>27</v>
      </c>
      <c r="V927" s="0" t="n">
        <f aca="false">T927-U927</f>
        <v>8</v>
      </c>
      <c r="W927" s="0" t="n">
        <f aca="false">T927+U927</f>
        <v>62</v>
      </c>
    </row>
    <row r="928" customFormat="false" ht="15" hidden="false" customHeight="false" outlineLevel="0" collapsed="false">
      <c r="A928" s="0" t="n">
        <v>925</v>
      </c>
      <c r="B928" s="0" t="n">
        <f aca="true">NORMINV(RAND(),1,Coefficients!$B$22)</f>
        <v>1.0322440658749</v>
      </c>
      <c r="C928" s="0" t="n">
        <f aca="true">MEDIAN(8,16,ROUND(NORMINV(RAND(),Coefficients!$B$20,Coefficients!$B$21),0))</f>
        <v>10</v>
      </c>
      <c r="D928" s="0" t="n">
        <f aca="true">CRITBINOM($C928,MIN(0.75,Matchup!$B$39*$B928),RAND())</f>
        <v>5</v>
      </c>
      <c r="E928" s="0" t="n">
        <f aca="true">CRITBINOM(D928,Coefficients!$B$30,RAND())</f>
        <v>0</v>
      </c>
      <c r="F928" s="0" t="n">
        <f aca="true">CRITBINOM(E928,Coefficients!$B$31,RAND())</f>
        <v>0</v>
      </c>
      <c r="G928" s="0" t="n">
        <f aca="true">CRITBINOM(MAX(0,D928-E928),1-Coefficients!$B$32,RAND())</f>
        <v>0</v>
      </c>
      <c r="H928" s="0" t="n">
        <f aca="true">CRITBINOM(MAX(0,$C928-D928),MIN(0.6,Matchup!$B$40*SQRT($B928)/(1-MIN(0.75,Matchup!$B$39*$B928))),RAND())</f>
        <v>1</v>
      </c>
      <c r="I928" s="0" t="n">
        <f aca="false">6*D928+(D928-E928-G928)+2*F928+3*H928</f>
        <v>38</v>
      </c>
      <c r="J928" s="0" t="n">
        <f aca="true">CRITBINOM($C928,MIN(0.75,Matchup!$C$39*$B928),RAND())</f>
        <v>3</v>
      </c>
      <c r="K928" s="0" t="n">
        <f aca="true">CRITBINOM(J928,Coefficients!$B$30,RAND())</f>
        <v>0</v>
      </c>
      <c r="L928" s="0" t="n">
        <f aca="true">CRITBINOM(K928,Coefficients!$B$31,RAND())</f>
        <v>0</v>
      </c>
      <c r="M928" s="0" t="n">
        <f aca="true">CRITBINOM(MAX(0,J928-K928),1-Coefficients!$B$32,RAND())</f>
        <v>0</v>
      </c>
      <c r="N928" s="0" t="n">
        <f aca="true">CRITBINOM(MAX(0,$C928-J928),MIN(0.6,Matchup!$C$40*SQRT($B928)/(1-MIN(0.75,Matchup!$C$39*$B928))),RAND())</f>
        <v>2</v>
      </c>
      <c r="O928" s="0" t="n">
        <f aca="false">6*J928+(J928-K928-M928)+2*L928+3*N928</f>
        <v>27</v>
      </c>
      <c r="P928" s="0" t="n">
        <f aca="true">RAND()</f>
        <v>0.734502473858616</v>
      </c>
      <c r="Q928" s="0" t="n">
        <f aca="true">RAND()</f>
        <v>0.340785640191819</v>
      </c>
      <c r="R928" s="0" t="n">
        <f aca="false">IF($I928&lt;&gt;$O928,0,IF(P928&lt;Matchup!$B$39,7,IF(P928&lt;Matchup!$B$39+Matchup!$B$40,3,0)))</f>
        <v>0</v>
      </c>
      <c r="S928" s="0" t="n">
        <f aca="false">IF($I928&lt;&gt;$O928,0,IF(Q928&lt;Matchup!$C$39,7,IF(Q928&lt;Matchup!$C$39+Matchup!$C$40,3,0)))</f>
        <v>0</v>
      </c>
      <c r="T928" s="0" t="n">
        <f aca="false">I928+R928</f>
        <v>38</v>
      </c>
      <c r="U928" s="0" t="n">
        <f aca="false">O928+S928</f>
        <v>27</v>
      </c>
      <c r="V928" s="0" t="n">
        <f aca="false">T928-U928</f>
        <v>11</v>
      </c>
      <c r="W928" s="0" t="n">
        <f aca="false">T928+U928</f>
        <v>65</v>
      </c>
    </row>
    <row r="929" customFormat="false" ht="15" hidden="false" customHeight="false" outlineLevel="0" collapsed="false">
      <c r="A929" s="0" t="n">
        <v>926</v>
      </c>
      <c r="B929" s="0" t="n">
        <f aca="true">NORMINV(RAND(),1,Coefficients!$B$22)</f>
        <v>0.983863802742285</v>
      </c>
      <c r="C929" s="0" t="n">
        <f aca="true">MEDIAN(8,16,ROUND(NORMINV(RAND(),Coefficients!$B$20,Coefficients!$B$21),0))</f>
        <v>10</v>
      </c>
      <c r="D929" s="0" t="n">
        <f aca="true">CRITBINOM($C929,MIN(0.75,Matchup!$B$39*$B929),RAND())</f>
        <v>2</v>
      </c>
      <c r="E929" s="0" t="n">
        <f aca="true">CRITBINOM(D929,Coefficients!$B$30,RAND())</f>
        <v>0</v>
      </c>
      <c r="F929" s="0" t="n">
        <f aca="true">CRITBINOM(E929,Coefficients!$B$31,RAND())</f>
        <v>0</v>
      </c>
      <c r="G929" s="0" t="n">
        <f aca="true">CRITBINOM(MAX(0,D929-E929),1-Coefficients!$B$32,RAND())</f>
        <v>0</v>
      </c>
      <c r="H929" s="0" t="n">
        <f aca="true">CRITBINOM(MAX(0,$C929-D929),MIN(0.6,Matchup!$B$40*SQRT($B929)/(1-MIN(0.75,Matchup!$B$39*$B929))),RAND())</f>
        <v>3</v>
      </c>
      <c r="I929" s="0" t="n">
        <f aca="false">6*D929+(D929-E929-G929)+2*F929+3*H929</f>
        <v>23</v>
      </c>
      <c r="J929" s="0" t="n">
        <f aca="true">CRITBINOM($C929,MIN(0.75,Matchup!$C$39*$B929),RAND())</f>
        <v>2</v>
      </c>
      <c r="K929" s="0" t="n">
        <f aca="true">CRITBINOM(J929,Coefficients!$B$30,RAND())</f>
        <v>1</v>
      </c>
      <c r="L929" s="0" t="n">
        <f aca="true">CRITBINOM(K929,Coefficients!$B$31,RAND())</f>
        <v>1</v>
      </c>
      <c r="M929" s="0" t="n">
        <f aca="true">CRITBINOM(MAX(0,J929-K929),1-Coefficients!$B$32,RAND())</f>
        <v>0</v>
      </c>
      <c r="N929" s="0" t="n">
        <f aca="true">CRITBINOM(MAX(0,$C929-J929),MIN(0.6,Matchup!$C$40*SQRT($B929)/(1-MIN(0.75,Matchup!$C$39*$B929))),RAND())</f>
        <v>0</v>
      </c>
      <c r="O929" s="0" t="n">
        <f aca="false">6*J929+(J929-K929-M929)+2*L929+3*N929</f>
        <v>15</v>
      </c>
      <c r="P929" s="0" t="n">
        <f aca="true">RAND()</f>
        <v>0.42110418484997</v>
      </c>
      <c r="Q929" s="0" t="n">
        <f aca="true">RAND()</f>
        <v>0.503738973666433</v>
      </c>
      <c r="R929" s="0" t="n">
        <f aca="false">IF($I929&lt;&gt;$O929,0,IF(P929&lt;Matchup!$B$39,7,IF(P929&lt;Matchup!$B$39+Matchup!$B$40,3,0)))</f>
        <v>0</v>
      </c>
      <c r="S929" s="0" t="n">
        <f aca="false">IF($I929&lt;&gt;$O929,0,IF(Q929&lt;Matchup!$C$39,7,IF(Q929&lt;Matchup!$C$39+Matchup!$C$40,3,0)))</f>
        <v>0</v>
      </c>
      <c r="T929" s="0" t="n">
        <f aca="false">I929+R929</f>
        <v>23</v>
      </c>
      <c r="U929" s="0" t="n">
        <f aca="false">O929+S929</f>
        <v>15</v>
      </c>
      <c r="V929" s="0" t="n">
        <f aca="false">T929-U929</f>
        <v>8</v>
      </c>
      <c r="W929" s="0" t="n">
        <f aca="false">T929+U929</f>
        <v>38</v>
      </c>
    </row>
    <row r="930" customFormat="false" ht="15" hidden="false" customHeight="false" outlineLevel="0" collapsed="false">
      <c r="A930" s="0" t="n">
        <v>927</v>
      </c>
      <c r="B930" s="0" t="n">
        <f aca="true">NORMINV(RAND(),1,Coefficients!$B$22)</f>
        <v>0.876104833706957</v>
      </c>
      <c r="C930" s="0" t="n">
        <f aca="true">MEDIAN(8,16,ROUND(NORMINV(RAND(),Coefficients!$B$20,Coefficients!$B$21),0))</f>
        <v>11</v>
      </c>
      <c r="D930" s="0" t="n">
        <f aca="true">CRITBINOM($C930,MIN(0.75,Matchup!$B$39*$B930),RAND())</f>
        <v>2</v>
      </c>
      <c r="E930" s="0" t="n">
        <f aca="true">CRITBINOM(D930,Coefficients!$B$30,RAND())</f>
        <v>1</v>
      </c>
      <c r="F930" s="0" t="n">
        <f aca="true">CRITBINOM(E930,Coefficients!$B$31,RAND())</f>
        <v>0</v>
      </c>
      <c r="G930" s="0" t="n">
        <f aca="true">CRITBINOM(MAX(0,D930-E930),1-Coefficients!$B$32,RAND())</f>
        <v>0</v>
      </c>
      <c r="H930" s="0" t="n">
        <f aca="true">CRITBINOM(MAX(0,$C930-D930),MIN(0.6,Matchup!$B$40*SQRT($B930)/(1-MIN(0.75,Matchup!$B$39*$B930))),RAND())</f>
        <v>0</v>
      </c>
      <c r="I930" s="0" t="n">
        <f aca="false">6*D930+(D930-E930-G930)+2*F930+3*H930</f>
        <v>13</v>
      </c>
      <c r="J930" s="0" t="n">
        <f aca="true">CRITBINOM($C930,MIN(0.75,Matchup!$C$39*$B930),RAND())</f>
        <v>3</v>
      </c>
      <c r="K930" s="0" t="n">
        <f aca="true">CRITBINOM(J930,Coefficients!$B$30,RAND())</f>
        <v>0</v>
      </c>
      <c r="L930" s="0" t="n">
        <f aca="true">CRITBINOM(K930,Coefficients!$B$31,RAND())</f>
        <v>0</v>
      </c>
      <c r="M930" s="0" t="n">
        <f aca="true">CRITBINOM(MAX(0,J930-K930),1-Coefficients!$B$32,RAND())</f>
        <v>0</v>
      </c>
      <c r="N930" s="0" t="n">
        <f aca="true">CRITBINOM(MAX(0,$C930-J930),MIN(0.6,Matchup!$C$40*SQRT($B930)/(1-MIN(0.75,Matchup!$C$39*$B930))),RAND())</f>
        <v>1</v>
      </c>
      <c r="O930" s="0" t="n">
        <f aca="false">6*J930+(J930-K930-M930)+2*L930+3*N930</f>
        <v>24</v>
      </c>
      <c r="P930" s="0" t="n">
        <f aca="true">RAND()</f>
        <v>0.0432735443685076</v>
      </c>
      <c r="Q930" s="0" t="n">
        <f aca="true">RAND()</f>
        <v>0.817664376744667</v>
      </c>
      <c r="R930" s="0" t="n">
        <f aca="false">IF($I930&lt;&gt;$O930,0,IF(P930&lt;Matchup!$B$39,7,IF(P930&lt;Matchup!$B$39+Matchup!$B$40,3,0)))</f>
        <v>0</v>
      </c>
      <c r="S930" s="0" t="n">
        <f aca="false">IF($I930&lt;&gt;$O930,0,IF(Q930&lt;Matchup!$C$39,7,IF(Q930&lt;Matchup!$C$39+Matchup!$C$40,3,0)))</f>
        <v>0</v>
      </c>
      <c r="T930" s="0" t="n">
        <f aca="false">I930+R930</f>
        <v>13</v>
      </c>
      <c r="U930" s="0" t="n">
        <f aca="false">O930+S930</f>
        <v>24</v>
      </c>
      <c r="V930" s="0" t="n">
        <f aca="false">T930-U930</f>
        <v>-11</v>
      </c>
      <c r="W930" s="0" t="n">
        <f aca="false">T930+U930</f>
        <v>37</v>
      </c>
    </row>
    <row r="931" customFormat="false" ht="15" hidden="false" customHeight="false" outlineLevel="0" collapsed="false">
      <c r="A931" s="0" t="n">
        <v>928</v>
      </c>
      <c r="B931" s="0" t="n">
        <f aca="true">NORMINV(RAND(),1,Coefficients!$B$22)</f>
        <v>0.94093754514951</v>
      </c>
      <c r="C931" s="0" t="n">
        <f aca="true">MEDIAN(8,16,ROUND(NORMINV(RAND(),Coefficients!$B$20,Coefficients!$B$21),0))</f>
        <v>12</v>
      </c>
      <c r="D931" s="0" t="n">
        <f aca="true">CRITBINOM($C931,MIN(0.75,Matchup!$B$39*$B931),RAND())</f>
        <v>1</v>
      </c>
      <c r="E931" s="0" t="n">
        <f aca="true">CRITBINOM(D931,Coefficients!$B$30,RAND())</f>
        <v>0</v>
      </c>
      <c r="F931" s="0" t="n">
        <f aca="true">CRITBINOM(E931,Coefficients!$B$31,RAND())</f>
        <v>0</v>
      </c>
      <c r="G931" s="0" t="n">
        <f aca="true">CRITBINOM(MAX(0,D931-E931),1-Coefficients!$B$32,RAND())</f>
        <v>0</v>
      </c>
      <c r="H931" s="0" t="n">
        <f aca="true">CRITBINOM(MAX(0,$C931-D931),MIN(0.6,Matchup!$B$40*SQRT($B931)/(1-MIN(0.75,Matchup!$B$39*$B931))),RAND())</f>
        <v>2</v>
      </c>
      <c r="I931" s="0" t="n">
        <f aca="false">6*D931+(D931-E931-G931)+2*F931+3*H931</f>
        <v>13</v>
      </c>
      <c r="J931" s="0" t="n">
        <f aca="true">CRITBINOM($C931,MIN(0.75,Matchup!$C$39*$B931),RAND())</f>
        <v>1</v>
      </c>
      <c r="K931" s="0" t="n">
        <f aca="true">CRITBINOM(J931,Coefficients!$B$30,RAND())</f>
        <v>0</v>
      </c>
      <c r="L931" s="0" t="n">
        <f aca="true">CRITBINOM(K931,Coefficients!$B$31,RAND())</f>
        <v>0</v>
      </c>
      <c r="M931" s="0" t="n">
        <f aca="true">CRITBINOM(MAX(0,J931-K931),1-Coefficients!$B$32,RAND())</f>
        <v>0</v>
      </c>
      <c r="N931" s="0" t="n">
        <f aca="true">CRITBINOM(MAX(0,$C931-J931),MIN(0.6,Matchup!$C$40*SQRT($B931)/(1-MIN(0.75,Matchup!$C$39*$B931))),RAND())</f>
        <v>1</v>
      </c>
      <c r="O931" s="0" t="n">
        <f aca="false">6*J931+(J931-K931-M931)+2*L931+3*N931</f>
        <v>10</v>
      </c>
      <c r="P931" s="0" t="n">
        <f aca="true">RAND()</f>
        <v>0.405753352701956</v>
      </c>
      <c r="Q931" s="0" t="n">
        <f aca="true">RAND()</f>
        <v>0.73882704740956</v>
      </c>
      <c r="R931" s="0" t="n">
        <f aca="false">IF($I931&lt;&gt;$O931,0,IF(P931&lt;Matchup!$B$39,7,IF(P931&lt;Matchup!$B$39+Matchup!$B$40,3,0)))</f>
        <v>0</v>
      </c>
      <c r="S931" s="0" t="n">
        <f aca="false">IF($I931&lt;&gt;$O931,0,IF(Q931&lt;Matchup!$C$39,7,IF(Q931&lt;Matchup!$C$39+Matchup!$C$40,3,0)))</f>
        <v>0</v>
      </c>
      <c r="T931" s="0" t="n">
        <f aca="false">I931+R931</f>
        <v>13</v>
      </c>
      <c r="U931" s="0" t="n">
        <f aca="false">O931+S931</f>
        <v>10</v>
      </c>
      <c r="V931" s="0" t="n">
        <f aca="false">T931-U931</f>
        <v>3</v>
      </c>
      <c r="W931" s="0" t="n">
        <f aca="false">T931+U931</f>
        <v>23</v>
      </c>
    </row>
    <row r="932" customFormat="false" ht="15" hidden="false" customHeight="false" outlineLevel="0" collapsed="false">
      <c r="A932" s="0" t="n">
        <v>929</v>
      </c>
      <c r="B932" s="0" t="n">
        <f aca="true">NORMINV(RAND(),1,Coefficients!$B$22)</f>
        <v>0.910057771617135</v>
      </c>
      <c r="C932" s="0" t="n">
        <f aca="true">MEDIAN(8,16,ROUND(NORMINV(RAND(),Coefficients!$B$20,Coefficients!$B$21),0))</f>
        <v>10</v>
      </c>
      <c r="D932" s="0" t="n">
        <f aca="true">CRITBINOM($C932,MIN(0.75,Matchup!$B$39*$B932),RAND())</f>
        <v>4</v>
      </c>
      <c r="E932" s="0" t="n">
        <f aca="true">CRITBINOM(D932,Coefficients!$B$30,RAND())</f>
        <v>0</v>
      </c>
      <c r="F932" s="0" t="n">
        <f aca="true">CRITBINOM(E932,Coefficients!$B$31,RAND())</f>
        <v>0</v>
      </c>
      <c r="G932" s="0" t="n">
        <f aca="true">CRITBINOM(MAX(0,D932-E932),1-Coefficients!$B$32,RAND())</f>
        <v>0</v>
      </c>
      <c r="H932" s="0" t="n">
        <f aca="true">CRITBINOM(MAX(0,$C932-D932),MIN(0.6,Matchup!$B$40*SQRT($B932)/(1-MIN(0.75,Matchup!$B$39*$B932))),RAND())</f>
        <v>0</v>
      </c>
      <c r="I932" s="0" t="n">
        <f aca="false">6*D932+(D932-E932-G932)+2*F932+3*H932</f>
        <v>28</v>
      </c>
      <c r="J932" s="0" t="n">
        <f aca="true">CRITBINOM($C932,MIN(0.75,Matchup!$C$39*$B932),RAND())</f>
        <v>3</v>
      </c>
      <c r="K932" s="0" t="n">
        <f aca="true">CRITBINOM(J932,Coefficients!$B$30,RAND())</f>
        <v>0</v>
      </c>
      <c r="L932" s="0" t="n">
        <f aca="true">CRITBINOM(K932,Coefficients!$B$31,RAND())</f>
        <v>0</v>
      </c>
      <c r="M932" s="0" t="n">
        <f aca="true">CRITBINOM(MAX(0,J932-K932),1-Coefficients!$B$32,RAND())</f>
        <v>0</v>
      </c>
      <c r="N932" s="0" t="n">
        <f aca="true">CRITBINOM(MAX(0,$C932-J932),MIN(0.6,Matchup!$C$40*SQRT($B932)/(1-MIN(0.75,Matchup!$C$39*$B932))),RAND())</f>
        <v>2</v>
      </c>
      <c r="O932" s="0" t="n">
        <f aca="false">6*J932+(J932-K932-M932)+2*L932+3*N932</f>
        <v>27</v>
      </c>
      <c r="P932" s="0" t="n">
        <f aca="true">RAND()</f>
        <v>0.201497876799514</v>
      </c>
      <c r="Q932" s="0" t="n">
        <f aca="true">RAND()</f>
        <v>0.200223518873813</v>
      </c>
      <c r="R932" s="0" t="n">
        <f aca="false">IF($I932&lt;&gt;$O932,0,IF(P932&lt;Matchup!$B$39,7,IF(P932&lt;Matchup!$B$39+Matchup!$B$40,3,0)))</f>
        <v>0</v>
      </c>
      <c r="S932" s="0" t="n">
        <f aca="false">IF($I932&lt;&gt;$O932,0,IF(Q932&lt;Matchup!$C$39,7,IF(Q932&lt;Matchup!$C$39+Matchup!$C$40,3,0)))</f>
        <v>0</v>
      </c>
      <c r="T932" s="0" t="n">
        <f aca="false">I932+R932</f>
        <v>28</v>
      </c>
      <c r="U932" s="0" t="n">
        <f aca="false">O932+S932</f>
        <v>27</v>
      </c>
      <c r="V932" s="0" t="n">
        <f aca="false">T932-U932</f>
        <v>1</v>
      </c>
      <c r="W932" s="0" t="n">
        <f aca="false">T932+U932</f>
        <v>55</v>
      </c>
    </row>
    <row r="933" customFormat="false" ht="15" hidden="false" customHeight="false" outlineLevel="0" collapsed="false">
      <c r="A933" s="0" t="n">
        <v>930</v>
      </c>
      <c r="B933" s="0" t="n">
        <f aca="true">NORMINV(RAND(),1,Coefficients!$B$22)</f>
        <v>1.03903592001565</v>
      </c>
      <c r="C933" s="0" t="n">
        <f aca="true">MEDIAN(8,16,ROUND(NORMINV(RAND(),Coefficients!$B$20,Coefficients!$B$21),0))</f>
        <v>13</v>
      </c>
      <c r="D933" s="0" t="n">
        <f aca="true">CRITBINOM($C933,MIN(0.75,Matchup!$B$39*$B933),RAND())</f>
        <v>3</v>
      </c>
      <c r="E933" s="0" t="n">
        <f aca="true">CRITBINOM(D933,Coefficients!$B$30,RAND())</f>
        <v>0</v>
      </c>
      <c r="F933" s="0" t="n">
        <f aca="true">CRITBINOM(E933,Coefficients!$B$31,RAND())</f>
        <v>0</v>
      </c>
      <c r="G933" s="0" t="n">
        <f aca="true">CRITBINOM(MAX(0,D933-E933),1-Coefficients!$B$32,RAND())</f>
        <v>0</v>
      </c>
      <c r="H933" s="0" t="n">
        <f aca="true">CRITBINOM(MAX(0,$C933-D933),MIN(0.6,Matchup!$B$40*SQRT($B933)/(1-MIN(0.75,Matchup!$B$39*$B933))),RAND())</f>
        <v>2</v>
      </c>
      <c r="I933" s="0" t="n">
        <f aca="false">6*D933+(D933-E933-G933)+2*F933+3*H933</f>
        <v>27</v>
      </c>
      <c r="J933" s="0" t="n">
        <f aca="true">CRITBINOM($C933,MIN(0.75,Matchup!$C$39*$B933),RAND())</f>
        <v>6</v>
      </c>
      <c r="K933" s="0" t="n">
        <f aca="true">CRITBINOM(J933,Coefficients!$B$30,RAND())</f>
        <v>1</v>
      </c>
      <c r="L933" s="0" t="n">
        <f aca="true">CRITBINOM(K933,Coefficients!$B$31,RAND())</f>
        <v>1</v>
      </c>
      <c r="M933" s="0" t="n">
        <f aca="true">CRITBINOM(MAX(0,J933-K933),1-Coefficients!$B$32,RAND())</f>
        <v>0</v>
      </c>
      <c r="N933" s="0" t="n">
        <f aca="true">CRITBINOM(MAX(0,$C933-J933),MIN(0.6,Matchup!$C$40*SQRT($B933)/(1-MIN(0.75,Matchup!$C$39*$B933))),RAND())</f>
        <v>2</v>
      </c>
      <c r="O933" s="0" t="n">
        <f aca="false">6*J933+(J933-K933-M933)+2*L933+3*N933</f>
        <v>49</v>
      </c>
      <c r="P933" s="0" t="n">
        <f aca="true">RAND()</f>
        <v>0.996959809177452</v>
      </c>
      <c r="Q933" s="0" t="n">
        <f aca="true">RAND()</f>
        <v>0.387919913398821</v>
      </c>
      <c r="R933" s="0" t="n">
        <f aca="false">IF($I933&lt;&gt;$O933,0,IF(P933&lt;Matchup!$B$39,7,IF(P933&lt;Matchup!$B$39+Matchup!$B$40,3,0)))</f>
        <v>0</v>
      </c>
      <c r="S933" s="0" t="n">
        <f aca="false">IF($I933&lt;&gt;$O933,0,IF(Q933&lt;Matchup!$C$39,7,IF(Q933&lt;Matchup!$C$39+Matchup!$C$40,3,0)))</f>
        <v>0</v>
      </c>
      <c r="T933" s="0" t="n">
        <f aca="false">I933+R933</f>
        <v>27</v>
      </c>
      <c r="U933" s="0" t="n">
        <f aca="false">O933+S933</f>
        <v>49</v>
      </c>
      <c r="V933" s="0" t="n">
        <f aca="false">T933-U933</f>
        <v>-22</v>
      </c>
      <c r="W933" s="0" t="n">
        <f aca="false">T933+U933</f>
        <v>76</v>
      </c>
    </row>
    <row r="934" customFormat="false" ht="15" hidden="false" customHeight="false" outlineLevel="0" collapsed="false">
      <c r="A934" s="0" t="n">
        <v>931</v>
      </c>
      <c r="B934" s="0" t="n">
        <f aca="true">NORMINV(RAND(),1,Coefficients!$B$22)</f>
        <v>1.03992269553075</v>
      </c>
      <c r="C934" s="0" t="n">
        <f aca="true">MEDIAN(8,16,ROUND(NORMINV(RAND(),Coefficients!$B$20,Coefficients!$B$21),0))</f>
        <v>12</v>
      </c>
      <c r="D934" s="0" t="n">
        <f aca="true">CRITBINOM($C934,MIN(0.75,Matchup!$B$39*$B934),RAND())</f>
        <v>3</v>
      </c>
      <c r="E934" s="0" t="n">
        <f aca="true">CRITBINOM(D934,Coefficients!$B$30,RAND())</f>
        <v>0</v>
      </c>
      <c r="F934" s="0" t="n">
        <f aca="true">CRITBINOM(E934,Coefficients!$B$31,RAND())</f>
        <v>0</v>
      </c>
      <c r="G934" s="0" t="n">
        <f aca="true">CRITBINOM(MAX(0,D934-E934),1-Coefficients!$B$32,RAND())</f>
        <v>0</v>
      </c>
      <c r="H934" s="0" t="n">
        <f aca="true">CRITBINOM(MAX(0,$C934-D934),MIN(0.6,Matchup!$B$40*SQRT($B934)/(1-MIN(0.75,Matchup!$B$39*$B934))),RAND())</f>
        <v>3</v>
      </c>
      <c r="I934" s="0" t="n">
        <f aca="false">6*D934+(D934-E934-G934)+2*F934+3*H934</f>
        <v>30</v>
      </c>
      <c r="J934" s="0" t="n">
        <f aca="true">CRITBINOM($C934,MIN(0.75,Matchup!$C$39*$B934),RAND())</f>
        <v>0</v>
      </c>
      <c r="K934" s="0" t="n">
        <f aca="true">CRITBINOM(J934,Coefficients!$B$30,RAND())</f>
        <v>0</v>
      </c>
      <c r="L934" s="0" t="n">
        <f aca="true">CRITBINOM(K934,Coefficients!$B$31,RAND())</f>
        <v>0</v>
      </c>
      <c r="M934" s="0" t="n">
        <f aca="true">CRITBINOM(MAX(0,J934-K934),1-Coefficients!$B$32,RAND())</f>
        <v>0</v>
      </c>
      <c r="N934" s="0" t="n">
        <f aca="true">CRITBINOM(MAX(0,$C934-J934),MIN(0.6,Matchup!$C$40*SQRT($B934)/(1-MIN(0.75,Matchup!$C$39*$B934))),RAND())</f>
        <v>2</v>
      </c>
      <c r="O934" s="0" t="n">
        <f aca="false">6*J934+(J934-K934-M934)+2*L934+3*N934</f>
        <v>6</v>
      </c>
      <c r="P934" s="0" t="n">
        <f aca="true">RAND()</f>
        <v>0.0453018261884299</v>
      </c>
      <c r="Q934" s="0" t="n">
        <f aca="true">RAND()</f>
        <v>0.126799116070585</v>
      </c>
      <c r="R934" s="0" t="n">
        <f aca="false">IF($I934&lt;&gt;$O934,0,IF(P934&lt;Matchup!$B$39,7,IF(P934&lt;Matchup!$B$39+Matchup!$B$40,3,0)))</f>
        <v>0</v>
      </c>
      <c r="S934" s="0" t="n">
        <f aca="false">IF($I934&lt;&gt;$O934,0,IF(Q934&lt;Matchup!$C$39,7,IF(Q934&lt;Matchup!$C$39+Matchup!$C$40,3,0)))</f>
        <v>0</v>
      </c>
      <c r="T934" s="0" t="n">
        <f aca="false">I934+R934</f>
        <v>30</v>
      </c>
      <c r="U934" s="0" t="n">
        <f aca="false">O934+S934</f>
        <v>6</v>
      </c>
      <c r="V934" s="0" t="n">
        <f aca="false">T934-U934</f>
        <v>24</v>
      </c>
      <c r="W934" s="0" t="n">
        <f aca="false">T934+U934</f>
        <v>36</v>
      </c>
    </row>
    <row r="935" customFormat="false" ht="15" hidden="false" customHeight="false" outlineLevel="0" collapsed="false">
      <c r="A935" s="0" t="n">
        <v>932</v>
      </c>
      <c r="B935" s="0" t="n">
        <f aca="true">NORMINV(RAND(),1,Coefficients!$B$22)</f>
        <v>0.908034644335473</v>
      </c>
      <c r="C935" s="0" t="n">
        <f aca="true">MEDIAN(8,16,ROUND(NORMINV(RAND(),Coefficients!$B$20,Coefficients!$B$21),0))</f>
        <v>9</v>
      </c>
      <c r="D935" s="0" t="n">
        <f aca="true">CRITBINOM($C935,MIN(0.75,Matchup!$B$39*$B935),RAND())</f>
        <v>2</v>
      </c>
      <c r="E935" s="0" t="n">
        <f aca="true">CRITBINOM(D935,Coefficients!$B$30,RAND())</f>
        <v>0</v>
      </c>
      <c r="F935" s="0" t="n">
        <f aca="true">CRITBINOM(E935,Coefficients!$B$31,RAND())</f>
        <v>0</v>
      </c>
      <c r="G935" s="0" t="n">
        <f aca="true">CRITBINOM(MAX(0,D935-E935),1-Coefficients!$B$32,RAND())</f>
        <v>0</v>
      </c>
      <c r="H935" s="0" t="n">
        <f aca="true">CRITBINOM(MAX(0,$C935-D935),MIN(0.6,Matchup!$B$40*SQRT($B935)/(1-MIN(0.75,Matchup!$B$39*$B935))),RAND())</f>
        <v>0</v>
      </c>
      <c r="I935" s="0" t="n">
        <f aca="false">6*D935+(D935-E935-G935)+2*F935+3*H935</f>
        <v>14</v>
      </c>
      <c r="J935" s="0" t="n">
        <f aca="true">CRITBINOM($C935,MIN(0.75,Matchup!$C$39*$B935),RAND())</f>
        <v>1</v>
      </c>
      <c r="K935" s="0" t="n">
        <f aca="true">CRITBINOM(J935,Coefficients!$B$30,RAND())</f>
        <v>0</v>
      </c>
      <c r="L935" s="0" t="n">
        <f aca="true">CRITBINOM(K935,Coefficients!$B$31,RAND())</f>
        <v>0</v>
      </c>
      <c r="M935" s="0" t="n">
        <f aca="true">CRITBINOM(MAX(0,J935-K935),1-Coefficients!$B$32,RAND())</f>
        <v>0</v>
      </c>
      <c r="N935" s="0" t="n">
        <f aca="true">CRITBINOM(MAX(0,$C935-J935),MIN(0.6,Matchup!$C$40*SQRT($B935)/(1-MIN(0.75,Matchup!$C$39*$B935))),RAND())</f>
        <v>0</v>
      </c>
      <c r="O935" s="0" t="n">
        <f aca="false">6*J935+(J935-K935-M935)+2*L935+3*N935</f>
        <v>7</v>
      </c>
      <c r="P935" s="0" t="n">
        <f aca="true">RAND()</f>
        <v>0.769908983064036</v>
      </c>
      <c r="Q935" s="0" t="n">
        <f aca="true">RAND()</f>
        <v>0.987327381671857</v>
      </c>
      <c r="R935" s="0" t="n">
        <f aca="false">IF($I935&lt;&gt;$O935,0,IF(P935&lt;Matchup!$B$39,7,IF(P935&lt;Matchup!$B$39+Matchup!$B$40,3,0)))</f>
        <v>0</v>
      </c>
      <c r="S935" s="0" t="n">
        <f aca="false">IF($I935&lt;&gt;$O935,0,IF(Q935&lt;Matchup!$C$39,7,IF(Q935&lt;Matchup!$C$39+Matchup!$C$40,3,0)))</f>
        <v>0</v>
      </c>
      <c r="T935" s="0" t="n">
        <f aca="false">I935+R935</f>
        <v>14</v>
      </c>
      <c r="U935" s="0" t="n">
        <f aca="false">O935+S935</f>
        <v>7</v>
      </c>
      <c r="V935" s="0" t="n">
        <f aca="false">T935-U935</f>
        <v>7</v>
      </c>
      <c r="W935" s="0" t="n">
        <f aca="false">T935+U935</f>
        <v>21</v>
      </c>
    </row>
    <row r="936" customFormat="false" ht="15" hidden="false" customHeight="false" outlineLevel="0" collapsed="false">
      <c r="A936" s="0" t="n">
        <v>933</v>
      </c>
      <c r="B936" s="0" t="n">
        <f aca="true">NORMINV(RAND(),1,Coefficients!$B$22)</f>
        <v>0.978205160775596</v>
      </c>
      <c r="C936" s="0" t="n">
        <f aca="true">MEDIAN(8,16,ROUND(NORMINV(RAND(),Coefficients!$B$20,Coefficients!$B$21),0))</f>
        <v>11</v>
      </c>
      <c r="D936" s="0" t="n">
        <f aca="true">CRITBINOM($C936,MIN(0.75,Matchup!$B$39*$B936),RAND())</f>
        <v>3</v>
      </c>
      <c r="E936" s="0" t="n">
        <f aca="true">CRITBINOM(D936,Coefficients!$B$30,RAND())</f>
        <v>0</v>
      </c>
      <c r="F936" s="0" t="n">
        <f aca="true">CRITBINOM(E936,Coefficients!$B$31,RAND())</f>
        <v>0</v>
      </c>
      <c r="G936" s="0" t="n">
        <f aca="true">CRITBINOM(MAX(0,D936-E936),1-Coefficients!$B$32,RAND())</f>
        <v>0</v>
      </c>
      <c r="H936" s="0" t="n">
        <f aca="true">CRITBINOM(MAX(0,$C936-D936),MIN(0.6,Matchup!$B$40*SQRT($B936)/(1-MIN(0.75,Matchup!$B$39*$B936))),RAND())</f>
        <v>1</v>
      </c>
      <c r="I936" s="0" t="n">
        <f aca="false">6*D936+(D936-E936-G936)+2*F936+3*H936</f>
        <v>24</v>
      </c>
      <c r="J936" s="0" t="n">
        <f aca="true">CRITBINOM($C936,MIN(0.75,Matchup!$C$39*$B936),RAND())</f>
        <v>2</v>
      </c>
      <c r="K936" s="0" t="n">
        <f aca="true">CRITBINOM(J936,Coefficients!$B$30,RAND())</f>
        <v>0</v>
      </c>
      <c r="L936" s="0" t="n">
        <f aca="true">CRITBINOM(K936,Coefficients!$B$31,RAND())</f>
        <v>0</v>
      </c>
      <c r="M936" s="0" t="n">
        <f aca="true">CRITBINOM(MAX(0,J936-K936),1-Coefficients!$B$32,RAND())</f>
        <v>0</v>
      </c>
      <c r="N936" s="0" t="n">
        <f aca="true">CRITBINOM(MAX(0,$C936-J936),MIN(0.6,Matchup!$C$40*SQRT($B936)/(1-MIN(0.75,Matchup!$C$39*$B936))),RAND())</f>
        <v>3</v>
      </c>
      <c r="O936" s="0" t="n">
        <f aca="false">6*J936+(J936-K936-M936)+2*L936+3*N936</f>
        <v>23</v>
      </c>
      <c r="P936" s="0" t="n">
        <f aca="true">RAND()</f>
        <v>0.710550770049866</v>
      </c>
      <c r="Q936" s="0" t="n">
        <f aca="true">RAND()</f>
        <v>0.810051223532711</v>
      </c>
      <c r="R936" s="0" t="n">
        <f aca="false">IF($I936&lt;&gt;$O936,0,IF(P936&lt;Matchup!$B$39,7,IF(P936&lt;Matchup!$B$39+Matchup!$B$40,3,0)))</f>
        <v>0</v>
      </c>
      <c r="S936" s="0" t="n">
        <f aca="false">IF($I936&lt;&gt;$O936,0,IF(Q936&lt;Matchup!$C$39,7,IF(Q936&lt;Matchup!$C$39+Matchup!$C$40,3,0)))</f>
        <v>0</v>
      </c>
      <c r="T936" s="0" t="n">
        <f aca="false">I936+R936</f>
        <v>24</v>
      </c>
      <c r="U936" s="0" t="n">
        <f aca="false">O936+S936</f>
        <v>23</v>
      </c>
      <c r="V936" s="0" t="n">
        <f aca="false">T936-U936</f>
        <v>1</v>
      </c>
      <c r="W936" s="0" t="n">
        <f aca="false">T936+U936</f>
        <v>47</v>
      </c>
    </row>
    <row r="937" customFormat="false" ht="15" hidden="false" customHeight="false" outlineLevel="0" collapsed="false">
      <c r="A937" s="0" t="n">
        <v>934</v>
      </c>
      <c r="B937" s="0" t="n">
        <f aca="true">NORMINV(RAND(),1,Coefficients!$B$22)</f>
        <v>0.959591535423881</v>
      </c>
      <c r="C937" s="0" t="n">
        <f aca="true">MEDIAN(8,16,ROUND(NORMINV(RAND(),Coefficients!$B$20,Coefficients!$B$21),0))</f>
        <v>11</v>
      </c>
      <c r="D937" s="0" t="n">
        <f aca="true">CRITBINOM($C937,MIN(0.75,Matchup!$B$39*$B937),RAND())</f>
        <v>2</v>
      </c>
      <c r="E937" s="0" t="n">
        <f aca="true">CRITBINOM(D937,Coefficients!$B$30,RAND())</f>
        <v>0</v>
      </c>
      <c r="F937" s="0" t="n">
        <f aca="true">CRITBINOM(E937,Coefficients!$B$31,RAND())</f>
        <v>0</v>
      </c>
      <c r="G937" s="0" t="n">
        <f aca="true">CRITBINOM(MAX(0,D937-E937),1-Coefficients!$B$32,RAND())</f>
        <v>0</v>
      </c>
      <c r="H937" s="0" t="n">
        <f aca="true">CRITBINOM(MAX(0,$C937-D937),MIN(0.6,Matchup!$B$40*SQRT($B937)/(1-MIN(0.75,Matchup!$B$39*$B937))),RAND())</f>
        <v>1</v>
      </c>
      <c r="I937" s="0" t="n">
        <f aca="false">6*D937+(D937-E937-G937)+2*F937+3*H937</f>
        <v>17</v>
      </c>
      <c r="J937" s="0" t="n">
        <f aca="true">CRITBINOM($C937,MIN(0.75,Matchup!$C$39*$B937),RAND())</f>
        <v>1</v>
      </c>
      <c r="K937" s="0" t="n">
        <f aca="true">CRITBINOM(J937,Coefficients!$B$30,RAND())</f>
        <v>0</v>
      </c>
      <c r="L937" s="0" t="n">
        <f aca="true">CRITBINOM(K937,Coefficients!$B$31,RAND())</f>
        <v>0</v>
      </c>
      <c r="M937" s="0" t="n">
        <f aca="true">CRITBINOM(MAX(0,J937-K937),1-Coefficients!$B$32,RAND())</f>
        <v>0</v>
      </c>
      <c r="N937" s="0" t="n">
        <f aca="true">CRITBINOM(MAX(0,$C937-J937),MIN(0.6,Matchup!$C$40*SQRT($B937)/(1-MIN(0.75,Matchup!$C$39*$B937))),RAND())</f>
        <v>1</v>
      </c>
      <c r="O937" s="0" t="n">
        <f aca="false">6*J937+(J937-K937-M937)+2*L937+3*N937</f>
        <v>10</v>
      </c>
      <c r="P937" s="0" t="n">
        <f aca="true">RAND()</f>
        <v>0.000756072654728454</v>
      </c>
      <c r="Q937" s="0" t="n">
        <f aca="true">RAND()</f>
        <v>0.248406791791035</v>
      </c>
      <c r="R937" s="0" t="n">
        <f aca="false">IF($I937&lt;&gt;$O937,0,IF(P937&lt;Matchup!$B$39,7,IF(P937&lt;Matchup!$B$39+Matchup!$B$40,3,0)))</f>
        <v>0</v>
      </c>
      <c r="S937" s="0" t="n">
        <f aca="false">IF($I937&lt;&gt;$O937,0,IF(Q937&lt;Matchup!$C$39,7,IF(Q937&lt;Matchup!$C$39+Matchup!$C$40,3,0)))</f>
        <v>0</v>
      </c>
      <c r="T937" s="0" t="n">
        <f aca="false">I937+R937</f>
        <v>17</v>
      </c>
      <c r="U937" s="0" t="n">
        <f aca="false">O937+S937</f>
        <v>10</v>
      </c>
      <c r="V937" s="0" t="n">
        <f aca="false">T937-U937</f>
        <v>7</v>
      </c>
      <c r="W937" s="0" t="n">
        <f aca="false">T937+U937</f>
        <v>27</v>
      </c>
    </row>
    <row r="938" customFormat="false" ht="15" hidden="false" customHeight="false" outlineLevel="0" collapsed="false">
      <c r="A938" s="0" t="n">
        <v>935</v>
      </c>
      <c r="B938" s="0" t="n">
        <f aca="true">NORMINV(RAND(),1,Coefficients!$B$22)</f>
        <v>0.966332431607657</v>
      </c>
      <c r="C938" s="0" t="n">
        <f aca="true">MEDIAN(8,16,ROUND(NORMINV(RAND(),Coefficients!$B$20,Coefficients!$B$21),0))</f>
        <v>13</v>
      </c>
      <c r="D938" s="0" t="n">
        <f aca="true">CRITBINOM($C938,MIN(0.75,Matchup!$B$39*$B938),RAND())</f>
        <v>4</v>
      </c>
      <c r="E938" s="0" t="n">
        <f aca="true">CRITBINOM(D938,Coefficients!$B$30,RAND())</f>
        <v>0</v>
      </c>
      <c r="F938" s="0" t="n">
        <f aca="true">CRITBINOM(E938,Coefficients!$B$31,RAND())</f>
        <v>0</v>
      </c>
      <c r="G938" s="0" t="n">
        <f aca="true">CRITBINOM(MAX(0,D938-E938),1-Coefficients!$B$32,RAND())</f>
        <v>0</v>
      </c>
      <c r="H938" s="0" t="n">
        <f aca="true">CRITBINOM(MAX(0,$C938-D938),MIN(0.6,Matchup!$B$40*SQRT($B938)/(1-MIN(0.75,Matchup!$B$39*$B938))),RAND())</f>
        <v>2</v>
      </c>
      <c r="I938" s="0" t="n">
        <f aca="false">6*D938+(D938-E938-G938)+2*F938+3*H938</f>
        <v>34</v>
      </c>
      <c r="J938" s="0" t="n">
        <f aca="true">CRITBINOM($C938,MIN(0.75,Matchup!$C$39*$B938),RAND())</f>
        <v>2</v>
      </c>
      <c r="K938" s="0" t="n">
        <f aca="true">CRITBINOM(J938,Coefficients!$B$30,RAND())</f>
        <v>0</v>
      </c>
      <c r="L938" s="0" t="n">
        <f aca="true">CRITBINOM(K938,Coefficients!$B$31,RAND())</f>
        <v>0</v>
      </c>
      <c r="M938" s="0" t="n">
        <f aca="true">CRITBINOM(MAX(0,J938-K938),1-Coefficients!$B$32,RAND())</f>
        <v>0</v>
      </c>
      <c r="N938" s="0" t="n">
        <f aca="true">CRITBINOM(MAX(0,$C938-J938),MIN(0.6,Matchup!$C$40*SQRT($B938)/(1-MIN(0.75,Matchup!$C$39*$B938))),RAND())</f>
        <v>2</v>
      </c>
      <c r="O938" s="0" t="n">
        <f aca="false">6*J938+(J938-K938-M938)+2*L938+3*N938</f>
        <v>20</v>
      </c>
      <c r="P938" s="0" t="n">
        <f aca="true">RAND()</f>
        <v>0.0637992586997993</v>
      </c>
      <c r="Q938" s="0" t="n">
        <f aca="true">RAND()</f>
        <v>0.940095925639477</v>
      </c>
      <c r="R938" s="0" t="n">
        <f aca="false">IF($I938&lt;&gt;$O938,0,IF(P938&lt;Matchup!$B$39,7,IF(P938&lt;Matchup!$B$39+Matchup!$B$40,3,0)))</f>
        <v>0</v>
      </c>
      <c r="S938" s="0" t="n">
        <f aca="false">IF($I938&lt;&gt;$O938,0,IF(Q938&lt;Matchup!$C$39,7,IF(Q938&lt;Matchup!$C$39+Matchup!$C$40,3,0)))</f>
        <v>0</v>
      </c>
      <c r="T938" s="0" t="n">
        <f aca="false">I938+R938</f>
        <v>34</v>
      </c>
      <c r="U938" s="0" t="n">
        <f aca="false">O938+S938</f>
        <v>20</v>
      </c>
      <c r="V938" s="0" t="n">
        <f aca="false">T938-U938</f>
        <v>14</v>
      </c>
      <c r="W938" s="0" t="n">
        <f aca="false">T938+U938</f>
        <v>54</v>
      </c>
    </row>
    <row r="939" customFormat="false" ht="15" hidden="false" customHeight="false" outlineLevel="0" collapsed="false">
      <c r="A939" s="0" t="n">
        <v>936</v>
      </c>
      <c r="B939" s="0" t="n">
        <f aca="true">NORMINV(RAND(),1,Coefficients!$B$22)</f>
        <v>1.02306004942502</v>
      </c>
      <c r="C939" s="0" t="n">
        <f aca="true">MEDIAN(8,16,ROUND(NORMINV(RAND(),Coefficients!$B$20,Coefficients!$B$21),0))</f>
        <v>12</v>
      </c>
      <c r="D939" s="0" t="n">
        <f aca="true">CRITBINOM($C939,MIN(0.75,Matchup!$B$39*$B939),RAND())</f>
        <v>1</v>
      </c>
      <c r="E939" s="0" t="n">
        <f aca="true">CRITBINOM(D939,Coefficients!$B$30,RAND())</f>
        <v>0</v>
      </c>
      <c r="F939" s="0" t="n">
        <f aca="true">CRITBINOM(E939,Coefficients!$B$31,RAND())</f>
        <v>0</v>
      </c>
      <c r="G939" s="0" t="n">
        <f aca="true">CRITBINOM(MAX(0,D939-E939),1-Coefficients!$B$32,RAND())</f>
        <v>0</v>
      </c>
      <c r="H939" s="0" t="n">
        <f aca="true">CRITBINOM(MAX(0,$C939-D939),MIN(0.6,Matchup!$B$40*SQRT($B939)/(1-MIN(0.75,Matchup!$B$39*$B939))),RAND())</f>
        <v>4</v>
      </c>
      <c r="I939" s="0" t="n">
        <f aca="false">6*D939+(D939-E939-G939)+2*F939+3*H939</f>
        <v>19</v>
      </c>
      <c r="J939" s="0" t="n">
        <f aca="true">CRITBINOM($C939,MIN(0.75,Matchup!$C$39*$B939),RAND())</f>
        <v>4</v>
      </c>
      <c r="K939" s="0" t="n">
        <f aca="true">CRITBINOM(J939,Coefficients!$B$30,RAND())</f>
        <v>0</v>
      </c>
      <c r="L939" s="0" t="n">
        <f aca="true">CRITBINOM(K939,Coefficients!$B$31,RAND())</f>
        <v>0</v>
      </c>
      <c r="M939" s="0" t="n">
        <f aca="true">CRITBINOM(MAX(0,J939-K939),1-Coefficients!$B$32,RAND())</f>
        <v>1</v>
      </c>
      <c r="N939" s="0" t="n">
        <f aca="true">CRITBINOM(MAX(0,$C939-J939),MIN(0.6,Matchup!$C$40*SQRT($B939)/(1-MIN(0.75,Matchup!$C$39*$B939))),RAND())</f>
        <v>1</v>
      </c>
      <c r="O939" s="0" t="n">
        <f aca="false">6*J939+(J939-K939-M939)+2*L939+3*N939</f>
        <v>30</v>
      </c>
      <c r="P939" s="0" t="n">
        <f aca="true">RAND()</f>
        <v>0.149676920278022</v>
      </c>
      <c r="Q939" s="0" t="n">
        <f aca="true">RAND()</f>
        <v>0.935167360831788</v>
      </c>
      <c r="R939" s="0" t="n">
        <f aca="false">IF($I939&lt;&gt;$O939,0,IF(P939&lt;Matchup!$B$39,7,IF(P939&lt;Matchup!$B$39+Matchup!$B$40,3,0)))</f>
        <v>0</v>
      </c>
      <c r="S939" s="0" t="n">
        <f aca="false">IF($I939&lt;&gt;$O939,0,IF(Q939&lt;Matchup!$C$39,7,IF(Q939&lt;Matchup!$C$39+Matchup!$C$40,3,0)))</f>
        <v>0</v>
      </c>
      <c r="T939" s="0" t="n">
        <f aca="false">I939+R939</f>
        <v>19</v>
      </c>
      <c r="U939" s="0" t="n">
        <f aca="false">O939+S939</f>
        <v>30</v>
      </c>
      <c r="V939" s="0" t="n">
        <f aca="false">T939-U939</f>
        <v>-11</v>
      </c>
      <c r="W939" s="0" t="n">
        <f aca="false">T939+U939</f>
        <v>49</v>
      </c>
    </row>
    <row r="940" customFormat="false" ht="15" hidden="false" customHeight="false" outlineLevel="0" collapsed="false">
      <c r="A940" s="0" t="n">
        <v>937</v>
      </c>
      <c r="B940" s="0" t="n">
        <f aca="true">NORMINV(RAND(),1,Coefficients!$B$22)</f>
        <v>0.943468276320644</v>
      </c>
      <c r="C940" s="0" t="n">
        <f aca="true">MEDIAN(8,16,ROUND(NORMINV(RAND(),Coefficients!$B$20,Coefficients!$B$21),0))</f>
        <v>13</v>
      </c>
      <c r="D940" s="0" t="n">
        <f aca="true">CRITBINOM($C940,MIN(0.75,Matchup!$B$39*$B940),RAND())</f>
        <v>1</v>
      </c>
      <c r="E940" s="0" t="n">
        <f aca="true">CRITBINOM(D940,Coefficients!$B$30,RAND())</f>
        <v>0</v>
      </c>
      <c r="F940" s="0" t="n">
        <f aca="true">CRITBINOM(E940,Coefficients!$B$31,RAND())</f>
        <v>0</v>
      </c>
      <c r="G940" s="0" t="n">
        <f aca="true">CRITBINOM(MAX(0,D940-E940),1-Coefficients!$B$32,RAND())</f>
        <v>0</v>
      </c>
      <c r="H940" s="0" t="n">
        <f aca="true">CRITBINOM(MAX(0,$C940-D940),MIN(0.6,Matchup!$B$40*SQRT($B940)/(1-MIN(0.75,Matchup!$B$39*$B940))),RAND())</f>
        <v>0</v>
      </c>
      <c r="I940" s="0" t="n">
        <f aca="false">6*D940+(D940-E940-G940)+2*F940+3*H940</f>
        <v>7</v>
      </c>
      <c r="J940" s="0" t="n">
        <f aca="true">CRITBINOM($C940,MIN(0.75,Matchup!$C$39*$B940),RAND())</f>
        <v>3</v>
      </c>
      <c r="K940" s="0" t="n">
        <f aca="true">CRITBINOM(J940,Coefficients!$B$30,RAND())</f>
        <v>0</v>
      </c>
      <c r="L940" s="0" t="n">
        <f aca="true">CRITBINOM(K940,Coefficients!$B$31,RAND())</f>
        <v>0</v>
      </c>
      <c r="M940" s="0" t="n">
        <f aca="true">CRITBINOM(MAX(0,J940-K940),1-Coefficients!$B$32,RAND())</f>
        <v>1</v>
      </c>
      <c r="N940" s="0" t="n">
        <f aca="true">CRITBINOM(MAX(0,$C940-J940),MIN(0.6,Matchup!$C$40*SQRT($B940)/(1-MIN(0.75,Matchup!$C$39*$B940))),RAND())</f>
        <v>0</v>
      </c>
      <c r="O940" s="0" t="n">
        <f aca="false">6*J940+(J940-K940-M940)+2*L940+3*N940</f>
        <v>20</v>
      </c>
      <c r="P940" s="0" t="n">
        <f aca="true">RAND()</f>
        <v>0.489409170289486</v>
      </c>
      <c r="Q940" s="0" t="n">
        <f aca="true">RAND()</f>
        <v>0.213964473953998</v>
      </c>
      <c r="R940" s="0" t="n">
        <f aca="false">IF($I940&lt;&gt;$O940,0,IF(P940&lt;Matchup!$B$39,7,IF(P940&lt;Matchup!$B$39+Matchup!$B$40,3,0)))</f>
        <v>0</v>
      </c>
      <c r="S940" s="0" t="n">
        <f aca="false">IF($I940&lt;&gt;$O940,0,IF(Q940&lt;Matchup!$C$39,7,IF(Q940&lt;Matchup!$C$39+Matchup!$C$40,3,0)))</f>
        <v>0</v>
      </c>
      <c r="T940" s="0" t="n">
        <f aca="false">I940+R940</f>
        <v>7</v>
      </c>
      <c r="U940" s="0" t="n">
        <f aca="false">O940+S940</f>
        <v>20</v>
      </c>
      <c r="V940" s="0" t="n">
        <f aca="false">T940-U940</f>
        <v>-13</v>
      </c>
      <c r="W940" s="0" t="n">
        <f aca="false">T940+U940</f>
        <v>27</v>
      </c>
    </row>
    <row r="941" customFormat="false" ht="15" hidden="false" customHeight="false" outlineLevel="0" collapsed="false">
      <c r="A941" s="0" t="n">
        <v>938</v>
      </c>
      <c r="B941" s="0" t="n">
        <f aca="true">NORMINV(RAND(),1,Coefficients!$B$22)</f>
        <v>0.944376575322202</v>
      </c>
      <c r="C941" s="0" t="n">
        <f aca="true">MEDIAN(8,16,ROUND(NORMINV(RAND(),Coefficients!$B$20,Coefficients!$B$21),0))</f>
        <v>9</v>
      </c>
      <c r="D941" s="0" t="n">
        <f aca="true">CRITBINOM($C941,MIN(0.75,Matchup!$B$39*$B941),RAND())</f>
        <v>4</v>
      </c>
      <c r="E941" s="0" t="n">
        <f aca="true">CRITBINOM(D941,Coefficients!$B$30,RAND())</f>
        <v>1</v>
      </c>
      <c r="F941" s="0" t="n">
        <f aca="true">CRITBINOM(E941,Coefficients!$B$31,RAND())</f>
        <v>1</v>
      </c>
      <c r="G941" s="0" t="n">
        <f aca="true">CRITBINOM(MAX(0,D941-E941),1-Coefficients!$B$32,RAND())</f>
        <v>0</v>
      </c>
      <c r="H941" s="0" t="n">
        <f aca="true">CRITBINOM(MAX(0,$C941-D941),MIN(0.6,Matchup!$B$40*SQRT($B941)/(1-MIN(0.75,Matchup!$B$39*$B941))),RAND())</f>
        <v>0</v>
      </c>
      <c r="I941" s="0" t="n">
        <f aca="false">6*D941+(D941-E941-G941)+2*F941+3*H941</f>
        <v>29</v>
      </c>
      <c r="J941" s="0" t="n">
        <f aca="true">CRITBINOM($C941,MIN(0.75,Matchup!$C$39*$B941),RAND())</f>
        <v>4</v>
      </c>
      <c r="K941" s="0" t="n">
        <f aca="true">CRITBINOM(J941,Coefficients!$B$30,RAND())</f>
        <v>0</v>
      </c>
      <c r="L941" s="0" t="n">
        <f aca="true">CRITBINOM(K941,Coefficients!$B$31,RAND())</f>
        <v>0</v>
      </c>
      <c r="M941" s="0" t="n">
        <f aca="true">CRITBINOM(MAX(0,J941-K941),1-Coefficients!$B$32,RAND())</f>
        <v>0</v>
      </c>
      <c r="N941" s="0" t="n">
        <f aca="true">CRITBINOM(MAX(0,$C941-J941),MIN(0.6,Matchup!$C$40*SQRT($B941)/(1-MIN(0.75,Matchup!$C$39*$B941))),RAND())</f>
        <v>0</v>
      </c>
      <c r="O941" s="0" t="n">
        <f aca="false">6*J941+(J941-K941-M941)+2*L941+3*N941</f>
        <v>28</v>
      </c>
      <c r="P941" s="0" t="n">
        <f aca="true">RAND()</f>
        <v>0.41149555590671</v>
      </c>
      <c r="Q941" s="0" t="n">
        <f aca="true">RAND()</f>
        <v>0.790243748489327</v>
      </c>
      <c r="R941" s="0" t="n">
        <f aca="false">IF($I941&lt;&gt;$O941,0,IF(P941&lt;Matchup!$B$39,7,IF(P941&lt;Matchup!$B$39+Matchup!$B$40,3,0)))</f>
        <v>0</v>
      </c>
      <c r="S941" s="0" t="n">
        <f aca="false">IF($I941&lt;&gt;$O941,0,IF(Q941&lt;Matchup!$C$39,7,IF(Q941&lt;Matchup!$C$39+Matchup!$C$40,3,0)))</f>
        <v>0</v>
      </c>
      <c r="T941" s="0" t="n">
        <f aca="false">I941+R941</f>
        <v>29</v>
      </c>
      <c r="U941" s="0" t="n">
        <f aca="false">O941+S941</f>
        <v>28</v>
      </c>
      <c r="V941" s="0" t="n">
        <f aca="false">T941-U941</f>
        <v>1</v>
      </c>
      <c r="W941" s="0" t="n">
        <f aca="false">T941+U941</f>
        <v>57</v>
      </c>
    </row>
    <row r="942" customFormat="false" ht="15" hidden="false" customHeight="false" outlineLevel="0" collapsed="false">
      <c r="A942" s="0" t="n">
        <v>939</v>
      </c>
      <c r="B942" s="0" t="n">
        <f aca="true">NORMINV(RAND(),1,Coefficients!$B$22)</f>
        <v>1.06787040662946</v>
      </c>
      <c r="C942" s="0" t="n">
        <f aca="true">MEDIAN(8,16,ROUND(NORMINV(RAND(),Coefficients!$B$20,Coefficients!$B$21),0))</f>
        <v>12</v>
      </c>
      <c r="D942" s="0" t="n">
        <f aca="true">CRITBINOM($C942,MIN(0.75,Matchup!$B$39*$B942),RAND())</f>
        <v>5</v>
      </c>
      <c r="E942" s="0" t="n">
        <f aca="true">CRITBINOM(D942,Coefficients!$B$30,RAND())</f>
        <v>1</v>
      </c>
      <c r="F942" s="0" t="n">
        <f aca="true">CRITBINOM(E942,Coefficients!$B$31,RAND())</f>
        <v>1</v>
      </c>
      <c r="G942" s="0" t="n">
        <f aca="true">CRITBINOM(MAX(0,D942-E942),1-Coefficients!$B$32,RAND())</f>
        <v>0</v>
      </c>
      <c r="H942" s="0" t="n">
        <f aca="true">CRITBINOM(MAX(0,$C942-D942),MIN(0.6,Matchup!$B$40*SQRT($B942)/(1-MIN(0.75,Matchup!$B$39*$B942))),RAND())</f>
        <v>2</v>
      </c>
      <c r="I942" s="0" t="n">
        <f aca="false">6*D942+(D942-E942-G942)+2*F942+3*H942</f>
        <v>42</v>
      </c>
      <c r="J942" s="0" t="n">
        <f aca="true">CRITBINOM($C942,MIN(0.75,Matchup!$C$39*$B942),RAND())</f>
        <v>5</v>
      </c>
      <c r="K942" s="0" t="n">
        <f aca="true">CRITBINOM(J942,Coefficients!$B$30,RAND())</f>
        <v>0</v>
      </c>
      <c r="L942" s="0" t="n">
        <f aca="true">CRITBINOM(K942,Coefficients!$B$31,RAND())</f>
        <v>0</v>
      </c>
      <c r="M942" s="0" t="n">
        <f aca="true">CRITBINOM(MAX(0,J942-K942),1-Coefficients!$B$32,RAND())</f>
        <v>0</v>
      </c>
      <c r="N942" s="0" t="n">
        <f aca="true">CRITBINOM(MAX(0,$C942-J942),MIN(0.6,Matchup!$C$40*SQRT($B942)/(1-MIN(0.75,Matchup!$C$39*$B942))),RAND())</f>
        <v>1</v>
      </c>
      <c r="O942" s="0" t="n">
        <f aca="false">6*J942+(J942-K942-M942)+2*L942+3*N942</f>
        <v>38</v>
      </c>
      <c r="P942" s="0" t="n">
        <f aca="true">RAND()</f>
        <v>0.0811823798514479</v>
      </c>
      <c r="Q942" s="0" t="n">
        <f aca="true">RAND()</f>
        <v>0.750763913408827</v>
      </c>
      <c r="R942" s="0" t="n">
        <f aca="false">IF($I942&lt;&gt;$O942,0,IF(P942&lt;Matchup!$B$39,7,IF(P942&lt;Matchup!$B$39+Matchup!$B$40,3,0)))</f>
        <v>0</v>
      </c>
      <c r="S942" s="0" t="n">
        <f aca="false">IF($I942&lt;&gt;$O942,0,IF(Q942&lt;Matchup!$C$39,7,IF(Q942&lt;Matchup!$C$39+Matchup!$C$40,3,0)))</f>
        <v>0</v>
      </c>
      <c r="T942" s="0" t="n">
        <f aca="false">I942+R942</f>
        <v>42</v>
      </c>
      <c r="U942" s="0" t="n">
        <f aca="false">O942+S942</f>
        <v>38</v>
      </c>
      <c r="V942" s="0" t="n">
        <f aca="false">T942-U942</f>
        <v>4</v>
      </c>
      <c r="W942" s="0" t="n">
        <f aca="false">T942+U942</f>
        <v>80</v>
      </c>
    </row>
    <row r="943" customFormat="false" ht="15" hidden="false" customHeight="false" outlineLevel="0" collapsed="false">
      <c r="A943" s="0" t="n">
        <v>940</v>
      </c>
      <c r="B943" s="0" t="n">
        <f aca="true">NORMINV(RAND(),1,Coefficients!$B$22)</f>
        <v>0.879640340417528</v>
      </c>
      <c r="C943" s="0" t="n">
        <f aca="true">MEDIAN(8,16,ROUND(NORMINV(RAND(),Coefficients!$B$20,Coefficients!$B$21),0))</f>
        <v>12</v>
      </c>
      <c r="D943" s="0" t="n">
        <f aca="true">CRITBINOM($C943,MIN(0.75,Matchup!$B$39*$B943),RAND())</f>
        <v>0</v>
      </c>
      <c r="E943" s="0" t="n">
        <f aca="true">CRITBINOM(D943,Coefficients!$B$30,RAND())</f>
        <v>0</v>
      </c>
      <c r="F943" s="0" t="n">
        <f aca="true">CRITBINOM(E943,Coefficients!$B$31,RAND())</f>
        <v>0</v>
      </c>
      <c r="G943" s="0" t="n">
        <f aca="true">CRITBINOM(MAX(0,D943-E943),1-Coefficients!$B$32,RAND())</f>
        <v>0</v>
      </c>
      <c r="H943" s="0" t="n">
        <f aca="true">CRITBINOM(MAX(0,$C943-D943),MIN(0.6,Matchup!$B$40*SQRT($B943)/(1-MIN(0.75,Matchup!$B$39*$B943))),RAND())</f>
        <v>4</v>
      </c>
      <c r="I943" s="0" t="n">
        <f aca="false">6*D943+(D943-E943-G943)+2*F943+3*H943</f>
        <v>12</v>
      </c>
      <c r="J943" s="0" t="n">
        <f aca="true">CRITBINOM($C943,MIN(0.75,Matchup!$C$39*$B943),RAND())</f>
        <v>2</v>
      </c>
      <c r="K943" s="0" t="n">
        <f aca="true">CRITBINOM(J943,Coefficients!$B$30,RAND())</f>
        <v>1</v>
      </c>
      <c r="L943" s="0" t="n">
        <f aca="true">CRITBINOM(K943,Coefficients!$B$31,RAND())</f>
        <v>0</v>
      </c>
      <c r="M943" s="0" t="n">
        <f aca="true">CRITBINOM(MAX(0,J943-K943),1-Coefficients!$B$32,RAND())</f>
        <v>0</v>
      </c>
      <c r="N943" s="0" t="n">
        <f aca="true">CRITBINOM(MAX(0,$C943-J943),MIN(0.6,Matchup!$C$40*SQRT($B943)/(1-MIN(0.75,Matchup!$C$39*$B943))),RAND())</f>
        <v>2</v>
      </c>
      <c r="O943" s="0" t="n">
        <f aca="false">6*J943+(J943-K943-M943)+2*L943+3*N943</f>
        <v>19</v>
      </c>
      <c r="P943" s="0" t="n">
        <f aca="true">RAND()</f>
        <v>0.351803365077396</v>
      </c>
      <c r="Q943" s="0" t="n">
        <f aca="true">RAND()</f>
        <v>0.866583730347559</v>
      </c>
      <c r="R943" s="0" t="n">
        <f aca="false">IF($I943&lt;&gt;$O943,0,IF(P943&lt;Matchup!$B$39,7,IF(P943&lt;Matchup!$B$39+Matchup!$B$40,3,0)))</f>
        <v>0</v>
      </c>
      <c r="S943" s="0" t="n">
        <f aca="false">IF($I943&lt;&gt;$O943,0,IF(Q943&lt;Matchup!$C$39,7,IF(Q943&lt;Matchup!$C$39+Matchup!$C$40,3,0)))</f>
        <v>0</v>
      </c>
      <c r="T943" s="0" t="n">
        <f aca="false">I943+R943</f>
        <v>12</v>
      </c>
      <c r="U943" s="0" t="n">
        <f aca="false">O943+S943</f>
        <v>19</v>
      </c>
      <c r="V943" s="0" t="n">
        <f aca="false">T943-U943</f>
        <v>-7</v>
      </c>
      <c r="W943" s="0" t="n">
        <f aca="false">T943+U943</f>
        <v>31</v>
      </c>
    </row>
    <row r="944" customFormat="false" ht="15" hidden="false" customHeight="false" outlineLevel="0" collapsed="false">
      <c r="A944" s="0" t="n">
        <v>941</v>
      </c>
      <c r="B944" s="0" t="n">
        <f aca="true">NORMINV(RAND(),1,Coefficients!$B$22)</f>
        <v>1.06735135575133</v>
      </c>
      <c r="C944" s="0" t="n">
        <f aca="true">MEDIAN(8,16,ROUND(NORMINV(RAND(),Coefficients!$B$20,Coefficients!$B$21),0))</f>
        <v>11</v>
      </c>
      <c r="D944" s="0" t="n">
        <f aca="true">CRITBINOM($C944,MIN(0.75,Matchup!$B$39*$B944),RAND())</f>
        <v>4</v>
      </c>
      <c r="E944" s="0" t="n">
        <f aca="true">CRITBINOM(D944,Coefficients!$B$30,RAND())</f>
        <v>0</v>
      </c>
      <c r="F944" s="0" t="n">
        <f aca="true">CRITBINOM(E944,Coefficients!$B$31,RAND())</f>
        <v>0</v>
      </c>
      <c r="G944" s="0" t="n">
        <f aca="true">CRITBINOM(MAX(0,D944-E944),1-Coefficients!$B$32,RAND())</f>
        <v>0</v>
      </c>
      <c r="H944" s="0" t="n">
        <f aca="true">CRITBINOM(MAX(0,$C944-D944),MIN(0.6,Matchup!$B$40*SQRT($B944)/(1-MIN(0.75,Matchup!$B$39*$B944))),RAND())</f>
        <v>0</v>
      </c>
      <c r="I944" s="0" t="n">
        <f aca="false">6*D944+(D944-E944-G944)+2*F944+3*H944</f>
        <v>28</v>
      </c>
      <c r="J944" s="0" t="n">
        <f aca="true">CRITBINOM($C944,MIN(0.75,Matchup!$C$39*$B944),RAND())</f>
        <v>1</v>
      </c>
      <c r="K944" s="0" t="n">
        <f aca="true">CRITBINOM(J944,Coefficients!$B$30,RAND())</f>
        <v>0</v>
      </c>
      <c r="L944" s="0" t="n">
        <f aca="true">CRITBINOM(K944,Coefficients!$B$31,RAND())</f>
        <v>0</v>
      </c>
      <c r="M944" s="0" t="n">
        <f aca="true">CRITBINOM(MAX(0,J944-K944),1-Coefficients!$B$32,RAND())</f>
        <v>0</v>
      </c>
      <c r="N944" s="0" t="n">
        <f aca="true">CRITBINOM(MAX(0,$C944-J944),MIN(0.6,Matchup!$C$40*SQRT($B944)/(1-MIN(0.75,Matchup!$C$39*$B944))),RAND())</f>
        <v>2</v>
      </c>
      <c r="O944" s="0" t="n">
        <f aca="false">6*J944+(J944-K944-M944)+2*L944+3*N944</f>
        <v>13</v>
      </c>
      <c r="P944" s="0" t="n">
        <f aca="true">RAND()</f>
        <v>0.658252657408243</v>
      </c>
      <c r="Q944" s="0" t="n">
        <f aca="true">RAND()</f>
        <v>0.565872287661114</v>
      </c>
      <c r="R944" s="0" t="n">
        <f aca="false">IF($I944&lt;&gt;$O944,0,IF(P944&lt;Matchup!$B$39,7,IF(P944&lt;Matchup!$B$39+Matchup!$B$40,3,0)))</f>
        <v>0</v>
      </c>
      <c r="S944" s="0" t="n">
        <f aca="false">IF($I944&lt;&gt;$O944,0,IF(Q944&lt;Matchup!$C$39,7,IF(Q944&lt;Matchup!$C$39+Matchup!$C$40,3,0)))</f>
        <v>0</v>
      </c>
      <c r="T944" s="0" t="n">
        <f aca="false">I944+R944</f>
        <v>28</v>
      </c>
      <c r="U944" s="0" t="n">
        <f aca="false">O944+S944</f>
        <v>13</v>
      </c>
      <c r="V944" s="0" t="n">
        <f aca="false">T944-U944</f>
        <v>15</v>
      </c>
      <c r="W944" s="0" t="n">
        <f aca="false">T944+U944</f>
        <v>41</v>
      </c>
    </row>
    <row r="945" customFormat="false" ht="15" hidden="false" customHeight="false" outlineLevel="0" collapsed="false">
      <c r="A945" s="0" t="n">
        <v>942</v>
      </c>
      <c r="B945" s="0" t="n">
        <f aca="true">NORMINV(RAND(),1,Coefficients!$B$22)</f>
        <v>1.05849572050108</v>
      </c>
      <c r="C945" s="0" t="n">
        <f aca="true">MEDIAN(8,16,ROUND(NORMINV(RAND(),Coefficients!$B$20,Coefficients!$B$21),0))</f>
        <v>10</v>
      </c>
      <c r="D945" s="0" t="n">
        <f aca="true">CRITBINOM($C945,MIN(0.75,Matchup!$B$39*$B945),RAND())</f>
        <v>1</v>
      </c>
      <c r="E945" s="0" t="n">
        <f aca="true">CRITBINOM(D945,Coefficients!$B$30,RAND())</f>
        <v>0</v>
      </c>
      <c r="F945" s="0" t="n">
        <f aca="true">CRITBINOM(E945,Coefficients!$B$31,RAND())</f>
        <v>0</v>
      </c>
      <c r="G945" s="0" t="n">
        <f aca="true">CRITBINOM(MAX(0,D945-E945),1-Coefficients!$B$32,RAND())</f>
        <v>0</v>
      </c>
      <c r="H945" s="0" t="n">
        <f aca="true">CRITBINOM(MAX(0,$C945-D945),MIN(0.6,Matchup!$B$40*SQRT($B945)/(1-MIN(0.75,Matchup!$B$39*$B945))),RAND())</f>
        <v>5</v>
      </c>
      <c r="I945" s="0" t="n">
        <f aca="false">6*D945+(D945-E945-G945)+2*F945+3*H945</f>
        <v>22</v>
      </c>
      <c r="J945" s="0" t="n">
        <f aca="true">CRITBINOM($C945,MIN(0.75,Matchup!$C$39*$B945),RAND())</f>
        <v>2</v>
      </c>
      <c r="K945" s="0" t="n">
        <f aca="true">CRITBINOM(J945,Coefficients!$B$30,RAND())</f>
        <v>0</v>
      </c>
      <c r="L945" s="0" t="n">
        <f aca="true">CRITBINOM(K945,Coefficients!$B$31,RAND())</f>
        <v>0</v>
      </c>
      <c r="M945" s="0" t="n">
        <f aca="true">CRITBINOM(MAX(0,J945-K945),1-Coefficients!$B$32,RAND())</f>
        <v>0</v>
      </c>
      <c r="N945" s="0" t="n">
        <f aca="true">CRITBINOM(MAX(0,$C945-J945),MIN(0.6,Matchup!$C$40*SQRT($B945)/(1-MIN(0.75,Matchup!$C$39*$B945))),RAND())</f>
        <v>1</v>
      </c>
      <c r="O945" s="0" t="n">
        <f aca="false">6*J945+(J945-K945-M945)+2*L945+3*N945</f>
        <v>17</v>
      </c>
      <c r="P945" s="0" t="n">
        <f aca="true">RAND()</f>
        <v>0.673883603713671</v>
      </c>
      <c r="Q945" s="0" t="n">
        <f aca="true">RAND()</f>
        <v>0.581867217357582</v>
      </c>
      <c r="R945" s="0" t="n">
        <f aca="false">IF($I945&lt;&gt;$O945,0,IF(P945&lt;Matchup!$B$39,7,IF(P945&lt;Matchup!$B$39+Matchup!$B$40,3,0)))</f>
        <v>0</v>
      </c>
      <c r="S945" s="0" t="n">
        <f aca="false">IF($I945&lt;&gt;$O945,0,IF(Q945&lt;Matchup!$C$39,7,IF(Q945&lt;Matchup!$C$39+Matchup!$C$40,3,0)))</f>
        <v>0</v>
      </c>
      <c r="T945" s="0" t="n">
        <f aca="false">I945+R945</f>
        <v>22</v>
      </c>
      <c r="U945" s="0" t="n">
        <f aca="false">O945+S945</f>
        <v>17</v>
      </c>
      <c r="V945" s="0" t="n">
        <f aca="false">T945-U945</f>
        <v>5</v>
      </c>
      <c r="W945" s="0" t="n">
        <f aca="false">T945+U945</f>
        <v>39</v>
      </c>
    </row>
    <row r="946" customFormat="false" ht="15" hidden="false" customHeight="false" outlineLevel="0" collapsed="false">
      <c r="A946" s="0" t="n">
        <v>943</v>
      </c>
      <c r="B946" s="0" t="n">
        <f aca="true">NORMINV(RAND(),1,Coefficients!$B$22)</f>
        <v>1.03649416779929</v>
      </c>
      <c r="C946" s="0" t="n">
        <f aca="true">MEDIAN(8,16,ROUND(NORMINV(RAND(),Coefficients!$B$20,Coefficients!$B$21),0))</f>
        <v>13</v>
      </c>
      <c r="D946" s="0" t="n">
        <f aca="true">CRITBINOM($C946,MIN(0.75,Matchup!$B$39*$B946),RAND())</f>
        <v>5</v>
      </c>
      <c r="E946" s="0" t="n">
        <f aca="true">CRITBINOM(D946,Coefficients!$B$30,RAND())</f>
        <v>1</v>
      </c>
      <c r="F946" s="0" t="n">
        <f aca="true">CRITBINOM(E946,Coefficients!$B$31,RAND())</f>
        <v>1</v>
      </c>
      <c r="G946" s="0" t="n">
        <f aca="true">CRITBINOM(MAX(0,D946-E946),1-Coefficients!$B$32,RAND())</f>
        <v>0</v>
      </c>
      <c r="H946" s="0" t="n">
        <f aca="true">CRITBINOM(MAX(0,$C946-D946),MIN(0.6,Matchup!$B$40*SQRT($B946)/(1-MIN(0.75,Matchup!$B$39*$B946))),RAND())</f>
        <v>1</v>
      </c>
      <c r="I946" s="0" t="n">
        <f aca="false">6*D946+(D946-E946-G946)+2*F946+3*H946</f>
        <v>39</v>
      </c>
      <c r="J946" s="0" t="n">
        <f aca="true">CRITBINOM($C946,MIN(0.75,Matchup!$C$39*$B946),RAND())</f>
        <v>5</v>
      </c>
      <c r="K946" s="0" t="n">
        <f aca="true">CRITBINOM(J946,Coefficients!$B$30,RAND())</f>
        <v>0</v>
      </c>
      <c r="L946" s="0" t="n">
        <f aca="true">CRITBINOM(K946,Coefficients!$B$31,RAND())</f>
        <v>0</v>
      </c>
      <c r="M946" s="0" t="n">
        <f aca="true">CRITBINOM(MAX(0,J946-K946),1-Coefficients!$B$32,RAND())</f>
        <v>0</v>
      </c>
      <c r="N946" s="0" t="n">
        <f aca="true">CRITBINOM(MAX(0,$C946-J946),MIN(0.6,Matchup!$C$40*SQRT($B946)/(1-MIN(0.75,Matchup!$C$39*$B946))),RAND())</f>
        <v>2</v>
      </c>
      <c r="O946" s="0" t="n">
        <f aca="false">6*J946+(J946-K946-M946)+2*L946+3*N946</f>
        <v>41</v>
      </c>
      <c r="P946" s="0" t="n">
        <f aca="true">RAND()</f>
        <v>0.191920290884454</v>
      </c>
      <c r="Q946" s="0" t="n">
        <f aca="true">RAND()</f>
        <v>0.813281098049981</v>
      </c>
      <c r="R946" s="0" t="n">
        <f aca="false">IF($I946&lt;&gt;$O946,0,IF(P946&lt;Matchup!$B$39,7,IF(P946&lt;Matchup!$B$39+Matchup!$B$40,3,0)))</f>
        <v>0</v>
      </c>
      <c r="S946" s="0" t="n">
        <f aca="false">IF($I946&lt;&gt;$O946,0,IF(Q946&lt;Matchup!$C$39,7,IF(Q946&lt;Matchup!$C$39+Matchup!$C$40,3,0)))</f>
        <v>0</v>
      </c>
      <c r="T946" s="0" t="n">
        <f aca="false">I946+R946</f>
        <v>39</v>
      </c>
      <c r="U946" s="0" t="n">
        <f aca="false">O946+S946</f>
        <v>41</v>
      </c>
      <c r="V946" s="0" t="n">
        <f aca="false">T946-U946</f>
        <v>-2</v>
      </c>
      <c r="W946" s="0" t="n">
        <f aca="false">T946+U946</f>
        <v>80</v>
      </c>
    </row>
    <row r="947" customFormat="false" ht="15" hidden="false" customHeight="false" outlineLevel="0" collapsed="false">
      <c r="A947" s="0" t="n">
        <v>944</v>
      </c>
      <c r="B947" s="0" t="n">
        <f aca="true">NORMINV(RAND(),1,Coefficients!$B$22)</f>
        <v>0.941449830925474</v>
      </c>
      <c r="C947" s="0" t="n">
        <f aca="true">MEDIAN(8,16,ROUND(NORMINV(RAND(),Coefficients!$B$20,Coefficients!$B$21),0))</f>
        <v>10</v>
      </c>
      <c r="D947" s="0" t="n">
        <f aca="true">CRITBINOM($C947,MIN(0.75,Matchup!$B$39*$B947),RAND())</f>
        <v>2</v>
      </c>
      <c r="E947" s="0" t="n">
        <f aca="true">CRITBINOM(D947,Coefficients!$B$30,RAND())</f>
        <v>0</v>
      </c>
      <c r="F947" s="0" t="n">
        <f aca="true">CRITBINOM(E947,Coefficients!$B$31,RAND())</f>
        <v>0</v>
      </c>
      <c r="G947" s="0" t="n">
        <f aca="true">CRITBINOM(MAX(0,D947-E947),1-Coefficients!$B$32,RAND())</f>
        <v>0</v>
      </c>
      <c r="H947" s="0" t="n">
        <f aca="true">CRITBINOM(MAX(0,$C947-D947),MIN(0.6,Matchup!$B$40*SQRT($B947)/(1-MIN(0.75,Matchup!$B$39*$B947))),RAND())</f>
        <v>1</v>
      </c>
      <c r="I947" s="0" t="n">
        <f aca="false">6*D947+(D947-E947-G947)+2*F947+3*H947</f>
        <v>17</v>
      </c>
      <c r="J947" s="0" t="n">
        <f aca="true">CRITBINOM($C947,MIN(0.75,Matchup!$C$39*$B947),RAND())</f>
        <v>2</v>
      </c>
      <c r="K947" s="0" t="n">
        <f aca="true">CRITBINOM(J947,Coefficients!$B$30,RAND())</f>
        <v>0</v>
      </c>
      <c r="L947" s="0" t="n">
        <f aca="true">CRITBINOM(K947,Coefficients!$B$31,RAND())</f>
        <v>0</v>
      </c>
      <c r="M947" s="0" t="n">
        <f aca="true">CRITBINOM(MAX(0,J947-K947),1-Coefficients!$B$32,RAND())</f>
        <v>1</v>
      </c>
      <c r="N947" s="0" t="n">
        <f aca="true">CRITBINOM(MAX(0,$C947-J947),MIN(0.6,Matchup!$C$40*SQRT($B947)/(1-MIN(0.75,Matchup!$C$39*$B947))),RAND())</f>
        <v>2</v>
      </c>
      <c r="O947" s="0" t="n">
        <f aca="false">6*J947+(J947-K947-M947)+2*L947+3*N947</f>
        <v>19</v>
      </c>
      <c r="P947" s="0" t="n">
        <f aca="true">RAND()</f>
        <v>0.292694612135682</v>
      </c>
      <c r="Q947" s="0" t="n">
        <f aca="true">RAND()</f>
        <v>0.358759038119508</v>
      </c>
      <c r="R947" s="0" t="n">
        <f aca="false">IF($I947&lt;&gt;$O947,0,IF(P947&lt;Matchup!$B$39,7,IF(P947&lt;Matchup!$B$39+Matchup!$B$40,3,0)))</f>
        <v>0</v>
      </c>
      <c r="S947" s="0" t="n">
        <f aca="false">IF($I947&lt;&gt;$O947,0,IF(Q947&lt;Matchup!$C$39,7,IF(Q947&lt;Matchup!$C$39+Matchup!$C$40,3,0)))</f>
        <v>0</v>
      </c>
      <c r="T947" s="0" t="n">
        <f aca="false">I947+R947</f>
        <v>17</v>
      </c>
      <c r="U947" s="0" t="n">
        <f aca="false">O947+S947</f>
        <v>19</v>
      </c>
      <c r="V947" s="0" t="n">
        <f aca="false">T947-U947</f>
        <v>-2</v>
      </c>
      <c r="W947" s="0" t="n">
        <f aca="false">T947+U947</f>
        <v>36</v>
      </c>
    </row>
    <row r="948" customFormat="false" ht="15" hidden="false" customHeight="false" outlineLevel="0" collapsed="false">
      <c r="A948" s="0" t="n">
        <v>945</v>
      </c>
      <c r="B948" s="0" t="n">
        <f aca="true">NORMINV(RAND(),1,Coefficients!$B$22)</f>
        <v>1.06973045675963</v>
      </c>
      <c r="C948" s="0" t="n">
        <f aca="true">MEDIAN(8,16,ROUND(NORMINV(RAND(),Coefficients!$B$20,Coefficients!$B$21),0))</f>
        <v>11</v>
      </c>
      <c r="D948" s="0" t="n">
        <f aca="true">CRITBINOM($C948,MIN(0.75,Matchup!$B$39*$B948),RAND())</f>
        <v>3</v>
      </c>
      <c r="E948" s="0" t="n">
        <f aca="true">CRITBINOM(D948,Coefficients!$B$30,RAND())</f>
        <v>1</v>
      </c>
      <c r="F948" s="0" t="n">
        <f aca="true">CRITBINOM(E948,Coefficients!$B$31,RAND())</f>
        <v>0</v>
      </c>
      <c r="G948" s="0" t="n">
        <f aca="true">CRITBINOM(MAX(0,D948-E948),1-Coefficients!$B$32,RAND())</f>
        <v>0</v>
      </c>
      <c r="H948" s="0" t="n">
        <f aca="true">CRITBINOM(MAX(0,$C948-D948),MIN(0.6,Matchup!$B$40*SQRT($B948)/(1-MIN(0.75,Matchup!$B$39*$B948))),RAND())</f>
        <v>1</v>
      </c>
      <c r="I948" s="0" t="n">
        <f aca="false">6*D948+(D948-E948-G948)+2*F948+3*H948</f>
        <v>23</v>
      </c>
      <c r="J948" s="0" t="n">
        <f aca="true">CRITBINOM($C948,MIN(0.75,Matchup!$C$39*$B948),RAND())</f>
        <v>2</v>
      </c>
      <c r="K948" s="0" t="n">
        <f aca="true">CRITBINOM(J948,Coefficients!$B$30,RAND())</f>
        <v>0</v>
      </c>
      <c r="L948" s="0" t="n">
        <f aca="true">CRITBINOM(K948,Coefficients!$B$31,RAND())</f>
        <v>0</v>
      </c>
      <c r="M948" s="0" t="n">
        <f aca="true">CRITBINOM(MAX(0,J948-K948),1-Coefficients!$B$32,RAND())</f>
        <v>0</v>
      </c>
      <c r="N948" s="0" t="n">
        <f aca="true">CRITBINOM(MAX(0,$C948-J948),MIN(0.6,Matchup!$C$40*SQRT($B948)/(1-MIN(0.75,Matchup!$C$39*$B948))),RAND())</f>
        <v>0</v>
      </c>
      <c r="O948" s="0" t="n">
        <f aca="false">6*J948+(J948-K948-M948)+2*L948+3*N948</f>
        <v>14</v>
      </c>
      <c r="P948" s="0" t="n">
        <f aca="true">RAND()</f>
        <v>0.485901331786141</v>
      </c>
      <c r="Q948" s="0" t="n">
        <f aca="true">RAND()</f>
        <v>0.987385370271497</v>
      </c>
      <c r="R948" s="0" t="n">
        <f aca="false">IF($I948&lt;&gt;$O948,0,IF(P948&lt;Matchup!$B$39,7,IF(P948&lt;Matchup!$B$39+Matchup!$B$40,3,0)))</f>
        <v>0</v>
      </c>
      <c r="S948" s="0" t="n">
        <f aca="false">IF($I948&lt;&gt;$O948,0,IF(Q948&lt;Matchup!$C$39,7,IF(Q948&lt;Matchup!$C$39+Matchup!$C$40,3,0)))</f>
        <v>0</v>
      </c>
      <c r="T948" s="0" t="n">
        <f aca="false">I948+R948</f>
        <v>23</v>
      </c>
      <c r="U948" s="0" t="n">
        <f aca="false">O948+S948</f>
        <v>14</v>
      </c>
      <c r="V948" s="0" t="n">
        <f aca="false">T948-U948</f>
        <v>9</v>
      </c>
      <c r="W948" s="0" t="n">
        <f aca="false">T948+U948</f>
        <v>37</v>
      </c>
    </row>
    <row r="949" customFormat="false" ht="15" hidden="false" customHeight="false" outlineLevel="0" collapsed="false">
      <c r="A949" s="0" t="n">
        <v>946</v>
      </c>
      <c r="B949" s="0" t="n">
        <f aca="true">NORMINV(RAND(),1,Coefficients!$B$22)</f>
        <v>1.12616587414161</v>
      </c>
      <c r="C949" s="0" t="n">
        <f aca="true">MEDIAN(8,16,ROUND(NORMINV(RAND(),Coefficients!$B$20,Coefficients!$B$21),0))</f>
        <v>11</v>
      </c>
      <c r="D949" s="0" t="n">
        <f aca="true">CRITBINOM($C949,MIN(0.75,Matchup!$B$39*$B949),RAND())</f>
        <v>2</v>
      </c>
      <c r="E949" s="0" t="n">
        <f aca="true">CRITBINOM(D949,Coefficients!$B$30,RAND())</f>
        <v>0</v>
      </c>
      <c r="F949" s="0" t="n">
        <f aca="true">CRITBINOM(E949,Coefficients!$B$31,RAND())</f>
        <v>0</v>
      </c>
      <c r="G949" s="0" t="n">
        <f aca="true">CRITBINOM(MAX(0,D949-E949),1-Coefficients!$B$32,RAND())</f>
        <v>0</v>
      </c>
      <c r="H949" s="0" t="n">
        <f aca="true">CRITBINOM(MAX(0,$C949-D949),MIN(0.6,Matchup!$B$40*SQRT($B949)/(1-MIN(0.75,Matchup!$B$39*$B949))),RAND())</f>
        <v>0</v>
      </c>
      <c r="I949" s="0" t="n">
        <f aca="false">6*D949+(D949-E949-G949)+2*F949+3*H949</f>
        <v>14</v>
      </c>
      <c r="J949" s="0" t="n">
        <f aca="true">CRITBINOM($C949,MIN(0.75,Matchup!$C$39*$B949),RAND())</f>
        <v>2</v>
      </c>
      <c r="K949" s="0" t="n">
        <f aca="true">CRITBINOM(J949,Coefficients!$B$30,RAND())</f>
        <v>0</v>
      </c>
      <c r="L949" s="0" t="n">
        <f aca="true">CRITBINOM(K949,Coefficients!$B$31,RAND())</f>
        <v>0</v>
      </c>
      <c r="M949" s="0" t="n">
        <f aca="true">CRITBINOM(MAX(0,J949-K949),1-Coefficients!$B$32,RAND())</f>
        <v>0</v>
      </c>
      <c r="N949" s="0" t="n">
        <f aca="true">CRITBINOM(MAX(0,$C949-J949),MIN(0.6,Matchup!$C$40*SQRT($B949)/(1-MIN(0.75,Matchup!$C$39*$B949))),RAND())</f>
        <v>2</v>
      </c>
      <c r="O949" s="0" t="n">
        <f aca="false">6*J949+(J949-K949-M949)+2*L949+3*N949</f>
        <v>20</v>
      </c>
      <c r="P949" s="0" t="n">
        <f aca="true">RAND()</f>
        <v>0.414281860214177</v>
      </c>
      <c r="Q949" s="0" t="n">
        <f aca="true">RAND()</f>
        <v>0.200718070393246</v>
      </c>
      <c r="R949" s="0" t="n">
        <f aca="false">IF($I949&lt;&gt;$O949,0,IF(P949&lt;Matchup!$B$39,7,IF(P949&lt;Matchup!$B$39+Matchup!$B$40,3,0)))</f>
        <v>0</v>
      </c>
      <c r="S949" s="0" t="n">
        <f aca="false">IF($I949&lt;&gt;$O949,0,IF(Q949&lt;Matchup!$C$39,7,IF(Q949&lt;Matchup!$C$39+Matchup!$C$40,3,0)))</f>
        <v>0</v>
      </c>
      <c r="T949" s="0" t="n">
        <f aca="false">I949+R949</f>
        <v>14</v>
      </c>
      <c r="U949" s="0" t="n">
        <f aca="false">O949+S949</f>
        <v>20</v>
      </c>
      <c r="V949" s="0" t="n">
        <f aca="false">T949-U949</f>
        <v>-6</v>
      </c>
      <c r="W949" s="0" t="n">
        <f aca="false">T949+U949</f>
        <v>34</v>
      </c>
    </row>
    <row r="950" customFormat="false" ht="15" hidden="false" customHeight="false" outlineLevel="0" collapsed="false">
      <c r="A950" s="0" t="n">
        <v>947</v>
      </c>
      <c r="B950" s="0" t="n">
        <f aca="true">NORMINV(RAND(),1,Coefficients!$B$22)</f>
        <v>1.0887222366856</v>
      </c>
      <c r="C950" s="0" t="n">
        <f aca="true">MEDIAN(8,16,ROUND(NORMINV(RAND(),Coefficients!$B$20,Coefficients!$B$21),0))</f>
        <v>12</v>
      </c>
      <c r="D950" s="0" t="n">
        <f aca="true">CRITBINOM($C950,MIN(0.75,Matchup!$B$39*$B950),RAND())</f>
        <v>3</v>
      </c>
      <c r="E950" s="0" t="n">
        <f aca="true">CRITBINOM(D950,Coefficients!$B$30,RAND())</f>
        <v>1</v>
      </c>
      <c r="F950" s="0" t="n">
        <f aca="true">CRITBINOM(E950,Coefficients!$B$31,RAND())</f>
        <v>0</v>
      </c>
      <c r="G950" s="0" t="n">
        <f aca="true">CRITBINOM(MAX(0,D950-E950),1-Coefficients!$B$32,RAND())</f>
        <v>0</v>
      </c>
      <c r="H950" s="0" t="n">
        <f aca="true">CRITBINOM(MAX(0,$C950-D950),MIN(0.6,Matchup!$B$40*SQRT($B950)/(1-MIN(0.75,Matchup!$B$39*$B950))),RAND())</f>
        <v>1</v>
      </c>
      <c r="I950" s="0" t="n">
        <f aca="false">6*D950+(D950-E950-G950)+2*F950+3*H950</f>
        <v>23</v>
      </c>
      <c r="J950" s="0" t="n">
        <f aca="true">CRITBINOM($C950,MIN(0.75,Matchup!$C$39*$B950),RAND())</f>
        <v>6</v>
      </c>
      <c r="K950" s="0" t="n">
        <f aca="true">CRITBINOM(J950,Coefficients!$B$30,RAND())</f>
        <v>1</v>
      </c>
      <c r="L950" s="0" t="n">
        <f aca="true">CRITBINOM(K950,Coefficients!$B$31,RAND())</f>
        <v>0</v>
      </c>
      <c r="M950" s="0" t="n">
        <f aca="true">CRITBINOM(MAX(0,J950-K950),1-Coefficients!$B$32,RAND())</f>
        <v>0</v>
      </c>
      <c r="N950" s="0" t="n">
        <f aca="true">CRITBINOM(MAX(0,$C950-J950),MIN(0.6,Matchup!$C$40*SQRT($B950)/(1-MIN(0.75,Matchup!$C$39*$B950))),RAND())</f>
        <v>0</v>
      </c>
      <c r="O950" s="0" t="n">
        <f aca="false">6*J950+(J950-K950-M950)+2*L950+3*N950</f>
        <v>41</v>
      </c>
      <c r="P950" s="0" t="n">
        <f aca="true">RAND()</f>
        <v>0.0937195287967953</v>
      </c>
      <c r="Q950" s="0" t="n">
        <f aca="true">RAND()</f>
        <v>0.53569793864575</v>
      </c>
      <c r="R950" s="0" t="n">
        <f aca="false">IF($I950&lt;&gt;$O950,0,IF(P950&lt;Matchup!$B$39,7,IF(P950&lt;Matchup!$B$39+Matchup!$B$40,3,0)))</f>
        <v>0</v>
      </c>
      <c r="S950" s="0" t="n">
        <f aca="false">IF($I950&lt;&gt;$O950,0,IF(Q950&lt;Matchup!$C$39,7,IF(Q950&lt;Matchup!$C$39+Matchup!$C$40,3,0)))</f>
        <v>0</v>
      </c>
      <c r="T950" s="0" t="n">
        <f aca="false">I950+R950</f>
        <v>23</v>
      </c>
      <c r="U950" s="0" t="n">
        <f aca="false">O950+S950</f>
        <v>41</v>
      </c>
      <c r="V950" s="0" t="n">
        <f aca="false">T950-U950</f>
        <v>-18</v>
      </c>
      <c r="W950" s="0" t="n">
        <f aca="false">T950+U950</f>
        <v>64</v>
      </c>
    </row>
    <row r="951" customFormat="false" ht="15" hidden="false" customHeight="false" outlineLevel="0" collapsed="false">
      <c r="A951" s="0" t="n">
        <v>948</v>
      </c>
      <c r="B951" s="0" t="n">
        <f aca="true">NORMINV(RAND(),1,Coefficients!$B$22)</f>
        <v>1.09670632134542</v>
      </c>
      <c r="C951" s="0" t="n">
        <f aca="true">MEDIAN(8,16,ROUND(NORMINV(RAND(),Coefficients!$B$20,Coefficients!$B$21),0))</f>
        <v>11</v>
      </c>
      <c r="D951" s="0" t="n">
        <f aca="true">CRITBINOM($C951,MIN(0.75,Matchup!$B$39*$B951),RAND())</f>
        <v>5</v>
      </c>
      <c r="E951" s="0" t="n">
        <f aca="true">CRITBINOM(D951,Coefficients!$B$30,RAND())</f>
        <v>0</v>
      </c>
      <c r="F951" s="0" t="n">
        <f aca="true">CRITBINOM(E951,Coefficients!$B$31,RAND())</f>
        <v>0</v>
      </c>
      <c r="G951" s="0" t="n">
        <f aca="true">CRITBINOM(MAX(0,D951-E951),1-Coefficients!$B$32,RAND())</f>
        <v>2</v>
      </c>
      <c r="H951" s="0" t="n">
        <f aca="true">CRITBINOM(MAX(0,$C951-D951),MIN(0.6,Matchup!$B$40*SQRT($B951)/(1-MIN(0.75,Matchup!$B$39*$B951))),RAND())</f>
        <v>1</v>
      </c>
      <c r="I951" s="0" t="n">
        <f aca="false">6*D951+(D951-E951-G951)+2*F951+3*H951</f>
        <v>36</v>
      </c>
      <c r="J951" s="0" t="n">
        <f aca="true">CRITBINOM($C951,MIN(0.75,Matchup!$C$39*$B951),RAND())</f>
        <v>2</v>
      </c>
      <c r="K951" s="0" t="n">
        <f aca="true">CRITBINOM(J951,Coefficients!$B$30,RAND())</f>
        <v>0</v>
      </c>
      <c r="L951" s="0" t="n">
        <f aca="true">CRITBINOM(K951,Coefficients!$B$31,RAND())</f>
        <v>0</v>
      </c>
      <c r="M951" s="0" t="n">
        <f aca="true">CRITBINOM(MAX(0,J951-K951),1-Coefficients!$B$32,RAND())</f>
        <v>0</v>
      </c>
      <c r="N951" s="0" t="n">
        <f aca="true">CRITBINOM(MAX(0,$C951-J951),MIN(0.6,Matchup!$C$40*SQRT($B951)/(1-MIN(0.75,Matchup!$C$39*$B951))),RAND())</f>
        <v>2</v>
      </c>
      <c r="O951" s="0" t="n">
        <f aca="false">6*J951+(J951-K951-M951)+2*L951+3*N951</f>
        <v>20</v>
      </c>
      <c r="P951" s="0" t="n">
        <f aca="true">RAND()</f>
        <v>0.63116875620058</v>
      </c>
      <c r="Q951" s="0" t="n">
        <f aca="true">RAND()</f>
        <v>0.460520304513573</v>
      </c>
      <c r="R951" s="0" t="n">
        <f aca="false">IF($I951&lt;&gt;$O951,0,IF(P951&lt;Matchup!$B$39,7,IF(P951&lt;Matchup!$B$39+Matchup!$B$40,3,0)))</f>
        <v>0</v>
      </c>
      <c r="S951" s="0" t="n">
        <f aca="false">IF($I951&lt;&gt;$O951,0,IF(Q951&lt;Matchup!$C$39,7,IF(Q951&lt;Matchup!$C$39+Matchup!$C$40,3,0)))</f>
        <v>0</v>
      </c>
      <c r="T951" s="0" t="n">
        <f aca="false">I951+R951</f>
        <v>36</v>
      </c>
      <c r="U951" s="0" t="n">
        <f aca="false">O951+S951</f>
        <v>20</v>
      </c>
      <c r="V951" s="0" t="n">
        <f aca="false">T951-U951</f>
        <v>16</v>
      </c>
      <c r="W951" s="0" t="n">
        <f aca="false">T951+U951</f>
        <v>56</v>
      </c>
    </row>
    <row r="952" customFormat="false" ht="15" hidden="false" customHeight="false" outlineLevel="0" collapsed="false">
      <c r="A952" s="0" t="n">
        <v>949</v>
      </c>
      <c r="B952" s="0" t="n">
        <f aca="true">NORMINV(RAND(),1,Coefficients!$B$22)</f>
        <v>1.04534628257934</v>
      </c>
      <c r="C952" s="0" t="n">
        <f aca="true">MEDIAN(8,16,ROUND(NORMINV(RAND(),Coefficients!$B$20,Coefficients!$B$21),0))</f>
        <v>12</v>
      </c>
      <c r="D952" s="0" t="n">
        <f aca="true">CRITBINOM($C952,MIN(0.75,Matchup!$B$39*$B952),RAND())</f>
        <v>1</v>
      </c>
      <c r="E952" s="0" t="n">
        <f aca="true">CRITBINOM(D952,Coefficients!$B$30,RAND())</f>
        <v>0</v>
      </c>
      <c r="F952" s="0" t="n">
        <f aca="true">CRITBINOM(E952,Coefficients!$B$31,RAND())</f>
        <v>0</v>
      </c>
      <c r="G952" s="0" t="n">
        <f aca="true">CRITBINOM(MAX(0,D952-E952),1-Coefficients!$B$32,RAND())</f>
        <v>0</v>
      </c>
      <c r="H952" s="0" t="n">
        <f aca="true">CRITBINOM(MAX(0,$C952-D952),MIN(0.6,Matchup!$B$40*SQRT($B952)/(1-MIN(0.75,Matchup!$B$39*$B952))),RAND())</f>
        <v>3</v>
      </c>
      <c r="I952" s="0" t="n">
        <f aca="false">6*D952+(D952-E952-G952)+2*F952+3*H952</f>
        <v>16</v>
      </c>
      <c r="J952" s="0" t="n">
        <f aca="true">CRITBINOM($C952,MIN(0.75,Matchup!$C$39*$B952),RAND())</f>
        <v>3</v>
      </c>
      <c r="K952" s="0" t="n">
        <f aca="true">CRITBINOM(J952,Coefficients!$B$30,RAND())</f>
        <v>0</v>
      </c>
      <c r="L952" s="0" t="n">
        <f aca="true">CRITBINOM(K952,Coefficients!$B$31,RAND())</f>
        <v>0</v>
      </c>
      <c r="M952" s="0" t="n">
        <f aca="true">CRITBINOM(MAX(0,J952-K952),1-Coefficients!$B$32,RAND())</f>
        <v>0</v>
      </c>
      <c r="N952" s="0" t="n">
        <f aca="true">CRITBINOM(MAX(0,$C952-J952),MIN(0.6,Matchup!$C$40*SQRT($B952)/(1-MIN(0.75,Matchup!$C$39*$B952))),RAND())</f>
        <v>2</v>
      </c>
      <c r="O952" s="0" t="n">
        <f aca="false">6*J952+(J952-K952-M952)+2*L952+3*N952</f>
        <v>27</v>
      </c>
      <c r="P952" s="0" t="n">
        <f aca="true">RAND()</f>
        <v>0.0857889095323351</v>
      </c>
      <c r="Q952" s="0" t="n">
        <f aca="true">RAND()</f>
        <v>0.604122050314041</v>
      </c>
      <c r="R952" s="0" t="n">
        <f aca="false">IF($I952&lt;&gt;$O952,0,IF(P952&lt;Matchup!$B$39,7,IF(P952&lt;Matchup!$B$39+Matchup!$B$40,3,0)))</f>
        <v>0</v>
      </c>
      <c r="S952" s="0" t="n">
        <f aca="false">IF($I952&lt;&gt;$O952,0,IF(Q952&lt;Matchup!$C$39,7,IF(Q952&lt;Matchup!$C$39+Matchup!$C$40,3,0)))</f>
        <v>0</v>
      </c>
      <c r="T952" s="0" t="n">
        <f aca="false">I952+R952</f>
        <v>16</v>
      </c>
      <c r="U952" s="0" t="n">
        <f aca="false">O952+S952</f>
        <v>27</v>
      </c>
      <c r="V952" s="0" t="n">
        <f aca="false">T952-U952</f>
        <v>-11</v>
      </c>
      <c r="W952" s="0" t="n">
        <f aca="false">T952+U952</f>
        <v>43</v>
      </c>
    </row>
    <row r="953" customFormat="false" ht="15" hidden="false" customHeight="false" outlineLevel="0" collapsed="false">
      <c r="A953" s="0" t="n">
        <v>950</v>
      </c>
      <c r="B953" s="0" t="n">
        <f aca="true">NORMINV(RAND(),1,Coefficients!$B$22)</f>
        <v>0.985837963518565</v>
      </c>
      <c r="C953" s="0" t="n">
        <f aca="true">MEDIAN(8,16,ROUND(NORMINV(RAND(),Coefficients!$B$20,Coefficients!$B$21),0))</f>
        <v>13</v>
      </c>
      <c r="D953" s="0" t="n">
        <f aca="true">CRITBINOM($C953,MIN(0.75,Matchup!$B$39*$B953),RAND())</f>
        <v>3</v>
      </c>
      <c r="E953" s="0" t="n">
        <f aca="true">CRITBINOM(D953,Coefficients!$B$30,RAND())</f>
        <v>0</v>
      </c>
      <c r="F953" s="0" t="n">
        <f aca="true">CRITBINOM(E953,Coefficients!$B$31,RAND())</f>
        <v>0</v>
      </c>
      <c r="G953" s="0" t="n">
        <f aca="true">CRITBINOM(MAX(0,D953-E953),1-Coefficients!$B$32,RAND())</f>
        <v>0</v>
      </c>
      <c r="H953" s="0" t="n">
        <f aca="true">CRITBINOM(MAX(0,$C953-D953),MIN(0.6,Matchup!$B$40*SQRT($B953)/(1-MIN(0.75,Matchup!$B$39*$B953))),RAND())</f>
        <v>2</v>
      </c>
      <c r="I953" s="0" t="n">
        <f aca="false">6*D953+(D953-E953-G953)+2*F953+3*H953</f>
        <v>27</v>
      </c>
      <c r="J953" s="0" t="n">
        <f aca="true">CRITBINOM($C953,MIN(0.75,Matchup!$C$39*$B953),RAND())</f>
        <v>1</v>
      </c>
      <c r="K953" s="0" t="n">
        <f aca="true">CRITBINOM(J953,Coefficients!$B$30,RAND())</f>
        <v>0</v>
      </c>
      <c r="L953" s="0" t="n">
        <f aca="true">CRITBINOM(K953,Coefficients!$B$31,RAND())</f>
        <v>0</v>
      </c>
      <c r="M953" s="0" t="n">
        <f aca="true">CRITBINOM(MAX(0,J953-K953),1-Coefficients!$B$32,RAND())</f>
        <v>0</v>
      </c>
      <c r="N953" s="0" t="n">
        <f aca="true">CRITBINOM(MAX(0,$C953-J953),MIN(0.6,Matchup!$C$40*SQRT($B953)/(1-MIN(0.75,Matchup!$C$39*$B953))),RAND())</f>
        <v>1</v>
      </c>
      <c r="O953" s="0" t="n">
        <f aca="false">6*J953+(J953-K953-M953)+2*L953+3*N953</f>
        <v>10</v>
      </c>
      <c r="P953" s="0" t="n">
        <f aca="true">RAND()</f>
        <v>0.213205206854856</v>
      </c>
      <c r="Q953" s="0" t="n">
        <f aca="true">RAND()</f>
        <v>0.544141390840231</v>
      </c>
      <c r="R953" s="0" t="n">
        <f aca="false">IF($I953&lt;&gt;$O953,0,IF(P953&lt;Matchup!$B$39,7,IF(P953&lt;Matchup!$B$39+Matchup!$B$40,3,0)))</f>
        <v>0</v>
      </c>
      <c r="S953" s="0" t="n">
        <f aca="false">IF($I953&lt;&gt;$O953,0,IF(Q953&lt;Matchup!$C$39,7,IF(Q953&lt;Matchup!$C$39+Matchup!$C$40,3,0)))</f>
        <v>0</v>
      </c>
      <c r="T953" s="0" t="n">
        <f aca="false">I953+R953</f>
        <v>27</v>
      </c>
      <c r="U953" s="0" t="n">
        <f aca="false">O953+S953</f>
        <v>10</v>
      </c>
      <c r="V953" s="0" t="n">
        <f aca="false">T953-U953</f>
        <v>17</v>
      </c>
      <c r="W953" s="0" t="n">
        <f aca="false">T953+U953</f>
        <v>37</v>
      </c>
    </row>
    <row r="954" customFormat="false" ht="15" hidden="false" customHeight="false" outlineLevel="0" collapsed="false">
      <c r="A954" s="0" t="n">
        <v>951</v>
      </c>
      <c r="B954" s="0" t="n">
        <f aca="true">NORMINV(RAND(),1,Coefficients!$B$22)</f>
        <v>0.944937863089033</v>
      </c>
      <c r="C954" s="0" t="n">
        <f aca="true">MEDIAN(8,16,ROUND(NORMINV(RAND(),Coefficients!$B$20,Coefficients!$B$21),0))</f>
        <v>13</v>
      </c>
      <c r="D954" s="0" t="n">
        <f aca="true">CRITBINOM($C954,MIN(0.75,Matchup!$B$39*$B954),RAND())</f>
        <v>3</v>
      </c>
      <c r="E954" s="0" t="n">
        <f aca="true">CRITBINOM(D954,Coefficients!$B$30,RAND())</f>
        <v>0</v>
      </c>
      <c r="F954" s="0" t="n">
        <f aca="true">CRITBINOM(E954,Coefficients!$B$31,RAND())</f>
        <v>0</v>
      </c>
      <c r="G954" s="0" t="n">
        <f aca="true">CRITBINOM(MAX(0,D954-E954),1-Coefficients!$B$32,RAND())</f>
        <v>0</v>
      </c>
      <c r="H954" s="0" t="n">
        <f aca="true">CRITBINOM(MAX(0,$C954-D954),MIN(0.6,Matchup!$B$40*SQRT($B954)/(1-MIN(0.75,Matchup!$B$39*$B954))),RAND())</f>
        <v>3</v>
      </c>
      <c r="I954" s="0" t="n">
        <f aca="false">6*D954+(D954-E954-G954)+2*F954+3*H954</f>
        <v>30</v>
      </c>
      <c r="J954" s="0" t="n">
        <f aca="true">CRITBINOM($C954,MIN(0.75,Matchup!$C$39*$B954),RAND())</f>
        <v>4</v>
      </c>
      <c r="K954" s="0" t="n">
        <f aca="true">CRITBINOM(J954,Coefficients!$B$30,RAND())</f>
        <v>0</v>
      </c>
      <c r="L954" s="0" t="n">
        <f aca="true">CRITBINOM(K954,Coefficients!$B$31,RAND())</f>
        <v>0</v>
      </c>
      <c r="M954" s="0" t="n">
        <f aca="true">CRITBINOM(MAX(0,J954-K954),1-Coefficients!$B$32,RAND())</f>
        <v>0</v>
      </c>
      <c r="N954" s="0" t="n">
        <f aca="true">CRITBINOM(MAX(0,$C954-J954),MIN(0.6,Matchup!$C$40*SQRT($B954)/(1-MIN(0.75,Matchup!$C$39*$B954))),RAND())</f>
        <v>2</v>
      </c>
      <c r="O954" s="0" t="n">
        <f aca="false">6*J954+(J954-K954-M954)+2*L954+3*N954</f>
        <v>34</v>
      </c>
      <c r="P954" s="0" t="n">
        <f aca="true">RAND()</f>
        <v>0.426738774489507</v>
      </c>
      <c r="Q954" s="0" t="n">
        <f aca="true">RAND()</f>
        <v>0.191683485575677</v>
      </c>
      <c r="R954" s="0" t="n">
        <f aca="false">IF($I954&lt;&gt;$O954,0,IF(P954&lt;Matchup!$B$39,7,IF(P954&lt;Matchup!$B$39+Matchup!$B$40,3,0)))</f>
        <v>0</v>
      </c>
      <c r="S954" s="0" t="n">
        <f aca="false">IF($I954&lt;&gt;$O954,0,IF(Q954&lt;Matchup!$C$39,7,IF(Q954&lt;Matchup!$C$39+Matchup!$C$40,3,0)))</f>
        <v>0</v>
      </c>
      <c r="T954" s="0" t="n">
        <f aca="false">I954+R954</f>
        <v>30</v>
      </c>
      <c r="U954" s="0" t="n">
        <f aca="false">O954+S954</f>
        <v>34</v>
      </c>
      <c r="V954" s="0" t="n">
        <f aca="false">T954-U954</f>
        <v>-4</v>
      </c>
      <c r="W954" s="0" t="n">
        <f aca="false">T954+U954</f>
        <v>64</v>
      </c>
    </row>
    <row r="955" customFormat="false" ht="15" hidden="false" customHeight="false" outlineLevel="0" collapsed="false">
      <c r="A955" s="0" t="n">
        <v>952</v>
      </c>
      <c r="B955" s="0" t="n">
        <f aca="true">NORMINV(RAND(),1,Coefficients!$B$22)</f>
        <v>1.05955658377902</v>
      </c>
      <c r="C955" s="0" t="n">
        <f aca="true">MEDIAN(8,16,ROUND(NORMINV(RAND(),Coefficients!$B$20,Coefficients!$B$21),0))</f>
        <v>10</v>
      </c>
      <c r="D955" s="0" t="n">
        <f aca="true">CRITBINOM($C955,MIN(0.75,Matchup!$B$39*$B955),RAND())</f>
        <v>2</v>
      </c>
      <c r="E955" s="0" t="n">
        <f aca="true">CRITBINOM(D955,Coefficients!$B$30,RAND())</f>
        <v>0</v>
      </c>
      <c r="F955" s="0" t="n">
        <f aca="true">CRITBINOM(E955,Coefficients!$B$31,RAND())</f>
        <v>0</v>
      </c>
      <c r="G955" s="0" t="n">
        <f aca="true">CRITBINOM(MAX(0,D955-E955),1-Coefficients!$B$32,RAND())</f>
        <v>0</v>
      </c>
      <c r="H955" s="0" t="n">
        <f aca="true">CRITBINOM(MAX(0,$C955-D955),MIN(0.6,Matchup!$B$40*SQRT($B955)/(1-MIN(0.75,Matchup!$B$39*$B955))),RAND())</f>
        <v>0</v>
      </c>
      <c r="I955" s="0" t="n">
        <f aca="false">6*D955+(D955-E955-G955)+2*F955+3*H955</f>
        <v>14</v>
      </c>
      <c r="J955" s="0" t="n">
        <f aca="true">CRITBINOM($C955,MIN(0.75,Matchup!$C$39*$B955),RAND())</f>
        <v>2</v>
      </c>
      <c r="K955" s="0" t="n">
        <f aca="true">CRITBINOM(J955,Coefficients!$B$30,RAND())</f>
        <v>0</v>
      </c>
      <c r="L955" s="0" t="n">
        <f aca="true">CRITBINOM(K955,Coefficients!$B$31,RAND())</f>
        <v>0</v>
      </c>
      <c r="M955" s="0" t="n">
        <f aca="true">CRITBINOM(MAX(0,J955-K955),1-Coefficients!$B$32,RAND())</f>
        <v>0</v>
      </c>
      <c r="N955" s="0" t="n">
        <f aca="true">CRITBINOM(MAX(0,$C955-J955),MIN(0.6,Matchup!$C$40*SQRT($B955)/(1-MIN(0.75,Matchup!$C$39*$B955))),RAND())</f>
        <v>3</v>
      </c>
      <c r="O955" s="0" t="n">
        <f aca="false">6*J955+(J955-K955-M955)+2*L955+3*N955</f>
        <v>23</v>
      </c>
      <c r="P955" s="0" t="n">
        <f aca="true">RAND()</f>
        <v>0.0436633612809129</v>
      </c>
      <c r="Q955" s="0" t="n">
        <f aca="true">RAND()</f>
        <v>0.402098884690669</v>
      </c>
      <c r="R955" s="0" t="n">
        <f aca="false">IF($I955&lt;&gt;$O955,0,IF(P955&lt;Matchup!$B$39,7,IF(P955&lt;Matchup!$B$39+Matchup!$B$40,3,0)))</f>
        <v>0</v>
      </c>
      <c r="S955" s="0" t="n">
        <f aca="false">IF($I955&lt;&gt;$O955,0,IF(Q955&lt;Matchup!$C$39,7,IF(Q955&lt;Matchup!$C$39+Matchup!$C$40,3,0)))</f>
        <v>0</v>
      </c>
      <c r="T955" s="0" t="n">
        <f aca="false">I955+R955</f>
        <v>14</v>
      </c>
      <c r="U955" s="0" t="n">
        <f aca="false">O955+S955</f>
        <v>23</v>
      </c>
      <c r="V955" s="0" t="n">
        <f aca="false">T955-U955</f>
        <v>-9</v>
      </c>
      <c r="W955" s="0" t="n">
        <f aca="false">T955+U955</f>
        <v>37</v>
      </c>
    </row>
    <row r="956" customFormat="false" ht="15" hidden="false" customHeight="false" outlineLevel="0" collapsed="false">
      <c r="A956" s="0" t="n">
        <v>953</v>
      </c>
      <c r="B956" s="0" t="n">
        <f aca="true">NORMINV(RAND(),1,Coefficients!$B$22)</f>
        <v>0.987639967166277</v>
      </c>
      <c r="C956" s="0" t="n">
        <f aca="true">MEDIAN(8,16,ROUND(NORMINV(RAND(),Coefficients!$B$20,Coefficients!$B$21),0))</f>
        <v>11</v>
      </c>
      <c r="D956" s="0" t="n">
        <f aca="true">CRITBINOM($C956,MIN(0.75,Matchup!$B$39*$B956),RAND())</f>
        <v>1</v>
      </c>
      <c r="E956" s="0" t="n">
        <f aca="true">CRITBINOM(D956,Coefficients!$B$30,RAND())</f>
        <v>0</v>
      </c>
      <c r="F956" s="0" t="n">
        <f aca="true">CRITBINOM(E956,Coefficients!$B$31,RAND())</f>
        <v>0</v>
      </c>
      <c r="G956" s="0" t="n">
        <f aca="true">CRITBINOM(MAX(0,D956-E956),1-Coefficients!$B$32,RAND())</f>
        <v>0</v>
      </c>
      <c r="H956" s="0" t="n">
        <f aca="true">CRITBINOM(MAX(0,$C956-D956),MIN(0.6,Matchup!$B$40*SQRT($B956)/(1-MIN(0.75,Matchup!$B$39*$B956))),RAND())</f>
        <v>1</v>
      </c>
      <c r="I956" s="0" t="n">
        <f aca="false">6*D956+(D956-E956-G956)+2*F956+3*H956</f>
        <v>10</v>
      </c>
      <c r="J956" s="0" t="n">
        <f aca="true">CRITBINOM($C956,MIN(0.75,Matchup!$C$39*$B956),RAND())</f>
        <v>3</v>
      </c>
      <c r="K956" s="0" t="n">
        <f aca="true">CRITBINOM(J956,Coefficients!$B$30,RAND())</f>
        <v>0</v>
      </c>
      <c r="L956" s="0" t="n">
        <f aca="true">CRITBINOM(K956,Coefficients!$B$31,RAND())</f>
        <v>0</v>
      </c>
      <c r="M956" s="0" t="n">
        <f aca="true">CRITBINOM(MAX(0,J956-K956),1-Coefficients!$B$32,RAND())</f>
        <v>0</v>
      </c>
      <c r="N956" s="0" t="n">
        <f aca="true">CRITBINOM(MAX(0,$C956-J956),MIN(0.6,Matchup!$C$40*SQRT($B956)/(1-MIN(0.75,Matchup!$C$39*$B956))),RAND())</f>
        <v>1</v>
      </c>
      <c r="O956" s="0" t="n">
        <f aca="false">6*J956+(J956-K956-M956)+2*L956+3*N956</f>
        <v>24</v>
      </c>
      <c r="P956" s="0" t="n">
        <f aca="true">RAND()</f>
        <v>0.262087384330945</v>
      </c>
      <c r="Q956" s="0" t="n">
        <f aca="true">RAND()</f>
        <v>0.537161226869472</v>
      </c>
      <c r="R956" s="0" t="n">
        <f aca="false">IF($I956&lt;&gt;$O956,0,IF(P956&lt;Matchup!$B$39,7,IF(P956&lt;Matchup!$B$39+Matchup!$B$40,3,0)))</f>
        <v>0</v>
      </c>
      <c r="S956" s="0" t="n">
        <f aca="false">IF($I956&lt;&gt;$O956,0,IF(Q956&lt;Matchup!$C$39,7,IF(Q956&lt;Matchup!$C$39+Matchup!$C$40,3,0)))</f>
        <v>0</v>
      </c>
      <c r="T956" s="0" t="n">
        <f aca="false">I956+R956</f>
        <v>10</v>
      </c>
      <c r="U956" s="0" t="n">
        <f aca="false">O956+S956</f>
        <v>24</v>
      </c>
      <c r="V956" s="0" t="n">
        <f aca="false">T956-U956</f>
        <v>-14</v>
      </c>
      <c r="W956" s="0" t="n">
        <f aca="false">T956+U956</f>
        <v>34</v>
      </c>
    </row>
    <row r="957" customFormat="false" ht="15" hidden="false" customHeight="false" outlineLevel="0" collapsed="false">
      <c r="A957" s="0" t="n">
        <v>954</v>
      </c>
      <c r="B957" s="0" t="n">
        <f aca="true">NORMINV(RAND(),1,Coefficients!$B$22)</f>
        <v>0.955545071875483</v>
      </c>
      <c r="C957" s="0" t="n">
        <f aca="true">MEDIAN(8,16,ROUND(NORMINV(RAND(),Coefficients!$B$20,Coefficients!$B$21),0))</f>
        <v>13</v>
      </c>
      <c r="D957" s="0" t="n">
        <f aca="true">CRITBINOM($C957,MIN(0.75,Matchup!$B$39*$B957),RAND())</f>
        <v>3</v>
      </c>
      <c r="E957" s="0" t="n">
        <f aca="true">CRITBINOM(D957,Coefficients!$B$30,RAND())</f>
        <v>0</v>
      </c>
      <c r="F957" s="0" t="n">
        <f aca="true">CRITBINOM(E957,Coefficients!$B$31,RAND())</f>
        <v>0</v>
      </c>
      <c r="G957" s="0" t="n">
        <f aca="true">CRITBINOM(MAX(0,D957-E957),1-Coefficients!$B$32,RAND())</f>
        <v>0</v>
      </c>
      <c r="H957" s="0" t="n">
        <f aca="true">CRITBINOM(MAX(0,$C957-D957),MIN(0.6,Matchup!$B$40*SQRT($B957)/(1-MIN(0.75,Matchup!$B$39*$B957))),RAND())</f>
        <v>3</v>
      </c>
      <c r="I957" s="0" t="n">
        <f aca="false">6*D957+(D957-E957-G957)+2*F957+3*H957</f>
        <v>30</v>
      </c>
      <c r="J957" s="0" t="n">
        <f aca="true">CRITBINOM($C957,MIN(0.75,Matchup!$C$39*$B957),RAND())</f>
        <v>3</v>
      </c>
      <c r="K957" s="0" t="n">
        <f aca="true">CRITBINOM(J957,Coefficients!$B$30,RAND())</f>
        <v>0</v>
      </c>
      <c r="L957" s="0" t="n">
        <f aca="true">CRITBINOM(K957,Coefficients!$B$31,RAND())</f>
        <v>0</v>
      </c>
      <c r="M957" s="0" t="n">
        <f aca="true">CRITBINOM(MAX(0,J957-K957),1-Coefficients!$B$32,RAND())</f>
        <v>0</v>
      </c>
      <c r="N957" s="0" t="n">
        <f aca="true">CRITBINOM(MAX(0,$C957-J957),MIN(0.6,Matchup!$C$40*SQRT($B957)/(1-MIN(0.75,Matchup!$C$39*$B957))),RAND())</f>
        <v>1</v>
      </c>
      <c r="O957" s="0" t="n">
        <f aca="false">6*J957+(J957-K957-M957)+2*L957+3*N957</f>
        <v>24</v>
      </c>
      <c r="P957" s="0" t="n">
        <f aca="true">RAND()</f>
        <v>0.801439663111329</v>
      </c>
      <c r="Q957" s="0" t="n">
        <f aca="true">RAND()</f>
        <v>0.225846802712321</v>
      </c>
      <c r="R957" s="0" t="n">
        <f aca="false">IF($I957&lt;&gt;$O957,0,IF(P957&lt;Matchup!$B$39,7,IF(P957&lt;Matchup!$B$39+Matchup!$B$40,3,0)))</f>
        <v>0</v>
      </c>
      <c r="S957" s="0" t="n">
        <f aca="false">IF($I957&lt;&gt;$O957,0,IF(Q957&lt;Matchup!$C$39,7,IF(Q957&lt;Matchup!$C$39+Matchup!$C$40,3,0)))</f>
        <v>0</v>
      </c>
      <c r="T957" s="0" t="n">
        <f aca="false">I957+R957</f>
        <v>30</v>
      </c>
      <c r="U957" s="0" t="n">
        <f aca="false">O957+S957</f>
        <v>24</v>
      </c>
      <c r="V957" s="0" t="n">
        <f aca="false">T957-U957</f>
        <v>6</v>
      </c>
      <c r="W957" s="0" t="n">
        <f aca="false">T957+U957</f>
        <v>54</v>
      </c>
    </row>
    <row r="958" customFormat="false" ht="15" hidden="false" customHeight="false" outlineLevel="0" collapsed="false">
      <c r="A958" s="0" t="n">
        <v>955</v>
      </c>
      <c r="B958" s="0" t="n">
        <f aca="true">NORMINV(RAND(),1,Coefficients!$B$22)</f>
        <v>1.02183593945047</v>
      </c>
      <c r="C958" s="0" t="n">
        <f aca="true">MEDIAN(8,16,ROUND(NORMINV(RAND(),Coefficients!$B$20,Coefficients!$B$21),0))</f>
        <v>11</v>
      </c>
      <c r="D958" s="0" t="n">
        <f aca="true">CRITBINOM($C958,MIN(0.75,Matchup!$B$39*$B958),RAND())</f>
        <v>3</v>
      </c>
      <c r="E958" s="0" t="n">
        <f aca="true">CRITBINOM(D958,Coefficients!$B$30,RAND())</f>
        <v>0</v>
      </c>
      <c r="F958" s="0" t="n">
        <f aca="true">CRITBINOM(E958,Coefficients!$B$31,RAND())</f>
        <v>0</v>
      </c>
      <c r="G958" s="0" t="n">
        <f aca="true">CRITBINOM(MAX(0,D958-E958),1-Coefficients!$B$32,RAND())</f>
        <v>0</v>
      </c>
      <c r="H958" s="0" t="n">
        <f aca="true">CRITBINOM(MAX(0,$C958-D958),MIN(0.6,Matchup!$B$40*SQRT($B958)/(1-MIN(0.75,Matchup!$B$39*$B958))),RAND())</f>
        <v>1</v>
      </c>
      <c r="I958" s="0" t="n">
        <f aca="false">6*D958+(D958-E958-G958)+2*F958+3*H958</f>
        <v>24</v>
      </c>
      <c r="J958" s="0" t="n">
        <f aca="true">CRITBINOM($C958,MIN(0.75,Matchup!$C$39*$B958),RAND())</f>
        <v>2</v>
      </c>
      <c r="K958" s="0" t="n">
        <f aca="true">CRITBINOM(J958,Coefficients!$B$30,RAND())</f>
        <v>0</v>
      </c>
      <c r="L958" s="0" t="n">
        <f aca="true">CRITBINOM(K958,Coefficients!$B$31,RAND())</f>
        <v>0</v>
      </c>
      <c r="M958" s="0" t="n">
        <f aca="true">CRITBINOM(MAX(0,J958-K958),1-Coefficients!$B$32,RAND())</f>
        <v>0</v>
      </c>
      <c r="N958" s="0" t="n">
        <f aca="true">CRITBINOM(MAX(0,$C958-J958),MIN(0.6,Matchup!$C$40*SQRT($B958)/(1-MIN(0.75,Matchup!$C$39*$B958))),RAND())</f>
        <v>2</v>
      </c>
      <c r="O958" s="0" t="n">
        <f aca="false">6*J958+(J958-K958-M958)+2*L958+3*N958</f>
        <v>20</v>
      </c>
      <c r="P958" s="0" t="n">
        <f aca="true">RAND()</f>
        <v>0.116770302467377</v>
      </c>
      <c r="Q958" s="0" t="n">
        <f aca="true">RAND()</f>
        <v>0.635082997560384</v>
      </c>
      <c r="R958" s="0" t="n">
        <f aca="false">IF($I958&lt;&gt;$O958,0,IF(P958&lt;Matchup!$B$39,7,IF(P958&lt;Matchup!$B$39+Matchup!$B$40,3,0)))</f>
        <v>0</v>
      </c>
      <c r="S958" s="0" t="n">
        <f aca="false">IF($I958&lt;&gt;$O958,0,IF(Q958&lt;Matchup!$C$39,7,IF(Q958&lt;Matchup!$C$39+Matchup!$C$40,3,0)))</f>
        <v>0</v>
      </c>
      <c r="T958" s="0" t="n">
        <f aca="false">I958+R958</f>
        <v>24</v>
      </c>
      <c r="U958" s="0" t="n">
        <f aca="false">O958+S958</f>
        <v>20</v>
      </c>
      <c r="V958" s="0" t="n">
        <f aca="false">T958-U958</f>
        <v>4</v>
      </c>
      <c r="W958" s="0" t="n">
        <f aca="false">T958+U958</f>
        <v>44</v>
      </c>
    </row>
    <row r="959" customFormat="false" ht="15" hidden="false" customHeight="false" outlineLevel="0" collapsed="false">
      <c r="A959" s="0" t="n">
        <v>956</v>
      </c>
      <c r="B959" s="0" t="n">
        <f aca="true">NORMINV(RAND(),1,Coefficients!$B$22)</f>
        <v>1.02933280373883</v>
      </c>
      <c r="C959" s="0" t="n">
        <f aca="true">MEDIAN(8,16,ROUND(NORMINV(RAND(),Coefficients!$B$20,Coefficients!$B$21),0))</f>
        <v>13</v>
      </c>
      <c r="D959" s="0" t="n">
        <f aca="true">CRITBINOM($C959,MIN(0.75,Matchup!$B$39*$B959),RAND())</f>
        <v>4</v>
      </c>
      <c r="E959" s="0" t="n">
        <f aca="true">CRITBINOM(D959,Coefficients!$B$30,RAND())</f>
        <v>1</v>
      </c>
      <c r="F959" s="0" t="n">
        <f aca="true">CRITBINOM(E959,Coefficients!$B$31,RAND())</f>
        <v>0</v>
      </c>
      <c r="G959" s="0" t="n">
        <f aca="true">CRITBINOM(MAX(0,D959-E959),1-Coefficients!$B$32,RAND())</f>
        <v>0</v>
      </c>
      <c r="H959" s="0" t="n">
        <f aca="true">CRITBINOM(MAX(0,$C959-D959),MIN(0.6,Matchup!$B$40*SQRT($B959)/(1-MIN(0.75,Matchup!$B$39*$B959))),RAND())</f>
        <v>1</v>
      </c>
      <c r="I959" s="0" t="n">
        <f aca="false">6*D959+(D959-E959-G959)+2*F959+3*H959</f>
        <v>30</v>
      </c>
      <c r="J959" s="0" t="n">
        <f aca="true">CRITBINOM($C959,MIN(0.75,Matchup!$C$39*$B959),RAND())</f>
        <v>4</v>
      </c>
      <c r="K959" s="0" t="n">
        <f aca="true">CRITBINOM(J959,Coefficients!$B$30,RAND())</f>
        <v>0</v>
      </c>
      <c r="L959" s="0" t="n">
        <f aca="true">CRITBINOM(K959,Coefficients!$B$31,RAND())</f>
        <v>0</v>
      </c>
      <c r="M959" s="0" t="n">
        <f aca="true">CRITBINOM(MAX(0,J959-K959),1-Coefficients!$B$32,RAND())</f>
        <v>0</v>
      </c>
      <c r="N959" s="0" t="n">
        <f aca="true">CRITBINOM(MAX(0,$C959-J959),MIN(0.6,Matchup!$C$40*SQRT($B959)/(1-MIN(0.75,Matchup!$C$39*$B959))),RAND())</f>
        <v>4</v>
      </c>
      <c r="O959" s="0" t="n">
        <f aca="false">6*J959+(J959-K959-M959)+2*L959+3*N959</f>
        <v>40</v>
      </c>
      <c r="P959" s="0" t="n">
        <f aca="true">RAND()</f>
        <v>0.448691179565371</v>
      </c>
      <c r="Q959" s="0" t="n">
        <f aca="true">RAND()</f>
        <v>0.21360398550611</v>
      </c>
      <c r="R959" s="0" t="n">
        <f aca="false">IF($I959&lt;&gt;$O959,0,IF(P959&lt;Matchup!$B$39,7,IF(P959&lt;Matchup!$B$39+Matchup!$B$40,3,0)))</f>
        <v>0</v>
      </c>
      <c r="S959" s="0" t="n">
        <f aca="false">IF($I959&lt;&gt;$O959,0,IF(Q959&lt;Matchup!$C$39,7,IF(Q959&lt;Matchup!$C$39+Matchup!$C$40,3,0)))</f>
        <v>0</v>
      </c>
      <c r="T959" s="0" t="n">
        <f aca="false">I959+R959</f>
        <v>30</v>
      </c>
      <c r="U959" s="0" t="n">
        <f aca="false">O959+S959</f>
        <v>40</v>
      </c>
      <c r="V959" s="0" t="n">
        <f aca="false">T959-U959</f>
        <v>-10</v>
      </c>
      <c r="W959" s="0" t="n">
        <f aca="false">T959+U959</f>
        <v>70</v>
      </c>
    </row>
    <row r="960" customFormat="false" ht="15" hidden="false" customHeight="false" outlineLevel="0" collapsed="false">
      <c r="A960" s="0" t="n">
        <v>957</v>
      </c>
      <c r="B960" s="0" t="n">
        <f aca="true">NORMINV(RAND(),1,Coefficients!$B$22)</f>
        <v>0.996148336430449</v>
      </c>
      <c r="C960" s="0" t="n">
        <f aca="true">MEDIAN(8,16,ROUND(NORMINV(RAND(),Coefficients!$B$20,Coefficients!$B$21),0))</f>
        <v>11</v>
      </c>
      <c r="D960" s="0" t="n">
        <f aca="true">CRITBINOM($C960,MIN(0.75,Matchup!$B$39*$B960),RAND())</f>
        <v>3</v>
      </c>
      <c r="E960" s="0" t="n">
        <f aca="true">CRITBINOM(D960,Coefficients!$B$30,RAND())</f>
        <v>0</v>
      </c>
      <c r="F960" s="0" t="n">
        <f aca="true">CRITBINOM(E960,Coefficients!$B$31,RAND())</f>
        <v>0</v>
      </c>
      <c r="G960" s="0" t="n">
        <f aca="true">CRITBINOM(MAX(0,D960-E960),1-Coefficients!$B$32,RAND())</f>
        <v>0</v>
      </c>
      <c r="H960" s="0" t="n">
        <f aca="true">CRITBINOM(MAX(0,$C960-D960),MIN(0.6,Matchup!$B$40*SQRT($B960)/(1-MIN(0.75,Matchup!$B$39*$B960))),RAND())</f>
        <v>1</v>
      </c>
      <c r="I960" s="0" t="n">
        <f aca="false">6*D960+(D960-E960-G960)+2*F960+3*H960</f>
        <v>24</v>
      </c>
      <c r="J960" s="0" t="n">
        <f aca="true">CRITBINOM($C960,MIN(0.75,Matchup!$C$39*$B960),RAND())</f>
        <v>3</v>
      </c>
      <c r="K960" s="0" t="n">
        <f aca="true">CRITBINOM(J960,Coefficients!$B$30,RAND())</f>
        <v>0</v>
      </c>
      <c r="L960" s="0" t="n">
        <f aca="true">CRITBINOM(K960,Coefficients!$B$31,RAND())</f>
        <v>0</v>
      </c>
      <c r="M960" s="0" t="n">
        <f aca="true">CRITBINOM(MAX(0,J960-K960),1-Coefficients!$B$32,RAND())</f>
        <v>0</v>
      </c>
      <c r="N960" s="0" t="n">
        <f aca="true">CRITBINOM(MAX(0,$C960-J960),MIN(0.6,Matchup!$C$40*SQRT($B960)/(1-MIN(0.75,Matchup!$C$39*$B960))),RAND())</f>
        <v>3</v>
      </c>
      <c r="O960" s="0" t="n">
        <f aca="false">6*J960+(J960-K960-M960)+2*L960+3*N960</f>
        <v>30</v>
      </c>
      <c r="P960" s="0" t="n">
        <f aca="true">RAND()</f>
        <v>0.739657472843196</v>
      </c>
      <c r="Q960" s="0" t="n">
        <f aca="true">RAND()</f>
        <v>0.713095618007353</v>
      </c>
      <c r="R960" s="0" t="n">
        <f aca="false">IF($I960&lt;&gt;$O960,0,IF(P960&lt;Matchup!$B$39,7,IF(P960&lt;Matchup!$B$39+Matchup!$B$40,3,0)))</f>
        <v>0</v>
      </c>
      <c r="S960" s="0" t="n">
        <f aca="false">IF($I960&lt;&gt;$O960,0,IF(Q960&lt;Matchup!$C$39,7,IF(Q960&lt;Matchup!$C$39+Matchup!$C$40,3,0)))</f>
        <v>0</v>
      </c>
      <c r="T960" s="0" t="n">
        <f aca="false">I960+R960</f>
        <v>24</v>
      </c>
      <c r="U960" s="0" t="n">
        <f aca="false">O960+S960</f>
        <v>30</v>
      </c>
      <c r="V960" s="0" t="n">
        <f aca="false">T960-U960</f>
        <v>-6</v>
      </c>
      <c r="W960" s="0" t="n">
        <f aca="false">T960+U960</f>
        <v>54</v>
      </c>
    </row>
    <row r="961" customFormat="false" ht="15" hidden="false" customHeight="false" outlineLevel="0" collapsed="false">
      <c r="A961" s="0" t="n">
        <v>958</v>
      </c>
      <c r="B961" s="0" t="n">
        <f aca="true">NORMINV(RAND(),1,Coefficients!$B$22)</f>
        <v>0.937648948159812</v>
      </c>
      <c r="C961" s="0" t="n">
        <f aca="true">MEDIAN(8,16,ROUND(NORMINV(RAND(),Coefficients!$B$20,Coefficients!$B$21),0))</f>
        <v>12</v>
      </c>
      <c r="D961" s="0" t="n">
        <f aca="true">CRITBINOM($C961,MIN(0.75,Matchup!$B$39*$B961),RAND())</f>
        <v>4</v>
      </c>
      <c r="E961" s="0" t="n">
        <f aca="true">CRITBINOM(D961,Coefficients!$B$30,RAND())</f>
        <v>1</v>
      </c>
      <c r="F961" s="0" t="n">
        <f aca="true">CRITBINOM(E961,Coefficients!$B$31,RAND())</f>
        <v>1</v>
      </c>
      <c r="G961" s="0" t="n">
        <f aca="true">CRITBINOM(MAX(0,D961-E961),1-Coefficients!$B$32,RAND())</f>
        <v>0</v>
      </c>
      <c r="H961" s="0" t="n">
        <f aca="true">CRITBINOM(MAX(0,$C961-D961),MIN(0.6,Matchup!$B$40*SQRT($B961)/(1-MIN(0.75,Matchup!$B$39*$B961))),RAND())</f>
        <v>0</v>
      </c>
      <c r="I961" s="0" t="n">
        <f aca="false">6*D961+(D961-E961-G961)+2*F961+3*H961</f>
        <v>29</v>
      </c>
      <c r="J961" s="0" t="n">
        <f aca="true">CRITBINOM($C961,MIN(0.75,Matchup!$C$39*$B961),RAND())</f>
        <v>5</v>
      </c>
      <c r="K961" s="0" t="n">
        <f aca="true">CRITBINOM(J961,Coefficients!$B$30,RAND())</f>
        <v>0</v>
      </c>
      <c r="L961" s="0" t="n">
        <f aca="true">CRITBINOM(K961,Coefficients!$B$31,RAND())</f>
        <v>0</v>
      </c>
      <c r="M961" s="0" t="n">
        <f aca="true">CRITBINOM(MAX(0,J961-K961),1-Coefficients!$B$32,RAND())</f>
        <v>1</v>
      </c>
      <c r="N961" s="0" t="n">
        <f aca="true">CRITBINOM(MAX(0,$C961-J961),MIN(0.6,Matchup!$C$40*SQRT($B961)/(1-MIN(0.75,Matchup!$C$39*$B961))),RAND())</f>
        <v>2</v>
      </c>
      <c r="O961" s="0" t="n">
        <f aca="false">6*J961+(J961-K961-M961)+2*L961+3*N961</f>
        <v>40</v>
      </c>
      <c r="P961" s="0" t="n">
        <f aca="true">RAND()</f>
        <v>0.843970832128582</v>
      </c>
      <c r="Q961" s="0" t="n">
        <f aca="true">RAND()</f>
        <v>0.452701474901954</v>
      </c>
      <c r="R961" s="0" t="n">
        <f aca="false">IF($I961&lt;&gt;$O961,0,IF(P961&lt;Matchup!$B$39,7,IF(P961&lt;Matchup!$B$39+Matchup!$B$40,3,0)))</f>
        <v>0</v>
      </c>
      <c r="S961" s="0" t="n">
        <f aca="false">IF($I961&lt;&gt;$O961,0,IF(Q961&lt;Matchup!$C$39,7,IF(Q961&lt;Matchup!$C$39+Matchup!$C$40,3,0)))</f>
        <v>0</v>
      </c>
      <c r="T961" s="0" t="n">
        <f aca="false">I961+R961</f>
        <v>29</v>
      </c>
      <c r="U961" s="0" t="n">
        <f aca="false">O961+S961</f>
        <v>40</v>
      </c>
      <c r="V961" s="0" t="n">
        <f aca="false">T961-U961</f>
        <v>-11</v>
      </c>
      <c r="W961" s="0" t="n">
        <f aca="false">T961+U961</f>
        <v>69</v>
      </c>
    </row>
    <row r="962" customFormat="false" ht="15" hidden="false" customHeight="false" outlineLevel="0" collapsed="false">
      <c r="A962" s="0" t="n">
        <v>959</v>
      </c>
      <c r="B962" s="0" t="n">
        <f aca="true">NORMINV(RAND(),1,Coefficients!$B$22)</f>
        <v>0.97828789923173</v>
      </c>
      <c r="C962" s="0" t="n">
        <f aca="true">MEDIAN(8,16,ROUND(NORMINV(RAND(),Coefficients!$B$20,Coefficients!$B$21),0))</f>
        <v>13</v>
      </c>
      <c r="D962" s="0" t="n">
        <f aca="true">CRITBINOM($C962,MIN(0.75,Matchup!$B$39*$B962),RAND())</f>
        <v>4</v>
      </c>
      <c r="E962" s="0" t="n">
        <f aca="true">CRITBINOM(D962,Coefficients!$B$30,RAND())</f>
        <v>0</v>
      </c>
      <c r="F962" s="0" t="n">
        <f aca="true">CRITBINOM(E962,Coefficients!$B$31,RAND())</f>
        <v>0</v>
      </c>
      <c r="G962" s="0" t="n">
        <f aca="true">CRITBINOM(MAX(0,D962-E962),1-Coefficients!$B$32,RAND())</f>
        <v>0</v>
      </c>
      <c r="H962" s="0" t="n">
        <f aca="true">CRITBINOM(MAX(0,$C962-D962),MIN(0.6,Matchup!$B$40*SQRT($B962)/(1-MIN(0.75,Matchup!$B$39*$B962))),RAND())</f>
        <v>4</v>
      </c>
      <c r="I962" s="0" t="n">
        <f aca="false">6*D962+(D962-E962-G962)+2*F962+3*H962</f>
        <v>40</v>
      </c>
      <c r="J962" s="0" t="n">
        <f aca="true">CRITBINOM($C962,MIN(0.75,Matchup!$C$39*$B962),RAND())</f>
        <v>4</v>
      </c>
      <c r="K962" s="0" t="n">
        <f aca="true">CRITBINOM(J962,Coefficients!$B$30,RAND())</f>
        <v>0</v>
      </c>
      <c r="L962" s="0" t="n">
        <f aca="true">CRITBINOM(K962,Coefficients!$B$31,RAND())</f>
        <v>0</v>
      </c>
      <c r="M962" s="0" t="n">
        <f aca="true">CRITBINOM(MAX(0,J962-K962),1-Coefficients!$B$32,RAND())</f>
        <v>0</v>
      </c>
      <c r="N962" s="0" t="n">
        <f aca="true">CRITBINOM(MAX(0,$C962-J962),MIN(0.6,Matchup!$C$40*SQRT($B962)/(1-MIN(0.75,Matchup!$C$39*$B962))),RAND())</f>
        <v>1</v>
      </c>
      <c r="O962" s="0" t="n">
        <f aca="false">6*J962+(J962-K962-M962)+2*L962+3*N962</f>
        <v>31</v>
      </c>
      <c r="P962" s="0" t="n">
        <f aca="true">RAND()</f>
        <v>0.404658248898205</v>
      </c>
      <c r="Q962" s="0" t="n">
        <f aca="true">RAND()</f>
        <v>0.458041089502634</v>
      </c>
      <c r="R962" s="0" t="n">
        <f aca="false">IF($I962&lt;&gt;$O962,0,IF(P962&lt;Matchup!$B$39,7,IF(P962&lt;Matchup!$B$39+Matchup!$B$40,3,0)))</f>
        <v>0</v>
      </c>
      <c r="S962" s="0" t="n">
        <f aca="false">IF($I962&lt;&gt;$O962,0,IF(Q962&lt;Matchup!$C$39,7,IF(Q962&lt;Matchup!$C$39+Matchup!$C$40,3,0)))</f>
        <v>0</v>
      </c>
      <c r="T962" s="0" t="n">
        <f aca="false">I962+R962</f>
        <v>40</v>
      </c>
      <c r="U962" s="0" t="n">
        <f aca="false">O962+S962</f>
        <v>31</v>
      </c>
      <c r="V962" s="0" t="n">
        <f aca="false">T962-U962</f>
        <v>9</v>
      </c>
      <c r="W962" s="0" t="n">
        <f aca="false">T962+U962</f>
        <v>71</v>
      </c>
    </row>
    <row r="963" customFormat="false" ht="15" hidden="false" customHeight="false" outlineLevel="0" collapsed="false">
      <c r="A963" s="0" t="n">
        <v>960</v>
      </c>
      <c r="B963" s="0" t="n">
        <f aca="true">NORMINV(RAND(),1,Coefficients!$B$22)</f>
        <v>1.05912584486617</v>
      </c>
      <c r="C963" s="0" t="n">
        <f aca="true">MEDIAN(8,16,ROUND(NORMINV(RAND(),Coefficients!$B$20,Coefficients!$B$21),0))</f>
        <v>11</v>
      </c>
      <c r="D963" s="0" t="n">
        <f aca="true">CRITBINOM($C963,MIN(0.75,Matchup!$B$39*$B963),RAND())</f>
        <v>3</v>
      </c>
      <c r="E963" s="0" t="n">
        <f aca="true">CRITBINOM(D963,Coefficients!$B$30,RAND())</f>
        <v>0</v>
      </c>
      <c r="F963" s="0" t="n">
        <f aca="true">CRITBINOM(E963,Coefficients!$B$31,RAND())</f>
        <v>0</v>
      </c>
      <c r="G963" s="0" t="n">
        <f aca="true">CRITBINOM(MAX(0,D963-E963),1-Coefficients!$B$32,RAND())</f>
        <v>0</v>
      </c>
      <c r="H963" s="0" t="n">
        <f aca="true">CRITBINOM(MAX(0,$C963-D963),MIN(0.6,Matchup!$B$40*SQRT($B963)/(1-MIN(0.75,Matchup!$B$39*$B963))),RAND())</f>
        <v>4</v>
      </c>
      <c r="I963" s="0" t="n">
        <f aca="false">6*D963+(D963-E963-G963)+2*F963+3*H963</f>
        <v>33</v>
      </c>
      <c r="J963" s="0" t="n">
        <f aca="true">CRITBINOM($C963,MIN(0.75,Matchup!$C$39*$B963),RAND())</f>
        <v>5</v>
      </c>
      <c r="K963" s="0" t="n">
        <f aca="true">CRITBINOM(J963,Coefficients!$B$30,RAND())</f>
        <v>1</v>
      </c>
      <c r="L963" s="0" t="n">
        <f aca="true">CRITBINOM(K963,Coefficients!$B$31,RAND())</f>
        <v>1</v>
      </c>
      <c r="M963" s="0" t="n">
        <f aca="true">CRITBINOM(MAX(0,J963-K963),1-Coefficients!$B$32,RAND())</f>
        <v>0</v>
      </c>
      <c r="N963" s="0" t="n">
        <f aca="true">CRITBINOM(MAX(0,$C963-J963),MIN(0.6,Matchup!$C$40*SQRT($B963)/(1-MIN(0.75,Matchup!$C$39*$B963))),RAND())</f>
        <v>1</v>
      </c>
      <c r="O963" s="0" t="n">
        <f aca="false">6*J963+(J963-K963-M963)+2*L963+3*N963</f>
        <v>39</v>
      </c>
      <c r="P963" s="0" t="n">
        <f aca="true">RAND()</f>
        <v>0.623627569508793</v>
      </c>
      <c r="Q963" s="0" t="n">
        <f aca="true">RAND()</f>
        <v>0.322921854003884</v>
      </c>
      <c r="R963" s="0" t="n">
        <f aca="false">IF($I963&lt;&gt;$O963,0,IF(P963&lt;Matchup!$B$39,7,IF(P963&lt;Matchup!$B$39+Matchup!$B$40,3,0)))</f>
        <v>0</v>
      </c>
      <c r="S963" s="0" t="n">
        <f aca="false">IF($I963&lt;&gt;$O963,0,IF(Q963&lt;Matchup!$C$39,7,IF(Q963&lt;Matchup!$C$39+Matchup!$C$40,3,0)))</f>
        <v>0</v>
      </c>
      <c r="T963" s="0" t="n">
        <f aca="false">I963+R963</f>
        <v>33</v>
      </c>
      <c r="U963" s="0" t="n">
        <f aca="false">O963+S963</f>
        <v>39</v>
      </c>
      <c r="V963" s="0" t="n">
        <f aca="false">T963-U963</f>
        <v>-6</v>
      </c>
      <c r="W963" s="0" t="n">
        <f aca="false">T963+U963</f>
        <v>72</v>
      </c>
    </row>
    <row r="964" customFormat="false" ht="15" hidden="false" customHeight="false" outlineLevel="0" collapsed="false">
      <c r="A964" s="0" t="n">
        <v>961</v>
      </c>
      <c r="B964" s="0" t="n">
        <f aca="true">NORMINV(RAND(),1,Coefficients!$B$22)</f>
        <v>1.13175033550028</v>
      </c>
      <c r="C964" s="0" t="n">
        <f aca="true">MEDIAN(8,16,ROUND(NORMINV(RAND(),Coefficients!$B$20,Coefficients!$B$21),0))</f>
        <v>10</v>
      </c>
      <c r="D964" s="0" t="n">
        <f aca="true">CRITBINOM($C964,MIN(0.75,Matchup!$B$39*$B964),RAND())</f>
        <v>4</v>
      </c>
      <c r="E964" s="0" t="n">
        <f aca="true">CRITBINOM(D964,Coefficients!$B$30,RAND())</f>
        <v>1</v>
      </c>
      <c r="F964" s="0" t="n">
        <f aca="true">CRITBINOM(E964,Coefficients!$B$31,RAND())</f>
        <v>0</v>
      </c>
      <c r="G964" s="0" t="n">
        <f aca="true">CRITBINOM(MAX(0,D964-E964),1-Coefficients!$B$32,RAND())</f>
        <v>0</v>
      </c>
      <c r="H964" s="0" t="n">
        <f aca="true">CRITBINOM(MAX(0,$C964-D964),MIN(0.6,Matchup!$B$40*SQRT($B964)/(1-MIN(0.75,Matchup!$B$39*$B964))),RAND())</f>
        <v>0</v>
      </c>
      <c r="I964" s="0" t="n">
        <f aca="false">6*D964+(D964-E964-G964)+2*F964+3*H964</f>
        <v>27</v>
      </c>
      <c r="J964" s="0" t="n">
        <f aca="true">CRITBINOM($C964,MIN(0.75,Matchup!$C$39*$B964),RAND())</f>
        <v>2</v>
      </c>
      <c r="K964" s="0" t="n">
        <f aca="true">CRITBINOM(J964,Coefficients!$B$30,RAND())</f>
        <v>0</v>
      </c>
      <c r="L964" s="0" t="n">
        <f aca="true">CRITBINOM(K964,Coefficients!$B$31,RAND())</f>
        <v>0</v>
      </c>
      <c r="M964" s="0" t="n">
        <f aca="true">CRITBINOM(MAX(0,J964-K964),1-Coefficients!$B$32,RAND())</f>
        <v>0</v>
      </c>
      <c r="N964" s="0" t="n">
        <f aca="true">CRITBINOM(MAX(0,$C964-J964),MIN(0.6,Matchup!$C$40*SQRT($B964)/(1-MIN(0.75,Matchup!$C$39*$B964))),RAND())</f>
        <v>1</v>
      </c>
      <c r="O964" s="0" t="n">
        <f aca="false">6*J964+(J964-K964-M964)+2*L964+3*N964</f>
        <v>17</v>
      </c>
      <c r="P964" s="0" t="n">
        <f aca="true">RAND()</f>
        <v>0.123634344724391</v>
      </c>
      <c r="Q964" s="0" t="n">
        <f aca="true">RAND()</f>
        <v>0.595330432637935</v>
      </c>
      <c r="R964" s="0" t="n">
        <f aca="false">IF($I964&lt;&gt;$O964,0,IF(P964&lt;Matchup!$B$39,7,IF(P964&lt;Matchup!$B$39+Matchup!$B$40,3,0)))</f>
        <v>0</v>
      </c>
      <c r="S964" s="0" t="n">
        <f aca="false">IF($I964&lt;&gt;$O964,0,IF(Q964&lt;Matchup!$C$39,7,IF(Q964&lt;Matchup!$C$39+Matchup!$C$40,3,0)))</f>
        <v>0</v>
      </c>
      <c r="T964" s="0" t="n">
        <f aca="false">I964+R964</f>
        <v>27</v>
      </c>
      <c r="U964" s="0" t="n">
        <f aca="false">O964+S964</f>
        <v>17</v>
      </c>
      <c r="V964" s="0" t="n">
        <f aca="false">T964-U964</f>
        <v>10</v>
      </c>
      <c r="W964" s="0" t="n">
        <f aca="false">T964+U964</f>
        <v>44</v>
      </c>
    </row>
    <row r="965" customFormat="false" ht="15" hidden="false" customHeight="false" outlineLevel="0" collapsed="false">
      <c r="A965" s="0" t="n">
        <v>962</v>
      </c>
      <c r="B965" s="0" t="n">
        <f aca="true">NORMINV(RAND(),1,Coefficients!$B$22)</f>
        <v>1.03458440941486</v>
      </c>
      <c r="C965" s="0" t="n">
        <f aca="true">MEDIAN(8,16,ROUND(NORMINV(RAND(),Coefficients!$B$20,Coefficients!$B$21),0))</f>
        <v>11</v>
      </c>
      <c r="D965" s="0" t="n">
        <f aca="true">CRITBINOM($C965,MIN(0.75,Matchup!$B$39*$B965),RAND())</f>
        <v>2</v>
      </c>
      <c r="E965" s="0" t="n">
        <f aca="true">CRITBINOM(D965,Coefficients!$B$30,RAND())</f>
        <v>0</v>
      </c>
      <c r="F965" s="0" t="n">
        <f aca="true">CRITBINOM(E965,Coefficients!$B$31,RAND())</f>
        <v>0</v>
      </c>
      <c r="G965" s="0" t="n">
        <f aca="true">CRITBINOM(MAX(0,D965-E965),1-Coefficients!$B$32,RAND())</f>
        <v>0</v>
      </c>
      <c r="H965" s="0" t="n">
        <f aca="true">CRITBINOM(MAX(0,$C965-D965),MIN(0.6,Matchup!$B$40*SQRT($B965)/(1-MIN(0.75,Matchup!$B$39*$B965))),RAND())</f>
        <v>0</v>
      </c>
      <c r="I965" s="0" t="n">
        <f aca="false">6*D965+(D965-E965-G965)+2*F965+3*H965</f>
        <v>14</v>
      </c>
      <c r="J965" s="0" t="n">
        <f aca="true">CRITBINOM($C965,MIN(0.75,Matchup!$C$39*$B965),RAND())</f>
        <v>0</v>
      </c>
      <c r="K965" s="0" t="n">
        <f aca="true">CRITBINOM(J965,Coefficients!$B$30,RAND())</f>
        <v>0</v>
      </c>
      <c r="L965" s="0" t="n">
        <f aca="true">CRITBINOM(K965,Coefficients!$B$31,RAND())</f>
        <v>0</v>
      </c>
      <c r="M965" s="0" t="n">
        <f aca="true">CRITBINOM(MAX(0,J965-K965),1-Coefficients!$B$32,RAND())</f>
        <v>0</v>
      </c>
      <c r="N965" s="0" t="n">
        <f aca="true">CRITBINOM(MAX(0,$C965-J965),MIN(0.6,Matchup!$C$40*SQRT($B965)/(1-MIN(0.75,Matchup!$C$39*$B965))),RAND())</f>
        <v>2</v>
      </c>
      <c r="O965" s="0" t="n">
        <f aca="false">6*J965+(J965-K965-M965)+2*L965+3*N965</f>
        <v>6</v>
      </c>
      <c r="P965" s="0" t="n">
        <f aca="true">RAND()</f>
        <v>0.851779871309064</v>
      </c>
      <c r="Q965" s="0" t="n">
        <f aca="true">RAND()</f>
        <v>0.251352842534418</v>
      </c>
      <c r="R965" s="0" t="n">
        <f aca="false">IF($I965&lt;&gt;$O965,0,IF(P965&lt;Matchup!$B$39,7,IF(P965&lt;Matchup!$B$39+Matchup!$B$40,3,0)))</f>
        <v>0</v>
      </c>
      <c r="S965" s="0" t="n">
        <f aca="false">IF($I965&lt;&gt;$O965,0,IF(Q965&lt;Matchup!$C$39,7,IF(Q965&lt;Matchup!$C$39+Matchup!$C$40,3,0)))</f>
        <v>0</v>
      </c>
      <c r="T965" s="0" t="n">
        <f aca="false">I965+R965</f>
        <v>14</v>
      </c>
      <c r="U965" s="0" t="n">
        <f aca="false">O965+S965</f>
        <v>6</v>
      </c>
      <c r="V965" s="0" t="n">
        <f aca="false">T965-U965</f>
        <v>8</v>
      </c>
      <c r="W965" s="0" t="n">
        <f aca="false">T965+U965</f>
        <v>20</v>
      </c>
    </row>
    <row r="966" customFormat="false" ht="15" hidden="false" customHeight="false" outlineLevel="0" collapsed="false">
      <c r="A966" s="0" t="n">
        <v>963</v>
      </c>
      <c r="B966" s="0" t="n">
        <f aca="true">NORMINV(RAND(),1,Coefficients!$B$22)</f>
        <v>1.02636546998306</v>
      </c>
      <c r="C966" s="0" t="n">
        <f aca="true">MEDIAN(8,16,ROUND(NORMINV(RAND(),Coefficients!$B$20,Coefficients!$B$21),0))</f>
        <v>9</v>
      </c>
      <c r="D966" s="0" t="n">
        <f aca="true">CRITBINOM($C966,MIN(0.75,Matchup!$B$39*$B966),RAND())</f>
        <v>5</v>
      </c>
      <c r="E966" s="0" t="n">
        <f aca="true">CRITBINOM(D966,Coefficients!$B$30,RAND())</f>
        <v>0</v>
      </c>
      <c r="F966" s="0" t="n">
        <f aca="true">CRITBINOM(E966,Coefficients!$B$31,RAND())</f>
        <v>0</v>
      </c>
      <c r="G966" s="0" t="n">
        <f aca="true">CRITBINOM(MAX(0,D966-E966),1-Coefficients!$B$32,RAND())</f>
        <v>0</v>
      </c>
      <c r="H966" s="0" t="n">
        <f aca="true">CRITBINOM(MAX(0,$C966-D966),MIN(0.6,Matchup!$B$40*SQRT($B966)/(1-MIN(0.75,Matchup!$B$39*$B966))),RAND())</f>
        <v>1</v>
      </c>
      <c r="I966" s="0" t="n">
        <f aca="false">6*D966+(D966-E966-G966)+2*F966+3*H966</f>
        <v>38</v>
      </c>
      <c r="J966" s="0" t="n">
        <f aca="true">CRITBINOM($C966,MIN(0.75,Matchup!$C$39*$B966),RAND())</f>
        <v>5</v>
      </c>
      <c r="K966" s="0" t="n">
        <f aca="true">CRITBINOM(J966,Coefficients!$B$30,RAND())</f>
        <v>2</v>
      </c>
      <c r="L966" s="0" t="n">
        <f aca="true">CRITBINOM(K966,Coefficients!$B$31,RAND())</f>
        <v>1</v>
      </c>
      <c r="M966" s="0" t="n">
        <f aca="true">CRITBINOM(MAX(0,J966-K966),1-Coefficients!$B$32,RAND())</f>
        <v>0</v>
      </c>
      <c r="N966" s="0" t="n">
        <f aca="true">CRITBINOM(MAX(0,$C966-J966),MIN(0.6,Matchup!$C$40*SQRT($B966)/(1-MIN(0.75,Matchup!$C$39*$B966))),RAND())</f>
        <v>0</v>
      </c>
      <c r="O966" s="0" t="n">
        <f aca="false">6*J966+(J966-K966-M966)+2*L966+3*N966</f>
        <v>35</v>
      </c>
      <c r="P966" s="0" t="n">
        <f aca="true">RAND()</f>
        <v>0.0448973004891865</v>
      </c>
      <c r="Q966" s="0" t="n">
        <f aca="true">RAND()</f>
        <v>0.1574422775329</v>
      </c>
      <c r="R966" s="0" t="n">
        <f aca="false">IF($I966&lt;&gt;$O966,0,IF(P966&lt;Matchup!$B$39,7,IF(P966&lt;Matchup!$B$39+Matchup!$B$40,3,0)))</f>
        <v>0</v>
      </c>
      <c r="S966" s="0" t="n">
        <f aca="false">IF($I966&lt;&gt;$O966,0,IF(Q966&lt;Matchup!$C$39,7,IF(Q966&lt;Matchup!$C$39+Matchup!$C$40,3,0)))</f>
        <v>0</v>
      </c>
      <c r="T966" s="0" t="n">
        <f aca="false">I966+R966</f>
        <v>38</v>
      </c>
      <c r="U966" s="0" t="n">
        <f aca="false">O966+S966</f>
        <v>35</v>
      </c>
      <c r="V966" s="0" t="n">
        <f aca="false">T966-U966</f>
        <v>3</v>
      </c>
      <c r="W966" s="0" t="n">
        <f aca="false">T966+U966</f>
        <v>73</v>
      </c>
    </row>
    <row r="967" customFormat="false" ht="15" hidden="false" customHeight="false" outlineLevel="0" collapsed="false">
      <c r="A967" s="0" t="n">
        <v>964</v>
      </c>
      <c r="B967" s="0" t="n">
        <f aca="true">NORMINV(RAND(),1,Coefficients!$B$22)</f>
        <v>0.955544219054855</v>
      </c>
      <c r="C967" s="0" t="n">
        <f aca="true">MEDIAN(8,16,ROUND(NORMINV(RAND(),Coefficients!$B$20,Coefficients!$B$21),0))</f>
        <v>10</v>
      </c>
      <c r="D967" s="0" t="n">
        <f aca="true">CRITBINOM($C967,MIN(0.75,Matchup!$B$39*$B967),RAND())</f>
        <v>1</v>
      </c>
      <c r="E967" s="0" t="n">
        <f aca="true">CRITBINOM(D967,Coefficients!$B$30,RAND())</f>
        <v>0</v>
      </c>
      <c r="F967" s="0" t="n">
        <f aca="true">CRITBINOM(E967,Coefficients!$B$31,RAND())</f>
        <v>0</v>
      </c>
      <c r="G967" s="0" t="n">
        <f aca="true">CRITBINOM(MAX(0,D967-E967),1-Coefficients!$B$32,RAND())</f>
        <v>0</v>
      </c>
      <c r="H967" s="0" t="n">
        <f aca="true">CRITBINOM(MAX(0,$C967-D967),MIN(0.6,Matchup!$B$40*SQRT($B967)/(1-MIN(0.75,Matchup!$B$39*$B967))),RAND())</f>
        <v>2</v>
      </c>
      <c r="I967" s="0" t="n">
        <f aca="false">6*D967+(D967-E967-G967)+2*F967+3*H967</f>
        <v>13</v>
      </c>
      <c r="J967" s="0" t="n">
        <f aca="true">CRITBINOM($C967,MIN(0.75,Matchup!$C$39*$B967),RAND())</f>
        <v>1</v>
      </c>
      <c r="K967" s="0" t="n">
        <f aca="true">CRITBINOM(J967,Coefficients!$B$30,RAND())</f>
        <v>0</v>
      </c>
      <c r="L967" s="0" t="n">
        <f aca="true">CRITBINOM(K967,Coefficients!$B$31,RAND())</f>
        <v>0</v>
      </c>
      <c r="M967" s="0" t="n">
        <f aca="true">CRITBINOM(MAX(0,J967-K967),1-Coefficients!$B$32,RAND())</f>
        <v>0</v>
      </c>
      <c r="N967" s="0" t="n">
        <f aca="true">CRITBINOM(MAX(0,$C967-J967),MIN(0.6,Matchup!$C$40*SQRT($B967)/(1-MIN(0.75,Matchup!$C$39*$B967))),RAND())</f>
        <v>2</v>
      </c>
      <c r="O967" s="0" t="n">
        <f aca="false">6*J967+(J967-K967-M967)+2*L967+3*N967</f>
        <v>13</v>
      </c>
      <c r="P967" s="0" t="n">
        <f aca="true">RAND()</f>
        <v>0.580017742534555</v>
      </c>
      <c r="Q967" s="0" t="n">
        <f aca="true">RAND()</f>
        <v>0.624389679284135</v>
      </c>
      <c r="R967" s="0" t="n">
        <f aca="false">IF($I967&lt;&gt;$O967,0,IF(P967&lt;Matchup!$B$39,7,IF(P967&lt;Matchup!$B$39+Matchup!$B$40,3,0)))</f>
        <v>0</v>
      </c>
      <c r="S967" s="0" t="n">
        <f aca="false">IF($I967&lt;&gt;$O967,0,IF(Q967&lt;Matchup!$C$39,7,IF(Q967&lt;Matchup!$C$39+Matchup!$C$40,3,0)))</f>
        <v>0</v>
      </c>
      <c r="T967" s="0" t="n">
        <f aca="false">I967+R967</f>
        <v>13</v>
      </c>
      <c r="U967" s="0" t="n">
        <f aca="false">O967+S967</f>
        <v>13</v>
      </c>
      <c r="V967" s="0" t="n">
        <f aca="false">T967-U967</f>
        <v>0</v>
      </c>
      <c r="W967" s="0" t="n">
        <f aca="false">T967+U967</f>
        <v>26</v>
      </c>
    </row>
    <row r="968" customFormat="false" ht="15" hidden="false" customHeight="false" outlineLevel="0" collapsed="false">
      <c r="A968" s="0" t="n">
        <v>965</v>
      </c>
      <c r="B968" s="0" t="n">
        <f aca="true">NORMINV(RAND(),1,Coefficients!$B$22)</f>
        <v>1.0357728907067</v>
      </c>
      <c r="C968" s="0" t="n">
        <f aca="true">MEDIAN(8,16,ROUND(NORMINV(RAND(),Coefficients!$B$20,Coefficients!$B$21),0))</f>
        <v>11</v>
      </c>
      <c r="D968" s="0" t="n">
        <f aca="true">CRITBINOM($C968,MIN(0.75,Matchup!$B$39*$B968),RAND())</f>
        <v>2</v>
      </c>
      <c r="E968" s="0" t="n">
        <f aca="true">CRITBINOM(D968,Coefficients!$B$30,RAND())</f>
        <v>0</v>
      </c>
      <c r="F968" s="0" t="n">
        <f aca="true">CRITBINOM(E968,Coefficients!$B$31,RAND())</f>
        <v>0</v>
      </c>
      <c r="G968" s="0" t="n">
        <f aca="true">CRITBINOM(MAX(0,D968-E968),1-Coefficients!$B$32,RAND())</f>
        <v>0</v>
      </c>
      <c r="H968" s="0" t="n">
        <f aca="true">CRITBINOM(MAX(0,$C968-D968),MIN(0.6,Matchup!$B$40*SQRT($B968)/(1-MIN(0.75,Matchup!$B$39*$B968))),RAND())</f>
        <v>0</v>
      </c>
      <c r="I968" s="0" t="n">
        <f aca="false">6*D968+(D968-E968-G968)+2*F968+3*H968</f>
        <v>14</v>
      </c>
      <c r="J968" s="0" t="n">
        <f aca="true">CRITBINOM($C968,MIN(0.75,Matchup!$C$39*$B968),RAND())</f>
        <v>3</v>
      </c>
      <c r="K968" s="0" t="n">
        <f aca="true">CRITBINOM(J968,Coefficients!$B$30,RAND())</f>
        <v>0</v>
      </c>
      <c r="L968" s="0" t="n">
        <f aca="true">CRITBINOM(K968,Coefficients!$B$31,RAND())</f>
        <v>0</v>
      </c>
      <c r="M968" s="0" t="n">
        <f aca="true">CRITBINOM(MAX(0,J968-K968),1-Coefficients!$B$32,RAND())</f>
        <v>0</v>
      </c>
      <c r="N968" s="0" t="n">
        <f aca="true">CRITBINOM(MAX(0,$C968-J968),MIN(0.6,Matchup!$C$40*SQRT($B968)/(1-MIN(0.75,Matchup!$C$39*$B968))),RAND())</f>
        <v>1</v>
      </c>
      <c r="O968" s="0" t="n">
        <f aca="false">6*J968+(J968-K968-M968)+2*L968+3*N968</f>
        <v>24</v>
      </c>
      <c r="P968" s="0" t="n">
        <f aca="true">RAND()</f>
        <v>0.109282495912888</v>
      </c>
      <c r="Q968" s="0" t="n">
        <f aca="true">RAND()</f>
        <v>0.38100150417398</v>
      </c>
      <c r="R968" s="0" t="n">
        <f aca="false">IF($I968&lt;&gt;$O968,0,IF(P968&lt;Matchup!$B$39,7,IF(P968&lt;Matchup!$B$39+Matchup!$B$40,3,0)))</f>
        <v>0</v>
      </c>
      <c r="S968" s="0" t="n">
        <f aca="false">IF($I968&lt;&gt;$O968,0,IF(Q968&lt;Matchup!$C$39,7,IF(Q968&lt;Matchup!$C$39+Matchup!$C$40,3,0)))</f>
        <v>0</v>
      </c>
      <c r="T968" s="0" t="n">
        <f aca="false">I968+R968</f>
        <v>14</v>
      </c>
      <c r="U968" s="0" t="n">
        <f aca="false">O968+S968</f>
        <v>24</v>
      </c>
      <c r="V968" s="0" t="n">
        <f aca="false">T968-U968</f>
        <v>-10</v>
      </c>
      <c r="W968" s="0" t="n">
        <f aca="false">T968+U968</f>
        <v>38</v>
      </c>
    </row>
    <row r="969" customFormat="false" ht="15" hidden="false" customHeight="false" outlineLevel="0" collapsed="false">
      <c r="A969" s="0" t="n">
        <v>966</v>
      </c>
      <c r="B969" s="0" t="n">
        <f aca="true">NORMINV(RAND(),1,Coefficients!$B$22)</f>
        <v>0.972154807026255</v>
      </c>
      <c r="C969" s="0" t="n">
        <f aca="true">MEDIAN(8,16,ROUND(NORMINV(RAND(),Coefficients!$B$20,Coefficients!$B$21),0))</f>
        <v>13</v>
      </c>
      <c r="D969" s="0" t="n">
        <f aca="true">CRITBINOM($C969,MIN(0.75,Matchup!$B$39*$B969),RAND())</f>
        <v>5</v>
      </c>
      <c r="E969" s="0" t="n">
        <f aca="true">CRITBINOM(D969,Coefficients!$B$30,RAND())</f>
        <v>1</v>
      </c>
      <c r="F969" s="0" t="n">
        <f aca="true">CRITBINOM(E969,Coefficients!$B$31,RAND())</f>
        <v>1</v>
      </c>
      <c r="G969" s="0" t="n">
        <f aca="true">CRITBINOM(MAX(0,D969-E969),1-Coefficients!$B$32,RAND())</f>
        <v>0</v>
      </c>
      <c r="H969" s="0" t="n">
        <f aca="true">CRITBINOM(MAX(0,$C969-D969),MIN(0.6,Matchup!$B$40*SQRT($B969)/(1-MIN(0.75,Matchup!$B$39*$B969))),RAND())</f>
        <v>0</v>
      </c>
      <c r="I969" s="0" t="n">
        <f aca="false">6*D969+(D969-E969-G969)+2*F969+3*H969</f>
        <v>36</v>
      </c>
      <c r="J969" s="0" t="n">
        <f aca="true">CRITBINOM($C969,MIN(0.75,Matchup!$C$39*$B969),RAND())</f>
        <v>3</v>
      </c>
      <c r="K969" s="0" t="n">
        <f aca="true">CRITBINOM(J969,Coefficients!$B$30,RAND())</f>
        <v>0</v>
      </c>
      <c r="L969" s="0" t="n">
        <f aca="true">CRITBINOM(K969,Coefficients!$B$31,RAND())</f>
        <v>0</v>
      </c>
      <c r="M969" s="0" t="n">
        <f aca="true">CRITBINOM(MAX(0,J969-K969),1-Coefficients!$B$32,RAND())</f>
        <v>0</v>
      </c>
      <c r="N969" s="0" t="n">
        <f aca="true">CRITBINOM(MAX(0,$C969-J969),MIN(0.6,Matchup!$C$40*SQRT($B969)/(1-MIN(0.75,Matchup!$C$39*$B969))),RAND())</f>
        <v>2</v>
      </c>
      <c r="O969" s="0" t="n">
        <f aca="false">6*J969+(J969-K969-M969)+2*L969+3*N969</f>
        <v>27</v>
      </c>
      <c r="P969" s="0" t="n">
        <f aca="true">RAND()</f>
        <v>0.0102639834305942</v>
      </c>
      <c r="Q969" s="0" t="n">
        <f aca="true">RAND()</f>
        <v>0.710910233412846</v>
      </c>
      <c r="R969" s="0" t="n">
        <f aca="false">IF($I969&lt;&gt;$O969,0,IF(P969&lt;Matchup!$B$39,7,IF(P969&lt;Matchup!$B$39+Matchup!$B$40,3,0)))</f>
        <v>0</v>
      </c>
      <c r="S969" s="0" t="n">
        <f aca="false">IF($I969&lt;&gt;$O969,0,IF(Q969&lt;Matchup!$C$39,7,IF(Q969&lt;Matchup!$C$39+Matchup!$C$40,3,0)))</f>
        <v>0</v>
      </c>
      <c r="T969" s="0" t="n">
        <f aca="false">I969+R969</f>
        <v>36</v>
      </c>
      <c r="U969" s="0" t="n">
        <f aca="false">O969+S969</f>
        <v>27</v>
      </c>
      <c r="V969" s="0" t="n">
        <f aca="false">T969-U969</f>
        <v>9</v>
      </c>
      <c r="W969" s="0" t="n">
        <f aca="false">T969+U969</f>
        <v>63</v>
      </c>
    </row>
    <row r="970" customFormat="false" ht="15" hidden="false" customHeight="false" outlineLevel="0" collapsed="false">
      <c r="A970" s="0" t="n">
        <v>967</v>
      </c>
      <c r="B970" s="0" t="n">
        <f aca="true">NORMINV(RAND(),1,Coefficients!$B$22)</f>
        <v>1.00650230628821</v>
      </c>
      <c r="C970" s="0" t="n">
        <f aca="true">MEDIAN(8,16,ROUND(NORMINV(RAND(),Coefficients!$B$20,Coefficients!$B$21),0))</f>
        <v>9</v>
      </c>
      <c r="D970" s="0" t="n">
        <f aca="true">CRITBINOM($C970,MIN(0.75,Matchup!$B$39*$B970),RAND())</f>
        <v>1</v>
      </c>
      <c r="E970" s="0" t="n">
        <f aca="true">CRITBINOM(D970,Coefficients!$B$30,RAND())</f>
        <v>0</v>
      </c>
      <c r="F970" s="0" t="n">
        <f aca="true">CRITBINOM(E970,Coefficients!$B$31,RAND())</f>
        <v>0</v>
      </c>
      <c r="G970" s="0" t="n">
        <f aca="true">CRITBINOM(MAX(0,D970-E970),1-Coefficients!$B$32,RAND())</f>
        <v>0</v>
      </c>
      <c r="H970" s="0" t="n">
        <f aca="true">CRITBINOM(MAX(0,$C970-D970),MIN(0.6,Matchup!$B$40*SQRT($B970)/(1-MIN(0.75,Matchup!$B$39*$B970))),RAND())</f>
        <v>1</v>
      </c>
      <c r="I970" s="0" t="n">
        <f aca="false">6*D970+(D970-E970-G970)+2*F970+3*H970</f>
        <v>10</v>
      </c>
      <c r="J970" s="0" t="n">
        <f aca="true">CRITBINOM($C970,MIN(0.75,Matchup!$C$39*$B970),RAND())</f>
        <v>4</v>
      </c>
      <c r="K970" s="0" t="n">
        <f aca="true">CRITBINOM(J970,Coefficients!$B$30,RAND())</f>
        <v>0</v>
      </c>
      <c r="L970" s="0" t="n">
        <f aca="true">CRITBINOM(K970,Coefficients!$B$31,RAND())</f>
        <v>0</v>
      </c>
      <c r="M970" s="0" t="n">
        <f aca="true">CRITBINOM(MAX(0,J970-K970),1-Coefficients!$B$32,RAND())</f>
        <v>0</v>
      </c>
      <c r="N970" s="0" t="n">
        <f aca="true">CRITBINOM(MAX(0,$C970-J970),MIN(0.6,Matchup!$C$40*SQRT($B970)/(1-MIN(0.75,Matchup!$C$39*$B970))),RAND())</f>
        <v>1</v>
      </c>
      <c r="O970" s="0" t="n">
        <f aca="false">6*J970+(J970-K970-M970)+2*L970+3*N970</f>
        <v>31</v>
      </c>
      <c r="P970" s="0" t="n">
        <f aca="true">RAND()</f>
        <v>0.678281834700032</v>
      </c>
      <c r="Q970" s="0" t="n">
        <f aca="true">RAND()</f>
        <v>0.499753823337313</v>
      </c>
      <c r="R970" s="0" t="n">
        <f aca="false">IF($I970&lt;&gt;$O970,0,IF(P970&lt;Matchup!$B$39,7,IF(P970&lt;Matchup!$B$39+Matchup!$B$40,3,0)))</f>
        <v>0</v>
      </c>
      <c r="S970" s="0" t="n">
        <f aca="false">IF($I970&lt;&gt;$O970,0,IF(Q970&lt;Matchup!$C$39,7,IF(Q970&lt;Matchup!$C$39+Matchup!$C$40,3,0)))</f>
        <v>0</v>
      </c>
      <c r="T970" s="0" t="n">
        <f aca="false">I970+R970</f>
        <v>10</v>
      </c>
      <c r="U970" s="0" t="n">
        <f aca="false">O970+S970</f>
        <v>31</v>
      </c>
      <c r="V970" s="0" t="n">
        <f aca="false">T970-U970</f>
        <v>-21</v>
      </c>
      <c r="W970" s="0" t="n">
        <f aca="false">T970+U970</f>
        <v>41</v>
      </c>
    </row>
    <row r="971" customFormat="false" ht="15" hidden="false" customHeight="false" outlineLevel="0" collapsed="false">
      <c r="A971" s="0" t="n">
        <v>968</v>
      </c>
      <c r="B971" s="0" t="n">
        <f aca="true">NORMINV(RAND(),1,Coefficients!$B$22)</f>
        <v>0.921430945510241</v>
      </c>
      <c r="C971" s="0" t="n">
        <f aca="true">MEDIAN(8,16,ROUND(NORMINV(RAND(),Coefficients!$B$20,Coefficients!$B$21),0))</f>
        <v>10</v>
      </c>
      <c r="D971" s="0" t="n">
        <f aca="true">CRITBINOM($C971,MIN(0.75,Matchup!$B$39*$B971),RAND())</f>
        <v>4</v>
      </c>
      <c r="E971" s="0" t="n">
        <f aca="true">CRITBINOM(D971,Coefficients!$B$30,RAND())</f>
        <v>1</v>
      </c>
      <c r="F971" s="0" t="n">
        <f aca="true">CRITBINOM(E971,Coefficients!$B$31,RAND())</f>
        <v>1</v>
      </c>
      <c r="G971" s="0" t="n">
        <f aca="true">CRITBINOM(MAX(0,D971-E971),1-Coefficients!$B$32,RAND())</f>
        <v>0</v>
      </c>
      <c r="H971" s="0" t="n">
        <f aca="true">CRITBINOM(MAX(0,$C971-D971),MIN(0.6,Matchup!$B$40*SQRT($B971)/(1-MIN(0.75,Matchup!$B$39*$B971))),RAND())</f>
        <v>2</v>
      </c>
      <c r="I971" s="0" t="n">
        <f aca="false">6*D971+(D971-E971-G971)+2*F971+3*H971</f>
        <v>35</v>
      </c>
      <c r="J971" s="0" t="n">
        <f aca="true">CRITBINOM($C971,MIN(0.75,Matchup!$C$39*$B971),RAND())</f>
        <v>1</v>
      </c>
      <c r="K971" s="0" t="n">
        <f aca="true">CRITBINOM(J971,Coefficients!$B$30,RAND())</f>
        <v>1</v>
      </c>
      <c r="L971" s="0" t="n">
        <f aca="true">CRITBINOM(K971,Coefficients!$B$31,RAND())</f>
        <v>0</v>
      </c>
      <c r="M971" s="0" t="n">
        <f aca="true">CRITBINOM(MAX(0,J971-K971),1-Coefficients!$B$32,RAND())</f>
        <v>0</v>
      </c>
      <c r="N971" s="0" t="n">
        <f aca="true">CRITBINOM(MAX(0,$C971-J971),MIN(0.6,Matchup!$C$40*SQRT($B971)/(1-MIN(0.75,Matchup!$C$39*$B971))),RAND())</f>
        <v>2</v>
      </c>
      <c r="O971" s="0" t="n">
        <f aca="false">6*J971+(J971-K971-M971)+2*L971+3*N971</f>
        <v>12</v>
      </c>
      <c r="P971" s="0" t="n">
        <f aca="true">RAND()</f>
        <v>0.83610982118905</v>
      </c>
      <c r="Q971" s="0" t="n">
        <f aca="true">RAND()</f>
        <v>0.00545296363613609</v>
      </c>
      <c r="R971" s="0" t="n">
        <f aca="false">IF($I971&lt;&gt;$O971,0,IF(P971&lt;Matchup!$B$39,7,IF(P971&lt;Matchup!$B$39+Matchup!$B$40,3,0)))</f>
        <v>0</v>
      </c>
      <c r="S971" s="0" t="n">
        <f aca="false">IF($I971&lt;&gt;$O971,0,IF(Q971&lt;Matchup!$C$39,7,IF(Q971&lt;Matchup!$C$39+Matchup!$C$40,3,0)))</f>
        <v>0</v>
      </c>
      <c r="T971" s="0" t="n">
        <f aca="false">I971+R971</f>
        <v>35</v>
      </c>
      <c r="U971" s="0" t="n">
        <f aca="false">O971+S971</f>
        <v>12</v>
      </c>
      <c r="V971" s="0" t="n">
        <f aca="false">T971-U971</f>
        <v>23</v>
      </c>
      <c r="W971" s="0" t="n">
        <f aca="false">T971+U971</f>
        <v>47</v>
      </c>
    </row>
    <row r="972" customFormat="false" ht="15" hidden="false" customHeight="false" outlineLevel="0" collapsed="false">
      <c r="A972" s="0" t="n">
        <v>969</v>
      </c>
      <c r="B972" s="0" t="n">
        <f aca="true">NORMINV(RAND(),1,Coefficients!$B$22)</f>
        <v>1.0295345563665</v>
      </c>
      <c r="C972" s="0" t="n">
        <f aca="true">MEDIAN(8,16,ROUND(NORMINV(RAND(),Coefficients!$B$20,Coefficients!$B$21),0))</f>
        <v>10</v>
      </c>
      <c r="D972" s="0" t="n">
        <f aca="true">CRITBINOM($C972,MIN(0.75,Matchup!$B$39*$B972),RAND())</f>
        <v>4</v>
      </c>
      <c r="E972" s="0" t="n">
        <f aca="true">CRITBINOM(D972,Coefficients!$B$30,RAND())</f>
        <v>0</v>
      </c>
      <c r="F972" s="0" t="n">
        <f aca="true">CRITBINOM(E972,Coefficients!$B$31,RAND())</f>
        <v>0</v>
      </c>
      <c r="G972" s="0" t="n">
        <f aca="true">CRITBINOM(MAX(0,D972-E972),1-Coefficients!$B$32,RAND())</f>
        <v>1</v>
      </c>
      <c r="H972" s="0" t="n">
        <f aca="true">CRITBINOM(MAX(0,$C972-D972),MIN(0.6,Matchup!$B$40*SQRT($B972)/(1-MIN(0.75,Matchup!$B$39*$B972))),RAND())</f>
        <v>3</v>
      </c>
      <c r="I972" s="0" t="n">
        <f aca="false">6*D972+(D972-E972-G972)+2*F972+3*H972</f>
        <v>36</v>
      </c>
      <c r="J972" s="0" t="n">
        <f aca="true">CRITBINOM($C972,MIN(0.75,Matchup!$C$39*$B972),RAND())</f>
        <v>4</v>
      </c>
      <c r="K972" s="0" t="n">
        <f aca="true">CRITBINOM(J972,Coefficients!$B$30,RAND())</f>
        <v>0</v>
      </c>
      <c r="L972" s="0" t="n">
        <f aca="true">CRITBINOM(K972,Coefficients!$B$31,RAND())</f>
        <v>0</v>
      </c>
      <c r="M972" s="0" t="n">
        <f aca="true">CRITBINOM(MAX(0,J972-K972),1-Coefficients!$B$32,RAND())</f>
        <v>0</v>
      </c>
      <c r="N972" s="0" t="n">
        <f aca="true">CRITBINOM(MAX(0,$C972-J972),MIN(0.6,Matchup!$C$40*SQRT($B972)/(1-MIN(0.75,Matchup!$C$39*$B972))),RAND())</f>
        <v>0</v>
      </c>
      <c r="O972" s="0" t="n">
        <f aca="false">6*J972+(J972-K972-M972)+2*L972+3*N972</f>
        <v>28</v>
      </c>
      <c r="P972" s="0" t="n">
        <f aca="true">RAND()</f>
        <v>0.603429926854697</v>
      </c>
      <c r="Q972" s="0" t="n">
        <f aca="true">RAND()</f>
        <v>0.310273974176874</v>
      </c>
      <c r="R972" s="0" t="n">
        <f aca="false">IF($I972&lt;&gt;$O972,0,IF(P972&lt;Matchup!$B$39,7,IF(P972&lt;Matchup!$B$39+Matchup!$B$40,3,0)))</f>
        <v>0</v>
      </c>
      <c r="S972" s="0" t="n">
        <f aca="false">IF($I972&lt;&gt;$O972,0,IF(Q972&lt;Matchup!$C$39,7,IF(Q972&lt;Matchup!$C$39+Matchup!$C$40,3,0)))</f>
        <v>0</v>
      </c>
      <c r="T972" s="0" t="n">
        <f aca="false">I972+R972</f>
        <v>36</v>
      </c>
      <c r="U972" s="0" t="n">
        <f aca="false">O972+S972</f>
        <v>28</v>
      </c>
      <c r="V972" s="0" t="n">
        <f aca="false">T972-U972</f>
        <v>8</v>
      </c>
      <c r="W972" s="0" t="n">
        <f aca="false">T972+U972</f>
        <v>64</v>
      </c>
    </row>
    <row r="973" customFormat="false" ht="15" hidden="false" customHeight="false" outlineLevel="0" collapsed="false">
      <c r="A973" s="0" t="n">
        <v>970</v>
      </c>
      <c r="B973" s="0" t="n">
        <f aca="true">NORMINV(RAND(),1,Coefficients!$B$22)</f>
        <v>0.942662629151289</v>
      </c>
      <c r="C973" s="0" t="n">
        <f aca="true">MEDIAN(8,16,ROUND(NORMINV(RAND(),Coefficients!$B$20,Coefficients!$B$21),0))</f>
        <v>12</v>
      </c>
      <c r="D973" s="0" t="n">
        <f aca="true">CRITBINOM($C973,MIN(0.75,Matchup!$B$39*$B973),RAND())</f>
        <v>2</v>
      </c>
      <c r="E973" s="0" t="n">
        <f aca="true">CRITBINOM(D973,Coefficients!$B$30,RAND())</f>
        <v>0</v>
      </c>
      <c r="F973" s="0" t="n">
        <f aca="true">CRITBINOM(E973,Coefficients!$B$31,RAND())</f>
        <v>0</v>
      </c>
      <c r="G973" s="0" t="n">
        <f aca="true">CRITBINOM(MAX(0,D973-E973),1-Coefficients!$B$32,RAND())</f>
        <v>0</v>
      </c>
      <c r="H973" s="0" t="n">
        <f aca="true">CRITBINOM(MAX(0,$C973-D973),MIN(0.6,Matchup!$B$40*SQRT($B973)/(1-MIN(0.75,Matchup!$B$39*$B973))),RAND())</f>
        <v>0</v>
      </c>
      <c r="I973" s="0" t="n">
        <f aca="false">6*D973+(D973-E973-G973)+2*F973+3*H973</f>
        <v>14</v>
      </c>
      <c r="J973" s="0" t="n">
        <f aca="true">CRITBINOM($C973,MIN(0.75,Matchup!$C$39*$B973),RAND())</f>
        <v>4</v>
      </c>
      <c r="K973" s="0" t="n">
        <f aca="true">CRITBINOM(J973,Coefficients!$B$30,RAND())</f>
        <v>1</v>
      </c>
      <c r="L973" s="0" t="n">
        <f aca="true">CRITBINOM(K973,Coefficients!$B$31,RAND())</f>
        <v>1</v>
      </c>
      <c r="M973" s="0" t="n">
        <f aca="true">CRITBINOM(MAX(0,J973-K973),1-Coefficients!$B$32,RAND())</f>
        <v>0</v>
      </c>
      <c r="N973" s="0" t="n">
        <f aca="true">CRITBINOM(MAX(0,$C973-J973),MIN(0.6,Matchup!$C$40*SQRT($B973)/(1-MIN(0.75,Matchup!$C$39*$B973))),RAND())</f>
        <v>3</v>
      </c>
      <c r="O973" s="0" t="n">
        <f aca="false">6*J973+(J973-K973-M973)+2*L973+3*N973</f>
        <v>38</v>
      </c>
      <c r="P973" s="0" t="n">
        <f aca="true">RAND()</f>
        <v>0.889512080795057</v>
      </c>
      <c r="Q973" s="0" t="n">
        <f aca="true">RAND()</f>
        <v>0.294459210410113</v>
      </c>
      <c r="R973" s="0" t="n">
        <f aca="false">IF($I973&lt;&gt;$O973,0,IF(P973&lt;Matchup!$B$39,7,IF(P973&lt;Matchup!$B$39+Matchup!$B$40,3,0)))</f>
        <v>0</v>
      </c>
      <c r="S973" s="0" t="n">
        <f aca="false">IF($I973&lt;&gt;$O973,0,IF(Q973&lt;Matchup!$C$39,7,IF(Q973&lt;Matchup!$C$39+Matchup!$C$40,3,0)))</f>
        <v>0</v>
      </c>
      <c r="T973" s="0" t="n">
        <f aca="false">I973+R973</f>
        <v>14</v>
      </c>
      <c r="U973" s="0" t="n">
        <f aca="false">O973+S973</f>
        <v>38</v>
      </c>
      <c r="V973" s="0" t="n">
        <f aca="false">T973-U973</f>
        <v>-24</v>
      </c>
      <c r="W973" s="0" t="n">
        <f aca="false">T973+U973</f>
        <v>52</v>
      </c>
    </row>
    <row r="974" customFormat="false" ht="15" hidden="false" customHeight="false" outlineLevel="0" collapsed="false">
      <c r="A974" s="0" t="n">
        <v>971</v>
      </c>
      <c r="B974" s="0" t="n">
        <f aca="true">NORMINV(RAND(),1,Coefficients!$B$22)</f>
        <v>0.939394045516468</v>
      </c>
      <c r="C974" s="0" t="n">
        <f aca="true">MEDIAN(8,16,ROUND(NORMINV(RAND(),Coefficients!$B$20,Coefficients!$B$21),0))</f>
        <v>11</v>
      </c>
      <c r="D974" s="0" t="n">
        <f aca="true">CRITBINOM($C974,MIN(0.75,Matchup!$B$39*$B974),RAND())</f>
        <v>2</v>
      </c>
      <c r="E974" s="0" t="n">
        <f aca="true">CRITBINOM(D974,Coefficients!$B$30,RAND())</f>
        <v>0</v>
      </c>
      <c r="F974" s="0" t="n">
        <f aca="true">CRITBINOM(E974,Coefficients!$B$31,RAND())</f>
        <v>0</v>
      </c>
      <c r="G974" s="0" t="n">
        <f aca="true">CRITBINOM(MAX(0,D974-E974),1-Coefficients!$B$32,RAND())</f>
        <v>0</v>
      </c>
      <c r="H974" s="0" t="n">
        <f aca="true">CRITBINOM(MAX(0,$C974-D974),MIN(0.6,Matchup!$B$40*SQRT($B974)/(1-MIN(0.75,Matchup!$B$39*$B974))),RAND())</f>
        <v>0</v>
      </c>
      <c r="I974" s="0" t="n">
        <f aca="false">6*D974+(D974-E974-G974)+2*F974+3*H974</f>
        <v>14</v>
      </c>
      <c r="J974" s="0" t="n">
        <f aca="true">CRITBINOM($C974,MIN(0.75,Matchup!$C$39*$B974),RAND())</f>
        <v>3</v>
      </c>
      <c r="K974" s="0" t="n">
        <f aca="true">CRITBINOM(J974,Coefficients!$B$30,RAND())</f>
        <v>0</v>
      </c>
      <c r="L974" s="0" t="n">
        <f aca="true">CRITBINOM(K974,Coefficients!$B$31,RAND())</f>
        <v>0</v>
      </c>
      <c r="M974" s="0" t="n">
        <f aca="true">CRITBINOM(MAX(0,J974-K974),1-Coefficients!$B$32,RAND())</f>
        <v>0</v>
      </c>
      <c r="N974" s="0" t="n">
        <f aca="true">CRITBINOM(MAX(0,$C974-J974),MIN(0.6,Matchup!$C$40*SQRT($B974)/(1-MIN(0.75,Matchup!$C$39*$B974))),RAND())</f>
        <v>2</v>
      </c>
      <c r="O974" s="0" t="n">
        <f aca="false">6*J974+(J974-K974-M974)+2*L974+3*N974</f>
        <v>27</v>
      </c>
      <c r="P974" s="0" t="n">
        <f aca="true">RAND()</f>
        <v>0.721112335562022</v>
      </c>
      <c r="Q974" s="0" t="n">
        <f aca="true">RAND()</f>
        <v>0.381052887700677</v>
      </c>
      <c r="R974" s="0" t="n">
        <f aca="false">IF($I974&lt;&gt;$O974,0,IF(P974&lt;Matchup!$B$39,7,IF(P974&lt;Matchup!$B$39+Matchup!$B$40,3,0)))</f>
        <v>0</v>
      </c>
      <c r="S974" s="0" t="n">
        <f aca="false">IF($I974&lt;&gt;$O974,0,IF(Q974&lt;Matchup!$C$39,7,IF(Q974&lt;Matchup!$C$39+Matchup!$C$40,3,0)))</f>
        <v>0</v>
      </c>
      <c r="T974" s="0" t="n">
        <f aca="false">I974+R974</f>
        <v>14</v>
      </c>
      <c r="U974" s="0" t="n">
        <f aca="false">O974+S974</f>
        <v>27</v>
      </c>
      <c r="V974" s="0" t="n">
        <f aca="false">T974-U974</f>
        <v>-13</v>
      </c>
      <c r="W974" s="0" t="n">
        <f aca="false">T974+U974</f>
        <v>41</v>
      </c>
    </row>
    <row r="975" customFormat="false" ht="15" hidden="false" customHeight="false" outlineLevel="0" collapsed="false">
      <c r="A975" s="0" t="n">
        <v>972</v>
      </c>
      <c r="B975" s="0" t="n">
        <f aca="true">NORMINV(RAND(),1,Coefficients!$B$22)</f>
        <v>0.96825922191136</v>
      </c>
      <c r="C975" s="0" t="n">
        <f aca="true">MEDIAN(8,16,ROUND(NORMINV(RAND(),Coefficients!$B$20,Coefficients!$B$21),0))</f>
        <v>12</v>
      </c>
      <c r="D975" s="0" t="n">
        <f aca="true">CRITBINOM($C975,MIN(0.75,Matchup!$B$39*$B975),RAND())</f>
        <v>0</v>
      </c>
      <c r="E975" s="0" t="n">
        <f aca="true">CRITBINOM(D975,Coefficients!$B$30,RAND())</f>
        <v>0</v>
      </c>
      <c r="F975" s="0" t="n">
        <f aca="true">CRITBINOM(E975,Coefficients!$B$31,RAND())</f>
        <v>0</v>
      </c>
      <c r="G975" s="0" t="n">
        <f aca="true">CRITBINOM(MAX(0,D975-E975),1-Coefficients!$B$32,RAND())</f>
        <v>0</v>
      </c>
      <c r="H975" s="0" t="n">
        <f aca="true">CRITBINOM(MAX(0,$C975-D975),MIN(0.6,Matchup!$B$40*SQRT($B975)/(1-MIN(0.75,Matchup!$B$39*$B975))),RAND())</f>
        <v>4</v>
      </c>
      <c r="I975" s="0" t="n">
        <f aca="false">6*D975+(D975-E975-G975)+2*F975+3*H975</f>
        <v>12</v>
      </c>
      <c r="J975" s="0" t="n">
        <f aca="true">CRITBINOM($C975,MIN(0.75,Matchup!$C$39*$B975),RAND())</f>
        <v>4</v>
      </c>
      <c r="K975" s="0" t="n">
        <f aca="true">CRITBINOM(J975,Coefficients!$B$30,RAND())</f>
        <v>1</v>
      </c>
      <c r="L975" s="0" t="n">
        <f aca="true">CRITBINOM(K975,Coefficients!$B$31,RAND())</f>
        <v>1</v>
      </c>
      <c r="M975" s="0" t="n">
        <f aca="true">CRITBINOM(MAX(0,J975-K975),1-Coefficients!$B$32,RAND())</f>
        <v>0</v>
      </c>
      <c r="N975" s="0" t="n">
        <f aca="true">CRITBINOM(MAX(0,$C975-J975),MIN(0.6,Matchup!$C$40*SQRT($B975)/(1-MIN(0.75,Matchup!$C$39*$B975))),RAND())</f>
        <v>2</v>
      </c>
      <c r="O975" s="0" t="n">
        <f aca="false">6*J975+(J975-K975-M975)+2*L975+3*N975</f>
        <v>35</v>
      </c>
      <c r="P975" s="0" t="n">
        <f aca="true">RAND()</f>
        <v>0.337067791848753</v>
      </c>
      <c r="Q975" s="0" t="n">
        <f aca="true">RAND()</f>
        <v>0.864462645740691</v>
      </c>
      <c r="R975" s="0" t="n">
        <f aca="false">IF($I975&lt;&gt;$O975,0,IF(P975&lt;Matchup!$B$39,7,IF(P975&lt;Matchup!$B$39+Matchup!$B$40,3,0)))</f>
        <v>0</v>
      </c>
      <c r="S975" s="0" t="n">
        <f aca="false">IF($I975&lt;&gt;$O975,0,IF(Q975&lt;Matchup!$C$39,7,IF(Q975&lt;Matchup!$C$39+Matchup!$C$40,3,0)))</f>
        <v>0</v>
      </c>
      <c r="T975" s="0" t="n">
        <f aca="false">I975+R975</f>
        <v>12</v>
      </c>
      <c r="U975" s="0" t="n">
        <f aca="false">O975+S975</f>
        <v>35</v>
      </c>
      <c r="V975" s="0" t="n">
        <f aca="false">T975-U975</f>
        <v>-23</v>
      </c>
      <c r="W975" s="0" t="n">
        <f aca="false">T975+U975</f>
        <v>47</v>
      </c>
    </row>
    <row r="976" customFormat="false" ht="15" hidden="false" customHeight="false" outlineLevel="0" collapsed="false">
      <c r="A976" s="0" t="n">
        <v>973</v>
      </c>
      <c r="B976" s="0" t="n">
        <f aca="true">NORMINV(RAND(),1,Coefficients!$B$22)</f>
        <v>0.924930162061329</v>
      </c>
      <c r="C976" s="0" t="n">
        <f aca="true">MEDIAN(8,16,ROUND(NORMINV(RAND(),Coefficients!$B$20,Coefficients!$B$21),0))</f>
        <v>11</v>
      </c>
      <c r="D976" s="0" t="n">
        <f aca="true">CRITBINOM($C976,MIN(0.75,Matchup!$B$39*$B976),RAND())</f>
        <v>2</v>
      </c>
      <c r="E976" s="0" t="n">
        <f aca="true">CRITBINOM(D976,Coefficients!$B$30,RAND())</f>
        <v>0</v>
      </c>
      <c r="F976" s="0" t="n">
        <f aca="true">CRITBINOM(E976,Coefficients!$B$31,RAND())</f>
        <v>0</v>
      </c>
      <c r="G976" s="0" t="n">
        <f aca="true">CRITBINOM(MAX(0,D976-E976),1-Coefficients!$B$32,RAND())</f>
        <v>0</v>
      </c>
      <c r="H976" s="0" t="n">
        <f aca="true">CRITBINOM(MAX(0,$C976-D976),MIN(0.6,Matchup!$B$40*SQRT($B976)/(1-MIN(0.75,Matchup!$B$39*$B976))),RAND())</f>
        <v>1</v>
      </c>
      <c r="I976" s="0" t="n">
        <f aca="false">6*D976+(D976-E976-G976)+2*F976+3*H976</f>
        <v>17</v>
      </c>
      <c r="J976" s="0" t="n">
        <f aca="true">CRITBINOM($C976,MIN(0.75,Matchup!$C$39*$B976),RAND())</f>
        <v>1</v>
      </c>
      <c r="K976" s="0" t="n">
        <f aca="true">CRITBINOM(J976,Coefficients!$B$30,RAND())</f>
        <v>0</v>
      </c>
      <c r="L976" s="0" t="n">
        <f aca="true">CRITBINOM(K976,Coefficients!$B$31,RAND())</f>
        <v>0</v>
      </c>
      <c r="M976" s="0" t="n">
        <f aca="true">CRITBINOM(MAX(0,J976-K976),1-Coefficients!$B$32,RAND())</f>
        <v>0</v>
      </c>
      <c r="N976" s="0" t="n">
        <f aca="true">CRITBINOM(MAX(0,$C976-J976),MIN(0.6,Matchup!$C$40*SQRT($B976)/(1-MIN(0.75,Matchup!$C$39*$B976))),RAND())</f>
        <v>3</v>
      </c>
      <c r="O976" s="0" t="n">
        <f aca="false">6*J976+(J976-K976-M976)+2*L976+3*N976</f>
        <v>16</v>
      </c>
      <c r="P976" s="0" t="n">
        <f aca="true">RAND()</f>
        <v>0.507103797941461</v>
      </c>
      <c r="Q976" s="0" t="n">
        <f aca="true">RAND()</f>
        <v>0.549073030359001</v>
      </c>
      <c r="R976" s="0" t="n">
        <f aca="false">IF($I976&lt;&gt;$O976,0,IF(P976&lt;Matchup!$B$39,7,IF(P976&lt;Matchup!$B$39+Matchup!$B$40,3,0)))</f>
        <v>0</v>
      </c>
      <c r="S976" s="0" t="n">
        <f aca="false">IF($I976&lt;&gt;$O976,0,IF(Q976&lt;Matchup!$C$39,7,IF(Q976&lt;Matchup!$C$39+Matchup!$C$40,3,0)))</f>
        <v>0</v>
      </c>
      <c r="T976" s="0" t="n">
        <f aca="false">I976+R976</f>
        <v>17</v>
      </c>
      <c r="U976" s="0" t="n">
        <f aca="false">O976+S976</f>
        <v>16</v>
      </c>
      <c r="V976" s="0" t="n">
        <f aca="false">T976-U976</f>
        <v>1</v>
      </c>
      <c r="W976" s="0" t="n">
        <f aca="false">T976+U976</f>
        <v>33</v>
      </c>
    </row>
    <row r="977" customFormat="false" ht="15" hidden="false" customHeight="false" outlineLevel="0" collapsed="false">
      <c r="A977" s="0" t="n">
        <v>974</v>
      </c>
      <c r="B977" s="0" t="n">
        <f aca="true">NORMINV(RAND(),1,Coefficients!$B$22)</f>
        <v>1.02232898467103</v>
      </c>
      <c r="C977" s="0" t="n">
        <f aca="true">MEDIAN(8,16,ROUND(NORMINV(RAND(),Coefficients!$B$20,Coefficients!$B$21),0))</f>
        <v>11</v>
      </c>
      <c r="D977" s="0" t="n">
        <f aca="true">CRITBINOM($C977,MIN(0.75,Matchup!$B$39*$B977),RAND())</f>
        <v>2</v>
      </c>
      <c r="E977" s="0" t="n">
        <f aca="true">CRITBINOM(D977,Coefficients!$B$30,RAND())</f>
        <v>0</v>
      </c>
      <c r="F977" s="0" t="n">
        <f aca="true">CRITBINOM(E977,Coefficients!$B$31,RAND())</f>
        <v>0</v>
      </c>
      <c r="G977" s="0" t="n">
        <f aca="true">CRITBINOM(MAX(0,D977-E977),1-Coefficients!$B$32,RAND())</f>
        <v>0</v>
      </c>
      <c r="H977" s="0" t="n">
        <f aca="true">CRITBINOM(MAX(0,$C977-D977),MIN(0.6,Matchup!$B$40*SQRT($B977)/(1-MIN(0.75,Matchup!$B$39*$B977))),RAND())</f>
        <v>1</v>
      </c>
      <c r="I977" s="0" t="n">
        <f aca="false">6*D977+(D977-E977-G977)+2*F977+3*H977</f>
        <v>17</v>
      </c>
      <c r="J977" s="0" t="n">
        <f aca="true">CRITBINOM($C977,MIN(0.75,Matchup!$C$39*$B977),RAND())</f>
        <v>1</v>
      </c>
      <c r="K977" s="0" t="n">
        <f aca="true">CRITBINOM(J977,Coefficients!$B$30,RAND())</f>
        <v>0</v>
      </c>
      <c r="L977" s="0" t="n">
        <f aca="true">CRITBINOM(K977,Coefficients!$B$31,RAND())</f>
        <v>0</v>
      </c>
      <c r="M977" s="0" t="n">
        <f aca="true">CRITBINOM(MAX(0,J977-K977),1-Coefficients!$B$32,RAND())</f>
        <v>0</v>
      </c>
      <c r="N977" s="0" t="n">
        <f aca="true">CRITBINOM(MAX(0,$C977-J977),MIN(0.6,Matchup!$C$40*SQRT($B977)/(1-MIN(0.75,Matchup!$C$39*$B977))),RAND())</f>
        <v>5</v>
      </c>
      <c r="O977" s="0" t="n">
        <f aca="false">6*J977+(J977-K977-M977)+2*L977+3*N977</f>
        <v>22</v>
      </c>
      <c r="P977" s="0" t="n">
        <f aca="true">RAND()</f>
        <v>0.380722247691906</v>
      </c>
      <c r="Q977" s="0" t="n">
        <f aca="true">RAND()</f>
        <v>0.0881471613729395</v>
      </c>
      <c r="R977" s="0" t="n">
        <f aca="false">IF($I977&lt;&gt;$O977,0,IF(P977&lt;Matchup!$B$39,7,IF(P977&lt;Matchup!$B$39+Matchup!$B$40,3,0)))</f>
        <v>0</v>
      </c>
      <c r="S977" s="0" t="n">
        <f aca="false">IF($I977&lt;&gt;$O977,0,IF(Q977&lt;Matchup!$C$39,7,IF(Q977&lt;Matchup!$C$39+Matchup!$C$40,3,0)))</f>
        <v>0</v>
      </c>
      <c r="T977" s="0" t="n">
        <f aca="false">I977+R977</f>
        <v>17</v>
      </c>
      <c r="U977" s="0" t="n">
        <f aca="false">O977+S977</f>
        <v>22</v>
      </c>
      <c r="V977" s="0" t="n">
        <f aca="false">T977-U977</f>
        <v>-5</v>
      </c>
      <c r="W977" s="0" t="n">
        <f aca="false">T977+U977</f>
        <v>39</v>
      </c>
    </row>
    <row r="978" customFormat="false" ht="15" hidden="false" customHeight="false" outlineLevel="0" collapsed="false">
      <c r="A978" s="0" t="n">
        <v>975</v>
      </c>
      <c r="B978" s="0" t="n">
        <f aca="true">NORMINV(RAND(),1,Coefficients!$B$22)</f>
        <v>1.09146690003295</v>
      </c>
      <c r="C978" s="0" t="n">
        <f aca="true">MEDIAN(8,16,ROUND(NORMINV(RAND(),Coefficients!$B$20,Coefficients!$B$21),0))</f>
        <v>11</v>
      </c>
      <c r="D978" s="0" t="n">
        <f aca="true">CRITBINOM($C978,MIN(0.75,Matchup!$B$39*$B978),RAND())</f>
        <v>2</v>
      </c>
      <c r="E978" s="0" t="n">
        <f aca="true">CRITBINOM(D978,Coefficients!$B$30,RAND())</f>
        <v>0</v>
      </c>
      <c r="F978" s="0" t="n">
        <f aca="true">CRITBINOM(E978,Coefficients!$B$31,RAND())</f>
        <v>0</v>
      </c>
      <c r="G978" s="0" t="n">
        <f aca="true">CRITBINOM(MAX(0,D978-E978),1-Coefficients!$B$32,RAND())</f>
        <v>0</v>
      </c>
      <c r="H978" s="0" t="n">
        <f aca="true">CRITBINOM(MAX(0,$C978-D978),MIN(0.6,Matchup!$B$40*SQRT($B978)/(1-MIN(0.75,Matchup!$B$39*$B978))),RAND())</f>
        <v>2</v>
      </c>
      <c r="I978" s="0" t="n">
        <f aca="false">6*D978+(D978-E978-G978)+2*F978+3*H978</f>
        <v>20</v>
      </c>
      <c r="J978" s="0" t="n">
        <f aca="true">CRITBINOM($C978,MIN(0.75,Matchup!$C$39*$B978),RAND())</f>
        <v>2</v>
      </c>
      <c r="K978" s="0" t="n">
        <f aca="true">CRITBINOM(J978,Coefficients!$B$30,RAND())</f>
        <v>0</v>
      </c>
      <c r="L978" s="0" t="n">
        <f aca="true">CRITBINOM(K978,Coefficients!$B$31,RAND())</f>
        <v>0</v>
      </c>
      <c r="M978" s="0" t="n">
        <f aca="true">CRITBINOM(MAX(0,J978-K978),1-Coefficients!$B$32,RAND())</f>
        <v>0</v>
      </c>
      <c r="N978" s="0" t="n">
        <f aca="true">CRITBINOM(MAX(0,$C978-J978),MIN(0.6,Matchup!$C$40*SQRT($B978)/(1-MIN(0.75,Matchup!$C$39*$B978))),RAND())</f>
        <v>0</v>
      </c>
      <c r="O978" s="0" t="n">
        <f aca="false">6*J978+(J978-K978-M978)+2*L978+3*N978</f>
        <v>14</v>
      </c>
      <c r="P978" s="0" t="n">
        <f aca="true">RAND()</f>
        <v>0.426669819777939</v>
      </c>
      <c r="Q978" s="0" t="n">
        <f aca="true">RAND()</f>
        <v>0.269099572619849</v>
      </c>
      <c r="R978" s="0" t="n">
        <f aca="false">IF($I978&lt;&gt;$O978,0,IF(P978&lt;Matchup!$B$39,7,IF(P978&lt;Matchup!$B$39+Matchup!$B$40,3,0)))</f>
        <v>0</v>
      </c>
      <c r="S978" s="0" t="n">
        <f aca="false">IF($I978&lt;&gt;$O978,0,IF(Q978&lt;Matchup!$C$39,7,IF(Q978&lt;Matchup!$C$39+Matchup!$C$40,3,0)))</f>
        <v>0</v>
      </c>
      <c r="T978" s="0" t="n">
        <f aca="false">I978+R978</f>
        <v>20</v>
      </c>
      <c r="U978" s="0" t="n">
        <f aca="false">O978+S978</f>
        <v>14</v>
      </c>
      <c r="V978" s="0" t="n">
        <f aca="false">T978-U978</f>
        <v>6</v>
      </c>
      <c r="W978" s="0" t="n">
        <f aca="false">T978+U978</f>
        <v>34</v>
      </c>
    </row>
    <row r="979" customFormat="false" ht="15" hidden="false" customHeight="false" outlineLevel="0" collapsed="false">
      <c r="A979" s="0" t="n">
        <v>976</v>
      </c>
      <c r="B979" s="0" t="n">
        <f aca="true">NORMINV(RAND(),1,Coefficients!$B$22)</f>
        <v>0.957991318426545</v>
      </c>
      <c r="C979" s="0" t="n">
        <f aca="true">MEDIAN(8,16,ROUND(NORMINV(RAND(),Coefficients!$B$20,Coefficients!$B$21),0))</f>
        <v>11</v>
      </c>
      <c r="D979" s="0" t="n">
        <f aca="true">CRITBINOM($C979,MIN(0.75,Matchup!$B$39*$B979),RAND())</f>
        <v>3</v>
      </c>
      <c r="E979" s="0" t="n">
        <f aca="true">CRITBINOM(D979,Coefficients!$B$30,RAND())</f>
        <v>0</v>
      </c>
      <c r="F979" s="0" t="n">
        <f aca="true">CRITBINOM(E979,Coefficients!$B$31,RAND())</f>
        <v>0</v>
      </c>
      <c r="G979" s="0" t="n">
        <f aca="true">CRITBINOM(MAX(0,D979-E979),1-Coefficients!$B$32,RAND())</f>
        <v>0</v>
      </c>
      <c r="H979" s="0" t="n">
        <f aca="true">CRITBINOM(MAX(0,$C979-D979),MIN(0.6,Matchup!$B$40*SQRT($B979)/(1-MIN(0.75,Matchup!$B$39*$B979))),RAND())</f>
        <v>2</v>
      </c>
      <c r="I979" s="0" t="n">
        <f aca="false">6*D979+(D979-E979-G979)+2*F979+3*H979</f>
        <v>27</v>
      </c>
      <c r="J979" s="0" t="n">
        <f aca="true">CRITBINOM($C979,MIN(0.75,Matchup!$C$39*$B979),RAND())</f>
        <v>3</v>
      </c>
      <c r="K979" s="0" t="n">
        <f aca="true">CRITBINOM(J979,Coefficients!$B$30,RAND())</f>
        <v>1</v>
      </c>
      <c r="L979" s="0" t="n">
        <f aca="true">CRITBINOM(K979,Coefficients!$B$31,RAND())</f>
        <v>0</v>
      </c>
      <c r="M979" s="0" t="n">
        <f aca="true">CRITBINOM(MAX(0,J979-K979),1-Coefficients!$B$32,RAND())</f>
        <v>0</v>
      </c>
      <c r="N979" s="0" t="n">
        <f aca="true">CRITBINOM(MAX(0,$C979-J979),MIN(0.6,Matchup!$C$40*SQRT($B979)/(1-MIN(0.75,Matchup!$C$39*$B979))),RAND())</f>
        <v>2</v>
      </c>
      <c r="O979" s="0" t="n">
        <f aca="false">6*J979+(J979-K979-M979)+2*L979+3*N979</f>
        <v>26</v>
      </c>
      <c r="P979" s="0" t="n">
        <f aca="true">RAND()</f>
        <v>0.140546758753877</v>
      </c>
      <c r="Q979" s="0" t="n">
        <f aca="true">RAND()</f>
        <v>0.766919894662614</v>
      </c>
      <c r="R979" s="0" t="n">
        <f aca="false">IF($I979&lt;&gt;$O979,0,IF(P979&lt;Matchup!$B$39,7,IF(P979&lt;Matchup!$B$39+Matchup!$B$40,3,0)))</f>
        <v>0</v>
      </c>
      <c r="S979" s="0" t="n">
        <f aca="false">IF($I979&lt;&gt;$O979,0,IF(Q979&lt;Matchup!$C$39,7,IF(Q979&lt;Matchup!$C$39+Matchup!$C$40,3,0)))</f>
        <v>0</v>
      </c>
      <c r="T979" s="0" t="n">
        <f aca="false">I979+R979</f>
        <v>27</v>
      </c>
      <c r="U979" s="0" t="n">
        <f aca="false">O979+S979</f>
        <v>26</v>
      </c>
      <c r="V979" s="0" t="n">
        <f aca="false">T979-U979</f>
        <v>1</v>
      </c>
      <c r="W979" s="0" t="n">
        <f aca="false">T979+U979</f>
        <v>53</v>
      </c>
    </row>
    <row r="980" customFormat="false" ht="15" hidden="false" customHeight="false" outlineLevel="0" collapsed="false">
      <c r="A980" s="0" t="n">
        <v>977</v>
      </c>
      <c r="B980" s="0" t="n">
        <f aca="true">NORMINV(RAND(),1,Coefficients!$B$22)</f>
        <v>0.986778484790352</v>
      </c>
      <c r="C980" s="0" t="n">
        <f aca="true">MEDIAN(8,16,ROUND(NORMINV(RAND(),Coefficients!$B$20,Coefficients!$B$21),0))</f>
        <v>10</v>
      </c>
      <c r="D980" s="0" t="n">
        <f aca="true">CRITBINOM($C980,MIN(0.75,Matchup!$B$39*$B980),RAND())</f>
        <v>1</v>
      </c>
      <c r="E980" s="0" t="n">
        <f aca="true">CRITBINOM(D980,Coefficients!$B$30,RAND())</f>
        <v>0</v>
      </c>
      <c r="F980" s="0" t="n">
        <f aca="true">CRITBINOM(E980,Coefficients!$B$31,RAND())</f>
        <v>0</v>
      </c>
      <c r="G980" s="0" t="n">
        <f aca="true">CRITBINOM(MAX(0,D980-E980),1-Coefficients!$B$32,RAND())</f>
        <v>0</v>
      </c>
      <c r="H980" s="0" t="n">
        <f aca="true">CRITBINOM(MAX(0,$C980-D980),MIN(0.6,Matchup!$B$40*SQRT($B980)/(1-MIN(0.75,Matchup!$B$39*$B980))),RAND())</f>
        <v>2</v>
      </c>
      <c r="I980" s="0" t="n">
        <f aca="false">6*D980+(D980-E980-G980)+2*F980+3*H980</f>
        <v>13</v>
      </c>
      <c r="J980" s="0" t="n">
        <f aca="true">CRITBINOM($C980,MIN(0.75,Matchup!$C$39*$B980),RAND())</f>
        <v>2</v>
      </c>
      <c r="K980" s="0" t="n">
        <f aca="true">CRITBINOM(J980,Coefficients!$B$30,RAND())</f>
        <v>0</v>
      </c>
      <c r="L980" s="0" t="n">
        <f aca="true">CRITBINOM(K980,Coefficients!$B$31,RAND())</f>
        <v>0</v>
      </c>
      <c r="M980" s="0" t="n">
        <f aca="true">CRITBINOM(MAX(0,J980-K980),1-Coefficients!$B$32,RAND())</f>
        <v>0</v>
      </c>
      <c r="N980" s="0" t="n">
        <f aca="true">CRITBINOM(MAX(0,$C980-J980),MIN(0.6,Matchup!$C$40*SQRT($B980)/(1-MIN(0.75,Matchup!$C$39*$B980))),RAND())</f>
        <v>1</v>
      </c>
      <c r="O980" s="0" t="n">
        <f aca="false">6*J980+(J980-K980-M980)+2*L980+3*N980</f>
        <v>17</v>
      </c>
      <c r="P980" s="0" t="n">
        <f aca="true">RAND()</f>
        <v>0.861891797272704</v>
      </c>
      <c r="Q980" s="0" t="n">
        <f aca="true">RAND()</f>
        <v>0.65527129939544</v>
      </c>
      <c r="R980" s="0" t="n">
        <f aca="false">IF($I980&lt;&gt;$O980,0,IF(P980&lt;Matchup!$B$39,7,IF(P980&lt;Matchup!$B$39+Matchup!$B$40,3,0)))</f>
        <v>0</v>
      </c>
      <c r="S980" s="0" t="n">
        <f aca="false">IF($I980&lt;&gt;$O980,0,IF(Q980&lt;Matchup!$C$39,7,IF(Q980&lt;Matchup!$C$39+Matchup!$C$40,3,0)))</f>
        <v>0</v>
      </c>
      <c r="T980" s="0" t="n">
        <f aca="false">I980+R980</f>
        <v>13</v>
      </c>
      <c r="U980" s="0" t="n">
        <f aca="false">O980+S980</f>
        <v>17</v>
      </c>
      <c r="V980" s="0" t="n">
        <f aca="false">T980-U980</f>
        <v>-4</v>
      </c>
      <c r="W980" s="0" t="n">
        <f aca="false">T980+U980</f>
        <v>30</v>
      </c>
    </row>
    <row r="981" customFormat="false" ht="15" hidden="false" customHeight="false" outlineLevel="0" collapsed="false">
      <c r="A981" s="0" t="n">
        <v>978</v>
      </c>
      <c r="B981" s="0" t="n">
        <f aca="true">NORMINV(RAND(),1,Coefficients!$B$22)</f>
        <v>0.999144859640914</v>
      </c>
      <c r="C981" s="0" t="n">
        <f aca="true">MEDIAN(8,16,ROUND(NORMINV(RAND(),Coefficients!$B$20,Coefficients!$B$21),0))</f>
        <v>12</v>
      </c>
      <c r="D981" s="0" t="n">
        <f aca="true">CRITBINOM($C981,MIN(0.75,Matchup!$B$39*$B981),RAND())</f>
        <v>1</v>
      </c>
      <c r="E981" s="0" t="n">
        <f aca="true">CRITBINOM(D981,Coefficients!$B$30,RAND())</f>
        <v>0</v>
      </c>
      <c r="F981" s="0" t="n">
        <f aca="true">CRITBINOM(E981,Coefficients!$B$31,RAND())</f>
        <v>0</v>
      </c>
      <c r="G981" s="0" t="n">
        <f aca="true">CRITBINOM(MAX(0,D981-E981),1-Coefficients!$B$32,RAND())</f>
        <v>0</v>
      </c>
      <c r="H981" s="0" t="n">
        <f aca="true">CRITBINOM(MAX(0,$C981-D981),MIN(0.6,Matchup!$B$40*SQRT($B981)/(1-MIN(0.75,Matchup!$B$39*$B981))),RAND())</f>
        <v>3</v>
      </c>
      <c r="I981" s="0" t="n">
        <f aca="false">6*D981+(D981-E981-G981)+2*F981+3*H981</f>
        <v>16</v>
      </c>
      <c r="J981" s="0" t="n">
        <f aca="true">CRITBINOM($C981,MIN(0.75,Matchup!$C$39*$B981),RAND())</f>
        <v>1</v>
      </c>
      <c r="K981" s="0" t="n">
        <f aca="true">CRITBINOM(J981,Coefficients!$B$30,RAND())</f>
        <v>0</v>
      </c>
      <c r="L981" s="0" t="n">
        <f aca="true">CRITBINOM(K981,Coefficients!$B$31,RAND())</f>
        <v>0</v>
      </c>
      <c r="M981" s="0" t="n">
        <f aca="true">CRITBINOM(MAX(0,J981-K981),1-Coefficients!$B$32,RAND())</f>
        <v>0</v>
      </c>
      <c r="N981" s="0" t="n">
        <f aca="true">CRITBINOM(MAX(0,$C981-J981),MIN(0.6,Matchup!$C$40*SQRT($B981)/(1-MIN(0.75,Matchup!$C$39*$B981))),RAND())</f>
        <v>1</v>
      </c>
      <c r="O981" s="0" t="n">
        <f aca="false">6*J981+(J981-K981-M981)+2*L981+3*N981</f>
        <v>10</v>
      </c>
      <c r="P981" s="0" t="n">
        <f aca="true">RAND()</f>
        <v>0.534953436632601</v>
      </c>
      <c r="Q981" s="0" t="n">
        <f aca="true">RAND()</f>
        <v>0.0839493265194373</v>
      </c>
      <c r="R981" s="0" t="n">
        <f aca="false">IF($I981&lt;&gt;$O981,0,IF(P981&lt;Matchup!$B$39,7,IF(P981&lt;Matchup!$B$39+Matchup!$B$40,3,0)))</f>
        <v>0</v>
      </c>
      <c r="S981" s="0" t="n">
        <f aca="false">IF($I981&lt;&gt;$O981,0,IF(Q981&lt;Matchup!$C$39,7,IF(Q981&lt;Matchup!$C$39+Matchup!$C$40,3,0)))</f>
        <v>0</v>
      </c>
      <c r="T981" s="0" t="n">
        <f aca="false">I981+R981</f>
        <v>16</v>
      </c>
      <c r="U981" s="0" t="n">
        <f aca="false">O981+S981</f>
        <v>10</v>
      </c>
      <c r="V981" s="0" t="n">
        <f aca="false">T981-U981</f>
        <v>6</v>
      </c>
      <c r="W981" s="0" t="n">
        <f aca="false">T981+U981</f>
        <v>26</v>
      </c>
    </row>
    <row r="982" customFormat="false" ht="15" hidden="false" customHeight="false" outlineLevel="0" collapsed="false">
      <c r="A982" s="0" t="n">
        <v>979</v>
      </c>
      <c r="B982" s="0" t="n">
        <f aca="true">NORMINV(RAND(),1,Coefficients!$B$22)</f>
        <v>0.990346187441446</v>
      </c>
      <c r="C982" s="0" t="n">
        <f aca="true">MEDIAN(8,16,ROUND(NORMINV(RAND(),Coefficients!$B$20,Coefficients!$B$21),0))</f>
        <v>9</v>
      </c>
      <c r="D982" s="0" t="n">
        <f aca="true">CRITBINOM($C982,MIN(0.75,Matchup!$B$39*$B982),RAND())</f>
        <v>2</v>
      </c>
      <c r="E982" s="0" t="n">
        <f aca="true">CRITBINOM(D982,Coefficients!$B$30,RAND())</f>
        <v>0</v>
      </c>
      <c r="F982" s="0" t="n">
        <f aca="true">CRITBINOM(E982,Coefficients!$B$31,RAND())</f>
        <v>0</v>
      </c>
      <c r="G982" s="0" t="n">
        <f aca="true">CRITBINOM(MAX(0,D982-E982),1-Coefficients!$B$32,RAND())</f>
        <v>0</v>
      </c>
      <c r="H982" s="0" t="n">
        <f aca="true">CRITBINOM(MAX(0,$C982-D982),MIN(0.6,Matchup!$B$40*SQRT($B982)/(1-MIN(0.75,Matchup!$B$39*$B982))),RAND())</f>
        <v>4</v>
      </c>
      <c r="I982" s="0" t="n">
        <f aca="false">6*D982+(D982-E982-G982)+2*F982+3*H982</f>
        <v>26</v>
      </c>
      <c r="J982" s="0" t="n">
        <f aca="true">CRITBINOM($C982,MIN(0.75,Matchup!$C$39*$B982),RAND())</f>
        <v>2</v>
      </c>
      <c r="K982" s="0" t="n">
        <f aca="true">CRITBINOM(J982,Coefficients!$B$30,RAND())</f>
        <v>0</v>
      </c>
      <c r="L982" s="0" t="n">
        <f aca="true">CRITBINOM(K982,Coefficients!$B$31,RAND())</f>
        <v>0</v>
      </c>
      <c r="M982" s="0" t="n">
        <f aca="true">CRITBINOM(MAX(0,J982-K982),1-Coefficients!$B$32,RAND())</f>
        <v>0</v>
      </c>
      <c r="N982" s="0" t="n">
        <f aca="true">CRITBINOM(MAX(0,$C982-J982),MIN(0.6,Matchup!$C$40*SQRT($B982)/(1-MIN(0.75,Matchup!$C$39*$B982))),RAND())</f>
        <v>3</v>
      </c>
      <c r="O982" s="0" t="n">
        <f aca="false">6*J982+(J982-K982-M982)+2*L982+3*N982</f>
        <v>23</v>
      </c>
      <c r="P982" s="0" t="n">
        <f aca="true">RAND()</f>
        <v>0.402607651957225</v>
      </c>
      <c r="Q982" s="0" t="n">
        <f aca="true">RAND()</f>
        <v>0.0720802621395386</v>
      </c>
      <c r="R982" s="0" t="n">
        <f aca="false">IF($I982&lt;&gt;$O982,0,IF(P982&lt;Matchup!$B$39,7,IF(P982&lt;Matchup!$B$39+Matchup!$B$40,3,0)))</f>
        <v>0</v>
      </c>
      <c r="S982" s="0" t="n">
        <f aca="false">IF($I982&lt;&gt;$O982,0,IF(Q982&lt;Matchup!$C$39,7,IF(Q982&lt;Matchup!$C$39+Matchup!$C$40,3,0)))</f>
        <v>0</v>
      </c>
      <c r="T982" s="0" t="n">
        <f aca="false">I982+R982</f>
        <v>26</v>
      </c>
      <c r="U982" s="0" t="n">
        <f aca="false">O982+S982</f>
        <v>23</v>
      </c>
      <c r="V982" s="0" t="n">
        <f aca="false">T982-U982</f>
        <v>3</v>
      </c>
      <c r="W982" s="0" t="n">
        <f aca="false">T982+U982</f>
        <v>49</v>
      </c>
    </row>
    <row r="983" customFormat="false" ht="15" hidden="false" customHeight="false" outlineLevel="0" collapsed="false">
      <c r="A983" s="0" t="n">
        <v>980</v>
      </c>
      <c r="B983" s="0" t="n">
        <f aca="true">NORMINV(RAND(),1,Coefficients!$B$22)</f>
        <v>1.18001111430244</v>
      </c>
      <c r="C983" s="0" t="n">
        <f aca="true">MEDIAN(8,16,ROUND(NORMINV(RAND(),Coefficients!$B$20,Coefficients!$B$21),0))</f>
        <v>11</v>
      </c>
      <c r="D983" s="0" t="n">
        <f aca="true">CRITBINOM($C983,MIN(0.75,Matchup!$B$39*$B983),RAND())</f>
        <v>5</v>
      </c>
      <c r="E983" s="0" t="n">
        <f aca="true">CRITBINOM(D983,Coefficients!$B$30,RAND())</f>
        <v>0</v>
      </c>
      <c r="F983" s="0" t="n">
        <f aca="true">CRITBINOM(E983,Coefficients!$B$31,RAND())</f>
        <v>0</v>
      </c>
      <c r="G983" s="0" t="n">
        <f aca="true">CRITBINOM(MAX(0,D983-E983),1-Coefficients!$B$32,RAND())</f>
        <v>1</v>
      </c>
      <c r="H983" s="0" t="n">
        <f aca="true">CRITBINOM(MAX(0,$C983-D983),MIN(0.6,Matchup!$B$40*SQRT($B983)/(1-MIN(0.75,Matchup!$B$39*$B983))),RAND())</f>
        <v>1</v>
      </c>
      <c r="I983" s="0" t="n">
        <f aca="false">6*D983+(D983-E983-G983)+2*F983+3*H983</f>
        <v>37</v>
      </c>
      <c r="J983" s="0" t="n">
        <f aca="true">CRITBINOM($C983,MIN(0.75,Matchup!$C$39*$B983),RAND())</f>
        <v>4</v>
      </c>
      <c r="K983" s="0" t="n">
        <f aca="true">CRITBINOM(J983,Coefficients!$B$30,RAND())</f>
        <v>1</v>
      </c>
      <c r="L983" s="0" t="n">
        <f aca="true">CRITBINOM(K983,Coefficients!$B$31,RAND())</f>
        <v>1</v>
      </c>
      <c r="M983" s="0" t="n">
        <f aca="true">CRITBINOM(MAX(0,J983-K983),1-Coefficients!$B$32,RAND())</f>
        <v>0</v>
      </c>
      <c r="N983" s="0" t="n">
        <f aca="true">CRITBINOM(MAX(0,$C983-J983),MIN(0.6,Matchup!$C$40*SQRT($B983)/(1-MIN(0.75,Matchup!$C$39*$B983))),RAND())</f>
        <v>3</v>
      </c>
      <c r="O983" s="0" t="n">
        <f aca="false">6*J983+(J983-K983-M983)+2*L983+3*N983</f>
        <v>38</v>
      </c>
      <c r="P983" s="0" t="n">
        <f aca="true">RAND()</f>
        <v>0.982821793499267</v>
      </c>
      <c r="Q983" s="0" t="n">
        <f aca="true">RAND()</f>
        <v>0.381989836985901</v>
      </c>
      <c r="R983" s="0" t="n">
        <f aca="false">IF($I983&lt;&gt;$O983,0,IF(P983&lt;Matchup!$B$39,7,IF(P983&lt;Matchup!$B$39+Matchup!$B$40,3,0)))</f>
        <v>0</v>
      </c>
      <c r="S983" s="0" t="n">
        <f aca="false">IF($I983&lt;&gt;$O983,0,IF(Q983&lt;Matchup!$C$39,7,IF(Q983&lt;Matchup!$C$39+Matchup!$C$40,3,0)))</f>
        <v>0</v>
      </c>
      <c r="T983" s="0" t="n">
        <f aca="false">I983+R983</f>
        <v>37</v>
      </c>
      <c r="U983" s="0" t="n">
        <f aca="false">O983+S983</f>
        <v>38</v>
      </c>
      <c r="V983" s="0" t="n">
        <f aca="false">T983-U983</f>
        <v>-1</v>
      </c>
      <c r="W983" s="0" t="n">
        <f aca="false">T983+U983</f>
        <v>75</v>
      </c>
    </row>
    <row r="984" customFormat="false" ht="15" hidden="false" customHeight="false" outlineLevel="0" collapsed="false">
      <c r="A984" s="0" t="n">
        <v>981</v>
      </c>
      <c r="B984" s="0" t="n">
        <f aca="true">NORMINV(RAND(),1,Coefficients!$B$22)</f>
        <v>0.969529028111251</v>
      </c>
      <c r="C984" s="0" t="n">
        <f aca="true">MEDIAN(8,16,ROUND(NORMINV(RAND(),Coefficients!$B$20,Coefficients!$B$21),0))</f>
        <v>11</v>
      </c>
      <c r="D984" s="0" t="n">
        <f aca="true">CRITBINOM($C984,MIN(0.75,Matchup!$B$39*$B984),RAND())</f>
        <v>3</v>
      </c>
      <c r="E984" s="0" t="n">
        <f aca="true">CRITBINOM(D984,Coefficients!$B$30,RAND())</f>
        <v>0</v>
      </c>
      <c r="F984" s="0" t="n">
        <f aca="true">CRITBINOM(E984,Coefficients!$B$31,RAND())</f>
        <v>0</v>
      </c>
      <c r="G984" s="0" t="n">
        <f aca="true">CRITBINOM(MAX(0,D984-E984),1-Coefficients!$B$32,RAND())</f>
        <v>0</v>
      </c>
      <c r="H984" s="0" t="n">
        <f aca="true">CRITBINOM(MAX(0,$C984-D984),MIN(0.6,Matchup!$B$40*SQRT($B984)/(1-MIN(0.75,Matchup!$B$39*$B984))),RAND())</f>
        <v>3</v>
      </c>
      <c r="I984" s="0" t="n">
        <f aca="false">6*D984+(D984-E984-G984)+2*F984+3*H984</f>
        <v>30</v>
      </c>
      <c r="J984" s="0" t="n">
        <f aca="true">CRITBINOM($C984,MIN(0.75,Matchup!$C$39*$B984),RAND())</f>
        <v>5</v>
      </c>
      <c r="K984" s="0" t="n">
        <f aca="true">CRITBINOM(J984,Coefficients!$B$30,RAND())</f>
        <v>2</v>
      </c>
      <c r="L984" s="0" t="n">
        <f aca="true">CRITBINOM(K984,Coefficients!$B$31,RAND())</f>
        <v>2</v>
      </c>
      <c r="M984" s="0" t="n">
        <f aca="true">CRITBINOM(MAX(0,J984-K984),1-Coefficients!$B$32,RAND())</f>
        <v>0</v>
      </c>
      <c r="N984" s="0" t="n">
        <f aca="true">CRITBINOM(MAX(0,$C984-J984),MIN(0.6,Matchup!$C$40*SQRT($B984)/(1-MIN(0.75,Matchup!$C$39*$B984))),RAND())</f>
        <v>0</v>
      </c>
      <c r="O984" s="0" t="n">
        <f aca="false">6*J984+(J984-K984-M984)+2*L984+3*N984</f>
        <v>37</v>
      </c>
      <c r="P984" s="0" t="n">
        <f aca="true">RAND()</f>
        <v>0.48795407139325</v>
      </c>
      <c r="Q984" s="0" t="n">
        <f aca="true">RAND()</f>
        <v>0.303594062070619</v>
      </c>
      <c r="R984" s="0" t="n">
        <f aca="false">IF($I984&lt;&gt;$O984,0,IF(P984&lt;Matchup!$B$39,7,IF(P984&lt;Matchup!$B$39+Matchup!$B$40,3,0)))</f>
        <v>0</v>
      </c>
      <c r="S984" s="0" t="n">
        <f aca="false">IF($I984&lt;&gt;$O984,0,IF(Q984&lt;Matchup!$C$39,7,IF(Q984&lt;Matchup!$C$39+Matchup!$C$40,3,0)))</f>
        <v>0</v>
      </c>
      <c r="T984" s="0" t="n">
        <f aca="false">I984+R984</f>
        <v>30</v>
      </c>
      <c r="U984" s="0" t="n">
        <f aca="false">O984+S984</f>
        <v>37</v>
      </c>
      <c r="V984" s="0" t="n">
        <f aca="false">T984-U984</f>
        <v>-7</v>
      </c>
      <c r="W984" s="0" t="n">
        <f aca="false">T984+U984</f>
        <v>67</v>
      </c>
    </row>
    <row r="985" customFormat="false" ht="15" hidden="false" customHeight="false" outlineLevel="0" collapsed="false">
      <c r="A985" s="0" t="n">
        <v>982</v>
      </c>
      <c r="B985" s="0" t="n">
        <f aca="true">NORMINV(RAND(),1,Coefficients!$B$22)</f>
        <v>1.07367960749337</v>
      </c>
      <c r="C985" s="0" t="n">
        <f aca="true">MEDIAN(8,16,ROUND(NORMINV(RAND(),Coefficients!$B$20,Coefficients!$B$21),0))</f>
        <v>11</v>
      </c>
      <c r="D985" s="0" t="n">
        <f aca="true">CRITBINOM($C985,MIN(0.75,Matchup!$B$39*$B985),RAND())</f>
        <v>3</v>
      </c>
      <c r="E985" s="0" t="n">
        <f aca="true">CRITBINOM(D985,Coefficients!$B$30,RAND())</f>
        <v>0</v>
      </c>
      <c r="F985" s="0" t="n">
        <f aca="true">CRITBINOM(E985,Coefficients!$B$31,RAND())</f>
        <v>0</v>
      </c>
      <c r="G985" s="0" t="n">
        <f aca="true">CRITBINOM(MAX(0,D985-E985),1-Coefficients!$B$32,RAND())</f>
        <v>0</v>
      </c>
      <c r="H985" s="0" t="n">
        <f aca="true">CRITBINOM(MAX(0,$C985-D985),MIN(0.6,Matchup!$B$40*SQRT($B985)/(1-MIN(0.75,Matchup!$B$39*$B985))),RAND())</f>
        <v>1</v>
      </c>
      <c r="I985" s="0" t="n">
        <f aca="false">6*D985+(D985-E985-G985)+2*F985+3*H985</f>
        <v>24</v>
      </c>
      <c r="J985" s="0" t="n">
        <f aca="true">CRITBINOM($C985,MIN(0.75,Matchup!$C$39*$B985),RAND())</f>
        <v>4</v>
      </c>
      <c r="K985" s="0" t="n">
        <f aca="true">CRITBINOM(J985,Coefficients!$B$30,RAND())</f>
        <v>2</v>
      </c>
      <c r="L985" s="0" t="n">
        <f aca="true">CRITBINOM(K985,Coefficients!$B$31,RAND())</f>
        <v>1</v>
      </c>
      <c r="M985" s="0" t="n">
        <f aca="true">CRITBINOM(MAX(0,J985-K985),1-Coefficients!$B$32,RAND())</f>
        <v>0</v>
      </c>
      <c r="N985" s="0" t="n">
        <f aca="true">CRITBINOM(MAX(0,$C985-J985),MIN(0.6,Matchup!$C$40*SQRT($B985)/(1-MIN(0.75,Matchup!$C$39*$B985))),RAND())</f>
        <v>2</v>
      </c>
      <c r="O985" s="0" t="n">
        <f aca="false">6*J985+(J985-K985-M985)+2*L985+3*N985</f>
        <v>34</v>
      </c>
      <c r="P985" s="0" t="n">
        <f aca="true">RAND()</f>
        <v>0.58816702875738</v>
      </c>
      <c r="Q985" s="0" t="n">
        <f aca="true">RAND()</f>
        <v>0.340580837072905</v>
      </c>
      <c r="R985" s="0" t="n">
        <f aca="false">IF($I985&lt;&gt;$O985,0,IF(P985&lt;Matchup!$B$39,7,IF(P985&lt;Matchup!$B$39+Matchup!$B$40,3,0)))</f>
        <v>0</v>
      </c>
      <c r="S985" s="0" t="n">
        <f aca="false">IF($I985&lt;&gt;$O985,0,IF(Q985&lt;Matchup!$C$39,7,IF(Q985&lt;Matchup!$C$39+Matchup!$C$40,3,0)))</f>
        <v>0</v>
      </c>
      <c r="T985" s="0" t="n">
        <f aca="false">I985+R985</f>
        <v>24</v>
      </c>
      <c r="U985" s="0" t="n">
        <f aca="false">O985+S985</f>
        <v>34</v>
      </c>
      <c r="V985" s="0" t="n">
        <f aca="false">T985-U985</f>
        <v>-10</v>
      </c>
      <c r="W985" s="0" t="n">
        <f aca="false">T985+U985</f>
        <v>58</v>
      </c>
    </row>
    <row r="986" customFormat="false" ht="15" hidden="false" customHeight="false" outlineLevel="0" collapsed="false">
      <c r="A986" s="0" t="n">
        <v>983</v>
      </c>
      <c r="B986" s="0" t="n">
        <f aca="true">NORMINV(RAND(),1,Coefficients!$B$22)</f>
        <v>0.96158040357818</v>
      </c>
      <c r="C986" s="0" t="n">
        <f aca="true">MEDIAN(8,16,ROUND(NORMINV(RAND(),Coefficients!$B$20,Coefficients!$B$21),0))</f>
        <v>11</v>
      </c>
      <c r="D986" s="0" t="n">
        <f aca="true">CRITBINOM($C986,MIN(0.75,Matchup!$B$39*$B986),RAND())</f>
        <v>2</v>
      </c>
      <c r="E986" s="0" t="n">
        <f aca="true">CRITBINOM(D986,Coefficients!$B$30,RAND())</f>
        <v>1</v>
      </c>
      <c r="F986" s="0" t="n">
        <f aca="true">CRITBINOM(E986,Coefficients!$B$31,RAND())</f>
        <v>0</v>
      </c>
      <c r="G986" s="0" t="n">
        <f aca="true">CRITBINOM(MAX(0,D986-E986),1-Coefficients!$B$32,RAND())</f>
        <v>0</v>
      </c>
      <c r="H986" s="0" t="n">
        <f aca="true">CRITBINOM(MAX(0,$C986-D986),MIN(0.6,Matchup!$B$40*SQRT($B986)/(1-MIN(0.75,Matchup!$B$39*$B986))),RAND())</f>
        <v>2</v>
      </c>
      <c r="I986" s="0" t="n">
        <f aca="false">6*D986+(D986-E986-G986)+2*F986+3*H986</f>
        <v>19</v>
      </c>
      <c r="J986" s="0" t="n">
        <f aca="true">CRITBINOM($C986,MIN(0.75,Matchup!$C$39*$B986),RAND())</f>
        <v>1</v>
      </c>
      <c r="K986" s="0" t="n">
        <f aca="true">CRITBINOM(J986,Coefficients!$B$30,RAND())</f>
        <v>0</v>
      </c>
      <c r="L986" s="0" t="n">
        <f aca="true">CRITBINOM(K986,Coefficients!$B$31,RAND())</f>
        <v>0</v>
      </c>
      <c r="M986" s="0" t="n">
        <f aca="true">CRITBINOM(MAX(0,J986-K986),1-Coefficients!$B$32,RAND())</f>
        <v>0</v>
      </c>
      <c r="N986" s="0" t="n">
        <f aca="true">CRITBINOM(MAX(0,$C986-J986),MIN(0.6,Matchup!$C$40*SQRT($B986)/(1-MIN(0.75,Matchup!$C$39*$B986))),RAND())</f>
        <v>1</v>
      </c>
      <c r="O986" s="0" t="n">
        <f aca="false">6*J986+(J986-K986-M986)+2*L986+3*N986</f>
        <v>10</v>
      </c>
      <c r="P986" s="0" t="n">
        <f aca="true">RAND()</f>
        <v>0.195669069883021</v>
      </c>
      <c r="Q986" s="0" t="n">
        <f aca="true">RAND()</f>
        <v>0.623795130408822</v>
      </c>
      <c r="R986" s="0" t="n">
        <f aca="false">IF($I986&lt;&gt;$O986,0,IF(P986&lt;Matchup!$B$39,7,IF(P986&lt;Matchup!$B$39+Matchup!$B$40,3,0)))</f>
        <v>0</v>
      </c>
      <c r="S986" s="0" t="n">
        <f aca="false">IF($I986&lt;&gt;$O986,0,IF(Q986&lt;Matchup!$C$39,7,IF(Q986&lt;Matchup!$C$39+Matchup!$C$40,3,0)))</f>
        <v>0</v>
      </c>
      <c r="T986" s="0" t="n">
        <f aca="false">I986+R986</f>
        <v>19</v>
      </c>
      <c r="U986" s="0" t="n">
        <f aca="false">O986+S986</f>
        <v>10</v>
      </c>
      <c r="V986" s="0" t="n">
        <f aca="false">T986-U986</f>
        <v>9</v>
      </c>
      <c r="W986" s="0" t="n">
        <f aca="false">T986+U986</f>
        <v>29</v>
      </c>
    </row>
    <row r="987" customFormat="false" ht="15" hidden="false" customHeight="false" outlineLevel="0" collapsed="false">
      <c r="A987" s="0" t="n">
        <v>984</v>
      </c>
      <c r="B987" s="0" t="n">
        <f aca="true">NORMINV(RAND(),1,Coefficients!$B$22)</f>
        <v>0.971487279654546</v>
      </c>
      <c r="C987" s="0" t="n">
        <f aca="true">MEDIAN(8,16,ROUND(NORMINV(RAND(),Coefficients!$B$20,Coefficients!$B$21),0))</f>
        <v>12</v>
      </c>
      <c r="D987" s="0" t="n">
        <f aca="true">CRITBINOM($C987,MIN(0.75,Matchup!$B$39*$B987),RAND())</f>
        <v>0</v>
      </c>
      <c r="E987" s="0" t="n">
        <f aca="true">CRITBINOM(D987,Coefficients!$B$30,RAND())</f>
        <v>0</v>
      </c>
      <c r="F987" s="0" t="n">
        <f aca="true">CRITBINOM(E987,Coefficients!$B$31,RAND())</f>
        <v>0</v>
      </c>
      <c r="G987" s="0" t="n">
        <f aca="true">CRITBINOM(MAX(0,D987-E987),1-Coefficients!$B$32,RAND())</f>
        <v>0</v>
      </c>
      <c r="H987" s="0" t="n">
        <f aca="true">CRITBINOM(MAX(0,$C987-D987),MIN(0.6,Matchup!$B$40*SQRT($B987)/(1-MIN(0.75,Matchup!$B$39*$B987))),RAND())</f>
        <v>6</v>
      </c>
      <c r="I987" s="0" t="n">
        <f aca="false">6*D987+(D987-E987-G987)+2*F987+3*H987</f>
        <v>18</v>
      </c>
      <c r="J987" s="0" t="n">
        <f aca="true">CRITBINOM($C987,MIN(0.75,Matchup!$C$39*$B987),RAND())</f>
        <v>3</v>
      </c>
      <c r="K987" s="0" t="n">
        <f aca="true">CRITBINOM(J987,Coefficients!$B$30,RAND())</f>
        <v>1</v>
      </c>
      <c r="L987" s="0" t="n">
        <f aca="true">CRITBINOM(K987,Coefficients!$B$31,RAND())</f>
        <v>0</v>
      </c>
      <c r="M987" s="0" t="n">
        <f aca="true">CRITBINOM(MAX(0,J987-K987),1-Coefficients!$B$32,RAND())</f>
        <v>0</v>
      </c>
      <c r="N987" s="0" t="n">
        <f aca="true">CRITBINOM(MAX(0,$C987-J987),MIN(0.6,Matchup!$C$40*SQRT($B987)/(1-MIN(0.75,Matchup!$C$39*$B987))),RAND())</f>
        <v>1</v>
      </c>
      <c r="O987" s="0" t="n">
        <f aca="false">6*J987+(J987-K987-M987)+2*L987+3*N987</f>
        <v>23</v>
      </c>
      <c r="P987" s="0" t="n">
        <f aca="true">RAND()</f>
        <v>0.709704996293089</v>
      </c>
      <c r="Q987" s="0" t="n">
        <f aca="true">RAND()</f>
        <v>0.610223094409245</v>
      </c>
      <c r="R987" s="0" t="n">
        <f aca="false">IF($I987&lt;&gt;$O987,0,IF(P987&lt;Matchup!$B$39,7,IF(P987&lt;Matchup!$B$39+Matchup!$B$40,3,0)))</f>
        <v>0</v>
      </c>
      <c r="S987" s="0" t="n">
        <f aca="false">IF($I987&lt;&gt;$O987,0,IF(Q987&lt;Matchup!$C$39,7,IF(Q987&lt;Matchup!$C$39+Matchup!$C$40,3,0)))</f>
        <v>0</v>
      </c>
      <c r="T987" s="0" t="n">
        <f aca="false">I987+R987</f>
        <v>18</v>
      </c>
      <c r="U987" s="0" t="n">
        <f aca="false">O987+S987</f>
        <v>23</v>
      </c>
      <c r="V987" s="0" t="n">
        <f aca="false">T987-U987</f>
        <v>-5</v>
      </c>
      <c r="W987" s="0" t="n">
        <f aca="false">T987+U987</f>
        <v>41</v>
      </c>
    </row>
    <row r="988" customFormat="false" ht="15" hidden="false" customHeight="false" outlineLevel="0" collapsed="false">
      <c r="A988" s="0" t="n">
        <v>985</v>
      </c>
      <c r="B988" s="0" t="n">
        <f aca="true">NORMINV(RAND(),1,Coefficients!$B$22)</f>
        <v>1.04376410187883</v>
      </c>
      <c r="C988" s="0" t="n">
        <f aca="true">MEDIAN(8,16,ROUND(NORMINV(RAND(),Coefficients!$B$20,Coefficients!$B$21),0))</f>
        <v>12</v>
      </c>
      <c r="D988" s="0" t="n">
        <f aca="true">CRITBINOM($C988,MIN(0.75,Matchup!$B$39*$B988),RAND())</f>
        <v>6</v>
      </c>
      <c r="E988" s="0" t="n">
        <f aca="true">CRITBINOM(D988,Coefficients!$B$30,RAND())</f>
        <v>0</v>
      </c>
      <c r="F988" s="0" t="n">
        <f aca="true">CRITBINOM(E988,Coefficients!$B$31,RAND())</f>
        <v>0</v>
      </c>
      <c r="G988" s="0" t="n">
        <f aca="true">CRITBINOM(MAX(0,D988-E988),1-Coefficients!$B$32,RAND())</f>
        <v>2</v>
      </c>
      <c r="H988" s="0" t="n">
        <f aca="true">CRITBINOM(MAX(0,$C988-D988),MIN(0.6,Matchup!$B$40*SQRT($B988)/(1-MIN(0.75,Matchup!$B$39*$B988))),RAND())</f>
        <v>0</v>
      </c>
      <c r="I988" s="0" t="n">
        <f aca="false">6*D988+(D988-E988-G988)+2*F988+3*H988</f>
        <v>40</v>
      </c>
      <c r="J988" s="0" t="n">
        <f aca="true">CRITBINOM($C988,MIN(0.75,Matchup!$C$39*$B988),RAND())</f>
        <v>2</v>
      </c>
      <c r="K988" s="0" t="n">
        <f aca="true">CRITBINOM(J988,Coefficients!$B$30,RAND())</f>
        <v>0</v>
      </c>
      <c r="L988" s="0" t="n">
        <f aca="true">CRITBINOM(K988,Coefficients!$B$31,RAND())</f>
        <v>0</v>
      </c>
      <c r="M988" s="0" t="n">
        <f aca="true">CRITBINOM(MAX(0,J988-K988),1-Coefficients!$B$32,RAND())</f>
        <v>0</v>
      </c>
      <c r="N988" s="0" t="n">
        <f aca="true">CRITBINOM(MAX(0,$C988-J988),MIN(0.6,Matchup!$C$40*SQRT($B988)/(1-MIN(0.75,Matchup!$C$39*$B988))),RAND())</f>
        <v>1</v>
      </c>
      <c r="O988" s="0" t="n">
        <f aca="false">6*J988+(J988-K988-M988)+2*L988+3*N988</f>
        <v>17</v>
      </c>
      <c r="P988" s="0" t="n">
        <f aca="true">RAND()</f>
        <v>0.776557270016527</v>
      </c>
      <c r="Q988" s="0" t="n">
        <f aca="true">RAND()</f>
        <v>0.3711557842595</v>
      </c>
      <c r="R988" s="0" t="n">
        <f aca="false">IF($I988&lt;&gt;$O988,0,IF(P988&lt;Matchup!$B$39,7,IF(P988&lt;Matchup!$B$39+Matchup!$B$40,3,0)))</f>
        <v>0</v>
      </c>
      <c r="S988" s="0" t="n">
        <f aca="false">IF($I988&lt;&gt;$O988,0,IF(Q988&lt;Matchup!$C$39,7,IF(Q988&lt;Matchup!$C$39+Matchup!$C$40,3,0)))</f>
        <v>0</v>
      </c>
      <c r="T988" s="0" t="n">
        <f aca="false">I988+R988</f>
        <v>40</v>
      </c>
      <c r="U988" s="0" t="n">
        <f aca="false">O988+S988</f>
        <v>17</v>
      </c>
      <c r="V988" s="0" t="n">
        <f aca="false">T988-U988</f>
        <v>23</v>
      </c>
      <c r="W988" s="0" t="n">
        <f aca="false">T988+U988</f>
        <v>57</v>
      </c>
    </row>
    <row r="989" customFormat="false" ht="15" hidden="false" customHeight="false" outlineLevel="0" collapsed="false">
      <c r="A989" s="0" t="n">
        <v>986</v>
      </c>
      <c r="B989" s="0" t="n">
        <f aca="true">NORMINV(RAND(),1,Coefficients!$B$22)</f>
        <v>1.16804704708252</v>
      </c>
      <c r="C989" s="0" t="n">
        <f aca="true">MEDIAN(8,16,ROUND(NORMINV(RAND(),Coefficients!$B$20,Coefficients!$B$21),0))</f>
        <v>11</v>
      </c>
      <c r="D989" s="0" t="n">
        <f aca="true">CRITBINOM($C989,MIN(0.75,Matchup!$B$39*$B989),RAND())</f>
        <v>5</v>
      </c>
      <c r="E989" s="0" t="n">
        <f aca="true">CRITBINOM(D989,Coefficients!$B$30,RAND())</f>
        <v>0</v>
      </c>
      <c r="F989" s="0" t="n">
        <f aca="true">CRITBINOM(E989,Coefficients!$B$31,RAND())</f>
        <v>0</v>
      </c>
      <c r="G989" s="0" t="n">
        <f aca="true">CRITBINOM(MAX(0,D989-E989),1-Coefficients!$B$32,RAND())</f>
        <v>0</v>
      </c>
      <c r="H989" s="0" t="n">
        <f aca="true">CRITBINOM(MAX(0,$C989-D989),MIN(0.6,Matchup!$B$40*SQRT($B989)/(1-MIN(0.75,Matchup!$B$39*$B989))),RAND())</f>
        <v>0</v>
      </c>
      <c r="I989" s="0" t="n">
        <f aca="false">6*D989+(D989-E989-G989)+2*F989+3*H989</f>
        <v>35</v>
      </c>
      <c r="J989" s="0" t="n">
        <f aca="true">CRITBINOM($C989,MIN(0.75,Matchup!$C$39*$B989),RAND())</f>
        <v>6</v>
      </c>
      <c r="K989" s="0" t="n">
        <f aca="true">CRITBINOM(J989,Coefficients!$B$30,RAND())</f>
        <v>1</v>
      </c>
      <c r="L989" s="0" t="n">
        <f aca="true">CRITBINOM(K989,Coefficients!$B$31,RAND())</f>
        <v>1</v>
      </c>
      <c r="M989" s="0" t="n">
        <f aca="true">CRITBINOM(MAX(0,J989-K989),1-Coefficients!$B$32,RAND())</f>
        <v>0</v>
      </c>
      <c r="N989" s="0" t="n">
        <f aca="true">CRITBINOM(MAX(0,$C989-J989),MIN(0.6,Matchup!$C$40*SQRT($B989)/(1-MIN(0.75,Matchup!$C$39*$B989))),RAND())</f>
        <v>1</v>
      </c>
      <c r="O989" s="0" t="n">
        <f aca="false">6*J989+(J989-K989-M989)+2*L989+3*N989</f>
        <v>46</v>
      </c>
      <c r="P989" s="0" t="n">
        <f aca="true">RAND()</f>
        <v>0.225810320254504</v>
      </c>
      <c r="Q989" s="0" t="n">
        <f aca="true">RAND()</f>
        <v>0.963347090304181</v>
      </c>
      <c r="R989" s="0" t="n">
        <f aca="false">IF($I989&lt;&gt;$O989,0,IF(P989&lt;Matchup!$B$39,7,IF(P989&lt;Matchup!$B$39+Matchup!$B$40,3,0)))</f>
        <v>0</v>
      </c>
      <c r="S989" s="0" t="n">
        <f aca="false">IF($I989&lt;&gt;$O989,0,IF(Q989&lt;Matchup!$C$39,7,IF(Q989&lt;Matchup!$C$39+Matchup!$C$40,3,0)))</f>
        <v>0</v>
      </c>
      <c r="T989" s="0" t="n">
        <f aca="false">I989+R989</f>
        <v>35</v>
      </c>
      <c r="U989" s="0" t="n">
        <f aca="false">O989+S989</f>
        <v>46</v>
      </c>
      <c r="V989" s="0" t="n">
        <f aca="false">T989-U989</f>
        <v>-11</v>
      </c>
      <c r="W989" s="0" t="n">
        <f aca="false">T989+U989</f>
        <v>81</v>
      </c>
    </row>
    <row r="990" customFormat="false" ht="15" hidden="false" customHeight="false" outlineLevel="0" collapsed="false">
      <c r="A990" s="0" t="n">
        <v>987</v>
      </c>
      <c r="B990" s="0" t="n">
        <f aca="true">NORMINV(RAND(),1,Coefficients!$B$22)</f>
        <v>0.993448260281176</v>
      </c>
      <c r="C990" s="0" t="n">
        <f aca="true">MEDIAN(8,16,ROUND(NORMINV(RAND(),Coefficients!$B$20,Coefficients!$B$21),0))</f>
        <v>10</v>
      </c>
      <c r="D990" s="0" t="n">
        <f aca="true">CRITBINOM($C990,MIN(0.75,Matchup!$B$39*$B990),RAND())</f>
        <v>3</v>
      </c>
      <c r="E990" s="0" t="n">
        <f aca="true">CRITBINOM(D990,Coefficients!$B$30,RAND())</f>
        <v>0</v>
      </c>
      <c r="F990" s="0" t="n">
        <f aca="true">CRITBINOM(E990,Coefficients!$B$31,RAND())</f>
        <v>0</v>
      </c>
      <c r="G990" s="0" t="n">
        <f aca="true">CRITBINOM(MAX(0,D990-E990),1-Coefficients!$B$32,RAND())</f>
        <v>0</v>
      </c>
      <c r="H990" s="0" t="n">
        <f aca="true">CRITBINOM(MAX(0,$C990-D990),MIN(0.6,Matchup!$B$40*SQRT($B990)/(1-MIN(0.75,Matchup!$B$39*$B990))),RAND())</f>
        <v>2</v>
      </c>
      <c r="I990" s="0" t="n">
        <f aca="false">6*D990+(D990-E990-G990)+2*F990+3*H990</f>
        <v>27</v>
      </c>
      <c r="J990" s="0" t="n">
        <f aca="true">CRITBINOM($C990,MIN(0.75,Matchup!$C$39*$B990),RAND())</f>
        <v>2</v>
      </c>
      <c r="K990" s="0" t="n">
        <f aca="true">CRITBINOM(J990,Coefficients!$B$30,RAND())</f>
        <v>0</v>
      </c>
      <c r="L990" s="0" t="n">
        <f aca="true">CRITBINOM(K990,Coefficients!$B$31,RAND())</f>
        <v>0</v>
      </c>
      <c r="M990" s="0" t="n">
        <f aca="true">CRITBINOM(MAX(0,J990-K990),1-Coefficients!$B$32,RAND())</f>
        <v>0</v>
      </c>
      <c r="N990" s="0" t="n">
        <f aca="true">CRITBINOM(MAX(0,$C990-J990),MIN(0.6,Matchup!$C$40*SQRT($B990)/(1-MIN(0.75,Matchup!$C$39*$B990))),RAND())</f>
        <v>0</v>
      </c>
      <c r="O990" s="0" t="n">
        <f aca="false">6*J990+(J990-K990-M990)+2*L990+3*N990</f>
        <v>14</v>
      </c>
      <c r="P990" s="0" t="n">
        <f aca="true">RAND()</f>
        <v>0.620482975235771</v>
      </c>
      <c r="Q990" s="0" t="n">
        <f aca="true">RAND()</f>
        <v>0.6509353012262</v>
      </c>
      <c r="R990" s="0" t="n">
        <f aca="false">IF($I990&lt;&gt;$O990,0,IF(P990&lt;Matchup!$B$39,7,IF(P990&lt;Matchup!$B$39+Matchup!$B$40,3,0)))</f>
        <v>0</v>
      </c>
      <c r="S990" s="0" t="n">
        <f aca="false">IF($I990&lt;&gt;$O990,0,IF(Q990&lt;Matchup!$C$39,7,IF(Q990&lt;Matchup!$C$39+Matchup!$C$40,3,0)))</f>
        <v>0</v>
      </c>
      <c r="T990" s="0" t="n">
        <f aca="false">I990+R990</f>
        <v>27</v>
      </c>
      <c r="U990" s="0" t="n">
        <f aca="false">O990+S990</f>
        <v>14</v>
      </c>
      <c r="V990" s="0" t="n">
        <f aca="false">T990-U990</f>
        <v>13</v>
      </c>
      <c r="W990" s="0" t="n">
        <f aca="false">T990+U990</f>
        <v>41</v>
      </c>
    </row>
    <row r="991" customFormat="false" ht="15" hidden="false" customHeight="false" outlineLevel="0" collapsed="false">
      <c r="A991" s="0" t="n">
        <v>988</v>
      </c>
      <c r="B991" s="0" t="n">
        <f aca="true">NORMINV(RAND(),1,Coefficients!$B$22)</f>
        <v>0.876284042950432</v>
      </c>
      <c r="C991" s="0" t="n">
        <f aca="true">MEDIAN(8,16,ROUND(NORMINV(RAND(),Coefficients!$B$20,Coefficients!$B$21),0))</f>
        <v>11</v>
      </c>
      <c r="D991" s="0" t="n">
        <f aca="true">CRITBINOM($C991,MIN(0.75,Matchup!$B$39*$B991),RAND())</f>
        <v>3</v>
      </c>
      <c r="E991" s="0" t="n">
        <f aca="true">CRITBINOM(D991,Coefficients!$B$30,RAND())</f>
        <v>0</v>
      </c>
      <c r="F991" s="0" t="n">
        <f aca="true">CRITBINOM(E991,Coefficients!$B$31,RAND())</f>
        <v>0</v>
      </c>
      <c r="G991" s="0" t="n">
        <f aca="true">CRITBINOM(MAX(0,D991-E991),1-Coefficients!$B$32,RAND())</f>
        <v>0</v>
      </c>
      <c r="H991" s="0" t="n">
        <f aca="true">CRITBINOM(MAX(0,$C991-D991),MIN(0.6,Matchup!$B$40*SQRT($B991)/(1-MIN(0.75,Matchup!$B$39*$B991))),RAND())</f>
        <v>1</v>
      </c>
      <c r="I991" s="0" t="n">
        <f aca="false">6*D991+(D991-E991-G991)+2*F991+3*H991</f>
        <v>24</v>
      </c>
      <c r="J991" s="0" t="n">
        <f aca="true">CRITBINOM($C991,MIN(0.75,Matchup!$C$39*$B991),RAND())</f>
        <v>1</v>
      </c>
      <c r="K991" s="0" t="n">
        <f aca="true">CRITBINOM(J991,Coefficients!$B$30,RAND())</f>
        <v>1</v>
      </c>
      <c r="L991" s="0" t="n">
        <f aca="true">CRITBINOM(K991,Coefficients!$B$31,RAND())</f>
        <v>0</v>
      </c>
      <c r="M991" s="0" t="n">
        <f aca="true">CRITBINOM(MAX(0,J991-K991),1-Coefficients!$B$32,RAND())</f>
        <v>0</v>
      </c>
      <c r="N991" s="0" t="n">
        <f aca="true">CRITBINOM(MAX(0,$C991-J991),MIN(0.6,Matchup!$C$40*SQRT($B991)/(1-MIN(0.75,Matchup!$C$39*$B991))),RAND())</f>
        <v>1</v>
      </c>
      <c r="O991" s="0" t="n">
        <f aca="false">6*J991+(J991-K991-M991)+2*L991+3*N991</f>
        <v>9</v>
      </c>
      <c r="P991" s="0" t="n">
        <f aca="true">RAND()</f>
        <v>0.311705823205646</v>
      </c>
      <c r="Q991" s="0" t="n">
        <f aca="true">RAND()</f>
        <v>0.460575360592352</v>
      </c>
      <c r="R991" s="0" t="n">
        <f aca="false">IF($I991&lt;&gt;$O991,0,IF(P991&lt;Matchup!$B$39,7,IF(P991&lt;Matchup!$B$39+Matchup!$B$40,3,0)))</f>
        <v>0</v>
      </c>
      <c r="S991" s="0" t="n">
        <f aca="false">IF($I991&lt;&gt;$O991,0,IF(Q991&lt;Matchup!$C$39,7,IF(Q991&lt;Matchup!$C$39+Matchup!$C$40,3,0)))</f>
        <v>0</v>
      </c>
      <c r="T991" s="0" t="n">
        <f aca="false">I991+R991</f>
        <v>24</v>
      </c>
      <c r="U991" s="0" t="n">
        <f aca="false">O991+S991</f>
        <v>9</v>
      </c>
      <c r="V991" s="0" t="n">
        <f aca="false">T991-U991</f>
        <v>15</v>
      </c>
      <c r="W991" s="0" t="n">
        <f aca="false">T991+U991</f>
        <v>33</v>
      </c>
    </row>
    <row r="992" customFormat="false" ht="15" hidden="false" customHeight="false" outlineLevel="0" collapsed="false">
      <c r="A992" s="0" t="n">
        <v>989</v>
      </c>
      <c r="B992" s="0" t="n">
        <f aca="true">NORMINV(RAND(),1,Coefficients!$B$22)</f>
        <v>1.01669032690026</v>
      </c>
      <c r="C992" s="0" t="n">
        <f aca="true">MEDIAN(8,16,ROUND(NORMINV(RAND(),Coefficients!$B$20,Coefficients!$B$21),0))</f>
        <v>10</v>
      </c>
      <c r="D992" s="0" t="n">
        <f aca="true">CRITBINOM($C992,MIN(0.75,Matchup!$B$39*$B992),RAND())</f>
        <v>3</v>
      </c>
      <c r="E992" s="0" t="n">
        <f aca="true">CRITBINOM(D992,Coefficients!$B$30,RAND())</f>
        <v>0</v>
      </c>
      <c r="F992" s="0" t="n">
        <f aca="true">CRITBINOM(E992,Coefficients!$B$31,RAND())</f>
        <v>0</v>
      </c>
      <c r="G992" s="0" t="n">
        <f aca="true">CRITBINOM(MAX(0,D992-E992),1-Coefficients!$B$32,RAND())</f>
        <v>1</v>
      </c>
      <c r="H992" s="0" t="n">
        <f aca="true">CRITBINOM(MAX(0,$C992-D992),MIN(0.6,Matchup!$B$40*SQRT($B992)/(1-MIN(0.75,Matchup!$B$39*$B992))),RAND())</f>
        <v>2</v>
      </c>
      <c r="I992" s="0" t="n">
        <f aca="false">6*D992+(D992-E992-G992)+2*F992+3*H992</f>
        <v>26</v>
      </c>
      <c r="J992" s="0" t="n">
        <f aca="true">CRITBINOM($C992,MIN(0.75,Matchup!$C$39*$B992),RAND())</f>
        <v>5</v>
      </c>
      <c r="K992" s="0" t="n">
        <f aca="true">CRITBINOM(J992,Coefficients!$B$30,RAND())</f>
        <v>0</v>
      </c>
      <c r="L992" s="0" t="n">
        <f aca="true">CRITBINOM(K992,Coefficients!$B$31,RAND())</f>
        <v>0</v>
      </c>
      <c r="M992" s="0" t="n">
        <f aca="true">CRITBINOM(MAX(0,J992-K992),1-Coefficients!$B$32,RAND())</f>
        <v>1</v>
      </c>
      <c r="N992" s="0" t="n">
        <f aca="true">CRITBINOM(MAX(0,$C992-J992),MIN(0.6,Matchup!$C$40*SQRT($B992)/(1-MIN(0.75,Matchup!$C$39*$B992))),RAND())</f>
        <v>1</v>
      </c>
      <c r="O992" s="0" t="n">
        <f aca="false">6*J992+(J992-K992-M992)+2*L992+3*N992</f>
        <v>37</v>
      </c>
      <c r="P992" s="0" t="n">
        <f aca="true">RAND()</f>
        <v>0.719663780130337</v>
      </c>
      <c r="Q992" s="0" t="n">
        <f aca="true">RAND()</f>
        <v>0.829502542246997</v>
      </c>
      <c r="R992" s="0" t="n">
        <f aca="false">IF($I992&lt;&gt;$O992,0,IF(P992&lt;Matchup!$B$39,7,IF(P992&lt;Matchup!$B$39+Matchup!$B$40,3,0)))</f>
        <v>0</v>
      </c>
      <c r="S992" s="0" t="n">
        <f aca="false">IF($I992&lt;&gt;$O992,0,IF(Q992&lt;Matchup!$C$39,7,IF(Q992&lt;Matchup!$C$39+Matchup!$C$40,3,0)))</f>
        <v>0</v>
      </c>
      <c r="T992" s="0" t="n">
        <f aca="false">I992+R992</f>
        <v>26</v>
      </c>
      <c r="U992" s="0" t="n">
        <f aca="false">O992+S992</f>
        <v>37</v>
      </c>
      <c r="V992" s="0" t="n">
        <f aca="false">T992-U992</f>
        <v>-11</v>
      </c>
      <c r="W992" s="0" t="n">
        <f aca="false">T992+U992</f>
        <v>63</v>
      </c>
    </row>
    <row r="993" customFormat="false" ht="15" hidden="false" customHeight="false" outlineLevel="0" collapsed="false">
      <c r="A993" s="0" t="n">
        <v>990</v>
      </c>
      <c r="B993" s="0" t="n">
        <f aca="true">NORMINV(RAND(),1,Coefficients!$B$22)</f>
        <v>0.931596585082682</v>
      </c>
      <c r="C993" s="0" t="n">
        <f aca="true">MEDIAN(8,16,ROUND(NORMINV(RAND(),Coefficients!$B$20,Coefficients!$B$21),0))</f>
        <v>10</v>
      </c>
      <c r="D993" s="0" t="n">
        <f aca="true">CRITBINOM($C993,MIN(0.75,Matchup!$B$39*$B993),RAND())</f>
        <v>1</v>
      </c>
      <c r="E993" s="0" t="n">
        <f aca="true">CRITBINOM(D993,Coefficients!$B$30,RAND())</f>
        <v>0</v>
      </c>
      <c r="F993" s="0" t="n">
        <f aca="true">CRITBINOM(E993,Coefficients!$B$31,RAND())</f>
        <v>0</v>
      </c>
      <c r="G993" s="0" t="n">
        <f aca="true">CRITBINOM(MAX(0,D993-E993),1-Coefficients!$B$32,RAND())</f>
        <v>0</v>
      </c>
      <c r="H993" s="0" t="n">
        <f aca="true">CRITBINOM(MAX(0,$C993-D993),MIN(0.6,Matchup!$B$40*SQRT($B993)/(1-MIN(0.75,Matchup!$B$39*$B993))),RAND())</f>
        <v>0</v>
      </c>
      <c r="I993" s="0" t="n">
        <f aca="false">6*D993+(D993-E993-G993)+2*F993+3*H993</f>
        <v>7</v>
      </c>
      <c r="J993" s="0" t="n">
        <f aca="true">CRITBINOM($C993,MIN(0.75,Matchup!$C$39*$B993),RAND())</f>
        <v>2</v>
      </c>
      <c r="K993" s="0" t="n">
        <f aca="true">CRITBINOM(J993,Coefficients!$B$30,RAND())</f>
        <v>0</v>
      </c>
      <c r="L993" s="0" t="n">
        <f aca="true">CRITBINOM(K993,Coefficients!$B$31,RAND())</f>
        <v>0</v>
      </c>
      <c r="M993" s="0" t="n">
        <f aca="true">CRITBINOM(MAX(0,J993-K993),1-Coefficients!$B$32,RAND())</f>
        <v>1</v>
      </c>
      <c r="N993" s="0" t="n">
        <f aca="true">CRITBINOM(MAX(0,$C993-J993),MIN(0.6,Matchup!$C$40*SQRT($B993)/(1-MIN(0.75,Matchup!$C$39*$B993))),RAND())</f>
        <v>1</v>
      </c>
      <c r="O993" s="0" t="n">
        <f aca="false">6*J993+(J993-K993-M993)+2*L993+3*N993</f>
        <v>16</v>
      </c>
      <c r="P993" s="0" t="n">
        <f aca="true">RAND()</f>
        <v>0.600665245684441</v>
      </c>
      <c r="Q993" s="0" t="n">
        <f aca="true">RAND()</f>
        <v>0.0958576875938485</v>
      </c>
      <c r="R993" s="0" t="n">
        <f aca="false">IF($I993&lt;&gt;$O993,0,IF(P993&lt;Matchup!$B$39,7,IF(P993&lt;Matchup!$B$39+Matchup!$B$40,3,0)))</f>
        <v>0</v>
      </c>
      <c r="S993" s="0" t="n">
        <f aca="false">IF($I993&lt;&gt;$O993,0,IF(Q993&lt;Matchup!$C$39,7,IF(Q993&lt;Matchup!$C$39+Matchup!$C$40,3,0)))</f>
        <v>0</v>
      </c>
      <c r="T993" s="0" t="n">
        <f aca="false">I993+R993</f>
        <v>7</v>
      </c>
      <c r="U993" s="0" t="n">
        <f aca="false">O993+S993</f>
        <v>16</v>
      </c>
      <c r="V993" s="0" t="n">
        <f aca="false">T993-U993</f>
        <v>-9</v>
      </c>
      <c r="W993" s="0" t="n">
        <f aca="false">T993+U993</f>
        <v>23</v>
      </c>
    </row>
    <row r="994" customFormat="false" ht="15" hidden="false" customHeight="false" outlineLevel="0" collapsed="false">
      <c r="A994" s="0" t="n">
        <v>991</v>
      </c>
      <c r="B994" s="0" t="n">
        <f aca="true">NORMINV(RAND(),1,Coefficients!$B$22)</f>
        <v>0.886722174202473</v>
      </c>
      <c r="C994" s="0" t="n">
        <f aca="true">MEDIAN(8,16,ROUND(NORMINV(RAND(),Coefficients!$B$20,Coefficients!$B$21),0))</f>
        <v>12</v>
      </c>
      <c r="D994" s="0" t="n">
        <f aca="true">CRITBINOM($C994,MIN(0.75,Matchup!$B$39*$B994),RAND())</f>
        <v>4</v>
      </c>
      <c r="E994" s="0" t="n">
        <f aca="true">CRITBINOM(D994,Coefficients!$B$30,RAND())</f>
        <v>0</v>
      </c>
      <c r="F994" s="0" t="n">
        <f aca="true">CRITBINOM(E994,Coefficients!$B$31,RAND())</f>
        <v>0</v>
      </c>
      <c r="G994" s="0" t="n">
        <f aca="true">CRITBINOM(MAX(0,D994-E994),1-Coefficients!$B$32,RAND())</f>
        <v>1</v>
      </c>
      <c r="H994" s="0" t="n">
        <f aca="true">CRITBINOM(MAX(0,$C994-D994),MIN(0.6,Matchup!$B$40*SQRT($B994)/(1-MIN(0.75,Matchup!$B$39*$B994))),RAND())</f>
        <v>1</v>
      </c>
      <c r="I994" s="0" t="n">
        <f aca="false">6*D994+(D994-E994-G994)+2*F994+3*H994</f>
        <v>30</v>
      </c>
      <c r="J994" s="0" t="n">
        <f aca="true">CRITBINOM($C994,MIN(0.75,Matchup!$C$39*$B994),RAND())</f>
        <v>1</v>
      </c>
      <c r="K994" s="0" t="n">
        <f aca="true">CRITBINOM(J994,Coefficients!$B$30,RAND())</f>
        <v>0</v>
      </c>
      <c r="L994" s="0" t="n">
        <f aca="true">CRITBINOM(K994,Coefficients!$B$31,RAND())</f>
        <v>0</v>
      </c>
      <c r="M994" s="0" t="n">
        <f aca="true">CRITBINOM(MAX(0,J994-K994),1-Coefficients!$B$32,RAND())</f>
        <v>0</v>
      </c>
      <c r="N994" s="0" t="n">
        <f aca="true">CRITBINOM(MAX(0,$C994-J994),MIN(0.6,Matchup!$C$40*SQRT($B994)/(1-MIN(0.75,Matchup!$C$39*$B994))),RAND())</f>
        <v>2</v>
      </c>
      <c r="O994" s="0" t="n">
        <f aca="false">6*J994+(J994-K994-M994)+2*L994+3*N994</f>
        <v>13</v>
      </c>
      <c r="P994" s="0" t="n">
        <f aca="true">RAND()</f>
        <v>0.613917606200806</v>
      </c>
      <c r="Q994" s="0" t="n">
        <f aca="true">RAND()</f>
        <v>0.0475338053024007</v>
      </c>
      <c r="R994" s="0" t="n">
        <f aca="false">IF($I994&lt;&gt;$O994,0,IF(P994&lt;Matchup!$B$39,7,IF(P994&lt;Matchup!$B$39+Matchup!$B$40,3,0)))</f>
        <v>0</v>
      </c>
      <c r="S994" s="0" t="n">
        <f aca="false">IF($I994&lt;&gt;$O994,0,IF(Q994&lt;Matchup!$C$39,7,IF(Q994&lt;Matchup!$C$39+Matchup!$C$40,3,0)))</f>
        <v>0</v>
      </c>
      <c r="T994" s="0" t="n">
        <f aca="false">I994+R994</f>
        <v>30</v>
      </c>
      <c r="U994" s="0" t="n">
        <f aca="false">O994+S994</f>
        <v>13</v>
      </c>
      <c r="V994" s="0" t="n">
        <f aca="false">T994-U994</f>
        <v>17</v>
      </c>
      <c r="W994" s="0" t="n">
        <f aca="false">T994+U994</f>
        <v>43</v>
      </c>
    </row>
    <row r="995" customFormat="false" ht="15" hidden="false" customHeight="false" outlineLevel="0" collapsed="false">
      <c r="A995" s="0" t="n">
        <v>992</v>
      </c>
      <c r="B995" s="0" t="n">
        <f aca="true">NORMINV(RAND(),1,Coefficients!$B$22)</f>
        <v>0.905984429858621</v>
      </c>
      <c r="C995" s="0" t="n">
        <f aca="true">MEDIAN(8,16,ROUND(NORMINV(RAND(),Coefficients!$B$20,Coefficients!$B$21),0))</f>
        <v>13</v>
      </c>
      <c r="D995" s="0" t="n">
        <f aca="true">CRITBINOM($C995,MIN(0.75,Matchup!$B$39*$B995),RAND())</f>
        <v>2</v>
      </c>
      <c r="E995" s="0" t="n">
        <f aca="true">CRITBINOM(D995,Coefficients!$B$30,RAND())</f>
        <v>0</v>
      </c>
      <c r="F995" s="0" t="n">
        <f aca="true">CRITBINOM(E995,Coefficients!$B$31,RAND())</f>
        <v>0</v>
      </c>
      <c r="G995" s="0" t="n">
        <f aca="true">CRITBINOM(MAX(0,D995-E995),1-Coefficients!$B$32,RAND())</f>
        <v>0</v>
      </c>
      <c r="H995" s="0" t="n">
        <f aca="true">CRITBINOM(MAX(0,$C995-D995),MIN(0.6,Matchup!$B$40*SQRT($B995)/(1-MIN(0.75,Matchup!$B$39*$B995))),RAND())</f>
        <v>2</v>
      </c>
      <c r="I995" s="0" t="n">
        <f aca="false">6*D995+(D995-E995-G995)+2*F995+3*H995</f>
        <v>20</v>
      </c>
      <c r="J995" s="0" t="n">
        <f aca="true">CRITBINOM($C995,MIN(0.75,Matchup!$C$39*$B995),RAND())</f>
        <v>2</v>
      </c>
      <c r="K995" s="0" t="n">
        <f aca="true">CRITBINOM(J995,Coefficients!$B$30,RAND())</f>
        <v>0</v>
      </c>
      <c r="L995" s="0" t="n">
        <f aca="true">CRITBINOM(K995,Coefficients!$B$31,RAND())</f>
        <v>0</v>
      </c>
      <c r="M995" s="0" t="n">
        <f aca="true">CRITBINOM(MAX(0,J995-K995),1-Coefficients!$B$32,RAND())</f>
        <v>0</v>
      </c>
      <c r="N995" s="0" t="n">
        <f aca="true">CRITBINOM(MAX(0,$C995-J995),MIN(0.6,Matchup!$C$40*SQRT($B995)/(1-MIN(0.75,Matchup!$C$39*$B995))),RAND())</f>
        <v>2</v>
      </c>
      <c r="O995" s="0" t="n">
        <f aca="false">6*J995+(J995-K995-M995)+2*L995+3*N995</f>
        <v>20</v>
      </c>
      <c r="P995" s="0" t="n">
        <f aca="true">RAND()</f>
        <v>0.123943858352222</v>
      </c>
      <c r="Q995" s="0" t="n">
        <f aca="true">RAND()</f>
        <v>0.489119069751092</v>
      </c>
      <c r="R995" s="0" t="n">
        <f aca="false">IF($I995&lt;&gt;$O995,0,IF(P995&lt;Matchup!$B$39,7,IF(P995&lt;Matchup!$B$39+Matchup!$B$40,3,0)))</f>
        <v>7</v>
      </c>
      <c r="S995" s="0" t="n">
        <f aca="false">IF($I995&lt;&gt;$O995,0,IF(Q995&lt;Matchup!$C$39,7,IF(Q995&lt;Matchup!$C$39+Matchup!$C$40,3,0)))</f>
        <v>0</v>
      </c>
      <c r="T995" s="0" t="n">
        <f aca="false">I995+R995</f>
        <v>27</v>
      </c>
      <c r="U995" s="0" t="n">
        <f aca="false">O995+S995</f>
        <v>20</v>
      </c>
      <c r="V995" s="0" t="n">
        <f aca="false">T995-U995</f>
        <v>7</v>
      </c>
      <c r="W995" s="0" t="n">
        <f aca="false">T995+U995</f>
        <v>47</v>
      </c>
    </row>
    <row r="996" customFormat="false" ht="15" hidden="false" customHeight="false" outlineLevel="0" collapsed="false">
      <c r="A996" s="0" t="n">
        <v>993</v>
      </c>
      <c r="B996" s="0" t="n">
        <f aca="true">NORMINV(RAND(),1,Coefficients!$B$22)</f>
        <v>1.14124736610692</v>
      </c>
      <c r="C996" s="0" t="n">
        <f aca="true">MEDIAN(8,16,ROUND(NORMINV(RAND(),Coefficients!$B$20,Coefficients!$B$21),0))</f>
        <v>11</v>
      </c>
      <c r="D996" s="0" t="n">
        <f aca="true">CRITBINOM($C996,MIN(0.75,Matchup!$B$39*$B996),RAND())</f>
        <v>3</v>
      </c>
      <c r="E996" s="0" t="n">
        <f aca="true">CRITBINOM(D996,Coefficients!$B$30,RAND())</f>
        <v>0</v>
      </c>
      <c r="F996" s="0" t="n">
        <f aca="true">CRITBINOM(E996,Coefficients!$B$31,RAND())</f>
        <v>0</v>
      </c>
      <c r="G996" s="0" t="n">
        <f aca="true">CRITBINOM(MAX(0,D996-E996),1-Coefficients!$B$32,RAND())</f>
        <v>0</v>
      </c>
      <c r="H996" s="0" t="n">
        <f aca="true">CRITBINOM(MAX(0,$C996-D996),MIN(0.6,Matchup!$B$40*SQRT($B996)/(1-MIN(0.75,Matchup!$B$39*$B996))),RAND())</f>
        <v>2</v>
      </c>
      <c r="I996" s="0" t="n">
        <f aca="false">6*D996+(D996-E996-G996)+2*F996+3*H996</f>
        <v>27</v>
      </c>
      <c r="J996" s="0" t="n">
        <f aca="true">CRITBINOM($C996,MIN(0.75,Matchup!$C$39*$B996),RAND())</f>
        <v>2</v>
      </c>
      <c r="K996" s="0" t="n">
        <f aca="true">CRITBINOM(J996,Coefficients!$B$30,RAND())</f>
        <v>0</v>
      </c>
      <c r="L996" s="0" t="n">
        <f aca="true">CRITBINOM(K996,Coefficients!$B$31,RAND())</f>
        <v>0</v>
      </c>
      <c r="M996" s="0" t="n">
        <f aca="true">CRITBINOM(MAX(0,J996-K996),1-Coefficients!$B$32,RAND())</f>
        <v>0</v>
      </c>
      <c r="N996" s="0" t="n">
        <f aca="true">CRITBINOM(MAX(0,$C996-J996),MIN(0.6,Matchup!$C$40*SQRT($B996)/(1-MIN(0.75,Matchup!$C$39*$B996))),RAND())</f>
        <v>3</v>
      </c>
      <c r="O996" s="0" t="n">
        <f aca="false">6*J996+(J996-K996-M996)+2*L996+3*N996</f>
        <v>23</v>
      </c>
      <c r="P996" s="0" t="n">
        <f aca="true">RAND()</f>
        <v>0.0709065444113457</v>
      </c>
      <c r="Q996" s="0" t="n">
        <f aca="true">RAND()</f>
        <v>0.239557788967504</v>
      </c>
      <c r="R996" s="0" t="n">
        <f aca="false">IF($I996&lt;&gt;$O996,0,IF(P996&lt;Matchup!$B$39,7,IF(P996&lt;Matchup!$B$39+Matchup!$B$40,3,0)))</f>
        <v>0</v>
      </c>
      <c r="S996" s="0" t="n">
        <f aca="false">IF($I996&lt;&gt;$O996,0,IF(Q996&lt;Matchup!$C$39,7,IF(Q996&lt;Matchup!$C$39+Matchup!$C$40,3,0)))</f>
        <v>0</v>
      </c>
      <c r="T996" s="0" t="n">
        <f aca="false">I996+R996</f>
        <v>27</v>
      </c>
      <c r="U996" s="0" t="n">
        <f aca="false">O996+S996</f>
        <v>23</v>
      </c>
      <c r="V996" s="0" t="n">
        <f aca="false">T996-U996</f>
        <v>4</v>
      </c>
      <c r="W996" s="0" t="n">
        <f aca="false">T996+U996</f>
        <v>50</v>
      </c>
    </row>
    <row r="997" customFormat="false" ht="15" hidden="false" customHeight="false" outlineLevel="0" collapsed="false">
      <c r="A997" s="0" t="n">
        <v>994</v>
      </c>
      <c r="B997" s="0" t="n">
        <f aca="true">NORMINV(RAND(),1,Coefficients!$B$22)</f>
        <v>0.909773661728328</v>
      </c>
      <c r="C997" s="0" t="n">
        <f aca="true">MEDIAN(8,16,ROUND(NORMINV(RAND(),Coefficients!$B$20,Coefficients!$B$21),0))</f>
        <v>10</v>
      </c>
      <c r="D997" s="0" t="n">
        <f aca="true">CRITBINOM($C997,MIN(0.75,Matchup!$B$39*$B997),RAND())</f>
        <v>3</v>
      </c>
      <c r="E997" s="0" t="n">
        <f aca="true">CRITBINOM(D997,Coefficients!$B$30,RAND())</f>
        <v>0</v>
      </c>
      <c r="F997" s="0" t="n">
        <f aca="true">CRITBINOM(E997,Coefficients!$B$31,RAND())</f>
        <v>0</v>
      </c>
      <c r="G997" s="0" t="n">
        <f aca="true">CRITBINOM(MAX(0,D997-E997),1-Coefficients!$B$32,RAND())</f>
        <v>0</v>
      </c>
      <c r="H997" s="0" t="n">
        <f aca="true">CRITBINOM(MAX(0,$C997-D997),MIN(0.6,Matchup!$B$40*SQRT($B997)/(1-MIN(0.75,Matchup!$B$39*$B997))),RAND())</f>
        <v>1</v>
      </c>
      <c r="I997" s="0" t="n">
        <f aca="false">6*D997+(D997-E997-G997)+2*F997+3*H997</f>
        <v>24</v>
      </c>
      <c r="J997" s="0" t="n">
        <f aca="true">CRITBINOM($C997,MIN(0.75,Matchup!$C$39*$B997),RAND())</f>
        <v>1</v>
      </c>
      <c r="K997" s="0" t="n">
        <f aca="true">CRITBINOM(J997,Coefficients!$B$30,RAND())</f>
        <v>0</v>
      </c>
      <c r="L997" s="0" t="n">
        <f aca="true">CRITBINOM(K997,Coefficients!$B$31,RAND())</f>
        <v>0</v>
      </c>
      <c r="M997" s="0" t="n">
        <f aca="true">CRITBINOM(MAX(0,J997-K997),1-Coefficients!$B$32,RAND())</f>
        <v>0</v>
      </c>
      <c r="N997" s="0" t="n">
        <f aca="true">CRITBINOM(MAX(0,$C997-J997),MIN(0.6,Matchup!$C$40*SQRT($B997)/(1-MIN(0.75,Matchup!$C$39*$B997))),RAND())</f>
        <v>2</v>
      </c>
      <c r="O997" s="0" t="n">
        <f aca="false">6*J997+(J997-K997-M997)+2*L997+3*N997</f>
        <v>13</v>
      </c>
      <c r="P997" s="0" t="n">
        <f aca="true">RAND()</f>
        <v>0.810342484058068</v>
      </c>
      <c r="Q997" s="0" t="n">
        <f aca="true">RAND()</f>
        <v>0.0791837902267315</v>
      </c>
      <c r="R997" s="0" t="n">
        <f aca="false">IF($I997&lt;&gt;$O997,0,IF(P997&lt;Matchup!$B$39,7,IF(P997&lt;Matchup!$B$39+Matchup!$B$40,3,0)))</f>
        <v>0</v>
      </c>
      <c r="S997" s="0" t="n">
        <f aca="false">IF($I997&lt;&gt;$O997,0,IF(Q997&lt;Matchup!$C$39,7,IF(Q997&lt;Matchup!$C$39+Matchup!$C$40,3,0)))</f>
        <v>0</v>
      </c>
      <c r="T997" s="0" t="n">
        <f aca="false">I997+R997</f>
        <v>24</v>
      </c>
      <c r="U997" s="0" t="n">
        <f aca="false">O997+S997</f>
        <v>13</v>
      </c>
      <c r="V997" s="0" t="n">
        <f aca="false">T997-U997</f>
        <v>11</v>
      </c>
      <c r="W997" s="0" t="n">
        <f aca="false">T997+U997</f>
        <v>37</v>
      </c>
    </row>
    <row r="998" customFormat="false" ht="15" hidden="false" customHeight="false" outlineLevel="0" collapsed="false">
      <c r="A998" s="0" t="n">
        <v>995</v>
      </c>
      <c r="B998" s="0" t="n">
        <f aca="true">NORMINV(RAND(),1,Coefficients!$B$22)</f>
        <v>1.06018219626464</v>
      </c>
      <c r="C998" s="0" t="n">
        <f aca="true">MEDIAN(8,16,ROUND(NORMINV(RAND(),Coefficients!$B$20,Coefficients!$B$21),0))</f>
        <v>9</v>
      </c>
      <c r="D998" s="0" t="n">
        <f aca="true">CRITBINOM($C998,MIN(0.75,Matchup!$B$39*$B998),RAND())</f>
        <v>2</v>
      </c>
      <c r="E998" s="0" t="n">
        <f aca="true">CRITBINOM(D998,Coefficients!$B$30,RAND())</f>
        <v>0</v>
      </c>
      <c r="F998" s="0" t="n">
        <f aca="true">CRITBINOM(E998,Coefficients!$B$31,RAND())</f>
        <v>0</v>
      </c>
      <c r="G998" s="0" t="n">
        <f aca="true">CRITBINOM(MAX(0,D998-E998),1-Coefficients!$B$32,RAND())</f>
        <v>0</v>
      </c>
      <c r="H998" s="0" t="n">
        <f aca="true">CRITBINOM(MAX(0,$C998-D998),MIN(0.6,Matchup!$B$40*SQRT($B998)/(1-MIN(0.75,Matchup!$B$39*$B998))),RAND())</f>
        <v>1</v>
      </c>
      <c r="I998" s="0" t="n">
        <f aca="false">6*D998+(D998-E998-G998)+2*F998+3*H998</f>
        <v>17</v>
      </c>
      <c r="J998" s="0" t="n">
        <f aca="true">CRITBINOM($C998,MIN(0.75,Matchup!$C$39*$B998),RAND())</f>
        <v>1</v>
      </c>
      <c r="K998" s="0" t="n">
        <f aca="true">CRITBINOM(J998,Coefficients!$B$30,RAND())</f>
        <v>0</v>
      </c>
      <c r="L998" s="0" t="n">
        <f aca="true">CRITBINOM(K998,Coefficients!$B$31,RAND())</f>
        <v>0</v>
      </c>
      <c r="M998" s="0" t="n">
        <f aca="true">CRITBINOM(MAX(0,J998-K998),1-Coefficients!$B$32,RAND())</f>
        <v>0</v>
      </c>
      <c r="N998" s="0" t="n">
        <f aca="true">CRITBINOM(MAX(0,$C998-J998),MIN(0.6,Matchup!$C$40*SQRT($B998)/(1-MIN(0.75,Matchup!$C$39*$B998))),RAND())</f>
        <v>3</v>
      </c>
      <c r="O998" s="0" t="n">
        <f aca="false">6*J998+(J998-K998-M998)+2*L998+3*N998</f>
        <v>16</v>
      </c>
      <c r="P998" s="0" t="n">
        <f aca="true">RAND()</f>
        <v>0.216233470516256</v>
      </c>
      <c r="Q998" s="0" t="n">
        <f aca="true">RAND()</f>
        <v>0.0904216189894765</v>
      </c>
      <c r="R998" s="0" t="n">
        <f aca="false">IF($I998&lt;&gt;$O998,0,IF(P998&lt;Matchup!$B$39,7,IF(P998&lt;Matchup!$B$39+Matchup!$B$40,3,0)))</f>
        <v>0</v>
      </c>
      <c r="S998" s="0" t="n">
        <f aca="false">IF($I998&lt;&gt;$O998,0,IF(Q998&lt;Matchup!$C$39,7,IF(Q998&lt;Matchup!$C$39+Matchup!$C$40,3,0)))</f>
        <v>0</v>
      </c>
      <c r="T998" s="0" t="n">
        <f aca="false">I998+R998</f>
        <v>17</v>
      </c>
      <c r="U998" s="0" t="n">
        <f aca="false">O998+S998</f>
        <v>16</v>
      </c>
      <c r="V998" s="0" t="n">
        <f aca="false">T998-U998</f>
        <v>1</v>
      </c>
      <c r="W998" s="0" t="n">
        <f aca="false">T998+U998</f>
        <v>33</v>
      </c>
    </row>
    <row r="999" customFormat="false" ht="15" hidden="false" customHeight="false" outlineLevel="0" collapsed="false">
      <c r="A999" s="0" t="n">
        <v>996</v>
      </c>
      <c r="B999" s="0" t="n">
        <f aca="true">NORMINV(RAND(),1,Coefficients!$B$22)</f>
        <v>0.852369527857043</v>
      </c>
      <c r="C999" s="0" t="n">
        <f aca="true">MEDIAN(8,16,ROUND(NORMINV(RAND(),Coefficients!$B$20,Coefficients!$B$21),0))</f>
        <v>11</v>
      </c>
      <c r="D999" s="0" t="n">
        <f aca="true">CRITBINOM($C999,MIN(0.75,Matchup!$B$39*$B999),RAND())</f>
        <v>1</v>
      </c>
      <c r="E999" s="0" t="n">
        <f aca="true">CRITBINOM(D999,Coefficients!$B$30,RAND())</f>
        <v>1</v>
      </c>
      <c r="F999" s="0" t="n">
        <f aca="true">CRITBINOM(E999,Coefficients!$B$31,RAND())</f>
        <v>0</v>
      </c>
      <c r="G999" s="0" t="n">
        <f aca="true">CRITBINOM(MAX(0,D999-E999),1-Coefficients!$B$32,RAND())</f>
        <v>0</v>
      </c>
      <c r="H999" s="0" t="n">
        <f aca="true">CRITBINOM(MAX(0,$C999-D999),MIN(0.6,Matchup!$B$40*SQRT($B999)/(1-MIN(0.75,Matchup!$B$39*$B999))),RAND())</f>
        <v>1</v>
      </c>
      <c r="I999" s="0" t="n">
        <f aca="false">6*D999+(D999-E999-G999)+2*F999+3*H999</f>
        <v>9</v>
      </c>
      <c r="J999" s="0" t="n">
        <f aca="true">CRITBINOM($C999,MIN(0.75,Matchup!$C$39*$B999),RAND())</f>
        <v>2</v>
      </c>
      <c r="K999" s="0" t="n">
        <f aca="true">CRITBINOM(J999,Coefficients!$B$30,RAND())</f>
        <v>0</v>
      </c>
      <c r="L999" s="0" t="n">
        <f aca="true">CRITBINOM(K999,Coefficients!$B$31,RAND())</f>
        <v>0</v>
      </c>
      <c r="M999" s="0" t="n">
        <f aca="true">CRITBINOM(MAX(0,J999-K999),1-Coefficients!$B$32,RAND())</f>
        <v>0</v>
      </c>
      <c r="N999" s="0" t="n">
        <f aca="true">CRITBINOM(MAX(0,$C999-J999),MIN(0.6,Matchup!$C$40*SQRT($B999)/(1-MIN(0.75,Matchup!$C$39*$B999))),RAND())</f>
        <v>2</v>
      </c>
      <c r="O999" s="0" t="n">
        <f aca="false">6*J999+(J999-K999-M999)+2*L999+3*N999</f>
        <v>20</v>
      </c>
      <c r="P999" s="0" t="n">
        <f aca="true">RAND()</f>
        <v>0.905033804385351</v>
      </c>
      <c r="Q999" s="0" t="n">
        <f aca="true">RAND()</f>
        <v>0.0302246850979423</v>
      </c>
      <c r="R999" s="0" t="n">
        <f aca="false">IF($I999&lt;&gt;$O999,0,IF(P999&lt;Matchup!$B$39,7,IF(P999&lt;Matchup!$B$39+Matchup!$B$40,3,0)))</f>
        <v>0</v>
      </c>
      <c r="S999" s="0" t="n">
        <f aca="false">IF($I999&lt;&gt;$O999,0,IF(Q999&lt;Matchup!$C$39,7,IF(Q999&lt;Matchup!$C$39+Matchup!$C$40,3,0)))</f>
        <v>0</v>
      </c>
      <c r="T999" s="0" t="n">
        <f aca="false">I999+R999</f>
        <v>9</v>
      </c>
      <c r="U999" s="0" t="n">
        <f aca="false">O999+S999</f>
        <v>20</v>
      </c>
      <c r="V999" s="0" t="n">
        <f aca="false">T999-U999</f>
        <v>-11</v>
      </c>
      <c r="W999" s="0" t="n">
        <f aca="false">T999+U999</f>
        <v>29</v>
      </c>
    </row>
    <row r="1000" customFormat="false" ht="15" hidden="false" customHeight="false" outlineLevel="0" collapsed="false">
      <c r="A1000" s="0" t="n">
        <v>997</v>
      </c>
      <c r="B1000" s="0" t="n">
        <f aca="true">NORMINV(RAND(),1,Coefficients!$B$22)</f>
        <v>0.996954600624</v>
      </c>
      <c r="C1000" s="0" t="n">
        <f aca="true">MEDIAN(8,16,ROUND(NORMINV(RAND(),Coefficients!$B$20,Coefficients!$B$21),0))</f>
        <v>11</v>
      </c>
      <c r="D1000" s="0" t="n">
        <f aca="true">CRITBINOM($C1000,MIN(0.75,Matchup!$B$39*$B1000),RAND())</f>
        <v>2</v>
      </c>
      <c r="E1000" s="0" t="n">
        <f aca="true">CRITBINOM(D1000,Coefficients!$B$30,RAND())</f>
        <v>0</v>
      </c>
      <c r="F1000" s="0" t="n">
        <f aca="true">CRITBINOM(E1000,Coefficients!$B$31,RAND())</f>
        <v>0</v>
      </c>
      <c r="G1000" s="0" t="n">
        <f aca="true">CRITBINOM(MAX(0,D1000-E1000),1-Coefficients!$B$32,RAND())</f>
        <v>0</v>
      </c>
      <c r="H1000" s="0" t="n">
        <f aca="true">CRITBINOM(MAX(0,$C1000-D1000),MIN(0.6,Matchup!$B$40*SQRT($B1000)/(1-MIN(0.75,Matchup!$B$39*$B1000))),RAND())</f>
        <v>1</v>
      </c>
      <c r="I1000" s="0" t="n">
        <f aca="false">6*D1000+(D1000-E1000-G1000)+2*F1000+3*H1000</f>
        <v>17</v>
      </c>
      <c r="J1000" s="0" t="n">
        <f aca="true">CRITBINOM($C1000,MIN(0.75,Matchup!$C$39*$B1000),RAND())</f>
        <v>4</v>
      </c>
      <c r="K1000" s="0" t="n">
        <f aca="true">CRITBINOM(J1000,Coefficients!$B$30,RAND())</f>
        <v>0</v>
      </c>
      <c r="L1000" s="0" t="n">
        <f aca="true">CRITBINOM(K1000,Coefficients!$B$31,RAND())</f>
        <v>0</v>
      </c>
      <c r="M1000" s="0" t="n">
        <f aca="true">CRITBINOM(MAX(0,J1000-K1000),1-Coefficients!$B$32,RAND())</f>
        <v>0</v>
      </c>
      <c r="N1000" s="0" t="n">
        <f aca="true">CRITBINOM(MAX(0,$C1000-J1000),MIN(0.6,Matchup!$C$40*SQRT($B1000)/(1-MIN(0.75,Matchup!$C$39*$B1000))),RAND())</f>
        <v>1</v>
      </c>
      <c r="O1000" s="0" t="n">
        <f aca="false">6*J1000+(J1000-K1000-M1000)+2*L1000+3*N1000</f>
        <v>31</v>
      </c>
      <c r="P1000" s="0" t="n">
        <f aca="true">RAND()</f>
        <v>0.547632485602761</v>
      </c>
      <c r="Q1000" s="0" t="n">
        <f aca="true">RAND()</f>
        <v>0.183056498439377</v>
      </c>
      <c r="R1000" s="0" t="n">
        <f aca="false">IF($I1000&lt;&gt;$O1000,0,IF(P1000&lt;Matchup!$B$39,7,IF(P1000&lt;Matchup!$B$39+Matchup!$B$40,3,0)))</f>
        <v>0</v>
      </c>
      <c r="S1000" s="0" t="n">
        <f aca="false">IF($I1000&lt;&gt;$O1000,0,IF(Q1000&lt;Matchup!$C$39,7,IF(Q1000&lt;Matchup!$C$39+Matchup!$C$40,3,0)))</f>
        <v>0</v>
      </c>
      <c r="T1000" s="0" t="n">
        <f aca="false">I1000+R1000</f>
        <v>17</v>
      </c>
      <c r="U1000" s="0" t="n">
        <f aca="false">O1000+S1000</f>
        <v>31</v>
      </c>
      <c r="V1000" s="0" t="n">
        <f aca="false">T1000-U1000</f>
        <v>-14</v>
      </c>
      <c r="W1000" s="0" t="n">
        <f aca="false">T1000+U1000</f>
        <v>48</v>
      </c>
    </row>
    <row r="1001" customFormat="false" ht="15" hidden="false" customHeight="false" outlineLevel="0" collapsed="false">
      <c r="A1001" s="0" t="n">
        <v>998</v>
      </c>
      <c r="B1001" s="0" t="n">
        <f aca="true">NORMINV(RAND(),1,Coefficients!$B$22)</f>
        <v>1.06108772745173</v>
      </c>
      <c r="C1001" s="0" t="n">
        <f aca="true">MEDIAN(8,16,ROUND(NORMINV(RAND(),Coefficients!$B$20,Coefficients!$B$21),0))</f>
        <v>10</v>
      </c>
      <c r="D1001" s="0" t="n">
        <f aca="true">CRITBINOM($C1001,MIN(0.75,Matchup!$B$39*$B1001),RAND())</f>
        <v>3</v>
      </c>
      <c r="E1001" s="0" t="n">
        <f aca="true">CRITBINOM(D1001,Coefficients!$B$30,RAND())</f>
        <v>0</v>
      </c>
      <c r="F1001" s="0" t="n">
        <f aca="true">CRITBINOM(E1001,Coefficients!$B$31,RAND())</f>
        <v>0</v>
      </c>
      <c r="G1001" s="0" t="n">
        <f aca="true">CRITBINOM(MAX(0,D1001-E1001),1-Coefficients!$B$32,RAND())</f>
        <v>0</v>
      </c>
      <c r="H1001" s="0" t="n">
        <f aca="true">CRITBINOM(MAX(0,$C1001-D1001),MIN(0.6,Matchup!$B$40*SQRT($B1001)/(1-MIN(0.75,Matchup!$B$39*$B1001))),RAND())</f>
        <v>1</v>
      </c>
      <c r="I1001" s="0" t="n">
        <f aca="false">6*D1001+(D1001-E1001-G1001)+2*F1001+3*H1001</f>
        <v>24</v>
      </c>
      <c r="J1001" s="0" t="n">
        <f aca="true">CRITBINOM($C1001,MIN(0.75,Matchup!$C$39*$B1001),RAND())</f>
        <v>4</v>
      </c>
      <c r="K1001" s="0" t="n">
        <f aca="true">CRITBINOM(J1001,Coefficients!$B$30,RAND())</f>
        <v>1</v>
      </c>
      <c r="L1001" s="0" t="n">
        <f aca="true">CRITBINOM(K1001,Coefficients!$B$31,RAND())</f>
        <v>1</v>
      </c>
      <c r="M1001" s="0" t="n">
        <f aca="true">CRITBINOM(MAX(0,J1001-K1001),1-Coefficients!$B$32,RAND())</f>
        <v>1</v>
      </c>
      <c r="N1001" s="0" t="n">
        <f aca="true">CRITBINOM(MAX(0,$C1001-J1001),MIN(0.6,Matchup!$C$40*SQRT($B1001)/(1-MIN(0.75,Matchup!$C$39*$B1001))),RAND())</f>
        <v>1</v>
      </c>
      <c r="O1001" s="0" t="n">
        <f aca="false">6*J1001+(J1001-K1001-M1001)+2*L1001+3*N1001</f>
        <v>31</v>
      </c>
      <c r="P1001" s="0" t="n">
        <f aca="true">RAND()</f>
        <v>0.832409438253903</v>
      </c>
      <c r="Q1001" s="0" t="n">
        <f aca="true">RAND()</f>
        <v>0.0942894720432759</v>
      </c>
      <c r="R1001" s="0" t="n">
        <f aca="false">IF($I1001&lt;&gt;$O1001,0,IF(P1001&lt;Matchup!$B$39,7,IF(P1001&lt;Matchup!$B$39+Matchup!$B$40,3,0)))</f>
        <v>0</v>
      </c>
      <c r="S1001" s="0" t="n">
        <f aca="false">IF($I1001&lt;&gt;$O1001,0,IF(Q1001&lt;Matchup!$C$39,7,IF(Q1001&lt;Matchup!$C$39+Matchup!$C$40,3,0)))</f>
        <v>0</v>
      </c>
      <c r="T1001" s="0" t="n">
        <f aca="false">I1001+R1001</f>
        <v>24</v>
      </c>
      <c r="U1001" s="0" t="n">
        <f aca="false">O1001+S1001</f>
        <v>31</v>
      </c>
      <c r="V1001" s="0" t="n">
        <f aca="false">T1001-U1001</f>
        <v>-7</v>
      </c>
      <c r="W1001" s="0" t="n">
        <f aca="false">T1001+U1001</f>
        <v>55</v>
      </c>
    </row>
    <row r="1002" customFormat="false" ht="15" hidden="false" customHeight="false" outlineLevel="0" collapsed="false">
      <c r="A1002" s="0" t="n">
        <v>999</v>
      </c>
      <c r="B1002" s="0" t="n">
        <f aca="true">NORMINV(RAND(),1,Coefficients!$B$22)</f>
        <v>0.982457140637771</v>
      </c>
      <c r="C1002" s="0" t="n">
        <f aca="true">MEDIAN(8,16,ROUND(NORMINV(RAND(),Coefficients!$B$20,Coefficients!$B$21),0))</f>
        <v>12</v>
      </c>
      <c r="D1002" s="0" t="n">
        <f aca="true">CRITBINOM($C1002,MIN(0.75,Matchup!$B$39*$B1002),RAND())</f>
        <v>6</v>
      </c>
      <c r="E1002" s="0" t="n">
        <f aca="true">CRITBINOM(D1002,Coefficients!$B$30,RAND())</f>
        <v>0</v>
      </c>
      <c r="F1002" s="0" t="n">
        <f aca="true">CRITBINOM(E1002,Coefficients!$B$31,RAND())</f>
        <v>0</v>
      </c>
      <c r="G1002" s="0" t="n">
        <f aca="true">CRITBINOM(MAX(0,D1002-E1002),1-Coefficients!$B$32,RAND())</f>
        <v>0</v>
      </c>
      <c r="H1002" s="0" t="n">
        <f aca="true">CRITBINOM(MAX(0,$C1002-D1002),MIN(0.6,Matchup!$B$40*SQRT($B1002)/(1-MIN(0.75,Matchup!$B$39*$B1002))),RAND())</f>
        <v>1</v>
      </c>
      <c r="I1002" s="0" t="n">
        <f aca="false">6*D1002+(D1002-E1002-G1002)+2*F1002+3*H1002</f>
        <v>45</v>
      </c>
      <c r="J1002" s="0" t="n">
        <f aca="true">CRITBINOM($C1002,MIN(0.75,Matchup!$C$39*$B1002),RAND())</f>
        <v>3</v>
      </c>
      <c r="K1002" s="0" t="n">
        <f aca="true">CRITBINOM(J1002,Coefficients!$B$30,RAND())</f>
        <v>0</v>
      </c>
      <c r="L1002" s="0" t="n">
        <f aca="true">CRITBINOM(K1002,Coefficients!$B$31,RAND())</f>
        <v>0</v>
      </c>
      <c r="M1002" s="0" t="n">
        <f aca="true">CRITBINOM(MAX(0,J1002-K1002),1-Coefficients!$B$32,RAND())</f>
        <v>0</v>
      </c>
      <c r="N1002" s="0" t="n">
        <f aca="true">CRITBINOM(MAX(0,$C1002-J1002),MIN(0.6,Matchup!$C$40*SQRT($B1002)/(1-MIN(0.75,Matchup!$C$39*$B1002))),RAND())</f>
        <v>1</v>
      </c>
      <c r="O1002" s="0" t="n">
        <f aca="false">6*J1002+(J1002-K1002-M1002)+2*L1002+3*N1002</f>
        <v>24</v>
      </c>
      <c r="P1002" s="0" t="n">
        <f aca="true">RAND()</f>
        <v>0.0809726992882239</v>
      </c>
      <c r="Q1002" s="0" t="n">
        <f aca="true">RAND()</f>
        <v>0.424806385943519</v>
      </c>
      <c r="R1002" s="0" t="n">
        <f aca="false">IF($I1002&lt;&gt;$O1002,0,IF(P1002&lt;Matchup!$B$39,7,IF(P1002&lt;Matchup!$B$39+Matchup!$B$40,3,0)))</f>
        <v>0</v>
      </c>
      <c r="S1002" s="0" t="n">
        <f aca="false">IF($I1002&lt;&gt;$O1002,0,IF(Q1002&lt;Matchup!$C$39,7,IF(Q1002&lt;Matchup!$C$39+Matchup!$C$40,3,0)))</f>
        <v>0</v>
      </c>
      <c r="T1002" s="0" t="n">
        <f aca="false">I1002+R1002</f>
        <v>45</v>
      </c>
      <c r="U1002" s="0" t="n">
        <f aca="false">O1002+S1002</f>
        <v>24</v>
      </c>
      <c r="V1002" s="0" t="n">
        <f aca="false">T1002-U1002</f>
        <v>21</v>
      </c>
      <c r="W1002" s="0" t="n">
        <f aca="false">T1002+U1002</f>
        <v>69</v>
      </c>
    </row>
    <row r="1003" customFormat="false" ht="15" hidden="false" customHeight="false" outlineLevel="0" collapsed="false">
      <c r="A1003" s="0" t="n">
        <v>1000</v>
      </c>
      <c r="B1003" s="0" t="n">
        <f aca="true">NORMINV(RAND(),1,Coefficients!$B$22)</f>
        <v>0.853495084513303</v>
      </c>
      <c r="C1003" s="0" t="n">
        <f aca="true">MEDIAN(8,16,ROUND(NORMINV(RAND(),Coefficients!$B$20,Coefficients!$B$21),0))</f>
        <v>11</v>
      </c>
      <c r="D1003" s="0" t="n">
        <f aca="true">CRITBINOM($C1003,MIN(0.75,Matchup!$B$39*$B1003),RAND())</f>
        <v>5</v>
      </c>
      <c r="E1003" s="0" t="n">
        <f aca="true">CRITBINOM(D1003,Coefficients!$B$30,RAND())</f>
        <v>1</v>
      </c>
      <c r="F1003" s="0" t="n">
        <f aca="true">CRITBINOM(E1003,Coefficients!$B$31,RAND())</f>
        <v>0</v>
      </c>
      <c r="G1003" s="0" t="n">
        <f aca="true">CRITBINOM(MAX(0,D1003-E1003),1-Coefficients!$B$32,RAND())</f>
        <v>2</v>
      </c>
      <c r="H1003" s="0" t="n">
        <f aca="true">CRITBINOM(MAX(0,$C1003-D1003),MIN(0.6,Matchup!$B$40*SQRT($B1003)/(1-MIN(0.75,Matchup!$B$39*$B1003))),RAND())</f>
        <v>0</v>
      </c>
      <c r="I1003" s="0" t="n">
        <f aca="false">6*D1003+(D1003-E1003-G1003)+2*F1003+3*H1003</f>
        <v>32</v>
      </c>
      <c r="J1003" s="0" t="n">
        <f aca="true">CRITBINOM($C1003,MIN(0.75,Matchup!$C$39*$B1003),RAND())</f>
        <v>2</v>
      </c>
      <c r="K1003" s="0" t="n">
        <f aca="true">CRITBINOM(J1003,Coefficients!$B$30,RAND())</f>
        <v>0</v>
      </c>
      <c r="L1003" s="0" t="n">
        <f aca="true">CRITBINOM(K1003,Coefficients!$B$31,RAND())</f>
        <v>0</v>
      </c>
      <c r="M1003" s="0" t="n">
        <f aca="true">CRITBINOM(MAX(0,J1003-K1003),1-Coefficients!$B$32,RAND())</f>
        <v>0</v>
      </c>
      <c r="N1003" s="0" t="n">
        <f aca="true">CRITBINOM(MAX(0,$C1003-J1003),MIN(0.6,Matchup!$C$40*SQRT($B1003)/(1-MIN(0.75,Matchup!$C$39*$B1003))),RAND())</f>
        <v>2</v>
      </c>
      <c r="O1003" s="0" t="n">
        <f aca="false">6*J1003+(J1003-K1003-M1003)+2*L1003+3*N1003</f>
        <v>20</v>
      </c>
      <c r="P1003" s="0" t="n">
        <f aca="true">RAND()</f>
        <v>0.170152936542586</v>
      </c>
      <c r="Q1003" s="0" t="n">
        <f aca="true">RAND()</f>
        <v>0.100184145100215</v>
      </c>
      <c r="R1003" s="0" t="n">
        <f aca="false">IF($I1003&lt;&gt;$O1003,0,IF(P1003&lt;Matchup!$B$39,7,IF(P1003&lt;Matchup!$B$39+Matchup!$B$40,3,0)))</f>
        <v>0</v>
      </c>
      <c r="S1003" s="0" t="n">
        <f aca="false">IF($I1003&lt;&gt;$O1003,0,IF(Q1003&lt;Matchup!$C$39,7,IF(Q1003&lt;Matchup!$C$39+Matchup!$C$40,3,0)))</f>
        <v>0</v>
      </c>
      <c r="T1003" s="0" t="n">
        <f aca="false">I1003+R1003</f>
        <v>32</v>
      </c>
      <c r="U1003" s="0" t="n">
        <f aca="false">O1003+S1003</f>
        <v>20</v>
      </c>
      <c r="V1003" s="0" t="n">
        <f aca="false">T1003-U1003</f>
        <v>12</v>
      </c>
      <c r="W1003" s="0" t="n">
        <f aca="false">T1003+U1003</f>
        <v>52</v>
      </c>
    </row>
    <row r="1004" customFormat="false" ht="15" hidden="false" customHeight="false" outlineLevel="0" collapsed="false">
      <c r="A1004" s="0" t="n">
        <v>1001</v>
      </c>
      <c r="B1004" s="0" t="n">
        <f aca="true">NORMINV(RAND(),1,Coefficients!$B$22)</f>
        <v>0.927947125130862</v>
      </c>
      <c r="C1004" s="0" t="n">
        <f aca="true">MEDIAN(8,16,ROUND(NORMINV(RAND(),Coefficients!$B$20,Coefficients!$B$21),0))</f>
        <v>14</v>
      </c>
      <c r="D1004" s="0" t="n">
        <f aca="true">CRITBINOM($C1004,MIN(0.75,Matchup!$B$39*$B1004),RAND())</f>
        <v>3</v>
      </c>
      <c r="E1004" s="0" t="n">
        <f aca="true">CRITBINOM(D1004,Coefficients!$B$30,RAND())</f>
        <v>0</v>
      </c>
      <c r="F1004" s="0" t="n">
        <f aca="true">CRITBINOM(E1004,Coefficients!$B$31,RAND())</f>
        <v>0</v>
      </c>
      <c r="G1004" s="0" t="n">
        <f aca="true">CRITBINOM(MAX(0,D1004-E1004),1-Coefficients!$B$32,RAND())</f>
        <v>0</v>
      </c>
      <c r="H1004" s="0" t="n">
        <f aca="true">CRITBINOM(MAX(0,$C1004-D1004),MIN(0.6,Matchup!$B$40*SQRT($B1004)/(1-MIN(0.75,Matchup!$B$39*$B1004))),RAND())</f>
        <v>1</v>
      </c>
      <c r="I1004" s="0" t="n">
        <f aca="false">6*D1004+(D1004-E1004-G1004)+2*F1004+3*H1004</f>
        <v>24</v>
      </c>
      <c r="J1004" s="0" t="n">
        <f aca="true">CRITBINOM($C1004,MIN(0.75,Matchup!$C$39*$B1004),RAND())</f>
        <v>2</v>
      </c>
      <c r="K1004" s="0" t="n">
        <f aca="true">CRITBINOM(J1004,Coefficients!$B$30,RAND())</f>
        <v>0</v>
      </c>
      <c r="L1004" s="0" t="n">
        <f aca="true">CRITBINOM(K1004,Coefficients!$B$31,RAND())</f>
        <v>0</v>
      </c>
      <c r="M1004" s="0" t="n">
        <f aca="true">CRITBINOM(MAX(0,J1004-K1004),1-Coefficients!$B$32,RAND())</f>
        <v>0</v>
      </c>
      <c r="N1004" s="0" t="n">
        <f aca="true">CRITBINOM(MAX(0,$C1004-J1004),MIN(0.6,Matchup!$C$40*SQRT($B1004)/(1-MIN(0.75,Matchup!$C$39*$B1004))),RAND())</f>
        <v>6</v>
      </c>
      <c r="O1004" s="0" t="n">
        <f aca="false">6*J1004+(J1004-K1004-M1004)+2*L1004+3*N1004</f>
        <v>32</v>
      </c>
      <c r="P1004" s="0" t="n">
        <f aca="true">RAND()</f>
        <v>0.879387666440229</v>
      </c>
      <c r="Q1004" s="0" t="n">
        <f aca="true">RAND()</f>
        <v>0.796033281953076</v>
      </c>
      <c r="R1004" s="0" t="n">
        <f aca="false">IF($I1004&lt;&gt;$O1004,0,IF(P1004&lt;Matchup!$B$39,7,IF(P1004&lt;Matchup!$B$39+Matchup!$B$40,3,0)))</f>
        <v>0</v>
      </c>
      <c r="S1004" s="0" t="n">
        <f aca="false">IF($I1004&lt;&gt;$O1004,0,IF(Q1004&lt;Matchup!$C$39,7,IF(Q1004&lt;Matchup!$C$39+Matchup!$C$40,3,0)))</f>
        <v>0</v>
      </c>
      <c r="T1004" s="0" t="n">
        <f aca="false">I1004+R1004</f>
        <v>24</v>
      </c>
      <c r="U1004" s="0" t="n">
        <f aca="false">O1004+S1004</f>
        <v>32</v>
      </c>
      <c r="V1004" s="0" t="n">
        <f aca="false">T1004-U1004</f>
        <v>-8</v>
      </c>
      <c r="W1004" s="0" t="n">
        <f aca="false">T1004+U1004</f>
        <v>56</v>
      </c>
    </row>
    <row r="1005" customFormat="false" ht="15" hidden="false" customHeight="false" outlineLevel="0" collapsed="false">
      <c r="A1005" s="0" t="n">
        <v>1002</v>
      </c>
      <c r="B1005" s="0" t="n">
        <f aca="true">NORMINV(RAND(),1,Coefficients!$B$22)</f>
        <v>0.957736187832437</v>
      </c>
      <c r="C1005" s="0" t="n">
        <f aca="true">MEDIAN(8,16,ROUND(NORMINV(RAND(),Coefficients!$B$20,Coefficients!$B$21),0))</f>
        <v>11</v>
      </c>
      <c r="D1005" s="0" t="n">
        <f aca="true">CRITBINOM($C1005,MIN(0.75,Matchup!$B$39*$B1005),RAND())</f>
        <v>3</v>
      </c>
      <c r="E1005" s="0" t="n">
        <f aca="true">CRITBINOM(D1005,Coefficients!$B$30,RAND())</f>
        <v>0</v>
      </c>
      <c r="F1005" s="0" t="n">
        <f aca="true">CRITBINOM(E1005,Coefficients!$B$31,RAND())</f>
        <v>0</v>
      </c>
      <c r="G1005" s="0" t="n">
        <f aca="true">CRITBINOM(MAX(0,D1005-E1005),1-Coefficients!$B$32,RAND())</f>
        <v>0</v>
      </c>
      <c r="H1005" s="0" t="n">
        <f aca="true">CRITBINOM(MAX(0,$C1005-D1005),MIN(0.6,Matchup!$B$40*SQRT($B1005)/(1-MIN(0.75,Matchup!$B$39*$B1005))),RAND())</f>
        <v>3</v>
      </c>
      <c r="I1005" s="0" t="n">
        <f aca="false">6*D1005+(D1005-E1005-G1005)+2*F1005+3*H1005</f>
        <v>30</v>
      </c>
      <c r="J1005" s="0" t="n">
        <f aca="true">CRITBINOM($C1005,MIN(0.75,Matchup!$C$39*$B1005),RAND())</f>
        <v>4</v>
      </c>
      <c r="K1005" s="0" t="n">
        <f aca="true">CRITBINOM(J1005,Coefficients!$B$30,RAND())</f>
        <v>0</v>
      </c>
      <c r="L1005" s="0" t="n">
        <f aca="true">CRITBINOM(K1005,Coefficients!$B$31,RAND())</f>
        <v>0</v>
      </c>
      <c r="M1005" s="0" t="n">
        <f aca="true">CRITBINOM(MAX(0,J1005-K1005),1-Coefficients!$B$32,RAND())</f>
        <v>0</v>
      </c>
      <c r="N1005" s="0" t="n">
        <f aca="true">CRITBINOM(MAX(0,$C1005-J1005),MIN(0.6,Matchup!$C$40*SQRT($B1005)/(1-MIN(0.75,Matchup!$C$39*$B1005))),RAND())</f>
        <v>2</v>
      </c>
      <c r="O1005" s="0" t="n">
        <f aca="false">6*J1005+(J1005-K1005-M1005)+2*L1005+3*N1005</f>
        <v>34</v>
      </c>
      <c r="P1005" s="0" t="n">
        <f aca="true">RAND()</f>
        <v>0.085217053920321</v>
      </c>
      <c r="Q1005" s="0" t="n">
        <f aca="true">RAND()</f>
        <v>0.679198882363674</v>
      </c>
      <c r="R1005" s="0" t="n">
        <f aca="false">IF($I1005&lt;&gt;$O1005,0,IF(P1005&lt;Matchup!$B$39,7,IF(P1005&lt;Matchup!$B$39+Matchup!$B$40,3,0)))</f>
        <v>0</v>
      </c>
      <c r="S1005" s="0" t="n">
        <f aca="false">IF($I1005&lt;&gt;$O1005,0,IF(Q1005&lt;Matchup!$C$39,7,IF(Q1005&lt;Matchup!$C$39+Matchup!$C$40,3,0)))</f>
        <v>0</v>
      </c>
      <c r="T1005" s="0" t="n">
        <f aca="false">I1005+R1005</f>
        <v>30</v>
      </c>
      <c r="U1005" s="0" t="n">
        <f aca="false">O1005+S1005</f>
        <v>34</v>
      </c>
      <c r="V1005" s="0" t="n">
        <f aca="false">T1005-U1005</f>
        <v>-4</v>
      </c>
      <c r="W1005" s="0" t="n">
        <f aca="false">T1005+U1005</f>
        <v>64</v>
      </c>
    </row>
    <row r="1006" customFormat="false" ht="15" hidden="false" customHeight="false" outlineLevel="0" collapsed="false">
      <c r="A1006" s="0" t="n">
        <v>1003</v>
      </c>
      <c r="B1006" s="0" t="n">
        <f aca="true">NORMINV(RAND(),1,Coefficients!$B$22)</f>
        <v>0.884173478569031</v>
      </c>
      <c r="C1006" s="0" t="n">
        <f aca="true">MEDIAN(8,16,ROUND(NORMINV(RAND(),Coefficients!$B$20,Coefficients!$B$21),0))</f>
        <v>12</v>
      </c>
      <c r="D1006" s="0" t="n">
        <f aca="true">CRITBINOM($C1006,MIN(0.75,Matchup!$B$39*$B1006),RAND())</f>
        <v>4</v>
      </c>
      <c r="E1006" s="0" t="n">
        <f aca="true">CRITBINOM(D1006,Coefficients!$B$30,RAND())</f>
        <v>0</v>
      </c>
      <c r="F1006" s="0" t="n">
        <f aca="true">CRITBINOM(E1006,Coefficients!$B$31,RAND())</f>
        <v>0</v>
      </c>
      <c r="G1006" s="0" t="n">
        <f aca="true">CRITBINOM(MAX(0,D1006-E1006),1-Coefficients!$B$32,RAND())</f>
        <v>0</v>
      </c>
      <c r="H1006" s="0" t="n">
        <f aca="true">CRITBINOM(MAX(0,$C1006-D1006),MIN(0.6,Matchup!$B$40*SQRT($B1006)/(1-MIN(0.75,Matchup!$B$39*$B1006))),RAND())</f>
        <v>1</v>
      </c>
      <c r="I1006" s="0" t="n">
        <f aca="false">6*D1006+(D1006-E1006-G1006)+2*F1006+3*H1006</f>
        <v>31</v>
      </c>
      <c r="J1006" s="0" t="n">
        <f aca="true">CRITBINOM($C1006,MIN(0.75,Matchup!$C$39*$B1006),RAND())</f>
        <v>3</v>
      </c>
      <c r="K1006" s="0" t="n">
        <f aca="true">CRITBINOM(J1006,Coefficients!$B$30,RAND())</f>
        <v>1</v>
      </c>
      <c r="L1006" s="0" t="n">
        <f aca="true">CRITBINOM(K1006,Coefficients!$B$31,RAND())</f>
        <v>1</v>
      </c>
      <c r="M1006" s="0" t="n">
        <f aca="true">CRITBINOM(MAX(0,J1006-K1006),1-Coefficients!$B$32,RAND())</f>
        <v>0</v>
      </c>
      <c r="N1006" s="0" t="n">
        <f aca="true">CRITBINOM(MAX(0,$C1006-J1006),MIN(0.6,Matchup!$C$40*SQRT($B1006)/(1-MIN(0.75,Matchup!$C$39*$B1006))),RAND())</f>
        <v>2</v>
      </c>
      <c r="O1006" s="0" t="n">
        <f aca="false">6*J1006+(J1006-K1006-M1006)+2*L1006+3*N1006</f>
        <v>28</v>
      </c>
      <c r="P1006" s="0" t="n">
        <f aca="true">RAND()</f>
        <v>0.840294932974099</v>
      </c>
      <c r="Q1006" s="0" t="n">
        <f aca="true">RAND()</f>
        <v>0.331345116442327</v>
      </c>
      <c r="R1006" s="0" t="n">
        <f aca="false">IF($I1006&lt;&gt;$O1006,0,IF(P1006&lt;Matchup!$B$39,7,IF(P1006&lt;Matchup!$B$39+Matchup!$B$40,3,0)))</f>
        <v>0</v>
      </c>
      <c r="S1006" s="0" t="n">
        <f aca="false">IF($I1006&lt;&gt;$O1006,0,IF(Q1006&lt;Matchup!$C$39,7,IF(Q1006&lt;Matchup!$C$39+Matchup!$C$40,3,0)))</f>
        <v>0</v>
      </c>
      <c r="T1006" s="0" t="n">
        <f aca="false">I1006+R1006</f>
        <v>31</v>
      </c>
      <c r="U1006" s="0" t="n">
        <f aca="false">O1006+S1006</f>
        <v>28</v>
      </c>
      <c r="V1006" s="0" t="n">
        <f aca="false">T1006-U1006</f>
        <v>3</v>
      </c>
      <c r="W1006" s="0" t="n">
        <f aca="false">T1006+U1006</f>
        <v>59</v>
      </c>
    </row>
    <row r="1007" customFormat="false" ht="15" hidden="false" customHeight="false" outlineLevel="0" collapsed="false">
      <c r="A1007" s="0" t="n">
        <v>1004</v>
      </c>
      <c r="B1007" s="0" t="n">
        <f aca="true">NORMINV(RAND(),1,Coefficients!$B$22)</f>
        <v>1.05049929814048</v>
      </c>
      <c r="C1007" s="0" t="n">
        <f aca="true">MEDIAN(8,16,ROUND(NORMINV(RAND(),Coefficients!$B$20,Coefficients!$B$21),0))</f>
        <v>11</v>
      </c>
      <c r="D1007" s="0" t="n">
        <f aca="true">CRITBINOM($C1007,MIN(0.75,Matchup!$B$39*$B1007),RAND())</f>
        <v>6</v>
      </c>
      <c r="E1007" s="0" t="n">
        <f aca="true">CRITBINOM(D1007,Coefficients!$B$30,RAND())</f>
        <v>0</v>
      </c>
      <c r="F1007" s="0" t="n">
        <f aca="true">CRITBINOM(E1007,Coefficients!$B$31,RAND())</f>
        <v>0</v>
      </c>
      <c r="G1007" s="0" t="n">
        <f aca="true">CRITBINOM(MAX(0,D1007-E1007),1-Coefficients!$B$32,RAND())</f>
        <v>0</v>
      </c>
      <c r="H1007" s="0" t="n">
        <f aca="true">CRITBINOM(MAX(0,$C1007-D1007),MIN(0.6,Matchup!$B$40*SQRT($B1007)/(1-MIN(0.75,Matchup!$B$39*$B1007))),RAND())</f>
        <v>3</v>
      </c>
      <c r="I1007" s="0" t="n">
        <f aca="false">6*D1007+(D1007-E1007-G1007)+2*F1007+3*H1007</f>
        <v>51</v>
      </c>
      <c r="J1007" s="0" t="n">
        <f aca="true">CRITBINOM($C1007,MIN(0.75,Matchup!$C$39*$B1007),RAND())</f>
        <v>2</v>
      </c>
      <c r="K1007" s="0" t="n">
        <f aca="true">CRITBINOM(J1007,Coefficients!$B$30,RAND())</f>
        <v>0</v>
      </c>
      <c r="L1007" s="0" t="n">
        <f aca="true">CRITBINOM(K1007,Coefficients!$B$31,RAND())</f>
        <v>0</v>
      </c>
      <c r="M1007" s="0" t="n">
        <f aca="true">CRITBINOM(MAX(0,J1007-K1007),1-Coefficients!$B$32,RAND())</f>
        <v>0</v>
      </c>
      <c r="N1007" s="0" t="n">
        <f aca="true">CRITBINOM(MAX(0,$C1007-J1007),MIN(0.6,Matchup!$C$40*SQRT($B1007)/(1-MIN(0.75,Matchup!$C$39*$B1007))),RAND())</f>
        <v>4</v>
      </c>
      <c r="O1007" s="0" t="n">
        <f aca="false">6*J1007+(J1007-K1007-M1007)+2*L1007+3*N1007</f>
        <v>26</v>
      </c>
      <c r="P1007" s="0" t="n">
        <f aca="true">RAND()</f>
        <v>0.46799958584121</v>
      </c>
      <c r="Q1007" s="0" t="n">
        <f aca="true">RAND()</f>
        <v>0.551744319271038</v>
      </c>
      <c r="R1007" s="0" t="n">
        <f aca="false">IF($I1007&lt;&gt;$O1007,0,IF(P1007&lt;Matchup!$B$39,7,IF(P1007&lt;Matchup!$B$39+Matchup!$B$40,3,0)))</f>
        <v>0</v>
      </c>
      <c r="S1007" s="0" t="n">
        <f aca="false">IF($I1007&lt;&gt;$O1007,0,IF(Q1007&lt;Matchup!$C$39,7,IF(Q1007&lt;Matchup!$C$39+Matchup!$C$40,3,0)))</f>
        <v>0</v>
      </c>
      <c r="T1007" s="0" t="n">
        <f aca="false">I1007+R1007</f>
        <v>51</v>
      </c>
      <c r="U1007" s="0" t="n">
        <f aca="false">O1007+S1007</f>
        <v>26</v>
      </c>
      <c r="V1007" s="0" t="n">
        <f aca="false">T1007-U1007</f>
        <v>25</v>
      </c>
      <c r="W1007" s="0" t="n">
        <f aca="false">T1007+U1007</f>
        <v>77</v>
      </c>
    </row>
    <row r="1008" customFormat="false" ht="15" hidden="false" customHeight="false" outlineLevel="0" collapsed="false">
      <c r="A1008" s="0" t="n">
        <v>1005</v>
      </c>
      <c r="B1008" s="0" t="n">
        <f aca="true">NORMINV(RAND(),1,Coefficients!$B$22)</f>
        <v>0.990125267217933</v>
      </c>
      <c r="C1008" s="0" t="n">
        <f aca="true">MEDIAN(8,16,ROUND(NORMINV(RAND(),Coefficients!$B$20,Coefficients!$B$21),0))</f>
        <v>9</v>
      </c>
      <c r="D1008" s="0" t="n">
        <f aca="true">CRITBINOM($C1008,MIN(0.75,Matchup!$B$39*$B1008),RAND())</f>
        <v>3</v>
      </c>
      <c r="E1008" s="0" t="n">
        <f aca="true">CRITBINOM(D1008,Coefficients!$B$30,RAND())</f>
        <v>0</v>
      </c>
      <c r="F1008" s="0" t="n">
        <f aca="true">CRITBINOM(E1008,Coefficients!$B$31,RAND())</f>
        <v>0</v>
      </c>
      <c r="G1008" s="0" t="n">
        <f aca="true">CRITBINOM(MAX(0,D1008-E1008),1-Coefficients!$B$32,RAND())</f>
        <v>0</v>
      </c>
      <c r="H1008" s="0" t="n">
        <f aca="true">CRITBINOM(MAX(0,$C1008-D1008),MIN(0.6,Matchup!$B$40*SQRT($B1008)/(1-MIN(0.75,Matchup!$B$39*$B1008))),RAND())</f>
        <v>2</v>
      </c>
      <c r="I1008" s="0" t="n">
        <f aca="false">6*D1008+(D1008-E1008-G1008)+2*F1008+3*H1008</f>
        <v>27</v>
      </c>
      <c r="J1008" s="0" t="n">
        <f aca="true">CRITBINOM($C1008,MIN(0.75,Matchup!$C$39*$B1008),RAND())</f>
        <v>2</v>
      </c>
      <c r="K1008" s="0" t="n">
        <f aca="true">CRITBINOM(J1008,Coefficients!$B$30,RAND())</f>
        <v>0</v>
      </c>
      <c r="L1008" s="0" t="n">
        <f aca="true">CRITBINOM(K1008,Coefficients!$B$31,RAND())</f>
        <v>0</v>
      </c>
      <c r="M1008" s="0" t="n">
        <f aca="true">CRITBINOM(MAX(0,J1008-K1008),1-Coefficients!$B$32,RAND())</f>
        <v>0</v>
      </c>
      <c r="N1008" s="0" t="n">
        <f aca="true">CRITBINOM(MAX(0,$C1008-J1008),MIN(0.6,Matchup!$C$40*SQRT($B1008)/(1-MIN(0.75,Matchup!$C$39*$B1008))),RAND())</f>
        <v>1</v>
      </c>
      <c r="O1008" s="0" t="n">
        <f aca="false">6*J1008+(J1008-K1008-M1008)+2*L1008+3*N1008</f>
        <v>17</v>
      </c>
      <c r="P1008" s="0" t="n">
        <f aca="true">RAND()</f>
        <v>0.645795683166631</v>
      </c>
      <c r="Q1008" s="0" t="n">
        <f aca="true">RAND()</f>
        <v>0.118074925898783</v>
      </c>
      <c r="R1008" s="0" t="n">
        <f aca="false">IF($I1008&lt;&gt;$O1008,0,IF(P1008&lt;Matchup!$B$39,7,IF(P1008&lt;Matchup!$B$39+Matchup!$B$40,3,0)))</f>
        <v>0</v>
      </c>
      <c r="S1008" s="0" t="n">
        <f aca="false">IF($I1008&lt;&gt;$O1008,0,IF(Q1008&lt;Matchup!$C$39,7,IF(Q1008&lt;Matchup!$C$39+Matchup!$C$40,3,0)))</f>
        <v>0</v>
      </c>
      <c r="T1008" s="0" t="n">
        <f aca="false">I1008+R1008</f>
        <v>27</v>
      </c>
      <c r="U1008" s="0" t="n">
        <f aca="false">O1008+S1008</f>
        <v>17</v>
      </c>
      <c r="V1008" s="0" t="n">
        <f aca="false">T1008-U1008</f>
        <v>10</v>
      </c>
      <c r="W1008" s="0" t="n">
        <f aca="false">T1008+U1008</f>
        <v>44</v>
      </c>
    </row>
    <row r="1009" customFormat="false" ht="15" hidden="false" customHeight="false" outlineLevel="0" collapsed="false">
      <c r="A1009" s="0" t="n">
        <v>1006</v>
      </c>
      <c r="B1009" s="0" t="n">
        <f aca="true">NORMINV(RAND(),1,Coefficients!$B$22)</f>
        <v>1.10253629098375</v>
      </c>
      <c r="C1009" s="0" t="n">
        <f aca="true">MEDIAN(8,16,ROUND(NORMINV(RAND(),Coefficients!$B$20,Coefficients!$B$21),0))</f>
        <v>10</v>
      </c>
      <c r="D1009" s="0" t="n">
        <f aca="true">CRITBINOM($C1009,MIN(0.75,Matchup!$B$39*$B1009),RAND())</f>
        <v>4</v>
      </c>
      <c r="E1009" s="0" t="n">
        <f aca="true">CRITBINOM(D1009,Coefficients!$B$30,RAND())</f>
        <v>0</v>
      </c>
      <c r="F1009" s="0" t="n">
        <f aca="true">CRITBINOM(E1009,Coefficients!$B$31,RAND())</f>
        <v>0</v>
      </c>
      <c r="G1009" s="0" t="n">
        <f aca="true">CRITBINOM(MAX(0,D1009-E1009),1-Coefficients!$B$32,RAND())</f>
        <v>0</v>
      </c>
      <c r="H1009" s="0" t="n">
        <f aca="true">CRITBINOM(MAX(0,$C1009-D1009),MIN(0.6,Matchup!$B$40*SQRT($B1009)/(1-MIN(0.75,Matchup!$B$39*$B1009))),RAND())</f>
        <v>1</v>
      </c>
      <c r="I1009" s="0" t="n">
        <f aca="false">6*D1009+(D1009-E1009-G1009)+2*F1009+3*H1009</f>
        <v>31</v>
      </c>
      <c r="J1009" s="0" t="n">
        <f aca="true">CRITBINOM($C1009,MIN(0.75,Matchup!$C$39*$B1009),RAND())</f>
        <v>1</v>
      </c>
      <c r="K1009" s="0" t="n">
        <f aca="true">CRITBINOM(J1009,Coefficients!$B$30,RAND())</f>
        <v>0</v>
      </c>
      <c r="L1009" s="0" t="n">
        <f aca="true">CRITBINOM(K1009,Coefficients!$B$31,RAND())</f>
        <v>0</v>
      </c>
      <c r="M1009" s="0" t="n">
        <f aca="true">CRITBINOM(MAX(0,J1009-K1009),1-Coefficients!$B$32,RAND())</f>
        <v>0</v>
      </c>
      <c r="N1009" s="0" t="n">
        <f aca="true">CRITBINOM(MAX(0,$C1009-J1009),MIN(0.6,Matchup!$C$40*SQRT($B1009)/(1-MIN(0.75,Matchup!$C$39*$B1009))),RAND())</f>
        <v>2</v>
      </c>
      <c r="O1009" s="0" t="n">
        <f aca="false">6*J1009+(J1009-K1009-M1009)+2*L1009+3*N1009</f>
        <v>13</v>
      </c>
      <c r="P1009" s="0" t="n">
        <f aca="true">RAND()</f>
        <v>0.150952290788975</v>
      </c>
      <c r="Q1009" s="0" t="n">
        <f aca="true">RAND()</f>
        <v>0.422757164142403</v>
      </c>
      <c r="R1009" s="0" t="n">
        <f aca="false">IF($I1009&lt;&gt;$O1009,0,IF(P1009&lt;Matchup!$B$39,7,IF(P1009&lt;Matchup!$B$39+Matchup!$B$40,3,0)))</f>
        <v>0</v>
      </c>
      <c r="S1009" s="0" t="n">
        <f aca="false">IF($I1009&lt;&gt;$O1009,0,IF(Q1009&lt;Matchup!$C$39,7,IF(Q1009&lt;Matchup!$C$39+Matchup!$C$40,3,0)))</f>
        <v>0</v>
      </c>
      <c r="T1009" s="0" t="n">
        <f aca="false">I1009+R1009</f>
        <v>31</v>
      </c>
      <c r="U1009" s="0" t="n">
        <f aca="false">O1009+S1009</f>
        <v>13</v>
      </c>
      <c r="V1009" s="0" t="n">
        <f aca="false">T1009-U1009</f>
        <v>18</v>
      </c>
      <c r="W1009" s="0" t="n">
        <f aca="false">T1009+U1009</f>
        <v>44</v>
      </c>
    </row>
    <row r="1010" customFormat="false" ht="15" hidden="false" customHeight="false" outlineLevel="0" collapsed="false">
      <c r="A1010" s="0" t="n">
        <v>1007</v>
      </c>
      <c r="B1010" s="0" t="n">
        <f aca="true">NORMINV(RAND(),1,Coefficients!$B$22)</f>
        <v>1.02149549179636</v>
      </c>
      <c r="C1010" s="0" t="n">
        <f aca="true">MEDIAN(8,16,ROUND(NORMINV(RAND(),Coefficients!$B$20,Coefficients!$B$21),0))</f>
        <v>11</v>
      </c>
      <c r="D1010" s="0" t="n">
        <f aca="true">CRITBINOM($C1010,MIN(0.75,Matchup!$B$39*$B1010),RAND())</f>
        <v>3</v>
      </c>
      <c r="E1010" s="0" t="n">
        <f aca="true">CRITBINOM(D1010,Coefficients!$B$30,RAND())</f>
        <v>0</v>
      </c>
      <c r="F1010" s="0" t="n">
        <f aca="true">CRITBINOM(E1010,Coefficients!$B$31,RAND())</f>
        <v>0</v>
      </c>
      <c r="G1010" s="0" t="n">
        <f aca="true">CRITBINOM(MAX(0,D1010-E1010),1-Coefficients!$B$32,RAND())</f>
        <v>0</v>
      </c>
      <c r="H1010" s="0" t="n">
        <f aca="true">CRITBINOM(MAX(0,$C1010-D1010),MIN(0.6,Matchup!$B$40*SQRT($B1010)/(1-MIN(0.75,Matchup!$B$39*$B1010))),RAND())</f>
        <v>2</v>
      </c>
      <c r="I1010" s="0" t="n">
        <f aca="false">6*D1010+(D1010-E1010-G1010)+2*F1010+3*H1010</f>
        <v>27</v>
      </c>
      <c r="J1010" s="0" t="n">
        <f aca="true">CRITBINOM($C1010,MIN(0.75,Matchup!$C$39*$B1010),RAND())</f>
        <v>4</v>
      </c>
      <c r="K1010" s="0" t="n">
        <f aca="true">CRITBINOM(J1010,Coefficients!$B$30,RAND())</f>
        <v>1</v>
      </c>
      <c r="L1010" s="0" t="n">
        <f aca="true">CRITBINOM(K1010,Coefficients!$B$31,RAND())</f>
        <v>0</v>
      </c>
      <c r="M1010" s="0" t="n">
        <f aca="true">CRITBINOM(MAX(0,J1010-K1010),1-Coefficients!$B$32,RAND())</f>
        <v>0</v>
      </c>
      <c r="N1010" s="0" t="n">
        <f aca="true">CRITBINOM(MAX(0,$C1010-J1010),MIN(0.6,Matchup!$C$40*SQRT($B1010)/(1-MIN(0.75,Matchup!$C$39*$B1010))),RAND())</f>
        <v>1</v>
      </c>
      <c r="O1010" s="0" t="n">
        <f aca="false">6*J1010+(J1010-K1010-M1010)+2*L1010+3*N1010</f>
        <v>30</v>
      </c>
      <c r="P1010" s="0" t="n">
        <f aca="true">RAND()</f>
        <v>0.189310310729628</v>
      </c>
      <c r="Q1010" s="0" t="n">
        <f aca="true">RAND()</f>
        <v>0.760724279305711</v>
      </c>
      <c r="R1010" s="0" t="n">
        <f aca="false">IF($I1010&lt;&gt;$O1010,0,IF(P1010&lt;Matchup!$B$39,7,IF(P1010&lt;Matchup!$B$39+Matchup!$B$40,3,0)))</f>
        <v>0</v>
      </c>
      <c r="S1010" s="0" t="n">
        <f aca="false">IF($I1010&lt;&gt;$O1010,0,IF(Q1010&lt;Matchup!$C$39,7,IF(Q1010&lt;Matchup!$C$39+Matchup!$C$40,3,0)))</f>
        <v>0</v>
      </c>
      <c r="T1010" s="0" t="n">
        <f aca="false">I1010+R1010</f>
        <v>27</v>
      </c>
      <c r="U1010" s="0" t="n">
        <f aca="false">O1010+S1010</f>
        <v>30</v>
      </c>
      <c r="V1010" s="0" t="n">
        <f aca="false">T1010-U1010</f>
        <v>-3</v>
      </c>
      <c r="W1010" s="0" t="n">
        <f aca="false">T1010+U1010</f>
        <v>57</v>
      </c>
    </row>
    <row r="1011" customFormat="false" ht="15" hidden="false" customHeight="false" outlineLevel="0" collapsed="false">
      <c r="A1011" s="0" t="n">
        <v>1008</v>
      </c>
      <c r="B1011" s="0" t="n">
        <f aca="true">NORMINV(RAND(),1,Coefficients!$B$22)</f>
        <v>1.04895581415498</v>
      </c>
      <c r="C1011" s="0" t="n">
        <f aca="true">MEDIAN(8,16,ROUND(NORMINV(RAND(),Coefficients!$B$20,Coefficients!$B$21),0))</f>
        <v>11</v>
      </c>
      <c r="D1011" s="0" t="n">
        <f aca="true">CRITBINOM($C1011,MIN(0.75,Matchup!$B$39*$B1011),RAND())</f>
        <v>2</v>
      </c>
      <c r="E1011" s="0" t="n">
        <f aca="true">CRITBINOM(D1011,Coefficients!$B$30,RAND())</f>
        <v>0</v>
      </c>
      <c r="F1011" s="0" t="n">
        <f aca="true">CRITBINOM(E1011,Coefficients!$B$31,RAND())</f>
        <v>0</v>
      </c>
      <c r="G1011" s="0" t="n">
        <f aca="true">CRITBINOM(MAX(0,D1011-E1011),1-Coefficients!$B$32,RAND())</f>
        <v>0</v>
      </c>
      <c r="H1011" s="0" t="n">
        <f aca="true">CRITBINOM(MAX(0,$C1011-D1011),MIN(0.6,Matchup!$B$40*SQRT($B1011)/(1-MIN(0.75,Matchup!$B$39*$B1011))),RAND())</f>
        <v>1</v>
      </c>
      <c r="I1011" s="0" t="n">
        <f aca="false">6*D1011+(D1011-E1011-G1011)+2*F1011+3*H1011</f>
        <v>17</v>
      </c>
      <c r="J1011" s="0" t="n">
        <f aca="true">CRITBINOM($C1011,MIN(0.75,Matchup!$C$39*$B1011),RAND())</f>
        <v>6</v>
      </c>
      <c r="K1011" s="0" t="n">
        <f aca="true">CRITBINOM(J1011,Coefficients!$B$30,RAND())</f>
        <v>1</v>
      </c>
      <c r="L1011" s="0" t="n">
        <f aca="true">CRITBINOM(K1011,Coefficients!$B$31,RAND())</f>
        <v>0</v>
      </c>
      <c r="M1011" s="0" t="n">
        <f aca="true">CRITBINOM(MAX(0,J1011-K1011),1-Coefficients!$B$32,RAND())</f>
        <v>0</v>
      </c>
      <c r="N1011" s="0" t="n">
        <f aca="true">CRITBINOM(MAX(0,$C1011-J1011),MIN(0.6,Matchup!$C$40*SQRT($B1011)/(1-MIN(0.75,Matchup!$C$39*$B1011))),RAND())</f>
        <v>1</v>
      </c>
      <c r="O1011" s="0" t="n">
        <f aca="false">6*J1011+(J1011-K1011-M1011)+2*L1011+3*N1011</f>
        <v>44</v>
      </c>
      <c r="P1011" s="0" t="n">
        <f aca="true">RAND()</f>
        <v>0.573864312952063</v>
      </c>
      <c r="Q1011" s="0" t="n">
        <f aca="true">RAND()</f>
        <v>0.901971544386751</v>
      </c>
      <c r="R1011" s="0" t="n">
        <f aca="false">IF($I1011&lt;&gt;$O1011,0,IF(P1011&lt;Matchup!$B$39,7,IF(P1011&lt;Matchup!$B$39+Matchup!$B$40,3,0)))</f>
        <v>0</v>
      </c>
      <c r="S1011" s="0" t="n">
        <f aca="false">IF($I1011&lt;&gt;$O1011,0,IF(Q1011&lt;Matchup!$C$39,7,IF(Q1011&lt;Matchup!$C$39+Matchup!$C$40,3,0)))</f>
        <v>0</v>
      </c>
      <c r="T1011" s="0" t="n">
        <f aca="false">I1011+R1011</f>
        <v>17</v>
      </c>
      <c r="U1011" s="0" t="n">
        <f aca="false">O1011+S1011</f>
        <v>44</v>
      </c>
      <c r="V1011" s="0" t="n">
        <f aca="false">T1011-U1011</f>
        <v>-27</v>
      </c>
      <c r="W1011" s="0" t="n">
        <f aca="false">T1011+U1011</f>
        <v>61</v>
      </c>
    </row>
    <row r="1012" customFormat="false" ht="15" hidden="false" customHeight="false" outlineLevel="0" collapsed="false">
      <c r="A1012" s="0" t="n">
        <v>1009</v>
      </c>
      <c r="B1012" s="0" t="n">
        <f aca="true">NORMINV(RAND(),1,Coefficients!$B$22)</f>
        <v>1.02721322937387</v>
      </c>
      <c r="C1012" s="0" t="n">
        <f aca="true">MEDIAN(8,16,ROUND(NORMINV(RAND(),Coefficients!$B$20,Coefficients!$B$21),0))</f>
        <v>12</v>
      </c>
      <c r="D1012" s="0" t="n">
        <f aca="true">CRITBINOM($C1012,MIN(0.75,Matchup!$B$39*$B1012),RAND())</f>
        <v>5</v>
      </c>
      <c r="E1012" s="0" t="n">
        <f aca="true">CRITBINOM(D1012,Coefficients!$B$30,RAND())</f>
        <v>1</v>
      </c>
      <c r="F1012" s="0" t="n">
        <f aca="true">CRITBINOM(E1012,Coefficients!$B$31,RAND())</f>
        <v>0</v>
      </c>
      <c r="G1012" s="0" t="n">
        <f aca="true">CRITBINOM(MAX(0,D1012-E1012),1-Coefficients!$B$32,RAND())</f>
        <v>0</v>
      </c>
      <c r="H1012" s="0" t="n">
        <f aca="true">CRITBINOM(MAX(0,$C1012-D1012),MIN(0.6,Matchup!$B$40*SQRT($B1012)/(1-MIN(0.75,Matchup!$B$39*$B1012))),RAND())</f>
        <v>2</v>
      </c>
      <c r="I1012" s="0" t="n">
        <f aca="false">6*D1012+(D1012-E1012-G1012)+2*F1012+3*H1012</f>
        <v>40</v>
      </c>
      <c r="J1012" s="0" t="n">
        <f aca="true">CRITBINOM($C1012,MIN(0.75,Matchup!$C$39*$B1012),RAND())</f>
        <v>5</v>
      </c>
      <c r="K1012" s="0" t="n">
        <f aca="true">CRITBINOM(J1012,Coefficients!$B$30,RAND())</f>
        <v>1</v>
      </c>
      <c r="L1012" s="0" t="n">
        <f aca="true">CRITBINOM(K1012,Coefficients!$B$31,RAND())</f>
        <v>0</v>
      </c>
      <c r="M1012" s="0" t="n">
        <f aca="true">CRITBINOM(MAX(0,J1012-K1012),1-Coefficients!$B$32,RAND())</f>
        <v>2</v>
      </c>
      <c r="N1012" s="0" t="n">
        <f aca="true">CRITBINOM(MAX(0,$C1012-J1012),MIN(0.6,Matchup!$C$40*SQRT($B1012)/(1-MIN(0.75,Matchup!$C$39*$B1012))),RAND())</f>
        <v>0</v>
      </c>
      <c r="O1012" s="0" t="n">
        <f aca="false">6*J1012+(J1012-K1012-M1012)+2*L1012+3*N1012</f>
        <v>32</v>
      </c>
      <c r="P1012" s="0" t="n">
        <f aca="true">RAND()</f>
        <v>0.980839707685125</v>
      </c>
      <c r="Q1012" s="0" t="n">
        <f aca="true">RAND()</f>
        <v>0.435262229509762</v>
      </c>
      <c r="R1012" s="0" t="n">
        <f aca="false">IF($I1012&lt;&gt;$O1012,0,IF(P1012&lt;Matchup!$B$39,7,IF(P1012&lt;Matchup!$B$39+Matchup!$B$40,3,0)))</f>
        <v>0</v>
      </c>
      <c r="S1012" s="0" t="n">
        <f aca="false">IF($I1012&lt;&gt;$O1012,0,IF(Q1012&lt;Matchup!$C$39,7,IF(Q1012&lt;Matchup!$C$39+Matchup!$C$40,3,0)))</f>
        <v>0</v>
      </c>
      <c r="T1012" s="0" t="n">
        <f aca="false">I1012+R1012</f>
        <v>40</v>
      </c>
      <c r="U1012" s="0" t="n">
        <f aca="false">O1012+S1012</f>
        <v>32</v>
      </c>
      <c r="V1012" s="0" t="n">
        <f aca="false">T1012-U1012</f>
        <v>8</v>
      </c>
      <c r="W1012" s="0" t="n">
        <f aca="false">T1012+U1012</f>
        <v>72</v>
      </c>
    </row>
    <row r="1013" customFormat="false" ht="15" hidden="false" customHeight="false" outlineLevel="0" collapsed="false">
      <c r="A1013" s="0" t="n">
        <v>1010</v>
      </c>
      <c r="B1013" s="0" t="n">
        <f aca="true">NORMINV(RAND(),1,Coefficients!$B$22)</f>
        <v>0.978136261655338</v>
      </c>
      <c r="C1013" s="0" t="n">
        <f aca="true">MEDIAN(8,16,ROUND(NORMINV(RAND(),Coefficients!$B$20,Coefficients!$B$21),0))</f>
        <v>10</v>
      </c>
      <c r="D1013" s="0" t="n">
        <f aca="true">CRITBINOM($C1013,MIN(0.75,Matchup!$B$39*$B1013),RAND())</f>
        <v>4</v>
      </c>
      <c r="E1013" s="0" t="n">
        <f aca="true">CRITBINOM(D1013,Coefficients!$B$30,RAND())</f>
        <v>0</v>
      </c>
      <c r="F1013" s="0" t="n">
        <f aca="true">CRITBINOM(E1013,Coefficients!$B$31,RAND())</f>
        <v>0</v>
      </c>
      <c r="G1013" s="0" t="n">
        <f aca="true">CRITBINOM(MAX(0,D1013-E1013),1-Coefficients!$B$32,RAND())</f>
        <v>0</v>
      </c>
      <c r="H1013" s="0" t="n">
        <f aca="true">CRITBINOM(MAX(0,$C1013-D1013),MIN(0.6,Matchup!$B$40*SQRT($B1013)/(1-MIN(0.75,Matchup!$B$39*$B1013))),RAND())</f>
        <v>0</v>
      </c>
      <c r="I1013" s="0" t="n">
        <f aca="false">6*D1013+(D1013-E1013-G1013)+2*F1013+3*H1013</f>
        <v>28</v>
      </c>
      <c r="J1013" s="0" t="n">
        <f aca="true">CRITBINOM($C1013,MIN(0.75,Matchup!$C$39*$B1013),RAND())</f>
        <v>3</v>
      </c>
      <c r="K1013" s="0" t="n">
        <f aca="true">CRITBINOM(J1013,Coefficients!$B$30,RAND())</f>
        <v>0</v>
      </c>
      <c r="L1013" s="0" t="n">
        <f aca="true">CRITBINOM(K1013,Coefficients!$B$31,RAND())</f>
        <v>0</v>
      </c>
      <c r="M1013" s="0" t="n">
        <f aca="true">CRITBINOM(MAX(0,J1013-K1013),1-Coefficients!$B$32,RAND())</f>
        <v>0</v>
      </c>
      <c r="N1013" s="0" t="n">
        <f aca="true">CRITBINOM(MAX(0,$C1013-J1013),MIN(0.6,Matchup!$C$40*SQRT($B1013)/(1-MIN(0.75,Matchup!$C$39*$B1013))),RAND())</f>
        <v>2</v>
      </c>
      <c r="O1013" s="0" t="n">
        <f aca="false">6*J1013+(J1013-K1013-M1013)+2*L1013+3*N1013</f>
        <v>27</v>
      </c>
      <c r="P1013" s="0" t="n">
        <f aca="true">RAND()</f>
        <v>0.343207973940301</v>
      </c>
      <c r="Q1013" s="0" t="n">
        <f aca="true">RAND()</f>
        <v>0.880125552500634</v>
      </c>
      <c r="R1013" s="0" t="n">
        <f aca="false">IF($I1013&lt;&gt;$O1013,0,IF(P1013&lt;Matchup!$B$39,7,IF(P1013&lt;Matchup!$B$39+Matchup!$B$40,3,0)))</f>
        <v>0</v>
      </c>
      <c r="S1013" s="0" t="n">
        <f aca="false">IF($I1013&lt;&gt;$O1013,0,IF(Q1013&lt;Matchup!$C$39,7,IF(Q1013&lt;Matchup!$C$39+Matchup!$C$40,3,0)))</f>
        <v>0</v>
      </c>
      <c r="T1013" s="0" t="n">
        <f aca="false">I1013+R1013</f>
        <v>28</v>
      </c>
      <c r="U1013" s="0" t="n">
        <f aca="false">O1013+S1013</f>
        <v>27</v>
      </c>
      <c r="V1013" s="0" t="n">
        <f aca="false">T1013-U1013</f>
        <v>1</v>
      </c>
      <c r="W1013" s="0" t="n">
        <f aca="false">T1013+U1013</f>
        <v>55</v>
      </c>
    </row>
    <row r="1014" customFormat="false" ht="15" hidden="false" customHeight="false" outlineLevel="0" collapsed="false">
      <c r="A1014" s="0" t="n">
        <v>1011</v>
      </c>
      <c r="B1014" s="0" t="n">
        <f aca="true">NORMINV(RAND(),1,Coefficients!$B$22)</f>
        <v>0.976686272165671</v>
      </c>
      <c r="C1014" s="0" t="n">
        <f aca="true">MEDIAN(8,16,ROUND(NORMINV(RAND(),Coefficients!$B$20,Coefficients!$B$21),0))</f>
        <v>11</v>
      </c>
      <c r="D1014" s="0" t="n">
        <f aca="true">CRITBINOM($C1014,MIN(0.75,Matchup!$B$39*$B1014),RAND())</f>
        <v>3</v>
      </c>
      <c r="E1014" s="0" t="n">
        <f aca="true">CRITBINOM(D1014,Coefficients!$B$30,RAND())</f>
        <v>2</v>
      </c>
      <c r="F1014" s="0" t="n">
        <f aca="true">CRITBINOM(E1014,Coefficients!$B$31,RAND())</f>
        <v>1</v>
      </c>
      <c r="G1014" s="0" t="n">
        <f aca="true">CRITBINOM(MAX(0,D1014-E1014),1-Coefficients!$B$32,RAND())</f>
        <v>0</v>
      </c>
      <c r="H1014" s="0" t="n">
        <f aca="true">CRITBINOM(MAX(0,$C1014-D1014),MIN(0.6,Matchup!$B$40*SQRT($B1014)/(1-MIN(0.75,Matchup!$B$39*$B1014))),RAND())</f>
        <v>2</v>
      </c>
      <c r="I1014" s="0" t="n">
        <f aca="false">6*D1014+(D1014-E1014-G1014)+2*F1014+3*H1014</f>
        <v>27</v>
      </c>
      <c r="J1014" s="0" t="n">
        <f aca="true">CRITBINOM($C1014,MIN(0.75,Matchup!$C$39*$B1014),RAND())</f>
        <v>2</v>
      </c>
      <c r="K1014" s="0" t="n">
        <f aca="true">CRITBINOM(J1014,Coefficients!$B$30,RAND())</f>
        <v>0</v>
      </c>
      <c r="L1014" s="0" t="n">
        <f aca="true">CRITBINOM(K1014,Coefficients!$B$31,RAND())</f>
        <v>0</v>
      </c>
      <c r="M1014" s="0" t="n">
        <f aca="true">CRITBINOM(MAX(0,J1014-K1014),1-Coefficients!$B$32,RAND())</f>
        <v>0</v>
      </c>
      <c r="N1014" s="0" t="n">
        <f aca="true">CRITBINOM(MAX(0,$C1014-J1014),MIN(0.6,Matchup!$C$40*SQRT($B1014)/(1-MIN(0.75,Matchup!$C$39*$B1014))),RAND())</f>
        <v>0</v>
      </c>
      <c r="O1014" s="0" t="n">
        <f aca="false">6*J1014+(J1014-K1014-M1014)+2*L1014+3*N1014</f>
        <v>14</v>
      </c>
      <c r="P1014" s="0" t="n">
        <f aca="true">RAND()</f>
        <v>0.222936716398949</v>
      </c>
      <c r="Q1014" s="0" t="n">
        <f aca="true">RAND()</f>
        <v>0.582676151393874</v>
      </c>
      <c r="R1014" s="0" t="n">
        <f aca="false">IF($I1014&lt;&gt;$O1014,0,IF(P1014&lt;Matchup!$B$39,7,IF(P1014&lt;Matchup!$B$39+Matchup!$B$40,3,0)))</f>
        <v>0</v>
      </c>
      <c r="S1014" s="0" t="n">
        <f aca="false">IF($I1014&lt;&gt;$O1014,0,IF(Q1014&lt;Matchup!$C$39,7,IF(Q1014&lt;Matchup!$C$39+Matchup!$C$40,3,0)))</f>
        <v>0</v>
      </c>
      <c r="T1014" s="0" t="n">
        <f aca="false">I1014+R1014</f>
        <v>27</v>
      </c>
      <c r="U1014" s="0" t="n">
        <f aca="false">O1014+S1014</f>
        <v>14</v>
      </c>
      <c r="V1014" s="0" t="n">
        <f aca="false">T1014-U1014</f>
        <v>13</v>
      </c>
      <c r="W1014" s="0" t="n">
        <f aca="false">T1014+U1014</f>
        <v>41</v>
      </c>
    </row>
    <row r="1015" customFormat="false" ht="15" hidden="false" customHeight="false" outlineLevel="0" collapsed="false">
      <c r="A1015" s="0" t="n">
        <v>1012</v>
      </c>
      <c r="B1015" s="0" t="n">
        <f aca="true">NORMINV(RAND(),1,Coefficients!$B$22)</f>
        <v>0.916793803262696</v>
      </c>
      <c r="C1015" s="0" t="n">
        <f aca="true">MEDIAN(8,16,ROUND(NORMINV(RAND(),Coefficients!$B$20,Coefficients!$B$21),0))</f>
        <v>11</v>
      </c>
      <c r="D1015" s="0" t="n">
        <f aca="true">CRITBINOM($C1015,MIN(0.75,Matchup!$B$39*$B1015),RAND())</f>
        <v>2</v>
      </c>
      <c r="E1015" s="0" t="n">
        <f aca="true">CRITBINOM(D1015,Coefficients!$B$30,RAND())</f>
        <v>0</v>
      </c>
      <c r="F1015" s="0" t="n">
        <f aca="true">CRITBINOM(E1015,Coefficients!$B$31,RAND())</f>
        <v>0</v>
      </c>
      <c r="G1015" s="0" t="n">
        <f aca="true">CRITBINOM(MAX(0,D1015-E1015),1-Coefficients!$B$32,RAND())</f>
        <v>0</v>
      </c>
      <c r="H1015" s="0" t="n">
        <f aca="true">CRITBINOM(MAX(0,$C1015-D1015),MIN(0.6,Matchup!$B$40*SQRT($B1015)/(1-MIN(0.75,Matchup!$B$39*$B1015))),RAND())</f>
        <v>3</v>
      </c>
      <c r="I1015" s="0" t="n">
        <f aca="false">6*D1015+(D1015-E1015-G1015)+2*F1015+3*H1015</f>
        <v>23</v>
      </c>
      <c r="J1015" s="0" t="n">
        <f aca="true">CRITBINOM($C1015,MIN(0.75,Matchup!$C$39*$B1015),RAND())</f>
        <v>3</v>
      </c>
      <c r="K1015" s="0" t="n">
        <f aca="true">CRITBINOM(J1015,Coefficients!$B$30,RAND())</f>
        <v>0</v>
      </c>
      <c r="L1015" s="0" t="n">
        <f aca="true">CRITBINOM(K1015,Coefficients!$B$31,RAND())</f>
        <v>0</v>
      </c>
      <c r="M1015" s="0" t="n">
        <f aca="true">CRITBINOM(MAX(0,J1015-K1015),1-Coefficients!$B$32,RAND())</f>
        <v>0</v>
      </c>
      <c r="N1015" s="0" t="n">
        <f aca="true">CRITBINOM(MAX(0,$C1015-J1015),MIN(0.6,Matchup!$C$40*SQRT($B1015)/(1-MIN(0.75,Matchup!$C$39*$B1015))),RAND())</f>
        <v>2</v>
      </c>
      <c r="O1015" s="0" t="n">
        <f aca="false">6*J1015+(J1015-K1015-M1015)+2*L1015+3*N1015</f>
        <v>27</v>
      </c>
      <c r="P1015" s="0" t="n">
        <f aca="true">RAND()</f>
        <v>0.816045327053337</v>
      </c>
      <c r="Q1015" s="0" t="n">
        <f aca="true">RAND()</f>
        <v>0.918629952566936</v>
      </c>
      <c r="R1015" s="0" t="n">
        <f aca="false">IF($I1015&lt;&gt;$O1015,0,IF(P1015&lt;Matchup!$B$39,7,IF(P1015&lt;Matchup!$B$39+Matchup!$B$40,3,0)))</f>
        <v>0</v>
      </c>
      <c r="S1015" s="0" t="n">
        <f aca="false">IF($I1015&lt;&gt;$O1015,0,IF(Q1015&lt;Matchup!$C$39,7,IF(Q1015&lt;Matchup!$C$39+Matchup!$C$40,3,0)))</f>
        <v>0</v>
      </c>
      <c r="T1015" s="0" t="n">
        <f aca="false">I1015+R1015</f>
        <v>23</v>
      </c>
      <c r="U1015" s="0" t="n">
        <f aca="false">O1015+S1015</f>
        <v>27</v>
      </c>
      <c r="V1015" s="0" t="n">
        <f aca="false">T1015-U1015</f>
        <v>-4</v>
      </c>
      <c r="W1015" s="0" t="n">
        <f aca="false">T1015+U1015</f>
        <v>50</v>
      </c>
    </row>
    <row r="1016" customFormat="false" ht="15" hidden="false" customHeight="false" outlineLevel="0" collapsed="false">
      <c r="A1016" s="0" t="n">
        <v>1013</v>
      </c>
      <c r="B1016" s="0" t="n">
        <f aca="true">NORMINV(RAND(),1,Coefficients!$B$22)</f>
        <v>1.09442076748928</v>
      </c>
      <c r="C1016" s="0" t="n">
        <f aca="true">MEDIAN(8,16,ROUND(NORMINV(RAND(),Coefficients!$B$20,Coefficients!$B$21),0))</f>
        <v>11</v>
      </c>
      <c r="D1016" s="0" t="n">
        <f aca="true">CRITBINOM($C1016,MIN(0.75,Matchup!$B$39*$B1016),RAND())</f>
        <v>2</v>
      </c>
      <c r="E1016" s="0" t="n">
        <f aca="true">CRITBINOM(D1016,Coefficients!$B$30,RAND())</f>
        <v>1</v>
      </c>
      <c r="F1016" s="0" t="n">
        <f aca="true">CRITBINOM(E1016,Coefficients!$B$31,RAND())</f>
        <v>0</v>
      </c>
      <c r="G1016" s="0" t="n">
        <f aca="true">CRITBINOM(MAX(0,D1016-E1016),1-Coefficients!$B$32,RAND())</f>
        <v>0</v>
      </c>
      <c r="H1016" s="0" t="n">
        <f aca="true">CRITBINOM(MAX(0,$C1016-D1016),MIN(0.6,Matchup!$B$40*SQRT($B1016)/(1-MIN(0.75,Matchup!$B$39*$B1016))),RAND())</f>
        <v>0</v>
      </c>
      <c r="I1016" s="0" t="n">
        <f aca="false">6*D1016+(D1016-E1016-G1016)+2*F1016+3*H1016</f>
        <v>13</v>
      </c>
      <c r="J1016" s="0" t="n">
        <f aca="true">CRITBINOM($C1016,MIN(0.75,Matchup!$C$39*$B1016),RAND())</f>
        <v>3</v>
      </c>
      <c r="K1016" s="0" t="n">
        <f aca="true">CRITBINOM(J1016,Coefficients!$B$30,RAND())</f>
        <v>1</v>
      </c>
      <c r="L1016" s="0" t="n">
        <f aca="true">CRITBINOM(K1016,Coefficients!$B$31,RAND())</f>
        <v>0</v>
      </c>
      <c r="M1016" s="0" t="n">
        <f aca="true">CRITBINOM(MAX(0,J1016-K1016),1-Coefficients!$B$32,RAND())</f>
        <v>0</v>
      </c>
      <c r="N1016" s="0" t="n">
        <f aca="true">CRITBINOM(MAX(0,$C1016-J1016),MIN(0.6,Matchup!$C$40*SQRT($B1016)/(1-MIN(0.75,Matchup!$C$39*$B1016))),RAND())</f>
        <v>1</v>
      </c>
      <c r="O1016" s="0" t="n">
        <f aca="false">6*J1016+(J1016-K1016-M1016)+2*L1016+3*N1016</f>
        <v>23</v>
      </c>
      <c r="P1016" s="0" t="n">
        <f aca="true">RAND()</f>
        <v>0.924520550662101</v>
      </c>
      <c r="Q1016" s="0" t="n">
        <f aca="true">RAND()</f>
        <v>0.739353711144879</v>
      </c>
      <c r="R1016" s="0" t="n">
        <f aca="false">IF($I1016&lt;&gt;$O1016,0,IF(P1016&lt;Matchup!$B$39,7,IF(P1016&lt;Matchup!$B$39+Matchup!$B$40,3,0)))</f>
        <v>0</v>
      </c>
      <c r="S1016" s="0" t="n">
        <f aca="false">IF($I1016&lt;&gt;$O1016,0,IF(Q1016&lt;Matchup!$C$39,7,IF(Q1016&lt;Matchup!$C$39+Matchup!$C$40,3,0)))</f>
        <v>0</v>
      </c>
      <c r="T1016" s="0" t="n">
        <f aca="false">I1016+R1016</f>
        <v>13</v>
      </c>
      <c r="U1016" s="0" t="n">
        <f aca="false">O1016+S1016</f>
        <v>23</v>
      </c>
      <c r="V1016" s="0" t="n">
        <f aca="false">T1016-U1016</f>
        <v>-10</v>
      </c>
      <c r="W1016" s="0" t="n">
        <f aca="false">T1016+U1016</f>
        <v>36</v>
      </c>
    </row>
    <row r="1017" customFormat="false" ht="15" hidden="false" customHeight="false" outlineLevel="0" collapsed="false">
      <c r="A1017" s="0" t="n">
        <v>1014</v>
      </c>
      <c r="B1017" s="0" t="n">
        <f aca="true">NORMINV(RAND(),1,Coefficients!$B$22)</f>
        <v>0.978460100171207</v>
      </c>
      <c r="C1017" s="0" t="n">
        <f aca="true">MEDIAN(8,16,ROUND(NORMINV(RAND(),Coefficients!$B$20,Coefficients!$B$21),0))</f>
        <v>12</v>
      </c>
      <c r="D1017" s="0" t="n">
        <f aca="true">CRITBINOM($C1017,MIN(0.75,Matchup!$B$39*$B1017),RAND())</f>
        <v>0</v>
      </c>
      <c r="E1017" s="0" t="n">
        <f aca="true">CRITBINOM(D1017,Coefficients!$B$30,RAND())</f>
        <v>0</v>
      </c>
      <c r="F1017" s="0" t="n">
        <f aca="true">CRITBINOM(E1017,Coefficients!$B$31,RAND())</f>
        <v>0</v>
      </c>
      <c r="G1017" s="0" t="n">
        <f aca="true">CRITBINOM(MAX(0,D1017-E1017),1-Coefficients!$B$32,RAND())</f>
        <v>0</v>
      </c>
      <c r="H1017" s="0" t="n">
        <f aca="true">CRITBINOM(MAX(0,$C1017-D1017),MIN(0.6,Matchup!$B$40*SQRT($B1017)/(1-MIN(0.75,Matchup!$B$39*$B1017))),RAND())</f>
        <v>2</v>
      </c>
      <c r="I1017" s="0" t="n">
        <f aca="false">6*D1017+(D1017-E1017-G1017)+2*F1017+3*H1017</f>
        <v>6</v>
      </c>
      <c r="J1017" s="0" t="n">
        <f aca="true">CRITBINOM($C1017,MIN(0.75,Matchup!$C$39*$B1017),RAND())</f>
        <v>1</v>
      </c>
      <c r="K1017" s="0" t="n">
        <f aca="true">CRITBINOM(J1017,Coefficients!$B$30,RAND())</f>
        <v>0</v>
      </c>
      <c r="L1017" s="0" t="n">
        <f aca="true">CRITBINOM(K1017,Coefficients!$B$31,RAND())</f>
        <v>0</v>
      </c>
      <c r="M1017" s="0" t="n">
        <f aca="true">CRITBINOM(MAX(0,J1017-K1017),1-Coefficients!$B$32,RAND())</f>
        <v>0</v>
      </c>
      <c r="N1017" s="0" t="n">
        <f aca="true">CRITBINOM(MAX(0,$C1017-J1017),MIN(0.6,Matchup!$C$40*SQRT($B1017)/(1-MIN(0.75,Matchup!$C$39*$B1017))),RAND())</f>
        <v>1</v>
      </c>
      <c r="O1017" s="0" t="n">
        <f aca="false">6*J1017+(J1017-K1017-M1017)+2*L1017+3*N1017</f>
        <v>10</v>
      </c>
      <c r="P1017" s="0" t="n">
        <f aca="true">RAND()</f>
        <v>0.0386972155844104</v>
      </c>
      <c r="Q1017" s="0" t="n">
        <f aca="true">RAND()</f>
        <v>0.399234630407605</v>
      </c>
      <c r="R1017" s="0" t="n">
        <f aca="false">IF($I1017&lt;&gt;$O1017,0,IF(P1017&lt;Matchup!$B$39,7,IF(P1017&lt;Matchup!$B$39+Matchup!$B$40,3,0)))</f>
        <v>0</v>
      </c>
      <c r="S1017" s="0" t="n">
        <f aca="false">IF($I1017&lt;&gt;$O1017,0,IF(Q1017&lt;Matchup!$C$39,7,IF(Q1017&lt;Matchup!$C$39+Matchup!$C$40,3,0)))</f>
        <v>0</v>
      </c>
      <c r="T1017" s="0" t="n">
        <f aca="false">I1017+R1017</f>
        <v>6</v>
      </c>
      <c r="U1017" s="0" t="n">
        <f aca="false">O1017+S1017</f>
        <v>10</v>
      </c>
      <c r="V1017" s="0" t="n">
        <f aca="false">T1017-U1017</f>
        <v>-4</v>
      </c>
      <c r="W1017" s="0" t="n">
        <f aca="false">T1017+U1017</f>
        <v>16</v>
      </c>
    </row>
    <row r="1018" customFormat="false" ht="15" hidden="false" customHeight="false" outlineLevel="0" collapsed="false">
      <c r="A1018" s="0" t="n">
        <v>1015</v>
      </c>
      <c r="B1018" s="0" t="n">
        <f aca="true">NORMINV(RAND(),1,Coefficients!$B$22)</f>
        <v>1.12831427819157</v>
      </c>
      <c r="C1018" s="0" t="n">
        <f aca="true">MEDIAN(8,16,ROUND(NORMINV(RAND(),Coefficients!$B$20,Coefficients!$B$21),0))</f>
        <v>11</v>
      </c>
      <c r="D1018" s="0" t="n">
        <f aca="true">CRITBINOM($C1018,MIN(0.75,Matchup!$B$39*$B1018),RAND())</f>
        <v>2</v>
      </c>
      <c r="E1018" s="0" t="n">
        <f aca="true">CRITBINOM(D1018,Coefficients!$B$30,RAND())</f>
        <v>0</v>
      </c>
      <c r="F1018" s="0" t="n">
        <f aca="true">CRITBINOM(E1018,Coefficients!$B$31,RAND())</f>
        <v>0</v>
      </c>
      <c r="G1018" s="0" t="n">
        <f aca="true">CRITBINOM(MAX(0,D1018-E1018),1-Coefficients!$B$32,RAND())</f>
        <v>0</v>
      </c>
      <c r="H1018" s="0" t="n">
        <f aca="true">CRITBINOM(MAX(0,$C1018-D1018),MIN(0.6,Matchup!$B$40*SQRT($B1018)/(1-MIN(0.75,Matchup!$B$39*$B1018))),RAND())</f>
        <v>1</v>
      </c>
      <c r="I1018" s="0" t="n">
        <f aca="false">6*D1018+(D1018-E1018-G1018)+2*F1018+3*H1018</f>
        <v>17</v>
      </c>
      <c r="J1018" s="0" t="n">
        <f aca="true">CRITBINOM($C1018,MIN(0.75,Matchup!$C$39*$B1018),RAND())</f>
        <v>1</v>
      </c>
      <c r="K1018" s="0" t="n">
        <f aca="true">CRITBINOM(J1018,Coefficients!$B$30,RAND())</f>
        <v>0</v>
      </c>
      <c r="L1018" s="0" t="n">
        <f aca="true">CRITBINOM(K1018,Coefficients!$B$31,RAND())</f>
        <v>0</v>
      </c>
      <c r="M1018" s="0" t="n">
        <f aca="true">CRITBINOM(MAX(0,J1018-K1018),1-Coefficients!$B$32,RAND())</f>
        <v>0</v>
      </c>
      <c r="N1018" s="0" t="n">
        <f aca="true">CRITBINOM(MAX(0,$C1018-J1018),MIN(0.6,Matchup!$C$40*SQRT($B1018)/(1-MIN(0.75,Matchup!$C$39*$B1018))),RAND())</f>
        <v>3</v>
      </c>
      <c r="O1018" s="0" t="n">
        <f aca="false">6*J1018+(J1018-K1018-M1018)+2*L1018+3*N1018</f>
        <v>16</v>
      </c>
      <c r="P1018" s="0" t="n">
        <f aca="true">RAND()</f>
        <v>0.6586267527665</v>
      </c>
      <c r="Q1018" s="0" t="n">
        <f aca="true">RAND()</f>
        <v>0.259107840809869</v>
      </c>
      <c r="R1018" s="0" t="n">
        <f aca="false">IF($I1018&lt;&gt;$O1018,0,IF(P1018&lt;Matchup!$B$39,7,IF(P1018&lt;Matchup!$B$39+Matchup!$B$40,3,0)))</f>
        <v>0</v>
      </c>
      <c r="S1018" s="0" t="n">
        <f aca="false">IF($I1018&lt;&gt;$O1018,0,IF(Q1018&lt;Matchup!$C$39,7,IF(Q1018&lt;Matchup!$C$39+Matchup!$C$40,3,0)))</f>
        <v>0</v>
      </c>
      <c r="T1018" s="0" t="n">
        <f aca="false">I1018+R1018</f>
        <v>17</v>
      </c>
      <c r="U1018" s="0" t="n">
        <f aca="false">O1018+S1018</f>
        <v>16</v>
      </c>
      <c r="V1018" s="0" t="n">
        <f aca="false">T1018-U1018</f>
        <v>1</v>
      </c>
      <c r="W1018" s="0" t="n">
        <f aca="false">T1018+U1018</f>
        <v>33</v>
      </c>
    </row>
    <row r="1019" customFormat="false" ht="15" hidden="false" customHeight="false" outlineLevel="0" collapsed="false">
      <c r="A1019" s="0" t="n">
        <v>1016</v>
      </c>
      <c r="B1019" s="0" t="n">
        <f aca="true">NORMINV(RAND(),1,Coefficients!$B$22)</f>
        <v>1.02894226497904</v>
      </c>
      <c r="C1019" s="0" t="n">
        <f aca="true">MEDIAN(8,16,ROUND(NORMINV(RAND(),Coefficients!$B$20,Coefficients!$B$21),0))</f>
        <v>12</v>
      </c>
      <c r="D1019" s="0" t="n">
        <f aca="true">CRITBINOM($C1019,MIN(0.75,Matchup!$B$39*$B1019),RAND())</f>
        <v>3</v>
      </c>
      <c r="E1019" s="0" t="n">
        <f aca="true">CRITBINOM(D1019,Coefficients!$B$30,RAND())</f>
        <v>0</v>
      </c>
      <c r="F1019" s="0" t="n">
        <f aca="true">CRITBINOM(E1019,Coefficients!$B$31,RAND())</f>
        <v>0</v>
      </c>
      <c r="G1019" s="0" t="n">
        <f aca="true">CRITBINOM(MAX(0,D1019-E1019),1-Coefficients!$B$32,RAND())</f>
        <v>0</v>
      </c>
      <c r="H1019" s="0" t="n">
        <f aca="true">CRITBINOM(MAX(0,$C1019-D1019),MIN(0.6,Matchup!$B$40*SQRT($B1019)/(1-MIN(0.75,Matchup!$B$39*$B1019))),RAND())</f>
        <v>2</v>
      </c>
      <c r="I1019" s="0" t="n">
        <f aca="false">6*D1019+(D1019-E1019-G1019)+2*F1019+3*H1019</f>
        <v>27</v>
      </c>
      <c r="J1019" s="0" t="n">
        <f aca="true">CRITBINOM($C1019,MIN(0.75,Matchup!$C$39*$B1019),RAND())</f>
        <v>2</v>
      </c>
      <c r="K1019" s="0" t="n">
        <f aca="true">CRITBINOM(J1019,Coefficients!$B$30,RAND())</f>
        <v>0</v>
      </c>
      <c r="L1019" s="0" t="n">
        <f aca="true">CRITBINOM(K1019,Coefficients!$B$31,RAND())</f>
        <v>0</v>
      </c>
      <c r="M1019" s="0" t="n">
        <f aca="true">CRITBINOM(MAX(0,J1019-K1019),1-Coefficients!$B$32,RAND())</f>
        <v>0</v>
      </c>
      <c r="N1019" s="0" t="n">
        <f aca="true">CRITBINOM(MAX(0,$C1019-J1019),MIN(0.6,Matchup!$C$40*SQRT($B1019)/(1-MIN(0.75,Matchup!$C$39*$B1019))),RAND())</f>
        <v>1</v>
      </c>
      <c r="O1019" s="0" t="n">
        <f aca="false">6*J1019+(J1019-K1019-M1019)+2*L1019+3*N1019</f>
        <v>17</v>
      </c>
      <c r="P1019" s="0" t="n">
        <f aca="true">RAND()</f>
        <v>0.571429809828685</v>
      </c>
      <c r="Q1019" s="0" t="n">
        <f aca="true">RAND()</f>
        <v>0.626091724980607</v>
      </c>
      <c r="R1019" s="0" t="n">
        <f aca="false">IF($I1019&lt;&gt;$O1019,0,IF(P1019&lt;Matchup!$B$39,7,IF(P1019&lt;Matchup!$B$39+Matchup!$B$40,3,0)))</f>
        <v>0</v>
      </c>
      <c r="S1019" s="0" t="n">
        <f aca="false">IF($I1019&lt;&gt;$O1019,0,IF(Q1019&lt;Matchup!$C$39,7,IF(Q1019&lt;Matchup!$C$39+Matchup!$C$40,3,0)))</f>
        <v>0</v>
      </c>
      <c r="T1019" s="0" t="n">
        <f aca="false">I1019+R1019</f>
        <v>27</v>
      </c>
      <c r="U1019" s="0" t="n">
        <f aca="false">O1019+S1019</f>
        <v>17</v>
      </c>
      <c r="V1019" s="0" t="n">
        <f aca="false">T1019-U1019</f>
        <v>10</v>
      </c>
      <c r="W1019" s="0" t="n">
        <f aca="false">T1019+U1019</f>
        <v>44</v>
      </c>
    </row>
    <row r="1020" customFormat="false" ht="15" hidden="false" customHeight="false" outlineLevel="0" collapsed="false">
      <c r="A1020" s="0" t="n">
        <v>1017</v>
      </c>
      <c r="B1020" s="0" t="n">
        <f aca="true">NORMINV(RAND(),1,Coefficients!$B$22)</f>
        <v>0.918979282787011</v>
      </c>
      <c r="C1020" s="0" t="n">
        <f aca="true">MEDIAN(8,16,ROUND(NORMINV(RAND(),Coefficients!$B$20,Coefficients!$B$21),0))</f>
        <v>9</v>
      </c>
      <c r="D1020" s="0" t="n">
        <f aca="true">CRITBINOM($C1020,MIN(0.75,Matchup!$B$39*$B1020),RAND())</f>
        <v>3</v>
      </c>
      <c r="E1020" s="0" t="n">
        <f aca="true">CRITBINOM(D1020,Coefficients!$B$30,RAND())</f>
        <v>1</v>
      </c>
      <c r="F1020" s="0" t="n">
        <f aca="true">CRITBINOM(E1020,Coefficients!$B$31,RAND())</f>
        <v>0</v>
      </c>
      <c r="G1020" s="0" t="n">
        <f aca="true">CRITBINOM(MAX(0,D1020-E1020),1-Coefficients!$B$32,RAND())</f>
        <v>0</v>
      </c>
      <c r="H1020" s="0" t="n">
        <f aca="true">CRITBINOM(MAX(0,$C1020-D1020),MIN(0.6,Matchup!$B$40*SQRT($B1020)/(1-MIN(0.75,Matchup!$B$39*$B1020))),RAND())</f>
        <v>2</v>
      </c>
      <c r="I1020" s="0" t="n">
        <f aca="false">6*D1020+(D1020-E1020-G1020)+2*F1020+3*H1020</f>
        <v>26</v>
      </c>
      <c r="J1020" s="0" t="n">
        <f aca="true">CRITBINOM($C1020,MIN(0.75,Matchup!$C$39*$B1020),RAND())</f>
        <v>3</v>
      </c>
      <c r="K1020" s="0" t="n">
        <f aca="true">CRITBINOM(J1020,Coefficients!$B$30,RAND())</f>
        <v>0</v>
      </c>
      <c r="L1020" s="0" t="n">
        <f aca="true">CRITBINOM(K1020,Coefficients!$B$31,RAND())</f>
        <v>0</v>
      </c>
      <c r="M1020" s="0" t="n">
        <f aca="true">CRITBINOM(MAX(0,J1020-K1020),1-Coefficients!$B$32,RAND())</f>
        <v>0</v>
      </c>
      <c r="N1020" s="0" t="n">
        <f aca="true">CRITBINOM(MAX(0,$C1020-J1020),MIN(0.6,Matchup!$C$40*SQRT($B1020)/(1-MIN(0.75,Matchup!$C$39*$B1020))),RAND())</f>
        <v>1</v>
      </c>
      <c r="O1020" s="0" t="n">
        <f aca="false">6*J1020+(J1020-K1020-M1020)+2*L1020+3*N1020</f>
        <v>24</v>
      </c>
      <c r="P1020" s="0" t="n">
        <f aca="true">RAND()</f>
        <v>0.74119671694233</v>
      </c>
      <c r="Q1020" s="0" t="n">
        <f aca="true">RAND()</f>
        <v>0.114136040612942</v>
      </c>
      <c r="R1020" s="0" t="n">
        <f aca="false">IF($I1020&lt;&gt;$O1020,0,IF(P1020&lt;Matchup!$B$39,7,IF(P1020&lt;Matchup!$B$39+Matchup!$B$40,3,0)))</f>
        <v>0</v>
      </c>
      <c r="S1020" s="0" t="n">
        <f aca="false">IF($I1020&lt;&gt;$O1020,0,IF(Q1020&lt;Matchup!$C$39,7,IF(Q1020&lt;Matchup!$C$39+Matchup!$C$40,3,0)))</f>
        <v>0</v>
      </c>
      <c r="T1020" s="0" t="n">
        <f aca="false">I1020+R1020</f>
        <v>26</v>
      </c>
      <c r="U1020" s="0" t="n">
        <f aca="false">O1020+S1020</f>
        <v>24</v>
      </c>
      <c r="V1020" s="0" t="n">
        <f aca="false">T1020-U1020</f>
        <v>2</v>
      </c>
      <c r="W1020" s="0" t="n">
        <f aca="false">T1020+U1020</f>
        <v>50</v>
      </c>
    </row>
    <row r="1021" customFormat="false" ht="15" hidden="false" customHeight="false" outlineLevel="0" collapsed="false">
      <c r="A1021" s="0" t="n">
        <v>1018</v>
      </c>
      <c r="B1021" s="0" t="n">
        <f aca="true">NORMINV(RAND(),1,Coefficients!$B$22)</f>
        <v>0.953934936095165</v>
      </c>
      <c r="C1021" s="0" t="n">
        <f aca="true">MEDIAN(8,16,ROUND(NORMINV(RAND(),Coefficients!$B$20,Coefficients!$B$21),0))</f>
        <v>11</v>
      </c>
      <c r="D1021" s="0" t="n">
        <f aca="true">CRITBINOM($C1021,MIN(0.75,Matchup!$B$39*$B1021),RAND())</f>
        <v>3</v>
      </c>
      <c r="E1021" s="0" t="n">
        <f aca="true">CRITBINOM(D1021,Coefficients!$B$30,RAND())</f>
        <v>0</v>
      </c>
      <c r="F1021" s="0" t="n">
        <f aca="true">CRITBINOM(E1021,Coefficients!$B$31,RAND())</f>
        <v>0</v>
      </c>
      <c r="G1021" s="0" t="n">
        <f aca="true">CRITBINOM(MAX(0,D1021-E1021),1-Coefficients!$B$32,RAND())</f>
        <v>0</v>
      </c>
      <c r="H1021" s="0" t="n">
        <f aca="true">CRITBINOM(MAX(0,$C1021-D1021),MIN(0.6,Matchup!$B$40*SQRT($B1021)/(1-MIN(0.75,Matchup!$B$39*$B1021))),RAND())</f>
        <v>0</v>
      </c>
      <c r="I1021" s="0" t="n">
        <f aca="false">6*D1021+(D1021-E1021-G1021)+2*F1021+3*H1021</f>
        <v>21</v>
      </c>
      <c r="J1021" s="0" t="n">
        <f aca="true">CRITBINOM($C1021,MIN(0.75,Matchup!$C$39*$B1021),RAND())</f>
        <v>1</v>
      </c>
      <c r="K1021" s="0" t="n">
        <f aca="true">CRITBINOM(J1021,Coefficients!$B$30,RAND())</f>
        <v>0</v>
      </c>
      <c r="L1021" s="0" t="n">
        <f aca="true">CRITBINOM(K1021,Coefficients!$B$31,RAND())</f>
        <v>0</v>
      </c>
      <c r="M1021" s="0" t="n">
        <f aca="true">CRITBINOM(MAX(0,J1021-K1021),1-Coefficients!$B$32,RAND())</f>
        <v>0</v>
      </c>
      <c r="N1021" s="0" t="n">
        <f aca="true">CRITBINOM(MAX(0,$C1021-J1021),MIN(0.6,Matchup!$C$40*SQRT($B1021)/(1-MIN(0.75,Matchup!$C$39*$B1021))),RAND())</f>
        <v>2</v>
      </c>
      <c r="O1021" s="0" t="n">
        <f aca="false">6*J1021+(J1021-K1021-M1021)+2*L1021+3*N1021</f>
        <v>13</v>
      </c>
      <c r="P1021" s="0" t="n">
        <f aca="true">RAND()</f>
        <v>0.618589695415226</v>
      </c>
      <c r="Q1021" s="0" t="n">
        <f aca="true">RAND()</f>
        <v>0.527603791414258</v>
      </c>
      <c r="R1021" s="0" t="n">
        <f aca="false">IF($I1021&lt;&gt;$O1021,0,IF(P1021&lt;Matchup!$B$39,7,IF(P1021&lt;Matchup!$B$39+Matchup!$B$40,3,0)))</f>
        <v>0</v>
      </c>
      <c r="S1021" s="0" t="n">
        <f aca="false">IF($I1021&lt;&gt;$O1021,0,IF(Q1021&lt;Matchup!$C$39,7,IF(Q1021&lt;Matchup!$C$39+Matchup!$C$40,3,0)))</f>
        <v>0</v>
      </c>
      <c r="T1021" s="0" t="n">
        <f aca="false">I1021+R1021</f>
        <v>21</v>
      </c>
      <c r="U1021" s="0" t="n">
        <f aca="false">O1021+S1021</f>
        <v>13</v>
      </c>
      <c r="V1021" s="0" t="n">
        <f aca="false">T1021-U1021</f>
        <v>8</v>
      </c>
      <c r="W1021" s="0" t="n">
        <f aca="false">T1021+U1021</f>
        <v>34</v>
      </c>
    </row>
    <row r="1022" customFormat="false" ht="15" hidden="false" customHeight="false" outlineLevel="0" collapsed="false">
      <c r="A1022" s="0" t="n">
        <v>1019</v>
      </c>
      <c r="B1022" s="0" t="n">
        <f aca="true">NORMINV(RAND(),1,Coefficients!$B$22)</f>
        <v>1.08877321728431</v>
      </c>
      <c r="C1022" s="0" t="n">
        <f aca="true">MEDIAN(8,16,ROUND(NORMINV(RAND(),Coefficients!$B$20,Coefficients!$B$21),0))</f>
        <v>12</v>
      </c>
      <c r="D1022" s="0" t="n">
        <f aca="true">CRITBINOM($C1022,MIN(0.75,Matchup!$B$39*$B1022),RAND())</f>
        <v>2</v>
      </c>
      <c r="E1022" s="0" t="n">
        <f aca="true">CRITBINOM(D1022,Coefficients!$B$30,RAND())</f>
        <v>0</v>
      </c>
      <c r="F1022" s="0" t="n">
        <f aca="true">CRITBINOM(E1022,Coefficients!$B$31,RAND())</f>
        <v>0</v>
      </c>
      <c r="G1022" s="0" t="n">
        <f aca="true">CRITBINOM(MAX(0,D1022-E1022),1-Coefficients!$B$32,RAND())</f>
        <v>0</v>
      </c>
      <c r="H1022" s="0" t="n">
        <f aca="true">CRITBINOM(MAX(0,$C1022-D1022),MIN(0.6,Matchup!$B$40*SQRT($B1022)/(1-MIN(0.75,Matchup!$B$39*$B1022))),RAND())</f>
        <v>4</v>
      </c>
      <c r="I1022" s="0" t="n">
        <f aca="false">6*D1022+(D1022-E1022-G1022)+2*F1022+3*H1022</f>
        <v>26</v>
      </c>
      <c r="J1022" s="0" t="n">
        <f aca="true">CRITBINOM($C1022,MIN(0.75,Matchup!$C$39*$B1022),RAND())</f>
        <v>2</v>
      </c>
      <c r="K1022" s="0" t="n">
        <f aca="true">CRITBINOM(J1022,Coefficients!$B$30,RAND())</f>
        <v>0</v>
      </c>
      <c r="L1022" s="0" t="n">
        <f aca="true">CRITBINOM(K1022,Coefficients!$B$31,RAND())</f>
        <v>0</v>
      </c>
      <c r="M1022" s="0" t="n">
        <f aca="true">CRITBINOM(MAX(0,J1022-K1022),1-Coefficients!$B$32,RAND())</f>
        <v>0</v>
      </c>
      <c r="N1022" s="0" t="n">
        <f aca="true">CRITBINOM(MAX(0,$C1022-J1022),MIN(0.6,Matchup!$C$40*SQRT($B1022)/(1-MIN(0.75,Matchup!$C$39*$B1022))),RAND())</f>
        <v>1</v>
      </c>
      <c r="O1022" s="0" t="n">
        <f aca="false">6*J1022+(J1022-K1022-M1022)+2*L1022+3*N1022</f>
        <v>17</v>
      </c>
      <c r="P1022" s="0" t="n">
        <f aca="true">RAND()</f>
        <v>0.24602298698674</v>
      </c>
      <c r="Q1022" s="0" t="n">
        <f aca="true">RAND()</f>
        <v>0.0320757096726191</v>
      </c>
      <c r="R1022" s="0" t="n">
        <f aca="false">IF($I1022&lt;&gt;$O1022,0,IF(P1022&lt;Matchup!$B$39,7,IF(P1022&lt;Matchup!$B$39+Matchup!$B$40,3,0)))</f>
        <v>0</v>
      </c>
      <c r="S1022" s="0" t="n">
        <f aca="false">IF($I1022&lt;&gt;$O1022,0,IF(Q1022&lt;Matchup!$C$39,7,IF(Q1022&lt;Matchup!$C$39+Matchup!$C$40,3,0)))</f>
        <v>0</v>
      </c>
      <c r="T1022" s="0" t="n">
        <f aca="false">I1022+R1022</f>
        <v>26</v>
      </c>
      <c r="U1022" s="0" t="n">
        <f aca="false">O1022+S1022</f>
        <v>17</v>
      </c>
      <c r="V1022" s="0" t="n">
        <f aca="false">T1022-U1022</f>
        <v>9</v>
      </c>
      <c r="W1022" s="0" t="n">
        <f aca="false">T1022+U1022</f>
        <v>43</v>
      </c>
    </row>
    <row r="1023" customFormat="false" ht="15" hidden="false" customHeight="false" outlineLevel="0" collapsed="false">
      <c r="A1023" s="0" t="n">
        <v>1020</v>
      </c>
      <c r="B1023" s="0" t="n">
        <f aca="true">NORMINV(RAND(),1,Coefficients!$B$22)</f>
        <v>1.1564298769024</v>
      </c>
      <c r="C1023" s="0" t="n">
        <f aca="true">MEDIAN(8,16,ROUND(NORMINV(RAND(),Coefficients!$B$20,Coefficients!$B$21),0))</f>
        <v>11</v>
      </c>
      <c r="D1023" s="0" t="n">
        <f aca="true">CRITBINOM($C1023,MIN(0.75,Matchup!$B$39*$B1023),RAND())</f>
        <v>1</v>
      </c>
      <c r="E1023" s="0" t="n">
        <f aca="true">CRITBINOM(D1023,Coefficients!$B$30,RAND())</f>
        <v>0</v>
      </c>
      <c r="F1023" s="0" t="n">
        <f aca="true">CRITBINOM(E1023,Coefficients!$B$31,RAND())</f>
        <v>0</v>
      </c>
      <c r="G1023" s="0" t="n">
        <f aca="true">CRITBINOM(MAX(0,D1023-E1023),1-Coefficients!$B$32,RAND())</f>
        <v>0</v>
      </c>
      <c r="H1023" s="0" t="n">
        <f aca="true">CRITBINOM(MAX(0,$C1023-D1023),MIN(0.6,Matchup!$B$40*SQRT($B1023)/(1-MIN(0.75,Matchup!$B$39*$B1023))),RAND())</f>
        <v>2</v>
      </c>
      <c r="I1023" s="0" t="n">
        <f aca="false">6*D1023+(D1023-E1023-G1023)+2*F1023+3*H1023</f>
        <v>13</v>
      </c>
      <c r="J1023" s="0" t="n">
        <f aca="true">CRITBINOM($C1023,MIN(0.75,Matchup!$C$39*$B1023),RAND())</f>
        <v>4</v>
      </c>
      <c r="K1023" s="0" t="n">
        <f aca="true">CRITBINOM(J1023,Coefficients!$B$30,RAND())</f>
        <v>0</v>
      </c>
      <c r="L1023" s="0" t="n">
        <f aca="true">CRITBINOM(K1023,Coefficients!$B$31,RAND())</f>
        <v>0</v>
      </c>
      <c r="M1023" s="0" t="n">
        <f aca="true">CRITBINOM(MAX(0,J1023-K1023),1-Coefficients!$B$32,RAND())</f>
        <v>1</v>
      </c>
      <c r="N1023" s="0" t="n">
        <f aca="true">CRITBINOM(MAX(0,$C1023-J1023),MIN(0.6,Matchup!$C$40*SQRT($B1023)/(1-MIN(0.75,Matchup!$C$39*$B1023))),RAND())</f>
        <v>0</v>
      </c>
      <c r="O1023" s="0" t="n">
        <f aca="false">6*J1023+(J1023-K1023-M1023)+2*L1023+3*N1023</f>
        <v>27</v>
      </c>
      <c r="P1023" s="0" t="n">
        <f aca="true">RAND()</f>
        <v>0.806013701471631</v>
      </c>
      <c r="Q1023" s="0" t="n">
        <f aca="true">RAND()</f>
        <v>0.330928739232772</v>
      </c>
      <c r="R1023" s="0" t="n">
        <f aca="false">IF($I1023&lt;&gt;$O1023,0,IF(P1023&lt;Matchup!$B$39,7,IF(P1023&lt;Matchup!$B$39+Matchup!$B$40,3,0)))</f>
        <v>0</v>
      </c>
      <c r="S1023" s="0" t="n">
        <f aca="false">IF($I1023&lt;&gt;$O1023,0,IF(Q1023&lt;Matchup!$C$39,7,IF(Q1023&lt;Matchup!$C$39+Matchup!$C$40,3,0)))</f>
        <v>0</v>
      </c>
      <c r="T1023" s="0" t="n">
        <f aca="false">I1023+R1023</f>
        <v>13</v>
      </c>
      <c r="U1023" s="0" t="n">
        <f aca="false">O1023+S1023</f>
        <v>27</v>
      </c>
      <c r="V1023" s="0" t="n">
        <f aca="false">T1023-U1023</f>
        <v>-14</v>
      </c>
      <c r="W1023" s="0" t="n">
        <f aca="false">T1023+U1023</f>
        <v>40</v>
      </c>
    </row>
    <row r="1024" customFormat="false" ht="15" hidden="false" customHeight="false" outlineLevel="0" collapsed="false">
      <c r="A1024" s="0" t="n">
        <v>1021</v>
      </c>
      <c r="B1024" s="0" t="n">
        <f aca="true">NORMINV(RAND(),1,Coefficients!$B$22)</f>
        <v>0.95836933256317</v>
      </c>
      <c r="C1024" s="0" t="n">
        <f aca="true">MEDIAN(8,16,ROUND(NORMINV(RAND(),Coefficients!$B$20,Coefficients!$B$21),0))</f>
        <v>12</v>
      </c>
      <c r="D1024" s="0" t="n">
        <f aca="true">CRITBINOM($C1024,MIN(0.75,Matchup!$B$39*$B1024),RAND())</f>
        <v>5</v>
      </c>
      <c r="E1024" s="0" t="n">
        <f aca="true">CRITBINOM(D1024,Coefficients!$B$30,RAND())</f>
        <v>0</v>
      </c>
      <c r="F1024" s="0" t="n">
        <f aca="true">CRITBINOM(E1024,Coefficients!$B$31,RAND())</f>
        <v>0</v>
      </c>
      <c r="G1024" s="0" t="n">
        <f aca="true">CRITBINOM(MAX(0,D1024-E1024),1-Coefficients!$B$32,RAND())</f>
        <v>0</v>
      </c>
      <c r="H1024" s="0" t="n">
        <f aca="true">CRITBINOM(MAX(0,$C1024-D1024),MIN(0.6,Matchup!$B$40*SQRT($B1024)/(1-MIN(0.75,Matchup!$B$39*$B1024))),RAND())</f>
        <v>3</v>
      </c>
      <c r="I1024" s="0" t="n">
        <f aca="false">6*D1024+(D1024-E1024-G1024)+2*F1024+3*H1024</f>
        <v>44</v>
      </c>
      <c r="J1024" s="0" t="n">
        <f aca="true">CRITBINOM($C1024,MIN(0.75,Matchup!$C$39*$B1024),RAND())</f>
        <v>1</v>
      </c>
      <c r="K1024" s="0" t="n">
        <f aca="true">CRITBINOM(J1024,Coefficients!$B$30,RAND())</f>
        <v>0</v>
      </c>
      <c r="L1024" s="0" t="n">
        <f aca="true">CRITBINOM(K1024,Coefficients!$B$31,RAND())</f>
        <v>0</v>
      </c>
      <c r="M1024" s="0" t="n">
        <f aca="true">CRITBINOM(MAX(0,J1024-K1024),1-Coefficients!$B$32,RAND())</f>
        <v>0</v>
      </c>
      <c r="N1024" s="0" t="n">
        <f aca="true">CRITBINOM(MAX(0,$C1024-J1024),MIN(0.6,Matchup!$C$40*SQRT($B1024)/(1-MIN(0.75,Matchup!$C$39*$B1024))),RAND())</f>
        <v>4</v>
      </c>
      <c r="O1024" s="0" t="n">
        <f aca="false">6*J1024+(J1024-K1024-M1024)+2*L1024+3*N1024</f>
        <v>19</v>
      </c>
      <c r="P1024" s="0" t="n">
        <f aca="true">RAND()</f>
        <v>0.876544867111802</v>
      </c>
      <c r="Q1024" s="0" t="n">
        <f aca="true">RAND()</f>
        <v>0.484511560183249</v>
      </c>
      <c r="R1024" s="0" t="n">
        <f aca="false">IF($I1024&lt;&gt;$O1024,0,IF(P1024&lt;Matchup!$B$39,7,IF(P1024&lt;Matchup!$B$39+Matchup!$B$40,3,0)))</f>
        <v>0</v>
      </c>
      <c r="S1024" s="0" t="n">
        <f aca="false">IF($I1024&lt;&gt;$O1024,0,IF(Q1024&lt;Matchup!$C$39,7,IF(Q1024&lt;Matchup!$C$39+Matchup!$C$40,3,0)))</f>
        <v>0</v>
      </c>
      <c r="T1024" s="0" t="n">
        <f aca="false">I1024+R1024</f>
        <v>44</v>
      </c>
      <c r="U1024" s="0" t="n">
        <f aca="false">O1024+S1024</f>
        <v>19</v>
      </c>
      <c r="V1024" s="0" t="n">
        <f aca="false">T1024-U1024</f>
        <v>25</v>
      </c>
      <c r="W1024" s="0" t="n">
        <f aca="false">T1024+U1024</f>
        <v>63</v>
      </c>
    </row>
    <row r="1025" customFormat="false" ht="15" hidden="false" customHeight="false" outlineLevel="0" collapsed="false">
      <c r="A1025" s="0" t="n">
        <v>1022</v>
      </c>
      <c r="B1025" s="0" t="n">
        <f aca="true">NORMINV(RAND(),1,Coefficients!$B$22)</f>
        <v>1.03327321921451</v>
      </c>
      <c r="C1025" s="0" t="n">
        <f aca="true">MEDIAN(8,16,ROUND(NORMINV(RAND(),Coefficients!$B$20,Coefficients!$B$21),0))</f>
        <v>13</v>
      </c>
      <c r="D1025" s="0" t="n">
        <f aca="true">CRITBINOM($C1025,MIN(0.75,Matchup!$B$39*$B1025),RAND())</f>
        <v>4</v>
      </c>
      <c r="E1025" s="0" t="n">
        <f aca="true">CRITBINOM(D1025,Coefficients!$B$30,RAND())</f>
        <v>0</v>
      </c>
      <c r="F1025" s="0" t="n">
        <f aca="true">CRITBINOM(E1025,Coefficients!$B$31,RAND())</f>
        <v>0</v>
      </c>
      <c r="G1025" s="0" t="n">
        <f aca="true">CRITBINOM(MAX(0,D1025-E1025),1-Coefficients!$B$32,RAND())</f>
        <v>0</v>
      </c>
      <c r="H1025" s="0" t="n">
        <f aca="true">CRITBINOM(MAX(0,$C1025-D1025),MIN(0.6,Matchup!$B$40*SQRT($B1025)/(1-MIN(0.75,Matchup!$B$39*$B1025))),RAND())</f>
        <v>0</v>
      </c>
      <c r="I1025" s="0" t="n">
        <f aca="false">6*D1025+(D1025-E1025-G1025)+2*F1025+3*H1025</f>
        <v>28</v>
      </c>
      <c r="J1025" s="0" t="n">
        <f aca="true">CRITBINOM($C1025,MIN(0.75,Matchup!$C$39*$B1025),RAND())</f>
        <v>3</v>
      </c>
      <c r="K1025" s="0" t="n">
        <f aca="true">CRITBINOM(J1025,Coefficients!$B$30,RAND())</f>
        <v>0</v>
      </c>
      <c r="L1025" s="0" t="n">
        <f aca="true">CRITBINOM(K1025,Coefficients!$B$31,RAND())</f>
        <v>0</v>
      </c>
      <c r="M1025" s="0" t="n">
        <f aca="true">CRITBINOM(MAX(0,J1025-K1025),1-Coefficients!$B$32,RAND())</f>
        <v>0</v>
      </c>
      <c r="N1025" s="0" t="n">
        <f aca="true">CRITBINOM(MAX(0,$C1025-J1025),MIN(0.6,Matchup!$C$40*SQRT($B1025)/(1-MIN(0.75,Matchup!$C$39*$B1025))),RAND())</f>
        <v>3</v>
      </c>
      <c r="O1025" s="0" t="n">
        <f aca="false">6*J1025+(J1025-K1025-M1025)+2*L1025+3*N1025</f>
        <v>30</v>
      </c>
      <c r="P1025" s="0" t="n">
        <f aca="true">RAND()</f>
        <v>0.813135837102937</v>
      </c>
      <c r="Q1025" s="0" t="n">
        <f aca="true">RAND()</f>
        <v>0.886341057092854</v>
      </c>
      <c r="R1025" s="0" t="n">
        <f aca="false">IF($I1025&lt;&gt;$O1025,0,IF(P1025&lt;Matchup!$B$39,7,IF(P1025&lt;Matchup!$B$39+Matchup!$B$40,3,0)))</f>
        <v>0</v>
      </c>
      <c r="S1025" s="0" t="n">
        <f aca="false">IF($I1025&lt;&gt;$O1025,0,IF(Q1025&lt;Matchup!$C$39,7,IF(Q1025&lt;Matchup!$C$39+Matchup!$C$40,3,0)))</f>
        <v>0</v>
      </c>
      <c r="T1025" s="0" t="n">
        <f aca="false">I1025+R1025</f>
        <v>28</v>
      </c>
      <c r="U1025" s="0" t="n">
        <f aca="false">O1025+S1025</f>
        <v>30</v>
      </c>
      <c r="V1025" s="0" t="n">
        <f aca="false">T1025-U1025</f>
        <v>-2</v>
      </c>
      <c r="W1025" s="0" t="n">
        <f aca="false">T1025+U1025</f>
        <v>58</v>
      </c>
    </row>
    <row r="1026" customFormat="false" ht="15" hidden="false" customHeight="false" outlineLevel="0" collapsed="false">
      <c r="A1026" s="0" t="n">
        <v>1023</v>
      </c>
      <c r="B1026" s="0" t="n">
        <f aca="true">NORMINV(RAND(),1,Coefficients!$B$22)</f>
        <v>0.952828568150638</v>
      </c>
      <c r="C1026" s="0" t="n">
        <f aca="true">MEDIAN(8,16,ROUND(NORMINV(RAND(),Coefficients!$B$20,Coefficients!$B$21),0))</f>
        <v>13</v>
      </c>
      <c r="D1026" s="0" t="n">
        <f aca="true">CRITBINOM($C1026,MIN(0.75,Matchup!$B$39*$B1026),RAND())</f>
        <v>0</v>
      </c>
      <c r="E1026" s="0" t="n">
        <f aca="true">CRITBINOM(D1026,Coefficients!$B$30,RAND())</f>
        <v>0</v>
      </c>
      <c r="F1026" s="0" t="n">
        <f aca="true">CRITBINOM(E1026,Coefficients!$B$31,RAND())</f>
        <v>0</v>
      </c>
      <c r="G1026" s="0" t="n">
        <f aca="true">CRITBINOM(MAX(0,D1026-E1026),1-Coefficients!$B$32,RAND())</f>
        <v>0</v>
      </c>
      <c r="H1026" s="0" t="n">
        <f aca="true">CRITBINOM(MAX(0,$C1026-D1026),MIN(0.6,Matchup!$B$40*SQRT($B1026)/(1-MIN(0.75,Matchup!$B$39*$B1026))),RAND())</f>
        <v>4</v>
      </c>
      <c r="I1026" s="0" t="n">
        <f aca="false">6*D1026+(D1026-E1026-G1026)+2*F1026+3*H1026</f>
        <v>12</v>
      </c>
      <c r="J1026" s="0" t="n">
        <f aca="true">CRITBINOM($C1026,MIN(0.75,Matchup!$C$39*$B1026),RAND())</f>
        <v>3</v>
      </c>
      <c r="K1026" s="0" t="n">
        <f aca="true">CRITBINOM(J1026,Coefficients!$B$30,RAND())</f>
        <v>0</v>
      </c>
      <c r="L1026" s="0" t="n">
        <f aca="true">CRITBINOM(K1026,Coefficients!$B$31,RAND())</f>
        <v>0</v>
      </c>
      <c r="M1026" s="0" t="n">
        <f aca="true">CRITBINOM(MAX(0,J1026-K1026),1-Coefficients!$B$32,RAND())</f>
        <v>0</v>
      </c>
      <c r="N1026" s="0" t="n">
        <f aca="true">CRITBINOM(MAX(0,$C1026-J1026),MIN(0.6,Matchup!$C$40*SQRT($B1026)/(1-MIN(0.75,Matchup!$C$39*$B1026))),RAND())</f>
        <v>1</v>
      </c>
      <c r="O1026" s="0" t="n">
        <f aca="false">6*J1026+(J1026-K1026-M1026)+2*L1026+3*N1026</f>
        <v>24</v>
      </c>
      <c r="P1026" s="0" t="n">
        <f aca="true">RAND()</f>
        <v>0.18266399567604</v>
      </c>
      <c r="Q1026" s="0" t="n">
        <f aca="true">RAND()</f>
        <v>0.372062966685252</v>
      </c>
      <c r="R1026" s="0" t="n">
        <f aca="false">IF($I1026&lt;&gt;$O1026,0,IF(P1026&lt;Matchup!$B$39,7,IF(P1026&lt;Matchup!$B$39+Matchup!$B$40,3,0)))</f>
        <v>0</v>
      </c>
      <c r="S1026" s="0" t="n">
        <f aca="false">IF($I1026&lt;&gt;$O1026,0,IF(Q1026&lt;Matchup!$C$39,7,IF(Q1026&lt;Matchup!$C$39+Matchup!$C$40,3,0)))</f>
        <v>0</v>
      </c>
      <c r="T1026" s="0" t="n">
        <f aca="false">I1026+R1026</f>
        <v>12</v>
      </c>
      <c r="U1026" s="0" t="n">
        <f aca="false">O1026+S1026</f>
        <v>24</v>
      </c>
      <c r="V1026" s="0" t="n">
        <f aca="false">T1026-U1026</f>
        <v>-12</v>
      </c>
      <c r="W1026" s="0" t="n">
        <f aca="false">T1026+U1026</f>
        <v>36</v>
      </c>
    </row>
    <row r="1027" customFormat="false" ht="15" hidden="false" customHeight="false" outlineLevel="0" collapsed="false">
      <c r="A1027" s="0" t="n">
        <v>1024</v>
      </c>
      <c r="B1027" s="0" t="n">
        <f aca="true">NORMINV(RAND(),1,Coefficients!$B$22)</f>
        <v>0.894297105816602</v>
      </c>
      <c r="C1027" s="0" t="n">
        <f aca="true">MEDIAN(8,16,ROUND(NORMINV(RAND(),Coefficients!$B$20,Coefficients!$B$21),0))</f>
        <v>10</v>
      </c>
      <c r="D1027" s="0" t="n">
        <f aca="true">CRITBINOM($C1027,MIN(0.75,Matchup!$B$39*$B1027),RAND())</f>
        <v>2</v>
      </c>
      <c r="E1027" s="0" t="n">
        <f aca="true">CRITBINOM(D1027,Coefficients!$B$30,RAND())</f>
        <v>0</v>
      </c>
      <c r="F1027" s="0" t="n">
        <f aca="true">CRITBINOM(E1027,Coefficients!$B$31,RAND())</f>
        <v>0</v>
      </c>
      <c r="G1027" s="0" t="n">
        <f aca="true">CRITBINOM(MAX(0,D1027-E1027),1-Coefficients!$B$32,RAND())</f>
        <v>0</v>
      </c>
      <c r="H1027" s="0" t="n">
        <f aca="true">CRITBINOM(MAX(0,$C1027-D1027),MIN(0.6,Matchup!$B$40*SQRT($B1027)/(1-MIN(0.75,Matchup!$B$39*$B1027))),RAND())</f>
        <v>0</v>
      </c>
      <c r="I1027" s="0" t="n">
        <f aca="false">6*D1027+(D1027-E1027-G1027)+2*F1027+3*H1027</f>
        <v>14</v>
      </c>
      <c r="J1027" s="0" t="n">
        <f aca="true">CRITBINOM($C1027,MIN(0.75,Matchup!$C$39*$B1027),RAND())</f>
        <v>2</v>
      </c>
      <c r="K1027" s="0" t="n">
        <f aca="true">CRITBINOM(J1027,Coefficients!$B$30,RAND())</f>
        <v>0</v>
      </c>
      <c r="L1027" s="0" t="n">
        <f aca="true">CRITBINOM(K1027,Coefficients!$B$31,RAND())</f>
        <v>0</v>
      </c>
      <c r="M1027" s="0" t="n">
        <f aca="true">CRITBINOM(MAX(0,J1027-K1027),1-Coefficients!$B$32,RAND())</f>
        <v>1</v>
      </c>
      <c r="N1027" s="0" t="n">
        <f aca="true">CRITBINOM(MAX(0,$C1027-J1027),MIN(0.6,Matchup!$C$40*SQRT($B1027)/(1-MIN(0.75,Matchup!$C$39*$B1027))),RAND())</f>
        <v>1</v>
      </c>
      <c r="O1027" s="0" t="n">
        <f aca="false">6*J1027+(J1027-K1027-M1027)+2*L1027+3*N1027</f>
        <v>16</v>
      </c>
      <c r="P1027" s="0" t="n">
        <f aca="true">RAND()</f>
        <v>0.325276457280816</v>
      </c>
      <c r="Q1027" s="0" t="n">
        <f aca="true">RAND()</f>
        <v>0.055552645857128</v>
      </c>
      <c r="R1027" s="0" t="n">
        <f aca="false">IF($I1027&lt;&gt;$O1027,0,IF(P1027&lt;Matchup!$B$39,7,IF(P1027&lt;Matchup!$B$39+Matchup!$B$40,3,0)))</f>
        <v>0</v>
      </c>
      <c r="S1027" s="0" t="n">
        <f aca="false">IF($I1027&lt;&gt;$O1027,0,IF(Q1027&lt;Matchup!$C$39,7,IF(Q1027&lt;Matchup!$C$39+Matchup!$C$40,3,0)))</f>
        <v>0</v>
      </c>
      <c r="T1027" s="0" t="n">
        <f aca="false">I1027+R1027</f>
        <v>14</v>
      </c>
      <c r="U1027" s="0" t="n">
        <f aca="false">O1027+S1027</f>
        <v>16</v>
      </c>
      <c r="V1027" s="0" t="n">
        <f aca="false">T1027-U1027</f>
        <v>-2</v>
      </c>
      <c r="W1027" s="0" t="n">
        <f aca="false">T1027+U1027</f>
        <v>30</v>
      </c>
    </row>
    <row r="1028" customFormat="false" ht="15" hidden="false" customHeight="false" outlineLevel="0" collapsed="false">
      <c r="A1028" s="0" t="n">
        <v>1025</v>
      </c>
      <c r="B1028" s="0" t="n">
        <f aca="true">NORMINV(RAND(),1,Coefficients!$B$22)</f>
        <v>0.930562959688102</v>
      </c>
      <c r="C1028" s="0" t="n">
        <f aca="true">MEDIAN(8,16,ROUND(NORMINV(RAND(),Coefficients!$B$20,Coefficients!$B$21),0))</f>
        <v>11</v>
      </c>
      <c r="D1028" s="0" t="n">
        <f aca="true">CRITBINOM($C1028,MIN(0.75,Matchup!$B$39*$B1028),RAND())</f>
        <v>3</v>
      </c>
      <c r="E1028" s="0" t="n">
        <f aca="true">CRITBINOM(D1028,Coefficients!$B$30,RAND())</f>
        <v>0</v>
      </c>
      <c r="F1028" s="0" t="n">
        <f aca="true">CRITBINOM(E1028,Coefficients!$B$31,RAND())</f>
        <v>0</v>
      </c>
      <c r="G1028" s="0" t="n">
        <f aca="true">CRITBINOM(MAX(0,D1028-E1028),1-Coefficients!$B$32,RAND())</f>
        <v>0</v>
      </c>
      <c r="H1028" s="0" t="n">
        <f aca="true">CRITBINOM(MAX(0,$C1028-D1028),MIN(0.6,Matchup!$B$40*SQRT($B1028)/(1-MIN(0.75,Matchup!$B$39*$B1028))),RAND())</f>
        <v>2</v>
      </c>
      <c r="I1028" s="0" t="n">
        <f aca="false">6*D1028+(D1028-E1028-G1028)+2*F1028+3*H1028</f>
        <v>27</v>
      </c>
      <c r="J1028" s="0" t="n">
        <f aca="true">CRITBINOM($C1028,MIN(0.75,Matchup!$C$39*$B1028),RAND())</f>
        <v>1</v>
      </c>
      <c r="K1028" s="0" t="n">
        <f aca="true">CRITBINOM(J1028,Coefficients!$B$30,RAND())</f>
        <v>1</v>
      </c>
      <c r="L1028" s="0" t="n">
        <f aca="true">CRITBINOM(K1028,Coefficients!$B$31,RAND())</f>
        <v>1</v>
      </c>
      <c r="M1028" s="0" t="n">
        <f aca="true">CRITBINOM(MAX(0,J1028-K1028),1-Coefficients!$B$32,RAND())</f>
        <v>0</v>
      </c>
      <c r="N1028" s="0" t="n">
        <f aca="true">CRITBINOM(MAX(0,$C1028-J1028),MIN(0.6,Matchup!$C$40*SQRT($B1028)/(1-MIN(0.75,Matchup!$C$39*$B1028))),RAND())</f>
        <v>2</v>
      </c>
      <c r="O1028" s="0" t="n">
        <f aca="false">6*J1028+(J1028-K1028-M1028)+2*L1028+3*N1028</f>
        <v>14</v>
      </c>
      <c r="P1028" s="0" t="n">
        <f aca="true">RAND()</f>
        <v>0.452428018600563</v>
      </c>
      <c r="Q1028" s="0" t="n">
        <f aca="true">RAND()</f>
        <v>0.320715364525533</v>
      </c>
      <c r="R1028" s="0" t="n">
        <f aca="false">IF($I1028&lt;&gt;$O1028,0,IF(P1028&lt;Matchup!$B$39,7,IF(P1028&lt;Matchup!$B$39+Matchup!$B$40,3,0)))</f>
        <v>0</v>
      </c>
      <c r="S1028" s="0" t="n">
        <f aca="false">IF($I1028&lt;&gt;$O1028,0,IF(Q1028&lt;Matchup!$C$39,7,IF(Q1028&lt;Matchup!$C$39+Matchup!$C$40,3,0)))</f>
        <v>0</v>
      </c>
      <c r="T1028" s="0" t="n">
        <f aca="false">I1028+R1028</f>
        <v>27</v>
      </c>
      <c r="U1028" s="0" t="n">
        <f aca="false">O1028+S1028</f>
        <v>14</v>
      </c>
      <c r="V1028" s="0" t="n">
        <f aca="false">T1028-U1028</f>
        <v>13</v>
      </c>
      <c r="W1028" s="0" t="n">
        <f aca="false">T1028+U1028</f>
        <v>41</v>
      </c>
    </row>
    <row r="1029" customFormat="false" ht="15" hidden="false" customHeight="false" outlineLevel="0" collapsed="false">
      <c r="A1029" s="0" t="n">
        <v>1026</v>
      </c>
      <c r="B1029" s="0" t="n">
        <f aca="true">NORMINV(RAND(),1,Coefficients!$B$22)</f>
        <v>1.12477895034534</v>
      </c>
      <c r="C1029" s="0" t="n">
        <f aca="true">MEDIAN(8,16,ROUND(NORMINV(RAND(),Coefficients!$B$20,Coefficients!$B$21),0))</f>
        <v>12</v>
      </c>
      <c r="D1029" s="0" t="n">
        <f aca="true">CRITBINOM($C1029,MIN(0.75,Matchup!$B$39*$B1029),RAND())</f>
        <v>3</v>
      </c>
      <c r="E1029" s="0" t="n">
        <f aca="true">CRITBINOM(D1029,Coefficients!$B$30,RAND())</f>
        <v>0</v>
      </c>
      <c r="F1029" s="0" t="n">
        <f aca="true">CRITBINOM(E1029,Coefficients!$B$31,RAND())</f>
        <v>0</v>
      </c>
      <c r="G1029" s="0" t="n">
        <f aca="true">CRITBINOM(MAX(0,D1029-E1029),1-Coefficients!$B$32,RAND())</f>
        <v>0</v>
      </c>
      <c r="H1029" s="0" t="n">
        <f aca="true">CRITBINOM(MAX(0,$C1029-D1029),MIN(0.6,Matchup!$B$40*SQRT($B1029)/(1-MIN(0.75,Matchup!$B$39*$B1029))),RAND())</f>
        <v>4</v>
      </c>
      <c r="I1029" s="0" t="n">
        <f aca="false">6*D1029+(D1029-E1029-G1029)+2*F1029+3*H1029</f>
        <v>33</v>
      </c>
      <c r="J1029" s="0" t="n">
        <f aca="true">CRITBINOM($C1029,MIN(0.75,Matchup!$C$39*$B1029),RAND())</f>
        <v>4</v>
      </c>
      <c r="K1029" s="0" t="n">
        <f aca="true">CRITBINOM(J1029,Coefficients!$B$30,RAND())</f>
        <v>1</v>
      </c>
      <c r="L1029" s="0" t="n">
        <f aca="true">CRITBINOM(K1029,Coefficients!$B$31,RAND())</f>
        <v>0</v>
      </c>
      <c r="M1029" s="0" t="n">
        <f aca="true">CRITBINOM(MAX(0,J1029-K1029),1-Coefficients!$B$32,RAND())</f>
        <v>0</v>
      </c>
      <c r="N1029" s="0" t="n">
        <f aca="true">CRITBINOM(MAX(0,$C1029-J1029),MIN(0.6,Matchup!$C$40*SQRT($B1029)/(1-MIN(0.75,Matchup!$C$39*$B1029))),RAND())</f>
        <v>1</v>
      </c>
      <c r="O1029" s="0" t="n">
        <f aca="false">6*J1029+(J1029-K1029-M1029)+2*L1029+3*N1029</f>
        <v>30</v>
      </c>
      <c r="P1029" s="0" t="n">
        <f aca="true">RAND()</f>
        <v>0.861255670810141</v>
      </c>
      <c r="Q1029" s="0" t="n">
        <f aca="true">RAND()</f>
        <v>0.0373277536560108</v>
      </c>
      <c r="R1029" s="0" t="n">
        <f aca="false">IF($I1029&lt;&gt;$O1029,0,IF(P1029&lt;Matchup!$B$39,7,IF(P1029&lt;Matchup!$B$39+Matchup!$B$40,3,0)))</f>
        <v>0</v>
      </c>
      <c r="S1029" s="0" t="n">
        <f aca="false">IF($I1029&lt;&gt;$O1029,0,IF(Q1029&lt;Matchup!$C$39,7,IF(Q1029&lt;Matchup!$C$39+Matchup!$C$40,3,0)))</f>
        <v>0</v>
      </c>
      <c r="T1029" s="0" t="n">
        <f aca="false">I1029+R1029</f>
        <v>33</v>
      </c>
      <c r="U1029" s="0" t="n">
        <f aca="false">O1029+S1029</f>
        <v>30</v>
      </c>
      <c r="V1029" s="0" t="n">
        <f aca="false">T1029-U1029</f>
        <v>3</v>
      </c>
      <c r="W1029" s="0" t="n">
        <f aca="false">T1029+U1029</f>
        <v>63</v>
      </c>
    </row>
    <row r="1030" customFormat="false" ht="15" hidden="false" customHeight="false" outlineLevel="0" collapsed="false">
      <c r="A1030" s="0" t="n">
        <v>1027</v>
      </c>
      <c r="B1030" s="0" t="n">
        <f aca="true">NORMINV(RAND(),1,Coefficients!$B$22)</f>
        <v>0.867305558563978</v>
      </c>
      <c r="C1030" s="0" t="n">
        <f aca="true">MEDIAN(8,16,ROUND(NORMINV(RAND(),Coefficients!$B$20,Coefficients!$B$21),0))</f>
        <v>13</v>
      </c>
      <c r="D1030" s="0" t="n">
        <f aca="true">CRITBINOM($C1030,MIN(0.75,Matchup!$B$39*$B1030),RAND())</f>
        <v>6</v>
      </c>
      <c r="E1030" s="0" t="n">
        <f aca="true">CRITBINOM(D1030,Coefficients!$B$30,RAND())</f>
        <v>1</v>
      </c>
      <c r="F1030" s="0" t="n">
        <f aca="true">CRITBINOM(E1030,Coefficients!$B$31,RAND())</f>
        <v>1</v>
      </c>
      <c r="G1030" s="0" t="n">
        <f aca="true">CRITBINOM(MAX(0,D1030-E1030),1-Coefficients!$B$32,RAND())</f>
        <v>1</v>
      </c>
      <c r="H1030" s="0" t="n">
        <f aca="true">CRITBINOM(MAX(0,$C1030-D1030),MIN(0.6,Matchup!$B$40*SQRT($B1030)/(1-MIN(0.75,Matchup!$B$39*$B1030))),RAND())</f>
        <v>2</v>
      </c>
      <c r="I1030" s="0" t="n">
        <f aca="false">6*D1030+(D1030-E1030-G1030)+2*F1030+3*H1030</f>
        <v>48</v>
      </c>
      <c r="J1030" s="0" t="n">
        <f aca="true">CRITBINOM($C1030,MIN(0.75,Matchup!$C$39*$B1030),RAND())</f>
        <v>3</v>
      </c>
      <c r="K1030" s="0" t="n">
        <f aca="true">CRITBINOM(J1030,Coefficients!$B$30,RAND())</f>
        <v>1</v>
      </c>
      <c r="L1030" s="0" t="n">
        <f aca="true">CRITBINOM(K1030,Coefficients!$B$31,RAND())</f>
        <v>0</v>
      </c>
      <c r="M1030" s="0" t="n">
        <f aca="true">CRITBINOM(MAX(0,J1030-K1030),1-Coefficients!$B$32,RAND())</f>
        <v>0</v>
      </c>
      <c r="N1030" s="0" t="n">
        <f aca="true">CRITBINOM(MAX(0,$C1030-J1030),MIN(0.6,Matchup!$C$40*SQRT($B1030)/(1-MIN(0.75,Matchup!$C$39*$B1030))),RAND())</f>
        <v>3</v>
      </c>
      <c r="O1030" s="0" t="n">
        <f aca="false">6*J1030+(J1030-K1030-M1030)+2*L1030+3*N1030</f>
        <v>29</v>
      </c>
      <c r="P1030" s="0" t="n">
        <f aca="true">RAND()</f>
        <v>0.801630108049307</v>
      </c>
      <c r="Q1030" s="0" t="n">
        <f aca="true">RAND()</f>
        <v>0.0878235197297941</v>
      </c>
      <c r="R1030" s="0" t="n">
        <f aca="false">IF($I1030&lt;&gt;$O1030,0,IF(P1030&lt;Matchup!$B$39,7,IF(P1030&lt;Matchup!$B$39+Matchup!$B$40,3,0)))</f>
        <v>0</v>
      </c>
      <c r="S1030" s="0" t="n">
        <f aca="false">IF($I1030&lt;&gt;$O1030,0,IF(Q1030&lt;Matchup!$C$39,7,IF(Q1030&lt;Matchup!$C$39+Matchup!$C$40,3,0)))</f>
        <v>0</v>
      </c>
      <c r="T1030" s="0" t="n">
        <f aca="false">I1030+R1030</f>
        <v>48</v>
      </c>
      <c r="U1030" s="0" t="n">
        <f aca="false">O1030+S1030</f>
        <v>29</v>
      </c>
      <c r="V1030" s="0" t="n">
        <f aca="false">T1030-U1030</f>
        <v>19</v>
      </c>
      <c r="W1030" s="0" t="n">
        <f aca="false">T1030+U1030</f>
        <v>77</v>
      </c>
    </row>
    <row r="1031" customFormat="false" ht="15" hidden="false" customHeight="false" outlineLevel="0" collapsed="false">
      <c r="A1031" s="0" t="n">
        <v>1028</v>
      </c>
      <c r="B1031" s="0" t="n">
        <f aca="true">NORMINV(RAND(),1,Coefficients!$B$22)</f>
        <v>0.947120218163501</v>
      </c>
      <c r="C1031" s="0" t="n">
        <f aca="true">MEDIAN(8,16,ROUND(NORMINV(RAND(),Coefficients!$B$20,Coefficients!$B$21),0))</f>
        <v>10</v>
      </c>
      <c r="D1031" s="0" t="n">
        <f aca="true">CRITBINOM($C1031,MIN(0.75,Matchup!$B$39*$B1031),RAND())</f>
        <v>2</v>
      </c>
      <c r="E1031" s="0" t="n">
        <f aca="true">CRITBINOM(D1031,Coefficients!$B$30,RAND())</f>
        <v>0</v>
      </c>
      <c r="F1031" s="0" t="n">
        <f aca="true">CRITBINOM(E1031,Coefficients!$B$31,RAND())</f>
        <v>0</v>
      </c>
      <c r="G1031" s="0" t="n">
        <f aca="true">CRITBINOM(MAX(0,D1031-E1031),1-Coefficients!$B$32,RAND())</f>
        <v>0</v>
      </c>
      <c r="H1031" s="0" t="n">
        <f aca="true">CRITBINOM(MAX(0,$C1031-D1031),MIN(0.6,Matchup!$B$40*SQRT($B1031)/(1-MIN(0.75,Matchup!$B$39*$B1031))),RAND())</f>
        <v>2</v>
      </c>
      <c r="I1031" s="0" t="n">
        <f aca="false">6*D1031+(D1031-E1031-G1031)+2*F1031+3*H1031</f>
        <v>20</v>
      </c>
      <c r="J1031" s="0" t="n">
        <f aca="true">CRITBINOM($C1031,MIN(0.75,Matchup!$C$39*$B1031),RAND())</f>
        <v>5</v>
      </c>
      <c r="K1031" s="0" t="n">
        <f aca="true">CRITBINOM(J1031,Coefficients!$B$30,RAND())</f>
        <v>1</v>
      </c>
      <c r="L1031" s="0" t="n">
        <f aca="true">CRITBINOM(K1031,Coefficients!$B$31,RAND())</f>
        <v>0</v>
      </c>
      <c r="M1031" s="0" t="n">
        <f aca="true">CRITBINOM(MAX(0,J1031-K1031),1-Coefficients!$B$32,RAND())</f>
        <v>1</v>
      </c>
      <c r="N1031" s="0" t="n">
        <f aca="true">CRITBINOM(MAX(0,$C1031-J1031),MIN(0.6,Matchup!$C$40*SQRT($B1031)/(1-MIN(0.75,Matchup!$C$39*$B1031))),RAND())</f>
        <v>0</v>
      </c>
      <c r="O1031" s="0" t="n">
        <f aca="false">6*J1031+(J1031-K1031-M1031)+2*L1031+3*N1031</f>
        <v>33</v>
      </c>
      <c r="P1031" s="0" t="n">
        <f aca="true">RAND()</f>
        <v>0.557220717440487</v>
      </c>
      <c r="Q1031" s="0" t="n">
        <f aca="true">RAND()</f>
        <v>0.890376562007469</v>
      </c>
      <c r="R1031" s="0" t="n">
        <f aca="false">IF($I1031&lt;&gt;$O1031,0,IF(P1031&lt;Matchup!$B$39,7,IF(P1031&lt;Matchup!$B$39+Matchup!$B$40,3,0)))</f>
        <v>0</v>
      </c>
      <c r="S1031" s="0" t="n">
        <f aca="false">IF($I1031&lt;&gt;$O1031,0,IF(Q1031&lt;Matchup!$C$39,7,IF(Q1031&lt;Matchup!$C$39+Matchup!$C$40,3,0)))</f>
        <v>0</v>
      </c>
      <c r="T1031" s="0" t="n">
        <f aca="false">I1031+R1031</f>
        <v>20</v>
      </c>
      <c r="U1031" s="0" t="n">
        <f aca="false">O1031+S1031</f>
        <v>33</v>
      </c>
      <c r="V1031" s="0" t="n">
        <f aca="false">T1031-U1031</f>
        <v>-13</v>
      </c>
      <c r="W1031" s="0" t="n">
        <f aca="false">T1031+U1031</f>
        <v>53</v>
      </c>
    </row>
    <row r="1032" customFormat="false" ht="15" hidden="false" customHeight="false" outlineLevel="0" collapsed="false">
      <c r="A1032" s="0" t="n">
        <v>1029</v>
      </c>
      <c r="B1032" s="0" t="n">
        <f aca="true">NORMINV(RAND(),1,Coefficients!$B$22)</f>
        <v>0.981700457605053</v>
      </c>
      <c r="C1032" s="0" t="n">
        <f aca="true">MEDIAN(8,16,ROUND(NORMINV(RAND(),Coefficients!$B$20,Coefficients!$B$21),0))</f>
        <v>9</v>
      </c>
      <c r="D1032" s="0" t="n">
        <f aca="true">CRITBINOM($C1032,MIN(0.75,Matchup!$B$39*$B1032),RAND())</f>
        <v>2</v>
      </c>
      <c r="E1032" s="0" t="n">
        <f aca="true">CRITBINOM(D1032,Coefficients!$B$30,RAND())</f>
        <v>0</v>
      </c>
      <c r="F1032" s="0" t="n">
        <f aca="true">CRITBINOM(E1032,Coefficients!$B$31,RAND())</f>
        <v>0</v>
      </c>
      <c r="G1032" s="0" t="n">
        <f aca="true">CRITBINOM(MAX(0,D1032-E1032),1-Coefficients!$B$32,RAND())</f>
        <v>0</v>
      </c>
      <c r="H1032" s="0" t="n">
        <f aca="true">CRITBINOM(MAX(0,$C1032-D1032),MIN(0.6,Matchup!$B$40*SQRT($B1032)/(1-MIN(0.75,Matchup!$B$39*$B1032))),RAND())</f>
        <v>3</v>
      </c>
      <c r="I1032" s="0" t="n">
        <f aca="false">6*D1032+(D1032-E1032-G1032)+2*F1032+3*H1032</f>
        <v>23</v>
      </c>
      <c r="J1032" s="0" t="n">
        <f aca="true">CRITBINOM($C1032,MIN(0.75,Matchup!$C$39*$B1032),RAND())</f>
        <v>2</v>
      </c>
      <c r="K1032" s="0" t="n">
        <f aca="true">CRITBINOM(J1032,Coefficients!$B$30,RAND())</f>
        <v>0</v>
      </c>
      <c r="L1032" s="0" t="n">
        <f aca="true">CRITBINOM(K1032,Coefficients!$B$31,RAND())</f>
        <v>0</v>
      </c>
      <c r="M1032" s="0" t="n">
        <f aca="true">CRITBINOM(MAX(0,J1032-K1032),1-Coefficients!$B$32,RAND())</f>
        <v>0</v>
      </c>
      <c r="N1032" s="0" t="n">
        <f aca="true">CRITBINOM(MAX(0,$C1032-J1032),MIN(0.6,Matchup!$C$40*SQRT($B1032)/(1-MIN(0.75,Matchup!$C$39*$B1032))),RAND())</f>
        <v>3</v>
      </c>
      <c r="O1032" s="0" t="n">
        <f aca="false">6*J1032+(J1032-K1032-M1032)+2*L1032+3*N1032</f>
        <v>23</v>
      </c>
      <c r="P1032" s="0" t="n">
        <f aca="true">RAND()</f>
        <v>0.985525219890255</v>
      </c>
      <c r="Q1032" s="0" t="n">
        <f aca="true">RAND()</f>
        <v>0.100062514415321</v>
      </c>
      <c r="R1032" s="0" t="n">
        <f aca="false">IF($I1032&lt;&gt;$O1032,0,IF(P1032&lt;Matchup!$B$39,7,IF(P1032&lt;Matchup!$B$39+Matchup!$B$40,3,0)))</f>
        <v>0</v>
      </c>
      <c r="S1032" s="0" t="n">
        <f aca="false">IF($I1032&lt;&gt;$O1032,0,IF(Q1032&lt;Matchup!$C$39,7,IF(Q1032&lt;Matchup!$C$39+Matchup!$C$40,3,0)))</f>
        <v>7</v>
      </c>
      <c r="T1032" s="0" t="n">
        <f aca="false">I1032+R1032</f>
        <v>23</v>
      </c>
      <c r="U1032" s="0" t="n">
        <f aca="false">O1032+S1032</f>
        <v>30</v>
      </c>
      <c r="V1032" s="0" t="n">
        <f aca="false">T1032-U1032</f>
        <v>-7</v>
      </c>
      <c r="W1032" s="0" t="n">
        <f aca="false">T1032+U1032</f>
        <v>53</v>
      </c>
    </row>
    <row r="1033" customFormat="false" ht="15" hidden="false" customHeight="false" outlineLevel="0" collapsed="false">
      <c r="A1033" s="0" t="n">
        <v>1030</v>
      </c>
      <c r="B1033" s="0" t="n">
        <f aca="true">NORMINV(RAND(),1,Coefficients!$B$22)</f>
        <v>0.903330796210027</v>
      </c>
      <c r="C1033" s="0" t="n">
        <f aca="true">MEDIAN(8,16,ROUND(NORMINV(RAND(),Coefficients!$B$20,Coefficients!$B$21),0))</f>
        <v>10</v>
      </c>
      <c r="D1033" s="0" t="n">
        <f aca="true">CRITBINOM($C1033,MIN(0.75,Matchup!$B$39*$B1033),RAND())</f>
        <v>0</v>
      </c>
      <c r="E1033" s="0" t="n">
        <f aca="true">CRITBINOM(D1033,Coefficients!$B$30,RAND())</f>
        <v>0</v>
      </c>
      <c r="F1033" s="0" t="n">
        <f aca="true">CRITBINOM(E1033,Coefficients!$B$31,RAND())</f>
        <v>0</v>
      </c>
      <c r="G1033" s="0" t="n">
        <f aca="true">CRITBINOM(MAX(0,D1033-E1033),1-Coefficients!$B$32,RAND())</f>
        <v>0</v>
      </c>
      <c r="H1033" s="0" t="n">
        <f aca="true">CRITBINOM(MAX(0,$C1033-D1033),MIN(0.6,Matchup!$B$40*SQRT($B1033)/(1-MIN(0.75,Matchup!$B$39*$B1033))),RAND())</f>
        <v>2</v>
      </c>
      <c r="I1033" s="0" t="n">
        <f aca="false">6*D1033+(D1033-E1033-G1033)+2*F1033+3*H1033</f>
        <v>6</v>
      </c>
      <c r="J1033" s="0" t="n">
        <f aca="true">CRITBINOM($C1033,MIN(0.75,Matchup!$C$39*$B1033),RAND())</f>
        <v>1</v>
      </c>
      <c r="K1033" s="0" t="n">
        <f aca="true">CRITBINOM(J1033,Coefficients!$B$30,RAND())</f>
        <v>0</v>
      </c>
      <c r="L1033" s="0" t="n">
        <f aca="true">CRITBINOM(K1033,Coefficients!$B$31,RAND())</f>
        <v>0</v>
      </c>
      <c r="M1033" s="0" t="n">
        <f aca="true">CRITBINOM(MAX(0,J1033-K1033),1-Coefficients!$B$32,RAND())</f>
        <v>0</v>
      </c>
      <c r="N1033" s="0" t="n">
        <f aca="true">CRITBINOM(MAX(0,$C1033-J1033),MIN(0.6,Matchup!$C$40*SQRT($B1033)/(1-MIN(0.75,Matchup!$C$39*$B1033))),RAND())</f>
        <v>2</v>
      </c>
      <c r="O1033" s="0" t="n">
        <f aca="false">6*J1033+(J1033-K1033-M1033)+2*L1033+3*N1033</f>
        <v>13</v>
      </c>
      <c r="P1033" s="0" t="n">
        <f aca="true">RAND()</f>
        <v>0.842140156805194</v>
      </c>
      <c r="Q1033" s="0" t="n">
        <f aca="true">RAND()</f>
        <v>0.0972253797756855</v>
      </c>
      <c r="R1033" s="0" t="n">
        <f aca="false">IF($I1033&lt;&gt;$O1033,0,IF(P1033&lt;Matchup!$B$39,7,IF(P1033&lt;Matchup!$B$39+Matchup!$B$40,3,0)))</f>
        <v>0</v>
      </c>
      <c r="S1033" s="0" t="n">
        <f aca="false">IF($I1033&lt;&gt;$O1033,0,IF(Q1033&lt;Matchup!$C$39,7,IF(Q1033&lt;Matchup!$C$39+Matchup!$C$40,3,0)))</f>
        <v>0</v>
      </c>
      <c r="T1033" s="0" t="n">
        <f aca="false">I1033+R1033</f>
        <v>6</v>
      </c>
      <c r="U1033" s="0" t="n">
        <f aca="false">O1033+S1033</f>
        <v>13</v>
      </c>
      <c r="V1033" s="0" t="n">
        <f aca="false">T1033-U1033</f>
        <v>-7</v>
      </c>
      <c r="W1033" s="0" t="n">
        <f aca="false">T1033+U1033</f>
        <v>19</v>
      </c>
    </row>
    <row r="1034" customFormat="false" ht="15" hidden="false" customHeight="false" outlineLevel="0" collapsed="false">
      <c r="A1034" s="0" t="n">
        <v>1031</v>
      </c>
      <c r="B1034" s="0" t="n">
        <f aca="true">NORMINV(RAND(),1,Coefficients!$B$22)</f>
        <v>0.982043055998164</v>
      </c>
      <c r="C1034" s="0" t="n">
        <f aca="true">MEDIAN(8,16,ROUND(NORMINV(RAND(),Coefficients!$B$20,Coefficients!$B$21),0))</f>
        <v>11</v>
      </c>
      <c r="D1034" s="0" t="n">
        <f aca="true">CRITBINOM($C1034,MIN(0.75,Matchup!$B$39*$B1034),RAND())</f>
        <v>3</v>
      </c>
      <c r="E1034" s="0" t="n">
        <f aca="true">CRITBINOM(D1034,Coefficients!$B$30,RAND())</f>
        <v>0</v>
      </c>
      <c r="F1034" s="0" t="n">
        <f aca="true">CRITBINOM(E1034,Coefficients!$B$31,RAND())</f>
        <v>0</v>
      </c>
      <c r="G1034" s="0" t="n">
        <f aca="true">CRITBINOM(MAX(0,D1034-E1034),1-Coefficients!$B$32,RAND())</f>
        <v>0</v>
      </c>
      <c r="H1034" s="0" t="n">
        <f aca="true">CRITBINOM(MAX(0,$C1034-D1034),MIN(0.6,Matchup!$B$40*SQRT($B1034)/(1-MIN(0.75,Matchup!$B$39*$B1034))),RAND())</f>
        <v>1</v>
      </c>
      <c r="I1034" s="0" t="n">
        <f aca="false">6*D1034+(D1034-E1034-G1034)+2*F1034+3*H1034</f>
        <v>24</v>
      </c>
      <c r="J1034" s="0" t="n">
        <f aca="true">CRITBINOM($C1034,MIN(0.75,Matchup!$C$39*$B1034),RAND())</f>
        <v>0</v>
      </c>
      <c r="K1034" s="0" t="n">
        <f aca="true">CRITBINOM(J1034,Coefficients!$B$30,RAND())</f>
        <v>0</v>
      </c>
      <c r="L1034" s="0" t="n">
        <f aca="true">CRITBINOM(K1034,Coefficients!$B$31,RAND())</f>
        <v>0</v>
      </c>
      <c r="M1034" s="0" t="n">
        <f aca="true">CRITBINOM(MAX(0,J1034-K1034),1-Coefficients!$B$32,RAND())</f>
        <v>0</v>
      </c>
      <c r="N1034" s="0" t="n">
        <f aca="true">CRITBINOM(MAX(0,$C1034-J1034),MIN(0.6,Matchup!$C$40*SQRT($B1034)/(1-MIN(0.75,Matchup!$C$39*$B1034))),RAND())</f>
        <v>2</v>
      </c>
      <c r="O1034" s="0" t="n">
        <f aca="false">6*J1034+(J1034-K1034-M1034)+2*L1034+3*N1034</f>
        <v>6</v>
      </c>
      <c r="P1034" s="0" t="n">
        <f aca="true">RAND()</f>
        <v>0.568390274925226</v>
      </c>
      <c r="Q1034" s="0" t="n">
        <f aca="true">RAND()</f>
        <v>0.67960766193006</v>
      </c>
      <c r="R1034" s="0" t="n">
        <f aca="false">IF($I1034&lt;&gt;$O1034,0,IF(P1034&lt;Matchup!$B$39,7,IF(P1034&lt;Matchup!$B$39+Matchup!$B$40,3,0)))</f>
        <v>0</v>
      </c>
      <c r="S1034" s="0" t="n">
        <f aca="false">IF($I1034&lt;&gt;$O1034,0,IF(Q1034&lt;Matchup!$C$39,7,IF(Q1034&lt;Matchup!$C$39+Matchup!$C$40,3,0)))</f>
        <v>0</v>
      </c>
      <c r="T1034" s="0" t="n">
        <f aca="false">I1034+R1034</f>
        <v>24</v>
      </c>
      <c r="U1034" s="0" t="n">
        <f aca="false">O1034+S1034</f>
        <v>6</v>
      </c>
      <c r="V1034" s="0" t="n">
        <f aca="false">T1034-U1034</f>
        <v>18</v>
      </c>
      <c r="W1034" s="0" t="n">
        <f aca="false">T1034+U1034</f>
        <v>30</v>
      </c>
    </row>
    <row r="1035" customFormat="false" ht="15" hidden="false" customHeight="false" outlineLevel="0" collapsed="false">
      <c r="A1035" s="0" t="n">
        <v>1032</v>
      </c>
      <c r="B1035" s="0" t="n">
        <f aca="true">NORMINV(RAND(),1,Coefficients!$B$22)</f>
        <v>1.06099823717119</v>
      </c>
      <c r="C1035" s="0" t="n">
        <f aca="true">MEDIAN(8,16,ROUND(NORMINV(RAND(),Coefficients!$B$20,Coefficients!$B$21),0))</f>
        <v>8</v>
      </c>
      <c r="D1035" s="0" t="n">
        <f aca="true">CRITBINOM($C1035,MIN(0.75,Matchup!$B$39*$B1035),RAND())</f>
        <v>2</v>
      </c>
      <c r="E1035" s="0" t="n">
        <f aca="true">CRITBINOM(D1035,Coefficients!$B$30,RAND())</f>
        <v>0</v>
      </c>
      <c r="F1035" s="0" t="n">
        <f aca="true">CRITBINOM(E1035,Coefficients!$B$31,RAND())</f>
        <v>0</v>
      </c>
      <c r="G1035" s="0" t="n">
        <f aca="true">CRITBINOM(MAX(0,D1035-E1035),1-Coefficients!$B$32,RAND())</f>
        <v>1</v>
      </c>
      <c r="H1035" s="0" t="n">
        <f aca="true">CRITBINOM(MAX(0,$C1035-D1035),MIN(0.6,Matchup!$B$40*SQRT($B1035)/(1-MIN(0.75,Matchup!$B$39*$B1035))),RAND())</f>
        <v>1</v>
      </c>
      <c r="I1035" s="0" t="n">
        <f aca="false">6*D1035+(D1035-E1035-G1035)+2*F1035+3*H1035</f>
        <v>16</v>
      </c>
      <c r="J1035" s="0" t="n">
        <f aca="true">CRITBINOM($C1035,MIN(0.75,Matchup!$C$39*$B1035),RAND())</f>
        <v>3</v>
      </c>
      <c r="K1035" s="0" t="n">
        <f aca="true">CRITBINOM(J1035,Coefficients!$B$30,RAND())</f>
        <v>0</v>
      </c>
      <c r="L1035" s="0" t="n">
        <f aca="true">CRITBINOM(K1035,Coefficients!$B$31,RAND())</f>
        <v>0</v>
      </c>
      <c r="M1035" s="0" t="n">
        <f aca="true">CRITBINOM(MAX(0,J1035-K1035),1-Coefficients!$B$32,RAND())</f>
        <v>0</v>
      </c>
      <c r="N1035" s="0" t="n">
        <f aca="true">CRITBINOM(MAX(0,$C1035-J1035),MIN(0.6,Matchup!$C$40*SQRT($B1035)/(1-MIN(0.75,Matchup!$C$39*$B1035))),RAND())</f>
        <v>1</v>
      </c>
      <c r="O1035" s="0" t="n">
        <f aca="false">6*J1035+(J1035-K1035-M1035)+2*L1035+3*N1035</f>
        <v>24</v>
      </c>
      <c r="P1035" s="0" t="n">
        <f aca="true">RAND()</f>
        <v>0.923186248217683</v>
      </c>
      <c r="Q1035" s="0" t="n">
        <f aca="true">RAND()</f>
        <v>0.815472089224157</v>
      </c>
      <c r="R1035" s="0" t="n">
        <f aca="false">IF($I1035&lt;&gt;$O1035,0,IF(P1035&lt;Matchup!$B$39,7,IF(P1035&lt;Matchup!$B$39+Matchup!$B$40,3,0)))</f>
        <v>0</v>
      </c>
      <c r="S1035" s="0" t="n">
        <f aca="false">IF($I1035&lt;&gt;$O1035,0,IF(Q1035&lt;Matchup!$C$39,7,IF(Q1035&lt;Matchup!$C$39+Matchup!$C$40,3,0)))</f>
        <v>0</v>
      </c>
      <c r="T1035" s="0" t="n">
        <f aca="false">I1035+R1035</f>
        <v>16</v>
      </c>
      <c r="U1035" s="0" t="n">
        <f aca="false">O1035+S1035</f>
        <v>24</v>
      </c>
      <c r="V1035" s="0" t="n">
        <f aca="false">T1035-U1035</f>
        <v>-8</v>
      </c>
      <c r="W1035" s="0" t="n">
        <f aca="false">T1035+U1035</f>
        <v>40</v>
      </c>
    </row>
    <row r="1036" customFormat="false" ht="15" hidden="false" customHeight="false" outlineLevel="0" collapsed="false">
      <c r="A1036" s="0" t="n">
        <v>1033</v>
      </c>
      <c r="B1036" s="0" t="n">
        <f aca="true">NORMINV(RAND(),1,Coefficients!$B$22)</f>
        <v>1.03047131457938</v>
      </c>
      <c r="C1036" s="0" t="n">
        <f aca="true">MEDIAN(8,16,ROUND(NORMINV(RAND(),Coefficients!$B$20,Coefficients!$B$21),0))</f>
        <v>11</v>
      </c>
      <c r="D1036" s="0" t="n">
        <f aca="true">CRITBINOM($C1036,MIN(0.75,Matchup!$B$39*$B1036),RAND())</f>
        <v>1</v>
      </c>
      <c r="E1036" s="0" t="n">
        <f aca="true">CRITBINOM(D1036,Coefficients!$B$30,RAND())</f>
        <v>0</v>
      </c>
      <c r="F1036" s="0" t="n">
        <f aca="true">CRITBINOM(E1036,Coefficients!$B$31,RAND())</f>
        <v>0</v>
      </c>
      <c r="G1036" s="0" t="n">
        <f aca="true">CRITBINOM(MAX(0,D1036-E1036),1-Coefficients!$B$32,RAND())</f>
        <v>0</v>
      </c>
      <c r="H1036" s="0" t="n">
        <f aca="true">CRITBINOM(MAX(0,$C1036-D1036),MIN(0.6,Matchup!$B$40*SQRT($B1036)/(1-MIN(0.75,Matchup!$B$39*$B1036))),RAND())</f>
        <v>2</v>
      </c>
      <c r="I1036" s="0" t="n">
        <f aca="false">6*D1036+(D1036-E1036-G1036)+2*F1036+3*H1036</f>
        <v>13</v>
      </c>
      <c r="J1036" s="0" t="n">
        <f aca="true">CRITBINOM($C1036,MIN(0.75,Matchup!$C$39*$B1036),RAND())</f>
        <v>2</v>
      </c>
      <c r="K1036" s="0" t="n">
        <f aca="true">CRITBINOM(J1036,Coefficients!$B$30,RAND())</f>
        <v>1</v>
      </c>
      <c r="L1036" s="0" t="n">
        <f aca="true">CRITBINOM(K1036,Coefficients!$B$31,RAND())</f>
        <v>1</v>
      </c>
      <c r="M1036" s="0" t="n">
        <f aca="true">CRITBINOM(MAX(0,J1036-K1036),1-Coefficients!$B$32,RAND())</f>
        <v>0</v>
      </c>
      <c r="N1036" s="0" t="n">
        <f aca="true">CRITBINOM(MAX(0,$C1036-J1036),MIN(0.6,Matchup!$C$40*SQRT($B1036)/(1-MIN(0.75,Matchup!$C$39*$B1036))),RAND())</f>
        <v>1</v>
      </c>
      <c r="O1036" s="0" t="n">
        <f aca="false">6*J1036+(J1036-K1036-M1036)+2*L1036+3*N1036</f>
        <v>18</v>
      </c>
      <c r="P1036" s="0" t="n">
        <f aca="true">RAND()</f>
        <v>0.808972548395525</v>
      </c>
      <c r="Q1036" s="0" t="n">
        <f aca="true">RAND()</f>
        <v>0.784539660380394</v>
      </c>
      <c r="R1036" s="0" t="n">
        <f aca="false">IF($I1036&lt;&gt;$O1036,0,IF(P1036&lt;Matchup!$B$39,7,IF(P1036&lt;Matchup!$B$39+Matchup!$B$40,3,0)))</f>
        <v>0</v>
      </c>
      <c r="S1036" s="0" t="n">
        <f aca="false">IF($I1036&lt;&gt;$O1036,0,IF(Q1036&lt;Matchup!$C$39,7,IF(Q1036&lt;Matchup!$C$39+Matchup!$C$40,3,0)))</f>
        <v>0</v>
      </c>
      <c r="T1036" s="0" t="n">
        <f aca="false">I1036+R1036</f>
        <v>13</v>
      </c>
      <c r="U1036" s="0" t="n">
        <f aca="false">O1036+S1036</f>
        <v>18</v>
      </c>
      <c r="V1036" s="0" t="n">
        <f aca="false">T1036-U1036</f>
        <v>-5</v>
      </c>
      <c r="W1036" s="0" t="n">
        <f aca="false">T1036+U1036</f>
        <v>31</v>
      </c>
    </row>
    <row r="1037" customFormat="false" ht="15" hidden="false" customHeight="false" outlineLevel="0" collapsed="false">
      <c r="A1037" s="0" t="n">
        <v>1034</v>
      </c>
      <c r="B1037" s="0" t="n">
        <f aca="true">NORMINV(RAND(),1,Coefficients!$B$22)</f>
        <v>0.862331413279527</v>
      </c>
      <c r="C1037" s="0" t="n">
        <f aca="true">MEDIAN(8,16,ROUND(NORMINV(RAND(),Coefficients!$B$20,Coefficients!$B$21),0))</f>
        <v>11</v>
      </c>
      <c r="D1037" s="0" t="n">
        <f aca="true">CRITBINOM($C1037,MIN(0.75,Matchup!$B$39*$B1037),RAND())</f>
        <v>1</v>
      </c>
      <c r="E1037" s="0" t="n">
        <f aca="true">CRITBINOM(D1037,Coefficients!$B$30,RAND())</f>
        <v>1</v>
      </c>
      <c r="F1037" s="0" t="n">
        <f aca="true">CRITBINOM(E1037,Coefficients!$B$31,RAND())</f>
        <v>0</v>
      </c>
      <c r="G1037" s="0" t="n">
        <f aca="true">CRITBINOM(MAX(0,D1037-E1037),1-Coefficients!$B$32,RAND())</f>
        <v>0</v>
      </c>
      <c r="H1037" s="0" t="n">
        <f aca="true">CRITBINOM(MAX(0,$C1037-D1037),MIN(0.6,Matchup!$B$40*SQRT($B1037)/(1-MIN(0.75,Matchup!$B$39*$B1037))),RAND())</f>
        <v>1</v>
      </c>
      <c r="I1037" s="0" t="n">
        <f aca="false">6*D1037+(D1037-E1037-G1037)+2*F1037+3*H1037</f>
        <v>9</v>
      </c>
      <c r="J1037" s="0" t="n">
        <f aca="true">CRITBINOM($C1037,MIN(0.75,Matchup!$C$39*$B1037),RAND())</f>
        <v>2</v>
      </c>
      <c r="K1037" s="0" t="n">
        <f aca="true">CRITBINOM(J1037,Coefficients!$B$30,RAND())</f>
        <v>0</v>
      </c>
      <c r="L1037" s="0" t="n">
        <f aca="true">CRITBINOM(K1037,Coefficients!$B$31,RAND())</f>
        <v>0</v>
      </c>
      <c r="M1037" s="0" t="n">
        <f aca="true">CRITBINOM(MAX(0,J1037-K1037),1-Coefficients!$B$32,RAND())</f>
        <v>0</v>
      </c>
      <c r="N1037" s="0" t="n">
        <f aca="true">CRITBINOM(MAX(0,$C1037-J1037),MIN(0.6,Matchup!$C$40*SQRT($B1037)/(1-MIN(0.75,Matchup!$C$39*$B1037))),RAND())</f>
        <v>1</v>
      </c>
      <c r="O1037" s="0" t="n">
        <f aca="false">6*J1037+(J1037-K1037-M1037)+2*L1037+3*N1037</f>
        <v>17</v>
      </c>
      <c r="P1037" s="0" t="n">
        <f aca="true">RAND()</f>
        <v>0.646933726099195</v>
      </c>
      <c r="Q1037" s="0" t="n">
        <f aca="true">RAND()</f>
        <v>0.458890684801192</v>
      </c>
      <c r="R1037" s="0" t="n">
        <f aca="false">IF($I1037&lt;&gt;$O1037,0,IF(P1037&lt;Matchup!$B$39,7,IF(P1037&lt;Matchup!$B$39+Matchup!$B$40,3,0)))</f>
        <v>0</v>
      </c>
      <c r="S1037" s="0" t="n">
        <f aca="false">IF($I1037&lt;&gt;$O1037,0,IF(Q1037&lt;Matchup!$C$39,7,IF(Q1037&lt;Matchup!$C$39+Matchup!$C$40,3,0)))</f>
        <v>0</v>
      </c>
      <c r="T1037" s="0" t="n">
        <f aca="false">I1037+R1037</f>
        <v>9</v>
      </c>
      <c r="U1037" s="0" t="n">
        <f aca="false">O1037+S1037</f>
        <v>17</v>
      </c>
      <c r="V1037" s="0" t="n">
        <f aca="false">T1037-U1037</f>
        <v>-8</v>
      </c>
      <c r="W1037" s="0" t="n">
        <f aca="false">T1037+U1037</f>
        <v>26</v>
      </c>
    </row>
    <row r="1038" customFormat="false" ht="15" hidden="false" customHeight="false" outlineLevel="0" collapsed="false">
      <c r="A1038" s="0" t="n">
        <v>1035</v>
      </c>
      <c r="B1038" s="0" t="n">
        <f aca="true">NORMINV(RAND(),1,Coefficients!$B$22)</f>
        <v>0.985096123341826</v>
      </c>
      <c r="C1038" s="0" t="n">
        <f aca="true">MEDIAN(8,16,ROUND(NORMINV(RAND(),Coefficients!$B$20,Coefficients!$B$21),0))</f>
        <v>11</v>
      </c>
      <c r="D1038" s="0" t="n">
        <f aca="true">CRITBINOM($C1038,MIN(0.75,Matchup!$B$39*$B1038),RAND())</f>
        <v>1</v>
      </c>
      <c r="E1038" s="0" t="n">
        <f aca="true">CRITBINOM(D1038,Coefficients!$B$30,RAND())</f>
        <v>1</v>
      </c>
      <c r="F1038" s="0" t="n">
        <f aca="true">CRITBINOM(E1038,Coefficients!$B$31,RAND())</f>
        <v>1</v>
      </c>
      <c r="G1038" s="0" t="n">
        <f aca="true">CRITBINOM(MAX(0,D1038-E1038),1-Coefficients!$B$32,RAND())</f>
        <v>0</v>
      </c>
      <c r="H1038" s="0" t="n">
        <f aca="true">CRITBINOM(MAX(0,$C1038-D1038),MIN(0.6,Matchup!$B$40*SQRT($B1038)/(1-MIN(0.75,Matchup!$B$39*$B1038))),RAND())</f>
        <v>3</v>
      </c>
      <c r="I1038" s="0" t="n">
        <f aca="false">6*D1038+(D1038-E1038-G1038)+2*F1038+3*H1038</f>
        <v>17</v>
      </c>
      <c r="J1038" s="0" t="n">
        <f aca="true">CRITBINOM($C1038,MIN(0.75,Matchup!$C$39*$B1038),RAND())</f>
        <v>3</v>
      </c>
      <c r="K1038" s="0" t="n">
        <f aca="true">CRITBINOM(J1038,Coefficients!$B$30,RAND())</f>
        <v>0</v>
      </c>
      <c r="L1038" s="0" t="n">
        <f aca="true">CRITBINOM(K1038,Coefficients!$B$31,RAND())</f>
        <v>0</v>
      </c>
      <c r="M1038" s="0" t="n">
        <f aca="true">CRITBINOM(MAX(0,J1038-K1038),1-Coefficients!$B$32,RAND())</f>
        <v>0</v>
      </c>
      <c r="N1038" s="0" t="n">
        <f aca="true">CRITBINOM(MAX(0,$C1038-J1038),MIN(0.6,Matchup!$C$40*SQRT($B1038)/(1-MIN(0.75,Matchup!$C$39*$B1038))),RAND())</f>
        <v>1</v>
      </c>
      <c r="O1038" s="0" t="n">
        <f aca="false">6*J1038+(J1038-K1038-M1038)+2*L1038+3*N1038</f>
        <v>24</v>
      </c>
      <c r="P1038" s="0" t="n">
        <f aca="true">RAND()</f>
        <v>0.880584770789776</v>
      </c>
      <c r="Q1038" s="0" t="n">
        <f aca="true">RAND()</f>
        <v>0.939866795474895</v>
      </c>
      <c r="R1038" s="0" t="n">
        <f aca="false">IF($I1038&lt;&gt;$O1038,0,IF(P1038&lt;Matchup!$B$39,7,IF(P1038&lt;Matchup!$B$39+Matchup!$B$40,3,0)))</f>
        <v>0</v>
      </c>
      <c r="S1038" s="0" t="n">
        <f aca="false">IF($I1038&lt;&gt;$O1038,0,IF(Q1038&lt;Matchup!$C$39,7,IF(Q1038&lt;Matchup!$C$39+Matchup!$C$40,3,0)))</f>
        <v>0</v>
      </c>
      <c r="T1038" s="0" t="n">
        <f aca="false">I1038+R1038</f>
        <v>17</v>
      </c>
      <c r="U1038" s="0" t="n">
        <f aca="false">O1038+S1038</f>
        <v>24</v>
      </c>
      <c r="V1038" s="0" t="n">
        <f aca="false">T1038-U1038</f>
        <v>-7</v>
      </c>
      <c r="W1038" s="0" t="n">
        <f aca="false">T1038+U1038</f>
        <v>41</v>
      </c>
    </row>
    <row r="1039" customFormat="false" ht="15" hidden="false" customHeight="false" outlineLevel="0" collapsed="false">
      <c r="A1039" s="0" t="n">
        <v>1036</v>
      </c>
      <c r="B1039" s="0" t="n">
        <f aca="true">NORMINV(RAND(),1,Coefficients!$B$22)</f>
        <v>0.857937029645287</v>
      </c>
      <c r="C1039" s="0" t="n">
        <f aca="true">MEDIAN(8,16,ROUND(NORMINV(RAND(),Coefficients!$B$20,Coefficients!$B$21),0))</f>
        <v>10</v>
      </c>
      <c r="D1039" s="0" t="n">
        <f aca="true">CRITBINOM($C1039,MIN(0.75,Matchup!$B$39*$B1039),RAND())</f>
        <v>2</v>
      </c>
      <c r="E1039" s="0" t="n">
        <f aca="true">CRITBINOM(D1039,Coefficients!$B$30,RAND())</f>
        <v>0</v>
      </c>
      <c r="F1039" s="0" t="n">
        <f aca="true">CRITBINOM(E1039,Coefficients!$B$31,RAND())</f>
        <v>0</v>
      </c>
      <c r="G1039" s="0" t="n">
        <f aca="true">CRITBINOM(MAX(0,D1039-E1039),1-Coefficients!$B$32,RAND())</f>
        <v>0</v>
      </c>
      <c r="H1039" s="0" t="n">
        <f aca="true">CRITBINOM(MAX(0,$C1039-D1039),MIN(0.6,Matchup!$B$40*SQRT($B1039)/(1-MIN(0.75,Matchup!$B$39*$B1039))),RAND())</f>
        <v>2</v>
      </c>
      <c r="I1039" s="0" t="n">
        <f aca="false">6*D1039+(D1039-E1039-G1039)+2*F1039+3*H1039</f>
        <v>20</v>
      </c>
      <c r="J1039" s="0" t="n">
        <f aca="true">CRITBINOM($C1039,MIN(0.75,Matchup!$C$39*$B1039),RAND())</f>
        <v>0</v>
      </c>
      <c r="K1039" s="0" t="n">
        <f aca="true">CRITBINOM(J1039,Coefficients!$B$30,RAND())</f>
        <v>0</v>
      </c>
      <c r="L1039" s="0" t="n">
        <f aca="true">CRITBINOM(K1039,Coefficients!$B$31,RAND())</f>
        <v>0</v>
      </c>
      <c r="M1039" s="0" t="n">
        <f aca="true">CRITBINOM(MAX(0,J1039-K1039),1-Coefficients!$B$32,RAND())</f>
        <v>0</v>
      </c>
      <c r="N1039" s="0" t="n">
        <f aca="true">CRITBINOM(MAX(0,$C1039-J1039),MIN(0.6,Matchup!$C$40*SQRT($B1039)/(1-MIN(0.75,Matchup!$C$39*$B1039))),RAND())</f>
        <v>2</v>
      </c>
      <c r="O1039" s="0" t="n">
        <f aca="false">6*J1039+(J1039-K1039-M1039)+2*L1039+3*N1039</f>
        <v>6</v>
      </c>
      <c r="P1039" s="0" t="n">
        <f aca="true">RAND()</f>
        <v>0.720619512442144</v>
      </c>
      <c r="Q1039" s="0" t="n">
        <f aca="true">RAND()</f>
        <v>0.8871089561688</v>
      </c>
      <c r="R1039" s="0" t="n">
        <f aca="false">IF($I1039&lt;&gt;$O1039,0,IF(P1039&lt;Matchup!$B$39,7,IF(P1039&lt;Matchup!$B$39+Matchup!$B$40,3,0)))</f>
        <v>0</v>
      </c>
      <c r="S1039" s="0" t="n">
        <f aca="false">IF($I1039&lt;&gt;$O1039,0,IF(Q1039&lt;Matchup!$C$39,7,IF(Q1039&lt;Matchup!$C$39+Matchup!$C$40,3,0)))</f>
        <v>0</v>
      </c>
      <c r="T1039" s="0" t="n">
        <f aca="false">I1039+R1039</f>
        <v>20</v>
      </c>
      <c r="U1039" s="0" t="n">
        <f aca="false">O1039+S1039</f>
        <v>6</v>
      </c>
      <c r="V1039" s="0" t="n">
        <f aca="false">T1039-U1039</f>
        <v>14</v>
      </c>
      <c r="W1039" s="0" t="n">
        <f aca="false">T1039+U1039</f>
        <v>26</v>
      </c>
    </row>
    <row r="1040" customFormat="false" ht="15" hidden="false" customHeight="false" outlineLevel="0" collapsed="false">
      <c r="A1040" s="0" t="n">
        <v>1037</v>
      </c>
      <c r="B1040" s="0" t="n">
        <f aca="true">NORMINV(RAND(),1,Coefficients!$B$22)</f>
        <v>1.02644481585999</v>
      </c>
      <c r="C1040" s="0" t="n">
        <f aca="true">MEDIAN(8,16,ROUND(NORMINV(RAND(),Coefficients!$B$20,Coefficients!$B$21),0))</f>
        <v>11</v>
      </c>
      <c r="D1040" s="0" t="n">
        <f aca="true">CRITBINOM($C1040,MIN(0.75,Matchup!$B$39*$B1040),RAND())</f>
        <v>1</v>
      </c>
      <c r="E1040" s="0" t="n">
        <f aca="true">CRITBINOM(D1040,Coefficients!$B$30,RAND())</f>
        <v>0</v>
      </c>
      <c r="F1040" s="0" t="n">
        <f aca="true">CRITBINOM(E1040,Coefficients!$B$31,RAND())</f>
        <v>0</v>
      </c>
      <c r="G1040" s="0" t="n">
        <f aca="true">CRITBINOM(MAX(0,D1040-E1040),1-Coefficients!$B$32,RAND())</f>
        <v>0</v>
      </c>
      <c r="H1040" s="0" t="n">
        <f aca="true">CRITBINOM(MAX(0,$C1040-D1040),MIN(0.6,Matchup!$B$40*SQRT($B1040)/(1-MIN(0.75,Matchup!$B$39*$B1040))),RAND())</f>
        <v>2</v>
      </c>
      <c r="I1040" s="0" t="n">
        <f aca="false">6*D1040+(D1040-E1040-G1040)+2*F1040+3*H1040</f>
        <v>13</v>
      </c>
      <c r="J1040" s="0" t="n">
        <f aca="true">CRITBINOM($C1040,MIN(0.75,Matchup!$C$39*$B1040),RAND())</f>
        <v>6</v>
      </c>
      <c r="K1040" s="0" t="n">
        <f aca="true">CRITBINOM(J1040,Coefficients!$B$30,RAND())</f>
        <v>1</v>
      </c>
      <c r="L1040" s="0" t="n">
        <f aca="true">CRITBINOM(K1040,Coefficients!$B$31,RAND())</f>
        <v>0</v>
      </c>
      <c r="M1040" s="0" t="n">
        <f aca="true">CRITBINOM(MAX(0,J1040-K1040),1-Coefficients!$B$32,RAND())</f>
        <v>0</v>
      </c>
      <c r="N1040" s="0" t="n">
        <f aca="true">CRITBINOM(MAX(0,$C1040-J1040),MIN(0.6,Matchup!$C$40*SQRT($B1040)/(1-MIN(0.75,Matchup!$C$39*$B1040))),RAND())</f>
        <v>1</v>
      </c>
      <c r="O1040" s="0" t="n">
        <f aca="false">6*J1040+(J1040-K1040-M1040)+2*L1040+3*N1040</f>
        <v>44</v>
      </c>
      <c r="P1040" s="0" t="n">
        <f aca="true">RAND()</f>
        <v>0.999190226962089</v>
      </c>
      <c r="Q1040" s="0" t="n">
        <f aca="true">RAND()</f>
        <v>0.018415775554277</v>
      </c>
      <c r="R1040" s="0" t="n">
        <f aca="false">IF($I1040&lt;&gt;$O1040,0,IF(P1040&lt;Matchup!$B$39,7,IF(P1040&lt;Matchup!$B$39+Matchup!$B$40,3,0)))</f>
        <v>0</v>
      </c>
      <c r="S1040" s="0" t="n">
        <f aca="false">IF($I1040&lt;&gt;$O1040,0,IF(Q1040&lt;Matchup!$C$39,7,IF(Q1040&lt;Matchup!$C$39+Matchup!$C$40,3,0)))</f>
        <v>0</v>
      </c>
      <c r="T1040" s="0" t="n">
        <f aca="false">I1040+R1040</f>
        <v>13</v>
      </c>
      <c r="U1040" s="0" t="n">
        <f aca="false">O1040+S1040</f>
        <v>44</v>
      </c>
      <c r="V1040" s="0" t="n">
        <f aca="false">T1040-U1040</f>
        <v>-31</v>
      </c>
      <c r="W1040" s="0" t="n">
        <f aca="false">T1040+U1040</f>
        <v>57</v>
      </c>
    </row>
    <row r="1041" customFormat="false" ht="15" hidden="false" customHeight="false" outlineLevel="0" collapsed="false">
      <c r="A1041" s="0" t="n">
        <v>1038</v>
      </c>
      <c r="B1041" s="0" t="n">
        <f aca="true">NORMINV(RAND(),1,Coefficients!$B$22)</f>
        <v>1.00186476069566</v>
      </c>
      <c r="C1041" s="0" t="n">
        <f aca="true">MEDIAN(8,16,ROUND(NORMINV(RAND(),Coefficients!$B$20,Coefficients!$B$21),0))</f>
        <v>13</v>
      </c>
      <c r="D1041" s="0" t="n">
        <f aca="true">CRITBINOM($C1041,MIN(0.75,Matchup!$B$39*$B1041),RAND())</f>
        <v>2</v>
      </c>
      <c r="E1041" s="0" t="n">
        <f aca="true">CRITBINOM(D1041,Coefficients!$B$30,RAND())</f>
        <v>0</v>
      </c>
      <c r="F1041" s="0" t="n">
        <f aca="true">CRITBINOM(E1041,Coefficients!$B$31,RAND())</f>
        <v>0</v>
      </c>
      <c r="G1041" s="0" t="n">
        <f aca="true">CRITBINOM(MAX(0,D1041-E1041),1-Coefficients!$B$32,RAND())</f>
        <v>0</v>
      </c>
      <c r="H1041" s="0" t="n">
        <f aca="true">CRITBINOM(MAX(0,$C1041-D1041),MIN(0.6,Matchup!$B$40*SQRT($B1041)/(1-MIN(0.75,Matchup!$B$39*$B1041))),RAND())</f>
        <v>2</v>
      </c>
      <c r="I1041" s="0" t="n">
        <f aca="false">6*D1041+(D1041-E1041-G1041)+2*F1041+3*H1041</f>
        <v>20</v>
      </c>
      <c r="J1041" s="0" t="n">
        <f aca="true">CRITBINOM($C1041,MIN(0.75,Matchup!$C$39*$B1041),RAND())</f>
        <v>2</v>
      </c>
      <c r="K1041" s="0" t="n">
        <f aca="true">CRITBINOM(J1041,Coefficients!$B$30,RAND())</f>
        <v>0</v>
      </c>
      <c r="L1041" s="0" t="n">
        <f aca="true">CRITBINOM(K1041,Coefficients!$B$31,RAND())</f>
        <v>0</v>
      </c>
      <c r="M1041" s="0" t="n">
        <f aca="true">CRITBINOM(MAX(0,J1041-K1041),1-Coefficients!$B$32,RAND())</f>
        <v>0</v>
      </c>
      <c r="N1041" s="0" t="n">
        <f aca="true">CRITBINOM(MAX(0,$C1041-J1041),MIN(0.6,Matchup!$C$40*SQRT($B1041)/(1-MIN(0.75,Matchup!$C$39*$B1041))),RAND())</f>
        <v>4</v>
      </c>
      <c r="O1041" s="0" t="n">
        <f aca="false">6*J1041+(J1041-K1041-M1041)+2*L1041+3*N1041</f>
        <v>26</v>
      </c>
      <c r="P1041" s="0" t="n">
        <f aca="true">RAND()</f>
        <v>0.791468506539293</v>
      </c>
      <c r="Q1041" s="0" t="n">
        <f aca="true">RAND()</f>
        <v>0.117156246590067</v>
      </c>
      <c r="R1041" s="0" t="n">
        <f aca="false">IF($I1041&lt;&gt;$O1041,0,IF(P1041&lt;Matchup!$B$39,7,IF(P1041&lt;Matchup!$B$39+Matchup!$B$40,3,0)))</f>
        <v>0</v>
      </c>
      <c r="S1041" s="0" t="n">
        <f aca="false">IF($I1041&lt;&gt;$O1041,0,IF(Q1041&lt;Matchup!$C$39,7,IF(Q1041&lt;Matchup!$C$39+Matchup!$C$40,3,0)))</f>
        <v>0</v>
      </c>
      <c r="T1041" s="0" t="n">
        <f aca="false">I1041+R1041</f>
        <v>20</v>
      </c>
      <c r="U1041" s="0" t="n">
        <f aca="false">O1041+S1041</f>
        <v>26</v>
      </c>
      <c r="V1041" s="0" t="n">
        <f aca="false">T1041-U1041</f>
        <v>-6</v>
      </c>
      <c r="W1041" s="0" t="n">
        <f aca="false">T1041+U1041</f>
        <v>46</v>
      </c>
    </row>
    <row r="1042" customFormat="false" ht="15" hidden="false" customHeight="false" outlineLevel="0" collapsed="false">
      <c r="A1042" s="0" t="n">
        <v>1039</v>
      </c>
      <c r="B1042" s="0" t="n">
        <f aca="true">NORMINV(RAND(),1,Coefficients!$B$22)</f>
        <v>1.05341732222002</v>
      </c>
      <c r="C1042" s="0" t="n">
        <f aca="true">MEDIAN(8,16,ROUND(NORMINV(RAND(),Coefficients!$B$20,Coefficients!$B$21),0))</f>
        <v>11</v>
      </c>
      <c r="D1042" s="0" t="n">
        <f aca="true">CRITBINOM($C1042,MIN(0.75,Matchup!$B$39*$B1042),RAND())</f>
        <v>1</v>
      </c>
      <c r="E1042" s="0" t="n">
        <f aca="true">CRITBINOM(D1042,Coefficients!$B$30,RAND())</f>
        <v>0</v>
      </c>
      <c r="F1042" s="0" t="n">
        <f aca="true">CRITBINOM(E1042,Coefficients!$B$31,RAND())</f>
        <v>0</v>
      </c>
      <c r="G1042" s="0" t="n">
        <f aca="true">CRITBINOM(MAX(0,D1042-E1042),1-Coefficients!$B$32,RAND())</f>
        <v>0</v>
      </c>
      <c r="H1042" s="0" t="n">
        <f aca="true">CRITBINOM(MAX(0,$C1042-D1042),MIN(0.6,Matchup!$B$40*SQRT($B1042)/(1-MIN(0.75,Matchup!$B$39*$B1042))),RAND())</f>
        <v>2</v>
      </c>
      <c r="I1042" s="0" t="n">
        <f aca="false">6*D1042+(D1042-E1042-G1042)+2*F1042+3*H1042</f>
        <v>13</v>
      </c>
      <c r="J1042" s="0" t="n">
        <f aca="true">CRITBINOM($C1042,MIN(0.75,Matchup!$C$39*$B1042),RAND())</f>
        <v>4</v>
      </c>
      <c r="K1042" s="0" t="n">
        <f aca="true">CRITBINOM(J1042,Coefficients!$B$30,RAND())</f>
        <v>0</v>
      </c>
      <c r="L1042" s="0" t="n">
        <f aca="true">CRITBINOM(K1042,Coefficients!$B$31,RAND())</f>
        <v>0</v>
      </c>
      <c r="M1042" s="0" t="n">
        <f aca="true">CRITBINOM(MAX(0,J1042-K1042),1-Coefficients!$B$32,RAND())</f>
        <v>0</v>
      </c>
      <c r="N1042" s="0" t="n">
        <f aca="true">CRITBINOM(MAX(0,$C1042-J1042),MIN(0.6,Matchup!$C$40*SQRT($B1042)/(1-MIN(0.75,Matchup!$C$39*$B1042))),RAND())</f>
        <v>1</v>
      </c>
      <c r="O1042" s="0" t="n">
        <f aca="false">6*J1042+(J1042-K1042-M1042)+2*L1042+3*N1042</f>
        <v>31</v>
      </c>
      <c r="P1042" s="0" t="n">
        <f aca="true">RAND()</f>
        <v>0.882819398576796</v>
      </c>
      <c r="Q1042" s="0" t="n">
        <f aca="true">RAND()</f>
        <v>0.95880351433099</v>
      </c>
      <c r="R1042" s="0" t="n">
        <f aca="false">IF($I1042&lt;&gt;$O1042,0,IF(P1042&lt;Matchup!$B$39,7,IF(P1042&lt;Matchup!$B$39+Matchup!$B$40,3,0)))</f>
        <v>0</v>
      </c>
      <c r="S1042" s="0" t="n">
        <f aca="false">IF($I1042&lt;&gt;$O1042,0,IF(Q1042&lt;Matchup!$C$39,7,IF(Q1042&lt;Matchup!$C$39+Matchup!$C$40,3,0)))</f>
        <v>0</v>
      </c>
      <c r="T1042" s="0" t="n">
        <f aca="false">I1042+R1042</f>
        <v>13</v>
      </c>
      <c r="U1042" s="0" t="n">
        <f aca="false">O1042+S1042</f>
        <v>31</v>
      </c>
      <c r="V1042" s="0" t="n">
        <f aca="false">T1042-U1042</f>
        <v>-18</v>
      </c>
      <c r="W1042" s="0" t="n">
        <f aca="false">T1042+U1042</f>
        <v>44</v>
      </c>
    </row>
    <row r="1043" customFormat="false" ht="15" hidden="false" customHeight="false" outlineLevel="0" collapsed="false">
      <c r="A1043" s="0" t="n">
        <v>1040</v>
      </c>
      <c r="B1043" s="0" t="n">
        <f aca="true">NORMINV(RAND(),1,Coefficients!$B$22)</f>
        <v>1.10086045435102</v>
      </c>
      <c r="C1043" s="0" t="n">
        <f aca="true">MEDIAN(8,16,ROUND(NORMINV(RAND(),Coefficients!$B$20,Coefficients!$B$21),0))</f>
        <v>10</v>
      </c>
      <c r="D1043" s="0" t="n">
        <f aca="true">CRITBINOM($C1043,MIN(0.75,Matchup!$B$39*$B1043),RAND())</f>
        <v>3</v>
      </c>
      <c r="E1043" s="0" t="n">
        <f aca="true">CRITBINOM(D1043,Coefficients!$B$30,RAND())</f>
        <v>1</v>
      </c>
      <c r="F1043" s="0" t="n">
        <f aca="true">CRITBINOM(E1043,Coefficients!$B$31,RAND())</f>
        <v>0</v>
      </c>
      <c r="G1043" s="0" t="n">
        <f aca="true">CRITBINOM(MAX(0,D1043-E1043),1-Coefficients!$B$32,RAND())</f>
        <v>0</v>
      </c>
      <c r="H1043" s="0" t="n">
        <f aca="true">CRITBINOM(MAX(0,$C1043-D1043),MIN(0.6,Matchup!$B$40*SQRT($B1043)/(1-MIN(0.75,Matchup!$B$39*$B1043))),RAND())</f>
        <v>2</v>
      </c>
      <c r="I1043" s="0" t="n">
        <f aca="false">6*D1043+(D1043-E1043-G1043)+2*F1043+3*H1043</f>
        <v>26</v>
      </c>
      <c r="J1043" s="0" t="n">
        <f aca="true">CRITBINOM($C1043,MIN(0.75,Matchup!$C$39*$B1043),RAND())</f>
        <v>1</v>
      </c>
      <c r="K1043" s="0" t="n">
        <f aca="true">CRITBINOM(J1043,Coefficients!$B$30,RAND())</f>
        <v>0</v>
      </c>
      <c r="L1043" s="0" t="n">
        <f aca="true">CRITBINOM(K1043,Coefficients!$B$31,RAND())</f>
        <v>0</v>
      </c>
      <c r="M1043" s="0" t="n">
        <f aca="true">CRITBINOM(MAX(0,J1043-K1043),1-Coefficients!$B$32,RAND())</f>
        <v>0</v>
      </c>
      <c r="N1043" s="0" t="n">
        <f aca="true">CRITBINOM(MAX(0,$C1043-J1043),MIN(0.6,Matchup!$C$40*SQRT($B1043)/(1-MIN(0.75,Matchup!$C$39*$B1043))),RAND())</f>
        <v>1</v>
      </c>
      <c r="O1043" s="0" t="n">
        <f aca="false">6*J1043+(J1043-K1043-M1043)+2*L1043+3*N1043</f>
        <v>10</v>
      </c>
      <c r="P1043" s="0" t="n">
        <f aca="true">RAND()</f>
        <v>0.905861959608974</v>
      </c>
      <c r="Q1043" s="0" t="n">
        <f aca="true">RAND()</f>
        <v>0.578939584936101</v>
      </c>
      <c r="R1043" s="0" t="n">
        <f aca="false">IF($I1043&lt;&gt;$O1043,0,IF(P1043&lt;Matchup!$B$39,7,IF(P1043&lt;Matchup!$B$39+Matchup!$B$40,3,0)))</f>
        <v>0</v>
      </c>
      <c r="S1043" s="0" t="n">
        <f aca="false">IF($I1043&lt;&gt;$O1043,0,IF(Q1043&lt;Matchup!$C$39,7,IF(Q1043&lt;Matchup!$C$39+Matchup!$C$40,3,0)))</f>
        <v>0</v>
      </c>
      <c r="T1043" s="0" t="n">
        <f aca="false">I1043+R1043</f>
        <v>26</v>
      </c>
      <c r="U1043" s="0" t="n">
        <f aca="false">O1043+S1043</f>
        <v>10</v>
      </c>
      <c r="V1043" s="0" t="n">
        <f aca="false">T1043-U1043</f>
        <v>16</v>
      </c>
      <c r="W1043" s="0" t="n">
        <f aca="false">T1043+U1043</f>
        <v>36</v>
      </c>
    </row>
    <row r="1044" customFormat="false" ht="15" hidden="false" customHeight="false" outlineLevel="0" collapsed="false">
      <c r="A1044" s="0" t="n">
        <v>1041</v>
      </c>
      <c r="B1044" s="0" t="n">
        <f aca="true">NORMINV(RAND(),1,Coefficients!$B$22)</f>
        <v>0.925228185355538</v>
      </c>
      <c r="C1044" s="0" t="n">
        <f aca="true">MEDIAN(8,16,ROUND(NORMINV(RAND(),Coefficients!$B$20,Coefficients!$B$21),0))</f>
        <v>13</v>
      </c>
      <c r="D1044" s="0" t="n">
        <f aca="true">CRITBINOM($C1044,MIN(0.75,Matchup!$B$39*$B1044),RAND())</f>
        <v>2</v>
      </c>
      <c r="E1044" s="0" t="n">
        <f aca="true">CRITBINOM(D1044,Coefficients!$B$30,RAND())</f>
        <v>0</v>
      </c>
      <c r="F1044" s="0" t="n">
        <f aca="true">CRITBINOM(E1044,Coefficients!$B$31,RAND())</f>
        <v>0</v>
      </c>
      <c r="G1044" s="0" t="n">
        <f aca="true">CRITBINOM(MAX(0,D1044-E1044),1-Coefficients!$B$32,RAND())</f>
        <v>0</v>
      </c>
      <c r="H1044" s="0" t="n">
        <f aca="true">CRITBINOM(MAX(0,$C1044-D1044),MIN(0.6,Matchup!$B$40*SQRT($B1044)/(1-MIN(0.75,Matchup!$B$39*$B1044))),RAND())</f>
        <v>2</v>
      </c>
      <c r="I1044" s="0" t="n">
        <f aca="false">6*D1044+(D1044-E1044-G1044)+2*F1044+3*H1044</f>
        <v>20</v>
      </c>
      <c r="J1044" s="0" t="n">
        <f aca="true">CRITBINOM($C1044,MIN(0.75,Matchup!$C$39*$B1044),RAND())</f>
        <v>3</v>
      </c>
      <c r="K1044" s="0" t="n">
        <f aca="true">CRITBINOM(J1044,Coefficients!$B$30,RAND())</f>
        <v>1</v>
      </c>
      <c r="L1044" s="0" t="n">
        <f aca="true">CRITBINOM(K1044,Coefficients!$B$31,RAND())</f>
        <v>1</v>
      </c>
      <c r="M1044" s="0" t="n">
        <f aca="true">CRITBINOM(MAX(0,J1044-K1044),1-Coefficients!$B$32,RAND())</f>
        <v>0</v>
      </c>
      <c r="N1044" s="0" t="n">
        <f aca="true">CRITBINOM(MAX(0,$C1044-J1044),MIN(0.6,Matchup!$C$40*SQRT($B1044)/(1-MIN(0.75,Matchup!$C$39*$B1044))),RAND())</f>
        <v>1</v>
      </c>
      <c r="O1044" s="0" t="n">
        <f aca="false">6*J1044+(J1044-K1044-M1044)+2*L1044+3*N1044</f>
        <v>25</v>
      </c>
      <c r="P1044" s="0" t="n">
        <f aca="true">RAND()</f>
        <v>0.638384584879459</v>
      </c>
      <c r="Q1044" s="0" t="n">
        <f aca="true">RAND()</f>
        <v>0.415802367332115</v>
      </c>
      <c r="R1044" s="0" t="n">
        <f aca="false">IF($I1044&lt;&gt;$O1044,0,IF(P1044&lt;Matchup!$B$39,7,IF(P1044&lt;Matchup!$B$39+Matchup!$B$40,3,0)))</f>
        <v>0</v>
      </c>
      <c r="S1044" s="0" t="n">
        <f aca="false">IF($I1044&lt;&gt;$O1044,0,IF(Q1044&lt;Matchup!$C$39,7,IF(Q1044&lt;Matchup!$C$39+Matchup!$C$40,3,0)))</f>
        <v>0</v>
      </c>
      <c r="T1044" s="0" t="n">
        <f aca="false">I1044+R1044</f>
        <v>20</v>
      </c>
      <c r="U1044" s="0" t="n">
        <f aca="false">O1044+S1044</f>
        <v>25</v>
      </c>
      <c r="V1044" s="0" t="n">
        <f aca="false">T1044-U1044</f>
        <v>-5</v>
      </c>
      <c r="W1044" s="0" t="n">
        <f aca="false">T1044+U1044</f>
        <v>45</v>
      </c>
    </row>
    <row r="1045" customFormat="false" ht="15" hidden="false" customHeight="false" outlineLevel="0" collapsed="false">
      <c r="A1045" s="0" t="n">
        <v>1042</v>
      </c>
      <c r="B1045" s="0" t="n">
        <f aca="true">NORMINV(RAND(),1,Coefficients!$B$22)</f>
        <v>0.980820193048257</v>
      </c>
      <c r="C1045" s="0" t="n">
        <f aca="true">MEDIAN(8,16,ROUND(NORMINV(RAND(),Coefficients!$B$20,Coefficients!$B$21),0))</f>
        <v>10</v>
      </c>
      <c r="D1045" s="0" t="n">
        <f aca="true">CRITBINOM($C1045,MIN(0.75,Matchup!$B$39*$B1045),RAND())</f>
        <v>4</v>
      </c>
      <c r="E1045" s="0" t="n">
        <f aca="true">CRITBINOM(D1045,Coefficients!$B$30,RAND())</f>
        <v>1</v>
      </c>
      <c r="F1045" s="0" t="n">
        <f aca="true">CRITBINOM(E1045,Coefficients!$B$31,RAND())</f>
        <v>0</v>
      </c>
      <c r="G1045" s="0" t="n">
        <f aca="true">CRITBINOM(MAX(0,D1045-E1045),1-Coefficients!$B$32,RAND())</f>
        <v>0</v>
      </c>
      <c r="H1045" s="0" t="n">
        <f aca="true">CRITBINOM(MAX(0,$C1045-D1045),MIN(0.6,Matchup!$B$40*SQRT($B1045)/(1-MIN(0.75,Matchup!$B$39*$B1045))),RAND())</f>
        <v>2</v>
      </c>
      <c r="I1045" s="0" t="n">
        <f aca="false">6*D1045+(D1045-E1045-G1045)+2*F1045+3*H1045</f>
        <v>33</v>
      </c>
      <c r="J1045" s="0" t="n">
        <f aca="true">CRITBINOM($C1045,MIN(0.75,Matchup!$C$39*$B1045),RAND())</f>
        <v>2</v>
      </c>
      <c r="K1045" s="0" t="n">
        <f aca="true">CRITBINOM(J1045,Coefficients!$B$30,RAND())</f>
        <v>0</v>
      </c>
      <c r="L1045" s="0" t="n">
        <f aca="true">CRITBINOM(K1045,Coefficients!$B$31,RAND())</f>
        <v>0</v>
      </c>
      <c r="M1045" s="0" t="n">
        <f aca="true">CRITBINOM(MAX(0,J1045-K1045),1-Coefficients!$B$32,RAND())</f>
        <v>0</v>
      </c>
      <c r="N1045" s="0" t="n">
        <f aca="true">CRITBINOM(MAX(0,$C1045-J1045),MIN(0.6,Matchup!$C$40*SQRT($B1045)/(1-MIN(0.75,Matchup!$C$39*$B1045))),RAND())</f>
        <v>3</v>
      </c>
      <c r="O1045" s="0" t="n">
        <f aca="false">6*J1045+(J1045-K1045-M1045)+2*L1045+3*N1045</f>
        <v>23</v>
      </c>
      <c r="P1045" s="0" t="n">
        <f aca="true">RAND()</f>
        <v>0.507157803950126</v>
      </c>
      <c r="Q1045" s="0" t="n">
        <f aca="true">RAND()</f>
        <v>0.363045286644563</v>
      </c>
      <c r="R1045" s="0" t="n">
        <f aca="false">IF($I1045&lt;&gt;$O1045,0,IF(P1045&lt;Matchup!$B$39,7,IF(P1045&lt;Matchup!$B$39+Matchup!$B$40,3,0)))</f>
        <v>0</v>
      </c>
      <c r="S1045" s="0" t="n">
        <f aca="false">IF($I1045&lt;&gt;$O1045,0,IF(Q1045&lt;Matchup!$C$39,7,IF(Q1045&lt;Matchup!$C$39+Matchup!$C$40,3,0)))</f>
        <v>0</v>
      </c>
      <c r="T1045" s="0" t="n">
        <f aca="false">I1045+R1045</f>
        <v>33</v>
      </c>
      <c r="U1045" s="0" t="n">
        <f aca="false">O1045+S1045</f>
        <v>23</v>
      </c>
      <c r="V1045" s="0" t="n">
        <f aca="false">T1045-U1045</f>
        <v>10</v>
      </c>
      <c r="W1045" s="0" t="n">
        <f aca="false">T1045+U1045</f>
        <v>56</v>
      </c>
    </row>
    <row r="1046" customFormat="false" ht="15" hidden="false" customHeight="false" outlineLevel="0" collapsed="false">
      <c r="A1046" s="0" t="n">
        <v>1043</v>
      </c>
      <c r="B1046" s="0" t="n">
        <f aca="true">NORMINV(RAND(),1,Coefficients!$B$22)</f>
        <v>0.97260336892278</v>
      </c>
      <c r="C1046" s="0" t="n">
        <f aca="true">MEDIAN(8,16,ROUND(NORMINV(RAND(),Coefficients!$B$20,Coefficients!$B$21),0))</f>
        <v>13</v>
      </c>
      <c r="D1046" s="0" t="n">
        <f aca="true">CRITBINOM($C1046,MIN(0.75,Matchup!$B$39*$B1046),RAND())</f>
        <v>2</v>
      </c>
      <c r="E1046" s="0" t="n">
        <f aca="true">CRITBINOM(D1046,Coefficients!$B$30,RAND())</f>
        <v>0</v>
      </c>
      <c r="F1046" s="0" t="n">
        <f aca="true">CRITBINOM(E1046,Coefficients!$B$31,RAND())</f>
        <v>0</v>
      </c>
      <c r="G1046" s="0" t="n">
        <f aca="true">CRITBINOM(MAX(0,D1046-E1046),1-Coefficients!$B$32,RAND())</f>
        <v>0</v>
      </c>
      <c r="H1046" s="0" t="n">
        <f aca="true">CRITBINOM(MAX(0,$C1046-D1046),MIN(0.6,Matchup!$B$40*SQRT($B1046)/(1-MIN(0.75,Matchup!$B$39*$B1046))),RAND())</f>
        <v>2</v>
      </c>
      <c r="I1046" s="0" t="n">
        <f aca="false">6*D1046+(D1046-E1046-G1046)+2*F1046+3*H1046</f>
        <v>20</v>
      </c>
      <c r="J1046" s="0" t="n">
        <f aca="true">CRITBINOM($C1046,MIN(0.75,Matchup!$C$39*$B1046),RAND())</f>
        <v>3</v>
      </c>
      <c r="K1046" s="0" t="n">
        <f aca="true">CRITBINOM(J1046,Coefficients!$B$30,RAND())</f>
        <v>0</v>
      </c>
      <c r="L1046" s="0" t="n">
        <f aca="true">CRITBINOM(K1046,Coefficients!$B$31,RAND())</f>
        <v>0</v>
      </c>
      <c r="M1046" s="0" t="n">
        <f aca="true">CRITBINOM(MAX(0,J1046-K1046),1-Coefficients!$B$32,RAND())</f>
        <v>1</v>
      </c>
      <c r="N1046" s="0" t="n">
        <f aca="true">CRITBINOM(MAX(0,$C1046-J1046),MIN(0.6,Matchup!$C$40*SQRT($B1046)/(1-MIN(0.75,Matchup!$C$39*$B1046))),RAND())</f>
        <v>0</v>
      </c>
      <c r="O1046" s="0" t="n">
        <f aca="false">6*J1046+(J1046-K1046-M1046)+2*L1046+3*N1046</f>
        <v>20</v>
      </c>
      <c r="P1046" s="0" t="n">
        <f aca="true">RAND()</f>
        <v>0.846610957382364</v>
      </c>
      <c r="Q1046" s="0" t="n">
        <f aca="true">RAND()</f>
        <v>0.83834905286312</v>
      </c>
      <c r="R1046" s="0" t="n">
        <f aca="false">IF($I1046&lt;&gt;$O1046,0,IF(P1046&lt;Matchup!$B$39,7,IF(P1046&lt;Matchup!$B$39+Matchup!$B$40,3,0)))</f>
        <v>0</v>
      </c>
      <c r="S1046" s="0" t="n">
        <f aca="false">IF($I1046&lt;&gt;$O1046,0,IF(Q1046&lt;Matchup!$C$39,7,IF(Q1046&lt;Matchup!$C$39+Matchup!$C$40,3,0)))</f>
        <v>0</v>
      </c>
      <c r="T1046" s="0" t="n">
        <f aca="false">I1046+R1046</f>
        <v>20</v>
      </c>
      <c r="U1046" s="0" t="n">
        <f aca="false">O1046+S1046</f>
        <v>20</v>
      </c>
      <c r="V1046" s="0" t="n">
        <f aca="false">T1046-U1046</f>
        <v>0</v>
      </c>
      <c r="W1046" s="0" t="n">
        <f aca="false">T1046+U1046</f>
        <v>40</v>
      </c>
    </row>
    <row r="1047" customFormat="false" ht="15" hidden="false" customHeight="false" outlineLevel="0" collapsed="false">
      <c r="A1047" s="0" t="n">
        <v>1044</v>
      </c>
      <c r="B1047" s="0" t="n">
        <f aca="true">NORMINV(RAND(),1,Coefficients!$B$22)</f>
        <v>0.811310055005873</v>
      </c>
      <c r="C1047" s="0" t="n">
        <f aca="true">MEDIAN(8,16,ROUND(NORMINV(RAND(),Coefficients!$B$20,Coefficients!$B$21),0))</f>
        <v>11</v>
      </c>
      <c r="D1047" s="0" t="n">
        <f aca="true">CRITBINOM($C1047,MIN(0.75,Matchup!$B$39*$B1047),RAND())</f>
        <v>4</v>
      </c>
      <c r="E1047" s="0" t="n">
        <f aca="true">CRITBINOM(D1047,Coefficients!$B$30,RAND())</f>
        <v>0</v>
      </c>
      <c r="F1047" s="0" t="n">
        <f aca="true">CRITBINOM(E1047,Coefficients!$B$31,RAND())</f>
        <v>0</v>
      </c>
      <c r="G1047" s="0" t="n">
        <f aca="true">CRITBINOM(MAX(0,D1047-E1047),1-Coefficients!$B$32,RAND())</f>
        <v>0</v>
      </c>
      <c r="H1047" s="0" t="n">
        <f aca="true">CRITBINOM(MAX(0,$C1047-D1047),MIN(0.6,Matchup!$B$40*SQRT($B1047)/(1-MIN(0.75,Matchup!$B$39*$B1047))),RAND())</f>
        <v>0</v>
      </c>
      <c r="I1047" s="0" t="n">
        <f aca="false">6*D1047+(D1047-E1047-G1047)+2*F1047+3*H1047</f>
        <v>28</v>
      </c>
      <c r="J1047" s="0" t="n">
        <f aca="true">CRITBINOM($C1047,MIN(0.75,Matchup!$C$39*$B1047),RAND())</f>
        <v>1</v>
      </c>
      <c r="K1047" s="0" t="n">
        <f aca="true">CRITBINOM(J1047,Coefficients!$B$30,RAND())</f>
        <v>0</v>
      </c>
      <c r="L1047" s="0" t="n">
        <f aca="true">CRITBINOM(K1047,Coefficients!$B$31,RAND())</f>
        <v>0</v>
      </c>
      <c r="M1047" s="0" t="n">
        <f aca="true">CRITBINOM(MAX(0,J1047-K1047),1-Coefficients!$B$32,RAND())</f>
        <v>1</v>
      </c>
      <c r="N1047" s="0" t="n">
        <f aca="true">CRITBINOM(MAX(0,$C1047-J1047),MIN(0.6,Matchup!$C$40*SQRT($B1047)/(1-MIN(0.75,Matchup!$C$39*$B1047))),RAND())</f>
        <v>0</v>
      </c>
      <c r="O1047" s="0" t="n">
        <f aca="false">6*J1047+(J1047-K1047-M1047)+2*L1047+3*N1047</f>
        <v>6</v>
      </c>
      <c r="P1047" s="0" t="n">
        <f aca="true">RAND()</f>
        <v>0.256999226062878</v>
      </c>
      <c r="Q1047" s="0" t="n">
        <f aca="true">RAND()</f>
        <v>0.725896107071219</v>
      </c>
      <c r="R1047" s="0" t="n">
        <f aca="false">IF($I1047&lt;&gt;$O1047,0,IF(P1047&lt;Matchup!$B$39,7,IF(P1047&lt;Matchup!$B$39+Matchup!$B$40,3,0)))</f>
        <v>0</v>
      </c>
      <c r="S1047" s="0" t="n">
        <f aca="false">IF($I1047&lt;&gt;$O1047,0,IF(Q1047&lt;Matchup!$C$39,7,IF(Q1047&lt;Matchup!$C$39+Matchup!$C$40,3,0)))</f>
        <v>0</v>
      </c>
      <c r="T1047" s="0" t="n">
        <f aca="false">I1047+R1047</f>
        <v>28</v>
      </c>
      <c r="U1047" s="0" t="n">
        <f aca="false">O1047+S1047</f>
        <v>6</v>
      </c>
      <c r="V1047" s="0" t="n">
        <f aca="false">T1047-U1047</f>
        <v>22</v>
      </c>
      <c r="W1047" s="0" t="n">
        <f aca="false">T1047+U1047</f>
        <v>34</v>
      </c>
    </row>
    <row r="1048" customFormat="false" ht="15" hidden="false" customHeight="false" outlineLevel="0" collapsed="false">
      <c r="A1048" s="0" t="n">
        <v>1045</v>
      </c>
      <c r="B1048" s="0" t="n">
        <f aca="true">NORMINV(RAND(),1,Coefficients!$B$22)</f>
        <v>0.890640386570519</v>
      </c>
      <c r="C1048" s="0" t="n">
        <f aca="true">MEDIAN(8,16,ROUND(NORMINV(RAND(),Coefficients!$B$20,Coefficients!$B$21),0))</f>
        <v>10</v>
      </c>
      <c r="D1048" s="0" t="n">
        <f aca="true">CRITBINOM($C1048,MIN(0.75,Matchup!$B$39*$B1048),RAND())</f>
        <v>0</v>
      </c>
      <c r="E1048" s="0" t="n">
        <f aca="true">CRITBINOM(D1048,Coefficients!$B$30,RAND())</f>
        <v>0</v>
      </c>
      <c r="F1048" s="0" t="n">
        <f aca="true">CRITBINOM(E1048,Coefficients!$B$31,RAND())</f>
        <v>0</v>
      </c>
      <c r="G1048" s="0" t="n">
        <f aca="true">CRITBINOM(MAX(0,D1048-E1048),1-Coefficients!$B$32,RAND())</f>
        <v>0</v>
      </c>
      <c r="H1048" s="0" t="n">
        <f aca="true">CRITBINOM(MAX(0,$C1048-D1048),MIN(0.6,Matchup!$B$40*SQRT($B1048)/(1-MIN(0.75,Matchup!$B$39*$B1048))),RAND())</f>
        <v>2</v>
      </c>
      <c r="I1048" s="0" t="n">
        <f aca="false">6*D1048+(D1048-E1048-G1048)+2*F1048+3*H1048</f>
        <v>6</v>
      </c>
      <c r="J1048" s="0" t="n">
        <f aca="true">CRITBINOM($C1048,MIN(0.75,Matchup!$C$39*$B1048),RAND())</f>
        <v>0</v>
      </c>
      <c r="K1048" s="0" t="n">
        <f aca="true">CRITBINOM(J1048,Coefficients!$B$30,RAND())</f>
        <v>0</v>
      </c>
      <c r="L1048" s="0" t="n">
        <f aca="true">CRITBINOM(K1048,Coefficients!$B$31,RAND())</f>
        <v>0</v>
      </c>
      <c r="M1048" s="0" t="n">
        <f aca="true">CRITBINOM(MAX(0,J1048-K1048),1-Coefficients!$B$32,RAND())</f>
        <v>0</v>
      </c>
      <c r="N1048" s="0" t="n">
        <f aca="true">CRITBINOM(MAX(0,$C1048-J1048),MIN(0.6,Matchup!$C$40*SQRT($B1048)/(1-MIN(0.75,Matchup!$C$39*$B1048))),RAND())</f>
        <v>2</v>
      </c>
      <c r="O1048" s="0" t="n">
        <f aca="false">6*J1048+(J1048-K1048-M1048)+2*L1048+3*N1048</f>
        <v>6</v>
      </c>
      <c r="P1048" s="0" t="n">
        <f aca="true">RAND()</f>
        <v>0.664630021278403</v>
      </c>
      <c r="Q1048" s="0" t="n">
        <f aca="true">RAND()</f>
        <v>0.255443988634385</v>
      </c>
      <c r="R1048" s="0" t="n">
        <f aca="false">IF($I1048&lt;&gt;$O1048,0,IF(P1048&lt;Matchup!$B$39,7,IF(P1048&lt;Matchup!$B$39+Matchup!$B$40,3,0)))</f>
        <v>0</v>
      </c>
      <c r="S1048" s="0" t="n">
        <f aca="false">IF($I1048&lt;&gt;$O1048,0,IF(Q1048&lt;Matchup!$C$39,7,IF(Q1048&lt;Matchup!$C$39+Matchup!$C$40,3,0)))</f>
        <v>3</v>
      </c>
      <c r="T1048" s="0" t="n">
        <f aca="false">I1048+R1048</f>
        <v>6</v>
      </c>
      <c r="U1048" s="0" t="n">
        <f aca="false">O1048+S1048</f>
        <v>9</v>
      </c>
      <c r="V1048" s="0" t="n">
        <f aca="false">T1048-U1048</f>
        <v>-3</v>
      </c>
      <c r="W1048" s="0" t="n">
        <f aca="false">T1048+U1048</f>
        <v>15</v>
      </c>
    </row>
    <row r="1049" customFormat="false" ht="15" hidden="false" customHeight="false" outlineLevel="0" collapsed="false">
      <c r="A1049" s="0" t="n">
        <v>1046</v>
      </c>
      <c r="B1049" s="0" t="n">
        <f aca="true">NORMINV(RAND(),1,Coefficients!$B$22)</f>
        <v>0.861351283118468</v>
      </c>
      <c r="C1049" s="0" t="n">
        <f aca="true">MEDIAN(8,16,ROUND(NORMINV(RAND(),Coefficients!$B$20,Coefficients!$B$21),0))</f>
        <v>13</v>
      </c>
      <c r="D1049" s="0" t="n">
        <f aca="true">CRITBINOM($C1049,MIN(0.75,Matchup!$B$39*$B1049),RAND())</f>
        <v>2</v>
      </c>
      <c r="E1049" s="0" t="n">
        <f aca="true">CRITBINOM(D1049,Coefficients!$B$30,RAND())</f>
        <v>0</v>
      </c>
      <c r="F1049" s="0" t="n">
        <f aca="true">CRITBINOM(E1049,Coefficients!$B$31,RAND())</f>
        <v>0</v>
      </c>
      <c r="G1049" s="0" t="n">
        <f aca="true">CRITBINOM(MAX(0,D1049-E1049),1-Coefficients!$B$32,RAND())</f>
        <v>0</v>
      </c>
      <c r="H1049" s="0" t="n">
        <f aca="true">CRITBINOM(MAX(0,$C1049-D1049),MIN(0.6,Matchup!$B$40*SQRT($B1049)/(1-MIN(0.75,Matchup!$B$39*$B1049))),RAND())</f>
        <v>2</v>
      </c>
      <c r="I1049" s="0" t="n">
        <f aca="false">6*D1049+(D1049-E1049-G1049)+2*F1049+3*H1049</f>
        <v>20</v>
      </c>
      <c r="J1049" s="0" t="n">
        <f aca="true">CRITBINOM($C1049,MIN(0.75,Matchup!$C$39*$B1049),RAND())</f>
        <v>1</v>
      </c>
      <c r="K1049" s="0" t="n">
        <f aca="true">CRITBINOM(J1049,Coefficients!$B$30,RAND())</f>
        <v>0</v>
      </c>
      <c r="L1049" s="0" t="n">
        <f aca="true">CRITBINOM(K1049,Coefficients!$B$31,RAND())</f>
        <v>0</v>
      </c>
      <c r="M1049" s="0" t="n">
        <f aca="true">CRITBINOM(MAX(0,J1049-K1049),1-Coefficients!$B$32,RAND())</f>
        <v>0</v>
      </c>
      <c r="N1049" s="0" t="n">
        <f aca="true">CRITBINOM(MAX(0,$C1049-J1049),MIN(0.6,Matchup!$C$40*SQRT($B1049)/(1-MIN(0.75,Matchup!$C$39*$B1049))),RAND())</f>
        <v>0</v>
      </c>
      <c r="O1049" s="0" t="n">
        <f aca="false">6*J1049+(J1049-K1049-M1049)+2*L1049+3*N1049</f>
        <v>7</v>
      </c>
      <c r="P1049" s="0" t="n">
        <f aca="true">RAND()</f>
        <v>0.00275744666087285</v>
      </c>
      <c r="Q1049" s="0" t="n">
        <f aca="true">RAND()</f>
        <v>0.930186838130548</v>
      </c>
      <c r="R1049" s="0" t="n">
        <f aca="false">IF($I1049&lt;&gt;$O1049,0,IF(P1049&lt;Matchup!$B$39,7,IF(P1049&lt;Matchup!$B$39+Matchup!$B$40,3,0)))</f>
        <v>0</v>
      </c>
      <c r="S1049" s="0" t="n">
        <f aca="false">IF($I1049&lt;&gt;$O1049,0,IF(Q1049&lt;Matchup!$C$39,7,IF(Q1049&lt;Matchup!$C$39+Matchup!$C$40,3,0)))</f>
        <v>0</v>
      </c>
      <c r="T1049" s="0" t="n">
        <f aca="false">I1049+R1049</f>
        <v>20</v>
      </c>
      <c r="U1049" s="0" t="n">
        <f aca="false">O1049+S1049</f>
        <v>7</v>
      </c>
      <c r="V1049" s="0" t="n">
        <f aca="false">T1049-U1049</f>
        <v>13</v>
      </c>
      <c r="W1049" s="0" t="n">
        <f aca="false">T1049+U1049</f>
        <v>27</v>
      </c>
    </row>
    <row r="1050" customFormat="false" ht="15" hidden="false" customHeight="false" outlineLevel="0" collapsed="false">
      <c r="A1050" s="0" t="n">
        <v>1047</v>
      </c>
      <c r="B1050" s="0" t="n">
        <f aca="true">NORMINV(RAND(),1,Coefficients!$B$22)</f>
        <v>1.08353059949088</v>
      </c>
      <c r="C1050" s="0" t="n">
        <f aca="true">MEDIAN(8,16,ROUND(NORMINV(RAND(),Coefficients!$B$20,Coefficients!$B$21),0))</f>
        <v>11</v>
      </c>
      <c r="D1050" s="0" t="n">
        <f aca="true">CRITBINOM($C1050,MIN(0.75,Matchup!$B$39*$B1050),RAND())</f>
        <v>2</v>
      </c>
      <c r="E1050" s="0" t="n">
        <f aca="true">CRITBINOM(D1050,Coefficients!$B$30,RAND())</f>
        <v>1</v>
      </c>
      <c r="F1050" s="0" t="n">
        <f aca="true">CRITBINOM(E1050,Coefficients!$B$31,RAND())</f>
        <v>0</v>
      </c>
      <c r="G1050" s="0" t="n">
        <f aca="true">CRITBINOM(MAX(0,D1050-E1050),1-Coefficients!$B$32,RAND())</f>
        <v>0</v>
      </c>
      <c r="H1050" s="0" t="n">
        <f aca="true">CRITBINOM(MAX(0,$C1050-D1050),MIN(0.6,Matchup!$B$40*SQRT($B1050)/(1-MIN(0.75,Matchup!$B$39*$B1050))),RAND())</f>
        <v>1</v>
      </c>
      <c r="I1050" s="0" t="n">
        <f aca="false">6*D1050+(D1050-E1050-G1050)+2*F1050+3*H1050</f>
        <v>16</v>
      </c>
      <c r="J1050" s="0" t="n">
        <f aca="true">CRITBINOM($C1050,MIN(0.75,Matchup!$C$39*$B1050),RAND())</f>
        <v>4</v>
      </c>
      <c r="K1050" s="0" t="n">
        <f aca="true">CRITBINOM(J1050,Coefficients!$B$30,RAND())</f>
        <v>0</v>
      </c>
      <c r="L1050" s="0" t="n">
        <f aca="true">CRITBINOM(K1050,Coefficients!$B$31,RAND())</f>
        <v>0</v>
      </c>
      <c r="M1050" s="0" t="n">
        <f aca="true">CRITBINOM(MAX(0,J1050-K1050),1-Coefficients!$B$32,RAND())</f>
        <v>0</v>
      </c>
      <c r="N1050" s="0" t="n">
        <f aca="true">CRITBINOM(MAX(0,$C1050-J1050),MIN(0.6,Matchup!$C$40*SQRT($B1050)/(1-MIN(0.75,Matchup!$C$39*$B1050))),RAND())</f>
        <v>1</v>
      </c>
      <c r="O1050" s="0" t="n">
        <f aca="false">6*J1050+(J1050-K1050-M1050)+2*L1050+3*N1050</f>
        <v>31</v>
      </c>
      <c r="P1050" s="0" t="n">
        <f aca="true">RAND()</f>
        <v>0.895385998411688</v>
      </c>
      <c r="Q1050" s="0" t="n">
        <f aca="true">RAND()</f>
        <v>0.556565838128062</v>
      </c>
      <c r="R1050" s="0" t="n">
        <f aca="false">IF($I1050&lt;&gt;$O1050,0,IF(P1050&lt;Matchup!$B$39,7,IF(P1050&lt;Matchup!$B$39+Matchup!$B$40,3,0)))</f>
        <v>0</v>
      </c>
      <c r="S1050" s="0" t="n">
        <f aca="false">IF($I1050&lt;&gt;$O1050,0,IF(Q1050&lt;Matchup!$C$39,7,IF(Q1050&lt;Matchup!$C$39+Matchup!$C$40,3,0)))</f>
        <v>0</v>
      </c>
      <c r="T1050" s="0" t="n">
        <f aca="false">I1050+R1050</f>
        <v>16</v>
      </c>
      <c r="U1050" s="0" t="n">
        <f aca="false">O1050+S1050</f>
        <v>31</v>
      </c>
      <c r="V1050" s="0" t="n">
        <f aca="false">T1050-U1050</f>
        <v>-15</v>
      </c>
      <c r="W1050" s="0" t="n">
        <f aca="false">T1050+U1050</f>
        <v>47</v>
      </c>
    </row>
    <row r="1051" customFormat="false" ht="15" hidden="false" customHeight="false" outlineLevel="0" collapsed="false">
      <c r="A1051" s="0" t="n">
        <v>1048</v>
      </c>
      <c r="B1051" s="0" t="n">
        <f aca="true">NORMINV(RAND(),1,Coefficients!$B$22)</f>
        <v>1.10526446560381</v>
      </c>
      <c r="C1051" s="0" t="n">
        <f aca="true">MEDIAN(8,16,ROUND(NORMINV(RAND(),Coefficients!$B$20,Coefficients!$B$21),0))</f>
        <v>12</v>
      </c>
      <c r="D1051" s="0" t="n">
        <f aca="true">CRITBINOM($C1051,MIN(0.75,Matchup!$B$39*$B1051),RAND())</f>
        <v>4</v>
      </c>
      <c r="E1051" s="0" t="n">
        <f aca="true">CRITBINOM(D1051,Coefficients!$B$30,RAND())</f>
        <v>0</v>
      </c>
      <c r="F1051" s="0" t="n">
        <f aca="true">CRITBINOM(E1051,Coefficients!$B$31,RAND())</f>
        <v>0</v>
      </c>
      <c r="G1051" s="0" t="n">
        <f aca="true">CRITBINOM(MAX(0,D1051-E1051),1-Coefficients!$B$32,RAND())</f>
        <v>1</v>
      </c>
      <c r="H1051" s="0" t="n">
        <f aca="true">CRITBINOM(MAX(0,$C1051-D1051),MIN(0.6,Matchup!$B$40*SQRT($B1051)/(1-MIN(0.75,Matchup!$B$39*$B1051))),RAND())</f>
        <v>1</v>
      </c>
      <c r="I1051" s="0" t="n">
        <f aca="false">6*D1051+(D1051-E1051-G1051)+2*F1051+3*H1051</f>
        <v>30</v>
      </c>
      <c r="J1051" s="0" t="n">
        <f aca="true">CRITBINOM($C1051,MIN(0.75,Matchup!$C$39*$B1051),RAND())</f>
        <v>3</v>
      </c>
      <c r="K1051" s="0" t="n">
        <f aca="true">CRITBINOM(J1051,Coefficients!$B$30,RAND())</f>
        <v>0</v>
      </c>
      <c r="L1051" s="0" t="n">
        <f aca="true">CRITBINOM(K1051,Coefficients!$B$31,RAND())</f>
        <v>0</v>
      </c>
      <c r="M1051" s="0" t="n">
        <f aca="true">CRITBINOM(MAX(0,J1051-K1051),1-Coefficients!$B$32,RAND())</f>
        <v>0</v>
      </c>
      <c r="N1051" s="0" t="n">
        <f aca="true">CRITBINOM(MAX(0,$C1051-J1051),MIN(0.6,Matchup!$C$40*SQRT($B1051)/(1-MIN(0.75,Matchup!$C$39*$B1051))),RAND())</f>
        <v>2</v>
      </c>
      <c r="O1051" s="0" t="n">
        <f aca="false">6*J1051+(J1051-K1051-M1051)+2*L1051+3*N1051</f>
        <v>27</v>
      </c>
      <c r="P1051" s="0" t="n">
        <f aca="true">RAND()</f>
        <v>0.349205518966977</v>
      </c>
      <c r="Q1051" s="0" t="n">
        <f aca="true">RAND()</f>
        <v>0.0593073999846417</v>
      </c>
      <c r="R1051" s="0" t="n">
        <f aca="false">IF($I1051&lt;&gt;$O1051,0,IF(P1051&lt;Matchup!$B$39,7,IF(P1051&lt;Matchup!$B$39+Matchup!$B$40,3,0)))</f>
        <v>0</v>
      </c>
      <c r="S1051" s="0" t="n">
        <f aca="false">IF($I1051&lt;&gt;$O1051,0,IF(Q1051&lt;Matchup!$C$39,7,IF(Q1051&lt;Matchup!$C$39+Matchup!$C$40,3,0)))</f>
        <v>0</v>
      </c>
      <c r="T1051" s="0" t="n">
        <f aca="false">I1051+R1051</f>
        <v>30</v>
      </c>
      <c r="U1051" s="0" t="n">
        <f aca="false">O1051+S1051</f>
        <v>27</v>
      </c>
      <c r="V1051" s="0" t="n">
        <f aca="false">T1051-U1051</f>
        <v>3</v>
      </c>
      <c r="W1051" s="0" t="n">
        <f aca="false">T1051+U1051</f>
        <v>57</v>
      </c>
    </row>
    <row r="1052" customFormat="false" ht="15" hidden="false" customHeight="false" outlineLevel="0" collapsed="false">
      <c r="A1052" s="0" t="n">
        <v>1049</v>
      </c>
      <c r="B1052" s="0" t="n">
        <f aca="true">NORMINV(RAND(),1,Coefficients!$B$22)</f>
        <v>0.921894415289138</v>
      </c>
      <c r="C1052" s="0" t="n">
        <f aca="true">MEDIAN(8,16,ROUND(NORMINV(RAND(),Coefficients!$B$20,Coefficients!$B$21),0))</f>
        <v>12</v>
      </c>
      <c r="D1052" s="0" t="n">
        <f aca="true">CRITBINOM($C1052,MIN(0.75,Matchup!$B$39*$B1052),RAND())</f>
        <v>3</v>
      </c>
      <c r="E1052" s="0" t="n">
        <f aca="true">CRITBINOM(D1052,Coefficients!$B$30,RAND())</f>
        <v>0</v>
      </c>
      <c r="F1052" s="0" t="n">
        <f aca="true">CRITBINOM(E1052,Coefficients!$B$31,RAND())</f>
        <v>0</v>
      </c>
      <c r="G1052" s="0" t="n">
        <f aca="true">CRITBINOM(MAX(0,D1052-E1052),1-Coefficients!$B$32,RAND())</f>
        <v>2</v>
      </c>
      <c r="H1052" s="0" t="n">
        <f aca="true">CRITBINOM(MAX(0,$C1052-D1052),MIN(0.6,Matchup!$B$40*SQRT($B1052)/(1-MIN(0.75,Matchup!$B$39*$B1052))),RAND())</f>
        <v>2</v>
      </c>
      <c r="I1052" s="0" t="n">
        <f aca="false">6*D1052+(D1052-E1052-G1052)+2*F1052+3*H1052</f>
        <v>25</v>
      </c>
      <c r="J1052" s="0" t="n">
        <f aca="true">CRITBINOM($C1052,MIN(0.75,Matchup!$C$39*$B1052),RAND())</f>
        <v>4</v>
      </c>
      <c r="K1052" s="0" t="n">
        <f aca="true">CRITBINOM(J1052,Coefficients!$B$30,RAND())</f>
        <v>0</v>
      </c>
      <c r="L1052" s="0" t="n">
        <f aca="true">CRITBINOM(K1052,Coefficients!$B$31,RAND())</f>
        <v>0</v>
      </c>
      <c r="M1052" s="0" t="n">
        <f aca="true">CRITBINOM(MAX(0,J1052-K1052),1-Coefficients!$B$32,RAND())</f>
        <v>0</v>
      </c>
      <c r="N1052" s="0" t="n">
        <f aca="true">CRITBINOM(MAX(0,$C1052-J1052),MIN(0.6,Matchup!$C$40*SQRT($B1052)/(1-MIN(0.75,Matchup!$C$39*$B1052))),RAND())</f>
        <v>0</v>
      </c>
      <c r="O1052" s="0" t="n">
        <f aca="false">6*J1052+(J1052-K1052-M1052)+2*L1052+3*N1052</f>
        <v>28</v>
      </c>
      <c r="P1052" s="0" t="n">
        <f aca="true">RAND()</f>
        <v>0.203366994766656</v>
      </c>
      <c r="Q1052" s="0" t="n">
        <f aca="true">RAND()</f>
        <v>0.0687418125048522</v>
      </c>
      <c r="R1052" s="0" t="n">
        <f aca="false">IF($I1052&lt;&gt;$O1052,0,IF(P1052&lt;Matchup!$B$39,7,IF(P1052&lt;Matchup!$B$39+Matchup!$B$40,3,0)))</f>
        <v>0</v>
      </c>
      <c r="S1052" s="0" t="n">
        <f aca="false">IF($I1052&lt;&gt;$O1052,0,IF(Q1052&lt;Matchup!$C$39,7,IF(Q1052&lt;Matchup!$C$39+Matchup!$C$40,3,0)))</f>
        <v>0</v>
      </c>
      <c r="T1052" s="0" t="n">
        <f aca="false">I1052+R1052</f>
        <v>25</v>
      </c>
      <c r="U1052" s="0" t="n">
        <f aca="false">O1052+S1052</f>
        <v>28</v>
      </c>
      <c r="V1052" s="0" t="n">
        <f aca="false">T1052-U1052</f>
        <v>-3</v>
      </c>
      <c r="W1052" s="0" t="n">
        <f aca="false">T1052+U1052</f>
        <v>53</v>
      </c>
    </row>
    <row r="1053" customFormat="false" ht="15" hidden="false" customHeight="false" outlineLevel="0" collapsed="false">
      <c r="A1053" s="0" t="n">
        <v>1050</v>
      </c>
      <c r="B1053" s="0" t="n">
        <f aca="true">NORMINV(RAND(),1,Coefficients!$B$22)</f>
        <v>0.884799376074485</v>
      </c>
      <c r="C1053" s="0" t="n">
        <f aca="true">MEDIAN(8,16,ROUND(NORMINV(RAND(),Coefficients!$B$20,Coefficients!$B$21),0))</f>
        <v>12</v>
      </c>
      <c r="D1053" s="0" t="n">
        <f aca="true">CRITBINOM($C1053,MIN(0.75,Matchup!$B$39*$B1053),RAND())</f>
        <v>3</v>
      </c>
      <c r="E1053" s="0" t="n">
        <f aca="true">CRITBINOM(D1053,Coefficients!$B$30,RAND())</f>
        <v>0</v>
      </c>
      <c r="F1053" s="0" t="n">
        <f aca="true">CRITBINOM(E1053,Coefficients!$B$31,RAND())</f>
        <v>0</v>
      </c>
      <c r="G1053" s="0" t="n">
        <f aca="true">CRITBINOM(MAX(0,D1053-E1053),1-Coefficients!$B$32,RAND())</f>
        <v>0</v>
      </c>
      <c r="H1053" s="0" t="n">
        <f aca="true">CRITBINOM(MAX(0,$C1053-D1053),MIN(0.6,Matchup!$B$40*SQRT($B1053)/(1-MIN(0.75,Matchup!$B$39*$B1053))),RAND())</f>
        <v>2</v>
      </c>
      <c r="I1053" s="0" t="n">
        <f aca="false">6*D1053+(D1053-E1053-G1053)+2*F1053+3*H1053</f>
        <v>27</v>
      </c>
      <c r="J1053" s="0" t="n">
        <f aca="true">CRITBINOM($C1053,MIN(0.75,Matchup!$C$39*$B1053),RAND())</f>
        <v>2</v>
      </c>
      <c r="K1053" s="0" t="n">
        <f aca="true">CRITBINOM(J1053,Coefficients!$B$30,RAND())</f>
        <v>0</v>
      </c>
      <c r="L1053" s="0" t="n">
        <f aca="true">CRITBINOM(K1053,Coefficients!$B$31,RAND())</f>
        <v>0</v>
      </c>
      <c r="M1053" s="0" t="n">
        <f aca="true">CRITBINOM(MAX(0,J1053-K1053),1-Coefficients!$B$32,RAND())</f>
        <v>0</v>
      </c>
      <c r="N1053" s="0" t="n">
        <f aca="true">CRITBINOM(MAX(0,$C1053-J1053),MIN(0.6,Matchup!$C$40*SQRT($B1053)/(1-MIN(0.75,Matchup!$C$39*$B1053))),RAND())</f>
        <v>1</v>
      </c>
      <c r="O1053" s="0" t="n">
        <f aca="false">6*J1053+(J1053-K1053-M1053)+2*L1053+3*N1053</f>
        <v>17</v>
      </c>
      <c r="P1053" s="0" t="n">
        <f aca="true">RAND()</f>
        <v>0.973949217074941</v>
      </c>
      <c r="Q1053" s="0" t="n">
        <f aca="true">RAND()</f>
        <v>0.48284482337751</v>
      </c>
      <c r="R1053" s="0" t="n">
        <f aca="false">IF($I1053&lt;&gt;$O1053,0,IF(P1053&lt;Matchup!$B$39,7,IF(P1053&lt;Matchup!$B$39+Matchup!$B$40,3,0)))</f>
        <v>0</v>
      </c>
      <c r="S1053" s="0" t="n">
        <f aca="false">IF($I1053&lt;&gt;$O1053,0,IF(Q1053&lt;Matchup!$C$39,7,IF(Q1053&lt;Matchup!$C$39+Matchup!$C$40,3,0)))</f>
        <v>0</v>
      </c>
      <c r="T1053" s="0" t="n">
        <f aca="false">I1053+R1053</f>
        <v>27</v>
      </c>
      <c r="U1053" s="0" t="n">
        <f aca="false">O1053+S1053</f>
        <v>17</v>
      </c>
      <c r="V1053" s="0" t="n">
        <f aca="false">T1053-U1053</f>
        <v>10</v>
      </c>
      <c r="W1053" s="0" t="n">
        <f aca="false">T1053+U1053</f>
        <v>44</v>
      </c>
    </row>
    <row r="1054" customFormat="false" ht="15" hidden="false" customHeight="false" outlineLevel="0" collapsed="false">
      <c r="A1054" s="0" t="n">
        <v>1051</v>
      </c>
      <c r="B1054" s="0" t="n">
        <f aca="true">NORMINV(RAND(),1,Coefficients!$B$22)</f>
        <v>1.03301160818923</v>
      </c>
      <c r="C1054" s="0" t="n">
        <f aca="true">MEDIAN(8,16,ROUND(NORMINV(RAND(),Coefficients!$B$20,Coefficients!$B$21),0))</f>
        <v>11</v>
      </c>
      <c r="D1054" s="0" t="n">
        <f aca="true">CRITBINOM($C1054,MIN(0.75,Matchup!$B$39*$B1054),RAND())</f>
        <v>3</v>
      </c>
      <c r="E1054" s="0" t="n">
        <f aca="true">CRITBINOM(D1054,Coefficients!$B$30,RAND())</f>
        <v>0</v>
      </c>
      <c r="F1054" s="0" t="n">
        <f aca="true">CRITBINOM(E1054,Coefficients!$B$31,RAND())</f>
        <v>0</v>
      </c>
      <c r="G1054" s="0" t="n">
        <f aca="true">CRITBINOM(MAX(0,D1054-E1054),1-Coefficients!$B$32,RAND())</f>
        <v>0</v>
      </c>
      <c r="H1054" s="0" t="n">
        <f aca="true">CRITBINOM(MAX(0,$C1054-D1054),MIN(0.6,Matchup!$B$40*SQRT($B1054)/(1-MIN(0.75,Matchup!$B$39*$B1054))),RAND())</f>
        <v>0</v>
      </c>
      <c r="I1054" s="0" t="n">
        <f aca="false">6*D1054+(D1054-E1054-G1054)+2*F1054+3*H1054</f>
        <v>21</v>
      </c>
      <c r="J1054" s="0" t="n">
        <f aca="true">CRITBINOM($C1054,MIN(0.75,Matchup!$C$39*$B1054),RAND())</f>
        <v>4</v>
      </c>
      <c r="K1054" s="0" t="n">
        <f aca="true">CRITBINOM(J1054,Coefficients!$B$30,RAND())</f>
        <v>0</v>
      </c>
      <c r="L1054" s="0" t="n">
        <f aca="true">CRITBINOM(K1054,Coefficients!$B$31,RAND())</f>
        <v>0</v>
      </c>
      <c r="M1054" s="0" t="n">
        <f aca="true">CRITBINOM(MAX(0,J1054-K1054),1-Coefficients!$B$32,RAND())</f>
        <v>0</v>
      </c>
      <c r="N1054" s="0" t="n">
        <f aca="true">CRITBINOM(MAX(0,$C1054-J1054),MIN(0.6,Matchup!$C$40*SQRT($B1054)/(1-MIN(0.75,Matchup!$C$39*$B1054))),RAND())</f>
        <v>2</v>
      </c>
      <c r="O1054" s="0" t="n">
        <f aca="false">6*J1054+(J1054-K1054-M1054)+2*L1054+3*N1054</f>
        <v>34</v>
      </c>
      <c r="P1054" s="0" t="n">
        <f aca="true">RAND()</f>
        <v>0.549917400188009</v>
      </c>
      <c r="Q1054" s="0" t="n">
        <f aca="true">RAND()</f>
        <v>0.783935898823187</v>
      </c>
      <c r="R1054" s="0" t="n">
        <f aca="false">IF($I1054&lt;&gt;$O1054,0,IF(P1054&lt;Matchup!$B$39,7,IF(P1054&lt;Matchup!$B$39+Matchup!$B$40,3,0)))</f>
        <v>0</v>
      </c>
      <c r="S1054" s="0" t="n">
        <f aca="false">IF($I1054&lt;&gt;$O1054,0,IF(Q1054&lt;Matchup!$C$39,7,IF(Q1054&lt;Matchup!$C$39+Matchup!$C$40,3,0)))</f>
        <v>0</v>
      </c>
      <c r="T1054" s="0" t="n">
        <f aca="false">I1054+R1054</f>
        <v>21</v>
      </c>
      <c r="U1054" s="0" t="n">
        <f aca="false">O1054+S1054</f>
        <v>34</v>
      </c>
      <c r="V1054" s="0" t="n">
        <f aca="false">T1054-U1054</f>
        <v>-13</v>
      </c>
      <c r="W1054" s="0" t="n">
        <f aca="false">T1054+U1054</f>
        <v>55</v>
      </c>
    </row>
    <row r="1055" customFormat="false" ht="15" hidden="false" customHeight="false" outlineLevel="0" collapsed="false">
      <c r="A1055" s="0" t="n">
        <v>1052</v>
      </c>
      <c r="B1055" s="0" t="n">
        <f aca="true">NORMINV(RAND(),1,Coefficients!$B$22)</f>
        <v>0.922296534810668</v>
      </c>
      <c r="C1055" s="0" t="n">
        <f aca="true">MEDIAN(8,16,ROUND(NORMINV(RAND(),Coefficients!$B$20,Coefficients!$B$21),0))</f>
        <v>12</v>
      </c>
      <c r="D1055" s="0" t="n">
        <f aca="true">CRITBINOM($C1055,MIN(0.75,Matchup!$B$39*$B1055),RAND())</f>
        <v>3</v>
      </c>
      <c r="E1055" s="0" t="n">
        <f aca="true">CRITBINOM(D1055,Coefficients!$B$30,RAND())</f>
        <v>0</v>
      </c>
      <c r="F1055" s="0" t="n">
        <f aca="true">CRITBINOM(E1055,Coefficients!$B$31,RAND())</f>
        <v>0</v>
      </c>
      <c r="G1055" s="0" t="n">
        <f aca="true">CRITBINOM(MAX(0,D1055-E1055),1-Coefficients!$B$32,RAND())</f>
        <v>0</v>
      </c>
      <c r="H1055" s="0" t="n">
        <f aca="true">CRITBINOM(MAX(0,$C1055-D1055),MIN(0.6,Matchup!$B$40*SQRT($B1055)/(1-MIN(0.75,Matchup!$B$39*$B1055))),RAND())</f>
        <v>1</v>
      </c>
      <c r="I1055" s="0" t="n">
        <f aca="false">6*D1055+(D1055-E1055-G1055)+2*F1055+3*H1055</f>
        <v>24</v>
      </c>
      <c r="J1055" s="0" t="n">
        <f aca="true">CRITBINOM($C1055,MIN(0.75,Matchup!$C$39*$B1055),RAND())</f>
        <v>1</v>
      </c>
      <c r="K1055" s="0" t="n">
        <f aca="true">CRITBINOM(J1055,Coefficients!$B$30,RAND())</f>
        <v>0</v>
      </c>
      <c r="L1055" s="0" t="n">
        <f aca="true">CRITBINOM(K1055,Coefficients!$B$31,RAND())</f>
        <v>0</v>
      </c>
      <c r="M1055" s="0" t="n">
        <f aca="true">CRITBINOM(MAX(0,J1055-K1055),1-Coefficients!$B$32,RAND())</f>
        <v>0</v>
      </c>
      <c r="N1055" s="0" t="n">
        <f aca="true">CRITBINOM(MAX(0,$C1055-J1055),MIN(0.6,Matchup!$C$40*SQRT($B1055)/(1-MIN(0.75,Matchup!$C$39*$B1055))),RAND())</f>
        <v>0</v>
      </c>
      <c r="O1055" s="0" t="n">
        <f aca="false">6*J1055+(J1055-K1055-M1055)+2*L1055+3*N1055</f>
        <v>7</v>
      </c>
      <c r="P1055" s="0" t="n">
        <f aca="true">RAND()</f>
        <v>0.855805529590141</v>
      </c>
      <c r="Q1055" s="0" t="n">
        <f aca="true">RAND()</f>
        <v>0.616901820660632</v>
      </c>
      <c r="R1055" s="0" t="n">
        <f aca="false">IF($I1055&lt;&gt;$O1055,0,IF(P1055&lt;Matchup!$B$39,7,IF(P1055&lt;Matchup!$B$39+Matchup!$B$40,3,0)))</f>
        <v>0</v>
      </c>
      <c r="S1055" s="0" t="n">
        <f aca="false">IF($I1055&lt;&gt;$O1055,0,IF(Q1055&lt;Matchup!$C$39,7,IF(Q1055&lt;Matchup!$C$39+Matchup!$C$40,3,0)))</f>
        <v>0</v>
      </c>
      <c r="T1055" s="0" t="n">
        <f aca="false">I1055+R1055</f>
        <v>24</v>
      </c>
      <c r="U1055" s="0" t="n">
        <f aca="false">O1055+S1055</f>
        <v>7</v>
      </c>
      <c r="V1055" s="0" t="n">
        <f aca="false">T1055-U1055</f>
        <v>17</v>
      </c>
      <c r="W1055" s="0" t="n">
        <f aca="false">T1055+U1055</f>
        <v>31</v>
      </c>
    </row>
    <row r="1056" customFormat="false" ht="15" hidden="false" customHeight="false" outlineLevel="0" collapsed="false">
      <c r="A1056" s="0" t="n">
        <v>1053</v>
      </c>
      <c r="B1056" s="0" t="n">
        <f aca="true">NORMINV(RAND(),1,Coefficients!$B$22)</f>
        <v>1.04495488924456</v>
      </c>
      <c r="C1056" s="0" t="n">
        <f aca="true">MEDIAN(8,16,ROUND(NORMINV(RAND(),Coefficients!$B$20,Coefficients!$B$21),0))</f>
        <v>11</v>
      </c>
      <c r="D1056" s="0" t="n">
        <f aca="true">CRITBINOM($C1056,MIN(0.75,Matchup!$B$39*$B1056),RAND())</f>
        <v>0</v>
      </c>
      <c r="E1056" s="0" t="n">
        <f aca="true">CRITBINOM(D1056,Coefficients!$B$30,RAND())</f>
        <v>0</v>
      </c>
      <c r="F1056" s="0" t="n">
        <f aca="true">CRITBINOM(E1056,Coefficients!$B$31,RAND())</f>
        <v>0</v>
      </c>
      <c r="G1056" s="0" t="n">
        <f aca="true">CRITBINOM(MAX(0,D1056-E1056),1-Coefficients!$B$32,RAND())</f>
        <v>0</v>
      </c>
      <c r="H1056" s="0" t="n">
        <f aca="true">CRITBINOM(MAX(0,$C1056-D1056),MIN(0.6,Matchup!$B$40*SQRT($B1056)/(1-MIN(0.75,Matchup!$B$39*$B1056))),RAND())</f>
        <v>3</v>
      </c>
      <c r="I1056" s="0" t="n">
        <f aca="false">6*D1056+(D1056-E1056-G1056)+2*F1056+3*H1056</f>
        <v>9</v>
      </c>
      <c r="J1056" s="0" t="n">
        <f aca="true">CRITBINOM($C1056,MIN(0.75,Matchup!$C$39*$B1056),RAND())</f>
        <v>0</v>
      </c>
      <c r="K1056" s="0" t="n">
        <f aca="true">CRITBINOM(J1056,Coefficients!$B$30,RAND())</f>
        <v>0</v>
      </c>
      <c r="L1056" s="0" t="n">
        <f aca="true">CRITBINOM(K1056,Coefficients!$B$31,RAND())</f>
        <v>0</v>
      </c>
      <c r="M1056" s="0" t="n">
        <f aca="true">CRITBINOM(MAX(0,J1056-K1056),1-Coefficients!$B$32,RAND())</f>
        <v>0</v>
      </c>
      <c r="N1056" s="0" t="n">
        <f aca="true">CRITBINOM(MAX(0,$C1056-J1056),MIN(0.6,Matchup!$C$40*SQRT($B1056)/(1-MIN(0.75,Matchup!$C$39*$B1056))),RAND())</f>
        <v>3</v>
      </c>
      <c r="O1056" s="0" t="n">
        <f aca="false">6*J1056+(J1056-K1056-M1056)+2*L1056+3*N1056</f>
        <v>9</v>
      </c>
      <c r="P1056" s="0" t="n">
        <f aca="true">RAND()</f>
        <v>0.116965839451993</v>
      </c>
      <c r="Q1056" s="0" t="n">
        <f aca="true">RAND()</f>
        <v>0.058880405083147</v>
      </c>
      <c r="R1056" s="0" t="n">
        <f aca="false">IF($I1056&lt;&gt;$O1056,0,IF(P1056&lt;Matchup!$B$39,7,IF(P1056&lt;Matchup!$B$39+Matchup!$B$40,3,0)))</f>
        <v>7</v>
      </c>
      <c r="S1056" s="0" t="n">
        <f aca="false">IF($I1056&lt;&gt;$O1056,0,IF(Q1056&lt;Matchup!$C$39,7,IF(Q1056&lt;Matchup!$C$39+Matchup!$C$40,3,0)))</f>
        <v>7</v>
      </c>
      <c r="T1056" s="0" t="n">
        <f aca="false">I1056+R1056</f>
        <v>16</v>
      </c>
      <c r="U1056" s="0" t="n">
        <f aca="false">O1056+S1056</f>
        <v>16</v>
      </c>
      <c r="V1056" s="0" t="n">
        <f aca="false">T1056-U1056</f>
        <v>0</v>
      </c>
      <c r="W1056" s="0" t="n">
        <f aca="false">T1056+U1056</f>
        <v>32</v>
      </c>
    </row>
    <row r="1057" customFormat="false" ht="15" hidden="false" customHeight="false" outlineLevel="0" collapsed="false">
      <c r="A1057" s="0" t="n">
        <v>1054</v>
      </c>
      <c r="B1057" s="0" t="n">
        <f aca="true">NORMINV(RAND(),1,Coefficients!$B$22)</f>
        <v>1.11496499101247</v>
      </c>
      <c r="C1057" s="0" t="n">
        <f aca="true">MEDIAN(8,16,ROUND(NORMINV(RAND(),Coefficients!$B$20,Coefficients!$B$21),0))</f>
        <v>10</v>
      </c>
      <c r="D1057" s="0" t="n">
        <f aca="true">CRITBINOM($C1057,MIN(0.75,Matchup!$B$39*$B1057),RAND())</f>
        <v>1</v>
      </c>
      <c r="E1057" s="0" t="n">
        <f aca="true">CRITBINOM(D1057,Coefficients!$B$30,RAND())</f>
        <v>0</v>
      </c>
      <c r="F1057" s="0" t="n">
        <f aca="true">CRITBINOM(E1057,Coefficients!$B$31,RAND())</f>
        <v>0</v>
      </c>
      <c r="G1057" s="0" t="n">
        <f aca="true">CRITBINOM(MAX(0,D1057-E1057),1-Coefficients!$B$32,RAND())</f>
        <v>0</v>
      </c>
      <c r="H1057" s="0" t="n">
        <f aca="true">CRITBINOM(MAX(0,$C1057-D1057),MIN(0.6,Matchup!$B$40*SQRT($B1057)/(1-MIN(0.75,Matchup!$B$39*$B1057))),RAND())</f>
        <v>1</v>
      </c>
      <c r="I1057" s="0" t="n">
        <f aca="false">6*D1057+(D1057-E1057-G1057)+2*F1057+3*H1057</f>
        <v>10</v>
      </c>
      <c r="J1057" s="0" t="n">
        <f aca="true">CRITBINOM($C1057,MIN(0.75,Matchup!$C$39*$B1057),RAND())</f>
        <v>4</v>
      </c>
      <c r="K1057" s="0" t="n">
        <f aca="true">CRITBINOM(J1057,Coefficients!$B$30,RAND())</f>
        <v>0</v>
      </c>
      <c r="L1057" s="0" t="n">
        <f aca="true">CRITBINOM(K1057,Coefficients!$B$31,RAND())</f>
        <v>0</v>
      </c>
      <c r="M1057" s="0" t="n">
        <f aca="true">CRITBINOM(MAX(0,J1057-K1057),1-Coefficients!$B$32,RAND())</f>
        <v>0</v>
      </c>
      <c r="N1057" s="0" t="n">
        <f aca="true">CRITBINOM(MAX(0,$C1057-J1057),MIN(0.6,Matchup!$C$40*SQRT($B1057)/(1-MIN(0.75,Matchup!$C$39*$B1057))),RAND())</f>
        <v>2</v>
      </c>
      <c r="O1057" s="0" t="n">
        <f aca="false">6*J1057+(J1057-K1057-M1057)+2*L1057+3*N1057</f>
        <v>34</v>
      </c>
      <c r="P1057" s="0" t="n">
        <f aca="true">RAND()</f>
        <v>0.246320448249192</v>
      </c>
      <c r="Q1057" s="0" t="n">
        <f aca="true">RAND()</f>
        <v>0.889821585571223</v>
      </c>
      <c r="R1057" s="0" t="n">
        <f aca="false">IF($I1057&lt;&gt;$O1057,0,IF(P1057&lt;Matchup!$B$39,7,IF(P1057&lt;Matchup!$B$39+Matchup!$B$40,3,0)))</f>
        <v>0</v>
      </c>
      <c r="S1057" s="0" t="n">
        <f aca="false">IF($I1057&lt;&gt;$O1057,0,IF(Q1057&lt;Matchup!$C$39,7,IF(Q1057&lt;Matchup!$C$39+Matchup!$C$40,3,0)))</f>
        <v>0</v>
      </c>
      <c r="T1057" s="0" t="n">
        <f aca="false">I1057+R1057</f>
        <v>10</v>
      </c>
      <c r="U1057" s="0" t="n">
        <f aca="false">O1057+S1057</f>
        <v>34</v>
      </c>
      <c r="V1057" s="0" t="n">
        <f aca="false">T1057-U1057</f>
        <v>-24</v>
      </c>
      <c r="W1057" s="0" t="n">
        <f aca="false">T1057+U1057</f>
        <v>44</v>
      </c>
    </row>
    <row r="1058" customFormat="false" ht="15" hidden="false" customHeight="false" outlineLevel="0" collapsed="false">
      <c r="A1058" s="0" t="n">
        <v>1055</v>
      </c>
      <c r="B1058" s="0" t="n">
        <f aca="true">NORMINV(RAND(),1,Coefficients!$B$22)</f>
        <v>1.01421413634683</v>
      </c>
      <c r="C1058" s="0" t="n">
        <f aca="true">MEDIAN(8,16,ROUND(NORMINV(RAND(),Coefficients!$B$20,Coefficients!$B$21),0))</f>
        <v>10</v>
      </c>
      <c r="D1058" s="0" t="n">
        <f aca="true">CRITBINOM($C1058,MIN(0.75,Matchup!$B$39*$B1058),RAND())</f>
        <v>1</v>
      </c>
      <c r="E1058" s="0" t="n">
        <f aca="true">CRITBINOM(D1058,Coefficients!$B$30,RAND())</f>
        <v>0</v>
      </c>
      <c r="F1058" s="0" t="n">
        <f aca="true">CRITBINOM(E1058,Coefficients!$B$31,RAND())</f>
        <v>0</v>
      </c>
      <c r="G1058" s="0" t="n">
        <f aca="true">CRITBINOM(MAX(0,D1058-E1058),1-Coefficients!$B$32,RAND())</f>
        <v>0</v>
      </c>
      <c r="H1058" s="0" t="n">
        <f aca="true">CRITBINOM(MAX(0,$C1058-D1058),MIN(0.6,Matchup!$B$40*SQRT($B1058)/(1-MIN(0.75,Matchup!$B$39*$B1058))),RAND())</f>
        <v>2</v>
      </c>
      <c r="I1058" s="0" t="n">
        <f aca="false">6*D1058+(D1058-E1058-G1058)+2*F1058+3*H1058</f>
        <v>13</v>
      </c>
      <c r="J1058" s="0" t="n">
        <f aca="true">CRITBINOM($C1058,MIN(0.75,Matchup!$C$39*$B1058),RAND())</f>
        <v>3</v>
      </c>
      <c r="K1058" s="0" t="n">
        <f aca="true">CRITBINOM(J1058,Coefficients!$B$30,RAND())</f>
        <v>0</v>
      </c>
      <c r="L1058" s="0" t="n">
        <f aca="true">CRITBINOM(K1058,Coefficients!$B$31,RAND())</f>
        <v>0</v>
      </c>
      <c r="M1058" s="0" t="n">
        <f aca="true">CRITBINOM(MAX(0,J1058-K1058),1-Coefficients!$B$32,RAND())</f>
        <v>0</v>
      </c>
      <c r="N1058" s="0" t="n">
        <f aca="true">CRITBINOM(MAX(0,$C1058-J1058),MIN(0.6,Matchup!$C$40*SQRT($B1058)/(1-MIN(0.75,Matchup!$C$39*$B1058))),RAND())</f>
        <v>0</v>
      </c>
      <c r="O1058" s="0" t="n">
        <f aca="false">6*J1058+(J1058-K1058-M1058)+2*L1058+3*N1058</f>
        <v>21</v>
      </c>
      <c r="P1058" s="0" t="n">
        <f aca="true">RAND()</f>
        <v>0.284293897774147</v>
      </c>
      <c r="Q1058" s="0" t="n">
        <f aca="true">RAND()</f>
        <v>0.57728874021291</v>
      </c>
      <c r="R1058" s="0" t="n">
        <f aca="false">IF($I1058&lt;&gt;$O1058,0,IF(P1058&lt;Matchup!$B$39,7,IF(P1058&lt;Matchup!$B$39+Matchup!$B$40,3,0)))</f>
        <v>0</v>
      </c>
      <c r="S1058" s="0" t="n">
        <f aca="false">IF($I1058&lt;&gt;$O1058,0,IF(Q1058&lt;Matchup!$C$39,7,IF(Q1058&lt;Matchup!$C$39+Matchup!$C$40,3,0)))</f>
        <v>0</v>
      </c>
      <c r="T1058" s="0" t="n">
        <f aca="false">I1058+R1058</f>
        <v>13</v>
      </c>
      <c r="U1058" s="0" t="n">
        <f aca="false">O1058+S1058</f>
        <v>21</v>
      </c>
      <c r="V1058" s="0" t="n">
        <f aca="false">T1058-U1058</f>
        <v>-8</v>
      </c>
      <c r="W1058" s="0" t="n">
        <f aca="false">T1058+U1058</f>
        <v>34</v>
      </c>
    </row>
    <row r="1059" customFormat="false" ht="15" hidden="false" customHeight="false" outlineLevel="0" collapsed="false">
      <c r="A1059" s="0" t="n">
        <v>1056</v>
      </c>
      <c r="B1059" s="0" t="n">
        <f aca="true">NORMINV(RAND(),1,Coefficients!$B$22)</f>
        <v>1.03693117285468</v>
      </c>
      <c r="C1059" s="0" t="n">
        <f aca="true">MEDIAN(8,16,ROUND(NORMINV(RAND(),Coefficients!$B$20,Coefficients!$B$21),0))</f>
        <v>11</v>
      </c>
      <c r="D1059" s="0" t="n">
        <f aca="true">CRITBINOM($C1059,MIN(0.75,Matchup!$B$39*$B1059),RAND())</f>
        <v>5</v>
      </c>
      <c r="E1059" s="0" t="n">
        <f aca="true">CRITBINOM(D1059,Coefficients!$B$30,RAND())</f>
        <v>0</v>
      </c>
      <c r="F1059" s="0" t="n">
        <f aca="true">CRITBINOM(E1059,Coefficients!$B$31,RAND())</f>
        <v>0</v>
      </c>
      <c r="G1059" s="0" t="n">
        <f aca="true">CRITBINOM(MAX(0,D1059-E1059),1-Coefficients!$B$32,RAND())</f>
        <v>0</v>
      </c>
      <c r="H1059" s="0" t="n">
        <f aca="true">CRITBINOM(MAX(0,$C1059-D1059),MIN(0.6,Matchup!$B$40*SQRT($B1059)/(1-MIN(0.75,Matchup!$B$39*$B1059))),RAND())</f>
        <v>2</v>
      </c>
      <c r="I1059" s="0" t="n">
        <f aca="false">6*D1059+(D1059-E1059-G1059)+2*F1059+3*H1059</f>
        <v>41</v>
      </c>
      <c r="J1059" s="0" t="n">
        <f aca="true">CRITBINOM($C1059,MIN(0.75,Matchup!$C$39*$B1059),RAND())</f>
        <v>4</v>
      </c>
      <c r="K1059" s="0" t="n">
        <f aca="true">CRITBINOM(J1059,Coefficients!$B$30,RAND())</f>
        <v>0</v>
      </c>
      <c r="L1059" s="0" t="n">
        <f aca="true">CRITBINOM(K1059,Coefficients!$B$31,RAND())</f>
        <v>0</v>
      </c>
      <c r="M1059" s="0" t="n">
        <f aca="true">CRITBINOM(MAX(0,J1059-K1059),1-Coefficients!$B$32,RAND())</f>
        <v>0</v>
      </c>
      <c r="N1059" s="0" t="n">
        <f aca="true">CRITBINOM(MAX(0,$C1059-J1059),MIN(0.6,Matchup!$C$40*SQRT($B1059)/(1-MIN(0.75,Matchup!$C$39*$B1059))),RAND())</f>
        <v>1</v>
      </c>
      <c r="O1059" s="0" t="n">
        <f aca="false">6*J1059+(J1059-K1059-M1059)+2*L1059+3*N1059</f>
        <v>31</v>
      </c>
      <c r="P1059" s="0" t="n">
        <f aca="true">RAND()</f>
        <v>0.663977926080938</v>
      </c>
      <c r="Q1059" s="0" t="n">
        <f aca="true">RAND()</f>
        <v>0.552062682897491</v>
      </c>
      <c r="R1059" s="0" t="n">
        <f aca="false">IF($I1059&lt;&gt;$O1059,0,IF(P1059&lt;Matchup!$B$39,7,IF(P1059&lt;Matchup!$B$39+Matchup!$B$40,3,0)))</f>
        <v>0</v>
      </c>
      <c r="S1059" s="0" t="n">
        <f aca="false">IF($I1059&lt;&gt;$O1059,0,IF(Q1059&lt;Matchup!$C$39,7,IF(Q1059&lt;Matchup!$C$39+Matchup!$C$40,3,0)))</f>
        <v>0</v>
      </c>
      <c r="T1059" s="0" t="n">
        <f aca="false">I1059+R1059</f>
        <v>41</v>
      </c>
      <c r="U1059" s="0" t="n">
        <f aca="false">O1059+S1059</f>
        <v>31</v>
      </c>
      <c r="V1059" s="0" t="n">
        <f aca="false">T1059-U1059</f>
        <v>10</v>
      </c>
      <c r="W1059" s="0" t="n">
        <f aca="false">T1059+U1059</f>
        <v>72</v>
      </c>
    </row>
    <row r="1060" customFormat="false" ht="15" hidden="false" customHeight="false" outlineLevel="0" collapsed="false">
      <c r="A1060" s="0" t="n">
        <v>1057</v>
      </c>
      <c r="B1060" s="0" t="n">
        <f aca="true">NORMINV(RAND(),1,Coefficients!$B$22)</f>
        <v>0.996386736787299</v>
      </c>
      <c r="C1060" s="0" t="n">
        <f aca="true">MEDIAN(8,16,ROUND(NORMINV(RAND(),Coefficients!$B$20,Coefficients!$B$21),0))</f>
        <v>12</v>
      </c>
      <c r="D1060" s="0" t="n">
        <f aca="true">CRITBINOM($C1060,MIN(0.75,Matchup!$B$39*$B1060),RAND())</f>
        <v>3</v>
      </c>
      <c r="E1060" s="0" t="n">
        <f aca="true">CRITBINOM(D1060,Coefficients!$B$30,RAND())</f>
        <v>0</v>
      </c>
      <c r="F1060" s="0" t="n">
        <f aca="true">CRITBINOM(E1060,Coefficients!$B$31,RAND())</f>
        <v>0</v>
      </c>
      <c r="G1060" s="0" t="n">
        <f aca="true">CRITBINOM(MAX(0,D1060-E1060),1-Coefficients!$B$32,RAND())</f>
        <v>0</v>
      </c>
      <c r="H1060" s="0" t="n">
        <f aca="true">CRITBINOM(MAX(0,$C1060-D1060),MIN(0.6,Matchup!$B$40*SQRT($B1060)/(1-MIN(0.75,Matchup!$B$39*$B1060))),RAND())</f>
        <v>1</v>
      </c>
      <c r="I1060" s="0" t="n">
        <f aca="false">6*D1060+(D1060-E1060-G1060)+2*F1060+3*H1060</f>
        <v>24</v>
      </c>
      <c r="J1060" s="0" t="n">
        <f aca="true">CRITBINOM($C1060,MIN(0.75,Matchup!$C$39*$B1060),RAND())</f>
        <v>4</v>
      </c>
      <c r="K1060" s="0" t="n">
        <f aca="true">CRITBINOM(J1060,Coefficients!$B$30,RAND())</f>
        <v>0</v>
      </c>
      <c r="L1060" s="0" t="n">
        <f aca="true">CRITBINOM(K1060,Coefficients!$B$31,RAND())</f>
        <v>0</v>
      </c>
      <c r="M1060" s="0" t="n">
        <f aca="true">CRITBINOM(MAX(0,J1060-K1060),1-Coefficients!$B$32,RAND())</f>
        <v>1</v>
      </c>
      <c r="N1060" s="0" t="n">
        <f aca="true">CRITBINOM(MAX(0,$C1060-J1060),MIN(0.6,Matchup!$C$40*SQRT($B1060)/(1-MIN(0.75,Matchup!$C$39*$B1060))),RAND())</f>
        <v>0</v>
      </c>
      <c r="O1060" s="0" t="n">
        <f aca="false">6*J1060+(J1060-K1060-M1060)+2*L1060+3*N1060</f>
        <v>27</v>
      </c>
      <c r="P1060" s="0" t="n">
        <f aca="true">RAND()</f>
        <v>0.863799064178416</v>
      </c>
      <c r="Q1060" s="0" t="n">
        <f aca="true">RAND()</f>
        <v>0.0305593775978174</v>
      </c>
      <c r="R1060" s="0" t="n">
        <f aca="false">IF($I1060&lt;&gt;$O1060,0,IF(P1060&lt;Matchup!$B$39,7,IF(P1060&lt;Matchup!$B$39+Matchup!$B$40,3,0)))</f>
        <v>0</v>
      </c>
      <c r="S1060" s="0" t="n">
        <f aca="false">IF($I1060&lt;&gt;$O1060,0,IF(Q1060&lt;Matchup!$C$39,7,IF(Q1060&lt;Matchup!$C$39+Matchup!$C$40,3,0)))</f>
        <v>0</v>
      </c>
      <c r="T1060" s="0" t="n">
        <f aca="false">I1060+R1060</f>
        <v>24</v>
      </c>
      <c r="U1060" s="0" t="n">
        <f aca="false">O1060+S1060</f>
        <v>27</v>
      </c>
      <c r="V1060" s="0" t="n">
        <f aca="false">T1060-U1060</f>
        <v>-3</v>
      </c>
      <c r="W1060" s="0" t="n">
        <f aca="false">T1060+U1060</f>
        <v>51</v>
      </c>
    </row>
    <row r="1061" customFormat="false" ht="15" hidden="false" customHeight="false" outlineLevel="0" collapsed="false">
      <c r="A1061" s="0" t="n">
        <v>1058</v>
      </c>
      <c r="B1061" s="0" t="n">
        <f aca="true">NORMINV(RAND(),1,Coefficients!$B$22)</f>
        <v>1.06415099934423</v>
      </c>
      <c r="C1061" s="0" t="n">
        <f aca="true">MEDIAN(8,16,ROUND(NORMINV(RAND(),Coefficients!$B$20,Coefficients!$B$21),0))</f>
        <v>12</v>
      </c>
      <c r="D1061" s="0" t="n">
        <f aca="true">CRITBINOM($C1061,MIN(0.75,Matchup!$B$39*$B1061),RAND())</f>
        <v>2</v>
      </c>
      <c r="E1061" s="0" t="n">
        <f aca="true">CRITBINOM(D1061,Coefficients!$B$30,RAND())</f>
        <v>0</v>
      </c>
      <c r="F1061" s="0" t="n">
        <f aca="true">CRITBINOM(E1061,Coefficients!$B$31,RAND())</f>
        <v>0</v>
      </c>
      <c r="G1061" s="0" t="n">
        <f aca="true">CRITBINOM(MAX(0,D1061-E1061),1-Coefficients!$B$32,RAND())</f>
        <v>0</v>
      </c>
      <c r="H1061" s="0" t="n">
        <f aca="true">CRITBINOM(MAX(0,$C1061-D1061),MIN(0.6,Matchup!$B$40*SQRT($B1061)/(1-MIN(0.75,Matchup!$B$39*$B1061))),RAND())</f>
        <v>4</v>
      </c>
      <c r="I1061" s="0" t="n">
        <f aca="false">6*D1061+(D1061-E1061-G1061)+2*F1061+3*H1061</f>
        <v>26</v>
      </c>
      <c r="J1061" s="0" t="n">
        <f aca="true">CRITBINOM($C1061,MIN(0.75,Matchup!$C$39*$B1061),RAND())</f>
        <v>3</v>
      </c>
      <c r="K1061" s="0" t="n">
        <f aca="true">CRITBINOM(J1061,Coefficients!$B$30,RAND())</f>
        <v>0</v>
      </c>
      <c r="L1061" s="0" t="n">
        <f aca="true">CRITBINOM(K1061,Coefficients!$B$31,RAND())</f>
        <v>0</v>
      </c>
      <c r="M1061" s="0" t="n">
        <f aca="true">CRITBINOM(MAX(0,J1061-K1061),1-Coefficients!$B$32,RAND())</f>
        <v>1</v>
      </c>
      <c r="N1061" s="0" t="n">
        <f aca="true">CRITBINOM(MAX(0,$C1061-J1061),MIN(0.6,Matchup!$C$40*SQRT($B1061)/(1-MIN(0.75,Matchup!$C$39*$B1061))),RAND())</f>
        <v>1</v>
      </c>
      <c r="O1061" s="0" t="n">
        <f aca="false">6*J1061+(J1061-K1061-M1061)+2*L1061+3*N1061</f>
        <v>23</v>
      </c>
      <c r="P1061" s="0" t="n">
        <f aca="true">RAND()</f>
        <v>0.769362402893137</v>
      </c>
      <c r="Q1061" s="0" t="n">
        <f aca="true">RAND()</f>
        <v>0.335937732899677</v>
      </c>
      <c r="R1061" s="0" t="n">
        <f aca="false">IF($I1061&lt;&gt;$O1061,0,IF(P1061&lt;Matchup!$B$39,7,IF(P1061&lt;Matchup!$B$39+Matchup!$B$40,3,0)))</f>
        <v>0</v>
      </c>
      <c r="S1061" s="0" t="n">
        <f aca="false">IF($I1061&lt;&gt;$O1061,0,IF(Q1061&lt;Matchup!$C$39,7,IF(Q1061&lt;Matchup!$C$39+Matchup!$C$40,3,0)))</f>
        <v>0</v>
      </c>
      <c r="T1061" s="0" t="n">
        <f aca="false">I1061+R1061</f>
        <v>26</v>
      </c>
      <c r="U1061" s="0" t="n">
        <f aca="false">O1061+S1061</f>
        <v>23</v>
      </c>
      <c r="V1061" s="0" t="n">
        <f aca="false">T1061-U1061</f>
        <v>3</v>
      </c>
      <c r="W1061" s="0" t="n">
        <f aca="false">T1061+U1061</f>
        <v>49</v>
      </c>
    </row>
    <row r="1062" customFormat="false" ht="15" hidden="false" customHeight="false" outlineLevel="0" collapsed="false">
      <c r="A1062" s="0" t="n">
        <v>1059</v>
      </c>
      <c r="B1062" s="0" t="n">
        <f aca="true">NORMINV(RAND(),1,Coefficients!$B$22)</f>
        <v>0.87144944464117</v>
      </c>
      <c r="C1062" s="0" t="n">
        <f aca="true">MEDIAN(8,16,ROUND(NORMINV(RAND(),Coefficients!$B$20,Coefficients!$B$21),0))</f>
        <v>13</v>
      </c>
      <c r="D1062" s="0" t="n">
        <f aca="true">CRITBINOM($C1062,MIN(0.75,Matchup!$B$39*$B1062),RAND())</f>
        <v>4</v>
      </c>
      <c r="E1062" s="0" t="n">
        <f aca="true">CRITBINOM(D1062,Coefficients!$B$30,RAND())</f>
        <v>0</v>
      </c>
      <c r="F1062" s="0" t="n">
        <f aca="true">CRITBINOM(E1062,Coefficients!$B$31,RAND())</f>
        <v>0</v>
      </c>
      <c r="G1062" s="0" t="n">
        <f aca="true">CRITBINOM(MAX(0,D1062-E1062),1-Coefficients!$B$32,RAND())</f>
        <v>0</v>
      </c>
      <c r="H1062" s="0" t="n">
        <f aca="true">CRITBINOM(MAX(0,$C1062-D1062),MIN(0.6,Matchup!$B$40*SQRT($B1062)/(1-MIN(0.75,Matchup!$B$39*$B1062))),RAND())</f>
        <v>2</v>
      </c>
      <c r="I1062" s="0" t="n">
        <f aca="false">6*D1062+(D1062-E1062-G1062)+2*F1062+3*H1062</f>
        <v>34</v>
      </c>
      <c r="J1062" s="0" t="n">
        <f aca="true">CRITBINOM($C1062,MIN(0.75,Matchup!$C$39*$B1062),RAND())</f>
        <v>5</v>
      </c>
      <c r="K1062" s="0" t="n">
        <f aca="true">CRITBINOM(J1062,Coefficients!$B$30,RAND())</f>
        <v>0</v>
      </c>
      <c r="L1062" s="0" t="n">
        <f aca="true">CRITBINOM(K1062,Coefficients!$B$31,RAND())</f>
        <v>0</v>
      </c>
      <c r="M1062" s="0" t="n">
        <f aca="true">CRITBINOM(MAX(0,J1062-K1062),1-Coefficients!$B$32,RAND())</f>
        <v>1</v>
      </c>
      <c r="N1062" s="0" t="n">
        <f aca="true">CRITBINOM(MAX(0,$C1062-J1062),MIN(0.6,Matchup!$C$40*SQRT($B1062)/(1-MIN(0.75,Matchup!$C$39*$B1062))),RAND())</f>
        <v>1</v>
      </c>
      <c r="O1062" s="0" t="n">
        <f aca="false">6*J1062+(J1062-K1062-M1062)+2*L1062+3*N1062</f>
        <v>37</v>
      </c>
      <c r="P1062" s="0" t="n">
        <f aca="true">RAND()</f>
        <v>0.167003424209869</v>
      </c>
      <c r="Q1062" s="0" t="n">
        <f aca="true">RAND()</f>
        <v>0.975685496150272</v>
      </c>
      <c r="R1062" s="0" t="n">
        <f aca="false">IF($I1062&lt;&gt;$O1062,0,IF(P1062&lt;Matchup!$B$39,7,IF(P1062&lt;Matchup!$B$39+Matchup!$B$40,3,0)))</f>
        <v>0</v>
      </c>
      <c r="S1062" s="0" t="n">
        <f aca="false">IF($I1062&lt;&gt;$O1062,0,IF(Q1062&lt;Matchup!$C$39,7,IF(Q1062&lt;Matchup!$C$39+Matchup!$C$40,3,0)))</f>
        <v>0</v>
      </c>
      <c r="T1062" s="0" t="n">
        <f aca="false">I1062+R1062</f>
        <v>34</v>
      </c>
      <c r="U1062" s="0" t="n">
        <f aca="false">O1062+S1062</f>
        <v>37</v>
      </c>
      <c r="V1062" s="0" t="n">
        <f aca="false">T1062-U1062</f>
        <v>-3</v>
      </c>
      <c r="W1062" s="0" t="n">
        <f aca="false">T1062+U1062</f>
        <v>71</v>
      </c>
    </row>
    <row r="1063" customFormat="false" ht="15" hidden="false" customHeight="false" outlineLevel="0" collapsed="false">
      <c r="A1063" s="0" t="n">
        <v>1060</v>
      </c>
      <c r="B1063" s="0" t="n">
        <f aca="true">NORMINV(RAND(),1,Coefficients!$B$22)</f>
        <v>0.958269829183219</v>
      </c>
      <c r="C1063" s="0" t="n">
        <f aca="true">MEDIAN(8,16,ROUND(NORMINV(RAND(),Coefficients!$B$20,Coefficients!$B$21),0))</f>
        <v>11</v>
      </c>
      <c r="D1063" s="0" t="n">
        <f aca="true">CRITBINOM($C1063,MIN(0.75,Matchup!$B$39*$B1063),RAND())</f>
        <v>4</v>
      </c>
      <c r="E1063" s="0" t="n">
        <f aca="true">CRITBINOM(D1063,Coefficients!$B$30,RAND())</f>
        <v>0</v>
      </c>
      <c r="F1063" s="0" t="n">
        <f aca="true">CRITBINOM(E1063,Coefficients!$B$31,RAND())</f>
        <v>0</v>
      </c>
      <c r="G1063" s="0" t="n">
        <f aca="true">CRITBINOM(MAX(0,D1063-E1063),1-Coefficients!$B$32,RAND())</f>
        <v>0</v>
      </c>
      <c r="H1063" s="0" t="n">
        <f aca="true">CRITBINOM(MAX(0,$C1063-D1063),MIN(0.6,Matchup!$B$40*SQRT($B1063)/(1-MIN(0.75,Matchup!$B$39*$B1063))),RAND())</f>
        <v>2</v>
      </c>
      <c r="I1063" s="0" t="n">
        <f aca="false">6*D1063+(D1063-E1063-G1063)+2*F1063+3*H1063</f>
        <v>34</v>
      </c>
      <c r="J1063" s="0" t="n">
        <f aca="true">CRITBINOM($C1063,MIN(0.75,Matchup!$C$39*$B1063),RAND())</f>
        <v>3</v>
      </c>
      <c r="K1063" s="0" t="n">
        <f aca="true">CRITBINOM(J1063,Coefficients!$B$30,RAND())</f>
        <v>1</v>
      </c>
      <c r="L1063" s="0" t="n">
        <f aca="true">CRITBINOM(K1063,Coefficients!$B$31,RAND())</f>
        <v>1</v>
      </c>
      <c r="M1063" s="0" t="n">
        <f aca="true">CRITBINOM(MAX(0,J1063-K1063),1-Coefficients!$B$32,RAND())</f>
        <v>0</v>
      </c>
      <c r="N1063" s="0" t="n">
        <f aca="true">CRITBINOM(MAX(0,$C1063-J1063),MIN(0.6,Matchup!$C$40*SQRT($B1063)/(1-MIN(0.75,Matchup!$C$39*$B1063))),RAND())</f>
        <v>0</v>
      </c>
      <c r="O1063" s="0" t="n">
        <f aca="false">6*J1063+(J1063-K1063-M1063)+2*L1063+3*N1063</f>
        <v>22</v>
      </c>
      <c r="P1063" s="0" t="n">
        <f aca="true">RAND()</f>
        <v>0.744760495185591</v>
      </c>
      <c r="Q1063" s="0" t="n">
        <f aca="true">RAND()</f>
        <v>0.393999848984768</v>
      </c>
      <c r="R1063" s="0" t="n">
        <f aca="false">IF($I1063&lt;&gt;$O1063,0,IF(P1063&lt;Matchup!$B$39,7,IF(P1063&lt;Matchup!$B$39+Matchup!$B$40,3,0)))</f>
        <v>0</v>
      </c>
      <c r="S1063" s="0" t="n">
        <f aca="false">IF($I1063&lt;&gt;$O1063,0,IF(Q1063&lt;Matchup!$C$39,7,IF(Q1063&lt;Matchup!$C$39+Matchup!$C$40,3,0)))</f>
        <v>0</v>
      </c>
      <c r="T1063" s="0" t="n">
        <f aca="false">I1063+R1063</f>
        <v>34</v>
      </c>
      <c r="U1063" s="0" t="n">
        <f aca="false">O1063+S1063</f>
        <v>22</v>
      </c>
      <c r="V1063" s="0" t="n">
        <f aca="false">T1063-U1063</f>
        <v>12</v>
      </c>
      <c r="W1063" s="0" t="n">
        <f aca="false">T1063+U1063</f>
        <v>56</v>
      </c>
    </row>
    <row r="1064" customFormat="false" ht="15" hidden="false" customHeight="false" outlineLevel="0" collapsed="false">
      <c r="A1064" s="0" t="n">
        <v>1061</v>
      </c>
      <c r="B1064" s="0" t="n">
        <f aca="true">NORMINV(RAND(),1,Coefficients!$B$22)</f>
        <v>1.04292859515832</v>
      </c>
      <c r="C1064" s="0" t="n">
        <f aca="true">MEDIAN(8,16,ROUND(NORMINV(RAND(),Coefficients!$B$20,Coefficients!$B$21),0))</f>
        <v>11</v>
      </c>
      <c r="D1064" s="0" t="n">
        <f aca="true">CRITBINOM($C1064,MIN(0.75,Matchup!$B$39*$B1064),RAND())</f>
        <v>2</v>
      </c>
      <c r="E1064" s="0" t="n">
        <f aca="true">CRITBINOM(D1064,Coefficients!$B$30,RAND())</f>
        <v>0</v>
      </c>
      <c r="F1064" s="0" t="n">
        <f aca="true">CRITBINOM(E1064,Coefficients!$B$31,RAND())</f>
        <v>0</v>
      </c>
      <c r="G1064" s="0" t="n">
        <f aca="true">CRITBINOM(MAX(0,D1064-E1064),1-Coefficients!$B$32,RAND())</f>
        <v>0</v>
      </c>
      <c r="H1064" s="0" t="n">
        <f aca="true">CRITBINOM(MAX(0,$C1064-D1064),MIN(0.6,Matchup!$B$40*SQRT($B1064)/(1-MIN(0.75,Matchup!$B$39*$B1064))),RAND())</f>
        <v>4</v>
      </c>
      <c r="I1064" s="0" t="n">
        <f aca="false">6*D1064+(D1064-E1064-G1064)+2*F1064+3*H1064</f>
        <v>26</v>
      </c>
      <c r="J1064" s="0" t="n">
        <f aca="true">CRITBINOM($C1064,MIN(0.75,Matchup!$C$39*$B1064),RAND())</f>
        <v>3</v>
      </c>
      <c r="K1064" s="0" t="n">
        <f aca="true">CRITBINOM(J1064,Coefficients!$B$30,RAND())</f>
        <v>0</v>
      </c>
      <c r="L1064" s="0" t="n">
        <f aca="true">CRITBINOM(K1064,Coefficients!$B$31,RAND())</f>
        <v>0</v>
      </c>
      <c r="M1064" s="0" t="n">
        <f aca="true">CRITBINOM(MAX(0,J1064-K1064),1-Coefficients!$B$32,RAND())</f>
        <v>0</v>
      </c>
      <c r="N1064" s="0" t="n">
        <f aca="true">CRITBINOM(MAX(0,$C1064-J1064),MIN(0.6,Matchup!$C$40*SQRT($B1064)/(1-MIN(0.75,Matchup!$C$39*$B1064))),RAND())</f>
        <v>2</v>
      </c>
      <c r="O1064" s="0" t="n">
        <f aca="false">6*J1064+(J1064-K1064-M1064)+2*L1064+3*N1064</f>
        <v>27</v>
      </c>
      <c r="P1064" s="0" t="n">
        <f aca="true">RAND()</f>
        <v>0.553140491093918</v>
      </c>
      <c r="Q1064" s="0" t="n">
        <f aca="true">RAND()</f>
        <v>0.615887441700674</v>
      </c>
      <c r="R1064" s="0" t="n">
        <f aca="false">IF($I1064&lt;&gt;$O1064,0,IF(P1064&lt;Matchup!$B$39,7,IF(P1064&lt;Matchup!$B$39+Matchup!$B$40,3,0)))</f>
        <v>0</v>
      </c>
      <c r="S1064" s="0" t="n">
        <f aca="false">IF($I1064&lt;&gt;$O1064,0,IF(Q1064&lt;Matchup!$C$39,7,IF(Q1064&lt;Matchup!$C$39+Matchup!$C$40,3,0)))</f>
        <v>0</v>
      </c>
      <c r="T1064" s="0" t="n">
        <f aca="false">I1064+R1064</f>
        <v>26</v>
      </c>
      <c r="U1064" s="0" t="n">
        <f aca="false">O1064+S1064</f>
        <v>27</v>
      </c>
      <c r="V1064" s="0" t="n">
        <f aca="false">T1064-U1064</f>
        <v>-1</v>
      </c>
      <c r="W1064" s="0" t="n">
        <f aca="false">T1064+U1064</f>
        <v>53</v>
      </c>
    </row>
    <row r="1065" customFormat="false" ht="15" hidden="false" customHeight="false" outlineLevel="0" collapsed="false">
      <c r="A1065" s="0" t="n">
        <v>1062</v>
      </c>
      <c r="B1065" s="0" t="n">
        <f aca="true">NORMINV(RAND(),1,Coefficients!$B$22)</f>
        <v>1.02735440852174</v>
      </c>
      <c r="C1065" s="0" t="n">
        <f aca="true">MEDIAN(8,16,ROUND(NORMINV(RAND(),Coefficients!$B$20,Coefficients!$B$21),0))</f>
        <v>12</v>
      </c>
      <c r="D1065" s="0" t="n">
        <f aca="true">CRITBINOM($C1065,MIN(0.75,Matchup!$B$39*$B1065),RAND())</f>
        <v>6</v>
      </c>
      <c r="E1065" s="0" t="n">
        <f aca="true">CRITBINOM(D1065,Coefficients!$B$30,RAND())</f>
        <v>0</v>
      </c>
      <c r="F1065" s="0" t="n">
        <f aca="true">CRITBINOM(E1065,Coefficients!$B$31,RAND())</f>
        <v>0</v>
      </c>
      <c r="G1065" s="0" t="n">
        <f aca="true">CRITBINOM(MAX(0,D1065-E1065),1-Coefficients!$B$32,RAND())</f>
        <v>0</v>
      </c>
      <c r="H1065" s="0" t="n">
        <f aca="true">CRITBINOM(MAX(0,$C1065-D1065),MIN(0.6,Matchup!$B$40*SQRT($B1065)/(1-MIN(0.75,Matchup!$B$39*$B1065))),RAND())</f>
        <v>1</v>
      </c>
      <c r="I1065" s="0" t="n">
        <f aca="false">6*D1065+(D1065-E1065-G1065)+2*F1065+3*H1065</f>
        <v>45</v>
      </c>
      <c r="J1065" s="0" t="n">
        <f aca="true">CRITBINOM($C1065,MIN(0.75,Matchup!$C$39*$B1065),RAND())</f>
        <v>2</v>
      </c>
      <c r="K1065" s="0" t="n">
        <f aca="true">CRITBINOM(J1065,Coefficients!$B$30,RAND())</f>
        <v>0</v>
      </c>
      <c r="L1065" s="0" t="n">
        <f aca="true">CRITBINOM(K1065,Coefficients!$B$31,RAND())</f>
        <v>0</v>
      </c>
      <c r="M1065" s="0" t="n">
        <f aca="true">CRITBINOM(MAX(0,J1065-K1065),1-Coefficients!$B$32,RAND())</f>
        <v>0</v>
      </c>
      <c r="N1065" s="0" t="n">
        <f aca="true">CRITBINOM(MAX(0,$C1065-J1065),MIN(0.6,Matchup!$C$40*SQRT($B1065)/(1-MIN(0.75,Matchup!$C$39*$B1065))),RAND())</f>
        <v>2</v>
      </c>
      <c r="O1065" s="0" t="n">
        <f aca="false">6*J1065+(J1065-K1065-M1065)+2*L1065+3*N1065</f>
        <v>20</v>
      </c>
      <c r="P1065" s="0" t="n">
        <f aca="true">RAND()</f>
        <v>0.00137934342098448</v>
      </c>
      <c r="Q1065" s="0" t="n">
        <f aca="true">RAND()</f>
        <v>0.612575664700893</v>
      </c>
      <c r="R1065" s="0" t="n">
        <f aca="false">IF($I1065&lt;&gt;$O1065,0,IF(P1065&lt;Matchup!$B$39,7,IF(P1065&lt;Matchup!$B$39+Matchup!$B$40,3,0)))</f>
        <v>0</v>
      </c>
      <c r="S1065" s="0" t="n">
        <f aca="false">IF($I1065&lt;&gt;$O1065,0,IF(Q1065&lt;Matchup!$C$39,7,IF(Q1065&lt;Matchup!$C$39+Matchup!$C$40,3,0)))</f>
        <v>0</v>
      </c>
      <c r="T1065" s="0" t="n">
        <f aca="false">I1065+R1065</f>
        <v>45</v>
      </c>
      <c r="U1065" s="0" t="n">
        <f aca="false">O1065+S1065</f>
        <v>20</v>
      </c>
      <c r="V1065" s="0" t="n">
        <f aca="false">T1065-U1065</f>
        <v>25</v>
      </c>
      <c r="W1065" s="0" t="n">
        <f aca="false">T1065+U1065</f>
        <v>65</v>
      </c>
    </row>
    <row r="1066" customFormat="false" ht="15" hidden="false" customHeight="false" outlineLevel="0" collapsed="false">
      <c r="A1066" s="0" t="n">
        <v>1063</v>
      </c>
      <c r="B1066" s="0" t="n">
        <f aca="true">NORMINV(RAND(),1,Coefficients!$B$22)</f>
        <v>0.932002341165121</v>
      </c>
      <c r="C1066" s="0" t="n">
        <f aca="true">MEDIAN(8,16,ROUND(NORMINV(RAND(),Coefficients!$B$20,Coefficients!$B$21),0))</f>
        <v>12</v>
      </c>
      <c r="D1066" s="0" t="n">
        <f aca="true">CRITBINOM($C1066,MIN(0.75,Matchup!$B$39*$B1066),RAND())</f>
        <v>3</v>
      </c>
      <c r="E1066" s="0" t="n">
        <f aca="true">CRITBINOM(D1066,Coefficients!$B$30,RAND())</f>
        <v>0</v>
      </c>
      <c r="F1066" s="0" t="n">
        <f aca="true">CRITBINOM(E1066,Coefficients!$B$31,RAND())</f>
        <v>0</v>
      </c>
      <c r="G1066" s="0" t="n">
        <f aca="true">CRITBINOM(MAX(0,D1066-E1066),1-Coefficients!$B$32,RAND())</f>
        <v>0</v>
      </c>
      <c r="H1066" s="0" t="n">
        <f aca="true">CRITBINOM(MAX(0,$C1066-D1066),MIN(0.6,Matchup!$B$40*SQRT($B1066)/(1-MIN(0.75,Matchup!$B$39*$B1066))),RAND())</f>
        <v>2</v>
      </c>
      <c r="I1066" s="0" t="n">
        <f aca="false">6*D1066+(D1066-E1066-G1066)+2*F1066+3*H1066</f>
        <v>27</v>
      </c>
      <c r="J1066" s="0" t="n">
        <f aca="true">CRITBINOM($C1066,MIN(0.75,Matchup!$C$39*$B1066),RAND())</f>
        <v>4</v>
      </c>
      <c r="K1066" s="0" t="n">
        <f aca="true">CRITBINOM(J1066,Coefficients!$B$30,RAND())</f>
        <v>0</v>
      </c>
      <c r="L1066" s="0" t="n">
        <f aca="true">CRITBINOM(K1066,Coefficients!$B$31,RAND())</f>
        <v>0</v>
      </c>
      <c r="M1066" s="0" t="n">
        <f aca="true">CRITBINOM(MAX(0,J1066-K1066),1-Coefficients!$B$32,RAND())</f>
        <v>0</v>
      </c>
      <c r="N1066" s="0" t="n">
        <f aca="true">CRITBINOM(MAX(0,$C1066-J1066),MIN(0.6,Matchup!$C$40*SQRT($B1066)/(1-MIN(0.75,Matchup!$C$39*$B1066))),RAND())</f>
        <v>3</v>
      </c>
      <c r="O1066" s="0" t="n">
        <f aca="false">6*J1066+(J1066-K1066-M1066)+2*L1066+3*N1066</f>
        <v>37</v>
      </c>
      <c r="P1066" s="0" t="n">
        <f aca="true">RAND()</f>
        <v>0.295173416400561</v>
      </c>
      <c r="Q1066" s="0" t="n">
        <f aca="true">RAND()</f>
        <v>0.0450104653339984</v>
      </c>
      <c r="R1066" s="0" t="n">
        <f aca="false">IF($I1066&lt;&gt;$O1066,0,IF(P1066&lt;Matchup!$B$39,7,IF(P1066&lt;Matchup!$B$39+Matchup!$B$40,3,0)))</f>
        <v>0</v>
      </c>
      <c r="S1066" s="0" t="n">
        <f aca="false">IF($I1066&lt;&gt;$O1066,0,IF(Q1066&lt;Matchup!$C$39,7,IF(Q1066&lt;Matchup!$C$39+Matchup!$C$40,3,0)))</f>
        <v>0</v>
      </c>
      <c r="T1066" s="0" t="n">
        <f aca="false">I1066+R1066</f>
        <v>27</v>
      </c>
      <c r="U1066" s="0" t="n">
        <f aca="false">O1066+S1066</f>
        <v>37</v>
      </c>
      <c r="V1066" s="0" t="n">
        <f aca="false">T1066-U1066</f>
        <v>-10</v>
      </c>
      <c r="W1066" s="0" t="n">
        <f aca="false">T1066+U1066</f>
        <v>64</v>
      </c>
    </row>
    <row r="1067" customFormat="false" ht="15" hidden="false" customHeight="false" outlineLevel="0" collapsed="false">
      <c r="A1067" s="0" t="n">
        <v>1064</v>
      </c>
      <c r="B1067" s="0" t="n">
        <f aca="true">NORMINV(RAND(),1,Coefficients!$B$22)</f>
        <v>0.977322586474456</v>
      </c>
      <c r="C1067" s="0" t="n">
        <f aca="true">MEDIAN(8,16,ROUND(NORMINV(RAND(),Coefficients!$B$20,Coefficients!$B$21),0))</f>
        <v>12</v>
      </c>
      <c r="D1067" s="0" t="n">
        <f aca="true">CRITBINOM($C1067,MIN(0.75,Matchup!$B$39*$B1067),RAND())</f>
        <v>3</v>
      </c>
      <c r="E1067" s="0" t="n">
        <f aca="true">CRITBINOM(D1067,Coefficients!$B$30,RAND())</f>
        <v>0</v>
      </c>
      <c r="F1067" s="0" t="n">
        <f aca="true">CRITBINOM(E1067,Coefficients!$B$31,RAND())</f>
        <v>0</v>
      </c>
      <c r="G1067" s="0" t="n">
        <f aca="true">CRITBINOM(MAX(0,D1067-E1067),1-Coefficients!$B$32,RAND())</f>
        <v>0</v>
      </c>
      <c r="H1067" s="0" t="n">
        <f aca="true">CRITBINOM(MAX(0,$C1067-D1067),MIN(0.6,Matchup!$B$40*SQRT($B1067)/(1-MIN(0.75,Matchup!$B$39*$B1067))),RAND())</f>
        <v>1</v>
      </c>
      <c r="I1067" s="0" t="n">
        <f aca="false">6*D1067+(D1067-E1067-G1067)+2*F1067+3*H1067</f>
        <v>24</v>
      </c>
      <c r="J1067" s="0" t="n">
        <f aca="true">CRITBINOM($C1067,MIN(0.75,Matchup!$C$39*$B1067),RAND())</f>
        <v>3</v>
      </c>
      <c r="K1067" s="0" t="n">
        <f aca="true">CRITBINOM(J1067,Coefficients!$B$30,RAND())</f>
        <v>0</v>
      </c>
      <c r="L1067" s="0" t="n">
        <f aca="true">CRITBINOM(K1067,Coefficients!$B$31,RAND())</f>
        <v>0</v>
      </c>
      <c r="M1067" s="0" t="n">
        <f aca="true">CRITBINOM(MAX(0,J1067-K1067),1-Coefficients!$B$32,RAND())</f>
        <v>0</v>
      </c>
      <c r="N1067" s="0" t="n">
        <f aca="true">CRITBINOM(MAX(0,$C1067-J1067),MIN(0.6,Matchup!$C$40*SQRT($B1067)/(1-MIN(0.75,Matchup!$C$39*$B1067))),RAND())</f>
        <v>2</v>
      </c>
      <c r="O1067" s="0" t="n">
        <f aca="false">6*J1067+(J1067-K1067-M1067)+2*L1067+3*N1067</f>
        <v>27</v>
      </c>
      <c r="P1067" s="0" t="n">
        <f aca="true">RAND()</f>
        <v>0.929205032403327</v>
      </c>
      <c r="Q1067" s="0" t="n">
        <f aca="true">RAND()</f>
        <v>0.245570157560148</v>
      </c>
      <c r="R1067" s="0" t="n">
        <f aca="false">IF($I1067&lt;&gt;$O1067,0,IF(P1067&lt;Matchup!$B$39,7,IF(P1067&lt;Matchup!$B$39+Matchup!$B$40,3,0)))</f>
        <v>0</v>
      </c>
      <c r="S1067" s="0" t="n">
        <f aca="false">IF($I1067&lt;&gt;$O1067,0,IF(Q1067&lt;Matchup!$C$39,7,IF(Q1067&lt;Matchup!$C$39+Matchup!$C$40,3,0)))</f>
        <v>0</v>
      </c>
      <c r="T1067" s="0" t="n">
        <f aca="false">I1067+R1067</f>
        <v>24</v>
      </c>
      <c r="U1067" s="0" t="n">
        <f aca="false">O1067+S1067</f>
        <v>27</v>
      </c>
      <c r="V1067" s="0" t="n">
        <f aca="false">T1067-U1067</f>
        <v>-3</v>
      </c>
      <c r="W1067" s="0" t="n">
        <f aca="false">T1067+U1067</f>
        <v>51</v>
      </c>
    </row>
    <row r="1068" customFormat="false" ht="15" hidden="false" customHeight="false" outlineLevel="0" collapsed="false">
      <c r="A1068" s="0" t="n">
        <v>1065</v>
      </c>
      <c r="B1068" s="0" t="n">
        <f aca="true">NORMINV(RAND(),1,Coefficients!$B$22)</f>
        <v>1.00350844101633</v>
      </c>
      <c r="C1068" s="0" t="n">
        <f aca="true">MEDIAN(8,16,ROUND(NORMINV(RAND(),Coefficients!$B$20,Coefficients!$B$21),0))</f>
        <v>12</v>
      </c>
      <c r="D1068" s="0" t="n">
        <f aca="true">CRITBINOM($C1068,MIN(0.75,Matchup!$B$39*$B1068),RAND())</f>
        <v>2</v>
      </c>
      <c r="E1068" s="0" t="n">
        <f aca="true">CRITBINOM(D1068,Coefficients!$B$30,RAND())</f>
        <v>0</v>
      </c>
      <c r="F1068" s="0" t="n">
        <f aca="true">CRITBINOM(E1068,Coefficients!$B$31,RAND())</f>
        <v>0</v>
      </c>
      <c r="G1068" s="0" t="n">
        <f aca="true">CRITBINOM(MAX(0,D1068-E1068),1-Coefficients!$B$32,RAND())</f>
        <v>0</v>
      </c>
      <c r="H1068" s="0" t="n">
        <f aca="true">CRITBINOM(MAX(0,$C1068-D1068),MIN(0.6,Matchup!$B$40*SQRT($B1068)/(1-MIN(0.75,Matchup!$B$39*$B1068))),RAND())</f>
        <v>0</v>
      </c>
      <c r="I1068" s="0" t="n">
        <f aca="false">6*D1068+(D1068-E1068-G1068)+2*F1068+3*H1068</f>
        <v>14</v>
      </c>
      <c r="J1068" s="0" t="n">
        <f aca="true">CRITBINOM($C1068,MIN(0.75,Matchup!$C$39*$B1068),RAND())</f>
        <v>2</v>
      </c>
      <c r="K1068" s="0" t="n">
        <f aca="true">CRITBINOM(J1068,Coefficients!$B$30,RAND())</f>
        <v>0</v>
      </c>
      <c r="L1068" s="0" t="n">
        <f aca="true">CRITBINOM(K1068,Coefficients!$B$31,RAND())</f>
        <v>0</v>
      </c>
      <c r="M1068" s="0" t="n">
        <f aca="true">CRITBINOM(MAX(0,J1068-K1068),1-Coefficients!$B$32,RAND())</f>
        <v>0</v>
      </c>
      <c r="N1068" s="0" t="n">
        <f aca="true">CRITBINOM(MAX(0,$C1068-J1068),MIN(0.6,Matchup!$C$40*SQRT($B1068)/(1-MIN(0.75,Matchup!$C$39*$B1068))),RAND())</f>
        <v>1</v>
      </c>
      <c r="O1068" s="0" t="n">
        <f aca="false">6*J1068+(J1068-K1068-M1068)+2*L1068+3*N1068</f>
        <v>17</v>
      </c>
      <c r="P1068" s="0" t="n">
        <f aca="true">RAND()</f>
        <v>0.204315834510454</v>
      </c>
      <c r="Q1068" s="0" t="n">
        <f aca="true">RAND()</f>
        <v>0.177025742510508</v>
      </c>
      <c r="R1068" s="0" t="n">
        <f aca="false">IF($I1068&lt;&gt;$O1068,0,IF(P1068&lt;Matchup!$B$39,7,IF(P1068&lt;Matchup!$B$39+Matchup!$B$40,3,0)))</f>
        <v>0</v>
      </c>
      <c r="S1068" s="0" t="n">
        <f aca="false">IF($I1068&lt;&gt;$O1068,0,IF(Q1068&lt;Matchup!$C$39,7,IF(Q1068&lt;Matchup!$C$39+Matchup!$C$40,3,0)))</f>
        <v>0</v>
      </c>
      <c r="T1068" s="0" t="n">
        <f aca="false">I1068+R1068</f>
        <v>14</v>
      </c>
      <c r="U1068" s="0" t="n">
        <f aca="false">O1068+S1068</f>
        <v>17</v>
      </c>
      <c r="V1068" s="0" t="n">
        <f aca="false">T1068-U1068</f>
        <v>-3</v>
      </c>
      <c r="W1068" s="0" t="n">
        <f aca="false">T1068+U1068</f>
        <v>31</v>
      </c>
    </row>
    <row r="1069" customFormat="false" ht="15" hidden="false" customHeight="false" outlineLevel="0" collapsed="false">
      <c r="A1069" s="0" t="n">
        <v>1066</v>
      </c>
      <c r="B1069" s="0" t="n">
        <f aca="true">NORMINV(RAND(),1,Coefficients!$B$22)</f>
        <v>0.999736787001418</v>
      </c>
      <c r="C1069" s="0" t="n">
        <f aca="true">MEDIAN(8,16,ROUND(NORMINV(RAND(),Coefficients!$B$20,Coefficients!$B$21),0))</f>
        <v>10</v>
      </c>
      <c r="D1069" s="0" t="n">
        <f aca="true">CRITBINOM($C1069,MIN(0.75,Matchup!$B$39*$B1069),RAND())</f>
        <v>5</v>
      </c>
      <c r="E1069" s="0" t="n">
        <f aca="true">CRITBINOM(D1069,Coefficients!$B$30,RAND())</f>
        <v>0</v>
      </c>
      <c r="F1069" s="0" t="n">
        <f aca="true">CRITBINOM(E1069,Coefficients!$B$31,RAND())</f>
        <v>0</v>
      </c>
      <c r="G1069" s="0" t="n">
        <f aca="true">CRITBINOM(MAX(0,D1069-E1069),1-Coefficients!$B$32,RAND())</f>
        <v>0</v>
      </c>
      <c r="H1069" s="0" t="n">
        <f aca="true">CRITBINOM(MAX(0,$C1069-D1069),MIN(0.6,Matchup!$B$40*SQRT($B1069)/(1-MIN(0.75,Matchup!$B$39*$B1069))),RAND())</f>
        <v>2</v>
      </c>
      <c r="I1069" s="0" t="n">
        <f aca="false">6*D1069+(D1069-E1069-G1069)+2*F1069+3*H1069</f>
        <v>41</v>
      </c>
      <c r="J1069" s="0" t="n">
        <f aca="true">CRITBINOM($C1069,MIN(0.75,Matchup!$C$39*$B1069),RAND())</f>
        <v>1</v>
      </c>
      <c r="K1069" s="0" t="n">
        <f aca="true">CRITBINOM(J1069,Coefficients!$B$30,RAND())</f>
        <v>0</v>
      </c>
      <c r="L1069" s="0" t="n">
        <f aca="true">CRITBINOM(K1069,Coefficients!$B$31,RAND())</f>
        <v>0</v>
      </c>
      <c r="M1069" s="0" t="n">
        <f aca="true">CRITBINOM(MAX(0,J1069-K1069),1-Coefficients!$B$32,RAND())</f>
        <v>1</v>
      </c>
      <c r="N1069" s="0" t="n">
        <f aca="true">CRITBINOM(MAX(0,$C1069-J1069),MIN(0.6,Matchup!$C$40*SQRT($B1069)/(1-MIN(0.75,Matchup!$C$39*$B1069))),RAND())</f>
        <v>3</v>
      </c>
      <c r="O1069" s="0" t="n">
        <f aca="false">6*J1069+(J1069-K1069-M1069)+2*L1069+3*N1069</f>
        <v>15</v>
      </c>
      <c r="P1069" s="0" t="n">
        <f aca="true">RAND()</f>
        <v>0.371786233116471</v>
      </c>
      <c r="Q1069" s="0" t="n">
        <f aca="true">RAND()</f>
        <v>0.715473247896012</v>
      </c>
      <c r="R1069" s="0" t="n">
        <f aca="false">IF($I1069&lt;&gt;$O1069,0,IF(P1069&lt;Matchup!$B$39,7,IF(P1069&lt;Matchup!$B$39+Matchup!$B$40,3,0)))</f>
        <v>0</v>
      </c>
      <c r="S1069" s="0" t="n">
        <f aca="false">IF($I1069&lt;&gt;$O1069,0,IF(Q1069&lt;Matchup!$C$39,7,IF(Q1069&lt;Matchup!$C$39+Matchup!$C$40,3,0)))</f>
        <v>0</v>
      </c>
      <c r="T1069" s="0" t="n">
        <f aca="false">I1069+R1069</f>
        <v>41</v>
      </c>
      <c r="U1069" s="0" t="n">
        <f aca="false">O1069+S1069</f>
        <v>15</v>
      </c>
      <c r="V1069" s="0" t="n">
        <f aca="false">T1069-U1069</f>
        <v>26</v>
      </c>
      <c r="W1069" s="0" t="n">
        <f aca="false">T1069+U1069</f>
        <v>56</v>
      </c>
    </row>
    <row r="1070" customFormat="false" ht="15" hidden="false" customHeight="false" outlineLevel="0" collapsed="false">
      <c r="A1070" s="0" t="n">
        <v>1067</v>
      </c>
      <c r="B1070" s="0" t="n">
        <f aca="true">NORMINV(RAND(),1,Coefficients!$B$22)</f>
        <v>1.05135847774895</v>
      </c>
      <c r="C1070" s="0" t="n">
        <f aca="true">MEDIAN(8,16,ROUND(NORMINV(RAND(),Coefficients!$B$20,Coefficients!$B$21),0))</f>
        <v>12</v>
      </c>
      <c r="D1070" s="0" t="n">
        <f aca="true">CRITBINOM($C1070,MIN(0.75,Matchup!$B$39*$B1070),RAND())</f>
        <v>3</v>
      </c>
      <c r="E1070" s="0" t="n">
        <f aca="true">CRITBINOM(D1070,Coefficients!$B$30,RAND())</f>
        <v>2</v>
      </c>
      <c r="F1070" s="0" t="n">
        <f aca="true">CRITBINOM(E1070,Coefficients!$B$31,RAND())</f>
        <v>2</v>
      </c>
      <c r="G1070" s="0" t="n">
        <f aca="true">CRITBINOM(MAX(0,D1070-E1070),1-Coefficients!$B$32,RAND())</f>
        <v>0</v>
      </c>
      <c r="H1070" s="0" t="n">
        <f aca="true">CRITBINOM(MAX(0,$C1070-D1070),MIN(0.6,Matchup!$B$40*SQRT($B1070)/(1-MIN(0.75,Matchup!$B$39*$B1070))),RAND())</f>
        <v>1</v>
      </c>
      <c r="I1070" s="0" t="n">
        <f aca="false">6*D1070+(D1070-E1070-G1070)+2*F1070+3*H1070</f>
        <v>26</v>
      </c>
      <c r="J1070" s="0" t="n">
        <f aca="true">CRITBINOM($C1070,MIN(0.75,Matchup!$C$39*$B1070),RAND())</f>
        <v>1</v>
      </c>
      <c r="K1070" s="0" t="n">
        <f aca="true">CRITBINOM(J1070,Coefficients!$B$30,RAND())</f>
        <v>0</v>
      </c>
      <c r="L1070" s="0" t="n">
        <f aca="true">CRITBINOM(K1070,Coefficients!$B$31,RAND())</f>
        <v>0</v>
      </c>
      <c r="M1070" s="0" t="n">
        <f aca="true">CRITBINOM(MAX(0,J1070-K1070),1-Coefficients!$B$32,RAND())</f>
        <v>0</v>
      </c>
      <c r="N1070" s="0" t="n">
        <f aca="true">CRITBINOM(MAX(0,$C1070-J1070),MIN(0.6,Matchup!$C$40*SQRT($B1070)/(1-MIN(0.75,Matchup!$C$39*$B1070))),RAND())</f>
        <v>1</v>
      </c>
      <c r="O1070" s="0" t="n">
        <f aca="false">6*J1070+(J1070-K1070-M1070)+2*L1070+3*N1070</f>
        <v>10</v>
      </c>
      <c r="P1070" s="0" t="n">
        <f aca="true">RAND()</f>
        <v>0.391914377539046</v>
      </c>
      <c r="Q1070" s="0" t="n">
        <f aca="true">RAND()</f>
        <v>0.310198786054949</v>
      </c>
      <c r="R1070" s="0" t="n">
        <f aca="false">IF($I1070&lt;&gt;$O1070,0,IF(P1070&lt;Matchup!$B$39,7,IF(P1070&lt;Matchup!$B$39+Matchup!$B$40,3,0)))</f>
        <v>0</v>
      </c>
      <c r="S1070" s="0" t="n">
        <f aca="false">IF($I1070&lt;&gt;$O1070,0,IF(Q1070&lt;Matchup!$C$39,7,IF(Q1070&lt;Matchup!$C$39+Matchup!$C$40,3,0)))</f>
        <v>0</v>
      </c>
      <c r="T1070" s="0" t="n">
        <f aca="false">I1070+R1070</f>
        <v>26</v>
      </c>
      <c r="U1070" s="0" t="n">
        <f aca="false">O1070+S1070</f>
        <v>10</v>
      </c>
      <c r="V1070" s="0" t="n">
        <f aca="false">T1070-U1070</f>
        <v>16</v>
      </c>
      <c r="W1070" s="0" t="n">
        <f aca="false">T1070+U1070</f>
        <v>36</v>
      </c>
    </row>
    <row r="1071" customFormat="false" ht="15" hidden="false" customHeight="false" outlineLevel="0" collapsed="false">
      <c r="A1071" s="0" t="n">
        <v>1068</v>
      </c>
      <c r="B1071" s="0" t="n">
        <f aca="true">NORMINV(RAND(),1,Coefficients!$B$22)</f>
        <v>0.903471119823892</v>
      </c>
      <c r="C1071" s="0" t="n">
        <f aca="true">MEDIAN(8,16,ROUND(NORMINV(RAND(),Coefficients!$B$20,Coefficients!$B$21),0))</f>
        <v>12</v>
      </c>
      <c r="D1071" s="0" t="n">
        <f aca="true">CRITBINOM($C1071,MIN(0.75,Matchup!$B$39*$B1071),RAND())</f>
        <v>1</v>
      </c>
      <c r="E1071" s="0" t="n">
        <f aca="true">CRITBINOM(D1071,Coefficients!$B$30,RAND())</f>
        <v>0</v>
      </c>
      <c r="F1071" s="0" t="n">
        <f aca="true">CRITBINOM(E1071,Coefficients!$B$31,RAND())</f>
        <v>0</v>
      </c>
      <c r="G1071" s="0" t="n">
        <f aca="true">CRITBINOM(MAX(0,D1071-E1071),1-Coefficients!$B$32,RAND())</f>
        <v>0</v>
      </c>
      <c r="H1071" s="0" t="n">
        <f aca="true">CRITBINOM(MAX(0,$C1071-D1071),MIN(0.6,Matchup!$B$40*SQRT($B1071)/(1-MIN(0.75,Matchup!$B$39*$B1071))),RAND())</f>
        <v>1</v>
      </c>
      <c r="I1071" s="0" t="n">
        <f aca="false">6*D1071+(D1071-E1071-G1071)+2*F1071+3*H1071</f>
        <v>10</v>
      </c>
      <c r="J1071" s="0" t="n">
        <f aca="true">CRITBINOM($C1071,MIN(0.75,Matchup!$C$39*$B1071),RAND())</f>
        <v>1</v>
      </c>
      <c r="K1071" s="0" t="n">
        <f aca="true">CRITBINOM(J1071,Coefficients!$B$30,RAND())</f>
        <v>0</v>
      </c>
      <c r="L1071" s="0" t="n">
        <f aca="true">CRITBINOM(K1071,Coefficients!$B$31,RAND())</f>
        <v>0</v>
      </c>
      <c r="M1071" s="0" t="n">
        <f aca="true">CRITBINOM(MAX(0,J1071-K1071),1-Coefficients!$B$32,RAND())</f>
        <v>0</v>
      </c>
      <c r="N1071" s="0" t="n">
        <f aca="true">CRITBINOM(MAX(0,$C1071-J1071),MIN(0.6,Matchup!$C$40*SQRT($B1071)/(1-MIN(0.75,Matchup!$C$39*$B1071))),RAND())</f>
        <v>3</v>
      </c>
      <c r="O1071" s="0" t="n">
        <f aca="false">6*J1071+(J1071-K1071-M1071)+2*L1071+3*N1071</f>
        <v>16</v>
      </c>
      <c r="P1071" s="0" t="n">
        <f aca="true">RAND()</f>
        <v>0.0800343373485858</v>
      </c>
      <c r="Q1071" s="0" t="n">
        <f aca="true">RAND()</f>
        <v>0.0179530440229403</v>
      </c>
      <c r="R1071" s="0" t="n">
        <f aca="false">IF($I1071&lt;&gt;$O1071,0,IF(P1071&lt;Matchup!$B$39,7,IF(P1071&lt;Matchup!$B$39+Matchup!$B$40,3,0)))</f>
        <v>0</v>
      </c>
      <c r="S1071" s="0" t="n">
        <f aca="false">IF($I1071&lt;&gt;$O1071,0,IF(Q1071&lt;Matchup!$C$39,7,IF(Q1071&lt;Matchup!$C$39+Matchup!$C$40,3,0)))</f>
        <v>0</v>
      </c>
      <c r="T1071" s="0" t="n">
        <f aca="false">I1071+R1071</f>
        <v>10</v>
      </c>
      <c r="U1071" s="0" t="n">
        <f aca="false">O1071+S1071</f>
        <v>16</v>
      </c>
      <c r="V1071" s="0" t="n">
        <f aca="false">T1071-U1071</f>
        <v>-6</v>
      </c>
      <c r="W1071" s="0" t="n">
        <f aca="false">T1071+U1071</f>
        <v>26</v>
      </c>
    </row>
    <row r="1072" customFormat="false" ht="15" hidden="false" customHeight="false" outlineLevel="0" collapsed="false">
      <c r="A1072" s="0" t="n">
        <v>1069</v>
      </c>
      <c r="B1072" s="0" t="n">
        <f aca="true">NORMINV(RAND(),1,Coefficients!$B$22)</f>
        <v>0.996560556639753</v>
      </c>
      <c r="C1072" s="0" t="n">
        <f aca="true">MEDIAN(8,16,ROUND(NORMINV(RAND(),Coefficients!$B$20,Coefficients!$B$21),0))</f>
        <v>12</v>
      </c>
      <c r="D1072" s="0" t="n">
        <f aca="true">CRITBINOM($C1072,MIN(0.75,Matchup!$B$39*$B1072),RAND())</f>
        <v>2</v>
      </c>
      <c r="E1072" s="0" t="n">
        <f aca="true">CRITBINOM(D1072,Coefficients!$B$30,RAND())</f>
        <v>1</v>
      </c>
      <c r="F1072" s="0" t="n">
        <f aca="true">CRITBINOM(E1072,Coefficients!$B$31,RAND())</f>
        <v>0</v>
      </c>
      <c r="G1072" s="0" t="n">
        <f aca="true">CRITBINOM(MAX(0,D1072-E1072),1-Coefficients!$B$32,RAND())</f>
        <v>0</v>
      </c>
      <c r="H1072" s="0" t="n">
        <f aca="true">CRITBINOM(MAX(0,$C1072-D1072),MIN(0.6,Matchup!$B$40*SQRT($B1072)/(1-MIN(0.75,Matchup!$B$39*$B1072))),RAND())</f>
        <v>2</v>
      </c>
      <c r="I1072" s="0" t="n">
        <f aca="false">6*D1072+(D1072-E1072-G1072)+2*F1072+3*H1072</f>
        <v>19</v>
      </c>
      <c r="J1072" s="0" t="n">
        <f aca="true">CRITBINOM($C1072,MIN(0.75,Matchup!$C$39*$B1072),RAND())</f>
        <v>3</v>
      </c>
      <c r="K1072" s="0" t="n">
        <f aca="true">CRITBINOM(J1072,Coefficients!$B$30,RAND())</f>
        <v>1</v>
      </c>
      <c r="L1072" s="0" t="n">
        <f aca="true">CRITBINOM(K1072,Coefficients!$B$31,RAND())</f>
        <v>0</v>
      </c>
      <c r="M1072" s="0" t="n">
        <f aca="true">CRITBINOM(MAX(0,J1072-K1072),1-Coefficients!$B$32,RAND())</f>
        <v>0</v>
      </c>
      <c r="N1072" s="0" t="n">
        <f aca="true">CRITBINOM(MAX(0,$C1072-J1072),MIN(0.6,Matchup!$C$40*SQRT($B1072)/(1-MIN(0.75,Matchup!$C$39*$B1072))),RAND())</f>
        <v>5</v>
      </c>
      <c r="O1072" s="0" t="n">
        <f aca="false">6*J1072+(J1072-K1072-M1072)+2*L1072+3*N1072</f>
        <v>35</v>
      </c>
      <c r="P1072" s="0" t="n">
        <f aca="true">RAND()</f>
        <v>0.492558335981815</v>
      </c>
      <c r="Q1072" s="0" t="n">
        <f aca="true">RAND()</f>
        <v>0.424868337898248</v>
      </c>
      <c r="R1072" s="0" t="n">
        <f aca="false">IF($I1072&lt;&gt;$O1072,0,IF(P1072&lt;Matchup!$B$39,7,IF(P1072&lt;Matchup!$B$39+Matchup!$B$40,3,0)))</f>
        <v>0</v>
      </c>
      <c r="S1072" s="0" t="n">
        <f aca="false">IF($I1072&lt;&gt;$O1072,0,IF(Q1072&lt;Matchup!$C$39,7,IF(Q1072&lt;Matchup!$C$39+Matchup!$C$40,3,0)))</f>
        <v>0</v>
      </c>
      <c r="T1072" s="0" t="n">
        <f aca="false">I1072+R1072</f>
        <v>19</v>
      </c>
      <c r="U1072" s="0" t="n">
        <f aca="false">O1072+S1072</f>
        <v>35</v>
      </c>
      <c r="V1072" s="0" t="n">
        <f aca="false">T1072-U1072</f>
        <v>-16</v>
      </c>
      <c r="W1072" s="0" t="n">
        <f aca="false">T1072+U1072</f>
        <v>54</v>
      </c>
    </row>
    <row r="1073" customFormat="false" ht="15" hidden="false" customHeight="false" outlineLevel="0" collapsed="false">
      <c r="A1073" s="0" t="n">
        <v>1070</v>
      </c>
      <c r="B1073" s="0" t="n">
        <f aca="true">NORMINV(RAND(),1,Coefficients!$B$22)</f>
        <v>1.03622311666035</v>
      </c>
      <c r="C1073" s="0" t="n">
        <f aca="true">MEDIAN(8,16,ROUND(NORMINV(RAND(),Coefficients!$B$20,Coefficients!$B$21),0))</f>
        <v>10</v>
      </c>
      <c r="D1073" s="0" t="n">
        <f aca="true">CRITBINOM($C1073,MIN(0.75,Matchup!$B$39*$B1073),RAND())</f>
        <v>1</v>
      </c>
      <c r="E1073" s="0" t="n">
        <f aca="true">CRITBINOM(D1073,Coefficients!$B$30,RAND())</f>
        <v>0</v>
      </c>
      <c r="F1073" s="0" t="n">
        <f aca="true">CRITBINOM(E1073,Coefficients!$B$31,RAND())</f>
        <v>0</v>
      </c>
      <c r="G1073" s="0" t="n">
        <f aca="true">CRITBINOM(MAX(0,D1073-E1073),1-Coefficients!$B$32,RAND())</f>
        <v>1</v>
      </c>
      <c r="H1073" s="0" t="n">
        <f aca="true">CRITBINOM(MAX(0,$C1073-D1073),MIN(0.6,Matchup!$B$40*SQRT($B1073)/(1-MIN(0.75,Matchup!$B$39*$B1073))),RAND())</f>
        <v>1</v>
      </c>
      <c r="I1073" s="0" t="n">
        <f aca="false">6*D1073+(D1073-E1073-G1073)+2*F1073+3*H1073</f>
        <v>9</v>
      </c>
      <c r="J1073" s="0" t="n">
        <f aca="true">CRITBINOM($C1073,MIN(0.75,Matchup!$C$39*$B1073),RAND())</f>
        <v>2</v>
      </c>
      <c r="K1073" s="0" t="n">
        <f aca="true">CRITBINOM(J1073,Coefficients!$B$30,RAND())</f>
        <v>0</v>
      </c>
      <c r="L1073" s="0" t="n">
        <f aca="true">CRITBINOM(K1073,Coefficients!$B$31,RAND())</f>
        <v>0</v>
      </c>
      <c r="M1073" s="0" t="n">
        <f aca="true">CRITBINOM(MAX(0,J1073-K1073),1-Coefficients!$B$32,RAND())</f>
        <v>0</v>
      </c>
      <c r="N1073" s="0" t="n">
        <f aca="true">CRITBINOM(MAX(0,$C1073-J1073),MIN(0.6,Matchup!$C$40*SQRT($B1073)/(1-MIN(0.75,Matchup!$C$39*$B1073))),RAND())</f>
        <v>2</v>
      </c>
      <c r="O1073" s="0" t="n">
        <f aca="false">6*J1073+(J1073-K1073-M1073)+2*L1073+3*N1073</f>
        <v>20</v>
      </c>
      <c r="P1073" s="0" t="n">
        <f aca="true">RAND()</f>
        <v>0.952602532699591</v>
      </c>
      <c r="Q1073" s="0" t="n">
        <f aca="true">RAND()</f>
        <v>0.648245500746614</v>
      </c>
      <c r="R1073" s="0" t="n">
        <f aca="false">IF($I1073&lt;&gt;$O1073,0,IF(P1073&lt;Matchup!$B$39,7,IF(P1073&lt;Matchup!$B$39+Matchup!$B$40,3,0)))</f>
        <v>0</v>
      </c>
      <c r="S1073" s="0" t="n">
        <f aca="false">IF($I1073&lt;&gt;$O1073,0,IF(Q1073&lt;Matchup!$C$39,7,IF(Q1073&lt;Matchup!$C$39+Matchup!$C$40,3,0)))</f>
        <v>0</v>
      </c>
      <c r="T1073" s="0" t="n">
        <f aca="false">I1073+R1073</f>
        <v>9</v>
      </c>
      <c r="U1073" s="0" t="n">
        <f aca="false">O1073+S1073</f>
        <v>20</v>
      </c>
      <c r="V1073" s="0" t="n">
        <f aca="false">T1073-U1073</f>
        <v>-11</v>
      </c>
      <c r="W1073" s="0" t="n">
        <f aca="false">T1073+U1073</f>
        <v>29</v>
      </c>
    </row>
    <row r="1074" customFormat="false" ht="15" hidden="false" customHeight="false" outlineLevel="0" collapsed="false">
      <c r="A1074" s="0" t="n">
        <v>1071</v>
      </c>
      <c r="B1074" s="0" t="n">
        <f aca="true">NORMINV(RAND(),1,Coefficients!$B$22)</f>
        <v>1.05933066681404</v>
      </c>
      <c r="C1074" s="0" t="n">
        <f aca="true">MEDIAN(8,16,ROUND(NORMINV(RAND(),Coefficients!$B$20,Coefficients!$B$21),0))</f>
        <v>11</v>
      </c>
      <c r="D1074" s="0" t="n">
        <f aca="true">CRITBINOM($C1074,MIN(0.75,Matchup!$B$39*$B1074),RAND())</f>
        <v>5</v>
      </c>
      <c r="E1074" s="0" t="n">
        <f aca="true">CRITBINOM(D1074,Coefficients!$B$30,RAND())</f>
        <v>1</v>
      </c>
      <c r="F1074" s="0" t="n">
        <f aca="true">CRITBINOM(E1074,Coefficients!$B$31,RAND())</f>
        <v>1</v>
      </c>
      <c r="G1074" s="0" t="n">
        <f aca="true">CRITBINOM(MAX(0,D1074-E1074),1-Coefficients!$B$32,RAND())</f>
        <v>0</v>
      </c>
      <c r="H1074" s="0" t="n">
        <f aca="true">CRITBINOM(MAX(0,$C1074-D1074),MIN(0.6,Matchup!$B$40*SQRT($B1074)/(1-MIN(0.75,Matchup!$B$39*$B1074))),RAND())</f>
        <v>1</v>
      </c>
      <c r="I1074" s="0" t="n">
        <f aca="false">6*D1074+(D1074-E1074-G1074)+2*F1074+3*H1074</f>
        <v>39</v>
      </c>
      <c r="J1074" s="0" t="n">
        <f aca="true">CRITBINOM($C1074,MIN(0.75,Matchup!$C$39*$B1074),RAND())</f>
        <v>3</v>
      </c>
      <c r="K1074" s="0" t="n">
        <f aca="true">CRITBINOM(J1074,Coefficients!$B$30,RAND())</f>
        <v>0</v>
      </c>
      <c r="L1074" s="0" t="n">
        <f aca="true">CRITBINOM(K1074,Coefficients!$B$31,RAND())</f>
        <v>0</v>
      </c>
      <c r="M1074" s="0" t="n">
        <f aca="true">CRITBINOM(MAX(0,J1074-K1074),1-Coefficients!$B$32,RAND())</f>
        <v>0</v>
      </c>
      <c r="N1074" s="0" t="n">
        <f aca="true">CRITBINOM(MAX(0,$C1074-J1074),MIN(0.6,Matchup!$C$40*SQRT($B1074)/(1-MIN(0.75,Matchup!$C$39*$B1074))),RAND())</f>
        <v>2</v>
      </c>
      <c r="O1074" s="0" t="n">
        <f aca="false">6*J1074+(J1074-K1074-M1074)+2*L1074+3*N1074</f>
        <v>27</v>
      </c>
      <c r="P1074" s="0" t="n">
        <f aca="true">RAND()</f>
        <v>0.401268609841447</v>
      </c>
      <c r="Q1074" s="0" t="n">
        <f aca="true">RAND()</f>
        <v>0.516925690106604</v>
      </c>
      <c r="R1074" s="0" t="n">
        <f aca="false">IF($I1074&lt;&gt;$O1074,0,IF(P1074&lt;Matchup!$B$39,7,IF(P1074&lt;Matchup!$B$39+Matchup!$B$40,3,0)))</f>
        <v>0</v>
      </c>
      <c r="S1074" s="0" t="n">
        <f aca="false">IF($I1074&lt;&gt;$O1074,0,IF(Q1074&lt;Matchup!$C$39,7,IF(Q1074&lt;Matchup!$C$39+Matchup!$C$40,3,0)))</f>
        <v>0</v>
      </c>
      <c r="T1074" s="0" t="n">
        <f aca="false">I1074+R1074</f>
        <v>39</v>
      </c>
      <c r="U1074" s="0" t="n">
        <f aca="false">O1074+S1074</f>
        <v>27</v>
      </c>
      <c r="V1074" s="0" t="n">
        <f aca="false">T1074-U1074</f>
        <v>12</v>
      </c>
      <c r="W1074" s="0" t="n">
        <f aca="false">T1074+U1074</f>
        <v>66</v>
      </c>
    </row>
    <row r="1075" customFormat="false" ht="15" hidden="false" customHeight="false" outlineLevel="0" collapsed="false">
      <c r="A1075" s="0" t="n">
        <v>1072</v>
      </c>
      <c r="B1075" s="0" t="n">
        <f aca="true">NORMINV(RAND(),1,Coefficients!$B$22)</f>
        <v>1.04678810982347</v>
      </c>
      <c r="C1075" s="0" t="n">
        <f aca="true">MEDIAN(8,16,ROUND(NORMINV(RAND(),Coefficients!$B$20,Coefficients!$B$21),0))</f>
        <v>12</v>
      </c>
      <c r="D1075" s="0" t="n">
        <f aca="true">CRITBINOM($C1075,MIN(0.75,Matchup!$B$39*$B1075),RAND())</f>
        <v>3</v>
      </c>
      <c r="E1075" s="0" t="n">
        <f aca="true">CRITBINOM(D1075,Coefficients!$B$30,RAND())</f>
        <v>0</v>
      </c>
      <c r="F1075" s="0" t="n">
        <f aca="true">CRITBINOM(E1075,Coefficients!$B$31,RAND())</f>
        <v>0</v>
      </c>
      <c r="G1075" s="0" t="n">
        <f aca="true">CRITBINOM(MAX(0,D1075-E1075),1-Coefficients!$B$32,RAND())</f>
        <v>0</v>
      </c>
      <c r="H1075" s="0" t="n">
        <f aca="true">CRITBINOM(MAX(0,$C1075-D1075),MIN(0.6,Matchup!$B$40*SQRT($B1075)/(1-MIN(0.75,Matchup!$B$39*$B1075))),RAND())</f>
        <v>2</v>
      </c>
      <c r="I1075" s="0" t="n">
        <f aca="false">6*D1075+(D1075-E1075-G1075)+2*F1075+3*H1075</f>
        <v>27</v>
      </c>
      <c r="J1075" s="0" t="n">
        <f aca="true">CRITBINOM($C1075,MIN(0.75,Matchup!$C$39*$B1075),RAND())</f>
        <v>2</v>
      </c>
      <c r="K1075" s="0" t="n">
        <f aca="true">CRITBINOM(J1075,Coefficients!$B$30,RAND())</f>
        <v>0</v>
      </c>
      <c r="L1075" s="0" t="n">
        <f aca="true">CRITBINOM(K1075,Coefficients!$B$31,RAND())</f>
        <v>0</v>
      </c>
      <c r="M1075" s="0" t="n">
        <f aca="true">CRITBINOM(MAX(0,J1075-K1075),1-Coefficients!$B$32,RAND())</f>
        <v>0</v>
      </c>
      <c r="N1075" s="0" t="n">
        <f aca="true">CRITBINOM(MAX(0,$C1075-J1075),MIN(0.6,Matchup!$C$40*SQRT($B1075)/(1-MIN(0.75,Matchup!$C$39*$B1075))),RAND())</f>
        <v>1</v>
      </c>
      <c r="O1075" s="0" t="n">
        <f aca="false">6*J1075+(J1075-K1075-M1075)+2*L1075+3*N1075</f>
        <v>17</v>
      </c>
      <c r="P1075" s="0" t="n">
        <f aca="true">RAND()</f>
        <v>0.102102521442701</v>
      </c>
      <c r="Q1075" s="0" t="n">
        <f aca="true">RAND()</f>
        <v>0.366064961560487</v>
      </c>
      <c r="R1075" s="0" t="n">
        <f aca="false">IF($I1075&lt;&gt;$O1075,0,IF(P1075&lt;Matchup!$B$39,7,IF(P1075&lt;Matchup!$B$39+Matchup!$B$40,3,0)))</f>
        <v>0</v>
      </c>
      <c r="S1075" s="0" t="n">
        <f aca="false">IF($I1075&lt;&gt;$O1075,0,IF(Q1075&lt;Matchup!$C$39,7,IF(Q1075&lt;Matchup!$C$39+Matchup!$C$40,3,0)))</f>
        <v>0</v>
      </c>
      <c r="T1075" s="0" t="n">
        <f aca="false">I1075+R1075</f>
        <v>27</v>
      </c>
      <c r="U1075" s="0" t="n">
        <f aca="false">O1075+S1075</f>
        <v>17</v>
      </c>
      <c r="V1075" s="0" t="n">
        <f aca="false">T1075-U1075</f>
        <v>10</v>
      </c>
      <c r="W1075" s="0" t="n">
        <f aca="false">T1075+U1075</f>
        <v>44</v>
      </c>
    </row>
    <row r="1076" customFormat="false" ht="15" hidden="false" customHeight="false" outlineLevel="0" collapsed="false">
      <c r="A1076" s="0" t="n">
        <v>1073</v>
      </c>
      <c r="B1076" s="0" t="n">
        <f aca="true">NORMINV(RAND(),1,Coefficients!$B$22)</f>
        <v>0.978054088033332</v>
      </c>
      <c r="C1076" s="0" t="n">
        <f aca="true">MEDIAN(8,16,ROUND(NORMINV(RAND(),Coefficients!$B$20,Coefficients!$B$21),0))</f>
        <v>12</v>
      </c>
      <c r="D1076" s="0" t="n">
        <f aca="true">CRITBINOM($C1076,MIN(0.75,Matchup!$B$39*$B1076),RAND())</f>
        <v>4</v>
      </c>
      <c r="E1076" s="0" t="n">
        <f aca="true">CRITBINOM(D1076,Coefficients!$B$30,RAND())</f>
        <v>0</v>
      </c>
      <c r="F1076" s="0" t="n">
        <f aca="true">CRITBINOM(E1076,Coefficients!$B$31,RAND())</f>
        <v>0</v>
      </c>
      <c r="G1076" s="0" t="n">
        <f aca="true">CRITBINOM(MAX(0,D1076-E1076),1-Coefficients!$B$32,RAND())</f>
        <v>0</v>
      </c>
      <c r="H1076" s="0" t="n">
        <f aca="true">CRITBINOM(MAX(0,$C1076-D1076),MIN(0.6,Matchup!$B$40*SQRT($B1076)/(1-MIN(0.75,Matchup!$B$39*$B1076))),RAND())</f>
        <v>0</v>
      </c>
      <c r="I1076" s="0" t="n">
        <f aca="false">6*D1076+(D1076-E1076-G1076)+2*F1076+3*H1076</f>
        <v>28</v>
      </c>
      <c r="J1076" s="0" t="n">
        <f aca="true">CRITBINOM($C1076,MIN(0.75,Matchup!$C$39*$B1076),RAND())</f>
        <v>1</v>
      </c>
      <c r="K1076" s="0" t="n">
        <f aca="true">CRITBINOM(J1076,Coefficients!$B$30,RAND())</f>
        <v>0</v>
      </c>
      <c r="L1076" s="0" t="n">
        <f aca="true">CRITBINOM(K1076,Coefficients!$B$31,RAND())</f>
        <v>0</v>
      </c>
      <c r="M1076" s="0" t="n">
        <f aca="true">CRITBINOM(MAX(0,J1076-K1076),1-Coefficients!$B$32,RAND())</f>
        <v>0</v>
      </c>
      <c r="N1076" s="0" t="n">
        <f aca="true">CRITBINOM(MAX(0,$C1076-J1076),MIN(0.6,Matchup!$C$40*SQRT($B1076)/(1-MIN(0.75,Matchup!$C$39*$B1076))),RAND())</f>
        <v>3</v>
      </c>
      <c r="O1076" s="0" t="n">
        <f aca="false">6*J1076+(J1076-K1076-M1076)+2*L1076+3*N1076</f>
        <v>16</v>
      </c>
      <c r="P1076" s="0" t="n">
        <f aca="true">RAND()</f>
        <v>0.430643773350156</v>
      </c>
      <c r="Q1076" s="0" t="n">
        <f aca="true">RAND()</f>
        <v>0.217251533017982</v>
      </c>
      <c r="R1076" s="0" t="n">
        <f aca="false">IF($I1076&lt;&gt;$O1076,0,IF(P1076&lt;Matchup!$B$39,7,IF(P1076&lt;Matchup!$B$39+Matchup!$B$40,3,0)))</f>
        <v>0</v>
      </c>
      <c r="S1076" s="0" t="n">
        <f aca="false">IF($I1076&lt;&gt;$O1076,0,IF(Q1076&lt;Matchup!$C$39,7,IF(Q1076&lt;Matchup!$C$39+Matchup!$C$40,3,0)))</f>
        <v>0</v>
      </c>
      <c r="T1076" s="0" t="n">
        <f aca="false">I1076+R1076</f>
        <v>28</v>
      </c>
      <c r="U1076" s="0" t="n">
        <f aca="false">O1076+S1076</f>
        <v>16</v>
      </c>
      <c r="V1076" s="0" t="n">
        <f aca="false">T1076-U1076</f>
        <v>12</v>
      </c>
      <c r="W1076" s="0" t="n">
        <f aca="false">T1076+U1076</f>
        <v>44</v>
      </c>
    </row>
    <row r="1077" customFormat="false" ht="15" hidden="false" customHeight="false" outlineLevel="0" collapsed="false">
      <c r="A1077" s="0" t="n">
        <v>1074</v>
      </c>
      <c r="B1077" s="0" t="n">
        <f aca="true">NORMINV(RAND(),1,Coefficients!$B$22)</f>
        <v>0.821192887789354</v>
      </c>
      <c r="C1077" s="0" t="n">
        <f aca="true">MEDIAN(8,16,ROUND(NORMINV(RAND(),Coefficients!$B$20,Coefficients!$B$21),0))</f>
        <v>13</v>
      </c>
      <c r="D1077" s="0" t="n">
        <f aca="true">CRITBINOM($C1077,MIN(0.75,Matchup!$B$39*$B1077),RAND())</f>
        <v>2</v>
      </c>
      <c r="E1077" s="0" t="n">
        <f aca="true">CRITBINOM(D1077,Coefficients!$B$30,RAND())</f>
        <v>0</v>
      </c>
      <c r="F1077" s="0" t="n">
        <f aca="true">CRITBINOM(E1077,Coefficients!$B$31,RAND())</f>
        <v>0</v>
      </c>
      <c r="G1077" s="0" t="n">
        <f aca="true">CRITBINOM(MAX(0,D1077-E1077),1-Coefficients!$B$32,RAND())</f>
        <v>0</v>
      </c>
      <c r="H1077" s="0" t="n">
        <f aca="true">CRITBINOM(MAX(0,$C1077-D1077),MIN(0.6,Matchup!$B$40*SQRT($B1077)/(1-MIN(0.75,Matchup!$B$39*$B1077))),RAND())</f>
        <v>2</v>
      </c>
      <c r="I1077" s="0" t="n">
        <f aca="false">6*D1077+(D1077-E1077-G1077)+2*F1077+3*H1077</f>
        <v>20</v>
      </c>
      <c r="J1077" s="0" t="n">
        <f aca="true">CRITBINOM($C1077,MIN(0.75,Matchup!$C$39*$B1077),RAND())</f>
        <v>3</v>
      </c>
      <c r="K1077" s="0" t="n">
        <f aca="true">CRITBINOM(J1077,Coefficients!$B$30,RAND())</f>
        <v>0</v>
      </c>
      <c r="L1077" s="0" t="n">
        <f aca="true">CRITBINOM(K1077,Coefficients!$B$31,RAND())</f>
        <v>0</v>
      </c>
      <c r="M1077" s="0" t="n">
        <f aca="true">CRITBINOM(MAX(0,J1077-K1077),1-Coefficients!$B$32,RAND())</f>
        <v>0</v>
      </c>
      <c r="N1077" s="0" t="n">
        <f aca="true">CRITBINOM(MAX(0,$C1077-J1077),MIN(0.6,Matchup!$C$40*SQRT($B1077)/(1-MIN(0.75,Matchup!$C$39*$B1077))),RAND())</f>
        <v>0</v>
      </c>
      <c r="O1077" s="0" t="n">
        <f aca="false">6*J1077+(J1077-K1077-M1077)+2*L1077+3*N1077</f>
        <v>21</v>
      </c>
      <c r="P1077" s="0" t="n">
        <f aca="true">RAND()</f>
        <v>0.341114343913451</v>
      </c>
      <c r="Q1077" s="0" t="n">
        <f aca="true">RAND()</f>
        <v>0.97491774744854</v>
      </c>
      <c r="R1077" s="0" t="n">
        <f aca="false">IF($I1077&lt;&gt;$O1077,0,IF(P1077&lt;Matchup!$B$39,7,IF(P1077&lt;Matchup!$B$39+Matchup!$B$40,3,0)))</f>
        <v>0</v>
      </c>
      <c r="S1077" s="0" t="n">
        <f aca="false">IF($I1077&lt;&gt;$O1077,0,IF(Q1077&lt;Matchup!$C$39,7,IF(Q1077&lt;Matchup!$C$39+Matchup!$C$40,3,0)))</f>
        <v>0</v>
      </c>
      <c r="T1077" s="0" t="n">
        <f aca="false">I1077+R1077</f>
        <v>20</v>
      </c>
      <c r="U1077" s="0" t="n">
        <f aca="false">O1077+S1077</f>
        <v>21</v>
      </c>
      <c r="V1077" s="0" t="n">
        <f aca="false">T1077-U1077</f>
        <v>-1</v>
      </c>
      <c r="W1077" s="0" t="n">
        <f aca="false">T1077+U1077</f>
        <v>41</v>
      </c>
    </row>
    <row r="1078" customFormat="false" ht="15" hidden="false" customHeight="false" outlineLevel="0" collapsed="false">
      <c r="A1078" s="0" t="n">
        <v>1075</v>
      </c>
      <c r="B1078" s="0" t="n">
        <f aca="true">NORMINV(RAND(),1,Coefficients!$B$22)</f>
        <v>0.850988141343327</v>
      </c>
      <c r="C1078" s="0" t="n">
        <f aca="true">MEDIAN(8,16,ROUND(NORMINV(RAND(),Coefficients!$B$20,Coefficients!$B$21),0))</f>
        <v>10</v>
      </c>
      <c r="D1078" s="0" t="n">
        <f aca="true">CRITBINOM($C1078,MIN(0.75,Matchup!$B$39*$B1078),RAND())</f>
        <v>0</v>
      </c>
      <c r="E1078" s="0" t="n">
        <f aca="true">CRITBINOM(D1078,Coefficients!$B$30,RAND())</f>
        <v>0</v>
      </c>
      <c r="F1078" s="0" t="n">
        <f aca="true">CRITBINOM(E1078,Coefficients!$B$31,RAND())</f>
        <v>0</v>
      </c>
      <c r="G1078" s="0" t="n">
        <f aca="true">CRITBINOM(MAX(0,D1078-E1078),1-Coefficients!$B$32,RAND())</f>
        <v>0</v>
      </c>
      <c r="H1078" s="0" t="n">
        <f aca="true">CRITBINOM(MAX(0,$C1078-D1078),MIN(0.6,Matchup!$B$40*SQRT($B1078)/(1-MIN(0.75,Matchup!$B$39*$B1078))),RAND())</f>
        <v>1</v>
      </c>
      <c r="I1078" s="0" t="n">
        <f aca="false">6*D1078+(D1078-E1078-G1078)+2*F1078+3*H1078</f>
        <v>3</v>
      </c>
      <c r="J1078" s="0" t="n">
        <f aca="true">CRITBINOM($C1078,MIN(0.75,Matchup!$C$39*$B1078),RAND())</f>
        <v>4</v>
      </c>
      <c r="K1078" s="0" t="n">
        <f aca="true">CRITBINOM(J1078,Coefficients!$B$30,RAND())</f>
        <v>0</v>
      </c>
      <c r="L1078" s="0" t="n">
        <f aca="true">CRITBINOM(K1078,Coefficients!$B$31,RAND())</f>
        <v>0</v>
      </c>
      <c r="M1078" s="0" t="n">
        <f aca="true">CRITBINOM(MAX(0,J1078-K1078),1-Coefficients!$B$32,RAND())</f>
        <v>2</v>
      </c>
      <c r="N1078" s="0" t="n">
        <f aca="true">CRITBINOM(MAX(0,$C1078-J1078),MIN(0.6,Matchup!$C$40*SQRT($B1078)/(1-MIN(0.75,Matchup!$C$39*$B1078))),RAND())</f>
        <v>0</v>
      </c>
      <c r="O1078" s="0" t="n">
        <f aca="false">6*J1078+(J1078-K1078-M1078)+2*L1078+3*N1078</f>
        <v>26</v>
      </c>
      <c r="P1078" s="0" t="n">
        <f aca="true">RAND()</f>
        <v>0.193660186851443</v>
      </c>
      <c r="Q1078" s="0" t="n">
        <f aca="true">RAND()</f>
        <v>0.466302352592673</v>
      </c>
      <c r="R1078" s="0" t="n">
        <f aca="false">IF($I1078&lt;&gt;$O1078,0,IF(P1078&lt;Matchup!$B$39,7,IF(P1078&lt;Matchup!$B$39+Matchup!$B$40,3,0)))</f>
        <v>0</v>
      </c>
      <c r="S1078" s="0" t="n">
        <f aca="false">IF($I1078&lt;&gt;$O1078,0,IF(Q1078&lt;Matchup!$C$39,7,IF(Q1078&lt;Matchup!$C$39+Matchup!$C$40,3,0)))</f>
        <v>0</v>
      </c>
      <c r="T1078" s="0" t="n">
        <f aca="false">I1078+R1078</f>
        <v>3</v>
      </c>
      <c r="U1078" s="0" t="n">
        <f aca="false">O1078+S1078</f>
        <v>26</v>
      </c>
      <c r="V1078" s="0" t="n">
        <f aca="false">T1078-U1078</f>
        <v>-23</v>
      </c>
      <c r="W1078" s="0" t="n">
        <f aca="false">T1078+U1078</f>
        <v>29</v>
      </c>
    </row>
    <row r="1079" customFormat="false" ht="15" hidden="false" customHeight="false" outlineLevel="0" collapsed="false">
      <c r="A1079" s="0" t="n">
        <v>1076</v>
      </c>
      <c r="B1079" s="0" t="n">
        <f aca="true">NORMINV(RAND(),1,Coefficients!$B$22)</f>
        <v>1.00510553733999</v>
      </c>
      <c r="C1079" s="0" t="n">
        <f aca="true">MEDIAN(8,16,ROUND(NORMINV(RAND(),Coefficients!$B$20,Coefficients!$B$21),0))</f>
        <v>10</v>
      </c>
      <c r="D1079" s="0" t="n">
        <f aca="true">CRITBINOM($C1079,MIN(0.75,Matchup!$B$39*$B1079),RAND())</f>
        <v>1</v>
      </c>
      <c r="E1079" s="0" t="n">
        <f aca="true">CRITBINOM(D1079,Coefficients!$B$30,RAND())</f>
        <v>1</v>
      </c>
      <c r="F1079" s="0" t="n">
        <f aca="true">CRITBINOM(E1079,Coefficients!$B$31,RAND())</f>
        <v>0</v>
      </c>
      <c r="G1079" s="0" t="n">
        <f aca="true">CRITBINOM(MAX(0,D1079-E1079),1-Coefficients!$B$32,RAND())</f>
        <v>0</v>
      </c>
      <c r="H1079" s="0" t="n">
        <f aca="true">CRITBINOM(MAX(0,$C1079-D1079),MIN(0.6,Matchup!$B$40*SQRT($B1079)/(1-MIN(0.75,Matchup!$B$39*$B1079))),RAND())</f>
        <v>4</v>
      </c>
      <c r="I1079" s="0" t="n">
        <f aca="false">6*D1079+(D1079-E1079-G1079)+2*F1079+3*H1079</f>
        <v>18</v>
      </c>
      <c r="J1079" s="0" t="n">
        <f aca="true">CRITBINOM($C1079,MIN(0.75,Matchup!$C$39*$B1079),RAND())</f>
        <v>4</v>
      </c>
      <c r="K1079" s="0" t="n">
        <f aca="true">CRITBINOM(J1079,Coefficients!$B$30,RAND())</f>
        <v>0</v>
      </c>
      <c r="L1079" s="0" t="n">
        <f aca="true">CRITBINOM(K1079,Coefficients!$B$31,RAND())</f>
        <v>0</v>
      </c>
      <c r="M1079" s="0" t="n">
        <f aca="true">CRITBINOM(MAX(0,J1079-K1079),1-Coefficients!$B$32,RAND())</f>
        <v>0</v>
      </c>
      <c r="N1079" s="0" t="n">
        <f aca="true">CRITBINOM(MAX(0,$C1079-J1079),MIN(0.6,Matchup!$C$40*SQRT($B1079)/(1-MIN(0.75,Matchup!$C$39*$B1079))),RAND())</f>
        <v>1</v>
      </c>
      <c r="O1079" s="0" t="n">
        <f aca="false">6*J1079+(J1079-K1079-M1079)+2*L1079+3*N1079</f>
        <v>31</v>
      </c>
      <c r="P1079" s="0" t="n">
        <f aca="true">RAND()</f>
        <v>0.561770120206831</v>
      </c>
      <c r="Q1079" s="0" t="n">
        <f aca="true">RAND()</f>
        <v>0.902462184414894</v>
      </c>
      <c r="R1079" s="0" t="n">
        <f aca="false">IF($I1079&lt;&gt;$O1079,0,IF(P1079&lt;Matchup!$B$39,7,IF(P1079&lt;Matchup!$B$39+Matchup!$B$40,3,0)))</f>
        <v>0</v>
      </c>
      <c r="S1079" s="0" t="n">
        <f aca="false">IF($I1079&lt;&gt;$O1079,0,IF(Q1079&lt;Matchup!$C$39,7,IF(Q1079&lt;Matchup!$C$39+Matchup!$C$40,3,0)))</f>
        <v>0</v>
      </c>
      <c r="T1079" s="0" t="n">
        <f aca="false">I1079+R1079</f>
        <v>18</v>
      </c>
      <c r="U1079" s="0" t="n">
        <f aca="false">O1079+S1079</f>
        <v>31</v>
      </c>
      <c r="V1079" s="0" t="n">
        <f aca="false">T1079-U1079</f>
        <v>-13</v>
      </c>
      <c r="W1079" s="0" t="n">
        <f aca="false">T1079+U1079</f>
        <v>49</v>
      </c>
    </row>
    <row r="1080" customFormat="false" ht="15" hidden="false" customHeight="false" outlineLevel="0" collapsed="false">
      <c r="A1080" s="0" t="n">
        <v>1077</v>
      </c>
      <c r="B1080" s="0" t="n">
        <f aca="true">NORMINV(RAND(),1,Coefficients!$B$22)</f>
        <v>1.01732699650103</v>
      </c>
      <c r="C1080" s="0" t="n">
        <f aca="true">MEDIAN(8,16,ROUND(NORMINV(RAND(),Coefficients!$B$20,Coefficients!$B$21),0))</f>
        <v>13</v>
      </c>
      <c r="D1080" s="0" t="n">
        <f aca="true">CRITBINOM($C1080,MIN(0.75,Matchup!$B$39*$B1080),RAND())</f>
        <v>4</v>
      </c>
      <c r="E1080" s="0" t="n">
        <f aca="true">CRITBINOM(D1080,Coefficients!$B$30,RAND())</f>
        <v>0</v>
      </c>
      <c r="F1080" s="0" t="n">
        <f aca="true">CRITBINOM(E1080,Coefficients!$B$31,RAND())</f>
        <v>0</v>
      </c>
      <c r="G1080" s="0" t="n">
        <f aca="true">CRITBINOM(MAX(0,D1080-E1080),1-Coefficients!$B$32,RAND())</f>
        <v>0</v>
      </c>
      <c r="H1080" s="0" t="n">
        <f aca="true">CRITBINOM(MAX(0,$C1080-D1080),MIN(0.6,Matchup!$B$40*SQRT($B1080)/(1-MIN(0.75,Matchup!$B$39*$B1080))),RAND())</f>
        <v>2</v>
      </c>
      <c r="I1080" s="0" t="n">
        <f aca="false">6*D1080+(D1080-E1080-G1080)+2*F1080+3*H1080</f>
        <v>34</v>
      </c>
      <c r="J1080" s="0" t="n">
        <f aca="true">CRITBINOM($C1080,MIN(0.75,Matchup!$C$39*$B1080),RAND())</f>
        <v>0</v>
      </c>
      <c r="K1080" s="0" t="n">
        <f aca="true">CRITBINOM(J1080,Coefficients!$B$30,RAND())</f>
        <v>0</v>
      </c>
      <c r="L1080" s="0" t="n">
        <f aca="true">CRITBINOM(K1080,Coefficients!$B$31,RAND())</f>
        <v>0</v>
      </c>
      <c r="M1080" s="0" t="n">
        <f aca="true">CRITBINOM(MAX(0,J1080-K1080),1-Coefficients!$B$32,RAND())</f>
        <v>0</v>
      </c>
      <c r="N1080" s="0" t="n">
        <f aca="true">CRITBINOM(MAX(0,$C1080-J1080),MIN(0.6,Matchup!$C$40*SQRT($B1080)/(1-MIN(0.75,Matchup!$C$39*$B1080))),RAND())</f>
        <v>3</v>
      </c>
      <c r="O1080" s="0" t="n">
        <f aca="false">6*J1080+(J1080-K1080-M1080)+2*L1080+3*N1080</f>
        <v>9</v>
      </c>
      <c r="P1080" s="0" t="n">
        <f aca="true">RAND()</f>
        <v>0.0327414808940539</v>
      </c>
      <c r="Q1080" s="0" t="n">
        <f aca="true">RAND()</f>
        <v>0.913539068335627</v>
      </c>
      <c r="R1080" s="0" t="n">
        <f aca="false">IF($I1080&lt;&gt;$O1080,0,IF(P1080&lt;Matchup!$B$39,7,IF(P1080&lt;Matchup!$B$39+Matchup!$B$40,3,0)))</f>
        <v>0</v>
      </c>
      <c r="S1080" s="0" t="n">
        <f aca="false">IF($I1080&lt;&gt;$O1080,0,IF(Q1080&lt;Matchup!$C$39,7,IF(Q1080&lt;Matchup!$C$39+Matchup!$C$40,3,0)))</f>
        <v>0</v>
      </c>
      <c r="T1080" s="0" t="n">
        <f aca="false">I1080+R1080</f>
        <v>34</v>
      </c>
      <c r="U1080" s="0" t="n">
        <f aca="false">O1080+S1080</f>
        <v>9</v>
      </c>
      <c r="V1080" s="0" t="n">
        <f aca="false">T1080-U1080</f>
        <v>25</v>
      </c>
      <c r="W1080" s="0" t="n">
        <f aca="false">T1080+U1080</f>
        <v>43</v>
      </c>
    </row>
    <row r="1081" customFormat="false" ht="15" hidden="false" customHeight="false" outlineLevel="0" collapsed="false">
      <c r="A1081" s="0" t="n">
        <v>1078</v>
      </c>
      <c r="B1081" s="0" t="n">
        <f aca="true">NORMINV(RAND(),1,Coefficients!$B$22)</f>
        <v>1.06747305019946</v>
      </c>
      <c r="C1081" s="0" t="n">
        <f aca="true">MEDIAN(8,16,ROUND(NORMINV(RAND(),Coefficients!$B$20,Coefficients!$B$21),0))</f>
        <v>10</v>
      </c>
      <c r="D1081" s="0" t="n">
        <f aca="true">CRITBINOM($C1081,MIN(0.75,Matchup!$B$39*$B1081),RAND())</f>
        <v>3</v>
      </c>
      <c r="E1081" s="0" t="n">
        <f aca="true">CRITBINOM(D1081,Coefficients!$B$30,RAND())</f>
        <v>0</v>
      </c>
      <c r="F1081" s="0" t="n">
        <f aca="true">CRITBINOM(E1081,Coefficients!$B$31,RAND())</f>
        <v>0</v>
      </c>
      <c r="G1081" s="0" t="n">
        <f aca="true">CRITBINOM(MAX(0,D1081-E1081),1-Coefficients!$B$32,RAND())</f>
        <v>1</v>
      </c>
      <c r="H1081" s="0" t="n">
        <f aca="true">CRITBINOM(MAX(0,$C1081-D1081),MIN(0.6,Matchup!$B$40*SQRT($B1081)/(1-MIN(0.75,Matchup!$B$39*$B1081))),RAND())</f>
        <v>1</v>
      </c>
      <c r="I1081" s="0" t="n">
        <f aca="false">6*D1081+(D1081-E1081-G1081)+2*F1081+3*H1081</f>
        <v>23</v>
      </c>
      <c r="J1081" s="0" t="n">
        <f aca="true">CRITBINOM($C1081,MIN(0.75,Matchup!$C$39*$B1081),RAND())</f>
        <v>2</v>
      </c>
      <c r="K1081" s="0" t="n">
        <f aca="true">CRITBINOM(J1081,Coefficients!$B$30,RAND())</f>
        <v>0</v>
      </c>
      <c r="L1081" s="0" t="n">
        <f aca="true">CRITBINOM(K1081,Coefficients!$B$31,RAND())</f>
        <v>0</v>
      </c>
      <c r="M1081" s="0" t="n">
        <f aca="true">CRITBINOM(MAX(0,J1081-K1081),1-Coefficients!$B$32,RAND())</f>
        <v>0</v>
      </c>
      <c r="N1081" s="0" t="n">
        <f aca="true">CRITBINOM(MAX(0,$C1081-J1081),MIN(0.6,Matchup!$C$40*SQRT($B1081)/(1-MIN(0.75,Matchup!$C$39*$B1081))),RAND())</f>
        <v>0</v>
      </c>
      <c r="O1081" s="0" t="n">
        <f aca="false">6*J1081+(J1081-K1081-M1081)+2*L1081+3*N1081</f>
        <v>14</v>
      </c>
      <c r="P1081" s="0" t="n">
        <f aca="true">RAND()</f>
        <v>0.917974284640251</v>
      </c>
      <c r="Q1081" s="0" t="n">
        <f aca="true">RAND()</f>
        <v>0.883537765330523</v>
      </c>
      <c r="R1081" s="0" t="n">
        <f aca="false">IF($I1081&lt;&gt;$O1081,0,IF(P1081&lt;Matchup!$B$39,7,IF(P1081&lt;Matchup!$B$39+Matchup!$B$40,3,0)))</f>
        <v>0</v>
      </c>
      <c r="S1081" s="0" t="n">
        <f aca="false">IF($I1081&lt;&gt;$O1081,0,IF(Q1081&lt;Matchup!$C$39,7,IF(Q1081&lt;Matchup!$C$39+Matchup!$C$40,3,0)))</f>
        <v>0</v>
      </c>
      <c r="T1081" s="0" t="n">
        <f aca="false">I1081+R1081</f>
        <v>23</v>
      </c>
      <c r="U1081" s="0" t="n">
        <f aca="false">O1081+S1081</f>
        <v>14</v>
      </c>
      <c r="V1081" s="0" t="n">
        <f aca="false">T1081-U1081</f>
        <v>9</v>
      </c>
      <c r="W1081" s="0" t="n">
        <f aca="false">T1081+U1081</f>
        <v>37</v>
      </c>
    </row>
    <row r="1082" customFormat="false" ht="15" hidden="false" customHeight="false" outlineLevel="0" collapsed="false">
      <c r="A1082" s="0" t="n">
        <v>1079</v>
      </c>
      <c r="B1082" s="0" t="n">
        <f aca="true">NORMINV(RAND(),1,Coefficients!$B$22)</f>
        <v>0.851645042709908</v>
      </c>
      <c r="C1082" s="0" t="n">
        <f aca="true">MEDIAN(8,16,ROUND(NORMINV(RAND(),Coefficients!$B$20,Coefficients!$B$21),0))</f>
        <v>11</v>
      </c>
      <c r="D1082" s="0" t="n">
        <f aca="true">CRITBINOM($C1082,MIN(0.75,Matchup!$B$39*$B1082),RAND())</f>
        <v>2</v>
      </c>
      <c r="E1082" s="0" t="n">
        <f aca="true">CRITBINOM(D1082,Coefficients!$B$30,RAND())</f>
        <v>1</v>
      </c>
      <c r="F1082" s="0" t="n">
        <f aca="true">CRITBINOM(E1082,Coefficients!$B$31,RAND())</f>
        <v>0</v>
      </c>
      <c r="G1082" s="0" t="n">
        <f aca="true">CRITBINOM(MAX(0,D1082-E1082),1-Coefficients!$B$32,RAND())</f>
        <v>0</v>
      </c>
      <c r="H1082" s="0" t="n">
        <f aca="true">CRITBINOM(MAX(0,$C1082-D1082),MIN(0.6,Matchup!$B$40*SQRT($B1082)/(1-MIN(0.75,Matchup!$B$39*$B1082))),RAND())</f>
        <v>2</v>
      </c>
      <c r="I1082" s="0" t="n">
        <f aca="false">6*D1082+(D1082-E1082-G1082)+2*F1082+3*H1082</f>
        <v>19</v>
      </c>
      <c r="J1082" s="0" t="n">
        <f aca="true">CRITBINOM($C1082,MIN(0.75,Matchup!$C$39*$B1082),RAND())</f>
        <v>2</v>
      </c>
      <c r="K1082" s="0" t="n">
        <f aca="true">CRITBINOM(J1082,Coefficients!$B$30,RAND())</f>
        <v>0</v>
      </c>
      <c r="L1082" s="0" t="n">
        <f aca="true">CRITBINOM(K1082,Coefficients!$B$31,RAND())</f>
        <v>0</v>
      </c>
      <c r="M1082" s="0" t="n">
        <f aca="true">CRITBINOM(MAX(0,J1082-K1082),1-Coefficients!$B$32,RAND())</f>
        <v>0</v>
      </c>
      <c r="N1082" s="0" t="n">
        <f aca="true">CRITBINOM(MAX(0,$C1082-J1082),MIN(0.6,Matchup!$C$40*SQRT($B1082)/(1-MIN(0.75,Matchup!$C$39*$B1082))),RAND())</f>
        <v>3</v>
      </c>
      <c r="O1082" s="0" t="n">
        <f aca="false">6*J1082+(J1082-K1082-M1082)+2*L1082+3*N1082</f>
        <v>23</v>
      </c>
      <c r="P1082" s="0" t="n">
        <f aca="true">RAND()</f>
        <v>0.631404506668429</v>
      </c>
      <c r="Q1082" s="0" t="n">
        <f aca="true">RAND()</f>
        <v>0.786461563706798</v>
      </c>
      <c r="R1082" s="0" t="n">
        <f aca="false">IF($I1082&lt;&gt;$O1082,0,IF(P1082&lt;Matchup!$B$39,7,IF(P1082&lt;Matchup!$B$39+Matchup!$B$40,3,0)))</f>
        <v>0</v>
      </c>
      <c r="S1082" s="0" t="n">
        <f aca="false">IF($I1082&lt;&gt;$O1082,0,IF(Q1082&lt;Matchup!$C$39,7,IF(Q1082&lt;Matchup!$C$39+Matchup!$C$40,3,0)))</f>
        <v>0</v>
      </c>
      <c r="T1082" s="0" t="n">
        <f aca="false">I1082+R1082</f>
        <v>19</v>
      </c>
      <c r="U1082" s="0" t="n">
        <f aca="false">O1082+S1082</f>
        <v>23</v>
      </c>
      <c r="V1082" s="0" t="n">
        <f aca="false">T1082-U1082</f>
        <v>-4</v>
      </c>
      <c r="W1082" s="0" t="n">
        <f aca="false">T1082+U1082</f>
        <v>42</v>
      </c>
    </row>
    <row r="1083" customFormat="false" ht="15" hidden="false" customHeight="false" outlineLevel="0" collapsed="false">
      <c r="A1083" s="0" t="n">
        <v>1080</v>
      </c>
      <c r="B1083" s="0" t="n">
        <f aca="true">NORMINV(RAND(),1,Coefficients!$B$22)</f>
        <v>0.941037909041596</v>
      </c>
      <c r="C1083" s="0" t="n">
        <f aca="true">MEDIAN(8,16,ROUND(NORMINV(RAND(),Coefficients!$B$20,Coefficients!$B$21),0))</f>
        <v>11</v>
      </c>
      <c r="D1083" s="0" t="n">
        <f aca="true">CRITBINOM($C1083,MIN(0.75,Matchup!$B$39*$B1083),RAND())</f>
        <v>3</v>
      </c>
      <c r="E1083" s="0" t="n">
        <f aca="true">CRITBINOM(D1083,Coefficients!$B$30,RAND())</f>
        <v>0</v>
      </c>
      <c r="F1083" s="0" t="n">
        <f aca="true">CRITBINOM(E1083,Coefficients!$B$31,RAND())</f>
        <v>0</v>
      </c>
      <c r="G1083" s="0" t="n">
        <f aca="true">CRITBINOM(MAX(0,D1083-E1083),1-Coefficients!$B$32,RAND())</f>
        <v>0</v>
      </c>
      <c r="H1083" s="0" t="n">
        <f aca="true">CRITBINOM(MAX(0,$C1083-D1083),MIN(0.6,Matchup!$B$40*SQRT($B1083)/(1-MIN(0.75,Matchup!$B$39*$B1083))),RAND())</f>
        <v>2</v>
      </c>
      <c r="I1083" s="0" t="n">
        <f aca="false">6*D1083+(D1083-E1083-G1083)+2*F1083+3*H1083</f>
        <v>27</v>
      </c>
      <c r="J1083" s="0" t="n">
        <f aca="true">CRITBINOM($C1083,MIN(0.75,Matchup!$C$39*$B1083),RAND())</f>
        <v>2</v>
      </c>
      <c r="K1083" s="0" t="n">
        <f aca="true">CRITBINOM(J1083,Coefficients!$B$30,RAND())</f>
        <v>0</v>
      </c>
      <c r="L1083" s="0" t="n">
        <f aca="true">CRITBINOM(K1083,Coefficients!$B$31,RAND())</f>
        <v>0</v>
      </c>
      <c r="M1083" s="0" t="n">
        <f aca="true">CRITBINOM(MAX(0,J1083-K1083),1-Coefficients!$B$32,RAND())</f>
        <v>0</v>
      </c>
      <c r="N1083" s="0" t="n">
        <f aca="true">CRITBINOM(MAX(0,$C1083-J1083),MIN(0.6,Matchup!$C$40*SQRT($B1083)/(1-MIN(0.75,Matchup!$C$39*$B1083))),RAND())</f>
        <v>1</v>
      </c>
      <c r="O1083" s="0" t="n">
        <f aca="false">6*J1083+(J1083-K1083-M1083)+2*L1083+3*N1083</f>
        <v>17</v>
      </c>
      <c r="P1083" s="0" t="n">
        <f aca="true">RAND()</f>
        <v>0.435587089193169</v>
      </c>
      <c r="Q1083" s="0" t="n">
        <f aca="true">RAND()</f>
        <v>0.771460470886861</v>
      </c>
      <c r="R1083" s="0" t="n">
        <f aca="false">IF($I1083&lt;&gt;$O1083,0,IF(P1083&lt;Matchup!$B$39,7,IF(P1083&lt;Matchup!$B$39+Matchup!$B$40,3,0)))</f>
        <v>0</v>
      </c>
      <c r="S1083" s="0" t="n">
        <f aca="false">IF($I1083&lt;&gt;$O1083,0,IF(Q1083&lt;Matchup!$C$39,7,IF(Q1083&lt;Matchup!$C$39+Matchup!$C$40,3,0)))</f>
        <v>0</v>
      </c>
      <c r="T1083" s="0" t="n">
        <f aca="false">I1083+R1083</f>
        <v>27</v>
      </c>
      <c r="U1083" s="0" t="n">
        <f aca="false">O1083+S1083</f>
        <v>17</v>
      </c>
      <c r="V1083" s="0" t="n">
        <f aca="false">T1083-U1083</f>
        <v>10</v>
      </c>
      <c r="W1083" s="0" t="n">
        <f aca="false">T1083+U1083</f>
        <v>44</v>
      </c>
    </row>
    <row r="1084" customFormat="false" ht="15" hidden="false" customHeight="false" outlineLevel="0" collapsed="false">
      <c r="A1084" s="0" t="n">
        <v>1081</v>
      </c>
      <c r="B1084" s="0" t="n">
        <f aca="true">NORMINV(RAND(),1,Coefficients!$B$22)</f>
        <v>1.01761676723107</v>
      </c>
      <c r="C1084" s="0" t="n">
        <f aca="true">MEDIAN(8,16,ROUND(NORMINV(RAND(),Coefficients!$B$20,Coefficients!$B$21),0))</f>
        <v>12</v>
      </c>
      <c r="D1084" s="0" t="n">
        <f aca="true">CRITBINOM($C1084,MIN(0.75,Matchup!$B$39*$B1084),RAND())</f>
        <v>1</v>
      </c>
      <c r="E1084" s="0" t="n">
        <f aca="true">CRITBINOM(D1084,Coefficients!$B$30,RAND())</f>
        <v>0</v>
      </c>
      <c r="F1084" s="0" t="n">
        <f aca="true">CRITBINOM(E1084,Coefficients!$B$31,RAND())</f>
        <v>0</v>
      </c>
      <c r="G1084" s="0" t="n">
        <f aca="true">CRITBINOM(MAX(0,D1084-E1084),1-Coefficients!$B$32,RAND())</f>
        <v>0</v>
      </c>
      <c r="H1084" s="0" t="n">
        <f aca="true">CRITBINOM(MAX(0,$C1084-D1084),MIN(0.6,Matchup!$B$40*SQRT($B1084)/(1-MIN(0.75,Matchup!$B$39*$B1084))),RAND())</f>
        <v>3</v>
      </c>
      <c r="I1084" s="0" t="n">
        <f aca="false">6*D1084+(D1084-E1084-G1084)+2*F1084+3*H1084</f>
        <v>16</v>
      </c>
      <c r="J1084" s="0" t="n">
        <f aca="true">CRITBINOM($C1084,MIN(0.75,Matchup!$C$39*$B1084),RAND())</f>
        <v>3</v>
      </c>
      <c r="K1084" s="0" t="n">
        <f aca="true">CRITBINOM(J1084,Coefficients!$B$30,RAND())</f>
        <v>1</v>
      </c>
      <c r="L1084" s="0" t="n">
        <f aca="true">CRITBINOM(K1084,Coefficients!$B$31,RAND())</f>
        <v>1</v>
      </c>
      <c r="M1084" s="0" t="n">
        <f aca="true">CRITBINOM(MAX(0,J1084-K1084),1-Coefficients!$B$32,RAND())</f>
        <v>0</v>
      </c>
      <c r="N1084" s="0" t="n">
        <f aca="true">CRITBINOM(MAX(0,$C1084-J1084),MIN(0.6,Matchup!$C$40*SQRT($B1084)/(1-MIN(0.75,Matchup!$C$39*$B1084))),RAND())</f>
        <v>1</v>
      </c>
      <c r="O1084" s="0" t="n">
        <f aca="false">6*J1084+(J1084-K1084-M1084)+2*L1084+3*N1084</f>
        <v>25</v>
      </c>
      <c r="P1084" s="0" t="n">
        <f aca="true">RAND()</f>
        <v>0.368425730696632</v>
      </c>
      <c r="Q1084" s="0" t="n">
        <f aca="true">RAND()</f>
        <v>0.52910611276312</v>
      </c>
      <c r="R1084" s="0" t="n">
        <f aca="false">IF($I1084&lt;&gt;$O1084,0,IF(P1084&lt;Matchup!$B$39,7,IF(P1084&lt;Matchup!$B$39+Matchup!$B$40,3,0)))</f>
        <v>0</v>
      </c>
      <c r="S1084" s="0" t="n">
        <f aca="false">IF($I1084&lt;&gt;$O1084,0,IF(Q1084&lt;Matchup!$C$39,7,IF(Q1084&lt;Matchup!$C$39+Matchup!$C$40,3,0)))</f>
        <v>0</v>
      </c>
      <c r="T1084" s="0" t="n">
        <f aca="false">I1084+R1084</f>
        <v>16</v>
      </c>
      <c r="U1084" s="0" t="n">
        <f aca="false">O1084+S1084</f>
        <v>25</v>
      </c>
      <c r="V1084" s="0" t="n">
        <f aca="false">T1084-U1084</f>
        <v>-9</v>
      </c>
      <c r="W1084" s="0" t="n">
        <f aca="false">T1084+U1084</f>
        <v>41</v>
      </c>
    </row>
    <row r="1085" customFormat="false" ht="15" hidden="false" customHeight="false" outlineLevel="0" collapsed="false">
      <c r="A1085" s="0" t="n">
        <v>1082</v>
      </c>
      <c r="B1085" s="0" t="n">
        <f aca="true">NORMINV(RAND(),1,Coefficients!$B$22)</f>
        <v>1.10961706439132</v>
      </c>
      <c r="C1085" s="0" t="n">
        <f aca="true">MEDIAN(8,16,ROUND(NORMINV(RAND(),Coefficients!$B$20,Coefficients!$B$21),0))</f>
        <v>12</v>
      </c>
      <c r="D1085" s="0" t="n">
        <f aca="true">CRITBINOM($C1085,MIN(0.75,Matchup!$B$39*$B1085),RAND())</f>
        <v>2</v>
      </c>
      <c r="E1085" s="0" t="n">
        <f aca="true">CRITBINOM(D1085,Coefficients!$B$30,RAND())</f>
        <v>0</v>
      </c>
      <c r="F1085" s="0" t="n">
        <f aca="true">CRITBINOM(E1085,Coefficients!$B$31,RAND())</f>
        <v>0</v>
      </c>
      <c r="G1085" s="0" t="n">
        <f aca="true">CRITBINOM(MAX(0,D1085-E1085),1-Coefficients!$B$32,RAND())</f>
        <v>0</v>
      </c>
      <c r="H1085" s="0" t="n">
        <f aca="true">CRITBINOM(MAX(0,$C1085-D1085),MIN(0.6,Matchup!$B$40*SQRT($B1085)/(1-MIN(0.75,Matchup!$B$39*$B1085))),RAND())</f>
        <v>1</v>
      </c>
      <c r="I1085" s="0" t="n">
        <f aca="false">6*D1085+(D1085-E1085-G1085)+2*F1085+3*H1085</f>
        <v>17</v>
      </c>
      <c r="J1085" s="0" t="n">
        <f aca="true">CRITBINOM($C1085,MIN(0.75,Matchup!$C$39*$B1085),RAND())</f>
        <v>4</v>
      </c>
      <c r="K1085" s="0" t="n">
        <f aca="true">CRITBINOM(J1085,Coefficients!$B$30,RAND())</f>
        <v>1</v>
      </c>
      <c r="L1085" s="0" t="n">
        <f aca="true">CRITBINOM(K1085,Coefficients!$B$31,RAND())</f>
        <v>0</v>
      </c>
      <c r="M1085" s="0" t="n">
        <f aca="true">CRITBINOM(MAX(0,J1085-K1085),1-Coefficients!$B$32,RAND())</f>
        <v>0</v>
      </c>
      <c r="N1085" s="0" t="n">
        <f aca="true">CRITBINOM(MAX(0,$C1085-J1085),MIN(0.6,Matchup!$C$40*SQRT($B1085)/(1-MIN(0.75,Matchup!$C$39*$B1085))),RAND())</f>
        <v>2</v>
      </c>
      <c r="O1085" s="0" t="n">
        <f aca="false">6*J1085+(J1085-K1085-M1085)+2*L1085+3*N1085</f>
        <v>33</v>
      </c>
      <c r="P1085" s="0" t="n">
        <f aca="true">RAND()</f>
        <v>0.586807637781873</v>
      </c>
      <c r="Q1085" s="0" t="n">
        <f aca="true">RAND()</f>
        <v>0.992191599573316</v>
      </c>
      <c r="R1085" s="0" t="n">
        <f aca="false">IF($I1085&lt;&gt;$O1085,0,IF(P1085&lt;Matchup!$B$39,7,IF(P1085&lt;Matchup!$B$39+Matchup!$B$40,3,0)))</f>
        <v>0</v>
      </c>
      <c r="S1085" s="0" t="n">
        <f aca="false">IF($I1085&lt;&gt;$O1085,0,IF(Q1085&lt;Matchup!$C$39,7,IF(Q1085&lt;Matchup!$C$39+Matchup!$C$40,3,0)))</f>
        <v>0</v>
      </c>
      <c r="T1085" s="0" t="n">
        <f aca="false">I1085+R1085</f>
        <v>17</v>
      </c>
      <c r="U1085" s="0" t="n">
        <f aca="false">O1085+S1085</f>
        <v>33</v>
      </c>
      <c r="V1085" s="0" t="n">
        <f aca="false">T1085-U1085</f>
        <v>-16</v>
      </c>
      <c r="W1085" s="0" t="n">
        <f aca="false">T1085+U1085</f>
        <v>50</v>
      </c>
    </row>
    <row r="1086" customFormat="false" ht="15" hidden="false" customHeight="false" outlineLevel="0" collapsed="false">
      <c r="A1086" s="0" t="n">
        <v>1083</v>
      </c>
      <c r="B1086" s="0" t="n">
        <f aca="true">NORMINV(RAND(),1,Coefficients!$B$22)</f>
        <v>0.939399485505691</v>
      </c>
      <c r="C1086" s="0" t="n">
        <f aca="true">MEDIAN(8,16,ROUND(NORMINV(RAND(),Coefficients!$B$20,Coefficients!$B$21),0))</f>
        <v>12</v>
      </c>
      <c r="D1086" s="0" t="n">
        <f aca="true">CRITBINOM($C1086,MIN(0.75,Matchup!$B$39*$B1086),RAND())</f>
        <v>4</v>
      </c>
      <c r="E1086" s="0" t="n">
        <f aca="true">CRITBINOM(D1086,Coefficients!$B$30,RAND())</f>
        <v>0</v>
      </c>
      <c r="F1086" s="0" t="n">
        <f aca="true">CRITBINOM(E1086,Coefficients!$B$31,RAND())</f>
        <v>0</v>
      </c>
      <c r="G1086" s="0" t="n">
        <f aca="true">CRITBINOM(MAX(0,D1086-E1086),1-Coefficients!$B$32,RAND())</f>
        <v>0</v>
      </c>
      <c r="H1086" s="0" t="n">
        <f aca="true">CRITBINOM(MAX(0,$C1086-D1086),MIN(0.6,Matchup!$B$40*SQRT($B1086)/(1-MIN(0.75,Matchup!$B$39*$B1086))),RAND())</f>
        <v>1</v>
      </c>
      <c r="I1086" s="0" t="n">
        <f aca="false">6*D1086+(D1086-E1086-G1086)+2*F1086+3*H1086</f>
        <v>31</v>
      </c>
      <c r="J1086" s="0" t="n">
        <f aca="true">CRITBINOM($C1086,MIN(0.75,Matchup!$C$39*$B1086),RAND())</f>
        <v>3</v>
      </c>
      <c r="K1086" s="0" t="n">
        <f aca="true">CRITBINOM(J1086,Coefficients!$B$30,RAND())</f>
        <v>0</v>
      </c>
      <c r="L1086" s="0" t="n">
        <f aca="true">CRITBINOM(K1086,Coefficients!$B$31,RAND())</f>
        <v>0</v>
      </c>
      <c r="M1086" s="0" t="n">
        <f aca="true">CRITBINOM(MAX(0,J1086-K1086),1-Coefficients!$B$32,RAND())</f>
        <v>0</v>
      </c>
      <c r="N1086" s="0" t="n">
        <f aca="true">CRITBINOM(MAX(0,$C1086-J1086),MIN(0.6,Matchup!$C$40*SQRT($B1086)/(1-MIN(0.75,Matchup!$C$39*$B1086))),RAND())</f>
        <v>0</v>
      </c>
      <c r="O1086" s="0" t="n">
        <f aca="false">6*J1086+(J1086-K1086-M1086)+2*L1086+3*N1086</f>
        <v>21</v>
      </c>
      <c r="P1086" s="0" t="n">
        <f aca="true">RAND()</f>
        <v>0.888704847332439</v>
      </c>
      <c r="Q1086" s="0" t="n">
        <f aca="true">RAND()</f>
        <v>0.048044922518467</v>
      </c>
      <c r="R1086" s="0" t="n">
        <f aca="false">IF($I1086&lt;&gt;$O1086,0,IF(P1086&lt;Matchup!$B$39,7,IF(P1086&lt;Matchup!$B$39+Matchup!$B$40,3,0)))</f>
        <v>0</v>
      </c>
      <c r="S1086" s="0" t="n">
        <f aca="false">IF($I1086&lt;&gt;$O1086,0,IF(Q1086&lt;Matchup!$C$39,7,IF(Q1086&lt;Matchup!$C$39+Matchup!$C$40,3,0)))</f>
        <v>0</v>
      </c>
      <c r="T1086" s="0" t="n">
        <f aca="false">I1086+R1086</f>
        <v>31</v>
      </c>
      <c r="U1086" s="0" t="n">
        <f aca="false">O1086+S1086</f>
        <v>21</v>
      </c>
      <c r="V1086" s="0" t="n">
        <f aca="false">T1086-U1086</f>
        <v>10</v>
      </c>
      <c r="W1086" s="0" t="n">
        <f aca="false">T1086+U1086</f>
        <v>52</v>
      </c>
    </row>
    <row r="1087" customFormat="false" ht="15" hidden="false" customHeight="false" outlineLevel="0" collapsed="false">
      <c r="A1087" s="0" t="n">
        <v>1084</v>
      </c>
      <c r="B1087" s="0" t="n">
        <f aca="true">NORMINV(RAND(),1,Coefficients!$B$22)</f>
        <v>1.04812852275926</v>
      </c>
      <c r="C1087" s="0" t="n">
        <f aca="true">MEDIAN(8,16,ROUND(NORMINV(RAND(),Coefficients!$B$20,Coefficients!$B$21),0))</f>
        <v>13</v>
      </c>
      <c r="D1087" s="0" t="n">
        <f aca="true">CRITBINOM($C1087,MIN(0.75,Matchup!$B$39*$B1087),RAND())</f>
        <v>2</v>
      </c>
      <c r="E1087" s="0" t="n">
        <f aca="true">CRITBINOM(D1087,Coefficients!$B$30,RAND())</f>
        <v>0</v>
      </c>
      <c r="F1087" s="0" t="n">
        <f aca="true">CRITBINOM(E1087,Coefficients!$B$31,RAND())</f>
        <v>0</v>
      </c>
      <c r="G1087" s="0" t="n">
        <f aca="true">CRITBINOM(MAX(0,D1087-E1087),1-Coefficients!$B$32,RAND())</f>
        <v>0</v>
      </c>
      <c r="H1087" s="0" t="n">
        <f aca="true">CRITBINOM(MAX(0,$C1087-D1087),MIN(0.6,Matchup!$B$40*SQRT($B1087)/(1-MIN(0.75,Matchup!$B$39*$B1087))),RAND())</f>
        <v>4</v>
      </c>
      <c r="I1087" s="0" t="n">
        <f aca="false">6*D1087+(D1087-E1087-G1087)+2*F1087+3*H1087</f>
        <v>26</v>
      </c>
      <c r="J1087" s="0" t="n">
        <f aca="true">CRITBINOM($C1087,MIN(0.75,Matchup!$C$39*$B1087),RAND())</f>
        <v>1</v>
      </c>
      <c r="K1087" s="0" t="n">
        <f aca="true">CRITBINOM(J1087,Coefficients!$B$30,RAND())</f>
        <v>0</v>
      </c>
      <c r="L1087" s="0" t="n">
        <f aca="true">CRITBINOM(K1087,Coefficients!$B$31,RAND())</f>
        <v>0</v>
      </c>
      <c r="M1087" s="0" t="n">
        <f aca="true">CRITBINOM(MAX(0,J1087-K1087),1-Coefficients!$B$32,RAND())</f>
        <v>0</v>
      </c>
      <c r="N1087" s="0" t="n">
        <f aca="true">CRITBINOM(MAX(0,$C1087-J1087),MIN(0.6,Matchup!$C$40*SQRT($B1087)/(1-MIN(0.75,Matchup!$C$39*$B1087))),RAND())</f>
        <v>4</v>
      </c>
      <c r="O1087" s="0" t="n">
        <f aca="false">6*J1087+(J1087-K1087-M1087)+2*L1087+3*N1087</f>
        <v>19</v>
      </c>
      <c r="P1087" s="0" t="n">
        <f aca="true">RAND()</f>
        <v>0.447226960543291</v>
      </c>
      <c r="Q1087" s="0" t="n">
        <f aca="true">RAND()</f>
        <v>0.0270204398204661</v>
      </c>
      <c r="R1087" s="0" t="n">
        <f aca="false">IF($I1087&lt;&gt;$O1087,0,IF(P1087&lt;Matchup!$B$39,7,IF(P1087&lt;Matchup!$B$39+Matchup!$B$40,3,0)))</f>
        <v>0</v>
      </c>
      <c r="S1087" s="0" t="n">
        <f aca="false">IF($I1087&lt;&gt;$O1087,0,IF(Q1087&lt;Matchup!$C$39,7,IF(Q1087&lt;Matchup!$C$39+Matchup!$C$40,3,0)))</f>
        <v>0</v>
      </c>
      <c r="T1087" s="0" t="n">
        <f aca="false">I1087+R1087</f>
        <v>26</v>
      </c>
      <c r="U1087" s="0" t="n">
        <f aca="false">O1087+S1087</f>
        <v>19</v>
      </c>
      <c r="V1087" s="0" t="n">
        <f aca="false">T1087-U1087</f>
        <v>7</v>
      </c>
      <c r="W1087" s="0" t="n">
        <f aca="false">T1087+U1087</f>
        <v>45</v>
      </c>
    </row>
    <row r="1088" customFormat="false" ht="15" hidden="false" customHeight="false" outlineLevel="0" collapsed="false">
      <c r="A1088" s="0" t="n">
        <v>1085</v>
      </c>
      <c r="B1088" s="0" t="n">
        <f aca="true">NORMINV(RAND(),1,Coefficients!$B$22)</f>
        <v>0.866524434698468</v>
      </c>
      <c r="C1088" s="0" t="n">
        <f aca="true">MEDIAN(8,16,ROUND(NORMINV(RAND(),Coefficients!$B$20,Coefficients!$B$21),0))</f>
        <v>11</v>
      </c>
      <c r="D1088" s="0" t="n">
        <f aca="true">CRITBINOM($C1088,MIN(0.75,Matchup!$B$39*$B1088),RAND())</f>
        <v>6</v>
      </c>
      <c r="E1088" s="0" t="n">
        <f aca="true">CRITBINOM(D1088,Coefficients!$B$30,RAND())</f>
        <v>1</v>
      </c>
      <c r="F1088" s="0" t="n">
        <f aca="true">CRITBINOM(E1088,Coefficients!$B$31,RAND())</f>
        <v>1</v>
      </c>
      <c r="G1088" s="0" t="n">
        <f aca="true">CRITBINOM(MAX(0,D1088-E1088),1-Coefficients!$B$32,RAND())</f>
        <v>1</v>
      </c>
      <c r="H1088" s="0" t="n">
        <f aca="true">CRITBINOM(MAX(0,$C1088-D1088),MIN(0.6,Matchup!$B$40*SQRT($B1088)/(1-MIN(0.75,Matchup!$B$39*$B1088))),RAND())</f>
        <v>0</v>
      </c>
      <c r="I1088" s="0" t="n">
        <f aca="false">6*D1088+(D1088-E1088-G1088)+2*F1088+3*H1088</f>
        <v>42</v>
      </c>
      <c r="J1088" s="0" t="n">
        <f aca="true">CRITBINOM($C1088,MIN(0.75,Matchup!$C$39*$B1088),RAND())</f>
        <v>0</v>
      </c>
      <c r="K1088" s="0" t="n">
        <f aca="true">CRITBINOM(J1088,Coefficients!$B$30,RAND())</f>
        <v>0</v>
      </c>
      <c r="L1088" s="0" t="n">
        <f aca="true">CRITBINOM(K1088,Coefficients!$B$31,RAND())</f>
        <v>0</v>
      </c>
      <c r="M1088" s="0" t="n">
        <f aca="true">CRITBINOM(MAX(0,J1088-K1088),1-Coefficients!$B$32,RAND())</f>
        <v>0</v>
      </c>
      <c r="N1088" s="0" t="n">
        <f aca="true">CRITBINOM(MAX(0,$C1088-J1088),MIN(0.6,Matchup!$C$40*SQRT($B1088)/(1-MIN(0.75,Matchup!$C$39*$B1088))),RAND())</f>
        <v>1</v>
      </c>
      <c r="O1088" s="0" t="n">
        <f aca="false">6*J1088+(J1088-K1088-M1088)+2*L1088+3*N1088</f>
        <v>3</v>
      </c>
      <c r="P1088" s="0" t="n">
        <f aca="true">RAND()</f>
        <v>0.983623195878107</v>
      </c>
      <c r="Q1088" s="0" t="n">
        <f aca="true">RAND()</f>
        <v>0.533790990975259</v>
      </c>
      <c r="R1088" s="0" t="n">
        <f aca="false">IF($I1088&lt;&gt;$O1088,0,IF(P1088&lt;Matchup!$B$39,7,IF(P1088&lt;Matchup!$B$39+Matchup!$B$40,3,0)))</f>
        <v>0</v>
      </c>
      <c r="S1088" s="0" t="n">
        <f aca="false">IF($I1088&lt;&gt;$O1088,0,IF(Q1088&lt;Matchup!$C$39,7,IF(Q1088&lt;Matchup!$C$39+Matchup!$C$40,3,0)))</f>
        <v>0</v>
      </c>
      <c r="T1088" s="0" t="n">
        <f aca="false">I1088+R1088</f>
        <v>42</v>
      </c>
      <c r="U1088" s="0" t="n">
        <f aca="false">O1088+S1088</f>
        <v>3</v>
      </c>
      <c r="V1088" s="0" t="n">
        <f aca="false">T1088-U1088</f>
        <v>39</v>
      </c>
      <c r="W1088" s="0" t="n">
        <f aca="false">T1088+U1088</f>
        <v>45</v>
      </c>
    </row>
    <row r="1089" customFormat="false" ht="15" hidden="false" customHeight="false" outlineLevel="0" collapsed="false">
      <c r="A1089" s="0" t="n">
        <v>1086</v>
      </c>
      <c r="B1089" s="0" t="n">
        <f aca="true">NORMINV(RAND(),1,Coefficients!$B$22)</f>
        <v>0.912896417070588</v>
      </c>
      <c r="C1089" s="0" t="n">
        <f aca="true">MEDIAN(8,16,ROUND(NORMINV(RAND(),Coefficients!$B$20,Coefficients!$B$21),0))</f>
        <v>11</v>
      </c>
      <c r="D1089" s="0" t="n">
        <f aca="true">CRITBINOM($C1089,MIN(0.75,Matchup!$B$39*$B1089),RAND())</f>
        <v>4</v>
      </c>
      <c r="E1089" s="0" t="n">
        <f aca="true">CRITBINOM(D1089,Coefficients!$B$30,RAND())</f>
        <v>0</v>
      </c>
      <c r="F1089" s="0" t="n">
        <f aca="true">CRITBINOM(E1089,Coefficients!$B$31,RAND())</f>
        <v>0</v>
      </c>
      <c r="G1089" s="0" t="n">
        <f aca="true">CRITBINOM(MAX(0,D1089-E1089),1-Coefficients!$B$32,RAND())</f>
        <v>0</v>
      </c>
      <c r="H1089" s="0" t="n">
        <f aca="true">CRITBINOM(MAX(0,$C1089-D1089),MIN(0.6,Matchup!$B$40*SQRT($B1089)/(1-MIN(0.75,Matchup!$B$39*$B1089))),RAND())</f>
        <v>0</v>
      </c>
      <c r="I1089" s="0" t="n">
        <f aca="false">6*D1089+(D1089-E1089-G1089)+2*F1089+3*H1089</f>
        <v>28</v>
      </c>
      <c r="J1089" s="0" t="n">
        <f aca="true">CRITBINOM($C1089,MIN(0.75,Matchup!$C$39*$B1089),RAND())</f>
        <v>4</v>
      </c>
      <c r="K1089" s="0" t="n">
        <f aca="true">CRITBINOM(J1089,Coefficients!$B$30,RAND())</f>
        <v>1</v>
      </c>
      <c r="L1089" s="0" t="n">
        <f aca="true">CRITBINOM(K1089,Coefficients!$B$31,RAND())</f>
        <v>0</v>
      </c>
      <c r="M1089" s="0" t="n">
        <f aca="true">CRITBINOM(MAX(0,J1089-K1089),1-Coefficients!$B$32,RAND())</f>
        <v>0</v>
      </c>
      <c r="N1089" s="0" t="n">
        <f aca="true">CRITBINOM(MAX(0,$C1089-J1089),MIN(0.6,Matchup!$C$40*SQRT($B1089)/(1-MIN(0.75,Matchup!$C$39*$B1089))),RAND())</f>
        <v>1</v>
      </c>
      <c r="O1089" s="0" t="n">
        <f aca="false">6*J1089+(J1089-K1089-M1089)+2*L1089+3*N1089</f>
        <v>30</v>
      </c>
      <c r="P1089" s="0" t="n">
        <f aca="true">RAND()</f>
        <v>0.876208549067639</v>
      </c>
      <c r="Q1089" s="0" t="n">
        <f aca="true">RAND()</f>
        <v>0.444823557859707</v>
      </c>
      <c r="R1089" s="0" t="n">
        <f aca="false">IF($I1089&lt;&gt;$O1089,0,IF(P1089&lt;Matchup!$B$39,7,IF(P1089&lt;Matchup!$B$39+Matchup!$B$40,3,0)))</f>
        <v>0</v>
      </c>
      <c r="S1089" s="0" t="n">
        <f aca="false">IF($I1089&lt;&gt;$O1089,0,IF(Q1089&lt;Matchup!$C$39,7,IF(Q1089&lt;Matchup!$C$39+Matchup!$C$40,3,0)))</f>
        <v>0</v>
      </c>
      <c r="T1089" s="0" t="n">
        <f aca="false">I1089+R1089</f>
        <v>28</v>
      </c>
      <c r="U1089" s="0" t="n">
        <f aca="false">O1089+S1089</f>
        <v>30</v>
      </c>
      <c r="V1089" s="0" t="n">
        <f aca="false">T1089-U1089</f>
        <v>-2</v>
      </c>
      <c r="W1089" s="0" t="n">
        <f aca="false">T1089+U1089</f>
        <v>58</v>
      </c>
    </row>
    <row r="1090" customFormat="false" ht="15" hidden="false" customHeight="false" outlineLevel="0" collapsed="false">
      <c r="A1090" s="0" t="n">
        <v>1087</v>
      </c>
      <c r="B1090" s="0" t="n">
        <f aca="true">NORMINV(RAND(),1,Coefficients!$B$22)</f>
        <v>1.08810869590947</v>
      </c>
      <c r="C1090" s="0" t="n">
        <f aca="true">MEDIAN(8,16,ROUND(NORMINV(RAND(),Coefficients!$B$20,Coefficients!$B$21),0))</f>
        <v>11</v>
      </c>
      <c r="D1090" s="0" t="n">
        <f aca="true">CRITBINOM($C1090,MIN(0.75,Matchup!$B$39*$B1090),RAND())</f>
        <v>5</v>
      </c>
      <c r="E1090" s="0" t="n">
        <f aca="true">CRITBINOM(D1090,Coefficients!$B$30,RAND())</f>
        <v>0</v>
      </c>
      <c r="F1090" s="0" t="n">
        <f aca="true">CRITBINOM(E1090,Coefficients!$B$31,RAND())</f>
        <v>0</v>
      </c>
      <c r="G1090" s="0" t="n">
        <f aca="true">CRITBINOM(MAX(0,D1090-E1090),1-Coefficients!$B$32,RAND())</f>
        <v>0</v>
      </c>
      <c r="H1090" s="0" t="n">
        <f aca="true">CRITBINOM(MAX(0,$C1090-D1090),MIN(0.6,Matchup!$B$40*SQRT($B1090)/(1-MIN(0.75,Matchup!$B$39*$B1090))),RAND())</f>
        <v>1</v>
      </c>
      <c r="I1090" s="0" t="n">
        <f aca="false">6*D1090+(D1090-E1090-G1090)+2*F1090+3*H1090</f>
        <v>38</v>
      </c>
      <c r="J1090" s="0" t="n">
        <f aca="true">CRITBINOM($C1090,MIN(0.75,Matchup!$C$39*$B1090),RAND())</f>
        <v>4</v>
      </c>
      <c r="K1090" s="0" t="n">
        <f aca="true">CRITBINOM(J1090,Coefficients!$B$30,RAND())</f>
        <v>0</v>
      </c>
      <c r="L1090" s="0" t="n">
        <f aca="true">CRITBINOM(K1090,Coefficients!$B$31,RAND())</f>
        <v>0</v>
      </c>
      <c r="M1090" s="0" t="n">
        <f aca="true">CRITBINOM(MAX(0,J1090-K1090),1-Coefficients!$B$32,RAND())</f>
        <v>0</v>
      </c>
      <c r="N1090" s="0" t="n">
        <f aca="true">CRITBINOM(MAX(0,$C1090-J1090),MIN(0.6,Matchup!$C$40*SQRT($B1090)/(1-MIN(0.75,Matchup!$C$39*$B1090))),RAND())</f>
        <v>1</v>
      </c>
      <c r="O1090" s="0" t="n">
        <f aca="false">6*J1090+(J1090-K1090-M1090)+2*L1090+3*N1090</f>
        <v>31</v>
      </c>
      <c r="P1090" s="0" t="n">
        <f aca="true">RAND()</f>
        <v>0.514803755802792</v>
      </c>
      <c r="Q1090" s="0" t="n">
        <f aca="true">RAND()</f>
        <v>0.158309789829168</v>
      </c>
      <c r="R1090" s="0" t="n">
        <f aca="false">IF($I1090&lt;&gt;$O1090,0,IF(P1090&lt;Matchup!$B$39,7,IF(P1090&lt;Matchup!$B$39+Matchup!$B$40,3,0)))</f>
        <v>0</v>
      </c>
      <c r="S1090" s="0" t="n">
        <f aca="false">IF($I1090&lt;&gt;$O1090,0,IF(Q1090&lt;Matchup!$C$39,7,IF(Q1090&lt;Matchup!$C$39+Matchup!$C$40,3,0)))</f>
        <v>0</v>
      </c>
      <c r="T1090" s="0" t="n">
        <f aca="false">I1090+R1090</f>
        <v>38</v>
      </c>
      <c r="U1090" s="0" t="n">
        <f aca="false">O1090+S1090</f>
        <v>31</v>
      </c>
      <c r="V1090" s="0" t="n">
        <f aca="false">T1090-U1090</f>
        <v>7</v>
      </c>
      <c r="W1090" s="0" t="n">
        <f aca="false">T1090+U1090</f>
        <v>69</v>
      </c>
    </row>
    <row r="1091" customFormat="false" ht="15" hidden="false" customHeight="false" outlineLevel="0" collapsed="false">
      <c r="A1091" s="0" t="n">
        <v>1088</v>
      </c>
      <c r="B1091" s="0" t="n">
        <f aca="true">NORMINV(RAND(),1,Coefficients!$B$22)</f>
        <v>1.01796051831047</v>
      </c>
      <c r="C1091" s="0" t="n">
        <f aca="true">MEDIAN(8,16,ROUND(NORMINV(RAND(),Coefficients!$B$20,Coefficients!$B$21),0))</f>
        <v>9</v>
      </c>
      <c r="D1091" s="0" t="n">
        <f aca="true">CRITBINOM($C1091,MIN(0.75,Matchup!$B$39*$B1091),RAND())</f>
        <v>2</v>
      </c>
      <c r="E1091" s="0" t="n">
        <f aca="true">CRITBINOM(D1091,Coefficients!$B$30,RAND())</f>
        <v>0</v>
      </c>
      <c r="F1091" s="0" t="n">
        <f aca="true">CRITBINOM(E1091,Coefficients!$B$31,RAND())</f>
        <v>0</v>
      </c>
      <c r="G1091" s="0" t="n">
        <f aca="true">CRITBINOM(MAX(0,D1091-E1091),1-Coefficients!$B$32,RAND())</f>
        <v>0</v>
      </c>
      <c r="H1091" s="0" t="n">
        <f aca="true">CRITBINOM(MAX(0,$C1091-D1091),MIN(0.6,Matchup!$B$40*SQRT($B1091)/(1-MIN(0.75,Matchup!$B$39*$B1091))),RAND())</f>
        <v>2</v>
      </c>
      <c r="I1091" s="0" t="n">
        <f aca="false">6*D1091+(D1091-E1091-G1091)+2*F1091+3*H1091</f>
        <v>20</v>
      </c>
      <c r="J1091" s="0" t="n">
        <f aca="true">CRITBINOM($C1091,MIN(0.75,Matchup!$C$39*$B1091),RAND())</f>
        <v>5</v>
      </c>
      <c r="K1091" s="0" t="n">
        <f aca="true">CRITBINOM(J1091,Coefficients!$B$30,RAND())</f>
        <v>0</v>
      </c>
      <c r="L1091" s="0" t="n">
        <f aca="true">CRITBINOM(K1091,Coefficients!$B$31,RAND())</f>
        <v>0</v>
      </c>
      <c r="M1091" s="0" t="n">
        <f aca="true">CRITBINOM(MAX(0,J1091-K1091),1-Coefficients!$B$32,RAND())</f>
        <v>1</v>
      </c>
      <c r="N1091" s="0" t="n">
        <f aca="true">CRITBINOM(MAX(0,$C1091-J1091),MIN(0.6,Matchup!$C$40*SQRT($B1091)/(1-MIN(0.75,Matchup!$C$39*$B1091))),RAND())</f>
        <v>1</v>
      </c>
      <c r="O1091" s="0" t="n">
        <f aca="false">6*J1091+(J1091-K1091-M1091)+2*L1091+3*N1091</f>
        <v>37</v>
      </c>
      <c r="P1091" s="0" t="n">
        <f aca="true">RAND()</f>
        <v>0.420194034018783</v>
      </c>
      <c r="Q1091" s="0" t="n">
        <f aca="true">RAND()</f>
        <v>0.431162520745258</v>
      </c>
      <c r="R1091" s="0" t="n">
        <f aca="false">IF($I1091&lt;&gt;$O1091,0,IF(P1091&lt;Matchup!$B$39,7,IF(P1091&lt;Matchup!$B$39+Matchup!$B$40,3,0)))</f>
        <v>0</v>
      </c>
      <c r="S1091" s="0" t="n">
        <f aca="false">IF($I1091&lt;&gt;$O1091,0,IF(Q1091&lt;Matchup!$C$39,7,IF(Q1091&lt;Matchup!$C$39+Matchup!$C$40,3,0)))</f>
        <v>0</v>
      </c>
      <c r="T1091" s="0" t="n">
        <f aca="false">I1091+R1091</f>
        <v>20</v>
      </c>
      <c r="U1091" s="0" t="n">
        <f aca="false">O1091+S1091</f>
        <v>37</v>
      </c>
      <c r="V1091" s="0" t="n">
        <f aca="false">T1091-U1091</f>
        <v>-17</v>
      </c>
      <c r="W1091" s="0" t="n">
        <f aca="false">T1091+U1091</f>
        <v>57</v>
      </c>
    </row>
    <row r="1092" customFormat="false" ht="15" hidden="false" customHeight="false" outlineLevel="0" collapsed="false">
      <c r="A1092" s="0" t="n">
        <v>1089</v>
      </c>
      <c r="B1092" s="0" t="n">
        <f aca="true">NORMINV(RAND(),1,Coefficients!$B$22)</f>
        <v>1.05132987062028</v>
      </c>
      <c r="C1092" s="0" t="n">
        <f aca="true">MEDIAN(8,16,ROUND(NORMINV(RAND(),Coefficients!$B$20,Coefficients!$B$21),0))</f>
        <v>10</v>
      </c>
      <c r="D1092" s="0" t="n">
        <f aca="true">CRITBINOM($C1092,MIN(0.75,Matchup!$B$39*$B1092),RAND())</f>
        <v>3</v>
      </c>
      <c r="E1092" s="0" t="n">
        <f aca="true">CRITBINOM(D1092,Coefficients!$B$30,RAND())</f>
        <v>0</v>
      </c>
      <c r="F1092" s="0" t="n">
        <f aca="true">CRITBINOM(E1092,Coefficients!$B$31,RAND())</f>
        <v>0</v>
      </c>
      <c r="G1092" s="0" t="n">
        <f aca="true">CRITBINOM(MAX(0,D1092-E1092),1-Coefficients!$B$32,RAND())</f>
        <v>1</v>
      </c>
      <c r="H1092" s="0" t="n">
        <f aca="true">CRITBINOM(MAX(0,$C1092-D1092),MIN(0.6,Matchup!$B$40*SQRT($B1092)/(1-MIN(0.75,Matchup!$B$39*$B1092))),RAND())</f>
        <v>1</v>
      </c>
      <c r="I1092" s="0" t="n">
        <f aca="false">6*D1092+(D1092-E1092-G1092)+2*F1092+3*H1092</f>
        <v>23</v>
      </c>
      <c r="J1092" s="0" t="n">
        <f aca="true">CRITBINOM($C1092,MIN(0.75,Matchup!$C$39*$B1092),RAND())</f>
        <v>4</v>
      </c>
      <c r="K1092" s="0" t="n">
        <f aca="true">CRITBINOM(J1092,Coefficients!$B$30,RAND())</f>
        <v>0</v>
      </c>
      <c r="L1092" s="0" t="n">
        <f aca="true">CRITBINOM(K1092,Coefficients!$B$31,RAND())</f>
        <v>0</v>
      </c>
      <c r="M1092" s="0" t="n">
        <f aca="true">CRITBINOM(MAX(0,J1092-K1092),1-Coefficients!$B$32,RAND())</f>
        <v>0</v>
      </c>
      <c r="N1092" s="0" t="n">
        <f aca="true">CRITBINOM(MAX(0,$C1092-J1092),MIN(0.6,Matchup!$C$40*SQRT($B1092)/(1-MIN(0.75,Matchup!$C$39*$B1092))),RAND())</f>
        <v>3</v>
      </c>
      <c r="O1092" s="0" t="n">
        <f aca="false">6*J1092+(J1092-K1092-M1092)+2*L1092+3*N1092</f>
        <v>37</v>
      </c>
      <c r="P1092" s="0" t="n">
        <f aca="true">RAND()</f>
        <v>0.530704811983261</v>
      </c>
      <c r="Q1092" s="0" t="n">
        <f aca="true">RAND()</f>
        <v>0.318912955964391</v>
      </c>
      <c r="R1092" s="0" t="n">
        <f aca="false">IF($I1092&lt;&gt;$O1092,0,IF(P1092&lt;Matchup!$B$39,7,IF(P1092&lt;Matchup!$B$39+Matchup!$B$40,3,0)))</f>
        <v>0</v>
      </c>
      <c r="S1092" s="0" t="n">
        <f aca="false">IF($I1092&lt;&gt;$O1092,0,IF(Q1092&lt;Matchup!$C$39,7,IF(Q1092&lt;Matchup!$C$39+Matchup!$C$40,3,0)))</f>
        <v>0</v>
      </c>
      <c r="T1092" s="0" t="n">
        <f aca="false">I1092+R1092</f>
        <v>23</v>
      </c>
      <c r="U1092" s="0" t="n">
        <f aca="false">O1092+S1092</f>
        <v>37</v>
      </c>
      <c r="V1092" s="0" t="n">
        <f aca="false">T1092-U1092</f>
        <v>-14</v>
      </c>
      <c r="W1092" s="0" t="n">
        <f aca="false">T1092+U1092</f>
        <v>60</v>
      </c>
    </row>
    <row r="1093" customFormat="false" ht="15" hidden="false" customHeight="false" outlineLevel="0" collapsed="false">
      <c r="A1093" s="0" t="n">
        <v>1090</v>
      </c>
      <c r="B1093" s="0" t="n">
        <f aca="true">NORMINV(RAND(),1,Coefficients!$B$22)</f>
        <v>1.12581266934294</v>
      </c>
      <c r="C1093" s="0" t="n">
        <f aca="true">MEDIAN(8,16,ROUND(NORMINV(RAND(),Coefficients!$B$20,Coefficients!$B$21),0))</f>
        <v>10</v>
      </c>
      <c r="D1093" s="0" t="n">
        <f aca="true">CRITBINOM($C1093,MIN(0.75,Matchup!$B$39*$B1093),RAND())</f>
        <v>2</v>
      </c>
      <c r="E1093" s="0" t="n">
        <f aca="true">CRITBINOM(D1093,Coefficients!$B$30,RAND())</f>
        <v>0</v>
      </c>
      <c r="F1093" s="0" t="n">
        <f aca="true">CRITBINOM(E1093,Coefficients!$B$31,RAND())</f>
        <v>0</v>
      </c>
      <c r="G1093" s="0" t="n">
        <f aca="true">CRITBINOM(MAX(0,D1093-E1093),1-Coefficients!$B$32,RAND())</f>
        <v>0</v>
      </c>
      <c r="H1093" s="0" t="n">
        <f aca="true">CRITBINOM(MAX(0,$C1093-D1093),MIN(0.6,Matchup!$B$40*SQRT($B1093)/(1-MIN(0.75,Matchup!$B$39*$B1093))),RAND())</f>
        <v>1</v>
      </c>
      <c r="I1093" s="0" t="n">
        <f aca="false">6*D1093+(D1093-E1093-G1093)+2*F1093+3*H1093</f>
        <v>17</v>
      </c>
      <c r="J1093" s="0" t="n">
        <f aca="true">CRITBINOM($C1093,MIN(0.75,Matchup!$C$39*$B1093),RAND())</f>
        <v>3</v>
      </c>
      <c r="K1093" s="0" t="n">
        <f aca="true">CRITBINOM(J1093,Coefficients!$B$30,RAND())</f>
        <v>0</v>
      </c>
      <c r="L1093" s="0" t="n">
        <f aca="true">CRITBINOM(K1093,Coefficients!$B$31,RAND())</f>
        <v>0</v>
      </c>
      <c r="M1093" s="0" t="n">
        <f aca="true">CRITBINOM(MAX(0,J1093-K1093),1-Coefficients!$B$32,RAND())</f>
        <v>0</v>
      </c>
      <c r="N1093" s="0" t="n">
        <f aca="true">CRITBINOM(MAX(0,$C1093-J1093),MIN(0.6,Matchup!$C$40*SQRT($B1093)/(1-MIN(0.75,Matchup!$C$39*$B1093))),RAND())</f>
        <v>2</v>
      </c>
      <c r="O1093" s="0" t="n">
        <f aca="false">6*J1093+(J1093-K1093-M1093)+2*L1093+3*N1093</f>
        <v>27</v>
      </c>
      <c r="P1093" s="0" t="n">
        <f aca="true">RAND()</f>
        <v>0.600347370480613</v>
      </c>
      <c r="Q1093" s="0" t="n">
        <f aca="true">RAND()</f>
        <v>0.785492874814955</v>
      </c>
      <c r="R1093" s="0" t="n">
        <f aca="false">IF($I1093&lt;&gt;$O1093,0,IF(P1093&lt;Matchup!$B$39,7,IF(P1093&lt;Matchup!$B$39+Matchup!$B$40,3,0)))</f>
        <v>0</v>
      </c>
      <c r="S1093" s="0" t="n">
        <f aca="false">IF($I1093&lt;&gt;$O1093,0,IF(Q1093&lt;Matchup!$C$39,7,IF(Q1093&lt;Matchup!$C$39+Matchup!$C$40,3,0)))</f>
        <v>0</v>
      </c>
      <c r="T1093" s="0" t="n">
        <f aca="false">I1093+R1093</f>
        <v>17</v>
      </c>
      <c r="U1093" s="0" t="n">
        <f aca="false">O1093+S1093</f>
        <v>27</v>
      </c>
      <c r="V1093" s="0" t="n">
        <f aca="false">T1093-U1093</f>
        <v>-10</v>
      </c>
      <c r="W1093" s="0" t="n">
        <f aca="false">T1093+U1093</f>
        <v>44</v>
      </c>
    </row>
    <row r="1094" customFormat="false" ht="15" hidden="false" customHeight="false" outlineLevel="0" collapsed="false">
      <c r="A1094" s="0" t="n">
        <v>1091</v>
      </c>
      <c r="B1094" s="0" t="n">
        <f aca="true">NORMINV(RAND(),1,Coefficients!$B$22)</f>
        <v>0.896796926175184</v>
      </c>
      <c r="C1094" s="0" t="n">
        <f aca="true">MEDIAN(8,16,ROUND(NORMINV(RAND(),Coefficients!$B$20,Coefficients!$B$21),0))</f>
        <v>11</v>
      </c>
      <c r="D1094" s="0" t="n">
        <f aca="true">CRITBINOM($C1094,MIN(0.75,Matchup!$B$39*$B1094),RAND())</f>
        <v>4</v>
      </c>
      <c r="E1094" s="0" t="n">
        <f aca="true">CRITBINOM(D1094,Coefficients!$B$30,RAND())</f>
        <v>1</v>
      </c>
      <c r="F1094" s="0" t="n">
        <f aca="true">CRITBINOM(E1094,Coefficients!$B$31,RAND())</f>
        <v>1</v>
      </c>
      <c r="G1094" s="0" t="n">
        <f aca="true">CRITBINOM(MAX(0,D1094-E1094),1-Coefficients!$B$32,RAND())</f>
        <v>0</v>
      </c>
      <c r="H1094" s="0" t="n">
        <f aca="true">CRITBINOM(MAX(0,$C1094-D1094),MIN(0.6,Matchup!$B$40*SQRT($B1094)/(1-MIN(0.75,Matchup!$B$39*$B1094))),RAND())</f>
        <v>0</v>
      </c>
      <c r="I1094" s="0" t="n">
        <f aca="false">6*D1094+(D1094-E1094-G1094)+2*F1094+3*H1094</f>
        <v>29</v>
      </c>
      <c r="J1094" s="0" t="n">
        <f aca="true">CRITBINOM($C1094,MIN(0.75,Matchup!$C$39*$B1094),RAND())</f>
        <v>2</v>
      </c>
      <c r="K1094" s="0" t="n">
        <f aca="true">CRITBINOM(J1094,Coefficients!$B$30,RAND())</f>
        <v>0</v>
      </c>
      <c r="L1094" s="0" t="n">
        <f aca="true">CRITBINOM(K1094,Coefficients!$B$31,RAND())</f>
        <v>0</v>
      </c>
      <c r="M1094" s="0" t="n">
        <f aca="true">CRITBINOM(MAX(0,J1094-K1094),1-Coefficients!$B$32,RAND())</f>
        <v>0</v>
      </c>
      <c r="N1094" s="0" t="n">
        <f aca="true">CRITBINOM(MAX(0,$C1094-J1094),MIN(0.6,Matchup!$C$40*SQRT($B1094)/(1-MIN(0.75,Matchup!$C$39*$B1094))),RAND())</f>
        <v>0</v>
      </c>
      <c r="O1094" s="0" t="n">
        <f aca="false">6*J1094+(J1094-K1094-M1094)+2*L1094+3*N1094</f>
        <v>14</v>
      </c>
      <c r="P1094" s="0" t="n">
        <f aca="true">RAND()</f>
        <v>0.202312256382281</v>
      </c>
      <c r="Q1094" s="0" t="n">
        <f aca="true">RAND()</f>
        <v>0.0420286275121646</v>
      </c>
      <c r="R1094" s="0" t="n">
        <f aca="false">IF($I1094&lt;&gt;$O1094,0,IF(P1094&lt;Matchup!$B$39,7,IF(P1094&lt;Matchup!$B$39+Matchup!$B$40,3,0)))</f>
        <v>0</v>
      </c>
      <c r="S1094" s="0" t="n">
        <f aca="false">IF($I1094&lt;&gt;$O1094,0,IF(Q1094&lt;Matchup!$C$39,7,IF(Q1094&lt;Matchup!$C$39+Matchup!$C$40,3,0)))</f>
        <v>0</v>
      </c>
      <c r="T1094" s="0" t="n">
        <f aca="false">I1094+R1094</f>
        <v>29</v>
      </c>
      <c r="U1094" s="0" t="n">
        <f aca="false">O1094+S1094</f>
        <v>14</v>
      </c>
      <c r="V1094" s="0" t="n">
        <f aca="false">T1094-U1094</f>
        <v>15</v>
      </c>
      <c r="W1094" s="0" t="n">
        <f aca="false">T1094+U1094</f>
        <v>43</v>
      </c>
    </row>
    <row r="1095" customFormat="false" ht="15" hidden="false" customHeight="false" outlineLevel="0" collapsed="false">
      <c r="A1095" s="0" t="n">
        <v>1092</v>
      </c>
      <c r="B1095" s="0" t="n">
        <f aca="true">NORMINV(RAND(),1,Coefficients!$B$22)</f>
        <v>0.987986892140985</v>
      </c>
      <c r="C1095" s="0" t="n">
        <f aca="true">MEDIAN(8,16,ROUND(NORMINV(RAND(),Coefficients!$B$20,Coefficients!$B$21),0))</f>
        <v>10</v>
      </c>
      <c r="D1095" s="0" t="n">
        <f aca="true">CRITBINOM($C1095,MIN(0.75,Matchup!$B$39*$B1095),RAND())</f>
        <v>3</v>
      </c>
      <c r="E1095" s="0" t="n">
        <f aca="true">CRITBINOM(D1095,Coefficients!$B$30,RAND())</f>
        <v>1</v>
      </c>
      <c r="F1095" s="0" t="n">
        <f aca="true">CRITBINOM(E1095,Coefficients!$B$31,RAND())</f>
        <v>0</v>
      </c>
      <c r="G1095" s="0" t="n">
        <f aca="true">CRITBINOM(MAX(0,D1095-E1095),1-Coefficients!$B$32,RAND())</f>
        <v>1</v>
      </c>
      <c r="H1095" s="0" t="n">
        <f aca="true">CRITBINOM(MAX(0,$C1095-D1095),MIN(0.6,Matchup!$B$40*SQRT($B1095)/(1-MIN(0.75,Matchup!$B$39*$B1095))),RAND())</f>
        <v>0</v>
      </c>
      <c r="I1095" s="0" t="n">
        <f aca="false">6*D1095+(D1095-E1095-G1095)+2*F1095+3*H1095</f>
        <v>19</v>
      </c>
      <c r="J1095" s="0" t="n">
        <f aca="true">CRITBINOM($C1095,MIN(0.75,Matchup!$C$39*$B1095),RAND())</f>
        <v>0</v>
      </c>
      <c r="K1095" s="0" t="n">
        <f aca="true">CRITBINOM(J1095,Coefficients!$B$30,RAND())</f>
        <v>0</v>
      </c>
      <c r="L1095" s="0" t="n">
        <f aca="true">CRITBINOM(K1095,Coefficients!$B$31,RAND())</f>
        <v>0</v>
      </c>
      <c r="M1095" s="0" t="n">
        <f aca="true">CRITBINOM(MAX(0,J1095-K1095),1-Coefficients!$B$32,RAND())</f>
        <v>0</v>
      </c>
      <c r="N1095" s="0" t="n">
        <f aca="true">CRITBINOM(MAX(0,$C1095-J1095),MIN(0.6,Matchup!$C$40*SQRT($B1095)/(1-MIN(0.75,Matchup!$C$39*$B1095))),RAND())</f>
        <v>5</v>
      </c>
      <c r="O1095" s="0" t="n">
        <f aca="false">6*J1095+(J1095-K1095-M1095)+2*L1095+3*N1095</f>
        <v>15</v>
      </c>
      <c r="P1095" s="0" t="n">
        <f aca="true">RAND()</f>
        <v>0.875424103940525</v>
      </c>
      <c r="Q1095" s="0" t="n">
        <f aca="true">RAND()</f>
        <v>0.916235183720555</v>
      </c>
      <c r="R1095" s="0" t="n">
        <f aca="false">IF($I1095&lt;&gt;$O1095,0,IF(P1095&lt;Matchup!$B$39,7,IF(P1095&lt;Matchup!$B$39+Matchup!$B$40,3,0)))</f>
        <v>0</v>
      </c>
      <c r="S1095" s="0" t="n">
        <f aca="false">IF($I1095&lt;&gt;$O1095,0,IF(Q1095&lt;Matchup!$C$39,7,IF(Q1095&lt;Matchup!$C$39+Matchup!$C$40,3,0)))</f>
        <v>0</v>
      </c>
      <c r="T1095" s="0" t="n">
        <f aca="false">I1095+R1095</f>
        <v>19</v>
      </c>
      <c r="U1095" s="0" t="n">
        <f aca="false">O1095+S1095</f>
        <v>15</v>
      </c>
      <c r="V1095" s="0" t="n">
        <f aca="false">T1095-U1095</f>
        <v>4</v>
      </c>
      <c r="W1095" s="0" t="n">
        <f aca="false">T1095+U1095</f>
        <v>34</v>
      </c>
    </row>
    <row r="1096" customFormat="false" ht="15" hidden="false" customHeight="false" outlineLevel="0" collapsed="false">
      <c r="A1096" s="0" t="n">
        <v>1093</v>
      </c>
      <c r="B1096" s="0" t="n">
        <f aca="true">NORMINV(RAND(),1,Coefficients!$B$22)</f>
        <v>0.928702218868119</v>
      </c>
      <c r="C1096" s="0" t="n">
        <f aca="true">MEDIAN(8,16,ROUND(NORMINV(RAND(),Coefficients!$B$20,Coefficients!$B$21),0))</f>
        <v>10</v>
      </c>
      <c r="D1096" s="0" t="n">
        <f aca="true">CRITBINOM($C1096,MIN(0.75,Matchup!$B$39*$B1096),RAND())</f>
        <v>2</v>
      </c>
      <c r="E1096" s="0" t="n">
        <f aca="true">CRITBINOM(D1096,Coefficients!$B$30,RAND())</f>
        <v>0</v>
      </c>
      <c r="F1096" s="0" t="n">
        <f aca="true">CRITBINOM(E1096,Coefficients!$B$31,RAND())</f>
        <v>0</v>
      </c>
      <c r="G1096" s="0" t="n">
        <f aca="true">CRITBINOM(MAX(0,D1096-E1096),1-Coefficients!$B$32,RAND())</f>
        <v>0</v>
      </c>
      <c r="H1096" s="0" t="n">
        <f aca="true">CRITBINOM(MAX(0,$C1096-D1096),MIN(0.6,Matchup!$B$40*SQRT($B1096)/(1-MIN(0.75,Matchup!$B$39*$B1096))),RAND())</f>
        <v>1</v>
      </c>
      <c r="I1096" s="0" t="n">
        <f aca="false">6*D1096+(D1096-E1096-G1096)+2*F1096+3*H1096</f>
        <v>17</v>
      </c>
      <c r="J1096" s="0" t="n">
        <f aca="true">CRITBINOM($C1096,MIN(0.75,Matchup!$C$39*$B1096),RAND())</f>
        <v>5</v>
      </c>
      <c r="K1096" s="0" t="n">
        <f aca="true">CRITBINOM(J1096,Coefficients!$B$30,RAND())</f>
        <v>0</v>
      </c>
      <c r="L1096" s="0" t="n">
        <f aca="true">CRITBINOM(K1096,Coefficients!$B$31,RAND())</f>
        <v>0</v>
      </c>
      <c r="M1096" s="0" t="n">
        <f aca="true">CRITBINOM(MAX(0,J1096-K1096),1-Coefficients!$B$32,RAND())</f>
        <v>0</v>
      </c>
      <c r="N1096" s="0" t="n">
        <f aca="true">CRITBINOM(MAX(0,$C1096-J1096),MIN(0.6,Matchup!$C$40*SQRT($B1096)/(1-MIN(0.75,Matchup!$C$39*$B1096))),RAND())</f>
        <v>1</v>
      </c>
      <c r="O1096" s="0" t="n">
        <f aca="false">6*J1096+(J1096-K1096-M1096)+2*L1096+3*N1096</f>
        <v>38</v>
      </c>
      <c r="P1096" s="0" t="n">
        <f aca="true">RAND()</f>
        <v>0.0863758751839304</v>
      </c>
      <c r="Q1096" s="0" t="n">
        <f aca="true">RAND()</f>
        <v>0.387087225058539</v>
      </c>
      <c r="R1096" s="0" t="n">
        <f aca="false">IF($I1096&lt;&gt;$O1096,0,IF(P1096&lt;Matchup!$B$39,7,IF(P1096&lt;Matchup!$B$39+Matchup!$B$40,3,0)))</f>
        <v>0</v>
      </c>
      <c r="S1096" s="0" t="n">
        <f aca="false">IF($I1096&lt;&gt;$O1096,0,IF(Q1096&lt;Matchup!$C$39,7,IF(Q1096&lt;Matchup!$C$39+Matchup!$C$40,3,0)))</f>
        <v>0</v>
      </c>
      <c r="T1096" s="0" t="n">
        <f aca="false">I1096+R1096</f>
        <v>17</v>
      </c>
      <c r="U1096" s="0" t="n">
        <f aca="false">O1096+S1096</f>
        <v>38</v>
      </c>
      <c r="V1096" s="0" t="n">
        <f aca="false">T1096-U1096</f>
        <v>-21</v>
      </c>
      <c r="W1096" s="0" t="n">
        <f aca="false">T1096+U1096</f>
        <v>55</v>
      </c>
    </row>
    <row r="1097" customFormat="false" ht="15" hidden="false" customHeight="false" outlineLevel="0" collapsed="false">
      <c r="A1097" s="0" t="n">
        <v>1094</v>
      </c>
      <c r="B1097" s="0" t="n">
        <f aca="true">NORMINV(RAND(),1,Coefficients!$B$22)</f>
        <v>0.925883457853312</v>
      </c>
      <c r="C1097" s="0" t="n">
        <f aca="true">MEDIAN(8,16,ROUND(NORMINV(RAND(),Coefficients!$B$20,Coefficients!$B$21),0))</f>
        <v>11</v>
      </c>
      <c r="D1097" s="0" t="n">
        <f aca="true">CRITBINOM($C1097,MIN(0.75,Matchup!$B$39*$B1097),RAND())</f>
        <v>3</v>
      </c>
      <c r="E1097" s="0" t="n">
        <f aca="true">CRITBINOM(D1097,Coefficients!$B$30,RAND())</f>
        <v>0</v>
      </c>
      <c r="F1097" s="0" t="n">
        <f aca="true">CRITBINOM(E1097,Coefficients!$B$31,RAND())</f>
        <v>0</v>
      </c>
      <c r="G1097" s="0" t="n">
        <f aca="true">CRITBINOM(MAX(0,D1097-E1097),1-Coefficients!$B$32,RAND())</f>
        <v>0</v>
      </c>
      <c r="H1097" s="0" t="n">
        <f aca="true">CRITBINOM(MAX(0,$C1097-D1097),MIN(0.6,Matchup!$B$40*SQRT($B1097)/(1-MIN(0.75,Matchup!$B$39*$B1097))),RAND())</f>
        <v>1</v>
      </c>
      <c r="I1097" s="0" t="n">
        <f aca="false">6*D1097+(D1097-E1097-G1097)+2*F1097+3*H1097</f>
        <v>24</v>
      </c>
      <c r="J1097" s="0" t="n">
        <f aca="true">CRITBINOM($C1097,MIN(0.75,Matchup!$C$39*$B1097),RAND())</f>
        <v>2</v>
      </c>
      <c r="K1097" s="0" t="n">
        <f aca="true">CRITBINOM(J1097,Coefficients!$B$30,RAND())</f>
        <v>0</v>
      </c>
      <c r="L1097" s="0" t="n">
        <f aca="true">CRITBINOM(K1097,Coefficients!$B$31,RAND())</f>
        <v>0</v>
      </c>
      <c r="M1097" s="0" t="n">
        <f aca="true">CRITBINOM(MAX(0,J1097-K1097),1-Coefficients!$B$32,RAND())</f>
        <v>1</v>
      </c>
      <c r="N1097" s="0" t="n">
        <f aca="true">CRITBINOM(MAX(0,$C1097-J1097),MIN(0.6,Matchup!$C$40*SQRT($B1097)/(1-MIN(0.75,Matchup!$C$39*$B1097))),RAND())</f>
        <v>1</v>
      </c>
      <c r="O1097" s="0" t="n">
        <f aca="false">6*J1097+(J1097-K1097-M1097)+2*L1097+3*N1097</f>
        <v>16</v>
      </c>
      <c r="P1097" s="0" t="n">
        <f aca="true">RAND()</f>
        <v>0.351890612801485</v>
      </c>
      <c r="Q1097" s="0" t="n">
        <f aca="true">RAND()</f>
        <v>0.439115987099548</v>
      </c>
      <c r="R1097" s="0" t="n">
        <f aca="false">IF($I1097&lt;&gt;$O1097,0,IF(P1097&lt;Matchup!$B$39,7,IF(P1097&lt;Matchup!$B$39+Matchup!$B$40,3,0)))</f>
        <v>0</v>
      </c>
      <c r="S1097" s="0" t="n">
        <f aca="false">IF($I1097&lt;&gt;$O1097,0,IF(Q1097&lt;Matchup!$C$39,7,IF(Q1097&lt;Matchup!$C$39+Matchup!$C$40,3,0)))</f>
        <v>0</v>
      </c>
      <c r="T1097" s="0" t="n">
        <f aca="false">I1097+R1097</f>
        <v>24</v>
      </c>
      <c r="U1097" s="0" t="n">
        <f aca="false">O1097+S1097</f>
        <v>16</v>
      </c>
      <c r="V1097" s="0" t="n">
        <f aca="false">T1097-U1097</f>
        <v>8</v>
      </c>
      <c r="W1097" s="0" t="n">
        <f aca="false">T1097+U1097</f>
        <v>40</v>
      </c>
    </row>
    <row r="1098" customFormat="false" ht="15" hidden="false" customHeight="false" outlineLevel="0" collapsed="false">
      <c r="A1098" s="0" t="n">
        <v>1095</v>
      </c>
      <c r="B1098" s="0" t="n">
        <f aca="true">NORMINV(RAND(),1,Coefficients!$B$22)</f>
        <v>1.12920615677751</v>
      </c>
      <c r="C1098" s="0" t="n">
        <f aca="true">MEDIAN(8,16,ROUND(NORMINV(RAND(),Coefficients!$B$20,Coefficients!$B$21),0))</f>
        <v>10</v>
      </c>
      <c r="D1098" s="0" t="n">
        <f aca="true">CRITBINOM($C1098,MIN(0.75,Matchup!$B$39*$B1098),RAND())</f>
        <v>4</v>
      </c>
      <c r="E1098" s="0" t="n">
        <f aca="true">CRITBINOM(D1098,Coefficients!$B$30,RAND())</f>
        <v>0</v>
      </c>
      <c r="F1098" s="0" t="n">
        <f aca="true">CRITBINOM(E1098,Coefficients!$B$31,RAND())</f>
        <v>0</v>
      </c>
      <c r="G1098" s="0" t="n">
        <f aca="true">CRITBINOM(MAX(0,D1098-E1098),1-Coefficients!$B$32,RAND())</f>
        <v>1</v>
      </c>
      <c r="H1098" s="0" t="n">
        <f aca="true">CRITBINOM(MAX(0,$C1098-D1098),MIN(0.6,Matchup!$B$40*SQRT($B1098)/(1-MIN(0.75,Matchup!$B$39*$B1098))),RAND())</f>
        <v>0</v>
      </c>
      <c r="I1098" s="0" t="n">
        <f aca="false">6*D1098+(D1098-E1098-G1098)+2*F1098+3*H1098</f>
        <v>27</v>
      </c>
      <c r="J1098" s="0" t="n">
        <f aca="true">CRITBINOM($C1098,MIN(0.75,Matchup!$C$39*$B1098),RAND())</f>
        <v>3</v>
      </c>
      <c r="K1098" s="0" t="n">
        <f aca="true">CRITBINOM(J1098,Coefficients!$B$30,RAND())</f>
        <v>0</v>
      </c>
      <c r="L1098" s="0" t="n">
        <f aca="true">CRITBINOM(K1098,Coefficients!$B$31,RAND())</f>
        <v>0</v>
      </c>
      <c r="M1098" s="0" t="n">
        <f aca="true">CRITBINOM(MAX(0,J1098-K1098),1-Coefficients!$B$32,RAND())</f>
        <v>0</v>
      </c>
      <c r="N1098" s="0" t="n">
        <f aca="true">CRITBINOM(MAX(0,$C1098-J1098),MIN(0.6,Matchup!$C$40*SQRT($B1098)/(1-MIN(0.75,Matchup!$C$39*$B1098))),RAND())</f>
        <v>0</v>
      </c>
      <c r="O1098" s="0" t="n">
        <f aca="false">6*J1098+(J1098-K1098-M1098)+2*L1098+3*N1098</f>
        <v>21</v>
      </c>
      <c r="P1098" s="0" t="n">
        <f aca="true">RAND()</f>
        <v>0.997162862453839</v>
      </c>
      <c r="Q1098" s="0" t="n">
        <f aca="true">RAND()</f>
        <v>0.998488678774072</v>
      </c>
      <c r="R1098" s="0" t="n">
        <f aca="false">IF($I1098&lt;&gt;$O1098,0,IF(P1098&lt;Matchup!$B$39,7,IF(P1098&lt;Matchup!$B$39+Matchup!$B$40,3,0)))</f>
        <v>0</v>
      </c>
      <c r="S1098" s="0" t="n">
        <f aca="false">IF($I1098&lt;&gt;$O1098,0,IF(Q1098&lt;Matchup!$C$39,7,IF(Q1098&lt;Matchup!$C$39+Matchup!$C$40,3,0)))</f>
        <v>0</v>
      </c>
      <c r="T1098" s="0" t="n">
        <f aca="false">I1098+R1098</f>
        <v>27</v>
      </c>
      <c r="U1098" s="0" t="n">
        <f aca="false">O1098+S1098</f>
        <v>21</v>
      </c>
      <c r="V1098" s="0" t="n">
        <f aca="false">T1098-U1098</f>
        <v>6</v>
      </c>
      <c r="W1098" s="0" t="n">
        <f aca="false">T1098+U1098</f>
        <v>48</v>
      </c>
    </row>
    <row r="1099" customFormat="false" ht="15" hidden="false" customHeight="false" outlineLevel="0" collapsed="false">
      <c r="A1099" s="0" t="n">
        <v>1096</v>
      </c>
      <c r="B1099" s="0" t="n">
        <f aca="true">NORMINV(RAND(),1,Coefficients!$B$22)</f>
        <v>1.06286887008831</v>
      </c>
      <c r="C1099" s="0" t="n">
        <f aca="true">MEDIAN(8,16,ROUND(NORMINV(RAND(),Coefficients!$B$20,Coefficients!$B$21),0))</f>
        <v>11</v>
      </c>
      <c r="D1099" s="0" t="n">
        <f aca="true">CRITBINOM($C1099,MIN(0.75,Matchup!$B$39*$B1099),RAND())</f>
        <v>2</v>
      </c>
      <c r="E1099" s="0" t="n">
        <f aca="true">CRITBINOM(D1099,Coefficients!$B$30,RAND())</f>
        <v>0</v>
      </c>
      <c r="F1099" s="0" t="n">
        <f aca="true">CRITBINOM(E1099,Coefficients!$B$31,RAND())</f>
        <v>0</v>
      </c>
      <c r="G1099" s="0" t="n">
        <f aca="true">CRITBINOM(MAX(0,D1099-E1099),1-Coefficients!$B$32,RAND())</f>
        <v>0</v>
      </c>
      <c r="H1099" s="0" t="n">
        <f aca="true">CRITBINOM(MAX(0,$C1099-D1099),MIN(0.6,Matchup!$B$40*SQRT($B1099)/(1-MIN(0.75,Matchup!$B$39*$B1099))),RAND())</f>
        <v>4</v>
      </c>
      <c r="I1099" s="0" t="n">
        <f aca="false">6*D1099+(D1099-E1099-G1099)+2*F1099+3*H1099</f>
        <v>26</v>
      </c>
      <c r="J1099" s="0" t="n">
        <f aca="true">CRITBINOM($C1099,MIN(0.75,Matchup!$C$39*$B1099),RAND())</f>
        <v>1</v>
      </c>
      <c r="K1099" s="0" t="n">
        <f aca="true">CRITBINOM(J1099,Coefficients!$B$30,RAND())</f>
        <v>0</v>
      </c>
      <c r="L1099" s="0" t="n">
        <f aca="true">CRITBINOM(K1099,Coefficients!$B$31,RAND())</f>
        <v>0</v>
      </c>
      <c r="M1099" s="0" t="n">
        <f aca="true">CRITBINOM(MAX(0,J1099-K1099),1-Coefficients!$B$32,RAND())</f>
        <v>0</v>
      </c>
      <c r="N1099" s="0" t="n">
        <f aca="true">CRITBINOM(MAX(0,$C1099-J1099),MIN(0.6,Matchup!$C$40*SQRT($B1099)/(1-MIN(0.75,Matchup!$C$39*$B1099))),RAND())</f>
        <v>3</v>
      </c>
      <c r="O1099" s="0" t="n">
        <f aca="false">6*J1099+(J1099-K1099-M1099)+2*L1099+3*N1099</f>
        <v>16</v>
      </c>
      <c r="P1099" s="0" t="n">
        <f aca="true">RAND()</f>
        <v>0.465780298918302</v>
      </c>
      <c r="Q1099" s="0" t="n">
        <f aca="true">RAND()</f>
        <v>0.309922575206683</v>
      </c>
      <c r="R1099" s="0" t="n">
        <f aca="false">IF($I1099&lt;&gt;$O1099,0,IF(P1099&lt;Matchup!$B$39,7,IF(P1099&lt;Matchup!$B$39+Matchup!$B$40,3,0)))</f>
        <v>0</v>
      </c>
      <c r="S1099" s="0" t="n">
        <f aca="false">IF($I1099&lt;&gt;$O1099,0,IF(Q1099&lt;Matchup!$C$39,7,IF(Q1099&lt;Matchup!$C$39+Matchup!$C$40,3,0)))</f>
        <v>0</v>
      </c>
      <c r="T1099" s="0" t="n">
        <f aca="false">I1099+R1099</f>
        <v>26</v>
      </c>
      <c r="U1099" s="0" t="n">
        <f aca="false">O1099+S1099</f>
        <v>16</v>
      </c>
      <c r="V1099" s="0" t="n">
        <f aca="false">T1099-U1099</f>
        <v>10</v>
      </c>
      <c r="W1099" s="0" t="n">
        <f aca="false">T1099+U1099</f>
        <v>42</v>
      </c>
    </row>
    <row r="1100" customFormat="false" ht="15" hidden="false" customHeight="false" outlineLevel="0" collapsed="false">
      <c r="A1100" s="0" t="n">
        <v>1097</v>
      </c>
      <c r="B1100" s="0" t="n">
        <f aca="true">NORMINV(RAND(),1,Coefficients!$B$22)</f>
        <v>1.04637249139026</v>
      </c>
      <c r="C1100" s="0" t="n">
        <f aca="true">MEDIAN(8,16,ROUND(NORMINV(RAND(),Coefficients!$B$20,Coefficients!$B$21),0))</f>
        <v>10</v>
      </c>
      <c r="D1100" s="0" t="n">
        <f aca="true">CRITBINOM($C1100,MIN(0.75,Matchup!$B$39*$B1100),RAND())</f>
        <v>2</v>
      </c>
      <c r="E1100" s="0" t="n">
        <f aca="true">CRITBINOM(D1100,Coefficients!$B$30,RAND())</f>
        <v>0</v>
      </c>
      <c r="F1100" s="0" t="n">
        <f aca="true">CRITBINOM(E1100,Coefficients!$B$31,RAND())</f>
        <v>0</v>
      </c>
      <c r="G1100" s="0" t="n">
        <f aca="true">CRITBINOM(MAX(0,D1100-E1100),1-Coefficients!$B$32,RAND())</f>
        <v>0</v>
      </c>
      <c r="H1100" s="0" t="n">
        <f aca="true">CRITBINOM(MAX(0,$C1100-D1100),MIN(0.6,Matchup!$B$40*SQRT($B1100)/(1-MIN(0.75,Matchup!$B$39*$B1100))),RAND())</f>
        <v>2</v>
      </c>
      <c r="I1100" s="0" t="n">
        <f aca="false">6*D1100+(D1100-E1100-G1100)+2*F1100+3*H1100</f>
        <v>20</v>
      </c>
      <c r="J1100" s="0" t="n">
        <f aca="true">CRITBINOM($C1100,MIN(0.75,Matchup!$C$39*$B1100),RAND())</f>
        <v>4</v>
      </c>
      <c r="K1100" s="0" t="n">
        <f aca="true">CRITBINOM(J1100,Coefficients!$B$30,RAND())</f>
        <v>1</v>
      </c>
      <c r="L1100" s="0" t="n">
        <f aca="true">CRITBINOM(K1100,Coefficients!$B$31,RAND())</f>
        <v>0</v>
      </c>
      <c r="M1100" s="0" t="n">
        <f aca="true">CRITBINOM(MAX(0,J1100-K1100),1-Coefficients!$B$32,RAND())</f>
        <v>0</v>
      </c>
      <c r="N1100" s="0" t="n">
        <f aca="true">CRITBINOM(MAX(0,$C1100-J1100),MIN(0.6,Matchup!$C$40*SQRT($B1100)/(1-MIN(0.75,Matchup!$C$39*$B1100))),RAND())</f>
        <v>1</v>
      </c>
      <c r="O1100" s="0" t="n">
        <f aca="false">6*J1100+(J1100-K1100-M1100)+2*L1100+3*N1100</f>
        <v>30</v>
      </c>
      <c r="P1100" s="0" t="n">
        <f aca="true">RAND()</f>
        <v>0.90883385120764</v>
      </c>
      <c r="Q1100" s="0" t="n">
        <f aca="true">RAND()</f>
        <v>0.658877135288005</v>
      </c>
      <c r="R1100" s="0" t="n">
        <f aca="false">IF($I1100&lt;&gt;$O1100,0,IF(P1100&lt;Matchup!$B$39,7,IF(P1100&lt;Matchup!$B$39+Matchup!$B$40,3,0)))</f>
        <v>0</v>
      </c>
      <c r="S1100" s="0" t="n">
        <f aca="false">IF($I1100&lt;&gt;$O1100,0,IF(Q1100&lt;Matchup!$C$39,7,IF(Q1100&lt;Matchup!$C$39+Matchup!$C$40,3,0)))</f>
        <v>0</v>
      </c>
      <c r="T1100" s="0" t="n">
        <f aca="false">I1100+R1100</f>
        <v>20</v>
      </c>
      <c r="U1100" s="0" t="n">
        <f aca="false">O1100+S1100</f>
        <v>30</v>
      </c>
      <c r="V1100" s="0" t="n">
        <f aca="false">T1100-U1100</f>
        <v>-10</v>
      </c>
      <c r="W1100" s="0" t="n">
        <f aca="false">T1100+U1100</f>
        <v>50</v>
      </c>
    </row>
    <row r="1101" customFormat="false" ht="15" hidden="false" customHeight="false" outlineLevel="0" collapsed="false">
      <c r="A1101" s="0" t="n">
        <v>1098</v>
      </c>
      <c r="B1101" s="0" t="n">
        <f aca="true">NORMINV(RAND(),1,Coefficients!$B$22)</f>
        <v>1.00059013979066</v>
      </c>
      <c r="C1101" s="0" t="n">
        <f aca="true">MEDIAN(8,16,ROUND(NORMINV(RAND(),Coefficients!$B$20,Coefficients!$B$21),0))</f>
        <v>11</v>
      </c>
      <c r="D1101" s="0" t="n">
        <f aca="true">CRITBINOM($C1101,MIN(0.75,Matchup!$B$39*$B1101),RAND())</f>
        <v>5</v>
      </c>
      <c r="E1101" s="0" t="n">
        <f aca="true">CRITBINOM(D1101,Coefficients!$B$30,RAND())</f>
        <v>1</v>
      </c>
      <c r="F1101" s="0" t="n">
        <f aca="true">CRITBINOM(E1101,Coefficients!$B$31,RAND())</f>
        <v>1</v>
      </c>
      <c r="G1101" s="0" t="n">
        <f aca="true">CRITBINOM(MAX(0,D1101-E1101),1-Coefficients!$B$32,RAND())</f>
        <v>1</v>
      </c>
      <c r="H1101" s="0" t="n">
        <f aca="true">CRITBINOM(MAX(0,$C1101-D1101),MIN(0.6,Matchup!$B$40*SQRT($B1101)/(1-MIN(0.75,Matchup!$B$39*$B1101))),RAND())</f>
        <v>2</v>
      </c>
      <c r="I1101" s="0" t="n">
        <f aca="false">6*D1101+(D1101-E1101-G1101)+2*F1101+3*H1101</f>
        <v>41</v>
      </c>
      <c r="J1101" s="0" t="n">
        <f aca="true">CRITBINOM($C1101,MIN(0.75,Matchup!$C$39*$B1101),RAND())</f>
        <v>1</v>
      </c>
      <c r="K1101" s="0" t="n">
        <f aca="true">CRITBINOM(J1101,Coefficients!$B$30,RAND())</f>
        <v>0</v>
      </c>
      <c r="L1101" s="0" t="n">
        <f aca="true">CRITBINOM(K1101,Coefficients!$B$31,RAND())</f>
        <v>0</v>
      </c>
      <c r="M1101" s="0" t="n">
        <f aca="true">CRITBINOM(MAX(0,J1101-K1101),1-Coefficients!$B$32,RAND())</f>
        <v>0</v>
      </c>
      <c r="N1101" s="0" t="n">
        <f aca="true">CRITBINOM(MAX(0,$C1101-J1101),MIN(0.6,Matchup!$C$40*SQRT($B1101)/(1-MIN(0.75,Matchup!$C$39*$B1101))),RAND())</f>
        <v>1</v>
      </c>
      <c r="O1101" s="0" t="n">
        <f aca="false">6*J1101+(J1101-K1101-M1101)+2*L1101+3*N1101</f>
        <v>10</v>
      </c>
      <c r="P1101" s="0" t="n">
        <f aca="true">RAND()</f>
        <v>0.993326306144572</v>
      </c>
      <c r="Q1101" s="0" t="n">
        <f aca="true">RAND()</f>
        <v>0.162509890062122</v>
      </c>
      <c r="R1101" s="0" t="n">
        <f aca="false">IF($I1101&lt;&gt;$O1101,0,IF(P1101&lt;Matchup!$B$39,7,IF(P1101&lt;Matchup!$B$39+Matchup!$B$40,3,0)))</f>
        <v>0</v>
      </c>
      <c r="S1101" s="0" t="n">
        <f aca="false">IF($I1101&lt;&gt;$O1101,0,IF(Q1101&lt;Matchup!$C$39,7,IF(Q1101&lt;Matchup!$C$39+Matchup!$C$40,3,0)))</f>
        <v>0</v>
      </c>
      <c r="T1101" s="0" t="n">
        <f aca="false">I1101+R1101</f>
        <v>41</v>
      </c>
      <c r="U1101" s="0" t="n">
        <f aca="false">O1101+S1101</f>
        <v>10</v>
      </c>
      <c r="V1101" s="0" t="n">
        <f aca="false">T1101-U1101</f>
        <v>31</v>
      </c>
      <c r="W1101" s="0" t="n">
        <f aca="false">T1101+U1101</f>
        <v>51</v>
      </c>
    </row>
    <row r="1102" customFormat="false" ht="15" hidden="false" customHeight="false" outlineLevel="0" collapsed="false">
      <c r="A1102" s="0" t="n">
        <v>1099</v>
      </c>
      <c r="B1102" s="0" t="n">
        <f aca="true">NORMINV(RAND(),1,Coefficients!$B$22)</f>
        <v>0.847863818021551</v>
      </c>
      <c r="C1102" s="0" t="n">
        <f aca="true">MEDIAN(8,16,ROUND(NORMINV(RAND(),Coefficients!$B$20,Coefficients!$B$21),0))</f>
        <v>12</v>
      </c>
      <c r="D1102" s="0" t="n">
        <f aca="true">CRITBINOM($C1102,MIN(0.75,Matchup!$B$39*$B1102),RAND())</f>
        <v>3</v>
      </c>
      <c r="E1102" s="0" t="n">
        <f aca="true">CRITBINOM(D1102,Coefficients!$B$30,RAND())</f>
        <v>0</v>
      </c>
      <c r="F1102" s="0" t="n">
        <f aca="true">CRITBINOM(E1102,Coefficients!$B$31,RAND())</f>
        <v>0</v>
      </c>
      <c r="G1102" s="0" t="n">
        <f aca="true">CRITBINOM(MAX(0,D1102-E1102),1-Coefficients!$B$32,RAND())</f>
        <v>0</v>
      </c>
      <c r="H1102" s="0" t="n">
        <f aca="true">CRITBINOM(MAX(0,$C1102-D1102),MIN(0.6,Matchup!$B$40*SQRT($B1102)/(1-MIN(0.75,Matchup!$B$39*$B1102))),RAND())</f>
        <v>1</v>
      </c>
      <c r="I1102" s="0" t="n">
        <f aca="false">6*D1102+(D1102-E1102-G1102)+2*F1102+3*H1102</f>
        <v>24</v>
      </c>
      <c r="J1102" s="0" t="n">
        <f aca="true">CRITBINOM($C1102,MIN(0.75,Matchup!$C$39*$B1102),RAND())</f>
        <v>2</v>
      </c>
      <c r="K1102" s="0" t="n">
        <f aca="true">CRITBINOM(J1102,Coefficients!$B$30,RAND())</f>
        <v>0</v>
      </c>
      <c r="L1102" s="0" t="n">
        <f aca="true">CRITBINOM(K1102,Coefficients!$B$31,RAND())</f>
        <v>0</v>
      </c>
      <c r="M1102" s="0" t="n">
        <f aca="true">CRITBINOM(MAX(0,J1102-K1102),1-Coefficients!$B$32,RAND())</f>
        <v>0</v>
      </c>
      <c r="N1102" s="0" t="n">
        <f aca="true">CRITBINOM(MAX(0,$C1102-J1102),MIN(0.6,Matchup!$C$40*SQRT($B1102)/(1-MIN(0.75,Matchup!$C$39*$B1102))),RAND())</f>
        <v>2</v>
      </c>
      <c r="O1102" s="0" t="n">
        <f aca="false">6*J1102+(J1102-K1102-M1102)+2*L1102+3*N1102</f>
        <v>20</v>
      </c>
      <c r="P1102" s="0" t="n">
        <f aca="true">RAND()</f>
        <v>0.814394977630667</v>
      </c>
      <c r="Q1102" s="0" t="n">
        <f aca="true">RAND()</f>
        <v>0.0537258693118661</v>
      </c>
      <c r="R1102" s="0" t="n">
        <f aca="false">IF($I1102&lt;&gt;$O1102,0,IF(P1102&lt;Matchup!$B$39,7,IF(P1102&lt;Matchup!$B$39+Matchup!$B$40,3,0)))</f>
        <v>0</v>
      </c>
      <c r="S1102" s="0" t="n">
        <f aca="false">IF($I1102&lt;&gt;$O1102,0,IF(Q1102&lt;Matchup!$C$39,7,IF(Q1102&lt;Matchup!$C$39+Matchup!$C$40,3,0)))</f>
        <v>0</v>
      </c>
      <c r="T1102" s="0" t="n">
        <f aca="false">I1102+R1102</f>
        <v>24</v>
      </c>
      <c r="U1102" s="0" t="n">
        <f aca="false">O1102+S1102</f>
        <v>20</v>
      </c>
      <c r="V1102" s="0" t="n">
        <f aca="false">T1102-U1102</f>
        <v>4</v>
      </c>
      <c r="W1102" s="0" t="n">
        <f aca="false">T1102+U1102</f>
        <v>44</v>
      </c>
    </row>
    <row r="1103" customFormat="false" ht="15" hidden="false" customHeight="false" outlineLevel="0" collapsed="false">
      <c r="A1103" s="0" t="n">
        <v>1100</v>
      </c>
      <c r="B1103" s="0" t="n">
        <f aca="true">NORMINV(RAND(),1,Coefficients!$B$22)</f>
        <v>0.980649771908539</v>
      </c>
      <c r="C1103" s="0" t="n">
        <f aca="true">MEDIAN(8,16,ROUND(NORMINV(RAND(),Coefficients!$B$20,Coefficients!$B$21),0))</f>
        <v>10</v>
      </c>
      <c r="D1103" s="0" t="n">
        <f aca="true">CRITBINOM($C1103,MIN(0.75,Matchup!$B$39*$B1103),RAND())</f>
        <v>2</v>
      </c>
      <c r="E1103" s="0" t="n">
        <f aca="true">CRITBINOM(D1103,Coefficients!$B$30,RAND())</f>
        <v>0</v>
      </c>
      <c r="F1103" s="0" t="n">
        <f aca="true">CRITBINOM(E1103,Coefficients!$B$31,RAND())</f>
        <v>0</v>
      </c>
      <c r="G1103" s="0" t="n">
        <f aca="true">CRITBINOM(MAX(0,D1103-E1103),1-Coefficients!$B$32,RAND())</f>
        <v>0</v>
      </c>
      <c r="H1103" s="0" t="n">
        <f aca="true">CRITBINOM(MAX(0,$C1103-D1103),MIN(0.6,Matchup!$B$40*SQRT($B1103)/(1-MIN(0.75,Matchup!$B$39*$B1103))),RAND())</f>
        <v>2</v>
      </c>
      <c r="I1103" s="0" t="n">
        <f aca="false">6*D1103+(D1103-E1103-G1103)+2*F1103+3*H1103</f>
        <v>20</v>
      </c>
      <c r="J1103" s="0" t="n">
        <f aca="true">CRITBINOM($C1103,MIN(0.75,Matchup!$C$39*$B1103),RAND())</f>
        <v>3</v>
      </c>
      <c r="K1103" s="0" t="n">
        <f aca="true">CRITBINOM(J1103,Coefficients!$B$30,RAND())</f>
        <v>0</v>
      </c>
      <c r="L1103" s="0" t="n">
        <f aca="true">CRITBINOM(K1103,Coefficients!$B$31,RAND())</f>
        <v>0</v>
      </c>
      <c r="M1103" s="0" t="n">
        <f aca="true">CRITBINOM(MAX(0,J1103-K1103),1-Coefficients!$B$32,RAND())</f>
        <v>0</v>
      </c>
      <c r="N1103" s="0" t="n">
        <f aca="true">CRITBINOM(MAX(0,$C1103-J1103),MIN(0.6,Matchup!$C$40*SQRT($B1103)/(1-MIN(0.75,Matchup!$C$39*$B1103))),RAND())</f>
        <v>1</v>
      </c>
      <c r="O1103" s="0" t="n">
        <f aca="false">6*J1103+(J1103-K1103-M1103)+2*L1103+3*N1103</f>
        <v>24</v>
      </c>
      <c r="P1103" s="0" t="n">
        <f aca="true">RAND()</f>
        <v>0.162667006543658</v>
      </c>
      <c r="Q1103" s="0" t="n">
        <f aca="true">RAND()</f>
        <v>0.333890890075689</v>
      </c>
      <c r="R1103" s="0" t="n">
        <f aca="false">IF($I1103&lt;&gt;$O1103,0,IF(P1103&lt;Matchup!$B$39,7,IF(P1103&lt;Matchup!$B$39+Matchup!$B$40,3,0)))</f>
        <v>0</v>
      </c>
      <c r="S1103" s="0" t="n">
        <f aca="false">IF($I1103&lt;&gt;$O1103,0,IF(Q1103&lt;Matchup!$C$39,7,IF(Q1103&lt;Matchup!$C$39+Matchup!$C$40,3,0)))</f>
        <v>0</v>
      </c>
      <c r="T1103" s="0" t="n">
        <f aca="false">I1103+R1103</f>
        <v>20</v>
      </c>
      <c r="U1103" s="0" t="n">
        <f aca="false">O1103+S1103</f>
        <v>24</v>
      </c>
      <c r="V1103" s="0" t="n">
        <f aca="false">T1103-U1103</f>
        <v>-4</v>
      </c>
      <c r="W1103" s="0" t="n">
        <f aca="false">T1103+U1103</f>
        <v>44</v>
      </c>
    </row>
    <row r="1104" customFormat="false" ht="15" hidden="false" customHeight="false" outlineLevel="0" collapsed="false">
      <c r="A1104" s="0" t="n">
        <v>1101</v>
      </c>
      <c r="B1104" s="0" t="n">
        <f aca="true">NORMINV(RAND(),1,Coefficients!$B$22)</f>
        <v>1.03699825811093</v>
      </c>
      <c r="C1104" s="0" t="n">
        <f aca="true">MEDIAN(8,16,ROUND(NORMINV(RAND(),Coefficients!$B$20,Coefficients!$B$21),0))</f>
        <v>12</v>
      </c>
      <c r="D1104" s="0" t="n">
        <f aca="true">CRITBINOM($C1104,MIN(0.75,Matchup!$B$39*$B1104),RAND())</f>
        <v>3</v>
      </c>
      <c r="E1104" s="0" t="n">
        <f aca="true">CRITBINOM(D1104,Coefficients!$B$30,RAND())</f>
        <v>1</v>
      </c>
      <c r="F1104" s="0" t="n">
        <f aca="true">CRITBINOM(E1104,Coefficients!$B$31,RAND())</f>
        <v>1</v>
      </c>
      <c r="G1104" s="0" t="n">
        <f aca="true">CRITBINOM(MAX(0,D1104-E1104),1-Coefficients!$B$32,RAND())</f>
        <v>0</v>
      </c>
      <c r="H1104" s="0" t="n">
        <f aca="true">CRITBINOM(MAX(0,$C1104-D1104),MIN(0.6,Matchup!$B$40*SQRT($B1104)/(1-MIN(0.75,Matchup!$B$39*$B1104))),RAND())</f>
        <v>1</v>
      </c>
      <c r="I1104" s="0" t="n">
        <f aca="false">6*D1104+(D1104-E1104-G1104)+2*F1104+3*H1104</f>
        <v>25</v>
      </c>
      <c r="J1104" s="0" t="n">
        <f aca="true">CRITBINOM($C1104,MIN(0.75,Matchup!$C$39*$B1104),RAND())</f>
        <v>2</v>
      </c>
      <c r="K1104" s="0" t="n">
        <f aca="true">CRITBINOM(J1104,Coefficients!$B$30,RAND())</f>
        <v>0</v>
      </c>
      <c r="L1104" s="0" t="n">
        <f aca="true">CRITBINOM(K1104,Coefficients!$B$31,RAND())</f>
        <v>0</v>
      </c>
      <c r="M1104" s="0" t="n">
        <f aca="true">CRITBINOM(MAX(0,J1104-K1104),1-Coefficients!$B$32,RAND())</f>
        <v>0</v>
      </c>
      <c r="N1104" s="0" t="n">
        <f aca="true">CRITBINOM(MAX(0,$C1104-J1104),MIN(0.6,Matchup!$C$40*SQRT($B1104)/(1-MIN(0.75,Matchup!$C$39*$B1104))),RAND())</f>
        <v>1</v>
      </c>
      <c r="O1104" s="0" t="n">
        <f aca="false">6*J1104+(J1104-K1104-M1104)+2*L1104+3*N1104</f>
        <v>17</v>
      </c>
      <c r="P1104" s="0" t="n">
        <f aca="true">RAND()</f>
        <v>0.971673914139567</v>
      </c>
      <c r="Q1104" s="0" t="n">
        <f aca="true">RAND()</f>
        <v>0.116728506810824</v>
      </c>
      <c r="R1104" s="0" t="n">
        <f aca="false">IF($I1104&lt;&gt;$O1104,0,IF(P1104&lt;Matchup!$B$39,7,IF(P1104&lt;Matchup!$B$39+Matchup!$B$40,3,0)))</f>
        <v>0</v>
      </c>
      <c r="S1104" s="0" t="n">
        <f aca="false">IF($I1104&lt;&gt;$O1104,0,IF(Q1104&lt;Matchup!$C$39,7,IF(Q1104&lt;Matchup!$C$39+Matchup!$C$40,3,0)))</f>
        <v>0</v>
      </c>
      <c r="T1104" s="0" t="n">
        <f aca="false">I1104+R1104</f>
        <v>25</v>
      </c>
      <c r="U1104" s="0" t="n">
        <f aca="false">O1104+S1104</f>
        <v>17</v>
      </c>
      <c r="V1104" s="0" t="n">
        <f aca="false">T1104-U1104</f>
        <v>8</v>
      </c>
      <c r="W1104" s="0" t="n">
        <f aca="false">T1104+U1104</f>
        <v>42</v>
      </c>
    </row>
    <row r="1105" customFormat="false" ht="15" hidden="false" customHeight="false" outlineLevel="0" collapsed="false">
      <c r="A1105" s="0" t="n">
        <v>1102</v>
      </c>
      <c r="B1105" s="0" t="n">
        <f aca="true">NORMINV(RAND(),1,Coefficients!$B$22)</f>
        <v>1.02170598883249</v>
      </c>
      <c r="C1105" s="0" t="n">
        <f aca="true">MEDIAN(8,16,ROUND(NORMINV(RAND(),Coefficients!$B$20,Coefficients!$B$21),0))</f>
        <v>12</v>
      </c>
      <c r="D1105" s="0" t="n">
        <f aca="true">CRITBINOM($C1105,MIN(0.75,Matchup!$B$39*$B1105),RAND())</f>
        <v>5</v>
      </c>
      <c r="E1105" s="0" t="n">
        <f aca="true">CRITBINOM(D1105,Coefficients!$B$30,RAND())</f>
        <v>0</v>
      </c>
      <c r="F1105" s="0" t="n">
        <f aca="true">CRITBINOM(E1105,Coefficients!$B$31,RAND())</f>
        <v>0</v>
      </c>
      <c r="G1105" s="0" t="n">
        <f aca="true">CRITBINOM(MAX(0,D1105-E1105),1-Coefficients!$B$32,RAND())</f>
        <v>0</v>
      </c>
      <c r="H1105" s="0" t="n">
        <f aca="true">CRITBINOM(MAX(0,$C1105-D1105),MIN(0.6,Matchup!$B$40*SQRT($B1105)/(1-MIN(0.75,Matchup!$B$39*$B1105))),RAND())</f>
        <v>2</v>
      </c>
      <c r="I1105" s="0" t="n">
        <f aca="false">6*D1105+(D1105-E1105-G1105)+2*F1105+3*H1105</f>
        <v>41</v>
      </c>
      <c r="J1105" s="0" t="n">
        <f aca="true">CRITBINOM($C1105,MIN(0.75,Matchup!$C$39*$B1105),RAND())</f>
        <v>2</v>
      </c>
      <c r="K1105" s="0" t="n">
        <f aca="true">CRITBINOM(J1105,Coefficients!$B$30,RAND())</f>
        <v>0</v>
      </c>
      <c r="L1105" s="0" t="n">
        <f aca="true">CRITBINOM(K1105,Coefficients!$B$31,RAND())</f>
        <v>0</v>
      </c>
      <c r="M1105" s="0" t="n">
        <f aca="true">CRITBINOM(MAX(0,J1105-K1105),1-Coefficients!$B$32,RAND())</f>
        <v>0</v>
      </c>
      <c r="N1105" s="0" t="n">
        <f aca="true">CRITBINOM(MAX(0,$C1105-J1105),MIN(0.6,Matchup!$C$40*SQRT($B1105)/(1-MIN(0.75,Matchup!$C$39*$B1105))),RAND())</f>
        <v>2</v>
      </c>
      <c r="O1105" s="0" t="n">
        <f aca="false">6*J1105+(J1105-K1105-M1105)+2*L1105+3*N1105</f>
        <v>20</v>
      </c>
      <c r="P1105" s="0" t="n">
        <f aca="true">RAND()</f>
        <v>0.314867510767913</v>
      </c>
      <c r="Q1105" s="0" t="n">
        <f aca="true">RAND()</f>
        <v>0.597354161723999</v>
      </c>
      <c r="R1105" s="0" t="n">
        <f aca="false">IF($I1105&lt;&gt;$O1105,0,IF(P1105&lt;Matchup!$B$39,7,IF(P1105&lt;Matchup!$B$39+Matchup!$B$40,3,0)))</f>
        <v>0</v>
      </c>
      <c r="S1105" s="0" t="n">
        <f aca="false">IF($I1105&lt;&gt;$O1105,0,IF(Q1105&lt;Matchup!$C$39,7,IF(Q1105&lt;Matchup!$C$39+Matchup!$C$40,3,0)))</f>
        <v>0</v>
      </c>
      <c r="T1105" s="0" t="n">
        <f aca="false">I1105+R1105</f>
        <v>41</v>
      </c>
      <c r="U1105" s="0" t="n">
        <f aca="false">O1105+S1105</f>
        <v>20</v>
      </c>
      <c r="V1105" s="0" t="n">
        <f aca="false">T1105-U1105</f>
        <v>21</v>
      </c>
      <c r="W1105" s="0" t="n">
        <f aca="false">T1105+U1105</f>
        <v>61</v>
      </c>
    </row>
    <row r="1106" customFormat="false" ht="15" hidden="false" customHeight="false" outlineLevel="0" collapsed="false">
      <c r="A1106" s="0" t="n">
        <v>1103</v>
      </c>
      <c r="B1106" s="0" t="n">
        <f aca="true">NORMINV(RAND(),1,Coefficients!$B$22)</f>
        <v>1.00448975138813</v>
      </c>
      <c r="C1106" s="0" t="n">
        <f aca="true">MEDIAN(8,16,ROUND(NORMINV(RAND(),Coefficients!$B$20,Coefficients!$B$21),0))</f>
        <v>10</v>
      </c>
      <c r="D1106" s="0" t="n">
        <f aca="true">CRITBINOM($C1106,MIN(0.75,Matchup!$B$39*$B1106),RAND())</f>
        <v>4</v>
      </c>
      <c r="E1106" s="0" t="n">
        <f aca="true">CRITBINOM(D1106,Coefficients!$B$30,RAND())</f>
        <v>2</v>
      </c>
      <c r="F1106" s="0" t="n">
        <f aca="true">CRITBINOM(E1106,Coefficients!$B$31,RAND())</f>
        <v>0</v>
      </c>
      <c r="G1106" s="0" t="n">
        <f aca="true">CRITBINOM(MAX(0,D1106-E1106),1-Coefficients!$B$32,RAND())</f>
        <v>0</v>
      </c>
      <c r="H1106" s="0" t="n">
        <f aca="true">CRITBINOM(MAX(0,$C1106-D1106),MIN(0.6,Matchup!$B$40*SQRT($B1106)/(1-MIN(0.75,Matchup!$B$39*$B1106))),RAND())</f>
        <v>3</v>
      </c>
      <c r="I1106" s="0" t="n">
        <f aca="false">6*D1106+(D1106-E1106-G1106)+2*F1106+3*H1106</f>
        <v>35</v>
      </c>
      <c r="J1106" s="0" t="n">
        <f aca="true">CRITBINOM($C1106,MIN(0.75,Matchup!$C$39*$B1106),RAND())</f>
        <v>2</v>
      </c>
      <c r="K1106" s="0" t="n">
        <f aca="true">CRITBINOM(J1106,Coefficients!$B$30,RAND())</f>
        <v>0</v>
      </c>
      <c r="L1106" s="0" t="n">
        <f aca="true">CRITBINOM(K1106,Coefficients!$B$31,RAND())</f>
        <v>0</v>
      </c>
      <c r="M1106" s="0" t="n">
        <f aca="true">CRITBINOM(MAX(0,J1106-K1106),1-Coefficients!$B$32,RAND())</f>
        <v>0</v>
      </c>
      <c r="N1106" s="0" t="n">
        <f aca="true">CRITBINOM(MAX(0,$C1106-J1106),MIN(0.6,Matchup!$C$40*SQRT($B1106)/(1-MIN(0.75,Matchup!$C$39*$B1106))),RAND())</f>
        <v>1</v>
      </c>
      <c r="O1106" s="0" t="n">
        <f aca="false">6*J1106+(J1106-K1106-M1106)+2*L1106+3*N1106</f>
        <v>17</v>
      </c>
      <c r="P1106" s="0" t="n">
        <f aca="true">RAND()</f>
        <v>0.914616935388246</v>
      </c>
      <c r="Q1106" s="0" t="n">
        <f aca="true">RAND()</f>
        <v>0.57377935552384</v>
      </c>
      <c r="R1106" s="0" t="n">
        <f aca="false">IF($I1106&lt;&gt;$O1106,0,IF(P1106&lt;Matchup!$B$39,7,IF(P1106&lt;Matchup!$B$39+Matchup!$B$40,3,0)))</f>
        <v>0</v>
      </c>
      <c r="S1106" s="0" t="n">
        <f aca="false">IF($I1106&lt;&gt;$O1106,0,IF(Q1106&lt;Matchup!$C$39,7,IF(Q1106&lt;Matchup!$C$39+Matchup!$C$40,3,0)))</f>
        <v>0</v>
      </c>
      <c r="T1106" s="0" t="n">
        <f aca="false">I1106+R1106</f>
        <v>35</v>
      </c>
      <c r="U1106" s="0" t="n">
        <f aca="false">O1106+S1106</f>
        <v>17</v>
      </c>
      <c r="V1106" s="0" t="n">
        <f aca="false">T1106-U1106</f>
        <v>18</v>
      </c>
      <c r="W1106" s="0" t="n">
        <f aca="false">T1106+U1106</f>
        <v>52</v>
      </c>
    </row>
    <row r="1107" customFormat="false" ht="15" hidden="false" customHeight="false" outlineLevel="0" collapsed="false">
      <c r="A1107" s="0" t="n">
        <v>1104</v>
      </c>
      <c r="B1107" s="0" t="n">
        <f aca="true">NORMINV(RAND(),1,Coefficients!$B$22)</f>
        <v>1.03266083474753</v>
      </c>
      <c r="C1107" s="0" t="n">
        <f aca="true">MEDIAN(8,16,ROUND(NORMINV(RAND(),Coefficients!$B$20,Coefficients!$B$21),0))</f>
        <v>12</v>
      </c>
      <c r="D1107" s="0" t="n">
        <f aca="true">CRITBINOM($C1107,MIN(0.75,Matchup!$B$39*$B1107),RAND())</f>
        <v>3</v>
      </c>
      <c r="E1107" s="0" t="n">
        <f aca="true">CRITBINOM(D1107,Coefficients!$B$30,RAND())</f>
        <v>1</v>
      </c>
      <c r="F1107" s="0" t="n">
        <f aca="true">CRITBINOM(E1107,Coefficients!$B$31,RAND())</f>
        <v>1</v>
      </c>
      <c r="G1107" s="0" t="n">
        <f aca="true">CRITBINOM(MAX(0,D1107-E1107),1-Coefficients!$B$32,RAND())</f>
        <v>0</v>
      </c>
      <c r="H1107" s="0" t="n">
        <f aca="true">CRITBINOM(MAX(0,$C1107-D1107),MIN(0.6,Matchup!$B$40*SQRT($B1107)/(1-MIN(0.75,Matchup!$B$39*$B1107))),RAND())</f>
        <v>3</v>
      </c>
      <c r="I1107" s="0" t="n">
        <f aca="false">6*D1107+(D1107-E1107-G1107)+2*F1107+3*H1107</f>
        <v>31</v>
      </c>
      <c r="J1107" s="0" t="n">
        <f aca="true">CRITBINOM($C1107,MIN(0.75,Matchup!$C$39*$B1107),RAND())</f>
        <v>4</v>
      </c>
      <c r="K1107" s="0" t="n">
        <f aca="true">CRITBINOM(J1107,Coefficients!$B$30,RAND())</f>
        <v>1</v>
      </c>
      <c r="L1107" s="0" t="n">
        <f aca="true">CRITBINOM(K1107,Coefficients!$B$31,RAND())</f>
        <v>0</v>
      </c>
      <c r="M1107" s="0" t="n">
        <f aca="true">CRITBINOM(MAX(0,J1107-K1107),1-Coefficients!$B$32,RAND())</f>
        <v>0</v>
      </c>
      <c r="N1107" s="0" t="n">
        <f aca="true">CRITBINOM(MAX(0,$C1107-J1107),MIN(0.6,Matchup!$C$40*SQRT($B1107)/(1-MIN(0.75,Matchup!$C$39*$B1107))),RAND())</f>
        <v>0</v>
      </c>
      <c r="O1107" s="0" t="n">
        <f aca="false">6*J1107+(J1107-K1107-M1107)+2*L1107+3*N1107</f>
        <v>27</v>
      </c>
      <c r="P1107" s="0" t="n">
        <f aca="true">RAND()</f>
        <v>0.525356730988114</v>
      </c>
      <c r="Q1107" s="0" t="n">
        <f aca="true">RAND()</f>
        <v>0.87348076840989</v>
      </c>
      <c r="R1107" s="0" t="n">
        <f aca="false">IF($I1107&lt;&gt;$O1107,0,IF(P1107&lt;Matchup!$B$39,7,IF(P1107&lt;Matchup!$B$39+Matchup!$B$40,3,0)))</f>
        <v>0</v>
      </c>
      <c r="S1107" s="0" t="n">
        <f aca="false">IF($I1107&lt;&gt;$O1107,0,IF(Q1107&lt;Matchup!$C$39,7,IF(Q1107&lt;Matchup!$C$39+Matchup!$C$40,3,0)))</f>
        <v>0</v>
      </c>
      <c r="T1107" s="0" t="n">
        <f aca="false">I1107+R1107</f>
        <v>31</v>
      </c>
      <c r="U1107" s="0" t="n">
        <f aca="false">O1107+S1107</f>
        <v>27</v>
      </c>
      <c r="V1107" s="0" t="n">
        <f aca="false">T1107-U1107</f>
        <v>4</v>
      </c>
      <c r="W1107" s="0" t="n">
        <f aca="false">T1107+U1107</f>
        <v>58</v>
      </c>
    </row>
    <row r="1108" customFormat="false" ht="15" hidden="false" customHeight="false" outlineLevel="0" collapsed="false">
      <c r="A1108" s="0" t="n">
        <v>1105</v>
      </c>
      <c r="B1108" s="0" t="n">
        <f aca="true">NORMINV(RAND(),1,Coefficients!$B$22)</f>
        <v>0.983489692924492</v>
      </c>
      <c r="C1108" s="0" t="n">
        <f aca="true">MEDIAN(8,16,ROUND(NORMINV(RAND(),Coefficients!$B$20,Coefficients!$B$21),0))</f>
        <v>12</v>
      </c>
      <c r="D1108" s="0" t="n">
        <f aca="true">CRITBINOM($C1108,MIN(0.75,Matchup!$B$39*$B1108),RAND())</f>
        <v>0</v>
      </c>
      <c r="E1108" s="0" t="n">
        <f aca="true">CRITBINOM(D1108,Coefficients!$B$30,RAND())</f>
        <v>0</v>
      </c>
      <c r="F1108" s="0" t="n">
        <f aca="true">CRITBINOM(E1108,Coefficients!$B$31,RAND())</f>
        <v>0</v>
      </c>
      <c r="G1108" s="0" t="n">
        <f aca="true">CRITBINOM(MAX(0,D1108-E1108),1-Coefficients!$B$32,RAND())</f>
        <v>0</v>
      </c>
      <c r="H1108" s="0" t="n">
        <f aca="true">CRITBINOM(MAX(0,$C1108-D1108),MIN(0.6,Matchup!$B$40*SQRT($B1108)/(1-MIN(0.75,Matchup!$B$39*$B1108))),RAND())</f>
        <v>3</v>
      </c>
      <c r="I1108" s="0" t="n">
        <f aca="false">6*D1108+(D1108-E1108-G1108)+2*F1108+3*H1108</f>
        <v>9</v>
      </c>
      <c r="J1108" s="0" t="n">
        <f aca="true">CRITBINOM($C1108,MIN(0.75,Matchup!$C$39*$B1108),RAND())</f>
        <v>6</v>
      </c>
      <c r="K1108" s="0" t="n">
        <f aca="true">CRITBINOM(J1108,Coefficients!$B$30,RAND())</f>
        <v>0</v>
      </c>
      <c r="L1108" s="0" t="n">
        <f aca="true">CRITBINOM(K1108,Coefficients!$B$31,RAND())</f>
        <v>0</v>
      </c>
      <c r="M1108" s="0" t="n">
        <f aca="true">CRITBINOM(MAX(0,J1108-K1108),1-Coefficients!$B$32,RAND())</f>
        <v>0</v>
      </c>
      <c r="N1108" s="0" t="n">
        <f aca="true">CRITBINOM(MAX(0,$C1108-J1108),MIN(0.6,Matchup!$C$40*SQRT($B1108)/(1-MIN(0.75,Matchup!$C$39*$B1108))),RAND())</f>
        <v>2</v>
      </c>
      <c r="O1108" s="0" t="n">
        <f aca="false">6*J1108+(J1108-K1108-M1108)+2*L1108+3*N1108</f>
        <v>48</v>
      </c>
      <c r="P1108" s="0" t="n">
        <f aca="true">RAND()</f>
        <v>0.297746642482602</v>
      </c>
      <c r="Q1108" s="0" t="n">
        <f aca="true">RAND()</f>
        <v>0.934575460069318</v>
      </c>
      <c r="R1108" s="0" t="n">
        <f aca="false">IF($I1108&lt;&gt;$O1108,0,IF(P1108&lt;Matchup!$B$39,7,IF(P1108&lt;Matchup!$B$39+Matchup!$B$40,3,0)))</f>
        <v>0</v>
      </c>
      <c r="S1108" s="0" t="n">
        <f aca="false">IF($I1108&lt;&gt;$O1108,0,IF(Q1108&lt;Matchup!$C$39,7,IF(Q1108&lt;Matchup!$C$39+Matchup!$C$40,3,0)))</f>
        <v>0</v>
      </c>
      <c r="T1108" s="0" t="n">
        <f aca="false">I1108+R1108</f>
        <v>9</v>
      </c>
      <c r="U1108" s="0" t="n">
        <f aca="false">O1108+S1108</f>
        <v>48</v>
      </c>
      <c r="V1108" s="0" t="n">
        <f aca="false">T1108-U1108</f>
        <v>-39</v>
      </c>
      <c r="W1108" s="0" t="n">
        <f aca="false">T1108+U1108</f>
        <v>57</v>
      </c>
    </row>
    <row r="1109" customFormat="false" ht="15" hidden="false" customHeight="false" outlineLevel="0" collapsed="false">
      <c r="A1109" s="0" t="n">
        <v>1106</v>
      </c>
      <c r="B1109" s="0" t="n">
        <f aca="true">NORMINV(RAND(),1,Coefficients!$B$22)</f>
        <v>0.983969398415572</v>
      </c>
      <c r="C1109" s="0" t="n">
        <f aca="true">MEDIAN(8,16,ROUND(NORMINV(RAND(),Coefficients!$B$20,Coefficients!$B$21),0))</f>
        <v>12</v>
      </c>
      <c r="D1109" s="0" t="n">
        <f aca="true">CRITBINOM($C1109,MIN(0.75,Matchup!$B$39*$B1109),RAND())</f>
        <v>1</v>
      </c>
      <c r="E1109" s="0" t="n">
        <f aca="true">CRITBINOM(D1109,Coefficients!$B$30,RAND())</f>
        <v>0</v>
      </c>
      <c r="F1109" s="0" t="n">
        <f aca="true">CRITBINOM(E1109,Coefficients!$B$31,RAND())</f>
        <v>0</v>
      </c>
      <c r="G1109" s="0" t="n">
        <f aca="true">CRITBINOM(MAX(0,D1109-E1109),1-Coefficients!$B$32,RAND())</f>
        <v>0</v>
      </c>
      <c r="H1109" s="0" t="n">
        <f aca="true">CRITBINOM(MAX(0,$C1109-D1109),MIN(0.6,Matchup!$B$40*SQRT($B1109)/(1-MIN(0.75,Matchup!$B$39*$B1109))),RAND())</f>
        <v>3</v>
      </c>
      <c r="I1109" s="0" t="n">
        <f aca="false">6*D1109+(D1109-E1109-G1109)+2*F1109+3*H1109</f>
        <v>16</v>
      </c>
      <c r="J1109" s="0" t="n">
        <f aca="true">CRITBINOM($C1109,MIN(0.75,Matchup!$C$39*$B1109),RAND())</f>
        <v>0</v>
      </c>
      <c r="K1109" s="0" t="n">
        <f aca="true">CRITBINOM(J1109,Coefficients!$B$30,RAND())</f>
        <v>0</v>
      </c>
      <c r="L1109" s="0" t="n">
        <f aca="true">CRITBINOM(K1109,Coefficients!$B$31,RAND())</f>
        <v>0</v>
      </c>
      <c r="M1109" s="0" t="n">
        <f aca="true">CRITBINOM(MAX(0,J1109-K1109),1-Coefficients!$B$32,RAND())</f>
        <v>0</v>
      </c>
      <c r="N1109" s="0" t="n">
        <f aca="true">CRITBINOM(MAX(0,$C1109-J1109),MIN(0.6,Matchup!$C$40*SQRT($B1109)/(1-MIN(0.75,Matchup!$C$39*$B1109))),RAND())</f>
        <v>2</v>
      </c>
      <c r="O1109" s="0" t="n">
        <f aca="false">6*J1109+(J1109-K1109-M1109)+2*L1109+3*N1109</f>
        <v>6</v>
      </c>
      <c r="P1109" s="0" t="n">
        <f aca="true">RAND()</f>
        <v>0.969881243975897</v>
      </c>
      <c r="Q1109" s="0" t="n">
        <f aca="true">RAND()</f>
        <v>0.628827572152524</v>
      </c>
      <c r="R1109" s="0" t="n">
        <f aca="false">IF($I1109&lt;&gt;$O1109,0,IF(P1109&lt;Matchup!$B$39,7,IF(P1109&lt;Matchup!$B$39+Matchup!$B$40,3,0)))</f>
        <v>0</v>
      </c>
      <c r="S1109" s="0" t="n">
        <f aca="false">IF($I1109&lt;&gt;$O1109,0,IF(Q1109&lt;Matchup!$C$39,7,IF(Q1109&lt;Matchup!$C$39+Matchup!$C$40,3,0)))</f>
        <v>0</v>
      </c>
      <c r="T1109" s="0" t="n">
        <f aca="false">I1109+R1109</f>
        <v>16</v>
      </c>
      <c r="U1109" s="0" t="n">
        <f aca="false">O1109+S1109</f>
        <v>6</v>
      </c>
      <c r="V1109" s="0" t="n">
        <f aca="false">T1109-U1109</f>
        <v>10</v>
      </c>
      <c r="W1109" s="0" t="n">
        <f aca="false">T1109+U1109</f>
        <v>22</v>
      </c>
    </row>
    <row r="1110" customFormat="false" ht="15" hidden="false" customHeight="false" outlineLevel="0" collapsed="false">
      <c r="A1110" s="0" t="n">
        <v>1107</v>
      </c>
      <c r="B1110" s="0" t="n">
        <f aca="true">NORMINV(RAND(),1,Coefficients!$B$22)</f>
        <v>0.888896174988049</v>
      </c>
      <c r="C1110" s="0" t="n">
        <f aca="true">MEDIAN(8,16,ROUND(NORMINV(RAND(),Coefficients!$B$20,Coefficients!$B$21),0))</f>
        <v>10</v>
      </c>
      <c r="D1110" s="0" t="n">
        <f aca="true">CRITBINOM($C1110,MIN(0.75,Matchup!$B$39*$B1110),RAND())</f>
        <v>3</v>
      </c>
      <c r="E1110" s="0" t="n">
        <f aca="true">CRITBINOM(D1110,Coefficients!$B$30,RAND())</f>
        <v>0</v>
      </c>
      <c r="F1110" s="0" t="n">
        <f aca="true">CRITBINOM(E1110,Coefficients!$B$31,RAND())</f>
        <v>0</v>
      </c>
      <c r="G1110" s="0" t="n">
        <f aca="true">CRITBINOM(MAX(0,D1110-E1110),1-Coefficients!$B$32,RAND())</f>
        <v>0</v>
      </c>
      <c r="H1110" s="0" t="n">
        <f aca="true">CRITBINOM(MAX(0,$C1110-D1110),MIN(0.6,Matchup!$B$40*SQRT($B1110)/(1-MIN(0.75,Matchup!$B$39*$B1110))),RAND())</f>
        <v>2</v>
      </c>
      <c r="I1110" s="0" t="n">
        <f aca="false">6*D1110+(D1110-E1110-G1110)+2*F1110+3*H1110</f>
        <v>27</v>
      </c>
      <c r="J1110" s="0" t="n">
        <f aca="true">CRITBINOM($C1110,MIN(0.75,Matchup!$C$39*$B1110),RAND())</f>
        <v>2</v>
      </c>
      <c r="K1110" s="0" t="n">
        <f aca="true">CRITBINOM(J1110,Coefficients!$B$30,RAND())</f>
        <v>0</v>
      </c>
      <c r="L1110" s="0" t="n">
        <f aca="true">CRITBINOM(K1110,Coefficients!$B$31,RAND())</f>
        <v>0</v>
      </c>
      <c r="M1110" s="0" t="n">
        <f aca="true">CRITBINOM(MAX(0,J1110-K1110),1-Coefficients!$B$32,RAND())</f>
        <v>0</v>
      </c>
      <c r="N1110" s="0" t="n">
        <f aca="true">CRITBINOM(MAX(0,$C1110-J1110),MIN(0.6,Matchup!$C$40*SQRT($B1110)/(1-MIN(0.75,Matchup!$C$39*$B1110))),RAND())</f>
        <v>3</v>
      </c>
      <c r="O1110" s="0" t="n">
        <f aca="false">6*J1110+(J1110-K1110-M1110)+2*L1110+3*N1110</f>
        <v>23</v>
      </c>
      <c r="P1110" s="0" t="n">
        <f aca="true">RAND()</f>
        <v>0.560494296957441</v>
      </c>
      <c r="Q1110" s="0" t="n">
        <f aca="true">RAND()</f>
        <v>0.520472684632684</v>
      </c>
      <c r="R1110" s="0" t="n">
        <f aca="false">IF($I1110&lt;&gt;$O1110,0,IF(P1110&lt;Matchup!$B$39,7,IF(P1110&lt;Matchup!$B$39+Matchup!$B$40,3,0)))</f>
        <v>0</v>
      </c>
      <c r="S1110" s="0" t="n">
        <f aca="false">IF($I1110&lt;&gt;$O1110,0,IF(Q1110&lt;Matchup!$C$39,7,IF(Q1110&lt;Matchup!$C$39+Matchup!$C$40,3,0)))</f>
        <v>0</v>
      </c>
      <c r="T1110" s="0" t="n">
        <f aca="false">I1110+R1110</f>
        <v>27</v>
      </c>
      <c r="U1110" s="0" t="n">
        <f aca="false">O1110+S1110</f>
        <v>23</v>
      </c>
      <c r="V1110" s="0" t="n">
        <f aca="false">T1110-U1110</f>
        <v>4</v>
      </c>
      <c r="W1110" s="0" t="n">
        <f aca="false">T1110+U1110</f>
        <v>50</v>
      </c>
    </row>
    <row r="1111" customFormat="false" ht="15" hidden="false" customHeight="false" outlineLevel="0" collapsed="false">
      <c r="A1111" s="0" t="n">
        <v>1108</v>
      </c>
      <c r="B1111" s="0" t="n">
        <f aca="true">NORMINV(RAND(),1,Coefficients!$B$22)</f>
        <v>0.794154733688745</v>
      </c>
      <c r="C1111" s="0" t="n">
        <f aca="true">MEDIAN(8,16,ROUND(NORMINV(RAND(),Coefficients!$B$20,Coefficients!$B$21),0))</f>
        <v>9</v>
      </c>
      <c r="D1111" s="0" t="n">
        <f aca="true">CRITBINOM($C1111,MIN(0.75,Matchup!$B$39*$B1111),RAND())</f>
        <v>2</v>
      </c>
      <c r="E1111" s="0" t="n">
        <f aca="true">CRITBINOM(D1111,Coefficients!$B$30,RAND())</f>
        <v>1</v>
      </c>
      <c r="F1111" s="0" t="n">
        <f aca="true">CRITBINOM(E1111,Coefficients!$B$31,RAND())</f>
        <v>0</v>
      </c>
      <c r="G1111" s="0" t="n">
        <f aca="true">CRITBINOM(MAX(0,D1111-E1111),1-Coefficients!$B$32,RAND())</f>
        <v>0</v>
      </c>
      <c r="H1111" s="0" t="n">
        <f aca="true">CRITBINOM(MAX(0,$C1111-D1111),MIN(0.6,Matchup!$B$40*SQRT($B1111)/(1-MIN(0.75,Matchup!$B$39*$B1111))),RAND())</f>
        <v>0</v>
      </c>
      <c r="I1111" s="0" t="n">
        <f aca="false">6*D1111+(D1111-E1111-G1111)+2*F1111+3*H1111</f>
        <v>13</v>
      </c>
      <c r="J1111" s="0" t="n">
        <f aca="true">CRITBINOM($C1111,MIN(0.75,Matchup!$C$39*$B1111),RAND())</f>
        <v>3</v>
      </c>
      <c r="K1111" s="0" t="n">
        <f aca="true">CRITBINOM(J1111,Coefficients!$B$30,RAND())</f>
        <v>0</v>
      </c>
      <c r="L1111" s="0" t="n">
        <f aca="true">CRITBINOM(K1111,Coefficients!$B$31,RAND())</f>
        <v>0</v>
      </c>
      <c r="M1111" s="0" t="n">
        <f aca="true">CRITBINOM(MAX(0,J1111-K1111),1-Coefficients!$B$32,RAND())</f>
        <v>0</v>
      </c>
      <c r="N1111" s="0" t="n">
        <f aca="true">CRITBINOM(MAX(0,$C1111-J1111),MIN(0.6,Matchup!$C$40*SQRT($B1111)/(1-MIN(0.75,Matchup!$C$39*$B1111))),RAND())</f>
        <v>0</v>
      </c>
      <c r="O1111" s="0" t="n">
        <f aca="false">6*J1111+(J1111-K1111-M1111)+2*L1111+3*N1111</f>
        <v>21</v>
      </c>
      <c r="P1111" s="0" t="n">
        <f aca="true">RAND()</f>
        <v>0.569893356376002</v>
      </c>
      <c r="Q1111" s="0" t="n">
        <f aca="true">RAND()</f>
        <v>0.661518435506915</v>
      </c>
      <c r="R1111" s="0" t="n">
        <f aca="false">IF($I1111&lt;&gt;$O1111,0,IF(P1111&lt;Matchup!$B$39,7,IF(P1111&lt;Matchup!$B$39+Matchup!$B$40,3,0)))</f>
        <v>0</v>
      </c>
      <c r="S1111" s="0" t="n">
        <f aca="false">IF($I1111&lt;&gt;$O1111,0,IF(Q1111&lt;Matchup!$C$39,7,IF(Q1111&lt;Matchup!$C$39+Matchup!$C$40,3,0)))</f>
        <v>0</v>
      </c>
      <c r="T1111" s="0" t="n">
        <f aca="false">I1111+R1111</f>
        <v>13</v>
      </c>
      <c r="U1111" s="0" t="n">
        <f aca="false">O1111+S1111</f>
        <v>21</v>
      </c>
      <c r="V1111" s="0" t="n">
        <f aca="false">T1111-U1111</f>
        <v>-8</v>
      </c>
      <c r="W1111" s="0" t="n">
        <f aca="false">T1111+U1111</f>
        <v>34</v>
      </c>
    </row>
    <row r="1112" customFormat="false" ht="15" hidden="false" customHeight="false" outlineLevel="0" collapsed="false">
      <c r="A1112" s="0" t="n">
        <v>1109</v>
      </c>
      <c r="B1112" s="0" t="n">
        <f aca="true">NORMINV(RAND(),1,Coefficients!$B$22)</f>
        <v>0.963303939293625</v>
      </c>
      <c r="C1112" s="0" t="n">
        <f aca="true">MEDIAN(8,16,ROUND(NORMINV(RAND(),Coefficients!$B$20,Coefficients!$B$21),0))</f>
        <v>11</v>
      </c>
      <c r="D1112" s="0" t="n">
        <f aca="true">CRITBINOM($C1112,MIN(0.75,Matchup!$B$39*$B1112),RAND())</f>
        <v>2</v>
      </c>
      <c r="E1112" s="0" t="n">
        <f aca="true">CRITBINOM(D1112,Coefficients!$B$30,RAND())</f>
        <v>0</v>
      </c>
      <c r="F1112" s="0" t="n">
        <f aca="true">CRITBINOM(E1112,Coefficients!$B$31,RAND())</f>
        <v>0</v>
      </c>
      <c r="G1112" s="0" t="n">
        <f aca="true">CRITBINOM(MAX(0,D1112-E1112),1-Coefficients!$B$32,RAND())</f>
        <v>0</v>
      </c>
      <c r="H1112" s="0" t="n">
        <f aca="true">CRITBINOM(MAX(0,$C1112-D1112),MIN(0.6,Matchup!$B$40*SQRT($B1112)/(1-MIN(0.75,Matchup!$B$39*$B1112))),RAND())</f>
        <v>2</v>
      </c>
      <c r="I1112" s="0" t="n">
        <f aca="false">6*D1112+(D1112-E1112-G1112)+2*F1112+3*H1112</f>
        <v>20</v>
      </c>
      <c r="J1112" s="0" t="n">
        <f aca="true">CRITBINOM($C1112,MIN(0.75,Matchup!$C$39*$B1112),RAND())</f>
        <v>3</v>
      </c>
      <c r="K1112" s="0" t="n">
        <f aca="true">CRITBINOM(J1112,Coefficients!$B$30,RAND())</f>
        <v>0</v>
      </c>
      <c r="L1112" s="0" t="n">
        <f aca="true">CRITBINOM(K1112,Coefficients!$B$31,RAND())</f>
        <v>0</v>
      </c>
      <c r="M1112" s="0" t="n">
        <f aca="true">CRITBINOM(MAX(0,J1112-K1112),1-Coefficients!$B$32,RAND())</f>
        <v>0</v>
      </c>
      <c r="N1112" s="0" t="n">
        <f aca="true">CRITBINOM(MAX(0,$C1112-J1112),MIN(0.6,Matchup!$C$40*SQRT($B1112)/(1-MIN(0.75,Matchup!$C$39*$B1112))),RAND())</f>
        <v>1</v>
      </c>
      <c r="O1112" s="0" t="n">
        <f aca="false">6*J1112+(J1112-K1112-M1112)+2*L1112+3*N1112</f>
        <v>24</v>
      </c>
      <c r="P1112" s="0" t="n">
        <f aca="true">RAND()</f>
        <v>0.998379363784516</v>
      </c>
      <c r="Q1112" s="0" t="n">
        <f aca="true">RAND()</f>
        <v>0.946380447950077</v>
      </c>
      <c r="R1112" s="0" t="n">
        <f aca="false">IF($I1112&lt;&gt;$O1112,0,IF(P1112&lt;Matchup!$B$39,7,IF(P1112&lt;Matchup!$B$39+Matchup!$B$40,3,0)))</f>
        <v>0</v>
      </c>
      <c r="S1112" s="0" t="n">
        <f aca="false">IF($I1112&lt;&gt;$O1112,0,IF(Q1112&lt;Matchup!$C$39,7,IF(Q1112&lt;Matchup!$C$39+Matchup!$C$40,3,0)))</f>
        <v>0</v>
      </c>
      <c r="T1112" s="0" t="n">
        <f aca="false">I1112+R1112</f>
        <v>20</v>
      </c>
      <c r="U1112" s="0" t="n">
        <f aca="false">O1112+S1112</f>
        <v>24</v>
      </c>
      <c r="V1112" s="0" t="n">
        <f aca="false">T1112-U1112</f>
        <v>-4</v>
      </c>
      <c r="W1112" s="0" t="n">
        <f aca="false">T1112+U1112</f>
        <v>44</v>
      </c>
    </row>
    <row r="1113" customFormat="false" ht="15" hidden="false" customHeight="false" outlineLevel="0" collapsed="false">
      <c r="A1113" s="0" t="n">
        <v>1110</v>
      </c>
      <c r="B1113" s="0" t="n">
        <f aca="true">NORMINV(RAND(),1,Coefficients!$B$22)</f>
        <v>1.08303005177364</v>
      </c>
      <c r="C1113" s="0" t="n">
        <f aca="true">MEDIAN(8,16,ROUND(NORMINV(RAND(),Coefficients!$B$20,Coefficients!$B$21),0))</f>
        <v>11</v>
      </c>
      <c r="D1113" s="0" t="n">
        <f aca="true">CRITBINOM($C1113,MIN(0.75,Matchup!$B$39*$B1113),RAND())</f>
        <v>1</v>
      </c>
      <c r="E1113" s="0" t="n">
        <f aca="true">CRITBINOM(D1113,Coefficients!$B$30,RAND())</f>
        <v>0</v>
      </c>
      <c r="F1113" s="0" t="n">
        <f aca="true">CRITBINOM(E1113,Coefficients!$B$31,RAND())</f>
        <v>0</v>
      </c>
      <c r="G1113" s="0" t="n">
        <f aca="true">CRITBINOM(MAX(0,D1113-E1113),1-Coefficients!$B$32,RAND())</f>
        <v>0</v>
      </c>
      <c r="H1113" s="0" t="n">
        <f aca="true">CRITBINOM(MAX(0,$C1113-D1113),MIN(0.6,Matchup!$B$40*SQRT($B1113)/(1-MIN(0.75,Matchup!$B$39*$B1113))),RAND())</f>
        <v>4</v>
      </c>
      <c r="I1113" s="0" t="n">
        <f aca="false">6*D1113+(D1113-E1113-G1113)+2*F1113+3*H1113</f>
        <v>19</v>
      </c>
      <c r="J1113" s="0" t="n">
        <f aca="true">CRITBINOM($C1113,MIN(0.75,Matchup!$C$39*$B1113),RAND())</f>
        <v>4</v>
      </c>
      <c r="K1113" s="0" t="n">
        <f aca="true">CRITBINOM(J1113,Coefficients!$B$30,RAND())</f>
        <v>2</v>
      </c>
      <c r="L1113" s="0" t="n">
        <f aca="true">CRITBINOM(K1113,Coefficients!$B$31,RAND())</f>
        <v>1</v>
      </c>
      <c r="M1113" s="0" t="n">
        <f aca="true">CRITBINOM(MAX(0,J1113-K1113),1-Coefficients!$B$32,RAND())</f>
        <v>1</v>
      </c>
      <c r="N1113" s="0" t="n">
        <f aca="true">CRITBINOM(MAX(0,$C1113-J1113),MIN(0.6,Matchup!$C$40*SQRT($B1113)/(1-MIN(0.75,Matchup!$C$39*$B1113))),RAND())</f>
        <v>3</v>
      </c>
      <c r="O1113" s="0" t="n">
        <f aca="false">6*J1113+(J1113-K1113-M1113)+2*L1113+3*N1113</f>
        <v>36</v>
      </c>
      <c r="P1113" s="0" t="n">
        <f aca="true">RAND()</f>
        <v>0.397844593597222</v>
      </c>
      <c r="Q1113" s="0" t="n">
        <f aca="true">RAND()</f>
        <v>0.0584090102566072</v>
      </c>
      <c r="R1113" s="0" t="n">
        <f aca="false">IF($I1113&lt;&gt;$O1113,0,IF(P1113&lt;Matchup!$B$39,7,IF(P1113&lt;Matchup!$B$39+Matchup!$B$40,3,0)))</f>
        <v>0</v>
      </c>
      <c r="S1113" s="0" t="n">
        <f aca="false">IF($I1113&lt;&gt;$O1113,0,IF(Q1113&lt;Matchup!$C$39,7,IF(Q1113&lt;Matchup!$C$39+Matchup!$C$40,3,0)))</f>
        <v>0</v>
      </c>
      <c r="T1113" s="0" t="n">
        <f aca="false">I1113+R1113</f>
        <v>19</v>
      </c>
      <c r="U1113" s="0" t="n">
        <f aca="false">O1113+S1113</f>
        <v>36</v>
      </c>
      <c r="V1113" s="0" t="n">
        <f aca="false">T1113-U1113</f>
        <v>-17</v>
      </c>
      <c r="W1113" s="0" t="n">
        <f aca="false">T1113+U1113</f>
        <v>55</v>
      </c>
    </row>
    <row r="1114" customFormat="false" ht="15" hidden="false" customHeight="false" outlineLevel="0" collapsed="false">
      <c r="A1114" s="0" t="n">
        <v>1111</v>
      </c>
      <c r="B1114" s="0" t="n">
        <f aca="true">NORMINV(RAND(),1,Coefficients!$B$22)</f>
        <v>1.02294031184052</v>
      </c>
      <c r="C1114" s="0" t="n">
        <f aca="true">MEDIAN(8,16,ROUND(NORMINV(RAND(),Coefficients!$B$20,Coefficients!$B$21),0))</f>
        <v>12</v>
      </c>
      <c r="D1114" s="0" t="n">
        <f aca="true">CRITBINOM($C1114,MIN(0.75,Matchup!$B$39*$B1114),RAND())</f>
        <v>6</v>
      </c>
      <c r="E1114" s="0" t="n">
        <f aca="true">CRITBINOM(D1114,Coefficients!$B$30,RAND())</f>
        <v>0</v>
      </c>
      <c r="F1114" s="0" t="n">
        <f aca="true">CRITBINOM(E1114,Coefficients!$B$31,RAND())</f>
        <v>0</v>
      </c>
      <c r="G1114" s="0" t="n">
        <f aca="true">CRITBINOM(MAX(0,D1114-E1114),1-Coefficients!$B$32,RAND())</f>
        <v>1</v>
      </c>
      <c r="H1114" s="0" t="n">
        <f aca="true">CRITBINOM(MAX(0,$C1114-D1114),MIN(0.6,Matchup!$B$40*SQRT($B1114)/(1-MIN(0.75,Matchup!$B$39*$B1114))),RAND())</f>
        <v>0</v>
      </c>
      <c r="I1114" s="0" t="n">
        <f aca="false">6*D1114+(D1114-E1114-G1114)+2*F1114+3*H1114</f>
        <v>41</v>
      </c>
      <c r="J1114" s="0" t="n">
        <f aca="true">CRITBINOM($C1114,MIN(0.75,Matchup!$C$39*$B1114),RAND())</f>
        <v>1</v>
      </c>
      <c r="K1114" s="0" t="n">
        <f aca="true">CRITBINOM(J1114,Coefficients!$B$30,RAND())</f>
        <v>0</v>
      </c>
      <c r="L1114" s="0" t="n">
        <f aca="true">CRITBINOM(K1114,Coefficients!$B$31,RAND())</f>
        <v>0</v>
      </c>
      <c r="M1114" s="0" t="n">
        <f aca="true">CRITBINOM(MAX(0,J1114-K1114),1-Coefficients!$B$32,RAND())</f>
        <v>0</v>
      </c>
      <c r="N1114" s="0" t="n">
        <f aca="true">CRITBINOM(MAX(0,$C1114-J1114),MIN(0.6,Matchup!$C$40*SQRT($B1114)/(1-MIN(0.75,Matchup!$C$39*$B1114))),RAND())</f>
        <v>0</v>
      </c>
      <c r="O1114" s="0" t="n">
        <f aca="false">6*J1114+(J1114-K1114-M1114)+2*L1114+3*N1114</f>
        <v>7</v>
      </c>
      <c r="P1114" s="0" t="n">
        <f aca="true">RAND()</f>
        <v>0.0503157361968576</v>
      </c>
      <c r="Q1114" s="0" t="n">
        <f aca="true">RAND()</f>
        <v>0.771348863434759</v>
      </c>
      <c r="R1114" s="0" t="n">
        <f aca="false">IF($I1114&lt;&gt;$O1114,0,IF(P1114&lt;Matchup!$B$39,7,IF(P1114&lt;Matchup!$B$39+Matchup!$B$40,3,0)))</f>
        <v>0</v>
      </c>
      <c r="S1114" s="0" t="n">
        <f aca="false">IF($I1114&lt;&gt;$O1114,0,IF(Q1114&lt;Matchup!$C$39,7,IF(Q1114&lt;Matchup!$C$39+Matchup!$C$40,3,0)))</f>
        <v>0</v>
      </c>
      <c r="T1114" s="0" t="n">
        <f aca="false">I1114+R1114</f>
        <v>41</v>
      </c>
      <c r="U1114" s="0" t="n">
        <f aca="false">O1114+S1114</f>
        <v>7</v>
      </c>
      <c r="V1114" s="0" t="n">
        <f aca="false">T1114-U1114</f>
        <v>34</v>
      </c>
      <c r="W1114" s="0" t="n">
        <f aca="false">T1114+U1114</f>
        <v>48</v>
      </c>
    </row>
    <row r="1115" customFormat="false" ht="15" hidden="false" customHeight="false" outlineLevel="0" collapsed="false">
      <c r="A1115" s="0" t="n">
        <v>1112</v>
      </c>
      <c r="B1115" s="0" t="n">
        <f aca="true">NORMINV(RAND(),1,Coefficients!$B$22)</f>
        <v>1.04353038228435</v>
      </c>
      <c r="C1115" s="0" t="n">
        <f aca="true">MEDIAN(8,16,ROUND(NORMINV(RAND(),Coefficients!$B$20,Coefficients!$B$21),0))</f>
        <v>11</v>
      </c>
      <c r="D1115" s="0" t="n">
        <f aca="true">CRITBINOM($C1115,MIN(0.75,Matchup!$B$39*$B1115),RAND())</f>
        <v>3</v>
      </c>
      <c r="E1115" s="0" t="n">
        <f aca="true">CRITBINOM(D1115,Coefficients!$B$30,RAND())</f>
        <v>0</v>
      </c>
      <c r="F1115" s="0" t="n">
        <f aca="true">CRITBINOM(E1115,Coefficients!$B$31,RAND())</f>
        <v>0</v>
      </c>
      <c r="G1115" s="0" t="n">
        <f aca="true">CRITBINOM(MAX(0,D1115-E1115),1-Coefficients!$B$32,RAND())</f>
        <v>0</v>
      </c>
      <c r="H1115" s="0" t="n">
        <f aca="true">CRITBINOM(MAX(0,$C1115-D1115),MIN(0.6,Matchup!$B$40*SQRT($B1115)/(1-MIN(0.75,Matchup!$B$39*$B1115))),RAND())</f>
        <v>1</v>
      </c>
      <c r="I1115" s="0" t="n">
        <f aca="false">6*D1115+(D1115-E1115-G1115)+2*F1115+3*H1115</f>
        <v>24</v>
      </c>
      <c r="J1115" s="0" t="n">
        <f aca="true">CRITBINOM($C1115,MIN(0.75,Matchup!$C$39*$B1115),RAND())</f>
        <v>6</v>
      </c>
      <c r="K1115" s="0" t="n">
        <f aca="true">CRITBINOM(J1115,Coefficients!$B$30,RAND())</f>
        <v>1</v>
      </c>
      <c r="L1115" s="0" t="n">
        <f aca="true">CRITBINOM(K1115,Coefficients!$B$31,RAND())</f>
        <v>1</v>
      </c>
      <c r="M1115" s="0" t="n">
        <f aca="true">CRITBINOM(MAX(0,J1115-K1115),1-Coefficients!$B$32,RAND())</f>
        <v>0</v>
      </c>
      <c r="N1115" s="0" t="n">
        <f aca="true">CRITBINOM(MAX(0,$C1115-J1115),MIN(0.6,Matchup!$C$40*SQRT($B1115)/(1-MIN(0.75,Matchup!$C$39*$B1115))),RAND())</f>
        <v>1</v>
      </c>
      <c r="O1115" s="0" t="n">
        <f aca="false">6*J1115+(J1115-K1115-M1115)+2*L1115+3*N1115</f>
        <v>46</v>
      </c>
      <c r="P1115" s="0" t="n">
        <f aca="true">RAND()</f>
        <v>0.0793357394059528</v>
      </c>
      <c r="Q1115" s="0" t="n">
        <f aca="true">RAND()</f>
        <v>0.910185993227926</v>
      </c>
      <c r="R1115" s="0" t="n">
        <f aca="false">IF($I1115&lt;&gt;$O1115,0,IF(P1115&lt;Matchup!$B$39,7,IF(P1115&lt;Matchup!$B$39+Matchup!$B$40,3,0)))</f>
        <v>0</v>
      </c>
      <c r="S1115" s="0" t="n">
        <f aca="false">IF($I1115&lt;&gt;$O1115,0,IF(Q1115&lt;Matchup!$C$39,7,IF(Q1115&lt;Matchup!$C$39+Matchup!$C$40,3,0)))</f>
        <v>0</v>
      </c>
      <c r="T1115" s="0" t="n">
        <f aca="false">I1115+R1115</f>
        <v>24</v>
      </c>
      <c r="U1115" s="0" t="n">
        <f aca="false">O1115+S1115</f>
        <v>46</v>
      </c>
      <c r="V1115" s="0" t="n">
        <f aca="false">T1115-U1115</f>
        <v>-22</v>
      </c>
      <c r="W1115" s="0" t="n">
        <f aca="false">T1115+U1115</f>
        <v>70</v>
      </c>
    </row>
    <row r="1116" customFormat="false" ht="15" hidden="false" customHeight="false" outlineLevel="0" collapsed="false">
      <c r="A1116" s="0" t="n">
        <v>1113</v>
      </c>
      <c r="B1116" s="0" t="n">
        <f aca="true">NORMINV(RAND(),1,Coefficients!$B$22)</f>
        <v>0.881902134773284</v>
      </c>
      <c r="C1116" s="0" t="n">
        <f aca="true">MEDIAN(8,16,ROUND(NORMINV(RAND(),Coefficients!$B$20,Coefficients!$B$21),0))</f>
        <v>11</v>
      </c>
      <c r="D1116" s="0" t="n">
        <f aca="true">CRITBINOM($C1116,MIN(0.75,Matchup!$B$39*$B1116),RAND())</f>
        <v>4</v>
      </c>
      <c r="E1116" s="0" t="n">
        <f aca="true">CRITBINOM(D1116,Coefficients!$B$30,RAND())</f>
        <v>1</v>
      </c>
      <c r="F1116" s="0" t="n">
        <f aca="true">CRITBINOM(E1116,Coefficients!$B$31,RAND())</f>
        <v>0</v>
      </c>
      <c r="G1116" s="0" t="n">
        <f aca="true">CRITBINOM(MAX(0,D1116-E1116),1-Coefficients!$B$32,RAND())</f>
        <v>1</v>
      </c>
      <c r="H1116" s="0" t="n">
        <f aca="true">CRITBINOM(MAX(0,$C1116-D1116),MIN(0.6,Matchup!$B$40*SQRT($B1116)/(1-MIN(0.75,Matchup!$B$39*$B1116))),RAND())</f>
        <v>0</v>
      </c>
      <c r="I1116" s="0" t="n">
        <f aca="false">6*D1116+(D1116-E1116-G1116)+2*F1116+3*H1116</f>
        <v>26</v>
      </c>
      <c r="J1116" s="0" t="n">
        <f aca="true">CRITBINOM($C1116,MIN(0.75,Matchup!$C$39*$B1116),RAND())</f>
        <v>2</v>
      </c>
      <c r="K1116" s="0" t="n">
        <f aca="true">CRITBINOM(J1116,Coefficients!$B$30,RAND())</f>
        <v>0</v>
      </c>
      <c r="L1116" s="0" t="n">
        <f aca="true">CRITBINOM(K1116,Coefficients!$B$31,RAND())</f>
        <v>0</v>
      </c>
      <c r="M1116" s="0" t="n">
        <f aca="true">CRITBINOM(MAX(0,J1116-K1116),1-Coefficients!$B$32,RAND())</f>
        <v>0</v>
      </c>
      <c r="N1116" s="0" t="n">
        <f aca="true">CRITBINOM(MAX(0,$C1116-J1116),MIN(0.6,Matchup!$C$40*SQRT($B1116)/(1-MIN(0.75,Matchup!$C$39*$B1116))),RAND())</f>
        <v>1</v>
      </c>
      <c r="O1116" s="0" t="n">
        <f aca="false">6*J1116+(J1116-K1116-M1116)+2*L1116+3*N1116</f>
        <v>17</v>
      </c>
      <c r="P1116" s="0" t="n">
        <f aca="true">RAND()</f>
        <v>0.804097045943758</v>
      </c>
      <c r="Q1116" s="0" t="n">
        <f aca="true">RAND()</f>
        <v>0.950421145838987</v>
      </c>
      <c r="R1116" s="0" t="n">
        <f aca="false">IF($I1116&lt;&gt;$O1116,0,IF(P1116&lt;Matchup!$B$39,7,IF(P1116&lt;Matchup!$B$39+Matchup!$B$40,3,0)))</f>
        <v>0</v>
      </c>
      <c r="S1116" s="0" t="n">
        <f aca="false">IF($I1116&lt;&gt;$O1116,0,IF(Q1116&lt;Matchup!$C$39,7,IF(Q1116&lt;Matchup!$C$39+Matchup!$C$40,3,0)))</f>
        <v>0</v>
      </c>
      <c r="T1116" s="0" t="n">
        <f aca="false">I1116+R1116</f>
        <v>26</v>
      </c>
      <c r="U1116" s="0" t="n">
        <f aca="false">O1116+S1116</f>
        <v>17</v>
      </c>
      <c r="V1116" s="0" t="n">
        <f aca="false">T1116-U1116</f>
        <v>9</v>
      </c>
      <c r="W1116" s="0" t="n">
        <f aca="false">T1116+U1116</f>
        <v>43</v>
      </c>
    </row>
    <row r="1117" customFormat="false" ht="15" hidden="false" customHeight="false" outlineLevel="0" collapsed="false">
      <c r="A1117" s="0" t="n">
        <v>1114</v>
      </c>
      <c r="B1117" s="0" t="n">
        <f aca="true">NORMINV(RAND(),1,Coefficients!$B$22)</f>
        <v>1.18531789669005</v>
      </c>
      <c r="C1117" s="0" t="n">
        <f aca="true">MEDIAN(8,16,ROUND(NORMINV(RAND(),Coefficients!$B$20,Coefficients!$B$21),0))</f>
        <v>12</v>
      </c>
      <c r="D1117" s="0" t="n">
        <f aca="true">CRITBINOM($C1117,MIN(0.75,Matchup!$B$39*$B1117),RAND())</f>
        <v>3</v>
      </c>
      <c r="E1117" s="0" t="n">
        <f aca="true">CRITBINOM(D1117,Coefficients!$B$30,RAND())</f>
        <v>0</v>
      </c>
      <c r="F1117" s="0" t="n">
        <f aca="true">CRITBINOM(E1117,Coefficients!$B$31,RAND())</f>
        <v>0</v>
      </c>
      <c r="G1117" s="0" t="n">
        <f aca="true">CRITBINOM(MAX(0,D1117-E1117),1-Coefficients!$B$32,RAND())</f>
        <v>0</v>
      </c>
      <c r="H1117" s="0" t="n">
        <f aca="true">CRITBINOM(MAX(0,$C1117-D1117),MIN(0.6,Matchup!$B$40*SQRT($B1117)/(1-MIN(0.75,Matchup!$B$39*$B1117))),RAND())</f>
        <v>1</v>
      </c>
      <c r="I1117" s="0" t="n">
        <f aca="false">6*D1117+(D1117-E1117-G1117)+2*F1117+3*H1117</f>
        <v>24</v>
      </c>
      <c r="J1117" s="0" t="n">
        <f aca="true">CRITBINOM($C1117,MIN(0.75,Matchup!$C$39*$B1117),RAND())</f>
        <v>3</v>
      </c>
      <c r="K1117" s="0" t="n">
        <f aca="true">CRITBINOM(J1117,Coefficients!$B$30,RAND())</f>
        <v>0</v>
      </c>
      <c r="L1117" s="0" t="n">
        <f aca="true">CRITBINOM(K1117,Coefficients!$B$31,RAND())</f>
        <v>0</v>
      </c>
      <c r="M1117" s="0" t="n">
        <f aca="true">CRITBINOM(MAX(0,J1117-K1117),1-Coefficients!$B$32,RAND())</f>
        <v>1</v>
      </c>
      <c r="N1117" s="0" t="n">
        <f aca="true">CRITBINOM(MAX(0,$C1117-J1117),MIN(0.6,Matchup!$C$40*SQRT($B1117)/(1-MIN(0.75,Matchup!$C$39*$B1117))),RAND())</f>
        <v>1</v>
      </c>
      <c r="O1117" s="0" t="n">
        <f aca="false">6*J1117+(J1117-K1117-M1117)+2*L1117+3*N1117</f>
        <v>23</v>
      </c>
      <c r="P1117" s="0" t="n">
        <f aca="true">RAND()</f>
        <v>0.0851480466395597</v>
      </c>
      <c r="Q1117" s="0" t="n">
        <f aca="true">RAND()</f>
        <v>0.656055493169255</v>
      </c>
      <c r="R1117" s="0" t="n">
        <f aca="false">IF($I1117&lt;&gt;$O1117,0,IF(P1117&lt;Matchup!$B$39,7,IF(P1117&lt;Matchup!$B$39+Matchup!$B$40,3,0)))</f>
        <v>0</v>
      </c>
      <c r="S1117" s="0" t="n">
        <f aca="false">IF($I1117&lt;&gt;$O1117,0,IF(Q1117&lt;Matchup!$C$39,7,IF(Q1117&lt;Matchup!$C$39+Matchup!$C$40,3,0)))</f>
        <v>0</v>
      </c>
      <c r="T1117" s="0" t="n">
        <f aca="false">I1117+R1117</f>
        <v>24</v>
      </c>
      <c r="U1117" s="0" t="n">
        <f aca="false">O1117+S1117</f>
        <v>23</v>
      </c>
      <c r="V1117" s="0" t="n">
        <f aca="false">T1117-U1117</f>
        <v>1</v>
      </c>
      <c r="W1117" s="0" t="n">
        <f aca="false">T1117+U1117</f>
        <v>47</v>
      </c>
    </row>
    <row r="1118" customFormat="false" ht="15" hidden="false" customHeight="false" outlineLevel="0" collapsed="false">
      <c r="A1118" s="0" t="n">
        <v>1115</v>
      </c>
      <c r="B1118" s="0" t="n">
        <f aca="true">NORMINV(RAND(),1,Coefficients!$B$22)</f>
        <v>0.844976346017608</v>
      </c>
      <c r="C1118" s="0" t="n">
        <f aca="true">MEDIAN(8,16,ROUND(NORMINV(RAND(),Coefficients!$B$20,Coefficients!$B$21),0))</f>
        <v>13</v>
      </c>
      <c r="D1118" s="0" t="n">
        <f aca="true">CRITBINOM($C1118,MIN(0.75,Matchup!$B$39*$B1118),RAND())</f>
        <v>1</v>
      </c>
      <c r="E1118" s="0" t="n">
        <f aca="true">CRITBINOM(D1118,Coefficients!$B$30,RAND())</f>
        <v>1</v>
      </c>
      <c r="F1118" s="0" t="n">
        <f aca="true">CRITBINOM(E1118,Coefficients!$B$31,RAND())</f>
        <v>1</v>
      </c>
      <c r="G1118" s="0" t="n">
        <f aca="true">CRITBINOM(MAX(0,D1118-E1118),1-Coefficients!$B$32,RAND())</f>
        <v>0</v>
      </c>
      <c r="H1118" s="0" t="n">
        <f aca="true">CRITBINOM(MAX(0,$C1118-D1118),MIN(0.6,Matchup!$B$40*SQRT($B1118)/(1-MIN(0.75,Matchup!$B$39*$B1118))),RAND())</f>
        <v>4</v>
      </c>
      <c r="I1118" s="0" t="n">
        <f aca="false">6*D1118+(D1118-E1118-G1118)+2*F1118+3*H1118</f>
        <v>20</v>
      </c>
      <c r="J1118" s="0" t="n">
        <f aca="true">CRITBINOM($C1118,MIN(0.75,Matchup!$C$39*$B1118),RAND())</f>
        <v>1</v>
      </c>
      <c r="K1118" s="0" t="n">
        <f aca="true">CRITBINOM(J1118,Coefficients!$B$30,RAND())</f>
        <v>0</v>
      </c>
      <c r="L1118" s="0" t="n">
        <f aca="true">CRITBINOM(K1118,Coefficients!$B$31,RAND())</f>
        <v>0</v>
      </c>
      <c r="M1118" s="0" t="n">
        <f aca="true">CRITBINOM(MAX(0,J1118-K1118),1-Coefficients!$B$32,RAND())</f>
        <v>1</v>
      </c>
      <c r="N1118" s="0" t="n">
        <f aca="true">CRITBINOM(MAX(0,$C1118-J1118),MIN(0.6,Matchup!$C$40*SQRT($B1118)/(1-MIN(0.75,Matchup!$C$39*$B1118))),RAND())</f>
        <v>1</v>
      </c>
      <c r="O1118" s="0" t="n">
        <f aca="false">6*J1118+(J1118-K1118-M1118)+2*L1118+3*N1118</f>
        <v>9</v>
      </c>
      <c r="P1118" s="0" t="n">
        <f aca="true">RAND()</f>
        <v>0.656988358291455</v>
      </c>
      <c r="Q1118" s="0" t="n">
        <f aca="true">RAND()</f>
        <v>0.0869014794993971</v>
      </c>
      <c r="R1118" s="0" t="n">
        <f aca="false">IF($I1118&lt;&gt;$O1118,0,IF(P1118&lt;Matchup!$B$39,7,IF(P1118&lt;Matchup!$B$39+Matchup!$B$40,3,0)))</f>
        <v>0</v>
      </c>
      <c r="S1118" s="0" t="n">
        <f aca="false">IF($I1118&lt;&gt;$O1118,0,IF(Q1118&lt;Matchup!$C$39,7,IF(Q1118&lt;Matchup!$C$39+Matchup!$C$40,3,0)))</f>
        <v>0</v>
      </c>
      <c r="T1118" s="0" t="n">
        <f aca="false">I1118+R1118</f>
        <v>20</v>
      </c>
      <c r="U1118" s="0" t="n">
        <f aca="false">O1118+S1118</f>
        <v>9</v>
      </c>
      <c r="V1118" s="0" t="n">
        <f aca="false">T1118-U1118</f>
        <v>11</v>
      </c>
      <c r="W1118" s="0" t="n">
        <f aca="false">T1118+U1118</f>
        <v>29</v>
      </c>
    </row>
    <row r="1119" customFormat="false" ht="15" hidden="false" customHeight="false" outlineLevel="0" collapsed="false">
      <c r="A1119" s="0" t="n">
        <v>1116</v>
      </c>
      <c r="B1119" s="0" t="n">
        <f aca="true">NORMINV(RAND(),1,Coefficients!$B$22)</f>
        <v>1.04333442625897</v>
      </c>
      <c r="C1119" s="0" t="n">
        <f aca="true">MEDIAN(8,16,ROUND(NORMINV(RAND(),Coefficients!$B$20,Coefficients!$B$21),0))</f>
        <v>11</v>
      </c>
      <c r="D1119" s="0" t="n">
        <f aca="true">CRITBINOM($C1119,MIN(0.75,Matchup!$B$39*$B1119),RAND())</f>
        <v>3</v>
      </c>
      <c r="E1119" s="0" t="n">
        <f aca="true">CRITBINOM(D1119,Coefficients!$B$30,RAND())</f>
        <v>0</v>
      </c>
      <c r="F1119" s="0" t="n">
        <f aca="true">CRITBINOM(E1119,Coefficients!$B$31,RAND())</f>
        <v>0</v>
      </c>
      <c r="G1119" s="0" t="n">
        <f aca="true">CRITBINOM(MAX(0,D1119-E1119),1-Coefficients!$B$32,RAND())</f>
        <v>0</v>
      </c>
      <c r="H1119" s="0" t="n">
        <f aca="true">CRITBINOM(MAX(0,$C1119-D1119),MIN(0.6,Matchup!$B$40*SQRT($B1119)/(1-MIN(0.75,Matchup!$B$39*$B1119))),RAND())</f>
        <v>2</v>
      </c>
      <c r="I1119" s="0" t="n">
        <f aca="false">6*D1119+(D1119-E1119-G1119)+2*F1119+3*H1119</f>
        <v>27</v>
      </c>
      <c r="J1119" s="0" t="n">
        <f aca="true">CRITBINOM($C1119,MIN(0.75,Matchup!$C$39*$B1119),RAND())</f>
        <v>3</v>
      </c>
      <c r="K1119" s="0" t="n">
        <f aca="true">CRITBINOM(J1119,Coefficients!$B$30,RAND())</f>
        <v>0</v>
      </c>
      <c r="L1119" s="0" t="n">
        <f aca="true">CRITBINOM(K1119,Coefficients!$B$31,RAND())</f>
        <v>0</v>
      </c>
      <c r="M1119" s="0" t="n">
        <f aca="true">CRITBINOM(MAX(0,J1119-K1119),1-Coefficients!$B$32,RAND())</f>
        <v>0</v>
      </c>
      <c r="N1119" s="0" t="n">
        <f aca="true">CRITBINOM(MAX(0,$C1119-J1119),MIN(0.6,Matchup!$C$40*SQRT($B1119)/(1-MIN(0.75,Matchup!$C$39*$B1119))),RAND())</f>
        <v>3</v>
      </c>
      <c r="O1119" s="0" t="n">
        <f aca="false">6*J1119+(J1119-K1119-M1119)+2*L1119+3*N1119</f>
        <v>30</v>
      </c>
      <c r="P1119" s="0" t="n">
        <f aca="true">RAND()</f>
        <v>0.537767585753055</v>
      </c>
      <c r="Q1119" s="0" t="n">
        <f aca="true">RAND()</f>
        <v>0.601354308246175</v>
      </c>
      <c r="R1119" s="0" t="n">
        <f aca="false">IF($I1119&lt;&gt;$O1119,0,IF(P1119&lt;Matchup!$B$39,7,IF(P1119&lt;Matchup!$B$39+Matchup!$B$40,3,0)))</f>
        <v>0</v>
      </c>
      <c r="S1119" s="0" t="n">
        <f aca="false">IF($I1119&lt;&gt;$O1119,0,IF(Q1119&lt;Matchup!$C$39,7,IF(Q1119&lt;Matchup!$C$39+Matchup!$C$40,3,0)))</f>
        <v>0</v>
      </c>
      <c r="T1119" s="0" t="n">
        <f aca="false">I1119+R1119</f>
        <v>27</v>
      </c>
      <c r="U1119" s="0" t="n">
        <f aca="false">O1119+S1119</f>
        <v>30</v>
      </c>
      <c r="V1119" s="0" t="n">
        <f aca="false">T1119-U1119</f>
        <v>-3</v>
      </c>
      <c r="W1119" s="0" t="n">
        <f aca="false">T1119+U1119</f>
        <v>57</v>
      </c>
    </row>
    <row r="1120" customFormat="false" ht="15" hidden="false" customHeight="false" outlineLevel="0" collapsed="false">
      <c r="A1120" s="0" t="n">
        <v>1117</v>
      </c>
      <c r="B1120" s="0" t="n">
        <f aca="true">NORMINV(RAND(),1,Coefficients!$B$22)</f>
        <v>1.11622262182989</v>
      </c>
      <c r="C1120" s="0" t="n">
        <f aca="true">MEDIAN(8,16,ROUND(NORMINV(RAND(),Coefficients!$B$20,Coefficients!$B$21),0))</f>
        <v>12</v>
      </c>
      <c r="D1120" s="0" t="n">
        <f aca="true">CRITBINOM($C1120,MIN(0.75,Matchup!$B$39*$B1120),RAND())</f>
        <v>2</v>
      </c>
      <c r="E1120" s="0" t="n">
        <f aca="true">CRITBINOM(D1120,Coefficients!$B$30,RAND())</f>
        <v>0</v>
      </c>
      <c r="F1120" s="0" t="n">
        <f aca="true">CRITBINOM(E1120,Coefficients!$B$31,RAND())</f>
        <v>0</v>
      </c>
      <c r="G1120" s="0" t="n">
        <f aca="true">CRITBINOM(MAX(0,D1120-E1120),1-Coefficients!$B$32,RAND())</f>
        <v>1</v>
      </c>
      <c r="H1120" s="0" t="n">
        <f aca="true">CRITBINOM(MAX(0,$C1120-D1120),MIN(0.6,Matchup!$B$40*SQRT($B1120)/(1-MIN(0.75,Matchup!$B$39*$B1120))),RAND())</f>
        <v>2</v>
      </c>
      <c r="I1120" s="0" t="n">
        <f aca="false">6*D1120+(D1120-E1120-G1120)+2*F1120+3*H1120</f>
        <v>19</v>
      </c>
      <c r="J1120" s="0" t="n">
        <f aca="true">CRITBINOM($C1120,MIN(0.75,Matchup!$C$39*$B1120),RAND())</f>
        <v>5</v>
      </c>
      <c r="K1120" s="0" t="n">
        <f aca="true">CRITBINOM(J1120,Coefficients!$B$30,RAND())</f>
        <v>0</v>
      </c>
      <c r="L1120" s="0" t="n">
        <f aca="true">CRITBINOM(K1120,Coefficients!$B$31,RAND())</f>
        <v>0</v>
      </c>
      <c r="M1120" s="0" t="n">
        <f aca="true">CRITBINOM(MAX(0,J1120-K1120),1-Coefficients!$B$32,RAND())</f>
        <v>0</v>
      </c>
      <c r="N1120" s="0" t="n">
        <f aca="true">CRITBINOM(MAX(0,$C1120-J1120),MIN(0.6,Matchup!$C$40*SQRT($B1120)/(1-MIN(0.75,Matchup!$C$39*$B1120))),RAND())</f>
        <v>2</v>
      </c>
      <c r="O1120" s="0" t="n">
        <f aca="false">6*J1120+(J1120-K1120-M1120)+2*L1120+3*N1120</f>
        <v>41</v>
      </c>
      <c r="P1120" s="0" t="n">
        <f aca="true">RAND()</f>
        <v>0.587080730606309</v>
      </c>
      <c r="Q1120" s="0" t="n">
        <f aca="true">RAND()</f>
        <v>0.609023944290821</v>
      </c>
      <c r="R1120" s="0" t="n">
        <f aca="false">IF($I1120&lt;&gt;$O1120,0,IF(P1120&lt;Matchup!$B$39,7,IF(P1120&lt;Matchup!$B$39+Matchup!$B$40,3,0)))</f>
        <v>0</v>
      </c>
      <c r="S1120" s="0" t="n">
        <f aca="false">IF($I1120&lt;&gt;$O1120,0,IF(Q1120&lt;Matchup!$C$39,7,IF(Q1120&lt;Matchup!$C$39+Matchup!$C$40,3,0)))</f>
        <v>0</v>
      </c>
      <c r="T1120" s="0" t="n">
        <f aca="false">I1120+R1120</f>
        <v>19</v>
      </c>
      <c r="U1120" s="0" t="n">
        <f aca="false">O1120+S1120</f>
        <v>41</v>
      </c>
      <c r="V1120" s="0" t="n">
        <f aca="false">T1120-U1120</f>
        <v>-22</v>
      </c>
      <c r="W1120" s="0" t="n">
        <f aca="false">T1120+U1120</f>
        <v>60</v>
      </c>
    </row>
    <row r="1121" customFormat="false" ht="15" hidden="false" customHeight="false" outlineLevel="0" collapsed="false">
      <c r="A1121" s="0" t="n">
        <v>1118</v>
      </c>
      <c r="B1121" s="0" t="n">
        <f aca="true">NORMINV(RAND(),1,Coefficients!$B$22)</f>
        <v>1.08907235248436</v>
      </c>
      <c r="C1121" s="0" t="n">
        <f aca="true">MEDIAN(8,16,ROUND(NORMINV(RAND(),Coefficients!$B$20,Coefficients!$B$21),0))</f>
        <v>9</v>
      </c>
      <c r="D1121" s="0" t="n">
        <f aca="true">CRITBINOM($C1121,MIN(0.75,Matchup!$B$39*$B1121),RAND())</f>
        <v>4</v>
      </c>
      <c r="E1121" s="0" t="n">
        <f aca="true">CRITBINOM(D1121,Coefficients!$B$30,RAND())</f>
        <v>0</v>
      </c>
      <c r="F1121" s="0" t="n">
        <f aca="true">CRITBINOM(E1121,Coefficients!$B$31,RAND())</f>
        <v>0</v>
      </c>
      <c r="G1121" s="0" t="n">
        <f aca="true">CRITBINOM(MAX(0,D1121-E1121),1-Coefficients!$B$32,RAND())</f>
        <v>0</v>
      </c>
      <c r="H1121" s="0" t="n">
        <f aca="true">CRITBINOM(MAX(0,$C1121-D1121),MIN(0.6,Matchup!$B$40*SQRT($B1121)/(1-MIN(0.75,Matchup!$B$39*$B1121))),RAND())</f>
        <v>1</v>
      </c>
      <c r="I1121" s="0" t="n">
        <f aca="false">6*D1121+(D1121-E1121-G1121)+2*F1121+3*H1121</f>
        <v>31</v>
      </c>
      <c r="J1121" s="0" t="n">
        <f aca="true">CRITBINOM($C1121,MIN(0.75,Matchup!$C$39*$B1121),RAND())</f>
        <v>2</v>
      </c>
      <c r="K1121" s="0" t="n">
        <f aca="true">CRITBINOM(J1121,Coefficients!$B$30,RAND())</f>
        <v>0</v>
      </c>
      <c r="L1121" s="0" t="n">
        <f aca="true">CRITBINOM(K1121,Coefficients!$B$31,RAND())</f>
        <v>0</v>
      </c>
      <c r="M1121" s="0" t="n">
        <f aca="true">CRITBINOM(MAX(0,J1121-K1121),1-Coefficients!$B$32,RAND())</f>
        <v>0</v>
      </c>
      <c r="N1121" s="0" t="n">
        <f aca="true">CRITBINOM(MAX(0,$C1121-J1121),MIN(0.6,Matchup!$C$40*SQRT($B1121)/(1-MIN(0.75,Matchup!$C$39*$B1121))),RAND())</f>
        <v>1</v>
      </c>
      <c r="O1121" s="0" t="n">
        <f aca="false">6*J1121+(J1121-K1121-M1121)+2*L1121+3*N1121</f>
        <v>17</v>
      </c>
      <c r="P1121" s="0" t="n">
        <f aca="true">RAND()</f>
        <v>0.926202751304848</v>
      </c>
      <c r="Q1121" s="0" t="n">
        <f aca="true">RAND()</f>
        <v>0.393073456465796</v>
      </c>
      <c r="R1121" s="0" t="n">
        <f aca="false">IF($I1121&lt;&gt;$O1121,0,IF(P1121&lt;Matchup!$B$39,7,IF(P1121&lt;Matchup!$B$39+Matchup!$B$40,3,0)))</f>
        <v>0</v>
      </c>
      <c r="S1121" s="0" t="n">
        <f aca="false">IF($I1121&lt;&gt;$O1121,0,IF(Q1121&lt;Matchup!$C$39,7,IF(Q1121&lt;Matchup!$C$39+Matchup!$C$40,3,0)))</f>
        <v>0</v>
      </c>
      <c r="T1121" s="0" t="n">
        <f aca="false">I1121+R1121</f>
        <v>31</v>
      </c>
      <c r="U1121" s="0" t="n">
        <f aca="false">O1121+S1121</f>
        <v>17</v>
      </c>
      <c r="V1121" s="0" t="n">
        <f aca="false">T1121-U1121</f>
        <v>14</v>
      </c>
      <c r="W1121" s="0" t="n">
        <f aca="false">T1121+U1121</f>
        <v>48</v>
      </c>
    </row>
    <row r="1122" customFormat="false" ht="15" hidden="false" customHeight="false" outlineLevel="0" collapsed="false">
      <c r="A1122" s="0" t="n">
        <v>1119</v>
      </c>
      <c r="B1122" s="0" t="n">
        <f aca="true">NORMINV(RAND(),1,Coefficients!$B$22)</f>
        <v>0.883079934553728</v>
      </c>
      <c r="C1122" s="0" t="n">
        <f aca="true">MEDIAN(8,16,ROUND(NORMINV(RAND(),Coefficients!$B$20,Coefficients!$B$21),0))</f>
        <v>10</v>
      </c>
      <c r="D1122" s="0" t="n">
        <f aca="true">CRITBINOM($C1122,MIN(0.75,Matchup!$B$39*$B1122),RAND())</f>
        <v>1</v>
      </c>
      <c r="E1122" s="0" t="n">
        <f aca="true">CRITBINOM(D1122,Coefficients!$B$30,RAND())</f>
        <v>1</v>
      </c>
      <c r="F1122" s="0" t="n">
        <f aca="true">CRITBINOM(E1122,Coefficients!$B$31,RAND())</f>
        <v>1</v>
      </c>
      <c r="G1122" s="0" t="n">
        <f aca="true">CRITBINOM(MAX(0,D1122-E1122),1-Coefficients!$B$32,RAND())</f>
        <v>0</v>
      </c>
      <c r="H1122" s="0" t="n">
        <f aca="true">CRITBINOM(MAX(0,$C1122-D1122),MIN(0.6,Matchup!$B$40*SQRT($B1122)/(1-MIN(0.75,Matchup!$B$39*$B1122))),RAND())</f>
        <v>1</v>
      </c>
      <c r="I1122" s="0" t="n">
        <f aca="false">6*D1122+(D1122-E1122-G1122)+2*F1122+3*H1122</f>
        <v>11</v>
      </c>
      <c r="J1122" s="0" t="n">
        <f aca="true">CRITBINOM($C1122,MIN(0.75,Matchup!$C$39*$B1122),RAND())</f>
        <v>2</v>
      </c>
      <c r="K1122" s="0" t="n">
        <f aca="true">CRITBINOM(J1122,Coefficients!$B$30,RAND())</f>
        <v>0</v>
      </c>
      <c r="L1122" s="0" t="n">
        <f aca="true">CRITBINOM(K1122,Coefficients!$B$31,RAND())</f>
        <v>0</v>
      </c>
      <c r="M1122" s="0" t="n">
        <f aca="true">CRITBINOM(MAX(0,J1122-K1122),1-Coefficients!$B$32,RAND())</f>
        <v>0</v>
      </c>
      <c r="N1122" s="0" t="n">
        <f aca="true">CRITBINOM(MAX(0,$C1122-J1122),MIN(0.6,Matchup!$C$40*SQRT($B1122)/(1-MIN(0.75,Matchup!$C$39*$B1122))),RAND())</f>
        <v>3</v>
      </c>
      <c r="O1122" s="0" t="n">
        <f aca="false">6*J1122+(J1122-K1122-M1122)+2*L1122+3*N1122</f>
        <v>23</v>
      </c>
      <c r="P1122" s="0" t="n">
        <f aca="true">RAND()</f>
        <v>0.233584221552373</v>
      </c>
      <c r="Q1122" s="0" t="n">
        <f aca="true">RAND()</f>
        <v>0.470023445043304</v>
      </c>
      <c r="R1122" s="0" t="n">
        <f aca="false">IF($I1122&lt;&gt;$O1122,0,IF(P1122&lt;Matchup!$B$39,7,IF(P1122&lt;Matchup!$B$39+Matchup!$B$40,3,0)))</f>
        <v>0</v>
      </c>
      <c r="S1122" s="0" t="n">
        <f aca="false">IF($I1122&lt;&gt;$O1122,0,IF(Q1122&lt;Matchup!$C$39,7,IF(Q1122&lt;Matchup!$C$39+Matchup!$C$40,3,0)))</f>
        <v>0</v>
      </c>
      <c r="T1122" s="0" t="n">
        <f aca="false">I1122+R1122</f>
        <v>11</v>
      </c>
      <c r="U1122" s="0" t="n">
        <f aca="false">O1122+S1122</f>
        <v>23</v>
      </c>
      <c r="V1122" s="0" t="n">
        <f aca="false">T1122-U1122</f>
        <v>-12</v>
      </c>
      <c r="W1122" s="0" t="n">
        <f aca="false">T1122+U1122</f>
        <v>34</v>
      </c>
    </row>
    <row r="1123" customFormat="false" ht="15" hidden="false" customHeight="false" outlineLevel="0" collapsed="false">
      <c r="A1123" s="0" t="n">
        <v>1120</v>
      </c>
      <c r="B1123" s="0" t="n">
        <f aca="true">NORMINV(RAND(),1,Coefficients!$B$22)</f>
        <v>0.936164291854796</v>
      </c>
      <c r="C1123" s="0" t="n">
        <f aca="true">MEDIAN(8,16,ROUND(NORMINV(RAND(),Coefficients!$B$20,Coefficients!$B$21),0))</f>
        <v>11</v>
      </c>
      <c r="D1123" s="0" t="n">
        <f aca="true">CRITBINOM($C1123,MIN(0.75,Matchup!$B$39*$B1123),RAND())</f>
        <v>5</v>
      </c>
      <c r="E1123" s="0" t="n">
        <f aca="true">CRITBINOM(D1123,Coefficients!$B$30,RAND())</f>
        <v>1</v>
      </c>
      <c r="F1123" s="0" t="n">
        <f aca="true">CRITBINOM(E1123,Coefficients!$B$31,RAND())</f>
        <v>0</v>
      </c>
      <c r="G1123" s="0" t="n">
        <f aca="true">CRITBINOM(MAX(0,D1123-E1123),1-Coefficients!$B$32,RAND())</f>
        <v>0</v>
      </c>
      <c r="H1123" s="0" t="n">
        <f aca="true">CRITBINOM(MAX(0,$C1123-D1123),MIN(0.6,Matchup!$B$40*SQRT($B1123)/(1-MIN(0.75,Matchup!$B$39*$B1123))),RAND())</f>
        <v>1</v>
      </c>
      <c r="I1123" s="0" t="n">
        <f aca="false">6*D1123+(D1123-E1123-G1123)+2*F1123+3*H1123</f>
        <v>37</v>
      </c>
      <c r="J1123" s="0" t="n">
        <f aca="true">CRITBINOM($C1123,MIN(0.75,Matchup!$C$39*$B1123),RAND())</f>
        <v>3</v>
      </c>
      <c r="K1123" s="0" t="n">
        <f aca="true">CRITBINOM(J1123,Coefficients!$B$30,RAND())</f>
        <v>1</v>
      </c>
      <c r="L1123" s="0" t="n">
        <f aca="true">CRITBINOM(K1123,Coefficients!$B$31,RAND())</f>
        <v>1</v>
      </c>
      <c r="M1123" s="0" t="n">
        <f aca="true">CRITBINOM(MAX(0,J1123-K1123),1-Coefficients!$B$32,RAND())</f>
        <v>0</v>
      </c>
      <c r="N1123" s="0" t="n">
        <f aca="true">CRITBINOM(MAX(0,$C1123-J1123),MIN(0.6,Matchup!$C$40*SQRT($B1123)/(1-MIN(0.75,Matchup!$C$39*$B1123))),RAND())</f>
        <v>1</v>
      </c>
      <c r="O1123" s="0" t="n">
        <f aca="false">6*J1123+(J1123-K1123-M1123)+2*L1123+3*N1123</f>
        <v>25</v>
      </c>
      <c r="P1123" s="0" t="n">
        <f aca="true">RAND()</f>
        <v>0.588060668942811</v>
      </c>
      <c r="Q1123" s="0" t="n">
        <f aca="true">RAND()</f>
        <v>0.2634935947193</v>
      </c>
      <c r="R1123" s="0" t="n">
        <f aca="false">IF($I1123&lt;&gt;$O1123,0,IF(P1123&lt;Matchup!$B$39,7,IF(P1123&lt;Matchup!$B$39+Matchup!$B$40,3,0)))</f>
        <v>0</v>
      </c>
      <c r="S1123" s="0" t="n">
        <f aca="false">IF($I1123&lt;&gt;$O1123,0,IF(Q1123&lt;Matchup!$C$39,7,IF(Q1123&lt;Matchup!$C$39+Matchup!$C$40,3,0)))</f>
        <v>0</v>
      </c>
      <c r="T1123" s="0" t="n">
        <f aca="false">I1123+R1123</f>
        <v>37</v>
      </c>
      <c r="U1123" s="0" t="n">
        <f aca="false">O1123+S1123</f>
        <v>25</v>
      </c>
      <c r="V1123" s="0" t="n">
        <f aca="false">T1123-U1123</f>
        <v>12</v>
      </c>
      <c r="W1123" s="0" t="n">
        <f aca="false">T1123+U1123</f>
        <v>62</v>
      </c>
    </row>
    <row r="1124" customFormat="false" ht="15" hidden="false" customHeight="false" outlineLevel="0" collapsed="false">
      <c r="A1124" s="0" t="n">
        <v>1121</v>
      </c>
      <c r="B1124" s="0" t="n">
        <f aca="true">NORMINV(RAND(),1,Coefficients!$B$22)</f>
        <v>0.999532791059982</v>
      </c>
      <c r="C1124" s="0" t="n">
        <f aca="true">MEDIAN(8,16,ROUND(NORMINV(RAND(),Coefficients!$B$20,Coefficients!$B$21),0))</f>
        <v>12</v>
      </c>
      <c r="D1124" s="0" t="n">
        <f aca="true">CRITBINOM($C1124,MIN(0.75,Matchup!$B$39*$B1124),RAND())</f>
        <v>4</v>
      </c>
      <c r="E1124" s="0" t="n">
        <f aca="true">CRITBINOM(D1124,Coefficients!$B$30,RAND())</f>
        <v>1</v>
      </c>
      <c r="F1124" s="0" t="n">
        <f aca="true">CRITBINOM(E1124,Coefficients!$B$31,RAND())</f>
        <v>1</v>
      </c>
      <c r="G1124" s="0" t="n">
        <f aca="true">CRITBINOM(MAX(0,D1124-E1124),1-Coefficients!$B$32,RAND())</f>
        <v>0</v>
      </c>
      <c r="H1124" s="0" t="n">
        <f aca="true">CRITBINOM(MAX(0,$C1124-D1124),MIN(0.6,Matchup!$B$40*SQRT($B1124)/(1-MIN(0.75,Matchup!$B$39*$B1124))),RAND())</f>
        <v>1</v>
      </c>
      <c r="I1124" s="0" t="n">
        <f aca="false">6*D1124+(D1124-E1124-G1124)+2*F1124+3*H1124</f>
        <v>32</v>
      </c>
      <c r="J1124" s="0" t="n">
        <f aca="true">CRITBINOM($C1124,MIN(0.75,Matchup!$C$39*$B1124),RAND())</f>
        <v>3</v>
      </c>
      <c r="K1124" s="0" t="n">
        <f aca="true">CRITBINOM(J1124,Coefficients!$B$30,RAND())</f>
        <v>0</v>
      </c>
      <c r="L1124" s="0" t="n">
        <f aca="true">CRITBINOM(K1124,Coefficients!$B$31,RAND())</f>
        <v>0</v>
      </c>
      <c r="M1124" s="0" t="n">
        <f aca="true">CRITBINOM(MAX(0,J1124-K1124),1-Coefficients!$B$32,RAND())</f>
        <v>0</v>
      </c>
      <c r="N1124" s="0" t="n">
        <f aca="true">CRITBINOM(MAX(0,$C1124-J1124),MIN(0.6,Matchup!$C$40*SQRT($B1124)/(1-MIN(0.75,Matchup!$C$39*$B1124))),RAND())</f>
        <v>1</v>
      </c>
      <c r="O1124" s="0" t="n">
        <f aca="false">6*J1124+(J1124-K1124-M1124)+2*L1124+3*N1124</f>
        <v>24</v>
      </c>
      <c r="P1124" s="0" t="n">
        <f aca="true">RAND()</f>
        <v>0.278366169642404</v>
      </c>
      <c r="Q1124" s="0" t="n">
        <f aca="true">RAND()</f>
        <v>0.178801496114554</v>
      </c>
      <c r="R1124" s="0" t="n">
        <f aca="false">IF($I1124&lt;&gt;$O1124,0,IF(P1124&lt;Matchup!$B$39,7,IF(P1124&lt;Matchup!$B$39+Matchup!$B$40,3,0)))</f>
        <v>0</v>
      </c>
      <c r="S1124" s="0" t="n">
        <f aca="false">IF($I1124&lt;&gt;$O1124,0,IF(Q1124&lt;Matchup!$C$39,7,IF(Q1124&lt;Matchup!$C$39+Matchup!$C$40,3,0)))</f>
        <v>0</v>
      </c>
      <c r="T1124" s="0" t="n">
        <f aca="false">I1124+R1124</f>
        <v>32</v>
      </c>
      <c r="U1124" s="0" t="n">
        <f aca="false">O1124+S1124</f>
        <v>24</v>
      </c>
      <c r="V1124" s="0" t="n">
        <f aca="false">T1124-U1124</f>
        <v>8</v>
      </c>
      <c r="W1124" s="0" t="n">
        <f aca="false">T1124+U1124</f>
        <v>56</v>
      </c>
    </row>
    <row r="1125" customFormat="false" ht="15" hidden="false" customHeight="false" outlineLevel="0" collapsed="false">
      <c r="A1125" s="0" t="n">
        <v>1122</v>
      </c>
      <c r="B1125" s="0" t="n">
        <f aca="true">NORMINV(RAND(),1,Coefficients!$B$22)</f>
        <v>1.03998493383061</v>
      </c>
      <c r="C1125" s="0" t="n">
        <f aca="true">MEDIAN(8,16,ROUND(NORMINV(RAND(),Coefficients!$B$20,Coefficients!$B$21),0))</f>
        <v>12</v>
      </c>
      <c r="D1125" s="0" t="n">
        <f aca="true">CRITBINOM($C1125,MIN(0.75,Matchup!$B$39*$B1125),RAND())</f>
        <v>8</v>
      </c>
      <c r="E1125" s="0" t="n">
        <f aca="true">CRITBINOM(D1125,Coefficients!$B$30,RAND())</f>
        <v>0</v>
      </c>
      <c r="F1125" s="0" t="n">
        <f aca="true">CRITBINOM(E1125,Coefficients!$B$31,RAND())</f>
        <v>0</v>
      </c>
      <c r="G1125" s="0" t="n">
        <f aca="true">CRITBINOM(MAX(0,D1125-E1125),1-Coefficients!$B$32,RAND())</f>
        <v>0</v>
      </c>
      <c r="H1125" s="0" t="n">
        <f aca="true">CRITBINOM(MAX(0,$C1125-D1125),MIN(0.6,Matchup!$B$40*SQRT($B1125)/(1-MIN(0.75,Matchup!$B$39*$B1125))),RAND())</f>
        <v>0</v>
      </c>
      <c r="I1125" s="0" t="n">
        <f aca="false">6*D1125+(D1125-E1125-G1125)+2*F1125+3*H1125</f>
        <v>56</v>
      </c>
      <c r="J1125" s="0" t="n">
        <f aca="true">CRITBINOM($C1125,MIN(0.75,Matchup!$C$39*$B1125),RAND())</f>
        <v>3</v>
      </c>
      <c r="K1125" s="0" t="n">
        <f aca="true">CRITBINOM(J1125,Coefficients!$B$30,RAND())</f>
        <v>0</v>
      </c>
      <c r="L1125" s="0" t="n">
        <f aca="true">CRITBINOM(K1125,Coefficients!$B$31,RAND())</f>
        <v>0</v>
      </c>
      <c r="M1125" s="0" t="n">
        <f aca="true">CRITBINOM(MAX(0,J1125-K1125),1-Coefficients!$B$32,RAND())</f>
        <v>0</v>
      </c>
      <c r="N1125" s="0" t="n">
        <f aca="true">CRITBINOM(MAX(0,$C1125-J1125),MIN(0.6,Matchup!$C$40*SQRT($B1125)/(1-MIN(0.75,Matchup!$C$39*$B1125))),RAND())</f>
        <v>2</v>
      </c>
      <c r="O1125" s="0" t="n">
        <f aca="false">6*J1125+(J1125-K1125-M1125)+2*L1125+3*N1125</f>
        <v>27</v>
      </c>
      <c r="P1125" s="0" t="n">
        <f aca="true">RAND()</f>
        <v>0.540619436470519</v>
      </c>
      <c r="Q1125" s="0" t="n">
        <f aca="true">RAND()</f>
        <v>0.776385931546858</v>
      </c>
      <c r="R1125" s="0" t="n">
        <f aca="false">IF($I1125&lt;&gt;$O1125,0,IF(P1125&lt;Matchup!$B$39,7,IF(P1125&lt;Matchup!$B$39+Matchup!$B$40,3,0)))</f>
        <v>0</v>
      </c>
      <c r="S1125" s="0" t="n">
        <f aca="false">IF($I1125&lt;&gt;$O1125,0,IF(Q1125&lt;Matchup!$C$39,7,IF(Q1125&lt;Matchup!$C$39+Matchup!$C$40,3,0)))</f>
        <v>0</v>
      </c>
      <c r="T1125" s="0" t="n">
        <f aca="false">I1125+R1125</f>
        <v>56</v>
      </c>
      <c r="U1125" s="0" t="n">
        <f aca="false">O1125+S1125</f>
        <v>27</v>
      </c>
      <c r="V1125" s="0" t="n">
        <f aca="false">T1125-U1125</f>
        <v>29</v>
      </c>
      <c r="W1125" s="0" t="n">
        <f aca="false">T1125+U1125</f>
        <v>83</v>
      </c>
    </row>
    <row r="1126" customFormat="false" ht="15" hidden="false" customHeight="false" outlineLevel="0" collapsed="false">
      <c r="A1126" s="0" t="n">
        <v>1123</v>
      </c>
      <c r="B1126" s="0" t="n">
        <f aca="true">NORMINV(RAND(),1,Coefficients!$B$22)</f>
        <v>0.990978617937666</v>
      </c>
      <c r="C1126" s="0" t="n">
        <f aca="true">MEDIAN(8,16,ROUND(NORMINV(RAND(),Coefficients!$B$20,Coefficients!$B$21),0))</f>
        <v>11</v>
      </c>
      <c r="D1126" s="0" t="n">
        <f aca="true">CRITBINOM($C1126,MIN(0.75,Matchup!$B$39*$B1126),RAND())</f>
        <v>3</v>
      </c>
      <c r="E1126" s="0" t="n">
        <f aca="true">CRITBINOM(D1126,Coefficients!$B$30,RAND())</f>
        <v>0</v>
      </c>
      <c r="F1126" s="0" t="n">
        <f aca="true">CRITBINOM(E1126,Coefficients!$B$31,RAND())</f>
        <v>0</v>
      </c>
      <c r="G1126" s="0" t="n">
        <f aca="true">CRITBINOM(MAX(0,D1126-E1126),1-Coefficients!$B$32,RAND())</f>
        <v>0</v>
      </c>
      <c r="H1126" s="0" t="n">
        <f aca="true">CRITBINOM(MAX(0,$C1126-D1126),MIN(0.6,Matchup!$B$40*SQRT($B1126)/(1-MIN(0.75,Matchup!$B$39*$B1126))),RAND())</f>
        <v>3</v>
      </c>
      <c r="I1126" s="0" t="n">
        <f aca="false">6*D1126+(D1126-E1126-G1126)+2*F1126+3*H1126</f>
        <v>30</v>
      </c>
      <c r="J1126" s="0" t="n">
        <f aca="true">CRITBINOM($C1126,MIN(0.75,Matchup!$C$39*$B1126),RAND())</f>
        <v>2</v>
      </c>
      <c r="K1126" s="0" t="n">
        <f aca="true">CRITBINOM(J1126,Coefficients!$B$30,RAND())</f>
        <v>0</v>
      </c>
      <c r="L1126" s="0" t="n">
        <f aca="true">CRITBINOM(K1126,Coefficients!$B$31,RAND())</f>
        <v>0</v>
      </c>
      <c r="M1126" s="0" t="n">
        <f aca="true">CRITBINOM(MAX(0,J1126-K1126),1-Coefficients!$B$32,RAND())</f>
        <v>0</v>
      </c>
      <c r="N1126" s="0" t="n">
        <f aca="true">CRITBINOM(MAX(0,$C1126-J1126),MIN(0.6,Matchup!$C$40*SQRT($B1126)/(1-MIN(0.75,Matchup!$C$39*$B1126))),RAND())</f>
        <v>5</v>
      </c>
      <c r="O1126" s="0" t="n">
        <f aca="false">6*J1126+(J1126-K1126-M1126)+2*L1126+3*N1126</f>
        <v>29</v>
      </c>
      <c r="P1126" s="0" t="n">
        <f aca="true">RAND()</f>
        <v>0.868739637451765</v>
      </c>
      <c r="Q1126" s="0" t="n">
        <f aca="true">RAND()</f>
        <v>0.668583043107446</v>
      </c>
      <c r="R1126" s="0" t="n">
        <f aca="false">IF($I1126&lt;&gt;$O1126,0,IF(P1126&lt;Matchup!$B$39,7,IF(P1126&lt;Matchup!$B$39+Matchup!$B$40,3,0)))</f>
        <v>0</v>
      </c>
      <c r="S1126" s="0" t="n">
        <f aca="false">IF($I1126&lt;&gt;$O1126,0,IF(Q1126&lt;Matchup!$C$39,7,IF(Q1126&lt;Matchup!$C$39+Matchup!$C$40,3,0)))</f>
        <v>0</v>
      </c>
      <c r="T1126" s="0" t="n">
        <f aca="false">I1126+R1126</f>
        <v>30</v>
      </c>
      <c r="U1126" s="0" t="n">
        <f aca="false">O1126+S1126</f>
        <v>29</v>
      </c>
      <c r="V1126" s="0" t="n">
        <f aca="false">T1126-U1126</f>
        <v>1</v>
      </c>
      <c r="W1126" s="0" t="n">
        <f aca="false">T1126+U1126</f>
        <v>59</v>
      </c>
    </row>
    <row r="1127" customFormat="false" ht="15" hidden="false" customHeight="false" outlineLevel="0" collapsed="false">
      <c r="A1127" s="0" t="n">
        <v>1124</v>
      </c>
      <c r="B1127" s="0" t="n">
        <f aca="true">NORMINV(RAND(),1,Coefficients!$B$22)</f>
        <v>0.911079766038745</v>
      </c>
      <c r="C1127" s="0" t="n">
        <f aca="true">MEDIAN(8,16,ROUND(NORMINV(RAND(),Coefficients!$B$20,Coefficients!$B$21),0))</f>
        <v>11</v>
      </c>
      <c r="D1127" s="0" t="n">
        <f aca="true">CRITBINOM($C1127,MIN(0.75,Matchup!$B$39*$B1127),RAND())</f>
        <v>1</v>
      </c>
      <c r="E1127" s="0" t="n">
        <f aca="true">CRITBINOM(D1127,Coefficients!$B$30,RAND())</f>
        <v>0</v>
      </c>
      <c r="F1127" s="0" t="n">
        <f aca="true">CRITBINOM(E1127,Coefficients!$B$31,RAND())</f>
        <v>0</v>
      </c>
      <c r="G1127" s="0" t="n">
        <f aca="true">CRITBINOM(MAX(0,D1127-E1127),1-Coefficients!$B$32,RAND())</f>
        <v>0</v>
      </c>
      <c r="H1127" s="0" t="n">
        <f aca="true">CRITBINOM(MAX(0,$C1127-D1127),MIN(0.6,Matchup!$B$40*SQRT($B1127)/(1-MIN(0.75,Matchup!$B$39*$B1127))),RAND())</f>
        <v>2</v>
      </c>
      <c r="I1127" s="0" t="n">
        <f aca="false">6*D1127+(D1127-E1127-G1127)+2*F1127+3*H1127</f>
        <v>13</v>
      </c>
      <c r="J1127" s="0" t="n">
        <f aca="true">CRITBINOM($C1127,MIN(0.75,Matchup!$C$39*$B1127),RAND())</f>
        <v>4</v>
      </c>
      <c r="K1127" s="0" t="n">
        <f aca="true">CRITBINOM(J1127,Coefficients!$B$30,RAND())</f>
        <v>0</v>
      </c>
      <c r="L1127" s="0" t="n">
        <f aca="true">CRITBINOM(K1127,Coefficients!$B$31,RAND())</f>
        <v>0</v>
      </c>
      <c r="M1127" s="0" t="n">
        <f aca="true">CRITBINOM(MAX(0,J1127-K1127),1-Coefficients!$B$32,RAND())</f>
        <v>0</v>
      </c>
      <c r="N1127" s="0" t="n">
        <f aca="true">CRITBINOM(MAX(0,$C1127-J1127),MIN(0.6,Matchup!$C$40*SQRT($B1127)/(1-MIN(0.75,Matchup!$C$39*$B1127))),RAND())</f>
        <v>0</v>
      </c>
      <c r="O1127" s="0" t="n">
        <f aca="false">6*J1127+(J1127-K1127-M1127)+2*L1127+3*N1127</f>
        <v>28</v>
      </c>
      <c r="P1127" s="0" t="n">
        <f aca="true">RAND()</f>
        <v>0.779611850984947</v>
      </c>
      <c r="Q1127" s="0" t="n">
        <f aca="true">RAND()</f>
        <v>0.26546272192423</v>
      </c>
      <c r="R1127" s="0" t="n">
        <f aca="false">IF($I1127&lt;&gt;$O1127,0,IF(P1127&lt;Matchup!$B$39,7,IF(P1127&lt;Matchup!$B$39+Matchup!$B$40,3,0)))</f>
        <v>0</v>
      </c>
      <c r="S1127" s="0" t="n">
        <f aca="false">IF($I1127&lt;&gt;$O1127,0,IF(Q1127&lt;Matchup!$C$39,7,IF(Q1127&lt;Matchup!$C$39+Matchup!$C$40,3,0)))</f>
        <v>0</v>
      </c>
      <c r="T1127" s="0" t="n">
        <f aca="false">I1127+R1127</f>
        <v>13</v>
      </c>
      <c r="U1127" s="0" t="n">
        <f aca="false">O1127+S1127</f>
        <v>28</v>
      </c>
      <c r="V1127" s="0" t="n">
        <f aca="false">T1127-U1127</f>
        <v>-15</v>
      </c>
      <c r="W1127" s="0" t="n">
        <f aca="false">T1127+U1127</f>
        <v>41</v>
      </c>
    </row>
    <row r="1128" customFormat="false" ht="15" hidden="false" customHeight="false" outlineLevel="0" collapsed="false">
      <c r="A1128" s="0" t="n">
        <v>1125</v>
      </c>
      <c r="B1128" s="0" t="n">
        <f aca="true">NORMINV(RAND(),1,Coefficients!$B$22)</f>
        <v>0.969685424259536</v>
      </c>
      <c r="C1128" s="0" t="n">
        <f aca="true">MEDIAN(8,16,ROUND(NORMINV(RAND(),Coefficients!$B$20,Coefficients!$B$21),0))</f>
        <v>13</v>
      </c>
      <c r="D1128" s="0" t="n">
        <f aca="true">CRITBINOM($C1128,MIN(0.75,Matchup!$B$39*$B1128),RAND())</f>
        <v>1</v>
      </c>
      <c r="E1128" s="0" t="n">
        <f aca="true">CRITBINOM(D1128,Coefficients!$B$30,RAND())</f>
        <v>0</v>
      </c>
      <c r="F1128" s="0" t="n">
        <f aca="true">CRITBINOM(E1128,Coefficients!$B$31,RAND())</f>
        <v>0</v>
      </c>
      <c r="G1128" s="0" t="n">
        <f aca="true">CRITBINOM(MAX(0,D1128-E1128),1-Coefficients!$B$32,RAND())</f>
        <v>0</v>
      </c>
      <c r="H1128" s="0" t="n">
        <f aca="true">CRITBINOM(MAX(0,$C1128-D1128),MIN(0.6,Matchup!$B$40*SQRT($B1128)/(1-MIN(0.75,Matchup!$B$39*$B1128))),RAND())</f>
        <v>2</v>
      </c>
      <c r="I1128" s="0" t="n">
        <f aca="false">6*D1128+(D1128-E1128-G1128)+2*F1128+3*H1128</f>
        <v>13</v>
      </c>
      <c r="J1128" s="0" t="n">
        <f aca="true">CRITBINOM($C1128,MIN(0.75,Matchup!$C$39*$B1128),RAND())</f>
        <v>3</v>
      </c>
      <c r="K1128" s="0" t="n">
        <f aca="true">CRITBINOM(J1128,Coefficients!$B$30,RAND())</f>
        <v>0</v>
      </c>
      <c r="L1128" s="0" t="n">
        <f aca="true">CRITBINOM(K1128,Coefficients!$B$31,RAND())</f>
        <v>0</v>
      </c>
      <c r="M1128" s="0" t="n">
        <f aca="true">CRITBINOM(MAX(0,J1128-K1128),1-Coefficients!$B$32,RAND())</f>
        <v>0</v>
      </c>
      <c r="N1128" s="0" t="n">
        <f aca="true">CRITBINOM(MAX(0,$C1128-J1128),MIN(0.6,Matchup!$C$40*SQRT($B1128)/(1-MIN(0.75,Matchup!$C$39*$B1128))),RAND())</f>
        <v>1</v>
      </c>
      <c r="O1128" s="0" t="n">
        <f aca="false">6*J1128+(J1128-K1128-M1128)+2*L1128+3*N1128</f>
        <v>24</v>
      </c>
      <c r="P1128" s="0" t="n">
        <f aca="true">RAND()</f>
        <v>0.25562085672901</v>
      </c>
      <c r="Q1128" s="0" t="n">
        <f aca="true">RAND()</f>
        <v>0.932650971305843</v>
      </c>
      <c r="R1128" s="0" t="n">
        <f aca="false">IF($I1128&lt;&gt;$O1128,0,IF(P1128&lt;Matchup!$B$39,7,IF(P1128&lt;Matchup!$B$39+Matchup!$B$40,3,0)))</f>
        <v>0</v>
      </c>
      <c r="S1128" s="0" t="n">
        <f aca="false">IF($I1128&lt;&gt;$O1128,0,IF(Q1128&lt;Matchup!$C$39,7,IF(Q1128&lt;Matchup!$C$39+Matchup!$C$40,3,0)))</f>
        <v>0</v>
      </c>
      <c r="T1128" s="0" t="n">
        <f aca="false">I1128+R1128</f>
        <v>13</v>
      </c>
      <c r="U1128" s="0" t="n">
        <f aca="false">O1128+S1128</f>
        <v>24</v>
      </c>
      <c r="V1128" s="0" t="n">
        <f aca="false">T1128-U1128</f>
        <v>-11</v>
      </c>
      <c r="W1128" s="0" t="n">
        <f aca="false">T1128+U1128</f>
        <v>37</v>
      </c>
    </row>
    <row r="1129" customFormat="false" ht="15" hidden="false" customHeight="false" outlineLevel="0" collapsed="false">
      <c r="A1129" s="0" t="n">
        <v>1126</v>
      </c>
      <c r="B1129" s="0" t="n">
        <f aca="true">NORMINV(RAND(),1,Coefficients!$B$22)</f>
        <v>1.01322141215556</v>
      </c>
      <c r="C1129" s="0" t="n">
        <f aca="true">MEDIAN(8,16,ROUND(NORMINV(RAND(),Coefficients!$B$20,Coefficients!$B$21),0))</f>
        <v>9</v>
      </c>
      <c r="D1129" s="0" t="n">
        <f aca="true">CRITBINOM($C1129,MIN(0.75,Matchup!$B$39*$B1129),RAND())</f>
        <v>3</v>
      </c>
      <c r="E1129" s="0" t="n">
        <f aca="true">CRITBINOM(D1129,Coefficients!$B$30,RAND())</f>
        <v>0</v>
      </c>
      <c r="F1129" s="0" t="n">
        <f aca="true">CRITBINOM(E1129,Coefficients!$B$31,RAND())</f>
        <v>0</v>
      </c>
      <c r="G1129" s="0" t="n">
        <f aca="true">CRITBINOM(MAX(0,D1129-E1129),1-Coefficients!$B$32,RAND())</f>
        <v>1</v>
      </c>
      <c r="H1129" s="0" t="n">
        <f aca="true">CRITBINOM(MAX(0,$C1129-D1129),MIN(0.6,Matchup!$B$40*SQRT($B1129)/(1-MIN(0.75,Matchup!$B$39*$B1129))),RAND())</f>
        <v>0</v>
      </c>
      <c r="I1129" s="0" t="n">
        <f aca="false">6*D1129+(D1129-E1129-G1129)+2*F1129+3*H1129</f>
        <v>20</v>
      </c>
      <c r="J1129" s="0" t="n">
        <f aca="true">CRITBINOM($C1129,MIN(0.75,Matchup!$C$39*$B1129),RAND())</f>
        <v>2</v>
      </c>
      <c r="K1129" s="0" t="n">
        <f aca="true">CRITBINOM(J1129,Coefficients!$B$30,RAND())</f>
        <v>0</v>
      </c>
      <c r="L1129" s="0" t="n">
        <f aca="true">CRITBINOM(K1129,Coefficients!$B$31,RAND())</f>
        <v>0</v>
      </c>
      <c r="M1129" s="0" t="n">
        <f aca="true">CRITBINOM(MAX(0,J1129-K1129),1-Coefficients!$B$32,RAND())</f>
        <v>0</v>
      </c>
      <c r="N1129" s="0" t="n">
        <f aca="true">CRITBINOM(MAX(0,$C1129-J1129),MIN(0.6,Matchup!$C$40*SQRT($B1129)/(1-MIN(0.75,Matchup!$C$39*$B1129))),RAND())</f>
        <v>0</v>
      </c>
      <c r="O1129" s="0" t="n">
        <f aca="false">6*J1129+(J1129-K1129-M1129)+2*L1129+3*N1129</f>
        <v>14</v>
      </c>
      <c r="P1129" s="0" t="n">
        <f aca="true">RAND()</f>
        <v>0.210120140520605</v>
      </c>
      <c r="Q1129" s="0" t="n">
        <f aca="true">RAND()</f>
        <v>0.924925426763666</v>
      </c>
      <c r="R1129" s="0" t="n">
        <f aca="false">IF($I1129&lt;&gt;$O1129,0,IF(P1129&lt;Matchup!$B$39,7,IF(P1129&lt;Matchup!$B$39+Matchup!$B$40,3,0)))</f>
        <v>0</v>
      </c>
      <c r="S1129" s="0" t="n">
        <f aca="false">IF($I1129&lt;&gt;$O1129,0,IF(Q1129&lt;Matchup!$C$39,7,IF(Q1129&lt;Matchup!$C$39+Matchup!$C$40,3,0)))</f>
        <v>0</v>
      </c>
      <c r="T1129" s="0" t="n">
        <f aca="false">I1129+R1129</f>
        <v>20</v>
      </c>
      <c r="U1129" s="0" t="n">
        <f aca="false">O1129+S1129</f>
        <v>14</v>
      </c>
      <c r="V1129" s="0" t="n">
        <f aca="false">T1129-U1129</f>
        <v>6</v>
      </c>
      <c r="W1129" s="0" t="n">
        <f aca="false">T1129+U1129</f>
        <v>34</v>
      </c>
    </row>
    <row r="1130" customFormat="false" ht="15" hidden="false" customHeight="false" outlineLevel="0" collapsed="false">
      <c r="A1130" s="0" t="n">
        <v>1127</v>
      </c>
      <c r="B1130" s="0" t="n">
        <f aca="true">NORMINV(RAND(),1,Coefficients!$B$22)</f>
        <v>1.12774168580619</v>
      </c>
      <c r="C1130" s="0" t="n">
        <f aca="true">MEDIAN(8,16,ROUND(NORMINV(RAND(),Coefficients!$B$20,Coefficients!$B$21),0))</f>
        <v>9</v>
      </c>
      <c r="D1130" s="0" t="n">
        <f aca="true">CRITBINOM($C1130,MIN(0.75,Matchup!$B$39*$B1130),RAND())</f>
        <v>3</v>
      </c>
      <c r="E1130" s="0" t="n">
        <f aca="true">CRITBINOM(D1130,Coefficients!$B$30,RAND())</f>
        <v>0</v>
      </c>
      <c r="F1130" s="0" t="n">
        <f aca="true">CRITBINOM(E1130,Coefficients!$B$31,RAND())</f>
        <v>0</v>
      </c>
      <c r="G1130" s="0" t="n">
        <f aca="true">CRITBINOM(MAX(0,D1130-E1130),1-Coefficients!$B$32,RAND())</f>
        <v>0</v>
      </c>
      <c r="H1130" s="0" t="n">
        <f aca="true">CRITBINOM(MAX(0,$C1130-D1130),MIN(0.6,Matchup!$B$40*SQRT($B1130)/(1-MIN(0.75,Matchup!$B$39*$B1130))),RAND())</f>
        <v>0</v>
      </c>
      <c r="I1130" s="0" t="n">
        <f aca="false">6*D1130+(D1130-E1130-G1130)+2*F1130+3*H1130</f>
        <v>21</v>
      </c>
      <c r="J1130" s="0" t="n">
        <f aca="true">CRITBINOM($C1130,MIN(0.75,Matchup!$C$39*$B1130),RAND())</f>
        <v>3</v>
      </c>
      <c r="K1130" s="0" t="n">
        <f aca="true">CRITBINOM(J1130,Coefficients!$B$30,RAND())</f>
        <v>0</v>
      </c>
      <c r="L1130" s="0" t="n">
        <f aca="true">CRITBINOM(K1130,Coefficients!$B$31,RAND())</f>
        <v>0</v>
      </c>
      <c r="M1130" s="0" t="n">
        <f aca="true">CRITBINOM(MAX(0,J1130-K1130),1-Coefficients!$B$32,RAND())</f>
        <v>0</v>
      </c>
      <c r="N1130" s="0" t="n">
        <f aca="true">CRITBINOM(MAX(0,$C1130-J1130),MIN(0.6,Matchup!$C$40*SQRT($B1130)/(1-MIN(0.75,Matchup!$C$39*$B1130))),RAND())</f>
        <v>1</v>
      </c>
      <c r="O1130" s="0" t="n">
        <f aca="false">6*J1130+(J1130-K1130-M1130)+2*L1130+3*N1130</f>
        <v>24</v>
      </c>
      <c r="P1130" s="0" t="n">
        <f aca="true">RAND()</f>
        <v>0.876542853555022</v>
      </c>
      <c r="Q1130" s="0" t="n">
        <f aca="true">RAND()</f>
        <v>0.083028085379221</v>
      </c>
      <c r="R1130" s="0" t="n">
        <f aca="false">IF($I1130&lt;&gt;$O1130,0,IF(P1130&lt;Matchup!$B$39,7,IF(P1130&lt;Matchup!$B$39+Matchup!$B$40,3,0)))</f>
        <v>0</v>
      </c>
      <c r="S1130" s="0" t="n">
        <f aca="false">IF($I1130&lt;&gt;$O1130,0,IF(Q1130&lt;Matchup!$C$39,7,IF(Q1130&lt;Matchup!$C$39+Matchup!$C$40,3,0)))</f>
        <v>0</v>
      </c>
      <c r="T1130" s="0" t="n">
        <f aca="false">I1130+R1130</f>
        <v>21</v>
      </c>
      <c r="U1130" s="0" t="n">
        <f aca="false">O1130+S1130</f>
        <v>24</v>
      </c>
      <c r="V1130" s="0" t="n">
        <f aca="false">T1130-U1130</f>
        <v>-3</v>
      </c>
      <c r="W1130" s="0" t="n">
        <f aca="false">T1130+U1130</f>
        <v>45</v>
      </c>
    </row>
    <row r="1131" customFormat="false" ht="15" hidden="false" customHeight="false" outlineLevel="0" collapsed="false">
      <c r="A1131" s="0" t="n">
        <v>1128</v>
      </c>
      <c r="B1131" s="0" t="n">
        <f aca="true">NORMINV(RAND(),1,Coefficients!$B$22)</f>
        <v>1.06710537220323</v>
      </c>
      <c r="C1131" s="0" t="n">
        <f aca="true">MEDIAN(8,16,ROUND(NORMINV(RAND(),Coefficients!$B$20,Coefficients!$B$21),0))</f>
        <v>11</v>
      </c>
      <c r="D1131" s="0" t="n">
        <f aca="true">CRITBINOM($C1131,MIN(0.75,Matchup!$B$39*$B1131),RAND())</f>
        <v>4</v>
      </c>
      <c r="E1131" s="0" t="n">
        <f aca="true">CRITBINOM(D1131,Coefficients!$B$30,RAND())</f>
        <v>0</v>
      </c>
      <c r="F1131" s="0" t="n">
        <f aca="true">CRITBINOM(E1131,Coefficients!$B$31,RAND())</f>
        <v>0</v>
      </c>
      <c r="G1131" s="0" t="n">
        <f aca="true">CRITBINOM(MAX(0,D1131-E1131),1-Coefficients!$B$32,RAND())</f>
        <v>1</v>
      </c>
      <c r="H1131" s="0" t="n">
        <f aca="true">CRITBINOM(MAX(0,$C1131-D1131),MIN(0.6,Matchup!$B$40*SQRT($B1131)/(1-MIN(0.75,Matchup!$B$39*$B1131))),RAND())</f>
        <v>1</v>
      </c>
      <c r="I1131" s="0" t="n">
        <f aca="false">6*D1131+(D1131-E1131-G1131)+2*F1131+3*H1131</f>
        <v>30</v>
      </c>
      <c r="J1131" s="0" t="n">
        <f aca="true">CRITBINOM($C1131,MIN(0.75,Matchup!$C$39*$B1131),RAND())</f>
        <v>0</v>
      </c>
      <c r="K1131" s="0" t="n">
        <f aca="true">CRITBINOM(J1131,Coefficients!$B$30,RAND())</f>
        <v>0</v>
      </c>
      <c r="L1131" s="0" t="n">
        <f aca="true">CRITBINOM(K1131,Coefficients!$B$31,RAND())</f>
        <v>0</v>
      </c>
      <c r="M1131" s="0" t="n">
        <f aca="true">CRITBINOM(MAX(0,J1131-K1131),1-Coefficients!$B$32,RAND())</f>
        <v>0</v>
      </c>
      <c r="N1131" s="0" t="n">
        <f aca="true">CRITBINOM(MAX(0,$C1131-J1131),MIN(0.6,Matchup!$C$40*SQRT($B1131)/(1-MIN(0.75,Matchup!$C$39*$B1131))),RAND())</f>
        <v>0</v>
      </c>
      <c r="O1131" s="0" t="n">
        <f aca="false">6*J1131+(J1131-K1131-M1131)+2*L1131+3*N1131</f>
        <v>0</v>
      </c>
      <c r="P1131" s="0" t="n">
        <f aca="true">RAND()</f>
        <v>0.157805611221826</v>
      </c>
      <c r="Q1131" s="0" t="n">
        <f aca="true">RAND()</f>
        <v>0.176057361223471</v>
      </c>
      <c r="R1131" s="0" t="n">
        <f aca="false">IF($I1131&lt;&gt;$O1131,0,IF(P1131&lt;Matchup!$B$39,7,IF(P1131&lt;Matchup!$B$39+Matchup!$B$40,3,0)))</f>
        <v>0</v>
      </c>
      <c r="S1131" s="0" t="n">
        <f aca="false">IF($I1131&lt;&gt;$O1131,0,IF(Q1131&lt;Matchup!$C$39,7,IF(Q1131&lt;Matchup!$C$39+Matchup!$C$40,3,0)))</f>
        <v>0</v>
      </c>
      <c r="T1131" s="0" t="n">
        <f aca="false">I1131+R1131</f>
        <v>30</v>
      </c>
      <c r="U1131" s="0" t="n">
        <f aca="false">O1131+S1131</f>
        <v>0</v>
      </c>
      <c r="V1131" s="0" t="n">
        <f aca="false">T1131-U1131</f>
        <v>30</v>
      </c>
      <c r="W1131" s="0" t="n">
        <f aca="false">T1131+U1131</f>
        <v>30</v>
      </c>
    </row>
    <row r="1132" customFormat="false" ht="15" hidden="false" customHeight="false" outlineLevel="0" collapsed="false">
      <c r="A1132" s="0" t="n">
        <v>1129</v>
      </c>
      <c r="B1132" s="0" t="n">
        <f aca="true">NORMINV(RAND(),1,Coefficients!$B$22)</f>
        <v>0.996792547189287</v>
      </c>
      <c r="C1132" s="0" t="n">
        <f aca="true">MEDIAN(8,16,ROUND(NORMINV(RAND(),Coefficients!$B$20,Coefficients!$B$21),0))</f>
        <v>12</v>
      </c>
      <c r="D1132" s="0" t="n">
        <f aca="true">CRITBINOM($C1132,MIN(0.75,Matchup!$B$39*$B1132),RAND())</f>
        <v>7</v>
      </c>
      <c r="E1132" s="0" t="n">
        <f aca="true">CRITBINOM(D1132,Coefficients!$B$30,RAND())</f>
        <v>2</v>
      </c>
      <c r="F1132" s="0" t="n">
        <f aca="true">CRITBINOM(E1132,Coefficients!$B$31,RAND())</f>
        <v>1</v>
      </c>
      <c r="G1132" s="0" t="n">
        <f aca="true">CRITBINOM(MAX(0,D1132-E1132),1-Coefficients!$B$32,RAND())</f>
        <v>0</v>
      </c>
      <c r="H1132" s="0" t="n">
        <f aca="true">CRITBINOM(MAX(0,$C1132-D1132),MIN(0.6,Matchup!$B$40*SQRT($B1132)/(1-MIN(0.75,Matchup!$B$39*$B1132))),RAND())</f>
        <v>0</v>
      </c>
      <c r="I1132" s="0" t="n">
        <f aca="false">6*D1132+(D1132-E1132-G1132)+2*F1132+3*H1132</f>
        <v>49</v>
      </c>
      <c r="J1132" s="0" t="n">
        <f aca="true">CRITBINOM($C1132,MIN(0.75,Matchup!$C$39*$B1132),RAND())</f>
        <v>0</v>
      </c>
      <c r="K1132" s="0" t="n">
        <f aca="true">CRITBINOM(J1132,Coefficients!$B$30,RAND())</f>
        <v>0</v>
      </c>
      <c r="L1132" s="0" t="n">
        <f aca="true">CRITBINOM(K1132,Coefficients!$B$31,RAND())</f>
        <v>0</v>
      </c>
      <c r="M1132" s="0" t="n">
        <f aca="true">CRITBINOM(MAX(0,J1132-K1132),1-Coefficients!$B$32,RAND())</f>
        <v>0</v>
      </c>
      <c r="N1132" s="0" t="n">
        <f aca="true">CRITBINOM(MAX(0,$C1132-J1132),MIN(0.6,Matchup!$C$40*SQRT($B1132)/(1-MIN(0.75,Matchup!$C$39*$B1132))),RAND())</f>
        <v>4</v>
      </c>
      <c r="O1132" s="0" t="n">
        <f aca="false">6*J1132+(J1132-K1132-M1132)+2*L1132+3*N1132</f>
        <v>12</v>
      </c>
      <c r="P1132" s="0" t="n">
        <f aca="true">RAND()</f>
        <v>0.552907319301382</v>
      </c>
      <c r="Q1132" s="0" t="n">
        <f aca="true">RAND()</f>
        <v>0.46784088885341</v>
      </c>
      <c r="R1132" s="0" t="n">
        <f aca="false">IF($I1132&lt;&gt;$O1132,0,IF(P1132&lt;Matchup!$B$39,7,IF(P1132&lt;Matchup!$B$39+Matchup!$B$40,3,0)))</f>
        <v>0</v>
      </c>
      <c r="S1132" s="0" t="n">
        <f aca="false">IF($I1132&lt;&gt;$O1132,0,IF(Q1132&lt;Matchup!$C$39,7,IF(Q1132&lt;Matchup!$C$39+Matchup!$C$40,3,0)))</f>
        <v>0</v>
      </c>
      <c r="T1132" s="0" t="n">
        <f aca="false">I1132+R1132</f>
        <v>49</v>
      </c>
      <c r="U1132" s="0" t="n">
        <f aca="false">O1132+S1132</f>
        <v>12</v>
      </c>
      <c r="V1132" s="0" t="n">
        <f aca="false">T1132-U1132</f>
        <v>37</v>
      </c>
      <c r="W1132" s="0" t="n">
        <f aca="false">T1132+U1132</f>
        <v>61</v>
      </c>
    </row>
    <row r="1133" customFormat="false" ht="15" hidden="false" customHeight="false" outlineLevel="0" collapsed="false">
      <c r="A1133" s="0" t="n">
        <v>1130</v>
      </c>
      <c r="B1133" s="0" t="n">
        <f aca="true">NORMINV(RAND(),1,Coefficients!$B$22)</f>
        <v>1.14751682589938</v>
      </c>
      <c r="C1133" s="0" t="n">
        <f aca="true">MEDIAN(8,16,ROUND(NORMINV(RAND(),Coefficients!$B$20,Coefficients!$B$21),0))</f>
        <v>11</v>
      </c>
      <c r="D1133" s="0" t="n">
        <f aca="true">CRITBINOM($C1133,MIN(0.75,Matchup!$B$39*$B1133),RAND())</f>
        <v>2</v>
      </c>
      <c r="E1133" s="0" t="n">
        <f aca="true">CRITBINOM(D1133,Coefficients!$B$30,RAND())</f>
        <v>1</v>
      </c>
      <c r="F1133" s="0" t="n">
        <f aca="true">CRITBINOM(E1133,Coefficients!$B$31,RAND())</f>
        <v>0</v>
      </c>
      <c r="G1133" s="0" t="n">
        <f aca="true">CRITBINOM(MAX(0,D1133-E1133),1-Coefficients!$B$32,RAND())</f>
        <v>0</v>
      </c>
      <c r="H1133" s="0" t="n">
        <f aca="true">CRITBINOM(MAX(0,$C1133-D1133),MIN(0.6,Matchup!$B$40*SQRT($B1133)/(1-MIN(0.75,Matchup!$B$39*$B1133))),RAND())</f>
        <v>2</v>
      </c>
      <c r="I1133" s="0" t="n">
        <f aca="false">6*D1133+(D1133-E1133-G1133)+2*F1133+3*H1133</f>
        <v>19</v>
      </c>
      <c r="J1133" s="0" t="n">
        <f aca="true">CRITBINOM($C1133,MIN(0.75,Matchup!$C$39*$B1133),RAND())</f>
        <v>1</v>
      </c>
      <c r="K1133" s="0" t="n">
        <f aca="true">CRITBINOM(J1133,Coefficients!$B$30,RAND())</f>
        <v>0</v>
      </c>
      <c r="L1133" s="0" t="n">
        <f aca="true">CRITBINOM(K1133,Coefficients!$B$31,RAND())</f>
        <v>0</v>
      </c>
      <c r="M1133" s="0" t="n">
        <f aca="true">CRITBINOM(MAX(0,J1133-K1133),1-Coefficients!$B$32,RAND())</f>
        <v>0</v>
      </c>
      <c r="N1133" s="0" t="n">
        <f aca="true">CRITBINOM(MAX(0,$C1133-J1133),MIN(0.6,Matchup!$C$40*SQRT($B1133)/(1-MIN(0.75,Matchup!$C$39*$B1133))),RAND())</f>
        <v>3</v>
      </c>
      <c r="O1133" s="0" t="n">
        <f aca="false">6*J1133+(J1133-K1133-M1133)+2*L1133+3*N1133</f>
        <v>16</v>
      </c>
      <c r="P1133" s="0" t="n">
        <f aca="true">RAND()</f>
        <v>0.733167376634943</v>
      </c>
      <c r="Q1133" s="0" t="n">
        <f aca="true">RAND()</f>
        <v>0.0067561685809144</v>
      </c>
      <c r="R1133" s="0" t="n">
        <f aca="false">IF($I1133&lt;&gt;$O1133,0,IF(P1133&lt;Matchup!$B$39,7,IF(P1133&lt;Matchup!$B$39+Matchup!$B$40,3,0)))</f>
        <v>0</v>
      </c>
      <c r="S1133" s="0" t="n">
        <f aca="false">IF($I1133&lt;&gt;$O1133,0,IF(Q1133&lt;Matchup!$C$39,7,IF(Q1133&lt;Matchup!$C$39+Matchup!$C$40,3,0)))</f>
        <v>0</v>
      </c>
      <c r="T1133" s="0" t="n">
        <f aca="false">I1133+R1133</f>
        <v>19</v>
      </c>
      <c r="U1133" s="0" t="n">
        <f aca="false">O1133+S1133</f>
        <v>16</v>
      </c>
      <c r="V1133" s="0" t="n">
        <f aca="false">T1133-U1133</f>
        <v>3</v>
      </c>
      <c r="W1133" s="0" t="n">
        <f aca="false">T1133+U1133</f>
        <v>35</v>
      </c>
    </row>
    <row r="1134" customFormat="false" ht="15" hidden="false" customHeight="false" outlineLevel="0" collapsed="false">
      <c r="A1134" s="0" t="n">
        <v>1131</v>
      </c>
      <c r="B1134" s="0" t="n">
        <f aca="true">NORMINV(RAND(),1,Coefficients!$B$22)</f>
        <v>1.06104873865239</v>
      </c>
      <c r="C1134" s="0" t="n">
        <f aca="true">MEDIAN(8,16,ROUND(NORMINV(RAND(),Coefficients!$B$20,Coefficients!$B$21),0))</f>
        <v>9</v>
      </c>
      <c r="D1134" s="0" t="n">
        <f aca="true">CRITBINOM($C1134,MIN(0.75,Matchup!$B$39*$B1134),RAND())</f>
        <v>2</v>
      </c>
      <c r="E1134" s="0" t="n">
        <f aca="true">CRITBINOM(D1134,Coefficients!$B$30,RAND())</f>
        <v>0</v>
      </c>
      <c r="F1134" s="0" t="n">
        <f aca="true">CRITBINOM(E1134,Coefficients!$B$31,RAND())</f>
        <v>0</v>
      </c>
      <c r="G1134" s="0" t="n">
        <f aca="true">CRITBINOM(MAX(0,D1134-E1134),1-Coefficients!$B$32,RAND())</f>
        <v>0</v>
      </c>
      <c r="H1134" s="0" t="n">
        <f aca="true">CRITBINOM(MAX(0,$C1134-D1134),MIN(0.6,Matchup!$B$40*SQRT($B1134)/(1-MIN(0.75,Matchup!$B$39*$B1134))),RAND())</f>
        <v>1</v>
      </c>
      <c r="I1134" s="0" t="n">
        <f aca="false">6*D1134+(D1134-E1134-G1134)+2*F1134+3*H1134</f>
        <v>17</v>
      </c>
      <c r="J1134" s="0" t="n">
        <f aca="true">CRITBINOM($C1134,MIN(0.75,Matchup!$C$39*$B1134),RAND())</f>
        <v>2</v>
      </c>
      <c r="K1134" s="0" t="n">
        <f aca="true">CRITBINOM(J1134,Coefficients!$B$30,RAND())</f>
        <v>0</v>
      </c>
      <c r="L1134" s="0" t="n">
        <f aca="true">CRITBINOM(K1134,Coefficients!$B$31,RAND())</f>
        <v>0</v>
      </c>
      <c r="M1134" s="0" t="n">
        <f aca="true">CRITBINOM(MAX(0,J1134-K1134),1-Coefficients!$B$32,RAND())</f>
        <v>0</v>
      </c>
      <c r="N1134" s="0" t="n">
        <f aca="true">CRITBINOM(MAX(0,$C1134-J1134),MIN(0.6,Matchup!$C$40*SQRT($B1134)/(1-MIN(0.75,Matchup!$C$39*$B1134))),RAND())</f>
        <v>2</v>
      </c>
      <c r="O1134" s="0" t="n">
        <f aca="false">6*J1134+(J1134-K1134-M1134)+2*L1134+3*N1134</f>
        <v>20</v>
      </c>
      <c r="P1134" s="0" t="n">
        <f aca="true">RAND()</f>
        <v>0.804232593548964</v>
      </c>
      <c r="Q1134" s="0" t="n">
        <f aca="true">RAND()</f>
        <v>0.810649778612996</v>
      </c>
      <c r="R1134" s="0" t="n">
        <f aca="false">IF($I1134&lt;&gt;$O1134,0,IF(P1134&lt;Matchup!$B$39,7,IF(P1134&lt;Matchup!$B$39+Matchup!$B$40,3,0)))</f>
        <v>0</v>
      </c>
      <c r="S1134" s="0" t="n">
        <f aca="false">IF($I1134&lt;&gt;$O1134,0,IF(Q1134&lt;Matchup!$C$39,7,IF(Q1134&lt;Matchup!$C$39+Matchup!$C$40,3,0)))</f>
        <v>0</v>
      </c>
      <c r="T1134" s="0" t="n">
        <f aca="false">I1134+R1134</f>
        <v>17</v>
      </c>
      <c r="U1134" s="0" t="n">
        <f aca="false">O1134+S1134</f>
        <v>20</v>
      </c>
      <c r="V1134" s="0" t="n">
        <f aca="false">T1134-U1134</f>
        <v>-3</v>
      </c>
      <c r="W1134" s="0" t="n">
        <f aca="false">T1134+U1134</f>
        <v>37</v>
      </c>
    </row>
    <row r="1135" customFormat="false" ht="15" hidden="false" customHeight="false" outlineLevel="0" collapsed="false">
      <c r="A1135" s="0" t="n">
        <v>1132</v>
      </c>
      <c r="B1135" s="0" t="n">
        <f aca="true">NORMINV(RAND(),1,Coefficients!$B$22)</f>
        <v>1.051837270785</v>
      </c>
      <c r="C1135" s="0" t="n">
        <f aca="true">MEDIAN(8,16,ROUND(NORMINV(RAND(),Coefficients!$B$20,Coefficients!$B$21),0))</f>
        <v>10</v>
      </c>
      <c r="D1135" s="0" t="n">
        <f aca="true">CRITBINOM($C1135,MIN(0.75,Matchup!$B$39*$B1135),RAND())</f>
        <v>2</v>
      </c>
      <c r="E1135" s="0" t="n">
        <f aca="true">CRITBINOM(D1135,Coefficients!$B$30,RAND())</f>
        <v>0</v>
      </c>
      <c r="F1135" s="0" t="n">
        <f aca="true">CRITBINOM(E1135,Coefficients!$B$31,RAND())</f>
        <v>0</v>
      </c>
      <c r="G1135" s="0" t="n">
        <f aca="true">CRITBINOM(MAX(0,D1135-E1135),1-Coefficients!$B$32,RAND())</f>
        <v>0</v>
      </c>
      <c r="H1135" s="0" t="n">
        <f aca="true">CRITBINOM(MAX(0,$C1135-D1135),MIN(0.6,Matchup!$B$40*SQRT($B1135)/(1-MIN(0.75,Matchup!$B$39*$B1135))),RAND())</f>
        <v>0</v>
      </c>
      <c r="I1135" s="0" t="n">
        <f aca="false">6*D1135+(D1135-E1135-G1135)+2*F1135+3*H1135</f>
        <v>14</v>
      </c>
      <c r="J1135" s="0" t="n">
        <f aca="true">CRITBINOM($C1135,MIN(0.75,Matchup!$C$39*$B1135),RAND())</f>
        <v>0</v>
      </c>
      <c r="K1135" s="0" t="n">
        <f aca="true">CRITBINOM(J1135,Coefficients!$B$30,RAND())</f>
        <v>0</v>
      </c>
      <c r="L1135" s="0" t="n">
        <f aca="true">CRITBINOM(K1135,Coefficients!$B$31,RAND())</f>
        <v>0</v>
      </c>
      <c r="M1135" s="0" t="n">
        <f aca="true">CRITBINOM(MAX(0,J1135-K1135),1-Coefficients!$B$32,RAND())</f>
        <v>0</v>
      </c>
      <c r="N1135" s="0" t="n">
        <f aca="true">CRITBINOM(MAX(0,$C1135-J1135),MIN(0.6,Matchup!$C$40*SQRT($B1135)/(1-MIN(0.75,Matchup!$C$39*$B1135))),RAND())</f>
        <v>1</v>
      </c>
      <c r="O1135" s="0" t="n">
        <f aca="false">6*J1135+(J1135-K1135-M1135)+2*L1135+3*N1135</f>
        <v>3</v>
      </c>
      <c r="P1135" s="0" t="n">
        <f aca="true">RAND()</f>
        <v>0.623199775256955</v>
      </c>
      <c r="Q1135" s="0" t="n">
        <f aca="true">RAND()</f>
        <v>0.865625491123418</v>
      </c>
      <c r="R1135" s="0" t="n">
        <f aca="false">IF($I1135&lt;&gt;$O1135,0,IF(P1135&lt;Matchup!$B$39,7,IF(P1135&lt;Matchup!$B$39+Matchup!$B$40,3,0)))</f>
        <v>0</v>
      </c>
      <c r="S1135" s="0" t="n">
        <f aca="false">IF($I1135&lt;&gt;$O1135,0,IF(Q1135&lt;Matchup!$C$39,7,IF(Q1135&lt;Matchup!$C$39+Matchup!$C$40,3,0)))</f>
        <v>0</v>
      </c>
      <c r="T1135" s="0" t="n">
        <f aca="false">I1135+R1135</f>
        <v>14</v>
      </c>
      <c r="U1135" s="0" t="n">
        <f aca="false">O1135+S1135</f>
        <v>3</v>
      </c>
      <c r="V1135" s="0" t="n">
        <f aca="false">T1135-U1135</f>
        <v>11</v>
      </c>
      <c r="W1135" s="0" t="n">
        <f aca="false">T1135+U1135</f>
        <v>17</v>
      </c>
    </row>
    <row r="1136" customFormat="false" ht="15" hidden="false" customHeight="false" outlineLevel="0" collapsed="false">
      <c r="A1136" s="0" t="n">
        <v>1133</v>
      </c>
      <c r="B1136" s="0" t="n">
        <f aca="true">NORMINV(RAND(),1,Coefficients!$B$22)</f>
        <v>1.10998210950643</v>
      </c>
      <c r="C1136" s="0" t="n">
        <f aca="true">MEDIAN(8,16,ROUND(NORMINV(RAND(),Coefficients!$B$20,Coefficients!$B$21),0))</f>
        <v>9</v>
      </c>
      <c r="D1136" s="0" t="n">
        <f aca="true">CRITBINOM($C1136,MIN(0.75,Matchup!$B$39*$B1136),RAND())</f>
        <v>1</v>
      </c>
      <c r="E1136" s="0" t="n">
        <f aca="true">CRITBINOM(D1136,Coefficients!$B$30,RAND())</f>
        <v>0</v>
      </c>
      <c r="F1136" s="0" t="n">
        <f aca="true">CRITBINOM(E1136,Coefficients!$B$31,RAND())</f>
        <v>0</v>
      </c>
      <c r="G1136" s="0" t="n">
        <f aca="true">CRITBINOM(MAX(0,D1136-E1136),1-Coefficients!$B$32,RAND())</f>
        <v>0</v>
      </c>
      <c r="H1136" s="0" t="n">
        <f aca="true">CRITBINOM(MAX(0,$C1136-D1136),MIN(0.6,Matchup!$B$40*SQRT($B1136)/(1-MIN(0.75,Matchup!$B$39*$B1136))),RAND())</f>
        <v>4</v>
      </c>
      <c r="I1136" s="0" t="n">
        <f aca="false">6*D1136+(D1136-E1136-G1136)+2*F1136+3*H1136</f>
        <v>19</v>
      </c>
      <c r="J1136" s="0" t="n">
        <f aca="true">CRITBINOM($C1136,MIN(0.75,Matchup!$C$39*$B1136),RAND())</f>
        <v>3</v>
      </c>
      <c r="K1136" s="0" t="n">
        <f aca="true">CRITBINOM(J1136,Coefficients!$B$30,RAND())</f>
        <v>1</v>
      </c>
      <c r="L1136" s="0" t="n">
        <f aca="true">CRITBINOM(K1136,Coefficients!$B$31,RAND())</f>
        <v>0</v>
      </c>
      <c r="M1136" s="0" t="n">
        <f aca="true">CRITBINOM(MAX(0,J1136-K1136),1-Coefficients!$B$32,RAND())</f>
        <v>0</v>
      </c>
      <c r="N1136" s="0" t="n">
        <f aca="true">CRITBINOM(MAX(0,$C1136-J1136),MIN(0.6,Matchup!$C$40*SQRT($B1136)/(1-MIN(0.75,Matchup!$C$39*$B1136))),RAND())</f>
        <v>3</v>
      </c>
      <c r="O1136" s="0" t="n">
        <f aca="false">6*J1136+(J1136-K1136-M1136)+2*L1136+3*N1136</f>
        <v>29</v>
      </c>
      <c r="P1136" s="0" t="n">
        <f aca="true">RAND()</f>
        <v>0.335552253016306</v>
      </c>
      <c r="Q1136" s="0" t="n">
        <f aca="true">RAND()</f>
        <v>0.873942674049038</v>
      </c>
      <c r="R1136" s="0" t="n">
        <f aca="false">IF($I1136&lt;&gt;$O1136,0,IF(P1136&lt;Matchup!$B$39,7,IF(P1136&lt;Matchup!$B$39+Matchup!$B$40,3,0)))</f>
        <v>0</v>
      </c>
      <c r="S1136" s="0" t="n">
        <f aca="false">IF($I1136&lt;&gt;$O1136,0,IF(Q1136&lt;Matchup!$C$39,7,IF(Q1136&lt;Matchup!$C$39+Matchup!$C$40,3,0)))</f>
        <v>0</v>
      </c>
      <c r="T1136" s="0" t="n">
        <f aca="false">I1136+R1136</f>
        <v>19</v>
      </c>
      <c r="U1136" s="0" t="n">
        <f aca="false">O1136+S1136</f>
        <v>29</v>
      </c>
      <c r="V1136" s="0" t="n">
        <f aca="false">T1136-U1136</f>
        <v>-10</v>
      </c>
      <c r="W1136" s="0" t="n">
        <f aca="false">T1136+U1136</f>
        <v>48</v>
      </c>
    </row>
    <row r="1137" customFormat="false" ht="15" hidden="false" customHeight="false" outlineLevel="0" collapsed="false">
      <c r="A1137" s="0" t="n">
        <v>1134</v>
      </c>
      <c r="B1137" s="0" t="n">
        <f aca="true">NORMINV(RAND(),1,Coefficients!$B$22)</f>
        <v>1.01406125289762</v>
      </c>
      <c r="C1137" s="0" t="n">
        <f aca="true">MEDIAN(8,16,ROUND(NORMINV(RAND(),Coefficients!$B$20,Coefficients!$B$21),0))</f>
        <v>11</v>
      </c>
      <c r="D1137" s="0" t="n">
        <f aca="true">CRITBINOM($C1137,MIN(0.75,Matchup!$B$39*$B1137),RAND())</f>
        <v>5</v>
      </c>
      <c r="E1137" s="0" t="n">
        <f aca="true">CRITBINOM(D1137,Coefficients!$B$30,RAND())</f>
        <v>1</v>
      </c>
      <c r="F1137" s="0" t="n">
        <f aca="true">CRITBINOM(E1137,Coefficients!$B$31,RAND())</f>
        <v>0</v>
      </c>
      <c r="G1137" s="0" t="n">
        <f aca="true">CRITBINOM(MAX(0,D1137-E1137),1-Coefficients!$B$32,RAND())</f>
        <v>0</v>
      </c>
      <c r="H1137" s="0" t="n">
        <f aca="true">CRITBINOM(MAX(0,$C1137-D1137),MIN(0.6,Matchup!$B$40*SQRT($B1137)/(1-MIN(0.75,Matchup!$B$39*$B1137))),RAND())</f>
        <v>0</v>
      </c>
      <c r="I1137" s="0" t="n">
        <f aca="false">6*D1137+(D1137-E1137-G1137)+2*F1137+3*H1137</f>
        <v>34</v>
      </c>
      <c r="J1137" s="0" t="n">
        <f aca="true">CRITBINOM($C1137,MIN(0.75,Matchup!$C$39*$B1137),RAND())</f>
        <v>2</v>
      </c>
      <c r="K1137" s="0" t="n">
        <f aca="true">CRITBINOM(J1137,Coefficients!$B$30,RAND())</f>
        <v>0</v>
      </c>
      <c r="L1137" s="0" t="n">
        <f aca="true">CRITBINOM(K1137,Coefficients!$B$31,RAND())</f>
        <v>0</v>
      </c>
      <c r="M1137" s="0" t="n">
        <f aca="true">CRITBINOM(MAX(0,J1137-K1137),1-Coefficients!$B$32,RAND())</f>
        <v>1</v>
      </c>
      <c r="N1137" s="0" t="n">
        <f aca="true">CRITBINOM(MAX(0,$C1137-J1137),MIN(0.6,Matchup!$C$40*SQRT($B1137)/(1-MIN(0.75,Matchup!$C$39*$B1137))),RAND())</f>
        <v>1</v>
      </c>
      <c r="O1137" s="0" t="n">
        <f aca="false">6*J1137+(J1137-K1137-M1137)+2*L1137+3*N1137</f>
        <v>16</v>
      </c>
      <c r="P1137" s="0" t="n">
        <f aca="true">RAND()</f>
        <v>0.0176029306179395</v>
      </c>
      <c r="Q1137" s="0" t="n">
        <f aca="true">RAND()</f>
        <v>0.302194213183919</v>
      </c>
      <c r="R1137" s="0" t="n">
        <f aca="false">IF($I1137&lt;&gt;$O1137,0,IF(P1137&lt;Matchup!$B$39,7,IF(P1137&lt;Matchup!$B$39+Matchup!$B$40,3,0)))</f>
        <v>0</v>
      </c>
      <c r="S1137" s="0" t="n">
        <f aca="false">IF($I1137&lt;&gt;$O1137,0,IF(Q1137&lt;Matchup!$C$39,7,IF(Q1137&lt;Matchup!$C$39+Matchup!$C$40,3,0)))</f>
        <v>0</v>
      </c>
      <c r="T1137" s="0" t="n">
        <f aca="false">I1137+R1137</f>
        <v>34</v>
      </c>
      <c r="U1137" s="0" t="n">
        <f aca="false">O1137+S1137</f>
        <v>16</v>
      </c>
      <c r="V1137" s="0" t="n">
        <f aca="false">T1137-U1137</f>
        <v>18</v>
      </c>
      <c r="W1137" s="0" t="n">
        <f aca="false">T1137+U1137</f>
        <v>50</v>
      </c>
    </row>
    <row r="1138" customFormat="false" ht="15" hidden="false" customHeight="false" outlineLevel="0" collapsed="false">
      <c r="A1138" s="0" t="n">
        <v>1135</v>
      </c>
      <c r="B1138" s="0" t="n">
        <f aca="true">NORMINV(RAND(),1,Coefficients!$B$22)</f>
        <v>0.983074553308991</v>
      </c>
      <c r="C1138" s="0" t="n">
        <f aca="true">MEDIAN(8,16,ROUND(NORMINV(RAND(),Coefficients!$B$20,Coefficients!$B$21),0))</f>
        <v>13</v>
      </c>
      <c r="D1138" s="0" t="n">
        <f aca="true">CRITBINOM($C1138,MIN(0.75,Matchup!$B$39*$B1138),RAND())</f>
        <v>2</v>
      </c>
      <c r="E1138" s="0" t="n">
        <f aca="true">CRITBINOM(D1138,Coefficients!$B$30,RAND())</f>
        <v>0</v>
      </c>
      <c r="F1138" s="0" t="n">
        <f aca="true">CRITBINOM(E1138,Coefficients!$B$31,RAND())</f>
        <v>0</v>
      </c>
      <c r="G1138" s="0" t="n">
        <f aca="true">CRITBINOM(MAX(0,D1138-E1138),1-Coefficients!$B$32,RAND())</f>
        <v>0</v>
      </c>
      <c r="H1138" s="0" t="n">
        <f aca="true">CRITBINOM(MAX(0,$C1138-D1138),MIN(0.6,Matchup!$B$40*SQRT($B1138)/(1-MIN(0.75,Matchup!$B$39*$B1138))),RAND())</f>
        <v>1</v>
      </c>
      <c r="I1138" s="0" t="n">
        <f aca="false">6*D1138+(D1138-E1138-G1138)+2*F1138+3*H1138</f>
        <v>17</v>
      </c>
      <c r="J1138" s="0" t="n">
        <f aca="true">CRITBINOM($C1138,MIN(0.75,Matchup!$C$39*$B1138),RAND())</f>
        <v>5</v>
      </c>
      <c r="K1138" s="0" t="n">
        <f aca="true">CRITBINOM(J1138,Coefficients!$B$30,RAND())</f>
        <v>0</v>
      </c>
      <c r="L1138" s="0" t="n">
        <f aca="true">CRITBINOM(K1138,Coefficients!$B$31,RAND())</f>
        <v>0</v>
      </c>
      <c r="M1138" s="0" t="n">
        <f aca="true">CRITBINOM(MAX(0,J1138-K1138),1-Coefficients!$B$32,RAND())</f>
        <v>0</v>
      </c>
      <c r="N1138" s="0" t="n">
        <f aca="true">CRITBINOM(MAX(0,$C1138-J1138),MIN(0.6,Matchup!$C$40*SQRT($B1138)/(1-MIN(0.75,Matchup!$C$39*$B1138))),RAND())</f>
        <v>0</v>
      </c>
      <c r="O1138" s="0" t="n">
        <f aca="false">6*J1138+(J1138-K1138-M1138)+2*L1138+3*N1138</f>
        <v>35</v>
      </c>
      <c r="P1138" s="0" t="n">
        <f aca="true">RAND()</f>
        <v>0.264548982217296</v>
      </c>
      <c r="Q1138" s="0" t="n">
        <f aca="true">RAND()</f>
        <v>0.924390817858254</v>
      </c>
      <c r="R1138" s="0" t="n">
        <f aca="false">IF($I1138&lt;&gt;$O1138,0,IF(P1138&lt;Matchup!$B$39,7,IF(P1138&lt;Matchup!$B$39+Matchup!$B$40,3,0)))</f>
        <v>0</v>
      </c>
      <c r="S1138" s="0" t="n">
        <f aca="false">IF($I1138&lt;&gt;$O1138,0,IF(Q1138&lt;Matchup!$C$39,7,IF(Q1138&lt;Matchup!$C$39+Matchup!$C$40,3,0)))</f>
        <v>0</v>
      </c>
      <c r="T1138" s="0" t="n">
        <f aca="false">I1138+R1138</f>
        <v>17</v>
      </c>
      <c r="U1138" s="0" t="n">
        <f aca="false">O1138+S1138</f>
        <v>35</v>
      </c>
      <c r="V1138" s="0" t="n">
        <f aca="false">T1138-U1138</f>
        <v>-18</v>
      </c>
      <c r="W1138" s="0" t="n">
        <f aca="false">T1138+U1138</f>
        <v>52</v>
      </c>
    </row>
    <row r="1139" customFormat="false" ht="15" hidden="false" customHeight="false" outlineLevel="0" collapsed="false">
      <c r="A1139" s="0" t="n">
        <v>1136</v>
      </c>
      <c r="B1139" s="0" t="n">
        <f aca="true">NORMINV(RAND(),1,Coefficients!$B$22)</f>
        <v>0.966182180834229</v>
      </c>
      <c r="C1139" s="0" t="n">
        <f aca="true">MEDIAN(8,16,ROUND(NORMINV(RAND(),Coefficients!$B$20,Coefficients!$B$21),0))</f>
        <v>11</v>
      </c>
      <c r="D1139" s="0" t="n">
        <f aca="true">CRITBINOM($C1139,MIN(0.75,Matchup!$B$39*$B1139),RAND())</f>
        <v>2</v>
      </c>
      <c r="E1139" s="0" t="n">
        <f aca="true">CRITBINOM(D1139,Coefficients!$B$30,RAND())</f>
        <v>0</v>
      </c>
      <c r="F1139" s="0" t="n">
        <f aca="true">CRITBINOM(E1139,Coefficients!$B$31,RAND())</f>
        <v>0</v>
      </c>
      <c r="G1139" s="0" t="n">
        <f aca="true">CRITBINOM(MAX(0,D1139-E1139),1-Coefficients!$B$32,RAND())</f>
        <v>1</v>
      </c>
      <c r="H1139" s="0" t="n">
        <f aca="true">CRITBINOM(MAX(0,$C1139-D1139),MIN(0.6,Matchup!$B$40*SQRT($B1139)/(1-MIN(0.75,Matchup!$B$39*$B1139))),RAND())</f>
        <v>1</v>
      </c>
      <c r="I1139" s="0" t="n">
        <f aca="false">6*D1139+(D1139-E1139-G1139)+2*F1139+3*H1139</f>
        <v>16</v>
      </c>
      <c r="J1139" s="0" t="n">
        <f aca="true">CRITBINOM($C1139,MIN(0.75,Matchup!$C$39*$B1139),RAND())</f>
        <v>4</v>
      </c>
      <c r="K1139" s="0" t="n">
        <f aca="true">CRITBINOM(J1139,Coefficients!$B$30,RAND())</f>
        <v>0</v>
      </c>
      <c r="L1139" s="0" t="n">
        <f aca="true">CRITBINOM(K1139,Coefficients!$B$31,RAND())</f>
        <v>0</v>
      </c>
      <c r="M1139" s="0" t="n">
        <f aca="true">CRITBINOM(MAX(0,J1139-K1139),1-Coefficients!$B$32,RAND())</f>
        <v>0</v>
      </c>
      <c r="N1139" s="0" t="n">
        <f aca="true">CRITBINOM(MAX(0,$C1139-J1139),MIN(0.6,Matchup!$C$40*SQRT($B1139)/(1-MIN(0.75,Matchup!$C$39*$B1139))),RAND())</f>
        <v>1</v>
      </c>
      <c r="O1139" s="0" t="n">
        <f aca="false">6*J1139+(J1139-K1139-M1139)+2*L1139+3*N1139</f>
        <v>31</v>
      </c>
      <c r="P1139" s="0" t="n">
        <f aca="true">RAND()</f>
        <v>0.770189507152795</v>
      </c>
      <c r="Q1139" s="0" t="n">
        <f aca="true">RAND()</f>
        <v>0.187045171981264</v>
      </c>
      <c r="R1139" s="0" t="n">
        <f aca="false">IF($I1139&lt;&gt;$O1139,0,IF(P1139&lt;Matchup!$B$39,7,IF(P1139&lt;Matchup!$B$39+Matchup!$B$40,3,0)))</f>
        <v>0</v>
      </c>
      <c r="S1139" s="0" t="n">
        <f aca="false">IF($I1139&lt;&gt;$O1139,0,IF(Q1139&lt;Matchup!$C$39,7,IF(Q1139&lt;Matchup!$C$39+Matchup!$C$40,3,0)))</f>
        <v>0</v>
      </c>
      <c r="T1139" s="0" t="n">
        <f aca="false">I1139+R1139</f>
        <v>16</v>
      </c>
      <c r="U1139" s="0" t="n">
        <f aca="false">O1139+S1139</f>
        <v>31</v>
      </c>
      <c r="V1139" s="0" t="n">
        <f aca="false">T1139-U1139</f>
        <v>-15</v>
      </c>
      <c r="W1139" s="0" t="n">
        <f aca="false">T1139+U1139</f>
        <v>47</v>
      </c>
    </row>
    <row r="1140" customFormat="false" ht="15" hidden="false" customHeight="false" outlineLevel="0" collapsed="false">
      <c r="A1140" s="0" t="n">
        <v>1137</v>
      </c>
      <c r="B1140" s="0" t="n">
        <f aca="true">NORMINV(RAND(),1,Coefficients!$B$22)</f>
        <v>0.93849923424091</v>
      </c>
      <c r="C1140" s="0" t="n">
        <f aca="true">MEDIAN(8,16,ROUND(NORMINV(RAND(),Coefficients!$B$20,Coefficients!$B$21),0))</f>
        <v>11</v>
      </c>
      <c r="D1140" s="0" t="n">
        <f aca="true">CRITBINOM($C1140,MIN(0.75,Matchup!$B$39*$B1140),RAND())</f>
        <v>1</v>
      </c>
      <c r="E1140" s="0" t="n">
        <f aca="true">CRITBINOM(D1140,Coefficients!$B$30,RAND())</f>
        <v>0</v>
      </c>
      <c r="F1140" s="0" t="n">
        <f aca="true">CRITBINOM(E1140,Coefficients!$B$31,RAND())</f>
        <v>0</v>
      </c>
      <c r="G1140" s="0" t="n">
        <f aca="true">CRITBINOM(MAX(0,D1140-E1140),1-Coefficients!$B$32,RAND())</f>
        <v>0</v>
      </c>
      <c r="H1140" s="0" t="n">
        <f aca="true">CRITBINOM(MAX(0,$C1140-D1140),MIN(0.6,Matchup!$B$40*SQRT($B1140)/(1-MIN(0.75,Matchup!$B$39*$B1140))),RAND())</f>
        <v>3</v>
      </c>
      <c r="I1140" s="0" t="n">
        <f aca="false">6*D1140+(D1140-E1140-G1140)+2*F1140+3*H1140</f>
        <v>16</v>
      </c>
      <c r="J1140" s="0" t="n">
        <f aca="true">CRITBINOM($C1140,MIN(0.75,Matchup!$C$39*$B1140),RAND())</f>
        <v>4</v>
      </c>
      <c r="K1140" s="0" t="n">
        <f aca="true">CRITBINOM(J1140,Coefficients!$B$30,RAND())</f>
        <v>0</v>
      </c>
      <c r="L1140" s="0" t="n">
        <f aca="true">CRITBINOM(K1140,Coefficients!$B$31,RAND())</f>
        <v>0</v>
      </c>
      <c r="M1140" s="0" t="n">
        <f aca="true">CRITBINOM(MAX(0,J1140-K1140),1-Coefficients!$B$32,RAND())</f>
        <v>0</v>
      </c>
      <c r="N1140" s="0" t="n">
        <f aca="true">CRITBINOM(MAX(0,$C1140-J1140),MIN(0.6,Matchup!$C$40*SQRT($B1140)/(1-MIN(0.75,Matchup!$C$39*$B1140))),RAND())</f>
        <v>0</v>
      </c>
      <c r="O1140" s="0" t="n">
        <f aca="false">6*J1140+(J1140-K1140-M1140)+2*L1140+3*N1140</f>
        <v>28</v>
      </c>
      <c r="P1140" s="0" t="n">
        <f aca="true">RAND()</f>
        <v>0.725555897432815</v>
      </c>
      <c r="Q1140" s="0" t="n">
        <f aca="true">RAND()</f>
        <v>0.73751263333582</v>
      </c>
      <c r="R1140" s="0" t="n">
        <f aca="false">IF($I1140&lt;&gt;$O1140,0,IF(P1140&lt;Matchup!$B$39,7,IF(P1140&lt;Matchup!$B$39+Matchup!$B$40,3,0)))</f>
        <v>0</v>
      </c>
      <c r="S1140" s="0" t="n">
        <f aca="false">IF($I1140&lt;&gt;$O1140,0,IF(Q1140&lt;Matchup!$C$39,7,IF(Q1140&lt;Matchup!$C$39+Matchup!$C$40,3,0)))</f>
        <v>0</v>
      </c>
      <c r="T1140" s="0" t="n">
        <f aca="false">I1140+R1140</f>
        <v>16</v>
      </c>
      <c r="U1140" s="0" t="n">
        <f aca="false">O1140+S1140</f>
        <v>28</v>
      </c>
      <c r="V1140" s="0" t="n">
        <f aca="false">T1140-U1140</f>
        <v>-12</v>
      </c>
      <c r="W1140" s="0" t="n">
        <f aca="false">T1140+U1140</f>
        <v>44</v>
      </c>
    </row>
    <row r="1141" customFormat="false" ht="15" hidden="false" customHeight="false" outlineLevel="0" collapsed="false">
      <c r="A1141" s="0" t="n">
        <v>1138</v>
      </c>
      <c r="B1141" s="0" t="n">
        <f aca="true">NORMINV(RAND(),1,Coefficients!$B$22)</f>
        <v>0.885502464986134</v>
      </c>
      <c r="C1141" s="0" t="n">
        <f aca="true">MEDIAN(8,16,ROUND(NORMINV(RAND(),Coefficients!$B$20,Coefficients!$B$21),0))</f>
        <v>12</v>
      </c>
      <c r="D1141" s="0" t="n">
        <f aca="true">CRITBINOM($C1141,MIN(0.75,Matchup!$B$39*$B1141),RAND())</f>
        <v>1</v>
      </c>
      <c r="E1141" s="0" t="n">
        <f aca="true">CRITBINOM(D1141,Coefficients!$B$30,RAND())</f>
        <v>0</v>
      </c>
      <c r="F1141" s="0" t="n">
        <f aca="true">CRITBINOM(E1141,Coefficients!$B$31,RAND())</f>
        <v>0</v>
      </c>
      <c r="G1141" s="0" t="n">
        <f aca="true">CRITBINOM(MAX(0,D1141-E1141),1-Coefficients!$B$32,RAND())</f>
        <v>0</v>
      </c>
      <c r="H1141" s="0" t="n">
        <f aca="true">CRITBINOM(MAX(0,$C1141-D1141),MIN(0.6,Matchup!$B$40*SQRT($B1141)/(1-MIN(0.75,Matchup!$B$39*$B1141))),RAND())</f>
        <v>1</v>
      </c>
      <c r="I1141" s="0" t="n">
        <f aca="false">6*D1141+(D1141-E1141-G1141)+2*F1141+3*H1141</f>
        <v>10</v>
      </c>
      <c r="J1141" s="0" t="n">
        <f aca="true">CRITBINOM($C1141,MIN(0.75,Matchup!$C$39*$B1141),RAND())</f>
        <v>5</v>
      </c>
      <c r="K1141" s="0" t="n">
        <f aca="true">CRITBINOM(J1141,Coefficients!$B$30,RAND())</f>
        <v>0</v>
      </c>
      <c r="L1141" s="0" t="n">
        <f aca="true">CRITBINOM(K1141,Coefficients!$B$31,RAND())</f>
        <v>0</v>
      </c>
      <c r="M1141" s="0" t="n">
        <f aca="true">CRITBINOM(MAX(0,J1141-K1141),1-Coefficients!$B$32,RAND())</f>
        <v>0</v>
      </c>
      <c r="N1141" s="0" t="n">
        <f aca="true">CRITBINOM(MAX(0,$C1141-J1141),MIN(0.6,Matchup!$C$40*SQRT($B1141)/(1-MIN(0.75,Matchup!$C$39*$B1141))),RAND())</f>
        <v>0</v>
      </c>
      <c r="O1141" s="0" t="n">
        <f aca="false">6*J1141+(J1141-K1141-M1141)+2*L1141+3*N1141</f>
        <v>35</v>
      </c>
      <c r="P1141" s="0" t="n">
        <f aca="true">RAND()</f>
        <v>0.531896087415254</v>
      </c>
      <c r="Q1141" s="0" t="n">
        <f aca="true">RAND()</f>
        <v>0.834688804970797</v>
      </c>
      <c r="R1141" s="0" t="n">
        <f aca="false">IF($I1141&lt;&gt;$O1141,0,IF(P1141&lt;Matchup!$B$39,7,IF(P1141&lt;Matchup!$B$39+Matchup!$B$40,3,0)))</f>
        <v>0</v>
      </c>
      <c r="S1141" s="0" t="n">
        <f aca="false">IF($I1141&lt;&gt;$O1141,0,IF(Q1141&lt;Matchup!$C$39,7,IF(Q1141&lt;Matchup!$C$39+Matchup!$C$40,3,0)))</f>
        <v>0</v>
      </c>
      <c r="T1141" s="0" t="n">
        <f aca="false">I1141+R1141</f>
        <v>10</v>
      </c>
      <c r="U1141" s="0" t="n">
        <f aca="false">O1141+S1141</f>
        <v>35</v>
      </c>
      <c r="V1141" s="0" t="n">
        <f aca="false">T1141-U1141</f>
        <v>-25</v>
      </c>
      <c r="W1141" s="0" t="n">
        <f aca="false">T1141+U1141</f>
        <v>45</v>
      </c>
    </row>
    <row r="1142" customFormat="false" ht="15" hidden="false" customHeight="false" outlineLevel="0" collapsed="false">
      <c r="A1142" s="0" t="n">
        <v>1139</v>
      </c>
      <c r="B1142" s="0" t="n">
        <f aca="true">NORMINV(RAND(),1,Coefficients!$B$22)</f>
        <v>1.04614313200422</v>
      </c>
      <c r="C1142" s="0" t="n">
        <f aca="true">MEDIAN(8,16,ROUND(NORMINV(RAND(),Coefficients!$B$20,Coefficients!$B$21),0))</f>
        <v>10</v>
      </c>
      <c r="D1142" s="0" t="n">
        <f aca="true">CRITBINOM($C1142,MIN(0.75,Matchup!$B$39*$B1142),RAND())</f>
        <v>0</v>
      </c>
      <c r="E1142" s="0" t="n">
        <f aca="true">CRITBINOM(D1142,Coefficients!$B$30,RAND())</f>
        <v>0</v>
      </c>
      <c r="F1142" s="0" t="n">
        <f aca="true">CRITBINOM(E1142,Coefficients!$B$31,RAND())</f>
        <v>0</v>
      </c>
      <c r="G1142" s="0" t="n">
        <f aca="true">CRITBINOM(MAX(0,D1142-E1142),1-Coefficients!$B$32,RAND())</f>
        <v>0</v>
      </c>
      <c r="H1142" s="0" t="n">
        <f aca="true">CRITBINOM(MAX(0,$C1142-D1142),MIN(0.6,Matchup!$B$40*SQRT($B1142)/(1-MIN(0.75,Matchup!$B$39*$B1142))),RAND())</f>
        <v>3</v>
      </c>
      <c r="I1142" s="0" t="n">
        <f aca="false">6*D1142+(D1142-E1142-G1142)+2*F1142+3*H1142</f>
        <v>9</v>
      </c>
      <c r="J1142" s="0" t="n">
        <f aca="true">CRITBINOM($C1142,MIN(0.75,Matchup!$C$39*$B1142),RAND())</f>
        <v>2</v>
      </c>
      <c r="K1142" s="0" t="n">
        <f aca="true">CRITBINOM(J1142,Coefficients!$B$30,RAND())</f>
        <v>1</v>
      </c>
      <c r="L1142" s="0" t="n">
        <f aca="true">CRITBINOM(K1142,Coefficients!$B$31,RAND())</f>
        <v>1</v>
      </c>
      <c r="M1142" s="0" t="n">
        <f aca="true">CRITBINOM(MAX(0,J1142-K1142),1-Coefficients!$B$32,RAND())</f>
        <v>0</v>
      </c>
      <c r="N1142" s="0" t="n">
        <f aca="true">CRITBINOM(MAX(0,$C1142-J1142),MIN(0.6,Matchup!$C$40*SQRT($B1142)/(1-MIN(0.75,Matchup!$C$39*$B1142))),RAND())</f>
        <v>2</v>
      </c>
      <c r="O1142" s="0" t="n">
        <f aca="false">6*J1142+(J1142-K1142-M1142)+2*L1142+3*N1142</f>
        <v>21</v>
      </c>
      <c r="P1142" s="0" t="n">
        <f aca="true">RAND()</f>
        <v>0.443932359060526</v>
      </c>
      <c r="Q1142" s="0" t="n">
        <f aca="true">RAND()</f>
        <v>0.756004401381296</v>
      </c>
      <c r="R1142" s="0" t="n">
        <f aca="false">IF($I1142&lt;&gt;$O1142,0,IF(P1142&lt;Matchup!$B$39,7,IF(P1142&lt;Matchup!$B$39+Matchup!$B$40,3,0)))</f>
        <v>0</v>
      </c>
      <c r="S1142" s="0" t="n">
        <f aca="false">IF($I1142&lt;&gt;$O1142,0,IF(Q1142&lt;Matchup!$C$39,7,IF(Q1142&lt;Matchup!$C$39+Matchup!$C$40,3,0)))</f>
        <v>0</v>
      </c>
      <c r="T1142" s="0" t="n">
        <f aca="false">I1142+R1142</f>
        <v>9</v>
      </c>
      <c r="U1142" s="0" t="n">
        <f aca="false">O1142+S1142</f>
        <v>21</v>
      </c>
      <c r="V1142" s="0" t="n">
        <f aca="false">T1142-U1142</f>
        <v>-12</v>
      </c>
      <c r="W1142" s="0" t="n">
        <f aca="false">T1142+U1142</f>
        <v>30</v>
      </c>
    </row>
    <row r="1143" customFormat="false" ht="15" hidden="false" customHeight="false" outlineLevel="0" collapsed="false">
      <c r="A1143" s="0" t="n">
        <v>1140</v>
      </c>
      <c r="B1143" s="0" t="n">
        <f aca="true">NORMINV(RAND(),1,Coefficients!$B$22)</f>
        <v>1.09956591117971</v>
      </c>
      <c r="C1143" s="0" t="n">
        <f aca="true">MEDIAN(8,16,ROUND(NORMINV(RAND(),Coefficients!$B$20,Coefficients!$B$21),0))</f>
        <v>12</v>
      </c>
      <c r="D1143" s="0" t="n">
        <f aca="true">CRITBINOM($C1143,MIN(0.75,Matchup!$B$39*$B1143),RAND())</f>
        <v>6</v>
      </c>
      <c r="E1143" s="0" t="n">
        <f aca="true">CRITBINOM(D1143,Coefficients!$B$30,RAND())</f>
        <v>0</v>
      </c>
      <c r="F1143" s="0" t="n">
        <f aca="true">CRITBINOM(E1143,Coefficients!$B$31,RAND())</f>
        <v>0</v>
      </c>
      <c r="G1143" s="0" t="n">
        <f aca="true">CRITBINOM(MAX(0,D1143-E1143),1-Coefficients!$B$32,RAND())</f>
        <v>0</v>
      </c>
      <c r="H1143" s="0" t="n">
        <f aca="true">CRITBINOM(MAX(0,$C1143-D1143),MIN(0.6,Matchup!$B$40*SQRT($B1143)/(1-MIN(0.75,Matchup!$B$39*$B1143))),RAND())</f>
        <v>1</v>
      </c>
      <c r="I1143" s="0" t="n">
        <f aca="false">6*D1143+(D1143-E1143-G1143)+2*F1143+3*H1143</f>
        <v>45</v>
      </c>
      <c r="J1143" s="0" t="n">
        <f aca="true">CRITBINOM($C1143,MIN(0.75,Matchup!$C$39*$B1143),RAND())</f>
        <v>1</v>
      </c>
      <c r="K1143" s="0" t="n">
        <f aca="true">CRITBINOM(J1143,Coefficients!$B$30,RAND())</f>
        <v>0</v>
      </c>
      <c r="L1143" s="0" t="n">
        <f aca="true">CRITBINOM(K1143,Coefficients!$B$31,RAND())</f>
        <v>0</v>
      </c>
      <c r="M1143" s="0" t="n">
        <f aca="true">CRITBINOM(MAX(0,J1143-K1143),1-Coefficients!$B$32,RAND())</f>
        <v>0</v>
      </c>
      <c r="N1143" s="0" t="n">
        <f aca="true">CRITBINOM(MAX(0,$C1143-J1143),MIN(0.6,Matchup!$C$40*SQRT($B1143)/(1-MIN(0.75,Matchup!$C$39*$B1143))),RAND())</f>
        <v>1</v>
      </c>
      <c r="O1143" s="0" t="n">
        <f aca="false">6*J1143+(J1143-K1143-M1143)+2*L1143+3*N1143</f>
        <v>10</v>
      </c>
      <c r="P1143" s="0" t="n">
        <f aca="true">RAND()</f>
        <v>0.743590364679743</v>
      </c>
      <c r="Q1143" s="0" t="n">
        <f aca="true">RAND()</f>
        <v>0.586539446805973</v>
      </c>
      <c r="R1143" s="0" t="n">
        <f aca="false">IF($I1143&lt;&gt;$O1143,0,IF(P1143&lt;Matchup!$B$39,7,IF(P1143&lt;Matchup!$B$39+Matchup!$B$40,3,0)))</f>
        <v>0</v>
      </c>
      <c r="S1143" s="0" t="n">
        <f aca="false">IF($I1143&lt;&gt;$O1143,0,IF(Q1143&lt;Matchup!$C$39,7,IF(Q1143&lt;Matchup!$C$39+Matchup!$C$40,3,0)))</f>
        <v>0</v>
      </c>
      <c r="T1143" s="0" t="n">
        <f aca="false">I1143+R1143</f>
        <v>45</v>
      </c>
      <c r="U1143" s="0" t="n">
        <f aca="false">O1143+S1143</f>
        <v>10</v>
      </c>
      <c r="V1143" s="0" t="n">
        <f aca="false">T1143-U1143</f>
        <v>35</v>
      </c>
      <c r="W1143" s="0" t="n">
        <f aca="false">T1143+U1143</f>
        <v>55</v>
      </c>
    </row>
    <row r="1144" customFormat="false" ht="15" hidden="false" customHeight="false" outlineLevel="0" collapsed="false">
      <c r="A1144" s="0" t="n">
        <v>1141</v>
      </c>
      <c r="B1144" s="0" t="n">
        <f aca="true">NORMINV(RAND(),1,Coefficients!$B$22)</f>
        <v>0.957957255023024</v>
      </c>
      <c r="C1144" s="0" t="n">
        <f aca="true">MEDIAN(8,16,ROUND(NORMINV(RAND(),Coefficients!$B$20,Coefficients!$B$21),0))</f>
        <v>12</v>
      </c>
      <c r="D1144" s="0" t="n">
        <f aca="true">CRITBINOM($C1144,MIN(0.75,Matchup!$B$39*$B1144),RAND())</f>
        <v>2</v>
      </c>
      <c r="E1144" s="0" t="n">
        <f aca="true">CRITBINOM(D1144,Coefficients!$B$30,RAND())</f>
        <v>0</v>
      </c>
      <c r="F1144" s="0" t="n">
        <f aca="true">CRITBINOM(E1144,Coefficients!$B$31,RAND())</f>
        <v>0</v>
      </c>
      <c r="G1144" s="0" t="n">
        <f aca="true">CRITBINOM(MAX(0,D1144-E1144),1-Coefficients!$B$32,RAND())</f>
        <v>0</v>
      </c>
      <c r="H1144" s="0" t="n">
        <f aca="true">CRITBINOM(MAX(0,$C1144-D1144),MIN(0.6,Matchup!$B$40*SQRT($B1144)/(1-MIN(0.75,Matchup!$B$39*$B1144))),RAND())</f>
        <v>3</v>
      </c>
      <c r="I1144" s="0" t="n">
        <f aca="false">6*D1144+(D1144-E1144-G1144)+2*F1144+3*H1144</f>
        <v>23</v>
      </c>
      <c r="J1144" s="0" t="n">
        <f aca="true">CRITBINOM($C1144,MIN(0.75,Matchup!$C$39*$B1144),RAND())</f>
        <v>5</v>
      </c>
      <c r="K1144" s="0" t="n">
        <f aca="true">CRITBINOM(J1144,Coefficients!$B$30,RAND())</f>
        <v>0</v>
      </c>
      <c r="L1144" s="0" t="n">
        <f aca="true">CRITBINOM(K1144,Coefficients!$B$31,RAND())</f>
        <v>0</v>
      </c>
      <c r="M1144" s="0" t="n">
        <f aca="true">CRITBINOM(MAX(0,J1144-K1144),1-Coefficients!$B$32,RAND())</f>
        <v>0</v>
      </c>
      <c r="N1144" s="0" t="n">
        <f aca="true">CRITBINOM(MAX(0,$C1144-J1144),MIN(0.6,Matchup!$C$40*SQRT($B1144)/(1-MIN(0.75,Matchup!$C$39*$B1144))),RAND())</f>
        <v>1</v>
      </c>
      <c r="O1144" s="0" t="n">
        <f aca="false">6*J1144+(J1144-K1144-M1144)+2*L1144+3*N1144</f>
        <v>38</v>
      </c>
      <c r="P1144" s="0" t="n">
        <f aca="true">RAND()</f>
        <v>0.0810949237991391</v>
      </c>
      <c r="Q1144" s="0" t="n">
        <f aca="true">RAND()</f>
        <v>0.646726062865416</v>
      </c>
      <c r="R1144" s="0" t="n">
        <f aca="false">IF($I1144&lt;&gt;$O1144,0,IF(P1144&lt;Matchup!$B$39,7,IF(P1144&lt;Matchup!$B$39+Matchup!$B$40,3,0)))</f>
        <v>0</v>
      </c>
      <c r="S1144" s="0" t="n">
        <f aca="false">IF($I1144&lt;&gt;$O1144,0,IF(Q1144&lt;Matchup!$C$39,7,IF(Q1144&lt;Matchup!$C$39+Matchup!$C$40,3,0)))</f>
        <v>0</v>
      </c>
      <c r="T1144" s="0" t="n">
        <f aca="false">I1144+R1144</f>
        <v>23</v>
      </c>
      <c r="U1144" s="0" t="n">
        <f aca="false">O1144+S1144</f>
        <v>38</v>
      </c>
      <c r="V1144" s="0" t="n">
        <f aca="false">T1144-U1144</f>
        <v>-15</v>
      </c>
      <c r="W1144" s="0" t="n">
        <f aca="false">T1144+U1144</f>
        <v>61</v>
      </c>
    </row>
    <row r="1145" customFormat="false" ht="15" hidden="false" customHeight="false" outlineLevel="0" collapsed="false">
      <c r="A1145" s="0" t="n">
        <v>1142</v>
      </c>
      <c r="B1145" s="0" t="n">
        <f aca="true">NORMINV(RAND(),1,Coefficients!$B$22)</f>
        <v>0.931830806661153</v>
      </c>
      <c r="C1145" s="0" t="n">
        <f aca="true">MEDIAN(8,16,ROUND(NORMINV(RAND(),Coefficients!$B$20,Coefficients!$B$21),0))</f>
        <v>10</v>
      </c>
      <c r="D1145" s="0" t="n">
        <f aca="true">CRITBINOM($C1145,MIN(0.75,Matchup!$B$39*$B1145),RAND())</f>
        <v>3</v>
      </c>
      <c r="E1145" s="0" t="n">
        <f aca="true">CRITBINOM(D1145,Coefficients!$B$30,RAND())</f>
        <v>0</v>
      </c>
      <c r="F1145" s="0" t="n">
        <f aca="true">CRITBINOM(E1145,Coefficients!$B$31,RAND())</f>
        <v>0</v>
      </c>
      <c r="G1145" s="0" t="n">
        <f aca="true">CRITBINOM(MAX(0,D1145-E1145),1-Coefficients!$B$32,RAND())</f>
        <v>0</v>
      </c>
      <c r="H1145" s="0" t="n">
        <f aca="true">CRITBINOM(MAX(0,$C1145-D1145),MIN(0.6,Matchup!$B$40*SQRT($B1145)/(1-MIN(0.75,Matchup!$B$39*$B1145))),RAND())</f>
        <v>3</v>
      </c>
      <c r="I1145" s="0" t="n">
        <f aca="false">6*D1145+(D1145-E1145-G1145)+2*F1145+3*H1145</f>
        <v>30</v>
      </c>
      <c r="J1145" s="0" t="n">
        <f aca="true">CRITBINOM($C1145,MIN(0.75,Matchup!$C$39*$B1145),RAND())</f>
        <v>1</v>
      </c>
      <c r="K1145" s="0" t="n">
        <f aca="true">CRITBINOM(J1145,Coefficients!$B$30,RAND())</f>
        <v>0</v>
      </c>
      <c r="L1145" s="0" t="n">
        <f aca="true">CRITBINOM(K1145,Coefficients!$B$31,RAND())</f>
        <v>0</v>
      </c>
      <c r="M1145" s="0" t="n">
        <f aca="true">CRITBINOM(MAX(0,J1145-K1145),1-Coefficients!$B$32,RAND())</f>
        <v>0</v>
      </c>
      <c r="N1145" s="0" t="n">
        <f aca="true">CRITBINOM(MAX(0,$C1145-J1145),MIN(0.6,Matchup!$C$40*SQRT($B1145)/(1-MIN(0.75,Matchup!$C$39*$B1145))),RAND())</f>
        <v>4</v>
      </c>
      <c r="O1145" s="0" t="n">
        <f aca="false">6*J1145+(J1145-K1145-M1145)+2*L1145+3*N1145</f>
        <v>19</v>
      </c>
      <c r="P1145" s="0" t="n">
        <f aca="true">RAND()</f>
        <v>0.961300073688459</v>
      </c>
      <c r="Q1145" s="0" t="n">
        <f aca="true">RAND()</f>
        <v>0.116587746924933</v>
      </c>
      <c r="R1145" s="0" t="n">
        <f aca="false">IF($I1145&lt;&gt;$O1145,0,IF(P1145&lt;Matchup!$B$39,7,IF(P1145&lt;Matchup!$B$39+Matchup!$B$40,3,0)))</f>
        <v>0</v>
      </c>
      <c r="S1145" s="0" t="n">
        <f aca="false">IF($I1145&lt;&gt;$O1145,0,IF(Q1145&lt;Matchup!$C$39,7,IF(Q1145&lt;Matchup!$C$39+Matchup!$C$40,3,0)))</f>
        <v>0</v>
      </c>
      <c r="T1145" s="0" t="n">
        <f aca="false">I1145+R1145</f>
        <v>30</v>
      </c>
      <c r="U1145" s="0" t="n">
        <f aca="false">O1145+S1145</f>
        <v>19</v>
      </c>
      <c r="V1145" s="0" t="n">
        <f aca="false">T1145-U1145</f>
        <v>11</v>
      </c>
      <c r="W1145" s="0" t="n">
        <f aca="false">T1145+U1145</f>
        <v>49</v>
      </c>
    </row>
    <row r="1146" customFormat="false" ht="15" hidden="false" customHeight="false" outlineLevel="0" collapsed="false">
      <c r="A1146" s="0" t="n">
        <v>1143</v>
      </c>
      <c r="B1146" s="0" t="n">
        <f aca="true">NORMINV(RAND(),1,Coefficients!$B$22)</f>
        <v>0.992747387114442</v>
      </c>
      <c r="C1146" s="0" t="n">
        <f aca="true">MEDIAN(8,16,ROUND(NORMINV(RAND(),Coefficients!$B$20,Coefficients!$B$21),0))</f>
        <v>10</v>
      </c>
      <c r="D1146" s="0" t="n">
        <f aca="true">CRITBINOM($C1146,MIN(0.75,Matchup!$B$39*$B1146),RAND())</f>
        <v>5</v>
      </c>
      <c r="E1146" s="0" t="n">
        <f aca="true">CRITBINOM(D1146,Coefficients!$B$30,RAND())</f>
        <v>0</v>
      </c>
      <c r="F1146" s="0" t="n">
        <f aca="true">CRITBINOM(E1146,Coefficients!$B$31,RAND())</f>
        <v>0</v>
      </c>
      <c r="G1146" s="0" t="n">
        <f aca="true">CRITBINOM(MAX(0,D1146-E1146),1-Coefficients!$B$32,RAND())</f>
        <v>1</v>
      </c>
      <c r="H1146" s="0" t="n">
        <f aca="true">CRITBINOM(MAX(0,$C1146-D1146),MIN(0.6,Matchup!$B$40*SQRT($B1146)/(1-MIN(0.75,Matchup!$B$39*$B1146))),RAND())</f>
        <v>1</v>
      </c>
      <c r="I1146" s="0" t="n">
        <f aca="false">6*D1146+(D1146-E1146-G1146)+2*F1146+3*H1146</f>
        <v>37</v>
      </c>
      <c r="J1146" s="0" t="n">
        <f aca="true">CRITBINOM($C1146,MIN(0.75,Matchup!$C$39*$B1146),RAND())</f>
        <v>2</v>
      </c>
      <c r="K1146" s="0" t="n">
        <f aca="true">CRITBINOM(J1146,Coefficients!$B$30,RAND())</f>
        <v>0</v>
      </c>
      <c r="L1146" s="0" t="n">
        <f aca="true">CRITBINOM(K1146,Coefficients!$B$31,RAND())</f>
        <v>0</v>
      </c>
      <c r="M1146" s="0" t="n">
        <f aca="true">CRITBINOM(MAX(0,J1146-K1146),1-Coefficients!$B$32,RAND())</f>
        <v>0</v>
      </c>
      <c r="N1146" s="0" t="n">
        <f aca="true">CRITBINOM(MAX(0,$C1146-J1146),MIN(0.6,Matchup!$C$40*SQRT($B1146)/(1-MIN(0.75,Matchup!$C$39*$B1146))),RAND())</f>
        <v>2</v>
      </c>
      <c r="O1146" s="0" t="n">
        <f aca="false">6*J1146+(J1146-K1146-M1146)+2*L1146+3*N1146</f>
        <v>20</v>
      </c>
      <c r="P1146" s="0" t="n">
        <f aca="true">RAND()</f>
        <v>0.855336315326719</v>
      </c>
      <c r="Q1146" s="0" t="n">
        <f aca="true">RAND()</f>
        <v>0.356064859601744</v>
      </c>
      <c r="R1146" s="0" t="n">
        <f aca="false">IF($I1146&lt;&gt;$O1146,0,IF(P1146&lt;Matchup!$B$39,7,IF(P1146&lt;Matchup!$B$39+Matchup!$B$40,3,0)))</f>
        <v>0</v>
      </c>
      <c r="S1146" s="0" t="n">
        <f aca="false">IF($I1146&lt;&gt;$O1146,0,IF(Q1146&lt;Matchup!$C$39,7,IF(Q1146&lt;Matchup!$C$39+Matchup!$C$40,3,0)))</f>
        <v>0</v>
      </c>
      <c r="T1146" s="0" t="n">
        <f aca="false">I1146+R1146</f>
        <v>37</v>
      </c>
      <c r="U1146" s="0" t="n">
        <f aca="false">O1146+S1146</f>
        <v>20</v>
      </c>
      <c r="V1146" s="0" t="n">
        <f aca="false">T1146-U1146</f>
        <v>17</v>
      </c>
      <c r="W1146" s="0" t="n">
        <f aca="false">T1146+U1146</f>
        <v>57</v>
      </c>
    </row>
    <row r="1147" customFormat="false" ht="15" hidden="false" customHeight="false" outlineLevel="0" collapsed="false">
      <c r="A1147" s="0" t="n">
        <v>1144</v>
      </c>
      <c r="B1147" s="0" t="n">
        <f aca="true">NORMINV(RAND(),1,Coefficients!$B$22)</f>
        <v>1.02573104668555</v>
      </c>
      <c r="C1147" s="0" t="n">
        <f aca="true">MEDIAN(8,16,ROUND(NORMINV(RAND(),Coefficients!$B$20,Coefficients!$B$21),0))</f>
        <v>14</v>
      </c>
      <c r="D1147" s="0" t="n">
        <f aca="true">CRITBINOM($C1147,MIN(0.75,Matchup!$B$39*$B1147),RAND())</f>
        <v>5</v>
      </c>
      <c r="E1147" s="0" t="n">
        <f aca="true">CRITBINOM(D1147,Coefficients!$B$30,RAND())</f>
        <v>1</v>
      </c>
      <c r="F1147" s="0" t="n">
        <f aca="true">CRITBINOM(E1147,Coefficients!$B$31,RAND())</f>
        <v>0</v>
      </c>
      <c r="G1147" s="0" t="n">
        <f aca="true">CRITBINOM(MAX(0,D1147-E1147),1-Coefficients!$B$32,RAND())</f>
        <v>0</v>
      </c>
      <c r="H1147" s="0" t="n">
        <f aca="true">CRITBINOM(MAX(0,$C1147-D1147),MIN(0.6,Matchup!$B$40*SQRT($B1147)/(1-MIN(0.75,Matchup!$B$39*$B1147))),RAND())</f>
        <v>2</v>
      </c>
      <c r="I1147" s="0" t="n">
        <f aca="false">6*D1147+(D1147-E1147-G1147)+2*F1147+3*H1147</f>
        <v>40</v>
      </c>
      <c r="J1147" s="0" t="n">
        <f aca="true">CRITBINOM($C1147,MIN(0.75,Matchup!$C$39*$B1147),RAND())</f>
        <v>3</v>
      </c>
      <c r="K1147" s="0" t="n">
        <f aca="true">CRITBINOM(J1147,Coefficients!$B$30,RAND())</f>
        <v>0</v>
      </c>
      <c r="L1147" s="0" t="n">
        <f aca="true">CRITBINOM(K1147,Coefficients!$B$31,RAND())</f>
        <v>0</v>
      </c>
      <c r="M1147" s="0" t="n">
        <f aca="true">CRITBINOM(MAX(0,J1147-K1147),1-Coefficients!$B$32,RAND())</f>
        <v>0</v>
      </c>
      <c r="N1147" s="0" t="n">
        <f aca="true">CRITBINOM(MAX(0,$C1147-J1147),MIN(0.6,Matchup!$C$40*SQRT($B1147)/(1-MIN(0.75,Matchup!$C$39*$B1147))),RAND())</f>
        <v>5</v>
      </c>
      <c r="O1147" s="0" t="n">
        <f aca="false">6*J1147+(J1147-K1147-M1147)+2*L1147+3*N1147</f>
        <v>36</v>
      </c>
      <c r="P1147" s="0" t="n">
        <f aca="true">RAND()</f>
        <v>0.021921303960323</v>
      </c>
      <c r="Q1147" s="0" t="n">
        <f aca="true">RAND()</f>
        <v>0.998653166873259</v>
      </c>
      <c r="R1147" s="0" t="n">
        <f aca="false">IF($I1147&lt;&gt;$O1147,0,IF(P1147&lt;Matchup!$B$39,7,IF(P1147&lt;Matchup!$B$39+Matchup!$B$40,3,0)))</f>
        <v>0</v>
      </c>
      <c r="S1147" s="0" t="n">
        <f aca="false">IF($I1147&lt;&gt;$O1147,0,IF(Q1147&lt;Matchup!$C$39,7,IF(Q1147&lt;Matchup!$C$39+Matchup!$C$40,3,0)))</f>
        <v>0</v>
      </c>
      <c r="T1147" s="0" t="n">
        <f aca="false">I1147+R1147</f>
        <v>40</v>
      </c>
      <c r="U1147" s="0" t="n">
        <f aca="false">O1147+S1147</f>
        <v>36</v>
      </c>
      <c r="V1147" s="0" t="n">
        <f aca="false">T1147-U1147</f>
        <v>4</v>
      </c>
      <c r="W1147" s="0" t="n">
        <f aca="false">T1147+U1147</f>
        <v>76</v>
      </c>
    </row>
    <row r="1148" customFormat="false" ht="15" hidden="false" customHeight="false" outlineLevel="0" collapsed="false">
      <c r="A1148" s="0" t="n">
        <v>1145</v>
      </c>
      <c r="B1148" s="0" t="n">
        <f aca="true">NORMINV(RAND(),1,Coefficients!$B$22)</f>
        <v>1.07865605576719</v>
      </c>
      <c r="C1148" s="0" t="n">
        <f aca="true">MEDIAN(8,16,ROUND(NORMINV(RAND(),Coefficients!$B$20,Coefficients!$B$21),0))</f>
        <v>11</v>
      </c>
      <c r="D1148" s="0" t="n">
        <f aca="true">CRITBINOM($C1148,MIN(0.75,Matchup!$B$39*$B1148),RAND())</f>
        <v>2</v>
      </c>
      <c r="E1148" s="0" t="n">
        <f aca="true">CRITBINOM(D1148,Coefficients!$B$30,RAND())</f>
        <v>0</v>
      </c>
      <c r="F1148" s="0" t="n">
        <f aca="true">CRITBINOM(E1148,Coefficients!$B$31,RAND())</f>
        <v>0</v>
      </c>
      <c r="G1148" s="0" t="n">
        <f aca="true">CRITBINOM(MAX(0,D1148-E1148),1-Coefficients!$B$32,RAND())</f>
        <v>0</v>
      </c>
      <c r="H1148" s="0" t="n">
        <f aca="true">CRITBINOM(MAX(0,$C1148-D1148),MIN(0.6,Matchup!$B$40*SQRT($B1148)/(1-MIN(0.75,Matchup!$B$39*$B1148))),RAND())</f>
        <v>3</v>
      </c>
      <c r="I1148" s="0" t="n">
        <f aca="false">6*D1148+(D1148-E1148-G1148)+2*F1148+3*H1148</f>
        <v>23</v>
      </c>
      <c r="J1148" s="0" t="n">
        <f aca="true">CRITBINOM($C1148,MIN(0.75,Matchup!$C$39*$B1148),RAND())</f>
        <v>2</v>
      </c>
      <c r="K1148" s="0" t="n">
        <f aca="true">CRITBINOM(J1148,Coefficients!$B$30,RAND())</f>
        <v>0</v>
      </c>
      <c r="L1148" s="0" t="n">
        <f aca="true">CRITBINOM(K1148,Coefficients!$B$31,RAND())</f>
        <v>0</v>
      </c>
      <c r="M1148" s="0" t="n">
        <f aca="true">CRITBINOM(MAX(0,J1148-K1148),1-Coefficients!$B$32,RAND())</f>
        <v>0</v>
      </c>
      <c r="N1148" s="0" t="n">
        <f aca="true">CRITBINOM(MAX(0,$C1148-J1148),MIN(0.6,Matchup!$C$40*SQRT($B1148)/(1-MIN(0.75,Matchup!$C$39*$B1148))),RAND())</f>
        <v>2</v>
      </c>
      <c r="O1148" s="0" t="n">
        <f aca="false">6*J1148+(J1148-K1148-M1148)+2*L1148+3*N1148</f>
        <v>20</v>
      </c>
      <c r="P1148" s="0" t="n">
        <f aca="true">RAND()</f>
        <v>0.962775973373075</v>
      </c>
      <c r="Q1148" s="0" t="n">
        <f aca="true">RAND()</f>
        <v>0.31873871393804</v>
      </c>
      <c r="R1148" s="0" t="n">
        <f aca="false">IF($I1148&lt;&gt;$O1148,0,IF(P1148&lt;Matchup!$B$39,7,IF(P1148&lt;Matchup!$B$39+Matchup!$B$40,3,0)))</f>
        <v>0</v>
      </c>
      <c r="S1148" s="0" t="n">
        <f aca="false">IF($I1148&lt;&gt;$O1148,0,IF(Q1148&lt;Matchup!$C$39,7,IF(Q1148&lt;Matchup!$C$39+Matchup!$C$40,3,0)))</f>
        <v>0</v>
      </c>
      <c r="T1148" s="0" t="n">
        <f aca="false">I1148+R1148</f>
        <v>23</v>
      </c>
      <c r="U1148" s="0" t="n">
        <f aca="false">O1148+S1148</f>
        <v>20</v>
      </c>
      <c r="V1148" s="0" t="n">
        <f aca="false">T1148-U1148</f>
        <v>3</v>
      </c>
      <c r="W1148" s="0" t="n">
        <f aca="false">T1148+U1148</f>
        <v>43</v>
      </c>
    </row>
    <row r="1149" customFormat="false" ht="15" hidden="false" customHeight="false" outlineLevel="0" collapsed="false">
      <c r="A1149" s="0" t="n">
        <v>1146</v>
      </c>
      <c r="B1149" s="0" t="n">
        <f aca="true">NORMINV(RAND(),1,Coefficients!$B$22)</f>
        <v>1.19286211751915</v>
      </c>
      <c r="C1149" s="0" t="n">
        <f aca="true">MEDIAN(8,16,ROUND(NORMINV(RAND(),Coefficients!$B$20,Coefficients!$B$21),0))</f>
        <v>10</v>
      </c>
      <c r="D1149" s="0" t="n">
        <f aca="true">CRITBINOM($C1149,MIN(0.75,Matchup!$B$39*$B1149),RAND())</f>
        <v>4</v>
      </c>
      <c r="E1149" s="0" t="n">
        <f aca="true">CRITBINOM(D1149,Coefficients!$B$30,RAND())</f>
        <v>2</v>
      </c>
      <c r="F1149" s="0" t="n">
        <f aca="true">CRITBINOM(E1149,Coefficients!$B$31,RAND())</f>
        <v>0</v>
      </c>
      <c r="G1149" s="0" t="n">
        <f aca="true">CRITBINOM(MAX(0,D1149-E1149),1-Coefficients!$B$32,RAND())</f>
        <v>0</v>
      </c>
      <c r="H1149" s="0" t="n">
        <f aca="true">CRITBINOM(MAX(0,$C1149-D1149),MIN(0.6,Matchup!$B$40*SQRT($B1149)/(1-MIN(0.75,Matchup!$B$39*$B1149))),RAND())</f>
        <v>2</v>
      </c>
      <c r="I1149" s="0" t="n">
        <f aca="false">6*D1149+(D1149-E1149-G1149)+2*F1149+3*H1149</f>
        <v>32</v>
      </c>
      <c r="J1149" s="0" t="n">
        <f aca="true">CRITBINOM($C1149,MIN(0.75,Matchup!$C$39*$B1149),RAND())</f>
        <v>3</v>
      </c>
      <c r="K1149" s="0" t="n">
        <f aca="true">CRITBINOM(J1149,Coefficients!$B$30,RAND())</f>
        <v>0</v>
      </c>
      <c r="L1149" s="0" t="n">
        <f aca="true">CRITBINOM(K1149,Coefficients!$B$31,RAND())</f>
        <v>0</v>
      </c>
      <c r="M1149" s="0" t="n">
        <f aca="true">CRITBINOM(MAX(0,J1149-K1149),1-Coefficients!$B$32,RAND())</f>
        <v>0</v>
      </c>
      <c r="N1149" s="0" t="n">
        <f aca="true">CRITBINOM(MAX(0,$C1149-J1149),MIN(0.6,Matchup!$C$40*SQRT($B1149)/(1-MIN(0.75,Matchup!$C$39*$B1149))),RAND())</f>
        <v>0</v>
      </c>
      <c r="O1149" s="0" t="n">
        <f aca="false">6*J1149+(J1149-K1149-M1149)+2*L1149+3*N1149</f>
        <v>21</v>
      </c>
      <c r="P1149" s="0" t="n">
        <f aca="true">RAND()</f>
        <v>0.710250887872236</v>
      </c>
      <c r="Q1149" s="0" t="n">
        <f aca="true">RAND()</f>
        <v>0.897295016845384</v>
      </c>
      <c r="R1149" s="0" t="n">
        <f aca="false">IF($I1149&lt;&gt;$O1149,0,IF(P1149&lt;Matchup!$B$39,7,IF(P1149&lt;Matchup!$B$39+Matchup!$B$40,3,0)))</f>
        <v>0</v>
      </c>
      <c r="S1149" s="0" t="n">
        <f aca="false">IF($I1149&lt;&gt;$O1149,0,IF(Q1149&lt;Matchup!$C$39,7,IF(Q1149&lt;Matchup!$C$39+Matchup!$C$40,3,0)))</f>
        <v>0</v>
      </c>
      <c r="T1149" s="0" t="n">
        <f aca="false">I1149+R1149</f>
        <v>32</v>
      </c>
      <c r="U1149" s="0" t="n">
        <f aca="false">O1149+S1149</f>
        <v>21</v>
      </c>
      <c r="V1149" s="0" t="n">
        <f aca="false">T1149-U1149</f>
        <v>11</v>
      </c>
      <c r="W1149" s="0" t="n">
        <f aca="false">T1149+U1149</f>
        <v>53</v>
      </c>
    </row>
    <row r="1150" customFormat="false" ht="15" hidden="false" customHeight="false" outlineLevel="0" collapsed="false">
      <c r="A1150" s="0" t="n">
        <v>1147</v>
      </c>
      <c r="B1150" s="0" t="n">
        <f aca="true">NORMINV(RAND(),1,Coefficients!$B$22)</f>
        <v>0.957564142648428</v>
      </c>
      <c r="C1150" s="0" t="n">
        <f aca="true">MEDIAN(8,16,ROUND(NORMINV(RAND(),Coefficients!$B$20,Coefficients!$B$21),0))</f>
        <v>12</v>
      </c>
      <c r="D1150" s="0" t="n">
        <f aca="true">CRITBINOM($C1150,MIN(0.75,Matchup!$B$39*$B1150),RAND())</f>
        <v>4</v>
      </c>
      <c r="E1150" s="0" t="n">
        <f aca="true">CRITBINOM(D1150,Coefficients!$B$30,RAND())</f>
        <v>4</v>
      </c>
      <c r="F1150" s="0" t="n">
        <f aca="true">CRITBINOM(E1150,Coefficients!$B$31,RAND())</f>
        <v>4</v>
      </c>
      <c r="G1150" s="0" t="n">
        <f aca="true">CRITBINOM(MAX(0,D1150-E1150),1-Coefficients!$B$32,RAND())</f>
        <v>0</v>
      </c>
      <c r="H1150" s="0" t="n">
        <f aca="true">CRITBINOM(MAX(0,$C1150-D1150),MIN(0.6,Matchup!$B$40*SQRT($B1150)/(1-MIN(0.75,Matchup!$B$39*$B1150))),RAND())</f>
        <v>1</v>
      </c>
      <c r="I1150" s="0" t="n">
        <f aca="false">6*D1150+(D1150-E1150-G1150)+2*F1150+3*H1150</f>
        <v>35</v>
      </c>
      <c r="J1150" s="0" t="n">
        <f aca="true">CRITBINOM($C1150,MIN(0.75,Matchup!$C$39*$B1150),RAND())</f>
        <v>1</v>
      </c>
      <c r="K1150" s="0" t="n">
        <f aca="true">CRITBINOM(J1150,Coefficients!$B$30,RAND())</f>
        <v>0</v>
      </c>
      <c r="L1150" s="0" t="n">
        <f aca="true">CRITBINOM(K1150,Coefficients!$B$31,RAND())</f>
        <v>0</v>
      </c>
      <c r="M1150" s="0" t="n">
        <f aca="true">CRITBINOM(MAX(0,J1150-K1150),1-Coefficients!$B$32,RAND())</f>
        <v>0</v>
      </c>
      <c r="N1150" s="0" t="n">
        <f aca="true">CRITBINOM(MAX(0,$C1150-J1150),MIN(0.6,Matchup!$C$40*SQRT($B1150)/(1-MIN(0.75,Matchup!$C$39*$B1150))),RAND())</f>
        <v>0</v>
      </c>
      <c r="O1150" s="0" t="n">
        <f aca="false">6*J1150+(J1150-K1150-M1150)+2*L1150+3*N1150</f>
        <v>7</v>
      </c>
      <c r="P1150" s="0" t="n">
        <f aca="true">RAND()</f>
        <v>0.429691457642992</v>
      </c>
      <c r="Q1150" s="0" t="n">
        <f aca="true">RAND()</f>
        <v>0.427324531197193</v>
      </c>
      <c r="R1150" s="0" t="n">
        <f aca="false">IF($I1150&lt;&gt;$O1150,0,IF(P1150&lt;Matchup!$B$39,7,IF(P1150&lt;Matchup!$B$39+Matchup!$B$40,3,0)))</f>
        <v>0</v>
      </c>
      <c r="S1150" s="0" t="n">
        <f aca="false">IF($I1150&lt;&gt;$O1150,0,IF(Q1150&lt;Matchup!$C$39,7,IF(Q1150&lt;Matchup!$C$39+Matchup!$C$40,3,0)))</f>
        <v>0</v>
      </c>
      <c r="T1150" s="0" t="n">
        <f aca="false">I1150+R1150</f>
        <v>35</v>
      </c>
      <c r="U1150" s="0" t="n">
        <f aca="false">O1150+S1150</f>
        <v>7</v>
      </c>
      <c r="V1150" s="0" t="n">
        <f aca="false">T1150-U1150</f>
        <v>28</v>
      </c>
      <c r="W1150" s="0" t="n">
        <f aca="false">T1150+U1150</f>
        <v>42</v>
      </c>
    </row>
    <row r="1151" customFormat="false" ht="15" hidden="false" customHeight="false" outlineLevel="0" collapsed="false">
      <c r="A1151" s="0" t="n">
        <v>1148</v>
      </c>
      <c r="B1151" s="0" t="n">
        <f aca="true">NORMINV(RAND(),1,Coefficients!$B$22)</f>
        <v>0.873081245511196</v>
      </c>
      <c r="C1151" s="0" t="n">
        <f aca="true">MEDIAN(8,16,ROUND(NORMINV(RAND(),Coefficients!$B$20,Coefficients!$B$21),0))</f>
        <v>11</v>
      </c>
      <c r="D1151" s="0" t="n">
        <f aca="true">CRITBINOM($C1151,MIN(0.75,Matchup!$B$39*$B1151),RAND())</f>
        <v>2</v>
      </c>
      <c r="E1151" s="0" t="n">
        <f aca="true">CRITBINOM(D1151,Coefficients!$B$30,RAND())</f>
        <v>0</v>
      </c>
      <c r="F1151" s="0" t="n">
        <f aca="true">CRITBINOM(E1151,Coefficients!$B$31,RAND())</f>
        <v>0</v>
      </c>
      <c r="G1151" s="0" t="n">
        <f aca="true">CRITBINOM(MAX(0,D1151-E1151),1-Coefficients!$B$32,RAND())</f>
        <v>0</v>
      </c>
      <c r="H1151" s="0" t="n">
        <f aca="true">CRITBINOM(MAX(0,$C1151-D1151),MIN(0.6,Matchup!$B$40*SQRT($B1151)/(1-MIN(0.75,Matchup!$B$39*$B1151))),RAND())</f>
        <v>1</v>
      </c>
      <c r="I1151" s="0" t="n">
        <f aca="false">6*D1151+(D1151-E1151-G1151)+2*F1151+3*H1151</f>
        <v>17</v>
      </c>
      <c r="J1151" s="0" t="n">
        <f aca="true">CRITBINOM($C1151,MIN(0.75,Matchup!$C$39*$B1151),RAND())</f>
        <v>5</v>
      </c>
      <c r="K1151" s="0" t="n">
        <f aca="true">CRITBINOM(J1151,Coefficients!$B$30,RAND())</f>
        <v>2</v>
      </c>
      <c r="L1151" s="0" t="n">
        <f aca="true">CRITBINOM(K1151,Coefficients!$B$31,RAND())</f>
        <v>1</v>
      </c>
      <c r="M1151" s="0" t="n">
        <f aca="true">CRITBINOM(MAX(0,J1151-K1151),1-Coefficients!$B$32,RAND())</f>
        <v>0</v>
      </c>
      <c r="N1151" s="0" t="n">
        <f aca="true">CRITBINOM(MAX(0,$C1151-J1151),MIN(0.6,Matchup!$C$40*SQRT($B1151)/(1-MIN(0.75,Matchup!$C$39*$B1151))),RAND())</f>
        <v>1</v>
      </c>
      <c r="O1151" s="0" t="n">
        <f aca="false">6*J1151+(J1151-K1151-M1151)+2*L1151+3*N1151</f>
        <v>38</v>
      </c>
      <c r="P1151" s="0" t="n">
        <f aca="true">RAND()</f>
        <v>0.227338452489009</v>
      </c>
      <c r="Q1151" s="0" t="n">
        <f aca="true">RAND()</f>
        <v>0.0275997906786685</v>
      </c>
      <c r="R1151" s="0" t="n">
        <f aca="false">IF($I1151&lt;&gt;$O1151,0,IF(P1151&lt;Matchup!$B$39,7,IF(P1151&lt;Matchup!$B$39+Matchup!$B$40,3,0)))</f>
        <v>0</v>
      </c>
      <c r="S1151" s="0" t="n">
        <f aca="false">IF($I1151&lt;&gt;$O1151,0,IF(Q1151&lt;Matchup!$C$39,7,IF(Q1151&lt;Matchup!$C$39+Matchup!$C$40,3,0)))</f>
        <v>0</v>
      </c>
      <c r="T1151" s="0" t="n">
        <f aca="false">I1151+R1151</f>
        <v>17</v>
      </c>
      <c r="U1151" s="0" t="n">
        <f aca="false">O1151+S1151</f>
        <v>38</v>
      </c>
      <c r="V1151" s="0" t="n">
        <f aca="false">T1151-U1151</f>
        <v>-21</v>
      </c>
      <c r="W1151" s="0" t="n">
        <f aca="false">T1151+U1151</f>
        <v>55</v>
      </c>
    </row>
    <row r="1152" customFormat="false" ht="15" hidden="false" customHeight="false" outlineLevel="0" collapsed="false">
      <c r="A1152" s="0" t="n">
        <v>1149</v>
      </c>
      <c r="B1152" s="0" t="n">
        <f aca="true">NORMINV(RAND(),1,Coefficients!$B$22)</f>
        <v>0.956750605923117</v>
      </c>
      <c r="C1152" s="0" t="n">
        <f aca="true">MEDIAN(8,16,ROUND(NORMINV(RAND(),Coefficients!$B$20,Coefficients!$B$21),0))</f>
        <v>11</v>
      </c>
      <c r="D1152" s="0" t="n">
        <f aca="true">CRITBINOM($C1152,MIN(0.75,Matchup!$B$39*$B1152),RAND())</f>
        <v>4</v>
      </c>
      <c r="E1152" s="0" t="n">
        <f aca="true">CRITBINOM(D1152,Coefficients!$B$30,RAND())</f>
        <v>0</v>
      </c>
      <c r="F1152" s="0" t="n">
        <f aca="true">CRITBINOM(E1152,Coefficients!$B$31,RAND())</f>
        <v>0</v>
      </c>
      <c r="G1152" s="0" t="n">
        <f aca="true">CRITBINOM(MAX(0,D1152-E1152),1-Coefficients!$B$32,RAND())</f>
        <v>0</v>
      </c>
      <c r="H1152" s="0" t="n">
        <f aca="true">CRITBINOM(MAX(0,$C1152-D1152),MIN(0.6,Matchup!$B$40*SQRT($B1152)/(1-MIN(0.75,Matchup!$B$39*$B1152))),RAND())</f>
        <v>1</v>
      </c>
      <c r="I1152" s="0" t="n">
        <f aca="false">6*D1152+(D1152-E1152-G1152)+2*F1152+3*H1152</f>
        <v>31</v>
      </c>
      <c r="J1152" s="0" t="n">
        <f aca="true">CRITBINOM($C1152,MIN(0.75,Matchup!$C$39*$B1152),RAND())</f>
        <v>3</v>
      </c>
      <c r="K1152" s="0" t="n">
        <f aca="true">CRITBINOM(J1152,Coefficients!$B$30,RAND())</f>
        <v>0</v>
      </c>
      <c r="L1152" s="0" t="n">
        <f aca="true">CRITBINOM(K1152,Coefficients!$B$31,RAND())</f>
        <v>0</v>
      </c>
      <c r="M1152" s="0" t="n">
        <f aca="true">CRITBINOM(MAX(0,J1152-K1152),1-Coefficients!$B$32,RAND())</f>
        <v>0</v>
      </c>
      <c r="N1152" s="0" t="n">
        <f aca="true">CRITBINOM(MAX(0,$C1152-J1152),MIN(0.6,Matchup!$C$40*SQRT($B1152)/(1-MIN(0.75,Matchup!$C$39*$B1152))),RAND())</f>
        <v>1</v>
      </c>
      <c r="O1152" s="0" t="n">
        <f aca="false">6*J1152+(J1152-K1152-M1152)+2*L1152+3*N1152</f>
        <v>24</v>
      </c>
      <c r="P1152" s="0" t="n">
        <f aca="true">RAND()</f>
        <v>0.429367090839456</v>
      </c>
      <c r="Q1152" s="0" t="n">
        <f aca="true">RAND()</f>
        <v>0.0466038749044841</v>
      </c>
      <c r="R1152" s="0" t="n">
        <f aca="false">IF($I1152&lt;&gt;$O1152,0,IF(P1152&lt;Matchup!$B$39,7,IF(P1152&lt;Matchup!$B$39+Matchup!$B$40,3,0)))</f>
        <v>0</v>
      </c>
      <c r="S1152" s="0" t="n">
        <f aca="false">IF($I1152&lt;&gt;$O1152,0,IF(Q1152&lt;Matchup!$C$39,7,IF(Q1152&lt;Matchup!$C$39+Matchup!$C$40,3,0)))</f>
        <v>0</v>
      </c>
      <c r="T1152" s="0" t="n">
        <f aca="false">I1152+R1152</f>
        <v>31</v>
      </c>
      <c r="U1152" s="0" t="n">
        <f aca="false">O1152+S1152</f>
        <v>24</v>
      </c>
      <c r="V1152" s="0" t="n">
        <f aca="false">T1152-U1152</f>
        <v>7</v>
      </c>
      <c r="W1152" s="0" t="n">
        <f aca="false">T1152+U1152</f>
        <v>55</v>
      </c>
    </row>
    <row r="1153" customFormat="false" ht="15" hidden="false" customHeight="false" outlineLevel="0" collapsed="false">
      <c r="A1153" s="0" t="n">
        <v>1150</v>
      </c>
      <c r="B1153" s="0" t="n">
        <f aca="true">NORMINV(RAND(),1,Coefficients!$B$22)</f>
        <v>0.863278379878719</v>
      </c>
      <c r="C1153" s="0" t="n">
        <f aca="true">MEDIAN(8,16,ROUND(NORMINV(RAND(),Coefficients!$B$20,Coefficients!$B$21),0))</f>
        <v>12</v>
      </c>
      <c r="D1153" s="0" t="n">
        <f aca="true">CRITBINOM($C1153,MIN(0.75,Matchup!$B$39*$B1153),RAND())</f>
        <v>4</v>
      </c>
      <c r="E1153" s="0" t="n">
        <f aca="true">CRITBINOM(D1153,Coefficients!$B$30,RAND())</f>
        <v>0</v>
      </c>
      <c r="F1153" s="0" t="n">
        <f aca="true">CRITBINOM(E1153,Coefficients!$B$31,RAND())</f>
        <v>0</v>
      </c>
      <c r="G1153" s="0" t="n">
        <f aca="true">CRITBINOM(MAX(0,D1153-E1153),1-Coefficients!$B$32,RAND())</f>
        <v>0</v>
      </c>
      <c r="H1153" s="0" t="n">
        <f aca="true">CRITBINOM(MAX(0,$C1153-D1153),MIN(0.6,Matchup!$B$40*SQRT($B1153)/(1-MIN(0.75,Matchup!$B$39*$B1153))),RAND())</f>
        <v>2</v>
      </c>
      <c r="I1153" s="0" t="n">
        <f aca="false">6*D1153+(D1153-E1153-G1153)+2*F1153+3*H1153</f>
        <v>34</v>
      </c>
      <c r="J1153" s="0" t="n">
        <f aca="true">CRITBINOM($C1153,MIN(0.75,Matchup!$C$39*$B1153),RAND())</f>
        <v>1</v>
      </c>
      <c r="K1153" s="0" t="n">
        <f aca="true">CRITBINOM(J1153,Coefficients!$B$30,RAND())</f>
        <v>0</v>
      </c>
      <c r="L1153" s="0" t="n">
        <f aca="true">CRITBINOM(K1153,Coefficients!$B$31,RAND())</f>
        <v>0</v>
      </c>
      <c r="M1153" s="0" t="n">
        <f aca="true">CRITBINOM(MAX(0,J1153-K1153),1-Coefficients!$B$32,RAND())</f>
        <v>0</v>
      </c>
      <c r="N1153" s="0" t="n">
        <f aca="true">CRITBINOM(MAX(0,$C1153-J1153),MIN(0.6,Matchup!$C$40*SQRT($B1153)/(1-MIN(0.75,Matchup!$C$39*$B1153))),RAND())</f>
        <v>1</v>
      </c>
      <c r="O1153" s="0" t="n">
        <f aca="false">6*J1153+(J1153-K1153-M1153)+2*L1153+3*N1153</f>
        <v>10</v>
      </c>
      <c r="P1153" s="0" t="n">
        <f aca="true">RAND()</f>
        <v>0.214735103435281</v>
      </c>
      <c r="Q1153" s="0" t="n">
        <f aca="true">RAND()</f>
        <v>0.303044956575202</v>
      </c>
      <c r="R1153" s="0" t="n">
        <f aca="false">IF($I1153&lt;&gt;$O1153,0,IF(P1153&lt;Matchup!$B$39,7,IF(P1153&lt;Matchup!$B$39+Matchup!$B$40,3,0)))</f>
        <v>0</v>
      </c>
      <c r="S1153" s="0" t="n">
        <f aca="false">IF($I1153&lt;&gt;$O1153,0,IF(Q1153&lt;Matchup!$C$39,7,IF(Q1153&lt;Matchup!$C$39+Matchup!$C$40,3,0)))</f>
        <v>0</v>
      </c>
      <c r="T1153" s="0" t="n">
        <f aca="false">I1153+R1153</f>
        <v>34</v>
      </c>
      <c r="U1153" s="0" t="n">
        <f aca="false">O1153+S1153</f>
        <v>10</v>
      </c>
      <c r="V1153" s="0" t="n">
        <f aca="false">T1153-U1153</f>
        <v>24</v>
      </c>
      <c r="W1153" s="0" t="n">
        <f aca="false">T1153+U1153</f>
        <v>44</v>
      </c>
    </row>
    <row r="1154" customFormat="false" ht="15" hidden="false" customHeight="false" outlineLevel="0" collapsed="false">
      <c r="A1154" s="0" t="n">
        <v>1151</v>
      </c>
      <c r="B1154" s="0" t="n">
        <f aca="true">NORMINV(RAND(),1,Coefficients!$B$22)</f>
        <v>0.907026609386082</v>
      </c>
      <c r="C1154" s="0" t="n">
        <f aca="true">MEDIAN(8,16,ROUND(NORMINV(RAND(),Coefficients!$B$20,Coefficients!$B$21),0))</f>
        <v>13</v>
      </c>
      <c r="D1154" s="0" t="n">
        <f aca="true">CRITBINOM($C1154,MIN(0.75,Matchup!$B$39*$B1154),RAND())</f>
        <v>0</v>
      </c>
      <c r="E1154" s="0" t="n">
        <f aca="true">CRITBINOM(D1154,Coefficients!$B$30,RAND())</f>
        <v>0</v>
      </c>
      <c r="F1154" s="0" t="n">
        <f aca="true">CRITBINOM(E1154,Coefficients!$B$31,RAND())</f>
        <v>0</v>
      </c>
      <c r="G1154" s="0" t="n">
        <f aca="true">CRITBINOM(MAX(0,D1154-E1154),1-Coefficients!$B$32,RAND())</f>
        <v>0</v>
      </c>
      <c r="H1154" s="0" t="n">
        <f aca="true">CRITBINOM(MAX(0,$C1154-D1154),MIN(0.6,Matchup!$B$40*SQRT($B1154)/(1-MIN(0.75,Matchup!$B$39*$B1154))),RAND())</f>
        <v>3</v>
      </c>
      <c r="I1154" s="0" t="n">
        <f aca="false">6*D1154+(D1154-E1154-G1154)+2*F1154+3*H1154</f>
        <v>9</v>
      </c>
      <c r="J1154" s="0" t="n">
        <f aca="true">CRITBINOM($C1154,MIN(0.75,Matchup!$C$39*$B1154),RAND())</f>
        <v>3</v>
      </c>
      <c r="K1154" s="0" t="n">
        <f aca="true">CRITBINOM(J1154,Coefficients!$B$30,RAND())</f>
        <v>1</v>
      </c>
      <c r="L1154" s="0" t="n">
        <f aca="true">CRITBINOM(K1154,Coefficients!$B$31,RAND())</f>
        <v>1</v>
      </c>
      <c r="M1154" s="0" t="n">
        <f aca="true">CRITBINOM(MAX(0,J1154-K1154),1-Coefficients!$B$32,RAND())</f>
        <v>0</v>
      </c>
      <c r="N1154" s="0" t="n">
        <f aca="true">CRITBINOM(MAX(0,$C1154-J1154),MIN(0.6,Matchup!$C$40*SQRT($B1154)/(1-MIN(0.75,Matchup!$C$39*$B1154))),RAND())</f>
        <v>2</v>
      </c>
      <c r="O1154" s="0" t="n">
        <f aca="false">6*J1154+(J1154-K1154-M1154)+2*L1154+3*N1154</f>
        <v>28</v>
      </c>
      <c r="P1154" s="0" t="n">
        <f aca="true">RAND()</f>
        <v>0.870180026442844</v>
      </c>
      <c r="Q1154" s="0" t="n">
        <f aca="true">RAND()</f>
        <v>0.72182758361761</v>
      </c>
      <c r="R1154" s="0" t="n">
        <f aca="false">IF($I1154&lt;&gt;$O1154,0,IF(P1154&lt;Matchup!$B$39,7,IF(P1154&lt;Matchup!$B$39+Matchup!$B$40,3,0)))</f>
        <v>0</v>
      </c>
      <c r="S1154" s="0" t="n">
        <f aca="false">IF($I1154&lt;&gt;$O1154,0,IF(Q1154&lt;Matchup!$C$39,7,IF(Q1154&lt;Matchup!$C$39+Matchup!$C$40,3,0)))</f>
        <v>0</v>
      </c>
      <c r="T1154" s="0" t="n">
        <f aca="false">I1154+R1154</f>
        <v>9</v>
      </c>
      <c r="U1154" s="0" t="n">
        <f aca="false">O1154+S1154</f>
        <v>28</v>
      </c>
      <c r="V1154" s="0" t="n">
        <f aca="false">T1154-U1154</f>
        <v>-19</v>
      </c>
      <c r="W1154" s="0" t="n">
        <f aca="false">T1154+U1154</f>
        <v>37</v>
      </c>
    </row>
    <row r="1155" customFormat="false" ht="15" hidden="false" customHeight="false" outlineLevel="0" collapsed="false">
      <c r="A1155" s="0" t="n">
        <v>1152</v>
      </c>
      <c r="B1155" s="0" t="n">
        <f aca="true">NORMINV(RAND(),1,Coefficients!$B$22)</f>
        <v>0.977744582827048</v>
      </c>
      <c r="C1155" s="0" t="n">
        <f aca="true">MEDIAN(8,16,ROUND(NORMINV(RAND(),Coefficients!$B$20,Coefficients!$B$21),0))</f>
        <v>10</v>
      </c>
      <c r="D1155" s="0" t="n">
        <f aca="true">CRITBINOM($C1155,MIN(0.75,Matchup!$B$39*$B1155),RAND())</f>
        <v>3</v>
      </c>
      <c r="E1155" s="0" t="n">
        <f aca="true">CRITBINOM(D1155,Coefficients!$B$30,RAND())</f>
        <v>0</v>
      </c>
      <c r="F1155" s="0" t="n">
        <f aca="true">CRITBINOM(E1155,Coefficients!$B$31,RAND())</f>
        <v>0</v>
      </c>
      <c r="G1155" s="0" t="n">
        <f aca="true">CRITBINOM(MAX(0,D1155-E1155),1-Coefficients!$B$32,RAND())</f>
        <v>0</v>
      </c>
      <c r="H1155" s="0" t="n">
        <f aca="true">CRITBINOM(MAX(0,$C1155-D1155),MIN(0.6,Matchup!$B$40*SQRT($B1155)/(1-MIN(0.75,Matchup!$B$39*$B1155))),RAND())</f>
        <v>3</v>
      </c>
      <c r="I1155" s="0" t="n">
        <f aca="false">6*D1155+(D1155-E1155-G1155)+2*F1155+3*H1155</f>
        <v>30</v>
      </c>
      <c r="J1155" s="0" t="n">
        <f aca="true">CRITBINOM($C1155,MIN(0.75,Matchup!$C$39*$B1155),RAND())</f>
        <v>3</v>
      </c>
      <c r="K1155" s="0" t="n">
        <f aca="true">CRITBINOM(J1155,Coefficients!$B$30,RAND())</f>
        <v>1</v>
      </c>
      <c r="L1155" s="0" t="n">
        <f aca="true">CRITBINOM(K1155,Coefficients!$B$31,RAND())</f>
        <v>1</v>
      </c>
      <c r="M1155" s="0" t="n">
        <f aca="true">CRITBINOM(MAX(0,J1155-K1155),1-Coefficients!$B$32,RAND())</f>
        <v>0</v>
      </c>
      <c r="N1155" s="0" t="n">
        <f aca="true">CRITBINOM(MAX(0,$C1155-J1155),MIN(0.6,Matchup!$C$40*SQRT($B1155)/(1-MIN(0.75,Matchup!$C$39*$B1155))),RAND())</f>
        <v>0</v>
      </c>
      <c r="O1155" s="0" t="n">
        <f aca="false">6*J1155+(J1155-K1155-M1155)+2*L1155+3*N1155</f>
        <v>22</v>
      </c>
      <c r="P1155" s="0" t="n">
        <f aca="true">RAND()</f>
        <v>0.292584953311062</v>
      </c>
      <c r="Q1155" s="0" t="n">
        <f aca="true">RAND()</f>
        <v>0.478378406077486</v>
      </c>
      <c r="R1155" s="0" t="n">
        <f aca="false">IF($I1155&lt;&gt;$O1155,0,IF(P1155&lt;Matchup!$B$39,7,IF(P1155&lt;Matchup!$B$39+Matchup!$B$40,3,0)))</f>
        <v>0</v>
      </c>
      <c r="S1155" s="0" t="n">
        <f aca="false">IF($I1155&lt;&gt;$O1155,0,IF(Q1155&lt;Matchup!$C$39,7,IF(Q1155&lt;Matchup!$C$39+Matchup!$C$40,3,0)))</f>
        <v>0</v>
      </c>
      <c r="T1155" s="0" t="n">
        <f aca="false">I1155+R1155</f>
        <v>30</v>
      </c>
      <c r="U1155" s="0" t="n">
        <f aca="false">O1155+S1155</f>
        <v>22</v>
      </c>
      <c r="V1155" s="0" t="n">
        <f aca="false">T1155-U1155</f>
        <v>8</v>
      </c>
      <c r="W1155" s="0" t="n">
        <f aca="false">T1155+U1155</f>
        <v>52</v>
      </c>
    </row>
    <row r="1156" customFormat="false" ht="15" hidden="false" customHeight="false" outlineLevel="0" collapsed="false">
      <c r="A1156" s="0" t="n">
        <v>1153</v>
      </c>
      <c r="B1156" s="0" t="n">
        <f aca="true">NORMINV(RAND(),1,Coefficients!$B$22)</f>
        <v>1.01063691581146</v>
      </c>
      <c r="C1156" s="0" t="n">
        <f aca="true">MEDIAN(8,16,ROUND(NORMINV(RAND(),Coefficients!$B$20,Coefficients!$B$21),0))</f>
        <v>11</v>
      </c>
      <c r="D1156" s="0" t="n">
        <f aca="true">CRITBINOM($C1156,MIN(0.75,Matchup!$B$39*$B1156),RAND())</f>
        <v>3</v>
      </c>
      <c r="E1156" s="0" t="n">
        <f aca="true">CRITBINOM(D1156,Coefficients!$B$30,RAND())</f>
        <v>0</v>
      </c>
      <c r="F1156" s="0" t="n">
        <f aca="true">CRITBINOM(E1156,Coefficients!$B$31,RAND())</f>
        <v>0</v>
      </c>
      <c r="G1156" s="0" t="n">
        <f aca="true">CRITBINOM(MAX(0,D1156-E1156),1-Coefficients!$B$32,RAND())</f>
        <v>0</v>
      </c>
      <c r="H1156" s="0" t="n">
        <f aca="true">CRITBINOM(MAX(0,$C1156-D1156),MIN(0.6,Matchup!$B$40*SQRT($B1156)/(1-MIN(0.75,Matchup!$B$39*$B1156))),RAND())</f>
        <v>1</v>
      </c>
      <c r="I1156" s="0" t="n">
        <f aca="false">6*D1156+(D1156-E1156-G1156)+2*F1156+3*H1156</f>
        <v>24</v>
      </c>
      <c r="J1156" s="0" t="n">
        <f aca="true">CRITBINOM($C1156,MIN(0.75,Matchup!$C$39*$B1156),RAND())</f>
        <v>3</v>
      </c>
      <c r="K1156" s="0" t="n">
        <f aca="true">CRITBINOM(J1156,Coefficients!$B$30,RAND())</f>
        <v>0</v>
      </c>
      <c r="L1156" s="0" t="n">
        <f aca="true">CRITBINOM(K1156,Coefficients!$B$31,RAND())</f>
        <v>0</v>
      </c>
      <c r="M1156" s="0" t="n">
        <f aca="true">CRITBINOM(MAX(0,J1156-K1156),1-Coefficients!$B$32,RAND())</f>
        <v>0</v>
      </c>
      <c r="N1156" s="0" t="n">
        <f aca="true">CRITBINOM(MAX(0,$C1156-J1156),MIN(0.6,Matchup!$C$40*SQRT($B1156)/(1-MIN(0.75,Matchup!$C$39*$B1156))),RAND())</f>
        <v>2</v>
      </c>
      <c r="O1156" s="0" t="n">
        <f aca="false">6*J1156+(J1156-K1156-M1156)+2*L1156+3*N1156</f>
        <v>27</v>
      </c>
      <c r="P1156" s="0" t="n">
        <f aca="true">RAND()</f>
        <v>0.0463338219107705</v>
      </c>
      <c r="Q1156" s="0" t="n">
        <f aca="true">RAND()</f>
        <v>0.715747534912009</v>
      </c>
      <c r="R1156" s="0" t="n">
        <f aca="false">IF($I1156&lt;&gt;$O1156,0,IF(P1156&lt;Matchup!$B$39,7,IF(P1156&lt;Matchup!$B$39+Matchup!$B$40,3,0)))</f>
        <v>0</v>
      </c>
      <c r="S1156" s="0" t="n">
        <f aca="false">IF($I1156&lt;&gt;$O1156,0,IF(Q1156&lt;Matchup!$C$39,7,IF(Q1156&lt;Matchup!$C$39+Matchup!$C$40,3,0)))</f>
        <v>0</v>
      </c>
      <c r="T1156" s="0" t="n">
        <f aca="false">I1156+R1156</f>
        <v>24</v>
      </c>
      <c r="U1156" s="0" t="n">
        <f aca="false">O1156+S1156</f>
        <v>27</v>
      </c>
      <c r="V1156" s="0" t="n">
        <f aca="false">T1156-U1156</f>
        <v>-3</v>
      </c>
      <c r="W1156" s="0" t="n">
        <f aca="false">T1156+U1156</f>
        <v>51</v>
      </c>
    </row>
    <row r="1157" customFormat="false" ht="15" hidden="false" customHeight="false" outlineLevel="0" collapsed="false">
      <c r="A1157" s="0" t="n">
        <v>1154</v>
      </c>
      <c r="B1157" s="0" t="n">
        <f aca="true">NORMINV(RAND(),1,Coefficients!$B$22)</f>
        <v>0.926603573287245</v>
      </c>
      <c r="C1157" s="0" t="n">
        <f aca="true">MEDIAN(8,16,ROUND(NORMINV(RAND(),Coefficients!$B$20,Coefficients!$B$21),0))</f>
        <v>10</v>
      </c>
      <c r="D1157" s="0" t="n">
        <f aca="true">CRITBINOM($C1157,MIN(0.75,Matchup!$B$39*$B1157),RAND())</f>
        <v>2</v>
      </c>
      <c r="E1157" s="0" t="n">
        <f aca="true">CRITBINOM(D1157,Coefficients!$B$30,RAND())</f>
        <v>0</v>
      </c>
      <c r="F1157" s="0" t="n">
        <f aca="true">CRITBINOM(E1157,Coefficients!$B$31,RAND())</f>
        <v>0</v>
      </c>
      <c r="G1157" s="0" t="n">
        <f aca="true">CRITBINOM(MAX(0,D1157-E1157),1-Coefficients!$B$32,RAND())</f>
        <v>0</v>
      </c>
      <c r="H1157" s="0" t="n">
        <f aca="true">CRITBINOM(MAX(0,$C1157-D1157),MIN(0.6,Matchup!$B$40*SQRT($B1157)/(1-MIN(0.75,Matchup!$B$39*$B1157))),RAND())</f>
        <v>1</v>
      </c>
      <c r="I1157" s="0" t="n">
        <f aca="false">6*D1157+(D1157-E1157-G1157)+2*F1157+3*H1157</f>
        <v>17</v>
      </c>
      <c r="J1157" s="0" t="n">
        <f aca="true">CRITBINOM($C1157,MIN(0.75,Matchup!$C$39*$B1157),RAND())</f>
        <v>1</v>
      </c>
      <c r="K1157" s="0" t="n">
        <f aca="true">CRITBINOM(J1157,Coefficients!$B$30,RAND())</f>
        <v>0</v>
      </c>
      <c r="L1157" s="0" t="n">
        <f aca="true">CRITBINOM(K1157,Coefficients!$B$31,RAND())</f>
        <v>0</v>
      </c>
      <c r="M1157" s="0" t="n">
        <f aca="true">CRITBINOM(MAX(0,J1157-K1157),1-Coefficients!$B$32,RAND())</f>
        <v>1</v>
      </c>
      <c r="N1157" s="0" t="n">
        <f aca="true">CRITBINOM(MAX(0,$C1157-J1157),MIN(0.6,Matchup!$C$40*SQRT($B1157)/(1-MIN(0.75,Matchup!$C$39*$B1157))),RAND())</f>
        <v>2</v>
      </c>
      <c r="O1157" s="0" t="n">
        <f aca="false">6*J1157+(J1157-K1157-M1157)+2*L1157+3*N1157</f>
        <v>12</v>
      </c>
      <c r="P1157" s="0" t="n">
        <f aca="true">RAND()</f>
        <v>0.305979489064686</v>
      </c>
      <c r="Q1157" s="0" t="n">
        <f aca="true">RAND()</f>
        <v>0.637210690445982</v>
      </c>
      <c r="R1157" s="0" t="n">
        <f aca="false">IF($I1157&lt;&gt;$O1157,0,IF(P1157&lt;Matchup!$B$39,7,IF(P1157&lt;Matchup!$B$39+Matchup!$B$40,3,0)))</f>
        <v>0</v>
      </c>
      <c r="S1157" s="0" t="n">
        <f aca="false">IF($I1157&lt;&gt;$O1157,0,IF(Q1157&lt;Matchup!$C$39,7,IF(Q1157&lt;Matchup!$C$39+Matchup!$C$40,3,0)))</f>
        <v>0</v>
      </c>
      <c r="T1157" s="0" t="n">
        <f aca="false">I1157+R1157</f>
        <v>17</v>
      </c>
      <c r="U1157" s="0" t="n">
        <f aca="false">O1157+S1157</f>
        <v>12</v>
      </c>
      <c r="V1157" s="0" t="n">
        <f aca="false">T1157-U1157</f>
        <v>5</v>
      </c>
      <c r="W1157" s="0" t="n">
        <f aca="false">T1157+U1157</f>
        <v>29</v>
      </c>
    </row>
    <row r="1158" customFormat="false" ht="15" hidden="false" customHeight="false" outlineLevel="0" collapsed="false">
      <c r="A1158" s="0" t="n">
        <v>1155</v>
      </c>
      <c r="B1158" s="0" t="n">
        <f aca="true">NORMINV(RAND(),1,Coefficients!$B$22)</f>
        <v>1.10782268052454</v>
      </c>
      <c r="C1158" s="0" t="n">
        <f aca="true">MEDIAN(8,16,ROUND(NORMINV(RAND(),Coefficients!$B$20,Coefficients!$B$21),0))</f>
        <v>12</v>
      </c>
      <c r="D1158" s="0" t="n">
        <f aca="true">CRITBINOM($C1158,MIN(0.75,Matchup!$B$39*$B1158),RAND())</f>
        <v>3</v>
      </c>
      <c r="E1158" s="0" t="n">
        <f aca="true">CRITBINOM(D1158,Coefficients!$B$30,RAND())</f>
        <v>0</v>
      </c>
      <c r="F1158" s="0" t="n">
        <f aca="true">CRITBINOM(E1158,Coefficients!$B$31,RAND())</f>
        <v>0</v>
      </c>
      <c r="G1158" s="0" t="n">
        <f aca="true">CRITBINOM(MAX(0,D1158-E1158),1-Coefficients!$B$32,RAND())</f>
        <v>0</v>
      </c>
      <c r="H1158" s="0" t="n">
        <f aca="true">CRITBINOM(MAX(0,$C1158-D1158),MIN(0.6,Matchup!$B$40*SQRT($B1158)/(1-MIN(0.75,Matchup!$B$39*$B1158))),RAND())</f>
        <v>2</v>
      </c>
      <c r="I1158" s="0" t="n">
        <f aca="false">6*D1158+(D1158-E1158-G1158)+2*F1158+3*H1158</f>
        <v>27</v>
      </c>
      <c r="J1158" s="0" t="n">
        <f aca="true">CRITBINOM($C1158,MIN(0.75,Matchup!$C$39*$B1158),RAND())</f>
        <v>5</v>
      </c>
      <c r="K1158" s="0" t="n">
        <f aca="true">CRITBINOM(J1158,Coefficients!$B$30,RAND())</f>
        <v>2</v>
      </c>
      <c r="L1158" s="0" t="n">
        <f aca="true">CRITBINOM(K1158,Coefficients!$B$31,RAND())</f>
        <v>2</v>
      </c>
      <c r="M1158" s="0" t="n">
        <f aca="true">CRITBINOM(MAX(0,J1158-K1158),1-Coefficients!$B$32,RAND())</f>
        <v>0</v>
      </c>
      <c r="N1158" s="0" t="n">
        <f aca="true">CRITBINOM(MAX(0,$C1158-J1158),MIN(0.6,Matchup!$C$40*SQRT($B1158)/(1-MIN(0.75,Matchup!$C$39*$B1158))),RAND())</f>
        <v>1</v>
      </c>
      <c r="O1158" s="0" t="n">
        <f aca="false">6*J1158+(J1158-K1158-M1158)+2*L1158+3*N1158</f>
        <v>40</v>
      </c>
      <c r="P1158" s="0" t="n">
        <f aca="true">RAND()</f>
        <v>0.723098647996211</v>
      </c>
      <c r="Q1158" s="0" t="n">
        <f aca="true">RAND()</f>
        <v>0.144452429133923</v>
      </c>
      <c r="R1158" s="0" t="n">
        <f aca="false">IF($I1158&lt;&gt;$O1158,0,IF(P1158&lt;Matchup!$B$39,7,IF(P1158&lt;Matchup!$B$39+Matchup!$B$40,3,0)))</f>
        <v>0</v>
      </c>
      <c r="S1158" s="0" t="n">
        <f aca="false">IF($I1158&lt;&gt;$O1158,0,IF(Q1158&lt;Matchup!$C$39,7,IF(Q1158&lt;Matchup!$C$39+Matchup!$C$40,3,0)))</f>
        <v>0</v>
      </c>
      <c r="T1158" s="0" t="n">
        <f aca="false">I1158+R1158</f>
        <v>27</v>
      </c>
      <c r="U1158" s="0" t="n">
        <f aca="false">O1158+S1158</f>
        <v>40</v>
      </c>
      <c r="V1158" s="0" t="n">
        <f aca="false">T1158-U1158</f>
        <v>-13</v>
      </c>
      <c r="W1158" s="0" t="n">
        <f aca="false">T1158+U1158</f>
        <v>67</v>
      </c>
    </row>
    <row r="1159" customFormat="false" ht="15" hidden="false" customHeight="false" outlineLevel="0" collapsed="false">
      <c r="A1159" s="0" t="n">
        <v>1156</v>
      </c>
      <c r="B1159" s="0" t="n">
        <f aca="true">NORMINV(RAND(),1,Coefficients!$B$22)</f>
        <v>0.989700342895248</v>
      </c>
      <c r="C1159" s="0" t="n">
        <f aca="true">MEDIAN(8,16,ROUND(NORMINV(RAND(),Coefficients!$B$20,Coefficients!$B$21),0))</f>
        <v>10</v>
      </c>
      <c r="D1159" s="0" t="n">
        <f aca="true">CRITBINOM($C1159,MIN(0.75,Matchup!$B$39*$B1159),RAND())</f>
        <v>1</v>
      </c>
      <c r="E1159" s="0" t="n">
        <f aca="true">CRITBINOM(D1159,Coefficients!$B$30,RAND())</f>
        <v>0</v>
      </c>
      <c r="F1159" s="0" t="n">
        <f aca="true">CRITBINOM(E1159,Coefficients!$B$31,RAND())</f>
        <v>0</v>
      </c>
      <c r="G1159" s="0" t="n">
        <f aca="true">CRITBINOM(MAX(0,D1159-E1159),1-Coefficients!$B$32,RAND())</f>
        <v>1</v>
      </c>
      <c r="H1159" s="0" t="n">
        <f aca="true">CRITBINOM(MAX(0,$C1159-D1159),MIN(0.6,Matchup!$B$40*SQRT($B1159)/(1-MIN(0.75,Matchup!$B$39*$B1159))),RAND())</f>
        <v>0</v>
      </c>
      <c r="I1159" s="0" t="n">
        <f aca="false">6*D1159+(D1159-E1159-G1159)+2*F1159+3*H1159</f>
        <v>6</v>
      </c>
      <c r="J1159" s="0" t="n">
        <f aca="true">CRITBINOM($C1159,MIN(0.75,Matchup!$C$39*$B1159),RAND())</f>
        <v>2</v>
      </c>
      <c r="K1159" s="0" t="n">
        <f aca="true">CRITBINOM(J1159,Coefficients!$B$30,RAND())</f>
        <v>0</v>
      </c>
      <c r="L1159" s="0" t="n">
        <f aca="true">CRITBINOM(K1159,Coefficients!$B$31,RAND())</f>
        <v>0</v>
      </c>
      <c r="M1159" s="0" t="n">
        <f aca="true">CRITBINOM(MAX(0,J1159-K1159),1-Coefficients!$B$32,RAND())</f>
        <v>0</v>
      </c>
      <c r="N1159" s="0" t="n">
        <f aca="true">CRITBINOM(MAX(0,$C1159-J1159),MIN(0.6,Matchup!$C$40*SQRT($B1159)/(1-MIN(0.75,Matchup!$C$39*$B1159))),RAND())</f>
        <v>1</v>
      </c>
      <c r="O1159" s="0" t="n">
        <f aca="false">6*J1159+(J1159-K1159-M1159)+2*L1159+3*N1159</f>
        <v>17</v>
      </c>
      <c r="P1159" s="0" t="n">
        <f aca="true">RAND()</f>
        <v>0.926260203611072</v>
      </c>
      <c r="Q1159" s="0" t="n">
        <f aca="true">RAND()</f>
        <v>0.372033778283061</v>
      </c>
      <c r="R1159" s="0" t="n">
        <f aca="false">IF($I1159&lt;&gt;$O1159,0,IF(P1159&lt;Matchup!$B$39,7,IF(P1159&lt;Matchup!$B$39+Matchup!$B$40,3,0)))</f>
        <v>0</v>
      </c>
      <c r="S1159" s="0" t="n">
        <f aca="false">IF($I1159&lt;&gt;$O1159,0,IF(Q1159&lt;Matchup!$C$39,7,IF(Q1159&lt;Matchup!$C$39+Matchup!$C$40,3,0)))</f>
        <v>0</v>
      </c>
      <c r="T1159" s="0" t="n">
        <f aca="false">I1159+R1159</f>
        <v>6</v>
      </c>
      <c r="U1159" s="0" t="n">
        <f aca="false">O1159+S1159</f>
        <v>17</v>
      </c>
      <c r="V1159" s="0" t="n">
        <f aca="false">T1159-U1159</f>
        <v>-11</v>
      </c>
      <c r="W1159" s="0" t="n">
        <f aca="false">T1159+U1159</f>
        <v>23</v>
      </c>
    </row>
    <row r="1160" customFormat="false" ht="15" hidden="false" customHeight="false" outlineLevel="0" collapsed="false">
      <c r="A1160" s="0" t="n">
        <v>1157</v>
      </c>
      <c r="B1160" s="0" t="n">
        <f aca="true">NORMINV(RAND(),1,Coefficients!$B$22)</f>
        <v>0.999522881894397</v>
      </c>
      <c r="C1160" s="0" t="n">
        <f aca="true">MEDIAN(8,16,ROUND(NORMINV(RAND(),Coefficients!$B$20,Coefficients!$B$21),0))</f>
        <v>14</v>
      </c>
      <c r="D1160" s="0" t="n">
        <f aca="true">CRITBINOM($C1160,MIN(0.75,Matchup!$B$39*$B1160),RAND())</f>
        <v>2</v>
      </c>
      <c r="E1160" s="0" t="n">
        <f aca="true">CRITBINOM(D1160,Coefficients!$B$30,RAND())</f>
        <v>0</v>
      </c>
      <c r="F1160" s="0" t="n">
        <f aca="true">CRITBINOM(E1160,Coefficients!$B$31,RAND())</f>
        <v>0</v>
      </c>
      <c r="G1160" s="0" t="n">
        <f aca="true">CRITBINOM(MAX(0,D1160-E1160),1-Coefficients!$B$32,RAND())</f>
        <v>0</v>
      </c>
      <c r="H1160" s="0" t="n">
        <f aca="true">CRITBINOM(MAX(0,$C1160-D1160),MIN(0.6,Matchup!$B$40*SQRT($B1160)/(1-MIN(0.75,Matchup!$B$39*$B1160))),RAND())</f>
        <v>2</v>
      </c>
      <c r="I1160" s="0" t="n">
        <f aca="false">6*D1160+(D1160-E1160-G1160)+2*F1160+3*H1160</f>
        <v>20</v>
      </c>
      <c r="J1160" s="0" t="n">
        <f aca="true">CRITBINOM($C1160,MIN(0.75,Matchup!$C$39*$B1160),RAND())</f>
        <v>2</v>
      </c>
      <c r="K1160" s="0" t="n">
        <f aca="true">CRITBINOM(J1160,Coefficients!$B$30,RAND())</f>
        <v>0</v>
      </c>
      <c r="L1160" s="0" t="n">
        <f aca="true">CRITBINOM(K1160,Coefficients!$B$31,RAND())</f>
        <v>0</v>
      </c>
      <c r="M1160" s="0" t="n">
        <f aca="true">CRITBINOM(MAX(0,J1160-K1160),1-Coefficients!$B$32,RAND())</f>
        <v>0</v>
      </c>
      <c r="N1160" s="0" t="n">
        <f aca="true">CRITBINOM(MAX(0,$C1160-J1160),MIN(0.6,Matchup!$C$40*SQRT($B1160)/(1-MIN(0.75,Matchup!$C$39*$B1160))),RAND())</f>
        <v>2</v>
      </c>
      <c r="O1160" s="0" t="n">
        <f aca="false">6*J1160+(J1160-K1160-M1160)+2*L1160+3*N1160</f>
        <v>20</v>
      </c>
      <c r="P1160" s="0" t="n">
        <f aca="true">RAND()</f>
        <v>0.116211094679326</v>
      </c>
      <c r="Q1160" s="0" t="n">
        <f aca="true">RAND()</f>
        <v>0.989547119800846</v>
      </c>
      <c r="R1160" s="0" t="n">
        <f aca="false">IF($I1160&lt;&gt;$O1160,0,IF(P1160&lt;Matchup!$B$39,7,IF(P1160&lt;Matchup!$B$39+Matchup!$B$40,3,0)))</f>
        <v>7</v>
      </c>
      <c r="S1160" s="0" t="n">
        <f aca="false">IF($I1160&lt;&gt;$O1160,0,IF(Q1160&lt;Matchup!$C$39,7,IF(Q1160&lt;Matchup!$C$39+Matchup!$C$40,3,0)))</f>
        <v>0</v>
      </c>
      <c r="T1160" s="0" t="n">
        <f aca="false">I1160+R1160</f>
        <v>27</v>
      </c>
      <c r="U1160" s="0" t="n">
        <f aca="false">O1160+S1160</f>
        <v>20</v>
      </c>
      <c r="V1160" s="0" t="n">
        <f aca="false">T1160-U1160</f>
        <v>7</v>
      </c>
      <c r="W1160" s="0" t="n">
        <f aca="false">T1160+U1160</f>
        <v>47</v>
      </c>
    </row>
    <row r="1161" customFormat="false" ht="15" hidden="false" customHeight="false" outlineLevel="0" collapsed="false">
      <c r="A1161" s="0" t="n">
        <v>1158</v>
      </c>
      <c r="B1161" s="0" t="n">
        <f aca="true">NORMINV(RAND(),1,Coefficients!$B$22)</f>
        <v>0.895330368086806</v>
      </c>
      <c r="C1161" s="0" t="n">
        <f aca="true">MEDIAN(8,16,ROUND(NORMINV(RAND(),Coefficients!$B$20,Coefficients!$B$21),0))</f>
        <v>12</v>
      </c>
      <c r="D1161" s="0" t="n">
        <f aca="true">CRITBINOM($C1161,MIN(0.75,Matchup!$B$39*$B1161),RAND())</f>
        <v>4</v>
      </c>
      <c r="E1161" s="0" t="n">
        <f aca="true">CRITBINOM(D1161,Coefficients!$B$30,RAND())</f>
        <v>0</v>
      </c>
      <c r="F1161" s="0" t="n">
        <f aca="true">CRITBINOM(E1161,Coefficients!$B$31,RAND())</f>
        <v>0</v>
      </c>
      <c r="G1161" s="0" t="n">
        <f aca="true">CRITBINOM(MAX(0,D1161-E1161),1-Coefficients!$B$32,RAND())</f>
        <v>0</v>
      </c>
      <c r="H1161" s="0" t="n">
        <f aca="true">CRITBINOM(MAX(0,$C1161-D1161),MIN(0.6,Matchup!$B$40*SQRT($B1161)/(1-MIN(0.75,Matchup!$B$39*$B1161))),RAND())</f>
        <v>1</v>
      </c>
      <c r="I1161" s="0" t="n">
        <f aca="false">6*D1161+(D1161-E1161-G1161)+2*F1161+3*H1161</f>
        <v>31</v>
      </c>
      <c r="J1161" s="0" t="n">
        <f aca="true">CRITBINOM($C1161,MIN(0.75,Matchup!$C$39*$B1161),RAND())</f>
        <v>3</v>
      </c>
      <c r="K1161" s="0" t="n">
        <f aca="true">CRITBINOM(J1161,Coefficients!$B$30,RAND())</f>
        <v>0</v>
      </c>
      <c r="L1161" s="0" t="n">
        <f aca="true">CRITBINOM(K1161,Coefficients!$B$31,RAND())</f>
        <v>0</v>
      </c>
      <c r="M1161" s="0" t="n">
        <f aca="true">CRITBINOM(MAX(0,J1161-K1161),1-Coefficients!$B$32,RAND())</f>
        <v>0</v>
      </c>
      <c r="N1161" s="0" t="n">
        <f aca="true">CRITBINOM(MAX(0,$C1161-J1161),MIN(0.6,Matchup!$C$40*SQRT($B1161)/(1-MIN(0.75,Matchup!$C$39*$B1161))),RAND())</f>
        <v>2</v>
      </c>
      <c r="O1161" s="0" t="n">
        <f aca="false">6*J1161+(J1161-K1161-M1161)+2*L1161+3*N1161</f>
        <v>27</v>
      </c>
      <c r="P1161" s="0" t="n">
        <f aca="true">RAND()</f>
        <v>0.846008288771966</v>
      </c>
      <c r="Q1161" s="0" t="n">
        <f aca="true">RAND()</f>
        <v>0.773562313402267</v>
      </c>
      <c r="R1161" s="0" t="n">
        <f aca="false">IF($I1161&lt;&gt;$O1161,0,IF(P1161&lt;Matchup!$B$39,7,IF(P1161&lt;Matchup!$B$39+Matchup!$B$40,3,0)))</f>
        <v>0</v>
      </c>
      <c r="S1161" s="0" t="n">
        <f aca="false">IF($I1161&lt;&gt;$O1161,0,IF(Q1161&lt;Matchup!$C$39,7,IF(Q1161&lt;Matchup!$C$39+Matchup!$C$40,3,0)))</f>
        <v>0</v>
      </c>
      <c r="T1161" s="0" t="n">
        <f aca="false">I1161+R1161</f>
        <v>31</v>
      </c>
      <c r="U1161" s="0" t="n">
        <f aca="false">O1161+S1161</f>
        <v>27</v>
      </c>
      <c r="V1161" s="0" t="n">
        <f aca="false">T1161-U1161</f>
        <v>4</v>
      </c>
      <c r="W1161" s="0" t="n">
        <f aca="false">T1161+U1161</f>
        <v>58</v>
      </c>
    </row>
    <row r="1162" customFormat="false" ht="15" hidden="false" customHeight="false" outlineLevel="0" collapsed="false">
      <c r="A1162" s="0" t="n">
        <v>1159</v>
      </c>
      <c r="B1162" s="0" t="n">
        <f aca="true">NORMINV(RAND(),1,Coefficients!$B$22)</f>
        <v>1.10178474068692</v>
      </c>
      <c r="C1162" s="0" t="n">
        <f aca="true">MEDIAN(8,16,ROUND(NORMINV(RAND(),Coefficients!$B$20,Coefficients!$B$21),0))</f>
        <v>10</v>
      </c>
      <c r="D1162" s="0" t="n">
        <f aca="true">CRITBINOM($C1162,MIN(0.75,Matchup!$B$39*$B1162),RAND())</f>
        <v>3</v>
      </c>
      <c r="E1162" s="0" t="n">
        <f aca="true">CRITBINOM(D1162,Coefficients!$B$30,RAND())</f>
        <v>0</v>
      </c>
      <c r="F1162" s="0" t="n">
        <f aca="true">CRITBINOM(E1162,Coefficients!$B$31,RAND())</f>
        <v>0</v>
      </c>
      <c r="G1162" s="0" t="n">
        <f aca="true">CRITBINOM(MAX(0,D1162-E1162),1-Coefficients!$B$32,RAND())</f>
        <v>0</v>
      </c>
      <c r="H1162" s="0" t="n">
        <f aca="true">CRITBINOM(MAX(0,$C1162-D1162),MIN(0.6,Matchup!$B$40*SQRT($B1162)/(1-MIN(0.75,Matchup!$B$39*$B1162))),RAND())</f>
        <v>2</v>
      </c>
      <c r="I1162" s="0" t="n">
        <f aca="false">6*D1162+(D1162-E1162-G1162)+2*F1162+3*H1162</f>
        <v>27</v>
      </c>
      <c r="J1162" s="0" t="n">
        <f aca="true">CRITBINOM($C1162,MIN(0.75,Matchup!$C$39*$B1162),RAND())</f>
        <v>2</v>
      </c>
      <c r="K1162" s="0" t="n">
        <f aca="true">CRITBINOM(J1162,Coefficients!$B$30,RAND())</f>
        <v>0</v>
      </c>
      <c r="L1162" s="0" t="n">
        <f aca="true">CRITBINOM(K1162,Coefficients!$B$31,RAND())</f>
        <v>0</v>
      </c>
      <c r="M1162" s="0" t="n">
        <f aca="true">CRITBINOM(MAX(0,J1162-K1162),1-Coefficients!$B$32,RAND())</f>
        <v>0</v>
      </c>
      <c r="N1162" s="0" t="n">
        <f aca="true">CRITBINOM(MAX(0,$C1162-J1162),MIN(0.6,Matchup!$C$40*SQRT($B1162)/(1-MIN(0.75,Matchup!$C$39*$B1162))),RAND())</f>
        <v>5</v>
      </c>
      <c r="O1162" s="0" t="n">
        <f aca="false">6*J1162+(J1162-K1162-M1162)+2*L1162+3*N1162</f>
        <v>29</v>
      </c>
      <c r="P1162" s="0" t="n">
        <f aca="true">RAND()</f>
        <v>0.720704646781034</v>
      </c>
      <c r="Q1162" s="0" t="n">
        <f aca="true">RAND()</f>
        <v>0.848229253670406</v>
      </c>
      <c r="R1162" s="0" t="n">
        <f aca="false">IF($I1162&lt;&gt;$O1162,0,IF(P1162&lt;Matchup!$B$39,7,IF(P1162&lt;Matchup!$B$39+Matchup!$B$40,3,0)))</f>
        <v>0</v>
      </c>
      <c r="S1162" s="0" t="n">
        <f aca="false">IF($I1162&lt;&gt;$O1162,0,IF(Q1162&lt;Matchup!$C$39,7,IF(Q1162&lt;Matchup!$C$39+Matchup!$C$40,3,0)))</f>
        <v>0</v>
      </c>
      <c r="T1162" s="0" t="n">
        <f aca="false">I1162+R1162</f>
        <v>27</v>
      </c>
      <c r="U1162" s="0" t="n">
        <f aca="false">O1162+S1162</f>
        <v>29</v>
      </c>
      <c r="V1162" s="0" t="n">
        <f aca="false">T1162-U1162</f>
        <v>-2</v>
      </c>
      <c r="W1162" s="0" t="n">
        <f aca="false">T1162+U1162</f>
        <v>56</v>
      </c>
    </row>
    <row r="1163" customFormat="false" ht="15" hidden="false" customHeight="false" outlineLevel="0" collapsed="false">
      <c r="A1163" s="0" t="n">
        <v>1160</v>
      </c>
      <c r="B1163" s="0" t="n">
        <f aca="true">NORMINV(RAND(),1,Coefficients!$B$22)</f>
        <v>0.959483209437575</v>
      </c>
      <c r="C1163" s="0" t="n">
        <f aca="true">MEDIAN(8,16,ROUND(NORMINV(RAND(),Coefficients!$B$20,Coefficients!$B$21),0))</f>
        <v>10</v>
      </c>
      <c r="D1163" s="0" t="n">
        <f aca="true">CRITBINOM($C1163,MIN(0.75,Matchup!$B$39*$B1163),RAND())</f>
        <v>3</v>
      </c>
      <c r="E1163" s="0" t="n">
        <f aca="true">CRITBINOM(D1163,Coefficients!$B$30,RAND())</f>
        <v>0</v>
      </c>
      <c r="F1163" s="0" t="n">
        <f aca="true">CRITBINOM(E1163,Coefficients!$B$31,RAND())</f>
        <v>0</v>
      </c>
      <c r="G1163" s="0" t="n">
        <f aca="true">CRITBINOM(MAX(0,D1163-E1163),1-Coefficients!$B$32,RAND())</f>
        <v>0</v>
      </c>
      <c r="H1163" s="0" t="n">
        <f aca="true">CRITBINOM(MAX(0,$C1163-D1163),MIN(0.6,Matchup!$B$40*SQRT($B1163)/(1-MIN(0.75,Matchup!$B$39*$B1163))),RAND())</f>
        <v>1</v>
      </c>
      <c r="I1163" s="0" t="n">
        <f aca="false">6*D1163+(D1163-E1163-G1163)+2*F1163+3*H1163</f>
        <v>24</v>
      </c>
      <c r="J1163" s="0" t="n">
        <f aca="true">CRITBINOM($C1163,MIN(0.75,Matchup!$C$39*$B1163),RAND())</f>
        <v>2</v>
      </c>
      <c r="K1163" s="0" t="n">
        <f aca="true">CRITBINOM(J1163,Coefficients!$B$30,RAND())</f>
        <v>0</v>
      </c>
      <c r="L1163" s="0" t="n">
        <f aca="true">CRITBINOM(K1163,Coefficients!$B$31,RAND())</f>
        <v>0</v>
      </c>
      <c r="M1163" s="0" t="n">
        <f aca="true">CRITBINOM(MAX(0,J1163-K1163),1-Coefficients!$B$32,RAND())</f>
        <v>0</v>
      </c>
      <c r="N1163" s="0" t="n">
        <f aca="true">CRITBINOM(MAX(0,$C1163-J1163),MIN(0.6,Matchup!$C$40*SQRT($B1163)/(1-MIN(0.75,Matchup!$C$39*$B1163))),RAND())</f>
        <v>2</v>
      </c>
      <c r="O1163" s="0" t="n">
        <f aca="false">6*J1163+(J1163-K1163-M1163)+2*L1163+3*N1163</f>
        <v>20</v>
      </c>
      <c r="P1163" s="0" t="n">
        <f aca="true">RAND()</f>
        <v>0.0854307665689243</v>
      </c>
      <c r="Q1163" s="0" t="n">
        <f aca="true">RAND()</f>
        <v>0.964851937407777</v>
      </c>
      <c r="R1163" s="0" t="n">
        <f aca="false">IF($I1163&lt;&gt;$O1163,0,IF(P1163&lt;Matchup!$B$39,7,IF(P1163&lt;Matchup!$B$39+Matchup!$B$40,3,0)))</f>
        <v>0</v>
      </c>
      <c r="S1163" s="0" t="n">
        <f aca="false">IF($I1163&lt;&gt;$O1163,0,IF(Q1163&lt;Matchup!$C$39,7,IF(Q1163&lt;Matchup!$C$39+Matchup!$C$40,3,0)))</f>
        <v>0</v>
      </c>
      <c r="T1163" s="0" t="n">
        <f aca="false">I1163+R1163</f>
        <v>24</v>
      </c>
      <c r="U1163" s="0" t="n">
        <f aca="false">O1163+S1163</f>
        <v>20</v>
      </c>
      <c r="V1163" s="0" t="n">
        <f aca="false">T1163-U1163</f>
        <v>4</v>
      </c>
      <c r="W1163" s="0" t="n">
        <f aca="false">T1163+U1163</f>
        <v>44</v>
      </c>
    </row>
    <row r="1164" customFormat="false" ht="15" hidden="false" customHeight="false" outlineLevel="0" collapsed="false">
      <c r="A1164" s="0" t="n">
        <v>1161</v>
      </c>
      <c r="B1164" s="0" t="n">
        <f aca="true">NORMINV(RAND(),1,Coefficients!$B$22)</f>
        <v>1.03590728319467</v>
      </c>
      <c r="C1164" s="0" t="n">
        <f aca="true">MEDIAN(8,16,ROUND(NORMINV(RAND(),Coefficients!$B$20,Coefficients!$B$21),0))</f>
        <v>12</v>
      </c>
      <c r="D1164" s="0" t="n">
        <f aca="true">CRITBINOM($C1164,MIN(0.75,Matchup!$B$39*$B1164),RAND())</f>
        <v>3</v>
      </c>
      <c r="E1164" s="0" t="n">
        <f aca="true">CRITBINOM(D1164,Coefficients!$B$30,RAND())</f>
        <v>0</v>
      </c>
      <c r="F1164" s="0" t="n">
        <f aca="true">CRITBINOM(E1164,Coefficients!$B$31,RAND())</f>
        <v>0</v>
      </c>
      <c r="G1164" s="0" t="n">
        <f aca="true">CRITBINOM(MAX(0,D1164-E1164),1-Coefficients!$B$32,RAND())</f>
        <v>1</v>
      </c>
      <c r="H1164" s="0" t="n">
        <f aca="true">CRITBINOM(MAX(0,$C1164-D1164),MIN(0.6,Matchup!$B$40*SQRT($B1164)/(1-MIN(0.75,Matchup!$B$39*$B1164))),RAND())</f>
        <v>1</v>
      </c>
      <c r="I1164" s="0" t="n">
        <f aca="false">6*D1164+(D1164-E1164-G1164)+2*F1164+3*H1164</f>
        <v>23</v>
      </c>
      <c r="J1164" s="0" t="n">
        <f aca="true">CRITBINOM($C1164,MIN(0.75,Matchup!$C$39*$B1164),RAND())</f>
        <v>1</v>
      </c>
      <c r="K1164" s="0" t="n">
        <f aca="true">CRITBINOM(J1164,Coefficients!$B$30,RAND())</f>
        <v>0</v>
      </c>
      <c r="L1164" s="0" t="n">
        <f aca="true">CRITBINOM(K1164,Coefficients!$B$31,RAND())</f>
        <v>0</v>
      </c>
      <c r="M1164" s="0" t="n">
        <f aca="true">CRITBINOM(MAX(0,J1164-K1164),1-Coefficients!$B$32,RAND())</f>
        <v>0</v>
      </c>
      <c r="N1164" s="0" t="n">
        <f aca="true">CRITBINOM(MAX(0,$C1164-J1164),MIN(0.6,Matchup!$C$40*SQRT($B1164)/(1-MIN(0.75,Matchup!$C$39*$B1164))),RAND())</f>
        <v>2</v>
      </c>
      <c r="O1164" s="0" t="n">
        <f aca="false">6*J1164+(J1164-K1164-M1164)+2*L1164+3*N1164</f>
        <v>13</v>
      </c>
      <c r="P1164" s="0" t="n">
        <f aca="true">RAND()</f>
        <v>0.978526491038806</v>
      </c>
      <c r="Q1164" s="0" t="n">
        <f aca="true">RAND()</f>
        <v>0.236800628121498</v>
      </c>
      <c r="R1164" s="0" t="n">
        <f aca="false">IF($I1164&lt;&gt;$O1164,0,IF(P1164&lt;Matchup!$B$39,7,IF(P1164&lt;Matchup!$B$39+Matchup!$B$40,3,0)))</f>
        <v>0</v>
      </c>
      <c r="S1164" s="0" t="n">
        <f aca="false">IF($I1164&lt;&gt;$O1164,0,IF(Q1164&lt;Matchup!$C$39,7,IF(Q1164&lt;Matchup!$C$39+Matchup!$C$40,3,0)))</f>
        <v>0</v>
      </c>
      <c r="T1164" s="0" t="n">
        <f aca="false">I1164+R1164</f>
        <v>23</v>
      </c>
      <c r="U1164" s="0" t="n">
        <f aca="false">O1164+S1164</f>
        <v>13</v>
      </c>
      <c r="V1164" s="0" t="n">
        <f aca="false">T1164-U1164</f>
        <v>10</v>
      </c>
      <c r="W1164" s="0" t="n">
        <f aca="false">T1164+U1164</f>
        <v>36</v>
      </c>
    </row>
    <row r="1165" customFormat="false" ht="15" hidden="false" customHeight="false" outlineLevel="0" collapsed="false">
      <c r="A1165" s="0" t="n">
        <v>1162</v>
      </c>
      <c r="B1165" s="0" t="n">
        <f aca="true">NORMINV(RAND(),1,Coefficients!$B$22)</f>
        <v>0.883553094675567</v>
      </c>
      <c r="C1165" s="0" t="n">
        <f aca="true">MEDIAN(8,16,ROUND(NORMINV(RAND(),Coefficients!$B$20,Coefficients!$B$21),0))</f>
        <v>10</v>
      </c>
      <c r="D1165" s="0" t="n">
        <f aca="true">CRITBINOM($C1165,MIN(0.75,Matchup!$B$39*$B1165),RAND())</f>
        <v>1</v>
      </c>
      <c r="E1165" s="0" t="n">
        <f aca="true">CRITBINOM(D1165,Coefficients!$B$30,RAND())</f>
        <v>0</v>
      </c>
      <c r="F1165" s="0" t="n">
        <f aca="true">CRITBINOM(E1165,Coefficients!$B$31,RAND())</f>
        <v>0</v>
      </c>
      <c r="G1165" s="0" t="n">
        <f aca="true">CRITBINOM(MAX(0,D1165-E1165),1-Coefficients!$B$32,RAND())</f>
        <v>0</v>
      </c>
      <c r="H1165" s="0" t="n">
        <f aca="true">CRITBINOM(MAX(0,$C1165-D1165),MIN(0.6,Matchup!$B$40*SQRT($B1165)/(1-MIN(0.75,Matchup!$B$39*$B1165))),RAND())</f>
        <v>4</v>
      </c>
      <c r="I1165" s="0" t="n">
        <f aca="false">6*D1165+(D1165-E1165-G1165)+2*F1165+3*H1165</f>
        <v>19</v>
      </c>
      <c r="J1165" s="0" t="n">
        <f aca="true">CRITBINOM($C1165,MIN(0.75,Matchup!$C$39*$B1165),RAND())</f>
        <v>4</v>
      </c>
      <c r="K1165" s="0" t="n">
        <f aca="true">CRITBINOM(J1165,Coefficients!$B$30,RAND())</f>
        <v>1</v>
      </c>
      <c r="L1165" s="0" t="n">
        <f aca="true">CRITBINOM(K1165,Coefficients!$B$31,RAND())</f>
        <v>1</v>
      </c>
      <c r="M1165" s="0" t="n">
        <f aca="true">CRITBINOM(MAX(0,J1165-K1165),1-Coefficients!$B$32,RAND())</f>
        <v>0</v>
      </c>
      <c r="N1165" s="0" t="n">
        <f aca="true">CRITBINOM(MAX(0,$C1165-J1165),MIN(0.6,Matchup!$C$40*SQRT($B1165)/(1-MIN(0.75,Matchup!$C$39*$B1165))),RAND())</f>
        <v>1</v>
      </c>
      <c r="O1165" s="0" t="n">
        <f aca="false">6*J1165+(J1165-K1165-M1165)+2*L1165+3*N1165</f>
        <v>32</v>
      </c>
      <c r="P1165" s="0" t="n">
        <f aca="true">RAND()</f>
        <v>0.699638219855977</v>
      </c>
      <c r="Q1165" s="0" t="n">
        <f aca="true">RAND()</f>
        <v>0.973180311441359</v>
      </c>
      <c r="R1165" s="0" t="n">
        <f aca="false">IF($I1165&lt;&gt;$O1165,0,IF(P1165&lt;Matchup!$B$39,7,IF(P1165&lt;Matchup!$B$39+Matchup!$B$40,3,0)))</f>
        <v>0</v>
      </c>
      <c r="S1165" s="0" t="n">
        <f aca="false">IF($I1165&lt;&gt;$O1165,0,IF(Q1165&lt;Matchup!$C$39,7,IF(Q1165&lt;Matchup!$C$39+Matchup!$C$40,3,0)))</f>
        <v>0</v>
      </c>
      <c r="T1165" s="0" t="n">
        <f aca="false">I1165+R1165</f>
        <v>19</v>
      </c>
      <c r="U1165" s="0" t="n">
        <f aca="false">O1165+S1165</f>
        <v>32</v>
      </c>
      <c r="V1165" s="0" t="n">
        <f aca="false">T1165-U1165</f>
        <v>-13</v>
      </c>
      <c r="W1165" s="0" t="n">
        <f aca="false">T1165+U1165</f>
        <v>51</v>
      </c>
    </row>
    <row r="1166" customFormat="false" ht="15" hidden="false" customHeight="false" outlineLevel="0" collapsed="false">
      <c r="A1166" s="0" t="n">
        <v>1163</v>
      </c>
      <c r="B1166" s="0" t="n">
        <f aca="true">NORMINV(RAND(),1,Coefficients!$B$22)</f>
        <v>1.10004728099333</v>
      </c>
      <c r="C1166" s="0" t="n">
        <f aca="true">MEDIAN(8,16,ROUND(NORMINV(RAND(),Coefficients!$B$20,Coefficients!$B$21),0))</f>
        <v>13</v>
      </c>
      <c r="D1166" s="0" t="n">
        <f aca="true">CRITBINOM($C1166,MIN(0.75,Matchup!$B$39*$B1166),RAND())</f>
        <v>2</v>
      </c>
      <c r="E1166" s="0" t="n">
        <f aca="true">CRITBINOM(D1166,Coefficients!$B$30,RAND())</f>
        <v>1</v>
      </c>
      <c r="F1166" s="0" t="n">
        <f aca="true">CRITBINOM(E1166,Coefficients!$B$31,RAND())</f>
        <v>1</v>
      </c>
      <c r="G1166" s="0" t="n">
        <f aca="true">CRITBINOM(MAX(0,D1166-E1166),1-Coefficients!$B$32,RAND())</f>
        <v>0</v>
      </c>
      <c r="H1166" s="0" t="n">
        <f aca="true">CRITBINOM(MAX(0,$C1166-D1166),MIN(0.6,Matchup!$B$40*SQRT($B1166)/(1-MIN(0.75,Matchup!$B$39*$B1166))),RAND())</f>
        <v>2</v>
      </c>
      <c r="I1166" s="0" t="n">
        <f aca="false">6*D1166+(D1166-E1166-G1166)+2*F1166+3*H1166</f>
        <v>21</v>
      </c>
      <c r="J1166" s="0" t="n">
        <f aca="true">CRITBINOM($C1166,MIN(0.75,Matchup!$C$39*$B1166),RAND())</f>
        <v>5</v>
      </c>
      <c r="K1166" s="0" t="n">
        <f aca="true">CRITBINOM(J1166,Coefficients!$B$30,RAND())</f>
        <v>1</v>
      </c>
      <c r="L1166" s="0" t="n">
        <f aca="true">CRITBINOM(K1166,Coefficients!$B$31,RAND())</f>
        <v>1</v>
      </c>
      <c r="M1166" s="0" t="n">
        <f aca="true">CRITBINOM(MAX(0,J1166-K1166),1-Coefficients!$B$32,RAND())</f>
        <v>0</v>
      </c>
      <c r="N1166" s="0" t="n">
        <f aca="true">CRITBINOM(MAX(0,$C1166-J1166),MIN(0.6,Matchup!$C$40*SQRT($B1166)/(1-MIN(0.75,Matchup!$C$39*$B1166))),RAND())</f>
        <v>1</v>
      </c>
      <c r="O1166" s="0" t="n">
        <f aca="false">6*J1166+(J1166-K1166-M1166)+2*L1166+3*N1166</f>
        <v>39</v>
      </c>
      <c r="P1166" s="0" t="n">
        <f aca="true">RAND()</f>
        <v>0.829573327269406</v>
      </c>
      <c r="Q1166" s="0" t="n">
        <f aca="true">RAND()</f>
        <v>0.028066795031999</v>
      </c>
      <c r="R1166" s="0" t="n">
        <f aca="false">IF($I1166&lt;&gt;$O1166,0,IF(P1166&lt;Matchup!$B$39,7,IF(P1166&lt;Matchup!$B$39+Matchup!$B$40,3,0)))</f>
        <v>0</v>
      </c>
      <c r="S1166" s="0" t="n">
        <f aca="false">IF($I1166&lt;&gt;$O1166,0,IF(Q1166&lt;Matchup!$C$39,7,IF(Q1166&lt;Matchup!$C$39+Matchup!$C$40,3,0)))</f>
        <v>0</v>
      </c>
      <c r="T1166" s="0" t="n">
        <f aca="false">I1166+R1166</f>
        <v>21</v>
      </c>
      <c r="U1166" s="0" t="n">
        <f aca="false">O1166+S1166</f>
        <v>39</v>
      </c>
      <c r="V1166" s="0" t="n">
        <f aca="false">T1166-U1166</f>
        <v>-18</v>
      </c>
      <c r="W1166" s="0" t="n">
        <f aca="false">T1166+U1166</f>
        <v>60</v>
      </c>
    </row>
    <row r="1167" customFormat="false" ht="15" hidden="false" customHeight="false" outlineLevel="0" collapsed="false">
      <c r="A1167" s="0" t="n">
        <v>1164</v>
      </c>
      <c r="B1167" s="0" t="n">
        <f aca="true">NORMINV(RAND(),1,Coefficients!$B$22)</f>
        <v>0.992416625887204</v>
      </c>
      <c r="C1167" s="0" t="n">
        <f aca="true">MEDIAN(8,16,ROUND(NORMINV(RAND(),Coefficients!$B$20,Coefficients!$B$21),0))</f>
        <v>12</v>
      </c>
      <c r="D1167" s="0" t="n">
        <f aca="true">CRITBINOM($C1167,MIN(0.75,Matchup!$B$39*$B1167),RAND())</f>
        <v>4</v>
      </c>
      <c r="E1167" s="0" t="n">
        <f aca="true">CRITBINOM(D1167,Coefficients!$B$30,RAND())</f>
        <v>0</v>
      </c>
      <c r="F1167" s="0" t="n">
        <f aca="true">CRITBINOM(E1167,Coefficients!$B$31,RAND())</f>
        <v>0</v>
      </c>
      <c r="G1167" s="0" t="n">
        <f aca="true">CRITBINOM(MAX(0,D1167-E1167),1-Coefficients!$B$32,RAND())</f>
        <v>1</v>
      </c>
      <c r="H1167" s="0" t="n">
        <f aca="true">CRITBINOM(MAX(0,$C1167-D1167),MIN(0.6,Matchup!$B$40*SQRT($B1167)/(1-MIN(0.75,Matchup!$B$39*$B1167))),RAND())</f>
        <v>1</v>
      </c>
      <c r="I1167" s="0" t="n">
        <f aca="false">6*D1167+(D1167-E1167-G1167)+2*F1167+3*H1167</f>
        <v>30</v>
      </c>
      <c r="J1167" s="0" t="n">
        <f aca="true">CRITBINOM($C1167,MIN(0.75,Matchup!$C$39*$B1167),RAND())</f>
        <v>3</v>
      </c>
      <c r="K1167" s="0" t="n">
        <f aca="true">CRITBINOM(J1167,Coefficients!$B$30,RAND())</f>
        <v>1</v>
      </c>
      <c r="L1167" s="0" t="n">
        <f aca="true">CRITBINOM(K1167,Coefficients!$B$31,RAND())</f>
        <v>0</v>
      </c>
      <c r="M1167" s="0" t="n">
        <f aca="true">CRITBINOM(MAX(0,J1167-K1167),1-Coefficients!$B$32,RAND())</f>
        <v>0</v>
      </c>
      <c r="N1167" s="0" t="n">
        <f aca="true">CRITBINOM(MAX(0,$C1167-J1167),MIN(0.6,Matchup!$C$40*SQRT($B1167)/(1-MIN(0.75,Matchup!$C$39*$B1167))),RAND())</f>
        <v>0</v>
      </c>
      <c r="O1167" s="0" t="n">
        <f aca="false">6*J1167+(J1167-K1167-M1167)+2*L1167+3*N1167</f>
        <v>20</v>
      </c>
      <c r="P1167" s="0" t="n">
        <f aca="true">RAND()</f>
        <v>0.738595942003697</v>
      </c>
      <c r="Q1167" s="0" t="n">
        <f aca="true">RAND()</f>
        <v>0.206010107515267</v>
      </c>
      <c r="R1167" s="0" t="n">
        <f aca="false">IF($I1167&lt;&gt;$O1167,0,IF(P1167&lt;Matchup!$B$39,7,IF(P1167&lt;Matchup!$B$39+Matchup!$B$40,3,0)))</f>
        <v>0</v>
      </c>
      <c r="S1167" s="0" t="n">
        <f aca="false">IF($I1167&lt;&gt;$O1167,0,IF(Q1167&lt;Matchup!$C$39,7,IF(Q1167&lt;Matchup!$C$39+Matchup!$C$40,3,0)))</f>
        <v>0</v>
      </c>
      <c r="T1167" s="0" t="n">
        <f aca="false">I1167+R1167</f>
        <v>30</v>
      </c>
      <c r="U1167" s="0" t="n">
        <f aca="false">O1167+S1167</f>
        <v>20</v>
      </c>
      <c r="V1167" s="0" t="n">
        <f aca="false">T1167-U1167</f>
        <v>10</v>
      </c>
      <c r="W1167" s="0" t="n">
        <f aca="false">T1167+U1167</f>
        <v>50</v>
      </c>
    </row>
    <row r="1168" customFormat="false" ht="15" hidden="false" customHeight="false" outlineLevel="0" collapsed="false">
      <c r="A1168" s="0" t="n">
        <v>1165</v>
      </c>
      <c r="B1168" s="0" t="n">
        <f aca="true">NORMINV(RAND(),1,Coefficients!$B$22)</f>
        <v>0.966821851805566</v>
      </c>
      <c r="C1168" s="0" t="n">
        <f aca="true">MEDIAN(8,16,ROUND(NORMINV(RAND(),Coefficients!$B$20,Coefficients!$B$21),0))</f>
        <v>10</v>
      </c>
      <c r="D1168" s="0" t="n">
        <f aca="true">CRITBINOM($C1168,MIN(0.75,Matchup!$B$39*$B1168),RAND())</f>
        <v>1</v>
      </c>
      <c r="E1168" s="0" t="n">
        <f aca="true">CRITBINOM(D1168,Coefficients!$B$30,RAND())</f>
        <v>0</v>
      </c>
      <c r="F1168" s="0" t="n">
        <f aca="true">CRITBINOM(E1168,Coefficients!$B$31,RAND())</f>
        <v>0</v>
      </c>
      <c r="G1168" s="0" t="n">
        <f aca="true">CRITBINOM(MAX(0,D1168-E1168),1-Coefficients!$B$32,RAND())</f>
        <v>0</v>
      </c>
      <c r="H1168" s="0" t="n">
        <f aca="true">CRITBINOM(MAX(0,$C1168-D1168),MIN(0.6,Matchup!$B$40*SQRT($B1168)/(1-MIN(0.75,Matchup!$B$39*$B1168))),RAND())</f>
        <v>2</v>
      </c>
      <c r="I1168" s="0" t="n">
        <f aca="false">6*D1168+(D1168-E1168-G1168)+2*F1168+3*H1168</f>
        <v>13</v>
      </c>
      <c r="J1168" s="0" t="n">
        <f aca="true">CRITBINOM($C1168,MIN(0.75,Matchup!$C$39*$B1168),RAND())</f>
        <v>1</v>
      </c>
      <c r="K1168" s="0" t="n">
        <f aca="true">CRITBINOM(J1168,Coefficients!$B$30,RAND())</f>
        <v>1</v>
      </c>
      <c r="L1168" s="0" t="n">
        <f aca="true">CRITBINOM(K1168,Coefficients!$B$31,RAND())</f>
        <v>1</v>
      </c>
      <c r="M1168" s="0" t="n">
        <f aca="true">CRITBINOM(MAX(0,J1168-K1168),1-Coefficients!$B$32,RAND())</f>
        <v>0</v>
      </c>
      <c r="N1168" s="0" t="n">
        <f aca="true">CRITBINOM(MAX(0,$C1168-J1168),MIN(0.6,Matchup!$C$40*SQRT($B1168)/(1-MIN(0.75,Matchup!$C$39*$B1168))),RAND())</f>
        <v>2</v>
      </c>
      <c r="O1168" s="0" t="n">
        <f aca="false">6*J1168+(J1168-K1168-M1168)+2*L1168+3*N1168</f>
        <v>14</v>
      </c>
      <c r="P1168" s="0" t="n">
        <f aca="true">RAND()</f>
        <v>0.459467123539887</v>
      </c>
      <c r="Q1168" s="0" t="n">
        <f aca="true">RAND()</f>
        <v>0.35565833531723</v>
      </c>
      <c r="R1168" s="0" t="n">
        <f aca="false">IF($I1168&lt;&gt;$O1168,0,IF(P1168&lt;Matchup!$B$39,7,IF(P1168&lt;Matchup!$B$39+Matchup!$B$40,3,0)))</f>
        <v>0</v>
      </c>
      <c r="S1168" s="0" t="n">
        <f aca="false">IF($I1168&lt;&gt;$O1168,0,IF(Q1168&lt;Matchup!$C$39,7,IF(Q1168&lt;Matchup!$C$39+Matchup!$C$40,3,0)))</f>
        <v>0</v>
      </c>
      <c r="T1168" s="0" t="n">
        <f aca="false">I1168+R1168</f>
        <v>13</v>
      </c>
      <c r="U1168" s="0" t="n">
        <f aca="false">O1168+S1168</f>
        <v>14</v>
      </c>
      <c r="V1168" s="0" t="n">
        <f aca="false">T1168-U1168</f>
        <v>-1</v>
      </c>
      <c r="W1168" s="0" t="n">
        <f aca="false">T1168+U1168</f>
        <v>27</v>
      </c>
    </row>
    <row r="1169" customFormat="false" ht="15" hidden="false" customHeight="false" outlineLevel="0" collapsed="false">
      <c r="A1169" s="0" t="n">
        <v>1166</v>
      </c>
      <c r="B1169" s="0" t="n">
        <f aca="true">NORMINV(RAND(),1,Coefficients!$B$22)</f>
        <v>0.967119231233308</v>
      </c>
      <c r="C1169" s="0" t="n">
        <f aca="true">MEDIAN(8,16,ROUND(NORMINV(RAND(),Coefficients!$B$20,Coefficients!$B$21),0))</f>
        <v>10</v>
      </c>
      <c r="D1169" s="0" t="n">
        <f aca="true">CRITBINOM($C1169,MIN(0.75,Matchup!$B$39*$B1169),RAND())</f>
        <v>2</v>
      </c>
      <c r="E1169" s="0" t="n">
        <f aca="true">CRITBINOM(D1169,Coefficients!$B$30,RAND())</f>
        <v>2</v>
      </c>
      <c r="F1169" s="0" t="n">
        <f aca="true">CRITBINOM(E1169,Coefficients!$B$31,RAND())</f>
        <v>2</v>
      </c>
      <c r="G1169" s="0" t="n">
        <f aca="true">CRITBINOM(MAX(0,D1169-E1169),1-Coefficients!$B$32,RAND())</f>
        <v>0</v>
      </c>
      <c r="H1169" s="0" t="n">
        <f aca="true">CRITBINOM(MAX(0,$C1169-D1169),MIN(0.6,Matchup!$B$40*SQRT($B1169)/(1-MIN(0.75,Matchup!$B$39*$B1169))),RAND())</f>
        <v>1</v>
      </c>
      <c r="I1169" s="0" t="n">
        <f aca="false">6*D1169+(D1169-E1169-G1169)+2*F1169+3*H1169</f>
        <v>19</v>
      </c>
      <c r="J1169" s="0" t="n">
        <f aca="true">CRITBINOM($C1169,MIN(0.75,Matchup!$C$39*$B1169),RAND())</f>
        <v>2</v>
      </c>
      <c r="K1169" s="0" t="n">
        <f aca="true">CRITBINOM(J1169,Coefficients!$B$30,RAND())</f>
        <v>1</v>
      </c>
      <c r="L1169" s="0" t="n">
        <f aca="true">CRITBINOM(K1169,Coefficients!$B$31,RAND())</f>
        <v>1</v>
      </c>
      <c r="M1169" s="0" t="n">
        <f aca="true">CRITBINOM(MAX(0,J1169-K1169),1-Coefficients!$B$32,RAND())</f>
        <v>0</v>
      </c>
      <c r="N1169" s="0" t="n">
        <f aca="true">CRITBINOM(MAX(0,$C1169-J1169),MIN(0.6,Matchup!$C$40*SQRT($B1169)/(1-MIN(0.75,Matchup!$C$39*$B1169))),RAND())</f>
        <v>2</v>
      </c>
      <c r="O1169" s="0" t="n">
        <f aca="false">6*J1169+(J1169-K1169-M1169)+2*L1169+3*N1169</f>
        <v>21</v>
      </c>
      <c r="P1169" s="0" t="n">
        <f aca="true">RAND()</f>
        <v>0.432610685380524</v>
      </c>
      <c r="Q1169" s="0" t="n">
        <f aca="true">RAND()</f>
        <v>0.295542997259941</v>
      </c>
      <c r="R1169" s="0" t="n">
        <f aca="false">IF($I1169&lt;&gt;$O1169,0,IF(P1169&lt;Matchup!$B$39,7,IF(P1169&lt;Matchup!$B$39+Matchup!$B$40,3,0)))</f>
        <v>0</v>
      </c>
      <c r="S1169" s="0" t="n">
        <f aca="false">IF($I1169&lt;&gt;$O1169,0,IF(Q1169&lt;Matchup!$C$39,7,IF(Q1169&lt;Matchup!$C$39+Matchup!$C$40,3,0)))</f>
        <v>0</v>
      </c>
      <c r="T1169" s="0" t="n">
        <f aca="false">I1169+R1169</f>
        <v>19</v>
      </c>
      <c r="U1169" s="0" t="n">
        <f aca="false">O1169+S1169</f>
        <v>21</v>
      </c>
      <c r="V1169" s="0" t="n">
        <f aca="false">T1169-U1169</f>
        <v>-2</v>
      </c>
      <c r="W1169" s="0" t="n">
        <f aca="false">T1169+U1169</f>
        <v>40</v>
      </c>
    </row>
    <row r="1170" customFormat="false" ht="15" hidden="false" customHeight="false" outlineLevel="0" collapsed="false">
      <c r="A1170" s="0" t="n">
        <v>1167</v>
      </c>
      <c r="B1170" s="0" t="n">
        <f aca="true">NORMINV(RAND(),1,Coefficients!$B$22)</f>
        <v>0.997783900879111</v>
      </c>
      <c r="C1170" s="0" t="n">
        <f aca="true">MEDIAN(8,16,ROUND(NORMINV(RAND(),Coefficients!$B$20,Coefficients!$B$21),0))</f>
        <v>12</v>
      </c>
      <c r="D1170" s="0" t="n">
        <f aca="true">CRITBINOM($C1170,MIN(0.75,Matchup!$B$39*$B1170),RAND())</f>
        <v>3</v>
      </c>
      <c r="E1170" s="0" t="n">
        <f aca="true">CRITBINOM(D1170,Coefficients!$B$30,RAND())</f>
        <v>0</v>
      </c>
      <c r="F1170" s="0" t="n">
        <f aca="true">CRITBINOM(E1170,Coefficients!$B$31,RAND())</f>
        <v>0</v>
      </c>
      <c r="G1170" s="0" t="n">
        <f aca="true">CRITBINOM(MAX(0,D1170-E1170),1-Coefficients!$B$32,RAND())</f>
        <v>0</v>
      </c>
      <c r="H1170" s="0" t="n">
        <f aca="true">CRITBINOM(MAX(0,$C1170-D1170),MIN(0.6,Matchup!$B$40*SQRT($B1170)/(1-MIN(0.75,Matchup!$B$39*$B1170))),RAND())</f>
        <v>0</v>
      </c>
      <c r="I1170" s="0" t="n">
        <f aca="false">6*D1170+(D1170-E1170-G1170)+2*F1170+3*H1170</f>
        <v>21</v>
      </c>
      <c r="J1170" s="0" t="n">
        <f aca="true">CRITBINOM($C1170,MIN(0.75,Matchup!$C$39*$B1170),RAND())</f>
        <v>5</v>
      </c>
      <c r="K1170" s="0" t="n">
        <f aca="true">CRITBINOM(J1170,Coefficients!$B$30,RAND())</f>
        <v>1</v>
      </c>
      <c r="L1170" s="0" t="n">
        <f aca="true">CRITBINOM(K1170,Coefficients!$B$31,RAND())</f>
        <v>1</v>
      </c>
      <c r="M1170" s="0" t="n">
        <f aca="true">CRITBINOM(MAX(0,J1170-K1170),1-Coefficients!$B$32,RAND())</f>
        <v>0</v>
      </c>
      <c r="N1170" s="0" t="n">
        <f aca="true">CRITBINOM(MAX(0,$C1170-J1170),MIN(0.6,Matchup!$C$40*SQRT($B1170)/(1-MIN(0.75,Matchup!$C$39*$B1170))),RAND())</f>
        <v>2</v>
      </c>
      <c r="O1170" s="0" t="n">
        <f aca="false">6*J1170+(J1170-K1170-M1170)+2*L1170+3*N1170</f>
        <v>42</v>
      </c>
      <c r="P1170" s="0" t="n">
        <f aca="true">RAND()</f>
        <v>0.559134366395385</v>
      </c>
      <c r="Q1170" s="0" t="n">
        <f aca="true">RAND()</f>
        <v>0.382979349719997</v>
      </c>
      <c r="R1170" s="0" t="n">
        <f aca="false">IF($I1170&lt;&gt;$O1170,0,IF(P1170&lt;Matchup!$B$39,7,IF(P1170&lt;Matchup!$B$39+Matchup!$B$40,3,0)))</f>
        <v>0</v>
      </c>
      <c r="S1170" s="0" t="n">
        <f aca="false">IF($I1170&lt;&gt;$O1170,0,IF(Q1170&lt;Matchup!$C$39,7,IF(Q1170&lt;Matchup!$C$39+Matchup!$C$40,3,0)))</f>
        <v>0</v>
      </c>
      <c r="T1170" s="0" t="n">
        <f aca="false">I1170+R1170</f>
        <v>21</v>
      </c>
      <c r="U1170" s="0" t="n">
        <f aca="false">O1170+S1170</f>
        <v>42</v>
      </c>
      <c r="V1170" s="0" t="n">
        <f aca="false">T1170-U1170</f>
        <v>-21</v>
      </c>
      <c r="W1170" s="0" t="n">
        <f aca="false">T1170+U1170</f>
        <v>63</v>
      </c>
    </row>
    <row r="1171" customFormat="false" ht="15" hidden="false" customHeight="false" outlineLevel="0" collapsed="false">
      <c r="A1171" s="0" t="n">
        <v>1168</v>
      </c>
      <c r="B1171" s="0" t="n">
        <f aca="true">NORMINV(RAND(),1,Coefficients!$B$22)</f>
        <v>1.09910441452701</v>
      </c>
      <c r="C1171" s="0" t="n">
        <f aca="true">MEDIAN(8,16,ROUND(NORMINV(RAND(),Coefficients!$B$20,Coefficients!$B$21),0))</f>
        <v>11</v>
      </c>
      <c r="D1171" s="0" t="n">
        <f aca="true">CRITBINOM($C1171,MIN(0.75,Matchup!$B$39*$B1171),RAND())</f>
        <v>1</v>
      </c>
      <c r="E1171" s="0" t="n">
        <f aca="true">CRITBINOM(D1171,Coefficients!$B$30,RAND())</f>
        <v>1</v>
      </c>
      <c r="F1171" s="0" t="n">
        <f aca="true">CRITBINOM(E1171,Coefficients!$B$31,RAND())</f>
        <v>1</v>
      </c>
      <c r="G1171" s="0" t="n">
        <f aca="true">CRITBINOM(MAX(0,D1171-E1171),1-Coefficients!$B$32,RAND())</f>
        <v>0</v>
      </c>
      <c r="H1171" s="0" t="n">
        <f aca="true">CRITBINOM(MAX(0,$C1171-D1171),MIN(0.6,Matchup!$B$40*SQRT($B1171)/(1-MIN(0.75,Matchup!$B$39*$B1171))),RAND())</f>
        <v>3</v>
      </c>
      <c r="I1171" s="0" t="n">
        <f aca="false">6*D1171+(D1171-E1171-G1171)+2*F1171+3*H1171</f>
        <v>17</v>
      </c>
      <c r="J1171" s="0" t="n">
        <f aca="true">CRITBINOM($C1171,MIN(0.75,Matchup!$C$39*$B1171),RAND())</f>
        <v>3</v>
      </c>
      <c r="K1171" s="0" t="n">
        <f aca="true">CRITBINOM(J1171,Coefficients!$B$30,RAND())</f>
        <v>0</v>
      </c>
      <c r="L1171" s="0" t="n">
        <f aca="true">CRITBINOM(K1171,Coefficients!$B$31,RAND())</f>
        <v>0</v>
      </c>
      <c r="M1171" s="0" t="n">
        <f aca="true">CRITBINOM(MAX(0,J1171-K1171),1-Coefficients!$B$32,RAND())</f>
        <v>0</v>
      </c>
      <c r="N1171" s="0" t="n">
        <f aca="true">CRITBINOM(MAX(0,$C1171-J1171),MIN(0.6,Matchup!$C$40*SQRT($B1171)/(1-MIN(0.75,Matchup!$C$39*$B1171))),RAND())</f>
        <v>2</v>
      </c>
      <c r="O1171" s="0" t="n">
        <f aca="false">6*J1171+(J1171-K1171-M1171)+2*L1171+3*N1171</f>
        <v>27</v>
      </c>
      <c r="P1171" s="0" t="n">
        <f aca="true">RAND()</f>
        <v>0.0164502312455914</v>
      </c>
      <c r="Q1171" s="0" t="n">
        <f aca="true">RAND()</f>
        <v>0.267750623532176</v>
      </c>
      <c r="R1171" s="0" t="n">
        <f aca="false">IF($I1171&lt;&gt;$O1171,0,IF(P1171&lt;Matchup!$B$39,7,IF(P1171&lt;Matchup!$B$39+Matchup!$B$40,3,0)))</f>
        <v>0</v>
      </c>
      <c r="S1171" s="0" t="n">
        <f aca="false">IF($I1171&lt;&gt;$O1171,0,IF(Q1171&lt;Matchup!$C$39,7,IF(Q1171&lt;Matchup!$C$39+Matchup!$C$40,3,0)))</f>
        <v>0</v>
      </c>
      <c r="T1171" s="0" t="n">
        <f aca="false">I1171+R1171</f>
        <v>17</v>
      </c>
      <c r="U1171" s="0" t="n">
        <f aca="false">O1171+S1171</f>
        <v>27</v>
      </c>
      <c r="V1171" s="0" t="n">
        <f aca="false">T1171-U1171</f>
        <v>-10</v>
      </c>
      <c r="W1171" s="0" t="n">
        <f aca="false">T1171+U1171</f>
        <v>44</v>
      </c>
    </row>
    <row r="1172" customFormat="false" ht="15" hidden="false" customHeight="false" outlineLevel="0" collapsed="false">
      <c r="A1172" s="0" t="n">
        <v>1169</v>
      </c>
      <c r="B1172" s="0" t="n">
        <f aca="true">NORMINV(RAND(),1,Coefficients!$B$22)</f>
        <v>0.948711282266802</v>
      </c>
      <c r="C1172" s="0" t="n">
        <f aca="true">MEDIAN(8,16,ROUND(NORMINV(RAND(),Coefficients!$B$20,Coefficients!$B$21),0))</f>
        <v>14</v>
      </c>
      <c r="D1172" s="0" t="n">
        <f aca="true">CRITBINOM($C1172,MIN(0.75,Matchup!$B$39*$B1172),RAND())</f>
        <v>6</v>
      </c>
      <c r="E1172" s="0" t="n">
        <f aca="true">CRITBINOM(D1172,Coefficients!$B$30,RAND())</f>
        <v>0</v>
      </c>
      <c r="F1172" s="0" t="n">
        <f aca="true">CRITBINOM(E1172,Coefficients!$B$31,RAND())</f>
        <v>0</v>
      </c>
      <c r="G1172" s="0" t="n">
        <f aca="true">CRITBINOM(MAX(0,D1172-E1172),1-Coefficients!$B$32,RAND())</f>
        <v>0</v>
      </c>
      <c r="H1172" s="0" t="n">
        <f aca="true">CRITBINOM(MAX(0,$C1172-D1172),MIN(0.6,Matchup!$B$40*SQRT($B1172)/(1-MIN(0.75,Matchup!$B$39*$B1172))),RAND())</f>
        <v>4</v>
      </c>
      <c r="I1172" s="0" t="n">
        <f aca="false">6*D1172+(D1172-E1172-G1172)+2*F1172+3*H1172</f>
        <v>54</v>
      </c>
      <c r="J1172" s="0" t="n">
        <f aca="true">CRITBINOM($C1172,MIN(0.75,Matchup!$C$39*$B1172),RAND())</f>
        <v>3</v>
      </c>
      <c r="K1172" s="0" t="n">
        <f aca="true">CRITBINOM(J1172,Coefficients!$B$30,RAND())</f>
        <v>0</v>
      </c>
      <c r="L1172" s="0" t="n">
        <f aca="true">CRITBINOM(K1172,Coefficients!$B$31,RAND())</f>
        <v>0</v>
      </c>
      <c r="M1172" s="0" t="n">
        <f aca="true">CRITBINOM(MAX(0,J1172-K1172),1-Coefficients!$B$32,RAND())</f>
        <v>0</v>
      </c>
      <c r="N1172" s="0" t="n">
        <f aca="true">CRITBINOM(MAX(0,$C1172-J1172),MIN(0.6,Matchup!$C$40*SQRT($B1172)/(1-MIN(0.75,Matchup!$C$39*$B1172))),RAND())</f>
        <v>3</v>
      </c>
      <c r="O1172" s="0" t="n">
        <f aca="false">6*J1172+(J1172-K1172-M1172)+2*L1172+3*N1172</f>
        <v>30</v>
      </c>
      <c r="P1172" s="0" t="n">
        <f aca="true">RAND()</f>
        <v>0.437282007028966</v>
      </c>
      <c r="Q1172" s="0" t="n">
        <f aca="true">RAND()</f>
        <v>2.82002081079287E-006</v>
      </c>
      <c r="R1172" s="0" t="n">
        <f aca="false">IF($I1172&lt;&gt;$O1172,0,IF(P1172&lt;Matchup!$B$39,7,IF(P1172&lt;Matchup!$B$39+Matchup!$B$40,3,0)))</f>
        <v>0</v>
      </c>
      <c r="S1172" s="0" t="n">
        <f aca="false">IF($I1172&lt;&gt;$O1172,0,IF(Q1172&lt;Matchup!$C$39,7,IF(Q1172&lt;Matchup!$C$39+Matchup!$C$40,3,0)))</f>
        <v>0</v>
      </c>
      <c r="T1172" s="0" t="n">
        <f aca="false">I1172+R1172</f>
        <v>54</v>
      </c>
      <c r="U1172" s="0" t="n">
        <f aca="false">O1172+S1172</f>
        <v>30</v>
      </c>
      <c r="V1172" s="0" t="n">
        <f aca="false">T1172-U1172</f>
        <v>24</v>
      </c>
      <c r="W1172" s="0" t="n">
        <f aca="false">T1172+U1172</f>
        <v>84</v>
      </c>
    </row>
    <row r="1173" customFormat="false" ht="15" hidden="false" customHeight="false" outlineLevel="0" collapsed="false">
      <c r="A1173" s="0" t="n">
        <v>1170</v>
      </c>
      <c r="B1173" s="0" t="n">
        <f aca="true">NORMINV(RAND(),1,Coefficients!$B$22)</f>
        <v>0.965705446040686</v>
      </c>
      <c r="C1173" s="0" t="n">
        <f aca="true">MEDIAN(8,16,ROUND(NORMINV(RAND(),Coefficients!$B$20,Coefficients!$B$21),0))</f>
        <v>14</v>
      </c>
      <c r="D1173" s="0" t="n">
        <f aca="true">CRITBINOM($C1173,MIN(0.75,Matchup!$B$39*$B1173),RAND())</f>
        <v>3</v>
      </c>
      <c r="E1173" s="0" t="n">
        <f aca="true">CRITBINOM(D1173,Coefficients!$B$30,RAND())</f>
        <v>0</v>
      </c>
      <c r="F1173" s="0" t="n">
        <f aca="true">CRITBINOM(E1173,Coefficients!$B$31,RAND())</f>
        <v>0</v>
      </c>
      <c r="G1173" s="0" t="n">
        <f aca="true">CRITBINOM(MAX(0,D1173-E1173),1-Coefficients!$B$32,RAND())</f>
        <v>1</v>
      </c>
      <c r="H1173" s="0" t="n">
        <f aca="true">CRITBINOM(MAX(0,$C1173-D1173),MIN(0.6,Matchup!$B$40*SQRT($B1173)/(1-MIN(0.75,Matchup!$B$39*$B1173))),RAND())</f>
        <v>1</v>
      </c>
      <c r="I1173" s="0" t="n">
        <f aca="false">6*D1173+(D1173-E1173-G1173)+2*F1173+3*H1173</f>
        <v>23</v>
      </c>
      <c r="J1173" s="0" t="n">
        <f aca="true">CRITBINOM($C1173,MIN(0.75,Matchup!$C$39*$B1173),RAND())</f>
        <v>4</v>
      </c>
      <c r="K1173" s="0" t="n">
        <f aca="true">CRITBINOM(J1173,Coefficients!$B$30,RAND())</f>
        <v>1</v>
      </c>
      <c r="L1173" s="0" t="n">
        <f aca="true">CRITBINOM(K1173,Coefficients!$B$31,RAND())</f>
        <v>1</v>
      </c>
      <c r="M1173" s="0" t="n">
        <f aca="true">CRITBINOM(MAX(0,J1173-K1173),1-Coefficients!$B$32,RAND())</f>
        <v>0</v>
      </c>
      <c r="N1173" s="0" t="n">
        <f aca="true">CRITBINOM(MAX(0,$C1173-J1173),MIN(0.6,Matchup!$C$40*SQRT($B1173)/(1-MIN(0.75,Matchup!$C$39*$B1173))),RAND())</f>
        <v>3</v>
      </c>
      <c r="O1173" s="0" t="n">
        <f aca="false">6*J1173+(J1173-K1173-M1173)+2*L1173+3*N1173</f>
        <v>38</v>
      </c>
      <c r="P1173" s="0" t="n">
        <f aca="true">RAND()</f>
        <v>0.803419723689703</v>
      </c>
      <c r="Q1173" s="0" t="n">
        <f aca="true">RAND()</f>
        <v>0.458114567164981</v>
      </c>
      <c r="R1173" s="0" t="n">
        <f aca="false">IF($I1173&lt;&gt;$O1173,0,IF(P1173&lt;Matchup!$B$39,7,IF(P1173&lt;Matchup!$B$39+Matchup!$B$40,3,0)))</f>
        <v>0</v>
      </c>
      <c r="S1173" s="0" t="n">
        <f aca="false">IF($I1173&lt;&gt;$O1173,0,IF(Q1173&lt;Matchup!$C$39,7,IF(Q1173&lt;Matchup!$C$39+Matchup!$C$40,3,0)))</f>
        <v>0</v>
      </c>
      <c r="T1173" s="0" t="n">
        <f aca="false">I1173+R1173</f>
        <v>23</v>
      </c>
      <c r="U1173" s="0" t="n">
        <f aca="false">O1173+S1173</f>
        <v>38</v>
      </c>
      <c r="V1173" s="0" t="n">
        <f aca="false">T1173-U1173</f>
        <v>-15</v>
      </c>
      <c r="W1173" s="0" t="n">
        <f aca="false">T1173+U1173</f>
        <v>61</v>
      </c>
    </row>
    <row r="1174" customFormat="false" ht="15" hidden="false" customHeight="false" outlineLevel="0" collapsed="false">
      <c r="A1174" s="0" t="n">
        <v>1171</v>
      </c>
      <c r="B1174" s="0" t="n">
        <f aca="true">NORMINV(RAND(),1,Coefficients!$B$22)</f>
        <v>1.04728816060066</v>
      </c>
      <c r="C1174" s="0" t="n">
        <f aca="true">MEDIAN(8,16,ROUND(NORMINV(RAND(),Coefficients!$B$20,Coefficients!$B$21),0))</f>
        <v>15</v>
      </c>
      <c r="D1174" s="0" t="n">
        <f aca="true">CRITBINOM($C1174,MIN(0.75,Matchup!$B$39*$B1174),RAND())</f>
        <v>0</v>
      </c>
      <c r="E1174" s="0" t="n">
        <f aca="true">CRITBINOM(D1174,Coefficients!$B$30,RAND())</f>
        <v>0</v>
      </c>
      <c r="F1174" s="0" t="n">
        <f aca="true">CRITBINOM(E1174,Coefficients!$B$31,RAND())</f>
        <v>0</v>
      </c>
      <c r="G1174" s="0" t="n">
        <f aca="true">CRITBINOM(MAX(0,D1174-E1174),1-Coefficients!$B$32,RAND())</f>
        <v>0</v>
      </c>
      <c r="H1174" s="0" t="n">
        <f aca="true">CRITBINOM(MAX(0,$C1174-D1174),MIN(0.6,Matchup!$B$40*SQRT($B1174)/(1-MIN(0.75,Matchup!$B$39*$B1174))),RAND())</f>
        <v>1</v>
      </c>
      <c r="I1174" s="0" t="n">
        <f aca="false">6*D1174+(D1174-E1174-G1174)+2*F1174+3*H1174</f>
        <v>3</v>
      </c>
      <c r="J1174" s="0" t="n">
        <f aca="true">CRITBINOM($C1174,MIN(0.75,Matchup!$C$39*$B1174),RAND())</f>
        <v>4</v>
      </c>
      <c r="K1174" s="0" t="n">
        <f aca="true">CRITBINOM(J1174,Coefficients!$B$30,RAND())</f>
        <v>0</v>
      </c>
      <c r="L1174" s="0" t="n">
        <f aca="true">CRITBINOM(K1174,Coefficients!$B$31,RAND())</f>
        <v>0</v>
      </c>
      <c r="M1174" s="0" t="n">
        <f aca="true">CRITBINOM(MAX(0,J1174-K1174),1-Coefficients!$B$32,RAND())</f>
        <v>0</v>
      </c>
      <c r="N1174" s="0" t="n">
        <f aca="true">CRITBINOM(MAX(0,$C1174-J1174),MIN(0.6,Matchup!$C$40*SQRT($B1174)/(1-MIN(0.75,Matchup!$C$39*$B1174))),RAND())</f>
        <v>2</v>
      </c>
      <c r="O1174" s="0" t="n">
        <f aca="false">6*J1174+(J1174-K1174-M1174)+2*L1174+3*N1174</f>
        <v>34</v>
      </c>
      <c r="P1174" s="0" t="n">
        <f aca="true">RAND()</f>
        <v>0.749582955229161</v>
      </c>
      <c r="Q1174" s="0" t="n">
        <f aca="true">RAND()</f>
        <v>0.00875940318955497</v>
      </c>
      <c r="R1174" s="0" t="n">
        <f aca="false">IF($I1174&lt;&gt;$O1174,0,IF(P1174&lt;Matchup!$B$39,7,IF(P1174&lt;Matchup!$B$39+Matchup!$B$40,3,0)))</f>
        <v>0</v>
      </c>
      <c r="S1174" s="0" t="n">
        <f aca="false">IF($I1174&lt;&gt;$O1174,0,IF(Q1174&lt;Matchup!$C$39,7,IF(Q1174&lt;Matchup!$C$39+Matchup!$C$40,3,0)))</f>
        <v>0</v>
      </c>
      <c r="T1174" s="0" t="n">
        <f aca="false">I1174+R1174</f>
        <v>3</v>
      </c>
      <c r="U1174" s="0" t="n">
        <f aca="false">O1174+S1174</f>
        <v>34</v>
      </c>
      <c r="V1174" s="0" t="n">
        <f aca="false">T1174-U1174</f>
        <v>-31</v>
      </c>
      <c r="W1174" s="0" t="n">
        <f aca="false">T1174+U1174</f>
        <v>37</v>
      </c>
    </row>
    <row r="1175" customFormat="false" ht="15" hidden="false" customHeight="false" outlineLevel="0" collapsed="false">
      <c r="A1175" s="0" t="n">
        <v>1172</v>
      </c>
      <c r="B1175" s="0" t="n">
        <f aca="true">NORMINV(RAND(),1,Coefficients!$B$22)</f>
        <v>0.9621028782707</v>
      </c>
      <c r="C1175" s="0" t="n">
        <f aca="true">MEDIAN(8,16,ROUND(NORMINV(RAND(),Coefficients!$B$20,Coefficients!$B$21),0))</f>
        <v>10</v>
      </c>
      <c r="D1175" s="0" t="n">
        <f aca="true">CRITBINOM($C1175,MIN(0.75,Matchup!$B$39*$B1175),RAND())</f>
        <v>2</v>
      </c>
      <c r="E1175" s="0" t="n">
        <f aca="true">CRITBINOM(D1175,Coefficients!$B$30,RAND())</f>
        <v>0</v>
      </c>
      <c r="F1175" s="0" t="n">
        <f aca="true">CRITBINOM(E1175,Coefficients!$B$31,RAND())</f>
        <v>0</v>
      </c>
      <c r="G1175" s="0" t="n">
        <f aca="true">CRITBINOM(MAX(0,D1175-E1175),1-Coefficients!$B$32,RAND())</f>
        <v>0</v>
      </c>
      <c r="H1175" s="0" t="n">
        <f aca="true">CRITBINOM(MAX(0,$C1175-D1175),MIN(0.6,Matchup!$B$40*SQRT($B1175)/(1-MIN(0.75,Matchup!$B$39*$B1175))),RAND())</f>
        <v>2</v>
      </c>
      <c r="I1175" s="0" t="n">
        <f aca="false">6*D1175+(D1175-E1175-G1175)+2*F1175+3*H1175</f>
        <v>20</v>
      </c>
      <c r="J1175" s="0" t="n">
        <f aca="true">CRITBINOM($C1175,MIN(0.75,Matchup!$C$39*$B1175),RAND())</f>
        <v>1</v>
      </c>
      <c r="K1175" s="0" t="n">
        <f aca="true">CRITBINOM(J1175,Coefficients!$B$30,RAND())</f>
        <v>0</v>
      </c>
      <c r="L1175" s="0" t="n">
        <f aca="true">CRITBINOM(K1175,Coefficients!$B$31,RAND())</f>
        <v>0</v>
      </c>
      <c r="M1175" s="0" t="n">
        <f aca="true">CRITBINOM(MAX(0,J1175-K1175),1-Coefficients!$B$32,RAND())</f>
        <v>0</v>
      </c>
      <c r="N1175" s="0" t="n">
        <f aca="true">CRITBINOM(MAX(0,$C1175-J1175),MIN(0.6,Matchup!$C$40*SQRT($B1175)/(1-MIN(0.75,Matchup!$C$39*$B1175))),RAND())</f>
        <v>0</v>
      </c>
      <c r="O1175" s="0" t="n">
        <f aca="false">6*J1175+(J1175-K1175-M1175)+2*L1175+3*N1175</f>
        <v>7</v>
      </c>
      <c r="P1175" s="0" t="n">
        <f aca="true">RAND()</f>
        <v>0.855879954002073</v>
      </c>
      <c r="Q1175" s="0" t="n">
        <f aca="true">RAND()</f>
        <v>0.69353734719827</v>
      </c>
      <c r="R1175" s="0" t="n">
        <f aca="false">IF($I1175&lt;&gt;$O1175,0,IF(P1175&lt;Matchup!$B$39,7,IF(P1175&lt;Matchup!$B$39+Matchup!$B$40,3,0)))</f>
        <v>0</v>
      </c>
      <c r="S1175" s="0" t="n">
        <f aca="false">IF($I1175&lt;&gt;$O1175,0,IF(Q1175&lt;Matchup!$C$39,7,IF(Q1175&lt;Matchup!$C$39+Matchup!$C$40,3,0)))</f>
        <v>0</v>
      </c>
      <c r="T1175" s="0" t="n">
        <f aca="false">I1175+R1175</f>
        <v>20</v>
      </c>
      <c r="U1175" s="0" t="n">
        <f aca="false">O1175+S1175</f>
        <v>7</v>
      </c>
      <c r="V1175" s="0" t="n">
        <f aca="false">T1175-U1175</f>
        <v>13</v>
      </c>
      <c r="W1175" s="0" t="n">
        <f aca="false">T1175+U1175</f>
        <v>27</v>
      </c>
    </row>
    <row r="1176" customFormat="false" ht="15" hidden="false" customHeight="false" outlineLevel="0" collapsed="false">
      <c r="A1176" s="0" t="n">
        <v>1173</v>
      </c>
      <c r="B1176" s="0" t="n">
        <f aca="true">NORMINV(RAND(),1,Coefficients!$B$22)</f>
        <v>1.06544499230132</v>
      </c>
      <c r="C1176" s="0" t="n">
        <f aca="true">MEDIAN(8,16,ROUND(NORMINV(RAND(),Coefficients!$B$20,Coefficients!$B$21),0))</f>
        <v>12</v>
      </c>
      <c r="D1176" s="0" t="n">
        <f aca="true">CRITBINOM($C1176,MIN(0.75,Matchup!$B$39*$B1176),RAND())</f>
        <v>1</v>
      </c>
      <c r="E1176" s="0" t="n">
        <f aca="true">CRITBINOM(D1176,Coefficients!$B$30,RAND())</f>
        <v>0</v>
      </c>
      <c r="F1176" s="0" t="n">
        <f aca="true">CRITBINOM(E1176,Coefficients!$B$31,RAND())</f>
        <v>0</v>
      </c>
      <c r="G1176" s="0" t="n">
        <f aca="true">CRITBINOM(MAX(0,D1176-E1176),1-Coefficients!$B$32,RAND())</f>
        <v>0</v>
      </c>
      <c r="H1176" s="0" t="n">
        <f aca="true">CRITBINOM(MAX(0,$C1176-D1176),MIN(0.6,Matchup!$B$40*SQRT($B1176)/(1-MIN(0.75,Matchup!$B$39*$B1176))),RAND())</f>
        <v>2</v>
      </c>
      <c r="I1176" s="0" t="n">
        <f aca="false">6*D1176+(D1176-E1176-G1176)+2*F1176+3*H1176</f>
        <v>13</v>
      </c>
      <c r="J1176" s="0" t="n">
        <f aca="true">CRITBINOM($C1176,MIN(0.75,Matchup!$C$39*$B1176),RAND())</f>
        <v>4</v>
      </c>
      <c r="K1176" s="0" t="n">
        <f aca="true">CRITBINOM(J1176,Coefficients!$B$30,RAND())</f>
        <v>0</v>
      </c>
      <c r="L1176" s="0" t="n">
        <f aca="true">CRITBINOM(K1176,Coefficients!$B$31,RAND())</f>
        <v>0</v>
      </c>
      <c r="M1176" s="0" t="n">
        <f aca="true">CRITBINOM(MAX(0,J1176-K1176),1-Coefficients!$B$32,RAND())</f>
        <v>0</v>
      </c>
      <c r="N1176" s="0" t="n">
        <f aca="true">CRITBINOM(MAX(0,$C1176-J1176),MIN(0.6,Matchup!$C$40*SQRT($B1176)/(1-MIN(0.75,Matchup!$C$39*$B1176))),RAND())</f>
        <v>1</v>
      </c>
      <c r="O1176" s="0" t="n">
        <f aca="false">6*J1176+(J1176-K1176-M1176)+2*L1176+3*N1176</f>
        <v>31</v>
      </c>
      <c r="P1176" s="0" t="n">
        <f aca="true">RAND()</f>
        <v>0.48887076736002</v>
      </c>
      <c r="Q1176" s="0" t="n">
        <f aca="true">RAND()</f>
        <v>0.964083513566896</v>
      </c>
      <c r="R1176" s="0" t="n">
        <f aca="false">IF($I1176&lt;&gt;$O1176,0,IF(P1176&lt;Matchup!$B$39,7,IF(P1176&lt;Matchup!$B$39+Matchup!$B$40,3,0)))</f>
        <v>0</v>
      </c>
      <c r="S1176" s="0" t="n">
        <f aca="false">IF($I1176&lt;&gt;$O1176,0,IF(Q1176&lt;Matchup!$C$39,7,IF(Q1176&lt;Matchup!$C$39+Matchup!$C$40,3,0)))</f>
        <v>0</v>
      </c>
      <c r="T1176" s="0" t="n">
        <f aca="false">I1176+R1176</f>
        <v>13</v>
      </c>
      <c r="U1176" s="0" t="n">
        <f aca="false">O1176+S1176</f>
        <v>31</v>
      </c>
      <c r="V1176" s="0" t="n">
        <f aca="false">T1176-U1176</f>
        <v>-18</v>
      </c>
      <c r="W1176" s="0" t="n">
        <f aca="false">T1176+U1176</f>
        <v>44</v>
      </c>
    </row>
    <row r="1177" customFormat="false" ht="15" hidden="false" customHeight="false" outlineLevel="0" collapsed="false">
      <c r="A1177" s="0" t="n">
        <v>1174</v>
      </c>
      <c r="B1177" s="0" t="n">
        <f aca="true">NORMINV(RAND(),1,Coefficients!$B$22)</f>
        <v>0.971903880047746</v>
      </c>
      <c r="C1177" s="0" t="n">
        <f aca="true">MEDIAN(8,16,ROUND(NORMINV(RAND(),Coefficients!$B$20,Coefficients!$B$21),0))</f>
        <v>10</v>
      </c>
      <c r="D1177" s="0" t="n">
        <f aca="true">CRITBINOM($C1177,MIN(0.75,Matchup!$B$39*$B1177),RAND())</f>
        <v>2</v>
      </c>
      <c r="E1177" s="0" t="n">
        <f aca="true">CRITBINOM(D1177,Coefficients!$B$30,RAND())</f>
        <v>0</v>
      </c>
      <c r="F1177" s="0" t="n">
        <f aca="true">CRITBINOM(E1177,Coefficients!$B$31,RAND())</f>
        <v>0</v>
      </c>
      <c r="G1177" s="0" t="n">
        <f aca="true">CRITBINOM(MAX(0,D1177-E1177),1-Coefficients!$B$32,RAND())</f>
        <v>0</v>
      </c>
      <c r="H1177" s="0" t="n">
        <f aca="true">CRITBINOM(MAX(0,$C1177-D1177),MIN(0.6,Matchup!$B$40*SQRT($B1177)/(1-MIN(0.75,Matchup!$B$39*$B1177))),RAND())</f>
        <v>1</v>
      </c>
      <c r="I1177" s="0" t="n">
        <f aca="false">6*D1177+(D1177-E1177-G1177)+2*F1177+3*H1177</f>
        <v>17</v>
      </c>
      <c r="J1177" s="0" t="n">
        <f aca="true">CRITBINOM($C1177,MIN(0.75,Matchup!$C$39*$B1177),RAND())</f>
        <v>1</v>
      </c>
      <c r="K1177" s="0" t="n">
        <f aca="true">CRITBINOM(J1177,Coefficients!$B$30,RAND())</f>
        <v>0</v>
      </c>
      <c r="L1177" s="0" t="n">
        <f aca="true">CRITBINOM(K1177,Coefficients!$B$31,RAND())</f>
        <v>0</v>
      </c>
      <c r="M1177" s="0" t="n">
        <f aca="true">CRITBINOM(MAX(0,J1177-K1177),1-Coefficients!$B$32,RAND())</f>
        <v>0</v>
      </c>
      <c r="N1177" s="0" t="n">
        <f aca="true">CRITBINOM(MAX(0,$C1177-J1177),MIN(0.6,Matchup!$C$40*SQRT($B1177)/(1-MIN(0.75,Matchup!$C$39*$B1177))),RAND())</f>
        <v>2</v>
      </c>
      <c r="O1177" s="0" t="n">
        <f aca="false">6*J1177+(J1177-K1177-M1177)+2*L1177+3*N1177</f>
        <v>13</v>
      </c>
      <c r="P1177" s="0" t="n">
        <f aca="true">RAND()</f>
        <v>0.681760286476479</v>
      </c>
      <c r="Q1177" s="0" t="n">
        <f aca="true">RAND()</f>
        <v>0.187393870036928</v>
      </c>
      <c r="R1177" s="0" t="n">
        <f aca="false">IF($I1177&lt;&gt;$O1177,0,IF(P1177&lt;Matchup!$B$39,7,IF(P1177&lt;Matchup!$B$39+Matchup!$B$40,3,0)))</f>
        <v>0</v>
      </c>
      <c r="S1177" s="0" t="n">
        <f aca="false">IF($I1177&lt;&gt;$O1177,0,IF(Q1177&lt;Matchup!$C$39,7,IF(Q1177&lt;Matchup!$C$39+Matchup!$C$40,3,0)))</f>
        <v>0</v>
      </c>
      <c r="T1177" s="0" t="n">
        <f aca="false">I1177+R1177</f>
        <v>17</v>
      </c>
      <c r="U1177" s="0" t="n">
        <f aca="false">O1177+S1177</f>
        <v>13</v>
      </c>
      <c r="V1177" s="0" t="n">
        <f aca="false">T1177-U1177</f>
        <v>4</v>
      </c>
      <c r="W1177" s="0" t="n">
        <f aca="false">T1177+U1177</f>
        <v>30</v>
      </c>
    </row>
    <row r="1178" customFormat="false" ht="15" hidden="false" customHeight="false" outlineLevel="0" collapsed="false">
      <c r="A1178" s="0" t="n">
        <v>1175</v>
      </c>
      <c r="B1178" s="0" t="n">
        <f aca="true">NORMINV(RAND(),1,Coefficients!$B$22)</f>
        <v>1.06150247716162</v>
      </c>
      <c r="C1178" s="0" t="n">
        <f aca="true">MEDIAN(8,16,ROUND(NORMINV(RAND(),Coefficients!$B$20,Coefficients!$B$21),0))</f>
        <v>10</v>
      </c>
      <c r="D1178" s="0" t="n">
        <f aca="true">CRITBINOM($C1178,MIN(0.75,Matchup!$B$39*$B1178),RAND())</f>
        <v>1</v>
      </c>
      <c r="E1178" s="0" t="n">
        <f aca="true">CRITBINOM(D1178,Coefficients!$B$30,RAND())</f>
        <v>0</v>
      </c>
      <c r="F1178" s="0" t="n">
        <f aca="true">CRITBINOM(E1178,Coefficients!$B$31,RAND())</f>
        <v>0</v>
      </c>
      <c r="G1178" s="0" t="n">
        <f aca="true">CRITBINOM(MAX(0,D1178-E1178),1-Coefficients!$B$32,RAND())</f>
        <v>0</v>
      </c>
      <c r="H1178" s="0" t="n">
        <f aca="true">CRITBINOM(MAX(0,$C1178-D1178),MIN(0.6,Matchup!$B$40*SQRT($B1178)/(1-MIN(0.75,Matchup!$B$39*$B1178))),RAND())</f>
        <v>2</v>
      </c>
      <c r="I1178" s="0" t="n">
        <f aca="false">6*D1178+(D1178-E1178-G1178)+2*F1178+3*H1178</f>
        <v>13</v>
      </c>
      <c r="J1178" s="0" t="n">
        <f aca="true">CRITBINOM($C1178,MIN(0.75,Matchup!$C$39*$B1178),RAND())</f>
        <v>1</v>
      </c>
      <c r="K1178" s="0" t="n">
        <f aca="true">CRITBINOM(J1178,Coefficients!$B$30,RAND())</f>
        <v>0</v>
      </c>
      <c r="L1178" s="0" t="n">
        <f aca="true">CRITBINOM(K1178,Coefficients!$B$31,RAND())</f>
        <v>0</v>
      </c>
      <c r="M1178" s="0" t="n">
        <f aca="true">CRITBINOM(MAX(0,J1178-K1178),1-Coefficients!$B$32,RAND())</f>
        <v>0</v>
      </c>
      <c r="N1178" s="0" t="n">
        <f aca="true">CRITBINOM(MAX(0,$C1178-J1178),MIN(0.6,Matchup!$C$40*SQRT($B1178)/(1-MIN(0.75,Matchup!$C$39*$B1178))),RAND())</f>
        <v>1</v>
      </c>
      <c r="O1178" s="0" t="n">
        <f aca="false">6*J1178+(J1178-K1178-M1178)+2*L1178+3*N1178</f>
        <v>10</v>
      </c>
      <c r="P1178" s="0" t="n">
        <f aca="true">RAND()</f>
        <v>0.0948233964302293</v>
      </c>
      <c r="Q1178" s="0" t="n">
        <f aca="true">RAND()</f>
        <v>0.678767022182158</v>
      </c>
      <c r="R1178" s="0" t="n">
        <f aca="false">IF($I1178&lt;&gt;$O1178,0,IF(P1178&lt;Matchup!$B$39,7,IF(P1178&lt;Matchup!$B$39+Matchup!$B$40,3,0)))</f>
        <v>0</v>
      </c>
      <c r="S1178" s="0" t="n">
        <f aca="false">IF($I1178&lt;&gt;$O1178,0,IF(Q1178&lt;Matchup!$C$39,7,IF(Q1178&lt;Matchup!$C$39+Matchup!$C$40,3,0)))</f>
        <v>0</v>
      </c>
      <c r="T1178" s="0" t="n">
        <f aca="false">I1178+R1178</f>
        <v>13</v>
      </c>
      <c r="U1178" s="0" t="n">
        <f aca="false">O1178+S1178</f>
        <v>10</v>
      </c>
      <c r="V1178" s="0" t="n">
        <f aca="false">T1178-U1178</f>
        <v>3</v>
      </c>
      <c r="W1178" s="0" t="n">
        <f aca="false">T1178+U1178</f>
        <v>23</v>
      </c>
    </row>
    <row r="1179" customFormat="false" ht="15" hidden="false" customHeight="false" outlineLevel="0" collapsed="false">
      <c r="A1179" s="0" t="n">
        <v>1176</v>
      </c>
      <c r="B1179" s="0" t="n">
        <f aca="true">NORMINV(RAND(),1,Coefficients!$B$22)</f>
        <v>1.12514639097672</v>
      </c>
      <c r="C1179" s="0" t="n">
        <f aca="true">MEDIAN(8,16,ROUND(NORMINV(RAND(),Coefficients!$B$20,Coefficients!$B$21),0))</f>
        <v>11</v>
      </c>
      <c r="D1179" s="0" t="n">
        <f aca="true">CRITBINOM($C1179,MIN(0.75,Matchup!$B$39*$B1179),RAND())</f>
        <v>5</v>
      </c>
      <c r="E1179" s="0" t="n">
        <f aca="true">CRITBINOM(D1179,Coefficients!$B$30,RAND())</f>
        <v>0</v>
      </c>
      <c r="F1179" s="0" t="n">
        <f aca="true">CRITBINOM(E1179,Coefficients!$B$31,RAND())</f>
        <v>0</v>
      </c>
      <c r="G1179" s="0" t="n">
        <f aca="true">CRITBINOM(MAX(0,D1179-E1179),1-Coefficients!$B$32,RAND())</f>
        <v>1</v>
      </c>
      <c r="H1179" s="0" t="n">
        <f aca="true">CRITBINOM(MAX(0,$C1179-D1179),MIN(0.6,Matchup!$B$40*SQRT($B1179)/(1-MIN(0.75,Matchup!$B$39*$B1179))),RAND())</f>
        <v>0</v>
      </c>
      <c r="I1179" s="0" t="n">
        <f aca="false">6*D1179+(D1179-E1179-G1179)+2*F1179+3*H1179</f>
        <v>34</v>
      </c>
      <c r="J1179" s="0" t="n">
        <f aca="true">CRITBINOM($C1179,MIN(0.75,Matchup!$C$39*$B1179),RAND())</f>
        <v>3</v>
      </c>
      <c r="K1179" s="0" t="n">
        <f aca="true">CRITBINOM(J1179,Coefficients!$B$30,RAND())</f>
        <v>1</v>
      </c>
      <c r="L1179" s="0" t="n">
        <f aca="true">CRITBINOM(K1179,Coefficients!$B$31,RAND())</f>
        <v>1</v>
      </c>
      <c r="M1179" s="0" t="n">
        <f aca="true">CRITBINOM(MAX(0,J1179-K1179),1-Coefficients!$B$32,RAND())</f>
        <v>0</v>
      </c>
      <c r="N1179" s="0" t="n">
        <f aca="true">CRITBINOM(MAX(0,$C1179-J1179),MIN(0.6,Matchup!$C$40*SQRT($B1179)/(1-MIN(0.75,Matchup!$C$39*$B1179))),RAND())</f>
        <v>2</v>
      </c>
      <c r="O1179" s="0" t="n">
        <f aca="false">6*J1179+(J1179-K1179-M1179)+2*L1179+3*N1179</f>
        <v>28</v>
      </c>
      <c r="P1179" s="0" t="n">
        <f aca="true">RAND()</f>
        <v>0.828995089042709</v>
      </c>
      <c r="Q1179" s="0" t="n">
        <f aca="true">RAND()</f>
        <v>0.926394332441859</v>
      </c>
      <c r="R1179" s="0" t="n">
        <f aca="false">IF($I1179&lt;&gt;$O1179,0,IF(P1179&lt;Matchup!$B$39,7,IF(P1179&lt;Matchup!$B$39+Matchup!$B$40,3,0)))</f>
        <v>0</v>
      </c>
      <c r="S1179" s="0" t="n">
        <f aca="false">IF($I1179&lt;&gt;$O1179,0,IF(Q1179&lt;Matchup!$C$39,7,IF(Q1179&lt;Matchup!$C$39+Matchup!$C$40,3,0)))</f>
        <v>0</v>
      </c>
      <c r="T1179" s="0" t="n">
        <f aca="false">I1179+R1179</f>
        <v>34</v>
      </c>
      <c r="U1179" s="0" t="n">
        <f aca="false">O1179+S1179</f>
        <v>28</v>
      </c>
      <c r="V1179" s="0" t="n">
        <f aca="false">T1179-U1179</f>
        <v>6</v>
      </c>
      <c r="W1179" s="0" t="n">
        <f aca="false">T1179+U1179</f>
        <v>62</v>
      </c>
    </row>
    <row r="1180" customFormat="false" ht="15" hidden="false" customHeight="false" outlineLevel="0" collapsed="false">
      <c r="A1180" s="0" t="n">
        <v>1177</v>
      </c>
      <c r="B1180" s="0" t="n">
        <f aca="true">NORMINV(RAND(),1,Coefficients!$B$22)</f>
        <v>1.01798278876949</v>
      </c>
      <c r="C1180" s="0" t="n">
        <f aca="true">MEDIAN(8,16,ROUND(NORMINV(RAND(),Coefficients!$B$20,Coefficients!$B$21),0))</f>
        <v>12</v>
      </c>
      <c r="D1180" s="0" t="n">
        <f aca="true">CRITBINOM($C1180,MIN(0.75,Matchup!$B$39*$B1180),RAND())</f>
        <v>3</v>
      </c>
      <c r="E1180" s="0" t="n">
        <f aca="true">CRITBINOM(D1180,Coefficients!$B$30,RAND())</f>
        <v>0</v>
      </c>
      <c r="F1180" s="0" t="n">
        <f aca="true">CRITBINOM(E1180,Coefficients!$B$31,RAND())</f>
        <v>0</v>
      </c>
      <c r="G1180" s="0" t="n">
        <f aca="true">CRITBINOM(MAX(0,D1180-E1180),1-Coefficients!$B$32,RAND())</f>
        <v>0</v>
      </c>
      <c r="H1180" s="0" t="n">
        <f aca="true">CRITBINOM(MAX(0,$C1180-D1180),MIN(0.6,Matchup!$B$40*SQRT($B1180)/(1-MIN(0.75,Matchup!$B$39*$B1180))),RAND())</f>
        <v>1</v>
      </c>
      <c r="I1180" s="0" t="n">
        <f aca="false">6*D1180+(D1180-E1180-G1180)+2*F1180+3*H1180</f>
        <v>24</v>
      </c>
      <c r="J1180" s="0" t="n">
        <f aca="true">CRITBINOM($C1180,MIN(0.75,Matchup!$C$39*$B1180),RAND())</f>
        <v>3</v>
      </c>
      <c r="K1180" s="0" t="n">
        <f aca="true">CRITBINOM(J1180,Coefficients!$B$30,RAND())</f>
        <v>1</v>
      </c>
      <c r="L1180" s="0" t="n">
        <f aca="true">CRITBINOM(K1180,Coefficients!$B$31,RAND())</f>
        <v>0</v>
      </c>
      <c r="M1180" s="0" t="n">
        <f aca="true">CRITBINOM(MAX(0,J1180-K1180),1-Coefficients!$B$32,RAND())</f>
        <v>0</v>
      </c>
      <c r="N1180" s="0" t="n">
        <f aca="true">CRITBINOM(MAX(0,$C1180-J1180),MIN(0.6,Matchup!$C$40*SQRT($B1180)/(1-MIN(0.75,Matchup!$C$39*$B1180))),RAND())</f>
        <v>1</v>
      </c>
      <c r="O1180" s="0" t="n">
        <f aca="false">6*J1180+(J1180-K1180-M1180)+2*L1180+3*N1180</f>
        <v>23</v>
      </c>
      <c r="P1180" s="0" t="n">
        <f aca="true">RAND()</f>
        <v>0.455480311362055</v>
      </c>
      <c r="Q1180" s="0" t="n">
        <f aca="true">RAND()</f>
        <v>0.170587408472341</v>
      </c>
      <c r="R1180" s="0" t="n">
        <f aca="false">IF($I1180&lt;&gt;$O1180,0,IF(P1180&lt;Matchup!$B$39,7,IF(P1180&lt;Matchup!$B$39+Matchup!$B$40,3,0)))</f>
        <v>0</v>
      </c>
      <c r="S1180" s="0" t="n">
        <f aca="false">IF($I1180&lt;&gt;$O1180,0,IF(Q1180&lt;Matchup!$C$39,7,IF(Q1180&lt;Matchup!$C$39+Matchup!$C$40,3,0)))</f>
        <v>0</v>
      </c>
      <c r="T1180" s="0" t="n">
        <f aca="false">I1180+R1180</f>
        <v>24</v>
      </c>
      <c r="U1180" s="0" t="n">
        <f aca="false">O1180+S1180</f>
        <v>23</v>
      </c>
      <c r="V1180" s="0" t="n">
        <f aca="false">T1180-U1180</f>
        <v>1</v>
      </c>
      <c r="W1180" s="0" t="n">
        <f aca="false">T1180+U1180</f>
        <v>47</v>
      </c>
    </row>
    <row r="1181" customFormat="false" ht="15" hidden="false" customHeight="false" outlineLevel="0" collapsed="false">
      <c r="A1181" s="0" t="n">
        <v>1178</v>
      </c>
      <c r="B1181" s="0" t="n">
        <f aca="true">NORMINV(RAND(),1,Coefficients!$B$22)</f>
        <v>1.04936733117421</v>
      </c>
      <c r="C1181" s="0" t="n">
        <f aca="true">MEDIAN(8,16,ROUND(NORMINV(RAND(),Coefficients!$B$20,Coefficients!$B$21),0))</f>
        <v>10</v>
      </c>
      <c r="D1181" s="0" t="n">
        <f aca="true">CRITBINOM($C1181,MIN(0.75,Matchup!$B$39*$B1181),RAND())</f>
        <v>1</v>
      </c>
      <c r="E1181" s="0" t="n">
        <f aca="true">CRITBINOM(D1181,Coefficients!$B$30,RAND())</f>
        <v>0</v>
      </c>
      <c r="F1181" s="0" t="n">
        <f aca="true">CRITBINOM(E1181,Coefficients!$B$31,RAND())</f>
        <v>0</v>
      </c>
      <c r="G1181" s="0" t="n">
        <f aca="true">CRITBINOM(MAX(0,D1181-E1181),1-Coefficients!$B$32,RAND())</f>
        <v>0</v>
      </c>
      <c r="H1181" s="0" t="n">
        <f aca="true">CRITBINOM(MAX(0,$C1181-D1181),MIN(0.6,Matchup!$B$40*SQRT($B1181)/(1-MIN(0.75,Matchup!$B$39*$B1181))),RAND())</f>
        <v>1</v>
      </c>
      <c r="I1181" s="0" t="n">
        <f aca="false">6*D1181+(D1181-E1181-G1181)+2*F1181+3*H1181</f>
        <v>10</v>
      </c>
      <c r="J1181" s="0" t="n">
        <f aca="true">CRITBINOM($C1181,MIN(0.75,Matchup!$C$39*$B1181),RAND())</f>
        <v>1</v>
      </c>
      <c r="K1181" s="0" t="n">
        <f aca="true">CRITBINOM(J1181,Coefficients!$B$30,RAND())</f>
        <v>0</v>
      </c>
      <c r="L1181" s="0" t="n">
        <f aca="true">CRITBINOM(K1181,Coefficients!$B$31,RAND())</f>
        <v>0</v>
      </c>
      <c r="M1181" s="0" t="n">
        <f aca="true">CRITBINOM(MAX(0,J1181-K1181),1-Coefficients!$B$32,RAND())</f>
        <v>0</v>
      </c>
      <c r="N1181" s="0" t="n">
        <f aca="true">CRITBINOM(MAX(0,$C1181-J1181),MIN(0.6,Matchup!$C$40*SQRT($B1181)/(1-MIN(0.75,Matchup!$C$39*$B1181))),RAND())</f>
        <v>4</v>
      </c>
      <c r="O1181" s="0" t="n">
        <f aca="false">6*J1181+(J1181-K1181-M1181)+2*L1181+3*N1181</f>
        <v>19</v>
      </c>
      <c r="P1181" s="0" t="n">
        <f aca="true">RAND()</f>
        <v>0.403341128274619</v>
      </c>
      <c r="Q1181" s="0" t="n">
        <f aca="true">RAND()</f>
        <v>0.55285863365567</v>
      </c>
      <c r="R1181" s="0" t="n">
        <f aca="false">IF($I1181&lt;&gt;$O1181,0,IF(P1181&lt;Matchup!$B$39,7,IF(P1181&lt;Matchup!$B$39+Matchup!$B$40,3,0)))</f>
        <v>0</v>
      </c>
      <c r="S1181" s="0" t="n">
        <f aca="false">IF($I1181&lt;&gt;$O1181,0,IF(Q1181&lt;Matchup!$C$39,7,IF(Q1181&lt;Matchup!$C$39+Matchup!$C$40,3,0)))</f>
        <v>0</v>
      </c>
      <c r="T1181" s="0" t="n">
        <f aca="false">I1181+R1181</f>
        <v>10</v>
      </c>
      <c r="U1181" s="0" t="n">
        <f aca="false">O1181+S1181</f>
        <v>19</v>
      </c>
      <c r="V1181" s="0" t="n">
        <f aca="false">T1181-U1181</f>
        <v>-9</v>
      </c>
      <c r="W1181" s="0" t="n">
        <f aca="false">T1181+U1181</f>
        <v>29</v>
      </c>
    </row>
    <row r="1182" customFormat="false" ht="15" hidden="false" customHeight="false" outlineLevel="0" collapsed="false">
      <c r="A1182" s="0" t="n">
        <v>1179</v>
      </c>
      <c r="B1182" s="0" t="n">
        <f aca="true">NORMINV(RAND(),1,Coefficients!$B$22)</f>
        <v>1.07918902558454</v>
      </c>
      <c r="C1182" s="0" t="n">
        <f aca="true">MEDIAN(8,16,ROUND(NORMINV(RAND(),Coefficients!$B$20,Coefficients!$B$21),0))</f>
        <v>13</v>
      </c>
      <c r="D1182" s="0" t="n">
        <f aca="true">CRITBINOM($C1182,MIN(0.75,Matchup!$B$39*$B1182),RAND())</f>
        <v>5</v>
      </c>
      <c r="E1182" s="0" t="n">
        <f aca="true">CRITBINOM(D1182,Coefficients!$B$30,RAND())</f>
        <v>0</v>
      </c>
      <c r="F1182" s="0" t="n">
        <f aca="true">CRITBINOM(E1182,Coefficients!$B$31,RAND())</f>
        <v>0</v>
      </c>
      <c r="G1182" s="0" t="n">
        <f aca="true">CRITBINOM(MAX(0,D1182-E1182),1-Coefficients!$B$32,RAND())</f>
        <v>0</v>
      </c>
      <c r="H1182" s="0" t="n">
        <f aca="true">CRITBINOM(MAX(0,$C1182-D1182),MIN(0.6,Matchup!$B$40*SQRT($B1182)/(1-MIN(0.75,Matchup!$B$39*$B1182))),RAND())</f>
        <v>2</v>
      </c>
      <c r="I1182" s="0" t="n">
        <f aca="false">6*D1182+(D1182-E1182-G1182)+2*F1182+3*H1182</f>
        <v>41</v>
      </c>
      <c r="J1182" s="0" t="n">
        <f aca="true">CRITBINOM($C1182,MIN(0.75,Matchup!$C$39*$B1182),RAND())</f>
        <v>3</v>
      </c>
      <c r="K1182" s="0" t="n">
        <f aca="true">CRITBINOM(J1182,Coefficients!$B$30,RAND())</f>
        <v>0</v>
      </c>
      <c r="L1182" s="0" t="n">
        <f aca="true">CRITBINOM(K1182,Coefficients!$B$31,RAND())</f>
        <v>0</v>
      </c>
      <c r="M1182" s="0" t="n">
        <f aca="true">CRITBINOM(MAX(0,J1182-K1182),1-Coefficients!$B$32,RAND())</f>
        <v>0</v>
      </c>
      <c r="N1182" s="0" t="n">
        <f aca="true">CRITBINOM(MAX(0,$C1182-J1182),MIN(0.6,Matchup!$C$40*SQRT($B1182)/(1-MIN(0.75,Matchup!$C$39*$B1182))),RAND())</f>
        <v>2</v>
      </c>
      <c r="O1182" s="0" t="n">
        <f aca="false">6*J1182+(J1182-K1182-M1182)+2*L1182+3*N1182</f>
        <v>27</v>
      </c>
      <c r="P1182" s="0" t="n">
        <f aca="true">RAND()</f>
        <v>0.93236596722393</v>
      </c>
      <c r="Q1182" s="0" t="n">
        <f aca="true">RAND()</f>
        <v>0.259128307954036</v>
      </c>
      <c r="R1182" s="0" t="n">
        <f aca="false">IF($I1182&lt;&gt;$O1182,0,IF(P1182&lt;Matchup!$B$39,7,IF(P1182&lt;Matchup!$B$39+Matchup!$B$40,3,0)))</f>
        <v>0</v>
      </c>
      <c r="S1182" s="0" t="n">
        <f aca="false">IF($I1182&lt;&gt;$O1182,0,IF(Q1182&lt;Matchup!$C$39,7,IF(Q1182&lt;Matchup!$C$39+Matchup!$C$40,3,0)))</f>
        <v>0</v>
      </c>
      <c r="T1182" s="0" t="n">
        <f aca="false">I1182+R1182</f>
        <v>41</v>
      </c>
      <c r="U1182" s="0" t="n">
        <f aca="false">O1182+S1182</f>
        <v>27</v>
      </c>
      <c r="V1182" s="0" t="n">
        <f aca="false">T1182-U1182</f>
        <v>14</v>
      </c>
      <c r="W1182" s="0" t="n">
        <f aca="false">T1182+U1182</f>
        <v>68</v>
      </c>
    </row>
    <row r="1183" customFormat="false" ht="15" hidden="false" customHeight="false" outlineLevel="0" collapsed="false">
      <c r="A1183" s="0" t="n">
        <v>1180</v>
      </c>
      <c r="B1183" s="0" t="n">
        <f aca="true">NORMINV(RAND(),1,Coefficients!$B$22)</f>
        <v>1.10783507285259</v>
      </c>
      <c r="C1183" s="0" t="n">
        <f aca="true">MEDIAN(8,16,ROUND(NORMINV(RAND(),Coefficients!$B$20,Coefficients!$B$21),0))</f>
        <v>12</v>
      </c>
      <c r="D1183" s="0" t="n">
        <f aca="true">CRITBINOM($C1183,MIN(0.75,Matchup!$B$39*$B1183),RAND())</f>
        <v>2</v>
      </c>
      <c r="E1183" s="0" t="n">
        <f aca="true">CRITBINOM(D1183,Coefficients!$B$30,RAND())</f>
        <v>0</v>
      </c>
      <c r="F1183" s="0" t="n">
        <f aca="true">CRITBINOM(E1183,Coefficients!$B$31,RAND())</f>
        <v>0</v>
      </c>
      <c r="G1183" s="0" t="n">
        <f aca="true">CRITBINOM(MAX(0,D1183-E1183),1-Coefficients!$B$32,RAND())</f>
        <v>0</v>
      </c>
      <c r="H1183" s="0" t="n">
        <f aca="true">CRITBINOM(MAX(0,$C1183-D1183),MIN(0.6,Matchup!$B$40*SQRT($B1183)/(1-MIN(0.75,Matchup!$B$39*$B1183))),RAND())</f>
        <v>0</v>
      </c>
      <c r="I1183" s="0" t="n">
        <f aca="false">6*D1183+(D1183-E1183-G1183)+2*F1183+3*H1183</f>
        <v>14</v>
      </c>
      <c r="J1183" s="0" t="n">
        <f aca="true">CRITBINOM($C1183,MIN(0.75,Matchup!$C$39*$B1183),RAND())</f>
        <v>2</v>
      </c>
      <c r="K1183" s="0" t="n">
        <f aca="true">CRITBINOM(J1183,Coefficients!$B$30,RAND())</f>
        <v>0</v>
      </c>
      <c r="L1183" s="0" t="n">
        <f aca="true">CRITBINOM(K1183,Coefficients!$B$31,RAND())</f>
        <v>0</v>
      </c>
      <c r="M1183" s="0" t="n">
        <f aca="true">CRITBINOM(MAX(0,J1183-K1183),1-Coefficients!$B$32,RAND())</f>
        <v>0</v>
      </c>
      <c r="N1183" s="0" t="n">
        <f aca="true">CRITBINOM(MAX(0,$C1183-J1183),MIN(0.6,Matchup!$C$40*SQRT($B1183)/(1-MIN(0.75,Matchup!$C$39*$B1183))),RAND())</f>
        <v>2</v>
      </c>
      <c r="O1183" s="0" t="n">
        <f aca="false">6*J1183+(J1183-K1183-M1183)+2*L1183+3*N1183</f>
        <v>20</v>
      </c>
      <c r="P1183" s="0" t="n">
        <f aca="true">RAND()</f>
        <v>0.859609293278804</v>
      </c>
      <c r="Q1183" s="0" t="n">
        <f aca="true">RAND()</f>
        <v>0.28370386441943</v>
      </c>
      <c r="R1183" s="0" t="n">
        <f aca="false">IF($I1183&lt;&gt;$O1183,0,IF(P1183&lt;Matchup!$B$39,7,IF(P1183&lt;Matchup!$B$39+Matchup!$B$40,3,0)))</f>
        <v>0</v>
      </c>
      <c r="S1183" s="0" t="n">
        <f aca="false">IF($I1183&lt;&gt;$O1183,0,IF(Q1183&lt;Matchup!$C$39,7,IF(Q1183&lt;Matchup!$C$39+Matchup!$C$40,3,0)))</f>
        <v>0</v>
      </c>
      <c r="T1183" s="0" t="n">
        <f aca="false">I1183+R1183</f>
        <v>14</v>
      </c>
      <c r="U1183" s="0" t="n">
        <f aca="false">O1183+S1183</f>
        <v>20</v>
      </c>
      <c r="V1183" s="0" t="n">
        <f aca="false">T1183-U1183</f>
        <v>-6</v>
      </c>
      <c r="W1183" s="0" t="n">
        <f aca="false">T1183+U1183</f>
        <v>34</v>
      </c>
    </row>
    <row r="1184" customFormat="false" ht="15" hidden="false" customHeight="false" outlineLevel="0" collapsed="false">
      <c r="A1184" s="0" t="n">
        <v>1181</v>
      </c>
      <c r="B1184" s="0" t="n">
        <f aca="true">NORMINV(RAND(),1,Coefficients!$B$22)</f>
        <v>0.930055729480351</v>
      </c>
      <c r="C1184" s="0" t="n">
        <f aca="true">MEDIAN(8,16,ROUND(NORMINV(RAND(),Coefficients!$B$20,Coefficients!$B$21),0))</f>
        <v>13</v>
      </c>
      <c r="D1184" s="0" t="n">
        <f aca="true">CRITBINOM($C1184,MIN(0.75,Matchup!$B$39*$B1184),RAND())</f>
        <v>2</v>
      </c>
      <c r="E1184" s="0" t="n">
        <f aca="true">CRITBINOM(D1184,Coefficients!$B$30,RAND())</f>
        <v>0</v>
      </c>
      <c r="F1184" s="0" t="n">
        <f aca="true">CRITBINOM(E1184,Coefficients!$B$31,RAND())</f>
        <v>0</v>
      </c>
      <c r="G1184" s="0" t="n">
        <f aca="true">CRITBINOM(MAX(0,D1184-E1184),1-Coefficients!$B$32,RAND())</f>
        <v>0</v>
      </c>
      <c r="H1184" s="0" t="n">
        <f aca="true">CRITBINOM(MAX(0,$C1184-D1184),MIN(0.6,Matchup!$B$40*SQRT($B1184)/(1-MIN(0.75,Matchup!$B$39*$B1184))),RAND())</f>
        <v>1</v>
      </c>
      <c r="I1184" s="0" t="n">
        <f aca="false">6*D1184+(D1184-E1184-G1184)+2*F1184+3*H1184</f>
        <v>17</v>
      </c>
      <c r="J1184" s="0" t="n">
        <f aca="true">CRITBINOM($C1184,MIN(0.75,Matchup!$C$39*$B1184),RAND())</f>
        <v>3</v>
      </c>
      <c r="K1184" s="0" t="n">
        <f aca="true">CRITBINOM(J1184,Coefficients!$B$30,RAND())</f>
        <v>0</v>
      </c>
      <c r="L1184" s="0" t="n">
        <f aca="true">CRITBINOM(K1184,Coefficients!$B$31,RAND())</f>
        <v>0</v>
      </c>
      <c r="M1184" s="0" t="n">
        <f aca="true">CRITBINOM(MAX(0,J1184-K1184),1-Coefficients!$B$32,RAND())</f>
        <v>0</v>
      </c>
      <c r="N1184" s="0" t="n">
        <f aca="true">CRITBINOM(MAX(0,$C1184-J1184),MIN(0.6,Matchup!$C$40*SQRT($B1184)/(1-MIN(0.75,Matchup!$C$39*$B1184))),RAND())</f>
        <v>3</v>
      </c>
      <c r="O1184" s="0" t="n">
        <f aca="false">6*J1184+(J1184-K1184-M1184)+2*L1184+3*N1184</f>
        <v>30</v>
      </c>
      <c r="P1184" s="0" t="n">
        <f aca="true">RAND()</f>
        <v>0.23695040398354</v>
      </c>
      <c r="Q1184" s="0" t="n">
        <f aca="true">RAND()</f>
        <v>0.521141076080292</v>
      </c>
      <c r="R1184" s="0" t="n">
        <f aca="false">IF($I1184&lt;&gt;$O1184,0,IF(P1184&lt;Matchup!$B$39,7,IF(P1184&lt;Matchup!$B$39+Matchup!$B$40,3,0)))</f>
        <v>0</v>
      </c>
      <c r="S1184" s="0" t="n">
        <f aca="false">IF($I1184&lt;&gt;$O1184,0,IF(Q1184&lt;Matchup!$C$39,7,IF(Q1184&lt;Matchup!$C$39+Matchup!$C$40,3,0)))</f>
        <v>0</v>
      </c>
      <c r="T1184" s="0" t="n">
        <f aca="false">I1184+R1184</f>
        <v>17</v>
      </c>
      <c r="U1184" s="0" t="n">
        <f aca="false">O1184+S1184</f>
        <v>30</v>
      </c>
      <c r="V1184" s="0" t="n">
        <f aca="false">T1184-U1184</f>
        <v>-13</v>
      </c>
      <c r="W1184" s="0" t="n">
        <f aca="false">T1184+U1184</f>
        <v>47</v>
      </c>
    </row>
    <row r="1185" customFormat="false" ht="15" hidden="false" customHeight="false" outlineLevel="0" collapsed="false">
      <c r="A1185" s="0" t="n">
        <v>1182</v>
      </c>
      <c r="B1185" s="0" t="n">
        <f aca="true">NORMINV(RAND(),1,Coefficients!$B$22)</f>
        <v>0.924195682093695</v>
      </c>
      <c r="C1185" s="0" t="n">
        <f aca="true">MEDIAN(8,16,ROUND(NORMINV(RAND(),Coefficients!$B$20,Coefficients!$B$21),0))</f>
        <v>10</v>
      </c>
      <c r="D1185" s="0" t="n">
        <f aca="true">CRITBINOM($C1185,MIN(0.75,Matchup!$B$39*$B1185),RAND())</f>
        <v>3</v>
      </c>
      <c r="E1185" s="0" t="n">
        <f aca="true">CRITBINOM(D1185,Coefficients!$B$30,RAND())</f>
        <v>0</v>
      </c>
      <c r="F1185" s="0" t="n">
        <f aca="true">CRITBINOM(E1185,Coefficients!$B$31,RAND())</f>
        <v>0</v>
      </c>
      <c r="G1185" s="0" t="n">
        <f aca="true">CRITBINOM(MAX(0,D1185-E1185),1-Coefficients!$B$32,RAND())</f>
        <v>0</v>
      </c>
      <c r="H1185" s="0" t="n">
        <f aca="true">CRITBINOM(MAX(0,$C1185-D1185),MIN(0.6,Matchup!$B$40*SQRT($B1185)/(1-MIN(0.75,Matchup!$B$39*$B1185))),RAND())</f>
        <v>3</v>
      </c>
      <c r="I1185" s="0" t="n">
        <f aca="false">6*D1185+(D1185-E1185-G1185)+2*F1185+3*H1185</f>
        <v>30</v>
      </c>
      <c r="J1185" s="0" t="n">
        <f aca="true">CRITBINOM($C1185,MIN(0.75,Matchup!$C$39*$B1185),RAND())</f>
        <v>1</v>
      </c>
      <c r="K1185" s="0" t="n">
        <f aca="true">CRITBINOM(J1185,Coefficients!$B$30,RAND())</f>
        <v>0</v>
      </c>
      <c r="L1185" s="0" t="n">
        <f aca="true">CRITBINOM(K1185,Coefficients!$B$31,RAND())</f>
        <v>0</v>
      </c>
      <c r="M1185" s="0" t="n">
        <f aca="true">CRITBINOM(MAX(0,J1185-K1185),1-Coefficients!$B$32,RAND())</f>
        <v>0</v>
      </c>
      <c r="N1185" s="0" t="n">
        <f aca="true">CRITBINOM(MAX(0,$C1185-J1185),MIN(0.6,Matchup!$C$40*SQRT($B1185)/(1-MIN(0.75,Matchup!$C$39*$B1185))),RAND())</f>
        <v>4</v>
      </c>
      <c r="O1185" s="0" t="n">
        <f aca="false">6*J1185+(J1185-K1185-M1185)+2*L1185+3*N1185</f>
        <v>19</v>
      </c>
      <c r="P1185" s="0" t="n">
        <f aca="true">RAND()</f>
        <v>0.245204152633907</v>
      </c>
      <c r="Q1185" s="0" t="n">
        <f aca="true">RAND()</f>
        <v>0.0496164983376191</v>
      </c>
      <c r="R1185" s="0" t="n">
        <f aca="false">IF($I1185&lt;&gt;$O1185,0,IF(P1185&lt;Matchup!$B$39,7,IF(P1185&lt;Matchup!$B$39+Matchup!$B$40,3,0)))</f>
        <v>0</v>
      </c>
      <c r="S1185" s="0" t="n">
        <f aca="false">IF($I1185&lt;&gt;$O1185,0,IF(Q1185&lt;Matchup!$C$39,7,IF(Q1185&lt;Matchup!$C$39+Matchup!$C$40,3,0)))</f>
        <v>0</v>
      </c>
      <c r="T1185" s="0" t="n">
        <f aca="false">I1185+R1185</f>
        <v>30</v>
      </c>
      <c r="U1185" s="0" t="n">
        <f aca="false">O1185+S1185</f>
        <v>19</v>
      </c>
      <c r="V1185" s="0" t="n">
        <f aca="false">T1185-U1185</f>
        <v>11</v>
      </c>
      <c r="W1185" s="0" t="n">
        <f aca="false">T1185+U1185</f>
        <v>49</v>
      </c>
    </row>
    <row r="1186" customFormat="false" ht="15" hidden="false" customHeight="false" outlineLevel="0" collapsed="false">
      <c r="A1186" s="0" t="n">
        <v>1183</v>
      </c>
      <c r="B1186" s="0" t="n">
        <f aca="true">NORMINV(RAND(),1,Coefficients!$B$22)</f>
        <v>0.967560685073978</v>
      </c>
      <c r="C1186" s="0" t="n">
        <f aca="true">MEDIAN(8,16,ROUND(NORMINV(RAND(),Coefficients!$B$20,Coefficients!$B$21),0))</f>
        <v>13</v>
      </c>
      <c r="D1186" s="0" t="n">
        <f aca="true">CRITBINOM($C1186,MIN(0.75,Matchup!$B$39*$B1186),RAND())</f>
        <v>1</v>
      </c>
      <c r="E1186" s="0" t="n">
        <f aca="true">CRITBINOM(D1186,Coefficients!$B$30,RAND())</f>
        <v>0</v>
      </c>
      <c r="F1186" s="0" t="n">
        <f aca="true">CRITBINOM(E1186,Coefficients!$B$31,RAND())</f>
        <v>0</v>
      </c>
      <c r="G1186" s="0" t="n">
        <f aca="true">CRITBINOM(MAX(0,D1186-E1186),1-Coefficients!$B$32,RAND())</f>
        <v>0</v>
      </c>
      <c r="H1186" s="0" t="n">
        <f aca="true">CRITBINOM(MAX(0,$C1186-D1186),MIN(0.6,Matchup!$B$40*SQRT($B1186)/(1-MIN(0.75,Matchup!$B$39*$B1186))),RAND())</f>
        <v>4</v>
      </c>
      <c r="I1186" s="0" t="n">
        <f aca="false">6*D1186+(D1186-E1186-G1186)+2*F1186+3*H1186</f>
        <v>19</v>
      </c>
      <c r="J1186" s="0" t="n">
        <f aca="true">CRITBINOM($C1186,MIN(0.75,Matchup!$C$39*$B1186),RAND())</f>
        <v>5</v>
      </c>
      <c r="K1186" s="0" t="n">
        <f aca="true">CRITBINOM(J1186,Coefficients!$B$30,RAND())</f>
        <v>0</v>
      </c>
      <c r="L1186" s="0" t="n">
        <f aca="true">CRITBINOM(K1186,Coefficients!$B$31,RAND())</f>
        <v>0</v>
      </c>
      <c r="M1186" s="0" t="n">
        <f aca="true">CRITBINOM(MAX(0,J1186-K1186),1-Coefficients!$B$32,RAND())</f>
        <v>1</v>
      </c>
      <c r="N1186" s="0" t="n">
        <f aca="true">CRITBINOM(MAX(0,$C1186-J1186),MIN(0.6,Matchup!$C$40*SQRT($B1186)/(1-MIN(0.75,Matchup!$C$39*$B1186))),RAND())</f>
        <v>3</v>
      </c>
      <c r="O1186" s="0" t="n">
        <f aca="false">6*J1186+(J1186-K1186-M1186)+2*L1186+3*N1186</f>
        <v>43</v>
      </c>
      <c r="P1186" s="0" t="n">
        <f aca="true">RAND()</f>
        <v>0.0450470952939294</v>
      </c>
      <c r="Q1186" s="0" t="n">
        <f aca="true">RAND()</f>
        <v>0.411007859212044</v>
      </c>
      <c r="R1186" s="0" t="n">
        <f aca="false">IF($I1186&lt;&gt;$O1186,0,IF(P1186&lt;Matchup!$B$39,7,IF(P1186&lt;Matchup!$B$39+Matchup!$B$40,3,0)))</f>
        <v>0</v>
      </c>
      <c r="S1186" s="0" t="n">
        <f aca="false">IF($I1186&lt;&gt;$O1186,0,IF(Q1186&lt;Matchup!$C$39,7,IF(Q1186&lt;Matchup!$C$39+Matchup!$C$40,3,0)))</f>
        <v>0</v>
      </c>
      <c r="T1186" s="0" t="n">
        <f aca="false">I1186+R1186</f>
        <v>19</v>
      </c>
      <c r="U1186" s="0" t="n">
        <f aca="false">O1186+S1186</f>
        <v>43</v>
      </c>
      <c r="V1186" s="0" t="n">
        <f aca="false">T1186-U1186</f>
        <v>-24</v>
      </c>
      <c r="W1186" s="0" t="n">
        <f aca="false">T1186+U1186</f>
        <v>62</v>
      </c>
    </row>
    <row r="1187" customFormat="false" ht="15" hidden="false" customHeight="false" outlineLevel="0" collapsed="false">
      <c r="A1187" s="0" t="n">
        <v>1184</v>
      </c>
      <c r="B1187" s="0" t="n">
        <f aca="true">NORMINV(RAND(),1,Coefficients!$B$22)</f>
        <v>1.04909632592861</v>
      </c>
      <c r="C1187" s="0" t="n">
        <f aca="true">MEDIAN(8,16,ROUND(NORMINV(RAND(),Coefficients!$B$20,Coefficients!$B$21),0))</f>
        <v>13</v>
      </c>
      <c r="D1187" s="0" t="n">
        <f aca="true">CRITBINOM($C1187,MIN(0.75,Matchup!$B$39*$B1187),RAND())</f>
        <v>4</v>
      </c>
      <c r="E1187" s="0" t="n">
        <f aca="true">CRITBINOM(D1187,Coefficients!$B$30,RAND())</f>
        <v>0</v>
      </c>
      <c r="F1187" s="0" t="n">
        <f aca="true">CRITBINOM(E1187,Coefficients!$B$31,RAND())</f>
        <v>0</v>
      </c>
      <c r="G1187" s="0" t="n">
        <f aca="true">CRITBINOM(MAX(0,D1187-E1187),1-Coefficients!$B$32,RAND())</f>
        <v>0</v>
      </c>
      <c r="H1187" s="0" t="n">
        <f aca="true">CRITBINOM(MAX(0,$C1187-D1187),MIN(0.6,Matchup!$B$40*SQRT($B1187)/(1-MIN(0.75,Matchup!$B$39*$B1187))),RAND())</f>
        <v>0</v>
      </c>
      <c r="I1187" s="0" t="n">
        <f aca="false">6*D1187+(D1187-E1187-G1187)+2*F1187+3*H1187</f>
        <v>28</v>
      </c>
      <c r="J1187" s="0" t="n">
        <f aca="true">CRITBINOM($C1187,MIN(0.75,Matchup!$C$39*$B1187),RAND())</f>
        <v>6</v>
      </c>
      <c r="K1187" s="0" t="n">
        <f aca="true">CRITBINOM(J1187,Coefficients!$B$30,RAND())</f>
        <v>1</v>
      </c>
      <c r="L1187" s="0" t="n">
        <f aca="true">CRITBINOM(K1187,Coefficients!$B$31,RAND())</f>
        <v>0</v>
      </c>
      <c r="M1187" s="0" t="n">
        <f aca="true">CRITBINOM(MAX(0,J1187-K1187),1-Coefficients!$B$32,RAND())</f>
        <v>0</v>
      </c>
      <c r="N1187" s="0" t="n">
        <f aca="true">CRITBINOM(MAX(0,$C1187-J1187),MIN(0.6,Matchup!$C$40*SQRT($B1187)/(1-MIN(0.75,Matchup!$C$39*$B1187))),RAND())</f>
        <v>2</v>
      </c>
      <c r="O1187" s="0" t="n">
        <f aca="false">6*J1187+(J1187-K1187-M1187)+2*L1187+3*N1187</f>
        <v>47</v>
      </c>
      <c r="P1187" s="0" t="n">
        <f aca="true">RAND()</f>
        <v>0.846997397711009</v>
      </c>
      <c r="Q1187" s="0" t="n">
        <f aca="true">RAND()</f>
        <v>0.128259201625007</v>
      </c>
      <c r="R1187" s="0" t="n">
        <f aca="false">IF($I1187&lt;&gt;$O1187,0,IF(P1187&lt;Matchup!$B$39,7,IF(P1187&lt;Matchup!$B$39+Matchup!$B$40,3,0)))</f>
        <v>0</v>
      </c>
      <c r="S1187" s="0" t="n">
        <f aca="false">IF($I1187&lt;&gt;$O1187,0,IF(Q1187&lt;Matchup!$C$39,7,IF(Q1187&lt;Matchup!$C$39+Matchup!$C$40,3,0)))</f>
        <v>0</v>
      </c>
      <c r="T1187" s="0" t="n">
        <f aca="false">I1187+R1187</f>
        <v>28</v>
      </c>
      <c r="U1187" s="0" t="n">
        <f aca="false">O1187+S1187</f>
        <v>47</v>
      </c>
      <c r="V1187" s="0" t="n">
        <f aca="false">T1187-U1187</f>
        <v>-19</v>
      </c>
      <c r="W1187" s="0" t="n">
        <f aca="false">T1187+U1187</f>
        <v>75</v>
      </c>
    </row>
    <row r="1188" customFormat="false" ht="15" hidden="false" customHeight="false" outlineLevel="0" collapsed="false">
      <c r="A1188" s="0" t="n">
        <v>1185</v>
      </c>
      <c r="B1188" s="0" t="n">
        <f aca="true">NORMINV(RAND(),1,Coefficients!$B$22)</f>
        <v>0.936923487274855</v>
      </c>
      <c r="C1188" s="0" t="n">
        <f aca="true">MEDIAN(8,16,ROUND(NORMINV(RAND(),Coefficients!$B$20,Coefficients!$B$21),0))</f>
        <v>10</v>
      </c>
      <c r="D1188" s="0" t="n">
        <f aca="true">CRITBINOM($C1188,MIN(0.75,Matchup!$B$39*$B1188),RAND())</f>
        <v>3</v>
      </c>
      <c r="E1188" s="0" t="n">
        <f aca="true">CRITBINOM(D1188,Coefficients!$B$30,RAND())</f>
        <v>0</v>
      </c>
      <c r="F1188" s="0" t="n">
        <f aca="true">CRITBINOM(E1188,Coefficients!$B$31,RAND())</f>
        <v>0</v>
      </c>
      <c r="G1188" s="0" t="n">
        <f aca="true">CRITBINOM(MAX(0,D1188-E1188),1-Coefficients!$B$32,RAND())</f>
        <v>0</v>
      </c>
      <c r="H1188" s="0" t="n">
        <f aca="true">CRITBINOM(MAX(0,$C1188-D1188),MIN(0.6,Matchup!$B$40*SQRT($B1188)/(1-MIN(0.75,Matchup!$B$39*$B1188))),RAND())</f>
        <v>1</v>
      </c>
      <c r="I1188" s="0" t="n">
        <f aca="false">6*D1188+(D1188-E1188-G1188)+2*F1188+3*H1188</f>
        <v>24</v>
      </c>
      <c r="J1188" s="0" t="n">
        <f aca="true">CRITBINOM($C1188,MIN(0.75,Matchup!$C$39*$B1188),RAND())</f>
        <v>3</v>
      </c>
      <c r="K1188" s="0" t="n">
        <f aca="true">CRITBINOM(J1188,Coefficients!$B$30,RAND())</f>
        <v>0</v>
      </c>
      <c r="L1188" s="0" t="n">
        <f aca="true">CRITBINOM(K1188,Coefficients!$B$31,RAND())</f>
        <v>0</v>
      </c>
      <c r="M1188" s="0" t="n">
        <f aca="true">CRITBINOM(MAX(0,J1188-K1188),1-Coefficients!$B$32,RAND())</f>
        <v>0</v>
      </c>
      <c r="N1188" s="0" t="n">
        <f aca="true">CRITBINOM(MAX(0,$C1188-J1188),MIN(0.6,Matchup!$C$40*SQRT($B1188)/(1-MIN(0.75,Matchup!$C$39*$B1188))),RAND())</f>
        <v>1</v>
      </c>
      <c r="O1188" s="0" t="n">
        <f aca="false">6*J1188+(J1188-K1188-M1188)+2*L1188+3*N1188</f>
        <v>24</v>
      </c>
      <c r="P1188" s="0" t="n">
        <f aca="true">RAND()</f>
        <v>0.338555479130717</v>
      </c>
      <c r="Q1188" s="0" t="n">
        <f aca="true">RAND()</f>
        <v>0.339300801021143</v>
      </c>
      <c r="R1188" s="0" t="n">
        <f aca="false">IF($I1188&lt;&gt;$O1188,0,IF(P1188&lt;Matchup!$B$39,7,IF(P1188&lt;Matchup!$B$39+Matchup!$B$40,3,0)))</f>
        <v>3</v>
      </c>
      <c r="S1188" s="0" t="n">
        <f aca="false">IF($I1188&lt;&gt;$O1188,0,IF(Q1188&lt;Matchup!$C$39,7,IF(Q1188&lt;Matchup!$C$39+Matchup!$C$40,3,0)))</f>
        <v>3</v>
      </c>
      <c r="T1188" s="0" t="n">
        <f aca="false">I1188+R1188</f>
        <v>27</v>
      </c>
      <c r="U1188" s="0" t="n">
        <f aca="false">O1188+S1188</f>
        <v>27</v>
      </c>
      <c r="V1188" s="0" t="n">
        <f aca="false">T1188-U1188</f>
        <v>0</v>
      </c>
      <c r="W1188" s="0" t="n">
        <f aca="false">T1188+U1188</f>
        <v>54</v>
      </c>
    </row>
    <row r="1189" customFormat="false" ht="15" hidden="false" customHeight="false" outlineLevel="0" collapsed="false">
      <c r="A1189" s="0" t="n">
        <v>1186</v>
      </c>
      <c r="B1189" s="0" t="n">
        <f aca="true">NORMINV(RAND(),1,Coefficients!$B$22)</f>
        <v>0.995625892927312</v>
      </c>
      <c r="C1189" s="0" t="n">
        <f aca="true">MEDIAN(8,16,ROUND(NORMINV(RAND(),Coefficients!$B$20,Coefficients!$B$21),0))</f>
        <v>13</v>
      </c>
      <c r="D1189" s="0" t="n">
        <f aca="true">CRITBINOM($C1189,MIN(0.75,Matchup!$B$39*$B1189),RAND())</f>
        <v>3</v>
      </c>
      <c r="E1189" s="0" t="n">
        <f aca="true">CRITBINOM(D1189,Coefficients!$B$30,RAND())</f>
        <v>0</v>
      </c>
      <c r="F1189" s="0" t="n">
        <f aca="true">CRITBINOM(E1189,Coefficients!$B$31,RAND())</f>
        <v>0</v>
      </c>
      <c r="G1189" s="0" t="n">
        <f aca="true">CRITBINOM(MAX(0,D1189-E1189),1-Coefficients!$B$32,RAND())</f>
        <v>0</v>
      </c>
      <c r="H1189" s="0" t="n">
        <f aca="true">CRITBINOM(MAX(0,$C1189-D1189),MIN(0.6,Matchup!$B$40*SQRT($B1189)/(1-MIN(0.75,Matchup!$B$39*$B1189))),RAND())</f>
        <v>1</v>
      </c>
      <c r="I1189" s="0" t="n">
        <f aca="false">6*D1189+(D1189-E1189-G1189)+2*F1189+3*H1189</f>
        <v>24</v>
      </c>
      <c r="J1189" s="0" t="n">
        <f aca="true">CRITBINOM($C1189,MIN(0.75,Matchup!$C$39*$B1189),RAND())</f>
        <v>4</v>
      </c>
      <c r="K1189" s="0" t="n">
        <f aca="true">CRITBINOM(J1189,Coefficients!$B$30,RAND())</f>
        <v>0</v>
      </c>
      <c r="L1189" s="0" t="n">
        <f aca="true">CRITBINOM(K1189,Coefficients!$B$31,RAND())</f>
        <v>0</v>
      </c>
      <c r="M1189" s="0" t="n">
        <f aca="true">CRITBINOM(MAX(0,J1189-K1189),1-Coefficients!$B$32,RAND())</f>
        <v>0</v>
      </c>
      <c r="N1189" s="0" t="n">
        <f aca="true">CRITBINOM(MAX(0,$C1189-J1189),MIN(0.6,Matchup!$C$40*SQRT($B1189)/(1-MIN(0.75,Matchup!$C$39*$B1189))),RAND())</f>
        <v>0</v>
      </c>
      <c r="O1189" s="0" t="n">
        <f aca="false">6*J1189+(J1189-K1189-M1189)+2*L1189+3*N1189</f>
        <v>28</v>
      </c>
      <c r="P1189" s="0" t="n">
        <f aca="true">RAND()</f>
        <v>0.476303195802753</v>
      </c>
      <c r="Q1189" s="0" t="n">
        <f aca="true">RAND()</f>
        <v>0.132187860200649</v>
      </c>
      <c r="R1189" s="0" t="n">
        <f aca="false">IF($I1189&lt;&gt;$O1189,0,IF(P1189&lt;Matchup!$B$39,7,IF(P1189&lt;Matchup!$B$39+Matchup!$B$40,3,0)))</f>
        <v>0</v>
      </c>
      <c r="S1189" s="0" t="n">
        <f aca="false">IF($I1189&lt;&gt;$O1189,0,IF(Q1189&lt;Matchup!$C$39,7,IF(Q1189&lt;Matchup!$C$39+Matchup!$C$40,3,0)))</f>
        <v>0</v>
      </c>
      <c r="T1189" s="0" t="n">
        <f aca="false">I1189+R1189</f>
        <v>24</v>
      </c>
      <c r="U1189" s="0" t="n">
        <f aca="false">O1189+S1189</f>
        <v>28</v>
      </c>
      <c r="V1189" s="0" t="n">
        <f aca="false">T1189-U1189</f>
        <v>-4</v>
      </c>
      <c r="W1189" s="0" t="n">
        <f aca="false">T1189+U1189</f>
        <v>52</v>
      </c>
    </row>
    <row r="1190" customFormat="false" ht="15" hidden="false" customHeight="false" outlineLevel="0" collapsed="false">
      <c r="A1190" s="0" t="n">
        <v>1187</v>
      </c>
      <c r="B1190" s="0" t="n">
        <f aca="true">NORMINV(RAND(),1,Coefficients!$B$22)</f>
        <v>1.03626682454493</v>
      </c>
      <c r="C1190" s="0" t="n">
        <f aca="true">MEDIAN(8,16,ROUND(NORMINV(RAND(),Coefficients!$B$20,Coefficients!$B$21),0))</f>
        <v>12</v>
      </c>
      <c r="D1190" s="0" t="n">
        <f aca="true">CRITBINOM($C1190,MIN(0.75,Matchup!$B$39*$B1190),RAND())</f>
        <v>2</v>
      </c>
      <c r="E1190" s="0" t="n">
        <f aca="true">CRITBINOM(D1190,Coefficients!$B$30,RAND())</f>
        <v>0</v>
      </c>
      <c r="F1190" s="0" t="n">
        <f aca="true">CRITBINOM(E1190,Coefficients!$B$31,RAND())</f>
        <v>0</v>
      </c>
      <c r="G1190" s="0" t="n">
        <f aca="true">CRITBINOM(MAX(0,D1190-E1190),1-Coefficients!$B$32,RAND())</f>
        <v>0</v>
      </c>
      <c r="H1190" s="0" t="n">
        <f aca="true">CRITBINOM(MAX(0,$C1190-D1190),MIN(0.6,Matchup!$B$40*SQRT($B1190)/(1-MIN(0.75,Matchup!$B$39*$B1190))),RAND())</f>
        <v>1</v>
      </c>
      <c r="I1190" s="0" t="n">
        <f aca="false">6*D1190+(D1190-E1190-G1190)+2*F1190+3*H1190</f>
        <v>17</v>
      </c>
      <c r="J1190" s="0" t="n">
        <f aca="true">CRITBINOM($C1190,MIN(0.75,Matchup!$C$39*$B1190),RAND())</f>
        <v>2</v>
      </c>
      <c r="K1190" s="0" t="n">
        <f aca="true">CRITBINOM(J1190,Coefficients!$B$30,RAND())</f>
        <v>0</v>
      </c>
      <c r="L1190" s="0" t="n">
        <f aca="true">CRITBINOM(K1190,Coefficients!$B$31,RAND())</f>
        <v>0</v>
      </c>
      <c r="M1190" s="0" t="n">
        <f aca="true">CRITBINOM(MAX(0,J1190-K1190),1-Coefficients!$B$32,RAND())</f>
        <v>0</v>
      </c>
      <c r="N1190" s="0" t="n">
        <f aca="true">CRITBINOM(MAX(0,$C1190-J1190),MIN(0.6,Matchup!$C$40*SQRT($B1190)/(1-MIN(0.75,Matchup!$C$39*$B1190))),RAND())</f>
        <v>3</v>
      </c>
      <c r="O1190" s="0" t="n">
        <f aca="false">6*J1190+(J1190-K1190-M1190)+2*L1190+3*N1190</f>
        <v>23</v>
      </c>
      <c r="P1190" s="0" t="n">
        <f aca="true">RAND()</f>
        <v>0.534572281138631</v>
      </c>
      <c r="Q1190" s="0" t="n">
        <f aca="true">RAND()</f>
        <v>0.31917494199755</v>
      </c>
      <c r="R1190" s="0" t="n">
        <f aca="false">IF($I1190&lt;&gt;$O1190,0,IF(P1190&lt;Matchup!$B$39,7,IF(P1190&lt;Matchup!$B$39+Matchup!$B$40,3,0)))</f>
        <v>0</v>
      </c>
      <c r="S1190" s="0" t="n">
        <f aca="false">IF($I1190&lt;&gt;$O1190,0,IF(Q1190&lt;Matchup!$C$39,7,IF(Q1190&lt;Matchup!$C$39+Matchup!$C$40,3,0)))</f>
        <v>0</v>
      </c>
      <c r="T1190" s="0" t="n">
        <f aca="false">I1190+R1190</f>
        <v>17</v>
      </c>
      <c r="U1190" s="0" t="n">
        <f aca="false">O1190+S1190</f>
        <v>23</v>
      </c>
      <c r="V1190" s="0" t="n">
        <f aca="false">T1190-U1190</f>
        <v>-6</v>
      </c>
      <c r="W1190" s="0" t="n">
        <f aca="false">T1190+U1190</f>
        <v>40</v>
      </c>
    </row>
    <row r="1191" customFormat="false" ht="15" hidden="false" customHeight="false" outlineLevel="0" collapsed="false">
      <c r="A1191" s="0" t="n">
        <v>1188</v>
      </c>
      <c r="B1191" s="0" t="n">
        <f aca="true">NORMINV(RAND(),1,Coefficients!$B$22)</f>
        <v>0.927762196298863</v>
      </c>
      <c r="C1191" s="0" t="n">
        <f aca="true">MEDIAN(8,16,ROUND(NORMINV(RAND(),Coefficients!$B$20,Coefficients!$B$21),0))</f>
        <v>12</v>
      </c>
      <c r="D1191" s="0" t="n">
        <f aca="true">CRITBINOM($C1191,MIN(0.75,Matchup!$B$39*$B1191),RAND())</f>
        <v>2</v>
      </c>
      <c r="E1191" s="0" t="n">
        <f aca="true">CRITBINOM(D1191,Coefficients!$B$30,RAND())</f>
        <v>0</v>
      </c>
      <c r="F1191" s="0" t="n">
        <f aca="true">CRITBINOM(E1191,Coefficients!$B$31,RAND())</f>
        <v>0</v>
      </c>
      <c r="G1191" s="0" t="n">
        <f aca="true">CRITBINOM(MAX(0,D1191-E1191),1-Coefficients!$B$32,RAND())</f>
        <v>0</v>
      </c>
      <c r="H1191" s="0" t="n">
        <f aca="true">CRITBINOM(MAX(0,$C1191-D1191),MIN(0.6,Matchup!$B$40*SQRT($B1191)/(1-MIN(0.75,Matchup!$B$39*$B1191))),RAND())</f>
        <v>1</v>
      </c>
      <c r="I1191" s="0" t="n">
        <f aca="false">6*D1191+(D1191-E1191-G1191)+2*F1191+3*H1191</f>
        <v>17</v>
      </c>
      <c r="J1191" s="0" t="n">
        <f aca="true">CRITBINOM($C1191,MIN(0.75,Matchup!$C$39*$B1191),RAND())</f>
        <v>4</v>
      </c>
      <c r="K1191" s="0" t="n">
        <f aca="true">CRITBINOM(J1191,Coefficients!$B$30,RAND())</f>
        <v>1</v>
      </c>
      <c r="L1191" s="0" t="n">
        <f aca="true">CRITBINOM(K1191,Coefficients!$B$31,RAND())</f>
        <v>1</v>
      </c>
      <c r="M1191" s="0" t="n">
        <f aca="true">CRITBINOM(MAX(0,J1191-K1191),1-Coefficients!$B$32,RAND())</f>
        <v>0</v>
      </c>
      <c r="N1191" s="0" t="n">
        <f aca="true">CRITBINOM(MAX(0,$C1191-J1191),MIN(0.6,Matchup!$C$40*SQRT($B1191)/(1-MIN(0.75,Matchup!$C$39*$B1191))),RAND())</f>
        <v>4</v>
      </c>
      <c r="O1191" s="0" t="n">
        <f aca="false">6*J1191+(J1191-K1191-M1191)+2*L1191+3*N1191</f>
        <v>41</v>
      </c>
      <c r="P1191" s="0" t="n">
        <f aca="true">RAND()</f>
        <v>0.929852152841822</v>
      </c>
      <c r="Q1191" s="0" t="n">
        <f aca="true">RAND()</f>
        <v>0.864589025691732</v>
      </c>
      <c r="R1191" s="0" t="n">
        <f aca="false">IF($I1191&lt;&gt;$O1191,0,IF(P1191&lt;Matchup!$B$39,7,IF(P1191&lt;Matchup!$B$39+Matchup!$B$40,3,0)))</f>
        <v>0</v>
      </c>
      <c r="S1191" s="0" t="n">
        <f aca="false">IF($I1191&lt;&gt;$O1191,0,IF(Q1191&lt;Matchup!$C$39,7,IF(Q1191&lt;Matchup!$C$39+Matchup!$C$40,3,0)))</f>
        <v>0</v>
      </c>
      <c r="T1191" s="0" t="n">
        <f aca="false">I1191+R1191</f>
        <v>17</v>
      </c>
      <c r="U1191" s="0" t="n">
        <f aca="false">O1191+S1191</f>
        <v>41</v>
      </c>
      <c r="V1191" s="0" t="n">
        <f aca="false">T1191-U1191</f>
        <v>-24</v>
      </c>
      <c r="W1191" s="0" t="n">
        <f aca="false">T1191+U1191</f>
        <v>58</v>
      </c>
    </row>
    <row r="1192" customFormat="false" ht="15" hidden="false" customHeight="false" outlineLevel="0" collapsed="false">
      <c r="A1192" s="0" t="n">
        <v>1189</v>
      </c>
      <c r="B1192" s="0" t="n">
        <f aca="true">NORMINV(RAND(),1,Coefficients!$B$22)</f>
        <v>0.938574647857229</v>
      </c>
      <c r="C1192" s="0" t="n">
        <f aca="true">MEDIAN(8,16,ROUND(NORMINV(RAND(),Coefficients!$B$20,Coefficients!$B$21),0))</f>
        <v>11</v>
      </c>
      <c r="D1192" s="0" t="n">
        <f aca="true">CRITBINOM($C1192,MIN(0.75,Matchup!$B$39*$B1192),RAND())</f>
        <v>4</v>
      </c>
      <c r="E1192" s="0" t="n">
        <f aca="true">CRITBINOM(D1192,Coefficients!$B$30,RAND())</f>
        <v>1</v>
      </c>
      <c r="F1192" s="0" t="n">
        <f aca="true">CRITBINOM(E1192,Coefficients!$B$31,RAND())</f>
        <v>0</v>
      </c>
      <c r="G1192" s="0" t="n">
        <f aca="true">CRITBINOM(MAX(0,D1192-E1192),1-Coefficients!$B$32,RAND())</f>
        <v>0</v>
      </c>
      <c r="H1192" s="0" t="n">
        <f aca="true">CRITBINOM(MAX(0,$C1192-D1192),MIN(0.6,Matchup!$B$40*SQRT($B1192)/(1-MIN(0.75,Matchup!$B$39*$B1192))),RAND())</f>
        <v>1</v>
      </c>
      <c r="I1192" s="0" t="n">
        <f aca="false">6*D1192+(D1192-E1192-G1192)+2*F1192+3*H1192</f>
        <v>30</v>
      </c>
      <c r="J1192" s="0" t="n">
        <f aca="true">CRITBINOM($C1192,MIN(0.75,Matchup!$C$39*$B1192),RAND())</f>
        <v>2</v>
      </c>
      <c r="K1192" s="0" t="n">
        <f aca="true">CRITBINOM(J1192,Coefficients!$B$30,RAND())</f>
        <v>0</v>
      </c>
      <c r="L1192" s="0" t="n">
        <f aca="true">CRITBINOM(K1192,Coefficients!$B$31,RAND())</f>
        <v>0</v>
      </c>
      <c r="M1192" s="0" t="n">
        <f aca="true">CRITBINOM(MAX(0,J1192-K1192),1-Coefficients!$B$32,RAND())</f>
        <v>0</v>
      </c>
      <c r="N1192" s="0" t="n">
        <f aca="true">CRITBINOM(MAX(0,$C1192-J1192),MIN(0.6,Matchup!$C$40*SQRT($B1192)/(1-MIN(0.75,Matchup!$C$39*$B1192))),RAND())</f>
        <v>0</v>
      </c>
      <c r="O1192" s="0" t="n">
        <f aca="false">6*J1192+(J1192-K1192-M1192)+2*L1192+3*N1192</f>
        <v>14</v>
      </c>
      <c r="P1192" s="0" t="n">
        <f aca="true">RAND()</f>
        <v>0.377466917989626</v>
      </c>
      <c r="Q1192" s="0" t="n">
        <f aca="true">RAND()</f>
        <v>0.463040617206436</v>
      </c>
      <c r="R1192" s="0" t="n">
        <f aca="false">IF($I1192&lt;&gt;$O1192,0,IF(P1192&lt;Matchup!$B$39,7,IF(P1192&lt;Matchup!$B$39+Matchup!$B$40,3,0)))</f>
        <v>0</v>
      </c>
      <c r="S1192" s="0" t="n">
        <f aca="false">IF($I1192&lt;&gt;$O1192,0,IF(Q1192&lt;Matchup!$C$39,7,IF(Q1192&lt;Matchup!$C$39+Matchup!$C$40,3,0)))</f>
        <v>0</v>
      </c>
      <c r="T1192" s="0" t="n">
        <f aca="false">I1192+R1192</f>
        <v>30</v>
      </c>
      <c r="U1192" s="0" t="n">
        <f aca="false">O1192+S1192</f>
        <v>14</v>
      </c>
      <c r="V1192" s="0" t="n">
        <f aca="false">T1192-U1192</f>
        <v>16</v>
      </c>
      <c r="W1192" s="0" t="n">
        <f aca="false">T1192+U1192</f>
        <v>44</v>
      </c>
    </row>
    <row r="1193" customFormat="false" ht="15" hidden="false" customHeight="false" outlineLevel="0" collapsed="false">
      <c r="A1193" s="0" t="n">
        <v>1190</v>
      </c>
      <c r="B1193" s="0" t="n">
        <f aca="true">NORMINV(RAND(),1,Coefficients!$B$22)</f>
        <v>0.858863144158739</v>
      </c>
      <c r="C1193" s="0" t="n">
        <f aca="true">MEDIAN(8,16,ROUND(NORMINV(RAND(),Coefficients!$B$20,Coefficients!$B$21),0))</f>
        <v>12</v>
      </c>
      <c r="D1193" s="0" t="n">
        <f aca="true">CRITBINOM($C1193,MIN(0.75,Matchup!$B$39*$B1193),RAND())</f>
        <v>3</v>
      </c>
      <c r="E1193" s="0" t="n">
        <f aca="true">CRITBINOM(D1193,Coefficients!$B$30,RAND())</f>
        <v>0</v>
      </c>
      <c r="F1193" s="0" t="n">
        <f aca="true">CRITBINOM(E1193,Coefficients!$B$31,RAND())</f>
        <v>0</v>
      </c>
      <c r="G1193" s="0" t="n">
        <f aca="true">CRITBINOM(MAX(0,D1193-E1193),1-Coefficients!$B$32,RAND())</f>
        <v>0</v>
      </c>
      <c r="H1193" s="0" t="n">
        <f aca="true">CRITBINOM(MAX(0,$C1193-D1193),MIN(0.6,Matchup!$B$40*SQRT($B1193)/(1-MIN(0.75,Matchup!$B$39*$B1193))),RAND())</f>
        <v>2</v>
      </c>
      <c r="I1193" s="0" t="n">
        <f aca="false">6*D1193+(D1193-E1193-G1193)+2*F1193+3*H1193</f>
        <v>27</v>
      </c>
      <c r="J1193" s="0" t="n">
        <f aca="true">CRITBINOM($C1193,MIN(0.75,Matchup!$C$39*$B1193),RAND())</f>
        <v>2</v>
      </c>
      <c r="K1193" s="0" t="n">
        <f aca="true">CRITBINOM(J1193,Coefficients!$B$30,RAND())</f>
        <v>0</v>
      </c>
      <c r="L1193" s="0" t="n">
        <f aca="true">CRITBINOM(K1193,Coefficients!$B$31,RAND())</f>
        <v>0</v>
      </c>
      <c r="M1193" s="0" t="n">
        <f aca="true">CRITBINOM(MAX(0,J1193-K1193),1-Coefficients!$B$32,RAND())</f>
        <v>1</v>
      </c>
      <c r="N1193" s="0" t="n">
        <f aca="true">CRITBINOM(MAX(0,$C1193-J1193),MIN(0.6,Matchup!$C$40*SQRT($B1193)/(1-MIN(0.75,Matchup!$C$39*$B1193))),RAND())</f>
        <v>0</v>
      </c>
      <c r="O1193" s="0" t="n">
        <f aca="false">6*J1193+(J1193-K1193-M1193)+2*L1193+3*N1193</f>
        <v>13</v>
      </c>
      <c r="P1193" s="0" t="n">
        <f aca="true">RAND()</f>
        <v>0.80189305959524</v>
      </c>
      <c r="Q1193" s="0" t="n">
        <f aca="true">RAND()</f>
        <v>0.842804755596274</v>
      </c>
      <c r="R1193" s="0" t="n">
        <f aca="false">IF($I1193&lt;&gt;$O1193,0,IF(P1193&lt;Matchup!$B$39,7,IF(P1193&lt;Matchup!$B$39+Matchup!$B$40,3,0)))</f>
        <v>0</v>
      </c>
      <c r="S1193" s="0" t="n">
        <f aca="false">IF($I1193&lt;&gt;$O1193,0,IF(Q1193&lt;Matchup!$C$39,7,IF(Q1193&lt;Matchup!$C$39+Matchup!$C$40,3,0)))</f>
        <v>0</v>
      </c>
      <c r="T1193" s="0" t="n">
        <f aca="false">I1193+R1193</f>
        <v>27</v>
      </c>
      <c r="U1193" s="0" t="n">
        <f aca="false">O1193+S1193</f>
        <v>13</v>
      </c>
      <c r="V1193" s="0" t="n">
        <f aca="false">T1193-U1193</f>
        <v>14</v>
      </c>
      <c r="W1193" s="0" t="n">
        <f aca="false">T1193+U1193</f>
        <v>40</v>
      </c>
    </row>
    <row r="1194" customFormat="false" ht="15" hidden="false" customHeight="false" outlineLevel="0" collapsed="false">
      <c r="A1194" s="0" t="n">
        <v>1191</v>
      </c>
      <c r="B1194" s="0" t="n">
        <f aca="true">NORMINV(RAND(),1,Coefficients!$B$22)</f>
        <v>0.949649813911615</v>
      </c>
      <c r="C1194" s="0" t="n">
        <f aca="true">MEDIAN(8,16,ROUND(NORMINV(RAND(),Coefficients!$B$20,Coefficients!$B$21),0))</f>
        <v>10</v>
      </c>
      <c r="D1194" s="0" t="n">
        <f aca="true">CRITBINOM($C1194,MIN(0.75,Matchup!$B$39*$B1194),RAND())</f>
        <v>1</v>
      </c>
      <c r="E1194" s="0" t="n">
        <f aca="true">CRITBINOM(D1194,Coefficients!$B$30,RAND())</f>
        <v>0</v>
      </c>
      <c r="F1194" s="0" t="n">
        <f aca="true">CRITBINOM(E1194,Coefficients!$B$31,RAND())</f>
        <v>0</v>
      </c>
      <c r="G1194" s="0" t="n">
        <f aca="true">CRITBINOM(MAX(0,D1194-E1194),1-Coefficients!$B$32,RAND())</f>
        <v>0</v>
      </c>
      <c r="H1194" s="0" t="n">
        <f aca="true">CRITBINOM(MAX(0,$C1194-D1194),MIN(0.6,Matchup!$B$40*SQRT($B1194)/(1-MIN(0.75,Matchup!$B$39*$B1194))),RAND())</f>
        <v>3</v>
      </c>
      <c r="I1194" s="0" t="n">
        <f aca="false">6*D1194+(D1194-E1194-G1194)+2*F1194+3*H1194</f>
        <v>16</v>
      </c>
      <c r="J1194" s="0" t="n">
        <f aca="true">CRITBINOM($C1194,MIN(0.75,Matchup!$C$39*$B1194),RAND())</f>
        <v>0</v>
      </c>
      <c r="K1194" s="0" t="n">
        <f aca="true">CRITBINOM(J1194,Coefficients!$B$30,RAND())</f>
        <v>0</v>
      </c>
      <c r="L1194" s="0" t="n">
        <f aca="true">CRITBINOM(K1194,Coefficients!$B$31,RAND())</f>
        <v>0</v>
      </c>
      <c r="M1194" s="0" t="n">
        <f aca="true">CRITBINOM(MAX(0,J1194-K1194),1-Coefficients!$B$32,RAND())</f>
        <v>0</v>
      </c>
      <c r="N1194" s="0" t="n">
        <f aca="true">CRITBINOM(MAX(0,$C1194-J1194),MIN(0.6,Matchup!$C$40*SQRT($B1194)/(1-MIN(0.75,Matchup!$C$39*$B1194))),RAND())</f>
        <v>0</v>
      </c>
      <c r="O1194" s="0" t="n">
        <f aca="false">6*J1194+(J1194-K1194-M1194)+2*L1194+3*N1194</f>
        <v>0</v>
      </c>
      <c r="P1194" s="0" t="n">
        <f aca="true">RAND()</f>
        <v>0.124001021343474</v>
      </c>
      <c r="Q1194" s="0" t="n">
        <f aca="true">RAND()</f>
        <v>0.435435588607141</v>
      </c>
      <c r="R1194" s="0" t="n">
        <f aca="false">IF($I1194&lt;&gt;$O1194,0,IF(P1194&lt;Matchup!$B$39,7,IF(P1194&lt;Matchup!$B$39+Matchup!$B$40,3,0)))</f>
        <v>0</v>
      </c>
      <c r="S1194" s="0" t="n">
        <f aca="false">IF($I1194&lt;&gt;$O1194,0,IF(Q1194&lt;Matchup!$C$39,7,IF(Q1194&lt;Matchup!$C$39+Matchup!$C$40,3,0)))</f>
        <v>0</v>
      </c>
      <c r="T1194" s="0" t="n">
        <f aca="false">I1194+R1194</f>
        <v>16</v>
      </c>
      <c r="U1194" s="0" t="n">
        <f aca="false">O1194+S1194</f>
        <v>0</v>
      </c>
      <c r="V1194" s="0" t="n">
        <f aca="false">T1194-U1194</f>
        <v>16</v>
      </c>
      <c r="W1194" s="0" t="n">
        <f aca="false">T1194+U1194</f>
        <v>16</v>
      </c>
    </row>
    <row r="1195" customFormat="false" ht="15" hidden="false" customHeight="false" outlineLevel="0" collapsed="false">
      <c r="A1195" s="0" t="n">
        <v>1192</v>
      </c>
      <c r="B1195" s="0" t="n">
        <f aca="true">NORMINV(RAND(),1,Coefficients!$B$22)</f>
        <v>1.06006329278358</v>
      </c>
      <c r="C1195" s="0" t="n">
        <f aca="true">MEDIAN(8,16,ROUND(NORMINV(RAND(),Coefficients!$B$20,Coefficients!$B$21),0))</f>
        <v>10</v>
      </c>
      <c r="D1195" s="0" t="n">
        <f aca="true">CRITBINOM($C1195,MIN(0.75,Matchup!$B$39*$B1195),RAND())</f>
        <v>3</v>
      </c>
      <c r="E1195" s="0" t="n">
        <f aca="true">CRITBINOM(D1195,Coefficients!$B$30,RAND())</f>
        <v>0</v>
      </c>
      <c r="F1195" s="0" t="n">
        <f aca="true">CRITBINOM(E1195,Coefficients!$B$31,RAND())</f>
        <v>0</v>
      </c>
      <c r="G1195" s="0" t="n">
        <f aca="true">CRITBINOM(MAX(0,D1195-E1195),1-Coefficients!$B$32,RAND())</f>
        <v>0</v>
      </c>
      <c r="H1195" s="0" t="n">
        <f aca="true">CRITBINOM(MAX(0,$C1195-D1195),MIN(0.6,Matchup!$B$40*SQRT($B1195)/(1-MIN(0.75,Matchup!$B$39*$B1195))),RAND())</f>
        <v>3</v>
      </c>
      <c r="I1195" s="0" t="n">
        <f aca="false">6*D1195+(D1195-E1195-G1195)+2*F1195+3*H1195</f>
        <v>30</v>
      </c>
      <c r="J1195" s="0" t="n">
        <f aca="true">CRITBINOM($C1195,MIN(0.75,Matchup!$C$39*$B1195),RAND())</f>
        <v>2</v>
      </c>
      <c r="K1195" s="0" t="n">
        <f aca="true">CRITBINOM(J1195,Coefficients!$B$30,RAND())</f>
        <v>0</v>
      </c>
      <c r="L1195" s="0" t="n">
        <f aca="true">CRITBINOM(K1195,Coefficients!$B$31,RAND())</f>
        <v>0</v>
      </c>
      <c r="M1195" s="0" t="n">
        <f aca="true">CRITBINOM(MAX(0,J1195-K1195),1-Coefficients!$B$32,RAND())</f>
        <v>0</v>
      </c>
      <c r="N1195" s="0" t="n">
        <f aca="true">CRITBINOM(MAX(0,$C1195-J1195),MIN(0.6,Matchup!$C$40*SQRT($B1195)/(1-MIN(0.75,Matchup!$C$39*$B1195))),RAND())</f>
        <v>3</v>
      </c>
      <c r="O1195" s="0" t="n">
        <f aca="false">6*J1195+(J1195-K1195-M1195)+2*L1195+3*N1195</f>
        <v>23</v>
      </c>
      <c r="P1195" s="0" t="n">
        <f aca="true">RAND()</f>
        <v>0.124861440270654</v>
      </c>
      <c r="Q1195" s="0" t="n">
        <f aca="true">RAND()</f>
        <v>0.729813234260234</v>
      </c>
      <c r="R1195" s="0" t="n">
        <f aca="false">IF($I1195&lt;&gt;$O1195,0,IF(P1195&lt;Matchup!$B$39,7,IF(P1195&lt;Matchup!$B$39+Matchup!$B$40,3,0)))</f>
        <v>0</v>
      </c>
      <c r="S1195" s="0" t="n">
        <f aca="false">IF($I1195&lt;&gt;$O1195,0,IF(Q1195&lt;Matchup!$C$39,7,IF(Q1195&lt;Matchup!$C$39+Matchup!$C$40,3,0)))</f>
        <v>0</v>
      </c>
      <c r="T1195" s="0" t="n">
        <f aca="false">I1195+R1195</f>
        <v>30</v>
      </c>
      <c r="U1195" s="0" t="n">
        <f aca="false">O1195+S1195</f>
        <v>23</v>
      </c>
      <c r="V1195" s="0" t="n">
        <f aca="false">T1195-U1195</f>
        <v>7</v>
      </c>
      <c r="W1195" s="0" t="n">
        <f aca="false">T1195+U1195</f>
        <v>53</v>
      </c>
    </row>
    <row r="1196" customFormat="false" ht="15" hidden="false" customHeight="false" outlineLevel="0" collapsed="false">
      <c r="A1196" s="0" t="n">
        <v>1193</v>
      </c>
      <c r="B1196" s="0" t="n">
        <f aca="true">NORMINV(RAND(),1,Coefficients!$B$22)</f>
        <v>1.01046628812527</v>
      </c>
      <c r="C1196" s="0" t="n">
        <f aca="true">MEDIAN(8,16,ROUND(NORMINV(RAND(),Coefficients!$B$20,Coefficients!$B$21),0))</f>
        <v>11</v>
      </c>
      <c r="D1196" s="0" t="n">
        <f aca="true">CRITBINOM($C1196,MIN(0.75,Matchup!$B$39*$B1196),RAND())</f>
        <v>5</v>
      </c>
      <c r="E1196" s="0" t="n">
        <f aca="true">CRITBINOM(D1196,Coefficients!$B$30,RAND())</f>
        <v>1</v>
      </c>
      <c r="F1196" s="0" t="n">
        <f aca="true">CRITBINOM(E1196,Coefficients!$B$31,RAND())</f>
        <v>1</v>
      </c>
      <c r="G1196" s="0" t="n">
        <f aca="true">CRITBINOM(MAX(0,D1196-E1196),1-Coefficients!$B$32,RAND())</f>
        <v>1</v>
      </c>
      <c r="H1196" s="0" t="n">
        <f aca="true">CRITBINOM(MAX(0,$C1196-D1196),MIN(0.6,Matchup!$B$40*SQRT($B1196)/(1-MIN(0.75,Matchup!$B$39*$B1196))),RAND())</f>
        <v>3</v>
      </c>
      <c r="I1196" s="0" t="n">
        <f aca="false">6*D1196+(D1196-E1196-G1196)+2*F1196+3*H1196</f>
        <v>44</v>
      </c>
      <c r="J1196" s="0" t="n">
        <f aca="true">CRITBINOM($C1196,MIN(0.75,Matchup!$C$39*$B1196),RAND())</f>
        <v>2</v>
      </c>
      <c r="K1196" s="0" t="n">
        <f aca="true">CRITBINOM(J1196,Coefficients!$B$30,RAND())</f>
        <v>0</v>
      </c>
      <c r="L1196" s="0" t="n">
        <f aca="true">CRITBINOM(K1196,Coefficients!$B$31,RAND())</f>
        <v>0</v>
      </c>
      <c r="M1196" s="0" t="n">
        <f aca="true">CRITBINOM(MAX(0,J1196-K1196),1-Coefficients!$B$32,RAND())</f>
        <v>0</v>
      </c>
      <c r="N1196" s="0" t="n">
        <f aca="true">CRITBINOM(MAX(0,$C1196-J1196),MIN(0.6,Matchup!$C$40*SQRT($B1196)/(1-MIN(0.75,Matchup!$C$39*$B1196))),RAND())</f>
        <v>2</v>
      </c>
      <c r="O1196" s="0" t="n">
        <f aca="false">6*J1196+(J1196-K1196-M1196)+2*L1196+3*N1196</f>
        <v>20</v>
      </c>
      <c r="P1196" s="0" t="n">
        <f aca="true">RAND()</f>
        <v>0.658954148125438</v>
      </c>
      <c r="Q1196" s="0" t="n">
        <f aca="true">RAND()</f>
        <v>0.451875431177625</v>
      </c>
      <c r="R1196" s="0" t="n">
        <f aca="false">IF($I1196&lt;&gt;$O1196,0,IF(P1196&lt;Matchup!$B$39,7,IF(P1196&lt;Matchup!$B$39+Matchup!$B$40,3,0)))</f>
        <v>0</v>
      </c>
      <c r="S1196" s="0" t="n">
        <f aca="false">IF($I1196&lt;&gt;$O1196,0,IF(Q1196&lt;Matchup!$C$39,7,IF(Q1196&lt;Matchup!$C$39+Matchup!$C$40,3,0)))</f>
        <v>0</v>
      </c>
      <c r="T1196" s="0" t="n">
        <f aca="false">I1196+R1196</f>
        <v>44</v>
      </c>
      <c r="U1196" s="0" t="n">
        <f aca="false">O1196+S1196</f>
        <v>20</v>
      </c>
      <c r="V1196" s="0" t="n">
        <f aca="false">T1196-U1196</f>
        <v>24</v>
      </c>
      <c r="W1196" s="0" t="n">
        <f aca="false">T1196+U1196</f>
        <v>64</v>
      </c>
    </row>
    <row r="1197" customFormat="false" ht="15" hidden="false" customHeight="false" outlineLevel="0" collapsed="false">
      <c r="A1197" s="0" t="n">
        <v>1194</v>
      </c>
      <c r="B1197" s="0" t="n">
        <f aca="true">NORMINV(RAND(),1,Coefficients!$B$22)</f>
        <v>1.08819872342907</v>
      </c>
      <c r="C1197" s="0" t="n">
        <f aca="true">MEDIAN(8,16,ROUND(NORMINV(RAND(),Coefficients!$B$20,Coefficients!$B$21),0))</f>
        <v>11</v>
      </c>
      <c r="D1197" s="0" t="n">
        <f aca="true">CRITBINOM($C1197,MIN(0.75,Matchup!$B$39*$B1197),RAND())</f>
        <v>4</v>
      </c>
      <c r="E1197" s="0" t="n">
        <f aca="true">CRITBINOM(D1197,Coefficients!$B$30,RAND())</f>
        <v>0</v>
      </c>
      <c r="F1197" s="0" t="n">
        <f aca="true">CRITBINOM(E1197,Coefficients!$B$31,RAND())</f>
        <v>0</v>
      </c>
      <c r="G1197" s="0" t="n">
        <f aca="true">CRITBINOM(MAX(0,D1197-E1197),1-Coefficients!$B$32,RAND())</f>
        <v>0</v>
      </c>
      <c r="H1197" s="0" t="n">
        <f aca="true">CRITBINOM(MAX(0,$C1197-D1197),MIN(0.6,Matchup!$B$40*SQRT($B1197)/(1-MIN(0.75,Matchup!$B$39*$B1197))),RAND())</f>
        <v>2</v>
      </c>
      <c r="I1197" s="0" t="n">
        <f aca="false">6*D1197+(D1197-E1197-G1197)+2*F1197+3*H1197</f>
        <v>34</v>
      </c>
      <c r="J1197" s="0" t="n">
        <f aca="true">CRITBINOM($C1197,MIN(0.75,Matchup!$C$39*$B1197),RAND())</f>
        <v>1</v>
      </c>
      <c r="K1197" s="0" t="n">
        <f aca="true">CRITBINOM(J1197,Coefficients!$B$30,RAND())</f>
        <v>0</v>
      </c>
      <c r="L1197" s="0" t="n">
        <f aca="true">CRITBINOM(K1197,Coefficients!$B$31,RAND())</f>
        <v>0</v>
      </c>
      <c r="M1197" s="0" t="n">
        <f aca="true">CRITBINOM(MAX(0,J1197-K1197),1-Coefficients!$B$32,RAND())</f>
        <v>0</v>
      </c>
      <c r="N1197" s="0" t="n">
        <f aca="true">CRITBINOM(MAX(0,$C1197-J1197),MIN(0.6,Matchup!$C$40*SQRT($B1197)/(1-MIN(0.75,Matchup!$C$39*$B1197))),RAND())</f>
        <v>2</v>
      </c>
      <c r="O1197" s="0" t="n">
        <f aca="false">6*J1197+(J1197-K1197-M1197)+2*L1197+3*N1197</f>
        <v>13</v>
      </c>
      <c r="P1197" s="0" t="n">
        <f aca="true">RAND()</f>
        <v>0.391982642178669</v>
      </c>
      <c r="Q1197" s="0" t="n">
        <f aca="true">RAND()</f>
        <v>0.789722513284188</v>
      </c>
      <c r="R1197" s="0" t="n">
        <f aca="false">IF($I1197&lt;&gt;$O1197,0,IF(P1197&lt;Matchup!$B$39,7,IF(P1197&lt;Matchup!$B$39+Matchup!$B$40,3,0)))</f>
        <v>0</v>
      </c>
      <c r="S1197" s="0" t="n">
        <f aca="false">IF($I1197&lt;&gt;$O1197,0,IF(Q1197&lt;Matchup!$C$39,7,IF(Q1197&lt;Matchup!$C$39+Matchup!$C$40,3,0)))</f>
        <v>0</v>
      </c>
      <c r="T1197" s="0" t="n">
        <f aca="false">I1197+R1197</f>
        <v>34</v>
      </c>
      <c r="U1197" s="0" t="n">
        <f aca="false">O1197+S1197</f>
        <v>13</v>
      </c>
      <c r="V1197" s="0" t="n">
        <f aca="false">T1197-U1197</f>
        <v>21</v>
      </c>
      <c r="W1197" s="0" t="n">
        <f aca="false">T1197+U1197</f>
        <v>47</v>
      </c>
    </row>
    <row r="1198" customFormat="false" ht="15" hidden="false" customHeight="false" outlineLevel="0" collapsed="false">
      <c r="A1198" s="0" t="n">
        <v>1195</v>
      </c>
      <c r="B1198" s="0" t="n">
        <f aca="true">NORMINV(RAND(),1,Coefficients!$B$22)</f>
        <v>0.99895124446658</v>
      </c>
      <c r="C1198" s="0" t="n">
        <f aca="true">MEDIAN(8,16,ROUND(NORMINV(RAND(),Coefficients!$B$20,Coefficients!$B$21),0))</f>
        <v>11</v>
      </c>
      <c r="D1198" s="0" t="n">
        <f aca="true">CRITBINOM($C1198,MIN(0.75,Matchup!$B$39*$B1198),RAND())</f>
        <v>4</v>
      </c>
      <c r="E1198" s="0" t="n">
        <f aca="true">CRITBINOM(D1198,Coefficients!$B$30,RAND())</f>
        <v>0</v>
      </c>
      <c r="F1198" s="0" t="n">
        <f aca="true">CRITBINOM(E1198,Coefficients!$B$31,RAND())</f>
        <v>0</v>
      </c>
      <c r="G1198" s="0" t="n">
        <f aca="true">CRITBINOM(MAX(0,D1198-E1198),1-Coefficients!$B$32,RAND())</f>
        <v>1</v>
      </c>
      <c r="H1198" s="0" t="n">
        <f aca="true">CRITBINOM(MAX(0,$C1198-D1198),MIN(0.6,Matchup!$B$40*SQRT($B1198)/(1-MIN(0.75,Matchup!$B$39*$B1198))),RAND())</f>
        <v>1</v>
      </c>
      <c r="I1198" s="0" t="n">
        <f aca="false">6*D1198+(D1198-E1198-G1198)+2*F1198+3*H1198</f>
        <v>30</v>
      </c>
      <c r="J1198" s="0" t="n">
        <f aca="true">CRITBINOM($C1198,MIN(0.75,Matchup!$C$39*$B1198),RAND())</f>
        <v>2</v>
      </c>
      <c r="K1198" s="0" t="n">
        <f aca="true">CRITBINOM(J1198,Coefficients!$B$30,RAND())</f>
        <v>0</v>
      </c>
      <c r="L1198" s="0" t="n">
        <f aca="true">CRITBINOM(K1198,Coefficients!$B$31,RAND())</f>
        <v>0</v>
      </c>
      <c r="M1198" s="0" t="n">
        <f aca="true">CRITBINOM(MAX(0,J1198-K1198),1-Coefficients!$B$32,RAND())</f>
        <v>0</v>
      </c>
      <c r="N1198" s="0" t="n">
        <f aca="true">CRITBINOM(MAX(0,$C1198-J1198),MIN(0.6,Matchup!$C$40*SQRT($B1198)/(1-MIN(0.75,Matchup!$C$39*$B1198))),RAND())</f>
        <v>2</v>
      </c>
      <c r="O1198" s="0" t="n">
        <f aca="false">6*J1198+(J1198-K1198-M1198)+2*L1198+3*N1198</f>
        <v>20</v>
      </c>
      <c r="P1198" s="0" t="n">
        <f aca="true">RAND()</f>
        <v>0.370750961370116</v>
      </c>
      <c r="Q1198" s="0" t="n">
        <f aca="true">RAND()</f>
        <v>0.929601498236525</v>
      </c>
      <c r="R1198" s="0" t="n">
        <f aca="false">IF($I1198&lt;&gt;$O1198,0,IF(P1198&lt;Matchup!$B$39,7,IF(P1198&lt;Matchup!$B$39+Matchup!$B$40,3,0)))</f>
        <v>0</v>
      </c>
      <c r="S1198" s="0" t="n">
        <f aca="false">IF($I1198&lt;&gt;$O1198,0,IF(Q1198&lt;Matchup!$C$39,7,IF(Q1198&lt;Matchup!$C$39+Matchup!$C$40,3,0)))</f>
        <v>0</v>
      </c>
      <c r="T1198" s="0" t="n">
        <f aca="false">I1198+R1198</f>
        <v>30</v>
      </c>
      <c r="U1198" s="0" t="n">
        <f aca="false">O1198+S1198</f>
        <v>20</v>
      </c>
      <c r="V1198" s="0" t="n">
        <f aca="false">T1198-U1198</f>
        <v>10</v>
      </c>
      <c r="W1198" s="0" t="n">
        <f aca="false">T1198+U1198</f>
        <v>50</v>
      </c>
    </row>
    <row r="1199" customFormat="false" ht="15" hidden="false" customHeight="false" outlineLevel="0" collapsed="false">
      <c r="A1199" s="0" t="n">
        <v>1196</v>
      </c>
      <c r="B1199" s="0" t="n">
        <f aca="true">NORMINV(RAND(),1,Coefficients!$B$22)</f>
        <v>1.10288474424988</v>
      </c>
      <c r="C1199" s="0" t="n">
        <f aca="true">MEDIAN(8,16,ROUND(NORMINV(RAND(),Coefficients!$B$20,Coefficients!$B$21),0))</f>
        <v>13</v>
      </c>
      <c r="D1199" s="0" t="n">
        <f aca="true">CRITBINOM($C1199,MIN(0.75,Matchup!$B$39*$B1199),RAND())</f>
        <v>3</v>
      </c>
      <c r="E1199" s="0" t="n">
        <f aca="true">CRITBINOM(D1199,Coefficients!$B$30,RAND())</f>
        <v>0</v>
      </c>
      <c r="F1199" s="0" t="n">
        <f aca="true">CRITBINOM(E1199,Coefficients!$B$31,RAND())</f>
        <v>0</v>
      </c>
      <c r="G1199" s="0" t="n">
        <f aca="true">CRITBINOM(MAX(0,D1199-E1199),1-Coefficients!$B$32,RAND())</f>
        <v>0</v>
      </c>
      <c r="H1199" s="0" t="n">
        <f aca="true">CRITBINOM(MAX(0,$C1199-D1199),MIN(0.6,Matchup!$B$40*SQRT($B1199)/(1-MIN(0.75,Matchup!$B$39*$B1199))),RAND())</f>
        <v>4</v>
      </c>
      <c r="I1199" s="0" t="n">
        <f aca="false">6*D1199+(D1199-E1199-G1199)+2*F1199+3*H1199</f>
        <v>33</v>
      </c>
      <c r="J1199" s="0" t="n">
        <f aca="true">CRITBINOM($C1199,MIN(0.75,Matchup!$C$39*$B1199),RAND())</f>
        <v>2</v>
      </c>
      <c r="K1199" s="0" t="n">
        <f aca="true">CRITBINOM(J1199,Coefficients!$B$30,RAND())</f>
        <v>0</v>
      </c>
      <c r="L1199" s="0" t="n">
        <f aca="true">CRITBINOM(K1199,Coefficients!$B$31,RAND())</f>
        <v>0</v>
      </c>
      <c r="M1199" s="0" t="n">
        <f aca="true">CRITBINOM(MAX(0,J1199-K1199),1-Coefficients!$B$32,RAND())</f>
        <v>0</v>
      </c>
      <c r="N1199" s="0" t="n">
        <f aca="true">CRITBINOM(MAX(0,$C1199-J1199),MIN(0.6,Matchup!$C$40*SQRT($B1199)/(1-MIN(0.75,Matchup!$C$39*$B1199))),RAND())</f>
        <v>3</v>
      </c>
      <c r="O1199" s="0" t="n">
        <f aca="false">6*J1199+(J1199-K1199-M1199)+2*L1199+3*N1199</f>
        <v>23</v>
      </c>
      <c r="P1199" s="0" t="n">
        <f aca="true">RAND()</f>
        <v>0.0307959686721437</v>
      </c>
      <c r="Q1199" s="0" t="n">
        <f aca="true">RAND()</f>
        <v>0.249103102064035</v>
      </c>
      <c r="R1199" s="0" t="n">
        <f aca="false">IF($I1199&lt;&gt;$O1199,0,IF(P1199&lt;Matchup!$B$39,7,IF(P1199&lt;Matchup!$B$39+Matchup!$B$40,3,0)))</f>
        <v>0</v>
      </c>
      <c r="S1199" s="0" t="n">
        <f aca="false">IF($I1199&lt;&gt;$O1199,0,IF(Q1199&lt;Matchup!$C$39,7,IF(Q1199&lt;Matchup!$C$39+Matchup!$C$40,3,0)))</f>
        <v>0</v>
      </c>
      <c r="T1199" s="0" t="n">
        <f aca="false">I1199+R1199</f>
        <v>33</v>
      </c>
      <c r="U1199" s="0" t="n">
        <f aca="false">O1199+S1199</f>
        <v>23</v>
      </c>
      <c r="V1199" s="0" t="n">
        <f aca="false">T1199-U1199</f>
        <v>10</v>
      </c>
      <c r="W1199" s="0" t="n">
        <f aca="false">T1199+U1199</f>
        <v>56</v>
      </c>
    </row>
    <row r="1200" customFormat="false" ht="15" hidden="false" customHeight="false" outlineLevel="0" collapsed="false">
      <c r="A1200" s="0" t="n">
        <v>1197</v>
      </c>
      <c r="B1200" s="0" t="n">
        <f aca="true">NORMINV(RAND(),1,Coefficients!$B$22)</f>
        <v>1.06875849112575</v>
      </c>
      <c r="C1200" s="0" t="n">
        <f aca="true">MEDIAN(8,16,ROUND(NORMINV(RAND(),Coefficients!$B$20,Coefficients!$B$21),0))</f>
        <v>12</v>
      </c>
      <c r="D1200" s="0" t="n">
        <f aca="true">CRITBINOM($C1200,MIN(0.75,Matchup!$B$39*$B1200),RAND())</f>
        <v>6</v>
      </c>
      <c r="E1200" s="0" t="n">
        <f aca="true">CRITBINOM(D1200,Coefficients!$B$30,RAND())</f>
        <v>1</v>
      </c>
      <c r="F1200" s="0" t="n">
        <f aca="true">CRITBINOM(E1200,Coefficients!$B$31,RAND())</f>
        <v>0</v>
      </c>
      <c r="G1200" s="0" t="n">
        <f aca="true">CRITBINOM(MAX(0,D1200-E1200),1-Coefficients!$B$32,RAND())</f>
        <v>0</v>
      </c>
      <c r="H1200" s="0" t="n">
        <f aca="true">CRITBINOM(MAX(0,$C1200-D1200),MIN(0.6,Matchup!$B$40*SQRT($B1200)/(1-MIN(0.75,Matchup!$B$39*$B1200))),RAND())</f>
        <v>1</v>
      </c>
      <c r="I1200" s="0" t="n">
        <f aca="false">6*D1200+(D1200-E1200-G1200)+2*F1200+3*H1200</f>
        <v>44</v>
      </c>
      <c r="J1200" s="0" t="n">
        <f aca="true">CRITBINOM($C1200,MIN(0.75,Matchup!$C$39*$B1200),RAND())</f>
        <v>1</v>
      </c>
      <c r="K1200" s="0" t="n">
        <f aca="true">CRITBINOM(J1200,Coefficients!$B$30,RAND())</f>
        <v>0</v>
      </c>
      <c r="L1200" s="0" t="n">
        <f aca="true">CRITBINOM(K1200,Coefficients!$B$31,RAND())</f>
        <v>0</v>
      </c>
      <c r="M1200" s="0" t="n">
        <f aca="true">CRITBINOM(MAX(0,J1200-K1200),1-Coefficients!$B$32,RAND())</f>
        <v>0</v>
      </c>
      <c r="N1200" s="0" t="n">
        <f aca="true">CRITBINOM(MAX(0,$C1200-J1200),MIN(0.6,Matchup!$C$40*SQRT($B1200)/(1-MIN(0.75,Matchup!$C$39*$B1200))),RAND())</f>
        <v>2</v>
      </c>
      <c r="O1200" s="0" t="n">
        <f aca="false">6*J1200+(J1200-K1200-M1200)+2*L1200+3*N1200</f>
        <v>13</v>
      </c>
      <c r="P1200" s="0" t="n">
        <f aca="true">RAND()</f>
        <v>0.145614716545288</v>
      </c>
      <c r="Q1200" s="0" t="n">
        <f aca="true">RAND()</f>
        <v>0.113084438741805</v>
      </c>
      <c r="R1200" s="0" t="n">
        <f aca="false">IF($I1200&lt;&gt;$O1200,0,IF(P1200&lt;Matchup!$B$39,7,IF(P1200&lt;Matchup!$B$39+Matchup!$B$40,3,0)))</f>
        <v>0</v>
      </c>
      <c r="S1200" s="0" t="n">
        <f aca="false">IF($I1200&lt;&gt;$O1200,0,IF(Q1200&lt;Matchup!$C$39,7,IF(Q1200&lt;Matchup!$C$39+Matchup!$C$40,3,0)))</f>
        <v>0</v>
      </c>
      <c r="T1200" s="0" t="n">
        <f aca="false">I1200+R1200</f>
        <v>44</v>
      </c>
      <c r="U1200" s="0" t="n">
        <f aca="false">O1200+S1200</f>
        <v>13</v>
      </c>
      <c r="V1200" s="0" t="n">
        <f aca="false">T1200-U1200</f>
        <v>31</v>
      </c>
      <c r="W1200" s="0" t="n">
        <f aca="false">T1200+U1200</f>
        <v>57</v>
      </c>
    </row>
    <row r="1201" customFormat="false" ht="15" hidden="false" customHeight="false" outlineLevel="0" collapsed="false">
      <c r="A1201" s="0" t="n">
        <v>1198</v>
      </c>
      <c r="B1201" s="0" t="n">
        <f aca="true">NORMINV(RAND(),1,Coefficients!$B$22)</f>
        <v>0.872261470564004</v>
      </c>
      <c r="C1201" s="0" t="n">
        <f aca="true">MEDIAN(8,16,ROUND(NORMINV(RAND(),Coefficients!$B$20,Coefficients!$B$21),0))</f>
        <v>11</v>
      </c>
      <c r="D1201" s="0" t="n">
        <f aca="true">CRITBINOM($C1201,MIN(0.75,Matchup!$B$39*$B1201),RAND())</f>
        <v>4</v>
      </c>
      <c r="E1201" s="0" t="n">
        <f aca="true">CRITBINOM(D1201,Coefficients!$B$30,RAND())</f>
        <v>0</v>
      </c>
      <c r="F1201" s="0" t="n">
        <f aca="true">CRITBINOM(E1201,Coefficients!$B$31,RAND())</f>
        <v>0</v>
      </c>
      <c r="G1201" s="0" t="n">
        <f aca="true">CRITBINOM(MAX(0,D1201-E1201),1-Coefficients!$B$32,RAND())</f>
        <v>0</v>
      </c>
      <c r="H1201" s="0" t="n">
        <f aca="true">CRITBINOM(MAX(0,$C1201-D1201),MIN(0.6,Matchup!$B$40*SQRT($B1201)/(1-MIN(0.75,Matchup!$B$39*$B1201))),RAND())</f>
        <v>1</v>
      </c>
      <c r="I1201" s="0" t="n">
        <f aca="false">6*D1201+(D1201-E1201-G1201)+2*F1201+3*H1201</f>
        <v>31</v>
      </c>
      <c r="J1201" s="0" t="n">
        <f aca="true">CRITBINOM($C1201,MIN(0.75,Matchup!$C$39*$B1201),RAND())</f>
        <v>2</v>
      </c>
      <c r="K1201" s="0" t="n">
        <f aca="true">CRITBINOM(J1201,Coefficients!$B$30,RAND())</f>
        <v>0</v>
      </c>
      <c r="L1201" s="0" t="n">
        <f aca="true">CRITBINOM(K1201,Coefficients!$B$31,RAND())</f>
        <v>0</v>
      </c>
      <c r="M1201" s="0" t="n">
        <f aca="true">CRITBINOM(MAX(0,J1201-K1201),1-Coefficients!$B$32,RAND())</f>
        <v>0</v>
      </c>
      <c r="N1201" s="0" t="n">
        <f aca="true">CRITBINOM(MAX(0,$C1201-J1201),MIN(0.6,Matchup!$C$40*SQRT($B1201)/(1-MIN(0.75,Matchup!$C$39*$B1201))),RAND())</f>
        <v>1</v>
      </c>
      <c r="O1201" s="0" t="n">
        <f aca="false">6*J1201+(J1201-K1201-M1201)+2*L1201+3*N1201</f>
        <v>17</v>
      </c>
      <c r="P1201" s="0" t="n">
        <f aca="true">RAND()</f>
        <v>0.336993133429104</v>
      </c>
      <c r="Q1201" s="0" t="n">
        <f aca="true">RAND()</f>
        <v>0.542294665223904</v>
      </c>
      <c r="R1201" s="0" t="n">
        <f aca="false">IF($I1201&lt;&gt;$O1201,0,IF(P1201&lt;Matchup!$B$39,7,IF(P1201&lt;Matchup!$B$39+Matchup!$B$40,3,0)))</f>
        <v>0</v>
      </c>
      <c r="S1201" s="0" t="n">
        <f aca="false">IF($I1201&lt;&gt;$O1201,0,IF(Q1201&lt;Matchup!$C$39,7,IF(Q1201&lt;Matchup!$C$39+Matchup!$C$40,3,0)))</f>
        <v>0</v>
      </c>
      <c r="T1201" s="0" t="n">
        <f aca="false">I1201+R1201</f>
        <v>31</v>
      </c>
      <c r="U1201" s="0" t="n">
        <f aca="false">O1201+S1201</f>
        <v>17</v>
      </c>
      <c r="V1201" s="0" t="n">
        <f aca="false">T1201-U1201</f>
        <v>14</v>
      </c>
      <c r="W1201" s="0" t="n">
        <f aca="false">T1201+U1201</f>
        <v>48</v>
      </c>
    </row>
    <row r="1202" customFormat="false" ht="15" hidden="false" customHeight="false" outlineLevel="0" collapsed="false">
      <c r="A1202" s="0" t="n">
        <v>1199</v>
      </c>
      <c r="B1202" s="0" t="n">
        <f aca="true">NORMINV(RAND(),1,Coefficients!$B$22)</f>
        <v>1.10138298296261</v>
      </c>
      <c r="C1202" s="0" t="n">
        <f aca="true">MEDIAN(8,16,ROUND(NORMINV(RAND(),Coefficients!$B$20,Coefficients!$B$21),0))</f>
        <v>12</v>
      </c>
      <c r="D1202" s="0" t="n">
        <f aca="true">CRITBINOM($C1202,MIN(0.75,Matchup!$B$39*$B1202),RAND())</f>
        <v>4</v>
      </c>
      <c r="E1202" s="0" t="n">
        <f aca="true">CRITBINOM(D1202,Coefficients!$B$30,RAND())</f>
        <v>0</v>
      </c>
      <c r="F1202" s="0" t="n">
        <f aca="true">CRITBINOM(E1202,Coefficients!$B$31,RAND())</f>
        <v>0</v>
      </c>
      <c r="G1202" s="0" t="n">
        <f aca="true">CRITBINOM(MAX(0,D1202-E1202),1-Coefficients!$B$32,RAND())</f>
        <v>0</v>
      </c>
      <c r="H1202" s="0" t="n">
        <f aca="true">CRITBINOM(MAX(0,$C1202-D1202),MIN(0.6,Matchup!$B$40*SQRT($B1202)/(1-MIN(0.75,Matchup!$B$39*$B1202))),RAND())</f>
        <v>2</v>
      </c>
      <c r="I1202" s="0" t="n">
        <f aca="false">6*D1202+(D1202-E1202-G1202)+2*F1202+3*H1202</f>
        <v>34</v>
      </c>
      <c r="J1202" s="0" t="n">
        <f aca="true">CRITBINOM($C1202,MIN(0.75,Matchup!$C$39*$B1202),RAND())</f>
        <v>4</v>
      </c>
      <c r="K1202" s="0" t="n">
        <f aca="true">CRITBINOM(J1202,Coefficients!$B$30,RAND())</f>
        <v>0</v>
      </c>
      <c r="L1202" s="0" t="n">
        <f aca="true">CRITBINOM(K1202,Coefficients!$B$31,RAND())</f>
        <v>0</v>
      </c>
      <c r="M1202" s="0" t="n">
        <f aca="true">CRITBINOM(MAX(0,J1202-K1202),1-Coefficients!$B$32,RAND())</f>
        <v>0</v>
      </c>
      <c r="N1202" s="0" t="n">
        <f aca="true">CRITBINOM(MAX(0,$C1202-J1202),MIN(0.6,Matchup!$C$40*SQRT($B1202)/(1-MIN(0.75,Matchup!$C$39*$B1202))),RAND())</f>
        <v>0</v>
      </c>
      <c r="O1202" s="0" t="n">
        <f aca="false">6*J1202+(J1202-K1202-M1202)+2*L1202+3*N1202</f>
        <v>28</v>
      </c>
      <c r="P1202" s="0" t="n">
        <f aca="true">RAND()</f>
        <v>0.733506455543096</v>
      </c>
      <c r="Q1202" s="0" t="n">
        <f aca="true">RAND()</f>
        <v>0.043408549824278</v>
      </c>
      <c r="R1202" s="0" t="n">
        <f aca="false">IF($I1202&lt;&gt;$O1202,0,IF(P1202&lt;Matchup!$B$39,7,IF(P1202&lt;Matchup!$B$39+Matchup!$B$40,3,0)))</f>
        <v>0</v>
      </c>
      <c r="S1202" s="0" t="n">
        <f aca="false">IF($I1202&lt;&gt;$O1202,0,IF(Q1202&lt;Matchup!$C$39,7,IF(Q1202&lt;Matchup!$C$39+Matchup!$C$40,3,0)))</f>
        <v>0</v>
      </c>
      <c r="T1202" s="0" t="n">
        <f aca="false">I1202+R1202</f>
        <v>34</v>
      </c>
      <c r="U1202" s="0" t="n">
        <f aca="false">O1202+S1202</f>
        <v>28</v>
      </c>
      <c r="V1202" s="0" t="n">
        <f aca="false">T1202-U1202</f>
        <v>6</v>
      </c>
      <c r="W1202" s="0" t="n">
        <f aca="false">T1202+U1202</f>
        <v>62</v>
      </c>
    </row>
    <row r="1203" customFormat="false" ht="15" hidden="false" customHeight="false" outlineLevel="0" collapsed="false">
      <c r="A1203" s="0" t="n">
        <v>1200</v>
      </c>
      <c r="B1203" s="0" t="n">
        <f aca="true">NORMINV(RAND(),1,Coefficients!$B$22)</f>
        <v>0.949947886616092</v>
      </c>
      <c r="C1203" s="0" t="n">
        <f aca="true">MEDIAN(8,16,ROUND(NORMINV(RAND(),Coefficients!$B$20,Coefficients!$B$21),0))</f>
        <v>13</v>
      </c>
      <c r="D1203" s="0" t="n">
        <f aca="true">CRITBINOM($C1203,MIN(0.75,Matchup!$B$39*$B1203),RAND())</f>
        <v>5</v>
      </c>
      <c r="E1203" s="0" t="n">
        <f aca="true">CRITBINOM(D1203,Coefficients!$B$30,RAND())</f>
        <v>0</v>
      </c>
      <c r="F1203" s="0" t="n">
        <f aca="true">CRITBINOM(E1203,Coefficients!$B$31,RAND())</f>
        <v>0</v>
      </c>
      <c r="G1203" s="0" t="n">
        <f aca="true">CRITBINOM(MAX(0,D1203-E1203),1-Coefficients!$B$32,RAND())</f>
        <v>1</v>
      </c>
      <c r="H1203" s="0" t="n">
        <f aca="true">CRITBINOM(MAX(0,$C1203-D1203),MIN(0.6,Matchup!$B$40*SQRT($B1203)/(1-MIN(0.75,Matchup!$B$39*$B1203))),RAND())</f>
        <v>1</v>
      </c>
      <c r="I1203" s="0" t="n">
        <f aca="false">6*D1203+(D1203-E1203-G1203)+2*F1203+3*H1203</f>
        <v>37</v>
      </c>
      <c r="J1203" s="0" t="n">
        <f aca="true">CRITBINOM($C1203,MIN(0.75,Matchup!$C$39*$B1203),RAND())</f>
        <v>3</v>
      </c>
      <c r="K1203" s="0" t="n">
        <f aca="true">CRITBINOM(J1203,Coefficients!$B$30,RAND())</f>
        <v>2</v>
      </c>
      <c r="L1203" s="0" t="n">
        <f aca="true">CRITBINOM(K1203,Coefficients!$B$31,RAND())</f>
        <v>1</v>
      </c>
      <c r="M1203" s="0" t="n">
        <f aca="true">CRITBINOM(MAX(0,J1203-K1203),1-Coefficients!$B$32,RAND())</f>
        <v>0</v>
      </c>
      <c r="N1203" s="0" t="n">
        <f aca="true">CRITBINOM(MAX(0,$C1203-J1203),MIN(0.6,Matchup!$C$40*SQRT($B1203)/(1-MIN(0.75,Matchup!$C$39*$B1203))),RAND())</f>
        <v>2</v>
      </c>
      <c r="O1203" s="0" t="n">
        <f aca="false">6*J1203+(J1203-K1203-M1203)+2*L1203+3*N1203</f>
        <v>27</v>
      </c>
      <c r="P1203" s="0" t="n">
        <f aca="true">RAND()</f>
        <v>0.875541883624916</v>
      </c>
      <c r="Q1203" s="0" t="n">
        <f aca="true">RAND()</f>
        <v>0.442315544732984</v>
      </c>
      <c r="R1203" s="0" t="n">
        <f aca="false">IF($I1203&lt;&gt;$O1203,0,IF(P1203&lt;Matchup!$B$39,7,IF(P1203&lt;Matchup!$B$39+Matchup!$B$40,3,0)))</f>
        <v>0</v>
      </c>
      <c r="S1203" s="0" t="n">
        <f aca="false">IF($I1203&lt;&gt;$O1203,0,IF(Q1203&lt;Matchup!$C$39,7,IF(Q1203&lt;Matchup!$C$39+Matchup!$C$40,3,0)))</f>
        <v>0</v>
      </c>
      <c r="T1203" s="0" t="n">
        <f aca="false">I1203+R1203</f>
        <v>37</v>
      </c>
      <c r="U1203" s="0" t="n">
        <f aca="false">O1203+S1203</f>
        <v>27</v>
      </c>
      <c r="V1203" s="0" t="n">
        <f aca="false">T1203-U1203</f>
        <v>10</v>
      </c>
      <c r="W1203" s="0" t="n">
        <f aca="false">T1203+U1203</f>
        <v>64</v>
      </c>
    </row>
    <row r="1204" customFormat="false" ht="15" hidden="false" customHeight="false" outlineLevel="0" collapsed="false">
      <c r="A1204" s="0" t="n">
        <v>1201</v>
      </c>
      <c r="B1204" s="0" t="n">
        <f aca="true">NORMINV(RAND(),1,Coefficients!$B$22)</f>
        <v>1.12445493717909</v>
      </c>
      <c r="C1204" s="0" t="n">
        <f aca="true">MEDIAN(8,16,ROUND(NORMINV(RAND(),Coefficients!$B$20,Coefficients!$B$21),0))</f>
        <v>11</v>
      </c>
      <c r="D1204" s="0" t="n">
        <f aca="true">CRITBINOM($C1204,MIN(0.75,Matchup!$B$39*$B1204),RAND())</f>
        <v>2</v>
      </c>
      <c r="E1204" s="0" t="n">
        <f aca="true">CRITBINOM(D1204,Coefficients!$B$30,RAND())</f>
        <v>0</v>
      </c>
      <c r="F1204" s="0" t="n">
        <f aca="true">CRITBINOM(E1204,Coefficients!$B$31,RAND())</f>
        <v>0</v>
      </c>
      <c r="G1204" s="0" t="n">
        <f aca="true">CRITBINOM(MAX(0,D1204-E1204),1-Coefficients!$B$32,RAND())</f>
        <v>0</v>
      </c>
      <c r="H1204" s="0" t="n">
        <f aca="true">CRITBINOM(MAX(0,$C1204-D1204),MIN(0.6,Matchup!$B$40*SQRT($B1204)/(1-MIN(0.75,Matchup!$B$39*$B1204))),RAND())</f>
        <v>1</v>
      </c>
      <c r="I1204" s="0" t="n">
        <f aca="false">6*D1204+(D1204-E1204-G1204)+2*F1204+3*H1204</f>
        <v>17</v>
      </c>
      <c r="J1204" s="0" t="n">
        <f aca="true">CRITBINOM($C1204,MIN(0.75,Matchup!$C$39*$B1204),RAND())</f>
        <v>3</v>
      </c>
      <c r="K1204" s="0" t="n">
        <f aca="true">CRITBINOM(J1204,Coefficients!$B$30,RAND())</f>
        <v>0</v>
      </c>
      <c r="L1204" s="0" t="n">
        <f aca="true">CRITBINOM(K1204,Coefficients!$B$31,RAND())</f>
        <v>0</v>
      </c>
      <c r="M1204" s="0" t="n">
        <f aca="true">CRITBINOM(MAX(0,J1204-K1204),1-Coefficients!$B$32,RAND())</f>
        <v>0</v>
      </c>
      <c r="N1204" s="0" t="n">
        <f aca="true">CRITBINOM(MAX(0,$C1204-J1204),MIN(0.6,Matchup!$C$40*SQRT($B1204)/(1-MIN(0.75,Matchup!$C$39*$B1204))),RAND())</f>
        <v>2</v>
      </c>
      <c r="O1204" s="0" t="n">
        <f aca="false">6*J1204+(J1204-K1204-M1204)+2*L1204+3*N1204</f>
        <v>27</v>
      </c>
      <c r="P1204" s="0" t="n">
        <f aca="true">RAND()</f>
        <v>0.522794284962111</v>
      </c>
      <c r="Q1204" s="0" t="n">
        <f aca="true">RAND()</f>
        <v>0.591314681014326</v>
      </c>
      <c r="R1204" s="0" t="n">
        <f aca="false">IF($I1204&lt;&gt;$O1204,0,IF(P1204&lt;Matchup!$B$39,7,IF(P1204&lt;Matchup!$B$39+Matchup!$B$40,3,0)))</f>
        <v>0</v>
      </c>
      <c r="S1204" s="0" t="n">
        <f aca="false">IF($I1204&lt;&gt;$O1204,0,IF(Q1204&lt;Matchup!$C$39,7,IF(Q1204&lt;Matchup!$C$39+Matchup!$C$40,3,0)))</f>
        <v>0</v>
      </c>
      <c r="T1204" s="0" t="n">
        <f aca="false">I1204+R1204</f>
        <v>17</v>
      </c>
      <c r="U1204" s="0" t="n">
        <f aca="false">O1204+S1204</f>
        <v>27</v>
      </c>
      <c r="V1204" s="0" t="n">
        <f aca="false">T1204-U1204</f>
        <v>-10</v>
      </c>
      <c r="W1204" s="0" t="n">
        <f aca="false">T1204+U1204</f>
        <v>44</v>
      </c>
    </row>
    <row r="1205" customFormat="false" ht="15" hidden="false" customHeight="false" outlineLevel="0" collapsed="false">
      <c r="A1205" s="0" t="n">
        <v>1202</v>
      </c>
      <c r="B1205" s="0" t="n">
        <f aca="true">NORMINV(RAND(),1,Coefficients!$B$22)</f>
        <v>0.860509343072921</v>
      </c>
      <c r="C1205" s="0" t="n">
        <f aca="true">MEDIAN(8,16,ROUND(NORMINV(RAND(),Coefficients!$B$20,Coefficients!$B$21),0))</f>
        <v>14</v>
      </c>
      <c r="D1205" s="0" t="n">
        <f aca="true">CRITBINOM($C1205,MIN(0.75,Matchup!$B$39*$B1205),RAND())</f>
        <v>0</v>
      </c>
      <c r="E1205" s="0" t="n">
        <f aca="true">CRITBINOM(D1205,Coefficients!$B$30,RAND())</f>
        <v>0</v>
      </c>
      <c r="F1205" s="0" t="n">
        <f aca="true">CRITBINOM(E1205,Coefficients!$B$31,RAND())</f>
        <v>0</v>
      </c>
      <c r="G1205" s="0" t="n">
        <f aca="true">CRITBINOM(MAX(0,D1205-E1205),1-Coefficients!$B$32,RAND())</f>
        <v>0</v>
      </c>
      <c r="H1205" s="0" t="n">
        <f aca="true">CRITBINOM(MAX(0,$C1205-D1205),MIN(0.6,Matchup!$B$40*SQRT($B1205)/(1-MIN(0.75,Matchup!$B$39*$B1205))),RAND())</f>
        <v>2</v>
      </c>
      <c r="I1205" s="0" t="n">
        <f aca="false">6*D1205+(D1205-E1205-G1205)+2*F1205+3*H1205</f>
        <v>6</v>
      </c>
      <c r="J1205" s="0" t="n">
        <f aca="true">CRITBINOM($C1205,MIN(0.75,Matchup!$C$39*$B1205),RAND())</f>
        <v>2</v>
      </c>
      <c r="K1205" s="0" t="n">
        <f aca="true">CRITBINOM(J1205,Coefficients!$B$30,RAND())</f>
        <v>0</v>
      </c>
      <c r="L1205" s="0" t="n">
        <f aca="true">CRITBINOM(K1205,Coefficients!$B$31,RAND())</f>
        <v>0</v>
      </c>
      <c r="M1205" s="0" t="n">
        <f aca="true">CRITBINOM(MAX(0,J1205-K1205),1-Coefficients!$B$32,RAND())</f>
        <v>0</v>
      </c>
      <c r="N1205" s="0" t="n">
        <f aca="true">CRITBINOM(MAX(0,$C1205-J1205),MIN(0.6,Matchup!$C$40*SQRT($B1205)/(1-MIN(0.75,Matchup!$C$39*$B1205))),RAND())</f>
        <v>3</v>
      </c>
      <c r="O1205" s="0" t="n">
        <f aca="false">6*J1205+(J1205-K1205-M1205)+2*L1205+3*N1205</f>
        <v>23</v>
      </c>
      <c r="P1205" s="0" t="n">
        <f aca="true">RAND()</f>
        <v>0.540212792978896</v>
      </c>
      <c r="Q1205" s="0" t="n">
        <f aca="true">RAND()</f>
        <v>0.80796870726405</v>
      </c>
      <c r="R1205" s="0" t="n">
        <f aca="false">IF($I1205&lt;&gt;$O1205,0,IF(P1205&lt;Matchup!$B$39,7,IF(P1205&lt;Matchup!$B$39+Matchup!$B$40,3,0)))</f>
        <v>0</v>
      </c>
      <c r="S1205" s="0" t="n">
        <f aca="false">IF($I1205&lt;&gt;$O1205,0,IF(Q1205&lt;Matchup!$C$39,7,IF(Q1205&lt;Matchup!$C$39+Matchup!$C$40,3,0)))</f>
        <v>0</v>
      </c>
      <c r="T1205" s="0" t="n">
        <f aca="false">I1205+R1205</f>
        <v>6</v>
      </c>
      <c r="U1205" s="0" t="n">
        <f aca="false">O1205+S1205</f>
        <v>23</v>
      </c>
      <c r="V1205" s="0" t="n">
        <f aca="false">T1205-U1205</f>
        <v>-17</v>
      </c>
      <c r="W1205" s="0" t="n">
        <f aca="false">T1205+U1205</f>
        <v>29</v>
      </c>
    </row>
    <row r="1206" customFormat="false" ht="15" hidden="false" customHeight="false" outlineLevel="0" collapsed="false">
      <c r="A1206" s="0" t="n">
        <v>1203</v>
      </c>
      <c r="B1206" s="0" t="n">
        <f aca="true">NORMINV(RAND(),1,Coefficients!$B$22)</f>
        <v>0.996769515147852</v>
      </c>
      <c r="C1206" s="0" t="n">
        <f aca="true">MEDIAN(8,16,ROUND(NORMINV(RAND(),Coefficients!$B$20,Coefficients!$B$21),0))</f>
        <v>10</v>
      </c>
      <c r="D1206" s="0" t="n">
        <f aca="true">CRITBINOM($C1206,MIN(0.75,Matchup!$B$39*$B1206),RAND())</f>
        <v>4</v>
      </c>
      <c r="E1206" s="0" t="n">
        <f aca="true">CRITBINOM(D1206,Coefficients!$B$30,RAND())</f>
        <v>0</v>
      </c>
      <c r="F1206" s="0" t="n">
        <f aca="true">CRITBINOM(E1206,Coefficients!$B$31,RAND())</f>
        <v>0</v>
      </c>
      <c r="G1206" s="0" t="n">
        <f aca="true">CRITBINOM(MAX(0,D1206-E1206),1-Coefficients!$B$32,RAND())</f>
        <v>0</v>
      </c>
      <c r="H1206" s="0" t="n">
        <f aca="true">CRITBINOM(MAX(0,$C1206-D1206),MIN(0.6,Matchup!$B$40*SQRT($B1206)/(1-MIN(0.75,Matchup!$B$39*$B1206))),RAND())</f>
        <v>2</v>
      </c>
      <c r="I1206" s="0" t="n">
        <f aca="false">6*D1206+(D1206-E1206-G1206)+2*F1206+3*H1206</f>
        <v>34</v>
      </c>
      <c r="J1206" s="0" t="n">
        <f aca="true">CRITBINOM($C1206,MIN(0.75,Matchup!$C$39*$B1206),RAND())</f>
        <v>2</v>
      </c>
      <c r="K1206" s="0" t="n">
        <f aca="true">CRITBINOM(J1206,Coefficients!$B$30,RAND())</f>
        <v>0</v>
      </c>
      <c r="L1206" s="0" t="n">
        <f aca="true">CRITBINOM(K1206,Coefficients!$B$31,RAND())</f>
        <v>0</v>
      </c>
      <c r="M1206" s="0" t="n">
        <f aca="true">CRITBINOM(MAX(0,J1206-K1206),1-Coefficients!$B$32,RAND())</f>
        <v>0</v>
      </c>
      <c r="N1206" s="0" t="n">
        <f aca="true">CRITBINOM(MAX(0,$C1206-J1206),MIN(0.6,Matchup!$C$40*SQRT($B1206)/(1-MIN(0.75,Matchup!$C$39*$B1206))),RAND())</f>
        <v>0</v>
      </c>
      <c r="O1206" s="0" t="n">
        <f aca="false">6*J1206+(J1206-K1206-M1206)+2*L1206+3*N1206</f>
        <v>14</v>
      </c>
      <c r="P1206" s="0" t="n">
        <f aca="true">RAND()</f>
        <v>0.0831722482588323</v>
      </c>
      <c r="Q1206" s="0" t="n">
        <f aca="true">RAND()</f>
        <v>0.100655767617119</v>
      </c>
      <c r="R1206" s="0" t="n">
        <f aca="false">IF($I1206&lt;&gt;$O1206,0,IF(P1206&lt;Matchup!$B$39,7,IF(P1206&lt;Matchup!$B$39+Matchup!$B$40,3,0)))</f>
        <v>0</v>
      </c>
      <c r="S1206" s="0" t="n">
        <f aca="false">IF($I1206&lt;&gt;$O1206,0,IF(Q1206&lt;Matchup!$C$39,7,IF(Q1206&lt;Matchup!$C$39+Matchup!$C$40,3,0)))</f>
        <v>0</v>
      </c>
      <c r="T1206" s="0" t="n">
        <f aca="false">I1206+R1206</f>
        <v>34</v>
      </c>
      <c r="U1206" s="0" t="n">
        <f aca="false">O1206+S1206</f>
        <v>14</v>
      </c>
      <c r="V1206" s="0" t="n">
        <f aca="false">T1206-U1206</f>
        <v>20</v>
      </c>
      <c r="W1206" s="0" t="n">
        <f aca="false">T1206+U1206</f>
        <v>48</v>
      </c>
    </row>
    <row r="1207" customFormat="false" ht="15" hidden="false" customHeight="false" outlineLevel="0" collapsed="false">
      <c r="A1207" s="0" t="n">
        <v>1204</v>
      </c>
      <c r="B1207" s="0" t="n">
        <f aca="true">NORMINV(RAND(),1,Coefficients!$B$22)</f>
        <v>1.03289193683059</v>
      </c>
      <c r="C1207" s="0" t="n">
        <f aca="true">MEDIAN(8,16,ROUND(NORMINV(RAND(),Coefficients!$B$20,Coefficients!$B$21),0))</f>
        <v>11</v>
      </c>
      <c r="D1207" s="0" t="n">
        <f aca="true">CRITBINOM($C1207,MIN(0.75,Matchup!$B$39*$B1207),RAND())</f>
        <v>1</v>
      </c>
      <c r="E1207" s="0" t="n">
        <f aca="true">CRITBINOM(D1207,Coefficients!$B$30,RAND())</f>
        <v>0</v>
      </c>
      <c r="F1207" s="0" t="n">
        <f aca="true">CRITBINOM(E1207,Coefficients!$B$31,RAND())</f>
        <v>0</v>
      </c>
      <c r="G1207" s="0" t="n">
        <f aca="true">CRITBINOM(MAX(0,D1207-E1207),1-Coefficients!$B$32,RAND())</f>
        <v>0</v>
      </c>
      <c r="H1207" s="0" t="n">
        <f aca="true">CRITBINOM(MAX(0,$C1207-D1207),MIN(0.6,Matchup!$B$40*SQRT($B1207)/(1-MIN(0.75,Matchup!$B$39*$B1207))),RAND())</f>
        <v>1</v>
      </c>
      <c r="I1207" s="0" t="n">
        <f aca="false">6*D1207+(D1207-E1207-G1207)+2*F1207+3*H1207</f>
        <v>10</v>
      </c>
      <c r="J1207" s="0" t="n">
        <f aca="true">CRITBINOM($C1207,MIN(0.75,Matchup!$C$39*$B1207),RAND())</f>
        <v>2</v>
      </c>
      <c r="K1207" s="0" t="n">
        <f aca="true">CRITBINOM(J1207,Coefficients!$B$30,RAND())</f>
        <v>0</v>
      </c>
      <c r="L1207" s="0" t="n">
        <f aca="true">CRITBINOM(K1207,Coefficients!$B$31,RAND())</f>
        <v>0</v>
      </c>
      <c r="M1207" s="0" t="n">
        <f aca="true">CRITBINOM(MAX(0,J1207-K1207),1-Coefficients!$B$32,RAND())</f>
        <v>0</v>
      </c>
      <c r="N1207" s="0" t="n">
        <f aca="true">CRITBINOM(MAX(0,$C1207-J1207),MIN(0.6,Matchup!$C$40*SQRT($B1207)/(1-MIN(0.75,Matchup!$C$39*$B1207))),RAND())</f>
        <v>3</v>
      </c>
      <c r="O1207" s="0" t="n">
        <f aca="false">6*J1207+(J1207-K1207-M1207)+2*L1207+3*N1207</f>
        <v>23</v>
      </c>
      <c r="P1207" s="0" t="n">
        <f aca="true">RAND()</f>
        <v>0.0901388984948361</v>
      </c>
      <c r="Q1207" s="0" t="n">
        <f aca="true">RAND()</f>
        <v>0.127608239070904</v>
      </c>
      <c r="R1207" s="0" t="n">
        <f aca="false">IF($I1207&lt;&gt;$O1207,0,IF(P1207&lt;Matchup!$B$39,7,IF(P1207&lt;Matchup!$B$39+Matchup!$B$40,3,0)))</f>
        <v>0</v>
      </c>
      <c r="S1207" s="0" t="n">
        <f aca="false">IF($I1207&lt;&gt;$O1207,0,IF(Q1207&lt;Matchup!$C$39,7,IF(Q1207&lt;Matchup!$C$39+Matchup!$C$40,3,0)))</f>
        <v>0</v>
      </c>
      <c r="T1207" s="0" t="n">
        <f aca="false">I1207+R1207</f>
        <v>10</v>
      </c>
      <c r="U1207" s="0" t="n">
        <f aca="false">O1207+S1207</f>
        <v>23</v>
      </c>
      <c r="V1207" s="0" t="n">
        <f aca="false">T1207-U1207</f>
        <v>-13</v>
      </c>
      <c r="W1207" s="0" t="n">
        <f aca="false">T1207+U1207</f>
        <v>33</v>
      </c>
    </row>
    <row r="1208" customFormat="false" ht="15" hidden="false" customHeight="false" outlineLevel="0" collapsed="false">
      <c r="A1208" s="0" t="n">
        <v>1205</v>
      </c>
      <c r="B1208" s="0" t="n">
        <f aca="true">NORMINV(RAND(),1,Coefficients!$B$22)</f>
        <v>1.12315673176678</v>
      </c>
      <c r="C1208" s="0" t="n">
        <f aca="true">MEDIAN(8,16,ROUND(NORMINV(RAND(),Coefficients!$B$20,Coefficients!$B$21),0))</f>
        <v>11</v>
      </c>
      <c r="D1208" s="0" t="n">
        <f aca="true">CRITBINOM($C1208,MIN(0.75,Matchup!$B$39*$B1208),RAND())</f>
        <v>2</v>
      </c>
      <c r="E1208" s="0" t="n">
        <f aca="true">CRITBINOM(D1208,Coefficients!$B$30,RAND())</f>
        <v>0</v>
      </c>
      <c r="F1208" s="0" t="n">
        <f aca="true">CRITBINOM(E1208,Coefficients!$B$31,RAND())</f>
        <v>0</v>
      </c>
      <c r="G1208" s="0" t="n">
        <f aca="true">CRITBINOM(MAX(0,D1208-E1208),1-Coefficients!$B$32,RAND())</f>
        <v>1</v>
      </c>
      <c r="H1208" s="0" t="n">
        <f aca="true">CRITBINOM(MAX(0,$C1208-D1208),MIN(0.6,Matchup!$B$40*SQRT($B1208)/(1-MIN(0.75,Matchup!$B$39*$B1208))),RAND())</f>
        <v>5</v>
      </c>
      <c r="I1208" s="0" t="n">
        <f aca="false">6*D1208+(D1208-E1208-G1208)+2*F1208+3*H1208</f>
        <v>28</v>
      </c>
      <c r="J1208" s="0" t="n">
        <f aca="true">CRITBINOM($C1208,MIN(0.75,Matchup!$C$39*$B1208),RAND())</f>
        <v>1</v>
      </c>
      <c r="K1208" s="0" t="n">
        <f aca="true">CRITBINOM(J1208,Coefficients!$B$30,RAND())</f>
        <v>0</v>
      </c>
      <c r="L1208" s="0" t="n">
        <f aca="true">CRITBINOM(K1208,Coefficients!$B$31,RAND())</f>
        <v>0</v>
      </c>
      <c r="M1208" s="0" t="n">
        <f aca="true">CRITBINOM(MAX(0,J1208-K1208),1-Coefficients!$B$32,RAND())</f>
        <v>0</v>
      </c>
      <c r="N1208" s="0" t="n">
        <f aca="true">CRITBINOM(MAX(0,$C1208-J1208),MIN(0.6,Matchup!$C$40*SQRT($B1208)/(1-MIN(0.75,Matchup!$C$39*$B1208))),RAND())</f>
        <v>2</v>
      </c>
      <c r="O1208" s="0" t="n">
        <f aca="false">6*J1208+(J1208-K1208-M1208)+2*L1208+3*N1208</f>
        <v>13</v>
      </c>
      <c r="P1208" s="0" t="n">
        <f aca="true">RAND()</f>
        <v>0.430806354148518</v>
      </c>
      <c r="Q1208" s="0" t="n">
        <f aca="true">RAND()</f>
        <v>0.312294024543168</v>
      </c>
      <c r="R1208" s="0" t="n">
        <f aca="false">IF($I1208&lt;&gt;$O1208,0,IF(P1208&lt;Matchup!$B$39,7,IF(P1208&lt;Matchup!$B$39+Matchup!$B$40,3,0)))</f>
        <v>0</v>
      </c>
      <c r="S1208" s="0" t="n">
        <f aca="false">IF($I1208&lt;&gt;$O1208,0,IF(Q1208&lt;Matchup!$C$39,7,IF(Q1208&lt;Matchup!$C$39+Matchup!$C$40,3,0)))</f>
        <v>0</v>
      </c>
      <c r="T1208" s="0" t="n">
        <f aca="false">I1208+R1208</f>
        <v>28</v>
      </c>
      <c r="U1208" s="0" t="n">
        <f aca="false">O1208+S1208</f>
        <v>13</v>
      </c>
      <c r="V1208" s="0" t="n">
        <f aca="false">T1208-U1208</f>
        <v>15</v>
      </c>
      <c r="W1208" s="0" t="n">
        <f aca="false">T1208+U1208</f>
        <v>41</v>
      </c>
    </row>
    <row r="1209" customFormat="false" ht="15" hidden="false" customHeight="false" outlineLevel="0" collapsed="false">
      <c r="A1209" s="0" t="n">
        <v>1206</v>
      </c>
      <c r="B1209" s="0" t="n">
        <f aca="true">NORMINV(RAND(),1,Coefficients!$B$22)</f>
        <v>0.989324266899963</v>
      </c>
      <c r="C1209" s="0" t="n">
        <f aca="true">MEDIAN(8,16,ROUND(NORMINV(RAND(),Coefficients!$B$20,Coefficients!$B$21),0))</f>
        <v>12</v>
      </c>
      <c r="D1209" s="0" t="n">
        <f aca="true">CRITBINOM($C1209,MIN(0.75,Matchup!$B$39*$B1209),RAND())</f>
        <v>4</v>
      </c>
      <c r="E1209" s="0" t="n">
        <f aca="true">CRITBINOM(D1209,Coefficients!$B$30,RAND())</f>
        <v>0</v>
      </c>
      <c r="F1209" s="0" t="n">
        <f aca="true">CRITBINOM(E1209,Coefficients!$B$31,RAND())</f>
        <v>0</v>
      </c>
      <c r="G1209" s="0" t="n">
        <f aca="true">CRITBINOM(MAX(0,D1209-E1209),1-Coefficients!$B$32,RAND())</f>
        <v>0</v>
      </c>
      <c r="H1209" s="0" t="n">
        <f aca="true">CRITBINOM(MAX(0,$C1209-D1209),MIN(0.6,Matchup!$B$40*SQRT($B1209)/(1-MIN(0.75,Matchup!$B$39*$B1209))),RAND())</f>
        <v>1</v>
      </c>
      <c r="I1209" s="0" t="n">
        <f aca="false">6*D1209+(D1209-E1209-G1209)+2*F1209+3*H1209</f>
        <v>31</v>
      </c>
      <c r="J1209" s="0" t="n">
        <f aca="true">CRITBINOM($C1209,MIN(0.75,Matchup!$C$39*$B1209),RAND())</f>
        <v>1</v>
      </c>
      <c r="K1209" s="0" t="n">
        <f aca="true">CRITBINOM(J1209,Coefficients!$B$30,RAND())</f>
        <v>0</v>
      </c>
      <c r="L1209" s="0" t="n">
        <f aca="true">CRITBINOM(K1209,Coefficients!$B$31,RAND())</f>
        <v>0</v>
      </c>
      <c r="M1209" s="0" t="n">
        <f aca="true">CRITBINOM(MAX(0,J1209-K1209),1-Coefficients!$B$32,RAND())</f>
        <v>0</v>
      </c>
      <c r="N1209" s="0" t="n">
        <f aca="true">CRITBINOM(MAX(0,$C1209-J1209),MIN(0.6,Matchup!$C$40*SQRT($B1209)/(1-MIN(0.75,Matchup!$C$39*$B1209))),RAND())</f>
        <v>4</v>
      </c>
      <c r="O1209" s="0" t="n">
        <f aca="false">6*J1209+(J1209-K1209-M1209)+2*L1209+3*N1209</f>
        <v>19</v>
      </c>
      <c r="P1209" s="0" t="n">
        <f aca="true">RAND()</f>
        <v>0.620192785229454</v>
      </c>
      <c r="Q1209" s="0" t="n">
        <f aca="true">RAND()</f>
        <v>0.191507459970306</v>
      </c>
      <c r="R1209" s="0" t="n">
        <f aca="false">IF($I1209&lt;&gt;$O1209,0,IF(P1209&lt;Matchup!$B$39,7,IF(P1209&lt;Matchup!$B$39+Matchup!$B$40,3,0)))</f>
        <v>0</v>
      </c>
      <c r="S1209" s="0" t="n">
        <f aca="false">IF($I1209&lt;&gt;$O1209,0,IF(Q1209&lt;Matchup!$C$39,7,IF(Q1209&lt;Matchup!$C$39+Matchup!$C$40,3,0)))</f>
        <v>0</v>
      </c>
      <c r="T1209" s="0" t="n">
        <f aca="false">I1209+R1209</f>
        <v>31</v>
      </c>
      <c r="U1209" s="0" t="n">
        <f aca="false">O1209+S1209</f>
        <v>19</v>
      </c>
      <c r="V1209" s="0" t="n">
        <f aca="false">T1209-U1209</f>
        <v>12</v>
      </c>
      <c r="W1209" s="0" t="n">
        <f aca="false">T1209+U1209</f>
        <v>50</v>
      </c>
    </row>
    <row r="1210" customFormat="false" ht="15" hidden="false" customHeight="false" outlineLevel="0" collapsed="false">
      <c r="A1210" s="0" t="n">
        <v>1207</v>
      </c>
      <c r="B1210" s="0" t="n">
        <f aca="true">NORMINV(RAND(),1,Coefficients!$B$22)</f>
        <v>1.05090930265552</v>
      </c>
      <c r="C1210" s="0" t="n">
        <f aca="true">MEDIAN(8,16,ROUND(NORMINV(RAND(),Coefficients!$B$20,Coefficients!$B$21),0))</f>
        <v>12</v>
      </c>
      <c r="D1210" s="0" t="n">
        <f aca="true">CRITBINOM($C1210,MIN(0.75,Matchup!$B$39*$B1210),RAND())</f>
        <v>5</v>
      </c>
      <c r="E1210" s="0" t="n">
        <f aca="true">CRITBINOM(D1210,Coefficients!$B$30,RAND())</f>
        <v>0</v>
      </c>
      <c r="F1210" s="0" t="n">
        <f aca="true">CRITBINOM(E1210,Coefficients!$B$31,RAND())</f>
        <v>0</v>
      </c>
      <c r="G1210" s="0" t="n">
        <f aca="true">CRITBINOM(MAX(0,D1210-E1210),1-Coefficients!$B$32,RAND())</f>
        <v>0</v>
      </c>
      <c r="H1210" s="0" t="n">
        <f aca="true">CRITBINOM(MAX(0,$C1210-D1210),MIN(0.6,Matchup!$B$40*SQRT($B1210)/(1-MIN(0.75,Matchup!$B$39*$B1210))),RAND())</f>
        <v>0</v>
      </c>
      <c r="I1210" s="0" t="n">
        <f aca="false">6*D1210+(D1210-E1210-G1210)+2*F1210+3*H1210</f>
        <v>35</v>
      </c>
      <c r="J1210" s="0" t="n">
        <f aca="true">CRITBINOM($C1210,MIN(0.75,Matchup!$C$39*$B1210),RAND())</f>
        <v>6</v>
      </c>
      <c r="K1210" s="0" t="n">
        <f aca="true">CRITBINOM(J1210,Coefficients!$B$30,RAND())</f>
        <v>0</v>
      </c>
      <c r="L1210" s="0" t="n">
        <f aca="true">CRITBINOM(K1210,Coefficients!$B$31,RAND())</f>
        <v>0</v>
      </c>
      <c r="M1210" s="0" t="n">
        <f aca="true">CRITBINOM(MAX(0,J1210-K1210),1-Coefficients!$B$32,RAND())</f>
        <v>1</v>
      </c>
      <c r="N1210" s="0" t="n">
        <f aca="true">CRITBINOM(MAX(0,$C1210-J1210),MIN(0.6,Matchup!$C$40*SQRT($B1210)/(1-MIN(0.75,Matchup!$C$39*$B1210))),RAND())</f>
        <v>0</v>
      </c>
      <c r="O1210" s="0" t="n">
        <f aca="false">6*J1210+(J1210-K1210-M1210)+2*L1210+3*N1210</f>
        <v>41</v>
      </c>
      <c r="P1210" s="0" t="n">
        <f aca="true">RAND()</f>
        <v>0.354434631827684</v>
      </c>
      <c r="Q1210" s="0" t="n">
        <f aca="true">RAND()</f>
        <v>0.884144518515527</v>
      </c>
      <c r="R1210" s="0" t="n">
        <f aca="false">IF($I1210&lt;&gt;$O1210,0,IF(P1210&lt;Matchup!$B$39,7,IF(P1210&lt;Matchup!$B$39+Matchup!$B$40,3,0)))</f>
        <v>0</v>
      </c>
      <c r="S1210" s="0" t="n">
        <f aca="false">IF($I1210&lt;&gt;$O1210,0,IF(Q1210&lt;Matchup!$C$39,7,IF(Q1210&lt;Matchup!$C$39+Matchup!$C$40,3,0)))</f>
        <v>0</v>
      </c>
      <c r="T1210" s="0" t="n">
        <f aca="false">I1210+R1210</f>
        <v>35</v>
      </c>
      <c r="U1210" s="0" t="n">
        <f aca="false">O1210+S1210</f>
        <v>41</v>
      </c>
      <c r="V1210" s="0" t="n">
        <f aca="false">T1210-U1210</f>
        <v>-6</v>
      </c>
      <c r="W1210" s="0" t="n">
        <f aca="false">T1210+U1210</f>
        <v>76</v>
      </c>
    </row>
    <row r="1211" customFormat="false" ht="15" hidden="false" customHeight="false" outlineLevel="0" collapsed="false">
      <c r="A1211" s="0" t="n">
        <v>1208</v>
      </c>
      <c r="B1211" s="0" t="n">
        <f aca="true">NORMINV(RAND(),1,Coefficients!$B$22)</f>
        <v>0.973289300149931</v>
      </c>
      <c r="C1211" s="0" t="n">
        <f aca="true">MEDIAN(8,16,ROUND(NORMINV(RAND(),Coefficients!$B$20,Coefficients!$B$21),0))</f>
        <v>11</v>
      </c>
      <c r="D1211" s="0" t="n">
        <f aca="true">CRITBINOM($C1211,MIN(0.75,Matchup!$B$39*$B1211),RAND())</f>
        <v>3</v>
      </c>
      <c r="E1211" s="0" t="n">
        <f aca="true">CRITBINOM(D1211,Coefficients!$B$30,RAND())</f>
        <v>0</v>
      </c>
      <c r="F1211" s="0" t="n">
        <f aca="true">CRITBINOM(E1211,Coefficients!$B$31,RAND())</f>
        <v>0</v>
      </c>
      <c r="G1211" s="0" t="n">
        <f aca="true">CRITBINOM(MAX(0,D1211-E1211),1-Coefficients!$B$32,RAND())</f>
        <v>0</v>
      </c>
      <c r="H1211" s="0" t="n">
        <f aca="true">CRITBINOM(MAX(0,$C1211-D1211),MIN(0.6,Matchup!$B$40*SQRT($B1211)/(1-MIN(0.75,Matchup!$B$39*$B1211))),RAND())</f>
        <v>1</v>
      </c>
      <c r="I1211" s="0" t="n">
        <f aca="false">6*D1211+(D1211-E1211-G1211)+2*F1211+3*H1211</f>
        <v>24</v>
      </c>
      <c r="J1211" s="0" t="n">
        <f aca="true">CRITBINOM($C1211,MIN(0.75,Matchup!$C$39*$B1211),RAND())</f>
        <v>2</v>
      </c>
      <c r="K1211" s="0" t="n">
        <f aca="true">CRITBINOM(J1211,Coefficients!$B$30,RAND())</f>
        <v>0</v>
      </c>
      <c r="L1211" s="0" t="n">
        <f aca="true">CRITBINOM(K1211,Coefficients!$B$31,RAND())</f>
        <v>0</v>
      </c>
      <c r="M1211" s="0" t="n">
        <f aca="true">CRITBINOM(MAX(0,J1211-K1211),1-Coefficients!$B$32,RAND())</f>
        <v>0</v>
      </c>
      <c r="N1211" s="0" t="n">
        <f aca="true">CRITBINOM(MAX(0,$C1211-J1211),MIN(0.6,Matchup!$C$40*SQRT($B1211)/(1-MIN(0.75,Matchup!$C$39*$B1211))),RAND())</f>
        <v>0</v>
      </c>
      <c r="O1211" s="0" t="n">
        <f aca="false">6*J1211+(J1211-K1211-M1211)+2*L1211+3*N1211</f>
        <v>14</v>
      </c>
      <c r="P1211" s="0" t="n">
        <f aca="true">RAND()</f>
        <v>0.417406004489431</v>
      </c>
      <c r="Q1211" s="0" t="n">
        <f aca="true">RAND()</f>
        <v>0.189590035658644</v>
      </c>
      <c r="R1211" s="0" t="n">
        <f aca="false">IF($I1211&lt;&gt;$O1211,0,IF(P1211&lt;Matchup!$B$39,7,IF(P1211&lt;Matchup!$B$39+Matchup!$B$40,3,0)))</f>
        <v>0</v>
      </c>
      <c r="S1211" s="0" t="n">
        <f aca="false">IF($I1211&lt;&gt;$O1211,0,IF(Q1211&lt;Matchup!$C$39,7,IF(Q1211&lt;Matchup!$C$39+Matchup!$C$40,3,0)))</f>
        <v>0</v>
      </c>
      <c r="T1211" s="0" t="n">
        <f aca="false">I1211+R1211</f>
        <v>24</v>
      </c>
      <c r="U1211" s="0" t="n">
        <f aca="false">O1211+S1211</f>
        <v>14</v>
      </c>
      <c r="V1211" s="0" t="n">
        <f aca="false">T1211-U1211</f>
        <v>10</v>
      </c>
      <c r="W1211" s="0" t="n">
        <f aca="false">T1211+U1211</f>
        <v>38</v>
      </c>
    </row>
    <row r="1212" customFormat="false" ht="15" hidden="false" customHeight="false" outlineLevel="0" collapsed="false">
      <c r="A1212" s="0" t="n">
        <v>1209</v>
      </c>
      <c r="B1212" s="0" t="n">
        <f aca="true">NORMINV(RAND(),1,Coefficients!$B$22)</f>
        <v>1.00233464284944</v>
      </c>
      <c r="C1212" s="0" t="n">
        <f aca="true">MEDIAN(8,16,ROUND(NORMINV(RAND(),Coefficients!$B$20,Coefficients!$B$21),0))</f>
        <v>10</v>
      </c>
      <c r="D1212" s="0" t="n">
        <f aca="true">CRITBINOM($C1212,MIN(0.75,Matchup!$B$39*$B1212),RAND())</f>
        <v>1</v>
      </c>
      <c r="E1212" s="0" t="n">
        <f aca="true">CRITBINOM(D1212,Coefficients!$B$30,RAND())</f>
        <v>0</v>
      </c>
      <c r="F1212" s="0" t="n">
        <f aca="true">CRITBINOM(E1212,Coefficients!$B$31,RAND())</f>
        <v>0</v>
      </c>
      <c r="G1212" s="0" t="n">
        <f aca="true">CRITBINOM(MAX(0,D1212-E1212),1-Coefficients!$B$32,RAND())</f>
        <v>0</v>
      </c>
      <c r="H1212" s="0" t="n">
        <f aca="true">CRITBINOM(MAX(0,$C1212-D1212),MIN(0.6,Matchup!$B$40*SQRT($B1212)/(1-MIN(0.75,Matchup!$B$39*$B1212))),RAND())</f>
        <v>1</v>
      </c>
      <c r="I1212" s="0" t="n">
        <f aca="false">6*D1212+(D1212-E1212-G1212)+2*F1212+3*H1212</f>
        <v>10</v>
      </c>
      <c r="J1212" s="0" t="n">
        <f aca="true">CRITBINOM($C1212,MIN(0.75,Matchup!$C$39*$B1212),RAND())</f>
        <v>3</v>
      </c>
      <c r="K1212" s="0" t="n">
        <f aca="true">CRITBINOM(J1212,Coefficients!$B$30,RAND())</f>
        <v>1</v>
      </c>
      <c r="L1212" s="0" t="n">
        <f aca="true">CRITBINOM(K1212,Coefficients!$B$31,RAND())</f>
        <v>0</v>
      </c>
      <c r="M1212" s="0" t="n">
        <f aca="true">CRITBINOM(MAX(0,J1212-K1212),1-Coefficients!$B$32,RAND())</f>
        <v>0</v>
      </c>
      <c r="N1212" s="0" t="n">
        <f aca="true">CRITBINOM(MAX(0,$C1212-J1212),MIN(0.6,Matchup!$C$40*SQRT($B1212)/(1-MIN(0.75,Matchup!$C$39*$B1212))),RAND())</f>
        <v>0</v>
      </c>
      <c r="O1212" s="0" t="n">
        <f aca="false">6*J1212+(J1212-K1212-M1212)+2*L1212+3*N1212</f>
        <v>20</v>
      </c>
      <c r="P1212" s="0" t="n">
        <f aca="true">RAND()</f>
        <v>0.708881928209247</v>
      </c>
      <c r="Q1212" s="0" t="n">
        <f aca="true">RAND()</f>
        <v>0.476288699126372</v>
      </c>
      <c r="R1212" s="0" t="n">
        <f aca="false">IF($I1212&lt;&gt;$O1212,0,IF(P1212&lt;Matchup!$B$39,7,IF(P1212&lt;Matchup!$B$39+Matchup!$B$40,3,0)))</f>
        <v>0</v>
      </c>
      <c r="S1212" s="0" t="n">
        <f aca="false">IF($I1212&lt;&gt;$O1212,0,IF(Q1212&lt;Matchup!$C$39,7,IF(Q1212&lt;Matchup!$C$39+Matchup!$C$40,3,0)))</f>
        <v>0</v>
      </c>
      <c r="T1212" s="0" t="n">
        <f aca="false">I1212+R1212</f>
        <v>10</v>
      </c>
      <c r="U1212" s="0" t="n">
        <f aca="false">O1212+S1212</f>
        <v>20</v>
      </c>
      <c r="V1212" s="0" t="n">
        <f aca="false">T1212-U1212</f>
        <v>-10</v>
      </c>
      <c r="W1212" s="0" t="n">
        <f aca="false">T1212+U1212</f>
        <v>30</v>
      </c>
    </row>
    <row r="1213" customFormat="false" ht="15" hidden="false" customHeight="false" outlineLevel="0" collapsed="false">
      <c r="A1213" s="0" t="n">
        <v>1210</v>
      </c>
      <c r="B1213" s="0" t="n">
        <f aca="true">NORMINV(RAND(),1,Coefficients!$B$22)</f>
        <v>1.0045562506244</v>
      </c>
      <c r="C1213" s="0" t="n">
        <f aca="true">MEDIAN(8,16,ROUND(NORMINV(RAND(),Coefficients!$B$20,Coefficients!$B$21),0))</f>
        <v>11</v>
      </c>
      <c r="D1213" s="0" t="n">
        <f aca="true">CRITBINOM($C1213,MIN(0.75,Matchup!$B$39*$B1213),RAND())</f>
        <v>2</v>
      </c>
      <c r="E1213" s="0" t="n">
        <f aca="true">CRITBINOM(D1213,Coefficients!$B$30,RAND())</f>
        <v>0</v>
      </c>
      <c r="F1213" s="0" t="n">
        <f aca="true">CRITBINOM(E1213,Coefficients!$B$31,RAND())</f>
        <v>0</v>
      </c>
      <c r="G1213" s="0" t="n">
        <f aca="true">CRITBINOM(MAX(0,D1213-E1213),1-Coefficients!$B$32,RAND())</f>
        <v>0</v>
      </c>
      <c r="H1213" s="0" t="n">
        <f aca="true">CRITBINOM(MAX(0,$C1213-D1213),MIN(0.6,Matchup!$B$40*SQRT($B1213)/(1-MIN(0.75,Matchup!$B$39*$B1213))),RAND())</f>
        <v>3</v>
      </c>
      <c r="I1213" s="0" t="n">
        <f aca="false">6*D1213+(D1213-E1213-G1213)+2*F1213+3*H1213</f>
        <v>23</v>
      </c>
      <c r="J1213" s="0" t="n">
        <f aca="true">CRITBINOM($C1213,MIN(0.75,Matchup!$C$39*$B1213),RAND())</f>
        <v>2</v>
      </c>
      <c r="K1213" s="0" t="n">
        <f aca="true">CRITBINOM(J1213,Coefficients!$B$30,RAND())</f>
        <v>1</v>
      </c>
      <c r="L1213" s="0" t="n">
        <f aca="true">CRITBINOM(K1213,Coefficients!$B$31,RAND())</f>
        <v>1</v>
      </c>
      <c r="M1213" s="0" t="n">
        <f aca="true">CRITBINOM(MAX(0,J1213-K1213),1-Coefficients!$B$32,RAND())</f>
        <v>0</v>
      </c>
      <c r="N1213" s="0" t="n">
        <f aca="true">CRITBINOM(MAX(0,$C1213-J1213),MIN(0.6,Matchup!$C$40*SQRT($B1213)/(1-MIN(0.75,Matchup!$C$39*$B1213))),RAND())</f>
        <v>2</v>
      </c>
      <c r="O1213" s="0" t="n">
        <f aca="false">6*J1213+(J1213-K1213-M1213)+2*L1213+3*N1213</f>
        <v>21</v>
      </c>
      <c r="P1213" s="0" t="n">
        <f aca="true">RAND()</f>
        <v>0.293029193982663</v>
      </c>
      <c r="Q1213" s="0" t="n">
        <f aca="true">RAND()</f>
        <v>0.676173978102246</v>
      </c>
      <c r="R1213" s="0" t="n">
        <f aca="false">IF($I1213&lt;&gt;$O1213,0,IF(P1213&lt;Matchup!$B$39,7,IF(P1213&lt;Matchup!$B$39+Matchup!$B$40,3,0)))</f>
        <v>0</v>
      </c>
      <c r="S1213" s="0" t="n">
        <f aca="false">IF($I1213&lt;&gt;$O1213,0,IF(Q1213&lt;Matchup!$C$39,7,IF(Q1213&lt;Matchup!$C$39+Matchup!$C$40,3,0)))</f>
        <v>0</v>
      </c>
      <c r="T1213" s="0" t="n">
        <f aca="false">I1213+R1213</f>
        <v>23</v>
      </c>
      <c r="U1213" s="0" t="n">
        <f aca="false">O1213+S1213</f>
        <v>21</v>
      </c>
      <c r="V1213" s="0" t="n">
        <f aca="false">T1213-U1213</f>
        <v>2</v>
      </c>
      <c r="W1213" s="0" t="n">
        <f aca="false">T1213+U1213</f>
        <v>44</v>
      </c>
    </row>
    <row r="1214" customFormat="false" ht="15" hidden="false" customHeight="false" outlineLevel="0" collapsed="false">
      <c r="A1214" s="0" t="n">
        <v>1211</v>
      </c>
      <c r="B1214" s="0" t="n">
        <f aca="true">NORMINV(RAND(),1,Coefficients!$B$22)</f>
        <v>0.956484308392018</v>
      </c>
      <c r="C1214" s="0" t="n">
        <f aca="true">MEDIAN(8,16,ROUND(NORMINV(RAND(),Coefficients!$B$20,Coefficients!$B$21),0))</f>
        <v>10</v>
      </c>
      <c r="D1214" s="0" t="n">
        <f aca="true">CRITBINOM($C1214,MIN(0.75,Matchup!$B$39*$B1214),RAND())</f>
        <v>1</v>
      </c>
      <c r="E1214" s="0" t="n">
        <f aca="true">CRITBINOM(D1214,Coefficients!$B$30,RAND())</f>
        <v>0</v>
      </c>
      <c r="F1214" s="0" t="n">
        <f aca="true">CRITBINOM(E1214,Coefficients!$B$31,RAND())</f>
        <v>0</v>
      </c>
      <c r="G1214" s="0" t="n">
        <f aca="true">CRITBINOM(MAX(0,D1214-E1214),1-Coefficients!$B$32,RAND())</f>
        <v>0</v>
      </c>
      <c r="H1214" s="0" t="n">
        <f aca="true">CRITBINOM(MAX(0,$C1214-D1214),MIN(0.6,Matchup!$B$40*SQRT($B1214)/(1-MIN(0.75,Matchup!$B$39*$B1214))),RAND())</f>
        <v>3</v>
      </c>
      <c r="I1214" s="0" t="n">
        <f aca="false">6*D1214+(D1214-E1214-G1214)+2*F1214+3*H1214</f>
        <v>16</v>
      </c>
      <c r="J1214" s="0" t="n">
        <f aca="true">CRITBINOM($C1214,MIN(0.75,Matchup!$C$39*$B1214),RAND())</f>
        <v>1</v>
      </c>
      <c r="K1214" s="0" t="n">
        <f aca="true">CRITBINOM(J1214,Coefficients!$B$30,RAND())</f>
        <v>0</v>
      </c>
      <c r="L1214" s="0" t="n">
        <f aca="true">CRITBINOM(K1214,Coefficients!$B$31,RAND())</f>
        <v>0</v>
      </c>
      <c r="M1214" s="0" t="n">
        <f aca="true">CRITBINOM(MAX(0,J1214-K1214),1-Coefficients!$B$32,RAND())</f>
        <v>0</v>
      </c>
      <c r="N1214" s="0" t="n">
        <f aca="true">CRITBINOM(MAX(0,$C1214-J1214),MIN(0.6,Matchup!$C$40*SQRT($B1214)/(1-MIN(0.75,Matchup!$C$39*$B1214))),RAND())</f>
        <v>1</v>
      </c>
      <c r="O1214" s="0" t="n">
        <f aca="false">6*J1214+(J1214-K1214-M1214)+2*L1214+3*N1214</f>
        <v>10</v>
      </c>
      <c r="P1214" s="0" t="n">
        <f aca="true">RAND()</f>
        <v>0.340928627888681</v>
      </c>
      <c r="Q1214" s="0" t="n">
        <f aca="true">RAND()</f>
        <v>0.974656081409666</v>
      </c>
      <c r="R1214" s="0" t="n">
        <f aca="false">IF($I1214&lt;&gt;$O1214,0,IF(P1214&lt;Matchup!$B$39,7,IF(P1214&lt;Matchup!$B$39+Matchup!$B$40,3,0)))</f>
        <v>0</v>
      </c>
      <c r="S1214" s="0" t="n">
        <f aca="false">IF($I1214&lt;&gt;$O1214,0,IF(Q1214&lt;Matchup!$C$39,7,IF(Q1214&lt;Matchup!$C$39+Matchup!$C$40,3,0)))</f>
        <v>0</v>
      </c>
      <c r="T1214" s="0" t="n">
        <f aca="false">I1214+R1214</f>
        <v>16</v>
      </c>
      <c r="U1214" s="0" t="n">
        <f aca="false">O1214+S1214</f>
        <v>10</v>
      </c>
      <c r="V1214" s="0" t="n">
        <f aca="false">T1214-U1214</f>
        <v>6</v>
      </c>
      <c r="W1214" s="0" t="n">
        <f aca="false">T1214+U1214</f>
        <v>26</v>
      </c>
    </row>
    <row r="1215" customFormat="false" ht="15" hidden="false" customHeight="false" outlineLevel="0" collapsed="false">
      <c r="A1215" s="0" t="n">
        <v>1212</v>
      </c>
      <c r="B1215" s="0" t="n">
        <f aca="true">NORMINV(RAND(),1,Coefficients!$B$22)</f>
        <v>1.05145009201022</v>
      </c>
      <c r="C1215" s="0" t="n">
        <f aca="true">MEDIAN(8,16,ROUND(NORMINV(RAND(),Coefficients!$B$20,Coefficients!$B$21),0))</f>
        <v>9</v>
      </c>
      <c r="D1215" s="0" t="n">
        <f aca="true">CRITBINOM($C1215,MIN(0.75,Matchup!$B$39*$B1215),RAND())</f>
        <v>3</v>
      </c>
      <c r="E1215" s="0" t="n">
        <f aca="true">CRITBINOM(D1215,Coefficients!$B$30,RAND())</f>
        <v>1</v>
      </c>
      <c r="F1215" s="0" t="n">
        <f aca="true">CRITBINOM(E1215,Coefficients!$B$31,RAND())</f>
        <v>0</v>
      </c>
      <c r="G1215" s="0" t="n">
        <f aca="true">CRITBINOM(MAX(0,D1215-E1215),1-Coefficients!$B$32,RAND())</f>
        <v>1</v>
      </c>
      <c r="H1215" s="0" t="n">
        <f aca="true">CRITBINOM(MAX(0,$C1215-D1215),MIN(0.6,Matchup!$B$40*SQRT($B1215)/(1-MIN(0.75,Matchup!$B$39*$B1215))),RAND())</f>
        <v>0</v>
      </c>
      <c r="I1215" s="0" t="n">
        <f aca="false">6*D1215+(D1215-E1215-G1215)+2*F1215+3*H1215</f>
        <v>19</v>
      </c>
      <c r="J1215" s="0" t="n">
        <f aca="true">CRITBINOM($C1215,MIN(0.75,Matchup!$C$39*$B1215),RAND())</f>
        <v>2</v>
      </c>
      <c r="K1215" s="0" t="n">
        <f aca="true">CRITBINOM(J1215,Coefficients!$B$30,RAND())</f>
        <v>0</v>
      </c>
      <c r="L1215" s="0" t="n">
        <f aca="true">CRITBINOM(K1215,Coefficients!$B$31,RAND())</f>
        <v>0</v>
      </c>
      <c r="M1215" s="0" t="n">
        <f aca="true">CRITBINOM(MAX(0,J1215-K1215),1-Coefficients!$B$32,RAND())</f>
        <v>1</v>
      </c>
      <c r="N1215" s="0" t="n">
        <f aca="true">CRITBINOM(MAX(0,$C1215-J1215),MIN(0.6,Matchup!$C$40*SQRT($B1215)/(1-MIN(0.75,Matchup!$C$39*$B1215))),RAND())</f>
        <v>0</v>
      </c>
      <c r="O1215" s="0" t="n">
        <f aca="false">6*J1215+(J1215-K1215-M1215)+2*L1215+3*N1215</f>
        <v>13</v>
      </c>
      <c r="P1215" s="0" t="n">
        <f aca="true">RAND()</f>
        <v>0.803289556827496</v>
      </c>
      <c r="Q1215" s="0" t="n">
        <f aca="true">RAND()</f>
        <v>0.206496250685305</v>
      </c>
      <c r="R1215" s="0" t="n">
        <f aca="false">IF($I1215&lt;&gt;$O1215,0,IF(P1215&lt;Matchup!$B$39,7,IF(P1215&lt;Matchup!$B$39+Matchup!$B$40,3,0)))</f>
        <v>0</v>
      </c>
      <c r="S1215" s="0" t="n">
        <f aca="false">IF($I1215&lt;&gt;$O1215,0,IF(Q1215&lt;Matchup!$C$39,7,IF(Q1215&lt;Matchup!$C$39+Matchup!$C$40,3,0)))</f>
        <v>0</v>
      </c>
      <c r="T1215" s="0" t="n">
        <f aca="false">I1215+R1215</f>
        <v>19</v>
      </c>
      <c r="U1215" s="0" t="n">
        <f aca="false">O1215+S1215</f>
        <v>13</v>
      </c>
      <c r="V1215" s="0" t="n">
        <f aca="false">T1215-U1215</f>
        <v>6</v>
      </c>
      <c r="W1215" s="0" t="n">
        <f aca="false">T1215+U1215</f>
        <v>32</v>
      </c>
    </row>
    <row r="1216" customFormat="false" ht="15" hidden="false" customHeight="false" outlineLevel="0" collapsed="false">
      <c r="A1216" s="0" t="n">
        <v>1213</v>
      </c>
      <c r="B1216" s="0" t="n">
        <f aca="true">NORMINV(RAND(),1,Coefficients!$B$22)</f>
        <v>1.12488362565111</v>
      </c>
      <c r="C1216" s="0" t="n">
        <f aca="true">MEDIAN(8,16,ROUND(NORMINV(RAND(),Coefficients!$B$20,Coefficients!$B$21),0))</f>
        <v>12</v>
      </c>
      <c r="D1216" s="0" t="n">
        <f aca="true">CRITBINOM($C1216,MIN(0.75,Matchup!$B$39*$B1216),RAND())</f>
        <v>3</v>
      </c>
      <c r="E1216" s="0" t="n">
        <f aca="true">CRITBINOM(D1216,Coefficients!$B$30,RAND())</f>
        <v>1</v>
      </c>
      <c r="F1216" s="0" t="n">
        <f aca="true">CRITBINOM(E1216,Coefficients!$B$31,RAND())</f>
        <v>0</v>
      </c>
      <c r="G1216" s="0" t="n">
        <f aca="true">CRITBINOM(MAX(0,D1216-E1216),1-Coefficients!$B$32,RAND())</f>
        <v>0</v>
      </c>
      <c r="H1216" s="0" t="n">
        <f aca="true">CRITBINOM(MAX(0,$C1216-D1216),MIN(0.6,Matchup!$B$40*SQRT($B1216)/(1-MIN(0.75,Matchup!$B$39*$B1216))),RAND())</f>
        <v>0</v>
      </c>
      <c r="I1216" s="0" t="n">
        <f aca="false">6*D1216+(D1216-E1216-G1216)+2*F1216+3*H1216</f>
        <v>20</v>
      </c>
      <c r="J1216" s="0" t="n">
        <f aca="true">CRITBINOM($C1216,MIN(0.75,Matchup!$C$39*$B1216),RAND())</f>
        <v>1</v>
      </c>
      <c r="K1216" s="0" t="n">
        <f aca="true">CRITBINOM(J1216,Coefficients!$B$30,RAND())</f>
        <v>0</v>
      </c>
      <c r="L1216" s="0" t="n">
        <f aca="true">CRITBINOM(K1216,Coefficients!$B$31,RAND())</f>
        <v>0</v>
      </c>
      <c r="M1216" s="0" t="n">
        <f aca="true">CRITBINOM(MAX(0,J1216-K1216),1-Coefficients!$B$32,RAND())</f>
        <v>0</v>
      </c>
      <c r="N1216" s="0" t="n">
        <f aca="true">CRITBINOM(MAX(0,$C1216-J1216),MIN(0.6,Matchup!$C$40*SQRT($B1216)/(1-MIN(0.75,Matchup!$C$39*$B1216))),RAND())</f>
        <v>2</v>
      </c>
      <c r="O1216" s="0" t="n">
        <f aca="false">6*J1216+(J1216-K1216-M1216)+2*L1216+3*N1216</f>
        <v>13</v>
      </c>
      <c r="P1216" s="0" t="n">
        <f aca="true">RAND()</f>
        <v>0.445904141722929</v>
      </c>
      <c r="Q1216" s="0" t="n">
        <f aca="true">RAND()</f>
        <v>0.318561818354222</v>
      </c>
      <c r="R1216" s="0" t="n">
        <f aca="false">IF($I1216&lt;&gt;$O1216,0,IF(P1216&lt;Matchup!$B$39,7,IF(P1216&lt;Matchup!$B$39+Matchup!$B$40,3,0)))</f>
        <v>0</v>
      </c>
      <c r="S1216" s="0" t="n">
        <f aca="false">IF($I1216&lt;&gt;$O1216,0,IF(Q1216&lt;Matchup!$C$39,7,IF(Q1216&lt;Matchup!$C$39+Matchup!$C$40,3,0)))</f>
        <v>0</v>
      </c>
      <c r="T1216" s="0" t="n">
        <f aca="false">I1216+R1216</f>
        <v>20</v>
      </c>
      <c r="U1216" s="0" t="n">
        <f aca="false">O1216+S1216</f>
        <v>13</v>
      </c>
      <c r="V1216" s="0" t="n">
        <f aca="false">T1216-U1216</f>
        <v>7</v>
      </c>
      <c r="W1216" s="0" t="n">
        <f aca="false">T1216+U1216</f>
        <v>33</v>
      </c>
    </row>
    <row r="1217" customFormat="false" ht="15" hidden="false" customHeight="false" outlineLevel="0" collapsed="false">
      <c r="A1217" s="0" t="n">
        <v>1214</v>
      </c>
      <c r="B1217" s="0" t="n">
        <f aca="true">NORMINV(RAND(),1,Coefficients!$B$22)</f>
        <v>0.999315525215606</v>
      </c>
      <c r="C1217" s="0" t="n">
        <f aca="true">MEDIAN(8,16,ROUND(NORMINV(RAND(),Coefficients!$B$20,Coefficients!$B$21),0))</f>
        <v>13</v>
      </c>
      <c r="D1217" s="0" t="n">
        <f aca="true">CRITBINOM($C1217,MIN(0.75,Matchup!$B$39*$B1217),RAND())</f>
        <v>5</v>
      </c>
      <c r="E1217" s="0" t="n">
        <f aca="true">CRITBINOM(D1217,Coefficients!$B$30,RAND())</f>
        <v>2</v>
      </c>
      <c r="F1217" s="0" t="n">
        <f aca="true">CRITBINOM(E1217,Coefficients!$B$31,RAND())</f>
        <v>1</v>
      </c>
      <c r="G1217" s="0" t="n">
        <f aca="true">CRITBINOM(MAX(0,D1217-E1217),1-Coefficients!$B$32,RAND())</f>
        <v>0</v>
      </c>
      <c r="H1217" s="0" t="n">
        <f aca="true">CRITBINOM(MAX(0,$C1217-D1217),MIN(0.6,Matchup!$B$40*SQRT($B1217)/(1-MIN(0.75,Matchup!$B$39*$B1217))),RAND())</f>
        <v>0</v>
      </c>
      <c r="I1217" s="0" t="n">
        <f aca="false">6*D1217+(D1217-E1217-G1217)+2*F1217+3*H1217</f>
        <v>35</v>
      </c>
      <c r="J1217" s="0" t="n">
        <f aca="true">CRITBINOM($C1217,MIN(0.75,Matchup!$C$39*$B1217),RAND())</f>
        <v>2</v>
      </c>
      <c r="K1217" s="0" t="n">
        <f aca="true">CRITBINOM(J1217,Coefficients!$B$30,RAND())</f>
        <v>0</v>
      </c>
      <c r="L1217" s="0" t="n">
        <f aca="true">CRITBINOM(K1217,Coefficients!$B$31,RAND())</f>
        <v>0</v>
      </c>
      <c r="M1217" s="0" t="n">
        <f aca="true">CRITBINOM(MAX(0,J1217-K1217),1-Coefficients!$B$32,RAND())</f>
        <v>0</v>
      </c>
      <c r="N1217" s="0" t="n">
        <f aca="true">CRITBINOM(MAX(0,$C1217-J1217),MIN(0.6,Matchup!$C$40*SQRT($B1217)/(1-MIN(0.75,Matchup!$C$39*$B1217))),RAND())</f>
        <v>1</v>
      </c>
      <c r="O1217" s="0" t="n">
        <f aca="false">6*J1217+(J1217-K1217-M1217)+2*L1217+3*N1217</f>
        <v>17</v>
      </c>
      <c r="P1217" s="0" t="n">
        <f aca="true">RAND()</f>
        <v>0.760202270868712</v>
      </c>
      <c r="Q1217" s="0" t="n">
        <f aca="true">RAND()</f>
        <v>0.37305743225936</v>
      </c>
      <c r="R1217" s="0" t="n">
        <f aca="false">IF($I1217&lt;&gt;$O1217,0,IF(P1217&lt;Matchup!$B$39,7,IF(P1217&lt;Matchup!$B$39+Matchup!$B$40,3,0)))</f>
        <v>0</v>
      </c>
      <c r="S1217" s="0" t="n">
        <f aca="false">IF($I1217&lt;&gt;$O1217,0,IF(Q1217&lt;Matchup!$C$39,7,IF(Q1217&lt;Matchup!$C$39+Matchup!$C$40,3,0)))</f>
        <v>0</v>
      </c>
      <c r="T1217" s="0" t="n">
        <f aca="false">I1217+R1217</f>
        <v>35</v>
      </c>
      <c r="U1217" s="0" t="n">
        <f aca="false">O1217+S1217</f>
        <v>17</v>
      </c>
      <c r="V1217" s="0" t="n">
        <f aca="false">T1217-U1217</f>
        <v>18</v>
      </c>
      <c r="W1217" s="0" t="n">
        <f aca="false">T1217+U1217</f>
        <v>52</v>
      </c>
    </row>
    <row r="1218" customFormat="false" ht="15" hidden="false" customHeight="false" outlineLevel="0" collapsed="false">
      <c r="A1218" s="0" t="n">
        <v>1215</v>
      </c>
      <c r="B1218" s="0" t="n">
        <f aca="true">NORMINV(RAND(),1,Coefficients!$B$22)</f>
        <v>1.08650155816507</v>
      </c>
      <c r="C1218" s="0" t="n">
        <f aca="true">MEDIAN(8,16,ROUND(NORMINV(RAND(),Coefficients!$B$20,Coefficients!$B$21),0))</f>
        <v>12</v>
      </c>
      <c r="D1218" s="0" t="n">
        <f aca="true">CRITBINOM($C1218,MIN(0.75,Matchup!$B$39*$B1218),RAND())</f>
        <v>5</v>
      </c>
      <c r="E1218" s="0" t="n">
        <f aca="true">CRITBINOM(D1218,Coefficients!$B$30,RAND())</f>
        <v>2</v>
      </c>
      <c r="F1218" s="0" t="n">
        <f aca="true">CRITBINOM(E1218,Coefficients!$B$31,RAND())</f>
        <v>1</v>
      </c>
      <c r="G1218" s="0" t="n">
        <f aca="true">CRITBINOM(MAX(0,D1218-E1218),1-Coefficients!$B$32,RAND())</f>
        <v>0</v>
      </c>
      <c r="H1218" s="0" t="n">
        <f aca="true">CRITBINOM(MAX(0,$C1218-D1218),MIN(0.6,Matchup!$B$40*SQRT($B1218)/(1-MIN(0.75,Matchup!$B$39*$B1218))),RAND())</f>
        <v>2</v>
      </c>
      <c r="I1218" s="0" t="n">
        <f aca="false">6*D1218+(D1218-E1218-G1218)+2*F1218+3*H1218</f>
        <v>41</v>
      </c>
      <c r="J1218" s="0" t="n">
        <f aca="true">CRITBINOM($C1218,MIN(0.75,Matchup!$C$39*$B1218),RAND())</f>
        <v>4</v>
      </c>
      <c r="K1218" s="0" t="n">
        <f aca="true">CRITBINOM(J1218,Coefficients!$B$30,RAND())</f>
        <v>0</v>
      </c>
      <c r="L1218" s="0" t="n">
        <f aca="true">CRITBINOM(K1218,Coefficients!$B$31,RAND())</f>
        <v>0</v>
      </c>
      <c r="M1218" s="0" t="n">
        <f aca="true">CRITBINOM(MAX(0,J1218-K1218),1-Coefficients!$B$32,RAND())</f>
        <v>0</v>
      </c>
      <c r="N1218" s="0" t="n">
        <f aca="true">CRITBINOM(MAX(0,$C1218-J1218),MIN(0.6,Matchup!$C$40*SQRT($B1218)/(1-MIN(0.75,Matchup!$C$39*$B1218))),RAND())</f>
        <v>2</v>
      </c>
      <c r="O1218" s="0" t="n">
        <f aca="false">6*J1218+(J1218-K1218-M1218)+2*L1218+3*N1218</f>
        <v>34</v>
      </c>
      <c r="P1218" s="0" t="n">
        <f aca="true">RAND()</f>
        <v>0.523780085510392</v>
      </c>
      <c r="Q1218" s="0" t="n">
        <f aca="true">RAND()</f>
        <v>0.560320935920583</v>
      </c>
      <c r="R1218" s="0" t="n">
        <f aca="false">IF($I1218&lt;&gt;$O1218,0,IF(P1218&lt;Matchup!$B$39,7,IF(P1218&lt;Matchup!$B$39+Matchup!$B$40,3,0)))</f>
        <v>0</v>
      </c>
      <c r="S1218" s="0" t="n">
        <f aca="false">IF($I1218&lt;&gt;$O1218,0,IF(Q1218&lt;Matchup!$C$39,7,IF(Q1218&lt;Matchup!$C$39+Matchup!$C$40,3,0)))</f>
        <v>0</v>
      </c>
      <c r="T1218" s="0" t="n">
        <f aca="false">I1218+R1218</f>
        <v>41</v>
      </c>
      <c r="U1218" s="0" t="n">
        <f aca="false">O1218+S1218</f>
        <v>34</v>
      </c>
      <c r="V1218" s="0" t="n">
        <f aca="false">T1218-U1218</f>
        <v>7</v>
      </c>
      <c r="W1218" s="0" t="n">
        <f aca="false">T1218+U1218</f>
        <v>75</v>
      </c>
    </row>
    <row r="1219" customFormat="false" ht="15" hidden="false" customHeight="false" outlineLevel="0" collapsed="false">
      <c r="A1219" s="0" t="n">
        <v>1216</v>
      </c>
      <c r="B1219" s="0" t="n">
        <f aca="true">NORMINV(RAND(),1,Coefficients!$B$22)</f>
        <v>1.01251916441617</v>
      </c>
      <c r="C1219" s="0" t="n">
        <f aca="true">MEDIAN(8,16,ROUND(NORMINV(RAND(),Coefficients!$B$20,Coefficients!$B$21),0))</f>
        <v>10</v>
      </c>
      <c r="D1219" s="0" t="n">
        <f aca="true">CRITBINOM($C1219,MIN(0.75,Matchup!$B$39*$B1219),RAND())</f>
        <v>2</v>
      </c>
      <c r="E1219" s="0" t="n">
        <f aca="true">CRITBINOM(D1219,Coefficients!$B$30,RAND())</f>
        <v>0</v>
      </c>
      <c r="F1219" s="0" t="n">
        <f aca="true">CRITBINOM(E1219,Coefficients!$B$31,RAND())</f>
        <v>0</v>
      </c>
      <c r="G1219" s="0" t="n">
        <f aca="true">CRITBINOM(MAX(0,D1219-E1219),1-Coefficients!$B$32,RAND())</f>
        <v>0</v>
      </c>
      <c r="H1219" s="0" t="n">
        <f aca="true">CRITBINOM(MAX(0,$C1219-D1219),MIN(0.6,Matchup!$B$40*SQRT($B1219)/(1-MIN(0.75,Matchup!$B$39*$B1219))),RAND())</f>
        <v>3</v>
      </c>
      <c r="I1219" s="0" t="n">
        <f aca="false">6*D1219+(D1219-E1219-G1219)+2*F1219+3*H1219</f>
        <v>23</v>
      </c>
      <c r="J1219" s="0" t="n">
        <f aca="true">CRITBINOM($C1219,MIN(0.75,Matchup!$C$39*$B1219),RAND())</f>
        <v>1</v>
      </c>
      <c r="K1219" s="0" t="n">
        <f aca="true">CRITBINOM(J1219,Coefficients!$B$30,RAND())</f>
        <v>0</v>
      </c>
      <c r="L1219" s="0" t="n">
        <f aca="true">CRITBINOM(K1219,Coefficients!$B$31,RAND())</f>
        <v>0</v>
      </c>
      <c r="M1219" s="0" t="n">
        <f aca="true">CRITBINOM(MAX(0,J1219-K1219),1-Coefficients!$B$32,RAND())</f>
        <v>0</v>
      </c>
      <c r="N1219" s="0" t="n">
        <f aca="true">CRITBINOM(MAX(0,$C1219-J1219),MIN(0.6,Matchup!$C$40*SQRT($B1219)/(1-MIN(0.75,Matchup!$C$39*$B1219))),RAND())</f>
        <v>2</v>
      </c>
      <c r="O1219" s="0" t="n">
        <f aca="false">6*J1219+(J1219-K1219-M1219)+2*L1219+3*N1219</f>
        <v>13</v>
      </c>
      <c r="P1219" s="0" t="n">
        <f aca="true">RAND()</f>
        <v>0.353210149053791</v>
      </c>
      <c r="Q1219" s="0" t="n">
        <f aca="true">RAND()</f>
        <v>0.160097347344261</v>
      </c>
      <c r="R1219" s="0" t="n">
        <f aca="false">IF($I1219&lt;&gt;$O1219,0,IF(P1219&lt;Matchup!$B$39,7,IF(P1219&lt;Matchup!$B$39+Matchup!$B$40,3,0)))</f>
        <v>0</v>
      </c>
      <c r="S1219" s="0" t="n">
        <f aca="false">IF($I1219&lt;&gt;$O1219,0,IF(Q1219&lt;Matchup!$C$39,7,IF(Q1219&lt;Matchup!$C$39+Matchup!$C$40,3,0)))</f>
        <v>0</v>
      </c>
      <c r="T1219" s="0" t="n">
        <f aca="false">I1219+R1219</f>
        <v>23</v>
      </c>
      <c r="U1219" s="0" t="n">
        <f aca="false">O1219+S1219</f>
        <v>13</v>
      </c>
      <c r="V1219" s="0" t="n">
        <f aca="false">T1219-U1219</f>
        <v>10</v>
      </c>
      <c r="W1219" s="0" t="n">
        <f aca="false">T1219+U1219</f>
        <v>36</v>
      </c>
    </row>
    <row r="1220" customFormat="false" ht="15" hidden="false" customHeight="false" outlineLevel="0" collapsed="false">
      <c r="A1220" s="0" t="n">
        <v>1217</v>
      </c>
      <c r="B1220" s="0" t="n">
        <f aca="true">NORMINV(RAND(),1,Coefficients!$B$22)</f>
        <v>1.10415065300133</v>
      </c>
      <c r="C1220" s="0" t="n">
        <f aca="true">MEDIAN(8,16,ROUND(NORMINV(RAND(),Coefficients!$B$20,Coefficients!$B$21),0))</f>
        <v>10</v>
      </c>
      <c r="D1220" s="0" t="n">
        <f aca="true">CRITBINOM($C1220,MIN(0.75,Matchup!$B$39*$B1220),RAND())</f>
        <v>3</v>
      </c>
      <c r="E1220" s="0" t="n">
        <f aca="true">CRITBINOM(D1220,Coefficients!$B$30,RAND())</f>
        <v>0</v>
      </c>
      <c r="F1220" s="0" t="n">
        <f aca="true">CRITBINOM(E1220,Coefficients!$B$31,RAND())</f>
        <v>0</v>
      </c>
      <c r="G1220" s="0" t="n">
        <f aca="true">CRITBINOM(MAX(0,D1220-E1220),1-Coefficients!$B$32,RAND())</f>
        <v>0</v>
      </c>
      <c r="H1220" s="0" t="n">
        <f aca="true">CRITBINOM(MAX(0,$C1220-D1220),MIN(0.6,Matchup!$B$40*SQRT($B1220)/(1-MIN(0.75,Matchup!$B$39*$B1220))),RAND())</f>
        <v>2</v>
      </c>
      <c r="I1220" s="0" t="n">
        <f aca="false">6*D1220+(D1220-E1220-G1220)+2*F1220+3*H1220</f>
        <v>27</v>
      </c>
      <c r="J1220" s="0" t="n">
        <f aca="true">CRITBINOM($C1220,MIN(0.75,Matchup!$C$39*$B1220),RAND())</f>
        <v>3</v>
      </c>
      <c r="K1220" s="0" t="n">
        <f aca="true">CRITBINOM(J1220,Coefficients!$B$30,RAND())</f>
        <v>0</v>
      </c>
      <c r="L1220" s="0" t="n">
        <f aca="true">CRITBINOM(K1220,Coefficients!$B$31,RAND())</f>
        <v>0</v>
      </c>
      <c r="M1220" s="0" t="n">
        <f aca="true">CRITBINOM(MAX(0,J1220-K1220),1-Coefficients!$B$32,RAND())</f>
        <v>0</v>
      </c>
      <c r="N1220" s="0" t="n">
        <f aca="true">CRITBINOM(MAX(0,$C1220-J1220),MIN(0.6,Matchup!$C$40*SQRT($B1220)/(1-MIN(0.75,Matchup!$C$39*$B1220))),RAND())</f>
        <v>4</v>
      </c>
      <c r="O1220" s="0" t="n">
        <f aca="false">6*J1220+(J1220-K1220-M1220)+2*L1220+3*N1220</f>
        <v>33</v>
      </c>
      <c r="P1220" s="0" t="n">
        <f aca="true">RAND()</f>
        <v>0.895973887511101</v>
      </c>
      <c r="Q1220" s="0" t="n">
        <f aca="true">RAND()</f>
        <v>0.977347206664351</v>
      </c>
      <c r="R1220" s="0" t="n">
        <f aca="false">IF($I1220&lt;&gt;$O1220,0,IF(P1220&lt;Matchup!$B$39,7,IF(P1220&lt;Matchup!$B$39+Matchup!$B$40,3,0)))</f>
        <v>0</v>
      </c>
      <c r="S1220" s="0" t="n">
        <f aca="false">IF($I1220&lt;&gt;$O1220,0,IF(Q1220&lt;Matchup!$C$39,7,IF(Q1220&lt;Matchup!$C$39+Matchup!$C$40,3,0)))</f>
        <v>0</v>
      </c>
      <c r="T1220" s="0" t="n">
        <f aca="false">I1220+R1220</f>
        <v>27</v>
      </c>
      <c r="U1220" s="0" t="n">
        <f aca="false">O1220+S1220</f>
        <v>33</v>
      </c>
      <c r="V1220" s="0" t="n">
        <f aca="false">T1220-U1220</f>
        <v>-6</v>
      </c>
      <c r="W1220" s="0" t="n">
        <f aca="false">T1220+U1220</f>
        <v>60</v>
      </c>
    </row>
    <row r="1221" customFormat="false" ht="15" hidden="false" customHeight="false" outlineLevel="0" collapsed="false">
      <c r="A1221" s="0" t="n">
        <v>1218</v>
      </c>
      <c r="B1221" s="0" t="n">
        <f aca="true">NORMINV(RAND(),1,Coefficients!$B$22)</f>
        <v>1.07767600010245</v>
      </c>
      <c r="C1221" s="0" t="n">
        <f aca="true">MEDIAN(8,16,ROUND(NORMINV(RAND(),Coefficients!$B$20,Coefficients!$B$21),0))</f>
        <v>11</v>
      </c>
      <c r="D1221" s="0" t="n">
        <f aca="true">CRITBINOM($C1221,MIN(0.75,Matchup!$B$39*$B1221),RAND())</f>
        <v>1</v>
      </c>
      <c r="E1221" s="0" t="n">
        <f aca="true">CRITBINOM(D1221,Coefficients!$B$30,RAND())</f>
        <v>1</v>
      </c>
      <c r="F1221" s="0" t="n">
        <f aca="true">CRITBINOM(E1221,Coefficients!$B$31,RAND())</f>
        <v>1</v>
      </c>
      <c r="G1221" s="0" t="n">
        <f aca="true">CRITBINOM(MAX(0,D1221-E1221),1-Coefficients!$B$32,RAND())</f>
        <v>0</v>
      </c>
      <c r="H1221" s="0" t="n">
        <f aca="true">CRITBINOM(MAX(0,$C1221-D1221),MIN(0.6,Matchup!$B$40*SQRT($B1221)/(1-MIN(0.75,Matchup!$B$39*$B1221))),RAND())</f>
        <v>3</v>
      </c>
      <c r="I1221" s="0" t="n">
        <f aca="false">6*D1221+(D1221-E1221-G1221)+2*F1221+3*H1221</f>
        <v>17</v>
      </c>
      <c r="J1221" s="0" t="n">
        <f aca="true">CRITBINOM($C1221,MIN(0.75,Matchup!$C$39*$B1221),RAND())</f>
        <v>3</v>
      </c>
      <c r="K1221" s="0" t="n">
        <f aca="true">CRITBINOM(J1221,Coefficients!$B$30,RAND())</f>
        <v>0</v>
      </c>
      <c r="L1221" s="0" t="n">
        <f aca="true">CRITBINOM(K1221,Coefficients!$B$31,RAND())</f>
        <v>0</v>
      </c>
      <c r="M1221" s="0" t="n">
        <f aca="true">CRITBINOM(MAX(0,J1221-K1221),1-Coefficients!$B$32,RAND())</f>
        <v>0</v>
      </c>
      <c r="N1221" s="0" t="n">
        <f aca="true">CRITBINOM(MAX(0,$C1221-J1221),MIN(0.6,Matchup!$C$40*SQRT($B1221)/(1-MIN(0.75,Matchup!$C$39*$B1221))),RAND())</f>
        <v>1</v>
      </c>
      <c r="O1221" s="0" t="n">
        <f aca="false">6*J1221+(J1221-K1221-M1221)+2*L1221+3*N1221</f>
        <v>24</v>
      </c>
      <c r="P1221" s="0" t="n">
        <f aca="true">RAND()</f>
        <v>0.981163546974037</v>
      </c>
      <c r="Q1221" s="0" t="n">
        <f aca="true">RAND()</f>
        <v>0.792962740358323</v>
      </c>
      <c r="R1221" s="0" t="n">
        <f aca="false">IF($I1221&lt;&gt;$O1221,0,IF(P1221&lt;Matchup!$B$39,7,IF(P1221&lt;Matchup!$B$39+Matchup!$B$40,3,0)))</f>
        <v>0</v>
      </c>
      <c r="S1221" s="0" t="n">
        <f aca="false">IF($I1221&lt;&gt;$O1221,0,IF(Q1221&lt;Matchup!$C$39,7,IF(Q1221&lt;Matchup!$C$39+Matchup!$C$40,3,0)))</f>
        <v>0</v>
      </c>
      <c r="T1221" s="0" t="n">
        <f aca="false">I1221+R1221</f>
        <v>17</v>
      </c>
      <c r="U1221" s="0" t="n">
        <f aca="false">O1221+S1221</f>
        <v>24</v>
      </c>
      <c r="V1221" s="0" t="n">
        <f aca="false">T1221-U1221</f>
        <v>-7</v>
      </c>
      <c r="W1221" s="0" t="n">
        <f aca="false">T1221+U1221</f>
        <v>41</v>
      </c>
    </row>
    <row r="1222" customFormat="false" ht="15" hidden="false" customHeight="false" outlineLevel="0" collapsed="false">
      <c r="A1222" s="0" t="n">
        <v>1219</v>
      </c>
      <c r="B1222" s="0" t="n">
        <f aca="true">NORMINV(RAND(),1,Coefficients!$B$22)</f>
        <v>1.0592132671954</v>
      </c>
      <c r="C1222" s="0" t="n">
        <f aca="true">MEDIAN(8,16,ROUND(NORMINV(RAND(),Coefficients!$B$20,Coefficients!$B$21),0))</f>
        <v>11</v>
      </c>
      <c r="D1222" s="0" t="n">
        <f aca="true">CRITBINOM($C1222,MIN(0.75,Matchup!$B$39*$B1222),RAND())</f>
        <v>5</v>
      </c>
      <c r="E1222" s="0" t="n">
        <f aca="true">CRITBINOM(D1222,Coefficients!$B$30,RAND())</f>
        <v>0</v>
      </c>
      <c r="F1222" s="0" t="n">
        <f aca="true">CRITBINOM(E1222,Coefficients!$B$31,RAND())</f>
        <v>0</v>
      </c>
      <c r="G1222" s="0" t="n">
        <f aca="true">CRITBINOM(MAX(0,D1222-E1222),1-Coefficients!$B$32,RAND())</f>
        <v>0</v>
      </c>
      <c r="H1222" s="0" t="n">
        <f aca="true">CRITBINOM(MAX(0,$C1222-D1222),MIN(0.6,Matchup!$B$40*SQRT($B1222)/(1-MIN(0.75,Matchup!$B$39*$B1222))),RAND())</f>
        <v>0</v>
      </c>
      <c r="I1222" s="0" t="n">
        <f aca="false">6*D1222+(D1222-E1222-G1222)+2*F1222+3*H1222</f>
        <v>35</v>
      </c>
      <c r="J1222" s="0" t="n">
        <f aca="true">CRITBINOM($C1222,MIN(0.75,Matchup!$C$39*$B1222),RAND())</f>
        <v>4</v>
      </c>
      <c r="K1222" s="0" t="n">
        <f aca="true">CRITBINOM(J1222,Coefficients!$B$30,RAND())</f>
        <v>0</v>
      </c>
      <c r="L1222" s="0" t="n">
        <f aca="true">CRITBINOM(K1222,Coefficients!$B$31,RAND())</f>
        <v>0</v>
      </c>
      <c r="M1222" s="0" t="n">
        <f aca="true">CRITBINOM(MAX(0,J1222-K1222),1-Coefficients!$B$32,RAND())</f>
        <v>0</v>
      </c>
      <c r="N1222" s="0" t="n">
        <f aca="true">CRITBINOM(MAX(0,$C1222-J1222),MIN(0.6,Matchup!$C$40*SQRT($B1222)/(1-MIN(0.75,Matchup!$C$39*$B1222))),RAND())</f>
        <v>1</v>
      </c>
      <c r="O1222" s="0" t="n">
        <f aca="false">6*J1222+(J1222-K1222-M1222)+2*L1222+3*N1222</f>
        <v>31</v>
      </c>
      <c r="P1222" s="0" t="n">
        <f aca="true">RAND()</f>
        <v>0.718066889430351</v>
      </c>
      <c r="Q1222" s="0" t="n">
        <f aca="true">RAND()</f>
        <v>0.843566393580642</v>
      </c>
      <c r="R1222" s="0" t="n">
        <f aca="false">IF($I1222&lt;&gt;$O1222,0,IF(P1222&lt;Matchup!$B$39,7,IF(P1222&lt;Matchup!$B$39+Matchup!$B$40,3,0)))</f>
        <v>0</v>
      </c>
      <c r="S1222" s="0" t="n">
        <f aca="false">IF($I1222&lt;&gt;$O1222,0,IF(Q1222&lt;Matchup!$C$39,7,IF(Q1222&lt;Matchup!$C$39+Matchup!$C$40,3,0)))</f>
        <v>0</v>
      </c>
      <c r="T1222" s="0" t="n">
        <f aca="false">I1222+R1222</f>
        <v>35</v>
      </c>
      <c r="U1222" s="0" t="n">
        <f aca="false">O1222+S1222</f>
        <v>31</v>
      </c>
      <c r="V1222" s="0" t="n">
        <f aca="false">T1222-U1222</f>
        <v>4</v>
      </c>
      <c r="W1222" s="0" t="n">
        <f aca="false">T1222+U1222</f>
        <v>66</v>
      </c>
    </row>
    <row r="1223" customFormat="false" ht="15" hidden="false" customHeight="false" outlineLevel="0" collapsed="false">
      <c r="A1223" s="0" t="n">
        <v>1220</v>
      </c>
      <c r="B1223" s="0" t="n">
        <f aca="true">NORMINV(RAND(),1,Coefficients!$B$22)</f>
        <v>0.993130164379889</v>
      </c>
      <c r="C1223" s="0" t="n">
        <f aca="true">MEDIAN(8,16,ROUND(NORMINV(RAND(),Coefficients!$B$20,Coefficients!$B$21),0))</f>
        <v>11</v>
      </c>
      <c r="D1223" s="0" t="n">
        <f aca="true">CRITBINOM($C1223,MIN(0.75,Matchup!$B$39*$B1223),RAND())</f>
        <v>4</v>
      </c>
      <c r="E1223" s="0" t="n">
        <f aca="true">CRITBINOM(D1223,Coefficients!$B$30,RAND())</f>
        <v>0</v>
      </c>
      <c r="F1223" s="0" t="n">
        <f aca="true">CRITBINOM(E1223,Coefficients!$B$31,RAND())</f>
        <v>0</v>
      </c>
      <c r="G1223" s="0" t="n">
        <f aca="true">CRITBINOM(MAX(0,D1223-E1223),1-Coefficients!$B$32,RAND())</f>
        <v>0</v>
      </c>
      <c r="H1223" s="0" t="n">
        <f aca="true">CRITBINOM(MAX(0,$C1223-D1223),MIN(0.6,Matchup!$B$40*SQRT($B1223)/(1-MIN(0.75,Matchup!$B$39*$B1223))),RAND())</f>
        <v>3</v>
      </c>
      <c r="I1223" s="0" t="n">
        <f aca="false">6*D1223+(D1223-E1223-G1223)+2*F1223+3*H1223</f>
        <v>37</v>
      </c>
      <c r="J1223" s="0" t="n">
        <f aca="true">CRITBINOM($C1223,MIN(0.75,Matchup!$C$39*$B1223),RAND())</f>
        <v>2</v>
      </c>
      <c r="K1223" s="0" t="n">
        <f aca="true">CRITBINOM(J1223,Coefficients!$B$30,RAND())</f>
        <v>0</v>
      </c>
      <c r="L1223" s="0" t="n">
        <f aca="true">CRITBINOM(K1223,Coefficients!$B$31,RAND())</f>
        <v>0</v>
      </c>
      <c r="M1223" s="0" t="n">
        <f aca="true">CRITBINOM(MAX(0,J1223-K1223),1-Coefficients!$B$32,RAND())</f>
        <v>0</v>
      </c>
      <c r="N1223" s="0" t="n">
        <f aca="true">CRITBINOM(MAX(0,$C1223-J1223),MIN(0.6,Matchup!$C$40*SQRT($B1223)/(1-MIN(0.75,Matchup!$C$39*$B1223))),RAND())</f>
        <v>1</v>
      </c>
      <c r="O1223" s="0" t="n">
        <f aca="false">6*J1223+(J1223-K1223-M1223)+2*L1223+3*N1223</f>
        <v>17</v>
      </c>
      <c r="P1223" s="0" t="n">
        <f aca="true">RAND()</f>
        <v>0.374364084389397</v>
      </c>
      <c r="Q1223" s="0" t="n">
        <f aca="true">RAND()</f>
        <v>0.727960719472335</v>
      </c>
      <c r="R1223" s="0" t="n">
        <f aca="false">IF($I1223&lt;&gt;$O1223,0,IF(P1223&lt;Matchup!$B$39,7,IF(P1223&lt;Matchup!$B$39+Matchup!$B$40,3,0)))</f>
        <v>0</v>
      </c>
      <c r="S1223" s="0" t="n">
        <f aca="false">IF($I1223&lt;&gt;$O1223,0,IF(Q1223&lt;Matchup!$C$39,7,IF(Q1223&lt;Matchup!$C$39+Matchup!$C$40,3,0)))</f>
        <v>0</v>
      </c>
      <c r="T1223" s="0" t="n">
        <f aca="false">I1223+R1223</f>
        <v>37</v>
      </c>
      <c r="U1223" s="0" t="n">
        <f aca="false">O1223+S1223</f>
        <v>17</v>
      </c>
      <c r="V1223" s="0" t="n">
        <f aca="false">T1223-U1223</f>
        <v>20</v>
      </c>
      <c r="W1223" s="0" t="n">
        <f aca="false">T1223+U1223</f>
        <v>54</v>
      </c>
    </row>
    <row r="1224" customFormat="false" ht="15" hidden="false" customHeight="false" outlineLevel="0" collapsed="false">
      <c r="A1224" s="0" t="n">
        <v>1221</v>
      </c>
      <c r="B1224" s="0" t="n">
        <f aca="true">NORMINV(RAND(),1,Coefficients!$B$22)</f>
        <v>0.956514411686461</v>
      </c>
      <c r="C1224" s="0" t="n">
        <f aca="true">MEDIAN(8,16,ROUND(NORMINV(RAND(),Coefficients!$B$20,Coefficients!$B$21),0))</f>
        <v>11</v>
      </c>
      <c r="D1224" s="0" t="n">
        <f aca="true">CRITBINOM($C1224,MIN(0.75,Matchup!$B$39*$B1224),RAND())</f>
        <v>1</v>
      </c>
      <c r="E1224" s="0" t="n">
        <f aca="true">CRITBINOM(D1224,Coefficients!$B$30,RAND())</f>
        <v>0</v>
      </c>
      <c r="F1224" s="0" t="n">
        <f aca="true">CRITBINOM(E1224,Coefficients!$B$31,RAND())</f>
        <v>0</v>
      </c>
      <c r="G1224" s="0" t="n">
        <f aca="true">CRITBINOM(MAX(0,D1224-E1224),1-Coefficients!$B$32,RAND())</f>
        <v>0</v>
      </c>
      <c r="H1224" s="0" t="n">
        <f aca="true">CRITBINOM(MAX(0,$C1224-D1224),MIN(0.6,Matchup!$B$40*SQRT($B1224)/(1-MIN(0.75,Matchup!$B$39*$B1224))),RAND())</f>
        <v>0</v>
      </c>
      <c r="I1224" s="0" t="n">
        <f aca="false">6*D1224+(D1224-E1224-G1224)+2*F1224+3*H1224</f>
        <v>7</v>
      </c>
      <c r="J1224" s="0" t="n">
        <f aca="true">CRITBINOM($C1224,MIN(0.75,Matchup!$C$39*$B1224),RAND())</f>
        <v>2</v>
      </c>
      <c r="K1224" s="0" t="n">
        <f aca="true">CRITBINOM(J1224,Coefficients!$B$30,RAND())</f>
        <v>0</v>
      </c>
      <c r="L1224" s="0" t="n">
        <f aca="true">CRITBINOM(K1224,Coefficients!$B$31,RAND())</f>
        <v>0</v>
      </c>
      <c r="M1224" s="0" t="n">
        <f aca="true">CRITBINOM(MAX(0,J1224-K1224),1-Coefficients!$B$32,RAND())</f>
        <v>0</v>
      </c>
      <c r="N1224" s="0" t="n">
        <f aca="true">CRITBINOM(MAX(0,$C1224-J1224),MIN(0.6,Matchup!$C$40*SQRT($B1224)/(1-MIN(0.75,Matchup!$C$39*$B1224))),RAND())</f>
        <v>2</v>
      </c>
      <c r="O1224" s="0" t="n">
        <f aca="false">6*J1224+(J1224-K1224-M1224)+2*L1224+3*N1224</f>
        <v>20</v>
      </c>
      <c r="P1224" s="0" t="n">
        <f aca="true">RAND()</f>
        <v>0.954581673593669</v>
      </c>
      <c r="Q1224" s="0" t="n">
        <f aca="true">RAND()</f>
        <v>0.296047806814501</v>
      </c>
      <c r="R1224" s="0" t="n">
        <f aca="false">IF($I1224&lt;&gt;$O1224,0,IF(P1224&lt;Matchup!$B$39,7,IF(P1224&lt;Matchup!$B$39+Matchup!$B$40,3,0)))</f>
        <v>0</v>
      </c>
      <c r="S1224" s="0" t="n">
        <f aca="false">IF($I1224&lt;&gt;$O1224,0,IF(Q1224&lt;Matchup!$C$39,7,IF(Q1224&lt;Matchup!$C$39+Matchup!$C$40,3,0)))</f>
        <v>0</v>
      </c>
      <c r="T1224" s="0" t="n">
        <f aca="false">I1224+R1224</f>
        <v>7</v>
      </c>
      <c r="U1224" s="0" t="n">
        <f aca="false">O1224+S1224</f>
        <v>20</v>
      </c>
      <c r="V1224" s="0" t="n">
        <f aca="false">T1224-U1224</f>
        <v>-13</v>
      </c>
      <c r="W1224" s="0" t="n">
        <f aca="false">T1224+U1224</f>
        <v>27</v>
      </c>
    </row>
    <row r="1225" customFormat="false" ht="15" hidden="false" customHeight="false" outlineLevel="0" collapsed="false">
      <c r="A1225" s="0" t="n">
        <v>1222</v>
      </c>
      <c r="B1225" s="0" t="n">
        <f aca="true">NORMINV(RAND(),1,Coefficients!$B$22)</f>
        <v>0.884168379430487</v>
      </c>
      <c r="C1225" s="0" t="n">
        <f aca="true">MEDIAN(8,16,ROUND(NORMINV(RAND(),Coefficients!$B$20,Coefficients!$B$21),0))</f>
        <v>11</v>
      </c>
      <c r="D1225" s="0" t="n">
        <f aca="true">CRITBINOM($C1225,MIN(0.75,Matchup!$B$39*$B1225),RAND())</f>
        <v>4</v>
      </c>
      <c r="E1225" s="0" t="n">
        <f aca="true">CRITBINOM(D1225,Coefficients!$B$30,RAND())</f>
        <v>1</v>
      </c>
      <c r="F1225" s="0" t="n">
        <f aca="true">CRITBINOM(E1225,Coefficients!$B$31,RAND())</f>
        <v>0</v>
      </c>
      <c r="G1225" s="0" t="n">
        <f aca="true">CRITBINOM(MAX(0,D1225-E1225),1-Coefficients!$B$32,RAND())</f>
        <v>1</v>
      </c>
      <c r="H1225" s="0" t="n">
        <f aca="true">CRITBINOM(MAX(0,$C1225-D1225),MIN(0.6,Matchup!$B$40*SQRT($B1225)/(1-MIN(0.75,Matchup!$B$39*$B1225))),RAND())</f>
        <v>2</v>
      </c>
      <c r="I1225" s="0" t="n">
        <f aca="false">6*D1225+(D1225-E1225-G1225)+2*F1225+3*H1225</f>
        <v>32</v>
      </c>
      <c r="J1225" s="0" t="n">
        <f aca="true">CRITBINOM($C1225,MIN(0.75,Matchup!$C$39*$B1225),RAND())</f>
        <v>1</v>
      </c>
      <c r="K1225" s="0" t="n">
        <f aca="true">CRITBINOM(J1225,Coefficients!$B$30,RAND())</f>
        <v>1</v>
      </c>
      <c r="L1225" s="0" t="n">
        <f aca="true">CRITBINOM(K1225,Coefficients!$B$31,RAND())</f>
        <v>0</v>
      </c>
      <c r="M1225" s="0" t="n">
        <f aca="true">CRITBINOM(MAX(0,J1225-K1225),1-Coefficients!$B$32,RAND())</f>
        <v>0</v>
      </c>
      <c r="N1225" s="0" t="n">
        <f aca="true">CRITBINOM(MAX(0,$C1225-J1225),MIN(0.6,Matchup!$C$40*SQRT($B1225)/(1-MIN(0.75,Matchup!$C$39*$B1225))),RAND())</f>
        <v>0</v>
      </c>
      <c r="O1225" s="0" t="n">
        <f aca="false">6*J1225+(J1225-K1225-M1225)+2*L1225+3*N1225</f>
        <v>6</v>
      </c>
      <c r="P1225" s="0" t="n">
        <f aca="true">RAND()</f>
        <v>0.425107214090236</v>
      </c>
      <c r="Q1225" s="0" t="n">
        <f aca="true">RAND()</f>
        <v>0.89375996165204</v>
      </c>
      <c r="R1225" s="0" t="n">
        <f aca="false">IF($I1225&lt;&gt;$O1225,0,IF(P1225&lt;Matchup!$B$39,7,IF(P1225&lt;Matchup!$B$39+Matchup!$B$40,3,0)))</f>
        <v>0</v>
      </c>
      <c r="S1225" s="0" t="n">
        <f aca="false">IF($I1225&lt;&gt;$O1225,0,IF(Q1225&lt;Matchup!$C$39,7,IF(Q1225&lt;Matchup!$C$39+Matchup!$C$40,3,0)))</f>
        <v>0</v>
      </c>
      <c r="T1225" s="0" t="n">
        <f aca="false">I1225+R1225</f>
        <v>32</v>
      </c>
      <c r="U1225" s="0" t="n">
        <f aca="false">O1225+S1225</f>
        <v>6</v>
      </c>
      <c r="V1225" s="0" t="n">
        <f aca="false">T1225-U1225</f>
        <v>26</v>
      </c>
      <c r="W1225" s="0" t="n">
        <f aca="false">T1225+U1225</f>
        <v>38</v>
      </c>
    </row>
    <row r="1226" customFormat="false" ht="15" hidden="false" customHeight="false" outlineLevel="0" collapsed="false">
      <c r="A1226" s="0" t="n">
        <v>1223</v>
      </c>
      <c r="B1226" s="0" t="n">
        <f aca="true">NORMINV(RAND(),1,Coefficients!$B$22)</f>
        <v>0.860541668975521</v>
      </c>
      <c r="C1226" s="0" t="n">
        <f aca="true">MEDIAN(8,16,ROUND(NORMINV(RAND(),Coefficients!$B$20,Coefficients!$B$21),0))</f>
        <v>11</v>
      </c>
      <c r="D1226" s="0" t="n">
        <f aca="true">CRITBINOM($C1226,MIN(0.75,Matchup!$B$39*$B1226),RAND())</f>
        <v>2</v>
      </c>
      <c r="E1226" s="0" t="n">
        <f aca="true">CRITBINOM(D1226,Coefficients!$B$30,RAND())</f>
        <v>0</v>
      </c>
      <c r="F1226" s="0" t="n">
        <f aca="true">CRITBINOM(E1226,Coefficients!$B$31,RAND())</f>
        <v>0</v>
      </c>
      <c r="G1226" s="0" t="n">
        <f aca="true">CRITBINOM(MAX(0,D1226-E1226),1-Coefficients!$B$32,RAND())</f>
        <v>0</v>
      </c>
      <c r="H1226" s="0" t="n">
        <f aca="true">CRITBINOM(MAX(0,$C1226-D1226),MIN(0.6,Matchup!$B$40*SQRT($B1226)/(1-MIN(0.75,Matchup!$B$39*$B1226))),RAND())</f>
        <v>1</v>
      </c>
      <c r="I1226" s="0" t="n">
        <f aca="false">6*D1226+(D1226-E1226-G1226)+2*F1226+3*H1226</f>
        <v>17</v>
      </c>
      <c r="J1226" s="0" t="n">
        <f aca="true">CRITBINOM($C1226,MIN(0.75,Matchup!$C$39*$B1226),RAND())</f>
        <v>1</v>
      </c>
      <c r="K1226" s="0" t="n">
        <f aca="true">CRITBINOM(J1226,Coefficients!$B$30,RAND())</f>
        <v>0</v>
      </c>
      <c r="L1226" s="0" t="n">
        <f aca="true">CRITBINOM(K1226,Coefficients!$B$31,RAND())</f>
        <v>0</v>
      </c>
      <c r="M1226" s="0" t="n">
        <f aca="true">CRITBINOM(MAX(0,J1226-K1226),1-Coefficients!$B$32,RAND())</f>
        <v>0</v>
      </c>
      <c r="N1226" s="0" t="n">
        <f aca="true">CRITBINOM(MAX(0,$C1226-J1226),MIN(0.6,Matchup!$C$40*SQRT($B1226)/(1-MIN(0.75,Matchup!$C$39*$B1226))),RAND())</f>
        <v>0</v>
      </c>
      <c r="O1226" s="0" t="n">
        <f aca="false">6*J1226+(J1226-K1226-M1226)+2*L1226+3*N1226</f>
        <v>7</v>
      </c>
      <c r="P1226" s="0" t="n">
        <f aca="true">RAND()</f>
        <v>0.335568485136368</v>
      </c>
      <c r="Q1226" s="0" t="n">
        <f aca="true">RAND()</f>
        <v>0.330529106653433</v>
      </c>
      <c r="R1226" s="0" t="n">
        <f aca="false">IF($I1226&lt;&gt;$O1226,0,IF(P1226&lt;Matchup!$B$39,7,IF(P1226&lt;Matchup!$B$39+Matchup!$B$40,3,0)))</f>
        <v>0</v>
      </c>
      <c r="S1226" s="0" t="n">
        <f aca="false">IF($I1226&lt;&gt;$O1226,0,IF(Q1226&lt;Matchup!$C$39,7,IF(Q1226&lt;Matchup!$C$39+Matchup!$C$40,3,0)))</f>
        <v>0</v>
      </c>
      <c r="T1226" s="0" t="n">
        <f aca="false">I1226+R1226</f>
        <v>17</v>
      </c>
      <c r="U1226" s="0" t="n">
        <f aca="false">O1226+S1226</f>
        <v>7</v>
      </c>
      <c r="V1226" s="0" t="n">
        <f aca="false">T1226-U1226</f>
        <v>10</v>
      </c>
      <c r="W1226" s="0" t="n">
        <f aca="false">T1226+U1226</f>
        <v>24</v>
      </c>
    </row>
    <row r="1227" customFormat="false" ht="15" hidden="false" customHeight="false" outlineLevel="0" collapsed="false">
      <c r="A1227" s="0" t="n">
        <v>1224</v>
      </c>
      <c r="B1227" s="0" t="n">
        <f aca="true">NORMINV(RAND(),1,Coefficients!$B$22)</f>
        <v>0.908728164547495</v>
      </c>
      <c r="C1227" s="0" t="n">
        <f aca="true">MEDIAN(8,16,ROUND(NORMINV(RAND(),Coefficients!$B$20,Coefficients!$B$21),0))</f>
        <v>11</v>
      </c>
      <c r="D1227" s="0" t="n">
        <f aca="true">CRITBINOM($C1227,MIN(0.75,Matchup!$B$39*$B1227),RAND())</f>
        <v>1</v>
      </c>
      <c r="E1227" s="0" t="n">
        <f aca="true">CRITBINOM(D1227,Coefficients!$B$30,RAND())</f>
        <v>1</v>
      </c>
      <c r="F1227" s="0" t="n">
        <f aca="true">CRITBINOM(E1227,Coefficients!$B$31,RAND())</f>
        <v>1</v>
      </c>
      <c r="G1227" s="0" t="n">
        <f aca="true">CRITBINOM(MAX(0,D1227-E1227),1-Coefficients!$B$32,RAND())</f>
        <v>0</v>
      </c>
      <c r="H1227" s="0" t="n">
        <f aca="true">CRITBINOM(MAX(0,$C1227-D1227),MIN(0.6,Matchup!$B$40*SQRT($B1227)/(1-MIN(0.75,Matchup!$B$39*$B1227))),RAND())</f>
        <v>1</v>
      </c>
      <c r="I1227" s="0" t="n">
        <f aca="false">6*D1227+(D1227-E1227-G1227)+2*F1227+3*H1227</f>
        <v>11</v>
      </c>
      <c r="J1227" s="0" t="n">
        <f aca="true">CRITBINOM($C1227,MIN(0.75,Matchup!$C$39*$B1227),RAND())</f>
        <v>2</v>
      </c>
      <c r="K1227" s="0" t="n">
        <f aca="true">CRITBINOM(J1227,Coefficients!$B$30,RAND())</f>
        <v>0</v>
      </c>
      <c r="L1227" s="0" t="n">
        <f aca="true">CRITBINOM(K1227,Coefficients!$B$31,RAND())</f>
        <v>0</v>
      </c>
      <c r="M1227" s="0" t="n">
        <f aca="true">CRITBINOM(MAX(0,J1227-K1227),1-Coefficients!$B$32,RAND())</f>
        <v>0</v>
      </c>
      <c r="N1227" s="0" t="n">
        <f aca="true">CRITBINOM(MAX(0,$C1227-J1227),MIN(0.6,Matchup!$C$40*SQRT($B1227)/(1-MIN(0.75,Matchup!$C$39*$B1227))),RAND())</f>
        <v>2</v>
      </c>
      <c r="O1227" s="0" t="n">
        <f aca="false">6*J1227+(J1227-K1227-M1227)+2*L1227+3*N1227</f>
        <v>20</v>
      </c>
      <c r="P1227" s="0" t="n">
        <f aca="true">RAND()</f>
        <v>0.0759997946207261</v>
      </c>
      <c r="Q1227" s="0" t="n">
        <f aca="true">RAND()</f>
        <v>0.510876616296158</v>
      </c>
      <c r="R1227" s="0" t="n">
        <f aca="false">IF($I1227&lt;&gt;$O1227,0,IF(P1227&lt;Matchup!$B$39,7,IF(P1227&lt;Matchup!$B$39+Matchup!$B$40,3,0)))</f>
        <v>0</v>
      </c>
      <c r="S1227" s="0" t="n">
        <f aca="false">IF($I1227&lt;&gt;$O1227,0,IF(Q1227&lt;Matchup!$C$39,7,IF(Q1227&lt;Matchup!$C$39+Matchup!$C$40,3,0)))</f>
        <v>0</v>
      </c>
      <c r="T1227" s="0" t="n">
        <f aca="false">I1227+R1227</f>
        <v>11</v>
      </c>
      <c r="U1227" s="0" t="n">
        <f aca="false">O1227+S1227</f>
        <v>20</v>
      </c>
      <c r="V1227" s="0" t="n">
        <f aca="false">T1227-U1227</f>
        <v>-9</v>
      </c>
      <c r="W1227" s="0" t="n">
        <f aca="false">T1227+U1227</f>
        <v>31</v>
      </c>
    </row>
    <row r="1228" customFormat="false" ht="15" hidden="false" customHeight="false" outlineLevel="0" collapsed="false">
      <c r="A1228" s="0" t="n">
        <v>1225</v>
      </c>
      <c r="B1228" s="0" t="n">
        <f aca="true">NORMINV(RAND(),1,Coefficients!$B$22)</f>
        <v>1.10578622939323</v>
      </c>
      <c r="C1228" s="0" t="n">
        <f aca="true">MEDIAN(8,16,ROUND(NORMINV(RAND(),Coefficients!$B$20,Coefficients!$B$21),0))</f>
        <v>12</v>
      </c>
      <c r="D1228" s="0" t="n">
        <f aca="true">CRITBINOM($C1228,MIN(0.75,Matchup!$B$39*$B1228),RAND())</f>
        <v>3</v>
      </c>
      <c r="E1228" s="0" t="n">
        <f aca="true">CRITBINOM(D1228,Coefficients!$B$30,RAND())</f>
        <v>0</v>
      </c>
      <c r="F1228" s="0" t="n">
        <f aca="true">CRITBINOM(E1228,Coefficients!$B$31,RAND())</f>
        <v>0</v>
      </c>
      <c r="G1228" s="0" t="n">
        <f aca="true">CRITBINOM(MAX(0,D1228-E1228),1-Coefficients!$B$32,RAND())</f>
        <v>0</v>
      </c>
      <c r="H1228" s="0" t="n">
        <f aca="true">CRITBINOM(MAX(0,$C1228-D1228),MIN(0.6,Matchup!$B$40*SQRT($B1228)/(1-MIN(0.75,Matchup!$B$39*$B1228))),RAND())</f>
        <v>1</v>
      </c>
      <c r="I1228" s="0" t="n">
        <f aca="false">6*D1228+(D1228-E1228-G1228)+2*F1228+3*H1228</f>
        <v>24</v>
      </c>
      <c r="J1228" s="0" t="n">
        <f aca="true">CRITBINOM($C1228,MIN(0.75,Matchup!$C$39*$B1228),RAND())</f>
        <v>2</v>
      </c>
      <c r="K1228" s="0" t="n">
        <f aca="true">CRITBINOM(J1228,Coefficients!$B$30,RAND())</f>
        <v>0</v>
      </c>
      <c r="L1228" s="0" t="n">
        <f aca="true">CRITBINOM(K1228,Coefficients!$B$31,RAND())</f>
        <v>0</v>
      </c>
      <c r="M1228" s="0" t="n">
        <f aca="true">CRITBINOM(MAX(0,J1228-K1228),1-Coefficients!$B$32,RAND())</f>
        <v>0</v>
      </c>
      <c r="N1228" s="0" t="n">
        <f aca="true">CRITBINOM(MAX(0,$C1228-J1228),MIN(0.6,Matchup!$C$40*SQRT($B1228)/(1-MIN(0.75,Matchup!$C$39*$B1228))),RAND())</f>
        <v>2</v>
      </c>
      <c r="O1228" s="0" t="n">
        <f aca="false">6*J1228+(J1228-K1228-M1228)+2*L1228+3*N1228</f>
        <v>20</v>
      </c>
      <c r="P1228" s="0" t="n">
        <f aca="true">RAND()</f>
        <v>0.525566563525506</v>
      </c>
      <c r="Q1228" s="0" t="n">
        <f aca="true">RAND()</f>
        <v>0.320987720059436</v>
      </c>
      <c r="R1228" s="0" t="n">
        <f aca="false">IF($I1228&lt;&gt;$O1228,0,IF(P1228&lt;Matchup!$B$39,7,IF(P1228&lt;Matchup!$B$39+Matchup!$B$40,3,0)))</f>
        <v>0</v>
      </c>
      <c r="S1228" s="0" t="n">
        <f aca="false">IF($I1228&lt;&gt;$O1228,0,IF(Q1228&lt;Matchup!$C$39,7,IF(Q1228&lt;Matchup!$C$39+Matchup!$C$40,3,0)))</f>
        <v>0</v>
      </c>
      <c r="T1228" s="0" t="n">
        <f aca="false">I1228+R1228</f>
        <v>24</v>
      </c>
      <c r="U1228" s="0" t="n">
        <f aca="false">O1228+S1228</f>
        <v>20</v>
      </c>
      <c r="V1228" s="0" t="n">
        <f aca="false">T1228-U1228</f>
        <v>4</v>
      </c>
      <c r="W1228" s="0" t="n">
        <f aca="false">T1228+U1228</f>
        <v>44</v>
      </c>
    </row>
    <row r="1229" customFormat="false" ht="15" hidden="false" customHeight="false" outlineLevel="0" collapsed="false">
      <c r="A1229" s="0" t="n">
        <v>1226</v>
      </c>
      <c r="B1229" s="0" t="n">
        <f aca="true">NORMINV(RAND(),1,Coefficients!$B$22)</f>
        <v>0.985546837209929</v>
      </c>
      <c r="C1229" s="0" t="n">
        <f aca="true">MEDIAN(8,16,ROUND(NORMINV(RAND(),Coefficients!$B$20,Coefficients!$B$21),0))</f>
        <v>10</v>
      </c>
      <c r="D1229" s="0" t="n">
        <f aca="true">CRITBINOM($C1229,MIN(0.75,Matchup!$B$39*$B1229),RAND())</f>
        <v>1</v>
      </c>
      <c r="E1229" s="0" t="n">
        <f aca="true">CRITBINOM(D1229,Coefficients!$B$30,RAND())</f>
        <v>0</v>
      </c>
      <c r="F1229" s="0" t="n">
        <f aca="true">CRITBINOM(E1229,Coefficients!$B$31,RAND())</f>
        <v>0</v>
      </c>
      <c r="G1229" s="0" t="n">
        <f aca="true">CRITBINOM(MAX(0,D1229-E1229),1-Coefficients!$B$32,RAND())</f>
        <v>0</v>
      </c>
      <c r="H1229" s="0" t="n">
        <f aca="true">CRITBINOM(MAX(0,$C1229-D1229),MIN(0.6,Matchup!$B$40*SQRT($B1229)/(1-MIN(0.75,Matchup!$B$39*$B1229))),RAND())</f>
        <v>3</v>
      </c>
      <c r="I1229" s="0" t="n">
        <f aca="false">6*D1229+(D1229-E1229-G1229)+2*F1229+3*H1229</f>
        <v>16</v>
      </c>
      <c r="J1229" s="0" t="n">
        <f aca="true">CRITBINOM($C1229,MIN(0.75,Matchup!$C$39*$B1229),RAND())</f>
        <v>1</v>
      </c>
      <c r="K1229" s="0" t="n">
        <f aca="true">CRITBINOM(J1229,Coefficients!$B$30,RAND())</f>
        <v>0</v>
      </c>
      <c r="L1229" s="0" t="n">
        <f aca="true">CRITBINOM(K1229,Coefficients!$B$31,RAND())</f>
        <v>0</v>
      </c>
      <c r="M1229" s="0" t="n">
        <f aca="true">CRITBINOM(MAX(0,J1229-K1229),1-Coefficients!$B$32,RAND())</f>
        <v>0</v>
      </c>
      <c r="N1229" s="0" t="n">
        <f aca="true">CRITBINOM(MAX(0,$C1229-J1229),MIN(0.6,Matchup!$C$40*SQRT($B1229)/(1-MIN(0.75,Matchup!$C$39*$B1229))),RAND())</f>
        <v>3</v>
      </c>
      <c r="O1229" s="0" t="n">
        <f aca="false">6*J1229+(J1229-K1229-M1229)+2*L1229+3*N1229</f>
        <v>16</v>
      </c>
      <c r="P1229" s="0" t="n">
        <f aca="true">RAND()</f>
        <v>0.624890877272462</v>
      </c>
      <c r="Q1229" s="0" t="n">
        <f aca="true">RAND()</f>
        <v>0.566062988079358</v>
      </c>
      <c r="R1229" s="0" t="n">
        <f aca="false">IF($I1229&lt;&gt;$O1229,0,IF(P1229&lt;Matchup!$B$39,7,IF(P1229&lt;Matchup!$B$39+Matchup!$B$40,3,0)))</f>
        <v>0</v>
      </c>
      <c r="S1229" s="0" t="n">
        <f aca="false">IF($I1229&lt;&gt;$O1229,0,IF(Q1229&lt;Matchup!$C$39,7,IF(Q1229&lt;Matchup!$C$39+Matchup!$C$40,3,0)))</f>
        <v>0</v>
      </c>
      <c r="T1229" s="0" t="n">
        <f aca="false">I1229+R1229</f>
        <v>16</v>
      </c>
      <c r="U1229" s="0" t="n">
        <f aca="false">O1229+S1229</f>
        <v>16</v>
      </c>
      <c r="V1229" s="0" t="n">
        <f aca="false">T1229-U1229</f>
        <v>0</v>
      </c>
      <c r="W1229" s="0" t="n">
        <f aca="false">T1229+U1229</f>
        <v>32</v>
      </c>
    </row>
    <row r="1230" customFormat="false" ht="15" hidden="false" customHeight="false" outlineLevel="0" collapsed="false">
      <c r="A1230" s="0" t="n">
        <v>1227</v>
      </c>
      <c r="B1230" s="0" t="n">
        <f aca="true">NORMINV(RAND(),1,Coefficients!$B$22)</f>
        <v>1.0472313279235</v>
      </c>
      <c r="C1230" s="0" t="n">
        <f aca="true">MEDIAN(8,16,ROUND(NORMINV(RAND(),Coefficients!$B$20,Coefficients!$B$21),0))</f>
        <v>10</v>
      </c>
      <c r="D1230" s="0" t="n">
        <f aca="true">CRITBINOM($C1230,MIN(0.75,Matchup!$B$39*$B1230),RAND())</f>
        <v>1</v>
      </c>
      <c r="E1230" s="0" t="n">
        <f aca="true">CRITBINOM(D1230,Coefficients!$B$30,RAND())</f>
        <v>0</v>
      </c>
      <c r="F1230" s="0" t="n">
        <f aca="true">CRITBINOM(E1230,Coefficients!$B$31,RAND())</f>
        <v>0</v>
      </c>
      <c r="G1230" s="0" t="n">
        <f aca="true">CRITBINOM(MAX(0,D1230-E1230),1-Coefficients!$B$32,RAND())</f>
        <v>0</v>
      </c>
      <c r="H1230" s="0" t="n">
        <f aca="true">CRITBINOM(MAX(0,$C1230-D1230),MIN(0.6,Matchup!$B$40*SQRT($B1230)/(1-MIN(0.75,Matchup!$B$39*$B1230))),RAND())</f>
        <v>2</v>
      </c>
      <c r="I1230" s="0" t="n">
        <f aca="false">6*D1230+(D1230-E1230-G1230)+2*F1230+3*H1230</f>
        <v>13</v>
      </c>
      <c r="J1230" s="0" t="n">
        <f aca="true">CRITBINOM($C1230,MIN(0.75,Matchup!$C$39*$B1230),RAND())</f>
        <v>3</v>
      </c>
      <c r="K1230" s="0" t="n">
        <f aca="true">CRITBINOM(J1230,Coefficients!$B$30,RAND())</f>
        <v>1</v>
      </c>
      <c r="L1230" s="0" t="n">
        <f aca="true">CRITBINOM(K1230,Coefficients!$B$31,RAND())</f>
        <v>0</v>
      </c>
      <c r="M1230" s="0" t="n">
        <f aca="true">CRITBINOM(MAX(0,J1230-K1230),1-Coefficients!$B$32,RAND())</f>
        <v>0</v>
      </c>
      <c r="N1230" s="0" t="n">
        <f aca="true">CRITBINOM(MAX(0,$C1230-J1230),MIN(0.6,Matchup!$C$40*SQRT($B1230)/(1-MIN(0.75,Matchup!$C$39*$B1230))),RAND())</f>
        <v>1</v>
      </c>
      <c r="O1230" s="0" t="n">
        <f aca="false">6*J1230+(J1230-K1230-M1230)+2*L1230+3*N1230</f>
        <v>23</v>
      </c>
      <c r="P1230" s="0" t="n">
        <f aca="true">RAND()</f>
        <v>0.839236102385098</v>
      </c>
      <c r="Q1230" s="0" t="n">
        <f aca="true">RAND()</f>
        <v>0.709352587458606</v>
      </c>
      <c r="R1230" s="0" t="n">
        <f aca="false">IF($I1230&lt;&gt;$O1230,0,IF(P1230&lt;Matchup!$B$39,7,IF(P1230&lt;Matchup!$B$39+Matchup!$B$40,3,0)))</f>
        <v>0</v>
      </c>
      <c r="S1230" s="0" t="n">
        <f aca="false">IF($I1230&lt;&gt;$O1230,0,IF(Q1230&lt;Matchup!$C$39,7,IF(Q1230&lt;Matchup!$C$39+Matchup!$C$40,3,0)))</f>
        <v>0</v>
      </c>
      <c r="T1230" s="0" t="n">
        <f aca="false">I1230+R1230</f>
        <v>13</v>
      </c>
      <c r="U1230" s="0" t="n">
        <f aca="false">O1230+S1230</f>
        <v>23</v>
      </c>
      <c r="V1230" s="0" t="n">
        <f aca="false">T1230-U1230</f>
        <v>-10</v>
      </c>
      <c r="W1230" s="0" t="n">
        <f aca="false">T1230+U1230</f>
        <v>36</v>
      </c>
    </row>
    <row r="1231" customFormat="false" ht="15" hidden="false" customHeight="false" outlineLevel="0" collapsed="false">
      <c r="A1231" s="0" t="n">
        <v>1228</v>
      </c>
      <c r="B1231" s="0" t="n">
        <f aca="true">NORMINV(RAND(),1,Coefficients!$B$22)</f>
        <v>0.868249963116753</v>
      </c>
      <c r="C1231" s="0" t="n">
        <f aca="true">MEDIAN(8,16,ROUND(NORMINV(RAND(),Coefficients!$B$20,Coefficients!$B$21),0))</f>
        <v>13</v>
      </c>
      <c r="D1231" s="0" t="n">
        <f aca="true">CRITBINOM($C1231,MIN(0.75,Matchup!$B$39*$B1231),RAND())</f>
        <v>2</v>
      </c>
      <c r="E1231" s="0" t="n">
        <f aca="true">CRITBINOM(D1231,Coefficients!$B$30,RAND())</f>
        <v>0</v>
      </c>
      <c r="F1231" s="0" t="n">
        <f aca="true">CRITBINOM(E1231,Coefficients!$B$31,RAND())</f>
        <v>0</v>
      </c>
      <c r="G1231" s="0" t="n">
        <f aca="true">CRITBINOM(MAX(0,D1231-E1231),1-Coefficients!$B$32,RAND())</f>
        <v>0</v>
      </c>
      <c r="H1231" s="0" t="n">
        <f aca="true">CRITBINOM(MAX(0,$C1231-D1231),MIN(0.6,Matchup!$B$40*SQRT($B1231)/(1-MIN(0.75,Matchup!$B$39*$B1231))),RAND())</f>
        <v>0</v>
      </c>
      <c r="I1231" s="0" t="n">
        <f aca="false">6*D1231+(D1231-E1231-G1231)+2*F1231+3*H1231</f>
        <v>14</v>
      </c>
      <c r="J1231" s="0" t="n">
        <f aca="true">CRITBINOM($C1231,MIN(0.75,Matchup!$C$39*$B1231),RAND())</f>
        <v>3</v>
      </c>
      <c r="K1231" s="0" t="n">
        <f aca="true">CRITBINOM(J1231,Coefficients!$B$30,RAND())</f>
        <v>0</v>
      </c>
      <c r="L1231" s="0" t="n">
        <f aca="true">CRITBINOM(K1231,Coefficients!$B$31,RAND())</f>
        <v>0</v>
      </c>
      <c r="M1231" s="0" t="n">
        <f aca="true">CRITBINOM(MAX(0,J1231-K1231),1-Coefficients!$B$32,RAND())</f>
        <v>0</v>
      </c>
      <c r="N1231" s="0" t="n">
        <f aca="true">CRITBINOM(MAX(0,$C1231-J1231),MIN(0.6,Matchup!$C$40*SQRT($B1231)/(1-MIN(0.75,Matchup!$C$39*$B1231))),RAND())</f>
        <v>2</v>
      </c>
      <c r="O1231" s="0" t="n">
        <f aca="false">6*J1231+(J1231-K1231-M1231)+2*L1231+3*N1231</f>
        <v>27</v>
      </c>
      <c r="P1231" s="0" t="n">
        <f aca="true">RAND()</f>
        <v>0.581162414548433</v>
      </c>
      <c r="Q1231" s="0" t="n">
        <f aca="true">RAND()</f>
        <v>0.670758912837606</v>
      </c>
      <c r="R1231" s="0" t="n">
        <f aca="false">IF($I1231&lt;&gt;$O1231,0,IF(P1231&lt;Matchup!$B$39,7,IF(P1231&lt;Matchup!$B$39+Matchup!$B$40,3,0)))</f>
        <v>0</v>
      </c>
      <c r="S1231" s="0" t="n">
        <f aca="false">IF($I1231&lt;&gt;$O1231,0,IF(Q1231&lt;Matchup!$C$39,7,IF(Q1231&lt;Matchup!$C$39+Matchup!$C$40,3,0)))</f>
        <v>0</v>
      </c>
      <c r="T1231" s="0" t="n">
        <f aca="false">I1231+R1231</f>
        <v>14</v>
      </c>
      <c r="U1231" s="0" t="n">
        <f aca="false">O1231+S1231</f>
        <v>27</v>
      </c>
      <c r="V1231" s="0" t="n">
        <f aca="false">T1231-U1231</f>
        <v>-13</v>
      </c>
      <c r="W1231" s="0" t="n">
        <f aca="false">T1231+U1231</f>
        <v>41</v>
      </c>
    </row>
    <row r="1232" customFormat="false" ht="15" hidden="false" customHeight="false" outlineLevel="0" collapsed="false">
      <c r="A1232" s="0" t="n">
        <v>1229</v>
      </c>
      <c r="B1232" s="0" t="n">
        <f aca="true">NORMINV(RAND(),1,Coefficients!$B$22)</f>
        <v>1.0283401717697</v>
      </c>
      <c r="C1232" s="0" t="n">
        <f aca="true">MEDIAN(8,16,ROUND(NORMINV(RAND(),Coefficients!$B$20,Coefficients!$B$21),0))</f>
        <v>11</v>
      </c>
      <c r="D1232" s="0" t="n">
        <f aca="true">CRITBINOM($C1232,MIN(0.75,Matchup!$B$39*$B1232),RAND())</f>
        <v>2</v>
      </c>
      <c r="E1232" s="0" t="n">
        <f aca="true">CRITBINOM(D1232,Coefficients!$B$30,RAND())</f>
        <v>0</v>
      </c>
      <c r="F1232" s="0" t="n">
        <f aca="true">CRITBINOM(E1232,Coefficients!$B$31,RAND())</f>
        <v>0</v>
      </c>
      <c r="G1232" s="0" t="n">
        <f aca="true">CRITBINOM(MAX(0,D1232-E1232),1-Coefficients!$B$32,RAND())</f>
        <v>0</v>
      </c>
      <c r="H1232" s="0" t="n">
        <f aca="true">CRITBINOM(MAX(0,$C1232-D1232),MIN(0.6,Matchup!$B$40*SQRT($B1232)/(1-MIN(0.75,Matchup!$B$39*$B1232))),RAND())</f>
        <v>0</v>
      </c>
      <c r="I1232" s="0" t="n">
        <f aca="false">6*D1232+(D1232-E1232-G1232)+2*F1232+3*H1232</f>
        <v>14</v>
      </c>
      <c r="J1232" s="0" t="n">
        <f aca="true">CRITBINOM($C1232,MIN(0.75,Matchup!$C$39*$B1232),RAND())</f>
        <v>2</v>
      </c>
      <c r="K1232" s="0" t="n">
        <f aca="true">CRITBINOM(J1232,Coefficients!$B$30,RAND())</f>
        <v>0</v>
      </c>
      <c r="L1232" s="0" t="n">
        <f aca="true">CRITBINOM(K1232,Coefficients!$B$31,RAND())</f>
        <v>0</v>
      </c>
      <c r="M1232" s="0" t="n">
        <f aca="true">CRITBINOM(MAX(0,J1232-K1232),1-Coefficients!$B$32,RAND())</f>
        <v>0</v>
      </c>
      <c r="N1232" s="0" t="n">
        <f aca="true">CRITBINOM(MAX(0,$C1232-J1232),MIN(0.6,Matchup!$C$40*SQRT($B1232)/(1-MIN(0.75,Matchup!$C$39*$B1232))),RAND())</f>
        <v>3</v>
      </c>
      <c r="O1232" s="0" t="n">
        <f aca="false">6*J1232+(J1232-K1232-M1232)+2*L1232+3*N1232</f>
        <v>23</v>
      </c>
      <c r="P1232" s="0" t="n">
        <f aca="true">RAND()</f>
        <v>0.52159837978852</v>
      </c>
      <c r="Q1232" s="0" t="n">
        <f aca="true">RAND()</f>
        <v>0.0310961595654947</v>
      </c>
      <c r="R1232" s="0" t="n">
        <f aca="false">IF($I1232&lt;&gt;$O1232,0,IF(P1232&lt;Matchup!$B$39,7,IF(P1232&lt;Matchup!$B$39+Matchup!$B$40,3,0)))</f>
        <v>0</v>
      </c>
      <c r="S1232" s="0" t="n">
        <f aca="false">IF($I1232&lt;&gt;$O1232,0,IF(Q1232&lt;Matchup!$C$39,7,IF(Q1232&lt;Matchup!$C$39+Matchup!$C$40,3,0)))</f>
        <v>0</v>
      </c>
      <c r="T1232" s="0" t="n">
        <f aca="false">I1232+R1232</f>
        <v>14</v>
      </c>
      <c r="U1232" s="0" t="n">
        <f aca="false">O1232+S1232</f>
        <v>23</v>
      </c>
      <c r="V1232" s="0" t="n">
        <f aca="false">T1232-U1232</f>
        <v>-9</v>
      </c>
      <c r="W1232" s="0" t="n">
        <f aca="false">T1232+U1232</f>
        <v>37</v>
      </c>
    </row>
    <row r="1233" customFormat="false" ht="15" hidden="false" customHeight="false" outlineLevel="0" collapsed="false">
      <c r="A1233" s="0" t="n">
        <v>1230</v>
      </c>
      <c r="B1233" s="0" t="n">
        <f aca="true">NORMINV(RAND(),1,Coefficients!$B$22)</f>
        <v>1.0317305771172</v>
      </c>
      <c r="C1233" s="0" t="n">
        <f aca="true">MEDIAN(8,16,ROUND(NORMINV(RAND(),Coefficients!$B$20,Coefficients!$B$21),0))</f>
        <v>11</v>
      </c>
      <c r="D1233" s="0" t="n">
        <f aca="true">CRITBINOM($C1233,MIN(0.75,Matchup!$B$39*$B1233),RAND())</f>
        <v>3</v>
      </c>
      <c r="E1233" s="0" t="n">
        <f aca="true">CRITBINOM(D1233,Coefficients!$B$30,RAND())</f>
        <v>0</v>
      </c>
      <c r="F1233" s="0" t="n">
        <f aca="true">CRITBINOM(E1233,Coefficients!$B$31,RAND())</f>
        <v>0</v>
      </c>
      <c r="G1233" s="0" t="n">
        <f aca="true">CRITBINOM(MAX(0,D1233-E1233),1-Coefficients!$B$32,RAND())</f>
        <v>0</v>
      </c>
      <c r="H1233" s="0" t="n">
        <f aca="true">CRITBINOM(MAX(0,$C1233-D1233),MIN(0.6,Matchup!$B$40*SQRT($B1233)/(1-MIN(0.75,Matchup!$B$39*$B1233))),RAND())</f>
        <v>2</v>
      </c>
      <c r="I1233" s="0" t="n">
        <f aca="false">6*D1233+(D1233-E1233-G1233)+2*F1233+3*H1233</f>
        <v>27</v>
      </c>
      <c r="J1233" s="0" t="n">
        <f aca="true">CRITBINOM($C1233,MIN(0.75,Matchup!$C$39*$B1233),RAND())</f>
        <v>2</v>
      </c>
      <c r="K1233" s="0" t="n">
        <f aca="true">CRITBINOM(J1233,Coefficients!$B$30,RAND())</f>
        <v>0</v>
      </c>
      <c r="L1233" s="0" t="n">
        <f aca="true">CRITBINOM(K1233,Coefficients!$B$31,RAND())</f>
        <v>0</v>
      </c>
      <c r="M1233" s="0" t="n">
        <f aca="true">CRITBINOM(MAX(0,J1233-K1233),1-Coefficients!$B$32,RAND())</f>
        <v>0</v>
      </c>
      <c r="N1233" s="0" t="n">
        <f aca="true">CRITBINOM(MAX(0,$C1233-J1233),MIN(0.6,Matchup!$C$40*SQRT($B1233)/(1-MIN(0.75,Matchup!$C$39*$B1233))),RAND())</f>
        <v>3</v>
      </c>
      <c r="O1233" s="0" t="n">
        <f aca="false">6*J1233+(J1233-K1233-M1233)+2*L1233+3*N1233</f>
        <v>23</v>
      </c>
      <c r="P1233" s="0" t="n">
        <f aca="true">RAND()</f>
        <v>0.497129516369172</v>
      </c>
      <c r="Q1233" s="0" t="n">
        <f aca="true">RAND()</f>
        <v>0.392188993560486</v>
      </c>
      <c r="R1233" s="0" t="n">
        <f aca="false">IF($I1233&lt;&gt;$O1233,0,IF(P1233&lt;Matchup!$B$39,7,IF(P1233&lt;Matchup!$B$39+Matchup!$B$40,3,0)))</f>
        <v>0</v>
      </c>
      <c r="S1233" s="0" t="n">
        <f aca="false">IF($I1233&lt;&gt;$O1233,0,IF(Q1233&lt;Matchup!$C$39,7,IF(Q1233&lt;Matchup!$C$39+Matchup!$C$40,3,0)))</f>
        <v>0</v>
      </c>
      <c r="T1233" s="0" t="n">
        <f aca="false">I1233+R1233</f>
        <v>27</v>
      </c>
      <c r="U1233" s="0" t="n">
        <f aca="false">O1233+S1233</f>
        <v>23</v>
      </c>
      <c r="V1233" s="0" t="n">
        <f aca="false">T1233-U1233</f>
        <v>4</v>
      </c>
      <c r="W1233" s="0" t="n">
        <f aca="false">T1233+U1233</f>
        <v>50</v>
      </c>
    </row>
    <row r="1234" customFormat="false" ht="15" hidden="false" customHeight="false" outlineLevel="0" collapsed="false">
      <c r="A1234" s="0" t="n">
        <v>1231</v>
      </c>
      <c r="B1234" s="0" t="n">
        <f aca="true">NORMINV(RAND(),1,Coefficients!$B$22)</f>
        <v>1.06861569073311</v>
      </c>
      <c r="C1234" s="0" t="n">
        <f aca="true">MEDIAN(8,16,ROUND(NORMINV(RAND(),Coefficients!$B$20,Coefficients!$B$21),0))</f>
        <v>11</v>
      </c>
      <c r="D1234" s="0" t="n">
        <f aca="true">CRITBINOM($C1234,MIN(0.75,Matchup!$B$39*$B1234),RAND())</f>
        <v>7</v>
      </c>
      <c r="E1234" s="0" t="n">
        <f aca="true">CRITBINOM(D1234,Coefficients!$B$30,RAND())</f>
        <v>1</v>
      </c>
      <c r="F1234" s="0" t="n">
        <f aca="true">CRITBINOM(E1234,Coefficients!$B$31,RAND())</f>
        <v>0</v>
      </c>
      <c r="G1234" s="0" t="n">
        <f aca="true">CRITBINOM(MAX(0,D1234-E1234),1-Coefficients!$B$32,RAND())</f>
        <v>0</v>
      </c>
      <c r="H1234" s="0" t="n">
        <f aca="true">CRITBINOM(MAX(0,$C1234-D1234),MIN(0.6,Matchup!$B$40*SQRT($B1234)/(1-MIN(0.75,Matchup!$B$39*$B1234))),RAND())</f>
        <v>1</v>
      </c>
      <c r="I1234" s="0" t="n">
        <f aca="false">6*D1234+(D1234-E1234-G1234)+2*F1234+3*H1234</f>
        <v>51</v>
      </c>
      <c r="J1234" s="0" t="n">
        <f aca="true">CRITBINOM($C1234,MIN(0.75,Matchup!$C$39*$B1234),RAND())</f>
        <v>1</v>
      </c>
      <c r="K1234" s="0" t="n">
        <f aca="true">CRITBINOM(J1234,Coefficients!$B$30,RAND())</f>
        <v>0</v>
      </c>
      <c r="L1234" s="0" t="n">
        <f aca="true">CRITBINOM(K1234,Coefficients!$B$31,RAND())</f>
        <v>0</v>
      </c>
      <c r="M1234" s="0" t="n">
        <f aca="true">CRITBINOM(MAX(0,J1234-K1234),1-Coefficients!$B$32,RAND())</f>
        <v>0</v>
      </c>
      <c r="N1234" s="0" t="n">
        <f aca="true">CRITBINOM(MAX(0,$C1234-J1234),MIN(0.6,Matchup!$C$40*SQRT($B1234)/(1-MIN(0.75,Matchup!$C$39*$B1234))),RAND())</f>
        <v>1</v>
      </c>
      <c r="O1234" s="0" t="n">
        <f aca="false">6*J1234+(J1234-K1234-M1234)+2*L1234+3*N1234</f>
        <v>10</v>
      </c>
      <c r="P1234" s="0" t="n">
        <f aca="true">RAND()</f>
        <v>0.900258318551505</v>
      </c>
      <c r="Q1234" s="0" t="n">
        <f aca="true">RAND()</f>
        <v>0.381977892977794</v>
      </c>
      <c r="R1234" s="0" t="n">
        <f aca="false">IF($I1234&lt;&gt;$O1234,0,IF(P1234&lt;Matchup!$B$39,7,IF(P1234&lt;Matchup!$B$39+Matchup!$B$40,3,0)))</f>
        <v>0</v>
      </c>
      <c r="S1234" s="0" t="n">
        <f aca="false">IF($I1234&lt;&gt;$O1234,0,IF(Q1234&lt;Matchup!$C$39,7,IF(Q1234&lt;Matchup!$C$39+Matchup!$C$40,3,0)))</f>
        <v>0</v>
      </c>
      <c r="T1234" s="0" t="n">
        <f aca="false">I1234+R1234</f>
        <v>51</v>
      </c>
      <c r="U1234" s="0" t="n">
        <f aca="false">O1234+S1234</f>
        <v>10</v>
      </c>
      <c r="V1234" s="0" t="n">
        <f aca="false">T1234-U1234</f>
        <v>41</v>
      </c>
      <c r="W1234" s="0" t="n">
        <f aca="false">T1234+U1234</f>
        <v>61</v>
      </c>
    </row>
    <row r="1235" customFormat="false" ht="15" hidden="false" customHeight="false" outlineLevel="0" collapsed="false">
      <c r="A1235" s="0" t="n">
        <v>1232</v>
      </c>
      <c r="B1235" s="0" t="n">
        <f aca="true">NORMINV(RAND(),1,Coefficients!$B$22)</f>
        <v>1.07172214251753</v>
      </c>
      <c r="C1235" s="0" t="n">
        <f aca="true">MEDIAN(8,16,ROUND(NORMINV(RAND(),Coefficients!$B$20,Coefficients!$B$21),0))</f>
        <v>8</v>
      </c>
      <c r="D1235" s="0" t="n">
        <f aca="true">CRITBINOM($C1235,MIN(0.75,Matchup!$B$39*$B1235),RAND())</f>
        <v>2</v>
      </c>
      <c r="E1235" s="0" t="n">
        <f aca="true">CRITBINOM(D1235,Coefficients!$B$30,RAND())</f>
        <v>0</v>
      </c>
      <c r="F1235" s="0" t="n">
        <f aca="true">CRITBINOM(E1235,Coefficients!$B$31,RAND())</f>
        <v>0</v>
      </c>
      <c r="G1235" s="0" t="n">
        <f aca="true">CRITBINOM(MAX(0,D1235-E1235),1-Coefficients!$B$32,RAND())</f>
        <v>0</v>
      </c>
      <c r="H1235" s="0" t="n">
        <f aca="true">CRITBINOM(MAX(0,$C1235-D1235),MIN(0.6,Matchup!$B$40*SQRT($B1235)/(1-MIN(0.75,Matchup!$B$39*$B1235))),RAND())</f>
        <v>1</v>
      </c>
      <c r="I1235" s="0" t="n">
        <f aca="false">6*D1235+(D1235-E1235-G1235)+2*F1235+3*H1235</f>
        <v>17</v>
      </c>
      <c r="J1235" s="0" t="n">
        <f aca="true">CRITBINOM($C1235,MIN(0.75,Matchup!$C$39*$B1235),RAND())</f>
        <v>3</v>
      </c>
      <c r="K1235" s="0" t="n">
        <f aca="true">CRITBINOM(J1235,Coefficients!$B$30,RAND())</f>
        <v>0</v>
      </c>
      <c r="L1235" s="0" t="n">
        <f aca="true">CRITBINOM(K1235,Coefficients!$B$31,RAND())</f>
        <v>0</v>
      </c>
      <c r="M1235" s="0" t="n">
        <f aca="true">CRITBINOM(MAX(0,J1235-K1235),1-Coefficients!$B$32,RAND())</f>
        <v>0</v>
      </c>
      <c r="N1235" s="0" t="n">
        <f aca="true">CRITBINOM(MAX(0,$C1235-J1235),MIN(0.6,Matchup!$C$40*SQRT($B1235)/(1-MIN(0.75,Matchup!$C$39*$B1235))),RAND())</f>
        <v>1</v>
      </c>
      <c r="O1235" s="0" t="n">
        <f aca="false">6*J1235+(J1235-K1235-M1235)+2*L1235+3*N1235</f>
        <v>24</v>
      </c>
      <c r="P1235" s="0" t="n">
        <f aca="true">RAND()</f>
        <v>0.955678492497467</v>
      </c>
      <c r="Q1235" s="0" t="n">
        <f aca="true">RAND()</f>
        <v>0.613609518447816</v>
      </c>
      <c r="R1235" s="0" t="n">
        <f aca="false">IF($I1235&lt;&gt;$O1235,0,IF(P1235&lt;Matchup!$B$39,7,IF(P1235&lt;Matchup!$B$39+Matchup!$B$40,3,0)))</f>
        <v>0</v>
      </c>
      <c r="S1235" s="0" t="n">
        <f aca="false">IF($I1235&lt;&gt;$O1235,0,IF(Q1235&lt;Matchup!$C$39,7,IF(Q1235&lt;Matchup!$C$39+Matchup!$C$40,3,0)))</f>
        <v>0</v>
      </c>
      <c r="T1235" s="0" t="n">
        <f aca="false">I1235+R1235</f>
        <v>17</v>
      </c>
      <c r="U1235" s="0" t="n">
        <f aca="false">O1235+S1235</f>
        <v>24</v>
      </c>
      <c r="V1235" s="0" t="n">
        <f aca="false">T1235-U1235</f>
        <v>-7</v>
      </c>
      <c r="W1235" s="0" t="n">
        <f aca="false">T1235+U1235</f>
        <v>41</v>
      </c>
    </row>
    <row r="1236" customFormat="false" ht="15" hidden="false" customHeight="false" outlineLevel="0" collapsed="false">
      <c r="A1236" s="0" t="n">
        <v>1233</v>
      </c>
      <c r="B1236" s="0" t="n">
        <f aca="true">NORMINV(RAND(),1,Coefficients!$B$22)</f>
        <v>1.01586212084623</v>
      </c>
      <c r="C1236" s="0" t="n">
        <f aca="true">MEDIAN(8,16,ROUND(NORMINV(RAND(),Coefficients!$B$20,Coefficients!$B$21),0))</f>
        <v>13</v>
      </c>
      <c r="D1236" s="0" t="n">
        <f aca="true">CRITBINOM($C1236,MIN(0.75,Matchup!$B$39*$B1236),RAND())</f>
        <v>3</v>
      </c>
      <c r="E1236" s="0" t="n">
        <f aca="true">CRITBINOM(D1236,Coefficients!$B$30,RAND())</f>
        <v>0</v>
      </c>
      <c r="F1236" s="0" t="n">
        <f aca="true">CRITBINOM(E1236,Coefficients!$B$31,RAND())</f>
        <v>0</v>
      </c>
      <c r="G1236" s="0" t="n">
        <f aca="true">CRITBINOM(MAX(0,D1236-E1236),1-Coefficients!$B$32,RAND())</f>
        <v>0</v>
      </c>
      <c r="H1236" s="0" t="n">
        <f aca="true">CRITBINOM(MAX(0,$C1236-D1236),MIN(0.6,Matchup!$B$40*SQRT($B1236)/(1-MIN(0.75,Matchup!$B$39*$B1236))),RAND())</f>
        <v>3</v>
      </c>
      <c r="I1236" s="0" t="n">
        <f aca="false">6*D1236+(D1236-E1236-G1236)+2*F1236+3*H1236</f>
        <v>30</v>
      </c>
      <c r="J1236" s="0" t="n">
        <f aca="true">CRITBINOM($C1236,MIN(0.75,Matchup!$C$39*$B1236),RAND())</f>
        <v>2</v>
      </c>
      <c r="K1236" s="0" t="n">
        <f aca="true">CRITBINOM(J1236,Coefficients!$B$30,RAND())</f>
        <v>0</v>
      </c>
      <c r="L1236" s="0" t="n">
        <f aca="true">CRITBINOM(K1236,Coefficients!$B$31,RAND())</f>
        <v>0</v>
      </c>
      <c r="M1236" s="0" t="n">
        <f aca="true">CRITBINOM(MAX(0,J1236-K1236),1-Coefficients!$B$32,RAND())</f>
        <v>0</v>
      </c>
      <c r="N1236" s="0" t="n">
        <f aca="true">CRITBINOM(MAX(0,$C1236-J1236),MIN(0.6,Matchup!$C$40*SQRT($B1236)/(1-MIN(0.75,Matchup!$C$39*$B1236))),RAND())</f>
        <v>2</v>
      </c>
      <c r="O1236" s="0" t="n">
        <f aca="false">6*J1236+(J1236-K1236-M1236)+2*L1236+3*N1236</f>
        <v>20</v>
      </c>
      <c r="P1236" s="0" t="n">
        <f aca="true">RAND()</f>
        <v>0.451286112720627</v>
      </c>
      <c r="Q1236" s="0" t="n">
        <f aca="true">RAND()</f>
        <v>0.660906553010884</v>
      </c>
      <c r="R1236" s="0" t="n">
        <f aca="false">IF($I1236&lt;&gt;$O1236,0,IF(P1236&lt;Matchup!$B$39,7,IF(P1236&lt;Matchup!$B$39+Matchup!$B$40,3,0)))</f>
        <v>0</v>
      </c>
      <c r="S1236" s="0" t="n">
        <f aca="false">IF($I1236&lt;&gt;$O1236,0,IF(Q1236&lt;Matchup!$C$39,7,IF(Q1236&lt;Matchup!$C$39+Matchup!$C$40,3,0)))</f>
        <v>0</v>
      </c>
      <c r="T1236" s="0" t="n">
        <f aca="false">I1236+R1236</f>
        <v>30</v>
      </c>
      <c r="U1236" s="0" t="n">
        <f aca="false">O1236+S1236</f>
        <v>20</v>
      </c>
      <c r="V1236" s="0" t="n">
        <f aca="false">T1236-U1236</f>
        <v>10</v>
      </c>
      <c r="W1236" s="0" t="n">
        <f aca="false">T1236+U1236</f>
        <v>50</v>
      </c>
    </row>
    <row r="1237" customFormat="false" ht="15" hidden="false" customHeight="false" outlineLevel="0" collapsed="false">
      <c r="A1237" s="0" t="n">
        <v>1234</v>
      </c>
      <c r="B1237" s="0" t="n">
        <f aca="true">NORMINV(RAND(),1,Coefficients!$B$22)</f>
        <v>0.925249879162513</v>
      </c>
      <c r="C1237" s="0" t="n">
        <f aca="true">MEDIAN(8,16,ROUND(NORMINV(RAND(),Coefficients!$B$20,Coefficients!$B$21),0))</f>
        <v>11</v>
      </c>
      <c r="D1237" s="0" t="n">
        <f aca="true">CRITBINOM($C1237,MIN(0.75,Matchup!$B$39*$B1237),RAND())</f>
        <v>1</v>
      </c>
      <c r="E1237" s="0" t="n">
        <f aca="true">CRITBINOM(D1237,Coefficients!$B$30,RAND())</f>
        <v>0</v>
      </c>
      <c r="F1237" s="0" t="n">
        <f aca="true">CRITBINOM(E1237,Coefficients!$B$31,RAND())</f>
        <v>0</v>
      </c>
      <c r="G1237" s="0" t="n">
        <f aca="true">CRITBINOM(MAX(0,D1237-E1237),1-Coefficients!$B$32,RAND())</f>
        <v>0</v>
      </c>
      <c r="H1237" s="0" t="n">
        <f aca="true">CRITBINOM(MAX(0,$C1237-D1237),MIN(0.6,Matchup!$B$40*SQRT($B1237)/(1-MIN(0.75,Matchup!$B$39*$B1237))),RAND())</f>
        <v>1</v>
      </c>
      <c r="I1237" s="0" t="n">
        <f aca="false">6*D1237+(D1237-E1237-G1237)+2*F1237+3*H1237</f>
        <v>10</v>
      </c>
      <c r="J1237" s="0" t="n">
        <f aca="true">CRITBINOM($C1237,MIN(0.75,Matchup!$C$39*$B1237),RAND())</f>
        <v>3</v>
      </c>
      <c r="K1237" s="0" t="n">
        <f aca="true">CRITBINOM(J1237,Coefficients!$B$30,RAND())</f>
        <v>0</v>
      </c>
      <c r="L1237" s="0" t="n">
        <f aca="true">CRITBINOM(K1237,Coefficients!$B$31,RAND())</f>
        <v>0</v>
      </c>
      <c r="M1237" s="0" t="n">
        <f aca="true">CRITBINOM(MAX(0,J1237-K1237),1-Coefficients!$B$32,RAND())</f>
        <v>0</v>
      </c>
      <c r="N1237" s="0" t="n">
        <f aca="true">CRITBINOM(MAX(0,$C1237-J1237),MIN(0.6,Matchup!$C$40*SQRT($B1237)/(1-MIN(0.75,Matchup!$C$39*$B1237))),RAND())</f>
        <v>3</v>
      </c>
      <c r="O1237" s="0" t="n">
        <f aca="false">6*J1237+(J1237-K1237-M1237)+2*L1237+3*N1237</f>
        <v>30</v>
      </c>
      <c r="P1237" s="0" t="n">
        <f aca="true">RAND()</f>
        <v>0.467512425155305</v>
      </c>
      <c r="Q1237" s="0" t="n">
        <f aca="true">RAND()</f>
        <v>0.729313626326745</v>
      </c>
      <c r="R1237" s="0" t="n">
        <f aca="false">IF($I1237&lt;&gt;$O1237,0,IF(P1237&lt;Matchup!$B$39,7,IF(P1237&lt;Matchup!$B$39+Matchup!$B$40,3,0)))</f>
        <v>0</v>
      </c>
      <c r="S1237" s="0" t="n">
        <f aca="false">IF($I1237&lt;&gt;$O1237,0,IF(Q1237&lt;Matchup!$C$39,7,IF(Q1237&lt;Matchup!$C$39+Matchup!$C$40,3,0)))</f>
        <v>0</v>
      </c>
      <c r="T1237" s="0" t="n">
        <f aca="false">I1237+R1237</f>
        <v>10</v>
      </c>
      <c r="U1237" s="0" t="n">
        <f aca="false">O1237+S1237</f>
        <v>30</v>
      </c>
      <c r="V1237" s="0" t="n">
        <f aca="false">T1237-U1237</f>
        <v>-20</v>
      </c>
      <c r="W1237" s="0" t="n">
        <f aca="false">T1237+U1237</f>
        <v>40</v>
      </c>
    </row>
    <row r="1238" customFormat="false" ht="15" hidden="false" customHeight="false" outlineLevel="0" collapsed="false">
      <c r="A1238" s="0" t="n">
        <v>1235</v>
      </c>
      <c r="B1238" s="0" t="n">
        <f aca="true">NORMINV(RAND(),1,Coefficients!$B$22)</f>
        <v>1.09039131767359</v>
      </c>
      <c r="C1238" s="0" t="n">
        <f aca="true">MEDIAN(8,16,ROUND(NORMINV(RAND(),Coefficients!$B$20,Coefficients!$B$21),0))</f>
        <v>13</v>
      </c>
      <c r="D1238" s="0" t="n">
        <f aca="true">CRITBINOM($C1238,MIN(0.75,Matchup!$B$39*$B1238),RAND())</f>
        <v>0</v>
      </c>
      <c r="E1238" s="0" t="n">
        <f aca="true">CRITBINOM(D1238,Coefficients!$B$30,RAND())</f>
        <v>0</v>
      </c>
      <c r="F1238" s="0" t="n">
        <f aca="true">CRITBINOM(E1238,Coefficients!$B$31,RAND())</f>
        <v>0</v>
      </c>
      <c r="G1238" s="0" t="n">
        <f aca="true">CRITBINOM(MAX(0,D1238-E1238),1-Coefficients!$B$32,RAND())</f>
        <v>0</v>
      </c>
      <c r="H1238" s="0" t="n">
        <f aca="true">CRITBINOM(MAX(0,$C1238-D1238),MIN(0.6,Matchup!$B$40*SQRT($B1238)/(1-MIN(0.75,Matchup!$B$39*$B1238))),RAND())</f>
        <v>3</v>
      </c>
      <c r="I1238" s="0" t="n">
        <f aca="false">6*D1238+(D1238-E1238-G1238)+2*F1238+3*H1238</f>
        <v>9</v>
      </c>
      <c r="J1238" s="0" t="n">
        <f aca="true">CRITBINOM($C1238,MIN(0.75,Matchup!$C$39*$B1238),RAND())</f>
        <v>6</v>
      </c>
      <c r="K1238" s="0" t="n">
        <f aca="true">CRITBINOM(J1238,Coefficients!$B$30,RAND())</f>
        <v>0</v>
      </c>
      <c r="L1238" s="0" t="n">
        <f aca="true">CRITBINOM(K1238,Coefficients!$B$31,RAND())</f>
        <v>0</v>
      </c>
      <c r="M1238" s="0" t="n">
        <f aca="true">CRITBINOM(MAX(0,J1238-K1238),1-Coefficients!$B$32,RAND())</f>
        <v>0</v>
      </c>
      <c r="N1238" s="0" t="n">
        <f aca="true">CRITBINOM(MAX(0,$C1238-J1238),MIN(0.6,Matchup!$C$40*SQRT($B1238)/(1-MIN(0.75,Matchup!$C$39*$B1238))),RAND())</f>
        <v>3</v>
      </c>
      <c r="O1238" s="0" t="n">
        <f aca="false">6*J1238+(J1238-K1238-M1238)+2*L1238+3*N1238</f>
        <v>51</v>
      </c>
      <c r="P1238" s="0" t="n">
        <f aca="true">RAND()</f>
        <v>0.489327797034085</v>
      </c>
      <c r="Q1238" s="0" t="n">
        <f aca="true">RAND()</f>
        <v>0.854062570037879</v>
      </c>
      <c r="R1238" s="0" t="n">
        <f aca="false">IF($I1238&lt;&gt;$O1238,0,IF(P1238&lt;Matchup!$B$39,7,IF(P1238&lt;Matchup!$B$39+Matchup!$B$40,3,0)))</f>
        <v>0</v>
      </c>
      <c r="S1238" s="0" t="n">
        <f aca="false">IF($I1238&lt;&gt;$O1238,0,IF(Q1238&lt;Matchup!$C$39,7,IF(Q1238&lt;Matchup!$C$39+Matchup!$C$40,3,0)))</f>
        <v>0</v>
      </c>
      <c r="T1238" s="0" t="n">
        <f aca="false">I1238+R1238</f>
        <v>9</v>
      </c>
      <c r="U1238" s="0" t="n">
        <f aca="false">O1238+S1238</f>
        <v>51</v>
      </c>
      <c r="V1238" s="0" t="n">
        <f aca="false">T1238-U1238</f>
        <v>-42</v>
      </c>
      <c r="W1238" s="0" t="n">
        <f aca="false">T1238+U1238</f>
        <v>60</v>
      </c>
    </row>
    <row r="1239" customFormat="false" ht="15" hidden="false" customHeight="false" outlineLevel="0" collapsed="false">
      <c r="A1239" s="0" t="n">
        <v>1236</v>
      </c>
      <c r="B1239" s="0" t="n">
        <f aca="true">NORMINV(RAND(),1,Coefficients!$B$22)</f>
        <v>0.985968934120732</v>
      </c>
      <c r="C1239" s="0" t="n">
        <f aca="true">MEDIAN(8,16,ROUND(NORMINV(RAND(),Coefficients!$B$20,Coefficients!$B$21),0))</f>
        <v>13</v>
      </c>
      <c r="D1239" s="0" t="n">
        <f aca="true">CRITBINOM($C1239,MIN(0.75,Matchup!$B$39*$B1239),RAND())</f>
        <v>3</v>
      </c>
      <c r="E1239" s="0" t="n">
        <f aca="true">CRITBINOM(D1239,Coefficients!$B$30,RAND())</f>
        <v>0</v>
      </c>
      <c r="F1239" s="0" t="n">
        <f aca="true">CRITBINOM(E1239,Coefficients!$B$31,RAND())</f>
        <v>0</v>
      </c>
      <c r="G1239" s="0" t="n">
        <f aca="true">CRITBINOM(MAX(0,D1239-E1239),1-Coefficients!$B$32,RAND())</f>
        <v>0</v>
      </c>
      <c r="H1239" s="0" t="n">
        <f aca="true">CRITBINOM(MAX(0,$C1239-D1239),MIN(0.6,Matchup!$B$40*SQRT($B1239)/(1-MIN(0.75,Matchup!$B$39*$B1239))),RAND())</f>
        <v>1</v>
      </c>
      <c r="I1239" s="0" t="n">
        <f aca="false">6*D1239+(D1239-E1239-G1239)+2*F1239+3*H1239</f>
        <v>24</v>
      </c>
      <c r="J1239" s="0" t="n">
        <f aca="true">CRITBINOM($C1239,MIN(0.75,Matchup!$C$39*$B1239),RAND())</f>
        <v>2</v>
      </c>
      <c r="K1239" s="0" t="n">
        <f aca="true">CRITBINOM(J1239,Coefficients!$B$30,RAND())</f>
        <v>0</v>
      </c>
      <c r="L1239" s="0" t="n">
        <f aca="true">CRITBINOM(K1239,Coefficients!$B$31,RAND())</f>
        <v>0</v>
      </c>
      <c r="M1239" s="0" t="n">
        <f aca="true">CRITBINOM(MAX(0,J1239-K1239),1-Coefficients!$B$32,RAND())</f>
        <v>0</v>
      </c>
      <c r="N1239" s="0" t="n">
        <f aca="true">CRITBINOM(MAX(0,$C1239-J1239),MIN(0.6,Matchup!$C$40*SQRT($B1239)/(1-MIN(0.75,Matchup!$C$39*$B1239))),RAND())</f>
        <v>3</v>
      </c>
      <c r="O1239" s="0" t="n">
        <f aca="false">6*J1239+(J1239-K1239-M1239)+2*L1239+3*N1239</f>
        <v>23</v>
      </c>
      <c r="P1239" s="0" t="n">
        <f aca="true">RAND()</f>
        <v>0.40601835097142</v>
      </c>
      <c r="Q1239" s="0" t="n">
        <f aca="true">RAND()</f>
        <v>0.490152452984833</v>
      </c>
      <c r="R1239" s="0" t="n">
        <f aca="false">IF($I1239&lt;&gt;$O1239,0,IF(P1239&lt;Matchup!$B$39,7,IF(P1239&lt;Matchup!$B$39+Matchup!$B$40,3,0)))</f>
        <v>0</v>
      </c>
      <c r="S1239" s="0" t="n">
        <f aca="false">IF($I1239&lt;&gt;$O1239,0,IF(Q1239&lt;Matchup!$C$39,7,IF(Q1239&lt;Matchup!$C$39+Matchup!$C$40,3,0)))</f>
        <v>0</v>
      </c>
      <c r="T1239" s="0" t="n">
        <f aca="false">I1239+R1239</f>
        <v>24</v>
      </c>
      <c r="U1239" s="0" t="n">
        <f aca="false">O1239+S1239</f>
        <v>23</v>
      </c>
      <c r="V1239" s="0" t="n">
        <f aca="false">T1239-U1239</f>
        <v>1</v>
      </c>
      <c r="W1239" s="0" t="n">
        <f aca="false">T1239+U1239</f>
        <v>47</v>
      </c>
    </row>
    <row r="1240" customFormat="false" ht="15" hidden="false" customHeight="false" outlineLevel="0" collapsed="false">
      <c r="A1240" s="0" t="n">
        <v>1237</v>
      </c>
      <c r="B1240" s="0" t="n">
        <f aca="true">NORMINV(RAND(),1,Coefficients!$B$22)</f>
        <v>0.989459773193652</v>
      </c>
      <c r="C1240" s="0" t="n">
        <f aca="true">MEDIAN(8,16,ROUND(NORMINV(RAND(),Coefficients!$B$20,Coefficients!$B$21),0))</f>
        <v>9</v>
      </c>
      <c r="D1240" s="0" t="n">
        <f aca="true">CRITBINOM($C1240,MIN(0.75,Matchup!$B$39*$B1240),RAND())</f>
        <v>2</v>
      </c>
      <c r="E1240" s="0" t="n">
        <f aca="true">CRITBINOM(D1240,Coefficients!$B$30,RAND())</f>
        <v>0</v>
      </c>
      <c r="F1240" s="0" t="n">
        <f aca="true">CRITBINOM(E1240,Coefficients!$B$31,RAND())</f>
        <v>0</v>
      </c>
      <c r="G1240" s="0" t="n">
        <f aca="true">CRITBINOM(MAX(0,D1240-E1240),1-Coefficients!$B$32,RAND())</f>
        <v>0</v>
      </c>
      <c r="H1240" s="0" t="n">
        <f aca="true">CRITBINOM(MAX(0,$C1240-D1240),MIN(0.6,Matchup!$B$40*SQRT($B1240)/(1-MIN(0.75,Matchup!$B$39*$B1240))),RAND())</f>
        <v>1</v>
      </c>
      <c r="I1240" s="0" t="n">
        <f aca="false">6*D1240+(D1240-E1240-G1240)+2*F1240+3*H1240</f>
        <v>17</v>
      </c>
      <c r="J1240" s="0" t="n">
        <f aca="true">CRITBINOM($C1240,MIN(0.75,Matchup!$C$39*$B1240),RAND())</f>
        <v>2</v>
      </c>
      <c r="K1240" s="0" t="n">
        <f aca="true">CRITBINOM(J1240,Coefficients!$B$30,RAND())</f>
        <v>2</v>
      </c>
      <c r="L1240" s="0" t="n">
        <f aca="true">CRITBINOM(K1240,Coefficients!$B$31,RAND())</f>
        <v>0</v>
      </c>
      <c r="M1240" s="0" t="n">
        <f aca="true">CRITBINOM(MAX(0,J1240-K1240),1-Coefficients!$B$32,RAND())</f>
        <v>0</v>
      </c>
      <c r="N1240" s="0" t="n">
        <f aca="true">CRITBINOM(MAX(0,$C1240-J1240),MIN(0.6,Matchup!$C$40*SQRT($B1240)/(1-MIN(0.75,Matchup!$C$39*$B1240))),RAND())</f>
        <v>2</v>
      </c>
      <c r="O1240" s="0" t="n">
        <f aca="false">6*J1240+(J1240-K1240-M1240)+2*L1240+3*N1240</f>
        <v>18</v>
      </c>
      <c r="P1240" s="0" t="n">
        <f aca="true">RAND()</f>
        <v>0.611381804008112</v>
      </c>
      <c r="Q1240" s="0" t="n">
        <f aca="true">RAND()</f>
        <v>0.112337592169459</v>
      </c>
      <c r="R1240" s="0" t="n">
        <f aca="false">IF($I1240&lt;&gt;$O1240,0,IF(P1240&lt;Matchup!$B$39,7,IF(P1240&lt;Matchup!$B$39+Matchup!$B$40,3,0)))</f>
        <v>0</v>
      </c>
      <c r="S1240" s="0" t="n">
        <f aca="false">IF($I1240&lt;&gt;$O1240,0,IF(Q1240&lt;Matchup!$C$39,7,IF(Q1240&lt;Matchup!$C$39+Matchup!$C$40,3,0)))</f>
        <v>0</v>
      </c>
      <c r="T1240" s="0" t="n">
        <f aca="false">I1240+R1240</f>
        <v>17</v>
      </c>
      <c r="U1240" s="0" t="n">
        <f aca="false">O1240+S1240</f>
        <v>18</v>
      </c>
      <c r="V1240" s="0" t="n">
        <f aca="false">T1240-U1240</f>
        <v>-1</v>
      </c>
      <c r="W1240" s="0" t="n">
        <f aca="false">T1240+U1240</f>
        <v>35</v>
      </c>
    </row>
    <row r="1241" customFormat="false" ht="15" hidden="false" customHeight="false" outlineLevel="0" collapsed="false">
      <c r="A1241" s="0" t="n">
        <v>1238</v>
      </c>
      <c r="B1241" s="0" t="n">
        <f aca="true">NORMINV(RAND(),1,Coefficients!$B$22)</f>
        <v>1.00109921467843</v>
      </c>
      <c r="C1241" s="0" t="n">
        <f aca="true">MEDIAN(8,16,ROUND(NORMINV(RAND(),Coefficients!$B$20,Coefficients!$B$21),0))</f>
        <v>12</v>
      </c>
      <c r="D1241" s="0" t="n">
        <f aca="true">CRITBINOM($C1241,MIN(0.75,Matchup!$B$39*$B1241),RAND())</f>
        <v>4</v>
      </c>
      <c r="E1241" s="0" t="n">
        <f aca="true">CRITBINOM(D1241,Coefficients!$B$30,RAND())</f>
        <v>0</v>
      </c>
      <c r="F1241" s="0" t="n">
        <f aca="true">CRITBINOM(E1241,Coefficients!$B$31,RAND())</f>
        <v>0</v>
      </c>
      <c r="G1241" s="0" t="n">
        <f aca="true">CRITBINOM(MAX(0,D1241-E1241),1-Coefficients!$B$32,RAND())</f>
        <v>0</v>
      </c>
      <c r="H1241" s="0" t="n">
        <f aca="true">CRITBINOM(MAX(0,$C1241-D1241),MIN(0.6,Matchup!$B$40*SQRT($B1241)/(1-MIN(0.75,Matchup!$B$39*$B1241))),RAND())</f>
        <v>1</v>
      </c>
      <c r="I1241" s="0" t="n">
        <f aca="false">6*D1241+(D1241-E1241-G1241)+2*F1241+3*H1241</f>
        <v>31</v>
      </c>
      <c r="J1241" s="0" t="n">
        <f aca="true">CRITBINOM($C1241,MIN(0.75,Matchup!$C$39*$B1241),RAND())</f>
        <v>3</v>
      </c>
      <c r="K1241" s="0" t="n">
        <f aca="true">CRITBINOM(J1241,Coefficients!$B$30,RAND())</f>
        <v>0</v>
      </c>
      <c r="L1241" s="0" t="n">
        <f aca="true">CRITBINOM(K1241,Coefficients!$B$31,RAND())</f>
        <v>0</v>
      </c>
      <c r="M1241" s="0" t="n">
        <f aca="true">CRITBINOM(MAX(0,J1241-K1241),1-Coefficients!$B$32,RAND())</f>
        <v>1</v>
      </c>
      <c r="N1241" s="0" t="n">
        <f aca="true">CRITBINOM(MAX(0,$C1241-J1241),MIN(0.6,Matchup!$C$40*SQRT($B1241)/(1-MIN(0.75,Matchup!$C$39*$B1241))),RAND())</f>
        <v>1</v>
      </c>
      <c r="O1241" s="0" t="n">
        <f aca="false">6*J1241+(J1241-K1241-M1241)+2*L1241+3*N1241</f>
        <v>23</v>
      </c>
      <c r="P1241" s="0" t="n">
        <f aca="true">RAND()</f>
        <v>0.295444319459859</v>
      </c>
      <c r="Q1241" s="0" t="n">
        <f aca="true">RAND()</f>
        <v>0.0334114200287965</v>
      </c>
      <c r="R1241" s="0" t="n">
        <f aca="false">IF($I1241&lt;&gt;$O1241,0,IF(P1241&lt;Matchup!$B$39,7,IF(P1241&lt;Matchup!$B$39+Matchup!$B$40,3,0)))</f>
        <v>0</v>
      </c>
      <c r="S1241" s="0" t="n">
        <f aca="false">IF($I1241&lt;&gt;$O1241,0,IF(Q1241&lt;Matchup!$C$39,7,IF(Q1241&lt;Matchup!$C$39+Matchup!$C$40,3,0)))</f>
        <v>0</v>
      </c>
      <c r="T1241" s="0" t="n">
        <f aca="false">I1241+R1241</f>
        <v>31</v>
      </c>
      <c r="U1241" s="0" t="n">
        <f aca="false">O1241+S1241</f>
        <v>23</v>
      </c>
      <c r="V1241" s="0" t="n">
        <f aca="false">T1241-U1241</f>
        <v>8</v>
      </c>
      <c r="W1241" s="0" t="n">
        <f aca="false">T1241+U1241</f>
        <v>54</v>
      </c>
    </row>
    <row r="1242" customFormat="false" ht="15" hidden="false" customHeight="false" outlineLevel="0" collapsed="false">
      <c r="A1242" s="0" t="n">
        <v>1239</v>
      </c>
      <c r="B1242" s="0" t="n">
        <f aca="true">NORMINV(RAND(),1,Coefficients!$B$22)</f>
        <v>1.02156008576819</v>
      </c>
      <c r="C1242" s="0" t="n">
        <f aca="true">MEDIAN(8,16,ROUND(NORMINV(RAND(),Coefficients!$B$20,Coefficients!$B$21),0))</f>
        <v>11</v>
      </c>
      <c r="D1242" s="0" t="n">
        <f aca="true">CRITBINOM($C1242,MIN(0.75,Matchup!$B$39*$B1242),RAND())</f>
        <v>3</v>
      </c>
      <c r="E1242" s="0" t="n">
        <f aca="true">CRITBINOM(D1242,Coefficients!$B$30,RAND())</f>
        <v>1</v>
      </c>
      <c r="F1242" s="0" t="n">
        <f aca="true">CRITBINOM(E1242,Coefficients!$B$31,RAND())</f>
        <v>0</v>
      </c>
      <c r="G1242" s="0" t="n">
        <f aca="true">CRITBINOM(MAX(0,D1242-E1242),1-Coefficients!$B$32,RAND())</f>
        <v>0</v>
      </c>
      <c r="H1242" s="0" t="n">
        <f aca="true">CRITBINOM(MAX(0,$C1242-D1242),MIN(0.6,Matchup!$B$40*SQRT($B1242)/(1-MIN(0.75,Matchup!$B$39*$B1242))),RAND())</f>
        <v>3</v>
      </c>
      <c r="I1242" s="0" t="n">
        <f aca="false">6*D1242+(D1242-E1242-G1242)+2*F1242+3*H1242</f>
        <v>29</v>
      </c>
      <c r="J1242" s="0" t="n">
        <f aca="true">CRITBINOM($C1242,MIN(0.75,Matchup!$C$39*$B1242),RAND())</f>
        <v>2</v>
      </c>
      <c r="K1242" s="0" t="n">
        <f aca="true">CRITBINOM(J1242,Coefficients!$B$30,RAND())</f>
        <v>0</v>
      </c>
      <c r="L1242" s="0" t="n">
        <f aca="true">CRITBINOM(K1242,Coefficients!$B$31,RAND())</f>
        <v>0</v>
      </c>
      <c r="M1242" s="0" t="n">
        <f aca="true">CRITBINOM(MAX(0,J1242-K1242),1-Coefficients!$B$32,RAND())</f>
        <v>0</v>
      </c>
      <c r="N1242" s="0" t="n">
        <f aca="true">CRITBINOM(MAX(0,$C1242-J1242),MIN(0.6,Matchup!$C$40*SQRT($B1242)/(1-MIN(0.75,Matchup!$C$39*$B1242))),RAND())</f>
        <v>3</v>
      </c>
      <c r="O1242" s="0" t="n">
        <f aca="false">6*J1242+(J1242-K1242-M1242)+2*L1242+3*N1242</f>
        <v>23</v>
      </c>
      <c r="P1242" s="0" t="n">
        <f aca="true">RAND()</f>
        <v>0.985117918972147</v>
      </c>
      <c r="Q1242" s="0" t="n">
        <f aca="true">RAND()</f>
        <v>0.912990361926222</v>
      </c>
      <c r="R1242" s="0" t="n">
        <f aca="false">IF($I1242&lt;&gt;$O1242,0,IF(P1242&lt;Matchup!$B$39,7,IF(P1242&lt;Matchup!$B$39+Matchup!$B$40,3,0)))</f>
        <v>0</v>
      </c>
      <c r="S1242" s="0" t="n">
        <f aca="false">IF($I1242&lt;&gt;$O1242,0,IF(Q1242&lt;Matchup!$C$39,7,IF(Q1242&lt;Matchup!$C$39+Matchup!$C$40,3,0)))</f>
        <v>0</v>
      </c>
      <c r="T1242" s="0" t="n">
        <f aca="false">I1242+R1242</f>
        <v>29</v>
      </c>
      <c r="U1242" s="0" t="n">
        <f aca="false">O1242+S1242</f>
        <v>23</v>
      </c>
      <c r="V1242" s="0" t="n">
        <f aca="false">T1242-U1242</f>
        <v>6</v>
      </c>
      <c r="W1242" s="0" t="n">
        <f aca="false">T1242+U1242</f>
        <v>52</v>
      </c>
    </row>
    <row r="1243" customFormat="false" ht="15" hidden="false" customHeight="false" outlineLevel="0" collapsed="false">
      <c r="A1243" s="0" t="n">
        <v>1240</v>
      </c>
      <c r="B1243" s="0" t="n">
        <f aca="true">NORMINV(RAND(),1,Coefficients!$B$22)</f>
        <v>1.05451026745985</v>
      </c>
      <c r="C1243" s="0" t="n">
        <f aca="true">MEDIAN(8,16,ROUND(NORMINV(RAND(),Coefficients!$B$20,Coefficients!$B$21),0))</f>
        <v>12</v>
      </c>
      <c r="D1243" s="0" t="n">
        <f aca="true">CRITBINOM($C1243,MIN(0.75,Matchup!$B$39*$B1243),RAND())</f>
        <v>3</v>
      </c>
      <c r="E1243" s="0" t="n">
        <f aca="true">CRITBINOM(D1243,Coefficients!$B$30,RAND())</f>
        <v>0</v>
      </c>
      <c r="F1243" s="0" t="n">
        <f aca="true">CRITBINOM(E1243,Coefficients!$B$31,RAND())</f>
        <v>0</v>
      </c>
      <c r="G1243" s="0" t="n">
        <f aca="true">CRITBINOM(MAX(0,D1243-E1243),1-Coefficients!$B$32,RAND())</f>
        <v>0</v>
      </c>
      <c r="H1243" s="0" t="n">
        <f aca="true">CRITBINOM(MAX(0,$C1243-D1243),MIN(0.6,Matchup!$B$40*SQRT($B1243)/(1-MIN(0.75,Matchup!$B$39*$B1243))),RAND())</f>
        <v>1</v>
      </c>
      <c r="I1243" s="0" t="n">
        <f aca="false">6*D1243+(D1243-E1243-G1243)+2*F1243+3*H1243</f>
        <v>24</v>
      </c>
      <c r="J1243" s="0" t="n">
        <f aca="true">CRITBINOM($C1243,MIN(0.75,Matchup!$C$39*$B1243),RAND())</f>
        <v>3</v>
      </c>
      <c r="K1243" s="0" t="n">
        <f aca="true">CRITBINOM(J1243,Coefficients!$B$30,RAND())</f>
        <v>0</v>
      </c>
      <c r="L1243" s="0" t="n">
        <f aca="true">CRITBINOM(K1243,Coefficients!$B$31,RAND())</f>
        <v>0</v>
      </c>
      <c r="M1243" s="0" t="n">
        <f aca="true">CRITBINOM(MAX(0,J1243-K1243),1-Coefficients!$B$32,RAND())</f>
        <v>0</v>
      </c>
      <c r="N1243" s="0" t="n">
        <f aca="true">CRITBINOM(MAX(0,$C1243-J1243),MIN(0.6,Matchup!$C$40*SQRT($B1243)/(1-MIN(0.75,Matchup!$C$39*$B1243))),RAND())</f>
        <v>3</v>
      </c>
      <c r="O1243" s="0" t="n">
        <f aca="false">6*J1243+(J1243-K1243-M1243)+2*L1243+3*N1243</f>
        <v>30</v>
      </c>
      <c r="P1243" s="0" t="n">
        <f aca="true">RAND()</f>
        <v>0.843997811196872</v>
      </c>
      <c r="Q1243" s="0" t="n">
        <f aca="true">RAND()</f>
        <v>0.9216866434677</v>
      </c>
      <c r="R1243" s="0" t="n">
        <f aca="false">IF($I1243&lt;&gt;$O1243,0,IF(P1243&lt;Matchup!$B$39,7,IF(P1243&lt;Matchup!$B$39+Matchup!$B$40,3,0)))</f>
        <v>0</v>
      </c>
      <c r="S1243" s="0" t="n">
        <f aca="false">IF($I1243&lt;&gt;$O1243,0,IF(Q1243&lt;Matchup!$C$39,7,IF(Q1243&lt;Matchup!$C$39+Matchup!$C$40,3,0)))</f>
        <v>0</v>
      </c>
      <c r="T1243" s="0" t="n">
        <f aca="false">I1243+R1243</f>
        <v>24</v>
      </c>
      <c r="U1243" s="0" t="n">
        <f aca="false">O1243+S1243</f>
        <v>30</v>
      </c>
      <c r="V1243" s="0" t="n">
        <f aca="false">T1243-U1243</f>
        <v>-6</v>
      </c>
      <c r="W1243" s="0" t="n">
        <f aca="false">T1243+U1243</f>
        <v>54</v>
      </c>
    </row>
    <row r="1244" customFormat="false" ht="15" hidden="false" customHeight="false" outlineLevel="0" collapsed="false">
      <c r="A1244" s="0" t="n">
        <v>1241</v>
      </c>
      <c r="B1244" s="0" t="n">
        <f aca="true">NORMINV(RAND(),1,Coefficients!$B$22)</f>
        <v>0.93001456129589</v>
      </c>
      <c r="C1244" s="0" t="n">
        <f aca="true">MEDIAN(8,16,ROUND(NORMINV(RAND(),Coefficients!$B$20,Coefficients!$B$21),0))</f>
        <v>12</v>
      </c>
      <c r="D1244" s="0" t="n">
        <f aca="true">CRITBINOM($C1244,MIN(0.75,Matchup!$B$39*$B1244),RAND())</f>
        <v>3</v>
      </c>
      <c r="E1244" s="0" t="n">
        <f aca="true">CRITBINOM(D1244,Coefficients!$B$30,RAND())</f>
        <v>0</v>
      </c>
      <c r="F1244" s="0" t="n">
        <f aca="true">CRITBINOM(E1244,Coefficients!$B$31,RAND())</f>
        <v>0</v>
      </c>
      <c r="G1244" s="0" t="n">
        <f aca="true">CRITBINOM(MAX(0,D1244-E1244),1-Coefficients!$B$32,RAND())</f>
        <v>0</v>
      </c>
      <c r="H1244" s="0" t="n">
        <f aca="true">CRITBINOM(MAX(0,$C1244-D1244),MIN(0.6,Matchup!$B$40*SQRT($B1244)/(1-MIN(0.75,Matchup!$B$39*$B1244))),RAND())</f>
        <v>0</v>
      </c>
      <c r="I1244" s="0" t="n">
        <f aca="false">6*D1244+(D1244-E1244-G1244)+2*F1244+3*H1244</f>
        <v>21</v>
      </c>
      <c r="J1244" s="0" t="n">
        <f aca="true">CRITBINOM($C1244,MIN(0.75,Matchup!$C$39*$B1244),RAND())</f>
        <v>2</v>
      </c>
      <c r="K1244" s="0" t="n">
        <f aca="true">CRITBINOM(J1244,Coefficients!$B$30,RAND())</f>
        <v>1</v>
      </c>
      <c r="L1244" s="0" t="n">
        <f aca="true">CRITBINOM(K1244,Coefficients!$B$31,RAND())</f>
        <v>1</v>
      </c>
      <c r="M1244" s="0" t="n">
        <f aca="true">CRITBINOM(MAX(0,J1244-K1244),1-Coefficients!$B$32,RAND())</f>
        <v>0</v>
      </c>
      <c r="N1244" s="0" t="n">
        <f aca="true">CRITBINOM(MAX(0,$C1244-J1244),MIN(0.6,Matchup!$C$40*SQRT($B1244)/(1-MIN(0.75,Matchup!$C$39*$B1244))),RAND())</f>
        <v>1</v>
      </c>
      <c r="O1244" s="0" t="n">
        <f aca="false">6*J1244+(J1244-K1244-M1244)+2*L1244+3*N1244</f>
        <v>18</v>
      </c>
      <c r="P1244" s="0" t="n">
        <f aca="true">RAND()</f>
        <v>0.388160674807608</v>
      </c>
      <c r="Q1244" s="0" t="n">
        <f aca="true">RAND()</f>
        <v>0.960888257202378</v>
      </c>
      <c r="R1244" s="0" t="n">
        <f aca="false">IF($I1244&lt;&gt;$O1244,0,IF(P1244&lt;Matchup!$B$39,7,IF(P1244&lt;Matchup!$B$39+Matchup!$B$40,3,0)))</f>
        <v>0</v>
      </c>
      <c r="S1244" s="0" t="n">
        <f aca="false">IF($I1244&lt;&gt;$O1244,0,IF(Q1244&lt;Matchup!$C$39,7,IF(Q1244&lt;Matchup!$C$39+Matchup!$C$40,3,0)))</f>
        <v>0</v>
      </c>
      <c r="T1244" s="0" t="n">
        <f aca="false">I1244+R1244</f>
        <v>21</v>
      </c>
      <c r="U1244" s="0" t="n">
        <f aca="false">O1244+S1244</f>
        <v>18</v>
      </c>
      <c r="V1244" s="0" t="n">
        <f aca="false">T1244-U1244</f>
        <v>3</v>
      </c>
      <c r="W1244" s="0" t="n">
        <f aca="false">T1244+U1244</f>
        <v>39</v>
      </c>
    </row>
    <row r="1245" customFormat="false" ht="15" hidden="false" customHeight="false" outlineLevel="0" collapsed="false">
      <c r="A1245" s="0" t="n">
        <v>1242</v>
      </c>
      <c r="B1245" s="0" t="n">
        <f aca="true">NORMINV(RAND(),1,Coefficients!$B$22)</f>
        <v>1.04716700069975</v>
      </c>
      <c r="C1245" s="0" t="n">
        <f aca="true">MEDIAN(8,16,ROUND(NORMINV(RAND(),Coefficients!$B$20,Coefficients!$B$21),0))</f>
        <v>12</v>
      </c>
      <c r="D1245" s="0" t="n">
        <f aca="true">CRITBINOM($C1245,MIN(0.75,Matchup!$B$39*$B1245),RAND())</f>
        <v>2</v>
      </c>
      <c r="E1245" s="0" t="n">
        <f aca="true">CRITBINOM(D1245,Coefficients!$B$30,RAND())</f>
        <v>0</v>
      </c>
      <c r="F1245" s="0" t="n">
        <f aca="true">CRITBINOM(E1245,Coefficients!$B$31,RAND())</f>
        <v>0</v>
      </c>
      <c r="G1245" s="0" t="n">
        <f aca="true">CRITBINOM(MAX(0,D1245-E1245),1-Coefficients!$B$32,RAND())</f>
        <v>1</v>
      </c>
      <c r="H1245" s="0" t="n">
        <f aca="true">CRITBINOM(MAX(0,$C1245-D1245),MIN(0.6,Matchup!$B$40*SQRT($B1245)/(1-MIN(0.75,Matchup!$B$39*$B1245))),RAND())</f>
        <v>2</v>
      </c>
      <c r="I1245" s="0" t="n">
        <f aca="false">6*D1245+(D1245-E1245-G1245)+2*F1245+3*H1245</f>
        <v>19</v>
      </c>
      <c r="J1245" s="0" t="n">
        <f aca="true">CRITBINOM($C1245,MIN(0.75,Matchup!$C$39*$B1245),RAND())</f>
        <v>2</v>
      </c>
      <c r="K1245" s="0" t="n">
        <f aca="true">CRITBINOM(J1245,Coefficients!$B$30,RAND())</f>
        <v>1</v>
      </c>
      <c r="L1245" s="0" t="n">
        <f aca="true">CRITBINOM(K1245,Coefficients!$B$31,RAND())</f>
        <v>0</v>
      </c>
      <c r="M1245" s="0" t="n">
        <f aca="true">CRITBINOM(MAX(0,J1245-K1245),1-Coefficients!$B$32,RAND())</f>
        <v>1</v>
      </c>
      <c r="N1245" s="0" t="n">
        <f aca="true">CRITBINOM(MAX(0,$C1245-J1245),MIN(0.6,Matchup!$C$40*SQRT($B1245)/(1-MIN(0.75,Matchup!$C$39*$B1245))),RAND())</f>
        <v>0</v>
      </c>
      <c r="O1245" s="0" t="n">
        <f aca="false">6*J1245+(J1245-K1245-M1245)+2*L1245+3*N1245</f>
        <v>12</v>
      </c>
      <c r="P1245" s="0" t="n">
        <f aca="true">RAND()</f>
        <v>0.792437734442942</v>
      </c>
      <c r="Q1245" s="0" t="n">
        <f aca="true">RAND()</f>
        <v>0.398859639330455</v>
      </c>
      <c r="R1245" s="0" t="n">
        <f aca="false">IF($I1245&lt;&gt;$O1245,0,IF(P1245&lt;Matchup!$B$39,7,IF(P1245&lt;Matchup!$B$39+Matchup!$B$40,3,0)))</f>
        <v>0</v>
      </c>
      <c r="S1245" s="0" t="n">
        <f aca="false">IF($I1245&lt;&gt;$O1245,0,IF(Q1245&lt;Matchup!$C$39,7,IF(Q1245&lt;Matchup!$C$39+Matchup!$C$40,3,0)))</f>
        <v>0</v>
      </c>
      <c r="T1245" s="0" t="n">
        <f aca="false">I1245+R1245</f>
        <v>19</v>
      </c>
      <c r="U1245" s="0" t="n">
        <f aca="false">O1245+S1245</f>
        <v>12</v>
      </c>
      <c r="V1245" s="0" t="n">
        <f aca="false">T1245-U1245</f>
        <v>7</v>
      </c>
      <c r="W1245" s="0" t="n">
        <f aca="false">T1245+U1245</f>
        <v>31</v>
      </c>
    </row>
    <row r="1246" customFormat="false" ht="15" hidden="false" customHeight="false" outlineLevel="0" collapsed="false">
      <c r="A1246" s="0" t="n">
        <v>1243</v>
      </c>
      <c r="B1246" s="0" t="n">
        <f aca="true">NORMINV(RAND(),1,Coefficients!$B$22)</f>
        <v>0.900054322768504</v>
      </c>
      <c r="C1246" s="0" t="n">
        <f aca="true">MEDIAN(8,16,ROUND(NORMINV(RAND(),Coefficients!$B$20,Coefficients!$B$21),0))</f>
        <v>11</v>
      </c>
      <c r="D1246" s="0" t="n">
        <f aca="true">CRITBINOM($C1246,MIN(0.75,Matchup!$B$39*$B1246),RAND())</f>
        <v>4</v>
      </c>
      <c r="E1246" s="0" t="n">
        <f aca="true">CRITBINOM(D1246,Coefficients!$B$30,RAND())</f>
        <v>1</v>
      </c>
      <c r="F1246" s="0" t="n">
        <f aca="true">CRITBINOM(E1246,Coefficients!$B$31,RAND())</f>
        <v>1</v>
      </c>
      <c r="G1246" s="0" t="n">
        <f aca="true">CRITBINOM(MAX(0,D1246-E1246),1-Coefficients!$B$32,RAND())</f>
        <v>1</v>
      </c>
      <c r="H1246" s="0" t="n">
        <f aca="true">CRITBINOM(MAX(0,$C1246-D1246),MIN(0.6,Matchup!$B$40*SQRT($B1246)/(1-MIN(0.75,Matchup!$B$39*$B1246))),RAND())</f>
        <v>1</v>
      </c>
      <c r="I1246" s="0" t="n">
        <f aca="false">6*D1246+(D1246-E1246-G1246)+2*F1246+3*H1246</f>
        <v>31</v>
      </c>
      <c r="J1246" s="0" t="n">
        <f aca="true">CRITBINOM($C1246,MIN(0.75,Matchup!$C$39*$B1246),RAND())</f>
        <v>2</v>
      </c>
      <c r="K1246" s="0" t="n">
        <f aca="true">CRITBINOM(J1246,Coefficients!$B$30,RAND())</f>
        <v>0</v>
      </c>
      <c r="L1246" s="0" t="n">
        <f aca="true">CRITBINOM(K1246,Coefficients!$B$31,RAND())</f>
        <v>0</v>
      </c>
      <c r="M1246" s="0" t="n">
        <f aca="true">CRITBINOM(MAX(0,J1246-K1246),1-Coefficients!$B$32,RAND())</f>
        <v>0</v>
      </c>
      <c r="N1246" s="0" t="n">
        <f aca="true">CRITBINOM(MAX(0,$C1246-J1246),MIN(0.6,Matchup!$C$40*SQRT($B1246)/(1-MIN(0.75,Matchup!$C$39*$B1246))),RAND())</f>
        <v>2</v>
      </c>
      <c r="O1246" s="0" t="n">
        <f aca="false">6*J1246+(J1246-K1246-M1246)+2*L1246+3*N1246</f>
        <v>20</v>
      </c>
      <c r="P1246" s="0" t="n">
        <f aca="true">RAND()</f>
        <v>0.0558139388765287</v>
      </c>
      <c r="Q1246" s="0" t="n">
        <f aca="true">RAND()</f>
        <v>0.148733912253063</v>
      </c>
      <c r="R1246" s="0" t="n">
        <f aca="false">IF($I1246&lt;&gt;$O1246,0,IF(P1246&lt;Matchup!$B$39,7,IF(P1246&lt;Matchup!$B$39+Matchup!$B$40,3,0)))</f>
        <v>0</v>
      </c>
      <c r="S1246" s="0" t="n">
        <f aca="false">IF($I1246&lt;&gt;$O1246,0,IF(Q1246&lt;Matchup!$C$39,7,IF(Q1246&lt;Matchup!$C$39+Matchup!$C$40,3,0)))</f>
        <v>0</v>
      </c>
      <c r="T1246" s="0" t="n">
        <f aca="false">I1246+R1246</f>
        <v>31</v>
      </c>
      <c r="U1246" s="0" t="n">
        <f aca="false">O1246+S1246</f>
        <v>20</v>
      </c>
      <c r="V1246" s="0" t="n">
        <f aca="false">T1246-U1246</f>
        <v>11</v>
      </c>
      <c r="W1246" s="0" t="n">
        <f aca="false">T1246+U1246</f>
        <v>51</v>
      </c>
    </row>
    <row r="1247" customFormat="false" ht="15" hidden="false" customHeight="false" outlineLevel="0" collapsed="false">
      <c r="A1247" s="0" t="n">
        <v>1244</v>
      </c>
      <c r="B1247" s="0" t="n">
        <f aca="true">NORMINV(RAND(),1,Coefficients!$B$22)</f>
        <v>0.952181875614601</v>
      </c>
      <c r="C1247" s="0" t="n">
        <f aca="true">MEDIAN(8,16,ROUND(NORMINV(RAND(),Coefficients!$B$20,Coefficients!$B$21),0))</f>
        <v>11</v>
      </c>
      <c r="D1247" s="0" t="n">
        <f aca="true">CRITBINOM($C1247,MIN(0.75,Matchup!$B$39*$B1247),RAND())</f>
        <v>4</v>
      </c>
      <c r="E1247" s="0" t="n">
        <f aca="true">CRITBINOM(D1247,Coefficients!$B$30,RAND())</f>
        <v>0</v>
      </c>
      <c r="F1247" s="0" t="n">
        <f aca="true">CRITBINOM(E1247,Coefficients!$B$31,RAND())</f>
        <v>0</v>
      </c>
      <c r="G1247" s="0" t="n">
        <f aca="true">CRITBINOM(MAX(0,D1247-E1247),1-Coefficients!$B$32,RAND())</f>
        <v>1</v>
      </c>
      <c r="H1247" s="0" t="n">
        <f aca="true">CRITBINOM(MAX(0,$C1247-D1247),MIN(0.6,Matchup!$B$40*SQRT($B1247)/(1-MIN(0.75,Matchup!$B$39*$B1247))),RAND())</f>
        <v>3</v>
      </c>
      <c r="I1247" s="0" t="n">
        <f aca="false">6*D1247+(D1247-E1247-G1247)+2*F1247+3*H1247</f>
        <v>36</v>
      </c>
      <c r="J1247" s="0" t="n">
        <f aca="true">CRITBINOM($C1247,MIN(0.75,Matchup!$C$39*$B1247),RAND())</f>
        <v>3</v>
      </c>
      <c r="K1247" s="0" t="n">
        <f aca="true">CRITBINOM(J1247,Coefficients!$B$30,RAND())</f>
        <v>0</v>
      </c>
      <c r="L1247" s="0" t="n">
        <f aca="true">CRITBINOM(K1247,Coefficients!$B$31,RAND())</f>
        <v>0</v>
      </c>
      <c r="M1247" s="0" t="n">
        <f aca="true">CRITBINOM(MAX(0,J1247-K1247),1-Coefficients!$B$32,RAND())</f>
        <v>1</v>
      </c>
      <c r="N1247" s="0" t="n">
        <f aca="true">CRITBINOM(MAX(0,$C1247-J1247),MIN(0.6,Matchup!$C$40*SQRT($B1247)/(1-MIN(0.75,Matchup!$C$39*$B1247))),RAND())</f>
        <v>1</v>
      </c>
      <c r="O1247" s="0" t="n">
        <f aca="false">6*J1247+(J1247-K1247-M1247)+2*L1247+3*N1247</f>
        <v>23</v>
      </c>
      <c r="P1247" s="0" t="n">
        <f aca="true">RAND()</f>
        <v>0.979293328297485</v>
      </c>
      <c r="Q1247" s="0" t="n">
        <f aca="true">RAND()</f>
        <v>0.386310531883919</v>
      </c>
      <c r="R1247" s="0" t="n">
        <f aca="false">IF($I1247&lt;&gt;$O1247,0,IF(P1247&lt;Matchup!$B$39,7,IF(P1247&lt;Matchup!$B$39+Matchup!$B$40,3,0)))</f>
        <v>0</v>
      </c>
      <c r="S1247" s="0" t="n">
        <f aca="false">IF($I1247&lt;&gt;$O1247,0,IF(Q1247&lt;Matchup!$C$39,7,IF(Q1247&lt;Matchup!$C$39+Matchup!$C$40,3,0)))</f>
        <v>0</v>
      </c>
      <c r="T1247" s="0" t="n">
        <f aca="false">I1247+R1247</f>
        <v>36</v>
      </c>
      <c r="U1247" s="0" t="n">
        <f aca="false">O1247+S1247</f>
        <v>23</v>
      </c>
      <c r="V1247" s="0" t="n">
        <f aca="false">T1247-U1247</f>
        <v>13</v>
      </c>
      <c r="W1247" s="0" t="n">
        <f aca="false">T1247+U1247</f>
        <v>59</v>
      </c>
    </row>
    <row r="1248" customFormat="false" ht="15" hidden="false" customHeight="false" outlineLevel="0" collapsed="false">
      <c r="A1248" s="0" t="n">
        <v>1245</v>
      </c>
      <c r="B1248" s="0" t="n">
        <f aca="true">NORMINV(RAND(),1,Coefficients!$B$22)</f>
        <v>1.01445133872847</v>
      </c>
      <c r="C1248" s="0" t="n">
        <f aca="true">MEDIAN(8,16,ROUND(NORMINV(RAND(),Coefficients!$B$20,Coefficients!$B$21),0))</f>
        <v>11</v>
      </c>
      <c r="D1248" s="0" t="n">
        <f aca="true">CRITBINOM($C1248,MIN(0.75,Matchup!$B$39*$B1248),RAND())</f>
        <v>3</v>
      </c>
      <c r="E1248" s="0" t="n">
        <f aca="true">CRITBINOM(D1248,Coefficients!$B$30,RAND())</f>
        <v>1</v>
      </c>
      <c r="F1248" s="0" t="n">
        <f aca="true">CRITBINOM(E1248,Coefficients!$B$31,RAND())</f>
        <v>0</v>
      </c>
      <c r="G1248" s="0" t="n">
        <f aca="true">CRITBINOM(MAX(0,D1248-E1248),1-Coefficients!$B$32,RAND())</f>
        <v>0</v>
      </c>
      <c r="H1248" s="0" t="n">
        <f aca="true">CRITBINOM(MAX(0,$C1248-D1248),MIN(0.6,Matchup!$B$40*SQRT($B1248)/(1-MIN(0.75,Matchup!$B$39*$B1248))),RAND())</f>
        <v>1</v>
      </c>
      <c r="I1248" s="0" t="n">
        <f aca="false">6*D1248+(D1248-E1248-G1248)+2*F1248+3*H1248</f>
        <v>23</v>
      </c>
      <c r="J1248" s="0" t="n">
        <f aca="true">CRITBINOM($C1248,MIN(0.75,Matchup!$C$39*$B1248),RAND())</f>
        <v>2</v>
      </c>
      <c r="K1248" s="0" t="n">
        <f aca="true">CRITBINOM(J1248,Coefficients!$B$30,RAND())</f>
        <v>0</v>
      </c>
      <c r="L1248" s="0" t="n">
        <f aca="true">CRITBINOM(K1248,Coefficients!$B$31,RAND())</f>
        <v>0</v>
      </c>
      <c r="M1248" s="0" t="n">
        <f aca="true">CRITBINOM(MAX(0,J1248-K1248),1-Coefficients!$B$32,RAND())</f>
        <v>0</v>
      </c>
      <c r="N1248" s="0" t="n">
        <f aca="true">CRITBINOM(MAX(0,$C1248-J1248),MIN(0.6,Matchup!$C$40*SQRT($B1248)/(1-MIN(0.75,Matchup!$C$39*$B1248))),RAND())</f>
        <v>0</v>
      </c>
      <c r="O1248" s="0" t="n">
        <f aca="false">6*J1248+(J1248-K1248-M1248)+2*L1248+3*N1248</f>
        <v>14</v>
      </c>
      <c r="P1248" s="0" t="n">
        <f aca="true">RAND()</f>
        <v>0.503620390581424</v>
      </c>
      <c r="Q1248" s="0" t="n">
        <f aca="true">RAND()</f>
        <v>0.758088223287757</v>
      </c>
      <c r="R1248" s="0" t="n">
        <f aca="false">IF($I1248&lt;&gt;$O1248,0,IF(P1248&lt;Matchup!$B$39,7,IF(P1248&lt;Matchup!$B$39+Matchup!$B$40,3,0)))</f>
        <v>0</v>
      </c>
      <c r="S1248" s="0" t="n">
        <f aca="false">IF($I1248&lt;&gt;$O1248,0,IF(Q1248&lt;Matchup!$C$39,7,IF(Q1248&lt;Matchup!$C$39+Matchup!$C$40,3,0)))</f>
        <v>0</v>
      </c>
      <c r="T1248" s="0" t="n">
        <f aca="false">I1248+R1248</f>
        <v>23</v>
      </c>
      <c r="U1248" s="0" t="n">
        <f aca="false">O1248+S1248</f>
        <v>14</v>
      </c>
      <c r="V1248" s="0" t="n">
        <f aca="false">T1248-U1248</f>
        <v>9</v>
      </c>
      <c r="W1248" s="0" t="n">
        <f aca="false">T1248+U1248</f>
        <v>37</v>
      </c>
    </row>
    <row r="1249" customFormat="false" ht="15" hidden="false" customHeight="false" outlineLevel="0" collapsed="false">
      <c r="A1249" s="0" t="n">
        <v>1246</v>
      </c>
      <c r="B1249" s="0" t="n">
        <f aca="true">NORMINV(RAND(),1,Coefficients!$B$22)</f>
        <v>1.11220015308396</v>
      </c>
      <c r="C1249" s="0" t="n">
        <f aca="true">MEDIAN(8,16,ROUND(NORMINV(RAND(),Coefficients!$B$20,Coefficients!$B$21),0))</f>
        <v>11</v>
      </c>
      <c r="D1249" s="0" t="n">
        <f aca="true">CRITBINOM($C1249,MIN(0.75,Matchup!$B$39*$B1249),RAND())</f>
        <v>3</v>
      </c>
      <c r="E1249" s="0" t="n">
        <f aca="true">CRITBINOM(D1249,Coefficients!$B$30,RAND())</f>
        <v>0</v>
      </c>
      <c r="F1249" s="0" t="n">
        <f aca="true">CRITBINOM(E1249,Coefficients!$B$31,RAND())</f>
        <v>0</v>
      </c>
      <c r="G1249" s="0" t="n">
        <f aca="true">CRITBINOM(MAX(0,D1249-E1249),1-Coefficients!$B$32,RAND())</f>
        <v>0</v>
      </c>
      <c r="H1249" s="0" t="n">
        <f aca="true">CRITBINOM(MAX(0,$C1249-D1249),MIN(0.6,Matchup!$B$40*SQRT($B1249)/(1-MIN(0.75,Matchup!$B$39*$B1249))),RAND())</f>
        <v>2</v>
      </c>
      <c r="I1249" s="0" t="n">
        <f aca="false">6*D1249+(D1249-E1249-G1249)+2*F1249+3*H1249</f>
        <v>27</v>
      </c>
      <c r="J1249" s="0" t="n">
        <f aca="true">CRITBINOM($C1249,MIN(0.75,Matchup!$C$39*$B1249),RAND())</f>
        <v>4</v>
      </c>
      <c r="K1249" s="0" t="n">
        <f aca="true">CRITBINOM(J1249,Coefficients!$B$30,RAND())</f>
        <v>1</v>
      </c>
      <c r="L1249" s="0" t="n">
        <f aca="true">CRITBINOM(K1249,Coefficients!$B$31,RAND())</f>
        <v>1</v>
      </c>
      <c r="M1249" s="0" t="n">
        <f aca="true">CRITBINOM(MAX(0,J1249-K1249),1-Coefficients!$B$32,RAND())</f>
        <v>0</v>
      </c>
      <c r="N1249" s="0" t="n">
        <f aca="true">CRITBINOM(MAX(0,$C1249-J1249),MIN(0.6,Matchup!$C$40*SQRT($B1249)/(1-MIN(0.75,Matchup!$C$39*$B1249))),RAND())</f>
        <v>1</v>
      </c>
      <c r="O1249" s="0" t="n">
        <f aca="false">6*J1249+(J1249-K1249-M1249)+2*L1249+3*N1249</f>
        <v>32</v>
      </c>
      <c r="P1249" s="0" t="n">
        <f aca="true">RAND()</f>
        <v>0.290662430277984</v>
      </c>
      <c r="Q1249" s="0" t="n">
        <f aca="true">RAND()</f>
        <v>0.512099955942204</v>
      </c>
      <c r="R1249" s="0" t="n">
        <f aca="false">IF($I1249&lt;&gt;$O1249,0,IF(P1249&lt;Matchup!$B$39,7,IF(P1249&lt;Matchup!$B$39+Matchup!$B$40,3,0)))</f>
        <v>0</v>
      </c>
      <c r="S1249" s="0" t="n">
        <f aca="false">IF($I1249&lt;&gt;$O1249,0,IF(Q1249&lt;Matchup!$C$39,7,IF(Q1249&lt;Matchup!$C$39+Matchup!$C$40,3,0)))</f>
        <v>0</v>
      </c>
      <c r="T1249" s="0" t="n">
        <f aca="false">I1249+R1249</f>
        <v>27</v>
      </c>
      <c r="U1249" s="0" t="n">
        <f aca="false">O1249+S1249</f>
        <v>32</v>
      </c>
      <c r="V1249" s="0" t="n">
        <f aca="false">T1249-U1249</f>
        <v>-5</v>
      </c>
      <c r="W1249" s="0" t="n">
        <f aca="false">T1249+U1249</f>
        <v>59</v>
      </c>
    </row>
    <row r="1250" customFormat="false" ht="15" hidden="false" customHeight="false" outlineLevel="0" collapsed="false">
      <c r="A1250" s="0" t="n">
        <v>1247</v>
      </c>
      <c r="B1250" s="0" t="n">
        <f aca="true">NORMINV(RAND(),1,Coefficients!$B$22)</f>
        <v>0.990946082463762</v>
      </c>
      <c r="C1250" s="0" t="n">
        <f aca="true">MEDIAN(8,16,ROUND(NORMINV(RAND(),Coefficients!$B$20,Coefficients!$B$21),0))</f>
        <v>11</v>
      </c>
      <c r="D1250" s="0" t="n">
        <f aca="true">CRITBINOM($C1250,MIN(0.75,Matchup!$B$39*$B1250),RAND())</f>
        <v>2</v>
      </c>
      <c r="E1250" s="0" t="n">
        <f aca="true">CRITBINOM(D1250,Coefficients!$B$30,RAND())</f>
        <v>0</v>
      </c>
      <c r="F1250" s="0" t="n">
        <f aca="true">CRITBINOM(E1250,Coefficients!$B$31,RAND())</f>
        <v>0</v>
      </c>
      <c r="G1250" s="0" t="n">
        <f aca="true">CRITBINOM(MAX(0,D1250-E1250),1-Coefficients!$B$32,RAND())</f>
        <v>0</v>
      </c>
      <c r="H1250" s="0" t="n">
        <f aca="true">CRITBINOM(MAX(0,$C1250-D1250),MIN(0.6,Matchup!$B$40*SQRT($B1250)/(1-MIN(0.75,Matchup!$B$39*$B1250))),RAND())</f>
        <v>0</v>
      </c>
      <c r="I1250" s="0" t="n">
        <f aca="false">6*D1250+(D1250-E1250-G1250)+2*F1250+3*H1250</f>
        <v>14</v>
      </c>
      <c r="J1250" s="0" t="n">
        <f aca="true">CRITBINOM($C1250,MIN(0.75,Matchup!$C$39*$B1250),RAND())</f>
        <v>2</v>
      </c>
      <c r="K1250" s="0" t="n">
        <f aca="true">CRITBINOM(J1250,Coefficients!$B$30,RAND())</f>
        <v>0</v>
      </c>
      <c r="L1250" s="0" t="n">
        <f aca="true">CRITBINOM(K1250,Coefficients!$B$31,RAND())</f>
        <v>0</v>
      </c>
      <c r="M1250" s="0" t="n">
        <f aca="true">CRITBINOM(MAX(0,J1250-K1250),1-Coefficients!$B$32,RAND())</f>
        <v>0</v>
      </c>
      <c r="N1250" s="0" t="n">
        <f aca="true">CRITBINOM(MAX(0,$C1250-J1250),MIN(0.6,Matchup!$C$40*SQRT($B1250)/(1-MIN(0.75,Matchup!$C$39*$B1250))),RAND())</f>
        <v>2</v>
      </c>
      <c r="O1250" s="0" t="n">
        <f aca="false">6*J1250+(J1250-K1250-M1250)+2*L1250+3*N1250</f>
        <v>20</v>
      </c>
      <c r="P1250" s="0" t="n">
        <f aca="true">RAND()</f>
        <v>0.655615300637681</v>
      </c>
      <c r="Q1250" s="0" t="n">
        <f aca="true">RAND()</f>
        <v>0.484488470344746</v>
      </c>
      <c r="R1250" s="0" t="n">
        <f aca="false">IF($I1250&lt;&gt;$O1250,0,IF(P1250&lt;Matchup!$B$39,7,IF(P1250&lt;Matchup!$B$39+Matchup!$B$40,3,0)))</f>
        <v>0</v>
      </c>
      <c r="S1250" s="0" t="n">
        <f aca="false">IF($I1250&lt;&gt;$O1250,0,IF(Q1250&lt;Matchup!$C$39,7,IF(Q1250&lt;Matchup!$C$39+Matchup!$C$40,3,0)))</f>
        <v>0</v>
      </c>
      <c r="T1250" s="0" t="n">
        <f aca="false">I1250+R1250</f>
        <v>14</v>
      </c>
      <c r="U1250" s="0" t="n">
        <f aca="false">O1250+S1250</f>
        <v>20</v>
      </c>
      <c r="V1250" s="0" t="n">
        <f aca="false">T1250-U1250</f>
        <v>-6</v>
      </c>
      <c r="W1250" s="0" t="n">
        <f aca="false">T1250+U1250</f>
        <v>34</v>
      </c>
    </row>
    <row r="1251" customFormat="false" ht="15" hidden="false" customHeight="false" outlineLevel="0" collapsed="false">
      <c r="A1251" s="0" t="n">
        <v>1248</v>
      </c>
      <c r="B1251" s="0" t="n">
        <f aca="true">NORMINV(RAND(),1,Coefficients!$B$22)</f>
        <v>1.04746889456039</v>
      </c>
      <c r="C1251" s="0" t="n">
        <f aca="true">MEDIAN(8,16,ROUND(NORMINV(RAND(),Coefficients!$B$20,Coefficients!$B$21),0))</f>
        <v>11</v>
      </c>
      <c r="D1251" s="0" t="n">
        <f aca="true">CRITBINOM($C1251,MIN(0.75,Matchup!$B$39*$B1251),RAND())</f>
        <v>4</v>
      </c>
      <c r="E1251" s="0" t="n">
        <f aca="true">CRITBINOM(D1251,Coefficients!$B$30,RAND())</f>
        <v>1</v>
      </c>
      <c r="F1251" s="0" t="n">
        <f aca="true">CRITBINOM(E1251,Coefficients!$B$31,RAND())</f>
        <v>1</v>
      </c>
      <c r="G1251" s="0" t="n">
        <f aca="true">CRITBINOM(MAX(0,D1251-E1251),1-Coefficients!$B$32,RAND())</f>
        <v>0</v>
      </c>
      <c r="H1251" s="0" t="n">
        <f aca="true">CRITBINOM(MAX(0,$C1251-D1251),MIN(0.6,Matchup!$B$40*SQRT($B1251)/(1-MIN(0.75,Matchup!$B$39*$B1251))),RAND())</f>
        <v>0</v>
      </c>
      <c r="I1251" s="0" t="n">
        <f aca="false">6*D1251+(D1251-E1251-G1251)+2*F1251+3*H1251</f>
        <v>29</v>
      </c>
      <c r="J1251" s="0" t="n">
        <f aca="true">CRITBINOM($C1251,MIN(0.75,Matchup!$C$39*$B1251),RAND())</f>
        <v>3</v>
      </c>
      <c r="K1251" s="0" t="n">
        <f aca="true">CRITBINOM(J1251,Coefficients!$B$30,RAND())</f>
        <v>0</v>
      </c>
      <c r="L1251" s="0" t="n">
        <f aca="true">CRITBINOM(K1251,Coefficients!$B$31,RAND())</f>
        <v>0</v>
      </c>
      <c r="M1251" s="0" t="n">
        <f aca="true">CRITBINOM(MAX(0,J1251-K1251),1-Coefficients!$B$32,RAND())</f>
        <v>0</v>
      </c>
      <c r="N1251" s="0" t="n">
        <f aca="true">CRITBINOM(MAX(0,$C1251-J1251),MIN(0.6,Matchup!$C$40*SQRT($B1251)/(1-MIN(0.75,Matchup!$C$39*$B1251))),RAND())</f>
        <v>3</v>
      </c>
      <c r="O1251" s="0" t="n">
        <f aca="false">6*J1251+(J1251-K1251-M1251)+2*L1251+3*N1251</f>
        <v>30</v>
      </c>
      <c r="P1251" s="0" t="n">
        <f aca="true">RAND()</f>
        <v>0.623696645318982</v>
      </c>
      <c r="Q1251" s="0" t="n">
        <f aca="true">RAND()</f>
        <v>0.456151245582193</v>
      </c>
      <c r="R1251" s="0" t="n">
        <f aca="false">IF($I1251&lt;&gt;$O1251,0,IF(P1251&lt;Matchup!$B$39,7,IF(P1251&lt;Matchup!$B$39+Matchup!$B$40,3,0)))</f>
        <v>0</v>
      </c>
      <c r="S1251" s="0" t="n">
        <f aca="false">IF($I1251&lt;&gt;$O1251,0,IF(Q1251&lt;Matchup!$C$39,7,IF(Q1251&lt;Matchup!$C$39+Matchup!$C$40,3,0)))</f>
        <v>0</v>
      </c>
      <c r="T1251" s="0" t="n">
        <f aca="false">I1251+R1251</f>
        <v>29</v>
      </c>
      <c r="U1251" s="0" t="n">
        <f aca="false">O1251+S1251</f>
        <v>30</v>
      </c>
      <c r="V1251" s="0" t="n">
        <f aca="false">T1251-U1251</f>
        <v>-1</v>
      </c>
      <c r="W1251" s="0" t="n">
        <f aca="false">T1251+U1251</f>
        <v>59</v>
      </c>
    </row>
    <row r="1252" customFormat="false" ht="15" hidden="false" customHeight="false" outlineLevel="0" collapsed="false">
      <c r="A1252" s="0" t="n">
        <v>1249</v>
      </c>
      <c r="B1252" s="0" t="n">
        <f aca="true">NORMINV(RAND(),1,Coefficients!$B$22)</f>
        <v>0.951131926033302</v>
      </c>
      <c r="C1252" s="0" t="n">
        <f aca="true">MEDIAN(8,16,ROUND(NORMINV(RAND(),Coefficients!$B$20,Coefficients!$B$21),0))</f>
        <v>10</v>
      </c>
      <c r="D1252" s="0" t="n">
        <f aca="true">CRITBINOM($C1252,MIN(0.75,Matchup!$B$39*$B1252),RAND())</f>
        <v>5</v>
      </c>
      <c r="E1252" s="0" t="n">
        <f aca="true">CRITBINOM(D1252,Coefficients!$B$30,RAND())</f>
        <v>1</v>
      </c>
      <c r="F1252" s="0" t="n">
        <f aca="true">CRITBINOM(E1252,Coefficients!$B$31,RAND())</f>
        <v>1</v>
      </c>
      <c r="G1252" s="0" t="n">
        <f aca="true">CRITBINOM(MAX(0,D1252-E1252),1-Coefficients!$B$32,RAND())</f>
        <v>0</v>
      </c>
      <c r="H1252" s="0" t="n">
        <f aca="true">CRITBINOM(MAX(0,$C1252-D1252),MIN(0.6,Matchup!$B$40*SQRT($B1252)/(1-MIN(0.75,Matchup!$B$39*$B1252))),RAND())</f>
        <v>1</v>
      </c>
      <c r="I1252" s="0" t="n">
        <f aca="false">6*D1252+(D1252-E1252-G1252)+2*F1252+3*H1252</f>
        <v>39</v>
      </c>
      <c r="J1252" s="0" t="n">
        <f aca="true">CRITBINOM($C1252,MIN(0.75,Matchup!$C$39*$B1252),RAND())</f>
        <v>2</v>
      </c>
      <c r="K1252" s="0" t="n">
        <f aca="true">CRITBINOM(J1252,Coefficients!$B$30,RAND())</f>
        <v>0</v>
      </c>
      <c r="L1252" s="0" t="n">
        <f aca="true">CRITBINOM(K1252,Coefficients!$B$31,RAND())</f>
        <v>0</v>
      </c>
      <c r="M1252" s="0" t="n">
        <f aca="true">CRITBINOM(MAX(0,J1252-K1252),1-Coefficients!$B$32,RAND())</f>
        <v>0</v>
      </c>
      <c r="N1252" s="0" t="n">
        <f aca="true">CRITBINOM(MAX(0,$C1252-J1252),MIN(0.6,Matchup!$C$40*SQRT($B1252)/(1-MIN(0.75,Matchup!$C$39*$B1252))),RAND())</f>
        <v>1</v>
      </c>
      <c r="O1252" s="0" t="n">
        <f aca="false">6*J1252+(J1252-K1252-M1252)+2*L1252+3*N1252</f>
        <v>17</v>
      </c>
      <c r="P1252" s="0" t="n">
        <f aca="true">RAND()</f>
        <v>0.752529859265435</v>
      </c>
      <c r="Q1252" s="0" t="n">
        <f aca="true">RAND()</f>
        <v>0.912380462115116</v>
      </c>
      <c r="R1252" s="0" t="n">
        <f aca="false">IF($I1252&lt;&gt;$O1252,0,IF(P1252&lt;Matchup!$B$39,7,IF(P1252&lt;Matchup!$B$39+Matchup!$B$40,3,0)))</f>
        <v>0</v>
      </c>
      <c r="S1252" s="0" t="n">
        <f aca="false">IF($I1252&lt;&gt;$O1252,0,IF(Q1252&lt;Matchup!$C$39,7,IF(Q1252&lt;Matchup!$C$39+Matchup!$C$40,3,0)))</f>
        <v>0</v>
      </c>
      <c r="T1252" s="0" t="n">
        <f aca="false">I1252+R1252</f>
        <v>39</v>
      </c>
      <c r="U1252" s="0" t="n">
        <f aca="false">O1252+S1252</f>
        <v>17</v>
      </c>
      <c r="V1252" s="0" t="n">
        <f aca="false">T1252-U1252</f>
        <v>22</v>
      </c>
      <c r="W1252" s="0" t="n">
        <f aca="false">T1252+U1252</f>
        <v>56</v>
      </c>
    </row>
    <row r="1253" customFormat="false" ht="15" hidden="false" customHeight="false" outlineLevel="0" collapsed="false">
      <c r="A1253" s="0" t="n">
        <v>1250</v>
      </c>
      <c r="B1253" s="0" t="n">
        <f aca="true">NORMINV(RAND(),1,Coefficients!$B$22)</f>
        <v>0.943002217489566</v>
      </c>
      <c r="C1253" s="0" t="n">
        <f aca="true">MEDIAN(8,16,ROUND(NORMINV(RAND(),Coefficients!$B$20,Coefficients!$B$21),0))</f>
        <v>12</v>
      </c>
      <c r="D1253" s="0" t="n">
        <f aca="true">CRITBINOM($C1253,MIN(0.75,Matchup!$B$39*$B1253),RAND())</f>
        <v>2</v>
      </c>
      <c r="E1253" s="0" t="n">
        <f aca="true">CRITBINOM(D1253,Coefficients!$B$30,RAND())</f>
        <v>0</v>
      </c>
      <c r="F1253" s="0" t="n">
        <f aca="true">CRITBINOM(E1253,Coefficients!$B$31,RAND())</f>
        <v>0</v>
      </c>
      <c r="G1253" s="0" t="n">
        <f aca="true">CRITBINOM(MAX(0,D1253-E1253),1-Coefficients!$B$32,RAND())</f>
        <v>0</v>
      </c>
      <c r="H1253" s="0" t="n">
        <f aca="true">CRITBINOM(MAX(0,$C1253-D1253),MIN(0.6,Matchup!$B$40*SQRT($B1253)/(1-MIN(0.75,Matchup!$B$39*$B1253))),RAND())</f>
        <v>2</v>
      </c>
      <c r="I1253" s="0" t="n">
        <f aca="false">6*D1253+(D1253-E1253-G1253)+2*F1253+3*H1253</f>
        <v>20</v>
      </c>
      <c r="J1253" s="0" t="n">
        <f aca="true">CRITBINOM($C1253,MIN(0.75,Matchup!$C$39*$B1253),RAND())</f>
        <v>3</v>
      </c>
      <c r="K1253" s="0" t="n">
        <f aca="true">CRITBINOM(J1253,Coefficients!$B$30,RAND())</f>
        <v>0</v>
      </c>
      <c r="L1253" s="0" t="n">
        <f aca="true">CRITBINOM(K1253,Coefficients!$B$31,RAND())</f>
        <v>0</v>
      </c>
      <c r="M1253" s="0" t="n">
        <f aca="true">CRITBINOM(MAX(0,J1253-K1253),1-Coefficients!$B$32,RAND())</f>
        <v>0</v>
      </c>
      <c r="N1253" s="0" t="n">
        <f aca="true">CRITBINOM(MAX(0,$C1253-J1253),MIN(0.6,Matchup!$C$40*SQRT($B1253)/(1-MIN(0.75,Matchup!$C$39*$B1253))),RAND())</f>
        <v>0</v>
      </c>
      <c r="O1253" s="0" t="n">
        <f aca="false">6*J1253+(J1253-K1253-M1253)+2*L1253+3*N1253</f>
        <v>21</v>
      </c>
      <c r="P1253" s="0" t="n">
        <f aca="true">RAND()</f>
        <v>0.609356138849636</v>
      </c>
      <c r="Q1253" s="0" t="n">
        <f aca="true">RAND()</f>
        <v>0.749953121157391</v>
      </c>
      <c r="R1253" s="0" t="n">
        <f aca="false">IF($I1253&lt;&gt;$O1253,0,IF(P1253&lt;Matchup!$B$39,7,IF(P1253&lt;Matchup!$B$39+Matchup!$B$40,3,0)))</f>
        <v>0</v>
      </c>
      <c r="S1253" s="0" t="n">
        <f aca="false">IF($I1253&lt;&gt;$O1253,0,IF(Q1253&lt;Matchup!$C$39,7,IF(Q1253&lt;Matchup!$C$39+Matchup!$C$40,3,0)))</f>
        <v>0</v>
      </c>
      <c r="T1253" s="0" t="n">
        <f aca="false">I1253+R1253</f>
        <v>20</v>
      </c>
      <c r="U1253" s="0" t="n">
        <f aca="false">O1253+S1253</f>
        <v>21</v>
      </c>
      <c r="V1253" s="0" t="n">
        <f aca="false">T1253-U1253</f>
        <v>-1</v>
      </c>
      <c r="W1253" s="0" t="n">
        <f aca="false">T1253+U1253</f>
        <v>41</v>
      </c>
    </row>
    <row r="1254" customFormat="false" ht="15" hidden="false" customHeight="false" outlineLevel="0" collapsed="false">
      <c r="A1254" s="0" t="n">
        <v>1251</v>
      </c>
      <c r="B1254" s="0" t="n">
        <f aca="true">NORMINV(RAND(),1,Coefficients!$B$22)</f>
        <v>0.929100512099263</v>
      </c>
      <c r="C1254" s="0" t="n">
        <f aca="true">MEDIAN(8,16,ROUND(NORMINV(RAND(),Coefficients!$B$20,Coefficients!$B$21),0))</f>
        <v>12</v>
      </c>
      <c r="D1254" s="0" t="n">
        <f aca="true">CRITBINOM($C1254,MIN(0.75,Matchup!$B$39*$B1254),RAND())</f>
        <v>2</v>
      </c>
      <c r="E1254" s="0" t="n">
        <f aca="true">CRITBINOM(D1254,Coefficients!$B$30,RAND())</f>
        <v>1</v>
      </c>
      <c r="F1254" s="0" t="n">
        <f aca="true">CRITBINOM(E1254,Coefficients!$B$31,RAND())</f>
        <v>0</v>
      </c>
      <c r="G1254" s="0" t="n">
        <f aca="true">CRITBINOM(MAX(0,D1254-E1254),1-Coefficients!$B$32,RAND())</f>
        <v>0</v>
      </c>
      <c r="H1254" s="0" t="n">
        <f aca="true">CRITBINOM(MAX(0,$C1254-D1254),MIN(0.6,Matchup!$B$40*SQRT($B1254)/(1-MIN(0.75,Matchup!$B$39*$B1254))),RAND())</f>
        <v>1</v>
      </c>
      <c r="I1254" s="0" t="n">
        <f aca="false">6*D1254+(D1254-E1254-G1254)+2*F1254+3*H1254</f>
        <v>16</v>
      </c>
      <c r="J1254" s="0" t="n">
        <f aca="true">CRITBINOM($C1254,MIN(0.75,Matchup!$C$39*$B1254),RAND())</f>
        <v>2</v>
      </c>
      <c r="K1254" s="0" t="n">
        <f aca="true">CRITBINOM(J1254,Coefficients!$B$30,RAND())</f>
        <v>1</v>
      </c>
      <c r="L1254" s="0" t="n">
        <f aca="true">CRITBINOM(K1254,Coefficients!$B$31,RAND())</f>
        <v>1</v>
      </c>
      <c r="M1254" s="0" t="n">
        <f aca="true">CRITBINOM(MAX(0,J1254-K1254),1-Coefficients!$B$32,RAND())</f>
        <v>0</v>
      </c>
      <c r="N1254" s="0" t="n">
        <f aca="true">CRITBINOM(MAX(0,$C1254-J1254),MIN(0.6,Matchup!$C$40*SQRT($B1254)/(1-MIN(0.75,Matchup!$C$39*$B1254))),RAND())</f>
        <v>0</v>
      </c>
      <c r="O1254" s="0" t="n">
        <f aca="false">6*J1254+(J1254-K1254-M1254)+2*L1254+3*N1254</f>
        <v>15</v>
      </c>
      <c r="P1254" s="0" t="n">
        <f aca="true">RAND()</f>
        <v>0.605224080988366</v>
      </c>
      <c r="Q1254" s="0" t="n">
        <f aca="true">RAND()</f>
        <v>0.6162474133649</v>
      </c>
      <c r="R1254" s="0" t="n">
        <f aca="false">IF($I1254&lt;&gt;$O1254,0,IF(P1254&lt;Matchup!$B$39,7,IF(P1254&lt;Matchup!$B$39+Matchup!$B$40,3,0)))</f>
        <v>0</v>
      </c>
      <c r="S1254" s="0" t="n">
        <f aca="false">IF($I1254&lt;&gt;$O1254,0,IF(Q1254&lt;Matchup!$C$39,7,IF(Q1254&lt;Matchup!$C$39+Matchup!$C$40,3,0)))</f>
        <v>0</v>
      </c>
      <c r="T1254" s="0" t="n">
        <f aca="false">I1254+R1254</f>
        <v>16</v>
      </c>
      <c r="U1254" s="0" t="n">
        <f aca="false">O1254+S1254</f>
        <v>15</v>
      </c>
      <c r="V1254" s="0" t="n">
        <f aca="false">T1254-U1254</f>
        <v>1</v>
      </c>
      <c r="W1254" s="0" t="n">
        <f aca="false">T1254+U1254</f>
        <v>31</v>
      </c>
    </row>
    <row r="1255" customFormat="false" ht="15" hidden="false" customHeight="false" outlineLevel="0" collapsed="false">
      <c r="A1255" s="0" t="n">
        <v>1252</v>
      </c>
      <c r="B1255" s="0" t="n">
        <f aca="true">NORMINV(RAND(),1,Coefficients!$B$22)</f>
        <v>1.07948042283088</v>
      </c>
      <c r="C1255" s="0" t="n">
        <f aca="true">MEDIAN(8,16,ROUND(NORMINV(RAND(),Coefficients!$B$20,Coefficients!$B$21),0))</f>
        <v>12</v>
      </c>
      <c r="D1255" s="0" t="n">
        <f aca="true">CRITBINOM($C1255,MIN(0.75,Matchup!$B$39*$B1255),RAND())</f>
        <v>8</v>
      </c>
      <c r="E1255" s="0" t="n">
        <f aca="true">CRITBINOM(D1255,Coefficients!$B$30,RAND())</f>
        <v>1</v>
      </c>
      <c r="F1255" s="0" t="n">
        <f aca="true">CRITBINOM(E1255,Coefficients!$B$31,RAND())</f>
        <v>1</v>
      </c>
      <c r="G1255" s="0" t="n">
        <f aca="true">CRITBINOM(MAX(0,D1255-E1255),1-Coefficients!$B$32,RAND())</f>
        <v>0</v>
      </c>
      <c r="H1255" s="0" t="n">
        <f aca="true">CRITBINOM(MAX(0,$C1255-D1255),MIN(0.6,Matchup!$B$40*SQRT($B1255)/(1-MIN(0.75,Matchup!$B$39*$B1255))),RAND())</f>
        <v>0</v>
      </c>
      <c r="I1255" s="0" t="n">
        <f aca="false">6*D1255+(D1255-E1255-G1255)+2*F1255+3*H1255</f>
        <v>57</v>
      </c>
      <c r="J1255" s="0" t="n">
        <f aca="true">CRITBINOM($C1255,MIN(0.75,Matchup!$C$39*$B1255),RAND())</f>
        <v>1</v>
      </c>
      <c r="K1255" s="0" t="n">
        <f aca="true">CRITBINOM(J1255,Coefficients!$B$30,RAND())</f>
        <v>0</v>
      </c>
      <c r="L1255" s="0" t="n">
        <f aca="true">CRITBINOM(K1255,Coefficients!$B$31,RAND())</f>
        <v>0</v>
      </c>
      <c r="M1255" s="0" t="n">
        <f aca="true">CRITBINOM(MAX(0,J1255-K1255),1-Coefficients!$B$32,RAND())</f>
        <v>0</v>
      </c>
      <c r="N1255" s="0" t="n">
        <f aca="true">CRITBINOM(MAX(0,$C1255-J1255),MIN(0.6,Matchup!$C$40*SQRT($B1255)/(1-MIN(0.75,Matchup!$C$39*$B1255))),RAND())</f>
        <v>2</v>
      </c>
      <c r="O1255" s="0" t="n">
        <f aca="false">6*J1255+(J1255-K1255-M1255)+2*L1255+3*N1255</f>
        <v>13</v>
      </c>
      <c r="P1255" s="0" t="n">
        <f aca="true">RAND()</f>
        <v>0.253369923739825</v>
      </c>
      <c r="Q1255" s="0" t="n">
        <f aca="true">RAND()</f>
        <v>0.984807088541471</v>
      </c>
      <c r="R1255" s="0" t="n">
        <f aca="false">IF($I1255&lt;&gt;$O1255,0,IF(P1255&lt;Matchup!$B$39,7,IF(P1255&lt;Matchup!$B$39+Matchup!$B$40,3,0)))</f>
        <v>0</v>
      </c>
      <c r="S1255" s="0" t="n">
        <f aca="false">IF($I1255&lt;&gt;$O1255,0,IF(Q1255&lt;Matchup!$C$39,7,IF(Q1255&lt;Matchup!$C$39+Matchup!$C$40,3,0)))</f>
        <v>0</v>
      </c>
      <c r="T1255" s="0" t="n">
        <f aca="false">I1255+R1255</f>
        <v>57</v>
      </c>
      <c r="U1255" s="0" t="n">
        <f aca="false">O1255+S1255</f>
        <v>13</v>
      </c>
      <c r="V1255" s="0" t="n">
        <f aca="false">T1255-U1255</f>
        <v>44</v>
      </c>
      <c r="W1255" s="0" t="n">
        <f aca="false">T1255+U1255</f>
        <v>70</v>
      </c>
    </row>
    <row r="1256" customFormat="false" ht="15" hidden="false" customHeight="false" outlineLevel="0" collapsed="false">
      <c r="A1256" s="0" t="n">
        <v>1253</v>
      </c>
      <c r="B1256" s="0" t="n">
        <f aca="true">NORMINV(RAND(),1,Coefficients!$B$22)</f>
        <v>0.975646240545517</v>
      </c>
      <c r="C1256" s="0" t="n">
        <f aca="true">MEDIAN(8,16,ROUND(NORMINV(RAND(),Coefficients!$B$20,Coefficients!$B$21),0))</f>
        <v>11</v>
      </c>
      <c r="D1256" s="0" t="n">
        <f aca="true">CRITBINOM($C1256,MIN(0.75,Matchup!$B$39*$B1256),RAND())</f>
        <v>5</v>
      </c>
      <c r="E1256" s="0" t="n">
        <f aca="true">CRITBINOM(D1256,Coefficients!$B$30,RAND())</f>
        <v>1</v>
      </c>
      <c r="F1256" s="0" t="n">
        <f aca="true">CRITBINOM(E1256,Coefficients!$B$31,RAND())</f>
        <v>1</v>
      </c>
      <c r="G1256" s="0" t="n">
        <f aca="true">CRITBINOM(MAX(0,D1256-E1256),1-Coefficients!$B$32,RAND())</f>
        <v>0</v>
      </c>
      <c r="H1256" s="0" t="n">
        <f aca="true">CRITBINOM(MAX(0,$C1256-D1256),MIN(0.6,Matchup!$B$40*SQRT($B1256)/(1-MIN(0.75,Matchup!$B$39*$B1256))),RAND())</f>
        <v>1</v>
      </c>
      <c r="I1256" s="0" t="n">
        <f aca="false">6*D1256+(D1256-E1256-G1256)+2*F1256+3*H1256</f>
        <v>39</v>
      </c>
      <c r="J1256" s="0" t="n">
        <f aca="true">CRITBINOM($C1256,MIN(0.75,Matchup!$C$39*$B1256),RAND())</f>
        <v>2</v>
      </c>
      <c r="K1256" s="0" t="n">
        <f aca="true">CRITBINOM(J1256,Coefficients!$B$30,RAND())</f>
        <v>0</v>
      </c>
      <c r="L1256" s="0" t="n">
        <f aca="true">CRITBINOM(K1256,Coefficients!$B$31,RAND())</f>
        <v>0</v>
      </c>
      <c r="M1256" s="0" t="n">
        <f aca="true">CRITBINOM(MAX(0,J1256-K1256),1-Coefficients!$B$32,RAND())</f>
        <v>0</v>
      </c>
      <c r="N1256" s="0" t="n">
        <f aca="true">CRITBINOM(MAX(0,$C1256-J1256),MIN(0.6,Matchup!$C$40*SQRT($B1256)/(1-MIN(0.75,Matchup!$C$39*$B1256))),RAND())</f>
        <v>3</v>
      </c>
      <c r="O1256" s="0" t="n">
        <f aca="false">6*J1256+(J1256-K1256-M1256)+2*L1256+3*N1256</f>
        <v>23</v>
      </c>
      <c r="P1256" s="0" t="n">
        <f aca="true">RAND()</f>
        <v>0.202748153072596</v>
      </c>
      <c r="Q1256" s="0" t="n">
        <f aca="true">RAND()</f>
        <v>0.37374115493875</v>
      </c>
      <c r="R1256" s="0" t="n">
        <f aca="false">IF($I1256&lt;&gt;$O1256,0,IF(P1256&lt;Matchup!$B$39,7,IF(P1256&lt;Matchup!$B$39+Matchup!$B$40,3,0)))</f>
        <v>0</v>
      </c>
      <c r="S1256" s="0" t="n">
        <f aca="false">IF($I1256&lt;&gt;$O1256,0,IF(Q1256&lt;Matchup!$C$39,7,IF(Q1256&lt;Matchup!$C$39+Matchup!$C$40,3,0)))</f>
        <v>0</v>
      </c>
      <c r="T1256" s="0" t="n">
        <f aca="false">I1256+R1256</f>
        <v>39</v>
      </c>
      <c r="U1256" s="0" t="n">
        <f aca="false">O1256+S1256</f>
        <v>23</v>
      </c>
      <c r="V1256" s="0" t="n">
        <f aca="false">T1256-U1256</f>
        <v>16</v>
      </c>
      <c r="W1256" s="0" t="n">
        <f aca="false">T1256+U1256</f>
        <v>62</v>
      </c>
    </row>
    <row r="1257" customFormat="false" ht="15" hidden="false" customHeight="false" outlineLevel="0" collapsed="false">
      <c r="A1257" s="0" t="n">
        <v>1254</v>
      </c>
      <c r="B1257" s="0" t="n">
        <f aca="true">NORMINV(RAND(),1,Coefficients!$B$22)</f>
        <v>1.13715728060957</v>
      </c>
      <c r="C1257" s="0" t="n">
        <f aca="true">MEDIAN(8,16,ROUND(NORMINV(RAND(),Coefficients!$B$20,Coefficients!$B$21),0))</f>
        <v>11</v>
      </c>
      <c r="D1257" s="0" t="n">
        <f aca="true">CRITBINOM($C1257,MIN(0.75,Matchup!$B$39*$B1257),RAND())</f>
        <v>3</v>
      </c>
      <c r="E1257" s="0" t="n">
        <f aca="true">CRITBINOM(D1257,Coefficients!$B$30,RAND())</f>
        <v>0</v>
      </c>
      <c r="F1257" s="0" t="n">
        <f aca="true">CRITBINOM(E1257,Coefficients!$B$31,RAND())</f>
        <v>0</v>
      </c>
      <c r="G1257" s="0" t="n">
        <f aca="true">CRITBINOM(MAX(0,D1257-E1257),1-Coefficients!$B$32,RAND())</f>
        <v>0</v>
      </c>
      <c r="H1257" s="0" t="n">
        <f aca="true">CRITBINOM(MAX(0,$C1257-D1257),MIN(0.6,Matchup!$B$40*SQRT($B1257)/(1-MIN(0.75,Matchup!$B$39*$B1257))),RAND())</f>
        <v>2</v>
      </c>
      <c r="I1257" s="0" t="n">
        <f aca="false">6*D1257+(D1257-E1257-G1257)+2*F1257+3*H1257</f>
        <v>27</v>
      </c>
      <c r="J1257" s="0" t="n">
        <f aca="true">CRITBINOM($C1257,MIN(0.75,Matchup!$C$39*$B1257),RAND())</f>
        <v>4</v>
      </c>
      <c r="K1257" s="0" t="n">
        <f aca="true">CRITBINOM(J1257,Coefficients!$B$30,RAND())</f>
        <v>0</v>
      </c>
      <c r="L1257" s="0" t="n">
        <f aca="true">CRITBINOM(K1257,Coefficients!$B$31,RAND())</f>
        <v>0</v>
      </c>
      <c r="M1257" s="0" t="n">
        <f aca="true">CRITBINOM(MAX(0,J1257-K1257),1-Coefficients!$B$32,RAND())</f>
        <v>1</v>
      </c>
      <c r="N1257" s="0" t="n">
        <f aca="true">CRITBINOM(MAX(0,$C1257-J1257),MIN(0.6,Matchup!$C$40*SQRT($B1257)/(1-MIN(0.75,Matchup!$C$39*$B1257))),RAND())</f>
        <v>0</v>
      </c>
      <c r="O1257" s="0" t="n">
        <f aca="false">6*J1257+(J1257-K1257-M1257)+2*L1257+3*N1257</f>
        <v>27</v>
      </c>
      <c r="P1257" s="0" t="n">
        <f aca="true">RAND()</f>
        <v>0.575599059267285</v>
      </c>
      <c r="Q1257" s="0" t="n">
        <f aca="true">RAND()</f>
        <v>0.0469551405812475</v>
      </c>
      <c r="R1257" s="0" t="n">
        <f aca="false">IF($I1257&lt;&gt;$O1257,0,IF(P1257&lt;Matchup!$B$39,7,IF(P1257&lt;Matchup!$B$39+Matchup!$B$40,3,0)))</f>
        <v>0</v>
      </c>
      <c r="S1257" s="0" t="n">
        <f aca="false">IF($I1257&lt;&gt;$O1257,0,IF(Q1257&lt;Matchup!$C$39,7,IF(Q1257&lt;Matchup!$C$39+Matchup!$C$40,3,0)))</f>
        <v>7</v>
      </c>
      <c r="T1257" s="0" t="n">
        <f aca="false">I1257+R1257</f>
        <v>27</v>
      </c>
      <c r="U1257" s="0" t="n">
        <f aca="false">O1257+S1257</f>
        <v>34</v>
      </c>
      <c r="V1257" s="0" t="n">
        <f aca="false">T1257-U1257</f>
        <v>-7</v>
      </c>
      <c r="W1257" s="0" t="n">
        <f aca="false">T1257+U1257</f>
        <v>61</v>
      </c>
    </row>
    <row r="1258" customFormat="false" ht="15" hidden="false" customHeight="false" outlineLevel="0" collapsed="false">
      <c r="A1258" s="0" t="n">
        <v>1255</v>
      </c>
      <c r="B1258" s="0" t="n">
        <f aca="true">NORMINV(RAND(),1,Coefficients!$B$22)</f>
        <v>0.903411429670197</v>
      </c>
      <c r="C1258" s="0" t="n">
        <f aca="true">MEDIAN(8,16,ROUND(NORMINV(RAND(),Coefficients!$B$20,Coefficients!$B$21),0))</f>
        <v>10</v>
      </c>
      <c r="D1258" s="0" t="n">
        <f aca="true">CRITBINOM($C1258,MIN(0.75,Matchup!$B$39*$B1258),RAND())</f>
        <v>3</v>
      </c>
      <c r="E1258" s="0" t="n">
        <f aca="true">CRITBINOM(D1258,Coefficients!$B$30,RAND())</f>
        <v>1</v>
      </c>
      <c r="F1258" s="0" t="n">
        <f aca="true">CRITBINOM(E1258,Coefficients!$B$31,RAND())</f>
        <v>1</v>
      </c>
      <c r="G1258" s="0" t="n">
        <f aca="true">CRITBINOM(MAX(0,D1258-E1258),1-Coefficients!$B$32,RAND())</f>
        <v>1</v>
      </c>
      <c r="H1258" s="0" t="n">
        <f aca="true">CRITBINOM(MAX(0,$C1258-D1258),MIN(0.6,Matchup!$B$40*SQRT($B1258)/(1-MIN(0.75,Matchup!$B$39*$B1258))),RAND())</f>
        <v>0</v>
      </c>
      <c r="I1258" s="0" t="n">
        <f aca="false">6*D1258+(D1258-E1258-G1258)+2*F1258+3*H1258</f>
        <v>21</v>
      </c>
      <c r="J1258" s="0" t="n">
        <f aca="true">CRITBINOM($C1258,MIN(0.75,Matchup!$C$39*$B1258),RAND())</f>
        <v>3</v>
      </c>
      <c r="K1258" s="0" t="n">
        <f aca="true">CRITBINOM(J1258,Coefficients!$B$30,RAND())</f>
        <v>0</v>
      </c>
      <c r="L1258" s="0" t="n">
        <f aca="true">CRITBINOM(K1258,Coefficients!$B$31,RAND())</f>
        <v>0</v>
      </c>
      <c r="M1258" s="0" t="n">
        <f aca="true">CRITBINOM(MAX(0,J1258-K1258),1-Coefficients!$B$32,RAND())</f>
        <v>0</v>
      </c>
      <c r="N1258" s="0" t="n">
        <f aca="true">CRITBINOM(MAX(0,$C1258-J1258),MIN(0.6,Matchup!$C$40*SQRT($B1258)/(1-MIN(0.75,Matchup!$C$39*$B1258))),RAND())</f>
        <v>3</v>
      </c>
      <c r="O1258" s="0" t="n">
        <f aca="false">6*J1258+(J1258-K1258-M1258)+2*L1258+3*N1258</f>
        <v>30</v>
      </c>
      <c r="P1258" s="0" t="n">
        <f aca="true">RAND()</f>
        <v>0.756709272733071</v>
      </c>
      <c r="Q1258" s="0" t="n">
        <f aca="true">RAND()</f>
        <v>0.936816694710592</v>
      </c>
      <c r="R1258" s="0" t="n">
        <f aca="false">IF($I1258&lt;&gt;$O1258,0,IF(P1258&lt;Matchup!$B$39,7,IF(P1258&lt;Matchup!$B$39+Matchup!$B$40,3,0)))</f>
        <v>0</v>
      </c>
      <c r="S1258" s="0" t="n">
        <f aca="false">IF($I1258&lt;&gt;$O1258,0,IF(Q1258&lt;Matchup!$C$39,7,IF(Q1258&lt;Matchup!$C$39+Matchup!$C$40,3,0)))</f>
        <v>0</v>
      </c>
      <c r="T1258" s="0" t="n">
        <f aca="false">I1258+R1258</f>
        <v>21</v>
      </c>
      <c r="U1258" s="0" t="n">
        <f aca="false">O1258+S1258</f>
        <v>30</v>
      </c>
      <c r="V1258" s="0" t="n">
        <f aca="false">T1258-U1258</f>
        <v>-9</v>
      </c>
      <c r="W1258" s="0" t="n">
        <f aca="false">T1258+U1258</f>
        <v>51</v>
      </c>
    </row>
    <row r="1259" customFormat="false" ht="15" hidden="false" customHeight="false" outlineLevel="0" collapsed="false">
      <c r="A1259" s="0" t="n">
        <v>1256</v>
      </c>
      <c r="B1259" s="0" t="n">
        <f aca="true">NORMINV(RAND(),1,Coefficients!$B$22)</f>
        <v>1.02707136396665</v>
      </c>
      <c r="C1259" s="0" t="n">
        <f aca="true">MEDIAN(8,16,ROUND(NORMINV(RAND(),Coefficients!$B$20,Coefficients!$B$21),0))</f>
        <v>11</v>
      </c>
      <c r="D1259" s="0" t="n">
        <f aca="true">CRITBINOM($C1259,MIN(0.75,Matchup!$B$39*$B1259),RAND())</f>
        <v>4</v>
      </c>
      <c r="E1259" s="0" t="n">
        <f aca="true">CRITBINOM(D1259,Coefficients!$B$30,RAND())</f>
        <v>0</v>
      </c>
      <c r="F1259" s="0" t="n">
        <f aca="true">CRITBINOM(E1259,Coefficients!$B$31,RAND())</f>
        <v>0</v>
      </c>
      <c r="G1259" s="0" t="n">
        <f aca="true">CRITBINOM(MAX(0,D1259-E1259),1-Coefficients!$B$32,RAND())</f>
        <v>0</v>
      </c>
      <c r="H1259" s="0" t="n">
        <f aca="true">CRITBINOM(MAX(0,$C1259-D1259),MIN(0.6,Matchup!$B$40*SQRT($B1259)/(1-MIN(0.75,Matchup!$B$39*$B1259))),RAND())</f>
        <v>1</v>
      </c>
      <c r="I1259" s="0" t="n">
        <f aca="false">6*D1259+(D1259-E1259-G1259)+2*F1259+3*H1259</f>
        <v>31</v>
      </c>
      <c r="J1259" s="0" t="n">
        <f aca="true">CRITBINOM($C1259,MIN(0.75,Matchup!$C$39*$B1259),RAND())</f>
        <v>2</v>
      </c>
      <c r="K1259" s="0" t="n">
        <f aca="true">CRITBINOM(J1259,Coefficients!$B$30,RAND())</f>
        <v>0</v>
      </c>
      <c r="L1259" s="0" t="n">
        <f aca="true">CRITBINOM(K1259,Coefficients!$B$31,RAND())</f>
        <v>0</v>
      </c>
      <c r="M1259" s="0" t="n">
        <f aca="true">CRITBINOM(MAX(0,J1259-K1259),1-Coefficients!$B$32,RAND())</f>
        <v>0</v>
      </c>
      <c r="N1259" s="0" t="n">
        <f aca="true">CRITBINOM(MAX(0,$C1259-J1259),MIN(0.6,Matchup!$C$40*SQRT($B1259)/(1-MIN(0.75,Matchup!$C$39*$B1259))),RAND())</f>
        <v>4</v>
      </c>
      <c r="O1259" s="0" t="n">
        <f aca="false">6*J1259+(J1259-K1259-M1259)+2*L1259+3*N1259</f>
        <v>26</v>
      </c>
      <c r="P1259" s="0" t="n">
        <f aca="true">RAND()</f>
        <v>0.727346042048726</v>
      </c>
      <c r="Q1259" s="0" t="n">
        <f aca="true">RAND()</f>
        <v>0.0125113188280927</v>
      </c>
      <c r="R1259" s="0" t="n">
        <f aca="false">IF($I1259&lt;&gt;$O1259,0,IF(P1259&lt;Matchup!$B$39,7,IF(P1259&lt;Matchup!$B$39+Matchup!$B$40,3,0)))</f>
        <v>0</v>
      </c>
      <c r="S1259" s="0" t="n">
        <f aca="false">IF($I1259&lt;&gt;$O1259,0,IF(Q1259&lt;Matchup!$C$39,7,IF(Q1259&lt;Matchup!$C$39+Matchup!$C$40,3,0)))</f>
        <v>0</v>
      </c>
      <c r="T1259" s="0" t="n">
        <f aca="false">I1259+R1259</f>
        <v>31</v>
      </c>
      <c r="U1259" s="0" t="n">
        <f aca="false">O1259+S1259</f>
        <v>26</v>
      </c>
      <c r="V1259" s="0" t="n">
        <f aca="false">T1259-U1259</f>
        <v>5</v>
      </c>
      <c r="W1259" s="0" t="n">
        <f aca="false">T1259+U1259</f>
        <v>57</v>
      </c>
    </row>
    <row r="1260" customFormat="false" ht="15" hidden="false" customHeight="false" outlineLevel="0" collapsed="false">
      <c r="A1260" s="0" t="n">
        <v>1257</v>
      </c>
      <c r="B1260" s="0" t="n">
        <f aca="true">NORMINV(RAND(),1,Coefficients!$B$22)</f>
        <v>1.07491243054442</v>
      </c>
      <c r="C1260" s="0" t="n">
        <f aca="true">MEDIAN(8,16,ROUND(NORMINV(RAND(),Coefficients!$B$20,Coefficients!$B$21),0))</f>
        <v>11</v>
      </c>
      <c r="D1260" s="0" t="n">
        <f aca="true">CRITBINOM($C1260,MIN(0.75,Matchup!$B$39*$B1260),RAND())</f>
        <v>6</v>
      </c>
      <c r="E1260" s="0" t="n">
        <f aca="true">CRITBINOM(D1260,Coefficients!$B$30,RAND())</f>
        <v>0</v>
      </c>
      <c r="F1260" s="0" t="n">
        <f aca="true">CRITBINOM(E1260,Coefficients!$B$31,RAND())</f>
        <v>0</v>
      </c>
      <c r="G1260" s="0" t="n">
        <f aca="true">CRITBINOM(MAX(0,D1260-E1260),1-Coefficients!$B$32,RAND())</f>
        <v>1</v>
      </c>
      <c r="H1260" s="0" t="n">
        <f aca="true">CRITBINOM(MAX(0,$C1260-D1260),MIN(0.6,Matchup!$B$40*SQRT($B1260)/(1-MIN(0.75,Matchup!$B$39*$B1260))),RAND())</f>
        <v>1</v>
      </c>
      <c r="I1260" s="0" t="n">
        <f aca="false">6*D1260+(D1260-E1260-G1260)+2*F1260+3*H1260</f>
        <v>44</v>
      </c>
      <c r="J1260" s="0" t="n">
        <f aca="true">CRITBINOM($C1260,MIN(0.75,Matchup!$C$39*$B1260),RAND())</f>
        <v>4</v>
      </c>
      <c r="K1260" s="0" t="n">
        <f aca="true">CRITBINOM(J1260,Coefficients!$B$30,RAND())</f>
        <v>2</v>
      </c>
      <c r="L1260" s="0" t="n">
        <f aca="true">CRITBINOM(K1260,Coefficients!$B$31,RAND())</f>
        <v>1</v>
      </c>
      <c r="M1260" s="0" t="n">
        <f aca="true">CRITBINOM(MAX(0,J1260-K1260),1-Coefficients!$B$32,RAND())</f>
        <v>0</v>
      </c>
      <c r="N1260" s="0" t="n">
        <f aca="true">CRITBINOM(MAX(0,$C1260-J1260),MIN(0.6,Matchup!$C$40*SQRT($B1260)/(1-MIN(0.75,Matchup!$C$39*$B1260))),RAND())</f>
        <v>2</v>
      </c>
      <c r="O1260" s="0" t="n">
        <f aca="false">6*J1260+(J1260-K1260-M1260)+2*L1260+3*N1260</f>
        <v>34</v>
      </c>
      <c r="P1260" s="0" t="n">
        <f aca="true">RAND()</f>
        <v>0.113391715651604</v>
      </c>
      <c r="Q1260" s="0" t="n">
        <f aca="true">RAND()</f>
        <v>0.977114957692158</v>
      </c>
      <c r="R1260" s="0" t="n">
        <f aca="false">IF($I1260&lt;&gt;$O1260,0,IF(P1260&lt;Matchup!$B$39,7,IF(P1260&lt;Matchup!$B$39+Matchup!$B$40,3,0)))</f>
        <v>0</v>
      </c>
      <c r="S1260" s="0" t="n">
        <f aca="false">IF($I1260&lt;&gt;$O1260,0,IF(Q1260&lt;Matchup!$C$39,7,IF(Q1260&lt;Matchup!$C$39+Matchup!$C$40,3,0)))</f>
        <v>0</v>
      </c>
      <c r="T1260" s="0" t="n">
        <f aca="false">I1260+R1260</f>
        <v>44</v>
      </c>
      <c r="U1260" s="0" t="n">
        <f aca="false">O1260+S1260</f>
        <v>34</v>
      </c>
      <c r="V1260" s="0" t="n">
        <f aca="false">T1260-U1260</f>
        <v>10</v>
      </c>
      <c r="W1260" s="0" t="n">
        <f aca="false">T1260+U1260</f>
        <v>78</v>
      </c>
    </row>
    <row r="1261" customFormat="false" ht="15" hidden="false" customHeight="false" outlineLevel="0" collapsed="false">
      <c r="A1261" s="0" t="n">
        <v>1258</v>
      </c>
      <c r="B1261" s="0" t="n">
        <f aca="true">NORMINV(RAND(),1,Coefficients!$B$22)</f>
        <v>1.03354164596016</v>
      </c>
      <c r="C1261" s="0" t="n">
        <f aca="true">MEDIAN(8,16,ROUND(NORMINV(RAND(),Coefficients!$B$20,Coefficients!$B$21),0))</f>
        <v>12</v>
      </c>
      <c r="D1261" s="0" t="n">
        <f aca="true">CRITBINOM($C1261,MIN(0.75,Matchup!$B$39*$B1261),RAND())</f>
        <v>3</v>
      </c>
      <c r="E1261" s="0" t="n">
        <f aca="true">CRITBINOM(D1261,Coefficients!$B$30,RAND())</f>
        <v>0</v>
      </c>
      <c r="F1261" s="0" t="n">
        <f aca="true">CRITBINOM(E1261,Coefficients!$B$31,RAND())</f>
        <v>0</v>
      </c>
      <c r="G1261" s="0" t="n">
        <f aca="true">CRITBINOM(MAX(0,D1261-E1261),1-Coefficients!$B$32,RAND())</f>
        <v>0</v>
      </c>
      <c r="H1261" s="0" t="n">
        <f aca="true">CRITBINOM(MAX(0,$C1261-D1261),MIN(0.6,Matchup!$B$40*SQRT($B1261)/(1-MIN(0.75,Matchup!$B$39*$B1261))),RAND())</f>
        <v>2</v>
      </c>
      <c r="I1261" s="0" t="n">
        <f aca="false">6*D1261+(D1261-E1261-G1261)+2*F1261+3*H1261</f>
        <v>27</v>
      </c>
      <c r="J1261" s="0" t="n">
        <f aca="true">CRITBINOM($C1261,MIN(0.75,Matchup!$C$39*$B1261),RAND())</f>
        <v>3</v>
      </c>
      <c r="K1261" s="0" t="n">
        <f aca="true">CRITBINOM(J1261,Coefficients!$B$30,RAND())</f>
        <v>0</v>
      </c>
      <c r="L1261" s="0" t="n">
        <f aca="true">CRITBINOM(K1261,Coefficients!$B$31,RAND())</f>
        <v>0</v>
      </c>
      <c r="M1261" s="0" t="n">
        <f aca="true">CRITBINOM(MAX(0,J1261-K1261),1-Coefficients!$B$32,RAND())</f>
        <v>0</v>
      </c>
      <c r="N1261" s="0" t="n">
        <f aca="true">CRITBINOM(MAX(0,$C1261-J1261),MIN(0.6,Matchup!$C$40*SQRT($B1261)/(1-MIN(0.75,Matchup!$C$39*$B1261))),RAND())</f>
        <v>2</v>
      </c>
      <c r="O1261" s="0" t="n">
        <f aca="false">6*J1261+(J1261-K1261-M1261)+2*L1261+3*N1261</f>
        <v>27</v>
      </c>
      <c r="P1261" s="0" t="n">
        <f aca="true">RAND()</f>
        <v>0.00675769186181609</v>
      </c>
      <c r="Q1261" s="0" t="n">
        <f aca="true">RAND()</f>
        <v>0.0436378351997971</v>
      </c>
      <c r="R1261" s="0" t="n">
        <f aca="false">IF($I1261&lt;&gt;$O1261,0,IF(P1261&lt;Matchup!$B$39,7,IF(P1261&lt;Matchup!$B$39+Matchup!$B$40,3,0)))</f>
        <v>7</v>
      </c>
      <c r="S1261" s="0" t="n">
        <f aca="false">IF($I1261&lt;&gt;$O1261,0,IF(Q1261&lt;Matchup!$C$39,7,IF(Q1261&lt;Matchup!$C$39+Matchup!$C$40,3,0)))</f>
        <v>7</v>
      </c>
      <c r="T1261" s="0" t="n">
        <f aca="false">I1261+R1261</f>
        <v>34</v>
      </c>
      <c r="U1261" s="0" t="n">
        <f aca="false">O1261+S1261</f>
        <v>34</v>
      </c>
      <c r="V1261" s="0" t="n">
        <f aca="false">T1261-U1261</f>
        <v>0</v>
      </c>
      <c r="W1261" s="0" t="n">
        <f aca="false">T1261+U1261</f>
        <v>68</v>
      </c>
    </row>
    <row r="1262" customFormat="false" ht="15" hidden="false" customHeight="false" outlineLevel="0" collapsed="false">
      <c r="A1262" s="0" t="n">
        <v>1259</v>
      </c>
      <c r="B1262" s="0" t="n">
        <f aca="true">NORMINV(RAND(),1,Coefficients!$B$22)</f>
        <v>1.067951964194</v>
      </c>
      <c r="C1262" s="0" t="n">
        <f aca="true">MEDIAN(8,16,ROUND(NORMINV(RAND(),Coefficients!$B$20,Coefficients!$B$21),0))</f>
        <v>14</v>
      </c>
      <c r="D1262" s="0" t="n">
        <f aca="true">CRITBINOM($C1262,MIN(0.75,Matchup!$B$39*$B1262),RAND())</f>
        <v>2</v>
      </c>
      <c r="E1262" s="0" t="n">
        <f aca="true">CRITBINOM(D1262,Coefficients!$B$30,RAND())</f>
        <v>0</v>
      </c>
      <c r="F1262" s="0" t="n">
        <f aca="true">CRITBINOM(E1262,Coefficients!$B$31,RAND())</f>
        <v>0</v>
      </c>
      <c r="G1262" s="0" t="n">
        <f aca="true">CRITBINOM(MAX(0,D1262-E1262),1-Coefficients!$B$32,RAND())</f>
        <v>0</v>
      </c>
      <c r="H1262" s="0" t="n">
        <f aca="true">CRITBINOM(MAX(0,$C1262-D1262),MIN(0.6,Matchup!$B$40*SQRT($B1262)/(1-MIN(0.75,Matchup!$B$39*$B1262))),RAND())</f>
        <v>0</v>
      </c>
      <c r="I1262" s="0" t="n">
        <f aca="false">6*D1262+(D1262-E1262-G1262)+2*F1262+3*H1262</f>
        <v>14</v>
      </c>
      <c r="J1262" s="0" t="n">
        <f aca="true">CRITBINOM($C1262,MIN(0.75,Matchup!$C$39*$B1262),RAND())</f>
        <v>3</v>
      </c>
      <c r="K1262" s="0" t="n">
        <f aca="true">CRITBINOM(J1262,Coefficients!$B$30,RAND())</f>
        <v>0</v>
      </c>
      <c r="L1262" s="0" t="n">
        <f aca="true">CRITBINOM(K1262,Coefficients!$B$31,RAND())</f>
        <v>0</v>
      </c>
      <c r="M1262" s="0" t="n">
        <f aca="true">CRITBINOM(MAX(0,J1262-K1262),1-Coefficients!$B$32,RAND())</f>
        <v>0</v>
      </c>
      <c r="N1262" s="0" t="n">
        <f aca="true">CRITBINOM(MAX(0,$C1262-J1262),MIN(0.6,Matchup!$C$40*SQRT($B1262)/(1-MIN(0.75,Matchup!$C$39*$B1262))),RAND())</f>
        <v>2</v>
      </c>
      <c r="O1262" s="0" t="n">
        <f aca="false">6*J1262+(J1262-K1262-M1262)+2*L1262+3*N1262</f>
        <v>27</v>
      </c>
      <c r="P1262" s="0" t="n">
        <f aca="true">RAND()</f>
        <v>0.337051873260481</v>
      </c>
      <c r="Q1262" s="0" t="n">
        <f aca="true">RAND()</f>
        <v>0.619482283871946</v>
      </c>
      <c r="R1262" s="0" t="n">
        <f aca="false">IF($I1262&lt;&gt;$O1262,0,IF(P1262&lt;Matchup!$B$39,7,IF(P1262&lt;Matchup!$B$39+Matchup!$B$40,3,0)))</f>
        <v>0</v>
      </c>
      <c r="S1262" s="0" t="n">
        <f aca="false">IF($I1262&lt;&gt;$O1262,0,IF(Q1262&lt;Matchup!$C$39,7,IF(Q1262&lt;Matchup!$C$39+Matchup!$C$40,3,0)))</f>
        <v>0</v>
      </c>
      <c r="T1262" s="0" t="n">
        <f aca="false">I1262+R1262</f>
        <v>14</v>
      </c>
      <c r="U1262" s="0" t="n">
        <f aca="false">O1262+S1262</f>
        <v>27</v>
      </c>
      <c r="V1262" s="0" t="n">
        <f aca="false">T1262-U1262</f>
        <v>-13</v>
      </c>
      <c r="W1262" s="0" t="n">
        <f aca="false">T1262+U1262</f>
        <v>41</v>
      </c>
    </row>
    <row r="1263" customFormat="false" ht="15" hidden="false" customHeight="false" outlineLevel="0" collapsed="false">
      <c r="A1263" s="0" t="n">
        <v>1260</v>
      </c>
      <c r="B1263" s="0" t="n">
        <f aca="true">NORMINV(RAND(),1,Coefficients!$B$22)</f>
        <v>1.03452703258563</v>
      </c>
      <c r="C1263" s="0" t="n">
        <f aca="true">MEDIAN(8,16,ROUND(NORMINV(RAND(),Coefficients!$B$20,Coefficients!$B$21),0))</f>
        <v>9</v>
      </c>
      <c r="D1263" s="0" t="n">
        <f aca="true">CRITBINOM($C1263,MIN(0.75,Matchup!$B$39*$B1263),RAND())</f>
        <v>4</v>
      </c>
      <c r="E1263" s="0" t="n">
        <f aca="true">CRITBINOM(D1263,Coefficients!$B$30,RAND())</f>
        <v>0</v>
      </c>
      <c r="F1263" s="0" t="n">
        <f aca="true">CRITBINOM(E1263,Coefficients!$B$31,RAND())</f>
        <v>0</v>
      </c>
      <c r="G1263" s="0" t="n">
        <f aca="true">CRITBINOM(MAX(0,D1263-E1263),1-Coefficients!$B$32,RAND())</f>
        <v>0</v>
      </c>
      <c r="H1263" s="0" t="n">
        <f aca="true">CRITBINOM(MAX(0,$C1263-D1263),MIN(0.6,Matchup!$B$40*SQRT($B1263)/(1-MIN(0.75,Matchup!$B$39*$B1263))),RAND())</f>
        <v>0</v>
      </c>
      <c r="I1263" s="0" t="n">
        <f aca="false">6*D1263+(D1263-E1263-G1263)+2*F1263+3*H1263</f>
        <v>28</v>
      </c>
      <c r="J1263" s="0" t="n">
        <f aca="true">CRITBINOM($C1263,MIN(0.75,Matchup!$C$39*$B1263),RAND())</f>
        <v>3</v>
      </c>
      <c r="K1263" s="0" t="n">
        <f aca="true">CRITBINOM(J1263,Coefficients!$B$30,RAND())</f>
        <v>1</v>
      </c>
      <c r="L1263" s="0" t="n">
        <f aca="true">CRITBINOM(K1263,Coefficients!$B$31,RAND())</f>
        <v>1</v>
      </c>
      <c r="M1263" s="0" t="n">
        <f aca="true">CRITBINOM(MAX(0,J1263-K1263),1-Coefficients!$B$32,RAND())</f>
        <v>0</v>
      </c>
      <c r="N1263" s="0" t="n">
        <f aca="true">CRITBINOM(MAX(0,$C1263-J1263),MIN(0.6,Matchup!$C$40*SQRT($B1263)/(1-MIN(0.75,Matchup!$C$39*$B1263))),RAND())</f>
        <v>1</v>
      </c>
      <c r="O1263" s="0" t="n">
        <f aca="false">6*J1263+(J1263-K1263-M1263)+2*L1263+3*N1263</f>
        <v>25</v>
      </c>
      <c r="P1263" s="0" t="n">
        <f aca="true">RAND()</f>
        <v>0.657732868011369</v>
      </c>
      <c r="Q1263" s="0" t="n">
        <f aca="true">RAND()</f>
        <v>0.568162398120045</v>
      </c>
      <c r="R1263" s="0" t="n">
        <f aca="false">IF($I1263&lt;&gt;$O1263,0,IF(P1263&lt;Matchup!$B$39,7,IF(P1263&lt;Matchup!$B$39+Matchup!$B$40,3,0)))</f>
        <v>0</v>
      </c>
      <c r="S1263" s="0" t="n">
        <f aca="false">IF($I1263&lt;&gt;$O1263,0,IF(Q1263&lt;Matchup!$C$39,7,IF(Q1263&lt;Matchup!$C$39+Matchup!$C$40,3,0)))</f>
        <v>0</v>
      </c>
      <c r="T1263" s="0" t="n">
        <f aca="false">I1263+R1263</f>
        <v>28</v>
      </c>
      <c r="U1263" s="0" t="n">
        <f aca="false">O1263+S1263</f>
        <v>25</v>
      </c>
      <c r="V1263" s="0" t="n">
        <f aca="false">T1263-U1263</f>
        <v>3</v>
      </c>
      <c r="W1263" s="0" t="n">
        <f aca="false">T1263+U1263</f>
        <v>53</v>
      </c>
    </row>
    <row r="1264" customFormat="false" ht="15" hidden="false" customHeight="false" outlineLevel="0" collapsed="false">
      <c r="A1264" s="0" t="n">
        <v>1261</v>
      </c>
      <c r="B1264" s="0" t="n">
        <f aca="true">NORMINV(RAND(),1,Coefficients!$B$22)</f>
        <v>0.943225449875661</v>
      </c>
      <c r="C1264" s="0" t="n">
        <f aca="true">MEDIAN(8,16,ROUND(NORMINV(RAND(),Coefficients!$B$20,Coefficients!$B$21),0))</f>
        <v>13</v>
      </c>
      <c r="D1264" s="0" t="n">
        <f aca="true">CRITBINOM($C1264,MIN(0.75,Matchup!$B$39*$B1264),RAND())</f>
        <v>1</v>
      </c>
      <c r="E1264" s="0" t="n">
        <f aca="true">CRITBINOM(D1264,Coefficients!$B$30,RAND())</f>
        <v>0</v>
      </c>
      <c r="F1264" s="0" t="n">
        <f aca="true">CRITBINOM(E1264,Coefficients!$B$31,RAND())</f>
        <v>0</v>
      </c>
      <c r="G1264" s="0" t="n">
        <f aca="true">CRITBINOM(MAX(0,D1264-E1264),1-Coefficients!$B$32,RAND())</f>
        <v>0</v>
      </c>
      <c r="H1264" s="0" t="n">
        <f aca="true">CRITBINOM(MAX(0,$C1264-D1264),MIN(0.6,Matchup!$B$40*SQRT($B1264)/(1-MIN(0.75,Matchup!$B$39*$B1264))),RAND())</f>
        <v>1</v>
      </c>
      <c r="I1264" s="0" t="n">
        <f aca="false">6*D1264+(D1264-E1264-G1264)+2*F1264+3*H1264</f>
        <v>10</v>
      </c>
      <c r="J1264" s="0" t="n">
        <f aca="true">CRITBINOM($C1264,MIN(0.75,Matchup!$C$39*$B1264),RAND())</f>
        <v>4</v>
      </c>
      <c r="K1264" s="0" t="n">
        <f aca="true">CRITBINOM(J1264,Coefficients!$B$30,RAND())</f>
        <v>0</v>
      </c>
      <c r="L1264" s="0" t="n">
        <f aca="true">CRITBINOM(K1264,Coefficients!$B$31,RAND())</f>
        <v>0</v>
      </c>
      <c r="M1264" s="0" t="n">
        <f aca="true">CRITBINOM(MAX(0,J1264-K1264),1-Coefficients!$B$32,RAND())</f>
        <v>1</v>
      </c>
      <c r="N1264" s="0" t="n">
        <f aca="true">CRITBINOM(MAX(0,$C1264-J1264),MIN(0.6,Matchup!$C$40*SQRT($B1264)/(1-MIN(0.75,Matchup!$C$39*$B1264))),RAND())</f>
        <v>1</v>
      </c>
      <c r="O1264" s="0" t="n">
        <f aca="false">6*J1264+(J1264-K1264-M1264)+2*L1264+3*N1264</f>
        <v>30</v>
      </c>
      <c r="P1264" s="0" t="n">
        <f aca="true">RAND()</f>
        <v>0.582963118953964</v>
      </c>
      <c r="Q1264" s="0" t="n">
        <f aca="true">RAND()</f>
        <v>0.260803017195155</v>
      </c>
      <c r="R1264" s="0" t="n">
        <f aca="false">IF($I1264&lt;&gt;$O1264,0,IF(P1264&lt;Matchup!$B$39,7,IF(P1264&lt;Matchup!$B$39+Matchup!$B$40,3,0)))</f>
        <v>0</v>
      </c>
      <c r="S1264" s="0" t="n">
        <f aca="false">IF($I1264&lt;&gt;$O1264,0,IF(Q1264&lt;Matchup!$C$39,7,IF(Q1264&lt;Matchup!$C$39+Matchup!$C$40,3,0)))</f>
        <v>0</v>
      </c>
      <c r="T1264" s="0" t="n">
        <f aca="false">I1264+R1264</f>
        <v>10</v>
      </c>
      <c r="U1264" s="0" t="n">
        <f aca="false">O1264+S1264</f>
        <v>30</v>
      </c>
      <c r="V1264" s="0" t="n">
        <f aca="false">T1264-U1264</f>
        <v>-20</v>
      </c>
      <c r="W1264" s="0" t="n">
        <f aca="false">T1264+U1264</f>
        <v>40</v>
      </c>
    </row>
    <row r="1265" customFormat="false" ht="15" hidden="false" customHeight="false" outlineLevel="0" collapsed="false">
      <c r="A1265" s="0" t="n">
        <v>1262</v>
      </c>
      <c r="B1265" s="0" t="n">
        <f aca="true">NORMINV(RAND(),1,Coefficients!$B$22)</f>
        <v>1.08659732665523</v>
      </c>
      <c r="C1265" s="0" t="n">
        <f aca="true">MEDIAN(8,16,ROUND(NORMINV(RAND(),Coefficients!$B$20,Coefficients!$B$21),0))</f>
        <v>11</v>
      </c>
      <c r="D1265" s="0" t="n">
        <f aca="true">CRITBINOM($C1265,MIN(0.75,Matchup!$B$39*$B1265),RAND())</f>
        <v>5</v>
      </c>
      <c r="E1265" s="0" t="n">
        <f aca="true">CRITBINOM(D1265,Coefficients!$B$30,RAND())</f>
        <v>1</v>
      </c>
      <c r="F1265" s="0" t="n">
        <f aca="true">CRITBINOM(E1265,Coefficients!$B$31,RAND())</f>
        <v>1</v>
      </c>
      <c r="G1265" s="0" t="n">
        <f aca="true">CRITBINOM(MAX(0,D1265-E1265),1-Coefficients!$B$32,RAND())</f>
        <v>0</v>
      </c>
      <c r="H1265" s="0" t="n">
        <f aca="true">CRITBINOM(MAX(0,$C1265-D1265),MIN(0.6,Matchup!$B$40*SQRT($B1265)/(1-MIN(0.75,Matchup!$B$39*$B1265))),RAND())</f>
        <v>3</v>
      </c>
      <c r="I1265" s="0" t="n">
        <f aca="false">6*D1265+(D1265-E1265-G1265)+2*F1265+3*H1265</f>
        <v>45</v>
      </c>
      <c r="J1265" s="0" t="n">
        <f aca="true">CRITBINOM($C1265,MIN(0.75,Matchup!$C$39*$B1265),RAND())</f>
        <v>3</v>
      </c>
      <c r="K1265" s="0" t="n">
        <f aca="true">CRITBINOM(J1265,Coefficients!$B$30,RAND())</f>
        <v>0</v>
      </c>
      <c r="L1265" s="0" t="n">
        <f aca="true">CRITBINOM(K1265,Coefficients!$B$31,RAND())</f>
        <v>0</v>
      </c>
      <c r="M1265" s="0" t="n">
        <f aca="true">CRITBINOM(MAX(0,J1265-K1265),1-Coefficients!$B$32,RAND())</f>
        <v>0</v>
      </c>
      <c r="N1265" s="0" t="n">
        <f aca="true">CRITBINOM(MAX(0,$C1265-J1265),MIN(0.6,Matchup!$C$40*SQRT($B1265)/(1-MIN(0.75,Matchup!$C$39*$B1265))),RAND())</f>
        <v>3</v>
      </c>
      <c r="O1265" s="0" t="n">
        <f aca="false">6*J1265+(J1265-K1265-M1265)+2*L1265+3*N1265</f>
        <v>30</v>
      </c>
      <c r="P1265" s="0" t="n">
        <f aca="true">RAND()</f>
        <v>0.130618593444152</v>
      </c>
      <c r="Q1265" s="0" t="n">
        <f aca="true">RAND()</f>
        <v>0.0350907195461835</v>
      </c>
      <c r="R1265" s="0" t="n">
        <f aca="false">IF($I1265&lt;&gt;$O1265,0,IF(P1265&lt;Matchup!$B$39,7,IF(P1265&lt;Matchup!$B$39+Matchup!$B$40,3,0)))</f>
        <v>0</v>
      </c>
      <c r="S1265" s="0" t="n">
        <f aca="false">IF($I1265&lt;&gt;$O1265,0,IF(Q1265&lt;Matchup!$C$39,7,IF(Q1265&lt;Matchup!$C$39+Matchup!$C$40,3,0)))</f>
        <v>0</v>
      </c>
      <c r="T1265" s="0" t="n">
        <f aca="false">I1265+R1265</f>
        <v>45</v>
      </c>
      <c r="U1265" s="0" t="n">
        <f aca="false">O1265+S1265</f>
        <v>30</v>
      </c>
      <c r="V1265" s="0" t="n">
        <f aca="false">T1265-U1265</f>
        <v>15</v>
      </c>
      <c r="W1265" s="0" t="n">
        <f aca="false">T1265+U1265</f>
        <v>75</v>
      </c>
    </row>
    <row r="1266" customFormat="false" ht="15" hidden="false" customHeight="false" outlineLevel="0" collapsed="false">
      <c r="A1266" s="0" t="n">
        <v>1263</v>
      </c>
      <c r="B1266" s="0" t="n">
        <f aca="true">NORMINV(RAND(),1,Coefficients!$B$22)</f>
        <v>0.95951444799741</v>
      </c>
      <c r="C1266" s="0" t="n">
        <f aca="true">MEDIAN(8,16,ROUND(NORMINV(RAND(),Coefficients!$B$20,Coefficients!$B$21),0))</f>
        <v>12</v>
      </c>
      <c r="D1266" s="0" t="n">
        <f aca="true">CRITBINOM($C1266,MIN(0.75,Matchup!$B$39*$B1266),RAND())</f>
        <v>4</v>
      </c>
      <c r="E1266" s="0" t="n">
        <f aca="true">CRITBINOM(D1266,Coefficients!$B$30,RAND())</f>
        <v>2</v>
      </c>
      <c r="F1266" s="0" t="n">
        <f aca="true">CRITBINOM(E1266,Coefficients!$B$31,RAND())</f>
        <v>1</v>
      </c>
      <c r="G1266" s="0" t="n">
        <f aca="true">CRITBINOM(MAX(0,D1266-E1266),1-Coefficients!$B$32,RAND())</f>
        <v>0</v>
      </c>
      <c r="H1266" s="0" t="n">
        <f aca="true">CRITBINOM(MAX(0,$C1266-D1266),MIN(0.6,Matchup!$B$40*SQRT($B1266)/(1-MIN(0.75,Matchup!$B$39*$B1266))),RAND())</f>
        <v>1</v>
      </c>
      <c r="I1266" s="0" t="n">
        <f aca="false">6*D1266+(D1266-E1266-G1266)+2*F1266+3*H1266</f>
        <v>31</v>
      </c>
      <c r="J1266" s="0" t="n">
        <f aca="true">CRITBINOM($C1266,MIN(0.75,Matchup!$C$39*$B1266),RAND())</f>
        <v>1</v>
      </c>
      <c r="K1266" s="0" t="n">
        <f aca="true">CRITBINOM(J1266,Coefficients!$B$30,RAND())</f>
        <v>0</v>
      </c>
      <c r="L1266" s="0" t="n">
        <f aca="true">CRITBINOM(K1266,Coefficients!$B$31,RAND())</f>
        <v>0</v>
      </c>
      <c r="M1266" s="0" t="n">
        <f aca="true">CRITBINOM(MAX(0,J1266-K1266),1-Coefficients!$B$32,RAND())</f>
        <v>0</v>
      </c>
      <c r="N1266" s="0" t="n">
        <f aca="true">CRITBINOM(MAX(0,$C1266-J1266),MIN(0.6,Matchup!$C$40*SQRT($B1266)/(1-MIN(0.75,Matchup!$C$39*$B1266))),RAND())</f>
        <v>1</v>
      </c>
      <c r="O1266" s="0" t="n">
        <f aca="false">6*J1266+(J1266-K1266-M1266)+2*L1266+3*N1266</f>
        <v>10</v>
      </c>
      <c r="P1266" s="0" t="n">
        <f aca="true">RAND()</f>
        <v>0.505117768319184</v>
      </c>
      <c r="Q1266" s="0" t="n">
        <f aca="true">RAND()</f>
        <v>0.104117943392697</v>
      </c>
      <c r="R1266" s="0" t="n">
        <f aca="false">IF($I1266&lt;&gt;$O1266,0,IF(P1266&lt;Matchup!$B$39,7,IF(P1266&lt;Matchup!$B$39+Matchup!$B$40,3,0)))</f>
        <v>0</v>
      </c>
      <c r="S1266" s="0" t="n">
        <f aca="false">IF($I1266&lt;&gt;$O1266,0,IF(Q1266&lt;Matchup!$C$39,7,IF(Q1266&lt;Matchup!$C$39+Matchup!$C$40,3,0)))</f>
        <v>0</v>
      </c>
      <c r="T1266" s="0" t="n">
        <f aca="false">I1266+R1266</f>
        <v>31</v>
      </c>
      <c r="U1266" s="0" t="n">
        <f aca="false">O1266+S1266</f>
        <v>10</v>
      </c>
      <c r="V1266" s="0" t="n">
        <f aca="false">T1266-U1266</f>
        <v>21</v>
      </c>
      <c r="W1266" s="0" t="n">
        <f aca="false">T1266+U1266</f>
        <v>41</v>
      </c>
    </row>
    <row r="1267" customFormat="false" ht="15" hidden="false" customHeight="false" outlineLevel="0" collapsed="false">
      <c r="A1267" s="0" t="n">
        <v>1264</v>
      </c>
      <c r="B1267" s="0" t="n">
        <f aca="true">NORMINV(RAND(),1,Coefficients!$B$22)</f>
        <v>0.912529187470355</v>
      </c>
      <c r="C1267" s="0" t="n">
        <f aca="true">MEDIAN(8,16,ROUND(NORMINV(RAND(),Coefficients!$B$20,Coefficients!$B$21),0))</f>
        <v>14</v>
      </c>
      <c r="D1267" s="0" t="n">
        <f aca="true">CRITBINOM($C1267,MIN(0.75,Matchup!$B$39*$B1267),RAND())</f>
        <v>4</v>
      </c>
      <c r="E1267" s="0" t="n">
        <f aca="true">CRITBINOM(D1267,Coefficients!$B$30,RAND())</f>
        <v>0</v>
      </c>
      <c r="F1267" s="0" t="n">
        <f aca="true">CRITBINOM(E1267,Coefficients!$B$31,RAND())</f>
        <v>0</v>
      </c>
      <c r="G1267" s="0" t="n">
        <f aca="true">CRITBINOM(MAX(0,D1267-E1267),1-Coefficients!$B$32,RAND())</f>
        <v>2</v>
      </c>
      <c r="H1267" s="0" t="n">
        <f aca="true">CRITBINOM(MAX(0,$C1267-D1267),MIN(0.6,Matchup!$B$40*SQRT($B1267)/(1-MIN(0.75,Matchup!$B$39*$B1267))),RAND())</f>
        <v>2</v>
      </c>
      <c r="I1267" s="0" t="n">
        <f aca="false">6*D1267+(D1267-E1267-G1267)+2*F1267+3*H1267</f>
        <v>32</v>
      </c>
      <c r="J1267" s="0" t="n">
        <f aca="true">CRITBINOM($C1267,MIN(0.75,Matchup!$C$39*$B1267),RAND())</f>
        <v>2</v>
      </c>
      <c r="K1267" s="0" t="n">
        <f aca="true">CRITBINOM(J1267,Coefficients!$B$30,RAND())</f>
        <v>0</v>
      </c>
      <c r="L1267" s="0" t="n">
        <f aca="true">CRITBINOM(K1267,Coefficients!$B$31,RAND())</f>
        <v>0</v>
      </c>
      <c r="M1267" s="0" t="n">
        <f aca="true">CRITBINOM(MAX(0,J1267-K1267),1-Coefficients!$B$32,RAND())</f>
        <v>0</v>
      </c>
      <c r="N1267" s="0" t="n">
        <f aca="true">CRITBINOM(MAX(0,$C1267-J1267),MIN(0.6,Matchup!$C$40*SQRT($B1267)/(1-MIN(0.75,Matchup!$C$39*$B1267))),RAND())</f>
        <v>2</v>
      </c>
      <c r="O1267" s="0" t="n">
        <f aca="false">6*J1267+(J1267-K1267-M1267)+2*L1267+3*N1267</f>
        <v>20</v>
      </c>
      <c r="P1267" s="0" t="n">
        <f aca="true">RAND()</f>
        <v>0.0877274077843161</v>
      </c>
      <c r="Q1267" s="0" t="n">
        <f aca="true">RAND()</f>
        <v>0.265450349076959</v>
      </c>
      <c r="R1267" s="0" t="n">
        <f aca="false">IF($I1267&lt;&gt;$O1267,0,IF(P1267&lt;Matchup!$B$39,7,IF(P1267&lt;Matchup!$B$39+Matchup!$B$40,3,0)))</f>
        <v>0</v>
      </c>
      <c r="S1267" s="0" t="n">
        <f aca="false">IF($I1267&lt;&gt;$O1267,0,IF(Q1267&lt;Matchup!$C$39,7,IF(Q1267&lt;Matchup!$C$39+Matchup!$C$40,3,0)))</f>
        <v>0</v>
      </c>
      <c r="T1267" s="0" t="n">
        <f aca="false">I1267+R1267</f>
        <v>32</v>
      </c>
      <c r="U1267" s="0" t="n">
        <f aca="false">O1267+S1267</f>
        <v>20</v>
      </c>
      <c r="V1267" s="0" t="n">
        <f aca="false">T1267-U1267</f>
        <v>12</v>
      </c>
      <c r="W1267" s="0" t="n">
        <f aca="false">T1267+U1267</f>
        <v>52</v>
      </c>
    </row>
    <row r="1268" customFormat="false" ht="15" hidden="false" customHeight="false" outlineLevel="0" collapsed="false">
      <c r="A1268" s="0" t="n">
        <v>1265</v>
      </c>
      <c r="B1268" s="0" t="n">
        <f aca="true">NORMINV(RAND(),1,Coefficients!$B$22)</f>
        <v>0.977051172897198</v>
      </c>
      <c r="C1268" s="0" t="n">
        <f aca="true">MEDIAN(8,16,ROUND(NORMINV(RAND(),Coefficients!$B$20,Coefficients!$B$21),0))</f>
        <v>11</v>
      </c>
      <c r="D1268" s="0" t="n">
        <f aca="true">CRITBINOM($C1268,MIN(0.75,Matchup!$B$39*$B1268),RAND())</f>
        <v>1</v>
      </c>
      <c r="E1268" s="0" t="n">
        <f aca="true">CRITBINOM(D1268,Coefficients!$B$30,RAND())</f>
        <v>0</v>
      </c>
      <c r="F1268" s="0" t="n">
        <f aca="true">CRITBINOM(E1268,Coefficients!$B$31,RAND())</f>
        <v>0</v>
      </c>
      <c r="G1268" s="0" t="n">
        <f aca="true">CRITBINOM(MAX(0,D1268-E1268),1-Coefficients!$B$32,RAND())</f>
        <v>0</v>
      </c>
      <c r="H1268" s="0" t="n">
        <f aca="true">CRITBINOM(MAX(0,$C1268-D1268),MIN(0.6,Matchup!$B$40*SQRT($B1268)/(1-MIN(0.75,Matchup!$B$39*$B1268))),RAND())</f>
        <v>1</v>
      </c>
      <c r="I1268" s="0" t="n">
        <f aca="false">6*D1268+(D1268-E1268-G1268)+2*F1268+3*H1268</f>
        <v>10</v>
      </c>
      <c r="J1268" s="0" t="n">
        <f aca="true">CRITBINOM($C1268,MIN(0.75,Matchup!$C$39*$B1268),RAND())</f>
        <v>1</v>
      </c>
      <c r="K1268" s="0" t="n">
        <f aca="true">CRITBINOM(J1268,Coefficients!$B$30,RAND())</f>
        <v>0</v>
      </c>
      <c r="L1268" s="0" t="n">
        <f aca="true">CRITBINOM(K1268,Coefficients!$B$31,RAND())</f>
        <v>0</v>
      </c>
      <c r="M1268" s="0" t="n">
        <f aca="true">CRITBINOM(MAX(0,J1268-K1268),1-Coefficients!$B$32,RAND())</f>
        <v>0</v>
      </c>
      <c r="N1268" s="0" t="n">
        <f aca="true">CRITBINOM(MAX(0,$C1268-J1268),MIN(0.6,Matchup!$C$40*SQRT($B1268)/(1-MIN(0.75,Matchup!$C$39*$B1268))),RAND())</f>
        <v>2</v>
      </c>
      <c r="O1268" s="0" t="n">
        <f aca="false">6*J1268+(J1268-K1268-M1268)+2*L1268+3*N1268</f>
        <v>13</v>
      </c>
      <c r="P1268" s="0" t="n">
        <f aca="true">RAND()</f>
        <v>0.440300738500458</v>
      </c>
      <c r="Q1268" s="0" t="n">
        <f aca="true">RAND()</f>
        <v>0.510241920509993</v>
      </c>
      <c r="R1268" s="0" t="n">
        <f aca="false">IF($I1268&lt;&gt;$O1268,0,IF(P1268&lt;Matchup!$B$39,7,IF(P1268&lt;Matchup!$B$39+Matchup!$B$40,3,0)))</f>
        <v>0</v>
      </c>
      <c r="S1268" s="0" t="n">
        <f aca="false">IF($I1268&lt;&gt;$O1268,0,IF(Q1268&lt;Matchup!$C$39,7,IF(Q1268&lt;Matchup!$C$39+Matchup!$C$40,3,0)))</f>
        <v>0</v>
      </c>
      <c r="T1268" s="0" t="n">
        <f aca="false">I1268+R1268</f>
        <v>10</v>
      </c>
      <c r="U1268" s="0" t="n">
        <f aca="false">O1268+S1268</f>
        <v>13</v>
      </c>
      <c r="V1268" s="0" t="n">
        <f aca="false">T1268-U1268</f>
        <v>-3</v>
      </c>
      <c r="W1268" s="0" t="n">
        <f aca="false">T1268+U1268</f>
        <v>23</v>
      </c>
    </row>
    <row r="1269" customFormat="false" ht="15" hidden="false" customHeight="false" outlineLevel="0" collapsed="false">
      <c r="A1269" s="0" t="n">
        <v>1266</v>
      </c>
      <c r="B1269" s="0" t="n">
        <f aca="true">NORMINV(RAND(),1,Coefficients!$B$22)</f>
        <v>1.00926413060755</v>
      </c>
      <c r="C1269" s="0" t="n">
        <f aca="true">MEDIAN(8,16,ROUND(NORMINV(RAND(),Coefficients!$B$20,Coefficients!$B$21),0))</f>
        <v>9</v>
      </c>
      <c r="D1269" s="0" t="n">
        <f aca="true">CRITBINOM($C1269,MIN(0.75,Matchup!$B$39*$B1269),RAND())</f>
        <v>2</v>
      </c>
      <c r="E1269" s="0" t="n">
        <f aca="true">CRITBINOM(D1269,Coefficients!$B$30,RAND())</f>
        <v>1</v>
      </c>
      <c r="F1269" s="0" t="n">
        <f aca="true">CRITBINOM(E1269,Coefficients!$B$31,RAND())</f>
        <v>1</v>
      </c>
      <c r="G1269" s="0" t="n">
        <f aca="true">CRITBINOM(MAX(0,D1269-E1269),1-Coefficients!$B$32,RAND())</f>
        <v>0</v>
      </c>
      <c r="H1269" s="0" t="n">
        <f aca="true">CRITBINOM(MAX(0,$C1269-D1269),MIN(0.6,Matchup!$B$40*SQRT($B1269)/(1-MIN(0.75,Matchup!$B$39*$B1269))),RAND())</f>
        <v>2</v>
      </c>
      <c r="I1269" s="0" t="n">
        <f aca="false">6*D1269+(D1269-E1269-G1269)+2*F1269+3*H1269</f>
        <v>21</v>
      </c>
      <c r="J1269" s="0" t="n">
        <f aca="true">CRITBINOM($C1269,MIN(0.75,Matchup!$C$39*$B1269),RAND())</f>
        <v>4</v>
      </c>
      <c r="K1269" s="0" t="n">
        <f aca="true">CRITBINOM(J1269,Coefficients!$B$30,RAND())</f>
        <v>0</v>
      </c>
      <c r="L1269" s="0" t="n">
        <f aca="true">CRITBINOM(K1269,Coefficients!$B$31,RAND())</f>
        <v>0</v>
      </c>
      <c r="M1269" s="0" t="n">
        <f aca="true">CRITBINOM(MAX(0,J1269-K1269),1-Coefficients!$B$32,RAND())</f>
        <v>0</v>
      </c>
      <c r="N1269" s="0" t="n">
        <f aca="true">CRITBINOM(MAX(0,$C1269-J1269),MIN(0.6,Matchup!$C$40*SQRT($B1269)/(1-MIN(0.75,Matchup!$C$39*$B1269))),RAND())</f>
        <v>1</v>
      </c>
      <c r="O1269" s="0" t="n">
        <f aca="false">6*J1269+(J1269-K1269-M1269)+2*L1269+3*N1269</f>
        <v>31</v>
      </c>
      <c r="P1269" s="0" t="n">
        <f aca="true">RAND()</f>
        <v>0.145151995482586</v>
      </c>
      <c r="Q1269" s="0" t="n">
        <f aca="true">RAND()</f>
        <v>0.758276412049243</v>
      </c>
      <c r="R1269" s="0" t="n">
        <f aca="false">IF($I1269&lt;&gt;$O1269,0,IF(P1269&lt;Matchup!$B$39,7,IF(P1269&lt;Matchup!$B$39+Matchup!$B$40,3,0)))</f>
        <v>0</v>
      </c>
      <c r="S1269" s="0" t="n">
        <f aca="false">IF($I1269&lt;&gt;$O1269,0,IF(Q1269&lt;Matchup!$C$39,7,IF(Q1269&lt;Matchup!$C$39+Matchup!$C$40,3,0)))</f>
        <v>0</v>
      </c>
      <c r="T1269" s="0" t="n">
        <f aca="false">I1269+R1269</f>
        <v>21</v>
      </c>
      <c r="U1269" s="0" t="n">
        <f aca="false">O1269+S1269</f>
        <v>31</v>
      </c>
      <c r="V1269" s="0" t="n">
        <f aca="false">T1269-U1269</f>
        <v>-10</v>
      </c>
      <c r="W1269" s="0" t="n">
        <f aca="false">T1269+U1269</f>
        <v>52</v>
      </c>
    </row>
    <row r="1270" customFormat="false" ht="15" hidden="false" customHeight="false" outlineLevel="0" collapsed="false">
      <c r="A1270" s="0" t="n">
        <v>1267</v>
      </c>
      <c r="B1270" s="0" t="n">
        <f aca="true">NORMINV(RAND(),1,Coefficients!$B$22)</f>
        <v>1.03048245592544</v>
      </c>
      <c r="C1270" s="0" t="n">
        <f aca="true">MEDIAN(8,16,ROUND(NORMINV(RAND(),Coefficients!$B$20,Coefficients!$B$21),0))</f>
        <v>12</v>
      </c>
      <c r="D1270" s="0" t="n">
        <f aca="true">CRITBINOM($C1270,MIN(0.75,Matchup!$B$39*$B1270),RAND())</f>
        <v>5</v>
      </c>
      <c r="E1270" s="0" t="n">
        <f aca="true">CRITBINOM(D1270,Coefficients!$B$30,RAND())</f>
        <v>0</v>
      </c>
      <c r="F1270" s="0" t="n">
        <f aca="true">CRITBINOM(E1270,Coefficients!$B$31,RAND())</f>
        <v>0</v>
      </c>
      <c r="G1270" s="0" t="n">
        <f aca="true">CRITBINOM(MAX(0,D1270-E1270),1-Coefficients!$B$32,RAND())</f>
        <v>0</v>
      </c>
      <c r="H1270" s="0" t="n">
        <f aca="true">CRITBINOM(MAX(0,$C1270-D1270),MIN(0.6,Matchup!$B$40*SQRT($B1270)/(1-MIN(0.75,Matchup!$B$39*$B1270))),RAND())</f>
        <v>1</v>
      </c>
      <c r="I1270" s="0" t="n">
        <f aca="false">6*D1270+(D1270-E1270-G1270)+2*F1270+3*H1270</f>
        <v>38</v>
      </c>
      <c r="J1270" s="0" t="n">
        <f aca="true">CRITBINOM($C1270,MIN(0.75,Matchup!$C$39*$B1270),RAND())</f>
        <v>5</v>
      </c>
      <c r="K1270" s="0" t="n">
        <f aca="true">CRITBINOM(J1270,Coefficients!$B$30,RAND())</f>
        <v>0</v>
      </c>
      <c r="L1270" s="0" t="n">
        <f aca="true">CRITBINOM(K1270,Coefficients!$B$31,RAND())</f>
        <v>0</v>
      </c>
      <c r="M1270" s="0" t="n">
        <f aca="true">CRITBINOM(MAX(0,J1270-K1270),1-Coefficients!$B$32,RAND())</f>
        <v>0</v>
      </c>
      <c r="N1270" s="0" t="n">
        <f aca="true">CRITBINOM(MAX(0,$C1270-J1270),MIN(0.6,Matchup!$C$40*SQRT($B1270)/(1-MIN(0.75,Matchup!$C$39*$B1270))),RAND())</f>
        <v>0</v>
      </c>
      <c r="O1270" s="0" t="n">
        <f aca="false">6*J1270+(J1270-K1270-M1270)+2*L1270+3*N1270</f>
        <v>35</v>
      </c>
      <c r="P1270" s="0" t="n">
        <f aca="true">RAND()</f>
        <v>0.962439220953817</v>
      </c>
      <c r="Q1270" s="0" t="n">
        <f aca="true">RAND()</f>
        <v>0.897311345617537</v>
      </c>
      <c r="R1270" s="0" t="n">
        <f aca="false">IF($I1270&lt;&gt;$O1270,0,IF(P1270&lt;Matchup!$B$39,7,IF(P1270&lt;Matchup!$B$39+Matchup!$B$40,3,0)))</f>
        <v>0</v>
      </c>
      <c r="S1270" s="0" t="n">
        <f aca="false">IF($I1270&lt;&gt;$O1270,0,IF(Q1270&lt;Matchup!$C$39,7,IF(Q1270&lt;Matchup!$C$39+Matchup!$C$40,3,0)))</f>
        <v>0</v>
      </c>
      <c r="T1270" s="0" t="n">
        <f aca="false">I1270+R1270</f>
        <v>38</v>
      </c>
      <c r="U1270" s="0" t="n">
        <f aca="false">O1270+S1270</f>
        <v>35</v>
      </c>
      <c r="V1270" s="0" t="n">
        <f aca="false">T1270-U1270</f>
        <v>3</v>
      </c>
      <c r="W1270" s="0" t="n">
        <f aca="false">T1270+U1270</f>
        <v>73</v>
      </c>
    </row>
    <row r="1271" customFormat="false" ht="15" hidden="false" customHeight="false" outlineLevel="0" collapsed="false">
      <c r="A1271" s="0" t="n">
        <v>1268</v>
      </c>
      <c r="B1271" s="0" t="n">
        <f aca="true">NORMINV(RAND(),1,Coefficients!$B$22)</f>
        <v>1.15576690244387</v>
      </c>
      <c r="C1271" s="0" t="n">
        <f aca="true">MEDIAN(8,16,ROUND(NORMINV(RAND(),Coefficients!$B$20,Coefficients!$B$21),0))</f>
        <v>14</v>
      </c>
      <c r="D1271" s="0" t="n">
        <f aca="true">CRITBINOM($C1271,MIN(0.75,Matchup!$B$39*$B1271),RAND())</f>
        <v>8</v>
      </c>
      <c r="E1271" s="0" t="n">
        <f aca="true">CRITBINOM(D1271,Coefficients!$B$30,RAND())</f>
        <v>0</v>
      </c>
      <c r="F1271" s="0" t="n">
        <f aca="true">CRITBINOM(E1271,Coefficients!$B$31,RAND())</f>
        <v>0</v>
      </c>
      <c r="G1271" s="0" t="n">
        <f aca="true">CRITBINOM(MAX(0,D1271-E1271),1-Coefficients!$B$32,RAND())</f>
        <v>0</v>
      </c>
      <c r="H1271" s="0" t="n">
        <f aca="true">CRITBINOM(MAX(0,$C1271-D1271),MIN(0.6,Matchup!$B$40*SQRT($B1271)/(1-MIN(0.75,Matchup!$B$39*$B1271))),RAND())</f>
        <v>0</v>
      </c>
      <c r="I1271" s="0" t="n">
        <f aca="false">6*D1271+(D1271-E1271-G1271)+2*F1271+3*H1271</f>
        <v>56</v>
      </c>
      <c r="J1271" s="0" t="n">
        <f aca="true">CRITBINOM($C1271,MIN(0.75,Matchup!$C$39*$B1271),RAND())</f>
        <v>5</v>
      </c>
      <c r="K1271" s="0" t="n">
        <f aca="true">CRITBINOM(J1271,Coefficients!$B$30,RAND())</f>
        <v>0</v>
      </c>
      <c r="L1271" s="0" t="n">
        <f aca="true">CRITBINOM(K1271,Coefficients!$B$31,RAND())</f>
        <v>0</v>
      </c>
      <c r="M1271" s="0" t="n">
        <f aca="true">CRITBINOM(MAX(0,J1271-K1271),1-Coefficients!$B$32,RAND())</f>
        <v>0</v>
      </c>
      <c r="N1271" s="0" t="n">
        <f aca="true">CRITBINOM(MAX(0,$C1271-J1271),MIN(0.6,Matchup!$C$40*SQRT($B1271)/(1-MIN(0.75,Matchup!$C$39*$B1271))),RAND())</f>
        <v>1</v>
      </c>
      <c r="O1271" s="0" t="n">
        <f aca="false">6*J1271+(J1271-K1271-M1271)+2*L1271+3*N1271</f>
        <v>38</v>
      </c>
      <c r="P1271" s="0" t="n">
        <f aca="true">RAND()</f>
        <v>0.90046383061074</v>
      </c>
      <c r="Q1271" s="0" t="n">
        <f aca="true">RAND()</f>
        <v>0.810097685581468</v>
      </c>
      <c r="R1271" s="0" t="n">
        <f aca="false">IF($I1271&lt;&gt;$O1271,0,IF(P1271&lt;Matchup!$B$39,7,IF(P1271&lt;Matchup!$B$39+Matchup!$B$40,3,0)))</f>
        <v>0</v>
      </c>
      <c r="S1271" s="0" t="n">
        <f aca="false">IF($I1271&lt;&gt;$O1271,0,IF(Q1271&lt;Matchup!$C$39,7,IF(Q1271&lt;Matchup!$C$39+Matchup!$C$40,3,0)))</f>
        <v>0</v>
      </c>
      <c r="T1271" s="0" t="n">
        <f aca="false">I1271+R1271</f>
        <v>56</v>
      </c>
      <c r="U1271" s="0" t="n">
        <f aca="false">O1271+S1271</f>
        <v>38</v>
      </c>
      <c r="V1271" s="0" t="n">
        <f aca="false">T1271-U1271</f>
        <v>18</v>
      </c>
      <c r="W1271" s="0" t="n">
        <f aca="false">T1271+U1271</f>
        <v>94</v>
      </c>
    </row>
    <row r="1272" customFormat="false" ht="15" hidden="false" customHeight="false" outlineLevel="0" collapsed="false">
      <c r="A1272" s="0" t="n">
        <v>1269</v>
      </c>
      <c r="B1272" s="0" t="n">
        <f aca="true">NORMINV(RAND(),1,Coefficients!$B$22)</f>
        <v>1.10481753087505</v>
      </c>
      <c r="C1272" s="0" t="n">
        <f aca="true">MEDIAN(8,16,ROUND(NORMINV(RAND(),Coefficients!$B$20,Coefficients!$B$21),0))</f>
        <v>12</v>
      </c>
      <c r="D1272" s="0" t="n">
        <f aca="true">CRITBINOM($C1272,MIN(0.75,Matchup!$B$39*$B1272),RAND())</f>
        <v>3</v>
      </c>
      <c r="E1272" s="0" t="n">
        <f aca="true">CRITBINOM(D1272,Coefficients!$B$30,RAND())</f>
        <v>0</v>
      </c>
      <c r="F1272" s="0" t="n">
        <f aca="true">CRITBINOM(E1272,Coefficients!$B$31,RAND())</f>
        <v>0</v>
      </c>
      <c r="G1272" s="0" t="n">
        <f aca="true">CRITBINOM(MAX(0,D1272-E1272),1-Coefficients!$B$32,RAND())</f>
        <v>0</v>
      </c>
      <c r="H1272" s="0" t="n">
        <f aca="true">CRITBINOM(MAX(0,$C1272-D1272),MIN(0.6,Matchup!$B$40*SQRT($B1272)/(1-MIN(0.75,Matchup!$B$39*$B1272))),RAND())</f>
        <v>4</v>
      </c>
      <c r="I1272" s="0" t="n">
        <f aca="false">6*D1272+(D1272-E1272-G1272)+2*F1272+3*H1272</f>
        <v>33</v>
      </c>
      <c r="J1272" s="0" t="n">
        <f aca="true">CRITBINOM($C1272,MIN(0.75,Matchup!$C$39*$B1272),RAND())</f>
        <v>2</v>
      </c>
      <c r="K1272" s="0" t="n">
        <f aca="true">CRITBINOM(J1272,Coefficients!$B$30,RAND())</f>
        <v>0</v>
      </c>
      <c r="L1272" s="0" t="n">
        <f aca="true">CRITBINOM(K1272,Coefficients!$B$31,RAND())</f>
        <v>0</v>
      </c>
      <c r="M1272" s="0" t="n">
        <f aca="true">CRITBINOM(MAX(0,J1272-K1272),1-Coefficients!$B$32,RAND())</f>
        <v>0</v>
      </c>
      <c r="N1272" s="0" t="n">
        <f aca="true">CRITBINOM(MAX(0,$C1272-J1272),MIN(0.6,Matchup!$C$40*SQRT($B1272)/(1-MIN(0.75,Matchup!$C$39*$B1272))),RAND())</f>
        <v>3</v>
      </c>
      <c r="O1272" s="0" t="n">
        <f aca="false">6*J1272+(J1272-K1272-M1272)+2*L1272+3*N1272</f>
        <v>23</v>
      </c>
      <c r="P1272" s="0" t="n">
        <f aca="true">RAND()</f>
        <v>0.118670980089927</v>
      </c>
      <c r="Q1272" s="0" t="n">
        <f aca="true">RAND()</f>
        <v>0.990077803430273</v>
      </c>
      <c r="R1272" s="0" t="n">
        <f aca="false">IF($I1272&lt;&gt;$O1272,0,IF(P1272&lt;Matchup!$B$39,7,IF(P1272&lt;Matchup!$B$39+Matchup!$B$40,3,0)))</f>
        <v>0</v>
      </c>
      <c r="S1272" s="0" t="n">
        <f aca="false">IF($I1272&lt;&gt;$O1272,0,IF(Q1272&lt;Matchup!$C$39,7,IF(Q1272&lt;Matchup!$C$39+Matchup!$C$40,3,0)))</f>
        <v>0</v>
      </c>
      <c r="T1272" s="0" t="n">
        <f aca="false">I1272+R1272</f>
        <v>33</v>
      </c>
      <c r="U1272" s="0" t="n">
        <f aca="false">O1272+S1272</f>
        <v>23</v>
      </c>
      <c r="V1272" s="0" t="n">
        <f aca="false">T1272-U1272</f>
        <v>10</v>
      </c>
      <c r="W1272" s="0" t="n">
        <f aca="false">T1272+U1272</f>
        <v>56</v>
      </c>
    </row>
    <row r="1273" customFormat="false" ht="15" hidden="false" customHeight="false" outlineLevel="0" collapsed="false">
      <c r="A1273" s="0" t="n">
        <v>1270</v>
      </c>
      <c r="B1273" s="0" t="n">
        <f aca="true">NORMINV(RAND(),1,Coefficients!$B$22)</f>
        <v>1.05599062707852</v>
      </c>
      <c r="C1273" s="0" t="n">
        <f aca="true">MEDIAN(8,16,ROUND(NORMINV(RAND(),Coefficients!$B$20,Coefficients!$B$21),0))</f>
        <v>11</v>
      </c>
      <c r="D1273" s="0" t="n">
        <f aca="true">CRITBINOM($C1273,MIN(0.75,Matchup!$B$39*$B1273),RAND())</f>
        <v>1</v>
      </c>
      <c r="E1273" s="0" t="n">
        <f aca="true">CRITBINOM(D1273,Coefficients!$B$30,RAND())</f>
        <v>1</v>
      </c>
      <c r="F1273" s="0" t="n">
        <f aca="true">CRITBINOM(E1273,Coefficients!$B$31,RAND())</f>
        <v>1</v>
      </c>
      <c r="G1273" s="0" t="n">
        <f aca="true">CRITBINOM(MAX(0,D1273-E1273),1-Coefficients!$B$32,RAND())</f>
        <v>0</v>
      </c>
      <c r="H1273" s="0" t="n">
        <f aca="true">CRITBINOM(MAX(0,$C1273-D1273),MIN(0.6,Matchup!$B$40*SQRT($B1273)/(1-MIN(0.75,Matchup!$B$39*$B1273))),RAND())</f>
        <v>2</v>
      </c>
      <c r="I1273" s="0" t="n">
        <f aca="false">6*D1273+(D1273-E1273-G1273)+2*F1273+3*H1273</f>
        <v>14</v>
      </c>
      <c r="J1273" s="0" t="n">
        <f aca="true">CRITBINOM($C1273,MIN(0.75,Matchup!$C$39*$B1273),RAND())</f>
        <v>2</v>
      </c>
      <c r="K1273" s="0" t="n">
        <f aca="true">CRITBINOM(J1273,Coefficients!$B$30,RAND())</f>
        <v>0</v>
      </c>
      <c r="L1273" s="0" t="n">
        <f aca="true">CRITBINOM(K1273,Coefficients!$B$31,RAND())</f>
        <v>0</v>
      </c>
      <c r="M1273" s="0" t="n">
        <f aca="true">CRITBINOM(MAX(0,J1273-K1273),1-Coefficients!$B$32,RAND())</f>
        <v>0</v>
      </c>
      <c r="N1273" s="0" t="n">
        <f aca="true">CRITBINOM(MAX(0,$C1273-J1273),MIN(0.6,Matchup!$C$40*SQRT($B1273)/(1-MIN(0.75,Matchup!$C$39*$B1273))),RAND())</f>
        <v>0</v>
      </c>
      <c r="O1273" s="0" t="n">
        <f aca="false">6*J1273+(J1273-K1273-M1273)+2*L1273+3*N1273</f>
        <v>14</v>
      </c>
      <c r="P1273" s="0" t="n">
        <f aca="true">RAND()</f>
        <v>0.176384515875902</v>
      </c>
      <c r="Q1273" s="0" t="n">
        <f aca="true">RAND()</f>
        <v>0.404654467807613</v>
      </c>
      <c r="R1273" s="0" t="n">
        <f aca="false">IF($I1273&lt;&gt;$O1273,0,IF(P1273&lt;Matchup!$B$39,7,IF(P1273&lt;Matchup!$B$39+Matchup!$B$40,3,0)))</f>
        <v>7</v>
      </c>
      <c r="S1273" s="0" t="n">
        <f aca="false">IF($I1273&lt;&gt;$O1273,0,IF(Q1273&lt;Matchup!$C$39,7,IF(Q1273&lt;Matchup!$C$39+Matchup!$C$40,3,0)))</f>
        <v>0</v>
      </c>
      <c r="T1273" s="0" t="n">
        <f aca="false">I1273+R1273</f>
        <v>21</v>
      </c>
      <c r="U1273" s="0" t="n">
        <f aca="false">O1273+S1273</f>
        <v>14</v>
      </c>
      <c r="V1273" s="0" t="n">
        <f aca="false">T1273-U1273</f>
        <v>7</v>
      </c>
      <c r="W1273" s="0" t="n">
        <f aca="false">T1273+U1273</f>
        <v>35</v>
      </c>
    </row>
    <row r="1274" customFormat="false" ht="15" hidden="false" customHeight="false" outlineLevel="0" collapsed="false">
      <c r="A1274" s="0" t="n">
        <v>1271</v>
      </c>
      <c r="B1274" s="0" t="n">
        <f aca="true">NORMINV(RAND(),1,Coefficients!$B$22)</f>
        <v>1.15021572542134</v>
      </c>
      <c r="C1274" s="0" t="n">
        <f aca="true">MEDIAN(8,16,ROUND(NORMINV(RAND(),Coefficients!$B$20,Coefficients!$B$21),0))</f>
        <v>9</v>
      </c>
      <c r="D1274" s="0" t="n">
        <f aca="true">CRITBINOM($C1274,MIN(0.75,Matchup!$B$39*$B1274),RAND())</f>
        <v>3</v>
      </c>
      <c r="E1274" s="0" t="n">
        <f aca="true">CRITBINOM(D1274,Coefficients!$B$30,RAND())</f>
        <v>0</v>
      </c>
      <c r="F1274" s="0" t="n">
        <f aca="true">CRITBINOM(E1274,Coefficients!$B$31,RAND())</f>
        <v>0</v>
      </c>
      <c r="G1274" s="0" t="n">
        <f aca="true">CRITBINOM(MAX(0,D1274-E1274),1-Coefficients!$B$32,RAND())</f>
        <v>0</v>
      </c>
      <c r="H1274" s="0" t="n">
        <f aca="true">CRITBINOM(MAX(0,$C1274-D1274),MIN(0.6,Matchup!$B$40*SQRT($B1274)/(1-MIN(0.75,Matchup!$B$39*$B1274))),RAND())</f>
        <v>2</v>
      </c>
      <c r="I1274" s="0" t="n">
        <f aca="false">6*D1274+(D1274-E1274-G1274)+2*F1274+3*H1274</f>
        <v>27</v>
      </c>
      <c r="J1274" s="0" t="n">
        <f aca="true">CRITBINOM($C1274,MIN(0.75,Matchup!$C$39*$B1274),RAND())</f>
        <v>4</v>
      </c>
      <c r="K1274" s="0" t="n">
        <f aca="true">CRITBINOM(J1274,Coefficients!$B$30,RAND())</f>
        <v>1</v>
      </c>
      <c r="L1274" s="0" t="n">
        <f aca="true">CRITBINOM(K1274,Coefficients!$B$31,RAND())</f>
        <v>0</v>
      </c>
      <c r="M1274" s="0" t="n">
        <f aca="true">CRITBINOM(MAX(0,J1274-K1274),1-Coefficients!$B$32,RAND())</f>
        <v>0</v>
      </c>
      <c r="N1274" s="0" t="n">
        <f aca="true">CRITBINOM(MAX(0,$C1274-J1274),MIN(0.6,Matchup!$C$40*SQRT($B1274)/(1-MIN(0.75,Matchup!$C$39*$B1274))),RAND())</f>
        <v>0</v>
      </c>
      <c r="O1274" s="0" t="n">
        <f aca="false">6*J1274+(J1274-K1274-M1274)+2*L1274+3*N1274</f>
        <v>27</v>
      </c>
      <c r="P1274" s="0" t="n">
        <f aca="true">RAND()</f>
        <v>0.897705444833856</v>
      </c>
      <c r="Q1274" s="0" t="n">
        <f aca="true">RAND()</f>
        <v>0.754585361397573</v>
      </c>
      <c r="R1274" s="0" t="n">
        <f aca="false">IF($I1274&lt;&gt;$O1274,0,IF(P1274&lt;Matchup!$B$39,7,IF(P1274&lt;Matchup!$B$39+Matchup!$B$40,3,0)))</f>
        <v>0</v>
      </c>
      <c r="S1274" s="0" t="n">
        <f aca="false">IF($I1274&lt;&gt;$O1274,0,IF(Q1274&lt;Matchup!$C$39,7,IF(Q1274&lt;Matchup!$C$39+Matchup!$C$40,3,0)))</f>
        <v>0</v>
      </c>
      <c r="T1274" s="0" t="n">
        <f aca="false">I1274+R1274</f>
        <v>27</v>
      </c>
      <c r="U1274" s="0" t="n">
        <f aca="false">O1274+S1274</f>
        <v>27</v>
      </c>
      <c r="V1274" s="0" t="n">
        <f aca="false">T1274-U1274</f>
        <v>0</v>
      </c>
      <c r="W1274" s="0" t="n">
        <f aca="false">T1274+U1274</f>
        <v>54</v>
      </c>
    </row>
    <row r="1275" customFormat="false" ht="15" hidden="false" customHeight="false" outlineLevel="0" collapsed="false">
      <c r="A1275" s="0" t="n">
        <v>1272</v>
      </c>
      <c r="B1275" s="0" t="n">
        <f aca="true">NORMINV(RAND(),1,Coefficients!$B$22)</f>
        <v>0.94868023539447</v>
      </c>
      <c r="C1275" s="0" t="n">
        <f aca="true">MEDIAN(8,16,ROUND(NORMINV(RAND(),Coefficients!$B$20,Coefficients!$B$21),0))</f>
        <v>13</v>
      </c>
      <c r="D1275" s="0" t="n">
        <f aca="true">CRITBINOM($C1275,MIN(0.75,Matchup!$B$39*$B1275),RAND())</f>
        <v>2</v>
      </c>
      <c r="E1275" s="0" t="n">
        <f aca="true">CRITBINOM(D1275,Coefficients!$B$30,RAND())</f>
        <v>0</v>
      </c>
      <c r="F1275" s="0" t="n">
        <f aca="true">CRITBINOM(E1275,Coefficients!$B$31,RAND())</f>
        <v>0</v>
      </c>
      <c r="G1275" s="0" t="n">
        <f aca="true">CRITBINOM(MAX(0,D1275-E1275),1-Coefficients!$B$32,RAND())</f>
        <v>0</v>
      </c>
      <c r="H1275" s="0" t="n">
        <f aca="true">CRITBINOM(MAX(0,$C1275-D1275),MIN(0.6,Matchup!$B$40*SQRT($B1275)/(1-MIN(0.75,Matchup!$B$39*$B1275))),RAND())</f>
        <v>1</v>
      </c>
      <c r="I1275" s="0" t="n">
        <f aca="false">6*D1275+(D1275-E1275-G1275)+2*F1275+3*H1275</f>
        <v>17</v>
      </c>
      <c r="J1275" s="0" t="n">
        <f aca="true">CRITBINOM($C1275,MIN(0.75,Matchup!$C$39*$B1275),RAND())</f>
        <v>1</v>
      </c>
      <c r="K1275" s="0" t="n">
        <f aca="true">CRITBINOM(J1275,Coefficients!$B$30,RAND())</f>
        <v>1</v>
      </c>
      <c r="L1275" s="0" t="n">
        <f aca="true">CRITBINOM(K1275,Coefficients!$B$31,RAND())</f>
        <v>1</v>
      </c>
      <c r="M1275" s="0" t="n">
        <f aca="true">CRITBINOM(MAX(0,J1275-K1275),1-Coefficients!$B$32,RAND())</f>
        <v>0</v>
      </c>
      <c r="N1275" s="0" t="n">
        <f aca="true">CRITBINOM(MAX(0,$C1275-J1275),MIN(0.6,Matchup!$C$40*SQRT($B1275)/(1-MIN(0.75,Matchup!$C$39*$B1275))),RAND())</f>
        <v>7</v>
      </c>
      <c r="O1275" s="0" t="n">
        <f aca="false">6*J1275+(J1275-K1275-M1275)+2*L1275+3*N1275</f>
        <v>29</v>
      </c>
      <c r="P1275" s="0" t="n">
        <f aca="true">RAND()</f>
        <v>0.216384805545842</v>
      </c>
      <c r="Q1275" s="0" t="n">
        <f aca="true">RAND()</f>
        <v>0.460922723236599</v>
      </c>
      <c r="R1275" s="0" t="n">
        <f aca="false">IF($I1275&lt;&gt;$O1275,0,IF(P1275&lt;Matchup!$B$39,7,IF(P1275&lt;Matchup!$B$39+Matchup!$B$40,3,0)))</f>
        <v>0</v>
      </c>
      <c r="S1275" s="0" t="n">
        <f aca="false">IF($I1275&lt;&gt;$O1275,0,IF(Q1275&lt;Matchup!$C$39,7,IF(Q1275&lt;Matchup!$C$39+Matchup!$C$40,3,0)))</f>
        <v>0</v>
      </c>
      <c r="T1275" s="0" t="n">
        <f aca="false">I1275+R1275</f>
        <v>17</v>
      </c>
      <c r="U1275" s="0" t="n">
        <f aca="false">O1275+S1275</f>
        <v>29</v>
      </c>
      <c r="V1275" s="0" t="n">
        <f aca="false">T1275-U1275</f>
        <v>-12</v>
      </c>
      <c r="W1275" s="0" t="n">
        <f aca="false">T1275+U1275</f>
        <v>46</v>
      </c>
    </row>
    <row r="1276" customFormat="false" ht="15" hidden="false" customHeight="false" outlineLevel="0" collapsed="false">
      <c r="A1276" s="0" t="n">
        <v>1273</v>
      </c>
      <c r="B1276" s="0" t="n">
        <f aca="true">NORMINV(RAND(),1,Coefficients!$B$22)</f>
        <v>1.17682255782325</v>
      </c>
      <c r="C1276" s="0" t="n">
        <f aca="true">MEDIAN(8,16,ROUND(NORMINV(RAND(),Coefficients!$B$20,Coefficients!$B$21),0))</f>
        <v>11</v>
      </c>
      <c r="D1276" s="0" t="n">
        <f aca="true">CRITBINOM($C1276,MIN(0.75,Matchup!$B$39*$B1276),RAND())</f>
        <v>2</v>
      </c>
      <c r="E1276" s="0" t="n">
        <f aca="true">CRITBINOM(D1276,Coefficients!$B$30,RAND())</f>
        <v>0</v>
      </c>
      <c r="F1276" s="0" t="n">
        <f aca="true">CRITBINOM(E1276,Coefficients!$B$31,RAND())</f>
        <v>0</v>
      </c>
      <c r="G1276" s="0" t="n">
        <f aca="true">CRITBINOM(MAX(0,D1276-E1276),1-Coefficients!$B$32,RAND())</f>
        <v>0</v>
      </c>
      <c r="H1276" s="0" t="n">
        <f aca="true">CRITBINOM(MAX(0,$C1276-D1276),MIN(0.6,Matchup!$B$40*SQRT($B1276)/(1-MIN(0.75,Matchup!$B$39*$B1276))),RAND())</f>
        <v>2</v>
      </c>
      <c r="I1276" s="0" t="n">
        <f aca="false">6*D1276+(D1276-E1276-G1276)+2*F1276+3*H1276</f>
        <v>20</v>
      </c>
      <c r="J1276" s="0" t="n">
        <f aca="true">CRITBINOM($C1276,MIN(0.75,Matchup!$C$39*$B1276),RAND())</f>
        <v>1</v>
      </c>
      <c r="K1276" s="0" t="n">
        <f aca="true">CRITBINOM(J1276,Coefficients!$B$30,RAND())</f>
        <v>0</v>
      </c>
      <c r="L1276" s="0" t="n">
        <f aca="true">CRITBINOM(K1276,Coefficients!$B$31,RAND())</f>
        <v>0</v>
      </c>
      <c r="M1276" s="0" t="n">
        <f aca="true">CRITBINOM(MAX(0,J1276-K1276),1-Coefficients!$B$32,RAND())</f>
        <v>0</v>
      </c>
      <c r="N1276" s="0" t="n">
        <f aca="true">CRITBINOM(MAX(0,$C1276-J1276),MIN(0.6,Matchup!$C$40*SQRT($B1276)/(1-MIN(0.75,Matchup!$C$39*$B1276))),RAND())</f>
        <v>2</v>
      </c>
      <c r="O1276" s="0" t="n">
        <f aca="false">6*J1276+(J1276-K1276-M1276)+2*L1276+3*N1276</f>
        <v>13</v>
      </c>
      <c r="P1276" s="0" t="n">
        <f aca="true">RAND()</f>
        <v>0.549729033591663</v>
      </c>
      <c r="Q1276" s="0" t="n">
        <f aca="true">RAND()</f>
        <v>0.0902819620986372</v>
      </c>
      <c r="R1276" s="0" t="n">
        <f aca="false">IF($I1276&lt;&gt;$O1276,0,IF(P1276&lt;Matchup!$B$39,7,IF(P1276&lt;Matchup!$B$39+Matchup!$B$40,3,0)))</f>
        <v>0</v>
      </c>
      <c r="S1276" s="0" t="n">
        <f aca="false">IF($I1276&lt;&gt;$O1276,0,IF(Q1276&lt;Matchup!$C$39,7,IF(Q1276&lt;Matchup!$C$39+Matchup!$C$40,3,0)))</f>
        <v>0</v>
      </c>
      <c r="T1276" s="0" t="n">
        <f aca="false">I1276+R1276</f>
        <v>20</v>
      </c>
      <c r="U1276" s="0" t="n">
        <f aca="false">O1276+S1276</f>
        <v>13</v>
      </c>
      <c r="V1276" s="0" t="n">
        <f aca="false">T1276-U1276</f>
        <v>7</v>
      </c>
      <c r="W1276" s="0" t="n">
        <f aca="false">T1276+U1276</f>
        <v>33</v>
      </c>
    </row>
    <row r="1277" customFormat="false" ht="15" hidden="false" customHeight="false" outlineLevel="0" collapsed="false">
      <c r="A1277" s="0" t="n">
        <v>1274</v>
      </c>
      <c r="B1277" s="0" t="n">
        <f aca="true">NORMINV(RAND(),1,Coefficients!$B$22)</f>
        <v>1.06170055368063</v>
      </c>
      <c r="C1277" s="0" t="n">
        <f aca="true">MEDIAN(8,16,ROUND(NORMINV(RAND(),Coefficients!$B$20,Coefficients!$B$21),0))</f>
        <v>14</v>
      </c>
      <c r="D1277" s="0" t="n">
        <f aca="true">CRITBINOM($C1277,MIN(0.75,Matchup!$B$39*$B1277),RAND())</f>
        <v>4</v>
      </c>
      <c r="E1277" s="0" t="n">
        <f aca="true">CRITBINOM(D1277,Coefficients!$B$30,RAND())</f>
        <v>0</v>
      </c>
      <c r="F1277" s="0" t="n">
        <f aca="true">CRITBINOM(E1277,Coefficients!$B$31,RAND())</f>
        <v>0</v>
      </c>
      <c r="G1277" s="0" t="n">
        <f aca="true">CRITBINOM(MAX(0,D1277-E1277),1-Coefficients!$B$32,RAND())</f>
        <v>0</v>
      </c>
      <c r="H1277" s="0" t="n">
        <f aca="true">CRITBINOM(MAX(0,$C1277-D1277),MIN(0.6,Matchup!$B$40*SQRT($B1277)/(1-MIN(0.75,Matchup!$B$39*$B1277))),RAND())</f>
        <v>2</v>
      </c>
      <c r="I1277" s="0" t="n">
        <f aca="false">6*D1277+(D1277-E1277-G1277)+2*F1277+3*H1277</f>
        <v>34</v>
      </c>
      <c r="J1277" s="0" t="n">
        <f aca="true">CRITBINOM($C1277,MIN(0.75,Matchup!$C$39*$B1277),RAND())</f>
        <v>3</v>
      </c>
      <c r="K1277" s="0" t="n">
        <f aca="true">CRITBINOM(J1277,Coefficients!$B$30,RAND())</f>
        <v>0</v>
      </c>
      <c r="L1277" s="0" t="n">
        <f aca="true">CRITBINOM(K1277,Coefficients!$B$31,RAND())</f>
        <v>0</v>
      </c>
      <c r="M1277" s="0" t="n">
        <f aca="true">CRITBINOM(MAX(0,J1277-K1277),1-Coefficients!$B$32,RAND())</f>
        <v>0</v>
      </c>
      <c r="N1277" s="0" t="n">
        <f aca="true">CRITBINOM(MAX(0,$C1277-J1277),MIN(0.6,Matchup!$C$40*SQRT($B1277)/(1-MIN(0.75,Matchup!$C$39*$B1277))),RAND())</f>
        <v>6</v>
      </c>
      <c r="O1277" s="0" t="n">
        <f aca="false">6*J1277+(J1277-K1277-M1277)+2*L1277+3*N1277</f>
        <v>39</v>
      </c>
      <c r="P1277" s="0" t="n">
        <f aca="true">RAND()</f>
        <v>0.026382695519956</v>
      </c>
      <c r="Q1277" s="0" t="n">
        <f aca="true">RAND()</f>
        <v>0.508559720686823</v>
      </c>
      <c r="R1277" s="0" t="n">
        <f aca="false">IF($I1277&lt;&gt;$O1277,0,IF(P1277&lt;Matchup!$B$39,7,IF(P1277&lt;Matchup!$B$39+Matchup!$B$40,3,0)))</f>
        <v>0</v>
      </c>
      <c r="S1277" s="0" t="n">
        <f aca="false">IF($I1277&lt;&gt;$O1277,0,IF(Q1277&lt;Matchup!$C$39,7,IF(Q1277&lt;Matchup!$C$39+Matchup!$C$40,3,0)))</f>
        <v>0</v>
      </c>
      <c r="T1277" s="0" t="n">
        <f aca="false">I1277+R1277</f>
        <v>34</v>
      </c>
      <c r="U1277" s="0" t="n">
        <f aca="false">O1277+S1277</f>
        <v>39</v>
      </c>
      <c r="V1277" s="0" t="n">
        <f aca="false">T1277-U1277</f>
        <v>-5</v>
      </c>
      <c r="W1277" s="0" t="n">
        <f aca="false">T1277+U1277</f>
        <v>73</v>
      </c>
    </row>
    <row r="1278" customFormat="false" ht="15" hidden="false" customHeight="false" outlineLevel="0" collapsed="false">
      <c r="A1278" s="0" t="n">
        <v>1275</v>
      </c>
      <c r="B1278" s="0" t="n">
        <f aca="true">NORMINV(RAND(),1,Coefficients!$B$22)</f>
        <v>0.992548976707916</v>
      </c>
      <c r="C1278" s="0" t="n">
        <f aca="true">MEDIAN(8,16,ROUND(NORMINV(RAND(),Coefficients!$B$20,Coefficients!$B$21),0))</f>
        <v>10</v>
      </c>
      <c r="D1278" s="0" t="n">
        <f aca="true">CRITBINOM($C1278,MIN(0.75,Matchup!$B$39*$B1278),RAND())</f>
        <v>3</v>
      </c>
      <c r="E1278" s="0" t="n">
        <f aca="true">CRITBINOM(D1278,Coefficients!$B$30,RAND())</f>
        <v>1</v>
      </c>
      <c r="F1278" s="0" t="n">
        <f aca="true">CRITBINOM(E1278,Coefficients!$B$31,RAND())</f>
        <v>1</v>
      </c>
      <c r="G1278" s="0" t="n">
        <f aca="true">CRITBINOM(MAX(0,D1278-E1278),1-Coefficients!$B$32,RAND())</f>
        <v>1</v>
      </c>
      <c r="H1278" s="0" t="n">
        <f aca="true">CRITBINOM(MAX(0,$C1278-D1278),MIN(0.6,Matchup!$B$40*SQRT($B1278)/(1-MIN(0.75,Matchup!$B$39*$B1278))),RAND())</f>
        <v>2</v>
      </c>
      <c r="I1278" s="0" t="n">
        <f aca="false">6*D1278+(D1278-E1278-G1278)+2*F1278+3*H1278</f>
        <v>27</v>
      </c>
      <c r="J1278" s="0" t="n">
        <f aca="true">CRITBINOM($C1278,MIN(0.75,Matchup!$C$39*$B1278),RAND())</f>
        <v>3</v>
      </c>
      <c r="K1278" s="0" t="n">
        <f aca="true">CRITBINOM(J1278,Coefficients!$B$30,RAND())</f>
        <v>0</v>
      </c>
      <c r="L1278" s="0" t="n">
        <f aca="true">CRITBINOM(K1278,Coefficients!$B$31,RAND())</f>
        <v>0</v>
      </c>
      <c r="M1278" s="0" t="n">
        <f aca="true">CRITBINOM(MAX(0,J1278-K1278),1-Coefficients!$B$32,RAND())</f>
        <v>1</v>
      </c>
      <c r="N1278" s="0" t="n">
        <f aca="true">CRITBINOM(MAX(0,$C1278-J1278),MIN(0.6,Matchup!$C$40*SQRT($B1278)/(1-MIN(0.75,Matchup!$C$39*$B1278))),RAND())</f>
        <v>3</v>
      </c>
      <c r="O1278" s="0" t="n">
        <f aca="false">6*J1278+(J1278-K1278-M1278)+2*L1278+3*N1278</f>
        <v>29</v>
      </c>
      <c r="P1278" s="0" t="n">
        <f aca="true">RAND()</f>
        <v>0.96890142219624</v>
      </c>
      <c r="Q1278" s="0" t="n">
        <f aca="true">RAND()</f>
        <v>0.145098704749655</v>
      </c>
      <c r="R1278" s="0" t="n">
        <f aca="false">IF($I1278&lt;&gt;$O1278,0,IF(P1278&lt;Matchup!$B$39,7,IF(P1278&lt;Matchup!$B$39+Matchup!$B$40,3,0)))</f>
        <v>0</v>
      </c>
      <c r="S1278" s="0" t="n">
        <f aca="false">IF($I1278&lt;&gt;$O1278,0,IF(Q1278&lt;Matchup!$C$39,7,IF(Q1278&lt;Matchup!$C$39+Matchup!$C$40,3,0)))</f>
        <v>0</v>
      </c>
      <c r="T1278" s="0" t="n">
        <f aca="false">I1278+R1278</f>
        <v>27</v>
      </c>
      <c r="U1278" s="0" t="n">
        <f aca="false">O1278+S1278</f>
        <v>29</v>
      </c>
      <c r="V1278" s="0" t="n">
        <f aca="false">T1278-U1278</f>
        <v>-2</v>
      </c>
      <c r="W1278" s="0" t="n">
        <f aca="false">T1278+U1278</f>
        <v>56</v>
      </c>
    </row>
    <row r="1279" customFormat="false" ht="15" hidden="false" customHeight="false" outlineLevel="0" collapsed="false">
      <c r="A1279" s="0" t="n">
        <v>1276</v>
      </c>
      <c r="B1279" s="0" t="n">
        <f aca="true">NORMINV(RAND(),1,Coefficients!$B$22)</f>
        <v>0.935941287980763</v>
      </c>
      <c r="C1279" s="0" t="n">
        <f aca="true">MEDIAN(8,16,ROUND(NORMINV(RAND(),Coefficients!$B$20,Coefficients!$B$21),0))</f>
        <v>11</v>
      </c>
      <c r="D1279" s="0" t="n">
        <f aca="true">CRITBINOM($C1279,MIN(0.75,Matchup!$B$39*$B1279),RAND())</f>
        <v>4</v>
      </c>
      <c r="E1279" s="0" t="n">
        <f aca="true">CRITBINOM(D1279,Coefficients!$B$30,RAND())</f>
        <v>2</v>
      </c>
      <c r="F1279" s="0" t="n">
        <f aca="true">CRITBINOM(E1279,Coefficients!$B$31,RAND())</f>
        <v>2</v>
      </c>
      <c r="G1279" s="0" t="n">
        <f aca="true">CRITBINOM(MAX(0,D1279-E1279),1-Coefficients!$B$32,RAND())</f>
        <v>0</v>
      </c>
      <c r="H1279" s="0" t="n">
        <f aca="true">CRITBINOM(MAX(0,$C1279-D1279),MIN(0.6,Matchup!$B$40*SQRT($B1279)/(1-MIN(0.75,Matchup!$B$39*$B1279))),RAND())</f>
        <v>3</v>
      </c>
      <c r="I1279" s="0" t="n">
        <f aca="false">6*D1279+(D1279-E1279-G1279)+2*F1279+3*H1279</f>
        <v>39</v>
      </c>
      <c r="J1279" s="0" t="n">
        <f aca="true">CRITBINOM($C1279,MIN(0.75,Matchup!$C$39*$B1279),RAND())</f>
        <v>3</v>
      </c>
      <c r="K1279" s="0" t="n">
        <f aca="true">CRITBINOM(J1279,Coefficients!$B$30,RAND())</f>
        <v>0</v>
      </c>
      <c r="L1279" s="0" t="n">
        <f aca="true">CRITBINOM(K1279,Coefficients!$B$31,RAND())</f>
        <v>0</v>
      </c>
      <c r="M1279" s="0" t="n">
        <f aca="true">CRITBINOM(MAX(0,J1279-K1279),1-Coefficients!$B$32,RAND())</f>
        <v>0</v>
      </c>
      <c r="N1279" s="0" t="n">
        <f aca="true">CRITBINOM(MAX(0,$C1279-J1279),MIN(0.6,Matchup!$C$40*SQRT($B1279)/(1-MIN(0.75,Matchup!$C$39*$B1279))),RAND())</f>
        <v>2</v>
      </c>
      <c r="O1279" s="0" t="n">
        <f aca="false">6*J1279+(J1279-K1279-M1279)+2*L1279+3*N1279</f>
        <v>27</v>
      </c>
      <c r="P1279" s="0" t="n">
        <f aca="true">RAND()</f>
        <v>0.369381457893276</v>
      </c>
      <c r="Q1279" s="0" t="n">
        <f aca="true">RAND()</f>
        <v>0.237252004031795</v>
      </c>
      <c r="R1279" s="0" t="n">
        <f aca="false">IF($I1279&lt;&gt;$O1279,0,IF(P1279&lt;Matchup!$B$39,7,IF(P1279&lt;Matchup!$B$39+Matchup!$B$40,3,0)))</f>
        <v>0</v>
      </c>
      <c r="S1279" s="0" t="n">
        <f aca="false">IF($I1279&lt;&gt;$O1279,0,IF(Q1279&lt;Matchup!$C$39,7,IF(Q1279&lt;Matchup!$C$39+Matchup!$C$40,3,0)))</f>
        <v>0</v>
      </c>
      <c r="T1279" s="0" t="n">
        <f aca="false">I1279+R1279</f>
        <v>39</v>
      </c>
      <c r="U1279" s="0" t="n">
        <f aca="false">O1279+S1279</f>
        <v>27</v>
      </c>
      <c r="V1279" s="0" t="n">
        <f aca="false">T1279-U1279</f>
        <v>12</v>
      </c>
      <c r="W1279" s="0" t="n">
        <f aca="false">T1279+U1279</f>
        <v>66</v>
      </c>
    </row>
    <row r="1280" customFormat="false" ht="15" hidden="false" customHeight="false" outlineLevel="0" collapsed="false">
      <c r="A1280" s="0" t="n">
        <v>1277</v>
      </c>
      <c r="B1280" s="0" t="n">
        <f aca="true">NORMINV(RAND(),1,Coefficients!$B$22)</f>
        <v>0.932610606843573</v>
      </c>
      <c r="C1280" s="0" t="n">
        <f aca="true">MEDIAN(8,16,ROUND(NORMINV(RAND(),Coefficients!$B$20,Coefficients!$B$21),0))</f>
        <v>13</v>
      </c>
      <c r="D1280" s="0" t="n">
        <f aca="true">CRITBINOM($C1280,MIN(0.75,Matchup!$B$39*$B1280),RAND())</f>
        <v>4</v>
      </c>
      <c r="E1280" s="0" t="n">
        <f aca="true">CRITBINOM(D1280,Coefficients!$B$30,RAND())</f>
        <v>0</v>
      </c>
      <c r="F1280" s="0" t="n">
        <f aca="true">CRITBINOM(E1280,Coefficients!$B$31,RAND())</f>
        <v>0</v>
      </c>
      <c r="G1280" s="0" t="n">
        <f aca="true">CRITBINOM(MAX(0,D1280-E1280),1-Coefficients!$B$32,RAND())</f>
        <v>0</v>
      </c>
      <c r="H1280" s="0" t="n">
        <f aca="true">CRITBINOM(MAX(0,$C1280-D1280),MIN(0.6,Matchup!$B$40*SQRT($B1280)/(1-MIN(0.75,Matchup!$B$39*$B1280))),RAND())</f>
        <v>2</v>
      </c>
      <c r="I1280" s="0" t="n">
        <f aca="false">6*D1280+(D1280-E1280-G1280)+2*F1280+3*H1280</f>
        <v>34</v>
      </c>
      <c r="J1280" s="0" t="n">
        <f aca="true">CRITBINOM($C1280,MIN(0.75,Matchup!$C$39*$B1280),RAND())</f>
        <v>3</v>
      </c>
      <c r="K1280" s="0" t="n">
        <f aca="true">CRITBINOM(J1280,Coefficients!$B$30,RAND())</f>
        <v>0</v>
      </c>
      <c r="L1280" s="0" t="n">
        <f aca="true">CRITBINOM(K1280,Coefficients!$B$31,RAND())</f>
        <v>0</v>
      </c>
      <c r="M1280" s="0" t="n">
        <f aca="true">CRITBINOM(MAX(0,J1280-K1280),1-Coefficients!$B$32,RAND())</f>
        <v>0</v>
      </c>
      <c r="N1280" s="0" t="n">
        <f aca="true">CRITBINOM(MAX(0,$C1280-J1280),MIN(0.6,Matchup!$C$40*SQRT($B1280)/(1-MIN(0.75,Matchup!$C$39*$B1280))),RAND())</f>
        <v>0</v>
      </c>
      <c r="O1280" s="0" t="n">
        <f aca="false">6*J1280+(J1280-K1280-M1280)+2*L1280+3*N1280</f>
        <v>21</v>
      </c>
      <c r="P1280" s="0" t="n">
        <f aca="true">RAND()</f>
        <v>0.304805508050211</v>
      </c>
      <c r="Q1280" s="0" t="n">
        <f aca="true">RAND()</f>
        <v>0.856443775875512</v>
      </c>
      <c r="R1280" s="0" t="n">
        <f aca="false">IF($I1280&lt;&gt;$O1280,0,IF(P1280&lt;Matchup!$B$39,7,IF(P1280&lt;Matchup!$B$39+Matchup!$B$40,3,0)))</f>
        <v>0</v>
      </c>
      <c r="S1280" s="0" t="n">
        <f aca="false">IF($I1280&lt;&gt;$O1280,0,IF(Q1280&lt;Matchup!$C$39,7,IF(Q1280&lt;Matchup!$C$39+Matchup!$C$40,3,0)))</f>
        <v>0</v>
      </c>
      <c r="T1280" s="0" t="n">
        <f aca="false">I1280+R1280</f>
        <v>34</v>
      </c>
      <c r="U1280" s="0" t="n">
        <f aca="false">O1280+S1280</f>
        <v>21</v>
      </c>
      <c r="V1280" s="0" t="n">
        <f aca="false">T1280-U1280</f>
        <v>13</v>
      </c>
      <c r="W1280" s="0" t="n">
        <f aca="false">T1280+U1280</f>
        <v>55</v>
      </c>
    </row>
    <row r="1281" customFormat="false" ht="15" hidden="false" customHeight="false" outlineLevel="0" collapsed="false">
      <c r="A1281" s="0" t="n">
        <v>1278</v>
      </c>
      <c r="B1281" s="0" t="n">
        <f aca="true">NORMINV(RAND(),1,Coefficients!$B$22)</f>
        <v>1.1358863502528</v>
      </c>
      <c r="C1281" s="0" t="n">
        <f aca="true">MEDIAN(8,16,ROUND(NORMINV(RAND(),Coefficients!$B$20,Coefficients!$B$21),0))</f>
        <v>11</v>
      </c>
      <c r="D1281" s="0" t="n">
        <f aca="true">CRITBINOM($C1281,MIN(0.75,Matchup!$B$39*$B1281),RAND())</f>
        <v>4</v>
      </c>
      <c r="E1281" s="0" t="n">
        <f aca="true">CRITBINOM(D1281,Coefficients!$B$30,RAND())</f>
        <v>1</v>
      </c>
      <c r="F1281" s="0" t="n">
        <f aca="true">CRITBINOM(E1281,Coefficients!$B$31,RAND())</f>
        <v>1</v>
      </c>
      <c r="G1281" s="0" t="n">
        <f aca="true">CRITBINOM(MAX(0,D1281-E1281),1-Coefficients!$B$32,RAND())</f>
        <v>0</v>
      </c>
      <c r="H1281" s="0" t="n">
        <f aca="true">CRITBINOM(MAX(0,$C1281-D1281),MIN(0.6,Matchup!$B$40*SQRT($B1281)/(1-MIN(0.75,Matchup!$B$39*$B1281))),RAND())</f>
        <v>1</v>
      </c>
      <c r="I1281" s="0" t="n">
        <f aca="false">6*D1281+(D1281-E1281-G1281)+2*F1281+3*H1281</f>
        <v>32</v>
      </c>
      <c r="J1281" s="0" t="n">
        <f aca="true">CRITBINOM($C1281,MIN(0.75,Matchup!$C$39*$B1281),RAND())</f>
        <v>3</v>
      </c>
      <c r="K1281" s="0" t="n">
        <f aca="true">CRITBINOM(J1281,Coefficients!$B$30,RAND())</f>
        <v>0</v>
      </c>
      <c r="L1281" s="0" t="n">
        <f aca="true">CRITBINOM(K1281,Coefficients!$B$31,RAND())</f>
        <v>0</v>
      </c>
      <c r="M1281" s="0" t="n">
        <f aca="true">CRITBINOM(MAX(0,J1281-K1281),1-Coefficients!$B$32,RAND())</f>
        <v>0</v>
      </c>
      <c r="N1281" s="0" t="n">
        <f aca="true">CRITBINOM(MAX(0,$C1281-J1281),MIN(0.6,Matchup!$C$40*SQRT($B1281)/(1-MIN(0.75,Matchup!$C$39*$B1281))),RAND())</f>
        <v>3</v>
      </c>
      <c r="O1281" s="0" t="n">
        <f aca="false">6*J1281+(J1281-K1281-M1281)+2*L1281+3*N1281</f>
        <v>30</v>
      </c>
      <c r="P1281" s="0" t="n">
        <f aca="true">RAND()</f>
        <v>0.87834463943624</v>
      </c>
      <c r="Q1281" s="0" t="n">
        <f aca="true">RAND()</f>
        <v>0.645101629258439</v>
      </c>
      <c r="R1281" s="0" t="n">
        <f aca="false">IF($I1281&lt;&gt;$O1281,0,IF(P1281&lt;Matchup!$B$39,7,IF(P1281&lt;Matchup!$B$39+Matchup!$B$40,3,0)))</f>
        <v>0</v>
      </c>
      <c r="S1281" s="0" t="n">
        <f aca="false">IF($I1281&lt;&gt;$O1281,0,IF(Q1281&lt;Matchup!$C$39,7,IF(Q1281&lt;Matchup!$C$39+Matchup!$C$40,3,0)))</f>
        <v>0</v>
      </c>
      <c r="T1281" s="0" t="n">
        <f aca="false">I1281+R1281</f>
        <v>32</v>
      </c>
      <c r="U1281" s="0" t="n">
        <f aca="false">O1281+S1281</f>
        <v>30</v>
      </c>
      <c r="V1281" s="0" t="n">
        <f aca="false">T1281-U1281</f>
        <v>2</v>
      </c>
      <c r="W1281" s="0" t="n">
        <f aca="false">T1281+U1281</f>
        <v>62</v>
      </c>
    </row>
    <row r="1282" customFormat="false" ht="15" hidden="false" customHeight="false" outlineLevel="0" collapsed="false">
      <c r="A1282" s="0" t="n">
        <v>1279</v>
      </c>
      <c r="B1282" s="0" t="n">
        <f aca="true">NORMINV(RAND(),1,Coefficients!$B$22)</f>
        <v>1.00348175044402</v>
      </c>
      <c r="C1282" s="0" t="n">
        <f aca="true">MEDIAN(8,16,ROUND(NORMINV(RAND(),Coefficients!$B$20,Coefficients!$B$21),0))</f>
        <v>10</v>
      </c>
      <c r="D1282" s="0" t="n">
        <f aca="true">CRITBINOM($C1282,MIN(0.75,Matchup!$B$39*$B1282),RAND())</f>
        <v>3</v>
      </c>
      <c r="E1282" s="0" t="n">
        <f aca="true">CRITBINOM(D1282,Coefficients!$B$30,RAND())</f>
        <v>1</v>
      </c>
      <c r="F1282" s="0" t="n">
        <f aca="true">CRITBINOM(E1282,Coefficients!$B$31,RAND())</f>
        <v>1</v>
      </c>
      <c r="G1282" s="0" t="n">
        <f aca="true">CRITBINOM(MAX(0,D1282-E1282),1-Coefficients!$B$32,RAND())</f>
        <v>0</v>
      </c>
      <c r="H1282" s="0" t="n">
        <f aca="true">CRITBINOM(MAX(0,$C1282-D1282),MIN(0.6,Matchup!$B$40*SQRT($B1282)/(1-MIN(0.75,Matchup!$B$39*$B1282))),RAND())</f>
        <v>1</v>
      </c>
      <c r="I1282" s="0" t="n">
        <f aca="false">6*D1282+(D1282-E1282-G1282)+2*F1282+3*H1282</f>
        <v>25</v>
      </c>
      <c r="J1282" s="0" t="n">
        <f aca="true">CRITBINOM($C1282,MIN(0.75,Matchup!$C$39*$B1282),RAND())</f>
        <v>5</v>
      </c>
      <c r="K1282" s="0" t="n">
        <f aca="true">CRITBINOM(J1282,Coefficients!$B$30,RAND())</f>
        <v>0</v>
      </c>
      <c r="L1282" s="0" t="n">
        <f aca="true">CRITBINOM(K1282,Coefficients!$B$31,RAND())</f>
        <v>0</v>
      </c>
      <c r="M1282" s="0" t="n">
        <f aca="true">CRITBINOM(MAX(0,J1282-K1282),1-Coefficients!$B$32,RAND())</f>
        <v>0</v>
      </c>
      <c r="N1282" s="0" t="n">
        <f aca="true">CRITBINOM(MAX(0,$C1282-J1282),MIN(0.6,Matchup!$C$40*SQRT($B1282)/(1-MIN(0.75,Matchup!$C$39*$B1282))),RAND())</f>
        <v>1</v>
      </c>
      <c r="O1282" s="0" t="n">
        <f aca="false">6*J1282+(J1282-K1282-M1282)+2*L1282+3*N1282</f>
        <v>38</v>
      </c>
      <c r="P1282" s="0" t="n">
        <f aca="true">RAND()</f>
        <v>0.762186540636577</v>
      </c>
      <c r="Q1282" s="0" t="n">
        <f aca="true">RAND()</f>
        <v>0.145102036035344</v>
      </c>
      <c r="R1282" s="0" t="n">
        <f aca="false">IF($I1282&lt;&gt;$O1282,0,IF(P1282&lt;Matchup!$B$39,7,IF(P1282&lt;Matchup!$B$39+Matchup!$B$40,3,0)))</f>
        <v>0</v>
      </c>
      <c r="S1282" s="0" t="n">
        <f aca="false">IF($I1282&lt;&gt;$O1282,0,IF(Q1282&lt;Matchup!$C$39,7,IF(Q1282&lt;Matchup!$C$39+Matchup!$C$40,3,0)))</f>
        <v>0</v>
      </c>
      <c r="T1282" s="0" t="n">
        <f aca="false">I1282+R1282</f>
        <v>25</v>
      </c>
      <c r="U1282" s="0" t="n">
        <f aca="false">O1282+S1282</f>
        <v>38</v>
      </c>
      <c r="V1282" s="0" t="n">
        <f aca="false">T1282-U1282</f>
        <v>-13</v>
      </c>
      <c r="W1282" s="0" t="n">
        <f aca="false">T1282+U1282</f>
        <v>63</v>
      </c>
    </row>
    <row r="1283" customFormat="false" ht="15" hidden="false" customHeight="false" outlineLevel="0" collapsed="false">
      <c r="A1283" s="0" t="n">
        <v>1280</v>
      </c>
      <c r="B1283" s="0" t="n">
        <f aca="true">NORMINV(RAND(),1,Coefficients!$B$22)</f>
        <v>1.07433756604691</v>
      </c>
      <c r="C1283" s="0" t="n">
        <f aca="true">MEDIAN(8,16,ROUND(NORMINV(RAND(),Coefficients!$B$20,Coefficients!$B$21),0))</f>
        <v>11</v>
      </c>
      <c r="D1283" s="0" t="n">
        <f aca="true">CRITBINOM($C1283,MIN(0.75,Matchup!$B$39*$B1283),RAND())</f>
        <v>1</v>
      </c>
      <c r="E1283" s="0" t="n">
        <f aca="true">CRITBINOM(D1283,Coefficients!$B$30,RAND())</f>
        <v>0</v>
      </c>
      <c r="F1283" s="0" t="n">
        <f aca="true">CRITBINOM(E1283,Coefficients!$B$31,RAND())</f>
        <v>0</v>
      </c>
      <c r="G1283" s="0" t="n">
        <f aca="true">CRITBINOM(MAX(0,D1283-E1283),1-Coefficients!$B$32,RAND())</f>
        <v>0</v>
      </c>
      <c r="H1283" s="0" t="n">
        <f aca="true">CRITBINOM(MAX(0,$C1283-D1283),MIN(0.6,Matchup!$B$40*SQRT($B1283)/(1-MIN(0.75,Matchup!$B$39*$B1283))),RAND())</f>
        <v>0</v>
      </c>
      <c r="I1283" s="0" t="n">
        <f aca="false">6*D1283+(D1283-E1283-G1283)+2*F1283+3*H1283</f>
        <v>7</v>
      </c>
      <c r="J1283" s="0" t="n">
        <f aca="true">CRITBINOM($C1283,MIN(0.75,Matchup!$C$39*$B1283),RAND())</f>
        <v>3</v>
      </c>
      <c r="K1283" s="0" t="n">
        <f aca="true">CRITBINOM(J1283,Coefficients!$B$30,RAND())</f>
        <v>0</v>
      </c>
      <c r="L1283" s="0" t="n">
        <f aca="true">CRITBINOM(K1283,Coefficients!$B$31,RAND())</f>
        <v>0</v>
      </c>
      <c r="M1283" s="0" t="n">
        <f aca="true">CRITBINOM(MAX(0,J1283-K1283),1-Coefficients!$B$32,RAND())</f>
        <v>0</v>
      </c>
      <c r="N1283" s="0" t="n">
        <f aca="true">CRITBINOM(MAX(0,$C1283-J1283),MIN(0.6,Matchup!$C$40*SQRT($B1283)/(1-MIN(0.75,Matchup!$C$39*$B1283))),RAND())</f>
        <v>1</v>
      </c>
      <c r="O1283" s="0" t="n">
        <f aca="false">6*J1283+(J1283-K1283-M1283)+2*L1283+3*N1283</f>
        <v>24</v>
      </c>
      <c r="P1283" s="0" t="n">
        <f aca="true">RAND()</f>
        <v>0.582859583014269</v>
      </c>
      <c r="Q1283" s="0" t="n">
        <f aca="true">RAND()</f>
        <v>0.766068853720886</v>
      </c>
      <c r="R1283" s="0" t="n">
        <f aca="false">IF($I1283&lt;&gt;$O1283,0,IF(P1283&lt;Matchup!$B$39,7,IF(P1283&lt;Matchup!$B$39+Matchup!$B$40,3,0)))</f>
        <v>0</v>
      </c>
      <c r="S1283" s="0" t="n">
        <f aca="false">IF($I1283&lt;&gt;$O1283,0,IF(Q1283&lt;Matchup!$C$39,7,IF(Q1283&lt;Matchup!$C$39+Matchup!$C$40,3,0)))</f>
        <v>0</v>
      </c>
      <c r="T1283" s="0" t="n">
        <f aca="false">I1283+R1283</f>
        <v>7</v>
      </c>
      <c r="U1283" s="0" t="n">
        <f aca="false">O1283+S1283</f>
        <v>24</v>
      </c>
      <c r="V1283" s="0" t="n">
        <f aca="false">T1283-U1283</f>
        <v>-17</v>
      </c>
      <c r="W1283" s="0" t="n">
        <f aca="false">T1283+U1283</f>
        <v>31</v>
      </c>
    </row>
    <row r="1284" customFormat="false" ht="15" hidden="false" customHeight="false" outlineLevel="0" collapsed="false">
      <c r="A1284" s="0" t="n">
        <v>1281</v>
      </c>
      <c r="B1284" s="0" t="n">
        <f aca="true">NORMINV(RAND(),1,Coefficients!$B$22)</f>
        <v>1.02889918503099</v>
      </c>
      <c r="C1284" s="0" t="n">
        <f aca="true">MEDIAN(8,16,ROUND(NORMINV(RAND(),Coefficients!$B$20,Coefficients!$B$21),0))</f>
        <v>12</v>
      </c>
      <c r="D1284" s="0" t="n">
        <f aca="true">CRITBINOM($C1284,MIN(0.75,Matchup!$B$39*$B1284),RAND())</f>
        <v>2</v>
      </c>
      <c r="E1284" s="0" t="n">
        <f aca="true">CRITBINOM(D1284,Coefficients!$B$30,RAND())</f>
        <v>0</v>
      </c>
      <c r="F1284" s="0" t="n">
        <f aca="true">CRITBINOM(E1284,Coefficients!$B$31,RAND())</f>
        <v>0</v>
      </c>
      <c r="G1284" s="0" t="n">
        <f aca="true">CRITBINOM(MAX(0,D1284-E1284),1-Coefficients!$B$32,RAND())</f>
        <v>0</v>
      </c>
      <c r="H1284" s="0" t="n">
        <f aca="true">CRITBINOM(MAX(0,$C1284-D1284),MIN(0.6,Matchup!$B$40*SQRT($B1284)/(1-MIN(0.75,Matchup!$B$39*$B1284))),RAND())</f>
        <v>1</v>
      </c>
      <c r="I1284" s="0" t="n">
        <f aca="false">6*D1284+(D1284-E1284-G1284)+2*F1284+3*H1284</f>
        <v>17</v>
      </c>
      <c r="J1284" s="0" t="n">
        <f aca="true">CRITBINOM($C1284,MIN(0.75,Matchup!$C$39*$B1284),RAND())</f>
        <v>2</v>
      </c>
      <c r="K1284" s="0" t="n">
        <f aca="true">CRITBINOM(J1284,Coefficients!$B$30,RAND())</f>
        <v>2</v>
      </c>
      <c r="L1284" s="0" t="n">
        <f aca="true">CRITBINOM(K1284,Coefficients!$B$31,RAND())</f>
        <v>2</v>
      </c>
      <c r="M1284" s="0" t="n">
        <f aca="true">CRITBINOM(MAX(0,J1284-K1284),1-Coefficients!$B$32,RAND())</f>
        <v>0</v>
      </c>
      <c r="N1284" s="0" t="n">
        <f aca="true">CRITBINOM(MAX(0,$C1284-J1284),MIN(0.6,Matchup!$C$40*SQRT($B1284)/(1-MIN(0.75,Matchup!$C$39*$B1284))),RAND())</f>
        <v>2</v>
      </c>
      <c r="O1284" s="0" t="n">
        <f aca="false">6*J1284+(J1284-K1284-M1284)+2*L1284+3*N1284</f>
        <v>22</v>
      </c>
      <c r="P1284" s="0" t="n">
        <f aca="true">RAND()</f>
        <v>0.614477445702905</v>
      </c>
      <c r="Q1284" s="0" t="n">
        <f aca="true">RAND()</f>
        <v>0.740699246641811</v>
      </c>
      <c r="R1284" s="0" t="n">
        <f aca="false">IF($I1284&lt;&gt;$O1284,0,IF(P1284&lt;Matchup!$B$39,7,IF(P1284&lt;Matchup!$B$39+Matchup!$B$40,3,0)))</f>
        <v>0</v>
      </c>
      <c r="S1284" s="0" t="n">
        <f aca="false">IF($I1284&lt;&gt;$O1284,0,IF(Q1284&lt;Matchup!$C$39,7,IF(Q1284&lt;Matchup!$C$39+Matchup!$C$40,3,0)))</f>
        <v>0</v>
      </c>
      <c r="T1284" s="0" t="n">
        <f aca="false">I1284+R1284</f>
        <v>17</v>
      </c>
      <c r="U1284" s="0" t="n">
        <f aca="false">O1284+S1284</f>
        <v>22</v>
      </c>
      <c r="V1284" s="0" t="n">
        <f aca="false">T1284-U1284</f>
        <v>-5</v>
      </c>
      <c r="W1284" s="0" t="n">
        <f aca="false">T1284+U1284</f>
        <v>39</v>
      </c>
    </row>
    <row r="1285" customFormat="false" ht="15" hidden="false" customHeight="false" outlineLevel="0" collapsed="false">
      <c r="A1285" s="0" t="n">
        <v>1282</v>
      </c>
      <c r="B1285" s="0" t="n">
        <f aca="true">NORMINV(RAND(),1,Coefficients!$B$22)</f>
        <v>1.12131600477083</v>
      </c>
      <c r="C1285" s="0" t="n">
        <f aca="true">MEDIAN(8,16,ROUND(NORMINV(RAND(),Coefficients!$B$20,Coefficients!$B$21),0))</f>
        <v>12</v>
      </c>
      <c r="D1285" s="0" t="n">
        <f aca="true">CRITBINOM($C1285,MIN(0.75,Matchup!$B$39*$B1285),RAND())</f>
        <v>3</v>
      </c>
      <c r="E1285" s="0" t="n">
        <f aca="true">CRITBINOM(D1285,Coefficients!$B$30,RAND())</f>
        <v>0</v>
      </c>
      <c r="F1285" s="0" t="n">
        <f aca="true">CRITBINOM(E1285,Coefficients!$B$31,RAND())</f>
        <v>0</v>
      </c>
      <c r="G1285" s="0" t="n">
        <f aca="true">CRITBINOM(MAX(0,D1285-E1285),1-Coefficients!$B$32,RAND())</f>
        <v>1</v>
      </c>
      <c r="H1285" s="0" t="n">
        <f aca="true">CRITBINOM(MAX(0,$C1285-D1285),MIN(0.6,Matchup!$B$40*SQRT($B1285)/(1-MIN(0.75,Matchup!$B$39*$B1285))),RAND())</f>
        <v>2</v>
      </c>
      <c r="I1285" s="0" t="n">
        <f aca="false">6*D1285+(D1285-E1285-G1285)+2*F1285+3*H1285</f>
        <v>26</v>
      </c>
      <c r="J1285" s="0" t="n">
        <f aca="true">CRITBINOM($C1285,MIN(0.75,Matchup!$C$39*$B1285),RAND())</f>
        <v>2</v>
      </c>
      <c r="K1285" s="0" t="n">
        <f aca="true">CRITBINOM(J1285,Coefficients!$B$30,RAND())</f>
        <v>0</v>
      </c>
      <c r="L1285" s="0" t="n">
        <f aca="true">CRITBINOM(K1285,Coefficients!$B$31,RAND())</f>
        <v>0</v>
      </c>
      <c r="M1285" s="0" t="n">
        <f aca="true">CRITBINOM(MAX(0,J1285-K1285),1-Coefficients!$B$32,RAND())</f>
        <v>0</v>
      </c>
      <c r="N1285" s="0" t="n">
        <f aca="true">CRITBINOM(MAX(0,$C1285-J1285),MIN(0.6,Matchup!$C$40*SQRT($B1285)/(1-MIN(0.75,Matchup!$C$39*$B1285))),RAND())</f>
        <v>1</v>
      </c>
      <c r="O1285" s="0" t="n">
        <f aca="false">6*J1285+(J1285-K1285-M1285)+2*L1285+3*N1285</f>
        <v>17</v>
      </c>
      <c r="P1285" s="0" t="n">
        <f aca="true">RAND()</f>
        <v>0.777580400542168</v>
      </c>
      <c r="Q1285" s="0" t="n">
        <f aca="true">RAND()</f>
        <v>0.0165238503517349</v>
      </c>
      <c r="R1285" s="0" t="n">
        <f aca="false">IF($I1285&lt;&gt;$O1285,0,IF(P1285&lt;Matchup!$B$39,7,IF(P1285&lt;Matchup!$B$39+Matchup!$B$40,3,0)))</f>
        <v>0</v>
      </c>
      <c r="S1285" s="0" t="n">
        <f aca="false">IF($I1285&lt;&gt;$O1285,0,IF(Q1285&lt;Matchup!$C$39,7,IF(Q1285&lt;Matchup!$C$39+Matchup!$C$40,3,0)))</f>
        <v>0</v>
      </c>
      <c r="T1285" s="0" t="n">
        <f aca="false">I1285+R1285</f>
        <v>26</v>
      </c>
      <c r="U1285" s="0" t="n">
        <f aca="false">O1285+S1285</f>
        <v>17</v>
      </c>
      <c r="V1285" s="0" t="n">
        <f aca="false">T1285-U1285</f>
        <v>9</v>
      </c>
      <c r="W1285" s="0" t="n">
        <f aca="false">T1285+U1285</f>
        <v>43</v>
      </c>
    </row>
    <row r="1286" customFormat="false" ht="15" hidden="false" customHeight="false" outlineLevel="0" collapsed="false">
      <c r="A1286" s="0" t="n">
        <v>1283</v>
      </c>
      <c r="B1286" s="0" t="n">
        <f aca="true">NORMINV(RAND(),1,Coefficients!$B$22)</f>
        <v>1.02800581331485</v>
      </c>
      <c r="C1286" s="0" t="n">
        <f aca="true">MEDIAN(8,16,ROUND(NORMINV(RAND(),Coefficients!$B$20,Coefficients!$B$21),0))</f>
        <v>12</v>
      </c>
      <c r="D1286" s="0" t="n">
        <f aca="true">CRITBINOM($C1286,MIN(0.75,Matchup!$B$39*$B1286),RAND())</f>
        <v>3</v>
      </c>
      <c r="E1286" s="0" t="n">
        <f aca="true">CRITBINOM(D1286,Coefficients!$B$30,RAND())</f>
        <v>0</v>
      </c>
      <c r="F1286" s="0" t="n">
        <f aca="true">CRITBINOM(E1286,Coefficients!$B$31,RAND())</f>
        <v>0</v>
      </c>
      <c r="G1286" s="0" t="n">
        <f aca="true">CRITBINOM(MAX(0,D1286-E1286),1-Coefficients!$B$32,RAND())</f>
        <v>0</v>
      </c>
      <c r="H1286" s="0" t="n">
        <f aca="true">CRITBINOM(MAX(0,$C1286-D1286),MIN(0.6,Matchup!$B$40*SQRT($B1286)/(1-MIN(0.75,Matchup!$B$39*$B1286))),RAND())</f>
        <v>3</v>
      </c>
      <c r="I1286" s="0" t="n">
        <f aca="false">6*D1286+(D1286-E1286-G1286)+2*F1286+3*H1286</f>
        <v>30</v>
      </c>
      <c r="J1286" s="0" t="n">
        <f aca="true">CRITBINOM($C1286,MIN(0.75,Matchup!$C$39*$B1286),RAND())</f>
        <v>4</v>
      </c>
      <c r="K1286" s="0" t="n">
        <f aca="true">CRITBINOM(J1286,Coefficients!$B$30,RAND())</f>
        <v>0</v>
      </c>
      <c r="L1286" s="0" t="n">
        <f aca="true">CRITBINOM(K1286,Coefficients!$B$31,RAND())</f>
        <v>0</v>
      </c>
      <c r="M1286" s="0" t="n">
        <f aca="true">CRITBINOM(MAX(0,J1286-K1286),1-Coefficients!$B$32,RAND())</f>
        <v>1</v>
      </c>
      <c r="N1286" s="0" t="n">
        <f aca="true">CRITBINOM(MAX(0,$C1286-J1286),MIN(0.6,Matchup!$C$40*SQRT($B1286)/(1-MIN(0.75,Matchup!$C$39*$B1286))),RAND())</f>
        <v>1</v>
      </c>
      <c r="O1286" s="0" t="n">
        <f aca="false">6*J1286+(J1286-K1286-M1286)+2*L1286+3*N1286</f>
        <v>30</v>
      </c>
      <c r="P1286" s="0" t="n">
        <f aca="true">RAND()</f>
        <v>0.727370596435632</v>
      </c>
      <c r="Q1286" s="0" t="n">
        <f aca="true">RAND()</f>
        <v>0.352191610877335</v>
      </c>
      <c r="R1286" s="0" t="n">
        <f aca="false">IF($I1286&lt;&gt;$O1286,0,IF(P1286&lt;Matchup!$B$39,7,IF(P1286&lt;Matchup!$B$39+Matchup!$B$40,3,0)))</f>
        <v>0</v>
      </c>
      <c r="S1286" s="0" t="n">
        <f aca="false">IF($I1286&lt;&gt;$O1286,0,IF(Q1286&lt;Matchup!$C$39,7,IF(Q1286&lt;Matchup!$C$39+Matchup!$C$40,3,0)))</f>
        <v>3</v>
      </c>
      <c r="T1286" s="0" t="n">
        <f aca="false">I1286+R1286</f>
        <v>30</v>
      </c>
      <c r="U1286" s="0" t="n">
        <f aca="false">O1286+S1286</f>
        <v>33</v>
      </c>
      <c r="V1286" s="0" t="n">
        <f aca="false">T1286-U1286</f>
        <v>-3</v>
      </c>
      <c r="W1286" s="0" t="n">
        <f aca="false">T1286+U1286</f>
        <v>63</v>
      </c>
    </row>
    <row r="1287" customFormat="false" ht="15" hidden="false" customHeight="false" outlineLevel="0" collapsed="false">
      <c r="A1287" s="0" t="n">
        <v>1284</v>
      </c>
      <c r="B1287" s="0" t="n">
        <f aca="true">NORMINV(RAND(),1,Coefficients!$B$22)</f>
        <v>0.974432677395537</v>
      </c>
      <c r="C1287" s="0" t="n">
        <f aca="true">MEDIAN(8,16,ROUND(NORMINV(RAND(),Coefficients!$B$20,Coefficients!$B$21),0))</f>
        <v>11</v>
      </c>
      <c r="D1287" s="0" t="n">
        <f aca="true">CRITBINOM($C1287,MIN(0.75,Matchup!$B$39*$B1287),RAND())</f>
        <v>3</v>
      </c>
      <c r="E1287" s="0" t="n">
        <f aca="true">CRITBINOM(D1287,Coefficients!$B$30,RAND())</f>
        <v>0</v>
      </c>
      <c r="F1287" s="0" t="n">
        <f aca="true">CRITBINOM(E1287,Coefficients!$B$31,RAND())</f>
        <v>0</v>
      </c>
      <c r="G1287" s="0" t="n">
        <f aca="true">CRITBINOM(MAX(0,D1287-E1287),1-Coefficients!$B$32,RAND())</f>
        <v>0</v>
      </c>
      <c r="H1287" s="0" t="n">
        <f aca="true">CRITBINOM(MAX(0,$C1287-D1287),MIN(0.6,Matchup!$B$40*SQRT($B1287)/(1-MIN(0.75,Matchup!$B$39*$B1287))),RAND())</f>
        <v>1</v>
      </c>
      <c r="I1287" s="0" t="n">
        <f aca="false">6*D1287+(D1287-E1287-G1287)+2*F1287+3*H1287</f>
        <v>24</v>
      </c>
      <c r="J1287" s="0" t="n">
        <f aca="true">CRITBINOM($C1287,MIN(0.75,Matchup!$C$39*$B1287),RAND())</f>
        <v>3</v>
      </c>
      <c r="K1287" s="0" t="n">
        <f aca="true">CRITBINOM(J1287,Coefficients!$B$30,RAND())</f>
        <v>1</v>
      </c>
      <c r="L1287" s="0" t="n">
        <f aca="true">CRITBINOM(K1287,Coefficients!$B$31,RAND())</f>
        <v>1</v>
      </c>
      <c r="M1287" s="0" t="n">
        <f aca="true">CRITBINOM(MAX(0,J1287-K1287),1-Coefficients!$B$32,RAND())</f>
        <v>0</v>
      </c>
      <c r="N1287" s="0" t="n">
        <f aca="true">CRITBINOM(MAX(0,$C1287-J1287),MIN(0.6,Matchup!$C$40*SQRT($B1287)/(1-MIN(0.75,Matchup!$C$39*$B1287))),RAND())</f>
        <v>4</v>
      </c>
      <c r="O1287" s="0" t="n">
        <f aca="false">6*J1287+(J1287-K1287-M1287)+2*L1287+3*N1287</f>
        <v>34</v>
      </c>
      <c r="P1287" s="0" t="n">
        <f aca="true">RAND()</f>
        <v>0.148416392185243</v>
      </c>
      <c r="Q1287" s="0" t="n">
        <f aca="true">RAND()</f>
        <v>0.304697291551399</v>
      </c>
      <c r="R1287" s="0" t="n">
        <f aca="false">IF($I1287&lt;&gt;$O1287,0,IF(P1287&lt;Matchup!$B$39,7,IF(P1287&lt;Matchup!$B$39+Matchup!$B$40,3,0)))</f>
        <v>0</v>
      </c>
      <c r="S1287" s="0" t="n">
        <f aca="false">IF($I1287&lt;&gt;$O1287,0,IF(Q1287&lt;Matchup!$C$39,7,IF(Q1287&lt;Matchup!$C$39+Matchup!$C$40,3,0)))</f>
        <v>0</v>
      </c>
      <c r="T1287" s="0" t="n">
        <f aca="false">I1287+R1287</f>
        <v>24</v>
      </c>
      <c r="U1287" s="0" t="n">
        <f aca="false">O1287+S1287</f>
        <v>34</v>
      </c>
      <c r="V1287" s="0" t="n">
        <f aca="false">T1287-U1287</f>
        <v>-10</v>
      </c>
      <c r="W1287" s="0" t="n">
        <f aca="false">T1287+U1287</f>
        <v>58</v>
      </c>
    </row>
    <row r="1288" customFormat="false" ht="15" hidden="false" customHeight="false" outlineLevel="0" collapsed="false">
      <c r="A1288" s="0" t="n">
        <v>1285</v>
      </c>
      <c r="B1288" s="0" t="n">
        <f aca="true">NORMINV(RAND(),1,Coefficients!$B$22)</f>
        <v>0.928281912195833</v>
      </c>
      <c r="C1288" s="0" t="n">
        <f aca="true">MEDIAN(8,16,ROUND(NORMINV(RAND(),Coefficients!$B$20,Coefficients!$B$21),0))</f>
        <v>11</v>
      </c>
      <c r="D1288" s="0" t="n">
        <f aca="true">CRITBINOM($C1288,MIN(0.75,Matchup!$B$39*$B1288),RAND())</f>
        <v>2</v>
      </c>
      <c r="E1288" s="0" t="n">
        <f aca="true">CRITBINOM(D1288,Coefficients!$B$30,RAND())</f>
        <v>0</v>
      </c>
      <c r="F1288" s="0" t="n">
        <f aca="true">CRITBINOM(E1288,Coefficients!$B$31,RAND())</f>
        <v>0</v>
      </c>
      <c r="G1288" s="0" t="n">
        <f aca="true">CRITBINOM(MAX(0,D1288-E1288),1-Coefficients!$B$32,RAND())</f>
        <v>1</v>
      </c>
      <c r="H1288" s="0" t="n">
        <f aca="true">CRITBINOM(MAX(0,$C1288-D1288),MIN(0.6,Matchup!$B$40*SQRT($B1288)/(1-MIN(0.75,Matchup!$B$39*$B1288))),RAND())</f>
        <v>3</v>
      </c>
      <c r="I1288" s="0" t="n">
        <f aca="false">6*D1288+(D1288-E1288-G1288)+2*F1288+3*H1288</f>
        <v>22</v>
      </c>
      <c r="J1288" s="0" t="n">
        <f aca="true">CRITBINOM($C1288,MIN(0.75,Matchup!$C$39*$B1288),RAND())</f>
        <v>2</v>
      </c>
      <c r="K1288" s="0" t="n">
        <f aca="true">CRITBINOM(J1288,Coefficients!$B$30,RAND())</f>
        <v>0</v>
      </c>
      <c r="L1288" s="0" t="n">
        <f aca="true">CRITBINOM(K1288,Coefficients!$B$31,RAND())</f>
        <v>0</v>
      </c>
      <c r="M1288" s="0" t="n">
        <f aca="true">CRITBINOM(MAX(0,J1288-K1288),1-Coefficients!$B$32,RAND())</f>
        <v>0</v>
      </c>
      <c r="N1288" s="0" t="n">
        <f aca="true">CRITBINOM(MAX(0,$C1288-J1288),MIN(0.6,Matchup!$C$40*SQRT($B1288)/(1-MIN(0.75,Matchup!$C$39*$B1288))),RAND())</f>
        <v>0</v>
      </c>
      <c r="O1288" s="0" t="n">
        <f aca="false">6*J1288+(J1288-K1288-M1288)+2*L1288+3*N1288</f>
        <v>14</v>
      </c>
      <c r="P1288" s="0" t="n">
        <f aca="true">RAND()</f>
        <v>0.143974878026992</v>
      </c>
      <c r="Q1288" s="0" t="n">
        <f aca="true">RAND()</f>
        <v>0.377155938641637</v>
      </c>
      <c r="R1288" s="0" t="n">
        <f aca="false">IF($I1288&lt;&gt;$O1288,0,IF(P1288&lt;Matchup!$B$39,7,IF(P1288&lt;Matchup!$B$39+Matchup!$B$40,3,0)))</f>
        <v>0</v>
      </c>
      <c r="S1288" s="0" t="n">
        <f aca="false">IF($I1288&lt;&gt;$O1288,0,IF(Q1288&lt;Matchup!$C$39,7,IF(Q1288&lt;Matchup!$C$39+Matchup!$C$40,3,0)))</f>
        <v>0</v>
      </c>
      <c r="T1288" s="0" t="n">
        <f aca="false">I1288+R1288</f>
        <v>22</v>
      </c>
      <c r="U1288" s="0" t="n">
        <f aca="false">O1288+S1288</f>
        <v>14</v>
      </c>
      <c r="V1288" s="0" t="n">
        <f aca="false">T1288-U1288</f>
        <v>8</v>
      </c>
      <c r="W1288" s="0" t="n">
        <f aca="false">T1288+U1288</f>
        <v>36</v>
      </c>
    </row>
    <row r="1289" customFormat="false" ht="15" hidden="false" customHeight="false" outlineLevel="0" collapsed="false">
      <c r="A1289" s="0" t="n">
        <v>1286</v>
      </c>
      <c r="B1289" s="0" t="n">
        <f aca="true">NORMINV(RAND(),1,Coefficients!$B$22)</f>
        <v>0.993405142068707</v>
      </c>
      <c r="C1289" s="0" t="n">
        <f aca="true">MEDIAN(8,16,ROUND(NORMINV(RAND(),Coefficients!$B$20,Coefficients!$B$21),0))</f>
        <v>13</v>
      </c>
      <c r="D1289" s="0" t="n">
        <f aca="true">CRITBINOM($C1289,MIN(0.75,Matchup!$B$39*$B1289),RAND())</f>
        <v>5</v>
      </c>
      <c r="E1289" s="0" t="n">
        <f aca="true">CRITBINOM(D1289,Coefficients!$B$30,RAND())</f>
        <v>1</v>
      </c>
      <c r="F1289" s="0" t="n">
        <f aca="true">CRITBINOM(E1289,Coefficients!$B$31,RAND())</f>
        <v>0</v>
      </c>
      <c r="G1289" s="0" t="n">
        <f aca="true">CRITBINOM(MAX(0,D1289-E1289),1-Coefficients!$B$32,RAND())</f>
        <v>0</v>
      </c>
      <c r="H1289" s="0" t="n">
        <f aca="true">CRITBINOM(MAX(0,$C1289-D1289),MIN(0.6,Matchup!$B$40*SQRT($B1289)/(1-MIN(0.75,Matchup!$B$39*$B1289))),RAND())</f>
        <v>3</v>
      </c>
      <c r="I1289" s="0" t="n">
        <f aca="false">6*D1289+(D1289-E1289-G1289)+2*F1289+3*H1289</f>
        <v>43</v>
      </c>
      <c r="J1289" s="0" t="n">
        <f aca="true">CRITBINOM($C1289,MIN(0.75,Matchup!$C$39*$B1289),RAND())</f>
        <v>2</v>
      </c>
      <c r="K1289" s="0" t="n">
        <f aca="true">CRITBINOM(J1289,Coefficients!$B$30,RAND())</f>
        <v>0</v>
      </c>
      <c r="L1289" s="0" t="n">
        <f aca="true">CRITBINOM(K1289,Coefficients!$B$31,RAND())</f>
        <v>0</v>
      </c>
      <c r="M1289" s="0" t="n">
        <f aca="true">CRITBINOM(MAX(0,J1289-K1289),1-Coefficients!$B$32,RAND())</f>
        <v>0</v>
      </c>
      <c r="N1289" s="0" t="n">
        <f aca="true">CRITBINOM(MAX(0,$C1289-J1289),MIN(0.6,Matchup!$C$40*SQRT($B1289)/(1-MIN(0.75,Matchup!$C$39*$B1289))),RAND())</f>
        <v>2</v>
      </c>
      <c r="O1289" s="0" t="n">
        <f aca="false">6*J1289+(J1289-K1289-M1289)+2*L1289+3*N1289</f>
        <v>20</v>
      </c>
      <c r="P1289" s="0" t="n">
        <f aca="true">RAND()</f>
        <v>0.575242678200887</v>
      </c>
      <c r="Q1289" s="0" t="n">
        <f aca="true">RAND()</f>
        <v>0.239305144963189</v>
      </c>
      <c r="R1289" s="0" t="n">
        <f aca="false">IF($I1289&lt;&gt;$O1289,0,IF(P1289&lt;Matchup!$B$39,7,IF(P1289&lt;Matchup!$B$39+Matchup!$B$40,3,0)))</f>
        <v>0</v>
      </c>
      <c r="S1289" s="0" t="n">
        <f aca="false">IF($I1289&lt;&gt;$O1289,0,IF(Q1289&lt;Matchup!$C$39,7,IF(Q1289&lt;Matchup!$C$39+Matchup!$C$40,3,0)))</f>
        <v>0</v>
      </c>
      <c r="T1289" s="0" t="n">
        <f aca="false">I1289+R1289</f>
        <v>43</v>
      </c>
      <c r="U1289" s="0" t="n">
        <f aca="false">O1289+S1289</f>
        <v>20</v>
      </c>
      <c r="V1289" s="0" t="n">
        <f aca="false">T1289-U1289</f>
        <v>23</v>
      </c>
      <c r="W1289" s="0" t="n">
        <f aca="false">T1289+U1289</f>
        <v>63</v>
      </c>
    </row>
    <row r="1290" customFormat="false" ht="15" hidden="false" customHeight="false" outlineLevel="0" collapsed="false">
      <c r="A1290" s="0" t="n">
        <v>1287</v>
      </c>
      <c r="B1290" s="0" t="n">
        <f aca="true">NORMINV(RAND(),1,Coefficients!$B$22)</f>
        <v>0.976472682356921</v>
      </c>
      <c r="C1290" s="0" t="n">
        <f aca="true">MEDIAN(8,16,ROUND(NORMINV(RAND(),Coefficients!$B$20,Coefficients!$B$21),0))</f>
        <v>13</v>
      </c>
      <c r="D1290" s="0" t="n">
        <f aca="true">CRITBINOM($C1290,MIN(0.75,Matchup!$B$39*$B1290),RAND())</f>
        <v>3</v>
      </c>
      <c r="E1290" s="0" t="n">
        <f aca="true">CRITBINOM(D1290,Coefficients!$B$30,RAND())</f>
        <v>0</v>
      </c>
      <c r="F1290" s="0" t="n">
        <f aca="true">CRITBINOM(E1290,Coefficients!$B$31,RAND())</f>
        <v>0</v>
      </c>
      <c r="G1290" s="0" t="n">
        <f aca="true">CRITBINOM(MAX(0,D1290-E1290),1-Coefficients!$B$32,RAND())</f>
        <v>0</v>
      </c>
      <c r="H1290" s="0" t="n">
        <f aca="true">CRITBINOM(MAX(0,$C1290-D1290),MIN(0.6,Matchup!$B$40*SQRT($B1290)/(1-MIN(0.75,Matchup!$B$39*$B1290))),RAND())</f>
        <v>3</v>
      </c>
      <c r="I1290" s="0" t="n">
        <f aca="false">6*D1290+(D1290-E1290-G1290)+2*F1290+3*H1290</f>
        <v>30</v>
      </c>
      <c r="J1290" s="0" t="n">
        <f aca="true">CRITBINOM($C1290,MIN(0.75,Matchup!$C$39*$B1290),RAND())</f>
        <v>0</v>
      </c>
      <c r="K1290" s="0" t="n">
        <f aca="true">CRITBINOM(J1290,Coefficients!$B$30,RAND())</f>
        <v>0</v>
      </c>
      <c r="L1290" s="0" t="n">
        <f aca="true">CRITBINOM(K1290,Coefficients!$B$31,RAND())</f>
        <v>0</v>
      </c>
      <c r="M1290" s="0" t="n">
        <f aca="true">CRITBINOM(MAX(0,J1290-K1290),1-Coefficients!$B$32,RAND())</f>
        <v>0</v>
      </c>
      <c r="N1290" s="0" t="n">
        <f aca="true">CRITBINOM(MAX(0,$C1290-J1290),MIN(0.6,Matchup!$C$40*SQRT($B1290)/(1-MIN(0.75,Matchup!$C$39*$B1290))),RAND())</f>
        <v>1</v>
      </c>
      <c r="O1290" s="0" t="n">
        <f aca="false">6*J1290+(J1290-K1290-M1290)+2*L1290+3*N1290</f>
        <v>3</v>
      </c>
      <c r="P1290" s="0" t="n">
        <f aca="true">RAND()</f>
        <v>0.411633052084289</v>
      </c>
      <c r="Q1290" s="0" t="n">
        <f aca="true">RAND()</f>
        <v>0.176536431978026</v>
      </c>
      <c r="R1290" s="0" t="n">
        <f aca="false">IF($I1290&lt;&gt;$O1290,0,IF(P1290&lt;Matchup!$B$39,7,IF(P1290&lt;Matchup!$B$39+Matchup!$B$40,3,0)))</f>
        <v>0</v>
      </c>
      <c r="S1290" s="0" t="n">
        <f aca="false">IF($I1290&lt;&gt;$O1290,0,IF(Q1290&lt;Matchup!$C$39,7,IF(Q1290&lt;Matchup!$C$39+Matchup!$C$40,3,0)))</f>
        <v>0</v>
      </c>
      <c r="T1290" s="0" t="n">
        <f aca="false">I1290+R1290</f>
        <v>30</v>
      </c>
      <c r="U1290" s="0" t="n">
        <f aca="false">O1290+S1290</f>
        <v>3</v>
      </c>
      <c r="V1290" s="0" t="n">
        <f aca="false">T1290-U1290</f>
        <v>27</v>
      </c>
      <c r="W1290" s="0" t="n">
        <f aca="false">T1290+U1290</f>
        <v>33</v>
      </c>
    </row>
    <row r="1291" customFormat="false" ht="15" hidden="false" customHeight="false" outlineLevel="0" collapsed="false">
      <c r="A1291" s="0" t="n">
        <v>1288</v>
      </c>
      <c r="B1291" s="0" t="n">
        <f aca="true">NORMINV(RAND(),1,Coefficients!$B$22)</f>
        <v>0.97045074742136</v>
      </c>
      <c r="C1291" s="0" t="n">
        <f aca="true">MEDIAN(8,16,ROUND(NORMINV(RAND(),Coefficients!$B$20,Coefficients!$B$21),0))</f>
        <v>11</v>
      </c>
      <c r="D1291" s="0" t="n">
        <f aca="true">CRITBINOM($C1291,MIN(0.75,Matchup!$B$39*$B1291),RAND())</f>
        <v>0</v>
      </c>
      <c r="E1291" s="0" t="n">
        <f aca="true">CRITBINOM(D1291,Coefficients!$B$30,RAND())</f>
        <v>0</v>
      </c>
      <c r="F1291" s="0" t="n">
        <f aca="true">CRITBINOM(E1291,Coefficients!$B$31,RAND())</f>
        <v>0</v>
      </c>
      <c r="G1291" s="0" t="n">
        <f aca="true">CRITBINOM(MAX(0,D1291-E1291),1-Coefficients!$B$32,RAND())</f>
        <v>0</v>
      </c>
      <c r="H1291" s="0" t="n">
        <f aca="true">CRITBINOM(MAX(0,$C1291-D1291),MIN(0.6,Matchup!$B$40*SQRT($B1291)/(1-MIN(0.75,Matchup!$B$39*$B1291))),RAND())</f>
        <v>5</v>
      </c>
      <c r="I1291" s="0" t="n">
        <f aca="false">6*D1291+(D1291-E1291-G1291)+2*F1291+3*H1291</f>
        <v>15</v>
      </c>
      <c r="J1291" s="0" t="n">
        <f aca="true">CRITBINOM($C1291,MIN(0.75,Matchup!$C$39*$B1291),RAND())</f>
        <v>5</v>
      </c>
      <c r="K1291" s="0" t="n">
        <f aca="true">CRITBINOM(J1291,Coefficients!$B$30,RAND())</f>
        <v>0</v>
      </c>
      <c r="L1291" s="0" t="n">
        <f aca="true">CRITBINOM(K1291,Coefficients!$B$31,RAND())</f>
        <v>0</v>
      </c>
      <c r="M1291" s="0" t="n">
        <f aca="true">CRITBINOM(MAX(0,J1291-K1291),1-Coefficients!$B$32,RAND())</f>
        <v>1</v>
      </c>
      <c r="N1291" s="0" t="n">
        <f aca="true">CRITBINOM(MAX(0,$C1291-J1291),MIN(0.6,Matchup!$C$40*SQRT($B1291)/(1-MIN(0.75,Matchup!$C$39*$B1291))),RAND())</f>
        <v>2</v>
      </c>
      <c r="O1291" s="0" t="n">
        <f aca="false">6*J1291+(J1291-K1291-M1291)+2*L1291+3*N1291</f>
        <v>40</v>
      </c>
      <c r="P1291" s="0" t="n">
        <f aca="true">RAND()</f>
        <v>0.0777232332736268</v>
      </c>
      <c r="Q1291" s="0" t="n">
        <f aca="true">RAND()</f>
        <v>0.708291314588252</v>
      </c>
      <c r="R1291" s="0" t="n">
        <f aca="false">IF($I1291&lt;&gt;$O1291,0,IF(P1291&lt;Matchup!$B$39,7,IF(P1291&lt;Matchup!$B$39+Matchup!$B$40,3,0)))</f>
        <v>0</v>
      </c>
      <c r="S1291" s="0" t="n">
        <f aca="false">IF($I1291&lt;&gt;$O1291,0,IF(Q1291&lt;Matchup!$C$39,7,IF(Q1291&lt;Matchup!$C$39+Matchup!$C$40,3,0)))</f>
        <v>0</v>
      </c>
      <c r="T1291" s="0" t="n">
        <f aca="false">I1291+R1291</f>
        <v>15</v>
      </c>
      <c r="U1291" s="0" t="n">
        <f aca="false">O1291+S1291</f>
        <v>40</v>
      </c>
      <c r="V1291" s="0" t="n">
        <f aca="false">T1291-U1291</f>
        <v>-25</v>
      </c>
      <c r="W1291" s="0" t="n">
        <f aca="false">T1291+U1291</f>
        <v>55</v>
      </c>
    </row>
    <row r="1292" customFormat="false" ht="15" hidden="false" customHeight="false" outlineLevel="0" collapsed="false">
      <c r="A1292" s="0" t="n">
        <v>1289</v>
      </c>
      <c r="B1292" s="0" t="n">
        <f aca="true">NORMINV(RAND(),1,Coefficients!$B$22)</f>
        <v>0.907293987083396</v>
      </c>
      <c r="C1292" s="0" t="n">
        <f aca="true">MEDIAN(8,16,ROUND(NORMINV(RAND(),Coefficients!$B$20,Coefficients!$B$21),0))</f>
        <v>10</v>
      </c>
      <c r="D1292" s="0" t="n">
        <f aca="true">CRITBINOM($C1292,MIN(0.75,Matchup!$B$39*$B1292),RAND())</f>
        <v>3</v>
      </c>
      <c r="E1292" s="0" t="n">
        <f aca="true">CRITBINOM(D1292,Coefficients!$B$30,RAND())</f>
        <v>0</v>
      </c>
      <c r="F1292" s="0" t="n">
        <f aca="true">CRITBINOM(E1292,Coefficients!$B$31,RAND())</f>
        <v>0</v>
      </c>
      <c r="G1292" s="0" t="n">
        <f aca="true">CRITBINOM(MAX(0,D1292-E1292),1-Coefficients!$B$32,RAND())</f>
        <v>0</v>
      </c>
      <c r="H1292" s="0" t="n">
        <f aca="true">CRITBINOM(MAX(0,$C1292-D1292),MIN(0.6,Matchup!$B$40*SQRT($B1292)/(1-MIN(0.75,Matchup!$B$39*$B1292))),RAND())</f>
        <v>0</v>
      </c>
      <c r="I1292" s="0" t="n">
        <f aca="false">6*D1292+(D1292-E1292-G1292)+2*F1292+3*H1292</f>
        <v>21</v>
      </c>
      <c r="J1292" s="0" t="n">
        <f aca="true">CRITBINOM($C1292,MIN(0.75,Matchup!$C$39*$B1292),RAND())</f>
        <v>2</v>
      </c>
      <c r="K1292" s="0" t="n">
        <f aca="true">CRITBINOM(J1292,Coefficients!$B$30,RAND())</f>
        <v>0</v>
      </c>
      <c r="L1292" s="0" t="n">
        <f aca="true">CRITBINOM(K1292,Coefficients!$B$31,RAND())</f>
        <v>0</v>
      </c>
      <c r="M1292" s="0" t="n">
        <f aca="true">CRITBINOM(MAX(0,J1292-K1292),1-Coefficients!$B$32,RAND())</f>
        <v>0</v>
      </c>
      <c r="N1292" s="0" t="n">
        <f aca="true">CRITBINOM(MAX(0,$C1292-J1292),MIN(0.6,Matchup!$C$40*SQRT($B1292)/(1-MIN(0.75,Matchup!$C$39*$B1292))),RAND())</f>
        <v>1</v>
      </c>
      <c r="O1292" s="0" t="n">
        <f aca="false">6*J1292+(J1292-K1292-M1292)+2*L1292+3*N1292</f>
        <v>17</v>
      </c>
      <c r="P1292" s="0" t="n">
        <f aca="true">RAND()</f>
        <v>0.297239074048376</v>
      </c>
      <c r="Q1292" s="0" t="n">
        <f aca="true">RAND()</f>
        <v>0.744220261373602</v>
      </c>
      <c r="R1292" s="0" t="n">
        <f aca="false">IF($I1292&lt;&gt;$O1292,0,IF(P1292&lt;Matchup!$B$39,7,IF(P1292&lt;Matchup!$B$39+Matchup!$B$40,3,0)))</f>
        <v>0</v>
      </c>
      <c r="S1292" s="0" t="n">
        <f aca="false">IF($I1292&lt;&gt;$O1292,0,IF(Q1292&lt;Matchup!$C$39,7,IF(Q1292&lt;Matchup!$C$39+Matchup!$C$40,3,0)))</f>
        <v>0</v>
      </c>
      <c r="T1292" s="0" t="n">
        <f aca="false">I1292+R1292</f>
        <v>21</v>
      </c>
      <c r="U1292" s="0" t="n">
        <f aca="false">O1292+S1292</f>
        <v>17</v>
      </c>
      <c r="V1292" s="0" t="n">
        <f aca="false">T1292-U1292</f>
        <v>4</v>
      </c>
      <c r="W1292" s="0" t="n">
        <f aca="false">T1292+U1292</f>
        <v>38</v>
      </c>
    </row>
    <row r="1293" customFormat="false" ht="15" hidden="false" customHeight="false" outlineLevel="0" collapsed="false">
      <c r="A1293" s="0" t="n">
        <v>1290</v>
      </c>
      <c r="B1293" s="0" t="n">
        <f aca="true">NORMINV(RAND(),1,Coefficients!$B$22)</f>
        <v>0.929385216421747</v>
      </c>
      <c r="C1293" s="0" t="n">
        <f aca="true">MEDIAN(8,16,ROUND(NORMINV(RAND(),Coefficients!$B$20,Coefficients!$B$21),0))</f>
        <v>11</v>
      </c>
      <c r="D1293" s="0" t="n">
        <f aca="true">CRITBINOM($C1293,MIN(0.75,Matchup!$B$39*$B1293),RAND())</f>
        <v>5</v>
      </c>
      <c r="E1293" s="0" t="n">
        <f aca="true">CRITBINOM(D1293,Coefficients!$B$30,RAND())</f>
        <v>0</v>
      </c>
      <c r="F1293" s="0" t="n">
        <f aca="true">CRITBINOM(E1293,Coefficients!$B$31,RAND())</f>
        <v>0</v>
      </c>
      <c r="G1293" s="0" t="n">
        <f aca="true">CRITBINOM(MAX(0,D1293-E1293),1-Coefficients!$B$32,RAND())</f>
        <v>0</v>
      </c>
      <c r="H1293" s="0" t="n">
        <f aca="true">CRITBINOM(MAX(0,$C1293-D1293),MIN(0.6,Matchup!$B$40*SQRT($B1293)/(1-MIN(0.75,Matchup!$B$39*$B1293))),RAND())</f>
        <v>1</v>
      </c>
      <c r="I1293" s="0" t="n">
        <f aca="false">6*D1293+(D1293-E1293-G1293)+2*F1293+3*H1293</f>
        <v>38</v>
      </c>
      <c r="J1293" s="0" t="n">
        <f aca="true">CRITBINOM($C1293,MIN(0.75,Matchup!$C$39*$B1293),RAND())</f>
        <v>0</v>
      </c>
      <c r="K1293" s="0" t="n">
        <f aca="true">CRITBINOM(J1293,Coefficients!$B$30,RAND())</f>
        <v>0</v>
      </c>
      <c r="L1293" s="0" t="n">
        <f aca="true">CRITBINOM(K1293,Coefficients!$B$31,RAND())</f>
        <v>0</v>
      </c>
      <c r="M1293" s="0" t="n">
        <f aca="true">CRITBINOM(MAX(0,J1293-K1293),1-Coefficients!$B$32,RAND())</f>
        <v>0</v>
      </c>
      <c r="N1293" s="0" t="n">
        <f aca="true">CRITBINOM(MAX(0,$C1293-J1293),MIN(0.6,Matchup!$C$40*SQRT($B1293)/(1-MIN(0.75,Matchup!$C$39*$B1293))),RAND())</f>
        <v>1</v>
      </c>
      <c r="O1293" s="0" t="n">
        <f aca="false">6*J1293+(J1293-K1293-M1293)+2*L1293+3*N1293</f>
        <v>3</v>
      </c>
      <c r="P1293" s="0" t="n">
        <f aca="true">RAND()</f>
        <v>0.187703747633979</v>
      </c>
      <c r="Q1293" s="0" t="n">
        <f aca="true">RAND()</f>
        <v>0.845583738912466</v>
      </c>
      <c r="R1293" s="0" t="n">
        <f aca="false">IF($I1293&lt;&gt;$O1293,0,IF(P1293&lt;Matchup!$B$39,7,IF(P1293&lt;Matchup!$B$39+Matchup!$B$40,3,0)))</f>
        <v>0</v>
      </c>
      <c r="S1293" s="0" t="n">
        <f aca="false">IF($I1293&lt;&gt;$O1293,0,IF(Q1293&lt;Matchup!$C$39,7,IF(Q1293&lt;Matchup!$C$39+Matchup!$C$40,3,0)))</f>
        <v>0</v>
      </c>
      <c r="T1293" s="0" t="n">
        <f aca="false">I1293+R1293</f>
        <v>38</v>
      </c>
      <c r="U1293" s="0" t="n">
        <f aca="false">O1293+S1293</f>
        <v>3</v>
      </c>
      <c r="V1293" s="0" t="n">
        <f aca="false">T1293-U1293</f>
        <v>35</v>
      </c>
      <c r="W1293" s="0" t="n">
        <f aca="false">T1293+U1293</f>
        <v>41</v>
      </c>
    </row>
    <row r="1294" customFormat="false" ht="15" hidden="false" customHeight="false" outlineLevel="0" collapsed="false">
      <c r="A1294" s="0" t="n">
        <v>1291</v>
      </c>
      <c r="B1294" s="0" t="n">
        <f aca="true">NORMINV(RAND(),1,Coefficients!$B$22)</f>
        <v>1.1022604389668</v>
      </c>
      <c r="C1294" s="0" t="n">
        <f aca="true">MEDIAN(8,16,ROUND(NORMINV(RAND(),Coefficients!$B$20,Coefficients!$B$21),0))</f>
        <v>11</v>
      </c>
      <c r="D1294" s="0" t="n">
        <f aca="true">CRITBINOM($C1294,MIN(0.75,Matchup!$B$39*$B1294),RAND())</f>
        <v>3</v>
      </c>
      <c r="E1294" s="0" t="n">
        <f aca="true">CRITBINOM(D1294,Coefficients!$B$30,RAND())</f>
        <v>0</v>
      </c>
      <c r="F1294" s="0" t="n">
        <f aca="true">CRITBINOM(E1294,Coefficients!$B$31,RAND())</f>
        <v>0</v>
      </c>
      <c r="G1294" s="0" t="n">
        <f aca="true">CRITBINOM(MAX(0,D1294-E1294),1-Coefficients!$B$32,RAND())</f>
        <v>0</v>
      </c>
      <c r="H1294" s="0" t="n">
        <f aca="true">CRITBINOM(MAX(0,$C1294-D1294),MIN(0.6,Matchup!$B$40*SQRT($B1294)/(1-MIN(0.75,Matchup!$B$39*$B1294))),RAND())</f>
        <v>2</v>
      </c>
      <c r="I1294" s="0" t="n">
        <f aca="false">6*D1294+(D1294-E1294-G1294)+2*F1294+3*H1294</f>
        <v>27</v>
      </c>
      <c r="J1294" s="0" t="n">
        <f aca="true">CRITBINOM($C1294,MIN(0.75,Matchup!$C$39*$B1294),RAND())</f>
        <v>1</v>
      </c>
      <c r="K1294" s="0" t="n">
        <f aca="true">CRITBINOM(J1294,Coefficients!$B$30,RAND())</f>
        <v>0</v>
      </c>
      <c r="L1294" s="0" t="n">
        <f aca="true">CRITBINOM(K1294,Coefficients!$B$31,RAND())</f>
        <v>0</v>
      </c>
      <c r="M1294" s="0" t="n">
        <f aca="true">CRITBINOM(MAX(0,J1294-K1294),1-Coefficients!$B$32,RAND())</f>
        <v>0</v>
      </c>
      <c r="N1294" s="0" t="n">
        <f aca="true">CRITBINOM(MAX(0,$C1294-J1294),MIN(0.6,Matchup!$C$40*SQRT($B1294)/(1-MIN(0.75,Matchup!$C$39*$B1294))),RAND())</f>
        <v>2</v>
      </c>
      <c r="O1294" s="0" t="n">
        <f aca="false">6*J1294+(J1294-K1294-M1294)+2*L1294+3*N1294</f>
        <v>13</v>
      </c>
      <c r="P1294" s="0" t="n">
        <f aca="true">RAND()</f>
        <v>0.788174737790811</v>
      </c>
      <c r="Q1294" s="0" t="n">
        <f aca="true">RAND()</f>
        <v>0.146781907604729</v>
      </c>
      <c r="R1294" s="0" t="n">
        <f aca="false">IF($I1294&lt;&gt;$O1294,0,IF(P1294&lt;Matchup!$B$39,7,IF(P1294&lt;Matchup!$B$39+Matchup!$B$40,3,0)))</f>
        <v>0</v>
      </c>
      <c r="S1294" s="0" t="n">
        <f aca="false">IF($I1294&lt;&gt;$O1294,0,IF(Q1294&lt;Matchup!$C$39,7,IF(Q1294&lt;Matchup!$C$39+Matchup!$C$40,3,0)))</f>
        <v>0</v>
      </c>
      <c r="T1294" s="0" t="n">
        <f aca="false">I1294+R1294</f>
        <v>27</v>
      </c>
      <c r="U1294" s="0" t="n">
        <f aca="false">O1294+S1294</f>
        <v>13</v>
      </c>
      <c r="V1294" s="0" t="n">
        <f aca="false">T1294-U1294</f>
        <v>14</v>
      </c>
      <c r="W1294" s="0" t="n">
        <f aca="false">T1294+U1294</f>
        <v>40</v>
      </c>
    </row>
    <row r="1295" customFormat="false" ht="15" hidden="false" customHeight="false" outlineLevel="0" collapsed="false">
      <c r="A1295" s="0" t="n">
        <v>1292</v>
      </c>
      <c r="B1295" s="0" t="n">
        <f aca="true">NORMINV(RAND(),1,Coefficients!$B$22)</f>
        <v>1.05589219848823</v>
      </c>
      <c r="C1295" s="0" t="n">
        <f aca="true">MEDIAN(8,16,ROUND(NORMINV(RAND(),Coefficients!$B$20,Coefficients!$B$21),0))</f>
        <v>10</v>
      </c>
      <c r="D1295" s="0" t="n">
        <f aca="true">CRITBINOM($C1295,MIN(0.75,Matchup!$B$39*$B1295),RAND())</f>
        <v>4</v>
      </c>
      <c r="E1295" s="0" t="n">
        <f aca="true">CRITBINOM(D1295,Coefficients!$B$30,RAND())</f>
        <v>0</v>
      </c>
      <c r="F1295" s="0" t="n">
        <f aca="true">CRITBINOM(E1295,Coefficients!$B$31,RAND())</f>
        <v>0</v>
      </c>
      <c r="G1295" s="0" t="n">
        <f aca="true">CRITBINOM(MAX(0,D1295-E1295),1-Coefficients!$B$32,RAND())</f>
        <v>0</v>
      </c>
      <c r="H1295" s="0" t="n">
        <f aca="true">CRITBINOM(MAX(0,$C1295-D1295),MIN(0.6,Matchup!$B$40*SQRT($B1295)/(1-MIN(0.75,Matchup!$B$39*$B1295))),RAND())</f>
        <v>2</v>
      </c>
      <c r="I1295" s="0" t="n">
        <f aca="false">6*D1295+(D1295-E1295-G1295)+2*F1295+3*H1295</f>
        <v>34</v>
      </c>
      <c r="J1295" s="0" t="n">
        <f aca="true">CRITBINOM($C1295,MIN(0.75,Matchup!$C$39*$B1295),RAND())</f>
        <v>5</v>
      </c>
      <c r="K1295" s="0" t="n">
        <f aca="true">CRITBINOM(J1295,Coefficients!$B$30,RAND())</f>
        <v>1</v>
      </c>
      <c r="L1295" s="0" t="n">
        <f aca="true">CRITBINOM(K1295,Coefficients!$B$31,RAND())</f>
        <v>0</v>
      </c>
      <c r="M1295" s="0" t="n">
        <f aca="true">CRITBINOM(MAX(0,J1295-K1295),1-Coefficients!$B$32,RAND())</f>
        <v>0</v>
      </c>
      <c r="N1295" s="0" t="n">
        <f aca="true">CRITBINOM(MAX(0,$C1295-J1295),MIN(0.6,Matchup!$C$40*SQRT($B1295)/(1-MIN(0.75,Matchup!$C$39*$B1295))),RAND())</f>
        <v>1</v>
      </c>
      <c r="O1295" s="0" t="n">
        <f aca="false">6*J1295+(J1295-K1295-M1295)+2*L1295+3*N1295</f>
        <v>37</v>
      </c>
      <c r="P1295" s="0" t="n">
        <f aca="true">RAND()</f>
        <v>0.484861866991032</v>
      </c>
      <c r="Q1295" s="0" t="n">
        <f aca="true">RAND()</f>
        <v>0.684508718575831</v>
      </c>
      <c r="R1295" s="0" t="n">
        <f aca="false">IF($I1295&lt;&gt;$O1295,0,IF(P1295&lt;Matchup!$B$39,7,IF(P1295&lt;Matchup!$B$39+Matchup!$B$40,3,0)))</f>
        <v>0</v>
      </c>
      <c r="S1295" s="0" t="n">
        <f aca="false">IF($I1295&lt;&gt;$O1295,0,IF(Q1295&lt;Matchup!$C$39,7,IF(Q1295&lt;Matchup!$C$39+Matchup!$C$40,3,0)))</f>
        <v>0</v>
      </c>
      <c r="T1295" s="0" t="n">
        <f aca="false">I1295+R1295</f>
        <v>34</v>
      </c>
      <c r="U1295" s="0" t="n">
        <f aca="false">O1295+S1295</f>
        <v>37</v>
      </c>
      <c r="V1295" s="0" t="n">
        <f aca="false">T1295-U1295</f>
        <v>-3</v>
      </c>
      <c r="W1295" s="0" t="n">
        <f aca="false">T1295+U1295</f>
        <v>71</v>
      </c>
    </row>
    <row r="1296" customFormat="false" ht="15" hidden="false" customHeight="false" outlineLevel="0" collapsed="false">
      <c r="A1296" s="0" t="n">
        <v>1293</v>
      </c>
      <c r="B1296" s="0" t="n">
        <f aca="true">NORMINV(RAND(),1,Coefficients!$B$22)</f>
        <v>1.07675134856533</v>
      </c>
      <c r="C1296" s="0" t="n">
        <f aca="true">MEDIAN(8,16,ROUND(NORMINV(RAND(),Coefficients!$B$20,Coefficients!$B$21),0))</f>
        <v>13</v>
      </c>
      <c r="D1296" s="0" t="n">
        <f aca="true">CRITBINOM($C1296,MIN(0.75,Matchup!$B$39*$B1296),RAND())</f>
        <v>1</v>
      </c>
      <c r="E1296" s="0" t="n">
        <f aca="true">CRITBINOM(D1296,Coefficients!$B$30,RAND())</f>
        <v>0</v>
      </c>
      <c r="F1296" s="0" t="n">
        <f aca="true">CRITBINOM(E1296,Coefficients!$B$31,RAND())</f>
        <v>0</v>
      </c>
      <c r="G1296" s="0" t="n">
        <f aca="true">CRITBINOM(MAX(0,D1296-E1296),1-Coefficients!$B$32,RAND())</f>
        <v>0</v>
      </c>
      <c r="H1296" s="0" t="n">
        <f aca="true">CRITBINOM(MAX(0,$C1296-D1296),MIN(0.6,Matchup!$B$40*SQRT($B1296)/(1-MIN(0.75,Matchup!$B$39*$B1296))),RAND())</f>
        <v>3</v>
      </c>
      <c r="I1296" s="0" t="n">
        <f aca="false">6*D1296+(D1296-E1296-G1296)+2*F1296+3*H1296</f>
        <v>16</v>
      </c>
      <c r="J1296" s="0" t="n">
        <f aca="true">CRITBINOM($C1296,MIN(0.75,Matchup!$C$39*$B1296),RAND())</f>
        <v>7</v>
      </c>
      <c r="K1296" s="0" t="n">
        <f aca="true">CRITBINOM(J1296,Coefficients!$B$30,RAND())</f>
        <v>2</v>
      </c>
      <c r="L1296" s="0" t="n">
        <f aca="true">CRITBINOM(K1296,Coefficients!$B$31,RAND())</f>
        <v>2</v>
      </c>
      <c r="M1296" s="0" t="n">
        <f aca="true">CRITBINOM(MAX(0,J1296-K1296),1-Coefficients!$B$32,RAND())</f>
        <v>0</v>
      </c>
      <c r="N1296" s="0" t="n">
        <f aca="true">CRITBINOM(MAX(0,$C1296-J1296),MIN(0.6,Matchup!$C$40*SQRT($B1296)/(1-MIN(0.75,Matchup!$C$39*$B1296))),RAND())</f>
        <v>1</v>
      </c>
      <c r="O1296" s="0" t="n">
        <f aca="false">6*J1296+(J1296-K1296-M1296)+2*L1296+3*N1296</f>
        <v>54</v>
      </c>
      <c r="P1296" s="0" t="n">
        <f aca="true">RAND()</f>
        <v>0.510070752929333</v>
      </c>
      <c r="Q1296" s="0" t="n">
        <f aca="true">RAND()</f>
        <v>0.737307327160231</v>
      </c>
      <c r="R1296" s="0" t="n">
        <f aca="false">IF($I1296&lt;&gt;$O1296,0,IF(P1296&lt;Matchup!$B$39,7,IF(P1296&lt;Matchup!$B$39+Matchup!$B$40,3,0)))</f>
        <v>0</v>
      </c>
      <c r="S1296" s="0" t="n">
        <f aca="false">IF($I1296&lt;&gt;$O1296,0,IF(Q1296&lt;Matchup!$C$39,7,IF(Q1296&lt;Matchup!$C$39+Matchup!$C$40,3,0)))</f>
        <v>0</v>
      </c>
      <c r="T1296" s="0" t="n">
        <f aca="false">I1296+R1296</f>
        <v>16</v>
      </c>
      <c r="U1296" s="0" t="n">
        <f aca="false">O1296+S1296</f>
        <v>54</v>
      </c>
      <c r="V1296" s="0" t="n">
        <f aca="false">T1296-U1296</f>
        <v>-38</v>
      </c>
      <c r="W1296" s="0" t="n">
        <f aca="false">T1296+U1296</f>
        <v>70</v>
      </c>
    </row>
    <row r="1297" customFormat="false" ht="15" hidden="false" customHeight="false" outlineLevel="0" collapsed="false">
      <c r="A1297" s="0" t="n">
        <v>1294</v>
      </c>
      <c r="B1297" s="0" t="n">
        <f aca="true">NORMINV(RAND(),1,Coefficients!$B$22)</f>
        <v>0.915631513085633</v>
      </c>
      <c r="C1297" s="0" t="n">
        <f aca="true">MEDIAN(8,16,ROUND(NORMINV(RAND(),Coefficients!$B$20,Coefficients!$B$21),0))</f>
        <v>11</v>
      </c>
      <c r="D1297" s="0" t="n">
        <f aca="true">CRITBINOM($C1297,MIN(0.75,Matchup!$B$39*$B1297),RAND())</f>
        <v>2</v>
      </c>
      <c r="E1297" s="0" t="n">
        <f aca="true">CRITBINOM(D1297,Coefficients!$B$30,RAND())</f>
        <v>1</v>
      </c>
      <c r="F1297" s="0" t="n">
        <f aca="true">CRITBINOM(E1297,Coefficients!$B$31,RAND())</f>
        <v>0</v>
      </c>
      <c r="G1297" s="0" t="n">
        <f aca="true">CRITBINOM(MAX(0,D1297-E1297),1-Coefficients!$B$32,RAND())</f>
        <v>0</v>
      </c>
      <c r="H1297" s="0" t="n">
        <f aca="true">CRITBINOM(MAX(0,$C1297-D1297),MIN(0.6,Matchup!$B$40*SQRT($B1297)/(1-MIN(0.75,Matchup!$B$39*$B1297))),RAND())</f>
        <v>1</v>
      </c>
      <c r="I1297" s="0" t="n">
        <f aca="false">6*D1297+(D1297-E1297-G1297)+2*F1297+3*H1297</f>
        <v>16</v>
      </c>
      <c r="J1297" s="0" t="n">
        <f aca="true">CRITBINOM($C1297,MIN(0.75,Matchup!$C$39*$B1297),RAND())</f>
        <v>2</v>
      </c>
      <c r="K1297" s="0" t="n">
        <f aca="true">CRITBINOM(J1297,Coefficients!$B$30,RAND())</f>
        <v>0</v>
      </c>
      <c r="L1297" s="0" t="n">
        <f aca="true">CRITBINOM(K1297,Coefficients!$B$31,RAND())</f>
        <v>0</v>
      </c>
      <c r="M1297" s="0" t="n">
        <f aca="true">CRITBINOM(MAX(0,J1297-K1297),1-Coefficients!$B$32,RAND())</f>
        <v>0</v>
      </c>
      <c r="N1297" s="0" t="n">
        <f aca="true">CRITBINOM(MAX(0,$C1297-J1297),MIN(0.6,Matchup!$C$40*SQRT($B1297)/(1-MIN(0.75,Matchup!$C$39*$B1297))),RAND())</f>
        <v>1</v>
      </c>
      <c r="O1297" s="0" t="n">
        <f aca="false">6*J1297+(J1297-K1297-M1297)+2*L1297+3*N1297</f>
        <v>17</v>
      </c>
      <c r="P1297" s="0" t="n">
        <f aca="true">RAND()</f>
        <v>0.246993933740166</v>
      </c>
      <c r="Q1297" s="0" t="n">
        <f aca="true">RAND()</f>
        <v>0.861787017144802</v>
      </c>
      <c r="R1297" s="0" t="n">
        <f aca="false">IF($I1297&lt;&gt;$O1297,0,IF(P1297&lt;Matchup!$B$39,7,IF(P1297&lt;Matchup!$B$39+Matchup!$B$40,3,0)))</f>
        <v>0</v>
      </c>
      <c r="S1297" s="0" t="n">
        <f aca="false">IF($I1297&lt;&gt;$O1297,0,IF(Q1297&lt;Matchup!$C$39,7,IF(Q1297&lt;Matchup!$C$39+Matchup!$C$40,3,0)))</f>
        <v>0</v>
      </c>
      <c r="T1297" s="0" t="n">
        <f aca="false">I1297+R1297</f>
        <v>16</v>
      </c>
      <c r="U1297" s="0" t="n">
        <f aca="false">O1297+S1297</f>
        <v>17</v>
      </c>
      <c r="V1297" s="0" t="n">
        <f aca="false">T1297-U1297</f>
        <v>-1</v>
      </c>
      <c r="W1297" s="0" t="n">
        <f aca="false">T1297+U1297</f>
        <v>33</v>
      </c>
    </row>
    <row r="1298" customFormat="false" ht="15" hidden="false" customHeight="false" outlineLevel="0" collapsed="false">
      <c r="A1298" s="0" t="n">
        <v>1295</v>
      </c>
      <c r="B1298" s="0" t="n">
        <f aca="true">NORMINV(RAND(),1,Coefficients!$B$22)</f>
        <v>0.947206032483865</v>
      </c>
      <c r="C1298" s="0" t="n">
        <f aca="true">MEDIAN(8,16,ROUND(NORMINV(RAND(),Coefficients!$B$20,Coefficients!$B$21),0))</f>
        <v>11</v>
      </c>
      <c r="D1298" s="0" t="n">
        <f aca="true">CRITBINOM($C1298,MIN(0.75,Matchup!$B$39*$B1298),RAND())</f>
        <v>4</v>
      </c>
      <c r="E1298" s="0" t="n">
        <f aca="true">CRITBINOM(D1298,Coefficients!$B$30,RAND())</f>
        <v>0</v>
      </c>
      <c r="F1298" s="0" t="n">
        <f aca="true">CRITBINOM(E1298,Coefficients!$B$31,RAND())</f>
        <v>0</v>
      </c>
      <c r="G1298" s="0" t="n">
        <f aca="true">CRITBINOM(MAX(0,D1298-E1298),1-Coefficients!$B$32,RAND())</f>
        <v>0</v>
      </c>
      <c r="H1298" s="0" t="n">
        <f aca="true">CRITBINOM(MAX(0,$C1298-D1298),MIN(0.6,Matchup!$B$40*SQRT($B1298)/(1-MIN(0.75,Matchup!$B$39*$B1298))),RAND())</f>
        <v>3</v>
      </c>
      <c r="I1298" s="0" t="n">
        <f aca="false">6*D1298+(D1298-E1298-G1298)+2*F1298+3*H1298</f>
        <v>37</v>
      </c>
      <c r="J1298" s="0" t="n">
        <f aca="true">CRITBINOM($C1298,MIN(0.75,Matchup!$C$39*$B1298),RAND())</f>
        <v>2</v>
      </c>
      <c r="K1298" s="0" t="n">
        <f aca="true">CRITBINOM(J1298,Coefficients!$B$30,RAND())</f>
        <v>1</v>
      </c>
      <c r="L1298" s="0" t="n">
        <f aca="true">CRITBINOM(K1298,Coefficients!$B$31,RAND())</f>
        <v>0</v>
      </c>
      <c r="M1298" s="0" t="n">
        <f aca="true">CRITBINOM(MAX(0,J1298-K1298),1-Coefficients!$B$32,RAND())</f>
        <v>0</v>
      </c>
      <c r="N1298" s="0" t="n">
        <f aca="true">CRITBINOM(MAX(0,$C1298-J1298),MIN(0.6,Matchup!$C$40*SQRT($B1298)/(1-MIN(0.75,Matchup!$C$39*$B1298))),RAND())</f>
        <v>3</v>
      </c>
      <c r="O1298" s="0" t="n">
        <f aca="false">6*J1298+(J1298-K1298-M1298)+2*L1298+3*N1298</f>
        <v>22</v>
      </c>
      <c r="P1298" s="0" t="n">
        <f aca="true">RAND()</f>
        <v>0.208822260579668</v>
      </c>
      <c r="Q1298" s="0" t="n">
        <f aca="true">RAND()</f>
        <v>0.630806458928579</v>
      </c>
      <c r="R1298" s="0" t="n">
        <f aca="false">IF($I1298&lt;&gt;$O1298,0,IF(P1298&lt;Matchup!$B$39,7,IF(P1298&lt;Matchup!$B$39+Matchup!$B$40,3,0)))</f>
        <v>0</v>
      </c>
      <c r="S1298" s="0" t="n">
        <f aca="false">IF($I1298&lt;&gt;$O1298,0,IF(Q1298&lt;Matchup!$C$39,7,IF(Q1298&lt;Matchup!$C$39+Matchup!$C$40,3,0)))</f>
        <v>0</v>
      </c>
      <c r="T1298" s="0" t="n">
        <f aca="false">I1298+R1298</f>
        <v>37</v>
      </c>
      <c r="U1298" s="0" t="n">
        <f aca="false">O1298+S1298</f>
        <v>22</v>
      </c>
      <c r="V1298" s="0" t="n">
        <f aca="false">T1298-U1298</f>
        <v>15</v>
      </c>
      <c r="W1298" s="0" t="n">
        <f aca="false">T1298+U1298</f>
        <v>59</v>
      </c>
    </row>
    <row r="1299" customFormat="false" ht="15" hidden="false" customHeight="false" outlineLevel="0" collapsed="false">
      <c r="A1299" s="0" t="n">
        <v>1296</v>
      </c>
      <c r="B1299" s="0" t="n">
        <f aca="true">NORMINV(RAND(),1,Coefficients!$B$22)</f>
        <v>1.03715505122717</v>
      </c>
      <c r="C1299" s="0" t="n">
        <f aca="true">MEDIAN(8,16,ROUND(NORMINV(RAND(),Coefficients!$B$20,Coefficients!$B$21),0))</f>
        <v>11</v>
      </c>
      <c r="D1299" s="0" t="n">
        <f aca="true">CRITBINOM($C1299,MIN(0.75,Matchup!$B$39*$B1299),RAND())</f>
        <v>1</v>
      </c>
      <c r="E1299" s="0" t="n">
        <f aca="true">CRITBINOM(D1299,Coefficients!$B$30,RAND())</f>
        <v>0</v>
      </c>
      <c r="F1299" s="0" t="n">
        <f aca="true">CRITBINOM(E1299,Coefficients!$B$31,RAND())</f>
        <v>0</v>
      </c>
      <c r="G1299" s="0" t="n">
        <f aca="true">CRITBINOM(MAX(0,D1299-E1299),1-Coefficients!$B$32,RAND())</f>
        <v>0</v>
      </c>
      <c r="H1299" s="0" t="n">
        <f aca="true">CRITBINOM(MAX(0,$C1299-D1299),MIN(0.6,Matchup!$B$40*SQRT($B1299)/(1-MIN(0.75,Matchup!$B$39*$B1299))),RAND())</f>
        <v>2</v>
      </c>
      <c r="I1299" s="0" t="n">
        <f aca="false">6*D1299+(D1299-E1299-G1299)+2*F1299+3*H1299</f>
        <v>13</v>
      </c>
      <c r="J1299" s="0" t="n">
        <f aca="true">CRITBINOM($C1299,MIN(0.75,Matchup!$C$39*$B1299),RAND())</f>
        <v>1</v>
      </c>
      <c r="K1299" s="0" t="n">
        <f aca="true">CRITBINOM(J1299,Coefficients!$B$30,RAND())</f>
        <v>0</v>
      </c>
      <c r="L1299" s="0" t="n">
        <f aca="true">CRITBINOM(K1299,Coefficients!$B$31,RAND())</f>
        <v>0</v>
      </c>
      <c r="M1299" s="0" t="n">
        <f aca="true">CRITBINOM(MAX(0,J1299-K1299),1-Coefficients!$B$32,RAND())</f>
        <v>0</v>
      </c>
      <c r="N1299" s="0" t="n">
        <f aca="true">CRITBINOM(MAX(0,$C1299-J1299),MIN(0.6,Matchup!$C$40*SQRT($B1299)/(1-MIN(0.75,Matchup!$C$39*$B1299))),RAND())</f>
        <v>1</v>
      </c>
      <c r="O1299" s="0" t="n">
        <f aca="false">6*J1299+(J1299-K1299-M1299)+2*L1299+3*N1299</f>
        <v>10</v>
      </c>
      <c r="P1299" s="0" t="n">
        <f aca="true">RAND()</f>
        <v>0.489618547595784</v>
      </c>
      <c r="Q1299" s="0" t="n">
        <f aca="true">RAND()</f>
        <v>0.957879764149478</v>
      </c>
      <c r="R1299" s="0" t="n">
        <f aca="false">IF($I1299&lt;&gt;$O1299,0,IF(P1299&lt;Matchup!$B$39,7,IF(P1299&lt;Matchup!$B$39+Matchup!$B$40,3,0)))</f>
        <v>0</v>
      </c>
      <c r="S1299" s="0" t="n">
        <f aca="false">IF($I1299&lt;&gt;$O1299,0,IF(Q1299&lt;Matchup!$C$39,7,IF(Q1299&lt;Matchup!$C$39+Matchup!$C$40,3,0)))</f>
        <v>0</v>
      </c>
      <c r="T1299" s="0" t="n">
        <f aca="false">I1299+R1299</f>
        <v>13</v>
      </c>
      <c r="U1299" s="0" t="n">
        <f aca="false">O1299+S1299</f>
        <v>10</v>
      </c>
      <c r="V1299" s="0" t="n">
        <f aca="false">T1299-U1299</f>
        <v>3</v>
      </c>
      <c r="W1299" s="0" t="n">
        <f aca="false">T1299+U1299</f>
        <v>23</v>
      </c>
    </row>
    <row r="1300" customFormat="false" ht="15" hidden="false" customHeight="false" outlineLevel="0" collapsed="false">
      <c r="A1300" s="0" t="n">
        <v>1297</v>
      </c>
      <c r="B1300" s="0" t="n">
        <f aca="true">NORMINV(RAND(),1,Coefficients!$B$22)</f>
        <v>0.94728717158723</v>
      </c>
      <c r="C1300" s="0" t="n">
        <f aca="true">MEDIAN(8,16,ROUND(NORMINV(RAND(),Coefficients!$B$20,Coefficients!$B$21),0))</f>
        <v>13</v>
      </c>
      <c r="D1300" s="0" t="n">
        <f aca="true">CRITBINOM($C1300,MIN(0.75,Matchup!$B$39*$B1300),RAND())</f>
        <v>3</v>
      </c>
      <c r="E1300" s="0" t="n">
        <f aca="true">CRITBINOM(D1300,Coefficients!$B$30,RAND())</f>
        <v>1</v>
      </c>
      <c r="F1300" s="0" t="n">
        <f aca="true">CRITBINOM(E1300,Coefficients!$B$31,RAND())</f>
        <v>1</v>
      </c>
      <c r="G1300" s="0" t="n">
        <f aca="true">CRITBINOM(MAX(0,D1300-E1300),1-Coefficients!$B$32,RAND())</f>
        <v>0</v>
      </c>
      <c r="H1300" s="0" t="n">
        <f aca="true">CRITBINOM(MAX(0,$C1300-D1300),MIN(0.6,Matchup!$B$40*SQRT($B1300)/(1-MIN(0.75,Matchup!$B$39*$B1300))),RAND())</f>
        <v>2</v>
      </c>
      <c r="I1300" s="0" t="n">
        <f aca="false">6*D1300+(D1300-E1300-G1300)+2*F1300+3*H1300</f>
        <v>28</v>
      </c>
      <c r="J1300" s="0" t="n">
        <f aca="true">CRITBINOM($C1300,MIN(0.75,Matchup!$C$39*$B1300),RAND())</f>
        <v>4</v>
      </c>
      <c r="K1300" s="0" t="n">
        <f aca="true">CRITBINOM(J1300,Coefficients!$B$30,RAND())</f>
        <v>0</v>
      </c>
      <c r="L1300" s="0" t="n">
        <f aca="true">CRITBINOM(K1300,Coefficients!$B$31,RAND())</f>
        <v>0</v>
      </c>
      <c r="M1300" s="0" t="n">
        <f aca="true">CRITBINOM(MAX(0,J1300-K1300),1-Coefficients!$B$32,RAND())</f>
        <v>0</v>
      </c>
      <c r="N1300" s="0" t="n">
        <f aca="true">CRITBINOM(MAX(0,$C1300-J1300),MIN(0.6,Matchup!$C$40*SQRT($B1300)/(1-MIN(0.75,Matchup!$C$39*$B1300))),RAND())</f>
        <v>2</v>
      </c>
      <c r="O1300" s="0" t="n">
        <f aca="false">6*J1300+(J1300-K1300-M1300)+2*L1300+3*N1300</f>
        <v>34</v>
      </c>
      <c r="P1300" s="0" t="n">
        <f aca="true">RAND()</f>
        <v>0.0688861289566091</v>
      </c>
      <c r="Q1300" s="0" t="n">
        <f aca="true">RAND()</f>
        <v>0.530560918650727</v>
      </c>
      <c r="R1300" s="0" t="n">
        <f aca="false">IF($I1300&lt;&gt;$O1300,0,IF(P1300&lt;Matchup!$B$39,7,IF(P1300&lt;Matchup!$B$39+Matchup!$B$40,3,0)))</f>
        <v>0</v>
      </c>
      <c r="S1300" s="0" t="n">
        <f aca="false">IF($I1300&lt;&gt;$O1300,0,IF(Q1300&lt;Matchup!$C$39,7,IF(Q1300&lt;Matchup!$C$39+Matchup!$C$40,3,0)))</f>
        <v>0</v>
      </c>
      <c r="T1300" s="0" t="n">
        <f aca="false">I1300+R1300</f>
        <v>28</v>
      </c>
      <c r="U1300" s="0" t="n">
        <f aca="false">O1300+S1300</f>
        <v>34</v>
      </c>
      <c r="V1300" s="0" t="n">
        <f aca="false">T1300-U1300</f>
        <v>-6</v>
      </c>
      <c r="W1300" s="0" t="n">
        <f aca="false">T1300+U1300</f>
        <v>62</v>
      </c>
    </row>
    <row r="1301" customFormat="false" ht="15" hidden="false" customHeight="false" outlineLevel="0" collapsed="false">
      <c r="A1301" s="0" t="n">
        <v>1298</v>
      </c>
      <c r="B1301" s="0" t="n">
        <f aca="true">NORMINV(RAND(),1,Coefficients!$B$22)</f>
        <v>0.967092391640604</v>
      </c>
      <c r="C1301" s="0" t="n">
        <f aca="true">MEDIAN(8,16,ROUND(NORMINV(RAND(),Coefficients!$B$20,Coefficients!$B$21),0))</f>
        <v>11</v>
      </c>
      <c r="D1301" s="0" t="n">
        <f aca="true">CRITBINOM($C1301,MIN(0.75,Matchup!$B$39*$B1301),RAND())</f>
        <v>2</v>
      </c>
      <c r="E1301" s="0" t="n">
        <f aca="true">CRITBINOM(D1301,Coefficients!$B$30,RAND())</f>
        <v>0</v>
      </c>
      <c r="F1301" s="0" t="n">
        <f aca="true">CRITBINOM(E1301,Coefficients!$B$31,RAND())</f>
        <v>0</v>
      </c>
      <c r="G1301" s="0" t="n">
        <f aca="true">CRITBINOM(MAX(0,D1301-E1301),1-Coefficients!$B$32,RAND())</f>
        <v>1</v>
      </c>
      <c r="H1301" s="0" t="n">
        <f aca="true">CRITBINOM(MAX(0,$C1301-D1301),MIN(0.6,Matchup!$B$40*SQRT($B1301)/(1-MIN(0.75,Matchup!$B$39*$B1301))),RAND())</f>
        <v>2</v>
      </c>
      <c r="I1301" s="0" t="n">
        <f aca="false">6*D1301+(D1301-E1301-G1301)+2*F1301+3*H1301</f>
        <v>19</v>
      </c>
      <c r="J1301" s="0" t="n">
        <f aca="true">CRITBINOM($C1301,MIN(0.75,Matchup!$C$39*$B1301),RAND())</f>
        <v>2</v>
      </c>
      <c r="K1301" s="0" t="n">
        <f aca="true">CRITBINOM(J1301,Coefficients!$B$30,RAND())</f>
        <v>0</v>
      </c>
      <c r="L1301" s="0" t="n">
        <f aca="true">CRITBINOM(K1301,Coefficients!$B$31,RAND())</f>
        <v>0</v>
      </c>
      <c r="M1301" s="0" t="n">
        <f aca="true">CRITBINOM(MAX(0,J1301-K1301),1-Coefficients!$B$32,RAND())</f>
        <v>0</v>
      </c>
      <c r="N1301" s="0" t="n">
        <f aca="true">CRITBINOM(MAX(0,$C1301-J1301),MIN(0.6,Matchup!$C$40*SQRT($B1301)/(1-MIN(0.75,Matchup!$C$39*$B1301))),RAND())</f>
        <v>3</v>
      </c>
      <c r="O1301" s="0" t="n">
        <f aca="false">6*J1301+(J1301-K1301-M1301)+2*L1301+3*N1301</f>
        <v>23</v>
      </c>
      <c r="P1301" s="0" t="n">
        <f aca="true">RAND()</f>
        <v>0.292477673560813</v>
      </c>
      <c r="Q1301" s="0" t="n">
        <f aca="true">RAND()</f>
        <v>0.551152520760329</v>
      </c>
      <c r="R1301" s="0" t="n">
        <f aca="false">IF($I1301&lt;&gt;$O1301,0,IF(P1301&lt;Matchup!$B$39,7,IF(P1301&lt;Matchup!$B$39+Matchup!$B$40,3,0)))</f>
        <v>0</v>
      </c>
      <c r="S1301" s="0" t="n">
        <f aca="false">IF($I1301&lt;&gt;$O1301,0,IF(Q1301&lt;Matchup!$C$39,7,IF(Q1301&lt;Matchup!$C$39+Matchup!$C$40,3,0)))</f>
        <v>0</v>
      </c>
      <c r="T1301" s="0" t="n">
        <f aca="false">I1301+R1301</f>
        <v>19</v>
      </c>
      <c r="U1301" s="0" t="n">
        <f aca="false">O1301+S1301</f>
        <v>23</v>
      </c>
      <c r="V1301" s="0" t="n">
        <f aca="false">T1301-U1301</f>
        <v>-4</v>
      </c>
      <c r="W1301" s="0" t="n">
        <f aca="false">T1301+U1301</f>
        <v>42</v>
      </c>
    </row>
    <row r="1302" customFormat="false" ht="15" hidden="false" customHeight="false" outlineLevel="0" collapsed="false">
      <c r="A1302" s="0" t="n">
        <v>1299</v>
      </c>
      <c r="B1302" s="0" t="n">
        <f aca="true">NORMINV(RAND(),1,Coefficients!$B$22)</f>
        <v>0.975128301404632</v>
      </c>
      <c r="C1302" s="0" t="n">
        <f aca="true">MEDIAN(8,16,ROUND(NORMINV(RAND(),Coefficients!$B$20,Coefficients!$B$21),0))</f>
        <v>9</v>
      </c>
      <c r="D1302" s="0" t="n">
        <f aca="true">CRITBINOM($C1302,MIN(0.75,Matchup!$B$39*$B1302),RAND())</f>
        <v>2</v>
      </c>
      <c r="E1302" s="0" t="n">
        <f aca="true">CRITBINOM(D1302,Coefficients!$B$30,RAND())</f>
        <v>1</v>
      </c>
      <c r="F1302" s="0" t="n">
        <f aca="true">CRITBINOM(E1302,Coefficients!$B$31,RAND())</f>
        <v>1</v>
      </c>
      <c r="G1302" s="0" t="n">
        <f aca="true">CRITBINOM(MAX(0,D1302-E1302),1-Coefficients!$B$32,RAND())</f>
        <v>0</v>
      </c>
      <c r="H1302" s="0" t="n">
        <f aca="true">CRITBINOM(MAX(0,$C1302-D1302),MIN(0.6,Matchup!$B$40*SQRT($B1302)/(1-MIN(0.75,Matchup!$B$39*$B1302))),RAND())</f>
        <v>1</v>
      </c>
      <c r="I1302" s="0" t="n">
        <f aca="false">6*D1302+(D1302-E1302-G1302)+2*F1302+3*H1302</f>
        <v>18</v>
      </c>
      <c r="J1302" s="0" t="n">
        <f aca="true">CRITBINOM($C1302,MIN(0.75,Matchup!$C$39*$B1302),RAND())</f>
        <v>3</v>
      </c>
      <c r="K1302" s="0" t="n">
        <f aca="true">CRITBINOM(J1302,Coefficients!$B$30,RAND())</f>
        <v>0</v>
      </c>
      <c r="L1302" s="0" t="n">
        <f aca="true">CRITBINOM(K1302,Coefficients!$B$31,RAND())</f>
        <v>0</v>
      </c>
      <c r="M1302" s="0" t="n">
        <f aca="true">CRITBINOM(MAX(0,J1302-K1302),1-Coefficients!$B$32,RAND())</f>
        <v>0</v>
      </c>
      <c r="N1302" s="0" t="n">
        <f aca="true">CRITBINOM(MAX(0,$C1302-J1302),MIN(0.6,Matchup!$C$40*SQRT($B1302)/(1-MIN(0.75,Matchup!$C$39*$B1302))),RAND())</f>
        <v>0</v>
      </c>
      <c r="O1302" s="0" t="n">
        <f aca="false">6*J1302+(J1302-K1302-M1302)+2*L1302+3*N1302</f>
        <v>21</v>
      </c>
      <c r="P1302" s="0" t="n">
        <f aca="true">RAND()</f>
        <v>0.629257239644836</v>
      </c>
      <c r="Q1302" s="0" t="n">
        <f aca="true">RAND()</f>
        <v>0.871108326525555</v>
      </c>
      <c r="R1302" s="0" t="n">
        <f aca="false">IF($I1302&lt;&gt;$O1302,0,IF(P1302&lt;Matchup!$B$39,7,IF(P1302&lt;Matchup!$B$39+Matchup!$B$40,3,0)))</f>
        <v>0</v>
      </c>
      <c r="S1302" s="0" t="n">
        <f aca="false">IF($I1302&lt;&gt;$O1302,0,IF(Q1302&lt;Matchup!$C$39,7,IF(Q1302&lt;Matchup!$C$39+Matchup!$C$40,3,0)))</f>
        <v>0</v>
      </c>
      <c r="T1302" s="0" t="n">
        <f aca="false">I1302+R1302</f>
        <v>18</v>
      </c>
      <c r="U1302" s="0" t="n">
        <f aca="false">O1302+S1302</f>
        <v>21</v>
      </c>
      <c r="V1302" s="0" t="n">
        <f aca="false">T1302-U1302</f>
        <v>-3</v>
      </c>
      <c r="W1302" s="0" t="n">
        <f aca="false">T1302+U1302</f>
        <v>39</v>
      </c>
    </row>
    <row r="1303" customFormat="false" ht="15" hidden="false" customHeight="false" outlineLevel="0" collapsed="false">
      <c r="A1303" s="0" t="n">
        <v>1300</v>
      </c>
      <c r="B1303" s="0" t="n">
        <f aca="true">NORMINV(RAND(),1,Coefficients!$B$22)</f>
        <v>1.04232373749334</v>
      </c>
      <c r="C1303" s="0" t="n">
        <f aca="true">MEDIAN(8,16,ROUND(NORMINV(RAND(),Coefficients!$B$20,Coefficients!$B$21),0))</f>
        <v>11</v>
      </c>
      <c r="D1303" s="0" t="n">
        <f aca="true">CRITBINOM($C1303,MIN(0.75,Matchup!$B$39*$B1303),RAND())</f>
        <v>4</v>
      </c>
      <c r="E1303" s="0" t="n">
        <f aca="true">CRITBINOM(D1303,Coefficients!$B$30,RAND())</f>
        <v>0</v>
      </c>
      <c r="F1303" s="0" t="n">
        <f aca="true">CRITBINOM(E1303,Coefficients!$B$31,RAND())</f>
        <v>0</v>
      </c>
      <c r="G1303" s="0" t="n">
        <f aca="true">CRITBINOM(MAX(0,D1303-E1303),1-Coefficients!$B$32,RAND())</f>
        <v>0</v>
      </c>
      <c r="H1303" s="0" t="n">
        <f aca="true">CRITBINOM(MAX(0,$C1303-D1303),MIN(0.6,Matchup!$B$40*SQRT($B1303)/(1-MIN(0.75,Matchup!$B$39*$B1303))),RAND())</f>
        <v>1</v>
      </c>
      <c r="I1303" s="0" t="n">
        <f aca="false">6*D1303+(D1303-E1303-G1303)+2*F1303+3*H1303</f>
        <v>31</v>
      </c>
      <c r="J1303" s="0" t="n">
        <f aca="true">CRITBINOM($C1303,MIN(0.75,Matchup!$C$39*$B1303),RAND())</f>
        <v>2</v>
      </c>
      <c r="K1303" s="0" t="n">
        <f aca="true">CRITBINOM(J1303,Coefficients!$B$30,RAND())</f>
        <v>1</v>
      </c>
      <c r="L1303" s="0" t="n">
        <f aca="true">CRITBINOM(K1303,Coefficients!$B$31,RAND())</f>
        <v>1</v>
      </c>
      <c r="M1303" s="0" t="n">
        <f aca="true">CRITBINOM(MAX(0,J1303-K1303),1-Coefficients!$B$32,RAND())</f>
        <v>0</v>
      </c>
      <c r="N1303" s="0" t="n">
        <f aca="true">CRITBINOM(MAX(0,$C1303-J1303),MIN(0.6,Matchup!$C$40*SQRT($B1303)/(1-MIN(0.75,Matchup!$C$39*$B1303))),RAND())</f>
        <v>3</v>
      </c>
      <c r="O1303" s="0" t="n">
        <f aca="false">6*J1303+(J1303-K1303-M1303)+2*L1303+3*N1303</f>
        <v>24</v>
      </c>
      <c r="P1303" s="0" t="n">
        <f aca="true">RAND()</f>
        <v>0.632205853800202</v>
      </c>
      <c r="Q1303" s="0" t="n">
        <f aca="true">RAND()</f>
        <v>0.0914795054711263</v>
      </c>
      <c r="R1303" s="0" t="n">
        <f aca="false">IF($I1303&lt;&gt;$O1303,0,IF(P1303&lt;Matchup!$B$39,7,IF(P1303&lt;Matchup!$B$39+Matchup!$B$40,3,0)))</f>
        <v>0</v>
      </c>
      <c r="S1303" s="0" t="n">
        <f aca="false">IF($I1303&lt;&gt;$O1303,0,IF(Q1303&lt;Matchup!$C$39,7,IF(Q1303&lt;Matchup!$C$39+Matchup!$C$40,3,0)))</f>
        <v>0</v>
      </c>
      <c r="T1303" s="0" t="n">
        <f aca="false">I1303+R1303</f>
        <v>31</v>
      </c>
      <c r="U1303" s="0" t="n">
        <f aca="false">O1303+S1303</f>
        <v>24</v>
      </c>
      <c r="V1303" s="0" t="n">
        <f aca="false">T1303-U1303</f>
        <v>7</v>
      </c>
      <c r="W1303" s="0" t="n">
        <f aca="false">T1303+U1303</f>
        <v>55</v>
      </c>
    </row>
    <row r="1304" customFormat="false" ht="15" hidden="false" customHeight="false" outlineLevel="0" collapsed="false">
      <c r="A1304" s="0" t="n">
        <v>1301</v>
      </c>
      <c r="B1304" s="0" t="n">
        <f aca="true">NORMINV(RAND(),1,Coefficients!$B$22)</f>
        <v>0.899329800415905</v>
      </c>
      <c r="C1304" s="0" t="n">
        <f aca="true">MEDIAN(8,16,ROUND(NORMINV(RAND(),Coefficients!$B$20,Coefficients!$B$21),0))</f>
        <v>12</v>
      </c>
      <c r="D1304" s="0" t="n">
        <f aca="true">CRITBINOM($C1304,MIN(0.75,Matchup!$B$39*$B1304),RAND())</f>
        <v>3</v>
      </c>
      <c r="E1304" s="0" t="n">
        <f aca="true">CRITBINOM(D1304,Coefficients!$B$30,RAND())</f>
        <v>1</v>
      </c>
      <c r="F1304" s="0" t="n">
        <f aca="true">CRITBINOM(E1304,Coefficients!$B$31,RAND())</f>
        <v>0</v>
      </c>
      <c r="G1304" s="0" t="n">
        <f aca="true">CRITBINOM(MAX(0,D1304-E1304),1-Coefficients!$B$32,RAND())</f>
        <v>0</v>
      </c>
      <c r="H1304" s="0" t="n">
        <f aca="true">CRITBINOM(MAX(0,$C1304-D1304),MIN(0.6,Matchup!$B$40*SQRT($B1304)/(1-MIN(0.75,Matchup!$B$39*$B1304))),RAND())</f>
        <v>1</v>
      </c>
      <c r="I1304" s="0" t="n">
        <f aca="false">6*D1304+(D1304-E1304-G1304)+2*F1304+3*H1304</f>
        <v>23</v>
      </c>
      <c r="J1304" s="0" t="n">
        <f aca="true">CRITBINOM($C1304,MIN(0.75,Matchup!$C$39*$B1304),RAND())</f>
        <v>2</v>
      </c>
      <c r="K1304" s="0" t="n">
        <f aca="true">CRITBINOM(J1304,Coefficients!$B$30,RAND())</f>
        <v>1</v>
      </c>
      <c r="L1304" s="0" t="n">
        <f aca="true">CRITBINOM(K1304,Coefficients!$B$31,RAND())</f>
        <v>0</v>
      </c>
      <c r="M1304" s="0" t="n">
        <f aca="true">CRITBINOM(MAX(0,J1304-K1304),1-Coefficients!$B$32,RAND())</f>
        <v>0</v>
      </c>
      <c r="N1304" s="0" t="n">
        <f aca="true">CRITBINOM(MAX(0,$C1304-J1304),MIN(0.6,Matchup!$C$40*SQRT($B1304)/(1-MIN(0.75,Matchup!$C$39*$B1304))),RAND())</f>
        <v>1</v>
      </c>
      <c r="O1304" s="0" t="n">
        <f aca="false">6*J1304+(J1304-K1304-M1304)+2*L1304+3*N1304</f>
        <v>16</v>
      </c>
      <c r="P1304" s="0" t="n">
        <f aca="true">RAND()</f>
        <v>0.513837963211478</v>
      </c>
      <c r="Q1304" s="0" t="n">
        <f aca="true">RAND()</f>
        <v>0.856289676977748</v>
      </c>
      <c r="R1304" s="0" t="n">
        <f aca="false">IF($I1304&lt;&gt;$O1304,0,IF(P1304&lt;Matchup!$B$39,7,IF(P1304&lt;Matchup!$B$39+Matchup!$B$40,3,0)))</f>
        <v>0</v>
      </c>
      <c r="S1304" s="0" t="n">
        <f aca="false">IF($I1304&lt;&gt;$O1304,0,IF(Q1304&lt;Matchup!$C$39,7,IF(Q1304&lt;Matchup!$C$39+Matchup!$C$40,3,0)))</f>
        <v>0</v>
      </c>
      <c r="T1304" s="0" t="n">
        <f aca="false">I1304+R1304</f>
        <v>23</v>
      </c>
      <c r="U1304" s="0" t="n">
        <f aca="false">O1304+S1304</f>
        <v>16</v>
      </c>
      <c r="V1304" s="0" t="n">
        <f aca="false">T1304-U1304</f>
        <v>7</v>
      </c>
      <c r="W1304" s="0" t="n">
        <f aca="false">T1304+U1304</f>
        <v>39</v>
      </c>
    </row>
    <row r="1305" customFormat="false" ht="15" hidden="false" customHeight="false" outlineLevel="0" collapsed="false">
      <c r="A1305" s="0" t="n">
        <v>1302</v>
      </c>
      <c r="B1305" s="0" t="n">
        <f aca="true">NORMINV(RAND(),1,Coefficients!$B$22)</f>
        <v>0.986306039410826</v>
      </c>
      <c r="C1305" s="0" t="n">
        <f aca="true">MEDIAN(8,16,ROUND(NORMINV(RAND(),Coefficients!$B$20,Coefficients!$B$21),0))</f>
        <v>10</v>
      </c>
      <c r="D1305" s="0" t="n">
        <f aca="true">CRITBINOM($C1305,MIN(0.75,Matchup!$B$39*$B1305),RAND())</f>
        <v>1</v>
      </c>
      <c r="E1305" s="0" t="n">
        <f aca="true">CRITBINOM(D1305,Coefficients!$B$30,RAND())</f>
        <v>0</v>
      </c>
      <c r="F1305" s="0" t="n">
        <f aca="true">CRITBINOM(E1305,Coefficients!$B$31,RAND())</f>
        <v>0</v>
      </c>
      <c r="G1305" s="0" t="n">
        <f aca="true">CRITBINOM(MAX(0,D1305-E1305),1-Coefficients!$B$32,RAND())</f>
        <v>0</v>
      </c>
      <c r="H1305" s="0" t="n">
        <f aca="true">CRITBINOM(MAX(0,$C1305-D1305),MIN(0.6,Matchup!$B$40*SQRT($B1305)/(1-MIN(0.75,Matchup!$B$39*$B1305))),RAND())</f>
        <v>2</v>
      </c>
      <c r="I1305" s="0" t="n">
        <f aca="false">6*D1305+(D1305-E1305-G1305)+2*F1305+3*H1305</f>
        <v>13</v>
      </c>
      <c r="J1305" s="0" t="n">
        <f aca="true">CRITBINOM($C1305,MIN(0.75,Matchup!$C$39*$B1305),RAND())</f>
        <v>1</v>
      </c>
      <c r="K1305" s="0" t="n">
        <f aca="true">CRITBINOM(J1305,Coefficients!$B$30,RAND())</f>
        <v>0</v>
      </c>
      <c r="L1305" s="0" t="n">
        <f aca="true">CRITBINOM(K1305,Coefficients!$B$31,RAND())</f>
        <v>0</v>
      </c>
      <c r="M1305" s="0" t="n">
        <f aca="true">CRITBINOM(MAX(0,J1305-K1305),1-Coefficients!$B$32,RAND())</f>
        <v>0</v>
      </c>
      <c r="N1305" s="0" t="n">
        <f aca="true">CRITBINOM(MAX(0,$C1305-J1305),MIN(0.6,Matchup!$C$40*SQRT($B1305)/(1-MIN(0.75,Matchup!$C$39*$B1305))),RAND())</f>
        <v>1</v>
      </c>
      <c r="O1305" s="0" t="n">
        <f aca="false">6*J1305+(J1305-K1305-M1305)+2*L1305+3*N1305</f>
        <v>10</v>
      </c>
      <c r="P1305" s="0" t="n">
        <f aca="true">RAND()</f>
        <v>0.937153698077166</v>
      </c>
      <c r="Q1305" s="0" t="n">
        <f aca="true">RAND()</f>
        <v>0.71753232996468</v>
      </c>
      <c r="R1305" s="0" t="n">
        <f aca="false">IF($I1305&lt;&gt;$O1305,0,IF(P1305&lt;Matchup!$B$39,7,IF(P1305&lt;Matchup!$B$39+Matchup!$B$40,3,0)))</f>
        <v>0</v>
      </c>
      <c r="S1305" s="0" t="n">
        <f aca="false">IF($I1305&lt;&gt;$O1305,0,IF(Q1305&lt;Matchup!$C$39,7,IF(Q1305&lt;Matchup!$C$39+Matchup!$C$40,3,0)))</f>
        <v>0</v>
      </c>
      <c r="T1305" s="0" t="n">
        <f aca="false">I1305+R1305</f>
        <v>13</v>
      </c>
      <c r="U1305" s="0" t="n">
        <f aca="false">O1305+S1305</f>
        <v>10</v>
      </c>
      <c r="V1305" s="0" t="n">
        <f aca="false">T1305-U1305</f>
        <v>3</v>
      </c>
      <c r="W1305" s="0" t="n">
        <f aca="false">T1305+U1305</f>
        <v>23</v>
      </c>
    </row>
    <row r="1306" customFormat="false" ht="15" hidden="false" customHeight="false" outlineLevel="0" collapsed="false">
      <c r="A1306" s="0" t="n">
        <v>1303</v>
      </c>
      <c r="B1306" s="0" t="n">
        <f aca="true">NORMINV(RAND(),1,Coefficients!$B$22)</f>
        <v>1.00132315621875</v>
      </c>
      <c r="C1306" s="0" t="n">
        <f aca="true">MEDIAN(8,16,ROUND(NORMINV(RAND(),Coefficients!$B$20,Coefficients!$B$21),0))</f>
        <v>9</v>
      </c>
      <c r="D1306" s="0" t="n">
        <f aca="true">CRITBINOM($C1306,MIN(0.75,Matchup!$B$39*$B1306),RAND())</f>
        <v>2</v>
      </c>
      <c r="E1306" s="0" t="n">
        <f aca="true">CRITBINOM(D1306,Coefficients!$B$30,RAND())</f>
        <v>0</v>
      </c>
      <c r="F1306" s="0" t="n">
        <f aca="true">CRITBINOM(E1306,Coefficients!$B$31,RAND())</f>
        <v>0</v>
      </c>
      <c r="G1306" s="0" t="n">
        <f aca="true">CRITBINOM(MAX(0,D1306-E1306),1-Coefficients!$B$32,RAND())</f>
        <v>0</v>
      </c>
      <c r="H1306" s="0" t="n">
        <f aca="true">CRITBINOM(MAX(0,$C1306-D1306),MIN(0.6,Matchup!$B$40*SQRT($B1306)/(1-MIN(0.75,Matchup!$B$39*$B1306))),RAND())</f>
        <v>2</v>
      </c>
      <c r="I1306" s="0" t="n">
        <f aca="false">6*D1306+(D1306-E1306-G1306)+2*F1306+3*H1306</f>
        <v>20</v>
      </c>
      <c r="J1306" s="0" t="n">
        <f aca="true">CRITBINOM($C1306,MIN(0.75,Matchup!$C$39*$B1306),RAND())</f>
        <v>2</v>
      </c>
      <c r="K1306" s="0" t="n">
        <f aca="true">CRITBINOM(J1306,Coefficients!$B$30,RAND())</f>
        <v>0</v>
      </c>
      <c r="L1306" s="0" t="n">
        <f aca="true">CRITBINOM(K1306,Coefficients!$B$31,RAND())</f>
        <v>0</v>
      </c>
      <c r="M1306" s="0" t="n">
        <f aca="true">CRITBINOM(MAX(0,J1306-K1306),1-Coefficients!$B$32,RAND())</f>
        <v>0</v>
      </c>
      <c r="N1306" s="0" t="n">
        <f aca="true">CRITBINOM(MAX(0,$C1306-J1306),MIN(0.6,Matchup!$C$40*SQRT($B1306)/(1-MIN(0.75,Matchup!$C$39*$B1306))),RAND())</f>
        <v>4</v>
      </c>
      <c r="O1306" s="0" t="n">
        <f aca="false">6*J1306+(J1306-K1306-M1306)+2*L1306+3*N1306</f>
        <v>26</v>
      </c>
      <c r="P1306" s="0" t="n">
        <f aca="true">RAND()</f>
        <v>0.341246887740322</v>
      </c>
      <c r="Q1306" s="0" t="n">
        <f aca="true">RAND()</f>
        <v>0.3222862146173</v>
      </c>
      <c r="R1306" s="0" t="n">
        <f aca="false">IF($I1306&lt;&gt;$O1306,0,IF(P1306&lt;Matchup!$B$39,7,IF(P1306&lt;Matchup!$B$39+Matchup!$B$40,3,0)))</f>
        <v>0</v>
      </c>
      <c r="S1306" s="0" t="n">
        <f aca="false">IF($I1306&lt;&gt;$O1306,0,IF(Q1306&lt;Matchup!$C$39,7,IF(Q1306&lt;Matchup!$C$39+Matchup!$C$40,3,0)))</f>
        <v>0</v>
      </c>
      <c r="T1306" s="0" t="n">
        <f aca="false">I1306+R1306</f>
        <v>20</v>
      </c>
      <c r="U1306" s="0" t="n">
        <f aca="false">O1306+S1306</f>
        <v>26</v>
      </c>
      <c r="V1306" s="0" t="n">
        <f aca="false">T1306-U1306</f>
        <v>-6</v>
      </c>
      <c r="W1306" s="0" t="n">
        <f aca="false">T1306+U1306</f>
        <v>46</v>
      </c>
    </row>
    <row r="1307" customFormat="false" ht="15" hidden="false" customHeight="false" outlineLevel="0" collapsed="false">
      <c r="A1307" s="0" t="n">
        <v>1304</v>
      </c>
      <c r="B1307" s="0" t="n">
        <f aca="true">NORMINV(RAND(),1,Coefficients!$B$22)</f>
        <v>1.08924242574648</v>
      </c>
      <c r="C1307" s="0" t="n">
        <f aca="true">MEDIAN(8,16,ROUND(NORMINV(RAND(),Coefficients!$B$20,Coefficients!$B$21),0))</f>
        <v>10</v>
      </c>
      <c r="D1307" s="0" t="n">
        <f aca="true">CRITBINOM($C1307,MIN(0.75,Matchup!$B$39*$B1307),RAND())</f>
        <v>4</v>
      </c>
      <c r="E1307" s="0" t="n">
        <f aca="true">CRITBINOM(D1307,Coefficients!$B$30,RAND())</f>
        <v>0</v>
      </c>
      <c r="F1307" s="0" t="n">
        <f aca="true">CRITBINOM(E1307,Coefficients!$B$31,RAND())</f>
        <v>0</v>
      </c>
      <c r="G1307" s="0" t="n">
        <f aca="true">CRITBINOM(MAX(0,D1307-E1307),1-Coefficients!$B$32,RAND())</f>
        <v>0</v>
      </c>
      <c r="H1307" s="0" t="n">
        <f aca="true">CRITBINOM(MAX(0,$C1307-D1307),MIN(0.6,Matchup!$B$40*SQRT($B1307)/(1-MIN(0.75,Matchup!$B$39*$B1307))),RAND())</f>
        <v>1</v>
      </c>
      <c r="I1307" s="0" t="n">
        <f aca="false">6*D1307+(D1307-E1307-G1307)+2*F1307+3*H1307</f>
        <v>31</v>
      </c>
      <c r="J1307" s="0" t="n">
        <f aca="true">CRITBINOM($C1307,MIN(0.75,Matchup!$C$39*$B1307),RAND())</f>
        <v>5</v>
      </c>
      <c r="K1307" s="0" t="n">
        <f aca="true">CRITBINOM(J1307,Coefficients!$B$30,RAND())</f>
        <v>2</v>
      </c>
      <c r="L1307" s="0" t="n">
        <f aca="true">CRITBINOM(K1307,Coefficients!$B$31,RAND())</f>
        <v>0</v>
      </c>
      <c r="M1307" s="0" t="n">
        <f aca="true">CRITBINOM(MAX(0,J1307-K1307),1-Coefficients!$B$32,RAND())</f>
        <v>0</v>
      </c>
      <c r="N1307" s="0" t="n">
        <f aca="true">CRITBINOM(MAX(0,$C1307-J1307),MIN(0.6,Matchup!$C$40*SQRT($B1307)/(1-MIN(0.75,Matchup!$C$39*$B1307))),RAND())</f>
        <v>1</v>
      </c>
      <c r="O1307" s="0" t="n">
        <f aca="false">6*J1307+(J1307-K1307-M1307)+2*L1307+3*N1307</f>
        <v>36</v>
      </c>
      <c r="P1307" s="0" t="n">
        <f aca="true">RAND()</f>
        <v>0.528602415763747</v>
      </c>
      <c r="Q1307" s="0" t="n">
        <f aca="true">RAND()</f>
        <v>0.528470102155921</v>
      </c>
      <c r="R1307" s="0" t="n">
        <f aca="false">IF($I1307&lt;&gt;$O1307,0,IF(P1307&lt;Matchup!$B$39,7,IF(P1307&lt;Matchup!$B$39+Matchup!$B$40,3,0)))</f>
        <v>0</v>
      </c>
      <c r="S1307" s="0" t="n">
        <f aca="false">IF($I1307&lt;&gt;$O1307,0,IF(Q1307&lt;Matchup!$C$39,7,IF(Q1307&lt;Matchup!$C$39+Matchup!$C$40,3,0)))</f>
        <v>0</v>
      </c>
      <c r="T1307" s="0" t="n">
        <f aca="false">I1307+R1307</f>
        <v>31</v>
      </c>
      <c r="U1307" s="0" t="n">
        <f aca="false">O1307+S1307</f>
        <v>36</v>
      </c>
      <c r="V1307" s="0" t="n">
        <f aca="false">T1307-U1307</f>
        <v>-5</v>
      </c>
      <c r="W1307" s="0" t="n">
        <f aca="false">T1307+U1307</f>
        <v>67</v>
      </c>
    </row>
    <row r="1308" customFormat="false" ht="15" hidden="false" customHeight="false" outlineLevel="0" collapsed="false">
      <c r="A1308" s="0" t="n">
        <v>1305</v>
      </c>
      <c r="B1308" s="0" t="n">
        <f aca="true">NORMINV(RAND(),1,Coefficients!$B$22)</f>
        <v>0.962715905927466</v>
      </c>
      <c r="C1308" s="0" t="n">
        <f aca="true">MEDIAN(8,16,ROUND(NORMINV(RAND(),Coefficients!$B$20,Coefficients!$B$21),0))</f>
        <v>11</v>
      </c>
      <c r="D1308" s="0" t="n">
        <f aca="true">CRITBINOM($C1308,MIN(0.75,Matchup!$B$39*$B1308),RAND())</f>
        <v>0</v>
      </c>
      <c r="E1308" s="0" t="n">
        <f aca="true">CRITBINOM(D1308,Coefficients!$B$30,RAND())</f>
        <v>0</v>
      </c>
      <c r="F1308" s="0" t="n">
        <f aca="true">CRITBINOM(E1308,Coefficients!$B$31,RAND())</f>
        <v>0</v>
      </c>
      <c r="G1308" s="0" t="n">
        <f aca="true">CRITBINOM(MAX(0,D1308-E1308),1-Coefficients!$B$32,RAND())</f>
        <v>0</v>
      </c>
      <c r="H1308" s="0" t="n">
        <f aca="true">CRITBINOM(MAX(0,$C1308-D1308),MIN(0.6,Matchup!$B$40*SQRT($B1308)/(1-MIN(0.75,Matchup!$B$39*$B1308))),RAND())</f>
        <v>2</v>
      </c>
      <c r="I1308" s="0" t="n">
        <f aca="false">6*D1308+(D1308-E1308-G1308)+2*F1308+3*H1308</f>
        <v>6</v>
      </c>
      <c r="J1308" s="0" t="n">
        <f aca="true">CRITBINOM($C1308,MIN(0.75,Matchup!$C$39*$B1308),RAND())</f>
        <v>0</v>
      </c>
      <c r="K1308" s="0" t="n">
        <f aca="true">CRITBINOM(J1308,Coefficients!$B$30,RAND())</f>
        <v>0</v>
      </c>
      <c r="L1308" s="0" t="n">
        <f aca="true">CRITBINOM(K1308,Coefficients!$B$31,RAND())</f>
        <v>0</v>
      </c>
      <c r="M1308" s="0" t="n">
        <f aca="true">CRITBINOM(MAX(0,J1308-K1308),1-Coefficients!$B$32,RAND())</f>
        <v>0</v>
      </c>
      <c r="N1308" s="0" t="n">
        <f aca="true">CRITBINOM(MAX(0,$C1308-J1308),MIN(0.6,Matchup!$C$40*SQRT($B1308)/(1-MIN(0.75,Matchup!$C$39*$B1308))),RAND())</f>
        <v>1</v>
      </c>
      <c r="O1308" s="0" t="n">
        <f aca="false">6*J1308+(J1308-K1308-M1308)+2*L1308+3*N1308</f>
        <v>3</v>
      </c>
      <c r="P1308" s="0" t="n">
        <f aca="true">RAND()</f>
        <v>0.502531535239682</v>
      </c>
      <c r="Q1308" s="0" t="n">
        <f aca="true">RAND()</f>
        <v>0.287536505818746</v>
      </c>
      <c r="R1308" s="0" t="n">
        <f aca="false">IF($I1308&lt;&gt;$O1308,0,IF(P1308&lt;Matchup!$B$39,7,IF(P1308&lt;Matchup!$B$39+Matchup!$B$40,3,0)))</f>
        <v>0</v>
      </c>
      <c r="S1308" s="0" t="n">
        <f aca="false">IF($I1308&lt;&gt;$O1308,0,IF(Q1308&lt;Matchup!$C$39,7,IF(Q1308&lt;Matchup!$C$39+Matchup!$C$40,3,0)))</f>
        <v>0</v>
      </c>
      <c r="T1308" s="0" t="n">
        <f aca="false">I1308+R1308</f>
        <v>6</v>
      </c>
      <c r="U1308" s="0" t="n">
        <f aca="false">O1308+S1308</f>
        <v>3</v>
      </c>
      <c r="V1308" s="0" t="n">
        <f aca="false">T1308-U1308</f>
        <v>3</v>
      </c>
      <c r="W1308" s="0" t="n">
        <f aca="false">T1308+U1308</f>
        <v>9</v>
      </c>
    </row>
    <row r="1309" customFormat="false" ht="15" hidden="false" customHeight="false" outlineLevel="0" collapsed="false">
      <c r="A1309" s="0" t="n">
        <v>1306</v>
      </c>
      <c r="B1309" s="0" t="n">
        <f aca="true">NORMINV(RAND(),1,Coefficients!$B$22)</f>
        <v>0.932573721352691</v>
      </c>
      <c r="C1309" s="0" t="n">
        <f aca="true">MEDIAN(8,16,ROUND(NORMINV(RAND(),Coefficients!$B$20,Coefficients!$B$21),0))</f>
        <v>9</v>
      </c>
      <c r="D1309" s="0" t="n">
        <f aca="true">CRITBINOM($C1309,MIN(0.75,Matchup!$B$39*$B1309),RAND())</f>
        <v>4</v>
      </c>
      <c r="E1309" s="0" t="n">
        <f aca="true">CRITBINOM(D1309,Coefficients!$B$30,RAND())</f>
        <v>0</v>
      </c>
      <c r="F1309" s="0" t="n">
        <f aca="true">CRITBINOM(E1309,Coefficients!$B$31,RAND())</f>
        <v>0</v>
      </c>
      <c r="G1309" s="0" t="n">
        <f aca="true">CRITBINOM(MAX(0,D1309-E1309),1-Coefficients!$B$32,RAND())</f>
        <v>0</v>
      </c>
      <c r="H1309" s="0" t="n">
        <f aca="true">CRITBINOM(MAX(0,$C1309-D1309),MIN(0.6,Matchup!$B$40*SQRT($B1309)/(1-MIN(0.75,Matchup!$B$39*$B1309))),RAND())</f>
        <v>0</v>
      </c>
      <c r="I1309" s="0" t="n">
        <f aca="false">6*D1309+(D1309-E1309-G1309)+2*F1309+3*H1309</f>
        <v>28</v>
      </c>
      <c r="J1309" s="0" t="n">
        <f aca="true">CRITBINOM($C1309,MIN(0.75,Matchup!$C$39*$B1309),RAND())</f>
        <v>1</v>
      </c>
      <c r="K1309" s="0" t="n">
        <f aca="true">CRITBINOM(J1309,Coefficients!$B$30,RAND())</f>
        <v>0</v>
      </c>
      <c r="L1309" s="0" t="n">
        <f aca="true">CRITBINOM(K1309,Coefficients!$B$31,RAND())</f>
        <v>0</v>
      </c>
      <c r="M1309" s="0" t="n">
        <f aca="true">CRITBINOM(MAX(0,J1309-K1309),1-Coefficients!$B$32,RAND())</f>
        <v>0</v>
      </c>
      <c r="N1309" s="0" t="n">
        <f aca="true">CRITBINOM(MAX(0,$C1309-J1309),MIN(0.6,Matchup!$C$40*SQRT($B1309)/(1-MIN(0.75,Matchup!$C$39*$B1309))),RAND())</f>
        <v>1</v>
      </c>
      <c r="O1309" s="0" t="n">
        <f aca="false">6*J1309+(J1309-K1309-M1309)+2*L1309+3*N1309</f>
        <v>10</v>
      </c>
      <c r="P1309" s="0" t="n">
        <f aca="true">RAND()</f>
        <v>0.455015268000519</v>
      </c>
      <c r="Q1309" s="0" t="n">
        <f aca="true">RAND()</f>
        <v>0.231228600411536</v>
      </c>
      <c r="R1309" s="0" t="n">
        <f aca="false">IF($I1309&lt;&gt;$O1309,0,IF(P1309&lt;Matchup!$B$39,7,IF(P1309&lt;Matchup!$B$39+Matchup!$B$40,3,0)))</f>
        <v>0</v>
      </c>
      <c r="S1309" s="0" t="n">
        <f aca="false">IF($I1309&lt;&gt;$O1309,0,IF(Q1309&lt;Matchup!$C$39,7,IF(Q1309&lt;Matchup!$C$39+Matchup!$C$40,3,0)))</f>
        <v>0</v>
      </c>
      <c r="T1309" s="0" t="n">
        <f aca="false">I1309+R1309</f>
        <v>28</v>
      </c>
      <c r="U1309" s="0" t="n">
        <f aca="false">O1309+S1309</f>
        <v>10</v>
      </c>
      <c r="V1309" s="0" t="n">
        <f aca="false">T1309-U1309</f>
        <v>18</v>
      </c>
      <c r="W1309" s="0" t="n">
        <f aca="false">T1309+U1309</f>
        <v>38</v>
      </c>
    </row>
    <row r="1310" customFormat="false" ht="15" hidden="false" customHeight="false" outlineLevel="0" collapsed="false">
      <c r="A1310" s="0" t="n">
        <v>1307</v>
      </c>
      <c r="B1310" s="0" t="n">
        <f aca="true">NORMINV(RAND(),1,Coefficients!$B$22)</f>
        <v>0.909544955808968</v>
      </c>
      <c r="C1310" s="0" t="n">
        <f aca="true">MEDIAN(8,16,ROUND(NORMINV(RAND(),Coefficients!$B$20,Coefficients!$B$21),0))</f>
        <v>10</v>
      </c>
      <c r="D1310" s="0" t="n">
        <f aca="true">CRITBINOM($C1310,MIN(0.75,Matchup!$B$39*$B1310),RAND())</f>
        <v>0</v>
      </c>
      <c r="E1310" s="0" t="n">
        <f aca="true">CRITBINOM(D1310,Coefficients!$B$30,RAND())</f>
        <v>0</v>
      </c>
      <c r="F1310" s="0" t="n">
        <f aca="true">CRITBINOM(E1310,Coefficients!$B$31,RAND())</f>
        <v>0</v>
      </c>
      <c r="G1310" s="0" t="n">
        <f aca="true">CRITBINOM(MAX(0,D1310-E1310),1-Coefficients!$B$32,RAND())</f>
        <v>0</v>
      </c>
      <c r="H1310" s="0" t="n">
        <f aca="true">CRITBINOM(MAX(0,$C1310-D1310),MIN(0.6,Matchup!$B$40*SQRT($B1310)/(1-MIN(0.75,Matchup!$B$39*$B1310))),RAND())</f>
        <v>1</v>
      </c>
      <c r="I1310" s="0" t="n">
        <f aca="false">6*D1310+(D1310-E1310-G1310)+2*F1310+3*H1310</f>
        <v>3</v>
      </c>
      <c r="J1310" s="0" t="n">
        <f aca="true">CRITBINOM($C1310,MIN(0.75,Matchup!$C$39*$B1310),RAND())</f>
        <v>2</v>
      </c>
      <c r="K1310" s="0" t="n">
        <f aca="true">CRITBINOM(J1310,Coefficients!$B$30,RAND())</f>
        <v>0</v>
      </c>
      <c r="L1310" s="0" t="n">
        <f aca="true">CRITBINOM(K1310,Coefficients!$B$31,RAND())</f>
        <v>0</v>
      </c>
      <c r="M1310" s="0" t="n">
        <f aca="true">CRITBINOM(MAX(0,J1310-K1310),1-Coefficients!$B$32,RAND())</f>
        <v>0</v>
      </c>
      <c r="N1310" s="0" t="n">
        <f aca="true">CRITBINOM(MAX(0,$C1310-J1310),MIN(0.6,Matchup!$C$40*SQRT($B1310)/(1-MIN(0.75,Matchup!$C$39*$B1310))),RAND())</f>
        <v>0</v>
      </c>
      <c r="O1310" s="0" t="n">
        <f aca="false">6*J1310+(J1310-K1310-M1310)+2*L1310+3*N1310</f>
        <v>14</v>
      </c>
      <c r="P1310" s="0" t="n">
        <f aca="true">RAND()</f>
        <v>0.917822849571943</v>
      </c>
      <c r="Q1310" s="0" t="n">
        <f aca="true">RAND()</f>
        <v>0.390212841165241</v>
      </c>
      <c r="R1310" s="0" t="n">
        <f aca="false">IF($I1310&lt;&gt;$O1310,0,IF(P1310&lt;Matchup!$B$39,7,IF(P1310&lt;Matchup!$B$39+Matchup!$B$40,3,0)))</f>
        <v>0</v>
      </c>
      <c r="S1310" s="0" t="n">
        <f aca="false">IF($I1310&lt;&gt;$O1310,0,IF(Q1310&lt;Matchup!$C$39,7,IF(Q1310&lt;Matchup!$C$39+Matchup!$C$40,3,0)))</f>
        <v>0</v>
      </c>
      <c r="T1310" s="0" t="n">
        <f aca="false">I1310+R1310</f>
        <v>3</v>
      </c>
      <c r="U1310" s="0" t="n">
        <f aca="false">O1310+S1310</f>
        <v>14</v>
      </c>
      <c r="V1310" s="0" t="n">
        <f aca="false">T1310-U1310</f>
        <v>-11</v>
      </c>
      <c r="W1310" s="0" t="n">
        <f aca="false">T1310+U1310</f>
        <v>17</v>
      </c>
    </row>
    <row r="1311" customFormat="false" ht="15" hidden="false" customHeight="false" outlineLevel="0" collapsed="false">
      <c r="A1311" s="0" t="n">
        <v>1308</v>
      </c>
      <c r="B1311" s="0" t="n">
        <f aca="true">NORMINV(RAND(),1,Coefficients!$B$22)</f>
        <v>0.981196089767689</v>
      </c>
      <c r="C1311" s="0" t="n">
        <f aca="true">MEDIAN(8,16,ROUND(NORMINV(RAND(),Coefficients!$B$20,Coefficients!$B$21),0))</f>
        <v>11</v>
      </c>
      <c r="D1311" s="0" t="n">
        <f aca="true">CRITBINOM($C1311,MIN(0.75,Matchup!$B$39*$B1311),RAND())</f>
        <v>5</v>
      </c>
      <c r="E1311" s="0" t="n">
        <f aca="true">CRITBINOM(D1311,Coefficients!$B$30,RAND())</f>
        <v>0</v>
      </c>
      <c r="F1311" s="0" t="n">
        <f aca="true">CRITBINOM(E1311,Coefficients!$B$31,RAND())</f>
        <v>0</v>
      </c>
      <c r="G1311" s="0" t="n">
        <f aca="true">CRITBINOM(MAX(0,D1311-E1311),1-Coefficients!$B$32,RAND())</f>
        <v>0</v>
      </c>
      <c r="H1311" s="0" t="n">
        <f aca="true">CRITBINOM(MAX(0,$C1311-D1311),MIN(0.6,Matchup!$B$40*SQRT($B1311)/(1-MIN(0.75,Matchup!$B$39*$B1311))),RAND())</f>
        <v>0</v>
      </c>
      <c r="I1311" s="0" t="n">
        <f aca="false">6*D1311+(D1311-E1311-G1311)+2*F1311+3*H1311</f>
        <v>35</v>
      </c>
      <c r="J1311" s="0" t="n">
        <f aca="true">CRITBINOM($C1311,MIN(0.75,Matchup!$C$39*$B1311),RAND())</f>
        <v>1</v>
      </c>
      <c r="K1311" s="0" t="n">
        <f aca="true">CRITBINOM(J1311,Coefficients!$B$30,RAND())</f>
        <v>0</v>
      </c>
      <c r="L1311" s="0" t="n">
        <f aca="true">CRITBINOM(K1311,Coefficients!$B$31,RAND())</f>
        <v>0</v>
      </c>
      <c r="M1311" s="0" t="n">
        <f aca="true">CRITBINOM(MAX(0,J1311-K1311),1-Coefficients!$B$32,RAND())</f>
        <v>0</v>
      </c>
      <c r="N1311" s="0" t="n">
        <f aca="true">CRITBINOM(MAX(0,$C1311-J1311),MIN(0.6,Matchup!$C$40*SQRT($B1311)/(1-MIN(0.75,Matchup!$C$39*$B1311))),RAND())</f>
        <v>1</v>
      </c>
      <c r="O1311" s="0" t="n">
        <f aca="false">6*J1311+(J1311-K1311-M1311)+2*L1311+3*N1311</f>
        <v>10</v>
      </c>
      <c r="P1311" s="0" t="n">
        <f aca="true">RAND()</f>
        <v>0.495358047595187</v>
      </c>
      <c r="Q1311" s="0" t="n">
        <f aca="true">RAND()</f>
        <v>0.704290031830616</v>
      </c>
      <c r="R1311" s="0" t="n">
        <f aca="false">IF($I1311&lt;&gt;$O1311,0,IF(P1311&lt;Matchup!$B$39,7,IF(P1311&lt;Matchup!$B$39+Matchup!$B$40,3,0)))</f>
        <v>0</v>
      </c>
      <c r="S1311" s="0" t="n">
        <f aca="false">IF($I1311&lt;&gt;$O1311,0,IF(Q1311&lt;Matchup!$C$39,7,IF(Q1311&lt;Matchup!$C$39+Matchup!$C$40,3,0)))</f>
        <v>0</v>
      </c>
      <c r="T1311" s="0" t="n">
        <f aca="false">I1311+R1311</f>
        <v>35</v>
      </c>
      <c r="U1311" s="0" t="n">
        <f aca="false">O1311+S1311</f>
        <v>10</v>
      </c>
      <c r="V1311" s="0" t="n">
        <f aca="false">T1311-U1311</f>
        <v>25</v>
      </c>
      <c r="W1311" s="0" t="n">
        <f aca="false">T1311+U1311</f>
        <v>45</v>
      </c>
    </row>
    <row r="1312" customFormat="false" ht="15" hidden="false" customHeight="false" outlineLevel="0" collapsed="false">
      <c r="A1312" s="0" t="n">
        <v>1309</v>
      </c>
      <c r="B1312" s="0" t="n">
        <f aca="true">NORMINV(RAND(),1,Coefficients!$B$22)</f>
        <v>1.06482499215929</v>
      </c>
      <c r="C1312" s="0" t="n">
        <f aca="true">MEDIAN(8,16,ROUND(NORMINV(RAND(),Coefficients!$B$20,Coefficients!$B$21),0))</f>
        <v>12</v>
      </c>
      <c r="D1312" s="0" t="n">
        <f aca="true">CRITBINOM($C1312,MIN(0.75,Matchup!$B$39*$B1312),RAND())</f>
        <v>4</v>
      </c>
      <c r="E1312" s="0" t="n">
        <f aca="true">CRITBINOM(D1312,Coefficients!$B$30,RAND())</f>
        <v>0</v>
      </c>
      <c r="F1312" s="0" t="n">
        <f aca="true">CRITBINOM(E1312,Coefficients!$B$31,RAND())</f>
        <v>0</v>
      </c>
      <c r="G1312" s="0" t="n">
        <f aca="true">CRITBINOM(MAX(0,D1312-E1312),1-Coefficients!$B$32,RAND())</f>
        <v>0</v>
      </c>
      <c r="H1312" s="0" t="n">
        <f aca="true">CRITBINOM(MAX(0,$C1312-D1312),MIN(0.6,Matchup!$B$40*SQRT($B1312)/(1-MIN(0.75,Matchup!$B$39*$B1312))),RAND())</f>
        <v>0</v>
      </c>
      <c r="I1312" s="0" t="n">
        <f aca="false">6*D1312+(D1312-E1312-G1312)+2*F1312+3*H1312</f>
        <v>28</v>
      </c>
      <c r="J1312" s="0" t="n">
        <f aca="true">CRITBINOM($C1312,MIN(0.75,Matchup!$C$39*$B1312),RAND())</f>
        <v>2</v>
      </c>
      <c r="K1312" s="0" t="n">
        <f aca="true">CRITBINOM(J1312,Coefficients!$B$30,RAND())</f>
        <v>0</v>
      </c>
      <c r="L1312" s="0" t="n">
        <f aca="true">CRITBINOM(K1312,Coefficients!$B$31,RAND())</f>
        <v>0</v>
      </c>
      <c r="M1312" s="0" t="n">
        <f aca="true">CRITBINOM(MAX(0,J1312-K1312),1-Coefficients!$B$32,RAND())</f>
        <v>0</v>
      </c>
      <c r="N1312" s="0" t="n">
        <f aca="true">CRITBINOM(MAX(0,$C1312-J1312),MIN(0.6,Matchup!$C$40*SQRT($B1312)/(1-MIN(0.75,Matchup!$C$39*$B1312))),RAND())</f>
        <v>2</v>
      </c>
      <c r="O1312" s="0" t="n">
        <f aca="false">6*J1312+(J1312-K1312-M1312)+2*L1312+3*N1312</f>
        <v>20</v>
      </c>
      <c r="P1312" s="0" t="n">
        <f aca="true">RAND()</f>
        <v>0.573892933325691</v>
      </c>
      <c r="Q1312" s="0" t="n">
        <f aca="true">RAND()</f>
        <v>0.845968386907879</v>
      </c>
      <c r="R1312" s="0" t="n">
        <f aca="false">IF($I1312&lt;&gt;$O1312,0,IF(P1312&lt;Matchup!$B$39,7,IF(P1312&lt;Matchup!$B$39+Matchup!$B$40,3,0)))</f>
        <v>0</v>
      </c>
      <c r="S1312" s="0" t="n">
        <f aca="false">IF($I1312&lt;&gt;$O1312,0,IF(Q1312&lt;Matchup!$C$39,7,IF(Q1312&lt;Matchup!$C$39+Matchup!$C$40,3,0)))</f>
        <v>0</v>
      </c>
      <c r="T1312" s="0" t="n">
        <f aca="false">I1312+R1312</f>
        <v>28</v>
      </c>
      <c r="U1312" s="0" t="n">
        <f aca="false">O1312+S1312</f>
        <v>20</v>
      </c>
      <c r="V1312" s="0" t="n">
        <f aca="false">T1312-U1312</f>
        <v>8</v>
      </c>
      <c r="W1312" s="0" t="n">
        <f aca="false">T1312+U1312</f>
        <v>48</v>
      </c>
    </row>
    <row r="1313" customFormat="false" ht="15" hidden="false" customHeight="false" outlineLevel="0" collapsed="false">
      <c r="A1313" s="0" t="n">
        <v>1310</v>
      </c>
      <c r="B1313" s="0" t="n">
        <f aca="true">NORMINV(RAND(),1,Coefficients!$B$22)</f>
        <v>1.03637418887675</v>
      </c>
      <c r="C1313" s="0" t="n">
        <f aca="true">MEDIAN(8,16,ROUND(NORMINV(RAND(),Coefficients!$B$20,Coefficients!$B$21),0))</f>
        <v>12</v>
      </c>
      <c r="D1313" s="0" t="n">
        <f aca="true">CRITBINOM($C1313,MIN(0.75,Matchup!$B$39*$B1313),RAND())</f>
        <v>4</v>
      </c>
      <c r="E1313" s="0" t="n">
        <f aca="true">CRITBINOM(D1313,Coefficients!$B$30,RAND())</f>
        <v>2</v>
      </c>
      <c r="F1313" s="0" t="n">
        <f aca="true">CRITBINOM(E1313,Coefficients!$B$31,RAND())</f>
        <v>1</v>
      </c>
      <c r="G1313" s="0" t="n">
        <f aca="true">CRITBINOM(MAX(0,D1313-E1313),1-Coefficients!$B$32,RAND())</f>
        <v>0</v>
      </c>
      <c r="H1313" s="0" t="n">
        <f aca="true">CRITBINOM(MAX(0,$C1313-D1313),MIN(0.6,Matchup!$B$40*SQRT($B1313)/(1-MIN(0.75,Matchup!$B$39*$B1313))),RAND())</f>
        <v>1</v>
      </c>
      <c r="I1313" s="0" t="n">
        <f aca="false">6*D1313+(D1313-E1313-G1313)+2*F1313+3*H1313</f>
        <v>31</v>
      </c>
      <c r="J1313" s="0" t="n">
        <f aca="true">CRITBINOM($C1313,MIN(0.75,Matchup!$C$39*$B1313),RAND())</f>
        <v>3</v>
      </c>
      <c r="K1313" s="0" t="n">
        <f aca="true">CRITBINOM(J1313,Coefficients!$B$30,RAND())</f>
        <v>0</v>
      </c>
      <c r="L1313" s="0" t="n">
        <f aca="true">CRITBINOM(K1313,Coefficients!$B$31,RAND())</f>
        <v>0</v>
      </c>
      <c r="M1313" s="0" t="n">
        <f aca="true">CRITBINOM(MAX(0,J1313-K1313),1-Coefficients!$B$32,RAND())</f>
        <v>0</v>
      </c>
      <c r="N1313" s="0" t="n">
        <f aca="true">CRITBINOM(MAX(0,$C1313-J1313),MIN(0.6,Matchup!$C$40*SQRT($B1313)/(1-MIN(0.75,Matchup!$C$39*$B1313))),RAND())</f>
        <v>4</v>
      </c>
      <c r="O1313" s="0" t="n">
        <f aca="false">6*J1313+(J1313-K1313-M1313)+2*L1313+3*N1313</f>
        <v>33</v>
      </c>
      <c r="P1313" s="0" t="n">
        <f aca="true">RAND()</f>
        <v>0.924170629823867</v>
      </c>
      <c r="Q1313" s="0" t="n">
        <f aca="true">RAND()</f>
        <v>0.440497030441476</v>
      </c>
      <c r="R1313" s="0" t="n">
        <f aca="false">IF($I1313&lt;&gt;$O1313,0,IF(P1313&lt;Matchup!$B$39,7,IF(P1313&lt;Matchup!$B$39+Matchup!$B$40,3,0)))</f>
        <v>0</v>
      </c>
      <c r="S1313" s="0" t="n">
        <f aca="false">IF($I1313&lt;&gt;$O1313,0,IF(Q1313&lt;Matchup!$C$39,7,IF(Q1313&lt;Matchup!$C$39+Matchup!$C$40,3,0)))</f>
        <v>0</v>
      </c>
      <c r="T1313" s="0" t="n">
        <f aca="false">I1313+R1313</f>
        <v>31</v>
      </c>
      <c r="U1313" s="0" t="n">
        <f aca="false">O1313+S1313</f>
        <v>33</v>
      </c>
      <c r="V1313" s="0" t="n">
        <f aca="false">T1313-U1313</f>
        <v>-2</v>
      </c>
      <c r="W1313" s="0" t="n">
        <f aca="false">T1313+U1313</f>
        <v>64</v>
      </c>
    </row>
    <row r="1314" customFormat="false" ht="15" hidden="false" customHeight="false" outlineLevel="0" collapsed="false">
      <c r="A1314" s="0" t="n">
        <v>1311</v>
      </c>
      <c r="B1314" s="0" t="n">
        <f aca="true">NORMINV(RAND(),1,Coefficients!$B$22)</f>
        <v>0.916003864831795</v>
      </c>
      <c r="C1314" s="0" t="n">
        <f aca="true">MEDIAN(8,16,ROUND(NORMINV(RAND(),Coefficients!$B$20,Coefficients!$B$21),0))</f>
        <v>12</v>
      </c>
      <c r="D1314" s="0" t="n">
        <f aca="true">CRITBINOM($C1314,MIN(0.75,Matchup!$B$39*$B1314),RAND())</f>
        <v>5</v>
      </c>
      <c r="E1314" s="0" t="n">
        <f aca="true">CRITBINOM(D1314,Coefficients!$B$30,RAND())</f>
        <v>1</v>
      </c>
      <c r="F1314" s="0" t="n">
        <f aca="true">CRITBINOM(E1314,Coefficients!$B$31,RAND())</f>
        <v>1</v>
      </c>
      <c r="G1314" s="0" t="n">
        <f aca="true">CRITBINOM(MAX(0,D1314-E1314),1-Coefficients!$B$32,RAND())</f>
        <v>0</v>
      </c>
      <c r="H1314" s="0" t="n">
        <f aca="true">CRITBINOM(MAX(0,$C1314-D1314),MIN(0.6,Matchup!$B$40*SQRT($B1314)/(1-MIN(0.75,Matchup!$B$39*$B1314))),RAND())</f>
        <v>4</v>
      </c>
      <c r="I1314" s="0" t="n">
        <f aca="false">6*D1314+(D1314-E1314-G1314)+2*F1314+3*H1314</f>
        <v>48</v>
      </c>
      <c r="J1314" s="0" t="n">
        <f aca="true">CRITBINOM($C1314,MIN(0.75,Matchup!$C$39*$B1314),RAND())</f>
        <v>2</v>
      </c>
      <c r="K1314" s="0" t="n">
        <f aca="true">CRITBINOM(J1314,Coefficients!$B$30,RAND())</f>
        <v>0</v>
      </c>
      <c r="L1314" s="0" t="n">
        <f aca="true">CRITBINOM(K1314,Coefficients!$B$31,RAND())</f>
        <v>0</v>
      </c>
      <c r="M1314" s="0" t="n">
        <f aca="true">CRITBINOM(MAX(0,J1314-K1314),1-Coefficients!$B$32,RAND())</f>
        <v>0</v>
      </c>
      <c r="N1314" s="0" t="n">
        <f aca="true">CRITBINOM(MAX(0,$C1314-J1314),MIN(0.6,Matchup!$C$40*SQRT($B1314)/(1-MIN(0.75,Matchup!$C$39*$B1314))),RAND())</f>
        <v>2</v>
      </c>
      <c r="O1314" s="0" t="n">
        <f aca="false">6*J1314+(J1314-K1314-M1314)+2*L1314+3*N1314</f>
        <v>20</v>
      </c>
      <c r="P1314" s="0" t="n">
        <f aca="true">RAND()</f>
        <v>0.605288589129692</v>
      </c>
      <c r="Q1314" s="0" t="n">
        <f aca="true">RAND()</f>
        <v>0.334962425674624</v>
      </c>
      <c r="R1314" s="0" t="n">
        <f aca="false">IF($I1314&lt;&gt;$O1314,0,IF(P1314&lt;Matchup!$B$39,7,IF(P1314&lt;Matchup!$B$39+Matchup!$B$40,3,0)))</f>
        <v>0</v>
      </c>
      <c r="S1314" s="0" t="n">
        <f aca="false">IF($I1314&lt;&gt;$O1314,0,IF(Q1314&lt;Matchup!$C$39,7,IF(Q1314&lt;Matchup!$C$39+Matchup!$C$40,3,0)))</f>
        <v>0</v>
      </c>
      <c r="T1314" s="0" t="n">
        <f aca="false">I1314+R1314</f>
        <v>48</v>
      </c>
      <c r="U1314" s="0" t="n">
        <f aca="false">O1314+S1314</f>
        <v>20</v>
      </c>
      <c r="V1314" s="0" t="n">
        <f aca="false">T1314-U1314</f>
        <v>28</v>
      </c>
      <c r="W1314" s="0" t="n">
        <f aca="false">T1314+U1314</f>
        <v>68</v>
      </c>
    </row>
    <row r="1315" customFormat="false" ht="15" hidden="false" customHeight="false" outlineLevel="0" collapsed="false">
      <c r="A1315" s="0" t="n">
        <v>1312</v>
      </c>
      <c r="B1315" s="0" t="n">
        <f aca="true">NORMINV(RAND(),1,Coefficients!$B$22)</f>
        <v>0.955471139824079</v>
      </c>
      <c r="C1315" s="0" t="n">
        <f aca="true">MEDIAN(8,16,ROUND(NORMINV(RAND(),Coefficients!$B$20,Coefficients!$B$21),0))</f>
        <v>13</v>
      </c>
      <c r="D1315" s="0" t="n">
        <f aca="true">CRITBINOM($C1315,MIN(0.75,Matchup!$B$39*$B1315),RAND())</f>
        <v>4</v>
      </c>
      <c r="E1315" s="0" t="n">
        <f aca="true">CRITBINOM(D1315,Coefficients!$B$30,RAND())</f>
        <v>0</v>
      </c>
      <c r="F1315" s="0" t="n">
        <f aca="true">CRITBINOM(E1315,Coefficients!$B$31,RAND())</f>
        <v>0</v>
      </c>
      <c r="G1315" s="0" t="n">
        <f aca="true">CRITBINOM(MAX(0,D1315-E1315),1-Coefficients!$B$32,RAND())</f>
        <v>0</v>
      </c>
      <c r="H1315" s="0" t="n">
        <f aca="true">CRITBINOM(MAX(0,$C1315-D1315),MIN(0.6,Matchup!$B$40*SQRT($B1315)/(1-MIN(0.75,Matchup!$B$39*$B1315))),RAND())</f>
        <v>1</v>
      </c>
      <c r="I1315" s="0" t="n">
        <f aca="false">6*D1315+(D1315-E1315-G1315)+2*F1315+3*H1315</f>
        <v>31</v>
      </c>
      <c r="J1315" s="0" t="n">
        <f aca="true">CRITBINOM($C1315,MIN(0.75,Matchup!$C$39*$B1315),RAND())</f>
        <v>2</v>
      </c>
      <c r="K1315" s="0" t="n">
        <f aca="true">CRITBINOM(J1315,Coefficients!$B$30,RAND())</f>
        <v>0</v>
      </c>
      <c r="L1315" s="0" t="n">
        <f aca="true">CRITBINOM(K1315,Coefficients!$B$31,RAND())</f>
        <v>0</v>
      </c>
      <c r="M1315" s="0" t="n">
        <f aca="true">CRITBINOM(MAX(0,J1315-K1315),1-Coefficients!$B$32,RAND())</f>
        <v>0</v>
      </c>
      <c r="N1315" s="0" t="n">
        <f aca="true">CRITBINOM(MAX(0,$C1315-J1315),MIN(0.6,Matchup!$C$40*SQRT($B1315)/(1-MIN(0.75,Matchup!$C$39*$B1315))),RAND())</f>
        <v>1</v>
      </c>
      <c r="O1315" s="0" t="n">
        <f aca="false">6*J1315+(J1315-K1315-M1315)+2*L1315+3*N1315</f>
        <v>17</v>
      </c>
      <c r="P1315" s="0" t="n">
        <f aca="true">RAND()</f>
        <v>0.914162956756497</v>
      </c>
      <c r="Q1315" s="0" t="n">
        <f aca="true">RAND()</f>
        <v>0.856445522080731</v>
      </c>
      <c r="R1315" s="0" t="n">
        <f aca="false">IF($I1315&lt;&gt;$O1315,0,IF(P1315&lt;Matchup!$B$39,7,IF(P1315&lt;Matchup!$B$39+Matchup!$B$40,3,0)))</f>
        <v>0</v>
      </c>
      <c r="S1315" s="0" t="n">
        <f aca="false">IF($I1315&lt;&gt;$O1315,0,IF(Q1315&lt;Matchup!$C$39,7,IF(Q1315&lt;Matchup!$C$39+Matchup!$C$40,3,0)))</f>
        <v>0</v>
      </c>
      <c r="T1315" s="0" t="n">
        <f aca="false">I1315+R1315</f>
        <v>31</v>
      </c>
      <c r="U1315" s="0" t="n">
        <f aca="false">O1315+S1315</f>
        <v>17</v>
      </c>
      <c r="V1315" s="0" t="n">
        <f aca="false">T1315-U1315</f>
        <v>14</v>
      </c>
      <c r="W1315" s="0" t="n">
        <f aca="false">T1315+U1315</f>
        <v>48</v>
      </c>
    </row>
    <row r="1316" customFormat="false" ht="15" hidden="false" customHeight="false" outlineLevel="0" collapsed="false">
      <c r="A1316" s="0" t="n">
        <v>1313</v>
      </c>
      <c r="B1316" s="0" t="n">
        <f aca="true">NORMINV(RAND(),1,Coefficients!$B$22)</f>
        <v>1.0158292368512</v>
      </c>
      <c r="C1316" s="0" t="n">
        <f aca="true">MEDIAN(8,16,ROUND(NORMINV(RAND(),Coefficients!$B$20,Coefficients!$B$21),0))</f>
        <v>12</v>
      </c>
      <c r="D1316" s="0" t="n">
        <f aca="true">CRITBINOM($C1316,MIN(0.75,Matchup!$B$39*$B1316),RAND())</f>
        <v>1</v>
      </c>
      <c r="E1316" s="0" t="n">
        <f aca="true">CRITBINOM(D1316,Coefficients!$B$30,RAND())</f>
        <v>0</v>
      </c>
      <c r="F1316" s="0" t="n">
        <f aca="true">CRITBINOM(E1316,Coefficients!$B$31,RAND())</f>
        <v>0</v>
      </c>
      <c r="G1316" s="0" t="n">
        <f aca="true">CRITBINOM(MAX(0,D1316-E1316),1-Coefficients!$B$32,RAND())</f>
        <v>0</v>
      </c>
      <c r="H1316" s="0" t="n">
        <f aca="true">CRITBINOM(MAX(0,$C1316-D1316),MIN(0.6,Matchup!$B$40*SQRT($B1316)/(1-MIN(0.75,Matchup!$B$39*$B1316))),RAND())</f>
        <v>3</v>
      </c>
      <c r="I1316" s="0" t="n">
        <f aca="false">6*D1316+(D1316-E1316-G1316)+2*F1316+3*H1316</f>
        <v>16</v>
      </c>
      <c r="J1316" s="0" t="n">
        <f aca="true">CRITBINOM($C1316,MIN(0.75,Matchup!$C$39*$B1316),RAND())</f>
        <v>3</v>
      </c>
      <c r="K1316" s="0" t="n">
        <f aca="true">CRITBINOM(J1316,Coefficients!$B$30,RAND())</f>
        <v>0</v>
      </c>
      <c r="L1316" s="0" t="n">
        <f aca="true">CRITBINOM(K1316,Coefficients!$B$31,RAND())</f>
        <v>0</v>
      </c>
      <c r="M1316" s="0" t="n">
        <f aca="true">CRITBINOM(MAX(0,J1316-K1316),1-Coefficients!$B$32,RAND())</f>
        <v>0</v>
      </c>
      <c r="N1316" s="0" t="n">
        <f aca="true">CRITBINOM(MAX(0,$C1316-J1316),MIN(0.6,Matchup!$C$40*SQRT($B1316)/(1-MIN(0.75,Matchup!$C$39*$B1316))),RAND())</f>
        <v>3</v>
      </c>
      <c r="O1316" s="0" t="n">
        <f aca="false">6*J1316+(J1316-K1316-M1316)+2*L1316+3*N1316</f>
        <v>30</v>
      </c>
      <c r="P1316" s="0" t="n">
        <f aca="true">RAND()</f>
        <v>0.347867436923715</v>
      </c>
      <c r="Q1316" s="0" t="n">
        <f aca="true">RAND()</f>
        <v>0.986072534104752</v>
      </c>
      <c r="R1316" s="0" t="n">
        <f aca="false">IF($I1316&lt;&gt;$O1316,0,IF(P1316&lt;Matchup!$B$39,7,IF(P1316&lt;Matchup!$B$39+Matchup!$B$40,3,0)))</f>
        <v>0</v>
      </c>
      <c r="S1316" s="0" t="n">
        <f aca="false">IF($I1316&lt;&gt;$O1316,0,IF(Q1316&lt;Matchup!$C$39,7,IF(Q1316&lt;Matchup!$C$39+Matchup!$C$40,3,0)))</f>
        <v>0</v>
      </c>
      <c r="T1316" s="0" t="n">
        <f aca="false">I1316+R1316</f>
        <v>16</v>
      </c>
      <c r="U1316" s="0" t="n">
        <f aca="false">O1316+S1316</f>
        <v>30</v>
      </c>
      <c r="V1316" s="0" t="n">
        <f aca="false">T1316-U1316</f>
        <v>-14</v>
      </c>
      <c r="W1316" s="0" t="n">
        <f aca="false">T1316+U1316</f>
        <v>46</v>
      </c>
    </row>
    <row r="1317" customFormat="false" ht="15" hidden="false" customHeight="false" outlineLevel="0" collapsed="false">
      <c r="A1317" s="0" t="n">
        <v>1314</v>
      </c>
      <c r="B1317" s="0" t="n">
        <f aca="true">NORMINV(RAND(),1,Coefficients!$B$22)</f>
        <v>1.04743426304473</v>
      </c>
      <c r="C1317" s="0" t="n">
        <f aca="true">MEDIAN(8,16,ROUND(NORMINV(RAND(),Coefficients!$B$20,Coefficients!$B$21),0))</f>
        <v>13</v>
      </c>
      <c r="D1317" s="0" t="n">
        <f aca="true">CRITBINOM($C1317,MIN(0.75,Matchup!$B$39*$B1317),RAND())</f>
        <v>4</v>
      </c>
      <c r="E1317" s="0" t="n">
        <f aca="true">CRITBINOM(D1317,Coefficients!$B$30,RAND())</f>
        <v>1</v>
      </c>
      <c r="F1317" s="0" t="n">
        <f aca="true">CRITBINOM(E1317,Coefficients!$B$31,RAND())</f>
        <v>0</v>
      </c>
      <c r="G1317" s="0" t="n">
        <f aca="true">CRITBINOM(MAX(0,D1317-E1317),1-Coefficients!$B$32,RAND())</f>
        <v>0</v>
      </c>
      <c r="H1317" s="0" t="n">
        <f aca="true">CRITBINOM(MAX(0,$C1317-D1317),MIN(0.6,Matchup!$B$40*SQRT($B1317)/(1-MIN(0.75,Matchup!$B$39*$B1317))),RAND())</f>
        <v>1</v>
      </c>
      <c r="I1317" s="0" t="n">
        <f aca="false">6*D1317+(D1317-E1317-G1317)+2*F1317+3*H1317</f>
        <v>30</v>
      </c>
      <c r="J1317" s="0" t="n">
        <f aca="true">CRITBINOM($C1317,MIN(0.75,Matchup!$C$39*$B1317),RAND())</f>
        <v>2</v>
      </c>
      <c r="K1317" s="0" t="n">
        <f aca="true">CRITBINOM(J1317,Coefficients!$B$30,RAND())</f>
        <v>0</v>
      </c>
      <c r="L1317" s="0" t="n">
        <f aca="true">CRITBINOM(K1317,Coefficients!$B$31,RAND())</f>
        <v>0</v>
      </c>
      <c r="M1317" s="0" t="n">
        <f aca="true">CRITBINOM(MAX(0,J1317-K1317),1-Coefficients!$B$32,RAND())</f>
        <v>0</v>
      </c>
      <c r="N1317" s="0" t="n">
        <f aca="true">CRITBINOM(MAX(0,$C1317-J1317),MIN(0.6,Matchup!$C$40*SQRT($B1317)/(1-MIN(0.75,Matchup!$C$39*$B1317))),RAND())</f>
        <v>3</v>
      </c>
      <c r="O1317" s="0" t="n">
        <f aca="false">6*J1317+(J1317-K1317-M1317)+2*L1317+3*N1317</f>
        <v>23</v>
      </c>
      <c r="P1317" s="0" t="n">
        <f aca="true">RAND()</f>
        <v>0.317556084741756</v>
      </c>
      <c r="Q1317" s="0" t="n">
        <f aca="true">RAND()</f>
        <v>0.87485478119559</v>
      </c>
      <c r="R1317" s="0" t="n">
        <f aca="false">IF($I1317&lt;&gt;$O1317,0,IF(P1317&lt;Matchup!$B$39,7,IF(P1317&lt;Matchup!$B$39+Matchup!$B$40,3,0)))</f>
        <v>0</v>
      </c>
      <c r="S1317" s="0" t="n">
        <f aca="false">IF($I1317&lt;&gt;$O1317,0,IF(Q1317&lt;Matchup!$C$39,7,IF(Q1317&lt;Matchup!$C$39+Matchup!$C$40,3,0)))</f>
        <v>0</v>
      </c>
      <c r="T1317" s="0" t="n">
        <f aca="false">I1317+R1317</f>
        <v>30</v>
      </c>
      <c r="U1317" s="0" t="n">
        <f aca="false">O1317+S1317</f>
        <v>23</v>
      </c>
      <c r="V1317" s="0" t="n">
        <f aca="false">T1317-U1317</f>
        <v>7</v>
      </c>
      <c r="W1317" s="0" t="n">
        <f aca="false">T1317+U1317</f>
        <v>53</v>
      </c>
    </row>
    <row r="1318" customFormat="false" ht="15" hidden="false" customHeight="false" outlineLevel="0" collapsed="false">
      <c r="A1318" s="0" t="n">
        <v>1315</v>
      </c>
      <c r="B1318" s="0" t="n">
        <f aca="true">NORMINV(RAND(),1,Coefficients!$B$22)</f>
        <v>0.939439737957457</v>
      </c>
      <c r="C1318" s="0" t="n">
        <f aca="true">MEDIAN(8,16,ROUND(NORMINV(RAND(),Coefficients!$B$20,Coefficients!$B$21),0))</f>
        <v>11</v>
      </c>
      <c r="D1318" s="0" t="n">
        <f aca="true">CRITBINOM($C1318,MIN(0.75,Matchup!$B$39*$B1318),RAND())</f>
        <v>1</v>
      </c>
      <c r="E1318" s="0" t="n">
        <f aca="true">CRITBINOM(D1318,Coefficients!$B$30,RAND())</f>
        <v>0</v>
      </c>
      <c r="F1318" s="0" t="n">
        <f aca="true">CRITBINOM(E1318,Coefficients!$B$31,RAND())</f>
        <v>0</v>
      </c>
      <c r="G1318" s="0" t="n">
        <f aca="true">CRITBINOM(MAX(0,D1318-E1318),1-Coefficients!$B$32,RAND())</f>
        <v>0</v>
      </c>
      <c r="H1318" s="0" t="n">
        <f aca="true">CRITBINOM(MAX(0,$C1318-D1318),MIN(0.6,Matchup!$B$40*SQRT($B1318)/(1-MIN(0.75,Matchup!$B$39*$B1318))),RAND())</f>
        <v>1</v>
      </c>
      <c r="I1318" s="0" t="n">
        <f aca="false">6*D1318+(D1318-E1318-G1318)+2*F1318+3*H1318</f>
        <v>10</v>
      </c>
      <c r="J1318" s="0" t="n">
        <f aca="true">CRITBINOM($C1318,MIN(0.75,Matchup!$C$39*$B1318),RAND())</f>
        <v>3</v>
      </c>
      <c r="K1318" s="0" t="n">
        <f aca="true">CRITBINOM(J1318,Coefficients!$B$30,RAND())</f>
        <v>0</v>
      </c>
      <c r="L1318" s="0" t="n">
        <f aca="true">CRITBINOM(K1318,Coefficients!$B$31,RAND())</f>
        <v>0</v>
      </c>
      <c r="M1318" s="0" t="n">
        <f aca="true">CRITBINOM(MAX(0,J1318-K1318),1-Coefficients!$B$32,RAND())</f>
        <v>0</v>
      </c>
      <c r="N1318" s="0" t="n">
        <f aca="true">CRITBINOM(MAX(0,$C1318-J1318),MIN(0.6,Matchup!$C$40*SQRT($B1318)/(1-MIN(0.75,Matchup!$C$39*$B1318))),RAND())</f>
        <v>1</v>
      </c>
      <c r="O1318" s="0" t="n">
        <f aca="false">6*J1318+(J1318-K1318-M1318)+2*L1318+3*N1318</f>
        <v>24</v>
      </c>
      <c r="P1318" s="0" t="n">
        <f aca="true">RAND()</f>
        <v>0.218005905819815</v>
      </c>
      <c r="Q1318" s="0" t="n">
        <f aca="true">RAND()</f>
        <v>0.962313881178874</v>
      </c>
      <c r="R1318" s="0" t="n">
        <f aca="false">IF($I1318&lt;&gt;$O1318,0,IF(P1318&lt;Matchup!$B$39,7,IF(P1318&lt;Matchup!$B$39+Matchup!$B$40,3,0)))</f>
        <v>0</v>
      </c>
      <c r="S1318" s="0" t="n">
        <f aca="false">IF($I1318&lt;&gt;$O1318,0,IF(Q1318&lt;Matchup!$C$39,7,IF(Q1318&lt;Matchup!$C$39+Matchup!$C$40,3,0)))</f>
        <v>0</v>
      </c>
      <c r="T1318" s="0" t="n">
        <f aca="false">I1318+R1318</f>
        <v>10</v>
      </c>
      <c r="U1318" s="0" t="n">
        <f aca="false">O1318+S1318</f>
        <v>24</v>
      </c>
      <c r="V1318" s="0" t="n">
        <f aca="false">T1318-U1318</f>
        <v>-14</v>
      </c>
      <c r="W1318" s="0" t="n">
        <f aca="false">T1318+U1318</f>
        <v>34</v>
      </c>
    </row>
    <row r="1319" customFormat="false" ht="15" hidden="false" customHeight="false" outlineLevel="0" collapsed="false">
      <c r="A1319" s="0" t="n">
        <v>1316</v>
      </c>
      <c r="B1319" s="0" t="n">
        <f aca="true">NORMINV(RAND(),1,Coefficients!$B$22)</f>
        <v>1.07333293634187</v>
      </c>
      <c r="C1319" s="0" t="n">
        <f aca="true">MEDIAN(8,16,ROUND(NORMINV(RAND(),Coefficients!$B$20,Coefficients!$B$21),0))</f>
        <v>11</v>
      </c>
      <c r="D1319" s="0" t="n">
        <f aca="true">CRITBINOM($C1319,MIN(0.75,Matchup!$B$39*$B1319),RAND())</f>
        <v>2</v>
      </c>
      <c r="E1319" s="0" t="n">
        <f aca="true">CRITBINOM(D1319,Coefficients!$B$30,RAND())</f>
        <v>0</v>
      </c>
      <c r="F1319" s="0" t="n">
        <f aca="true">CRITBINOM(E1319,Coefficients!$B$31,RAND())</f>
        <v>0</v>
      </c>
      <c r="G1319" s="0" t="n">
        <f aca="true">CRITBINOM(MAX(0,D1319-E1319),1-Coefficients!$B$32,RAND())</f>
        <v>0</v>
      </c>
      <c r="H1319" s="0" t="n">
        <f aca="true">CRITBINOM(MAX(0,$C1319-D1319),MIN(0.6,Matchup!$B$40*SQRT($B1319)/(1-MIN(0.75,Matchup!$B$39*$B1319))),RAND())</f>
        <v>1</v>
      </c>
      <c r="I1319" s="0" t="n">
        <f aca="false">6*D1319+(D1319-E1319-G1319)+2*F1319+3*H1319</f>
        <v>17</v>
      </c>
      <c r="J1319" s="0" t="n">
        <f aca="true">CRITBINOM($C1319,MIN(0.75,Matchup!$C$39*$B1319),RAND())</f>
        <v>3</v>
      </c>
      <c r="K1319" s="0" t="n">
        <f aca="true">CRITBINOM(J1319,Coefficients!$B$30,RAND())</f>
        <v>0</v>
      </c>
      <c r="L1319" s="0" t="n">
        <f aca="true">CRITBINOM(K1319,Coefficients!$B$31,RAND())</f>
        <v>0</v>
      </c>
      <c r="M1319" s="0" t="n">
        <f aca="true">CRITBINOM(MAX(0,J1319-K1319),1-Coefficients!$B$32,RAND())</f>
        <v>0</v>
      </c>
      <c r="N1319" s="0" t="n">
        <f aca="true">CRITBINOM(MAX(0,$C1319-J1319),MIN(0.6,Matchup!$C$40*SQRT($B1319)/(1-MIN(0.75,Matchup!$C$39*$B1319))),RAND())</f>
        <v>2</v>
      </c>
      <c r="O1319" s="0" t="n">
        <f aca="false">6*J1319+(J1319-K1319-M1319)+2*L1319+3*N1319</f>
        <v>27</v>
      </c>
      <c r="P1319" s="0" t="n">
        <f aca="true">RAND()</f>
        <v>0.408641946258021</v>
      </c>
      <c r="Q1319" s="0" t="n">
        <f aca="true">RAND()</f>
        <v>0.589941478533513</v>
      </c>
      <c r="R1319" s="0" t="n">
        <f aca="false">IF($I1319&lt;&gt;$O1319,0,IF(P1319&lt;Matchup!$B$39,7,IF(P1319&lt;Matchup!$B$39+Matchup!$B$40,3,0)))</f>
        <v>0</v>
      </c>
      <c r="S1319" s="0" t="n">
        <f aca="false">IF($I1319&lt;&gt;$O1319,0,IF(Q1319&lt;Matchup!$C$39,7,IF(Q1319&lt;Matchup!$C$39+Matchup!$C$40,3,0)))</f>
        <v>0</v>
      </c>
      <c r="T1319" s="0" t="n">
        <f aca="false">I1319+R1319</f>
        <v>17</v>
      </c>
      <c r="U1319" s="0" t="n">
        <f aca="false">O1319+S1319</f>
        <v>27</v>
      </c>
      <c r="V1319" s="0" t="n">
        <f aca="false">T1319-U1319</f>
        <v>-10</v>
      </c>
      <c r="W1319" s="0" t="n">
        <f aca="false">T1319+U1319</f>
        <v>44</v>
      </c>
    </row>
    <row r="1320" customFormat="false" ht="15" hidden="false" customHeight="false" outlineLevel="0" collapsed="false">
      <c r="A1320" s="0" t="n">
        <v>1317</v>
      </c>
      <c r="B1320" s="0" t="n">
        <f aca="true">NORMINV(RAND(),1,Coefficients!$B$22)</f>
        <v>1.03696918422719</v>
      </c>
      <c r="C1320" s="0" t="n">
        <f aca="true">MEDIAN(8,16,ROUND(NORMINV(RAND(),Coefficients!$B$20,Coefficients!$B$21),0))</f>
        <v>11</v>
      </c>
      <c r="D1320" s="0" t="n">
        <f aca="true">CRITBINOM($C1320,MIN(0.75,Matchup!$B$39*$B1320),RAND())</f>
        <v>5</v>
      </c>
      <c r="E1320" s="0" t="n">
        <f aca="true">CRITBINOM(D1320,Coefficients!$B$30,RAND())</f>
        <v>0</v>
      </c>
      <c r="F1320" s="0" t="n">
        <f aca="true">CRITBINOM(E1320,Coefficients!$B$31,RAND())</f>
        <v>0</v>
      </c>
      <c r="G1320" s="0" t="n">
        <f aca="true">CRITBINOM(MAX(0,D1320-E1320),1-Coefficients!$B$32,RAND())</f>
        <v>0</v>
      </c>
      <c r="H1320" s="0" t="n">
        <f aca="true">CRITBINOM(MAX(0,$C1320-D1320),MIN(0.6,Matchup!$B$40*SQRT($B1320)/(1-MIN(0.75,Matchup!$B$39*$B1320))),RAND())</f>
        <v>0</v>
      </c>
      <c r="I1320" s="0" t="n">
        <f aca="false">6*D1320+(D1320-E1320-G1320)+2*F1320+3*H1320</f>
        <v>35</v>
      </c>
      <c r="J1320" s="0" t="n">
        <f aca="true">CRITBINOM($C1320,MIN(0.75,Matchup!$C$39*$B1320),RAND())</f>
        <v>1</v>
      </c>
      <c r="K1320" s="0" t="n">
        <f aca="true">CRITBINOM(J1320,Coefficients!$B$30,RAND())</f>
        <v>0</v>
      </c>
      <c r="L1320" s="0" t="n">
        <f aca="true">CRITBINOM(K1320,Coefficients!$B$31,RAND())</f>
        <v>0</v>
      </c>
      <c r="M1320" s="0" t="n">
        <f aca="true">CRITBINOM(MAX(0,J1320-K1320),1-Coefficients!$B$32,RAND())</f>
        <v>0</v>
      </c>
      <c r="N1320" s="0" t="n">
        <f aca="true">CRITBINOM(MAX(0,$C1320-J1320),MIN(0.6,Matchup!$C$40*SQRT($B1320)/(1-MIN(0.75,Matchup!$C$39*$B1320))),RAND())</f>
        <v>4</v>
      </c>
      <c r="O1320" s="0" t="n">
        <f aca="false">6*J1320+(J1320-K1320-M1320)+2*L1320+3*N1320</f>
        <v>19</v>
      </c>
      <c r="P1320" s="0" t="n">
        <f aca="true">RAND()</f>
        <v>0.609579434657126</v>
      </c>
      <c r="Q1320" s="0" t="n">
        <f aca="true">RAND()</f>
        <v>0.664385648557992</v>
      </c>
      <c r="R1320" s="0" t="n">
        <f aca="false">IF($I1320&lt;&gt;$O1320,0,IF(P1320&lt;Matchup!$B$39,7,IF(P1320&lt;Matchup!$B$39+Matchup!$B$40,3,0)))</f>
        <v>0</v>
      </c>
      <c r="S1320" s="0" t="n">
        <f aca="false">IF($I1320&lt;&gt;$O1320,0,IF(Q1320&lt;Matchup!$C$39,7,IF(Q1320&lt;Matchup!$C$39+Matchup!$C$40,3,0)))</f>
        <v>0</v>
      </c>
      <c r="T1320" s="0" t="n">
        <f aca="false">I1320+R1320</f>
        <v>35</v>
      </c>
      <c r="U1320" s="0" t="n">
        <f aca="false">O1320+S1320</f>
        <v>19</v>
      </c>
      <c r="V1320" s="0" t="n">
        <f aca="false">T1320-U1320</f>
        <v>16</v>
      </c>
      <c r="W1320" s="0" t="n">
        <f aca="false">T1320+U1320</f>
        <v>54</v>
      </c>
    </row>
    <row r="1321" customFormat="false" ht="15" hidden="false" customHeight="false" outlineLevel="0" collapsed="false">
      <c r="A1321" s="0" t="n">
        <v>1318</v>
      </c>
      <c r="B1321" s="0" t="n">
        <f aca="true">NORMINV(RAND(),1,Coefficients!$B$22)</f>
        <v>0.995883356502353</v>
      </c>
      <c r="C1321" s="0" t="n">
        <f aca="true">MEDIAN(8,16,ROUND(NORMINV(RAND(),Coefficients!$B$20,Coefficients!$B$21),0))</f>
        <v>11</v>
      </c>
      <c r="D1321" s="0" t="n">
        <f aca="true">CRITBINOM($C1321,MIN(0.75,Matchup!$B$39*$B1321),RAND())</f>
        <v>2</v>
      </c>
      <c r="E1321" s="0" t="n">
        <f aca="true">CRITBINOM(D1321,Coefficients!$B$30,RAND())</f>
        <v>0</v>
      </c>
      <c r="F1321" s="0" t="n">
        <f aca="true">CRITBINOM(E1321,Coefficients!$B$31,RAND())</f>
        <v>0</v>
      </c>
      <c r="G1321" s="0" t="n">
        <f aca="true">CRITBINOM(MAX(0,D1321-E1321),1-Coefficients!$B$32,RAND())</f>
        <v>0</v>
      </c>
      <c r="H1321" s="0" t="n">
        <f aca="true">CRITBINOM(MAX(0,$C1321-D1321),MIN(0.6,Matchup!$B$40*SQRT($B1321)/(1-MIN(0.75,Matchup!$B$39*$B1321))),RAND())</f>
        <v>0</v>
      </c>
      <c r="I1321" s="0" t="n">
        <f aca="false">6*D1321+(D1321-E1321-G1321)+2*F1321+3*H1321</f>
        <v>14</v>
      </c>
      <c r="J1321" s="0" t="n">
        <f aca="true">CRITBINOM($C1321,MIN(0.75,Matchup!$C$39*$B1321),RAND())</f>
        <v>1</v>
      </c>
      <c r="K1321" s="0" t="n">
        <f aca="true">CRITBINOM(J1321,Coefficients!$B$30,RAND())</f>
        <v>0</v>
      </c>
      <c r="L1321" s="0" t="n">
        <f aca="true">CRITBINOM(K1321,Coefficients!$B$31,RAND())</f>
        <v>0</v>
      </c>
      <c r="M1321" s="0" t="n">
        <f aca="true">CRITBINOM(MAX(0,J1321-K1321),1-Coefficients!$B$32,RAND())</f>
        <v>0</v>
      </c>
      <c r="N1321" s="0" t="n">
        <f aca="true">CRITBINOM(MAX(0,$C1321-J1321),MIN(0.6,Matchup!$C$40*SQRT($B1321)/(1-MIN(0.75,Matchup!$C$39*$B1321))),RAND())</f>
        <v>1</v>
      </c>
      <c r="O1321" s="0" t="n">
        <f aca="false">6*J1321+(J1321-K1321-M1321)+2*L1321+3*N1321</f>
        <v>10</v>
      </c>
      <c r="P1321" s="0" t="n">
        <f aca="true">RAND()</f>
        <v>0.384895113531788</v>
      </c>
      <c r="Q1321" s="0" t="n">
        <f aca="true">RAND()</f>
        <v>0.130522454232116</v>
      </c>
      <c r="R1321" s="0" t="n">
        <f aca="false">IF($I1321&lt;&gt;$O1321,0,IF(P1321&lt;Matchup!$B$39,7,IF(P1321&lt;Matchup!$B$39+Matchup!$B$40,3,0)))</f>
        <v>0</v>
      </c>
      <c r="S1321" s="0" t="n">
        <f aca="false">IF($I1321&lt;&gt;$O1321,0,IF(Q1321&lt;Matchup!$C$39,7,IF(Q1321&lt;Matchup!$C$39+Matchup!$C$40,3,0)))</f>
        <v>0</v>
      </c>
      <c r="T1321" s="0" t="n">
        <f aca="false">I1321+R1321</f>
        <v>14</v>
      </c>
      <c r="U1321" s="0" t="n">
        <f aca="false">O1321+S1321</f>
        <v>10</v>
      </c>
      <c r="V1321" s="0" t="n">
        <f aca="false">T1321-U1321</f>
        <v>4</v>
      </c>
      <c r="W1321" s="0" t="n">
        <f aca="false">T1321+U1321</f>
        <v>24</v>
      </c>
    </row>
    <row r="1322" customFormat="false" ht="15" hidden="false" customHeight="false" outlineLevel="0" collapsed="false">
      <c r="A1322" s="0" t="n">
        <v>1319</v>
      </c>
      <c r="B1322" s="0" t="n">
        <f aca="true">NORMINV(RAND(),1,Coefficients!$B$22)</f>
        <v>1.07273222964072</v>
      </c>
      <c r="C1322" s="0" t="n">
        <f aca="true">MEDIAN(8,16,ROUND(NORMINV(RAND(),Coefficients!$B$20,Coefficients!$B$21),0))</f>
        <v>11</v>
      </c>
      <c r="D1322" s="0" t="n">
        <f aca="true">CRITBINOM($C1322,MIN(0.75,Matchup!$B$39*$B1322),RAND())</f>
        <v>2</v>
      </c>
      <c r="E1322" s="0" t="n">
        <f aca="true">CRITBINOM(D1322,Coefficients!$B$30,RAND())</f>
        <v>0</v>
      </c>
      <c r="F1322" s="0" t="n">
        <f aca="true">CRITBINOM(E1322,Coefficients!$B$31,RAND())</f>
        <v>0</v>
      </c>
      <c r="G1322" s="0" t="n">
        <f aca="true">CRITBINOM(MAX(0,D1322-E1322),1-Coefficients!$B$32,RAND())</f>
        <v>0</v>
      </c>
      <c r="H1322" s="0" t="n">
        <f aca="true">CRITBINOM(MAX(0,$C1322-D1322),MIN(0.6,Matchup!$B$40*SQRT($B1322)/(1-MIN(0.75,Matchup!$B$39*$B1322))),RAND())</f>
        <v>0</v>
      </c>
      <c r="I1322" s="0" t="n">
        <f aca="false">6*D1322+(D1322-E1322-G1322)+2*F1322+3*H1322</f>
        <v>14</v>
      </c>
      <c r="J1322" s="0" t="n">
        <f aca="true">CRITBINOM($C1322,MIN(0.75,Matchup!$C$39*$B1322),RAND())</f>
        <v>3</v>
      </c>
      <c r="K1322" s="0" t="n">
        <f aca="true">CRITBINOM(J1322,Coefficients!$B$30,RAND())</f>
        <v>0</v>
      </c>
      <c r="L1322" s="0" t="n">
        <f aca="true">CRITBINOM(K1322,Coefficients!$B$31,RAND())</f>
        <v>0</v>
      </c>
      <c r="M1322" s="0" t="n">
        <f aca="true">CRITBINOM(MAX(0,J1322-K1322),1-Coefficients!$B$32,RAND())</f>
        <v>0</v>
      </c>
      <c r="N1322" s="0" t="n">
        <f aca="true">CRITBINOM(MAX(0,$C1322-J1322),MIN(0.6,Matchup!$C$40*SQRT($B1322)/(1-MIN(0.75,Matchup!$C$39*$B1322))),RAND())</f>
        <v>1</v>
      </c>
      <c r="O1322" s="0" t="n">
        <f aca="false">6*J1322+(J1322-K1322-M1322)+2*L1322+3*N1322</f>
        <v>24</v>
      </c>
      <c r="P1322" s="0" t="n">
        <f aca="true">RAND()</f>
        <v>0.933390327069413</v>
      </c>
      <c r="Q1322" s="0" t="n">
        <f aca="true">RAND()</f>
        <v>0.782561673067741</v>
      </c>
      <c r="R1322" s="0" t="n">
        <f aca="false">IF($I1322&lt;&gt;$O1322,0,IF(P1322&lt;Matchup!$B$39,7,IF(P1322&lt;Matchup!$B$39+Matchup!$B$40,3,0)))</f>
        <v>0</v>
      </c>
      <c r="S1322" s="0" t="n">
        <f aca="false">IF($I1322&lt;&gt;$O1322,0,IF(Q1322&lt;Matchup!$C$39,7,IF(Q1322&lt;Matchup!$C$39+Matchup!$C$40,3,0)))</f>
        <v>0</v>
      </c>
      <c r="T1322" s="0" t="n">
        <f aca="false">I1322+R1322</f>
        <v>14</v>
      </c>
      <c r="U1322" s="0" t="n">
        <f aca="false">O1322+S1322</f>
        <v>24</v>
      </c>
      <c r="V1322" s="0" t="n">
        <f aca="false">T1322-U1322</f>
        <v>-10</v>
      </c>
      <c r="W1322" s="0" t="n">
        <f aca="false">T1322+U1322</f>
        <v>38</v>
      </c>
    </row>
    <row r="1323" customFormat="false" ht="15" hidden="false" customHeight="false" outlineLevel="0" collapsed="false">
      <c r="A1323" s="0" t="n">
        <v>1320</v>
      </c>
      <c r="B1323" s="0" t="n">
        <f aca="true">NORMINV(RAND(),1,Coefficients!$B$22)</f>
        <v>1.04152262509102</v>
      </c>
      <c r="C1323" s="0" t="n">
        <f aca="true">MEDIAN(8,16,ROUND(NORMINV(RAND(),Coefficients!$B$20,Coefficients!$B$21),0))</f>
        <v>11</v>
      </c>
      <c r="D1323" s="0" t="n">
        <f aca="true">CRITBINOM($C1323,MIN(0.75,Matchup!$B$39*$B1323),RAND())</f>
        <v>3</v>
      </c>
      <c r="E1323" s="0" t="n">
        <f aca="true">CRITBINOM(D1323,Coefficients!$B$30,RAND())</f>
        <v>0</v>
      </c>
      <c r="F1323" s="0" t="n">
        <f aca="true">CRITBINOM(E1323,Coefficients!$B$31,RAND())</f>
        <v>0</v>
      </c>
      <c r="G1323" s="0" t="n">
        <f aca="true">CRITBINOM(MAX(0,D1323-E1323),1-Coefficients!$B$32,RAND())</f>
        <v>0</v>
      </c>
      <c r="H1323" s="0" t="n">
        <f aca="true">CRITBINOM(MAX(0,$C1323-D1323),MIN(0.6,Matchup!$B$40*SQRT($B1323)/(1-MIN(0.75,Matchup!$B$39*$B1323))),RAND())</f>
        <v>1</v>
      </c>
      <c r="I1323" s="0" t="n">
        <f aca="false">6*D1323+(D1323-E1323-G1323)+2*F1323+3*H1323</f>
        <v>24</v>
      </c>
      <c r="J1323" s="0" t="n">
        <f aca="true">CRITBINOM($C1323,MIN(0.75,Matchup!$C$39*$B1323),RAND())</f>
        <v>4</v>
      </c>
      <c r="K1323" s="0" t="n">
        <f aca="true">CRITBINOM(J1323,Coefficients!$B$30,RAND())</f>
        <v>1</v>
      </c>
      <c r="L1323" s="0" t="n">
        <f aca="true">CRITBINOM(K1323,Coefficients!$B$31,RAND())</f>
        <v>0</v>
      </c>
      <c r="M1323" s="0" t="n">
        <f aca="true">CRITBINOM(MAX(0,J1323-K1323),1-Coefficients!$B$32,RAND())</f>
        <v>0</v>
      </c>
      <c r="N1323" s="0" t="n">
        <f aca="true">CRITBINOM(MAX(0,$C1323-J1323),MIN(0.6,Matchup!$C$40*SQRT($B1323)/(1-MIN(0.75,Matchup!$C$39*$B1323))),RAND())</f>
        <v>1</v>
      </c>
      <c r="O1323" s="0" t="n">
        <f aca="false">6*J1323+(J1323-K1323-M1323)+2*L1323+3*N1323</f>
        <v>30</v>
      </c>
      <c r="P1323" s="0" t="n">
        <f aca="true">RAND()</f>
        <v>0.502369729048336</v>
      </c>
      <c r="Q1323" s="0" t="n">
        <f aca="true">RAND()</f>
        <v>0.0661318200890563</v>
      </c>
      <c r="R1323" s="0" t="n">
        <f aca="false">IF($I1323&lt;&gt;$O1323,0,IF(P1323&lt;Matchup!$B$39,7,IF(P1323&lt;Matchup!$B$39+Matchup!$B$40,3,0)))</f>
        <v>0</v>
      </c>
      <c r="S1323" s="0" t="n">
        <f aca="false">IF($I1323&lt;&gt;$O1323,0,IF(Q1323&lt;Matchup!$C$39,7,IF(Q1323&lt;Matchup!$C$39+Matchup!$C$40,3,0)))</f>
        <v>0</v>
      </c>
      <c r="T1323" s="0" t="n">
        <f aca="false">I1323+R1323</f>
        <v>24</v>
      </c>
      <c r="U1323" s="0" t="n">
        <f aca="false">O1323+S1323</f>
        <v>30</v>
      </c>
      <c r="V1323" s="0" t="n">
        <f aca="false">T1323-U1323</f>
        <v>-6</v>
      </c>
      <c r="W1323" s="0" t="n">
        <f aca="false">T1323+U1323</f>
        <v>54</v>
      </c>
    </row>
    <row r="1324" customFormat="false" ht="15" hidden="false" customHeight="false" outlineLevel="0" collapsed="false">
      <c r="A1324" s="0" t="n">
        <v>1321</v>
      </c>
      <c r="B1324" s="0" t="n">
        <f aca="true">NORMINV(RAND(),1,Coefficients!$B$22)</f>
        <v>1.07250428920068</v>
      </c>
      <c r="C1324" s="0" t="n">
        <f aca="true">MEDIAN(8,16,ROUND(NORMINV(RAND(),Coefficients!$B$20,Coefficients!$B$21),0))</f>
        <v>11</v>
      </c>
      <c r="D1324" s="0" t="n">
        <f aca="true">CRITBINOM($C1324,MIN(0.75,Matchup!$B$39*$B1324),RAND())</f>
        <v>4</v>
      </c>
      <c r="E1324" s="0" t="n">
        <f aca="true">CRITBINOM(D1324,Coefficients!$B$30,RAND())</f>
        <v>0</v>
      </c>
      <c r="F1324" s="0" t="n">
        <f aca="true">CRITBINOM(E1324,Coefficients!$B$31,RAND())</f>
        <v>0</v>
      </c>
      <c r="G1324" s="0" t="n">
        <f aca="true">CRITBINOM(MAX(0,D1324-E1324),1-Coefficients!$B$32,RAND())</f>
        <v>0</v>
      </c>
      <c r="H1324" s="0" t="n">
        <f aca="true">CRITBINOM(MAX(0,$C1324-D1324),MIN(0.6,Matchup!$B$40*SQRT($B1324)/(1-MIN(0.75,Matchup!$B$39*$B1324))),RAND())</f>
        <v>0</v>
      </c>
      <c r="I1324" s="0" t="n">
        <f aca="false">6*D1324+(D1324-E1324-G1324)+2*F1324+3*H1324</f>
        <v>28</v>
      </c>
      <c r="J1324" s="0" t="n">
        <f aca="true">CRITBINOM($C1324,MIN(0.75,Matchup!$C$39*$B1324),RAND())</f>
        <v>2</v>
      </c>
      <c r="K1324" s="0" t="n">
        <f aca="true">CRITBINOM(J1324,Coefficients!$B$30,RAND())</f>
        <v>0</v>
      </c>
      <c r="L1324" s="0" t="n">
        <f aca="true">CRITBINOM(K1324,Coefficients!$B$31,RAND())</f>
        <v>0</v>
      </c>
      <c r="M1324" s="0" t="n">
        <f aca="true">CRITBINOM(MAX(0,J1324-K1324),1-Coefficients!$B$32,RAND())</f>
        <v>0</v>
      </c>
      <c r="N1324" s="0" t="n">
        <f aca="true">CRITBINOM(MAX(0,$C1324-J1324),MIN(0.6,Matchup!$C$40*SQRT($B1324)/(1-MIN(0.75,Matchup!$C$39*$B1324))),RAND())</f>
        <v>4</v>
      </c>
      <c r="O1324" s="0" t="n">
        <f aca="false">6*J1324+(J1324-K1324-M1324)+2*L1324+3*N1324</f>
        <v>26</v>
      </c>
      <c r="P1324" s="0" t="n">
        <f aca="true">RAND()</f>
        <v>0.641700460265975</v>
      </c>
      <c r="Q1324" s="0" t="n">
        <f aca="true">RAND()</f>
        <v>0.912185658667164</v>
      </c>
      <c r="R1324" s="0" t="n">
        <f aca="false">IF($I1324&lt;&gt;$O1324,0,IF(P1324&lt;Matchup!$B$39,7,IF(P1324&lt;Matchup!$B$39+Matchup!$B$40,3,0)))</f>
        <v>0</v>
      </c>
      <c r="S1324" s="0" t="n">
        <f aca="false">IF($I1324&lt;&gt;$O1324,0,IF(Q1324&lt;Matchup!$C$39,7,IF(Q1324&lt;Matchup!$C$39+Matchup!$C$40,3,0)))</f>
        <v>0</v>
      </c>
      <c r="T1324" s="0" t="n">
        <f aca="false">I1324+R1324</f>
        <v>28</v>
      </c>
      <c r="U1324" s="0" t="n">
        <f aca="false">O1324+S1324</f>
        <v>26</v>
      </c>
      <c r="V1324" s="0" t="n">
        <f aca="false">T1324-U1324</f>
        <v>2</v>
      </c>
      <c r="W1324" s="0" t="n">
        <f aca="false">T1324+U1324</f>
        <v>54</v>
      </c>
    </row>
    <row r="1325" customFormat="false" ht="15" hidden="false" customHeight="false" outlineLevel="0" collapsed="false">
      <c r="A1325" s="0" t="n">
        <v>1322</v>
      </c>
      <c r="B1325" s="0" t="n">
        <f aca="true">NORMINV(RAND(),1,Coefficients!$B$22)</f>
        <v>0.984038488506388</v>
      </c>
      <c r="C1325" s="0" t="n">
        <f aca="true">MEDIAN(8,16,ROUND(NORMINV(RAND(),Coefficients!$B$20,Coefficients!$B$21),0))</f>
        <v>12</v>
      </c>
      <c r="D1325" s="0" t="n">
        <f aca="true">CRITBINOM($C1325,MIN(0.75,Matchup!$B$39*$B1325),RAND())</f>
        <v>4</v>
      </c>
      <c r="E1325" s="0" t="n">
        <f aca="true">CRITBINOM(D1325,Coefficients!$B$30,RAND())</f>
        <v>0</v>
      </c>
      <c r="F1325" s="0" t="n">
        <f aca="true">CRITBINOM(E1325,Coefficients!$B$31,RAND())</f>
        <v>0</v>
      </c>
      <c r="G1325" s="0" t="n">
        <f aca="true">CRITBINOM(MAX(0,D1325-E1325),1-Coefficients!$B$32,RAND())</f>
        <v>0</v>
      </c>
      <c r="H1325" s="0" t="n">
        <f aca="true">CRITBINOM(MAX(0,$C1325-D1325),MIN(0.6,Matchup!$B$40*SQRT($B1325)/(1-MIN(0.75,Matchup!$B$39*$B1325))),RAND())</f>
        <v>3</v>
      </c>
      <c r="I1325" s="0" t="n">
        <f aca="false">6*D1325+(D1325-E1325-G1325)+2*F1325+3*H1325</f>
        <v>37</v>
      </c>
      <c r="J1325" s="0" t="n">
        <f aca="true">CRITBINOM($C1325,MIN(0.75,Matchup!$C$39*$B1325),RAND())</f>
        <v>3</v>
      </c>
      <c r="K1325" s="0" t="n">
        <f aca="true">CRITBINOM(J1325,Coefficients!$B$30,RAND())</f>
        <v>1</v>
      </c>
      <c r="L1325" s="0" t="n">
        <f aca="true">CRITBINOM(K1325,Coefficients!$B$31,RAND())</f>
        <v>0</v>
      </c>
      <c r="M1325" s="0" t="n">
        <f aca="true">CRITBINOM(MAX(0,J1325-K1325),1-Coefficients!$B$32,RAND())</f>
        <v>0</v>
      </c>
      <c r="N1325" s="0" t="n">
        <f aca="true">CRITBINOM(MAX(0,$C1325-J1325),MIN(0.6,Matchup!$C$40*SQRT($B1325)/(1-MIN(0.75,Matchup!$C$39*$B1325))),RAND())</f>
        <v>1</v>
      </c>
      <c r="O1325" s="0" t="n">
        <f aca="false">6*J1325+(J1325-K1325-M1325)+2*L1325+3*N1325</f>
        <v>23</v>
      </c>
      <c r="P1325" s="0" t="n">
        <f aca="true">RAND()</f>
        <v>0.493233766058028</v>
      </c>
      <c r="Q1325" s="0" t="n">
        <f aca="true">RAND()</f>
        <v>0.85735660841367</v>
      </c>
      <c r="R1325" s="0" t="n">
        <f aca="false">IF($I1325&lt;&gt;$O1325,0,IF(P1325&lt;Matchup!$B$39,7,IF(P1325&lt;Matchup!$B$39+Matchup!$B$40,3,0)))</f>
        <v>0</v>
      </c>
      <c r="S1325" s="0" t="n">
        <f aca="false">IF($I1325&lt;&gt;$O1325,0,IF(Q1325&lt;Matchup!$C$39,7,IF(Q1325&lt;Matchup!$C$39+Matchup!$C$40,3,0)))</f>
        <v>0</v>
      </c>
      <c r="T1325" s="0" t="n">
        <f aca="false">I1325+R1325</f>
        <v>37</v>
      </c>
      <c r="U1325" s="0" t="n">
        <f aca="false">O1325+S1325</f>
        <v>23</v>
      </c>
      <c r="V1325" s="0" t="n">
        <f aca="false">T1325-U1325</f>
        <v>14</v>
      </c>
      <c r="W1325" s="0" t="n">
        <f aca="false">T1325+U1325</f>
        <v>60</v>
      </c>
    </row>
    <row r="1326" customFormat="false" ht="15" hidden="false" customHeight="false" outlineLevel="0" collapsed="false">
      <c r="A1326" s="0" t="n">
        <v>1323</v>
      </c>
      <c r="B1326" s="0" t="n">
        <f aca="true">NORMINV(RAND(),1,Coefficients!$B$22)</f>
        <v>0.997756335787773</v>
      </c>
      <c r="C1326" s="0" t="n">
        <f aca="true">MEDIAN(8,16,ROUND(NORMINV(RAND(),Coefficients!$B$20,Coefficients!$B$21),0))</f>
        <v>11</v>
      </c>
      <c r="D1326" s="0" t="n">
        <f aca="true">CRITBINOM($C1326,MIN(0.75,Matchup!$B$39*$B1326),RAND())</f>
        <v>5</v>
      </c>
      <c r="E1326" s="0" t="n">
        <f aca="true">CRITBINOM(D1326,Coefficients!$B$30,RAND())</f>
        <v>1</v>
      </c>
      <c r="F1326" s="0" t="n">
        <f aca="true">CRITBINOM(E1326,Coefficients!$B$31,RAND())</f>
        <v>1</v>
      </c>
      <c r="G1326" s="0" t="n">
        <f aca="true">CRITBINOM(MAX(0,D1326-E1326),1-Coefficients!$B$32,RAND())</f>
        <v>0</v>
      </c>
      <c r="H1326" s="0" t="n">
        <f aca="true">CRITBINOM(MAX(0,$C1326-D1326),MIN(0.6,Matchup!$B$40*SQRT($B1326)/(1-MIN(0.75,Matchup!$B$39*$B1326))),RAND())</f>
        <v>2</v>
      </c>
      <c r="I1326" s="0" t="n">
        <f aca="false">6*D1326+(D1326-E1326-G1326)+2*F1326+3*H1326</f>
        <v>42</v>
      </c>
      <c r="J1326" s="0" t="n">
        <f aca="true">CRITBINOM($C1326,MIN(0.75,Matchup!$C$39*$B1326),RAND())</f>
        <v>2</v>
      </c>
      <c r="K1326" s="0" t="n">
        <f aca="true">CRITBINOM(J1326,Coefficients!$B$30,RAND())</f>
        <v>0</v>
      </c>
      <c r="L1326" s="0" t="n">
        <f aca="true">CRITBINOM(K1326,Coefficients!$B$31,RAND())</f>
        <v>0</v>
      </c>
      <c r="M1326" s="0" t="n">
        <f aca="true">CRITBINOM(MAX(0,J1326-K1326),1-Coefficients!$B$32,RAND())</f>
        <v>0</v>
      </c>
      <c r="N1326" s="0" t="n">
        <f aca="true">CRITBINOM(MAX(0,$C1326-J1326),MIN(0.6,Matchup!$C$40*SQRT($B1326)/(1-MIN(0.75,Matchup!$C$39*$B1326))),RAND())</f>
        <v>0</v>
      </c>
      <c r="O1326" s="0" t="n">
        <f aca="false">6*J1326+(J1326-K1326-M1326)+2*L1326+3*N1326</f>
        <v>14</v>
      </c>
      <c r="P1326" s="0" t="n">
        <f aca="true">RAND()</f>
        <v>0.78400171121638</v>
      </c>
      <c r="Q1326" s="0" t="n">
        <f aca="true">RAND()</f>
        <v>0.699941862673107</v>
      </c>
      <c r="R1326" s="0" t="n">
        <f aca="false">IF($I1326&lt;&gt;$O1326,0,IF(P1326&lt;Matchup!$B$39,7,IF(P1326&lt;Matchup!$B$39+Matchup!$B$40,3,0)))</f>
        <v>0</v>
      </c>
      <c r="S1326" s="0" t="n">
        <f aca="false">IF($I1326&lt;&gt;$O1326,0,IF(Q1326&lt;Matchup!$C$39,7,IF(Q1326&lt;Matchup!$C$39+Matchup!$C$40,3,0)))</f>
        <v>0</v>
      </c>
      <c r="T1326" s="0" t="n">
        <f aca="false">I1326+R1326</f>
        <v>42</v>
      </c>
      <c r="U1326" s="0" t="n">
        <f aca="false">O1326+S1326</f>
        <v>14</v>
      </c>
      <c r="V1326" s="0" t="n">
        <f aca="false">T1326-U1326</f>
        <v>28</v>
      </c>
      <c r="W1326" s="0" t="n">
        <f aca="false">T1326+U1326</f>
        <v>56</v>
      </c>
    </row>
    <row r="1327" customFormat="false" ht="15" hidden="false" customHeight="false" outlineLevel="0" collapsed="false">
      <c r="A1327" s="0" t="n">
        <v>1324</v>
      </c>
      <c r="B1327" s="0" t="n">
        <f aca="true">NORMINV(RAND(),1,Coefficients!$B$22)</f>
        <v>1.00994687582512</v>
      </c>
      <c r="C1327" s="0" t="n">
        <f aca="true">MEDIAN(8,16,ROUND(NORMINV(RAND(),Coefficients!$B$20,Coefficients!$B$21),0))</f>
        <v>10</v>
      </c>
      <c r="D1327" s="0" t="n">
        <f aca="true">CRITBINOM($C1327,MIN(0.75,Matchup!$B$39*$B1327),RAND())</f>
        <v>4</v>
      </c>
      <c r="E1327" s="0" t="n">
        <f aca="true">CRITBINOM(D1327,Coefficients!$B$30,RAND())</f>
        <v>0</v>
      </c>
      <c r="F1327" s="0" t="n">
        <f aca="true">CRITBINOM(E1327,Coefficients!$B$31,RAND())</f>
        <v>0</v>
      </c>
      <c r="G1327" s="0" t="n">
        <f aca="true">CRITBINOM(MAX(0,D1327-E1327),1-Coefficients!$B$32,RAND())</f>
        <v>0</v>
      </c>
      <c r="H1327" s="0" t="n">
        <f aca="true">CRITBINOM(MAX(0,$C1327-D1327),MIN(0.6,Matchup!$B$40*SQRT($B1327)/(1-MIN(0.75,Matchup!$B$39*$B1327))),RAND())</f>
        <v>1</v>
      </c>
      <c r="I1327" s="0" t="n">
        <f aca="false">6*D1327+(D1327-E1327-G1327)+2*F1327+3*H1327</f>
        <v>31</v>
      </c>
      <c r="J1327" s="0" t="n">
        <f aca="true">CRITBINOM($C1327,MIN(0.75,Matchup!$C$39*$B1327),RAND())</f>
        <v>1</v>
      </c>
      <c r="K1327" s="0" t="n">
        <f aca="true">CRITBINOM(J1327,Coefficients!$B$30,RAND())</f>
        <v>0</v>
      </c>
      <c r="L1327" s="0" t="n">
        <f aca="true">CRITBINOM(K1327,Coefficients!$B$31,RAND())</f>
        <v>0</v>
      </c>
      <c r="M1327" s="0" t="n">
        <f aca="true">CRITBINOM(MAX(0,J1327-K1327),1-Coefficients!$B$32,RAND())</f>
        <v>0</v>
      </c>
      <c r="N1327" s="0" t="n">
        <f aca="true">CRITBINOM(MAX(0,$C1327-J1327),MIN(0.6,Matchup!$C$40*SQRT($B1327)/(1-MIN(0.75,Matchup!$C$39*$B1327))),RAND())</f>
        <v>1</v>
      </c>
      <c r="O1327" s="0" t="n">
        <f aca="false">6*J1327+(J1327-K1327-M1327)+2*L1327+3*N1327</f>
        <v>10</v>
      </c>
      <c r="P1327" s="0" t="n">
        <f aca="true">RAND()</f>
        <v>0.183019028799453</v>
      </c>
      <c r="Q1327" s="0" t="n">
        <f aca="true">RAND()</f>
        <v>0.940333196084487</v>
      </c>
      <c r="R1327" s="0" t="n">
        <f aca="false">IF($I1327&lt;&gt;$O1327,0,IF(P1327&lt;Matchup!$B$39,7,IF(P1327&lt;Matchup!$B$39+Matchup!$B$40,3,0)))</f>
        <v>0</v>
      </c>
      <c r="S1327" s="0" t="n">
        <f aca="false">IF($I1327&lt;&gt;$O1327,0,IF(Q1327&lt;Matchup!$C$39,7,IF(Q1327&lt;Matchup!$C$39+Matchup!$C$40,3,0)))</f>
        <v>0</v>
      </c>
      <c r="T1327" s="0" t="n">
        <f aca="false">I1327+R1327</f>
        <v>31</v>
      </c>
      <c r="U1327" s="0" t="n">
        <f aca="false">O1327+S1327</f>
        <v>10</v>
      </c>
      <c r="V1327" s="0" t="n">
        <f aca="false">T1327-U1327</f>
        <v>21</v>
      </c>
      <c r="W1327" s="0" t="n">
        <f aca="false">T1327+U1327</f>
        <v>41</v>
      </c>
    </row>
    <row r="1328" customFormat="false" ht="15" hidden="false" customHeight="false" outlineLevel="0" collapsed="false">
      <c r="A1328" s="0" t="n">
        <v>1325</v>
      </c>
      <c r="B1328" s="0" t="n">
        <f aca="true">NORMINV(RAND(),1,Coefficients!$B$22)</f>
        <v>1.02612270415283</v>
      </c>
      <c r="C1328" s="0" t="n">
        <f aca="true">MEDIAN(8,16,ROUND(NORMINV(RAND(),Coefficients!$B$20,Coefficients!$B$21),0))</f>
        <v>11</v>
      </c>
      <c r="D1328" s="0" t="n">
        <f aca="true">CRITBINOM($C1328,MIN(0.75,Matchup!$B$39*$B1328),RAND())</f>
        <v>4</v>
      </c>
      <c r="E1328" s="0" t="n">
        <f aca="true">CRITBINOM(D1328,Coefficients!$B$30,RAND())</f>
        <v>0</v>
      </c>
      <c r="F1328" s="0" t="n">
        <f aca="true">CRITBINOM(E1328,Coefficients!$B$31,RAND())</f>
        <v>0</v>
      </c>
      <c r="G1328" s="0" t="n">
        <f aca="true">CRITBINOM(MAX(0,D1328-E1328),1-Coefficients!$B$32,RAND())</f>
        <v>0</v>
      </c>
      <c r="H1328" s="0" t="n">
        <f aca="true">CRITBINOM(MAX(0,$C1328-D1328),MIN(0.6,Matchup!$B$40*SQRT($B1328)/(1-MIN(0.75,Matchup!$B$39*$B1328))),RAND())</f>
        <v>0</v>
      </c>
      <c r="I1328" s="0" t="n">
        <f aca="false">6*D1328+(D1328-E1328-G1328)+2*F1328+3*H1328</f>
        <v>28</v>
      </c>
      <c r="J1328" s="0" t="n">
        <f aca="true">CRITBINOM($C1328,MIN(0.75,Matchup!$C$39*$B1328),RAND())</f>
        <v>3</v>
      </c>
      <c r="K1328" s="0" t="n">
        <f aca="true">CRITBINOM(J1328,Coefficients!$B$30,RAND())</f>
        <v>0</v>
      </c>
      <c r="L1328" s="0" t="n">
        <f aca="true">CRITBINOM(K1328,Coefficients!$B$31,RAND())</f>
        <v>0</v>
      </c>
      <c r="M1328" s="0" t="n">
        <f aca="true">CRITBINOM(MAX(0,J1328-K1328),1-Coefficients!$B$32,RAND())</f>
        <v>0</v>
      </c>
      <c r="N1328" s="0" t="n">
        <f aca="true">CRITBINOM(MAX(0,$C1328-J1328),MIN(0.6,Matchup!$C$40*SQRT($B1328)/(1-MIN(0.75,Matchup!$C$39*$B1328))),RAND())</f>
        <v>1</v>
      </c>
      <c r="O1328" s="0" t="n">
        <f aca="false">6*J1328+(J1328-K1328-M1328)+2*L1328+3*N1328</f>
        <v>24</v>
      </c>
      <c r="P1328" s="0" t="n">
        <f aca="true">RAND()</f>
        <v>0.0381924726675601</v>
      </c>
      <c r="Q1328" s="0" t="n">
        <f aca="true">RAND()</f>
        <v>0.292165227845104</v>
      </c>
      <c r="R1328" s="0" t="n">
        <f aca="false">IF($I1328&lt;&gt;$O1328,0,IF(P1328&lt;Matchup!$B$39,7,IF(P1328&lt;Matchup!$B$39+Matchup!$B$40,3,0)))</f>
        <v>0</v>
      </c>
      <c r="S1328" s="0" t="n">
        <f aca="false">IF($I1328&lt;&gt;$O1328,0,IF(Q1328&lt;Matchup!$C$39,7,IF(Q1328&lt;Matchup!$C$39+Matchup!$C$40,3,0)))</f>
        <v>0</v>
      </c>
      <c r="T1328" s="0" t="n">
        <f aca="false">I1328+R1328</f>
        <v>28</v>
      </c>
      <c r="U1328" s="0" t="n">
        <f aca="false">O1328+S1328</f>
        <v>24</v>
      </c>
      <c r="V1328" s="0" t="n">
        <f aca="false">T1328-U1328</f>
        <v>4</v>
      </c>
      <c r="W1328" s="0" t="n">
        <f aca="false">T1328+U1328</f>
        <v>52</v>
      </c>
    </row>
    <row r="1329" customFormat="false" ht="15" hidden="false" customHeight="false" outlineLevel="0" collapsed="false">
      <c r="A1329" s="0" t="n">
        <v>1326</v>
      </c>
      <c r="B1329" s="0" t="n">
        <f aca="true">NORMINV(RAND(),1,Coefficients!$B$22)</f>
        <v>1.07363372098889</v>
      </c>
      <c r="C1329" s="0" t="n">
        <f aca="true">MEDIAN(8,16,ROUND(NORMINV(RAND(),Coefficients!$B$20,Coefficients!$B$21),0))</f>
        <v>11</v>
      </c>
      <c r="D1329" s="0" t="n">
        <f aca="true">CRITBINOM($C1329,MIN(0.75,Matchup!$B$39*$B1329),RAND())</f>
        <v>1</v>
      </c>
      <c r="E1329" s="0" t="n">
        <f aca="true">CRITBINOM(D1329,Coefficients!$B$30,RAND())</f>
        <v>0</v>
      </c>
      <c r="F1329" s="0" t="n">
        <f aca="true">CRITBINOM(E1329,Coefficients!$B$31,RAND())</f>
        <v>0</v>
      </c>
      <c r="G1329" s="0" t="n">
        <f aca="true">CRITBINOM(MAX(0,D1329-E1329),1-Coefficients!$B$32,RAND())</f>
        <v>0</v>
      </c>
      <c r="H1329" s="0" t="n">
        <f aca="true">CRITBINOM(MAX(0,$C1329-D1329),MIN(0.6,Matchup!$B$40*SQRT($B1329)/(1-MIN(0.75,Matchup!$B$39*$B1329))),RAND())</f>
        <v>2</v>
      </c>
      <c r="I1329" s="0" t="n">
        <f aca="false">6*D1329+(D1329-E1329-G1329)+2*F1329+3*H1329</f>
        <v>13</v>
      </c>
      <c r="J1329" s="0" t="n">
        <f aca="true">CRITBINOM($C1329,MIN(0.75,Matchup!$C$39*$B1329),RAND())</f>
        <v>3</v>
      </c>
      <c r="K1329" s="0" t="n">
        <f aca="true">CRITBINOM(J1329,Coefficients!$B$30,RAND())</f>
        <v>0</v>
      </c>
      <c r="L1329" s="0" t="n">
        <f aca="true">CRITBINOM(K1329,Coefficients!$B$31,RAND())</f>
        <v>0</v>
      </c>
      <c r="M1329" s="0" t="n">
        <f aca="true">CRITBINOM(MAX(0,J1329-K1329),1-Coefficients!$B$32,RAND())</f>
        <v>0</v>
      </c>
      <c r="N1329" s="0" t="n">
        <f aca="true">CRITBINOM(MAX(0,$C1329-J1329),MIN(0.6,Matchup!$C$40*SQRT($B1329)/(1-MIN(0.75,Matchup!$C$39*$B1329))),RAND())</f>
        <v>1</v>
      </c>
      <c r="O1329" s="0" t="n">
        <f aca="false">6*J1329+(J1329-K1329-M1329)+2*L1329+3*N1329</f>
        <v>24</v>
      </c>
      <c r="P1329" s="0" t="n">
        <f aca="true">RAND()</f>
        <v>0.646624522606082</v>
      </c>
      <c r="Q1329" s="0" t="n">
        <f aca="true">RAND()</f>
        <v>0.888457638162265</v>
      </c>
      <c r="R1329" s="0" t="n">
        <f aca="false">IF($I1329&lt;&gt;$O1329,0,IF(P1329&lt;Matchup!$B$39,7,IF(P1329&lt;Matchup!$B$39+Matchup!$B$40,3,0)))</f>
        <v>0</v>
      </c>
      <c r="S1329" s="0" t="n">
        <f aca="false">IF($I1329&lt;&gt;$O1329,0,IF(Q1329&lt;Matchup!$C$39,7,IF(Q1329&lt;Matchup!$C$39+Matchup!$C$40,3,0)))</f>
        <v>0</v>
      </c>
      <c r="T1329" s="0" t="n">
        <f aca="false">I1329+R1329</f>
        <v>13</v>
      </c>
      <c r="U1329" s="0" t="n">
        <f aca="false">O1329+S1329</f>
        <v>24</v>
      </c>
      <c r="V1329" s="0" t="n">
        <f aca="false">T1329-U1329</f>
        <v>-11</v>
      </c>
      <c r="W1329" s="0" t="n">
        <f aca="false">T1329+U1329</f>
        <v>37</v>
      </c>
    </row>
    <row r="1330" customFormat="false" ht="15" hidden="false" customHeight="false" outlineLevel="0" collapsed="false">
      <c r="A1330" s="0" t="n">
        <v>1327</v>
      </c>
      <c r="B1330" s="0" t="n">
        <f aca="true">NORMINV(RAND(),1,Coefficients!$B$22)</f>
        <v>0.929189089410394</v>
      </c>
      <c r="C1330" s="0" t="n">
        <f aca="true">MEDIAN(8,16,ROUND(NORMINV(RAND(),Coefficients!$B$20,Coefficients!$B$21),0))</f>
        <v>12</v>
      </c>
      <c r="D1330" s="0" t="n">
        <f aca="true">CRITBINOM($C1330,MIN(0.75,Matchup!$B$39*$B1330),RAND())</f>
        <v>5</v>
      </c>
      <c r="E1330" s="0" t="n">
        <f aca="true">CRITBINOM(D1330,Coefficients!$B$30,RAND())</f>
        <v>1</v>
      </c>
      <c r="F1330" s="0" t="n">
        <f aca="true">CRITBINOM(E1330,Coefficients!$B$31,RAND())</f>
        <v>1</v>
      </c>
      <c r="G1330" s="0" t="n">
        <f aca="true">CRITBINOM(MAX(0,D1330-E1330),1-Coefficients!$B$32,RAND())</f>
        <v>2</v>
      </c>
      <c r="H1330" s="0" t="n">
        <f aca="true">CRITBINOM(MAX(0,$C1330-D1330),MIN(0.6,Matchup!$B$40*SQRT($B1330)/(1-MIN(0.75,Matchup!$B$39*$B1330))),RAND())</f>
        <v>1</v>
      </c>
      <c r="I1330" s="0" t="n">
        <f aca="false">6*D1330+(D1330-E1330-G1330)+2*F1330+3*H1330</f>
        <v>37</v>
      </c>
      <c r="J1330" s="0" t="n">
        <f aca="true">CRITBINOM($C1330,MIN(0.75,Matchup!$C$39*$B1330),RAND())</f>
        <v>1</v>
      </c>
      <c r="K1330" s="0" t="n">
        <f aca="true">CRITBINOM(J1330,Coefficients!$B$30,RAND())</f>
        <v>0</v>
      </c>
      <c r="L1330" s="0" t="n">
        <f aca="true">CRITBINOM(K1330,Coefficients!$B$31,RAND())</f>
        <v>0</v>
      </c>
      <c r="M1330" s="0" t="n">
        <f aca="true">CRITBINOM(MAX(0,J1330-K1330),1-Coefficients!$B$32,RAND())</f>
        <v>0</v>
      </c>
      <c r="N1330" s="0" t="n">
        <f aca="true">CRITBINOM(MAX(0,$C1330-J1330),MIN(0.6,Matchup!$C$40*SQRT($B1330)/(1-MIN(0.75,Matchup!$C$39*$B1330))),RAND())</f>
        <v>1</v>
      </c>
      <c r="O1330" s="0" t="n">
        <f aca="false">6*J1330+(J1330-K1330-M1330)+2*L1330+3*N1330</f>
        <v>10</v>
      </c>
      <c r="P1330" s="0" t="n">
        <f aca="true">RAND()</f>
        <v>0.66683743686258</v>
      </c>
      <c r="Q1330" s="0" t="n">
        <f aca="true">RAND()</f>
        <v>0.270149067938635</v>
      </c>
      <c r="R1330" s="0" t="n">
        <f aca="false">IF($I1330&lt;&gt;$O1330,0,IF(P1330&lt;Matchup!$B$39,7,IF(P1330&lt;Matchup!$B$39+Matchup!$B$40,3,0)))</f>
        <v>0</v>
      </c>
      <c r="S1330" s="0" t="n">
        <f aca="false">IF($I1330&lt;&gt;$O1330,0,IF(Q1330&lt;Matchup!$C$39,7,IF(Q1330&lt;Matchup!$C$39+Matchup!$C$40,3,0)))</f>
        <v>0</v>
      </c>
      <c r="T1330" s="0" t="n">
        <f aca="false">I1330+R1330</f>
        <v>37</v>
      </c>
      <c r="U1330" s="0" t="n">
        <f aca="false">O1330+S1330</f>
        <v>10</v>
      </c>
      <c r="V1330" s="0" t="n">
        <f aca="false">T1330-U1330</f>
        <v>27</v>
      </c>
      <c r="W1330" s="0" t="n">
        <f aca="false">T1330+U1330</f>
        <v>47</v>
      </c>
    </row>
    <row r="1331" customFormat="false" ht="15" hidden="false" customHeight="false" outlineLevel="0" collapsed="false">
      <c r="A1331" s="0" t="n">
        <v>1328</v>
      </c>
      <c r="B1331" s="0" t="n">
        <f aca="true">NORMINV(RAND(),1,Coefficients!$B$22)</f>
        <v>0.938153759760128</v>
      </c>
      <c r="C1331" s="0" t="n">
        <f aca="true">MEDIAN(8,16,ROUND(NORMINV(RAND(),Coefficients!$B$20,Coefficients!$B$21),0))</f>
        <v>11</v>
      </c>
      <c r="D1331" s="0" t="n">
        <f aca="true">CRITBINOM($C1331,MIN(0.75,Matchup!$B$39*$B1331),RAND())</f>
        <v>3</v>
      </c>
      <c r="E1331" s="0" t="n">
        <f aca="true">CRITBINOM(D1331,Coefficients!$B$30,RAND())</f>
        <v>0</v>
      </c>
      <c r="F1331" s="0" t="n">
        <f aca="true">CRITBINOM(E1331,Coefficients!$B$31,RAND())</f>
        <v>0</v>
      </c>
      <c r="G1331" s="0" t="n">
        <f aca="true">CRITBINOM(MAX(0,D1331-E1331),1-Coefficients!$B$32,RAND())</f>
        <v>1</v>
      </c>
      <c r="H1331" s="0" t="n">
        <f aca="true">CRITBINOM(MAX(0,$C1331-D1331),MIN(0.6,Matchup!$B$40*SQRT($B1331)/(1-MIN(0.75,Matchup!$B$39*$B1331))),RAND())</f>
        <v>2</v>
      </c>
      <c r="I1331" s="0" t="n">
        <f aca="false">6*D1331+(D1331-E1331-G1331)+2*F1331+3*H1331</f>
        <v>26</v>
      </c>
      <c r="J1331" s="0" t="n">
        <f aca="true">CRITBINOM($C1331,MIN(0.75,Matchup!$C$39*$B1331),RAND())</f>
        <v>3</v>
      </c>
      <c r="K1331" s="0" t="n">
        <f aca="true">CRITBINOM(J1331,Coefficients!$B$30,RAND())</f>
        <v>0</v>
      </c>
      <c r="L1331" s="0" t="n">
        <f aca="true">CRITBINOM(K1331,Coefficients!$B$31,RAND())</f>
        <v>0</v>
      </c>
      <c r="M1331" s="0" t="n">
        <f aca="true">CRITBINOM(MAX(0,J1331-K1331),1-Coefficients!$B$32,RAND())</f>
        <v>0</v>
      </c>
      <c r="N1331" s="0" t="n">
        <f aca="true">CRITBINOM(MAX(0,$C1331-J1331),MIN(0.6,Matchup!$C$40*SQRT($B1331)/(1-MIN(0.75,Matchup!$C$39*$B1331))),RAND())</f>
        <v>2</v>
      </c>
      <c r="O1331" s="0" t="n">
        <f aca="false">6*J1331+(J1331-K1331-M1331)+2*L1331+3*N1331</f>
        <v>27</v>
      </c>
      <c r="P1331" s="0" t="n">
        <f aca="true">RAND()</f>
        <v>0.27098336318509</v>
      </c>
      <c r="Q1331" s="0" t="n">
        <f aca="true">RAND()</f>
        <v>0.78729340106459</v>
      </c>
      <c r="R1331" s="0" t="n">
        <f aca="false">IF($I1331&lt;&gt;$O1331,0,IF(P1331&lt;Matchup!$B$39,7,IF(P1331&lt;Matchup!$B$39+Matchup!$B$40,3,0)))</f>
        <v>0</v>
      </c>
      <c r="S1331" s="0" t="n">
        <f aca="false">IF($I1331&lt;&gt;$O1331,0,IF(Q1331&lt;Matchup!$C$39,7,IF(Q1331&lt;Matchup!$C$39+Matchup!$C$40,3,0)))</f>
        <v>0</v>
      </c>
      <c r="T1331" s="0" t="n">
        <f aca="false">I1331+R1331</f>
        <v>26</v>
      </c>
      <c r="U1331" s="0" t="n">
        <f aca="false">O1331+S1331</f>
        <v>27</v>
      </c>
      <c r="V1331" s="0" t="n">
        <f aca="false">T1331-U1331</f>
        <v>-1</v>
      </c>
      <c r="W1331" s="0" t="n">
        <f aca="false">T1331+U1331</f>
        <v>53</v>
      </c>
    </row>
    <row r="1332" customFormat="false" ht="15" hidden="false" customHeight="false" outlineLevel="0" collapsed="false">
      <c r="A1332" s="0" t="n">
        <v>1329</v>
      </c>
      <c r="B1332" s="0" t="n">
        <f aca="true">NORMINV(RAND(),1,Coefficients!$B$22)</f>
        <v>1.06859287415683</v>
      </c>
      <c r="C1332" s="0" t="n">
        <f aca="true">MEDIAN(8,16,ROUND(NORMINV(RAND(),Coefficients!$B$20,Coefficients!$B$21),0))</f>
        <v>11</v>
      </c>
      <c r="D1332" s="0" t="n">
        <f aca="true">CRITBINOM($C1332,MIN(0.75,Matchup!$B$39*$B1332),RAND())</f>
        <v>5</v>
      </c>
      <c r="E1332" s="0" t="n">
        <f aca="true">CRITBINOM(D1332,Coefficients!$B$30,RAND())</f>
        <v>1</v>
      </c>
      <c r="F1332" s="0" t="n">
        <f aca="true">CRITBINOM(E1332,Coefficients!$B$31,RAND())</f>
        <v>1</v>
      </c>
      <c r="G1332" s="0" t="n">
        <f aca="true">CRITBINOM(MAX(0,D1332-E1332),1-Coefficients!$B$32,RAND())</f>
        <v>1</v>
      </c>
      <c r="H1332" s="0" t="n">
        <f aca="true">CRITBINOM(MAX(0,$C1332-D1332),MIN(0.6,Matchup!$B$40*SQRT($B1332)/(1-MIN(0.75,Matchup!$B$39*$B1332))),RAND())</f>
        <v>2</v>
      </c>
      <c r="I1332" s="0" t="n">
        <f aca="false">6*D1332+(D1332-E1332-G1332)+2*F1332+3*H1332</f>
        <v>41</v>
      </c>
      <c r="J1332" s="0" t="n">
        <f aca="true">CRITBINOM($C1332,MIN(0.75,Matchup!$C$39*$B1332),RAND())</f>
        <v>5</v>
      </c>
      <c r="K1332" s="0" t="n">
        <f aca="true">CRITBINOM(J1332,Coefficients!$B$30,RAND())</f>
        <v>0</v>
      </c>
      <c r="L1332" s="0" t="n">
        <f aca="true">CRITBINOM(K1332,Coefficients!$B$31,RAND())</f>
        <v>0</v>
      </c>
      <c r="M1332" s="0" t="n">
        <f aca="true">CRITBINOM(MAX(0,J1332-K1332),1-Coefficients!$B$32,RAND())</f>
        <v>1</v>
      </c>
      <c r="N1332" s="0" t="n">
        <f aca="true">CRITBINOM(MAX(0,$C1332-J1332),MIN(0.6,Matchup!$C$40*SQRT($B1332)/(1-MIN(0.75,Matchup!$C$39*$B1332))),RAND())</f>
        <v>0</v>
      </c>
      <c r="O1332" s="0" t="n">
        <f aca="false">6*J1332+(J1332-K1332-M1332)+2*L1332+3*N1332</f>
        <v>34</v>
      </c>
      <c r="P1332" s="0" t="n">
        <f aca="true">RAND()</f>
        <v>0.869434272098108</v>
      </c>
      <c r="Q1332" s="0" t="n">
        <f aca="true">RAND()</f>
        <v>0.448313008048117</v>
      </c>
      <c r="R1332" s="0" t="n">
        <f aca="false">IF($I1332&lt;&gt;$O1332,0,IF(P1332&lt;Matchup!$B$39,7,IF(P1332&lt;Matchup!$B$39+Matchup!$B$40,3,0)))</f>
        <v>0</v>
      </c>
      <c r="S1332" s="0" t="n">
        <f aca="false">IF($I1332&lt;&gt;$O1332,0,IF(Q1332&lt;Matchup!$C$39,7,IF(Q1332&lt;Matchup!$C$39+Matchup!$C$40,3,0)))</f>
        <v>0</v>
      </c>
      <c r="T1332" s="0" t="n">
        <f aca="false">I1332+R1332</f>
        <v>41</v>
      </c>
      <c r="U1332" s="0" t="n">
        <f aca="false">O1332+S1332</f>
        <v>34</v>
      </c>
      <c r="V1332" s="0" t="n">
        <f aca="false">T1332-U1332</f>
        <v>7</v>
      </c>
      <c r="W1332" s="0" t="n">
        <f aca="false">T1332+U1332</f>
        <v>75</v>
      </c>
    </row>
    <row r="1333" customFormat="false" ht="15" hidden="false" customHeight="false" outlineLevel="0" collapsed="false">
      <c r="A1333" s="0" t="n">
        <v>1330</v>
      </c>
      <c r="B1333" s="0" t="n">
        <f aca="true">NORMINV(RAND(),1,Coefficients!$B$22)</f>
        <v>1.04310651835367</v>
      </c>
      <c r="C1333" s="0" t="n">
        <f aca="true">MEDIAN(8,16,ROUND(NORMINV(RAND(),Coefficients!$B$20,Coefficients!$B$21),0))</f>
        <v>10</v>
      </c>
      <c r="D1333" s="0" t="n">
        <f aca="true">CRITBINOM($C1333,MIN(0.75,Matchup!$B$39*$B1333),RAND())</f>
        <v>4</v>
      </c>
      <c r="E1333" s="0" t="n">
        <f aca="true">CRITBINOM(D1333,Coefficients!$B$30,RAND())</f>
        <v>0</v>
      </c>
      <c r="F1333" s="0" t="n">
        <f aca="true">CRITBINOM(E1333,Coefficients!$B$31,RAND())</f>
        <v>0</v>
      </c>
      <c r="G1333" s="0" t="n">
        <f aca="true">CRITBINOM(MAX(0,D1333-E1333),1-Coefficients!$B$32,RAND())</f>
        <v>0</v>
      </c>
      <c r="H1333" s="0" t="n">
        <f aca="true">CRITBINOM(MAX(0,$C1333-D1333),MIN(0.6,Matchup!$B$40*SQRT($B1333)/(1-MIN(0.75,Matchup!$B$39*$B1333))),RAND())</f>
        <v>1</v>
      </c>
      <c r="I1333" s="0" t="n">
        <f aca="false">6*D1333+(D1333-E1333-G1333)+2*F1333+3*H1333</f>
        <v>31</v>
      </c>
      <c r="J1333" s="0" t="n">
        <f aca="true">CRITBINOM($C1333,MIN(0.75,Matchup!$C$39*$B1333),RAND())</f>
        <v>3</v>
      </c>
      <c r="K1333" s="0" t="n">
        <f aca="true">CRITBINOM(J1333,Coefficients!$B$30,RAND())</f>
        <v>0</v>
      </c>
      <c r="L1333" s="0" t="n">
        <f aca="true">CRITBINOM(K1333,Coefficients!$B$31,RAND())</f>
        <v>0</v>
      </c>
      <c r="M1333" s="0" t="n">
        <f aca="true">CRITBINOM(MAX(0,J1333-K1333),1-Coefficients!$B$32,RAND())</f>
        <v>0</v>
      </c>
      <c r="N1333" s="0" t="n">
        <f aca="true">CRITBINOM(MAX(0,$C1333-J1333),MIN(0.6,Matchup!$C$40*SQRT($B1333)/(1-MIN(0.75,Matchup!$C$39*$B1333))),RAND())</f>
        <v>3</v>
      </c>
      <c r="O1333" s="0" t="n">
        <f aca="false">6*J1333+(J1333-K1333-M1333)+2*L1333+3*N1333</f>
        <v>30</v>
      </c>
      <c r="P1333" s="0" t="n">
        <f aca="true">RAND()</f>
        <v>0.587351186953024</v>
      </c>
      <c r="Q1333" s="0" t="n">
        <f aca="true">RAND()</f>
        <v>0.59752193198656</v>
      </c>
      <c r="R1333" s="0" t="n">
        <f aca="false">IF($I1333&lt;&gt;$O1333,0,IF(P1333&lt;Matchup!$B$39,7,IF(P1333&lt;Matchup!$B$39+Matchup!$B$40,3,0)))</f>
        <v>0</v>
      </c>
      <c r="S1333" s="0" t="n">
        <f aca="false">IF($I1333&lt;&gt;$O1333,0,IF(Q1333&lt;Matchup!$C$39,7,IF(Q1333&lt;Matchup!$C$39+Matchup!$C$40,3,0)))</f>
        <v>0</v>
      </c>
      <c r="T1333" s="0" t="n">
        <f aca="false">I1333+R1333</f>
        <v>31</v>
      </c>
      <c r="U1333" s="0" t="n">
        <f aca="false">O1333+S1333</f>
        <v>30</v>
      </c>
      <c r="V1333" s="0" t="n">
        <f aca="false">T1333-U1333</f>
        <v>1</v>
      </c>
      <c r="W1333" s="0" t="n">
        <f aca="false">T1333+U1333</f>
        <v>61</v>
      </c>
    </row>
    <row r="1334" customFormat="false" ht="15" hidden="false" customHeight="false" outlineLevel="0" collapsed="false">
      <c r="A1334" s="0" t="n">
        <v>1331</v>
      </c>
      <c r="B1334" s="0" t="n">
        <f aca="true">NORMINV(RAND(),1,Coefficients!$B$22)</f>
        <v>1.03596351135919</v>
      </c>
      <c r="C1334" s="0" t="n">
        <f aca="true">MEDIAN(8,16,ROUND(NORMINV(RAND(),Coefficients!$B$20,Coefficients!$B$21),0))</f>
        <v>11</v>
      </c>
      <c r="D1334" s="0" t="n">
        <f aca="true">CRITBINOM($C1334,MIN(0.75,Matchup!$B$39*$B1334),RAND())</f>
        <v>1</v>
      </c>
      <c r="E1334" s="0" t="n">
        <f aca="true">CRITBINOM(D1334,Coefficients!$B$30,RAND())</f>
        <v>0</v>
      </c>
      <c r="F1334" s="0" t="n">
        <f aca="true">CRITBINOM(E1334,Coefficients!$B$31,RAND())</f>
        <v>0</v>
      </c>
      <c r="G1334" s="0" t="n">
        <f aca="true">CRITBINOM(MAX(0,D1334-E1334),1-Coefficients!$B$32,RAND())</f>
        <v>0</v>
      </c>
      <c r="H1334" s="0" t="n">
        <f aca="true">CRITBINOM(MAX(0,$C1334-D1334),MIN(0.6,Matchup!$B$40*SQRT($B1334)/(1-MIN(0.75,Matchup!$B$39*$B1334))),RAND())</f>
        <v>2</v>
      </c>
      <c r="I1334" s="0" t="n">
        <f aca="false">6*D1334+(D1334-E1334-G1334)+2*F1334+3*H1334</f>
        <v>13</v>
      </c>
      <c r="J1334" s="0" t="n">
        <f aca="true">CRITBINOM($C1334,MIN(0.75,Matchup!$C$39*$B1334),RAND())</f>
        <v>3</v>
      </c>
      <c r="K1334" s="0" t="n">
        <f aca="true">CRITBINOM(J1334,Coefficients!$B$30,RAND())</f>
        <v>1</v>
      </c>
      <c r="L1334" s="0" t="n">
        <f aca="true">CRITBINOM(K1334,Coefficients!$B$31,RAND())</f>
        <v>1</v>
      </c>
      <c r="M1334" s="0" t="n">
        <f aca="true">CRITBINOM(MAX(0,J1334-K1334),1-Coefficients!$B$32,RAND())</f>
        <v>0</v>
      </c>
      <c r="N1334" s="0" t="n">
        <f aca="true">CRITBINOM(MAX(0,$C1334-J1334),MIN(0.6,Matchup!$C$40*SQRT($B1334)/(1-MIN(0.75,Matchup!$C$39*$B1334))),RAND())</f>
        <v>0</v>
      </c>
      <c r="O1334" s="0" t="n">
        <f aca="false">6*J1334+(J1334-K1334-M1334)+2*L1334+3*N1334</f>
        <v>22</v>
      </c>
      <c r="P1334" s="0" t="n">
        <f aca="true">RAND()</f>
        <v>0.936857166953496</v>
      </c>
      <c r="Q1334" s="0" t="n">
        <f aca="true">RAND()</f>
        <v>0.589966626047236</v>
      </c>
      <c r="R1334" s="0" t="n">
        <f aca="false">IF($I1334&lt;&gt;$O1334,0,IF(P1334&lt;Matchup!$B$39,7,IF(P1334&lt;Matchup!$B$39+Matchup!$B$40,3,0)))</f>
        <v>0</v>
      </c>
      <c r="S1334" s="0" t="n">
        <f aca="false">IF($I1334&lt;&gt;$O1334,0,IF(Q1334&lt;Matchup!$C$39,7,IF(Q1334&lt;Matchup!$C$39+Matchup!$C$40,3,0)))</f>
        <v>0</v>
      </c>
      <c r="T1334" s="0" t="n">
        <f aca="false">I1334+R1334</f>
        <v>13</v>
      </c>
      <c r="U1334" s="0" t="n">
        <f aca="false">O1334+S1334</f>
        <v>22</v>
      </c>
      <c r="V1334" s="0" t="n">
        <f aca="false">T1334-U1334</f>
        <v>-9</v>
      </c>
      <c r="W1334" s="0" t="n">
        <f aca="false">T1334+U1334</f>
        <v>35</v>
      </c>
    </row>
    <row r="1335" customFormat="false" ht="15" hidden="false" customHeight="false" outlineLevel="0" collapsed="false">
      <c r="A1335" s="0" t="n">
        <v>1332</v>
      </c>
      <c r="B1335" s="0" t="n">
        <f aca="true">NORMINV(RAND(),1,Coefficients!$B$22)</f>
        <v>1.14985051604575</v>
      </c>
      <c r="C1335" s="0" t="n">
        <f aca="true">MEDIAN(8,16,ROUND(NORMINV(RAND(),Coefficients!$B$20,Coefficients!$B$21),0))</f>
        <v>10</v>
      </c>
      <c r="D1335" s="0" t="n">
        <f aca="true">CRITBINOM($C1335,MIN(0.75,Matchup!$B$39*$B1335),RAND())</f>
        <v>1</v>
      </c>
      <c r="E1335" s="0" t="n">
        <f aca="true">CRITBINOM(D1335,Coefficients!$B$30,RAND())</f>
        <v>1</v>
      </c>
      <c r="F1335" s="0" t="n">
        <f aca="true">CRITBINOM(E1335,Coefficients!$B$31,RAND())</f>
        <v>0</v>
      </c>
      <c r="G1335" s="0" t="n">
        <f aca="true">CRITBINOM(MAX(0,D1335-E1335),1-Coefficients!$B$32,RAND())</f>
        <v>0</v>
      </c>
      <c r="H1335" s="0" t="n">
        <f aca="true">CRITBINOM(MAX(0,$C1335-D1335),MIN(0.6,Matchup!$B$40*SQRT($B1335)/(1-MIN(0.75,Matchup!$B$39*$B1335))),RAND())</f>
        <v>2</v>
      </c>
      <c r="I1335" s="0" t="n">
        <f aca="false">6*D1335+(D1335-E1335-G1335)+2*F1335+3*H1335</f>
        <v>12</v>
      </c>
      <c r="J1335" s="0" t="n">
        <f aca="true">CRITBINOM($C1335,MIN(0.75,Matchup!$C$39*$B1335),RAND())</f>
        <v>3</v>
      </c>
      <c r="K1335" s="0" t="n">
        <f aca="true">CRITBINOM(J1335,Coefficients!$B$30,RAND())</f>
        <v>0</v>
      </c>
      <c r="L1335" s="0" t="n">
        <f aca="true">CRITBINOM(K1335,Coefficients!$B$31,RAND())</f>
        <v>0</v>
      </c>
      <c r="M1335" s="0" t="n">
        <f aca="true">CRITBINOM(MAX(0,J1335-K1335),1-Coefficients!$B$32,RAND())</f>
        <v>0</v>
      </c>
      <c r="N1335" s="0" t="n">
        <f aca="true">CRITBINOM(MAX(0,$C1335-J1335),MIN(0.6,Matchup!$C$40*SQRT($B1335)/(1-MIN(0.75,Matchup!$C$39*$B1335))),RAND())</f>
        <v>1</v>
      </c>
      <c r="O1335" s="0" t="n">
        <f aca="false">6*J1335+(J1335-K1335-M1335)+2*L1335+3*N1335</f>
        <v>24</v>
      </c>
      <c r="P1335" s="0" t="n">
        <f aca="true">RAND()</f>
        <v>0.848808692263436</v>
      </c>
      <c r="Q1335" s="0" t="n">
        <f aca="true">RAND()</f>
        <v>0.159667094570739</v>
      </c>
      <c r="R1335" s="0" t="n">
        <f aca="false">IF($I1335&lt;&gt;$O1335,0,IF(P1335&lt;Matchup!$B$39,7,IF(P1335&lt;Matchup!$B$39+Matchup!$B$40,3,0)))</f>
        <v>0</v>
      </c>
      <c r="S1335" s="0" t="n">
        <f aca="false">IF($I1335&lt;&gt;$O1335,0,IF(Q1335&lt;Matchup!$C$39,7,IF(Q1335&lt;Matchup!$C$39+Matchup!$C$40,3,0)))</f>
        <v>0</v>
      </c>
      <c r="T1335" s="0" t="n">
        <f aca="false">I1335+R1335</f>
        <v>12</v>
      </c>
      <c r="U1335" s="0" t="n">
        <f aca="false">O1335+S1335</f>
        <v>24</v>
      </c>
      <c r="V1335" s="0" t="n">
        <f aca="false">T1335-U1335</f>
        <v>-12</v>
      </c>
      <c r="W1335" s="0" t="n">
        <f aca="false">T1335+U1335</f>
        <v>36</v>
      </c>
    </row>
    <row r="1336" customFormat="false" ht="15" hidden="false" customHeight="false" outlineLevel="0" collapsed="false">
      <c r="A1336" s="0" t="n">
        <v>1333</v>
      </c>
      <c r="B1336" s="0" t="n">
        <f aca="true">NORMINV(RAND(),1,Coefficients!$B$22)</f>
        <v>1.02025528578516</v>
      </c>
      <c r="C1336" s="0" t="n">
        <f aca="true">MEDIAN(8,16,ROUND(NORMINV(RAND(),Coefficients!$B$20,Coefficients!$B$21),0))</f>
        <v>13</v>
      </c>
      <c r="D1336" s="0" t="n">
        <f aca="true">CRITBINOM($C1336,MIN(0.75,Matchup!$B$39*$B1336),RAND())</f>
        <v>3</v>
      </c>
      <c r="E1336" s="0" t="n">
        <f aca="true">CRITBINOM(D1336,Coefficients!$B$30,RAND())</f>
        <v>0</v>
      </c>
      <c r="F1336" s="0" t="n">
        <f aca="true">CRITBINOM(E1336,Coefficients!$B$31,RAND())</f>
        <v>0</v>
      </c>
      <c r="G1336" s="0" t="n">
        <f aca="true">CRITBINOM(MAX(0,D1336-E1336),1-Coefficients!$B$32,RAND())</f>
        <v>0</v>
      </c>
      <c r="H1336" s="0" t="n">
        <f aca="true">CRITBINOM(MAX(0,$C1336-D1336),MIN(0.6,Matchup!$B$40*SQRT($B1336)/(1-MIN(0.75,Matchup!$B$39*$B1336))),RAND())</f>
        <v>3</v>
      </c>
      <c r="I1336" s="0" t="n">
        <f aca="false">6*D1336+(D1336-E1336-G1336)+2*F1336+3*H1336</f>
        <v>30</v>
      </c>
      <c r="J1336" s="0" t="n">
        <f aca="true">CRITBINOM($C1336,MIN(0.75,Matchup!$C$39*$B1336),RAND())</f>
        <v>4</v>
      </c>
      <c r="K1336" s="0" t="n">
        <f aca="true">CRITBINOM(J1336,Coefficients!$B$30,RAND())</f>
        <v>0</v>
      </c>
      <c r="L1336" s="0" t="n">
        <f aca="true">CRITBINOM(K1336,Coefficients!$B$31,RAND())</f>
        <v>0</v>
      </c>
      <c r="M1336" s="0" t="n">
        <f aca="true">CRITBINOM(MAX(0,J1336-K1336),1-Coefficients!$B$32,RAND())</f>
        <v>0</v>
      </c>
      <c r="N1336" s="0" t="n">
        <f aca="true">CRITBINOM(MAX(0,$C1336-J1336),MIN(0.6,Matchup!$C$40*SQRT($B1336)/(1-MIN(0.75,Matchup!$C$39*$B1336))),RAND())</f>
        <v>2</v>
      </c>
      <c r="O1336" s="0" t="n">
        <f aca="false">6*J1336+(J1336-K1336-M1336)+2*L1336+3*N1336</f>
        <v>34</v>
      </c>
      <c r="P1336" s="0" t="n">
        <f aca="true">RAND()</f>
        <v>0.0610732066050506</v>
      </c>
      <c r="Q1336" s="0" t="n">
        <f aca="true">RAND()</f>
        <v>0.776624824900472</v>
      </c>
      <c r="R1336" s="0" t="n">
        <f aca="false">IF($I1336&lt;&gt;$O1336,0,IF(P1336&lt;Matchup!$B$39,7,IF(P1336&lt;Matchup!$B$39+Matchup!$B$40,3,0)))</f>
        <v>0</v>
      </c>
      <c r="S1336" s="0" t="n">
        <f aca="false">IF($I1336&lt;&gt;$O1336,0,IF(Q1336&lt;Matchup!$C$39,7,IF(Q1336&lt;Matchup!$C$39+Matchup!$C$40,3,0)))</f>
        <v>0</v>
      </c>
      <c r="T1336" s="0" t="n">
        <f aca="false">I1336+R1336</f>
        <v>30</v>
      </c>
      <c r="U1336" s="0" t="n">
        <f aca="false">O1336+S1336</f>
        <v>34</v>
      </c>
      <c r="V1336" s="0" t="n">
        <f aca="false">T1336-U1336</f>
        <v>-4</v>
      </c>
      <c r="W1336" s="0" t="n">
        <f aca="false">T1336+U1336</f>
        <v>64</v>
      </c>
    </row>
    <row r="1337" customFormat="false" ht="15" hidden="false" customHeight="false" outlineLevel="0" collapsed="false">
      <c r="A1337" s="0" t="n">
        <v>1334</v>
      </c>
      <c r="B1337" s="0" t="n">
        <f aca="true">NORMINV(RAND(),1,Coefficients!$B$22)</f>
        <v>0.93370003813844</v>
      </c>
      <c r="C1337" s="0" t="n">
        <f aca="true">MEDIAN(8,16,ROUND(NORMINV(RAND(),Coefficients!$B$20,Coefficients!$B$21),0))</f>
        <v>11</v>
      </c>
      <c r="D1337" s="0" t="n">
        <f aca="true">CRITBINOM($C1337,MIN(0.75,Matchup!$B$39*$B1337),RAND())</f>
        <v>4</v>
      </c>
      <c r="E1337" s="0" t="n">
        <f aca="true">CRITBINOM(D1337,Coefficients!$B$30,RAND())</f>
        <v>0</v>
      </c>
      <c r="F1337" s="0" t="n">
        <f aca="true">CRITBINOM(E1337,Coefficients!$B$31,RAND())</f>
        <v>0</v>
      </c>
      <c r="G1337" s="0" t="n">
        <f aca="true">CRITBINOM(MAX(0,D1337-E1337),1-Coefficients!$B$32,RAND())</f>
        <v>0</v>
      </c>
      <c r="H1337" s="0" t="n">
        <f aca="true">CRITBINOM(MAX(0,$C1337-D1337),MIN(0.6,Matchup!$B$40*SQRT($B1337)/(1-MIN(0.75,Matchup!$B$39*$B1337))),RAND())</f>
        <v>0</v>
      </c>
      <c r="I1337" s="0" t="n">
        <f aca="false">6*D1337+(D1337-E1337-G1337)+2*F1337+3*H1337</f>
        <v>28</v>
      </c>
      <c r="J1337" s="0" t="n">
        <f aca="true">CRITBINOM($C1337,MIN(0.75,Matchup!$C$39*$B1337),RAND())</f>
        <v>1</v>
      </c>
      <c r="K1337" s="0" t="n">
        <f aca="true">CRITBINOM(J1337,Coefficients!$B$30,RAND())</f>
        <v>0</v>
      </c>
      <c r="L1337" s="0" t="n">
        <f aca="true">CRITBINOM(K1337,Coefficients!$B$31,RAND())</f>
        <v>0</v>
      </c>
      <c r="M1337" s="0" t="n">
        <f aca="true">CRITBINOM(MAX(0,J1337-K1337),1-Coefficients!$B$32,RAND())</f>
        <v>0</v>
      </c>
      <c r="N1337" s="0" t="n">
        <f aca="true">CRITBINOM(MAX(0,$C1337-J1337),MIN(0.6,Matchup!$C$40*SQRT($B1337)/(1-MIN(0.75,Matchup!$C$39*$B1337))),RAND())</f>
        <v>2</v>
      </c>
      <c r="O1337" s="0" t="n">
        <f aca="false">6*J1337+(J1337-K1337-M1337)+2*L1337+3*N1337</f>
        <v>13</v>
      </c>
      <c r="P1337" s="0" t="n">
        <f aca="true">RAND()</f>
        <v>0.241355561006753</v>
      </c>
      <c r="Q1337" s="0" t="n">
        <f aca="true">RAND()</f>
        <v>0.383856671833717</v>
      </c>
      <c r="R1337" s="0" t="n">
        <f aca="false">IF($I1337&lt;&gt;$O1337,0,IF(P1337&lt;Matchup!$B$39,7,IF(P1337&lt;Matchup!$B$39+Matchup!$B$40,3,0)))</f>
        <v>0</v>
      </c>
      <c r="S1337" s="0" t="n">
        <f aca="false">IF($I1337&lt;&gt;$O1337,0,IF(Q1337&lt;Matchup!$C$39,7,IF(Q1337&lt;Matchup!$C$39+Matchup!$C$40,3,0)))</f>
        <v>0</v>
      </c>
      <c r="T1337" s="0" t="n">
        <f aca="false">I1337+R1337</f>
        <v>28</v>
      </c>
      <c r="U1337" s="0" t="n">
        <f aca="false">O1337+S1337</f>
        <v>13</v>
      </c>
      <c r="V1337" s="0" t="n">
        <f aca="false">T1337-U1337</f>
        <v>15</v>
      </c>
      <c r="W1337" s="0" t="n">
        <f aca="false">T1337+U1337</f>
        <v>41</v>
      </c>
    </row>
    <row r="1338" customFormat="false" ht="15" hidden="false" customHeight="false" outlineLevel="0" collapsed="false">
      <c r="A1338" s="0" t="n">
        <v>1335</v>
      </c>
      <c r="B1338" s="0" t="n">
        <f aca="true">NORMINV(RAND(),1,Coefficients!$B$22)</f>
        <v>1.14832383107367</v>
      </c>
      <c r="C1338" s="0" t="n">
        <f aca="true">MEDIAN(8,16,ROUND(NORMINV(RAND(),Coefficients!$B$20,Coefficients!$B$21),0))</f>
        <v>10</v>
      </c>
      <c r="D1338" s="0" t="n">
        <f aca="true">CRITBINOM($C1338,MIN(0.75,Matchup!$B$39*$B1338),RAND())</f>
        <v>3</v>
      </c>
      <c r="E1338" s="0" t="n">
        <f aca="true">CRITBINOM(D1338,Coefficients!$B$30,RAND())</f>
        <v>0</v>
      </c>
      <c r="F1338" s="0" t="n">
        <f aca="true">CRITBINOM(E1338,Coefficients!$B$31,RAND())</f>
        <v>0</v>
      </c>
      <c r="G1338" s="0" t="n">
        <f aca="true">CRITBINOM(MAX(0,D1338-E1338),1-Coefficients!$B$32,RAND())</f>
        <v>0</v>
      </c>
      <c r="H1338" s="0" t="n">
        <f aca="true">CRITBINOM(MAX(0,$C1338-D1338),MIN(0.6,Matchup!$B$40*SQRT($B1338)/(1-MIN(0.75,Matchup!$B$39*$B1338))),RAND())</f>
        <v>0</v>
      </c>
      <c r="I1338" s="0" t="n">
        <f aca="false">6*D1338+(D1338-E1338-G1338)+2*F1338+3*H1338</f>
        <v>21</v>
      </c>
      <c r="J1338" s="0" t="n">
        <f aca="true">CRITBINOM($C1338,MIN(0.75,Matchup!$C$39*$B1338),RAND())</f>
        <v>3</v>
      </c>
      <c r="K1338" s="0" t="n">
        <f aca="true">CRITBINOM(J1338,Coefficients!$B$30,RAND())</f>
        <v>1</v>
      </c>
      <c r="L1338" s="0" t="n">
        <f aca="true">CRITBINOM(K1338,Coefficients!$B$31,RAND())</f>
        <v>1</v>
      </c>
      <c r="M1338" s="0" t="n">
        <f aca="true">CRITBINOM(MAX(0,J1338-K1338),1-Coefficients!$B$32,RAND())</f>
        <v>0</v>
      </c>
      <c r="N1338" s="0" t="n">
        <f aca="true">CRITBINOM(MAX(0,$C1338-J1338),MIN(0.6,Matchup!$C$40*SQRT($B1338)/(1-MIN(0.75,Matchup!$C$39*$B1338))),RAND())</f>
        <v>3</v>
      </c>
      <c r="O1338" s="0" t="n">
        <f aca="false">6*J1338+(J1338-K1338-M1338)+2*L1338+3*N1338</f>
        <v>31</v>
      </c>
      <c r="P1338" s="0" t="n">
        <f aca="true">RAND()</f>
        <v>0.740999623996522</v>
      </c>
      <c r="Q1338" s="0" t="n">
        <f aca="true">RAND()</f>
        <v>0.0468869219773731</v>
      </c>
      <c r="R1338" s="0" t="n">
        <f aca="false">IF($I1338&lt;&gt;$O1338,0,IF(P1338&lt;Matchup!$B$39,7,IF(P1338&lt;Matchup!$B$39+Matchup!$B$40,3,0)))</f>
        <v>0</v>
      </c>
      <c r="S1338" s="0" t="n">
        <f aca="false">IF($I1338&lt;&gt;$O1338,0,IF(Q1338&lt;Matchup!$C$39,7,IF(Q1338&lt;Matchup!$C$39+Matchup!$C$40,3,0)))</f>
        <v>0</v>
      </c>
      <c r="T1338" s="0" t="n">
        <f aca="false">I1338+R1338</f>
        <v>21</v>
      </c>
      <c r="U1338" s="0" t="n">
        <f aca="false">O1338+S1338</f>
        <v>31</v>
      </c>
      <c r="V1338" s="0" t="n">
        <f aca="false">T1338-U1338</f>
        <v>-10</v>
      </c>
      <c r="W1338" s="0" t="n">
        <f aca="false">T1338+U1338</f>
        <v>52</v>
      </c>
    </row>
    <row r="1339" customFormat="false" ht="15" hidden="false" customHeight="false" outlineLevel="0" collapsed="false">
      <c r="A1339" s="0" t="n">
        <v>1336</v>
      </c>
      <c r="B1339" s="0" t="n">
        <f aca="true">NORMINV(RAND(),1,Coefficients!$B$22)</f>
        <v>0.938906274805032</v>
      </c>
      <c r="C1339" s="0" t="n">
        <f aca="true">MEDIAN(8,16,ROUND(NORMINV(RAND(),Coefficients!$B$20,Coefficients!$B$21),0))</f>
        <v>12</v>
      </c>
      <c r="D1339" s="0" t="n">
        <f aca="true">CRITBINOM($C1339,MIN(0.75,Matchup!$B$39*$B1339),RAND())</f>
        <v>3</v>
      </c>
      <c r="E1339" s="0" t="n">
        <f aca="true">CRITBINOM(D1339,Coefficients!$B$30,RAND())</f>
        <v>0</v>
      </c>
      <c r="F1339" s="0" t="n">
        <f aca="true">CRITBINOM(E1339,Coefficients!$B$31,RAND())</f>
        <v>0</v>
      </c>
      <c r="G1339" s="0" t="n">
        <f aca="true">CRITBINOM(MAX(0,D1339-E1339),1-Coefficients!$B$32,RAND())</f>
        <v>1</v>
      </c>
      <c r="H1339" s="0" t="n">
        <f aca="true">CRITBINOM(MAX(0,$C1339-D1339),MIN(0.6,Matchup!$B$40*SQRT($B1339)/(1-MIN(0.75,Matchup!$B$39*$B1339))),RAND())</f>
        <v>2</v>
      </c>
      <c r="I1339" s="0" t="n">
        <f aca="false">6*D1339+(D1339-E1339-G1339)+2*F1339+3*H1339</f>
        <v>26</v>
      </c>
      <c r="J1339" s="0" t="n">
        <f aca="true">CRITBINOM($C1339,MIN(0.75,Matchup!$C$39*$B1339),RAND())</f>
        <v>2</v>
      </c>
      <c r="K1339" s="0" t="n">
        <f aca="true">CRITBINOM(J1339,Coefficients!$B$30,RAND())</f>
        <v>0</v>
      </c>
      <c r="L1339" s="0" t="n">
        <f aca="true">CRITBINOM(K1339,Coefficients!$B$31,RAND())</f>
        <v>0</v>
      </c>
      <c r="M1339" s="0" t="n">
        <f aca="true">CRITBINOM(MAX(0,J1339-K1339),1-Coefficients!$B$32,RAND())</f>
        <v>0</v>
      </c>
      <c r="N1339" s="0" t="n">
        <f aca="true">CRITBINOM(MAX(0,$C1339-J1339),MIN(0.6,Matchup!$C$40*SQRT($B1339)/(1-MIN(0.75,Matchup!$C$39*$B1339))),RAND())</f>
        <v>2</v>
      </c>
      <c r="O1339" s="0" t="n">
        <f aca="false">6*J1339+(J1339-K1339-M1339)+2*L1339+3*N1339</f>
        <v>20</v>
      </c>
      <c r="P1339" s="0" t="n">
        <f aca="true">RAND()</f>
        <v>0.000918692336749479</v>
      </c>
      <c r="Q1339" s="0" t="n">
        <f aca="true">RAND()</f>
        <v>0.461599204446609</v>
      </c>
      <c r="R1339" s="0" t="n">
        <f aca="false">IF($I1339&lt;&gt;$O1339,0,IF(P1339&lt;Matchup!$B$39,7,IF(P1339&lt;Matchup!$B$39+Matchup!$B$40,3,0)))</f>
        <v>0</v>
      </c>
      <c r="S1339" s="0" t="n">
        <f aca="false">IF($I1339&lt;&gt;$O1339,0,IF(Q1339&lt;Matchup!$C$39,7,IF(Q1339&lt;Matchup!$C$39+Matchup!$C$40,3,0)))</f>
        <v>0</v>
      </c>
      <c r="T1339" s="0" t="n">
        <f aca="false">I1339+R1339</f>
        <v>26</v>
      </c>
      <c r="U1339" s="0" t="n">
        <f aca="false">O1339+S1339</f>
        <v>20</v>
      </c>
      <c r="V1339" s="0" t="n">
        <f aca="false">T1339-U1339</f>
        <v>6</v>
      </c>
      <c r="W1339" s="0" t="n">
        <f aca="false">T1339+U1339</f>
        <v>46</v>
      </c>
    </row>
    <row r="1340" customFormat="false" ht="15" hidden="false" customHeight="false" outlineLevel="0" collapsed="false">
      <c r="A1340" s="0" t="n">
        <v>1337</v>
      </c>
      <c r="B1340" s="0" t="n">
        <f aca="true">NORMINV(RAND(),1,Coefficients!$B$22)</f>
        <v>1.00744086850298</v>
      </c>
      <c r="C1340" s="0" t="n">
        <f aca="true">MEDIAN(8,16,ROUND(NORMINV(RAND(),Coefficients!$B$20,Coefficients!$B$21),0))</f>
        <v>11</v>
      </c>
      <c r="D1340" s="0" t="n">
        <f aca="true">CRITBINOM($C1340,MIN(0.75,Matchup!$B$39*$B1340),RAND())</f>
        <v>4</v>
      </c>
      <c r="E1340" s="0" t="n">
        <f aca="true">CRITBINOM(D1340,Coefficients!$B$30,RAND())</f>
        <v>0</v>
      </c>
      <c r="F1340" s="0" t="n">
        <f aca="true">CRITBINOM(E1340,Coefficients!$B$31,RAND())</f>
        <v>0</v>
      </c>
      <c r="G1340" s="0" t="n">
        <f aca="true">CRITBINOM(MAX(0,D1340-E1340),1-Coefficients!$B$32,RAND())</f>
        <v>0</v>
      </c>
      <c r="H1340" s="0" t="n">
        <f aca="true">CRITBINOM(MAX(0,$C1340-D1340),MIN(0.6,Matchup!$B$40*SQRT($B1340)/(1-MIN(0.75,Matchup!$B$39*$B1340))),RAND())</f>
        <v>1</v>
      </c>
      <c r="I1340" s="0" t="n">
        <f aca="false">6*D1340+(D1340-E1340-G1340)+2*F1340+3*H1340</f>
        <v>31</v>
      </c>
      <c r="J1340" s="0" t="n">
        <f aca="true">CRITBINOM($C1340,MIN(0.75,Matchup!$C$39*$B1340),RAND())</f>
        <v>1</v>
      </c>
      <c r="K1340" s="0" t="n">
        <f aca="true">CRITBINOM(J1340,Coefficients!$B$30,RAND())</f>
        <v>0</v>
      </c>
      <c r="L1340" s="0" t="n">
        <f aca="true">CRITBINOM(K1340,Coefficients!$B$31,RAND())</f>
        <v>0</v>
      </c>
      <c r="M1340" s="0" t="n">
        <f aca="true">CRITBINOM(MAX(0,J1340-K1340),1-Coefficients!$B$32,RAND())</f>
        <v>0</v>
      </c>
      <c r="N1340" s="0" t="n">
        <f aca="true">CRITBINOM(MAX(0,$C1340-J1340),MIN(0.6,Matchup!$C$40*SQRT($B1340)/(1-MIN(0.75,Matchup!$C$39*$B1340))),RAND())</f>
        <v>2</v>
      </c>
      <c r="O1340" s="0" t="n">
        <f aca="false">6*J1340+(J1340-K1340-M1340)+2*L1340+3*N1340</f>
        <v>13</v>
      </c>
      <c r="P1340" s="0" t="n">
        <f aca="true">RAND()</f>
        <v>0.980869996384467</v>
      </c>
      <c r="Q1340" s="0" t="n">
        <f aca="true">RAND()</f>
        <v>0.126829736651197</v>
      </c>
      <c r="R1340" s="0" t="n">
        <f aca="false">IF($I1340&lt;&gt;$O1340,0,IF(P1340&lt;Matchup!$B$39,7,IF(P1340&lt;Matchup!$B$39+Matchup!$B$40,3,0)))</f>
        <v>0</v>
      </c>
      <c r="S1340" s="0" t="n">
        <f aca="false">IF($I1340&lt;&gt;$O1340,0,IF(Q1340&lt;Matchup!$C$39,7,IF(Q1340&lt;Matchup!$C$39+Matchup!$C$40,3,0)))</f>
        <v>0</v>
      </c>
      <c r="T1340" s="0" t="n">
        <f aca="false">I1340+R1340</f>
        <v>31</v>
      </c>
      <c r="U1340" s="0" t="n">
        <f aca="false">O1340+S1340</f>
        <v>13</v>
      </c>
      <c r="V1340" s="0" t="n">
        <f aca="false">T1340-U1340</f>
        <v>18</v>
      </c>
      <c r="W1340" s="0" t="n">
        <f aca="false">T1340+U1340</f>
        <v>44</v>
      </c>
    </row>
    <row r="1341" customFormat="false" ht="15" hidden="false" customHeight="false" outlineLevel="0" collapsed="false">
      <c r="A1341" s="0" t="n">
        <v>1338</v>
      </c>
      <c r="B1341" s="0" t="n">
        <f aca="true">NORMINV(RAND(),1,Coefficients!$B$22)</f>
        <v>1.06700171042309</v>
      </c>
      <c r="C1341" s="0" t="n">
        <f aca="true">MEDIAN(8,16,ROUND(NORMINV(RAND(),Coefficients!$B$20,Coefficients!$B$21),0))</f>
        <v>13</v>
      </c>
      <c r="D1341" s="0" t="n">
        <f aca="true">CRITBINOM($C1341,MIN(0.75,Matchup!$B$39*$B1341),RAND())</f>
        <v>7</v>
      </c>
      <c r="E1341" s="0" t="n">
        <f aca="true">CRITBINOM(D1341,Coefficients!$B$30,RAND())</f>
        <v>1</v>
      </c>
      <c r="F1341" s="0" t="n">
        <f aca="true">CRITBINOM(E1341,Coefficients!$B$31,RAND())</f>
        <v>1</v>
      </c>
      <c r="G1341" s="0" t="n">
        <f aca="true">CRITBINOM(MAX(0,D1341-E1341),1-Coefficients!$B$32,RAND())</f>
        <v>0</v>
      </c>
      <c r="H1341" s="0" t="n">
        <f aca="true">CRITBINOM(MAX(0,$C1341-D1341),MIN(0.6,Matchup!$B$40*SQRT($B1341)/(1-MIN(0.75,Matchup!$B$39*$B1341))),RAND())</f>
        <v>2</v>
      </c>
      <c r="I1341" s="0" t="n">
        <f aca="false">6*D1341+(D1341-E1341-G1341)+2*F1341+3*H1341</f>
        <v>56</v>
      </c>
      <c r="J1341" s="0" t="n">
        <f aca="true">CRITBINOM($C1341,MIN(0.75,Matchup!$C$39*$B1341),RAND())</f>
        <v>2</v>
      </c>
      <c r="K1341" s="0" t="n">
        <f aca="true">CRITBINOM(J1341,Coefficients!$B$30,RAND())</f>
        <v>0</v>
      </c>
      <c r="L1341" s="0" t="n">
        <f aca="true">CRITBINOM(K1341,Coefficients!$B$31,RAND())</f>
        <v>0</v>
      </c>
      <c r="M1341" s="0" t="n">
        <f aca="true">CRITBINOM(MAX(0,J1341-K1341),1-Coefficients!$B$32,RAND())</f>
        <v>0</v>
      </c>
      <c r="N1341" s="0" t="n">
        <f aca="true">CRITBINOM(MAX(0,$C1341-J1341),MIN(0.6,Matchup!$C$40*SQRT($B1341)/(1-MIN(0.75,Matchup!$C$39*$B1341))),RAND())</f>
        <v>5</v>
      </c>
      <c r="O1341" s="0" t="n">
        <f aca="false">6*J1341+(J1341-K1341-M1341)+2*L1341+3*N1341</f>
        <v>29</v>
      </c>
      <c r="P1341" s="0" t="n">
        <f aca="true">RAND()</f>
        <v>0.0567265098450362</v>
      </c>
      <c r="Q1341" s="0" t="n">
        <f aca="true">RAND()</f>
        <v>0.470758529358042</v>
      </c>
      <c r="R1341" s="0" t="n">
        <f aca="false">IF($I1341&lt;&gt;$O1341,0,IF(P1341&lt;Matchup!$B$39,7,IF(P1341&lt;Matchup!$B$39+Matchup!$B$40,3,0)))</f>
        <v>0</v>
      </c>
      <c r="S1341" s="0" t="n">
        <f aca="false">IF($I1341&lt;&gt;$O1341,0,IF(Q1341&lt;Matchup!$C$39,7,IF(Q1341&lt;Matchup!$C$39+Matchup!$C$40,3,0)))</f>
        <v>0</v>
      </c>
      <c r="T1341" s="0" t="n">
        <f aca="false">I1341+R1341</f>
        <v>56</v>
      </c>
      <c r="U1341" s="0" t="n">
        <f aca="false">O1341+S1341</f>
        <v>29</v>
      </c>
      <c r="V1341" s="0" t="n">
        <f aca="false">T1341-U1341</f>
        <v>27</v>
      </c>
      <c r="W1341" s="0" t="n">
        <f aca="false">T1341+U1341</f>
        <v>85</v>
      </c>
    </row>
    <row r="1342" customFormat="false" ht="15" hidden="false" customHeight="false" outlineLevel="0" collapsed="false">
      <c r="A1342" s="0" t="n">
        <v>1339</v>
      </c>
      <c r="B1342" s="0" t="n">
        <f aca="true">NORMINV(RAND(),1,Coefficients!$B$22)</f>
        <v>0.840266465473118</v>
      </c>
      <c r="C1342" s="0" t="n">
        <f aca="true">MEDIAN(8,16,ROUND(NORMINV(RAND(),Coefficients!$B$20,Coefficients!$B$21),0))</f>
        <v>11</v>
      </c>
      <c r="D1342" s="0" t="n">
        <f aca="true">CRITBINOM($C1342,MIN(0.75,Matchup!$B$39*$B1342),RAND())</f>
        <v>3</v>
      </c>
      <c r="E1342" s="0" t="n">
        <f aca="true">CRITBINOM(D1342,Coefficients!$B$30,RAND())</f>
        <v>0</v>
      </c>
      <c r="F1342" s="0" t="n">
        <f aca="true">CRITBINOM(E1342,Coefficients!$B$31,RAND())</f>
        <v>0</v>
      </c>
      <c r="G1342" s="0" t="n">
        <f aca="true">CRITBINOM(MAX(0,D1342-E1342),1-Coefficients!$B$32,RAND())</f>
        <v>0</v>
      </c>
      <c r="H1342" s="0" t="n">
        <f aca="true">CRITBINOM(MAX(0,$C1342-D1342),MIN(0.6,Matchup!$B$40*SQRT($B1342)/(1-MIN(0.75,Matchup!$B$39*$B1342))),RAND())</f>
        <v>1</v>
      </c>
      <c r="I1342" s="0" t="n">
        <f aca="false">6*D1342+(D1342-E1342-G1342)+2*F1342+3*H1342</f>
        <v>24</v>
      </c>
      <c r="J1342" s="0" t="n">
        <f aca="true">CRITBINOM($C1342,MIN(0.75,Matchup!$C$39*$B1342),RAND())</f>
        <v>3</v>
      </c>
      <c r="K1342" s="0" t="n">
        <f aca="true">CRITBINOM(J1342,Coefficients!$B$30,RAND())</f>
        <v>0</v>
      </c>
      <c r="L1342" s="0" t="n">
        <f aca="true">CRITBINOM(K1342,Coefficients!$B$31,RAND())</f>
        <v>0</v>
      </c>
      <c r="M1342" s="0" t="n">
        <f aca="true">CRITBINOM(MAX(0,J1342-K1342),1-Coefficients!$B$32,RAND())</f>
        <v>0</v>
      </c>
      <c r="N1342" s="0" t="n">
        <f aca="true">CRITBINOM(MAX(0,$C1342-J1342),MIN(0.6,Matchup!$C$40*SQRT($B1342)/(1-MIN(0.75,Matchup!$C$39*$B1342))),RAND())</f>
        <v>2</v>
      </c>
      <c r="O1342" s="0" t="n">
        <f aca="false">6*J1342+(J1342-K1342-M1342)+2*L1342+3*N1342</f>
        <v>27</v>
      </c>
      <c r="P1342" s="0" t="n">
        <f aca="true">RAND()</f>
        <v>0.885936556827536</v>
      </c>
      <c r="Q1342" s="0" t="n">
        <f aca="true">RAND()</f>
        <v>0.281816168565338</v>
      </c>
      <c r="R1342" s="0" t="n">
        <f aca="false">IF($I1342&lt;&gt;$O1342,0,IF(P1342&lt;Matchup!$B$39,7,IF(P1342&lt;Matchup!$B$39+Matchup!$B$40,3,0)))</f>
        <v>0</v>
      </c>
      <c r="S1342" s="0" t="n">
        <f aca="false">IF($I1342&lt;&gt;$O1342,0,IF(Q1342&lt;Matchup!$C$39,7,IF(Q1342&lt;Matchup!$C$39+Matchup!$C$40,3,0)))</f>
        <v>0</v>
      </c>
      <c r="T1342" s="0" t="n">
        <f aca="false">I1342+R1342</f>
        <v>24</v>
      </c>
      <c r="U1342" s="0" t="n">
        <f aca="false">O1342+S1342</f>
        <v>27</v>
      </c>
      <c r="V1342" s="0" t="n">
        <f aca="false">T1342-U1342</f>
        <v>-3</v>
      </c>
      <c r="W1342" s="0" t="n">
        <f aca="false">T1342+U1342</f>
        <v>51</v>
      </c>
    </row>
    <row r="1343" customFormat="false" ht="15" hidden="false" customHeight="false" outlineLevel="0" collapsed="false">
      <c r="A1343" s="0" t="n">
        <v>1340</v>
      </c>
      <c r="B1343" s="0" t="n">
        <f aca="true">NORMINV(RAND(),1,Coefficients!$B$22)</f>
        <v>0.942725336908851</v>
      </c>
      <c r="C1343" s="0" t="n">
        <f aca="true">MEDIAN(8,16,ROUND(NORMINV(RAND(),Coefficients!$B$20,Coefficients!$B$21),0))</f>
        <v>12</v>
      </c>
      <c r="D1343" s="0" t="n">
        <f aca="true">CRITBINOM($C1343,MIN(0.75,Matchup!$B$39*$B1343),RAND())</f>
        <v>3</v>
      </c>
      <c r="E1343" s="0" t="n">
        <f aca="true">CRITBINOM(D1343,Coefficients!$B$30,RAND())</f>
        <v>0</v>
      </c>
      <c r="F1343" s="0" t="n">
        <f aca="true">CRITBINOM(E1343,Coefficients!$B$31,RAND())</f>
        <v>0</v>
      </c>
      <c r="G1343" s="0" t="n">
        <f aca="true">CRITBINOM(MAX(0,D1343-E1343),1-Coefficients!$B$32,RAND())</f>
        <v>0</v>
      </c>
      <c r="H1343" s="0" t="n">
        <f aca="true">CRITBINOM(MAX(0,$C1343-D1343),MIN(0.6,Matchup!$B$40*SQRT($B1343)/(1-MIN(0.75,Matchup!$B$39*$B1343))),RAND())</f>
        <v>2</v>
      </c>
      <c r="I1343" s="0" t="n">
        <f aca="false">6*D1343+(D1343-E1343-G1343)+2*F1343+3*H1343</f>
        <v>27</v>
      </c>
      <c r="J1343" s="0" t="n">
        <f aca="true">CRITBINOM($C1343,MIN(0.75,Matchup!$C$39*$B1343),RAND())</f>
        <v>4</v>
      </c>
      <c r="K1343" s="0" t="n">
        <f aca="true">CRITBINOM(J1343,Coefficients!$B$30,RAND())</f>
        <v>1</v>
      </c>
      <c r="L1343" s="0" t="n">
        <f aca="true">CRITBINOM(K1343,Coefficients!$B$31,RAND())</f>
        <v>1</v>
      </c>
      <c r="M1343" s="0" t="n">
        <f aca="true">CRITBINOM(MAX(0,J1343-K1343),1-Coefficients!$B$32,RAND())</f>
        <v>0</v>
      </c>
      <c r="N1343" s="0" t="n">
        <f aca="true">CRITBINOM(MAX(0,$C1343-J1343),MIN(0.6,Matchup!$C$40*SQRT($B1343)/(1-MIN(0.75,Matchup!$C$39*$B1343))),RAND())</f>
        <v>0</v>
      </c>
      <c r="O1343" s="0" t="n">
        <f aca="false">6*J1343+(J1343-K1343-M1343)+2*L1343+3*N1343</f>
        <v>29</v>
      </c>
      <c r="P1343" s="0" t="n">
        <f aca="true">RAND()</f>
        <v>0.459356432937307</v>
      </c>
      <c r="Q1343" s="0" t="n">
        <f aca="true">RAND()</f>
        <v>0.0100102148519127</v>
      </c>
      <c r="R1343" s="0" t="n">
        <f aca="false">IF($I1343&lt;&gt;$O1343,0,IF(P1343&lt;Matchup!$B$39,7,IF(P1343&lt;Matchup!$B$39+Matchup!$B$40,3,0)))</f>
        <v>0</v>
      </c>
      <c r="S1343" s="0" t="n">
        <f aca="false">IF($I1343&lt;&gt;$O1343,0,IF(Q1343&lt;Matchup!$C$39,7,IF(Q1343&lt;Matchup!$C$39+Matchup!$C$40,3,0)))</f>
        <v>0</v>
      </c>
      <c r="T1343" s="0" t="n">
        <f aca="false">I1343+R1343</f>
        <v>27</v>
      </c>
      <c r="U1343" s="0" t="n">
        <f aca="false">O1343+S1343</f>
        <v>29</v>
      </c>
      <c r="V1343" s="0" t="n">
        <f aca="false">T1343-U1343</f>
        <v>-2</v>
      </c>
      <c r="W1343" s="0" t="n">
        <f aca="false">T1343+U1343</f>
        <v>56</v>
      </c>
    </row>
    <row r="1344" customFormat="false" ht="15" hidden="false" customHeight="false" outlineLevel="0" collapsed="false">
      <c r="A1344" s="0" t="n">
        <v>1341</v>
      </c>
      <c r="B1344" s="0" t="n">
        <f aca="true">NORMINV(RAND(),1,Coefficients!$B$22)</f>
        <v>0.892101296083371</v>
      </c>
      <c r="C1344" s="0" t="n">
        <f aca="true">MEDIAN(8,16,ROUND(NORMINV(RAND(),Coefficients!$B$20,Coefficients!$B$21),0))</f>
        <v>9</v>
      </c>
      <c r="D1344" s="0" t="n">
        <f aca="true">CRITBINOM($C1344,MIN(0.75,Matchup!$B$39*$B1344),RAND())</f>
        <v>5</v>
      </c>
      <c r="E1344" s="0" t="n">
        <f aca="true">CRITBINOM(D1344,Coefficients!$B$30,RAND())</f>
        <v>0</v>
      </c>
      <c r="F1344" s="0" t="n">
        <f aca="true">CRITBINOM(E1344,Coefficients!$B$31,RAND())</f>
        <v>0</v>
      </c>
      <c r="G1344" s="0" t="n">
        <f aca="true">CRITBINOM(MAX(0,D1344-E1344),1-Coefficients!$B$32,RAND())</f>
        <v>0</v>
      </c>
      <c r="H1344" s="0" t="n">
        <f aca="true">CRITBINOM(MAX(0,$C1344-D1344),MIN(0.6,Matchup!$B$40*SQRT($B1344)/(1-MIN(0.75,Matchup!$B$39*$B1344))),RAND())</f>
        <v>0</v>
      </c>
      <c r="I1344" s="0" t="n">
        <f aca="false">6*D1344+(D1344-E1344-G1344)+2*F1344+3*H1344</f>
        <v>35</v>
      </c>
      <c r="J1344" s="0" t="n">
        <f aca="true">CRITBINOM($C1344,MIN(0.75,Matchup!$C$39*$B1344),RAND())</f>
        <v>3</v>
      </c>
      <c r="K1344" s="0" t="n">
        <f aca="true">CRITBINOM(J1344,Coefficients!$B$30,RAND())</f>
        <v>0</v>
      </c>
      <c r="L1344" s="0" t="n">
        <f aca="true">CRITBINOM(K1344,Coefficients!$B$31,RAND())</f>
        <v>0</v>
      </c>
      <c r="M1344" s="0" t="n">
        <f aca="true">CRITBINOM(MAX(0,J1344-K1344),1-Coefficients!$B$32,RAND())</f>
        <v>0</v>
      </c>
      <c r="N1344" s="0" t="n">
        <f aca="true">CRITBINOM(MAX(0,$C1344-J1344),MIN(0.6,Matchup!$C$40*SQRT($B1344)/(1-MIN(0.75,Matchup!$C$39*$B1344))),RAND())</f>
        <v>0</v>
      </c>
      <c r="O1344" s="0" t="n">
        <f aca="false">6*J1344+(J1344-K1344-M1344)+2*L1344+3*N1344</f>
        <v>21</v>
      </c>
      <c r="P1344" s="0" t="n">
        <f aca="true">RAND()</f>
        <v>0.33944508785694</v>
      </c>
      <c r="Q1344" s="0" t="n">
        <f aca="true">RAND()</f>
        <v>0.05230825116081</v>
      </c>
      <c r="R1344" s="0" t="n">
        <f aca="false">IF($I1344&lt;&gt;$O1344,0,IF(P1344&lt;Matchup!$B$39,7,IF(P1344&lt;Matchup!$B$39+Matchup!$B$40,3,0)))</f>
        <v>0</v>
      </c>
      <c r="S1344" s="0" t="n">
        <f aca="false">IF($I1344&lt;&gt;$O1344,0,IF(Q1344&lt;Matchup!$C$39,7,IF(Q1344&lt;Matchup!$C$39+Matchup!$C$40,3,0)))</f>
        <v>0</v>
      </c>
      <c r="T1344" s="0" t="n">
        <f aca="false">I1344+R1344</f>
        <v>35</v>
      </c>
      <c r="U1344" s="0" t="n">
        <f aca="false">O1344+S1344</f>
        <v>21</v>
      </c>
      <c r="V1344" s="0" t="n">
        <f aca="false">T1344-U1344</f>
        <v>14</v>
      </c>
      <c r="W1344" s="0" t="n">
        <f aca="false">T1344+U1344</f>
        <v>56</v>
      </c>
    </row>
    <row r="1345" customFormat="false" ht="15" hidden="false" customHeight="false" outlineLevel="0" collapsed="false">
      <c r="A1345" s="0" t="n">
        <v>1342</v>
      </c>
      <c r="B1345" s="0" t="n">
        <f aca="true">NORMINV(RAND(),1,Coefficients!$B$22)</f>
        <v>0.931700693167636</v>
      </c>
      <c r="C1345" s="0" t="n">
        <f aca="true">MEDIAN(8,16,ROUND(NORMINV(RAND(),Coefficients!$B$20,Coefficients!$B$21),0))</f>
        <v>12</v>
      </c>
      <c r="D1345" s="0" t="n">
        <f aca="true">CRITBINOM($C1345,MIN(0.75,Matchup!$B$39*$B1345),RAND())</f>
        <v>2</v>
      </c>
      <c r="E1345" s="0" t="n">
        <f aca="true">CRITBINOM(D1345,Coefficients!$B$30,RAND())</f>
        <v>1</v>
      </c>
      <c r="F1345" s="0" t="n">
        <f aca="true">CRITBINOM(E1345,Coefficients!$B$31,RAND())</f>
        <v>0</v>
      </c>
      <c r="G1345" s="0" t="n">
        <f aca="true">CRITBINOM(MAX(0,D1345-E1345),1-Coefficients!$B$32,RAND())</f>
        <v>0</v>
      </c>
      <c r="H1345" s="0" t="n">
        <f aca="true">CRITBINOM(MAX(0,$C1345-D1345),MIN(0.6,Matchup!$B$40*SQRT($B1345)/(1-MIN(0.75,Matchup!$B$39*$B1345))),RAND())</f>
        <v>3</v>
      </c>
      <c r="I1345" s="0" t="n">
        <f aca="false">6*D1345+(D1345-E1345-G1345)+2*F1345+3*H1345</f>
        <v>22</v>
      </c>
      <c r="J1345" s="0" t="n">
        <f aca="true">CRITBINOM($C1345,MIN(0.75,Matchup!$C$39*$B1345),RAND())</f>
        <v>4</v>
      </c>
      <c r="K1345" s="0" t="n">
        <f aca="true">CRITBINOM(J1345,Coefficients!$B$30,RAND())</f>
        <v>1</v>
      </c>
      <c r="L1345" s="0" t="n">
        <f aca="true">CRITBINOM(K1345,Coefficients!$B$31,RAND())</f>
        <v>0</v>
      </c>
      <c r="M1345" s="0" t="n">
        <f aca="true">CRITBINOM(MAX(0,J1345-K1345),1-Coefficients!$B$32,RAND())</f>
        <v>0</v>
      </c>
      <c r="N1345" s="0" t="n">
        <f aca="true">CRITBINOM(MAX(0,$C1345-J1345),MIN(0.6,Matchup!$C$40*SQRT($B1345)/(1-MIN(0.75,Matchup!$C$39*$B1345))),RAND())</f>
        <v>2</v>
      </c>
      <c r="O1345" s="0" t="n">
        <f aca="false">6*J1345+(J1345-K1345-M1345)+2*L1345+3*N1345</f>
        <v>33</v>
      </c>
      <c r="P1345" s="0" t="n">
        <f aca="true">RAND()</f>
        <v>0.523340609977072</v>
      </c>
      <c r="Q1345" s="0" t="n">
        <f aca="true">RAND()</f>
        <v>0.891700239965447</v>
      </c>
      <c r="R1345" s="0" t="n">
        <f aca="false">IF($I1345&lt;&gt;$O1345,0,IF(P1345&lt;Matchup!$B$39,7,IF(P1345&lt;Matchup!$B$39+Matchup!$B$40,3,0)))</f>
        <v>0</v>
      </c>
      <c r="S1345" s="0" t="n">
        <f aca="false">IF($I1345&lt;&gt;$O1345,0,IF(Q1345&lt;Matchup!$C$39,7,IF(Q1345&lt;Matchup!$C$39+Matchup!$C$40,3,0)))</f>
        <v>0</v>
      </c>
      <c r="T1345" s="0" t="n">
        <f aca="false">I1345+R1345</f>
        <v>22</v>
      </c>
      <c r="U1345" s="0" t="n">
        <f aca="false">O1345+S1345</f>
        <v>33</v>
      </c>
      <c r="V1345" s="0" t="n">
        <f aca="false">T1345-U1345</f>
        <v>-11</v>
      </c>
      <c r="W1345" s="0" t="n">
        <f aca="false">T1345+U1345</f>
        <v>55</v>
      </c>
    </row>
    <row r="1346" customFormat="false" ht="15" hidden="false" customHeight="false" outlineLevel="0" collapsed="false">
      <c r="A1346" s="0" t="n">
        <v>1343</v>
      </c>
      <c r="B1346" s="0" t="n">
        <f aca="true">NORMINV(RAND(),1,Coefficients!$B$22)</f>
        <v>1.00081590966652</v>
      </c>
      <c r="C1346" s="0" t="n">
        <f aca="true">MEDIAN(8,16,ROUND(NORMINV(RAND(),Coefficients!$B$20,Coefficients!$B$21),0))</f>
        <v>11</v>
      </c>
      <c r="D1346" s="0" t="n">
        <f aca="true">CRITBINOM($C1346,MIN(0.75,Matchup!$B$39*$B1346),RAND())</f>
        <v>4</v>
      </c>
      <c r="E1346" s="0" t="n">
        <f aca="true">CRITBINOM(D1346,Coefficients!$B$30,RAND())</f>
        <v>1</v>
      </c>
      <c r="F1346" s="0" t="n">
        <f aca="true">CRITBINOM(E1346,Coefficients!$B$31,RAND())</f>
        <v>0</v>
      </c>
      <c r="G1346" s="0" t="n">
        <f aca="true">CRITBINOM(MAX(0,D1346-E1346),1-Coefficients!$B$32,RAND())</f>
        <v>0</v>
      </c>
      <c r="H1346" s="0" t="n">
        <f aca="true">CRITBINOM(MAX(0,$C1346-D1346),MIN(0.6,Matchup!$B$40*SQRT($B1346)/(1-MIN(0.75,Matchup!$B$39*$B1346))),RAND())</f>
        <v>0</v>
      </c>
      <c r="I1346" s="0" t="n">
        <f aca="false">6*D1346+(D1346-E1346-G1346)+2*F1346+3*H1346</f>
        <v>27</v>
      </c>
      <c r="J1346" s="0" t="n">
        <f aca="true">CRITBINOM($C1346,MIN(0.75,Matchup!$C$39*$B1346),RAND())</f>
        <v>5</v>
      </c>
      <c r="K1346" s="0" t="n">
        <f aca="true">CRITBINOM(J1346,Coefficients!$B$30,RAND())</f>
        <v>2</v>
      </c>
      <c r="L1346" s="0" t="n">
        <f aca="true">CRITBINOM(K1346,Coefficients!$B$31,RAND())</f>
        <v>1</v>
      </c>
      <c r="M1346" s="0" t="n">
        <f aca="true">CRITBINOM(MAX(0,J1346-K1346),1-Coefficients!$B$32,RAND())</f>
        <v>0</v>
      </c>
      <c r="N1346" s="0" t="n">
        <f aca="true">CRITBINOM(MAX(0,$C1346-J1346),MIN(0.6,Matchup!$C$40*SQRT($B1346)/(1-MIN(0.75,Matchup!$C$39*$B1346))),RAND())</f>
        <v>0</v>
      </c>
      <c r="O1346" s="0" t="n">
        <f aca="false">6*J1346+(J1346-K1346-M1346)+2*L1346+3*N1346</f>
        <v>35</v>
      </c>
      <c r="P1346" s="0" t="n">
        <f aca="true">RAND()</f>
        <v>0.601612018479977</v>
      </c>
      <c r="Q1346" s="0" t="n">
        <f aca="true">RAND()</f>
        <v>0.0835596812176512</v>
      </c>
      <c r="R1346" s="0" t="n">
        <f aca="false">IF($I1346&lt;&gt;$O1346,0,IF(P1346&lt;Matchup!$B$39,7,IF(P1346&lt;Matchup!$B$39+Matchup!$B$40,3,0)))</f>
        <v>0</v>
      </c>
      <c r="S1346" s="0" t="n">
        <f aca="false">IF($I1346&lt;&gt;$O1346,0,IF(Q1346&lt;Matchup!$C$39,7,IF(Q1346&lt;Matchup!$C$39+Matchup!$C$40,3,0)))</f>
        <v>0</v>
      </c>
      <c r="T1346" s="0" t="n">
        <f aca="false">I1346+R1346</f>
        <v>27</v>
      </c>
      <c r="U1346" s="0" t="n">
        <f aca="false">O1346+S1346</f>
        <v>35</v>
      </c>
      <c r="V1346" s="0" t="n">
        <f aca="false">T1346-U1346</f>
        <v>-8</v>
      </c>
      <c r="W1346" s="0" t="n">
        <f aca="false">T1346+U1346</f>
        <v>62</v>
      </c>
    </row>
    <row r="1347" customFormat="false" ht="15" hidden="false" customHeight="false" outlineLevel="0" collapsed="false">
      <c r="A1347" s="0" t="n">
        <v>1344</v>
      </c>
      <c r="B1347" s="0" t="n">
        <f aca="true">NORMINV(RAND(),1,Coefficients!$B$22)</f>
        <v>1.0145847997572</v>
      </c>
      <c r="C1347" s="0" t="n">
        <f aca="true">MEDIAN(8,16,ROUND(NORMINV(RAND(),Coefficients!$B$20,Coefficients!$B$21),0))</f>
        <v>10</v>
      </c>
      <c r="D1347" s="0" t="n">
        <f aca="true">CRITBINOM($C1347,MIN(0.75,Matchup!$B$39*$B1347),RAND())</f>
        <v>3</v>
      </c>
      <c r="E1347" s="0" t="n">
        <f aca="true">CRITBINOM(D1347,Coefficients!$B$30,RAND())</f>
        <v>2</v>
      </c>
      <c r="F1347" s="0" t="n">
        <f aca="true">CRITBINOM(E1347,Coefficients!$B$31,RAND())</f>
        <v>0</v>
      </c>
      <c r="G1347" s="0" t="n">
        <f aca="true">CRITBINOM(MAX(0,D1347-E1347),1-Coefficients!$B$32,RAND())</f>
        <v>0</v>
      </c>
      <c r="H1347" s="0" t="n">
        <f aca="true">CRITBINOM(MAX(0,$C1347-D1347),MIN(0.6,Matchup!$B$40*SQRT($B1347)/(1-MIN(0.75,Matchup!$B$39*$B1347))),RAND())</f>
        <v>1</v>
      </c>
      <c r="I1347" s="0" t="n">
        <f aca="false">6*D1347+(D1347-E1347-G1347)+2*F1347+3*H1347</f>
        <v>22</v>
      </c>
      <c r="J1347" s="0" t="n">
        <f aca="true">CRITBINOM($C1347,MIN(0.75,Matchup!$C$39*$B1347),RAND())</f>
        <v>4</v>
      </c>
      <c r="K1347" s="0" t="n">
        <f aca="true">CRITBINOM(J1347,Coefficients!$B$30,RAND())</f>
        <v>1</v>
      </c>
      <c r="L1347" s="0" t="n">
        <f aca="true">CRITBINOM(K1347,Coefficients!$B$31,RAND())</f>
        <v>0</v>
      </c>
      <c r="M1347" s="0" t="n">
        <f aca="true">CRITBINOM(MAX(0,J1347-K1347),1-Coefficients!$B$32,RAND())</f>
        <v>0</v>
      </c>
      <c r="N1347" s="0" t="n">
        <f aca="true">CRITBINOM(MAX(0,$C1347-J1347),MIN(0.6,Matchup!$C$40*SQRT($B1347)/(1-MIN(0.75,Matchup!$C$39*$B1347))),RAND())</f>
        <v>0</v>
      </c>
      <c r="O1347" s="0" t="n">
        <f aca="false">6*J1347+(J1347-K1347-M1347)+2*L1347+3*N1347</f>
        <v>27</v>
      </c>
      <c r="P1347" s="0" t="n">
        <f aca="true">RAND()</f>
        <v>0.6611631941189</v>
      </c>
      <c r="Q1347" s="0" t="n">
        <f aca="true">RAND()</f>
        <v>0.750223390079912</v>
      </c>
      <c r="R1347" s="0" t="n">
        <f aca="false">IF($I1347&lt;&gt;$O1347,0,IF(P1347&lt;Matchup!$B$39,7,IF(P1347&lt;Matchup!$B$39+Matchup!$B$40,3,0)))</f>
        <v>0</v>
      </c>
      <c r="S1347" s="0" t="n">
        <f aca="false">IF($I1347&lt;&gt;$O1347,0,IF(Q1347&lt;Matchup!$C$39,7,IF(Q1347&lt;Matchup!$C$39+Matchup!$C$40,3,0)))</f>
        <v>0</v>
      </c>
      <c r="T1347" s="0" t="n">
        <f aca="false">I1347+R1347</f>
        <v>22</v>
      </c>
      <c r="U1347" s="0" t="n">
        <f aca="false">O1347+S1347</f>
        <v>27</v>
      </c>
      <c r="V1347" s="0" t="n">
        <f aca="false">T1347-U1347</f>
        <v>-5</v>
      </c>
      <c r="W1347" s="0" t="n">
        <f aca="false">T1347+U1347</f>
        <v>49</v>
      </c>
    </row>
    <row r="1348" customFormat="false" ht="15" hidden="false" customHeight="false" outlineLevel="0" collapsed="false">
      <c r="A1348" s="0" t="n">
        <v>1345</v>
      </c>
      <c r="B1348" s="0" t="n">
        <f aca="true">NORMINV(RAND(),1,Coefficients!$B$22)</f>
        <v>0.935296680001252</v>
      </c>
      <c r="C1348" s="0" t="n">
        <f aca="true">MEDIAN(8,16,ROUND(NORMINV(RAND(),Coefficients!$B$20,Coefficients!$B$21),0))</f>
        <v>12</v>
      </c>
      <c r="D1348" s="0" t="n">
        <f aca="true">CRITBINOM($C1348,MIN(0.75,Matchup!$B$39*$B1348),RAND())</f>
        <v>4</v>
      </c>
      <c r="E1348" s="0" t="n">
        <f aca="true">CRITBINOM(D1348,Coefficients!$B$30,RAND())</f>
        <v>0</v>
      </c>
      <c r="F1348" s="0" t="n">
        <f aca="true">CRITBINOM(E1348,Coefficients!$B$31,RAND())</f>
        <v>0</v>
      </c>
      <c r="G1348" s="0" t="n">
        <f aca="true">CRITBINOM(MAX(0,D1348-E1348),1-Coefficients!$B$32,RAND())</f>
        <v>0</v>
      </c>
      <c r="H1348" s="0" t="n">
        <f aca="true">CRITBINOM(MAX(0,$C1348-D1348),MIN(0.6,Matchup!$B$40*SQRT($B1348)/(1-MIN(0.75,Matchup!$B$39*$B1348))),RAND())</f>
        <v>1</v>
      </c>
      <c r="I1348" s="0" t="n">
        <f aca="false">6*D1348+(D1348-E1348-G1348)+2*F1348+3*H1348</f>
        <v>31</v>
      </c>
      <c r="J1348" s="0" t="n">
        <f aca="true">CRITBINOM($C1348,MIN(0.75,Matchup!$C$39*$B1348),RAND())</f>
        <v>4</v>
      </c>
      <c r="K1348" s="0" t="n">
        <f aca="true">CRITBINOM(J1348,Coefficients!$B$30,RAND())</f>
        <v>0</v>
      </c>
      <c r="L1348" s="0" t="n">
        <f aca="true">CRITBINOM(K1348,Coefficients!$B$31,RAND())</f>
        <v>0</v>
      </c>
      <c r="M1348" s="0" t="n">
        <f aca="true">CRITBINOM(MAX(0,J1348-K1348),1-Coefficients!$B$32,RAND())</f>
        <v>0</v>
      </c>
      <c r="N1348" s="0" t="n">
        <f aca="true">CRITBINOM(MAX(0,$C1348-J1348),MIN(0.6,Matchup!$C$40*SQRT($B1348)/(1-MIN(0.75,Matchup!$C$39*$B1348))),RAND())</f>
        <v>2</v>
      </c>
      <c r="O1348" s="0" t="n">
        <f aca="false">6*J1348+(J1348-K1348-M1348)+2*L1348+3*N1348</f>
        <v>34</v>
      </c>
      <c r="P1348" s="0" t="n">
        <f aca="true">RAND()</f>
        <v>0.241650983689783</v>
      </c>
      <c r="Q1348" s="0" t="n">
        <f aca="true">RAND()</f>
        <v>0.504539200465719</v>
      </c>
      <c r="R1348" s="0" t="n">
        <f aca="false">IF($I1348&lt;&gt;$O1348,0,IF(P1348&lt;Matchup!$B$39,7,IF(P1348&lt;Matchup!$B$39+Matchup!$B$40,3,0)))</f>
        <v>0</v>
      </c>
      <c r="S1348" s="0" t="n">
        <f aca="false">IF($I1348&lt;&gt;$O1348,0,IF(Q1348&lt;Matchup!$C$39,7,IF(Q1348&lt;Matchup!$C$39+Matchup!$C$40,3,0)))</f>
        <v>0</v>
      </c>
      <c r="T1348" s="0" t="n">
        <f aca="false">I1348+R1348</f>
        <v>31</v>
      </c>
      <c r="U1348" s="0" t="n">
        <f aca="false">O1348+S1348</f>
        <v>34</v>
      </c>
      <c r="V1348" s="0" t="n">
        <f aca="false">T1348-U1348</f>
        <v>-3</v>
      </c>
      <c r="W1348" s="0" t="n">
        <f aca="false">T1348+U1348</f>
        <v>65</v>
      </c>
    </row>
    <row r="1349" customFormat="false" ht="15" hidden="false" customHeight="false" outlineLevel="0" collapsed="false">
      <c r="A1349" s="0" t="n">
        <v>1346</v>
      </c>
      <c r="B1349" s="0" t="n">
        <f aca="true">NORMINV(RAND(),1,Coefficients!$B$22)</f>
        <v>0.981402978280191</v>
      </c>
      <c r="C1349" s="0" t="n">
        <f aca="true">MEDIAN(8,16,ROUND(NORMINV(RAND(),Coefficients!$B$20,Coefficients!$B$21),0))</f>
        <v>10</v>
      </c>
      <c r="D1349" s="0" t="n">
        <f aca="true">CRITBINOM($C1349,MIN(0.75,Matchup!$B$39*$B1349),RAND())</f>
        <v>2</v>
      </c>
      <c r="E1349" s="0" t="n">
        <f aca="true">CRITBINOM(D1349,Coefficients!$B$30,RAND())</f>
        <v>0</v>
      </c>
      <c r="F1349" s="0" t="n">
        <f aca="true">CRITBINOM(E1349,Coefficients!$B$31,RAND())</f>
        <v>0</v>
      </c>
      <c r="G1349" s="0" t="n">
        <f aca="true">CRITBINOM(MAX(0,D1349-E1349),1-Coefficients!$B$32,RAND())</f>
        <v>0</v>
      </c>
      <c r="H1349" s="0" t="n">
        <f aca="true">CRITBINOM(MAX(0,$C1349-D1349),MIN(0.6,Matchup!$B$40*SQRT($B1349)/(1-MIN(0.75,Matchup!$B$39*$B1349))),RAND())</f>
        <v>2</v>
      </c>
      <c r="I1349" s="0" t="n">
        <f aca="false">6*D1349+(D1349-E1349-G1349)+2*F1349+3*H1349</f>
        <v>20</v>
      </c>
      <c r="J1349" s="0" t="n">
        <f aca="true">CRITBINOM($C1349,MIN(0.75,Matchup!$C$39*$B1349),RAND())</f>
        <v>2</v>
      </c>
      <c r="K1349" s="0" t="n">
        <f aca="true">CRITBINOM(J1349,Coefficients!$B$30,RAND())</f>
        <v>0</v>
      </c>
      <c r="L1349" s="0" t="n">
        <f aca="true">CRITBINOM(K1349,Coefficients!$B$31,RAND())</f>
        <v>0</v>
      </c>
      <c r="M1349" s="0" t="n">
        <f aca="true">CRITBINOM(MAX(0,J1349-K1349),1-Coefficients!$B$32,RAND())</f>
        <v>0</v>
      </c>
      <c r="N1349" s="0" t="n">
        <f aca="true">CRITBINOM(MAX(0,$C1349-J1349),MIN(0.6,Matchup!$C$40*SQRT($B1349)/(1-MIN(0.75,Matchup!$C$39*$B1349))),RAND())</f>
        <v>1</v>
      </c>
      <c r="O1349" s="0" t="n">
        <f aca="false">6*J1349+(J1349-K1349-M1349)+2*L1349+3*N1349</f>
        <v>17</v>
      </c>
      <c r="P1349" s="0" t="n">
        <f aca="true">RAND()</f>
        <v>0.217298660308672</v>
      </c>
      <c r="Q1349" s="0" t="n">
        <f aca="true">RAND()</f>
        <v>0.0599987735118228</v>
      </c>
      <c r="R1349" s="0" t="n">
        <f aca="false">IF($I1349&lt;&gt;$O1349,0,IF(P1349&lt;Matchup!$B$39,7,IF(P1349&lt;Matchup!$B$39+Matchup!$B$40,3,0)))</f>
        <v>0</v>
      </c>
      <c r="S1349" s="0" t="n">
        <f aca="false">IF($I1349&lt;&gt;$O1349,0,IF(Q1349&lt;Matchup!$C$39,7,IF(Q1349&lt;Matchup!$C$39+Matchup!$C$40,3,0)))</f>
        <v>0</v>
      </c>
      <c r="T1349" s="0" t="n">
        <f aca="false">I1349+R1349</f>
        <v>20</v>
      </c>
      <c r="U1349" s="0" t="n">
        <f aca="false">O1349+S1349</f>
        <v>17</v>
      </c>
      <c r="V1349" s="0" t="n">
        <f aca="false">T1349-U1349</f>
        <v>3</v>
      </c>
      <c r="W1349" s="0" t="n">
        <f aca="false">T1349+U1349</f>
        <v>37</v>
      </c>
    </row>
    <row r="1350" customFormat="false" ht="15" hidden="false" customHeight="false" outlineLevel="0" collapsed="false">
      <c r="A1350" s="0" t="n">
        <v>1347</v>
      </c>
      <c r="B1350" s="0" t="n">
        <f aca="true">NORMINV(RAND(),1,Coefficients!$B$22)</f>
        <v>1.09138298946717</v>
      </c>
      <c r="C1350" s="0" t="n">
        <f aca="true">MEDIAN(8,16,ROUND(NORMINV(RAND(),Coefficients!$B$20,Coefficients!$B$21),0))</f>
        <v>13</v>
      </c>
      <c r="D1350" s="0" t="n">
        <f aca="true">CRITBINOM($C1350,MIN(0.75,Matchup!$B$39*$B1350),RAND())</f>
        <v>3</v>
      </c>
      <c r="E1350" s="0" t="n">
        <f aca="true">CRITBINOM(D1350,Coefficients!$B$30,RAND())</f>
        <v>0</v>
      </c>
      <c r="F1350" s="0" t="n">
        <f aca="true">CRITBINOM(E1350,Coefficients!$B$31,RAND())</f>
        <v>0</v>
      </c>
      <c r="G1350" s="0" t="n">
        <f aca="true">CRITBINOM(MAX(0,D1350-E1350),1-Coefficients!$B$32,RAND())</f>
        <v>0</v>
      </c>
      <c r="H1350" s="0" t="n">
        <f aca="true">CRITBINOM(MAX(0,$C1350-D1350),MIN(0.6,Matchup!$B$40*SQRT($B1350)/(1-MIN(0.75,Matchup!$B$39*$B1350))),RAND())</f>
        <v>1</v>
      </c>
      <c r="I1350" s="0" t="n">
        <f aca="false">6*D1350+(D1350-E1350-G1350)+2*F1350+3*H1350</f>
        <v>24</v>
      </c>
      <c r="J1350" s="0" t="n">
        <f aca="true">CRITBINOM($C1350,MIN(0.75,Matchup!$C$39*$B1350),RAND())</f>
        <v>0</v>
      </c>
      <c r="K1350" s="0" t="n">
        <f aca="true">CRITBINOM(J1350,Coefficients!$B$30,RAND())</f>
        <v>0</v>
      </c>
      <c r="L1350" s="0" t="n">
        <f aca="true">CRITBINOM(K1350,Coefficients!$B$31,RAND())</f>
        <v>0</v>
      </c>
      <c r="M1350" s="0" t="n">
        <f aca="true">CRITBINOM(MAX(0,J1350-K1350),1-Coefficients!$B$32,RAND())</f>
        <v>0</v>
      </c>
      <c r="N1350" s="0" t="n">
        <f aca="true">CRITBINOM(MAX(0,$C1350-J1350),MIN(0.6,Matchup!$C$40*SQRT($B1350)/(1-MIN(0.75,Matchup!$C$39*$B1350))),RAND())</f>
        <v>2</v>
      </c>
      <c r="O1350" s="0" t="n">
        <f aca="false">6*J1350+(J1350-K1350-M1350)+2*L1350+3*N1350</f>
        <v>6</v>
      </c>
      <c r="P1350" s="0" t="n">
        <f aca="true">RAND()</f>
        <v>0.630812506646239</v>
      </c>
      <c r="Q1350" s="0" t="n">
        <f aca="true">RAND()</f>
        <v>0.855479593365286</v>
      </c>
      <c r="R1350" s="0" t="n">
        <f aca="false">IF($I1350&lt;&gt;$O1350,0,IF(P1350&lt;Matchup!$B$39,7,IF(P1350&lt;Matchup!$B$39+Matchup!$B$40,3,0)))</f>
        <v>0</v>
      </c>
      <c r="S1350" s="0" t="n">
        <f aca="false">IF($I1350&lt;&gt;$O1350,0,IF(Q1350&lt;Matchup!$C$39,7,IF(Q1350&lt;Matchup!$C$39+Matchup!$C$40,3,0)))</f>
        <v>0</v>
      </c>
      <c r="T1350" s="0" t="n">
        <f aca="false">I1350+R1350</f>
        <v>24</v>
      </c>
      <c r="U1350" s="0" t="n">
        <f aca="false">O1350+S1350</f>
        <v>6</v>
      </c>
      <c r="V1350" s="0" t="n">
        <f aca="false">T1350-U1350</f>
        <v>18</v>
      </c>
      <c r="W1350" s="0" t="n">
        <f aca="false">T1350+U1350</f>
        <v>30</v>
      </c>
    </row>
    <row r="1351" customFormat="false" ht="15" hidden="false" customHeight="false" outlineLevel="0" collapsed="false">
      <c r="A1351" s="0" t="n">
        <v>1348</v>
      </c>
      <c r="B1351" s="0" t="n">
        <f aca="true">NORMINV(RAND(),1,Coefficients!$B$22)</f>
        <v>0.930396948013824</v>
      </c>
      <c r="C1351" s="0" t="n">
        <f aca="true">MEDIAN(8,16,ROUND(NORMINV(RAND(),Coefficients!$B$20,Coefficients!$B$21),0))</f>
        <v>11</v>
      </c>
      <c r="D1351" s="0" t="n">
        <f aca="true">CRITBINOM($C1351,MIN(0.75,Matchup!$B$39*$B1351),RAND())</f>
        <v>3</v>
      </c>
      <c r="E1351" s="0" t="n">
        <f aca="true">CRITBINOM(D1351,Coefficients!$B$30,RAND())</f>
        <v>0</v>
      </c>
      <c r="F1351" s="0" t="n">
        <f aca="true">CRITBINOM(E1351,Coefficients!$B$31,RAND())</f>
        <v>0</v>
      </c>
      <c r="G1351" s="0" t="n">
        <f aca="true">CRITBINOM(MAX(0,D1351-E1351),1-Coefficients!$B$32,RAND())</f>
        <v>1</v>
      </c>
      <c r="H1351" s="0" t="n">
        <f aca="true">CRITBINOM(MAX(0,$C1351-D1351),MIN(0.6,Matchup!$B$40*SQRT($B1351)/(1-MIN(0.75,Matchup!$B$39*$B1351))),RAND())</f>
        <v>0</v>
      </c>
      <c r="I1351" s="0" t="n">
        <f aca="false">6*D1351+(D1351-E1351-G1351)+2*F1351+3*H1351</f>
        <v>20</v>
      </c>
      <c r="J1351" s="0" t="n">
        <f aca="true">CRITBINOM($C1351,MIN(0.75,Matchup!$C$39*$B1351),RAND())</f>
        <v>2</v>
      </c>
      <c r="K1351" s="0" t="n">
        <f aca="true">CRITBINOM(J1351,Coefficients!$B$30,RAND())</f>
        <v>0</v>
      </c>
      <c r="L1351" s="0" t="n">
        <f aca="true">CRITBINOM(K1351,Coefficients!$B$31,RAND())</f>
        <v>0</v>
      </c>
      <c r="M1351" s="0" t="n">
        <f aca="true">CRITBINOM(MAX(0,J1351-K1351),1-Coefficients!$B$32,RAND())</f>
        <v>1</v>
      </c>
      <c r="N1351" s="0" t="n">
        <f aca="true">CRITBINOM(MAX(0,$C1351-J1351),MIN(0.6,Matchup!$C$40*SQRT($B1351)/(1-MIN(0.75,Matchup!$C$39*$B1351))),RAND())</f>
        <v>3</v>
      </c>
      <c r="O1351" s="0" t="n">
        <f aca="false">6*J1351+(J1351-K1351-M1351)+2*L1351+3*N1351</f>
        <v>22</v>
      </c>
      <c r="P1351" s="0" t="n">
        <f aca="true">RAND()</f>
        <v>0.390596808359255</v>
      </c>
      <c r="Q1351" s="0" t="n">
        <f aca="true">RAND()</f>
        <v>0.696739503288428</v>
      </c>
      <c r="R1351" s="0" t="n">
        <f aca="false">IF($I1351&lt;&gt;$O1351,0,IF(P1351&lt;Matchup!$B$39,7,IF(P1351&lt;Matchup!$B$39+Matchup!$B$40,3,0)))</f>
        <v>0</v>
      </c>
      <c r="S1351" s="0" t="n">
        <f aca="false">IF($I1351&lt;&gt;$O1351,0,IF(Q1351&lt;Matchup!$C$39,7,IF(Q1351&lt;Matchup!$C$39+Matchup!$C$40,3,0)))</f>
        <v>0</v>
      </c>
      <c r="T1351" s="0" t="n">
        <f aca="false">I1351+R1351</f>
        <v>20</v>
      </c>
      <c r="U1351" s="0" t="n">
        <f aca="false">O1351+S1351</f>
        <v>22</v>
      </c>
      <c r="V1351" s="0" t="n">
        <f aca="false">T1351-U1351</f>
        <v>-2</v>
      </c>
      <c r="W1351" s="0" t="n">
        <f aca="false">T1351+U1351</f>
        <v>42</v>
      </c>
    </row>
    <row r="1352" customFormat="false" ht="15" hidden="false" customHeight="false" outlineLevel="0" collapsed="false">
      <c r="A1352" s="0" t="n">
        <v>1349</v>
      </c>
      <c r="B1352" s="0" t="n">
        <f aca="true">NORMINV(RAND(),1,Coefficients!$B$22)</f>
        <v>1.06968594323772</v>
      </c>
      <c r="C1352" s="0" t="n">
        <f aca="true">MEDIAN(8,16,ROUND(NORMINV(RAND(),Coefficients!$B$20,Coefficients!$B$21),0))</f>
        <v>11</v>
      </c>
      <c r="D1352" s="0" t="n">
        <f aca="true">CRITBINOM($C1352,MIN(0.75,Matchup!$B$39*$B1352),RAND())</f>
        <v>3</v>
      </c>
      <c r="E1352" s="0" t="n">
        <f aca="true">CRITBINOM(D1352,Coefficients!$B$30,RAND())</f>
        <v>0</v>
      </c>
      <c r="F1352" s="0" t="n">
        <f aca="true">CRITBINOM(E1352,Coefficients!$B$31,RAND())</f>
        <v>0</v>
      </c>
      <c r="G1352" s="0" t="n">
        <f aca="true">CRITBINOM(MAX(0,D1352-E1352),1-Coefficients!$B$32,RAND())</f>
        <v>0</v>
      </c>
      <c r="H1352" s="0" t="n">
        <f aca="true">CRITBINOM(MAX(0,$C1352-D1352),MIN(0.6,Matchup!$B$40*SQRT($B1352)/(1-MIN(0.75,Matchup!$B$39*$B1352))),RAND())</f>
        <v>1</v>
      </c>
      <c r="I1352" s="0" t="n">
        <f aca="false">6*D1352+(D1352-E1352-G1352)+2*F1352+3*H1352</f>
        <v>24</v>
      </c>
      <c r="J1352" s="0" t="n">
        <f aca="true">CRITBINOM($C1352,MIN(0.75,Matchup!$C$39*$B1352),RAND())</f>
        <v>2</v>
      </c>
      <c r="K1352" s="0" t="n">
        <f aca="true">CRITBINOM(J1352,Coefficients!$B$30,RAND())</f>
        <v>0</v>
      </c>
      <c r="L1352" s="0" t="n">
        <f aca="true">CRITBINOM(K1352,Coefficients!$B$31,RAND())</f>
        <v>0</v>
      </c>
      <c r="M1352" s="0" t="n">
        <f aca="true">CRITBINOM(MAX(0,J1352-K1352),1-Coefficients!$B$32,RAND())</f>
        <v>0</v>
      </c>
      <c r="N1352" s="0" t="n">
        <f aca="true">CRITBINOM(MAX(0,$C1352-J1352),MIN(0.6,Matchup!$C$40*SQRT($B1352)/(1-MIN(0.75,Matchup!$C$39*$B1352))),RAND())</f>
        <v>0</v>
      </c>
      <c r="O1352" s="0" t="n">
        <f aca="false">6*J1352+(J1352-K1352-M1352)+2*L1352+3*N1352</f>
        <v>14</v>
      </c>
      <c r="P1352" s="0" t="n">
        <f aca="true">RAND()</f>
        <v>0.605854577047162</v>
      </c>
      <c r="Q1352" s="0" t="n">
        <f aca="true">RAND()</f>
        <v>0.00107697893169816</v>
      </c>
      <c r="R1352" s="0" t="n">
        <f aca="false">IF($I1352&lt;&gt;$O1352,0,IF(P1352&lt;Matchup!$B$39,7,IF(P1352&lt;Matchup!$B$39+Matchup!$B$40,3,0)))</f>
        <v>0</v>
      </c>
      <c r="S1352" s="0" t="n">
        <f aca="false">IF($I1352&lt;&gt;$O1352,0,IF(Q1352&lt;Matchup!$C$39,7,IF(Q1352&lt;Matchup!$C$39+Matchup!$C$40,3,0)))</f>
        <v>0</v>
      </c>
      <c r="T1352" s="0" t="n">
        <f aca="false">I1352+R1352</f>
        <v>24</v>
      </c>
      <c r="U1352" s="0" t="n">
        <f aca="false">O1352+S1352</f>
        <v>14</v>
      </c>
      <c r="V1352" s="0" t="n">
        <f aca="false">T1352-U1352</f>
        <v>10</v>
      </c>
      <c r="W1352" s="0" t="n">
        <f aca="false">T1352+U1352</f>
        <v>38</v>
      </c>
    </row>
    <row r="1353" customFormat="false" ht="15" hidden="false" customHeight="false" outlineLevel="0" collapsed="false">
      <c r="A1353" s="0" t="n">
        <v>1350</v>
      </c>
      <c r="B1353" s="0" t="n">
        <f aca="true">NORMINV(RAND(),1,Coefficients!$B$22)</f>
        <v>0.999061269002865</v>
      </c>
      <c r="C1353" s="0" t="n">
        <f aca="true">MEDIAN(8,16,ROUND(NORMINV(RAND(),Coefficients!$B$20,Coefficients!$B$21),0))</f>
        <v>12</v>
      </c>
      <c r="D1353" s="0" t="n">
        <f aca="true">CRITBINOM($C1353,MIN(0.75,Matchup!$B$39*$B1353),RAND())</f>
        <v>3</v>
      </c>
      <c r="E1353" s="0" t="n">
        <f aca="true">CRITBINOM(D1353,Coefficients!$B$30,RAND())</f>
        <v>0</v>
      </c>
      <c r="F1353" s="0" t="n">
        <f aca="true">CRITBINOM(E1353,Coefficients!$B$31,RAND())</f>
        <v>0</v>
      </c>
      <c r="G1353" s="0" t="n">
        <f aca="true">CRITBINOM(MAX(0,D1353-E1353),1-Coefficients!$B$32,RAND())</f>
        <v>0</v>
      </c>
      <c r="H1353" s="0" t="n">
        <f aca="true">CRITBINOM(MAX(0,$C1353-D1353),MIN(0.6,Matchup!$B$40*SQRT($B1353)/(1-MIN(0.75,Matchup!$B$39*$B1353))),RAND())</f>
        <v>2</v>
      </c>
      <c r="I1353" s="0" t="n">
        <f aca="false">6*D1353+(D1353-E1353-G1353)+2*F1353+3*H1353</f>
        <v>27</v>
      </c>
      <c r="J1353" s="0" t="n">
        <f aca="true">CRITBINOM($C1353,MIN(0.75,Matchup!$C$39*$B1353),RAND())</f>
        <v>4</v>
      </c>
      <c r="K1353" s="0" t="n">
        <f aca="true">CRITBINOM(J1353,Coefficients!$B$30,RAND())</f>
        <v>0</v>
      </c>
      <c r="L1353" s="0" t="n">
        <f aca="true">CRITBINOM(K1353,Coefficients!$B$31,RAND())</f>
        <v>0</v>
      </c>
      <c r="M1353" s="0" t="n">
        <f aca="true">CRITBINOM(MAX(0,J1353-K1353),1-Coefficients!$B$32,RAND())</f>
        <v>1</v>
      </c>
      <c r="N1353" s="0" t="n">
        <f aca="true">CRITBINOM(MAX(0,$C1353-J1353),MIN(0.6,Matchup!$C$40*SQRT($B1353)/(1-MIN(0.75,Matchup!$C$39*$B1353))),RAND())</f>
        <v>1</v>
      </c>
      <c r="O1353" s="0" t="n">
        <f aca="false">6*J1353+(J1353-K1353-M1353)+2*L1353+3*N1353</f>
        <v>30</v>
      </c>
      <c r="P1353" s="0" t="n">
        <f aca="true">RAND()</f>
        <v>0.875588433426516</v>
      </c>
      <c r="Q1353" s="0" t="n">
        <f aca="true">RAND()</f>
        <v>0.11905537566554</v>
      </c>
      <c r="R1353" s="0" t="n">
        <f aca="false">IF($I1353&lt;&gt;$O1353,0,IF(P1353&lt;Matchup!$B$39,7,IF(P1353&lt;Matchup!$B$39+Matchup!$B$40,3,0)))</f>
        <v>0</v>
      </c>
      <c r="S1353" s="0" t="n">
        <f aca="false">IF($I1353&lt;&gt;$O1353,0,IF(Q1353&lt;Matchup!$C$39,7,IF(Q1353&lt;Matchup!$C$39+Matchup!$C$40,3,0)))</f>
        <v>0</v>
      </c>
      <c r="T1353" s="0" t="n">
        <f aca="false">I1353+R1353</f>
        <v>27</v>
      </c>
      <c r="U1353" s="0" t="n">
        <f aca="false">O1353+S1353</f>
        <v>30</v>
      </c>
      <c r="V1353" s="0" t="n">
        <f aca="false">T1353-U1353</f>
        <v>-3</v>
      </c>
      <c r="W1353" s="0" t="n">
        <f aca="false">T1353+U1353</f>
        <v>57</v>
      </c>
    </row>
    <row r="1354" customFormat="false" ht="15" hidden="false" customHeight="false" outlineLevel="0" collapsed="false">
      <c r="A1354" s="0" t="n">
        <v>1351</v>
      </c>
      <c r="B1354" s="0" t="n">
        <f aca="true">NORMINV(RAND(),1,Coefficients!$B$22)</f>
        <v>0.97399572671695</v>
      </c>
      <c r="C1354" s="0" t="n">
        <f aca="true">MEDIAN(8,16,ROUND(NORMINV(RAND(),Coefficients!$B$20,Coefficients!$B$21),0))</f>
        <v>12</v>
      </c>
      <c r="D1354" s="0" t="n">
        <f aca="true">CRITBINOM($C1354,MIN(0.75,Matchup!$B$39*$B1354),RAND())</f>
        <v>4</v>
      </c>
      <c r="E1354" s="0" t="n">
        <f aca="true">CRITBINOM(D1354,Coefficients!$B$30,RAND())</f>
        <v>0</v>
      </c>
      <c r="F1354" s="0" t="n">
        <f aca="true">CRITBINOM(E1354,Coefficients!$B$31,RAND())</f>
        <v>0</v>
      </c>
      <c r="G1354" s="0" t="n">
        <f aca="true">CRITBINOM(MAX(0,D1354-E1354),1-Coefficients!$B$32,RAND())</f>
        <v>0</v>
      </c>
      <c r="H1354" s="0" t="n">
        <f aca="true">CRITBINOM(MAX(0,$C1354-D1354),MIN(0.6,Matchup!$B$40*SQRT($B1354)/(1-MIN(0.75,Matchup!$B$39*$B1354))),RAND())</f>
        <v>3</v>
      </c>
      <c r="I1354" s="0" t="n">
        <f aca="false">6*D1354+(D1354-E1354-G1354)+2*F1354+3*H1354</f>
        <v>37</v>
      </c>
      <c r="J1354" s="0" t="n">
        <f aca="true">CRITBINOM($C1354,MIN(0.75,Matchup!$C$39*$B1354),RAND())</f>
        <v>5</v>
      </c>
      <c r="K1354" s="0" t="n">
        <f aca="true">CRITBINOM(J1354,Coefficients!$B$30,RAND())</f>
        <v>0</v>
      </c>
      <c r="L1354" s="0" t="n">
        <f aca="true">CRITBINOM(K1354,Coefficients!$B$31,RAND())</f>
        <v>0</v>
      </c>
      <c r="M1354" s="0" t="n">
        <f aca="true">CRITBINOM(MAX(0,J1354-K1354),1-Coefficients!$B$32,RAND())</f>
        <v>0</v>
      </c>
      <c r="N1354" s="0" t="n">
        <f aca="true">CRITBINOM(MAX(0,$C1354-J1354),MIN(0.6,Matchup!$C$40*SQRT($B1354)/(1-MIN(0.75,Matchup!$C$39*$B1354))),RAND())</f>
        <v>1</v>
      </c>
      <c r="O1354" s="0" t="n">
        <f aca="false">6*J1354+(J1354-K1354-M1354)+2*L1354+3*N1354</f>
        <v>38</v>
      </c>
      <c r="P1354" s="0" t="n">
        <f aca="true">RAND()</f>
        <v>0.674760619609077</v>
      </c>
      <c r="Q1354" s="0" t="n">
        <f aca="true">RAND()</f>
        <v>0.106019746998615</v>
      </c>
      <c r="R1354" s="0" t="n">
        <f aca="false">IF($I1354&lt;&gt;$O1354,0,IF(P1354&lt;Matchup!$B$39,7,IF(P1354&lt;Matchup!$B$39+Matchup!$B$40,3,0)))</f>
        <v>0</v>
      </c>
      <c r="S1354" s="0" t="n">
        <f aca="false">IF($I1354&lt;&gt;$O1354,0,IF(Q1354&lt;Matchup!$C$39,7,IF(Q1354&lt;Matchup!$C$39+Matchup!$C$40,3,0)))</f>
        <v>0</v>
      </c>
      <c r="T1354" s="0" t="n">
        <f aca="false">I1354+R1354</f>
        <v>37</v>
      </c>
      <c r="U1354" s="0" t="n">
        <f aca="false">O1354+S1354</f>
        <v>38</v>
      </c>
      <c r="V1354" s="0" t="n">
        <f aca="false">T1354-U1354</f>
        <v>-1</v>
      </c>
      <c r="W1354" s="0" t="n">
        <f aca="false">T1354+U1354</f>
        <v>75</v>
      </c>
    </row>
    <row r="1355" customFormat="false" ht="15" hidden="false" customHeight="false" outlineLevel="0" collapsed="false">
      <c r="A1355" s="0" t="n">
        <v>1352</v>
      </c>
      <c r="B1355" s="0" t="n">
        <f aca="true">NORMINV(RAND(),1,Coefficients!$B$22)</f>
        <v>0.776187587689451</v>
      </c>
      <c r="C1355" s="0" t="n">
        <f aca="true">MEDIAN(8,16,ROUND(NORMINV(RAND(),Coefficients!$B$20,Coefficients!$B$21),0))</f>
        <v>10</v>
      </c>
      <c r="D1355" s="0" t="n">
        <f aca="true">CRITBINOM($C1355,MIN(0.75,Matchup!$B$39*$B1355),RAND())</f>
        <v>4</v>
      </c>
      <c r="E1355" s="0" t="n">
        <f aca="true">CRITBINOM(D1355,Coefficients!$B$30,RAND())</f>
        <v>0</v>
      </c>
      <c r="F1355" s="0" t="n">
        <f aca="true">CRITBINOM(E1355,Coefficients!$B$31,RAND())</f>
        <v>0</v>
      </c>
      <c r="G1355" s="0" t="n">
        <f aca="true">CRITBINOM(MAX(0,D1355-E1355),1-Coefficients!$B$32,RAND())</f>
        <v>0</v>
      </c>
      <c r="H1355" s="0" t="n">
        <f aca="true">CRITBINOM(MAX(0,$C1355-D1355),MIN(0.6,Matchup!$B$40*SQRT($B1355)/(1-MIN(0.75,Matchup!$B$39*$B1355))),RAND())</f>
        <v>2</v>
      </c>
      <c r="I1355" s="0" t="n">
        <f aca="false">6*D1355+(D1355-E1355-G1355)+2*F1355+3*H1355</f>
        <v>34</v>
      </c>
      <c r="J1355" s="0" t="n">
        <f aca="true">CRITBINOM($C1355,MIN(0.75,Matchup!$C$39*$B1355),RAND())</f>
        <v>1</v>
      </c>
      <c r="K1355" s="0" t="n">
        <f aca="true">CRITBINOM(J1355,Coefficients!$B$30,RAND())</f>
        <v>0</v>
      </c>
      <c r="L1355" s="0" t="n">
        <f aca="true">CRITBINOM(K1355,Coefficients!$B$31,RAND())</f>
        <v>0</v>
      </c>
      <c r="M1355" s="0" t="n">
        <f aca="true">CRITBINOM(MAX(0,J1355-K1355),1-Coefficients!$B$32,RAND())</f>
        <v>0</v>
      </c>
      <c r="N1355" s="0" t="n">
        <f aca="true">CRITBINOM(MAX(0,$C1355-J1355),MIN(0.6,Matchup!$C$40*SQRT($B1355)/(1-MIN(0.75,Matchup!$C$39*$B1355))),RAND())</f>
        <v>0</v>
      </c>
      <c r="O1355" s="0" t="n">
        <f aca="false">6*J1355+(J1355-K1355-M1355)+2*L1355+3*N1355</f>
        <v>7</v>
      </c>
      <c r="P1355" s="0" t="n">
        <f aca="true">RAND()</f>
        <v>0.796675863011613</v>
      </c>
      <c r="Q1355" s="0" t="n">
        <f aca="true">RAND()</f>
        <v>0.504059266239677</v>
      </c>
      <c r="R1355" s="0" t="n">
        <f aca="false">IF($I1355&lt;&gt;$O1355,0,IF(P1355&lt;Matchup!$B$39,7,IF(P1355&lt;Matchup!$B$39+Matchup!$B$40,3,0)))</f>
        <v>0</v>
      </c>
      <c r="S1355" s="0" t="n">
        <f aca="false">IF($I1355&lt;&gt;$O1355,0,IF(Q1355&lt;Matchup!$C$39,7,IF(Q1355&lt;Matchup!$C$39+Matchup!$C$40,3,0)))</f>
        <v>0</v>
      </c>
      <c r="T1355" s="0" t="n">
        <f aca="false">I1355+R1355</f>
        <v>34</v>
      </c>
      <c r="U1355" s="0" t="n">
        <f aca="false">O1355+S1355</f>
        <v>7</v>
      </c>
      <c r="V1355" s="0" t="n">
        <f aca="false">T1355-U1355</f>
        <v>27</v>
      </c>
      <c r="W1355" s="0" t="n">
        <f aca="false">T1355+U1355</f>
        <v>41</v>
      </c>
    </row>
    <row r="1356" customFormat="false" ht="15" hidden="false" customHeight="false" outlineLevel="0" collapsed="false">
      <c r="A1356" s="0" t="n">
        <v>1353</v>
      </c>
      <c r="B1356" s="0" t="n">
        <f aca="true">NORMINV(RAND(),1,Coefficients!$B$22)</f>
        <v>1.04991315124785</v>
      </c>
      <c r="C1356" s="0" t="n">
        <f aca="true">MEDIAN(8,16,ROUND(NORMINV(RAND(),Coefficients!$B$20,Coefficients!$B$21),0))</f>
        <v>11</v>
      </c>
      <c r="D1356" s="0" t="n">
        <f aca="true">CRITBINOM($C1356,MIN(0.75,Matchup!$B$39*$B1356),RAND())</f>
        <v>2</v>
      </c>
      <c r="E1356" s="0" t="n">
        <f aca="true">CRITBINOM(D1356,Coefficients!$B$30,RAND())</f>
        <v>0</v>
      </c>
      <c r="F1356" s="0" t="n">
        <f aca="true">CRITBINOM(E1356,Coefficients!$B$31,RAND())</f>
        <v>0</v>
      </c>
      <c r="G1356" s="0" t="n">
        <f aca="true">CRITBINOM(MAX(0,D1356-E1356),1-Coefficients!$B$32,RAND())</f>
        <v>1</v>
      </c>
      <c r="H1356" s="0" t="n">
        <f aca="true">CRITBINOM(MAX(0,$C1356-D1356),MIN(0.6,Matchup!$B$40*SQRT($B1356)/(1-MIN(0.75,Matchup!$B$39*$B1356))),RAND())</f>
        <v>2</v>
      </c>
      <c r="I1356" s="0" t="n">
        <f aca="false">6*D1356+(D1356-E1356-G1356)+2*F1356+3*H1356</f>
        <v>19</v>
      </c>
      <c r="J1356" s="0" t="n">
        <f aca="true">CRITBINOM($C1356,MIN(0.75,Matchup!$C$39*$B1356),RAND())</f>
        <v>4</v>
      </c>
      <c r="K1356" s="0" t="n">
        <f aca="true">CRITBINOM(J1356,Coefficients!$B$30,RAND())</f>
        <v>0</v>
      </c>
      <c r="L1356" s="0" t="n">
        <f aca="true">CRITBINOM(K1356,Coefficients!$B$31,RAND())</f>
        <v>0</v>
      </c>
      <c r="M1356" s="0" t="n">
        <f aca="true">CRITBINOM(MAX(0,J1356-K1356),1-Coefficients!$B$32,RAND())</f>
        <v>0</v>
      </c>
      <c r="N1356" s="0" t="n">
        <f aca="true">CRITBINOM(MAX(0,$C1356-J1356),MIN(0.6,Matchup!$C$40*SQRT($B1356)/(1-MIN(0.75,Matchup!$C$39*$B1356))),RAND())</f>
        <v>2</v>
      </c>
      <c r="O1356" s="0" t="n">
        <f aca="false">6*J1356+(J1356-K1356-M1356)+2*L1356+3*N1356</f>
        <v>34</v>
      </c>
      <c r="P1356" s="0" t="n">
        <f aca="true">RAND()</f>
        <v>0.45748870635834</v>
      </c>
      <c r="Q1356" s="0" t="n">
        <f aca="true">RAND()</f>
        <v>0.874572799506636</v>
      </c>
      <c r="R1356" s="0" t="n">
        <f aca="false">IF($I1356&lt;&gt;$O1356,0,IF(P1356&lt;Matchup!$B$39,7,IF(P1356&lt;Matchup!$B$39+Matchup!$B$40,3,0)))</f>
        <v>0</v>
      </c>
      <c r="S1356" s="0" t="n">
        <f aca="false">IF($I1356&lt;&gt;$O1356,0,IF(Q1356&lt;Matchup!$C$39,7,IF(Q1356&lt;Matchup!$C$39+Matchup!$C$40,3,0)))</f>
        <v>0</v>
      </c>
      <c r="T1356" s="0" t="n">
        <f aca="false">I1356+R1356</f>
        <v>19</v>
      </c>
      <c r="U1356" s="0" t="n">
        <f aca="false">O1356+S1356</f>
        <v>34</v>
      </c>
      <c r="V1356" s="0" t="n">
        <f aca="false">T1356-U1356</f>
        <v>-15</v>
      </c>
      <c r="W1356" s="0" t="n">
        <f aca="false">T1356+U1356</f>
        <v>53</v>
      </c>
    </row>
    <row r="1357" customFormat="false" ht="15" hidden="false" customHeight="false" outlineLevel="0" collapsed="false">
      <c r="A1357" s="0" t="n">
        <v>1354</v>
      </c>
      <c r="B1357" s="0" t="n">
        <f aca="true">NORMINV(RAND(),1,Coefficients!$B$22)</f>
        <v>0.904273232394139</v>
      </c>
      <c r="C1357" s="0" t="n">
        <f aca="true">MEDIAN(8,16,ROUND(NORMINV(RAND(),Coefficients!$B$20,Coefficients!$B$21),0))</f>
        <v>11</v>
      </c>
      <c r="D1357" s="0" t="n">
        <f aca="true">CRITBINOM($C1357,MIN(0.75,Matchup!$B$39*$B1357),RAND())</f>
        <v>3</v>
      </c>
      <c r="E1357" s="0" t="n">
        <f aca="true">CRITBINOM(D1357,Coefficients!$B$30,RAND())</f>
        <v>1</v>
      </c>
      <c r="F1357" s="0" t="n">
        <f aca="true">CRITBINOM(E1357,Coefficients!$B$31,RAND())</f>
        <v>1</v>
      </c>
      <c r="G1357" s="0" t="n">
        <f aca="true">CRITBINOM(MAX(0,D1357-E1357),1-Coefficients!$B$32,RAND())</f>
        <v>0</v>
      </c>
      <c r="H1357" s="0" t="n">
        <f aca="true">CRITBINOM(MAX(0,$C1357-D1357),MIN(0.6,Matchup!$B$40*SQRT($B1357)/(1-MIN(0.75,Matchup!$B$39*$B1357))),RAND())</f>
        <v>1</v>
      </c>
      <c r="I1357" s="0" t="n">
        <f aca="false">6*D1357+(D1357-E1357-G1357)+2*F1357+3*H1357</f>
        <v>25</v>
      </c>
      <c r="J1357" s="0" t="n">
        <f aca="true">CRITBINOM($C1357,MIN(0.75,Matchup!$C$39*$B1357),RAND())</f>
        <v>1</v>
      </c>
      <c r="K1357" s="0" t="n">
        <f aca="true">CRITBINOM(J1357,Coefficients!$B$30,RAND())</f>
        <v>1</v>
      </c>
      <c r="L1357" s="0" t="n">
        <f aca="true">CRITBINOM(K1357,Coefficients!$B$31,RAND())</f>
        <v>0</v>
      </c>
      <c r="M1357" s="0" t="n">
        <f aca="true">CRITBINOM(MAX(0,J1357-K1357),1-Coefficients!$B$32,RAND())</f>
        <v>0</v>
      </c>
      <c r="N1357" s="0" t="n">
        <f aca="true">CRITBINOM(MAX(0,$C1357-J1357),MIN(0.6,Matchup!$C$40*SQRT($B1357)/(1-MIN(0.75,Matchup!$C$39*$B1357))),RAND())</f>
        <v>3</v>
      </c>
      <c r="O1357" s="0" t="n">
        <f aca="false">6*J1357+(J1357-K1357-M1357)+2*L1357+3*N1357</f>
        <v>15</v>
      </c>
      <c r="P1357" s="0" t="n">
        <f aca="true">RAND()</f>
        <v>0.861550944983707</v>
      </c>
      <c r="Q1357" s="0" t="n">
        <f aca="true">RAND()</f>
        <v>0.764207165027241</v>
      </c>
      <c r="R1357" s="0" t="n">
        <f aca="false">IF($I1357&lt;&gt;$O1357,0,IF(P1357&lt;Matchup!$B$39,7,IF(P1357&lt;Matchup!$B$39+Matchup!$B$40,3,0)))</f>
        <v>0</v>
      </c>
      <c r="S1357" s="0" t="n">
        <f aca="false">IF($I1357&lt;&gt;$O1357,0,IF(Q1357&lt;Matchup!$C$39,7,IF(Q1357&lt;Matchup!$C$39+Matchup!$C$40,3,0)))</f>
        <v>0</v>
      </c>
      <c r="T1357" s="0" t="n">
        <f aca="false">I1357+R1357</f>
        <v>25</v>
      </c>
      <c r="U1357" s="0" t="n">
        <f aca="false">O1357+S1357</f>
        <v>15</v>
      </c>
      <c r="V1357" s="0" t="n">
        <f aca="false">T1357-U1357</f>
        <v>10</v>
      </c>
      <c r="W1357" s="0" t="n">
        <f aca="false">T1357+U1357</f>
        <v>40</v>
      </c>
    </row>
    <row r="1358" customFormat="false" ht="15" hidden="false" customHeight="false" outlineLevel="0" collapsed="false">
      <c r="A1358" s="0" t="n">
        <v>1355</v>
      </c>
      <c r="B1358" s="0" t="n">
        <f aca="true">NORMINV(RAND(),1,Coefficients!$B$22)</f>
        <v>1.04948245277045</v>
      </c>
      <c r="C1358" s="0" t="n">
        <f aca="true">MEDIAN(8,16,ROUND(NORMINV(RAND(),Coefficients!$B$20,Coefficients!$B$21),0))</f>
        <v>12</v>
      </c>
      <c r="D1358" s="0" t="n">
        <f aca="true">CRITBINOM($C1358,MIN(0.75,Matchup!$B$39*$B1358),RAND())</f>
        <v>3</v>
      </c>
      <c r="E1358" s="0" t="n">
        <f aca="true">CRITBINOM(D1358,Coefficients!$B$30,RAND())</f>
        <v>0</v>
      </c>
      <c r="F1358" s="0" t="n">
        <f aca="true">CRITBINOM(E1358,Coefficients!$B$31,RAND())</f>
        <v>0</v>
      </c>
      <c r="G1358" s="0" t="n">
        <f aca="true">CRITBINOM(MAX(0,D1358-E1358),1-Coefficients!$B$32,RAND())</f>
        <v>0</v>
      </c>
      <c r="H1358" s="0" t="n">
        <f aca="true">CRITBINOM(MAX(0,$C1358-D1358),MIN(0.6,Matchup!$B$40*SQRT($B1358)/(1-MIN(0.75,Matchup!$B$39*$B1358))),RAND())</f>
        <v>2</v>
      </c>
      <c r="I1358" s="0" t="n">
        <f aca="false">6*D1358+(D1358-E1358-G1358)+2*F1358+3*H1358</f>
        <v>27</v>
      </c>
      <c r="J1358" s="0" t="n">
        <f aca="true">CRITBINOM($C1358,MIN(0.75,Matchup!$C$39*$B1358),RAND())</f>
        <v>4</v>
      </c>
      <c r="K1358" s="0" t="n">
        <f aca="true">CRITBINOM(J1358,Coefficients!$B$30,RAND())</f>
        <v>1</v>
      </c>
      <c r="L1358" s="0" t="n">
        <f aca="true">CRITBINOM(K1358,Coefficients!$B$31,RAND())</f>
        <v>0</v>
      </c>
      <c r="M1358" s="0" t="n">
        <f aca="true">CRITBINOM(MAX(0,J1358-K1358),1-Coefficients!$B$32,RAND())</f>
        <v>1</v>
      </c>
      <c r="N1358" s="0" t="n">
        <f aca="true">CRITBINOM(MAX(0,$C1358-J1358),MIN(0.6,Matchup!$C$40*SQRT($B1358)/(1-MIN(0.75,Matchup!$C$39*$B1358))),RAND())</f>
        <v>2</v>
      </c>
      <c r="O1358" s="0" t="n">
        <f aca="false">6*J1358+(J1358-K1358-M1358)+2*L1358+3*N1358</f>
        <v>32</v>
      </c>
      <c r="P1358" s="0" t="n">
        <f aca="true">RAND()</f>
        <v>0.190701666406006</v>
      </c>
      <c r="Q1358" s="0" t="n">
        <f aca="true">RAND()</f>
        <v>0.904023653355403</v>
      </c>
      <c r="R1358" s="0" t="n">
        <f aca="false">IF($I1358&lt;&gt;$O1358,0,IF(P1358&lt;Matchup!$B$39,7,IF(P1358&lt;Matchup!$B$39+Matchup!$B$40,3,0)))</f>
        <v>0</v>
      </c>
      <c r="S1358" s="0" t="n">
        <f aca="false">IF($I1358&lt;&gt;$O1358,0,IF(Q1358&lt;Matchup!$C$39,7,IF(Q1358&lt;Matchup!$C$39+Matchup!$C$40,3,0)))</f>
        <v>0</v>
      </c>
      <c r="T1358" s="0" t="n">
        <f aca="false">I1358+R1358</f>
        <v>27</v>
      </c>
      <c r="U1358" s="0" t="n">
        <f aca="false">O1358+S1358</f>
        <v>32</v>
      </c>
      <c r="V1358" s="0" t="n">
        <f aca="false">T1358-U1358</f>
        <v>-5</v>
      </c>
      <c r="W1358" s="0" t="n">
        <f aca="false">T1358+U1358</f>
        <v>59</v>
      </c>
    </row>
    <row r="1359" customFormat="false" ht="15" hidden="false" customHeight="false" outlineLevel="0" collapsed="false">
      <c r="A1359" s="0" t="n">
        <v>1356</v>
      </c>
      <c r="B1359" s="0" t="n">
        <f aca="true">NORMINV(RAND(),1,Coefficients!$B$22)</f>
        <v>1.14262329887104</v>
      </c>
      <c r="C1359" s="0" t="n">
        <f aca="true">MEDIAN(8,16,ROUND(NORMINV(RAND(),Coefficients!$B$20,Coefficients!$B$21),0))</f>
        <v>11</v>
      </c>
      <c r="D1359" s="0" t="n">
        <f aca="true">CRITBINOM($C1359,MIN(0.75,Matchup!$B$39*$B1359),RAND())</f>
        <v>1</v>
      </c>
      <c r="E1359" s="0" t="n">
        <f aca="true">CRITBINOM(D1359,Coefficients!$B$30,RAND())</f>
        <v>0</v>
      </c>
      <c r="F1359" s="0" t="n">
        <f aca="true">CRITBINOM(E1359,Coefficients!$B$31,RAND())</f>
        <v>0</v>
      </c>
      <c r="G1359" s="0" t="n">
        <f aca="true">CRITBINOM(MAX(0,D1359-E1359),1-Coefficients!$B$32,RAND())</f>
        <v>0</v>
      </c>
      <c r="H1359" s="0" t="n">
        <f aca="true">CRITBINOM(MAX(0,$C1359-D1359),MIN(0.6,Matchup!$B$40*SQRT($B1359)/(1-MIN(0.75,Matchup!$B$39*$B1359))),RAND())</f>
        <v>3</v>
      </c>
      <c r="I1359" s="0" t="n">
        <f aca="false">6*D1359+(D1359-E1359-G1359)+2*F1359+3*H1359</f>
        <v>16</v>
      </c>
      <c r="J1359" s="0" t="n">
        <f aca="true">CRITBINOM($C1359,MIN(0.75,Matchup!$C$39*$B1359),RAND())</f>
        <v>2</v>
      </c>
      <c r="K1359" s="0" t="n">
        <f aca="true">CRITBINOM(J1359,Coefficients!$B$30,RAND())</f>
        <v>2</v>
      </c>
      <c r="L1359" s="0" t="n">
        <f aca="true">CRITBINOM(K1359,Coefficients!$B$31,RAND())</f>
        <v>2</v>
      </c>
      <c r="M1359" s="0" t="n">
        <f aca="true">CRITBINOM(MAX(0,J1359-K1359),1-Coefficients!$B$32,RAND())</f>
        <v>0</v>
      </c>
      <c r="N1359" s="0" t="n">
        <f aca="true">CRITBINOM(MAX(0,$C1359-J1359),MIN(0.6,Matchup!$C$40*SQRT($B1359)/(1-MIN(0.75,Matchup!$C$39*$B1359))),RAND())</f>
        <v>2</v>
      </c>
      <c r="O1359" s="0" t="n">
        <f aca="false">6*J1359+(J1359-K1359-M1359)+2*L1359+3*N1359</f>
        <v>22</v>
      </c>
      <c r="P1359" s="0" t="n">
        <f aca="true">RAND()</f>
        <v>0.943756234644876</v>
      </c>
      <c r="Q1359" s="0" t="n">
        <f aca="true">RAND()</f>
        <v>0.135999576481278</v>
      </c>
      <c r="R1359" s="0" t="n">
        <f aca="false">IF($I1359&lt;&gt;$O1359,0,IF(P1359&lt;Matchup!$B$39,7,IF(P1359&lt;Matchup!$B$39+Matchup!$B$40,3,0)))</f>
        <v>0</v>
      </c>
      <c r="S1359" s="0" t="n">
        <f aca="false">IF($I1359&lt;&gt;$O1359,0,IF(Q1359&lt;Matchup!$C$39,7,IF(Q1359&lt;Matchup!$C$39+Matchup!$C$40,3,0)))</f>
        <v>0</v>
      </c>
      <c r="T1359" s="0" t="n">
        <f aca="false">I1359+R1359</f>
        <v>16</v>
      </c>
      <c r="U1359" s="0" t="n">
        <f aca="false">O1359+S1359</f>
        <v>22</v>
      </c>
      <c r="V1359" s="0" t="n">
        <f aca="false">T1359-U1359</f>
        <v>-6</v>
      </c>
      <c r="W1359" s="0" t="n">
        <f aca="false">T1359+U1359</f>
        <v>38</v>
      </c>
    </row>
    <row r="1360" customFormat="false" ht="15" hidden="false" customHeight="false" outlineLevel="0" collapsed="false">
      <c r="A1360" s="0" t="n">
        <v>1357</v>
      </c>
      <c r="B1360" s="0" t="n">
        <f aca="true">NORMINV(RAND(),1,Coefficients!$B$22)</f>
        <v>1.16716667220975</v>
      </c>
      <c r="C1360" s="0" t="n">
        <f aca="true">MEDIAN(8,16,ROUND(NORMINV(RAND(),Coefficients!$B$20,Coefficients!$B$21),0))</f>
        <v>10</v>
      </c>
      <c r="D1360" s="0" t="n">
        <f aca="true">CRITBINOM($C1360,MIN(0.75,Matchup!$B$39*$B1360),RAND())</f>
        <v>2</v>
      </c>
      <c r="E1360" s="0" t="n">
        <f aca="true">CRITBINOM(D1360,Coefficients!$B$30,RAND())</f>
        <v>0</v>
      </c>
      <c r="F1360" s="0" t="n">
        <f aca="true">CRITBINOM(E1360,Coefficients!$B$31,RAND())</f>
        <v>0</v>
      </c>
      <c r="G1360" s="0" t="n">
        <f aca="true">CRITBINOM(MAX(0,D1360-E1360),1-Coefficients!$B$32,RAND())</f>
        <v>0</v>
      </c>
      <c r="H1360" s="0" t="n">
        <f aca="true">CRITBINOM(MAX(0,$C1360-D1360),MIN(0.6,Matchup!$B$40*SQRT($B1360)/(1-MIN(0.75,Matchup!$B$39*$B1360))),RAND())</f>
        <v>3</v>
      </c>
      <c r="I1360" s="0" t="n">
        <f aca="false">6*D1360+(D1360-E1360-G1360)+2*F1360+3*H1360</f>
        <v>23</v>
      </c>
      <c r="J1360" s="0" t="n">
        <f aca="true">CRITBINOM($C1360,MIN(0.75,Matchup!$C$39*$B1360),RAND())</f>
        <v>2</v>
      </c>
      <c r="K1360" s="0" t="n">
        <f aca="true">CRITBINOM(J1360,Coefficients!$B$30,RAND())</f>
        <v>0</v>
      </c>
      <c r="L1360" s="0" t="n">
        <f aca="true">CRITBINOM(K1360,Coefficients!$B$31,RAND())</f>
        <v>0</v>
      </c>
      <c r="M1360" s="0" t="n">
        <f aca="true">CRITBINOM(MAX(0,J1360-K1360),1-Coefficients!$B$32,RAND())</f>
        <v>0</v>
      </c>
      <c r="N1360" s="0" t="n">
        <f aca="true">CRITBINOM(MAX(0,$C1360-J1360),MIN(0.6,Matchup!$C$40*SQRT($B1360)/(1-MIN(0.75,Matchup!$C$39*$B1360))),RAND())</f>
        <v>0</v>
      </c>
      <c r="O1360" s="0" t="n">
        <f aca="false">6*J1360+(J1360-K1360-M1360)+2*L1360+3*N1360</f>
        <v>14</v>
      </c>
      <c r="P1360" s="0" t="n">
        <f aca="true">RAND()</f>
        <v>0.947478117282487</v>
      </c>
      <c r="Q1360" s="0" t="n">
        <f aca="true">RAND()</f>
        <v>0.109880018476961</v>
      </c>
      <c r="R1360" s="0" t="n">
        <f aca="false">IF($I1360&lt;&gt;$O1360,0,IF(P1360&lt;Matchup!$B$39,7,IF(P1360&lt;Matchup!$B$39+Matchup!$B$40,3,0)))</f>
        <v>0</v>
      </c>
      <c r="S1360" s="0" t="n">
        <f aca="false">IF($I1360&lt;&gt;$O1360,0,IF(Q1360&lt;Matchup!$C$39,7,IF(Q1360&lt;Matchup!$C$39+Matchup!$C$40,3,0)))</f>
        <v>0</v>
      </c>
      <c r="T1360" s="0" t="n">
        <f aca="false">I1360+R1360</f>
        <v>23</v>
      </c>
      <c r="U1360" s="0" t="n">
        <f aca="false">O1360+S1360</f>
        <v>14</v>
      </c>
      <c r="V1360" s="0" t="n">
        <f aca="false">T1360-U1360</f>
        <v>9</v>
      </c>
      <c r="W1360" s="0" t="n">
        <f aca="false">T1360+U1360</f>
        <v>37</v>
      </c>
    </row>
    <row r="1361" customFormat="false" ht="15" hidden="false" customHeight="false" outlineLevel="0" collapsed="false">
      <c r="A1361" s="0" t="n">
        <v>1358</v>
      </c>
      <c r="B1361" s="0" t="n">
        <f aca="true">NORMINV(RAND(),1,Coefficients!$B$22)</f>
        <v>1.06278507537451</v>
      </c>
      <c r="C1361" s="0" t="n">
        <f aca="true">MEDIAN(8,16,ROUND(NORMINV(RAND(),Coefficients!$B$20,Coefficients!$B$21),0))</f>
        <v>12</v>
      </c>
      <c r="D1361" s="0" t="n">
        <f aca="true">CRITBINOM($C1361,MIN(0.75,Matchup!$B$39*$B1361),RAND())</f>
        <v>2</v>
      </c>
      <c r="E1361" s="0" t="n">
        <f aca="true">CRITBINOM(D1361,Coefficients!$B$30,RAND())</f>
        <v>0</v>
      </c>
      <c r="F1361" s="0" t="n">
        <f aca="true">CRITBINOM(E1361,Coefficients!$B$31,RAND())</f>
        <v>0</v>
      </c>
      <c r="G1361" s="0" t="n">
        <f aca="true">CRITBINOM(MAX(0,D1361-E1361),1-Coefficients!$B$32,RAND())</f>
        <v>0</v>
      </c>
      <c r="H1361" s="0" t="n">
        <f aca="true">CRITBINOM(MAX(0,$C1361-D1361),MIN(0.6,Matchup!$B$40*SQRT($B1361)/(1-MIN(0.75,Matchup!$B$39*$B1361))),RAND())</f>
        <v>2</v>
      </c>
      <c r="I1361" s="0" t="n">
        <f aca="false">6*D1361+(D1361-E1361-G1361)+2*F1361+3*H1361</f>
        <v>20</v>
      </c>
      <c r="J1361" s="0" t="n">
        <f aca="true">CRITBINOM($C1361,MIN(0.75,Matchup!$C$39*$B1361),RAND())</f>
        <v>2</v>
      </c>
      <c r="K1361" s="0" t="n">
        <f aca="true">CRITBINOM(J1361,Coefficients!$B$30,RAND())</f>
        <v>1</v>
      </c>
      <c r="L1361" s="0" t="n">
        <f aca="true">CRITBINOM(K1361,Coefficients!$B$31,RAND())</f>
        <v>0</v>
      </c>
      <c r="M1361" s="0" t="n">
        <f aca="true">CRITBINOM(MAX(0,J1361-K1361),1-Coefficients!$B$32,RAND())</f>
        <v>0</v>
      </c>
      <c r="N1361" s="0" t="n">
        <f aca="true">CRITBINOM(MAX(0,$C1361-J1361),MIN(0.6,Matchup!$C$40*SQRT($B1361)/(1-MIN(0.75,Matchup!$C$39*$B1361))),RAND())</f>
        <v>3</v>
      </c>
      <c r="O1361" s="0" t="n">
        <f aca="false">6*J1361+(J1361-K1361-M1361)+2*L1361+3*N1361</f>
        <v>22</v>
      </c>
      <c r="P1361" s="0" t="n">
        <f aca="true">RAND()</f>
        <v>0.726094753771124</v>
      </c>
      <c r="Q1361" s="0" t="n">
        <f aca="true">RAND()</f>
        <v>0.822901976488386</v>
      </c>
      <c r="R1361" s="0" t="n">
        <f aca="false">IF($I1361&lt;&gt;$O1361,0,IF(P1361&lt;Matchup!$B$39,7,IF(P1361&lt;Matchup!$B$39+Matchup!$B$40,3,0)))</f>
        <v>0</v>
      </c>
      <c r="S1361" s="0" t="n">
        <f aca="false">IF($I1361&lt;&gt;$O1361,0,IF(Q1361&lt;Matchup!$C$39,7,IF(Q1361&lt;Matchup!$C$39+Matchup!$C$40,3,0)))</f>
        <v>0</v>
      </c>
      <c r="T1361" s="0" t="n">
        <f aca="false">I1361+R1361</f>
        <v>20</v>
      </c>
      <c r="U1361" s="0" t="n">
        <f aca="false">O1361+S1361</f>
        <v>22</v>
      </c>
      <c r="V1361" s="0" t="n">
        <f aca="false">T1361-U1361</f>
        <v>-2</v>
      </c>
      <c r="W1361" s="0" t="n">
        <f aca="false">T1361+U1361</f>
        <v>42</v>
      </c>
    </row>
    <row r="1362" customFormat="false" ht="15" hidden="false" customHeight="false" outlineLevel="0" collapsed="false">
      <c r="A1362" s="0" t="n">
        <v>1359</v>
      </c>
      <c r="B1362" s="0" t="n">
        <f aca="true">NORMINV(RAND(),1,Coefficients!$B$22)</f>
        <v>0.941416166987877</v>
      </c>
      <c r="C1362" s="0" t="n">
        <f aca="true">MEDIAN(8,16,ROUND(NORMINV(RAND(),Coefficients!$B$20,Coefficients!$B$21),0))</f>
        <v>12</v>
      </c>
      <c r="D1362" s="0" t="n">
        <f aca="true">CRITBINOM($C1362,MIN(0.75,Matchup!$B$39*$B1362),RAND())</f>
        <v>1</v>
      </c>
      <c r="E1362" s="0" t="n">
        <f aca="true">CRITBINOM(D1362,Coefficients!$B$30,RAND())</f>
        <v>0</v>
      </c>
      <c r="F1362" s="0" t="n">
        <f aca="true">CRITBINOM(E1362,Coefficients!$B$31,RAND())</f>
        <v>0</v>
      </c>
      <c r="G1362" s="0" t="n">
        <f aca="true">CRITBINOM(MAX(0,D1362-E1362),1-Coefficients!$B$32,RAND())</f>
        <v>0</v>
      </c>
      <c r="H1362" s="0" t="n">
        <f aca="true">CRITBINOM(MAX(0,$C1362-D1362),MIN(0.6,Matchup!$B$40*SQRT($B1362)/(1-MIN(0.75,Matchup!$B$39*$B1362))),RAND())</f>
        <v>2</v>
      </c>
      <c r="I1362" s="0" t="n">
        <f aca="false">6*D1362+(D1362-E1362-G1362)+2*F1362+3*H1362</f>
        <v>13</v>
      </c>
      <c r="J1362" s="0" t="n">
        <f aca="true">CRITBINOM($C1362,MIN(0.75,Matchup!$C$39*$B1362),RAND())</f>
        <v>3</v>
      </c>
      <c r="K1362" s="0" t="n">
        <f aca="true">CRITBINOM(J1362,Coefficients!$B$30,RAND())</f>
        <v>0</v>
      </c>
      <c r="L1362" s="0" t="n">
        <f aca="true">CRITBINOM(K1362,Coefficients!$B$31,RAND())</f>
        <v>0</v>
      </c>
      <c r="M1362" s="0" t="n">
        <f aca="true">CRITBINOM(MAX(0,J1362-K1362),1-Coefficients!$B$32,RAND())</f>
        <v>0</v>
      </c>
      <c r="N1362" s="0" t="n">
        <f aca="true">CRITBINOM(MAX(0,$C1362-J1362),MIN(0.6,Matchup!$C$40*SQRT($B1362)/(1-MIN(0.75,Matchup!$C$39*$B1362))),RAND())</f>
        <v>1</v>
      </c>
      <c r="O1362" s="0" t="n">
        <f aca="false">6*J1362+(J1362-K1362-M1362)+2*L1362+3*N1362</f>
        <v>24</v>
      </c>
      <c r="P1362" s="0" t="n">
        <f aca="true">RAND()</f>
        <v>0.478829644068941</v>
      </c>
      <c r="Q1362" s="0" t="n">
        <f aca="true">RAND()</f>
        <v>0.312284499403459</v>
      </c>
      <c r="R1362" s="0" t="n">
        <f aca="false">IF($I1362&lt;&gt;$O1362,0,IF(P1362&lt;Matchup!$B$39,7,IF(P1362&lt;Matchup!$B$39+Matchup!$B$40,3,0)))</f>
        <v>0</v>
      </c>
      <c r="S1362" s="0" t="n">
        <f aca="false">IF($I1362&lt;&gt;$O1362,0,IF(Q1362&lt;Matchup!$C$39,7,IF(Q1362&lt;Matchup!$C$39+Matchup!$C$40,3,0)))</f>
        <v>0</v>
      </c>
      <c r="T1362" s="0" t="n">
        <f aca="false">I1362+R1362</f>
        <v>13</v>
      </c>
      <c r="U1362" s="0" t="n">
        <f aca="false">O1362+S1362</f>
        <v>24</v>
      </c>
      <c r="V1362" s="0" t="n">
        <f aca="false">T1362-U1362</f>
        <v>-11</v>
      </c>
      <c r="W1362" s="0" t="n">
        <f aca="false">T1362+U1362</f>
        <v>37</v>
      </c>
    </row>
    <row r="1363" customFormat="false" ht="15" hidden="false" customHeight="false" outlineLevel="0" collapsed="false">
      <c r="A1363" s="0" t="n">
        <v>1360</v>
      </c>
      <c r="B1363" s="0" t="n">
        <f aca="true">NORMINV(RAND(),1,Coefficients!$B$22)</f>
        <v>0.958853346148606</v>
      </c>
      <c r="C1363" s="0" t="n">
        <f aca="true">MEDIAN(8,16,ROUND(NORMINV(RAND(),Coefficients!$B$20,Coefficients!$B$21),0))</f>
        <v>11</v>
      </c>
      <c r="D1363" s="0" t="n">
        <f aca="true">CRITBINOM($C1363,MIN(0.75,Matchup!$B$39*$B1363),RAND())</f>
        <v>5</v>
      </c>
      <c r="E1363" s="0" t="n">
        <f aca="true">CRITBINOM(D1363,Coefficients!$B$30,RAND())</f>
        <v>0</v>
      </c>
      <c r="F1363" s="0" t="n">
        <f aca="true">CRITBINOM(E1363,Coefficients!$B$31,RAND())</f>
        <v>0</v>
      </c>
      <c r="G1363" s="0" t="n">
        <f aca="true">CRITBINOM(MAX(0,D1363-E1363),1-Coefficients!$B$32,RAND())</f>
        <v>1</v>
      </c>
      <c r="H1363" s="0" t="n">
        <f aca="true">CRITBINOM(MAX(0,$C1363-D1363),MIN(0.6,Matchup!$B$40*SQRT($B1363)/(1-MIN(0.75,Matchup!$B$39*$B1363))),RAND())</f>
        <v>0</v>
      </c>
      <c r="I1363" s="0" t="n">
        <f aca="false">6*D1363+(D1363-E1363-G1363)+2*F1363+3*H1363</f>
        <v>34</v>
      </c>
      <c r="J1363" s="0" t="n">
        <f aca="true">CRITBINOM($C1363,MIN(0.75,Matchup!$C$39*$B1363),RAND())</f>
        <v>1</v>
      </c>
      <c r="K1363" s="0" t="n">
        <f aca="true">CRITBINOM(J1363,Coefficients!$B$30,RAND())</f>
        <v>0</v>
      </c>
      <c r="L1363" s="0" t="n">
        <f aca="true">CRITBINOM(K1363,Coefficients!$B$31,RAND())</f>
        <v>0</v>
      </c>
      <c r="M1363" s="0" t="n">
        <f aca="true">CRITBINOM(MAX(0,J1363-K1363),1-Coefficients!$B$32,RAND())</f>
        <v>0</v>
      </c>
      <c r="N1363" s="0" t="n">
        <f aca="true">CRITBINOM(MAX(0,$C1363-J1363),MIN(0.6,Matchup!$C$40*SQRT($B1363)/(1-MIN(0.75,Matchup!$C$39*$B1363))),RAND())</f>
        <v>2</v>
      </c>
      <c r="O1363" s="0" t="n">
        <f aca="false">6*J1363+(J1363-K1363-M1363)+2*L1363+3*N1363</f>
        <v>13</v>
      </c>
      <c r="P1363" s="0" t="n">
        <f aca="true">RAND()</f>
        <v>0.811688622856949</v>
      </c>
      <c r="Q1363" s="0" t="n">
        <f aca="true">RAND()</f>
        <v>0.498135760475241</v>
      </c>
      <c r="R1363" s="0" t="n">
        <f aca="false">IF($I1363&lt;&gt;$O1363,0,IF(P1363&lt;Matchup!$B$39,7,IF(P1363&lt;Matchup!$B$39+Matchup!$B$40,3,0)))</f>
        <v>0</v>
      </c>
      <c r="S1363" s="0" t="n">
        <f aca="false">IF($I1363&lt;&gt;$O1363,0,IF(Q1363&lt;Matchup!$C$39,7,IF(Q1363&lt;Matchup!$C$39+Matchup!$C$40,3,0)))</f>
        <v>0</v>
      </c>
      <c r="T1363" s="0" t="n">
        <f aca="false">I1363+R1363</f>
        <v>34</v>
      </c>
      <c r="U1363" s="0" t="n">
        <f aca="false">O1363+S1363</f>
        <v>13</v>
      </c>
      <c r="V1363" s="0" t="n">
        <f aca="false">T1363-U1363</f>
        <v>21</v>
      </c>
      <c r="W1363" s="0" t="n">
        <f aca="false">T1363+U1363</f>
        <v>47</v>
      </c>
    </row>
    <row r="1364" customFormat="false" ht="15" hidden="false" customHeight="false" outlineLevel="0" collapsed="false">
      <c r="A1364" s="0" t="n">
        <v>1361</v>
      </c>
      <c r="B1364" s="0" t="n">
        <f aca="true">NORMINV(RAND(),1,Coefficients!$B$22)</f>
        <v>0.924811372706532</v>
      </c>
      <c r="C1364" s="0" t="n">
        <f aca="true">MEDIAN(8,16,ROUND(NORMINV(RAND(),Coefficients!$B$20,Coefficients!$B$21),0))</f>
        <v>13</v>
      </c>
      <c r="D1364" s="0" t="n">
        <f aca="true">CRITBINOM($C1364,MIN(0.75,Matchup!$B$39*$B1364),RAND())</f>
        <v>2</v>
      </c>
      <c r="E1364" s="0" t="n">
        <f aca="true">CRITBINOM(D1364,Coefficients!$B$30,RAND())</f>
        <v>0</v>
      </c>
      <c r="F1364" s="0" t="n">
        <f aca="true">CRITBINOM(E1364,Coefficients!$B$31,RAND())</f>
        <v>0</v>
      </c>
      <c r="G1364" s="0" t="n">
        <f aca="true">CRITBINOM(MAX(0,D1364-E1364),1-Coefficients!$B$32,RAND())</f>
        <v>0</v>
      </c>
      <c r="H1364" s="0" t="n">
        <f aca="true">CRITBINOM(MAX(0,$C1364-D1364),MIN(0.6,Matchup!$B$40*SQRT($B1364)/(1-MIN(0.75,Matchup!$B$39*$B1364))),RAND())</f>
        <v>3</v>
      </c>
      <c r="I1364" s="0" t="n">
        <f aca="false">6*D1364+(D1364-E1364-G1364)+2*F1364+3*H1364</f>
        <v>23</v>
      </c>
      <c r="J1364" s="0" t="n">
        <f aca="true">CRITBINOM($C1364,MIN(0.75,Matchup!$C$39*$B1364),RAND())</f>
        <v>3</v>
      </c>
      <c r="K1364" s="0" t="n">
        <f aca="true">CRITBINOM(J1364,Coefficients!$B$30,RAND())</f>
        <v>0</v>
      </c>
      <c r="L1364" s="0" t="n">
        <f aca="true">CRITBINOM(K1364,Coefficients!$B$31,RAND())</f>
        <v>0</v>
      </c>
      <c r="M1364" s="0" t="n">
        <f aca="true">CRITBINOM(MAX(0,J1364-K1364),1-Coefficients!$B$32,RAND())</f>
        <v>2</v>
      </c>
      <c r="N1364" s="0" t="n">
        <f aca="true">CRITBINOM(MAX(0,$C1364-J1364),MIN(0.6,Matchup!$C$40*SQRT($B1364)/(1-MIN(0.75,Matchup!$C$39*$B1364))),RAND())</f>
        <v>2</v>
      </c>
      <c r="O1364" s="0" t="n">
        <f aca="false">6*J1364+(J1364-K1364-M1364)+2*L1364+3*N1364</f>
        <v>25</v>
      </c>
      <c r="P1364" s="0" t="n">
        <f aca="true">RAND()</f>
        <v>0.833262846292014</v>
      </c>
      <c r="Q1364" s="0" t="n">
        <f aca="true">RAND()</f>
        <v>0.883825066673636</v>
      </c>
      <c r="R1364" s="0" t="n">
        <f aca="false">IF($I1364&lt;&gt;$O1364,0,IF(P1364&lt;Matchup!$B$39,7,IF(P1364&lt;Matchup!$B$39+Matchup!$B$40,3,0)))</f>
        <v>0</v>
      </c>
      <c r="S1364" s="0" t="n">
        <f aca="false">IF($I1364&lt;&gt;$O1364,0,IF(Q1364&lt;Matchup!$C$39,7,IF(Q1364&lt;Matchup!$C$39+Matchup!$C$40,3,0)))</f>
        <v>0</v>
      </c>
      <c r="T1364" s="0" t="n">
        <f aca="false">I1364+R1364</f>
        <v>23</v>
      </c>
      <c r="U1364" s="0" t="n">
        <f aca="false">O1364+S1364</f>
        <v>25</v>
      </c>
      <c r="V1364" s="0" t="n">
        <f aca="false">T1364-U1364</f>
        <v>-2</v>
      </c>
      <c r="W1364" s="0" t="n">
        <f aca="false">T1364+U1364</f>
        <v>48</v>
      </c>
    </row>
    <row r="1365" customFormat="false" ht="15" hidden="false" customHeight="false" outlineLevel="0" collapsed="false">
      <c r="A1365" s="0" t="n">
        <v>1362</v>
      </c>
      <c r="B1365" s="0" t="n">
        <f aca="true">NORMINV(RAND(),1,Coefficients!$B$22)</f>
        <v>1.07468137416869</v>
      </c>
      <c r="C1365" s="0" t="n">
        <f aca="true">MEDIAN(8,16,ROUND(NORMINV(RAND(),Coefficients!$B$20,Coefficients!$B$21),0))</f>
        <v>12</v>
      </c>
      <c r="D1365" s="0" t="n">
        <f aca="true">CRITBINOM($C1365,MIN(0.75,Matchup!$B$39*$B1365),RAND())</f>
        <v>1</v>
      </c>
      <c r="E1365" s="0" t="n">
        <f aca="true">CRITBINOM(D1365,Coefficients!$B$30,RAND())</f>
        <v>0</v>
      </c>
      <c r="F1365" s="0" t="n">
        <f aca="true">CRITBINOM(E1365,Coefficients!$B$31,RAND())</f>
        <v>0</v>
      </c>
      <c r="G1365" s="0" t="n">
        <f aca="true">CRITBINOM(MAX(0,D1365-E1365),1-Coefficients!$B$32,RAND())</f>
        <v>0</v>
      </c>
      <c r="H1365" s="0" t="n">
        <f aca="true">CRITBINOM(MAX(0,$C1365-D1365),MIN(0.6,Matchup!$B$40*SQRT($B1365)/(1-MIN(0.75,Matchup!$B$39*$B1365))),RAND())</f>
        <v>1</v>
      </c>
      <c r="I1365" s="0" t="n">
        <f aca="false">6*D1365+(D1365-E1365-G1365)+2*F1365+3*H1365</f>
        <v>10</v>
      </c>
      <c r="J1365" s="0" t="n">
        <f aca="true">CRITBINOM($C1365,MIN(0.75,Matchup!$C$39*$B1365),RAND())</f>
        <v>3</v>
      </c>
      <c r="K1365" s="0" t="n">
        <f aca="true">CRITBINOM(J1365,Coefficients!$B$30,RAND())</f>
        <v>1</v>
      </c>
      <c r="L1365" s="0" t="n">
        <f aca="true">CRITBINOM(K1365,Coefficients!$B$31,RAND())</f>
        <v>0</v>
      </c>
      <c r="M1365" s="0" t="n">
        <f aca="true">CRITBINOM(MAX(0,J1365-K1365),1-Coefficients!$B$32,RAND())</f>
        <v>0</v>
      </c>
      <c r="N1365" s="0" t="n">
        <f aca="true">CRITBINOM(MAX(0,$C1365-J1365),MIN(0.6,Matchup!$C$40*SQRT($B1365)/(1-MIN(0.75,Matchup!$C$39*$B1365))),RAND())</f>
        <v>1</v>
      </c>
      <c r="O1365" s="0" t="n">
        <f aca="false">6*J1365+(J1365-K1365-M1365)+2*L1365+3*N1365</f>
        <v>23</v>
      </c>
      <c r="P1365" s="0" t="n">
        <f aca="true">RAND()</f>
        <v>0.15147203271858</v>
      </c>
      <c r="Q1365" s="0" t="n">
        <f aca="true">RAND()</f>
        <v>0.757956539137872</v>
      </c>
      <c r="R1365" s="0" t="n">
        <f aca="false">IF($I1365&lt;&gt;$O1365,0,IF(P1365&lt;Matchup!$B$39,7,IF(P1365&lt;Matchup!$B$39+Matchup!$B$40,3,0)))</f>
        <v>0</v>
      </c>
      <c r="S1365" s="0" t="n">
        <f aca="false">IF($I1365&lt;&gt;$O1365,0,IF(Q1365&lt;Matchup!$C$39,7,IF(Q1365&lt;Matchup!$C$39+Matchup!$C$40,3,0)))</f>
        <v>0</v>
      </c>
      <c r="T1365" s="0" t="n">
        <f aca="false">I1365+R1365</f>
        <v>10</v>
      </c>
      <c r="U1365" s="0" t="n">
        <f aca="false">O1365+S1365</f>
        <v>23</v>
      </c>
      <c r="V1365" s="0" t="n">
        <f aca="false">T1365-U1365</f>
        <v>-13</v>
      </c>
      <c r="W1365" s="0" t="n">
        <f aca="false">T1365+U1365</f>
        <v>33</v>
      </c>
    </row>
    <row r="1366" customFormat="false" ht="15" hidden="false" customHeight="false" outlineLevel="0" collapsed="false">
      <c r="A1366" s="0" t="n">
        <v>1363</v>
      </c>
      <c r="B1366" s="0" t="n">
        <f aca="true">NORMINV(RAND(),1,Coefficients!$B$22)</f>
        <v>1.00746073152687</v>
      </c>
      <c r="C1366" s="0" t="n">
        <f aca="true">MEDIAN(8,16,ROUND(NORMINV(RAND(),Coefficients!$B$20,Coefficients!$B$21),0))</f>
        <v>11</v>
      </c>
      <c r="D1366" s="0" t="n">
        <f aca="true">CRITBINOM($C1366,MIN(0.75,Matchup!$B$39*$B1366),RAND())</f>
        <v>3</v>
      </c>
      <c r="E1366" s="0" t="n">
        <f aca="true">CRITBINOM(D1366,Coefficients!$B$30,RAND())</f>
        <v>0</v>
      </c>
      <c r="F1366" s="0" t="n">
        <f aca="true">CRITBINOM(E1366,Coefficients!$B$31,RAND())</f>
        <v>0</v>
      </c>
      <c r="G1366" s="0" t="n">
        <f aca="true">CRITBINOM(MAX(0,D1366-E1366),1-Coefficients!$B$32,RAND())</f>
        <v>1</v>
      </c>
      <c r="H1366" s="0" t="n">
        <f aca="true">CRITBINOM(MAX(0,$C1366-D1366),MIN(0.6,Matchup!$B$40*SQRT($B1366)/(1-MIN(0.75,Matchup!$B$39*$B1366))),RAND())</f>
        <v>0</v>
      </c>
      <c r="I1366" s="0" t="n">
        <f aca="false">6*D1366+(D1366-E1366-G1366)+2*F1366+3*H1366</f>
        <v>20</v>
      </c>
      <c r="J1366" s="0" t="n">
        <f aca="true">CRITBINOM($C1366,MIN(0.75,Matchup!$C$39*$B1366),RAND())</f>
        <v>4</v>
      </c>
      <c r="K1366" s="0" t="n">
        <f aca="true">CRITBINOM(J1366,Coefficients!$B$30,RAND())</f>
        <v>1</v>
      </c>
      <c r="L1366" s="0" t="n">
        <f aca="true">CRITBINOM(K1366,Coefficients!$B$31,RAND())</f>
        <v>0</v>
      </c>
      <c r="M1366" s="0" t="n">
        <f aca="true">CRITBINOM(MAX(0,J1366-K1366),1-Coefficients!$B$32,RAND())</f>
        <v>0</v>
      </c>
      <c r="N1366" s="0" t="n">
        <f aca="true">CRITBINOM(MAX(0,$C1366-J1366),MIN(0.6,Matchup!$C$40*SQRT($B1366)/(1-MIN(0.75,Matchup!$C$39*$B1366))),RAND())</f>
        <v>0</v>
      </c>
      <c r="O1366" s="0" t="n">
        <f aca="false">6*J1366+(J1366-K1366-M1366)+2*L1366+3*N1366</f>
        <v>27</v>
      </c>
      <c r="P1366" s="0" t="n">
        <f aca="true">RAND()</f>
        <v>0.719790802509826</v>
      </c>
      <c r="Q1366" s="0" t="n">
        <f aca="true">RAND()</f>
        <v>0.423587044288673</v>
      </c>
      <c r="R1366" s="0" t="n">
        <f aca="false">IF($I1366&lt;&gt;$O1366,0,IF(P1366&lt;Matchup!$B$39,7,IF(P1366&lt;Matchup!$B$39+Matchup!$B$40,3,0)))</f>
        <v>0</v>
      </c>
      <c r="S1366" s="0" t="n">
        <f aca="false">IF($I1366&lt;&gt;$O1366,0,IF(Q1366&lt;Matchup!$C$39,7,IF(Q1366&lt;Matchup!$C$39+Matchup!$C$40,3,0)))</f>
        <v>0</v>
      </c>
      <c r="T1366" s="0" t="n">
        <f aca="false">I1366+R1366</f>
        <v>20</v>
      </c>
      <c r="U1366" s="0" t="n">
        <f aca="false">O1366+S1366</f>
        <v>27</v>
      </c>
      <c r="V1366" s="0" t="n">
        <f aca="false">T1366-U1366</f>
        <v>-7</v>
      </c>
      <c r="W1366" s="0" t="n">
        <f aca="false">T1366+U1366</f>
        <v>47</v>
      </c>
    </row>
    <row r="1367" customFormat="false" ht="15" hidden="false" customHeight="false" outlineLevel="0" collapsed="false">
      <c r="A1367" s="0" t="n">
        <v>1364</v>
      </c>
      <c r="B1367" s="0" t="n">
        <f aca="true">NORMINV(RAND(),1,Coefficients!$B$22)</f>
        <v>1.03847812297969</v>
      </c>
      <c r="C1367" s="0" t="n">
        <f aca="true">MEDIAN(8,16,ROUND(NORMINV(RAND(),Coefficients!$B$20,Coefficients!$B$21),0))</f>
        <v>11</v>
      </c>
      <c r="D1367" s="0" t="n">
        <f aca="true">CRITBINOM($C1367,MIN(0.75,Matchup!$B$39*$B1367),RAND())</f>
        <v>4</v>
      </c>
      <c r="E1367" s="0" t="n">
        <f aca="true">CRITBINOM(D1367,Coefficients!$B$30,RAND())</f>
        <v>1</v>
      </c>
      <c r="F1367" s="0" t="n">
        <f aca="true">CRITBINOM(E1367,Coefficients!$B$31,RAND())</f>
        <v>0</v>
      </c>
      <c r="G1367" s="0" t="n">
        <f aca="true">CRITBINOM(MAX(0,D1367-E1367),1-Coefficients!$B$32,RAND())</f>
        <v>0</v>
      </c>
      <c r="H1367" s="0" t="n">
        <f aca="true">CRITBINOM(MAX(0,$C1367-D1367),MIN(0.6,Matchup!$B$40*SQRT($B1367)/(1-MIN(0.75,Matchup!$B$39*$B1367))),RAND())</f>
        <v>2</v>
      </c>
      <c r="I1367" s="0" t="n">
        <f aca="false">6*D1367+(D1367-E1367-G1367)+2*F1367+3*H1367</f>
        <v>33</v>
      </c>
      <c r="J1367" s="0" t="n">
        <f aca="true">CRITBINOM($C1367,MIN(0.75,Matchup!$C$39*$B1367),RAND())</f>
        <v>3</v>
      </c>
      <c r="K1367" s="0" t="n">
        <f aca="true">CRITBINOM(J1367,Coefficients!$B$30,RAND())</f>
        <v>0</v>
      </c>
      <c r="L1367" s="0" t="n">
        <f aca="true">CRITBINOM(K1367,Coefficients!$B$31,RAND())</f>
        <v>0</v>
      </c>
      <c r="M1367" s="0" t="n">
        <f aca="true">CRITBINOM(MAX(0,J1367-K1367),1-Coefficients!$B$32,RAND())</f>
        <v>0</v>
      </c>
      <c r="N1367" s="0" t="n">
        <f aca="true">CRITBINOM(MAX(0,$C1367-J1367),MIN(0.6,Matchup!$C$40*SQRT($B1367)/(1-MIN(0.75,Matchup!$C$39*$B1367))),RAND())</f>
        <v>0</v>
      </c>
      <c r="O1367" s="0" t="n">
        <f aca="false">6*J1367+(J1367-K1367-M1367)+2*L1367+3*N1367</f>
        <v>21</v>
      </c>
      <c r="P1367" s="0" t="n">
        <f aca="true">RAND()</f>
        <v>0.537283253008692</v>
      </c>
      <c r="Q1367" s="0" t="n">
        <f aca="true">RAND()</f>
        <v>0.050048282068255</v>
      </c>
      <c r="R1367" s="0" t="n">
        <f aca="false">IF($I1367&lt;&gt;$O1367,0,IF(P1367&lt;Matchup!$B$39,7,IF(P1367&lt;Matchup!$B$39+Matchup!$B$40,3,0)))</f>
        <v>0</v>
      </c>
      <c r="S1367" s="0" t="n">
        <f aca="false">IF($I1367&lt;&gt;$O1367,0,IF(Q1367&lt;Matchup!$C$39,7,IF(Q1367&lt;Matchup!$C$39+Matchup!$C$40,3,0)))</f>
        <v>0</v>
      </c>
      <c r="T1367" s="0" t="n">
        <f aca="false">I1367+R1367</f>
        <v>33</v>
      </c>
      <c r="U1367" s="0" t="n">
        <f aca="false">O1367+S1367</f>
        <v>21</v>
      </c>
      <c r="V1367" s="0" t="n">
        <f aca="false">T1367-U1367</f>
        <v>12</v>
      </c>
      <c r="W1367" s="0" t="n">
        <f aca="false">T1367+U1367</f>
        <v>54</v>
      </c>
    </row>
    <row r="1368" customFormat="false" ht="15" hidden="false" customHeight="false" outlineLevel="0" collapsed="false">
      <c r="A1368" s="0" t="n">
        <v>1365</v>
      </c>
      <c r="B1368" s="0" t="n">
        <f aca="true">NORMINV(RAND(),1,Coefficients!$B$22)</f>
        <v>1.17361658020297</v>
      </c>
      <c r="C1368" s="0" t="n">
        <f aca="true">MEDIAN(8,16,ROUND(NORMINV(RAND(),Coefficients!$B$20,Coefficients!$B$21),0))</f>
        <v>12</v>
      </c>
      <c r="D1368" s="0" t="n">
        <f aca="true">CRITBINOM($C1368,MIN(0.75,Matchup!$B$39*$B1368),RAND())</f>
        <v>7</v>
      </c>
      <c r="E1368" s="0" t="n">
        <f aca="true">CRITBINOM(D1368,Coefficients!$B$30,RAND())</f>
        <v>0</v>
      </c>
      <c r="F1368" s="0" t="n">
        <f aca="true">CRITBINOM(E1368,Coefficients!$B$31,RAND())</f>
        <v>0</v>
      </c>
      <c r="G1368" s="0" t="n">
        <f aca="true">CRITBINOM(MAX(0,D1368-E1368),1-Coefficients!$B$32,RAND())</f>
        <v>0</v>
      </c>
      <c r="H1368" s="0" t="n">
        <f aca="true">CRITBINOM(MAX(0,$C1368-D1368),MIN(0.6,Matchup!$B$40*SQRT($B1368)/(1-MIN(0.75,Matchup!$B$39*$B1368))),RAND())</f>
        <v>1</v>
      </c>
      <c r="I1368" s="0" t="n">
        <f aca="false">6*D1368+(D1368-E1368-G1368)+2*F1368+3*H1368</f>
        <v>52</v>
      </c>
      <c r="J1368" s="0" t="n">
        <f aca="true">CRITBINOM($C1368,MIN(0.75,Matchup!$C$39*$B1368),RAND())</f>
        <v>4</v>
      </c>
      <c r="K1368" s="0" t="n">
        <f aca="true">CRITBINOM(J1368,Coefficients!$B$30,RAND())</f>
        <v>1</v>
      </c>
      <c r="L1368" s="0" t="n">
        <f aca="true">CRITBINOM(K1368,Coefficients!$B$31,RAND())</f>
        <v>1</v>
      </c>
      <c r="M1368" s="0" t="n">
        <f aca="true">CRITBINOM(MAX(0,J1368-K1368),1-Coefficients!$B$32,RAND())</f>
        <v>0</v>
      </c>
      <c r="N1368" s="0" t="n">
        <f aca="true">CRITBINOM(MAX(0,$C1368-J1368),MIN(0.6,Matchup!$C$40*SQRT($B1368)/(1-MIN(0.75,Matchup!$C$39*$B1368))),RAND())</f>
        <v>1</v>
      </c>
      <c r="O1368" s="0" t="n">
        <f aca="false">6*J1368+(J1368-K1368-M1368)+2*L1368+3*N1368</f>
        <v>32</v>
      </c>
      <c r="P1368" s="0" t="n">
        <f aca="true">RAND()</f>
        <v>0.930700369803868</v>
      </c>
      <c r="Q1368" s="0" t="n">
        <f aca="true">RAND()</f>
        <v>0.565950754298261</v>
      </c>
      <c r="R1368" s="0" t="n">
        <f aca="false">IF($I1368&lt;&gt;$O1368,0,IF(P1368&lt;Matchup!$B$39,7,IF(P1368&lt;Matchup!$B$39+Matchup!$B$40,3,0)))</f>
        <v>0</v>
      </c>
      <c r="S1368" s="0" t="n">
        <f aca="false">IF($I1368&lt;&gt;$O1368,0,IF(Q1368&lt;Matchup!$C$39,7,IF(Q1368&lt;Matchup!$C$39+Matchup!$C$40,3,0)))</f>
        <v>0</v>
      </c>
      <c r="T1368" s="0" t="n">
        <f aca="false">I1368+R1368</f>
        <v>52</v>
      </c>
      <c r="U1368" s="0" t="n">
        <f aca="false">O1368+S1368</f>
        <v>32</v>
      </c>
      <c r="V1368" s="0" t="n">
        <f aca="false">T1368-U1368</f>
        <v>20</v>
      </c>
      <c r="W1368" s="0" t="n">
        <f aca="false">T1368+U1368</f>
        <v>84</v>
      </c>
    </row>
    <row r="1369" customFormat="false" ht="15" hidden="false" customHeight="false" outlineLevel="0" collapsed="false">
      <c r="A1369" s="0" t="n">
        <v>1366</v>
      </c>
      <c r="B1369" s="0" t="n">
        <f aca="true">NORMINV(RAND(),1,Coefficients!$B$22)</f>
        <v>0.858384151726293</v>
      </c>
      <c r="C1369" s="0" t="n">
        <f aca="true">MEDIAN(8,16,ROUND(NORMINV(RAND(),Coefficients!$B$20,Coefficients!$B$21),0))</f>
        <v>11</v>
      </c>
      <c r="D1369" s="0" t="n">
        <f aca="true">CRITBINOM($C1369,MIN(0.75,Matchup!$B$39*$B1369),RAND())</f>
        <v>4</v>
      </c>
      <c r="E1369" s="0" t="n">
        <f aca="true">CRITBINOM(D1369,Coefficients!$B$30,RAND())</f>
        <v>0</v>
      </c>
      <c r="F1369" s="0" t="n">
        <f aca="true">CRITBINOM(E1369,Coefficients!$B$31,RAND())</f>
        <v>0</v>
      </c>
      <c r="G1369" s="0" t="n">
        <f aca="true">CRITBINOM(MAX(0,D1369-E1369),1-Coefficients!$B$32,RAND())</f>
        <v>0</v>
      </c>
      <c r="H1369" s="0" t="n">
        <f aca="true">CRITBINOM(MAX(0,$C1369-D1369),MIN(0.6,Matchup!$B$40*SQRT($B1369)/(1-MIN(0.75,Matchup!$B$39*$B1369))),RAND())</f>
        <v>0</v>
      </c>
      <c r="I1369" s="0" t="n">
        <f aca="false">6*D1369+(D1369-E1369-G1369)+2*F1369+3*H1369</f>
        <v>28</v>
      </c>
      <c r="J1369" s="0" t="n">
        <f aca="true">CRITBINOM($C1369,MIN(0.75,Matchup!$C$39*$B1369),RAND())</f>
        <v>3</v>
      </c>
      <c r="K1369" s="0" t="n">
        <f aca="true">CRITBINOM(J1369,Coefficients!$B$30,RAND())</f>
        <v>0</v>
      </c>
      <c r="L1369" s="0" t="n">
        <f aca="true">CRITBINOM(K1369,Coefficients!$B$31,RAND())</f>
        <v>0</v>
      </c>
      <c r="M1369" s="0" t="n">
        <f aca="true">CRITBINOM(MAX(0,J1369-K1369),1-Coefficients!$B$32,RAND())</f>
        <v>0</v>
      </c>
      <c r="N1369" s="0" t="n">
        <f aca="true">CRITBINOM(MAX(0,$C1369-J1369),MIN(0.6,Matchup!$C$40*SQRT($B1369)/(1-MIN(0.75,Matchup!$C$39*$B1369))),RAND())</f>
        <v>1</v>
      </c>
      <c r="O1369" s="0" t="n">
        <f aca="false">6*J1369+(J1369-K1369-M1369)+2*L1369+3*N1369</f>
        <v>24</v>
      </c>
      <c r="P1369" s="0" t="n">
        <f aca="true">RAND()</f>
        <v>0.475045514965165</v>
      </c>
      <c r="Q1369" s="0" t="n">
        <f aca="true">RAND()</f>
        <v>0.472911572494218</v>
      </c>
      <c r="R1369" s="0" t="n">
        <f aca="false">IF($I1369&lt;&gt;$O1369,0,IF(P1369&lt;Matchup!$B$39,7,IF(P1369&lt;Matchup!$B$39+Matchup!$B$40,3,0)))</f>
        <v>0</v>
      </c>
      <c r="S1369" s="0" t="n">
        <f aca="false">IF($I1369&lt;&gt;$O1369,0,IF(Q1369&lt;Matchup!$C$39,7,IF(Q1369&lt;Matchup!$C$39+Matchup!$C$40,3,0)))</f>
        <v>0</v>
      </c>
      <c r="T1369" s="0" t="n">
        <f aca="false">I1369+R1369</f>
        <v>28</v>
      </c>
      <c r="U1369" s="0" t="n">
        <f aca="false">O1369+S1369</f>
        <v>24</v>
      </c>
      <c r="V1369" s="0" t="n">
        <f aca="false">T1369-U1369</f>
        <v>4</v>
      </c>
      <c r="W1369" s="0" t="n">
        <f aca="false">T1369+U1369</f>
        <v>52</v>
      </c>
    </row>
    <row r="1370" customFormat="false" ht="15" hidden="false" customHeight="false" outlineLevel="0" collapsed="false">
      <c r="A1370" s="0" t="n">
        <v>1367</v>
      </c>
      <c r="B1370" s="0" t="n">
        <f aca="true">NORMINV(RAND(),1,Coefficients!$B$22)</f>
        <v>1.06862333832597</v>
      </c>
      <c r="C1370" s="0" t="n">
        <f aca="true">MEDIAN(8,16,ROUND(NORMINV(RAND(),Coefficients!$B$20,Coefficients!$B$21),0))</f>
        <v>10</v>
      </c>
      <c r="D1370" s="0" t="n">
        <f aca="true">CRITBINOM($C1370,MIN(0.75,Matchup!$B$39*$B1370),RAND())</f>
        <v>1</v>
      </c>
      <c r="E1370" s="0" t="n">
        <f aca="true">CRITBINOM(D1370,Coefficients!$B$30,RAND())</f>
        <v>0</v>
      </c>
      <c r="F1370" s="0" t="n">
        <f aca="true">CRITBINOM(E1370,Coefficients!$B$31,RAND())</f>
        <v>0</v>
      </c>
      <c r="G1370" s="0" t="n">
        <f aca="true">CRITBINOM(MAX(0,D1370-E1370),1-Coefficients!$B$32,RAND())</f>
        <v>0</v>
      </c>
      <c r="H1370" s="0" t="n">
        <f aca="true">CRITBINOM(MAX(0,$C1370-D1370),MIN(0.6,Matchup!$B$40*SQRT($B1370)/(1-MIN(0.75,Matchup!$B$39*$B1370))),RAND())</f>
        <v>0</v>
      </c>
      <c r="I1370" s="0" t="n">
        <f aca="false">6*D1370+(D1370-E1370-G1370)+2*F1370+3*H1370</f>
        <v>7</v>
      </c>
      <c r="J1370" s="0" t="n">
        <f aca="true">CRITBINOM($C1370,MIN(0.75,Matchup!$C$39*$B1370),RAND())</f>
        <v>2</v>
      </c>
      <c r="K1370" s="0" t="n">
        <f aca="true">CRITBINOM(J1370,Coefficients!$B$30,RAND())</f>
        <v>0</v>
      </c>
      <c r="L1370" s="0" t="n">
        <f aca="true">CRITBINOM(K1370,Coefficients!$B$31,RAND())</f>
        <v>0</v>
      </c>
      <c r="M1370" s="0" t="n">
        <f aca="true">CRITBINOM(MAX(0,J1370-K1370),1-Coefficients!$B$32,RAND())</f>
        <v>0</v>
      </c>
      <c r="N1370" s="0" t="n">
        <f aca="true">CRITBINOM(MAX(0,$C1370-J1370),MIN(0.6,Matchup!$C$40*SQRT($B1370)/(1-MIN(0.75,Matchup!$C$39*$B1370))),RAND())</f>
        <v>2</v>
      </c>
      <c r="O1370" s="0" t="n">
        <f aca="false">6*J1370+(J1370-K1370-M1370)+2*L1370+3*N1370</f>
        <v>20</v>
      </c>
      <c r="P1370" s="0" t="n">
        <f aca="true">RAND()</f>
        <v>0.512562422573961</v>
      </c>
      <c r="Q1370" s="0" t="n">
        <f aca="true">RAND()</f>
        <v>0.925192012077209</v>
      </c>
      <c r="R1370" s="0" t="n">
        <f aca="false">IF($I1370&lt;&gt;$O1370,0,IF(P1370&lt;Matchup!$B$39,7,IF(P1370&lt;Matchup!$B$39+Matchup!$B$40,3,0)))</f>
        <v>0</v>
      </c>
      <c r="S1370" s="0" t="n">
        <f aca="false">IF($I1370&lt;&gt;$O1370,0,IF(Q1370&lt;Matchup!$C$39,7,IF(Q1370&lt;Matchup!$C$39+Matchup!$C$40,3,0)))</f>
        <v>0</v>
      </c>
      <c r="T1370" s="0" t="n">
        <f aca="false">I1370+R1370</f>
        <v>7</v>
      </c>
      <c r="U1370" s="0" t="n">
        <f aca="false">O1370+S1370</f>
        <v>20</v>
      </c>
      <c r="V1370" s="0" t="n">
        <f aca="false">T1370-U1370</f>
        <v>-13</v>
      </c>
      <c r="W1370" s="0" t="n">
        <f aca="false">T1370+U1370</f>
        <v>27</v>
      </c>
    </row>
    <row r="1371" customFormat="false" ht="15" hidden="false" customHeight="false" outlineLevel="0" collapsed="false">
      <c r="A1371" s="0" t="n">
        <v>1368</v>
      </c>
      <c r="B1371" s="0" t="n">
        <f aca="true">NORMINV(RAND(),1,Coefficients!$B$22)</f>
        <v>1.08590773413145</v>
      </c>
      <c r="C1371" s="0" t="n">
        <f aca="true">MEDIAN(8,16,ROUND(NORMINV(RAND(),Coefficients!$B$20,Coefficients!$B$21),0))</f>
        <v>14</v>
      </c>
      <c r="D1371" s="0" t="n">
        <f aca="true">CRITBINOM($C1371,MIN(0.75,Matchup!$B$39*$B1371),RAND())</f>
        <v>1</v>
      </c>
      <c r="E1371" s="0" t="n">
        <f aca="true">CRITBINOM(D1371,Coefficients!$B$30,RAND())</f>
        <v>0</v>
      </c>
      <c r="F1371" s="0" t="n">
        <f aca="true">CRITBINOM(E1371,Coefficients!$B$31,RAND())</f>
        <v>0</v>
      </c>
      <c r="G1371" s="0" t="n">
        <f aca="true">CRITBINOM(MAX(0,D1371-E1371),1-Coefficients!$B$32,RAND())</f>
        <v>0</v>
      </c>
      <c r="H1371" s="0" t="n">
        <f aca="true">CRITBINOM(MAX(0,$C1371-D1371),MIN(0.6,Matchup!$B$40*SQRT($B1371)/(1-MIN(0.75,Matchup!$B$39*$B1371))),RAND())</f>
        <v>0</v>
      </c>
      <c r="I1371" s="0" t="n">
        <f aca="false">6*D1371+(D1371-E1371-G1371)+2*F1371+3*H1371</f>
        <v>7</v>
      </c>
      <c r="J1371" s="0" t="n">
        <f aca="true">CRITBINOM($C1371,MIN(0.75,Matchup!$C$39*$B1371),RAND())</f>
        <v>2</v>
      </c>
      <c r="K1371" s="0" t="n">
        <f aca="true">CRITBINOM(J1371,Coefficients!$B$30,RAND())</f>
        <v>1</v>
      </c>
      <c r="L1371" s="0" t="n">
        <f aca="true">CRITBINOM(K1371,Coefficients!$B$31,RAND())</f>
        <v>1</v>
      </c>
      <c r="M1371" s="0" t="n">
        <f aca="true">CRITBINOM(MAX(0,J1371-K1371),1-Coefficients!$B$32,RAND())</f>
        <v>0</v>
      </c>
      <c r="N1371" s="0" t="n">
        <f aca="true">CRITBINOM(MAX(0,$C1371-J1371),MIN(0.6,Matchup!$C$40*SQRT($B1371)/(1-MIN(0.75,Matchup!$C$39*$B1371))),RAND())</f>
        <v>3</v>
      </c>
      <c r="O1371" s="0" t="n">
        <f aca="false">6*J1371+(J1371-K1371-M1371)+2*L1371+3*N1371</f>
        <v>24</v>
      </c>
      <c r="P1371" s="0" t="n">
        <f aca="true">RAND()</f>
        <v>0.00302317786916306</v>
      </c>
      <c r="Q1371" s="0" t="n">
        <f aca="true">RAND()</f>
        <v>0.341671910314958</v>
      </c>
      <c r="R1371" s="0" t="n">
        <f aca="false">IF($I1371&lt;&gt;$O1371,0,IF(P1371&lt;Matchup!$B$39,7,IF(P1371&lt;Matchup!$B$39+Matchup!$B$40,3,0)))</f>
        <v>0</v>
      </c>
      <c r="S1371" s="0" t="n">
        <f aca="false">IF($I1371&lt;&gt;$O1371,0,IF(Q1371&lt;Matchup!$C$39,7,IF(Q1371&lt;Matchup!$C$39+Matchup!$C$40,3,0)))</f>
        <v>0</v>
      </c>
      <c r="T1371" s="0" t="n">
        <f aca="false">I1371+R1371</f>
        <v>7</v>
      </c>
      <c r="U1371" s="0" t="n">
        <f aca="false">O1371+S1371</f>
        <v>24</v>
      </c>
      <c r="V1371" s="0" t="n">
        <f aca="false">T1371-U1371</f>
        <v>-17</v>
      </c>
      <c r="W1371" s="0" t="n">
        <f aca="false">T1371+U1371</f>
        <v>31</v>
      </c>
    </row>
    <row r="1372" customFormat="false" ht="15" hidden="false" customHeight="false" outlineLevel="0" collapsed="false">
      <c r="A1372" s="0" t="n">
        <v>1369</v>
      </c>
      <c r="B1372" s="0" t="n">
        <f aca="true">NORMINV(RAND(),1,Coefficients!$B$22)</f>
        <v>1.03329521134079</v>
      </c>
      <c r="C1372" s="0" t="n">
        <f aca="true">MEDIAN(8,16,ROUND(NORMINV(RAND(),Coefficients!$B$20,Coefficients!$B$21),0))</f>
        <v>10</v>
      </c>
      <c r="D1372" s="0" t="n">
        <f aca="true">CRITBINOM($C1372,MIN(0.75,Matchup!$B$39*$B1372),RAND())</f>
        <v>3</v>
      </c>
      <c r="E1372" s="0" t="n">
        <f aca="true">CRITBINOM(D1372,Coefficients!$B$30,RAND())</f>
        <v>0</v>
      </c>
      <c r="F1372" s="0" t="n">
        <f aca="true">CRITBINOM(E1372,Coefficients!$B$31,RAND())</f>
        <v>0</v>
      </c>
      <c r="G1372" s="0" t="n">
        <f aca="true">CRITBINOM(MAX(0,D1372-E1372),1-Coefficients!$B$32,RAND())</f>
        <v>0</v>
      </c>
      <c r="H1372" s="0" t="n">
        <f aca="true">CRITBINOM(MAX(0,$C1372-D1372),MIN(0.6,Matchup!$B$40*SQRT($B1372)/(1-MIN(0.75,Matchup!$B$39*$B1372))),RAND())</f>
        <v>1</v>
      </c>
      <c r="I1372" s="0" t="n">
        <f aca="false">6*D1372+(D1372-E1372-G1372)+2*F1372+3*H1372</f>
        <v>24</v>
      </c>
      <c r="J1372" s="0" t="n">
        <f aca="true">CRITBINOM($C1372,MIN(0.75,Matchup!$C$39*$B1372),RAND())</f>
        <v>3</v>
      </c>
      <c r="K1372" s="0" t="n">
        <f aca="true">CRITBINOM(J1372,Coefficients!$B$30,RAND())</f>
        <v>2</v>
      </c>
      <c r="L1372" s="0" t="n">
        <f aca="true">CRITBINOM(K1372,Coefficients!$B$31,RAND())</f>
        <v>1</v>
      </c>
      <c r="M1372" s="0" t="n">
        <f aca="true">CRITBINOM(MAX(0,J1372-K1372),1-Coefficients!$B$32,RAND())</f>
        <v>0</v>
      </c>
      <c r="N1372" s="0" t="n">
        <f aca="true">CRITBINOM(MAX(0,$C1372-J1372),MIN(0.6,Matchup!$C$40*SQRT($B1372)/(1-MIN(0.75,Matchup!$C$39*$B1372))),RAND())</f>
        <v>2</v>
      </c>
      <c r="O1372" s="0" t="n">
        <f aca="false">6*J1372+(J1372-K1372-M1372)+2*L1372+3*N1372</f>
        <v>27</v>
      </c>
      <c r="P1372" s="0" t="n">
        <f aca="true">RAND()</f>
        <v>0.191772888886386</v>
      </c>
      <c r="Q1372" s="0" t="n">
        <f aca="true">RAND()</f>
        <v>0.564953873723384</v>
      </c>
      <c r="R1372" s="0" t="n">
        <f aca="false">IF($I1372&lt;&gt;$O1372,0,IF(P1372&lt;Matchup!$B$39,7,IF(P1372&lt;Matchup!$B$39+Matchup!$B$40,3,0)))</f>
        <v>0</v>
      </c>
      <c r="S1372" s="0" t="n">
        <f aca="false">IF($I1372&lt;&gt;$O1372,0,IF(Q1372&lt;Matchup!$C$39,7,IF(Q1372&lt;Matchup!$C$39+Matchup!$C$40,3,0)))</f>
        <v>0</v>
      </c>
      <c r="T1372" s="0" t="n">
        <f aca="false">I1372+R1372</f>
        <v>24</v>
      </c>
      <c r="U1372" s="0" t="n">
        <f aca="false">O1372+S1372</f>
        <v>27</v>
      </c>
      <c r="V1372" s="0" t="n">
        <f aca="false">T1372-U1372</f>
        <v>-3</v>
      </c>
      <c r="W1372" s="0" t="n">
        <f aca="false">T1372+U1372</f>
        <v>51</v>
      </c>
    </row>
    <row r="1373" customFormat="false" ht="15" hidden="false" customHeight="false" outlineLevel="0" collapsed="false">
      <c r="A1373" s="0" t="n">
        <v>1370</v>
      </c>
      <c r="B1373" s="0" t="n">
        <f aca="true">NORMINV(RAND(),1,Coefficients!$B$22)</f>
        <v>0.978435479102462</v>
      </c>
      <c r="C1373" s="0" t="n">
        <f aca="true">MEDIAN(8,16,ROUND(NORMINV(RAND(),Coefficients!$B$20,Coefficients!$B$21),0))</f>
        <v>10</v>
      </c>
      <c r="D1373" s="0" t="n">
        <f aca="true">CRITBINOM($C1373,MIN(0.75,Matchup!$B$39*$B1373),RAND())</f>
        <v>1</v>
      </c>
      <c r="E1373" s="0" t="n">
        <f aca="true">CRITBINOM(D1373,Coefficients!$B$30,RAND())</f>
        <v>0</v>
      </c>
      <c r="F1373" s="0" t="n">
        <f aca="true">CRITBINOM(E1373,Coefficients!$B$31,RAND())</f>
        <v>0</v>
      </c>
      <c r="G1373" s="0" t="n">
        <f aca="true">CRITBINOM(MAX(0,D1373-E1373),1-Coefficients!$B$32,RAND())</f>
        <v>0</v>
      </c>
      <c r="H1373" s="0" t="n">
        <f aca="true">CRITBINOM(MAX(0,$C1373-D1373),MIN(0.6,Matchup!$B$40*SQRT($B1373)/(1-MIN(0.75,Matchup!$B$39*$B1373))),RAND())</f>
        <v>1</v>
      </c>
      <c r="I1373" s="0" t="n">
        <f aca="false">6*D1373+(D1373-E1373-G1373)+2*F1373+3*H1373</f>
        <v>10</v>
      </c>
      <c r="J1373" s="0" t="n">
        <f aca="true">CRITBINOM($C1373,MIN(0.75,Matchup!$C$39*$B1373),RAND())</f>
        <v>2</v>
      </c>
      <c r="K1373" s="0" t="n">
        <f aca="true">CRITBINOM(J1373,Coefficients!$B$30,RAND())</f>
        <v>0</v>
      </c>
      <c r="L1373" s="0" t="n">
        <f aca="true">CRITBINOM(K1373,Coefficients!$B$31,RAND())</f>
        <v>0</v>
      </c>
      <c r="M1373" s="0" t="n">
        <f aca="true">CRITBINOM(MAX(0,J1373-K1373),1-Coefficients!$B$32,RAND())</f>
        <v>0</v>
      </c>
      <c r="N1373" s="0" t="n">
        <f aca="true">CRITBINOM(MAX(0,$C1373-J1373),MIN(0.6,Matchup!$C$40*SQRT($B1373)/(1-MIN(0.75,Matchup!$C$39*$B1373))),RAND())</f>
        <v>2</v>
      </c>
      <c r="O1373" s="0" t="n">
        <f aca="false">6*J1373+(J1373-K1373-M1373)+2*L1373+3*N1373</f>
        <v>20</v>
      </c>
      <c r="P1373" s="0" t="n">
        <f aca="true">RAND()</f>
        <v>0.676183339465962</v>
      </c>
      <c r="Q1373" s="0" t="n">
        <f aca="true">RAND()</f>
        <v>0.135001122112229</v>
      </c>
      <c r="R1373" s="0" t="n">
        <f aca="false">IF($I1373&lt;&gt;$O1373,0,IF(P1373&lt;Matchup!$B$39,7,IF(P1373&lt;Matchup!$B$39+Matchup!$B$40,3,0)))</f>
        <v>0</v>
      </c>
      <c r="S1373" s="0" t="n">
        <f aca="false">IF($I1373&lt;&gt;$O1373,0,IF(Q1373&lt;Matchup!$C$39,7,IF(Q1373&lt;Matchup!$C$39+Matchup!$C$40,3,0)))</f>
        <v>0</v>
      </c>
      <c r="T1373" s="0" t="n">
        <f aca="false">I1373+R1373</f>
        <v>10</v>
      </c>
      <c r="U1373" s="0" t="n">
        <f aca="false">O1373+S1373</f>
        <v>20</v>
      </c>
      <c r="V1373" s="0" t="n">
        <f aca="false">T1373-U1373</f>
        <v>-10</v>
      </c>
      <c r="W1373" s="0" t="n">
        <f aca="false">T1373+U1373</f>
        <v>30</v>
      </c>
    </row>
    <row r="1374" customFormat="false" ht="15" hidden="false" customHeight="false" outlineLevel="0" collapsed="false">
      <c r="A1374" s="0" t="n">
        <v>1371</v>
      </c>
      <c r="B1374" s="0" t="n">
        <f aca="true">NORMINV(RAND(),1,Coefficients!$B$22)</f>
        <v>0.940737376983388</v>
      </c>
      <c r="C1374" s="0" t="n">
        <f aca="true">MEDIAN(8,16,ROUND(NORMINV(RAND(),Coefficients!$B$20,Coefficients!$B$21),0))</f>
        <v>12</v>
      </c>
      <c r="D1374" s="0" t="n">
        <f aca="true">CRITBINOM($C1374,MIN(0.75,Matchup!$B$39*$B1374),RAND())</f>
        <v>2</v>
      </c>
      <c r="E1374" s="0" t="n">
        <f aca="true">CRITBINOM(D1374,Coefficients!$B$30,RAND())</f>
        <v>0</v>
      </c>
      <c r="F1374" s="0" t="n">
        <f aca="true">CRITBINOM(E1374,Coefficients!$B$31,RAND())</f>
        <v>0</v>
      </c>
      <c r="G1374" s="0" t="n">
        <f aca="true">CRITBINOM(MAX(0,D1374-E1374),1-Coefficients!$B$32,RAND())</f>
        <v>0</v>
      </c>
      <c r="H1374" s="0" t="n">
        <f aca="true">CRITBINOM(MAX(0,$C1374-D1374),MIN(0.6,Matchup!$B$40*SQRT($B1374)/(1-MIN(0.75,Matchup!$B$39*$B1374))),RAND())</f>
        <v>0</v>
      </c>
      <c r="I1374" s="0" t="n">
        <f aca="false">6*D1374+(D1374-E1374-G1374)+2*F1374+3*H1374</f>
        <v>14</v>
      </c>
      <c r="J1374" s="0" t="n">
        <f aca="true">CRITBINOM($C1374,MIN(0.75,Matchup!$C$39*$B1374),RAND())</f>
        <v>1</v>
      </c>
      <c r="K1374" s="0" t="n">
        <f aca="true">CRITBINOM(J1374,Coefficients!$B$30,RAND())</f>
        <v>0</v>
      </c>
      <c r="L1374" s="0" t="n">
        <f aca="true">CRITBINOM(K1374,Coefficients!$B$31,RAND())</f>
        <v>0</v>
      </c>
      <c r="M1374" s="0" t="n">
        <f aca="true">CRITBINOM(MAX(0,J1374-K1374),1-Coefficients!$B$32,RAND())</f>
        <v>0</v>
      </c>
      <c r="N1374" s="0" t="n">
        <f aca="true">CRITBINOM(MAX(0,$C1374-J1374),MIN(0.6,Matchup!$C$40*SQRT($B1374)/(1-MIN(0.75,Matchup!$C$39*$B1374))),RAND())</f>
        <v>3</v>
      </c>
      <c r="O1374" s="0" t="n">
        <f aca="false">6*J1374+(J1374-K1374-M1374)+2*L1374+3*N1374</f>
        <v>16</v>
      </c>
      <c r="P1374" s="0" t="n">
        <f aca="true">RAND()</f>
        <v>0.438766075023816</v>
      </c>
      <c r="Q1374" s="0" t="n">
        <f aca="true">RAND()</f>
        <v>0.295885971305713</v>
      </c>
      <c r="R1374" s="0" t="n">
        <f aca="false">IF($I1374&lt;&gt;$O1374,0,IF(P1374&lt;Matchup!$B$39,7,IF(P1374&lt;Matchup!$B$39+Matchup!$B$40,3,0)))</f>
        <v>0</v>
      </c>
      <c r="S1374" s="0" t="n">
        <f aca="false">IF($I1374&lt;&gt;$O1374,0,IF(Q1374&lt;Matchup!$C$39,7,IF(Q1374&lt;Matchup!$C$39+Matchup!$C$40,3,0)))</f>
        <v>0</v>
      </c>
      <c r="T1374" s="0" t="n">
        <f aca="false">I1374+R1374</f>
        <v>14</v>
      </c>
      <c r="U1374" s="0" t="n">
        <f aca="false">O1374+S1374</f>
        <v>16</v>
      </c>
      <c r="V1374" s="0" t="n">
        <f aca="false">T1374-U1374</f>
        <v>-2</v>
      </c>
      <c r="W1374" s="0" t="n">
        <f aca="false">T1374+U1374</f>
        <v>30</v>
      </c>
    </row>
    <row r="1375" customFormat="false" ht="15" hidden="false" customHeight="false" outlineLevel="0" collapsed="false">
      <c r="A1375" s="0" t="n">
        <v>1372</v>
      </c>
      <c r="B1375" s="0" t="n">
        <f aca="true">NORMINV(RAND(),1,Coefficients!$B$22)</f>
        <v>1.02028057380717</v>
      </c>
      <c r="C1375" s="0" t="n">
        <f aca="true">MEDIAN(8,16,ROUND(NORMINV(RAND(),Coefficients!$B$20,Coefficients!$B$21),0))</f>
        <v>10</v>
      </c>
      <c r="D1375" s="0" t="n">
        <f aca="true">CRITBINOM($C1375,MIN(0.75,Matchup!$B$39*$B1375),RAND())</f>
        <v>2</v>
      </c>
      <c r="E1375" s="0" t="n">
        <f aca="true">CRITBINOM(D1375,Coefficients!$B$30,RAND())</f>
        <v>0</v>
      </c>
      <c r="F1375" s="0" t="n">
        <f aca="true">CRITBINOM(E1375,Coefficients!$B$31,RAND())</f>
        <v>0</v>
      </c>
      <c r="G1375" s="0" t="n">
        <f aca="true">CRITBINOM(MAX(0,D1375-E1375),1-Coefficients!$B$32,RAND())</f>
        <v>0</v>
      </c>
      <c r="H1375" s="0" t="n">
        <f aca="true">CRITBINOM(MAX(0,$C1375-D1375),MIN(0.6,Matchup!$B$40*SQRT($B1375)/(1-MIN(0.75,Matchup!$B$39*$B1375))),RAND())</f>
        <v>0</v>
      </c>
      <c r="I1375" s="0" t="n">
        <f aca="false">6*D1375+(D1375-E1375-G1375)+2*F1375+3*H1375</f>
        <v>14</v>
      </c>
      <c r="J1375" s="0" t="n">
        <f aca="true">CRITBINOM($C1375,MIN(0.75,Matchup!$C$39*$B1375),RAND())</f>
        <v>1</v>
      </c>
      <c r="K1375" s="0" t="n">
        <f aca="true">CRITBINOM(J1375,Coefficients!$B$30,RAND())</f>
        <v>0</v>
      </c>
      <c r="L1375" s="0" t="n">
        <f aca="true">CRITBINOM(K1375,Coefficients!$B$31,RAND())</f>
        <v>0</v>
      </c>
      <c r="M1375" s="0" t="n">
        <f aca="true">CRITBINOM(MAX(0,J1375-K1375),1-Coefficients!$B$32,RAND())</f>
        <v>0</v>
      </c>
      <c r="N1375" s="0" t="n">
        <f aca="true">CRITBINOM(MAX(0,$C1375-J1375),MIN(0.6,Matchup!$C$40*SQRT($B1375)/(1-MIN(0.75,Matchup!$C$39*$B1375))),RAND())</f>
        <v>2</v>
      </c>
      <c r="O1375" s="0" t="n">
        <f aca="false">6*J1375+(J1375-K1375-M1375)+2*L1375+3*N1375</f>
        <v>13</v>
      </c>
      <c r="P1375" s="0" t="n">
        <f aca="true">RAND()</f>
        <v>0.0758403632405685</v>
      </c>
      <c r="Q1375" s="0" t="n">
        <f aca="true">RAND()</f>
        <v>0.904528504220209</v>
      </c>
      <c r="R1375" s="0" t="n">
        <f aca="false">IF($I1375&lt;&gt;$O1375,0,IF(P1375&lt;Matchup!$B$39,7,IF(P1375&lt;Matchup!$B$39+Matchup!$B$40,3,0)))</f>
        <v>0</v>
      </c>
      <c r="S1375" s="0" t="n">
        <f aca="false">IF($I1375&lt;&gt;$O1375,0,IF(Q1375&lt;Matchup!$C$39,7,IF(Q1375&lt;Matchup!$C$39+Matchup!$C$40,3,0)))</f>
        <v>0</v>
      </c>
      <c r="T1375" s="0" t="n">
        <f aca="false">I1375+R1375</f>
        <v>14</v>
      </c>
      <c r="U1375" s="0" t="n">
        <f aca="false">O1375+S1375</f>
        <v>13</v>
      </c>
      <c r="V1375" s="0" t="n">
        <f aca="false">T1375-U1375</f>
        <v>1</v>
      </c>
      <c r="W1375" s="0" t="n">
        <f aca="false">T1375+U1375</f>
        <v>27</v>
      </c>
    </row>
    <row r="1376" customFormat="false" ht="15" hidden="false" customHeight="false" outlineLevel="0" collapsed="false">
      <c r="A1376" s="0" t="n">
        <v>1373</v>
      </c>
      <c r="B1376" s="0" t="n">
        <f aca="true">NORMINV(RAND(),1,Coefficients!$B$22)</f>
        <v>0.905444940342321</v>
      </c>
      <c r="C1376" s="0" t="n">
        <f aca="true">MEDIAN(8,16,ROUND(NORMINV(RAND(),Coefficients!$B$20,Coefficients!$B$21),0))</f>
        <v>13</v>
      </c>
      <c r="D1376" s="0" t="n">
        <f aca="true">CRITBINOM($C1376,MIN(0.75,Matchup!$B$39*$B1376),RAND())</f>
        <v>4</v>
      </c>
      <c r="E1376" s="0" t="n">
        <f aca="true">CRITBINOM(D1376,Coefficients!$B$30,RAND())</f>
        <v>0</v>
      </c>
      <c r="F1376" s="0" t="n">
        <f aca="true">CRITBINOM(E1376,Coefficients!$B$31,RAND())</f>
        <v>0</v>
      </c>
      <c r="G1376" s="0" t="n">
        <f aca="true">CRITBINOM(MAX(0,D1376-E1376),1-Coefficients!$B$32,RAND())</f>
        <v>0</v>
      </c>
      <c r="H1376" s="0" t="n">
        <f aca="true">CRITBINOM(MAX(0,$C1376-D1376),MIN(0.6,Matchup!$B$40*SQRT($B1376)/(1-MIN(0.75,Matchup!$B$39*$B1376))),RAND())</f>
        <v>1</v>
      </c>
      <c r="I1376" s="0" t="n">
        <f aca="false">6*D1376+(D1376-E1376-G1376)+2*F1376+3*H1376</f>
        <v>31</v>
      </c>
      <c r="J1376" s="0" t="n">
        <f aca="true">CRITBINOM($C1376,MIN(0.75,Matchup!$C$39*$B1376),RAND())</f>
        <v>2</v>
      </c>
      <c r="K1376" s="0" t="n">
        <f aca="true">CRITBINOM(J1376,Coefficients!$B$30,RAND())</f>
        <v>0</v>
      </c>
      <c r="L1376" s="0" t="n">
        <f aca="true">CRITBINOM(K1376,Coefficients!$B$31,RAND())</f>
        <v>0</v>
      </c>
      <c r="M1376" s="0" t="n">
        <f aca="true">CRITBINOM(MAX(0,J1376-K1376),1-Coefficients!$B$32,RAND())</f>
        <v>0</v>
      </c>
      <c r="N1376" s="0" t="n">
        <f aca="true">CRITBINOM(MAX(0,$C1376-J1376),MIN(0.6,Matchup!$C$40*SQRT($B1376)/(1-MIN(0.75,Matchup!$C$39*$B1376))),RAND())</f>
        <v>0</v>
      </c>
      <c r="O1376" s="0" t="n">
        <f aca="false">6*J1376+(J1376-K1376-M1376)+2*L1376+3*N1376</f>
        <v>14</v>
      </c>
      <c r="P1376" s="0" t="n">
        <f aca="true">RAND()</f>
        <v>0.885089350247861</v>
      </c>
      <c r="Q1376" s="0" t="n">
        <f aca="true">RAND()</f>
        <v>0.320621695822895</v>
      </c>
      <c r="R1376" s="0" t="n">
        <f aca="false">IF($I1376&lt;&gt;$O1376,0,IF(P1376&lt;Matchup!$B$39,7,IF(P1376&lt;Matchup!$B$39+Matchup!$B$40,3,0)))</f>
        <v>0</v>
      </c>
      <c r="S1376" s="0" t="n">
        <f aca="false">IF($I1376&lt;&gt;$O1376,0,IF(Q1376&lt;Matchup!$C$39,7,IF(Q1376&lt;Matchup!$C$39+Matchup!$C$40,3,0)))</f>
        <v>0</v>
      </c>
      <c r="T1376" s="0" t="n">
        <f aca="false">I1376+R1376</f>
        <v>31</v>
      </c>
      <c r="U1376" s="0" t="n">
        <f aca="false">O1376+S1376</f>
        <v>14</v>
      </c>
      <c r="V1376" s="0" t="n">
        <f aca="false">T1376-U1376</f>
        <v>17</v>
      </c>
      <c r="W1376" s="0" t="n">
        <f aca="false">T1376+U1376</f>
        <v>45</v>
      </c>
    </row>
    <row r="1377" customFormat="false" ht="15" hidden="false" customHeight="false" outlineLevel="0" collapsed="false">
      <c r="A1377" s="0" t="n">
        <v>1374</v>
      </c>
      <c r="B1377" s="0" t="n">
        <f aca="true">NORMINV(RAND(),1,Coefficients!$B$22)</f>
        <v>0.966248305931027</v>
      </c>
      <c r="C1377" s="0" t="n">
        <f aca="true">MEDIAN(8,16,ROUND(NORMINV(RAND(),Coefficients!$B$20,Coefficients!$B$21),0))</f>
        <v>11</v>
      </c>
      <c r="D1377" s="0" t="n">
        <f aca="true">CRITBINOM($C1377,MIN(0.75,Matchup!$B$39*$B1377),RAND())</f>
        <v>4</v>
      </c>
      <c r="E1377" s="0" t="n">
        <f aca="true">CRITBINOM(D1377,Coefficients!$B$30,RAND())</f>
        <v>0</v>
      </c>
      <c r="F1377" s="0" t="n">
        <f aca="true">CRITBINOM(E1377,Coefficients!$B$31,RAND())</f>
        <v>0</v>
      </c>
      <c r="G1377" s="0" t="n">
        <f aca="true">CRITBINOM(MAX(0,D1377-E1377),1-Coefficients!$B$32,RAND())</f>
        <v>0</v>
      </c>
      <c r="H1377" s="0" t="n">
        <f aca="true">CRITBINOM(MAX(0,$C1377-D1377),MIN(0.6,Matchup!$B$40*SQRT($B1377)/(1-MIN(0.75,Matchup!$B$39*$B1377))),RAND())</f>
        <v>2</v>
      </c>
      <c r="I1377" s="0" t="n">
        <f aca="false">6*D1377+(D1377-E1377-G1377)+2*F1377+3*H1377</f>
        <v>34</v>
      </c>
      <c r="J1377" s="0" t="n">
        <f aca="true">CRITBINOM($C1377,MIN(0.75,Matchup!$C$39*$B1377),RAND())</f>
        <v>2</v>
      </c>
      <c r="K1377" s="0" t="n">
        <f aca="true">CRITBINOM(J1377,Coefficients!$B$30,RAND())</f>
        <v>1</v>
      </c>
      <c r="L1377" s="0" t="n">
        <f aca="true">CRITBINOM(K1377,Coefficients!$B$31,RAND())</f>
        <v>0</v>
      </c>
      <c r="M1377" s="0" t="n">
        <f aca="true">CRITBINOM(MAX(0,J1377-K1377),1-Coefficients!$B$32,RAND())</f>
        <v>0</v>
      </c>
      <c r="N1377" s="0" t="n">
        <f aca="true">CRITBINOM(MAX(0,$C1377-J1377),MIN(0.6,Matchup!$C$40*SQRT($B1377)/(1-MIN(0.75,Matchup!$C$39*$B1377))),RAND())</f>
        <v>2</v>
      </c>
      <c r="O1377" s="0" t="n">
        <f aca="false">6*J1377+(J1377-K1377-M1377)+2*L1377+3*N1377</f>
        <v>19</v>
      </c>
      <c r="P1377" s="0" t="n">
        <f aca="true">RAND()</f>
        <v>0.00142369956472998</v>
      </c>
      <c r="Q1377" s="0" t="n">
        <f aca="true">RAND()</f>
        <v>0.65916785406897</v>
      </c>
      <c r="R1377" s="0" t="n">
        <f aca="false">IF($I1377&lt;&gt;$O1377,0,IF(P1377&lt;Matchup!$B$39,7,IF(P1377&lt;Matchup!$B$39+Matchup!$B$40,3,0)))</f>
        <v>0</v>
      </c>
      <c r="S1377" s="0" t="n">
        <f aca="false">IF($I1377&lt;&gt;$O1377,0,IF(Q1377&lt;Matchup!$C$39,7,IF(Q1377&lt;Matchup!$C$39+Matchup!$C$40,3,0)))</f>
        <v>0</v>
      </c>
      <c r="T1377" s="0" t="n">
        <f aca="false">I1377+R1377</f>
        <v>34</v>
      </c>
      <c r="U1377" s="0" t="n">
        <f aca="false">O1377+S1377</f>
        <v>19</v>
      </c>
      <c r="V1377" s="0" t="n">
        <f aca="false">T1377-U1377</f>
        <v>15</v>
      </c>
      <c r="W1377" s="0" t="n">
        <f aca="false">T1377+U1377</f>
        <v>53</v>
      </c>
    </row>
    <row r="1378" customFormat="false" ht="15" hidden="false" customHeight="false" outlineLevel="0" collapsed="false">
      <c r="A1378" s="0" t="n">
        <v>1375</v>
      </c>
      <c r="B1378" s="0" t="n">
        <f aca="true">NORMINV(RAND(),1,Coefficients!$B$22)</f>
        <v>0.974170361766702</v>
      </c>
      <c r="C1378" s="0" t="n">
        <f aca="true">MEDIAN(8,16,ROUND(NORMINV(RAND(),Coefficients!$B$20,Coefficients!$B$21),0))</f>
        <v>10</v>
      </c>
      <c r="D1378" s="0" t="n">
        <f aca="true">CRITBINOM($C1378,MIN(0.75,Matchup!$B$39*$B1378),RAND())</f>
        <v>4</v>
      </c>
      <c r="E1378" s="0" t="n">
        <f aca="true">CRITBINOM(D1378,Coefficients!$B$30,RAND())</f>
        <v>0</v>
      </c>
      <c r="F1378" s="0" t="n">
        <f aca="true">CRITBINOM(E1378,Coefficients!$B$31,RAND())</f>
        <v>0</v>
      </c>
      <c r="G1378" s="0" t="n">
        <f aca="true">CRITBINOM(MAX(0,D1378-E1378),1-Coefficients!$B$32,RAND())</f>
        <v>0</v>
      </c>
      <c r="H1378" s="0" t="n">
        <f aca="true">CRITBINOM(MAX(0,$C1378-D1378),MIN(0.6,Matchup!$B$40*SQRT($B1378)/(1-MIN(0.75,Matchup!$B$39*$B1378))),RAND())</f>
        <v>1</v>
      </c>
      <c r="I1378" s="0" t="n">
        <f aca="false">6*D1378+(D1378-E1378-G1378)+2*F1378+3*H1378</f>
        <v>31</v>
      </c>
      <c r="J1378" s="0" t="n">
        <f aca="true">CRITBINOM($C1378,MIN(0.75,Matchup!$C$39*$B1378),RAND())</f>
        <v>3</v>
      </c>
      <c r="K1378" s="0" t="n">
        <f aca="true">CRITBINOM(J1378,Coefficients!$B$30,RAND())</f>
        <v>0</v>
      </c>
      <c r="L1378" s="0" t="n">
        <f aca="true">CRITBINOM(K1378,Coefficients!$B$31,RAND())</f>
        <v>0</v>
      </c>
      <c r="M1378" s="0" t="n">
        <f aca="true">CRITBINOM(MAX(0,J1378-K1378),1-Coefficients!$B$32,RAND())</f>
        <v>0</v>
      </c>
      <c r="N1378" s="0" t="n">
        <f aca="true">CRITBINOM(MAX(0,$C1378-J1378),MIN(0.6,Matchup!$C$40*SQRT($B1378)/(1-MIN(0.75,Matchup!$C$39*$B1378))),RAND())</f>
        <v>1</v>
      </c>
      <c r="O1378" s="0" t="n">
        <f aca="false">6*J1378+(J1378-K1378-M1378)+2*L1378+3*N1378</f>
        <v>24</v>
      </c>
      <c r="P1378" s="0" t="n">
        <f aca="true">RAND()</f>
        <v>0.176385276533062</v>
      </c>
      <c r="Q1378" s="0" t="n">
        <f aca="true">RAND()</f>
        <v>0.750608453405724</v>
      </c>
      <c r="R1378" s="0" t="n">
        <f aca="false">IF($I1378&lt;&gt;$O1378,0,IF(P1378&lt;Matchup!$B$39,7,IF(P1378&lt;Matchup!$B$39+Matchup!$B$40,3,0)))</f>
        <v>0</v>
      </c>
      <c r="S1378" s="0" t="n">
        <f aca="false">IF($I1378&lt;&gt;$O1378,0,IF(Q1378&lt;Matchup!$C$39,7,IF(Q1378&lt;Matchup!$C$39+Matchup!$C$40,3,0)))</f>
        <v>0</v>
      </c>
      <c r="T1378" s="0" t="n">
        <f aca="false">I1378+R1378</f>
        <v>31</v>
      </c>
      <c r="U1378" s="0" t="n">
        <f aca="false">O1378+S1378</f>
        <v>24</v>
      </c>
      <c r="V1378" s="0" t="n">
        <f aca="false">T1378-U1378</f>
        <v>7</v>
      </c>
      <c r="W1378" s="0" t="n">
        <f aca="false">T1378+U1378</f>
        <v>55</v>
      </c>
    </row>
    <row r="1379" customFormat="false" ht="15" hidden="false" customHeight="false" outlineLevel="0" collapsed="false">
      <c r="A1379" s="0" t="n">
        <v>1376</v>
      </c>
      <c r="B1379" s="0" t="n">
        <f aca="true">NORMINV(RAND(),1,Coefficients!$B$22)</f>
        <v>1.11337469369458</v>
      </c>
      <c r="C1379" s="0" t="n">
        <f aca="true">MEDIAN(8,16,ROUND(NORMINV(RAND(),Coefficients!$B$20,Coefficients!$B$21),0))</f>
        <v>12</v>
      </c>
      <c r="D1379" s="0" t="n">
        <f aca="true">CRITBINOM($C1379,MIN(0.75,Matchup!$B$39*$B1379),RAND())</f>
        <v>2</v>
      </c>
      <c r="E1379" s="0" t="n">
        <f aca="true">CRITBINOM(D1379,Coefficients!$B$30,RAND())</f>
        <v>1</v>
      </c>
      <c r="F1379" s="0" t="n">
        <f aca="true">CRITBINOM(E1379,Coefficients!$B$31,RAND())</f>
        <v>0</v>
      </c>
      <c r="G1379" s="0" t="n">
        <f aca="true">CRITBINOM(MAX(0,D1379-E1379),1-Coefficients!$B$32,RAND())</f>
        <v>0</v>
      </c>
      <c r="H1379" s="0" t="n">
        <f aca="true">CRITBINOM(MAX(0,$C1379-D1379),MIN(0.6,Matchup!$B$40*SQRT($B1379)/(1-MIN(0.75,Matchup!$B$39*$B1379))),RAND())</f>
        <v>1</v>
      </c>
      <c r="I1379" s="0" t="n">
        <f aca="false">6*D1379+(D1379-E1379-G1379)+2*F1379+3*H1379</f>
        <v>16</v>
      </c>
      <c r="J1379" s="0" t="n">
        <f aca="true">CRITBINOM($C1379,MIN(0.75,Matchup!$C$39*$B1379),RAND())</f>
        <v>5</v>
      </c>
      <c r="K1379" s="0" t="n">
        <f aca="true">CRITBINOM(J1379,Coefficients!$B$30,RAND())</f>
        <v>0</v>
      </c>
      <c r="L1379" s="0" t="n">
        <f aca="true">CRITBINOM(K1379,Coefficients!$B$31,RAND())</f>
        <v>0</v>
      </c>
      <c r="M1379" s="0" t="n">
        <f aca="true">CRITBINOM(MAX(0,J1379-K1379),1-Coefficients!$B$32,RAND())</f>
        <v>0</v>
      </c>
      <c r="N1379" s="0" t="n">
        <f aca="true">CRITBINOM(MAX(0,$C1379-J1379),MIN(0.6,Matchup!$C$40*SQRT($B1379)/(1-MIN(0.75,Matchup!$C$39*$B1379))),RAND())</f>
        <v>2</v>
      </c>
      <c r="O1379" s="0" t="n">
        <f aca="false">6*J1379+(J1379-K1379-M1379)+2*L1379+3*N1379</f>
        <v>41</v>
      </c>
      <c r="P1379" s="0" t="n">
        <f aca="true">RAND()</f>
        <v>0.51959236502875</v>
      </c>
      <c r="Q1379" s="0" t="n">
        <f aca="true">RAND()</f>
        <v>0.1417726426627</v>
      </c>
      <c r="R1379" s="0" t="n">
        <f aca="false">IF($I1379&lt;&gt;$O1379,0,IF(P1379&lt;Matchup!$B$39,7,IF(P1379&lt;Matchup!$B$39+Matchup!$B$40,3,0)))</f>
        <v>0</v>
      </c>
      <c r="S1379" s="0" t="n">
        <f aca="false">IF($I1379&lt;&gt;$O1379,0,IF(Q1379&lt;Matchup!$C$39,7,IF(Q1379&lt;Matchup!$C$39+Matchup!$C$40,3,0)))</f>
        <v>0</v>
      </c>
      <c r="T1379" s="0" t="n">
        <f aca="false">I1379+R1379</f>
        <v>16</v>
      </c>
      <c r="U1379" s="0" t="n">
        <f aca="false">O1379+S1379</f>
        <v>41</v>
      </c>
      <c r="V1379" s="0" t="n">
        <f aca="false">T1379-U1379</f>
        <v>-25</v>
      </c>
      <c r="W1379" s="0" t="n">
        <f aca="false">T1379+U1379</f>
        <v>57</v>
      </c>
    </row>
    <row r="1380" customFormat="false" ht="15" hidden="false" customHeight="false" outlineLevel="0" collapsed="false">
      <c r="A1380" s="0" t="n">
        <v>1377</v>
      </c>
      <c r="B1380" s="0" t="n">
        <f aca="true">NORMINV(RAND(),1,Coefficients!$B$22)</f>
        <v>1.10981770540772</v>
      </c>
      <c r="C1380" s="0" t="n">
        <f aca="true">MEDIAN(8,16,ROUND(NORMINV(RAND(),Coefficients!$B$20,Coefficients!$B$21),0))</f>
        <v>8</v>
      </c>
      <c r="D1380" s="0" t="n">
        <f aca="true">CRITBINOM($C1380,MIN(0.75,Matchup!$B$39*$B1380),RAND())</f>
        <v>1</v>
      </c>
      <c r="E1380" s="0" t="n">
        <f aca="true">CRITBINOM(D1380,Coefficients!$B$30,RAND())</f>
        <v>0</v>
      </c>
      <c r="F1380" s="0" t="n">
        <f aca="true">CRITBINOM(E1380,Coefficients!$B$31,RAND())</f>
        <v>0</v>
      </c>
      <c r="G1380" s="0" t="n">
        <f aca="true">CRITBINOM(MAX(0,D1380-E1380),1-Coefficients!$B$32,RAND())</f>
        <v>0</v>
      </c>
      <c r="H1380" s="0" t="n">
        <f aca="true">CRITBINOM(MAX(0,$C1380-D1380),MIN(0.6,Matchup!$B$40*SQRT($B1380)/(1-MIN(0.75,Matchup!$B$39*$B1380))),RAND())</f>
        <v>1</v>
      </c>
      <c r="I1380" s="0" t="n">
        <f aca="false">6*D1380+(D1380-E1380-G1380)+2*F1380+3*H1380</f>
        <v>10</v>
      </c>
      <c r="J1380" s="0" t="n">
        <f aca="true">CRITBINOM($C1380,MIN(0.75,Matchup!$C$39*$B1380),RAND())</f>
        <v>1</v>
      </c>
      <c r="K1380" s="0" t="n">
        <f aca="true">CRITBINOM(J1380,Coefficients!$B$30,RAND())</f>
        <v>0</v>
      </c>
      <c r="L1380" s="0" t="n">
        <f aca="true">CRITBINOM(K1380,Coefficients!$B$31,RAND())</f>
        <v>0</v>
      </c>
      <c r="M1380" s="0" t="n">
        <f aca="true">CRITBINOM(MAX(0,J1380-K1380),1-Coefficients!$B$32,RAND())</f>
        <v>0</v>
      </c>
      <c r="N1380" s="0" t="n">
        <f aca="true">CRITBINOM(MAX(0,$C1380-J1380),MIN(0.6,Matchup!$C$40*SQRT($B1380)/(1-MIN(0.75,Matchup!$C$39*$B1380))),RAND())</f>
        <v>2</v>
      </c>
      <c r="O1380" s="0" t="n">
        <f aca="false">6*J1380+(J1380-K1380-M1380)+2*L1380+3*N1380</f>
        <v>13</v>
      </c>
      <c r="P1380" s="0" t="n">
        <f aca="true">RAND()</f>
        <v>0.612871627720651</v>
      </c>
      <c r="Q1380" s="0" t="n">
        <f aca="true">RAND()</f>
        <v>0.175741855327915</v>
      </c>
      <c r="R1380" s="0" t="n">
        <f aca="false">IF($I1380&lt;&gt;$O1380,0,IF(P1380&lt;Matchup!$B$39,7,IF(P1380&lt;Matchup!$B$39+Matchup!$B$40,3,0)))</f>
        <v>0</v>
      </c>
      <c r="S1380" s="0" t="n">
        <f aca="false">IF($I1380&lt;&gt;$O1380,0,IF(Q1380&lt;Matchup!$C$39,7,IF(Q1380&lt;Matchup!$C$39+Matchup!$C$40,3,0)))</f>
        <v>0</v>
      </c>
      <c r="T1380" s="0" t="n">
        <f aca="false">I1380+R1380</f>
        <v>10</v>
      </c>
      <c r="U1380" s="0" t="n">
        <f aca="false">O1380+S1380</f>
        <v>13</v>
      </c>
      <c r="V1380" s="0" t="n">
        <f aca="false">T1380-U1380</f>
        <v>-3</v>
      </c>
      <c r="W1380" s="0" t="n">
        <f aca="false">T1380+U1380</f>
        <v>23</v>
      </c>
    </row>
    <row r="1381" customFormat="false" ht="15" hidden="false" customHeight="false" outlineLevel="0" collapsed="false">
      <c r="A1381" s="0" t="n">
        <v>1378</v>
      </c>
      <c r="B1381" s="0" t="n">
        <f aca="true">NORMINV(RAND(),1,Coefficients!$B$22)</f>
        <v>0.875019696558084</v>
      </c>
      <c r="C1381" s="0" t="n">
        <f aca="true">MEDIAN(8,16,ROUND(NORMINV(RAND(),Coefficients!$B$20,Coefficients!$B$21),0))</f>
        <v>8</v>
      </c>
      <c r="D1381" s="0" t="n">
        <f aca="true">CRITBINOM($C1381,MIN(0.75,Matchup!$B$39*$B1381),RAND())</f>
        <v>1</v>
      </c>
      <c r="E1381" s="0" t="n">
        <f aca="true">CRITBINOM(D1381,Coefficients!$B$30,RAND())</f>
        <v>0</v>
      </c>
      <c r="F1381" s="0" t="n">
        <f aca="true">CRITBINOM(E1381,Coefficients!$B$31,RAND())</f>
        <v>0</v>
      </c>
      <c r="G1381" s="0" t="n">
        <f aca="true">CRITBINOM(MAX(0,D1381-E1381),1-Coefficients!$B$32,RAND())</f>
        <v>1</v>
      </c>
      <c r="H1381" s="0" t="n">
        <f aca="true">CRITBINOM(MAX(0,$C1381-D1381),MIN(0.6,Matchup!$B$40*SQRT($B1381)/(1-MIN(0.75,Matchup!$B$39*$B1381))),RAND())</f>
        <v>1</v>
      </c>
      <c r="I1381" s="0" t="n">
        <f aca="false">6*D1381+(D1381-E1381-G1381)+2*F1381+3*H1381</f>
        <v>9</v>
      </c>
      <c r="J1381" s="0" t="n">
        <f aca="true">CRITBINOM($C1381,MIN(0.75,Matchup!$C$39*$B1381),RAND())</f>
        <v>3</v>
      </c>
      <c r="K1381" s="0" t="n">
        <f aca="true">CRITBINOM(J1381,Coefficients!$B$30,RAND())</f>
        <v>0</v>
      </c>
      <c r="L1381" s="0" t="n">
        <f aca="true">CRITBINOM(K1381,Coefficients!$B$31,RAND())</f>
        <v>0</v>
      </c>
      <c r="M1381" s="0" t="n">
        <f aca="true">CRITBINOM(MAX(0,J1381-K1381),1-Coefficients!$B$32,RAND())</f>
        <v>0</v>
      </c>
      <c r="N1381" s="0" t="n">
        <f aca="true">CRITBINOM(MAX(0,$C1381-J1381),MIN(0.6,Matchup!$C$40*SQRT($B1381)/(1-MIN(0.75,Matchup!$C$39*$B1381))),RAND())</f>
        <v>2</v>
      </c>
      <c r="O1381" s="0" t="n">
        <f aca="false">6*J1381+(J1381-K1381-M1381)+2*L1381+3*N1381</f>
        <v>27</v>
      </c>
      <c r="P1381" s="0" t="n">
        <f aca="true">RAND()</f>
        <v>0.583079095841811</v>
      </c>
      <c r="Q1381" s="0" t="n">
        <f aca="true">RAND()</f>
        <v>0.167574522110066</v>
      </c>
      <c r="R1381" s="0" t="n">
        <f aca="false">IF($I1381&lt;&gt;$O1381,0,IF(P1381&lt;Matchup!$B$39,7,IF(P1381&lt;Matchup!$B$39+Matchup!$B$40,3,0)))</f>
        <v>0</v>
      </c>
      <c r="S1381" s="0" t="n">
        <f aca="false">IF($I1381&lt;&gt;$O1381,0,IF(Q1381&lt;Matchup!$C$39,7,IF(Q1381&lt;Matchup!$C$39+Matchup!$C$40,3,0)))</f>
        <v>0</v>
      </c>
      <c r="T1381" s="0" t="n">
        <f aca="false">I1381+R1381</f>
        <v>9</v>
      </c>
      <c r="U1381" s="0" t="n">
        <f aca="false">O1381+S1381</f>
        <v>27</v>
      </c>
      <c r="V1381" s="0" t="n">
        <f aca="false">T1381-U1381</f>
        <v>-18</v>
      </c>
      <c r="W1381" s="0" t="n">
        <f aca="false">T1381+U1381</f>
        <v>36</v>
      </c>
    </row>
    <row r="1382" customFormat="false" ht="15" hidden="false" customHeight="false" outlineLevel="0" collapsed="false">
      <c r="A1382" s="0" t="n">
        <v>1379</v>
      </c>
      <c r="B1382" s="0" t="n">
        <f aca="true">NORMINV(RAND(),1,Coefficients!$B$22)</f>
        <v>1.08722004469836</v>
      </c>
      <c r="C1382" s="0" t="n">
        <f aca="true">MEDIAN(8,16,ROUND(NORMINV(RAND(),Coefficients!$B$20,Coefficients!$B$21),0))</f>
        <v>11</v>
      </c>
      <c r="D1382" s="0" t="n">
        <f aca="true">CRITBINOM($C1382,MIN(0.75,Matchup!$B$39*$B1382),RAND())</f>
        <v>3</v>
      </c>
      <c r="E1382" s="0" t="n">
        <f aca="true">CRITBINOM(D1382,Coefficients!$B$30,RAND())</f>
        <v>0</v>
      </c>
      <c r="F1382" s="0" t="n">
        <f aca="true">CRITBINOM(E1382,Coefficients!$B$31,RAND())</f>
        <v>0</v>
      </c>
      <c r="G1382" s="0" t="n">
        <f aca="true">CRITBINOM(MAX(0,D1382-E1382),1-Coefficients!$B$32,RAND())</f>
        <v>0</v>
      </c>
      <c r="H1382" s="0" t="n">
        <f aca="true">CRITBINOM(MAX(0,$C1382-D1382),MIN(0.6,Matchup!$B$40*SQRT($B1382)/(1-MIN(0.75,Matchup!$B$39*$B1382))),RAND())</f>
        <v>2</v>
      </c>
      <c r="I1382" s="0" t="n">
        <f aca="false">6*D1382+(D1382-E1382-G1382)+2*F1382+3*H1382</f>
        <v>27</v>
      </c>
      <c r="J1382" s="0" t="n">
        <f aca="true">CRITBINOM($C1382,MIN(0.75,Matchup!$C$39*$B1382),RAND())</f>
        <v>3</v>
      </c>
      <c r="K1382" s="0" t="n">
        <f aca="true">CRITBINOM(J1382,Coefficients!$B$30,RAND())</f>
        <v>0</v>
      </c>
      <c r="L1382" s="0" t="n">
        <f aca="true">CRITBINOM(K1382,Coefficients!$B$31,RAND())</f>
        <v>0</v>
      </c>
      <c r="M1382" s="0" t="n">
        <f aca="true">CRITBINOM(MAX(0,J1382-K1382),1-Coefficients!$B$32,RAND())</f>
        <v>1</v>
      </c>
      <c r="N1382" s="0" t="n">
        <f aca="true">CRITBINOM(MAX(0,$C1382-J1382),MIN(0.6,Matchup!$C$40*SQRT($B1382)/(1-MIN(0.75,Matchup!$C$39*$B1382))),RAND())</f>
        <v>3</v>
      </c>
      <c r="O1382" s="0" t="n">
        <f aca="false">6*J1382+(J1382-K1382-M1382)+2*L1382+3*N1382</f>
        <v>29</v>
      </c>
      <c r="P1382" s="0" t="n">
        <f aca="true">RAND()</f>
        <v>0.770251934663482</v>
      </c>
      <c r="Q1382" s="0" t="n">
        <f aca="true">RAND()</f>
        <v>0.627634703123335</v>
      </c>
      <c r="R1382" s="0" t="n">
        <f aca="false">IF($I1382&lt;&gt;$O1382,0,IF(P1382&lt;Matchup!$B$39,7,IF(P1382&lt;Matchup!$B$39+Matchup!$B$40,3,0)))</f>
        <v>0</v>
      </c>
      <c r="S1382" s="0" t="n">
        <f aca="false">IF($I1382&lt;&gt;$O1382,0,IF(Q1382&lt;Matchup!$C$39,7,IF(Q1382&lt;Matchup!$C$39+Matchup!$C$40,3,0)))</f>
        <v>0</v>
      </c>
      <c r="T1382" s="0" t="n">
        <f aca="false">I1382+R1382</f>
        <v>27</v>
      </c>
      <c r="U1382" s="0" t="n">
        <f aca="false">O1382+S1382</f>
        <v>29</v>
      </c>
      <c r="V1382" s="0" t="n">
        <f aca="false">T1382-U1382</f>
        <v>-2</v>
      </c>
      <c r="W1382" s="0" t="n">
        <f aca="false">T1382+U1382</f>
        <v>56</v>
      </c>
    </row>
    <row r="1383" customFormat="false" ht="15" hidden="false" customHeight="false" outlineLevel="0" collapsed="false">
      <c r="A1383" s="0" t="n">
        <v>1380</v>
      </c>
      <c r="B1383" s="0" t="n">
        <f aca="true">NORMINV(RAND(),1,Coefficients!$B$22)</f>
        <v>1.11700496909422</v>
      </c>
      <c r="C1383" s="0" t="n">
        <f aca="true">MEDIAN(8,16,ROUND(NORMINV(RAND(),Coefficients!$B$20,Coefficients!$B$21),0))</f>
        <v>12</v>
      </c>
      <c r="D1383" s="0" t="n">
        <f aca="true">CRITBINOM($C1383,MIN(0.75,Matchup!$B$39*$B1383),RAND())</f>
        <v>5</v>
      </c>
      <c r="E1383" s="0" t="n">
        <f aca="true">CRITBINOM(D1383,Coefficients!$B$30,RAND())</f>
        <v>1</v>
      </c>
      <c r="F1383" s="0" t="n">
        <f aca="true">CRITBINOM(E1383,Coefficients!$B$31,RAND())</f>
        <v>0</v>
      </c>
      <c r="G1383" s="0" t="n">
        <f aca="true">CRITBINOM(MAX(0,D1383-E1383),1-Coefficients!$B$32,RAND())</f>
        <v>0</v>
      </c>
      <c r="H1383" s="0" t="n">
        <f aca="true">CRITBINOM(MAX(0,$C1383-D1383),MIN(0.6,Matchup!$B$40*SQRT($B1383)/(1-MIN(0.75,Matchup!$B$39*$B1383))),RAND())</f>
        <v>0</v>
      </c>
      <c r="I1383" s="0" t="n">
        <f aca="false">6*D1383+(D1383-E1383-G1383)+2*F1383+3*H1383</f>
        <v>34</v>
      </c>
      <c r="J1383" s="0" t="n">
        <f aca="true">CRITBINOM($C1383,MIN(0.75,Matchup!$C$39*$B1383),RAND())</f>
        <v>3</v>
      </c>
      <c r="K1383" s="0" t="n">
        <f aca="true">CRITBINOM(J1383,Coefficients!$B$30,RAND())</f>
        <v>0</v>
      </c>
      <c r="L1383" s="0" t="n">
        <f aca="true">CRITBINOM(K1383,Coefficients!$B$31,RAND())</f>
        <v>0</v>
      </c>
      <c r="M1383" s="0" t="n">
        <f aca="true">CRITBINOM(MAX(0,J1383-K1383),1-Coefficients!$B$32,RAND())</f>
        <v>1</v>
      </c>
      <c r="N1383" s="0" t="n">
        <f aca="true">CRITBINOM(MAX(0,$C1383-J1383),MIN(0.6,Matchup!$C$40*SQRT($B1383)/(1-MIN(0.75,Matchup!$C$39*$B1383))),RAND())</f>
        <v>2</v>
      </c>
      <c r="O1383" s="0" t="n">
        <f aca="false">6*J1383+(J1383-K1383-M1383)+2*L1383+3*N1383</f>
        <v>26</v>
      </c>
      <c r="P1383" s="0" t="n">
        <f aca="true">RAND()</f>
        <v>0.480211784425399</v>
      </c>
      <c r="Q1383" s="0" t="n">
        <f aca="true">RAND()</f>
        <v>0.172378809221525</v>
      </c>
      <c r="R1383" s="0" t="n">
        <f aca="false">IF($I1383&lt;&gt;$O1383,0,IF(P1383&lt;Matchup!$B$39,7,IF(P1383&lt;Matchup!$B$39+Matchup!$B$40,3,0)))</f>
        <v>0</v>
      </c>
      <c r="S1383" s="0" t="n">
        <f aca="false">IF($I1383&lt;&gt;$O1383,0,IF(Q1383&lt;Matchup!$C$39,7,IF(Q1383&lt;Matchup!$C$39+Matchup!$C$40,3,0)))</f>
        <v>0</v>
      </c>
      <c r="T1383" s="0" t="n">
        <f aca="false">I1383+R1383</f>
        <v>34</v>
      </c>
      <c r="U1383" s="0" t="n">
        <f aca="false">O1383+S1383</f>
        <v>26</v>
      </c>
      <c r="V1383" s="0" t="n">
        <f aca="false">T1383-U1383</f>
        <v>8</v>
      </c>
      <c r="W1383" s="0" t="n">
        <f aca="false">T1383+U1383</f>
        <v>60</v>
      </c>
    </row>
    <row r="1384" customFormat="false" ht="15" hidden="false" customHeight="false" outlineLevel="0" collapsed="false">
      <c r="A1384" s="0" t="n">
        <v>1381</v>
      </c>
      <c r="B1384" s="0" t="n">
        <f aca="true">NORMINV(RAND(),1,Coefficients!$B$22)</f>
        <v>1.01735013785031</v>
      </c>
      <c r="C1384" s="0" t="n">
        <f aca="true">MEDIAN(8,16,ROUND(NORMINV(RAND(),Coefficients!$B$20,Coefficients!$B$21),0))</f>
        <v>11</v>
      </c>
      <c r="D1384" s="0" t="n">
        <f aca="true">CRITBINOM($C1384,MIN(0.75,Matchup!$B$39*$B1384),RAND())</f>
        <v>4</v>
      </c>
      <c r="E1384" s="0" t="n">
        <f aca="true">CRITBINOM(D1384,Coefficients!$B$30,RAND())</f>
        <v>0</v>
      </c>
      <c r="F1384" s="0" t="n">
        <f aca="true">CRITBINOM(E1384,Coefficients!$B$31,RAND())</f>
        <v>0</v>
      </c>
      <c r="G1384" s="0" t="n">
        <f aca="true">CRITBINOM(MAX(0,D1384-E1384),1-Coefficients!$B$32,RAND())</f>
        <v>0</v>
      </c>
      <c r="H1384" s="0" t="n">
        <f aca="true">CRITBINOM(MAX(0,$C1384-D1384),MIN(0.6,Matchup!$B$40*SQRT($B1384)/(1-MIN(0.75,Matchup!$B$39*$B1384))),RAND())</f>
        <v>2</v>
      </c>
      <c r="I1384" s="0" t="n">
        <f aca="false">6*D1384+(D1384-E1384-G1384)+2*F1384+3*H1384</f>
        <v>34</v>
      </c>
      <c r="J1384" s="0" t="n">
        <f aca="true">CRITBINOM($C1384,MIN(0.75,Matchup!$C$39*$B1384),RAND())</f>
        <v>3</v>
      </c>
      <c r="K1384" s="0" t="n">
        <f aca="true">CRITBINOM(J1384,Coefficients!$B$30,RAND())</f>
        <v>1</v>
      </c>
      <c r="L1384" s="0" t="n">
        <f aca="true">CRITBINOM(K1384,Coefficients!$B$31,RAND())</f>
        <v>1</v>
      </c>
      <c r="M1384" s="0" t="n">
        <f aca="true">CRITBINOM(MAX(0,J1384-K1384),1-Coefficients!$B$32,RAND())</f>
        <v>0</v>
      </c>
      <c r="N1384" s="0" t="n">
        <f aca="true">CRITBINOM(MAX(0,$C1384-J1384),MIN(0.6,Matchup!$C$40*SQRT($B1384)/(1-MIN(0.75,Matchup!$C$39*$B1384))),RAND())</f>
        <v>0</v>
      </c>
      <c r="O1384" s="0" t="n">
        <f aca="false">6*J1384+(J1384-K1384-M1384)+2*L1384+3*N1384</f>
        <v>22</v>
      </c>
      <c r="P1384" s="0" t="n">
        <f aca="true">RAND()</f>
        <v>0.454277369803277</v>
      </c>
      <c r="Q1384" s="0" t="n">
        <f aca="true">RAND()</f>
        <v>0.0668120920676351</v>
      </c>
      <c r="R1384" s="0" t="n">
        <f aca="false">IF($I1384&lt;&gt;$O1384,0,IF(P1384&lt;Matchup!$B$39,7,IF(P1384&lt;Matchup!$B$39+Matchup!$B$40,3,0)))</f>
        <v>0</v>
      </c>
      <c r="S1384" s="0" t="n">
        <f aca="false">IF($I1384&lt;&gt;$O1384,0,IF(Q1384&lt;Matchup!$C$39,7,IF(Q1384&lt;Matchup!$C$39+Matchup!$C$40,3,0)))</f>
        <v>0</v>
      </c>
      <c r="T1384" s="0" t="n">
        <f aca="false">I1384+R1384</f>
        <v>34</v>
      </c>
      <c r="U1384" s="0" t="n">
        <f aca="false">O1384+S1384</f>
        <v>22</v>
      </c>
      <c r="V1384" s="0" t="n">
        <f aca="false">T1384-U1384</f>
        <v>12</v>
      </c>
      <c r="W1384" s="0" t="n">
        <f aca="false">T1384+U1384</f>
        <v>56</v>
      </c>
    </row>
    <row r="1385" customFormat="false" ht="15" hidden="false" customHeight="false" outlineLevel="0" collapsed="false">
      <c r="A1385" s="0" t="n">
        <v>1382</v>
      </c>
      <c r="B1385" s="0" t="n">
        <f aca="true">NORMINV(RAND(),1,Coefficients!$B$22)</f>
        <v>0.955475638546118</v>
      </c>
      <c r="C1385" s="0" t="n">
        <f aca="true">MEDIAN(8,16,ROUND(NORMINV(RAND(),Coefficients!$B$20,Coefficients!$B$21),0))</f>
        <v>13</v>
      </c>
      <c r="D1385" s="0" t="n">
        <f aca="true">CRITBINOM($C1385,MIN(0.75,Matchup!$B$39*$B1385),RAND())</f>
        <v>2</v>
      </c>
      <c r="E1385" s="0" t="n">
        <f aca="true">CRITBINOM(D1385,Coefficients!$B$30,RAND())</f>
        <v>1</v>
      </c>
      <c r="F1385" s="0" t="n">
        <f aca="true">CRITBINOM(E1385,Coefficients!$B$31,RAND())</f>
        <v>1</v>
      </c>
      <c r="G1385" s="0" t="n">
        <f aca="true">CRITBINOM(MAX(0,D1385-E1385),1-Coefficients!$B$32,RAND())</f>
        <v>0</v>
      </c>
      <c r="H1385" s="0" t="n">
        <f aca="true">CRITBINOM(MAX(0,$C1385-D1385),MIN(0.6,Matchup!$B$40*SQRT($B1385)/(1-MIN(0.75,Matchup!$B$39*$B1385))),RAND())</f>
        <v>2</v>
      </c>
      <c r="I1385" s="0" t="n">
        <f aca="false">6*D1385+(D1385-E1385-G1385)+2*F1385+3*H1385</f>
        <v>21</v>
      </c>
      <c r="J1385" s="0" t="n">
        <f aca="true">CRITBINOM($C1385,MIN(0.75,Matchup!$C$39*$B1385),RAND())</f>
        <v>4</v>
      </c>
      <c r="K1385" s="0" t="n">
        <f aca="true">CRITBINOM(J1385,Coefficients!$B$30,RAND())</f>
        <v>1</v>
      </c>
      <c r="L1385" s="0" t="n">
        <f aca="true">CRITBINOM(K1385,Coefficients!$B$31,RAND())</f>
        <v>0</v>
      </c>
      <c r="M1385" s="0" t="n">
        <f aca="true">CRITBINOM(MAX(0,J1385-K1385),1-Coefficients!$B$32,RAND())</f>
        <v>0</v>
      </c>
      <c r="N1385" s="0" t="n">
        <f aca="true">CRITBINOM(MAX(0,$C1385-J1385),MIN(0.6,Matchup!$C$40*SQRT($B1385)/(1-MIN(0.75,Matchup!$C$39*$B1385))),RAND())</f>
        <v>0</v>
      </c>
      <c r="O1385" s="0" t="n">
        <f aca="false">6*J1385+(J1385-K1385-M1385)+2*L1385+3*N1385</f>
        <v>27</v>
      </c>
      <c r="P1385" s="0" t="n">
        <f aca="true">RAND()</f>
        <v>0.746235570116569</v>
      </c>
      <c r="Q1385" s="0" t="n">
        <f aca="true">RAND()</f>
        <v>0.0779014600154309</v>
      </c>
      <c r="R1385" s="0" t="n">
        <f aca="false">IF($I1385&lt;&gt;$O1385,0,IF(P1385&lt;Matchup!$B$39,7,IF(P1385&lt;Matchup!$B$39+Matchup!$B$40,3,0)))</f>
        <v>0</v>
      </c>
      <c r="S1385" s="0" t="n">
        <f aca="false">IF($I1385&lt;&gt;$O1385,0,IF(Q1385&lt;Matchup!$C$39,7,IF(Q1385&lt;Matchup!$C$39+Matchup!$C$40,3,0)))</f>
        <v>0</v>
      </c>
      <c r="T1385" s="0" t="n">
        <f aca="false">I1385+R1385</f>
        <v>21</v>
      </c>
      <c r="U1385" s="0" t="n">
        <f aca="false">O1385+S1385</f>
        <v>27</v>
      </c>
      <c r="V1385" s="0" t="n">
        <f aca="false">T1385-U1385</f>
        <v>-6</v>
      </c>
      <c r="W1385" s="0" t="n">
        <f aca="false">T1385+U1385</f>
        <v>48</v>
      </c>
    </row>
    <row r="1386" customFormat="false" ht="15" hidden="false" customHeight="false" outlineLevel="0" collapsed="false">
      <c r="A1386" s="0" t="n">
        <v>1383</v>
      </c>
      <c r="B1386" s="0" t="n">
        <f aca="true">NORMINV(RAND(),1,Coefficients!$B$22)</f>
        <v>0.897905550720593</v>
      </c>
      <c r="C1386" s="0" t="n">
        <f aca="true">MEDIAN(8,16,ROUND(NORMINV(RAND(),Coefficients!$B$20,Coefficients!$B$21),0))</f>
        <v>10</v>
      </c>
      <c r="D1386" s="0" t="n">
        <f aca="true">CRITBINOM($C1386,MIN(0.75,Matchup!$B$39*$B1386),RAND())</f>
        <v>3</v>
      </c>
      <c r="E1386" s="0" t="n">
        <f aca="true">CRITBINOM(D1386,Coefficients!$B$30,RAND())</f>
        <v>1</v>
      </c>
      <c r="F1386" s="0" t="n">
        <f aca="true">CRITBINOM(E1386,Coefficients!$B$31,RAND())</f>
        <v>1</v>
      </c>
      <c r="G1386" s="0" t="n">
        <f aca="true">CRITBINOM(MAX(0,D1386-E1386),1-Coefficients!$B$32,RAND())</f>
        <v>0</v>
      </c>
      <c r="H1386" s="0" t="n">
        <f aca="true">CRITBINOM(MAX(0,$C1386-D1386),MIN(0.6,Matchup!$B$40*SQRT($B1386)/(1-MIN(0.75,Matchup!$B$39*$B1386))),RAND())</f>
        <v>1</v>
      </c>
      <c r="I1386" s="0" t="n">
        <f aca="false">6*D1386+(D1386-E1386-G1386)+2*F1386+3*H1386</f>
        <v>25</v>
      </c>
      <c r="J1386" s="0" t="n">
        <f aca="true">CRITBINOM($C1386,MIN(0.75,Matchup!$C$39*$B1386),RAND())</f>
        <v>3</v>
      </c>
      <c r="K1386" s="0" t="n">
        <f aca="true">CRITBINOM(J1386,Coefficients!$B$30,RAND())</f>
        <v>0</v>
      </c>
      <c r="L1386" s="0" t="n">
        <f aca="true">CRITBINOM(K1386,Coefficients!$B$31,RAND())</f>
        <v>0</v>
      </c>
      <c r="M1386" s="0" t="n">
        <f aca="true">CRITBINOM(MAX(0,J1386-K1386),1-Coefficients!$B$32,RAND())</f>
        <v>0</v>
      </c>
      <c r="N1386" s="0" t="n">
        <f aca="true">CRITBINOM(MAX(0,$C1386-J1386),MIN(0.6,Matchup!$C$40*SQRT($B1386)/(1-MIN(0.75,Matchup!$C$39*$B1386))),RAND())</f>
        <v>0</v>
      </c>
      <c r="O1386" s="0" t="n">
        <f aca="false">6*J1386+(J1386-K1386-M1386)+2*L1386+3*N1386</f>
        <v>21</v>
      </c>
      <c r="P1386" s="0" t="n">
        <f aca="true">RAND()</f>
        <v>0.989980320478005</v>
      </c>
      <c r="Q1386" s="0" t="n">
        <f aca="true">RAND()</f>
        <v>0.20498833468623</v>
      </c>
      <c r="R1386" s="0" t="n">
        <f aca="false">IF($I1386&lt;&gt;$O1386,0,IF(P1386&lt;Matchup!$B$39,7,IF(P1386&lt;Matchup!$B$39+Matchup!$B$40,3,0)))</f>
        <v>0</v>
      </c>
      <c r="S1386" s="0" t="n">
        <f aca="false">IF($I1386&lt;&gt;$O1386,0,IF(Q1386&lt;Matchup!$C$39,7,IF(Q1386&lt;Matchup!$C$39+Matchup!$C$40,3,0)))</f>
        <v>0</v>
      </c>
      <c r="T1386" s="0" t="n">
        <f aca="false">I1386+R1386</f>
        <v>25</v>
      </c>
      <c r="U1386" s="0" t="n">
        <f aca="false">O1386+S1386</f>
        <v>21</v>
      </c>
      <c r="V1386" s="0" t="n">
        <f aca="false">T1386-U1386</f>
        <v>4</v>
      </c>
      <c r="W1386" s="0" t="n">
        <f aca="false">T1386+U1386</f>
        <v>46</v>
      </c>
    </row>
    <row r="1387" customFormat="false" ht="15" hidden="false" customHeight="false" outlineLevel="0" collapsed="false">
      <c r="A1387" s="0" t="n">
        <v>1384</v>
      </c>
      <c r="B1387" s="0" t="n">
        <f aca="true">NORMINV(RAND(),1,Coefficients!$B$22)</f>
        <v>0.976787069748942</v>
      </c>
      <c r="C1387" s="0" t="n">
        <f aca="true">MEDIAN(8,16,ROUND(NORMINV(RAND(),Coefficients!$B$20,Coefficients!$B$21),0))</f>
        <v>10</v>
      </c>
      <c r="D1387" s="0" t="n">
        <f aca="true">CRITBINOM($C1387,MIN(0.75,Matchup!$B$39*$B1387),RAND())</f>
        <v>6</v>
      </c>
      <c r="E1387" s="0" t="n">
        <f aca="true">CRITBINOM(D1387,Coefficients!$B$30,RAND())</f>
        <v>1</v>
      </c>
      <c r="F1387" s="0" t="n">
        <f aca="true">CRITBINOM(E1387,Coefficients!$B$31,RAND())</f>
        <v>1</v>
      </c>
      <c r="G1387" s="0" t="n">
        <f aca="true">CRITBINOM(MAX(0,D1387-E1387),1-Coefficients!$B$32,RAND())</f>
        <v>0</v>
      </c>
      <c r="H1387" s="0" t="n">
        <f aca="true">CRITBINOM(MAX(0,$C1387-D1387),MIN(0.6,Matchup!$B$40*SQRT($B1387)/(1-MIN(0.75,Matchup!$B$39*$B1387))),RAND())</f>
        <v>0</v>
      </c>
      <c r="I1387" s="0" t="n">
        <f aca="false">6*D1387+(D1387-E1387-G1387)+2*F1387+3*H1387</f>
        <v>43</v>
      </c>
      <c r="J1387" s="0" t="n">
        <f aca="true">CRITBINOM($C1387,MIN(0.75,Matchup!$C$39*$B1387),RAND())</f>
        <v>3</v>
      </c>
      <c r="K1387" s="0" t="n">
        <f aca="true">CRITBINOM(J1387,Coefficients!$B$30,RAND())</f>
        <v>0</v>
      </c>
      <c r="L1387" s="0" t="n">
        <f aca="true">CRITBINOM(K1387,Coefficients!$B$31,RAND())</f>
        <v>0</v>
      </c>
      <c r="M1387" s="0" t="n">
        <f aca="true">CRITBINOM(MAX(0,J1387-K1387),1-Coefficients!$B$32,RAND())</f>
        <v>0</v>
      </c>
      <c r="N1387" s="0" t="n">
        <f aca="true">CRITBINOM(MAX(0,$C1387-J1387),MIN(0.6,Matchup!$C$40*SQRT($B1387)/(1-MIN(0.75,Matchup!$C$39*$B1387))),RAND())</f>
        <v>3</v>
      </c>
      <c r="O1387" s="0" t="n">
        <f aca="false">6*J1387+(J1387-K1387-M1387)+2*L1387+3*N1387</f>
        <v>30</v>
      </c>
      <c r="P1387" s="0" t="n">
        <f aca="true">RAND()</f>
        <v>0.334204016328161</v>
      </c>
      <c r="Q1387" s="0" t="n">
        <f aca="true">RAND()</f>
        <v>0.157145161673845</v>
      </c>
      <c r="R1387" s="0" t="n">
        <f aca="false">IF($I1387&lt;&gt;$O1387,0,IF(P1387&lt;Matchup!$B$39,7,IF(P1387&lt;Matchup!$B$39+Matchup!$B$40,3,0)))</f>
        <v>0</v>
      </c>
      <c r="S1387" s="0" t="n">
        <f aca="false">IF($I1387&lt;&gt;$O1387,0,IF(Q1387&lt;Matchup!$C$39,7,IF(Q1387&lt;Matchup!$C$39+Matchup!$C$40,3,0)))</f>
        <v>0</v>
      </c>
      <c r="T1387" s="0" t="n">
        <f aca="false">I1387+R1387</f>
        <v>43</v>
      </c>
      <c r="U1387" s="0" t="n">
        <f aca="false">O1387+S1387</f>
        <v>30</v>
      </c>
      <c r="V1387" s="0" t="n">
        <f aca="false">T1387-U1387</f>
        <v>13</v>
      </c>
      <c r="W1387" s="0" t="n">
        <f aca="false">T1387+U1387</f>
        <v>73</v>
      </c>
    </row>
    <row r="1388" customFormat="false" ht="15" hidden="false" customHeight="false" outlineLevel="0" collapsed="false">
      <c r="A1388" s="0" t="n">
        <v>1385</v>
      </c>
      <c r="B1388" s="0" t="n">
        <f aca="true">NORMINV(RAND(),1,Coefficients!$B$22)</f>
        <v>1.02376550345245</v>
      </c>
      <c r="C1388" s="0" t="n">
        <f aca="true">MEDIAN(8,16,ROUND(NORMINV(RAND(),Coefficients!$B$20,Coefficients!$B$21),0))</f>
        <v>9</v>
      </c>
      <c r="D1388" s="0" t="n">
        <f aca="true">CRITBINOM($C1388,MIN(0.75,Matchup!$B$39*$B1388),RAND())</f>
        <v>1</v>
      </c>
      <c r="E1388" s="0" t="n">
        <f aca="true">CRITBINOM(D1388,Coefficients!$B$30,RAND())</f>
        <v>0</v>
      </c>
      <c r="F1388" s="0" t="n">
        <f aca="true">CRITBINOM(E1388,Coefficients!$B$31,RAND())</f>
        <v>0</v>
      </c>
      <c r="G1388" s="0" t="n">
        <f aca="true">CRITBINOM(MAX(0,D1388-E1388),1-Coefficients!$B$32,RAND())</f>
        <v>0</v>
      </c>
      <c r="H1388" s="0" t="n">
        <f aca="true">CRITBINOM(MAX(0,$C1388-D1388),MIN(0.6,Matchup!$B$40*SQRT($B1388)/(1-MIN(0.75,Matchup!$B$39*$B1388))),RAND())</f>
        <v>1</v>
      </c>
      <c r="I1388" s="0" t="n">
        <f aca="false">6*D1388+(D1388-E1388-G1388)+2*F1388+3*H1388</f>
        <v>10</v>
      </c>
      <c r="J1388" s="0" t="n">
        <f aca="true">CRITBINOM($C1388,MIN(0.75,Matchup!$C$39*$B1388),RAND())</f>
        <v>1</v>
      </c>
      <c r="K1388" s="0" t="n">
        <f aca="true">CRITBINOM(J1388,Coefficients!$B$30,RAND())</f>
        <v>1</v>
      </c>
      <c r="L1388" s="0" t="n">
        <f aca="true">CRITBINOM(K1388,Coefficients!$B$31,RAND())</f>
        <v>0</v>
      </c>
      <c r="M1388" s="0" t="n">
        <f aca="true">CRITBINOM(MAX(0,J1388-K1388),1-Coefficients!$B$32,RAND())</f>
        <v>0</v>
      </c>
      <c r="N1388" s="0" t="n">
        <f aca="true">CRITBINOM(MAX(0,$C1388-J1388),MIN(0.6,Matchup!$C$40*SQRT($B1388)/(1-MIN(0.75,Matchup!$C$39*$B1388))),RAND())</f>
        <v>0</v>
      </c>
      <c r="O1388" s="0" t="n">
        <f aca="false">6*J1388+(J1388-K1388-M1388)+2*L1388+3*N1388</f>
        <v>6</v>
      </c>
      <c r="P1388" s="0" t="n">
        <f aca="true">RAND()</f>
        <v>0.62634140273797</v>
      </c>
      <c r="Q1388" s="0" t="n">
        <f aca="true">RAND()</f>
        <v>0.0574482087482209</v>
      </c>
      <c r="R1388" s="0" t="n">
        <f aca="false">IF($I1388&lt;&gt;$O1388,0,IF(P1388&lt;Matchup!$B$39,7,IF(P1388&lt;Matchup!$B$39+Matchup!$B$40,3,0)))</f>
        <v>0</v>
      </c>
      <c r="S1388" s="0" t="n">
        <f aca="false">IF($I1388&lt;&gt;$O1388,0,IF(Q1388&lt;Matchup!$C$39,7,IF(Q1388&lt;Matchup!$C$39+Matchup!$C$40,3,0)))</f>
        <v>0</v>
      </c>
      <c r="T1388" s="0" t="n">
        <f aca="false">I1388+R1388</f>
        <v>10</v>
      </c>
      <c r="U1388" s="0" t="n">
        <f aca="false">O1388+S1388</f>
        <v>6</v>
      </c>
      <c r="V1388" s="0" t="n">
        <f aca="false">T1388-U1388</f>
        <v>4</v>
      </c>
      <c r="W1388" s="0" t="n">
        <f aca="false">T1388+U1388</f>
        <v>16</v>
      </c>
    </row>
    <row r="1389" customFormat="false" ht="15" hidden="false" customHeight="false" outlineLevel="0" collapsed="false">
      <c r="A1389" s="0" t="n">
        <v>1386</v>
      </c>
      <c r="B1389" s="0" t="n">
        <f aca="true">NORMINV(RAND(),1,Coefficients!$B$22)</f>
        <v>1.12460580751433</v>
      </c>
      <c r="C1389" s="0" t="n">
        <f aca="true">MEDIAN(8,16,ROUND(NORMINV(RAND(),Coefficients!$B$20,Coefficients!$B$21),0))</f>
        <v>10</v>
      </c>
      <c r="D1389" s="0" t="n">
        <f aca="true">CRITBINOM($C1389,MIN(0.75,Matchup!$B$39*$B1389),RAND())</f>
        <v>5</v>
      </c>
      <c r="E1389" s="0" t="n">
        <f aca="true">CRITBINOM(D1389,Coefficients!$B$30,RAND())</f>
        <v>0</v>
      </c>
      <c r="F1389" s="0" t="n">
        <f aca="true">CRITBINOM(E1389,Coefficients!$B$31,RAND())</f>
        <v>0</v>
      </c>
      <c r="G1389" s="0" t="n">
        <f aca="true">CRITBINOM(MAX(0,D1389-E1389),1-Coefficients!$B$32,RAND())</f>
        <v>0</v>
      </c>
      <c r="H1389" s="0" t="n">
        <f aca="true">CRITBINOM(MAX(0,$C1389-D1389),MIN(0.6,Matchup!$B$40*SQRT($B1389)/(1-MIN(0.75,Matchup!$B$39*$B1389))),RAND())</f>
        <v>1</v>
      </c>
      <c r="I1389" s="0" t="n">
        <f aca="false">6*D1389+(D1389-E1389-G1389)+2*F1389+3*H1389</f>
        <v>38</v>
      </c>
      <c r="J1389" s="0" t="n">
        <f aca="true">CRITBINOM($C1389,MIN(0.75,Matchup!$C$39*$B1389),RAND())</f>
        <v>3</v>
      </c>
      <c r="K1389" s="0" t="n">
        <f aca="true">CRITBINOM(J1389,Coefficients!$B$30,RAND())</f>
        <v>0</v>
      </c>
      <c r="L1389" s="0" t="n">
        <f aca="true">CRITBINOM(K1389,Coefficients!$B$31,RAND())</f>
        <v>0</v>
      </c>
      <c r="M1389" s="0" t="n">
        <f aca="true">CRITBINOM(MAX(0,J1389-K1389),1-Coefficients!$B$32,RAND())</f>
        <v>0</v>
      </c>
      <c r="N1389" s="0" t="n">
        <f aca="true">CRITBINOM(MAX(0,$C1389-J1389),MIN(0.6,Matchup!$C$40*SQRT($B1389)/(1-MIN(0.75,Matchup!$C$39*$B1389))),RAND())</f>
        <v>0</v>
      </c>
      <c r="O1389" s="0" t="n">
        <f aca="false">6*J1389+(J1389-K1389-M1389)+2*L1389+3*N1389</f>
        <v>21</v>
      </c>
      <c r="P1389" s="0" t="n">
        <f aca="true">RAND()</f>
        <v>0.478857123520977</v>
      </c>
      <c r="Q1389" s="0" t="n">
        <f aca="true">RAND()</f>
        <v>0.743944801787671</v>
      </c>
      <c r="R1389" s="0" t="n">
        <f aca="false">IF($I1389&lt;&gt;$O1389,0,IF(P1389&lt;Matchup!$B$39,7,IF(P1389&lt;Matchup!$B$39+Matchup!$B$40,3,0)))</f>
        <v>0</v>
      </c>
      <c r="S1389" s="0" t="n">
        <f aca="false">IF($I1389&lt;&gt;$O1389,0,IF(Q1389&lt;Matchup!$C$39,7,IF(Q1389&lt;Matchup!$C$39+Matchup!$C$40,3,0)))</f>
        <v>0</v>
      </c>
      <c r="T1389" s="0" t="n">
        <f aca="false">I1389+R1389</f>
        <v>38</v>
      </c>
      <c r="U1389" s="0" t="n">
        <f aca="false">O1389+S1389</f>
        <v>21</v>
      </c>
      <c r="V1389" s="0" t="n">
        <f aca="false">T1389-U1389</f>
        <v>17</v>
      </c>
      <c r="W1389" s="0" t="n">
        <f aca="false">T1389+U1389</f>
        <v>59</v>
      </c>
    </row>
    <row r="1390" customFormat="false" ht="15" hidden="false" customHeight="false" outlineLevel="0" collapsed="false">
      <c r="A1390" s="0" t="n">
        <v>1387</v>
      </c>
      <c r="B1390" s="0" t="n">
        <f aca="true">NORMINV(RAND(),1,Coefficients!$B$22)</f>
        <v>1.11783314589069</v>
      </c>
      <c r="C1390" s="0" t="n">
        <f aca="true">MEDIAN(8,16,ROUND(NORMINV(RAND(),Coefficients!$B$20,Coefficients!$B$21),0))</f>
        <v>11</v>
      </c>
      <c r="D1390" s="0" t="n">
        <f aca="true">CRITBINOM($C1390,MIN(0.75,Matchup!$B$39*$B1390),RAND())</f>
        <v>6</v>
      </c>
      <c r="E1390" s="0" t="n">
        <f aca="true">CRITBINOM(D1390,Coefficients!$B$30,RAND())</f>
        <v>1</v>
      </c>
      <c r="F1390" s="0" t="n">
        <f aca="true">CRITBINOM(E1390,Coefficients!$B$31,RAND())</f>
        <v>0</v>
      </c>
      <c r="G1390" s="0" t="n">
        <f aca="true">CRITBINOM(MAX(0,D1390-E1390),1-Coefficients!$B$32,RAND())</f>
        <v>1</v>
      </c>
      <c r="H1390" s="0" t="n">
        <f aca="true">CRITBINOM(MAX(0,$C1390-D1390),MIN(0.6,Matchup!$B$40*SQRT($B1390)/(1-MIN(0.75,Matchup!$B$39*$B1390))),RAND())</f>
        <v>1</v>
      </c>
      <c r="I1390" s="0" t="n">
        <f aca="false">6*D1390+(D1390-E1390-G1390)+2*F1390+3*H1390</f>
        <v>43</v>
      </c>
      <c r="J1390" s="0" t="n">
        <f aca="true">CRITBINOM($C1390,MIN(0.75,Matchup!$C$39*$B1390),RAND())</f>
        <v>2</v>
      </c>
      <c r="K1390" s="0" t="n">
        <f aca="true">CRITBINOM(J1390,Coefficients!$B$30,RAND())</f>
        <v>1</v>
      </c>
      <c r="L1390" s="0" t="n">
        <f aca="true">CRITBINOM(K1390,Coefficients!$B$31,RAND())</f>
        <v>1</v>
      </c>
      <c r="M1390" s="0" t="n">
        <f aca="true">CRITBINOM(MAX(0,J1390-K1390),1-Coefficients!$B$32,RAND())</f>
        <v>0</v>
      </c>
      <c r="N1390" s="0" t="n">
        <f aca="true">CRITBINOM(MAX(0,$C1390-J1390),MIN(0.6,Matchup!$C$40*SQRT($B1390)/(1-MIN(0.75,Matchup!$C$39*$B1390))),RAND())</f>
        <v>3</v>
      </c>
      <c r="O1390" s="0" t="n">
        <f aca="false">6*J1390+(J1390-K1390-M1390)+2*L1390+3*N1390</f>
        <v>24</v>
      </c>
      <c r="P1390" s="0" t="n">
        <f aca="true">RAND()</f>
        <v>0.475728513485955</v>
      </c>
      <c r="Q1390" s="0" t="n">
        <f aca="true">RAND()</f>
        <v>0.4714451552547</v>
      </c>
      <c r="R1390" s="0" t="n">
        <f aca="false">IF($I1390&lt;&gt;$O1390,0,IF(P1390&lt;Matchup!$B$39,7,IF(P1390&lt;Matchup!$B$39+Matchup!$B$40,3,0)))</f>
        <v>0</v>
      </c>
      <c r="S1390" s="0" t="n">
        <f aca="false">IF($I1390&lt;&gt;$O1390,0,IF(Q1390&lt;Matchup!$C$39,7,IF(Q1390&lt;Matchup!$C$39+Matchup!$C$40,3,0)))</f>
        <v>0</v>
      </c>
      <c r="T1390" s="0" t="n">
        <f aca="false">I1390+R1390</f>
        <v>43</v>
      </c>
      <c r="U1390" s="0" t="n">
        <f aca="false">O1390+S1390</f>
        <v>24</v>
      </c>
      <c r="V1390" s="0" t="n">
        <f aca="false">T1390-U1390</f>
        <v>19</v>
      </c>
      <c r="W1390" s="0" t="n">
        <f aca="false">T1390+U1390</f>
        <v>67</v>
      </c>
    </row>
    <row r="1391" customFormat="false" ht="15" hidden="false" customHeight="false" outlineLevel="0" collapsed="false">
      <c r="A1391" s="0" t="n">
        <v>1388</v>
      </c>
      <c r="B1391" s="0" t="n">
        <f aca="true">NORMINV(RAND(),1,Coefficients!$B$22)</f>
        <v>1.05852084986802</v>
      </c>
      <c r="C1391" s="0" t="n">
        <f aca="true">MEDIAN(8,16,ROUND(NORMINV(RAND(),Coefficients!$B$20,Coefficients!$B$21),0))</f>
        <v>11</v>
      </c>
      <c r="D1391" s="0" t="n">
        <f aca="true">CRITBINOM($C1391,MIN(0.75,Matchup!$B$39*$B1391),RAND())</f>
        <v>4</v>
      </c>
      <c r="E1391" s="0" t="n">
        <f aca="true">CRITBINOM(D1391,Coefficients!$B$30,RAND())</f>
        <v>0</v>
      </c>
      <c r="F1391" s="0" t="n">
        <f aca="true">CRITBINOM(E1391,Coefficients!$B$31,RAND())</f>
        <v>0</v>
      </c>
      <c r="G1391" s="0" t="n">
        <f aca="true">CRITBINOM(MAX(0,D1391-E1391),1-Coefficients!$B$32,RAND())</f>
        <v>0</v>
      </c>
      <c r="H1391" s="0" t="n">
        <f aca="true">CRITBINOM(MAX(0,$C1391-D1391),MIN(0.6,Matchup!$B$40*SQRT($B1391)/(1-MIN(0.75,Matchup!$B$39*$B1391))),RAND())</f>
        <v>4</v>
      </c>
      <c r="I1391" s="0" t="n">
        <f aca="false">6*D1391+(D1391-E1391-G1391)+2*F1391+3*H1391</f>
        <v>40</v>
      </c>
      <c r="J1391" s="0" t="n">
        <f aca="true">CRITBINOM($C1391,MIN(0.75,Matchup!$C$39*$B1391),RAND())</f>
        <v>3</v>
      </c>
      <c r="K1391" s="0" t="n">
        <f aca="true">CRITBINOM(J1391,Coefficients!$B$30,RAND())</f>
        <v>0</v>
      </c>
      <c r="L1391" s="0" t="n">
        <f aca="true">CRITBINOM(K1391,Coefficients!$B$31,RAND())</f>
        <v>0</v>
      </c>
      <c r="M1391" s="0" t="n">
        <f aca="true">CRITBINOM(MAX(0,J1391-K1391),1-Coefficients!$B$32,RAND())</f>
        <v>0</v>
      </c>
      <c r="N1391" s="0" t="n">
        <f aca="true">CRITBINOM(MAX(0,$C1391-J1391),MIN(0.6,Matchup!$C$40*SQRT($B1391)/(1-MIN(0.75,Matchup!$C$39*$B1391))),RAND())</f>
        <v>3</v>
      </c>
      <c r="O1391" s="0" t="n">
        <f aca="false">6*J1391+(J1391-K1391-M1391)+2*L1391+3*N1391</f>
        <v>30</v>
      </c>
      <c r="P1391" s="0" t="n">
        <f aca="true">RAND()</f>
        <v>0.918109371263595</v>
      </c>
      <c r="Q1391" s="0" t="n">
        <f aca="true">RAND()</f>
        <v>0.0284875907681068</v>
      </c>
      <c r="R1391" s="0" t="n">
        <f aca="false">IF($I1391&lt;&gt;$O1391,0,IF(P1391&lt;Matchup!$B$39,7,IF(P1391&lt;Matchup!$B$39+Matchup!$B$40,3,0)))</f>
        <v>0</v>
      </c>
      <c r="S1391" s="0" t="n">
        <f aca="false">IF($I1391&lt;&gt;$O1391,0,IF(Q1391&lt;Matchup!$C$39,7,IF(Q1391&lt;Matchup!$C$39+Matchup!$C$40,3,0)))</f>
        <v>0</v>
      </c>
      <c r="T1391" s="0" t="n">
        <f aca="false">I1391+R1391</f>
        <v>40</v>
      </c>
      <c r="U1391" s="0" t="n">
        <f aca="false">O1391+S1391</f>
        <v>30</v>
      </c>
      <c r="V1391" s="0" t="n">
        <f aca="false">T1391-U1391</f>
        <v>10</v>
      </c>
      <c r="W1391" s="0" t="n">
        <f aca="false">T1391+U1391</f>
        <v>70</v>
      </c>
    </row>
    <row r="1392" customFormat="false" ht="15" hidden="false" customHeight="false" outlineLevel="0" collapsed="false">
      <c r="A1392" s="0" t="n">
        <v>1389</v>
      </c>
      <c r="B1392" s="0" t="n">
        <f aca="true">NORMINV(RAND(),1,Coefficients!$B$22)</f>
        <v>0.943545038993524</v>
      </c>
      <c r="C1392" s="0" t="n">
        <f aca="true">MEDIAN(8,16,ROUND(NORMINV(RAND(),Coefficients!$B$20,Coefficients!$B$21),0))</f>
        <v>11</v>
      </c>
      <c r="D1392" s="0" t="n">
        <f aca="true">CRITBINOM($C1392,MIN(0.75,Matchup!$B$39*$B1392),RAND())</f>
        <v>2</v>
      </c>
      <c r="E1392" s="0" t="n">
        <f aca="true">CRITBINOM(D1392,Coefficients!$B$30,RAND())</f>
        <v>0</v>
      </c>
      <c r="F1392" s="0" t="n">
        <f aca="true">CRITBINOM(E1392,Coefficients!$B$31,RAND())</f>
        <v>0</v>
      </c>
      <c r="G1392" s="0" t="n">
        <f aca="true">CRITBINOM(MAX(0,D1392-E1392),1-Coefficients!$B$32,RAND())</f>
        <v>0</v>
      </c>
      <c r="H1392" s="0" t="n">
        <f aca="true">CRITBINOM(MAX(0,$C1392-D1392),MIN(0.6,Matchup!$B$40*SQRT($B1392)/(1-MIN(0.75,Matchup!$B$39*$B1392))),RAND())</f>
        <v>3</v>
      </c>
      <c r="I1392" s="0" t="n">
        <f aca="false">6*D1392+(D1392-E1392-G1392)+2*F1392+3*H1392</f>
        <v>23</v>
      </c>
      <c r="J1392" s="0" t="n">
        <f aca="true">CRITBINOM($C1392,MIN(0.75,Matchup!$C$39*$B1392),RAND())</f>
        <v>5</v>
      </c>
      <c r="K1392" s="0" t="n">
        <f aca="true">CRITBINOM(J1392,Coefficients!$B$30,RAND())</f>
        <v>1</v>
      </c>
      <c r="L1392" s="0" t="n">
        <f aca="true">CRITBINOM(K1392,Coefficients!$B$31,RAND())</f>
        <v>1</v>
      </c>
      <c r="M1392" s="0" t="n">
        <f aca="true">CRITBINOM(MAX(0,J1392-K1392),1-Coefficients!$B$32,RAND())</f>
        <v>0</v>
      </c>
      <c r="N1392" s="0" t="n">
        <f aca="true">CRITBINOM(MAX(0,$C1392-J1392),MIN(0.6,Matchup!$C$40*SQRT($B1392)/(1-MIN(0.75,Matchup!$C$39*$B1392))),RAND())</f>
        <v>0</v>
      </c>
      <c r="O1392" s="0" t="n">
        <f aca="false">6*J1392+(J1392-K1392-M1392)+2*L1392+3*N1392</f>
        <v>36</v>
      </c>
      <c r="P1392" s="0" t="n">
        <f aca="true">RAND()</f>
        <v>0.931619427630942</v>
      </c>
      <c r="Q1392" s="0" t="n">
        <f aca="true">RAND()</f>
        <v>0.908624927274482</v>
      </c>
      <c r="R1392" s="0" t="n">
        <f aca="false">IF($I1392&lt;&gt;$O1392,0,IF(P1392&lt;Matchup!$B$39,7,IF(P1392&lt;Matchup!$B$39+Matchup!$B$40,3,0)))</f>
        <v>0</v>
      </c>
      <c r="S1392" s="0" t="n">
        <f aca="false">IF($I1392&lt;&gt;$O1392,0,IF(Q1392&lt;Matchup!$C$39,7,IF(Q1392&lt;Matchup!$C$39+Matchup!$C$40,3,0)))</f>
        <v>0</v>
      </c>
      <c r="T1392" s="0" t="n">
        <f aca="false">I1392+R1392</f>
        <v>23</v>
      </c>
      <c r="U1392" s="0" t="n">
        <f aca="false">O1392+S1392</f>
        <v>36</v>
      </c>
      <c r="V1392" s="0" t="n">
        <f aca="false">T1392-U1392</f>
        <v>-13</v>
      </c>
      <c r="W1392" s="0" t="n">
        <f aca="false">T1392+U1392</f>
        <v>59</v>
      </c>
    </row>
    <row r="1393" customFormat="false" ht="15" hidden="false" customHeight="false" outlineLevel="0" collapsed="false">
      <c r="A1393" s="0" t="n">
        <v>1390</v>
      </c>
      <c r="B1393" s="0" t="n">
        <f aca="true">NORMINV(RAND(),1,Coefficients!$B$22)</f>
        <v>0.947202760234135</v>
      </c>
      <c r="C1393" s="0" t="n">
        <f aca="true">MEDIAN(8,16,ROUND(NORMINV(RAND(),Coefficients!$B$20,Coefficients!$B$21),0))</f>
        <v>8</v>
      </c>
      <c r="D1393" s="0" t="n">
        <f aca="true">CRITBINOM($C1393,MIN(0.75,Matchup!$B$39*$B1393),RAND())</f>
        <v>1</v>
      </c>
      <c r="E1393" s="0" t="n">
        <f aca="true">CRITBINOM(D1393,Coefficients!$B$30,RAND())</f>
        <v>1</v>
      </c>
      <c r="F1393" s="0" t="n">
        <f aca="true">CRITBINOM(E1393,Coefficients!$B$31,RAND())</f>
        <v>0</v>
      </c>
      <c r="G1393" s="0" t="n">
        <f aca="true">CRITBINOM(MAX(0,D1393-E1393),1-Coefficients!$B$32,RAND())</f>
        <v>0</v>
      </c>
      <c r="H1393" s="0" t="n">
        <f aca="true">CRITBINOM(MAX(0,$C1393-D1393),MIN(0.6,Matchup!$B$40*SQRT($B1393)/(1-MIN(0.75,Matchup!$B$39*$B1393))),RAND())</f>
        <v>1</v>
      </c>
      <c r="I1393" s="0" t="n">
        <f aca="false">6*D1393+(D1393-E1393-G1393)+2*F1393+3*H1393</f>
        <v>9</v>
      </c>
      <c r="J1393" s="0" t="n">
        <f aca="true">CRITBINOM($C1393,MIN(0.75,Matchup!$C$39*$B1393),RAND())</f>
        <v>1</v>
      </c>
      <c r="K1393" s="0" t="n">
        <f aca="true">CRITBINOM(J1393,Coefficients!$B$30,RAND())</f>
        <v>0</v>
      </c>
      <c r="L1393" s="0" t="n">
        <f aca="true">CRITBINOM(K1393,Coefficients!$B$31,RAND())</f>
        <v>0</v>
      </c>
      <c r="M1393" s="0" t="n">
        <f aca="true">CRITBINOM(MAX(0,J1393-K1393),1-Coefficients!$B$32,RAND())</f>
        <v>0</v>
      </c>
      <c r="N1393" s="0" t="n">
        <f aca="true">CRITBINOM(MAX(0,$C1393-J1393),MIN(0.6,Matchup!$C$40*SQRT($B1393)/(1-MIN(0.75,Matchup!$C$39*$B1393))),RAND())</f>
        <v>0</v>
      </c>
      <c r="O1393" s="0" t="n">
        <f aca="false">6*J1393+(J1393-K1393-M1393)+2*L1393+3*N1393</f>
        <v>7</v>
      </c>
      <c r="P1393" s="0" t="n">
        <f aca="true">RAND()</f>
        <v>0.702871306987462</v>
      </c>
      <c r="Q1393" s="0" t="n">
        <f aca="true">RAND()</f>
        <v>0.976480661992441</v>
      </c>
      <c r="R1393" s="0" t="n">
        <f aca="false">IF($I1393&lt;&gt;$O1393,0,IF(P1393&lt;Matchup!$B$39,7,IF(P1393&lt;Matchup!$B$39+Matchup!$B$40,3,0)))</f>
        <v>0</v>
      </c>
      <c r="S1393" s="0" t="n">
        <f aca="false">IF($I1393&lt;&gt;$O1393,0,IF(Q1393&lt;Matchup!$C$39,7,IF(Q1393&lt;Matchup!$C$39+Matchup!$C$40,3,0)))</f>
        <v>0</v>
      </c>
      <c r="T1393" s="0" t="n">
        <f aca="false">I1393+R1393</f>
        <v>9</v>
      </c>
      <c r="U1393" s="0" t="n">
        <f aca="false">O1393+S1393</f>
        <v>7</v>
      </c>
      <c r="V1393" s="0" t="n">
        <f aca="false">T1393-U1393</f>
        <v>2</v>
      </c>
      <c r="W1393" s="0" t="n">
        <f aca="false">T1393+U1393</f>
        <v>16</v>
      </c>
    </row>
    <row r="1394" customFormat="false" ht="15" hidden="false" customHeight="false" outlineLevel="0" collapsed="false">
      <c r="A1394" s="0" t="n">
        <v>1391</v>
      </c>
      <c r="B1394" s="0" t="n">
        <f aca="true">NORMINV(RAND(),1,Coefficients!$B$22)</f>
        <v>0.965033772608882</v>
      </c>
      <c r="C1394" s="0" t="n">
        <f aca="true">MEDIAN(8,16,ROUND(NORMINV(RAND(),Coefficients!$B$20,Coefficients!$B$21),0))</f>
        <v>13</v>
      </c>
      <c r="D1394" s="0" t="n">
        <f aca="true">CRITBINOM($C1394,MIN(0.75,Matchup!$B$39*$B1394),RAND())</f>
        <v>2</v>
      </c>
      <c r="E1394" s="0" t="n">
        <f aca="true">CRITBINOM(D1394,Coefficients!$B$30,RAND())</f>
        <v>0</v>
      </c>
      <c r="F1394" s="0" t="n">
        <f aca="true">CRITBINOM(E1394,Coefficients!$B$31,RAND())</f>
        <v>0</v>
      </c>
      <c r="G1394" s="0" t="n">
        <f aca="true">CRITBINOM(MAX(0,D1394-E1394),1-Coefficients!$B$32,RAND())</f>
        <v>0</v>
      </c>
      <c r="H1394" s="0" t="n">
        <f aca="true">CRITBINOM(MAX(0,$C1394-D1394),MIN(0.6,Matchup!$B$40*SQRT($B1394)/(1-MIN(0.75,Matchup!$B$39*$B1394))),RAND())</f>
        <v>3</v>
      </c>
      <c r="I1394" s="0" t="n">
        <f aca="false">6*D1394+(D1394-E1394-G1394)+2*F1394+3*H1394</f>
        <v>23</v>
      </c>
      <c r="J1394" s="0" t="n">
        <f aca="true">CRITBINOM($C1394,MIN(0.75,Matchup!$C$39*$B1394),RAND())</f>
        <v>3</v>
      </c>
      <c r="K1394" s="0" t="n">
        <f aca="true">CRITBINOM(J1394,Coefficients!$B$30,RAND())</f>
        <v>0</v>
      </c>
      <c r="L1394" s="0" t="n">
        <f aca="true">CRITBINOM(K1394,Coefficients!$B$31,RAND())</f>
        <v>0</v>
      </c>
      <c r="M1394" s="0" t="n">
        <f aca="true">CRITBINOM(MAX(0,J1394-K1394),1-Coefficients!$B$32,RAND())</f>
        <v>0</v>
      </c>
      <c r="N1394" s="0" t="n">
        <f aca="true">CRITBINOM(MAX(0,$C1394-J1394),MIN(0.6,Matchup!$C$40*SQRT($B1394)/(1-MIN(0.75,Matchup!$C$39*$B1394))),RAND())</f>
        <v>0</v>
      </c>
      <c r="O1394" s="0" t="n">
        <f aca="false">6*J1394+(J1394-K1394-M1394)+2*L1394+3*N1394</f>
        <v>21</v>
      </c>
      <c r="P1394" s="0" t="n">
        <f aca="true">RAND()</f>
        <v>0.367390031770419</v>
      </c>
      <c r="Q1394" s="0" t="n">
        <f aca="true">RAND()</f>
        <v>0.261864478792023</v>
      </c>
      <c r="R1394" s="0" t="n">
        <f aca="false">IF($I1394&lt;&gt;$O1394,0,IF(P1394&lt;Matchup!$B$39,7,IF(P1394&lt;Matchup!$B$39+Matchup!$B$40,3,0)))</f>
        <v>0</v>
      </c>
      <c r="S1394" s="0" t="n">
        <f aca="false">IF($I1394&lt;&gt;$O1394,0,IF(Q1394&lt;Matchup!$C$39,7,IF(Q1394&lt;Matchup!$C$39+Matchup!$C$40,3,0)))</f>
        <v>0</v>
      </c>
      <c r="T1394" s="0" t="n">
        <f aca="false">I1394+R1394</f>
        <v>23</v>
      </c>
      <c r="U1394" s="0" t="n">
        <f aca="false">O1394+S1394</f>
        <v>21</v>
      </c>
      <c r="V1394" s="0" t="n">
        <f aca="false">T1394-U1394</f>
        <v>2</v>
      </c>
      <c r="W1394" s="0" t="n">
        <f aca="false">T1394+U1394</f>
        <v>44</v>
      </c>
    </row>
    <row r="1395" customFormat="false" ht="15" hidden="false" customHeight="false" outlineLevel="0" collapsed="false">
      <c r="A1395" s="0" t="n">
        <v>1392</v>
      </c>
      <c r="B1395" s="0" t="n">
        <f aca="true">NORMINV(RAND(),1,Coefficients!$B$22)</f>
        <v>0.965311192531332</v>
      </c>
      <c r="C1395" s="0" t="n">
        <f aca="true">MEDIAN(8,16,ROUND(NORMINV(RAND(),Coefficients!$B$20,Coefficients!$B$21),0))</f>
        <v>13</v>
      </c>
      <c r="D1395" s="0" t="n">
        <f aca="true">CRITBINOM($C1395,MIN(0.75,Matchup!$B$39*$B1395),RAND())</f>
        <v>2</v>
      </c>
      <c r="E1395" s="0" t="n">
        <f aca="true">CRITBINOM(D1395,Coefficients!$B$30,RAND())</f>
        <v>0</v>
      </c>
      <c r="F1395" s="0" t="n">
        <f aca="true">CRITBINOM(E1395,Coefficients!$B$31,RAND())</f>
        <v>0</v>
      </c>
      <c r="G1395" s="0" t="n">
        <f aca="true">CRITBINOM(MAX(0,D1395-E1395),1-Coefficients!$B$32,RAND())</f>
        <v>0</v>
      </c>
      <c r="H1395" s="0" t="n">
        <f aca="true">CRITBINOM(MAX(0,$C1395-D1395),MIN(0.6,Matchup!$B$40*SQRT($B1395)/(1-MIN(0.75,Matchup!$B$39*$B1395))),RAND())</f>
        <v>4</v>
      </c>
      <c r="I1395" s="0" t="n">
        <f aca="false">6*D1395+(D1395-E1395-G1395)+2*F1395+3*H1395</f>
        <v>26</v>
      </c>
      <c r="J1395" s="0" t="n">
        <f aca="true">CRITBINOM($C1395,MIN(0.75,Matchup!$C$39*$B1395),RAND())</f>
        <v>2</v>
      </c>
      <c r="K1395" s="0" t="n">
        <f aca="true">CRITBINOM(J1395,Coefficients!$B$30,RAND())</f>
        <v>0</v>
      </c>
      <c r="L1395" s="0" t="n">
        <f aca="true">CRITBINOM(K1395,Coefficients!$B$31,RAND())</f>
        <v>0</v>
      </c>
      <c r="M1395" s="0" t="n">
        <f aca="true">CRITBINOM(MAX(0,J1395-K1395),1-Coefficients!$B$32,RAND())</f>
        <v>0</v>
      </c>
      <c r="N1395" s="0" t="n">
        <f aca="true">CRITBINOM(MAX(0,$C1395-J1395),MIN(0.6,Matchup!$C$40*SQRT($B1395)/(1-MIN(0.75,Matchup!$C$39*$B1395))),RAND())</f>
        <v>2</v>
      </c>
      <c r="O1395" s="0" t="n">
        <f aca="false">6*J1395+(J1395-K1395-M1395)+2*L1395+3*N1395</f>
        <v>20</v>
      </c>
      <c r="P1395" s="0" t="n">
        <f aca="true">RAND()</f>
        <v>0.287024388685889</v>
      </c>
      <c r="Q1395" s="0" t="n">
        <f aca="true">RAND()</f>
        <v>0.311650528329097</v>
      </c>
      <c r="R1395" s="0" t="n">
        <f aca="false">IF($I1395&lt;&gt;$O1395,0,IF(P1395&lt;Matchup!$B$39,7,IF(P1395&lt;Matchup!$B$39+Matchup!$B$40,3,0)))</f>
        <v>0</v>
      </c>
      <c r="S1395" s="0" t="n">
        <f aca="false">IF($I1395&lt;&gt;$O1395,0,IF(Q1395&lt;Matchup!$C$39,7,IF(Q1395&lt;Matchup!$C$39+Matchup!$C$40,3,0)))</f>
        <v>0</v>
      </c>
      <c r="T1395" s="0" t="n">
        <f aca="false">I1395+R1395</f>
        <v>26</v>
      </c>
      <c r="U1395" s="0" t="n">
        <f aca="false">O1395+S1395</f>
        <v>20</v>
      </c>
      <c r="V1395" s="0" t="n">
        <f aca="false">T1395-U1395</f>
        <v>6</v>
      </c>
      <c r="W1395" s="0" t="n">
        <f aca="false">T1395+U1395</f>
        <v>46</v>
      </c>
    </row>
    <row r="1396" customFormat="false" ht="15" hidden="false" customHeight="false" outlineLevel="0" collapsed="false">
      <c r="A1396" s="0" t="n">
        <v>1393</v>
      </c>
      <c r="B1396" s="0" t="n">
        <f aca="true">NORMINV(RAND(),1,Coefficients!$B$22)</f>
        <v>1.07986455521032</v>
      </c>
      <c r="C1396" s="0" t="n">
        <f aca="true">MEDIAN(8,16,ROUND(NORMINV(RAND(),Coefficients!$B$20,Coefficients!$B$21),0))</f>
        <v>11</v>
      </c>
      <c r="D1396" s="0" t="n">
        <f aca="true">CRITBINOM($C1396,MIN(0.75,Matchup!$B$39*$B1396),RAND())</f>
        <v>6</v>
      </c>
      <c r="E1396" s="0" t="n">
        <f aca="true">CRITBINOM(D1396,Coefficients!$B$30,RAND())</f>
        <v>0</v>
      </c>
      <c r="F1396" s="0" t="n">
        <f aca="true">CRITBINOM(E1396,Coefficients!$B$31,RAND())</f>
        <v>0</v>
      </c>
      <c r="G1396" s="0" t="n">
        <f aca="true">CRITBINOM(MAX(0,D1396-E1396),1-Coefficients!$B$32,RAND())</f>
        <v>0</v>
      </c>
      <c r="H1396" s="0" t="n">
        <f aca="true">CRITBINOM(MAX(0,$C1396-D1396),MIN(0.6,Matchup!$B$40*SQRT($B1396)/(1-MIN(0.75,Matchup!$B$39*$B1396))),RAND())</f>
        <v>1</v>
      </c>
      <c r="I1396" s="0" t="n">
        <f aca="false">6*D1396+(D1396-E1396-G1396)+2*F1396+3*H1396</f>
        <v>45</v>
      </c>
      <c r="J1396" s="0" t="n">
        <f aca="true">CRITBINOM($C1396,MIN(0.75,Matchup!$C$39*$B1396),RAND())</f>
        <v>0</v>
      </c>
      <c r="K1396" s="0" t="n">
        <f aca="true">CRITBINOM(J1396,Coefficients!$B$30,RAND())</f>
        <v>0</v>
      </c>
      <c r="L1396" s="0" t="n">
        <f aca="true">CRITBINOM(K1396,Coefficients!$B$31,RAND())</f>
        <v>0</v>
      </c>
      <c r="M1396" s="0" t="n">
        <f aca="true">CRITBINOM(MAX(0,J1396-K1396),1-Coefficients!$B$32,RAND())</f>
        <v>0</v>
      </c>
      <c r="N1396" s="0" t="n">
        <f aca="true">CRITBINOM(MAX(0,$C1396-J1396),MIN(0.6,Matchup!$C$40*SQRT($B1396)/(1-MIN(0.75,Matchup!$C$39*$B1396))),RAND())</f>
        <v>0</v>
      </c>
      <c r="O1396" s="0" t="n">
        <f aca="false">6*J1396+(J1396-K1396-M1396)+2*L1396+3*N1396</f>
        <v>0</v>
      </c>
      <c r="P1396" s="0" t="n">
        <f aca="true">RAND()</f>
        <v>0.210830295169243</v>
      </c>
      <c r="Q1396" s="0" t="n">
        <f aca="true">RAND()</f>
        <v>0.478555547640368</v>
      </c>
      <c r="R1396" s="0" t="n">
        <f aca="false">IF($I1396&lt;&gt;$O1396,0,IF(P1396&lt;Matchup!$B$39,7,IF(P1396&lt;Matchup!$B$39+Matchup!$B$40,3,0)))</f>
        <v>0</v>
      </c>
      <c r="S1396" s="0" t="n">
        <f aca="false">IF($I1396&lt;&gt;$O1396,0,IF(Q1396&lt;Matchup!$C$39,7,IF(Q1396&lt;Matchup!$C$39+Matchup!$C$40,3,0)))</f>
        <v>0</v>
      </c>
      <c r="T1396" s="0" t="n">
        <f aca="false">I1396+R1396</f>
        <v>45</v>
      </c>
      <c r="U1396" s="0" t="n">
        <f aca="false">O1396+S1396</f>
        <v>0</v>
      </c>
      <c r="V1396" s="0" t="n">
        <f aca="false">T1396-U1396</f>
        <v>45</v>
      </c>
      <c r="W1396" s="0" t="n">
        <f aca="false">T1396+U1396</f>
        <v>45</v>
      </c>
    </row>
    <row r="1397" customFormat="false" ht="15" hidden="false" customHeight="false" outlineLevel="0" collapsed="false">
      <c r="A1397" s="0" t="n">
        <v>1394</v>
      </c>
      <c r="B1397" s="0" t="n">
        <f aca="true">NORMINV(RAND(),1,Coefficients!$B$22)</f>
        <v>1.0117132895998</v>
      </c>
      <c r="C1397" s="0" t="n">
        <f aca="true">MEDIAN(8,16,ROUND(NORMINV(RAND(),Coefficients!$B$20,Coefficients!$B$21),0))</f>
        <v>12</v>
      </c>
      <c r="D1397" s="0" t="n">
        <f aca="true">CRITBINOM($C1397,MIN(0.75,Matchup!$B$39*$B1397),RAND())</f>
        <v>2</v>
      </c>
      <c r="E1397" s="0" t="n">
        <f aca="true">CRITBINOM(D1397,Coefficients!$B$30,RAND())</f>
        <v>0</v>
      </c>
      <c r="F1397" s="0" t="n">
        <f aca="true">CRITBINOM(E1397,Coefficients!$B$31,RAND())</f>
        <v>0</v>
      </c>
      <c r="G1397" s="0" t="n">
        <f aca="true">CRITBINOM(MAX(0,D1397-E1397),1-Coefficients!$B$32,RAND())</f>
        <v>0</v>
      </c>
      <c r="H1397" s="0" t="n">
        <f aca="true">CRITBINOM(MAX(0,$C1397-D1397),MIN(0.6,Matchup!$B$40*SQRT($B1397)/(1-MIN(0.75,Matchup!$B$39*$B1397))),RAND())</f>
        <v>1</v>
      </c>
      <c r="I1397" s="0" t="n">
        <f aca="false">6*D1397+(D1397-E1397-G1397)+2*F1397+3*H1397</f>
        <v>17</v>
      </c>
      <c r="J1397" s="0" t="n">
        <f aca="true">CRITBINOM($C1397,MIN(0.75,Matchup!$C$39*$B1397),RAND())</f>
        <v>3</v>
      </c>
      <c r="K1397" s="0" t="n">
        <f aca="true">CRITBINOM(J1397,Coefficients!$B$30,RAND())</f>
        <v>1</v>
      </c>
      <c r="L1397" s="0" t="n">
        <f aca="true">CRITBINOM(K1397,Coefficients!$B$31,RAND())</f>
        <v>0</v>
      </c>
      <c r="M1397" s="0" t="n">
        <f aca="true">CRITBINOM(MAX(0,J1397-K1397),1-Coefficients!$B$32,RAND())</f>
        <v>0</v>
      </c>
      <c r="N1397" s="0" t="n">
        <f aca="true">CRITBINOM(MAX(0,$C1397-J1397),MIN(0.6,Matchup!$C$40*SQRT($B1397)/(1-MIN(0.75,Matchup!$C$39*$B1397))),RAND())</f>
        <v>2</v>
      </c>
      <c r="O1397" s="0" t="n">
        <f aca="false">6*J1397+(J1397-K1397-M1397)+2*L1397+3*N1397</f>
        <v>26</v>
      </c>
      <c r="P1397" s="0" t="n">
        <f aca="true">RAND()</f>
        <v>0.69835984670163</v>
      </c>
      <c r="Q1397" s="0" t="n">
        <f aca="true">RAND()</f>
        <v>0.668305398787504</v>
      </c>
      <c r="R1397" s="0" t="n">
        <f aca="false">IF($I1397&lt;&gt;$O1397,0,IF(P1397&lt;Matchup!$B$39,7,IF(P1397&lt;Matchup!$B$39+Matchup!$B$40,3,0)))</f>
        <v>0</v>
      </c>
      <c r="S1397" s="0" t="n">
        <f aca="false">IF($I1397&lt;&gt;$O1397,0,IF(Q1397&lt;Matchup!$C$39,7,IF(Q1397&lt;Matchup!$C$39+Matchup!$C$40,3,0)))</f>
        <v>0</v>
      </c>
      <c r="T1397" s="0" t="n">
        <f aca="false">I1397+R1397</f>
        <v>17</v>
      </c>
      <c r="U1397" s="0" t="n">
        <f aca="false">O1397+S1397</f>
        <v>26</v>
      </c>
      <c r="V1397" s="0" t="n">
        <f aca="false">T1397-U1397</f>
        <v>-9</v>
      </c>
      <c r="W1397" s="0" t="n">
        <f aca="false">T1397+U1397</f>
        <v>43</v>
      </c>
    </row>
    <row r="1398" customFormat="false" ht="15" hidden="false" customHeight="false" outlineLevel="0" collapsed="false">
      <c r="A1398" s="0" t="n">
        <v>1395</v>
      </c>
      <c r="B1398" s="0" t="n">
        <f aca="true">NORMINV(RAND(),1,Coefficients!$B$22)</f>
        <v>0.872943829919643</v>
      </c>
      <c r="C1398" s="0" t="n">
        <f aca="true">MEDIAN(8,16,ROUND(NORMINV(RAND(),Coefficients!$B$20,Coefficients!$B$21),0))</f>
        <v>13</v>
      </c>
      <c r="D1398" s="0" t="n">
        <f aca="true">CRITBINOM($C1398,MIN(0.75,Matchup!$B$39*$B1398),RAND())</f>
        <v>5</v>
      </c>
      <c r="E1398" s="0" t="n">
        <f aca="true">CRITBINOM(D1398,Coefficients!$B$30,RAND())</f>
        <v>1</v>
      </c>
      <c r="F1398" s="0" t="n">
        <f aca="true">CRITBINOM(E1398,Coefficients!$B$31,RAND())</f>
        <v>1</v>
      </c>
      <c r="G1398" s="0" t="n">
        <f aca="true">CRITBINOM(MAX(0,D1398-E1398),1-Coefficients!$B$32,RAND())</f>
        <v>0</v>
      </c>
      <c r="H1398" s="0" t="n">
        <f aca="true">CRITBINOM(MAX(0,$C1398-D1398),MIN(0.6,Matchup!$B$40*SQRT($B1398)/(1-MIN(0.75,Matchup!$B$39*$B1398))),RAND())</f>
        <v>1</v>
      </c>
      <c r="I1398" s="0" t="n">
        <f aca="false">6*D1398+(D1398-E1398-G1398)+2*F1398+3*H1398</f>
        <v>39</v>
      </c>
      <c r="J1398" s="0" t="n">
        <f aca="true">CRITBINOM($C1398,MIN(0.75,Matchup!$C$39*$B1398),RAND())</f>
        <v>1</v>
      </c>
      <c r="K1398" s="0" t="n">
        <f aca="true">CRITBINOM(J1398,Coefficients!$B$30,RAND())</f>
        <v>0</v>
      </c>
      <c r="L1398" s="0" t="n">
        <f aca="true">CRITBINOM(K1398,Coefficients!$B$31,RAND())</f>
        <v>0</v>
      </c>
      <c r="M1398" s="0" t="n">
        <f aca="true">CRITBINOM(MAX(0,J1398-K1398),1-Coefficients!$B$32,RAND())</f>
        <v>0</v>
      </c>
      <c r="N1398" s="0" t="n">
        <f aca="true">CRITBINOM(MAX(0,$C1398-J1398),MIN(0.6,Matchup!$C$40*SQRT($B1398)/(1-MIN(0.75,Matchup!$C$39*$B1398))),RAND())</f>
        <v>2</v>
      </c>
      <c r="O1398" s="0" t="n">
        <f aca="false">6*J1398+(J1398-K1398-M1398)+2*L1398+3*N1398</f>
        <v>13</v>
      </c>
      <c r="P1398" s="0" t="n">
        <f aca="true">RAND()</f>
        <v>0.99121655176662</v>
      </c>
      <c r="Q1398" s="0" t="n">
        <f aca="true">RAND()</f>
        <v>0.782335749299881</v>
      </c>
      <c r="R1398" s="0" t="n">
        <f aca="false">IF($I1398&lt;&gt;$O1398,0,IF(P1398&lt;Matchup!$B$39,7,IF(P1398&lt;Matchup!$B$39+Matchup!$B$40,3,0)))</f>
        <v>0</v>
      </c>
      <c r="S1398" s="0" t="n">
        <f aca="false">IF($I1398&lt;&gt;$O1398,0,IF(Q1398&lt;Matchup!$C$39,7,IF(Q1398&lt;Matchup!$C$39+Matchup!$C$40,3,0)))</f>
        <v>0</v>
      </c>
      <c r="T1398" s="0" t="n">
        <f aca="false">I1398+R1398</f>
        <v>39</v>
      </c>
      <c r="U1398" s="0" t="n">
        <f aca="false">O1398+S1398</f>
        <v>13</v>
      </c>
      <c r="V1398" s="0" t="n">
        <f aca="false">T1398-U1398</f>
        <v>26</v>
      </c>
      <c r="W1398" s="0" t="n">
        <f aca="false">T1398+U1398</f>
        <v>52</v>
      </c>
    </row>
    <row r="1399" customFormat="false" ht="15" hidden="false" customHeight="false" outlineLevel="0" collapsed="false">
      <c r="A1399" s="0" t="n">
        <v>1396</v>
      </c>
      <c r="B1399" s="0" t="n">
        <f aca="true">NORMINV(RAND(),1,Coefficients!$B$22)</f>
        <v>0.990911697132094</v>
      </c>
      <c r="C1399" s="0" t="n">
        <f aca="true">MEDIAN(8,16,ROUND(NORMINV(RAND(),Coefficients!$B$20,Coefficients!$B$21),0))</f>
        <v>10</v>
      </c>
      <c r="D1399" s="0" t="n">
        <f aca="true">CRITBINOM($C1399,MIN(0.75,Matchup!$B$39*$B1399),RAND())</f>
        <v>0</v>
      </c>
      <c r="E1399" s="0" t="n">
        <f aca="true">CRITBINOM(D1399,Coefficients!$B$30,RAND())</f>
        <v>0</v>
      </c>
      <c r="F1399" s="0" t="n">
        <f aca="true">CRITBINOM(E1399,Coefficients!$B$31,RAND())</f>
        <v>0</v>
      </c>
      <c r="G1399" s="0" t="n">
        <f aca="true">CRITBINOM(MAX(0,D1399-E1399),1-Coefficients!$B$32,RAND())</f>
        <v>0</v>
      </c>
      <c r="H1399" s="0" t="n">
        <f aca="true">CRITBINOM(MAX(0,$C1399-D1399),MIN(0.6,Matchup!$B$40*SQRT($B1399)/(1-MIN(0.75,Matchup!$B$39*$B1399))),RAND())</f>
        <v>3</v>
      </c>
      <c r="I1399" s="0" t="n">
        <f aca="false">6*D1399+(D1399-E1399-G1399)+2*F1399+3*H1399</f>
        <v>9</v>
      </c>
      <c r="J1399" s="0" t="n">
        <f aca="true">CRITBINOM($C1399,MIN(0.75,Matchup!$C$39*$B1399),RAND())</f>
        <v>5</v>
      </c>
      <c r="K1399" s="0" t="n">
        <f aca="true">CRITBINOM(J1399,Coefficients!$B$30,RAND())</f>
        <v>0</v>
      </c>
      <c r="L1399" s="0" t="n">
        <f aca="true">CRITBINOM(K1399,Coefficients!$B$31,RAND())</f>
        <v>0</v>
      </c>
      <c r="M1399" s="0" t="n">
        <f aca="true">CRITBINOM(MAX(0,J1399-K1399),1-Coefficients!$B$32,RAND())</f>
        <v>1</v>
      </c>
      <c r="N1399" s="0" t="n">
        <f aca="true">CRITBINOM(MAX(0,$C1399-J1399),MIN(0.6,Matchup!$C$40*SQRT($B1399)/(1-MIN(0.75,Matchup!$C$39*$B1399))),RAND())</f>
        <v>1</v>
      </c>
      <c r="O1399" s="0" t="n">
        <f aca="false">6*J1399+(J1399-K1399-M1399)+2*L1399+3*N1399</f>
        <v>37</v>
      </c>
      <c r="P1399" s="0" t="n">
        <f aca="true">RAND()</f>
        <v>0.971987030748827</v>
      </c>
      <c r="Q1399" s="0" t="n">
        <f aca="true">RAND()</f>
        <v>0.0811983703635747</v>
      </c>
      <c r="R1399" s="0" t="n">
        <f aca="false">IF($I1399&lt;&gt;$O1399,0,IF(P1399&lt;Matchup!$B$39,7,IF(P1399&lt;Matchup!$B$39+Matchup!$B$40,3,0)))</f>
        <v>0</v>
      </c>
      <c r="S1399" s="0" t="n">
        <f aca="false">IF($I1399&lt;&gt;$O1399,0,IF(Q1399&lt;Matchup!$C$39,7,IF(Q1399&lt;Matchup!$C$39+Matchup!$C$40,3,0)))</f>
        <v>0</v>
      </c>
      <c r="T1399" s="0" t="n">
        <f aca="false">I1399+R1399</f>
        <v>9</v>
      </c>
      <c r="U1399" s="0" t="n">
        <f aca="false">O1399+S1399</f>
        <v>37</v>
      </c>
      <c r="V1399" s="0" t="n">
        <f aca="false">T1399-U1399</f>
        <v>-28</v>
      </c>
      <c r="W1399" s="0" t="n">
        <f aca="false">T1399+U1399</f>
        <v>46</v>
      </c>
    </row>
    <row r="1400" customFormat="false" ht="15" hidden="false" customHeight="false" outlineLevel="0" collapsed="false">
      <c r="A1400" s="0" t="n">
        <v>1397</v>
      </c>
      <c r="B1400" s="0" t="n">
        <f aca="true">NORMINV(RAND(),1,Coefficients!$B$22)</f>
        <v>0.970489197512214</v>
      </c>
      <c r="C1400" s="0" t="n">
        <f aca="true">MEDIAN(8,16,ROUND(NORMINV(RAND(),Coefficients!$B$20,Coefficients!$B$21),0))</f>
        <v>10</v>
      </c>
      <c r="D1400" s="0" t="n">
        <f aca="true">CRITBINOM($C1400,MIN(0.75,Matchup!$B$39*$B1400),RAND())</f>
        <v>4</v>
      </c>
      <c r="E1400" s="0" t="n">
        <f aca="true">CRITBINOM(D1400,Coefficients!$B$30,RAND())</f>
        <v>0</v>
      </c>
      <c r="F1400" s="0" t="n">
        <f aca="true">CRITBINOM(E1400,Coefficients!$B$31,RAND())</f>
        <v>0</v>
      </c>
      <c r="G1400" s="0" t="n">
        <f aca="true">CRITBINOM(MAX(0,D1400-E1400),1-Coefficients!$B$32,RAND())</f>
        <v>0</v>
      </c>
      <c r="H1400" s="0" t="n">
        <f aca="true">CRITBINOM(MAX(0,$C1400-D1400),MIN(0.6,Matchup!$B$40*SQRT($B1400)/(1-MIN(0.75,Matchup!$B$39*$B1400))),RAND())</f>
        <v>1</v>
      </c>
      <c r="I1400" s="0" t="n">
        <f aca="false">6*D1400+(D1400-E1400-G1400)+2*F1400+3*H1400</f>
        <v>31</v>
      </c>
      <c r="J1400" s="0" t="n">
        <f aca="true">CRITBINOM($C1400,MIN(0.75,Matchup!$C$39*$B1400),RAND())</f>
        <v>5</v>
      </c>
      <c r="K1400" s="0" t="n">
        <f aca="true">CRITBINOM(J1400,Coefficients!$B$30,RAND())</f>
        <v>0</v>
      </c>
      <c r="L1400" s="0" t="n">
        <f aca="true">CRITBINOM(K1400,Coefficients!$B$31,RAND())</f>
        <v>0</v>
      </c>
      <c r="M1400" s="0" t="n">
        <f aca="true">CRITBINOM(MAX(0,J1400-K1400),1-Coefficients!$B$32,RAND())</f>
        <v>0</v>
      </c>
      <c r="N1400" s="0" t="n">
        <f aca="true">CRITBINOM(MAX(0,$C1400-J1400),MIN(0.6,Matchup!$C$40*SQRT($B1400)/(1-MIN(0.75,Matchup!$C$39*$B1400))),RAND())</f>
        <v>0</v>
      </c>
      <c r="O1400" s="0" t="n">
        <f aca="false">6*J1400+(J1400-K1400-M1400)+2*L1400+3*N1400</f>
        <v>35</v>
      </c>
      <c r="P1400" s="0" t="n">
        <f aca="true">RAND()</f>
        <v>0.890683479120229</v>
      </c>
      <c r="Q1400" s="0" t="n">
        <f aca="true">RAND()</f>
        <v>0.170179298368103</v>
      </c>
      <c r="R1400" s="0" t="n">
        <f aca="false">IF($I1400&lt;&gt;$O1400,0,IF(P1400&lt;Matchup!$B$39,7,IF(P1400&lt;Matchup!$B$39+Matchup!$B$40,3,0)))</f>
        <v>0</v>
      </c>
      <c r="S1400" s="0" t="n">
        <f aca="false">IF($I1400&lt;&gt;$O1400,0,IF(Q1400&lt;Matchup!$C$39,7,IF(Q1400&lt;Matchup!$C$39+Matchup!$C$40,3,0)))</f>
        <v>0</v>
      </c>
      <c r="T1400" s="0" t="n">
        <f aca="false">I1400+R1400</f>
        <v>31</v>
      </c>
      <c r="U1400" s="0" t="n">
        <f aca="false">O1400+S1400</f>
        <v>35</v>
      </c>
      <c r="V1400" s="0" t="n">
        <f aca="false">T1400-U1400</f>
        <v>-4</v>
      </c>
      <c r="W1400" s="0" t="n">
        <f aca="false">T1400+U1400</f>
        <v>66</v>
      </c>
    </row>
    <row r="1401" customFormat="false" ht="15" hidden="false" customHeight="false" outlineLevel="0" collapsed="false">
      <c r="A1401" s="0" t="n">
        <v>1398</v>
      </c>
      <c r="B1401" s="0" t="n">
        <f aca="true">NORMINV(RAND(),1,Coefficients!$B$22)</f>
        <v>1.03622597367298</v>
      </c>
      <c r="C1401" s="0" t="n">
        <f aca="true">MEDIAN(8,16,ROUND(NORMINV(RAND(),Coefficients!$B$20,Coefficients!$B$21),0))</f>
        <v>13</v>
      </c>
      <c r="D1401" s="0" t="n">
        <f aca="true">CRITBINOM($C1401,MIN(0.75,Matchup!$B$39*$B1401),RAND())</f>
        <v>7</v>
      </c>
      <c r="E1401" s="0" t="n">
        <f aca="true">CRITBINOM(D1401,Coefficients!$B$30,RAND())</f>
        <v>0</v>
      </c>
      <c r="F1401" s="0" t="n">
        <f aca="true">CRITBINOM(E1401,Coefficients!$B$31,RAND())</f>
        <v>0</v>
      </c>
      <c r="G1401" s="0" t="n">
        <f aca="true">CRITBINOM(MAX(0,D1401-E1401),1-Coefficients!$B$32,RAND())</f>
        <v>0</v>
      </c>
      <c r="H1401" s="0" t="n">
        <f aca="true">CRITBINOM(MAX(0,$C1401-D1401),MIN(0.6,Matchup!$B$40*SQRT($B1401)/(1-MIN(0.75,Matchup!$B$39*$B1401))),RAND())</f>
        <v>2</v>
      </c>
      <c r="I1401" s="0" t="n">
        <f aca="false">6*D1401+(D1401-E1401-G1401)+2*F1401+3*H1401</f>
        <v>55</v>
      </c>
      <c r="J1401" s="0" t="n">
        <f aca="true">CRITBINOM($C1401,MIN(0.75,Matchup!$C$39*$B1401),RAND())</f>
        <v>9</v>
      </c>
      <c r="K1401" s="0" t="n">
        <f aca="true">CRITBINOM(J1401,Coefficients!$B$30,RAND())</f>
        <v>0</v>
      </c>
      <c r="L1401" s="0" t="n">
        <f aca="true">CRITBINOM(K1401,Coefficients!$B$31,RAND())</f>
        <v>0</v>
      </c>
      <c r="M1401" s="0" t="n">
        <f aca="true">CRITBINOM(MAX(0,J1401-K1401),1-Coefficients!$B$32,RAND())</f>
        <v>0</v>
      </c>
      <c r="N1401" s="0" t="n">
        <f aca="true">CRITBINOM(MAX(0,$C1401-J1401),MIN(0.6,Matchup!$C$40*SQRT($B1401)/(1-MIN(0.75,Matchup!$C$39*$B1401))),RAND())</f>
        <v>0</v>
      </c>
      <c r="O1401" s="0" t="n">
        <f aca="false">6*J1401+(J1401-K1401-M1401)+2*L1401+3*N1401</f>
        <v>63</v>
      </c>
      <c r="P1401" s="0" t="n">
        <f aca="true">RAND()</f>
        <v>0.923150191663659</v>
      </c>
      <c r="Q1401" s="0" t="n">
        <f aca="true">RAND()</f>
        <v>0.729397020671739</v>
      </c>
      <c r="R1401" s="0" t="n">
        <f aca="false">IF($I1401&lt;&gt;$O1401,0,IF(P1401&lt;Matchup!$B$39,7,IF(P1401&lt;Matchup!$B$39+Matchup!$B$40,3,0)))</f>
        <v>0</v>
      </c>
      <c r="S1401" s="0" t="n">
        <f aca="false">IF($I1401&lt;&gt;$O1401,0,IF(Q1401&lt;Matchup!$C$39,7,IF(Q1401&lt;Matchup!$C$39+Matchup!$C$40,3,0)))</f>
        <v>0</v>
      </c>
      <c r="T1401" s="0" t="n">
        <f aca="false">I1401+R1401</f>
        <v>55</v>
      </c>
      <c r="U1401" s="0" t="n">
        <f aca="false">O1401+S1401</f>
        <v>63</v>
      </c>
      <c r="V1401" s="0" t="n">
        <f aca="false">T1401-U1401</f>
        <v>-8</v>
      </c>
      <c r="W1401" s="0" t="n">
        <f aca="false">T1401+U1401</f>
        <v>118</v>
      </c>
    </row>
    <row r="1402" customFormat="false" ht="15" hidden="false" customHeight="false" outlineLevel="0" collapsed="false">
      <c r="A1402" s="0" t="n">
        <v>1399</v>
      </c>
      <c r="B1402" s="0" t="n">
        <f aca="true">NORMINV(RAND(),1,Coefficients!$B$22)</f>
        <v>0.97277158712045</v>
      </c>
      <c r="C1402" s="0" t="n">
        <f aca="true">MEDIAN(8,16,ROUND(NORMINV(RAND(),Coefficients!$B$20,Coefficients!$B$21),0))</f>
        <v>13</v>
      </c>
      <c r="D1402" s="0" t="n">
        <f aca="true">CRITBINOM($C1402,MIN(0.75,Matchup!$B$39*$B1402),RAND())</f>
        <v>3</v>
      </c>
      <c r="E1402" s="0" t="n">
        <f aca="true">CRITBINOM(D1402,Coefficients!$B$30,RAND())</f>
        <v>0</v>
      </c>
      <c r="F1402" s="0" t="n">
        <f aca="true">CRITBINOM(E1402,Coefficients!$B$31,RAND())</f>
        <v>0</v>
      </c>
      <c r="G1402" s="0" t="n">
        <f aca="true">CRITBINOM(MAX(0,D1402-E1402),1-Coefficients!$B$32,RAND())</f>
        <v>0</v>
      </c>
      <c r="H1402" s="0" t="n">
        <f aca="true">CRITBINOM(MAX(0,$C1402-D1402),MIN(0.6,Matchup!$B$40*SQRT($B1402)/(1-MIN(0.75,Matchup!$B$39*$B1402))),RAND())</f>
        <v>1</v>
      </c>
      <c r="I1402" s="0" t="n">
        <f aca="false">6*D1402+(D1402-E1402-G1402)+2*F1402+3*H1402</f>
        <v>24</v>
      </c>
      <c r="J1402" s="0" t="n">
        <f aca="true">CRITBINOM($C1402,MIN(0.75,Matchup!$C$39*$B1402),RAND())</f>
        <v>3</v>
      </c>
      <c r="K1402" s="0" t="n">
        <f aca="true">CRITBINOM(J1402,Coefficients!$B$30,RAND())</f>
        <v>0</v>
      </c>
      <c r="L1402" s="0" t="n">
        <f aca="true">CRITBINOM(K1402,Coefficients!$B$31,RAND())</f>
        <v>0</v>
      </c>
      <c r="M1402" s="0" t="n">
        <f aca="true">CRITBINOM(MAX(0,J1402-K1402),1-Coefficients!$B$32,RAND())</f>
        <v>0</v>
      </c>
      <c r="N1402" s="0" t="n">
        <f aca="true">CRITBINOM(MAX(0,$C1402-J1402),MIN(0.6,Matchup!$C$40*SQRT($B1402)/(1-MIN(0.75,Matchup!$C$39*$B1402))),RAND())</f>
        <v>2</v>
      </c>
      <c r="O1402" s="0" t="n">
        <f aca="false">6*J1402+(J1402-K1402-M1402)+2*L1402+3*N1402</f>
        <v>27</v>
      </c>
      <c r="P1402" s="0" t="n">
        <f aca="true">RAND()</f>
        <v>0.514428124978842</v>
      </c>
      <c r="Q1402" s="0" t="n">
        <f aca="true">RAND()</f>
        <v>0.0677702724668509</v>
      </c>
      <c r="R1402" s="0" t="n">
        <f aca="false">IF($I1402&lt;&gt;$O1402,0,IF(P1402&lt;Matchup!$B$39,7,IF(P1402&lt;Matchup!$B$39+Matchup!$B$40,3,0)))</f>
        <v>0</v>
      </c>
      <c r="S1402" s="0" t="n">
        <f aca="false">IF($I1402&lt;&gt;$O1402,0,IF(Q1402&lt;Matchup!$C$39,7,IF(Q1402&lt;Matchup!$C$39+Matchup!$C$40,3,0)))</f>
        <v>0</v>
      </c>
      <c r="T1402" s="0" t="n">
        <f aca="false">I1402+R1402</f>
        <v>24</v>
      </c>
      <c r="U1402" s="0" t="n">
        <f aca="false">O1402+S1402</f>
        <v>27</v>
      </c>
      <c r="V1402" s="0" t="n">
        <f aca="false">T1402-U1402</f>
        <v>-3</v>
      </c>
      <c r="W1402" s="0" t="n">
        <f aca="false">T1402+U1402</f>
        <v>51</v>
      </c>
    </row>
    <row r="1403" customFormat="false" ht="15" hidden="false" customHeight="false" outlineLevel="0" collapsed="false">
      <c r="A1403" s="0" t="n">
        <v>1400</v>
      </c>
      <c r="B1403" s="0" t="n">
        <f aca="true">NORMINV(RAND(),1,Coefficients!$B$22)</f>
        <v>1.11576280979926</v>
      </c>
      <c r="C1403" s="0" t="n">
        <f aca="true">MEDIAN(8,16,ROUND(NORMINV(RAND(),Coefficients!$B$20,Coefficients!$B$21),0))</f>
        <v>11</v>
      </c>
      <c r="D1403" s="0" t="n">
        <f aca="true">CRITBINOM($C1403,MIN(0.75,Matchup!$B$39*$B1403),RAND())</f>
        <v>1</v>
      </c>
      <c r="E1403" s="0" t="n">
        <f aca="true">CRITBINOM(D1403,Coefficients!$B$30,RAND())</f>
        <v>0</v>
      </c>
      <c r="F1403" s="0" t="n">
        <f aca="true">CRITBINOM(E1403,Coefficients!$B$31,RAND())</f>
        <v>0</v>
      </c>
      <c r="G1403" s="0" t="n">
        <f aca="true">CRITBINOM(MAX(0,D1403-E1403),1-Coefficients!$B$32,RAND())</f>
        <v>0</v>
      </c>
      <c r="H1403" s="0" t="n">
        <f aca="true">CRITBINOM(MAX(0,$C1403-D1403),MIN(0.6,Matchup!$B$40*SQRT($B1403)/(1-MIN(0.75,Matchup!$B$39*$B1403))),RAND())</f>
        <v>2</v>
      </c>
      <c r="I1403" s="0" t="n">
        <f aca="false">6*D1403+(D1403-E1403-G1403)+2*F1403+3*H1403</f>
        <v>13</v>
      </c>
      <c r="J1403" s="0" t="n">
        <f aca="true">CRITBINOM($C1403,MIN(0.75,Matchup!$C$39*$B1403),RAND())</f>
        <v>4</v>
      </c>
      <c r="K1403" s="0" t="n">
        <f aca="true">CRITBINOM(J1403,Coefficients!$B$30,RAND())</f>
        <v>1</v>
      </c>
      <c r="L1403" s="0" t="n">
        <f aca="true">CRITBINOM(K1403,Coefficients!$B$31,RAND())</f>
        <v>1</v>
      </c>
      <c r="M1403" s="0" t="n">
        <f aca="true">CRITBINOM(MAX(0,J1403-K1403),1-Coefficients!$B$32,RAND())</f>
        <v>0</v>
      </c>
      <c r="N1403" s="0" t="n">
        <f aca="true">CRITBINOM(MAX(0,$C1403-J1403),MIN(0.6,Matchup!$C$40*SQRT($B1403)/(1-MIN(0.75,Matchup!$C$39*$B1403))),RAND())</f>
        <v>2</v>
      </c>
      <c r="O1403" s="0" t="n">
        <f aca="false">6*J1403+(J1403-K1403-M1403)+2*L1403+3*N1403</f>
        <v>35</v>
      </c>
      <c r="P1403" s="0" t="n">
        <f aca="true">RAND()</f>
        <v>0.245204486691182</v>
      </c>
      <c r="Q1403" s="0" t="n">
        <f aca="true">RAND()</f>
        <v>0.161610230445412</v>
      </c>
      <c r="R1403" s="0" t="n">
        <f aca="false">IF($I1403&lt;&gt;$O1403,0,IF(P1403&lt;Matchup!$B$39,7,IF(P1403&lt;Matchup!$B$39+Matchup!$B$40,3,0)))</f>
        <v>0</v>
      </c>
      <c r="S1403" s="0" t="n">
        <f aca="false">IF($I1403&lt;&gt;$O1403,0,IF(Q1403&lt;Matchup!$C$39,7,IF(Q1403&lt;Matchup!$C$39+Matchup!$C$40,3,0)))</f>
        <v>0</v>
      </c>
      <c r="T1403" s="0" t="n">
        <f aca="false">I1403+R1403</f>
        <v>13</v>
      </c>
      <c r="U1403" s="0" t="n">
        <f aca="false">O1403+S1403</f>
        <v>35</v>
      </c>
      <c r="V1403" s="0" t="n">
        <f aca="false">T1403-U1403</f>
        <v>-22</v>
      </c>
      <c r="W1403" s="0" t="n">
        <f aca="false">T1403+U1403</f>
        <v>48</v>
      </c>
    </row>
    <row r="1404" customFormat="false" ht="15" hidden="false" customHeight="false" outlineLevel="0" collapsed="false">
      <c r="A1404" s="0" t="n">
        <v>1401</v>
      </c>
      <c r="B1404" s="0" t="n">
        <f aca="true">NORMINV(RAND(),1,Coefficients!$B$22)</f>
        <v>0.935786745100088</v>
      </c>
      <c r="C1404" s="0" t="n">
        <f aca="true">MEDIAN(8,16,ROUND(NORMINV(RAND(),Coefficients!$B$20,Coefficients!$B$21),0))</f>
        <v>9</v>
      </c>
      <c r="D1404" s="0" t="n">
        <f aca="true">CRITBINOM($C1404,MIN(0.75,Matchup!$B$39*$B1404),RAND())</f>
        <v>1</v>
      </c>
      <c r="E1404" s="0" t="n">
        <f aca="true">CRITBINOM(D1404,Coefficients!$B$30,RAND())</f>
        <v>1</v>
      </c>
      <c r="F1404" s="0" t="n">
        <f aca="true">CRITBINOM(E1404,Coefficients!$B$31,RAND())</f>
        <v>0</v>
      </c>
      <c r="G1404" s="0" t="n">
        <f aca="true">CRITBINOM(MAX(0,D1404-E1404),1-Coefficients!$B$32,RAND())</f>
        <v>0</v>
      </c>
      <c r="H1404" s="0" t="n">
        <f aca="true">CRITBINOM(MAX(0,$C1404-D1404),MIN(0.6,Matchup!$B$40*SQRT($B1404)/(1-MIN(0.75,Matchup!$B$39*$B1404))),RAND())</f>
        <v>1</v>
      </c>
      <c r="I1404" s="0" t="n">
        <f aca="false">6*D1404+(D1404-E1404-G1404)+2*F1404+3*H1404</f>
        <v>9</v>
      </c>
      <c r="J1404" s="0" t="n">
        <f aca="true">CRITBINOM($C1404,MIN(0.75,Matchup!$C$39*$B1404),RAND())</f>
        <v>1</v>
      </c>
      <c r="K1404" s="0" t="n">
        <f aca="true">CRITBINOM(J1404,Coefficients!$B$30,RAND())</f>
        <v>0</v>
      </c>
      <c r="L1404" s="0" t="n">
        <f aca="true">CRITBINOM(K1404,Coefficients!$B$31,RAND())</f>
        <v>0</v>
      </c>
      <c r="M1404" s="0" t="n">
        <f aca="true">CRITBINOM(MAX(0,J1404-K1404),1-Coefficients!$B$32,RAND())</f>
        <v>0</v>
      </c>
      <c r="N1404" s="0" t="n">
        <f aca="true">CRITBINOM(MAX(0,$C1404-J1404),MIN(0.6,Matchup!$C$40*SQRT($B1404)/(1-MIN(0.75,Matchup!$C$39*$B1404))),RAND())</f>
        <v>1</v>
      </c>
      <c r="O1404" s="0" t="n">
        <f aca="false">6*J1404+(J1404-K1404-M1404)+2*L1404+3*N1404</f>
        <v>10</v>
      </c>
      <c r="P1404" s="0" t="n">
        <f aca="true">RAND()</f>
        <v>0.773798117346487</v>
      </c>
      <c r="Q1404" s="0" t="n">
        <f aca="true">RAND()</f>
        <v>0.191328824011017</v>
      </c>
      <c r="R1404" s="0" t="n">
        <f aca="false">IF($I1404&lt;&gt;$O1404,0,IF(P1404&lt;Matchup!$B$39,7,IF(P1404&lt;Matchup!$B$39+Matchup!$B$40,3,0)))</f>
        <v>0</v>
      </c>
      <c r="S1404" s="0" t="n">
        <f aca="false">IF($I1404&lt;&gt;$O1404,0,IF(Q1404&lt;Matchup!$C$39,7,IF(Q1404&lt;Matchup!$C$39+Matchup!$C$40,3,0)))</f>
        <v>0</v>
      </c>
      <c r="T1404" s="0" t="n">
        <f aca="false">I1404+R1404</f>
        <v>9</v>
      </c>
      <c r="U1404" s="0" t="n">
        <f aca="false">O1404+S1404</f>
        <v>10</v>
      </c>
      <c r="V1404" s="0" t="n">
        <f aca="false">T1404-U1404</f>
        <v>-1</v>
      </c>
      <c r="W1404" s="0" t="n">
        <f aca="false">T1404+U1404</f>
        <v>19</v>
      </c>
    </row>
    <row r="1405" customFormat="false" ht="15" hidden="false" customHeight="false" outlineLevel="0" collapsed="false">
      <c r="A1405" s="0" t="n">
        <v>1402</v>
      </c>
      <c r="B1405" s="0" t="n">
        <f aca="true">NORMINV(RAND(),1,Coefficients!$B$22)</f>
        <v>0.875295607375211</v>
      </c>
      <c r="C1405" s="0" t="n">
        <f aca="true">MEDIAN(8,16,ROUND(NORMINV(RAND(),Coefficients!$B$20,Coefficients!$B$21),0))</f>
        <v>12</v>
      </c>
      <c r="D1405" s="0" t="n">
        <f aca="true">CRITBINOM($C1405,MIN(0.75,Matchup!$B$39*$B1405),RAND())</f>
        <v>4</v>
      </c>
      <c r="E1405" s="0" t="n">
        <f aca="true">CRITBINOM(D1405,Coefficients!$B$30,RAND())</f>
        <v>0</v>
      </c>
      <c r="F1405" s="0" t="n">
        <f aca="true">CRITBINOM(E1405,Coefficients!$B$31,RAND())</f>
        <v>0</v>
      </c>
      <c r="G1405" s="0" t="n">
        <f aca="true">CRITBINOM(MAX(0,D1405-E1405),1-Coefficients!$B$32,RAND())</f>
        <v>0</v>
      </c>
      <c r="H1405" s="0" t="n">
        <f aca="true">CRITBINOM(MAX(0,$C1405-D1405),MIN(0.6,Matchup!$B$40*SQRT($B1405)/(1-MIN(0.75,Matchup!$B$39*$B1405))),RAND())</f>
        <v>0</v>
      </c>
      <c r="I1405" s="0" t="n">
        <f aca="false">6*D1405+(D1405-E1405-G1405)+2*F1405+3*H1405</f>
        <v>28</v>
      </c>
      <c r="J1405" s="0" t="n">
        <f aca="true">CRITBINOM($C1405,MIN(0.75,Matchup!$C$39*$B1405),RAND())</f>
        <v>6</v>
      </c>
      <c r="K1405" s="0" t="n">
        <f aca="true">CRITBINOM(J1405,Coefficients!$B$30,RAND())</f>
        <v>2</v>
      </c>
      <c r="L1405" s="0" t="n">
        <f aca="true">CRITBINOM(K1405,Coefficients!$B$31,RAND())</f>
        <v>1</v>
      </c>
      <c r="M1405" s="0" t="n">
        <f aca="true">CRITBINOM(MAX(0,J1405-K1405),1-Coefficients!$B$32,RAND())</f>
        <v>1</v>
      </c>
      <c r="N1405" s="0" t="n">
        <f aca="true">CRITBINOM(MAX(0,$C1405-J1405),MIN(0.6,Matchup!$C$40*SQRT($B1405)/(1-MIN(0.75,Matchup!$C$39*$B1405))),RAND())</f>
        <v>1</v>
      </c>
      <c r="O1405" s="0" t="n">
        <f aca="false">6*J1405+(J1405-K1405-M1405)+2*L1405+3*N1405</f>
        <v>44</v>
      </c>
      <c r="P1405" s="0" t="n">
        <f aca="true">RAND()</f>
        <v>0.671476173679703</v>
      </c>
      <c r="Q1405" s="0" t="n">
        <f aca="true">RAND()</f>
        <v>0.240072785611023</v>
      </c>
      <c r="R1405" s="0" t="n">
        <f aca="false">IF($I1405&lt;&gt;$O1405,0,IF(P1405&lt;Matchup!$B$39,7,IF(P1405&lt;Matchup!$B$39+Matchup!$B$40,3,0)))</f>
        <v>0</v>
      </c>
      <c r="S1405" s="0" t="n">
        <f aca="false">IF($I1405&lt;&gt;$O1405,0,IF(Q1405&lt;Matchup!$C$39,7,IF(Q1405&lt;Matchup!$C$39+Matchup!$C$40,3,0)))</f>
        <v>0</v>
      </c>
      <c r="T1405" s="0" t="n">
        <f aca="false">I1405+R1405</f>
        <v>28</v>
      </c>
      <c r="U1405" s="0" t="n">
        <f aca="false">O1405+S1405</f>
        <v>44</v>
      </c>
      <c r="V1405" s="0" t="n">
        <f aca="false">T1405-U1405</f>
        <v>-16</v>
      </c>
      <c r="W1405" s="0" t="n">
        <f aca="false">T1405+U1405</f>
        <v>72</v>
      </c>
    </row>
    <row r="1406" customFormat="false" ht="15" hidden="false" customHeight="false" outlineLevel="0" collapsed="false">
      <c r="A1406" s="0" t="n">
        <v>1403</v>
      </c>
      <c r="B1406" s="0" t="n">
        <f aca="true">NORMINV(RAND(),1,Coefficients!$B$22)</f>
        <v>1.03499093749022</v>
      </c>
      <c r="C1406" s="0" t="n">
        <f aca="true">MEDIAN(8,16,ROUND(NORMINV(RAND(),Coefficients!$B$20,Coefficients!$B$21),0))</f>
        <v>10</v>
      </c>
      <c r="D1406" s="0" t="n">
        <f aca="true">CRITBINOM($C1406,MIN(0.75,Matchup!$B$39*$B1406),RAND())</f>
        <v>4</v>
      </c>
      <c r="E1406" s="0" t="n">
        <f aca="true">CRITBINOM(D1406,Coefficients!$B$30,RAND())</f>
        <v>0</v>
      </c>
      <c r="F1406" s="0" t="n">
        <f aca="true">CRITBINOM(E1406,Coefficients!$B$31,RAND())</f>
        <v>0</v>
      </c>
      <c r="G1406" s="0" t="n">
        <f aca="true">CRITBINOM(MAX(0,D1406-E1406),1-Coefficients!$B$32,RAND())</f>
        <v>0</v>
      </c>
      <c r="H1406" s="0" t="n">
        <f aca="true">CRITBINOM(MAX(0,$C1406-D1406),MIN(0.6,Matchup!$B$40*SQRT($B1406)/(1-MIN(0.75,Matchup!$B$39*$B1406))),RAND())</f>
        <v>0</v>
      </c>
      <c r="I1406" s="0" t="n">
        <f aca="false">6*D1406+(D1406-E1406-G1406)+2*F1406+3*H1406</f>
        <v>28</v>
      </c>
      <c r="J1406" s="0" t="n">
        <f aca="true">CRITBINOM($C1406,MIN(0.75,Matchup!$C$39*$B1406),RAND())</f>
        <v>2</v>
      </c>
      <c r="K1406" s="0" t="n">
        <f aca="true">CRITBINOM(J1406,Coefficients!$B$30,RAND())</f>
        <v>0</v>
      </c>
      <c r="L1406" s="0" t="n">
        <f aca="true">CRITBINOM(K1406,Coefficients!$B$31,RAND())</f>
        <v>0</v>
      </c>
      <c r="M1406" s="0" t="n">
        <f aca="true">CRITBINOM(MAX(0,J1406-K1406),1-Coefficients!$B$32,RAND())</f>
        <v>1</v>
      </c>
      <c r="N1406" s="0" t="n">
        <f aca="true">CRITBINOM(MAX(0,$C1406-J1406),MIN(0.6,Matchup!$C$40*SQRT($B1406)/(1-MIN(0.75,Matchup!$C$39*$B1406))),RAND())</f>
        <v>3</v>
      </c>
      <c r="O1406" s="0" t="n">
        <f aca="false">6*J1406+(J1406-K1406-M1406)+2*L1406+3*N1406</f>
        <v>22</v>
      </c>
      <c r="P1406" s="0" t="n">
        <f aca="true">RAND()</f>
        <v>0.376289845588131</v>
      </c>
      <c r="Q1406" s="0" t="n">
        <f aca="true">RAND()</f>
        <v>0.854789587913094</v>
      </c>
      <c r="R1406" s="0" t="n">
        <f aca="false">IF($I1406&lt;&gt;$O1406,0,IF(P1406&lt;Matchup!$B$39,7,IF(P1406&lt;Matchup!$B$39+Matchup!$B$40,3,0)))</f>
        <v>0</v>
      </c>
      <c r="S1406" s="0" t="n">
        <f aca="false">IF($I1406&lt;&gt;$O1406,0,IF(Q1406&lt;Matchup!$C$39,7,IF(Q1406&lt;Matchup!$C$39+Matchup!$C$40,3,0)))</f>
        <v>0</v>
      </c>
      <c r="T1406" s="0" t="n">
        <f aca="false">I1406+R1406</f>
        <v>28</v>
      </c>
      <c r="U1406" s="0" t="n">
        <f aca="false">O1406+S1406</f>
        <v>22</v>
      </c>
      <c r="V1406" s="0" t="n">
        <f aca="false">T1406-U1406</f>
        <v>6</v>
      </c>
      <c r="W1406" s="0" t="n">
        <f aca="false">T1406+U1406</f>
        <v>50</v>
      </c>
    </row>
    <row r="1407" customFormat="false" ht="15" hidden="false" customHeight="false" outlineLevel="0" collapsed="false">
      <c r="A1407" s="0" t="n">
        <v>1404</v>
      </c>
      <c r="B1407" s="0" t="n">
        <f aca="true">NORMINV(RAND(),1,Coefficients!$B$22)</f>
        <v>0.940505013958976</v>
      </c>
      <c r="C1407" s="0" t="n">
        <f aca="true">MEDIAN(8,16,ROUND(NORMINV(RAND(),Coefficients!$B$20,Coefficients!$B$21),0))</f>
        <v>11</v>
      </c>
      <c r="D1407" s="0" t="n">
        <f aca="true">CRITBINOM($C1407,MIN(0.75,Matchup!$B$39*$B1407),RAND())</f>
        <v>5</v>
      </c>
      <c r="E1407" s="0" t="n">
        <f aca="true">CRITBINOM(D1407,Coefficients!$B$30,RAND())</f>
        <v>0</v>
      </c>
      <c r="F1407" s="0" t="n">
        <f aca="true">CRITBINOM(E1407,Coefficients!$B$31,RAND())</f>
        <v>0</v>
      </c>
      <c r="G1407" s="0" t="n">
        <f aca="true">CRITBINOM(MAX(0,D1407-E1407),1-Coefficients!$B$32,RAND())</f>
        <v>0</v>
      </c>
      <c r="H1407" s="0" t="n">
        <f aca="true">CRITBINOM(MAX(0,$C1407-D1407),MIN(0.6,Matchup!$B$40*SQRT($B1407)/(1-MIN(0.75,Matchup!$B$39*$B1407))),RAND())</f>
        <v>1</v>
      </c>
      <c r="I1407" s="0" t="n">
        <f aca="false">6*D1407+(D1407-E1407-G1407)+2*F1407+3*H1407</f>
        <v>38</v>
      </c>
      <c r="J1407" s="0" t="n">
        <f aca="true">CRITBINOM($C1407,MIN(0.75,Matchup!$C$39*$B1407),RAND())</f>
        <v>2</v>
      </c>
      <c r="K1407" s="0" t="n">
        <f aca="true">CRITBINOM(J1407,Coefficients!$B$30,RAND())</f>
        <v>1</v>
      </c>
      <c r="L1407" s="0" t="n">
        <f aca="true">CRITBINOM(K1407,Coefficients!$B$31,RAND())</f>
        <v>0</v>
      </c>
      <c r="M1407" s="0" t="n">
        <f aca="true">CRITBINOM(MAX(0,J1407-K1407),1-Coefficients!$B$32,RAND())</f>
        <v>0</v>
      </c>
      <c r="N1407" s="0" t="n">
        <f aca="true">CRITBINOM(MAX(0,$C1407-J1407),MIN(0.6,Matchup!$C$40*SQRT($B1407)/(1-MIN(0.75,Matchup!$C$39*$B1407))),RAND())</f>
        <v>1</v>
      </c>
      <c r="O1407" s="0" t="n">
        <f aca="false">6*J1407+(J1407-K1407-M1407)+2*L1407+3*N1407</f>
        <v>16</v>
      </c>
      <c r="P1407" s="0" t="n">
        <f aca="true">RAND()</f>
        <v>0.991962419464421</v>
      </c>
      <c r="Q1407" s="0" t="n">
        <f aca="true">RAND()</f>
        <v>0.0988573514946137</v>
      </c>
      <c r="R1407" s="0" t="n">
        <f aca="false">IF($I1407&lt;&gt;$O1407,0,IF(P1407&lt;Matchup!$B$39,7,IF(P1407&lt;Matchup!$B$39+Matchup!$B$40,3,0)))</f>
        <v>0</v>
      </c>
      <c r="S1407" s="0" t="n">
        <f aca="false">IF($I1407&lt;&gt;$O1407,0,IF(Q1407&lt;Matchup!$C$39,7,IF(Q1407&lt;Matchup!$C$39+Matchup!$C$40,3,0)))</f>
        <v>0</v>
      </c>
      <c r="T1407" s="0" t="n">
        <f aca="false">I1407+R1407</f>
        <v>38</v>
      </c>
      <c r="U1407" s="0" t="n">
        <f aca="false">O1407+S1407</f>
        <v>16</v>
      </c>
      <c r="V1407" s="0" t="n">
        <f aca="false">T1407-U1407</f>
        <v>22</v>
      </c>
      <c r="W1407" s="0" t="n">
        <f aca="false">T1407+U1407</f>
        <v>54</v>
      </c>
    </row>
    <row r="1408" customFormat="false" ht="15" hidden="false" customHeight="false" outlineLevel="0" collapsed="false">
      <c r="A1408" s="0" t="n">
        <v>1405</v>
      </c>
      <c r="B1408" s="0" t="n">
        <f aca="true">NORMINV(RAND(),1,Coefficients!$B$22)</f>
        <v>0.906623824845772</v>
      </c>
      <c r="C1408" s="0" t="n">
        <f aca="true">MEDIAN(8,16,ROUND(NORMINV(RAND(),Coefficients!$B$20,Coefficients!$B$21),0))</f>
        <v>12</v>
      </c>
      <c r="D1408" s="0" t="n">
        <f aca="true">CRITBINOM($C1408,MIN(0.75,Matchup!$B$39*$B1408),RAND())</f>
        <v>5</v>
      </c>
      <c r="E1408" s="0" t="n">
        <f aca="true">CRITBINOM(D1408,Coefficients!$B$30,RAND())</f>
        <v>1</v>
      </c>
      <c r="F1408" s="0" t="n">
        <f aca="true">CRITBINOM(E1408,Coefficients!$B$31,RAND())</f>
        <v>1</v>
      </c>
      <c r="G1408" s="0" t="n">
        <f aca="true">CRITBINOM(MAX(0,D1408-E1408),1-Coefficients!$B$32,RAND())</f>
        <v>0</v>
      </c>
      <c r="H1408" s="0" t="n">
        <f aca="true">CRITBINOM(MAX(0,$C1408-D1408),MIN(0.6,Matchup!$B$40*SQRT($B1408)/(1-MIN(0.75,Matchup!$B$39*$B1408))),RAND())</f>
        <v>1</v>
      </c>
      <c r="I1408" s="0" t="n">
        <f aca="false">6*D1408+(D1408-E1408-G1408)+2*F1408+3*H1408</f>
        <v>39</v>
      </c>
      <c r="J1408" s="0" t="n">
        <f aca="true">CRITBINOM($C1408,MIN(0.75,Matchup!$C$39*$B1408),RAND())</f>
        <v>3</v>
      </c>
      <c r="K1408" s="0" t="n">
        <f aca="true">CRITBINOM(J1408,Coefficients!$B$30,RAND())</f>
        <v>1</v>
      </c>
      <c r="L1408" s="0" t="n">
        <f aca="true">CRITBINOM(K1408,Coefficients!$B$31,RAND())</f>
        <v>1</v>
      </c>
      <c r="M1408" s="0" t="n">
        <f aca="true">CRITBINOM(MAX(0,J1408-K1408),1-Coefficients!$B$32,RAND())</f>
        <v>0</v>
      </c>
      <c r="N1408" s="0" t="n">
        <f aca="true">CRITBINOM(MAX(0,$C1408-J1408),MIN(0.6,Matchup!$C$40*SQRT($B1408)/(1-MIN(0.75,Matchup!$C$39*$B1408))),RAND())</f>
        <v>1</v>
      </c>
      <c r="O1408" s="0" t="n">
        <f aca="false">6*J1408+(J1408-K1408-M1408)+2*L1408+3*N1408</f>
        <v>25</v>
      </c>
      <c r="P1408" s="0" t="n">
        <f aca="true">RAND()</f>
        <v>0.4967265238706</v>
      </c>
      <c r="Q1408" s="0" t="n">
        <f aca="true">RAND()</f>
        <v>0.552247758433448</v>
      </c>
      <c r="R1408" s="0" t="n">
        <f aca="false">IF($I1408&lt;&gt;$O1408,0,IF(P1408&lt;Matchup!$B$39,7,IF(P1408&lt;Matchup!$B$39+Matchup!$B$40,3,0)))</f>
        <v>0</v>
      </c>
      <c r="S1408" s="0" t="n">
        <f aca="false">IF($I1408&lt;&gt;$O1408,0,IF(Q1408&lt;Matchup!$C$39,7,IF(Q1408&lt;Matchup!$C$39+Matchup!$C$40,3,0)))</f>
        <v>0</v>
      </c>
      <c r="T1408" s="0" t="n">
        <f aca="false">I1408+R1408</f>
        <v>39</v>
      </c>
      <c r="U1408" s="0" t="n">
        <f aca="false">O1408+S1408</f>
        <v>25</v>
      </c>
      <c r="V1408" s="0" t="n">
        <f aca="false">T1408-U1408</f>
        <v>14</v>
      </c>
      <c r="W1408" s="0" t="n">
        <f aca="false">T1408+U1408</f>
        <v>64</v>
      </c>
    </row>
    <row r="1409" customFormat="false" ht="15" hidden="false" customHeight="false" outlineLevel="0" collapsed="false">
      <c r="A1409" s="0" t="n">
        <v>1406</v>
      </c>
      <c r="B1409" s="0" t="n">
        <f aca="true">NORMINV(RAND(),1,Coefficients!$B$22)</f>
        <v>0.944915970787299</v>
      </c>
      <c r="C1409" s="0" t="n">
        <f aca="true">MEDIAN(8,16,ROUND(NORMINV(RAND(),Coefficients!$B$20,Coefficients!$B$21),0))</f>
        <v>11</v>
      </c>
      <c r="D1409" s="0" t="n">
        <f aca="true">CRITBINOM($C1409,MIN(0.75,Matchup!$B$39*$B1409),RAND())</f>
        <v>2</v>
      </c>
      <c r="E1409" s="0" t="n">
        <f aca="true">CRITBINOM(D1409,Coefficients!$B$30,RAND())</f>
        <v>0</v>
      </c>
      <c r="F1409" s="0" t="n">
        <f aca="true">CRITBINOM(E1409,Coefficients!$B$31,RAND())</f>
        <v>0</v>
      </c>
      <c r="G1409" s="0" t="n">
        <f aca="true">CRITBINOM(MAX(0,D1409-E1409),1-Coefficients!$B$32,RAND())</f>
        <v>0</v>
      </c>
      <c r="H1409" s="0" t="n">
        <f aca="true">CRITBINOM(MAX(0,$C1409-D1409),MIN(0.6,Matchup!$B$40*SQRT($B1409)/(1-MIN(0.75,Matchup!$B$39*$B1409))),RAND())</f>
        <v>1</v>
      </c>
      <c r="I1409" s="0" t="n">
        <f aca="false">6*D1409+(D1409-E1409-G1409)+2*F1409+3*H1409</f>
        <v>17</v>
      </c>
      <c r="J1409" s="0" t="n">
        <f aca="true">CRITBINOM($C1409,MIN(0.75,Matchup!$C$39*$B1409),RAND())</f>
        <v>1</v>
      </c>
      <c r="K1409" s="0" t="n">
        <f aca="true">CRITBINOM(J1409,Coefficients!$B$30,RAND())</f>
        <v>0</v>
      </c>
      <c r="L1409" s="0" t="n">
        <f aca="true">CRITBINOM(K1409,Coefficients!$B$31,RAND())</f>
        <v>0</v>
      </c>
      <c r="M1409" s="0" t="n">
        <f aca="true">CRITBINOM(MAX(0,J1409-K1409),1-Coefficients!$B$32,RAND())</f>
        <v>0</v>
      </c>
      <c r="N1409" s="0" t="n">
        <f aca="true">CRITBINOM(MAX(0,$C1409-J1409),MIN(0.6,Matchup!$C$40*SQRT($B1409)/(1-MIN(0.75,Matchup!$C$39*$B1409))),RAND())</f>
        <v>2</v>
      </c>
      <c r="O1409" s="0" t="n">
        <f aca="false">6*J1409+(J1409-K1409-M1409)+2*L1409+3*N1409</f>
        <v>13</v>
      </c>
      <c r="P1409" s="0" t="n">
        <f aca="true">RAND()</f>
        <v>0.30211029524088</v>
      </c>
      <c r="Q1409" s="0" t="n">
        <f aca="true">RAND()</f>
        <v>0.854107156775262</v>
      </c>
      <c r="R1409" s="0" t="n">
        <f aca="false">IF($I1409&lt;&gt;$O1409,0,IF(P1409&lt;Matchup!$B$39,7,IF(P1409&lt;Matchup!$B$39+Matchup!$B$40,3,0)))</f>
        <v>0</v>
      </c>
      <c r="S1409" s="0" t="n">
        <f aca="false">IF($I1409&lt;&gt;$O1409,0,IF(Q1409&lt;Matchup!$C$39,7,IF(Q1409&lt;Matchup!$C$39+Matchup!$C$40,3,0)))</f>
        <v>0</v>
      </c>
      <c r="T1409" s="0" t="n">
        <f aca="false">I1409+R1409</f>
        <v>17</v>
      </c>
      <c r="U1409" s="0" t="n">
        <f aca="false">O1409+S1409</f>
        <v>13</v>
      </c>
      <c r="V1409" s="0" t="n">
        <f aca="false">T1409-U1409</f>
        <v>4</v>
      </c>
      <c r="W1409" s="0" t="n">
        <f aca="false">T1409+U1409</f>
        <v>30</v>
      </c>
    </row>
    <row r="1410" customFormat="false" ht="15" hidden="false" customHeight="false" outlineLevel="0" collapsed="false">
      <c r="A1410" s="0" t="n">
        <v>1407</v>
      </c>
      <c r="B1410" s="0" t="n">
        <f aca="true">NORMINV(RAND(),1,Coefficients!$B$22)</f>
        <v>0.857942588415011</v>
      </c>
      <c r="C1410" s="0" t="n">
        <f aca="true">MEDIAN(8,16,ROUND(NORMINV(RAND(),Coefficients!$B$20,Coefficients!$B$21),0))</f>
        <v>10</v>
      </c>
      <c r="D1410" s="0" t="n">
        <f aca="true">CRITBINOM($C1410,MIN(0.75,Matchup!$B$39*$B1410),RAND())</f>
        <v>2</v>
      </c>
      <c r="E1410" s="0" t="n">
        <f aca="true">CRITBINOM(D1410,Coefficients!$B$30,RAND())</f>
        <v>0</v>
      </c>
      <c r="F1410" s="0" t="n">
        <f aca="true">CRITBINOM(E1410,Coefficients!$B$31,RAND())</f>
        <v>0</v>
      </c>
      <c r="G1410" s="0" t="n">
        <f aca="true">CRITBINOM(MAX(0,D1410-E1410),1-Coefficients!$B$32,RAND())</f>
        <v>0</v>
      </c>
      <c r="H1410" s="0" t="n">
        <f aca="true">CRITBINOM(MAX(0,$C1410-D1410),MIN(0.6,Matchup!$B$40*SQRT($B1410)/(1-MIN(0.75,Matchup!$B$39*$B1410))),RAND())</f>
        <v>2</v>
      </c>
      <c r="I1410" s="0" t="n">
        <f aca="false">6*D1410+(D1410-E1410-G1410)+2*F1410+3*H1410</f>
        <v>20</v>
      </c>
      <c r="J1410" s="0" t="n">
        <f aca="true">CRITBINOM($C1410,MIN(0.75,Matchup!$C$39*$B1410),RAND())</f>
        <v>4</v>
      </c>
      <c r="K1410" s="0" t="n">
        <f aca="true">CRITBINOM(J1410,Coefficients!$B$30,RAND())</f>
        <v>0</v>
      </c>
      <c r="L1410" s="0" t="n">
        <f aca="true">CRITBINOM(K1410,Coefficients!$B$31,RAND())</f>
        <v>0</v>
      </c>
      <c r="M1410" s="0" t="n">
        <f aca="true">CRITBINOM(MAX(0,J1410-K1410),1-Coefficients!$B$32,RAND())</f>
        <v>0</v>
      </c>
      <c r="N1410" s="0" t="n">
        <f aca="true">CRITBINOM(MAX(0,$C1410-J1410),MIN(0.6,Matchup!$C$40*SQRT($B1410)/(1-MIN(0.75,Matchup!$C$39*$B1410))),RAND())</f>
        <v>2</v>
      </c>
      <c r="O1410" s="0" t="n">
        <f aca="false">6*J1410+(J1410-K1410-M1410)+2*L1410+3*N1410</f>
        <v>34</v>
      </c>
      <c r="P1410" s="0" t="n">
        <f aca="true">RAND()</f>
        <v>0.0260714859022731</v>
      </c>
      <c r="Q1410" s="0" t="n">
        <f aca="true">RAND()</f>
        <v>0.354797688681003</v>
      </c>
      <c r="R1410" s="0" t="n">
        <f aca="false">IF($I1410&lt;&gt;$O1410,0,IF(P1410&lt;Matchup!$B$39,7,IF(P1410&lt;Matchup!$B$39+Matchup!$B$40,3,0)))</f>
        <v>0</v>
      </c>
      <c r="S1410" s="0" t="n">
        <f aca="false">IF($I1410&lt;&gt;$O1410,0,IF(Q1410&lt;Matchup!$C$39,7,IF(Q1410&lt;Matchup!$C$39+Matchup!$C$40,3,0)))</f>
        <v>0</v>
      </c>
      <c r="T1410" s="0" t="n">
        <f aca="false">I1410+R1410</f>
        <v>20</v>
      </c>
      <c r="U1410" s="0" t="n">
        <f aca="false">O1410+S1410</f>
        <v>34</v>
      </c>
      <c r="V1410" s="0" t="n">
        <f aca="false">T1410-U1410</f>
        <v>-14</v>
      </c>
      <c r="W1410" s="0" t="n">
        <f aca="false">T1410+U1410</f>
        <v>54</v>
      </c>
    </row>
    <row r="1411" customFormat="false" ht="15" hidden="false" customHeight="false" outlineLevel="0" collapsed="false">
      <c r="A1411" s="0" t="n">
        <v>1408</v>
      </c>
      <c r="B1411" s="0" t="n">
        <f aca="true">NORMINV(RAND(),1,Coefficients!$B$22)</f>
        <v>0.998848697212326</v>
      </c>
      <c r="C1411" s="0" t="n">
        <f aca="true">MEDIAN(8,16,ROUND(NORMINV(RAND(),Coefficients!$B$20,Coefficients!$B$21),0))</f>
        <v>11</v>
      </c>
      <c r="D1411" s="0" t="n">
        <f aca="true">CRITBINOM($C1411,MIN(0.75,Matchup!$B$39*$B1411),RAND())</f>
        <v>1</v>
      </c>
      <c r="E1411" s="0" t="n">
        <f aca="true">CRITBINOM(D1411,Coefficients!$B$30,RAND())</f>
        <v>0</v>
      </c>
      <c r="F1411" s="0" t="n">
        <f aca="true">CRITBINOM(E1411,Coefficients!$B$31,RAND())</f>
        <v>0</v>
      </c>
      <c r="G1411" s="0" t="n">
        <f aca="true">CRITBINOM(MAX(0,D1411-E1411),1-Coefficients!$B$32,RAND())</f>
        <v>1</v>
      </c>
      <c r="H1411" s="0" t="n">
        <f aca="true">CRITBINOM(MAX(0,$C1411-D1411),MIN(0.6,Matchup!$B$40*SQRT($B1411)/(1-MIN(0.75,Matchup!$B$39*$B1411))),RAND())</f>
        <v>2</v>
      </c>
      <c r="I1411" s="0" t="n">
        <f aca="false">6*D1411+(D1411-E1411-G1411)+2*F1411+3*H1411</f>
        <v>12</v>
      </c>
      <c r="J1411" s="0" t="n">
        <f aca="true">CRITBINOM($C1411,MIN(0.75,Matchup!$C$39*$B1411),RAND())</f>
        <v>4</v>
      </c>
      <c r="K1411" s="0" t="n">
        <f aca="true">CRITBINOM(J1411,Coefficients!$B$30,RAND())</f>
        <v>0</v>
      </c>
      <c r="L1411" s="0" t="n">
        <f aca="true">CRITBINOM(K1411,Coefficients!$B$31,RAND())</f>
        <v>0</v>
      </c>
      <c r="M1411" s="0" t="n">
        <f aca="true">CRITBINOM(MAX(0,J1411-K1411),1-Coefficients!$B$32,RAND())</f>
        <v>0</v>
      </c>
      <c r="N1411" s="0" t="n">
        <f aca="true">CRITBINOM(MAX(0,$C1411-J1411),MIN(0.6,Matchup!$C$40*SQRT($B1411)/(1-MIN(0.75,Matchup!$C$39*$B1411))),RAND())</f>
        <v>1</v>
      </c>
      <c r="O1411" s="0" t="n">
        <f aca="false">6*J1411+(J1411-K1411-M1411)+2*L1411+3*N1411</f>
        <v>31</v>
      </c>
      <c r="P1411" s="0" t="n">
        <f aca="true">RAND()</f>
        <v>0.559883013650187</v>
      </c>
      <c r="Q1411" s="0" t="n">
        <f aca="true">RAND()</f>
        <v>0.757705909008697</v>
      </c>
      <c r="R1411" s="0" t="n">
        <f aca="false">IF($I1411&lt;&gt;$O1411,0,IF(P1411&lt;Matchup!$B$39,7,IF(P1411&lt;Matchup!$B$39+Matchup!$B$40,3,0)))</f>
        <v>0</v>
      </c>
      <c r="S1411" s="0" t="n">
        <f aca="false">IF($I1411&lt;&gt;$O1411,0,IF(Q1411&lt;Matchup!$C$39,7,IF(Q1411&lt;Matchup!$C$39+Matchup!$C$40,3,0)))</f>
        <v>0</v>
      </c>
      <c r="T1411" s="0" t="n">
        <f aca="false">I1411+R1411</f>
        <v>12</v>
      </c>
      <c r="U1411" s="0" t="n">
        <f aca="false">O1411+S1411</f>
        <v>31</v>
      </c>
      <c r="V1411" s="0" t="n">
        <f aca="false">T1411-U1411</f>
        <v>-19</v>
      </c>
      <c r="W1411" s="0" t="n">
        <f aca="false">T1411+U1411</f>
        <v>43</v>
      </c>
    </row>
    <row r="1412" customFormat="false" ht="15" hidden="false" customHeight="false" outlineLevel="0" collapsed="false">
      <c r="A1412" s="0" t="n">
        <v>1409</v>
      </c>
      <c r="B1412" s="0" t="n">
        <f aca="true">NORMINV(RAND(),1,Coefficients!$B$22)</f>
        <v>1.04082361348005</v>
      </c>
      <c r="C1412" s="0" t="n">
        <f aca="true">MEDIAN(8,16,ROUND(NORMINV(RAND(),Coefficients!$B$20,Coefficients!$B$21),0))</f>
        <v>10</v>
      </c>
      <c r="D1412" s="0" t="n">
        <f aca="true">CRITBINOM($C1412,MIN(0.75,Matchup!$B$39*$B1412),RAND())</f>
        <v>3</v>
      </c>
      <c r="E1412" s="0" t="n">
        <f aca="true">CRITBINOM(D1412,Coefficients!$B$30,RAND())</f>
        <v>0</v>
      </c>
      <c r="F1412" s="0" t="n">
        <f aca="true">CRITBINOM(E1412,Coefficients!$B$31,RAND())</f>
        <v>0</v>
      </c>
      <c r="G1412" s="0" t="n">
        <f aca="true">CRITBINOM(MAX(0,D1412-E1412),1-Coefficients!$B$32,RAND())</f>
        <v>0</v>
      </c>
      <c r="H1412" s="0" t="n">
        <f aca="true">CRITBINOM(MAX(0,$C1412-D1412),MIN(0.6,Matchup!$B$40*SQRT($B1412)/(1-MIN(0.75,Matchup!$B$39*$B1412))),RAND())</f>
        <v>3</v>
      </c>
      <c r="I1412" s="0" t="n">
        <f aca="false">6*D1412+(D1412-E1412-G1412)+2*F1412+3*H1412</f>
        <v>30</v>
      </c>
      <c r="J1412" s="0" t="n">
        <f aca="true">CRITBINOM($C1412,MIN(0.75,Matchup!$C$39*$B1412),RAND())</f>
        <v>1</v>
      </c>
      <c r="K1412" s="0" t="n">
        <f aca="true">CRITBINOM(J1412,Coefficients!$B$30,RAND())</f>
        <v>0</v>
      </c>
      <c r="L1412" s="0" t="n">
        <f aca="true">CRITBINOM(K1412,Coefficients!$B$31,RAND())</f>
        <v>0</v>
      </c>
      <c r="M1412" s="0" t="n">
        <f aca="true">CRITBINOM(MAX(0,J1412-K1412),1-Coefficients!$B$32,RAND())</f>
        <v>0</v>
      </c>
      <c r="N1412" s="0" t="n">
        <f aca="true">CRITBINOM(MAX(0,$C1412-J1412),MIN(0.6,Matchup!$C$40*SQRT($B1412)/(1-MIN(0.75,Matchup!$C$39*$B1412))),RAND())</f>
        <v>1</v>
      </c>
      <c r="O1412" s="0" t="n">
        <f aca="false">6*J1412+(J1412-K1412-M1412)+2*L1412+3*N1412</f>
        <v>10</v>
      </c>
      <c r="P1412" s="0" t="n">
        <f aca="true">RAND()</f>
        <v>0.670534974229009</v>
      </c>
      <c r="Q1412" s="0" t="n">
        <f aca="true">RAND()</f>
        <v>0.924436213983328</v>
      </c>
      <c r="R1412" s="0" t="n">
        <f aca="false">IF($I1412&lt;&gt;$O1412,0,IF(P1412&lt;Matchup!$B$39,7,IF(P1412&lt;Matchup!$B$39+Matchup!$B$40,3,0)))</f>
        <v>0</v>
      </c>
      <c r="S1412" s="0" t="n">
        <f aca="false">IF($I1412&lt;&gt;$O1412,0,IF(Q1412&lt;Matchup!$C$39,7,IF(Q1412&lt;Matchup!$C$39+Matchup!$C$40,3,0)))</f>
        <v>0</v>
      </c>
      <c r="T1412" s="0" t="n">
        <f aca="false">I1412+R1412</f>
        <v>30</v>
      </c>
      <c r="U1412" s="0" t="n">
        <f aca="false">O1412+S1412</f>
        <v>10</v>
      </c>
      <c r="V1412" s="0" t="n">
        <f aca="false">T1412-U1412</f>
        <v>20</v>
      </c>
      <c r="W1412" s="0" t="n">
        <f aca="false">T1412+U1412</f>
        <v>40</v>
      </c>
    </row>
    <row r="1413" customFormat="false" ht="15" hidden="false" customHeight="false" outlineLevel="0" collapsed="false">
      <c r="A1413" s="0" t="n">
        <v>1410</v>
      </c>
      <c r="B1413" s="0" t="n">
        <f aca="true">NORMINV(RAND(),1,Coefficients!$B$22)</f>
        <v>0.953709139522766</v>
      </c>
      <c r="C1413" s="0" t="n">
        <f aca="true">MEDIAN(8,16,ROUND(NORMINV(RAND(),Coefficients!$B$20,Coefficients!$B$21),0))</f>
        <v>11</v>
      </c>
      <c r="D1413" s="0" t="n">
        <f aca="true">CRITBINOM($C1413,MIN(0.75,Matchup!$B$39*$B1413),RAND())</f>
        <v>5</v>
      </c>
      <c r="E1413" s="0" t="n">
        <f aca="true">CRITBINOM(D1413,Coefficients!$B$30,RAND())</f>
        <v>1</v>
      </c>
      <c r="F1413" s="0" t="n">
        <f aca="true">CRITBINOM(E1413,Coefficients!$B$31,RAND())</f>
        <v>0</v>
      </c>
      <c r="G1413" s="0" t="n">
        <f aca="true">CRITBINOM(MAX(0,D1413-E1413),1-Coefficients!$B$32,RAND())</f>
        <v>0</v>
      </c>
      <c r="H1413" s="0" t="n">
        <f aca="true">CRITBINOM(MAX(0,$C1413-D1413),MIN(0.6,Matchup!$B$40*SQRT($B1413)/(1-MIN(0.75,Matchup!$B$39*$B1413))),RAND())</f>
        <v>3</v>
      </c>
      <c r="I1413" s="0" t="n">
        <f aca="false">6*D1413+(D1413-E1413-G1413)+2*F1413+3*H1413</f>
        <v>43</v>
      </c>
      <c r="J1413" s="0" t="n">
        <f aca="true">CRITBINOM($C1413,MIN(0.75,Matchup!$C$39*$B1413),RAND())</f>
        <v>3</v>
      </c>
      <c r="K1413" s="0" t="n">
        <f aca="true">CRITBINOM(J1413,Coefficients!$B$30,RAND())</f>
        <v>0</v>
      </c>
      <c r="L1413" s="0" t="n">
        <f aca="true">CRITBINOM(K1413,Coefficients!$B$31,RAND())</f>
        <v>0</v>
      </c>
      <c r="M1413" s="0" t="n">
        <f aca="true">CRITBINOM(MAX(0,J1413-K1413),1-Coefficients!$B$32,RAND())</f>
        <v>0</v>
      </c>
      <c r="N1413" s="0" t="n">
        <f aca="true">CRITBINOM(MAX(0,$C1413-J1413),MIN(0.6,Matchup!$C$40*SQRT($B1413)/(1-MIN(0.75,Matchup!$C$39*$B1413))),RAND())</f>
        <v>0</v>
      </c>
      <c r="O1413" s="0" t="n">
        <f aca="false">6*J1413+(J1413-K1413-M1413)+2*L1413+3*N1413</f>
        <v>21</v>
      </c>
      <c r="P1413" s="0" t="n">
        <f aca="true">RAND()</f>
        <v>0.706693639489793</v>
      </c>
      <c r="Q1413" s="0" t="n">
        <f aca="true">RAND()</f>
        <v>0.148934937216249</v>
      </c>
      <c r="R1413" s="0" t="n">
        <f aca="false">IF($I1413&lt;&gt;$O1413,0,IF(P1413&lt;Matchup!$B$39,7,IF(P1413&lt;Matchup!$B$39+Matchup!$B$40,3,0)))</f>
        <v>0</v>
      </c>
      <c r="S1413" s="0" t="n">
        <f aca="false">IF($I1413&lt;&gt;$O1413,0,IF(Q1413&lt;Matchup!$C$39,7,IF(Q1413&lt;Matchup!$C$39+Matchup!$C$40,3,0)))</f>
        <v>0</v>
      </c>
      <c r="T1413" s="0" t="n">
        <f aca="false">I1413+R1413</f>
        <v>43</v>
      </c>
      <c r="U1413" s="0" t="n">
        <f aca="false">O1413+S1413</f>
        <v>21</v>
      </c>
      <c r="V1413" s="0" t="n">
        <f aca="false">T1413-U1413</f>
        <v>22</v>
      </c>
      <c r="W1413" s="0" t="n">
        <f aca="false">T1413+U1413</f>
        <v>64</v>
      </c>
    </row>
    <row r="1414" customFormat="false" ht="15" hidden="false" customHeight="false" outlineLevel="0" collapsed="false">
      <c r="A1414" s="0" t="n">
        <v>1411</v>
      </c>
      <c r="B1414" s="0" t="n">
        <f aca="true">NORMINV(RAND(),1,Coefficients!$B$22)</f>
        <v>1.05722331842952</v>
      </c>
      <c r="C1414" s="0" t="n">
        <f aca="true">MEDIAN(8,16,ROUND(NORMINV(RAND(),Coefficients!$B$20,Coefficients!$B$21),0))</f>
        <v>13</v>
      </c>
      <c r="D1414" s="0" t="n">
        <f aca="true">CRITBINOM($C1414,MIN(0.75,Matchup!$B$39*$B1414),RAND())</f>
        <v>4</v>
      </c>
      <c r="E1414" s="0" t="n">
        <f aca="true">CRITBINOM(D1414,Coefficients!$B$30,RAND())</f>
        <v>0</v>
      </c>
      <c r="F1414" s="0" t="n">
        <f aca="true">CRITBINOM(E1414,Coefficients!$B$31,RAND())</f>
        <v>0</v>
      </c>
      <c r="G1414" s="0" t="n">
        <f aca="true">CRITBINOM(MAX(0,D1414-E1414),1-Coefficients!$B$32,RAND())</f>
        <v>0</v>
      </c>
      <c r="H1414" s="0" t="n">
        <f aca="true">CRITBINOM(MAX(0,$C1414-D1414),MIN(0.6,Matchup!$B$40*SQRT($B1414)/(1-MIN(0.75,Matchup!$B$39*$B1414))),RAND())</f>
        <v>1</v>
      </c>
      <c r="I1414" s="0" t="n">
        <f aca="false">6*D1414+(D1414-E1414-G1414)+2*F1414+3*H1414</f>
        <v>31</v>
      </c>
      <c r="J1414" s="0" t="n">
        <f aca="true">CRITBINOM($C1414,MIN(0.75,Matchup!$C$39*$B1414),RAND())</f>
        <v>4</v>
      </c>
      <c r="K1414" s="0" t="n">
        <f aca="true">CRITBINOM(J1414,Coefficients!$B$30,RAND())</f>
        <v>0</v>
      </c>
      <c r="L1414" s="0" t="n">
        <f aca="true">CRITBINOM(K1414,Coefficients!$B$31,RAND())</f>
        <v>0</v>
      </c>
      <c r="M1414" s="0" t="n">
        <f aca="true">CRITBINOM(MAX(0,J1414-K1414),1-Coefficients!$B$32,RAND())</f>
        <v>0</v>
      </c>
      <c r="N1414" s="0" t="n">
        <f aca="true">CRITBINOM(MAX(0,$C1414-J1414),MIN(0.6,Matchup!$C$40*SQRT($B1414)/(1-MIN(0.75,Matchup!$C$39*$B1414))),RAND())</f>
        <v>1</v>
      </c>
      <c r="O1414" s="0" t="n">
        <f aca="false">6*J1414+(J1414-K1414-M1414)+2*L1414+3*N1414</f>
        <v>31</v>
      </c>
      <c r="P1414" s="0" t="n">
        <f aca="true">RAND()</f>
        <v>0.311624009483714</v>
      </c>
      <c r="Q1414" s="0" t="n">
        <f aca="true">RAND()</f>
        <v>0.382889757855469</v>
      </c>
      <c r="R1414" s="0" t="n">
        <f aca="false">IF($I1414&lt;&gt;$O1414,0,IF(P1414&lt;Matchup!$B$39,7,IF(P1414&lt;Matchup!$B$39+Matchup!$B$40,3,0)))</f>
        <v>3</v>
      </c>
      <c r="S1414" s="0" t="n">
        <f aca="false">IF($I1414&lt;&gt;$O1414,0,IF(Q1414&lt;Matchup!$C$39,7,IF(Q1414&lt;Matchup!$C$39+Matchup!$C$40,3,0)))</f>
        <v>0</v>
      </c>
      <c r="T1414" s="0" t="n">
        <f aca="false">I1414+R1414</f>
        <v>34</v>
      </c>
      <c r="U1414" s="0" t="n">
        <f aca="false">O1414+S1414</f>
        <v>31</v>
      </c>
      <c r="V1414" s="0" t="n">
        <f aca="false">T1414-U1414</f>
        <v>3</v>
      </c>
      <c r="W1414" s="0" t="n">
        <f aca="false">T1414+U1414</f>
        <v>65</v>
      </c>
    </row>
    <row r="1415" customFormat="false" ht="15" hidden="false" customHeight="false" outlineLevel="0" collapsed="false">
      <c r="A1415" s="0" t="n">
        <v>1412</v>
      </c>
      <c r="B1415" s="0" t="n">
        <f aca="true">NORMINV(RAND(),1,Coefficients!$B$22)</f>
        <v>1.10814674340076</v>
      </c>
      <c r="C1415" s="0" t="n">
        <f aca="true">MEDIAN(8,16,ROUND(NORMINV(RAND(),Coefficients!$B$20,Coefficients!$B$21),0))</f>
        <v>8</v>
      </c>
      <c r="D1415" s="0" t="n">
        <f aca="true">CRITBINOM($C1415,MIN(0.75,Matchup!$B$39*$B1415),RAND())</f>
        <v>3</v>
      </c>
      <c r="E1415" s="0" t="n">
        <f aca="true">CRITBINOM(D1415,Coefficients!$B$30,RAND())</f>
        <v>0</v>
      </c>
      <c r="F1415" s="0" t="n">
        <f aca="true">CRITBINOM(E1415,Coefficients!$B$31,RAND())</f>
        <v>0</v>
      </c>
      <c r="G1415" s="0" t="n">
        <f aca="true">CRITBINOM(MAX(0,D1415-E1415),1-Coefficients!$B$32,RAND())</f>
        <v>0</v>
      </c>
      <c r="H1415" s="0" t="n">
        <f aca="true">CRITBINOM(MAX(0,$C1415-D1415),MIN(0.6,Matchup!$B$40*SQRT($B1415)/(1-MIN(0.75,Matchup!$B$39*$B1415))),RAND())</f>
        <v>1</v>
      </c>
      <c r="I1415" s="0" t="n">
        <f aca="false">6*D1415+(D1415-E1415-G1415)+2*F1415+3*H1415</f>
        <v>24</v>
      </c>
      <c r="J1415" s="0" t="n">
        <f aca="true">CRITBINOM($C1415,MIN(0.75,Matchup!$C$39*$B1415),RAND())</f>
        <v>2</v>
      </c>
      <c r="K1415" s="0" t="n">
        <f aca="true">CRITBINOM(J1415,Coefficients!$B$30,RAND())</f>
        <v>0</v>
      </c>
      <c r="L1415" s="0" t="n">
        <f aca="true">CRITBINOM(K1415,Coefficients!$B$31,RAND())</f>
        <v>0</v>
      </c>
      <c r="M1415" s="0" t="n">
        <f aca="true">CRITBINOM(MAX(0,J1415-K1415),1-Coefficients!$B$32,RAND())</f>
        <v>0</v>
      </c>
      <c r="N1415" s="0" t="n">
        <f aca="true">CRITBINOM(MAX(0,$C1415-J1415),MIN(0.6,Matchup!$C$40*SQRT($B1415)/(1-MIN(0.75,Matchup!$C$39*$B1415))),RAND())</f>
        <v>2</v>
      </c>
      <c r="O1415" s="0" t="n">
        <f aca="false">6*J1415+(J1415-K1415-M1415)+2*L1415+3*N1415</f>
        <v>20</v>
      </c>
      <c r="P1415" s="0" t="n">
        <f aca="true">RAND()</f>
        <v>0.327069774876243</v>
      </c>
      <c r="Q1415" s="0" t="n">
        <f aca="true">RAND()</f>
        <v>0.611761938076593</v>
      </c>
      <c r="R1415" s="0" t="n">
        <f aca="false">IF($I1415&lt;&gt;$O1415,0,IF(P1415&lt;Matchup!$B$39,7,IF(P1415&lt;Matchup!$B$39+Matchup!$B$40,3,0)))</f>
        <v>0</v>
      </c>
      <c r="S1415" s="0" t="n">
        <f aca="false">IF($I1415&lt;&gt;$O1415,0,IF(Q1415&lt;Matchup!$C$39,7,IF(Q1415&lt;Matchup!$C$39+Matchup!$C$40,3,0)))</f>
        <v>0</v>
      </c>
      <c r="T1415" s="0" t="n">
        <f aca="false">I1415+R1415</f>
        <v>24</v>
      </c>
      <c r="U1415" s="0" t="n">
        <f aca="false">O1415+S1415</f>
        <v>20</v>
      </c>
      <c r="V1415" s="0" t="n">
        <f aca="false">T1415-U1415</f>
        <v>4</v>
      </c>
      <c r="W1415" s="0" t="n">
        <f aca="false">T1415+U1415</f>
        <v>44</v>
      </c>
    </row>
    <row r="1416" customFormat="false" ht="15" hidden="false" customHeight="false" outlineLevel="0" collapsed="false">
      <c r="A1416" s="0" t="n">
        <v>1413</v>
      </c>
      <c r="B1416" s="0" t="n">
        <f aca="true">NORMINV(RAND(),1,Coefficients!$B$22)</f>
        <v>0.998170432439932</v>
      </c>
      <c r="C1416" s="0" t="n">
        <f aca="true">MEDIAN(8,16,ROUND(NORMINV(RAND(),Coefficients!$B$20,Coefficients!$B$21),0))</f>
        <v>10</v>
      </c>
      <c r="D1416" s="0" t="n">
        <f aca="true">CRITBINOM($C1416,MIN(0.75,Matchup!$B$39*$B1416),RAND())</f>
        <v>1</v>
      </c>
      <c r="E1416" s="0" t="n">
        <f aca="true">CRITBINOM(D1416,Coefficients!$B$30,RAND())</f>
        <v>0</v>
      </c>
      <c r="F1416" s="0" t="n">
        <f aca="true">CRITBINOM(E1416,Coefficients!$B$31,RAND())</f>
        <v>0</v>
      </c>
      <c r="G1416" s="0" t="n">
        <f aca="true">CRITBINOM(MAX(0,D1416-E1416),1-Coefficients!$B$32,RAND())</f>
        <v>0</v>
      </c>
      <c r="H1416" s="0" t="n">
        <f aca="true">CRITBINOM(MAX(0,$C1416-D1416),MIN(0.6,Matchup!$B$40*SQRT($B1416)/(1-MIN(0.75,Matchup!$B$39*$B1416))),RAND())</f>
        <v>2</v>
      </c>
      <c r="I1416" s="0" t="n">
        <f aca="false">6*D1416+(D1416-E1416-G1416)+2*F1416+3*H1416</f>
        <v>13</v>
      </c>
      <c r="J1416" s="0" t="n">
        <f aca="true">CRITBINOM($C1416,MIN(0.75,Matchup!$C$39*$B1416),RAND())</f>
        <v>5</v>
      </c>
      <c r="K1416" s="0" t="n">
        <f aca="true">CRITBINOM(J1416,Coefficients!$B$30,RAND())</f>
        <v>0</v>
      </c>
      <c r="L1416" s="0" t="n">
        <f aca="true">CRITBINOM(K1416,Coefficients!$B$31,RAND())</f>
        <v>0</v>
      </c>
      <c r="M1416" s="0" t="n">
        <f aca="true">CRITBINOM(MAX(0,J1416-K1416),1-Coefficients!$B$32,RAND())</f>
        <v>1</v>
      </c>
      <c r="N1416" s="0" t="n">
        <f aca="true">CRITBINOM(MAX(0,$C1416-J1416),MIN(0.6,Matchup!$C$40*SQRT($B1416)/(1-MIN(0.75,Matchup!$C$39*$B1416))),RAND())</f>
        <v>1</v>
      </c>
      <c r="O1416" s="0" t="n">
        <f aca="false">6*J1416+(J1416-K1416-M1416)+2*L1416+3*N1416</f>
        <v>37</v>
      </c>
      <c r="P1416" s="0" t="n">
        <f aca="true">RAND()</f>
        <v>0.515483738847143</v>
      </c>
      <c r="Q1416" s="0" t="n">
        <f aca="true">RAND()</f>
        <v>0.677330942387971</v>
      </c>
      <c r="R1416" s="0" t="n">
        <f aca="false">IF($I1416&lt;&gt;$O1416,0,IF(P1416&lt;Matchup!$B$39,7,IF(P1416&lt;Matchup!$B$39+Matchup!$B$40,3,0)))</f>
        <v>0</v>
      </c>
      <c r="S1416" s="0" t="n">
        <f aca="false">IF($I1416&lt;&gt;$O1416,0,IF(Q1416&lt;Matchup!$C$39,7,IF(Q1416&lt;Matchup!$C$39+Matchup!$C$40,3,0)))</f>
        <v>0</v>
      </c>
      <c r="T1416" s="0" t="n">
        <f aca="false">I1416+R1416</f>
        <v>13</v>
      </c>
      <c r="U1416" s="0" t="n">
        <f aca="false">O1416+S1416</f>
        <v>37</v>
      </c>
      <c r="V1416" s="0" t="n">
        <f aca="false">T1416-U1416</f>
        <v>-24</v>
      </c>
      <c r="W1416" s="0" t="n">
        <f aca="false">T1416+U1416</f>
        <v>50</v>
      </c>
    </row>
    <row r="1417" customFormat="false" ht="15" hidden="false" customHeight="false" outlineLevel="0" collapsed="false">
      <c r="A1417" s="0" t="n">
        <v>1414</v>
      </c>
      <c r="B1417" s="0" t="n">
        <f aca="true">NORMINV(RAND(),1,Coefficients!$B$22)</f>
        <v>0.989806554385872</v>
      </c>
      <c r="C1417" s="0" t="n">
        <f aca="true">MEDIAN(8,16,ROUND(NORMINV(RAND(),Coefficients!$B$20,Coefficients!$B$21),0))</f>
        <v>13</v>
      </c>
      <c r="D1417" s="0" t="n">
        <f aca="true">CRITBINOM($C1417,MIN(0.75,Matchup!$B$39*$B1417),RAND())</f>
        <v>4</v>
      </c>
      <c r="E1417" s="0" t="n">
        <f aca="true">CRITBINOM(D1417,Coefficients!$B$30,RAND())</f>
        <v>0</v>
      </c>
      <c r="F1417" s="0" t="n">
        <f aca="true">CRITBINOM(E1417,Coefficients!$B$31,RAND())</f>
        <v>0</v>
      </c>
      <c r="G1417" s="0" t="n">
        <f aca="true">CRITBINOM(MAX(0,D1417-E1417),1-Coefficients!$B$32,RAND())</f>
        <v>0</v>
      </c>
      <c r="H1417" s="0" t="n">
        <f aca="true">CRITBINOM(MAX(0,$C1417-D1417),MIN(0.6,Matchup!$B$40*SQRT($B1417)/(1-MIN(0.75,Matchup!$B$39*$B1417))),RAND())</f>
        <v>2</v>
      </c>
      <c r="I1417" s="0" t="n">
        <f aca="false">6*D1417+(D1417-E1417-G1417)+2*F1417+3*H1417</f>
        <v>34</v>
      </c>
      <c r="J1417" s="0" t="n">
        <f aca="true">CRITBINOM($C1417,MIN(0.75,Matchup!$C$39*$B1417),RAND())</f>
        <v>3</v>
      </c>
      <c r="K1417" s="0" t="n">
        <f aca="true">CRITBINOM(J1417,Coefficients!$B$30,RAND())</f>
        <v>0</v>
      </c>
      <c r="L1417" s="0" t="n">
        <f aca="true">CRITBINOM(K1417,Coefficients!$B$31,RAND())</f>
        <v>0</v>
      </c>
      <c r="M1417" s="0" t="n">
        <f aca="true">CRITBINOM(MAX(0,J1417-K1417),1-Coefficients!$B$32,RAND())</f>
        <v>0</v>
      </c>
      <c r="N1417" s="0" t="n">
        <f aca="true">CRITBINOM(MAX(0,$C1417-J1417),MIN(0.6,Matchup!$C$40*SQRT($B1417)/(1-MIN(0.75,Matchup!$C$39*$B1417))),RAND())</f>
        <v>1</v>
      </c>
      <c r="O1417" s="0" t="n">
        <f aca="false">6*J1417+(J1417-K1417-M1417)+2*L1417+3*N1417</f>
        <v>24</v>
      </c>
      <c r="P1417" s="0" t="n">
        <f aca="true">RAND()</f>
        <v>0.124915976022108</v>
      </c>
      <c r="Q1417" s="0" t="n">
        <f aca="true">RAND()</f>
        <v>0.674209379020708</v>
      </c>
      <c r="R1417" s="0" t="n">
        <f aca="false">IF($I1417&lt;&gt;$O1417,0,IF(P1417&lt;Matchup!$B$39,7,IF(P1417&lt;Matchup!$B$39+Matchup!$B$40,3,0)))</f>
        <v>0</v>
      </c>
      <c r="S1417" s="0" t="n">
        <f aca="false">IF($I1417&lt;&gt;$O1417,0,IF(Q1417&lt;Matchup!$C$39,7,IF(Q1417&lt;Matchup!$C$39+Matchup!$C$40,3,0)))</f>
        <v>0</v>
      </c>
      <c r="T1417" s="0" t="n">
        <f aca="false">I1417+R1417</f>
        <v>34</v>
      </c>
      <c r="U1417" s="0" t="n">
        <f aca="false">O1417+S1417</f>
        <v>24</v>
      </c>
      <c r="V1417" s="0" t="n">
        <f aca="false">T1417-U1417</f>
        <v>10</v>
      </c>
      <c r="W1417" s="0" t="n">
        <f aca="false">T1417+U1417</f>
        <v>58</v>
      </c>
    </row>
    <row r="1418" customFormat="false" ht="15" hidden="false" customHeight="false" outlineLevel="0" collapsed="false">
      <c r="A1418" s="0" t="n">
        <v>1415</v>
      </c>
      <c r="B1418" s="0" t="n">
        <f aca="true">NORMINV(RAND(),1,Coefficients!$B$22)</f>
        <v>0.841454816990038</v>
      </c>
      <c r="C1418" s="0" t="n">
        <f aca="true">MEDIAN(8,16,ROUND(NORMINV(RAND(),Coefficients!$B$20,Coefficients!$B$21),0))</f>
        <v>12</v>
      </c>
      <c r="D1418" s="0" t="n">
        <f aca="true">CRITBINOM($C1418,MIN(0.75,Matchup!$B$39*$B1418),RAND())</f>
        <v>3</v>
      </c>
      <c r="E1418" s="0" t="n">
        <f aca="true">CRITBINOM(D1418,Coefficients!$B$30,RAND())</f>
        <v>0</v>
      </c>
      <c r="F1418" s="0" t="n">
        <f aca="true">CRITBINOM(E1418,Coefficients!$B$31,RAND())</f>
        <v>0</v>
      </c>
      <c r="G1418" s="0" t="n">
        <f aca="true">CRITBINOM(MAX(0,D1418-E1418),1-Coefficients!$B$32,RAND())</f>
        <v>0</v>
      </c>
      <c r="H1418" s="0" t="n">
        <f aca="true">CRITBINOM(MAX(0,$C1418-D1418),MIN(0.6,Matchup!$B$40*SQRT($B1418)/(1-MIN(0.75,Matchup!$B$39*$B1418))),RAND())</f>
        <v>2</v>
      </c>
      <c r="I1418" s="0" t="n">
        <f aca="false">6*D1418+(D1418-E1418-G1418)+2*F1418+3*H1418</f>
        <v>27</v>
      </c>
      <c r="J1418" s="0" t="n">
        <f aca="true">CRITBINOM($C1418,MIN(0.75,Matchup!$C$39*$B1418),RAND())</f>
        <v>3</v>
      </c>
      <c r="K1418" s="0" t="n">
        <f aca="true">CRITBINOM(J1418,Coefficients!$B$30,RAND())</f>
        <v>0</v>
      </c>
      <c r="L1418" s="0" t="n">
        <f aca="true">CRITBINOM(K1418,Coefficients!$B$31,RAND())</f>
        <v>0</v>
      </c>
      <c r="M1418" s="0" t="n">
        <f aca="true">CRITBINOM(MAX(0,J1418-K1418),1-Coefficients!$B$32,RAND())</f>
        <v>0</v>
      </c>
      <c r="N1418" s="0" t="n">
        <f aca="true">CRITBINOM(MAX(0,$C1418-J1418),MIN(0.6,Matchup!$C$40*SQRT($B1418)/(1-MIN(0.75,Matchup!$C$39*$B1418))),RAND())</f>
        <v>2</v>
      </c>
      <c r="O1418" s="0" t="n">
        <f aca="false">6*J1418+(J1418-K1418-M1418)+2*L1418+3*N1418</f>
        <v>27</v>
      </c>
      <c r="P1418" s="0" t="n">
        <f aca="true">RAND()</f>
        <v>0.665098145486885</v>
      </c>
      <c r="Q1418" s="0" t="n">
        <f aca="true">RAND()</f>
        <v>0.419395620451008</v>
      </c>
      <c r="R1418" s="0" t="n">
        <f aca="false">IF($I1418&lt;&gt;$O1418,0,IF(P1418&lt;Matchup!$B$39,7,IF(P1418&lt;Matchup!$B$39+Matchup!$B$40,3,0)))</f>
        <v>0</v>
      </c>
      <c r="S1418" s="0" t="n">
        <f aca="false">IF($I1418&lt;&gt;$O1418,0,IF(Q1418&lt;Matchup!$C$39,7,IF(Q1418&lt;Matchup!$C$39+Matchup!$C$40,3,0)))</f>
        <v>0</v>
      </c>
      <c r="T1418" s="0" t="n">
        <f aca="false">I1418+R1418</f>
        <v>27</v>
      </c>
      <c r="U1418" s="0" t="n">
        <f aca="false">O1418+S1418</f>
        <v>27</v>
      </c>
      <c r="V1418" s="0" t="n">
        <f aca="false">T1418-U1418</f>
        <v>0</v>
      </c>
      <c r="W1418" s="0" t="n">
        <f aca="false">T1418+U1418</f>
        <v>54</v>
      </c>
    </row>
    <row r="1419" customFormat="false" ht="15" hidden="false" customHeight="false" outlineLevel="0" collapsed="false">
      <c r="A1419" s="0" t="n">
        <v>1416</v>
      </c>
      <c r="B1419" s="0" t="n">
        <f aca="true">NORMINV(RAND(),1,Coefficients!$B$22)</f>
        <v>0.889883895574739</v>
      </c>
      <c r="C1419" s="0" t="n">
        <f aca="true">MEDIAN(8,16,ROUND(NORMINV(RAND(),Coefficients!$B$20,Coefficients!$B$21),0))</f>
        <v>11</v>
      </c>
      <c r="D1419" s="0" t="n">
        <f aca="true">CRITBINOM($C1419,MIN(0.75,Matchup!$B$39*$B1419),RAND())</f>
        <v>2</v>
      </c>
      <c r="E1419" s="0" t="n">
        <f aca="true">CRITBINOM(D1419,Coefficients!$B$30,RAND())</f>
        <v>2</v>
      </c>
      <c r="F1419" s="0" t="n">
        <f aca="true">CRITBINOM(E1419,Coefficients!$B$31,RAND())</f>
        <v>0</v>
      </c>
      <c r="G1419" s="0" t="n">
        <f aca="true">CRITBINOM(MAX(0,D1419-E1419),1-Coefficients!$B$32,RAND())</f>
        <v>0</v>
      </c>
      <c r="H1419" s="0" t="n">
        <f aca="true">CRITBINOM(MAX(0,$C1419-D1419),MIN(0.6,Matchup!$B$40*SQRT($B1419)/(1-MIN(0.75,Matchup!$B$39*$B1419))),RAND())</f>
        <v>1</v>
      </c>
      <c r="I1419" s="0" t="n">
        <f aca="false">6*D1419+(D1419-E1419-G1419)+2*F1419+3*H1419</f>
        <v>15</v>
      </c>
      <c r="J1419" s="0" t="n">
        <f aca="true">CRITBINOM($C1419,MIN(0.75,Matchup!$C$39*$B1419),RAND())</f>
        <v>1</v>
      </c>
      <c r="K1419" s="0" t="n">
        <f aca="true">CRITBINOM(J1419,Coefficients!$B$30,RAND())</f>
        <v>0</v>
      </c>
      <c r="L1419" s="0" t="n">
        <f aca="true">CRITBINOM(K1419,Coefficients!$B$31,RAND())</f>
        <v>0</v>
      </c>
      <c r="M1419" s="0" t="n">
        <f aca="true">CRITBINOM(MAX(0,J1419-K1419),1-Coefficients!$B$32,RAND())</f>
        <v>0</v>
      </c>
      <c r="N1419" s="0" t="n">
        <f aca="true">CRITBINOM(MAX(0,$C1419-J1419),MIN(0.6,Matchup!$C$40*SQRT($B1419)/(1-MIN(0.75,Matchup!$C$39*$B1419))),RAND())</f>
        <v>0</v>
      </c>
      <c r="O1419" s="0" t="n">
        <f aca="false">6*J1419+(J1419-K1419-M1419)+2*L1419+3*N1419</f>
        <v>7</v>
      </c>
      <c r="P1419" s="0" t="n">
        <f aca="true">RAND()</f>
        <v>0.276661729150282</v>
      </c>
      <c r="Q1419" s="0" t="n">
        <f aca="true">RAND()</f>
        <v>0.894229228614208</v>
      </c>
      <c r="R1419" s="0" t="n">
        <f aca="false">IF($I1419&lt;&gt;$O1419,0,IF(P1419&lt;Matchup!$B$39,7,IF(P1419&lt;Matchup!$B$39+Matchup!$B$40,3,0)))</f>
        <v>0</v>
      </c>
      <c r="S1419" s="0" t="n">
        <f aca="false">IF($I1419&lt;&gt;$O1419,0,IF(Q1419&lt;Matchup!$C$39,7,IF(Q1419&lt;Matchup!$C$39+Matchup!$C$40,3,0)))</f>
        <v>0</v>
      </c>
      <c r="T1419" s="0" t="n">
        <f aca="false">I1419+R1419</f>
        <v>15</v>
      </c>
      <c r="U1419" s="0" t="n">
        <f aca="false">O1419+S1419</f>
        <v>7</v>
      </c>
      <c r="V1419" s="0" t="n">
        <f aca="false">T1419-U1419</f>
        <v>8</v>
      </c>
      <c r="W1419" s="0" t="n">
        <f aca="false">T1419+U1419</f>
        <v>22</v>
      </c>
    </row>
    <row r="1420" customFormat="false" ht="15" hidden="false" customHeight="false" outlineLevel="0" collapsed="false">
      <c r="A1420" s="0" t="n">
        <v>1417</v>
      </c>
      <c r="B1420" s="0" t="n">
        <f aca="true">NORMINV(RAND(),1,Coefficients!$B$22)</f>
        <v>0.960034688612144</v>
      </c>
      <c r="C1420" s="0" t="n">
        <f aca="true">MEDIAN(8,16,ROUND(NORMINV(RAND(),Coefficients!$B$20,Coefficients!$B$21),0))</f>
        <v>14</v>
      </c>
      <c r="D1420" s="0" t="n">
        <f aca="true">CRITBINOM($C1420,MIN(0.75,Matchup!$B$39*$B1420),RAND())</f>
        <v>1</v>
      </c>
      <c r="E1420" s="0" t="n">
        <f aca="true">CRITBINOM(D1420,Coefficients!$B$30,RAND())</f>
        <v>0</v>
      </c>
      <c r="F1420" s="0" t="n">
        <f aca="true">CRITBINOM(E1420,Coefficients!$B$31,RAND())</f>
        <v>0</v>
      </c>
      <c r="G1420" s="0" t="n">
        <f aca="true">CRITBINOM(MAX(0,D1420-E1420),1-Coefficients!$B$32,RAND())</f>
        <v>0</v>
      </c>
      <c r="H1420" s="0" t="n">
        <f aca="true">CRITBINOM(MAX(0,$C1420-D1420),MIN(0.6,Matchup!$B$40*SQRT($B1420)/(1-MIN(0.75,Matchup!$B$39*$B1420))),RAND())</f>
        <v>3</v>
      </c>
      <c r="I1420" s="0" t="n">
        <f aca="false">6*D1420+(D1420-E1420-G1420)+2*F1420+3*H1420</f>
        <v>16</v>
      </c>
      <c r="J1420" s="0" t="n">
        <f aca="true">CRITBINOM($C1420,MIN(0.75,Matchup!$C$39*$B1420),RAND())</f>
        <v>2</v>
      </c>
      <c r="K1420" s="0" t="n">
        <f aca="true">CRITBINOM(J1420,Coefficients!$B$30,RAND())</f>
        <v>0</v>
      </c>
      <c r="L1420" s="0" t="n">
        <f aca="true">CRITBINOM(K1420,Coefficients!$B$31,RAND())</f>
        <v>0</v>
      </c>
      <c r="M1420" s="0" t="n">
        <f aca="true">CRITBINOM(MAX(0,J1420-K1420),1-Coefficients!$B$32,RAND())</f>
        <v>0</v>
      </c>
      <c r="N1420" s="0" t="n">
        <f aca="true">CRITBINOM(MAX(0,$C1420-J1420),MIN(0.6,Matchup!$C$40*SQRT($B1420)/(1-MIN(0.75,Matchup!$C$39*$B1420))),RAND())</f>
        <v>3</v>
      </c>
      <c r="O1420" s="0" t="n">
        <f aca="false">6*J1420+(J1420-K1420-M1420)+2*L1420+3*N1420</f>
        <v>23</v>
      </c>
      <c r="P1420" s="0" t="n">
        <f aca="true">RAND()</f>
        <v>0.369951607336587</v>
      </c>
      <c r="Q1420" s="0" t="n">
        <f aca="true">RAND()</f>
        <v>0.450969757548214</v>
      </c>
      <c r="R1420" s="0" t="n">
        <f aca="false">IF($I1420&lt;&gt;$O1420,0,IF(P1420&lt;Matchup!$B$39,7,IF(P1420&lt;Matchup!$B$39+Matchup!$B$40,3,0)))</f>
        <v>0</v>
      </c>
      <c r="S1420" s="0" t="n">
        <f aca="false">IF($I1420&lt;&gt;$O1420,0,IF(Q1420&lt;Matchup!$C$39,7,IF(Q1420&lt;Matchup!$C$39+Matchup!$C$40,3,0)))</f>
        <v>0</v>
      </c>
      <c r="T1420" s="0" t="n">
        <f aca="false">I1420+R1420</f>
        <v>16</v>
      </c>
      <c r="U1420" s="0" t="n">
        <f aca="false">O1420+S1420</f>
        <v>23</v>
      </c>
      <c r="V1420" s="0" t="n">
        <f aca="false">T1420-U1420</f>
        <v>-7</v>
      </c>
      <c r="W1420" s="0" t="n">
        <f aca="false">T1420+U1420</f>
        <v>39</v>
      </c>
    </row>
    <row r="1421" customFormat="false" ht="15" hidden="false" customHeight="false" outlineLevel="0" collapsed="false">
      <c r="A1421" s="0" t="n">
        <v>1418</v>
      </c>
      <c r="B1421" s="0" t="n">
        <f aca="true">NORMINV(RAND(),1,Coefficients!$B$22)</f>
        <v>0.946135777434548</v>
      </c>
      <c r="C1421" s="0" t="n">
        <f aca="true">MEDIAN(8,16,ROUND(NORMINV(RAND(),Coefficients!$B$20,Coefficients!$B$21),0))</f>
        <v>13</v>
      </c>
      <c r="D1421" s="0" t="n">
        <f aca="true">CRITBINOM($C1421,MIN(0.75,Matchup!$B$39*$B1421),RAND())</f>
        <v>3</v>
      </c>
      <c r="E1421" s="0" t="n">
        <f aca="true">CRITBINOM(D1421,Coefficients!$B$30,RAND())</f>
        <v>0</v>
      </c>
      <c r="F1421" s="0" t="n">
        <f aca="true">CRITBINOM(E1421,Coefficients!$B$31,RAND())</f>
        <v>0</v>
      </c>
      <c r="G1421" s="0" t="n">
        <f aca="true">CRITBINOM(MAX(0,D1421-E1421),1-Coefficients!$B$32,RAND())</f>
        <v>0</v>
      </c>
      <c r="H1421" s="0" t="n">
        <f aca="true">CRITBINOM(MAX(0,$C1421-D1421),MIN(0.6,Matchup!$B$40*SQRT($B1421)/(1-MIN(0.75,Matchup!$B$39*$B1421))),RAND())</f>
        <v>5</v>
      </c>
      <c r="I1421" s="0" t="n">
        <f aca="false">6*D1421+(D1421-E1421-G1421)+2*F1421+3*H1421</f>
        <v>36</v>
      </c>
      <c r="J1421" s="0" t="n">
        <f aca="true">CRITBINOM($C1421,MIN(0.75,Matchup!$C$39*$B1421),RAND())</f>
        <v>3</v>
      </c>
      <c r="K1421" s="0" t="n">
        <f aca="true">CRITBINOM(J1421,Coefficients!$B$30,RAND())</f>
        <v>0</v>
      </c>
      <c r="L1421" s="0" t="n">
        <f aca="true">CRITBINOM(K1421,Coefficients!$B$31,RAND())</f>
        <v>0</v>
      </c>
      <c r="M1421" s="0" t="n">
        <f aca="true">CRITBINOM(MAX(0,J1421-K1421),1-Coefficients!$B$32,RAND())</f>
        <v>0</v>
      </c>
      <c r="N1421" s="0" t="n">
        <f aca="true">CRITBINOM(MAX(0,$C1421-J1421),MIN(0.6,Matchup!$C$40*SQRT($B1421)/(1-MIN(0.75,Matchup!$C$39*$B1421))),RAND())</f>
        <v>1</v>
      </c>
      <c r="O1421" s="0" t="n">
        <f aca="false">6*J1421+(J1421-K1421-M1421)+2*L1421+3*N1421</f>
        <v>24</v>
      </c>
      <c r="P1421" s="0" t="n">
        <f aca="true">RAND()</f>
        <v>0.722338903914973</v>
      </c>
      <c r="Q1421" s="0" t="n">
        <f aca="true">RAND()</f>
        <v>0.741402060636409</v>
      </c>
      <c r="R1421" s="0" t="n">
        <f aca="false">IF($I1421&lt;&gt;$O1421,0,IF(P1421&lt;Matchup!$B$39,7,IF(P1421&lt;Matchup!$B$39+Matchup!$B$40,3,0)))</f>
        <v>0</v>
      </c>
      <c r="S1421" s="0" t="n">
        <f aca="false">IF($I1421&lt;&gt;$O1421,0,IF(Q1421&lt;Matchup!$C$39,7,IF(Q1421&lt;Matchup!$C$39+Matchup!$C$40,3,0)))</f>
        <v>0</v>
      </c>
      <c r="T1421" s="0" t="n">
        <f aca="false">I1421+R1421</f>
        <v>36</v>
      </c>
      <c r="U1421" s="0" t="n">
        <f aca="false">O1421+S1421</f>
        <v>24</v>
      </c>
      <c r="V1421" s="0" t="n">
        <f aca="false">T1421-U1421</f>
        <v>12</v>
      </c>
      <c r="W1421" s="0" t="n">
        <f aca="false">T1421+U1421</f>
        <v>60</v>
      </c>
    </row>
    <row r="1422" customFormat="false" ht="15" hidden="false" customHeight="false" outlineLevel="0" collapsed="false">
      <c r="A1422" s="0" t="n">
        <v>1419</v>
      </c>
      <c r="B1422" s="0" t="n">
        <f aca="true">NORMINV(RAND(),1,Coefficients!$B$22)</f>
        <v>0.848936398540129</v>
      </c>
      <c r="C1422" s="0" t="n">
        <f aca="true">MEDIAN(8,16,ROUND(NORMINV(RAND(),Coefficients!$B$20,Coefficients!$B$21),0))</f>
        <v>10</v>
      </c>
      <c r="D1422" s="0" t="n">
        <f aca="true">CRITBINOM($C1422,MIN(0.75,Matchup!$B$39*$B1422),RAND())</f>
        <v>2</v>
      </c>
      <c r="E1422" s="0" t="n">
        <f aca="true">CRITBINOM(D1422,Coefficients!$B$30,RAND())</f>
        <v>0</v>
      </c>
      <c r="F1422" s="0" t="n">
        <f aca="true">CRITBINOM(E1422,Coefficients!$B$31,RAND())</f>
        <v>0</v>
      </c>
      <c r="G1422" s="0" t="n">
        <f aca="true">CRITBINOM(MAX(0,D1422-E1422),1-Coefficients!$B$32,RAND())</f>
        <v>0</v>
      </c>
      <c r="H1422" s="0" t="n">
        <f aca="true">CRITBINOM(MAX(0,$C1422-D1422),MIN(0.6,Matchup!$B$40*SQRT($B1422)/(1-MIN(0.75,Matchup!$B$39*$B1422))),RAND())</f>
        <v>2</v>
      </c>
      <c r="I1422" s="0" t="n">
        <f aca="false">6*D1422+(D1422-E1422-G1422)+2*F1422+3*H1422</f>
        <v>20</v>
      </c>
      <c r="J1422" s="0" t="n">
        <f aca="true">CRITBINOM($C1422,MIN(0.75,Matchup!$C$39*$B1422),RAND())</f>
        <v>2</v>
      </c>
      <c r="K1422" s="0" t="n">
        <f aca="true">CRITBINOM(J1422,Coefficients!$B$30,RAND())</f>
        <v>1</v>
      </c>
      <c r="L1422" s="0" t="n">
        <f aca="true">CRITBINOM(K1422,Coefficients!$B$31,RAND())</f>
        <v>0</v>
      </c>
      <c r="M1422" s="0" t="n">
        <f aca="true">CRITBINOM(MAX(0,J1422-K1422),1-Coefficients!$B$32,RAND())</f>
        <v>0</v>
      </c>
      <c r="N1422" s="0" t="n">
        <f aca="true">CRITBINOM(MAX(0,$C1422-J1422),MIN(0.6,Matchup!$C$40*SQRT($B1422)/(1-MIN(0.75,Matchup!$C$39*$B1422))),RAND())</f>
        <v>0</v>
      </c>
      <c r="O1422" s="0" t="n">
        <f aca="false">6*J1422+(J1422-K1422-M1422)+2*L1422+3*N1422</f>
        <v>13</v>
      </c>
      <c r="P1422" s="0" t="n">
        <f aca="true">RAND()</f>
        <v>0.249863660916349</v>
      </c>
      <c r="Q1422" s="0" t="n">
        <f aca="true">RAND()</f>
        <v>0.943625089760664</v>
      </c>
      <c r="R1422" s="0" t="n">
        <f aca="false">IF($I1422&lt;&gt;$O1422,0,IF(P1422&lt;Matchup!$B$39,7,IF(P1422&lt;Matchup!$B$39+Matchup!$B$40,3,0)))</f>
        <v>0</v>
      </c>
      <c r="S1422" s="0" t="n">
        <f aca="false">IF($I1422&lt;&gt;$O1422,0,IF(Q1422&lt;Matchup!$C$39,7,IF(Q1422&lt;Matchup!$C$39+Matchup!$C$40,3,0)))</f>
        <v>0</v>
      </c>
      <c r="T1422" s="0" t="n">
        <f aca="false">I1422+R1422</f>
        <v>20</v>
      </c>
      <c r="U1422" s="0" t="n">
        <f aca="false">O1422+S1422</f>
        <v>13</v>
      </c>
      <c r="V1422" s="0" t="n">
        <f aca="false">T1422-U1422</f>
        <v>7</v>
      </c>
      <c r="W1422" s="0" t="n">
        <f aca="false">T1422+U1422</f>
        <v>33</v>
      </c>
    </row>
    <row r="1423" customFormat="false" ht="15" hidden="false" customHeight="false" outlineLevel="0" collapsed="false">
      <c r="A1423" s="0" t="n">
        <v>1420</v>
      </c>
      <c r="B1423" s="0" t="n">
        <f aca="true">NORMINV(RAND(),1,Coefficients!$B$22)</f>
        <v>1.04908907277254</v>
      </c>
      <c r="C1423" s="0" t="n">
        <f aca="true">MEDIAN(8,16,ROUND(NORMINV(RAND(),Coefficients!$B$20,Coefficients!$B$21),0))</f>
        <v>10</v>
      </c>
      <c r="D1423" s="0" t="n">
        <f aca="true">CRITBINOM($C1423,MIN(0.75,Matchup!$B$39*$B1423),RAND())</f>
        <v>1</v>
      </c>
      <c r="E1423" s="0" t="n">
        <f aca="true">CRITBINOM(D1423,Coefficients!$B$30,RAND())</f>
        <v>0</v>
      </c>
      <c r="F1423" s="0" t="n">
        <f aca="true">CRITBINOM(E1423,Coefficients!$B$31,RAND())</f>
        <v>0</v>
      </c>
      <c r="G1423" s="0" t="n">
        <f aca="true">CRITBINOM(MAX(0,D1423-E1423),1-Coefficients!$B$32,RAND())</f>
        <v>0</v>
      </c>
      <c r="H1423" s="0" t="n">
        <f aca="true">CRITBINOM(MAX(0,$C1423-D1423),MIN(0.6,Matchup!$B$40*SQRT($B1423)/(1-MIN(0.75,Matchup!$B$39*$B1423))),RAND())</f>
        <v>1</v>
      </c>
      <c r="I1423" s="0" t="n">
        <f aca="false">6*D1423+(D1423-E1423-G1423)+2*F1423+3*H1423</f>
        <v>10</v>
      </c>
      <c r="J1423" s="0" t="n">
        <f aca="true">CRITBINOM($C1423,MIN(0.75,Matchup!$C$39*$B1423),RAND())</f>
        <v>1</v>
      </c>
      <c r="K1423" s="0" t="n">
        <f aca="true">CRITBINOM(J1423,Coefficients!$B$30,RAND())</f>
        <v>0</v>
      </c>
      <c r="L1423" s="0" t="n">
        <f aca="true">CRITBINOM(K1423,Coefficients!$B$31,RAND())</f>
        <v>0</v>
      </c>
      <c r="M1423" s="0" t="n">
        <f aca="true">CRITBINOM(MAX(0,J1423-K1423),1-Coefficients!$B$32,RAND())</f>
        <v>0</v>
      </c>
      <c r="N1423" s="0" t="n">
        <f aca="true">CRITBINOM(MAX(0,$C1423-J1423),MIN(0.6,Matchup!$C$40*SQRT($B1423)/(1-MIN(0.75,Matchup!$C$39*$B1423))),RAND())</f>
        <v>2</v>
      </c>
      <c r="O1423" s="0" t="n">
        <f aca="false">6*J1423+(J1423-K1423-M1423)+2*L1423+3*N1423</f>
        <v>13</v>
      </c>
      <c r="P1423" s="0" t="n">
        <f aca="true">RAND()</f>
        <v>0.573898800317568</v>
      </c>
      <c r="Q1423" s="0" t="n">
        <f aca="true">RAND()</f>
        <v>0.102977911799076</v>
      </c>
      <c r="R1423" s="0" t="n">
        <f aca="false">IF($I1423&lt;&gt;$O1423,0,IF(P1423&lt;Matchup!$B$39,7,IF(P1423&lt;Matchup!$B$39+Matchup!$B$40,3,0)))</f>
        <v>0</v>
      </c>
      <c r="S1423" s="0" t="n">
        <f aca="false">IF($I1423&lt;&gt;$O1423,0,IF(Q1423&lt;Matchup!$C$39,7,IF(Q1423&lt;Matchup!$C$39+Matchup!$C$40,3,0)))</f>
        <v>0</v>
      </c>
      <c r="T1423" s="0" t="n">
        <f aca="false">I1423+R1423</f>
        <v>10</v>
      </c>
      <c r="U1423" s="0" t="n">
        <f aca="false">O1423+S1423</f>
        <v>13</v>
      </c>
      <c r="V1423" s="0" t="n">
        <f aca="false">T1423-U1423</f>
        <v>-3</v>
      </c>
      <c r="W1423" s="0" t="n">
        <f aca="false">T1423+U1423</f>
        <v>23</v>
      </c>
    </row>
    <row r="1424" customFormat="false" ht="15" hidden="false" customHeight="false" outlineLevel="0" collapsed="false">
      <c r="A1424" s="0" t="n">
        <v>1421</v>
      </c>
      <c r="B1424" s="0" t="n">
        <f aca="true">NORMINV(RAND(),1,Coefficients!$B$22)</f>
        <v>1.10327030678341</v>
      </c>
      <c r="C1424" s="0" t="n">
        <f aca="true">MEDIAN(8,16,ROUND(NORMINV(RAND(),Coefficients!$B$20,Coefficients!$B$21),0))</f>
        <v>12</v>
      </c>
      <c r="D1424" s="0" t="n">
        <f aca="true">CRITBINOM($C1424,MIN(0.75,Matchup!$B$39*$B1424),RAND())</f>
        <v>4</v>
      </c>
      <c r="E1424" s="0" t="n">
        <f aca="true">CRITBINOM(D1424,Coefficients!$B$30,RAND())</f>
        <v>1</v>
      </c>
      <c r="F1424" s="0" t="n">
        <f aca="true">CRITBINOM(E1424,Coefficients!$B$31,RAND())</f>
        <v>0</v>
      </c>
      <c r="G1424" s="0" t="n">
        <f aca="true">CRITBINOM(MAX(0,D1424-E1424),1-Coefficients!$B$32,RAND())</f>
        <v>0</v>
      </c>
      <c r="H1424" s="0" t="n">
        <f aca="true">CRITBINOM(MAX(0,$C1424-D1424),MIN(0.6,Matchup!$B$40*SQRT($B1424)/(1-MIN(0.75,Matchup!$B$39*$B1424))),RAND())</f>
        <v>1</v>
      </c>
      <c r="I1424" s="0" t="n">
        <f aca="false">6*D1424+(D1424-E1424-G1424)+2*F1424+3*H1424</f>
        <v>30</v>
      </c>
      <c r="J1424" s="0" t="n">
        <f aca="true">CRITBINOM($C1424,MIN(0.75,Matchup!$C$39*$B1424),RAND())</f>
        <v>3</v>
      </c>
      <c r="K1424" s="0" t="n">
        <f aca="true">CRITBINOM(J1424,Coefficients!$B$30,RAND())</f>
        <v>0</v>
      </c>
      <c r="L1424" s="0" t="n">
        <f aca="true">CRITBINOM(K1424,Coefficients!$B$31,RAND())</f>
        <v>0</v>
      </c>
      <c r="M1424" s="0" t="n">
        <f aca="true">CRITBINOM(MAX(0,J1424-K1424),1-Coefficients!$B$32,RAND())</f>
        <v>0</v>
      </c>
      <c r="N1424" s="0" t="n">
        <f aca="true">CRITBINOM(MAX(0,$C1424-J1424),MIN(0.6,Matchup!$C$40*SQRT($B1424)/(1-MIN(0.75,Matchup!$C$39*$B1424))),RAND())</f>
        <v>4</v>
      </c>
      <c r="O1424" s="0" t="n">
        <f aca="false">6*J1424+(J1424-K1424-M1424)+2*L1424+3*N1424</f>
        <v>33</v>
      </c>
      <c r="P1424" s="0" t="n">
        <f aca="true">RAND()</f>
        <v>0.411653913547642</v>
      </c>
      <c r="Q1424" s="0" t="n">
        <f aca="true">RAND()</f>
        <v>0.534616978298595</v>
      </c>
      <c r="R1424" s="0" t="n">
        <f aca="false">IF($I1424&lt;&gt;$O1424,0,IF(P1424&lt;Matchup!$B$39,7,IF(P1424&lt;Matchup!$B$39+Matchup!$B$40,3,0)))</f>
        <v>0</v>
      </c>
      <c r="S1424" s="0" t="n">
        <f aca="false">IF($I1424&lt;&gt;$O1424,0,IF(Q1424&lt;Matchup!$C$39,7,IF(Q1424&lt;Matchup!$C$39+Matchup!$C$40,3,0)))</f>
        <v>0</v>
      </c>
      <c r="T1424" s="0" t="n">
        <f aca="false">I1424+R1424</f>
        <v>30</v>
      </c>
      <c r="U1424" s="0" t="n">
        <f aca="false">O1424+S1424</f>
        <v>33</v>
      </c>
      <c r="V1424" s="0" t="n">
        <f aca="false">T1424-U1424</f>
        <v>-3</v>
      </c>
      <c r="W1424" s="0" t="n">
        <f aca="false">T1424+U1424</f>
        <v>63</v>
      </c>
    </row>
    <row r="1425" customFormat="false" ht="15" hidden="false" customHeight="false" outlineLevel="0" collapsed="false">
      <c r="A1425" s="0" t="n">
        <v>1422</v>
      </c>
      <c r="B1425" s="0" t="n">
        <f aca="true">NORMINV(RAND(),1,Coefficients!$B$22)</f>
        <v>1.00785933908234</v>
      </c>
      <c r="C1425" s="0" t="n">
        <f aca="true">MEDIAN(8,16,ROUND(NORMINV(RAND(),Coefficients!$B$20,Coefficients!$B$21),0))</f>
        <v>15</v>
      </c>
      <c r="D1425" s="0" t="n">
        <f aca="true">CRITBINOM($C1425,MIN(0.75,Matchup!$B$39*$B1425),RAND())</f>
        <v>6</v>
      </c>
      <c r="E1425" s="0" t="n">
        <f aca="true">CRITBINOM(D1425,Coefficients!$B$30,RAND())</f>
        <v>0</v>
      </c>
      <c r="F1425" s="0" t="n">
        <f aca="true">CRITBINOM(E1425,Coefficients!$B$31,RAND())</f>
        <v>0</v>
      </c>
      <c r="G1425" s="0" t="n">
        <f aca="true">CRITBINOM(MAX(0,D1425-E1425),1-Coefficients!$B$32,RAND())</f>
        <v>0</v>
      </c>
      <c r="H1425" s="0" t="n">
        <f aca="true">CRITBINOM(MAX(0,$C1425-D1425),MIN(0.6,Matchup!$B$40*SQRT($B1425)/(1-MIN(0.75,Matchup!$B$39*$B1425))),RAND())</f>
        <v>1</v>
      </c>
      <c r="I1425" s="0" t="n">
        <f aca="false">6*D1425+(D1425-E1425-G1425)+2*F1425+3*H1425</f>
        <v>45</v>
      </c>
      <c r="J1425" s="0" t="n">
        <f aca="true">CRITBINOM($C1425,MIN(0.75,Matchup!$C$39*$B1425),RAND())</f>
        <v>1</v>
      </c>
      <c r="K1425" s="0" t="n">
        <f aca="true">CRITBINOM(J1425,Coefficients!$B$30,RAND())</f>
        <v>0</v>
      </c>
      <c r="L1425" s="0" t="n">
        <f aca="true">CRITBINOM(K1425,Coefficients!$B$31,RAND())</f>
        <v>0</v>
      </c>
      <c r="M1425" s="0" t="n">
        <f aca="true">CRITBINOM(MAX(0,J1425-K1425),1-Coefficients!$B$32,RAND())</f>
        <v>0</v>
      </c>
      <c r="N1425" s="0" t="n">
        <f aca="true">CRITBINOM(MAX(0,$C1425-J1425),MIN(0.6,Matchup!$C$40*SQRT($B1425)/(1-MIN(0.75,Matchup!$C$39*$B1425))),RAND())</f>
        <v>2</v>
      </c>
      <c r="O1425" s="0" t="n">
        <f aca="false">6*J1425+(J1425-K1425-M1425)+2*L1425+3*N1425</f>
        <v>13</v>
      </c>
      <c r="P1425" s="0" t="n">
        <f aca="true">RAND()</f>
        <v>0.993779733617469</v>
      </c>
      <c r="Q1425" s="0" t="n">
        <f aca="true">RAND()</f>
        <v>0.188752457883376</v>
      </c>
      <c r="R1425" s="0" t="n">
        <f aca="false">IF($I1425&lt;&gt;$O1425,0,IF(P1425&lt;Matchup!$B$39,7,IF(P1425&lt;Matchup!$B$39+Matchup!$B$40,3,0)))</f>
        <v>0</v>
      </c>
      <c r="S1425" s="0" t="n">
        <f aca="false">IF($I1425&lt;&gt;$O1425,0,IF(Q1425&lt;Matchup!$C$39,7,IF(Q1425&lt;Matchup!$C$39+Matchup!$C$40,3,0)))</f>
        <v>0</v>
      </c>
      <c r="T1425" s="0" t="n">
        <f aca="false">I1425+R1425</f>
        <v>45</v>
      </c>
      <c r="U1425" s="0" t="n">
        <f aca="false">O1425+S1425</f>
        <v>13</v>
      </c>
      <c r="V1425" s="0" t="n">
        <f aca="false">T1425-U1425</f>
        <v>32</v>
      </c>
      <c r="W1425" s="0" t="n">
        <f aca="false">T1425+U1425</f>
        <v>58</v>
      </c>
    </row>
    <row r="1426" customFormat="false" ht="15" hidden="false" customHeight="false" outlineLevel="0" collapsed="false">
      <c r="A1426" s="0" t="n">
        <v>1423</v>
      </c>
      <c r="B1426" s="0" t="n">
        <f aca="true">NORMINV(RAND(),1,Coefficients!$B$22)</f>
        <v>1.0361216399602</v>
      </c>
      <c r="C1426" s="0" t="n">
        <f aca="true">MEDIAN(8,16,ROUND(NORMINV(RAND(),Coefficients!$B$20,Coefficients!$B$21),0))</f>
        <v>10</v>
      </c>
      <c r="D1426" s="0" t="n">
        <f aca="true">CRITBINOM($C1426,MIN(0.75,Matchup!$B$39*$B1426),RAND())</f>
        <v>2</v>
      </c>
      <c r="E1426" s="0" t="n">
        <f aca="true">CRITBINOM(D1426,Coefficients!$B$30,RAND())</f>
        <v>0</v>
      </c>
      <c r="F1426" s="0" t="n">
        <f aca="true">CRITBINOM(E1426,Coefficients!$B$31,RAND())</f>
        <v>0</v>
      </c>
      <c r="G1426" s="0" t="n">
        <f aca="true">CRITBINOM(MAX(0,D1426-E1426),1-Coefficients!$B$32,RAND())</f>
        <v>0</v>
      </c>
      <c r="H1426" s="0" t="n">
        <f aca="true">CRITBINOM(MAX(0,$C1426-D1426),MIN(0.6,Matchup!$B$40*SQRT($B1426)/(1-MIN(0.75,Matchup!$B$39*$B1426))),RAND())</f>
        <v>1</v>
      </c>
      <c r="I1426" s="0" t="n">
        <f aca="false">6*D1426+(D1426-E1426-G1426)+2*F1426+3*H1426</f>
        <v>17</v>
      </c>
      <c r="J1426" s="0" t="n">
        <f aca="true">CRITBINOM($C1426,MIN(0.75,Matchup!$C$39*$B1426),RAND())</f>
        <v>1</v>
      </c>
      <c r="K1426" s="0" t="n">
        <f aca="true">CRITBINOM(J1426,Coefficients!$B$30,RAND())</f>
        <v>0</v>
      </c>
      <c r="L1426" s="0" t="n">
        <f aca="true">CRITBINOM(K1426,Coefficients!$B$31,RAND())</f>
        <v>0</v>
      </c>
      <c r="M1426" s="0" t="n">
        <f aca="true">CRITBINOM(MAX(0,J1426-K1426),1-Coefficients!$B$32,RAND())</f>
        <v>0</v>
      </c>
      <c r="N1426" s="0" t="n">
        <f aca="true">CRITBINOM(MAX(0,$C1426-J1426),MIN(0.6,Matchup!$C$40*SQRT($B1426)/(1-MIN(0.75,Matchup!$C$39*$B1426))),RAND())</f>
        <v>1</v>
      </c>
      <c r="O1426" s="0" t="n">
        <f aca="false">6*J1426+(J1426-K1426-M1426)+2*L1426+3*N1426</f>
        <v>10</v>
      </c>
      <c r="P1426" s="0" t="n">
        <f aca="true">RAND()</f>
        <v>0.947797190168473</v>
      </c>
      <c r="Q1426" s="0" t="n">
        <f aca="true">RAND()</f>
        <v>0.398572293628971</v>
      </c>
      <c r="R1426" s="0" t="n">
        <f aca="false">IF($I1426&lt;&gt;$O1426,0,IF(P1426&lt;Matchup!$B$39,7,IF(P1426&lt;Matchup!$B$39+Matchup!$B$40,3,0)))</f>
        <v>0</v>
      </c>
      <c r="S1426" s="0" t="n">
        <f aca="false">IF($I1426&lt;&gt;$O1426,0,IF(Q1426&lt;Matchup!$C$39,7,IF(Q1426&lt;Matchup!$C$39+Matchup!$C$40,3,0)))</f>
        <v>0</v>
      </c>
      <c r="T1426" s="0" t="n">
        <f aca="false">I1426+R1426</f>
        <v>17</v>
      </c>
      <c r="U1426" s="0" t="n">
        <f aca="false">O1426+S1426</f>
        <v>10</v>
      </c>
      <c r="V1426" s="0" t="n">
        <f aca="false">T1426-U1426</f>
        <v>7</v>
      </c>
      <c r="W1426" s="0" t="n">
        <f aca="false">T1426+U1426</f>
        <v>27</v>
      </c>
    </row>
    <row r="1427" customFormat="false" ht="15" hidden="false" customHeight="false" outlineLevel="0" collapsed="false">
      <c r="A1427" s="0" t="n">
        <v>1424</v>
      </c>
      <c r="B1427" s="0" t="n">
        <f aca="true">NORMINV(RAND(),1,Coefficients!$B$22)</f>
        <v>0.946133437603625</v>
      </c>
      <c r="C1427" s="0" t="n">
        <f aca="true">MEDIAN(8,16,ROUND(NORMINV(RAND(),Coefficients!$B$20,Coefficients!$B$21),0))</f>
        <v>9</v>
      </c>
      <c r="D1427" s="0" t="n">
        <f aca="true">CRITBINOM($C1427,MIN(0.75,Matchup!$B$39*$B1427),RAND())</f>
        <v>3</v>
      </c>
      <c r="E1427" s="0" t="n">
        <f aca="true">CRITBINOM(D1427,Coefficients!$B$30,RAND())</f>
        <v>0</v>
      </c>
      <c r="F1427" s="0" t="n">
        <f aca="true">CRITBINOM(E1427,Coefficients!$B$31,RAND())</f>
        <v>0</v>
      </c>
      <c r="G1427" s="0" t="n">
        <f aca="true">CRITBINOM(MAX(0,D1427-E1427),1-Coefficients!$B$32,RAND())</f>
        <v>0</v>
      </c>
      <c r="H1427" s="0" t="n">
        <f aca="true">CRITBINOM(MAX(0,$C1427-D1427),MIN(0.6,Matchup!$B$40*SQRT($B1427)/(1-MIN(0.75,Matchup!$B$39*$B1427))),RAND())</f>
        <v>0</v>
      </c>
      <c r="I1427" s="0" t="n">
        <f aca="false">6*D1427+(D1427-E1427-G1427)+2*F1427+3*H1427</f>
        <v>21</v>
      </c>
      <c r="J1427" s="0" t="n">
        <f aca="true">CRITBINOM($C1427,MIN(0.75,Matchup!$C$39*$B1427),RAND())</f>
        <v>3</v>
      </c>
      <c r="K1427" s="0" t="n">
        <f aca="true">CRITBINOM(J1427,Coefficients!$B$30,RAND())</f>
        <v>0</v>
      </c>
      <c r="L1427" s="0" t="n">
        <f aca="true">CRITBINOM(K1427,Coefficients!$B$31,RAND())</f>
        <v>0</v>
      </c>
      <c r="M1427" s="0" t="n">
        <f aca="true">CRITBINOM(MAX(0,J1427-K1427),1-Coefficients!$B$32,RAND())</f>
        <v>0</v>
      </c>
      <c r="N1427" s="0" t="n">
        <f aca="true">CRITBINOM(MAX(0,$C1427-J1427),MIN(0.6,Matchup!$C$40*SQRT($B1427)/(1-MIN(0.75,Matchup!$C$39*$B1427))),RAND())</f>
        <v>0</v>
      </c>
      <c r="O1427" s="0" t="n">
        <f aca="false">6*J1427+(J1427-K1427-M1427)+2*L1427+3*N1427</f>
        <v>21</v>
      </c>
      <c r="P1427" s="0" t="n">
        <f aca="true">RAND()</f>
        <v>0.314686022489733</v>
      </c>
      <c r="Q1427" s="0" t="n">
        <f aca="true">RAND()</f>
        <v>0.976572536517442</v>
      </c>
      <c r="R1427" s="0" t="n">
        <f aca="false">IF($I1427&lt;&gt;$O1427,0,IF(P1427&lt;Matchup!$B$39,7,IF(P1427&lt;Matchup!$B$39+Matchup!$B$40,3,0)))</f>
        <v>3</v>
      </c>
      <c r="S1427" s="0" t="n">
        <f aca="false">IF($I1427&lt;&gt;$O1427,0,IF(Q1427&lt;Matchup!$C$39,7,IF(Q1427&lt;Matchup!$C$39+Matchup!$C$40,3,0)))</f>
        <v>0</v>
      </c>
      <c r="T1427" s="0" t="n">
        <f aca="false">I1427+R1427</f>
        <v>24</v>
      </c>
      <c r="U1427" s="0" t="n">
        <f aca="false">O1427+S1427</f>
        <v>21</v>
      </c>
      <c r="V1427" s="0" t="n">
        <f aca="false">T1427-U1427</f>
        <v>3</v>
      </c>
      <c r="W1427" s="0" t="n">
        <f aca="false">T1427+U1427</f>
        <v>45</v>
      </c>
    </row>
    <row r="1428" customFormat="false" ht="15" hidden="false" customHeight="false" outlineLevel="0" collapsed="false">
      <c r="A1428" s="0" t="n">
        <v>1425</v>
      </c>
      <c r="B1428" s="0" t="n">
        <f aca="true">NORMINV(RAND(),1,Coefficients!$B$22)</f>
        <v>0.980868786270229</v>
      </c>
      <c r="C1428" s="0" t="n">
        <f aca="true">MEDIAN(8,16,ROUND(NORMINV(RAND(),Coefficients!$B$20,Coefficients!$B$21),0))</f>
        <v>9</v>
      </c>
      <c r="D1428" s="0" t="n">
        <f aca="true">CRITBINOM($C1428,MIN(0.75,Matchup!$B$39*$B1428),RAND())</f>
        <v>2</v>
      </c>
      <c r="E1428" s="0" t="n">
        <f aca="true">CRITBINOM(D1428,Coefficients!$B$30,RAND())</f>
        <v>0</v>
      </c>
      <c r="F1428" s="0" t="n">
        <f aca="true">CRITBINOM(E1428,Coefficients!$B$31,RAND())</f>
        <v>0</v>
      </c>
      <c r="G1428" s="0" t="n">
        <f aca="true">CRITBINOM(MAX(0,D1428-E1428),1-Coefficients!$B$32,RAND())</f>
        <v>1</v>
      </c>
      <c r="H1428" s="0" t="n">
        <f aca="true">CRITBINOM(MAX(0,$C1428-D1428),MIN(0.6,Matchup!$B$40*SQRT($B1428)/(1-MIN(0.75,Matchup!$B$39*$B1428))),RAND())</f>
        <v>1</v>
      </c>
      <c r="I1428" s="0" t="n">
        <f aca="false">6*D1428+(D1428-E1428-G1428)+2*F1428+3*H1428</f>
        <v>16</v>
      </c>
      <c r="J1428" s="0" t="n">
        <f aca="true">CRITBINOM($C1428,MIN(0.75,Matchup!$C$39*$B1428),RAND())</f>
        <v>3</v>
      </c>
      <c r="K1428" s="0" t="n">
        <f aca="true">CRITBINOM(J1428,Coefficients!$B$30,RAND())</f>
        <v>0</v>
      </c>
      <c r="L1428" s="0" t="n">
        <f aca="true">CRITBINOM(K1428,Coefficients!$B$31,RAND())</f>
        <v>0</v>
      </c>
      <c r="M1428" s="0" t="n">
        <f aca="true">CRITBINOM(MAX(0,J1428-K1428),1-Coefficients!$B$32,RAND())</f>
        <v>0</v>
      </c>
      <c r="N1428" s="0" t="n">
        <f aca="true">CRITBINOM(MAX(0,$C1428-J1428),MIN(0.6,Matchup!$C$40*SQRT($B1428)/(1-MIN(0.75,Matchup!$C$39*$B1428))),RAND())</f>
        <v>0</v>
      </c>
      <c r="O1428" s="0" t="n">
        <f aca="false">6*J1428+(J1428-K1428-M1428)+2*L1428+3*N1428</f>
        <v>21</v>
      </c>
      <c r="P1428" s="0" t="n">
        <f aca="true">RAND()</f>
        <v>0.0772775138349414</v>
      </c>
      <c r="Q1428" s="0" t="n">
        <f aca="true">RAND()</f>
        <v>0.75907035320486</v>
      </c>
      <c r="R1428" s="0" t="n">
        <f aca="false">IF($I1428&lt;&gt;$O1428,0,IF(P1428&lt;Matchup!$B$39,7,IF(P1428&lt;Matchup!$B$39+Matchup!$B$40,3,0)))</f>
        <v>0</v>
      </c>
      <c r="S1428" s="0" t="n">
        <f aca="false">IF($I1428&lt;&gt;$O1428,0,IF(Q1428&lt;Matchup!$C$39,7,IF(Q1428&lt;Matchup!$C$39+Matchup!$C$40,3,0)))</f>
        <v>0</v>
      </c>
      <c r="T1428" s="0" t="n">
        <f aca="false">I1428+R1428</f>
        <v>16</v>
      </c>
      <c r="U1428" s="0" t="n">
        <f aca="false">O1428+S1428</f>
        <v>21</v>
      </c>
      <c r="V1428" s="0" t="n">
        <f aca="false">T1428-U1428</f>
        <v>-5</v>
      </c>
      <c r="W1428" s="0" t="n">
        <f aca="false">T1428+U1428</f>
        <v>37</v>
      </c>
    </row>
    <row r="1429" customFormat="false" ht="15" hidden="false" customHeight="false" outlineLevel="0" collapsed="false">
      <c r="A1429" s="0" t="n">
        <v>1426</v>
      </c>
      <c r="B1429" s="0" t="n">
        <f aca="true">NORMINV(RAND(),1,Coefficients!$B$22)</f>
        <v>1.06108741507407</v>
      </c>
      <c r="C1429" s="0" t="n">
        <f aca="true">MEDIAN(8,16,ROUND(NORMINV(RAND(),Coefficients!$B$20,Coefficients!$B$21),0))</f>
        <v>11</v>
      </c>
      <c r="D1429" s="0" t="n">
        <f aca="true">CRITBINOM($C1429,MIN(0.75,Matchup!$B$39*$B1429),RAND())</f>
        <v>2</v>
      </c>
      <c r="E1429" s="0" t="n">
        <f aca="true">CRITBINOM(D1429,Coefficients!$B$30,RAND())</f>
        <v>0</v>
      </c>
      <c r="F1429" s="0" t="n">
        <f aca="true">CRITBINOM(E1429,Coefficients!$B$31,RAND())</f>
        <v>0</v>
      </c>
      <c r="G1429" s="0" t="n">
        <f aca="true">CRITBINOM(MAX(0,D1429-E1429),1-Coefficients!$B$32,RAND())</f>
        <v>0</v>
      </c>
      <c r="H1429" s="0" t="n">
        <f aca="true">CRITBINOM(MAX(0,$C1429-D1429),MIN(0.6,Matchup!$B$40*SQRT($B1429)/(1-MIN(0.75,Matchup!$B$39*$B1429))),RAND())</f>
        <v>2</v>
      </c>
      <c r="I1429" s="0" t="n">
        <f aca="false">6*D1429+(D1429-E1429-G1429)+2*F1429+3*H1429</f>
        <v>20</v>
      </c>
      <c r="J1429" s="0" t="n">
        <f aca="true">CRITBINOM($C1429,MIN(0.75,Matchup!$C$39*$B1429),RAND())</f>
        <v>4</v>
      </c>
      <c r="K1429" s="0" t="n">
        <f aca="true">CRITBINOM(J1429,Coefficients!$B$30,RAND())</f>
        <v>1</v>
      </c>
      <c r="L1429" s="0" t="n">
        <f aca="true">CRITBINOM(K1429,Coefficients!$B$31,RAND())</f>
        <v>0</v>
      </c>
      <c r="M1429" s="0" t="n">
        <f aca="true">CRITBINOM(MAX(0,J1429-K1429),1-Coefficients!$B$32,RAND())</f>
        <v>1</v>
      </c>
      <c r="N1429" s="0" t="n">
        <f aca="true">CRITBINOM(MAX(0,$C1429-J1429),MIN(0.6,Matchup!$C$40*SQRT($B1429)/(1-MIN(0.75,Matchup!$C$39*$B1429))),RAND())</f>
        <v>3</v>
      </c>
      <c r="O1429" s="0" t="n">
        <f aca="false">6*J1429+(J1429-K1429-M1429)+2*L1429+3*N1429</f>
        <v>35</v>
      </c>
      <c r="P1429" s="0" t="n">
        <f aca="true">RAND()</f>
        <v>0.116096865289718</v>
      </c>
      <c r="Q1429" s="0" t="n">
        <f aca="true">RAND()</f>
        <v>0.546526961511447</v>
      </c>
      <c r="R1429" s="0" t="n">
        <f aca="false">IF($I1429&lt;&gt;$O1429,0,IF(P1429&lt;Matchup!$B$39,7,IF(P1429&lt;Matchup!$B$39+Matchup!$B$40,3,0)))</f>
        <v>0</v>
      </c>
      <c r="S1429" s="0" t="n">
        <f aca="false">IF($I1429&lt;&gt;$O1429,0,IF(Q1429&lt;Matchup!$C$39,7,IF(Q1429&lt;Matchup!$C$39+Matchup!$C$40,3,0)))</f>
        <v>0</v>
      </c>
      <c r="T1429" s="0" t="n">
        <f aca="false">I1429+R1429</f>
        <v>20</v>
      </c>
      <c r="U1429" s="0" t="n">
        <f aca="false">O1429+S1429</f>
        <v>35</v>
      </c>
      <c r="V1429" s="0" t="n">
        <f aca="false">T1429-U1429</f>
        <v>-15</v>
      </c>
      <c r="W1429" s="0" t="n">
        <f aca="false">T1429+U1429</f>
        <v>55</v>
      </c>
    </row>
    <row r="1430" customFormat="false" ht="15" hidden="false" customHeight="false" outlineLevel="0" collapsed="false">
      <c r="A1430" s="0" t="n">
        <v>1427</v>
      </c>
      <c r="B1430" s="0" t="n">
        <f aca="true">NORMINV(RAND(),1,Coefficients!$B$22)</f>
        <v>1.05301211406998</v>
      </c>
      <c r="C1430" s="0" t="n">
        <f aca="true">MEDIAN(8,16,ROUND(NORMINV(RAND(),Coefficients!$B$20,Coefficients!$B$21),0))</f>
        <v>12</v>
      </c>
      <c r="D1430" s="0" t="n">
        <f aca="true">CRITBINOM($C1430,MIN(0.75,Matchup!$B$39*$B1430),RAND())</f>
        <v>2</v>
      </c>
      <c r="E1430" s="0" t="n">
        <f aca="true">CRITBINOM(D1430,Coefficients!$B$30,RAND())</f>
        <v>0</v>
      </c>
      <c r="F1430" s="0" t="n">
        <f aca="true">CRITBINOM(E1430,Coefficients!$B$31,RAND())</f>
        <v>0</v>
      </c>
      <c r="G1430" s="0" t="n">
        <f aca="true">CRITBINOM(MAX(0,D1430-E1430),1-Coefficients!$B$32,RAND())</f>
        <v>0</v>
      </c>
      <c r="H1430" s="0" t="n">
        <f aca="true">CRITBINOM(MAX(0,$C1430-D1430),MIN(0.6,Matchup!$B$40*SQRT($B1430)/(1-MIN(0.75,Matchup!$B$39*$B1430))),RAND())</f>
        <v>1</v>
      </c>
      <c r="I1430" s="0" t="n">
        <f aca="false">6*D1430+(D1430-E1430-G1430)+2*F1430+3*H1430</f>
        <v>17</v>
      </c>
      <c r="J1430" s="0" t="n">
        <f aca="true">CRITBINOM($C1430,MIN(0.75,Matchup!$C$39*$B1430),RAND())</f>
        <v>4</v>
      </c>
      <c r="K1430" s="0" t="n">
        <f aca="true">CRITBINOM(J1430,Coefficients!$B$30,RAND())</f>
        <v>0</v>
      </c>
      <c r="L1430" s="0" t="n">
        <f aca="true">CRITBINOM(K1430,Coefficients!$B$31,RAND())</f>
        <v>0</v>
      </c>
      <c r="M1430" s="0" t="n">
        <f aca="true">CRITBINOM(MAX(0,J1430-K1430),1-Coefficients!$B$32,RAND())</f>
        <v>0</v>
      </c>
      <c r="N1430" s="0" t="n">
        <f aca="true">CRITBINOM(MAX(0,$C1430-J1430),MIN(0.6,Matchup!$C$40*SQRT($B1430)/(1-MIN(0.75,Matchup!$C$39*$B1430))),RAND())</f>
        <v>1</v>
      </c>
      <c r="O1430" s="0" t="n">
        <f aca="false">6*J1430+(J1430-K1430-M1430)+2*L1430+3*N1430</f>
        <v>31</v>
      </c>
      <c r="P1430" s="0" t="n">
        <f aca="true">RAND()</f>
        <v>0.00811440193337891</v>
      </c>
      <c r="Q1430" s="0" t="n">
        <f aca="true">RAND()</f>
        <v>0.911477158445147</v>
      </c>
      <c r="R1430" s="0" t="n">
        <f aca="false">IF($I1430&lt;&gt;$O1430,0,IF(P1430&lt;Matchup!$B$39,7,IF(P1430&lt;Matchup!$B$39+Matchup!$B$40,3,0)))</f>
        <v>0</v>
      </c>
      <c r="S1430" s="0" t="n">
        <f aca="false">IF($I1430&lt;&gt;$O1430,0,IF(Q1430&lt;Matchup!$C$39,7,IF(Q1430&lt;Matchup!$C$39+Matchup!$C$40,3,0)))</f>
        <v>0</v>
      </c>
      <c r="T1430" s="0" t="n">
        <f aca="false">I1430+R1430</f>
        <v>17</v>
      </c>
      <c r="U1430" s="0" t="n">
        <f aca="false">O1430+S1430</f>
        <v>31</v>
      </c>
      <c r="V1430" s="0" t="n">
        <f aca="false">T1430-U1430</f>
        <v>-14</v>
      </c>
      <c r="W1430" s="0" t="n">
        <f aca="false">T1430+U1430</f>
        <v>48</v>
      </c>
    </row>
    <row r="1431" customFormat="false" ht="15" hidden="false" customHeight="false" outlineLevel="0" collapsed="false">
      <c r="A1431" s="0" t="n">
        <v>1428</v>
      </c>
      <c r="B1431" s="0" t="n">
        <f aca="true">NORMINV(RAND(),1,Coefficients!$B$22)</f>
        <v>1.0368732687097</v>
      </c>
      <c r="C1431" s="0" t="n">
        <f aca="true">MEDIAN(8,16,ROUND(NORMINV(RAND(),Coefficients!$B$20,Coefficients!$B$21),0))</f>
        <v>12</v>
      </c>
      <c r="D1431" s="0" t="n">
        <f aca="true">CRITBINOM($C1431,MIN(0.75,Matchup!$B$39*$B1431),RAND())</f>
        <v>4</v>
      </c>
      <c r="E1431" s="0" t="n">
        <f aca="true">CRITBINOM(D1431,Coefficients!$B$30,RAND())</f>
        <v>0</v>
      </c>
      <c r="F1431" s="0" t="n">
        <f aca="true">CRITBINOM(E1431,Coefficients!$B$31,RAND())</f>
        <v>0</v>
      </c>
      <c r="G1431" s="0" t="n">
        <f aca="true">CRITBINOM(MAX(0,D1431-E1431),1-Coefficients!$B$32,RAND())</f>
        <v>0</v>
      </c>
      <c r="H1431" s="0" t="n">
        <f aca="true">CRITBINOM(MAX(0,$C1431-D1431),MIN(0.6,Matchup!$B$40*SQRT($B1431)/(1-MIN(0.75,Matchup!$B$39*$B1431))),RAND())</f>
        <v>1</v>
      </c>
      <c r="I1431" s="0" t="n">
        <f aca="false">6*D1431+(D1431-E1431-G1431)+2*F1431+3*H1431</f>
        <v>31</v>
      </c>
      <c r="J1431" s="0" t="n">
        <f aca="true">CRITBINOM($C1431,MIN(0.75,Matchup!$C$39*$B1431),RAND())</f>
        <v>3</v>
      </c>
      <c r="K1431" s="0" t="n">
        <f aca="true">CRITBINOM(J1431,Coefficients!$B$30,RAND())</f>
        <v>0</v>
      </c>
      <c r="L1431" s="0" t="n">
        <f aca="true">CRITBINOM(K1431,Coefficients!$B$31,RAND())</f>
        <v>0</v>
      </c>
      <c r="M1431" s="0" t="n">
        <f aca="true">CRITBINOM(MAX(0,J1431-K1431),1-Coefficients!$B$32,RAND())</f>
        <v>0</v>
      </c>
      <c r="N1431" s="0" t="n">
        <f aca="true">CRITBINOM(MAX(0,$C1431-J1431),MIN(0.6,Matchup!$C$40*SQRT($B1431)/(1-MIN(0.75,Matchup!$C$39*$B1431))),RAND())</f>
        <v>2</v>
      </c>
      <c r="O1431" s="0" t="n">
        <f aca="false">6*J1431+(J1431-K1431-M1431)+2*L1431+3*N1431</f>
        <v>27</v>
      </c>
      <c r="P1431" s="0" t="n">
        <f aca="true">RAND()</f>
        <v>0.492749525874796</v>
      </c>
      <c r="Q1431" s="0" t="n">
        <f aca="true">RAND()</f>
        <v>0.0650293748552244</v>
      </c>
      <c r="R1431" s="0" t="n">
        <f aca="false">IF($I1431&lt;&gt;$O1431,0,IF(P1431&lt;Matchup!$B$39,7,IF(P1431&lt;Matchup!$B$39+Matchup!$B$40,3,0)))</f>
        <v>0</v>
      </c>
      <c r="S1431" s="0" t="n">
        <f aca="false">IF($I1431&lt;&gt;$O1431,0,IF(Q1431&lt;Matchup!$C$39,7,IF(Q1431&lt;Matchup!$C$39+Matchup!$C$40,3,0)))</f>
        <v>0</v>
      </c>
      <c r="T1431" s="0" t="n">
        <f aca="false">I1431+R1431</f>
        <v>31</v>
      </c>
      <c r="U1431" s="0" t="n">
        <f aca="false">O1431+S1431</f>
        <v>27</v>
      </c>
      <c r="V1431" s="0" t="n">
        <f aca="false">T1431-U1431</f>
        <v>4</v>
      </c>
      <c r="W1431" s="0" t="n">
        <f aca="false">T1431+U1431</f>
        <v>58</v>
      </c>
    </row>
    <row r="1432" customFormat="false" ht="15" hidden="false" customHeight="false" outlineLevel="0" collapsed="false">
      <c r="A1432" s="0" t="n">
        <v>1429</v>
      </c>
      <c r="B1432" s="0" t="n">
        <f aca="true">NORMINV(RAND(),1,Coefficients!$B$22)</f>
        <v>1.05943476610555</v>
      </c>
      <c r="C1432" s="0" t="n">
        <f aca="true">MEDIAN(8,16,ROUND(NORMINV(RAND(),Coefficients!$B$20,Coefficients!$B$21),0))</f>
        <v>11</v>
      </c>
      <c r="D1432" s="0" t="n">
        <f aca="true">CRITBINOM($C1432,MIN(0.75,Matchup!$B$39*$B1432),RAND())</f>
        <v>4</v>
      </c>
      <c r="E1432" s="0" t="n">
        <f aca="true">CRITBINOM(D1432,Coefficients!$B$30,RAND())</f>
        <v>0</v>
      </c>
      <c r="F1432" s="0" t="n">
        <f aca="true">CRITBINOM(E1432,Coefficients!$B$31,RAND())</f>
        <v>0</v>
      </c>
      <c r="G1432" s="0" t="n">
        <f aca="true">CRITBINOM(MAX(0,D1432-E1432),1-Coefficients!$B$32,RAND())</f>
        <v>0</v>
      </c>
      <c r="H1432" s="0" t="n">
        <f aca="true">CRITBINOM(MAX(0,$C1432-D1432),MIN(0.6,Matchup!$B$40*SQRT($B1432)/(1-MIN(0.75,Matchup!$B$39*$B1432))),RAND())</f>
        <v>1</v>
      </c>
      <c r="I1432" s="0" t="n">
        <f aca="false">6*D1432+(D1432-E1432-G1432)+2*F1432+3*H1432</f>
        <v>31</v>
      </c>
      <c r="J1432" s="0" t="n">
        <f aca="true">CRITBINOM($C1432,MIN(0.75,Matchup!$C$39*$B1432),RAND())</f>
        <v>3</v>
      </c>
      <c r="K1432" s="0" t="n">
        <f aca="true">CRITBINOM(J1432,Coefficients!$B$30,RAND())</f>
        <v>2</v>
      </c>
      <c r="L1432" s="0" t="n">
        <f aca="true">CRITBINOM(K1432,Coefficients!$B$31,RAND())</f>
        <v>0</v>
      </c>
      <c r="M1432" s="0" t="n">
        <f aca="true">CRITBINOM(MAX(0,J1432-K1432),1-Coefficients!$B$32,RAND())</f>
        <v>0</v>
      </c>
      <c r="N1432" s="0" t="n">
        <f aca="true">CRITBINOM(MAX(0,$C1432-J1432),MIN(0.6,Matchup!$C$40*SQRT($B1432)/(1-MIN(0.75,Matchup!$C$39*$B1432))),RAND())</f>
        <v>1</v>
      </c>
      <c r="O1432" s="0" t="n">
        <f aca="false">6*J1432+(J1432-K1432-M1432)+2*L1432+3*N1432</f>
        <v>22</v>
      </c>
      <c r="P1432" s="0" t="n">
        <f aca="true">RAND()</f>
        <v>0.307982839573895</v>
      </c>
      <c r="Q1432" s="0" t="n">
        <f aca="true">RAND()</f>
        <v>0.934338630045859</v>
      </c>
      <c r="R1432" s="0" t="n">
        <f aca="false">IF($I1432&lt;&gt;$O1432,0,IF(P1432&lt;Matchup!$B$39,7,IF(P1432&lt;Matchup!$B$39+Matchup!$B$40,3,0)))</f>
        <v>0</v>
      </c>
      <c r="S1432" s="0" t="n">
        <f aca="false">IF($I1432&lt;&gt;$O1432,0,IF(Q1432&lt;Matchup!$C$39,7,IF(Q1432&lt;Matchup!$C$39+Matchup!$C$40,3,0)))</f>
        <v>0</v>
      </c>
      <c r="T1432" s="0" t="n">
        <f aca="false">I1432+R1432</f>
        <v>31</v>
      </c>
      <c r="U1432" s="0" t="n">
        <f aca="false">O1432+S1432</f>
        <v>22</v>
      </c>
      <c r="V1432" s="0" t="n">
        <f aca="false">T1432-U1432</f>
        <v>9</v>
      </c>
      <c r="W1432" s="0" t="n">
        <f aca="false">T1432+U1432</f>
        <v>53</v>
      </c>
    </row>
    <row r="1433" customFormat="false" ht="15" hidden="false" customHeight="false" outlineLevel="0" collapsed="false">
      <c r="A1433" s="0" t="n">
        <v>1430</v>
      </c>
      <c r="B1433" s="0" t="n">
        <f aca="true">NORMINV(RAND(),1,Coefficients!$B$22)</f>
        <v>1.04718917857754</v>
      </c>
      <c r="C1433" s="0" t="n">
        <f aca="true">MEDIAN(8,16,ROUND(NORMINV(RAND(),Coefficients!$B$20,Coefficients!$B$21),0))</f>
        <v>11</v>
      </c>
      <c r="D1433" s="0" t="n">
        <f aca="true">CRITBINOM($C1433,MIN(0.75,Matchup!$B$39*$B1433),RAND())</f>
        <v>4</v>
      </c>
      <c r="E1433" s="0" t="n">
        <f aca="true">CRITBINOM(D1433,Coefficients!$B$30,RAND())</f>
        <v>1</v>
      </c>
      <c r="F1433" s="0" t="n">
        <f aca="true">CRITBINOM(E1433,Coefficients!$B$31,RAND())</f>
        <v>0</v>
      </c>
      <c r="G1433" s="0" t="n">
        <f aca="true">CRITBINOM(MAX(0,D1433-E1433),1-Coefficients!$B$32,RAND())</f>
        <v>0</v>
      </c>
      <c r="H1433" s="0" t="n">
        <f aca="true">CRITBINOM(MAX(0,$C1433-D1433),MIN(0.6,Matchup!$B$40*SQRT($B1433)/(1-MIN(0.75,Matchup!$B$39*$B1433))),RAND())</f>
        <v>4</v>
      </c>
      <c r="I1433" s="0" t="n">
        <f aca="false">6*D1433+(D1433-E1433-G1433)+2*F1433+3*H1433</f>
        <v>39</v>
      </c>
      <c r="J1433" s="0" t="n">
        <f aca="true">CRITBINOM($C1433,MIN(0.75,Matchup!$C$39*$B1433),RAND())</f>
        <v>5</v>
      </c>
      <c r="K1433" s="0" t="n">
        <f aca="true">CRITBINOM(J1433,Coefficients!$B$30,RAND())</f>
        <v>1</v>
      </c>
      <c r="L1433" s="0" t="n">
        <f aca="true">CRITBINOM(K1433,Coefficients!$B$31,RAND())</f>
        <v>0</v>
      </c>
      <c r="M1433" s="0" t="n">
        <f aca="true">CRITBINOM(MAX(0,J1433-K1433),1-Coefficients!$B$32,RAND())</f>
        <v>0</v>
      </c>
      <c r="N1433" s="0" t="n">
        <f aca="true">CRITBINOM(MAX(0,$C1433-J1433),MIN(0.6,Matchup!$C$40*SQRT($B1433)/(1-MIN(0.75,Matchup!$C$39*$B1433))),RAND())</f>
        <v>0</v>
      </c>
      <c r="O1433" s="0" t="n">
        <f aca="false">6*J1433+(J1433-K1433-M1433)+2*L1433+3*N1433</f>
        <v>34</v>
      </c>
      <c r="P1433" s="0" t="n">
        <f aca="true">RAND()</f>
        <v>0.312524081892757</v>
      </c>
      <c r="Q1433" s="0" t="n">
        <f aca="true">RAND()</f>
        <v>0.131266309160153</v>
      </c>
      <c r="R1433" s="0" t="n">
        <f aca="false">IF($I1433&lt;&gt;$O1433,0,IF(P1433&lt;Matchup!$B$39,7,IF(P1433&lt;Matchup!$B$39+Matchup!$B$40,3,0)))</f>
        <v>0</v>
      </c>
      <c r="S1433" s="0" t="n">
        <f aca="false">IF($I1433&lt;&gt;$O1433,0,IF(Q1433&lt;Matchup!$C$39,7,IF(Q1433&lt;Matchup!$C$39+Matchup!$C$40,3,0)))</f>
        <v>0</v>
      </c>
      <c r="T1433" s="0" t="n">
        <f aca="false">I1433+R1433</f>
        <v>39</v>
      </c>
      <c r="U1433" s="0" t="n">
        <f aca="false">O1433+S1433</f>
        <v>34</v>
      </c>
      <c r="V1433" s="0" t="n">
        <f aca="false">T1433-U1433</f>
        <v>5</v>
      </c>
      <c r="W1433" s="0" t="n">
        <f aca="false">T1433+U1433</f>
        <v>73</v>
      </c>
    </row>
    <row r="1434" customFormat="false" ht="15" hidden="false" customHeight="false" outlineLevel="0" collapsed="false">
      <c r="A1434" s="0" t="n">
        <v>1431</v>
      </c>
      <c r="B1434" s="0" t="n">
        <f aca="true">NORMINV(RAND(),1,Coefficients!$B$22)</f>
        <v>1.03253162585936</v>
      </c>
      <c r="C1434" s="0" t="n">
        <f aca="true">MEDIAN(8,16,ROUND(NORMINV(RAND(),Coefficients!$B$20,Coefficients!$B$21),0))</f>
        <v>9</v>
      </c>
      <c r="D1434" s="0" t="n">
        <f aca="true">CRITBINOM($C1434,MIN(0.75,Matchup!$B$39*$B1434),RAND())</f>
        <v>3</v>
      </c>
      <c r="E1434" s="0" t="n">
        <f aca="true">CRITBINOM(D1434,Coefficients!$B$30,RAND())</f>
        <v>1</v>
      </c>
      <c r="F1434" s="0" t="n">
        <f aca="true">CRITBINOM(E1434,Coefficients!$B$31,RAND())</f>
        <v>1</v>
      </c>
      <c r="G1434" s="0" t="n">
        <f aca="true">CRITBINOM(MAX(0,D1434-E1434),1-Coefficients!$B$32,RAND())</f>
        <v>0</v>
      </c>
      <c r="H1434" s="0" t="n">
        <f aca="true">CRITBINOM(MAX(0,$C1434-D1434),MIN(0.6,Matchup!$B$40*SQRT($B1434)/(1-MIN(0.75,Matchup!$B$39*$B1434))),RAND())</f>
        <v>1</v>
      </c>
      <c r="I1434" s="0" t="n">
        <f aca="false">6*D1434+(D1434-E1434-G1434)+2*F1434+3*H1434</f>
        <v>25</v>
      </c>
      <c r="J1434" s="0" t="n">
        <f aca="true">CRITBINOM($C1434,MIN(0.75,Matchup!$C$39*$B1434),RAND())</f>
        <v>2</v>
      </c>
      <c r="K1434" s="0" t="n">
        <f aca="true">CRITBINOM(J1434,Coefficients!$B$30,RAND())</f>
        <v>0</v>
      </c>
      <c r="L1434" s="0" t="n">
        <f aca="true">CRITBINOM(K1434,Coefficients!$B$31,RAND())</f>
        <v>0</v>
      </c>
      <c r="M1434" s="0" t="n">
        <f aca="true">CRITBINOM(MAX(0,J1434-K1434),1-Coefficients!$B$32,RAND())</f>
        <v>0</v>
      </c>
      <c r="N1434" s="0" t="n">
        <f aca="true">CRITBINOM(MAX(0,$C1434-J1434),MIN(0.6,Matchup!$C$40*SQRT($B1434)/(1-MIN(0.75,Matchup!$C$39*$B1434))),RAND())</f>
        <v>4</v>
      </c>
      <c r="O1434" s="0" t="n">
        <f aca="false">6*J1434+(J1434-K1434-M1434)+2*L1434+3*N1434</f>
        <v>26</v>
      </c>
      <c r="P1434" s="0" t="n">
        <f aca="true">RAND()</f>
        <v>0.60534685177363</v>
      </c>
      <c r="Q1434" s="0" t="n">
        <f aca="true">RAND()</f>
        <v>0.344990128589449</v>
      </c>
      <c r="R1434" s="0" t="n">
        <f aca="false">IF($I1434&lt;&gt;$O1434,0,IF(P1434&lt;Matchup!$B$39,7,IF(P1434&lt;Matchup!$B$39+Matchup!$B$40,3,0)))</f>
        <v>0</v>
      </c>
      <c r="S1434" s="0" t="n">
        <f aca="false">IF($I1434&lt;&gt;$O1434,0,IF(Q1434&lt;Matchup!$C$39,7,IF(Q1434&lt;Matchup!$C$39+Matchup!$C$40,3,0)))</f>
        <v>0</v>
      </c>
      <c r="T1434" s="0" t="n">
        <f aca="false">I1434+R1434</f>
        <v>25</v>
      </c>
      <c r="U1434" s="0" t="n">
        <f aca="false">O1434+S1434</f>
        <v>26</v>
      </c>
      <c r="V1434" s="0" t="n">
        <f aca="false">T1434-U1434</f>
        <v>-1</v>
      </c>
      <c r="W1434" s="0" t="n">
        <f aca="false">T1434+U1434</f>
        <v>51</v>
      </c>
    </row>
    <row r="1435" customFormat="false" ht="15" hidden="false" customHeight="false" outlineLevel="0" collapsed="false">
      <c r="A1435" s="0" t="n">
        <v>1432</v>
      </c>
      <c r="B1435" s="0" t="n">
        <f aca="true">NORMINV(RAND(),1,Coefficients!$B$22)</f>
        <v>1.01202037410884</v>
      </c>
      <c r="C1435" s="0" t="n">
        <f aca="true">MEDIAN(8,16,ROUND(NORMINV(RAND(),Coefficients!$B$20,Coefficients!$B$21),0))</f>
        <v>10</v>
      </c>
      <c r="D1435" s="0" t="n">
        <f aca="true">CRITBINOM($C1435,MIN(0.75,Matchup!$B$39*$B1435),RAND())</f>
        <v>3</v>
      </c>
      <c r="E1435" s="0" t="n">
        <f aca="true">CRITBINOM(D1435,Coefficients!$B$30,RAND())</f>
        <v>1</v>
      </c>
      <c r="F1435" s="0" t="n">
        <f aca="true">CRITBINOM(E1435,Coefficients!$B$31,RAND())</f>
        <v>1</v>
      </c>
      <c r="G1435" s="0" t="n">
        <f aca="true">CRITBINOM(MAX(0,D1435-E1435),1-Coefficients!$B$32,RAND())</f>
        <v>0</v>
      </c>
      <c r="H1435" s="0" t="n">
        <f aca="true">CRITBINOM(MAX(0,$C1435-D1435),MIN(0.6,Matchup!$B$40*SQRT($B1435)/(1-MIN(0.75,Matchup!$B$39*$B1435))),RAND())</f>
        <v>0</v>
      </c>
      <c r="I1435" s="0" t="n">
        <f aca="false">6*D1435+(D1435-E1435-G1435)+2*F1435+3*H1435</f>
        <v>22</v>
      </c>
      <c r="J1435" s="0" t="n">
        <f aca="true">CRITBINOM($C1435,MIN(0.75,Matchup!$C$39*$B1435),RAND())</f>
        <v>0</v>
      </c>
      <c r="K1435" s="0" t="n">
        <f aca="true">CRITBINOM(J1435,Coefficients!$B$30,RAND())</f>
        <v>0</v>
      </c>
      <c r="L1435" s="0" t="n">
        <f aca="true">CRITBINOM(K1435,Coefficients!$B$31,RAND())</f>
        <v>0</v>
      </c>
      <c r="M1435" s="0" t="n">
        <f aca="true">CRITBINOM(MAX(0,J1435-K1435),1-Coefficients!$B$32,RAND())</f>
        <v>0</v>
      </c>
      <c r="N1435" s="0" t="n">
        <f aca="true">CRITBINOM(MAX(0,$C1435-J1435),MIN(0.6,Matchup!$C$40*SQRT($B1435)/(1-MIN(0.75,Matchup!$C$39*$B1435))),RAND())</f>
        <v>1</v>
      </c>
      <c r="O1435" s="0" t="n">
        <f aca="false">6*J1435+(J1435-K1435-M1435)+2*L1435+3*N1435</f>
        <v>3</v>
      </c>
      <c r="P1435" s="0" t="n">
        <f aca="true">RAND()</f>
        <v>0.61484834539493</v>
      </c>
      <c r="Q1435" s="0" t="n">
        <f aca="true">RAND()</f>
        <v>0.170859678130753</v>
      </c>
      <c r="R1435" s="0" t="n">
        <f aca="false">IF($I1435&lt;&gt;$O1435,0,IF(P1435&lt;Matchup!$B$39,7,IF(P1435&lt;Matchup!$B$39+Matchup!$B$40,3,0)))</f>
        <v>0</v>
      </c>
      <c r="S1435" s="0" t="n">
        <f aca="false">IF($I1435&lt;&gt;$O1435,0,IF(Q1435&lt;Matchup!$C$39,7,IF(Q1435&lt;Matchup!$C$39+Matchup!$C$40,3,0)))</f>
        <v>0</v>
      </c>
      <c r="T1435" s="0" t="n">
        <f aca="false">I1435+R1435</f>
        <v>22</v>
      </c>
      <c r="U1435" s="0" t="n">
        <f aca="false">O1435+S1435</f>
        <v>3</v>
      </c>
      <c r="V1435" s="0" t="n">
        <f aca="false">T1435-U1435</f>
        <v>19</v>
      </c>
      <c r="W1435" s="0" t="n">
        <f aca="false">T1435+U1435</f>
        <v>25</v>
      </c>
    </row>
    <row r="1436" customFormat="false" ht="15" hidden="false" customHeight="false" outlineLevel="0" collapsed="false">
      <c r="A1436" s="0" t="n">
        <v>1433</v>
      </c>
      <c r="B1436" s="0" t="n">
        <f aca="true">NORMINV(RAND(),1,Coefficients!$B$22)</f>
        <v>1.0133581759291</v>
      </c>
      <c r="C1436" s="0" t="n">
        <f aca="true">MEDIAN(8,16,ROUND(NORMINV(RAND(),Coefficients!$B$20,Coefficients!$B$21),0))</f>
        <v>10</v>
      </c>
      <c r="D1436" s="0" t="n">
        <f aca="true">CRITBINOM($C1436,MIN(0.75,Matchup!$B$39*$B1436),RAND())</f>
        <v>0</v>
      </c>
      <c r="E1436" s="0" t="n">
        <f aca="true">CRITBINOM(D1436,Coefficients!$B$30,RAND())</f>
        <v>0</v>
      </c>
      <c r="F1436" s="0" t="n">
        <f aca="true">CRITBINOM(E1436,Coefficients!$B$31,RAND())</f>
        <v>0</v>
      </c>
      <c r="G1436" s="0" t="n">
        <f aca="true">CRITBINOM(MAX(0,D1436-E1436),1-Coefficients!$B$32,RAND())</f>
        <v>0</v>
      </c>
      <c r="H1436" s="0" t="n">
        <f aca="true">CRITBINOM(MAX(0,$C1436-D1436),MIN(0.6,Matchup!$B$40*SQRT($B1436)/(1-MIN(0.75,Matchup!$B$39*$B1436))),RAND())</f>
        <v>3</v>
      </c>
      <c r="I1436" s="0" t="n">
        <f aca="false">6*D1436+(D1436-E1436-G1436)+2*F1436+3*H1436</f>
        <v>9</v>
      </c>
      <c r="J1436" s="0" t="n">
        <f aca="true">CRITBINOM($C1436,MIN(0.75,Matchup!$C$39*$B1436),RAND())</f>
        <v>1</v>
      </c>
      <c r="K1436" s="0" t="n">
        <f aca="true">CRITBINOM(J1436,Coefficients!$B$30,RAND())</f>
        <v>0</v>
      </c>
      <c r="L1436" s="0" t="n">
        <f aca="true">CRITBINOM(K1436,Coefficients!$B$31,RAND())</f>
        <v>0</v>
      </c>
      <c r="M1436" s="0" t="n">
        <f aca="true">CRITBINOM(MAX(0,J1436-K1436),1-Coefficients!$B$32,RAND())</f>
        <v>0</v>
      </c>
      <c r="N1436" s="0" t="n">
        <f aca="true">CRITBINOM(MAX(0,$C1436-J1436),MIN(0.6,Matchup!$C$40*SQRT($B1436)/(1-MIN(0.75,Matchup!$C$39*$B1436))),RAND())</f>
        <v>0</v>
      </c>
      <c r="O1436" s="0" t="n">
        <f aca="false">6*J1436+(J1436-K1436-M1436)+2*L1436+3*N1436</f>
        <v>7</v>
      </c>
      <c r="P1436" s="0" t="n">
        <f aca="true">RAND()</f>
        <v>0.5454874917729</v>
      </c>
      <c r="Q1436" s="0" t="n">
        <f aca="true">RAND()</f>
        <v>0.30292644981989</v>
      </c>
      <c r="R1436" s="0" t="n">
        <f aca="false">IF($I1436&lt;&gt;$O1436,0,IF(P1436&lt;Matchup!$B$39,7,IF(P1436&lt;Matchup!$B$39+Matchup!$B$40,3,0)))</f>
        <v>0</v>
      </c>
      <c r="S1436" s="0" t="n">
        <f aca="false">IF($I1436&lt;&gt;$O1436,0,IF(Q1436&lt;Matchup!$C$39,7,IF(Q1436&lt;Matchup!$C$39+Matchup!$C$40,3,0)))</f>
        <v>0</v>
      </c>
      <c r="T1436" s="0" t="n">
        <f aca="false">I1436+R1436</f>
        <v>9</v>
      </c>
      <c r="U1436" s="0" t="n">
        <f aca="false">O1436+S1436</f>
        <v>7</v>
      </c>
      <c r="V1436" s="0" t="n">
        <f aca="false">T1436-U1436</f>
        <v>2</v>
      </c>
      <c r="W1436" s="0" t="n">
        <f aca="false">T1436+U1436</f>
        <v>16</v>
      </c>
    </row>
    <row r="1437" customFormat="false" ht="15" hidden="false" customHeight="false" outlineLevel="0" collapsed="false">
      <c r="A1437" s="0" t="n">
        <v>1434</v>
      </c>
      <c r="B1437" s="0" t="n">
        <f aca="true">NORMINV(RAND(),1,Coefficients!$B$22)</f>
        <v>1.06867551198998</v>
      </c>
      <c r="C1437" s="0" t="n">
        <f aca="true">MEDIAN(8,16,ROUND(NORMINV(RAND(),Coefficients!$B$20,Coefficients!$B$21),0))</f>
        <v>10</v>
      </c>
      <c r="D1437" s="0" t="n">
        <f aca="true">CRITBINOM($C1437,MIN(0.75,Matchup!$B$39*$B1437),RAND())</f>
        <v>3</v>
      </c>
      <c r="E1437" s="0" t="n">
        <f aca="true">CRITBINOM(D1437,Coefficients!$B$30,RAND())</f>
        <v>1</v>
      </c>
      <c r="F1437" s="0" t="n">
        <f aca="true">CRITBINOM(E1437,Coefficients!$B$31,RAND())</f>
        <v>1</v>
      </c>
      <c r="G1437" s="0" t="n">
        <f aca="true">CRITBINOM(MAX(0,D1437-E1437),1-Coefficients!$B$32,RAND())</f>
        <v>0</v>
      </c>
      <c r="H1437" s="0" t="n">
        <f aca="true">CRITBINOM(MAX(0,$C1437-D1437),MIN(0.6,Matchup!$B$40*SQRT($B1437)/(1-MIN(0.75,Matchup!$B$39*$B1437))),RAND())</f>
        <v>0</v>
      </c>
      <c r="I1437" s="0" t="n">
        <f aca="false">6*D1437+(D1437-E1437-G1437)+2*F1437+3*H1437</f>
        <v>22</v>
      </c>
      <c r="J1437" s="0" t="n">
        <f aca="true">CRITBINOM($C1437,MIN(0.75,Matchup!$C$39*$B1437),RAND())</f>
        <v>5</v>
      </c>
      <c r="K1437" s="0" t="n">
        <f aca="true">CRITBINOM(J1437,Coefficients!$B$30,RAND())</f>
        <v>2</v>
      </c>
      <c r="L1437" s="0" t="n">
        <f aca="true">CRITBINOM(K1437,Coefficients!$B$31,RAND())</f>
        <v>0</v>
      </c>
      <c r="M1437" s="0" t="n">
        <f aca="true">CRITBINOM(MAX(0,J1437-K1437),1-Coefficients!$B$32,RAND())</f>
        <v>0</v>
      </c>
      <c r="N1437" s="0" t="n">
        <f aca="true">CRITBINOM(MAX(0,$C1437-J1437),MIN(0.6,Matchup!$C$40*SQRT($B1437)/(1-MIN(0.75,Matchup!$C$39*$B1437))),RAND())</f>
        <v>3</v>
      </c>
      <c r="O1437" s="0" t="n">
        <f aca="false">6*J1437+(J1437-K1437-M1437)+2*L1437+3*N1437</f>
        <v>42</v>
      </c>
      <c r="P1437" s="0" t="n">
        <f aca="true">RAND()</f>
        <v>0.529540995272132</v>
      </c>
      <c r="Q1437" s="0" t="n">
        <f aca="true">RAND()</f>
        <v>0.238952674113239</v>
      </c>
      <c r="R1437" s="0" t="n">
        <f aca="false">IF($I1437&lt;&gt;$O1437,0,IF(P1437&lt;Matchup!$B$39,7,IF(P1437&lt;Matchup!$B$39+Matchup!$B$40,3,0)))</f>
        <v>0</v>
      </c>
      <c r="S1437" s="0" t="n">
        <f aca="false">IF($I1437&lt;&gt;$O1437,0,IF(Q1437&lt;Matchup!$C$39,7,IF(Q1437&lt;Matchup!$C$39+Matchup!$C$40,3,0)))</f>
        <v>0</v>
      </c>
      <c r="T1437" s="0" t="n">
        <f aca="false">I1437+R1437</f>
        <v>22</v>
      </c>
      <c r="U1437" s="0" t="n">
        <f aca="false">O1437+S1437</f>
        <v>42</v>
      </c>
      <c r="V1437" s="0" t="n">
        <f aca="false">T1437-U1437</f>
        <v>-20</v>
      </c>
      <c r="W1437" s="0" t="n">
        <f aca="false">T1437+U1437</f>
        <v>64</v>
      </c>
    </row>
    <row r="1438" customFormat="false" ht="15" hidden="false" customHeight="false" outlineLevel="0" collapsed="false">
      <c r="A1438" s="0" t="n">
        <v>1435</v>
      </c>
      <c r="B1438" s="0" t="n">
        <f aca="true">NORMINV(RAND(),1,Coefficients!$B$22)</f>
        <v>1.0866183645131</v>
      </c>
      <c r="C1438" s="0" t="n">
        <f aca="true">MEDIAN(8,16,ROUND(NORMINV(RAND(),Coefficients!$B$20,Coefficients!$B$21),0))</f>
        <v>10</v>
      </c>
      <c r="D1438" s="0" t="n">
        <f aca="true">CRITBINOM($C1438,MIN(0.75,Matchup!$B$39*$B1438),RAND())</f>
        <v>0</v>
      </c>
      <c r="E1438" s="0" t="n">
        <f aca="true">CRITBINOM(D1438,Coefficients!$B$30,RAND())</f>
        <v>0</v>
      </c>
      <c r="F1438" s="0" t="n">
        <f aca="true">CRITBINOM(E1438,Coefficients!$B$31,RAND())</f>
        <v>0</v>
      </c>
      <c r="G1438" s="0" t="n">
        <f aca="true">CRITBINOM(MAX(0,D1438-E1438),1-Coefficients!$B$32,RAND())</f>
        <v>0</v>
      </c>
      <c r="H1438" s="0" t="n">
        <f aca="true">CRITBINOM(MAX(0,$C1438-D1438),MIN(0.6,Matchup!$B$40*SQRT($B1438)/(1-MIN(0.75,Matchup!$B$39*$B1438))),RAND())</f>
        <v>2</v>
      </c>
      <c r="I1438" s="0" t="n">
        <f aca="false">6*D1438+(D1438-E1438-G1438)+2*F1438+3*H1438</f>
        <v>6</v>
      </c>
      <c r="J1438" s="0" t="n">
        <f aca="true">CRITBINOM($C1438,MIN(0.75,Matchup!$C$39*$B1438),RAND())</f>
        <v>1</v>
      </c>
      <c r="K1438" s="0" t="n">
        <f aca="true">CRITBINOM(J1438,Coefficients!$B$30,RAND())</f>
        <v>0</v>
      </c>
      <c r="L1438" s="0" t="n">
        <f aca="true">CRITBINOM(K1438,Coefficients!$B$31,RAND())</f>
        <v>0</v>
      </c>
      <c r="M1438" s="0" t="n">
        <f aca="true">CRITBINOM(MAX(0,J1438-K1438),1-Coefficients!$B$32,RAND())</f>
        <v>0</v>
      </c>
      <c r="N1438" s="0" t="n">
        <f aca="true">CRITBINOM(MAX(0,$C1438-J1438),MIN(0.6,Matchup!$C$40*SQRT($B1438)/(1-MIN(0.75,Matchup!$C$39*$B1438))),RAND())</f>
        <v>3</v>
      </c>
      <c r="O1438" s="0" t="n">
        <f aca="false">6*J1438+(J1438-K1438-M1438)+2*L1438+3*N1438</f>
        <v>16</v>
      </c>
      <c r="P1438" s="0" t="n">
        <f aca="true">RAND()</f>
        <v>0.442367137174283</v>
      </c>
      <c r="Q1438" s="0" t="n">
        <f aca="true">RAND()</f>
        <v>0.883811047177442</v>
      </c>
      <c r="R1438" s="0" t="n">
        <f aca="false">IF($I1438&lt;&gt;$O1438,0,IF(P1438&lt;Matchup!$B$39,7,IF(P1438&lt;Matchup!$B$39+Matchup!$B$40,3,0)))</f>
        <v>0</v>
      </c>
      <c r="S1438" s="0" t="n">
        <f aca="false">IF($I1438&lt;&gt;$O1438,0,IF(Q1438&lt;Matchup!$C$39,7,IF(Q1438&lt;Matchup!$C$39+Matchup!$C$40,3,0)))</f>
        <v>0</v>
      </c>
      <c r="T1438" s="0" t="n">
        <f aca="false">I1438+R1438</f>
        <v>6</v>
      </c>
      <c r="U1438" s="0" t="n">
        <f aca="false">O1438+S1438</f>
        <v>16</v>
      </c>
      <c r="V1438" s="0" t="n">
        <f aca="false">T1438-U1438</f>
        <v>-10</v>
      </c>
      <c r="W1438" s="0" t="n">
        <f aca="false">T1438+U1438</f>
        <v>22</v>
      </c>
    </row>
    <row r="1439" customFormat="false" ht="15" hidden="false" customHeight="false" outlineLevel="0" collapsed="false">
      <c r="A1439" s="0" t="n">
        <v>1436</v>
      </c>
      <c r="B1439" s="0" t="n">
        <f aca="true">NORMINV(RAND(),1,Coefficients!$B$22)</f>
        <v>1.01470012543927</v>
      </c>
      <c r="C1439" s="0" t="n">
        <f aca="true">MEDIAN(8,16,ROUND(NORMINV(RAND(),Coefficients!$B$20,Coefficients!$B$21),0))</f>
        <v>8</v>
      </c>
      <c r="D1439" s="0" t="n">
        <f aca="true">CRITBINOM($C1439,MIN(0.75,Matchup!$B$39*$B1439),RAND())</f>
        <v>2</v>
      </c>
      <c r="E1439" s="0" t="n">
        <f aca="true">CRITBINOM(D1439,Coefficients!$B$30,RAND())</f>
        <v>0</v>
      </c>
      <c r="F1439" s="0" t="n">
        <f aca="true">CRITBINOM(E1439,Coefficients!$B$31,RAND())</f>
        <v>0</v>
      </c>
      <c r="G1439" s="0" t="n">
        <f aca="true">CRITBINOM(MAX(0,D1439-E1439),1-Coefficients!$B$32,RAND())</f>
        <v>0</v>
      </c>
      <c r="H1439" s="0" t="n">
        <f aca="true">CRITBINOM(MAX(0,$C1439-D1439),MIN(0.6,Matchup!$B$40*SQRT($B1439)/(1-MIN(0.75,Matchup!$B$39*$B1439))),RAND())</f>
        <v>0</v>
      </c>
      <c r="I1439" s="0" t="n">
        <f aca="false">6*D1439+(D1439-E1439-G1439)+2*F1439+3*H1439</f>
        <v>14</v>
      </c>
      <c r="J1439" s="0" t="n">
        <f aca="true">CRITBINOM($C1439,MIN(0.75,Matchup!$C$39*$B1439),RAND())</f>
        <v>0</v>
      </c>
      <c r="K1439" s="0" t="n">
        <f aca="true">CRITBINOM(J1439,Coefficients!$B$30,RAND())</f>
        <v>0</v>
      </c>
      <c r="L1439" s="0" t="n">
        <f aca="true">CRITBINOM(K1439,Coefficients!$B$31,RAND())</f>
        <v>0</v>
      </c>
      <c r="M1439" s="0" t="n">
        <f aca="true">CRITBINOM(MAX(0,J1439-K1439),1-Coefficients!$B$32,RAND())</f>
        <v>0</v>
      </c>
      <c r="N1439" s="0" t="n">
        <f aca="true">CRITBINOM(MAX(0,$C1439-J1439),MIN(0.6,Matchup!$C$40*SQRT($B1439)/(1-MIN(0.75,Matchup!$C$39*$B1439))),RAND())</f>
        <v>1</v>
      </c>
      <c r="O1439" s="0" t="n">
        <f aca="false">6*J1439+(J1439-K1439-M1439)+2*L1439+3*N1439</f>
        <v>3</v>
      </c>
      <c r="P1439" s="0" t="n">
        <f aca="true">RAND()</f>
        <v>0.205555040408628</v>
      </c>
      <c r="Q1439" s="0" t="n">
        <f aca="true">RAND()</f>
        <v>0.190277954051223</v>
      </c>
      <c r="R1439" s="0" t="n">
        <f aca="false">IF($I1439&lt;&gt;$O1439,0,IF(P1439&lt;Matchup!$B$39,7,IF(P1439&lt;Matchup!$B$39+Matchup!$B$40,3,0)))</f>
        <v>0</v>
      </c>
      <c r="S1439" s="0" t="n">
        <f aca="false">IF($I1439&lt;&gt;$O1439,0,IF(Q1439&lt;Matchup!$C$39,7,IF(Q1439&lt;Matchup!$C$39+Matchup!$C$40,3,0)))</f>
        <v>0</v>
      </c>
      <c r="T1439" s="0" t="n">
        <f aca="false">I1439+R1439</f>
        <v>14</v>
      </c>
      <c r="U1439" s="0" t="n">
        <f aca="false">O1439+S1439</f>
        <v>3</v>
      </c>
      <c r="V1439" s="0" t="n">
        <f aca="false">T1439-U1439</f>
        <v>11</v>
      </c>
      <c r="W1439" s="0" t="n">
        <f aca="false">T1439+U1439</f>
        <v>17</v>
      </c>
    </row>
    <row r="1440" customFormat="false" ht="15" hidden="false" customHeight="false" outlineLevel="0" collapsed="false">
      <c r="A1440" s="0" t="n">
        <v>1437</v>
      </c>
      <c r="B1440" s="0" t="n">
        <f aca="true">NORMINV(RAND(),1,Coefficients!$B$22)</f>
        <v>1.07933903307129</v>
      </c>
      <c r="C1440" s="0" t="n">
        <f aca="true">MEDIAN(8,16,ROUND(NORMINV(RAND(),Coefficients!$B$20,Coefficients!$B$21),0))</f>
        <v>13</v>
      </c>
      <c r="D1440" s="0" t="n">
        <f aca="true">CRITBINOM($C1440,MIN(0.75,Matchup!$B$39*$B1440),RAND())</f>
        <v>2</v>
      </c>
      <c r="E1440" s="0" t="n">
        <f aca="true">CRITBINOM(D1440,Coefficients!$B$30,RAND())</f>
        <v>1</v>
      </c>
      <c r="F1440" s="0" t="n">
        <f aca="true">CRITBINOM(E1440,Coefficients!$B$31,RAND())</f>
        <v>0</v>
      </c>
      <c r="G1440" s="0" t="n">
        <f aca="true">CRITBINOM(MAX(0,D1440-E1440),1-Coefficients!$B$32,RAND())</f>
        <v>0</v>
      </c>
      <c r="H1440" s="0" t="n">
        <f aca="true">CRITBINOM(MAX(0,$C1440-D1440),MIN(0.6,Matchup!$B$40*SQRT($B1440)/(1-MIN(0.75,Matchup!$B$39*$B1440))),RAND())</f>
        <v>1</v>
      </c>
      <c r="I1440" s="0" t="n">
        <f aca="false">6*D1440+(D1440-E1440-G1440)+2*F1440+3*H1440</f>
        <v>16</v>
      </c>
      <c r="J1440" s="0" t="n">
        <f aca="true">CRITBINOM($C1440,MIN(0.75,Matchup!$C$39*$B1440),RAND())</f>
        <v>1</v>
      </c>
      <c r="K1440" s="0" t="n">
        <f aca="true">CRITBINOM(J1440,Coefficients!$B$30,RAND())</f>
        <v>0</v>
      </c>
      <c r="L1440" s="0" t="n">
        <f aca="true">CRITBINOM(K1440,Coefficients!$B$31,RAND())</f>
        <v>0</v>
      </c>
      <c r="M1440" s="0" t="n">
        <f aca="true">CRITBINOM(MAX(0,J1440-K1440),1-Coefficients!$B$32,RAND())</f>
        <v>0</v>
      </c>
      <c r="N1440" s="0" t="n">
        <f aca="true">CRITBINOM(MAX(0,$C1440-J1440),MIN(0.6,Matchup!$C$40*SQRT($B1440)/(1-MIN(0.75,Matchup!$C$39*$B1440))),RAND())</f>
        <v>4</v>
      </c>
      <c r="O1440" s="0" t="n">
        <f aca="false">6*J1440+(J1440-K1440-M1440)+2*L1440+3*N1440</f>
        <v>19</v>
      </c>
      <c r="P1440" s="0" t="n">
        <f aca="true">RAND()</f>
        <v>0.699677307237695</v>
      </c>
      <c r="Q1440" s="0" t="n">
        <f aca="true">RAND()</f>
        <v>0.783868266208405</v>
      </c>
      <c r="R1440" s="0" t="n">
        <f aca="false">IF($I1440&lt;&gt;$O1440,0,IF(P1440&lt;Matchup!$B$39,7,IF(P1440&lt;Matchup!$B$39+Matchup!$B$40,3,0)))</f>
        <v>0</v>
      </c>
      <c r="S1440" s="0" t="n">
        <f aca="false">IF($I1440&lt;&gt;$O1440,0,IF(Q1440&lt;Matchup!$C$39,7,IF(Q1440&lt;Matchup!$C$39+Matchup!$C$40,3,0)))</f>
        <v>0</v>
      </c>
      <c r="T1440" s="0" t="n">
        <f aca="false">I1440+R1440</f>
        <v>16</v>
      </c>
      <c r="U1440" s="0" t="n">
        <f aca="false">O1440+S1440</f>
        <v>19</v>
      </c>
      <c r="V1440" s="0" t="n">
        <f aca="false">T1440-U1440</f>
        <v>-3</v>
      </c>
      <c r="W1440" s="0" t="n">
        <f aca="false">T1440+U1440</f>
        <v>35</v>
      </c>
    </row>
    <row r="1441" customFormat="false" ht="15" hidden="false" customHeight="false" outlineLevel="0" collapsed="false">
      <c r="A1441" s="0" t="n">
        <v>1438</v>
      </c>
      <c r="B1441" s="0" t="n">
        <f aca="true">NORMINV(RAND(),1,Coefficients!$B$22)</f>
        <v>0.885322708137292</v>
      </c>
      <c r="C1441" s="0" t="n">
        <f aca="true">MEDIAN(8,16,ROUND(NORMINV(RAND(),Coefficients!$B$20,Coefficients!$B$21),0))</f>
        <v>9</v>
      </c>
      <c r="D1441" s="0" t="n">
        <f aca="true">CRITBINOM($C1441,MIN(0.75,Matchup!$B$39*$B1441),RAND())</f>
        <v>2</v>
      </c>
      <c r="E1441" s="0" t="n">
        <f aca="true">CRITBINOM(D1441,Coefficients!$B$30,RAND())</f>
        <v>1</v>
      </c>
      <c r="F1441" s="0" t="n">
        <f aca="true">CRITBINOM(E1441,Coefficients!$B$31,RAND())</f>
        <v>1</v>
      </c>
      <c r="G1441" s="0" t="n">
        <f aca="true">CRITBINOM(MAX(0,D1441-E1441),1-Coefficients!$B$32,RAND())</f>
        <v>1</v>
      </c>
      <c r="H1441" s="0" t="n">
        <f aca="true">CRITBINOM(MAX(0,$C1441-D1441),MIN(0.6,Matchup!$B$40*SQRT($B1441)/(1-MIN(0.75,Matchup!$B$39*$B1441))),RAND())</f>
        <v>0</v>
      </c>
      <c r="I1441" s="0" t="n">
        <f aca="false">6*D1441+(D1441-E1441-G1441)+2*F1441+3*H1441</f>
        <v>14</v>
      </c>
      <c r="J1441" s="0" t="n">
        <f aca="true">CRITBINOM($C1441,MIN(0.75,Matchup!$C$39*$B1441),RAND())</f>
        <v>2</v>
      </c>
      <c r="K1441" s="0" t="n">
        <f aca="true">CRITBINOM(J1441,Coefficients!$B$30,RAND())</f>
        <v>0</v>
      </c>
      <c r="L1441" s="0" t="n">
        <f aca="true">CRITBINOM(K1441,Coefficients!$B$31,RAND())</f>
        <v>0</v>
      </c>
      <c r="M1441" s="0" t="n">
        <f aca="true">CRITBINOM(MAX(0,J1441-K1441),1-Coefficients!$B$32,RAND())</f>
        <v>0</v>
      </c>
      <c r="N1441" s="0" t="n">
        <f aca="true">CRITBINOM(MAX(0,$C1441-J1441),MIN(0.6,Matchup!$C$40*SQRT($B1441)/(1-MIN(0.75,Matchup!$C$39*$B1441))),RAND())</f>
        <v>2</v>
      </c>
      <c r="O1441" s="0" t="n">
        <f aca="false">6*J1441+(J1441-K1441-M1441)+2*L1441+3*N1441</f>
        <v>20</v>
      </c>
      <c r="P1441" s="0" t="n">
        <f aca="true">RAND()</f>
        <v>0.351342019498677</v>
      </c>
      <c r="Q1441" s="0" t="n">
        <f aca="true">RAND()</f>
        <v>0.432199553140998</v>
      </c>
      <c r="R1441" s="0" t="n">
        <f aca="false">IF($I1441&lt;&gt;$O1441,0,IF(P1441&lt;Matchup!$B$39,7,IF(P1441&lt;Matchup!$B$39+Matchup!$B$40,3,0)))</f>
        <v>0</v>
      </c>
      <c r="S1441" s="0" t="n">
        <f aca="false">IF($I1441&lt;&gt;$O1441,0,IF(Q1441&lt;Matchup!$C$39,7,IF(Q1441&lt;Matchup!$C$39+Matchup!$C$40,3,0)))</f>
        <v>0</v>
      </c>
      <c r="T1441" s="0" t="n">
        <f aca="false">I1441+R1441</f>
        <v>14</v>
      </c>
      <c r="U1441" s="0" t="n">
        <f aca="false">O1441+S1441</f>
        <v>20</v>
      </c>
      <c r="V1441" s="0" t="n">
        <f aca="false">T1441-U1441</f>
        <v>-6</v>
      </c>
      <c r="W1441" s="0" t="n">
        <f aca="false">T1441+U1441</f>
        <v>34</v>
      </c>
    </row>
    <row r="1442" customFormat="false" ht="15" hidden="false" customHeight="false" outlineLevel="0" collapsed="false">
      <c r="A1442" s="0" t="n">
        <v>1439</v>
      </c>
      <c r="B1442" s="0" t="n">
        <f aca="true">NORMINV(RAND(),1,Coefficients!$B$22)</f>
        <v>0.912218036606239</v>
      </c>
      <c r="C1442" s="0" t="n">
        <f aca="true">MEDIAN(8,16,ROUND(NORMINV(RAND(),Coefficients!$B$20,Coefficients!$B$21),0))</f>
        <v>12</v>
      </c>
      <c r="D1442" s="0" t="n">
        <f aca="true">CRITBINOM($C1442,MIN(0.75,Matchup!$B$39*$B1442),RAND())</f>
        <v>2</v>
      </c>
      <c r="E1442" s="0" t="n">
        <f aca="true">CRITBINOM(D1442,Coefficients!$B$30,RAND())</f>
        <v>0</v>
      </c>
      <c r="F1442" s="0" t="n">
        <f aca="true">CRITBINOM(E1442,Coefficients!$B$31,RAND())</f>
        <v>0</v>
      </c>
      <c r="G1442" s="0" t="n">
        <f aca="true">CRITBINOM(MAX(0,D1442-E1442),1-Coefficients!$B$32,RAND())</f>
        <v>0</v>
      </c>
      <c r="H1442" s="0" t="n">
        <f aca="true">CRITBINOM(MAX(0,$C1442-D1442),MIN(0.6,Matchup!$B$40*SQRT($B1442)/(1-MIN(0.75,Matchup!$B$39*$B1442))),RAND())</f>
        <v>2</v>
      </c>
      <c r="I1442" s="0" t="n">
        <f aca="false">6*D1442+(D1442-E1442-G1442)+2*F1442+3*H1442</f>
        <v>20</v>
      </c>
      <c r="J1442" s="0" t="n">
        <f aca="true">CRITBINOM($C1442,MIN(0.75,Matchup!$C$39*$B1442),RAND())</f>
        <v>1</v>
      </c>
      <c r="K1442" s="0" t="n">
        <f aca="true">CRITBINOM(J1442,Coefficients!$B$30,RAND())</f>
        <v>0</v>
      </c>
      <c r="L1442" s="0" t="n">
        <f aca="true">CRITBINOM(K1442,Coefficients!$B$31,RAND())</f>
        <v>0</v>
      </c>
      <c r="M1442" s="0" t="n">
        <f aca="true">CRITBINOM(MAX(0,J1442-K1442),1-Coefficients!$B$32,RAND())</f>
        <v>0</v>
      </c>
      <c r="N1442" s="0" t="n">
        <f aca="true">CRITBINOM(MAX(0,$C1442-J1442),MIN(0.6,Matchup!$C$40*SQRT($B1442)/(1-MIN(0.75,Matchup!$C$39*$B1442))),RAND())</f>
        <v>4</v>
      </c>
      <c r="O1442" s="0" t="n">
        <f aca="false">6*J1442+(J1442-K1442-M1442)+2*L1442+3*N1442</f>
        <v>19</v>
      </c>
      <c r="P1442" s="0" t="n">
        <f aca="true">RAND()</f>
        <v>0.0437092157033319</v>
      </c>
      <c r="Q1442" s="0" t="n">
        <f aca="true">RAND()</f>
        <v>0.270588424448884</v>
      </c>
      <c r="R1442" s="0" t="n">
        <f aca="false">IF($I1442&lt;&gt;$O1442,0,IF(P1442&lt;Matchup!$B$39,7,IF(P1442&lt;Matchup!$B$39+Matchup!$B$40,3,0)))</f>
        <v>0</v>
      </c>
      <c r="S1442" s="0" t="n">
        <f aca="false">IF($I1442&lt;&gt;$O1442,0,IF(Q1442&lt;Matchup!$C$39,7,IF(Q1442&lt;Matchup!$C$39+Matchup!$C$40,3,0)))</f>
        <v>0</v>
      </c>
      <c r="T1442" s="0" t="n">
        <f aca="false">I1442+R1442</f>
        <v>20</v>
      </c>
      <c r="U1442" s="0" t="n">
        <f aca="false">O1442+S1442</f>
        <v>19</v>
      </c>
      <c r="V1442" s="0" t="n">
        <f aca="false">T1442-U1442</f>
        <v>1</v>
      </c>
      <c r="W1442" s="0" t="n">
        <f aca="false">T1442+U1442</f>
        <v>39</v>
      </c>
    </row>
    <row r="1443" customFormat="false" ht="15" hidden="false" customHeight="false" outlineLevel="0" collapsed="false">
      <c r="A1443" s="0" t="n">
        <v>1440</v>
      </c>
      <c r="B1443" s="0" t="n">
        <f aca="true">NORMINV(RAND(),1,Coefficients!$B$22)</f>
        <v>0.929493924785927</v>
      </c>
      <c r="C1443" s="0" t="n">
        <f aca="true">MEDIAN(8,16,ROUND(NORMINV(RAND(),Coefficients!$B$20,Coefficients!$B$21),0))</f>
        <v>12</v>
      </c>
      <c r="D1443" s="0" t="n">
        <f aca="true">CRITBINOM($C1443,MIN(0.75,Matchup!$B$39*$B1443),RAND())</f>
        <v>3</v>
      </c>
      <c r="E1443" s="0" t="n">
        <f aca="true">CRITBINOM(D1443,Coefficients!$B$30,RAND())</f>
        <v>1</v>
      </c>
      <c r="F1443" s="0" t="n">
        <f aca="true">CRITBINOM(E1443,Coefficients!$B$31,RAND())</f>
        <v>0</v>
      </c>
      <c r="G1443" s="0" t="n">
        <f aca="true">CRITBINOM(MAX(0,D1443-E1443),1-Coefficients!$B$32,RAND())</f>
        <v>0</v>
      </c>
      <c r="H1443" s="0" t="n">
        <f aca="true">CRITBINOM(MAX(0,$C1443-D1443),MIN(0.6,Matchup!$B$40*SQRT($B1443)/(1-MIN(0.75,Matchup!$B$39*$B1443))),RAND())</f>
        <v>3</v>
      </c>
      <c r="I1443" s="0" t="n">
        <f aca="false">6*D1443+(D1443-E1443-G1443)+2*F1443+3*H1443</f>
        <v>29</v>
      </c>
      <c r="J1443" s="0" t="n">
        <f aca="true">CRITBINOM($C1443,MIN(0.75,Matchup!$C$39*$B1443),RAND())</f>
        <v>2</v>
      </c>
      <c r="K1443" s="0" t="n">
        <f aca="true">CRITBINOM(J1443,Coefficients!$B$30,RAND())</f>
        <v>0</v>
      </c>
      <c r="L1443" s="0" t="n">
        <f aca="true">CRITBINOM(K1443,Coefficients!$B$31,RAND())</f>
        <v>0</v>
      </c>
      <c r="M1443" s="0" t="n">
        <f aca="true">CRITBINOM(MAX(0,J1443-K1443),1-Coefficients!$B$32,RAND())</f>
        <v>0</v>
      </c>
      <c r="N1443" s="0" t="n">
        <f aca="true">CRITBINOM(MAX(0,$C1443-J1443),MIN(0.6,Matchup!$C$40*SQRT($B1443)/(1-MIN(0.75,Matchup!$C$39*$B1443))),RAND())</f>
        <v>1</v>
      </c>
      <c r="O1443" s="0" t="n">
        <f aca="false">6*J1443+(J1443-K1443-M1443)+2*L1443+3*N1443</f>
        <v>17</v>
      </c>
      <c r="P1443" s="0" t="n">
        <f aca="true">RAND()</f>
        <v>0.392631501043432</v>
      </c>
      <c r="Q1443" s="0" t="n">
        <f aca="true">RAND()</f>
        <v>0.497907643109505</v>
      </c>
      <c r="R1443" s="0" t="n">
        <f aca="false">IF($I1443&lt;&gt;$O1443,0,IF(P1443&lt;Matchup!$B$39,7,IF(P1443&lt;Matchup!$B$39+Matchup!$B$40,3,0)))</f>
        <v>0</v>
      </c>
      <c r="S1443" s="0" t="n">
        <f aca="false">IF($I1443&lt;&gt;$O1443,0,IF(Q1443&lt;Matchup!$C$39,7,IF(Q1443&lt;Matchup!$C$39+Matchup!$C$40,3,0)))</f>
        <v>0</v>
      </c>
      <c r="T1443" s="0" t="n">
        <f aca="false">I1443+R1443</f>
        <v>29</v>
      </c>
      <c r="U1443" s="0" t="n">
        <f aca="false">O1443+S1443</f>
        <v>17</v>
      </c>
      <c r="V1443" s="0" t="n">
        <f aca="false">T1443-U1443</f>
        <v>12</v>
      </c>
      <c r="W1443" s="0" t="n">
        <f aca="false">T1443+U1443</f>
        <v>46</v>
      </c>
    </row>
    <row r="1444" customFormat="false" ht="15" hidden="false" customHeight="false" outlineLevel="0" collapsed="false">
      <c r="A1444" s="0" t="n">
        <v>1441</v>
      </c>
      <c r="B1444" s="0" t="n">
        <f aca="true">NORMINV(RAND(),1,Coefficients!$B$22)</f>
        <v>0.949636324319355</v>
      </c>
      <c r="C1444" s="0" t="n">
        <f aca="true">MEDIAN(8,16,ROUND(NORMINV(RAND(),Coefficients!$B$20,Coefficients!$B$21),0))</f>
        <v>12</v>
      </c>
      <c r="D1444" s="0" t="n">
        <f aca="true">CRITBINOM($C1444,MIN(0.75,Matchup!$B$39*$B1444),RAND())</f>
        <v>1</v>
      </c>
      <c r="E1444" s="0" t="n">
        <f aca="true">CRITBINOM(D1444,Coefficients!$B$30,RAND())</f>
        <v>0</v>
      </c>
      <c r="F1444" s="0" t="n">
        <f aca="true">CRITBINOM(E1444,Coefficients!$B$31,RAND())</f>
        <v>0</v>
      </c>
      <c r="G1444" s="0" t="n">
        <f aca="true">CRITBINOM(MAX(0,D1444-E1444),1-Coefficients!$B$32,RAND())</f>
        <v>1</v>
      </c>
      <c r="H1444" s="0" t="n">
        <f aca="true">CRITBINOM(MAX(0,$C1444-D1444),MIN(0.6,Matchup!$B$40*SQRT($B1444)/(1-MIN(0.75,Matchup!$B$39*$B1444))),RAND())</f>
        <v>1</v>
      </c>
      <c r="I1444" s="0" t="n">
        <f aca="false">6*D1444+(D1444-E1444-G1444)+2*F1444+3*H1444</f>
        <v>9</v>
      </c>
      <c r="J1444" s="0" t="n">
        <f aca="true">CRITBINOM($C1444,MIN(0.75,Matchup!$C$39*$B1444),RAND())</f>
        <v>2</v>
      </c>
      <c r="K1444" s="0" t="n">
        <f aca="true">CRITBINOM(J1444,Coefficients!$B$30,RAND())</f>
        <v>0</v>
      </c>
      <c r="L1444" s="0" t="n">
        <f aca="true">CRITBINOM(K1444,Coefficients!$B$31,RAND())</f>
        <v>0</v>
      </c>
      <c r="M1444" s="0" t="n">
        <f aca="true">CRITBINOM(MAX(0,J1444-K1444),1-Coefficients!$B$32,RAND())</f>
        <v>0</v>
      </c>
      <c r="N1444" s="0" t="n">
        <f aca="true">CRITBINOM(MAX(0,$C1444-J1444),MIN(0.6,Matchup!$C$40*SQRT($B1444)/(1-MIN(0.75,Matchup!$C$39*$B1444))),RAND())</f>
        <v>0</v>
      </c>
      <c r="O1444" s="0" t="n">
        <f aca="false">6*J1444+(J1444-K1444-M1444)+2*L1444+3*N1444</f>
        <v>14</v>
      </c>
      <c r="P1444" s="0" t="n">
        <f aca="true">RAND()</f>
        <v>0.110870721419184</v>
      </c>
      <c r="Q1444" s="0" t="n">
        <f aca="true">RAND()</f>
        <v>0.605331172472946</v>
      </c>
      <c r="R1444" s="0" t="n">
        <f aca="false">IF($I1444&lt;&gt;$O1444,0,IF(P1444&lt;Matchup!$B$39,7,IF(P1444&lt;Matchup!$B$39+Matchup!$B$40,3,0)))</f>
        <v>0</v>
      </c>
      <c r="S1444" s="0" t="n">
        <f aca="false">IF($I1444&lt;&gt;$O1444,0,IF(Q1444&lt;Matchup!$C$39,7,IF(Q1444&lt;Matchup!$C$39+Matchup!$C$40,3,0)))</f>
        <v>0</v>
      </c>
      <c r="T1444" s="0" t="n">
        <f aca="false">I1444+R1444</f>
        <v>9</v>
      </c>
      <c r="U1444" s="0" t="n">
        <f aca="false">O1444+S1444</f>
        <v>14</v>
      </c>
      <c r="V1444" s="0" t="n">
        <f aca="false">T1444-U1444</f>
        <v>-5</v>
      </c>
      <c r="W1444" s="0" t="n">
        <f aca="false">T1444+U1444</f>
        <v>23</v>
      </c>
    </row>
    <row r="1445" customFormat="false" ht="15" hidden="false" customHeight="false" outlineLevel="0" collapsed="false">
      <c r="A1445" s="0" t="n">
        <v>1442</v>
      </c>
      <c r="B1445" s="0" t="n">
        <f aca="true">NORMINV(RAND(),1,Coefficients!$B$22)</f>
        <v>0.988976218092066</v>
      </c>
      <c r="C1445" s="0" t="n">
        <f aca="true">MEDIAN(8,16,ROUND(NORMINV(RAND(),Coefficients!$B$20,Coefficients!$B$21),0))</f>
        <v>11</v>
      </c>
      <c r="D1445" s="0" t="n">
        <f aca="true">CRITBINOM($C1445,MIN(0.75,Matchup!$B$39*$B1445),RAND())</f>
        <v>5</v>
      </c>
      <c r="E1445" s="0" t="n">
        <f aca="true">CRITBINOM(D1445,Coefficients!$B$30,RAND())</f>
        <v>0</v>
      </c>
      <c r="F1445" s="0" t="n">
        <f aca="true">CRITBINOM(E1445,Coefficients!$B$31,RAND())</f>
        <v>0</v>
      </c>
      <c r="G1445" s="0" t="n">
        <f aca="true">CRITBINOM(MAX(0,D1445-E1445),1-Coefficients!$B$32,RAND())</f>
        <v>0</v>
      </c>
      <c r="H1445" s="0" t="n">
        <f aca="true">CRITBINOM(MAX(0,$C1445-D1445),MIN(0.6,Matchup!$B$40*SQRT($B1445)/(1-MIN(0.75,Matchup!$B$39*$B1445))),RAND())</f>
        <v>1</v>
      </c>
      <c r="I1445" s="0" t="n">
        <f aca="false">6*D1445+(D1445-E1445-G1445)+2*F1445+3*H1445</f>
        <v>38</v>
      </c>
      <c r="J1445" s="0" t="n">
        <f aca="true">CRITBINOM($C1445,MIN(0.75,Matchup!$C$39*$B1445),RAND())</f>
        <v>3</v>
      </c>
      <c r="K1445" s="0" t="n">
        <f aca="true">CRITBINOM(J1445,Coefficients!$B$30,RAND())</f>
        <v>1</v>
      </c>
      <c r="L1445" s="0" t="n">
        <f aca="true">CRITBINOM(K1445,Coefficients!$B$31,RAND())</f>
        <v>1</v>
      </c>
      <c r="M1445" s="0" t="n">
        <f aca="true">CRITBINOM(MAX(0,J1445-K1445),1-Coefficients!$B$32,RAND())</f>
        <v>0</v>
      </c>
      <c r="N1445" s="0" t="n">
        <f aca="true">CRITBINOM(MAX(0,$C1445-J1445),MIN(0.6,Matchup!$C$40*SQRT($B1445)/(1-MIN(0.75,Matchup!$C$39*$B1445))),RAND())</f>
        <v>0</v>
      </c>
      <c r="O1445" s="0" t="n">
        <f aca="false">6*J1445+(J1445-K1445-M1445)+2*L1445+3*N1445</f>
        <v>22</v>
      </c>
      <c r="P1445" s="0" t="n">
        <f aca="true">RAND()</f>
        <v>0.859091608542777</v>
      </c>
      <c r="Q1445" s="0" t="n">
        <f aca="true">RAND()</f>
        <v>0.978089641172844</v>
      </c>
      <c r="R1445" s="0" t="n">
        <f aca="false">IF($I1445&lt;&gt;$O1445,0,IF(P1445&lt;Matchup!$B$39,7,IF(P1445&lt;Matchup!$B$39+Matchup!$B$40,3,0)))</f>
        <v>0</v>
      </c>
      <c r="S1445" s="0" t="n">
        <f aca="false">IF($I1445&lt;&gt;$O1445,0,IF(Q1445&lt;Matchup!$C$39,7,IF(Q1445&lt;Matchup!$C$39+Matchup!$C$40,3,0)))</f>
        <v>0</v>
      </c>
      <c r="T1445" s="0" t="n">
        <f aca="false">I1445+R1445</f>
        <v>38</v>
      </c>
      <c r="U1445" s="0" t="n">
        <f aca="false">O1445+S1445</f>
        <v>22</v>
      </c>
      <c r="V1445" s="0" t="n">
        <f aca="false">T1445-U1445</f>
        <v>16</v>
      </c>
      <c r="W1445" s="0" t="n">
        <f aca="false">T1445+U1445</f>
        <v>60</v>
      </c>
    </row>
    <row r="1446" customFormat="false" ht="15" hidden="false" customHeight="false" outlineLevel="0" collapsed="false">
      <c r="A1446" s="0" t="n">
        <v>1443</v>
      </c>
      <c r="B1446" s="0" t="n">
        <f aca="true">NORMINV(RAND(),1,Coefficients!$B$22)</f>
        <v>0.947651729939776</v>
      </c>
      <c r="C1446" s="0" t="n">
        <f aca="true">MEDIAN(8,16,ROUND(NORMINV(RAND(),Coefficients!$B$20,Coefficients!$B$21),0))</f>
        <v>12</v>
      </c>
      <c r="D1446" s="0" t="n">
        <f aca="true">CRITBINOM($C1446,MIN(0.75,Matchup!$B$39*$B1446),RAND())</f>
        <v>3</v>
      </c>
      <c r="E1446" s="0" t="n">
        <f aca="true">CRITBINOM(D1446,Coefficients!$B$30,RAND())</f>
        <v>0</v>
      </c>
      <c r="F1446" s="0" t="n">
        <f aca="true">CRITBINOM(E1446,Coefficients!$B$31,RAND())</f>
        <v>0</v>
      </c>
      <c r="G1446" s="0" t="n">
        <f aca="true">CRITBINOM(MAX(0,D1446-E1446),1-Coefficients!$B$32,RAND())</f>
        <v>0</v>
      </c>
      <c r="H1446" s="0" t="n">
        <f aca="true">CRITBINOM(MAX(0,$C1446-D1446),MIN(0.6,Matchup!$B$40*SQRT($B1446)/(1-MIN(0.75,Matchup!$B$39*$B1446))),RAND())</f>
        <v>1</v>
      </c>
      <c r="I1446" s="0" t="n">
        <f aca="false">6*D1446+(D1446-E1446-G1446)+2*F1446+3*H1446</f>
        <v>24</v>
      </c>
      <c r="J1446" s="0" t="n">
        <f aca="true">CRITBINOM($C1446,MIN(0.75,Matchup!$C$39*$B1446),RAND())</f>
        <v>5</v>
      </c>
      <c r="K1446" s="0" t="n">
        <f aca="true">CRITBINOM(J1446,Coefficients!$B$30,RAND())</f>
        <v>2</v>
      </c>
      <c r="L1446" s="0" t="n">
        <f aca="true">CRITBINOM(K1446,Coefficients!$B$31,RAND())</f>
        <v>2</v>
      </c>
      <c r="M1446" s="0" t="n">
        <f aca="true">CRITBINOM(MAX(0,J1446-K1446),1-Coefficients!$B$32,RAND())</f>
        <v>0</v>
      </c>
      <c r="N1446" s="0" t="n">
        <f aca="true">CRITBINOM(MAX(0,$C1446-J1446),MIN(0.6,Matchup!$C$40*SQRT($B1446)/(1-MIN(0.75,Matchup!$C$39*$B1446))),RAND())</f>
        <v>0</v>
      </c>
      <c r="O1446" s="0" t="n">
        <f aca="false">6*J1446+(J1446-K1446-M1446)+2*L1446+3*N1446</f>
        <v>37</v>
      </c>
      <c r="P1446" s="0" t="n">
        <f aca="true">RAND()</f>
        <v>0.444511508679643</v>
      </c>
      <c r="Q1446" s="0" t="n">
        <f aca="true">RAND()</f>
        <v>0.845994976208049</v>
      </c>
      <c r="R1446" s="0" t="n">
        <f aca="false">IF($I1446&lt;&gt;$O1446,0,IF(P1446&lt;Matchup!$B$39,7,IF(P1446&lt;Matchup!$B$39+Matchup!$B$40,3,0)))</f>
        <v>0</v>
      </c>
      <c r="S1446" s="0" t="n">
        <f aca="false">IF($I1446&lt;&gt;$O1446,0,IF(Q1446&lt;Matchup!$C$39,7,IF(Q1446&lt;Matchup!$C$39+Matchup!$C$40,3,0)))</f>
        <v>0</v>
      </c>
      <c r="T1446" s="0" t="n">
        <f aca="false">I1446+R1446</f>
        <v>24</v>
      </c>
      <c r="U1446" s="0" t="n">
        <f aca="false">O1446+S1446</f>
        <v>37</v>
      </c>
      <c r="V1446" s="0" t="n">
        <f aca="false">T1446-U1446</f>
        <v>-13</v>
      </c>
      <c r="W1446" s="0" t="n">
        <f aca="false">T1446+U1446</f>
        <v>61</v>
      </c>
    </row>
    <row r="1447" customFormat="false" ht="15" hidden="false" customHeight="false" outlineLevel="0" collapsed="false">
      <c r="A1447" s="0" t="n">
        <v>1444</v>
      </c>
      <c r="B1447" s="0" t="n">
        <f aca="true">NORMINV(RAND(),1,Coefficients!$B$22)</f>
        <v>0.941706650022864</v>
      </c>
      <c r="C1447" s="0" t="n">
        <f aca="true">MEDIAN(8,16,ROUND(NORMINV(RAND(),Coefficients!$B$20,Coefficients!$B$21),0))</f>
        <v>12</v>
      </c>
      <c r="D1447" s="0" t="n">
        <f aca="true">CRITBINOM($C1447,MIN(0.75,Matchup!$B$39*$B1447),RAND())</f>
        <v>5</v>
      </c>
      <c r="E1447" s="0" t="n">
        <f aca="true">CRITBINOM(D1447,Coefficients!$B$30,RAND())</f>
        <v>0</v>
      </c>
      <c r="F1447" s="0" t="n">
        <f aca="true">CRITBINOM(E1447,Coefficients!$B$31,RAND())</f>
        <v>0</v>
      </c>
      <c r="G1447" s="0" t="n">
        <f aca="true">CRITBINOM(MAX(0,D1447-E1447),1-Coefficients!$B$32,RAND())</f>
        <v>0</v>
      </c>
      <c r="H1447" s="0" t="n">
        <f aca="true">CRITBINOM(MAX(0,$C1447-D1447),MIN(0.6,Matchup!$B$40*SQRT($B1447)/(1-MIN(0.75,Matchup!$B$39*$B1447))),RAND())</f>
        <v>1</v>
      </c>
      <c r="I1447" s="0" t="n">
        <f aca="false">6*D1447+(D1447-E1447-G1447)+2*F1447+3*H1447</f>
        <v>38</v>
      </c>
      <c r="J1447" s="0" t="n">
        <f aca="true">CRITBINOM($C1447,MIN(0.75,Matchup!$C$39*$B1447),RAND())</f>
        <v>0</v>
      </c>
      <c r="K1447" s="0" t="n">
        <f aca="true">CRITBINOM(J1447,Coefficients!$B$30,RAND())</f>
        <v>0</v>
      </c>
      <c r="L1447" s="0" t="n">
        <f aca="true">CRITBINOM(K1447,Coefficients!$B$31,RAND())</f>
        <v>0</v>
      </c>
      <c r="M1447" s="0" t="n">
        <f aca="true">CRITBINOM(MAX(0,J1447-K1447),1-Coefficients!$B$32,RAND())</f>
        <v>0</v>
      </c>
      <c r="N1447" s="0" t="n">
        <f aca="true">CRITBINOM(MAX(0,$C1447-J1447),MIN(0.6,Matchup!$C$40*SQRT($B1447)/(1-MIN(0.75,Matchup!$C$39*$B1447))),RAND())</f>
        <v>5</v>
      </c>
      <c r="O1447" s="0" t="n">
        <f aca="false">6*J1447+(J1447-K1447-M1447)+2*L1447+3*N1447</f>
        <v>15</v>
      </c>
      <c r="P1447" s="0" t="n">
        <f aca="true">RAND()</f>
        <v>0.382891756260948</v>
      </c>
      <c r="Q1447" s="0" t="n">
        <f aca="true">RAND()</f>
        <v>0.470977618035903</v>
      </c>
      <c r="R1447" s="0" t="n">
        <f aca="false">IF($I1447&lt;&gt;$O1447,0,IF(P1447&lt;Matchup!$B$39,7,IF(P1447&lt;Matchup!$B$39+Matchup!$B$40,3,0)))</f>
        <v>0</v>
      </c>
      <c r="S1447" s="0" t="n">
        <f aca="false">IF($I1447&lt;&gt;$O1447,0,IF(Q1447&lt;Matchup!$C$39,7,IF(Q1447&lt;Matchup!$C$39+Matchup!$C$40,3,0)))</f>
        <v>0</v>
      </c>
      <c r="T1447" s="0" t="n">
        <f aca="false">I1447+R1447</f>
        <v>38</v>
      </c>
      <c r="U1447" s="0" t="n">
        <f aca="false">O1447+S1447</f>
        <v>15</v>
      </c>
      <c r="V1447" s="0" t="n">
        <f aca="false">T1447-U1447</f>
        <v>23</v>
      </c>
      <c r="W1447" s="0" t="n">
        <f aca="false">T1447+U1447</f>
        <v>53</v>
      </c>
    </row>
    <row r="1448" customFormat="false" ht="15" hidden="false" customHeight="false" outlineLevel="0" collapsed="false">
      <c r="A1448" s="0" t="n">
        <v>1445</v>
      </c>
      <c r="B1448" s="0" t="n">
        <f aca="true">NORMINV(RAND(),1,Coefficients!$B$22)</f>
        <v>1.05363042181021</v>
      </c>
      <c r="C1448" s="0" t="n">
        <f aca="true">MEDIAN(8,16,ROUND(NORMINV(RAND(),Coefficients!$B$20,Coefficients!$B$21),0))</f>
        <v>10</v>
      </c>
      <c r="D1448" s="0" t="n">
        <f aca="true">CRITBINOM($C1448,MIN(0.75,Matchup!$B$39*$B1448),RAND())</f>
        <v>1</v>
      </c>
      <c r="E1448" s="0" t="n">
        <f aca="true">CRITBINOM(D1448,Coefficients!$B$30,RAND())</f>
        <v>0</v>
      </c>
      <c r="F1448" s="0" t="n">
        <f aca="true">CRITBINOM(E1448,Coefficients!$B$31,RAND())</f>
        <v>0</v>
      </c>
      <c r="G1448" s="0" t="n">
        <f aca="true">CRITBINOM(MAX(0,D1448-E1448),1-Coefficients!$B$32,RAND())</f>
        <v>0</v>
      </c>
      <c r="H1448" s="0" t="n">
        <f aca="true">CRITBINOM(MAX(0,$C1448-D1448),MIN(0.6,Matchup!$B$40*SQRT($B1448)/(1-MIN(0.75,Matchup!$B$39*$B1448))),RAND())</f>
        <v>1</v>
      </c>
      <c r="I1448" s="0" t="n">
        <f aca="false">6*D1448+(D1448-E1448-G1448)+2*F1448+3*H1448</f>
        <v>10</v>
      </c>
      <c r="J1448" s="0" t="n">
        <f aca="true">CRITBINOM($C1448,MIN(0.75,Matchup!$C$39*$B1448),RAND())</f>
        <v>3</v>
      </c>
      <c r="K1448" s="0" t="n">
        <f aca="true">CRITBINOM(J1448,Coefficients!$B$30,RAND())</f>
        <v>0</v>
      </c>
      <c r="L1448" s="0" t="n">
        <f aca="true">CRITBINOM(K1448,Coefficients!$B$31,RAND())</f>
        <v>0</v>
      </c>
      <c r="M1448" s="0" t="n">
        <f aca="true">CRITBINOM(MAX(0,J1448-K1448),1-Coefficients!$B$32,RAND())</f>
        <v>1</v>
      </c>
      <c r="N1448" s="0" t="n">
        <f aca="true">CRITBINOM(MAX(0,$C1448-J1448),MIN(0.6,Matchup!$C$40*SQRT($B1448)/(1-MIN(0.75,Matchup!$C$39*$B1448))),RAND())</f>
        <v>1</v>
      </c>
      <c r="O1448" s="0" t="n">
        <f aca="false">6*J1448+(J1448-K1448-M1448)+2*L1448+3*N1448</f>
        <v>23</v>
      </c>
      <c r="P1448" s="0" t="n">
        <f aca="true">RAND()</f>
        <v>0.919732780027676</v>
      </c>
      <c r="Q1448" s="0" t="n">
        <f aca="true">RAND()</f>
        <v>0.685529673564206</v>
      </c>
      <c r="R1448" s="0" t="n">
        <f aca="false">IF($I1448&lt;&gt;$O1448,0,IF(P1448&lt;Matchup!$B$39,7,IF(P1448&lt;Matchup!$B$39+Matchup!$B$40,3,0)))</f>
        <v>0</v>
      </c>
      <c r="S1448" s="0" t="n">
        <f aca="false">IF($I1448&lt;&gt;$O1448,0,IF(Q1448&lt;Matchup!$C$39,7,IF(Q1448&lt;Matchup!$C$39+Matchup!$C$40,3,0)))</f>
        <v>0</v>
      </c>
      <c r="T1448" s="0" t="n">
        <f aca="false">I1448+R1448</f>
        <v>10</v>
      </c>
      <c r="U1448" s="0" t="n">
        <f aca="false">O1448+S1448</f>
        <v>23</v>
      </c>
      <c r="V1448" s="0" t="n">
        <f aca="false">T1448-U1448</f>
        <v>-13</v>
      </c>
      <c r="W1448" s="0" t="n">
        <f aca="false">T1448+U1448</f>
        <v>33</v>
      </c>
    </row>
    <row r="1449" customFormat="false" ht="15" hidden="false" customHeight="false" outlineLevel="0" collapsed="false">
      <c r="A1449" s="0" t="n">
        <v>1446</v>
      </c>
      <c r="B1449" s="0" t="n">
        <f aca="true">NORMINV(RAND(),1,Coefficients!$B$22)</f>
        <v>0.873504673161586</v>
      </c>
      <c r="C1449" s="0" t="n">
        <f aca="true">MEDIAN(8,16,ROUND(NORMINV(RAND(),Coefficients!$B$20,Coefficients!$B$21),0))</f>
        <v>10</v>
      </c>
      <c r="D1449" s="0" t="n">
        <f aca="true">CRITBINOM($C1449,MIN(0.75,Matchup!$B$39*$B1449),RAND())</f>
        <v>2</v>
      </c>
      <c r="E1449" s="0" t="n">
        <f aca="true">CRITBINOM(D1449,Coefficients!$B$30,RAND())</f>
        <v>0</v>
      </c>
      <c r="F1449" s="0" t="n">
        <f aca="true">CRITBINOM(E1449,Coefficients!$B$31,RAND())</f>
        <v>0</v>
      </c>
      <c r="G1449" s="0" t="n">
        <f aca="true">CRITBINOM(MAX(0,D1449-E1449),1-Coefficients!$B$32,RAND())</f>
        <v>0</v>
      </c>
      <c r="H1449" s="0" t="n">
        <f aca="true">CRITBINOM(MAX(0,$C1449-D1449),MIN(0.6,Matchup!$B$40*SQRT($B1449)/(1-MIN(0.75,Matchup!$B$39*$B1449))),RAND())</f>
        <v>0</v>
      </c>
      <c r="I1449" s="0" t="n">
        <f aca="false">6*D1449+(D1449-E1449-G1449)+2*F1449+3*H1449</f>
        <v>14</v>
      </c>
      <c r="J1449" s="0" t="n">
        <f aca="true">CRITBINOM($C1449,MIN(0.75,Matchup!$C$39*$B1449),RAND())</f>
        <v>3</v>
      </c>
      <c r="K1449" s="0" t="n">
        <f aca="true">CRITBINOM(J1449,Coefficients!$B$30,RAND())</f>
        <v>0</v>
      </c>
      <c r="L1449" s="0" t="n">
        <f aca="true">CRITBINOM(K1449,Coefficients!$B$31,RAND())</f>
        <v>0</v>
      </c>
      <c r="M1449" s="0" t="n">
        <f aca="true">CRITBINOM(MAX(0,J1449-K1449),1-Coefficients!$B$32,RAND())</f>
        <v>0</v>
      </c>
      <c r="N1449" s="0" t="n">
        <f aca="true">CRITBINOM(MAX(0,$C1449-J1449),MIN(0.6,Matchup!$C$40*SQRT($B1449)/(1-MIN(0.75,Matchup!$C$39*$B1449))),RAND())</f>
        <v>0</v>
      </c>
      <c r="O1449" s="0" t="n">
        <f aca="false">6*J1449+(J1449-K1449-M1449)+2*L1449+3*N1449</f>
        <v>21</v>
      </c>
      <c r="P1449" s="0" t="n">
        <f aca="true">RAND()</f>
        <v>0.766430926342696</v>
      </c>
      <c r="Q1449" s="0" t="n">
        <f aca="true">RAND()</f>
        <v>0.682569647444736</v>
      </c>
      <c r="R1449" s="0" t="n">
        <f aca="false">IF($I1449&lt;&gt;$O1449,0,IF(P1449&lt;Matchup!$B$39,7,IF(P1449&lt;Matchup!$B$39+Matchup!$B$40,3,0)))</f>
        <v>0</v>
      </c>
      <c r="S1449" s="0" t="n">
        <f aca="false">IF($I1449&lt;&gt;$O1449,0,IF(Q1449&lt;Matchup!$C$39,7,IF(Q1449&lt;Matchup!$C$39+Matchup!$C$40,3,0)))</f>
        <v>0</v>
      </c>
      <c r="T1449" s="0" t="n">
        <f aca="false">I1449+R1449</f>
        <v>14</v>
      </c>
      <c r="U1449" s="0" t="n">
        <f aca="false">O1449+S1449</f>
        <v>21</v>
      </c>
      <c r="V1449" s="0" t="n">
        <f aca="false">T1449-U1449</f>
        <v>-7</v>
      </c>
      <c r="W1449" s="0" t="n">
        <f aca="false">T1449+U1449</f>
        <v>35</v>
      </c>
    </row>
    <row r="1450" customFormat="false" ht="15" hidden="false" customHeight="false" outlineLevel="0" collapsed="false">
      <c r="A1450" s="0" t="n">
        <v>1447</v>
      </c>
      <c r="B1450" s="0" t="n">
        <f aca="true">NORMINV(RAND(),1,Coefficients!$B$22)</f>
        <v>0.920496887649591</v>
      </c>
      <c r="C1450" s="0" t="n">
        <f aca="true">MEDIAN(8,16,ROUND(NORMINV(RAND(),Coefficients!$B$20,Coefficients!$B$21),0))</f>
        <v>11</v>
      </c>
      <c r="D1450" s="0" t="n">
        <f aca="true">CRITBINOM($C1450,MIN(0.75,Matchup!$B$39*$B1450),RAND())</f>
        <v>0</v>
      </c>
      <c r="E1450" s="0" t="n">
        <f aca="true">CRITBINOM(D1450,Coefficients!$B$30,RAND())</f>
        <v>0</v>
      </c>
      <c r="F1450" s="0" t="n">
        <f aca="true">CRITBINOM(E1450,Coefficients!$B$31,RAND())</f>
        <v>0</v>
      </c>
      <c r="G1450" s="0" t="n">
        <f aca="true">CRITBINOM(MAX(0,D1450-E1450),1-Coefficients!$B$32,RAND())</f>
        <v>0</v>
      </c>
      <c r="H1450" s="0" t="n">
        <f aca="true">CRITBINOM(MAX(0,$C1450-D1450),MIN(0.6,Matchup!$B$40*SQRT($B1450)/(1-MIN(0.75,Matchup!$B$39*$B1450))),RAND())</f>
        <v>2</v>
      </c>
      <c r="I1450" s="0" t="n">
        <f aca="false">6*D1450+(D1450-E1450-G1450)+2*F1450+3*H1450</f>
        <v>6</v>
      </c>
      <c r="J1450" s="0" t="n">
        <f aca="true">CRITBINOM($C1450,MIN(0.75,Matchup!$C$39*$B1450),RAND())</f>
        <v>3</v>
      </c>
      <c r="K1450" s="0" t="n">
        <f aca="true">CRITBINOM(J1450,Coefficients!$B$30,RAND())</f>
        <v>0</v>
      </c>
      <c r="L1450" s="0" t="n">
        <f aca="true">CRITBINOM(K1450,Coefficients!$B$31,RAND())</f>
        <v>0</v>
      </c>
      <c r="M1450" s="0" t="n">
        <f aca="true">CRITBINOM(MAX(0,J1450-K1450),1-Coefficients!$B$32,RAND())</f>
        <v>0</v>
      </c>
      <c r="N1450" s="0" t="n">
        <f aca="true">CRITBINOM(MAX(0,$C1450-J1450),MIN(0.6,Matchup!$C$40*SQRT($B1450)/(1-MIN(0.75,Matchup!$C$39*$B1450))),RAND())</f>
        <v>2</v>
      </c>
      <c r="O1450" s="0" t="n">
        <f aca="false">6*J1450+(J1450-K1450-M1450)+2*L1450+3*N1450</f>
        <v>27</v>
      </c>
      <c r="P1450" s="0" t="n">
        <f aca="true">RAND()</f>
        <v>0.446972432609377</v>
      </c>
      <c r="Q1450" s="0" t="n">
        <f aca="true">RAND()</f>
        <v>0.611355120884067</v>
      </c>
      <c r="R1450" s="0" t="n">
        <f aca="false">IF($I1450&lt;&gt;$O1450,0,IF(P1450&lt;Matchup!$B$39,7,IF(P1450&lt;Matchup!$B$39+Matchup!$B$40,3,0)))</f>
        <v>0</v>
      </c>
      <c r="S1450" s="0" t="n">
        <f aca="false">IF($I1450&lt;&gt;$O1450,0,IF(Q1450&lt;Matchup!$C$39,7,IF(Q1450&lt;Matchup!$C$39+Matchup!$C$40,3,0)))</f>
        <v>0</v>
      </c>
      <c r="T1450" s="0" t="n">
        <f aca="false">I1450+R1450</f>
        <v>6</v>
      </c>
      <c r="U1450" s="0" t="n">
        <f aca="false">O1450+S1450</f>
        <v>27</v>
      </c>
      <c r="V1450" s="0" t="n">
        <f aca="false">T1450-U1450</f>
        <v>-21</v>
      </c>
      <c r="W1450" s="0" t="n">
        <f aca="false">T1450+U1450</f>
        <v>33</v>
      </c>
    </row>
    <row r="1451" customFormat="false" ht="15" hidden="false" customHeight="false" outlineLevel="0" collapsed="false">
      <c r="A1451" s="0" t="n">
        <v>1448</v>
      </c>
      <c r="B1451" s="0" t="n">
        <f aca="true">NORMINV(RAND(),1,Coefficients!$B$22)</f>
        <v>1.03374372576586</v>
      </c>
      <c r="C1451" s="0" t="n">
        <f aca="true">MEDIAN(8,16,ROUND(NORMINV(RAND(),Coefficients!$B$20,Coefficients!$B$21),0))</f>
        <v>10</v>
      </c>
      <c r="D1451" s="0" t="n">
        <f aca="true">CRITBINOM($C1451,MIN(0.75,Matchup!$B$39*$B1451),RAND())</f>
        <v>4</v>
      </c>
      <c r="E1451" s="0" t="n">
        <f aca="true">CRITBINOM(D1451,Coefficients!$B$30,RAND())</f>
        <v>1</v>
      </c>
      <c r="F1451" s="0" t="n">
        <f aca="true">CRITBINOM(E1451,Coefficients!$B$31,RAND())</f>
        <v>0</v>
      </c>
      <c r="G1451" s="0" t="n">
        <f aca="true">CRITBINOM(MAX(0,D1451-E1451),1-Coefficients!$B$32,RAND())</f>
        <v>0</v>
      </c>
      <c r="H1451" s="0" t="n">
        <f aca="true">CRITBINOM(MAX(0,$C1451-D1451),MIN(0.6,Matchup!$B$40*SQRT($B1451)/(1-MIN(0.75,Matchup!$B$39*$B1451))),RAND())</f>
        <v>0</v>
      </c>
      <c r="I1451" s="0" t="n">
        <f aca="false">6*D1451+(D1451-E1451-G1451)+2*F1451+3*H1451</f>
        <v>27</v>
      </c>
      <c r="J1451" s="0" t="n">
        <f aca="true">CRITBINOM($C1451,MIN(0.75,Matchup!$C$39*$B1451),RAND())</f>
        <v>2</v>
      </c>
      <c r="K1451" s="0" t="n">
        <f aca="true">CRITBINOM(J1451,Coefficients!$B$30,RAND())</f>
        <v>1</v>
      </c>
      <c r="L1451" s="0" t="n">
        <f aca="true">CRITBINOM(K1451,Coefficients!$B$31,RAND())</f>
        <v>0</v>
      </c>
      <c r="M1451" s="0" t="n">
        <f aca="true">CRITBINOM(MAX(0,J1451-K1451),1-Coefficients!$B$32,RAND())</f>
        <v>0</v>
      </c>
      <c r="N1451" s="0" t="n">
        <f aca="true">CRITBINOM(MAX(0,$C1451-J1451),MIN(0.6,Matchup!$C$40*SQRT($B1451)/(1-MIN(0.75,Matchup!$C$39*$B1451))),RAND())</f>
        <v>0</v>
      </c>
      <c r="O1451" s="0" t="n">
        <f aca="false">6*J1451+(J1451-K1451-M1451)+2*L1451+3*N1451</f>
        <v>13</v>
      </c>
      <c r="P1451" s="0" t="n">
        <f aca="true">RAND()</f>
        <v>0.109322905825334</v>
      </c>
      <c r="Q1451" s="0" t="n">
        <f aca="true">RAND()</f>
        <v>0.861256269855931</v>
      </c>
      <c r="R1451" s="0" t="n">
        <f aca="false">IF($I1451&lt;&gt;$O1451,0,IF(P1451&lt;Matchup!$B$39,7,IF(P1451&lt;Matchup!$B$39+Matchup!$B$40,3,0)))</f>
        <v>0</v>
      </c>
      <c r="S1451" s="0" t="n">
        <f aca="false">IF($I1451&lt;&gt;$O1451,0,IF(Q1451&lt;Matchup!$C$39,7,IF(Q1451&lt;Matchup!$C$39+Matchup!$C$40,3,0)))</f>
        <v>0</v>
      </c>
      <c r="T1451" s="0" t="n">
        <f aca="false">I1451+R1451</f>
        <v>27</v>
      </c>
      <c r="U1451" s="0" t="n">
        <f aca="false">O1451+S1451</f>
        <v>13</v>
      </c>
      <c r="V1451" s="0" t="n">
        <f aca="false">T1451-U1451</f>
        <v>14</v>
      </c>
      <c r="W1451" s="0" t="n">
        <f aca="false">T1451+U1451</f>
        <v>40</v>
      </c>
    </row>
    <row r="1452" customFormat="false" ht="15" hidden="false" customHeight="false" outlineLevel="0" collapsed="false">
      <c r="A1452" s="0" t="n">
        <v>1449</v>
      </c>
      <c r="B1452" s="0" t="n">
        <f aca="true">NORMINV(RAND(),1,Coefficients!$B$22)</f>
        <v>1.14415710726078</v>
      </c>
      <c r="C1452" s="0" t="n">
        <f aca="true">MEDIAN(8,16,ROUND(NORMINV(RAND(),Coefficients!$B$20,Coefficients!$B$21),0))</f>
        <v>10</v>
      </c>
      <c r="D1452" s="0" t="n">
        <f aca="true">CRITBINOM($C1452,MIN(0.75,Matchup!$B$39*$B1452),RAND())</f>
        <v>3</v>
      </c>
      <c r="E1452" s="0" t="n">
        <f aca="true">CRITBINOM(D1452,Coefficients!$B$30,RAND())</f>
        <v>0</v>
      </c>
      <c r="F1452" s="0" t="n">
        <f aca="true">CRITBINOM(E1452,Coefficients!$B$31,RAND())</f>
        <v>0</v>
      </c>
      <c r="G1452" s="0" t="n">
        <f aca="true">CRITBINOM(MAX(0,D1452-E1452),1-Coefficients!$B$32,RAND())</f>
        <v>0</v>
      </c>
      <c r="H1452" s="0" t="n">
        <f aca="true">CRITBINOM(MAX(0,$C1452-D1452),MIN(0.6,Matchup!$B$40*SQRT($B1452)/(1-MIN(0.75,Matchup!$B$39*$B1452))),RAND())</f>
        <v>0</v>
      </c>
      <c r="I1452" s="0" t="n">
        <f aca="false">6*D1452+(D1452-E1452-G1452)+2*F1452+3*H1452</f>
        <v>21</v>
      </c>
      <c r="J1452" s="0" t="n">
        <f aca="true">CRITBINOM($C1452,MIN(0.75,Matchup!$C$39*$B1452),RAND())</f>
        <v>1</v>
      </c>
      <c r="K1452" s="0" t="n">
        <f aca="true">CRITBINOM(J1452,Coefficients!$B$30,RAND())</f>
        <v>0</v>
      </c>
      <c r="L1452" s="0" t="n">
        <f aca="true">CRITBINOM(K1452,Coefficients!$B$31,RAND())</f>
        <v>0</v>
      </c>
      <c r="M1452" s="0" t="n">
        <f aca="true">CRITBINOM(MAX(0,J1452-K1452),1-Coefficients!$B$32,RAND())</f>
        <v>0</v>
      </c>
      <c r="N1452" s="0" t="n">
        <f aca="true">CRITBINOM(MAX(0,$C1452-J1452),MIN(0.6,Matchup!$C$40*SQRT($B1452)/(1-MIN(0.75,Matchup!$C$39*$B1452))),RAND())</f>
        <v>2</v>
      </c>
      <c r="O1452" s="0" t="n">
        <f aca="false">6*J1452+(J1452-K1452-M1452)+2*L1452+3*N1452</f>
        <v>13</v>
      </c>
      <c r="P1452" s="0" t="n">
        <f aca="true">RAND()</f>
        <v>0.633454971684315</v>
      </c>
      <c r="Q1452" s="0" t="n">
        <f aca="true">RAND()</f>
        <v>0.781988503582513</v>
      </c>
      <c r="R1452" s="0" t="n">
        <f aca="false">IF($I1452&lt;&gt;$O1452,0,IF(P1452&lt;Matchup!$B$39,7,IF(P1452&lt;Matchup!$B$39+Matchup!$B$40,3,0)))</f>
        <v>0</v>
      </c>
      <c r="S1452" s="0" t="n">
        <f aca="false">IF($I1452&lt;&gt;$O1452,0,IF(Q1452&lt;Matchup!$C$39,7,IF(Q1452&lt;Matchup!$C$39+Matchup!$C$40,3,0)))</f>
        <v>0</v>
      </c>
      <c r="T1452" s="0" t="n">
        <f aca="false">I1452+R1452</f>
        <v>21</v>
      </c>
      <c r="U1452" s="0" t="n">
        <f aca="false">O1452+S1452</f>
        <v>13</v>
      </c>
      <c r="V1452" s="0" t="n">
        <f aca="false">T1452-U1452</f>
        <v>8</v>
      </c>
      <c r="W1452" s="0" t="n">
        <f aca="false">T1452+U1452</f>
        <v>34</v>
      </c>
    </row>
    <row r="1453" customFormat="false" ht="15" hidden="false" customHeight="false" outlineLevel="0" collapsed="false">
      <c r="A1453" s="0" t="n">
        <v>1450</v>
      </c>
      <c r="B1453" s="0" t="n">
        <f aca="true">NORMINV(RAND(),1,Coefficients!$B$22)</f>
        <v>0.906780513451314</v>
      </c>
      <c r="C1453" s="0" t="n">
        <f aca="true">MEDIAN(8,16,ROUND(NORMINV(RAND(),Coefficients!$B$20,Coefficients!$B$21),0))</f>
        <v>11</v>
      </c>
      <c r="D1453" s="0" t="n">
        <f aca="true">CRITBINOM($C1453,MIN(0.75,Matchup!$B$39*$B1453),RAND())</f>
        <v>3</v>
      </c>
      <c r="E1453" s="0" t="n">
        <f aca="true">CRITBINOM(D1453,Coefficients!$B$30,RAND())</f>
        <v>1</v>
      </c>
      <c r="F1453" s="0" t="n">
        <f aca="true">CRITBINOM(E1453,Coefficients!$B$31,RAND())</f>
        <v>0</v>
      </c>
      <c r="G1453" s="0" t="n">
        <f aca="true">CRITBINOM(MAX(0,D1453-E1453),1-Coefficients!$B$32,RAND())</f>
        <v>0</v>
      </c>
      <c r="H1453" s="0" t="n">
        <f aca="true">CRITBINOM(MAX(0,$C1453-D1453),MIN(0.6,Matchup!$B$40*SQRT($B1453)/(1-MIN(0.75,Matchup!$B$39*$B1453))),RAND())</f>
        <v>0</v>
      </c>
      <c r="I1453" s="0" t="n">
        <f aca="false">6*D1453+(D1453-E1453-G1453)+2*F1453+3*H1453</f>
        <v>20</v>
      </c>
      <c r="J1453" s="0" t="n">
        <f aca="true">CRITBINOM($C1453,MIN(0.75,Matchup!$C$39*$B1453),RAND())</f>
        <v>1</v>
      </c>
      <c r="K1453" s="0" t="n">
        <f aca="true">CRITBINOM(J1453,Coefficients!$B$30,RAND())</f>
        <v>0</v>
      </c>
      <c r="L1453" s="0" t="n">
        <f aca="true">CRITBINOM(K1453,Coefficients!$B$31,RAND())</f>
        <v>0</v>
      </c>
      <c r="M1453" s="0" t="n">
        <f aca="true">CRITBINOM(MAX(0,J1453-K1453),1-Coefficients!$B$32,RAND())</f>
        <v>0</v>
      </c>
      <c r="N1453" s="0" t="n">
        <f aca="true">CRITBINOM(MAX(0,$C1453-J1453),MIN(0.6,Matchup!$C$40*SQRT($B1453)/(1-MIN(0.75,Matchup!$C$39*$B1453))),RAND())</f>
        <v>0</v>
      </c>
      <c r="O1453" s="0" t="n">
        <f aca="false">6*J1453+(J1453-K1453-M1453)+2*L1453+3*N1453</f>
        <v>7</v>
      </c>
      <c r="P1453" s="0" t="n">
        <f aca="true">RAND()</f>
        <v>0.137887723294937</v>
      </c>
      <c r="Q1453" s="0" t="n">
        <f aca="true">RAND()</f>
        <v>0.997777858518833</v>
      </c>
      <c r="R1453" s="0" t="n">
        <f aca="false">IF($I1453&lt;&gt;$O1453,0,IF(P1453&lt;Matchup!$B$39,7,IF(P1453&lt;Matchup!$B$39+Matchup!$B$40,3,0)))</f>
        <v>0</v>
      </c>
      <c r="S1453" s="0" t="n">
        <f aca="false">IF($I1453&lt;&gt;$O1453,0,IF(Q1453&lt;Matchup!$C$39,7,IF(Q1453&lt;Matchup!$C$39+Matchup!$C$40,3,0)))</f>
        <v>0</v>
      </c>
      <c r="T1453" s="0" t="n">
        <f aca="false">I1453+R1453</f>
        <v>20</v>
      </c>
      <c r="U1453" s="0" t="n">
        <f aca="false">O1453+S1453</f>
        <v>7</v>
      </c>
      <c r="V1453" s="0" t="n">
        <f aca="false">T1453-U1453</f>
        <v>13</v>
      </c>
      <c r="W1453" s="0" t="n">
        <f aca="false">T1453+U1453</f>
        <v>27</v>
      </c>
    </row>
    <row r="1454" customFormat="false" ht="15" hidden="false" customHeight="false" outlineLevel="0" collapsed="false">
      <c r="A1454" s="0" t="n">
        <v>1451</v>
      </c>
      <c r="B1454" s="0" t="n">
        <f aca="true">NORMINV(RAND(),1,Coefficients!$B$22)</f>
        <v>1.03564446353853</v>
      </c>
      <c r="C1454" s="0" t="n">
        <f aca="true">MEDIAN(8,16,ROUND(NORMINV(RAND(),Coefficients!$B$20,Coefficients!$B$21),0))</f>
        <v>11</v>
      </c>
      <c r="D1454" s="0" t="n">
        <f aca="true">CRITBINOM($C1454,MIN(0.75,Matchup!$B$39*$B1454),RAND())</f>
        <v>2</v>
      </c>
      <c r="E1454" s="0" t="n">
        <f aca="true">CRITBINOM(D1454,Coefficients!$B$30,RAND())</f>
        <v>0</v>
      </c>
      <c r="F1454" s="0" t="n">
        <f aca="true">CRITBINOM(E1454,Coefficients!$B$31,RAND())</f>
        <v>0</v>
      </c>
      <c r="G1454" s="0" t="n">
        <f aca="true">CRITBINOM(MAX(0,D1454-E1454),1-Coefficients!$B$32,RAND())</f>
        <v>0</v>
      </c>
      <c r="H1454" s="0" t="n">
        <f aca="true">CRITBINOM(MAX(0,$C1454-D1454),MIN(0.6,Matchup!$B$40*SQRT($B1454)/(1-MIN(0.75,Matchup!$B$39*$B1454))),RAND())</f>
        <v>1</v>
      </c>
      <c r="I1454" s="0" t="n">
        <f aca="false">6*D1454+(D1454-E1454-G1454)+2*F1454+3*H1454</f>
        <v>17</v>
      </c>
      <c r="J1454" s="0" t="n">
        <f aca="true">CRITBINOM($C1454,MIN(0.75,Matchup!$C$39*$B1454),RAND())</f>
        <v>4</v>
      </c>
      <c r="K1454" s="0" t="n">
        <f aca="true">CRITBINOM(J1454,Coefficients!$B$30,RAND())</f>
        <v>0</v>
      </c>
      <c r="L1454" s="0" t="n">
        <f aca="true">CRITBINOM(K1454,Coefficients!$B$31,RAND())</f>
        <v>0</v>
      </c>
      <c r="M1454" s="0" t="n">
        <f aca="true">CRITBINOM(MAX(0,J1454-K1454),1-Coefficients!$B$32,RAND())</f>
        <v>1</v>
      </c>
      <c r="N1454" s="0" t="n">
        <f aca="true">CRITBINOM(MAX(0,$C1454-J1454),MIN(0.6,Matchup!$C$40*SQRT($B1454)/(1-MIN(0.75,Matchup!$C$39*$B1454))),RAND())</f>
        <v>1</v>
      </c>
      <c r="O1454" s="0" t="n">
        <f aca="false">6*J1454+(J1454-K1454-M1454)+2*L1454+3*N1454</f>
        <v>30</v>
      </c>
      <c r="P1454" s="0" t="n">
        <f aca="true">RAND()</f>
        <v>0.383324714535479</v>
      </c>
      <c r="Q1454" s="0" t="n">
        <f aca="true">RAND()</f>
        <v>0.131240398996016</v>
      </c>
      <c r="R1454" s="0" t="n">
        <f aca="false">IF($I1454&lt;&gt;$O1454,0,IF(P1454&lt;Matchup!$B$39,7,IF(P1454&lt;Matchup!$B$39+Matchup!$B$40,3,0)))</f>
        <v>0</v>
      </c>
      <c r="S1454" s="0" t="n">
        <f aca="false">IF($I1454&lt;&gt;$O1454,0,IF(Q1454&lt;Matchup!$C$39,7,IF(Q1454&lt;Matchup!$C$39+Matchup!$C$40,3,0)))</f>
        <v>0</v>
      </c>
      <c r="T1454" s="0" t="n">
        <f aca="false">I1454+R1454</f>
        <v>17</v>
      </c>
      <c r="U1454" s="0" t="n">
        <f aca="false">O1454+S1454</f>
        <v>30</v>
      </c>
      <c r="V1454" s="0" t="n">
        <f aca="false">T1454-U1454</f>
        <v>-13</v>
      </c>
      <c r="W1454" s="0" t="n">
        <f aca="false">T1454+U1454</f>
        <v>47</v>
      </c>
    </row>
    <row r="1455" customFormat="false" ht="15" hidden="false" customHeight="false" outlineLevel="0" collapsed="false">
      <c r="A1455" s="0" t="n">
        <v>1452</v>
      </c>
      <c r="B1455" s="0" t="n">
        <f aca="true">NORMINV(RAND(),1,Coefficients!$B$22)</f>
        <v>0.838840616911452</v>
      </c>
      <c r="C1455" s="0" t="n">
        <f aca="true">MEDIAN(8,16,ROUND(NORMINV(RAND(),Coefficients!$B$20,Coefficients!$B$21),0))</f>
        <v>12</v>
      </c>
      <c r="D1455" s="0" t="n">
        <f aca="true">CRITBINOM($C1455,MIN(0.75,Matchup!$B$39*$B1455),RAND())</f>
        <v>1</v>
      </c>
      <c r="E1455" s="0" t="n">
        <f aca="true">CRITBINOM(D1455,Coefficients!$B$30,RAND())</f>
        <v>0</v>
      </c>
      <c r="F1455" s="0" t="n">
        <f aca="true">CRITBINOM(E1455,Coefficients!$B$31,RAND())</f>
        <v>0</v>
      </c>
      <c r="G1455" s="0" t="n">
        <f aca="true">CRITBINOM(MAX(0,D1455-E1455),1-Coefficients!$B$32,RAND())</f>
        <v>0</v>
      </c>
      <c r="H1455" s="0" t="n">
        <f aca="true">CRITBINOM(MAX(0,$C1455-D1455),MIN(0.6,Matchup!$B$40*SQRT($B1455)/(1-MIN(0.75,Matchup!$B$39*$B1455))),RAND())</f>
        <v>1</v>
      </c>
      <c r="I1455" s="0" t="n">
        <f aca="false">6*D1455+(D1455-E1455-G1455)+2*F1455+3*H1455</f>
        <v>10</v>
      </c>
      <c r="J1455" s="0" t="n">
        <f aca="true">CRITBINOM($C1455,MIN(0.75,Matchup!$C$39*$B1455),RAND())</f>
        <v>3</v>
      </c>
      <c r="K1455" s="0" t="n">
        <f aca="true">CRITBINOM(J1455,Coefficients!$B$30,RAND())</f>
        <v>0</v>
      </c>
      <c r="L1455" s="0" t="n">
        <f aca="true">CRITBINOM(K1455,Coefficients!$B$31,RAND())</f>
        <v>0</v>
      </c>
      <c r="M1455" s="0" t="n">
        <f aca="true">CRITBINOM(MAX(0,J1455-K1455),1-Coefficients!$B$32,RAND())</f>
        <v>0</v>
      </c>
      <c r="N1455" s="0" t="n">
        <f aca="true">CRITBINOM(MAX(0,$C1455-J1455),MIN(0.6,Matchup!$C$40*SQRT($B1455)/(1-MIN(0.75,Matchup!$C$39*$B1455))),RAND())</f>
        <v>2</v>
      </c>
      <c r="O1455" s="0" t="n">
        <f aca="false">6*J1455+(J1455-K1455-M1455)+2*L1455+3*N1455</f>
        <v>27</v>
      </c>
      <c r="P1455" s="0" t="n">
        <f aca="true">RAND()</f>
        <v>0.541229790809208</v>
      </c>
      <c r="Q1455" s="0" t="n">
        <f aca="true">RAND()</f>
        <v>0.480363422080747</v>
      </c>
      <c r="R1455" s="0" t="n">
        <f aca="false">IF($I1455&lt;&gt;$O1455,0,IF(P1455&lt;Matchup!$B$39,7,IF(P1455&lt;Matchup!$B$39+Matchup!$B$40,3,0)))</f>
        <v>0</v>
      </c>
      <c r="S1455" s="0" t="n">
        <f aca="false">IF($I1455&lt;&gt;$O1455,0,IF(Q1455&lt;Matchup!$C$39,7,IF(Q1455&lt;Matchup!$C$39+Matchup!$C$40,3,0)))</f>
        <v>0</v>
      </c>
      <c r="T1455" s="0" t="n">
        <f aca="false">I1455+R1455</f>
        <v>10</v>
      </c>
      <c r="U1455" s="0" t="n">
        <f aca="false">O1455+S1455</f>
        <v>27</v>
      </c>
      <c r="V1455" s="0" t="n">
        <f aca="false">T1455-U1455</f>
        <v>-17</v>
      </c>
      <c r="W1455" s="0" t="n">
        <f aca="false">T1455+U1455</f>
        <v>37</v>
      </c>
    </row>
    <row r="1456" customFormat="false" ht="15" hidden="false" customHeight="false" outlineLevel="0" collapsed="false">
      <c r="A1456" s="0" t="n">
        <v>1453</v>
      </c>
      <c r="B1456" s="0" t="n">
        <f aca="true">NORMINV(RAND(),1,Coefficients!$B$22)</f>
        <v>0.983893782156613</v>
      </c>
      <c r="C1456" s="0" t="n">
        <f aca="true">MEDIAN(8,16,ROUND(NORMINV(RAND(),Coefficients!$B$20,Coefficients!$B$21),0))</f>
        <v>11</v>
      </c>
      <c r="D1456" s="0" t="n">
        <f aca="true">CRITBINOM($C1456,MIN(0.75,Matchup!$B$39*$B1456),RAND())</f>
        <v>4</v>
      </c>
      <c r="E1456" s="0" t="n">
        <f aca="true">CRITBINOM(D1456,Coefficients!$B$30,RAND())</f>
        <v>1</v>
      </c>
      <c r="F1456" s="0" t="n">
        <f aca="true">CRITBINOM(E1456,Coefficients!$B$31,RAND())</f>
        <v>0</v>
      </c>
      <c r="G1456" s="0" t="n">
        <f aca="true">CRITBINOM(MAX(0,D1456-E1456),1-Coefficients!$B$32,RAND())</f>
        <v>0</v>
      </c>
      <c r="H1456" s="0" t="n">
        <f aca="true">CRITBINOM(MAX(0,$C1456-D1456),MIN(0.6,Matchup!$B$40*SQRT($B1456)/(1-MIN(0.75,Matchup!$B$39*$B1456))),RAND())</f>
        <v>0</v>
      </c>
      <c r="I1456" s="0" t="n">
        <f aca="false">6*D1456+(D1456-E1456-G1456)+2*F1456+3*H1456</f>
        <v>27</v>
      </c>
      <c r="J1456" s="0" t="n">
        <f aca="true">CRITBINOM($C1456,MIN(0.75,Matchup!$C$39*$B1456),RAND())</f>
        <v>1</v>
      </c>
      <c r="K1456" s="0" t="n">
        <f aca="true">CRITBINOM(J1456,Coefficients!$B$30,RAND())</f>
        <v>0</v>
      </c>
      <c r="L1456" s="0" t="n">
        <f aca="true">CRITBINOM(K1456,Coefficients!$B$31,RAND())</f>
        <v>0</v>
      </c>
      <c r="M1456" s="0" t="n">
        <f aca="true">CRITBINOM(MAX(0,J1456-K1456),1-Coefficients!$B$32,RAND())</f>
        <v>0</v>
      </c>
      <c r="N1456" s="0" t="n">
        <f aca="true">CRITBINOM(MAX(0,$C1456-J1456),MIN(0.6,Matchup!$C$40*SQRT($B1456)/(1-MIN(0.75,Matchup!$C$39*$B1456))),RAND())</f>
        <v>1</v>
      </c>
      <c r="O1456" s="0" t="n">
        <f aca="false">6*J1456+(J1456-K1456-M1456)+2*L1456+3*N1456</f>
        <v>10</v>
      </c>
      <c r="P1456" s="0" t="n">
        <f aca="true">RAND()</f>
        <v>0.951202192624866</v>
      </c>
      <c r="Q1456" s="0" t="n">
        <f aca="true">RAND()</f>
        <v>0.451894361401331</v>
      </c>
      <c r="R1456" s="0" t="n">
        <f aca="false">IF($I1456&lt;&gt;$O1456,0,IF(P1456&lt;Matchup!$B$39,7,IF(P1456&lt;Matchup!$B$39+Matchup!$B$40,3,0)))</f>
        <v>0</v>
      </c>
      <c r="S1456" s="0" t="n">
        <f aca="false">IF($I1456&lt;&gt;$O1456,0,IF(Q1456&lt;Matchup!$C$39,7,IF(Q1456&lt;Matchup!$C$39+Matchup!$C$40,3,0)))</f>
        <v>0</v>
      </c>
      <c r="T1456" s="0" t="n">
        <f aca="false">I1456+R1456</f>
        <v>27</v>
      </c>
      <c r="U1456" s="0" t="n">
        <f aca="false">O1456+S1456</f>
        <v>10</v>
      </c>
      <c r="V1456" s="0" t="n">
        <f aca="false">T1456-U1456</f>
        <v>17</v>
      </c>
      <c r="W1456" s="0" t="n">
        <f aca="false">T1456+U1456</f>
        <v>37</v>
      </c>
    </row>
    <row r="1457" customFormat="false" ht="15" hidden="false" customHeight="false" outlineLevel="0" collapsed="false">
      <c r="A1457" s="0" t="n">
        <v>1454</v>
      </c>
      <c r="B1457" s="0" t="n">
        <f aca="true">NORMINV(RAND(),1,Coefficients!$B$22)</f>
        <v>1.03168273986246</v>
      </c>
      <c r="C1457" s="0" t="n">
        <f aca="true">MEDIAN(8,16,ROUND(NORMINV(RAND(),Coefficients!$B$20,Coefficients!$B$21),0))</f>
        <v>10</v>
      </c>
      <c r="D1457" s="0" t="n">
        <f aca="true">CRITBINOM($C1457,MIN(0.75,Matchup!$B$39*$B1457),RAND())</f>
        <v>2</v>
      </c>
      <c r="E1457" s="0" t="n">
        <f aca="true">CRITBINOM(D1457,Coefficients!$B$30,RAND())</f>
        <v>0</v>
      </c>
      <c r="F1457" s="0" t="n">
        <f aca="true">CRITBINOM(E1457,Coefficients!$B$31,RAND())</f>
        <v>0</v>
      </c>
      <c r="G1457" s="0" t="n">
        <f aca="true">CRITBINOM(MAX(0,D1457-E1457),1-Coefficients!$B$32,RAND())</f>
        <v>0</v>
      </c>
      <c r="H1457" s="0" t="n">
        <f aca="true">CRITBINOM(MAX(0,$C1457-D1457),MIN(0.6,Matchup!$B$40*SQRT($B1457)/(1-MIN(0.75,Matchup!$B$39*$B1457))),RAND())</f>
        <v>0</v>
      </c>
      <c r="I1457" s="0" t="n">
        <f aca="false">6*D1457+(D1457-E1457-G1457)+2*F1457+3*H1457</f>
        <v>14</v>
      </c>
      <c r="J1457" s="0" t="n">
        <f aca="true">CRITBINOM($C1457,MIN(0.75,Matchup!$C$39*$B1457),RAND())</f>
        <v>0</v>
      </c>
      <c r="K1457" s="0" t="n">
        <f aca="true">CRITBINOM(J1457,Coefficients!$B$30,RAND())</f>
        <v>0</v>
      </c>
      <c r="L1457" s="0" t="n">
        <f aca="true">CRITBINOM(K1457,Coefficients!$B$31,RAND())</f>
        <v>0</v>
      </c>
      <c r="M1457" s="0" t="n">
        <f aca="true">CRITBINOM(MAX(0,J1457-K1457),1-Coefficients!$B$32,RAND())</f>
        <v>0</v>
      </c>
      <c r="N1457" s="0" t="n">
        <f aca="true">CRITBINOM(MAX(0,$C1457-J1457),MIN(0.6,Matchup!$C$40*SQRT($B1457)/(1-MIN(0.75,Matchup!$C$39*$B1457))),RAND())</f>
        <v>1</v>
      </c>
      <c r="O1457" s="0" t="n">
        <f aca="false">6*J1457+(J1457-K1457-M1457)+2*L1457+3*N1457</f>
        <v>3</v>
      </c>
      <c r="P1457" s="0" t="n">
        <f aca="true">RAND()</f>
        <v>0.967128273210153</v>
      </c>
      <c r="Q1457" s="0" t="n">
        <f aca="true">RAND()</f>
        <v>0.791815140577588</v>
      </c>
      <c r="R1457" s="0" t="n">
        <f aca="false">IF($I1457&lt;&gt;$O1457,0,IF(P1457&lt;Matchup!$B$39,7,IF(P1457&lt;Matchup!$B$39+Matchup!$B$40,3,0)))</f>
        <v>0</v>
      </c>
      <c r="S1457" s="0" t="n">
        <f aca="false">IF($I1457&lt;&gt;$O1457,0,IF(Q1457&lt;Matchup!$C$39,7,IF(Q1457&lt;Matchup!$C$39+Matchup!$C$40,3,0)))</f>
        <v>0</v>
      </c>
      <c r="T1457" s="0" t="n">
        <f aca="false">I1457+R1457</f>
        <v>14</v>
      </c>
      <c r="U1457" s="0" t="n">
        <f aca="false">O1457+S1457</f>
        <v>3</v>
      </c>
      <c r="V1457" s="0" t="n">
        <f aca="false">T1457-U1457</f>
        <v>11</v>
      </c>
      <c r="W1457" s="0" t="n">
        <f aca="false">T1457+U1457</f>
        <v>17</v>
      </c>
    </row>
    <row r="1458" customFormat="false" ht="15" hidden="false" customHeight="false" outlineLevel="0" collapsed="false">
      <c r="A1458" s="0" t="n">
        <v>1455</v>
      </c>
      <c r="B1458" s="0" t="n">
        <f aca="true">NORMINV(RAND(),1,Coefficients!$B$22)</f>
        <v>0.975820259857435</v>
      </c>
      <c r="C1458" s="0" t="n">
        <f aca="true">MEDIAN(8,16,ROUND(NORMINV(RAND(),Coefficients!$B$20,Coefficients!$B$21),0))</f>
        <v>12</v>
      </c>
      <c r="D1458" s="0" t="n">
        <f aca="true">CRITBINOM($C1458,MIN(0.75,Matchup!$B$39*$B1458),RAND())</f>
        <v>1</v>
      </c>
      <c r="E1458" s="0" t="n">
        <f aca="true">CRITBINOM(D1458,Coefficients!$B$30,RAND())</f>
        <v>0</v>
      </c>
      <c r="F1458" s="0" t="n">
        <f aca="true">CRITBINOM(E1458,Coefficients!$B$31,RAND())</f>
        <v>0</v>
      </c>
      <c r="G1458" s="0" t="n">
        <f aca="true">CRITBINOM(MAX(0,D1458-E1458),1-Coefficients!$B$32,RAND())</f>
        <v>0</v>
      </c>
      <c r="H1458" s="0" t="n">
        <f aca="true">CRITBINOM(MAX(0,$C1458-D1458),MIN(0.6,Matchup!$B$40*SQRT($B1458)/(1-MIN(0.75,Matchup!$B$39*$B1458))),RAND())</f>
        <v>1</v>
      </c>
      <c r="I1458" s="0" t="n">
        <f aca="false">6*D1458+(D1458-E1458-G1458)+2*F1458+3*H1458</f>
        <v>10</v>
      </c>
      <c r="J1458" s="0" t="n">
        <f aca="true">CRITBINOM($C1458,MIN(0.75,Matchup!$C$39*$B1458),RAND())</f>
        <v>1</v>
      </c>
      <c r="K1458" s="0" t="n">
        <f aca="true">CRITBINOM(J1458,Coefficients!$B$30,RAND())</f>
        <v>0</v>
      </c>
      <c r="L1458" s="0" t="n">
        <f aca="true">CRITBINOM(K1458,Coefficients!$B$31,RAND())</f>
        <v>0</v>
      </c>
      <c r="M1458" s="0" t="n">
        <f aca="true">CRITBINOM(MAX(0,J1458-K1458),1-Coefficients!$B$32,RAND())</f>
        <v>0</v>
      </c>
      <c r="N1458" s="0" t="n">
        <f aca="true">CRITBINOM(MAX(0,$C1458-J1458),MIN(0.6,Matchup!$C$40*SQRT($B1458)/(1-MIN(0.75,Matchup!$C$39*$B1458))),RAND())</f>
        <v>4</v>
      </c>
      <c r="O1458" s="0" t="n">
        <f aca="false">6*J1458+(J1458-K1458-M1458)+2*L1458+3*N1458</f>
        <v>19</v>
      </c>
      <c r="P1458" s="0" t="n">
        <f aca="true">RAND()</f>
        <v>0.399591170924589</v>
      </c>
      <c r="Q1458" s="0" t="n">
        <f aca="true">RAND()</f>
        <v>0.353644688064013</v>
      </c>
      <c r="R1458" s="0" t="n">
        <f aca="false">IF($I1458&lt;&gt;$O1458,0,IF(P1458&lt;Matchup!$B$39,7,IF(P1458&lt;Matchup!$B$39+Matchup!$B$40,3,0)))</f>
        <v>0</v>
      </c>
      <c r="S1458" s="0" t="n">
        <f aca="false">IF($I1458&lt;&gt;$O1458,0,IF(Q1458&lt;Matchup!$C$39,7,IF(Q1458&lt;Matchup!$C$39+Matchup!$C$40,3,0)))</f>
        <v>0</v>
      </c>
      <c r="T1458" s="0" t="n">
        <f aca="false">I1458+R1458</f>
        <v>10</v>
      </c>
      <c r="U1458" s="0" t="n">
        <f aca="false">O1458+S1458</f>
        <v>19</v>
      </c>
      <c r="V1458" s="0" t="n">
        <f aca="false">T1458-U1458</f>
        <v>-9</v>
      </c>
      <c r="W1458" s="0" t="n">
        <f aca="false">T1458+U1458</f>
        <v>29</v>
      </c>
    </row>
    <row r="1459" customFormat="false" ht="15" hidden="false" customHeight="false" outlineLevel="0" collapsed="false">
      <c r="A1459" s="0" t="n">
        <v>1456</v>
      </c>
      <c r="B1459" s="0" t="n">
        <f aca="true">NORMINV(RAND(),1,Coefficients!$B$22)</f>
        <v>1.09456052978033</v>
      </c>
      <c r="C1459" s="0" t="n">
        <f aca="true">MEDIAN(8,16,ROUND(NORMINV(RAND(),Coefficients!$B$20,Coefficients!$B$21),0))</f>
        <v>13</v>
      </c>
      <c r="D1459" s="0" t="n">
        <f aca="true">CRITBINOM($C1459,MIN(0.75,Matchup!$B$39*$B1459),RAND())</f>
        <v>2</v>
      </c>
      <c r="E1459" s="0" t="n">
        <f aca="true">CRITBINOM(D1459,Coefficients!$B$30,RAND())</f>
        <v>0</v>
      </c>
      <c r="F1459" s="0" t="n">
        <f aca="true">CRITBINOM(E1459,Coefficients!$B$31,RAND())</f>
        <v>0</v>
      </c>
      <c r="G1459" s="0" t="n">
        <f aca="true">CRITBINOM(MAX(0,D1459-E1459),1-Coefficients!$B$32,RAND())</f>
        <v>0</v>
      </c>
      <c r="H1459" s="0" t="n">
        <f aca="true">CRITBINOM(MAX(0,$C1459-D1459),MIN(0.6,Matchup!$B$40*SQRT($B1459)/(1-MIN(0.75,Matchup!$B$39*$B1459))),RAND())</f>
        <v>2</v>
      </c>
      <c r="I1459" s="0" t="n">
        <f aca="false">6*D1459+(D1459-E1459-G1459)+2*F1459+3*H1459</f>
        <v>20</v>
      </c>
      <c r="J1459" s="0" t="n">
        <f aca="true">CRITBINOM($C1459,MIN(0.75,Matchup!$C$39*$B1459),RAND())</f>
        <v>4</v>
      </c>
      <c r="K1459" s="0" t="n">
        <f aca="true">CRITBINOM(J1459,Coefficients!$B$30,RAND())</f>
        <v>0</v>
      </c>
      <c r="L1459" s="0" t="n">
        <f aca="true">CRITBINOM(K1459,Coefficients!$B$31,RAND())</f>
        <v>0</v>
      </c>
      <c r="M1459" s="0" t="n">
        <f aca="true">CRITBINOM(MAX(0,J1459-K1459),1-Coefficients!$B$32,RAND())</f>
        <v>0</v>
      </c>
      <c r="N1459" s="0" t="n">
        <f aca="true">CRITBINOM(MAX(0,$C1459-J1459),MIN(0.6,Matchup!$C$40*SQRT($B1459)/(1-MIN(0.75,Matchup!$C$39*$B1459))),RAND())</f>
        <v>2</v>
      </c>
      <c r="O1459" s="0" t="n">
        <f aca="false">6*J1459+(J1459-K1459-M1459)+2*L1459+3*N1459</f>
        <v>34</v>
      </c>
      <c r="P1459" s="0" t="n">
        <f aca="true">RAND()</f>
        <v>0.588470535452965</v>
      </c>
      <c r="Q1459" s="0" t="n">
        <f aca="true">RAND()</f>
        <v>0.153964564989556</v>
      </c>
      <c r="R1459" s="0" t="n">
        <f aca="false">IF($I1459&lt;&gt;$O1459,0,IF(P1459&lt;Matchup!$B$39,7,IF(P1459&lt;Matchup!$B$39+Matchup!$B$40,3,0)))</f>
        <v>0</v>
      </c>
      <c r="S1459" s="0" t="n">
        <f aca="false">IF($I1459&lt;&gt;$O1459,0,IF(Q1459&lt;Matchup!$C$39,7,IF(Q1459&lt;Matchup!$C$39+Matchup!$C$40,3,0)))</f>
        <v>0</v>
      </c>
      <c r="T1459" s="0" t="n">
        <f aca="false">I1459+R1459</f>
        <v>20</v>
      </c>
      <c r="U1459" s="0" t="n">
        <f aca="false">O1459+S1459</f>
        <v>34</v>
      </c>
      <c r="V1459" s="0" t="n">
        <f aca="false">T1459-U1459</f>
        <v>-14</v>
      </c>
      <c r="W1459" s="0" t="n">
        <f aca="false">T1459+U1459</f>
        <v>54</v>
      </c>
    </row>
    <row r="1460" customFormat="false" ht="15" hidden="false" customHeight="false" outlineLevel="0" collapsed="false">
      <c r="A1460" s="0" t="n">
        <v>1457</v>
      </c>
      <c r="B1460" s="0" t="n">
        <f aca="true">NORMINV(RAND(),1,Coefficients!$B$22)</f>
        <v>0.976804249388885</v>
      </c>
      <c r="C1460" s="0" t="n">
        <f aca="true">MEDIAN(8,16,ROUND(NORMINV(RAND(),Coefficients!$B$20,Coefficients!$B$21),0))</f>
        <v>12</v>
      </c>
      <c r="D1460" s="0" t="n">
        <f aca="true">CRITBINOM($C1460,MIN(0.75,Matchup!$B$39*$B1460),RAND())</f>
        <v>2</v>
      </c>
      <c r="E1460" s="0" t="n">
        <f aca="true">CRITBINOM(D1460,Coefficients!$B$30,RAND())</f>
        <v>0</v>
      </c>
      <c r="F1460" s="0" t="n">
        <f aca="true">CRITBINOM(E1460,Coefficients!$B$31,RAND())</f>
        <v>0</v>
      </c>
      <c r="G1460" s="0" t="n">
        <f aca="true">CRITBINOM(MAX(0,D1460-E1460),1-Coefficients!$B$32,RAND())</f>
        <v>0</v>
      </c>
      <c r="H1460" s="0" t="n">
        <f aca="true">CRITBINOM(MAX(0,$C1460-D1460),MIN(0.6,Matchup!$B$40*SQRT($B1460)/(1-MIN(0.75,Matchup!$B$39*$B1460))),RAND())</f>
        <v>3</v>
      </c>
      <c r="I1460" s="0" t="n">
        <f aca="false">6*D1460+(D1460-E1460-G1460)+2*F1460+3*H1460</f>
        <v>23</v>
      </c>
      <c r="J1460" s="0" t="n">
        <f aca="true">CRITBINOM($C1460,MIN(0.75,Matchup!$C$39*$B1460),RAND())</f>
        <v>4</v>
      </c>
      <c r="K1460" s="0" t="n">
        <f aca="true">CRITBINOM(J1460,Coefficients!$B$30,RAND())</f>
        <v>0</v>
      </c>
      <c r="L1460" s="0" t="n">
        <f aca="true">CRITBINOM(K1460,Coefficients!$B$31,RAND())</f>
        <v>0</v>
      </c>
      <c r="M1460" s="0" t="n">
        <f aca="true">CRITBINOM(MAX(0,J1460-K1460),1-Coefficients!$B$32,RAND())</f>
        <v>0</v>
      </c>
      <c r="N1460" s="0" t="n">
        <f aca="true">CRITBINOM(MAX(0,$C1460-J1460),MIN(0.6,Matchup!$C$40*SQRT($B1460)/(1-MIN(0.75,Matchup!$C$39*$B1460))),RAND())</f>
        <v>2</v>
      </c>
      <c r="O1460" s="0" t="n">
        <f aca="false">6*J1460+(J1460-K1460-M1460)+2*L1460+3*N1460</f>
        <v>34</v>
      </c>
      <c r="P1460" s="0" t="n">
        <f aca="true">RAND()</f>
        <v>0.404787326379479</v>
      </c>
      <c r="Q1460" s="0" t="n">
        <f aca="true">RAND()</f>
        <v>0.573557264653817</v>
      </c>
      <c r="R1460" s="0" t="n">
        <f aca="false">IF($I1460&lt;&gt;$O1460,0,IF(P1460&lt;Matchup!$B$39,7,IF(P1460&lt;Matchup!$B$39+Matchup!$B$40,3,0)))</f>
        <v>0</v>
      </c>
      <c r="S1460" s="0" t="n">
        <f aca="false">IF($I1460&lt;&gt;$O1460,0,IF(Q1460&lt;Matchup!$C$39,7,IF(Q1460&lt;Matchup!$C$39+Matchup!$C$40,3,0)))</f>
        <v>0</v>
      </c>
      <c r="T1460" s="0" t="n">
        <f aca="false">I1460+R1460</f>
        <v>23</v>
      </c>
      <c r="U1460" s="0" t="n">
        <f aca="false">O1460+S1460</f>
        <v>34</v>
      </c>
      <c r="V1460" s="0" t="n">
        <f aca="false">T1460-U1460</f>
        <v>-11</v>
      </c>
      <c r="W1460" s="0" t="n">
        <f aca="false">T1460+U1460</f>
        <v>57</v>
      </c>
    </row>
    <row r="1461" customFormat="false" ht="15" hidden="false" customHeight="false" outlineLevel="0" collapsed="false">
      <c r="A1461" s="0" t="n">
        <v>1458</v>
      </c>
      <c r="B1461" s="0" t="n">
        <f aca="true">NORMINV(RAND(),1,Coefficients!$B$22)</f>
        <v>0.940103145091052</v>
      </c>
      <c r="C1461" s="0" t="n">
        <f aca="true">MEDIAN(8,16,ROUND(NORMINV(RAND(),Coefficients!$B$20,Coefficients!$B$21),0))</f>
        <v>11</v>
      </c>
      <c r="D1461" s="0" t="n">
        <f aca="true">CRITBINOM($C1461,MIN(0.75,Matchup!$B$39*$B1461),RAND())</f>
        <v>2</v>
      </c>
      <c r="E1461" s="0" t="n">
        <f aca="true">CRITBINOM(D1461,Coefficients!$B$30,RAND())</f>
        <v>0</v>
      </c>
      <c r="F1461" s="0" t="n">
        <f aca="true">CRITBINOM(E1461,Coefficients!$B$31,RAND())</f>
        <v>0</v>
      </c>
      <c r="G1461" s="0" t="n">
        <f aca="true">CRITBINOM(MAX(0,D1461-E1461),1-Coefficients!$B$32,RAND())</f>
        <v>0</v>
      </c>
      <c r="H1461" s="0" t="n">
        <f aca="true">CRITBINOM(MAX(0,$C1461-D1461),MIN(0.6,Matchup!$B$40*SQRT($B1461)/(1-MIN(0.75,Matchup!$B$39*$B1461))),RAND())</f>
        <v>4</v>
      </c>
      <c r="I1461" s="0" t="n">
        <f aca="false">6*D1461+(D1461-E1461-G1461)+2*F1461+3*H1461</f>
        <v>26</v>
      </c>
      <c r="J1461" s="0" t="n">
        <f aca="true">CRITBINOM($C1461,MIN(0.75,Matchup!$C$39*$B1461),RAND())</f>
        <v>2</v>
      </c>
      <c r="K1461" s="0" t="n">
        <f aca="true">CRITBINOM(J1461,Coefficients!$B$30,RAND())</f>
        <v>1</v>
      </c>
      <c r="L1461" s="0" t="n">
        <f aca="true">CRITBINOM(K1461,Coefficients!$B$31,RAND())</f>
        <v>1</v>
      </c>
      <c r="M1461" s="0" t="n">
        <f aca="true">CRITBINOM(MAX(0,J1461-K1461),1-Coefficients!$B$32,RAND())</f>
        <v>0</v>
      </c>
      <c r="N1461" s="0" t="n">
        <f aca="true">CRITBINOM(MAX(0,$C1461-J1461),MIN(0.6,Matchup!$C$40*SQRT($B1461)/(1-MIN(0.75,Matchup!$C$39*$B1461))),RAND())</f>
        <v>1</v>
      </c>
      <c r="O1461" s="0" t="n">
        <f aca="false">6*J1461+(J1461-K1461-M1461)+2*L1461+3*N1461</f>
        <v>18</v>
      </c>
      <c r="P1461" s="0" t="n">
        <f aca="true">RAND()</f>
        <v>0.0515349049995216</v>
      </c>
      <c r="Q1461" s="0" t="n">
        <f aca="true">RAND()</f>
        <v>0.244571696808448</v>
      </c>
      <c r="R1461" s="0" t="n">
        <f aca="false">IF($I1461&lt;&gt;$O1461,0,IF(P1461&lt;Matchup!$B$39,7,IF(P1461&lt;Matchup!$B$39+Matchup!$B$40,3,0)))</f>
        <v>0</v>
      </c>
      <c r="S1461" s="0" t="n">
        <f aca="false">IF($I1461&lt;&gt;$O1461,0,IF(Q1461&lt;Matchup!$C$39,7,IF(Q1461&lt;Matchup!$C$39+Matchup!$C$40,3,0)))</f>
        <v>0</v>
      </c>
      <c r="T1461" s="0" t="n">
        <f aca="false">I1461+R1461</f>
        <v>26</v>
      </c>
      <c r="U1461" s="0" t="n">
        <f aca="false">O1461+S1461</f>
        <v>18</v>
      </c>
      <c r="V1461" s="0" t="n">
        <f aca="false">T1461-U1461</f>
        <v>8</v>
      </c>
      <c r="W1461" s="0" t="n">
        <f aca="false">T1461+U1461</f>
        <v>44</v>
      </c>
    </row>
    <row r="1462" customFormat="false" ht="15" hidden="false" customHeight="false" outlineLevel="0" collapsed="false">
      <c r="A1462" s="0" t="n">
        <v>1459</v>
      </c>
      <c r="B1462" s="0" t="n">
        <f aca="true">NORMINV(RAND(),1,Coefficients!$B$22)</f>
        <v>1.07571078077886</v>
      </c>
      <c r="C1462" s="0" t="n">
        <f aca="true">MEDIAN(8,16,ROUND(NORMINV(RAND(),Coefficients!$B$20,Coefficients!$B$21),0))</f>
        <v>12</v>
      </c>
      <c r="D1462" s="0" t="n">
        <f aca="true">CRITBINOM($C1462,MIN(0.75,Matchup!$B$39*$B1462),RAND())</f>
        <v>2</v>
      </c>
      <c r="E1462" s="0" t="n">
        <f aca="true">CRITBINOM(D1462,Coefficients!$B$30,RAND())</f>
        <v>1</v>
      </c>
      <c r="F1462" s="0" t="n">
        <f aca="true">CRITBINOM(E1462,Coefficients!$B$31,RAND())</f>
        <v>1</v>
      </c>
      <c r="G1462" s="0" t="n">
        <f aca="true">CRITBINOM(MAX(0,D1462-E1462),1-Coefficients!$B$32,RAND())</f>
        <v>0</v>
      </c>
      <c r="H1462" s="0" t="n">
        <f aca="true">CRITBINOM(MAX(0,$C1462-D1462),MIN(0.6,Matchup!$B$40*SQRT($B1462)/(1-MIN(0.75,Matchup!$B$39*$B1462))),RAND())</f>
        <v>4</v>
      </c>
      <c r="I1462" s="0" t="n">
        <f aca="false">6*D1462+(D1462-E1462-G1462)+2*F1462+3*H1462</f>
        <v>27</v>
      </c>
      <c r="J1462" s="0" t="n">
        <f aca="true">CRITBINOM($C1462,MIN(0.75,Matchup!$C$39*$B1462),RAND())</f>
        <v>3</v>
      </c>
      <c r="K1462" s="0" t="n">
        <f aca="true">CRITBINOM(J1462,Coefficients!$B$30,RAND())</f>
        <v>0</v>
      </c>
      <c r="L1462" s="0" t="n">
        <f aca="true">CRITBINOM(K1462,Coefficients!$B$31,RAND())</f>
        <v>0</v>
      </c>
      <c r="M1462" s="0" t="n">
        <f aca="true">CRITBINOM(MAX(0,J1462-K1462),1-Coefficients!$B$32,RAND())</f>
        <v>0</v>
      </c>
      <c r="N1462" s="0" t="n">
        <f aca="true">CRITBINOM(MAX(0,$C1462-J1462),MIN(0.6,Matchup!$C$40*SQRT($B1462)/(1-MIN(0.75,Matchup!$C$39*$B1462))),RAND())</f>
        <v>4</v>
      </c>
      <c r="O1462" s="0" t="n">
        <f aca="false">6*J1462+(J1462-K1462-M1462)+2*L1462+3*N1462</f>
        <v>33</v>
      </c>
      <c r="P1462" s="0" t="n">
        <f aca="true">RAND()</f>
        <v>0.158636221801744</v>
      </c>
      <c r="Q1462" s="0" t="n">
        <f aca="true">RAND()</f>
        <v>0.199777036089446</v>
      </c>
      <c r="R1462" s="0" t="n">
        <f aca="false">IF($I1462&lt;&gt;$O1462,0,IF(P1462&lt;Matchup!$B$39,7,IF(P1462&lt;Matchup!$B$39+Matchup!$B$40,3,0)))</f>
        <v>0</v>
      </c>
      <c r="S1462" s="0" t="n">
        <f aca="false">IF($I1462&lt;&gt;$O1462,0,IF(Q1462&lt;Matchup!$C$39,7,IF(Q1462&lt;Matchup!$C$39+Matchup!$C$40,3,0)))</f>
        <v>0</v>
      </c>
      <c r="T1462" s="0" t="n">
        <f aca="false">I1462+R1462</f>
        <v>27</v>
      </c>
      <c r="U1462" s="0" t="n">
        <f aca="false">O1462+S1462</f>
        <v>33</v>
      </c>
      <c r="V1462" s="0" t="n">
        <f aca="false">T1462-U1462</f>
        <v>-6</v>
      </c>
      <c r="W1462" s="0" t="n">
        <f aca="false">T1462+U1462</f>
        <v>60</v>
      </c>
    </row>
    <row r="1463" customFormat="false" ht="15" hidden="false" customHeight="false" outlineLevel="0" collapsed="false">
      <c r="A1463" s="0" t="n">
        <v>1460</v>
      </c>
      <c r="B1463" s="0" t="n">
        <f aca="true">NORMINV(RAND(),1,Coefficients!$B$22)</f>
        <v>1.0415258477892</v>
      </c>
      <c r="C1463" s="0" t="n">
        <f aca="true">MEDIAN(8,16,ROUND(NORMINV(RAND(),Coefficients!$B$20,Coefficients!$B$21),0))</f>
        <v>12</v>
      </c>
      <c r="D1463" s="0" t="n">
        <f aca="true">CRITBINOM($C1463,MIN(0.75,Matchup!$B$39*$B1463),RAND())</f>
        <v>3</v>
      </c>
      <c r="E1463" s="0" t="n">
        <f aca="true">CRITBINOM(D1463,Coefficients!$B$30,RAND())</f>
        <v>0</v>
      </c>
      <c r="F1463" s="0" t="n">
        <f aca="true">CRITBINOM(E1463,Coefficients!$B$31,RAND())</f>
        <v>0</v>
      </c>
      <c r="G1463" s="0" t="n">
        <f aca="true">CRITBINOM(MAX(0,D1463-E1463),1-Coefficients!$B$32,RAND())</f>
        <v>0</v>
      </c>
      <c r="H1463" s="0" t="n">
        <f aca="true">CRITBINOM(MAX(0,$C1463-D1463),MIN(0.6,Matchup!$B$40*SQRT($B1463)/(1-MIN(0.75,Matchup!$B$39*$B1463))),RAND())</f>
        <v>0</v>
      </c>
      <c r="I1463" s="0" t="n">
        <f aca="false">6*D1463+(D1463-E1463-G1463)+2*F1463+3*H1463</f>
        <v>21</v>
      </c>
      <c r="J1463" s="0" t="n">
        <f aca="true">CRITBINOM($C1463,MIN(0.75,Matchup!$C$39*$B1463),RAND())</f>
        <v>2</v>
      </c>
      <c r="K1463" s="0" t="n">
        <f aca="true">CRITBINOM(J1463,Coefficients!$B$30,RAND())</f>
        <v>0</v>
      </c>
      <c r="L1463" s="0" t="n">
        <f aca="true">CRITBINOM(K1463,Coefficients!$B$31,RAND())</f>
        <v>0</v>
      </c>
      <c r="M1463" s="0" t="n">
        <f aca="true">CRITBINOM(MAX(0,J1463-K1463),1-Coefficients!$B$32,RAND())</f>
        <v>0</v>
      </c>
      <c r="N1463" s="0" t="n">
        <f aca="true">CRITBINOM(MAX(0,$C1463-J1463),MIN(0.6,Matchup!$C$40*SQRT($B1463)/(1-MIN(0.75,Matchup!$C$39*$B1463))),RAND())</f>
        <v>3</v>
      </c>
      <c r="O1463" s="0" t="n">
        <f aca="false">6*J1463+(J1463-K1463-M1463)+2*L1463+3*N1463</f>
        <v>23</v>
      </c>
      <c r="P1463" s="0" t="n">
        <f aca="true">RAND()</f>
        <v>0.370862002220674</v>
      </c>
      <c r="Q1463" s="0" t="n">
        <f aca="true">RAND()</f>
        <v>0.386110788522886</v>
      </c>
      <c r="R1463" s="0" t="n">
        <f aca="false">IF($I1463&lt;&gt;$O1463,0,IF(P1463&lt;Matchup!$B$39,7,IF(P1463&lt;Matchup!$B$39+Matchup!$B$40,3,0)))</f>
        <v>0</v>
      </c>
      <c r="S1463" s="0" t="n">
        <f aca="false">IF($I1463&lt;&gt;$O1463,0,IF(Q1463&lt;Matchup!$C$39,7,IF(Q1463&lt;Matchup!$C$39+Matchup!$C$40,3,0)))</f>
        <v>0</v>
      </c>
      <c r="T1463" s="0" t="n">
        <f aca="false">I1463+R1463</f>
        <v>21</v>
      </c>
      <c r="U1463" s="0" t="n">
        <f aca="false">O1463+S1463</f>
        <v>23</v>
      </c>
      <c r="V1463" s="0" t="n">
        <f aca="false">T1463-U1463</f>
        <v>-2</v>
      </c>
      <c r="W1463" s="0" t="n">
        <f aca="false">T1463+U1463</f>
        <v>44</v>
      </c>
    </row>
    <row r="1464" customFormat="false" ht="15" hidden="false" customHeight="false" outlineLevel="0" collapsed="false">
      <c r="A1464" s="0" t="n">
        <v>1461</v>
      </c>
      <c r="B1464" s="0" t="n">
        <f aca="true">NORMINV(RAND(),1,Coefficients!$B$22)</f>
        <v>0.95176745037368</v>
      </c>
      <c r="C1464" s="0" t="n">
        <f aca="true">MEDIAN(8,16,ROUND(NORMINV(RAND(),Coefficients!$B$20,Coefficients!$B$21),0))</f>
        <v>11</v>
      </c>
      <c r="D1464" s="0" t="n">
        <f aca="true">CRITBINOM($C1464,MIN(0.75,Matchup!$B$39*$B1464),RAND())</f>
        <v>4</v>
      </c>
      <c r="E1464" s="0" t="n">
        <f aca="true">CRITBINOM(D1464,Coefficients!$B$30,RAND())</f>
        <v>0</v>
      </c>
      <c r="F1464" s="0" t="n">
        <f aca="true">CRITBINOM(E1464,Coefficients!$B$31,RAND())</f>
        <v>0</v>
      </c>
      <c r="G1464" s="0" t="n">
        <f aca="true">CRITBINOM(MAX(0,D1464-E1464),1-Coefficients!$B$32,RAND())</f>
        <v>0</v>
      </c>
      <c r="H1464" s="0" t="n">
        <f aca="true">CRITBINOM(MAX(0,$C1464-D1464),MIN(0.6,Matchup!$B$40*SQRT($B1464)/(1-MIN(0.75,Matchup!$B$39*$B1464))),RAND())</f>
        <v>2</v>
      </c>
      <c r="I1464" s="0" t="n">
        <f aca="false">6*D1464+(D1464-E1464-G1464)+2*F1464+3*H1464</f>
        <v>34</v>
      </c>
      <c r="J1464" s="0" t="n">
        <f aca="true">CRITBINOM($C1464,MIN(0.75,Matchup!$C$39*$B1464),RAND())</f>
        <v>6</v>
      </c>
      <c r="K1464" s="0" t="n">
        <f aca="true">CRITBINOM(J1464,Coefficients!$B$30,RAND())</f>
        <v>1</v>
      </c>
      <c r="L1464" s="0" t="n">
        <f aca="true">CRITBINOM(K1464,Coefficients!$B$31,RAND())</f>
        <v>1</v>
      </c>
      <c r="M1464" s="0" t="n">
        <f aca="true">CRITBINOM(MAX(0,J1464-K1464),1-Coefficients!$B$32,RAND())</f>
        <v>0</v>
      </c>
      <c r="N1464" s="0" t="n">
        <f aca="true">CRITBINOM(MAX(0,$C1464-J1464),MIN(0.6,Matchup!$C$40*SQRT($B1464)/(1-MIN(0.75,Matchup!$C$39*$B1464))),RAND())</f>
        <v>0</v>
      </c>
      <c r="O1464" s="0" t="n">
        <f aca="false">6*J1464+(J1464-K1464-M1464)+2*L1464+3*N1464</f>
        <v>43</v>
      </c>
      <c r="P1464" s="0" t="n">
        <f aca="true">RAND()</f>
        <v>0.639887494583298</v>
      </c>
      <c r="Q1464" s="0" t="n">
        <f aca="true">RAND()</f>
        <v>0.856520411139488</v>
      </c>
      <c r="R1464" s="0" t="n">
        <f aca="false">IF($I1464&lt;&gt;$O1464,0,IF(P1464&lt;Matchup!$B$39,7,IF(P1464&lt;Matchup!$B$39+Matchup!$B$40,3,0)))</f>
        <v>0</v>
      </c>
      <c r="S1464" s="0" t="n">
        <f aca="false">IF($I1464&lt;&gt;$O1464,0,IF(Q1464&lt;Matchup!$C$39,7,IF(Q1464&lt;Matchup!$C$39+Matchup!$C$40,3,0)))</f>
        <v>0</v>
      </c>
      <c r="T1464" s="0" t="n">
        <f aca="false">I1464+R1464</f>
        <v>34</v>
      </c>
      <c r="U1464" s="0" t="n">
        <f aca="false">O1464+S1464</f>
        <v>43</v>
      </c>
      <c r="V1464" s="0" t="n">
        <f aca="false">T1464-U1464</f>
        <v>-9</v>
      </c>
      <c r="W1464" s="0" t="n">
        <f aca="false">T1464+U1464</f>
        <v>77</v>
      </c>
    </row>
    <row r="1465" customFormat="false" ht="15" hidden="false" customHeight="false" outlineLevel="0" collapsed="false">
      <c r="A1465" s="0" t="n">
        <v>1462</v>
      </c>
      <c r="B1465" s="0" t="n">
        <f aca="true">NORMINV(RAND(),1,Coefficients!$B$22)</f>
        <v>0.905336867140226</v>
      </c>
      <c r="C1465" s="0" t="n">
        <f aca="true">MEDIAN(8,16,ROUND(NORMINV(RAND(),Coefficients!$B$20,Coefficients!$B$21),0))</f>
        <v>13</v>
      </c>
      <c r="D1465" s="0" t="n">
        <f aca="true">CRITBINOM($C1465,MIN(0.75,Matchup!$B$39*$B1465),RAND())</f>
        <v>5</v>
      </c>
      <c r="E1465" s="0" t="n">
        <f aca="true">CRITBINOM(D1465,Coefficients!$B$30,RAND())</f>
        <v>0</v>
      </c>
      <c r="F1465" s="0" t="n">
        <f aca="true">CRITBINOM(E1465,Coefficients!$B$31,RAND())</f>
        <v>0</v>
      </c>
      <c r="G1465" s="0" t="n">
        <f aca="true">CRITBINOM(MAX(0,D1465-E1465),1-Coefficients!$B$32,RAND())</f>
        <v>0</v>
      </c>
      <c r="H1465" s="0" t="n">
        <f aca="true">CRITBINOM(MAX(0,$C1465-D1465),MIN(0.6,Matchup!$B$40*SQRT($B1465)/(1-MIN(0.75,Matchup!$B$39*$B1465))),RAND())</f>
        <v>1</v>
      </c>
      <c r="I1465" s="0" t="n">
        <f aca="false">6*D1465+(D1465-E1465-G1465)+2*F1465+3*H1465</f>
        <v>38</v>
      </c>
      <c r="J1465" s="0" t="n">
        <f aca="true">CRITBINOM($C1465,MIN(0.75,Matchup!$C$39*$B1465),RAND())</f>
        <v>5</v>
      </c>
      <c r="K1465" s="0" t="n">
        <f aca="true">CRITBINOM(J1465,Coefficients!$B$30,RAND())</f>
        <v>1</v>
      </c>
      <c r="L1465" s="0" t="n">
        <f aca="true">CRITBINOM(K1465,Coefficients!$B$31,RAND())</f>
        <v>0</v>
      </c>
      <c r="M1465" s="0" t="n">
        <f aca="true">CRITBINOM(MAX(0,J1465-K1465),1-Coefficients!$B$32,RAND())</f>
        <v>0</v>
      </c>
      <c r="N1465" s="0" t="n">
        <f aca="true">CRITBINOM(MAX(0,$C1465-J1465),MIN(0.6,Matchup!$C$40*SQRT($B1465)/(1-MIN(0.75,Matchup!$C$39*$B1465))),RAND())</f>
        <v>3</v>
      </c>
      <c r="O1465" s="0" t="n">
        <f aca="false">6*J1465+(J1465-K1465-M1465)+2*L1465+3*N1465</f>
        <v>43</v>
      </c>
      <c r="P1465" s="0" t="n">
        <f aca="true">RAND()</f>
        <v>0.776228021972314</v>
      </c>
      <c r="Q1465" s="0" t="n">
        <f aca="true">RAND()</f>
        <v>0.851542463815978</v>
      </c>
      <c r="R1465" s="0" t="n">
        <f aca="false">IF($I1465&lt;&gt;$O1465,0,IF(P1465&lt;Matchup!$B$39,7,IF(P1465&lt;Matchup!$B$39+Matchup!$B$40,3,0)))</f>
        <v>0</v>
      </c>
      <c r="S1465" s="0" t="n">
        <f aca="false">IF($I1465&lt;&gt;$O1465,0,IF(Q1465&lt;Matchup!$C$39,7,IF(Q1465&lt;Matchup!$C$39+Matchup!$C$40,3,0)))</f>
        <v>0</v>
      </c>
      <c r="T1465" s="0" t="n">
        <f aca="false">I1465+R1465</f>
        <v>38</v>
      </c>
      <c r="U1465" s="0" t="n">
        <f aca="false">O1465+S1465</f>
        <v>43</v>
      </c>
      <c r="V1465" s="0" t="n">
        <f aca="false">T1465-U1465</f>
        <v>-5</v>
      </c>
      <c r="W1465" s="0" t="n">
        <f aca="false">T1465+U1465</f>
        <v>81</v>
      </c>
    </row>
    <row r="1466" customFormat="false" ht="15" hidden="false" customHeight="false" outlineLevel="0" collapsed="false">
      <c r="A1466" s="0" t="n">
        <v>1463</v>
      </c>
      <c r="B1466" s="0" t="n">
        <f aca="true">NORMINV(RAND(),1,Coefficients!$B$22)</f>
        <v>1.09294680038339</v>
      </c>
      <c r="C1466" s="0" t="n">
        <f aca="true">MEDIAN(8,16,ROUND(NORMINV(RAND(),Coefficients!$B$20,Coefficients!$B$21),0))</f>
        <v>12</v>
      </c>
      <c r="D1466" s="0" t="n">
        <f aca="true">CRITBINOM($C1466,MIN(0.75,Matchup!$B$39*$B1466),RAND())</f>
        <v>3</v>
      </c>
      <c r="E1466" s="0" t="n">
        <f aca="true">CRITBINOM(D1466,Coefficients!$B$30,RAND())</f>
        <v>1</v>
      </c>
      <c r="F1466" s="0" t="n">
        <f aca="true">CRITBINOM(E1466,Coefficients!$B$31,RAND())</f>
        <v>1</v>
      </c>
      <c r="G1466" s="0" t="n">
        <f aca="true">CRITBINOM(MAX(0,D1466-E1466),1-Coefficients!$B$32,RAND())</f>
        <v>0</v>
      </c>
      <c r="H1466" s="0" t="n">
        <f aca="true">CRITBINOM(MAX(0,$C1466-D1466),MIN(0.6,Matchup!$B$40*SQRT($B1466)/(1-MIN(0.75,Matchup!$B$39*$B1466))),RAND())</f>
        <v>1</v>
      </c>
      <c r="I1466" s="0" t="n">
        <f aca="false">6*D1466+(D1466-E1466-G1466)+2*F1466+3*H1466</f>
        <v>25</v>
      </c>
      <c r="J1466" s="0" t="n">
        <f aca="true">CRITBINOM($C1466,MIN(0.75,Matchup!$C$39*$B1466),RAND())</f>
        <v>2</v>
      </c>
      <c r="K1466" s="0" t="n">
        <f aca="true">CRITBINOM(J1466,Coefficients!$B$30,RAND())</f>
        <v>1</v>
      </c>
      <c r="L1466" s="0" t="n">
        <f aca="true">CRITBINOM(K1466,Coefficients!$B$31,RAND())</f>
        <v>1</v>
      </c>
      <c r="M1466" s="0" t="n">
        <f aca="true">CRITBINOM(MAX(0,J1466-K1466),1-Coefficients!$B$32,RAND())</f>
        <v>0</v>
      </c>
      <c r="N1466" s="0" t="n">
        <f aca="true">CRITBINOM(MAX(0,$C1466-J1466),MIN(0.6,Matchup!$C$40*SQRT($B1466)/(1-MIN(0.75,Matchup!$C$39*$B1466))),RAND())</f>
        <v>3</v>
      </c>
      <c r="O1466" s="0" t="n">
        <f aca="false">6*J1466+(J1466-K1466-M1466)+2*L1466+3*N1466</f>
        <v>24</v>
      </c>
      <c r="P1466" s="0" t="n">
        <f aca="true">RAND()</f>
        <v>0.881497547422054</v>
      </c>
      <c r="Q1466" s="0" t="n">
        <f aca="true">RAND()</f>
        <v>0.781808938976852</v>
      </c>
      <c r="R1466" s="0" t="n">
        <f aca="false">IF($I1466&lt;&gt;$O1466,0,IF(P1466&lt;Matchup!$B$39,7,IF(P1466&lt;Matchup!$B$39+Matchup!$B$40,3,0)))</f>
        <v>0</v>
      </c>
      <c r="S1466" s="0" t="n">
        <f aca="false">IF($I1466&lt;&gt;$O1466,0,IF(Q1466&lt;Matchup!$C$39,7,IF(Q1466&lt;Matchup!$C$39+Matchup!$C$40,3,0)))</f>
        <v>0</v>
      </c>
      <c r="T1466" s="0" t="n">
        <f aca="false">I1466+R1466</f>
        <v>25</v>
      </c>
      <c r="U1466" s="0" t="n">
        <f aca="false">O1466+S1466</f>
        <v>24</v>
      </c>
      <c r="V1466" s="0" t="n">
        <f aca="false">T1466-U1466</f>
        <v>1</v>
      </c>
      <c r="W1466" s="0" t="n">
        <f aca="false">T1466+U1466</f>
        <v>49</v>
      </c>
    </row>
    <row r="1467" customFormat="false" ht="15" hidden="false" customHeight="false" outlineLevel="0" collapsed="false">
      <c r="A1467" s="0" t="n">
        <v>1464</v>
      </c>
      <c r="B1467" s="0" t="n">
        <f aca="true">NORMINV(RAND(),1,Coefficients!$B$22)</f>
        <v>1.20283034021652</v>
      </c>
      <c r="C1467" s="0" t="n">
        <f aca="true">MEDIAN(8,16,ROUND(NORMINV(RAND(),Coefficients!$B$20,Coefficients!$B$21),0))</f>
        <v>12</v>
      </c>
      <c r="D1467" s="0" t="n">
        <f aca="true">CRITBINOM($C1467,MIN(0.75,Matchup!$B$39*$B1467),RAND())</f>
        <v>5</v>
      </c>
      <c r="E1467" s="0" t="n">
        <f aca="true">CRITBINOM(D1467,Coefficients!$B$30,RAND())</f>
        <v>1</v>
      </c>
      <c r="F1467" s="0" t="n">
        <f aca="true">CRITBINOM(E1467,Coefficients!$B$31,RAND())</f>
        <v>0</v>
      </c>
      <c r="G1467" s="0" t="n">
        <f aca="true">CRITBINOM(MAX(0,D1467-E1467),1-Coefficients!$B$32,RAND())</f>
        <v>0</v>
      </c>
      <c r="H1467" s="0" t="n">
        <f aca="true">CRITBINOM(MAX(0,$C1467-D1467),MIN(0.6,Matchup!$B$40*SQRT($B1467)/(1-MIN(0.75,Matchup!$B$39*$B1467))),RAND())</f>
        <v>3</v>
      </c>
      <c r="I1467" s="0" t="n">
        <f aca="false">6*D1467+(D1467-E1467-G1467)+2*F1467+3*H1467</f>
        <v>43</v>
      </c>
      <c r="J1467" s="0" t="n">
        <f aca="true">CRITBINOM($C1467,MIN(0.75,Matchup!$C$39*$B1467),RAND())</f>
        <v>1</v>
      </c>
      <c r="K1467" s="0" t="n">
        <f aca="true">CRITBINOM(J1467,Coefficients!$B$30,RAND())</f>
        <v>0</v>
      </c>
      <c r="L1467" s="0" t="n">
        <f aca="true">CRITBINOM(K1467,Coefficients!$B$31,RAND())</f>
        <v>0</v>
      </c>
      <c r="M1467" s="0" t="n">
        <f aca="true">CRITBINOM(MAX(0,J1467-K1467),1-Coefficients!$B$32,RAND())</f>
        <v>0</v>
      </c>
      <c r="N1467" s="0" t="n">
        <f aca="true">CRITBINOM(MAX(0,$C1467-J1467),MIN(0.6,Matchup!$C$40*SQRT($B1467)/(1-MIN(0.75,Matchup!$C$39*$B1467))),RAND())</f>
        <v>2</v>
      </c>
      <c r="O1467" s="0" t="n">
        <f aca="false">6*J1467+(J1467-K1467-M1467)+2*L1467+3*N1467</f>
        <v>13</v>
      </c>
      <c r="P1467" s="0" t="n">
        <f aca="true">RAND()</f>
        <v>0.346745754425622</v>
      </c>
      <c r="Q1467" s="0" t="n">
        <f aca="true">RAND()</f>
        <v>0.482973697622394</v>
      </c>
      <c r="R1467" s="0" t="n">
        <f aca="false">IF($I1467&lt;&gt;$O1467,0,IF(P1467&lt;Matchup!$B$39,7,IF(P1467&lt;Matchup!$B$39+Matchup!$B$40,3,0)))</f>
        <v>0</v>
      </c>
      <c r="S1467" s="0" t="n">
        <f aca="false">IF($I1467&lt;&gt;$O1467,0,IF(Q1467&lt;Matchup!$C$39,7,IF(Q1467&lt;Matchup!$C$39+Matchup!$C$40,3,0)))</f>
        <v>0</v>
      </c>
      <c r="T1467" s="0" t="n">
        <f aca="false">I1467+R1467</f>
        <v>43</v>
      </c>
      <c r="U1467" s="0" t="n">
        <f aca="false">O1467+S1467</f>
        <v>13</v>
      </c>
      <c r="V1467" s="0" t="n">
        <f aca="false">T1467-U1467</f>
        <v>30</v>
      </c>
      <c r="W1467" s="0" t="n">
        <f aca="false">T1467+U1467</f>
        <v>56</v>
      </c>
    </row>
    <row r="1468" customFormat="false" ht="15" hidden="false" customHeight="false" outlineLevel="0" collapsed="false">
      <c r="A1468" s="0" t="n">
        <v>1465</v>
      </c>
      <c r="B1468" s="0" t="n">
        <f aca="true">NORMINV(RAND(),1,Coefficients!$B$22)</f>
        <v>0.967255667098137</v>
      </c>
      <c r="C1468" s="0" t="n">
        <f aca="true">MEDIAN(8,16,ROUND(NORMINV(RAND(),Coefficients!$B$20,Coefficients!$B$21),0))</f>
        <v>11</v>
      </c>
      <c r="D1468" s="0" t="n">
        <f aca="true">CRITBINOM($C1468,MIN(0.75,Matchup!$B$39*$B1468),RAND())</f>
        <v>1</v>
      </c>
      <c r="E1468" s="0" t="n">
        <f aca="true">CRITBINOM(D1468,Coefficients!$B$30,RAND())</f>
        <v>0</v>
      </c>
      <c r="F1468" s="0" t="n">
        <f aca="true">CRITBINOM(E1468,Coefficients!$B$31,RAND())</f>
        <v>0</v>
      </c>
      <c r="G1468" s="0" t="n">
        <f aca="true">CRITBINOM(MAX(0,D1468-E1468),1-Coefficients!$B$32,RAND())</f>
        <v>0</v>
      </c>
      <c r="H1468" s="0" t="n">
        <f aca="true">CRITBINOM(MAX(0,$C1468-D1468),MIN(0.6,Matchup!$B$40*SQRT($B1468)/(1-MIN(0.75,Matchup!$B$39*$B1468))),RAND())</f>
        <v>0</v>
      </c>
      <c r="I1468" s="0" t="n">
        <f aca="false">6*D1468+(D1468-E1468-G1468)+2*F1468+3*H1468</f>
        <v>7</v>
      </c>
      <c r="J1468" s="0" t="n">
        <f aca="true">CRITBINOM($C1468,MIN(0.75,Matchup!$C$39*$B1468),RAND())</f>
        <v>3</v>
      </c>
      <c r="K1468" s="0" t="n">
        <f aca="true">CRITBINOM(J1468,Coefficients!$B$30,RAND())</f>
        <v>0</v>
      </c>
      <c r="L1468" s="0" t="n">
        <f aca="true">CRITBINOM(K1468,Coefficients!$B$31,RAND())</f>
        <v>0</v>
      </c>
      <c r="M1468" s="0" t="n">
        <f aca="true">CRITBINOM(MAX(0,J1468-K1468),1-Coefficients!$B$32,RAND())</f>
        <v>0</v>
      </c>
      <c r="N1468" s="0" t="n">
        <f aca="true">CRITBINOM(MAX(0,$C1468-J1468),MIN(0.6,Matchup!$C$40*SQRT($B1468)/(1-MIN(0.75,Matchup!$C$39*$B1468))),RAND())</f>
        <v>1</v>
      </c>
      <c r="O1468" s="0" t="n">
        <f aca="false">6*J1468+(J1468-K1468-M1468)+2*L1468+3*N1468</f>
        <v>24</v>
      </c>
      <c r="P1468" s="0" t="n">
        <f aca="true">RAND()</f>
        <v>0.124552502753617</v>
      </c>
      <c r="Q1468" s="0" t="n">
        <f aca="true">RAND()</f>
        <v>0.390262074452259</v>
      </c>
      <c r="R1468" s="0" t="n">
        <f aca="false">IF($I1468&lt;&gt;$O1468,0,IF(P1468&lt;Matchup!$B$39,7,IF(P1468&lt;Matchup!$B$39+Matchup!$B$40,3,0)))</f>
        <v>0</v>
      </c>
      <c r="S1468" s="0" t="n">
        <f aca="false">IF($I1468&lt;&gt;$O1468,0,IF(Q1468&lt;Matchup!$C$39,7,IF(Q1468&lt;Matchup!$C$39+Matchup!$C$40,3,0)))</f>
        <v>0</v>
      </c>
      <c r="T1468" s="0" t="n">
        <f aca="false">I1468+R1468</f>
        <v>7</v>
      </c>
      <c r="U1468" s="0" t="n">
        <f aca="false">O1468+S1468</f>
        <v>24</v>
      </c>
      <c r="V1468" s="0" t="n">
        <f aca="false">T1468-U1468</f>
        <v>-17</v>
      </c>
      <c r="W1468" s="0" t="n">
        <f aca="false">T1468+U1468</f>
        <v>31</v>
      </c>
    </row>
    <row r="1469" customFormat="false" ht="15" hidden="false" customHeight="false" outlineLevel="0" collapsed="false">
      <c r="A1469" s="0" t="n">
        <v>1466</v>
      </c>
      <c r="B1469" s="0" t="n">
        <f aca="true">NORMINV(RAND(),1,Coefficients!$B$22)</f>
        <v>0.94023346899152</v>
      </c>
      <c r="C1469" s="0" t="n">
        <f aca="true">MEDIAN(8,16,ROUND(NORMINV(RAND(),Coefficients!$B$20,Coefficients!$B$21),0))</f>
        <v>13</v>
      </c>
      <c r="D1469" s="0" t="n">
        <f aca="true">CRITBINOM($C1469,MIN(0.75,Matchup!$B$39*$B1469),RAND())</f>
        <v>4</v>
      </c>
      <c r="E1469" s="0" t="n">
        <f aca="true">CRITBINOM(D1469,Coefficients!$B$30,RAND())</f>
        <v>0</v>
      </c>
      <c r="F1469" s="0" t="n">
        <f aca="true">CRITBINOM(E1469,Coefficients!$B$31,RAND())</f>
        <v>0</v>
      </c>
      <c r="G1469" s="0" t="n">
        <f aca="true">CRITBINOM(MAX(0,D1469-E1469),1-Coefficients!$B$32,RAND())</f>
        <v>0</v>
      </c>
      <c r="H1469" s="0" t="n">
        <f aca="true">CRITBINOM(MAX(0,$C1469-D1469),MIN(0.6,Matchup!$B$40*SQRT($B1469)/(1-MIN(0.75,Matchup!$B$39*$B1469))),RAND())</f>
        <v>0</v>
      </c>
      <c r="I1469" s="0" t="n">
        <f aca="false">6*D1469+(D1469-E1469-G1469)+2*F1469+3*H1469</f>
        <v>28</v>
      </c>
      <c r="J1469" s="0" t="n">
        <f aca="true">CRITBINOM($C1469,MIN(0.75,Matchup!$C$39*$B1469),RAND())</f>
        <v>4</v>
      </c>
      <c r="K1469" s="0" t="n">
        <f aca="true">CRITBINOM(J1469,Coefficients!$B$30,RAND())</f>
        <v>0</v>
      </c>
      <c r="L1469" s="0" t="n">
        <f aca="true">CRITBINOM(K1469,Coefficients!$B$31,RAND())</f>
        <v>0</v>
      </c>
      <c r="M1469" s="0" t="n">
        <f aca="true">CRITBINOM(MAX(0,J1469-K1469),1-Coefficients!$B$32,RAND())</f>
        <v>0</v>
      </c>
      <c r="N1469" s="0" t="n">
        <f aca="true">CRITBINOM(MAX(0,$C1469-J1469),MIN(0.6,Matchup!$C$40*SQRT($B1469)/(1-MIN(0.75,Matchup!$C$39*$B1469))),RAND())</f>
        <v>0</v>
      </c>
      <c r="O1469" s="0" t="n">
        <f aca="false">6*J1469+(J1469-K1469-M1469)+2*L1469+3*N1469</f>
        <v>28</v>
      </c>
      <c r="P1469" s="0" t="n">
        <f aca="true">RAND()</f>
        <v>0.356042146049008</v>
      </c>
      <c r="Q1469" s="0" t="n">
        <f aca="true">RAND()</f>
        <v>0.934088282195478</v>
      </c>
      <c r="R1469" s="0" t="n">
        <f aca="false">IF($I1469&lt;&gt;$O1469,0,IF(P1469&lt;Matchup!$B$39,7,IF(P1469&lt;Matchup!$B$39+Matchup!$B$40,3,0)))</f>
        <v>3</v>
      </c>
      <c r="S1469" s="0" t="n">
        <f aca="false">IF($I1469&lt;&gt;$O1469,0,IF(Q1469&lt;Matchup!$C$39,7,IF(Q1469&lt;Matchup!$C$39+Matchup!$C$40,3,0)))</f>
        <v>0</v>
      </c>
      <c r="T1469" s="0" t="n">
        <f aca="false">I1469+R1469</f>
        <v>31</v>
      </c>
      <c r="U1469" s="0" t="n">
        <f aca="false">O1469+S1469</f>
        <v>28</v>
      </c>
      <c r="V1469" s="0" t="n">
        <f aca="false">T1469-U1469</f>
        <v>3</v>
      </c>
      <c r="W1469" s="0" t="n">
        <f aca="false">T1469+U1469</f>
        <v>59</v>
      </c>
    </row>
    <row r="1470" customFormat="false" ht="15" hidden="false" customHeight="false" outlineLevel="0" collapsed="false">
      <c r="A1470" s="0" t="n">
        <v>1467</v>
      </c>
      <c r="B1470" s="0" t="n">
        <f aca="true">NORMINV(RAND(),1,Coefficients!$B$22)</f>
        <v>1.02149653359789</v>
      </c>
      <c r="C1470" s="0" t="n">
        <f aca="true">MEDIAN(8,16,ROUND(NORMINV(RAND(),Coefficients!$B$20,Coefficients!$B$21),0))</f>
        <v>11</v>
      </c>
      <c r="D1470" s="0" t="n">
        <f aca="true">CRITBINOM($C1470,MIN(0.75,Matchup!$B$39*$B1470),RAND())</f>
        <v>4</v>
      </c>
      <c r="E1470" s="0" t="n">
        <f aca="true">CRITBINOM(D1470,Coefficients!$B$30,RAND())</f>
        <v>0</v>
      </c>
      <c r="F1470" s="0" t="n">
        <f aca="true">CRITBINOM(E1470,Coefficients!$B$31,RAND())</f>
        <v>0</v>
      </c>
      <c r="G1470" s="0" t="n">
        <f aca="true">CRITBINOM(MAX(0,D1470-E1470),1-Coefficients!$B$32,RAND())</f>
        <v>0</v>
      </c>
      <c r="H1470" s="0" t="n">
        <f aca="true">CRITBINOM(MAX(0,$C1470-D1470),MIN(0.6,Matchup!$B$40*SQRT($B1470)/(1-MIN(0.75,Matchup!$B$39*$B1470))),RAND())</f>
        <v>1</v>
      </c>
      <c r="I1470" s="0" t="n">
        <f aca="false">6*D1470+(D1470-E1470-G1470)+2*F1470+3*H1470</f>
        <v>31</v>
      </c>
      <c r="J1470" s="0" t="n">
        <f aca="true">CRITBINOM($C1470,MIN(0.75,Matchup!$C$39*$B1470),RAND())</f>
        <v>4</v>
      </c>
      <c r="K1470" s="0" t="n">
        <f aca="true">CRITBINOM(J1470,Coefficients!$B$30,RAND())</f>
        <v>0</v>
      </c>
      <c r="L1470" s="0" t="n">
        <f aca="true">CRITBINOM(K1470,Coefficients!$B$31,RAND())</f>
        <v>0</v>
      </c>
      <c r="M1470" s="0" t="n">
        <f aca="true">CRITBINOM(MAX(0,J1470-K1470),1-Coefficients!$B$32,RAND())</f>
        <v>0</v>
      </c>
      <c r="N1470" s="0" t="n">
        <f aca="true">CRITBINOM(MAX(0,$C1470-J1470),MIN(0.6,Matchup!$C$40*SQRT($B1470)/(1-MIN(0.75,Matchup!$C$39*$B1470))),RAND())</f>
        <v>1</v>
      </c>
      <c r="O1470" s="0" t="n">
        <f aca="false">6*J1470+(J1470-K1470-M1470)+2*L1470+3*N1470</f>
        <v>31</v>
      </c>
      <c r="P1470" s="0" t="n">
        <f aca="true">RAND()</f>
        <v>0.823707506652114</v>
      </c>
      <c r="Q1470" s="0" t="n">
        <f aca="true">RAND()</f>
        <v>0.0353597472135534</v>
      </c>
      <c r="R1470" s="0" t="n">
        <f aca="false">IF($I1470&lt;&gt;$O1470,0,IF(P1470&lt;Matchup!$B$39,7,IF(P1470&lt;Matchup!$B$39+Matchup!$B$40,3,0)))</f>
        <v>0</v>
      </c>
      <c r="S1470" s="0" t="n">
        <f aca="false">IF($I1470&lt;&gt;$O1470,0,IF(Q1470&lt;Matchup!$C$39,7,IF(Q1470&lt;Matchup!$C$39+Matchup!$C$40,3,0)))</f>
        <v>7</v>
      </c>
      <c r="T1470" s="0" t="n">
        <f aca="false">I1470+R1470</f>
        <v>31</v>
      </c>
      <c r="U1470" s="0" t="n">
        <f aca="false">O1470+S1470</f>
        <v>38</v>
      </c>
      <c r="V1470" s="0" t="n">
        <f aca="false">T1470-U1470</f>
        <v>-7</v>
      </c>
      <c r="W1470" s="0" t="n">
        <f aca="false">T1470+U1470</f>
        <v>69</v>
      </c>
    </row>
    <row r="1471" customFormat="false" ht="15" hidden="false" customHeight="false" outlineLevel="0" collapsed="false">
      <c r="A1471" s="0" t="n">
        <v>1468</v>
      </c>
      <c r="B1471" s="0" t="n">
        <f aca="true">NORMINV(RAND(),1,Coefficients!$B$22)</f>
        <v>0.913710787355178</v>
      </c>
      <c r="C1471" s="0" t="n">
        <f aca="true">MEDIAN(8,16,ROUND(NORMINV(RAND(),Coefficients!$B$20,Coefficients!$B$21),0))</f>
        <v>11</v>
      </c>
      <c r="D1471" s="0" t="n">
        <f aca="true">CRITBINOM($C1471,MIN(0.75,Matchup!$B$39*$B1471),RAND())</f>
        <v>1</v>
      </c>
      <c r="E1471" s="0" t="n">
        <f aca="true">CRITBINOM(D1471,Coefficients!$B$30,RAND())</f>
        <v>0</v>
      </c>
      <c r="F1471" s="0" t="n">
        <f aca="true">CRITBINOM(E1471,Coefficients!$B$31,RAND())</f>
        <v>0</v>
      </c>
      <c r="G1471" s="0" t="n">
        <f aca="true">CRITBINOM(MAX(0,D1471-E1471),1-Coefficients!$B$32,RAND())</f>
        <v>0</v>
      </c>
      <c r="H1471" s="0" t="n">
        <f aca="true">CRITBINOM(MAX(0,$C1471-D1471),MIN(0.6,Matchup!$B$40*SQRT($B1471)/(1-MIN(0.75,Matchup!$B$39*$B1471))),RAND())</f>
        <v>2</v>
      </c>
      <c r="I1471" s="0" t="n">
        <f aca="false">6*D1471+(D1471-E1471-G1471)+2*F1471+3*H1471</f>
        <v>13</v>
      </c>
      <c r="J1471" s="0" t="n">
        <f aca="true">CRITBINOM($C1471,MIN(0.75,Matchup!$C$39*$B1471),RAND())</f>
        <v>3</v>
      </c>
      <c r="K1471" s="0" t="n">
        <f aca="true">CRITBINOM(J1471,Coefficients!$B$30,RAND())</f>
        <v>1</v>
      </c>
      <c r="L1471" s="0" t="n">
        <f aca="true">CRITBINOM(K1471,Coefficients!$B$31,RAND())</f>
        <v>1</v>
      </c>
      <c r="M1471" s="0" t="n">
        <f aca="true">CRITBINOM(MAX(0,J1471-K1471),1-Coefficients!$B$32,RAND())</f>
        <v>0</v>
      </c>
      <c r="N1471" s="0" t="n">
        <f aca="true">CRITBINOM(MAX(0,$C1471-J1471),MIN(0.6,Matchup!$C$40*SQRT($B1471)/(1-MIN(0.75,Matchup!$C$39*$B1471))),RAND())</f>
        <v>0</v>
      </c>
      <c r="O1471" s="0" t="n">
        <f aca="false">6*J1471+(J1471-K1471-M1471)+2*L1471+3*N1471</f>
        <v>22</v>
      </c>
      <c r="P1471" s="0" t="n">
        <f aca="true">RAND()</f>
        <v>0.645235562544421</v>
      </c>
      <c r="Q1471" s="0" t="n">
        <f aca="true">RAND()</f>
        <v>0.958253750821883</v>
      </c>
      <c r="R1471" s="0" t="n">
        <f aca="false">IF($I1471&lt;&gt;$O1471,0,IF(P1471&lt;Matchup!$B$39,7,IF(P1471&lt;Matchup!$B$39+Matchup!$B$40,3,0)))</f>
        <v>0</v>
      </c>
      <c r="S1471" s="0" t="n">
        <f aca="false">IF($I1471&lt;&gt;$O1471,0,IF(Q1471&lt;Matchup!$C$39,7,IF(Q1471&lt;Matchup!$C$39+Matchup!$C$40,3,0)))</f>
        <v>0</v>
      </c>
      <c r="T1471" s="0" t="n">
        <f aca="false">I1471+R1471</f>
        <v>13</v>
      </c>
      <c r="U1471" s="0" t="n">
        <f aca="false">O1471+S1471</f>
        <v>22</v>
      </c>
      <c r="V1471" s="0" t="n">
        <f aca="false">T1471-U1471</f>
        <v>-9</v>
      </c>
      <c r="W1471" s="0" t="n">
        <f aca="false">T1471+U1471</f>
        <v>35</v>
      </c>
    </row>
    <row r="1472" customFormat="false" ht="15" hidden="false" customHeight="false" outlineLevel="0" collapsed="false">
      <c r="A1472" s="0" t="n">
        <v>1469</v>
      </c>
      <c r="B1472" s="0" t="n">
        <f aca="true">NORMINV(RAND(),1,Coefficients!$B$22)</f>
        <v>0.965286901364594</v>
      </c>
      <c r="C1472" s="0" t="n">
        <f aca="true">MEDIAN(8,16,ROUND(NORMINV(RAND(),Coefficients!$B$20,Coefficients!$B$21),0))</f>
        <v>13</v>
      </c>
      <c r="D1472" s="0" t="n">
        <f aca="true">CRITBINOM($C1472,MIN(0.75,Matchup!$B$39*$B1472),RAND())</f>
        <v>3</v>
      </c>
      <c r="E1472" s="0" t="n">
        <f aca="true">CRITBINOM(D1472,Coefficients!$B$30,RAND())</f>
        <v>0</v>
      </c>
      <c r="F1472" s="0" t="n">
        <f aca="true">CRITBINOM(E1472,Coefficients!$B$31,RAND())</f>
        <v>0</v>
      </c>
      <c r="G1472" s="0" t="n">
        <f aca="true">CRITBINOM(MAX(0,D1472-E1472),1-Coefficients!$B$32,RAND())</f>
        <v>0</v>
      </c>
      <c r="H1472" s="0" t="n">
        <f aca="true">CRITBINOM(MAX(0,$C1472-D1472),MIN(0.6,Matchup!$B$40*SQRT($B1472)/(1-MIN(0.75,Matchup!$B$39*$B1472))),RAND())</f>
        <v>0</v>
      </c>
      <c r="I1472" s="0" t="n">
        <f aca="false">6*D1472+(D1472-E1472-G1472)+2*F1472+3*H1472</f>
        <v>21</v>
      </c>
      <c r="J1472" s="0" t="n">
        <f aca="true">CRITBINOM($C1472,MIN(0.75,Matchup!$C$39*$B1472),RAND())</f>
        <v>1</v>
      </c>
      <c r="K1472" s="0" t="n">
        <f aca="true">CRITBINOM(J1472,Coefficients!$B$30,RAND())</f>
        <v>0</v>
      </c>
      <c r="L1472" s="0" t="n">
        <f aca="true">CRITBINOM(K1472,Coefficients!$B$31,RAND())</f>
        <v>0</v>
      </c>
      <c r="M1472" s="0" t="n">
        <f aca="true">CRITBINOM(MAX(0,J1472-K1472),1-Coefficients!$B$32,RAND())</f>
        <v>1</v>
      </c>
      <c r="N1472" s="0" t="n">
        <f aca="true">CRITBINOM(MAX(0,$C1472-J1472),MIN(0.6,Matchup!$C$40*SQRT($B1472)/(1-MIN(0.75,Matchup!$C$39*$B1472))),RAND())</f>
        <v>2</v>
      </c>
      <c r="O1472" s="0" t="n">
        <f aca="false">6*J1472+(J1472-K1472-M1472)+2*L1472+3*N1472</f>
        <v>12</v>
      </c>
      <c r="P1472" s="0" t="n">
        <f aca="true">RAND()</f>
        <v>0.953152625922294</v>
      </c>
      <c r="Q1472" s="0" t="n">
        <f aca="true">RAND()</f>
        <v>0.697499671265494</v>
      </c>
      <c r="R1472" s="0" t="n">
        <f aca="false">IF($I1472&lt;&gt;$O1472,0,IF(P1472&lt;Matchup!$B$39,7,IF(P1472&lt;Matchup!$B$39+Matchup!$B$40,3,0)))</f>
        <v>0</v>
      </c>
      <c r="S1472" s="0" t="n">
        <f aca="false">IF($I1472&lt;&gt;$O1472,0,IF(Q1472&lt;Matchup!$C$39,7,IF(Q1472&lt;Matchup!$C$39+Matchup!$C$40,3,0)))</f>
        <v>0</v>
      </c>
      <c r="T1472" s="0" t="n">
        <f aca="false">I1472+R1472</f>
        <v>21</v>
      </c>
      <c r="U1472" s="0" t="n">
        <f aca="false">O1472+S1472</f>
        <v>12</v>
      </c>
      <c r="V1472" s="0" t="n">
        <f aca="false">T1472-U1472</f>
        <v>9</v>
      </c>
      <c r="W1472" s="0" t="n">
        <f aca="false">T1472+U1472</f>
        <v>33</v>
      </c>
    </row>
    <row r="1473" customFormat="false" ht="15" hidden="false" customHeight="false" outlineLevel="0" collapsed="false">
      <c r="A1473" s="0" t="n">
        <v>1470</v>
      </c>
      <c r="B1473" s="0" t="n">
        <f aca="true">NORMINV(RAND(),1,Coefficients!$B$22)</f>
        <v>0.858464045926892</v>
      </c>
      <c r="C1473" s="0" t="n">
        <f aca="true">MEDIAN(8,16,ROUND(NORMINV(RAND(),Coefficients!$B$20,Coefficients!$B$21),0))</f>
        <v>11</v>
      </c>
      <c r="D1473" s="0" t="n">
        <f aca="true">CRITBINOM($C1473,MIN(0.75,Matchup!$B$39*$B1473),RAND())</f>
        <v>2</v>
      </c>
      <c r="E1473" s="0" t="n">
        <f aca="true">CRITBINOM(D1473,Coefficients!$B$30,RAND())</f>
        <v>0</v>
      </c>
      <c r="F1473" s="0" t="n">
        <f aca="true">CRITBINOM(E1473,Coefficients!$B$31,RAND())</f>
        <v>0</v>
      </c>
      <c r="G1473" s="0" t="n">
        <f aca="true">CRITBINOM(MAX(0,D1473-E1473),1-Coefficients!$B$32,RAND())</f>
        <v>0</v>
      </c>
      <c r="H1473" s="0" t="n">
        <f aca="true">CRITBINOM(MAX(0,$C1473-D1473),MIN(0.6,Matchup!$B$40*SQRT($B1473)/(1-MIN(0.75,Matchup!$B$39*$B1473))),RAND())</f>
        <v>2</v>
      </c>
      <c r="I1473" s="0" t="n">
        <f aca="false">6*D1473+(D1473-E1473-G1473)+2*F1473+3*H1473</f>
        <v>20</v>
      </c>
      <c r="J1473" s="0" t="n">
        <f aca="true">CRITBINOM($C1473,MIN(0.75,Matchup!$C$39*$B1473),RAND())</f>
        <v>2</v>
      </c>
      <c r="K1473" s="0" t="n">
        <f aca="true">CRITBINOM(J1473,Coefficients!$B$30,RAND())</f>
        <v>0</v>
      </c>
      <c r="L1473" s="0" t="n">
        <f aca="true">CRITBINOM(K1473,Coefficients!$B$31,RAND())</f>
        <v>0</v>
      </c>
      <c r="M1473" s="0" t="n">
        <f aca="true">CRITBINOM(MAX(0,J1473-K1473),1-Coefficients!$B$32,RAND())</f>
        <v>0</v>
      </c>
      <c r="N1473" s="0" t="n">
        <f aca="true">CRITBINOM(MAX(0,$C1473-J1473),MIN(0.6,Matchup!$C$40*SQRT($B1473)/(1-MIN(0.75,Matchup!$C$39*$B1473))),RAND())</f>
        <v>3</v>
      </c>
      <c r="O1473" s="0" t="n">
        <f aca="false">6*J1473+(J1473-K1473-M1473)+2*L1473+3*N1473</f>
        <v>23</v>
      </c>
      <c r="P1473" s="0" t="n">
        <f aca="true">RAND()</f>
        <v>0.067811641659637</v>
      </c>
      <c r="Q1473" s="0" t="n">
        <f aca="true">RAND()</f>
        <v>0.133575468391571</v>
      </c>
      <c r="R1473" s="0" t="n">
        <f aca="false">IF($I1473&lt;&gt;$O1473,0,IF(P1473&lt;Matchup!$B$39,7,IF(P1473&lt;Matchup!$B$39+Matchup!$B$40,3,0)))</f>
        <v>0</v>
      </c>
      <c r="S1473" s="0" t="n">
        <f aca="false">IF($I1473&lt;&gt;$O1473,0,IF(Q1473&lt;Matchup!$C$39,7,IF(Q1473&lt;Matchup!$C$39+Matchup!$C$40,3,0)))</f>
        <v>0</v>
      </c>
      <c r="T1473" s="0" t="n">
        <f aca="false">I1473+R1473</f>
        <v>20</v>
      </c>
      <c r="U1473" s="0" t="n">
        <f aca="false">O1473+S1473</f>
        <v>23</v>
      </c>
      <c r="V1473" s="0" t="n">
        <f aca="false">T1473-U1473</f>
        <v>-3</v>
      </c>
      <c r="W1473" s="0" t="n">
        <f aca="false">T1473+U1473</f>
        <v>43</v>
      </c>
    </row>
    <row r="1474" customFormat="false" ht="15" hidden="false" customHeight="false" outlineLevel="0" collapsed="false">
      <c r="A1474" s="0" t="n">
        <v>1471</v>
      </c>
      <c r="B1474" s="0" t="n">
        <f aca="true">NORMINV(RAND(),1,Coefficients!$B$22)</f>
        <v>0.999551241852917</v>
      </c>
      <c r="C1474" s="0" t="n">
        <f aca="true">MEDIAN(8,16,ROUND(NORMINV(RAND(),Coefficients!$B$20,Coefficients!$B$21),0))</f>
        <v>11</v>
      </c>
      <c r="D1474" s="0" t="n">
        <f aca="true">CRITBINOM($C1474,MIN(0.75,Matchup!$B$39*$B1474),RAND())</f>
        <v>3</v>
      </c>
      <c r="E1474" s="0" t="n">
        <f aca="true">CRITBINOM(D1474,Coefficients!$B$30,RAND())</f>
        <v>0</v>
      </c>
      <c r="F1474" s="0" t="n">
        <f aca="true">CRITBINOM(E1474,Coefficients!$B$31,RAND())</f>
        <v>0</v>
      </c>
      <c r="G1474" s="0" t="n">
        <f aca="true">CRITBINOM(MAX(0,D1474-E1474),1-Coefficients!$B$32,RAND())</f>
        <v>0</v>
      </c>
      <c r="H1474" s="0" t="n">
        <f aca="true">CRITBINOM(MAX(0,$C1474-D1474),MIN(0.6,Matchup!$B$40*SQRT($B1474)/(1-MIN(0.75,Matchup!$B$39*$B1474))),RAND())</f>
        <v>2</v>
      </c>
      <c r="I1474" s="0" t="n">
        <f aca="false">6*D1474+(D1474-E1474-G1474)+2*F1474+3*H1474</f>
        <v>27</v>
      </c>
      <c r="J1474" s="0" t="n">
        <f aca="true">CRITBINOM($C1474,MIN(0.75,Matchup!$C$39*$B1474),RAND())</f>
        <v>3</v>
      </c>
      <c r="K1474" s="0" t="n">
        <f aca="true">CRITBINOM(J1474,Coefficients!$B$30,RAND())</f>
        <v>0</v>
      </c>
      <c r="L1474" s="0" t="n">
        <f aca="true">CRITBINOM(K1474,Coefficients!$B$31,RAND())</f>
        <v>0</v>
      </c>
      <c r="M1474" s="0" t="n">
        <f aca="true">CRITBINOM(MAX(0,J1474-K1474),1-Coefficients!$B$32,RAND())</f>
        <v>0</v>
      </c>
      <c r="N1474" s="0" t="n">
        <f aca="true">CRITBINOM(MAX(0,$C1474-J1474),MIN(0.6,Matchup!$C$40*SQRT($B1474)/(1-MIN(0.75,Matchup!$C$39*$B1474))),RAND())</f>
        <v>2</v>
      </c>
      <c r="O1474" s="0" t="n">
        <f aca="false">6*J1474+(J1474-K1474-M1474)+2*L1474+3*N1474</f>
        <v>27</v>
      </c>
      <c r="P1474" s="0" t="n">
        <f aca="true">RAND()</f>
        <v>0.0193961340870766</v>
      </c>
      <c r="Q1474" s="0" t="n">
        <f aca="true">RAND()</f>
        <v>0.364828841550213</v>
      </c>
      <c r="R1474" s="0" t="n">
        <f aca="false">IF($I1474&lt;&gt;$O1474,0,IF(P1474&lt;Matchup!$B$39,7,IF(P1474&lt;Matchup!$B$39+Matchup!$B$40,3,0)))</f>
        <v>7</v>
      </c>
      <c r="S1474" s="0" t="n">
        <f aca="false">IF($I1474&lt;&gt;$O1474,0,IF(Q1474&lt;Matchup!$C$39,7,IF(Q1474&lt;Matchup!$C$39+Matchup!$C$40,3,0)))</f>
        <v>0</v>
      </c>
      <c r="T1474" s="0" t="n">
        <f aca="false">I1474+R1474</f>
        <v>34</v>
      </c>
      <c r="U1474" s="0" t="n">
        <f aca="false">O1474+S1474</f>
        <v>27</v>
      </c>
      <c r="V1474" s="0" t="n">
        <f aca="false">T1474-U1474</f>
        <v>7</v>
      </c>
      <c r="W1474" s="0" t="n">
        <f aca="false">T1474+U1474</f>
        <v>61</v>
      </c>
    </row>
    <row r="1475" customFormat="false" ht="15" hidden="false" customHeight="false" outlineLevel="0" collapsed="false">
      <c r="A1475" s="0" t="n">
        <v>1472</v>
      </c>
      <c r="B1475" s="0" t="n">
        <f aca="true">NORMINV(RAND(),1,Coefficients!$B$22)</f>
        <v>1.04843000294403</v>
      </c>
      <c r="C1475" s="0" t="n">
        <f aca="true">MEDIAN(8,16,ROUND(NORMINV(RAND(),Coefficients!$B$20,Coefficients!$B$21),0))</f>
        <v>13</v>
      </c>
      <c r="D1475" s="0" t="n">
        <f aca="true">CRITBINOM($C1475,MIN(0.75,Matchup!$B$39*$B1475),RAND())</f>
        <v>8</v>
      </c>
      <c r="E1475" s="0" t="n">
        <f aca="true">CRITBINOM(D1475,Coefficients!$B$30,RAND())</f>
        <v>1</v>
      </c>
      <c r="F1475" s="0" t="n">
        <f aca="true">CRITBINOM(E1475,Coefficients!$B$31,RAND())</f>
        <v>0</v>
      </c>
      <c r="G1475" s="0" t="n">
        <f aca="true">CRITBINOM(MAX(0,D1475-E1475),1-Coefficients!$B$32,RAND())</f>
        <v>0</v>
      </c>
      <c r="H1475" s="0" t="n">
        <f aca="true">CRITBINOM(MAX(0,$C1475-D1475),MIN(0.6,Matchup!$B$40*SQRT($B1475)/(1-MIN(0.75,Matchup!$B$39*$B1475))),RAND())</f>
        <v>3</v>
      </c>
      <c r="I1475" s="0" t="n">
        <f aca="false">6*D1475+(D1475-E1475-G1475)+2*F1475+3*H1475</f>
        <v>64</v>
      </c>
      <c r="J1475" s="0" t="n">
        <f aca="true">CRITBINOM($C1475,MIN(0.75,Matchup!$C$39*$B1475),RAND())</f>
        <v>2</v>
      </c>
      <c r="K1475" s="0" t="n">
        <f aca="true">CRITBINOM(J1475,Coefficients!$B$30,RAND())</f>
        <v>0</v>
      </c>
      <c r="L1475" s="0" t="n">
        <f aca="true">CRITBINOM(K1475,Coefficients!$B$31,RAND())</f>
        <v>0</v>
      </c>
      <c r="M1475" s="0" t="n">
        <f aca="true">CRITBINOM(MAX(0,J1475-K1475),1-Coefficients!$B$32,RAND())</f>
        <v>0</v>
      </c>
      <c r="N1475" s="0" t="n">
        <f aca="true">CRITBINOM(MAX(0,$C1475-J1475),MIN(0.6,Matchup!$C$40*SQRT($B1475)/(1-MIN(0.75,Matchup!$C$39*$B1475))),RAND())</f>
        <v>4</v>
      </c>
      <c r="O1475" s="0" t="n">
        <f aca="false">6*J1475+(J1475-K1475-M1475)+2*L1475+3*N1475</f>
        <v>26</v>
      </c>
      <c r="P1475" s="0" t="n">
        <f aca="true">RAND()</f>
        <v>0.59118927576901</v>
      </c>
      <c r="Q1475" s="0" t="n">
        <f aca="true">RAND()</f>
        <v>0.590581324543262</v>
      </c>
      <c r="R1475" s="0" t="n">
        <f aca="false">IF($I1475&lt;&gt;$O1475,0,IF(P1475&lt;Matchup!$B$39,7,IF(P1475&lt;Matchup!$B$39+Matchup!$B$40,3,0)))</f>
        <v>0</v>
      </c>
      <c r="S1475" s="0" t="n">
        <f aca="false">IF($I1475&lt;&gt;$O1475,0,IF(Q1475&lt;Matchup!$C$39,7,IF(Q1475&lt;Matchup!$C$39+Matchup!$C$40,3,0)))</f>
        <v>0</v>
      </c>
      <c r="T1475" s="0" t="n">
        <f aca="false">I1475+R1475</f>
        <v>64</v>
      </c>
      <c r="U1475" s="0" t="n">
        <f aca="false">O1475+S1475</f>
        <v>26</v>
      </c>
      <c r="V1475" s="0" t="n">
        <f aca="false">T1475-U1475</f>
        <v>38</v>
      </c>
      <c r="W1475" s="0" t="n">
        <f aca="false">T1475+U1475</f>
        <v>90</v>
      </c>
    </row>
    <row r="1476" customFormat="false" ht="15" hidden="false" customHeight="false" outlineLevel="0" collapsed="false">
      <c r="A1476" s="0" t="n">
        <v>1473</v>
      </c>
      <c r="B1476" s="0" t="n">
        <f aca="true">NORMINV(RAND(),1,Coefficients!$B$22)</f>
        <v>1.0626753297256</v>
      </c>
      <c r="C1476" s="0" t="n">
        <f aca="true">MEDIAN(8,16,ROUND(NORMINV(RAND(),Coefficients!$B$20,Coefficients!$B$21),0))</f>
        <v>13</v>
      </c>
      <c r="D1476" s="0" t="n">
        <f aca="true">CRITBINOM($C1476,MIN(0.75,Matchup!$B$39*$B1476),RAND())</f>
        <v>3</v>
      </c>
      <c r="E1476" s="0" t="n">
        <f aca="true">CRITBINOM(D1476,Coefficients!$B$30,RAND())</f>
        <v>0</v>
      </c>
      <c r="F1476" s="0" t="n">
        <f aca="true">CRITBINOM(E1476,Coefficients!$B$31,RAND())</f>
        <v>0</v>
      </c>
      <c r="G1476" s="0" t="n">
        <f aca="true">CRITBINOM(MAX(0,D1476-E1476),1-Coefficients!$B$32,RAND())</f>
        <v>0</v>
      </c>
      <c r="H1476" s="0" t="n">
        <f aca="true">CRITBINOM(MAX(0,$C1476-D1476),MIN(0.6,Matchup!$B$40*SQRT($B1476)/(1-MIN(0.75,Matchup!$B$39*$B1476))),RAND())</f>
        <v>1</v>
      </c>
      <c r="I1476" s="0" t="n">
        <f aca="false">6*D1476+(D1476-E1476-G1476)+2*F1476+3*H1476</f>
        <v>24</v>
      </c>
      <c r="J1476" s="0" t="n">
        <f aca="true">CRITBINOM($C1476,MIN(0.75,Matchup!$C$39*$B1476),RAND())</f>
        <v>5</v>
      </c>
      <c r="K1476" s="0" t="n">
        <f aca="true">CRITBINOM(J1476,Coefficients!$B$30,RAND())</f>
        <v>0</v>
      </c>
      <c r="L1476" s="0" t="n">
        <f aca="true">CRITBINOM(K1476,Coefficients!$B$31,RAND())</f>
        <v>0</v>
      </c>
      <c r="M1476" s="0" t="n">
        <f aca="true">CRITBINOM(MAX(0,J1476-K1476),1-Coefficients!$B$32,RAND())</f>
        <v>2</v>
      </c>
      <c r="N1476" s="0" t="n">
        <f aca="true">CRITBINOM(MAX(0,$C1476-J1476),MIN(0.6,Matchup!$C$40*SQRT($B1476)/(1-MIN(0.75,Matchup!$C$39*$B1476))),RAND())</f>
        <v>3</v>
      </c>
      <c r="O1476" s="0" t="n">
        <f aca="false">6*J1476+(J1476-K1476-M1476)+2*L1476+3*N1476</f>
        <v>42</v>
      </c>
      <c r="P1476" s="0" t="n">
        <f aca="true">RAND()</f>
        <v>0.498559312348562</v>
      </c>
      <c r="Q1476" s="0" t="n">
        <f aca="true">RAND()</f>
        <v>0.363204830261404</v>
      </c>
      <c r="R1476" s="0" t="n">
        <f aca="false">IF($I1476&lt;&gt;$O1476,0,IF(P1476&lt;Matchup!$B$39,7,IF(P1476&lt;Matchup!$B$39+Matchup!$B$40,3,0)))</f>
        <v>0</v>
      </c>
      <c r="S1476" s="0" t="n">
        <f aca="false">IF($I1476&lt;&gt;$O1476,0,IF(Q1476&lt;Matchup!$C$39,7,IF(Q1476&lt;Matchup!$C$39+Matchup!$C$40,3,0)))</f>
        <v>0</v>
      </c>
      <c r="T1476" s="0" t="n">
        <f aca="false">I1476+R1476</f>
        <v>24</v>
      </c>
      <c r="U1476" s="0" t="n">
        <f aca="false">O1476+S1476</f>
        <v>42</v>
      </c>
      <c r="V1476" s="0" t="n">
        <f aca="false">T1476-U1476</f>
        <v>-18</v>
      </c>
      <c r="W1476" s="0" t="n">
        <f aca="false">T1476+U1476</f>
        <v>66</v>
      </c>
    </row>
    <row r="1477" customFormat="false" ht="15" hidden="false" customHeight="false" outlineLevel="0" collapsed="false">
      <c r="A1477" s="0" t="n">
        <v>1474</v>
      </c>
      <c r="B1477" s="0" t="n">
        <f aca="true">NORMINV(RAND(),1,Coefficients!$B$22)</f>
        <v>0.956934874956607</v>
      </c>
      <c r="C1477" s="0" t="n">
        <f aca="true">MEDIAN(8,16,ROUND(NORMINV(RAND(),Coefficients!$B$20,Coefficients!$B$21),0))</f>
        <v>12</v>
      </c>
      <c r="D1477" s="0" t="n">
        <f aca="true">CRITBINOM($C1477,MIN(0.75,Matchup!$B$39*$B1477),RAND())</f>
        <v>5</v>
      </c>
      <c r="E1477" s="0" t="n">
        <f aca="true">CRITBINOM(D1477,Coefficients!$B$30,RAND())</f>
        <v>0</v>
      </c>
      <c r="F1477" s="0" t="n">
        <f aca="true">CRITBINOM(E1477,Coefficients!$B$31,RAND())</f>
        <v>0</v>
      </c>
      <c r="G1477" s="0" t="n">
        <f aca="true">CRITBINOM(MAX(0,D1477-E1477),1-Coefficients!$B$32,RAND())</f>
        <v>0</v>
      </c>
      <c r="H1477" s="0" t="n">
        <f aca="true">CRITBINOM(MAX(0,$C1477-D1477),MIN(0.6,Matchup!$B$40*SQRT($B1477)/(1-MIN(0.75,Matchup!$B$39*$B1477))),RAND())</f>
        <v>0</v>
      </c>
      <c r="I1477" s="0" t="n">
        <f aca="false">6*D1477+(D1477-E1477-G1477)+2*F1477+3*H1477</f>
        <v>35</v>
      </c>
      <c r="J1477" s="0" t="n">
        <f aca="true">CRITBINOM($C1477,MIN(0.75,Matchup!$C$39*$B1477),RAND())</f>
        <v>2</v>
      </c>
      <c r="K1477" s="0" t="n">
        <f aca="true">CRITBINOM(J1477,Coefficients!$B$30,RAND())</f>
        <v>1</v>
      </c>
      <c r="L1477" s="0" t="n">
        <f aca="true">CRITBINOM(K1477,Coefficients!$B$31,RAND())</f>
        <v>1</v>
      </c>
      <c r="M1477" s="0" t="n">
        <f aca="true">CRITBINOM(MAX(0,J1477-K1477),1-Coefficients!$B$32,RAND())</f>
        <v>0</v>
      </c>
      <c r="N1477" s="0" t="n">
        <f aca="true">CRITBINOM(MAX(0,$C1477-J1477),MIN(0.6,Matchup!$C$40*SQRT($B1477)/(1-MIN(0.75,Matchup!$C$39*$B1477))),RAND())</f>
        <v>1</v>
      </c>
      <c r="O1477" s="0" t="n">
        <f aca="false">6*J1477+(J1477-K1477-M1477)+2*L1477+3*N1477</f>
        <v>18</v>
      </c>
      <c r="P1477" s="0" t="n">
        <f aca="true">RAND()</f>
        <v>0.759409875104303</v>
      </c>
      <c r="Q1477" s="0" t="n">
        <f aca="true">RAND()</f>
        <v>0.377692191013739</v>
      </c>
      <c r="R1477" s="0" t="n">
        <f aca="false">IF($I1477&lt;&gt;$O1477,0,IF(P1477&lt;Matchup!$B$39,7,IF(P1477&lt;Matchup!$B$39+Matchup!$B$40,3,0)))</f>
        <v>0</v>
      </c>
      <c r="S1477" s="0" t="n">
        <f aca="false">IF($I1477&lt;&gt;$O1477,0,IF(Q1477&lt;Matchup!$C$39,7,IF(Q1477&lt;Matchup!$C$39+Matchup!$C$40,3,0)))</f>
        <v>0</v>
      </c>
      <c r="T1477" s="0" t="n">
        <f aca="false">I1477+R1477</f>
        <v>35</v>
      </c>
      <c r="U1477" s="0" t="n">
        <f aca="false">O1477+S1477</f>
        <v>18</v>
      </c>
      <c r="V1477" s="0" t="n">
        <f aca="false">T1477-U1477</f>
        <v>17</v>
      </c>
      <c r="W1477" s="0" t="n">
        <f aca="false">T1477+U1477</f>
        <v>53</v>
      </c>
    </row>
    <row r="1478" customFormat="false" ht="15" hidden="false" customHeight="false" outlineLevel="0" collapsed="false">
      <c r="A1478" s="0" t="n">
        <v>1475</v>
      </c>
      <c r="B1478" s="0" t="n">
        <f aca="true">NORMINV(RAND(),1,Coefficients!$B$22)</f>
        <v>1.08292331822936</v>
      </c>
      <c r="C1478" s="0" t="n">
        <f aca="true">MEDIAN(8,16,ROUND(NORMINV(RAND(),Coefficients!$B$20,Coefficients!$B$21),0))</f>
        <v>11</v>
      </c>
      <c r="D1478" s="0" t="n">
        <f aca="true">CRITBINOM($C1478,MIN(0.75,Matchup!$B$39*$B1478),RAND())</f>
        <v>4</v>
      </c>
      <c r="E1478" s="0" t="n">
        <f aca="true">CRITBINOM(D1478,Coefficients!$B$30,RAND())</f>
        <v>1</v>
      </c>
      <c r="F1478" s="0" t="n">
        <f aca="true">CRITBINOM(E1478,Coefficients!$B$31,RAND())</f>
        <v>0</v>
      </c>
      <c r="G1478" s="0" t="n">
        <f aca="true">CRITBINOM(MAX(0,D1478-E1478),1-Coefficients!$B$32,RAND())</f>
        <v>0</v>
      </c>
      <c r="H1478" s="0" t="n">
        <f aca="true">CRITBINOM(MAX(0,$C1478-D1478),MIN(0.6,Matchup!$B$40*SQRT($B1478)/(1-MIN(0.75,Matchup!$B$39*$B1478))),RAND())</f>
        <v>3</v>
      </c>
      <c r="I1478" s="0" t="n">
        <f aca="false">6*D1478+(D1478-E1478-G1478)+2*F1478+3*H1478</f>
        <v>36</v>
      </c>
      <c r="J1478" s="0" t="n">
        <f aca="true">CRITBINOM($C1478,MIN(0.75,Matchup!$C$39*$B1478),RAND())</f>
        <v>1</v>
      </c>
      <c r="K1478" s="0" t="n">
        <f aca="true">CRITBINOM(J1478,Coefficients!$B$30,RAND())</f>
        <v>0</v>
      </c>
      <c r="L1478" s="0" t="n">
        <f aca="true">CRITBINOM(K1478,Coefficients!$B$31,RAND())</f>
        <v>0</v>
      </c>
      <c r="M1478" s="0" t="n">
        <f aca="true">CRITBINOM(MAX(0,J1478-K1478),1-Coefficients!$B$32,RAND())</f>
        <v>0</v>
      </c>
      <c r="N1478" s="0" t="n">
        <f aca="true">CRITBINOM(MAX(0,$C1478-J1478),MIN(0.6,Matchup!$C$40*SQRT($B1478)/(1-MIN(0.75,Matchup!$C$39*$B1478))),RAND())</f>
        <v>1</v>
      </c>
      <c r="O1478" s="0" t="n">
        <f aca="false">6*J1478+(J1478-K1478-M1478)+2*L1478+3*N1478</f>
        <v>10</v>
      </c>
      <c r="P1478" s="0" t="n">
        <f aca="true">RAND()</f>
        <v>0.346580758174133</v>
      </c>
      <c r="Q1478" s="0" t="n">
        <f aca="true">RAND()</f>
        <v>0.941624331272362</v>
      </c>
      <c r="R1478" s="0" t="n">
        <f aca="false">IF($I1478&lt;&gt;$O1478,0,IF(P1478&lt;Matchup!$B$39,7,IF(P1478&lt;Matchup!$B$39+Matchup!$B$40,3,0)))</f>
        <v>0</v>
      </c>
      <c r="S1478" s="0" t="n">
        <f aca="false">IF($I1478&lt;&gt;$O1478,0,IF(Q1478&lt;Matchup!$C$39,7,IF(Q1478&lt;Matchup!$C$39+Matchup!$C$40,3,0)))</f>
        <v>0</v>
      </c>
      <c r="T1478" s="0" t="n">
        <f aca="false">I1478+R1478</f>
        <v>36</v>
      </c>
      <c r="U1478" s="0" t="n">
        <f aca="false">O1478+S1478</f>
        <v>10</v>
      </c>
      <c r="V1478" s="0" t="n">
        <f aca="false">T1478-U1478</f>
        <v>26</v>
      </c>
      <c r="W1478" s="0" t="n">
        <f aca="false">T1478+U1478</f>
        <v>46</v>
      </c>
    </row>
    <row r="1479" customFormat="false" ht="15" hidden="false" customHeight="false" outlineLevel="0" collapsed="false">
      <c r="A1479" s="0" t="n">
        <v>1476</v>
      </c>
      <c r="B1479" s="0" t="n">
        <f aca="true">NORMINV(RAND(),1,Coefficients!$B$22)</f>
        <v>0.952132015334494</v>
      </c>
      <c r="C1479" s="0" t="n">
        <f aca="true">MEDIAN(8,16,ROUND(NORMINV(RAND(),Coefficients!$B$20,Coefficients!$B$21),0))</f>
        <v>12</v>
      </c>
      <c r="D1479" s="0" t="n">
        <f aca="true">CRITBINOM($C1479,MIN(0.75,Matchup!$B$39*$B1479),RAND())</f>
        <v>3</v>
      </c>
      <c r="E1479" s="0" t="n">
        <f aca="true">CRITBINOM(D1479,Coefficients!$B$30,RAND())</f>
        <v>0</v>
      </c>
      <c r="F1479" s="0" t="n">
        <f aca="true">CRITBINOM(E1479,Coefficients!$B$31,RAND())</f>
        <v>0</v>
      </c>
      <c r="G1479" s="0" t="n">
        <f aca="true">CRITBINOM(MAX(0,D1479-E1479),1-Coefficients!$B$32,RAND())</f>
        <v>1</v>
      </c>
      <c r="H1479" s="0" t="n">
        <f aca="true">CRITBINOM(MAX(0,$C1479-D1479),MIN(0.6,Matchup!$B$40*SQRT($B1479)/(1-MIN(0.75,Matchup!$B$39*$B1479))),RAND())</f>
        <v>1</v>
      </c>
      <c r="I1479" s="0" t="n">
        <f aca="false">6*D1479+(D1479-E1479-G1479)+2*F1479+3*H1479</f>
        <v>23</v>
      </c>
      <c r="J1479" s="0" t="n">
        <f aca="true">CRITBINOM($C1479,MIN(0.75,Matchup!$C$39*$B1479),RAND())</f>
        <v>2</v>
      </c>
      <c r="K1479" s="0" t="n">
        <f aca="true">CRITBINOM(J1479,Coefficients!$B$30,RAND())</f>
        <v>0</v>
      </c>
      <c r="L1479" s="0" t="n">
        <f aca="true">CRITBINOM(K1479,Coefficients!$B$31,RAND())</f>
        <v>0</v>
      </c>
      <c r="M1479" s="0" t="n">
        <f aca="true">CRITBINOM(MAX(0,J1479-K1479),1-Coefficients!$B$32,RAND())</f>
        <v>0</v>
      </c>
      <c r="N1479" s="0" t="n">
        <f aca="true">CRITBINOM(MAX(0,$C1479-J1479),MIN(0.6,Matchup!$C$40*SQRT($B1479)/(1-MIN(0.75,Matchup!$C$39*$B1479))),RAND())</f>
        <v>2</v>
      </c>
      <c r="O1479" s="0" t="n">
        <f aca="false">6*J1479+(J1479-K1479-M1479)+2*L1479+3*N1479</f>
        <v>20</v>
      </c>
      <c r="P1479" s="0" t="n">
        <f aca="true">RAND()</f>
        <v>0.498951562818133</v>
      </c>
      <c r="Q1479" s="0" t="n">
        <f aca="true">RAND()</f>
        <v>0.560969203067773</v>
      </c>
      <c r="R1479" s="0" t="n">
        <f aca="false">IF($I1479&lt;&gt;$O1479,0,IF(P1479&lt;Matchup!$B$39,7,IF(P1479&lt;Matchup!$B$39+Matchup!$B$40,3,0)))</f>
        <v>0</v>
      </c>
      <c r="S1479" s="0" t="n">
        <f aca="false">IF($I1479&lt;&gt;$O1479,0,IF(Q1479&lt;Matchup!$C$39,7,IF(Q1479&lt;Matchup!$C$39+Matchup!$C$40,3,0)))</f>
        <v>0</v>
      </c>
      <c r="T1479" s="0" t="n">
        <f aca="false">I1479+R1479</f>
        <v>23</v>
      </c>
      <c r="U1479" s="0" t="n">
        <f aca="false">O1479+S1479</f>
        <v>20</v>
      </c>
      <c r="V1479" s="0" t="n">
        <f aca="false">T1479-U1479</f>
        <v>3</v>
      </c>
      <c r="W1479" s="0" t="n">
        <f aca="false">T1479+U1479</f>
        <v>43</v>
      </c>
    </row>
    <row r="1480" customFormat="false" ht="15" hidden="false" customHeight="false" outlineLevel="0" collapsed="false">
      <c r="A1480" s="0" t="n">
        <v>1477</v>
      </c>
      <c r="B1480" s="0" t="n">
        <f aca="true">NORMINV(RAND(),1,Coefficients!$B$22)</f>
        <v>0.969844323997142</v>
      </c>
      <c r="C1480" s="0" t="n">
        <f aca="true">MEDIAN(8,16,ROUND(NORMINV(RAND(),Coefficients!$B$20,Coefficients!$B$21),0))</f>
        <v>12</v>
      </c>
      <c r="D1480" s="0" t="n">
        <f aca="true">CRITBINOM($C1480,MIN(0.75,Matchup!$B$39*$B1480),RAND())</f>
        <v>3</v>
      </c>
      <c r="E1480" s="0" t="n">
        <f aca="true">CRITBINOM(D1480,Coefficients!$B$30,RAND())</f>
        <v>0</v>
      </c>
      <c r="F1480" s="0" t="n">
        <f aca="true">CRITBINOM(E1480,Coefficients!$B$31,RAND())</f>
        <v>0</v>
      </c>
      <c r="G1480" s="0" t="n">
        <f aca="true">CRITBINOM(MAX(0,D1480-E1480),1-Coefficients!$B$32,RAND())</f>
        <v>0</v>
      </c>
      <c r="H1480" s="0" t="n">
        <f aca="true">CRITBINOM(MAX(0,$C1480-D1480),MIN(0.6,Matchup!$B$40*SQRT($B1480)/(1-MIN(0.75,Matchup!$B$39*$B1480))),RAND())</f>
        <v>1</v>
      </c>
      <c r="I1480" s="0" t="n">
        <f aca="false">6*D1480+(D1480-E1480-G1480)+2*F1480+3*H1480</f>
        <v>24</v>
      </c>
      <c r="J1480" s="0" t="n">
        <f aca="true">CRITBINOM($C1480,MIN(0.75,Matchup!$C$39*$B1480),RAND())</f>
        <v>5</v>
      </c>
      <c r="K1480" s="0" t="n">
        <f aca="true">CRITBINOM(J1480,Coefficients!$B$30,RAND())</f>
        <v>1</v>
      </c>
      <c r="L1480" s="0" t="n">
        <f aca="true">CRITBINOM(K1480,Coefficients!$B$31,RAND())</f>
        <v>0</v>
      </c>
      <c r="M1480" s="0" t="n">
        <f aca="true">CRITBINOM(MAX(0,J1480-K1480),1-Coefficients!$B$32,RAND())</f>
        <v>0</v>
      </c>
      <c r="N1480" s="0" t="n">
        <f aca="true">CRITBINOM(MAX(0,$C1480-J1480),MIN(0.6,Matchup!$C$40*SQRT($B1480)/(1-MIN(0.75,Matchup!$C$39*$B1480))),RAND())</f>
        <v>1</v>
      </c>
      <c r="O1480" s="0" t="n">
        <f aca="false">6*J1480+(J1480-K1480-M1480)+2*L1480+3*N1480</f>
        <v>37</v>
      </c>
      <c r="P1480" s="0" t="n">
        <f aca="true">RAND()</f>
        <v>0.981263487656144</v>
      </c>
      <c r="Q1480" s="0" t="n">
        <f aca="true">RAND()</f>
        <v>0.0208572673345528</v>
      </c>
      <c r="R1480" s="0" t="n">
        <f aca="false">IF($I1480&lt;&gt;$O1480,0,IF(P1480&lt;Matchup!$B$39,7,IF(P1480&lt;Matchup!$B$39+Matchup!$B$40,3,0)))</f>
        <v>0</v>
      </c>
      <c r="S1480" s="0" t="n">
        <f aca="false">IF($I1480&lt;&gt;$O1480,0,IF(Q1480&lt;Matchup!$C$39,7,IF(Q1480&lt;Matchup!$C$39+Matchup!$C$40,3,0)))</f>
        <v>0</v>
      </c>
      <c r="T1480" s="0" t="n">
        <f aca="false">I1480+R1480</f>
        <v>24</v>
      </c>
      <c r="U1480" s="0" t="n">
        <f aca="false">O1480+S1480</f>
        <v>37</v>
      </c>
      <c r="V1480" s="0" t="n">
        <f aca="false">T1480-U1480</f>
        <v>-13</v>
      </c>
      <c r="W1480" s="0" t="n">
        <f aca="false">T1480+U1480</f>
        <v>61</v>
      </c>
    </row>
    <row r="1481" customFormat="false" ht="15" hidden="false" customHeight="false" outlineLevel="0" collapsed="false">
      <c r="A1481" s="0" t="n">
        <v>1478</v>
      </c>
      <c r="B1481" s="0" t="n">
        <f aca="true">NORMINV(RAND(),1,Coefficients!$B$22)</f>
        <v>0.975170299188008</v>
      </c>
      <c r="C1481" s="0" t="n">
        <f aca="true">MEDIAN(8,16,ROUND(NORMINV(RAND(),Coefficients!$B$20,Coefficients!$B$21),0))</f>
        <v>12</v>
      </c>
      <c r="D1481" s="0" t="n">
        <f aca="true">CRITBINOM($C1481,MIN(0.75,Matchup!$B$39*$B1481),RAND())</f>
        <v>1</v>
      </c>
      <c r="E1481" s="0" t="n">
        <f aca="true">CRITBINOM(D1481,Coefficients!$B$30,RAND())</f>
        <v>0</v>
      </c>
      <c r="F1481" s="0" t="n">
        <f aca="true">CRITBINOM(E1481,Coefficients!$B$31,RAND())</f>
        <v>0</v>
      </c>
      <c r="G1481" s="0" t="n">
        <f aca="true">CRITBINOM(MAX(0,D1481-E1481),1-Coefficients!$B$32,RAND())</f>
        <v>0</v>
      </c>
      <c r="H1481" s="0" t="n">
        <f aca="true">CRITBINOM(MAX(0,$C1481-D1481),MIN(0.6,Matchup!$B$40*SQRT($B1481)/(1-MIN(0.75,Matchup!$B$39*$B1481))),RAND())</f>
        <v>3</v>
      </c>
      <c r="I1481" s="0" t="n">
        <f aca="false">6*D1481+(D1481-E1481-G1481)+2*F1481+3*H1481</f>
        <v>16</v>
      </c>
      <c r="J1481" s="0" t="n">
        <f aca="true">CRITBINOM($C1481,MIN(0.75,Matchup!$C$39*$B1481),RAND())</f>
        <v>3</v>
      </c>
      <c r="K1481" s="0" t="n">
        <f aca="true">CRITBINOM(J1481,Coefficients!$B$30,RAND())</f>
        <v>1</v>
      </c>
      <c r="L1481" s="0" t="n">
        <f aca="true">CRITBINOM(K1481,Coefficients!$B$31,RAND())</f>
        <v>1</v>
      </c>
      <c r="M1481" s="0" t="n">
        <f aca="true">CRITBINOM(MAX(0,J1481-K1481),1-Coefficients!$B$32,RAND())</f>
        <v>0</v>
      </c>
      <c r="N1481" s="0" t="n">
        <f aca="true">CRITBINOM(MAX(0,$C1481-J1481),MIN(0.6,Matchup!$C$40*SQRT($B1481)/(1-MIN(0.75,Matchup!$C$39*$B1481))),RAND())</f>
        <v>0</v>
      </c>
      <c r="O1481" s="0" t="n">
        <f aca="false">6*J1481+(J1481-K1481-M1481)+2*L1481+3*N1481</f>
        <v>22</v>
      </c>
      <c r="P1481" s="0" t="n">
        <f aca="true">RAND()</f>
        <v>0.192001493108052</v>
      </c>
      <c r="Q1481" s="0" t="n">
        <f aca="true">RAND()</f>
        <v>0.448799133201392</v>
      </c>
      <c r="R1481" s="0" t="n">
        <f aca="false">IF($I1481&lt;&gt;$O1481,0,IF(P1481&lt;Matchup!$B$39,7,IF(P1481&lt;Matchup!$B$39+Matchup!$B$40,3,0)))</f>
        <v>0</v>
      </c>
      <c r="S1481" s="0" t="n">
        <f aca="false">IF($I1481&lt;&gt;$O1481,0,IF(Q1481&lt;Matchup!$C$39,7,IF(Q1481&lt;Matchup!$C$39+Matchup!$C$40,3,0)))</f>
        <v>0</v>
      </c>
      <c r="T1481" s="0" t="n">
        <f aca="false">I1481+R1481</f>
        <v>16</v>
      </c>
      <c r="U1481" s="0" t="n">
        <f aca="false">O1481+S1481</f>
        <v>22</v>
      </c>
      <c r="V1481" s="0" t="n">
        <f aca="false">T1481-U1481</f>
        <v>-6</v>
      </c>
      <c r="W1481" s="0" t="n">
        <f aca="false">T1481+U1481</f>
        <v>38</v>
      </c>
    </row>
    <row r="1482" customFormat="false" ht="15" hidden="false" customHeight="false" outlineLevel="0" collapsed="false">
      <c r="A1482" s="0" t="n">
        <v>1479</v>
      </c>
      <c r="B1482" s="0" t="n">
        <f aca="true">NORMINV(RAND(),1,Coefficients!$B$22)</f>
        <v>0.952760707249181</v>
      </c>
      <c r="C1482" s="0" t="n">
        <f aca="true">MEDIAN(8,16,ROUND(NORMINV(RAND(),Coefficients!$B$20,Coefficients!$B$21),0))</f>
        <v>11</v>
      </c>
      <c r="D1482" s="0" t="n">
        <f aca="true">CRITBINOM($C1482,MIN(0.75,Matchup!$B$39*$B1482),RAND())</f>
        <v>3</v>
      </c>
      <c r="E1482" s="0" t="n">
        <f aca="true">CRITBINOM(D1482,Coefficients!$B$30,RAND())</f>
        <v>0</v>
      </c>
      <c r="F1482" s="0" t="n">
        <f aca="true">CRITBINOM(E1482,Coefficients!$B$31,RAND())</f>
        <v>0</v>
      </c>
      <c r="G1482" s="0" t="n">
        <f aca="true">CRITBINOM(MAX(0,D1482-E1482),1-Coefficients!$B$32,RAND())</f>
        <v>1</v>
      </c>
      <c r="H1482" s="0" t="n">
        <f aca="true">CRITBINOM(MAX(0,$C1482-D1482),MIN(0.6,Matchup!$B$40*SQRT($B1482)/(1-MIN(0.75,Matchup!$B$39*$B1482))),RAND())</f>
        <v>1</v>
      </c>
      <c r="I1482" s="0" t="n">
        <f aca="false">6*D1482+(D1482-E1482-G1482)+2*F1482+3*H1482</f>
        <v>23</v>
      </c>
      <c r="J1482" s="0" t="n">
        <f aca="true">CRITBINOM($C1482,MIN(0.75,Matchup!$C$39*$B1482),RAND())</f>
        <v>2</v>
      </c>
      <c r="K1482" s="0" t="n">
        <f aca="true">CRITBINOM(J1482,Coefficients!$B$30,RAND())</f>
        <v>0</v>
      </c>
      <c r="L1482" s="0" t="n">
        <f aca="true">CRITBINOM(K1482,Coefficients!$B$31,RAND())</f>
        <v>0</v>
      </c>
      <c r="M1482" s="0" t="n">
        <f aca="true">CRITBINOM(MAX(0,J1482-K1482),1-Coefficients!$B$32,RAND())</f>
        <v>0</v>
      </c>
      <c r="N1482" s="0" t="n">
        <f aca="true">CRITBINOM(MAX(0,$C1482-J1482),MIN(0.6,Matchup!$C$40*SQRT($B1482)/(1-MIN(0.75,Matchup!$C$39*$B1482))),RAND())</f>
        <v>2</v>
      </c>
      <c r="O1482" s="0" t="n">
        <f aca="false">6*J1482+(J1482-K1482-M1482)+2*L1482+3*N1482</f>
        <v>20</v>
      </c>
      <c r="P1482" s="0" t="n">
        <f aca="true">RAND()</f>
        <v>0.421800656647059</v>
      </c>
      <c r="Q1482" s="0" t="n">
        <f aca="true">RAND()</f>
        <v>0.476079100622832</v>
      </c>
      <c r="R1482" s="0" t="n">
        <f aca="false">IF($I1482&lt;&gt;$O1482,0,IF(P1482&lt;Matchup!$B$39,7,IF(P1482&lt;Matchup!$B$39+Matchup!$B$40,3,0)))</f>
        <v>0</v>
      </c>
      <c r="S1482" s="0" t="n">
        <f aca="false">IF($I1482&lt;&gt;$O1482,0,IF(Q1482&lt;Matchup!$C$39,7,IF(Q1482&lt;Matchup!$C$39+Matchup!$C$40,3,0)))</f>
        <v>0</v>
      </c>
      <c r="T1482" s="0" t="n">
        <f aca="false">I1482+R1482</f>
        <v>23</v>
      </c>
      <c r="U1482" s="0" t="n">
        <f aca="false">O1482+S1482</f>
        <v>20</v>
      </c>
      <c r="V1482" s="0" t="n">
        <f aca="false">T1482-U1482</f>
        <v>3</v>
      </c>
      <c r="W1482" s="0" t="n">
        <f aca="false">T1482+U1482</f>
        <v>43</v>
      </c>
    </row>
    <row r="1483" customFormat="false" ht="15" hidden="false" customHeight="false" outlineLevel="0" collapsed="false">
      <c r="A1483" s="0" t="n">
        <v>1480</v>
      </c>
      <c r="B1483" s="0" t="n">
        <f aca="true">NORMINV(RAND(),1,Coefficients!$B$22)</f>
        <v>1.06224979119308</v>
      </c>
      <c r="C1483" s="0" t="n">
        <f aca="true">MEDIAN(8,16,ROUND(NORMINV(RAND(),Coefficients!$B$20,Coefficients!$B$21),0))</f>
        <v>11</v>
      </c>
      <c r="D1483" s="0" t="n">
        <f aca="true">CRITBINOM($C1483,MIN(0.75,Matchup!$B$39*$B1483),RAND())</f>
        <v>2</v>
      </c>
      <c r="E1483" s="0" t="n">
        <f aca="true">CRITBINOM(D1483,Coefficients!$B$30,RAND())</f>
        <v>0</v>
      </c>
      <c r="F1483" s="0" t="n">
        <f aca="true">CRITBINOM(E1483,Coefficients!$B$31,RAND())</f>
        <v>0</v>
      </c>
      <c r="G1483" s="0" t="n">
        <f aca="true">CRITBINOM(MAX(0,D1483-E1483),1-Coefficients!$B$32,RAND())</f>
        <v>1</v>
      </c>
      <c r="H1483" s="0" t="n">
        <f aca="true">CRITBINOM(MAX(0,$C1483-D1483),MIN(0.6,Matchup!$B$40*SQRT($B1483)/(1-MIN(0.75,Matchup!$B$39*$B1483))),RAND())</f>
        <v>3</v>
      </c>
      <c r="I1483" s="0" t="n">
        <f aca="false">6*D1483+(D1483-E1483-G1483)+2*F1483+3*H1483</f>
        <v>22</v>
      </c>
      <c r="J1483" s="0" t="n">
        <f aca="true">CRITBINOM($C1483,MIN(0.75,Matchup!$C$39*$B1483),RAND())</f>
        <v>5</v>
      </c>
      <c r="K1483" s="0" t="n">
        <f aca="true">CRITBINOM(J1483,Coefficients!$B$30,RAND())</f>
        <v>0</v>
      </c>
      <c r="L1483" s="0" t="n">
        <f aca="true">CRITBINOM(K1483,Coefficients!$B$31,RAND())</f>
        <v>0</v>
      </c>
      <c r="M1483" s="0" t="n">
        <f aca="true">CRITBINOM(MAX(0,J1483-K1483),1-Coefficients!$B$32,RAND())</f>
        <v>0</v>
      </c>
      <c r="N1483" s="0" t="n">
        <f aca="true">CRITBINOM(MAX(0,$C1483-J1483),MIN(0.6,Matchup!$C$40*SQRT($B1483)/(1-MIN(0.75,Matchup!$C$39*$B1483))),RAND())</f>
        <v>3</v>
      </c>
      <c r="O1483" s="0" t="n">
        <f aca="false">6*J1483+(J1483-K1483-M1483)+2*L1483+3*N1483</f>
        <v>44</v>
      </c>
      <c r="P1483" s="0" t="n">
        <f aca="true">RAND()</f>
        <v>0.472440705688326</v>
      </c>
      <c r="Q1483" s="0" t="n">
        <f aca="true">RAND()</f>
        <v>0.348295140878546</v>
      </c>
      <c r="R1483" s="0" t="n">
        <f aca="false">IF($I1483&lt;&gt;$O1483,0,IF(P1483&lt;Matchup!$B$39,7,IF(P1483&lt;Matchup!$B$39+Matchup!$B$40,3,0)))</f>
        <v>0</v>
      </c>
      <c r="S1483" s="0" t="n">
        <f aca="false">IF($I1483&lt;&gt;$O1483,0,IF(Q1483&lt;Matchup!$C$39,7,IF(Q1483&lt;Matchup!$C$39+Matchup!$C$40,3,0)))</f>
        <v>0</v>
      </c>
      <c r="T1483" s="0" t="n">
        <f aca="false">I1483+R1483</f>
        <v>22</v>
      </c>
      <c r="U1483" s="0" t="n">
        <f aca="false">O1483+S1483</f>
        <v>44</v>
      </c>
      <c r="V1483" s="0" t="n">
        <f aca="false">T1483-U1483</f>
        <v>-22</v>
      </c>
      <c r="W1483" s="0" t="n">
        <f aca="false">T1483+U1483</f>
        <v>66</v>
      </c>
    </row>
    <row r="1484" customFormat="false" ht="15" hidden="false" customHeight="false" outlineLevel="0" collapsed="false">
      <c r="A1484" s="0" t="n">
        <v>1481</v>
      </c>
      <c r="B1484" s="0" t="n">
        <f aca="true">NORMINV(RAND(),1,Coefficients!$B$22)</f>
        <v>0.996565381758443</v>
      </c>
      <c r="C1484" s="0" t="n">
        <f aca="true">MEDIAN(8,16,ROUND(NORMINV(RAND(),Coefficients!$B$20,Coefficients!$B$21),0))</f>
        <v>8</v>
      </c>
      <c r="D1484" s="0" t="n">
        <f aca="true">CRITBINOM($C1484,MIN(0.75,Matchup!$B$39*$B1484),RAND())</f>
        <v>1</v>
      </c>
      <c r="E1484" s="0" t="n">
        <f aca="true">CRITBINOM(D1484,Coefficients!$B$30,RAND())</f>
        <v>0</v>
      </c>
      <c r="F1484" s="0" t="n">
        <f aca="true">CRITBINOM(E1484,Coefficients!$B$31,RAND())</f>
        <v>0</v>
      </c>
      <c r="G1484" s="0" t="n">
        <f aca="true">CRITBINOM(MAX(0,D1484-E1484),1-Coefficients!$B$32,RAND())</f>
        <v>0</v>
      </c>
      <c r="H1484" s="0" t="n">
        <f aca="true">CRITBINOM(MAX(0,$C1484-D1484),MIN(0.6,Matchup!$B$40*SQRT($B1484)/(1-MIN(0.75,Matchup!$B$39*$B1484))),RAND())</f>
        <v>0</v>
      </c>
      <c r="I1484" s="0" t="n">
        <f aca="false">6*D1484+(D1484-E1484-G1484)+2*F1484+3*H1484</f>
        <v>7</v>
      </c>
      <c r="J1484" s="0" t="n">
        <f aca="true">CRITBINOM($C1484,MIN(0.75,Matchup!$C$39*$B1484),RAND())</f>
        <v>4</v>
      </c>
      <c r="K1484" s="0" t="n">
        <f aca="true">CRITBINOM(J1484,Coefficients!$B$30,RAND())</f>
        <v>0</v>
      </c>
      <c r="L1484" s="0" t="n">
        <f aca="true">CRITBINOM(K1484,Coefficients!$B$31,RAND())</f>
        <v>0</v>
      </c>
      <c r="M1484" s="0" t="n">
        <f aca="true">CRITBINOM(MAX(0,J1484-K1484),1-Coefficients!$B$32,RAND())</f>
        <v>0</v>
      </c>
      <c r="N1484" s="0" t="n">
        <f aca="true">CRITBINOM(MAX(0,$C1484-J1484),MIN(0.6,Matchup!$C$40*SQRT($B1484)/(1-MIN(0.75,Matchup!$C$39*$B1484))),RAND())</f>
        <v>1</v>
      </c>
      <c r="O1484" s="0" t="n">
        <f aca="false">6*J1484+(J1484-K1484-M1484)+2*L1484+3*N1484</f>
        <v>31</v>
      </c>
      <c r="P1484" s="0" t="n">
        <f aca="true">RAND()</f>
        <v>0.763733921220755</v>
      </c>
      <c r="Q1484" s="0" t="n">
        <f aca="true">RAND()</f>
        <v>0.368977744318279</v>
      </c>
      <c r="R1484" s="0" t="n">
        <f aca="false">IF($I1484&lt;&gt;$O1484,0,IF(P1484&lt;Matchup!$B$39,7,IF(P1484&lt;Matchup!$B$39+Matchup!$B$40,3,0)))</f>
        <v>0</v>
      </c>
      <c r="S1484" s="0" t="n">
        <f aca="false">IF($I1484&lt;&gt;$O1484,0,IF(Q1484&lt;Matchup!$C$39,7,IF(Q1484&lt;Matchup!$C$39+Matchup!$C$40,3,0)))</f>
        <v>0</v>
      </c>
      <c r="T1484" s="0" t="n">
        <f aca="false">I1484+R1484</f>
        <v>7</v>
      </c>
      <c r="U1484" s="0" t="n">
        <f aca="false">O1484+S1484</f>
        <v>31</v>
      </c>
      <c r="V1484" s="0" t="n">
        <f aca="false">T1484-U1484</f>
        <v>-24</v>
      </c>
      <c r="W1484" s="0" t="n">
        <f aca="false">T1484+U1484</f>
        <v>38</v>
      </c>
    </row>
    <row r="1485" customFormat="false" ht="15" hidden="false" customHeight="false" outlineLevel="0" collapsed="false">
      <c r="A1485" s="0" t="n">
        <v>1482</v>
      </c>
      <c r="B1485" s="0" t="n">
        <f aca="true">NORMINV(RAND(),1,Coefficients!$B$22)</f>
        <v>0.989122268648196</v>
      </c>
      <c r="C1485" s="0" t="n">
        <f aca="true">MEDIAN(8,16,ROUND(NORMINV(RAND(),Coefficients!$B$20,Coefficients!$B$21),0))</f>
        <v>12</v>
      </c>
      <c r="D1485" s="0" t="n">
        <f aca="true">CRITBINOM($C1485,MIN(0.75,Matchup!$B$39*$B1485),RAND())</f>
        <v>3</v>
      </c>
      <c r="E1485" s="0" t="n">
        <f aca="true">CRITBINOM(D1485,Coefficients!$B$30,RAND())</f>
        <v>0</v>
      </c>
      <c r="F1485" s="0" t="n">
        <f aca="true">CRITBINOM(E1485,Coefficients!$B$31,RAND())</f>
        <v>0</v>
      </c>
      <c r="G1485" s="0" t="n">
        <f aca="true">CRITBINOM(MAX(0,D1485-E1485),1-Coefficients!$B$32,RAND())</f>
        <v>0</v>
      </c>
      <c r="H1485" s="0" t="n">
        <f aca="true">CRITBINOM(MAX(0,$C1485-D1485),MIN(0.6,Matchup!$B$40*SQRT($B1485)/(1-MIN(0.75,Matchup!$B$39*$B1485))),RAND())</f>
        <v>0</v>
      </c>
      <c r="I1485" s="0" t="n">
        <f aca="false">6*D1485+(D1485-E1485-G1485)+2*F1485+3*H1485</f>
        <v>21</v>
      </c>
      <c r="J1485" s="0" t="n">
        <f aca="true">CRITBINOM($C1485,MIN(0.75,Matchup!$C$39*$B1485),RAND())</f>
        <v>1</v>
      </c>
      <c r="K1485" s="0" t="n">
        <f aca="true">CRITBINOM(J1485,Coefficients!$B$30,RAND())</f>
        <v>0</v>
      </c>
      <c r="L1485" s="0" t="n">
        <f aca="true">CRITBINOM(K1485,Coefficients!$B$31,RAND())</f>
        <v>0</v>
      </c>
      <c r="M1485" s="0" t="n">
        <f aca="true">CRITBINOM(MAX(0,J1485-K1485),1-Coefficients!$B$32,RAND())</f>
        <v>0</v>
      </c>
      <c r="N1485" s="0" t="n">
        <f aca="true">CRITBINOM(MAX(0,$C1485-J1485),MIN(0.6,Matchup!$C$40*SQRT($B1485)/(1-MIN(0.75,Matchup!$C$39*$B1485))),RAND())</f>
        <v>2</v>
      </c>
      <c r="O1485" s="0" t="n">
        <f aca="false">6*J1485+(J1485-K1485-M1485)+2*L1485+3*N1485</f>
        <v>13</v>
      </c>
      <c r="P1485" s="0" t="n">
        <f aca="true">RAND()</f>
        <v>0.918028179756416</v>
      </c>
      <c r="Q1485" s="0" t="n">
        <f aca="true">RAND()</f>
        <v>0.145176610230662</v>
      </c>
      <c r="R1485" s="0" t="n">
        <f aca="false">IF($I1485&lt;&gt;$O1485,0,IF(P1485&lt;Matchup!$B$39,7,IF(P1485&lt;Matchup!$B$39+Matchup!$B$40,3,0)))</f>
        <v>0</v>
      </c>
      <c r="S1485" s="0" t="n">
        <f aca="false">IF($I1485&lt;&gt;$O1485,0,IF(Q1485&lt;Matchup!$C$39,7,IF(Q1485&lt;Matchup!$C$39+Matchup!$C$40,3,0)))</f>
        <v>0</v>
      </c>
      <c r="T1485" s="0" t="n">
        <f aca="false">I1485+R1485</f>
        <v>21</v>
      </c>
      <c r="U1485" s="0" t="n">
        <f aca="false">O1485+S1485</f>
        <v>13</v>
      </c>
      <c r="V1485" s="0" t="n">
        <f aca="false">T1485-U1485</f>
        <v>8</v>
      </c>
      <c r="W1485" s="0" t="n">
        <f aca="false">T1485+U1485</f>
        <v>34</v>
      </c>
    </row>
    <row r="1486" customFormat="false" ht="15" hidden="false" customHeight="false" outlineLevel="0" collapsed="false">
      <c r="A1486" s="0" t="n">
        <v>1483</v>
      </c>
      <c r="B1486" s="0" t="n">
        <f aca="true">NORMINV(RAND(),1,Coefficients!$B$22)</f>
        <v>0.826944769329107</v>
      </c>
      <c r="C1486" s="0" t="n">
        <f aca="true">MEDIAN(8,16,ROUND(NORMINV(RAND(),Coefficients!$B$20,Coefficients!$B$21),0))</f>
        <v>12</v>
      </c>
      <c r="D1486" s="0" t="n">
        <f aca="true">CRITBINOM($C1486,MIN(0.75,Matchup!$B$39*$B1486),RAND())</f>
        <v>3</v>
      </c>
      <c r="E1486" s="0" t="n">
        <f aca="true">CRITBINOM(D1486,Coefficients!$B$30,RAND())</f>
        <v>0</v>
      </c>
      <c r="F1486" s="0" t="n">
        <f aca="true">CRITBINOM(E1486,Coefficients!$B$31,RAND())</f>
        <v>0</v>
      </c>
      <c r="G1486" s="0" t="n">
        <f aca="true">CRITBINOM(MAX(0,D1486-E1486),1-Coefficients!$B$32,RAND())</f>
        <v>0</v>
      </c>
      <c r="H1486" s="0" t="n">
        <f aca="true">CRITBINOM(MAX(0,$C1486-D1486),MIN(0.6,Matchup!$B$40*SQRT($B1486)/(1-MIN(0.75,Matchup!$B$39*$B1486))),RAND())</f>
        <v>2</v>
      </c>
      <c r="I1486" s="0" t="n">
        <f aca="false">6*D1486+(D1486-E1486-G1486)+2*F1486+3*H1486</f>
        <v>27</v>
      </c>
      <c r="J1486" s="0" t="n">
        <f aca="true">CRITBINOM($C1486,MIN(0.75,Matchup!$C$39*$B1486),RAND())</f>
        <v>2</v>
      </c>
      <c r="K1486" s="0" t="n">
        <f aca="true">CRITBINOM(J1486,Coefficients!$B$30,RAND())</f>
        <v>0</v>
      </c>
      <c r="L1486" s="0" t="n">
        <f aca="true">CRITBINOM(K1486,Coefficients!$B$31,RAND())</f>
        <v>0</v>
      </c>
      <c r="M1486" s="0" t="n">
        <f aca="true">CRITBINOM(MAX(0,J1486-K1486),1-Coefficients!$B$32,RAND())</f>
        <v>0</v>
      </c>
      <c r="N1486" s="0" t="n">
        <f aca="true">CRITBINOM(MAX(0,$C1486-J1486),MIN(0.6,Matchup!$C$40*SQRT($B1486)/(1-MIN(0.75,Matchup!$C$39*$B1486))),RAND())</f>
        <v>4</v>
      </c>
      <c r="O1486" s="0" t="n">
        <f aca="false">6*J1486+(J1486-K1486-M1486)+2*L1486+3*N1486</f>
        <v>26</v>
      </c>
      <c r="P1486" s="0" t="n">
        <f aca="true">RAND()</f>
        <v>0.624846328539407</v>
      </c>
      <c r="Q1486" s="0" t="n">
        <f aca="true">RAND()</f>
        <v>0.0281874161942215</v>
      </c>
      <c r="R1486" s="0" t="n">
        <f aca="false">IF($I1486&lt;&gt;$O1486,0,IF(P1486&lt;Matchup!$B$39,7,IF(P1486&lt;Matchup!$B$39+Matchup!$B$40,3,0)))</f>
        <v>0</v>
      </c>
      <c r="S1486" s="0" t="n">
        <f aca="false">IF($I1486&lt;&gt;$O1486,0,IF(Q1486&lt;Matchup!$C$39,7,IF(Q1486&lt;Matchup!$C$39+Matchup!$C$40,3,0)))</f>
        <v>0</v>
      </c>
      <c r="T1486" s="0" t="n">
        <f aca="false">I1486+R1486</f>
        <v>27</v>
      </c>
      <c r="U1486" s="0" t="n">
        <f aca="false">O1486+S1486</f>
        <v>26</v>
      </c>
      <c r="V1486" s="0" t="n">
        <f aca="false">T1486-U1486</f>
        <v>1</v>
      </c>
      <c r="W1486" s="0" t="n">
        <f aca="false">T1486+U1486</f>
        <v>53</v>
      </c>
    </row>
    <row r="1487" customFormat="false" ht="15" hidden="false" customHeight="false" outlineLevel="0" collapsed="false">
      <c r="A1487" s="0" t="n">
        <v>1484</v>
      </c>
      <c r="B1487" s="0" t="n">
        <f aca="true">NORMINV(RAND(),1,Coefficients!$B$22)</f>
        <v>1.04413018785527</v>
      </c>
      <c r="C1487" s="0" t="n">
        <f aca="true">MEDIAN(8,16,ROUND(NORMINV(RAND(),Coefficients!$B$20,Coefficients!$B$21),0))</f>
        <v>12</v>
      </c>
      <c r="D1487" s="0" t="n">
        <f aca="true">CRITBINOM($C1487,MIN(0.75,Matchup!$B$39*$B1487),RAND())</f>
        <v>3</v>
      </c>
      <c r="E1487" s="0" t="n">
        <f aca="true">CRITBINOM(D1487,Coefficients!$B$30,RAND())</f>
        <v>0</v>
      </c>
      <c r="F1487" s="0" t="n">
        <f aca="true">CRITBINOM(E1487,Coefficients!$B$31,RAND())</f>
        <v>0</v>
      </c>
      <c r="G1487" s="0" t="n">
        <f aca="true">CRITBINOM(MAX(0,D1487-E1487),1-Coefficients!$B$32,RAND())</f>
        <v>0</v>
      </c>
      <c r="H1487" s="0" t="n">
        <f aca="true">CRITBINOM(MAX(0,$C1487-D1487),MIN(0.6,Matchup!$B$40*SQRT($B1487)/(1-MIN(0.75,Matchup!$B$39*$B1487))),RAND())</f>
        <v>5</v>
      </c>
      <c r="I1487" s="0" t="n">
        <f aca="false">6*D1487+(D1487-E1487-G1487)+2*F1487+3*H1487</f>
        <v>36</v>
      </c>
      <c r="J1487" s="0" t="n">
        <f aca="true">CRITBINOM($C1487,MIN(0.75,Matchup!$C$39*$B1487),RAND())</f>
        <v>4</v>
      </c>
      <c r="K1487" s="0" t="n">
        <f aca="true">CRITBINOM(J1487,Coefficients!$B$30,RAND())</f>
        <v>1</v>
      </c>
      <c r="L1487" s="0" t="n">
        <f aca="true">CRITBINOM(K1487,Coefficients!$B$31,RAND())</f>
        <v>0</v>
      </c>
      <c r="M1487" s="0" t="n">
        <f aca="true">CRITBINOM(MAX(0,J1487-K1487),1-Coefficients!$B$32,RAND())</f>
        <v>0</v>
      </c>
      <c r="N1487" s="0" t="n">
        <f aca="true">CRITBINOM(MAX(0,$C1487-J1487),MIN(0.6,Matchup!$C$40*SQRT($B1487)/(1-MIN(0.75,Matchup!$C$39*$B1487))),RAND())</f>
        <v>2</v>
      </c>
      <c r="O1487" s="0" t="n">
        <f aca="false">6*J1487+(J1487-K1487-M1487)+2*L1487+3*N1487</f>
        <v>33</v>
      </c>
      <c r="P1487" s="0" t="n">
        <f aca="true">RAND()</f>
        <v>0.747771999201767</v>
      </c>
      <c r="Q1487" s="0" t="n">
        <f aca="true">RAND()</f>
        <v>0.877988142880004</v>
      </c>
      <c r="R1487" s="0" t="n">
        <f aca="false">IF($I1487&lt;&gt;$O1487,0,IF(P1487&lt;Matchup!$B$39,7,IF(P1487&lt;Matchup!$B$39+Matchup!$B$40,3,0)))</f>
        <v>0</v>
      </c>
      <c r="S1487" s="0" t="n">
        <f aca="false">IF($I1487&lt;&gt;$O1487,0,IF(Q1487&lt;Matchup!$C$39,7,IF(Q1487&lt;Matchup!$C$39+Matchup!$C$40,3,0)))</f>
        <v>0</v>
      </c>
      <c r="T1487" s="0" t="n">
        <f aca="false">I1487+R1487</f>
        <v>36</v>
      </c>
      <c r="U1487" s="0" t="n">
        <f aca="false">O1487+S1487</f>
        <v>33</v>
      </c>
      <c r="V1487" s="0" t="n">
        <f aca="false">T1487-U1487</f>
        <v>3</v>
      </c>
      <c r="W1487" s="0" t="n">
        <f aca="false">T1487+U1487</f>
        <v>69</v>
      </c>
    </row>
    <row r="1488" customFormat="false" ht="15" hidden="false" customHeight="false" outlineLevel="0" collapsed="false">
      <c r="A1488" s="0" t="n">
        <v>1485</v>
      </c>
      <c r="B1488" s="0" t="n">
        <f aca="true">NORMINV(RAND(),1,Coefficients!$B$22)</f>
        <v>1.04339100048098</v>
      </c>
      <c r="C1488" s="0" t="n">
        <f aca="true">MEDIAN(8,16,ROUND(NORMINV(RAND(),Coefficients!$B$20,Coefficients!$B$21),0))</f>
        <v>12</v>
      </c>
      <c r="D1488" s="0" t="n">
        <f aca="true">CRITBINOM($C1488,MIN(0.75,Matchup!$B$39*$B1488),RAND())</f>
        <v>4</v>
      </c>
      <c r="E1488" s="0" t="n">
        <f aca="true">CRITBINOM(D1488,Coefficients!$B$30,RAND())</f>
        <v>1</v>
      </c>
      <c r="F1488" s="0" t="n">
        <f aca="true">CRITBINOM(E1488,Coefficients!$B$31,RAND())</f>
        <v>0</v>
      </c>
      <c r="G1488" s="0" t="n">
        <f aca="true">CRITBINOM(MAX(0,D1488-E1488),1-Coefficients!$B$32,RAND())</f>
        <v>0</v>
      </c>
      <c r="H1488" s="0" t="n">
        <f aca="true">CRITBINOM(MAX(0,$C1488-D1488),MIN(0.6,Matchup!$B$40*SQRT($B1488)/(1-MIN(0.75,Matchup!$B$39*$B1488))),RAND())</f>
        <v>2</v>
      </c>
      <c r="I1488" s="0" t="n">
        <f aca="false">6*D1488+(D1488-E1488-G1488)+2*F1488+3*H1488</f>
        <v>33</v>
      </c>
      <c r="J1488" s="0" t="n">
        <f aca="true">CRITBINOM($C1488,MIN(0.75,Matchup!$C$39*$B1488),RAND())</f>
        <v>3</v>
      </c>
      <c r="K1488" s="0" t="n">
        <f aca="true">CRITBINOM(J1488,Coefficients!$B$30,RAND())</f>
        <v>0</v>
      </c>
      <c r="L1488" s="0" t="n">
        <f aca="true">CRITBINOM(K1488,Coefficients!$B$31,RAND())</f>
        <v>0</v>
      </c>
      <c r="M1488" s="0" t="n">
        <f aca="true">CRITBINOM(MAX(0,J1488-K1488),1-Coefficients!$B$32,RAND())</f>
        <v>0</v>
      </c>
      <c r="N1488" s="0" t="n">
        <f aca="true">CRITBINOM(MAX(0,$C1488-J1488),MIN(0.6,Matchup!$C$40*SQRT($B1488)/(1-MIN(0.75,Matchup!$C$39*$B1488))),RAND())</f>
        <v>0</v>
      </c>
      <c r="O1488" s="0" t="n">
        <f aca="false">6*J1488+(J1488-K1488-M1488)+2*L1488+3*N1488</f>
        <v>21</v>
      </c>
      <c r="P1488" s="0" t="n">
        <f aca="true">RAND()</f>
        <v>0.911759350707091</v>
      </c>
      <c r="Q1488" s="0" t="n">
        <f aca="true">RAND()</f>
        <v>0.104346364385634</v>
      </c>
      <c r="R1488" s="0" t="n">
        <f aca="false">IF($I1488&lt;&gt;$O1488,0,IF(P1488&lt;Matchup!$B$39,7,IF(P1488&lt;Matchup!$B$39+Matchup!$B$40,3,0)))</f>
        <v>0</v>
      </c>
      <c r="S1488" s="0" t="n">
        <f aca="false">IF($I1488&lt;&gt;$O1488,0,IF(Q1488&lt;Matchup!$C$39,7,IF(Q1488&lt;Matchup!$C$39+Matchup!$C$40,3,0)))</f>
        <v>0</v>
      </c>
      <c r="T1488" s="0" t="n">
        <f aca="false">I1488+R1488</f>
        <v>33</v>
      </c>
      <c r="U1488" s="0" t="n">
        <f aca="false">O1488+S1488</f>
        <v>21</v>
      </c>
      <c r="V1488" s="0" t="n">
        <f aca="false">T1488-U1488</f>
        <v>12</v>
      </c>
      <c r="W1488" s="0" t="n">
        <f aca="false">T1488+U1488</f>
        <v>54</v>
      </c>
    </row>
    <row r="1489" customFormat="false" ht="15" hidden="false" customHeight="false" outlineLevel="0" collapsed="false">
      <c r="A1489" s="0" t="n">
        <v>1486</v>
      </c>
      <c r="B1489" s="0" t="n">
        <f aca="true">NORMINV(RAND(),1,Coefficients!$B$22)</f>
        <v>0.927286095860728</v>
      </c>
      <c r="C1489" s="0" t="n">
        <f aca="true">MEDIAN(8,16,ROUND(NORMINV(RAND(),Coefficients!$B$20,Coefficients!$B$21),0))</f>
        <v>10</v>
      </c>
      <c r="D1489" s="0" t="n">
        <f aca="true">CRITBINOM($C1489,MIN(0.75,Matchup!$B$39*$B1489),RAND())</f>
        <v>1</v>
      </c>
      <c r="E1489" s="0" t="n">
        <f aca="true">CRITBINOM(D1489,Coefficients!$B$30,RAND())</f>
        <v>0</v>
      </c>
      <c r="F1489" s="0" t="n">
        <f aca="true">CRITBINOM(E1489,Coefficients!$B$31,RAND())</f>
        <v>0</v>
      </c>
      <c r="G1489" s="0" t="n">
        <f aca="true">CRITBINOM(MAX(0,D1489-E1489),1-Coefficients!$B$32,RAND())</f>
        <v>0</v>
      </c>
      <c r="H1489" s="0" t="n">
        <f aca="true">CRITBINOM(MAX(0,$C1489-D1489),MIN(0.6,Matchup!$B$40*SQRT($B1489)/(1-MIN(0.75,Matchup!$B$39*$B1489))),RAND())</f>
        <v>3</v>
      </c>
      <c r="I1489" s="0" t="n">
        <f aca="false">6*D1489+(D1489-E1489-G1489)+2*F1489+3*H1489</f>
        <v>16</v>
      </c>
      <c r="J1489" s="0" t="n">
        <f aca="true">CRITBINOM($C1489,MIN(0.75,Matchup!$C$39*$B1489),RAND())</f>
        <v>1</v>
      </c>
      <c r="K1489" s="0" t="n">
        <f aca="true">CRITBINOM(J1489,Coefficients!$B$30,RAND())</f>
        <v>0</v>
      </c>
      <c r="L1489" s="0" t="n">
        <f aca="true">CRITBINOM(K1489,Coefficients!$B$31,RAND())</f>
        <v>0</v>
      </c>
      <c r="M1489" s="0" t="n">
        <f aca="true">CRITBINOM(MAX(0,J1489-K1489),1-Coefficients!$B$32,RAND())</f>
        <v>0</v>
      </c>
      <c r="N1489" s="0" t="n">
        <f aca="true">CRITBINOM(MAX(0,$C1489-J1489),MIN(0.6,Matchup!$C$40*SQRT($B1489)/(1-MIN(0.75,Matchup!$C$39*$B1489))),RAND())</f>
        <v>0</v>
      </c>
      <c r="O1489" s="0" t="n">
        <f aca="false">6*J1489+(J1489-K1489-M1489)+2*L1489+3*N1489</f>
        <v>7</v>
      </c>
      <c r="P1489" s="0" t="n">
        <f aca="true">RAND()</f>
        <v>0.898866050206204</v>
      </c>
      <c r="Q1489" s="0" t="n">
        <f aca="true">RAND()</f>
        <v>0.513516197634773</v>
      </c>
      <c r="R1489" s="0" t="n">
        <f aca="false">IF($I1489&lt;&gt;$O1489,0,IF(P1489&lt;Matchup!$B$39,7,IF(P1489&lt;Matchup!$B$39+Matchup!$B$40,3,0)))</f>
        <v>0</v>
      </c>
      <c r="S1489" s="0" t="n">
        <f aca="false">IF($I1489&lt;&gt;$O1489,0,IF(Q1489&lt;Matchup!$C$39,7,IF(Q1489&lt;Matchup!$C$39+Matchup!$C$40,3,0)))</f>
        <v>0</v>
      </c>
      <c r="T1489" s="0" t="n">
        <f aca="false">I1489+R1489</f>
        <v>16</v>
      </c>
      <c r="U1489" s="0" t="n">
        <f aca="false">O1489+S1489</f>
        <v>7</v>
      </c>
      <c r="V1489" s="0" t="n">
        <f aca="false">T1489-U1489</f>
        <v>9</v>
      </c>
      <c r="W1489" s="0" t="n">
        <f aca="false">T1489+U1489</f>
        <v>23</v>
      </c>
    </row>
    <row r="1490" customFormat="false" ht="15" hidden="false" customHeight="false" outlineLevel="0" collapsed="false">
      <c r="A1490" s="0" t="n">
        <v>1487</v>
      </c>
      <c r="B1490" s="0" t="n">
        <f aca="true">NORMINV(RAND(),1,Coefficients!$B$22)</f>
        <v>0.99239640541839</v>
      </c>
      <c r="C1490" s="0" t="n">
        <f aca="true">MEDIAN(8,16,ROUND(NORMINV(RAND(),Coefficients!$B$20,Coefficients!$B$21),0))</f>
        <v>12</v>
      </c>
      <c r="D1490" s="0" t="n">
        <f aca="true">CRITBINOM($C1490,MIN(0.75,Matchup!$B$39*$B1490),RAND())</f>
        <v>3</v>
      </c>
      <c r="E1490" s="0" t="n">
        <f aca="true">CRITBINOM(D1490,Coefficients!$B$30,RAND())</f>
        <v>0</v>
      </c>
      <c r="F1490" s="0" t="n">
        <f aca="true">CRITBINOM(E1490,Coefficients!$B$31,RAND())</f>
        <v>0</v>
      </c>
      <c r="G1490" s="0" t="n">
        <f aca="true">CRITBINOM(MAX(0,D1490-E1490),1-Coefficients!$B$32,RAND())</f>
        <v>0</v>
      </c>
      <c r="H1490" s="0" t="n">
        <f aca="true">CRITBINOM(MAX(0,$C1490-D1490),MIN(0.6,Matchup!$B$40*SQRT($B1490)/(1-MIN(0.75,Matchup!$B$39*$B1490))),RAND())</f>
        <v>3</v>
      </c>
      <c r="I1490" s="0" t="n">
        <f aca="false">6*D1490+(D1490-E1490-G1490)+2*F1490+3*H1490</f>
        <v>30</v>
      </c>
      <c r="J1490" s="0" t="n">
        <f aca="true">CRITBINOM($C1490,MIN(0.75,Matchup!$C$39*$B1490),RAND())</f>
        <v>0</v>
      </c>
      <c r="K1490" s="0" t="n">
        <f aca="true">CRITBINOM(J1490,Coefficients!$B$30,RAND())</f>
        <v>0</v>
      </c>
      <c r="L1490" s="0" t="n">
        <f aca="true">CRITBINOM(K1490,Coefficients!$B$31,RAND())</f>
        <v>0</v>
      </c>
      <c r="M1490" s="0" t="n">
        <f aca="true">CRITBINOM(MAX(0,J1490-K1490),1-Coefficients!$B$32,RAND())</f>
        <v>0</v>
      </c>
      <c r="N1490" s="0" t="n">
        <f aca="true">CRITBINOM(MAX(0,$C1490-J1490),MIN(0.6,Matchup!$C$40*SQRT($B1490)/(1-MIN(0.75,Matchup!$C$39*$B1490))),RAND())</f>
        <v>3</v>
      </c>
      <c r="O1490" s="0" t="n">
        <f aca="false">6*J1490+(J1490-K1490-M1490)+2*L1490+3*N1490</f>
        <v>9</v>
      </c>
      <c r="P1490" s="0" t="n">
        <f aca="true">RAND()</f>
        <v>0.31617685866631</v>
      </c>
      <c r="Q1490" s="0" t="n">
        <f aca="true">RAND()</f>
        <v>0.378842364439045</v>
      </c>
      <c r="R1490" s="0" t="n">
        <f aca="false">IF($I1490&lt;&gt;$O1490,0,IF(P1490&lt;Matchup!$B$39,7,IF(P1490&lt;Matchup!$B$39+Matchup!$B$40,3,0)))</f>
        <v>0</v>
      </c>
      <c r="S1490" s="0" t="n">
        <f aca="false">IF($I1490&lt;&gt;$O1490,0,IF(Q1490&lt;Matchup!$C$39,7,IF(Q1490&lt;Matchup!$C$39+Matchup!$C$40,3,0)))</f>
        <v>0</v>
      </c>
      <c r="T1490" s="0" t="n">
        <f aca="false">I1490+R1490</f>
        <v>30</v>
      </c>
      <c r="U1490" s="0" t="n">
        <f aca="false">O1490+S1490</f>
        <v>9</v>
      </c>
      <c r="V1490" s="0" t="n">
        <f aca="false">T1490-U1490</f>
        <v>21</v>
      </c>
      <c r="W1490" s="0" t="n">
        <f aca="false">T1490+U1490</f>
        <v>39</v>
      </c>
    </row>
    <row r="1491" customFormat="false" ht="15" hidden="false" customHeight="false" outlineLevel="0" collapsed="false">
      <c r="A1491" s="0" t="n">
        <v>1488</v>
      </c>
      <c r="B1491" s="0" t="n">
        <f aca="true">NORMINV(RAND(),1,Coefficients!$B$22)</f>
        <v>1.02023896934858</v>
      </c>
      <c r="C1491" s="0" t="n">
        <f aca="true">MEDIAN(8,16,ROUND(NORMINV(RAND(),Coefficients!$B$20,Coefficients!$B$21),0))</f>
        <v>10</v>
      </c>
      <c r="D1491" s="0" t="n">
        <f aca="true">CRITBINOM($C1491,MIN(0.75,Matchup!$B$39*$B1491),RAND())</f>
        <v>3</v>
      </c>
      <c r="E1491" s="0" t="n">
        <f aca="true">CRITBINOM(D1491,Coefficients!$B$30,RAND())</f>
        <v>1</v>
      </c>
      <c r="F1491" s="0" t="n">
        <f aca="true">CRITBINOM(E1491,Coefficients!$B$31,RAND())</f>
        <v>1</v>
      </c>
      <c r="G1491" s="0" t="n">
        <f aca="true">CRITBINOM(MAX(0,D1491-E1491),1-Coefficients!$B$32,RAND())</f>
        <v>0</v>
      </c>
      <c r="H1491" s="0" t="n">
        <f aca="true">CRITBINOM(MAX(0,$C1491-D1491),MIN(0.6,Matchup!$B$40*SQRT($B1491)/(1-MIN(0.75,Matchup!$B$39*$B1491))),RAND())</f>
        <v>0</v>
      </c>
      <c r="I1491" s="0" t="n">
        <f aca="false">6*D1491+(D1491-E1491-G1491)+2*F1491+3*H1491</f>
        <v>22</v>
      </c>
      <c r="J1491" s="0" t="n">
        <f aca="true">CRITBINOM($C1491,MIN(0.75,Matchup!$C$39*$B1491),RAND())</f>
        <v>3</v>
      </c>
      <c r="K1491" s="0" t="n">
        <f aca="true">CRITBINOM(J1491,Coefficients!$B$30,RAND())</f>
        <v>1</v>
      </c>
      <c r="L1491" s="0" t="n">
        <f aca="true">CRITBINOM(K1491,Coefficients!$B$31,RAND())</f>
        <v>0</v>
      </c>
      <c r="M1491" s="0" t="n">
        <f aca="true">CRITBINOM(MAX(0,J1491-K1491),1-Coefficients!$B$32,RAND())</f>
        <v>0</v>
      </c>
      <c r="N1491" s="0" t="n">
        <f aca="true">CRITBINOM(MAX(0,$C1491-J1491),MIN(0.6,Matchup!$C$40*SQRT($B1491)/(1-MIN(0.75,Matchup!$C$39*$B1491))),RAND())</f>
        <v>2</v>
      </c>
      <c r="O1491" s="0" t="n">
        <f aca="false">6*J1491+(J1491-K1491-M1491)+2*L1491+3*N1491</f>
        <v>26</v>
      </c>
      <c r="P1491" s="0" t="n">
        <f aca="true">RAND()</f>
        <v>0.0685112301038407</v>
      </c>
      <c r="Q1491" s="0" t="n">
        <f aca="true">RAND()</f>
        <v>0.161738342210182</v>
      </c>
      <c r="R1491" s="0" t="n">
        <f aca="false">IF($I1491&lt;&gt;$O1491,0,IF(P1491&lt;Matchup!$B$39,7,IF(P1491&lt;Matchup!$B$39+Matchup!$B$40,3,0)))</f>
        <v>0</v>
      </c>
      <c r="S1491" s="0" t="n">
        <f aca="false">IF($I1491&lt;&gt;$O1491,0,IF(Q1491&lt;Matchup!$C$39,7,IF(Q1491&lt;Matchup!$C$39+Matchup!$C$40,3,0)))</f>
        <v>0</v>
      </c>
      <c r="T1491" s="0" t="n">
        <f aca="false">I1491+R1491</f>
        <v>22</v>
      </c>
      <c r="U1491" s="0" t="n">
        <f aca="false">O1491+S1491</f>
        <v>26</v>
      </c>
      <c r="V1491" s="0" t="n">
        <f aca="false">T1491-U1491</f>
        <v>-4</v>
      </c>
      <c r="W1491" s="0" t="n">
        <f aca="false">T1491+U1491</f>
        <v>48</v>
      </c>
    </row>
    <row r="1492" customFormat="false" ht="15" hidden="false" customHeight="false" outlineLevel="0" collapsed="false">
      <c r="A1492" s="0" t="n">
        <v>1489</v>
      </c>
      <c r="B1492" s="0" t="n">
        <f aca="true">NORMINV(RAND(),1,Coefficients!$B$22)</f>
        <v>0.938102957318927</v>
      </c>
      <c r="C1492" s="0" t="n">
        <f aca="true">MEDIAN(8,16,ROUND(NORMINV(RAND(),Coefficients!$B$20,Coefficients!$B$21),0))</f>
        <v>13</v>
      </c>
      <c r="D1492" s="0" t="n">
        <f aca="true">CRITBINOM($C1492,MIN(0.75,Matchup!$B$39*$B1492),RAND())</f>
        <v>5</v>
      </c>
      <c r="E1492" s="0" t="n">
        <f aca="true">CRITBINOM(D1492,Coefficients!$B$30,RAND())</f>
        <v>0</v>
      </c>
      <c r="F1492" s="0" t="n">
        <f aca="true">CRITBINOM(E1492,Coefficients!$B$31,RAND())</f>
        <v>0</v>
      </c>
      <c r="G1492" s="0" t="n">
        <f aca="true">CRITBINOM(MAX(0,D1492-E1492),1-Coefficients!$B$32,RAND())</f>
        <v>0</v>
      </c>
      <c r="H1492" s="0" t="n">
        <f aca="true">CRITBINOM(MAX(0,$C1492-D1492),MIN(0.6,Matchup!$B$40*SQRT($B1492)/(1-MIN(0.75,Matchup!$B$39*$B1492))),RAND())</f>
        <v>1</v>
      </c>
      <c r="I1492" s="0" t="n">
        <f aca="false">6*D1492+(D1492-E1492-G1492)+2*F1492+3*H1492</f>
        <v>38</v>
      </c>
      <c r="J1492" s="0" t="n">
        <f aca="true">CRITBINOM($C1492,MIN(0.75,Matchup!$C$39*$B1492),RAND())</f>
        <v>3</v>
      </c>
      <c r="K1492" s="0" t="n">
        <f aca="true">CRITBINOM(J1492,Coefficients!$B$30,RAND())</f>
        <v>1</v>
      </c>
      <c r="L1492" s="0" t="n">
        <f aca="true">CRITBINOM(K1492,Coefficients!$B$31,RAND())</f>
        <v>0</v>
      </c>
      <c r="M1492" s="0" t="n">
        <f aca="true">CRITBINOM(MAX(0,J1492-K1492),1-Coefficients!$B$32,RAND())</f>
        <v>0</v>
      </c>
      <c r="N1492" s="0" t="n">
        <f aca="true">CRITBINOM(MAX(0,$C1492-J1492),MIN(0.6,Matchup!$C$40*SQRT($B1492)/(1-MIN(0.75,Matchup!$C$39*$B1492))),RAND())</f>
        <v>1</v>
      </c>
      <c r="O1492" s="0" t="n">
        <f aca="false">6*J1492+(J1492-K1492-M1492)+2*L1492+3*N1492</f>
        <v>23</v>
      </c>
      <c r="P1492" s="0" t="n">
        <f aca="true">RAND()</f>
        <v>0.956533333189866</v>
      </c>
      <c r="Q1492" s="0" t="n">
        <f aca="true">RAND()</f>
        <v>0.760604181780833</v>
      </c>
      <c r="R1492" s="0" t="n">
        <f aca="false">IF($I1492&lt;&gt;$O1492,0,IF(P1492&lt;Matchup!$B$39,7,IF(P1492&lt;Matchup!$B$39+Matchup!$B$40,3,0)))</f>
        <v>0</v>
      </c>
      <c r="S1492" s="0" t="n">
        <f aca="false">IF($I1492&lt;&gt;$O1492,0,IF(Q1492&lt;Matchup!$C$39,7,IF(Q1492&lt;Matchup!$C$39+Matchup!$C$40,3,0)))</f>
        <v>0</v>
      </c>
      <c r="T1492" s="0" t="n">
        <f aca="false">I1492+R1492</f>
        <v>38</v>
      </c>
      <c r="U1492" s="0" t="n">
        <f aca="false">O1492+S1492</f>
        <v>23</v>
      </c>
      <c r="V1492" s="0" t="n">
        <f aca="false">T1492-U1492</f>
        <v>15</v>
      </c>
      <c r="W1492" s="0" t="n">
        <f aca="false">T1492+U1492</f>
        <v>61</v>
      </c>
    </row>
    <row r="1493" customFormat="false" ht="15" hidden="false" customHeight="false" outlineLevel="0" collapsed="false">
      <c r="A1493" s="0" t="n">
        <v>1490</v>
      </c>
      <c r="B1493" s="0" t="n">
        <f aca="true">NORMINV(RAND(),1,Coefficients!$B$22)</f>
        <v>0.914479902818926</v>
      </c>
      <c r="C1493" s="0" t="n">
        <f aca="true">MEDIAN(8,16,ROUND(NORMINV(RAND(),Coefficients!$B$20,Coefficients!$B$21),0))</f>
        <v>11</v>
      </c>
      <c r="D1493" s="0" t="n">
        <f aca="true">CRITBINOM($C1493,MIN(0.75,Matchup!$B$39*$B1493),RAND())</f>
        <v>3</v>
      </c>
      <c r="E1493" s="0" t="n">
        <f aca="true">CRITBINOM(D1493,Coefficients!$B$30,RAND())</f>
        <v>0</v>
      </c>
      <c r="F1493" s="0" t="n">
        <f aca="true">CRITBINOM(E1493,Coefficients!$B$31,RAND())</f>
        <v>0</v>
      </c>
      <c r="G1493" s="0" t="n">
        <f aca="true">CRITBINOM(MAX(0,D1493-E1493),1-Coefficients!$B$32,RAND())</f>
        <v>1</v>
      </c>
      <c r="H1493" s="0" t="n">
        <f aca="true">CRITBINOM(MAX(0,$C1493-D1493),MIN(0.6,Matchup!$B$40*SQRT($B1493)/(1-MIN(0.75,Matchup!$B$39*$B1493))),RAND())</f>
        <v>2</v>
      </c>
      <c r="I1493" s="0" t="n">
        <f aca="false">6*D1493+(D1493-E1493-G1493)+2*F1493+3*H1493</f>
        <v>26</v>
      </c>
      <c r="J1493" s="0" t="n">
        <f aca="true">CRITBINOM($C1493,MIN(0.75,Matchup!$C$39*$B1493),RAND())</f>
        <v>3</v>
      </c>
      <c r="K1493" s="0" t="n">
        <f aca="true">CRITBINOM(J1493,Coefficients!$B$30,RAND())</f>
        <v>0</v>
      </c>
      <c r="L1493" s="0" t="n">
        <f aca="true">CRITBINOM(K1493,Coefficients!$B$31,RAND())</f>
        <v>0</v>
      </c>
      <c r="M1493" s="0" t="n">
        <f aca="true">CRITBINOM(MAX(0,J1493-K1493),1-Coefficients!$B$32,RAND())</f>
        <v>1</v>
      </c>
      <c r="N1493" s="0" t="n">
        <f aca="true">CRITBINOM(MAX(0,$C1493-J1493),MIN(0.6,Matchup!$C$40*SQRT($B1493)/(1-MIN(0.75,Matchup!$C$39*$B1493))),RAND())</f>
        <v>1</v>
      </c>
      <c r="O1493" s="0" t="n">
        <f aca="false">6*J1493+(J1493-K1493-M1493)+2*L1493+3*N1493</f>
        <v>23</v>
      </c>
      <c r="P1493" s="0" t="n">
        <f aca="true">RAND()</f>
        <v>0.148761647308914</v>
      </c>
      <c r="Q1493" s="0" t="n">
        <f aca="true">RAND()</f>
        <v>0.643820296249195</v>
      </c>
      <c r="R1493" s="0" t="n">
        <f aca="false">IF($I1493&lt;&gt;$O1493,0,IF(P1493&lt;Matchup!$B$39,7,IF(P1493&lt;Matchup!$B$39+Matchup!$B$40,3,0)))</f>
        <v>0</v>
      </c>
      <c r="S1493" s="0" t="n">
        <f aca="false">IF($I1493&lt;&gt;$O1493,0,IF(Q1493&lt;Matchup!$C$39,7,IF(Q1493&lt;Matchup!$C$39+Matchup!$C$40,3,0)))</f>
        <v>0</v>
      </c>
      <c r="T1493" s="0" t="n">
        <f aca="false">I1493+R1493</f>
        <v>26</v>
      </c>
      <c r="U1493" s="0" t="n">
        <f aca="false">O1493+S1493</f>
        <v>23</v>
      </c>
      <c r="V1493" s="0" t="n">
        <f aca="false">T1493-U1493</f>
        <v>3</v>
      </c>
      <c r="W1493" s="0" t="n">
        <f aca="false">T1493+U1493</f>
        <v>49</v>
      </c>
    </row>
    <row r="1494" customFormat="false" ht="15" hidden="false" customHeight="false" outlineLevel="0" collapsed="false">
      <c r="A1494" s="0" t="n">
        <v>1491</v>
      </c>
      <c r="B1494" s="0" t="n">
        <f aca="true">NORMINV(RAND(),1,Coefficients!$B$22)</f>
        <v>0.987533375522847</v>
      </c>
      <c r="C1494" s="0" t="n">
        <f aca="true">MEDIAN(8,16,ROUND(NORMINV(RAND(),Coefficients!$B$20,Coefficients!$B$21),0))</f>
        <v>11</v>
      </c>
      <c r="D1494" s="0" t="n">
        <f aca="true">CRITBINOM($C1494,MIN(0.75,Matchup!$B$39*$B1494),RAND())</f>
        <v>3</v>
      </c>
      <c r="E1494" s="0" t="n">
        <f aca="true">CRITBINOM(D1494,Coefficients!$B$30,RAND())</f>
        <v>0</v>
      </c>
      <c r="F1494" s="0" t="n">
        <f aca="true">CRITBINOM(E1494,Coefficients!$B$31,RAND())</f>
        <v>0</v>
      </c>
      <c r="G1494" s="0" t="n">
        <f aca="true">CRITBINOM(MAX(0,D1494-E1494),1-Coefficients!$B$32,RAND())</f>
        <v>0</v>
      </c>
      <c r="H1494" s="0" t="n">
        <f aca="true">CRITBINOM(MAX(0,$C1494-D1494),MIN(0.6,Matchup!$B$40*SQRT($B1494)/(1-MIN(0.75,Matchup!$B$39*$B1494))),RAND())</f>
        <v>1</v>
      </c>
      <c r="I1494" s="0" t="n">
        <f aca="false">6*D1494+(D1494-E1494-G1494)+2*F1494+3*H1494</f>
        <v>24</v>
      </c>
      <c r="J1494" s="0" t="n">
        <f aca="true">CRITBINOM($C1494,MIN(0.75,Matchup!$C$39*$B1494),RAND())</f>
        <v>1</v>
      </c>
      <c r="K1494" s="0" t="n">
        <f aca="true">CRITBINOM(J1494,Coefficients!$B$30,RAND())</f>
        <v>0</v>
      </c>
      <c r="L1494" s="0" t="n">
        <f aca="true">CRITBINOM(K1494,Coefficients!$B$31,RAND())</f>
        <v>0</v>
      </c>
      <c r="M1494" s="0" t="n">
        <f aca="true">CRITBINOM(MAX(0,J1494-K1494),1-Coefficients!$B$32,RAND())</f>
        <v>0</v>
      </c>
      <c r="N1494" s="0" t="n">
        <f aca="true">CRITBINOM(MAX(0,$C1494-J1494),MIN(0.6,Matchup!$C$40*SQRT($B1494)/(1-MIN(0.75,Matchup!$C$39*$B1494))),RAND())</f>
        <v>1</v>
      </c>
      <c r="O1494" s="0" t="n">
        <f aca="false">6*J1494+(J1494-K1494-M1494)+2*L1494+3*N1494</f>
        <v>10</v>
      </c>
      <c r="P1494" s="0" t="n">
        <f aca="true">RAND()</f>
        <v>0.895187258966847</v>
      </c>
      <c r="Q1494" s="0" t="n">
        <f aca="true">RAND()</f>
        <v>0.0240749796019868</v>
      </c>
      <c r="R1494" s="0" t="n">
        <f aca="false">IF($I1494&lt;&gt;$O1494,0,IF(P1494&lt;Matchup!$B$39,7,IF(P1494&lt;Matchup!$B$39+Matchup!$B$40,3,0)))</f>
        <v>0</v>
      </c>
      <c r="S1494" s="0" t="n">
        <f aca="false">IF($I1494&lt;&gt;$O1494,0,IF(Q1494&lt;Matchup!$C$39,7,IF(Q1494&lt;Matchup!$C$39+Matchup!$C$40,3,0)))</f>
        <v>0</v>
      </c>
      <c r="T1494" s="0" t="n">
        <f aca="false">I1494+R1494</f>
        <v>24</v>
      </c>
      <c r="U1494" s="0" t="n">
        <f aca="false">O1494+S1494</f>
        <v>10</v>
      </c>
      <c r="V1494" s="0" t="n">
        <f aca="false">T1494-U1494</f>
        <v>14</v>
      </c>
      <c r="W1494" s="0" t="n">
        <f aca="false">T1494+U1494</f>
        <v>34</v>
      </c>
    </row>
    <row r="1495" customFormat="false" ht="15" hidden="false" customHeight="false" outlineLevel="0" collapsed="false">
      <c r="A1495" s="0" t="n">
        <v>1492</v>
      </c>
      <c r="B1495" s="0" t="n">
        <f aca="true">NORMINV(RAND(),1,Coefficients!$B$22)</f>
        <v>1.02841092187787</v>
      </c>
      <c r="C1495" s="0" t="n">
        <f aca="true">MEDIAN(8,16,ROUND(NORMINV(RAND(),Coefficients!$B$20,Coefficients!$B$21),0))</f>
        <v>8</v>
      </c>
      <c r="D1495" s="0" t="n">
        <f aca="true">CRITBINOM($C1495,MIN(0.75,Matchup!$B$39*$B1495),RAND())</f>
        <v>4</v>
      </c>
      <c r="E1495" s="0" t="n">
        <f aca="true">CRITBINOM(D1495,Coefficients!$B$30,RAND())</f>
        <v>0</v>
      </c>
      <c r="F1495" s="0" t="n">
        <f aca="true">CRITBINOM(E1495,Coefficients!$B$31,RAND())</f>
        <v>0</v>
      </c>
      <c r="G1495" s="0" t="n">
        <f aca="true">CRITBINOM(MAX(0,D1495-E1495),1-Coefficients!$B$32,RAND())</f>
        <v>0</v>
      </c>
      <c r="H1495" s="0" t="n">
        <f aca="true">CRITBINOM(MAX(0,$C1495-D1495),MIN(0.6,Matchup!$B$40*SQRT($B1495)/(1-MIN(0.75,Matchup!$B$39*$B1495))),RAND())</f>
        <v>1</v>
      </c>
      <c r="I1495" s="0" t="n">
        <f aca="false">6*D1495+(D1495-E1495-G1495)+2*F1495+3*H1495</f>
        <v>31</v>
      </c>
      <c r="J1495" s="0" t="n">
        <f aca="true">CRITBINOM($C1495,MIN(0.75,Matchup!$C$39*$B1495),RAND())</f>
        <v>2</v>
      </c>
      <c r="K1495" s="0" t="n">
        <f aca="true">CRITBINOM(J1495,Coefficients!$B$30,RAND())</f>
        <v>0</v>
      </c>
      <c r="L1495" s="0" t="n">
        <f aca="true">CRITBINOM(K1495,Coefficients!$B$31,RAND())</f>
        <v>0</v>
      </c>
      <c r="M1495" s="0" t="n">
        <f aca="true">CRITBINOM(MAX(0,J1495-K1495),1-Coefficients!$B$32,RAND())</f>
        <v>0</v>
      </c>
      <c r="N1495" s="0" t="n">
        <f aca="true">CRITBINOM(MAX(0,$C1495-J1495),MIN(0.6,Matchup!$C$40*SQRT($B1495)/(1-MIN(0.75,Matchup!$C$39*$B1495))),RAND())</f>
        <v>1</v>
      </c>
      <c r="O1495" s="0" t="n">
        <f aca="false">6*J1495+(J1495-K1495-M1495)+2*L1495+3*N1495</f>
        <v>17</v>
      </c>
      <c r="P1495" s="0" t="n">
        <f aca="true">RAND()</f>
        <v>0.697686285446826</v>
      </c>
      <c r="Q1495" s="0" t="n">
        <f aca="true">RAND()</f>
        <v>0.967564723577432</v>
      </c>
      <c r="R1495" s="0" t="n">
        <f aca="false">IF($I1495&lt;&gt;$O1495,0,IF(P1495&lt;Matchup!$B$39,7,IF(P1495&lt;Matchup!$B$39+Matchup!$B$40,3,0)))</f>
        <v>0</v>
      </c>
      <c r="S1495" s="0" t="n">
        <f aca="false">IF($I1495&lt;&gt;$O1495,0,IF(Q1495&lt;Matchup!$C$39,7,IF(Q1495&lt;Matchup!$C$39+Matchup!$C$40,3,0)))</f>
        <v>0</v>
      </c>
      <c r="T1495" s="0" t="n">
        <f aca="false">I1495+R1495</f>
        <v>31</v>
      </c>
      <c r="U1495" s="0" t="n">
        <f aca="false">O1495+S1495</f>
        <v>17</v>
      </c>
      <c r="V1495" s="0" t="n">
        <f aca="false">T1495-U1495</f>
        <v>14</v>
      </c>
      <c r="W1495" s="0" t="n">
        <f aca="false">T1495+U1495</f>
        <v>48</v>
      </c>
    </row>
    <row r="1496" customFormat="false" ht="15" hidden="false" customHeight="false" outlineLevel="0" collapsed="false">
      <c r="A1496" s="0" t="n">
        <v>1493</v>
      </c>
      <c r="B1496" s="0" t="n">
        <f aca="true">NORMINV(RAND(),1,Coefficients!$B$22)</f>
        <v>0.948694388632068</v>
      </c>
      <c r="C1496" s="0" t="n">
        <f aca="true">MEDIAN(8,16,ROUND(NORMINV(RAND(),Coefficients!$B$20,Coefficients!$B$21),0))</f>
        <v>11</v>
      </c>
      <c r="D1496" s="0" t="n">
        <f aca="true">CRITBINOM($C1496,MIN(0.75,Matchup!$B$39*$B1496),RAND())</f>
        <v>3</v>
      </c>
      <c r="E1496" s="0" t="n">
        <f aca="true">CRITBINOM(D1496,Coefficients!$B$30,RAND())</f>
        <v>1</v>
      </c>
      <c r="F1496" s="0" t="n">
        <f aca="true">CRITBINOM(E1496,Coefficients!$B$31,RAND())</f>
        <v>0</v>
      </c>
      <c r="G1496" s="0" t="n">
        <f aca="true">CRITBINOM(MAX(0,D1496-E1496),1-Coefficients!$B$32,RAND())</f>
        <v>0</v>
      </c>
      <c r="H1496" s="0" t="n">
        <f aca="true">CRITBINOM(MAX(0,$C1496-D1496),MIN(0.6,Matchup!$B$40*SQRT($B1496)/(1-MIN(0.75,Matchup!$B$39*$B1496))),RAND())</f>
        <v>0</v>
      </c>
      <c r="I1496" s="0" t="n">
        <f aca="false">6*D1496+(D1496-E1496-G1496)+2*F1496+3*H1496</f>
        <v>20</v>
      </c>
      <c r="J1496" s="0" t="n">
        <f aca="true">CRITBINOM($C1496,MIN(0.75,Matchup!$C$39*$B1496),RAND())</f>
        <v>6</v>
      </c>
      <c r="K1496" s="0" t="n">
        <f aca="true">CRITBINOM(J1496,Coefficients!$B$30,RAND())</f>
        <v>0</v>
      </c>
      <c r="L1496" s="0" t="n">
        <f aca="true">CRITBINOM(K1496,Coefficients!$B$31,RAND())</f>
        <v>0</v>
      </c>
      <c r="M1496" s="0" t="n">
        <f aca="true">CRITBINOM(MAX(0,J1496-K1496),1-Coefficients!$B$32,RAND())</f>
        <v>1</v>
      </c>
      <c r="N1496" s="0" t="n">
        <f aca="true">CRITBINOM(MAX(0,$C1496-J1496),MIN(0.6,Matchup!$C$40*SQRT($B1496)/(1-MIN(0.75,Matchup!$C$39*$B1496))),RAND())</f>
        <v>1</v>
      </c>
      <c r="O1496" s="0" t="n">
        <f aca="false">6*J1496+(J1496-K1496-M1496)+2*L1496+3*N1496</f>
        <v>44</v>
      </c>
      <c r="P1496" s="0" t="n">
        <f aca="true">RAND()</f>
        <v>0.674162052011301</v>
      </c>
      <c r="Q1496" s="0" t="n">
        <f aca="true">RAND()</f>
        <v>0.487604371249898</v>
      </c>
      <c r="R1496" s="0" t="n">
        <f aca="false">IF($I1496&lt;&gt;$O1496,0,IF(P1496&lt;Matchup!$B$39,7,IF(P1496&lt;Matchup!$B$39+Matchup!$B$40,3,0)))</f>
        <v>0</v>
      </c>
      <c r="S1496" s="0" t="n">
        <f aca="false">IF($I1496&lt;&gt;$O1496,0,IF(Q1496&lt;Matchup!$C$39,7,IF(Q1496&lt;Matchup!$C$39+Matchup!$C$40,3,0)))</f>
        <v>0</v>
      </c>
      <c r="T1496" s="0" t="n">
        <f aca="false">I1496+R1496</f>
        <v>20</v>
      </c>
      <c r="U1496" s="0" t="n">
        <f aca="false">O1496+S1496</f>
        <v>44</v>
      </c>
      <c r="V1496" s="0" t="n">
        <f aca="false">T1496-U1496</f>
        <v>-24</v>
      </c>
      <c r="W1496" s="0" t="n">
        <f aca="false">T1496+U1496</f>
        <v>64</v>
      </c>
    </row>
    <row r="1497" customFormat="false" ht="15" hidden="false" customHeight="false" outlineLevel="0" collapsed="false">
      <c r="A1497" s="0" t="n">
        <v>1494</v>
      </c>
      <c r="B1497" s="0" t="n">
        <f aca="true">NORMINV(RAND(),1,Coefficients!$B$22)</f>
        <v>0.921006942279546</v>
      </c>
      <c r="C1497" s="0" t="n">
        <f aca="true">MEDIAN(8,16,ROUND(NORMINV(RAND(),Coefficients!$B$20,Coefficients!$B$21),0))</f>
        <v>11</v>
      </c>
      <c r="D1497" s="0" t="n">
        <f aca="true">CRITBINOM($C1497,MIN(0.75,Matchup!$B$39*$B1497),RAND())</f>
        <v>4</v>
      </c>
      <c r="E1497" s="0" t="n">
        <f aca="true">CRITBINOM(D1497,Coefficients!$B$30,RAND())</f>
        <v>1</v>
      </c>
      <c r="F1497" s="0" t="n">
        <f aca="true">CRITBINOM(E1497,Coefficients!$B$31,RAND())</f>
        <v>1</v>
      </c>
      <c r="G1497" s="0" t="n">
        <f aca="true">CRITBINOM(MAX(0,D1497-E1497),1-Coefficients!$B$32,RAND())</f>
        <v>0</v>
      </c>
      <c r="H1497" s="0" t="n">
        <f aca="true">CRITBINOM(MAX(0,$C1497-D1497),MIN(0.6,Matchup!$B$40*SQRT($B1497)/(1-MIN(0.75,Matchup!$B$39*$B1497))),RAND())</f>
        <v>0</v>
      </c>
      <c r="I1497" s="0" t="n">
        <f aca="false">6*D1497+(D1497-E1497-G1497)+2*F1497+3*H1497</f>
        <v>29</v>
      </c>
      <c r="J1497" s="0" t="n">
        <f aca="true">CRITBINOM($C1497,MIN(0.75,Matchup!$C$39*$B1497),RAND())</f>
        <v>3</v>
      </c>
      <c r="K1497" s="0" t="n">
        <f aca="true">CRITBINOM(J1497,Coefficients!$B$30,RAND())</f>
        <v>0</v>
      </c>
      <c r="L1497" s="0" t="n">
        <f aca="true">CRITBINOM(K1497,Coefficients!$B$31,RAND())</f>
        <v>0</v>
      </c>
      <c r="M1497" s="0" t="n">
        <f aca="true">CRITBINOM(MAX(0,J1497-K1497),1-Coefficients!$B$32,RAND())</f>
        <v>0</v>
      </c>
      <c r="N1497" s="0" t="n">
        <f aca="true">CRITBINOM(MAX(0,$C1497-J1497),MIN(0.6,Matchup!$C$40*SQRT($B1497)/(1-MIN(0.75,Matchup!$C$39*$B1497))),RAND())</f>
        <v>2</v>
      </c>
      <c r="O1497" s="0" t="n">
        <f aca="false">6*J1497+(J1497-K1497-M1497)+2*L1497+3*N1497</f>
        <v>27</v>
      </c>
      <c r="P1497" s="0" t="n">
        <f aca="true">RAND()</f>
        <v>0.592938937289133</v>
      </c>
      <c r="Q1497" s="0" t="n">
        <f aca="true">RAND()</f>
        <v>0.0439803789325924</v>
      </c>
      <c r="R1497" s="0" t="n">
        <f aca="false">IF($I1497&lt;&gt;$O1497,0,IF(P1497&lt;Matchup!$B$39,7,IF(P1497&lt;Matchup!$B$39+Matchup!$B$40,3,0)))</f>
        <v>0</v>
      </c>
      <c r="S1497" s="0" t="n">
        <f aca="false">IF($I1497&lt;&gt;$O1497,0,IF(Q1497&lt;Matchup!$C$39,7,IF(Q1497&lt;Matchup!$C$39+Matchup!$C$40,3,0)))</f>
        <v>0</v>
      </c>
      <c r="T1497" s="0" t="n">
        <f aca="false">I1497+R1497</f>
        <v>29</v>
      </c>
      <c r="U1497" s="0" t="n">
        <f aca="false">O1497+S1497</f>
        <v>27</v>
      </c>
      <c r="V1497" s="0" t="n">
        <f aca="false">T1497-U1497</f>
        <v>2</v>
      </c>
      <c r="W1497" s="0" t="n">
        <f aca="false">T1497+U1497</f>
        <v>56</v>
      </c>
    </row>
    <row r="1498" customFormat="false" ht="15" hidden="false" customHeight="false" outlineLevel="0" collapsed="false">
      <c r="A1498" s="0" t="n">
        <v>1495</v>
      </c>
      <c r="B1498" s="0" t="n">
        <f aca="true">NORMINV(RAND(),1,Coefficients!$B$22)</f>
        <v>1.00815418601523</v>
      </c>
      <c r="C1498" s="0" t="n">
        <f aca="true">MEDIAN(8,16,ROUND(NORMINV(RAND(),Coefficients!$B$20,Coefficients!$B$21),0))</f>
        <v>10</v>
      </c>
      <c r="D1498" s="0" t="n">
        <f aca="true">CRITBINOM($C1498,MIN(0.75,Matchup!$B$39*$B1498),RAND())</f>
        <v>4</v>
      </c>
      <c r="E1498" s="0" t="n">
        <f aca="true">CRITBINOM(D1498,Coefficients!$B$30,RAND())</f>
        <v>0</v>
      </c>
      <c r="F1498" s="0" t="n">
        <f aca="true">CRITBINOM(E1498,Coefficients!$B$31,RAND())</f>
        <v>0</v>
      </c>
      <c r="G1498" s="0" t="n">
        <f aca="true">CRITBINOM(MAX(0,D1498-E1498),1-Coefficients!$B$32,RAND())</f>
        <v>0</v>
      </c>
      <c r="H1498" s="0" t="n">
        <f aca="true">CRITBINOM(MAX(0,$C1498-D1498),MIN(0.6,Matchup!$B$40*SQRT($B1498)/(1-MIN(0.75,Matchup!$B$39*$B1498))),RAND())</f>
        <v>1</v>
      </c>
      <c r="I1498" s="0" t="n">
        <f aca="false">6*D1498+(D1498-E1498-G1498)+2*F1498+3*H1498</f>
        <v>31</v>
      </c>
      <c r="J1498" s="0" t="n">
        <f aca="true">CRITBINOM($C1498,MIN(0.75,Matchup!$C$39*$B1498),RAND())</f>
        <v>2</v>
      </c>
      <c r="K1498" s="0" t="n">
        <f aca="true">CRITBINOM(J1498,Coefficients!$B$30,RAND())</f>
        <v>0</v>
      </c>
      <c r="L1498" s="0" t="n">
        <f aca="true">CRITBINOM(K1498,Coefficients!$B$31,RAND())</f>
        <v>0</v>
      </c>
      <c r="M1498" s="0" t="n">
        <f aca="true">CRITBINOM(MAX(0,J1498-K1498),1-Coefficients!$B$32,RAND())</f>
        <v>0</v>
      </c>
      <c r="N1498" s="0" t="n">
        <f aca="true">CRITBINOM(MAX(0,$C1498-J1498),MIN(0.6,Matchup!$C$40*SQRT($B1498)/(1-MIN(0.75,Matchup!$C$39*$B1498))),RAND())</f>
        <v>2</v>
      </c>
      <c r="O1498" s="0" t="n">
        <f aca="false">6*J1498+(J1498-K1498-M1498)+2*L1498+3*N1498</f>
        <v>20</v>
      </c>
      <c r="P1498" s="0" t="n">
        <f aca="true">RAND()</f>
        <v>0.315618877650438</v>
      </c>
      <c r="Q1498" s="0" t="n">
        <f aca="true">RAND()</f>
        <v>0.451112137514087</v>
      </c>
      <c r="R1498" s="0" t="n">
        <f aca="false">IF($I1498&lt;&gt;$O1498,0,IF(P1498&lt;Matchup!$B$39,7,IF(P1498&lt;Matchup!$B$39+Matchup!$B$40,3,0)))</f>
        <v>0</v>
      </c>
      <c r="S1498" s="0" t="n">
        <f aca="false">IF($I1498&lt;&gt;$O1498,0,IF(Q1498&lt;Matchup!$C$39,7,IF(Q1498&lt;Matchup!$C$39+Matchup!$C$40,3,0)))</f>
        <v>0</v>
      </c>
      <c r="T1498" s="0" t="n">
        <f aca="false">I1498+R1498</f>
        <v>31</v>
      </c>
      <c r="U1498" s="0" t="n">
        <f aca="false">O1498+S1498</f>
        <v>20</v>
      </c>
      <c r="V1498" s="0" t="n">
        <f aca="false">T1498-U1498</f>
        <v>11</v>
      </c>
      <c r="W1498" s="0" t="n">
        <f aca="false">T1498+U1498</f>
        <v>51</v>
      </c>
    </row>
    <row r="1499" customFormat="false" ht="15" hidden="false" customHeight="false" outlineLevel="0" collapsed="false">
      <c r="A1499" s="0" t="n">
        <v>1496</v>
      </c>
      <c r="B1499" s="0" t="n">
        <f aca="true">NORMINV(RAND(),1,Coefficients!$B$22)</f>
        <v>1.10008424787115</v>
      </c>
      <c r="C1499" s="0" t="n">
        <f aca="true">MEDIAN(8,16,ROUND(NORMINV(RAND(),Coefficients!$B$20,Coefficients!$B$21),0))</f>
        <v>12</v>
      </c>
      <c r="D1499" s="0" t="n">
        <f aca="true">CRITBINOM($C1499,MIN(0.75,Matchup!$B$39*$B1499),RAND())</f>
        <v>1</v>
      </c>
      <c r="E1499" s="0" t="n">
        <f aca="true">CRITBINOM(D1499,Coefficients!$B$30,RAND())</f>
        <v>0</v>
      </c>
      <c r="F1499" s="0" t="n">
        <f aca="true">CRITBINOM(E1499,Coefficients!$B$31,RAND())</f>
        <v>0</v>
      </c>
      <c r="G1499" s="0" t="n">
        <f aca="true">CRITBINOM(MAX(0,D1499-E1499),1-Coefficients!$B$32,RAND())</f>
        <v>1</v>
      </c>
      <c r="H1499" s="0" t="n">
        <f aca="true">CRITBINOM(MAX(0,$C1499-D1499),MIN(0.6,Matchup!$B$40*SQRT($B1499)/(1-MIN(0.75,Matchup!$B$39*$B1499))),RAND())</f>
        <v>1</v>
      </c>
      <c r="I1499" s="0" t="n">
        <f aca="false">6*D1499+(D1499-E1499-G1499)+2*F1499+3*H1499</f>
        <v>9</v>
      </c>
      <c r="J1499" s="0" t="n">
        <f aca="true">CRITBINOM($C1499,MIN(0.75,Matchup!$C$39*$B1499),RAND())</f>
        <v>2</v>
      </c>
      <c r="K1499" s="0" t="n">
        <f aca="true">CRITBINOM(J1499,Coefficients!$B$30,RAND())</f>
        <v>1</v>
      </c>
      <c r="L1499" s="0" t="n">
        <f aca="true">CRITBINOM(K1499,Coefficients!$B$31,RAND())</f>
        <v>1</v>
      </c>
      <c r="M1499" s="0" t="n">
        <f aca="true">CRITBINOM(MAX(0,J1499-K1499),1-Coefficients!$B$32,RAND())</f>
        <v>0</v>
      </c>
      <c r="N1499" s="0" t="n">
        <f aca="true">CRITBINOM(MAX(0,$C1499-J1499),MIN(0.6,Matchup!$C$40*SQRT($B1499)/(1-MIN(0.75,Matchup!$C$39*$B1499))),RAND())</f>
        <v>3</v>
      </c>
      <c r="O1499" s="0" t="n">
        <f aca="false">6*J1499+(J1499-K1499-M1499)+2*L1499+3*N1499</f>
        <v>24</v>
      </c>
      <c r="P1499" s="0" t="n">
        <f aca="true">RAND()</f>
        <v>0.971006365397493</v>
      </c>
      <c r="Q1499" s="0" t="n">
        <f aca="true">RAND()</f>
        <v>0.248966234764039</v>
      </c>
      <c r="R1499" s="0" t="n">
        <f aca="false">IF($I1499&lt;&gt;$O1499,0,IF(P1499&lt;Matchup!$B$39,7,IF(P1499&lt;Matchup!$B$39+Matchup!$B$40,3,0)))</f>
        <v>0</v>
      </c>
      <c r="S1499" s="0" t="n">
        <f aca="false">IF($I1499&lt;&gt;$O1499,0,IF(Q1499&lt;Matchup!$C$39,7,IF(Q1499&lt;Matchup!$C$39+Matchup!$C$40,3,0)))</f>
        <v>0</v>
      </c>
      <c r="T1499" s="0" t="n">
        <f aca="false">I1499+R1499</f>
        <v>9</v>
      </c>
      <c r="U1499" s="0" t="n">
        <f aca="false">O1499+S1499</f>
        <v>24</v>
      </c>
      <c r="V1499" s="0" t="n">
        <f aca="false">T1499-U1499</f>
        <v>-15</v>
      </c>
      <c r="W1499" s="0" t="n">
        <f aca="false">T1499+U1499</f>
        <v>33</v>
      </c>
    </row>
    <row r="1500" customFormat="false" ht="15" hidden="false" customHeight="false" outlineLevel="0" collapsed="false">
      <c r="A1500" s="0" t="n">
        <v>1497</v>
      </c>
      <c r="B1500" s="0" t="n">
        <f aca="true">NORMINV(RAND(),1,Coefficients!$B$22)</f>
        <v>1.00295306234401</v>
      </c>
      <c r="C1500" s="0" t="n">
        <f aca="true">MEDIAN(8,16,ROUND(NORMINV(RAND(),Coefficients!$B$20,Coefficients!$B$21),0))</f>
        <v>11</v>
      </c>
      <c r="D1500" s="0" t="n">
        <f aca="true">CRITBINOM($C1500,MIN(0.75,Matchup!$B$39*$B1500),RAND())</f>
        <v>1</v>
      </c>
      <c r="E1500" s="0" t="n">
        <f aca="true">CRITBINOM(D1500,Coefficients!$B$30,RAND())</f>
        <v>0</v>
      </c>
      <c r="F1500" s="0" t="n">
        <f aca="true">CRITBINOM(E1500,Coefficients!$B$31,RAND())</f>
        <v>0</v>
      </c>
      <c r="G1500" s="0" t="n">
        <f aca="true">CRITBINOM(MAX(0,D1500-E1500),1-Coefficients!$B$32,RAND())</f>
        <v>0</v>
      </c>
      <c r="H1500" s="0" t="n">
        <f aca="true">CRITBINOM(MAX(0,$C1500-D1500),MIN(0.6,Matchup!$B$40*SQRT($B1500)/(1-MIN(0.75,Matchup!$B$39*$B1500))),RAND())</f>
        <v>3</v>
      </c>
      <c r="I1500" s="0" t="n">
        <f aca="false">6*D1500+(D1500-E1500-G1500)+2*F1500+3*H1500</f>
        <v>16</v>
      </c>
      <c r="J1500" s="0" t="n">
        <f aca="true">CRITBINOM($C1500,MIN(0.75,Matchup!$C$39*$B1500),RAND())</f>
        <v>4</v>
      </c>
      <c r="K1500" s="0" t="n">
        <f aca="true">CRITBINOM(J1500,Coefficients!$B$30,RAND())</f>
        <v>2</v>
      </c>
      <c r="L1500" s="0" t="n">
        <f aca="true">CRITBINOM(K1500,Coefficients!$B$31,RAND())</f>
        <v>1</v>
      </c>
      <c r="M1500" s="0" t="n">
        <f aca="true">CRITBINOM(MAX(0,J1500-K1500),1-Coefficients!$B$32,RAND())</f>
        <v>0</v>
      </c>
      <c r="N1500" s="0" t="n">
        <f aca="true">CRITBINOM(MAX(0,$C1500-J1500),MIN(0.6,Matchup!$C$40*SQRT($B1500)/(1-MIN(0.75,Matchup!$C$39*$B1500))),RAND())</f>
        <v>1</v>
      </c>
      <c r="O1500" s="0" t="n">
        <f aca="false">6*J1500+(J1500-K1500-M1500)+2*L1500+3*N1500</f>
        <v>31</v>
      </c>
      <c r="P1500" s="0" t="n">
        <f aca="true">RAND()</f>
        <v>0.518286880647097</v>
      </c>
      <c r="Q1500" s="0" t="n">
        <f aca="true">RAND()</f>
        <v>0.239986711582842</v>
      </c>
      <c r="R1500" s="0" t="n">
        <f aca="false">IF($I1500&lt;&gt;$O1500,0,IF(P1500&lt;Matchup!$B$39,7,IF(P1500&lt;Matchup!$B$39+Matchup!$B$40,3,0)))</f>
        <v>0</v>
      </c>
      <c r="S1500" s="0" t="n">
        <f aca="false">IF($I1500&lt;&gt;$O1500,0,IF(Q1500&lt;Matchup!$C$39,7,IF(Q1500&lt;Matchup!$C$39+Matchup!$C$40,3,0)))</f>
        <v>0</v>
      </c>
      <c r="T1500" s="0" t="n">
        <f aca="false">I1500+R1500</f>
        <v>16</v>
      </c>
      <c r="U1500" s="0" t="n">
        <f aca="false">O1500+S1500</f>
        <v>31</v>
      </c>
      <c r="V1500" s="0" t="n">
        <f aca="false">T1500-U1500</f>
        <v>-15</v>
      </c>
      <c r="W1500" s="0" t="n">
        <f aca="false">T1500+U1500</f>
        <v>47</v>
      </c>
    </row>
    <row r="1501" customFormat="false" ht="15" hidden="false" customHeight="false" outlineLevel="0" collapsed="false">
      <c r="A1501" s="0" t="n">
        <v>1498</v>
      </c>
      <c r="B1501" s="0" t="n">
        <f aca="true">NORMINV(RAND(),1,Coefficients!$B$22)</f>
        <v>1.06411201305649</v>
      </c>
      <c r="C1501" s="0" t="n">
        <f aca="true">MEDIAN(8,16,ROUND(NORMINV(RAND(),Coefficients!$B$20,Coefficients!$B$21),0))</f>
        <v>10</v>
      </c>
      <c r="D1501" s="0" t="n">
        <f aca="true">CRITBINOM($C1501,MIN(0.75,Matchup!$B$39*$B1501),RAND())</f>
        <v>3</v>
      </c>
      <c r="E1501" s="0" t="n">
        <f aca="true">CRITBINOM(D1501,Coefficients!$B$30,RAND())</f>
        <v>0</v>
      </c>
      <c r="F1501" s="0" t="n">
        <f aca="true">CRITBINOM(E1501,Coefficients!$B$31,RAND())</f>
        <v>0</v>
      </c>
      <c r="G1501" s="0" t="n">
        <f aca="true">CRITBINOM(MAX(0,D1501-E1501),1-Coefficients!$B$32,RAND())</f>
        <v>1</v>
      </c>
      <c r="H1501" s="0" t="n">
        <f aca="true">CRITBINOM(MAX(0,$C1501-D1501),MIN(0.6,Matchup!$B$40*SQRT($B1501)/(1-MIN(0.75,Matchup!$B$39*$B1501))),RAND())</f>
        <v>2</v>
      </c>
      <c r="I1501" s="0" t="n">
        <f aca="false">6*D1501+(D1501-E1501-G1501)+2*F1501+3*H1501</f>
        <v>26</v>
      </c>
      <c r="J1501" s="0" t="n">
        <f aca="true">CRITBINOM($C1501,MIN(0.75,Matchup!$C$39*$B1501),RAND())</f>
        <v>1</v>
      </c>
      <c r="K1501" s="0" t="n">
        <f aca="true">CRITBINOM(J1501,Coefficients!$B$30,RAND())</f>
        <v>0</v>
      </c>
      <c r="L1501" s="0" t="n">
        <f aca="true">CRITBINOM(K1501,Coefficients!$B$31,RAND())</f>
        <v>0</v>
      </c>
      <c r="M1501" s="0" t="n">
        <f aca="true">CRITBINOM(MAX(0,J1501-K1501),1-Coefficients!$B$32,RAND())</f>
        <v>0</v>
      </c>
      <c r="N1501" s="0" t="n">
        <f aca="true">CRITBINOM(MAX(0,$C1501-J1501),MIN(0.6,Matchup!$C$40*SQRT($B1501)/(1-MIN(0.75,Matchup!$C$39*$B1501))),RAND())</f>
        <v>2</v>
      </c>
      <c r="O1501" s="0" t="n">
        <f aca="false">6*J1501+(J1501-K1501-M1501)+2*L1501+3*N1501</f>
        <v>13</v>
      </c>
      <c r="P1501" s="0" t="n">
        <f aca="true">RAND()</f>
        <v>0.390939283424457</v>
      </c>
      <c r="Q1501" s="0" t="n">
        <f aca="true">RAND()</f>
        <v>0.114363116173855</v>
      </c>
      <c r="R1501" s="0" t="n">
        <f aca="false">IF($I1501&lt;&gt;$O1501,0,IF(P1501&lt;Matchup!$B$39,7,IF(P1501&lt;Matchup!$B$39+Matchup!$B$40,3,0)))</f>
        <v>0</v>
      </c>
      <c r="S1501" s="0" t="n">
        <f aca="false">IF($I1501&lt;&gt;$O1501,0,IF(Q1501&lt;Matchup!$C$39,7,IF(Q1501&lt;Matchup!$C$39+Matchup!$C$40,3,0)))</f>
        <v>0</v>
      </c>
      <c r="T1501" s="0" t="n">
        <f aca="false">I1501+R1501</f>
        <v>26</v>
      </c>
      <c r="U1501" s="0" t="n">
        <f aca="false">O1501+S1501</f>
        <v>13</v>
      </c>
      <c r="V1501" s="0" t="n">
        <f aca="false">T1501-U1501</f>
        <v>13</v>
      </c>
      <c r="W1501" s="0" t="n">
        <f aca="false">T1501+U1501</f>
        <v>39</v>
      </c>
    </row>
    <row r="1502" customFormat="false" ht="15" hidden="false" customHeight="false" outlineLevel="0" collapsed="false">
      <c r="A1502" s="0" t="n">
        <v>1499</v>
      </c>
      <c r="B1502" s="0" t="n">
        <f aca="true">NORMINV(RAND(),1,Coefficients!$B$22)</f>
        <v>1.06199895231619</v>
      </c>
      <c r="C1502" s="0" t="n">
        <f aca="true">MEDIAN(8,16,ROUND(NORMINV(RAND(),Coefficients!$B$20,Coefficients!$B$21),0))</f>
        <v>10</v>
      </c>
      <c r="D1502" s="0" t="n">
        <f aca="true">CRITBINOM($C1502,MIN(0.75,Matchup!$B$39*$B1502),RAND())</f>
        <v>3</v>
      </c>
      <c r="E1502" s="0" t="n">
        <f aca="true">CRITBINOM(D1502,Coefficients!$B$30,RAND())</f>
        <v>0</v>
      </c>
      <c r="F1502" s="0" t="n">
        <f aca="true">CRITBINOM(E1502,Coefficients!$B$31,RAND())</f>
        <v>0</v>
      </c>
      <c r="G1502" s="0" t="n">
        <f aca="true">CRITBINOM(MAX(0,D1502-E1502),1-Coefficients!$B$32,RAND())</f>
        <v>0</v>
      </c>
      <c r="H1502" s="0" t="n">
        <f aca="true">CRITBINOM(MAX(0,$C1502-D1502),MIN(0.6,Matchup!$B$40*SQRT($B1502)/(1-MIN(0.75,Matchup!$B$39*$B1502))),RAND())</f>
        <v>2</v>
      </c>
      <c r="I1502" s="0" t="n">
        <f aca="false">6*D1502+(D1502-E1502-G1502)+2*F1502+3*H1502</f>
        <v>27</v>
      </c>
      <c r="J1502" s="0" t="n">
        <f aca="true">CRITBINOM($C1502,MIN(0.75,Matchup!$C$39*$B1502),RAND())</f>
        <v>3</v>
      </c>
      <c r="K1502" s="0" t="n">
        <f aca="true">CRITBINOM(J1502,Coefficients!$B$30,RAND())</f>
        <v>1</v>
      </c>
      <c r="L1502" s="0" t="n">
        <f aca="true">CRITBINOM(K1502,Coefficients!$B$31,RAND())</f>
        <v>1</v>
      </c>
      <c r="M1502" s="0" t="n">
        <f aca="true">CRITBINOM(MAX(0,J1502-K1502),1-Coefficients!$B$32,RAND())</f>
        <v>0</v>
      </c>
      <c r="N1502" s="0" t="n">
        <f aca="true">CRITBINOM(MAX(0,$C1502-J1502),MIN(0.6,Matchup!$C$40*SQRT($B1502)/(1-MIN(0.75,Matchup!$C$39*$B1502))),RAND())</f>
        <v>0</v>
      </c>
      <c r="O1502" s="0" t="n">
        <f aca="false">6*J1502+(J1502-K1502-M1502)+2*L1502+3*N1502</f>
        <v>22</v>
      </c>
      <c r="P1502" s="0" t="n">
        <f aca="true">RAND()</f>
        <v>0.578230907352875</v>
      </c>
      <c r="Q1502" s="0" t="n">
        <f aca="true">RAND()</f>
        <v>0.485913921513957</v>
      </c>
      <c r="R1502" s="0" t="n">
        <f aca="false">IF($I1502&lt;&gt;$O1502,0,IF(P1502&lt;Matchup!$B$39,7,IF(P1502&lt;Matchup!$B$39+Matchup!$B$40,3,0)))</f>
        <v>0</v>
      </c>
      <c r="S1502" s="0" t="n">
        <f aca="false">IF($I1502&lt;&gt;$O1502,0,IF(Q1502&lt;Matchup!$C$39,7,IF(Q1502&lt;Matchup!$C$39+Matchup!$C$40,3,0)))</f>
        <v>0</v>
      </c>
      <c r="T1502" s="0" t="n">
        <f aca="false">I1502+R1502</f>
        <v>27</v>
      </c>
      <c r="U1502" s="0" t="n">
        <f aca="false">O1502+S1502</f>
        <v>22</v>
      </c>
      <c r="V1502" s="0" t="n">
        <f aca="false">T1502-U1502</f>
        <v>5</v>
      </c>
      <c r="W1502" s="0" t="n">
        <f aca="false">T1502+U1502</f>
        <v>49</v>
      </c>
    </row>
    <row r="1503" customFormat="false" ht="15" hidden="false" customHeight="false" outlineLevel="0" collapsed="false">
      <c r="A1503" s="0" t="n">
        <v>1500</v>
      </c>
      <c r="B1503" s="0" t="n">
        <f aca="true">NORMINV(RAND(),1,Coefficients!$B$22)</f>
        <v>1.16308933672969</v>
      </c>
      <c r="C1503" s="0" t="n">
        <f aca="true">MEDIAN(8,16,ROUND(NORMINV(RAND(),Coefficients!$B$20,Coefficients!$B$21),0))</f>
        <v>12</v>
      </c>
      <c r="D1503" s="0" t="n">
        <f aca="true">CRITBINOM($C1503,MIN(0.75,Matchup!$B$39*$B1503),RAND())</f>
        <v>4</v>
      </c>
      <c r="E1503" s="0" t="n">
        <f aca="true">CRITBINOM(D1503,Coefficients!$B$30,RAND())</f>
        <v>0</v>
      </c>
      <c r="F1503" s="0" t="n">
        <f aca="true">CRITBINOM(E1503,Coefficients!$B$31,RAND())</f>
        <v>0</v>
      </c>
      <c r="G1503" s="0" t="n">
        <f aca="true">CRITBINOM(MAX(0,D1503-E1503),1-Coefficients!$B$32,RAND())</f>
        <v>0</v>
      </c>
      <c r="H1503" s="0" t="n">
        <f aca="true">CRITBINOM(MAX(0,$C1503-D1503),MIN(0.6,Matchup!$B$40*SQRT($B1503)/(1-MIN(0.75,Matchup!$B$39*$B1503))),RAND())</f>
        <v>2</v>
      </c>
      <c r="I1503" s="0" t="n">
        <f aca="false">6*D1503+(D1503-E1503-G1503)+2*F1503+3*H1503</f>
        <v>34</v>
      </c>
      <c r="J1503" s="0" t="n">
        <f aca="true">CRITBINOM($C1503,MIN(0.75,Matchup!$C$39*$B1503),RAND())</f>
        <v>2</v>
      </c>
      <c r="K1503" s="0" t="n">
        <f aca="true">CRITBINOM(J1503,Coefficients!$B$30,RAND())</f>
        <v>0</v>
      </c>
      <c r="L1503" s="0" t="n">
        <f aca="true">CRITBINOM(K1503,Coefficients!$B$31,RAND())</f>
        <v>0</v>
      </c>
      <c r="M1503" s="0" t="n">
        <f aca="true">CRITBINOM(MAX(0,J1503-K1503),1-Coefficients!$B$32,RAND())</f>
        <v>0</v>
      </c>
      <c r="N1503" s="0" t="n">
        <f aca="true">CRITBINOM(MAX(0,$C1503-J1503),MIN(0.6,Matchup!$C$40*SQRT($B1503)/(1-MIN(0.75,Matchup!$C$39*$B1503))),RAND())</f>
        <v>2</v>
      </c>
      <c r="O1503" s="0" t="n">
        <f aca="false">6*J1503+(J1503-K1503-M1503)+2*L1503+3*N1503</f>
        <v>20</v>
      </c>
      <c r="P1503" s="0" t="n">
        <f aca="true">RAND()</f>
        <v>0.481974603044863</v>
      </c>
      <c r="Q1503" s="0" t="n">
        <f aca="true">RAND()</f>
        <v>0.260781021488361</v>
      </c>
      <c r="R1503" s="0" t="n">
        <f aca="false">IF($I1503&lt;&gt;$O1503,0,IF(P1503&lt;Matchup!$B$39,7,IF(P1503&lt;Matchup!$B$39+Matchup!$B$40,3,0)))</f>
        <v>0</v>
      </c>
      <c r="S1503" s="0" t="n">
        <f aca="false">IF($I1503&lt;&gt;$O1503,0,IF(Q1503&lt;Matchup!$C$39,7,IF(Q1503&lt;Matchup!$C$39+Matchup!$C$40,3,0)))</f>
        <v>0</v>
      </c>
      <c r="T1503" s="0" t="n">
        <f aca="false">I1503+R1503</f>
        <v>34</v>
      </c>
      <c r="U1503" s="0" t="n">
        <f aca="false">O1503+S1503</f>
        <v>20</v>
      </c>
      <c r="V1503" s="0" t="n">
        <f aca="false">T1503-U1503</f>
        <v>14</v>
      </c>
      <c r="W1503" s="0" t="n">
        <f aca="false">T1503+U1503</f>
        <v>54</v>
      </c>
    </row>
    <row r="1504" customFormat="false" ht="15" hidden="false" customHeight="false" outlineLevel="0" collapsed="false">
      <c r="A1504" s="0" t="n">
        <v>1501</v>
      </c>
      <c r="B1504" s="0" t="n">
        <f aca="true">NORMINV(RAND(),1,Coefficients!$B$22)</f>
        <v>0.955665892353766</v>
      </c>
      <c r="C1504" s="0" t="n">
        <f aca="true">MEDIAN(8,16,ROUND(NORMINV(RAND(),Coefficients!$B$20,Coefficients!$B$21),0))</f>
        <v>12</v>
      </c>
      <c r="D1504" s="0" t="n">
        <f aca="true">CRITBINOM($C1504,MIN(0.75,Matchup!$B$39*$B1504),RAND())</f>
        <v>3</v>
      </c>
      <c r="E1504" s="0" t="n">
        <f aca="true">CRITBINOM(D1504,Coefficients!$B$30,RAND())</f>
        <v>0</v>
      </c>
      <c r="F1504" s="0" t="n">
        <f aca="true">CRITBINOM(E1504,Coefficients!$B$31,RAND())</f>
        <v>0</v>
      </c>
      <c r="G1504" s="0" t="n">
        <f aca="true">CRITBINOM(MAX(0,D1504-E1504),1-Coefficients!$B$32,RAND())</f>
        <v>1</v>
      </c>
      <c r="H1504" s="0" t="n">
        <f aca="true">CRITBINOM(MAX(0,$C1504-D1504),MIN(0.6,Matchup!$B$40*SQRT($B1504)/(1-MIN(0.75,Matchup!$B$39*$B1504))),RAND())</f>
        <v>2</v>
      </c>
      <c r="I1504" s="0" t="n">
        <f aca="false">6*D1504+(D1504-E1504-G1504)+2*F1504+3*H1504</f>
        <v>26</v>
      </c>
      <c r="J1504" s="0" t="n">
        <f aca="true">CRITBINOM($C1504,MIN(0.75,Matchup!$C$39*$B1504),RAND())</f>
        <v>1</v>
      </c>
      <c r="K1504" s="0" t="n">
        <f aca="true">CRITBINOM(J1504,Coefficients!$B$30,RAND())</f>
        <v>0</v>
      </c>
      <c r="L1504" s="0" t="n">
        <f aca="true">CRITBINOM(K1504,Coefficients!$B$31,RAND())</f>
        <v>0</v>
      </c>
      <c r="M1504" s="0" t="n">
        <f aca="true">CRITBINOM(MAX(0,J1504-K1504),1-Coefficients!$B$32,RAND())</f>
        <v>0</v>
      </c>
      <c r="N1504" s="0" t="n">
        <f aca="true">CRITBINOM(MAX(0,$C1504-J1504),MIN(0.6,Matchup!$C$40*SQRT($B1504)/(1-MIN(0.75,Matchup!$C$39*$B1504))),RAND())</f>
        <v>0</v>
      </c>
      <c r="O1504" s="0" t="n">
        <f aca="false">6*J1504+(J1504-K1504-M1504)+2*L1504+3*N1504</f>
        <v>7</v>
      </c>
      <c r="P1504" s="0" t="n">
        <f aca="true">RAND()</f>
        <v>0.327386987454448</v>
      </c>
      <c r="Q1504" s="0" t="n">
        <f aca="true">RAND()</f>
        <v>0.671420960294646</v>
      </c>
      <c r="R1504" s="0" t="n">
        <f aca="false">IF($I1504&lt;&gt;$O1504,0,IF(P1504&lt;Matchup!$B$39,7,IF(P1504&lt;Matchup!$B$39+Matchup!$B$40,3,0)))</f>
        <v>0</v>
      </c>
      <c r="S1504" s="0" t="n">
        <f aca="false">IF($I1504&lt;&gt;$O1504,0,IF(Q1504&lt;Matchup!$C$39,7,IF(Q1504&lt;Matchup!$C$39+Matchup!$C$40,3,0)))</f>
        <v>0</v>
      </c>
      <c r="T1504" s="0" t="n">
        <f aca="false">I1504+R1504</f>
        <v>26</v>
      </c>
      <c r="U1504" s="0" t="n">
        <f aca="false">O1504+S1504</f>
        <v>7</v>
      </c>
      <c r="V1504" s="0" t="n">
        <f aca="false">T1504-U1504</f>
        <v>19</v>
      </c>
      <c r="W1504" s="0" t="n">
        <f aca="false">T1504+U1504</f>
        <v>33</v>
      </c>
    </row>
    <row r="1505" customFormat="false" ht="15" hidden="false" customHeight="false" outlineLevel="0" collapsed="false">
      <c r="A1505" s="0" t="n">
        <v>1502</v>
      </c>
      <c r="B1505" s="0" t="n">
        <f aca="true">NORMINV(RAND(),1,Coefficients!$B$22)</f>
        <v>1.11016945197369</v>
      </c>
      <c r="C1505" s="0" t="n">
        <f aca="true">MEDIAN(8,16,ROUND(NORMINV(RAND(),Coefficients!$B$20,Coefficients!$B$21),0))</f>
        <v>12</v>
      </c>
      <c r="D1505" s="0" t="n">
        <f aca="true">CRITBINOM($C1505,MIN(0.75,Matchup!$B$39*$B1505),RAND())</f>
        <v>2</v>
      </c>
      <c r="E1505" s="0" t="n">
        <f aca="true">CRITBINOM(D1505,Coefficients!$B$30,RAND())</f>
        <v>0</v>
      </c>
      <c r="F1505" s="0" t="n">
        <f aca="true">CRITBINOM(E1505,Coefficients!$B$31,RAND())</f>
        <v>0</v>
      </c>
      <c r="G1505" s="0" t="n">
        <f aca="true">CRITBINOM(MAX(0,D1505-E1505),1-Coefficients!$B$32,RAND())</f>
        <v>0</v>
      </c>
      <c r="H1505" s="0" t="n">
        <f aca="true">CRITBINOM(MAX(0,$C1505-D1505),MIN(0.6,Matchup!$B$40*SQRT($B1505)/(1-MIN(0.75,Matchup!$B$39*$B1505))),RAND())</f>
        <v>2</v>
      </c>
      <c r="I1505" s="0" t="n">
        <f aca="false">6*D1505+(D1505-E1505-G1505)+2*F1505+3*H1505</f>
        <v>20</v>
      </c>
      <c r="J1505" s="0" t="n">
        <f aca="true">CRITBINOM($C1505,MIN(0.75,Matchup!$C$39*$B1505),RAND())</f>
        <v>5</v>
      </c>
      <c r="K1505" s="0" t="n">
        <f aca="true">CRITBINOM(J1505,Coefficients!$B$30,RAND())</f>
        <v>0</v>
      </c>
      <c r="L1505" s="0" t="n">
        <f aca="true">CRITBINOM(K1505,Coefficients!$B$31,RAND())</f>
        <v>0</v>
      </c>
      <c r="M1505" s="0" t="n">
        <f aca="true">CRITBINOM(MAX(0,J1505-K1505),1-Coefficients!$B$32,RAND())</f>
        <v>0</v>
      </c>
      <c r="N1505" s="0" t="n">
        <f aca="true">CRITBINOM(MAX(0,$C1505-J1505),MIN(0.6,Matchup!$C$40*SQRT($B1505)/(1-MIN(0.75,Matchup!$C$39*$B1505))),RAND())</f>
        <v>2</v>
      </c>
      <c r="O1505" s="0" t="n">
        <f aca="false">6*J1505+(J1505-K1505-M1505)+2*L1505+3*N1505</f>
        <v>41</v>
      </c>
      <c r="P1505" s="0" t="n">
        <f aca="true">RAND()</f>
        <v>0.58823366880853</v>
      </c>
      <c r="Q1505" s="0" t="n">
        <f aca="true">RAND()</f>
        <v>0.158553941025058</v>
      </c>
      <c r="R1505" s="0" t="n">
        <f aca="false">IF($I1505&lt;&gt;$O1505,0,IF(P1505&lt;Matchup!$B$39,7,IF(P1505&lt;Matchup!$B$39+Matchup!$B$40,3,0)))</f>
        <v>0</v>
      </c>
      <c r="S1505" s="0" t="n">
        <f aca="false">IF($I1505&lt;&gt;$O1505,0,IF(Q1505&lt;Matchup!$C$39,7,IF(Q1505&lt;Matchup!$C$39+Matchup!$C$40,3,0)))</f>
        <v>0</v>
      </c>
      <c r="T1505" s="0" t="n">
        <f aca="false">I1505+R1505</f>
        <v>20</v>
      </c>
      <c r="U1505" s="0" t="n">
        <f aca="false">O1505+S1505</f>
        <v>41</v>
      </c>
      <c r="V1505" s="0" t="n">
        <f aca="false">T1505-U1505</f>
        <v>-21</v>
      </c>
      <c r="W1505" s="0" t="n">
        <f aca="false">T1505+U1505</f>
        <v>61</v>
      </c>
    </row>
    <row r="1506" customFormat="false" ht="15" hidden="false" customHeight="false" outlineLevel="0" collapsed="false">
      <c r="A1506" s="0" t="n">
        <v>1503</v>
      </c>
      <c r="B1506" s="0" t="n">
        <f aca="true">NORMINV(RAND(),1,Coefficients!$B$22)</f>
        <v>0.914274934169408</v>
      </c>
      <c r="C1506" s="0" t="n">
        <f aca="true">MEDIAN(8,16,ROUND(NORMINV(RAND(),Coefficients!$B$20,Coefficients!$B$21),0))</f>
        <v>10</v>
      </c>
      <c r="D1506" s="0" t="n">
        <f aca="true">CRITBINOM($C1506,MIN(0.75,Matchup!$B$39*$B1506),RAND())</f>
        <v>1</v>
      </c>
      <c r="E1506" s="0" t="n">
        <f aca="true">CRITBINOM(D1506,Coefficients!$B$30,RAND())</f>
        <v>0</v>
      </c>
      <c r="F1506" s="0" t="n">
        <f aca="true">CRITBINOM(E1506,Coefficients!$B$31,RAND())</f>
        <v>0</v>
      </c>
      <c r="G1506" s="0" t="n">
        <f aca="true">CRITBINOM(MAX(0,D1506-E1506),1-Coefficients!$B$32,RAND())</f>
        <v>0</v>
      </c>
      <c r="H1506" s="0" t="n">
        <f aca="true">CRITBINOM(MAX(0,$C1506-D1506),MIN(0.6,Matchup!$B$40*SQRT($B1506)/(1-MIN(0.75,Matchup!$B$39*$B1506))),RAND())</f>
        <v>2</v>
      </c>
      <c r="I1506" s="0" t="n">
        <f aca="false">6*D1506+(D1506-E1506-G1506)+2*F1506+3*H1506</f>
        <v>13</v>
      </c>
      <c r="J1506" s="0" t="n">
        <f aca="true">CRITBINOM($C1506,MIN(0.75,Matchup!$C$39*$B1506),RAND())</f>
        <v>3</v>
      </c>
      <c r="K1506" s="0" t="n">
        <f aca="true">CRITBINOM(J1506,Coefficients!$B$30,RAND())</f>
        <v>0</v>
      </c>
      <c r="L1506" s="0" t="n">
        <f aca="true">CRITBINOM(K1506,Coefficients!$B$31,RAND())</f>
        <v>0</v>
      </c>
      <c r="M1506" s="0" t="n">
        <f aca="true">CRITBINOM(MAX(0,J1506-K1506),1-Coefficients!$B$32,RAND())</f>
        <v>1</v>
      </c>
      <c r="N1506" s="0" t="n">
        <f aca="true">CRITBINOM(MAX(0,$C1506-J1506),MIN(0.6,Matchup!$C$40*SQRT($B1506)/(1-MIN(0.75,Matchup!$C$39*$B1506))),RAND())</f>
        <v>1</v>
      </c>
      <c r="O1506" s="0" t="n">
        <f aca="false">6*J1506+(J1506-K1506-M1506)+2*L1506+3*N1506</f>
        <v>23</v>
      </c>
      <c r="P1506" s="0" t="n">
        <f aca="true">RAND()</f>
        <v>0.396614558327204</v>
      </c>
      <c r="Q1506" s="0" t="n">
        <f aca="true">RAND()</f>
        <v>0.312368425977445</v>
      </c>
      <c r="R1506" s="0" t="n">
        <f aca="false">IF($I1506&lt;&gt;$O1506,0,IF(P1506&lt;Matchup!$B$39,7,IF(P1506&lt;Matchup!$B$39+Matchup!$B$40,3,0)))</f>
        <v>0</v>
      </c>
      <c r="S1506" s="0" t="n">
        <f aca="false">IF($I1506&lt;&gt;$O1506,0,IF(Q1506&lt;Matchup!$C$39,7,IF(Q1506&lt;Matchup!$C$39+Matchup!$C$40,3,0)))</f>
        <v>0</v>
      </c>
      <c r="T1506" s="0" t="n">
        <f aca="false">I1506+R1506</f>
        <v>13</v>
      </c>
      <c r="U1506" s="0" t="n">
        <f aca="false">O1506+S1506</f>
        <v>23</v>
      </c>
      <c r="V1506" s="0" t="n">
        <f aca="false">T1506-U1506</f>
        <v>-10</v>
      </c>
      <c r="W1506" s="0" t="n">
        <f aca="false">T1506+U1506</f>
        <v>36</v>
      </c>
    </row>
    <row r="1507" customFormat="false" ht="15" hidden="false" customHeight="false" outlineLevel="0" collapsed="false">
      <c r="A1507" s="0" t="n">
        <v>1504</v>
      </c>
      <c r="B1507" s="0" t="n">
        <f aca="true">NORMINV(RAND(),1,Coefficients!$B$22)</f>
        <v>1.00627772883394</v>
      </c>
      <c r="C1507" s="0" t="n">
        <f aca="true">MEDIAN(8,16,ROUND(NORMINV(RAND(),Coefficients!$B$20,Coefficients!$B$21),0))</f>
        <v>12</v>
      </c>
      <c r="D1507" s="0" t="n">
        <f aca="true">CRITBINOM($C1507,MIN(0.75,Matchup!$B$39*$B1507),RAND())</f>
        <v>8</v>
      </c>
      <c r="E1507" s="0" t="n">
        <f aca="true">CRITBINOM(D1507,Coefficients!$B$30,RAND())</f>
        <v>0</v>
      </c>
      <c r="F1507" s="0" t="n">
        <f aca="true">CRITBINOM(E1507,Coefficients!$B$31,RAND())</f>
        <v>0</v>
      </c>
      <c r="G1507" s="0" t="n">
        <f aca="true">CRITBINOM(MAX(0,D1507-E1507),1-Coefficients!$B$32,RAND())</f>
        <v>0</v>
      </c>
      <c r="H1507" s="0" t="n">
        <f aca="true">CRITBINOM(MAX(0,$C1507-D1507),MIN(0.6,Matchup!$B$40*SQRT($B1507)/(1-MIN(0.75,Matchup!$B$39*$B1507))),RAND())</f>
        <v>0</v>
      </c>
      <c r="I1507" s="0" t="n">
        <f aca="false">6*D1507+(D1507-E1507-G1507)+2*F1507+3*H1507</f>
        <v>56</v>
      </c>
      <c r="J1507" s="0" t="n">
        <f aca="true">CRITBINOM($C1507,MIN(0.75,Matchup!$C$39*$B1507),RAND())</f>
        <v>5</v>
      </c>
      <c r="K1507" s="0" t="n">
        <f aca="true">CRITBINOM(J1507,Coefficients!$B$30,RAND())</f>
        <v>1</v>
      </c>
      <c r="L1507" s="0" t="n">
        <f aca="true">CRITBINOM(K1507,Coefficients!$B$31,RAND())</f>
        <v>1</v>
      </c>
      <c r="M1507" s="0" t="n">
        <f aca="true">CRITBINOM(MAX(0,J1507-K1507),1-Coefficients!$B$32,RAND())</f>
        <v>0</v>
      </c>
      <c r="N1507" s="0" t="n">
        <f aca="true">CRITBINOM(MAX(0,$C1507-J1507),MIN(0.6,Matchup!$C$40*SQRT($B1507)/(1-MIN(0.75,Matchup!$C$39*$B1507))),RAND())</f>
        <v>1</v>
      </c>
      <c r="O1507" s="0" t="n">
        <f aca="false">6*J1507+(J1507-K1507-M1507)+2*L1507+3*N1507</f>
        <v>39</v>
      </c>
      <c r="P1507" s="0" t="n">
        <f aca="true">RAND()</f>
        <v>0.662943655132776</v>
      </c>
      <c r="Q1507" s="0" t="n">
        <f aca="true">RAND()</f>
        <v>0.1152550155836</v>
      </c>
      <c r="R1507" s="0" t="n">
        <f aca="false">IF($I1507&lt;&gt;$O1507,0,IF(P1507&lt;Matchup!$B$39,7,IF(P1507&lt;Matchup!$B$39+Matchup!$B$40,3,0)))</f>
        <v>0</v>
      </c>
      <c r="S1507" s="0" t="n">
        <f aca="false">IF($I1507&lt;&gt;$O1507,0,IF(Q1507&lt;Matchup!$C$39,7,IF(Q1507&lt;Matchup!$C$39+Matchup!$C$40,3,0)))</f>
        <v>0</v>
      </c>
      <c r="T1507" s="0" t="n">
        <f aca="false">I1507+R1507</f>
        <v>56</v>
      </c>
      <c r="U1507" s="0" t="n">
        <f aca="false">O1507+S1507</f>
        <v>39</v>
      </c>
      <c r="V1507" s="0" t="n">
        <f aca="false">T1507-U1507</f>
        <v>17</v>
      </c>
      <c r="W1507" s="0" t="n">
        <f aca="false">T1507+U1507</f>
        <v>95</v>
      </c>
    </row>
    <row r="1508" customFormat="false" ht="15" hidden="false" customHeight="false" outlineLevel="0" collapsed="false">
      <c r="A1508" s="0" t="n">
        <v>1505</v>
      </c>
      <c r="B1508" s="0" t="n">
        <f aca="true">NORMINV(RAND(),1,Coefficients!$B$22)</f>
        <v>1.05751420006564</v>
      </c>
      <c r="C1508" s="0" t="n">
        <f aca="true">MEDIAN(8,16,ROUND(NORMINV(RAND(),Coefficients!$B$20,Coefficients!$B$21),0))</f>
        <v>12</v>
      </c>
      <c r="D1508" s="0" t="n">
        <f aca="true">CRITBINOM($C1508,MIN(0.75,Matchup!$B$39*$B1508),RAND())</f>
        <v>3</v>
      </c>
      <c r="E1508" s="0" t="n">
        <f aca="true">CRITBINOM(D1508,Coefficients!$B$30,RAND())</f>
        <v>0</v>
      </c>
      <c r="F1508" s="0" t="n">
        <f aca="true">CRITBINOM(E1508,Coefficients!$B$31,RAND())</f>
        <v>0</v>
      </c>
      <c r="G1508" s="0" t="n">
        <f aca="true">CRITBINOM(MAX(0,D1508-E1508),1-Coefficients!$B$32,RAND())</f>
        <v>0</v>
      </c>
      <c r="H1508" s="0" t="n">
        <f aca="true">CRITBINOM(MAX(0,$C1508-D1508),MIN(0.6,Matchup!$B$40*SQRT($B1508)/(1-MIN(0.75,Matchup!$B$39*$B1508))),RAND())</f>
        <v>1</v>
      </c>
      <c r="I1508" s="0" t="n">
        <f aca="false">6*D1508+(D1508-E1508-G1508)+2*F1508+3*H1508</f>
        <v>24</v>
      </c>
      <c r="J1508" s="0" t="n">
        <f aca="true">CRITBINOM($C1508,MIN(0.75,Matchup!$C$39*$B1508),RAND())</f>
        <v>3</v>
      </c>
      <c r="K1508" s="0" t="n">
        <f aca="true">CRITBINOM(J1508,Coefficients!$B$30,RAND())</f>
        <v>2</v>
      </c>
      <c r="L1508" s="0" t="n">
        <f aca="true">CRITBINOM(K1508,Coefficients!$B$31,RAND())</f>
        <v>1</v>
      </c>
      <c r="M1508" s="0" t="n">
        <f aca="true">CRITBINOM(MAX(0,J1508-K1508),1-Coefficients!$B$32,RAND())</f>
        <v>0</v>
      </c>
      <c r="N1508" s="0" t="n">
        <f aca="true">CRITBINOM(MAX(0,$C1508-J1508),MIN(0.6,Matchup!$C$40*SQRT($B1508)/(1-MIN(0.75,Matchup!$C$39*$B1508))),RAND())</f>
        <v>1</v>
      </c>
      <c r="O1508" s="0" t="n">
        <f aca="false">6*J1508+(J1508-K1508-M1508)+2*L1508+3*N1508</f>
        <v>24</v>
      </c>
      <c r="P1508" s="0" t="n">
        <f aca="true">RAND()</f>
        <v>0.374590379935054</v>
      </c>
      <c r="Q1508" s="0" t="n">
        <f aca="true">RAND()</f>
        <v>0.473838412414651</v>
      </c>
      <c r="R1508" s="0" t="n">
        <f aca="false">IF($I1508&lt;&gt;$O1508,0,IF(P1508&lt;Matchup!$B$39,7,IF(P1508&lt;Matchup!$B$39+Matchup!$B$40,3,0)))</f>
        <v>3</v>
      </c>
      <c r="S1508" s="0" t="n">
        <f aca="false">IF($I1508&lt;&gt;$O1508,0,IF(Q1508&lt;Matchup!$C$39,7,IF(Q1508&lt;Matchup!$C$39+Matchup!$C$40,3,0)))</f>
        <v>0</v>
      </c>
      <c r="T1508" s="0" t="n">
        <f aca="false">I1508+R1508</f>
        <v>27</v>
      </c>
      <c r="U1508" s="0" t="n">
        <f aca="false">O1508+S1508</f>
        <v>24</v>
      </c>
      <c r="V1508" s="0" t="n">
        <f aca="false">T1508-U1508</f>
        <v>3</v>
      </c>
      <c r="W1508" s="0" t="n">
        <f aca="false">T1508+U1508</f>
        <v>51</v>
      </c>
    </row>
    <row r="1509" customFormat="false" ht="15" hidden="false" customHeight="false" outlineLevel="0" collapsed="false">
      <c r="A1509" s="0" t="n">
        <v>1506</v>
      </c>
      <c r="B1509" s="0" t="n">
        <f aca="true">NORMINV(RAND(),1,Coefficients!$B$22)</f>
        <v>0.990590137824254</v>
      </c>
      <c r="C1509" s="0" t="n">
        <f aca="true">MEDIAN(8,16,ROUND(NORMINV(RAND(),Coefficients!$B$20,Coefficients!$B$21),0))</f>
        <v>12</v>
      </c>
      <c r="D1509" s="0" t="n">
        <f aca="true">CRITBINOM($C1509,MIN(0.75,Matchup!$B$39*$B1509),RAND())</f>
        <v>5</v>
      </c>
      <c r="E1509" s="0" t="n">
        <f aca="true">CRITBINOM(D1509,Coefficients!$B$30,RAND())</f>
        <v>1</v>
      </c>
      <c r="F1509" s="0" t="n">
        <f aca="true">CRITBINOM(E1509,Coefficients!$B$31,RAND())</f>
        <v>1</v>
      </c>
      <c r="G1509" s="0" t="n">
        <f aca="true">CRITBINOM(MAX(0,D1509-E1509),1-Coefficients!$B$32,RAND())</f>
        <v>0</v>
      </c>
      <c r="H1509" s="0" t="n">
        <f aca="true">CRITBINOM(MAX(0,$C1509-D1509),MIN(0.6,Matchup!$B$40*SQRT($B1509)/(1-MIN(0.75,Matchup!$B$39*$B1509))),RAND())</f>
        <v>1</v>
      </c>
      <c r="I1509" s="0" t="n">
        <f aca="false">6*D1509+(D1509-E1509-G1509)+2*F1509+3*H1509</f>
        <v>39</v>
      </c>
      <c r="J1509" s="0" t="n">
        <f aca="true">CRITBINOM($C1509,MIN(0.75,Matchup!$C$39*$B1509),RAND())</f>
        <v>2</v>
      </c>
      <c r="K1509" s="0" t="n">
        <f aca="true">CRITBINOM(J1509,Coefficients!$B$30,RAND())</f>
        <v>0</v>
      </c>
      <c r="L1509" s="0" t="n">
        <f aca="true">CRITBINOM(K1509,Coefficients!$B$31,RAND())</f>
        <v>0</v>
      </c>
      <c r="M1509" s="0" t="n">
        <f aca="true">CRITBINOM(MAX(0,J1509-K1509),1-Coefficients!$B$32,RAND())</f>
        <v>0</v>
      </c>
      <c r="N1509" s="0" t="n">
        <f aca="true">CRITBINOM(MAX(0,$C1509-J1509),MIN(0.6,Matchup!$C$40*SQRT($B1509)/(1-MIN(0.75,Matchup!$C$39*$B1509))),RAND())</f>
        <v>1</v>
      </c>
      <c r="O1509" s="0" t="n">
        <f aca="false">6*J1509+(J1509-K1509-M1509)+2*L1509+3*N1509</f>
        <v>17</v>
      </c>
      <c r="P1509" s="0" t="n">
        <f aca="true">RAND()</f>
        <v>0.725112665158754</v>
      </c>
      <c r="Q1509" s="0" t="n">
        <f aca="true">RAND()</f>
        <v>0.11619400926101</v>
      </c>
      <c r="R1509" s="0" t="n">
        <f aca="false">IF($I1509&lt;&gt;$O1509,0,IF(P1509&lt;Matchup!$B$39,7,IF(P1509&lt;Matchup!$B$39+Matchup!$B$40,3,0)))</f>
        <v>0</v>
      </c>
      <c r="S1509" s="0" t="n">
        <f aca="false">IF($I1509&lt;&gt;$O1509,0,IF(Q1509&lt;Matchup!$C$39,7,IF(Q1509&lt;Matchup!$C$39+Matchup!$C$40,3,0)))</f>
        <v>0</v>
      </c>
      <c r="T1509" s="0" t="n">
        <f aca="false">I1509+R1509</f>
        <v>39</v>
      </c>
      <c r="U1509" s="0" t="n">
        <f aca="false">O1509+S1509</f>
        <v>17</v>
      </c>
      <c r="V1509" s="0" t="n">
        <f aca="false">T1509-U1509</f>
        <v>22</v>
      </c>
      <c r="W1509" s="0" t="n">
        <f aca="false">T1509+U1509</f>
        <v>56</v>
      </c>
    </row>
    <row r="1510" customFormat="false" ht="15" hidden="false" customHeight="false" outlineLevel="0" collapsed="false">
      <c r="A1510" s="0" t="n">
        <v>1507</v>
      </c>
      <c r="B1510" s="0" t="n">
        <f aca="true">NORMINV(RAND(),1,Coefficients!$B$22)</f>
        <v>0.965319440115669</v>
      </c>
      <c r="C1510" s="0" t="n">
        <f aca="true">MEDIAN(8,16,ROUND(NORMINV(RAND(),Coefficients!$B$20,Coefficients!$B$21),0))</f>
        <v>12</v>
      </c>
      <c r="D1510" s="0" t="n">
        <f aca="true">CRITBINOM($C1510,MIN(0.75,Matchup!$B$39*$B1510),RAND())</f>
        <v>2</v>
      </c>
      <c r="E1510" s="0" t="n">
        <f aca="true">CRITBINOM(D1510,Coefficients!$B$30,RAND())</f>
        <v>0</v>
      </c>
      <c r="F1510" s="0" t="n">
        <f aca="true">CRITBINOM(E1510,Coefficients!$B$31,RAND())</f>
        <v>0</v>
      </c>
      <c r="G1510" s="0" t="n">
        <f aca="true">CRITBINOM(MAX(0,D1510-E1510),1-Coefficients!$B$32,RAND())</f>
        <v>0</v>
      </c>
      <c r="H1510" s="0" t="n">
        <f aca="true">CRITBINOM(MAX(0,$C1510-D1510),MIN(0.6,Matchup!$B$40*SQRT($B1510)/(1-MIN(0.75,Matchup!$B$39*$B1510))),RAND())</f>
        <v>0</v>
      </c>
      <c r="I1510" s="0" t="n">
        <f aca="false">6*D1510+(D1510-E1510-G1510)+2*F1510+3*H1510</f>
        <v>14</v>
      </c>
      <c r="J1510" s="0" t="n">
        <f aca="true">CRITBINOM($C1510,MIN(0.75,Matchup!$C$39*$B1510),RAND())</f>
        <v>3</v>
      </c>
      <c r="K1510" s="0" t="n">
        <f aca="true">CRITBINOM(J1510,Coefficients!$B$30,RAND())</f>
        <v>0</v>
      </c>
      <c r="L1510" s="0" t="n">
        <f aca="true">CRITBINOM(K1510,Coefficients!$B$31,RAND())</f>
        <v>0</v>
      </c>
      <c r="M1510" s="0" t="n">
        <f aca="true">CRITBINOM(MAX(0,J1510-K1510),1-Coefficients!$B$32,RAND())</f>
        <v>0</v>
      </c>
      <c r="N1510" s="0" t="n">
        <f aca="true">CRITBINOM(MAX(0,$C1510-J1510),MIN(0.6,Matchup!$C$40*SQRT($B1510)/(1-MIN(0.75,Matchup!$C$39*$B1510))),RAND())</f>
        <v>2</v>
      </c>
      <c r="O1510" s="0" t="n">
        <f aca="false">6*J1510+(J1510-K1510-M1510)+2*L1510+3*N1510</f>
        <v>27</v>
      </c>
      <c r="P1510" s="0" t="n">
        <f aca="true">RAND()</f>
        <v>0.267597936474599</v>
      </c>
      <c r="Q1510" s="0" t="n">
        <f aca="true">RAND()</f>
        <v>0.176570840130561</v>
      </c>
      <c r="R1510" s="0" t="n">
        <f aca="false">IF($I1510&lt;&gt;$O1510,0,IF(P1510&lt;Matchup!$B$39,7,IF(P1510&lt;Matchup!$B$39+Matchup!$B$40,3,0)))</f>
        <v>0</v>
      </c>
      <c r="S1510" s="0" t="n">
        <f aca="false">IF($I1510&lt;&gt;$O1510,0,IF(Q1510&lt;Matchup!$C$39,7,IF(Q1510&lt;Matchup!$C$39+Matchup!$C$40,3,0)))</f>
        <v>0</v>
      </c>
      <c r="T1510" s="0" t="n">
        <f aca="false">I1510+R1510</f>
        <v>14</v>
      </c>
      <c r="U1510" s="0" t="n">
        <f aca="false">O1510+S1510</f>
        <v>27</v>
      </c>
      <c r="V1510" s="0" t="n">
        <f aca="false">T1510-U1510</f>
        <v>-13</v>
      </c>
      <c r="W1510" s="0" t="n">
        <f aca="false">T1510+U1510</f>
        <v>41</v>
      </c>
    </row>
    <row r="1511" customFormat="false" ht="15" hidden="false" customHeight="false" outlineLevel="0" collapsed="false">
      <c r="A1511" s="0" t="n">
        <v>1508</v>
      </c>
      <c r="B1511" s="0" t="n">
        <f aca="true">NORMINV(RAND(),1,Coefficients!$B$22)</f>
        <v>0.997596685066018</v>
      </c>
      <c r="C1511" s="0" t="n">
        <f aca="true">MEDIAN(8,16,ROUND(NORMINV(RAND(),Coefficients!$B$20,Coefficients!$B$21),0))</f>
        <v>13</v>
      </c>
      <c r="D1511" s="0" t="n">
        <f aca="true">CRITBINOM($C1511,MIN(0.75,Matchup!$B$39*$B1511),RAND())</f>
        <v>1</v>
      </c>
      <c r="E1511" s="0" t="n">
        <f aca="true">CRITBINOM(D1511,Coefficients!$B$30,RAND())</f>
        <v>0</v>
      </c>
      <c r="F1511" s="0" t="n">
        <f aca="true">CRITBINOM(E1511,Coefficients!$B$31,RAND())</f>
        <v>0</v>
      </c>
      <c r="G1511" s="0" t="n">
        <f aca="true">CRITBINOM(MAX(0,D1511-E1511),1-Coefficients!$B$32,RAND())</f>
        <v>0</v>
      </c>
      <c r="H1511" s="0" t="n">
        <f aca="true">CRITBINOM(MAX(0,$C1511-D1511),MIN(0.6,Matchup!$B$40*SQRT($B1511)/(1-MIN(0.75,Matchup!$B$39*$B1511))),RAND())</f>
        <v>3</v>
      </c>
      <c r="I1511" s="0" t="n">
        <f aca="false">6*D1511+(D1511-E1511-G1511)+2*F1511+3*H1511</f>
        <v>16</v>
      </c>
      <c r="J1511" s="0" t="n">
        <f aca="true">CRITBINOM($C1511,MIN(0.75,Matchup!$C$39*$B1511),RAND())</f>
        <v>5</v>
      </c>
      <c r="K1511" s="0" t="n">
        <f aca="true">CRITBINOM(J1511,Coefficients!$B$30,RAND())</f>
        <v>1</v>
      </c>
      <c r="L1511" s="0" t="n">
        <f aca="true">CRITBINOM(K1511,Coefficients!$B$31,RAND())</f>
        <v>0</v>
      </c>
      <c r="M1511" s="0" t="n">
        <f aca="true">CRITBINOM(MAX(0,J1511-K1511),1-Coefficients!$B$32,RAND())</f>
        <v>0</v>
      </c>
      <c r="N1511" s="0" t="n">
        <f aca="true">CRITBINOM(MAX(0,$C1511-J1511),MIN(0.6,Matchup!$C$40*SQRT($B1511)/(1-MIN(0.75,Matchup!$C$39*$B1511))),RAND())</f>
        <v>1</v>
      </c>
      <c r="O1511" s="0" t="n">
        <f aca="false">6*J1511+(J1511-K1511-M1511)+2*L1511+3*N1511</f>
        <v>37</v>
      </c>
      <c r="P1511" s="0" t="n">
        <f aca="true">RAND()</f>
        <v>0.542284285072121</v>
      </c>
      <c r="Q1511" s="0" t="n">
        <f aca="true">RAND()</f>
        <v>0.751745275049792</v>
      </c>
      <c r="R1511" s="0" t="n">
        <f aca="false">IF($I1511&lt;&gt;$O1511,0,IF(P1511&lt;Matchup!$B$39,7,IF(P1511&lt;Matchup!$B$39+Matchup!$B$40,3,0)))</f>
        <v>0</v>
      </c>
      <c r="S1511" s="0" t="n">
        <f aca="false">IF($I1511&lt;&gt;$O1511,0,IF(Q1511&lt;Matchup!$C$39,7,IF(Q1511&lt;Matchup!$C$39+Matchup!$C$40,3,0)))</f>
        <v>0</v>
      </c>
      <c r="T1511" s="0" t="n">
        <f aca="false">I1511+R1511</f>
        <v>16</v>
      </c>
      <c r="U1511" s="0" t="n">
        <f aca="false">O1511+S1511</f>
        <v>37</v>
      </c>
      <c r="V1511" s="0" t="n">
        <f aca="false">T1511-U1511</f>
        <v>-21</v>
      </c>
      <c r="W1511" s="0" t="n">
        <f aca="false">T1511+U1511</f>
        <v>53</v>
      </c>
    </row>
    <row r="1512" customFormat="false" ht="15" hidden="false" customHeight="false" outlineLevel="0" collapsed="false">
      <c r="A1512" s="0" t="n">
        <v>1509</v>
      </c>
      <c r="B1512" s="0" t="n">
        <f aca="true">NORMINV(RAND(),1,Coefficients!$B$22)</f>
        <v>0.941147405983509</v>
      </c>
      <c r="C1512" s="0" t="n">
        <f aca="true">MEDIAN(8,16,ROUND(NORMINV(RAND(),Coefficients!$B$20,Coefficients!$B$21),0))</f>
        <v>10</v>
      </c>
      <c r="D1512" s="0" t="n">
        <f aca="true">CRITBINOM($C1512,MIN(0.75,Matchup!$B$39*$B1512),RAND())</f>
        <v>2</v>
      </c>
      <c r="E1512" s="0" t="n">
        <f aca="true">CRITBINOM(D1512,Coefficients!$B$30,RAND())</f>
        <v>0</v>
      </c>
      <c r="F1512" s="0" t="n">
        <f aca="true">CRITBINOM(E1512,Coefficients!$B$31,RAND())</f>
        <v>0</v>
      </c>
      <c r="G1512" s="0" t="n">
        <f aca="true">CRITBINOM(MAX(0,D1512-E1512),1-Coefficients!$B$32,RAND())</f>
        <v>0</v>
      </c>
      <c r="H1512" s="0" t="n">
        <f aca="true">CRITBINOM(MAX(0,$C1512-D1512),MIN(0.6,Matchup!$B$40*SQRT($B1512)/(1-MIN(0.75,Matchup!$B$39*$B1512))),RAND())</f>
        <v>2</v>
      </c>
      <c r="I1512" s="0" t="n">
        <f aca="false">6*D1512+(D1512-E1512-G1512)+2*F1512+3*H1512</f>
        <v>20</v>
      </c>
      <c r="J1512" s="0" t="n">
        <f aca="true">CRITBINOM($C1512,MIN(0.75,Matchup!$C$39*$B1512),RAND())</f>
        <v>4</v>
      </c>
      <c r="K1512" s="0" t="n">
        <f aca="true">CRITBINOM(J1512,Coefficients!$B$30,RAND())</f>
        <v>0</v>
      </c>
      <c r="L1512" s="0" t="n">
        <f aca="true">CRITBINOM(K1512,Coefficients!$B$31,RAND())</f>
        <v>0</v>
      </c>
      <c r="M1512" s="0" t="n">
        <f aca="true">CRITBINOM(MAX(0,J1512-K1512),1-Coefficients!$B$32,RAND())</f>
        <v>0</v>
      </c>
      <c r="N1512" s="0" t="n">
        <f aca="true">CRITBINOM(MAX(0,$C1512-J1512),MIN(0.6,Matchup!$C$40*SQRT($B1512)/(1-MIN(0.75,Matchup!$C$39*$B1512))),RAND())</f>
        <v>2</v>
      </c>
      <c r="O1512" s="0" t="n">
        <f aca="false">6*J1512+(J1512-K1512-M1512)+2*L1512+3*N1512</f>
        <v>34</v>
      </c>
      <c r="P1512" s="0" t="n">
        <f aca="true">RAND()</f>
        <v>0.947621612891691</v>
      </c>
      <c r="Q1512" s="0" t="n">
        <f aca="true">RAND()</f>
        <v>0.257016886249349</v>
      </c>
      <c r="R1512" s="0" t="n">
        <f aca="false">IF($I1512&lt;&gt;$O1512,0,IF(P1512&lt;Matchup!$B$39,7,IF(P1512&lt;Matchup!$B$39+Matchup!$B$40,3,0)))</f>
        <v>0</v>
      </c>
      <c r="S1512" s="0" t="n">
        <f aca="false">IF($I1512&lt;&gt;$O1512,0,IF(Q1512&lt;Matchup!$C$39,7,IF(Q1512&lt;Matchup!$C$39+Matchup!$C$40,3,0)))</f>
        <v>0</v>
      </c>
      <c r="T1512" s="0" t="n">
        <f aca="false">I1512+R1512</f>
        <v>20</v>
      </c>
      <c r="U1512" s="0" t="n">
        <f aca="false">O1512+S1512</f>
        <v>34</v>
      </c>
      <c r="V1512" s="0" t="n">
        <f aca="false">T1512-U1512</f>
        <v>-14</v>
      </c>
      <c r="W1512" s="0" t="n">
        <f aca="false">T1512+U1512</f>
        <v>54</v>
      </c>
    </row>
    <row r="1513" customFormat="false" ht="15" hidden="false" customHeight="false" outlineLevel="0" collapsed="false">
      <c r="A1513" s="0" t="n">
        <v>1510</v>
      </c>
      <c r="B1513" s="0" t="n">
        <f aca="true">NORMINV(RAND(),1,Coefficients!$B$22)</f>
        <v>0.912549725839751</v>
      </c>
      <c r="C1513" s="0" t="n">
        <f aca="true">MEDIAN(8,16,ROUND(NORMINV(RAND(),Coefficients!$B$20,Coefficients!$B$21),0))</f>
        <v>12</v>
      </c>
      <c r="D1513" s="0" t="n">
        <f aca="true">CRITBINOM($C1513,MIN(0.75,Matchup!$B$39*$B1513),RAND())</f>
        <v>1</v>
      </c>
      <c r="E1513" s="0" t="n">
        <f aca="true">CRITBINOM(D1513,Coefficients!$B$30,RAND())</f>
        <v>0</v>
      </c>
      <c r="F1513" s="0" t="n">
        <f aca="true">CRITBINOM(E1513,Coefficients!$B$31,RAND())</f>
        <v>0</v>
      </c>
      <c r="G1513" s="0" t="n">
        <f aca="true">CRITBINOM(MAX(0,D1513-E1513),1-Coefficients!$B$32,RAND())</f>
        <v>0</v>
      </c>
      <c r="H1513" s="0" t="n">
        <f aca="true">CRITBINOM(MAX(0,$C1513-D1513),MIN(0.6,Matchup!$B$40*SQRT($B1513)/(1-MIN(0.75,Matchup!$B$39*$B1513))),RAND())</f>
        <v>1</v>
      </c>
      <c r="I1513" s="0" t="n">
        <f aca="false">6*D1513+(D1513-E1513-G1513)+2*F1513+3*H1513</f>
        <v>10</v>
      </c>
      <c r="J1513" s="0" t="n">
        <f aca="true">CRITBINOM($C1513,MIN(0.75,Matchup!$C$39*$B1513),RAND())</f>
        <v>3</v>
      </c>
      <c r="K1513" s="0" t="n">
        <f aca="true">CRITBINOM(J1513,Coefficients!$B$30,RAND())</f>
        <v>0</v>
      </c>
      <c r="L1513" s="0" t="n">
        <f aca="true">CRITBINOM(K1513,Coefficients!$B$31,RAND())</f>
        <v>0</v>
      </c>
      <c r="M1513" s="0" t="n">
        <f aca="true">CRITBINOM(MAX(0,J1513-K1513),1-Coefficients!$B$32,RAND())</f>
        <v>1</v>
      </c>
      <c r="N1513" s="0" t="n">
        <f aca="true">CRITBINOM(MAX(0,$C1513-J1513),MIN(0.6,Matchup!$C$40*SQRT($B1513)/(1-MIN(0.75,Matchup!$C$39*$B1513))),RAND())</f>
        <v>3</v>
      </c>
      <c r="O1513" s="0" t="n">
        <f aca="false">6*J1513+(J1513-K1513-M1513)+2*L1513+3*N1513</f>
        <v>29</v>
      </c>
      <c r="P1513" s="0" t="n">
        <f aca="true">RAND()</f>
        <v>0.119235161671661</v>
      </c>
      <c r="Q1513" s="0" t="n">
        <f aca="true">RAND()</f>
        <v>0.943069234867158</v>
      </c>
      <c r="R1513" s="0" t="n">
        <f aca="false">IF($I1513&lt;&gt;$O1513,0,IF(P1513&lt;Matchup!$B$39,7,IF(P1513&lt;Matchup!$B$39+Matchup!$B$40,3,0)))</f>
        <v>0</v>
      </c>
      <c r="S1513" s="0" t="n">
        <f aca="false">IF($I1513&lt;&gt;$O1513,0,IF(Q1513&lt;Matchup!$C$39,7,IF(Q1513&lt;Matchup!$C$39+Matchup!$C$40,3,0)))</f>
        <v>0</v>
      </c>
      <c r="T1513" s="0" t="n">
        <f aca="false">I1513+R1513</f>
        <v>10</v>
      </c>
      <c r="U1513" s="0" t="n">
        <f aca="false">O1513+S1513</f>
        <v>29</v>
      </c>
      <c r="V1513" s="0" t="n">
        <f aca="false">T1513-U1513</f>
        <v>-19</v>
      </c>
      <c r="W1513" s="0" t="n">
        <f aca="false">T1513+U1513</f>
        <v>39</v>
      </c>
    </row>
    <row r="1514" customFormat="false" ht="15" hidden="false" customHeight="false" outlineLevel="0" collapsed="false">
      <c r="A1514" s="0" t="n">
        <v>1511</v>
      </c>
      <c r="B1514" s="0" t="n">
        <f aca="true">NORMINV(RAND(),1,Coefficients!$B$22)</f>
        <v>0.971693291684537</v>
      </c>
      <c r="C1514" s="0" t="n">
        <f aca="true">MEDIAN(8,16,ROUND(NORMINV(RAND(),Coefficients!$B$20,Coefficients!$B$21),0))</f>
        <v>12</v>
      </c>
      <c r="D1514" s="0" t="n">
        <f aca="true">CRITBINOM($C1514,MIN(0.75,Matchup!$B$39*$B1514),RAND())</f>
        <v>5</v>
      </c>
      <c r="E1514" s="0" t="n">
        <f aca="true">CRITBINOM(D1514,Coefficients!$B$30,RAND())</f>
        <v>1</v>
      </c>
      <c r="F1514" s="0" t="n">
        <f aca="true">CRITBINOM(E1514,Coefficients!$B$31,RAND())</f>
        <v>1</v>
      </c>
      <c r="G1514" s="0" t="n">
        <f aca="true">CRITBINOM(MAX(0,D1514-E1514),1-Coefficients!$B$32,RAND())</f>
        <v>0</v>
      </c>
      <c r="H1514" s="0" t="n">
        <f aca="true">CRITBINOM(MAX(0,$C1514-D1514),MIN(0.6,Matchup!$B$40*SQRT($B1514)/(1-MIN(0.75,Matchup!$B$39*$B1514))),RAND())</f>
        <v>1</v>
      </c>
      <c r="I1514" s="0" t="n">
        <f aca="false">6*D1514+(D1514-E1514-G1514)+2*F1514+3*H1514</f>
        <v>39</v>
      </c>
      <c r="J1514" s="0" t="n">
        <f aca="true">CRITBINOM($C1514,MIN(0.75,Matchup!$C$39*$B1514),RAND())</f>
        <v>2</v>
      </c>
      <c r="K1514" s="0" t="n">
        <f aca="true">CRITBINOM(J1514,Coefficients!$B$30,RAND())</f>
        <v>0</v>
      </c>
      <c r="L1514" s="0" t="n">
        <f aca="true">CRITBINOM(K1514,Coefficients!$B$31,RAND())</f>
        <v>0</v>
      </c>
      <c r="M1514" s="0" t="n">
        <f aca="true">CRITBINOM(MAX(0,J1514-K1514),1-Coefficients!$B$32,RAND())</f>
        <v>0</v>
      </c>
      <c r="N1514" s="0" t="n">
        <f aca="true">CRITBINOM(MAX(0,$C1514-J1514),MIN(0.6,Matchup!$C$40*SQRT($B1514)/(1-MIN(0.75,Matchup!$C$39*$B1514))),RAND())</f>
        <v>3</v>
      </c>
      <c r="O1514" s="0" t="n">
        <f aca="false">6*J1514+(J1514-K1514-M1514)+2*L1514+3*N1514</f>
        <v>23</v>
      </c>
      <c r="P1514" s="0" t="n">
        <f aca="true">RAND()</f>
        <v>0.397411003654997</v>
      </c>
      <c r="Q1514" s="0" t="n">
        <f aca="true">RAND()</f>
        <v>0.373870653027902</v>
      </c>
      <c r="R1514" s="0" t="n">
        <f aca="false">IF($I1514&lt;&gt;$O1514,0,IF(P1514&lt;Matchup!$B$39,7,IF(P1514&lt;Matchup!$B$39+Matchup!$B$40,3,0)))</f>
        <v>0</v>
      </c>
      <c r="S1514" s="0" t="n">
        <f aca="false">IF($I1514&lt;&gt;$O1514,0,IF(Q1514&lt;Matchup!$C$39,7,IF(Q1514&lt;Matchup!$C$39+Matchup!$C$40,3,0)))</f>
        <v>0</v>
      </c>
      <c r="T1514" s="0" t="n">
        <f aca="false">I1514+R1514</f>
        <v>39</v>
      </c>
      <c r="U1514" s="0" t="n">
        <f aca="false">O1514+S1514</f>
        <v>23</v>
      </c>
      <c r="V1514" s="0" t="n">
        <f aca="false">T1514-U1514</f>
        <v>16</v>
      </c>
      <c r="W1514" s="0" t="n">
        <f aca="false">T1514+U1514</f>
        <v>62</v>
      </c>
    </row>
    <row r="1515" customFormat="false" ht="15" hidden="false" customHeight="false" outlineLevel="0" collapsed="false">
      <c r="A1515" s="0" t="n">
        <v>1512</v>
      </c>
      <c r="B1515" s="0" t="n">
        <f aca="true">NORMINV(RAND(),1,Coefficients!$B$22)</f>
        <v>0.871112697972938</v>
      </c>
      <c r="C1515" s="0" t="n">
        <f aca="true">MEDIAN(8,16,ROUND(NORMINV(RAND(),Coefficients!$B$20,Coefficients!$B$21),0))</f>
        <v>12</v>
      </c>
      <c r="D1515" s="0" t="n">
        <f aca="true">CRITBINOM($C1515,MIN(0.75,Matchup!$B$39*$B1515),RAND())</f>
        <v>2</v>
      </c>
      <c r="E1515" s="0" t="n">
        <f aca="true">CRITBINOM(D1515,Coefficients!$B$30,RAND())</f>
        <v>0</v>
      </c>
      <c r="F1515" s="0" t="n">
        <f aca="true">CRITBINOM(E1515,Coefficients!$B$31,RAND())</f>
        <v>0</v>
      </c>
      <c r="G1515" s="0" t="n">
        <f aca="true">CRITBINOM(MAX(0,D1515-E1515),1-Coefficients!$B$32,RAND())</f>
        <v>0</v>
      </c>
      <c r="H1515" s="0" t="n">
        <f aca="true">CRITBINOM(MAX(0,$C1515-D1515),MIN(0.6,Matchup!$B$40*SQRT($B1515)/(1-MIN(0.75,Matchup!$B$39*$B1515))),RAND())</f>
        <v>1</v>
      </c>
      <c r="I1515" s="0" t="n">
        <f aca="false">6*D1515+(D1515-E1515-G1515)+2*F1515+3*H1515</f>
        <v>17</v>
      </c>
      <c r="J1515" s="0" t="n">
        <f aca="true">CRITBINOM($C1515,MIN(0.75,Matchup!$C$39*$B1515),RAND())</f>
        <v>2</v>
      </c>
      <c r="K1515" s="0" t="n">
        <f aca="true">CRITBINOM(J1515,Coefficients!$B$30,RAND())</f>
        <v>0</v>
      </c>
      <c r="L1515" s="0" t="n">
        <f aca="true">CRITBINOM(K1515,Coefficients!$B$31,RAND())</f>
        <v>0</v>
      </c>
      <c r="M1515" s="0" t="n">
        <f aca="true">CRITBINOM(MAX(0,J1515-K1515),1-Coefficients!$B$32,RAND())</f>
        <v>0</v>
      </c>
      <c r="N1515" s="0" t="n">
        <f aca="true">CRITBINOM(MAX(0,$C1515-J1515),MIN(0.6,Matchup!$C$40*SQRT($B1515)/(1-MIN(0.75,Matchup!$C$39*$B1515))),RAND())</f>
        <v>1</v>
      </c>
      <c r="O1515" s="0" t="n">
        <f aca="false">6*J1515+(J1515-K1515-M1515)+2*L1515+3*N1515</f>
        <v>17</v>
      </c>
      <c r="P1515" s="0" t="n">
        <f aca="true">RAND()</f>
        <v>0.314386470306512</v>
      </c>
      <c r="Q1515" s="0" t="n">
        <f aca="true">RAND()</f>
        <v>0.92348688657841</v>
      </c>
      <c r="R1515" s="0" t="n">
        <f aca="false">IF($I1515&lt;&gt;$O1515,0,IF(P1515&lt;Matchup!$B$39,7,IF(P1515&lt;Matchup!$B$39+Matchup!$B$40,3,0)))</f>
        <v>3</v>
      </c>
      <c r="S1515" s="0" t="n">
        <f aca="false">IF($I1515&lt;&gt;$O1515,0,IF(Q1515&lt;Matchup!$C$39,7,IF(Q1515&lt;Matchup!$C$39+Matchup!$C$40,3,0)))</f>
        <v>0</v>
      </c>
      <c r="T1515" s="0" t="n">
        <f aca="false">I1515+R1515</f>
        <v>20</v>
      </c>
      <c r="U1515" s="0" t="n">
        <f aca="false">O1515+S1515</f>
        <v>17</v>
      </c>
      <c r="V1515" s="0" t="n">
        <f aca="false">T1515-U1515</f>
        <v>3</v>
      </c>
      <c r="W1515" s="0" t="n">
        <f aca="false">T1515+U1515</f>
        <v>37</v>
      </c>
    </row>
    <row r="1516" customFormat="false" ht="15" hidden="false" customHeight="false" outlineLevel="0" collapsed="false">
      <c r="A1516" s="0" t="n">
        <v>1513</v>
      </c>
      <c r="B1516" s="0" t="n">
        <f aca="true">NORMINV(RAND(),1,Coefficients!$B$22)</f>
        <v>0.939294586940094</v>
      </c>
      <c r="C1516" s="0" t="n">
        <f aca="true">MEDIAN(8,16,ROUND(NORMINV(RAND(),Coefficients!$B$20,Coefficients!$B$21),0))</f>
        <v>12</v>
      </c>
      <c r="D1516" s="0" t="n">
        <f aca="true">CRITBINOM($C1516,MIN(0.75,Matchup!$B$39*$B1516),RAND())</f>
        <v>1</v>
      </c>
      <c r="E1516" s="0" t="n">
        <f aca="true">CRITBINOM(D1516,Coefficients!$B$30,RAND())</f>
        <v>0</v>
      </c>
      <c r="F1516" s="0" t="n">
        <f aca="true">CRITBINOM(E1516,Coefficients!$B$31,RAND())</f>
        <v>0</v>
      </c>
      <c r="G1516" s="0" t="n">
        <f aca="true">CRITBINOM(MAX(0,D1516-E1516),1-Coefficients!$B$32,RAND())</f>
        <v>0</v>
      </c>
      <c r="H1516" s="0" t="n">
        <f aca="true">CRITBINOM(MAX(0,$C1516-D1516),MIN(0.6,Matchup!$B$40*SQRT($B1516)/(1-MIN(0.75,Matchup!$B$39*$B1516))),RAND())</f>
        <v>3</v>
      </c>
      <c r="I1516" s="0" t="n">
        <f aca="false">6*D1516+(D1516-E1516-G1516)+2*F1516+3*H1516</f>
        <v>16</v>
      </c>
      <c r="J1516" s="0" t="n">
        <f aca="true">CRITBINOM($C1516,MIN(0.75,Matchup!$C$39*$B1516),RAND())</f>
        <v>3</v>
      </c>
      <c r="K1516" s="0" t="n">
        <f aca="true">CRITBINOM(J1516,Coefficients!$B$30,RAND())</f>
        <v>0</v>
      </c>
      <c r="L1516" s="0" t="n">
        <f aca="true">CRITBINOM(K1516,Coefficients!$B$31,RAND())</f>
        <v>0</v>
      </c>
      <c r="M1516" s="0" t="n">
        <f aca="true">CRITBINOM(MAX(0,J1516-K1516),1-Coefficients!$B$32,RAND())</f>
        <v>0</v>
      </c>
      <c r="N1516" s="0" t="n">
        <f aca="true">CRITBINOM(MAX(0,$C1516-J1516),MIN(0.6,Matchup!$C$40*SQRT($B1516)/(1-MIN(0.75,Matchup!$C$39*$B1516))),RAND())</f>
        <v>1</v>
      </c>
      <c r="O1516" s="0" t="n">
        <f aca="false">6*J1516+(J1516-K1516-M1516)+2*L1516+3*N1516</f>
        <v>24</v>
      </c>
      <c r="P1516" s="0" t="n">
        <f aca="true">RAND()</f>
        <v>0.562578933009054</v>
      </c>
      <c r="Q1516" s="0" t="n">
        <f aca="true">RAND()</f>
        <v>0.297297219723806</v>
      </c>
      <c r="R1516" s="0" t="n">
        <f aca="false">IF($I1516&lt;&gt;$O1516,0,IF(P1516&lt;Matchup!$B$39,7,IF(P1516&lt;Matchup!$B$39+Matchup!$B$40,3,0)))</f>
        <v>0</v>
      </c>
      <c r="S1516" s="0" t="n">
        <f aca="false">IF($I1516&lt;&gt;$O1516,0,IF(Q1516&lt;Matchup!$C$39,7,IF(Q1516&lt;Matchup!$C$39+Matchup!$C$40,3,0)))</f>
        <v>0</v>
      </c>
      <c r="T1516" s="0" t="n">
        <f aca="false">I1516+R1516</f>
        <v>16</v>
      </c>
      <c r="U1516" s="0" t="n">
        <f aca="false">O1516+S1516</f>
        <v>24</v>
      </c>
      <c r="V1516" s="0" t="n">
        <f aca="false">T1516-U1516</f>
        <v>-8</v>
      </c>
      <c r="W1516" s="0" t="n">
        <f aca="false">T1516+U1516</f>
        <v>40</v>
      </c>
    </row>
    <row r="1517" customFormat="false" ht="15" hidden="false" customHeight="false" outlineLevel="0" collapsed="false">
      <c r="A1517" s="0" t="n">
        <v>1514</v>
      </c>
      <c r="B1517" s="0" t="n">
        <f aca="true">NORMINV(RAND(),1,Coefficients!$B$22)</f>
        <v>0.885696776269412</v>
      </c>
      <c r="C1517" s="0" t="n">
        <f aca="true">MEDIAN(8,16,ROUND(NORMINV(RAND(),Coefficients!$B$20,Coefficients!$B$21),0))</f>
        <v>12</v>
      </c>
      <c r="D1517" s="0" t="n">
        <f aca="true">CRITBINOM($C1517,MIN(0.75,Matchup!$B$39*$B1517),RAND())</f>
        <v>4</v>
      </c>
      <c r="E1517" s="0" t="n">
        <f aca="true">CRITBINOM(D1517,Coefficients!$B$30,RAND())</f>
        <v>1</v>
      </c>
      <c r="F1517" s="0" t="n">
        <f aca="true">CRITBINOM(E1517,Coefficients!$B$31,RAND())</f>
        <v>1</v>
      </c>
      <c r="G1517" s="0" t="n">
        <f aca="true">CRITBINOM(MAX(0,D1517-E1517),1-Coefficients!$B$32,RAND())</f>
        <v>0</v>
      </c>
      <c r="H1517" s="0" t="n">
        <f aca="true">CRITBINOM(MAX(0,$C1517-D1517),MIN(0.6,Matchup!$B$40*SQRT($B1517)/(1-MIN(0.75,Matchup!$B$39*$B1517))),RAND())</f>
        <v>1</v>
      </c>
      <c r="I1517" s="0" t="n">
        <f aca="false">6*D1517+(D1517-E1517-G1517)+2*F1517+3*H1517</f>
        <v>32</v>
      </c>
      <c r="J1517" s="0" t="n">
        <f aca="true">CRITBINOM($C1517,MIN(0.75,Matchup!$C$39*$B1517),RAND())</f>
        <v>4</v>
      </c>
      <c r="K1517" s="0" t="n">
        <f aca="true">CRITBINOM(J1517,Coefficients!$B$30,RAND())</f>
        <v>0</v>
      </c>
      <c r="L1517" s="0" t="n">
        <f aca="true">CRITBINOM(K1517,Coefficients!$B$31,RAND())</f>
        <v>0</v>
      </c>
      <c r="M1517" s="0" t="n">
        <f aca="true">CRITBINOM(MAX(0,J1517-K1517),1-Coefficients!$B$32,RAND())</f>
        <v>0</v>
      </c>
      <c r="N1517" s="0" t="n">
        <f aca="true">CRITBINOM(MAX(0,$C1517-J1517),MIN(0.6,Matchup!$C$40*SQRT($B1517)/(1-MIN(0.75,Matchup!$C$39*$B1517))),RAND())</f>
        <v>0</v>
      </c>
      <c r="O1517" s="0" t="n">
        <f aca="false">6*J1517+(J1517-K1517-M1517)+2*L1517+3*N1517</f>
        <v>28</v>
      </c>
      <c r="P1517" s="0" t="n">
        <f aca="true">RAND()</f>
        <v>0.47056876332672</v>
      </c>
      <c r="Q1517" s="0" t="n">
        <f aca="true">RAND()</f>
        <v>0.260728343696182</v>
      </c>
      <c r="R1517" s="0" t="n">
        <f aca="false">IF($I1517&lt;&gt;$O1517,0,IF(P1517&lt;Matchup!$B$39,7,IF(P1517&lt;Matchup!$B$39+Matchup!$B$40,3,0)))</f>
        <v>0</v>
      </c>
      <c r="S1517" s="0" t="n">
        <f aca="false">IF($I1517&lt;&gt;$O1517,0,IF(Q1517&lt;Matchup!$C$39,7,IF(Q1517&lt;Matchup!$C$39+Matchup!$C$40,3,0)))</f>
        <v>0</v>
      </c>
      <c r="T1517" s="0" t="n">
        <f aca="false">I1517+R1517</f>
        <v>32</v>
      </c>
      <c r="U1517" s="0" t="n">
        <f aca="false">O1517+S1517</f>
        <v>28</v>
      </c>
      <c r="V1517" s="0" t="n">
        <f aca="false">T1517-U1517</f>
        <v>4</v>
      </c>
      <c r="W1517" s="0" t="n">
        <f aca="false">T1517+U1517</f>
        <v>60</v>
      </c>
    </row>
    <row r="1518" customFormat="false" ht="15" hidden="false" customHeight="false" outlineLevel="0" collapsed="false">
      <c r="A1518" s="0" t="n">
        <v>1515</v>
      </c>
      <c r="B1518" s="0" t="n">
        <f aca="true">NORMINV(RAND(),1,Coefficients!$B$22)</f>
        <v>0.960369392470495</v>
      </c>
      <c r="C1518" s="0" t="n">
        <f aca="true">MEDIAN(8,16,ROUND(NORMINV(RAND(),Coefficients!$B$20,Coefficients!$B$21),0))</f>
        <v>11</v>
      </c>
      <c r="D1518" s="0" t="n">
        <f aca="true">CRITBINOM($C1518,MIN(0.75,Matchup!$B$39*$B1518),RAND())</f>
        <v>5</v>
      </c>
      <c r="E1518" s="0" t="n">
        <f aca="true">CRITBINOM(D1518,Coefficients!$B$30,RAND())</f>
        <v>0</v>
      </c>
      <c r="F1518" s="0" t="n">
        <f aca="true">CRITBINOM(E1518,Coefficients!$B$31,RAND())</f>
        <v>0</v>
      </c>
      <c r="G1518" s="0" t="n">
        <f aca="true">CRITBINOM(MAX(0,D1518-E1518),1-Coefficients!$B$32,RAND())</f>
        <v>0</v>
      </c>
      <c r="H1518" s="0" t="n">
        <f aca="true">CRITBINOM(MAX(0,$C1518-D1518),MIN(0.6,Matchup!$B$40*SQRT($B1518)/(1-MIN(0.75,Matchup!$B$39*$B1518))),RAND())</f>
        <v>1</v>
      </c>
      <c r="I1518" s="0" t="n">
        <f aca="false">6*D1518+(D1518-E1518-G1518)+2*F1518+3*H1518</f>
        <v>38</v>
      </c>
      <c r="J1518" s="0" t="n">
        <f aca="true">CRITBINOM($C1518,MIN(0.75,Matchup!$C$39*$B1518),RAND())</f>
        <v>3</v>
      </c>
      <c r="K1518" s="0" t="n">
        <f aca="true">CRITBINOM(J1518,Coefficients!$B$30,RAND())</f>
        <v>0</v>
      </c>
      <c r="L1518" s="0" t="n">
        <f aca="true">CRITBINOM(K1518,Coefficients!$B$31,RAND())</f>
        <v>0</v>
      </c>
      <c r="M1518" s="0" t="n">
        <f aca="true">CRITBINOM(MAX(0,J1518-K1518),1-Coefficients!$B$32,RAND())</f>
        <v>1</v>
      </c>
      <c r="N1518" s="0" t="n">
        <f aca="true">CRITBINOM(MAX(0,$C1518-J1518),MIN(0.6,Matchup!$C$40*SQRT($B1518)/(1-MIN(0.75,Matchup!$C$39*$B1518))),RAND())</f>
        <v>1</v>
      </c>
      <c r="O1518" s="0" t="n">
        <f aca="false">6*J1518+(J1518-K1518-M1518)+2*L1518+3*N1518</f>
        <v>23</v>
      </c>
      <c r="P1518" s="0" t="n">
        <f aca="true">RAND()</f>
        <v>0.410596836122038</v>
      </c>
      <c r="Q1518" s="0" t="n">
        <f aca="true">RAND()</f>
        <v>0.615841145376898</v>
      </c>
      <c r="R1518" s="0" t="n">
        <f aca="false">IF($I1518&lt;&gt;$O1518,0,IF(P1518&lt;Matchup!$B$39,7,IF(P1518&lt;Matchup!$B$39+Matchup!$B$40,3,0)))</f>
        <v>0</v>
      </c>
      <c r="S1518" s="0" t="n">
        <f aca="false">IF($I1518&lt;&gt;$O1518,0,IF(Q1518&lt;Matchup!$C$39,7,IF(Q1518&lt;Matchup!$C$39+Matchup!$C$40,3,0)))</f>
        <v>0</v>
      </c>
      <c r="T1518" s="0" t="n">
        <f aca="false">I1518+R1518</f>
        <v>38</v>
      </c>
      <c r="U1518" s="0" t="n">
        <f aca="false">O1518+S1518</f>
        <v>23</v>
      </c>
      <c r="V1518" s="0" t="n">
        <f aca="false">T1518-U1518</f>
        <v>15</v>
      </c>
      <c r="W1518" s="0" t="n">
        <f aca="false">T1518+U1518</f>
        <v>61</v>
      </c>
    </row>
    <row r="1519" customFormat="false" ht="15" hidden="false" customHeight="false" outlineLevel="0" collapsed="false">
      <c r="A1519" s="0" t="n">
        <v>1516</v>
      </c>
      <c r="B1519" s="0" t="n">
        <f aca="true">NORMINV(RAND(),1,Coefficients!$B$22)</f>
        <v>0.997999729744923</v>
      </c>
      <c r="C1519" s="0" t="n">
        <f aca="true">MEDIAN(8,16,ROUND(NORMINV(RAND(),Coefficients!$B$20,Coefficients!$B$21),0))</f>
        <v>10</v>
      </c>
      <c r="D1519" s="0" t="n">
        <f aca="true">CRITBINOM($C1519,MIN(0.75,Matchup!$B$39*$B1519),RAND())</f>
        <v>3</v>
      </c>
      <c r="E1519" s="0" t="n">
        <f aca="true">CRITBINOM(D1519,Coefficients!$B$30,RAND())</f>
        <v>0</v>
      </c>
      <c r="F1519" s="0" t="n">
        <f aca="true">CRITBINOM(E1519,Coefficients!$B$31,RAND())</f>
        <v>0</v>
      </c>
      <c r="G1519" s="0" t="n">
        <f aca="true">CRITBINOM(MAX(0,D1519-E1519),1-Coefficients!$B$32,RAND())</f>
        <v>0</v>
      </c>
      <c r="H1519" s="0" t="n">
        <f aca="true">CRITBINOM(MAX(0,$C1519-D1519),MIN(0.6,Matchup!$B$40*SQRT($B1519)/(1-MIN(0.75,Matchup!$B$39*$B1519))),RAND())</f>
        <v>1</v>
      </c>
      <c r="I1519" s="0" t="n">
        <f aca="false">6*D1519+(D1519-E1519-G1519)+2*F1519+3*H1519</f>
        <v>24</v>
      </c>
      <c r="J1519" s="0" t="n">
        <f aca="true">CRITBINOM($C1519,MIN(0.75,Matchup!$C$39*$B1519),RAND())</f>
        <v>4</v>
      </c>
      <c r="K1519" s="0" t="n">
        <f aca="true">CRITBINOM(J1519,Coefficients!$B$30,RAND())</f>
        <v>2</v>
      </c>
      <c r="L1519" s="0" t="n">
        <f aca="true">CRITBINOM(K1519,Coefficients!$B$31,RAND())</f>
        <v>1</v>
      </c>
      <c r="M1519" s="0" t="n">
        <f aca="true">CRITBINOM(MAX(0,J1519-K1519),1-Coefficients!$B$32,RAND())</f>
        <v>0</v>
      </c>
      <c r="N1519" s="0" t="n">
        <f aca="true">CRITBINOM(MAX(0,$C1519-J1519),MIN(0.6,Matchup!$C$40*SQRT($B1519)/(1-MIN(0.75,Matchup!$C$39*$B1519))),RAND())</f>
        <v>2</v>
      </c>
      <c r="O1519" s="0" t="n">
        <f aca="false">6*J1519+(J1519-K1519-M1519)+2*L1519+3*N1519</f>
        <v>34</v>
      </c>
      <c r="P1519" s="0" t="n">
        <f aca="true">RAND()</f>
        <v>0.645980326470165</v>
      </c>
      <c r="Q1519" s="0" t="n">
        <f aca="true">RAND()</f>
        <v>0.00819028673318616</v>
      </c>
      <c r="R1519" s="0" t="n">
        <f aca="false">IF($I1519&lt;&gt;$O1519,0,IF(P1519&lt;Matchup!$B$39,7,IF(P1519&lt;Matchup!$B$39+Matchup!$B$40,3,0)))</f>
        <v>0</v>
      </c>
      <c r="S1519" s="0" t="n">
        <f aca="false">IF($I1519&lt;&gt;$O1519,0,IF(Q1519&lt;Matchup!$C$39,7,IF(Q1519&lt;Matchup!$C$39+Matchup!$C$40,3,0)))</f>
        <v>0</v>
      </c>
      <c r="T1519" s="0" t="n">
        <f aca="false">I1519+R1519</f>
        <v>24</v>
      </c>
      <c r="U1519" s="0" t="n">
        <f aca="false">O1519+S1519</f>
        <v>34</v>
      </c>
      <c r="V1519" s="0" t="n">
        <f aca="false">T1519-U1519</f>
        <v>-10</v>
      </c>
      <c r="W1519" s="0" t="n">
        <f aca="false">T1519+U1519</f>
        <v>58</v>
      </c>
    </row>
    <row r="1520" customFormat="false" ht="15" hidden="false" customHeight="false" outlineLevel="0" collapsed="false">
      <c r="A1520" s="0" t="n">
        <v>1517</v>
      </c>
      <c r="B1520" s="0" t="n">
        <f aca="true">NORMINV(RAND(),1,Coefficients!$B$22)</f>
        <v>0.949667369308368</v>
      </c>
      <c r="C1520" s="0" t="n">
        <f aca="true">MEDIAN(8,16,ROUND(NORMINV(RAND(),Coefficients!$B$20,Coefficients!$B$21),0))</f>
        <v>9</v>
      </c>
      <c r="D1520" s="0" t="n">
        <f aca="true">CRITBINOM($C1520,MIN(0.75,Matchup!$B$39*$B1520),RAND())</f>
        <v>4</v>
      </c>
      <c r="E1520" s="0" t="n">
        <f aca="true">CRITBINOM(D1520,Coefficients!$B$30,RAND())</f>
        <v>0</v>
      </c>
      <c r="F1520" s="0" t="n">
        <f aca="true">CRITBINOM(E1520,Coefficients!$B$31,RAND())</f>
        <v>0</v>
      </c>
      <c r="G1520" s="0" t="n">
        <f aca="true">CRITBINOM(MAX(0,D1520-E1520),1-Coefficients!$B$32,RAND())</f>
        <v>0</v>
      </c>
      <c r="H1520" s="0" t="n">
        <f aca="true">CRITBINOM(MAX(0,$C1520-D1520),MIN(0.6,Matchup!$B$40*SQRT($B1520)/(1-MIN(0.75,Matchup!$B$39*$B1520))),RAND())</f>
        <v>2</v>
      </c>
      <c r="I1520" s="0" t="n">
        <f aca="false">6*D1520+(D1520-E1520-G1520)+2*F1520+3*H1520</f>
        <v>34</v>
      </c>
      <c r="J1520" s="0" t="n">
        <f aca="true">CRITBINOM($C1520,MIN(0.75,Matchup!$C$39*$B1520),RAND())</f>
        <v>5</v>
      </c>
      <c r="K1520" s="0" t="n">
        <f aca="true">CRITBINOM(J1520,Coefficients!$B$30,RAND())</f>
        <v>0</v>
      </c>
      <c r="L1520" s="0" t="n">
        <f aca="true">CRITBINOM(K1520,Coefficients!$B$31,RAND())</f>
        <v>0</v>
      </c>
      <c r="M1520" s="0" t="n">
        <f aca="true">CRITBINOM(MAX(0,J1520-K1520),1-Coefficients!$B$32,RAND())</f>
        <v>0</v>
      </c>
      <c r="N1520" s="0" t="n">
        <f aca="true">CRITBINOM(MAX(0,$C1520-J1520),MIN(0.6,Matchup!$C$40*SQRT($B1520)/(1-MIN(0.75,Matchup!$C$39*$B1520))),RAND())</f>
        <v>0</v>
      </c>
      <c r="O1520" s="0" t="n">
        <f aca="false">6*J1520+(J1520-K1520-M1520)+2*L1520+3*N1520</f>
        <v>35</v>
      </c>
      <c r="P1520" s="0" t="n">
        <f aca="true">RAND()</f>
        <v>0.870124546532701</v>
      </c>
      <c r="Q1520" s="0" t="n">
        <f aca="true">RAND()</f>
        <v>0.0141171905233871</v>
      </c>
      <c r="R1520" s="0" t="n">
        <f aca="false">IF($I1520&lt;&gt;$O1520,0,IF(P1520&lt;Matchup!$B$39,7,IF(P1520&lt;Matchup!$B$39+Matchup!$B$40,3,0)))</f>
        <v>0</v>
      </c>
      <c r="S1520" s="0" t="n">
        <f aca="false">IF($I1520&lt;&gt;$O1520,0,IF(Q1520&lt;Matchup!$C$39,7,IF(Q1520&lt;Matchup!$C$39+Matchup!$C$40,3,0)))</f>
        <v>0</v>
      </c>
      <c r="T1520" s="0" t="n">
        <f aca="false">I1520+R1520</f>
        <v>34</v>
      </c>
      <c r="U1520" s="0" t="n">
        <f aca="false">O1520+S1520</f>
        <v>35</v>
      </c>
      <c r="V1520" s="0" t="n">
        <f aca="false">T1520-U1520</f>
        <v>-1</v>
      </c>
      <c r="W1520" s="0" t="n">
        <f aca="false">T1520+U1520</f>
        <v>69</v>
      </c>
    </row>
    <row r="1521" customFormat="false" ht="15" hidden="false" customHeight="false" outlineLevel="0" collapsed="false">
      <c r="A1521" s="0" t="n">
        <v>1518</v>
      </c>
      <c r="B1521" s="0" t="n">
        <f aca="true">NORMINV(RAND(),1,Coefficients!$B$22)</f>
        <v>0.936068714760507</v>
      </c>
      <c r="C1521" s="0" t="n">
        <f aca="true">MEDIAN(8,16,ROUND(NORMINV(RAND(),Coefficients!$B$20,Coefficients!$B$21),0))</f>
        <v>11</v>
      </c>
      <c r="D1521" s="0" t="n">
        <f aca="true">CRITBINOM($C1521,MIN(0.75,Matchup!$B$39*$B1521),RAND())</f>
        <v>1</v>
      </c>
      <c r="E1521" s="0" t="n">
        <f aca="true">CRITBINOM(D1521,Coefficients!$B$30,RAND())</f>
        <v>0</v>
      </c>
      <c r="F1521" s="0" t="n">
        <f aca="true">CRITBINOM(E1521,Coefficients!$B$31,RAND())</f>
        <v>0</v>
      </c>
      <c r="G1521" s="0" t="n">
        <f aca="true">CRITBINOM(MAX(0,D1521-E1521),1-Coefficients!$B$32,RAND())</f>
        <v>0</v>
      </c>
      <c r="H1521" s="0" t="n">
        <f aca="true">CRITBINOM(MAX(0,$C1521-D1521),MIN(0.6,Matchup!$B$40*SQRT($B1521)/(1-MIN(0.75,Matchup!$B$39*$B1521))),RAND())</f>
        <v>2</v>
      </c>
      <c r="I1521" s="0" t="n">
        <f aca="false">6*D1521+(D1521-E1521-G1521)+2*F1521+3*H1521</f>
        <v>13</v>
      </c>
      <c r="J1521" s="0" t="n">
        <f aca="true">CRITBINOM($C1521,MIN(0.75,Matchup!$C$39*$B1521),RAND())</f>
        <v>2</v>
      </c>
      <c r="K1521" s="0" t="n">
        <f aca="true">CRITBINOM(J1521,Coefficients!$B$30,RAND())</f>
        <v>0</v>
      </c>
      <c r="L1521" s="0" t="n">
        <f aca="true">CRITBINOM(K1521,Coefficients!$B$31,RAND())</f>
        <v>0</v>
      </c>
      <c r="M1521" s="0" t="n">
        <f aca="true">CRITBINOM(MAX(0,J1521-K1521),1-Coefficients!$B$32,RAND())</f>
        <v>0</v>
      </c>
      <c r="N1521" s="0" t="n">
        <f aca="true">CRITBINOM(MAX(0,$C1521-J1521),MIN(0.6,Matchup!$C$40*SQRT($B1521)/(1-MIN(0.75,Matchup!$C$39*$B1521))),RAND())</f>
        <v>2</v>
      </c>
      <c r="O1521" s="0" t="n">
        <f aca="false">6*J1521+(J1521-K1521-M1521)+2*L1521+3*N1521</f>
        <v>20</v>
      </c>
      <c r="P1521" s="0" t="n">
        <f aca="true">RAND()</f>
        <v>0.647859989970652</v>
      </c>
      <c r="Q1521" s="0" t="n">
        <f aca="true">RAND()</f>
        <v>0.295847834669932</v>
      </c>
      <c r="R1521" s="0" t="n">
        <f aca="false">IF($I1521&lt;&gt;$O1521,0,IF(P1521&lt;Matchup!$B$39,7,IF(P1521&lt;Matchup!$B$39+Matchup!$B$40,3,0)))</f>
        <v>0</v>
      </c>
      <c r="S1521" s="0" t="n">
        <f aca="false">IF($I1521&lt;&gt;$O1521,0,IF(Q1521&lt;Matchup!$C$39,7,IF(Q1521&lt;Matchup!$C$39+Matchup!$C$40,3,0)))</f>
        <v>0</v>
      </c>
      <c r="T1521" s="0" t="n">
        <f aca="false">I1521+R1521</f>
        <v>13</v>
      </c>
      <c r="U1521" s="0" t="n">
        <f aca="false">O1521+S1521</f>
        <v>20</v>
      </c>
      <c r="V1521" s="0" t="n">
        <f aca="false">T1521-U1521</f>
        <v>-7</v>
      </c>
      <c r="W1521" s="0" t="n">
        <f aca="false">T1521+U1521</f>
        <v>33</v>
      </c>
    </row>
    <row r="1522" customFormat="false" ht="15" hidden="false" customHeight="false" outlineLevel="0" collapsed="false">
      <c r="A1522" s="0" t="n">
        <v>1519</v>
      </c>
      <c r="B1522" s="0" t="n">
        <f aca="true">NORMINV(RAND(),1,Coefficients!$B$22)</f>
        <v>1.05808254062517</v>
      </c>
      <c r="C1522" s="0" t="n">
        <f aca="true">MEDIAN(8,16,ROUND(NORMINV(RAND(),Coefficients!$B$20,Coefficients!$B$21),0))</f>
        <v>11</v>
      </c>
      <c r="D1522" s="0" t="n">
        <f aca="true">CRITBINOM($C1522,MIN(0.75,Matchup!$B$39*$B1522),RAND())</f>
        <v>2</v>
      </c>
      <c r="E1522" s="0" t="n">
        <f aca="true">CRITBINOM(D1522,Coefficients!$B$30,RAND())</f>
        <v>0</v>
      </c>
      <c r="F1522" s="0" t="n">
        <f aca="true">CRITBINOM(E1522,Coefficients!$B$31,RAND())</f>
        <v>0</v>
      </c>
      <c r="G1522" s="0" t="n">
        <f aca="true">CRITBINOM(MAX(0,D1522-E1522),1-Coefficients!$B$32,RAND())</f>
        <v>0</v>
      </c>
      <c r="H1522" s="0" t="n">
        <f aca="true">CRITBINOM(MAX(0,$C1522-D1522),MIN(0.6,Matchup!$B$40*SQRT($B1522)/(1-MIN(0.75,Matchup!$B$39*$B1522))),RAND())</f>
        <v>1</v>
      </c>
      <c r="I1522" s="0" t="n">
        <f aca="false">6*D1522+(D1522-E1522-G1522)+2*F1522+3*H1522</f>
        <v>17</v>
      </c>
      <c r="J1522" s="0" t="n">
        <f aca="true">CRITBINOM($C1522,MIN(0.75,Matchup!$C$39*$B1522),RAND())</f>
        <v>3</v>
      </c>
      <c r="K1522" s="0" t="n">
        <f aca="true">CRITBINOM(J1522,Coefficients!$B$30,RAND())</f>
        <v>0</v>
      </c>
      <c r="L1522" s="0" t="n">
        <f aca="true">CRITBINOM(K1522,Coefficients!$B$31,RAND())</f>
        <v>0</v>
      </c>
      <c r="M1522" s="0" t="n">
        <f aca="true">CRITBINOM(MAX(0,J1522-K1522),1-Coefficients!$B$32,RAND())</f>
        <v>0</v>
      </c>
      <c r="N1522" s="0" t="n">
        <f aca="true">CRITBINOM(MAX(0,$C1522-J1522),MIN(0.6,Matchup!$C$40*SQRT($B1522)/(1-MIN(0.75,Matchup!$C$39*$B1522))),RAND())</f>
        <v>1</v>
      </c>
      <c r="O1522" s="0" t="n">
        <f aca="false">6*J1522+(J1522-K1522-M1522)+2*L1522+3*N1522</f>
        <v>24</v>
      </c>
      <c r="P1522" s="0" t="n">
        <f aca="true">RAND()</f>
        <v>0.0955701985472066</v>
      </c>
      <c r="Q1522" s="0" t="n">
        <f aca="true">RAND()</f>
        <v>0.924340378127482</v>
      </c>
      <c r="R1522" s="0" t="n">
        <f aca="false">IF($I1522&lt;&gt;$O1522,0,IF(P1522&lt;Matchup!$B$39,7,IF(P1522&lt;Matchup!$B$39+Matchup!$B$40,3,0)))</f>
        <v>0</v>
      </c>
      <c r="S1522" s="0" t="n">
        <f aca="false">IF($I1522&lt;&gt;$O1522,0,IF(Q1522&lt;Matchup!$C$39,7,IF(Q1522&lt;Matchup!$C$39+Matchup!$C$40,3,0)))</f>
        <v>0</v>
      </c>
      <c r="T1522" s="0" t="n">
        <f aca="false">I1522+R1522</f>
        <v>17</v>
      </c>
      <c r="U1522" s="0" t="n">
        <f aca="false">O1522+S1522</f>
        <v>24</v>
      </c>
      <c r="V1522" s="0" t="n">
        <f aca="false">T1522-U1522</f>
        <v>-7</v>
      </c>
      <c r="W1522" s="0" t="n">
        <f aca="false">T1522+U1522</f>
        <v>41</v>
      </c>
    </row>
    <row r="1523" customFormat="false" ht="15" hidden="false" customHeight="false" outlineLevel="0" collapsed="false">
      <c r="A1523" s="0" t="n">
        <v>1520</v>
      </c>
      <c r="B1523" s="0" t="n">
        <f aca="true">NORMINV(RAND(),1,Coefficients!$B$22)</f>
        <v>1.0253088093698</v>
      </c>
      <c r="C1523" s="0" t="n">
        <f aca="true">MEDIAN(8,16,ROUND(NORMINV(RAND(),Coefficients!$B$20,Coefficients!$B$21),0))</f>
        <v>10</v>
      </c>
      <c r="D1523" s="0" t="n">
        <f aca="true">CRITBINOM($C1523,MIN(0.75,Matchup!$B$39*$B1523),RAND())</f>
        <v>1</v>
      </c>
      <c r="E1523" s="0" t="n">
        <f aca="true">CRITBINOM(D1523,Coefficients!$B$30,RAND())</f>
        <v>0</v>
      </c>
      <c r="F1523" s="0" t="n">
        <f aca="true">CRITBINOM(E1523,Coefficients!$B$31,RAND())</f>
        <v>0</v>
      </c>
      <c r="G1523" s="0" t="n">
        <f aca="true">CRITBINOM(MAX(0,D1523-E1523),1-Coefficients!$B$32,RAND())</f>
        <v>0</v>
      </c>
      <c r="H1523" s="0" t="n">
        <f aca="true">CRITBINOM(MAX(0,$C1523-D1523),MIN(0.6,Matchup!$B$40*SQRT($B1523)/(1-MIN(0.75,Matchup!$B$39*$B1523))),RAND())</f>
        <v>3</v>
      </c>
      <c r="I1523" s="0" t="n">
        <f aca="false">6*D1523+(D1523-E1523-G1523)+2*F1523+3*H1523</f>
        <v>16</v>
      </c>
      <c r="J1523" s="0" t="n">
        <f aca="true">CRITBINOM($C1523,MIN(0.75,Matchup!$C$39*$B1523),RAND())</f>
        <v>4</v>
      </c>
      <c r="K1523" s="0" t="n">
        <f aca="true">CRITBINOM(J1523,Coefficients!$B$30,RAND())</f>
        <v>0</v>
      </c>
      <c r="L1523" s="0" t="n">
        <f aca="true">CRITBINOM(K1523,Coefficients!$B$31,RAND())</f>
        <v>0</v>
      </c>
      <c r="M1523" s="0" t="n">
        <f aca="true">CRITBINOM(MAX(0,J1523-K1523),1-Coefficients!$B$32,RAND())</f>
        <v>0</v>
      </c>
      <c r="N1523" s="0" t="n">
        <f aca="true">CRITBINOM(MAX(0,$C1523-J1523),MIN(0.6,Matchup!$C$40*SQRT($B1523)/(1-MIN(0.75,Matchup!$C$39*$B1523))),RAND())</f>
        <v>1</v>
      </c>
      <c r="O1523" s="0" t="n">
        <f aca="false">6*J1523+(J1523-K1523-M1523)+2*L1523+3*N1523</f>
        <v>31</v>
      </c>
      <c r="P1523" s="0" t="n">
        <f aca="true">RAND()</f>
        <v>0.0439239311528056</v>
      </c>
      <c r="Q1523" s="0" t="n">
        <f aca="true">RAND()</f>
        <v>0.52478011272567</v>
      </c>
      <c r="R1523" s="0" t="n">
        <f aca="false">IF($I1523&lt;&gt;$O1523,0,IF(P1523&lt;Matchup!$B$39,7,IF(P1523&lt;Matchup!$B$39+Matchup!$B$40,3,0)))</f>
        <v>0</v>
      </c>
      <c r="S1523" s="0" t="n">
        <f aca="false">IF($I1523&lt;&gt;$O1523,0,IF(Q1523&lt;Matchup!$C$39,7,IF(Q1523&lt;Matchup!$C$39+Matchup!$C$40,3,0)))</f>
        <v>0</v>
      </c>
      <c r="T1523" s="0" t="n">
        <f aca="false">I1523+R1523</f>
        <v>16</v>
      </c>
      <c r="U1523" s="0" t="n">
        <f aca="false">O1523+S1523</f>
        <v>31</v>
      </c>
      <c r="V1523" s="0" t="n">
        <f aca="false">T1523-U1523</f>
        <v>-15</v>
      </c>
      <c r="W1523" s="0" t="n">
        <f aca="false">T1523+U1523</f>
        <v>47</v>
      </c>
    </row>
    <row r="1524" customFormat="false" ht="15" hidden="false" customHeight="false" outlineLevel="0" collapsed="false">
      <c r="A1524" s="0" t="n">
        <v>1521</v>
      </c>
      <c r="B1524" s="0" t="n">
        <f aca="true">NORMINV(RAND(),1,Coefficients!$B$22)</f>
        <v>1.01268043000722</v>
      </c>
      <c r="C1524" s="0" t="n">
        <f aca="true">MEDIAN(8,16,ROUND(NORMINV(RAND(),Coefficients!$B$20,Coefficients!$B$21),0))</f>
        <v>11</v>
      </c>
      <c r="D1524" s="0" t="n">
        <f aca="true">CRITBINOM($C1524,MIN(0.75,Matchup!$B$39*$B1524),RAND())</f>
        <v>0</v>
      </c>
      <c r="E1524" s="0" t="n">
        <f aca="true">CRITBINOM(D1524,Coefficients!$B$30,RAND())</f>
        <v>0</v>
      </c>
      <c r="F1524" s="0" t="n">
        <f aca="true">CRITBINOM(E1524,Coefficients!$B$31,RAND())</f>
        <v>0</v>
      </c>
      <c r="G1524" s="0" t="n">
        <f aca="true">CRITBINOM(MAX(0,D1524-E1524),1-Coefficients!$B$32,RAND())</f>
        <v>0</v>
      </c>
      <c r="H1524" s="0" t="n">
        <f aca="true">CRITBINOM(MAX(0,$C1524-D1524),MIN(0.6,Matchup!$B$40*SQRT($B1524)/(1-MIN(0.75,Matchup!$B$39*$B1524))),RAND())</f>
        <v>1</v>
      </c>
      <c r="I1524" s="0" t="n">
        <f aca="false">6*D1524+(D1524-E1524-G1524)+2*F1524+3*H1524</f>
        <v>3</v>
      </c>
      <c r="J1524" s="0" t="n">
        <f aca="true">CRITBINOM($C1524,MIN(0.75,Matchup!$C$39*$B1524),RAND())</f>
        <v>1</v>
      </c>
      <c r="K1524" s="0" t="n">
        <f aca="true">CRITBINOM(J1524,Coefficients!$B$30,RAND())</f>
        <v>0</v>
      </c>
      <c r="L1524" s="0" t="n">
        <f aca="true">CRITBINOM(K1524,Coefficients!$B$31,RAND())</f>
        <v>0</v>
      </c>
      <c r="M1524" s="0" t="n">
        <f aca="true">CRITBINOM(MAX(0,J1524-K1524),1-Coefficients!$B$32,RAND())</f>
        <v>0</v>
      </c>
      <c r="N1524" s="0" t="n">
        <f aca="true">CRITBINOM(MAX(0,$C1524-J1524),MIN(0.6,Matchup!$C$40*SQRT($B1524)/(1-MIN(0.75,Matchup!$C$39*$B1524))),RAND())</f>
        <v>2</v>
      </c>
      <c r="O1524" s="0" t="n">
        <f aca="false">6*J1524+(J1524-K1524-M1524)+2*L1524+3*N1524</f>
        <v>13</v>
      </c>
      <c r="P1524" s="0" t="n">
        <f aca="true">RAND()</f>
        <v>0.803476322361003</v>
      </c>
      <c r="Q1524" s="0" t="n">
        <f aca="true">RAND()</f>
        <v>0.487905634789708</v>
      </c>
      <c r="R1524" s="0" t="n">
        <f aca="false">IF($I1524&lt;&gt;$O1524,0,IF(P1524&lt;Matchup!$B$39,7,IF(P1524&lt;Matchup!$B$39+Matchup!$B$40,3,0)))</f>
        <v>0</v>
      </c>
      <c r="S1524" s="0" t="n">
        <f aca="false">IF($I1524&lt;&gt;$O1524,0,IF(Q1524&lt;Matchup!$C$39,7,IF(Q1524&lt;Matchup!$C$39+Matchup!$C$40,3,0)))</f>
        <v>0</v>
      </c>
      <c r="T1524" s="0" t="n">
        <f aca="false">I1524+R1524</f>
        <v>3</v>
      </c>
      <c r="U1524" s="0" t="n">
        <f aca="false">O1524+S1524</f>
        <v>13</v>
      </c>
      <c r="V1524" s="0" t="n">
        <f aca="false">T1524-U1524</f>
        <v>-10</v>
      </c>
      <c r="W1524" s="0" t="n">
        <f aca="false">T1524+U1524</f>
        <v>16</v>
      </c>
    </row>
    <row r="1525" customFormat="false" ht="15" hidden="false" customHeight="false" outlineLevel="0" collapsed="false">
      <c r="A1525" s="0" t="n">
        <v>1522</v>
      </c>
      <c r="B1525" s="0" t="n">
        <f aca="true">NORMINV(RAND(),1,Coefficients!$B$22)</f>
        <v>0.988677583890074</v>
      </c>
      <c r="C1525" s="0" t="n">
        <f aca="true">MEDIAN(8,16,ROUND(NORMINV(RAND(),Coefficients!$B$20,Coefficients!$B$21),0))</f>
        <v>11</v>
      </c>
      <c r="D1525" s="0" t="n">
        <f aca="true">CRITBINOM($C1525,MIN(0.75,Matchup!$B$39*$B1525),RAND())</f>
        <v>3</v>
      </c>
      <c r="E1525" s="0" t="n">
        <f aca="true">CRITBINOM(D1525,Coefficients!$B$30,RAND())</f>
        <v>1</v>
      </c>
      <c r="F1525" s="0" t="n">
        <f aca="true">CRITBINOM(E1525,Coefficients!$B$31,RAND())</f>
        <v>0</v>
      </c>
      <c r="G1525" s="0" t="n">
        <f aca="true">CRITBINOM(MAX(0,D1525-E1525),1-Coefficients!$B$32,RAND())</f>
        <v>0</v>
      </c>
      <c r="H1525" s="0" t="n">
        <f aca="true">CRITBINOM(MAX(0,$C1525-D1525),MIN(0.6,Matchup!$B$40*SQRT($B1525)/(1-MIN(0.75,Matchup!$B$39*$B1525))),RAND())</f>
        <v>3</v>
      </c>
      <c r="I1525" s="0" t="n">
        <f aca="false">6*D1525+(D1525-E1525-G1525)+2*F1525+3*H1525</f>
        <v>29</v>
      </c>
      <c r="J1525" s="0" t="n">
        <f aca="true">CRITBINOM($C1525,MIN(0.75,Matchup!$C$39*$B1525),RAND())</f>
        <v>3</v>
      </c>
      <c r="K1525" s="0" t="n">
        <f aca="true">CRITBINOM(J1525,Coefficients!$B$30,RAND())</f>
        <v>1</v>
      </c>
      <c r="L1525" s="0" t="n">
        <f aca="true">CRITBINOM(K1525,Coefficients!$B$31,RAND())</f>
        <v>1</v>
      </c>
      <c r="M1525" s="0" t="n">
        <f aca="true">CRITBINOM(MAX(0,J1525-K1525),1-Coefficients!$B$32,RAND())</f>
        <v>0</v>
      </c>
      <c r="N1525" s="0" t="n">
        <f aca="true">CRITBINOM(MAX(0,$C1525-J1525),MIN(0.6,Matchup!$C$40*SQRT($B1525)/(1-MIN(0.75,Matchup!$C$39*$B1525))),RAND())</f>
        <v>3</v>
      </c>
      <c r="O1525" s="0" t="n">
        <f aca="false">6*J1525+(J1525-K1525-M1525)+2*L1525+3*N1525</f>
        <v>31</v>
      </c>
      <c r="P1525" s="0" t="n">
        <f aca="true">RAND()</f>
        <v>0.408340652726847</v>
      </c>
      <c r="Q1525" s="0" t="n">
        <f aca="true">RAND()</f>
        <v>0.163716723993258</v>
      </c>
      <c r="R1525" s="0" t="n">
        <f aca="false">IF($I1525&lt;&gt;$O1525,0,IF(P1525&lt;Matchup!$B$39,7,IF(P1525&lt;Matchup!$B$39+Matchup!$B$40,3,0)))</f>
        <v>0</v>
      </c>
      <c r="S1525" s="0" t="n">
        <f aca="false">IF($I1525&lt;&gt;$O1525,0,IF(Q1525&lt;Matchup!$C$39,7,IF(Q1525&lt;Matchup!$C$39+Matchup!$C$40,3,0)))</f>
        <v>0</v>
      </c>
      <c r="T1525" s="0" t="n">
        <f aca="false">I1525+R1525</f>
        <v>29</v>
      </c>
      <c r="U1525" s="0" t="n">
        <f aca="false">O1525+S1525</f>
        <v>31</v>
      </c>
      <c r="V1525" s="0" t="n">
        <f aca="false">T1525-U1525</f>
        <v>-2</v>
      </c>
      <c r="W1525" s="0" t="n">
        <f aca="false">T1525+U1525</f>
        <v>60</v>
      </c>
    </row>
    <row r="1526" customFormat="false" ht="15" hidden="false" customHeight="false" outlineLevel="0" collapsed="false">
      <c r="A1526" s="0" t="n">
        <v>1523</v>
      </c>
      <c r="B1526" s="0" t="n">
        <f aca="true">NORMINV(RAND(),1,Coefficients!$B$22)</f>
        <v>1.04816023004327</v>
      </c>
      <c r="C1526" s="0" t="n">
        <f aca="true">MEDIAN(8,16,ROUND(NORMINV(RAND(),Coefficients!$B$20,Coefficients!$B$21),0))</f>
        <v>10</v>
      </c>
      <c r="D1526" s="0" t="n">
        <f aca="true">CRITBINOM($C1526,MIN(0.75,Matchup!$B$39*$B1526),RAND())</f>
        <v>3</v>
      </c>
      <c r="E1526" s="0" t="n">
        <f aca="true">CRITBINOM(D1526,Coefficients!$B$30,RAND())</f>
        <v>0</v>
      </c>
      <c r="F1526" s="0" t="n">
        <f aca="true">CRITBINOM(E1526,Coefficients!$B$31,RAND())</f>
        <v>0</v>
      </c>
      <c r="G1526" s="0" t="n">
        <f aca="true">CRITBINOM(MAX(0,D1526-E1526),1-Coefficients!$B$32,RAND())</f>
        <v>0</v>
      </c>
      <c r="H1526" s="0" t="n">
        <f aca="true">CRITBINOM(MAX(0,$C1526-D1526),MIN(0.6,Matchup!$B$40*SQRT($B1526)/(1-MIN(0.75,Matchup!$B$39*$B1526))),RAND())</f>
        <v>0</v>
      </c>
      <c r="I1526" s="0" t="n">
        <f aca="false">6*D1526+(D1526-E1526-G1526)+2*F1526+3*H1526</f>
        <v>21</v>
      </c>
      <c r="J1526" s="0" t="n">
        <f aca="true">CRITBINOM($C1526,MIN(0.75,Matchup!$C$39*$B1526),RAND())</f>
        <v>3</v>
      </c>
      <c r="K1526" s="0" t="n">
        <f aca="true">CRITBINOM(J1526,Coefficients!$B$30,RAND())</f>
        <v>1</v>
      </c>
      <c r="L1526" s="0" t="n">
        <f aca="true">CRITBINOM(K1526,Coefficients!$B$31,RAND())</f>
        <v>1</v>
      </c>
      <c r="M1526" s="0" t="n">
        <f aca="true">CRITBINOM(MAX(0,J1526-K1526),1-Coefficients!$B$32,RAND())</f>
        <v>0</v>
      </c>
      <c r="N1526" s="0" t="n">
        <f aca="true">CRITBINOM(MAX(0,$C1526-J1526),MIN(0.6,Matchup!$C$40*SQRT($B1526)/(1-MIN(0.75,Matchup!$C$39*$B1526))),RAND())</f>
        <v>2</v>
      </c>
      <c r="O1526" s="0" t="n">
        <f aca="false">6*J1526+(J1526-K1526-M1526)+2*L1526+3*N1526</f>
        <v>28</v>
      </c>
      <c r="P1526" s="0" t="n">
        <f aca="true">RAND()</f>
        <v>0.00147209385016227</v>
      </c>
      <c r="Q1526" s="0" t="n">
        <f aca="true">RAND()</f>
        <v>0.239958736544444</v>
      </c>
      <c r="R1526" s="0" t="n">
        <f aca="false">IF($I1526&lt;&gt;$O1526,0,IF(P1526&lt;Matchup!$B$39,7,IF(P1526&lt;Matchup!$B$39+Matchup!$B$40,3,0)))</f>
        <v>0</v>
      </c>
      <c r="S1526" s="0" t="n">
        <f aca="false">IF($I1526&lt;&gt;$O1526,0,IF(Q1526&lt;Matchup!$C$39,7,IF(Q1526&lt;Matchup!$C$39+Matchup!$C$40,3,0)))</f>
        <v>0</v>
      </c>
      <c r="T1526" s="0" t="n">
        <f aca="false">I1526+R1526</f>
        <v>21</v>
      </c>
      <c r="U1526" s="0" t="n">
        <f aca="false">O1526+S1526</f>
        <v>28</v>
      </c>
      <c r="V1526" s="0" t="n">
        <f aca="false">T1526-U1526</f>
        <v>-7</v>
      </c>
      <c r="W1526" s="0" t="n">
        <f aca="false">T1526+U1526</f>
        <v>49</v>
      </c>
    </row>
    <row r="1527" customFormat="false" ht="15" hidden="false" customHeight="false" outlineLevel="0" collapsed="false">
      <c r="A1527" s="0" t="n">
        <v>1524</v>
      </c>
      <c r="B1527" s="0" t="n">
        <f aca="true">NORMINV(RAND(),1,Coefficients!$B$22)</f>
        <v>0.906563336933843</v>
      </c>
      <c r="C1527" s="0" t="n">
        <f aca="true">MEDIAN(8,16,ROUND(NORMINV(RAND(),Coefficients!$B$20,Coefficients!$B$21),0))</f>
        <v>13</v>
      </c>
      <c r="D1527" s="0" t="n">
        <f aca="true">CRITBINOM($C1527,MIN(0.75,Matchup!$B$39*$B1527),RAND())</f>
        <v>2</v>
      </c>
      <c r="E1527" s="0" t="n">
        <f aca="true">CRITBINOM(D1527,Coefficients!$B$30,RAND())</f>
        <v>0</v>
      </c>
      <c r="F1527" s="0" t="n">
        <f aca="true">CRITBINOM(E1527,Coefficients!$B$31,RAND())</f>
        <v>0</v>
      </c>
      <c r="G1527" s="0" t="n">
        <f aca="true">CRITBINOM(MAX(0,D1527-E1527),1-Coefficients!$B$32,RAND())</f>
        <v>0</v>
      </c>
      <c r="H1527" s="0" t="n">
        <f aca="true">CRITBINOM(MAX(0,$C1527-D1527),MIN(0.6,Matchup!$B$40*SQRT($B1527)/(1-MIN(0.75,Matchup!$B$39*$B1527))),RAND())</f>
        <v>1</v>
      </c>
      <c r="I1527" s="0" t="n">
        <f aca="false">6*D1527+(D1527-E1527-G1527)+2*F1527+3*H1527</f>
        <v>17</v>
      </c>
      <c r="J1527" s="0" t="n">
        <f aca="true">CRITBINOM($C1527,MIN(0.75,Matchup!$C$39*$B1527),RAND())</f>
        <v>2</v>
      </c>
      <c r="K1527" s="0" t="n">
        <f aca="true">CRITBINOM(J1527,Coefficients!$B$30,RAND())</f>
        <v>1</v>
      </c>
      <c r="L1527" s="0" t="n">
        <f aca="true">CRITBINOM(K1527,Coefficients!$B$31,RAND())</f>
        <v>0</v>
      </c>
      <c r="M1527" s="0" t="n">
        <f aca="true">CRITBINOM(MAX(0,J1527-K1527),1-Coefficients!$B$32,RAND())</f>
        <v>0</v>
      </c>
      <c r="N1527" s="0" t="n">
        <f aca="true">CRITBINOM(MAX(0,$C1527-J1527),MIN(0.6,Matchup!$C$40*SQRT($B1527)/(1-MIN(0.75,Matchup!$C$39*$B1527))),RAND())</f>
        <v>0</v>
      </c>
      <c r="O1527" s="0" t="n">
        <f aca="false">6*J1527+(J1527-K1527-M1527)+2*L1527+3*N1527</f>
        <v>13</v>
      </c>
      <c r="P1527" s="0" t="n">
        <f aca="true">RAND()</f>
        <v>0.14715477361859</v>
      </c>
      <c r="Q1527" s="0" t="n">
        <f aca="true">RAND()</f>
        <v>0.925402640380063</v>
      </c>
      <c r="R1527" s="0" t="n">
        <f aca="false">IF($I1527&lt;&gt;$O1527,0,IF(P1527&lt;Matchup!$B$39,7,IF(P1527&lt;Matchup!$B$39+Matchup!$B$40,3,0)))</f>
        <v>0</v>
      </c>
      <c r="S1527" s="0" t="n">
        <f aca="false">IF($I1527&lt;&gt;$O1527,0,IF(Q1527&lt;Matchup!$C$39,7,IF(Q1527&lt;Matchup!$C$39+Matchup!$C$40,3,0)))</f>
        <v>0</v>
      </c>
      <c r="T1527" s="0" t="n">
        <f aca="false">I1527+R1527</f>
        <v>17</v>
      </c>
      <c r="U1527" s="0" t="n">
        <f aca="false">O1527+S1527</f>
        <v>13</v>
      </c>
      <c r="V1527" s="0" t="n">
        <f aca="false">T1527-U1527</f>
        <v>4</v>
      </c>
      <c r="W1527" s="0" t="n">
        <f aca="false">T1527+U1527</f>
        <v>30</v>
      </c>
    </row>
    <row r="1528" customFormat="false" ht="15" hidden="false" customHeight="false" outlineLevel="0" collapsed="false">
      <c r="A1528" s="0" t="n">
        <v>1525</v>
      </c>
      <c r="B1528" s="0" t="n">
        <f aca="true">NORMINV(RAND(),1,Coefficients!$B$22)</f>
        <v>1.08831370486879</v>
      </c>
      <c r="C1528" s="0" t="n">
        <f aca="true">MEDIAN(8,16,ROUND(NORMINV(RAND(),Coefficients!$B$20,Coefficients!$B$21),0))</f>
        <v>11</v>
      </c>
      <c r="D1528" s="0" t="n">
        <f aca="true">CRITBINOM($C1528,MIN(0.75,Matchup!$B$39*$B1528),RAND())</f>
        <v>3</v>
      </c>
      <c r="E1528" s="0" t="n">
        <f aca="true">CRITBINOM(D1528,Coefficients!$B$30,RAND())</f>
        <v>0</v>
      </c>
      <c r="F1528" s="0" t="n">
        <f aca="true">CRITBINOM(E1528,Coefficients!$B$31,RAND())</f>
        <v>0</v>
      </c>
      <c r="G1528" s="0" t="n">
        <f aca="true">CRITBINOM(MAX(0,D1528-E1528),1-Coefficients!$B$32,RAND())</f>
        <v>0</v>
      </c>
      <c r="H1528" s="0" t="n">
        <f aca="true">CRITBINOM(MAX(0,$C1528-D1528),MIN(0.6,Matchup!$B$40*SQRT($B1528)/(1-MIN(0.75,Matchup!$B$39*$B1528))),RAND())</f>
        <v>2</v>
      </c>
      <c r="I1528" s="0" t="n">
        <f aca="false">6*D1528+(D1528-E1528-G1528)+2*F1528+3*H1528</f>
        <v>27</v>
      </c>
      <c r="J1528" s="0" t="n">
        <f aca="true">CRITBINOM($C1528,MIN(0.75,Matchup!$C$39*$B1528),RAND())</f>
        <v>2</v>
      </c>
      <c r="K1528" s="0" t="n">
        <f aca="true">CRITBINOM(J1528,Coefficients!$B$30,RAND())</f>
        <v>0</v>
      </c>
      <c r="L1528" s="0" t="n">
        <f aca="true">CRITBINOM(K1528,Coefficients!$B$31,RAND())</f>
        <v>0</v>
      </c>
      <c r="M1528" s="0" t="n">
        <f aca="true">CRITBINOM(MAX(0,J1528-K1528),1-Coefficients!$B$32,RAND())</f>
        <v>0</v>
      </c>
      <c r="N1528" s="0" t="n">
        <f aca="true">CRITBINOM(MAX(0,$C1528-J1528),MIN(0.6,Matchup!$C$40*SQRT($B1528)/(1-MIN(0.75,Matchup!$C$39*$B1528))),RAND())</f>
        <v>4</v>
      </c>
      <c r="O1528" s="0" t="n">
        <f aca="false">6*J1528+(J1528-K1528-M1528)+2*L1528+3*N1528</f>
        <v>26</v>
      </c>
      <c r="P1528" s="0" t="n">
        <f aca="true">RAND()</f>
        <v>0.876458484725261</v>
      </c>
      <c r="Q1528" s="0" t="n">
        <f aca="true">RAND()</f>
        <v>0.764665414025197</v>
      </c>
      <c r="R1528" s="0" t="n">
        <f aca="false">IF($I1528&lt;&gt;$O1528,0,IF(P1528&lt;Matchup!$B$39,7,IF(P1528&lt;Matchup!$B$39+Matchup!$B$40,3,0)))</f>
        <v>0</v>
      </c>
      <c r="S1528" s="0" t="n">
        <f aca="false">IF($I1528&lt;&gt;$O1528,0,IF(Q1528&lt;Matchup!$C$39,7,IF(Q1528&lt;Matchup!$C$39+Matchup!$C$40,3,0)))</f>
        <v>0</v>
      </c>
      <c r="T1528" s="0" t="n">
        <f aca="false">I1528+R1528</f>
        <v>27</v>
      </c>
      <c r="U1528" s="0" t="n">
        <f aca="false">O1528+S1528</f>
        <v>26</v>
      </c>
      <c r="V1528" s="0" t="n">
        <f aca="false">T1528-U1528</f>
        <v>1</v>
      </c>
      <c r="W1528" s="0" t="n">
        <f aca="false">T1528+U1528</f>
        <v>53</v>
      </c>
    </row>
    <row r="1529" customFormat="false" ht="15" hidden="false" customHeight="false" outlineLevel="0" collapsed="false">
      <c r="A1529" s="0" t="n">
        <v>1526</v>
      </c>
      <c r="B1529" s="0" t="n">
        <f aca="true">NORMINV(RAND(),1,Coefficients!$B$22)</f>
        <v>1.13008129046142</v>
      </c>
      <c r="C1529" s="0" t="n">
        <f aca="true">MEDIAN(8,16,ROUND(NORMINV(RAND(),Coefficients!$B$20,Coefficients!$B$21),0))</f>
        <v>12</v>
      </c>
      <c r="D1529" s="0" t="n">
        <f aca="true">CRITBINOM($C1529,MIN(0.75,Matchup!$B$39*$B1529),RAND())</f>
        <v>3</v>
      </c>
      <c r="E1529" s="0" t="n">
        <f aca="true">CRITBINOM(D1529,Coefficients!$B$30,RAND())</f>
        <v>0</v>
      </c>
      <c r="F1529" s="0" t="n">
        <f aca="true">CRITBINOM(E1529,Coefficients!$B$31,RAND())</f>
        <v>0</v>
      </c>
      <c r="G1529" s="0" t="n">
        <f aca="true">CRITBINOM(MAX(0,D1529-E1529),1-Coefficients!$B$32,RAND())</f>
        <v>1</v>
      </c>
      <c r="H1529" s="0" t="n">
        <f aca="true">CRITBINOM(MAX(0,$C1529-D1529),MIN(0.6,Matchup!$B$40*SQRT($B1529)/(1-MIN(0.75,Matchup!$B$39*$B1529))),RAND())</f>
        <v>3</v>
      </c>
      <c r="I1529" s="0" t="n">
        <f aca="false">6*D1529+(D1529-E1529-G1529)+2*F1529+3*H1529</f>
        <v>29</v>
      </c>
      <c r="J1529" s="0" t="n">
        <f aca="true">CRITBINOM($C1529,MIN(0.75,Matchup!$C$39*$B1529),RAND())</f>
        <v>3</v>
      </c>
      <c r="K1529" s="0" t="n">
        <f aca="true">CRITBINOM(J1529,Coefficients!$B$30,RAND())</f>
        <v>0</v>
      </c>
      <c r="L1529" s="0" t="n">
        <f aca="true">CRITBINOM(K1529,Coefficients!$B$31,RAND())</f>
        <v>0</v>
      </c>
      <c r="M1529" s="0" t="n">
        <f aca="true">CRITBINOM(MAX(0,J1529-K1529),1-Coefficients!$B$32,RAND())</f>
        <v>0</v>
      </c>
      <c r="N1529" s="0" t="n">
        <f aca="true">CRITBINOM(MAX(0,$C1529-J1529),MIN(0.6,Matchup!$C$40*SQRT($B1529)/(1-MIN(0.75,Matchup!$C$39*$B1529))),RAND())</f>
        <v>4</v>
      </c>
      <c r="O1529" s="0" t="n">
        <f aca="false">6*J1529+(J1529-K1529-M1529)+2*L1529+3*N1529</f>
        <v>33</v>
      </c>
      <c r="P1529" s="0" t="n">
        <f aca="true">RAND()</f>
        <v>0.755197511840621</v>
      </c>
      <c r="Q1529" s="0" t="n">
        <f aca="true">RAND()</f>
        <v>0.487621345122623</v>
      </c>
      <c r="R1529" s="0" t="n">
        <f aca="false">IF($I1529&lt;&gt;$O1529,0,IF(P1529&lt;Matchup!$B$39,7,IF(P1529&lt;Matchup!$B$39+Matchup!$B$40,3,0)))</f>
        <v>0</v>
      </c>
      <c r="S1529" s="0" t="n">
        <f aca="false">IF($I1529&lt;&gt;$O1529,0,IF(Q1529&lt;Matchup!$C$39,7,IF(Q1529&lt;Matchup!$C$39+Matchup!$C$40,3,0)))</f>
        <v>0</v>
      </c>
      <c r="T1529" s="0" t="n">
        <f aca="false">I1529+R1529</f>
        <v>29</v>
      </c>
      <c r="U1529" s="0" t="n">
        <f aca="false">O1529+S1529</f>
        <v>33</v>
      </c>
      <c r="V1529" s="0" t="n">
        <f aca="false">T1529-U1529</f>
        <v>-4</v>
      </c>
      <c r="W1529" s="0" t="n">
        <f aca="false">T1529+U1529</f>
        <v>62</v>
      </c>
    </row>
    <row r="1530" customFormat="false" ht="15" hidden="false" customHeight="false" outlineLevel="0" collapsed="false">
      <c r="A1530" s="0" t="n">
        <v>1527</v>
      </c>
      <c r="B1530" s="0" t="n">
        <f aca="true">NORMINV(RAND(),1,Coefficients!$B$22)</f>
        <v>1.05583216769947</v>
      </c>
      <c r="C1530" s="0" t="n">
        <f aca="true">MEDIAN(8,16,ROUND(NORMINV(RAND(),Coefficients!$B$20,Coefficients!$B$21),0))</f>
        <v>11</v>
      </c>
      <c r="D1530" s="0" t="n">
        <f aca="true">CRITBINOM($C1530,MIN(0.75,Matchup!$B$39*$B1530),RAND())</f>
        <v>5</v>
      </c>
      <c r="E1530" s="0" t="n">
        <f aca="true">CRITBINOM(D1530,Coefficients!$B$30,RAND())</f>
        <v>1</v>
      </c>
      <c r="F1530" s="0" t="n">
        <f aca="true">CRITBINOM(E1530,Coefficients!$B$31,RAND())</f>
        <v>1</v>
      </c>
      <c r="G1530" s="0" t="n">
        <f aca="true">CRITBINOM(MAX(0,D1530-E1530),1-Coefficients!$B$32,RAND())</f>
        <v>0</v>
      </c>
      <c r="H1530" s="0" t="n">
        <f aca="true">CRITBINOM(MAX(0,$C1530-D1530),MIN(0.6,Matchup!$B$40*SQRT($B1530)/(1-MIN(0.75,Matchup!$B$39*$B1530))),RAND())</f>
        <v>1</v>
      </c>
      <c r="I1530" s="0" t="n">
        <f aca="false">6*D1530+(D1530-E1530-G1530)+2*F1530+3*H1530</f>
        <v>39</v>
      </c>
      <c r="J1530" s="0" t="n">
        <f aca="true">CRITBINOM($C1530,MIN(0.75,Matchup!$C$39*$B1530),RAND())</f>
        <v>4</v>
      </c>
      <c r="K1530" s="0" t="n">
        <f aca="true">CRITBINOM(J1530,Coefficients!$B$30,RAND())</f>
        <v>1</v>
      </c>
      <c r="L1530" s="0" t="n">
        <f aca="true">CRITBINOM(K1530,Coefficients!$B$31,RAND())</f>
        <v>0</v>
      </c>
      <c r="M1530" s="0" t="n">
        <f aca="true">CRITBINOM(MAX(0,J1530-K1530),1-Coefficients!$B$32,RAND())</f>
        <v>0</v>
      </c>
      <c r="N1530" s="0" t="n">
        <f aca="true">CRITBINOM(MAX(0,$C1530-J1530),MIN(0.6,Matchup!$C$40*SQRT($B1530)/(1-MIN(0.75,Matchup!$C$39*$B1530))),RAND())</f>
        <v>3</v>
      </c>
      <c r="O1530" s="0" t="n">
        <f aca="false">6*J1530+(J1530-K1530-M1530)+2*L1530+3*N1530</f>
        <v>36</v>
      </c>
      <c r="P1530" s="0" t="n">
        <f aca="true">RAND()</f>
        <v>0.288845836204405</v>
      </c>
      <c r="Q1530" s="0" t="n">
        <f aca="true">RAND()</f>
        <v>0.0354915702684297</v>
      </c>
      <c r="R1530" s="0" t="n">
        <f aca="false">IF($I1530&lt;&gt;$O1530,0,IF(P1530&lt;Matchup!$B$39,7,IF(P1530&lt;Matchup!$B$39+Matchup!$B$40,3,0)))</f>
        <v>0</v>
      </c>
      <c r="S1530" s="0" t="n">
        <f aca="false">IF($I1530&lt;&gt;$O1530,0,IF(Q1530&lt;Matchup!$C$39,7,IF(Q1530&lt;Matchup!$C$39+Matchup!$C$40,3,0)))</f>
        <v>0</v>
      </c>
      <c r="T1530" s="0" t="n">
        <f aca="false">I1530+R1530</f>
        <v>39</v>
      </c>
      <c r="U1530" s="0" t="n">
        <f aca="false">O1530+S1530</f>
        <v>36</v>
      </c>
      <c r="V1530" s="0" t="n">
        <f aca="false">T1530-U1530</f>
        <v>3</v>
      </c>
      <c r="W1530" s="0" t="n">
        <f aca="false">T1530+U1530</f>
        <v>75</v>
      </c>
    </row>
    <row r="1531" customFormat="false" ht="15" hidden="false" customHeight="false" outlineLevel="0" collapsed="false">
      <c r="A1531" s="0" t="n">
        <v>1528</v>
      </c>
      <c r="B1531" s="0" t="n">
        <f aca="true">NORMINV(RAND(),1,Coefficients!$B$22)</f>
        <v>1.03411749111247</v>
      </c>
      <c r="C1531" s="0" t="n">
        <f aca="true">MEDIAN(8,16,ROUND(NORMINV(RAND(),Coefficients!$B$20,Coefficients!$B$21),0))</f>
        <v>13</v>
      </c>
      <c r="D1531" s="0" t="n">
        <f aca="true">CRITBINOM($C1531,MIN(0.75,Matchup!$B$39*$B1531),RAND())</f>
        <v>3</v>
      </c>
      <c r="E1531" s="0" t="n">
        <f aca="true">CRITBINOM(D1531,Coefficients!$B$30,RAND())</f>
        <v>1</v>
      </c>
      <c r="F1531" s="0" t="n">
        <f aca="true">CRITBINOM(E1531,Coefficients!$B$31,RAND())</f>
        <v>1</v>
      </c>
      <c r="G1531" s="0" t="n">
        <f aca="true">CRITBINOM(MAX(0,D1531-E1531),1-Coefficients!$B$32,RAND())</f>
        <v>0</v>
      </c>
      <c r="H1531" s="0" t="n">
        <f aca="true">CRITBINOM(MAX(0,$C1531-D1531),MIN(0.6,Matchup!$B$40*SQRT($B1531)/(1-MIN(0.75,Matchup!$B$39*$B1531))),RAND())</f>
        <v>2</v>
      </c>
      <c r="I1531" s="0" t="n">
        <f aca="false">6*D1531+(D1531-E1531-G1531)+2*F1531+3*H1531</f>
        <v>28</v>
      </c>
      <c r="J1531" s="0" t="n">
        <f aca="true">CRITBINOM($C1531,MIN(0.75,Matchup!$C$39*$B1531),RAND())</f>
        <v>6</v>
      </c>
      <c r="K1531" s="0" t="n">
        <f aca="true">CRITBINOM(J1531,Coefficients!$B$30,RAND())</f>
        <v>0</v>
      </c>
      <c r="L1531" s="0" t="n">
        <f aca="true">CRITBINOM(K1531,Coefficients!$B$31,RAND())</f>
        <v>0</v>
      </c>
      <c r="M1531" s="0" t="n">
        <f aca="true">CRITBINOM(MAX(0,J1531-K1531),1-Coefficients!$B$32,RAND())</f>
        <v>1</v>
      </c>
      <c r="N1531" s="0" t="n">
        <f aca="true">CRITBINOM(MAX(0,$C1531-J1531),MIN(0.6,Matchup!$C$40*SQRT($B1531)/(1-MIN(0.75,Matchup!$C$39*$B1531))),RAND())</f>
        <v>0</v>
      </c>
      <c r="O1531" s="0" t="n">
        <f aca="false">6*J1531+(J1531-K1531-M1531)+2*L1531+3*N1531</f>
        <v>41</v>
      </c>
      <c r="P1531" s="0" t="n">
        <f aca="true">RAND()</f>
        <v>0.315945780652742</v>
      </c>
      <c r="Q1531" s="0" t="n">
        <f aca="true">RAND()</f>
        <v>0.566577953087543</v>
      </c>
      <c r="R1531" s="0" t="n">
        <f aca="false">IF($I1531&lt;&gt;$O1531,0,IF(P1531&lt;Matchup!$B$39,7,IF(P1531&lt;Matchup!$B$39+Matchup!$B$40,3,0)))</f>
        <v>0</v>
      </c>
      <c r="S1531" s="0" t="n">
        <f aca="false">IF($I1531&lt;&gt;$O1531,0,IF(Q1531&lt;Matchup!$C$39,7,IF(Q1531&lt;Matchup!$C$39+Matchup!$C$40,3,0)))</f>
        <v>0</v>
      </c>
      <c r="T1531" s="0" t="n">
        <f aca="false">I1531+R1531</f>
        <v>28</v>
      </c>
      <c r="U1531" s="0" t="n">
        <f aca="false">O1531+S1531</f>
        <v>41</v>
      </c>
      <c r="V1531" s="0" t="n">
        <f aca="false">T1531-U1531</f>
        <v>-13</v>
      </c>
      <c r="W1531" s="0" t="n">
        <f aca="false">T1531+U1531</f>
        <v>69</v>
      </c>
    </row>
    <row r="1532" customFormat="false" ht="15" hidden="false" customHeight="false" outlineLevel="0" collapsed="false">
      <c r="A1532" s="0" t="n">
        <v>1529</v>
      </c>
      <c r="B1532" s="0" t="n">
        <f aca="true">NORMINV(RAND(),1,Coefficients!$B$22)</f>
        <v>1.18129715059801</v>
      </c>
      <c r="C1532" s="0" t="n">
        <f aca="true">MEDIAN(8,16,ROUND(NORMINV(RAND(),Coefficients!$B$20,Coefficients!$B$21),0))</f>
        <v>11</v>
      </c>
      <c r="D1532" s="0" t="n">
        <f aca="true">CRITBINOM($C1532,MIN(0.75,Matchup!$B$39*$B1532),RAND())</f>
        <v>2</v>
      </c>
      <c r="E1532" s="0" t="n">
        <f aca="true">CRITBINOM(D1532,Coefficients!$B$30,RAND())</f>
        <v>0</v>
      </c>
      <c r="F1532" s="0" t="n">
        <f aca="true">CRITBINOM(E1532,Coefficients!$B$31,RAND())</f>
        <v>0</v>
      </c>
      <c r="G1532" s="0" t="n">
        <f aca="true">CRITBINOM(MAX(0,D1532-E1532),1-Coefficients!$B$32,RAND())</f>
        <v>0</v>
      </c>
      <c r="H1532" s="0" t="n">
        <f aca="true">CRITBINOM(MAX(0,$C1532-D1532),MIN(0.6,Matchup!$B$40*SQRT($B1532)/(1-MIN(0.75,Matchup!$B$39*$B1532))),RAND())</f>
        <v>2</v>
      </c>
      <c r="I1532" s="0" t="n">
        <f aca="false">6*D1532+(D1532-E1532-G1532)+2*F1532+3*H1532</f>
        <v>20</v>
      </c>
      <c r="J1532" s="0" t="n">
        <f aca="true">CRITBINOM($C1532,MIN(0.75,Matchup!$C$39*$B1532),RAND())</f>
        <v>3</v>
      </c>
      <c r="K1532" s="0" t="n">
        <f aca="true">CRITBINOM(J1532,Coefficients!$B$30,RAND())</f>
        <v>0</v>
      </c>
      <c r="L1532" s="0" t="n">
        <f aca="true">CRITBINOM(K1532,Coefficients!$B$31,RAND())</f>
        <v>0</v>
      </c>
      <c r="M1532" s="0" t="n">
        <f aca="true">CRITBINOM(MAX(0,J1532-K1532),1-Coefficients!$B$32,RAND())</f>
        <v>0</v>
      </c>
      <c r="N1532" s="0" t="n">
        <f aca="true">CRITBINOM(MAX(0,$C1532-J1532),MIN(0.6,Matchup!$C$40*SQRT($B1532)/(1-MIN(0.75,Matchup!$C$39*$B1532))),RAND())</f>
        <v>1</v>
      </c>
      <c r="O1532" s="0" t="n">
        <f aca="false">6*J1532+(J1532-K1532-M1532)+2*L1532+3*N1532</f>
        <v>24</v>
      </c>
      <c r="P1532" s="0" t="n">
        <f aca="true">RAND()</f>
        <v>0.846172413969803</v>
      </c>
      <c r="Q1532" s="0" t="n">
        <f aca="true">RAND()</f>
        <v>0.362701989177343</v>
      </c>
      <c r="R1532" s="0" t="n">
        <f aca="false">IF($I1532&lt;&gt;$O1532,0,IF(P1532&lt;Matchup!$B$39,7,IF(P1532&lt;Matchup!$B$39+Matchup!$B$40,3,0)))</f>
        <v>0</v>
      </c>
      <c r="S1532" s="0" t="n">
        <f aca="false">IF($I1532&lt;&gt;$O1532,0,IF(Q1532&lt;Matchup!$C$39,7,IF(Q1532&lt;Matchup!$C$39+Matchup!$C$40,3,0)))</f>
        <v>0</v>
      </c>
      <c r="T1532" s="0" t="n">
        <f aca="false">I1532+R1532</f>
        <v>20</v>
      </c>
      <c r="U1532" s="0" t="n">
        <f aca="false">O1532+S1532</f>
        <v>24</v>
      </c>
      <c r="V1532" s="0" t="n">
        <f aca="false">T1532-U1532</f>
        <v>-4</v>
      </c>
      <c r="W1532" s="0" t="n">
        <f aca="false">T1532+U1532</f>
        <v>44</v>
      </c>
    </row>
    <row r="1533" customFormat="false" ht="15" hidden="false" customHeight="false" outlineLevel="0" collapsed="false">
      <c r="A1533" s="0" t="n">
        <v>1530</v>
      </c>
      <c r="B1533" s="0" t="n">
        <f aca="true">NORMINV(RAND(),1,Coefficients!$B$22)</f>
        <v>1.0679454628862</v>
      </c>
      <c r="C1533" s="0" t="n">
        <f aca="true">MEDIAN(8,16,ROUND(NORMINV(RAND(),Coefficients!$B$20,Coefficients!$B$21),0))</f>
        <v>12</v>
      </c>
      <c r="D1533" s="0" t="n">
        <f aca="true">CRITBINOM($C1533,MIN(0.75,Matchup!$B$39*$B1533),RAND())</f>
        <v>3</v>
      </c>
      <c r="E1533" s="0" t="n">
        <f aca="true">CRITBINOM(D1533,Coefficients!$B$30,RAND())</f>
        <v>1</v>
      </c>
      <c r="F1533" s="0" t="n">
        <f aca="true">CRITBINOM(E1533,Coefficients!$B$31,RAND())</f>
        <v>1</v>
      </c>
      <c r="G1533" s="0" t="n">
        <f aca="true">CRITBINOM(MAX(0,D1533-E1533),1-Coefficients!$B$32,RAND())</f>
        <v>0</v>
      </c>
      <c r="H1533" s="0" t="n">
        <f aca="true">CRITBINOM(MAX(0,$C1533-D1533),MIN(0.6,Matchup!$B$40*SQRT($B1533)/(1-MIN(0.75,Matchup!$B$39*$B1533))),RAND())</f>
        <v>1</v>
      </c>
      <c r="I1533" s="0" t="n">
        <f aca="false">6*D1533+(D1533-E1533-G1533)+2*F1533+3*H1533</f>
        <v>25</v>
      </c>
      <c r="J1533" s="0" t="n">
        <f aca="true">CRITBINOM($C1533,MIN(0.75,Matchup!$C$39*$B1533),RAND())</f>
        <v>6</v>
      </c>
      <c r="K1533" s="0" t="n">
        <f aca="true">CRITBINOM(J1533,Coefficients!$B$30,RAND())</f>
        <v>0</v>
      </c>
      <c r="L1533" s="0" t="n">
        <f aca="true">CRITBINOM(K1533,Coefficients!$B$31,RAND())</f>
        <v>0</v>
      </c>
      <c r="M1533" s="0" t="n">
        <f aca="true">CRITBINOM(MAX(0,J1533-K1533),1-Coefficients!$B$32,RAND())</f>
        <v>0</v>
      </c>
      <c r="N1533" s="0" t="n">
        <f aca="true">CRITBINOM(MAX(0,$C1533-J1533),MIN(0.6,Matchup!$C$40*SQRT($B1533)/(1-MIN(0.75,Matchup!$C$39*$B1533))),RAND())</f>
        <v>1</v>
      </c>
      <c r="O1533" s="0" t="n">
        <f aca="false">6*J1533+(J1533-K1533-M1533)+2*L1533+3*N1533</f>
        <v>45</v>
      </c>
      <c r="P1533" s="0" t="n">
        <f aca="true">RAND()</f>
        <v>0.438402918525648</v>
      </c>
      <c r="Q1533" s="0" t="n">
        <f aca="true">RAND()</f>
        <v>0.47252696866905</v>
      </c>
      <c r="R1533" s="0" t="n">
        <f aca="false">IF($I1533&lt;&gt;$O1533,0,IF(P1533&lt;Matchup!$B$39,7,IF(P1533&lt;Matchup!$B$39+Matchup!$B$40,3,0)))</f>
        <v>0</v>
      </c>
      <c r="S1533" s="0" t="n">
        <f aca="false">IF($I1533&lt;&gt;$O1533,0,IF(Q1533&lt;Matchup!$C$39,7,IF(Q1533&lt;Matchup!$C$39+Matchup!$C$40,3,0)))</f>
        <v>0</v>
      </c>
      <c r="T1533" s="0" t="n">
        <f aca="false">I1533+R1533</f>
        <v>25</v>
      </c>
      <c r="U1533" s="0" t="n">
        <f aca="false">O1533+S1533</f>
        <v>45</v>
      </c>
      <c r="V1533" s="0" t="n">
        <f aca="false">T1533-U1533</f>
        <v>-20</v>
      </c>
      <c r="W1533" s="0" t="n">
        <f aca="false">T1533+U1533</f>
        <v>70</v>
      </c>
    </row>
    <row r="1534" customFormat="false" ht="15" hidden="false" customHeight="false" outlineLevel="0" collapsed="false">
      <c r="A1534" s="0" t="n">
        <v>1531</v>
      </c>
      <c r="B1534" s="0" t="n">
        <f aca="true">NORMINV(RAND(),1,Coefficients!$B$22)</f>
        <v>0.931955757107555</v>
      </c>
      <c r="C1534" s="0" t="n">
        <f aca="true">MEDIAN(8,16,ROUND(NORMINV(RAND(),Coefficients!$B$20,Coefficients!$B$21),0))</f>
        <v>12</v>
      </c>
      <c r="D1534" s="0" t="n">
        <f aca="true">CRITBINOM($C1534,MIN(0.75,Matchup!$B$39*$B1534),RAND())</f>
        <v>3</v>
      </c>
      <c r="E1534" s="0" t="n">
        <f aca="true">CRITBINOM(D1534,Coefficients!$B$30,RAND())</f>
        <v>0</v>
      </c>
      <c r="F1534" s="0" t="n">
        <f aca="true">CRITBINOM(E1534,Coefficients!$B$31,RAND())</f>
        <v>0</v>
      </c>
      <c r="G1534" s="0" t="n">
        <f aca="true">CRITBINOM(MAX(0,D1534-E1534),1-Coefficients!$B$32,RAND())</f>
        <v>0</v>
      </c>
      <c r="H1534" s="0" t="n">
        <f aca="true">CRITBINOM(MAX(0,$C1534-D1534),MIN(0.6,Matchup!$B$40*SQRT($B1534)/(1-MIN(0.75,Matchup!$B$39*$B1534))),RAND())</f>
        <v>1</v>
      </c>
      <c r="I1534" s="0" t="n">
        <f aca="false">6*D1534+(D1534-E1534-G1534)+2*F1534+3*H1534</f>
        <v>24</v>
      </c>
      <c r="J1534" s="0" t="n">
        <f aca="true">CRITBINOM($C1534,MIN(0.75,Matchup!$C$39*$B1534),RAND())</f>
        <v>3</v>
      </c>
      <c r="K1534" s="0" t="n">
        <f aca="true">CRITBINOM(J1534,Coefficients!$B$30,RAND())</f>
        <v>0</v>
      </c>
      <c r="L1534" s="0" t="n">
        <f aca="true">CRITBINOM(K1534,Coefficients!$B$31,RAND())</f>
        <v>0</v>
      </c>
      <c r="M1534" s="0" t="n">
        <f aca="true">CRITBINOM(MAX(0,J1534-K1534),1-Coefficients!$B$32,RAND())</f>
        <v>0</v>
      </c>
      <c r="N1534" s="0" t="n">
        <f aca="true">CRITBINOM(MAX(0,$C1534-J1534),MIN(0.6,Matchup!$C$40*SQRT($B1534)/(1-MIN(0.75,Matchup!$C$39*$B1534))),RAND())</f>
        <v>2</v>
      </c>
      <c r="O1534" s="0" t="n">
        <f aca="false">6*J1534+(J1534-K1534-M1534)+2*L1534+3*N1534</f>
        <v>27</v>
      </c>
      <c r="P1534" s="0" t="n">
        <f aca="true">RAND()</f>
        <v>0.62444895081231</v>
      </c>
      <c r="Q1534" s="0" t="n">
        <f aca="true">RAND()</f>
        <v>0.814255534246193</v>
      </c>
      <c r="R1534" s="0" t="n">
        <f aca="false">IF($I1534&lt;&gt;$O1534,0,IF(P1534&lt;Matchup!$B$39,7,IF(P1534&lt;Matchup!$B$39+Matchup!$B$40,3,0)))</f>
        <v>0</v>
      </c>
      <c r="S1534" s="0" t="n">
        <f aca="false">IF($I1534&lt;&gt;$O1534,0,IF(Q1534&lt;Matchup!$C$39,7,IF(Q1534&lt;Matchup!$C$39+Matchup!$C$40,3,0)))</f>
        <v>0</v>
      </c>
      <c r="T1534" s="0" t="n">
        <f aca="false">I1534+R1534</f>
        <v>24</v>
      </c>
      <c r="U1534" s="0" t="n">
        <f aca="false">O1534+S1534</f>
        <v>27</v>
      </c>
      <c r="V1534" s="0" t="n">
        <f aca="false">T1534-U1534</f>
        <v>-3</v>
      </c>
      <c r="W1534" s="0" t="n">
        <f aca="false">T1534+U1534</f>
        <v>51</v>
      </c>
    </row>
    <row r="1535" customFormat="false" ht="15" hidden="false" customHeight="false" outlineLevel="0" collapsed="false">
      <c r="A1535" s="0" t="n">
        <v>1532</v>
      </c>
      <c r="B1535" s="0" t="n">
        <f aca="true">NORMINV(RAND(),1,Coefficients!$B$22)</f>
        <v>1.0384555375163</v>
      </c>
      <c r="C1535" s="0" t="n">
        <f aca="true">MEDIAN(8,16,ROUND(NORMINV(RAND(),Coefficients!$B$20,Coefficients!$B$21),0))</f>
        <v>12</v>
      </c>
      <c r="D1535" s="0" t="n">
        <f aca="true">CRITBINOM($C1535,MIN(0.75,Matchup!$B$39*$B1535),RAND())</f>
        <v>4</v>
      </c>
      <c r="E1535" s="0" t="n">
        <f aca="true">CRITBINOM(D1535,Coefficients!$B$30,RAND())</f>
        <v>0</v>
      </c>
      <c r="F1535" s="0" t="n">
        <f aca="true">CRITBINOM(E1535,Coefficients!$B$31,RAND())</f>
        <v>0</v>
      </c>
      <c r="G1535" s="0" t="n">
        <f aca="true">CRITBINOM(MAX(0,D1535-E1535),1-Coefficients!$B$32,RAND())</f>
        <v>0</v>
      </c>
      <c r="H1535" s="0" t="n">
        <f aca="true">CRITBINOM(MAX(0,$C1535-D1535),MIN(0.6,Matchup!$B$40*SQRT($B1535)/(1-MIN(0.75,Matchup!$B$39*$B1535))),RAND())</f>
        <v>2</v>
      </c>
      <c r="I1535" s="0" t="n">
        <f aca="false">6*D1535+(D1535-E1535-G1535)+2*F1535+3*H1535</f>
        <v>34</v>
      </c>
      <c r="J1535" s="0" t="n">
        <f aca="true">CRITBINOM($C1535,MIN(0.75,Matchup!$C$39*$B1535),RAND())</f>
        <v>5</v>
      </c>
      <c r="K1535" s="0" t="n">
        <f aca="true">CRITBINOM(J1535,Coefficients!$B$30,RAND())</f>
        <v>0</v>
      </c>
      <c r="L1535" s="0" t="n">
        <f aca="true">CRITBINOM(K1535,Coefficients!$B$31,RAND())</f>
        <v>0</v>
      </c>
      <c r="M1535" s="0" t="n">
        <f aca="true">CRITBINOM(MAX(0,J1535-K1535),1-Coefficients!$B$32,RAND())</f>
        <v>0</v>
      </c>
      <c r="N1535" s="0" t="n">
        <f aca="true">CRITBINOM(MAX(0,$C1535-J1535),MIN(0.6,Matchup!$C$40*SQRT($B1535)/(1-MIN(0.75,Matchup!$C$39*$B1535))),RAND())</f>
        <v>3</v>
      </c>
      <c r="O1535" s="0" t="n">
        <f aca="false">6*J1535+(J1535-K1535-M1535)+2*L1535+3*N1535</f>
        <v>44</v>
      </c>
      <c r="P1535" s="0" t="n">
        <f aca="true">RAND()</f>
        <v>0.634294354718723</v>
      </c>
      <c r="Q1535" s="0" t="n">
        <f aca="true">RAND()</f>
        <v>0.338235018333668</v>
      </c>
      <c r="R1535" s="0" t="n">
        <f aca="false">IF($I1535&lt;&gt;$O1535,0,IF(P1535&lt;Matchup!$B$39,7,IF(P1535&lt;Matchup!$B$39+Matchup!$B$40,3,0)))</f>
        <v>0</v>
      </c>
      <c r="S1535" s="0" t="n">
        <f aca="false">IF($I1535&lt;&gt;$O1535,0,IF(Q1535&lt;Matchup!$C$39,7,IF(Q1535&lt;Matchup!$C$39+Matchup!$C$40,3,0)))</f>
        <v>0</v>
      </c>
      <c r="T1535" s="0" t="n">
        <f aca="false">I1535+R1535</f>
        <v>34</v>
      </c>
      <c r="U1535" s="0" t="n">
        <f aca="false">O1535+S1535</f>
        <v>44</v>
      </c>
      <c r="V1535" s="0" t="n">
        <f aca="false">T1535-U1535</f>
        <v>-10</v>
      </c>
      <c r="W1535" s="0" t="n">
        <f aca="false">T1535+U1535</f>
        <v>78</v>
      </c>
    </row>
    <row r="1536" customFormat="false" ht="15" hidden="false" customHeight="false" outlineLevel="0" collapsed="false">
      <c r="A1536" s="0" t="n">
        <v>1533</v>
      </c>
      <c r="B1536" s="0" t="n">
        <f aca="true">NORMINV(RAND(),1,Coefficients!$B$22)</f>
        <v>0.981572779706913</v>
      </c>
      <c r="C1536" s="0" t="n">
        <f aca="true">MEDIAN(8,16,ROUND(NORMINV(RAND(),Coefficients!$B$20,Coefficients!$B$21),0))</f>
        <v>11</v>
      </c>
      <c r="D1536" s="0" t="n">
        <f aca="true">CRITBINOM($C1536,MIN(0.75,Matchup!$B$39*$B1536),RAND())</f>
        <v>2</v>
      </c>
      <c r="E1536" s="0" t="n">
        <f aca="true">CRITBINOM(D1536,Coefficients!$B$30,RAND())</f>
        <v>0</v>
      </c>
      <c r="F1536" s="0" t="n">
        <f aca="true">CRITBINOM(E1536,Coefficients!$B$31,RAND())</f>
        <v>0</v>
      </c>
      <c r="G1536" s="0" t="n">
        <f aca="true">CRITBINOM(MAX(0,D1536-E1536),1-Coefficients!$B$32,RAND())</f>
        <v>0</v>
      </c>
      <c r="H1536" s="0" t="n">
        <f aca="true">CRITBINOM(MAX(0,$C1536-D1536),MIN(0.6,Matchup!$B$40*SQRT($B1536)/(1-MIN(0.75,Matchup!$B$39*$B1536))),RAND())</f>
        <v>2</v>
      </c>
      <c r="I1536" s="0" t="n">
        <f aca="false">6*D1536+(D1536-E1536-G1536)+2*F1536+3*H1536</f>
        <v>20</v>
      </c>
      <c r="J1536" s="0" t="n">
        <f aca="true">CRITBINOM($C1536,MIN(0.75,Matchup!$C$39*$B1536),RAND())</f>
        <v>5</v>
      </c>
      <c r="K1536" s="0" t="n">
        <f aca="true">CRITBINOM(J1536,Coefficients!$B$30,RAND())</f>
        <v>0</v>
      </c>
      <c r="L1536" s="0" t="n">
        <f aca="true">CRITBINOM(K1536,Coefficients!$B$31,RAND())</f>
        <v>0</v>
      </c>
      <c r="M1536" s="0" t="n">
        <f aca="true">CRITBINOM(MAX(0,J1536-K1536),1-Coefficients!$B$32,RAND())</f>
        <v>0</v>
      </c>
      <c r="N1536" s="0" t="n">
        <f aca="true">CRITBINOM(MAX(0,$C1536-J1536),MIN(0.6,Matchup!$C$40*SQRT($B1536)/(1-MIN(0.75,Matchup!$C$39*$B1536))),RAND())</f>
        <v>2</v>
      </c>
      <c r="O1536" s="0" t="n">
        <f aca="false">6*J1536+(J1536-K1536-M1536)+2*L1536+3*N1536</f>
        <v>41</v>
      </c>
      <c r="P1536" s="0" t="n">
        <f aca="true">RAND()</f>
        <v>0.280705718094996</v>
      </c>
      <c r="Q1536" s="0" t="n">
        <f aca="true">RAND()</f>
        <v>0.796731004018186</v>
      </c>
      <c r="R1536" s="0" t="n">
        <f aca="false">IF($I1536&lt;&gt;$O1536,0,IF(P1536&lt;Matchup!$B$39,7,IF(P1536&lt;Matchup!$B$39+Matchup!$B$40,3,0)))</f>
        <v>0</v>
      </c>
      <c r="S1536" s="0" t="n">
        <f aca="false">IF($I1536&lt;&gt;$O1536,0,IF(Q1536&lt;Matchup!$C$39,7,IF(Q1536&lt;Matchup!$C$39+Matchup!$C$40,3,0)))</f>
        <v>0</v>
      </c>
      <c r="T1536" s="0" t="n">
        <f aca="false">I1536+R1536</f>
        <v>20</v>
      </c>
      <c r="U1536" s="0" t="n">
        <f aca="false">O1536+S1536</f>
        <v>41</v>
      </c>
      <c r="V1536" s="0" t="n">
        <f aca="false">T1536-U1536</f>
        <v>-21</v>
      </c>
      <c r="W1536" s="0" t="n">
        <f aca="false">T1536+U1536</f>
        <v>61</v>
      </c>
    </row>
    <row r="1537" customFormat="false" ht="15" hidden="false" customHeight="false" outlineLevel="0" collapsed="false">
      <c r="A1537" s="0" t="n">
        <v>1534</v>
      </c>
      <c r="B1537" s="0" t="n">
        <f aca="true">NORMINV(RAND(),1,Coefficients!$B$22)</f>
        <v>1.01049047843661</v>
      </c>
      <c r="C1537" s="0" t="n">
        <f aca="true">MEDIAN(8,16,ROUND(NORMINV(RAND(),Coefficients!$B$20,Coefficients!$B$21),0))</f>
        <v>11</v>
      </c>
      <c r="D1537" s="0" t="n">
        <f aca="true">CRITBINOM($C1537,MIN(0.75,Matchup!$B$39*$B1537),RAND())</f>
        <v>1</v>
      </c>
      <c r="E1537" s="0" t="n">
        <f aca="true">CRITBINOM(D1537,Coefficients!$B$30,RAND())</f>
        <v>0</v>
      </c>
      <c r="F1537" s="0" t="n">
        <f aca="true">CRITBINOM(E1537,Coefficients!$B$31,RAND())</f>
        <v>0</v>
      </c>
      <c r="G1537" s="0" t="n">
        <f aca="true">CRITBINOM(MAX(0,D1537-E1537),1-Coefficients!$B$32,RAND())</f>
        <v>0</v>
      </c>
      <c r="H1537" s="0" t="n">
        <f aca="true">CRITBINOM(MAX(0,$C1537-D1537),MIN(0.6,Matchup!$B$40*SQRT($B1537)/(1-MIN(0.75,Matchup!$B$39*$B1537))),RAND())</f>
        <v>2</v>
      </c>
      <c r="I1537" s="0" t="n">
        <f aca="false">6*D1537+(D1537-E1537-G1537)+2*F1537+3*H1537</f>
        <v>13</v>
      </c>
      <c r="J1537" s="0" t="n">
        <f aca="true">CRITBINOM($C1537,MIN(0.75,Matchup!$C$39*$B1537),RAND())</f>
        <v>2</v>
      </c>
      <c r="K1537" s="0" t="n">
        <f aca="true">CRITBINOM(J1537,Coefficients!$B$30,RAND())</f>
        <v>0</v>
      </c>
      <c r="L1537" s="0" t="n">
        <f aca="true">CRITBINOM(K1537,Coefficients!$B$31,RAND())</f>
        <v>0</v>
      </c>
      <c r="M1537" s="0" t="n">
        <f aca="true">CRITBINOM(MAX(0,J1537-K1537),1-Coefficients!$B$32,RAND())</f>
        <v>0</v>
      </c>
      <c r="N1537" s="0" t="n">
        <f aca="true">CRITBINOM(MAX(0,$C1537-J1537),MIN(0.6,Matchup!$C$40*SQRT($B1537)/(1-MIN(0.75,Matchup!$C$39*$B1537))),RAND())</f>
        <v>3</v>
      </c>
      <c r="O1537" s="0" t="n">
        <f aca="false">6*J1537+(J1537-K1537-M1537)+2*L1537+3*N1537</f>
        <v>23</v>
      </c>
      <c r="P1537" s="0" t="n">
        <f aca="true">RAND()</f>
        <v>0.783275400390341</v>
      </c>
      <c r="Q1537" s="0" t="n">
        <f aca="true">RAND()</f>
        <v>0.263501175227967</v>
      </c>
      <c r="R1537" s="0" t="n">
        <f aca="false">IF($I1537&lt;&gt;$O1537,0,IF(P1537&lt;Matchup!$B$39,7,IF(P1537&lt;Matchup!$B$39+Matchup!$B$40,3,0)))</f>
        <v>0</v>
      </c>
      <c r="S1537" s="0" t="n">
        <f aca="false">IF($I1537&lt;&gt;$O1537,0,IF(Q1537&lt;Matchup!$C$39,7,IF(Q1537&lt;Matchup!$C$39+Matchup!$C$40,3,0)))</f>
        <v>0</v>
      </c>
      <c r="T1537" s="0" t="n">
        <f aca="false">I1537+R1537</f>
        <v>13</v>
      </c>
      <c r="U1537" s="0" t="n">
        <f aca="false">O1537+S1537</f>
        <v>23</v>
      </c>
      <c r="V1537" s="0" t="n">
        <f aca="false">T1537-U1537</f>
        <v>-10</v>
      </c>
      <c r="W1537" s="0" t="n">
        <f aca="false">T1537+U1537</f>
        <v>36</v>
      </c>
    </row>
    <row r="1538" customFormat="false" ht="15" hidden="false" customHeight="false" outlineLevel="0" collapsed="false">
      <c r="A1538" s="0" t="n">
        <v>1535</v>
      </c>
      <c r="B1538" s="0" t="n">
        <f aca="true">NORMINV(RAND(),1,Coefficients!$B$22)</f>
        <v>0.99579215051322</v>
      </c>
      <c r="C1538" s="0" t="n">
        <f aca="true">MEDIAN(8,16,ROUND(NORMINV(RAND(),Coefficients!$B$20,Coefficients!$B$21),0))</f>
        <v>13</v>
      </c>
      <c r="D1538" s="0" t="n">
        <f aca="true">CRITBINOM($C1538,MIN(0.75,Matchup!$B$39*$B1538),RAND())</f>
        <v>4</v>
      </c>
      <c r="E1538" s="0" t="n">
        <f aca="true">CRITBINOM(D1538,Coefficients!$B$30,RAND())</f>
        <v>0</v>
      </c>
      <c r="F1538" s="0" t="n">
        <f aca="true">CRITBINOM(E1538,Coefficients!$B$31,RAND())</f>
        <v>0</v>
      </c>
      <c r="G1538" s="0" t="n">
        <f aca="true">CRITBINOM(MAX(0,D1538-E1538),1-Coefficients!$B$32,RAND())</f>
        <v>0</v>
      </c>
      <c r="H1538" s="0" t="n">
        <f aca="true">CRITBINOM(MAX(0,$C1538-D1538),MIN(0.6,Matchup!$B$40*SQRT($B1538)/(1-MIN(0.75,Matchup!$B$39*$B1538))),RAND())</f>
        <v>1</v>
      </c>
      <c r="I1538" s="0" t="n">
        <f aca="false">6*D1538+(D1538-E1538-G1538)+2*F1538+3*H1538</f>
        <v>31</v>
      </c>
      <c r="J1538" s="0" t="n">
        <f aca="true">CRITBINOM($C1538,MIN(0.75,Matchup!$C$39*$B1538),RAND())</f>
        <v>5</v>
      </c>
      <c r="K1538" s="0" t="n">
        <f aca="true">CRITBINOM(J1538,Coefficients!$B$30,RAND())</f>
        <v>0</v>
      </c>
      <c r="L1538" s="0" t="n">
        <f aca="true">CRITBINOM(K1538,Coefficients!$B$31,RAND())</f>
        <v>0</v>
      </c>
      <c r="M1538" s="0" t="n">
        <f aca="true">CRITBINOM(MAX(0,J1538-K1538),1-Coefficients!$B$32,RAND())</f>
        <v>0</v>
      </c>
      <c r="N1538" s="0" t="n">
        <f aca="true">CRITBINOM(MAX(0,$C1538-J1538),MIN(0.6,Matchup!$C$40*SQRT($B1538)/(1-MIN(0.75,Matchup!$C$39*$B1538))),RAND())</f>
        <v>0</v>
      </c>
      <c r="O1538" s="0" t="n">
        <f aca="false">6*J1538+(J1538-K1538-M1538)+2*L1538+3*N1538</f>
        <v>35</v>
      </c>
      <c r="P1538" s="0" t="n">
        <f aca="true">RAND()</f>
        <v>0.960748373228002</v>
      </c>
      <c r="Q1538" s="0" t="n">
        <f aca="true">RAND()</f>
        <v>0.684204430430483</v>
      </c>
      <c r="R1538" s="0" t="n">
        <f aca="false">IF($I1538&lt;&gt;$O1538,0,IF(P1538&lt;Matchup!$B$39,7,IF(P1538&lt;Matchup!$B$39+Matchup!$B$40,3,0)))</f>
        <v>0</v>
      </c>
      <c r="S1538" s="0" t="n">
        <f aca="false">IF($I1538&lt;&gt;$O1538,0,IF(Q1538&lt;Matchup!$C$39,7,IF(Q1538&lt;Matchup!$C$39+Matchup!$C$40,3,0)))</f>
        <v>0</v>
      </c>
      <c r="T1538" s="0" t="n">
        <f aca="false">I1538+R1538</f>
        <v>31</v>
      </c>
      <c r="U1538" s="0" t="n">
        <f aca="false">O1538+S1538</f>
        <v>35</v>
      </c>
      <c r="V1538" s="0" t="n">
        <f aca="false">T1538-U1538</f>
        <v>-4</v>
      </c>
      <c r="W1538" s="0" t="n">
        <f aca="false">T1538+U1538</f>
        <v>66</v>
      </c>
    </row>
    <row r="1539" customFormat="false" ht="15" hidden="false" customHeight="false" outlineLevel="0" collapsed="false">
      <c r="A1539" s="0" t="n">
        <v>1536</v>
      </c>
      <c r="B1539" s="0" t="n">
        <f aca="true">NORMINV(RAND(),1,Coefficients!$B$22)</f>
        <v>0.910755360402818</v>
      </c>
      <c r="C1539" s="0" t="n">
        <f aca="true">MEDIAN(8,16,ROUND(NORMINV(RAND(),Coefficients!$B$20,Coefficients!$B$21),0))</f>
        <v>12</v>
      </c>
      <c r="D1539" s="0" t="n">
        <f aca="true">CRITBINOM($C1539,MIN(0.75,Matchup!$B$39*$B1539),RAND())</f>
        <v>3</v>
      </c>
      <c r="E1539" s="0" t="n">
        <f aca="true">CRITBINOM(D1539,Coefficients!$B$30,RAND())</f>
        <v>2</v>
      </c>
      <c r="F1539" s="0" t="n">
        <f aca="true">CRITBINOM(E1539,Coefficients!$B$31,RAND())</f>
        <v>1</v>
      </c>
      <c r="G1539" s="0" t="n">
        <f aca="true">CRITBINOM(MAX(0,D1539-E1539),1-Coefficients!$B$32,RAND())</f>
        <v>0</v>
      </c>
      <c r="H1539" s="0" t="n">
        <f aca="true">CRITBINOM(MAX(0,$C1539-D1539),MIN(0.6,Matchup!$B$40*SQRT($B1539)/(1-MIN(0.75,Matchup!$B$39*$B1539))),RAND())</f>
        <v>1</v>
      </c>
      <c r="I1539" s="0" t="n">
        <f aca="false">6*D1539+(D1539-E1539-G1539)+2*F1539+3*H1539</f>
        <v>24</v>
      </c>
      <c r="J1539" s="0" t="n">
        <f aca="true">CRITBINOM($C1539,MIN(0.75,Matchup!$C$39*$B1539),RAND())</f>
        <v>3</v>
      </c>
      <c r="K1539" s="0" t="n">
        <f aca="true">CRITBINOM(J1539,Coefficients!$B$30,RAND())</f>
        <v>0</v>
      </c>
      <c r="L1539" s="0" t="n">
        <f aca="true">CRITBINOM(K1539,Coefficients!$B$31,RAND())</f>
        <v>0</v>
      </c>
      <c r="M1539" s="0" t="n">
        <f aca="true">CRITBINOM(MAX(0,J1539-K1539),1-Coefficients!$B$32,RAND())</f>
        <v>1</v>
      </c>
      <c r="N1539" s="0" t="n">
        <f aca="true">CRITBINOM(MAX(0,$C1539-J1539),MIN(0.6,Matchup!$C$40*SQRT($B1539)/(1-MIN(0.75,Matchup!$C$39*$B1539))),RAND())</f>
        <v>2</v>
      </c>
      <c r="O1539" s="0" t="n">
        <f aca="false">6*J1539+(J1539-K1539-M1539)+2*L1539+3*N1539</f>
        <v>26</v>
      </c>
      <c r="P1539" s="0" t="n">
        <f aca="true">RAND()</f>
        <v>0.389431947279714</v>
      </c>
      <c r="Q1539" s="0" t="n">
        <f aca="true">RAND()</f>
        <v>0.356934840038026</v>
      </c>
      <c r="R1539" s="0" t="n">
        <f aca="false">IF($I1539&lt;&gt;$O1539,0,IF(P1539&lt;Matchup!$B$39,7,IF(P1539&lt;Matchup!$B$39+Matchup!$B$40,3,0)))</f>
        <v>0</v>
      </c>
      <c r="S1539" s="0" t="n">
        <f aca="false">IF($I1539&lt;&gt;$O1539,0,IF(Q1539&lt;Matchup!$C$39,7,IF(Q1539&lt;Matchup!$C$39+Matchup!$C$40,3,0)))</f>
        <v>0</v>
      </c>
      <c r="T1539" s="0" t="n">
        <f aca="false">I1539+R1539</f>
        <v>24</v>
      </c>
      <c r="U1539" s="0" t="n">
        <f aca="false">O1539+S1539</f>
        <v>26</v>
      </c>
      <c r="V1539" s="0" t="n">
        <f aca="false">T1539-U1539</f>
        <v>-2</v>
      </c>
      <c r="W1539" s="0" t="n">
        <f aca="false">T1539+U1539</f>
        <v>50</v>
      </c>
    </row>
    <row r="1540" customFormat="false" ht="15" hidden="false" customHeight="false" outlineLevel="0" collapsed="false">
      <c r="A1540" s="0" t="n">
        <v>1537</v>
      </c>
      <c r="B1540" s="0" t="n">
        <f aca="true">NORMINV(RAND(),1,Coefficients!$B$22)</f>
        <v>1.03882878028468</v>
      </c>
      <c r="C1540" s="0" t="n">
        <f aca="true">MEDIAN(8,16,ROUND(NORMINV(RAND(),Coefficients!$B$20,Coefficients!$B$21),0))</f>
        <v>11</v>
      </c>
      <c r="D1540" s="0" t="n">
        <f aca="true">CRITBINOM($C1540,MIN(0.75,Matchup!$B$39*$B1540),RAND())</f>
        <v>3</v>
      </c>
      <c r="E1540" s="0" t="n">
        <f aca="true">CRITBINOM(D1540,Coefficients!$B$30,RAND())</f>
        <v>0</v>
      </c>
      <c r="F1540" s="0" t="n">
        <f aca="true">CRITBINOM(E1540,Coefficients!$B$31,RAND())</f>
        <v>0</v>
      </c>
      <c r="G1540" s="0" t="n">
        <f aca="true">CRITBINOM(MAX(0,D1540-E1540),1-Coefficients!$B$32,RAND())</f>
        <v>0</v>
      </c>
      <c r="H1540" s="0" t="n">
        <f aca="true">CRITBINOM(MAX(0,$C1540-D1540),MIN(0.6,Matchup!$B$40*SQRT($B1540)/(1-MIN(0.75,Matchup!$B$39*$B1540))),RAND())</f>
        <v>3</v>
      </c>
      <c r="I1540" s="0" t="n">
        <f aca="false">6*D1540+(D1540-E1540-G1540)+2*F1540+3*H1540</f>
        <v>30</v>
      </c>
      <c r="J1540" s="0" t="n">
        <f aca="true">CRITBINOM($C1540,MIN(0.75,Matchup!$C$39*$B1540),RAND())</f>
        <v>2</v>
      </c>
      <c r="K1540" s="0" t="n">
        <f aca="true">CRITBINOM(J1540,Coefficients!$B$30,RAND())</f>
        <v>0</v>
      </c>
      <c r="L1540" s="0" t="n">
        <f aca="true">CRITBINOM(K1540,Coefficients!$B$31,RAND())</f>
        <v>0</v>
      </c>
      <c r="M1540" s="0" t="n">
        <f aca="true">CRITBINOM(MAX(0,J1540-K1540),1-Coefficients!$B$32,RAND())</f>
        <v>0</v>
      </c>
      <c r="N1540" s="0" t="n">
        <f aca="true">CRITBINOM(MAX(0,$C1540-J1540),MIN(0.6,Matchup!$C$40*SQRT($B1540)/(1-MIN(0.75,Matchup!$C$39*$B1540))),RAND())</f>
        <v>3</v>
      </c>
      <c r="O1540" s="0" t="n">
        <f aca="false">6*J1540+(J1540-K1540-M1540)+2*L1540+3*N1540</f>
        <v>23</v>
      </c>
      <c r="P1540" s="0" t="n">
        <f aca="true">RAND()</f>
        <v>0.791765091989245</v>
      </c>
      <c r="Q1540" s="0" t="n">
        <f aca="true">RAND()</f>
        <v>0.374617694241731</v>
      </c>
      <c r="R1540" s="0" t="n">
        <f aca="false">IF($I1540&lt;&gt;$O1540,0,IF(P1540&lt;Matchup!$B$39,7,IF(P1540&lt;Matchup!$B$39+Matchup!$B$40,3,0)))</f>
        <v>0</v>
      </c>
      <c r="S1540" s="0" t="n">
        <f aca="false">IF($I1540&lt;&gt;$O1540,0,IF(Q1540&lt;Matchup!$C$39,7,IF(Q1540&lt;Matchup!$C$39+Matchup!$C$40,3,0)))</f>
        <v>0</v>
      </c>
      <c r="T1540" s="0" t="n">
        <f aca="false">I1540+R1540</f>
        <v>30</v>
      </c>
      <c r="U1540" s="0" t="n">
        <f aca="false">O1540+S1540</f>
        <v>23</v>
      </c>
      <c r="V1540" s="0" t="n">
        <f aca="false">T1540-U1540</f>
        <v>7</v>
      </c>
      <c r="W1540" s="0" t="n">
        <f aca="false">T1540+U1540</f>
        <v>53</v>
      </c>
    </row>
    <row r="1541" customFormat="false" ht="15" hidden="false" customHeight="false" outlineLevel="0" collapsed="false">
      <c r="A1541" s="0" t="n">
        <v>1538</v>
      </c>
      <c r="B1541" s="0" t="n">
        <f aca="true">NORMINV(RAND(),1,Coefficients!$B$22)</f>
        <v>1.05493933927237</v>
      </c>
      <c r="C1541" s="0" t="n">
        <f aca="true">MEDIAN(8,16,ROUND(NORMINV(RAND(),Coefficients!$B$20,Coefficients!$B$21),0))</f>
        <v>9</v>
      </c>
      <c r="D1541" s="0" t="n">
        <f aca="true">CRITBINOM($C1541,MIN(0.75,Matchup!$B$39*$B1541),RAND())</f>
        <v>2</v>
      </c>
      <c r="E1541" s="0" t="n">
        <f aca="true">CRITBINOM(D1541,Coefficients!$B$30,RAND())</f>
        <v>1</v>
      </c>
      <c r="F1541" s="0" t="n">
        <f aca="true">CRITBINOM(E1541,Coefficients!$B$31,RAND())</f>
        <v>1</v>
      </c>
      <c r="G1541" s="0" t="n">
        <f aca="true">CRITBINOM(MAX(0,D1541-E1541),1-Coefficients!$B$32,RAND())</f>
        <v>0</v>
      </c>
      <c r="H1541" s="0" t="n">
        <f aca="true">CRITBINOM(MAX(0,$C1541-D1541),MIN(0.6,Matchup!$B$40*SQRT($B1541)/(1-MIN(0.75,Matchup!$B$39*$B1541))),RAND())</f>
        <v>2</v>
      </c>
      <c r="I1541" s="0" t="n">
        <f aca="false">6*D1541+(D1541-E1541-G1541)+2*F1541+3*H1541</f>
        <v>21</v>
      </c>
      <c r="J1541" s="0" t="n">
        <f aca="true">CRITBINOM($C1541,MIN(0.75,Matchup!$C$39*$B1541),RAND())</f>
        <v>2</v>
      </c>
      <c r="K1541" s="0" t="n">
        <f aca="true">CRITBINOM(J1541,Coefficients!$B$30,RAND())</f>
        <v>0</v>
      </c>
      <c r="L1541" s="0" t="n">
        <f aca="true">CRITBINOM(K1541,Coefficients!$B$31,RAND())</f>
        <v>0</v>
      </c>
      <c r="M1541" s="0" t="n">
        <f aca="true">CRITBINOM(MAX(0,J1541-K1541),1-Coefficients!$B$32,RAND())</f>
        <v>0</v>
      </c>
      <c r="N1541" s="0" t="n">
        <f aca="true">CRITBINOM(MAX(0,$C1541-J1541),MIN(0.6,Matchup!$C$40*SQRT($B1541)/(1-MIN(0.75,Matchup!$C$39*$B1541))),RAND())</f>
        <v>2</v>
      </c>
      <c r="O1541" s="0" t="n">
        <f aca="false">6*J1541+(J1541-K1541-M1541)+2*L1541+3*N1541</f>
        <v>20</v>
      </c>
      <c r="P1541" s="0" t="n">
        <f aca="true">RAND()</f>
        <v>0.620018844385527</v>
      </c>
      <c r="Q1541" s="0" t="n">
        <f aca="true">RAND()</f>
        <v>0.992580555565869</v>
      </c>
      <c r="R1541" s="0" t="n">
        <f aca="false">IF($I1541&lt;&gt;$O1541,0,IF(P1541&lt;Matchup!$B$39,7,IF(P1541&lt;Matchup!$B$39+Matchup!$B$40,3,0)))</f>
        <v>0</v>
      </c>
      <c r="S1541" s="0" t="n">
        <f aca="false">IF($I1541&lt;&gt;$O1541,0,IF(Q1541&lt;Matchup!$C$39,7,IF(Q1541&lt;Matchup!$C$39+Matchup!$C$40,3,0)))</f>
        <v>0</v>
      </c>
      <c r="T1541" s="0" t="n">
        <f aca="false">I1541+R1541</f>
        <v>21</v>
      </c>
      <c r="U1541" s="0" t="n">
        <f aca="false">O1541+S1541</f>
        <v>20</v>
      </c>
      <c r="V1541" s="0" t="n">
        <f aca="false">T1541-U1541</f>
        <v>1</v>
      </c>
      <c r="W1541" s="0" t="n">
        <f aca="false">T1541+U1541</f>
        <v>41</v>
      </c>
    </row>
    <row r="1542" customFormat="false" ht="15" hidden="false" customHeight="false" outlineLevel="0" collapsed="false">
      <c r="A1542" s="0" t="n">
        <v>1539</v>
      </c>
      <c r="B1542" s="0" t="n">
        <f aca="true">NORMINV(RAND(),1,Coefficients!$B$22)</f>
        <v>0.84751866222687</v>
      </c>
      <c r="C1542" s="0" t="n">
        <f aca="true">MEDIAN(8,16,ROUND(NORMINV(RAND(),Coefficients!$B$20,Coefficients!$B$21),0))</f>
        <v>12</v>
      </c>
      <c r="D1542" s="0" t="n">
        <f aca="true">CRITBINOM($C1542,MIN(0.75,Matchup!$B$39*$B1542),RAND())</f>
        <v>0</v>
      </c>
      <c r="E1542" s="0" t="n">
        <f aca="true">CRITBINOM(D1542,Coefficients!$B$30,RAND())</f>
        <v>0</v>
      </c>
      <c r="F1542" s="0" t="n">
        <f aca="true">CRITBINOM(E1542,Coefficients!$B$31,RAND())</f>
        <v>0</v>
      </c>
      <c r="G1542" s="0" t="n">
        <f aca="true">CRITBINOM(MAX(0,D1542-E1542),1-Coefficients!$B$32,RAND())</f>
        <v>0</v>
      </c>
      <c r="H1542" s="0" t="n">
        <f aca="true">CRITBINOM(MAX(0,$C1542-D1542),MIN(0.6,Matchup!$B$40*SQRT($B1542)/(1-MIN(0.75,Matchup!$B$39*$B1542))),RAND())</f>
        <v>2</v>
      </c>
      <c r="I1542" s="0" t="n">
        <f aca="false">6*D1542+(D1542-E1542-G1542)+2*F1542+3*H1542</f>
        <v>6</v>
      </c>
      <c r="J1542" s="0" t="n">
        <f aca="true">CRITBINOM($C1542,MIN(0.75,Matchup!$C$39*$B1542),RAND())</f>
        <v>3</v>
      </c>
      <c r="K1542" s="0" t="n">
        <f aca="true">CRITBINOM(J1542,Coefficients!$B$30,RAND())</f>
        <v>0</v>
      </c>
      <c r="L1542" s="0" t="n">
        <f aca="true">CRITBINOM(K1542,Coefficients!$B$31,RAND())</f>
        <v>0</v>
      </c>
      <c r="M1542" s="0" t="n">
        <f aca="true">CRITBINOM(MAX(0,J1542-K1542),1-Coefficients!$B$32,RAND())</f>
        <v>0</v>
      </c>
      <c r="N1542" s="0" t="n">
        <f aca="true">CRITBINOM(MAX(0,$C1542-J1542),MIN(0.6,Matchup!$C$40*SQRT($B1542)/(1-MIN(0.75,Matchup!$C$39*$B1542))),RAND())</f>
        <v>1</v>
      </c>
      <c r="O1542" s="0" t="n">
        <f aca="false">6*J1542+(J1542-K1542-M1542)+2*L1542+3*N1542</f>
        <v>24</v>
      </c>
      <c r="P1542" s="0" t="n">
        <f aca="true">RAND()</f>
        <v>0.754120841319314</v>
      </c>
      <c r="Q1542" s="0" t="n">
        <f aca="true">RAND()</f>
        <v>0.973093404903808</v>
      </c>
      <c r="R1542" s="0" t="n">
        <f aca="false">IF($I1542&lt;&gt;$O1542,0,IF(P1542&lt;Matchup!$B$39,7,IF(P1542&lt;Matchup!$B$39+Matchup!$B$40,3,0)))</f>
        <v>0</v>
      </c>
      <c r="S1542" s="0" t="n">
        <f aca="false">IF($I1542&lt;&gt;$O1542,0,IF(Q1542&lt;Matchup!$C$39,7,IF(Q1542&lt;Matchup!$C$39+Matchup!$C$40,3,0)))</f>
        <v>0</v>
      </c>
      <c r="T1542" s="0" t="n">
        <f aca="false">I1542+R1542</f>
        <v>6</v>
      </c>
      <c r="U1542" s="0" t="n">
        <f aca="false">O1542+S1542</f>
        <v>24</v>
      </c>
      <c r="V1542" s="0" t="n">
        <f aca="false">T1542-U1542</f>
        <v>-18</v>
      </c>
      <c r="W1542" s="0" t="n">
        <f aca="false">T1542+U1542</f>
        <v>30</v>
      </c>
    </row>
    <row r="1543" customFormat="false" ht="15" hidden="false" customHeight="false" outlineLevel="0" collapsed="false">
      <c r="A1543" s="0" t="n">
        <v>1540</v>
      </c>
      <c r="B1543" s="0" t="n">
        <f aca="true">NORMINV(RAND(),1,Coefficients!$B$22)</f>
        <v>0.947228730175088</v>
      </c>
      <c r="C1543" s="0" t="n">
        <f aca="true">MEDIAN(8,16,ROUND(NORMINV(RAND(),Coefficients!$B$20,Coefficients!$B$21),0))</f>
        <v>12</v>
      </c>
      <c r="D1543" s="0" t="n">
        <f aca="true">CRITBINOM($C1543,MIN(0.75,Matchup!$B$39*$B1543),RAND())</f>
        <v>4</v>
      </c>
      <c r="E1543" s="0" t="n">
        <f aca="true">CRITBINOM(D1543,Coefficients!$B$30,RAND())</f>
        <v>0</v>
      </c>
      <c r="F1543" s="0" t="n">
        <f aca="true">CRITBINOM(E1543,Coefficients!$B$31,RAND())</f>
        <v>0</v>
      </c>
      <c r="G1543" s="0" t="n">
        <f aca="true">CRITBINOM(MAX(0,D1543-E1543),1-Coefficients!$B$32,RAND())</f>
        <v>0</v>
      </c>
      <c r="H1543" s="0" t="n">
        <f aca="true">CRITBINOM(MAX(0,$C1543-D1543),MIN(0.6,Matchup!$B$40*SQRT($B1543)/(1-MIN(0.75,Matchup!$B$39*$B1543))),RAND())</f>
        <v>2</v>
      </c>
      <c r="I1543" s="0" t="n">
        <f aca="false">6*D1543+(D1543-E1543-G1543)+2*F1543+3*H1543</f>
        <v>34</v>
      </c>
      <c r="J1543" s="0" t="n">
        <f aca="true">CRITBINOM($C1543,MIN(0.75,Matchup!$C$39*$B1543),RAND())</f>
        <v>1</v>
      </c>
      <c r="K1543" s="0" t="n">
        <f aca="true">CRITBINOM(J1543,Coefficients!$B$30,RAND())</f>
        <v>0</v>
      </c>
      <c r="L1543" s="0" t="n">
        <f aca="true">CRITBINOM(K1543,Coefficients!$B$31,RAND())</f>
        <v>0</v>
      </c>
      <c r="M1543" s="0" t="n">
        <f aca="true">CRITBINOM(MAX(0,J1543-K1543),1-Coefficients!$B$32,RAND())</f>
        <v>0</v>
      </c>
      <c r="N1543" s="0" t="n">
        <f aca="true">CRITBINOM(MAX(0,$C1543-J1543),MIN(0.6,Matchup!$C$40*SQRT($B1543)/(1-MIN(0.75,Matchup!$C$39*$B1543))),RAND())</f>
        <v>3</v>
      </c>
      <c r="O1543" s="0" t="n">
        <f aca="false">6*J1543+(J1543-K1543-M1543)+2*L1543+3*N1543</f>
        <v>16</v>
      </c>
      <c r="P1543" s="0" t="n">
        <f aca="true">RAND()</f>
        <v>0.569380169500476</v>
      </c>
      <c r="Q1543" s="0" t="n">
        <f aca="true">RAND()</f>
        <v>0.0174362545930478</v>
      </c>
      <c r="R1543" s="0" t="n">
        <f aca="false">IF($I1543&lt;&gt;$O1543,0,IF(P1543&lt;Matchup!$B$39,7,IF(P1543&lt;Matchup!$B$39+Matchup!$B$40,3,0)))</f>
        <v>0</v>
      </c>
      <c r="S1543" s="0" t="n">
        <f aca="false">IF($I1543&lt;&gt;$O1543,0,IF(Q1543&lt;Matchup!$C$39,7,IF(Q1543&lt;Matchup!$C$39+Matchup!$C$40,3,0)))</f>
        <v>0</v>
      </c>
      <c r="T1543" s="0" t="n">
        <f aca="false">I1543+R1543</f>
        <v>34</v>
      </c>
      <c r="U1543" s="0" t="n">
        <f aca="false">O1543+S1543</f>
        <v>16</v>
      </c>
      <c r="V1543" s="0" t="n">
        <f aca="false">T1543-U1543</f>
        <v>18</v>
      </c>
      <c r="W1543" s="0" t="n">
        <f aca="false">T1543+U1543</f>
        <v>50</v>
      </c>
    </row>
    <row r="1544" customFormat="false" ht="15" hidden="false" customHeight="false" outlineLevel="0" collapsed="false">
      <c r="A1544" s="0" t="n">
        <v>1541</v>
      </c>
      <c r="B1544" s="0" t="n">
        <f aca="true">NORMINV(RAND(),1,Coefficients!$B$22)</f>
        <v>1.00818395108566</v>
      </c>
      <c r="C1544" s="0" t="n">
        <f aca="true">MEDIAN(8,16,ROUND(NORMINV(RAND(),Coefficients!$B$20,Coefficients!$B$21),0))</f>
        <v>10</v>
      </c>
      <c r="D1544" s="0" t="n">
        <f aca="true">CRITBINOM($C1544,MIN(0.75,Matchup!$B$39*$B1544),RAND())</f>
        <v>2</v>
      </c>
      <c r="E1544" s="0" t="n">
        <f aca="true">CRITBINOM(D1544,Coefficients!$B$30,RAND())</f>
        <v>1</v>
      </c>
      <c r="F1544" s="0" t="n">
        <f aca="true">CRITBINOM(E1544,Coefficients!$B$31,RAND())</f>
        <v>1</v>
      </c>
      <c r="G1544" s="0" t="n">
        <f aca="true">CRITBINOM(MAX(0,D1544-E1544),1-Coefficients!$B$32,RAND())</f>
        <v>0</v>
      </c>
      <c r="H1544" s="0" t="n">
        <f aca="true">CRITBINOM(MAX(0,$C1544-D1544),MIN(0.6,Matchup!$B$40*SQRT($B1544)/(1-MIN(0.75,Matchup!$B$39*$B1544))),RAND())</f>
        <v>2</v>
      </c>
      <c r="I1544" s="0" t="n">
        <f aca="false">6*D1544+(D1544-E1544-G1544)+2*F1544+3*H1544</f>
        <v>21</v>
      </c>
      <c r="J1544" s="0" t="n">
        <f aca="true">CRITBINOM($C1544,MIN(0.75,Matchup!$C$39*$B1544),RAND())</f>
        <v>2</v>
      </c>
      <c r="K1544" s="0" t="n">
        <f aca="true">CRITBINOM(J1544,Coefficients!$B$30,RAND())</f>
        <v>0</v>
      </c>
      <c r="L1544" s="0" t="n">
        <f aca="true">CRITBINOM(K1544,Coefficients!$B$31,RAND())</f>
        <v>0</v>
      </c>
      <c r="M1544" s="0" t="n">
        <f aca="true">CRITBINOM(MAX(0,J1544-K1544),1-Coefficients!$B$32,RAND())</f>
        <v>0</v>
      </c>
      <c r="N1544" s="0" t="n">
        <f aca="true">CRITBINOM(MAX(0,$C1544-J1544),MIN(0.6,Matchup!$C$40*SQRT($B1544)/(1-MIN(0.75,Matchup!$C$39*$B1544))),RAND())</f>
        <v>1</v>
      </c>
      <c r="O1544" s="0" t="n">
        <f aca="false">6*J1544+(J1544-K1544-M1544)+2*L1544+3*N1544</f>
        <v>17</v>
      </c>
      <c r="P1544" s="0" t="n">
        <f aca="true">RAND()</f>
        <v>0.263814485360587</v>
      </c>
      <c r="Q1544" s="0" t="n">
        <f aca="true">RAND()</f>
        <v>0.0136676178627289</v>
      </c>
      <c r="R1544" s="0" t="n">
        <f aca="false">IF($I1544&lt;&gt;$O1544,0,IF(P1544&lt;Matchup!$B$39,7,IF(P1544&lt;Matchup!$B$39+Matchup!$B$40,3,0)))</f>
        <v>0</v>
      </c>
      <c r="S1544" s="0" t="n">
        <f aca="false">IF($I1544&lt;&gt;$O1544,0,IF(Q1544&lt;Matchup!$C$39,7,IF(Q1544&lt;Matchup!$C$39+Matchup!$C$40,3,0)))</f>
        <v>0</v>
      </c>
      <c r="T1544" s="0" t="n">
        <f aca="false">I1544+R1544</f>
        <v>21</v>
      </c>
      <c r="U1544" s="0" t="n">
        <f aca="false">O1544+S1544</f>
        <v>17</v>
      </c>
      <c r="V1544" s="0" t="n">
        <f aca="false">T1544-U1544</f>
        <v>4</v>
      </c>
      <c r="W1544" s="0" t="n">
        <f aca="false">T1544+U1544</f>
        <v>38</v>
      </c>
    </row>
    <row r="1545" customFormat="false" ht="15" hidden="false" customHeight="false" outlineLevel="0" collapsed="false">
      <c r="A1545" s="0" t="n">
        <v>1542</v>
      </c>
      <c r="B1545" s="0" t="n">
        <f aca="true">NORMINV(RAND(),1,Coefficients!$B$22)</f>
        <v>1.00298073579661</v>
      </c>
      <c r="C1545" s="0" t="n">
        <f aca="true">MEDIAN(8,16,ROUND(NORMINV(RAND(),Coefficients!$B$20,Coefficients!$B$21),0))</f>
        <v>10</v>
      </c>
      <c r="D1545" s="0" t="n">
        <f aca="true">CRITBINOM($C1545,MIN(0.75,Matchup!$B$39*$B1545),RAND())</f>
        <v>4</v>
      </c>
      <c r="E1545" s="0" t="n">
        <f aca="true">CRITBINOM(D1545,Coefficients!$B$30,RAND())</f>
        <v>0</v>
      </c>
      <c r="F1545" s="0" t="n">
        <f aca="true">CRITBINOM(E1545,Coefficients!$B$31,RAND())</f>
        <v>0</v>
      </c>
      <c r="G1545" s="0" t="n">
        <f aca="true">CRITBINOM(MAX(0,D1545-E1545),1-Coefficients!$B$32,RAND())</f>
        <v>0</v>
      </c>
      <c r="H1545" s="0" t="n">
        <f aca="true">CRITBINOM(MAX(0,$C1545-D1545),MIN(0.6,Matchup!$B$40*SQRT($B1545)/(1-MIN(0.75,Matchup!$B$39*$B1545))),RAND())</f>
        <v>0</v>
      </c>
      <c r="I1545" s="0" t="n">
        <f aca="false">6*D1545+(D1545-E1545-G1545)+2*F1545+3*H1545</f>
        <v>28</v>
      </c>
      <c r="J1545" s="0" t="n">
        <f aca="true">CRITBINOM($C1545,MIN(0.75,Matchup!$C$39*$B1545),RAND())</f>
        <v>4</v>
      </c>
      <c r="K1545" s="0" t="n">
        <f aca="true">CRITBINOM(J1545,Coefficients!$B$30,RAND())</f>
        <v>1</v>
      </c>
      <c r="L1545" s="0" t="n">
        <f aca="true">CRITBINOM(K1545,Coefficients!$B$31,RAND())</f>
        <v>1</v>
      </c>
      <c r="M1545" s="0" t="n">
        <f aca="true">CRITBINOM(MAX(0,J1545-K1545),1-Coefficients!$B$32,RAND())</f>
        <v>0</v>
      </c>
      <c r="N1545" s="0" t="n">
        <f aca="true">CRITBINOM(MAX(0,$C1545-J1545),MIN(0.6,Matchup!$C$40*SQRT($B1545)/(1-MIN(0.75,Matchup!$C$39*$B1545))),RAND())</f>
        <v>1</v>
      </c>
      <c r="O1545" s="0" t="n">
        <f aca="false">6*J1545+(J1545-K1545-M1545)+2*L1545+3*N1545</f>
        <v>32</v>
      </c>
      <c r="P1545" s="0" t="n">
        <f aca="true">RAND()</f>
        <v>0.0931099217040054</v>
      </c>
      <c r="Q1545" s="0" t="n">
        <f aca="true">RAND()</f>
        <v>0.114399004813607</v>
      </c>
      <c r="R1545" s="0" t="n">
        <f aca="false">IF($I1545&lt;&gt;$O1545,0,IF(P1545&lt;Matchup!$B$39,7,IF(P1545&lt;Matchup!$B$39+Matchup!$B$40,3,0)))</f>
        <v>0</v>
      </c>
      <c r="S1545" s="0" t="n">
        <f aca="false">IF($I1545&lt;&gt;$O1545,0,IF(Q1545&lt;Matchup!$C$39,7,IF(Q1545&lt;Matchup!$C$39+Matchup!$C$40,3,0)))</f>
        <v>0</v>
      </c>
      <c r="T1545" s="0" t="n">
        <f aca="false">I1545+R1545</f>
        <v>28</v>
      </c>
      <c r="U1545" s="0" t="n">
        <f aca="false">O1545+S1545</f>
        <v>32</v>
      </c>
      <c r="V1545" s="0" t="n">
        <f aca="false">T1545-U1545</f>
        <v>-4</v>
      </c>
      <c r="W1545" s="0" t="n">
        <f aca="false">T1545+U1545</f>
        <v>60</v>
      </c>
    </row>
    <row r="1546" customFormat="false" ht="15" hidden="false" customHeight="false" outlineLevel="0" collapsed="false">
      <c r="A1546" s="0" t="n">
        <v>1543</v>
      </c>
      <c r="B1546" s="0" t="n">
        <f aca="true">NORMINV(RAND(),1,Coefficients!$B$22)</f>
        <v>0.977795155224132</v>
      </c>
      <c r="C1546" s="0" t="n">
        <f aca="true">MEDIAN(8,16,ROUND(NORMINV(RAND(),Coefficients!$B$20,Coefficients!$B$21),0))</f>
        <v>12</v>
      </c>
      <c r="D1546" s="0" t="n">
        <f aca="true">CRITBINOM($C1546,MIN(0.75,Matchup!$B$39*$B1546),RAND())</f>
        <v>1</v>
      </c>
      <c r="E1546" s="0" t="n">
        <f aca="true">CRITBINOM(D1546,Coefficients!$B$30,RAND())</f>
        <v>0</v>
      </c>
      <c r="F1546" s="0" t="n">
        <f aca="true">CRITBINOM(E1546,Coefficients!$B$31,RAND())</f>
        <v>0</v>
      </c>
      <c r="G1546" s="0" t="n">
        <f aca="true">CRITBINOM(MAX(0,D1546-E1546),1-Coefficients!$B$32,RAND())</f>
        <v>0</v>
      </c>
      <c r="H1546" s="0" t="n">
        <f aca="true">CRITBINOM(MAX(0,$C1546-D1546),MIN(0.6,Matchup!$B$40*SQRT($B1546)/(1-MIN(0.75,Matchup!$B$39*$B1546))),RAND())</f>
        <v>3</v>
      </c>
      <c r="I1546" s="0" t="n">
        <f aca="false">6*D1546+(D1546-E1546-G1546)+2*F1546+3*H1546</f>
        <v>16</v>
      </c>
      <c r="J1546" s="0" t="n">
        <f aca="true">CRITBINOM($C1546,MIN(0.75,Matchup!$C$39*$B1546),RAND())</f>
        <v>2</v>
      </c>
      <c r="K1546" s="0" t="n">
        <f aca="true">CRITBINOM(J1546,Coefficients!$B$30,RAND())</f>
        <v>0</v>
      </c>
      <c r="L1546" s="0" t="n">
        <f aca="true">CRITBINOM(K1546,Coefficients!$B$31,RAND())</f>
        <v>0</v>
      </c>
      <c r="M1546" s="0" t="n">
        <f aca="true">CRITBINOM(MAX(0,J1546-K1546),1-Coefficients!$B$32,RAND())</f>
        <v>0</v>
      </c>
      <c r="N1546" s="0" t="n">
        <f aca="true">CRITBINOM(MAX(0,$C1546-J1546),MIN(0.6,Matchup!$C$40*SQRT($B1546)/(1-MIN(0.75,Matchup!$C$39*$B1546))),RAND())</f>
        <v>1</v>
      </c>
      <c r="O1546" s="0" t="n">
        <f aca="false">6*J1546+(J1546-K1546-M1546)+2*L1546+3*N1546</f>
        <v>17</v>
      </c>
      <c r="P1546" s="0" t="n">
        <f aca="true">RAND()</f>
        <v>0.826499017375974</v>
      </c>
      <c r="Q1546" s="0" t="n">
        <f aca="true">RAND()</f>
        <v>0.75768157557555</v>
      </c>
      <c r="R1546" s="0" t="n">
        <f aca="false">IF($I1546&lt;&gt;$O1546,0,IF(P1546&lt;Matchup!$B$39,7,IF(P1546&lt;Matchup!$B$39+Matchup!$B$40,3,0)))</f>
        <v>0</v>
      </c>
      <c r="S1546" s="0" t="n">
        <f aca="false">IF($I1546&lt;&gt;$O1546,0,IF(Q1546&lt;Matchup!$C$39,7,IF(Q1546&lt;Matchup!$C$39+Matchup!$C$40,3,0)))</f>
        <v>0</v>
      </c>
      <c r="T1546" s="0" t="n">
        <f aca="false">I1546+R1546</f>
        <v>16</v>
      </c>
      <c r="U1546" s="0" t="n">
        <f aca="false">O1546+S1546</f>
        <v>17</v>
      </c>
      <c r="V1546" s="0" t="n">
        <f aca="false">T1546-U1546</f>
        <v>-1</v>
      </c>
      <c r="W1546" s="0" t="n">
        <f aca="false">T1546+U1546</f>
        <v>33</v>
      </c>
    </row>
    <row r="1547" customFormat="false" ht="15" hidden="false" customHeight="false" outlineLevel="0" collapsed="false">
      <c r="A1547" s="0" t="n">
        <v>1544</v>
      </c>
      <c r="B1547" s="0" t="n">
        <f aca="true">NORMINV(RAND(),1,Coefficients!$B$22)</f>
        <v>1.06476120934374</v>
      </c>
      <c r="C1547" s="0" t="n">
        <f aca="true">MEDIAN(8,16,ROUND(NORMINV(RAND(),Coefficients!$B$20,Coefficients!$B$21),0))</f>
        <v>11</v>
      </c>
      <c r="D1547" s="0" t="n">
        <f aca="true">CRITBINOM($C1547,MIN(0.75,Matchup!$B$39*$B1547),RAND())</f>
        <v>1</v>
      </c>
      <c r="E1547" s="0" t="n">
        <f aca="true">CRITBINOM(D1547,Coefficients!$B$30,RAND())</f>
        <v>0</v>
      </c>
      <c r="F1547" s="0" t="n">
        <f aca="true">CRITBINOM(E1547,Coefficients!$B$31,RAND())</f>
        <v>0</v>
      </c>
      <c r="G1547" s="0" t="n">
        <f aca="true">CRITBINOM(MAX(0,D1547-E1547),1-Coefficients!$B$32,RAND())</f>
        <v>1</v>
      </c>
      <c r="H1547" s="0" t="n">
        <f aca="true">CRITBINOM(MAX(0,$C1547-D1547),MIN(0.6,Matchup!$B$40*SQRT($B1547)/(1-MIN(0.75,Matchup!$B$39*$B1547))),RAND())</f>
        <v>5</v>
      </c>
      <c r="I1547" s="0" t="n">
        <f aca="false">6*D1547+(D1547-E1547-G1547)+2*F1547+3*H1547</f>
        <v>21</v>
      </c>
      <c r="J1547" s="0" t="n">
        <f aca="true">CRITBINOM($C1547,MIN(0.75,Matchup!$C$39*$B1547),RAND())</f>
        <v>2</v>
      </c>
      <c r="K1547" s="0" t="n">
        <f aca="true">CRITBINOM(J1547,Coefficients!$B$30,RAND())</f>
        <v>0</v>
      </c>
      <c r="L1547" s="0" t="n">
        <f aca="true">CRITBINOM(K1547,Coefficients!$B$31,RAND())</f>
        <v>0</v>
      </c>
      <c r="M1547" s="0" t="n">
        <f aca="true">CRITBINOM(MAX(0,J1547-K1547),1-Coefficients!$B$32,RAND())</f>
        <v>0</v>
      </c>
      <c r="N1547" s="0" t="n">
        <f aca="true">CRITBINOM(MAX(0,$C1547-J1547),MIN(0.6,Matchup!$C$40*SQRT($B1547)/(1-MIN(0.75,Matchup!$C$39*$B1547))),RAND())</f>
        <v>3</v>
      </c>
      <c r="O1547" s="0" t="n">
        <f aca="false">6*J1547+(J1547-K1547-M1547)+2*L1547+3*N1547</f>
        <v>23</v>
      </c>
      <c r="P1547" s="0" t="n">
        <f aca="true">RAND()</f>
        <v>0.543475980265642</v>
      </c>
      <c r="Q1547" s="0" t="n">
        <f aca="true">RAND()</f>
        <v>0.842963974715501</v>
      </c>
      <c r="R1547" s="0" t="n">
        <f aca="false">IF($I1547&lt;&gt;$O1547,0,IF(P1547&lt;Matchup!$B$39,7,IF(P1547&lt;Matchup!$B$39+Matchup!$B$40,3,0)))</f>
        <v>0</v>
      </c>
      <c r="S1547" s="0" t="n">
        <f aca="false">IF($I1547&lt;&gt;$O1547,0,IF(Q1547&lt;Matchup!$C$39,7,IF(Q1547&lt;Matchup!$C$39+Matchup!$C$40,3,0)))</f>
        <v>0</v>
      </c>
      <c r="T1547" s="0" t="n">
        <f aca="false">I1547+R1547</f>
        <v>21</v>
      </c>
      <c r="U1547" s="0" t="n">
        <f aca="false">O1547+S1547</f>
        <v>23</v>
      </c>
      <c r="V1547" s="0" t="n">
        <f aca="false">T1547-U1547</f>
        <v>-2</v>
      </c>
      <c r="W1547" s="0" t="n">
        <f aca="false">T1547+U1547</f>
        <v>44</v>
      </c>
    </row>
    <row r="1548" customFormat="false" ht="15" hidden="false" customHeight="false" outlineLevel="0" collapsed="false">
      <c r="A1548" s="0" t="n">
        <v>1545</v>
      </c>
      <c r="B1548" s="0" t="n">
        <f aca="true">NORMINV(RAND(),1,Coefficients!$B$22)</f>
        <v>1.07714800009757</v>
      </c>
      <c r="C1548" s="0" t="n">
        <f aca="true">MEDIAN(8,16,ROUND(NORMINV(RAND(),Coefficients!$B$20,Coefficients!$B$21),0))</f>
        <v>10</v>
      </c>
      <c r="D1548" s="0" t="n">
        <f aca="true">CRITBINOM($C1548,MIN(0.75,Matchup!$B$39*$B1548),RAND())</f>
        <v>2</v>
      </c>
      <c r="E1548" s="0" t="n">
        <f aca="true">CRITBINOM(D1548,Coefficients!$B$30,RAND())</f>
        <v>0</v>
      </c>
      <c r="F1548" s="0" t="n">
        <f aca="true">CRITBINOM(E1548,Coefficients!$B$31,RAND())</f>
        <v>0</v>
      </c>
      <c r="G1548" s="0" t="n">
        <f aca="true">CRITBINOM(MAX(0,D1548-E1548),1-Coefficients!$B$32,RAND())</f>
        <v>0</v>
      </c>
      <c r="H1548" s="0" t="n">
        <f aca="true">CRITBINOM(MAX(0,$C1548-D1548),MIN(0.6,Matchup!$B$40*SQRT($B1548)/(1-MIN(0.75,Matchup!$B$39*$B1548))),RAND())</f>
        <v>2</v>
      </c>
      <c r="I1548" s="0" t="n">
        <f aca="false">6*D1548+(D1548-E1548-G1548)+2*F1548+3*H1548</f>
        <v>20</v>
      </c>
      <c r="J1548" s="0" t="n">
        <f aca="true">CRITBINOM($C1548,MIN(0.75,Matchup!$C$39*$B1548),RAND())</f>
        <v>3</v>
      </c>
      <c r="K1548" s="0" t="n">
        <f aca="true">CRITBINOM(J1548,Coefficients!$B$30,RAND())</f>
        <v>0</v>
      </c>
      <c r="L1548" s="0" t="n">
        <f aca="true">CRITBINOM(K1548,Coefficients!$B$31,RAND())</f>
        <v>0</v>
      </c>
      <c r="M1548" s="0" t="n">
        <f aca="true">CRITBINOM(MAX(0,J1548-K1548),1-Coefficients!$B$32,RAND())</f>
        <v>1</v>
      </c>
      <c r="N1548" s="0" t="n">
        <f aca="true">CRITBINOM(MAX(0,$C1548-J1548),MIN(0.6,Matchup!$C$40*SQRT($B1548)/(1-MIN(0.75,Matchup!$C$39*$B1548))),RAND())</f>
        <v>3</v>
      </c>
      <c r="O1548" s="0" t="n">
        <f aca="false">6*J1548+(J1548-K1548-M1548)+2*L1548+3*N1548</f>
        <v>29</v>
      </c>
      <c r="P1548" s="0" t="n">
        <f aca="true">RAND()</f>
        <v>0.307334865318717</v>
      </c>
      <c r="Q1548" s="0" t="n">
        <f aca="true">RAND()</f>
        <v>0.343292923355088</v>
      </c>
      <c r="R1548" s="0" t="n">
        <f aca="false">IF($I1548&lt;&gt;$O1548,0,IF(P1548&lt;Matchup!$B$39,7,IF(P1548&lt;Matchup!$B$39+Matchup!$B$40,3,0)))</f>
        <v>0</v>
      </c>
      <c r="S1548" s="0" t="n">
        <f aca="false">IF($I1548&lt;&gt;$O1548,0,IF(Q1548&lt;Matchup!$C$39,7,IF(Q1548&lt;Matchup!$C$39+Matchup!$C$40,3,0)))</f>
        <v>0</v>
      </c>
      <c r="T1548" s="0" t="n">
        <f aca="false">I1548+R1548</f>
        <v>20</v>
      </c>
      <c r="U1548" s="0" t="n">
        <f aca="false">O1548+S1548</f>
        <v>29</v>
      </c>
      <c r="V1548" s="0" t="n">
        <f aca="false">T1548-U1548</f>
        <v>-9</v>
      </c>
      <c r="W1548" s="0" t="n">
        <f aca="false">T1548+U1548</f>
        <v>49</v>
      </c>
    </row>
    <row r="1549" customFormat="false" ht="15" hidden="false" customHeight="false" outlineLevel="0" collapsed="false">
      <c r="A1549" s="0" t="n">
        <v>1546</v>
      </c>
      <c r="B1549" s="0" t="n">
        <f aca="true">NORMINV(RAND(),1,Coefficients!$B$22)</f>
        <v>0.856838379899118</v>
      </c>
      <c r="C1549" s="0" t="n">
        <f aca="true">MEDIAN(8,16,ROUND(NORMINV(RAND(),Coefficients!$B$20,Coefficients!$B$21),0))</f>
        <v>11</v>
      </c>
      <c r="D1549" s="0" t="n">
        <f aca="true">CRITBINOM($C1549,MIN(0.75,Matchup!$B$39*$B1549),RAND())</f>
        <v>7</v>
      </c>
      <c r="E1549" s="0" t="n">
        <f aca="true">CRITBINOM(D1549,Coefficients!$B$30,RAND())</f>
        <v>1</v>
      </c>
      <c r="F1549" s="0" t="n">
        <f aca="true">CRITBINOM(E1549,Coefficients!$B$31,RAND())</f>
        <v>0</v>
      </c>
      <c r="G1549" s="0" t="n">
        <f aca="true">CRITBINOM(MAX(0,D1549-E1549),1-Coefficients!$B$32,RAND())</f>
        <v>0</v>
      </c>
      <c r="H1549" s="0" t="n">
        <f aca="true">CRITBINOM(MAX(0,$C1549-D1549),MIN(0.6,Matchup!$B$40*SQRT($B1549)/(1-MIN(0.75,Matchup!$B$39*$B1549))),RAND())</f>
        <v>0</v>
      </c>
      <c r="I1549" s="0" t="n">
        <f aca="false">6*D1549+(D1549-E1549-G1549)+2*F1549+3*H1549</f>
        <v>48</v>
      </c>
      <c r="J1549" s="0" t="n">
        <f aca="true">CRITBINOM($C1549,MIN(0.75,Matchup!$C$39*$B1549),RAND())</f>
        <v>5</v>
      </c>
      <c r="K1549" s="0" t="n">
        <f aca="true">CRITBINOM(J1549,Coefficients!$B$30,RAND())</f>
        <v>1</v>
      </c>
      <c r="L1549" s="0" t="n">
        <f aca="true">CRITBINOM(K1549,Coefficients!$B$31,RAND())</f>
        <v>0</v>
      </c>
      <c r="M1549" s="0" t="n">
        <f aca="true">CRITBINOM(MAX(0,J1549-K1549),1-Coefficients!$B$32,RAND())</f>
        <v>0</v>
      </c>
      <c r="N1549" s="0" t="n">
        <f aca="true">CRITBINOM(MAX(0,$C1549-J1549),MIN(0.6,Matchup!$C$40*SQRT($B1549)/(1-MIN(0.75,Matchup!$C$39*$B1549))),RAND())</f>
        <v>0</v>
      </c>
      <c r="O1549" s="0" t="n">
        <f aca="false">6*J1549+(J1549-K1549-M1549)+2*L1549+3*N1549</f>
        <v>34</v>
      </c>
      <c r="P1549" s="0" t="n">
        <f aca="true">RAND()</f>
        <v>0.480129282599022</v>
      </c>
      <c r="Q1549" s="0" t="n">
        <f aca="true">RAND()</f>
        <v>0.00593865948336502</v>
      </c>
      <c r="R1549" s="0" t="n">
        <f aca="false">IF($I1549&lt;&gt;$O1549,0,IF(P1549&lt;Matchup!$B$39,7,IF(P1549&lt;Matchup!$B$39+Matchup!$B$40,3,0)))</f>
        <v>0</v>
      </c>
      <c r="S1549" s="0" t="n">
        <f aca="false">IF($I1549&lt;&gt;$O1549,0,IF(Q1549&lt;Matchup!$C$39,7,IF(Q1549&lt;Matchup!$C$39+Matchup!$C$40,3,0)))</f>
        <v>0</v>
      </c>
      <c r="T1549" s="0" t="n">
        <f aca="false">I1549+R1549</f>
        <v>48</v>
      </c>
      <c r="U1549" s="0" t="n">
        <f aca="false">O1549+S1549</f>
        <v>34</v>
      </c>
      <c r="V1549" s="0" t="n">
        <f aca="false">T1549-U1549</f>
        <v>14</v>
      </c>
      <c r="W1549" s="0" t="n">
        <f aca="false">T1549+U1549</f>
        <v>82</v>
      </c>
    </row>
    <row r="1550" customFormat="false" ht="15" hidden="false" customHeight="false" outlineLevel="0" collapsed="false">
      <c r="A1550" s="0" t="n">
        <v>1547</v>
      </c>
      <c r="B1550" s="0" t="n">
        <f aca="true">NORMINV(RAND(),1,Coefficients!$B$22)</f>
        <v>1.20843045711158</v>
      </c>
      <c r="C1550" s="0" t="n">
        <f aca="true">MEDIAN(8,16,ROUND(NORMINV(RAND(),Coefficients!$B$20,Coefficients!$B$21),0))</f>
        <v>11</v>
      </c>
      <c r="D1550" s="0" t="n">
        <f aca="true">CRITBINOM($C1550,MIN(0.75,Matchup!$B$39*$B1550),RAND())</f>
        <v>3</v>
      </c>
      <c r="E1550" s="0" t="n">
        <f aca="true">CRITBINOM(D1550,Coefficients!$B$30,RAND())</f>
        <v>0</v>
      </c>
      <c r="F1550" s="0" t="n">
        <f aca="true">CRITBINOM(E1550,Coefficients!$B$31,RAND())</f>
        <v>0</v>
      </c>
      <c r="G1550" s="0" t="n">
        <f aca="true">CRITBINOM(MAX(0,D1550-E1550),1-Coefficients!$B$32,RAND())</f>
        <v>0</v>
      </c>
      <c r="H1550" s="0" t="n">
        <f aca="true">CRITBINOM(MAX(0,$C1550-D1550),MIN(0.6,Matchup!$B$40*SQRT($B1550)/(1-MIN(0.75,Matchup!$B$39*$B1550))),RAND())</f>
        <v>3</v>
      </c>
      <c r="I1550" s="0" t="n">
        <f aca="false">6*D1550+(D1550-E1550-G1550)+2*F1550+3*H1550</f>
        <v>30</v>
      </c>
      <c r="J1550" s="0" t="n">
        <f aca="true">CRITBINOM($C1550,MIN(0.75,Matchup!$C$39*$B1550),RAND())</f>
        <v>3</v>
      </c>
      <c r="K1550" s="0" t="n">
        <f aca="true">CRITBINOM(J1550,Coefficients!$B$30,RAND())</f>
        <v>1</v>
      </c>
      <c r="L1550" s="0" t="n">
        <f aca="true">CRITBINOM(K1550,Coefficients!$B$31,RAND())</f>
        <v>1</v>
      </c>
      <c r="M1550" s="0" t="n">
        <f aca="true">CRITBINOM(MAX(0,J1550-K1550),1-Coefficients!$B$32,RAND())</f>
        <v>0</v>
      </c>
      <c r="N1550" s="0" t="n">
        <f aca="true">CRITBINOM(MAX(0,$C1550-J1550),MIN(0.6,Matchup!$C$40*SQRT($B1550)/(1-MIN(0.75,Matchup!$C$39*$B1550))),RAND())</f>
        <v>3</v>
      </c>
      <c r="O1550" s="0" t="n">
        <f aca="false">6*J1550+(J1550-K1550-M1550)+2*L1550+3*N1550</f>
        <v>31</v>
      </c>
      <c r="P1550" s="0" t="n">
        <f aca="true">RAND()</f>
        <v>0.0365373907381191</v>
      </c>
      <c r="Q1550" s="0" t="n">
        <f aca="true">RAND()</f>
        <v>0.406339297439066</v>
      </c>
      <c r="R1550" s="0" t="n">
        <f aca="false">IF($I1550&lt;&gt;$O1550,0,IF(P1550&lt;Matchup!$B$39,7,IF(P1550&lt;Matchup!$B$39+Matchup!$B$40,3,0)))</f>
        <v>0</v>
      </c>
      <c r="S1550" s="0" t="n">
        <f aca="false">IF($I1550&lt;&gt;$O1550,0,IF(Q1550&lt;Matchup!$C$39,7,IF(Q1550&lt;Matchup!$C$39+Matchup!$C$40,3,0)))</f>
        <v>0</v>
      </c>
      <c r="T1550" s="0" t="n">
        <f aca="false">I1550+R1550</f>
        <v>30</v>
      </c>
      <c r="U1550" s="0" t="n">
        <f aca="false">O1550+S1550</f>
        <v>31</v>
      </c>
      <c r="V1550" s="0" t="n">
        <f aca="false">T1550-U1550</f>
        <v>-1</v>
      </c>
      <c r="W1550" s="0" t="n">
        <f aca="false">T1550+U1550</f>
        <v>61</v>
      </c>
    </row>
    <row r="1551" customFormat="false" ht="15" hidden="false" customHeight="false" outlineLevel="0" collapsed="false">
      <c r="A1551" s="0" t="n">
        <v>1548</v>
      </c>
      <c r="B1551" s="0" t="n">
        <f aca="true">NORMINV(RAND(),1,Coefficients!$B$22)</f>
        <v>0.919309546389501</v>
      </c>
      <c r="C1551" s="0" t="n">
        <f aca="true">MEDIAN(8,16,ROUND(NORMINV(RAND(),Coefficients!$B$20,Coefficients!$B$21),0))</f>
        <v>11</v>
      </c>
      <c r="D1551" s="0" t="n">
        <f aca="true">CRITBINOM($C1551,MIN(0.75,Matchup!$B$39*$B1551),RAND())</f>
        <v>2</v>
      </c>
      <c r="E1551" s="0" t="n">
        <f aca="true">CRITBINOM(D1551,Coefficients!$B$30,RAND())</f>
        <v>0</v>
      </c>
      <c r="F1551" s="0" t="n">
        <f aca="true">CRITBINOM(E1551,Coefficients!$B$31,RAND())</f>
        <v>0</v>
      </c>
      <c r="G1551" s="0" t="n">
        <f aca="true">CRITBINOM(MAX(0,D1551-E1551),1-Coefficients!$B$32,RAND())</f>
        <v>0</v>
      </c>
      <c r="H1551" s="0" t="n">
        <f aca="true">CRITBINOM(MAX(0,$C1551-D1551),MIN(0.6,Matchup!$B$40*SQRT($B1551)/(1-MIN(0.75,Matchup!$B$39*$B1551))),RAND())</f>
        <v>1</v>
      </c>
      <c r="I1551" s="0" t="n">
        <f aca="false">6*D1551+(D1551-E1551-G1551)+2*F1551+3*H1551</f>
        <v>17</v>
      </c>
      <c r="J1551" s="0" t="n">
        <f aca="true">CRITBINOM($C1551,MIN(0.75,Matchup!$C$39*$B1551),RAND())</f>
        <v>2</v>
      </c>
      <c r="K1551" s="0" t="n">
        <f aca="true">CRITBINOM(J1551,Coefficients!$B$30,RAND())</f>
        <v>0</v>
      </c>
      <c r="L1551" s="0" t="n">
        <f aca="true">CRITBINOM(K1551,Coefficients!$B$31,RAND())</f>
        <v>0</v>
      </c>
      <c r="M1551" s="0" t="n">
        <f aca="true">CRITBINOM(MAX(0,J1551-K1551),1-Coefficients!$B$32,RAND())</f>
        <v>0</v>
      </c>
      <c r="N1551" s="0" t="n">
        <f aca="true">CRITBINOM(MAX(0,$C1551-J1551),MIN(0.6,Matchup!$C$40*SQRT($B1551)/(1-MIN(0.75,Matchup!$C$39*$B1551))),RAND())</f>
        <v>1</v>
      </c>
      <c r="O1551" s="0" t="n">
        <f aca="false">6*J1551+(J1551-K1551-M1551)+2*L1551+3*N1551</f>
        <v>17</v>
      </c>
      <c r="P1551" s="0" t="n">
        <f aca="true">RAND()</f>
        <v>0.033279645658711</v>
      </c>
      <c r="Q1551" s="0" t="n">
        <f aca="true">RAND()</f>
        <v>0.923976911351113</v>
      </c>
      <c r="R1551" s="0" t="n">
        <f aca="false">IF($I1551&lt;&gt;$O1551,0,IF(P1551&lt;Matchup!$B$39,7,IF(P1551&lt;Matchup!$B$39+Matchup!$B$40,3,0)))</f>
        <v>7</v>
      </c>
      <c r="S1551" s="0" t="n">
        <f aca="false">IF($I1551&lt;&gt;$O1551,0,IF(Q1551&lt;Matchup!$C$39,7,IF(Q1551&lt;Matchup!$C$39+Matchup!$C$40,3,0)))</f>
        <v>0</v>
      </c>
      <c r="T1551" s="0" t="n">
        <f aca="false">I1551+R1551</f>
        <v>24</v>
      </c>
      <c r="U1551" s="0" t="n">
        <f aca="false">O1551+S1551</f>
        <v>17</v>
      </c>
      <c r="V1551" s="0" t="n">
        <f aca="false">T1551-U1551</f>
        <v>7</v>
      </c>
      <c r="W1551" s="0" t="n">
        <f aca="false">T1551+U1551</f>
        <v>41</v>
      </c>
    </row>
    <row r="1552" customFormat="false" ht="15" hidden="false" customHeight="false" outlineLevel="0" collapsed="false">
      <c r="A1552" s="0" t="n">
        <v>1549</v>
      </c>
      <c r="B1552" s="0" t="n">
        <f aca="true">NORMINV(RAND(),1,Coefficients!$B$22)</f>
        <v>0.998620476310306</v>
      </c>
      <c r="C1552" s="0" t="n">
        <f aca="true">MEDIAN(8,16,ROUND(NORMINV(RAND(),Coefficients!$B$20,Coefficients!$B$21),0))</f>
        <v>11</v>
      </c>
      <c r="D1552" s="0" t="n">
        <f aca="true">CRITBINOM($C1552,MIN(0.75,Matchup!$B$39*$B1552),RAND())</f>
        <v>1</v>
      </c>
      <c r="E1552" s="0" t="n">
        <f aca="true">CRITBINOM(D1552,Coefficients!$B$30,RAND())</f>
        <v>0</v>
      </c>
      <c r="F1552" s="0" t="n">
        <f aca="true">CRITBINOM(E1552,Coefficients!$B$31,RAND())</f>
        <v>0</v>
      </c>
      <c r="G1552" s="0" t="n">
        <f aca="true">CRITBINOM(MAX(0,D1552-E1552),1-Coefficients!$B$32,RAND())</f>
        <v>0</v>
      </c>
      <c r="H1552" s="0" t="n">
        <f aca="true">CRITBINOM(MAX(0,$C1552-D1552),MIN(0.6,Matchup!$B$40*SQRT($B1552)/(1-MIN(0.75,Matchup!$B$39*$B1552))),RAND())</f>
        <v>2</v>
      </c>
      <c r="I1552" s="0" t="n">
        <f aca="false">6*D1552+(D1552-E1552-G1552)+2*F1552+3*H1552</f>
        <v>13</v>
      </c>
      <c r="J1552" s="0" t="n">
        <f aca="true">CRITBINOM($C1552,MIN(0.75,Matchup!$C$39*$B1552),RAND())</f>
        <v>4</v>
      </c>
      <c r="K1552" s="0" t="n">
        <f aca="true">CRITBINOM(J1552,Coefficients!$B$30,RAND())</f>
        <v>0</v>
      </c>
      <c r="L1552" s="0" t="n">
        <f aca="true">CRITBINOM(K1552,Coefficients!$B$31,RAND())</f>
        <v>0</v>
      </c>
      <c r="M1552" s="0" t="n">
        <f aca="true">CRITBINOM(MAX(0,J1552-K1552),1-Coefficients!$B$32,RAND())</f>
        <v>0</v>
      </c>
      <c r="N1552" s="0" t="n">
        <f aca="true">CRITBINOM(MAX(0,$C1552-J1552),MIN(0.6,Matchup!$C$40*SQRT($B1552)/(1-MIN(0.75,Matchup!$C$39*$B1552))),RAND())</f>
        <v>2</v>
      </c>
      <c r="O1552" s="0" t="n">
        <f aca="false">6*J1552+(J1552-K1552-M1552)+2*L1552+3*N1552</f>
        <v>34</v>
      </c>
      <c r="P1552" s="0" t="n">
        <f aca="true">RAND()</f>
        <v>0.698912525323957</v>
      </c>
      <c r="Q1552" s="0" t="n">
        <f aca="true">RAND()</f>
        <v>0.861139852397766</v>
      </c>
      <c r="R1552" s="0" t="n">
        <f aca="false">IF($I1552&lt;&gt;$O1552,0,IF(P1552&lt;Matchup!$B$39,7,IF(P1552&lt;Matchup!$B$39+Matchup!$B$40,3,0)))</f>
        <v>0</v>
      </c>
      <c r="S1552" s="0" t="n">
        <f aca="false">IF($I1552&lt;&gt;$O1552,0,IF(Q1552&lt;Matchup!$C$39,7,IF(Q1552&lt;Matchup!$C$39+Matchup!$C$40,3,0)))</f>
        <v>0</v>
      </c>
      <c r="T1552" s="0" t="n">
        <f aca="false">I1552+R1552</f>
        <v>13</v>
      </c>
      <c r="U1552" s="0" t="n">
        <f aca="false">O1552+S1552</f>
        <v>34</v>
      </c>
      <c r="V1552" s="0" t="n">
        <f aca="false">T1552-U1552</f>
        <v>-21</v>
      </c>
      <c r="W1552" s="0" t="n">
        <f aca="false">T1552+U1552</f>
        <v>47</v>
      </c>
    </row>
    <row r="1553" customFormat="false" ht="15" hidden="false" customHeight="false" outlineLevel="0" collapsed="false">
      <c r="A1553" s="0" t="n">
        <v>1550</v>
      </c>
      <c r="B1553" s="0" t="n">
        <f aca="true">NORMINV(RAND(),1,Coefficients!$B$22)</f>
        <v>1.04538274102875</v>
      </c>
      <c r="C1553" s="0" t="n">
        <f aca="true">MEDIAN(8,16,ROUND(NORMINV(RAND(),Coefficients!$B$20,Coefficients!$B$21),0))</f>
        <v>10</v>
      </c>
      <c r="D1553" s="0" t="n">
        <f aca="true">CRITBINOM($C1553,MIN(0.75,Matchup!$B$39*$B1553),RAND())</f>
        <v>3</v>
      </c>
      <c r="E1553" s="0" t="n">
        <f aca="true">CRITBINOM(D1553,Coefficients!$B$30,RAND())</f>
        <v>0</v>
      </c>
      <c r="F1553" s="0" t="n">
        <f aca="true">CRITBINOM(E1553,Coefficients!$B$31,RAND())</f>
        <v>0</v>
      </c>
      <c r="G1553" s="0" t="n">
        <f aca="true">CRITBINOM(MAX(0,D1553-E1553),1-Coefficients!$B$32,RAND())</f>
        <v>0</v>
      </c>
      <c r="H1553" s="0" t="n">
        <f aca="true">CRITBINOM(MAX(0,$C1553-D1553),MIN(0.6,Matchup!$B$40*SQRT($B1553)/(1-MIN(0.75,Matchup!$B$39*$B1553))),RAND())</f>
        <v>1</v>
      </c>
      <c r="I1553" s="0" t="n">
        <f aca="false">6*D1553+(D1553-E1553-G1553)+2*F1553+3*H1553</f>
        <v>24</v>
      </c>
      <c r="J1553" s="0" t="n">
        <f aca="true">CRITBINOM($C1553,MIN(0.75,Matchup!$C$39*$B1553),RAND())</f>
        <v>3</v>
      </c>
      <c r="K1553" s="0" t="n">
        <f aca="true">CRITBINOM(J1553,Coefficients!$B$30,RAND())</f>
        <v>1</v>
      </c>
      <c r="L1553" s="0" t="n">
        <f aca="true">CRITBINOM(K1553,Coefficients!$B$31,RAND())</f>
        <v>0</v>
      </c>
      <c r="M1553" s="0" t="n">
        <f aca="true">CRITBINOM(MAX(0,J1553-K1553),1-Coefficients!$B$32,RAND())</f>
        <v>0</v>
      </c>
      <c r="N1553" s="0" t="n">
        <f aca="true">CRITBINOM(MAX(0,$C1553-J1553),MIN(0.6,Matchup!$C$40*SQRT($B1553)/(1-MIN(0.75,Matchup!$C$39*$B1553))),RAND())</f>
        <v>1</v>
      </c>
      <c r="O1553" s="0" t="n">
        <f aca="false">6*J1553+(J1553-K1553-M1553)+2*L1553+3*N1553</f>
        <v>23</v>
      </c>
      <c r="P1553" s="0" t="n">
        <f aca="true">RAND()</f>
        <v>0.929445425774659</v>
      </c>
      <c r="Q1553" s="0" t="n">
        <f aca="true">RAND()</f>
        <v>0.579729089090243</v>
      </c>
      <c r="R1553" s="0" t="n">
        <f aca="false">IF($I1553&lt;&gt;$O1553,0,IF(P1553&lt;Matchup!$B$39,7,IF(P1553&lt;Matchup!$B$39+Matchup!$B$40,3,0)))</f>
        <v>0</v>
      </c>
      <c r="S1553" s="0" t="n">
        <f aca="false">IF($I1553&lt;&gt;$O1553,0,IF(Q1553&lt;Matchup!$C$39,7,IF(Q1553&lt;Matchup!$C$39+Matchup!$C$40,3,0)))</f>
        <v>0</v>
      </c>
      <c r="T1553" s="0" t="n">
        <f aca="false">I1553+R1553</f>
        <v>24</v>
      </c>
      <c r="U1553" s="0" t="n">
        <f aca="false">O1553+S1553</f>
        <v>23</v>
      </c>
      <c r="V1553" s="0" t="n">
        <f aca="false">T1553-U1553</f>
        <v>1</v>
      </c>
      <c r="W1553" s="0" t="n">
        <f aca="false">T1553+U1553</f>
        <v>47</v>
      </c>
    </row>
    <row r="1554" customFormat="false" ht="15" hidden="false" customHeight="false" outlineLevel="0" collapsed="false">
      <c r="A1554" s="0" t="n">
        <v>1551</v>
      </c>
      <c r="B1554" s="0" t="n">
        <f aca="true">NORMINV(RAND(),1,Coefficients!$B$22)</f>
        <v>0.947990769758933</v>
      </c>
      <c r="C1554" s="0" t="n">
        <f aca="true">MEDIAN(8,16,ROUND(NORMINV(RAND(),Coefficients!$B$20,Coefficients!$B$21),0))</f>
        <v>9</v>
      </c>
      <c r="D1554" s="0" t="n">
        <f aca="true">CRITBINOM($C1554,MIN(0.75,Matchup!$B$39*$B1554),RAND())</f>
        <v>5</v>
      </c>
      <c r="E1554" s="0" t="n">
        <f aca="true">CRITBINOM(D1554,Coefficients!$B$30,RAND())</f>
        <v>1</v>
      </c>
      <c r="F1554" s="0" t="n">
        <f aca="true">CRITBINOM(E1554,Coefficients!$B$31,RAND())</f>
        <v>1</v>
      </c>
      <c r="G1554" s="0" t="n">
        <f aca="true">CRITBINOM(MAX(0,D1554-E1554),1-Coefficients!$B$32,RAND())</f>
        <v>0</v>
      </c>
      <c r="H1554" s="0" t="n">
        <f aca="true">CRITBINOM(MAX(0,$C1554-D1554),MIN(0.6,Matchup!$B$40*SQRT($B1554)/(1-MIN(0.75,Matchup!$B$39*$B1554))),RAND())</f>
        <v>2</v>
      </c>
      <c r="I1554" s="0" t="n">
        <f aca="false">6*D1554+(D1554-E1554-G1554)+2*F1554+3*H1554</f>
        <v>42</v>
      </c>
      <c r="J1554" s="0" t="n">
        <f aca="true">CRITBINOM($C1554,MIN(0.75,Matchup!$C$39*$B1554),RAND())</f>
        <v>3</v>
      </c>
      <c r="K1554" s="0" t="n">
        <f aca="true">CRITBINOM(J1554,Coefficients!$B$30,RAND())</f>
        <v>0</v>
      </c>
      <c r="L1554" s="0" t="n">
        <f aca="true">CRITBINOM(K1554,Coefficients!$B$31,RAND())</f>
        <v>0</v>
      </c>
      <c r="M1554" s="0" t="n">
        <f aca="true">CRITBINOM(MAX(0,J1554-K1554),1-Coefficients!$B$32,RAND())</f>
        <v>0</v>
      </c>
      <c r="N1554" s="0" t="n">
        <f aca="true">CRITBINOM(MAX(0,$C1554-J1554),MIN(0.6,Matchup!$C$40*SQRT($B1554)/(1-MIN(0.75,Matchup!$C$39*$B1554))),RAND())</f>
        <v>2</v>
      </c>
      <c r="O1554" s="0" t="n">
        <f aca="false">6*J1554+(J1554-K1554-M1554)+2*L1554+3*N1554</f>
        <v>27</v>
      </c>
      <c r="P1554" s="0" t="n">
        <f aca="true">RAND()</f>
        <v>0.965739527386858</v>
      </c>
      <c r="Q1554" s="0" t="n">
        <f aca="true">RAND()</f>
        <v>0.785065625412222</v>
      </c>
      <c r="R1554" s="0" t="n">
        <f aca="false">IF($I1554&lt;&gt;$O1554,0,IF(P1554&lt;Matchup!$B$39,7,IF(P1554&lt;Matchup!$B$39+Matchup!$B$40,3,0)))</f>
        <v>0</v>
      </c>
      <c r="S1554" s="0" t="n">
        <f aca="false">IF($I1554&lt;&gt;$O1554,0,IF(Q1554&lt;Matchup!$C$39,7,IF(Q1554&lt;Matchup!$C$39+Matchup!$C$40,3,0)))</f>
        <v>0</v>
      </c>
      <c r="T1554" s="0" t="n">
        <f aca="false">I1554+R1554</f>
        <v>42</v>
      </c>
      <c r="U1554" s="0" t="n">
        <f aca="false">O1554+S1554</f>
        <v>27</v>
      </c>
      <c r="V1554" s="0" t="n">
        <f aca="false">T1554-U1554</f>
        <v>15</v>
      </c>
      <c r="W1554" s="0" t="n">
        <f aca="false">T1554+U1554</f>
        <v>69</v>
      </c>
    </row>
    <row r="1555" customFormat="false" ht="15" hidden="false" customHeight="false" outlineLevel="0" collapsed="false">
      <c r="A1555" s="0" t="n">
        <v>1552</v>
      </c>
      <c r="B1555" s="0" t="n">
        <f aca="true">NORMINV(RAND(),1,Coefficients!$B$22)</f>
        <v>0.989011834959879</v>
      </c>
      <c r="C1555" s="0" t="n">
        <f aca="true">MEDIAN(8,16,ROUND(NORMINV(RAND(),Coefficients!$B$20,Coefficients!$B$21),0))</f>
        <v>11</v>
      </c>
      <c r="D1555" s="0" t="n">
        <f aca="true">CRITBINOM($C1555,MIN(0.75,Matchup!$B$39*$B1555),RAND())</f>
        <v>3</v>
      </c>
      <c r="E1555" s="0" t="n">
        <f aca="true">CRITBINOM(D1555,Coefficients!$B$30,RAND())</f>
        <v>1</v>
      </c>
      <c r="F1555" s="0" t="n">
        <f aca="true">CRITBINOM(E1555,Coefficients!$B$31,RAND())</f>
        <v>1</v>
      </c>
      <c r="G1555" s="0" t="n">
        <f aca="true">CRITBINOM(MAX(0,D1555-E1555),1-Coefficients!$B$32,RAND())</f>
        <v>0</v>
      </c>
      <c r="H1555" s="0" t="n">
        <f aca="true">CRITBINOM(MAX(0,$C1555-D1555),MIN(0.6,Matchup!$B$40*SQRT($B1555)/(1-MIN(0.75,Matchup!$B$39*$B1555))),RAND())</f>
        <v>1</v>
      </c>
      <c r="I1555" s="0" t="n">
        <f aca="false">6*D1555+(D1555-E1555-G1555)+2*F1555+3*H1555</f>
        <v>25</v>
      </c>
      <c r="J1555" s="0" t="n">
        <f aca="true">CRITBINOM($C1555,MIN(0.75,Matchup!$C$39*$B1555),RAND())</f>
        <v>3</v>
      </c>
      <c r="K1555" s="0" t="n">
        <f aca="true">CRITBINOM(J1555,Coefficients!$B$30,RAND())</f>
        <v>0</v>
      </c>
      <c r="L1555" s="0" t="n">
        <f aca="true">CRITBINOM(K1555,Coefficients!$B$31,RAND())</f>
        <v>0</v>
      </c>
      <c r="M1555" s="0" t="n">
        <f aca="true">CRITBINOM(MAX(0,J1555-K1555),1-Coefficients!$B$32,RAND())</f>
        <v>1</v>
      </c>
      <c r="N1555" s="0" t="n">
        <f aca="true">CRITBINOM(MAX(0,$C1555-J1555),MIN(0.6,Matchup!$C$40*SQRT($B1555)/(1-MIN(0.75,Matchup!$C$39*$B1555))),RAND())</f>
        <v>0</v>
      </c>
      <c r="O1555" s="0" t="n">
        <f aca="false">6*J1555+(J1555-K1555-M1555)+2*L1555+3*N1555</f>
        <v>20</v>
      </c>
      <c r="P1555" s="0" t="n">
        <f aca="true">RAND()</f>
        <v>0.0635666214573686</v>
      </c>
      <c r="Q1555" s="0" t="n">
        <f aca="true">RAND()</f>
        <v>0.0289561126080397</v>
      </c>
      <c r="R1555" s="0" t="n">
        <f aca="false">IF($I1555&lt;&gt;$O1555,0,IF(P1555&lt;Matchup!$B$39,7,IF(P1555&lt;Matchup!$B$39+Matchup!$B$40,3,0)))</f>
        <v>0</v>
      </c>
      <c r="S1555" s="0" t="n">
        <f aca="false">IF($I1555&lt;&gt;$O1555,0,IF(Q1555&lt;Matchup!$C$39,7,IF(Q1555&lt;Matchup!$C$39+Matchup!$C$40,3,0)))</f>
        <v>0</v>
      </c>
      <c r="T1555" s="0" t="n">
        <f aca="false">I1555+R1555</f>
        <v>25</v>
      </c>
      <c r="U1555" s="0" t="n">
        <f aca="false">O1555+S1555</f>
        <v>20</v>
      </c>
      <c r="V1555" s="0" t="n">
        <f aca="false">T1555-U1555</f>
        <v>5</v>
      </c>
      <c r="W1555" s="0" t="n">
        <f aca="false">T1555+U1555</f>
        <v>45</v>
      </c>
    </row>
    <row r="1556" customFormat="false" ht="15" hidden="false" customHeight="false" outlineLevel="0" collapsed="false">
      <c r="A1556" s="0" t="n">
        <v>1553</v>
      </c>
      <c r="B1556" s="0" t="n">
        <f aca="true">NORMINV(RAND(),1,Coefficients!$B$22)</f>
        <v>1.05121745136172</v>
      </c>
      <c r="C1556" s="0" t="n">
        <f aca="true">MEDIAN(8,16,ROUND(NORMINV(RAND(),Coefficients!$B$20,Coefficients!$B$21),0))</f>
        <v>11</v>
      </c>
      <c r="D1556" s="0" t="n">
        <f aca="true">CRITBINOM($C1556,MIN(0.75,Matchup!$B$39*$B1556),RAND())</f>
        <v>0</v>
      </c>
      <c r="E1556" s="0" t="n">
        <f aca="true">CRITBINOM(D1556,Coefficients!$B$30,RAND())</f>
        <v>0</v>
      </c>
      <c r="F1556" s="0" t="n">
        <f aca="true">CRITBINOM(E1556,Coefficients!$B$31,RAND())</f>
        <v>0</v>
      </c>
      <c r="G1556" s="0" t="n">
        <f aca="true">CRITBINOM(MAX(0,D1556-E1556),1-Coefficients!$B$32,RAND())</f>
        <v>0</v>
      </c>
      <c r="H1556" s="0" t="n">
        <f aca="true">CRITBINOM(MAX(0,$C1556-D1556),MIN(0.6,Matchup!$B$40*SQRT($B1556)/(1-MIN(0.75,Matchup!$B$39*$B1556))),RAND())</f>
        <v>2</v>
      </c>
      <c r="I1556" s="0" t="n">
        <f aca="false">6*D1556+(D1556-E1556-G1556)+2*F1556+3*H1556</f>
        <v>6</v>
      </c>
      <c r="J1556" s="0" t="n">
        <f aca="true">CRITBINOM($C1556,MIN(0.75,Matchup!$C$39*$B1556),RAND())</f>
        <v>6</v>
      </c>
      <c r="K1556" s="0" t="n">
        <f aca="true">CRITBINOM(J1556,Coefficients!$B$30,RAND())</f>
        <v>0</v>
      </c>
      <c r="L1556" s="0" t="n">
        <f aca="true">CRITBINOM(K1556,Coefficients!$B$31,RAND())</f>
        <v>0</v>
      </c>
      <c r="M1556" s="0" t="n">
        <f aca="true">CRITBINOM(MAX(0,J1556-K1556),1-Coefficients!$B$32,RAND())</f>
        <v>0</v>
      </c>
      <c r="N1556" s="0" t="n">
        <f aca="true">CRITBINOM(MAX(0,$C1556-J1556),MIN(0.6,Matchup!$C$40*SQRT($B1556)/(1-MIN(0.75,Matchup!$C$39*$B1556))),RAND())</f>
        <v>0</v>
      </c>
      <c r="O1556" s="0" t="n">
        <f aca="false">6*J1556+(J1556-K1556-M1556)+2*L1556+3*N1556</f>
        <v>42</v>
      </c>
      <c r="P1556" s="0" t="n">
        <f aca="true">RAND()</f>
        <v>0.433722321935643</v>
      </c>
      <c r="Q1556" s="0" t="n">
        <f aca="true">RAND()</f>
        <v>0.54003172358912</v>
      </c>
      <c r="R1556" s="0" t="n">
        <f aca="false">IF($I1556&lt;&gt;$O1556,0,IF(P1556&lt;Matchup!$B$39,7,IF(P1556&lt;Matchup!$B$39+Matchup!$B$40,3,0)))</f>
        <v>0</v>
      </c>
      <c r="S1556" s="0" t="n">
        <f aca="false">IF($I1556&lt;&gt;$O1556,0,IF(Q1556&lt;Matchup!$C$39,7,IF(Q1556&lt;Matchup!$C$39+Matchup!$C$40,3,0)))</f>
        <v>0</v>
      </c>
      <c r="T1556" s="0" t="n">
        <f aca="false">I1556+R1556</f>
        <v>6</v>
      </c>
      <c r="U1556" s="0" t="n">
        <f aca="false">O1556+S1556</f>
        <v>42</v>
      </c>
      <c r="V1556" s="0" t="n">
        <f aca="false">T1556-U1556</f>
        <v>-36</v>
      </c>
      <c r="W1556" s="0" t="n">
        <f aca="false">T1556+U1556</f>
        <v>48</v>
      </c>
    </row>
    <row r="1557" customFormat="false" ht="15" hidden="false" customHeight="false" outlineLevel="0" collapsed="false">
      <c r="A1557" s="0" t="n">
        <v>1554</v>
      </c>
      <c r="B1557" s="0" t="n">
        <f aca="true">NORMINV(RAND(),1,Coefficients!$B$22)</f>
        <v>1.01751965777892</v>
      </c>
      <c r="C1557" s="0" t="n">
        <f aca="true">MEDIAN(8,16,ROUND(NORMINV(RAND(),Coefficients!$B$20,Coefficients!$B$21),0))</f>
        <v>11</v>
      </c>
      <c r="D1557" s="0" t="n">
        <f aca="true">CRITBINOM($C1557,MIN(0.75,Matchup!$B$39*$B1557),RAND())</f>
        <v>4</v>
      </c>
      <c r="E1557" s="0" t="n">
        <f aca="true">CRITBINOM(D1557,Coefficients!$B$30,RAND())</f>
        <v>0</v>
      </c>
      <c r="F1557" s="0" t="n">
        <f aca="true">CRITBINOM(E1557,Coefficients!$B$31,RAND())</f>
        <v>0</v>
      </c>
      <c r="G1557" s="0" t="n">
        <f aca="true">CRITBINOM(MAX(0,D1557-E1557),1-Coefficients!$B$32,RAND())</f>
        <v>0</v>
      </c>
      <c r="H1557" s="0" t="n">
        <f aca="true">CRITBINOM(MAX(0,$C1557-D1557),MIN(0.6,Matchup!$B$40*SQRT($B1557)/(1-MIN(0.75,Matchup!$B$39*$B1557))),RAND())</f>
        <v>2</v>
      </c>
      <c r="I1557" s="0" t="n">
        <f aca="false">6*D1557+(D1557-E1557-G1557)+2*F1557+3*H1557</f>
        <v>34</v>
      </c>
      <c r="J1557" s="0" t="n">
        <f aca="true">CRITBINOM($C1557,MIN(0.75,Matchup!$C$39*$B1557),RAND())</f>
        <v>2</v>
      </c>
      <c r="K1557" s="0" t="n">
        <f aca="true">CRITBINOM(J1557,Coefficients!$B$30,RAND())</f>
        <v>0</v>
      </c>
      <c r="L1557" s="0" t="n">
        <f aca="true">CRITBINOM(K1557,Coefficients!$B$31,RAND())</f>
        <v>0</v>
      </c>
      <c r="M1557" s="0" t="n">
        <f aca="true">CRITBINOM(MAX(0,J1557-K1557),1-Coefficients!$B$32,RAND())</f>
        <v>0</v>
      </c>
      <c r="N1557" s="0" t="n">
        <f aca="true">CRITBINOM(MAX(0,$C1557-J1557),MIN(0.6,Matchup!$C$40*SQRT($B1557)/(1-MIN(0.75,Matchup!$C$39*$B1557))),RAND())</f>
        <v>0</v>
      </c>
      <c r="O1557" s="0" t="n">
        <f aca="false">6*J1557+(J1557-K1557-M1557)+2*L1557+3*N1557</f>
        <v>14</v>
      </c>
      <c r="P1557" s="0" t="n">
        <f aca="true">RAND()</f>
        <v>0.0458116624827785</v>
      </c>
      <c r="Q1557" s="0" t="n">
        <f aca="true">RAND()</f>
        <v>0.799899122736355</v>
      </c>
      <c r="R1557" s="0" t="n">
        <f aca="false">IF($I1557&lt;&gt;$O1557,0,IF(P1557&lt;Matchup!$B$39,7,IF(P1557&lt;Matchup!$B$39+Matchup!$B$40,3,0)))</f>
        <v>0</v>
      </c>
      <c r="S1557" s="0" t="n">
        <f aca="false">IF($I1557&lt;&gt;$O1557,0,IF(Q1557&lt;Matchup!$C$39,7,IF(Q1557&lt;Matchup!$C$39+Matchup!$C$40,3,0)))</f>
        <v>0</v>
      </c>
      <c r="T1557" s="0" t="n">
        <f aca="false">I1557+R1557</f>
        <v>34</v>
      </c>
      <c r="U1557" s="0" t="n">
        <f aca="false">O1557+S1557</f>
        <v>14</v>
      </c>
      <c r="V1557" s="0" t="n">
        <f aca="false">T1557-U1557</f>
        <v>20</v>
      </c>
      <c r="W1557" s="0" t="n">
        <f aca="false">T1557+U1557</f>
        <v>48</v>
      </c>
    </row>
    <row r="1558" customFormat="false" ht="15" hidden="false" customHeight="false" outlineLevel="0" collapsed="false">
      <c r="A1558" s="0" t="n">
        <v>1555</v>
      </c>
      <c r="B1558" s="0" t="n">
        <f aca="true">NORMINV(RAND(),1,Coefficients!$B$22)</f>
        <v>0.925120343697147</v>
      </c>
      <c r="C1558" s="0" t="n">
        <f aca="true">MEDIAN(8,16,ROUND(NORMINV(RAND(),Coefficients!$B$20,Coefficients!$B$21),0))</f>
        <v>12</v>
      </c>
      <c r="D1558" s="0" t="n">
        <f aca="true">CRITBINOM($C1558,MIN(0.75,Matchup!$B$39*$B1558),RAND())</f>
        <v>3</v>
      </c>
      <c r="E1558" s="0" t="n">
        <f aca="true">CRITBINOM(D1558,Coefficients!$B$30,RAND())</f>
        <v>0</v>
      </c>
      <c r="F1558" s="0" t="n">
        <f aca="true">CRITBINOM(E1558,Coefficients!$B$31,RAND())</f>
        <v>0</v>
      </c>
      <c r="G1558" s="0" t="n">
        <f aca="true">CRITBINOM(MAX(0,D1558-E1558),1-Coefficients!$B$32,RAND())</f>
        <v>0</v>
      </c>
      <c r="H1558" s="0" t="n">
        <f aca="true">CRITBINOM(MAX(0,$C1558-D1558),MIN(0.6,Matchup!$B$40*SQRT($B1558)/(1-MIN(0.75,Matchup!$B$39*$B1558))),RAND())</f>
        <v>2</v>
      </c>
      <c r="I1558" s="0" t="n">
        <f aca="false">6*D1558+(D1558-E1558-G1558)+2*F1558+3*H1558</f>
        <v>27</v>
      </c>
      <c r="J1558" s="0" t="n">
        <f aca="true">CRITBINOM($C1558,MIN(0.75,Matchup!$C$39*$B1558),RAND())</f>
        <v>1</v>
      </c>
      <c r="K1558" s="0" t="n">
        <f aca="true">CRITBINOM(J1558,Coefficients!$B$30,RAND())</f>
        <v>0</v>
      </c>
      <c r="L1558" s="0" t="n">
        <f aca="true">CRITBINOM(K1558,Coefficients!$B$31,RAND())</f>
        <v>0</v>
      </c>
      <c r="M1558" s="0" t="n">
        <f aca="true">CRITBINOM(MAX(0,J1558-K1558),1-Coefficients!$B$32,RAND())</f>
        <v>0</v>
      </c>
      <c r="N1558" s="0" t="n">
        <f aca="true">CRITBINOM(MAX(0,$C1558-J1558),MIN(0.6,Matchup!$C$40*SQRT($B1558)/(1-MIN(0.75,Matchup!$C$39*$B1558))),RAND())</f>
        <v>2</v>
      </c>
      <c r="O1558" s="0" t="n">
        <f aca="false">6*J1558+(J1558-K1558-M1558)+2*L1558+3*N1558</f>
        <v>13</v>
      </c>
      <c r="P1558" s="0" t="n">
        <f aca="true">RAND()</f>
        <v>0.904077837076235</v>
      </c>
      <c r="Q1558" s="0" t="n">
        <f aca="true">RAND()</f>
        <v>0.175631673479423</v>
      </c>
      <c r="R1558" s="0" t="n">
        <f aca="false">IF($I1558&lt;&gt;$O1558,0,IF(P1558&lt;Matchup!$B$39,7,IF(P1558&lt;Matchup!$B$39+Matchup!$B$40,3,0)))</f>
        <v>0</v>
      </c>
      <c r="S1558" s="0" t="n">
        <f aca="false">IF($I1558&lt;&gt;$O1558,0,IF(Q1558&lt;Matchup!$C$39,7,IF(Q1558&lt;Matchup!$C$39+Matchup!$C$40,3,0)))</f>
        <v>0</v>
      </c>
      <c r="T1558" s="0" t="n">
        <f aca="false">I1558+R1558</f>
        <v>27</v>
      </c>
      <c r="U1558" s="0" t="n">
        <f aca="false">O1558+S1558</f>
        <v>13</v>
      </c>
      <c r="V1558" s="0" t="n">
        <f aca="false">T1558-U1558</f>
        <v>14</v>
      </c>
      <c r="W1558" s="0" t="n">
        <f aca="false">T1558+U1558</f>
        <v>40</v>
      </c>
    </row>
    <row r="1559" customFormat="false" ht="15" hidden="false" customHeight="false" outlineLevel="0" collapsed="false">
      <c r="A1559" s="0" t="n">
        <v>1556</v>
      </c>
      <c r="B1559" s="0" t="n">
        <f aca="true">NORMINV(RAND(),1,Coefficients!$B$22)</f>
        <v>0.891192315373894</v>
      </c>
      <c r="C1559" s="0" t="n">
        <f aca="true">MEDIAN(8,16,ROUND(NORMINV(RAND(),Coefficients!$B$20,Coefficients!$B$21),0))</f>
        <v>10</v>
      </c>
      <c r="D1559" s="0" t="n">
        <f aca="true">CRITBINOM($C1559,MIN(0.75,Matchup!$B$39*$B1559),RAND())</f>
        <v>3</v>
      </c>
      <c r="E1559" s="0" t="n">
        <f aca="true">CRITBINOM(D1559,Coefficients!$B$30,RAND())</f>
        <v>0</v>
      </c>
      <c r="F1559" s="0" t="n">
        <f aca="true">CRITBINOM(E1559,Coefficients!$B$31,RAND())</f>
        <v>0</v>
      </c>
      <c r="G1559" s="0" t="n">
        <f aca="true">CRITBINOM(MAX(0,D1559-E1559),1-Coefficients!$B$32,RAND())</f>
        <v>0</v>
      </c>
      <c r="H1559" s="0" t="n">
        <f aca="true">CRITBINOM(MAX(0,$C1559-D1559),MIN(0.6,Matchup!$B$40*SQRT($B1559)/(1-MIN(0.75,Matchup!$B$39*$B1559))),RAND())</f>
        <v>3</v>
      </c>
      <c r="I1559" s="0" t="n">
        <f aca="false">6*D1559+(D1559-E1559-G1559)+2*F1559+3*H1559</f>
        <v>30</v>
      </c>
      <c r="J1559" s="0" t="n">
        <f aca="true">CRITBINOM($C1559,MIN(0.75,Matchup!$C$39*$B1559),RAND())</f>
        <v>2</v>
      </c>
      <c r="K1559" s="0" t="n">
        <f aca="true">CRITBINOM(J1559,Coefficients!$B$30,RAND())</f>
        <v>0</v>
      </c>
      <c r="L1559" s="0" t="n">
        <f aca="true">CRITBINOM(K1559,Coefficients!$B$31,RAND())</f>
        <v>0</v>
      </c>
      <c r="M1559" s="0" t="n">
        <f aca="true">CRITBINOM(MAX(0,J1559-K1559),1-Coefficients!$B$32,RAND())</f>
        <v>0</v>
      </c>
      <c r="N1559" s="0" t="n">
        <f aca="true">CRITBINOM(MAX(0,$C1559-J1559),MIN(0.6,Matchup!$C$40*SQRT($B1559)/(1-MIN(0.75,Matchup!$C$39*$B1559))),RAND())</f>
        <v>1</v>
      </c>
      <c r="O1559" s="0" t="n">
        <f aca="false">6*J1559+(J1559-K1559-M1559)+2*L1559+3*N1559</f>
        <v>17</v>
      </c>
      <c r="P1559" s="0" t="n">
        <f aca="true">RAND()</f>
        <v>0.658253553482483</v>
      </c>
      <c r="Q1559" s="0" t="n">
        <f aca="true">RAND()</f>
        <v>0.488695053060525</v>
      </c>
      <c r="R1559" s="0" t="n">
        <f aca="false">IF($I1559&lt;&gt;$O1559,0,IF(P1559&lt;Matchup!$B$39,7,IF(P1559&lt;Matchup!$B$39+Matchup!$B$40,3,0)))</f>
        <v>0</v>
      </c>
      <c r="S1559" s="0" t="n">
        <f aca="false">IF($I1559&lt;&gt;$O1559,0,IF(Q1559&lt;Matchup!$C$39,7,IF(Q1559&lt;Matchup!$C$39+Matchup!$C$40,3,0)))</f>
        <v>0</v>
      </c>
      <c r="T1559" s="0" t="n">
        <f aca="false">I1559+R1559</f>
        <v>30</v>
      </c>
      <c r="U1559" s="0" t="n">
        <f aca="false">O1559+S1559</f>
        <v>17</v>
      </c>
      <c r="V1559" s="0" t="n">
        <f aca="false">T1559-U1559</f>
        <v>13</v>
      </c>
      <c r="W1559" s="0" t="n">
        <f aca="false">T1559+U1559</f>
        <v>47</v>
      </c>
    </row>
    <row r="1560" customFormat="false" ht="15" hidden="false" customHeight="false" outlineLevel="0" collapsed="false">
      <c r="A1560" s="0" t="n">
        <v>1557</v>
      </c>
      <c r="B1560" s="0" t="n">
        <f aca="true">NORMINV(RAND(),1,Coefficients!$B$22)</f>
        <v>1.00136270449396</v>
      </c>
      <c r="C1560" s="0" t="n">
        <f aca="true">MEDIAN(8,16,ROUND(NORMINV(RAND(),Coefficients!$B$20,Coefficients!$B$21),0))</f>
        <v>12</v>
      </c>
      <c r="D1560" s="0" t="n">
        <f aca="true">CRITBINOM($C1560,MIN(0.75,Matchup!$B$39*$B1560),RAND())</f>
        <v>2</v>
      </c>
      <c r="E1560" s="0" t="n">
        <f aca="true">CRITBINOM(D1560,Coefficients!$B$30,RAND())</f>
        <v>0</v>
      </c>
      <c r="F1560" s="0" t="n">
        <f aca="true">CRITBINOM(E1560,Coefficients!$B$31,RAND())</f>
        <v>0</v>
      </c>
      <c r="G1560" s="0" t="n">
        <f aca="true">CRITBINOM(MAX(0,D1560-E1560),1-Coefficients!$B$32,RAND())</f>
        <v>0</v>
      </c>
      <c r="H1560" s="0" t="n">
        <f aca="true">CRITBINOM(MAX(0,$C1560-D1560),MIN(0.6,Matchup!$B$40*SQRT($B1560)/(1-MIN(0.75,Matchup!$B$39*$B1560))),RAND())</f>
        <v>1</v>
      </c>
      <c r="I1560" s="0" t="n">
        <f aca="false">6*D1560+(D1560-E1560-G1560)+2*F1560+3*H1560</f>
        <v>17</v>
      </c>
      <c r="J1560" s="0" t="n">
        <f aca="true">CRITBINOM($C1560,MIN(0.75,Matchup!$C$39*$B1560),RAND())</f>
        <v>5</v>
      </c>
      <c r="K1560" s="0" t="n">
        <f aca="true">CRITBINOM(J1560,Coefficients!$B$30,RAND())</f>
        <v>0</v>
      </c>
      <c r="L1560" s="0" t="n">
        <f aca="true">CRITBINOM(K1560,Coefficients!$B$31,RAND())</f>
        <v>0</v>
      </c>
      <c r="M1560" s="0" t="n">
        <f aca="true">CRITBINOM(MAX(0,J1560-K1560),1-Coefficients!$B$32,RAND())</f>
        <v>1</v>
      </c>
      <c r="N1560" s="0" t="n">
        <f aca="true">CRITBINOM(MAX(0,$C1560-J1560),MIN(0.6,Matchup!$C$40*SQRT($B1560)/(1-MIN(0.75,Matchup!$C$39*$B1560))),RAND())</f>
        <v>1</v>
      </c>
      <c r="O1560" s="0" t="n">
        <f aca="false">6*J1560+(J1560-K1560-M1560)+2*L1560+3*N1560</f>
        <v>37</v>
      </c>
      <c r="P1560" s="0" t="n">
        <f aca="true">RAND()</f>
        <v>0.0537525808970079</v>
      </c>
      <c r="Q1560" s="0" t="n">
        <f aca="true">RAND()</f>
        <v>0.446130862890948</v>
      </c>
      <c r="R1560" s="0" t="n">
        <f aca="false">IF($I1560&lt;&gt;$O1560,0,IF(P1560&lt;Matchup!$B$39,7,IF(P1560&lt;Matchup!$B$39+Matchup!$B$40,3,0)))</f>
        <v>0</v>
      </c>
      <c r="S1560" s="0" t="n">
        <f aca="false">IF($I1560&lt;&gt;$O1560,0,IF(Q1560&lt;Matchup!$C$39,7,IF(Q1560&lt;Matchup!$C$39+Matchup!$C$40,3,0)))</f>
        <v>0</v>
      </c>
      <c r="T1560" s="0" t="n">
        <f aca="false">I1560+R1560</f>
        <v>17</v>
      </c>
      <c r="U1560" s="0" t="n">
        <f aca="false">O1560+S1560</f>
        <v>37</v>
      </c>
      <c r="V1560" s="0" t="n">
        <f aca="false">T1560-U1560</f>
        <v>-20</v>
      </c>
      <c r="W1560" s="0" t="n">
        <f aca="false">T1560+U1560</f>
        <v>54</v>
      </c>
    </row>
    <row r="1561" customFormat="false" ht="15" hidden="false" customHeight="false" outlineLevel="0" collapsed="false">
      <c r="A1561" s="0" t="n">
        <v>1558</v>
      </c>
      <c r="B1561" s="0" t="n">
        <f aca="true">NORMINV(RAND(),1,Coefficients!$B$22)</f>
        <v>0.93224172635767</v>
      </c>
      <c r="C1561" s="0" t="n">
        <f aca="true">MEDIAN(8,16,ROUND(NORMINV(RAND(),Coefficients!$B$20,Coefficients!$B$21),0))</f>
        <v>12</v>
      </c>
      <c r="D1561" s="0" t="n">
        <f aca="true">CRITBINOM($C1561,MIN(0.75,Matchup!$B$39*$B1561),RAND())</f>
        <v>4</v>
      </c>
      <c r="E1561" s="0" t="n">
        <f aca="true">CRITBINOM(D1561,Coefficients!$B$30,RAND())</f>
        <v>0</v>
      </c>
      <c r="F1561" s="0" t="n">
        <f aca="true">CRITBINOM(E1561,Coefficients!$B$31,RAND())</f>
        <v>0</v>
      </c>
      <c r="G1561" s="0" t="n">
        <f aca="true">CRITBINOM(MAX(0,D1561-E1561),1-Coefficients!$B$32,RAND())</f>
        <v>0</v>
      </c>
      <c r="H1561" s="0" t="n">
        <f aca="true">CRITBINOM(MAX(0,$C1561-D1561),MIN(0.6,Matchup!$B$40*SQRT($B1561)/(1-MIN(0.75,Matchup!$B$39*$B1561))),RAND())</f>
        <v>4</v>
      </c>
      <c r="I1561" s="0" t="n">
        <f aca="false">6*D1561+(D1561-E1561-G1561)+2*F1561+3*H1561</f>
        <v>40</v>
      </c>
      <c r="J1561" s="0" t="n">
        <f aca="true">CRITBINOM($C1561,MIN(0.75,Matchup!$C$39*$B1561),RAND())</f>
        <v>5</v>
      </c>
      <c r="K1561" s="0" t="n">
        <f aca="true">CRITBINOM(J1561,Coefficients!$B$30,RAND())</f>
        <v>0</v>
      </c>
      <c r="L1561" s="0" t="n">
        <f aca="true">CRITBINOM(K1561,Coefficients!$B$31,RAND())</f>
        <v>0</v>
      </c>
      <c r="M1561" s="0" t="n">
        <f aca="true">CRITBINOM(MAX(0,J1561-K1561),1-Coefficients!$B$32,RAND())</f>
        <v>0</v>
      </c>
      <c r="N1561" s="0" t="n">
        <f aca="true">CRITBINOM(MAX(0,$C1561-J1561),MIN(0.6,Matchup!$C$40*SQRT($B1561)/(1-MIN(0.75,Matchup!$C$39*$B1561))),RAND())</f>
        <v>1</v>
      </c>
      <c r="O1561" s="0" t="n">
        <f aca="false">6*J1561+(J1561-K1561-M1561)+2*L1561+3*N1561</f>
        <v>38</v>
      </c>
      <c r="P1561" s="0" t="n">
        <f aca="true">RAND()</f>
        <v>0.850072556677221</v>
      </c>
      <c r="Q1561" s="0" t="n">
        <f aca="true">RAND()</f>
        <v>0.498725033836489</v>
      </c>
      <c r="R1561" s="0" t="n">
        <f aca="false">IF($I1561&lt;&gt;$O1561,0,IF(P1561&lt;Matchup!$B$39,7,IF(P1561&lt;Matchup!$B$39+Matchup!$B$40,3,0)))</f>
        <v>0</v>
      </c>
      <c r="S1561" s="0" t="n">
        <f aca="false">IF($I1561&lt;&gt;$O1561,0,IF(Q1561&lt;Matchup!$C$39,7,IF(Q1561&lt;Matchup!$C$39+Matchup!$C$40,3,0)))</f>
        <v>0</v>
      </c>
      <c r="T1561" s="0" t="n">
        <f aca="false">I1561+R1561</f>
        <v>40</v>
      </c>
      <c r="U1561" s="0" t="n">
        <f aca="false">O1561+S1561</f>
        <v>38</v>
      </c>
      <c r="V1561" s="0" t="n">
        <f aca="false">T1561-U1561</f>
        <v>2</v>
      </c>
      <c r="W1561" s="0" t="n">
        <f aca="false">T1561+U1561</f>
        <v>78</v>
      </c>
    </row>
    <row r="1562" customFormat="false" ht="15" hidden="false" customHeight="false" outlineLevel="0" collapsed="false">
      <c r="A1562" s="0" t="n">
        <v>1559</v>
      </c>
      <c r="B1562" s="0" t="n">
        <f aca="true">NORMINV(RAND(),1,Coefficients!$B$22)</f>
        <v>0.899270471202053</v>
      </c>
      <c r="C1562" s="0" t="n">
        <f aca="true">MEDIAN(8,16,ROUND(NORMINV(RAND(),Coefficients!$B$20,Coefficients!$B$21),0))</f>
        <v>10</v>
      </c>
      <c r="D1562" s="0" t="n">
        <f aca="true">CRITBINOM($C1562,MIN(0.75,Matchup!$B$39*$B1562),RAND())</f>
        <v>2</v>
      </c>
      <c r="E1562" s="0" t="n">
        <f aca="true">CRITBINOM(D1562,Coefficients!$B$30,RAND())</f>
        <v>0</v>
      </c>
      <c r="F1562" s="0" t="n">
        <f aca="true">CRITBINOM(E1562,Coefficients!$B$31,RAND())</f>
        <v>0</v>
      </c>
      <c r="G1562" s="0" t="n">
        <f aca="true">CRITBINOM(MAX(0,D1562-E1562),1-Coefficients!$B$32,RAND())</f>
        <v>0</v>
      </c>
      <c r="H1562" s="0" t="n">
        <f aca="true">CRITBINOM(MAX(0,$C1562-D1562),MIN(0.6,Matchup!$B$40*SQRT($B1562)/(1-MIN(0.75,Matchup!$B$39*$B1562))),RAND())</f>
        <v>2</v>
      </c>
      <c r="I1562" s="0" t="n">
        <f aca="false">6*D1562+(D1562-E1562-G1562)+2*F1562+3*H1562</f>
        <v>20</v>
      </c>
      <c r="J1562" s="0" t="n">
        <f aca="true">CRITBINOM($C1562,MIN(0.75,Matchup!$C$39*$B1562),RAND())</f>
        <v>2</v>
      </c>
      <c r="K1562" s="0" t="n">
        <f aca="true">CRITBINOM(J1562,Coefficients!$B$30,RAND())</f>
        <v>1</v>
      </c>
      <c r="L1562" s="0" t="n">
        <f aca="true">CRITBINOM(K1562,Coefficients!$B$31,RAND())</f>
        <v>0</v>
      </c>
      <c r="M1562" s="0" t="n">
        <f aca="true">CRITBINOM(MAX(0,J1562-K1562),1-Coefficients!$B$32,RAND())</f>
        <v>0</v>
      </c>
      <c r="N1562" s="0" t="n">
        <f aca="true">CRITBINOM(MAX(0,$C1562-J1562),MIN(0.6,Matchup!$C$40*SQRT($B1562)/(1-MIN(0.75,Matchup!$C$39*$B1562))),RAND())</f>
        <v>2</v>
      </c>
      <c r="O1562" s="0" t="n">
        <f aca="false">6*J1562+(J1562-K1562-M1562)+2*L1562+3*N1562</f>
        <v>19</v>
      </c>
      <c r="P1562" s="0" t="n">
        <f aca="true">RAND()</f>
        <v>0.612119127544021</v>
      </c>
      <c r="Q1562" s="0" t="n">
        <f aca="true">RAND()</f>
        <v>0.0648869744909734</v>
      </c>
      <c r="R1562" s="0" t="n">
        <f aca="false">IF($I1562&lt;&gt;$O1562,0,IF(P1562&lt;Matchup!$B$39,7,IF(P1562&lt;Matchup!$B$39+Matchup!$B$40,3,0)))</f>
        <v>0</v>
      </c>
      <c r="S1562" s="0" t="n">
        <f aca="false">IF($I1562&lt;&gt;$O1562,0,IF(Q1562&lt;Matchup!$C$39,7,IF(Q1562&lt;Matchup!$C$39+Matchup!$C$40,3,0)))</f>
        <v>0</v>
      </c>
      <c r="T1562" s="0" t="n">
        <f aca="false">I1562+R1562</f>
        <v>20</v>
      </c>
      <c r="U1562" s="0" t="n">
        <f aca="false">O1562+S1562</f>
        <v>19</v>
      </c>
      <c r="V1562" s="0" t="n">
        <f aca="false">T1562-U1562</f>
        <v>1</v>
      </c>
      <c r="W1562" s="0" t="n">
        <f aca="false">T1562+U1562</f>
        <v>39</v>
      </c>
    </row>
    <row r="1563" customFormat="false" ht="15" hidden="false" customHeight="false" outlineLevel="0" collapsed="false">
      <c r="A1563" s="0" t="n">
        <v>1560</v>
      </c>
      <c r="B1563" s="0" t="n">
        <f aca="true">NORMINV(RAND(),1,Coefficients!$B$22)</f>
        <v>1.06552317083837</v>
      </c>
      <c r="C1563" s="0" t="n">
        <f aca="true">MEDIAN(8,16,ROUND(NORMINV(RAND(),Coefficients!$B$20,Coefficients!$B$21),0))</f>
        <v>12</v>
      </c>
      <c r="D1563" s="0" t="n">
        <f aca="true">CRITBINOM($C1563,MIN(0.75,Matchup!$B$39*$B1563),RAND())</f>
        <v>4</v>
      </c>
      <c r="E1563" s="0" t="n">
        <f aca="true">CRITBINOM(D1563,Coefficients!$B$30,RAND())</f>
        <v>0</v>
      </c>
      <c r="F1563" s="0" t="n">
        <f aca="true">CRITBINOM(E1563,Coefficients!$B$31,RAND())</f>
        <v>0</v>
      </c>
      <c r="G1563" s="0" t="n">
        <f aca="true">CRITBINOM(MAX(0,D1563-E1563),1-Coefficients!$B$32,RAND())</f>
        <v>1</v>
      </c>
      <c r="H1563" s="0" t="n">
        <f aca="true">CRITBINOM(MAX(0,$C1563-D1563),MIN(0.6,Matchup!$B$40*SQRT($B1563)/(1-MIN(0.75,Matchup!$B$39*$B1563))),RAND())</f>
        <v>3</v>
      </c>
      <c r="I1563" s="0" t="n">
        <f aca="false">6*D1563+(D1563-E1563-G1563)+2*F1563+3*H1563</f>
        <v>36</v>
      </c>
      <c r="J1563" s="0" t="n">
        <f aca="true">CRITBINOM($C1563,MIN(0.75,Matchup!$C$39*$B1563),RAND())</f>
        <v>5</v>
      </c>
      <c r="K1563" s="0" t="n">
        <f aca="true">CRITBINOM(J1563,Coefficients!$B$30,RAND())</f>
        <v>1</v>
      </c>
      <c r="L1563" s="0" t="n">
        <f aca="true">CRITBINOM(K1563,Coefficients!$B$31,RAND())</f>
        <v>1</v>
      </c>
      <c r="M1563" s="0" t="n">
        <f aca="true">CRITBINOM(MAX(0,J1563-K1563),1-Coefficients!$B$32,RAND())</f>
        <v>1</v>
      </c>
      <c r="N1563" s="0" t="n">
        <f aca="true">CRITBINOM(MAX(0,$C1563-J1563),MIN(0.6,Matchup!$C$40*SQRT($B1563)/(1-MIN(0.75,Matchup!$C$39*$B1563))),RAND())</f>
        <v>4</v>
      </c>
      <c r="O1563" s="0" t="n">
        <f aca="false">6*J1563+(J1563-K1563-M1563)+2*L1563+3*N1563</f>
        <v>47</v>
      </c>
      <c r="P1563" s="0" t="n">
        <f aca="true">RAND()</f>
        <v>0.216545342624966</v>
      </c>
      <c r="Q1563" s="0" t="n">
        <f aca="true">RAND()</f>
        <v>0.209221880522741</v>
      </c>
      <c r="R1563" s="0" t="n">
        <f aca="false">IF($I1563&lt;&gt;$O1563,0,IF(P1563&lt;Matchup!$B$39,7,IF(P1563&lt;Matchup!$B$39+Matchup!$B$40,3,0)))</f>
        <v>0</v>
      </c>
      <c r="S1563" s="0" t="n">
        <f aca="false">IF($I1563&lt;&gt;$O1563,0,IF(Q1563&lt;Matchup!$C$39,7,IF(Q1563&lt;Matchup!$C$39+Matchup!$C$40,3,0)))</f>
        <v>0</v>
      </c>
      <c r="T1563" s="0" t="n">
        <f aca="false">I1563+R1563</f>
        <v>36</v>
      </c>
      <c r="U1563" s="0" t="n">
        <f aca="false">O1563+S1563</f>
        <v>47</v>
      </c>
      <c r="V1563" s="0" t="n">
        <f aca="false">T1563-U1563</f>
        <v>-11</v>
      </c>
      <c r="W1563" s="0" t="n">
        <f aca="false">T1563+U1563</f>
        <v>83</v>
      </c>
    </row>
    <row r="1564" customFormat="false" ht="15" hidden="false" customHeight="false" outlineLevel="0" collapsed="false">
      <c r="A1564" s="0" t="n">
        <v>1561</v>
      </c>
      <c r="B1564" s="0" t="n">
        <f aca="true">NORMINV(RAND(),1,Coefficients!$B$22)</f>
        <v>1.10755599881419</v>
      </c>
      <c r="C1564" s="0" t="n">
        <f aca="true">MEDIAN(8,16,ROUND(NORMINV(RAND(),Coefficients!$B$20,Coefficients!$B$21),0))</f>
        <v>11</v>
      </c>
      <c r="D1564" s="0" t="n">
        <f aca="true">CRITBINOM($C1564,MIN(0.75,Matchup!$B$39*$B1564),RAND())</f>
        <v>2</v>
      </c>
      <c r="E1564" s="0" t="n">
        <f aca="true">CRITBINOM(D1564,Coefficients!$B$30,RAND())</f>
        <v>0</v>
      </c>
      <c r="F1564" s="0" t="n">
        <f aca="true">CRITBINOM(E1564,Coefficients!$B$31,RAND())</f>
        <v>0</v>
      </c>
      <c r="G1564" s="0" t="n">
        <f aca="true">CRITBINOM(MAX(0,D1564-E1564),1-Coefficients!$B$32,RAND())</f>
        <v>0</v>
      </c>
      <c r="H1564" s="0" t="n">
        <f aca="true">CRITBINOM(MAX(0,$C1564-D1564),MIN(0.6,Matchup!$B$40*SQRT($B1564)/(1-MIN(0.75,Matchup!$B$39*$B1564))),RAND())</f>
        <v>2</v>
      </c>
      <c r="I1564" s="0" t="n">
        <f aca="false">6*D1564+(D1564-E1564-G1564)+2*F1564+3*H1564</f>
        <v>20</v>
      </c>
      <c r="J1564" s="0" t="n">
        <f aca="true">CRITBINOM($C1564,MIN(0.75,Matchup!$C$39*$B1564),RAND())</f>
        <v>2</v>
      </c>
      <c r="K1564" s="0" t="n">
        <f aca="true">CRITBINOM(J1564,Coefficients!$B$30,RAND())</f>
        <v>1</v>
      </c>
      <c r="L1564" s="0" t="n">
        <f aca="true">CRITBINOM(K1564,Coefficients!$B$31,RAND())</f>
        <v>0</v>
      </c>
      <c r="M1564" s="0" t="n">
        <f aca="true">CRITBINOM(MAX(0,J1564-K1564),1-Coefficients!$B$32,RAND())</f>
        <v>0</v>
      </c>
      <c r="N1564" s="0" t="n">
        <f aca="true">CRITBINOM(MAX(0,$C1564-J1564),MIN(0.6,Matchup!$C$40*SQRT($B1564)/(1-MIN(0.75,Matchup!$C$39*$B1564))),RAND())</f>
        <v>1</v>
      </c>
      <c r="O1564" s="0" t="n">
        <f aca="false">6*J1564+(J1564-K1564-M1564)+2*L1564+3*N1564</f>
        <v>16</v>
      </c>
      <c r="P1564" s="0" t="n">
        <f aca="true">RAND()</f>
        <v>0.767221990049615</v>
      </c>
      <c r="Q1564" s="0" t="n">
        <f aca="true">RAND()</f>
        <v>0.81549532164502</v>
      </c>
      <c r="R1564" s="0" t="n">
        <f aca="false">IF($I1564&lt;&gt;$O1564,0,IF(P1564&lt;Matchup!$B$39,7,IF(P1564&lt;Matchup!$B$39+Matchup!$B$40,3,0)))</f>
        <v>0</v>
      </c>
      <c r="S1564" s="0" t="n">
        <f aca="false">IF($I1564&lt;&gt;$O1564,0,IF(Q1564&lt;Matchup!$C$39,7,IF(Q1564&lt;Matchup!$C$39+Matchup!$C$40,3,0)))</f>
        <v>0</v>
      </c>
      <c r="T1564" s="0" t="n">
        <f aca="false">I1564+R1564</f>
        <v>20</v>
      </c>
      <c r="U1564" s="0" t="n">
        <f aca="false">O1564+S1564</f>
        <v>16</v>
      </c>
      <c r="V1564" s="0" t="n">
        <f aca="false">T1564-U1564</f>
        <v>4</v>
      </c>
      <c r="W1564" s="0" t="n">
        <f aca="false">T1564+U1564</f>
        <v>36</v>
      </c>
    </row>
    <row r="1565" customFormat="false" ht="15" hidden="false" customHeight="false" outlineLevel="0" collapsed="false">
      <c r="A1565" s="0" t="n">
        <v>1562</v>
      </c>
      <c r="B1565" s="0" t="n">
        <f aca="true">NORMINV(RAND(),1,Coefficients!$B$22)</f>
        <v>0.897600666562613</v>
      </c>
      <c r="C1565" s="0" t="n">
        <f aca="true">MEDIAN(8,16,ROUND(NORMINV(RAND(),Coefficients!$B$20,Coefficients!$B$21),0))</f>
        <v>11</v>
      </c>
      <c r="D1565" s="0" t="n">
        <f aca="true">CRITBINOM($C1565,MIN(0.75,Matchup!$B$39*$B1565),RAND())</f>
        <v>2</v>
      </c>
      <c r="E1565" s="0" t="n">
        <f aca="true">CRITBINOM(D1565,Coefficients!$B$30,RAND())</f>
        <v>0</v>
      </c>
      <c r="F1565" s="0" t="n">
        <f aca="true">CRITBINOM(E1565,Coefficients!$B$31,RAND())</f>
        <v>0</v>
      </c>
      <c r="G1565" s="0" t="n">
        <f aca="true">CRITBINOM(MAX(0,D1565-E1565),1-Coefficients!$B$32,RAND())</f>
        <v>0</v>
      </c>
      <c r="H1565" s="0" t="n">
        <f aca="true">CRITBINOM(MAX(0,$C1565-D1565),MIN(0.6,Matchup!$B$40*SQRT($B1565)/(1-MIN(0.75,Matchup!$B$39*$B1565))),RAND())</f>
        <v>2</v>
      </c>
      <c r="I1565" s="0" t="n">
        <f aca="false">6*D1565+(D1565-E1565-G1565)+2*F1565+3*H1565</f>
        <v>20</v>
      </c>
      <c r="J1565" s="0" t="n">
        <f aca="true">CRITBINOM($C1565,MIN(0.75,Matchup!$C$39*$B1565),RAND())</f>
        <v>5</v>
      </c>
      <c r="K1565" s="0" t="n">
        <f aca="true">CRITBINOM(J1565,Coefficients!$B$30,RAND())</f>
        <v>0</v>
      </c>
      <c r="L1565" s="0" t="n">
        <f aca="true">CRITBINOM(K1565,Coefficients!$B$31,RAND())</f>
        <v>0</v>
      </c>
      <c r="M1565" s="0" t="n">
        <f aca="true">CRITBINOM(MAX(0,J1565-K1565),1-Coefficients!$B$32,RAND())</f>
        <v>0</v>
      </c>
      <c r="N1565" s="0" t="n">
        <f aca="true">CRITBINOM(MAX(0,$C1565-J1565),MIN(0.6,Matchup!$C$40*SQRT($B1565)/(1-MIN(0.75,Matchup!$C$39*$B1565))),RAND())</f>
        <v>1</v>
      </c>
      <c r="O1565" s="0" t="n">
        <f aca="false">6*J1565+(J1565-K1565-M1565)+2*L1565+3*N1565</f>
        <v>38</v>
      </c>
      <c r="P1565" s="0" t="n">
        <f aca="true">RAND()</f>
        <v>0.830710061195647</v>
      </c>
      <c r="Q1565" s="0" t="n">
        <f aca="true">RAND()</f>
        <v>0.492748580827424</v>
      </c>
      <c r="R1565" s="0" t="n">
        <f aca="false">IF($I1565&lt;&gt;$O1565,0,IF(P1565&lt;Matchup!$B$39,7,IF(P1565&lt;Matchup!$B$39+Matchup!$B$40,3,0)))</f>
        <v>0</v>
      </c>
      <c r="S1565" s="0" t="n">
        <f aca="false">IF($I1565&lt;&gt;$O1565,0,IF(Q1565&lt;Matchup!$C$39,7,IF(Q1565&lt;Matchup!$C$39+Matchup!$C$40,3,0)))</f>
        <v>0</v>
      </c>
      <c r="T1565" s="0" t="n">
        <f aca="false">I1565+R1565</f>
        <v>20</v>
      </c>
      <c r="U1565" s="0" t="n">
        <f aca="false">O1565+S1565</f>
        <v>38</v>
      </c>
      <c r="V1565" s="0" t="n">
        <f aca="false">T1565-U1565</f>
        <v>-18</v>
      </c>
      <c r="W1565" s="0" t="n">
        <f aca="false">T1565+U1565</f>
        <v>58</v>
      </c>
    </row>
    <row r="1566" customFormat="false" ht="15" hidden="false" customHeight="false" outlineLevel="0" collapsed="false">
      <c r="A1566" s="0" t="n">
        <v>1563</v>
      </c>
      <c r="B1566" s="0" t="n">
        <f aca="true">NORMINV(RAND(),1,Coefficients!$B$22)</f>
        <v>1.07018972719045</v>
      </c>
      <c r="C1566" s="0" t="n">
        <f aca="true">MEDIAN(8,16,ROUND(NORMINV(RAND(),Coefficients!$B$20,Coefficients!$B$21),0))</f>
        <v>10</v>
      </c>
      <c r="D1566" s="0" t="n">
        <f aca="true">CRITBINOM($C1566,MIN(0.75,Matchup!$B$39*$B1566),RAND())</f>
        <v>5</v>
      </c>
      <c r="E1566" s="0" t="n">
        <f aca="true">CRITBINOM(D1566,Coefficients!$B$30,RAND())</f>
        <v>1</v>
      </c>
      <c r="F1566" s="0" t="n">
        <f aca="true">CRITBINOM(E1566,Coefficients!$B$31,RAND())</f>
        <v>1</v>
      </c>
      <c r="G1566" s="0" t="n">
        <f aca="true">CRITBINOM(MAX(0,D1566-E1566),1-Coefficients!$B$32,RAND())</f>
        <v>0</v>
      </c>
      <c r="H1566" s="0" t="n">
        <f aca="true">CRITBINOM(MAX(0,$C1566-D1566),MIN(0.6,Matchup!$B$40*SQRT($B1566)/(1-MIN(0.75,Matchup!$B$39*$B1566))),RAND())</f>
        <v>2</v>
      </c>
      <c r="I1566" s="0" t="n">
        <f aca="false">6*D1566+(D1566-E1566-G1566)+2*F1566+3*H1566</f>
        <v>42</v>
      </c>
      <c r="J1566" s="0" t="n">
        <f aca="true">CRITBINOM($C1566,MIN(0.75,Matchup!$C$39*$B1566),RAND())</f>
        <v>4</v>
      </c>
      <c r="K1566" s="0" t="n">
        <f aca="true">CRITBINOM(J1566,Coefficients!$B$30,RAND())</f>
        <v>0</v>
      </c>
      <c r="L1566" s="0" t="n">
        <f aca="true">CRITBINOM(K1566,Coefficients!$B$31,RAND())</f>
        <v>0</v>
      </c>
      <c r="M1566" s="0" t="n">
        <f aca="true">CRITBINOM(MAX(0,J1566-K1566),1-Coefficients!$B$32,RAND())</f>
        <v>0</v>
      </c>
      <c r="N1566" s="0" t="n">
        <f aca="true">CRITBINOM(MAX(0,$C1566-J1566),MIN(0.6,Matchup!$C$40*SQRT($B1566)/(1-MIN(0.75,Matchup!$C$39*$B1566))),RAND())</f>
        <v>1</v>
      </c>
      <c r="O1566" s="0" t="n">
        <f aca="false">6*J1566+(J1566-K1566-M1566)+2*L1566+3*N1566</f>
        <v>31</v>
      </c>
      <c r="P1566" s="0" t="n">
        <f aca="true">RAND()</f>
        <v>0.368798520040735</v>
      </c>
      <c r="Q1566" s="0" t="n">
        <f aca="true">RAND()</f>
        <v>0.334122638529324</v>
      </c>
      <c r="R1566" s="0" t="n">
        <f aca="false">IF($I1566&lt;&gt;$O1566,0,IF(P1566&lt;Matchup!$B$39,7,IF(P1566&lt;Matchup!$B$39+Matchup!$B$40,3,0)))</f>
        <v>0</v>
      </c>
      <c r="S1566" s="0" t="n">
        <f aca="false">IF($I1566&lt;&gt;$O1566,0,IF(Q1566&lt;Matchup!$C$39,7,IF(Q1566&lt;Matchup!$C$39+Matchup!$C$40,3,0)))</f>
        <v>0</v>
      </c>
      <c r="T1566" s="0" t="n">
        <f aca="false">I1566+R1566</f>
        <v>42</v>
      </c>
      <c r="U1566" s="0" t="n">
        <f aca="false">O1566+S1566</f>
        <v>31</v>
      </c>
      <c r="V1566" s="0" t="n">
        <f aca="false">T1566-U1566</f>
        <v>11</v>
      </c>
      <c r="W1566" s="0" t="n">
        <f aca="false">T1566+U1566</f>
        <v>73</v>
      </c>
    </row>
    <row r="1567" customFormat="false" ht="15" hidden="false" customHeight="false" outlineLevel="0" collapsed="false">
      <c r="A1567" s="0" t="n">
        <v>1564</v>
      </c>
      <c r="B1567" s="0" t="n">
        <f aca="true">NORMINV(RAND(),1,Coefficients!$B$22)</f>
        <v>0.996957619821309</v>
      </c>
      <c r="C1567" s="0" t="n">
        <f aca="true">MEDIAN(8,16,ROUND(NORMINV(RAND(),Coefficients!$B$20,Coefficients!$B$21),0))</f>
        <v>12</v>
      </c>
      <c r="D1567" s="0" t="n">
        <f aca="true">CRITBINOM($C1567,MIN(0.75,Matchup!$B$39*$B1567),RAND())</f>
        <v>4</v>
      </c>
      <c r="E1567" s="0" t="n">
        <f aca="true">CRITBINOM(D1567,Coefficients!$B$30,RAND())</f>
        <v>0</v>
      </c>
      <c r="F1567" s="0" t="n">
        <f aca="true">CRITBINOM(E1567,Coefficients!$B$31,RAND())</f>
        <v>0</v>
      </c>
      <c r="G1567" s="0" t="n">
        <f aca="true">CRITBINOM(MAX(0,D1567-E1567),1-Coefficients!$B$32,RAND())</f>
        <v>2</v>
      </c>
      <c r="H1567" s="0" t="n">
        <f aca="true">CRITBINOM(MAX(0,$C1567-D1567),MIN(0.6,Matchup!$B$40*SQRT($B1567)/(1-MIN(0.75,Matchup!$B$39*$B1567))),RAND())</f>
        <v>1</v>
      </c>
      <c r="I1567" s="0" t="n">
        <f aca="false">6*D1567+(D1567-E1567-G1567)+2*F1567+3*H1567</f>
        <v>29</v>
      </c>
      <c r="J1567" s="0" t="n">
        <f aca="true">CRITBINOM($C1567,MIN(0.75,Matchup!$C$39*$B1567),RAND())</f>
        <v>3</v>
      </c>
      <c r="K1567" s="0" t="n">
        <f aca="true">CRITBINOM(J1567,Coefficients!$B$30,RAND())</f>
        <v>0</v>
      </c>
      <c r="L1567" s="0" t="n">
        <f aca="true">CRITBINOM(K1567,Coefficients!$B$31,RAND())</f>
        <v>0</v>
      </c>
      <c r="M1567" s="0" t="n">
        <f aca="true">CRITBINOM(MAX(0,J1567-K1567),1-Coefficients!$B$32,RAND())</f>
        <v>1</v>
      </c>
      <c r="N1567" s="0" t="n">
        <f aca="true">CRITBINOM(MAX(0,$C1567-J1567),MIN(0.6,Matchup!$C$40*SQRT($B1567)/(1-MIN(0.75,Matchup!$C$39*$B1567))),RAND())</f>
        <v>0</v>
      </c>
      <c r="O1567" s="0" t="n">
        <f aca="false">6*J1567+(J1567-K1567-M1567)+2*L1567+3*N1567</f>
        <v>20</v>
      </c>
      <c r="P1567" s="0" t="n">
        <f aca="true">RAND()</f>
        <v>0.582799259567258</v>
      </c>
      <c r="Q1567" s="0" t="n">
        <f aca="true">RAND()</f>
        <v>0.385123323735053</v>
      </c>
      <c r="R1567" s="0" t="n">
        <f aca="false">IF($I1567&lt;&gt;$O1567,0,IF(P1567&lt;Matchup!$B$39,7,IF(P1567&lt;Matchup!$B$39+Matchup!$B$40,3,0)))</f>
        <v>0</v>
      </c>
      <c r="S1567" s="0" t="n">
        <f aca="false">IF($I1567&lt;&gt;$O1567,0,IF(Q1567&lt;Matchup!$C$39,7,IF(Q1567&lt;Matchup!$C$39+Matchup!$C$40,3,0)))</f>
        <v>0</v>
      </c>
      <c r="T1567" s="0" t="n">
        <f aca="false">I1567+R1567</f>
        <v>29</v>
      </c>
      <c r="U1567" s="0" t="n">
        <f aca="false">O1567+S1567</f>
        <v>20</v>
      </c>
      <c r="V1567" s="0" t="n">
        <f aca="false">T1567-U1567</f>
        <v>9</v>
      </c>
      <c r="W1567" s="0" t="n">
        <f aca="false">T1567+U1567</f>
        <v>49</v>
      </c>
    </row>
    <row r="1568" customFormat="false" ht="15" hidden="false" customHeight="false" outlineLevel="0" collapsed="false">
      <c r="A1568" s="0" t="n">
        <v>1565</v>
      </c>
      <c r="B1568" s="0" t="n">
        <f aca="true">NORMINV(RAND(),1,Coefficients!$B$22)</f>
        <v>0.854412973799269</v>
      </c>
      <c r="C1568" s="0" t="n">
        <f aca="true">MEDIAN(8,16,ROUND(NORMINV(RAND(),Coefficients!$B$20,Coefficients!$B$21),0))</f>
        <v>11</v>
      </c>
      <c r="D1568" s="0" t="n">
        <f aca="true">CRITBINOM($C1568,MIN(0.75,Matchup!$B$39*$B1568),RAND())</f>
        <v>1</v>
      </c>
      <c r="E1568" s="0" t="n">
        <f aca="true">CRITBINOM(D1568,Coefficients!$B$30,RAND())</f>
        <v>0</v>
      </c>
      <c r="F1568" s="0" t="n">
        <f aca="true">CRITBINOM(E1568,Coefficients!$B$31,RAND())</f>
        <v>0</v>
      </c>
      <c r="G1568" s="0" t="n">
        <f aca="true">CRITBINOM(MAX(0,D1568-E1568),1-Coefficients!$B$32,RAND())</f>
        <v>1</v>
      </c>
      <c r="H1568" s="0" t="n">
        <f aca="true">CRITBINOM(MAX(0,$C1568-D1568),MIN(0.6,Matchup!$B$40*SQRT($B1568)/(1-MIN(0.75,Matchup!$B$39*$B1568))),RAND())</f>
        <v>2</v>
      </c>
      <c r="I1568" s="0" t="n">
        <f aca="false">6*D1568+(D1568-E1568-G1568)+2*F1568+3*H1568</f>
        <v>12</v>
      </c>
      <c r="J1568" s="0" t="n">
        <f aca="true">CRITBINOM($C1568,MIN(0.75,Matchup!$C$39*$B1568),RAND())</f>
        <v>2</v>
      </c>
      <c r="K1568" s="0" t="n">
        <f aca="true">CRITBINOM(J1568,Coefficients!$B$30,RAND())</f>
        <v>1</v>
      </c>
      <c r="L1568" s="0" t="n">
        <f aca="true">CRITBINOM(K1568,Coefficients!$B$31,RAND())</f>
        <v>0</v>
      </c>
      <c r="M1568" s="0" t="n">
        <f aca="true">CRITBINOM(MAX(0,J1568-K1568),1-Coefficients!$B$32,RAND())</f>
        <v>0</v>
      </c>
      <c r="N1568" s="0" t="n">
        <f aca="true">CRITBINOM(MAX(0,$C1568-J1568),MIN(0.6,Matchup!$C$40*SQRT($B1568)/(1-MIN(0.75,Matchup!$C$39*$B1568))),RAND())</f>
        <v>3</v>
      </c>
      <c r="O1568" s="0" t="n">
        <f aca="false">6*J1568+(J1568-K1568-M1568)+2*L1568+3*N1568</f>
        <v>22</v>
      </c>
      <c r="P1568" s="0" t="n">
        <f aca="true">RAND()</f>
        <v>0.401593628941638</v>
      </c>
      <c r="Q1568" s="0" t="n">
        <f aca="true">RAND()</f>
        <v>0.816372067966329</v>
      </c>
      <c r="R1568" s="0" t="n">
        <f aca="false">IF($I1568&lt;&gt;$O1568,0,IF(P1568&lt;Matchup!$B$39,7,IF(P1568&lt;Matchup!$B$39+Matchup!$B$40,3,0)))</f>
        <v>0</v>
      </c>
      <c r="S1568" s="0" t="n">
        <f aca="false">IF($I1568&lt;&gt;$O1568,0,IF(Q1568&lt;Matchup!$C$39,7,IF(Q1568&lt;Matchup!$C$39+Matchup!$C$40,3,0)))</f>
        <v>0</v>
      </c>
      <c r="T1568" s="0" t="n">
        <f aca="false">I1568+R1568</f>
        <v>12</v>
      </c>
      <c r="U1568" s="0" t="n">
        <f aca="false">O1568+S1568</f>
        <v>22</v>
      </c>
      <c r="V1568" s="0" t="n">
        <f aca="false">T1568-U1568</f>
        <v>-10</v>
      </c>
      <c r="W1568" s="0" t="n">
        <f aca="false">T1568+U1568</f>
        <v>34</v>
      </c>
    </row>
    <row r="1569" customFormat="false" ht="15" hidden="false" customHeight="false" outlineLevel="0" collapsed="false">
      <c r="A1569" s="0" t="n">
        <v>1566</v>
      </c>
      <c r="B1569" s="0" t="n">
        <f aca="true">NORMINV(RAND(),1,Coefficients!$B$22)</f>
        <v>0.991183147398138</v>
      </c>
      <c r="C1569" s="0" t="n">
        <f aca="true">MEDIAN(8,16,ROUND(NORMINV(RAND(),Coefficients!$B$20,Coefficients!$B$21),0))</f>
        <v>13</v>
      </c>
      <c r="D1569" s="0" t="n">
        <f aca="true">CRITBINOM($C1569,MIN(0.75,Matchup!$B$39*$B1569),RAND())</f>
        <v>1</v>
      </c>
      <c r="E1569" s="0" t="n">
        <f aca="true">CRITBINOM(D1569,Coefficients!$B$30,RAND())</f>
        <v>0</v>
      </c>
      <c r="F1569" s="0" t="n">
        <f aca="true">CRITBINOM(E1569,Coefficients!$B$31,RAND())</f>
        <v>0</v>
      </c>
      <c r="G1569" s="0" t="n">
        <f aca="true">CRITBINOM(MAX(0,D1569-E1569),1-Coefficients!$B$32,RAND())</f>
        <v>0</v>
      </c>
      <c r="H1569" s="0" t="n">
        <f aca="true">CRITBINOM(MAX(0,$C1569-D1569),MIN(0.6,Matchup!$B$40*SQRT($B1569)/(1-MIN(0.75,Matchup!$B$39*$B1569))),RAND())</f>
        <v>2</v>
      </c>
      <c r="I1569" s="0" t="n">
        <f aca="false">6*D1569+(D1569-E1569-G1569)+2*F1569+3*H1569</f>
        <v>13</v>
      </c>
      <c r="J1569" s="0" t="n">
        <f aca="true">CRITBINOM($C1569,MIN(0.75,Matchup!$C$39*$B1569),RAND())</f>
        <v>0</v>
      </c>
      <c r="K1569" s="0" t="n">
        <f aca="true">CRITBINOM(J1569,Coefficients!$B$30,RAND())</f>
        <v>0</v>
      </c>
      <c r="L1569" s="0" t="n">
        <f aca="true">CRITBINOM(K1569,Coefficients!$B$31,RAND())</f>
        <v>0</v>
      </c>
      <c r="M1569" s="0" t="n">
        <f aca="true">CRITBINOM(MAX(0,J1569-K1569),1-Coefficients!$B$32,RAND())</f>
        <v>0</v>
      </c>
      <c r="N1569" s="0" t="n">
        <f aca="true">CRITBINOM(MAX(0,$C1569-J1569),MIN(0.6,Matchup!$C$40*SQRT($B1569)/(1-MIN(0.75,Matchup!$C$39*$B1569))),RAND())</f>
        <v>1</v>
      </c>
      <c r="O1569" s="0" t="n">
        <f aca="false">6*J1569+(J1569-K1569-M1569)+2*L1569+3*N1569</f>
        <v>3</v>
      </c>
      <c r="P1569" s="0" t="n">
        <f aca="true">RAND()</f>
        <v>0.646748399981033</v>
      </c>
      <c r="Q1569" s="0" t="n">
        <f aca="true">RAND()</f>
        <v>0.303323052098037</v>
      </c>
      <c r="R1569" s="0" t="n">
        <f aca="false">IF($I1569&lt;&gt;$O1569,0,IF(P1569&lt;Matchup!$B$39,7,IF(P1569&lt;Matchup!$B$39+Matchup!$B$40,3,0)))</f>
        <v>0</v>
      </c>
      <c r="S1569" s="0" t="n">
        <f aca="false">IF($I1569&lt;&gt;$O1569,0,IF(Q1569&lt;Matchup!$C$39,7,IF(Q1569&lt;Matchup!$C$39+Matchup!$C$40,3,0)))</f>
        <v>0</v>
      </c>
      <c r="T1569" s="0" t="n">
        <f aca="false">I1569+R1569</f>
        <v>13</v>
      </c>
      <c r="U1569" s="0" t="n">
        <f aca="false">O1569+S1569</f>
        <v>3</v>
      </c>
      <c r="V1569" s="0" t="n">
        <f aca="false">T1569-U1569</f>
        <v>10</v>
      </c>
      <c r="W1569" s="0" t="n">
        <f aca="false">T1569+U1569</f>
        <v>16</v>
      </c>
    </row>
    <row r="1570" customFormat="false" ht="15" hidden="false" customHeight="false" outlineLevel="0" collapsed="false">
      <c r="A1570" s="0" t="n">
        <v>1567</v>
      </c>
      <c r="B1570" s="0" t="n">
        <f aca="true">NORMINV(RAND(),1,Coefficients!$B$22)</f>
        <v>1.02631864556706</v>
      </c>
      <c r="C1570" s="0" t="n">
        <f aca="true">MEDIAN(8,16,ROUND(NORMINV(RAND(),Coefficients!$B$20,Coefficients!$B$21),0))</f>
        <v>12</v>
      </c>
      <c r="D1570" s="0" t="n">
        <f aca="true">CRITBINOM($C1570,MIN(0.75,Matchup!$B$39*$B1570),RAND())</f>
        <v>3</v>
      </c>
      <c r="E1570" s="0" t="n">
        <f aca="true">CRITBINOM(D1570,Coefficients!$B$30,RAND())</f>
        <v>0</v>
      </c>
      <c r="F1570" s="0" t="n">
        <f aca="true">CRITBINOM(E1570,Coefficients!$B$31,RAND())</f>
        <v>0</v>
      </c>
      <c r="G1570" s="0" t="n">
        <f aca="true">CRITBINOM(MAX(0,D1570-E1570),1-Coefficients!$B$32,RAND())</f>
        <v>0</v>
      </c>
      <c r="H1570" s="0" t="n">
        <f aca="true">CRITBINOM(MAX(0,$C1570-D1570),MIN(0.6,Matchup!$B$40*SQRT($B1570)/(1-MIN(0.75,Matchup!$B$39*$B1570))),RAND())</f>
        <v>2</v>
      </c>
      <c r="I1570" s="0" t="n">
        <f aca="false">6*D1570+(D1570-E1570-G1570)+2*F1570+3*H1570</f>
        <v>27</v>
      </c>
      <c r="J1570" s="0" t="n">
        <f aca="true">CRITBINOM($C1570,MIN(0.75,Matchup!$C$39*$B1570),RAND())</f>
        <v>2</v>
      </c>
      <c r="K1570" s="0" t="n">
        <f aca="true">CRITBINOM(J1570,Coefficients!$B$30,RAND())</f>
        <v>2</v>
      </c>
      <c r="L1570" s="0" t="n">
        <f aca="true">CRITBINOM(K1570,Coefficients!$B$31,RAND())</f>
        <v>1</v>
      </c>
      <c r="M1570" s="0" t="n">
        <f aca="true">CRITBINOM(MAX(0,J1570-K1570),1-Coefficients!$B$32,RAND())</f>
        <v>0</v>
      </c>
      <c r="N1570" s="0" t="n">
        <f aca="true">CRITBINOM(MAX(0,$C1570-J1570),MIN(0.6,Matchup!$C$40*SQRT($B1570)/(1-MIN(0.75,Matchup!$C$39*$B1570))),RAND())</f>
        <v>3</v>
      </c>
      <c r="O1570" s="0" t="n">
        <f aca="false">6*J1570+(J1570-K1570-M1570)+2*L1570+3*N1570</f>
        <v>23</v>
      </c>
      <c r="P1570" s="0" t="n">
        <f aca="true">RAND()</f>
        <v>0.766003099621781</v>
      </c>
      <c r="Q1570" s="0" t="n">
        <f aca="true">RAND()</f>
        <v>0.809799362128344</v>
      </c>
      <c r="R1570" s="0" t="n">
        <f aca="false">IF($I1570&lt;&gt;$O1570,0,IF(P1570&lt;Matchup!$B$39,7,IF(P1570&lt;Matchup!$B$39+Matchup!$B$40,3,0)))</f>
        <v>0</v>
      </c>
      <c r="S1570" s="0" t="n">
        <f aca="false">IF($I1570&lt;&gt;$O1570,0,IF(Q1570&lt;Matchup!$C$39,7,IF(Q1570&lt;Matchup!$C$39+Matchup!$C$40,3,0)))</f>
        <v>0</v>
      </c>
      <c r="T1570" s="0" t="n">
        <f aca="false">I1570+R1570</f>
        <v>27</v>
      </c>
      <c r="U1570" s="0" t="n">
        <f aca="false">O1570+S1570</f>
        <v>23</v>
      </c>
      <c r="V1570" s="0" t="n">
        <f aca="false">T1570-U1570</f>
        <v>4</v>
      </c>
      <c r="W1570" s="0" t="n">
        <f aca="false">T1570+U1570</f>
        <v>50</v>
      </c>
    </row>
    <row r="1571" customFormat="false" ht="15" hidden="false" customHeight="false" outlineLevel="0" collapsed="false">
      <c r="A1571" s="0" t="n">
        <v>1568</v>
      </c>
      <c r="B1571" s="0" t="n">
        <f aca="true">NORMINV(RAND(),1,Coefficients!$B$22)</f>
        <v>1.09121426753059</v>
      </c>
      <c r="C1571" s="0" t="n">
        <f aca="true">MEDIAN(8,16,ROUND(NORMINV(RAND(),Coefficients!$B$20,Coefficients!$B$21),0))</f>
        <v>11</v>
      </c>
      <c r="D1571" s="0" t="n">
        <f aca="true">CRITBINOM($C1571,MIN(0.75,Matchup!$B$39*$B1571),RAND())</f>
        <v>3</v>
      </c>
      <c r="E1571" s="0" t="n">
        <f aca="true">CRITBINOM(D1571,Coefficients!$B$30,RAND())</f>
        <v>1</v>
      </c>
      <c r="F1571" s="0" t="n">
        <f aca="true">CRITBINOM(E1571,Coefficients!$B$31,RAND())</f>
        <v>0</v>
      </c>
      <c r="G1571" s="0" t="n">
        <f aca="true">CRITBINOM(MAX(0,D1571-E1571),1-Coefficients!$B$32,RAND())</f>
        <v>0</v>
      </c>
      <c r="H1571" s="0" t="n">
        <f aca="true">CRITBINOM(MAX(0,$C1571-D1571),MIN(0.6,Matchup!$B$40*SQRT($B1571)/(1-MIN(0.75,Matchup!$B$39*$B1571))),RAND())</f>
        <v>1</v>
      </c>
      <c r="I1571" s="0" t="n">
        <f aca="false">6*D1571+(D1571-E1571-G1571)+2*F1571+3*H1571</f>
        <v>23</v>
      </c>
      <c r="J1571" s="0" t="n">
        <f aca="true">CRITBINOM($C1571,MIN(0.75,Matchup!$C$39*$B1571),RAND())</f>
        <v>1</v>
      </c>
      <c r="K1571" s="0" t="n">
        <f aca="true">CRITBINOM(J1571,Coefficients!$B$30,RAND())</f>
        <v>0</v>
      </c>
      <c r="L1571" s="0" t="n">
        <f aca="true">CRITBINOM(K1571,Coefficients!$B$31,RAND())</f>
        <v>0</v>
      </c>
      <c r="M1571" s="0" t="n">
        <f aca="true">CRITBINOM(MAX(0,J1571-K1571),1-Coefficients!$B$32,RAND())</f>
        <v>0</v>
      </c>
      <c r="N1571" s="0" t="n">
        <f aca="true">CRITBINOM(MAX(0,$C1571-J1571),MIN(0.6,Matchup!$C$40*SQRT($B1571)/(1-MIN(0.75,Matchup!$C$39*$B1571))),RAND())</f>
        <v>2</v>
      </c>
      <c r="O1571" s="0" t="n">
        <f aca="false">6*J1571+(J1571-K1571-M1571)+2*L1571+3*N1571</f>
        <v>13</v>
      </c>
      <c r="P1571" s="0" t="n">
        <f aca="true">RAND()</f>
        <v>0.421879646115328</v>
      </c>
      <c r="Q1571" s="0" t="n">
        <f aca="true">RAND()</f>
        <v>0.528887745032708</v>
      </c>
      <c r="R1571" s="0" t="n">
        <f aca="false">IF($I1571&lt;&gt;$O1571,0,IF(P1571&lt;Matchup!$B$39,7,IF(P1571&lt;Matchup!$B$39+Matchup!$B$40,3,0)))</f>
        <v>0</v>
      </c>
      <c r="S1571" s="0" t="n">
        <f aca="false">IF($I1571&lt;&gt;$O1571,0,IF(Q1571&lt;Matchup!$C$39,7,IF(Q1571&lt;Matchup!$C$39+Matchup!$C$40,3,0)))</f>
        <v>0</v>
      </c>
      <c r="T1571" s="0" t="n">
        <f aca="false">I1571+R1571</f>
        <v>23</v>
      </c>
      <c r="U1571" s="0" t="n">
        <f aca="false">O1571+S1571</f>
        <v>13</v>
      </c>
      <c r="V1571" s="0" t="n">
        <f aca="false">T1571-U1571</f>
        <v>10</v>
      </c>
      <c r="W1571" s="0" t="n">
        <f aca="false">T1571+U1571</f>
        <v>36</v>
      </c>
    </row>
    <row r="1572" customFormat="false" ht="15" hidden="false" customHeight="false" outlineLevel="0" collapsed="false">
      <c r="A1572" s="0" t="n">
        <v>1569</v>
      </c>
      <c r="B1572" s="0" t="n">
        <f aca="true">NORMINV(RAND(),1,Coefficients!$B$22)</f>
        <v>1.06069829119612</v>
      </c>
      <c r="C1572" s="0" t="n">
        <f aca="true">MEDIAN(8,16,ROUND(NORMINV(RAND(),Coefficients!$B$20,Coefficients!$B$21),0))</f>
        <v>10</v>
      </c>
      <c r="D1572" s="0" t="n">
        <f aca="true">CRITBINOM($C1572,MIN(0.75,Matchup!$B$39*$B1572),RAND())</f>
        <v>3</v>
      </c>
      <c r="E1572" s="0" t="n">
        <f aca="true">CRITBINOM(D1572,Coefficients!$B$30,RAND())</f>
        <v>1</v>
      </c>
      <c r="F1572" s="0" t="n">
        <f aca="true">CRITBINOM(E1572,Coefficients!$B$31,RAND())</f>
        <v>0</v>
      </c>
      <c r="G1572" s="0" t="n">
        <f aca="true">CRITBINOM(MAX(0,D1572-E1572),1-Coefficients!$B$32,RAND())</f>
        <v>0</v>
      </c>
      <c r="H1572" s="0" t="n">
        <f aca="true">CRITBINOM(MAX(0,$C1572-D1572),MIN(0.6,Matchup!$B$40*SQRT($B1572)/(1-MIN(0.75,Matchup!$B$39*$B1572))),RAND())</f>
        <v>2</v>
      </c>
      <c r="I1572" s="0" t="n">
        <f aca="false">6*D1572+(D1572-E1572-G1572)+2*F1572+3*H1572</f>
        <v>26</v>
      </c>
      <c r="J1572" s="0" t="n">
        <f aca="true">CRITBINOM($C1572,MIN(0.75,Matchup!$C$39*$B1572),RAND())</f>
        <v>5</v>
      </c>
      <c r="K1572" s="0" t="n">
        <f aca="true">CRITBINOM(J1572,Coefficients!$B$30,RAND())</f>
        <v>0</v>
      </c>
      <c r="L1572" s="0" t="n">
        <f aca="true">CRITBINOM(K1572,Coefficients!$B$31,RAND())</f>
        <v>0</v>
      </c>
      <c r="M1572" s="0" t="n">
        <f aca="true">CRITBINOM(MAX(0,J1572-K1572),1-Coefficients!$B$32,RAND())</f>
        <v>0</v>
      </c>
      <c r="N1572" s="0" t="n">
        <f aca="true">CRITBINOM(MAX(0,$C1572-J1572),MIN(0.6,Matchup!$C$40*SQRT($B1572)/(1-MIN(0.75,Matchup!$C$39*$B1572))),RAND())</f>
        <v>2</v>
      </c>
      <c r="O1572" s="0" t="n">
        <f aca="false">6*J1572+(J1572-K1572-M1572)+2*L1572+3*N1572</f>
        <v>41</v>
      </c>
      <c r="P1572" s="0" t="n">
        <f aca="true">RAND()</f>
        <v>0.423294849729342</v>
      </c>
      <c r="Q1572" s="0" t="n">
        <f aca="true">RAND()</f>
        <v>0.923355029976178</v>
      </c>
      <c r="R1572" s="0" t="n">
        <f aca="false">IF($I1572&lt;&gt;$O1572,0,IF(P1572&lt;Matchup!$B$39,7,IF(P1572&lt;Matchup!$B$39+Matchup!$B$40,3,0)))</f>
        <v>0</v>
      </c>
      <c r="S1572" s="0" t="n">
        <f aca="false">IF($I1572&lt;&gt;$O1572,0,IF(Q1572&lt;Matchup!$C$39,7,IF(Q1572&lt;Matchup!$C$39+Matchup!$C$40,3,0)))</f>
        <v>0</v>
      </c>
      <c r="T1572" s="0" t="n">
        <f aca="false">I1572+R1572</f>
        <v>26</v>
      </c>
      <c r="U1572" s="0" t="n">
        <f aca="false">O1572+S1572</f>
        <v>41</v>
      </c>
      <c r="V1572" s="0" t="n">
        <f aca="false">T1572-U1572</f>
        <v>-15</v>
      </c>
      <c r="W1572" s="0" t="n">
        <f aca="false">T1572+U1572</f>
        <v>67</v>
      </c>
    </row>
    <row r="1573" customFormat="false" ht="15" hidden="false" customHeight="false" outlineLevel="0" collapsed="false">
      <c r="A1573" s="0" t="n">
        <v>1570</v>
      </c>
      <c r="B1573" s="0" t="n">
        <f aca="true">NORMINV(RAND(),1,Coefficients!$B$22)</f>
        <v>0.901576009412327</v>
      </c>
      <c r="C1573" s="0" t="n">
        <f aca="true">MEDIAN(8,16,ROUND(NORMINV(RAND(),Coefficients!$B$20,Coefficients!$B$21),0))</f>
        <v>11</v>
      </c>
      <c r="D1573" s="0" t="n">
        <f aca="true">CRITBINOM($C1573,MIN(0.75,Matchup!$B$39*$B1573),RAND())</f>
        <v>4</v>
      </c>
      <c r="E1573" s="0" t="n">
        <f aca="true">CRITBINOM(D1573,Coefficients!$B$30,RAND())</f>
        <v>1</v>
      </c>
      <c r="F1573" s="0" t="n">
        <f aca="true">CRITBINOM(E1573,Coefficients!$B$31,RAND())</f>
        <v>1</v>
      </c>
      <c r="G1573" s="0" t="n">
        <f aca="true">CRITBINOM(MAX(0,D1573-E1573),1-Coefficients!$B$32,RAND())</f>
        <v>0</v>
      </c>
      <c r="H1573" s="0" t="n">
        <f aca="true">CRITBINOM(MAX(0,$C1573-D1573),MIN(0.6,Matchup!$B$40*SQRT($B1573)/(1-MIN(0.75,Matchup!$B$39*$B1573))),RAND())</f>
        <v>1</v>
      </c>
      <c r="I1573" s="0" t="n">
        <f aca="false">6*D1573+(D1573-E1573-G1573)+2*F1573+3*H1573</f>
        <v>32</v>
      </c>
      <c r="J1573" s="0" t="n">
        <f aca="true">CRITBINOM($C1573,MIN(0.75,Matchup!$C$39*$B1573),RAND())</f>
        <v>2</v>
      </c>
      <c r="K1573" s="0" t="n">
        <f aca="true">CRITBINOM(J1573,Coefficients!$B$30,RAND())</f>
        <v>0</v>
      </c>
      <c r="L1573" s="0" t="n">
        <f aca="true">CRITBINOM(K1573,Coefficients!$B$31,RAND())</f>
        <v>0</v>
      </c>
      <c r="M1573" s="0" t="n">
        <f aca="true">CRITBINOM(MAX(0,J1573-K1573),1-Coefficients!$B$32,RAND())</f>
        <v>0</v>
      </c>
      <c r="N1573" s="0" t="n">
        <f aca="true">CRITBINOM(MAX(0,$C1573-J1573),MIN(0.6,Matchup!$C$40*SQRT($B1573)/(1-MIN(0.75,Matchup!$C$39*$B1573))),RAND())</f>
        <v>1</v>
      </c>
      <c r="O1573" s="0" t="n">
        <f aca="false">6*J1573+(J1573-K1573-M1573)+2*L1573+3*N1573</f>
        <v>17</v>
      </c>
      <c r="P1573" s="0" t="n">
        <f aca="true">RAND()</f>
        <v>0.820102013211539</v>
      </c>
      <c r="Q1573" s="0" t="n">
        <f aca="true">RAND()</f>
        <v>0.0250070854080579</v>
      </c>
      <c r="R1573" s="0" t="n">
        <f aca="false">IF($I1573&lt;&gt;$O1573,0,IF(P1573&lt;Matchup!$B$39,7,IF(P1573&lt;Matchup!$B$39+Matchup!$B$40,3,0)))</f>
        <v>0</v>
      </c>
      <c r="S1573" s="0" t="n">
        <f aca="false">IF($I1573&lt;&gt;$O1573,0,IF(Q1573&lt;Matchup!$C$39,7,IF(Q1573&lt;Matchup!$C$39+Matchup!$C$40,3,0)))</f>
        <v>0</v>
      </c>
      <c r="T1573" s="0" t="n">
        <f aca="false">I1573+R1573</f>
        <v>32</v>
      </c>
      <c r="U1573" s="0" t="n">
        <f aca="false">O1573+S1573</f>
        <v>17</v>
      </c>
      <c r="V1573" s="0" t="n">
        <f aca="false">T1573-U1573</f>
        <v>15</v>
      </c>
      <c r="W1573" s="0" t="n">
        <f aca="false">T1573+U1573</f>
        <v>49</v>
      </c>
    </row>
    <row r="1574" customFormat="false" ht="15" hidden="false" customHeight="false" outlineLevel="0" collapsed="false">
      <c r="A1574" s="0" t="n">
        <v>1571</v>
      </c>
      <c r="B1574" s="0" t="n">
        <f aca="true">NORMINV(RAND(),1,Coefficients!$B$22)</f>
        <v>1.03528936814344</v>
      </c>
      <c r="C1574" s="0" t="n">
        <f aca="true">MEDIAN(8,16,ROUND(NORMINV(RAND(),Coefficients!$B$20,Coefficients!$B$21),0))</f>
        <v>11</v>
      </c>
      <c r="D1574" s="0" t="n">
        <f aca="true">CRITBINOM($C1574,MIN(0.75,Matchup!$B$39*$B1574),RAND())</f>
        <v>6</v>
      </c>
      <c r="E1574" s="0" t="n">
        <f aca="true">CRITBINOM(D1574,Coefficients!$B$30,RAND())</f>
        <v>2</v>
      </c>
      <c r="F1574" s="0" t="n">
        <f aca="true">CRITBINOM(E1574,Coefficients!$B$31,RAND())</f>
        <v>1</v>
      </c>
      <c r="G1574" s="0" t="n">
        <f aca="true">CRITBINOM(MAX(0,D1574-E1574),1-Coefficients!$B$32,RAND())</f>
        <v>0</v>
      </c>
      <c r="H1574" s="0" t="n">
        <f aca="true">CRITBINOM(MAX(0,$C1574-D1574),MIN(0.6,Matchup!$B$40*SQRT($B1574)/(1-MIN(0.75,Matchup!$B$39*$B1574))),RAND())</f>
        <v>0</v>
      </c>
      <c r="I1574" s="0" t="n">
        <f aca="false">6*D1574+(D1574-E1574-G1574)+2*F1574+3*H1574</f>
        <v>42</v>
      </c>
      <c r="J1574" s="0" t="n">
        <f aca="true">CRITBINOM($C1574,MIN(0.75,Matchup!$C$39*$B1574),RAND())</f>
        <v>3</v>
      </c>
      <c r="K1574" s="0" t="n">
        <f aca="true">CRITBINOM(J1574,Coefficients!$B$30,RAND())</f>
        <v>0</v>
      </c>
      <c r="L1574" s="0" t="n">
        <f aca="true">CRITBINOM(K1574,Coefficients!$B$31,RAND())</f>
        <v>0</v>
      </c>
      <c r="M1574" s="0" t="n">
        <f aca="true">CRITBINOM(MAX(0,J1574-K1574),1-Coefficients!$B$32,RAND())</f>
        <v>0</v>
      </c>
      <c r="N1574" s="0" t="n">
        <f aca="true">CRITBINOM(MAX(0,$C1574-J1574),MIN(0.6,Matchup!$C$40*SQRT($B1574)/(1-MIN(0.75,Matchup!$C$39*$B1574))),RAND())</f>
        <v>2</v>
      </c>
      <c r="O1574" s="0" t="n">
        <f aca="false">6*J1574+(J1574-K1574-M1574)+2*L1574+3*N1574</f>
        <v>27</v>
      </c>
      <c r="P1574" s="0" t="n">
        <f aca="true">RAND()</f>
        <v>0.727984965156225</v>
      </c>
      <c r="Q1574" s="0" t="n">
        <f aca="true">RAND()</f>
        <v>0.467112901393805</v>
      </c>
      <c r="R1574" s="0" t="n">
        <f aca="false">IF($I1574&lt;&gt;$O1574,0,IF(P1574&lt;Matchup!$B$39,7,IF(P1574&lt;Matchup!$B$39+Matchup!$B$40,3,0)))</f>
        <v>0</v>
      </c>
      <c r="S1574" s="0" t="n">
        <f aca="false">IF($I1574&lt;&gt;$O1574,0,IF(Q1574&lt;Matchup!$C$39,7,IF(Q1574&lt;Matchup!$C$39+Matchup!$C$40,3,0)))</f>
        <v>0</v>
      </c>
      <c r="T1574" s="0" t="n">
        <f aca="false">I1574+R1574</f>
        <v>42</v>
      </c>
      <c r="U1574" s="0" t="n">
        <f aca="false">O1574+S1574</f>
        <v>27</v>
      </c>
      <c r="V1574" s="0" t="n">
        <f aca="false">T1574-U1574</f>
        <v>15</v>
      </c>
      <c r="W1574" s="0" t="n">
        <f aca="false">T1574+U1574</f>
        <v>69</v>
      </c>
    </row>
    <row r="1575" customFormat="false" ht="15" hidden="false" customHeight="false" outlineLevel="0" collapsed="false">
      <c r="A1575" s="0" t="n">
        <v>1572</v>
      </c>
      <c r="B1575" s="0" t="n">
        <f aca="true">NORMINV(RAND(),1,Coefficients!$B$22)</f>
        <v>0.999529962589284</v>
      </c>
      <c r="C1575" s="0" t="n">
        <f aca="true">MEDIAN(8,16,ROUND(NORMINV(RAND(),Coefficients!$B$20,Coefficients!$B$21),0))</f>
        <v>12</v>
      </c>
      <c r="D1575" s="0" t="n">
        <f aca="true">CRITBINOM($C1575,MIN(0.75,Matchup!$B$39*$B1575),RAND())</f>
        <v>6</v>
      </c>
      <c r="E1575" s="0" t="n">
        <f aca="true">CRITBINOM(D1575,Coefficients!$B$30,RAND())</f>
        <v>2</v>
      </c>
      <c r="F1575" s="0" t="n">
        <f aca="true">CRITBINOM(E1575,Coefficients!$B$31,RAND())</f>
        <v>1</v>
      </c>
      <c r="G1575" s="0" t="n">
        <f aca="true">CRITBINOM(MAX(0,D1575-E1575),1-Coefficients!$B$32,RAND())</f>
        <v>0</v>
      </c>
      <c r="H1575" s="0" t="n">
        <f aca="true">CRITBINOM(MAX(0,$C1575-D1575),MIN(0.6,Matchup!$B$40*SQRT($B1575)/(1-MIN(0.75,Matchup!$B$39*$B1575))),RAND())</f>
        <v>0</v>
      </c>
      <c r="I1575" s="0" t="n">
        <f aca="false">6*D1575+(D1575-E1575-G1575)+2*F1575+3*H1575</f>
        <v>42</v>
      </c>
      <c r="J1575" s="0" t="n">
        <f aca="true">CRITBINOM($C1575,MIN(0.75,Matchup!$C$39*$B1575),RAND())</f>
        <v>3</v>
      </c>
      <c r="K1575" s="0" t="n">
        <f aca="true">CRITBINOM(J1575,Coefficients!$B$30,RAND())</f>
        <v>0</v>
      </c>
      <c r="L1575" s="0" t="n">
        <f aca="true">CRITBINOM(K1575,Coefficients!$B$31,RAND())</f>
        <v>0</v>
      </c>
      <c r="M1575" s="0" t="n">
        <f aca="true">CRITBINOM(MAX(0,J1575-K1575),1-Coefficients!$B$32,RAND())</f>
        <v>0</v>
      </c>
      <c r="N1575" s="0" t="n">
        <f aca="true">CRITBINOM(MAX(0,$C1575-J1575),MIN(0.6,Matchup!$C$40*SQRT($B1575)/(1-MIN(0.75,Matchup!$C$39*$B1575))),RAND())</f>
        <v>2</v>
      </c>
      <c r="O1575" s="0" t="n">
        <f aca="false">6*J1575+(J1575-K1575-M1575)+2*L1575+3*N1575</f>
        <v>27</v>
      </c>
      <c r="P1575" s="0" t="n">
        <f aca="true">RAND()</f>
        <v>0.00834333780592846</v>
      </c>
      <c r="Q1575" s="0" t="n">
        <f aca="true">RAND()</f>
        <v>0.203353808077247</v>
      </c>
      <c r="R1575" s="0" t="n">
        <f aca="false">IF($I1575&lt;&gt;$O1575,0,IF(P1575&lt;Matchup!$B$39,7,IF(P1575&lt;Matchup!$B$39+Matchup!$B$40,3,0)))</f>
        <v>0</v>
      </c>
      <c r="S1575" s="0" t="n">
        <f aca="false">IF($I1575&lt;&gt;$O1575,0,IF(Q1575&lt;Matchup!$C$39,7,IF(Q1575&lt;Matchup!$C$39+Matchup!$C$40,3,0)))</f>
        <v>0</v>
      </c>
      <c r="T1575" s="0" t="n">
        <f aca="false">I1575+R1575</f>
        <v>42</v>
      </c>
      <c r="U1575" s="0" t="n">
        <f aca="false">O1575+S1575</f>
        <v>27</v>
      </c>
      <c r="V1575" s="0" t="n">
        <f aca="false">T1575-U1575</f>
        <v>15</v>
      </c>
      <c r="W1575" s="0" t="n">
        <f aca="false">T1575+U1575</f>
        <v>69</v>
      </c>
    </row>
    <row r="1576" customFormat="false" ht="15" hidden="false" customHeight="false" outlineLevel="0" collapsed="false">
      <c r="A1576" s="0" t="n">
        <v>1573</v>
      </c>
      <c r="B1576" s="0" t="n">
        <f aca="true">NORMINV(RAND(),1,Coefficients!$B$22)</f>
        <v>1.03779088554804</v>
      </c>
      <c r="C1576" s="0" t="n">
        <f aca="true">MEDIAN(8,16,ROUND(NORMINV(RAND(),Coefficients!$B$20,Coefficients!$B$21),0))</f>
        <v>10</v>
      </c>
      <c r="D1576" s="0" t="n">
        <f aca="true">CRITBINOM($C1576,MIN(0.75,Matchup!$B$39*$B1576),RAND())</f>
        <v>3</v>
      </c>
      <c r="E1576" s="0" t="n">
        <f aca="true">CRITBINOM(D1576,Coefficients!$B$30,RAND())</f>
        <v>0</v>
      </c>
      <c r="F1576" s="0" t="n">
        <f aca="true">CRITBINOM(E1576,Coefficients!$B$31,RAND())</f>
        <v>0</v>
      </c>
      <c r="G1576" s="0" t="n">
        <f aca="true">CRITBINOM(MAX(0,D1576-E1576),1-Coefficients!$B$32,RAND())</f>
        <v>0</v>
      </c>
      <c r="H1576" s="0" t="n">
        <f aca="true">CRITBINOM(MAX(0,$C1576-D1576),MIN(0.6,Matchup!$B$40*SQRT($B1576)/(1-MIN(0.75,Matchup!$B$39*$B1576))),RAND())</f>
        <v>1</v>
      </c>
      <c r="I1576" s="0" t="n">
        <f aca="false">6*D1576+(D1576-E1576-G1576)+2*F1576+3*H1576</f>
        <v>24</v>
      </c>
      <c r="J1576" s="0" t="n">
        <f aca="true">CRITBINOM($C1576,MIN(0.75,Matchup!$C$39*$B1576),RAND())</f>
        <v>3</v>
      </c>
      <c r="K1576" s="0" t="n">
        <f aca="true">CRITBINOM(J1576,Coefficients!$B$30,RAND())</f>
        <v>0</v>
      </c>
      <c r="L1576" s="0" t="n">
        <f aca="true">CRITBINOM(K1576,Coefficients!$B$31,RAND())</f>
        <v>0</v>
      </c>
      <c r="M1576" s="0" t="n">
        <f aca="true">CRITBINOM(MAX(0,J1576-K1576),1-Coefficients!$B$32,RAND())</f>
        <v>0</v>
      </c>
      <c r="N1576" s="0" t="n">
        <f aca="true">CRITBINOM(MAX(0,$C1576-J1576),MIN(0.6,Matchup!$C$40*SQRT($B1576)/(1-MIN(0.75,Matchup!$C$39*$B1576))),RAND())</f>
        <v>1</v>
      </c>
      <c r="O1576" s="0" t="n">
        <f aca="false">6*J1576+(J1576-K1576-M1576)+2*L1576+3*N1576</f>
        <v>24</v>
      </c>
      <c r="P1576" s="0" t="n">
        <f aca="true">RAND()</f>
        <v>0.890514198453773</v>
      </c>
      <c r="Q1576" s="0" t="n">
        <f aca="true">RAND()</f>
        <v>0.504136200910998</v>
      </c>
      <c r="R1576" s="0" t="n">
        <f aca="false">IF($I1576&lt;&gt;$O1576,0,IF(P1576&lt;Matchup!$B$39,7,IF(P1576&lt;Matchup!$B$39+Matchup!$B$40,3,0)))</f>
        <v>0</v>
      </c>
      <c r="S1576" s="0" t="n">
        <f aca="false">IF($I1576&lt;&gt;$O1576,0,IF(Q1576&lt;Matchup!$C$39,7,IF(Q1576&lt;Matchup!$C$39+Matchup!$C$40,3,0)))</f>
        <v>0</v>
      </c>
      <c r="T1576" s="0" t="n">
        <f aca="false">I1576+R1576</f>
        <v>24</v>
      </c>
      <c r="U1576" s="0" t="n">
        <f aca="false">O1576+S1576</f>
        <v>24</v>
      </c>
      <c r="V1576" s="0" t="n">
        <f aca="false">T1576-U1576</f>
        <v>0</v>
      </c>
      <c r="W1576" s="0" t="n">
        <f aca="false">T1576+U1576</f>
        <v>48</v>
      </c>
    </row>
    <row r="1577" customFormat="false" ht="15" hidden="false" customHeight="false" outlineLevel="0" collapsed="false">
      <c r="A1577" s="0" t="n">
        <v>1574</v>
      </c>
      <c r="B1577" s="0" t="n">
        <f aca="true">NORMINV(RAND(),1,Coefficients!$B$22)</f>
        <v>1.1205423824697</v>
      </c>
      <c r="C1577" s="0" t="n">
        <f aca="true">MEDIAN(8,16,ROUND(NORMINV(RAND(),Coefficients!$B$20,Coefficients!$B$21),0))</f>
        <v>13</v>
      </c>
      <c r="D1577" s="0" t="n">
        <f aca="true">CRITBINOM($C1577,MIN(0.75,Matchup!$B$39*$B1577),RAND())</f>
        <v>6</v>
      </c>
      <c r="E1577" s="0" t="n">
        <f aca="true">CRITBINOM(D1577,Coefficients!$B$30,RAND())</f>
        <v>0</v>
      </c>
      <c r="F1577" s="0" t="n">
        <f aca="true">CRITBINOM(E1577,Coefficients!$B$31,RAND())</f>
        <v>0</v>
      </c>
      <c r="G1577" s="0" t="n">
        <f aca="true">CRITBINOM(MAX(0,D1577-E1577),1-Coefficients!$B$32,RAND())</f>
        <v>0</v>
      </c>
      <c r="H1577" s="0" t="n">
        <f aca="true">CRITBINOM(MAX(0,$C1577-D1577),MIN(0.6,Matchup!$B$40*SQRT($B1577)/(1-MIN(0.75,Matchup!$B$39*$B1577))),RAND())</f>
        <v>1</v>
      </c>
      <c r="I1577" s="0" t="n">
        <f aca="false">6*D1577+(D1577-E1577-G1577)+2*F1577+3*H1577</f>
        <v>45</v>
      </c>
      <c r="J1577" s="0" t="n">
        <f aca="true">CRITBINOM($C1577,MIN(0.75,Matchup!$C$39*$B1577),RAND())</f>
        <v>5</v>
      </c>
      <c r="K1577" s="0" t="n">
        <f aca="true">CRITBINOM(J1577,Coefficients!$B$30,RAND())</f>
        <v>1</v>
      </c>
      <c r="L1577" s="0" t="n">
        <f aca="true">CRITBINOM(K1577,Coefficients!$B$31,RAND())</f>
        <v>1</v>
      </c>
      <c r="M1577" s="0" t="n">
        <f aca="true">CRITBINOM(MAX(0,J1577-K1577),1-Coefficients!$B$32,RAND())</f>
        <v>0</v>
      </c>
      <c r="N1577" s="0" t="n">
        <f aca="true">CRITBINOM(MAX(0,$C1577-J1577),MIN(0.6,Matchup!$C$40*SQRT($B1577)/(1-MIN(0.75,Matchup!$C$39*$B1577))),RAND())</f>
        <v>3</v>
      </c>
      <c r="O1577" s="0" t="n">
        <f aca="false">6*J1577+(J1577-K1577-M1577)+2*L1577+3*N1577</f>
        <v>45</v>
      </c>
      <c r="P1577" s="0" t="n">
        <f aca="true">RAND()</f>
        <v>0.206686435631219</v>
      </c>
      <c r="Q1577" s="0" t="n">
        <f aca="true">RAND()</f>
        <v>0.624345871948655</v>
      </c>
      <c r="R1577" s="0" t="n">
        <f aca="false">IF($I1577&lt;&gt;$O1577,0,IF(P1577&lt;Matchup!$B$39,7,IF(P1577&lt;Matchup!$B$39+Matchup!$B$40,3,0)))</f>
        <v>7</v>
      </c>
      <c r="S1577" s="0" t="n">
        <f aca="false">IF($I1577&lt;&gt;$O1577,0,IF(Q1577&lt;Matchup!$C$39,7,IF(Q1577&lt;Matchup!$C$39+Matchup!$C$40,3,0)))</f>
        <v>0</v>
      </c>
      <c r="T1577" s="0" t="n">
        <f aca="false">I1577+R1577</f>
        <v>52</v>
      </c>
      <c r="U1577" s="0" t="n">
        <f aca="false">O1577+S1577</f>
        <v>45</v>
      </c>
      <c r="V1577" s="0" t="n">
        <f aca="false">T1577-U1577</f>
        <v>7</v>
      </c>
      <c r="W1577" s="0" t="n">
        <f aca="false">T1577+U1577</f>
        <v>97</v>
      </c>
    </row>
    <row r="1578" customFormat="false" ht="15" hidden="false" customHeight="false" outlineLevel="0" collapsed="false">
      <c r="A1578" s="0" t="n">
        <v>1575</v>
      </c>
      <c r="B1578" s="0" t="n">
        <f aca="true">NORMINV(RAND(),1,Coefficients!$B$22)</f>
        <v>1.07385048965114</v>
      </c>
      <c r="C1578" s="0" t="n">
        <f aca="true">MEDIAN(8,16,ROUND(NORMINV(RAND(),Coefficients!$B$20,Coefficients!$B$21),0))</f>
        <v>12</v>
      </c>
      <c r="D1578" s="0" t="n">
        <f aca="true">CRITBINOM($C1578,MIN(0.75,Matchup!$B$39*$B1578),RAND())</f>
        <v>4</v>
      </c>
      <c r="E1578" s="0" t="n">
        <f aca="true">CRITBINOM(D1578,Coefficients!$B$30,RAND())</f>
        <v>0</v>
      </c>
      <c r="F1578" s="0" t="n">
        <f aca="true">CRITBINOM(E1578,Coefficients!$B$31,RAND())</f>
        <v>0</v>
      </c>
      <c r="G1578" s="0" t="n">
        <f aca="true">CRITBINOM(MAX(0,D1578-E1578),1-Coefficients!$B$32,RAND())</f>
        <v>1</v>
      </c>
      <c r="H1578" s="0" t="n">
        <f aca="true">CRITBINOM(MAX(0,$C1578-D1578),MIN(0.6,Matchup!$B$40*SQRT($B1578)/(1-MIN(0.75,Matchup!$B$39*$B1578))),RAND())</f>
        <v>1</v>
      </c>
      <c r="I1578" s="0" t="n">
        <f aca="false">6*D1578+(D1578-E1578-G1578)+2*F1578+3*H1578</f>
        <v>30</v>
      </c>
      <c r="J1578" s="0" t="n">
        <f aca="true">CRITBINOM($C1578,MIN(0.75,Matchup!$C$39*$B1578),RAND())</f>
        <v>3</v>
      </c>
      <c r="K1578" s="0" t="n">
        <f aca="true">CRITBINOM(J1578,Coefficients!$B$30,RAND())</f>
        <v>1</v>
      </c>
      <c r="L1578" s="0" t="n">
        <f aca="true">CRITBINOM(K1578,Coefficients!$B$31,RAND())</f>
        <v>1</v>
      </c>
      <c r="M1578" s="0" t="n">
        <f aca="true">CRITBINOM(MAX(0,J1578-K1578),1-Coefficients!$B$32,RAND())</f>
        <v>0</v>
      </c>
      <c r="N1578" s="0" t="n">
        <f aca="true">CRITBINOM(MAX(0,$C1578-J1578),MIN(0.6,Matchup!$C$40*SQRT($B1578)/(1-MIN(0.75,Matchup!$C$39*$B1578))),RAND())</f>
        <v>1</v>
      </c>
      <c r="O1578" s="0" t="n">
        <f aca="false">6*J1578+(J1578-K1578-M1578)+2*L1578+3*N1578</f>
        <v>25</v>
      </c>
      <c r="P1578" s="0" t="n">
        <f aca="true">RAND()</f>
        <v>0.641073994877634</v>
      </c>
      <c r="Q1578" s="0" t="n">
        <f aca="true">RAND()</f>
        <v>0.387829481211785</v>
      </c>
      <c r="R1578" s="0" t="n">
        <f aca="false">IF($I1578&lt;&gt;$O1578,0,IF(P1578&lt;Matchup!$B$39,7,IF(P1578&lt;Matchup!$B$39+Matchup!$B$40,3,0)))</f>
        <v>0</v>
      </c>
      <c r="S1578" s="0" t="n">
        <f aca="false">IF($I1578&lt;&gt;$O1578,0,IF(Q1578&lt;Matchup!$C$39,7,IF(Q1578&lt;Matchup!$C$39+Matchup!$C$40,3,0)))</f>
        <v>0</v>
      </c>
      <c r="T1578" s="0" t="n">
        <f aca="false">I1578+R1578</f>
        <v>30</v>
      </c>
      <c r="U1578" s="0" t="n">
        <f aca="false">O1578+S1578</f>
        <v>25</v>
      </c>
      <c r="V1578" s="0" t="n">
        <f aca="false">T1578-U1578</f>
        <v>5</v>
      </c>
      <c r="W1578" s="0" t="n">
        <f aca="false">T1578+U1578</f>
        <v>55</v>
      </c>
    </row>
    <row r="1579" customFormat="false" ht="15" hidden="false" customHeight="false" outlineLevel="0" collapsed="false">
      <c r="A1579" s="0" t="n">
        <v>1576</v>
      </c>
      <c r="B1579" s="0" t="n">
        <f aca="true">NORMINV(RAND(),1,Coefficients!$B$22)</f>
        <v>0.954978037871292</v>
      </c>
      <c r="C1579" s="0" t="n">
        <f aca="true">MEDIAN(8,16,ROUND(NORMINV(RAND(),Coefficients!$B$20,Coefficients!$B$21),0))</f>
        <v>11</v>
      </c>
      <c r="D1579" s="0" t="n">
        <f aca="true">CRITBINOM($C1579,MIN(0.75,Matchup!$B$39*$B1579),RAND())</f>
        <v>4</v>
      </c>
      <c r="E1579" s="0" t="n">
        <f aca="true">CRITBINOM(D1579,Coefficients!$B$30,RAND())</f>
        <v>0</v>
      </c>
      <c r="F1579" s="0" t="n">
        <f aca="true">CRITBINOM(E1579,Coefficients!$B$31,RAND())</f>
        <v>0</v>
      </c>
      <c r="G1579" s="0" t="n">
        <f aca="true">CRITBINOM(MAX(0,D1579-E1579),1-Coefficients!$B$32,RAND())</f>
        <v>0</v>
      </c>
      <c r="H1579" s="0" t="n">
        <f aca="true">CRITBINOM(MAX(0,$C1579-D1579),MIN(0.6,Matchup!$B$40*SQRT($B1579)/(1-MIN(0.75,Matchup!$B$39*$B1579))),RAND())</f>
        <v>0</v>
      </c>
      <c r="I1579" s="0" t="n">
        <f aca="false">6*D1579+(D1579-E1579-G1579)+2*F1579+3*H1579</f>
        <v>28</v>
      </c>
      <c r="J1579" s="0" t="n">
        <f aca="true">CRITBINOM($C1579,MIN(0.75,Matchup!$C$39*$B1579),RAND())</f>
        <v>2</v>
      </c>
      <c r="K1579" s="0" t="n">
        <f aca="true">CRITBINOM(J1579,Coefficients!$B$30,RAND())</f>
        <v>0</v>
      </c>
      <c r="L1579" s="0" t="n">
        <f aca="true">CRITBINOM(K1579,Coefficients!$B$31,RAND())</f>
        <v>0</v>
      </c>
      <c r="M1579" s="0" t="n">
        <f aca="true">CRITBINOM(MAX(0,J1579-K1579),1-Coefficients!$B$32,RAND())</f>
        <v>1</v>
      </c>
      <c r="N1579" s="0" t="n">
        <f aca="true">CRITBINOM(MAX(0,$C1579-J1579),MIN(0.6,Matchup!$C$40*SQRT($B1579)/(1-MIN(0.75,Matchup!$C$39*$B1579))),RAND())</f>
        <v>2</v>
      </c>
      <c r="O1579" s="0" t="n">
        <f aca="false">6*J1579+(J1579-K1579-M1579)+2*L1579+3*N1579</f>
        <v>19</v>
      </c>
      <c r="P1579" s="0" t="n">
        <f aca="true">RAND()</f>
        <v>0.284914500965738</v>
      </c>
      <c r="Q1579" s="0" t="n">
        <f aca="true">RAND()</f>
        <v>0.419254569054312</v>
      </c>
      <c r="R1579" s="0" t="n">
        <f aca="false">IF($I1579&lt;&gt;$O1579,0,IF(P1579&lt;Matchup!$B$39,7,IF(P1579&lt;Matchup!$B$39+Matchup!$B$40,3,0)))</f>
        <v>0</v>
      </c>
      <c r="S1579" s="0" t="n">
        <f aca="false">IF($I1579&lt;&gt;$O1579,0,IF(Q1579&lt;Matchup!$C$39,7,IF(Q1579&lt;Matchup!$C$39+Matchup!$C$40,3,0)))</f>
        <v>0</v>
      </c>
      <c r="T1579" s="0" t="n">
        <f aca="false">I1579+R1579</f>
        <v>28</v>
      </c>
      <c r="U1579" s="0" t="n">
        <f aca="false">O1579+S1579</f>
        <v>19</v>
      </c>
      <c r="V1579" s="0" t="n">
        <f aca="false">T1579-U1579</f>
        <v>9</v>
      </c>
      <c r="W1579" s="0" t="n">
        <f aca="false">T1579+U1579</f>
        <v>47</v>
      </c>
    </row>
    <row r="1580" customFormat="false" ht="15" hidden="false" customHeight="false" outlineLevel="0" collapsed="false">
      <c r="A1580" s="0" t="n">
        <v>1577</v>
      </c>
      <c r="B1580" s="0" t="n">
        <f aca="true">NORMINV(RAND(),1,Coefficients!$B$22)</f>
        <v>0.955373864523407</v>
      </c>
      <c r="C1580" s="0" t="n">
        <f aca="true">MEDIAN(8,16,ROUND(NORMINV(RAND(),Coefficients!$B$20,Coefficients!$B$21),0))</f>
        <v>9</v>
      </c>
      <c r="D1580" s="0" t="n">
        <f aca="true">CRITBINOM($C1580,MIN(0.75,Matchup!$B$39*$B1580),RAND())</f>
        <v>4</v>
      </c>
      <c r="E1580" s="0" t="n">
        <f aca="true">CRITBINOM(D1580,Coefficients!$B$30,RAND())</f>
        <v>0</v>
      </c>
      <c r="F1580" s="0" t="n">
        <f aca="true">CRITBINOM(E1580,Coefficients!$B$31,RAND())</f>
        <v>0</v>
      </c>
      <c r="G1580" s="0" t="n">
        <f aca="true">CRITBINOM(MAX(0,D1580-E1580),1-Coefficients!$B$32,RAND())</f>
        <v>1</v>
      </c>
      <c r="H1580" s="0" t="n">
        <f aca="true">CRITBINOM(MAX(0,$C1580-D1580),MIN(0.6,Matchup!$B$40*SQRT($B1580)/(1-MIN(0.75,Matchup!$B$39*$B1580))),RAND())</f>
        <v>3</v>
      </c>
      <c r="I1580" s="0" t="n">
        <f aca="false">6*D1580+(D1580-E1580-G1580)+2*F1580+3*H1580</f>
        <v>36</v>
      </c>
      <c r="J1580" s="0" t="n">
        <f aca="true">CRITBINOM($C1580,MIN(0.75,Matchup!$C$39*$B1580),RAND())</f>
        <v>1</v>
      </c>
      <c r="K1580" s="0" t="n">
        <f aca="true">CRITBINOM(J1580,Coefficients!$B$30,RAND())</f>
        <v>0</v>
      </c>
      <c r="L1580" s="0" t="n">
        <f aca="true">CRITBINOM(K1580,Coefficients!$B$31,RAND())</f>
        <v>0</v>
      </c>
      <c r="M1580" s="0" t="n">
        <f aca="true">CRITBINOM(MAX(0,J1580-K1580),1-Coefficients!$B$32,RAND())</f>
        <v>0</v>
      </c>
      <c r="N1580" s="0" t="n">
        <f aca="true">CRITBINOM(MAX(0,$C1580-J1580),MIN(0.6,Matchup!$C$40*SQRT($B1580)/(1-MIN(0.75,Matchup!$C$39*$B1580))),RAND())</f>
        <v>0</v>
      </c>
      <c r="O1580" s="0" t="n">
        <f aca="false">6*J1580+(J1580-K1580-M1580)+2*L1580+3*N1580</f>
        <v>7</v>
      </c>
      <c r="P1580" s="0" t="n">
        <f aca="true">RAND()</f>
        <v>0.651878815270262</v>
      </c>
      <c r="Q1580" s="0" t="n">
        <f aca="true">RAND()</f>
        <v>0.114473534869497</v>
      </c>
      <c r="R1580" s="0" t="n">
        <f aca="false">IF($I1580&lt;&gt;$O1580,0,IF(P1580&lt;Matchup!$B$39,7,IF(P1580&lt;Matchup!$B$39+Matchup!$B$40,3,0)))</f>
        <v>0</v>
      </c>
      <c r="S1580" s="0" t="n">
        <f aca="false">IF($I1580&lt;&gt;$O1580,0,IF(Q1580&lt;Matchup!$C$39,7,IF(Q1580&lt;Matchup!$C$39+Matchup!$C$40,3,0)))</f>
        <v>0</v>
      </c>
      <c r="T1580" s="0" t="n">
        <f aca="false">I1580+R1580</f>
        <v>36</v>
      </c>
      <c r="U1580" s="0" t="n">
        <f aca="false">O1580+S1580</f>
        <v>7</v>
      </c>
      <c r="V1580" s="0" t="n">
        <f aca="false">T1580-U1580</f>
        <v>29</v>
      </c>
      <c r="W1580" s="0" t="n">
        <f aca="false">T1580+U1580</f>
        <v>43</v>
      </c>
    </row>
    <row r="1581" customFormat="false" ht="15" hidden="false" customHeight="false" outlineLevel="0" collapsed="false">
      <c r="A1581" s="0" t="n">
        <v>1578</v>
      </c>
      <c r="B1581" s="0" t="n">
        <f aca="true">NORMINV(RAND(),1,Coefficients!$B$22)</f>
        <v>0.959932200864753</v>
      </c>
      <c r="C1581" s="0" t="n">
        <f aca="true">MEDIAN(8,16,ROUND(NORMINV(RAND(),Coefficients!$B$20,Coefficients!$B$21),0))</f>
        <v>12</v>
      </c>
      <c r="D1581" s="0" t="n">
        <f aca="true">CRITBINOM($C1581,MIN(0.75,Matchup!$B$39*$B1581),RAND())</f>
        <v>0</v>
      </c>
      <c r="E1581" s="0" t="n">
        <f aca="true">CRITBINOM(D1581,Coefficients!$B$30,RAND())</f>
        <v>0</v>
      </c>
      <c r="F1581" s="0" t="n">
        <f aca="true">CRITBINOM(E1581,Coefficients!$B$31,RAND())</f>
        <v>0</v>
      </c>
      <c r="G1581" s="0" t="n">
        <f aca="true">CRITBINOM(MAX(0,D1581-E1581),1-Coefficients!$B$32,RAND())</f>
        <v>0</v>
      </c>
      <c r="H1581" s="0" t="n">
        <f aca="true">CRITBINOM(MAX(0,$C1581-D1581),MIN(0.6,Matchup!$B$40*SQRT($B1581)/(1-MIN(0.75,Matchup!$B$39*$B1581))),RAND())</f>
        <v>3</v>
      </c>
      <c r="I1581" s="0" t="n">
        <f aca="false">6*D1581+(D1581-E1581-G1581)+2*F1581+3*H1581</f>
        <v>9</v>
      </c>
      <c r="J1581" s="0" t="n">
        <f aca="true">CRITBINOM($C1581,MIN(0.75,Matchup!$C$39*$B1581),RAND())</f>
        <v>2</v>
      </c>
      <c r="K1581" s="0" t="n">
        <f aca="true">CRITBINOM(J1581,Coefficients!$B$30,RAND())</f>
        <v>0</v>
      </c>
      <c r="L1581" s="0" t="n">
        <f aca="true">CRITBINOM(K1581,Coefficients!$B$31,RAND())</f>
        <v>0</v>
      </c>
      <c r="M1581" s="0" t="n">
        <f aca="true">CRITBINOM(MAX(0,J1581-K1581),1-Coefficients!$B$32,RAND())</f>
        <v>0</v>
      </c>
      <c r="N1581" s="0" t="n">
        <f aca="true">CRITBINOM(MAX(0,$C1581-J1581),MIN(0.6,Matchup!$C$40*SQRT($B1581)/(1-MIN(0.75,Matchup!$C$39*$B1581))),RAND())</f>
        <v>1</v>
      </c>
      <c r="O1581" s="0" t="n">
        <f aca="false">6*J1581+(J1581-K1581-M1581)+2*L1581+3*N1581</f>
        <v>17</v>
      </c>
      <c r="P1581" s="0" t="n">
        <f aca="true">RAND()</f>
        <v>0.606425975068958</v>
      </c>
      <c r="Q1581" s="0" t="n">
        <f aca="true">RAND()</f>
        <v>0.203711760990347</v>
      </c>
      <c r="R1581" s="0" t="n">
        <f aca="false">IF($I1581&lt;&gt;$O1581,0,IF(P1581&lt;Matchup!$B$39,7,IF(P1581&lt;Matchup!$B$39+Matchup!$B$40,3,0)))</f>
        <v>0</v>
      </c>
      <c r="S1581" s="0" t="n">
        <f aca="false">IF($I1581&lt;&gt;$O1581,0,IF(Q1581&lt;Matchup!$C$39,7,IF(Q1581&lt;Matchup!$C$39+Matchup!$C$40,3,0)))</f>
        <v>0</v>
      </c>
      <c r="T1581" s="0" t="n">
        <f aca="false">I1581+R1581</f>
        <v>9</v>
      </c>
      <c r="U1581" s="0" t="n">
        <f aca="false">O1581+S1581</f>
        <v>17</v>
      </c>
      <c r="V1581" s="0" t="n">
        <f aca="false">T1581-U1581</f>
        <v>-8</v>
      </c>
      <c r="W1581" s="0" t="n">
        <f aca="false">T1581+U1581</f>
        <v>26</v>
      </c>
    </row>
    <row r="1582" customFormat="false" ht="15" hidden="false" customHeight="false" outlineLevel="0" collapsed="false">
      <c r="A1582" s="0" t="n">
        <v>1579</v>
      </c>
      <c r="B1582" s="0" t="n">
        <f aca="true">NORMINV(RAND(),1,Coefficients!$B$22)</f>
        <v>0.986314592682732</v>
      </c>
      <c r="C1582" s="0" t="n">
        <f aca="true">MEDIAN(8,16,ROUND(NORMINV(RAND(),Coefficients!$B$20,Coefficients!$B$21),0))</f>
        <v>11</v>
      </c>
      <c r="D1582" s="0" t="n">
        <f aca="true">CRITBINOM($C1582,MIN(0.75,Matchup!$B$39*$B1582),RAND())</f>
        <v>3</v>
      </c>
      <c r="E1582" s="0" t="n">
        <f aca="true">CRITBINOM(D1582,Coefficients!$B$30,RAND())</f>
        <v>0</v>
      </c>
      <c r="F1582" s="0" t="n">
        <f aca="true">CRITBINOM(E1582,Coefficients!$B$31,RAND())</f>
        <v>0</v>
      </c>
      <c r="G1582" s="0" t="n">
        <f aca="true">CRITBINOM(MAX(0,D1582-E1582),1-Coefficients!$B$32,RAND())</f>
        <v>0</v>
      </c>
      <c r="H1582" s="0" t="n">
        <f aca="true">CRITBINOM(MAX(0,$C1582-D1582),MIN(0.6,Matchup!$B$40*SQRT($B1582)/(1-MIN(0.75,Matchup!$B$39*$B1582))),RAND())</f>
        <v>2</v>
      </c>
      <c r="I1582" s="0" t="n">
        <f aca="false">6*D1582+(D1582-E1582-G1582)+2*F1582+3*H1582</f>
        <v>27</v>
      </c>
      <c r="J1582" s="0" t="n">
        <f aca="true">CRITBINOM($C1582,MIN(0.75,Matchup!$C$39*$B1582),RAND())</f>
        <v>3</v>
      </c>
      <c r="K1582" s="0" t="n">
        <f aca="true">CRITBINOM(J1582,Coefficients!$B$30,RAND())</f>
        <v>1</v>
      </c>
      <c r="L1582" s="0" t="n">
        <f aca="true">CRITBINOM(K1582,Coefficients!$B$31,RAND())</f>
        <v>0</v>
      </c>
      <c r="M1582" s="0" t="n">
        <f aca="true">CRITBINOM(MAX(0,J1582-K1582),1-Coefficients!$B$32,RAND())</f>
        <v>0</v>
      </c>
      <c r="N1582" s="0" t="n">
        <f aca="true">CRITBINOM(MAX(0,$C1582-J1582),MIN(0.6,Matchup!$C$40*SQRT($B1582)/(1-MIN(0.75,Matchup!$C$39*$B1582))),RAND())</f>
        <v>3</v>
      </c>
      <c r="O1582" s="0" t="n">
        <f aca="false">6*J1582+(J1582-K1582-M1582)+2*L1582+3*N1582</f>
        <v>29</v>
      </c>
      <c r="P1582" s="0" t="n">
        <f aca="true">RAND()</f>
        <v>0.0936020298973548</v>
      </c>
      <c r="Q1582" s="0" t="n">
        <f aca="true">RAND()</f>
        <v>0.331861075840094</v>
      </c>
      <c r="R1582" s="0" t="n">
        <f aca="false">IF($I1582&lt;&gt;$O1582,0,IF(P1582&lt;Matchup!$B$39,7,IF(P1582&lt;Matchup!$B$39+Matchup!$B$40,3,0)))</f>
        <v>0</v>
      </c>
      <c r="S1582" s="0" t="n">
        <f aca="false">IF($I1582&lt;&gt;$O1582,0,IF(Q1582&lt;Matchup!$C$39,7,IF(Q1582&lt;Matchup!$C$39+Matchup!$C$40,3,0)))</f>
        <v>0</v>
      </c>
      <c r="T1582" s="0" t="n">
        <f aca="false">I1582+R1582</f>
        <v>27</v>
      </c>
      <c r="U1582" s="0" t="n">
        <f aca="false">O1582+S1582</f>
        <v>29</v>
      </c>
      <c r="V1582" s="0" t="n">
        <f aca="false">T1582-U1582</f>
        <v>-2</v>
      </c>
      <c r="W1582" s="0" t="n">
        <f aca="false">T1582+U1582</f>
        <v>56</v>
      </c>
    </row>
    <row r="1583" customFormat="false" ht="15" hidden="false" customHeight="false" outlineLevel="0" collapsed="false">
      <c r="A1583" s="0" t="n">
        <v>1580</v>
      </c>
      <c r="B1583" s="0" t="n">
        <f aca="true">NORMINV(RAND(),1,Coefficients!$B$22)</f>
        <v>0.987639308045241</v>
      </c>
      <c r="C1583" s="0" t="n">
        <f aca="true">MEDIAN(8,16,ROUND(NORMINV(RAND(),Coefficients!$B$20,Coefficients!$B$21),0))</f>
        <v>11</v>
      </c>
      <c r="D1583" s="0" t="n">
        <f aca="true">CRITBINOM($C1583,MIN(0.75,Matchup!$B$39*$B1583),RAND())</f>
        <v>5</v>
      </c>
      <c r="E1583" s="0" t="n">
        <f aca="true">CRITBINOM(D1583,Coefficients!$B$30,RAND())</f>
        <v>0</v>
      </c>
      <c r="F1583" s="0" t="n">
        <f aca="true">CRITBINOM(E1583,Coefficients!$B$31,RAND())</f>
        <v>0</v>
      </c>
      <c r="G1583" s="0" t="n">
        <f aca="true">CRITBINOM(MAX(0,D1583-E1583),1-Coefficients!$B$32,RAND())</f>
        <v>0</v>
      </c>
      <c r="H1583" s="0" t="n">
        <f aca="true">CRITBINOM(MAX(0,$C1583-D1583),MIN(0.6,Matchup!$B$40*SQRT($B1583)/(1-MIN(0.75,Matchup!$B$39*$B1583))),RAND())</f>
        <v>0</v>
      </c>
      <c r="I1583" s="0" t="n">
        <f aca="false">6*D1583+(D1583-E1583-G1583)+2*F1583+3*H1583</f>
        <v>35</v>
      </c>
      <c r="J1583" s="0" t="n">
        <f aca="true">CRITBINOM($C1583,MIN(0.75,Matchup!$C$39*$B1583),RAND())</f>
        <v>4</v>
      </c>
      <c r="K1583" s="0" t="n">
        <f aca="true">CRITBINOM(J1583,Coefficients!$B$30,RAND())</f>
        <v>1</v>
      </c>
      <c r="L1583" s="0" t="n">
        <f aca="true">CRITBINOM(K1583,Coefficients!$B$31,RAND())</f>
        <v>0</v>
      </c>
      <c r="M1583" s="0" t="n">
        <f aca="true">CRITBINOM(MAX(0,J1583-K1583),1-Coefficients!$B$32,RAND())</f>
        <v>0</v>
      </c>
      <c r="N1583" s="0" t="n">
        <f aca="true">CRITBINOM(MAX(0,$C1583-J1583),MIN(0.6,Matchup!$C$40*SQRT($B1583)/(1-MIN(0.75,Matchup!$C$39*$B1583))),RAND())</f>
        <v>0</v>
      </c>
      <c r="O1583" s="0" t="n">
        <f aca="false">6*J1583+(J1583-K1583-M1583)+2*L1583+3*N1583</f>
        <v>27</v>
      </c>
      <c r="P1583" s="0" t="n">
        <f aca="true">RAND()</f>
        <v>0.683000503450505</v>
      </c>
      <c r="Q1583" s="0" t="n">
        <f aca="true">RAND()</f>
        <v>0.959565020944364</v>
      </c>
      <c r="R1583" s="0" t="n">
        <f aca="false">IF($I1583&lt;&gt;$O1583,0,IF(P1583&lt;Matchup!$B$39,7,IF(P1583&lt;Matchup!$B$39+Matchup!$B$40,3,0)))</f>
        <v>0</v>
      </c>
      <c r="S1583" s="0" t="n">
        <f aca="false">IF($I1583&lt;&gt;$O1583,0,IF(Q1583&lt;Matchup!$C$39,7,IF(Q1583&lt;Matchup!$C$39+Matchup!$C$40,3,0)))</f>
        <v>0</v>
      </c>
      <c r="T1583" s="0" t="n">
        <f aca="false">I1583+R1583</f>
        <v>35</v>
      </c>
      <c r="U1583" s="0" t="n">
        <f aca="false">O1583+S1583</f>
        <v>27</v>
      </c>
      <c r="V1583" s="0" t="n">
        <f aca="false">T1583-U1583</f>
        <v>8</v>
      </c>
      <c r="W1583" s="0" t="n">
        <f aca="false">T1583+U1583</f>
        <v>62</v>
      </c>
    </row>
    <row r="1584" customFormat="false" ht="15" hidden="false" customHeight="false" outlineLevel="0" collapsed="false">
      <c r="A1584" s="0" t="n">
        <v>1581</v>
      </c>
      <c r="B1584" s="0" t="n">
        <f aca="true">NORMINV(RAND(),1,Coefficients!$B$22)</f>
        <v>0.991790580458759</v>
      </c>
      <c r="C1584" s="0" t="n">
        <f aca="true">MEDIAN(8,16,ROUND(NORMINV(RAND(),Coefficients!$B$20,Coefficients!$B$21),0))</f>
        <v>9</v>
      </c>
      <c r="D1584" s="0" t="n">
        <f aca="true">CRITBINOM($C1584,MIN(0.75,Matchup!$B$39*$B1584),RAND())</f>
        <v>3</v>
      </c>
      <c r="E1584" s="0" t="n">
        <f aca="true">CRITBINOM(D1584,Coefficients!$B$30,RAND())</f>
        <v>1</v>
      </c>
      <c r="F1584" s="0" t="n">
        <f aca="true">CRITBINOM(E1584,Coefficients!$B$31,RAND())</f>
        <v>1</v>
      </c>
      <c r="G1584" s="0" t="n">
        <f aca="true">CRITBINOM(MAX(0,D1584-E1584),1-Coefficients!$B$32,RAND())</f>
        <v>0</v>
      </c>
      <c r="H1584" s="0" t="n">
        <f aca="true">CRITBINOM(MAX(0,$C1584-D1584),MIN(0.6,Matchup!$B$40*SQRT($B1584)/(1-MIN(0.75,Matchup!$B$39*$B1584))),RAND())</f>
        <v>1</v>
      </c>
      <c r="I1584" s="0" t="n">
        <f aca="false">6*D1584+(D1584-E1584-G1584)+2*F1584+3*H1584</f>
        <v>25</v>
      </c>
      <c r="J1584" s="0" t="n">
        <f aca="true">CRITBINOM($C1584,MIN(0.75,Matchup!$C$39*$B1584),RAND())</f>
        <v>2</v>
      </c>
      <c r="K1584" s="0" t="n">
        <f aca="true">CRITBINOM(J1584,Coefficients!$B$30,RAND())</f>
        <v>1</v>
      </c>
      <c r="L1584" s="0" t="n">
        <f aca="true">CRITBINOM(K1584,Coefficients!$B$31,RAND())</f>
        <v>1</v>
      </c>
      <c r="M1584" s="0" t="n">
        <f aca="true">CRITBINOM(MAX(0,J1584-K1584),1-Coefficients!$B$32,RAND())</f>
        <v>0</v>
      </c>
      <c r="N1584" s="0" t="n">
        <f aca="true">CRITBINOM(MAX(0,$C1584-J1584),MIN(0.6,Matchup!$C$40*SQRT($B1584)/(1-MIN(0.75,Matchup!$C$39*$B1584))),RAND())</f>
        <v>1</v>
      </c>
      <c r="O1584" s="0" t="n">
        <f aca="false">6*J1584+(J1584-K1584-M1584)+2*L1584+3*N1584</f>
        <v>18</v>
      </c>
      <c r="P1584" s="0" t="n">
        <f aca="true">RAND()</f>
        <v>0.883787071480245</v>
      </c>
      <c r="Q1584" s="0" t="n">
        <f aca="true">RAND()</f>
        <v>0.955555353065203</v>
      </c>
      <c r="R1584" s="0" t="n">
        <f aca="false">IF($I1584&lt;&gt;$O1584,0,IF(P1584&lt;Matchup!$B$39,7,IF(P1584&lt;Matchup!$B$39+Matchup!$B$40,3,0)))</f>
        <v>0</v>
      </c>
      <c r="S1584" s="0" t="n">
        <f aca="false">IF($I1584&lt;&gt;$O1584,0,IF(Q1584&lt;Matchup!$C$39,7,IF(Q1584&lt;Matchup!$C$39+Matchup!$C$40,3,0)))</f>
        <v>0</v>
      </c>
      <c r="T1584" s="0" t="n">
        <f aca="false">I1584+R1584</f>
        <v>25</v>
      </c>
      <c r="U1584" s="0" t="n">
        <f aca="false">O1584+S1584</f>
        <v>18</v>
      </c>
      <c r="V1584" s="0" t="n">
        <f aca="false">T1584-U1584</f>
        <v>7</v>
      </c>
      <c r="W1584" s="0" t="n">
        <f aca="false">T1584+U1584</f>
        <v>43</v>
      </c>
    </row>
    <row r="1585" customFormat="false" ht="15" hidden="false" customHeight="false" outlineLevel="0" collapsed="false">
      <c r="A1585" s="0" t="n">
        <v>1582</v>
      </c>
      <c r="B1585" s="0" t="n">
        <f aca="true">NORMINV(RAND(),1,Coefficients!$B$22)</f>
        <v>1.00863534770096</v>
      </c>
      <c r="C1585" s="0" t="n">
        <f aca="true">MEDIAN(8,16,ROUND(NORMINV(RAND(),Coefficients!$B$20,Coefficients!$B$21),0))</f>
        <v>10</v>
      </c>
      <c r="D1585" s="0" t="n">
        <f aca="true">CRITBINOM($C1585,MIN(0.75,Matchup!$B$39*$B1585),RAND())</f>
        <v>3</v>
      </c>
      <c r="E1585" s="0" t="n">
        <f aca="true">CRITBINOM(D1585,Coefficients!$B$30,RAND())</f>
        <v>0</v>
      </c>
      <c r="F1585" s="0" t="n">
        <f aca="true">CRITBINOM(E1585,Coefficients!$B$31,RAND())</f>
        <v>0</v>
      </c>
      <c r="G1585" s="0" t="n">
        <f aca="true">CRITBINOM(MAX(0,D1585-E1585),1-Coefficients!$B$32,RAND())</f>
        <v>0</v>
      </c>
      <c r="H1585" s="0" t="n">
        <f aca="true">CRITBINOM(MAX(0,$C1585-D1585),MIN(0.6,Matchup!$B$40*SQRT($B1585)/(1-MIN(0.75,Matchup!$B$39*$B1585))),RAND())</f>
        <v>1</v>
      </c>
      <c r="I1585" s="0" t="n">
        <f aca="false">6*D1585+(D1585-E1585-G1585)+2*F1585+3*H1585</f>
        <v>24</v>
      </c>
      <c r="J1585" s="0" t="n">
        <f aca="true">CRITBINOM($C1585,MIN(0.75,Matchup!$C$39*$B1585),RAND())</f>
        <v>4</v>
      </c>
      <c r="K1585" s="0" t="n">
        <f aca="true">CRITBINOM(J1585,Coefficients!$B$30,RAND())</f>
        <v>0</v>
      </c>
      <c r="L1585" s="0" t="n">
        <f aca="true">CRITBINOM(K1585,Coefficients!$B$31,RAND())</f>
        <v>0</v>
      </c>
      <c r="M1585" s="0" t="n">
        <f aca="true">CRITBINOM(MAX(0,J1585-K1585),1-Coefficients!$B$32,RAND())</f>
        <v>0</v>
      </c>
      <c r="N1585" s="0" t="n">
        <f aca="true">CRITBINOM(MAX(0,$C1585-J1585),MIN(0.6,Matchup!$C$40*SQRT($B1585)/(1-MIN(0.75,Matchup!$C$39*$B1585))),RAND())</f>
        <v>1</v>
      </c>
      <c r="O1585" s="0" t="n">
        <f aca="false">6*J1585+(J1585-K1585-M1585)+2*L1585+3*N1585</f>
        <v>31</v>
      </c>
      <c r="P1585" s="0" t="n">
        <f aca="true">RAND()</f>
        <v>0.979485472893717</v>
      </c>
      <c r="Q1585" s="0" t="n">
        <f aca="true">RAND()</f>
        <v>0.848816707372569</v>
      </c>
      <c r="R1585" s="0" t="n">
        <f aca="false">IF($I1585&lt;&gt;$O1585,0,IF(P1585&lt;Matchup!$B$39,7,IF(P1585&lt;Matchup!$B$39+Matchup!$B$40,3,0)))</f>
        <v>0</v>
      </c>
      <c r="S1585" s="0" t="n">
        <f aca="false">IF($I1585&lt;&gt;$O1585,0,IF(Q1585&lt;Matchup!$C$39,7,IF(Q1585&lt;Matchup!$C$39+Matchup!$C$40,3,0)))</f>
        <v>0</v>
      </c>
      <c r="T1585" s="0" t="n">
        <f aca="false">I1585+R1585</f>
        <v>24</v>
      </c>
      <c r="U1585" s="0" t="n">
        <f aca="false">O1585+S1585</f>
        <v>31</v>
      </c>
      <c r="V1585" s="0" t="n">
        <f aca="false">T1585-U1585</f>
        <v>-7</v>
      </c>
      <c r="W1585" s="0" t="n">
        <f aca="false">T1585+U1585</f>
        <v>55</v>
      </c>
    </row>
    <row r="1586" customFormat="false" ht="15" hidden="false" customHeight="false" outlineLevel="0" collapsed="false">
      <c r="A1586" s="0" t="n">
        <v>1583</v>
      </c>
      <c r="B1586" s="0" t="n">
        <f aca="true">NORMINV(RAND(),1,Coefficients!$B$22)</f>
        <v>0.895387186097793</v>
      </c>
      <c r="C1586" s="0" t="n">
        <f aca="true">MEDIAN(8,16,ROUND(NORMINV(RAND(),Coefficients!$B$20,Coefficients!$B$21),0))</f>
        <v>11</v>
      </c>
      <c r="D1586" s="0" t="n">
        <f aca="true">CRITBINOM($C1586,MIN(0.75,Matchup!$B$39*$B1586),RAND())</f>
        <v>5</v>
      </c>
      <c r="E1586" s="0" t="n">
        <f aca="true">CRITBINOM(D1586,Coefficients!$B$30,RAND())</f>
        <v>0</v>
      </c>
      <c r="F1586" s="0" t="n">
        <f aca="true">CRITBINOM(E1586,Coefficients!$B$31,RAND())</f>
        <v>0</v>
      </c>
      <c r="G1586" s="0" t="n">
        <f aca="true">CRITBINOM(MAX(0,D1586-E1586),1-Coefficients!$B$32,RAND())</f>
        <v>1</v>
      </c>
      <c r="H1586" s="0" t="n">
        <f aca="true">CRITBINOM(MAX(0,$C1586-D1586),MIN(0.6,Matchup!$B$40*SQRT($B1586)/(1-MIN(0.75,Matchup!$B$39*$B1586))),RAND())</f>
        <v>1</v>
      </c>
      <c r="I1586" s="0" t="n">
        <f aca="false">6*D1586+(D1586-E1586-G1586)+2*F1586+3*H1586</f>
        <v>37</v>
      </c>
      <c r="J1586" s="0" t="n">
        <f aca="true">CRITBINOM($C1586,MIN(0.75,Matchup!$C$39*$B1586),RAND())</f>
        <v>5</v>
      </c>
      <c r="K1586" s="0" t="n">
        <f aca="true">CRITBINOM(J1586,Coefficients!$B$30,RAND())</f>
        <v>2</v>
      </c>
      <c r="L1586" s="0" t="n">
        <f aca="true">CRITBINOM(K1586,Coefficients!$B$31,RAND())</f>
        <v>1</v>
      </c>
      <c r="M1586" s="0" t="n">
        <f aca="true">CRITBINOM(MAX(0,J1586-K1586),1-Coefficients!$B$32,RAND())</f>
        <v>0</v>
      </c>
      <c r="N1586" s="0" t="n">
        <f aca="true">CRITBINOM(MAX(0,$C1586-J1586),MIN(0.6,Matchup!$C$40*SQRT($B1586)/(1-MIN(0.75,Matchup!$C$39*$B1586))),RAND())</f>
        <v>1</v>
      </c>
      <c r="O1586" s="0" t="n">
        <f aca="false">6*J1586+(J1586-K1586-M1586)+2*L1586+3*N1586</f>
        <v>38</v>
      </c>
      <c r="P1586" s="0" t="n">
        <f aca="true">RAND()</f>
        <v>0.253382759817329</v>
      </c>
      <c r="Q1586" s="0" t="n">
        <f aca="true">RAND()</f>
        <v>0.0357785048834763</v>
      </c>
      <c r="R1586" s="0" t="n">
        <f aca="false">IF($I1586&lt;&gt;$O1586,0,IF(P1586&lt;Matchup!$B$39,7,IF(P1586&lt;Matchup!$B$39+Matchup!$B$40,3,0)))</f>
        <v>0</v>
      </c>
      <c r="S1586" s="0" t="n">
        <f aca="false">IF($I1586&lt;&gt;$O1586,0,IF(Q1586&lt;Matchup!$C$39,7,IF(Q1586&lt;Matchup!$C$39+Matchup!$C$40,3,0)))</f>
        <v>0</v>
      </c>
      <c r="T1586" s="0" t="n">
        <f aca="false">I1586+R1586</f>
        <v>37</v>
      </c>
      <c r="U1586" s="0" t="n">
        <f aca="false">O1586+S1586</f>
        <v>38</v>
      </c>
      <c r="V1586" s="0" t="n">
        <f aca="false">T1586-U1586</f>
        <v>-1</v>
      </c>
      <c r="W1586" s="0" t="n">
        <f aca="false">T1586+U1586</f>
        <v>75</v>
      </c>
    </row>
    <row r="1587" customFormat="false" ht="15" hidden="false" customHeight="false" outlineLevel="0" collapsed="false">
      <c r="A1587" s="0" t="n">
        <v>1584</v>
      </c>
      <c r="B1587" s="0" t="n">
        <f aca="true">NORMINV(RAND(),1,Coefficients!$B$22)</f>
        <v>1.04776602334913</v>
      </c>
      <c r="C1587" s="0" t="n">
        <f aca="true">MEDIAN(8,16,ROUND(NORMINV(RAND(),Coefficients!$B$20,Coefficients!$B$21),0))</f>
        <v>13</v>
      </c>
      <c r="D1587" s="0" t="n">
        <f aca="true">CRITBINOM($C1587,MIN(0.75,Matchup!$B$39*$B1587),RAND())</f>
        <v>6</v>
      </c>
      <c r="E1587" s="0" t="n">
        <f aca="true">CRITBINOM(D1587,Coefficients!$B$30,RAND())</f>
        <v>1</v>
      </c>
      <c r="F1587" s="0" t="n">
        <f aca="true">CRITBINOM(E1587,Coefficients!$B$31,RAND())</f>
        <v>1</v>
      </c>
      <c r="G1587" s="0" t="n">
        <f aca="true">CRITBINOM(MAX(0,D1587-E1587),1-Coefficients!$B$32,RAND())</f>
        <v>0</v>
      </c>
      <c r="H1587" s="0" t="n">
        <f aca="true">CRITBINOM(MAX(0,$C1587-D1587),MIN(0.6,Matchup!$B$40*SQRT($B1587)/(1-MIN(0.75,Matchup!$B$39*$B1587))),RAND())</f>
        <v>1</v>
      </c>
      <c r="I1587" s="0" t="n">
        <f aca="false">6*D1587+(D1587-E1587-G1587)+2*F1587+3*H1587</f>
        <v>46</v>
      </c>
      <c r="J1587" s="0" t="n">
        <f aca="true">CRITBINOM($C1587,MIN(0.75,Matchup!$C$39*$B1587),RAND())</f>
        <v>5</v>
      </c>
      <c r="K1587" s="0" t="n">
        <f aca="true">CRITBINOM(J1587,Coefficients!$B$30,RAND())</f>
        <v>0</v>
      </c>
      <c r="L1587" s="0" t="n">
        <f aca="true">CRITBINOM(K1587,Coefficients!$B$31,RAND())</f>
        <v>0</v>
      </c>
      <c r="M1587" s="0" t="n">
        <f aca="true">CRITBINOM(MAX(0,J1587-K1587),1-Coefficients!$B$32,RAND())</f>
        <v>0</v>
      </c>
      <c r="N1587" s="0" t="n">
        <f aca="true">CRITBINOM(MAX(0,$C1587-J1587),MIN(0.6,Matchup!$C$40*SQRT($B1587)/(1-MIN(0.75,Matchup!$C$39*$B1587))),RAND())</f>
        <v>2</v>
      </c>
      <c r="O1587" s="0" t="n">
        <f aca="false">6*J1587+(J1587-K1587-M1587)+2*L1587+3*N1587</f>
        <v>41</v>
      </c>
      <c r="P1587" s="0" t="n">
        <f aca="true">RAND()</f>
        <v>0.200690339689575</v>
      </c>
      <c r="Q1587" s="0" t="n">
        <f aca="true">RAND()</f>
        <v>0.0368370192940047</v>
      </c>
      <c r="R1587" s="0" t="n">
        <f aca="false">IF($I1587&lt;&gt;$O1587,0,IF(P1587&lt;Matchup!$B$39,7,IF(P1587&lt;Matchup!$B$39+Matchup!$B$40,3,0)))</f>
        <v>0</v>
      </c>
      <c r="S1587" s="0" t="n">
        <f aca="false">IF($I1587&lt;&gt;$O1587,0,IF(Q1587&lt;Matchup!$C$39,7,IF(Q1587&lt;Matchup!$C$39+Matchup!$C$40,3,0)))</f>
        <v>0</v>
      </c>
      <c r="T1587" s="0" t="n">
        <f aca="false">I1587+R1587</f>
        <v>46</v>
      </c>
      <c r="U1587" s="0" t="n">
        <f aca="false">O1587+S1587</f>
        <v>41</v>
      </c>
      <c r="V1587" s="0" t="n">
        <f aca="false">T1587-U1587</f>
        <v>5</v>
      </c>
      <c r="W1587" s="0" t="n">
        <f aca="false">T1587+U1587</f>
        <v>87</v>
      </c>
    </row>
    <row r="1588" customFormat="false" ht="15" hidden="false" customHeight="false" outlineLevel="0" collapsed="false">
      <c r="A1588" s="0" t="n">
        <v>1585</v>
      </c>
      <c r="B1588" s="0" t="n">
        <f aca="true">NORMINV(RAND(),1,Coefficients!$B$22)</f>
        <v>1.08299053561097</v>
      </c>
      <c r="C1588" s="0" t="n">
        <f aca="true">MEDIAN(8,16,ROUND(NORMINV(RAND(),Coefficients!$B$20,Coefficients!$B$21),0))</f>
        <v>12</v>
      </c>
      <c r="D1588" s="0" t="n">
        <f aca="true">CRITBINOM($C1588,MIN(0.75,Matchup!$B$39*$B1588),RAND())</f>
        <v>5</v>
      </c>
      <c r="E1588" s="0" t="n">
        <f aca="true">CRITBINOM(D1588,Coefficients!$B$30,RAND())</f>
        <v>0</v>
      </c>
      <c r="F1588" s="0" t="n">
        <f aca="true">CRITBINOM(E1588,Coefficients!$B$31,RAND())</f>
        <v>0</v>
      </c>
      <c r="G1588" s="0" t="n">
        <f aca="true">CRITBINOM(MAX(0,D1588-E1588),1-Coefficients!$B$32,RAND())</f>
        <v>1</v>
      </c>
      <c r="H1588" s="0" t="n">
        <f aca="true">CRITBINOM(MAX(0,$C1588-D1588),MIN(0.6,Matchup!$B$40*SQRT($B1588)/(1-MIN(0.75,Matchup!$B$39*$B1588))),RAND())</f>
        <v>2</v>
      </c>
      <c r="I1588" s="0" t="n">
        <f aca="false">6*D1588+(D1588-E1588-G1588)+2*F1588+3*H1588</f>
        <v>40</v>
      </c>
      <c r="J1588" s="0" t="n">
        <f aca="true">CRITBINOM($C1588,MIN(0.75,Matchup!$C$39*$B1588),RAND())</f>
        <v>5</v>
      </c>
      <c r="K1588" s="0" t="n">
        <f aca="true">CRITBINOM(J1588,Coefficients!$B$30,RAND())</f>
        <v>0</v>
      </c>
      <c r="L1588" s="0" t="n">
        <f aca="true">CRITBINOM(K1588,Coefficients!$B$31,RAND())</f>
        <v>0</v>
      </c>
      <c r="M1588" s="0" t="n">
        <f aca="true">CRITBINOM(MAX(0,J1588-K1588),1-Coefficients!$B$32,RAND())</f>
        <v>0</v>
      </c>
      <c r="N1588" s="0" t="n">
        <f aca="true">CRITBINOM(MAX(0,$C1588-J1588),MIN(0.6,Matchup!$C$40*SQRT($B1588)/(1-MIN(0.75,Matchup!$C$39*$B1588))),RAND())</f>
        <v>0</v>
      </c>
      <c r="O1588" s="0" t="n">
        <f aca="false">6*J1588+(J1588-K1588-M1588)+2*L1588+3*N1588</f>
        <v>35</v>
      </c>
      <c r="P1588" s="0" t="n">
        <f aca="true">RAND()</f>
        <v>0.694184177088903</v>
      </c>
      <c r="Q1588" s="0" t="n">
        <f aca="true">RAND()</f>
        <v>0.555996036302794</v>
      </c>
      <c r="R1588" s="0" t="n">
        <f aca="false">IF($I1588&lt;&gt;$O1588,0,IF(P1588&lt;Matchup!$B$39,7,IF(P1588&lt;Matchup!$B$39+Matchup!$B$40,3,0)))</f>
        <v>0</v>
      </c>
      <c r="S1588" s="0" t="n">
        <f aca="false">IF($I1588&lt;&gt;$O1588,0,IF(Q1588&lt;Matchup!$C$39,7,IF(Q1588&lt;Matchup!$C$39+Matchup!$C$40,3,0)))</f>
        <v>0</v>
      </c>
      <c r="T1588" s="0" t="n">
        <f aca="false">I1588+R1588</f>
        <v>40</v>
      </c>
      <c r="U1588" s="0" t="n">
        <f aca="false">O1588+S1588</f>
        <v>35</v>
      </c>
      <c r="V1588" s="0" t="n">
        <f aca="false">T1588-U1588</f>
        <v>5</v>
      </c>
      <c r="W1588" s="0" t="n">
        <f aca="false">T1588+U1588</f>
        <v>75</v>
      </c>
    </row>
    <row r="1589" customFormat="false" ht="15" hidden="false" customHeight="false" outlineLevel="0" collapsed="false">
      <c r="A1589" s="0" t="n">
        <v>1586</v>
      </c>
      <c r="B1589" s="0" t="n">
        <f aca="true">NORMINV(RAND(),1,Coefficients!$B$22)</f>
        <v>1.08298756578547</v>
      </c>
      <c r="C1589" s="0" t="n">
        <f aca="true">MEDIAN(8,16,ROUND(NORMINV(RAND(),Coefficients!$B$20,Coefficients!$B$21),0))</f>
        <v>12</v>
      </c>
      <c r="D1589" s="0" t="n">
        <f aca="true">CRITBINOM($C1589,MIN(0.75,Matchup!$B$39*$B1589),RAND())</f>
        <v>3</v>
      </c>
      <c r="E1589" s="0" t="n">
        <f aca="true">CRITBINOM(D1589,Coefficients!$B$30,RAND())</f>
        <v>1</v>
      </c>
      <c r="F1589" s="0" t="n">
        <f aca="true">CRITBINOM(E1589,Coefficients!$B$31,RAND())</f>
        <v>0</v>
      </c>
      <c r="G1589" s="0" t="n">
        <f aca="true">CRITBINOM(MAX(0,D1589-E1589),1-Coefficients!$B$32,RAND())</f>
        <v>0</v>
      </c>
      <c r="H1589" s="0" t="n">
        <f aca="true">CRITBINOM(MAX(0,$C1589-D1589),MIN(0.6,Matchup!$B$40*SQRT($B1589)/(1-MIN(0.75,Matchup!$B$39*$B1589))),RAND())</f>
        <v>1</v>
      </c>
      <c r="I1589" s="0" t="n">
        <f aca="false">6*D1589+(D1589-E1589-G1589)+2*F1589+3*H1589</f>
        <v>23</v>
      </c>
      <c r="J1589" s="0" t="n">
        <f aca="true">CRITBINOM($C1589,MIN(0.75,Matchup!$C$39*$B1589),RAND())</f>
        <v>4</v>
      </c>
      <c r="K1589" s="0" t="n">
        <f aca="true">CRITBINOM(J1589,Coefficients!$B$30,RAND())</f>
        <v>0</v>
      </c>
      <c r="L1589" s="0" t="n">
        <f aca="true">CRITBINOM(K1589,Coefficients!$B$31,RAND())</f>
        <v>0</v>
      </c>
      <c r="M1589" s="0" t="n">
        <f aca="true">CRITBINOM(MAX(0,J1589-K1589),1-Coefficients!$B$32,RAND())</f>
        <v>1</v>
      </c>
      <c r="N1589" s="0" t="n">
        <f aca="true">CRITBINOM(MAX(0,$C1589-J1589),MIN(0.6,Matchup!$C$40*SQRT($B1589)/(1-MIN(0.75,Matchup!$C$39*$B1589))),RAND())</f>
        <v>2</v>
      </c>
      <c r="O1589" s="0" t="n">
        <f aca="false">6*J1589+(J1589-K1589-M1589)+2*L1589+3*N1589</f>
        <v>33</v>
      </c>
      <c r="P1589" s="0" t="n">
        <f aca="true">RAND()</f>
        <v>0.778560196328975</v>
      </c>
      <c r="Q1589" s="0" t="n">
        <f aca="true">RAND()</f>
        <v>0.597692400592831</v>
      </c>
      <c r="R1589" s="0" t="n">
        <f aca="false">IF($I1589&lt;&gt;$O1589,0,IF(P1589&lt;Matchup!$B$39,7,IF(P1589&lt;Matchup!$B$39+Matchup!$B$40,3,0)))</f>
        <v>0</v>
      </c>
      <c r="S1589" s="0" t="n">
        <f aca="false">IF($I1589&lt;&gt;$O1589,0,IF(Q1589&lt;Matchup!$C$39,7,IF(Q1589&lt;Matchup!$C$39+Matchup!$C$40,3,0)))</f>
        <v>0</v>
      </c>
      <c r="T1589" s="0" t="n">
        <f aca="false">I1589+R1589</f>
        <v>23</v>
      </c>
      <c r="U1589" s="0" t="n">
        <f aca="false">O1589+S1589</f>
        <v>33</v>
      </c>
      <c r="V1589" s="0" t="n">
        <f aca="false">T1589-U1589</f>
        <v>-10</v>
      </c>
      <c r="W1589" s="0" t="n">
        <f aca="false">T1589+U1589</f>
        <v>56</v>
      </c>
    </row>
    <row r="1590" customFormat="false" ht="15" hidden="false" customHeight="false" outlineLevel="0" collapsed="false">
      <c r="A1590" s="0" t="n">
        <v>1587</v>
      </c>
      <c r="B1590" s="0" t="n">
        <f aca="true">NORMINV(RAND(),1,Coefficients!$B$22)</f>
        <v>1.00865444229793</v>
      </c>
      <c r="C1590" s="0" t="n">
        <f aca="true">MEDIAN(8,16,ROUND(NORMINV(RAND(),Coefficients!$B$20,Coefficients!$B$21),0))</f>
        <v>13</v>
      </c>
      <c r="D1590" s="0" t="n">
        <f aca="true">CRITBINOM($C1590,MIN(0.75,Matchup!$B$39*$B1590),RAND())</f>
        <v>4</v>
      </c>
      <c r="E1590" s="0" t="n">
        <f aca="true">CRITBINOM(D1590,Coefficients!$B$30,RAND())</f>
        <v>0</v>
      </c>
      <c r="F1590" s="0" t="n">
        <f aca="true">CRITBINOM(E1590,Coefficients!$B$31,RAND())</f>
        <v>0</v>
      </c>
      <c r="G1590" s="0" t="n">
        <f aca="true">CRITBINOM(MAX(0,D1590-E1590),1-Coefficients!$B$32,RAND())</f>
        <v>0</v>
      </c>
      <c r="H1590" s="0" t="n">
        <f aca="true">CRITBINOM(MAX(0,$C1590-D1590),MIN(0.6,Matchup!$B$40*SQRT($B1590)/(1-MIN(0.75,Matchup!$B$39*$B1590))),RAND())</f>
        <v>2</v>
      </c>
      <c r="I1590" s="0" t="n">
        <f aca="false">6*D1590+(D1590-E1590-G1590)+2*F1590+3*H1590</f>
        <v>34</v>
      </c>
      <c r="J1590" s="0" t="n">
        <f aca="true">CRITBINOM($C1590,MIN(0.75,Matchup!$C$39*$B1590),RAND())</f>
        <v>3</v>
      </c>
      <c r="K1590" s="0" t="n">
        <f aca="true">CRITBINOM(J1590,Coefficients!$B$30,RAND())</f>
        <v>0</v>
      </c>
      <c r="L1590" s="0" t="n">
        <f aca="true">CRITBINOM(K1590,Coefficients!$B$31,RAND())</f>
        <v>0</v>
      </c>
      <c r="M1590" s="0" t="n">
        <f aca="true">CRITBINOM(MAX(0,J1590-K1590),1-Coefficients!$B$32,RAND())</f>
        <v>0</v>
      </c>
      <c r="N1590" s="0" t="n">
        <f aca="true">CRITBINOM(MAX(0,$C1590-J1590),MIN(0.6,Matchup!$C$40*SQRT($B1590)/(1-MIN(0.75,Matchup!$C$39*$B1590))),RAND())</f>
        <v>1</v>
      </c>
      <c r="O1590" s="0" t="n">
        <f aca="false">6*J1590+(J1590-K1590-M1590)+2*L1590+3*N1590</f>
        <v>24</v>
      </c>
      <c r="P1590" s="0" t="n">
        <f aca="true">RAND()</f>
        <v>0.403796921165248</v>
      </c>
      <c r="Q1590" s="0" t="n">
        <f aca="true">RAND()</f>
        <v>0.672544709027296</v>
      </c>
      <c r="R1590" s="0" t="n">
        <f aca="false">IF($I1590&lt;&gt;$O1590,0,IF(P1590&lt;Matchup!$B$39,7,IF(P1590&lt;Matchup!$B$39+Matchup!$B$40,3,0)))</f>
        <v>0</v>
      </c>
      <c r="S1590" s="0" t="n">
        <f aca="false">IF($I1590&lt;&gt;$O1590,0,IF(Q1590&lt;Matchup!$C$39,7,IF(Q1590&lt;Matchup!$C$39+Matchup!$C$40,3,0)))</f>
        <v>0</v>
      </c>
      <c r="T1590" s="0" t="n">
        <f aca="false">I1590+R1590</f>
        <v>34</v>
      </c>
      <c r="U1590" s="0" t="n">
        <f aca="false">O1590+S1590</f>
        <v>24</v>
      </c>
      <c r="V1590" s="0" t="n">
        <f aca="false">T1590-U1590</f>
        <v>10</v>
      </c>
      <c r="W1590" s="0" t="n">
        <f aca="false">T1590+U1590</f>
        <v>58</v>
      </c>
    </row>
    <row r="1591" customFormat="false" ht="15" hidden="false" customHeight="false" outlineLevel="0" collapsed="false">
      <c r="A1591" s="0" t="n">
        <v>1588</v>
      </c>
      <c r="B1591" s="0" t="n">
        <f aca="true">NORMINV(RAND(),1,Coefficients!$B$22)</f>
        <v>0.968718567057317</v>
      </c>
      <c r="C1591" s="0" t="n">
        <f aca="true">MEDIAN(8,16,ROUND(NORMINV(RAND(),Coefficients!$B$20,Coefficients!$B$21),0))</f>
        <v>11</v>
      </c>
      <c r="D1591" s="0" t="n">
        <f aca="true">CRITBINOM($C1591,MIN(0.75,Matchup!$B$39*$B1591),RAND())</f>
        <v>1</v>
      </c>
      <c r="E1591" s="0" t="n">
        <f aca="true">CRITBINOM(D1591,Coefficients!$B$30,RAND())</f>
        <v>0</v>
      </c>
      <c r="F1591" s="0" t="n">
        <f aca="true">CRITBINOM(E1591,Coefficients!$B$31,RAND())</f>
        <v>0</v>
      </c>
      <c r="G1591" s="0" t="n">
        <f aca="true">CRITBINOM(MAX(0,D1591-E1591),1-Coefficients!$B$32,RAND())</f>
        <v>0</v>
      </c>
      <c r="H1591" s="0" t="n">
        <f aca="true">CRITBINOM(MAX(0,$C1591-D1591),MIN(0.6,Matchup!$B$40*SQRT($B1591)/(1-MIN(0.75,Matchup!$B$39*$B1591))),RAND())</f>
        <v>2</v>
      </c>
      <c r="I1591" s="0" t="n">
        <f aca="false">6*D1591+(D1591-E1591-G1591)+2*F1591+3*H1591</f>
        <v>13</v>
      </c>
      <c r="J1591" s="0" t="n">
        <f aca="true">CRITBINOM($C1591,MIN(0.75,Matchup!$C$39*$B1591),RAND())</f>
        <v>2</v>
      </c>
      <c r="K1591" s="0" t="n">
        <f aca="true">CRITBINOM(J1591,Coefficients!$B$30,RAND())</f>
        <v>0</v>
      </c>
      <c r="L1591" s="0" t="n">
        <f aca="true">CRITBINOM(K1591,Coefficients!$B$31,RAND())</f>
        <v>0</v>
      </c>
      <c r="M1591" s="0" t="n">
        <f aca="true">CRITBINOM(MAX(0,J1591-K1591),1-Coefficients!$B$32,RAND())</f>
        <v>0</v>
      </c>
      <c r="N1591" s="0" t="n">
        <f aca="true">CRITBINOM(MAX(0,$C1591-J1591),MIN(0.6,Matchup!$C$40*SQRT($B1591)/(1-MIN(0.75,Matchup!$C$39*$B1591))),RAND())</f>
        <v>3</v>
      </c>
      <c r="O1591" s="0" t="n">
        <f aca="false">6*J1591+(J1591-K1591-M1591)+2*L1591+3*N1591</f>
        <v>23</v>
      </c>
      <c r="P1591" s="0" t="n">
        <f aca="true">RAND()</f>
        <v>0.436098593492044</v>
      </c>
      <c r="Q1591" s="0" t="n">
        <f aca="true">RAND()</f>
        <v>0.843961055600906</v>
      </c>
      <c r="R1591" s="0" t="n">
        <f aca="false">IF($I1591&lt;&gt;$O1591,0,IF(P1591&lt;Matchup!$B$39,7,IF(P1591&lt;Matchup!$B$39+Matchup!$B$40,3,0)))</f>
        <v>0</v>
      </c>
      <c r="S1591" s="0" t="n">
        <f aca="false">IF($I1591&lt;&gt;$O1591,0,IF(Q1591&lt;Matchup!$C$39,7,IF(Q1591&lt;Matchup!$C$39+Matchup!$C$40,3,0)))</f>
        <v>0</v>
      </c>
      <c r="T1591" s="0" t="n">
        <f aca="false">I1591+R1591</f>
        <v>13</v>
      </c>
      <c r="U1591" s="0" t="n">
        <f aca="false">O1591+S1591</f>
        <v>23</v>
      </c>
      <c r="V1591" s="0" t="n">
        <f aca="false">T1591-U1591</f>
        <v>-10</v>
      </c>
      <c r="W1591" s="0" t="n">
        <f aca="false">T1591+U1591</f>
        <v>36</v>
      </c>
    </row>
    <row r="1592" customFormat="false" ht="15" hidden="false" customHeight="false" outlineLevel="0" collapsed="false">
      <c r="A1592" s="0" t="n">
        <v>1589</v>
      </c>
      <c r="B1592" s="0" t="n">
        <f aca="true">NORMINV(RAND(),1,Coefficients!$B$22)</f>
        <v>1.01875705745031</v>
      </c>
      <c r="C1592" s="0" t="n">
        <f aca="true">MEDIAN(8,16,ROUND(NORMINV(RAND(),Coefficients!$B$20,Coefficients!$B$21),0))</f>
        <v>12</v>
      </c>
      <c r="D1592" s="0" t="n">
        <f aca="true">CRITBINOM($C1592,MIN(0.75,Matchup!$B$39*$B1592),RAND())</f>
        <v>3</v>
      </c>
      <c r="E1592" s="0" t="n">
        <f aca="true">CRITBINOM(D1592,Coefficients!$B$30,RAND())</f>
        <v>1</v>
      </c>
      <c r="F1592" s="0" t="n">
        <f aca="true">CRITBINOM(E1592,Coefficients!$B$31,RAND())</f>
        <v>0</v>
      </c>
      <c r="G1592" s="0" t="n">
        <f aca="true">CRITBINOM(MAX(0,D1592-E1592),1-Coefficients!$B$32,RAND())</f>
        <v>0</v>
      </c>
      <c r="H1592" s="0" t="n">
        <f aca="true">CRITBINOM(MAX(0,$C1592-D1592),MIN(0.6,Matchup!$B$40*SQRT($B1592)/(1-MIN(0.75,Matchup!$B$39*$B1592))),RAND())</f>
        <v>2</v>
      </c>
      <c r="I1592" s="0" t="n">
        <f aca="false">6*D1592+(D1592-E1592-G1592)+2*F1592+3*H1592</f>
        <v>26</v>
      </c>
      <c r="J1592" s="0" t="n">
        <f aca="true">CRITBINOM($C1592,MIN(0.75,Matchup!$C$39*$B1592),RAND())</f>
        <v>3</v>
      </c>
      <c r="K1592" s="0" t="n">
        <f aca="true">CRITBINOM(J1592,Coefficients!$B$30,RAND())</f>
        <v>0</v>
      </c>
      <c r="L1592" s="0" t="n">
        <f aca="true">CRITBINOM(K1592,Coefficients!$B$31,RAND())</f>
        <v>0</v>
      </c>
      <c r="M1592" s="0" t="n">
        <f aca="true">CRITBINOM(MAX(0,J1592-K1592),1-Coefficients!$B$32,RAND())</f>
        <v>1</v>
      </c>
      <c r="N1592" s="0" t="n">
        <f aca="true">CRITBINOM(MAX(0,$C1592-J1592),MIN(0.6,Matchup!$C$40*SQRT($B1592)/(1-MIN(0.75,Matchup!$C$39*$B1592))),RAND())</f>
        <v>2</v>
      </c>
      <c r="O1592" s="0" t="n">
        <f aca="false">6*J1592+(J1592-K1592-M1592)+2*L1592+3*N1592</f>
        <v>26</v>
      </c>
      <c r="P1592" s="0" t="n">
        <f aca="true">RAND()</f>
        <v>0.743000661077547</v>
      </c>
      <c r="Q1592" s="0" t="n">
        <f aca="true">RAND()</f>
        <v>0.157368592526171</v>
      </c>
      <c r="R1592" s="0" t="n">
        <f aca="false">IF($I1592&lt;&gt;$O1592,0,IF(P1592&lt;Matchup!$B$39,7,IF(P1592&lt;Matchup!$B$39+Matchup!$B$40,3,0)))</f>
        <v>0</v>
      </c>
      <c r="S1592" s="0" t="n">
        <f aca="false">IF($I1592&lt;&gt;$O1592,0,IF(Q1592&lt;Matchup!$C$39,7,IF(Q1592&lt;Matchup!$C$39+Matchup!$C$40,3,0)))</f>
        <v>7</v>
      </c>
      <c r="T1592" s="0" t="n">
        <f aca="false">I1592+R1592</f>
        <v>26</v>
      </c>
      <c r="U1592" s="0" t="n">
        <f aca="false">O1592+S1592</f>
        <v>33</v>
      </c>
      <c r="V1592" s="0" t="n">
        <f aca="false">T1592-U1592</f>
        <v>-7</v>
      </c>
      <c r="W1592" s="0" t="n">
        <f aca="false">T1592+U1592</f>
        <v>59</v>
      </c>
    </row>
    <row r="1593" customFormat="false" ht="15" hidden="false" customHeight="false" outlineLevel="0" collapsed="false">
      <c r="A1593" s="0" t="n">
        <v>1590</v>
      </c>
      <c r="B1593" s="0" t="n">
        <f aca="true">NORMINV(RAND(),1,Coefficients!$B$22)</f>
        <v>1.08524138191529</v>
      </c>
      <c r="C1593" s="0" t="n">
        <f aca="true">MEDIAN(8,16,ROUND(NORMINV(RAND(),Coefficients!$B$20,Coefficients!$B$21),0))</f>
        <v>12</v>
      </c>
      <c r="D1593" s="0" t="n">
        <f aca="true">CRITBINOM($C1593,MIN(0.75,Matchup!$B$39*$B1593),RAND())</f>
        <v>5</v>
      </c>
      <c r="E1593" s="0" t="n">
        <f aca="true">CRITBINOM(D1593,Coefficients!$B$30,RAND())</f>
        <v>0</v>
      </c>
      <c r="F1593" s="0" t="n">
        <f aca="true">CRITBINOM(E1593,Coefficients!$B$31,RAND())</f>
        <v>0</v>
      </c>
      <c r="G1593" s="0" t="n">
        <f aca="true">CRITBINOM(MAX(0,D1593-E1593),1-Coefficients!$B$32,RAND())</f>
        <v>0</v>
      </c>
      <c r="H1593" s="0" t="n">
        <f aca="true">CRITBINOM(MAX(0,$C1593-D1593),MIN(0.6,Matchup!$B$40*SQRT($B1593)/(1-MIN(0.75,Matchup!$B$39*$B1593))),RAND())</f>
        <v>1</v>
      </c>
      <c r="I1593" s="0" t="n">
        <f aca="false">6*D1593+(D1593-E1593-G1593)+2*F1593+3*H1593</f>
        <v>38</v>
      </c>
      <c r="J1593" s="0" t="n">
        <f aca="true">CRITBINOM($C1593,MIN(0.75,Matchup!$C$39*$B1593),RAND())</f>
        <v>2</v>
      </c>
      <c r="K1593" s="0" t="n">
        <f aca="true">CRITBINOM(J1593,Coefficients!$B$30,RAND())</f>
        <v>0</v>
      </c>
      <c r="L1593" s="0" t="n">
        <f aca="true">CRITBINOM(K1593,Coefficients!$B$31,RAND())</f>
        <v>0</v>
      </c>
      <c r="M1593" s="0" t="n">
        <f aca="true">CRITBINOM(MAX(0,J1593-K1593),1-Coefficients!$B$32,RAND())</f>
        <v>0</v>
      </c>
      <c r="N1593" s="0" t="n">
        <f aca="true">CRITBINOM(MAX(0,$C1593-J1593),MIN(0.6,Matchup!$C$40*SQRT($B1593)/(1-MIN(0.75,Matchup!$C$39*$B1593))),RAND())</f>
        <v>0</v>
      </c>
      <c r="O1593" s="0" t="n">
        <f aca="false">6*J1593+(J1593-K1593-M1593)+2*L1593+3*N1593</f>
        <v>14</v>
      </c>
      <c r="P1593" s="0" t="n">
        <f aca="true">RAND()</f>
        <v>0.435885077360309</v>
      </c>
      <c r="Q1593" s="0" t="n">
        <f aca="true">RAND()</f>
        <v>0.892031638837591</v>
      </c>
      <c r="R1593" s="0" t="n">
        <f aca="false">IF($I1593&lt;&gt;$O1593,0,IF(P1593&lt;Matchup!$B$39,7,IF(P1593&lt;Matchup!$B$39+Matchup!$B$40,3,0)))</f>
        <v>0</v>
      </c>
      <c r="S1593" s="0" t="n">
        <f aca="false">IF($I1593&lt;&gt;$O1593,0,IF(Q1593&lt;Matchup!$C$39,7,IF(Q1593&lt;Matchup!$C$39+Matchup!$C$40,3,0)))</f>
        <v>0</v>
      </c>
      <c r="T1593" s="0" t="n">
        <f aca="false">I1593+R1593</f>
        <v>38</v>
      </c>
      <c r="U1593" s="0" t="n">
        <f aca="false">O1593+S1593</f>
        <v>14</v>
      </c>
      <c r="V1593" s="0" t="n">
        <f aca="false">T1593-U1593</f>
        <v>24</v>
      </c>
      <c r="W1593" s="0" t="n">
        <f aca="false">T1593+U1593</f>
        <v>52</v>
      </c>
    </row>
    <row r="1594" customFormat="false" ht="15" hidden="false" customHeight="false" outlineLevel="0" collapsed="false">
      <c r="A1594" s="0" t="n">
        <v>1591</v>
      </c>
      <c r="B1594" s="0" t="n">
        <f aca="true">NORMINV(RAND(),1,Coefficients!$B$22)</f>
        <v>0.805630045065967</v>
      </c>
      <c r="C1594" s="0" t="n">
        <f aca="true">MEDIAN(8,16,ROUND(NORMINV(RAND(),Coefficients!$B$20,Coefficients!$B$21),0))</f>
        <v>11</v>
      </c>
      <c r="D1594" s="0" t="n">
        <f aca="true">CRITBINOM($C1594,MIN(0.75,Matchup!$B$39*$B1594),RAND())</f>
        <v>2</v>
      </c>
      <c r="E1594" s="0" t="n">
        <f aca="true">CRITBINOM(D1594,Coefficients!$B$30,RAND())</f>
        <v>0</v>
      </c>
      <c r="F1594" s="0" t="n">
        <f aca="true">CRITBINOM(E1594,Coefficients!$B$31,RAND())</f>
        <v>0</v>
      </c>
      <c r="G1594" s="0" t="n">
        <f aca="true">CRITBINOM(MAX(0,D1594-E1594),1-Coefficients!$B$32,RAND())</f>
        <v>0</v>
      </c>
      <c r="H1594" s="0" t="n">
        <f aca="true">CRITBINOM(MAX(0,$C1594-D1594),MIN(0.6,Matchup!$B$40*SQRT($B1594)/(1-MIN(0.75,Matchup!$B$39*$B1594))),RAND())</f>
        <v>2</v>
      </c>
      <c r="I1594" s="0" t="n">
        <f aca="false">6*D1594+(D1594-E1594-G1594)+2*F1594+3*H1594</f>
        <v>20</v>
      </c>
      <c r="J1594" s="0" t="n">
        <f aca="true">CRITBINOM($C1594,MIN(0.75,Matchup!$C$39*$B1594),RAND())</f>
        <v>1</v>
      </c>
      <c r="K1594" s="0" t="n">
        <f aca="true">CRITBINOM(J1594,Coefficients!$B$30,RAND())</f>
        <v>0</v>
      </c>
      <c r="L1594" s="0" t="n">
        <f aca="true">CRITBINOM(K1594,Coefficients!$B$31,RAND())</f>
        <v>0</v>
      </c>
      <c r="M1594" s="0" t="n">
        <f aca="true">CRITBINOM(MAX(0,J1594-K1594),1-Coefficients!$B$32,RAND())</f>
        <v>1</v>
      </c>
      <c r="N1594" s="0" t="n">
        <f aca="true">CRITBINOM(MAX(0,$C1594-J1594),MIN(0.6,Matchup!$C$40*SQRT($B1594)/(1-MIN(0.75,Matchup!$C$39*$B1594))),RAND())</f>
        <v>3</v>
      </c>
      <c r="O1594" s="0" t="n">
        <f aca="false">6*J1594+(J1594-K1594-M1594)+2*L1594+3*N1594</f>
        <v>15</v>
      </c>
      <c r="P1594" s="0" t="n">
        <f aca="true">RAND()</f>
        <v>0.304878650236235</v>
      </c>
      <c r="Q1594" s="0" t="n">
        <f aca="true">RAND()</f>
        <v>0.10075990911318</v>
      </c>
      <c r="R1594" s="0" t="n">
        <f aca="false">IF($I1594&lt;&gt;$O1594,0,IF(P1594&lt;Matchup!$B$39,7,IF(P1594&lt;Matchup!$B$39+Matchup!$B$40,3,0)))</f>
        <v>0</v>
      </c>
      <c r="S1594" s="0" t="n">
        <f aca="false">IF($I1594&lt;&gt;$O1594,0,IF(Q1594&lt;Matchup!$C$39,7,IF(Q1594&lt;Matchup!$C$39+Matchup!$C$40,3,0)))</f>
        <v>0</v>
      </c>
      <c r="T1594" s="0" t="n">
        <f aca="false">I1594+R1594</f>
        <v>20</v>
      </c>
      <c r="U1594" s="0" t="n">
        <f aca="false">O1594+S1594</f>
        <v>15</v>
      </c>
      <c r="V1594" s="0" t="n">
        <f aca="false">T1594-U1594</f>
        <v>5</v>
      </c>
      <c r="W1594" s="0" t="n">
        <f aca="false">T1594+U1594</f>
        <v>35</v>
      </c>
    </row>
    <row r="1595" customFormat="false" ht="15" hidden="false" customHeight="false" outlineLevel="0" collapsed="false">
      <c r="A1595" s="0" t="n">
        <v>1592</v>
      </c>
      <c r="B1595" s="0" t="n">
        <f aca="true">NORMINV(RAND(),1,Coefficients!$B$22)</f>
        <v>1.03832046896475</v>
      </c>
      <c r="C1595" s="0" t="n">
        <f aca="true">MEDIAN(8,16,ROUND(NORMINV(RAND(),Coefficients!$B$20,Coefficients!$B$21),0))</f>
        <v>12</v>
      </c>
      <c r="D1595" s="0" t="n">
        <f aca="true">CRITBINOM($C1595,MIN(0.75,Matchup!$B$39*$B1595),RAND())</f>
        <v>2</v>
      </c>
      <c r="E1595" s="0" t="n">
        <f aca="true">CRITBINOM(D1595,Coefficients!$B$30,RAND())</f>
        <v>1</v>
      </c>
      <c r="F1595" s="0" t="n">
        <f aca="true">CRITBINOM(E1595,Coefficients!$B$31,RAND())</f>
        <v>1</v>
      </c>
      <c r="G1595" s="0" t="n">
        <f aca="true">CRITBINOM(MAX(0,D1595-E1595),1-Coefficients!$B$32,RAND())</f>
        <v>0</v>
      </c>
      <c r="H1595" s="0" t="n">
        <f aca="true">CRITBINOM(MAX(0,$C1595-D1595),MIN(0.6,Matchup!$B$40*SQRT($B1595)/(1-MIN(0.75,Matchup!$B$39*$B1595))),RAND())</f>
        <v>2</v>
      </c>
      <c r="I1595" s="0" t="n">
        <f aca="false">6*D1595+(D1595-E1595-G1595)+2*F1595+3*H1595</f>
        <v>21</v>
      </c>
      <c r="J1595" s="0" t="n">
        <f aca="true">CRITBINOM($C1595,MIN(0.75,Matchup!$C$39*$B1595),RAND())</f>
        <v>3</v>
      </c>
      <c r="K1595" s="0" t="n">
        <f aca="true">CRITBINOM(J1595,Coefficients!$B$30,RAND())</f>
        <v>0</v>
      </c>
      <c r="L1595" s="0" t="n">
        <f aca="true">CRITBINOM(K1595,Coefficients!$B$31,RAND())</f>
        <v>0</v>
      </c>
      <c r="M1595" s="0" t="n">
        <f aca="true">CRITBINOM(MAX(0,J1595-K1595),1-Coefficients!$B$32,RAND())</f>
        <v>0</v>
      </c>
      <c r="N1595" s="0" t="n">
        <f aca="true">CRITBINOM(MAX(0,$C1595-J1595),MIN(0.6,Matchup!$C$40*SQRT($B1595)/(1-MIN(0.75,Matchup!$C$39*$B1595))),RAND())</f>
        <v>3</v>
      </c>
      <c r="O1595" s="0" t="n">
        <f aca="false">6*J1595+(J1595-K1595-M1595)+2*L1595+3*N1595</f>
        <v>30</v>
      </c>
      <c r="P1595" s="0" t="n">
        <f aca="true">RAND()</f>
        <v>0.959876625060125</v>
      </c>
      <c r="Q1595" s="0" t="n">
        <f aca="true">RAND()</f>
        <v>0.00996946446231729</v>
      </c>
      <c r="R1595" s="0" t="n">
        <f aca="false">IF($I1595&lt;&gt;$O1595,0,IF(P1595&lt;Matchup!$B$39,7,IF(P1595&lt;Matchup!$B$39+Matchup!$B$40,3,0)))</f>
        <v>0</v>
      </c>
      <c r="S1595" s="0" t="n">
        <f aca="false">IF($I1595&lt;&gt;$O1595,0,IF(Q1595&lt;Matchup!$C$39,7,IF(Q1595&lt;Matchup!$C$39+Matchup!$C$40,3,0)))</f>
        <v>0</v>
      </c>
      <c r="T1595" s="0" t="n">
        <f aca="false">I1595+R1595</f>
        <v>21</v>
      </c>
      <c r="U1595" s="0" t="n">
        <f aca="false">O1595+S1595</f>
        <v>30</v>
      </c>
      <c r="V1595" s="0" t="n">
        <f aca="false">T1595-U1595</f>
        <v>-9</v>
      </c>
      <c r="W1595" s="0" t="n">
        <f aca="false">T1595+U1595</f>
        <v>51</v>
      </c>
    </row>
    <row r="1596" customFormat="false" ht="15" hidden="false" customHeight="false" outlineLevel="0" collapsed="false">
      <c r="A1596" s="0" t="n">
        <v>1593</v>
      </c>
      <c r="B1596" s="0" t="n">
        <f aca="true">NORMINV(RAND(),1,Coefficients!$B$22)</f>
        <v>1.19726577257626</v>
      </c>
      <c r="C1596" s="0" t="n">
        <f aca="true">MEDIAN(8,16,ROUND(NORMINV(RAND(),Coefficients!$B$20,Coefficients!$B$21),0))</f>
        <v>9</v>
      </c>
      <c r="D1596" s="0" t="n">
        <f aca="true">CRITBINOM($C1596,MIN(0.75,Matchup!$B$39*$B1596),RAND())</f>
        <v>2</v>
      </c>
      <c r="E1596" s="0" t="n">
        <f aca="true">CRITBINOM(D1596,Coefficients!$B$30,RAND())</f>
        <v>0</v>
      </c>
      <c r="F1596" s="0" t="n">
        <f aca="true">CRITBINOM(E1596,Coefficients!$B$31,RAND())</f>
        <v>0</v>
      </c>
      <c r="G1596" s="0" t="n">
        <f aca="true">CRITBINOM(MAX(0,D1596-E1596),1-Coefficients!$B$32,RAND())</f>
        <v>1</v>
      </c>
      <c r="H1596" s="0" t="n">
        <f aca="true">CRITBINOM(MAX(0,$C1596-D1596),MIN(0.6,Matchup!$B$40*SQRT($B1596)/(1-MIN(0.75,Matchup!$B$39*$B1596))),RAND())</f>
        <v>1</v>
      </c>
      <c r="I1596" s="0" t="n">
        <f aca="false">6*D1596+(D1596-E1596-G1596)+2*F1596+3*H1596</f>
        <v>16</v>
      </c>
      <c r="J1596" s="0" t="n">
        <f aca="true">CRITBINOM($C1596,MIN(0.75,Matchup!$C$39*$B1596),RAND())</f>
        <v>4</v>
      </c>
      <c r="K1596" s="0" t="n">
        <f aca="true">CRITBINOM(J1596,Coefficients!$B$30,RAND())</f>
        <v>0</v>
      </c>
      <c r="L1596" s="0" t="n">
        <f aca="true">CRITBINOM(K1596,Coefficients!$B$31,RAND())</f>
        <v>0</v>
      </c>
      <c r="M1596" s="0" t="n">
        <f aca="true">CRITBINOM(MAX(0,J1596-K1596),1-Coefficients!$B$32,RAND())</f>
        <v>0</v>
      </c>
      <c r="N1596" s="0" t="n">
        <f aca="true">CRITBINOM(MAX(0,$C1596-J1596),MIN(0.6,Matchup!$C$40*SQRT($B1596)/(1-MIN(0.75,Matchup!$C$39*$B1596))),RAND())</f>
        <v>0</v>
      </c>
      <c r="O1596" s="0" t="n">
        <f aca="false">6*J1596+(J1596-K1596-M1596)+2*L1596+3*N1596</f>
        <v>28</v>
      </c>
      <c r="P1596" s="0" t="n">
        <f aca="true">RAND()</f>
        <v>0.881682730766206</v>
      </c>
      <c r="Q1596" s="0" t="n">
        <f aca="true">RAND()</f>
        <v>0.611690250794639</v>
      </c>
      <c r="R1596" s="0" t="n">
        <f aca="false">IF($I1596&lt;&gt;$O1596,0,IF(P1596&lt;Matchup!$B$39,7,IF(P1596&lt;Matchup!$B$39+Matchup!$B$40,3,0)))</f>
        <v>0</v>
      </c>
      <c r="S1596" s="0" t="n">
        <f aca="false">IF($I1596&lt;&gt;$O1596,0,IF(Q1596&lt;Matchup!$C$39,7,IF(Q1596&lt;Matchup!$C$39+Matchup!$C$40,3,0)))</f>
        <v>0</v>
      </c>
      <c r="T1596" s="0" t="n">
        <f aca="false">I1596+R1596</f>
        <v>16</v>
      </c>
      <c r="U1596" s="0" t="n">
        <f aca="false">O1596+S1596</f>
        <v>28</v>
      </c>
      <c r="V1596" s="0" t="n">
        <f aca="false">T1596-U1596</f>
        <v>-12</v>
      </c>
      <c r="W1596" s="0" t="n">
        <f aca="false">T1596+U1596</f>
        <v>44</v>
      </c>
    </row>
    <row r="1597" customFormat="false" ht="15" hidden="false" customHeight="false" outlineLevel="0" collapsed="false">
      <c r="A1597" s="0" t="n">
        <v>1594</v>
      </c>
      <c r="B1597" s="0" t="n">
        <f aca="true">NORMINV(RAND(),1,Coefficients!$B$22)</f>
        <v>0.890824614173774</v>
      </c>
      <c r="C1597" s="0" t="n">
        <f aca="true">MEDIAN(8,16,ROUND(NORMINV(RAND(),Coefficients!$B$20,Coefficients!$B$21),0))</f>
        <v>11</v>
      </c>
      <c r="D1597" s="0" t="n">
        <f aca="true">CRITBINOM($C1597,MIN(0.75,Matchup!$B$39*$B1597),RAND())</f>
        <v>4</v>
      </c>
      <c r="E1597" s="0" t="n">
        <f aca="true">CRITBINOM(D1597,Coefficients!$B$30,RAND())</f>
        <v>1</v>
      </c>
      <c r="F1597" s="0" t="n">
        <f aca="true">CRITBINOM(E1597,Coefficients!$B$31,RAND())</f>
        <v>0</v>
      </c>
      <c r="G1597" s="0" t="n">
        <f aca="true">CRITBINOM(MAX(0,D1597-E1597),1-Coefficients!$B$32,RAND())</f>
        <v>0</v>
      </c>
      <c r="H1597" s="0" t="n">
        <f aca="true">CRITBINOM(MAX(0,$C1597-D1597),MIN(0.6,Matchup!$B$40*SQRT($B1597)/(1-MIN(0.75,Matchup!$B$39*$B1597))),RAND())</f>
        <v>2</v>
      </c>
      <c r="I1597" s="0" t="n">
        <f aca="false">6*D1597+(D1597-E1597-G1597)+2*F1597+3*H1597</f>
        <v>33</v>
      </c>
      <c r="J1597" s="0" t="n">
        <f aca="true">CRITBINOM($C1597,MIN(0.75,Matchup!$C$39*$B1597),RAND())</f>
        <v>3</v>
      </c>
      <c r="K1597" s="0" t="n">
        <f aca="true">CRITBINOM(J1597,Coefficients!$B$30,RAND())</f>
        <v>0</v>
      </c>
      <c r="L1597" s="0" t="n">
        <f aca="true">CRITBINOM(K1597,Coefficients!$B$31,RAND())</f>
        <v>0</v>
      </c>
      <c r="M1597" s="0" t="n">
        <f aca="true">CRITBINOM(MAX(0,J1597-K1597),1-Coefficients!$B$32,RAND())</f>
        <v>0</v>
      </c>
      <c r="N1597" s="0" t="n">
        <f aca="true">CRITBINOM(MAX(0,$C1597-J1597),MIN(0.6,Matchup!$C$40*SQRT($B1597)/(1-MIN(0.75,Matchup!$C$39*$B1597))),RAND())</f>
        <v>2</v>
      </c>
      <c r="O1597" s="0" t="n">
        <f aca="false">6*J1597+(J1597-K1597-M1597)+2*L1597+3*N1597</f>
        <v>27</v>
      </c>
      <c r="P1597" s="0" t="n">
        <f aca="true">RAND()</f>
        <v>0.37401221218259</v>
      </c>
      <c r="Q1597" s="0" t="n">
        <f aca="true">RAND()</f>
        <v>0.889508856077886</v>
      </c>
      <c r="R1597" s="0" t="n">
        <f aca="false">IF($I1597&lt;&gt;$O1597,0,IF(P1597&lt;Matchup!$B$39,7,IF(P1597&lt;Matchup!$B$39+Matchup!$B$40,3,0)))</f>
        <v>0</v>
      </c>
      <c r="S1597" s="0" t="n">
        <f aca="false">IF($I1597&lt;&gt;$O1597,0,IF(Q1597&lt;Matchup!$C$39,7,IF(Q1597&lt;Matchup!$C$39+Matchup!$C$40,3,0)))</f>
        <v>0</v>
      </c>
      <c r="T1597" s="0" t="n">
        <f aca="false">I1597+R1597</f>
        <v>33</v>
      </c>
      <c r="U1597" s="0" t="n">
        <f aca="false">O1597+S1597</f>
        <v>27</v>
      </c>
      <c r="V1597" s="0" t="n">
        <f aca="false">T1597-U1597</f>
        <v>6</v>
      </c>
      <c r="W1597" s="0" t="n">
        <f aca="false">T1597+U1597</f>
        <v>60</v>
      </c>
    </row>
    <row r="1598" customFormat="false" ht="15" hidden="false" customHeight="false" outlineLevel="0" collapsed="false">
      <c r="A1598" s="0" t="n">
        <v>1595</v>
      </c>
      <c r="B1598" s="0" t="n">
        <f aca="true">NORMINV(RAND(),1,Coefficients!$B$22)</f>
        <v>0.97177540547151</v>
      </c>
      <c r="C1598" s="0" t="n">
        <f aca="true">MEDIAN(8,16,ROUND(NORMINV(RAND(),Coefficients!$B$20,Coefficients!$B$21),0))</f>
        <v>12</v>
      </c>
      <c r="D1598" s="0" t="n">
        <f aca="true">CRITBINOM($C1598,MIN(0.75,Matchup!$B$39*$B1598),RAND())</f>
        <v>5</v>
      </c>
      <c r="E1598" s="0" t="n">
        <f aca="true">CRITBINOM(D1598,Coefficients!$B$30,RAND())</f>
        <v>0</v>
      </c>
      <c r="F1598" s="0" t="n">
        <f aca="true">CRITBINOM(E1598,Coefficients!$B$31,RAND())</f>
        <v>0</v>
      </c>
      <c r="G1598" s="0" t="n">
        <f aca="true">CRITBINOM(MAX(0,D1598-E1598),1-Coefficients!$B$32,RAND())</f>
        <v>0</v>
      </c>
      <c r="H1598" s="0" t="n">
        <f aca="true">CRITBINOM(MAX(0,$C1598-D1598),MIN(0.6,Matchup!$B$40*SQRT($B1598)/(1-MIN(0.75,Matchup!$B$39*$B1598))),RAND())</f>
        <v>1</v>
      </c>
      <c r="I1598" s="0" t="n">
        <f aca="false">6*D1598+(D1598-E1598-G1598)+2*F1598+3*H1598</f>
        <v>38</v>
      </c>
      <c r="J1598" s="0" t="n">
        <f aca="true">CRITBINOM($C1598,MIN(0.75,Matchup!$C$39*$B1598),RAND())</f>
        <v>3</v>
      </c>
      <c r="K1598" s="0" t="n">
        <f aca="true">CRITBINOM(J1598,Coefficients!$B$30,RAND())</f>
        <v>2</v>
      </c>
      <c r="L1598" s="0" t="n">
        <f aca="true">CRITBINOM(K1598,Coefficients!$B$31,RAND())</f>
        <v>2</v>
      </c>
      <c r="M1598" s="0" t="n">
        <f aca="true">CRITBINOM(MAX(0,J1598-K1598),1-Coefficients!$B$32,RAND())</f>
        <v>0</v>
      </c>
      <c r="N1598" s="0" t="n">
        <f aca="true">CRITBINOM(MAX(0,$C1598-J1598),MIN(0.6,Matchup!$C$40*SQRT($B1598)/(1-MIN(0.75,Matchup!$C$39*$B1598))),RAND())</f>
        <v>2</v>
      </c>
      <c r="O1598" s="0" t="n">
        <f aca="false">6*J1598+(J1598-K1598-M1598)+2*L1598+3*N1598</f>
        <v>29</v>
      </c>
      <c r="P1598" s="0" t="n">
        <f aca="true">RAND()</f>
        <v>0.292356782145784</v>
      </c>
      <c r="Q1598" s="0" t="n">
        <f aca="true">RAND()</f>
        <v>0.293686448078859</v>
      </c>
      <c r="R1598" s="0" t="n">
        <f aca="false">IF($I1598&lt;&gt;$O1598,0,IF(P1598&lt;Matchup!$B$39,7,IF(P1598&lt;Matchup!$B$39+Matchup!$B$40,3,0)))</f>
        <v>0</v>
      </c>
      <c r="S1598" s="0" t="n">
        <f aca="false">IF($I1598&lt;&gt;$O1598,0,IF(Q1598&lt;Matchup!$C$39,7,IF(Q1598&lt;Matchup!$C$39+Matchup!$C$40,3,0)))</f>
        <v>0</v>
      </c>
      <c r="T1598" s="0" t="n">
        <f aca="false">I1598+R1598</f>
        <v>38</v>
      </c>
      <c r="U1598" s="0" t="n">
        <f aca="false">O1598+S1598</f>
        <v>29</v>
      </c>
      <c r="V1598" s="0" t="n">
        <f aca="false">T1598-U1598</f>
        <v>9</v>
      </c>
      <c r="W1598" s="0" t="n">
        <f aca="false">T1598+U1598</f>
        <v>67</v>
      </c>
    </row>
    <row r="1599" customFormat="false" ht="15" hidden="false" customHeight="false" outlineLevel="0" collapsed="false">
      <c r="A1599" s="0" t="n">
        <v>1596</v>
      </c>
      <c r="B1599" s="0" t="n">
        <f aca="true">NORMINV(RAND(),1,Coefficients!$B$22)</f>
        <v>0.986963688283395</v>
      </c>
      <c r="C1599" s="0" t="n">
        <f aca="true">MEDIAN(8,16,ROUND(NORMINV(RAND(),Coefficients!$B$20,Coefficients!$B$21),0))</f>
        <v>10</v>
      </c>
      <c r="D1599" s="0" t="n">
        <f aca="true">CRITBINOM($C1599,MIN(0.75,Matchup!$B$39*$B1599),RAND())</f>
        <v>2</v>
      </c>
      <c r="E1599" s="0" t="n">
        <f aca="true">CRITBINOM(D1599,Coefficients!$B$30,RAND())</f>
        <v>0</v>
      </c>
      <c r="F1599" s="0" t="n">
        <f aca="true">CRITBINOM(E1599,Coefficients!$B$31,RAND())</f>
        <v>0</v>
      </c>
      <c r="G1599" s="0" t="n">
        <f aca="true">CRITBINOM(MAX(0,D1599-E1599),1-Coefficients!$B$32,RAND())</f>
        <v>0</v>
      </c>
      <c r="H1599" s="0" t="n">
        <f aca="true">CRITBINOM(MAX(0,$C1599-D1599),MIN(0.6,Matchup!$B$40*SQRT($B1599)/(1-MIN(0.75,Matchup!$B$39*$B1599))),RAND())</f>
        <v>3</v>
      </c>
      <c r="I1599" s="0" t="n">
        <f aca="false">6*D1599+(D1599-E1599-G1599)+2*F1599+3*H1599</f>
        <v>23</v>
      </c>
      <c r="J1599" s="0" t="n">
        <f aca="true">CRITBINOM($C1599,MIN(0.75,Matchup!$C$39*$B1599),RAND())</f>
        <v>4</v>
      </c>
      <c r="K1599" s="0" t="n">
        <f aca="true">CRITBINOM(J1599,Coefficients!$B$30,RAND())</f>
        <v>0</v>
      </c>
      <c r="L1599" s="0" t="n">
        <f aca="true">CRITBINOM(K1599,Coefficients!$B$31,RAND())</f>
        <v>0</v>
      </c>
      <c r="M1599" s="0" t="n">
        <f aca="true">CRITBINOM(MAX(0,J1599-K1599),1-Coefficients!$B$32,RAND())</f>
        <v>0</v>
      </c>
      <c r="N1599" s="0" t="n">
        <f aca="true">CRITBINOM(MAX(0,$C1599-J1599),MIN(0.6,Matchup!$C$40*SQRT($B1599)/(1-MIN(0.75,Matchup!$C$39*$B1599))),RAND())</f>
        <v>1</v>
      </c>
      <c r="O1599" s="0" t="n">
        <f aca="false">6*J1599+(J1599-K1599-M1599)+2*L1599+3*N1599</f>
        <v>31</v>
      </c>
      <c r="P1599" s="0" t="n">
        <f aca="true">RAND()</f>
        <v>0.990757586497137</v>
      </c>
      <c r="Q1599" s="0" t="n">
        <f aca="true">RAND()</f>
        <v>0.149145140555379</v>
      </c>
      <c r="R1599" s="0" t="n">
        <f aca="false">IF($I1599&lt;&gt;$O1599,0,IF(P1599&lt;Matchup!$B$39,7,IF(P1599&lt;Matchup!$B$39+Matchup!$B$40,3,0)))</f>
        <v>0</v>
      </c>
      <c r="S1599" s="0" t="n">
        <f aca="false">IF($I1599&lt;&gt;$O1599,0,IF(Q1599&lt;Matchup!$C$39,7,IF(Q1599&lt;Matchup!$C$39+Matchup!$C$40,3,0)))</f>
        <v>0</v>
      </c>
      <c r="T1599" s="0" t="n">
        <f aca="false">I1599+R1599</f>
        <v>23</v>
      </c>
      <c r="U1599" s="0" t="n">
        <f aca="false">O1599+S1599</f>
        <v>31</v>
      </c>
      <c r="V1599" s="0" t="n">
        <f aca="false">T1599-U1599</f>
        <v>-8</v>
      </c>
      <c r="W1599" s="0" t="n">
        <f aca="false">T1599+U1599</f>
        <v>54</v>
      </c>
    </row>
    <row r="1600" customFormat="false" ht="15" hidden="false" customHeight="false" outlineLevel="0" collapsed="false">
      <c r="A1600" s="0" t="n">
        <v>1597</v>
      </c>
      <c r="B1600" s="0" t="n">
        <f aca="true">NORMINV(RAND(),1,Coefficients!$B$22)</f>
        <v>1.06650105223558</v>
      </c>
      <c r="C1600" s="0" t="n">
        <f aca="true">MEDIAN(8,16,ROUND(NORMINV(RAND(),Coefficients!$B$20,Coefficients!$B$21),0))</f>
        <v>11</v>
      </c>
      <c r="D1600" s="0" t="n">
        <f aca="true">CRITBINOM($C1600,MIN(0.75,Matchup!$B$39*$B1600),RAND())</f>
        <v>3</v>
      </c>
      <c r="E1600" s="0" t="n">
        <f aca="true">CRITBINOM(D1600,Coefficients!$B$30,RAND())</f>
        <v>1</v>
      </c>
      <c r="F1600" s="0" t="n">
        <f aca="true">CRITBINOM(E1600,Coefficients!$B$31,RAND())</f>
        <v>1</v>
      </c>
      <c r="G1600" s="0" t="n">
        <f aca="true">CRITBINOM(MAX(0,D1600-E1600),1-Coefficients!$B$32,RAND())</f>
        <v>0</v>
      </c>
      <c r="H1600" s="0" t="n">
        <f aca="true">CRITBINOM(MAX(0,$C1600-D1600),MIN(0.6,Matchup!$B$40*SQRT($B1600)/(1-MIN(0.75,Matchup!$B$39*$B1600))),RAND())</f>
        <v>2</v>
      </c>
      <c r="I1600" s="0" t="n">
        <f aca="false">6*D1600+(D1600-E1600-G1600)+2*F1600+3*H1600</f>
        <v>28</v>
      </c>
      <c r="J1600" s="0" t="n">
        <f aca="true">CRITBINOM($C1600,MIN(0.75,Matchup!$C$39*$B1600),RAND())</f>
        <v>2</v>
      </c>
      <c r="K1600" s="0" t="n">
        <f aca="true">CRITBINOM(J1600,Coefficients!$B$30,RAND())</f>
        <v>0</v>
      </c>
      <c r="L1600" s="0" t="n">
        <f aca="true">CRITBINOM(K1600,Coefficients!$B$31,RAND())</f>
        <v>0</v>
      </c>
      <c r="M1600" s="0" t="n">
        <f aca="true">CRITBINOM(MAX(0,J1600-K1600),1-Coefficients!$B$32,RAND())</f>
        <v>0</v>
      </c>
      <c r="N1600" s="0" t="n">
        <f aca="true">CRITBINOM(MAX(0,$C1600-J1600),MIN(0.6,Matchup!$C$40*SQRT($B1600)/(1-MIN(0.75,Matchup!$C$39*$B1600))),RAND())</f>
        <v>2</v>
      </c>
      <c r="O1600" s="0" t="n">
        <f aca="false">6*J1600+(J1600-K1600-M1600)+2*L1600+3*N1600</f>
        <v>20</v>
      </c>
      <c r="P1600" s="0" t="n">
        <f aca="true">RAND()</f>
        <v>0.834919786674892</v>
      </c>
      <c r="Q1600" s="0" t="n">
        <f aca="true">RAND()</f>
        <v>0.641239159053438</v>
      </c>
      <c r="R1600" s="0" t="n">
        <f aca="false">IF($I1600&lt;&gt;$O1600,0,IF(P1600&lt;Matchup!$B$39,7,IF(P1600&lt;Matchup!$B$39+Matchup!$B$40,3,0)))</f>
        <v>0</v>
      </c>
      <c r="S1600" s="0" t="n">
        <f aca="false">IF($I1600&lt;&gt;$O1600,0,IF(Q1600&lt;Matchup!$C$39,7,IF(Q1600&lt;Matchup!$C$39+Matchup!$C$40,3,0)))</f>
        <v>0</v>
      </c>
      <c r="T1600" s="0" t="n">
        <f aca="false">I1600+R1600</f>
        <v>28</v>
      </c>
      <c r="U1600" s="0" t="n">
        <f aca="false">O1600+S1600</f>
        <v>20</v>
      </c>
      <c r="V1600" s="0" t="n">
        <f aca="false">T1600-U1600</f>
        <v>8</v>
      </c>
      <c r="W1600" s="0" t="n">
        <f aca="false">T1600+U1600</f>
        <v>48</v>
      </c>
    </row>
    <row r="1601" customFormat="false" ht="15" hidden="false" customHeight="false" outlineLevel="0" collapsed="false">
      <c r="A1601" s="0" t="n">
        <v>1598</v>
      </c>
      <c r="B1601" s="0" t="n">
        <f aca="true">NORMINV(RAND(),1,Coefficients!$B$22)</f>
        <v>1.02510258051177</v>
      </c>
      <c r="C1601" s="0" t="n">
        <f aca="true">MEDIAN(8,16,ROUND(NORMINV(RAND(),Coefficients!$B$20,Coefficients!$B$21),0))</f>
        <v>10</v>
      </c>
      <c r="D1601" s="0" t="n">
        <f aca="true">CRITBINOM($C1601,MIN(0.75,Matchup!$B$39*$B1601),RAND())</f>
        <v>2</v>
      </c>
      <c r="E1601" s="0" t="n">
        <f aca="true">CRITBINOM(D1601,Coefficients!$B$30,RAND())</f>
        <v>0</v>
      </c>
      <c r="F1601" s="0" t="n">
        <f aca="true">CRITBINOM(E1601,Coefficients!$B$31,RAND())</f>
        <v>0</v>
      </c>
      <c r="G1601" s="0" t="n">
        <f aca="true">CRITBINOM(MAX(0,D1601-E1601),1-Coefficients!$B$32,RAND())</f>
        <v>0</v>
      </c>
      <c r="H1601" s="0" t="n">
        <f aca="true">CRITBINOM(MAX(0,$C1601-D1601),MIN(0.6,Matchup!$B$40*SQRT($B1601)/(1-MIN(0.75,Matchup!$B$39*$B1601))),RAND())</f>
        <v>6</v>
      </c>
      <c r="I1601" s="0" t="n">
        <f aca="false">6*D1601+(D1601-E1601-G1601)+2*F1601+3*H1601</f>
        <v>32</v>
      </c>
      <c r="J1601" s="0" t="n">
        <f aca="true">CRITBINOM($C1601,MIN(0.75,Matchup!$C$39*$B1601),RAND())</f>
        <v>3</v>
      </c>
      <c r="K1601" s="0" t="n">
        <f aca="true">CRITBINOM(J1601,Coefficients!$B$30,RAND())</f>
        <v>1</v>
      </c>
      <c r="L1601" s="0" t="n">
        <f aca="true">CRITBINOM(K1601,Coefficients!$B$31,RAND())</f>
        <v>0</v>
      </c>
      <c r="M1601" s="0" t="n">
        <f aca="true">CRITBINOM(MAX(0,J1601-K1601),1-Coefficients!$B$32,RAND())</f>
        <v>0</v>
      </c>
      <c r="N1601" s="0" t="n">
        <f aca="true">CRITBINOM(MAX(0,$C1601-J1601),MIN(0.6,Matchup!$C$40*SQRT($B1601)/(1-MIN(0.75,Matchup!$C$39*$B1601))),RAND())</f>
        <v>0</v>
      </c>
      <c r="O1601" s="0" t="n">
        <f aca="false">6*J1601+(J1601-K1601-M1601)+2*L1601+3*N1601</f>
        <v>20</v>
      </c>
      <c r="P1601" s="0" t="n">
        <f aca="true">RAND()</f>
        <v>0.257372231018971</v>
      </c>
      <c r="Q1601" s="0" t="n">
        <f aca="true">RAND()</f>
        <v>0.141728434131189</v>
      </c>
      <c r="R1601" s="0" t="n">
        <f aca="false">IF($I1601&lt;&gt;$O1601,0,IF(P1601&lt;Matchup!$B$39,7,IF(P1601&lt;Matchup!$B$39+Matchup!$B$40,3,0)))</f>
        <v>0</v>
      </c>
      <c r="S1601" s="0" t="n">
        <f aca="false">IF($I1601&lt;&gt;$O1601,0,IF(Q1601&lt;Matchup!$C$39,7,IF(Q1601&lt;Matchup!$C$39+Matchup!$C$40,3,0)))</f>
        <v>0</v>
      </c>
      <c r="T1601" s="0" t="n">
        <f aca="false">I1601+R1601</f>
        <v>32</v>
      </c>
      <c r="U1601" s="0" t="n">
        <f aca="false">O1601+S1601</f>
        <v>20</v>
      </c>
      <c r="V1601" s="0" t="n">
        <f aca="false">T1601-U1601</f>
        <v>12</v>
      </c>
      <c r="W1601" s="0" t="n">
        <f aca="false">T1601+U1601</f>
        <v>52</v>
      </c>
    </row>
    <row r="1602" customFormat="false" ht="15" hidden="false" customHeight="false" outlineLevel="0" collapsed="false">
      <c r="A1602" s="0" t="n">
        <v>1599</v>
      </c>
      <c r="B1602" s="0" t="n">
        <f aca="true">NORMINV(RAND(),1,Coefficients!$B$22)</f>
        <v>0.90441228101559</v>
      </c>
      <c r="C1602" s="0" t="n">
        <f aca="true">MEDIAN(8,16,ROUND(NORMINV(RAND(),Coefficients!$B$20,Coefficients!$B$21),0))</f>
        <v>11</v>
      </c>
      <c r="D1602" s="0" t="n">
        <f aca="true">CRITBINOM($C1602,MIN(0.75,Matchup!$B$39*$B1602),RAND())</f>
        <v>2</v>
      </c>
      <c r="E1602" s="0" t="n">
        <f aca="true">CRITBINOM(D1602,Coefficients!$B$30,RAND())</f>
        <v>0</v>
      </c>
      <c r="F1602" s="0" t="n">
        <f aca="true">CRITBINOM(E1602,Coefficients!$B$31,RAND())</f>
        <v>0</v>
      </c>
      <c r="G1602" s="0" t="n">
        <f aca="true">CRITBINOM(MAX(0,D1602-E1602),1-Coefficients!$B$32,RAND())</f>
        <v>0</v>
      </c>
      <c r="H1602" s="0" t="n">
        <f aca="true">CRITBINOM(MAX(0,$C1602-D1602),MIN(0.6,Matchup!$B$40*SQRT($B1602)/(1-MIN(0.75,Matchup!$B$39*$B1602))),RAND())</f>
        <v>0</v>
      </c>
      <c r="I1602" s="0" t="n">
        <f aca="false">6*D1602+(D1602-E1602-G1602)+2*F1602+3*H1602</f>
        <v>14</v>
      </c>
      <c r="J1602" s="0" t="n">
        <f aca="true">CRITBINOM($C1602,MIN(0.75,Matchup!$C$39*$B1602),RAND())</f>
        <v>0</v>
      </c>
      <c r="K1602" s="0" t="n">
        <f aca="true">CRITBINOM(J1602,Coefficients!$B$30,RAND())</f>
        <v>0</v>
      </c>
      <c r="L1602" s="0" t="n">
        <f aca="true">CRITBINOM(K1602,Coefficients!$B$31,RAND())</f>
        <v>0</v>
      </c>
      <c r="M1602" s="0" t="n">
        <f aca="true">CRITBINOM(MAX(0,J1602-K1602),1-Coefficients!$B$32,RAND())</f>
        <v>0</v>
      </c>
      <c r="N1602" s="0" t="n">
        <f aca="true">CRITBINOM(MAX(0,$C1602-J1602),MIN(0.6,Matchup!$C$40*SQRT($B1602)/(1-MIN(0.75,Matchup!$C$39*$B1602))),RAND())</f>
        <v>2</v>
      </c>
      <c r="O1602" s="0" t="n">
        <f aca="false">6*J1602+(J1602-K1602-M1602)+2*L1602+3*N1602</f>
        <v>6</v>
      </c>
      <c r="P1602" s="0" t="n">
        <f aca="true">RAND()</f>
        <v>0.828038670299852</v>
      </c>
      <c r="Q1602" s="0" t="n">
        <f aca="true">RAND()</f>
        <v>0.43358059437024</v>
      </c>
      <c r="R1602" s="0" t="n">
        <f aca="false">IF($I1602&lt;&gt;$O1602,0,IF(P1602&lt;Matchup!$B$39,7,IF(P1602&lt;Matchup!$B$39+Matchup!$B$40,3,0)))</f>
        <v>0</v>
      </c>
      <c r="S1602" s="0" t="n">
        <f aca="false">IF($I1602&lt;&gt;$O1602,0,IF(Q1602&lt;Matchup!$C$39,7,IF(Q1602&lt;Matchup!$C$39+Matchup!$C$40,3,0)))</f>
        <v>0</v>
      </c>
      <c r="T1602" s="0" t="n">
        <f aca="false">I1602+R1602</f>
        <v>14</v>
      </c>
      <c r="U1602" s="0" t="n">
        <f aca="false">O1602+S1602</f>
        <v>6</v>
      </c>
      <c r="V1602" s="0" t="n">
        <f aca="false">T1602-U1602</f>
        <v>8</v>
      </c>
      <c r="W1602" s="0" t="n">
        <f aca="false">T1602+U1602</f>
        <v>20</v>
      </c>
    </row>
    <row r="1603" customFormat="false" ht="15" hidden="false" customHeight="false" outlineLevel="0" collapsed="false">
      <c r="A1603" s="0" t="n">
        <v>1600</v>
      </c>
      <c r="B1603" s="0" t="n">
        <f aca="true">NORMINV(RAND(),1,Coefficients!$B$22)</f>
        <v>1.04001875312506</v>
      </c>
      <c r="C1603" s="0" t="n">
        <f aca="true">MEDIAN(8,16,ROUND(NORMINV(RAND(),Coefficients!$B$20,Coefficients!$B$21),0))</f>
        <v>11</v>
      </c>
      <c r="D1603" s="0" t="n">
        <f aca="true">CRITBINOM($C1603,MIN(0.75,Matchup!$B$39*$B1603),RAND())</f>
        <v>5</v>
      </c>
      <c r="E1603" s="0" t="n">
        <f aca="true">CRITBINOM(D1603,Coefficients!$B$30,RAND())</f>
        <v>1</v>
      </c>
      <c r="F1603" s="0" t="n">
        <f aca="true">CRITBINOM(E1603,Coefficients!$B$31,RAND())</f>
        <v>0</v>
      </c>
      <c r="G1603" s="0" t="n">
        <f aca="true">CRITBINOM(MAX(0,D1603-E1603),1-Coefficients!$B$32,RAND())</f>
        <v>0</v>
      </c>
      <c r="H1603" s="0" t="n">
        <f aca="true">CRITBINOM(MAX(0,$C1603-D1603),MIN(0.6,Matchup!$B$40*SQRT($B1603)/(1-MIN(0.75,Matchup!$B$39*$B1603))),RAND())</f>
        <v>2</v>
      </c>
      <c r="I1603" s="0" t="n">
        <f aca="false">6*D1603+(D1603-E1603-G1603)+2*F1603+3*H1603</f>
        <v>40</v>
      </c>
      <c r="J1603" s="0" t="n">
        <f aca="true">CRITBINOM($C1603,MIN(0.75,Matchup!$C$39*$B1603),RAND())</f>
        <v>4</v>
      </c>
      <c r="K1603" s="0" t="n">
        <f aca="true">CRITBINOM(J1603,Coefficients!$B$30,RAND())</f>
        <v>1</v>
      </c>
      <c r="L1603" s="0" t="n">
        <f aca="true">CRITBINOM(K1603,Coefficients!$B$31,RAND())</f>
        <v>1</v>
      </c>
      <c r="M1603" s="0" t="n">
        <f aca="true">CRITBINOM(MAX(0,J1603-K1603),1-Coefficients!$B$32,RAND())</f>
        <v>0</v>
      </c>
      <c r="N1603" s="0" t="n">
        <f aca="true">CRITBINOM(MAX(0,$C1603-J1603),MIN(0.6,Matchup!$C$40*SQRT($B1603)/(1-MIN(0.75,Matchup!$C$39*$B1603))),RAND())</f>
        <v>2</v>
      </c>
      <c r="O1603" s="0" t="n">
        <f aca="false">6*J1603+(J1603-K1603-M1603)+2*L1603+3*N1603</f>
        <v>35</v>
      </c>
      <c r="P1603" s="0" t="n">
        <f aca="true">RAND()</f>
        <v>0.67748724377945</v>
      </c>
      <c r="Q1603" s="0" t="n">
        <f aca="true">RAND()</f>
        <v>0.630436181707821</v>
      </c>
      <c r="R1603" s="0" t="n">
        <f aca="false">IF($I1603&lt;&gt;$O1603,0,IF(P1603&lt;Matchup!$B$39,7,IF(P1603&lt;Matchup!$B$39+Matchup!$B$40,3,0)))</f>
        <v>0</v>
      </c>
      <c r="S1603" s="0" t="n">
        <f aca="false">IF($I1603&lt;&gt;$O1603,0,IF(Q1603&lt;Matchup!$C$39,7,IF(Q1603&lt;Matchup!$C$39+Matchup!$C$40,3,0)))</f>
        <v>0</v>
      </c>
      <c r="T1603" s="0" t="n">
        <f aca="false">I1603+R1603</f>
        <v>40</v>
      </c>
      <c r="U1603" s="0" t="n">
        <f aca="false">O1603+S1603</f>
        <v>35</v>
      </c>
      <c r="V1603" s="0" t="n">
        <f aca="false">T1603-U1603</f>
        <v>5</v>
      </c>
      <c r="W1603" s="0" t="n">
        <f aca="false">T1603+U1603</f>
        <v>75</v>
      </c>
    </row>
    <row r="1604" customFormat="false" ht="15" hidden="false" customHeight="false" outlineLevel="0" collapsed="false">
      <c r="A1604" s="0" t="n">
        <v>1601</v>
      </c>
      <c r="B1604" s="0" t="n">
        <f aca="true">NORMINV(RAND(),1,Coefficients!$B$22)</f>
        <v>0.868942001998115</v>
      </c>
      <c r="C1604" s="0" t="n">
        <f aca="true">MEDIAN(8,16,ROUND(NORMINV(RAND(),Coefficients!$B$20,Coefficients!$B$21),0))</f>
        <v>11</v>
      </c>
      <c r="D1604" s="0" t="n">
        <f aca="true">CRITBINOM($C1604,MIN(0.75,Matchup!$B$39*$B1604),RAND())</f>
        <v>2</v>
      </c>
      <c r="E1604" s="0" t="n">
        <f aca="true">CRITBINOM(D1604,Coefficients!$B$30,RAND())</f>
        <v>0</v>
      </c>
      <c r="F1604" s="0" t="n">
        <f aca="true">CRITBINOM(E1604,Coefficients!$B$31,RAND())</f>
        <v>0</v>
      </c>
      <c r="G1604" s="0" t="n">
        <f aca="true">CRITBINOM(MAX(0,D1604-E1604),1-Coefficients!$B$32,RAND())</f>
        <v>0</v>
      </c>
      <c r="H1604" s="0" t="n">
        <f aca="true">CRITBINOM(MAX(0,$C1604-D1604),MIN(0.6,Matchup!$B$40*SQRT($B1604)/(1-MIN(0.75,Matchup!$B$39*$B1604))),RAND())</f>
        <v>2</v>
      </c>
      <c r="I1604" s="0" t="n">
        <f aca="false">6*D1604+(D1604-E1604-G1604)+2*F1604+3*H1604</f>
        <v>20</v>
      </c>
      <c r="J1604" s="0" t="n">
        <f aca="true">CRITBINOM($C1604,MIN(0.75,Matchup!$C$39*$B1604),RAND())</f>
        <v>3</v>
      </c>
      <c r="K1604" s="0" t="n">
        <f aca="true">CRITBINOM(J1604,Coefficients!$B$30,RAND())</f>
        <v>1</v>
      </c>
      <c r="L1604" s="0" t="n">
        <f aca="true">CRITBINOM(K1604,Coefficients!$B$31,RAND())</f>
        <v>1</v>
      </c>
      <c r="M1604" s="0" t="n">
        <f aca="true">CRITBINOM(MAX(0,J1604-K1604),1-Coefficients!$B$32,RAND())</f>
        <v>0</v>
      </c>
      <c r="N1604" s="0" t="n">
        <f aca="true">CRITBINOM(MAX(0,$C1604-J1604),MIN(0.6,Matchup!$C$40*SQRT($B1604)/(1-MIN(0.75,Matchup!$C$39*$B1604))),RAND())</f>
        <v>1</v>
      </c>
      <c r="O1604" s="0" t="n">
        <f aca="false">6*J1604+(J1604-K1604-M1604)+2*L1604+3*N1604</f>
        <v>25</v>
      </c>
      <c r="P1604" s="0" t="n">
        <f aca="true">RAND()</f>
        <v>0.901649751758759</v>
      </c>
      <c r="Q1604" s="0" t="n">
        <f aca="true">RAND()</f>
        <v>0.357679848957882</v>
      </c>
      <c r="R1604" s="0" t="n">
        <f aca="false">IF($I1604&lt;&gt;$O1604,0,IF(P1604&lt;Matchup!$B$39,7,IF(P1604&lt;Matchup!$B$39+Matchup!$B$40,3,0)))</f>
        <v>0</v>
      </c>
      <c r="S1604" s="0" t="n">
        <f aca="false">IF($I1604&lt;&gt;$O1604,0,IF(Q1604&lt;Matchup!$C$39,7,IF(Q1604&lt;Matchup!$C$39+Matchup!$C$40,3,0)))</f>
        <v>0</v>
      </c>
      <c r="T1604" s="0" t="n">
        <f aca="false">I1604+R1604</f>
        <v>20</v>
      </c>
      <c r="U1604" s="0" t="n">
        <f aca="false">O1604+S1604</f>
        <v>25</v>
      </c>
      <c r="V1604" s="0" t="n">
        <f aca="false">T1604-U1604</f>
        <v>-5</v>
      </c>
      <c r="W1604" s="0" t="n">
        <f aca="false">T1604+U1604</f>
        <v>45</v>
      </c>
    </row>
    <row r="1605" customFormat="false" ht="15" hidden="false" customHeight="false" outlineLevel="0" collapsed="false">
      <c r="A1605" s="0" t="n">
        <v>1602</v>
      </c>
      <c r="B1605" s="0" t="n">
        <f aca="true">NORMINV(RAND(),1,Coefficients!$B$22)</f>
        <v>1.0630403034286</v>
      </c>
      <c r="C1605" s="0" t="n">
        <f aca="true">MEDIAN(8,16,ROUND(NORMINV(RAND(),Coefficients!$B$20,Coefficients!$B$21),0))</f>
        <v>12</v>
      </c>
      <c r="D1605" s="0" t="n">
        <f aca="true">CRITBINOM($C1605,MIN(0.75,Matchup!$B$39*$B1605),RAND())</f>
        <v>6</v>
      </c>
      <c r="E1605" s="0" t="n">
        <f aca="true">CRITBINOM(D1605,Coefficients!$B$30,RAND())</f>
        <v>1</v>
      </c>
      <c r="F1605" s="0" t="n">
        <f aca="true">CRITBINOM(E1605,Coefficients!$B$31,RAND())</f>
        <v>0</v>
      </c>
      <c r="G1605" s="0" t="n">
        <f aca="true">CRITBINOM(MAX(0,D1605-E1605),1-Coefficients!$B$32,RAND())</f>
        <v>2</v>
      </c>
      <c r="H1605" s="0" t="n">
        <f aca="true">CRITBINOM(MAX(0,$C1605-D1605),MIN(0.6,Matchup!$B$40*SQRT($B1605)/(1-MIN(0.75,Matchup!$B$39*$B1605))),RAND())</f>
        <v>0</v>
      </c>
      <c r="I1605" s="0" t="n">
        <f aca="false">6*D1605+(D1605-E1605-G1605)+2*F1605+3*H1605</f>
        <v>39</v>
      </c>
      <c r="J1605" s="0" t="n">
        <f aca="true">CRITBINOM($C1605,MIN(0.75,Matchup!$C$39*$B1605),RAND())</f>
        <v>3</v>
      </c>
      <c r="K1605" s="0" t="n">
        <f aca="true">CRITBINOM(J1605,Coefficients!$B$30,RAND())</f>
        <v>0</v>
      </c>
      <c r="L1605" s="0" t="n">
        <f aca="true">CRITBINOM(K1605,Coefficients!$B$31,RAND())</f>
        <v>0</v>
      </c>
      <c r="M1605" s="0" t="n">
        <f aca="true">CRITBINOM(MAX(0,J1605-K1605),1-Coefficients!$B$32,RAND())</f>
        <v>0</v>
      </c>
      <c r="N1605" s="0" t="n">
        <f aca="true">CRITBINOM(MAX(0,$C1605-J1605),MIN(0.6,Matchup!$C$40*SQRT($B1605)/(1-MIN(0.75,Matchup!$C$39*$B1605))),RAND())</f>
        <v>2</v>
      </c>
      <c r="O1605" s="0" t="n">
        <f aca="false">6*J1605+(J1605-K1605-M1605)+2*L1605+3*N1605</f>
        <v>27</v>
      </c>
      <c r="P1605" s="0" t="n">
        <f aca="true">RAND()</f>
        <v>0.961005611715178</v>
      </c>
      <c r="Q1605" s="0" t="n">
        <f aca="true">RAND()</f>
        <v>0.408171725450404</v>
      </c>
      <c r="R1605" s="0" t="n">
        <f aca="false">IF($I1605&lt;&gt;$O1605,0,IF(P1605&lt;Matchup!$B$39,7,IF(P1605&lt;Matchup!$B$39+Matchup!$B$40,3,0)))</f>
        <v>0</v>
      </c>
      <c r="S1605" s="0" t="n">
        <f aca="false">IF($I1605&lt;&gt;$O1605,0,IF(Q1605&lt;Matchup!$C$39,7,IF(Q1605&lt;Matchup!$C$39+Matchup!$C$40,3,0)))</f>
        <v>0</v>
      </c>
      <c r="T1605" s="0" t="n">
        <f aca="false">I1605+R1605</f>
        <v>39</v>
      </c>
      <c r="U1605" s="0" t="n">
        <f aca="false">O1605+S1605</f>
        <v>27</v>
      </c>
      <c r="V1605" s="0" t="n">
        <f aca="false">T1605-U1605</f>
        <v>12</v>
      </c>
      <c r="W1605" s="0" t="n">
        <f aca="false">T1605+U1605</f>
        <v>66</v>
      </c>
    </row>
    <row r="1606" customFormat="false" ht="15" hidden="false" customHeight="false" outlineLevel="0" collapsed="false">
      <c r="A1606" s="0" t="n">
        <v>1603</v>
      </c>
      <c r="B1606" s="0" t="n">
        <f aca="true">NORMINV(RAND(),1,Coefficients!$B$22)</f>
        <v>0.992108512954543</v>
      </c>
      <c r="C1606" s="0" t="n">
        <f aca="true">MEDIAN(8,16,ROUND(NORMINV(RAND(),Coefficients!$B$20,Coefficients!$B$21),0))</f>
        <v>8</v>
      </c>
      <c r="D1606" s="0" t="n">
        <f aca="true">CRITBINOM($C1606,MIN(0.75,Matchup!$B$39*$B1606),RAND())</f>
        <v>4</v>
      </c>
      <c r="E1606" s="0" t="n">
        <f aca="true">CRITBINOM(D1606,Coefficients!$B$30,RAND())</f>
        <v>1</v>
      </c>
      <c r="F1606" s="0" t="n">
        <f aca="true">CRITBINOM(E1606,Coefficients!$B$31,RAND())</f>
        <v>0</v>
      </c>
      <c r="G1606" s="0" t="n">
        <f aca="true">CRITBINOM(MAX(0,D1606-E1606),1-Coefficients!$B$32,RAND())</f>
        <v>0</v>
      </c>
      <c r="H1606" s="0" t="n">
        <f aca="true">CRITBINOM(MAX(0,$C1606-D1606),MIN(0.6,Matchup!$B$40*SQRT($B1606)/(1-MIN(0.75,Matchup!$B$39*$B1606))),RAND())</f>
        <v>2</v>
      </c>
      <c r="I1606" s="0" t="n">
        <f aca="false">6*D1606+(D1606-E1606-G1606)+2*F1606+3*H1606</f>
        <v>33</v>
      </c>
      <c r="J1606" s="0" t="n">
        <f aca="true">CRITBINOM($C1606,MIN(0.75,Matchup!$C$39*$B1606),RAND())</f>
        <v>0</v>
      </c>
      <c r="K1606" s="0" t="n">
        <f aca="true">CRITBINOM(J1606,Coefficients!$B$30,RAND())</f>
        <v>0</v>
      </c>
      <c r="L1606" s="0" t="n">
        <f aca="true">CRITBINOM(K1606,Coefficients!$B$31,RAND())</f>
        <v>0</v>
      </c>
      <c r="M1606" s="0" t="n">
        <f aca="true">CRITBINOM(MAX(0,J1606-K1606),1-Coefficients!$B$32,RAND())</f>
        <v>0</v>
      </c>
      <c r="N1606" s="0" t="n">
        <f aca="true">CRITBINOM(MAX(0,$C1606-J1606),MIN(0.6,Matchup!$C$40*SQRT($B1606)/(1-MIN(0.75,Matchup!$C$39*$B1606))),RAND())</f>
        <v>0</v>
      </c>
      <c r="O1606" s="0" t="n">
        <f aca="false">6*J1606+(J1606-K1606-M1606)+2*L1606+3*N1606</f>
        <v>0</v>
      </c>
      <c r="P1606" s="0" t="n">
        <f aca="true">RAND()</f>
        <v>0.90218477651613</v>
      </c>
      <c r="Q1606" s="0" t="n">
        <f aca="true">RAND()</f>
        <v>0.643055756200058</v>
      </c>
      <c r="R1606" s="0" t="n">
        <f aca="false">IF($I1606&lt;&gt;$O1606,0,IF(P1606&lt;Matchup!$B$39,7,IF(P1606&lt;Matchup!$B$39+Matchup!$B$40,3,0)))</f>
        <v>0</v>
      </c>
      <c r="S1606" s="0" t="n">
        <f aca="false">IF($I1606&lt;&gt;$O1606,0,IF(Q1606&lt;Matchup!$C$39,7,IF(Q1606&lt;Matchup!$C$39+Matchup!$C$40,3,0)))</f>
        <v>0</v>
      </c>
      <c r="T1606" s="0" t="n">
        <f aca="false">I1606+R1606</f>
        <v>33</v>
      </c>
      <c r="U1606" s="0" t="n">
        <f aca="false">O1606+S1606</f>
        <v>0</v>
      </c>
      <c r="V1606" s="0" t="n">
        <f aca="false">T1606-U1606</f>
        <v>33</v>
      </c>
      <c r="W1606" s="0" t="n">
        <f aca="false">T1606+U1606</f>
        <v>33</v>
      </c>
    </row>
    <row r="1607" customFormat="false" ht="15" hidden="false" customHeight="false" outlineLevel="0" collapsed="false">
      <c r="A1607" s="0" t="n">
        <v>1604</v>
      </c>
      <c r="B1607" s="0" t="n">
        <f aca="true">NORMINV(RAND(),1,Coefficients!$B$22)</f>
        <v>1.00345725782074</v>
      </c>
      <c r="C1607" s="0" t="n">
        <f aca="true">MEDIAN(8,16,ROUND(NORMINV(RAND(),Coefficients!$B$20,Coefficients!$B$21),0))</f>
        <v>12</v>
      </c>
      <c r="D1607" s="0" t="n">
        <f aca="true">CRITBINOM($C1607,MIN(0.75,Matchup!$B$39*$B1607),RAND())</f>
        <v>4</v>
      </c>
      <c r="E1607" s="0" t="n">
        <f aca="true">CRITBINOM(D1607,Coefficients!$B$30,RAND())</f>
        <v>0</v>
      </c>
      <c r="F1607" s="0" t="n">
        <f aca="true">CRITBINOM(E1607,Coefficients!$B$31,RAND())</f>
        <v>0</v>
      </c>
      <c r="G1607" s="0" t="n">
        <f aca="true">CRITBINOM(MAX(0,D1607-E1607),1-Coefficients!$B$32,RAND())</f>
        <v>1</v>
      </c>
      <c r="H1607" s="0" t="n">
        <f aca="true">CRITBINOM(MAX(0,$C1607-D1607),MIN(0.6,Matchup!$B$40*SQRT($B1607)/(1-MIN(0.75,Matchup!$B$39*$B1607))),RAND())</f>
        <v>2</v>
      </c>
      <c r="I1607" s="0" t="n">
        <f aca="false">6*D1607+(D1607-E1607-G1607)+2*F1607+3*H1607</f>
        <v>33</v>
      </c>
      <c r="J1607" s="0" t="n">
        <f aca="true">CRITBINOM($C1607,MIN(0.75,Matchup!$C$39*$B1607),RAND())</f>
        <v>3</v>
      </c>
      <c r="K1607" s="0" t="n">
        <f aca="true">CRITBINOM(J1607,Coefficients!$B$30,RAND())</f>
        <v>0</v>
      </c>
      <c r="L1607" s="0" t="n">
        <f aca="true">CRITBINOM(K1607,Coefficients!$B$31,RAND())</f>
        <v>0</v>
      </c>
      <c r="M1607" s="0" t="n">
        <f aca="true">CRITBINOM(MAX(0,J1607-K1607),1-Coefficients!$B$32,RAND())</f>
        <v>1</v>
      </c>
      <c r="N1607" s="0" t="n">
        <f aca="true">CRITBINOM(MAX(0,$C1607-J1607),MIN(0.6,Matchup!$C$40*SQRT($B1607)/(1-MIN(0.75,Matchup!$C$39*$B1607))),RAND())</f>
        <v>3</v>
      </c>
      <c r="O1607" s="0" t="n">
        <f aca="false">6*J1607+(J1607-K1607-M1607)+2*L1607+3*N1607</f>
        <v>29</v>
      </c>
      <c r="P1607" s="0" t="n">
        <f aca="true">RAND()</f>
        <v>0.592399657974861</v>
      </c>
      <c r="Q1607" s="0" t="n">
        <f aca="true">RAND()</f>
        <v>0.300567255460153</v>
      </c>
      <c r="R1607" s="0" t="n">
        <f aca="false">IF($I1607&lt;&gt;$O1607,0,IF(P1607&lt;Matchup!$B$39,7,IF(P1607&lt;Matchup!$B$39+Matchup!$B$40,3,0)))</f>
        <v>0</v>
      </c>
      <c r="S1607" s="0" t="n">
        <f aca="false">IF($I1607&lt;&gt;$O1607,0,IF(Q1607&lt;Matchup!$C$39,7,IF(Q1607&lt;Matchup!$C$39+Matchup!$C$40,3,0)))</f>
        <v>0</v>
      </c>
      <c r="T1607" s="0" t="n">
        <f aca="false">I1607+R1607</f>
        <v>33</v>
      </c>
      <c r="U1607" s="0" t="n">
        <f aca="false">O1607+S1607</f>
        <v>29</v>
      </c>
      <c r="V1607" s="0" t="n">
        <f aca="false">T1607-U1607</f>
        <v>4</v>
      </c>
      <c r="W1607" s="0" t="n">
        <f aca="false">T1607+U1607</f>
        <v>62</v>
      </c>
    </row>
    <row r="1608" customFormat="false" ht="15" hidden="false" customHeight="false" outlineLevel="0" collapsed="false">
      <c r="A1608" s="0" t="n">
        <v>1605</v>
      </c>
      <c r="B1608" s="0" t="n">
        <f aca="true">NORMINV(RAND(),1,Coefficients!$B$22)</f>
        <v>0.866927593094895</v>
      </c>
      <c r="C1608" s="0" t="n">
        <f aca="true">MEDIAN(8,16,ROUND(NORMINV(RAND(),Coefficients!$B$20,Coefficients!$B$21),0))</f>
        <v>10</v>
      </c>
      <c r="D1608" s="0" t="n">
        <f aca="true">CRITBINOM($C1608,MIN(0.75,Matchup!$B$39*$B1608),RAND())</f>
        <v>4</v>
      </c>
      <c r="E1608" s="0" t="n">
        <f aca="true">CRITBINOM(D1608,Coefficients!$B$30,RAND())</f>
        <v>0</v>
      </c>
      <c r="F1608" s="0" t="n">
        <f aca="true">CRITBINOM(E1608,Coefficients!$B$31,RAND())</f>
        <v>0</v>
      </c>
      <c r="G1608" s="0" t="n">
        <f aca="true">CRITBINOM(MAX(0,D1608-E1608),1-Coefficients!$B$32,RAND())</f>
        <v>0</v>
      </c>
      <c r="H1608" s="0" t="n">
        <f aca="true">CRITBINOM(MAX(0,$C1608-D1608),MIN(0.6,Matchup!$B$40*SQRT($B1608)/(1-MIN(0.75,Matchup!$B$39*$B1608))),RAND())</f>
        <v>1</v>
      </c>
      <c r="I1608" s="0" t="n">
        <f aca="false">6*D1608+(D1608-E1608-G1608)+2*F1608+3*H1608</f>
        <v>31</v>
      </c>
      <c r="J1608" s="0" t="n">
        <f aca="true">CRITBINOM($C1608,MIN(0.75,Matchup!$C$39*$B1608),RAND())</f>
        <v>1</v>
      </c>
      <c r="K1608" s="0" t="n">
        <f aca="true">CRITBINOM(J1608,Coefficients!$B$30,RAND())</f>
        <v>0</v>
      </c>
      <c r="L1608" s="0" t="n">
        <f aca="true">CRITBINOM(K1608,Coefficients!$B$31,RAND())</f>
        <v>0</v>
      </c>
      <c r="M1608" s="0" t="n">
        <f aca="true">CRITBINOM(MAX(0,J1608-K1608),1-Coefficients!$B$32,RAND())</f>
        <v>0</v>
      </c>
      <c r="N1608" s="0" t="n">
        <f aca="true">CRITBINOM(MAX(0,$C1608-J1608),MIN(0.6,Matchup!$C$40*SQRT($B1608)/(1-MIN(0.75,Matchup!$C$39*$B1608))),RAND())</f>
        <v>2</v>
      </c>
      <c r="O1608" s="0" t="n">
        <f aca="false">6*J1608+(J1608-K1608-M1608)+2*L1608+3*N1608</f>
        <v>13</v>
      </c>
      <c r="P1608" s="0" t="n">
        <f aca="true">RAND()</f>
        <v>0.170399764204989</v>
      </c>
      <c r="Q1608" s="0" t="n">
        <f aca="true">RAND()</f>
        <v>0.75610761603945</v>
      </c>
      <c r="R1608" s="0" t="n">
        <f aca="false">IF($I1608&lt;&gt;$O1608,0,IF(P1608&lt;Matchup!$B$39,7,IF(P1608&lt;Matchup!$B$39+Matchup!$B$40,3,0)))</f>
        <v>0</v>
      </c>
      <c r="S1608" s="0" t="n">
        <f aca="false">IF($I1608&lt;&gt;$O1608,0,IF(Q1608&lt;Matchup!$C$39,7,IF(Q1608&lt;Matchup!$C$39+Matchup!$C$40,3,0)))</f>
        <v>0</v>
      </c>
      <c r="T1608" s="0" t="n">
        <f aca="false">I1608+R1608</f>
        <v>31</v>
      </c>
      <c r="U1608" s="0" t="n">
        <f aca="false">O1608+S1608</f>
        <v>13</v>
      </c>
      <c r="V1608" s="0" t="n">
        <f aca="false">T1608-U1608</f>
        <v>18</v>
      </c>
      <c r="W1608" s="0" t="n">
        <f aca="false">T1608+U1608</f>
        <v>44</v>
      </c>
    </row>
    <row r="1609" customFormat="false" ht="15" hidden="false" customHeight="false" outlineLevel="0" collapsed="false">
      <c r="A1609" s="0" t="n">
        <v>1606</v>
      </c>
      <c r="B1609" s="0" t="n">
        <f aca="true">NORMINV(RAND(),1,Coefficients!$B$22)</f>
        <v>0.876684560301529</v>
      </c>
      <c r="C1609" s="0" t="n">
        <f aca="true">MEDIAN(8,16,ROUND(NORMINV(RAND(),Coefficients!$B$20,Coefficients!$B$21),0))</f>
        <v>11</v>
      </c>
      <c r="D1609" s="0" t="n">
        <f aca="true">CRITBINOM($C1609,MIN(0.75,Matchup!$B$39*$B1609),RAND())</f>
        <v>4</v>
      </c>
      <c r="E1609" s="0" t="n">
        <f aca="true">CRITBINOM(D1609,Coefficients!$B$30,RAND())</f>
        <v>0</v>
      </c>
      <c r="F1609" s="0" t="n">
        <f aca="true">CRITBINOM(E1609,Coefficients!$B$31,RAND())</f>
        <v>0</v>
      </c>
      <c r="G1609" s="0" t="n">
        <f aca="true">CRITBINOM(MAX(0,D1609-E1609),1-Coefficients!$B$32,RAND())</f>
        <v>0</v>
      </c>
      <c r="H1609" s="0" t="n">
        <f aca="true">CRITBINOM(MAX(0,$C1609-D1609),MIN(0.6,Matchup!$B$40*SQRT($B1609)/(1-MIN(0.75,Matchup!$B$39*$B1609))),RAND())</f>
        <v>1</v>
      </c>
      <c r="I1609" s="0" t="n">
        <f aca="false">6*D1609+(D1609-E1609-G1609)+2*F1609+3*H1609</f>
        <v>31</v>
      </c>
      <c r="J1609" s="0" t="n">
        <f aca="true">CRITBINOM($C1609,MIN(0.75,Matchup!$C$39*$B1609),RAND())</f>
        <v>1</v>
      </c>
      <c r="K1609" s="0" t="n">
        <f aca="true">CRITBINOM(J1609,Coefficients!$B$30,RAND())</f>
        <v>1</v>
      </c>
      <c r="L1609" s="0" t="n">
        <f aca="true">CRITBINOM(K1609,Coefficients!$B$31,RAND())</f>
        <v>0</v>
      </c>
      <c r="M1609" s="0" t="n">
        <f aca="true">CRITBINOM(MAX(0,J1609-K1609),1-Coefficients!$B$32,RAND())</f>
        <v>0</v>
      </c>
      <c r="N1609" s="0" t="n">
        <f aca="true">CRITBINOM(MAX(0,$C1609-J1609),MIN(0.6,Matchup!$C$40*SQRT($B1609)/(1-MIN(0.75,Matchup!$C$39*$B1609))),RAND())</f>
        <v>1</v>
      </c>
      <c r="O1609" s="0" t="n">
        <f aca="false">6*J1609+(J1609-K1609-M1609)+2*L1609+3*N1609</f>
        <v>9</v>
      </c>
      <c r="P1609" s="0" t="n">
        <f aca="true">RAND()</f>
        <v>0.155121742256783</v>
      </c>
      <c r="Q1609" s="0" t="n">
        <f aca="true">RAND()</f>
        <v>0.203355768156474</v>
      </c>
      <c r="R1609" s="0" t="n">
        <f aca="false">IF($I1609&lt;&gt;$O1609,0,IF(P1609&lt;Matchup!$B$39,7,IF(P1609&lt;Matchup!$B$39+Matchup!$B$40,3,0)))</f>
        <v>0</v>
      </c>
      <c r="S1609" s="0" t="n">
        <f aca="false">IF($I1609&lt;&gt;$O1609,0,IF(Q1609&lt;Matchup!$C$39,7,IF(Q1609&lt;Matchup!$C$39+Matchup!$C$40,3,0)))</f>
        <v>0</v>
      </c>
      <c r="T1609" s="0" t="n">
        <f aca="false">I1609+R1609</f>
        <v>31</v>
      </c>
      <c r="U1609" s="0" t="n">
        <f aca="false">O1609+S1609</f>
        <v>9</v>
      </c>
      <c r="V1609" s="0" t="n">
        <f aca="false">T1609-U1609</f>
        <v>22</v>
      </c>
      <c r="W1609" s="0" t="n">
        <f aca="false">T1609+U1609</f>
        <v>40</v>
      </c>
    </row>
    <row r="1610" customFormat="false" ht="15" hidden="false" customHeight="false" outlineLevel="0" collapsed="false">
      <c r="A1610" s="0" t="n">
        <v>1607</v>
      </c>
      <c r="B1610" s="0" t="n">
        <f aca="true">NORMINV(RAND(),1,Coefficients!$B$22)</f>
        <v>0.956463853767817</v>
      </c>
      <c r="C1610" s="0" t="n">
        <f aca="true">MEDIAN(8,16,ROUND(NORMINV(RAND(),Coefficients!$B$20,Coefficients!$B$21),0))</f>
        <v>10</v>
      </c>
      <c r="D1610" s="0" t="n">
        <f aca="true">CRITBINOM($C1610,MIN(0.75,Matchup!$B$39*$B1610),RAND())</f>
        <v>3</v>
      </c>
      <c r="E1610" s="0" t="n">
        <f aca="true">CRITBINOM(D1610,Coefficients!$B$30,RAND())</f>
        <v>0</v>
      </c>
      <c r="F1610" s="0" t="n">
        <f aca="true">CRITBINOM(E1610,Coefficients!$B$31,RAND())</f>
        <v>0</v>
      </c>
      <c r="G1610" s="0" t="n">
        <f aca="true">CRITBINOM(MAX(0,D1610-E1610),1-Coefficients!$B$32,RAND())</f>
        <v>0</v>
      </c>
      <c r="H1610" s="0" t="n">
        <f aca="true">CRITBINOM(MAX(0,$C1610-D1610),MIN(0.6,Matchup!$B$40*SQRT($B1610)/(1-MIN(0.75,Matchup!$B$39*$B1610))),RAND())</f>
        <v>2</v>
      </c>
      <c r="I1610" s="0" t="n">
        <f aca="false">6*D1610+(D1610-E1610-G1610)+2*F1610+3*H1610</f>
        <v>27</v>
      </c>
      <c r="J1610" s="0" t="n">
        <f aca="true">CRITBINOM($C1610,MIN(0.75,Matchup!$C$39*$B1610),RAND())</f>
        <v>2</v>
      </c>
      <c r="K1610" s="0" t="n">
        <f aca="true">CRITBINOM(J1610,Coefficients!$B$30,RAND())</f>
        <v>0</v>
      </c>
      <c r="L1610" s="0" t="n">
        <f aca="true">CRITBINOM(K1610,Coefficients!$B$31,RAND())</f>
        <v>0</v>
      </c>
      <c r="M1610" s="0" t="n">
        <f aca="true">CRITBINOM(MAX(0,J1610-K1610),1-Coefficients!$B$32,RAND())</f>
        <v>0</v>
      </c>
      <c r="N1610" s="0" t="n">
        <f aca="true">CRITBINOM(MAX(0,$C1610-J1610),MIN(0.6,Matchup!$C$40*SQRT($B1610)/(1-MIN(0.75,Matchup!$C$39*$B1610))),RAND())</f>
        <v>1</v>
      </c>
      <c r="O1610" s="0" t="n">
        <f aca="false">6*J1610+(J1610-K1610-M1610)+2*L1610+3*N1610</f>
        <v>17</v>
      </c>
      <c r="P1610" s="0" t="n">
        <f aca="true">RAND()</f>
        <v>0.948956775208416</v>
      </c>
      <c r="Q1610" s="0" t="n">
        <f aca="true">RAND()</f>
        <v>0.768978638518867</v>
      </c>
      <c r="R1610" s="0" t="n">
        <f aca="false">IF($I1610&lt;&gt;$O1610,0,IF(P1610&lt;Matchup!$B$39,7,IF(P1610&lt;Matchup!$B$39+Matchup!$B$40,3,0)))</f>
        <v>0</v>
      </c>
      <c r="S1610" s="0" t="n">
        <f aca="false">IF($I1610&lt;&gt;$O1610,0,IF(Q1610&lt;Matchup!$C$39,7,IF(Q1610&lt;Matchup!$C$39+Matchup!$C$40,3,0)))</f>
        <v>0</v>
      </c>
      <c r="T1610" s="0" t="n">
        <f aca="false">I1610+R1610</f>
        <v>27</v>
      </c>
      <c r="U1610" s="0" t="n">
        <f aca="false">O1610+S1610</f>
        <v>17</v>
      </c>
      <c r="V1610" s="0" t="n">
        <f aca="false">T1610-U1610</f>
        <v>10</v>
      </c>
      <c r="W1610" s="0" t="n">
        <f aca="false">T1610+U1610</f>
        <v>44</v>
      </c>
    </row>
    <row r="1611" customFormat="false" ht="15" hidden="false" customHeight="false" outlineLevel="0" collapsed="false">
      <c r="A1611" s="0" t="n">
        <v>1608</v>
      </c>
      <c r="B1611" s="0" t="n">
        <f aca="true">NORMINV(RAND(),1,Coefficients!$B$22)</f>
        <v>1.00033549685434</v>
      </c>
      <c r="C1611" s="0" t="n">
        <f aca="true">MEDIAN(8,16,ROUND(NORMINV(RAND(),Coefficients!$B$20,Coefficients!$B$21),0))</f>
        <v>10</v>
      </c>
      <c r="D1611" s="0" t="n">
        <f aca="true">CRITBINOM($C1611,MIN(0.75,Matchup!$B$39*$B1611),RAND())</f>
        <v>2</v>
      </c>
      <c r="E1611" s="0" t="n">
        <f aca="true">CRITBINOM(D1611,Coefficients!$B$30,RAND())</f>
        <v>0</v>
      </c>
      <c r="F1611" s="0" t="n">
        <f aca="true">CRITBINOM(E1611,Coefficients!$B$31,RAND())</f>
        <v>0</v>
      </c>
      <c r="G1611" s="0" t="n">
        <f aca="true">CRITBINOM(MAX(0,D1611-E1611),1-Coefficients!$B$32,RAND())</f>
        <v>0</v>
      </c>
      <c r="H1611" s="0" t="n">
        <f aca="true">CRITBINOM(MAX(0,$C1611-D1611),MIN(0.6,Matchup!$B$40*SQRT($B1611)/(1-MIN(0.75,Matchup!$B$39*$B1611))),RAND())</f>
        <v>1</v>
      </c>
      <c r="I1611" s="0" t="n">
        <f aca="false">6*D1611+(D1611-E1611-G1611)+2*F1611+3*H1611</f>
        <v>17</v>
      </c>
      <c r="J1611" s="0" t="n">
        <f aca="true">CRITBINOM($C1611,MIN(0.75,Matchup!$C$39*$B1611),RAND())</f>
        <v>0</v>
      </c>
      <c r="K1611" s="0" t="n">
        <f aca="true">CRITBINOM(J1611,Coefficients!$B$30,RAND())</f>
        <v>0</v>
      </c>
      <c r="L1611" s="0" t="n">
        <f aca="true">CRITBINOM(K1611,Coefficients!$B$31,RAND())</f>
        <v>0</v>
      </c>
      <c r="M1611" s="0" t="n">
        <f aca="true">CRITBINOM(MAX(0,J1611-K1611),1-Coefficients!$B$32,RAND())</f>
        <v>0</v>
      </c>
      <c r="N1611" s="0" t="n">
        <f aca="true">CRITBINOM(MAX(0,$C1611-J1611),MIN(0.6,Matchup!$C$40*SQRT($B1611)/(1-MIN(0.75,Matchup!$C$39*$B1611))),RAND())</f>
        <v>1</v>
      </c>
      <c r="O1611" s="0" t="n">
        <f aca="false">6*J1611+(J1611-K1611-M1611)+2*L1611+3*N1611</f>
        <v>3</v>
      </c>
      <c r="P1611" s="0" t="n">
        <f aca="true">RAND()</f>
        <v>0.809894020636215</v>
      </c>
      <c r="Q1611" s="0" t="n">
        <f aca="true">RAND()</f>
        <v>0.0898414177693977</v>
      </c>
      <c r="R1611" s="0" t="n">
        <f aca="false">IF($I1611&lt;&gt;$O1611,0,IF(P1611&lt;Matchup!$B$39,7,IF(P1611&lt;Matchup!$B$39+Matchup!$B$40,3,0)))</f>
        <v>0</v>
      </c>
      <c r="S1611" s="0" t="n">
        <f aca="false">IF($I1611&lt;&gt;$O1611,0,IF(Q1611&lt;Matchup!$C$39,7,IF(Q1611&lt;Matchup!$C$39+Matchup!$C$40,3,0)))</f>
        <v>0</v>
      </c>
      <c r="T1611" s="0" t="n">
        <f aca="false">I1611+R1611</f>
        <v>17</v>
      </c>
      <c r="U1611" s="0" t="n">
        <f aca="false">O1611+S1611</f>
        <v>3</v>
      </c>
      <c r="V1611" s="0" t="n">
        <f aca="false">T1611-U1611</f>
        <v>14</v>
      </c>
      <c r="W1611" s="0" t="n">
        <f aca="false">T1611+U1611</f>
        <v>20</v>
      </c>
    </row>
    <row r="1612" customFormat="false" ht="15" hidden="false" customHeight="false" outlineLevel="0" collapsed="false">
      <c r="A1612" s="0" t="n">
        <v>1609</v>
      </c>
      <c r="B1612" s="0" t="n">
        <f aca="true">NORMINV(RAND(),1,Coefficients!$B$22)</f>
        <v>1.02847511207005</v>
      </c>
      <c r="C1612" s="0" t="n">
        <f aca="true">MEDIAN(8,16,ROUND(NORMINV(RAND(),Coefficients!$B$20,Coefficients!$B$21),0))</f>
        <v>11</v>
      </c>
      <c r="D1612" s="0" t="n">
        <f aca="true">CRITBINOM($C1612,MIN(0.75,Matchup!$B$39*$B1612),RAND())</f>
        <v>2</v>
      </c>
      <c r="E1612" s="0" t="n">
        <f aca="true">CRITBINOM(D1612,Coefficients!$B$30,RAND())</f>
        <v>0</v>
      </c>
      <c r="F1612" s="0" t="n">
        <f aca="true">CRITBINOM(E1612,Coefficients!$B$31,RAND())</f>
        <v>0</v>
      </c>
      <c r="G1612" s="0" t="n">
        <f aca="true">CRITBINOM(MAX(0,D1612-E1612),1-Coefficients!$B$32,RAND())</f>
        <v>0</v>
      </c>
      <c r="H1612" s="0" t="n">
        <f aca="true">CRITBINOM(MAX(0,$C1612-D1612),MIN(0.6,Matchup!$B$40*SQRT($B1612)/(1-MIN(0.75,Matchup!$B$39*$B1612))),RAND())</f>
        <v>2</v>
      </c>
      <c r="I1612" s="0" t="n">
        <f aca="false">6*D1612+(D1612-E1612-G1612)+2*F1612+3*H1612</f>
        <v>20</v>
      </c>
      <c r="J1612" s="0" t="n">
        <f aca="true">CRITBINOM($C1612,MIN(0.75,Matchup!$C$39*$B1612),RAND())</f>
        <v>4</v>
      </c>
      <c r="K1612" s="0" t="n">
        <f aca="true">CRITBINOM(J1612,Coefficients!$B$30,RAND())</f>
        <v>1</v>
      </c>
      <c r="L1612" s="0" t="n">
        <f aca="true">CRITBINOM(K1612,Coefficients!$B$31,RAND())</f>
        <v>0</v>
      </c>
      <c r="M1612" s="0" t="n">
        <f aca="true">CRITBINOM(MAX(0,J1612-K1612),1-Coefficients!$B$32,RAND())</f>
        <v>1</v>
      </c>
      <c r="N1612" s="0" t="n">
        <f aca="true">CRITBINOM(MAX(0,$C1612-J1612),MIN(0.6,Matchup!$C$40*SQRT($B1612)/(1-MIN(0.75,Matchup!$C$39*$B1612))),RAND())</f>
        <v>2</v>
      </c>
      <c r="O1612" s="0" t="n">
        <f aca="false">6*J1612+(J1612-K1612-M1612)+2*L1612+3*N1612</f>
        <v>32</v>
      </c>
      <c r="P1612" s="0" t="n">
        <f aca="true">RAND()</f>
        <v>0.938987024075231</v>
      </c>
      <c r="Q1612" s="0" t="n">
        <f aca="true">RAND()</f>
        <v>0.955654936468194</v>
      </c>
      <c r="R1612" s="0" t="n">
        <f aca="false">IF($I1612&lt;&gt;$O1612,0,IF(P1612&lt;Matchup!$B$39,7,IF(P1612&lt;Matchup!$B$39+Matchup!$B$40,3,0)))</f>
        <v>0</v>
      </c>
      <c r="S1612" s="0" t="n">
        <f aca="false">IF($I1612&lt;&gt;$O1612,0,IF(Q1612&lt;Matchup!$C$39,7,IF(Q1612&lt;Matchup!$C$39+Matchup!$C$40,3,0)))</f>
        <v>0</v>
      </c>
      <c r="T1612" s="0" t="n">
        <f aca="false">I1612+R1612</f>
        <v>20</v>
      </c>
      <c r="U1612" s="0" t="n">
        <f aca="false">O1612+S1612</f>
        <v>32</v>
      </c>
      <c r="V1612" s="0" t="n">
        <f aca="false">T1612-U1612</f>
        <v>-12</v>
      </c>
      <c r="W1612" s="0" t="n">
        <f aca="false">T1612+U1612</f>
        <v>52</v>
      </c>
    </row>
    <row r="1613" customFormat="false" ht="15" hidden="false" customHeight="false" outlineLevel="0" collapsed="false">
      <c r="A1613" s="0" t="n">
        <v>1610</v>
      </c>
      <c r="B1613" s="0" t="n">
        <f aca="true">NORMINV(RAND(),1,Coefficients!$B$22)</f>
        <v>1.06517507154054</v>
      </c>
      <c r="C1613" s="0" t="n">
        <f aca="true">MEDIAN(8,16,ROUND(NORMINV(RAND(),Coefficients!$B$20,Coefficients!$B$21),0))</f>
        <v>11</v>
      </c>
      <c r="D1613" s="0" t="n">
        <f aca="true">CRITBINOM($C1613,MIN(0.75,Matchup!$B$39*$B1613),RAND())</f>
        <v>3</v>
      </c>
      <c r="E1613" s="0" t="n">
        <f aca="true">CRITBINOM(D1613,Coefficients!$B$30,RAND())</f>
        <v>0</v>
      </c>
      <c r="F1613" s="0" t="n">
        <f aca="true">CRITBINOM(E1613,Coefficients!$B$31,RAND())</f>
        <v>0</v>
      </c>
      <c r="G1613" s="0" t="n">
        <f aca="true">CRITBINOM(MAX(0,D1613-E1613),1-Coefficients!$B$32,RAND())</f>
        <v>0</v>
      </c>
      <c r="H1613" s="0" t="n">
        <f aca="true">CRITBINOM(MAX(0,$C1613-D1613),MIN(0.6,Matchup!$B$40*SQRT($B1613)/(1-MIN(0.75,Matchup!$B$39*$B1613))),RAND())</f>
        <v>1</v>
      </c>
      <c r="I1613" s="0" t="n">
        <f aca="false">6*D1613+(D1613-E1613-G1613)+2*F1613+3*H1613</f>
        <v>24</v>
      </c>
      <c r="J1613" s="0" t="n">
        <f aca="true">CRITBINOM($C1613,MIN(0.75,Matchup!$C$39*$B1613),RAND())</f>
        <v>3</v>
      </c>
      <c r="K1613" s="0" t="n">
        <f aca="true">CRITBINOM(J1613,Coefficients!$B$30,RAND())</f>
        <v>0</v>
      </c>
      <c r="L1613" s="0" t="n">
        <f aca="true">CRITBINOM(K1613,Coefficients!$B$31,RAND())</f>
        <v>0</v>
      </c>
      <c r="M1613" s="0" t="n">
        <f aca="true">CRITBINOM(MAX(0,J1613-K1613),1-Coefficients!$B$32,RAND())</f>
        <v>0</v>
      </c>
      <c r="N1613" s="0" t="n">
        <f aca="true">CRITBINOM(MAX(0,$C1613-J1613),MIN(0.6,Matchup!$C$40*SQRT($B1613)/(1-MIN(0.75,Matchup!$C$39*$B1613))),RAND())</f>
        <v>1</v>
      </c>
      <c r="O1613" s="0" t="n">
        <f aca="false">6*J1613+(J1613-K1613-M1613)+2*L1613+3*N1613</f>
        <v>24</v>
      </c>
      <c r="P1613" s="0" t="n">
        <f aca="true">RAND()</f>
        <v>0.245782082165514</v>
      </c>
      <c r="Q1613" s="0" t="n">
        <f aca="true">RAND()</f>
        <v>0.520573987879321</v>
      </c>
      <c r="R1613" s="0" t="n">
        <f aca="false">IF($I1613&lt;&gt;$O1613,0,IF(P1613&lt;Matchup!$B$39,7,IF(P1613&lt;Matchup!$B$39+Matchup!$B$40,3,0)))</f>
        <v>7</v>
      </c>
      <c r="S1613" s="0" t="n">
        <f aca="false">IF($I1613&lt;&gt;$O1613,0,IF(Q1613&lt;Matchup!$C$39,7,IF(Q1613&lt;Matchup!$C$39+Matchup!$C$40,3,0)))</f>
        <v>0</v>
      </c>
      <c r="T1613" s="0" t="n">
        <f aca="false">I1613+R1613</f>
        <v>31</v>
      </c>
      <c r="U1613" s="0" t="n">
        <f aca="false">O1613+S1613</f>
        <v>24</v>
      </c>
      <c r="V1613" s="0" t="n">
        <f aca="false">T1613-U1613</f>
        <v>7</v>
      </c>
      <c r="W1613" s="0" t="n">
        <f aca="false">T1613+U1613</f>
        <v>55</v>
      </c>
    </row>
    <row r="1614" customFormat="false" ht="15" hidden="false" customHeight="false" outlineLevel="0" collapsed="false">
      <c r="A1614" s="0" t="n">
        <v>1611</v>
      </c>
      <c r="B1614" s="0" t="n">
        <f aca="true">NORMINV(RAND(),1,Coefficients!$B$22)</f>
        <v>0.927042282324145</v>
      </c>
      <c r="C1614" s="0" t="n">
        <f aca="true">MEDIAN(8,16,ROUND(NORMINV(RAND(),Coefficients!$B$20,Coefficients!$B$21),0))</f>
        <v>11</v>
      </c>
      <c r="D1614" s="0" t="n">
        <f aca="true">CRITBINOM($C1614,MIN(0.75,Matchup!$B$39*$B1614),RAND())</f>
        <v>2</v>
      </c>
      <c r="E1614" s="0" t="n">
        <f aca="true">CRITBINOM(D1614,Coefficients!$B$30,RAND())</f>
        <v>0</v>
      </c>
      <c r="F1614" s="0" t="n">
        <f aca="true">CRITBINOM(E1614,Coefficients!$B$31,RAND())</f>
        <v>0</v>
      </c>
      <c r="G1614" s="0" t="n">
        <f aca="true">CRITBINOM(MAX(0,D1614-E1614),1-Coefficients!$B$32,RAND())</f>
        <v>0</v>
      </c>
      <c r="H1614" s="0" t="n">
        <f aca="true">CRITBINOM(MAX(0,$C1614-D1614),MIN(0.6,Matchup!$B$40*SQRT($B1614)/(1-MIN(0.75,Matchup!$B$39*$B1614))),RAND())</f>
        <v>2</v>
      </c>
      <c r="I1614" s="0" t="n">
        <f aca="false">6*D1614+(D1614-E1614-G1614)+2*F1614+3*H1614</f>
        <v>20</v>
      </c>
      <c r="J1614" s="0" t="n">
        <f aca="true">CRITBINOM($C1614,MIN(0.75,Matchup!$C$39*$B1614),RAND())</f>
        <v>1</v>
      </c>
      <c r="K1614" s="0" t="n">
        <f aca="true">CRITBINOM(J1614,Coefficients!$B$30,RAND())</f>
        <v>0</v>
      </c>
      <c r="L1614" s="0" t="n">
        <f aca="true">CRITBINOM(K1614,Coefficients!$B$31,RAND())</f>
        <v>0</v>
      </c>
      <c r="M1614" s="0" t="n">
        <f aca="true">CRITBINOM(MAX(0,J1614-K1614),1-Coefficients!$B$32,RAND())</f>
        <v>0</v>
      </c>
      <c r="N1614" s="0" t="n">
        <f aca="true">CRITBINOM(MAX(0,$C1614-J1614),MIN(0.6,Matchup!$C$40*SQRT($B1614)/(1-MIN(0.75,Matchup!$C$39*$B1614))),RAND())</f>
        <v>1</v>
      </c>
      <c r="O1614" s="0" t="n">
        <f aca="false">6*J1614+(J1614-K1614-M1614)+2*L1614+3*N1614</f>
        <v>10</v>
      </c>
      <c r="P1614" s="0" t="n">
        <f aca="true">RAND()</f>
        <v>0.690050667270608</v>
      </c>
      <c r="Q1614" s="0" t="n">
        <f aca="true">RAND()</f>
        <v>0.153735297460433</v>
      </c>
      <c r="R1614" s="0" t="n">
        <f aca="false">IF($I1614&lt;&gt;$O1614,0,IF(P1614&lt;Matchup!$B$39,7,IF(P1614&lt;Matchup!$B$39+Matchup!$B$40,3,0)))</f>
        <v>0</v>
      </c>
      <c r="S1614" s="0" t="n">
        <f aca="false">IF($I1614&lt;&gt;$O1614,0,IF(Q1614&lt;Matchup!$C$39,7,IF(Q1614&lt;Matchup!$C$39+Matchup!$C$40,3,0)))</f>
        <v>0</v>
      </c>
      <c r="T1614" s="0" t="n">
        <f aca="false">I1614+R1614</f>
        <v>20</v>
      </c>
      <c r="U1614" s="0" t="n">
        <f aca="false">O1614+S1614</f>
        <v>10</v>
      </c>
      <c r="V1614" s="0" t="n">
        <f aca="false">T1614-U1614</f>
        <v>10</v>
      </c>
      <c r="W1614" s="0" t="n">
        <f aca="false">T1614+U1614</f>
        <v>30</v>
      </c>
    </row>
    <row r="1615" customFormat="false" ht="15" hidden="false" customHeight="false" outlineLevel="0" collapsed="false">
      <c r="A1615" s="0" t="n">
        <v>1612</v>
      </c>
      <c r="B1615" s="0" t="n">
        <f aca="true">NORMINV(RAND(),1,Coefficients!$B$22)</f>
        <v>1.07352597707597</v>
      </c>
      <c r="C1615" s="0" t="n">
        <f aca="true">MEDIAN(8,16,ROUND(NORMINV(RAND(),Coefficients!$B$20,Coefficients!$B$21),0))</f>
        <v>10</v>
      </c>
      <c r="D1615" s="0" t="n">
        <f aca="true">CRITBINOM($C1615,MIN(0.75,Matchup!$B$39*$B1615),RAND())</f>
        <v>4</v>
      </c>
      <c r="E1615" s="0" t="n">
        <f aca="true">CRITBINOM(D1615,Coefficients!$B$30,RAND())</f>
        <v>1</v>
      </c>
      <c r="F1615" s="0" t="n">
        <f aca="true">CRITBINOM(E1615,Coefficients!$B$31,RAND())</f>
        <v>0</v>
      </c>
      <c r="G1615" s="0" t="n">
        <f aca="true">CRITBINOM(MAX(0,D1615-E1615),1-Coefficients!$B$32,RAND())</f>
        <v>0</v>
      </c>
      <c r="H1615" s="0" t="n">
        <f aca="true">CRITBINOM(MAX(0,$C1615-D1615),MIN(0.6,Matchup!$B$40*SQRT($B1615)/(1-MIN(0.75,Matchup!$B$39*$B1615))),RAND())</f>
        <v>0</v>
      </c>
      <c r="I1615" s="0" t="n">
        <f aca="false">6*D1615+(D1615-E1615-G1615)+2*F1615+3*H1615</f>
        <v>27</v>
      </c>
      <c r="J1615" s="0" t="n">
        <f aca="true">CRITBINOM($C1615,MIN(0.75,Matchup!$C$39*$B1615),RAND())</f>
        <v>4</v>
      </c>
      <c r="K1615" s="0" t="n">
        <f aca="true">CRITBINOM(J1615,Coefficients!$B$30,RAND())</f>
        <v>1</v>
      </c>
      <c r="L1615" s="0" t="n">
        <f aca="true">CRITBINOM(K1615,Coefficients!$B$31,RAND())</f>
        <v>0</v>
      </c>
      <c r="M1615" s="0" t="n">
        <f aca="true">CRITBINOM(MAX(0,J1615-K1615),1-Coefficients!$B$32,RAND())</f>
        <v>0</v>
      </c>
      <c r="N1615" s="0" t="n">
        <f aca="true">CRITBINOM(MAX(0,$C1615-J1615),MIN(0.6,Matchup!$C$40*SQRT($B1615)/(1-MIN(0.75,Matchup!$C$39*$B1615))),RAND())</f>
        <v>0</v>
      </c>
      <c r="O1615" s="0" t="n">
        <f aca="false">6*J1615+(J1615-K1615-M1615)+2*L1615+3*N1615</f>
        <v>27</v>
      </c>
      <c r="P1615" s="0" t="n">
        <f aca="true">RAND()</f>
        <v>0.210169168848902</v>
      </c>
      <c r="Q1615" s="0" t="n">
        <f aca="true">RAND()</f>
        <v>0.063711928693061</v>
      </c>
      <c r="R1615" s="0" t="n">
        <f aca="false">IF($I1615&lt;&gt;$O1615,0,IF(P1615&lt;Matchup!$B$39,7,IF(P1615&lt;Matchup!$B$39+Matchup!$B$40,3,0)))</f>
        <v>7</v>
      </c>
      <c r="S1615" s="0" t="n">
        <f aca="false">IF($I1615&lt;&gt;$O1615,0,IF(Q1615&lt;Matchup!$C$39,7,IF(Q1615&lt;Matchup!$C$39+Matchup!$C$40,3,0)))</f>
        <v>7</v>
      </c>
      <c r="T1615" s="0" t="n">
        <f aca="false">I1615+R1615</f>
        <v>34</v>
      </c>
      <c r="U1615" s="0" t="n">
        <f aca="false">O1615+S1615</f>
        <v>34</v>
      </c>
      <c r="V1615" s="0" t="n">
        <f aca="false">T1615-U1615</f>
        <v>0</v>
      </c>
      <c r="W1615" s="0" t="n">
        <f aca="false">T1615+U1615</f>
        <v>68</v>
      </c>
    </row>
    <row r="1616" customFormat="false" ht="15" hidden="false" customHeight="false" outlineLevel="0" collapsed="false">
      <c r="A1616" s="0" t="n">
        <v>1613</v>
      </c>
      <c r="B1616" s="0" t="n">
        <f aca="true">NORMINV(RAND(),1,Coefficients!$B$22)</f>
        <v>0.933365421961582</v>
      </c>
      <c r="C1616" s="0" t="n">
        <f aca="true">MEDIAN(8,16,ROUND(NORMINV(RAND(),Coefficients!$B$20,Coefficients!$B$21),0))</f>
        <v>11</v>
      </c>
      <c r="D1616" s="0" t="n">
        <f aca="true">CRITBINOM($C1616,MIN(0.75,Matchup!$B$39*$B1616),RAND())</f>
        <v>1</v>
      </c>
      <c r="E1616" s="0" t="n">
        <f aca="true">CRITBINOM(D1616,Coefficients!$B$30,RAND())</f>
        <v>0</v>
      </c>
      <c r="F1616" s="0" t="n">
        <f aca="true">CRITBINOM(E1616,Coefficients!$B$31,RAND())</f>
        <v>0</v>
      </c>
      <c r="G1616" s="0" t="n">
        <f aca="true">CRITBINOM(MAX(0,D1616-E1616),1-Coefficients!$B$32,RAND())</f>
        <v>0</v>
      </c>
      <c r="H1616" s="0" t="n">
        <f aca="true">CRITBINOM(MAX(0,$C1616-D1616),MIN(0.6,Matchup!$B$40*SQRT($B1616)/(1-MIN(0.75,Matchup!$B$39*$B1616))),RAND())</f>
        <v>1</v>
      </c>
      <c r="I1616" s="0" t="n">
        <f aca="false">6*D1616+(D1616-E1616-G1616)+2*F1616+3*H1616</f>
        <v>10</v>
      </c>
      <c r="J1616" s="0" t="n">
        <f aca="true">CRITBINOM($C1616,MIN(0.75,Matchup!$C$39*$B1616),RAND())</f>
        <v>1</v>
      </c>
      <c r="K1616" s="0" t="n">
        <f aca="true">CRITBINOM(J1616,Coefficients!$B$30,RAND())</f>
        <v>0</v>
      </c>
      <c r="L1616" s="0" t="n">
        <f aca="true">CRITBINOM(K1616,Coefficients!$B$31,RAND())</f>
        <v>0</v>
      </c>
      <c r="M1616" s="0" t="n">
        <f aca="true">CRITBINOM(MAX(0,J1616-K1616),1-Coefficients!$B$32,RAND())</f>
        <v>0</v>
      </c>
      <c r="N1616" s="0" t="n">
        <f aca="true">CRITBINOM(MAX(0,$C1616-J1616),MIN(0.6,Matchup!$C$40*SQRT($B1616)/(1-MIN(0.75,Matchup!$C$39*$B1616))),RAND())</f>
        <v>0</v>
      </c>
      <c r="O1616" s="0" t="n">
        <f aca="false">6*J1616+(J1616-K1616-M1616)+2*L1616+3*N1616</f>
        <v>7</v>
      </c>
      <c r="P1616" s="0" t="n">
        <f aca="true">RAND()</f>
        <v>0.59251884349248</v>
      </c>
      <c r="Q1616" s="0" t="n">
        <f aca="true">RAND()</f>
        <v>0.851049441565551</v>
      </c>
      <c r="R1616" s="0" t="n">
        <f aca="false">IF($I1616&lt;&gt;$O1616,0,IF(P1616&lt;Matchup!$B$39,7,IF(P1616&lt;Matchup!$B$39+Matchup!$B$40,3,0)))</f>
        <v>0</v>
      </c>
      <c r="S1616" s="0" t="n">
        <f aca="false">IF($I1616&lt;&gt;$O1616,0,IF(Q1616&lt;Matchup!$C$39,7,IF(Q1616&lt;Matchup!$C$39+Matchup!$C$40,3,0)))</f>
        <v>0</v>
      </c>
      <c r="T1616" s="0" t="n">
        <f aca="false">I1616+R1616</f>
        <v>10</v>
      </c>
      <c r="U1616" s="0" t="n">
        <f aca="false">O1616+S1616</f>
        <v>7</v>
      </c>
      <c r="V1616" s="0" t="n">
        <f aca="false">T1616-U1616</f>
        <v>3</v>
      </c>
      <c r="W1616" s="0" t="n">
        <f aca="false">T1616+U1616</f>
        <v>17</v>
      </c>
    </row>
    <row r="1617" customFormat="false" ht="15" hidden="false" customHeight="false" outlineLevel="0" collapsed="false">
      <c r="A1617" s="0" t="n">
        <v>1614</v>
      </c>
      <c r="B1617" s="0" t="n">
        <f aca="true">NORMINV(RAND(),1,Coefficients!$B$22)</f>
        <v>1.05463053892304</v>
      </c>
      <c r="C1617" s="0" t="n">
        <f aca="true">MEDIAN(8,16,ROUND(NORMINV(RAND(),Coefficients!$B$20,Coefficients!$B$21),0))</f>
        <v>10</v>
      </c>
      <c r="D1617" s="0" t="n">
        <f aca="true">CRITBINOM($C1617,MIN(0.75,Matchup!$B$39*$B1617),RAND())</f>
        <v>3</v>
      </c>
      <c r="E1617" s="0" t="n">
        <f aca="true">CRITBINOM(D1617,Coefficients!$B$30,RAND())</f>
        <v>1</v>
      </c>
      <c r="F1617" s="0" t="n">
        <f aca="true">CRITBINOM(E1617,Coefficients!$B$31,RAND())</f>
        <v>0</v>
      </c>
      <c r="G1617" s="0" t="n">
        <f aca="true">CRITBINOM(MAX(0,D1617-E1617),1-Coefficients!$B$32,RAND())</f>
        <v>0</v>
      </c>
      <c r="H1617" s="0" t="n">
        <f aca="true">CRITBINOM(MAX(0,$C1617-D1617),MIN(0.6,Matchup!$B$40*SQRT($B1617)/(1-MIN(0.75,Matchup!$B$39*$B1617))),RAND())</f>
        <v>1</v>
      </c>
      <c r="I1617" s="0" t="n">
        <f aca="false">6*D1617+(D1617-E1617-G1617)+2*F1617+3*H1617</f>
        <v>23</v>
      </c>
      <c r="J1617" s="0" t="n">
        <f aca="true">CRITBINOM($C1617,MIN(0.75,Matchup!$C$39*$B1617),RAND())</f>
        <v>1</v>
      </c>
      <c r="K1617" s="0" t="n">
        <f aca="true">CRITBINOM(J1617,Coefficients!$B$30,RAND())</f>
        <v>0</v>
      </c>
      <c r="L1617" s="0" t="n">
        <f aca="true">CRITBINOM(K1617,Coefficients!$B$31,RAND())</f>
        <v>0</v>
      </c>
      <c r="M1617" s="0" t="n">
        <f aca="true">CRITBINOM(MAX(0,J1617-K1617),1-Coefficients!$B$32,RAND())</f>
        <v>0</v>
      </c>
      <c r="N1617" s="0" t="n">
        <f aca="true">CRITBINOM(MAX(0,$C1617-J1617),MIN(0.6,Matchup!$C$40*SQRT($B1617)/(1-MIN(0.75,Matchup!$C$39*$B1617))),RAND())</f>
        <v>1</v>
      </c>
      <c r="O1617" s="0" t="n">
        <f aca="false">6*J1617+(J1617-K1617-M1617)+2*L1617+3*N1617</f>
        <v>10</v>
      </c>
      <c r="P1617" s="0" t="n">
        <f aca="true">RAND()</f>
        <v>0.357161442514508</v>
      </c>
      <c r="Q1617" s="0" t="n">
        <f aca="true">RAND()</f>
        <v>0.721150714379525</v>
      </c>
      <c r="R1617" s="0" t="n">
        <f aca="false">IF($I1617&lt;&gt;$O1617,0,IF(P1617&lt;Matchup!$B$39,7,IF(P1617&lt;Matchup!$B$39+Matchup!$B$40,3,0)))</f>
        <v>0</v>
      </c>
      <c r="S1617" s="0" t="n">
        <f aca="false">IF($I1617&lt;&gt;$O1617,0,IF(Q1617&lt;Matchup!$C$39,7,IF(Q1617&lt;Matchup!$C$39+Matchup!$C$40,3,0)))</f>
        <v>0</v>
      </c>
      <c r="T1617" s="0" t="n">
        <f aca="false">I1617+R1617</f>
        <v>23</v>
      </c>
      <c r="U1617" s="0" t="n">
        <f aca="false">O1617+S1617</f>
        <v>10</v>
      </c>
      <c r="V1617" s="0" t="n">
        <f aca="false">T1617-U1617</f>
        <v>13</v>
      </c>
      <c r="W1617" s="0" t="n">
        <f aca="false">T1617+U1617</f>
        <v>33</v>
      </c>
    </row>
    <row r="1618" customFormat="false" ht="15" hidden="false" customHeight="false" outlineLevel="0" collapsed="false">
      <c r="A1618" s="0" t="n">
        <v>1615</v>
      </c>
      <c r="B1618" s="0" t="n">
        <f aca="true">NORMINV(RAND(),1,Coefficients!$B$22)</f>
        <v>1.01560554914684</v>
      </c>
      <c r="C1618" s="0" t="n">
        <f aca="true">MEDIAN(8,16,ROUND(NORMINV(RAND(),Coefficients!$B$20,Coefficients!$B$21),0))</f>
        <v>10</v>
      </c>
      <c r="D1618" s="0" t="n">
        <f aca="true">CRITBINOM($C1618,MIN(0.75,Matchup!$B$39*$B1618),RAND())</f>
        <v>1</v>
      </c>
      <c r="E1618" s="0" t="n">
        <f aca="true">CRITBINOM(D1618,Coefficients!$B$30,RAND())</f>
        <v>0</v>
      </c>
      <c r="F1618" s="0" t="n">
        <f aca="true">CRITBINOM(E1618,Coefficients!$B$31,RAND())</f>
        <v>0</v>
      </c>
      <c r="G1618" s="0" t="n">
        <f aca="true">CRITBINOM(MAX(0,D1618-E1618),1-Coefficients!$B$32,RAND())</f>
        <v>0</v>
      </c>
      <c r="H1618" s="0" t="n">
        <f aca="true">CRITBINOM(MAX(0,$C1618-D1618),MIN(0.6,Matchup!$B$40*SQRT($B1618)/(1-MIN(0.75,Matchup!$B$39*$B1618))),RAND())</f>
        <v>4</v>
      </c>
      <c r="I1618" s="0" t="n">
        <f aca="false">6*D1618+(D1618-E1618-G1618)+2*F1618+3*H1618</f>
        <v>19</v>
      </c>
      <c r="J1618" s="0" t="n">
        <f aca="true">CRITBINOM($C1618,MIN(0.75,Matchup!$C$39*$B1618),RAND())</f>
        <v>1</v>
      </c>
      <c r="K1618" s="0" t="n">
        <f aca="true">CRITBINOM(J1618,Coefficients!$B$30,RAND())</f>
        <v>1</v>
      </c>
      <c r="L1618" s="0" t="n">
        <f aca="true">CRITBINOM(K1618,Coefficients!$B$31,RAND())</f>
        <v>0</v>
      </c>
      <c r="M1618" s="0" t="n">
        <f aca="true">CRITBINOM(MAX(0,J1618-K1618),1-Coefficients!$B$32,RAND())</f>
        <v>0</v>
      </c>
      <c r="N1618" s="0" t="n">
        <f aca="true">CRITBINOM(MAX(0,$C1618-J1618),MIN(0.6,Matchup!$C$40*SQRT($B1618)/(1-MIN(0.75,Matchup!$C$39*$B1618))),RAND())</f>
        <v>0</v>
      </c>
      <c r="O1618" s="0" t="n">
        <f aca="false">6*J1618+(J1618-K1618-M1618)+2*L1618+3*N1618</f>
        <v>6</v>
      </c>
      <c r="P1618" s="0" t="n">
        <f aca="true">RAND()</f>
        <v>0.379751733187099</v>
      </c>
      <c r="Q1618" s="0" t="n">
        <f aca="true">RAND()</f>
        <v>0.630213602813704</v>
      </c>
      <c r="R1618" s="0" t="n">
        <f aca="false">IF($I1618&lt;&gt;$O1618,0,IF(P1618&lt;Matchup!$B$39,7,IF(P1618&lt;Matchup!$B$39+Matchup!$B$40,3,0)))</f>
        <v>0</v>
      </c>
      <c r="S1618" s="0" t="n">
        <f aca="false">IF($I1618&lt;&gt;$O1618,0,IF(Q1618&lt;Matchup!$C$39,7,IF(Q1618&lt;Matchup!$C$39+Matchup!$C$40,3,0)))</f>
        <v>0</v>
      </c>
      <c r="T1618" s="0" t="n">
        <f aca="false">I1618+R1618</f>
        <v>19</v>
      </c>
      <c r="U1618" s="0" t="n">
        <f aca="false">O1618+S1618</f>
        <v>6</v>
      </c>
      <c r="V1618" s="0" t="n">
        <f aca="false">T1618-U1618</f>
        <v>13</v>
      </c>
      <c r="W1618" s="0" t="n">
        <f aca="false">T1618+U1618</f>
        <v>25</v>
      </c>
    </row>
    <row r="1619" customFormat="false" ht="15" hidden="false" customHeight="false" outlineLevel="0" collapsed="false">
      <c r="A1619" s="0" t="n">
        <v>1616</v>
      </c>
      <c r="B1619" s="0" t="n">
        <f aca="true">NORMINV(RAND(),1,Coefficients!$B$22)</f>
        <v>0.987450433386764</v>
      </c>
      <c r="C1619" s="0" t="n">
        <f aca="true">MEDIAN(8,16,ROUND(NORMINV(RAND(),Coefficients!$B$20,Coefficients!$B$21),0))</f>
        <v>12</v>
      </c>
      <c r="D1619" s="0" t="n">
        <f aca="true">CRITBINOM($C1619,MIN(0.75,Matchup!$B$39*$B1619),RAND())</f>
        <v>6</v>
      </c>
      <c r="E1619" s="0" t="n">
        <f aca="true">CRITBINOM(D1619,Coefficients!$B$30,RAND())</f>
        <v>0</v>
      </c>
      <c r="F1619" s="0" t="n">
        <f aca="true">CRITBINOM(E1619,Coefficients!$B$31,RAND())</f>
        <v>0</v>
      </c>
      <c r="G1619" s="0" t="n">
        <f aca="true">CRITBINOM(MAX(0,D1619-E1619),1-Coefficients!$B$32,RAND())</f>
        <v>0</v>
      </c>
      <c r="H1619" s="0" t="n">
        <f aca="true">CRITBINOM(MAX(0,$C1619-D1619),MIN(0.6,Matchup!$B$40*SQRT($B1619)/(1-MIN(0.75,Matchup!$B$39*$B1619))),RAND())</f>
        <v>1</v>
      </c>
      <c r="I1619" s="0" t="n">
        <f aca="false">6*D1619+(D1619-E1619-G1619)+2*F1619+3*H1619</f>
        <v>45</v>
      </c>
      <c r="J1619" s="0" t="n">
        <f aca="true">CRITBINOM($C1619,MIN(0.75,Matchup!$C$39*$B1619),RAND())</f>
        <v>2</v>
      </c>
      <c r="K1619" s="0" t="n">
        <f aca="true">CRITBINOM(J1619,Coefficients!$B$30,RAND())</f>
        <v>0</v>
      </c>
      <c r="L1619" s="0" t="n">
        <f aca="true">CRITBINOM(K1619,Coefficients!$B$31,RAND())</f>
        <v>0</v>
      </c>
      <c r="M1619" s="0" t="n">
        <f aca="true">CRITBINOM(MAX(0,J1619-K1619),1-Coefficients!$B$32,RAND())</f>
        <v>1</v>
      </c>
      <c r="N1619" s="0" t="n">
        <f aca="true">CRITBINOM(MAX(0,$C1619-J1619),MIN(0.6,Matchup!$C$40*SQRT($B1619)/(1-MIN(0.75,Matchup!$C$39*$B1619))),RAND())</f>
        <v>1</v>
      </c>
      <c r="O1619" s="0" t="n">
        <f aca="false">6*J1619+(J1619-K1619-M1619)+2*L1619+3*N1619</f>
        <v>16</v>
      </c>
      <c r="P1619" s="0" t="n">
        <f aca="true">RAND()</f>
        <v>0.172783091129219</v>
      </c>
      <c r="Q1619" s="0" t="n">
        <f aca="true">RAND()</f>
        <v>0.8807768790893</v>
      </c>
      <c r="R1619" s="0" t="n">
        <f aca="false">IF($I1619&lt;&gt;$O1619,0,IF(P1619&lt;Matchup!$B$39,7,IF(P1619&lt;Matchup!$B$39+Matchup!$B$40,3,0)))</f>
        <v>0</v>
      </c>
      <c r="S1619" s="0" t="n">
        <f aca="false">IF($I1619&lt;&gt;$O1619,0,IF(Q1619&lt;Matchup!$C$39,7,IF(Q1619&lt;Matchup!$C$39+Matchup!$C$40,3,0)))</f>
        <v>0</v>
      </c>
      <c r="T1619" s="0" t="n">
        <f aca="false">I1619+R1619</f>
        <v>45</v>
      </c>
      <c r="U1619" s="0" t="n">
        <f aca="false">O1619+S1619</f>
        <v>16</v>
      </c>
      <c r="V1619" s="0" t="n">
        <f aca="false">T1619-U1619</f>
        <v>29</v>
      </c>
      <c r="W1619" s="0" t="n">
        <f aca="false">T1619+U1619</f>
        <v>61</v>
      </c>
    </row>
    <row r="1620" customFormat="false" ht="15" hidden="false" customHeight="false" outlineLevel="0" collapsed="false">
      <c r="A1620" s="0" t="n">
        <v>1617</v>
      </c>
      <c r="B1620" s="0" t="n">
        <f aca="true">NORMINV(RAND(),1,Coefficients!$B$22)</f>
        <v>1.19780876272658</v>
      </c>
      <c r="C1620" s="0" t="n">
        <f aca="true">MEDIAN(8,16,ROUND(NORMINV(RAND(),Coefficients!$B$20,Coefficients!$B$21),0))</f>
        <v>13</v>
      </c>
      <c r="D1620" s="0" t="n">
        <f aca="true">CRITBINOM($C1620,MIN(0.75,Matchup!$B$39*$B1620),RAND())</f>
        <v>2</v>
      </c>
      <c r="E1620" s="0" t="n">
        <f aca="true">CRITBINOM(D1620,Coefficients!$B$30,RAND())</f>
        <v>0</v>
      </c>
      <c r="F1620" s="0" t="n">
        <f aca="true">CRITBINOM(E1620,Coefficients!$B$31,RAND())</f>
        <v>0</v>
      </c>
      <c r="G1620" s="0" t="n">
        <f aca="true">CRITBINOM(MAX(0,D1620-E1620),1-Coefficients!$B$32,RAND())</f>
        <v>0</v>
      </c>
      <c r="H1620" s="0" t="n">
        <f aca="true">CRITBINOM(MAX(0,$C1620-D1620),MIN(0.6,Matchup!$B$40*SQRT($B1620)/(1-MIN(0.75,Matchup!$B$39*$B1620))),RAND())</f>
        <v>5</v>
      </c>
      <c r="I1620" s="0" t="n">
        <f aca="false">6*D1620+(D1620-E1620-G1620)+2*F1620+3*H1620</f>
        <v>29</v>
      </c>
      <c r="J1620" s="0" t="n">
        <f aca="true">CRITBINOM($C1620,MIN(0.75,Matchup!$C$39*$B1620),RAND())</f>
        <v>4</v>
      </c>
      <c r="K1620" s="0" t="n">
        <f aca="true">CRITBINOM(J1620,Coefficients!$B$30,RAND())</f>
        <v>1</v>
      </c>
      <c r="L1620" s="0" t="n">
        <f aca="true">CRITBINOM(K1620,Coefficients!$B$31,RAND())</f>
        <v>0</v>
      </c>
      <c r="M1620" s="0" t="n">
        <f aca="true">CRITBINOM(MAX(0,J1620-K1620),1-Coefficients!$B$32,RAND())</f>
        <v>0</v>
      </c>
      <c r="N1620" s="0" t="n">
        <f aca="true">CRITBINOM(MAX(0,$C1620-J1620),MIN(0.6,Matchup!$C$40*SQRT($B1620)/(1-MIN(0.75,Matchup!$C$39*$B1620))),RAND())</f>
        <v>2</v>
      </c>
      <c r="O1620" s="0" t="n">
        <f aca="false">6*J1620+(J1620-K1620-M1620)+2*L1620+3*N1620</f>
        <v>33</v>
      </c>
      <c r="P1620" s="0" t="n">
        <f aca="true">RAND()</f>
        <v>0.931468684473183</v>
      </c>
      <c r="Q1620" s="0" t="n">
        <f aca="true">RAND()</f>
        <v>0.223087810451355</v>
      </c>
      <c r="R1620" s="0" t="n">
        <f aca="false">IF($I1620&lt;&gt;$O1620,0,IF(P1620&lt;Matchup!$B$39,7,IF(P1620&lt;Matchup!$B$39+Matchup!$B$40,3,0)))</f>
        <v>0</v>
      </c>
      <c r="S1620" s="0" t="n">
        <f aca="false">IF($I1620&lt;&gt;$O1620,0,IF(Q1620&lt;Matchup!$C$39,7,IF(Q1620&lt;Matchup!$C$39+Matchup!$C$40,3,0)))</f>
        <v>0</v>
      </c>
      <c r="T1620" s="0" t="n">
        <f aca="false">I1620+R1620</f>
        <v>29</v>
      </c>
      <c r="U1620" s="0" t="n">
        <f aca="false">O1620+S1620</f>
        <v>33</v>
      </c>
      <c r="V1620" s="0" t="n">
        <f aca="false">T1620-U1620</f>
        <v>-4</v>
      </c>
      <c r="W1620" s="0" t="n">
        <f aca="false">T1620+U1620</f>
        <v>62</v>
      </c>
    </row>
    <row r="1621" customFormat="false" ht="15" hidden="false" customHeight="false" outlineLevel="0" collapsed="false">
      <c r="A1621" s="0" t="n">
        <v>1618</v>
      </c>
      <c r="B1621" s="0" t="n">
        <f aca="true">NORMINV(RAND(),1,Coefficients!$B$22)</f>
        <v>0.936675843202156</v>
      </c>
      <c r="C1621" s="0" t="n">
        <f aca="true">MEDIAN(8,16,ROUND(NORMINV(RAND(),Coefficients!$B$20,Coefficients!$B$21),0))</f>
        <v>13</v>
      </c>
      <c r="D1621" s="0" t="n">
        <f aca="true">CRITBINOM($C1621,MIN(0.75,Matchup!$B$39*$B1621),RAND())</f>
        <v>2</v>
      </c>
      <c r="E1621" s="0" t="n">
        <f aca="true">CRITBINOM(D1621,Coefficients!$B$30,RAND())</f>
        <v>0</v>
      </c>
      <c r="F1621" s="0" t="n">
        <f aca="true">CRITBINOM(E1621,Coefficients!$B$31,RAND())</f>
        <v>0</v>
      </c>
      <c r="G1621" s="0" t="n">
        <f aca="true">CRITBINOM(MAX(0,D1621-E1621),1-Coefficients!$B$32,RAND())</f>
        <v>0</v>
      </c>
      <c r="H1621" s="0" t="n">
        <f aca="true">CRITBINOM(MAX(0,$C1621-D1621),MIN(0.6,Matchup!$B$40*SQRT($B1621)/(1-MIN(0.75,Matchup!$B$39*$B1621))),RAND())</f>
        <v>1</v>
      </c>
      <c r="I1621" s="0" t="n">
        <f aca="false">6*D1621+(D1621-E1621-G1621)+2*F1621+3*H1621</f>
        <v>17</v>
      </c>
      <c r="J1621" s="0" t="n">
        <f aca="true">CRITBINOM($C1621,MIN(0.75,Matchup!$C$39*$B1621),RAND())</f>
        <v>1</v>
      </c>
      <c r="K1621" s="0" t="n">
        <f aca="true">CRITBINOM(J1621,Coefficients!$B$30,RAND())</f>
        <v>0</v>
      </c>
      <c r="L1621" s="0" t="n">
        <f aca="true">CRITBINOM(K1621,Coefficients!$B$31,RAND())</f>
        <v>0</v>
      </c>
      <c r="M1621" s="0" t="n">
        <f aca="true">CRITBINOM(MAX(0,J1621-K1621),1-Coefficients!$B$32,RAND())</f>
        <v>0</v>
      </c>
      <c r="N1621" s="0" t="n">
        <f aca="true">CRITBINOM(MAX(0,$C1621-J1621),MIN(0.6,Matchup!$C$40*SQRT($B1621)/(1-MIN(0.75,Matchup!$C$39*$B1621))),RAND())</f>
        <v>2</v>
      </c>
      <c r="O1621" s="0" t="n">
        <f aca="false">6*J1621+(J1621-K1621-M1621)+2*L1621+3*N1621</f>
        <v>13</v>
      </c>
      <c r="P1621" s="0" t="n">
        <f aca="true">RAND()</f>
        <v>0.633349073389307</v>
      </c>
      <c r="Q1621" s="0" t="n">
        <f aca="true">RAND()</f>
        <v>0.121402241104556</v>
      </c>
      <c r="R1621" s="0" t="n">
        <f aca="false">IF($I1621&lt;&gt;$O1621,0,IF(P1621&lt;Matchup!$B$39,7,IF(P1621&lt;Matchup!$B$39+Matchup!$B$40,3,0)))</f>
        <v>0</v>
      </c>
      <c r="S1621" s="0" t="n">
        <f aca="false">IF($I1621&lt;&gt;$O1621,0,IF(Q1621&lt;Matchup!$C$39,7,IF(Q1621&lt;Matchup!$C$39+Matchup!$C$40,3,0)))</f>
        <v>0</v>
      </c>
      <c r="T1621" s="0" t="n">
        <f aca="false">I1621+R1621</f>
        <v>17</v>
      </c>
      <c r="U1621" s="0" t="n">
        <f aca="false">O1621+S1621</f>
        <v>13</v>
      </c>
      <c r="V1621" s="0" t="n">
        <f aca="false">T1621-U1621</f>
        <v>4</v>
      </c>
      <c r="W1621" s="0" t="n">
        <f aca="false">T1621+U1621</f>
        <v>30</v>
      </c>
    </row>
    <row r="1622" customFormat="false" ht="15" hidden="false" customHeight="false" outlineLevel="0" collapsed="false">
      <c r="A1622" s="0" t="n">
        <v>1619</v>
      </c>
      <c r="B1622" s="0" t="n">
        <f aca="true">NORMINV(RAND(),1,Coefficients!$B$22)</f>
        <v>0.896368549724416</v>
      </c>
      <c r="C1622" s="0" t="n">
        <f aca="true">MEDIAN(8,16,ROUND(NORMINV(RAND(),Coefficients!$B$20,Coefficients!$B$21),0))</f>
        <v>13</v>
      </c>
      <c r="D1622" s="0" t="n">
        <f aca="true">CRITBINOM($C1622,MIN(0.75,Matchup!$B$39*$B1622),RAND())</f>
        <v>2</v>
      </c>
      <c r="E1622" s="0" t="n">
        <f aca="true">CRITBINOM(D1622,Coefficients!$B$30,RAND())</f>
        <v>0</v>
      </c>
      <c r="F1622" s="0" t="n">
        <f aca="true">CRITBINOM(E1622,Coefficients!$B$31,RAND())</f>
        <v>0</v>
      </c>
      <c r="G1622" s="0" t="n">
        <f aca="true">CRITBINOM(MAX(0,D1622-E1622),1-Coefficients!$B$32,RAND())</f>
        <v>0</v>
      </c>
      <c r="H1622" s="0" t="n">
        <f aca="true">CRITBINOM(MAX(0,$C1622-D1622),MIN(0.6,Matchup!$B$40*SQRT($B1622)/(1-MIN(0.75,Matchup!$B$39*$B1622))),RAND())</f>
        <v>3</v>
      </c>
      <c r="I1622" s="0" t="n">
        <f aca="false">6*D1622+(D1622-E1622-G1622)+2*F1622+3*H1622</f>
        <v>23</v>
      </c>
      <c r="J1622" s="0" t="n">
        <f aca="true">CRITBINOM($C1622,MIN(0.75,Matchup!$C$39*$B1622),RAND())</f>
        <v>2</v>
      </c>
      <c r="K1622" s="0" t="n">
        <f aca="true">CRITBINOM(J1622,Coefficients!$B$30,RAND())</f>
        <v>0</v>
      </c>
      <c r="L1622" s="0" t="n">
        <f aca="true">CRITBINOM(K1622,Coefficients!$B$31,RAND())</f>
        <v>0</v>
      </c>
      <c r="M1622" s="0" t="n">
        <f aca="true">CRITBINOM(MAX(0,J1622-K1622),1-Coefficients!$B$32,RAND())</f>
        <v>0</v>
      </c>
      <c r="N1622" s="0" t="n">
        <f aca="true">CRITBINOM(MAX(0,$C1622-J1622),MIN(0.6,Matchup!$C$40*SQRT($B1622)/(1-MIN(0.75,Matchup!$C$39*$B1622))),RAND())</f>
        <v>1</v>
      </c>
      <c r="O1622" s="0" t="n">
        <f aca="false">6*J1622+(J1622-K1622-M1622)+2*L1622+3*N1622</f>
        <v>17</v>
      </c>
      <c r="P1622" s="0" t="n">
        <f aca="true">RAND()</f>
        <v>0.612980507077215</v>
      </c>
      <c r="Q1622" s="0" t="n">
        <f aca="true">RAND()</f>
        <v>0.0634218446757525</v>
      </c>
      <c r="R1622" s="0" t="n">
        <f aca="false">IF($I1622&lt;&gt;$O1622,0,IF(P1622&lt;Matchup!$B$39,7,IF(P1622&lt;Matchup!$B$39+Matchup!$B$40,3,0)))</f>
        <v>0</v>
      </c>
      <c r="S1622" s="0" t="n">
        <f aca="false">IF($I1622&lt;&gt;$O1622,0,IF(Q1622&lt;Matchup!$C$39,7,IF(Q1622&lt;Matchup!$C$39+Matchup!$C$40,3,0)))</f>
        <v>0</v>
      </c>
      <c r="T1622" s="0" t="n">
        <f aca="false">I1622+R1622</f>
        <v>23</v>
      </c>
      <c r="U1622" s="0" t="n">
        <f aca="false">O1622+S1622</f>
        <v>17</v>
      </c>
      <c r="V1622" s="0" t="n">
        <f aca="false">T1622-U1622</f>
        <v>6</v>
      </c>
      <c r="W1622" s="0" t="n">
        <f aca="false">T1622+U1622</f>
        <v>40</v>
      </c>
    </row>
    <row r="1623" customFormat="false" ht="15" hidden="false" customHeight="false" outlineLevel="0" collapsed="false">
      <c r="A1623" s="0" t="n">
        <v>1620</v>
      </c>
      <c r="B1623" s="0" t="n">
        <f aca="true">NORMINV(RAND(),1,Coefficients!$B$22)</f>
        <v>1.00294530426761</v>
      </c>
      <c r="C1623" s="0" t="n">
        <f aca="true">MEDIAN(8,16,ROUND(NORMINV(RAND(),Coefficients!$B$20,Coefficients!$B$21),0))</f>
        <v>13</v>
      </c>
      <c r="D1623" s="0" t="n">
        <f aca="true">CRITBINOM($C1623,MIN(0.75,Matchup!$B$39*$B1623),RAND())</f>
        <v>7</v>
      </c>
      <c r="E1623" s="0" t="n">
        <f aca="true">CRITBINOM(D1623,Coefficients!$B$30,RAND())</f>
        <v>0</v>
      </c>
      <c r="F1623" s="0" t="n">
        <f aca="true">CRITBINOM(E1623,Coefficients!$B$31,RAND())</f>
        <v>0</v>
      </c>
      <c r="G1623" s="0" t="n">
        <f aca="true">CRITBINOM(MAX(0,D1623-E1623),1-Coefficients!$B$32,RAND())</f>
        <v>0</v>
      </c>
      <c r="H1623" s="0" t="n">
        <f aca="true">CRITBINOM(MAX(0,$C1623-D1623),MIN(0.6,Matchup!$B$40*SQRT($B1623)/(1-MIN(0.75,Matchup!$B$39*$B1623))),RAND())</f>
        <v>1</v>
      </c>
      <c r="I1623" s="0" t="n">
        <f aca="false">6*D1623+(D1623-E1623-G1623)+2*F1623+3*H1623</f>
        <v>52</v>
      </c>
      <c r="J1623" s="0" t="n">
        <f aca="true">CRITBINOM($C1623,MIN(0.75,Matchup!$C$39*$B1623),RAND())</f>
        <v>4</v>
      </c>
      <c r="K1623" s="0" t="n">
        <f aca="true">CRITBINOM(J1623,Coefficients!$B$30,RAND())</f>
        <v>0</v>
      </c>
      <c r="L1623" s="0" t="n">
        <f aca="true">CRITBINOM(K1623,Coefficients!$B$31,RAND())</f>
        <v>0</v>
      </c>
      <c r="M1623" s="0" t="n">
        <f aca="true">CRITBINOM(MAX(0,J1623-K1623),1-Coefficients!$B$32,RAND())</f>
        <v>0</v>
      </c>
      <c r="N1623" s="0" t="n">
        <f aca="true">CRITBINOM(MAX(0,$C1623-J1623),MIN(0.6,Matchup!$C$40*SQRT($B1623)/(1-MIN(0.75,Matchup!$C$39*$B1623))),RAND())</f>
        <v>1</v>
      </c>
      <c r="O1623" s="0" t="n">
        <f aca="false">6*J1623+(J1623-K1623-M1623)+2*L1623+3*N1623</f>
        <v>31</v>
      </c>
      <c r="P1623" s="0" t="n">
        <f aca="true">RAND()</f>
        <v>0.562918247345289</v>
      </c>
      <c r="Q1623" s="0" t="n">
        <f aca="true">RAND()</f>
        <v>0.241061269554798</v>
      </c>
      <c r="R1623" s="0" t="n">
        <f aca="false">IF($I1623&lt;&gt;$O1623,0,IF(P1623&lt;Matchup!$B$39,7,IF(P1623&lt;Matchup!$B$39+Matchup!$B$40,3,0)))</f>
        <v>0</v>
      </c>
      <c r="S1623" s="0" t="n">
        <f aca="false">IF($I1623&lt;&gt;$O1623,0,IF(Q1623&lt;Matchup!$C$39,7,IF(Q1623&lt;Matchup!$C$39+Matchup!$C$40,3,0)))</f>
        <v>0</v>
      </c>
      <c r="T1623" s="0" t="n">
        <f aca="false">I1623+R1623</f>
        <v>52</v>
      </c>
      <c r="U1623" s="0" t="n">
        <f aca="false">O1623+S1623</f>
        <v>31</v>
      </c>
      <c r="V1623" s="0" t="n">
        <f aca="false">T1623-U1623</f>
        <v>21</v>
      </c>
      <c r="W1623" s="0" t="n">
        <f aca="false">T1623+U1623</f>
        <v>83</v>
      </c>
    </row>
    <row r="1624" customFormat="false" ht="15" hidden="false" customHeight="false" outlineLevel="0" collapsed="false">
      <c r="A1624" s="0" t="n">
        <v>1621</v>
      </c>
      <c r="B1624" s="0" t="n">
        <f aca="true">NORMINV(RAND(),1,Coefficients!$B$22)</f>
        <v>0.97744728729176</v>
      </c>
      <c r="C1624" s="0" t="n">
        <f aca="true">MEDIAN(8,16,ROUND(NORMINV(RAND(),Coefficients!$B$20,Coefficients!$B$21),0))</f>
        <v>9</v>
      </c>
      <c r="D1624" s="0" t="n">
        <f aca="true">CRITBINOM($C1624,MIN(0.75,Matchup!$B$39*$B1624),RAND())</f>
        <v>2</v>
      </c>
      <c r="E1624" s="0" t="n">
        <f aca="true">CRITBINOM(D1624,Coefficients!$B$30,RAND())</f>
        <v>1</v>
      </c>
      <c r="F1624" s="0" t="n">
        <f aca="true">CRITBINOM(E1624,Coefficients!$B$31,RAND())</f>
        <v>0</v>
      </c>
      <c r="G1624" s="0" t="n">
        <f aca="true">CRITBINOM(MAX(0,D1624-E1624),1-Coefficients!$B$32,RAND())</f>
        <v>0</v>
      </c>
      <c r="H1624" s="0" t="n">
        <f aca="true">CRITBINOM(MAX(0,$C1624-D1624),MIN(0.6,Matchup!$B$40*SQRT($B1624)/(1-MIN(0.75,Matchup!$B$39*$B1624))),RAND())</f>
        <v>1</v>
      </c>
      <c r="I1624" s="0" t="n">
        <f aca="false">6*D1624+(D1624-E1624-G1624)+2*F1624+3*H1624</f>
        <v>16</v>
      </c>
      <c r="J1624" s="0" t="n">
        <f aca="true">CRITBINOM($C1624,MIN(0.75,Matchup!$C$39*$B1624),RAND())</f>
        <v>4</v>
      </c>
      <c r="K1624" s="0" t="n">
        <f aca="true">CRITBINOM(J1624,Coefficients!$B$30,RAND())</f>
        <v>0</v>
      </c>
      <c r="L1624" s="0" t="n">
        <f aca="true">CRITBINOM(K1624,Coefficients!$B$31,RAND())</f>
        <v>0</v>
      </c>
      <c r="M1624" s="0" t="n">
        <f aca="true">CRITBINOM(MAX(0,J1624-K1624),1-Coefficients!$B$32,RAND())</f>
        <v>0</v>
      </c>
      <c r="N1624" s="0" t="n">
        <f aca="true">CRITBINOM(MAX(0,$C1624-J1624),MIN(0.6,Matchup!$C$40*SQRT($B1624)/(1-MIN(0.75,Matchup!$C$39*$B1624))),RAND())</f>
        <v>2</v>
      </c>
      <c r="O1624" s="0" t="n">
        <f aca="false">6*J1624+(J1624-K1624-M1624)+2*L1624+3*N1624</f>
        <v>34</v>
      </c>
      <c r="P1624" s="0" t="n">
        <f aca="true">RAND()</f>
        <v>0.446925040571424</v>
      </c>
      <c r="Q1624" s="0" t="n">
        <f aca="true">RAND()</f>
        <v>0.752534798496192</v>
      </c>
      <c r="R1624" s="0" t="n">
        <f aca="false">IF($I1624&lt;&gt;$O1624,0,IF(P1624&lt;Matchup!$B$39,7,IF(P1624&lt;Matchup!$B$39+Matchup!$B$40,3,0)))</f>
        <v>0</v>
      </c>
      <c r="S1624" s="0" t="n">
        <f aca="false">IF($I1624&lt;&gt;$O1624,0,IF(Q1624&lt;Matchup!$C$39,7,IF(Q1624&lt;Matchup!$C$39+Matchup!$C$40,3,0)))</f>
        <v>0</v>
      </c>
      <c r="T1624" s="0" t="n">
        <f aca="false">I1624+R1624</f>
        <v>16</v>
      </c>
      <c r="U1624" s="0" t="n">
        <f aca="false">O1624+S1624</f>
        <v>34</v>
      </c>
      <c r="V1624" s="0" t="n">
        <f aca="false">T1624-U1624</f>
        <v>-18</v>
      </c>
      <c r="W1624" s="0" t="n">
        <f aca="false">T1624+U1624</f>
        <v>50</v>
      </c>
    </row>
    <row r="1625" customFormat="false" ht="15" hidden="false" customHeight="false" outlineLevel="0" collapsed="false">
      <c r="A1625" s="0" t="n">
        <v>1622</v>
      </c>
      <c r="B1625" s="0" t="n">
        <f aca="true">NORMINV(RAND(),1,Coefficients!$B$22)</f>
        <v>0.893013767940957</v>
      </c>
      <c r="C1625" s="0" t="n">
        <f aca="true">MEDIAN(8,16,ROUND(NORMINV(RAND(),Coefficients!$B$20,Coefficients!$B$21),0))</f>
        <v>10</v>
      </c>
      <c r="D1625" s="0" t="n">
        <f aca="true">CRITBINOM($C1625,MIN(0.75,Matchup!$B$39*$B1625),RAND())</f>
        <v>2</v>
      </c>
      <c r="E1625" s="0" t="n">
        <f aca="true">CRITBINOM(D1625,Coefficients!$B$30,RAND())</f>
        <v>1</v>
      </c>
      <c r="F1625" s="0" t="n">
        <f aca="true">CRITBINOM(E1625,Coefficients!$B$31,RAND())</f>
        <v>0</v>
      </c>
      <c r="G1625" s="0" t="n">
        <f aca="true">CRITBINOM(MAX(0,D1625-E1625),1-Coefficients!$B$32,RAND())</f>
        <v>0</v>
      </c>
      <c r="H1625" s="0" t="n">
        <f aca="true">CRITBINOM(MAX(0,$C1625-D1625),MIN(0.6,Matchup!$B$40*SQRT($B1625)/(1-MIN(0.75,Matchup!$B$39*$B1625))),RAND())</f>
        <v>1</v>
      </c>
      <c r="I1625" s="0" t="n">
        <f aca="false">6*D1625+(D1625-E1625-G1625)+2*F1625+3*H1625</f>
        <v>16</v>
      </c>
      <c r="J1625" s="0" t="n">
        <f aca="true">CRITBINOM($C1625,MIN(0.75,Matchup!$C$39*$B1625),RAND())</f>
        <v>2</v>
      </c>
      <c r="K1625" s="0" t="n">
        <f aca="true">CRITBINOM(J1625,Coefficients!$B$30,RAND())</f>
        <v>0</v>
      </c>
      <c r="L1625" s="0" t="n">
        <f aca="true">CRITBINOM(K1625,Coefficients!$B$31,RAND())</f>
        <v>0</v>
      </c>
      <c r="M1625" s="0" t="n">
        <f aca="true">CRITBINOM(MAX(0,J1625-K1625),1-Coefficients!$B$32,RAND())</f>
        <v>0</v>
      </c>
      <c r="N1625" s="0" t="n">
        <f aca="true">CRITBINOM(MAX(0,$C1625-J1625),MIN(0.6,Matchup!$C$40*SQRT($B1625)/(1-MIN(0.75,Matchup!$C$39*$B1625))),RAND())</f>
        <v>0</v>
      </c>
      <c r="O1625" s="0" t="n">
        <f aca="false">6*J1625+(J1625-K1625-M1625)+2*L1625+3*N1625</f>
        <v>14</v>
      </c>
      <c r="P1625" s="0" t="n">
        <f aca="true">RAND()</f>
        <v>0.0643539738347185</v>
      </c>
      <c r="Q1625" s="0" t="n">
        <f aca="true">RAND()</f>
        <v>0.244033836131592</v>
      </c>
      <c r="R1625" s="0" t="n">
        <f aca="false">IF($I1625&lt;&gt;$O1625,0,IF(P1625&lt;Matchup!$B$39,7,IF(P1625&lt;Matchup!$B$39+Matchup!$B$40,3,0)))</f>
        <v>0</v>
      </c>
      <c r="S1625" s="0" t="n">
        <f aca="false">IF($I1625&lt;&gt;$O1625,0,IF(Q1625&lt;Matchup!$C$39,7,IF(Q1625&lt;Matchup!$C$39+Matchup!$C$40,3,0)))</f>
        <v>0</v>
      </c>
      <c r="T1625" s="0" t="n">
        <f aca="false">I1625+R1625</f>
        <v>16</v>
      </c>
      <c r="U1625" s="0" t="n">
        <f aca="false">O1625+S1625</f>
        <v>14</v>
      </c>
      <c r="V1625" s="0" t="n">
        <f aca="false">T1625-U1625</f>
        <v>2</v>
      </c>
      <c r="W1625" s="0" t="n">
        <f aca="false">T1625+U1625</f>
        <v>30</v>
      </c>
    </row>
    <row r="1626" customFormat="false" ht="15" hidden="false" customHeight="false" outlineLevel="0" collapsed="false">
      <c r="A1626" s="0" t="n">
        <v>1623</v>
      </c>
      <c r="B1626" s="0" t="n">
        <f aca="true">NORMINV(RAND(),1,Coefficients!$B$22)</f>
        <v>0.980057163846328</v>
      </c>
      <c r="C1626" s="0" t="n">
        <f aca="true">MEDIAN(8,16,ROUND(NORMINV(RAND(),Coefficients!$B$20,Coefficients!$B$21),0))</f>
        <v>12</v>
      </c>
      <c r="D1626" s="0" t="n">
        <f aca="true">CRITBINOM($C1626,MIN(0.75,Matchup!$B$39*$B1626),RAND())</f>
        <v>4</v>
      </c>
      <c r="E1626" s="0" t="n">
        <f aca="true">CRITBINOM(D1626,Coefficients!$B$30,RAND())</f>
        <v>0</v>
      </c>
      <c r="F1626" s="0" t="n">
        <f aca="true">CRITBINOM(E1626,Coefficients!$B$31,RAND())</f>
        <v>0</v>
      </c>
      <c r="G1626" s="0" t="n">
        <f aca="true">CRITBINOM(MAX(0,D1626-E1626),1-Coefficients!$B$32,RAND())</f>
        <v>0</v>
      </c>
      <c r="H1626" s="0" t="n">
        <f aca="true">CRITBINOM(MAX(0,$C1626-D1626),MIN(0.6,Matchup!$B$40*SQRT($B1626)/(1-MIN(0.75,Matchup!$B$39*$B1626))),RAND())</f>
        <v>1</v>
      </c>
      <c r="I1626" s="0" t="n">
        <f aca="false">6*D1626+(D1626-E1626-G1626)+2*F1626+3*H1626</f>
        <v>31</v>
      </c>
      <c r="J1626" s="0" t="n">
        <f aca="true">CRITBINOM($C1626,MIN(0.75,Matchup!$C$39*$B1626),RAND())</f>
        <v>2</v>
      </c>
      <c r="K1626" s="0" t="n">
        <f aca="true">CRITBINOM(J1626,Coefficients!$B$30,RAND())</f>
        <v>0</v>
      </c>
      <c r="L1626" s="0" t="n">
        <f aca="true">CRITBINOM(K1626,Coefficients!$B$31,RAND())</f>
        <v>0</v>
      </c>
      <c r="M1626" s="0" t="n">
        <f aca="true">CRITBINOM(MAX(0,J1626-K1626),1-Coefficients!$B$32,RAND())</f>
        <v>0</v>
      </c>
      <c r="N1626" s="0" t="n">
        <f aca="true">CRITBINOM(MAX(0,$C1626-J1626),MIN(0.6,Matchup!$C$40*SQRT($B1626)/(1-MIN(0.75,Matchup!$C$39*$B1626))),RAND())</f>
        <v>1</v>
      </c>
      <c r="O1626" s="0" t="n">
        <f aca="false">6*J1626+(J1626-K1626-M1626)+2*L1626+3*N1626</f>
        <v>17</v>
      </c>
      <c r="P1626" s="0" t="n">
        <f aca="true">RAND()</f>
        <v>0.63569842265596</v>
      </c>
      <c r="Q1626" s="0" t="n">
        <f aca="true">RAND()</f>
        <v>0.260484008131473</v>
      </c>
      <c r="R1626" s="0" t="n">
        <f aca="false">IF($I1626&lt;&gt;$O1626,0,IF(P1626&lt;Matchup!$B$39,7,IF(P1626&lt;Matchup!$B$39+Matchup!$B$40,3,0)))</f>
        <v>0</v>
      </c>
      <c r="S1626" s="0" t="n">
        <f aca="false">IF($I1626&lt;&gt;$O1626,0,IF(Q1626&lt;Matchup!$C$39,7,IF(Q1626&lt;Matchup!$C$39+Matchup!$C$40,3,0)))</f>
        <v>0</v>
      </c>
      <c r="T1626" s="0" t="n">
        <f aca="false">I1626+R1626</f>
        <v>31</v>
      </c>
      <c r="U1626" s="0" t="n">
        <f aca="false">O1626+S1626</f>
        <v>17</v>
      </c>
      <c r="V1626" s="0" t="n">
        <f aca="false">T1626-U1626</f>
        <v>14</v>
      </c>
      <c r="W1626" s="0" t="n">
        <f aca="false">T1626+U1626</f>
        <v>48</v>
      </c>
    </row>
    <row r="1627" customFormat="false" ht="15" hidden="false" customHeight="false" outlineLevel="0" collapsed="false">
      <c r="A1627" s="0" t="n">
        <v>1624</v>
      </c>
      <c r="B1627" s="0" t="n">
        <f aca="true">NORMINV(RAND(),1,Coefficients!$B$22)</f>
        <v>1.01079165877323</v>
      </c>
      <c r="C1627" s="0" t="n">
        <f aca="true">MEDIAN(8,16,ROUND(NORMINV(RAND(),Coefficients!$B$20,Coefficients!$B$21),0))</f>
        <v>11</v>
      </c>
      <c r="D1627" s="0" t="n">
        <f aca="true">CRITBINOM($C1627,MIN(0.75,Matchup!$B$39*$B1627),RAND())</f>
        <v>5</v>
      </c>
      <c r="E1627" s="0" t="n">
        <f aca="true">CRITBINOM(D1627,Coefficients!$B$30,RAND())</f>
        <v>0</v>
      </c>
      <c r="F1627" s="0" t="n">
        <f aca="true">CRITBINOM(E1627,Coefficients!$B$31,RAND())</f>
        <v>0</v>
      </c>
      <c r="G1627" s="0" t="n">
        <f aca="true">CRITBINOM(MAX(0,D1627-E1627),1-Coefficients!$B$32,RAND())</f>
        <v>0</v>
      </c>
      <c r="H1627" s="0" t="n">
        <f aca="true">CRITBINOM(MAX(0,$C1627-D1627),MIN(0.6,Matchup!$B$40*SQRT($B1627)/(1-MIN(0.75,Matchup!$B$39*$B1627))),RAND())</f>
        <v>1</v>
      </c>
      <c r="I1627" s="0" t="n">
        <f aca="false">6*D1627+(D1627-E1627-G1627)+2*F1627+3*H1627</f>
        <v>38</v>
      </c>
      <c r="J1627" s="0" t="n">
        <f aca="true">CRITBINOM($C1627,MIN(0.75,Matchup!$C$39*$B1627),RAND())</f>
        <v>0</v>
      </c>
      <c r="K1627" s="0" t="n">
        <f aca="true">CRITBINOM(J1627,Coefficients!$B$30,RAND())</f>
        <v>0</v>
      </c>
      <c r="L1627" s="0" t="n">
        <f aca="true">CRITBINOM(K1627,Coefficients!$B$31,RAND())</f>
        <v>0</v>
      </c>
      <c r="M1627" s="0" t="n">
        <f aca="true">CRITBINOM(MAX(0,J1627-K1627),1-Coefficients!$B$32,RAND())</f>
        <v>0</v>
      </c>
      <c r="N1627" s="0" t="n">
        <f aca="true">CRITBINOM(MAX(0,$C1627-J1627),MIN(0.6,Matchup!$C$40*SQRT($B1627)/(1-MIN(0.75,Matchup!$C$39*$B1627))),RAND())</f>
        <v>2</v>
      </c>
      <c r="O1627" s="0" t="n">
        <f aca="false">6*J1627+(J1627-K1627-M1627)+2*L1627+3*N1627</f>
        <v>6</v>
      </c>
      <c r="P1627" s="0" t="n">
        <f aca="true">RAND()</f>
        <v>0.775808839687503</v>
      </c>
      <c r="Q1627" s="0" t="n">
        <f aca="true">RAND()</f>
        <v>0.655930617728126</v>
      </c>
      <c r="R1627" s="0" t="n">
        <f aca="false">IF($I1627&lt;&gt;$O1627,0,IF(P1627&lt;Matchup!$B$39,7,IF(P1627&lt;Matchup!$B$39+Matchup!$B$40,3,0)))</f>
        <v>0</v>
      </c>
      <c r="S1627" s="0" t="n">
        <f aca="false">IF($I1627&lt;&gt;$O1627,0,IF(Q1627&lt;Matchup!$C$39,7,IF(Q1627&lt;Matchup!$C$39+Matchup!$C$40,3,0)))</f>
        <v>0</v>
      </c>
      <c r="T1627" s="0" t="n">
        <f aca="false">I1627+R1627</f>
        <v>38</v>
      </c>
      <c r="U1627" s="0" t="n">
        <f aca="false">O1627+S1627</f>
        <v>6</v>
      </c>
      <c r="V1627" s="0" t="n">
        <f aca="false">T1627-U1627</f>
        <v>32</v>
      </c>
      <c r="W1627" s="0" t="n">
        <f aca="false">T1627+U1627</f>
        <v>44</v>
      </c>
    </row>
    <row r="1628" customFormat="false" ht="15" hidden="false" customHeight="false" outlineLevel="0" collapsed="false">
      <c r="A1628" s="0" t="n">
        <v>1625</v>
      </c>
      <c r="B1628" s="0" t="n">
        <f aca="true">NORMINV(RAND(),1,Coefficients!$B$22)</f>
        <v>0.938258953714722</v>
      </c>
      <c r="C1628" s="0" t="n">
        <f aca="true">MEDIAN(8,16,ROUND(NORMINV(RAND(),Coefficients!$B$20,Coefficients!$B$21),0))</f>
        <v>10</v>
      </c>
      <c r="D1628" s="0" t="n">
        <f aca="true">CRITBINOM($C1628,MIN(0.75,Matchup!$B$39*$B1628),RAND())</f>
        <v>3</v>
      </c>
      <c r="E1628" s="0" t="n">
        <f aca="true">CRITBINOM(D1628,Coefficients!$B$30,RAND())</f>
        <v>0</v>
      </c>
      <c r="F1628" s="0" t="n">
        <f aca="true">CRITBINOM(E1628,Coefficients!$B$31,RAND())</f>
        <v>0</v>
      </c>
      <c r="G1628" s="0" t="n">
        <f aca="true">CRITBINOM(MAX(0,D1628-E1628),1-Coefficients!$B$32,RAND())</f>
        <v>0</v>
      </c>
      <c r="H1628" s="0" t="n">
        <f aca="true">CRITBINOM(MAX(0,$C1628-D1628),MIN(0.6,Matchup!$B$40*SQRT($B1628)/(1-MIN(0.75,Matchup!$B$39*$B1628))),RAND())</f>
        <v>3</v>
      </c>
      <c r="I1628" s="0" t="n">
        <f aca="false">6*D1628+(D1628-E1628-G1628)+2*F1628+3*H1628</f>
        <v>30</v>
      </c>
      <c r="J1628" s="0" t="n">
        <f aca="true">CRITBINOM($C1628,MIN(0.75,Matchup!$C$39*$B1628),RAND())</f>
        <v>2</v>
      </c>
      <c r="K1628" s="0" t="n">
        <f aca="true">CRITBINOM(J1628,Coefficients!$B$30,RAND())</f>
        <v>0</v>
      </c>
      <c r="L1628" s="0" t="n">
        <f aca="true">CRITBINOM(K1628,Coefficients!$B$31,RAND())</f>
        <v>0</v>
      </c>
      <c r="M1628" s="0" t="n">
        <f aca="true">CRITBINOM(MAX(0,J1628-K1628),1-Coefficients!$B$32,RAND())</f>
        <v>0</v>
      </c>
      <c r="N1628" s="0" t="n">
        <f aca="true">CRITBINOM(MAX(0,$C1628-J1628),MIN(0.6,Matchup!$C$40*SQRT($B1628)/(1-MIN(0.75,Matchup!$C$39*$B1628))),RAND())</f>
        <v>2</v>
      </c>
      <c r="O1628" s="0" t="n">
        <f aca="false">6*J1628+(J1628-K1628-M1628)+2*L1628+3*N1628</f>
        <v>20</v>
      </c>
      <c r="P1628" s="0" t="n">
        <f aca="true">RAND()</f>
        <v>0.266702480976867</v>
      </c>
      <c r="Q1628" s="0" t="n">
        <f aca="true">RAND()</f>
        <v>0.81328791971782</v>
      </c>
      <c r="R1628" s="0" t="n">
        <f aca="false">IF($I1628&lt;&gt;$O1628,0,IF(P1628&lt;Matchup!$B$39,7,IF(P1628&lt;Matchup!$B$39+Matchup!$B$40,3,0)))</f>
        <v>0</v>
      </c>
      <c r="S1628" s="0" t="n">
        <f aca="false">IF($I1628&lt;&gt;$O1628,0,IF(Q1628&lt;Matchup!$C$39,7,IF(Q1628&lt;Matchup!$C$39+Matchup!$C$40,3,0)))</f>
        <v>0</v>
      </c>
      <c r="T1628" s="0" t="n">
        <f aca="false">I1628+R1628</f>
        <v>30</v>
      </c>
      <c r="U1628" s="0" t="n">
        <f aca="false">O1628+S1628</f>
        <v>20</v>
      </c>
      <c r="V1628" s="0" t="n">
        <f aca="false">T1628-U1628</f>
        <v>10</v>
      </c>
      <c r="W1628" s="0" t="n">
        <f aca="false">T1628+U1628</f>
        <v>50</v>
      </c>
    </row>
    <row r="1629" customFormat="false" ht="15" hidden="false" customHeight="false" outlineLevel="0" collapsed="false">
      <c r="A1629" s="0" t="n">
        <v>1626</v>
      </c>
      <c r="B1629" s="0" t="n">
        <f aca="true">NORMINV(RAND(),1,Coefficients!$B$22)</f>
        <v>0.906876051497834</v>
      </c>
      <c r="C1629" s="0" t="n">
        <f aca="true">MEDIAN(8,16,ROUND(NORMINV(RAND(),Coefficients!$B$20,Coefficients!$B$21),0))</f>
        <v>15</v>
      </c>
      <c r="D1629" s="0" t="n">
        <f aca="true">CRITBINOM($C1629,MIN(0.75,Matchup!$B$39*$B1629),RAND())</f>
        <v>6</v>
      </c>
      <c r="E1629" s="0" t="n">
        <f aca="true">CRITBINOM(D1629,Coefficients!$B$30,RAND())</f>
        <v>0</v>
      </c>
      <c r="F1629" s="0" t="n">
        <f aca="true">CRITBINOM(E1629,Coefficients!$B$31,RAND())</f>
        <v>0</v>
      </c>
      <c r="G1629" s="0" t="n">
        <f aca="true">CRITBINOM(MAX(0,D1629-E1629),1-Coefficients!$B$32,RAND())</f>
        <v>0</v>
      </c>
      <c r="H1629" s="0" t="n">
        <f aca="true">CRITBINOM(MAX(0,$C1629-D1629),MIN(0.6,Matchup!$B$40*SQRT($B1629)/(1-MIN(0.75,Matchup!$B$39*$B1629))),RAND())</f>
        <v>2</v>
      </c>
      <c r="I1629" s="0" t="n">
        <f aca="false">6*D1629+(D1629-E1629-G1629)+2*F1629+3*H1629</f>
        <v>48</v>
      </c>
      <c r="J1629" s="0" t="n">
        <f aca="true">CRITBINOM($C1629,MIN(0.75,Matchup!$C$39*$B1629),RAND())</f>
        <v>2</v>
      </c>
      <c r="K1629" s="0" t="n">
        <f aca="true">CRITBINOM(J1629,Coefficients!$B$30,RAND())</f>
        <v>1</v>
      </c>
      <c r="L1629" s="0" t="n">
        <f aca="true">CRITBINOM(K1629,Coefficients!$B$31,RAND())</f>
        <v>0</v>
      </c>
      <c r="M1629" s="0" t="n">
        <f aca="true">CRITBINOM(MAX(0,J1629-K1629),1-Coefficients!$B$32,RAND())</f>
        <v>1</v>
      </c>
      <c r="N1629" s="0" t="n">
        <f aca="true">CRITBINOM(MAX(0,$C1629-J1629),MIN(0.6,Matchup!$C$40*SQRT($B1629)/(1-MIN(0.75,Matchup!$C$39*$B1629))),RAND())</f>
        <v>4</v>
      </c>
      <c r="O1629" s="0" t="n">
        <f aca="false">6*J1629+(J1629-K1629-M1629)+2*L1629+3*N1629</f>
        <v>24</v>
      </c>
      <c r="P1629" s="0" t="n">
        <f aca="true">RAND()</f>
        <v>0.126809591152129</v>
      </c>
      <c r="Q1629" s="0" t="n">
        <f aca="true">RAND()</f>
        <v>0.389940578850704</v>
      </c>
      <c r="R1629" s="0" t="n">
        <f aca="false">IF($I1629&lt;&gt;$O1629,0,IF(P1629&lt;Matchup!$B$39,7,IF(P1629&lt;Matchup!$B$39+Matchup!$B$40,3,0)))</f>
        <v>0</v>
      </c>
      <c r="S1629" s="0" t="n">
        <f aca="false">IF($I1629&lt;&gt;$O1629,0,IF(Q1629&lt;Matchup!$C$39,7,IF(Q1629&lt;Matchup!$C$39+Matchup!$C$40,3,0)))</f>
        <v>0</v>
      </c>
      <c r="T1629" s="0" t="n">
        <f aca="false">I1629+R1629</f>
        <v>48</v>
      </c>
      <c r="U1629" s="0" t="n">
        <f aca="false">O1629+S1629</f>
        <v>24</v>
      </c>
      <c r="V1629" s="0" t="n">
        <f aca="false">T1629-U1629</f>
        <v>24</v>
      </c>
      <c r="W1629" s="0" t="n">
        <f aca="false">T1629+U1629</f>
        <v>72</v>
      </c>
    </row>
    <row r="1630" customFormat="false" ht="15" hidden="false" customHeight="false" outlineLevel="0" collapsed="false">
      <c r="A1630" s="0" t="n">
        <v>1627</v>
      </c>
      <c r="B1630" s="0" t="n">
        <f aca="true">NORMINV(RAND(),1,Coefficients!$B$22)</f>
        <v>1.07303718000987</v>
      </c>
      <c r="C1630" s="0" t="n">
        <f aca="true">MEDIAN(8,16,ROUND(NORMINV(RAND(),Coefficients!$B$20,Coefficients!$B$21),0))</f>
        <v>10</v>
      </c>
      <c r="D1630" s="0" t="n">
        <f aca="true">CRITBINOM($C1630,MIN(0.75,Matchup!$B$39*$B1630),RAND())</f>
        <v>3</v>
      </c>
      <c r="E1630" s="0" t="n">
        <f aca="true">CRITBINOM(D1630,Coefficients!$B$30,RAND())</f>
        <v>0</v>
      </c>
      <c r="F1630" s="0" t="n">
        <f aca="true">CRITBINOM(E1630,Coefficients!$B$31,RAND())</f>
        <v>0</v>
      </c>
      <c r="G1630" s="0" t="n">
        <f aca="true">CRITBINOM(MAX(0,D1630-E1630),1-Coefficients!$B$32,RAND())</f>
        <v>1</v>
      </c>
      <c r="H1630" s="0" t="n">
        <f aca="true">CRITBINOM(MAX(0,$C1630-D1630),MIN(0.6,Matchup!$B$40*SQRT($B1630)/(1-MIN(0.75,Matchup!$B$39*$B1630))),RAND())</f>
        <v>2</v>
      </c>
      <c r="I1630" s="0" t="n">
        <f aca="false">6*D1630+(D1630-E1630-G1630)+2*F1630+3*H1630</f>
        <v>26</v>
      </c>
      <c r="J1630" s="0" t="n">
        <f aca="true">CRITBINOM($C1630,MIN(0.75,Matchup!$C$39*$B1630),RAND())</f>
        <v>3</v>
      </c>
      <c r="K1630" s="0" t="n">
        <f aca="true">CRITBINOM(J1630,Coefficients!$B$30,RAND())</f>
        <v>0</v>
      </c>
      <c r="L1630" s="0" t="n">
        <f aca="true">CRITBINOM(K1630,Coefficients!$B$31,RAND())</f>
        <v>0</v>
      </c>
      <c r="M1630" s="0" t="n">
        <f aca="true">CRITBINOM(MAX(0,J1630-K1630),1-Coefficients!$B$32,RAND())</f>
        <v>0</v>
      </c>
      <c r="N1630" s="0" t="n">
        <f aca="true">CRITBINOM(MAX(0,$C1630-J1630),MIN(0.6,Matchup!$C$40*SQRT($B1630)/(1-MIN(0.75,Matchup!$C$39*$B1630))),RAND())</f>
        <v>1</v>
      </c>
      <c r="O1630" s="0" t="n">
        <f aca="false">6*J1630+(J1630-K1630-M1630)+2*L1630+3*N1630</f>
        <v>24</v>
      </c>
      <c r="P1630" s="0" t="n">
        <f aca="true">RAND()</f>
        <v>0.661089123442561</v>
      </c>
      <c r="Q1630" s="0" t="n">
        <f aca="true">RAND()</f>
        <v>0.734164590116015</v>
      </c>
      <c r="R1630" s="0" t="n">
        <f aca="false">IF($I1630&lt;&gt;$O1630,0,IF(P1630&lt;Matchup!$B$39,7,IF(P1630&lt;Matchup!$B$39+Matchup!$B$40,3,0)))</f>
        <v>0</v>
      </c>
      <c r="S1630" s="0" t="n">
        <f aca="false">IF($I1630&lt;&gt;$O1630,0,IF(Q1630&lt;Matchup!$C$39,7,IF(Q1630&lt;Matchup!$C$39+Matchup!$C$40,3,0)))</f>
        <v>0</v>
      </c>
      <c r="T1630" s="0" t="n">
        <f aca="false">I1630+R1630</f>
        <v>26</v>
      </c>
      <c r="U1630" s="0" t="n">
        <f aca="false">O1630+S1630</f>
        <v>24</v>
      </c>
      <c r="V1630" s="0" t="n">
        <f aca="false">T1630-U1630</f>
        <v>2</v>
      </c>
      <c r="W1630" s="0" t="n">
        <f aca="false">T1630+U1630</f>
        <v>50</v>
      </c>
    </row>
    <row r="1631" customFormat="false" ht="15" hidden="false" customHeight="false" outlineLevel="0" collapsed="false">
      <c r="A1631" s="0" t="n">
        <v>1628</v>
      </c>
      <c r="B1631" s="0" t="n">
        <f aca="true">NORMINV(RAND(),1,Coefficients!$B$22)</f>
        <v>0.902470054056575</v>
      </c>
      <c r="C1631" s="0" t="n">
        <f aca="true">MEDIAN(8,16,ROUND(NORMINV(RAND(),Coefficients!$B$20,Coefficients!$B$21),0))</f>
        <v>12</v>
      </c>
      <c r="D1631" s="0" t="n">
        <f aca="true">CRITBINOM($C1631,MIN(0.75,Matchup!$B$39*$B1631),RAND())</f>
        <v>3</v>
      </c>
      <c r="E1631" s="0" t="n">
        <f aca="true">CRITBINOM(D1631,Coefficients!$B$30,RAND())</f>
        <v>0</v>
      </c>
      <c r="F1631" s="0" t="n">
        <f aca="true">CRITBINOM(E1631,Coefficients!$B$31,RAND())</f>
        <v>0</v>
      </c>
      <c r="G1631" s="0" t="n">
        <f aca="true">CRITBINOM(MAX(0,D1631-E1631),1-Coefficients!$B$32,RAND())</f>
        <v>0</v>
      </c>
      <c r="H1631" s="0" t="n">
        <f aca="true">CRITBINOM(MAX(0,$C1631-D1631),MIN(0.6,Matchup!$B$40*SQRT($B1631)/(1-MIN(0.75,Matchup!$B$39*$B1631))),RAND())</f>
        <v>2</v>
      </c>
      <c r="I1631" s="0" t="n">
        <f aca="false">6*D1631+(D1631-E1631-G1631)+2*F1631+3*H1631</f>
        <v>27</v>
      </c>
      <c r="J1631" s="0" t="n">
        <f aca="true">CRITBINOM($C1631,MIN(0.75,Matchup!$C$39*$B1631),RAND())</f>
        <v>1</v>
      </c>
      <c r="K1631" s="0" t="n">
        <f aca="true">CRITBINOM(J1631,Coefficients!$B$30,RAND())</f>
        <v>0</v>
      </c>
      <c r="L1631" s="0" t="n">
        <f aca="true">CRITBINOM(K1631,Coefficients!$B$31,RAND())</f>
        <v>0</v>
      </c>
      <c r="M1631" s="0" t="n">
        <f aca="true">CRITBINOM(MAX(0,J1631-K1631),1-Coefficients!$B$32,RAND())</f>
        <v>0</v>
      </c>
      <c r="N1631" s="0" t="n">
        <f aca="true">CRITBINOM(MAX(0,$C1631-J1631),MIN(0.6,Matchup!$C$40*SQRT($B1631)/(1-MIN(0.75,Matchup!$C$39*$B1631))),RAND())</f>
        <v>1</v>
      </c>
      <c r="O1631" s="0" t="n">
        <f aca="false">6*J1631+(J1631-K1631-M1631)+2*L1631+3*N1631</f>
        <v>10</v>
      </c>
      <c r="P1631" s="0" t="n">
        <f aca="true">RAND()</f>
        <v>0.364248281022918</v>
      </c>
      <c r="Q1631" s="0" t="n">
        <f aca="true">RAND()</f>
        <v>0.270904274694796</v>
      </c>
      <c r="R1631" s="0" t="n">
        <f aca="false">IF($I1631&lt;&gt;$O1631,0,IF(P1631&lt;Matchup!$B$39,7,IF(P1631&lt;Matchup!$B$39+Matchup!$B$40,3,0)))</f>
        <v>0</v>
      </c>
      <c r="S1631" s="0" t="n">
        <f aca="false">IF($I1631&lt;&gt;$O1631,0,IF(Q1631&lt;Matchup!$C$39,7,IF(Q1631&lt;Matchup!$C$39+Matchup!$C$40,3,0)))</f>
        <v>0</v>
      </c>
      <c r="T1631" s="0" t="n">
        <f aca="false">I1631+R1631</f>
        <v>27</v>
      </c>
      <c r="U1631" s="0" t="n">
        <f aca="false">O1631+S1631</f>
        <v>10</v>
      </c>
      <c r="V1631" s="0" t="n">
        <f aca="false">T1631-U1631</f>
        <v>17</v>
      </c>
      <c r="W1631" s="0" t="n">
        <f aca="false">T1631+U1631</f>
        <v>37</v>
      </c>
    </row>
    <row r="1632" customFormat="false" ht="15" hidden="false" customHeight="false" outlineLevel="0" collapsed="false">
      <c r="A1632" s="0" t="n">
        <v>1629</v>
      </c>
      <c r="B1632" s="0" t="n">
        <f aca="true">NORMINV(RAND(),1,Coefficients!$B$22)</f>
        <v>1.06704038694643</v>
      </c>
      <c r="C1632" s="0" t="n">
        <f aca="true">MEDIAN(8,16,ROUND(NORMINV(RAND(),Coefficients!$B$20,Coefficients!$B$21),0))</f>
        <v>11</v>
      </c>
      <c r="D1632" s="0" t="n">
        <f aca="true">CRITBINOM($C1632,MIN(0.75,Matchup!$B$39*$B1632),RAND())</f>
        <v>4</v>
      </c>
      <c r="E1632" s="0" t="n">
        <f aca="true">CRITBINOM(D1632,Coefficients!$B$30,RAND())</f>
        <v>1</v>
      </c>
      <c r="F1632" s="0" t="n">
        <f aca="true">CRITBINOM(E1632,Coefficients!$B$31,RAND())</f>
        <v>0</v>
      </c>
      <c r="G1632" s="0" t="n">
        <f aca="true">CRITBINOM(MAX(0,D1632-E1632),1-Coefficients!$B$32,RAND())</f>
        <v>0</v>
      </c>
      <c r="H1632" s="0" t="n">
        <f aca="true">CRITBINOM(MAX(0,$C1632-D1632),MIN(0.6,Matchup!$B$40*SQRT($B1632)/(1-MIN(0.75,Matchup!$B$39*$B1632))),RAND())</f>
        <v>0</v>
      </c>
      <c r="I1632" s="0" t="n">
        <f aca="false">6*D1632+(D1632-E1632-G1632)+2*F1632+3*H1632</f>
        <v>27</v>
      </c>
      <c r="J1632" s="0" t="n">
        <f aca="true">CRITBINOM($C1632,MIN(0.75,Matchup!$C$39*$B1632),RAND())</f>
        <v>2</v>
      </c>
      <c r="K1632" s="0" t="n">
        <f aca="true">CRITBINOM(J1632,Coefficients!$B$30,RAND())</f>
        <v>0</v>
      </c>
      <c r="L1632" s="0" t="n">
        <f aca="true">CRITBINOM(K1632,Coefficients!$B$31,RAND())</f>
        <v>0</v>
      </c>
      <c r="M1632" s="0" t="n">
        <f aca="true">CRITBINOM(MAX(0,J1632-K1632),1-Coefficients!$B$32,RAND())</f>
        <v>0</v>
      </c>
      <c r="N1632" s="0" t="n">
        <f aca="true">CRITBINOM(MAX(0,$C1632-J1632),MIN(0.6,Matchup!$C$40*SQRT($B1632)/(1-MIN(0.75,Matchup!$C$39*$B1632))),RAND())</f>
        <v>2</v>
      </c>
      <c r="O1632" s="0" t="n">
        <f aca="false">6*J1632+(J1632-K1632-M1632)+2*L1632+3*N1632</f>
        <v>20</v>
      </c>
      <c r="P1632" s="0" t="n">
        <f aca="true">RAND()</f>
        <v>0.692451337919403</v>
      </c>
      <c r="Q1632" s="0" t="n">
        <f aca="true">RAND()</f>
        <v>0.145874486907061</v>
      </c>
      <c r="R1632" s="0" t="n">
        <f aca="false">IF($I1632&lt;&gt;$O1632,0,IF(P1632&lt;Matchup!$B$39,7,IF(P1632&lt;Matchup!$B$39+Matchup!$B$40,3,0)))</f>
        <v>0</v>
      </c>
      <c r="S1632" s="0" t="n">
        <f aca="false">IF($I1632&lt;&gt;$O1632,0,IF(Q1632&lt;Matchup!$C$39,7,IF(Q1632&lt;Matchup!$C$39+Matchup!$C$40,3,0)))</f>
        <v>0</v>
      </c>
      <c r="T1632" s="0" t="n">
        <f aca="false">I1632+R1632</f>
        <v>27</v>
      </c>
      <c r="U1632" s="0" t="n">
        <f aca="false">O1632+S1632</f>
        <v>20</v>
      </c>
      <c r="V1632" s="0" t="n">
        <f aca="false">T1632-U1632</f>
        <v>7</v>
      </c>
      <c r="W1632" s="0" t="n">
        <f aca="false">T1632+U1632</f>
        <v>47</v>
      </c>
    </row>
    <row r="1633" customFormat="false" ht="15" hidden="false" customHeight="false" outlineLevel="0" collapsed="false">
      <c r="A1633" s="0" t="n">
        <v>1630</v>
      </c>
      <c r="B1633" s="0" t="n">
        <f aca="true">NORMINV(RAND(),1,Coefficients!$B$22)</f>
        <v>0.920222039947975</v>
      </c>
      <c r="C1633" s="0" t="n">
        <f aca="true">MEDIAN(8,16,ROUND(NORMINV(RAND(),Coefficients!$B$20,Coefficients!$B$21),0))</f>
        <v>10</v>
      </c>
      <c r="D1633" s="0" t="n">
        <f aca="true">CRITBINOM($C1633,MIN(0.75,Matchup!$B$39*$B1633),RAND())</f>
        <v>2</v>
      </c>
      <c r="E1633" s="0" t="n">
        <f aca="true">CRITBINOM(D1633,Coefficients!$B$30,RAND())</f>
        <v>1</v>
      </c>
      <c r="F1633" s="0" t="n">
        <f aca="true">CRITBINOM(E1633,Coefficients!$B$31,RAND())</f>
        <v>0</v>
      </c>
      <c r="G1633" s="0" t="n">
        <f aca="true">CRITBINOM(MAX(0,D1633-E1633),1-Coefficients!$B$32,RAND())</f>
        <v>0</v>
      </c>
      <c r="H1633" s="0" t="n">
        <f aca="true">CRITBINOM(MAX(0,$C1633-D1633),MIN(0.6,Matchup!$B$40*SQRT($B1633)/(1-MIN(0.75,Matchup!$B$39*$B1633))),RAND())</f>
        <v>0</v>
      </c>
      <c r="I1633" s="0" t="n">
        <f aca="false">6*D1633+(D1633-E1633-G1633)+2*F1633+3*H1633</f>
        <v>13</v>
      </c>
      <c r="J1633" s="0" t="n">
        <f aca="true">CRITBINOM($C1633,MIN(0.75,Matchup!$C$39*$B1633),RAND())</f>
        <v>0</v>
      </c>
      <c r="K1633" s="0" t="n">
        <f aca="true">CRITBINOM(J1633,Coefficients!$B$30,RAND())</f>
        <v>0</v>
      </c>
      <c r="L1633" s="0" t="n">
        <f aca="true">CRITBINOM(K1633,Coefficients!$B$31,RAND())</f>
        <v>0</v>
      </c>
      <c r="M1633" s="0" t="n">
        <f aca="true">CRITBINOM(MAX(0,J1633-K1633),1-Coefficients!$B$32,RAND())</f>
        <v>0</v>
      </c>
      <c r="N1633" s="0" t="n">
        <f aca="true">CRITBINOM(MAX(0,$C1633-J1633),MIN(0.6,Matchup!$C$40*SQRT($B1633)/(1-MIN(0.75,Matchup!$C$39*$B1633))),RAND())</f>
        <v>4</v>
      </c>
      <c r="O1633" s="0" t="n">
        <f aca="false">6*J1633+(J1633-K1633-M1633)+2*L1633+3*N1633</f>
        <v>12</v>
      </c>
      <c r="P1633" s="0" t="n">
        <f aca="true">RAND()</f>
        <v>0.332197250580464</v>
      </c>
      <c r="Q1633" s="0" t="n">
        <f aca="true">RAND()</f>
        <v>0.138350763945992</v>
      </c>
      <c r="R1633" s="0" t="n">
        <f aca="false">IF($I1633&lt;&gt;$O1633,0,IF(P1633&lt;Matchup!$B$39,7,IF(P1633&lt;Matchup!$B$39+Matchup!$B$40,3,0)))</f>
        <v>0</v>
      </c>
      <c r="S1633" s="0" t="n">
        <f aca="false">IF($I1633&lt;&gt;$O1633,0,IF(Q1633&lt;Matchup!$C$39,7,IF(Q1633&lt;Matchup!$C$39+Matchup!$C$40,3,0)))</f>
        <v>0</v>
      </c>
      <c r="T1633" s="0" t="n">
        <f aca="false">I1633+R1633</f>
        <v>13</v>
      </c>
      <c r="U1633" s="0" t="n">
        <f aca="false">O1633+S1633</f>
        <v>12</v>
      </c>
      <c r="V1633" s="0" t="n">
        <f aca="false">T1633-U1633</f>
        <v>1</v>
      </c>
      <c r="W1633" s="0" t="n">
        <f aca="false">T1633+U1633</f>
        <v>25</v>
      </c>
    </row>
    <row r="1634" customFormat="false" ht="15" hidden="false" customHeight="false" outlineLevel="0" collapsed="false">
      <c r="A1634" s="0" t="n">
        <v>1631</v>
      </c>
      <c r="B1634" s="0" t="n">
        <f aca="true">NORMINV(RAND(),1,Coefficients!$B$22)</f>
        <v>0.874638179571827</v>
      </c>
      <c r="C1634" s="0" t="n">
        <f aca="true">MEDIAN(8,16,ROUND(NORMINV(RAND(),Coefficients!$B$20,Coefficients!$B$21),0))</f>
        <v>9</v>
      </c>
      <c r="D1634" s="0" t="n">
        <f aca="true">CRITBINOM($C1634,MIN(0.75,Matchup!$B$39*$B1634),RAND())</f>
        <v>1</v>
      </c>
      <c r="E1634" s="0" t="n">
        <f aca="true">CRITBINOM(D1634,Coefficients!$B$30,RAND())</f>
        <v>0</v>
      </c>
      <c r="F1634" s="0" t="n">
        <f aca="true">CRITBINOM(E1634,Coefficients!$B$31,RAND())</f>
        <v>0</v>
      </c>
      <c r="G1634" s="0" t="n">
        <f aca="true">CRITBINOM(MAX(0,D1634-E1634),1-Coefficients!$B$32,RAND())</f>
        <v>0</v>
      </c>
      <c r="H1634" s="0" t="n">
        <f aca="true">CRITBINOM(MAX(0,$C1634-D1634),MIN(0.6,Matchup!$B$40*SQRT($B1634)/(1-MIN(0.75,Matchup!$B$39*$B1634))),RAND())</f>
        <v>0</v>
      </c>
      <c r="I1634" s="0" t="n">
        <f aca="false">6*D1634+(D1634-E1634-G1634)+2*F1634+3*H1634</f>
        <v>7</v>
      </c>
      <c r="J1634" s="0" t="n">
        <f aca="true">CRITBINOM($C1634,MIN(0.75,Matchup!$C$39*$B1634),RAND())</f>
        <v>2</v>
      </c>
      <c r="K1634" s="0" t="n">
        <f aca="true">CRITBINOM(J1634,Coefficients!$B$30,RAND())</f>
        <v>0</v>
      </c>
      <c r="L1634" s="0" t="n">
        <f aca="true">CRITBINOM(K1634,Coefficients!$B$31,RAND())</f>
        <v>0</v>
      </c>
      <c r="M1634" s="0" t="n">
        <f aca="true">CRITBINOM(MAX(0,J1634-K1634),1-Coefficients!$B$32,RAND())</f>
        <v>1</v>
      </c>
      <c r="N1634" s="0" t="n">
        <f aca="true">CRITBINOM(MAX(0,$C1634-J1634),MIN(0.6,Matchup!$C$40*SQRT($B1634)/(1-MIN(0.75,Matchup!$C$39*$B1634))),RAND())</f>
        <v>3</v>
      </c>
      <c r="O1634" s="0" t="n">
        <f aca="false">6*J1634+(J1634-K1634-M1634)+2*L1634+3*N1634</f>
        <v>22</v>
      </c>
      <c r="P1634" s="0" t="n">
        <f aca="true">RAND()</f>
        <v>0.6213885917265</v>
      </c>
      <c r="Q1634" s="0" t="n">
        <f aca="true">RAND()</f>
        <v>0.747530064405165</v>
      </c>
      <c r="R1634" s="0" t="n">
        <f aca="false">IF($I1634&lt;&gt;$O1634,0,IF(P1634&lt;Matchup!$B$39,7,IF(P1634&lt;Matchup!$B$39+Matchup!$B$40,3,0)))</f>
        <v>0</v>
      </c>
      <c r="S1634" s="0" t="n">
        <f aca="false">IF($I1634&lt;&gt;$O1634,0,IF(Q1634&lt;Matchup!$C$39,7,IF(Q1634&lt;Matchup!$C$39+Matchup!$C$40,3,0)))</f>
        <v>0</v>
      </c>
      <c r="T1634" s="0" t="n">
        <f aca="false">I1634+R1634</f>
        <v>7</v>
      </c>
      <c r="U1634" s="0" t="n">
        <f aca="false">O1634+S1634</f>
        <v>22</v>
      </c>
      <c r="V1634" s="0" t="n">
        <f aca="false">T1634-U1634</f>
        <v>-15</v>
      </c>
      <c r="W1634" s="0" t="n">
        <f aca="false">T1634+U1634</f>
        <v>29</v>
      </c>
    </row>
    <row r="1635" customFormat="false" ht="15" hidden="false" customHeight="false" outlineLevel="0" collapsed="false">
      <c r="A1635" s="0" t="n">
        <v>1632</v>
      </c>
      <c r="B1635" s="0" t="n">
        <f aca="true">NORMINV(RAND(),1,Coefficients!$B$22)</f>
        <v>0.915524935523004</v>
      </c>
      <c r="C1635" s="0" t="n">
        <f aca="true">MEDIAN(8,16,ROUND(NORMINV(RAND(),Coefficients!$B$20,Coefficients!$B$21),0))</f>
        <v>12</v>
      </c>
      <c r="D1635" s="0" t="n">
        <f aca="true">CRITBINOM($C1635,MIN(0.75,Matchup!$B$39*$B1635),RAND())</f>
        <v>3</v>
      </c>
      <c r="E1635" s="0" t="n">
        <f aca="true">CRITBINOM(D1635,Coefficients!$B$30,RAND())</f>
        <v>0</v>
      </c>
      <c r="F1635" s="0" t="n">
        <f aca="true">CRITBINOM(E1635,Coefficients!$B$31,RAND())</f>
        <v>0</v>
      </c>
      <c r="G1635" s="0" t="n">
        <f aca="true">CRITBINOM(MAX(0,D1635-E1635),1-Coefficients!$B$32,RAND())</f>
        <v>0</v>
      </c>
      <c r="H1635" s="0" t="n">
        <f aca="true">CRITBINOM(MAX(0,$C1635-D1635),MIN(0.6,Matchup!$B$40*SQRT($B1635)/(1-MIN(0.75,Matchup!$B$39*$B1635))),RAND())</f>
        <v>2</v>
      </c>
      <c r="I1635" s="0" t="n">
        <f aca="false">6*D1635+(D1635-E1635-G1635)+2*F1635+3*H1635</f>
        <v>27</v>
      </c>
      <c r="J1635" s="0" t="n">
        <f aca="true">CRITBINOM($C1635,MIN(0.75,Matchup!$C$39*$B1635),RAND())</f>
        <v>1</v>
      </c>
      <c r="K1635" s="0" t="n">
        <f aca="true">CRITBINOM(J1635,Coefficients!$B$30,RAND())</f>
        <v>0</v>
      </c>
      <c r="L1635" s="0" t="n">
        <f aca="true">CRITBINOM(K1635,Coefficients!$B$31,RAND())</f>
        <v>0</v>
      </c>
      <c r="M1635" s="0" t="n">
        <f aca="true">CRITBINOM(MAX(0,J1635-K1635),1-Coefficients!$B$32,RAND())</f>
        <v>0</v>
      </c>
      <c r="N1635" s="0" t="n">
        <f aca="true">CRITBINOM(MAX(0,$C1635-J1635),MIN(0.6,Matchup!$C$40*SQRT($B1635)/(1-MIN(0.75,Matchup!$C$39*$B1635))),RAND())</f>
        <v>0</v>
      </c>
      <c r="O1635" s="0" t="n">
        <f aca="false">6*J1635+(J1635-K1635-M1635)+2*L1635+3*N1635</f>
        <v>7</v>
      </c>
      <c r="P1635" s="0" t="n">
        <f aca="true">RAND()</f>
        <v>0.0717796013731165</v>
      </c>
      <c r="Q1635" s="0" t="n">
        <f aca="true">RAND()</f>
        <v>0.780449057250469</v>
      </c>
      <c r="R1635" s="0" t="n">
        <f aca="false">IF($I1635&lt;&gt;$O1635,0,IF(P1635&lt;Matchup!$B$39,7,IF(P1635&lt;Matchup!$B$39+Matchup!$B$40,3,0)))</f>
        <v>0</v>
      </c>
      <c r="S1635" s="0" t="n">
        <f aca="false">IF($I1635&lt;&gt;$O1635,0,IF(Q1635&lt;Matchup!$C$39,7,IF(Q1635&lt;Matchup!$C$39+Matchup!$C$40,3,0)))</f>
        <v>0</v>
      </c>
      <c r="T1635" s="0" t="n">
        <f aca="false">I1635+R1635</f>
        <v>27</v>
      </c>
      <c r="U1635" s="0" t="n">
        <f aca="false">O1635+S1635</f>
        <v>7</v>
      </c>
      <c r="V1635" s="0" t="n">
        <f aca="false">T1635-U1635</f>
        <v>20</v>
      </c>
      <c r="W1635" s="0" t="n">
        <f aca="false">T1635+U1635</f>
        <v>34</v>
      </c>
    </row>
    <row r="1636" customFormat="false" ht="15" hidden="false" customHeight="false" outlineLevel="0" collapsed="false">
      <c r="A1636" s="0" t="n">
        <v>1633</v>
      </c>
      <c r="B1636" s="0" t="n">
        <f aca="true">NORMINV(RAND(),1,Coefficients!$B$22)</f>
        <v>0.965656600015855</v>
      </c>
      <c r="C1636" s="0" t="n">
        <f aca="true">MEDIAN(8,16,ROUND(NORMINV(RAND(),Coefficients!$B$20,Coefficients!$B$21),0))</f>
        <v>10</v>
      </c>
      <c r="D1636" s="0" t="n">
        <f aca="true">CRITBINOM($C1636,MIN(0.75,Matchup!$B$39*$B1636),RAND())</f>
        <v>2</v>
      </c>
      <c r="E1636" s="0" t="n">
        <f aca="true">CRITBINOM(D1636,Coefficients!$B$30,RAND())</f>
        <v>0</v>
      </c>
      <c r="F1636" s="0" t="n">
        <f aca="true">CRITBINOM(E1636,Coefficients!$B$31,RAND())</f>
        <v>0</v>
      </c>
      <c r="G1636" s="0" t="n">
        <f aca="true">CRITBINOM(MAX(0,D1636-E1636),1-Coefficients!$B$32,RAND())</f>
        <v>0</v>
      </c>
      <c r="H1636" s="0" t="n">
        <f aca="true">CRITBINOM(MAX(0,$C1636-D1636),MIN(0.6,Matchup!$B$40*SQRT($B1636)/(1-MIN(0.75,Matchup!$B$39*$B1636))),RAND())</f>
        <v>4</v>
      </c>
      <c r="I1636" s="0" t="n">
        <f aca="false">6*D1636+(D1636-E1636-G1636)+2*F1636+3*H1636</f>
        <v>26</v>
      </c>
      <c r="J1636" s="0" t="n">
        <f aca="true">CRITBINOM($C1636,MIN(0.75,Matchup!$C$39*$B1636),RAND())</f>
        <v>2</v>
      </c>
      <c r="K1636" s="0" t="n">
        <f aca="true">CRITBINOM(J1636,Coefficients!$B$30,RAND())</f>
        <v>0</v>
      </c>
      <c r="L1636" s="0" t="n">
        <f aca="true">CRITBINOM(K1636,Coefficients!$B$31,RAND())</f>
        <v>0</v>
      </c>
      <c r="M1636" s="0" t="n">
        <f aca="true">CRITBINOM(MAX(0,J1636-K1636),1-Coefficients!$B$32,RAND())</f>
        <v>0</v>
      </c>
      <c r="N1636" s="0" t="n">
        <f aca="true">CRITBINOM(MAX(0,$C1636-J1636),MIN(0.6,Matchup!$C$40*SQRT($B1636)/(1-MIN(0.75,Matchup!$C$39*$B1636))),RAND())</f>
        <v>0</v>
      </c>
      <c r="O1636" s="0" t="n">
        <f aca="false">6*J1636+(J1636-K1636-M1636)+2*L1636+3*N1636</f>
        <v>14</v>
      </c>
      <c r="P1636" s="0" t="n">
        <f aca="true">RAND()</f>
        <v>0.480405229269864</v>
      </c>
      <c r="Q1636" s="0" t="n">
        <f aca="true">RAND()</f>
        <v>0.0505566852586706</v>
      </c>
      <c r="R1636" s="0" t="n">
        <f aca="false">IF($I1636&lt;&gt;$O1636,0,IF(P1636&lt;Matchup!$B$39,7,IF(P1636&lt;Matchup!$B$39+Matchup!$B$40,3,0)))</f>
        <v>0</v>
      </c>
      <c r="S1636" s="0" t="n">
        <f aca="false">IF($I1636&lt;&gt;$O1636,0,IF(Q1636&lt;Matchup!$C$39,7,IF(Q1636&lt;Matchup!$C$39+Matchup!$C$40,3,0)))</f>
        <v>0</v>
      </c>
      <c r="T1636" s="0" t="n">
        <f aca="false">I1636+R1636</f>
        <v>26</v>
      </c>
      <c r="U1636" s="0" t="n">
        <f aca="false">O1636+S1636</f>
        <v>14</v>
      </c>
      <c r="V1636" s="0" t="n">
        <f aca="false">T1636-U1636</f>
        <v>12</v>
      </c>
      <c r="W1636" s="0" t="n">
        <f aca="false">T1636+U1636</f>
        <v>40</v>
      </c>
    </row>
    <row r="1637" customFormat="false" ht="15" hidden="false" customHeight="false" outlineLevel="0" collapsed="false">
      <c r="A1637" s="0" t="n">
        <v>1634</v>
      </c>
      <c r="B1637" s="0" t="n">
        <f aca="true">NORMINV(RAND(),1,Coefficients!$B$22)</f>
        <v>0.987881634740145</v>
      </c>
      <c r="C1637" s="0" t="n">
        <f aca="true">MEDIAN(8,16,ROUND(NORMINV(RAND(),Coefficients!$B$20,Coefficients!$B$21),0))</f>
        <v>10</v>
      </c>
      <c r="D1637" s="0" t="n">
        <f aca="true">CRITBINOM($C1637,MIN(0.75,Matchup!$B$39*$B1637),RAND())</f>
        <v>3</v>
      </c>
      <c r="E1637" s="0" t="n">
        <f aca="true">CRITBINOM(D1637,Coefficients!$B$30,RAND())</f>
        <v>1</v>
      </c>
      <c r="F1637" s="0" t="n">
        <f aca="true">CRITBINOM(E1637,Coefficients!$B$31,RAND())</f>
        <v>0</v>
      </c>
      <c r="G1637" s="0" t="n">
        <f aca="true">CRITBINOM(MAX(0,D1637-E1637),1-Coefficients!$B$32,RAND())</f>
        <v>0</v>
      </c>
      <c r="H1637" s="0" t="n">
        <f aca="true">CRITBINOM(MAX(0,$C1637-D1637),MIN(0.6,Matchup!$B$40*SQRT($B1637)/(1-MIN(0.75,Matchup!$B$39*$B1637))),RAND())</f>
        <v>0</v>
      </c>
      <c r="I1637" s="0" t="n">
        <f aca="false">6*D1637+(D1637-E1637-G1637)+2*F1637+3*H1637</f>
        <v>20</v>
      </c>
      <c r="J1637" s="0" t="n">
        <f aca="true">CRITBINOM($C1637,MIN(0.75,Matchup!$C$39*$B1637),RAND())</f>
        <v>3</v>
      </c>
      <c r="K1637" s="0" t="n">
        <f aca="true">CRITBINOM(J1637,Coefficients!$B$30,RAND())</f>
        <v>0</v>
      </c>
      <c r="L1637" s="0" t="n">
        <f aca="true">CRITBINOM(K1637,Coefficients!$B$31,RAND())</f>
        <v>0</v>
      </c>
      <c r="M1637" s="0" t="n">
        <f aca="true">CRITBINOM(MAX(0,J1637-K1637),1-Coefficients!$B$32,RAND())</f>
        <v>0</v>
      </c>
      <c r="N1637" s="0" t="n">
        <f aca="true">CRITBINOM(MAX(0,$C1637-J1637),MIN(0.6,Matchup!$C$40*SQRT($B1637)/(1-MIN(0.75,Matchup!$C$39*$B1637))),RAND())</f>
        <v>1</v>
      </c>
      <c r="O1637" s="0" t="n">
        <f aca="false">6*J1637+(J1637-K1637-M1637)+2*L1637+3*N1637</f>
        <v>24</v>
      </c>
      <c r="P1637" s="0" t="n">
        <f aca="true">RAND()</f>
        <v>0.492889641487053</v>
      </c>
      <c r="Q1637" s="0" t="n">
        <f aca="true">RAND()</f>
        <v>0.698955365567495</v>
      </c>
      <c r="R1637" s="0" t="n">
        <f aca="false">IF($I1637&lt;&gt;$O1637,0,IF(P1637&lt;Matchup!$B$39,7,IF(P1637&lt;Matchup!$B$39+Matchup!$B$40,3,0)))</f>
        <v>0</v>
      </c>
      <c r="S1637" s="0" t="n">
        <f aca="false">IF($I1637&lt;&gt;$O1637,0,IF(Q1637&lt;Matchup!$C$39,7,IF(Q1637&lt;Matchup!$C$39+Matchup!$C$40,3,0)))</f>
        <v>0</v>
      </c>
      <c r="T1637" s="0" t="n">
        <f aca="false">I1637+R1637</f>
        <v>20</v>
      </c>
      <c r="U1637" s="0" t="n">
        <f aca="false">O1637+S1637</f>
        <v>24</v>
      </c>
      <c r="V1637" s="0" t="n">
        <f aca="false">T1637-U1637</f>
        <v>-4</v>
      </c>
      <c r="W1637" s="0" t="n">
        <f aca="false">T1637+U1637</f>
        <v>44</v>
      </c>
    </row>
    <row r="1638" customFormat="false" ht="15" hidden="false" customHeight="false" outlineLevel="0" collapsed="false">
      <c r="A1638" s="0" t="n">
        <v>1635</v>
      </c>
      <c r="B1638" s="0" t="n">
        <f aca="true">NORMINV(RAND(),1,Coefficients!$B$22)</f>
        <v>1.02990380814829</v>
      </c>
      <c r="C1638" s="0" t="n">
        <f aca="true">MEDIAN(8,16,ROUND(NORMINV(RAND(),Coefficients!$B$20,Coefficients!$B$21),0))</f>
        <v>12</v>
      </c>
      <c r="D1638" s="0" t="n">
        <f aca="true">CRITBINOM($C1638,MIN(0.75,Matchup!$B$39*$B1638),RAND())</f>
        <v>3</v>
      </c>
      <c r="E1638" s="0" t="n">
        <f aca="true">CRITBINOM(D1638,Coefficients!$B$30,RAND())</f>
        <v>0</v>
      </c>
      <c r="F1638" s="0" t="n">
        <f aca="true">CRITBINOM(E1638,Coefficients!$B$31,RAND())</f>
        <v>0</v>
      </c>
      <c r="G1638" s="0" t="n">
        <f aca="true">CRITBINOM(MAX(0,D1638-E1638),1-Coefficients!$B$32,RAND())</f>
        <v>0</v>
      </c>
      <c r="H1638" s="0" t="n">
        <f aca="true">CRITBINOM(MAX(0,$C1638-D1638),MIN(0.6,Matchup!$B$40*SQRT($B1638)/(1-MIN(0.75,Matchup!$B$39*$B1638))),RAND())</f>
        <v>2</v>
      </c>
      <c r="I1638" s="0" t="n">
        <f aca="false">6*D1638+(D1638-E1638-G1638)+2*F1638+3*H1638</f>
        <v>27</v>
      </c>
      <c r="J1638" s="0" t="n">
        <f aca="true">CRITBINOM($C1638,MIN(0.75,Matchup!$C$39*$B1638),RAND())</f>
        <v>2</v>
      </c>
      <c r="K1638" s="0" t="n">
        <f aca="true">CRITBINOM(J1638,Coefficients!$B$30,RAND())</f>
        <v>0</v>
      </c>
      <c r="L1638" s="0" t="n">
        <f aca="true">CRITBINOM(K1638,Coefficients!$B$31,RAND())</f>
        <v>0</v>
      </c>
      <c r="M1638" s="0" t="n">
        <f aca="true">CRITBINOM(MAX(0,J1638-K1638),1-Coefficients!$B$32,RAND())</f>
        <v>1</v>
      </c>
      <c r="N1638" s="0" t="n">
        <f aca="true">CRITBINOM(MAX(0,$C1638-J1638),MIN(0.6,Matchup!$C$40*SQRT($B1638)/(1-MIN(0.75,Matchup!$C$39*$B1638))),RAND())</f>
        <v>1</v>
      </c>
      <c r="O1638" s="0" t="n">
        <f aca="false">6*J1638+(J1638-K1638-M1638)+2*L1638+3*N1638</f>
        <v>16</v>
      </c>
      <c r="P1638" s="0" t="n">
        <f aca="true">RAND()</f>
        <v>0.457539533780571</v>
      </c>
      <c r="Q1638" s="0" t="n">
        <f aca="true">RAND()</f>
        <v>0.486724472643066</v>
      </c>
      <c r="R1638" s="0" t="n">
        <f aca="false">IF($I1638&lt;&gt;$O1638,0,IF(P1638&lt;Matchup!$B$39,7,IF(P1638&lt;Matchup!$B$39+Matchup!$B$40,3,0)))</f>
        <v>0</v>
      </c>
      <c r="S1638" s="0" t="n">
        <f aca="false">IF($I1638&lt;&gt;$O1638,0,IF(Q1638&lt;Matchup!$C$39,7,IF(Q1638&lt;Matchup!$C$39+Matchup!$C$40,3,0)))</f>
        <v>0</v>
      </c>
      <c r="T1638" s="0" t="n">
        <f aca="false">I1638+R1638</f>
        <v>27</v>
      </c>
      <c r="U1638" s="0" t="n">
        <f aca="false">O1638+S1638</f>
        <v>16</v>
      </c>
      <c r="V1638" s="0" t="n">
        <f aca="false">T1638-U1638</f>
        <v>11</v>
      </c>
      <c r="W1638" s="0" t="n">
        <f aca="false">T1638+U1638</f>
        <v>43</v>
      </c>
    </row>
    <row r="1639" customFormat="false" ht="15" hidden="false" customHeight="false" outlineLevel="0" collapsed="false">
      <c r="A1639" s="0" t="n">
        <v>1636</v>
      </c>
      <c r="B1639" s="0" t="n">
        <f aca="true">NORMINV(RAND(),1,Coefficients!$B$22)</f>
        <v>1.02117500721263</v>
      </c>
      <c r="C1639" s="0" t="n">
        <f aca="true">MEDIAN(8,16,ROUND(NORMINV(RAND(),Coefficients!$B$20,Coefficients!$B$21),0))</f>
        <v>9</v>
      </c>
      <c r="D1639" s="0" t="n">
        <f aca="true">CRITBINOM($C1639,MIN(0.75,Matchup!$B$39*$B1639),RAND())</f>
        <v>3</v>
      </c>
      <c r="E1639" s="0" t="n">
        <f aca="true">CRITBINOM(D1639,Coefficients!$B$30,RAND())</f>
        <v>1</v>
      </c>
      <c r="F1639" s="0" t="n">
        <f aca="true">CRITBINOM(E1639,Coefficients!$B$31,RAND())</f>
        <v>1</v>
      </c>
      <c r="G1639" s="0" t="n">
        <f aca="true">CRITBINOM(MAX(0,D1639-E1639),1-Coefficients!$B$32,RAND())</f>
        <v>1</v>
      </c>
      <c r="H1639" s="0" t="n">
        <f aca="true">CRITBINOM(MAX(0,$C1639-D1639),MIN(0.6,Matchup!$B$40*SQRT($B1639)/(1-MIN(0.75,Matchup!$B$39*$B1639))),RAND())</f>
        <v>2</v>
      </c>
      <c r="I1639" s="0" t="n">
        <f aca="false">6*D1639+(D1639-E1639-G1639)+2*F1639+3*H1639</f>
        <v>27</v>
      </c>
      <c r="J1639" s="0" t="n">
        <f aca="true">CRITBINOM($C1639,MIN(0.75,Matchup!$C$39*$B1639),RAND())</f>
        <v>4</v>
      </c>
      <c r="K1639" s="0" t="n">
        <f aca="true">CRITBINOM(J1639,Coefficients!$B$30,RAND())</f>
        <v>0</v>
      </c>
      <c r="L1639" s="0" t="n">
        <f aca="true">CRITBINOM(K1639,Coefficients!$B$31,RAND())</f>
        <v>0</v>
      </c>
      <c r="M1639" s="0" t="n">
        <f aca="true">CRITBINOM(MAX(0,J1639-K1639),1-Coefficients!$B$32,RAND())</f>
        <v>0</v>
      </c>
      <c r="N1639" s="0" t="n">
        <f aca="true">CRITBINOM(MAX(0,$C1639-J1639),MIN(0.6,Matchup!$C$40*SQRT($B1639)/(1-MIN(0.75,Matchup!$C$39*$B1639))),RAND())</f>
        <v>1</v>
      </c>
      <c r="O1639" s="0" t="n">
        <f aca="false">6*J1639+(J1639-K1639-M1639)+2*L1639+3*N1639</f>
        <v>31</v>
      </c>
      <c r="P1639" s="0" t="n">
        <f aca="true">RAND()</f>
        <v>0.990694962453709</v>
      </c>
      <c r="Q1639" s="0" t="n">
        <f aca="true">RAND()</f>
        <v>0.710984605699955</v>
      </c>
      <c r="R1639" s="0" t="n">
        <f aca="false">IF($I1639&lt;&gt;$O1639,0,IF(P1639&lt;Matchup!$B$39,7,IF(P1639&lt;Matchup!$B$39+Matchup!$B$40,3,0)))</f>
        <v>0</v>
      </c>
      <c r="S1639" s="0" t="n">
        <f aca="false">IF($I1639&lt;&gt;$O1639,0,IF(Q1639&lt;Matchup!$C$39,7,IF(Q1639&lt;Matchup!$C$39+Matchup!$C$40,3,0)))</f>
        <v>0</v>
      </c>
      <c r="T1639" s="0" t="n">
        <f aca="false">I1639+R1639</f>
        <v>27</v>
      </c>
      <c r="U1639" s="0" t="n">
        <f aca="false">O1639+S1639</f>
        <v>31</v>
      </c>
      <c r="V1639" s="0" t="n">
        <f aca="false">T1639-U1639</f>
        <v>-4</v>
      </c>
      <c r="W1639" s="0" t="n">
        <f aca="false">T1639+U1639</f>
        <v>58</v>
      </c>
    </row>
    <row r="1640" customFormat="false" ht="15" hidden="false" customHeight="false" outlineLevel="0" collapsed="false">
      <c r="A1640" s="0" t="n">
        <v>1637</v>
      </c>
      <c r="B1640" s="0" t="n">
        <f aca="true">NORMINV(RAND(),1,Coefficients!$B$22)</f>
        <v>1.20547200878341</v>
      </c>
      <c r="C1640" s="0" t="n">
        <f aca="true">MEDIAN(8,16,ROUND(NORMINV(RAND(),Coefficients!$B$20,Coefficients!$B$21),0))</f>
        <v>11</v>
      </c>
      <c r="D1640" s="0" t="n">
        <f aca="true">CRITBINOM($C1640,MIN(0.75,Matchup!$B$39*$B1640),RAND())</f>
        <v>6</v>
      </c>
      <c r="E1640" s="0" t="n">
        <f aca="true">CRITBINOM(D1640,Coefficients!$B$30,RAND())</f>
        <v>2</v>
      </c>
      <c r="F1640" s="0" t="n">
        <f aca="true">CRITBINOM(E1640,Coefficients!$B$31,RAND())</f>
        <v>2</v>
      </c>
      <c r="G1640" s="0" t="n">
        <f aca="true">CRITBINOM(MAX(0,D1640-E1640),1-Coefficients!$B$32,RAND())</f>
        <v>0</v>
      </c>
      <c r="H1640" s="0" t="n">
        <f aca="true">CRITBINOM(MAX(0,$C1640-D1640),MIN(0.6,Matchup!$B$40*SQRT($B1640)/(1-MIN(0.75,Matchup!$B$39*$B1640))),RAND())</f>
        <v>0</v>
      </c>
      <c r="I1640" s="0" t="n">
        <f aca="false">6*D1640+(D1640-E1640-G1640)+2*F1640+3*H1640</f>
        <v>44</v>
      </c>
      <c r="J1640" s="0" t="n">
        <f aca="true">CRITBINOM($C1640,MIN(0.75,Matchup!$C$39*$B1640),RAND())</f>
        <v>2</v>
      </c>
      <c r="K1640" s="0" t="n">
        <f aca="true">CRITBINOM(J1640,Coefficients!$B$30,RAND())</f>
        <v>0</v>
      </c>
      <c r="L1640" s="0" t="n">
        <f aca="true">CRITBINOM(K1640,Coefficients!$B$31,RAND())</f>
        <v>0</v>
      </c>
      <c r="M1640" s="0" t="n">
        <f aca="true">CRITBINOM(MAX(0,J1640-K1640),1-Coefficients!$B$32,RAND())</f>
        <v>0</v>
      </c>
      <c r="N1640" s="0" t="n">
        <f aca="true">CRITBINOM(MAX(0,$C1640-J1640),MIN(0.6,Matchup!$C$40*SQRT($B1640)/(1-MIN(0.75,Matchup!$C$39*$B1640))),RAND())</f>
        <v>0</v>
      </c>
      <c r="O1640" s="0" t="n">
        <f aca="false">6*J1640+(J1640-K1640-M1640)+2*L1640+3*N1640</f>
        <v>14</v>
      </c>
      <c r="P1640" s="0" t="n">
        <f aca="true">RAND()</f>
        <v>0.0517142837427128</v>
      </c>
      <c r="Q1640" s="0" t="n">
        <f aca="true">RAND()</f>
        <v>0.531153479802626</v>
      </c>
      <c r="R1640" s="0" t="n">
        <f aca="false">IF($I1640&lt;&gt;$O1640,0,IF(P1640&lt;Matchup!$B$39,7,IF(P1640&lt;Matchup!$B$39+Matchup!$B$40,3,0)))</f>
        <v>0</v>
      </c>
      <c r="S1640" s="0" t="n">
        <f aca="false">IF($I1640&lt;&gt;$O1640,0,IF(Q1640&lt;Matchup!$C$39,7,IF(Q1640&lt;Matchup!$C$39+Matchup!$C$40,3,0)))</f>
        <v>0</v>
      </c>
      <c r="T1640" s="0" t="n">
        <f aca="false">I1640+R1640</f>
        <v>44</v>
      </c>
      <c r="U1640" s="0" t="n">
        <f aca="false">O1640+S1640</f>
        <v>14</v>
      </c>
      <c r="V1640" s="0" t="n">
        <f aca="false">T1640-U1640</f>
        <v>30</v>
      </c>
      <c r="W1640" s="0" t="n">
        <f aca="false">T1640+U1640</f>
        <v>58</v>
      </c>
    </row>
    <row r="1641" customFormat="false" ht="15" hidden="false" customHeight="false" outlineLevel="0" collapsed="false">
      <c r="A1641" s="0" t="n">
        <v>1638</v>
      </c>
      <c r="B1641" s="0" t="n">
        <f aca="true">NORMINV(RAND(),1,Coefficients!$B$22)</f>
        <v>0.887385525322676</v>
      </c>
      <c r="C1641" s="0" t="n">
        <f aca="true">MEDIAN(8,16,ROUND(NORMINV(RAND(),Coefficients!$B$20,Coefficients!$B$21),0))</f>
        <v>11</v>
      </c>
      <c r="D1641" s="0" t="n">
        <f aca="true">CRITBINOM($C1641,MIN(0.75,Matchup!$B$39*$B1641),RAND())</f>
        <v>2</v>
      </c>
      <c r="E1641" s="0" t="n">
        <f aca="true">CRITBINOM(D1641,Coefficients!$B$30,RAND())</f>
        <v>0</v>
      </c>
      <c r="F1641" s="0" t="n">
        <f aca="true">CRITBINOM(E1641,Coefficients!$B$31,RAND())</f>
        <v>0</v>
      </c>
      <c r="G1641" s="0" t="n">
        <f aca="true">CRITBINOM(MAX(0,D1641-E1641),1-Coefficients!$B$32,RAND())</f>
        <v>0</v>
      </c>
      <c r="H1641" s="0" t="n">
        <f aca="true">CRITBINOM(MAX(0,$C1641-D1641),MIN(0.6,Matchup!$B$40*SQRT($B1641)/(1-MIN(0.75,Matchup!$B$39*$B1641))),RAND())</f>
        <v>2</v>
      </c>
      <c r="I1641" s="0" t="n">
        <f aca="false">6*D1641+(D1641-E1641-G1641)+2*F1641+3*H1641</f>
        <v>20</v>
      </c>
      <c r="J1641" s="0" t="n">
        <f aca="true">CRITBINOM($C1641,MIN(0.75,Matchup!$C$39*$B1641),RAND())</f>
        <v>4</v>
      </c>
      <c r="K1641" s="0" t="n">
        <f aca="true">CRITBINOM(J1641,Coefficients!$B$30,RAND())</f>
        <v>0</v>
      </c>
      <c r="L1641" s="0" t="n">
        <f aca="true">CRITBINOM(K1641,Coefficients!$B$31,RAND())</f>
        <v>0</v>
      </c>
      <c r="M1641" s="0" t="n">
        <f aca="true">CRITBINOM(MAX(0,J1641-K1641),1-Coefficients!$B$32,RAND())</f>
        <v>0</v>
      </c>
      <c r="N1641" s="0" t="n">
        <f aca="true">CRITBINOM(MAX(0,$C1641-J1641),MIN(0.6,Matchup!$C$40*SQRT($B1641)/(1-MIN(0.75,Matchup!$C$39*$B1641))),RAND())</f>
        <v>0</v>
      </c>
      <c r="O1641" s="0" t="n">
        <f aca="false">6*J1641+(J1641-K1641-M1641)+2*L1641+3*N1641</f>
        <v>28</v>
      </c>
      <c r="P1641" s="0" t="n">
        <f aca="true">RAND()</f>
        <v>0.414023454599944</v>
      </c>
      <c r="Q1641" s="0" t="n">
        <f aca="true">RAND()</f>
        <v>0.02111328382456</v>
      </c>
      <c r="R1641" s="0" t="n">
        <f aca="false">IF($I1641&lt;&gt;$O1641,0,IF(P1641&lt;Matchup!$B$39,7,IF(P1641&lt;Matchup!$B$39+Matchup!$B$40,3,0)))</f>
        <v>0</v>
      </c>
      <c r="S1641" s="0" t="n">
        <f aca="false">IF($I1641&lt;&gt;$O1641,0,IF(Q1641&lt;Matchup!$C$39,7,IF(Q1641&lt;Matchup!$C$39+Matchup!$C$40,3,0)))</f>
        <v>0</v>
      </c>
      <c r="T1641" s="0" t="n">
        <f aca="false">I1641+R1641</f>
        <v>20</v>
      </c>
      <c r="U1641" s="0" t="n">
        <f aca="false">O1641+S1641</f>
        <v>28</v>
      </c>
      <c r="V1641" s="0" t="n">
        <f aca="false">T1641-U1641</f>
        <v>-8</v>
      </c>
      <c r="W1641" s="0" t="n">
        <f aca="false">T1641+U1641</f>
        <v>48</v>
      </c>
    </row>
    <row r="1642" customFormat="false" ht="15" hidden="false" customHeight="false" outlineLevel="0" collapsed="false">
      <c r="A1642" s="0" t="n">
        <v>1639</v>
      </c>
      <c r="B1642" s="0" t="n">
        <f aca="true">NORMINV(RAND(),1,Coefficients!$B$22)</f>
        <v>1.11271563654825</v>
      </c>
      <c r="C1642" s="0" t="n">
        <f aca="true">MEDIAN(8,16,ROUND(NORMINV(RAND(),Coefficients!$B$20,Coefficients!$B$21),0))</f>
        <v>12</v>
      </c>
      <c r="D1642" s="0" t="n">
        <f aca="true">CRITBINOM($C1642,MIN(0.75,Matchup!$B$39*$B1642),RAND())</f>
        <v>4</v>
      </c>
      <c r="E1642" s="0" t="n">
        <f aca="true">CRITBINOM(D1642,Coefficients!$B$30,RAND())</f>
        <v>1</v>
      </c>
      <c r="F1642" s="0" t="n">
        <f aca="true">CRITBINOM(E1642,Coefficients!$B$31,RAND())</f>
        <v>0</v>
      </c>
      <c r="G1642" s="0" t="n">
        <f aca="true">CRITBINOM(MAX(0,D1642-E1642),1-Coefficients!$B$32,RAND())</f>
        <v>0</v>
      </c>
      <c r="H1642" s="0" t="n">
        <f aca="true">CRITBINOM(MAX(0,$C1642-D1642),MIN(0.6,Matchup!$B$40*SQRT($B1642)/(1-MIN(0.75,Matchup!$B$39*$B1642))),RAND())</f>
        <v>4</v>
      </c>
      <c r="I1642" s="0" t="n">
        <f aca="false">6*D1642+(D1642-E1642-G1642)+2*F1642+3*H1642</f>
        <v>39</v>
      </c>
      <c r="J1642" s="0" t="n">
        <f aca="true">CRITBINOM($C1642,MIN(0.75,Matchup!$C$39*$B1642),RAND())</f>
        <v>2</v>
      </c>
      <c r="K1642" s="0" t="n">
        <f aca="true">CRITBINOM(J1642,Coefficients!$B$30,RAND())</f>
        <v>1</v>
      </c>
      <c r="L1642" s="0" t="n">
        <f aca="true">CRITBINOM(K1642,Coefficients!$B$31,RAND())</f>
        <v>1</v>
      </c>
      <c r="M1642" s="0" t="n">
        <f aca="true">CRITBINOM(MAX(0,J1642-K1642),1-Coefficients!$B$32,RAND())</f>
        <v>0</v>
      </c>
      <c r="N1642" s="0" t="n">
        <f aca="true">CRITBINOM(MAX(0,$C1642-J1642),MIN(0.6,Matchup!$C$40*SQRT($B1642)/(1-MIN(0.75,Matchup!$C$39*$B1642))),RAND())</f>
        <v>3</v>
      </c>
      <c r="O1642" s="0" t="n">
        <f aca="false">6*J1642+(J1642-K1642-M1642)+2*L1642+3*N1642</f>
        <v>24</v>
      </c>
      <c r="P1642" s="0" t="n">
        <f aca="true">RAND()</f>
        <v>0.363850175880973</v>
      </c>
      <c r="Q1642" s="0" t="n">
        <f aca="true">RAND()</f>
        <v>0.427843126584176</v>
      </c>
      <c r="R1642" s="0" t="n">
        <f aca="false">IF($I1642&lt;&gt;$O1642,0,IF(P1642&lt;Matchup!$B$39,7,IF(P1642&lt;Matchup!$B$39+Matchup!$B$40,3,0)))</f>
        <v>0</v>
      </c>
      <c r="S1642" s="0" t="n">
        <f aca="false">IF($I1642&lt;&gt;$O1642,0,IF(Q1642&lt;Matchup!$C$39,7,IF(Q1642&lt;Matchup!$C$39+Matchup!$C$40,3,0)))</f>
        <v>0</v>
      </c>
      <c r="T1642" s="0" t="n">
        <f aca="false">I1642+R1642</f>
        <v>39</v>
      </c>
      <c r="U1642" s="0" t="n">
        <f aca="false">O1642+S1642</f>
        <v>24</v>
      </c>
      <c r="V1642" s="0" t="n">
        <f aca="false">T1642-U1642</f>
        <v>15</v>
      </c>
      <c r="W1642" s="0" t="n">
        <f aca="false">T1642+U1642</f>
        <v>63</v>
      </c>
    </row>
    <row r="1643" customFormat="false" ht="15" hidden="false" customHeight="false" outlineLevel="0" collapsed="false">
      <c r="A1643" s="0" t="n">
        <v>1640</v>
      </c>
      <c r="B1643" s="0" t="n">
        <f aca="true">NORMINV(RAND(),1,Coefficients!$B$22)</f>
        <v>1.14638074611175</v>
      </c>
      <c r="C1643" s="0" t="n">
        <f aca="true">MEDIAN(8,16,ROUND(NORMINV(RAND(),Coefficients!$B$20,Coefficients!$B$21),0))</f>
        <v>11</v>
      </c>
      <c r="D1643" s="0" t="n">
        <f aca="true">CRITBINOM($C1643,MIN(0.75,Matchup!$B$39*$B1643),RAND())</f>
        <v>4</v>
      </c>
      <c r="E1643" s="0" t="n">
        <f aca="true">CRITBINOM(D1643,Coefficients!$B$30,RAND())</f>
        <v>1</v>
      </c>
      <c r="F1643" s="0" t="n">
        <f aca="true">CRITBINOM(E1643,Coefficients!$B$31,RAND())</f>
        <v>1</v>
      </c>
      <c r="G1643" s="0" t="n">
        <f aca="true">CRITBINOM(MAX(0,D1643-E1643),1-Coefficients!$B$32,RAND())</f>
        <v>0</v>
      </c>
      <c r="H1643" s="0" t="n">
        <f aca="true">CRITBINOM(MAX(0,$C1643-D1643),MIN(0.6,Matchup!$B$40*SQRT($B1643)/(1-MIN(0.75,Matchup!$B$39*$B1643))),RAND())</f>
        <v>1</v>
      </c>
      <c r="I1643" s="0" t="n">
        <f aca="false">6*D1643+(D1643-E1643-G1643)+2*F1643+3*H1643</f>
        <v>32</v>
      </c>
      <c r="J1643" s="0" t="n">
        <f aca="true">CRITBINOM($C1643,MIN(0.75,Matchup!$C$39*$B1643),RAND())</f>
        <v>3</v>
      </c>
      <c r="K1643" s="0" t="n">
        <f aca="true">CRITBINOM(J1643,Coefficients!$B$30,RAND())</f>
        <v>1</v>
      </c>
      <c r="L1643" s="0" t="n">
        <f aca="true">CRITBINOM(K1643,Coefficients!$B$31,RAND())</f>
        <v>1</v>
      </c>
      <c r="M1643" s="0" t="n">
        <f aca="true">CRITBINOM(MAX(0,J1643-K1643),1-Coefficients!$B$32,RAND())</f>
        <v>0</v>
      </c>
      <c r="N1643" s="0" t="n">
        <f aca="true">CRITBINOM(MAX(0,$C1643-J1643),MIN(0.6,Matchup!$C$40*SQRT($B1643)/(1-MIN(0.75,Matchup!$C$39*$B1643))),RAND())</f>
        <v>0</v>
      </c>
      <c r="O1643" s="0" t="n">
        <f aca="false">6*J1643+(J1643-K1643-M1643)+2*L1643+3*N1643</f>
        <v>22</v>
      </c>
      <c r="P1643" s="0" t="n">
        <f aca="true">RAND()</f>
        <v>0.756876865028046</v>
      </c>
      <c r="Q1643" s="0" t="n">
        <f aca="true">RAND()</f>
        <v>0.660363542626141</v>
      </c>
      <c r="R1643" s="0" t="n">
        <f aca="false">IF($I1643&lt;&gt;$O1643,0,IF(P1643&lt;Matchup!$B$39,7,IF(P1643&lt;Matchup!$B$39+Matchup!$B$40,3,0)))</f>
        <v>0</v>
      </c>
      <c r="S1643" s="0" t="n">
        <f aca="false">IF($I1643&lt;&gt;$O1643,0,IF(Q1643&lt;Matchup!$C$39,7,IF(Q1643&lt;Matchup!$C$39+Matchup!$C$40,3,0)))</f>
        <v>0</v>
      </c>
      <c r="T1643" s="0" t="n">
        <f aca="false">I1643+R1643</f>
        <v>32</v>
      </c>
      <c r="U1643" s="0" t="n">
        <f aca="false">O1643+S1643</f>
        <v>22</v>
      </c>
      <c r="V1643" s="0" t="n">
        <f aca="false">T1643-U1643</f>
        <v>10</v>
      </c>
      <c r="W1643" s="0" t="n">
        <f aca="false">T1643+U1643</f>
        <v>54</v>
      </c>
    </row>
    <row r="1644" customFormat="false" ht="15" hidden="false" customHeight="false" outlineLevel="0" collapsed="false">
      <c r="A1644" s="0" t="n">
        <v>1641</v>
      </c>
      <c r="B1644" s="0" t="n">
        <f aca="true">NORMINV(RAND(),1,Coefficients!$B$22)</f>
        <v>1.03203960290252</v>
      </c>
      <c r="C1644" s="0" t="n">
        <f aca="true">MEDIAN(8,16,ROUND(NORMINV(RAND(),Coefficients!$B$20,Coefficients!$B$21),0))</f>
        <v>13</v>
      </c>
      <c r="D1644" s="0" t="n">
        <f aca="true">CRITBINOM($C1644,MIN(0.75,Matchup!$B$39*$B1644),RAND())</f>
        <v>2</v>
      </c>
      <c r="E1644" s="0" t="n">
        <f aca="true">CRITBINOM(D1644,Coefficients!$B$30,RAND())</f>
        <v>0</v>
      </c>
      <c r="F1644" s="0" t="n">
        <f aca="true">CRITBINOM(E1644,Coefficients!$B$31,RAND())</f>
        <v>0</v>
      </c>
      <c r="G1644" s="0" t="n">
        <f aca="true">CRITBINOM(MAX(0,D1644-E1644),1-Coefficients!$B$32,RAND())</f>
        <v>0</v>
      </c>
      <c r="H1644" s="0" t="n">
        <f aca="true">CRITBINOM(MAX(0,$C1644-D1644),MIN(0.6,Matchup!$B$40*SQRT($B1644)/(1-MIN(0.75,Matchup!$B$39*$B1644))),RAND())</f>
        <v>3</v>
      </c>
      <c r="I1644" s="0" t="n">
        <f aca="false">6*D1644+(D1644-E1644-G1644)+2*F1644+3*H1644</f>
        <v>23</v>
      </c>
      <c r="J1644" s="0" t="n">
        <f aca="true">CRITBINOM($C1644,MIN(0.75,Matchup!$C$39*$B1644),RAND())</f>
        <v>3</v>
      </c>
      <c r="K1644" s="0" t="n">
        <f aca="true">CRITBINOM(J1644,Coefficients!$B$30,RAND())</f>
        <v>0</v>
      </c>
      <c r="L1644" s="0" t="n">
        <f aca="true">CRITBINOM(K1644,Coefficients!$B$31,RAND())</f>
        <v>0</v>
      </c>
      <c r="M1644" s="0" t="n">
        <f aca="true">CRITBINOM(MAX(0,J1644-K1644),1-Coefficients!$B$32,RAND())</f>
        <v>0</v>
      </c>
      <c r="N1644" s="0" t="n">
        <f aca="true">CRITBINOM(MAX(0,$C1644-J1644),MIN(0.6,Matchup!$C$40*SQRT($B1644)/(1-MIN(0.75,Matchup!$C$39*$B1644))),RAND())</f>
        <v>2</v>
      </c>
      <c r="O1644" s="0" t="n">
        <f aca="false">6*J1644+(J1644-K1644-M1644)+2*L1644+3*N1644</f>
        <v>27</v>
      </c>
      <c r="P1644" s="0" t="n">
        <f aca="true">RAND()</f>
        <v>0.326810756172257</v>
      </c>
      <c r="Q1644" s="0" t="n">
        <f aca="true">RAND()</f>
        <v>0.631868399217376</v>
      </c>
      <c r="R1644" s="0" t="n">
        <f aca="false">IF($I1644&lt;&gt;$O1644,0,IF(P1644&lt;Matchup!$B$39,7,IF(P1644&lt;Matchup!$B$39+Matchup!$B$40,3,0)))</f>
        <v>0</v>
      </c>
      <c r="S1644" s="0" t="n">
        <f aca="false">IF($I1644&lt;&gt;$O1644,0,IF(Q1644&lt;Matchup!$C$39,7,IF(Q1644&lt;Matchup!$C$39+Matchup!$C$40,3,0)))</f>
        <v>0</v>
      </c>
      <c r="T1644" s="0" t="n">
        <f aca="false">I1644+R1644</f>
        <v>23</v>
      </c>
      <c r="U1644" s="0" t="n">
        <f aca="false">O1644+S1644</f>
        <v>27</v>
      </c>
      <c r="V1644" s="0" t="n">
        <f aca="false">T1644-U1644</f>
        <v>-4</v>
      </c>
      <c r="W1644" s="0" t="n">
        <f aca="false">T1644+U1644</f>
        <v>50</v>
      </c>
    </row>
    <row r="1645" customFormat="false" ht="15" hidden="false" customHeight="false" outlineLevel="0" collapsed="false">
      <c r="A1645" s="0" t="n">
        <v>1642</v>
      </c>
      <c r="B1645" s="0" t="n">
        <f aca="true">NORMINV(RAND(),1,Coefficients!$B$22)</f>
        <v>1.04113605013501</v>
      </c>
      <c r="C1645" s="0" t="n">
        <f aca="true">MEDIAN(8,16,ROUND(NORMINV(RAND(),Coefficients!$B$20,Coefficients!$B$21),0))</f>
        <v>13</v>
      </c>
      <c r="D1645" s="0" t="n">
        <f aca="true">CRITBINOM($C1645,MIN(0.75,Matchup!$B$39*$B1645),RAND())</f>
        <v>3</v>
      </c>
      <c r="E1645" s="0" t="n">
        <f aca="true">CRITBINOM(D1645,Coefficients!$B$30,RAND())</f>
        <v>0</v>
      </c>
      <c r="F1645" s="0" t="n">
        <f aca="true">CRITBINOM(E1645,Coefficients!$B$31,RAND())</f>
        <v>0</v>
      </c>
      <c r="G1645" s="0" t="n">
        <f aca="true">CRITBINOM(MAX(0,D1645-E1645),1-Coefficients!$B$32,RAND())</f>
        <v>0</v>
      </c>
      <c r="H1645" s="0" t="n">
        <f aca="true">CRITBINOM(MAX(0,$C1645-D1645),MIN(0.6,Matchup!$B$40*SQRT($B1645)/(1-MIN(0.75,Matchup!$B$39*$B1645))),RAND())</f>
        <v>3</v>
      </c>
      <c r="I1645" s="0" t="n">
        <f aca="false">6*D1645+(D1645-E1645-G1645)+2*F1645+3*H1645</f>
        <v>30</v>
      </c>
      <c r="J1645" s="0" t="n">
        <f aca="true">CRITBINOM($C1645,MIN(0.75,Matchup!$C$39*$B1645),RAND())</f>
        <v>3</v>
      </c>
      <c r="K1645" s="0" t="n">
        <f aca="true">CRITBINOM(J1645,Coefficients!$B$30,RAND())</f>
        <v>0</v>
      </c>
      <c r="L1645" s="0" t="n">
        <f aca="true">CRITBINOM(K1645,Coefficients!$B$31,RAND())</f>
        <v>0</v>
      </c>
      <c r="M1645" s="0" t="n">
        <f aca="true">CRITBINOM(MAX(0,J1645-K1645),1-Coefficients!$B$32,RAND())</f>
        <v>1</v>
      </c>
      <c r="N1645" s="0" t="n">
        <f aca="true">CRITBINOM(MAX(0,$C1645-J1645),MIN(0.6,Matchup!$C$40*SQRT($B1645)/(1-MIN(0.75,Matchup!$C$39*$B1645))),RAND())</f>
        <v>2</v>
      </c>
      <c r="O1645" s="0" t="n">
        <f aca="false">6*J1645+(J1645-K1645-M1645)+2*L1645+3*N1645</f>
        <v>26</v>
      </c>
      <c r="P1645" s="0" t="n">
        <f aca="true">RAND()</f>
        <v>0.792779084052602</v>
      </c>
      <c r="Q1645" s="0" t="n">
        <f aca="true">RAND()</f>
        <v>0.493122239860253</v>
      </c>
      <c r="R1645" s="0" t="n">
        <f aca="false">IF($I1645&lt;&gt;$O1645,0,IF(P1645&lt;Matchup!$B$39,7,IF(P1645&lt;Matchup!$B$39+Matchup!$B$40,3,0)))</f>
        <v>0</v>
      </c>
      <c r="S1645" s="0" t="n">
        <f aca="false">IF($I1645&lt;&gt;$O1645,0,IF(Q1645&lt;Matchup!$C$39,7,IF(Q1645&lt;Matchup!$C$39+Matchup!$C$40,3,0)))</f>
        <v>0</v>
      </c>
      <c r="T1645" s="0" t="n">
        <f aca="false">I1645+R1645</f>
        <v>30</v>
      </c>
      <c r="U1645" s="0" t="n">
        <f aca="false">O1645+S1645</f>
        <v>26</v>
      </c>
      <c r="V1645" s="0" t="n">
        <f aca="false">T1645-U1645</f>
        <v>4</v>
      </c>
      <c r="W1645" s="0" t="n">
        <f aca="false">T1645+U1645</f>
        <v>56</v>
      </c>
    </row>
    <row r="1646" customFormat="false" ht="15" hidden="false" customHeight="false" outlineLevel="0" collapsed="false">
      <c r="A1646" s="0" t="n">
        <v>1643</v>
      </c>
      <c r="B1646" s="0" t="n">
        <f aca="true">NORMINV(RAND(),1,Coefficients!$B$22)</f>
        <v>0.913997270303891</v>
      </c>
      <c r="C1646" s="0" t="n">
        <f aca="true">MEDIAN(8,16,ROUND(NORMINV(RAND(),Coefficients!$B$20,Coefficients!$B$21),0))</f>
        <v>9</v>
      </c>
      <c r="D1646" s="0" t="n">
        <f aca="true">CRITBINOM($C1646,MIN(0.75,Matchup!$B$39*$B1646),RAND())</f>
        <v>1</v>
      </c>
      <c r="E1646" s="0" t="n">
        <f aca="true">CRITBINOM(D1646,Coefficients!$B$30,RAND())</f>
        <v>0</v>
      </c>
      <c r="F1646" s="0" t="n">
        <f aca="true">CRITBINOM(E1646,Coefficients!$B$31,RAND())</f>
        <v>0</v>
      </c>
      <c r="G1646" s="0" t="n">
        <f aca="true">CRITBINOM(MAX(0,D1646-E1646),1-Coefficients!$B$32,RAND())</f>
        <v>0</v>
      </c>
      <c r="H1646" s="0" t="n">
        <f aca="true">CRITBINOM(MAX(0,$C1646-D1646),MIN(0.6,Matchup!$B$40*SQRT($B1646)/(1-MIN(0.75,Matchup!$B$39*$B1646))),RAND())</f>
        <v>2</v>
      </c>
      <c r="I1646" s="0" t="n">
        <f aca="false">6*D1646+(D1646-E1646-G1646)+2*F1646+3*H1646</f>
        <v>13</v>
      </c>
      <c r="J1646" s="0" t="n">
        <f aca="true">CRITBINOM($C1646,MIN(0.75,Matchup!$C$39*$B1646),RAND())</f>
        <v>3</v>
      </c>
      <c r="K1646" s="0" t="n">
        <f aca="true">CRITBINOM(J1646,Coefficients!$B$30,RAND())</f>
        <v>0</v>
      </c>
      <c r="L1646" s="0" t="n">
        <f aca="true">CRITBINOM(K1646,Coefficients!$B$31,RAND())</f>
        <v>0</v>
      </c>
      <c r="M1646" s="0" t="n">
        <f aca="true">CRITBINOM(MAX(0,J1646-K1646),1-Coefficients!$B$32,RAND())</f>
        <v>0</v>
      </c>
      <c r="N1646" s="0" t="n">
        <f aca="true">CRITBINOM(MAX(0,$C1646-J1646),MIN(0.6,Matchup!$C$40*SQRT($B1646)/(1-MIN(0.75,Matchup!$C$39*$B1646))),RAND())</f>
        <v>1</v>
      </c>
      <c r="O1646" s="0" t="n">
        <f aca="false">6*J1646+(J1646-K1646-M1646)+2*L1646+3*N1646</f>
        <v>24</v>
      </c>
      <c r="P1646" s="0" t="n">
        <f aca="true">RAND()</f>
        <v>0.818608021359495</v>
      </c>
      <c r="Q1646" s="0" t="n">
        <f aca="true">RAND()</f>
        <v>0.441943639404155</v>
      </c>
      <c r="R1646" s="0" t="n">
        <f aca="false">IF($I1646&lt;&gt;$O1646,0,IF(P1646&lt;Matchup!$B$39,7,IF(P1646&lt;Matchup!$B$39+Matchup!$B$40,3,0)))</f>
        <v>0</v>
      </c>
      <c r="S1646" s="0" t="n">
        <f aca="false">IF($I1646&lt;&gt;$O1646,0,IF(Q1646&lt;Matchup!$C$39,7,IF(Q1646&lt;Matchup!$C$39+Matchup!$C$40,3,0)))</f>
        <v>0</v>
      </c>
      <c r="T1646" s="0" t="n">
        <f aca="false">I1646+R1646</f>
        <v>13</v>
      </c>
      <c r="U1646" s="0" t="n">
        <f aca="false">O1646+S1646</f>
        <v>24</v>
      </c>
      <c r="V1646" s="0" t="n">
        <f aca="false">T1646-U1646</f>
        <v>-11</v>
      </c>
      <c r="W1646" s="0" t="n">
        <f aca="false">T1646+U1646</f>
        <v>37</v>
      </c>
    </row>
    <row r="1647" customFormat="false" ht="15" hidden="false" customHeight="false" outlineLevel="0" collapsed="false">
      <c r="A1647" s="0" t="n">
        <v>1644</v>
      </c>
      <c r="B1647" s="0" t="n">
        <f aca="true">NORMINV(RAND(),1,Coefficients!$B$22)</f>
        <v>1.09953146126364</v>
      </c>
      <c r="C1647" s="0" t="n">
        <f aca="true">MEDIAN(8,16,ROUND(NORMINV(RAND(),Coefficients!$B$20,Coefficients!$B$21),0))</f>
        <v>12</v>
      </c>
      <c r="D1647" s="0" t="n">
        <f aca="true">CRITBINOM($C1647,MIN(0.75,Matchup!$B$39*$B1647),RAND())</f>
        <v>3</v>
      </c>
      <c r="E1647" s="0" t="n">
        <f aca="true">CRITBINOM(D1647,Coefficients!$B$30,RAND())</f>
        <v>0</v>
      </c>
      <c r="F1647" s="0" t="n">
        <f aca="true">CRITBINOM(E1647,Coefficients!$B$31,RAND())</f>
        <v>0</v>
      </c>
      <c r="G1647" s="0" t="n">
        <f aca="true">CRITBINOM(MAX(0,D1647-E1647),1-Coefficients!$B$32,RAND())</f>
        <v>0</v>
      </c>
      <c r="H1647" s="0" t="n">
        <f aca="true">CRITBINOM(MAX(0,$C1647-D1647),MIN(0.6,Matchup!$B$40*SQRT($B1647)/(1-MIN(0.75,Matchup!$B$39*$B1647))),RAND())</f>
        <v>2</v>
      </c>
      <c r="I1647" s="0" t="n">
        <f aca="false">6*D1647+(D1647-E1647-G1647)+2*F1647+3*H1647</f>
        <v>27</v>
      </c>
      <c r="J1647" s="0" t="n">
        <f aca="true">CRITBINOM($C1647,MIN(0.75,Matchup!$C$39*$B1647),RAND())</f>
        <v>3</v>
      </c>
      <c r="K1647" s="0" t="n">
        <f aca="true">CRITBINOM(J1647,Coefficients!$B$30,RAND())</f>
        <v>0</v>
      </c>
      <c r="L1647" s="0" t="n">
        <f aca="true">CRITBINOM(K1647,Coefficients!$B$31,RAND())</f>
        <v>0</v>
      </c>
      <c r="M1647" s="0" t="n">
        <f aca="true">CRITBINOM(MAX(0,J1647-K1647),1-Coefficients!$B$32,RAND())</f>
        <v>0</v>
      </c>
      <c r="N1647" s="0" t="n">
        <f aca="true">CRITBINOM(MAX(0,$C1647-J1647),MIN(0.6,Matchup!$C$40*SQRT($B1647)/(1-MIN(0.75,Matchup!$C$39*$B1647))),RAND())</f>
        <v>1</v>
      </c>
      <c r="O1647" s="0" t="n">
        <f aca="false">6*J1647+(J1647-K1647-M1647)+2*L1647+3*N1647</f>
        <v>24</v>
      </c>
      <c r="P1647" s="0" t="n">
        <f aca="true">RAND()</f>
        <v>0.398882422345921</v>
      </c>
      <c r="Q1647" s="0" t="n">
        <f aca="true">RAND()</f>
        <v>0.153888308106993</v>
      </c>
      <c r="R1647" s="0" t="n">
        <f aca="false">IF($I1647&lt;&gt;$O1647,0,IF(P1647&lt;Matchup!$B$39,7,IF(P1647&lt;Matchup!$B$39+Matchup!$B$40,3,0)))</f>
        <v>0</v>
      </c>
      <c r="S1647" s="0" t="n">
        <f aca="false">IF($I1647&lt;&gt;$O1647,0,IF(Q1647&lt;Matchup!$C$39,7,IF(Q1647&lt;Matchup!$C$39+Matchup!$C$40,3,0)))</f>
        <v>0</v>
      </c>
      <c r="T1647" s="0" t="n">
        <f aca="false">I1647+R1647</f>
        <v>27</v>
      </c>
      <c r="U1647" s="0" t="n">
        <f aca="false">O1647+S1647</f>
        <v>24</v>
      </c>
      <c r="V1647" s="0" t="n">
        <f aca="false">T1647-U1647</f>
        <v>3</v>
      </c>
      <c r="W1647" s="0" t="n">
        <f aca="false">T1647+U1647</f>
        <v>51</v>
      </c>
    </row>
    <row r="1648" customFormat="false" ht="15" hidden="false" customHeight="false" outlineLevel="0" collapsed="false">
      <c r="A1648" s="0" t="n">
        <v>1645</v>
      </c>
      <c r="B1648" s="0" t="n">
        <f aca="true">NORMINV(RAND(),1,Coefficients!$B$22)</f>
        <v>1.03921628899814</v>
      </c>
      <c r="C1648" s="0" t="n">
        <f aca="true">MEDIAN(8,16,ROUND(NORMINV(RAND(),Coefficients!$B$20,Coefficients!$B$21),0))</f>
        <v>13</v>
      </c>
      <c r="D1648" s="0" t="n">
        <f aca="true">CRITBINOM($C1648,MIN(0.75,Matchup!$B$39*$B1648),RAND())</f>
        <v>2</v>
      </c>
      <c r="E1648" s="0" t="n">
        <f aca="true">CRITBINOM(D1648,Coefficients!$B$30,RAND())</f>
        <v>1</v>
      </c>
      <c r="F1648" s="0" t="n">
        <f aca="true">CRITBINOM(E1648,Coefficients!$B$31,RAND())</f>
        <v>1</v>
      </c>
      <c r="G1648" s="0" t="n">
        <f aca="true">CRITBINOM(MAX(0,D1648-E1648),1-Coefficients!$B$32,RAND())</f>
        <v>0</v>
      </c>
      <c r="H1648" s="0" t="n">
        <f aca="true">CRITBINOM(MAX(0,$C1648-D1648),MIN(0.6,Matchup!$B$40*SQRT($B1648)/(1-MIN(0.75,Matchup!$B$39*$B1648))),RAND())</f>
        <v>1</v>
      </c>
      <c r="I1648" s="0" t="n">
        <f aca="false">6*D1648+(D1648-E1648-G1648)+2*F1648+3*H1648</f>
        <v>18</v>
      </c>
      <c r="J1648" s="0" t="n">
        <f aca="true">CRITBINOM($C1648,MIN(0.75,Matchup!$C$39*$B1648),RAND())</f>
        <v>3</v>
      </c>
      <c r="K1648" s="0" t="n">
        <f aca="true">CRITBINOM(J1648,Coefficients!$B$30,RAND())</f>
        <v>1</v>
      </c>
      <c r="L1648" s="0" t="n">
        <f aca="true">CRITBINOM(K1648,Coefficients!$B$31,RAND())</f>
        <v>0</v>
      </c>
      <c r="M1648" s="0" t="n">
        <f aca="true">CRITBINOM(MAX(0,J1648-K1648),1-Coefficients!$B$32,RAND())</f>
        <v>0</v>
      </c>
      <c r="N1648" s="0" t="n">
        <f aca="true">CRITBINOM(MAX(0,$C1648-J1648),MIN(0.6,Matchup!$C$40*SQRT($B1648)/(1-MIN(0.75,Matchup!$C$39*$B1648))),RAND())</f>
        <v>3</v>
      </c>
      <c r="O1648" s="0" t="n">
        <f aca="false">6*J1648+(J1648-K1648-M1648)+2*L1648+3*N1648</f>
        <v>29</v>
      </c>
      <c r="P1648" s="0" t="n">
        <f aca="true">RAND()</f>
        <v>0.226645946626545</v>
      </c>
      <c r="Q1648" s="0" t="n">
        <f aca="true">RAND()</f>
        <v>0.249880954344072</v>
      </c>
      <c r="R1648" s="0" t="n">
        <f aca="false">IF($I1648&lt;&gt;$O1648,0,IF(P1648&lt;Matchup!$B$39,7,IF(P1648&lt;Matchup!$B$39+Matchup!$B$40,3,0)))</f>
        <v>0</v>
      </c>
      <c r="S1648" s="0" t="n">
        <f aca="false">IF($I1648&lt;&gt;$O1648,0,IF(Q1648&lt;Matchup!$C$39,7,IF(Q1648&lt;Matchup!$C$39+Matchup!$C$40,3,0)))</f>
        <v>0</v>
      </c>
      <c r="T1648" s="0" t="n">
        <f aca="false">I1648+R1648</f>
        <v>18</v>
      </c>
      <c r="U1648" s="0" t="n">
        <f aca="false">O1648+S1648</f>
        <v>29</v>
      </c>
      <c r="V1648" s="0" t="n">
        <f aca="false">T1648-U1648</f>
        <v>-11</v>
      </c>
      <c r="W1648" s="0" t="n">
        <f aca="false">T1648+U1648</f>
        <v>47</v>
      </c>
    </row>
    <row r="1649" customFormat="false" ht="15" hidden="false" customHeight="false" outlineLevel="0" collapsed="false">
      <c r="A1649" s="0" t="n">
        <v>1646</v>
      </c>
      <c r="B1649" s="0" t="n">
        <f aca="true">NORMINV(RAND(),1,Coefficients!$B$22)</f>
        <v>0.971994065333431</v>
      </c>
      <c r="C1649" s="0" t="n">
        <f aca="true">MEDIAN(8,16,ROUND(NORMINV(RAND(),Coefficients!$B$20,Coefficients!$B$21),0))</f>
        <v>11</v>
      </c>
      <c r="D1649" s="0" t="n">
        <f aca="true">CRITBINOM($C1649,MIN(0.75,Matchup!$B$39*$B1649),RAND())</f>
        <v>2</v>
      </c>
      <c r="E1649" s="0" t="n">
        <f aca="true">CRITBINOM(D1649,Coefficients!$B$30,RAND())</f>
        <v>0</v>
      </c>
      <c r="F1649" s="0" t="n">
        <f aca="true">CRITBINOM(E1649,Coefficients!$B$31,RAND())</f>
        <v>0</v>
      </c>
      <c r="G1649" s="0" t="n">
        <f aca="true">CRITBINOM(MAX(0,D1649-E1649),1-Coefficients!$B$32,RAND())</f>
        <v>0</v>
      </c>
      <c r="H1649" s="0" t="n">
        <f aca="true">CRITBINOM(MAX(0,$C1649-D1649),MIN(0.6,Matchup!$B$40*SQRT($B1649)/(1-MIN(0.75,Matchup!$B$39*$B1649))),RAND())</f>
        <v>3</v>
      </c>
      <c r="I1649" s="0" t="n">
        <f aca="false">6*D1649+(D1649-E1649-G1649)+2*F1649+3*H1649</f>
        <v>23</v>
      </c>
      <c r="J1649" s="0" t="n">
        <f aca="true">CRITBINOM($C1649,MIN(0.75,Matchup!$C$39*$B1649),RAND())</f>
        <v>0</v>
      </c>
      <c r="K1649" s="0" t="n">
        <f aca="true">CRITBINOM(J1649,Coefficients!$B$30,RAND())</f>
        <v>0</v>
      </c>
      <c r="L1649" s="0" t="n">
        <f aca="true">CRITBINOM(K1649,Coefficients!$B$31,RAND())</f>
        <v>0</v>
      </c>
      <c r="M1649" s="0" t="n">
        <f aca="true">CRITBINOM(MAX(0,J1649-K1649),1-Coefficients!$B$32,RAND())</f>
        <v>0</v>
      </c>
      <c r="N1649" s="0" t="n">
        <f aca="true">CRITBINOM(MAX(0,$C1649-J1649),MIN(0.6,Matchup!$C$40*SQRT($B1649)/(1-MIN(0.75,Matchup!$C$39*$B1649))),RAND())</f>
        <v>2</v>
      </c>
      <c r="O1649" s="0" t="n">
        <f aca="false">6*J1649+(J1649-K1649-M1649)+2*L1649+3*N1649</f>
        <v>6</v>
      </c>
      <c r="P1649" s="0" t="n">
        <f aca="true">RAND()</f>
        <v>0.148274631085577</v>
      </c>
      <c r="Q1649" s="0" t="n">
        <f aca="true">RAND()</f>
        <v>0.993268641515729</v>
      </c>
      <c r="R1649" s="0" t="n">
        <f aca="false">IF($I1649&lt;&gt;$O1649,0,IF(P1649&lt;Matchup!$B$39,7,IF(P1649&lt;Matchup!$B$39+Matchup!$B$40,3,0)))</f>
        <v>0</v>
      </c>
      <c r="S1649" s="0" t="n">
        <f aca="false">IF($I1649&lt;&gt;$O1649,0,IF(Q1649&lt;Matchup!$C$39,7,IF(Q1649&lt;Matchup!$C$39+Matchup!$C$40,3,0)))</f>
        <v>0</v>
      </c>
      <c r="T1649" s="0" t="n">
        <f aca="false">I1649+R1649</f>
        <v>23</v>
      </c>
      <c r="U1649" s="0" t="n">
        <f aca="false">O1649+S1649</f>
        <v>6</v>
      </c>
      <c r="V1649" s="0" t="n">
        <f aca="false">T1649-U1649</f>
        <v>17</v>
      </c>
      <c r="W1649" s="0" t="n">
        <f aca="false">T1649+U1649</f>
        <v>29</v>
      </c>
    </row>
    <row r="1650" customFormat="false" ht="15" hidden="false" customHeight="false" outlineLevel="0" collapsed="false">
      <c r="A1650" s="0" t="n">
        <v>1647</v>
      </c>
      <c r="B1650" s="0" t="n">
        <f aca="true">NORMINV(RAND(),1,Coefficients!$B$22)</f>
        <v>0.998038272894671</v>
      </c>
      <c r="C1650" s="0" t="n">
        <f aca="true">MEDIAN(8,16,ROUND(NORMINV(RAND(),Coefficients!$B$20,Coefficients!$B$21),0))</f>
        <v>12</v>
      </c>
      <c r="D1650" s="0" t="n">
        <f aca="true">CRITBINOM($C1650,MIN(0.75,Matchup!$B$39*$B1650),RAND())</f>
        <v>4</v>
      </c>
      <c r="E1650" s="0" t="n">
        <f aca="true">CRITBINOM(D1650,Coefficients!$B$30,RAND())</f>
        <v>1</v>
      </c>
      <c r="F1650" s="0" t="n">
        <f aca="true">CRITBINOM(E1650,Coefficients!$B$31,RAND())</f>
        <v>0</v>
      </c>
      <c r="G1650" s="0" t="n">
        <f aca="true">CRITBINOM(MAX(0,D1650-E1650),1-Coefficients!$B$32,RAND())</f>
        <v>0</v>
      </c>
      <c r="H1650" s="0" t="n">
        <f aca="true">CRITBINOM(MAX(0,$C1650-D1650),MIN(0.6,Matchup!$B$40*SQRT($B1650)/(1-MIN(0.75,Matchup!$B$39*$B1650))),RAND())</f>
        <v>3</v>
      </c>
      <c r="I1650" s="0" t="n">
        <f aca="false">6*D1650+(D1650-E1650-G1650)+2*F1650+3*H1650</f>
        <v>36</v>
      </c>
      <c r="J1650" s="0" t="n">
        <f aca="true">CRITBINOM($C1650,MIN(0.75,Matchup!$C$39*$B1650),RAND())</f>
        <v>4</v>
      </c>
      <c r="K1650" s="0" t="n">
        <f aca="true">CRITBINOM(J1650,Coefficients!$B$30,RAND())</f>
        <v>0</v>
      </c>
      <c r="L1650" s="0" t="n">
        <f aca="true">CRITBINOM(K1650,Coefficients!$B$31,RAND())</f>
        <v>0</v>
      </c>
      <c r="M1650" s="0" t="n">
        <f aca="true">CRITBINOM(MAX(0,J1650-K1650),1-Coefficients!$B$32,RAND())</f>
        <v>0</v>
      </c>
      <c r="N1650" s="0" t="n">
        <f aca="true">CRITBINOM(MAX(0,$C1650-J1650),MIN(0.6,Matchup!$C$40*SQRT($B1650)/(1-MIN(0.75,Matchup!$C$39*$B1650))),RAND())</f>
        <v>2</v>
      </c>
      <c r="O1650" s="0" t="n">
        <f aca="false">6*J1650+(J1650-K1650-M1650)+2*L1650+3*N1650</f>
        <v>34</v>
      </c>
      <c r="P1650" s="0" t="n">
        <f aca="true">RAND()</f>
        <v>0.0732708871587305</v>
      </c>
      <c r="Q1650" s="0" t="n">
        <f aca="true">RAND()</f>
        <v>0.00586924643932623</v>
      </c>
      <c r="R1650" s="0" t="n">
        <f aca="false">IF($I1650&lt;&gt;$O1650,0,IF(P1650&lt;Matchup!$B$39,7,IF(P1650&lt;Matchup!$B$39+Matchup!$B$40,3,0)))</f>
        <v>0</v>
      </c>
      <c r="S1650" s="0" t="n">
        <f aca="false">IF($I1650&lt;&gt;$O1650,0,IF(Q1650&lt;Matchup!$C$39,7,IF(Q1650&lt;Matchup!$C$39+Matchup!$C$40,3,0)))</f>
        <v>0</v>
      </c>
      <c r="T1650" s="0" t="n">
        <f aca="false">I1650+R1650</f>
        <v>36</v>
      </c>
      <c r="U1650" s="0" t="n">
        <f aca="false">O1650+S1650</f>
        <v>34</v>
      </c>
      <c r="V1650" s="0" t="n">
        <f aca="false">T1650-U1650</f>
        <v>2</v>
      </c>
      <c r="W1650" s="0" t="n">
        <f aca="false">T1650+U1650</f>
        <v>70</v>
      </c>
    </row>
    <row r="1651" customFormat="false" ht="15" hidden="false" customHeight="false" outlineLevel="0" collapsed="false">
      <c r="A1651" s="0" t="n">
        <v>1648</v>
      </c>
      <c r="B1651" s="0" t="n">
        <f aca="true">NORMINV(RAND(),1,Coefficients!$B$22)</f>
        <v>0.979652589076106</v>
      </c>
      <c r="C1651" s="0" t="n">
        <f aca="true">MEDIAN(8,16,ROUND(NORMINV(RAND(),Coefficients!$B$20,Coefficients!$B$21),0))</f>
        <v>12</v>
      </c>
      <c r="D1651" s="0" t="n">
        <f aca="true">CRITBINOM($C1651,MIN(0.75,Matchup!$B$39*$B1651),RAND())</f>
        <v>3</v>
      </c>
      <c r="E1651" s="0" t="n">
        <f aca="true">CRITBINOM(D1651,Coefficients!$B$30,RAND())</f>
        <v>0</v>
      </c>
      <c r="F1651" s="0" t="n">
        <f aca="true">CRITBINOM(E1651,Coefficients!$B$31,RAND())</f>
        <v>0</v>
      </c>
      <c r="G1651" s="0" t="n">
        <f aca="true">CRITBINOM(MAX(0,D1651-E1651),1-Coefficients!$B$32,RAND())</f>
        <v>0</v>
      </c>
      <c r="H1651" s="0" t="n">
        <f aca="true">CRITBINOM(MAX(0,$C1651-D1651),MIN(0.6,Matchup!$B$40*SQRT($B1651)/(1-MIN(0.75,Matchup!$B$39*$B1651))),RAND())</f>
        <v>2</v>
      </c>
      <c r="I1651" s="0" t="n">
        <f aca="false">6*D1651+(D1651-E1651-G1651)+2*F1651+3*H1651</f>
        <v>27</v>
      </c>
      <c r="J1651" s="0" t="n">
        <f aca="true">CRITBINOM($C1651,MIN(0.75,Matchup!$C$39*$B1651),RAND())</f>
        <v>2</v>
      </c>
      <c r="K1651" s="0" t="n">
        <f aca="true">CRITBINOM(J1651,Coefficients!$B$30,RAND())</f>
        <v>0</v>
      </c>
      <c r="L1651" s="0" t="n">
        <f aca="true">CRITBINOM(K1651,Coefficients!$B$31,RAND())</f>
        <v>0</v>
      </c>
      <c r="M1651" s="0" t="n">
        <f aca="true">CRITBINOM(MAX(0,J1651-K1651),1-Coefficients!$B$32,RAND())</f>
        <v>0</v>
      </c>
      <c r="N1651" s="0" t="n">
        <f aca="true">CRITBINOM(MAX(0,$C1651-J1651),MIN(0.6,Matchup!$C$40*SQRT($B1651)/(1-MIN(0.75,Matchup!$C$39*$B1651))),RAND())</f>
        <v>1</v>
      </c>
      <c r="O1651" s="0" t="n">
        <f aca="false">6*J1651+(J1651-K1651-M1651)+2*L1651+3*N1651</f>
        <v>17</v>
      </c>
      <c r="P1651" s="0" t="n">
        <f aca="true">RAND()</f>
        <v>0.0400156426802311</v>
      </c>
      <c r="Q1651" s="0" t="n">
        <f aca="true">RAND()</f>
        <v>0.854480282617204</v>
      </c>
      <c r="R1651" s="0" t="n">
        <f aca="false">IF($I1651&lt;&gt;$O1651,0,IF(P1651&lt;Matchup!$B$39,7,IF(P1651&lt;Matchup!$B$39+Matchup!$B$40,3,0)))</f>
        <v>0</v>
      </c>
      <c r="S1651" s="0" t="n">
        <f aca="false">IF($I1651&lt;&gt;$O1651,0,IF(Q1651&lt;Matchup!$C$39,7,IF(Q1651&lt;Matchup!$C$39+Matchup!$C$40,3,0)))</f>
        <v>0</v>
      </c>
      <c r="T1651" s="0" t="n">
        <f aca="false">I1651+R1651</f>
        <v>27</v>
      </c>
      <c r="U1651" s="0" t="n">
        <f aca="false">O1651+S1651</f>
        <v>17</v>
      </c>
      <c r="V1651" s="0" t="n">
        <f aca="false">T1651-U1651</f>
        <v>10</v>
      </c>
      <c r="W1651" s="0" t="n">
        <f aca="false">T1651+U1651</f>
        <v>44</v>
      </c>
    </row>
    <row r="1652" customFormat="false" ht="15" hidden="false" customHeight="false" outlineLevel="0" collapsed="false">
      <c r="A1652" s="0" t="n">
        <v>1649</v>
      </c>
      <c r="B1652" s="0" t="n">
        <f aca="true">NORMINV(RAND(),1,Coefficients!$B$22)</f>
        <v>1.15154436249308</v>
      </c>
      <c r="C1652" s="0" t="n">
        <f aca="true">MEDIAN(8,16,ROUND(NORMINV(RAND(),Coefficients!$B$20,Coefficients!$B$21),0))</f>
        <v>10</v>
      </c>
      <c r="D1652" s="0" t="n">
        <f aca="true">CRITBINOM($C1652,MIN(0.75,Matchup!$B$39*$B1652),RAND())</f>
        <v>1</v>
      </c>
      <c r="E1652" s="0" t="n">
        <f aca="true">CRITBINOM(D1652,Coefficients!$B$30,RAND())</f>
        <v>0</v>
      </c>
      <c r="F1652" s="0" t="n">
        <f aca="true">CRITBINOM(E1652,Coefficients!$B$31,RAND())</f>
        <v>0</v>
      </c>
      <c r="G1652" s="0" t="n">
        <f aca="true">CRITBINOM(MAX(0,D1652-E1652),1-Coefficients!$B$32,RAND())</f>
        <v>0</v>
      </c>
      <c r="H1652" s="0" t="n">
        <f aca="true">CRITBINOM(MAX(0,$C1652-D1652),MIN(0.6,Matchup!$B$40*SQRT($B1652)/(1-MIN(0.75,Matchup!$B$39*$B1652))),RAND())</f>
        <v>2</v>
      </c>
      <c r="I1652" s="0" t="n">
        <f aca="false">6*D1652+(D1652-E1652-G1652)+2*F1652+3*H1652</f>
        <v>13</v>
      </c>
      <c r="J1652" s="0" t="n">
        <f aca="true">CRITBINOM($C1652,MIN(0.75,Matchup!$C$39*$B1652),RAND())</f>
        <v>3</v>
      </c>
      <c r="K1652" s="0" t="n">
        <f aca="true">CRITBINOM(J1652,Coefficients!$B$30,RAND())</f>
        <v>0</v>
      </c>
      <c r="L1652" s="0" t="n">
        <f aca="true">CRITBINOM(K1652,Coefficients!$B$31,RAND())</f>
        <v>0</v>
      </c>
      <c r="M1652" s="0" t="n">
        <f aca="true">CRITBINOM(MAX(0,J1652-K1652),1-Coefficients!$B$32,RAND())</f>
        <v>0</v>
      </c>
      <c r="N1652" s="0" t="n">
        <f aca="true">CRITBINOM(MAX(0,$C1652-J1652),MIN(0.6,Matchup!$C$40*SQRT($B1652)/(1-MIN(0.75,Matchup!$C$39*$B1652))),RAND())</f>
        <v>1</v>
      </c>
      <c r="O1652" s="0" t="n">
        <f aca="false">6*J1652+(J1652-K1652-M1652)+2*L1652+3*N1652</f>
        <v>24</v>
      </c>
      <c r="P1652" s="0" t="n">
        <f aca="true">RAND()</f>
        <v>0.300476024670981</v>
      </c>
      <c r="Q1652" s="0" t="n">
        <f aca="true">RAND()</f>
        <v>0.354547265811442</v>
      </c>
      <c r="R1652" s="0" t="n">
        <f aca="false">IF($I1652&lt;&gt;$O1652,0,IF(P1652&lt;Matchup!$B$39,7,IF(P1652&lt;Matchup!$B$39+Matchup!$B$40,3,0)))</f>
        <v>0</v>
      </c>
      <c r="S1652" s="0" t="n">
        <f aca="false">IF($I1652&lt;&gt;$O1652,0,IF(Q1652&lt;Matchup!$C$39,7,IF(Q1652&lt;Matchup!$C$39+Matchup!$C$40,3,0)))</f>
        <v>0</v>
      </c>
      <c r="T1652" s="0" t="n">
        <f aca="false">I1652+R1652</f>
        <v>13</v>
      </c>
      <c r="U1652" s="0" t="n">
        <f aca="false">O1652+S1652</f>
        <v>24</v>
      </c>
      <c r="V1652" s="0" t="n">
        <f aca="false">T1652-U1652</f>
        <v>-11</v>
      </c>
      <c r="W1652" s="0" t="n">
        <f aca="false">T1652+U1652</f>
        <v>37</v>
      </c>
    </row>
    <row r="1653" customFormat="false" ht="15" hidden="false" customHeight="false" outlineLevel="0" collapsed="false">
      <c r="A1653" s="0" t="n">
        <v>1650</v>
      </c>
      <c r="B1653" s="0" t="n">
        <f aca="true">NORMINV(RAND(),1,Coefficients!$B$22)</f>
        <v>0.967562302688418</v>
      </c>
      <c r="C1653" s="0" t="n">
        <f aca="true">MEDIAN(8,16,ROUND(NORMINV(RAND(),Coefficients!$B$20,Coefficients!$B$21),0))</f>
        <v>11</v>
      </c>
      <c r="D1653" s="0" t="n">
        <f aca="true">CRITBINOM($C1653,MIN(0.75,Matchup!$B$39*$B1653),RAND())</f>
        <v>5</v>
      </c>
      <c r="E1653" s="0" t="n">
        <f aca="true">CRITBINOM(D1653,Coefficients!$B$30,RAND())</f>
        <v>1</v>
      </c>
      <c r="F1653" s="0" t="n">
        <f aca="true">CRITBINOM(E1653,Coefficients!$B$31,RAND())</f>
        <v>1</v>
      </c>
      <c r="G1653" s="0" t="n">
        <f aca="true">CRITBINOM(MAX(0,D1653-E1653),1-Coefficients!$B$32,RAND())</f>
        <v>0</v>
      </c>
      <c r="H1653" s="0" t="n">
        <f aca="true">CRITBINOM(MAX(0,$C1653-D1653),MIN(0.6,Matchup!$B$40*SQRT($B1653)/(1-MIN(0.75,Matchup!$B$39*$B1653))),RAND())</f>
        <v>3</v>
      </c>
      <c r="I1653" s="0" t="n">
        <f aca="false">6*D1653+(D1653-E1653-G1653)+2*F1653+3*H1653</f>
        <v>45</v>
      </c>
      <c r="J1653" s="0" t="n">
        <f aca="true">CRITBINOM($C1653,MIN(0.75,Matchup!$C$39*$B1653),RAND())</f>
        <v>2</v>
      </c>
      <c r="K1653" s="0" t="n">
        <f aca="true">CRITBINOM(J1653,Coefficients!$B$30,RAND())</f>
        <v>0</v>
      </c>
      <c r="L1653" s="0" t="n">
        <f aca="true">CRITBINOM(K1653,Coefficients!$B$31,RAND())</f>
        <v>0</v>
      </c>
      <c r="M1653" s="0" t="n">
        <f aca="true">CRITBINOM(MAX(0,J1653-K1653),1-Coefficients!$B$32,RAND())</f>
        <v>0</v>
      </c>
      <c r="N1653" s="0" t="n">
        <f aca="true">CRITBINOM(MAX(0,$C1653-J1653),MIN(0.6,Matchup!$C$40*SQRT($B1653)/(1-MIN(0.75,Matchup!$C$39*$B1653))),RAND())</f>
        <v>1</v>
      </c>
      <c r="O1653" s="0" t="n">
        <f aca="false">6*J1653+(J1653-K1653-M1653)+2*L1653+3*N1653</f>
        <v>17</v>
      </c>
      <c r="P1653" s="0" t="n">
        <f aca="true">RAND()</f>
        <v>0.823390526808328</v>
      </c>
      <c r="Q1653" s="0" t="n">
        <f aca="true">RAND()</f>
        <v>0.377039974584894</v>
      </c>
      <c r="R1653" s="0" t="n">
        <f aca="false">IF($I1653&lt;&gt;$O1653,0,IF(P1653&lt;Matchup!$B$39,7,IF(P1653&lt;Matchup!$B$39+Matchup!$B$40,3,0)))</f>
        <v>0</v>
      </c>
      <c r="S1653" s="0" t="n">
        <f aca="false">IF($I1653&lt;&gt;$O1653,0,IF(Q1653&lt;Matchup!$C$39,7,IF(Q1653&lt;Matchup!$C$39+Matchup!$C$40,3,0)))</f>
        <v>0</v>
      </c>
      <c r="T1653" s="0" t="n">
        <f aca="false">I1653+R1653</f>
        <v>45</v>
      </c>
      <c r="U1653" s="0" t="n">
        <f aca="false">O1653+S1653</f>
        <v>17</v>
      </c>
      <c r="V1653" s="0" t="n">
        <f aca="false">T1653-U1653</f>
        <v>28</v>
      </c>
      <c r="W1653" s="0" t="n">
        <f aca="false">T1653+U1653</f>
        <v>62</v>
      </c>
    </row>
    <row r="1654" customFormat="false" ht="15" hidden="false" customHeight="false" outlineLevel="0" collapsed="false">
      <c r="A1654" s="0" t="n">
        <v>1651</v>
      </c>
      <c r="B1654" s="0" t="n">
        <f aca="true">NORMINV(RAND(),1,Coefficients!$B$22)</f>
        <v>1.07971312356609</v>
      </c>
      <c r="C1654" s="0" t="n">
        <f aca="true">MEDIAN(8,16,ROUND(NORMINV(RAND(),Coefficients!$B$20,Coefficients!$B$21),0))</f>
        <v>11</v>
      </c>
      <c r="D1654" s="0" t="n">
        <f aca="true">CRITBINOM($C1654,MIN(0.75,Matchup!$B$39*$B1654),RAND())</f>
        <v>4</v>
      </c>
      <c r="E1654" s="0" t="n">
        <f aca="true">CRITBINOM(D1654,Coefficients!$B$30,RAND())</f>
        <v>1</v>
      </c>
      <c r="F1654" s="0" t="n">
        <f aca="true">CRITBINOM(E1654,Coefficients!$B$31,RAND())</f>
        <v>0</v>
      </c>
      <c r="G1654" s="0" t="n">
        <f aca="true">CRITBINOM(MAX(0,D1654-E1654),1-Coefficients!$B$32,RAND())</f>
        <v>0</v>
      </c>
      <c r="H1654" s="0" t="n">
        <f aca="true">CRITBINOM(MAX(0,$C1654-D1654),MIN(0.6,Matchup!$B$40*SQRT($B1654)/(1-MIN(0.75,Matchup!$B$39*$B1654))),RAND())</f>
        <v>0</v>
      </c>
      <c r="I1654" s="0" t="n">
        <f aca="false">6*D1654+(D1654-E1654-G1654)+2*F1654+3*H1654</f>
        <v>27</v>
      </c>
      <c r="J1654" s="0" t="n">
        <f aca="true">CRITBINOM($C1654,MIN(0.75,Matchup!$C$39*$B1654),RAND())</f>
        <v>0</v>
      </c>
      <c r="K1654" s="0" t="n">
        <f aca="true">CRITBINOM(J1654,Coefficients!$B$30,RAND())</f>
        <v>0</v>
      </c>
      <c r="L1654" s="0" t="n">
        <f aca="true">CRITBINOM(K1654,Coefficients!$B$31,RAND())</f>
        <v>0</v>
      </c>
      <c r="M1654" s="0" t="n">
        <f aca="true">CRITBINOM(MAX(0,J1654-K1654),1-Coefficients!$B$32,RAND())</f>
        <v>0</v>
      </c>
      <c r="N1654" s="0" t="n">
        <f aca="true">CRITBINOM(MAX(0,$C1654-J1654),MIN(0.6,Matchup!$C$40*SQRT($B1654)/(1-MIN(0.75,Matchup!$C$39*$B1654))),RAND())</f>
        <v>5</v>
      </c>
      <c r="O1654" s="0" t="n">
        <f aca="false">6*J1654+(J1654-K1654-M1654)+2*L1654+3*N1654</f>
        <v>15</v>
      </c>
      <c r="P1654" s="0" t="n">
        <f aca="true">RAND()</f>
        <v>0.369495989313836</v>
      </c>
      <c r="Q1654" s="0" t="n">
        <f aca="true">RAND()</f>
        <v>0.265772382302694</v>
      </c>
      <c r="R1654" s="0" t="n">
        <f aca="false">IF($I1654&lt;&gt;$O1654,0,IF(P1654&lt;Matchup!$B$39,7,IF(P1654&lt;Matchup!$B$39+Matchup!$B$40,3,0)))</f>
        <v>0</v>
      </c>
      <c r="S1654" s="0" t="n">
        <f aca="false">IF($I1654&lt;&gt;$O1654,0,IF(Q1654&lt;Matchup!$C$39,7,IF(Q1654&lt;Matchup!$C$39+Matchup!$C$40,3,0)))</f>
        <v>0</v>
      </c>
      <c r="T1654" s="0" t="n">
        <f aca="false">I1654+R1654</f>
        <v>27</v>
      </c>
      <c r="U1654" s="0" t="n">
        <f aca="false">O1654+S1654</f>
        <v>15</v>
      </c>
      <c r="V1654" s="0" t="n">
        <f aca="false">T1654-U1654</f>
        <v>12</v>
      </c>
      <c r="W1654" s="0" t="n">
        <f aca="false">T1654+U1654</f>
        <v>42</v>
      </c>
    </row>
    <row r="1655" customFormat="false" ht="15" hidden="false" customHeight="false" outlineLevel="0" collapsed="false">
      <c r="A1655" s="0" t="n">
        <v>1652</v>
      </c>
      <c r="B1655" s="0" t="n">
        <f aca="true">NORMINV(RAND(),1,Coefficients!$B$22)</f>
        <v>1.08451056983784</v>
      </c>
      <c r="C1655" s="0" t="n">
        <f aca="true">MEDIAN(8,16,ROUND(NORMINV(RAND(),Coefficients!$B$20,Coefficients!$B$21),0))</f>
        <v>13</v>
      </c>
      <c r="D1655" s="0" t="n">
        <f aca="true">CRITBINOM($C1655,MIN(0.75,Matchup!$B$39*$B1655),RAND())</f>
        <v>2</v>
      </c>
      <c r="E1655" s="0" t="n">
        <f aca="true">CRITBINOM(D1655,Coefficients!$B$30,RAND())</f>
        <v>0</v>
      </c>
      <c r="F1655" s="0" t="n">
        <f aca="true">CRITBINOM(E1655,Coefficients!$B$31,RAND())</f>
        <v>0</v>
      </c>
      <c r="G1655" s="0" t="n">
        <f aca="true">CRITBINOM(MAX(0,D1655-E1655),1-Coefficients!$B$32,RAND())</f>
        <v>0</v>
      </c>
      <c r="H1655" s="0" t="n">
        <f aca="true">CRITBINOM(MAX(0,$C1655-D1655),MIN(0.6,Matchup!$B$40*SQRT($B1655)/(1-MIN(0.75,Matchup!$B$39*$B1655))),RAND())</f>
        <v>0</v>
      </c>
      <c r="I1655" s="0" t="n">
        <f aca="false">6*D1655+(D1655-E1655-G1655)+2*F1655+3*H1655</f>
        <v>14</v>
      </c>
      <c r="J1655" s="0" t="n">
        <f aca="true">CRITBINOM($C1655,MIN(0.75,Matchup!$C$39*$B1655),RAND())</f>
        <v>4</v>
      </c>
      <c r="K1655" s="0" t="n">
        <f aca="true">CRITBINOM(J1655,Coefficients!$B$30,RAND())</f>
        <v>1</v>
      </c>
      <c r="L1655" s="0" t="n">
        <f aca="true">CRITBINOM(K1655,Coefficients!$B$31,RAND())</f>
        <v>1</v>
      </c>
      <c r="M1655" s="0" t="n">
        <f aca="true">CRITBINOM(MAX(0,J1655-K1655),1-Coefficients!$B$32,RAND())</f>
        <v>0</v>
      </c>
      <c r="N1655" s="0" t="n">
        <f aca="true">CRITBINOM(MAX(0,$C1655-J1655),MIN(0.6,Matchup!$C$40*SQRT($B1655)/(1-MIN(0.75,Matchup!$C$39*$B1655))),RAND())</f>
        <v>2</v>
      </c>
      <c r="O1655" s="0" t="n">
        <f aca="false">6*J1655+(J1655-K1655-M1655)+2*L1655+3*N1655</f>
        <v>35</v>
      </c>
      <c r="P1655" s="0" t="n">
        <f aca="true">RAND()</f>
        <v>0.120696370354114</v>
      </c>
      <c r="Q1655" s="0" t="n">
        <f aca="true">RAND()</f>
        <v>0.975258005469042</v>
      </c>
      <c r="R1655" s="0" t="n">
        <f aca="false">IF($I1655&lt;&gt;$O1655,0,IF(P1655&lt;Matchup!$B$39,7,IF(P1655&lt;Matchup!$B$39+Matchup!$B$40,3,0)))</f>
        <v>0</v>
      </c>
      <c r="S1655" s="0" t="n">
        <f aca="false">IF($I1655&lt;&gt;$O1655,0,IF(Q1655&lt;Matchup!$C$39,7,IF(Q1655&lt;Matchup!$C$39+Matchup!$C$40,3,0)))</f>
        <v>0</v>
      </c>
      <c r="T1655" s="0" t="n">
        <f aca="false">I1655+R1655</f>
        <v>14</v>
      </c>
      <c r="U1655" s="0" t="n">
        <f aca="false">O1655+S1655</f>
        <v>35</v>
      </c>
      <c r="V1655" s="0" t="n">
        <f aca="false">T1655-U1655</f>
        <v>-21</v>
      </c>
      <c r="W1655" s="0" t="n">
        <f aca="false">T1655+U1655</f>
        <v>49</v>
      </c>
    </row>
    <row r="1656" customFormat="false" ht="15" hidden="false" customHeight="false" outlineLevel="0" collapsed="false">
      <c r="A1656" s="0" t="n">
        <v>1653</v>
      </c>
      <c r="B1656" s="0" t="n">
        <f aca="true">NORMINV(RAND(),1,Coefficients!$B$22)</f>
        <v>0.897565434892372</v>
      </c>
      <c r="C1656" s="0" t="n">
        <f aca="true">MEDIAN(8,16,ROUND(NORMINV(RAND(),Coefficients!$B$20,Coefficients!$B$21),0))</f>
        <v>12</v>
      </c>
      <c r="D1656" s="0" t="n">
        <f aca="true">CRITBINOM($C1656,MIN(0.75,Matchup!$B$39*$B1656),RAND())</f>
        <v>2</v>
      </c>
      <c r="E1656" s="0" t="n">
        <f aca="true">CRITBINOM(D1656,Coefficients!$B$30,RAND())</f>
        <v>0</v>
      </c>
      <c r="F1656" s="0" t="n">
        <f aca="true">CRITBINOM(E1656,Coefficients!$B$31,RAND())</f>
        <v>0</v>
      </c>
      <c r="G1656" s="0" t="n">
        <f aca="true">CRITBINOM(MAX(0,D1656-E1656),1-Coefficients!$B$32,RAND())</f>
        <v>0</v>
      </c>
      <c r="H1656" s="0" t="n">
        <f aca="true">CRITBINOM(MAX(0,$C1656-D1656),MIN(0.6,Matchup!$B$40*SQRT($B1656)/(1-MIN(0.75,Matchup!$B$39*$B1656))),RAND())</f>
        <v>0</v>
      </c>
      <c r="I1656" s="0" t="n">
        <f aca="false">6*D1656+(D1656-E1656-G1656)+2*F1656+3*H1656</f>
        <v>14</v>
      </c>
      <c r="J1656" s="0" t="n">
        <f aca="true">CRITBINOM($C1656,MIN(0.75,Matchup!$C$39*$B1656),RAND())</f>
        <v>2</v>
      </c>
      <c r="K1656" s="0" t="n">
        <f aca="true">CRITBINOM(J1656,Coefficients!$B$30,RAND())</f>
        <v>1</v>
      </c>
      <c r="L1656" s="0" t="n">
        <f aca="true">CRITBINOM(K1656,Coefficients!$B$31,RAND())</f>
        <v>1</v>
      </c>
      <c r="M1656" s="0" t="n">
        <f aca="true">CRITBINOM(MAX(0,J1656-K1656),1-Coefficients!$B$32,RAND())</f>
        <v>0</v>
      </c>
      <c r="N1656" s="0" t="n">
        <f aca="true">CRITBINOM(MAX(0,$C1656-J1656),MIN(0.6,Matchup!$C$40*SQRT($B1656)/(1-MIN(0.75,Matchup!$C$39*$B1656))),RAND())</f>
        <v>0</v>
      </c>
      <c r="O1656" s="0" t="n">
        <f aca="false">6*J1656+(J1656-K1656-M1656)+2*L1656+3*N1656</f>
        <v>15</v>
      </c>
      <c r="P1656" s="0" t="n">
        <f aca="true">RAND()</f>
        <v>0.547805633146751</v>
      </c>
      <c r="Q1656" s="0" t="n">
        <f aca="true">RAND()</f>
        <v>0.581899494841367</v>
      </c>
      <c r="R1656" s="0" t="n">
        <f aca="false">IF($I1656&lt;&gt;$O1656,0,IF(P1656&lt;Matchup!$B$39,7,IF(P1656&lt;Matchup!$B$39+Matchup!$B$40,3,0)))</f>
        <v>0</v>
      </c>
      <c r="S1656" s="0" t="n">
        <f aca="false">IF($I1656&lt;&gt;$O1656,0,IF(Q1656&lt;Matchup!$C$39,7,IF(Q1656&lt;Matchup!$C$39+Matchup!$C$40,3,0)))</f>
        <v>0</v>
      </c>
      <c r="T1656" s="0" t="n">
        <f aca="false">I1656+R1656</f>
        <v>14</v>
      </c>
      <c r="U1656" s="0" t="n">
        <f aca="false">O1656+S1656</f>
        <v>15</v>
      </c>
      <c r="V1656" s="0" t="n">
        <f aca="false">T1656-U1656</f>
        <v>-1</v>
      </c>
      <c r="W1656" s="0" t="n">
        <f aca="false">T1656+U1656</f>
        <v>29</v>
      </c>
    </row>
    <row r="1657" customFormat="false" ht="15" hidden="false" customHeight="false" outlineLevel="0" collapsed="false">
      <c r="A1657" s="0" t="n">
        <v>1654</v>
      </c>
      <c r="B1657" s="0" t="n">
        <f aca="true">NORMINV(RAND(),1,Coefficients!$B$22)</f>
        <v>0.905901431308741</v>
      </c>
      <c r="C1657" s="0" t="n">
        <f aca="true">MEDIAN(8,16,ROUND(NORMINV(RAND(),Coefficients!$B$20,Coefficients!$B$21),0))</f>
        <v>11</v>
      </c>
      <c r="D1657" s="0" t="n">
        <f aca="true">CRITBINOM($C1657,MIN(0.75,Matchup!$B$39*$B1657),RAND())</f>
        <v>1</v>
      </c>
      <c r="E1657" s="0" t="n">
        <f aca="true">CRITBINOM(D1657,Coefficients!$B$30,RAND())</f>
        <v>0</v>
      </c>
      <c r="F1657" s="0" t="n">
        <f aca="true">CRITBINOM(E1657,Coefficients!$B$31,RAND())</f>
        <v>0</v>
      </c>
      <c r="G1657" s="0" t="n">
        <f aca="true">CRITBINOM(MAX(0,D1657-E1657),1-Coefficients!$B$32,RAND())</f>
        <v>0</v>
      </c>
      <c r="H1657" s="0" t="n">
        <f aca="true">CRITBINOM(MAX(0,$C1657-D1657),MIN(0.6,Matchup!$B$40*SQRT($B1657)/(1-MIN(0.75,Matchup!$B$39*$B1657))),RAND())</f>
        <v>2</v>
      </c>
      <c r="I1657" s="0" t="n">
        <f aca="false">6*D1657+(D1657-E1657-G1657)+2*F1657+3*H1657</f>
        <v>13</v>
      </c>
      <c r="J1657" s="0" t="n">
        <f aca="true">CRITBINOM($C1657,MIN(0.75,Matchup!$C$39*$B1657),RAND())</f>
        <v>1</v>
      </c>
      <c r="K1657" s="0" t="n">
        <f aca="true">CRITBINOM(J1657,Coefficients!$B$30,RAND())</f>
        <v>0</v>
      </c>
      <c r="L1657" s="0" t="n">
        <f aca="true">CRITBINOM(K1657,Coefficients!$B$31,RAND())</f>
        <v>0</v>
      </c>
      <c r="M1657" s="0" t="n">
        <f aca="true">CRITBINOM(MAX(0,J1657-K1657),1-Coefficients!$B$32,RAND())</f>
        <v>0</v>
      </c>
      <c r="N1657" s="0" t="n">
        <f aca="true">CRITBINOM(MAX(0,$C1657-J1657),MIN(0.6,Matchup!$C$40*SQRT($B1657)/(1-MIN(0.75,Matchup!$C$39*$B1657))),RAND())</f>
        <v>1</v>
      </c>
      <c r="O1657" s="0" t="n">
        <f aca="false">6*J1657+(J1657-K1657-M1657)+2*L1657+3*N1657</f>
        <v>10</v>
      </c>
      <c r="P1657" s="0" t="n">
        <f aca="true">RAND()</f>
        <v>0.588777883588398</v>
      </c>
      <c r="Q1657" s="0" t="n">
        <f aca="true">RAND()</f>
        <v>0.581942400056404</v>
      </c>
      <c r="R1657" s="0" t="n">
        <f aca="false">IF($I1657&lt;&gt;$O1657,0,IF(P1657&lt;Matchup!$B$39,7,IF(P1657&lt;Matchup!$B$39+Matchup!$B$40,3,0)))</f>
        <v>0</v>
      </c>
      <c r="S1657" s="0" t="n">
        <f aca="false">IF($I1657&lt;&gt;$O1657,0,IF(Q1657&lt;Matchup!$C$39,7,IF(Q1657&lt;Matchup!$C$39+Matchup!$C$40,3,0)))</f>
        <v>0</v>
      </c>
      <c r="T1657" s="0" t="n">
        <f aca="false">I1657+R1657</f>
        <v>13</v>
      </c>
      <c r="U1657" s="0" t="n">
        <f aca="false">O1657+S1657</f>
        <v>10</v>
      </c>
      <c r="V1657" s="0" t="n">
        <f aca="false">T1657-U1657</f>
        <v>3</v>
      </c>
      <c r="W1657" s="0" t="n">
        <f aca="false">T1657+U1657</f>
        <v>23</v>
      </c>
    </row>
    <row r="1658" customFormat="false" ht="15" hidden="false" customHeight="false" outlineLevel="0" collapsed="false">
      <c r="A1658" s="0" t="n">
        <v>1655</v>
      </c>
      <c r="B1658" s="0" t="n">
        <f aca="true">NORMINV(RAND(),1,Coefficients!$B$22)</f>
        <v>1.24302895018103</v>
      </c>
      <c r="C1658" s="0" t="n">
        <f aca="true">MEDIAN(8,16,ROUND(NORMINV(RAND(),Coefficients!$B$20,Coefficients!$B$21),0))</f>
        <v>10</v>
      </c>
      <c r="D1658" s="0" t="n">
        <f aca="true">CRITBINOM($C1658,MIN(0.75,Matchup!$B$39*$B1658),RAND())</f>
        <v>5</v>
      </c>
      <c r="E1658" s="0" t="n">
        <f aca="true">CRITBINOM(D1658,Coefficients!$B$30,RAND())</f>
        <v>1</v>
      </c>
      <c r="F1658" s="0" t="n">
        <f aca="true">CRITBINOM(E1658,Coefficients!$B$31,RAND())</f>
        <v>0</v>
      </c>
      <c r="G1658" s="0" t="n">
        <f aca="true">CRITBINOM(MAX(0,D1658-E1658),1-Coefficients!$B$32,RAND())</f>
        <v>0</v>
      </c>
      <c r="H1658" s="0" t="n">
        <f aca="true">CRITBINOM(MAX(0,$C1658-D1658),MIN(0.6,Matchup!$B$40*SQRT($B1658)/(1-MIN(0.75,Matchup!$B$39*$B1658))),RAND())</f>
        <v>3</v>
      </c>
      <c r="I1658" s="0" t="n">
        <f aca="false">6*D1658+(D1658-E1658-G1658)+2*F1658+3*H1658</f>
        <v>43</v>
      </c>
      <c r="J1658" s="0" t="n">
        <f aca="true">CRITBINOM($C1658,MIN(0.75,Matchup!$C$39*$B1658),RAND())</f>
        <v>6</v>
      </c>
      <c r="K1658" s="0" t="n">
        <f aca="true">CRITBINOM(J1658,Coefficients!$B$30,RAND())</f>
        <v>0</v>
      </c>
      <c r="L1658" s="0" t="n">
        <f aca="true">CRITBINOM(K1658,Coefficients!$B$31,RAND())</f>
        <v>0</v>
      </c>
      <c r="M1658" s="0" t="n">
        <f aca="true">CRITBINOM(MAX(0,J1658-K1658),1-Coefficients!$B$32,RAND())</f>
        <v>0</v>
      </c>
      <c r="N1658" s="0" t="n">
        <f aca="true">CRITBINOM(MAX(0,$C1658-J1658),MIN(0.6,Matchup!$C$40*SQRT($B1658)/(1-MIN(0.75,Matchup!$C$39*$B1658))),RAND())</f>
        <v>1</v>
      </c>
      <c r="O1658" s="0" t="n">
        <f aca="false">6*J1658+(J1658-K1658-M1658)+2*L1658+3*N1658</f>
        <v>45</v>
      </c>
      <c r="P1658" s="0" t="n">
        <f aca="true">RAND()</f>
        <v>0.754907342076525</v>
      </c>
      <c r="Q1658" s="0" t="n">
        <f aca="true">RAND()</f>
        <v>0.775410126575166</v>
      </c>
      <c r="R1658" s="0" t="n">
        <f aca="false">IF($I1658&lt;&gt;$O1658,0,IF(P1658&lt;Matchup!$B$39,7,IF(P1658&lt;Matchup!$B$39+Matchup!$B$40,3,0)))</f>
        <v>0</v>
      </c>
      <c r="S1658" s="0" t="n">
        <f aca="false">IF($I1658&lt;&gt;$O1658,0,IF(Q1658&lt;Matchup!$C$39,7,IF(Q1658&lt;Matchup!$C$39+Matchup!$C$40,3,0)))</f>
        <v>0</v>
      </c>
      <c r="T1658" s="0" t="n">
        <f aca="false">I1658+R1658</f>
        <v>43</v>
      </c>
      <c r="U1658" s="0" t="n">
        <f aca="false">O1658+S1658</f>
        <v>45</v>
      </c>
      <c r="V1658" s="0" t="n">
        <f aca="false">T1658-U1658</f>
        <v>-2</v>
      </c>
      <c r="W1658" s="0" t="n">
        <f aca="false">T1658+U1658</f>
        <v>88</v>
      </c>
    </row>
    <row r="1659" customFormat="false" ht="15" hidden="false" customHeight="false" outlineLevel="0" collapsed="false">
      <c r="A1659" s="0" t="n">
        <v>1656</v>
      </c>
      <c r="B1659" s="0" t="n">
        <f aca="true">NORMINV(RAND(),1,Coefficients!$B$22)</f>
        <v>0.964326895680127</v>
      </c>
      <c r="C1659" s="0" t="n">
        <f aca="true">MEDIAN(8,16,ROUND(NORMINV(RAND(),Coefficients!$B$20,Coefficients!$B$21),0))</f>
        <v>12</v>
      </c>
      <c r="D1659" s="0" t="n">
        <f aca="true">CRITBINOM($C1659,MIN(0.75,Matchup!$B$39*$B1659),RAND())</f>
        <v>2</v>
      </c>
      <c r="E1659" s="0" t="n">
        <f aca="true">CRITBINOM(D1659,Coefficients!$B$30,RAND())</f>
        <v>0</v>
      </c>
      <c r="F1659" s="0" t="n">
        <f aca="true">CRITBINOM(E1659,Coefficients!$B$31,RAND())</f>
        <v>0</v>
      </c>
      <c r="G1659" s="0" t="n">
        <f aca="true">CRITBINOM(MAX(0,D1659-E1659),1-Coefficients!$B$32,RAND())</f>
        <v>0</v>
      </c>
      <c r="H1659" s="0" t="n">
        <f aca="true">CRITBINOM(MAX(0,$C1659-D1659),MIN(0.6,Matchup!$B$40*SQRT($B1659)/(1-MIN(0.75,Matchup!$B$39*$B1659))),RAND())</f>
        <v>1</v>
      </c>
      <c r="I1659" s="0" t="n">
        <f aca="false">6*D1659+(D1659-E1659-G1659)+2*F1659+3*H1659</f>
        <v>17</v>
      </c>
      <c r="J1659" s="0" t="n">
        <f aca="true">CRITBINOM($C1659,MIN(0.75,Matchup!$C$39*$B1659),RAND())</f>
        <v>3</v>
      </c>
      <c r="K1659" s="0" t="n">
        <f aca="true">CRITBINOM(J1659,Coefficients!$B$30,RAND())</f>
        <v>1</v>
      </c>
      <c r="L1659" s="0" t="n">
        <f aca="true">CRITBINOM(K1659,Coefficients!$B$31,RAND())</f>
        <v>1</v>
      </c>
      <c r="M1659" s="0" t="n">
        <f aca="true">CRITBINOM(MAX(0,J1659-K1659),1-Coefficients!$B$32,RAND())</f>
        <v>0</v>
      </c>
      <c r="N1659" s="0" t="n">
        <f aca="true">CRITBINOM(MAX(0,$C1659-J1659),MIN(0.6,Matchup!$C$40*SQRT($B1659)/(1-MIN(0.75,Matchup!$C$39*$B1659))),RAND())</f>
        <v>0</v>
      </c>
      <c r="O1659" s="0" t="n">
        <f aca="false">6*J1659+(J1659-K1659-M1659)+2*L1659+3*N1659</f>
        <v>22</v>
      </c>
      <c r="P1659" s="0" t="n">
        <f aca="true">RAND()</f>
        <v>0.900108303811517</v>
      </c>
      <c r="Q1659" s="0" t="n">
        <f aca="true">RAND()</f>
        <v>0.844657552655052</v>
      </c>
      <c r="R1659" s="0" t="n">
        <f aca="false">IF($I1659&lt;&gt;$O1659,0,IF(P1659&lt;Matchup!$B$39,7,IF(P1659&lt;Matchup!$B$39+Matchup!$B$40,3,0)))</f>
        <v>0</v>
      </c>
      <c r="S1659" s="0" t="n">
        <f aca="false">IF($I1659&lt;&gt;$O1659,0,IF(Q1659&lt;Matchup!$C$39,7,IF(Q1659&lt;Matchup!$C$39+Matchup!$C$40,3,0)))</f>
        <v>0</v>
      </c>
      <c r="T1659" s="0" t="n">
        <f aca="false">I1659+R1659</f>
        <v>17</v>
      </c>
      <c r="U1659" s="0" t="n">
        <f aca="false">O1659+S1659</f>
        <v>22</v>
      </c>
      <c r="V1659" s="0" t="n">
        <f aca="false">T1659-U1659</f>
        <v>-5</v>
      </c>
      <c r="W1659" s="0" t="n">
        <f aca="false">T1659+U1659</f>
        <v>39</v>
      </c>
    </row>
    <row r="1660" customFormat="false" ht="15" hidden="false" customHeight="false" outlineLevel="0" collapsed="false">
      <c r="A1660" s="0" t="n">
        <v>1657</v>
      </c>
      <c r="B1660" s="0" t="n">
        <f aca="true">NORMINV(RAND(),1,Coefficients!$B$22)</f>
        <v>0.966879496531399</v>
      </c>
      <c r="C1660" s="0" t="n">
        <f aca="true">MEDIAN(8,16,ROUND(NORMINV(RAND(),Coefficients!$B$20,Coefficients!$B$21),0))</f>
        <v>12</v>
      </c>
      <c r="D1660" s="0" t="n">
        <f aca="true">CRITBINOM($C1660,MIN(0.75,Matchup!$B$39*$B1660),RAND())</f>
        <v>4</v>
      </c>
      <c r="E1660" s="0" t="n">
        <f aca="true">CRITBINOM(D1660,Coefficients!$B$30,RAND())</f>
        <v>2</v>
      </c>
      <c r="F1660" s="0" t="n">
        <f aca="true">CRITBINOM(E1660,Coefficients!$B$31,RAND())</f>
        <v>0</v>
      </c>
      <c r="G1660" s="0" t="n">
        <f aca="true">CRITBINOM(MAX(0,D1660-E1660),1-Coefficients!$B$32,RAND())</f>
        <v>0</v>
      </c>
      <c r="H1660" s="0" t="n">
        <f aca="true">CRITBINOM(MAX(0,$C1660-D1660),MIN(0.6,Matchup!$B$40*SQRT($B1660)/(1-MIN(0.75,Matchup!$B$39*$B1660))),RAND())</f>
        <v>1</v>
      </c>
      <c r="I1660" s="0" t="n">
        <f aca="false">6*D1660+(D1660-E1660-G1660)+2*F1660+3*H1660</f>
        <v>29</v>
      </c>
      <c r="J1660" s="0" t="n">
        <f aca="true">CRITBINOM($C1660,MIN(0.75,Matchup!$C$39*$B1660),RAND())</f>
        <v>0</v>
      </c>
      <c r="K1660" s="0" t="n">
        <f aca="true">CRITBINOM(J1660,Coefficients!$B$30,RAND())</f>
        <v>0</v>
      </c>
      <c r="L1660" s="0" t="n">
        <f aca="true">CRITBINOM(K1660,Coefficients!$B$31,RAND())</f>
        <v>0</v>
      </c>
      <c r="M1660" s="0" t="n">
        <f aca="true">CRITBINOM(MAX(0,J1660-K1660),1-Coefficients!$B$32,RAND())</f>
        <v>0</v>
      </c>
      <c r="N1660" s="0" t="n">
        <f aca="true">CRITBINOM(MAX(0,$C1660-J1660),MIN(0.6,Matchup!$C$40*SQRT($B1660)/(1-MIN(0.75,Matchup!$C$39*$B1660))),RAND())</f>
        <v>1</v>
      </c>
      <c r="O1660" s="0" t="n">
        <f aca="false">6*J1660+(J1660-K1660-M1660)+2*L1660+3*N1660</f>
        <v>3</v>
      </c>
      <c r="P1660" s="0" t="n">
        <f aca="true">RAND()</f>
        <v>0.840259248870007</v>
      </c>
      <c r="Q1660" s="0" t="n">
        <f aca="true">RAND()</f>
        <v>0.0743573241008182</v>
      </c>
      <c r="R1660" s="0" t="n">
        <f aca="false">IF($I1660&lt;&gt;$O1660,0,IF(P1660&lt;Matchup!$B$39,7,IF(P1660&lt;Matchup!$B$39+Matchup!$B$40,3,0)))</f>
        <v>0</v>
      </c>
      <c r="S1660" s="0" t="n">
        <f aca="false">IF($I1660&lt;&gt;$O1660,0,IF(Q1660&lt;Matchup!$C$39,7,IF(Q1660&lt;Matchup!$C$39+Matchup!$C$40,3,0)))</f>
        <v>0</v>
      </c>
      <c r="T1660" s="0" t="n">
        <f aca="false">I1660+R1660</f>
        <v>29</v>
      </c>
      <c r="U1660" s="0" t="n">
        <f aca="false">O1660+S1660</f>
        <v>3</v>
      </c>
      <c r="V1660" s="0" t="n">
        <f aca="false">T1660-U1660</f>
        <v>26</v>
      </c>
      <c r="W1660" s="0" t="n">
        <f aca="false">T1660+U1660</f>
        <v>32</v>
      </c>
    </row>
    <row r="1661" customFormat="false" ht="15" hidden="false" customHeight="false" outlineLevel="0" collapsed="false">
      <c r="A1661" s="0" t="n">
        <v>1658</v>
      </c>
      <c r="B1661" s="0" t="n">
        <f aca="true">NORMINV(RAND(),1,Coefficients!$B$22)</f>
        <v>0.943016448403669</v>
      </c>
      <c r="C1661" s="0" t="n">
        <f aca="true">MEDIAN(8,16,ROUND(NORMINV(RAND(),Coefficients!$B$20,Coefficients!$B$21),0))</f>
        <v>10</v>
      </c>
      <c r="D1661" s="0" t="n">
        <f aca="true">CRITBINOM($C1661,MIN(0.75,Matchup!$B$39*$B1661),RAND())</f>
        <v>4</v>
      </c>
      <c r="E1661" s="0" t="n">
        <f aca="true">CRITBINOM(D1661,Coefficients!$B$30,RAND())</f>
        <v>1</v>
      </c>
      <c r="F1661" s="0" t="n">
        <f aca="true">CRITBINOM(E1661,Coefficients!$B$31,RAND())</f>
        <v>0</v>
      </c>
      <c r="G1661" s="0" t="n">
        <f aca="true">CRITBINOM(MAX(0,D1661-E1661),1-Coefficients!$B$32,RAND())</f>
        <v>0</v>
      </c>
      <c r="H1661" s="0" t="n">
        <f aca="true">CRITBINOM(MAX(0,$C1661-D1661),MIN(0.6,Matchup!$B$40*SQRT($B1661)/(1-MIN(0.75,Matchup!$B$39*$B1661))),RAND())</f>
        <v>0</v>
      </c>
      <c r="I1661" s="0" t="n">
        <f aca="false">6*D1661+(D1661-E1661-G1661)+2*F1661+3*H1661</f>
        <v>27</v>
      </c>
      <c r="J1661" s="0" t="n">
        <f aca="true">CRITBINOM($C1661,MIN(0.75,Matchup!$C$39*$B1661),RAND())</f>
        <v>1</v>
      </c>
      <c r="K1661" s="0" t="n">
        <f aca="true">CRITBINOM(J1661,Coefficients!$B$30,RAND())</f>
        <v>1</v>
      </c>
      <c r="L1661" s="0" t="n">
        <f aca="true">CRITBINOM(K1661,Coefficients!$B$31,RAND())</f>
        <v>0</v>
      </c>
      <c r="M1661" s="0" t="n">
        <f aca="true">CRITBINOM(MAX(0,J1661-K1661),1-Coefficients!$B$32,RAND())</f>
        <v>0</v>
      </c>
      <c r="N1661" s="0" t="n">
        <f aca="true">CRITBINOM(MAX(0,$C1661-J1661),MIN(0.6,Matchup!$C$40*SQRT($B1661)/(1-MIN(0.75,Matchup!$C$39*$B1661))),RAND())</f>
        <v>1</v>
      </c>
      <c r="O1661" s="0" t="n">
        <f aca="false">6*J1661+(J1661-K1661-M1661)+2*L1661+3*N1661</f>
        <v>9</v>
      </c>
      <c r="P1661" s="0" t="n">
        <f aca="true">RAND()</f>
        <v>0.485492336890822</v>
      </c>
      <c r="Q1661" s="0" t="n">
        <f aca="true">RAND()</f>
        <v>0.409863308955952</v>
      </c>
      <c r="R1661" s="0" t="n">
        <f aca="false">IF($I1661&lt;&gt;$O1661,0,IF(P1661&lt;Matchup!$B$39,7,IF(P1661&lt;Matchup!$B$39+Matchup!$B$40,3,0)))</f>
        <v>0</v>
      </c>
      <c r="S1661" s="0" t="n">
        <f aca="false">IF($I1661&lt;&gt;$O1661,0,IF(Q1661&lt;Matchup!$C$39,7,IF(Q1661&lt;Matchup!$C$39+Matchup!$C$40,3,0)))</f>
        <v>0</v>
      </c>
      <c r="T1661" s="0" t="n">
        <f aca="false">I1661+R1661</f>
        <v>27</v>
      </c>
      <c r="U1661" s="0" t="n">
        <f aca="false">O1661+S1661</f>
        <v>9</v>
      </c>
      <c r="V1661" s="0" t="n">
        <f aca="false">T1661-U1661</f>
        <v>18</v>
      </c>
      <c r="W1661" s="0" t="n">
        <f aca="false">T1661+U1661</f>
        <v>36</v>
      </c>
    </row>
    <row r="1662" customFormat="false" ht="15" hidden="false" customHeight="false" outlineLevel="0" collapsed="false">
      <c r="A1662" s="0" t="n">
        <v>1659</v>
      </c>
      <c r="B1662" s="0" t="n">
        <f aca="true">NORMINV(RAND(),1,Coefficients!$B$22)</f>
        <v>0.994538628760637</v>
      </c>
      <c r="C1662" s="0" t="n">
        <f aca="true">MEDIAN(8,16,ROUND(NORMINV(RAND(),Coefficients!$B$20,Coefficients!$B$21),0))</f>
        <v>11</v>
      </c>
      <c r="D1662" s="0" t="n">
        <f aca="true">CRITBINOM($C1662,MIN(0.75,Matchup!$B$39*$B1662),RAND())</f>
        <v>3</v>
      </c>
      <c r="E1662" s="0" t="n">
        <f aca="true">CRITBINOM(D1662,Coefficients!$B$30,RAND())</f>
        <v>0</v>
      </c>
      <c r="F1662" s="0" t="n">
        <f aca="true">CRITBINOM(E1662,Coefficients!$B$31,RAND())</f>
        <v>0</v>
      </c>
      <c r="G1662" s="0" t="n">
        <f aca="true">CRITBINOM(MAX(0,D1662-E1662),1-Coefficients!$B$32,RAND())</f>
        <v>0</v>
      </c>
      <c r="H1662" s="0" t="n">
        <f aca="true">CRITBINOM(MAX(0,$C1662-D1662),MIN(0.6,Matchup!$B$40*SQRT($B1662)/(1-MIN(0.75,Matchup!$B$39*$B1662))),RAND())</f>
        <v>0</v>
      </c>
      <c r="I1662" s="0" t="n">
        <f aca="false">6*D1662+(D1662-E1662-G1662)+2*F1662+3*H1662</f>
        <v>21</v>
      </c>
      <c r="J1662" s="0" t="n">
        <f aca="true">CRITBINOM($C1662,MIN(0.75,Matchup!$C$39*$B1662),RAND())</f>
        <v>1</v>
      </c>
      <c r="K1662" s="0" t="n">
        <f aca="true">CRITBINOM(J1662,Coefficients!$B$30,RAND())</f>
        <v>0</v>
      </c>
      <c r="L1662" s="0" t="n">
        <f aca="true">CRITBINOM(K1662,Coefficients!$B$31,RAND())</f>
        <v>0</v>
      </c>
      <c r="M1662" s="0" t="n">
        <f aca="true">CRITBINOM(MAX(0,J1662-K1662),1-Coefficients!$B$32,RAND())</f>
        <v>0</v>
      </c>
      <c r="N1662" s="0" t="n">
        <f aca="true">CRITBINOM(MAX(0,$C1662-J1662),MIN(0.6,Matchup!$C$40*SQRT($B1662)/(1-MIN(0.75,Matchup!$C$39*$B1662))),RAND())</f>
        <v>3</v>
      </c>
      <c r="O1662" s="0" t="n">
        <f aca="false">6*J1662+(J1662-K1662-M1662)+2*L1662+3*N1662</f>
        <v>16</v>
      </c>
      <c r="P1662" s="0" t="n">
        <f aca="true">RAND()</f>
        <v>0.490697893231638</v>
      </c>
      <c r="Q1662" s="0" t="n">
        <f aca="true">RAND()</f>
        <v>0.622573835345569</v>
      </c>
      <c r="R1662" s="0" t="n">
        <f aca="false">IF($I1662&lt;&gt;$O1662,0,IF(P1662&lt;Matchup!$B$39,7,IF(P1662&lt;Matchup!$B$39+Matchup!$B$40,3,0)))</f>
        <v>0</v>
      </c>
      <c r="S1662" s="0" t="n">
        <f aca="false">IF($I1662&lt;&gt;$O1662,0,IF(Q1662&lt;Matchup!$C$39,7,IF(Q1662&lt;Matchup!$C$39+Matchup!$C$40,3,0)))</f>
        <v>0</v>
      </c>
      <c r="T1662" s="0" t="n">
        <f aca="false">I1662+R1662</f>
        <v>21</v>
      </c>
      <c r="U1662" s="0" t="n">
        <f aca="false">O1662+S1662</f>
        <v>16</v>
      </c>
      <c r="V1662" s="0" t="n">
        <f aca="false">T1662-U1662</f>
        <v>5</v>
      </c>
      <c r="W1662" s="0" t="n">
        <f aca="false">T1662+U1662</f>
        <v>37</v>
      </c>
    </row>
    <row r="1663" customFormat="false" ht="15" hidden="false" customHeight="false" outlineLevel="0" collapsed="false">
      <c r="A1663" s="0" t="n">
        <v>1660</v>
      </c>
      <c r="B1663" s="0" t="n">
        <f aca="true">NORMINV(RAND(),1,Coefficients!$B$22)</f>
        <v>0.900541083850965</v>
      </c>
      <c r="C1663" s="0" t="n">
        <f aca="true">MEDIAN(8,16,ROUND(NORMINV(RAND(),Coefficients!$B$20,Coefficients!$B$21),0))</f>
        <v>12</v>
      </c>
      <c r="D1663" s="0" t="n">
        <f aca="true">CRITBINOM($C1663,MIN(0.75,Matchup!$B$39*$B1663),RAND())</f>
        <v>1</v>
      </c>
      <c r="E1663" s="0" t="n">
        <f aca="true">CRITBINOM(D1663,Coefficients!$B$30,RAND())</f>
        <v>0</v>
      </c>
      <c r="F1663" s="0" t="n">
        <f aca="true">CRITBINOM(E1663,Coefficients!$B$31,RAND())</f>
        <v>0</v>
      </c>
      <c r="G1663" s="0" t="n">
        <f aca="true">CRITBINOM(MAX(0,D1663-E1663),1-Coefficients!$B$32,RAND())</f>
        <v>0</v>
      </c>
      <c r="H1663" s="0" t="n">
        <f aca="true">CRITBINOM(MAX(0,$C1663-D1663),MIN(0.6,Matchup!$B$40*SQRT($B1663)/(1-MIN(0.75,Matchup!$B$39*$B1663))),RAND())</f>
        <v>2</v>
      </c>
      <c r="I1663" s="0" t="n">
        <f aca="false">6*D1663+(D1663-E1663-G1663)+2*F1663+3*H1663</f>
        <v>13</v>
      </c>
      <c r="J1663" s="0" t="n">
        <f aca="true">CRITBINOM($C1663,MIN(0.75,Matchup!$C$39*$B1663),RAND())</f>
        <v>3</v>
      </c>
      <c r="K1663" s="0" t="n">
        <f aca="true">CRITBINOM(J1663,Coefficients!$B$30,RAND())</f>
        <v>0</v>
      </c>
      <c r="L1663" s="0" t="n">
        <f aca="true">CRITBINOM(K1663,Coefficients!$B$31,RAND())</f>
        <v>0</v>
      </c>
      <c r="M1663" s="0" t="n">
        <f aca="true">CRITBINOM(MAX(0,J1663-K1663),1-Coefficients!$B$32,RAND())</f>
        <v>0</v>
      </c>
      <c r="N1663" s="0" t="n">
        <f aca="true">CRITBINOM(MAX(0,$C1663-J1663),MIN(0.6,Matchup!$C$40*SQRT($B1663)/(1-MIN(0.75,Matchup!$C$39*$B1663))),RAND())</f>
        <v>1</v>
      </c>
      <c r="O1663" s="0" t="n">
        <f aca="false">6*J1663+(J1663-K1663-M1663)+2*L1663+3*N1663</f>
        <v>24</v>
      </c>
      <c r="P1663" s="0" t="n">
        <f aca="true">RAND()</f>
        <v>0.977813058784219</v>
      </c>
      <c r="Q1663" s="0" t="n">
        <f aca="true">RAND()</f>
        <v>0.319232830940498</v>
      </c>
      <c r="R1663" s="0" t="n">
        <f aca="false">IF($I1663&lt;&gt;$O1663,0,IF(P1663&lt;Matchup!$B$39,7,IF(P1663&lt;Matchup!$B$39+Matchup!$B$40,3,0)))</f>
        <v>0</v>
      </c>
      <c r="S1663" s="0" t="n">
        <f aca="false">IF($I1663&lt;&gt;$O1663,0,IF(Q1663&lt;Matchup!$C$39,7,IF(Q1663&lt;Matchup!$C$39+Matchup!$C$40,3,0)))</f>
        <v>0</v>
      </c>
      <c r="T1663" s="0" t="n">
        <f aca="false">I1663+R1663</f>
        <v>13</v>
      </c>
      <c r="U1663" s="0" t="n">
        <f aca="false">O1663+S1663</f>
        <v>24</v>
      </c>
      <c r="V1663" s="0" t="n">
        <f aca="false">T1663-U1663</f>
        <v>-11</v>
      </c>
      <c r="W1663" s="0" t="n">
        <f aca="false">T1663+U1663</f>
        <v>37</v>
      </c>
    </row>
    <row r="1664" customFormat="false" ht="15" hidden="false" customHeight="false" outlineLevel="0" collapsed="false">
      <c r="A1664" s="0" t="n">
        <v>1661</v>
      </c>
      <c r="B1664" s="0" t="n">
        <f aca="true">NORMINV(RAND(),1,Coefficients!$B$22)</f>
        <v>0.911202708046215</v>
      </c>
      <c r="C1664" s="0" t="n">
        <f aca="true">MEDIAN(8,16,ROUND(NORMINV(RAND(),Coefficients!$B$20,Coefficients!$B$21),0))</f>
        <v>12</v>
      </c>
      <c r="D1664" s="0" t="n">
        <f aca="true">CRITBINOM($C1664,MIN(0.75,Matchup!$B$39*$B1664),RAND())</f>
        <v>4</v>
      </c>
      <c r="E1664" s="0" t="n">
        <f aca="true">CRITBINOM(D1664,Coefficients!$B$30,RAND())</f>
        <v>0</v>
      </c>
      <c r="F1664" s="0" t="n">
        <f aca="true">CRITBINOM(E1664,Coefficients!$B$31,RAND())</f>
        <v>0</v>
      </c>
      <c r="G1664" s="0" t="n">
        <f aca="true">CRITBINOM(MAX(0,D1664-E1664),1-Coefficients!$B$32,RAND())</f>
        <v>1</v>
      </c>
      <c r="H1664" s="0" t="n">
        <f aca="true">CRITBINOM(MAX(0,$C1664-D1664),MIN(0.6,Matchup!$B$40*SQRT($B1664)/(1-MIN(0.75,Matchup!$B$39*$B1664))),RAND())</f>
        <v>1</v>
      </c>
      <c r="I1664" s="0" t="n">
        <f aca="false">6*D1664+(D1664-E1664-G1664)+2*F1664+3*H1664</f>
        <v>30</v>
      </c>
      <c r="J1664" s="0" t="n">
        <f aca="true">CRITBINOM($C1664,MIN(0.75,Matchup!$C$39*$B1664),RAND())</f>
        <v>3</v>
      </c>
      <c r="K1664" s="0" t="n">
        <f aca="true">CRITBINOM(J1664,Coefficients!$B$30,RAND())</f>
        <v>0</v>
      </c>
      <c r="L1664" s="0" t="n">
        <f aca="true">CRITBINOM(K1664,Coefficients!$B$31,RAND())</f>
        <v>0</v>
      </c>
      <c r="M1664" s="0" t="n">
        <f aca="true">CRITBINOM(MAX(0,J1664-K1664),1-Coefficients!$B$32,RAND())</f>
        <v>0</v>
      </c>
      <c r="N1664" s="0" t="n">
        <f aca="true">CRITBINOM(MAX(0,$C1664-J1664),MIN(0.6,Matchup!$C$40*SQRT($B1664)/(1-MIN(0.75,Matchup!$C$39*$B1664))),RAND())</f>
        <v>1</v>
      </c>
      <c r="O1664" s="0" t="n">
        <f aca="false">6*J1664+(J1664-K1664-M1664)+2*L1664+3*N1664</f>
        <v>24</v>
      </c>
      <c r="P1664" s="0" t="n">
        <f aca="true">RAND()</f>
        <v>0.142645303077165</v>
      </c>
      <c r="Q1664" s="0" t="n">
        <f aca="true">RAND()</f>
        <v>0.741735377736175</v>
      </c>
      <c r="R1664" s="0" t="n">
        <f aca="false">IF($I1664&lt;&gt;$O1664,0,IF(P1664&lt;Matchup!$B$39,7,IF(P1664&lt;Matchup!$B$39+Matchup!$B$40,3,0)))</f>
        <v>0</v>
      </c>
      <c r="S1664" s="0" t="n">
        <f aca="false">IF($I1664&lt;&gt;$O1664,0,IF(Q1664&lt;Matchup!$C$39,7,IF(Q1664&lt;Matchup!$C$39+Matchup!$C$40,3,0)))</f>
        <v>0</v>
      </c>
      <c r="T1664" s="0" t="n">
        <f aca="false">I1664+R1664</f>
        <v>30</v>
      </c>
      <c r="U1664" s="0" t="n">
        <f aca="false">O1664+S1664</f>
        <v>24</v>
      </c>
      <c r="V1664" s="0" t="n">
        <f aca="false">T1664-U1664</f>
        <v>6</v>
      </c>
      <c r="W1664" s="0" t="n">
        <f aca="false">T1664+U1664</f>
        <v>54</v>
      </c>
    </row>
    <row r="1665" customFormat="false" ht="15" hidden="false" customHeight="false" outlineLevel="0" collapsed="false">
      <c r="A1665" s="0" t="n">
        <v>1662</v>
      </c>
      <c r="B1665" s="0" t="n">
        <f aca="true">NORMINV(RAND(),1,Coefficients!$B$22)</f>
        <v>1.02966411671675</v>
      </c>
      <c r="C1665" s="0" t="n">
        <f aca="true">MEDIAN(8,16,ROUND(NORMINV(RAND(),Coefficients!$B$20,Coefficients!$B$21),0))</f>
        <v>9</v>
      </c>
      <c r="D1665" s="0" t="n">
        <f aca="true">CRITBINOM($C1665,MIN(0.75,Matchup!$B$39*$B1665),RAND())</f>
        <v>4</v>
      </c>
      <c r="E1665" s="0" t="n">
        <f aca="true">CRITBINOM(D1665,Coefficients!$B$30,RAND())</f>
        <v>0</v>
      </c>
      <c r="F1665" s="0" t="n">
        <f aca="true">CRITBINOM(E1665,Coefficients!$B$31,RAND())</f>
        <v>0</v>
      </c>
      <c r="G1665" s="0" t="n">
        <f aca="true">CRITBINOM(MAX(0,D1665-E1665),1-Coefficients!$B$32,RAND())</f>
        <v>0</v>
      </c>
      <c r="H1665" s="0" t="n">
        <f aca="true">CRITBINOM(MAX(0,$C1665-D1665),MIN(0.6,Matchup!$B$40*SQRT($B1665)/(1-MIN(0.75,Matchup!$B$39*$B1665))),RAND())</f>
        <v>1</v>
      </c>
      <c r="I1665" s="0" t="n">
        <f aca="false">6*D1665+(D1665-E1665-G1665)+2*F1665+3*H1665</f>
        <v>31</v>
      </c>
      <c r="J1665" s="0" t="n">
        <f aca="true">CRITBINOM($C1665,MIN(0.75,Matchup!$C$39*$B1665),RAND())</f>
        <v>1</v>
      </c>
      <c r="K1665" s="0" t="n">
        <f aca="true">CRITBINOM(J1665,Coefficients!$B$30,RAND())</f>
        <v>0</v>
      </c>
      <c r="L1665" s="0" t="n">
        <f aca="true">CRITBINOM(K1665,Coefficients!$B$31,RAND())</f>
        <v>0</v>
      </c>
      <c r="M1665" s="0" t="n">
        <f aca="true">CRITBINOM(MAX(0,J1665-K1665),1-Coefficients!$B$32,RAND())</f>
        <v>0</v>
      </c>
      <c r="N1665" s="0" t="n">
        <f aca="true">CRITBINOM(MAX(0,$C1665-J1665),MIN(0.6,Matchup!$C$40*SQRT($B1665)/(1-MIN(0.75,Matchup!$C$39*$B1665))),RAND())</f>
        <v>0</v>
      </c>
      <c r="O1665" s="0" t="n">
        <f aca="false">6*J1665+(J1665-K1665-M1665)+2*L1665+3*N1665</f>
        <v>7</v>
      </c>
      <c r="P1665" s="0" t="n">
        <f aca="true">RAND()</f>
        <v>0.360632163993974</v>
      </c>
      <c r="Q1665" s="0" t="n">
        <f aca="true">RAND()</f>
        <v>0.778197413986518</v>
      </c>
      <c r="R1665" s="0" t="n">
        <f aca="false">IF($I1665&lt;&gt;$O1665,0,IF(P1665&lt;Matchup!$B$39,7,IF(P1665&lt;Matchup!$B$39+Matchup!$B$40,3,0)))</f>
        <v>0</v>
      </c>
      <c r="S1665" s="0" t="n">
        <f aca="false">IF($I1665&lt;&gt;$O1665,0,IF(Q1665&lt;Matchup!$C$39,7,IF(Q1665&lt;Matchup!$C$39+Matchup!$C$40,3,0)))</f>
        <v>0</v>
      </c>
      <c r="T1665" s="0" t="n">
        <f aca="false">I1665+R1665</f>
        <v>31</v>
      </c>
      <c r="U1665" s="0" t="n">
        <f aca="false">O1665+S1665</f>
        <v>7</v>
      </c>
      <c r="V1665" s="0" t="n">
        <f aca="false">T1665-U1665</f>
        <v>24</v>
      </c>
      <c r="W1665" s="0" t="n">
        <f aca="false">T1665+U1665</f>
        <v>38</v>
      </c>
    </row>
    <row r="1666" customFormat="false" ht="15" hidden="false" customHeight="false" outlineLevel="0" collapsed="false">
      <c r="A1666" s="0" t="n">
        <v>1663</v>
      </c>
      <c r="B1666" s="0" t="n">
        <f aca="true">NORMINV(RAND(),1,Coefficients!$B$22)</f>
        <v>0.897675509273837</v>
      </c>
      <c r="C1666" s="0" t="n">
        <f aca="true">MEDIAN(8,16,ROUND(NORMINV(RAND(),Coefficients!$B$20,Coefficients!$B$21),0))</f>
        <v>11</v>
      </c>
      <c r="D1666" s="0" t="n">
        <f aca="true">CRITBINOM($C1666,MIN(0.75,Matchup!$B$39*$B1666),RAND())</f>
        <v>3</v>
      </c>
      <c r="E1666" s="0" t="n">
        <f aca="true">CRITBINOM(D1666,Coefficients!$B$30,RAND())</f>
        <v>1</v>
      </c>
      <c r="F1666" s="0" t="n">
        <f aca="true">CRITBINOM(E1666,Coefficients!$B$31,RAND())</f>
        <v>0</v>
      </c>
      <c r="G1666" s="0" t="n">
        <f aca="true">CRITBINOM(MAX(0,D1666-E1666),1-Coefficients!$B$32,RAND())</f>
        <v>0</v>
      </c>
      <c r="H1666" s="0" t="n">
        <f aca="true">CRITBINOM(MAX(0,$C1666-D1666),MIN(0.6,Matchup!$B$40*SQRT($B1666)/(1-MIN(0.75,Matchup!$B$39*$B1666))),RAND())</f>
        <v>3</v>
      </c>
      <c r="I1666" s="0" t="n">
        <f aca="false">6*D1666+(D1666-E1666-G1666)+2*F1666+3*H1666</f>
        <v>29</v>
      </c>
      <c r="J1666" s="0" t="n">
        <f aca="true">CRITBINOM($C1666,MIN(0.75,Matchup!$C$39*$B1666),RAND())</f>
        <v>0</v>
      </c>
      <c r="K1666" s="0" t="n">
        <f aca="true">CRITBINOM(J1666,Coefficients!$B$30,RAND())</f>
        <v>0</v>
      </c>
      <c r="L1666" s="0" t="n">
        <f aca="true">CRITBINOM(K1666,Coefficients!$B$31,RAND())</f>
        <v>0</v>
      </c>
      <c r="M1666" s="0" t="n">
        <f aca="true">CRITBINOM(MAX(0,J1666-K1666),1-Coefficients!$B$32,RAND())</f>
        <v>0</v>
      </c>
      <c r="N1666" s="0" t="n">
        <f aca="true">CRITBINOM(MAX(0,$C1666-J1666),MIN(0.6,Matchup!$C$40*SQRT($B1666)/(1-MIN(0.75,Matchup!$C$39*$B1666))),RAND())</f>
        <v>2</v>
      </c>
      <c r="O1666" s="0" t="n">
        <f aca="false">6*J1666+(J1666-K1666-M1666)+2*L1666+3*N1666</f>
        <v>6</v>
      </c>
      <c r="P1666" s="0" t="n">
        <f aca="true">RAND()</f>
        <v>0.977433129773388</v>
      </c>
      <c r="Q1666" s="0" t="n">
        <f aca="true">RAND()</f>
        <v>0.736845659019368</v>
      </c>
      <c r="R1666" s="0" t="n">
        <f aca="false">IF($I1666&lt;&gt;$O1666,0,IF(P1666&lt;Matchup!$B$39,7,IF(P1666&lt;Matchup!$B$39+Matchup!$B$40,3,0)))</f>
        <v>0</v>
      </c>
      <c r="S1666" s="0" t="n">
        <f aca="false">IF($I1666&lt;&gt;$O1666,0,IF(Q1666&lt;Matchup!$C$39,7,IF(Q1666&lt;Matchup!$C$39+Matchup!$C$40,3,0)))</f>
        <v>0</v>
      </c>
      <c r="T1666" s="0" t="n">
        <f aca="false">I1666+R1666</f>
        <v>29</v>
      </c>
      <c r="U1666" s="0" t="n">
        <f aca="false">O1666+S1666</f>
        <v>6</v>
      </c>
      <c r="V1666" s="0" t="n">
        <f aca="false">T1666-U1666</f>
        <v>23</v>
      </c>
      <c r="W1666" s="0" t="n">
        <f aca="false">T1666+U1666</f>
        <v>35</v>
      </c>
    </row>
    <row r="1667" customFormat="false" ht="15" hidden="false" customHeight="false" outlineLevel="0" collapsed="false">
      <c r="A1667" s="0" t="n">
        <v>1664</v>
      </c>
      <c r="B1667" s="0" t="n">
        <f aca="true">NORMINV(RAND(),1,Coefficients!$B$22)</f>
        <v>0.893362759803341</v>
      </c>
      <c r="C1667" s="0" t="n">
        <f aca="true">MEDIAN(8,16,ROUND(NORMINV(RAND(),Coefficients!$B$20,Coefficients!$B$21),0))</f>
        <v>12</v>
      </c>
      <c r="D1667" s="0" t="n">
        <f aca="true">CRITBINOM($C1667,MIN(0.75,Matchup!$B$39*$B1667),RAND())</f>
        <v>1</v>
      </c>
      <c r="E1667" s="0" t="n">
        <f aca="true">CRITBINOM(D1667,Coefficients!$B$30,RAND())</f>
        <v>0</v>
      </c>
      <c r="F1667" s="0" t="n">
        <f aca="true">CRITBINOM(E1667,Coefficients!$B$31,RAND())</f>
        <v>0</v>
      </c>
      <c r="G1667" s="0" t="n">
        <f aca="true">CRITBINOM(MAX(0,D1667-E1667),1-Coefficients!$B$32,RAND())</f>
        <v>0</v>
      </c>
      <c r="H1667" s="0" t="n">
        <f aca="true">CRITBINOM(MAX(0,$C1667-D1667),MIN(0.6,Matchup!$B$40*SQRT($B1667)/(1-MIN(0.75,Matchup!$B$39*$B1667))),RAND())</f>
        <v>2</v>
      </c>
      <c r="I1667" s="0" t="n">
        <f aca="false">6*D1667+(D1667-E1667-G1667)+2*F1667+3*H1667</f>
        <v>13</v>
      </c>
      <c r="J1667" s="0" t="n">
        <f aca="true">CRITBINOM($C1667,MIN(0.75,Matchup!$C$39*$B1667),RAND())</f>
        <v>3</v>
      </c>
      <c r="K1667" s="0" t="n">
        <f aca="true">CRITBINOM(J1667,Coefficients!$B$30,RAND())</f>
        <v>0</v>
      </c>
      <c r="L1667" s="0" t="n">
        <f aca="true">CRITBINOM(K1667,Coefficients!$B$31,RAND())</f>
        <v>0</v>
      </c>
      <c r="M1667" s="0" t="n">
        <f aca="true">CRITBINOM(MAX(0,J1667-K1667),1-Coefficients!$B$32,RAND())</f>
        <v>0</v>
      </c>
      <c r="N1667" s="0" t="n">
        <f aca="true">CRITBINOM(MAX(0,$C1667-J1667),MIN(0.6,Matchup!$C$40*SQRT($B1667)/(1-MIN(0.75,Matchup!$C$39*$B1667))),RAND())</f>
        <v>4</v>
      </c>
      <c r="O1667" s="0" t="n">
        <f aca="false">6*J1667+(J1667-K1667-M1667)+2*L1667+3*N1667</f>
        <v>33</v>
      </c>
      <c r="P1667" s="0" t="n">
        <f aca="true">RAND()</f>
        <v>0.250125775766732</v>
      </c>
      <c r="Q1667" s="0" t="n">
        <f aca="true">RAND()</f>
        <v>0.209624080172867</v>
      </c>
      <c r="R1667" s="0" t="n">
        <f aca="false">IF($I1667&lt;&gt;$O1667,0,IF(P1667&lt;Matchup!$B$39,7,IF(P1667&lt;Matchup!$B$39+Matchup!$B$40,3,0)))</f>
        <v>0</v>
      </c>
      <c r="S1667" s="0" t="n">
        <f aca="false">IF($I1667&lt;&gt;$O1667,0,IF(Q1667&lt;Matchup!$C$39,7,IF(Q1667&lt;Matchup!$C$39+Matchup!$C$40,3,0)))</f>
        <v>0</v>
      </c>
      <c r="T1667" s="0" t="n">
        <f aca="false">I1667+R1667</f>
        <v>13</v>
      </c>
      <c r="U1667" s="0" t="n">
        <f aca="false">O1667+S1667</f>
        <v>33</v>
      </c>
      <c r="V1667" s="0" t="n">
        <f aca="false">T1667-U1667</f>
        <v>-20</v>
      </c>
      <c r="W1667" s="0" t="n">
        <f aca="false">T1667+U1667</f>
        <v>46</v>
      </c>
    </row>
    <row r="1668" customFormat="false" ht="15" hidden="false" customHeight="false" outlineLevel="0" collapsed="false">
      <c r="A1668" s="0" t="n">
        <v>1665</v>
      </c>
      <c r="B1668" s="0" t="n">
        <f aca="true">NORMINV(RAND(),1,Coefficients!$B$22)</f>
        <v>1.09724305590677</v>
      </c>
      <c r="C1668" s="0" t="n">
        <f aca="true">MEDIAN(8,16,ROUND(NORMINV(RAND(),Coefficients!$B$20,Coefficients!$B$21),0))</f>
        <v>11</v>
      </c>
      <c r="D1668" s="0" t="n">
        <f aca="true">CRITBINOM($C1668,MIN(0.75,Matchup!$B$39*$B1668),RAND())</f>
        <v>5</v>
      </c>
      <c r="E1668" s="0" t="n">
        <f aca="true">CRITBINOM(D1668,Coefficients!$B$30,RAND())</f>
        <v>0</v>
      </c>
      <c r="F1668" s="0" t="n">
        <f aca="true">CRITBINOM(E1668,Coefficients!$B$31,RAND())</f>
        <v>0</v>
      </c>
      <c r="G1668" s="0" t="n">
        <f aca="true">CRITBINOM(MAX(0,D1668-E1668),1-Coefficients!$B$32,RAND())</f>
        <v>0</v>
      </c>
      <c r="H1668" s="0" t="n">
        <f aca="true">CRITBINOM(MAX(0,$C1668-D1668),MIN(0.6,Matchup!$B$40*SQRT($B1668)/(1-MIN(0.75,Matchup!$B$39*$B1668))),RAND())</f>
        <v>3</v>
      </c>
      <c r="I1668" s="0" t="n">
        <f aca="false">6*D1668+(D1668-E1668-G1668)+2*F1668+3*H1668</f>
        <v>44</v>
      </c>
      <c r="J1668" s="0" t="n">
        <f aca="true">CRITBINOM($C1668,MIN(0.75,Matchup!$C$39*$B1668),RAND())</f>
        <v>2</v>
      </c>
      <c r="K1668" s="0" t="n">
        <f aca="true">CRITBINOM(J1668,Coefficients!$B$30,RAND())</f>
        <v>0</v>
      </c>
      <c r="L1668" s="0" t="n">
        <f aca="true">CRITBINOM(K1668,Coefficients!$B$31,RAND())</f>
        <v>0</v>
      </c>
      <c r="M1668" s="0" t="n">
        <f aca="true">CRITBINOM(MAX(0,J1668-K1668),1-Coefficients!$B$32,RAND())</f>
        <v>0</v>
      </c>
      <c r="N1668" s="0" t="n">
        <f aca="true">CRITBINOM(MAX(0,$C1668-J1668),MIN(0.6,Matchup!$C$40*SQRT($B1668)/(1-MIN(0.75,Matchup!$C$39*$B1668))),RAND())</f>
        <v>1</v>
      </c>
      <c r="O1668" s="0" t="n">
        <f aca="false">6*J1668+(J1668-K1668-M1668)+2*L1668+3*N1668</f>
        <v>17</v>
      </c>
      <c r="P1668" s="0" t="n">
        <f aca="true">RAND()</f>
        <v>0.094543805318498</v>
      </c>
      <c r="Q1668" s="0" t="n">
        <f aca="true">RAND()</f>
        <v>0.78183567067738</v>
      </c>
      <c r="R1668" s="0" t="n">
        <f aca="false">IF($I1668&lt;&gt;$O1668,0,IF(P1668&lt;Matchup!$B$39,7,IF(P1668&lt;Matchup!$B$39+Matchup!$B$40,3,0)))</f>
        <v>0</v>
      </c>
      <c r="S1668" s="0" t="n">
        <f aca="false">IF($I1668&lt;&gt;$O1668,0,IF(Q1668&lt;Matchup!$C$39,7,IF(Q1668&lt;Matchup!$C$39+Matchup!$C$40,3,0)))</f>
        <v>0</v>
      </c>
      <c r="T1668" s="0" t="n">
        <f aca="false">I1668+R1668</f>
        <v>44</v>
      </c>
      <c r="U1668" s="0" t="n">
        <f aca="false">O1668+S1668</f>
        <v>17</v>
      </c>
      <c r="V1668" s="0" t="n">
        <f aca="false">T1668-U1668</f>
        <v>27</v>
      </c>
      <c r="W1668" s="0" t="n">
        <f aca="false">T1668+U1668</f>
        <v>61</v>
      </c>
    </row>
    <row r="1669" customFormat="false" ht="15" hidden="false" customHeight="false" outlineLevel="0" collapsed="false">
      <c r="A1669" s="0" t="n">
        <v>1666</v>
      </c>
      <c r="B1669" s="0" t="n">
        <f aca="true">NORMINV(RAND(),1,Coefficients!$B$22)</f>
        <v>1.0667159351236</v>
      </c>
      <c r="C1669" s="0" t="n">
        <f aca="true">MEDIAN(8,16,ROUND(NORMINV(RAND(),Coefficients!$B$20,Coefficients!$B$21),0))</f>
        <v>13</v>
      </c>
      <c r="D1669" s="0" t="n">
        <f aca="true">CRITBINOM($C1669,MIN(0.75,Matchup!$B$39*$B1669),RAND())</f>
        <v>4</v>
      </c>
      <c r="E1669" s="0" t="n">
        <f aca="true">CRITBINOM(D1669,Coefficients!$B$30,RAND())</f>
        <v>1</v>
      </c>
      <c r="F1669" s="0" t="n">
        <f aca="true">CRITBINOM(E1669,Coefficients!$B$31,RAND())</f>
        <v>0</v>
      </c>
      <c r="G1669" s="0" t="n">
        <f aca="true">CRITBINOM(MAX(0,D1669-E1669),1-Coefficients!$B$32,RAND())</f>
        <v>0</v>
      </c>
      <c r="H1669" s="0" t="n">
        <f aca="true">CRITBINOM(MAX(0,$C1669-D1669),MIN(0.6,Matchup!$B$40*SQRT($B1669)/(1-MIN(0.75,Matchup!$B$39*$B1669))),RAND())</f>
        <v>3</v>
      </c>
      <c r="I1669" s="0" t="n">
        <f aca="false">6*D1669+(D1669-E1669-G1669)+2*F1669+3*H1669</f>
        <v>36</v>
      </c>
      <c r="J1669" s="0" t="n">
        <f aca="true">CRITBINOM($C1669,MIN(0.75,Matchup!$C$39*$B1669),RAND())</f>
        <v>1</v>
      </c>
      <c r="K1669" s="0" t="n">
        <f aca="true">CRITBINOM(J1669,Coefficients!$B$30,RAND())</f>
        <v>0</v>
      </c>
      <c r="L1669" s="0" t="n">
        <f aca="true">CRITBINOM(K1669,Coefficients!$B$31,RAND())</f>
        <v>0</v>
      </c>
      <c r="M1669" s="0" t="n">
        <f aca="true">CRITBINOM(MAX(0,J1669-K1669),1-Coefficients!$B$32,RAND())</f>
        <v>0</v>
      </c>
      <c r="N1669" s="0" t="n">
        <f aca="true">CRITBINOM(MAX(0,$C1669-J1669),MIN(0.6,Matchup!$C$40*SQRT($B1669)/(1-MIN(0.75,Matchup!$C$39*$B1669))),RAND())</f>
        <v>6</v>
      </c>
      <c r="O1669" s="0" t="n">
        <f aca="false">6*J1669+(J1669-K1669-M1669)+2*L1669+3*N1669</f>
        <v>25</v>
      </c>
      <c r="P1669" s="0" t="n">
        <f aca="true">RAND()</f>
        <v>0.599573380226452</v>
      </c>
      <c r="Q1669" s="0" t="n">
        <f aca="true">RAND()</f>
        <v>0.54440585240874</v>
      </c>
      <c r="R1669" s="0" t="n">
        <f aca="false">IF($I1669&lt;&gt;$O1669,0,IF(P1669&lt;Matchup!$B$39,7,IF(P1669&lt;Matchup!$B$39+Matchup!$B$40,3,0)))</f>
        <v>0</v>
      </c>
      <c r="S1669" s="0" t="n">
        <f aca="false">IF($I1669&lt;&gt;$O1669,0,IF(Q1669&lt;Matchup!$C$39,7,IF(Q1669&lt;Matchup!$C$39+Matchup!$C$40,3,0)))</f>
        <v>0</v>
      </c>
      <c r="T1669" s="0" t="n">
        <f aca="false">I1669+R1669</f>
        <v>36</v>
      </c>
      <c r="U1669" s="0" t="n">
        <f aca="false">O1669+S1669</f>
        <v>25</v>
      </c>
      <c r="V1669" s="0" t="n">
        <f aca="false">T1669-U1669</f>
        <v>11</v>
      </c>
      <c r="W1669" s="0" t="n">
        <f aca="false">T1669+U1669</f>
        <v>61</v>
      </c>
    </row>
    <row r="1670" customFormat="false" ht="15" hidden="false" customHeight="false" outlineLevel="0" collapsed="false">
      <c r="A1670" s="0" t="n">
        <v>1667</v>
      </c>
      <c r="B1670" s="0" t="n">
        <f aca="true">NORMINV(RAND(),1,Coefficients!$B$22)</f>
        <v>0.889341415704359</v>
      </c>
      <c r="C1670" s="0" t="n">
        <f aca="true">MEDIAN(8,16,ROUND(NORMINV(RAND(),Coefficients!$B$20,Coefficients!$B$21),0))</f>
        <v>12</v>
      </c>
      <c r="D1670" s="0" t="n">
        <f aca="true">CRITBINOM($C1670,MIN(0.75,Matchup!$B$39*$B1670),RAND())</f>
        <v>3</v>
      </c>
      <c r="E1670" s="0" t="n">
        <f aca="true">CRITBINOM(D1670,Coefficients!$B$30,RAND())</f>
        <v>0</v>
      </c>
      <c r="F1670" s="0" t="n">
        <f aca="true">CRITBINOM(E1670,Coefficients!$B$31,RAND())</f>
        <v>0</v>
      </c>
      <c r="G1670" s="0" t="n">
        <f aca="true">CRITBINOM(MAX(0,D1670-E1670),1-Coefficients!$B$32,RAND())</f>
        <v>0</v>
      </c>
      <c r="H1670" s="0" t="n">
        <f aca="true">CRITBINOM(MAX(0,$C1670-D1670),MIN(0.6,Matchup!$B$40*SQRT($B1670)/(1-MIN(0.75,Matchup!$B$39*$B1670))),RAND())</f>
        <v>2</v>
      </c>
      <c r="I1670" s="0" t="n">
        <f aca="false">6*D1670+(D1670-E1670-G1670)+2*F1670+3*H1670</f>
        <v>27</v>
      </c>
      <c r="J1670" s="0" t="n">
        <f aca="true">CRITBINOM($C1670,MIN(0.75,Matchup!$C$39*$B1670),RAND())</f>
        <v>2</v>
      </c>
      <c r="K1670" s="0" t="n">
        <f aca="true">CRITBINOM(J1670,Coefficients!$B$30,RAND())</f>
        <v>0</v>
      </c>
      <c r="L1670" s="0" t="n">
        <f aca="true">CRITBINOM(K1670,Coefficients!$B$31,RAND())</f>
        <v>0</v>
      </c>
      <c r="M1670" s="0" t="n">
        <f aca="true">CRITBINOM(MAX(0,J1670-K1670),1-Coefficients!$B$32,RAND())</f>
        <v>0</v>
      </c>
      <c r="N1670" s="0" t="n">
        <f aca="true">CRITBINOM(MAX(0,$C1670-J1670),MIN(0.6,Matchup!$C$40*SQRT($B1670)/(1-MIN(0.75,Matchup!$C$39*$B1670))),RAND())</f>
        <v>0</v>
      </c>
      <c r="O1670" s="0" t="n">
        <f aca="false">6*J1670+(J1670-K1670-M1670)+2*L1670+3*N1670</f>
        <v>14</v>
      </c>
      <c r="P1670" s="0" t="n">
        <f aca="true">RAND()</f>
        <v>0.625533972300527</v>
      </c>
      <c r="Q1670" s="0" t="n">
        <f aca="true">RAND()</f>
        <v>0.324176266522446</v>
      </c>
      <c r="R1670" s="0" t="n">
        <f aca="false">IF($I1670&lt;&gt;$O1670,0,IF(P1670&lt;Matchup!$B$39,7,IF(P1670&lt;Matchup!$B$39+Matchup!$B$40,3,0)))</f>
        <v>0</v>
      </c>
      <c r="S1670" s="0" t="n">
        <f aca="false">IF($I1670&lt;&gt;$O1670,0,IF(Q1670&lt;Matchup!$C$39,7,IF(Q1670&lt;Matchup!$C$39+Matchup!$C$40,3,0)))</f>
        <v>0</v>
      </c>
      <c r="T1670" s="0" t="n">
        <f aca="false">I1670+R1670</f>
        <v>27</v>
      </c>
      <c r="U1670" s="0" t="n">
        <f aca="false">O1670+S1670</f>
        <v>14</v>
      </c>
      <c r="V1670" s="0" t="n">
        <f aca="false">T1670-U1670</f>
        <v>13</v>
      </c>
      <c r="W1670" s="0" t="n">
        <f aca="false">T1670+U1670</f>
        <v>41</v>
      </c>
    </row>
    <row r="1671" customFormat="false" ht="15" hidden="false" customHeight="false" outlineLevel="0" collapsed="false">
      <c r="A1671" s="0" t="n">
        <v>1668</v>
      </c>
      <c r="B1671" s="0" t="n">
        <f aca="true">NORMINV(RAND(),1,Coefficients!$B$22)</f>
        <v>1.01711046329066</v>
      </c>
      <c r="C1671" s="0" t="n">
        <f aca="true">MEDIAN(8,16,ROUND(NORMINV(RAND(),Coefficients!$B$20,Coefficients!$B$21),0))</f>
        <v>12</v>
      </c>
      <c r="D1671" s="0" t="n">
        <f aca="true">CRITBINOM($C1671,MIN(0.75,Matchup!$B$39*$B1671),RAND())</f>
        <v>6</v>
      </c>
      <c r="E1671" s="0" t="n">
        <f aca="true">CRITBINOM(D1671,Coefficients!$B$30,RAND())</f>
        <v>0</v>
      </c>
      <c r="F1671" s="0" t="n">
        <f aca="true">CRITBINOM(E1671,Coefficients!$B$31,RAND())</f>
        <v>0</v>
      </c>
      <c r="G1671" s="0" t="n">
        <f aca="true">CRITBINOM(MAX(0,D1671-E1671),1-Coefficients!$B$32,RAND())</f>
        <v>0</v>
      </c>
      <c r="H1671" s="0" t="n">
        <f aca="true">CRITBINOM(MAX(0,$C1671-D1671),MIN(0.6,Matchup!$B$40*SQRT($B1671)/(1-MIN(0.75,Matchup!$B$39*$B1671))),RAND())</f>
        <v>2</v>
      </c>
      <c r="I1671" s="0" t="n">
        <f aca="false">6*D1671+(D1671-E1671-G1671)+2*F1671+3*H1671</f>
        <v>48</v>
      </c>
      <c r="J1671" s="0" t="n">
        <f aca="true">CRITBINOM($C1671,MIN(0.75,Matchup!$C$39*$B1671),RAND())</f>
        <v>1</v>
      </c>
      <c r="K1671" s="0" t="n">
        <f aca="true">CRITBINOM(J1671,Coefficients!$B$30,RAND())</f>
        <v>0</v>
      </c>
      <c r="L1671" s="0" t="n">
        <f aca="true">CRITBINOM(K1671,Coefficients!$B$31,RAND())</f>
        <v>0</v>
      </c>
      <c r="M1671" s="0" t="n">
        <f aca="true">CRITBINOM(MAX(0,J1671-K1671),1-Coefficients!$B$32,RAND())</f>
        <v>0</v>
      </c>
      <c r="N1671" s="0" t="n">
        <f aca="true">CRITBINOM(MAX(0,$C1671-J1671),MIN(0.6,Matchup!$C$40*SQRT($B1671)/(1-MIN(0.75,Matchup!$C$39*$B1671))),RAND())</f>
        <v>1</v>
      </c>
      <c r="O1671" s="0" t="n">
        <f aca="false">6*J1671+(J1671-K1671-M1671)+2*L1671+3*N1671</f>
        <v>10</v>
      </c>
      <c r="P1671" s="0" t="n">
        <f aca="true">RAND()</f>
        <v>0.0631269609338017</v>
      </c>
      <c r="Q1671" s="0" t="n">
        <f aca="true">RAND()</f>
        <v>0.104487325815305</v>
      </c>
      <c r="R1671" s="0" t="n">
        <f aca="false">IF($I1671&lt;&gt;$O1671,0,IF(P1671&lt;Matchup!$B$39,7,IF(P1671&lt;Matchup!$B$39+Matchup!$B$40,3,0)))</f>
        <v>0</v>
      </c>
      <c r="S1671" s="0" t="n">
        <f aca="false">IF($I1671&lt;&gt;$O1671,0,IF(Q1671&lt;Matchup!$C$39,7,IF(Q1671&lt;Matchup!$C$39+Matchup!$C$40,3,0)))</f>
        <v>0</v>
      </c>
      <c r="T1671" s="0" t="n">
        <f aca="false">I1671+R1671</f>
        <v>48</v>
      </c>
      <c r="U1671" s="0" t="n">
        <f aca="false">O1671+S1671</f>
        <v>10</v>
      </c>
      <c r="V1671" s="0" t="n">
        <f aca="false">T1671-U1671</f>
        <v>38</v>
      </c>
      <c r="W1671" s="0" t="n">
        <f aca="false">T1671+U1671</f>
        <v>58</v>
      </c>
    </row>
    <row r="1672" customFormat="false" ht="15" hidden="false" customHeight="false" outlineLevel="0" collapsed="false">
      <c r="A1672" s="0" t="n">
        <v>1669</v>
      </c>
      <c r="B1672" s="0" t="n">
        <f aca="true">NORMINV(RAND(),1,Coefficients!$B$22)</f>
        <v>0.993307402406046</v>
      </c>
      <c r="C1672" s="0" t="n">
        <f aca="true">MEDIAN(8,16,ROUND(NORMINV(RAND(),Coefficients!$B$20,Coefficients!$B$21),0))</f>
        <v>12</v>
      </c>
      <c r="D1672" s="0" t="n">
        <f aca="true">CRITBINOM($C1672,MIN(0.75,Matchup!$B$39*$B1672),RAND())</f>
        <v>2</v>
      </c>
      <c r="E1672" s="0" t="n">
        <f aca="true">CRITBINOM(D1672,Coefficients!$B$30,RAND())</f>
        <v>0</v>
      </c>
      <c r="F1672" s="0" t="n">
        <f aca="true">CRITBINOM(E1672,Coefficients!$B$31,RAND())</f>
        <v>0</v>
      </c>
      <c r="G1672" s="0" t="n">
        <f aca="true">CRITBINOM(MAX(0,D1672-E1672),1-Coefficients!$B$32,RAND())</f>
        <v>0</v>
      </c>
      <c r="H1672" s="0" t="n">
        <f aca="true">CRITBINOM(MAX(0,$C1672-D1672),MIN(0.6,Matchup!$B$40*SQRT($B1672)/(1-MIN(0.75,Matchup!$B$39*$B1672))),RAND())</f>
        <v>0</v>
      </c>
      <c r="I1672" s="0" t="n">
        <f aca="false">6*D1672+(D1672-E1672-G1672)+2*F1672+3*H1672</f>
        <v>14</v>
      </c>
      <c r="J1672" s="0" t="n">
        <f aca="true">CRITBINOM($C1672,MIN(0.75,Matchup!$C$39*$B1672),RAND())</f>
        <v>2</v>
      </c>
      <c r="K1672" s="0" t="n">
        <f aca="true">CRITBINOM(J1672,Coefficients!$B$30,RAND())</f>
        <v>0</v>
      </c>
      <c r="L1672" s="0" t="n">
        <f aca="true">CRITBINOM(K1672,Coefficients!$B$31,RAND())</f>
        <v>0</v>
      </c>
      <c r="M1672" s="0" t="n">
        <f aca="true">CRITBINOM(MAX(0,J1672-K1672),1-Coefficients!$B$32,RAND())</f>
        <v>0</v>
      </c>
      <c r="N1672" s="0" t="n">
        <f aca="true">CRITBINOM(MAX(0,$C1672-J1672),MIN(0.6,Matchup!$C$40*SQRT($B1672)/(1-MIN(0.75,Matchup!$C$39*$B1672))),RAND())</f>
        <v>4</v>
      </c>
      <c r="O1672" s="0" t="n">
        <f aca="false">6*J1672+(J1672-K1672-M1672)+2*L1672+3*N1672</f>
        <v>26</v>
      </c>
      <c r="P1672" s="0" t="n">
        <f aca="true">RAND()</f>
        <v>0.598771171884102</v>
      </c>
      <c r="Q1672" s="0" t="n">
        <f aca="true">RAND()</f>
        <v>0.818076993781979</v>
      </c>
      <c r="R1672" s="0" t="n">
        <f aca="false">IF($I1672&lt;&gt;$O1672,0,IF(P1672&lt;Matchup!$B$39,7,IF(P1672&lt;Matchup!$B$39+Matchup!$B$40,3,0)))</f>
        <v>0</v>
      </c>
      <c r="S1672" s="0" t="n">
        <f aca="false">IF($I1672&lt;&gt;$O1672,0,IF(Q1672&lt;Matchup!$C$39,7,IF(Q1672&lt;Matchup!$C$39+Matchup!$C$40,3,0)))</f>
        <v>0</v>
      </c>
      <c r="T1672" s="0" t="n">
        <f aca="false">I1672+R1672</f>
        <v>14</v>
      </c>
      <c r="U1672" s="0" t="n">
        <f aca="false">O1672+S1672</f>
        <v>26</v>
      </c>
      <c r="V1672" s="0" t="n">
        <f aca="false">T1672-U1672</f>
        <v>-12</v>
      </c>
      <c r="W1672" s="0" t="n">
        <f aca="false">T1672+U1672</f>
        <v>40</v>
      </c>
    </row>
    <row r="1673" customFormat="false" ht="15" hidden="false" customHeight="false" outlineLevel="0" collapsed="false">
      <c r="A1673" s="0" t="n">
        <v>1670</v>
      </c>
      <c r="B1673" s="0" t="n">
        <f aca="true">NORMINV(RAND(),1,Coefficients!$B$22)</f>
        <v>0.978324069474968</v>
      </c>
      <c r="C1673" s="0" t="n">
        <f aca="true">MEDIAN(8,16,ROUND(NORMINV(RAND(),Coefficients!$B$20,Coefficients!$B$21),0))</f>
        <v>10</v>
      </c>
      <c r="D1673" s="0" t="n">
        <f aca="true">CRITBINOM($C1673,MIN(0.75,Matchup!$B$39*$B1673),RAND())</f>
        <v>4</v>
      </c>
      <c r="E1673" s="0" t="n">
        <f aca="true">CRITBINOM(D1673,Coefficients!$B$30,RAND())</f>
        <v>1</v>
      </c>
      <c r="F1673" s="0" t="n">
        <f aca="true">CRITBINOM(E1673,Coefficients!$B$31,RAND())</f>
        <v>1</v>
      </c>
      <c r="G1673" s="0" t="n">
        <f aca="true">CRITBINOM(MAX(0,D1673-E1673),1-Coefficients!$B$32,RAND())</f>
        <v>0</v>
      </c>
      <c r="H1673" s="0" t="n">
        <f aca="true">CRITBINOM(MAX(0,$C1673-D1673),MIN(0.6,Matchup!$B$40*SQRT($B1673)/(1-MIN(0.75,Matchup!$B$39*$B1673))),RAND())</f>
        <v>2</v>
      </c>
      <c r="I1673" s="0" t="n">
        <f aca="false">6*D1673+(D1673-E1673-G1673)+2*F1673+3*H1673</f>
        <v>35</v>
      </c>
      <c r="J1673" s="0" t="n">
        <f aca="true">CRITBINOM($C1673,MIN(0.75,Matchup!$C$39*$B1673),RAND())</f>
        <v>1</v>
      </c>
      <c r="K1673" s="0" t="n">
        <f aca="true">CRITBINOM(J1673,Coefficients!$B$30,RAND())</f>
        <v>1</v>
      </c>
      <c r="L1673" s="0" t="n">
        <f aca="true">CRITBINOM(K1673,Coefficients!$B$31,RAND())</f>
        <v>0</v>
      </c>
      <c r="M1673" s="0" t="n">
        <f aca="true">CRITBINOM(MAX(0,J1673-K1673),1-Coefficients!$B$32,RAND())</f>
        <v>0</v>
      </c>
      <c r="N1673" s="0" t="n">
        <f aca="true">CRITBINOM(MAX(0,$C1673-J1673),MIN(0.6,Matchup!$C$40*SQRT($B1673)/(1-MIN(0.75,Matchup!$C$39*$B1673))),RAND())</f>
        <v>2</v>
      </c>
      <c r="O1673" s="0" t="n">
        <f aca="false">6*J1673+(J1673-K1673-M1673)+2*L1673+3*N1673</f>
        <v>12</v>
      </c>
      <c r="P1673" s="0" t="n">
        <f aca="true">RAND()</f>
        <v>0.12214753762041</v>
      </c>
      <c r="Q1673" s="0" t="n">
        <f aca="true">RAND()</f>
        <v>0.0283215417835447</v>
      </c>
      <c r="R1673" s="0" t="n">
        <f aca="false">IF($I1673&lt;&gt;$O1673,0,IF(P1673&lt;Matchup!$B$39,7,IF(P1673&lt;Matchup!$B$39+Matchup!$B$40,3,0)))</f>
        <v>0</v>
      </c>
      <c r="S1673" s="0" t="n">
        <f aca="false">IF($I1673&lt;&gt;$O1673,0,IF(Q1673&lt;Matchup!$C$39,7,IF(Q1673&lt;Matchup!$C$39+Matchup!$C$40,3,0)))</f>
        <v>0</v>
      </c>
      <c r="T1673" s="0" t="n">
        <f aca="false">I1673+R1673</f>
        <v>35</v>
      </c>
      <c r="U1673" s="0" t="n">
        <f aca="false">O1673+S1673</f>
        <v>12</v>
      </c>
      <c r="V1673" s="0" t="n">
        <f aca="false">T1673-U1673</f>
        <v>23</v>
      </c>
      <c r="W1673" s="0" t="n">
        <f aca="false">T1673+U1673</f>
        <v>47</v>
      </c>
    </row>
    <row r="1674" customFormat="false" ht="15" hidden="false" customHeight="false" outlineLevel="0" collapsed="false">
      <c r="A1674" s="0" t="n">
        <v>1671</v>
      </c>
      <c r="B1674" s="0" t="n">
        <f aca="true">NORMINV(RAND(),1,Coefficients!$B$22)</f>
        <v>0.928120354454461</v>
      </c>
      <c r="C1674" s="0" t="n">
        <f aca="true">MEDIAN(8,16,ROUND(NORMINV(RAND(),Coefficients!$B$20,Coefficients!$B$21),0))</f>
        <v>11</v>
      </c>
      <c r="D1674" s="0" t="n">
        <f aca="true">CRITBINOM($C1674,MIN(0.75,Matchup!$B$39*$B1674),RAND())</f>
        <v>1</v>
      </c>
      <c r="E1674" s="0" t="n">
        <f aca="true">CRITBINOM(D1674,Coefficients!$B$30,RAND())</f>
        <v>0</v>
      </c>
      <c r="F1674" s="0" t="n">
        <f aca="true">CRITBINOM(E1674,Coefficients!$B$31,RAND())</f>
        <v>0</v>
      </c>
      <c r="G1674" s="0" t="n">
        <f aca="true">CRITBINOM(MAX(0,D1674-E1674),1-Coefficients!$B$32,RAND())</f>
        <v>0</v>
      </c>
      <c r="H1674" s="0" t="n">
        <f aca="true">CRITBINOM(MAX(0,$C1674-D1674),MIN(0.6,Matchup!$B$40*SQRT($B1674)/(1-MIN(0.75,Matchup!$B$39*$B1674))),RAND())</f>
        <v>1</v>
      </c>
      <c r="I1674" s="0" t="n">
        <f aca="false">6*D1674+(D1674-E1674-G1674)+2*F1674+3*H1674</f>
        <v>10</v>
      </c>
      <c r="J1674" s="0" t="n">
        <f aca="true">CRITBINOM($C1674,MIN(0.75,Matchup!$C$39*$B1674),RAND())</f>
        <v>2</v>
      </c>
      <c r="K1674" s="0" t="n">
        <f aca="true">CRITBINOM(J1674,Coefficients!$B$30,RAND())</f>
        <v>0</v>
      </c>
      <c r="L1674" s="0" t="n">
        <f aca="true">CRITBINOM(K1674,Coefficients!$B$31,RAND())</f>
        <v>0</v>
      </c>
      <c r="M1674" s="0" t="n">
        <f aca="true">CRITBINOM(MAX(0,J1674-K1674),1-Coefficients!$B$32,RAND())</f>
        <v>0</v>
      </c>
      <c r="N1674" s="0" t="n">
        <f aca="true">CRITBINOM(MAX(0,$C1674-J1674),MIN(0.6,Matchup!$C$40*SQRT($B1674)/(1-MIN(0.75,Matchup!$C$39*$B1674))),RAND())</f>
        <v>1</v>
      </c>
      <c r="O1674" s="0" t="n">
        <f aca="false">6*J1674+(J1674-K1674-M1674)+2*L1674+3*N1674</f>
        <v>17</v>
      </c>
      <c r="P1674" s="0" t="n">
        <f aca="true">RAND()</f>
        <v>0.343273881806109</v>
      </c>
      <c r="Q1674" s="0" t="n">
        <f aca="true">RAND()</f>
        <v>0.985269668527518</v>
      </c>
      <c r="R1674" s="0" t="n">
        <f aca="false">IF($I1674&lt;&gt;$O1674,0,IF(P1674&lt;Matchup!$B$39,7,IF(P1674&lt;Matchup!$B$39+Matchup!$B$40,3,0)))</f>
        <v>0</v>
      </c>
      <c r="S1674" s="0" t="n">
        <f aca="false">IF($I1674&lt;&gt;$O1674,0,IF(Q1674&lt;Matchup!$C$39,7,IF(Q1674&lt;Matchup!$C$39+Matchup!$C$40,3,0)))</f>
        <v>0</v>
      </c>
      <c r="T1674" s="0" t="n">
        <f aca="false">I1674+R1674</f>
        <v>10</v>
      </c>
      <c r="U1674" s="0" t="n">
        <f aca="false">O1674+S1674</f>
        <v>17</v>
      </c>
      <c r="V1674" s="0" t="n">
        <f aca="false">T1674-U1674</f>
        <v>-7</v>
      </c>
      <c r="W1674" s="0" t="n">
        <f aca="false">T1674+U1674</f>
        <v>27</v>
      </c>
    </row>
    <row r="1675" customFormat="false" ht="15" hidden="false" customHeight="false" outlineLevel="0" collapsed="false">
      <c r="A1675" s="0" t="n">
        <v>1672</v>
      </c>
      <c r="B1675" s="0" t="n">
        <f aca="true">NORMINV(RAND(),1,Coefficients!$B$22)</f>
        <v>0.947000948985579</v>
      </c>
      <c r="C1675" s="0" t="n">
        <f aca="true">MEDIAN(8,16,ROUND(NORMINV(RAND(),Coefficients!$B$20,Coefficients!$B$21),0))</f>
        <v>11</v>
      </c>
      <c r="D1675" s="0" t="n">
        <f aca="true">CRITBINOM($C1675,MIN(0.75,Matchup!$B$39*$B1675),RAND())</f>
        <v>1</v>
      </c>
      <c r="E1675" s="0" t="n">
        <f aca="true">CRITBINOM(D1675,Coefficients!$B$30,RAND())</f>
        <v>0</v>
      </c>
      <c r="F1675" s="0" t="n">
        <f aca="true">CRITBINOM(E1675,Coefficients!$B$31,RAND())</f>
        <v>0</v>
      </c>
      <c r="G1675" s="0" t="n">
        <f aca="true">CRITBINOM(MAX(0,D1675-E1675),1-Coefficients!$B$32,RAND())</f>
        <v>0</v>
      </c>
      <c r="H1675" s="0" t="n">
        <f aca="true">CRITBINOM(MAX(0,$C1675-D1675),MIN(0.6,Matchup!$B$40*SQRT($B1675)/(1-MIN(0.75,Matchup!$B$39*$B1675))),RAND())</f>
        <v>0</v>
      </c>
      <c r="I1675" s="0" t="n">
        <f aca="false">6*D1675+(D1675-E1675-G1675)+2*F1675+3*H1675</f>
        <v>7</v>
      </c>
      <c r="J1675" s="0" t="n">
        <f aca="true">CRITBINOM($C1675,MIN(0.75,Matchup!$C$39*$B1675),RAND())</f>
        <v>1</v>
      </c>
      <c r="K1675" s="0" t="n">
        <f aca="true">CRITBINOM(J1675,Coefficients!$B$30,RAND())</f>
        <v>0</v>
      </c>
      <c r="L1675" s="0" t="n">
        <f aca="true">CRITBINOM(K1675,Coefficients!$B$31,RAND())</f>
        <v>0</v>
      </c>
      <c r="M1675" s="0" t="n">
        <f aca="true">CRITBINOM(MAX(0,J1675-K1675),1-Coefficients!$B$32,RAND())</f>
        <v>0</v>
      </c>
      <c r="N1675" s="0" t="n">
        <f aca="true">CRITBINOM(MAX(0,$C1675-J1675),MIN(0.6,Matchup!$C$40*SQRT($B1675)/(1-MIN(0.75,Matchup!$C$39*$B1675))),RAND())</f>
        <v>3</v>
      </c>
      <c r="O1675" s="0" t="n">
        <f aca="false">6*J1675+(J1675-K1675-M1675)+2*L1675+3*N1675</f>
        <v>16</v>
      </c>
      <c r="P1675" s="0" t="n">
        <f aca="true">RAND()</f>
        <v>0.518550478410577</v>
      </c>
      <c r="Q1675" s="0" t="n">
        <f aca="true">RAND()</f>
        <v>0.633397065507678</v>
      </c>
      <c r="R1675" s="0" t="n">
        <f aca="false">IF($I1675&lt;&gt;$O1675,0,IF(P1675&lt;Matchup!$B$39,7,IF(P1675&lt;Matchup!$B$39+Matchup!$B$40,3,0)))</f>
        <v>0</v>
      </c>
      <c r="S1675" s="0" t="n">
        <f aca="false">IF($I1675&lt;&gt;$O1675,0,IF(Q1675&lt;Matchup!$C$39,7,IF(Q1675&lt;Matchup!$C$39+Matchup!$C$40,3,0)))</f>
        <v>0</v>
      </c>
      <c r="T1675" s="0" t="n">
        <f aca="false">I1675+R1675</f>
        <v>7</v>
      </c>
      <c r="U1675" s="0" t="n">
        <f aca="false">O1675+S1675</f>
        <v>16</v>
      </c>
      <c r="V1675" s="0" t="n">
        <f aca="false">T1675-U1675</f>
        <v>-9</v>
      </c>
      <c r="W1675" s="0" t="n">
        <f aca="false">T1675+U1675</f>
        <v>23</v>
      </c>
    </row>
    <row r="1676" customFormat="false" ht="15" hidden="false" customHeight="false" outlineLevel="0" collapsed="false">
      <c r="A1676" s="0" t="n">
        <v>1673</v>
      </c>
      <c r="B1676" s="0" t="n">
        <f aca="true">NORMINV(RAND(),1,Coefficients!$B$22)</f>
        <v>1.07428503010383</v>
      </c>
      <c r="C1676" s="0" t="n">
        <f aca="true">MEDIAN(8,16,ROUND(NORMINV(RAND(),Coefficients!$B$20,Coefficients!$B$21),0))</f>
        <v>14</v>
      </c>
      <c r="D1676" s="0" t="n">
        <f aca="true">CRITBINOM($C1676,MIN(0.75,Matchup!$B$39*$B1676),RAND())</f>
        <v>1</v>
      </c>
      <c r="E1676" s="0" t="n">
        <f aca="true">CRITBINOM(D1676,Coefficients!$B$30,RAND())</f>
        <v>0</v>
      </c>
      <c r="F1676" s="0" t="n">
        <f aca="true">CRITBINOM(E1676,Coefficients!$B$31,RAND())</f>
        <v>0</v>
      </c>
      <c r="G1676" s="0" t="n">
        <f aca="true">CRITBINOM(MAX(0,D1676-E1676),1-Coefficients!$B$32,RAND())</f>
        <v>0</v>
      </c>
      <c r="H1676" s="0" t="n">
        <f aca="true">CRITBINOM(MAX(0,$C1676-D1676),MIN(0.6,Matchup!$B$40*SQRT($B1676)/(1-MIN(0.75,Matchup!$B$39*$B1676))),RAND())</f>
        <v>0</v>
      </c>
      <c r="I1676" s="0" t="n">
        <f aca="false">6*D1676+(D1676-E1676-G1676)+2*F1676+3*H1676</f>
        <v>7</v>
      </c>
      <c r="J1676" s="0" t="n">
        <f aca="true">CRITBINOM($C1676,MIN(0.75,Matchup!$C$39*$B1676),RAND())</f>
        <v>2</v>
      </c>
      <c r="K1676" s="0" t="n">
        <f aca="true">CRITBINOM(J1676,Coefficients!$B$30,RAND())</f>
        <v>0</v>
      </c>
      <c r="L1676" s="0" t="n">
        <f aca="true">CRITBINOM(K1676,Coefficients!$B$31,RAND())</f>
        <v>0</v>
      </c>
      <c r="M1676" s="0" t="n">
        <f aca="true">CRITBINOM(MAX(0,J1676-K1676),1-Coefficients!$B$32,RAND())</f>
        <v>0</v>
      </c>
      <c r="N1676" s="0" t="n">
        <f aca="true">CRITBINOM(MAX(0,$C1676-J1676),MIN(0.6,Matchup!$C$40*SQRT($B1676)/(1-MIN(0.75,Matchup!$C$39*$B1676))),RAND())</f>
        <v>2</v>
      </c>
      <c r="O1676" s="0" t="n">
        <f aca="false">6*J1676+(J1676-K1676-M1676)+2*L1676+3*N1676</f>
        <v>20</v>
      </c>
      <c r="P1676" s="0" t="n">
        <f aca="true">RAND()</f>
        <v>0.743425520815923</v>
      </c>
      <c r="Q1676" s="0" t="n">
        <f aca="true">RAND()</f>
        <v>0.861339677003401</v>
      </c>
      <c r="R1676" s="0" t="n">
        <f aca="false">IF($I1676&lt;&gt;$O1676,0,IF(P1676&lt;Matchup!$B$39,7,IF(P1676&lt;Matchup!$B$39+Matchup!$B$40,3,0)))</f>
        <v>0</v>
      </c>
      <c r="S1676" s="0" t="n">
        <f aca="false">IF($I1676&lt;&gt;$O1676,0,IF(Q1676&lt;Matchup!$C$39,7,IF(Q1676&lt;Matchup!$C$39+Matchup!$C$40,3,0)))</f>
        <v>0</v>
      </c>
      <c r="T1676" s="0" t="n">
        <f aca="false">I1676+R1676</f>
        <v>7</v>
      </c>
      <c r="U1676" s="0" t="n">
        <f aca="false">O1676+S1676</f>
        <v>20</v>
      </c>
      <c r="V1676" s="0" t="n">
        <f aca="false">T1676-U1676</f>
        <v>-13</v>
      </c>
      <c r="W1676" s="0" t="n">
        <f aca="false">T1676+U1676</f>
        <v>27</v>
      </c>
    </row>
    <row r="1677" customFormat="false" ht="15" hidden="false" customHeight="false" outlineLevel="0" collapsed="false">
      <c r="A1677" s="0" t="n">
        <v>1674</v>
      </c>
      <c r="B1677" s="0" t="n">
        <f aca="true">NORMINV(RAND(),1,Coefficients!$B$22)</f>
        <v>1.01568831054791</v>
      </c>
      <c r="C1677" s="0" t="n">
        <f aca="true">MEDIAN(8,16,ROUND(NORMINV(RAND(),Coefficients!$B$20,Coefficients!$B$21),0))</f>
        <v>10</v>
      </c>
      <c r="D1677" s="0" t="n">
        <f aca="true">CRITBINOM($C1677,MIN(0.75,Matchup!$B$39*$B1677),RAND())</f>
        <v>0</v>
      </c>
      <c r="E1677" s="0" t="n">
        <f aca="true">CRITBINOM(D1677,Coefficients!$B$30,RAND())</f>
        <v>0</v>
      </c>
      <c r="F1677" s="0" t="n">
        <f aca="true">CRITBINOM(E1677,Coefficients!$B$31,RAND())</f>
        <v>0</v>
      </c>
      <c r="G1677" s="0" t="n">
        <f aca="true">CRITBINOM(MAX(0,D1677-E1677),1-Coefficients!$B$32,RAND())</f>
        <v>0</v>
      </c>
      <c r="H1677" s="0" t="n">
        <f aca="true">CRITBINOM(MAX(0,$C1677-D1677),MIN(0.6,Matchup!$B$40*SQRT($B1677)/(1-MIN(0.75,Matchup!$B$39*$B1677))),RAND())</f>
        <v>1</v>
      </c>
      <c r="I1677" s="0" t="n">
        <f aca="false">6*D1677+(D1677-E1677-G1677)+2*F1677+3*H1677</f>
        <v>3</v>
      </c>
      <c r="J1677" s="0" t="n">
        <f aca="true">CRITBINOM($C1677,MIN(0.75,Matchup!$C$39*$B1677),RAND())</f>
        <v>1</v>
      </c>
      <c r="K1677" s="0" t="n">
        <f aca="true">CRITBINOM(J1677,Coefficients!$B$30,RAND())</f>
        <v>0</v>
      </c>
      <c r="L1677" s="0" t="n">
        <f aca="true">CRITBINOM(K1677,Coefficients!$B$31,RAND())</f>
        <v>0</v>
      </c>
      <c r="M1677" s="0" t="n">
        <f aca="true">CRITBINOM(MAX(0,J1677-K1677),1-Coefficients!$B$32,RAND())</f>
        <v>0</v>
      </c>
      <c r="N1677" s="0" t="n">
        <f aca="true">CRITBINOM(MAX(0,$C1677-J1677),MIN(0.6,Matchup!$C$40*SQRT($B1677)/(1-MIN(0.75,Matchup!$C$39*$B1677))),RAND())</f>
        <v>0</v>
      </c>
      <c r="O1677" s="0" t="n">
        <f aca="false">6*J1677+(J1677-K1677-M1677)+2*L1677+3*N1677</f>
        <v>7</v>
      </c>
      <c r="P1677" s="0" t="n">
        <f aca="true">RAND()</f>
        <v>0.825279051275456</v>
      </c>
      <c r="Q1677" s="0" t="n">
        <f aca="true">RAND()</f>
        <v>0.500466294406667</v>
      </c>
      <c r="R1677" s="0" t="n">
        <f aca="false">IF($I1677&lt;&gt;$O1677,0,IF(P1677&lt;Matchup!$B$39,7,IF(P1677&lt;Matchup!$B$39+Matchup!$B$40,3,0)))</f>
        <v>0</v>
      </c>
      <c r="S1677" s="0" t="n">
        <f aca="false">IF($I1677&lt;&gt;$O1677,0,IF(Q1677&lt;Matchup!$C$39,7,IF(Q1677&lt;Matchup!$C$39+Matchup!$C$40,3,0)))</f>
        <v>0</v>
      </c>
      <c r="T1677" s="0" t="n">
        <f aca="false">I1677+R1677</f>
        <v>3</v>
      </c>
      <c r="U1677" s="0" t="n">
        <f aca="false">O1677+S1677</f>
        <v>7</v>
      </c>
      <c r="V1677" s="0" t="n">
        <f aca="false">T1677-U1677</f>
        <v>-4</v>
      </c>
      <c r="W1677" s="0" t="n">
        <f aca="false">T1677+U1677</f>
        <v>10</v>
      </c>
    </row>
    <row r="1678" customFormat="false" ht="15" hidden="false" customHeight="false" outlineLevel="0" collapsed="false">
      <c r="A1678" s="0" t="n">
        <v>1675</v>
      </c>
      <c r="B1678" s="0" t="n">
        <f aca="true">NORMINV(RAND(),1,Coefficients!$B$22)</f>
        <v>1.00366215491878</v>
      </c>
      <c r="C1678" s="0" t="n">
        <f aca="true">MEDIAN(8,16,ROUND(NORMINV(RAND(),Coefficients!$B$20,Coefficients!$B$21),0))</f>
        <v>13</v>
      </c>
      <c r="D1678" s="0" t="n">
        <f aca="true">CRITBINOM($C1678,MIN(0.75,Matchup!$B$39*$B1678),RAND())</f>
        <v>4</v>
      </c>
      <c r="E1678" s="0" t="n">
        <f aca="true">CRITBINOM(D1678,Coefficients!$B$30,RAND())</f>
        <v>1</v>
      </c>
      <c r="F1678" s="0" t="n">
        <f aca="true">CRITBINOM(E1678,Coefficients!$B$31,RAND())</f>
        <v>0</v>
      </c>
      <c r="G1678" s="0" t="n">
        <f aca="true">CRITBINOM(MAX(0,D1678-E1678),1-Coefficients!$B$32,RAND())</f>
        <v>0</v>
      </c>
      <c r="H1678" s="0" t="n">
        <f aca="true">CRITBINOM(MAX(0,$C1678-D1678),MIN(0.6,Matchup!$B$40*SQRT($B1678)/(1-MIN(0.75,Matchup!$B$39*$B1678))),RAND())</f>
        <v>0</v>
      </c>
      <c r="I1678" s="0" t="n">
        <f aca="false">6*D1678+(D1678-E1678-G1678)+2*F1678+3*H1678</f>
        <v>27</v>
      </c>
      <c r="J1678" s="0" t="n">
        <f aca="true">CRITBINOM($C1678,MIN(0.75,Matchup!$C$39*$B1678),RAND())</f>
        <v>3</v>
      </c>
      <c r="K1678" s="0" t="n">
        <f aca="true">CRITBINOM(J1678,Coefficients!$B$30,RAND())</f>
        <v>0</v>
      </c>
      <c r="L1678" s="0" t="n">
        <f aca="true">CRITBINOM(K1678,Coefficients!$B$31,RAND())</f>
        <v>0</v>
      </c>
      <c r="M1678" s="0" t="n">
        <f aca="true">CRITBINOM(MAX(0,J1678-K1678),1-Coefficients!$B$32,RAND())</f>
        <v>0</v>
      </c>
      <c r="N1678" s="0" t="n">
        <f aca="true">CRITBINOM(MAX(0,$C1678-J1678),MIN(0.6,Matchup!$C$40*SQRT($B1678)/(1-MIN(0.75,Matchup!$C$39*$B1678))),RAND())</f>
        <v>3</v>
      </c>
      <c r="O1678" s="0" t="n">
        <f aca="false">6*J1678+(J1678-K1678-M1678)+2*L1678+3*N1678</f>
        <v>30</v>
      </c>
      <c r="P1678" s="0" t="n">
        <f aca="true">RAND()</f>
        <v>0.15337049709381</v>
      </c>
      <c r="Q1678" s="0" t="n">
        <f aca="true">RAND()</f>
        <v>0.225433259029807</v>
      </c>
      <c r="R1678" s="0" t="n">
        <f aca="false">IF($I1678&lt;&gt;$O1678,0,IF(P1678&lt;Matchup!$B$39,7,IF(P1678&lt;Matchup!$B$39+Matchup!$B$40,3,0)))</f>
        <v>0</v>
      </c>
      <c r="S1678" s="0" t="n">
        <f aca="false">IF($I1678&lt;&gt;$O1678,0,IF(Q1678&lt;Matchup!$C$39,7,IF(Q1678&lt;Matchup!$C$39+Matchup!$C$40,3,0)))</f>
        <v>0</v>
      </c>
      <c r="T1678" s="0" t="n">
        <f aca="false">I1678+R1678</f>
        <v>27</v>
      </c>
      <c r="U1678" s="0" t="n">
        <f aca="false">O1678+S1678</f>
        <v>30</v>
      </c>
      <c r="V1678" s="0" t="n">
        <f aca="false">T1678-U1678</f>
        <v>-3</v>
      </c>
      <c r="W1678" s="0" t="n">
        <f aca="false">T1678+U1678</f>
        <v>57</v>
      </c>
    </row>
    <row r="1679" customFormat="false" ht="15" hidden="false" customHeight="false" outlineLevel="0" collapsed="false">
      <c r="A1679" s="0" t="n">
        <v>1676</v>
      </c>
      <c r="B1679" s="0" t="n">
        <f aca="true">NORMINV(RAND(),1,Coefficients!$B$22)</f>
        <v>0.891177016982572</v>
      </c>
      <c r="C1679" s="0" t="n">
        <f aca="true">MEDIAN(8,16,ROUND(NORMINV(RAND(),Coefficients!$B$20,Coefficients!$B$21),0))</f>
        <v>11</v>
      </c>
      <c r="D1679" s="0" t="n">
        <f aca="true">CRITBINOM($C1679,MIN(0.75,Matchup!$B$39*$B1679),RAND())</f>
        <v>1</v>
      </c>
      <c r="E1679" s="0" t="n">
        <f aca="true">CRITBINOM(D1679,Coefficients!$B$30,RAND())</f>
        <v>0</v>
      </c>
      <c r="F1679" s="0" t="n">
        <f aca="true">CRITBINOM(E1679,Coefficients!$B$31,RAND())</f>
        <v>0</v>
      </c>
      <c r="G1679" s="0" t="n">
        <f aca="true">CRITBINOM(MAX(0,D1679-E1679),1-Coefficients!$B$32,RAND())</f>
        <v>0</v>
      </c>
      <c r="H1679" s="0" t="n">
        <f aca="true">CRITBINOM(MAX(0,$C1679-D1679),MIN(0.6,Matchup!$B$40*SQRT($B1679)/(1-MIN(0.75,Matchup!$B$39*$B1679))),RAND())</f>
        <v>0</v>
      </c>
      <c r="I1679" s="0" t="n">
        <f aca="false">6*D1679+(D1679-E1679-G1679)+2*F1679+3*H1679</f>
        <v>7</v>
      </c>
      <c r="J1679" s="0" t="n">
        <f aca="true">CRITBINOM($C1679,MIN(0.75,Matchup!$C$39*$B1679),RAND())</f>
        <v>2</v>
      </c>
      <c r="K1679" s="0" t="n">
        <f aca="true">CRITBINOM(J1679,Coefficients!$B$30,RAND())</f>
        <v>0</v>
      </c>
      <c r="L1679" s="0" t="n">
        <f aca="true">CRITBINOM(K1679,Coefficients!$B$31,RAND())</f>
        <v>0</v>
      </c>
      <c r="M1679" s="0" t="n">
        <f aca="true">CRITBINOM(MAX(0,J1679-K1679),1-Coefficients!$B$32,RAND())</f>
        <v>0</v>
      </c>
      <c r="N1679" s="0" t="n">
        <f aca="true">CRITBINOM(MAX(0,$C1679-J1679),MIN(0.6,Matchup!$C$40*SQRT($B1679)/(1-MIN(0.75,Matchup!$C$39*$B1679))),RAND())</f>
        <v>4</v>
      </c>
      <c r="O1679" s="0" t="n">
        <f aca="false">6*J1679+(J1679-K1679-M1679)+2*L1679+3*N1679</f>
        <v>26</v>
      </c>
      <c r="P1679" s="0" t="n">
        <f aca="true">RAND()</f>
        <v>0.980797469540166</v>
      </c>
      <c r="Q1679" s="0" t="n">
        <f aca="true">RAND()</f>
        <v>0.668859072834741</v>
      </c>
      <c r="R1679" s="0" t="n">
        <f aca="false">IF($I1679&lt;&gt;$O1679,0,IF(P1679&lt;Matchup!$B$39,7,IF(P1679&lt;Matchup!$B$39+Matchup!$B$40,3,0)))</f>
        <v>0</v>
      </c>
      <c r="S1679" s="0" t="n">
        <f aca="false">IF($I1679&lt;&gt;$O1679,0,IF(Q1679&lt;Matchup!$C$39,7,IF(Q1679&lt;Matchup!$C$39+Matchup!$C$40,3,0)))</f>
        <v>0</v>
      </c>
      <c r="T1679" s="0" t="n">
        <f aca="false">I1679+R1679</f>
        <v>7</v>
      </c>
      <c r="U1679" s="0" t="n">
        <f aca="false">O1679+S1679</f>
        <v>26</v>
      </c>
      <c r="V1679" s="0" t="n">
        <f aca="false">T1679-U1679</f>
        <v>-19</v>
      </c>
      <c r="W1679" s="0" t="n">
        <f aca="false">T1679+U1679</f>
        <v>33</v>
      </c>
    </row>
    <row r="1680" customFormat="false" ht="15" hidden="false" customHeight="false" outlineLevel="0" collapsed="false">
      <c r="A1680" s="0" t="n">
        <v>1677</v>
      </c>
      <c r="B1680" s="0" t="n">
        <f aca="true">NORMINV(RAND(),1,Coefficients!$B$22)</f>
        <v>1.03368546669979</v>
      </c>
      <c r="C1680" s="0" t="n">
        <f aca="true">MEDIAN(8,16,ROUND(NORMINV(RAND(),Coefficients!$B$20,Coefficients!$B$21),0))</f>
        <v>12</v>
      </c>
      <c r="D1680" s="0" t="n">
        <f aca="true">CRITBINOM($C1680,MIN(0.75,Matchup!$B$39*$B1680),RAND())</f>
        <v>3</v>
      </c>
      <c r="E1680" s="0" t="n">
        <f aca="true">CRITBINOM(D1680,Coefficients!$B$30,RAND())</f>
        <v>0</v>
      </c>
      <c r="F1680" s="0" t="n">
        <f aca="true">CRITBINOM(E1680,Coefficients!$B$31,RAND())</f>
        <v>0</v>
      </c>
      <c r="G1680" s="0" t="n">
        <f aca="true">CRITBINOM(MAX(0,D1680-E1680),1-Coefficients!$B$32,RAND())</f>
        <v>0</v>
      </c>
      <c r="H1680" s="0" t="n">
        <f aca="true">CRITBINOM(MAX(0,$C1680-D1680),MIN(0.6,Matchup!$B$40*SQRT($B1680)/(1-MIN(0.75,Matchup!$B$39*$B1680))),RAND())</f>
        <v>1</v>
      </c>
      <c r="I1680" s="0" t="n">
        <f aca="false">6*D1680+(D1680-E1680-G1680)+2*F1680+3*H1680</f>
        <v>24</v>
      </c>
      <c r="J1680" s="0" t="n">
        <f aca="true">CRITBINOM($C1680,MIN(0.75,Matchup!$C$39*$B1680),RAND())</f>
        <v>5</v>
      </c>
      <c r="K1680" s="0" t="n">
        <f aca="true">CRITBINOM(J1680,Coefficients!$B$30,RAND())</f>
        <v>0</v>
      </c>
      <c r="L1680" s="0" t="n">
        <f aca="true">CRITBINOM(K1680,Coefficients!$B$31,RAND())</f>
        <v>0</v>
      </c>
      <c r="M1680" s="0" t="n">
        <f aca="true">CRITBINOM(MAX(0,J1680-K1680),1-Coefficients!$B$32,RAND())</f>
        <v>0</v>
      </c>
      <c r="N1680" s="0" t="n">
        <f aca="true">CRITBINOM(MAX(0,$C1680-J1680),MIN(0.6,Matchup!$C$40*SQRT($B1680)/(1-MIN(0.75,Matchup!$C$39*$B1680))),RAND())</f>
        <v>2</v>
      </c>
      <c r="O1680" s="0" t="n">
        <f aca="false">6*J1680+(J1680-K1680-M1680)+2*L1680+3*N1680</f>
        <v>41</v>
      </c>
      <c r="P1680" s="0" t="n">
        <f aca="true">RAND()</f>
        <v>0.540688506680629</v>
      </c>
      <c r="Q1680" s="0" t="n">
        <f aca="true">RAND()</f>
        <v>0.234324910612411</v>
      </c>
      <c r="R1680" s="0" t="n">
        <f aca="false">IF($I1680&lt;&gt;$O1680,0,IF(P1680&lt;Matchup!$B$39,7,IF(P1680&lt;Matchup!$B$39+Matchup!$B$40,3,0)))</f>
        <v>0</v>
      </c>
      <c r="S1680" s="0" t="n">
        <f aca="false">IF($I1680&lt;&gt;$O1680,0,IF(Q1680&lt;Matchup!$C$39,7,IF(Q1680&lt;Matchup!$C$39+Matchup!$C$40,3,0)))</f>
        <v>0</v>
      </c>
      <c r="T1680" s="0" t="n">
        <f aca="false">I1680+R1680</f>
        <v>24</v>
      </c>
      <c r="U1680" s="0" t="n">
        <f aca="false">O1680+S1680</f>
        <v>41</v>
      </c>
      <c r="V1680" s="0" t="n">
        <f aca="false">T1680-U1680</f>
        <v>-17</v>
      </c>
      <c r="W1680" s="0" t="n">
        <f aca="false">T1680+U1680</f>
        <v>65</v>
      </c>
    </row>
    <row r="1681" customFormat="false" ht="15" hidden="false" customHeight="false" outlineLevel="0" collapsed="false">
      <c r="A1681" s="0" t="n">
        <v>1678</v>
      </c>
      <c r="B1681" s="0" t="n">
        <f aca="true">NORMINV(RAND(),1,Coefficients!$B$22)</f>
        <v>1.00135045077911</v>
      </c>
      <c r="C1681" s="0" t="n">
        <f aca="true">MEDIAN(8,16,ROUND(NORMINV(RAND(),Coefficients!$B$20,Coefficients!$B$21),0))</f>
        <v>12</v>
      </c>
      <c r="D1681" s="0" t="n">
        <f aca="true">CRITBINOM($C1681,MIN(0.75,Matchup!$B$39*$B1681),RAND())</f>
        <v>3</v>
      </c>
      <c r="E1681" s="0" t="n">
        <f aca="true">CRITBINOM(D1681,Coefficients!$B$30,RAND())</f>
        <v>0</v>
      </c>
      <c r="F1681" s="0" t="n">
        <f aca="true">CRITBINOM(E1681,Coefficients!$B$31,RAND())</f>
        <v>0</v>
      </c>
      <c r="G1681" s="0" t="n">
        <f aca="true">CRITBINOM(MAX(0,D1681-E1681),1-Coefficients!$B$32,RAND())</f>
        <v>0</v>
      </c>
      <c r="H1681" s="0" t="n">
        <f aca="true">CRITBINOM(MAX(0,$C1681-D1681),MIN(0.6,Matchup!$B$40*SQRT($B1681)/(1-MIN(0.75,Matchup!$B$39*$B1681))),RAND())</f>
        <v>4</v>
      </c>
      <c r="I1681" s="0" t="n">
        <f aca="false">6*D1681+(D1681-E1681-G1681)+2*F1681+3*H1681</f>
        <v>33</v>
      </c>
      <c r="J1681" s="0" t="n">
        <f aca="true">CRITBINOM($C1681,MIN(0.75,Matchup!$C$39*$B1681),RAND())</f>
        <v>2</v>
      </c>
      <c r="K1681" s="0" t="n">
        <f aca="true">CRITBINOM(J1681,Coefficients!$B$30,RAND())</f>
        <v>0</v>
      </c>
      <c r="L1681" s="0" t="n">
        <f aca="true">CRITBINOM(K1681,Coefficients!$B$31,RAND())</f>
        <v>0</v>
      </c>
      <c r="M1681" s="0" t="n">
        <f aca="true">CRITBINOM(MAX(0,J1681-K1681),1-Coefficients!$B$32,RAND())</f>
        <v>0</v>
      </c>
      <c r="N1681" s="0" t="n">
        <f aca="true">CRITBINOM(MAX(0,$C1681-J1681),MIN(0.6,Matchup!$C$40*SQRT($B1681)/(1-MIN(0.75,Matchup!$C$39*$B1681))),RAND())</f>
        <v>2</v>
      </c>
      <c r="O1681" s="0" t="n">
        <f aca="false">6*J1681+(J1681-K1681-M1681)+2*L1681+3*N1681</f>
        <v>20</v>
      </c>
      <c r="P1681" s="0" t="n">
        <f aca="true">RAND()</f>
        <v>0.452649665415984</v>
      </c>
      <c r="Q1681" s="0" t="n">
        <f aca="true">RAND()</f>
        <v>0.589680162124816</v>
      </c>
      <c r="R1681" s="0" t="n">
        <f aca="false">IF($I1681&lt;&gt;$O1681,0,IF(P1681&lt;Matchup!$B$39,7,IF(P1681&lt;Matchup!$B$39+Matchup!$B$40,3,0)))</f>
        <v>0</v>
      </c>
      <c r="S1681" s="0" t="n">
        <f aca="false">IF($I1681&lt;&gt;$O1681,0,IF(Q1681&lt;Matchup!$C$39,7,IF(Q1681&lt;Matchup!$C$39+Matchup!$C$40,3,0)))</f>
        <v>0</v>
      </c>
      <c r="T1681" s="0" t="n">
        <f aca="false">I1681+R1681</f>
        <v>33</v>
      </c>
      <c r="U1681" s="0" t="n">
        <f aca="false">O1681+S1681</f>
        <v>20</v>
      </c>
      <c r="V1681" s="0" t="n">
        <f aca="false">T1681-U1681</f>
        <v>13</v>
      </c>
      <c r="W1681" s="0" t="n">
        <f aca="false">T1681+U1681</f>
        <v>53</v>
      </c>
    </row>
    <row r="1682" customFormat="false" ht="15" hidden="false" customHeight="false" outlineLevel="0" collapsed="false">
      <c r="A1682" s="0" t="n">
        <v>1679</v>
      </c>
      <c r="B1682" s="0" t="n">
        <f aca="true">NORMINV(RAND(),1,Coefficients!$B$22)</f>
        <v>1.04742515276895</v>
      </c>
      <c r="C1682" s="0" t="n">
        <f aca="true">MEDIAN(8,16,ROUND(NORMINV(RAND(),Coefficients!$B$20,Coefficients!$B$21),0))</f>
        <v>12</v>
      </c>
      <c r="D1682" s="0" t="n">
        <f aca="true">CRITBINOM($C1682,MIN(0.75,Matchup!$B$39*$B1682),RAND())</f>
        <v>3</v>
      </c>
      <c r="E1682" s="0" t="n">
        <f aca="true">CRITBINOM(D1682,Coefficients!$B$30,RAND())</f>
        <v>2</v>
      </c>
      <c r="F1682" s="0" t="n">
        <f aca="true">CRITBINOM(E1682,Coefficients!$B$31,RAND())</f>
        <v>2</v>
      </c>
      <c r="G1682" s="0" t="n">
        <f aca="true">CRITBINOM(MAX(0,D1682-E1682),1-Coefficients!$B$32,RAND())</f>
        <v>0</v>
      </c>
      <c r="H1682" s="0" t="n">
        <f aca="true">CRITBINOM(MAX(0,$C1682-D1682),MIN(0.6,Matchup!$B$40*SQRT($B1682)/(1-MIN(0.75,Matchup!$B$39*$B1682))),RAND())</f>
        <v>2</v>
      </c>
      <c r="I1682" s="0" t="n">
        <f aca="false">6*D1682+(D1682-E1682-G1682)+2*F1682+3*H1682</f>
        <v>29</v>
      </c>
      <c r="J1682" s="0" t="n">
        <f aca="true">CRITBINOM($C1682,MIN(0.75,Matchup!$C$39*$B1682),RAND())</f>
        <v>4</v>
      </c>
      <c r="K1682" s="0" t="n">
        <f aca="true">CRITBINOM(J1682,Coefficients!$B$30,RAND())</f>
        <v>0</v>
      </c>
      <c r="L1682" s="0" t="n">
        <f aca="true">CRITBINOM(K1682,Coefficients!$B$31,RAND())</f>
        <v>0</v>
      </c>
      <c r="M1682" s="0" t="n">
        <f aca="true">CRITBINOM(MAX(0,J1682-K1682),1-Coefficients!$B$32,RAND())</f>
        <v>1</v>
      </c>
      <c r="N1682" s="0" t="n">
        <f aca="true">CRITBINOM(MAX(0,$C1682-J1682),MIN(0.6,Matchup!$C$40*SQRT($B1682)/(1-MIN(0.75,Matchup!$C$39*$B1682))),RAND())</f>
        <v>3</v>
      </c>
      <c r="O1682" s="0" t="n">
        <f aca="false">6*J1682+(J1682-K1682-M1682)+2*L1682+3*N1682</f>
        <v>36</v>
      </c>
      <c r="P1682" s="0" t="n">
        <f aca="true">RAND()</f>
        <v>0.046682676843594</v>
      </c>
      <c r="Q1682" s="0" t="n">
        <f aca="true">RAND()</f>
        <v>0.372341098033339</v>
      </c>
      <c r="R1682" s="0" t="n">
        <f aca="false">IF($I1682&lt;&gt;$O1682,0,IF(P1682&lt;Matchup!$B$39,7,IF(P1682&lt;Matchup!$B$39+Matchup!$B$40,3,0)))</f>
        <v>0</v>
      </c>
      <c r="S1682" s="0" t="n">
        <f aca="false">IF($I1682&lt;&gt;$O1682,0,IF(Q1682&lt;Matchup!$C$39,7,IF(Q1682&lt;Matchup!$C$39+Matchup!$C$40,3,0)))</f>
        <v>0</v>
      </c>
      <c r="T1682" s="0" t="n">
        <f aca="false">I1682+R1682</f>
        <v>29</v>
      </c>
      <c r="U1682" s="0" t="n">
        <f aca="false">O1682+S1682</f>
        <v>36</v>
      </c>
      <c r="V1682" s="0" t="n">
        <f aca="false">T1682-U1682</f>
        <v>-7</v>
      </c>
      <c r="W1682" s="0" t="n">
        <f aca="false">T1682+U1682</f>
        <v>65</v>
      </c>
    </row>
    <row r="1683" customFormat="false" ht="15" hidden="false" customHeight="false" outlineLevel="0" collapsed="false">
      <c r="A1683" s="0" t="n">
        <v>1680</v>
      </c>
      <c r="B1683" s="0" t="n">
        <f aca="true">NORMINV(RAND(),1,Coefficients!$B$22)</f>
        <v>0.928452945482294</v>
      </c>
      <c r="C1683" s="0" t="n">
        <f aca="true">MEDIAN(8,16,ROUND(NORMINV(RAND(),Coefficients!$B$20,Coefficients!$B$21),0))</f>
        <v>9</v>
      </c>
      <c r="D1683" s="0" t="n">
        <f aca="true">CRITBINOM($C1683,MIN(0.75,Matchup!$B$39*$B1683),RAND())</f>
        <v>2</v>
      </c>
      <c r="E1683" s="0" t="n">
        <f aca="true">CRITBINOM(D1683,Coefficients!$B$30,RAND())</f>
        <v>0</v>
      </c>
      <c r="F1683" s="0" t="n">
        <f aca="true">CRITBINOM(E1683,Coefficients!$B$31,RAND())</f>
        <v>0</v>
      </c>
      <c r="G1683" s="0" t="n">
        <f aca="true">CRITBINOM(MAX(0,D1683-E1683),1-Coefficients!$B$32,RAND())</f>
        <v>0</v>
      </c>
      <c r="H1683" s="0" t="n">
        <f aca="true">CRITBINOM(MAX(0,$C1683-D1683),MIN(0.6,Matchup!$B$40*SQRT($B1683)/(1-MIN(0.75,Matchup!$B$39*$B1683))),RAND())</f>
        <v>1</v>
      </c>
      <c r="I1683" s="0" t="n">
        <f aca="false">6*D1683+(D1683-E1683-G1683)+2*F1683+3*H1683</f>
        <v>17</v>
      </c>
      <c r="J1683" s="0" t="n">
        <f aca="true">CRITBINOM($C1683,MIN(0.75,Matchup!$C$39*$B1683),RAND())</f>
        <v>1</v>
      </c>
      <c r="K1683" s="0" t="n">
        <f aca="true">CRITBINOM(J1683,Coefficients!$B$30,RAND())</f>
        <v>0</v>
      </c>
      <c r="L1683" s="0" t="n">
        <f aca="true">CRITBINOM(K1683,Coefficients!$B$31,RAND())</f>
        <v>0</v>
      </c>
      <c r="M1683" s="0" t="n">
        <f aca="true">CRITBINOM(MAX(0,J1683-K1683),1-Coefficients!$B$32,RAND())</f>
        <v>0</v>
      </c>
      <c r="N1683" s="0" t="n">
        <f aca="true">CRITBINOM(MAX(0,$C1683-J1683),MIN(0.6,Matchup!$C$40*SQRT($B1683)/(1-MIN(0.75,Matchup!$C$39*$B1683))),RAND())</f>
        <v>1</v>
      </c>
      <c r="O1683" s="0" t="n">
        <f aca="false">6*J1683+(J1683-K1683-M1683)+2*L1683+3*N1683</f>
        <v>10</v>
      </c>
      <c r="P1683" s="0" t="n">
        <f aca="true">RAND()</f>
        <v>0.937577407067244</v>
      </c>
      <c r="Q1683" s="0" t="n">
        <f aca="true">RAND()</f>
        <v>0.941418940422915</v>
      </c>
      <c r="R1683" s="0" t="n">
        <f aca="false">IF($I1683&lt;&gt;$O1683,0,IF(P1683&lt;Matchup!$B$39,7,IF(P1683&lt;Matchup!$B$39+Matchup!$B$40,3,0)))</f>
        <v>0</v>
      </c>
      <c r="S1683" s="0" t="n">
        <f aca="false">IF($I1683&lt;&gt;$O1683,0,IF(Q1683&lt;Matchup!$C$39,7,IF(Q1683&lt;Matchup!$C$39+Matchup!$C$40,3,0)))</f>
        <v>0</v>
      </c>
      <c r="T1683" s="0" t="n">
        <f aca="false">I1683+R1683</f>
        <v>17</v>
      </c>
      <c r="U1683" s="0" t="n">
        <f aca="false">O1683+S1683</f>
        <v>10</v>
      </c>
      <c r="V1683" s="0" t="n">
        <f aca="false">T1683-U1683</f>
        <v>7</v>
      </c>
      <c r="W1683" s="0" t="n">
        <f aca="false">T1683+U1683</f>
        <v>27</v>
      </c>
    </row>
    <row r="1684" customFormat="false" ht="15" hidden="false" customHeight="false" outlineLevel="0" collapsed="false">
      <c r="A1684" s="0" t="n">
        <v>1681</v>
      </c>
      <c r="B1684" s="0" t="n">
        <f aca="true">NORMINV(RAND(),1,Coefficients!$B$22)</f>
        <v>0.95895327060771</v>
      </c>
      <c r="C1684" s="0" t="n">
        <f aca="true">MEDIAN(8,16,ROUND(NORMINV(RAND(),Coefficients!$B$20,Coefficients!$B$21),0))</f>
        <v>12</v>
      </c>
      <c r="D1684" s="0" t="n">
        <f aca="true">CRITBINOM($C1684,MIN(0.75,Matchup!$B$39*$B1684),RAND())</f>
        <v>1</v>
      </c>
      <c r="E1684" s="0" t="n">
        <f aca="true">CRITBINOM(D1684,Coefficients!$B$30,RAND())</f>
        <v>0</v>
      </c>
      <c r="F1684" s="0" t="n">
        <f aca="true">CRITBINOM(E1684,Coefficients!$B$31,RAND())</f>
        <v>0</v>
      </c>
      <c r="G1684" s="0" t="n">
        <f aca="true">CRITBINOM(MAX(0,D1684-E1684),1-Coefficients!$B$32,RAND())</f>
        <v>0</v>
      </c>
      <c r="H1684" s="0" t="n">
        <f aca="true">CRITBINOM(MAX(0,$C1684-D1684),MIN(0.6,Matchup!$B$40*SQRT($B1684)/(1-MIN(0.75,Matchup!$B$39*$B1684))),RAND())</f>
        <v>2</v>
      </c>
      <c r="I1684" s="0" t="n">
        <f aca="false">6*D1684+(D1684-E1684-G1684)+2*F1684+3*H1684</f>
        <v>13</v>
      </c>
      <c r="J1684" s="0" t="n">
        <f aca="true">CRITBINOM($C1684,MIN(0.75,Matchup!$C$39*$B1684),RAND())</f>
        <v>3</v>
      </c>
      <c r="K1684" s="0" t="n">
        <f aca="true">CRITBINOM(J1684,Coefficients!$B$30,RAND())</f>
        <v>1</v>
      </c>
      <c r="L1684" s="0" t="n">
        <f aca="true">CRITBINOM(K1684,Coefficients!$B$31,RAND())</f>
        <v>1</v>
      </c>
      <c r="M1684" s="0" t="n">
        <f aca="true">CRITBINOM(MAX(0,J1684-K1684),1-Coefficients!$B$32,RAND())</f>
        <v>0</v>
      </c>
      <c r="N1684" s="0" t="n">
        <f aca="true">CRITBINOM(MAX(0,$C1684-J1684),MIN(0.6,Matchup!$C$40*SQRT($B1684)/(1-MIN(0.75,Matchup!$C$39*$B1684))),RAND())</f>
        <v>2</v>
      </c>
      <c r="O1684" s="0" t="n">
        <f aca="false">6*J1684+(J1684-K1684-M1684)+2*L1684+3*N1684</f>
        <v>28</v>
      </c>
      <c r="P1684" s="0" t="n">
        <f aca="true">RAND()</f>
        <v>0.198198642881868</v>
      </c>
      <c r="Q1684" s="0" t="n">
        <f aca="true">RAND()</f>
        <v>0.608294814017345</v>
      </c>
      <c r="R1684" s="0" t="n">
        <f aca="false">IF($I1684&lt;&gt;$O1684,0,IF(P1684&lt;Matchup!$B$39,7,IF(P1684&lt;Matchup!$B$39+Matchup!$B$40,3,0)))</f>
        <v>0</v>
      </c>
      <c r="S1684" s="0" t="n">
        <f aca="false">IF($I1684&lt;&gt;$O1684,0,IF(Q1684&lt;Matchup!$C$39,7,IF(Q1684&lt;Matchup!$C$39+Matchup!$C$40,3,0)))</f>
        <v>0</v>
      </c>
      <c r="T1684" s="0" t="n">
        <f aca="false">I1684+R1684</f>
        <v>13</v>
      </c>
      <c r="U1684" s="0" t="n">
        <f aca="false">O1684+S1684</f>
        <v>28</v>
      </c>
      <c r="V1684" s="0" t="n">
        <f aca="false">T1684-U1684</f>
        <v>-15</v>
      </c>
      <c r="W1684" s="0" t="n">
        <f aca="false">T1684+U1684</f>
        <v>41</v>
      </c>
    </row>
    <row r="1685" customFormat="false" ht="15" hidden="false" customHeight="false" outlineLevel="0" collapsed="false">
      <c r="A1685" s="0" t="n">
        <v>1682</v>
      </c>
      <c r="B1685" s="0" t="n">
        <f aca="true">NORMINV(RAND(),1,Coefficients!$B$22)</f>
        <v>1.05973942194635</v>
      </c>
      <c r="C1685" s="0" t="n">
        <f aca="true">MEDIAN(8,16,ROUND(NORMINV(RAND(),Coefficients!$B$20,Coefficients!$B$21),0))</f>
        <v>11</v>
      </c>
      <c r="D1685" s="0" t="n">
        <f aca="true">CRITBINOM($C1685,MIN(0.75,Matchup!$B$39*$B1685),RAND())</f>
        <v>4</v>
      </c>
      <c r="E1685" s="0" t="n">
        <f aca="true">CRITBINOM(D1685,Coefficients!$B$30,RAND())</f>
        <v>0</v>
      </c>
      <c r="F1685" s="0" t="n">
        <f aca="true">CRITBINOM(E1685,Coefficients!$B$31,RAND())</f>
        <v>0</v>
      </c>
      <c r="G1685" s="0" t="n">
        <f aca="true">CRITBINOM(MAX(0,D1685-E1685),1-Coefficients!$B$32,RAND())</f>
        <v>1</v>
      </c>
      <c r="H1685" s="0" t="n">
        <f aca="true">CRITBINOM(MAX(0,$C1685-D1685),MIN(0.6,Matchup!$B$40*SQRT($B1685)/(1-MIN(0.75,Matchup!$B$39*$B1685))),RAND())</f>
        <v>0</v>
      </c>
      <c r="I1685" s="0" t="n">
        <f aca="false">6*D1685+(D1685-E1685-G1685)+2*F1685+3*H1685</f>
        <v>27</v>
      </c>
      <c r="J1685" s="0" t="n">
        <f aca="true">CRITBINOM($C1685,MIN(0.75,Matchup!$C$39*$B1685),RAND())</f>
        <v>2</v>
      </c>
      <c r="K1685" s="0" t="n">
        <f aca="true">CRITBINOM(J1685,Coefficients!$B$30,RAND())</f>
        <v>0</v>
      </c>
      <c r="L1685" s="0" t="n">
        <f aca="true">CRITBINOM(K1685,Coefficients!$B$31,RAND())</f>
        <v>0</v>
      </c>
      <c r="M1685" s="0" t="n">
        <f aca="true">CRITBINOM(MAX(0,J1685-K1685),1-Coefficients!$B$32,RAND())</f>
        <v>0</v>
      </c>
      <c r="N1685" s="0" t="n">
        <f aca="true">CRITBINOM(MAX(0,$C1685-J1685),MIN(0.6,Matchup!$C$40*SQRT($B1685)/(1-MIN(0.75,Matchup!$C$39*$B1685))),RAND())</f>
        <v>0</v>
      </c>
      <c r="O1685" s="0" t="n">
        <f aca="false">6*J1685+(J1685-K1685-M1685)+2*L1685+3*N1685</f>
        <v>14</v>
      </c>
      <c r="P1685" s="0" t="n">
        <f aca="true">RAND()</f>
        <v>0.731000355548959</v>
      </c>
      <c r="Q1685" s="0" t="n">
        <f aca="true">RAND()</f>
        <v>0.0709092754918584</v>
      </c>
      <c r="R1685" s="0" t="n">
        <f aca="false">IF($I1685&lt;&gt;$O1685,0,IF(P1685&lt;Matchup!$B$39,7,IF(P1685&lt;Matchup!$B$39+Matchup!$B$40,3,0)))</f>
        <v>0</v>
      </c>
      <c r="S1685" s="0" t="n">
        <f aca="false">IF($I1685&lt;&gt;$O1685,0,IF(Q1685&lt;Matchup!$C$39,7,IF(Q1685&lt;Matchup!$C$39+Matchup!$C$40,3,0)))</f>
        <v>0</v>
      </c>
      <c r="T1685" s="0" t="n">
        <f aca="false">I1685+R1685</f>
        <v>27</v>
      </c>
      <c r="U1685" s="0" t="n">
        <f aca="false">O1685+S1685</f>
        <v>14</v>
      </c>
      <c r="V1685" s="0" t="n">
        <f aca="false">T1685-U1685</f>
        <v>13</v>
      </c>
      <c r="W1685" s="0" t="n">
        <f aca="false">T1685+U1685</f>
        <v>41</v>
      </c>
    </row>
    <row r="1686" customFormat="false" ht="15" hidden="false" customHeight="false" outlineLevel="0" collapsed="false">
      <c r="A1686" s="0" t="n">
        <v>1683</v>
      </c>
      <c r="B1686" s="0" t="n">
        <f aca="true">NORMINV(RAND(),1,Coefficients!$B$22)</f>
        <v>0.914001116980049</v>
      </c>
      <c r="C1686" s="0" t="n">
        <f aca="true">MEDIAN(8,16,ROUND(NORMINV(RAND(),Coefficients!$B$20,Coefficients!$B$21),0))</f>
        <v>12</v>
      </c>
      <c r="D1686" s="0" t="n">
        <f aca="true">CRITBINOM($C1686,MIN(0.75,Matchup!$B$39*$B1686),RAND())</f>
        <v>2</v>
      </c>
      <c r="E1686" s="0" t="n">
        <f aca="true">CRITBINOM(D1686,Coefficients!$B$30,RAND())</f>
        <v>0</v>
      </c>
      <c r="F1686" s="0" t="n">
        <f aca="true">CRITBINOM(E1686,Coefficients!$B$31,RAND())</f>
        <v>0</v>
      </c>
      <c r="G1686" s="0" t="n">
        <f aca="true">CRITBINOM(MAX(0,D1686-E1686),1-Coefficients!$B$32,RAND())</f>
        <v>0</v>
      </c>
      <c r="H1686" s="0" t="n">
        <f aca="true">CRITBINOM(MAX(0,$C1686-D1686),MIN(0.6,Matchup!$B$40*SQRT($B1686)/(1-MIN(0.75,Matchup!$B$39*$B1686))),RAND())</f>
        <v>3</v>
      </c>
      <c r="I1686" s="0" t="n">
        <f aca="false">6*D1686+(D1686-E1686-G1686)+2*F1686+3*H1686</f>
        <v>23</v>
      </c>
      <c r="J1686" s="0" t="n">
        <f aca="true">CRITBINOM($C1686,MIN(0.75,Matchup!$C$39*$B1686),RAND())</f>
        <v>3</v>
      </c>
      <c r="K1686" s="0" t="n">
        <f aca="true">CRITBINOM(J1686,Coefficients!$B$30,RAND())</f>
        <v>0</v>
      </c>
      <c r="L1686" s="0" t="n">
        <f aca="true">CRITBINOM(K1686,Coefficients!$B$31,RAND())</f>
        <v>0</v>
      </c>
      <c r="M1686" s="0" t="n">
        <f aca="true">CRITBINOM(MAX(0,J1686-K1686),1-Coefficients!$B$32,RAND())</f>
        <v>0</v>
      </c>
      <c r="N1686" s="0" t="n">
        <f aca="true">CRITBINOM(MAX(0,$C1686-J1686),MIN(0.6,Matchup!$C$40*SQRT($B1686)/(1-MIN(0.75,Matchup!$C$39*$B1686))),RAND())</f>
        <v>0</v>
      </c>
      <c r="O1686" s="0" t="n">
        <f aca="false">6*J1686+(J1686-K1686-M1686)+2*L1686+3*N1686</f>
        <v>21</v>
      </c>
      <c r="P1686" s="0" t="n">
        <f aca="true">RAND()</f>
        <v>0.970721589346893</v>
      </c>
      <c r="Q1686" s="0" t="n">
        <f aca="true">RAND()</f>
        <v>0.638517089309177</v>
      </c>
      <c r="R1686" s="0" t="n">
        <f aca="false">IF($I1686&lt;&gt;$O1686,0,IF(P1686&lt;Matchup!$B$39,7,IF(P1686&lt;Matchup!$B$39+Matchup!$B$40,3,0)))</f>
        <v>0</v>
      </c>
      <c r="S1686" s="0" t="n">
        <f aca="false">IF($I1686&lt;&gt;$O1686,0,IF(Q1686&lt;Matchup!$C$39,7,IF(Q1686&lt;Matchup!$C$39+Matchup!$C$40,3,0)))</f>
        <v>0</v>
      </c>
      <c r="T1686" s="0" t="n">
        <f aca="false">I1686+R1686</f>
        <v>23</v>
      </c>
      <c r="U1686" s="0" t="n">
        <f aca="false">O1686+S1686</f>
        <v>21</v>
      </c>
      <c r="V1686" s="0" t="n">
        <f aca="false">T1686-U1686</f>
        <v>2</v>
      </c>
      <c r="W1686" s="0" t="n">
        <f aca="false">T1686+U1686</f>
        <v>44</v>
      </c>
    </row>
    <row r="1687" customFormat="false" ht="15" hidden="false" customHeight="false" outlineLevel="0" collapsed="false">
      <c r="A1687" s="0" t="n">
        <v>1684</v>
      </c>
      <c r="B1687" s="0" t="n">
        <f aca="true">NORMINV(RAND(),1,Coefficients!$B$22)</f>
        <v>0.983911578419519</v>
      </c>
      <c r="C1687" s="0" t="n">
        <f aca="true">MEDIAN(8,16,ROUND(NORMINV(RAND(),Coefficients!$B$20,Coefficients!$B$21),0))</f>
        <v>11</v>
      </c>
      <c r="D1687" s="0" t="n">
        <f aca="true">CRITBINOM($C1687,MIN(0.75,Matchup!$B$39*$B1687),RAND())</f>
        <v>2</v>
      </c>
      <c r="E1687" s="0" t="n">
        <f aca="true">CRITBINOM(D1687,Coefficients!$B$30,RAND())</f>
        <v>1</v>
      </c>
      <c r="F1687" s="0" t="n">
        <f aca="true">CRITBINOM(E1687,Coefficients!$B$31,RAND())</f>
        <v>0</v>
      </c>
      <c r="G1687" s="0" t="n">
        <f aca="true">CRITBINOM(MAX(0,D1687-E1687),1-Coefficients!$B$32,RAND())</f>
        <v>0</v>
      </c>
      <c r="H1687" s="0" t="n">
        <f aca="true">CRITBINOM(MAX(0,$C1687-D1687),MIN(0.6,Matchup!$B$40*SQRT($B1687)/(1-MIN(0.75,Matchup!$B$39*$B1687))),RAND())</f>
        <v>1</v>
      </c>
      <c r="I1687" s="0" t="n">
        <f aca="false">6*D1687+(D1687-E1687-G1687)+2*F1687+3*H1687</f>
        <v>16</v>
      </c>
      <c r="J1687" s="0" t="n">
        <f aca="true">CRITBINOM($C1687,MIN(0.75,Matchup!$C$39*$B1687),RAND())</f>
        <v>4</v>
      </c>
      <c r="K1687" s="0" t="n">
        <f aca="true">CRITBINOM(J1687,Coefficients!$B$30,RAND())</f>
        <v>2</v>
      </c>
      <c r="L1687" s="0" t="n">
        <f aca="true">CRITBINOM(K1687,Coefficients!$B$31,RAND())</f>
        <v>0</v>
      </c>
      <c r="M1687" s="0" t="n">
        <f aca="true">CRITBINOM(MAX(0,J1687-K1687),1-Coefficients!$B$32,RAND())</f>
        <v>0</v>
      </c>
      <c r="N1687" s="0" t="n">
        <f aca="true">CRITBINOM(MAX(0,$C1687-J1687),MIN(0.6,Matchup!$C$40*SQRT($B1687)/(1-MIN(0.75,Matchup!$C$39*$B1687))),RAND())</f>
        <v>3</v>
      </c>
      <c r="O1687" s="0" t="n">
        <f aca="false">6*J1687+(J1687-K1687-M1687)+2*L1687+3*N1687</f>
        <v>35</v>
      </c>
      <c r="P1687" s="0" t="n">
        <f aca="true">RAND()</f>
        <v>0.0117617786685492</v>
      </c>
      <c r="Q1687" s="0" t="n">
        <f aca="true">RAND()</f>
        <v>0.576496658136008</v>
      </c>
      <c r="R1687" s="0" t="n">
        <f aca="false">IF($I1687&lt;&gt;$O1687,0,IF(P1687&lt;Matchup!$B$39,7,IF(P1687&lt;Matchup!$B$39+Matchup!$B$40,3,0)))</f>
        <v>0</v>
      </c>
      <c r="S1687" s="0" t="n">
        <f aca="false">IF($I1687&lt;&gt;$O1687,0,IF(Q1687&lt;Matchup!$C$39,7,IF(Q1687&lt;Matchup!$C$39+Matchup!$C$40,3,0)))</f>
        <v>0</v>
      </c>
      <c r="T1687" s="0" t="n">
        <f aca="false">I1687+R1687</f>
        <v>16</v>
      </c>
      <c r="U1687" s="0" t="n">
        <f aca="false">O1687+S1687</f>
        <v>35</v>
      </c>
      <c r="V1687" s="0" t="n">
        <f aca="false">T1687-U1687</f>
        <v>-19</v>
      </c>
      <c r="W1687" s="0" t="n">
        <f aca="false">T1687+U1687</f>
        <v>51</v>
      </c>
    </row>
    <row r="1688" customFormat="false" ht="15" hidden="false" customHeight="false" outlineLevel="0" collapsed="false">
      <c r="A1688" s="0" t="n">
        <v>1685</v>
      </c>
      <c r="B1688" s="0" t="n">
        <f aca="true">NORMINV(RAND(),1,Coefficients!$B$22)</f>
        <v>1.00404311941613</v>
      </c>
      <c r="C1688" s="0" t="n">
        <f aca="true">MEDIAN(8,16,ROUND(NORMINV(RAND(),Coefficients!$B$20,Coefficients!$B$21),0))</f>
        <v>11</v>
      </c>
      <c r="D1688" s="0" t="n">
        <f aca="true">CRITBINOM($C1688,MIN(0.75,Matchup!$B$39*$B1688),RAND())</f>
        <v>5</v>
      </c>
      <c r="E1688" s="0" t="n">
        <f aca="true">CRITBINOM(D1688,Coefficients!$B$30,RAND())</f>
        <v>0</v>
      </c>
      <c r="F1688" s="0" t="n">
        <f aca="true">CRITBINOM(E1688,Coefficients!$B$31,RAND())</f>
        <v>0</v>
      </c>
      <c r="G1688" s="0" t="n">
        <f aca="true">CRITBINOM(MAX(0,D1688-E1688),1-Coefficients!$B$32,RAND())</f>
        <v>0</v>
      </c>
      <c r="H1688" s="0" t="n">
        <f aca="true">CRITBINOM(MAX(0,$C1688-D1688),MIN(0.6,Matchup!$B$40*SQRT($B1688)/(1-MIN(0.75,Matchup!$B$39*$B1688))),RAND())</f>
        <v>0</v>
      </c>
      <c r="I1688" s="0" t="n">
        <f aca="false">6*D1688+(D1688-E1688-G1688)+2*F1688+3*H1688</f>
        <v>35</v>
      </c>
      <c r="J1688" s="0" t="n">
        <f aca="true">CRITBINOM($C1688,MIN(0.75,Matchup!$C$39*$B1688),RAND())</f>
        <v>3</v>
      </c>
      <c r="K1688" s="0" t="n">
        <f aca="true">CRITBINOM(J1688,Coefficients!$B$30,RAND())</f>
        <v>0</v>
      </c>
      <c r="L1688" s="0" t="n">
        <f aca="true">CRITBINOM(K1688,Coefficients!$B$31,RAND())</f>
        <v>0</v>
      </c>
      <c r="M1688" s="0" t="n">
        <f aca="true">CRITBINOM(MAX(0,J1688-K1688),1-Coefficients!$B$32,RAND())</f>
        <v>0</v>
      </c>
      <c r="N1688" s="0" t="n">
        <f aca="true">CRITBINOM(MAX(0,$C1688-J1688),MIN(0.6,Matchup!$C$40*SQRT($B1688)/(1-MIN(0.75,Matchup!$C$39*$B1688))),RAND())</f>
        <v>1</v>
      </c>
      <c r="O1688" s="0" t="n">
        <f aca="false">6*J1688+(J1688-K1688-M1688)+2*L1688+3*N1688</f>
        <v>24</v>
      </c>
      <c r="P1688" s="0" t="n">
        <f aca="true">RAND()</f>
        <v>0.765744766450701</v>
      </c>
      <c r="Q1688" s="0" t="n">
        <f aca="true">RAND()</f>
        <v>0.901528633267973</v>
      </c>
      <c r="R1688" s="0" t="n">
        <f aca="false">IF($I1688&lt;&gt;$O1688,0,IF(P1688&lt;Matchup!$B$39,7,IF(P1688&lt;Matchup!$B$39+Matchup!$B$40,3,0)))</f>
        <v>0</v>
      </c>
      <c r="S1688" s="0" t="n">
        <f aca="false">IF($I1688&lt;&gt;$O1688,0,IF(Q1688&lt;Matchup!$C$39,7,IF(Q1688&lt;Matchup!$C$39+Matchup!$C$40,3,0)))</f>
        <v>0</v>
      </c>
      <c r="T1688" s="0" t="n">
        <f aca="false">I1688+R1688</f>
        <v>35</v>
      </c>
      <c r="U1688" s="0" t="n">
        <f aca="false">O1688+S1688</f>
        <v>24</v>
      </c>
      <c r="V1688" s="0" t="n">
        <f aca="false">T1688-U1688</f>
        <v>11</v>
      </c>
      <c r="W1688" s="0" t="n">
        <f aca="false">T1688+U1688</f>
        <v>59</v>
      </c>
    </row>
    <row r="1689" customFormat="false" ht="15" hidden="false" customHeight="false" outlineLevel="0" collapsed="false">
      <c r="A1689" s="0" t="n">
        <v>1686</v>
      </c>
      <c r="B1689" s="0" t="n">
        <f aca="true">NORMINV(RAND(),1,Coefficients!$B$22)</f>
        <v>0.975518221251126</v>
      </c>
      <c r="C1689" s="0" t="n">
        <f aca="true">MEDIAN(8,16,ROUND(NORMINV(RAND(),Coefficients!$B$20,Coefficients!$B$21),0))</f>
        <v>11</v>
      </c>
      <c r="D1689" s="0" t="n">
        <f aca="true">CRITBINOM($C1689,MIN(0.75,Matchup!$B$39*$B1689),RAND())</f>
        <v>6</v>
      </c>
      <c r="E1689" s="0" t="n">
        <f aca="true">CRITBINOM(D1689,Coefficients!$B$30,RAND())</f>
        <v>1</v>
      </c>
      <c r="F1689" s="0" t="n">
        <f aca="true">CRITBINOM(E1689,Coefficients!$B$31,RAND())</f>
        <v>1</v>
      </c>
      <c r="G1689" s="0" t="n">
        <f aca="true">CRITBINOM(MAX(0,D1689-E1689),1-Coefficients!$B$32,RAND())</f>
        <v>0</v>
      </c>
      <c r="H1689" s="0" t="n">
        <f aca="true">CRITBINOM(MAX(0,$C1689-D1689),MIN(0.6,Matchup!$B$40*SQRT($B1689)/(1-MIN(0.75,Matchup!$B$39*$B1689))),RAND())</f>
        <v>1</v>
      </c>
      <c r="I1689" s="0" t="n">
        <f aca="false">6*D1689+(D1689-E1689-G1689)+2*F1689+3*H1689</f>
        <v>46</v>
      </c>
      <c r="J1689" s="0" t="n">
        <f aca="true">CRITBINOM($C1689,MIN(0.75,Matchup!$C$39*$B1689),RAND())</f>
        <v>4</v>
      </c>
      <c r="K1689" s="0" t="n">
        <f aca="true">CRITBINOM(J1689,Coefficients!$B$30,RAND())</f>
        <v>0</v>
      </c>
      <c r="L1689" s="0" t="n">
        <f aca="true">CRITBINOM(K1689,Coefficients!$B$31,RAND())</f>
        <v>0</v>
      </c>
      <c r="M1689" s="0" t="n">
        <f aca="true">CRITBINOM(MAX(0,J1689-K1689),1-Coefficients!$B$32,RAND())</f>
        <v>0</v>
      </c>
      <c r="N1689" s="0" t="n">
        <f aca="true">CRITBINOM(MAX(0,$C1689-J1689),MIN(0.6,Matchup!$C$40*SQRT($B1689)/(1-MIN(0.75,Matchup!$C$39*$B1689))),RAND())</f>
        <v>2</v>
      </c>
      <c r="O1689" s="0" t="n">
        <f aca="false">6*J1689+(J1689-K1689-M1689)+2*L1689+3*N1689</f>
        <v>34</v>
      </c>
      <c r="P1689" s="0" t="n">
        <f aca="true">RAND()</f>
        <v>0.89320061129613</v>
      </c>
      <c r="Q1689" s="0" t="n">
        <f aca="true">RAND()</f>
        <v>0.774464995551928</v>
      </c>
      <c r="R1689" s="0" t="n">
        <f aca="false">IF($I1689&lt;&gt;$O1689,0,IF(P1689&lt;Matchup!$B$39,7,IF(P1689&lt;Matchup!$B$39+Matchup!$B$40,3,0)))</f>
        <v>0</v>
      </c>
      <c r="S1689" s="0" t="n">
        <f aca="false">IF($I1689&lt;&gt;$O1689,0,IF(Q1689&lt;Matchup!$C$39,7,IF(Q1689&lt;Matchup!$C$39+Matchup!$C$40,3,0)))</f>
        <v>0</v>
      </c>
      <c r="T1689" s="0" t="n">
        <f aca="false">I1689+R1689</f>
        <v>46</v>
      </c>
      <c r="U1689" s="0" t="n">
        <f aca="false">O1689+S1689</f>
        <v>34</v>
      </c>
      <c r="V1689" s="0" t="n">
        <f aca="false">T1689-U1689</f>
        <v>12</v>
      </c>
      <c r="W1689" s="0" t="n">
        <f aca="false">T1689+U1689</f>
        <v>80</v>
      </c>
    </row>
    <row r="1690" customFormat="false" ht="15" hidden="false" customHeight="false" outlineLevel="0" collapsed="false">
      <c r="A1690" s="0" t="n">
        <v>1687</v>
      </c>
      <c r="B1690" s="0" t="n">
        <f aca="true">NORMINV(RAND(),1,Coefficients!$B$22)</f>
        <v>1.05730730175592</v>
      </c>
      <c r="C1690" s="0" t="n">
        <f aca="true">MEDIAN(8,16,ROUND(NORMINV(RAND(),Coefficients!$B$20,Coefficients!$B$21),0))</f>
        <v>10</v>
      </c>
      <c r="D1690" s="0" t="n">
        <f aca="true">CRITBINOM($C1690,MIN(0.75,Matchup!$B$39*$B1690),RAND())</f>
        <v>1</v>
      </c>
      <c r="E1690" s="0" t="n">
        <f aca="true">CRITBINOM(D1690,Coefficients!$B$30,RAND())</f>
        <v>0</v>
      </c>
      <c r="F1690" s="0" t="n">
        <f aca="true">CRITBINOM(E1690,Coefficients!$B$31,RAND())</f>
        <v>0</v>
      </c>
      <c r="G1690" s="0" t="n">
        <f aca="true">CRITBINOM(MAX(0,D1690-E1690),1-Coefficients!$B$32,RAND())</f>
        <v>0</v>
      </c>
      <c r="H1690" s="0" t="n">
        <f aca="true">CRITBINOM(MAX(0,$C1690-D1690),MIN(0.6,Matchup!$B$40*SQRT($B1690)/(1-MIN(0.75,Matchup!$B$39*$B1690))),RAND())</f>
        <v>3</v>
      </c>
      <c r="I1690" s="0" t="n">
        <f aca="false">6*D1690+(D1690-E1690-G1690)+2*F1690+3*H1690</f>
        <v>16</v>
      </c>
      <c r="J1690" s="0" t="n">
        <f aca="true">CRITBINOM($C1690,MIN(0.75,Matchup!$C$39*$B1690),RAND())</f>
        <v>1</v>
      </c>
      <c r="K1690" s="0" t="n">
        <f aca="true">CRITBINOM(J1690,Coefficients!$B$30,RAND())</f>
        <v>0</v>
      </c>
      <c r="L1690" s="0" t="n">
        <f aca="true">CRITBINOM(K1690,Coefficients!$B$31,RAND())</f>
        <v>0</v>
      </c>
      <c r="M1690" s="0" t="n">
        <f aca="true">CRITBINOM(MAX(0,J1690-K1690),1-Coefficients!$B$32,RAND())</f>
        <v>0</v>
      </c>
      <c r="N1690" s="0" t="n">
        <f aca="true">CRITBINOM(MAX(0,$C1690-J1690),MIN(0.6,Matchup!$C$40*SQRT($B1690)/(1-MIN(0.75,Matchup!$C$39*$B1690))),RAND())</f>
        <v>2</v>
      </c>
      <c r="O1690" s="0" t="n">
        <f aca="false">6*J1690+(J1690-K1690-M1690)+2*L1690+3*N1690</f>
        <v>13</v>
      </c>
      <c r="P1690" s="0" t="n">
        <f aca="true">RAND()</f>
        <v>0.304752946389465</v>
      </c>
      <c r="Q1690" s="0" t="n">
        <f aca="true">RAND()</f>
        <v>0.34548575243928</v>
      </c>
      <c r="R1690" s="0" t="n">
        <f aca="false">IF($I1690&lt;&gt;$O1690,0,IF(P1690&lt;Matchup!$B$39,7,IF(P1690&lt;Matchup!$B$39+Matchup!$B$40,3,0)))</f>
        <v>0</v>
      </c>
      <c r="S1690" s="0" t="n">
        <f aca="false">IF($I1690&lt;&gt;$O1690,0,IF(Q1690&lt;Matchup!$C$39,7,IF(Q1690&lt;Matchup!$C$39+Matchup!$C$40,3,0)))</f>
        <v>0</v>
      </c>
      <c r="T1690" s="0" t="n">
        <f aca="false">I1690+R1690</f>
        <v>16</v>
      </c>
      <c r="U1690" s="0" t="n">
        <f aca="false">O1690+S1690</f>
        <v>13</v>
      </c>
      <c r="V1690" s="0" t="n">
        <f aca="false">T1690-U1690</f>
        <v>3</v>
      </c>
      <c r="W1690" s="0" t="n">
        <f aca="false">T1690+U1690</f>
        <v>29</v>
      </c>
    </row>
    <row r="1691" customFormat="false" ht="15" hidden="false" customHeight="false" outlineLevel="0" collapsed="false">
      <c r="A1691" s="0" t="n">
        <v>1688</v>
      </c>
      <c r="B1691" s="0" t="n">
        <f aca="true">NORMINV(RAND(),1,Coefficients!$B$22)</f>
        <v>1.07668476538188</v>
      </c>
      <c r="C1691" s="0" t="n">
        <f aca="true">MEDIAN(8,16,ROUND(NORMINV(RAND(),Coefficients!$B$20,Coefficients!$B$21),0))</f>
        <v>13</v>
      </c>
      <c r="D1691" s="0" t="n">
        <f aca="true">CRITBINOM($C1691,MIN(0.75,Matchup!$B$39*$B1691),RAND())</f>
        <v>3</v>
      </c>
      <c r="E1691" s="0" t="n">
        <f aca="true">CRITBINOM(D1691,Coefficients!$B$30,RAND())</f>
        <v>0</v>
      </c>
      <c r="F1691" s="0" t="n">
        <f aca="true">CRITBINOM(E1691,Coefficients!$B$31,RAND())</f>
        <v>0</v>
      </c>
      <c r="G1691" s="0" t="n">
        <f aca="true">CRITBINOM(MAX(0,D1691-E1691),1-Coefficients!$B$32,RAND())</f>
        <v>0</v>
      </c>
      <c r="H1691" s="0" t="n">
        <f aca="true">CRITBINOM(MAX(0,$C1691-D1691),MIN(0.6,Matchup!$B$40*SQRT($B1691)/(1-MIN(0.75,Matchup!$B$39*$B1691))),RAND())</f>
        <v>3</v>
      </c>
      <c r="I1691" s="0" t="n">
        <f aca="false">6*D1691+(D1691-E1691-G1691)+2*F1691+3*H1691</f>
        <v>30</v>
      </c>
      <c r="J1691" s="0" t="n">
        <f aca="true">CRITBINOM($C1691,MIN(0.75,Matchup!$C$39*$B1691),RAND())</f>
        <v>4</v>
      </c>
      <c r="K1691" s="0" t="n">
        <f aca="true">CRITBINOM(J1691,Coefficients!$B$30,RAND())</f>
        <v>0</v>
      </c>
      <c r="L1691" s="0" t="n">
        <f aca="true">CRITBINOM(K1691,Coefficients!$B$31,RAND())</f>
        <v>0</v>
      </c>
      <c r="M1691" s="0" t="n">
        <f aca="true">CRITBINOM(MAX(0,J1691-K1691),1-Coefficients!$B$32,RAND())</f>
        <v>0</v>
      </c>
      <c r="N1691" s="0" t="n">
        <f aca="true">CRITBINOM(MAX(0,$C1691-J1691),MIN(0.6,Matchup!$C$40*SQRT($B1691)/(1-MIN(0.75,Matchup!$C$39*$B1691))),RAND())</f>
        <v>0</v>
      </c>
      <c r="O1691" s="0" t="n">
        <f aca="false">6*J1691+(J1691-K1691-M1691)+2*L1691+3*N1691</f>
        <v>28</v>
      </c>
      <c r="P1691" s="0" t="n">
        <f aca="true">RAND()</f>
        <v>0.607916314556115</v>
      </c>
      <c r="Q1691" s="0" t="n">
        <f aca="true">RAND()</f>
        <v>0.169222653274105</v>
      </c>
      <c r="R1691" s="0" t="n">
        <f aca="false">IF($I1691&lt;&gt;$O1691,0,IF(P1691&lt;Matchup!$B$39,7,IF(P1691&lt;Matchup!$B$39+Matchup!$B$40,3,0)))</f>
        <v>0</v>
      </c>
      <c r="S1691" s="0" t="n">
        <f aca="false">IF($I1691&lt;&gt;$O1691,0,IF(Q1691&lt;Matchup!$C$39,7,IF(Q1691&lt;Matchup!$C$39+Matchup!$C$40,3,0)))</f>
        <v>0</v>
      </c>
      <c r="T1691" s="0" t="n">
        <f aca="false">I1691+R1691</f>
        <v>30</v>
      </c>
      <c r="U1691" s="0" t="n">
        <f aca="false">O1691+S1691</f>
        <v>28</v>
      </c>
      <c r="V1691" s="0" t="n">
        <f aca="false">T1691-U1691</f>
        <v>2</v>
      </c>
      <c r="W1691" s="0" t="n">
        <f aca="false">T1691+U1691</f>
        <v>58</v>
      </c>
    </row>
    <row r="1692" customFormat="false" ht="15" hidden="false" customHeight="false" outlineLevel="0" collapsed="false">
      <c r="A1692" s="0" t="n">
        <v>1689</v>
      </c>
      <c r="B1692" s="0" t="n">
        <f aca="true">NORMINV(RAND(),1,Coefficients!$B$22)</f>
        <v>0.993078716807659</v>
      </c>
      <c r="C1692" s="0" t="n">
        <f aca="true">MEDIAN(8,16,ROUND(NORMINV(RAND(),Coefficients!$B$20,Coefficients!$B$21),0))</f>
        <v>11</v>
      </c>
      <c r="D1692" s="0" t="n">
        <f aca="true">CRITBINOM($C1692,MIN(0.75,Matchup!$B$39*$B1692),RAND())</f>
        <v>1</v>
      </c>
      <c r="E1692" s="0" t="n">
        <f aca="true">CRITBINOM(D1692,Coefficients!$B$30,RAND())</f>
        <v>0</v>
      </c>
      <c r="F1692" s="0" t="n">
        <f aca="true">CRITBINOM(E1692,Coefficients!$B$31,RAND())</f>
        <v>0</v>
      </c>
      <c r="G1692" s="0" t="n">
        <f aca="true">CRITBINOM(MAX(0,D1692-E1692),1-Coefficients!$B$32,RAND())</f>
        <v>0</v>
      </c>
      <c r="H1692" s="0" t="n">
        <f aca="true">CRITBINOM(MAX(0,$C1692-D1692),MIN(0.6,Matchup!$B$40*SQRT($B1692)/(1-MIN(0.75,Matchup!$B$39*$B1692))),RAND())</f>
        <v>2</v>
      </c>
      <c r="I1692" s="0" t="n">
        <f aca="false">6*D1692+(D1692-E1692-G1692)+2*F1692+3*H1692</f>
        <v>13</v>
      </c>
      <c r="J1692" s="0" t="n">
        <f aca="true">CRITBINOM($C1692,MIN(0.75,Matchup!$C$39*$B1692),RAND())</f>
        <v>2</v>
      </c>
      <c r="K1692" s="0" t="n">
        <f aca="true">CRITBINOM(J1692,Coefficients!$B$30,RAND())</f>
        <v>0</v>
      </c>
      <c r="L1692" s="0" t="n">
        <f aca="true">CRITBINOM(K1692,Coefficients!$B$31,RAND())</f>
        <v>0</v>
      </c>
      <c r="M1692" s="0" t="n">
        <f aca="true">CRITBINOM(MAX(0,J1692-K1692),1-Coefficients!$B$32,RAND())</f>
        <v>0</v>
      </c>
      <c r="N1692" s="0" t="n">
        <f aca="true">CRITBINOM(MAX(0,$C1692-J1692),MIN(0.6,Matchup!$C$40*SQRT($B1692)/(1-MIN(0.75,Matchup!$C$39*$B1692))),RAND())</f>
        <v>3</v>
      </c>
      <c r="O1692" s="0" t="n">
        <f aca="false">6*J1692+(J1692-K1692-M1692)+2*L1692+3*N1692</f>
        <v>23</v>
      </c>
      <c r="P1692" s="0" t="n">
        <f aca="true">RAND()</f>
        <v>0.0829058646134901</v>
      </c>
      <c r="Q1692" s="0" t="n">
        <f aca="true">RAND()</f>
        <v>0.472684791842741</v>
      </c>
      <c r="R1692" s="0" t="n">
        <f aca="false">IF($I1692&lt;&gt;$O1692,0,IF(P1692&lt;Matchup!$B$39,7,IF(P1692&lt;Matchup!$B$39+Matchup!$B$40,3,0)))</f>
        <v>0</v>
      </c>
      <c r="S1692" s="0" t="n">
        <f aca="false">IF($I1692&lt;&gt;$O1692,0,IF(Q1692&lt;Matchup!$C$39,7,IF(Q1692&lt;Matchup!$C$39+Matchup!$C$40,3,0)))</f>
        <v>0</v>
      </c>
      <c r="T1692" s="0" t="n">
        <f aca="false">I1692+R1692</f>
        <v>13</v>
      </c>
      <c r="U1692" s="0" t="n">
        <f aca="false">O1692+S1692</f>
        <v>23</v>
      </c>
      <c r="V1692" s="0" t="n">
        <f aca="false">T1692-U1692</f>
        <v>-10</v>
      </c>
      <c r="W1692" s="0" t="n">
        <f aca="false">T1692+U1692</f>
        <v>36</v>
      </c>
    </row>
    <row r="1693" customFormat="false" ht="15" hidden="false" customHeight="false" outlineLevel="0" collapsed="false">
      <c r="A1693" s="0" t="n">
        <v>1690</v>
      </c>
      <c r="B1693" s="0" t="n">
        <f aca="true">NORMINV(RAND(),1,Coefficients!$B$22)</f>
        <v>0.932683559235116</v>
      </c>
      <c r="C1693" s="0" t="n">
        <f aca="true">MEDIAN(8,16,ROUND(NORMINV(RAND(),Coefficients!$B$20,Coefficients!$B$21),0))</f>
        <v>10</v>
      </c>
      <c r="D1693" s="0" t="n">
        <f aca="true">CRITBINOM($C1693,MIN(0.75,Matchup!$B$39*$B1693),RAND())</f>
        <v>3</v>
      </c>
      <c r="E1693" s="0" t="n">
        <f aca="true">CRITBINOM(D1693,Coefficients!$B$30,RAND())</f>
        <v>0</v>
      </c>
      <c r="F1693" s="0" t="n">
        <f aca="true">CRITBINOM(E1693,Coefficients!$B$31,RAND())</f>
        <v>0</v>
      </c>
      <c r="G1693" s="0" t="n">
        <f aca="true">CRITBINOM(MAX(0,D1693-E1693),1-Coefficients!$B$32,RAND())</f>
        <v>1</v>
      </c>
      <c r="H1693" s="0" t="n">
        <f aca="true">CRITBINOM(MAX(0,$C1693-D1693),MIN(0.6,Matchup!$B$40*SQRT($B1693)/(1-MIN(0.75,Matchup!$B$39*$B1693))),RAND())</f>
        <v>1</v>
      </c>
      <c r="I1693" s="0" t="n">
        <f aca="false">6*D1693+(D1693-E1693-G1693)+2*F1693+3*H1693</f>
        <v>23</v>
      </c>
      <c r="J1693" s="0" t="n">
        <f aca="true">CRITBINOM($C1693,MIN(0.75,Matchup!$C$39*$B1693),RAND())</f>
        <v>3</v>
      </c>
      <c r="K1693" s="0" t="n">
        <f aca="true">CRITBINOM(J1693,Coefficients!$B$30,RAND())</f>
        <v>1</v>
      </c>
      <c r="L1693" s="0" t="n">
        <f aca="true">CRITBINOM(K1693,Coefficients!$B$31,RAND())</f>
        <v>0</v>
      </c>
      <c r="M1693" s="0" t="n">
        <f aca="true">CRITBINOM(MAX(0,J1693-K1693),1-Coefficients!$B$32,RAND())</f>
        <v>0</v>
      </c>
      <c r="N1693" s="0" t="n">
        <f aca="true">CRITBINOM(MAX(0,$C1693-J1693),MIN(0.6,Matchup!$C$40*SQRT($B1693)/(1-MIN(0.75,Matchup!$C$39*$B1693))),RAND())</f>
        <v>0</v>
      </c>
      <c r="O1693" s="0" t="n">
        <f aca="false">6*J1693+(J1693-K1693-M1693)+2*L1693+3*N1693</f>
        <v>20</v>
      </c>
      <c r="P1693" s="0" t="n">
        <f aca="true">RAND()</f>
        <v>0.172520362769869</v>
      </c>
      <c r="Q1693" s="0" t="n">
        <f aca="true">RAND()</f>
        <v>0.709243499803727</v>
      </c>
      <c r="R1693" s="0" t="n">
        <f aca="false">IF($I1693&lt;&gt;$O1693,0,IF(P1693&lt;Matchup!$B$39,7,IF(P1693&lt;Matchup!$B$39+Matchup!$B$40,3,0)))</f>
        <v>0</v>
      </c>
      <c r="S1693" s="0" t="n">
        <f aca="false">IF($I1693&lt;&gt;$O1693,0,IF(Q1693&lt;Matchup!$C$39,7,IF(Q1693&lt;Matchup!$C$39+Matchup!$C$40,3,0)))</f>
        <v>0</v>
      </c>
      <c r="T1693" s="0" t="n">
        <f aca="false">I1693+R1693</f>
        <v>23</v>
      </c>
      <c r="U1693" s="0" t="n">
        <f aca="false">O1693+S1693</f>
        <v>20</v>
      </c>
      <c r="V1693" s="0" t="n">
        <f aca="false">T1693-U1693</f>
        <v>3</v>
      </c>
      <c r="W1693" s="0" t="n">
        <f aca="false">T1693+U1693</f>
        <v>43</v>
      </c>
    </row>
    <row r="1694" customFormat="false" ht="15" hidden="false" customHeight="false" outlineLevel="0" collapsed="false">
      <c r="A1694" s="0" t="n">
        <v>1691</v>
      </c>
      <c r="B1694" s="0" t="n">
        <f aca="true">NORMINV(RAND(),1,Coefficients!$B$22)</f>
        <v>1.00535158965323</v>
      </c>
      <c r="C1694" s="0" t="n">
        <f aca="true">MEDIAN(8,16,ROUND(NORMINV(RAND(),Coefficients!$B$20,Coefficients!$B$21),0))</f>
        <v>10</v>
      </c>
      <c r="D1694" s="0" t="n">
        <f aca="true">CRITBINOM($C1694,MIN(0.75,Matchup!$B$39*$B1694),RAND())</f>
        <v>2</v>
      </c>
      <c r="E1694" s="0" t="n">
        <f aca="true">CRITBINOM(D1694,Coefficients!$B$30,RAND())</f>
        <v>1</v>
      </c>
      <c r="F1694" s="0" t="n">
        <f aca="true">CRITBINOM(E1694,Coefficients!$B$31,RAND())</f>
        <v>1</v>
      </c>
      <c r="G1694" s="0" t="n">
        <f aca="true">CRITBINOM(MAX(0,D1694-E1694),1-Coefficients!$B$32,RAND())</f>
        <v>0</v>
      </c>
      <c r="H1694" s="0" t="n">
        <f aca="true">CRITBINOM(MAX(0,$C1694-D1694),MIN(0.6,Matchup!$B$40*SQRT($B1694)/(1-MIN(0.75,Matchup!$B$39*$B1694))),RAND())</f>
        <v>1</v>
      </c>
      <c r="I1694" s="0" t="n">
        <f aca="false">6*D1694+(D1694-E1694-G1694)+2*F1694+3*H1694</f>
        <v>18</v>
      </c>
      <c r="J1694" s="0" t="n">
        <f aca="true">CRITBINOM($C1694,MIN(0.75,Matchup!$C$39*$B1694),RAND())</f>
        <v>3</v>
      </c>
      <c r="K1694" s="0" t="n">
        <f aca="true">CRITBINOM(J1694,Coefficients!$B$30,RAND())</f>
        <v>1</v>
      </c>
      <c r="L1694" s="0" t="n">
        <f aca="true">CRITBINOM(K1694,Coefficients!$B$31,RAND())</f>
        <v>0</v>
      </c>
      <c r="M1694" s="0" t="n">
        <f aca="true">CRITBINOM(MAX(0,J1694-K1694),1-Coefficients!$B$32,RAND())</f>
        <v>0</v>
      </c>
      <c r="N1694" s="0" t="n">
        <f aca="true">CRITBINOM(MAX(0,$C1694-J1694),MIN(0.6,Matchup!$C$40*SQRT($B1694)/(1-MIN(0.75,Matchup!$C$39*$B1694))),RAND())</f>
        <v>0</v>
      </c>
      <c r="O1694" s="0" t="n">
        <f aca="false">6*J1694+(J1694-K1694-M1694)+2*L1694+3*N1694</f>
        <v>20</v>
      </c>
      <c r="P1694" s="0" t="n">
        <f aca="true">RAND()</f>
        <v>0.336250553652601</v>
      </c>
      <c r="Q1694" s="0" t="n">
        <f aca="true">RAND()</f>
        <v>0.203098929700544</v>
      </c>
      <c r="R1694" s="0" t="n">
        <f aca="false">IF($I1694&lt;&gt;$O1694,0,IF(P1694&lt;Matchup!$B$39,7,IF(P1694&lt;Matchup!$B$39+Matchup!$B$40,3,0)))</f>
        <v>0</v>
      </c>
      <c r="S1694" s="0" t="n">
        <f aca="false">IF($I1694&lt;&gt;$O1694,0,IF(Q1694&lt;Matchup!$C$39,7,IF(Q1694&lt;Matchup!$C$39+Matchup!$C$40,3,0)))</f>
        <v>0</v>
      </c>
      <c r="T1694" s="0" t="n">
        <f aca="false">I1694+R1694</f>
        <v>18</v>
      </c>
      <c r="U1694" s="0" t="n">
        <f aca="false">O1694+S1694</f>
        <v>20</v>
      </c>
      <c r="V1694" s="0" t="n">
        <f aca="false">T1694-U1694</f>
        <v>-2</v>
      </c>
      <c r="W1694" s="0" t="n">
        <f aca="false">T1694+U1694</f>
        <v>38</v>
      </c>
    </row>
    <row r="1695" customFormat="false" ht="15" hidden="false" customHeight="false" outlineLevel="0" collapsed="false">
      <c r="A1695" s="0" t="n">
        <v>1692</v>
      </c>
      <c r="B1695" s="0" t="n">
        <f aca="true">NORMINV(RAND(),1,Coefficients!$B$22)</f>
        <v>1.05694688733</v>
      </c>
      <c r="C1695" s="0" t="n">
        <f aca="true">MEDIAN(8,16,ROUND(NORMINV(RAND(),Coefficients!$B$20,Coefficients!$B$21),0))</f>
        <v>11</v>
      </c>
      <c r="D1695" s="0" t="n">
        <f aca="true">CRITBINOM($C1695,MIN(0.75,Matchup!$B$39*$B1695),RAND())</f>
        <v>2</v>
      </c>
      <c r="E1695" s="0" t="n">
        <f aca="true">CRITBINOM(D1695,Coefficients!$B$30,RAND())</f>
        <v>0</v>
      </c>
      <c r="F1695" s="0" t="n">
        <f aca="true">CRITBINOM(E1695,Coefficients!$B$31,RAND())</f>
        <v>0</v>
      </c>
      <c r="G1695" s="0" t="n">
        <f aca="true">CRITBINOM(MAX(0,D1695-E1695),1-Coefficients!$B$32,RAND())</f>
        <v>0</v>
      </c>
      <c r="H1695" s="0" t="n">
        <f aca="true">CRITBINOM(MAX(0,$C1695-D1695),MIN(0.6,Matchup!$B$40*SQRT($B1695)/(1-MIN(0.75,Matchup!$B$39*$B1695))),RAND())</f>
        <v>3</v>
      </c>
      <c r="I1695" s="0" t="n">
        <f aca="false">6*D1695+(D1695-E1695-G1695)+2*F1695+3*H1695</f>
        <v>23</v>
      </c>
      <c r="J1695" s="0" t="n">
        <f aca="true">CRITBINOM($C1695,MIN(0.75,Matchup!$C$39*$B1695),RAND())</f>
        <v>1</v>
      </c>
      <c r="K1695" s="0" t="n">
        <f aca="true">CRITBINOM(J1695,Coefficients!$B$30,RAND())</f>
        <v>0</v>
      </c>
      <c r="L1695" s="0" t="n">
        <f aca="true">CRITBINOM(K1695,Coefficients!$B$31,RAND())</f>
        <v>0</v>
      </c>
      <c r="M1695" s="0" t="n">
        <f aca="true">CRITBINOM(MAX(0,J1695-K1695),1-Coefficients!$B$32,RAND())</f>
        <v>0</v>
      </c>
      <c r="N1695" s="0" t="n">
        <f aca="true">CRITBINOM(MAX(0,$C1695-J1695),MIN(0.6,Matchup!$C$40*SQRT($B1695)/(1-MIN(0.75,Matchup!$C$39*$B1695))),RAND())</f>
        <v>0</v>
      </c>
      <c r="O1695" s="0" t="n">
        <f aca="false">6*J1695+(J1695-K1695-M1695)+2*L1695+3*N1695</f>
        <v>7</v>
      </c>
      <c r="P1695" s="0" t="n">
        <f aca="true">RAND()</f>
        <v>0.154925683580699</v>
      </c>
      <c r="Q1695" s="0" t="n">
        <f aca="true">RAND()</f>
        <v>0.713703390227258</v>
      </c>
      <c r="R1695" s="0" t="n">
        <f aca="false">IF($I1695&lt;&gt;$O1695,0,IF(P1695&lt;Matchup!$B$39,7,IF(P1695&lt;Matchup!$B$39+Matchup!$B$40,3,0)))</f>
        <v>0</v>
      </c>
      <c r="S1695" s="0" t="n">
        <f aca="false">IF($I1695&lt;&gt;$O1695,0,IF(Q1695&lt;Matchup!$C$39,7,IF(Q1695&lt;Matchup!$C$39+Matchup!$C$40,3,0)))</f>
        <v>0</v>
      </c>
      <c r="T1695" s="0" t="n">
        <f aca="false">I1695+R1695</f>
        <v>23</v>
      </c>
      <c r="U1695" s="0" t="n">
        <f aca="false">O1695+S1695</f>
        <v>7</v>
      </c>
      <c r="V1695" s="0" t="n">
        <f aca="false">T1695-U1695</f>
        <v>16</v>
      </c>
      <c r="W1695" s="0" t="n">
        <f aca="false">T1695+U1695</f>
        <v>30</v>
      </c>
    </row>
    <row r="1696" customFormat="false" ht="15" hidden="false" customHeight="false" outlineLevel="0" collapsed="false">
      <c r="A1696" s="0" t="n">
        <v>1693</v>
      </c>
      <c r="B1696" s="0" t="n">
        <f aca="true">NORMINV(RAND(),1,Coefficients!$B$22)</f>
        <v>0.98205894566891</v>
      </c>
      <c r="C1696" s="0" t="n">
        <f aca="true">MEDIAN(8,16,ROUND(NORMINV(RAND(),Coefficients!$B$20,Coefficients!$B$21),0))</f>
        <v>11</v>
      </c>
      <c r="D1696" s="0" t="n">
        <f aca="true">CRITBINOM($C1696,MIN(0.75,Matchup!$B$39*$B1696),RAND())</f>
        <v>3</v>
      </c>
      <c r="E1696" s="0" t="n">
        <f aca="true">CRITBINOM(D1696,Coefficients!$B$30,RAND())</f>
        <v>0</v>
      </c>
      <c r="F1696" s="0" t="n">
        <f aca="true">CRITBINOM(E1696,Coefficients!$B$31,RAND())</f>
        <v>0</v>
      </c>
      <c r="G1696" s="0" t="n">
        <f aca="true">CRITBINOM(MAX(0,D1696-E1696),1-Coefficients!$B$32,RAND())</f>
        <v>0</v>
      </c>
      <c r="H1696" s="0" t="n">
        <f aca="true">CRITBINOM(MAX(0,$C1696-D1696),MIN(0.6,Matchup!$B$40*SQRT($B1696)/(1-MIN(0.75,Matchup!$B$39*$B1696))),RAND())</f>
        <v>5</v>
      </c>
      <c r="I1696" s="0" t="n">
        <f aca="false">6*D1696+(D1696-E1696-G1696)+2*F1696+3*H1696</f>
        <v>36</v>
      </c>
      <c r="J1696" s="0" t="n">
        <f aca="true">CRITBINOM($C1696,MIN(0.75,Matchup!$C$39*$B1696),RAND())</f>
        <v>2</v>
      </c>
      <c r="K1696" s="0" t="n">
        <f aca="true">CRITBINOM(J1696,Coefficients!$B$30,RAND())</f>
        <v>0</v>
      </c>
      <c r="L1696" s="0" t="n">
        <f aca="true">CRITBINOM(K1696,Coefficients!$B$31,RAND())</f>
        <v>0</v>
      </c>
      <c r="M1696" s="0" t="n">
        <f aca="true">CRITBINOM(MAX(0,J1696-K1696),1-Coefficients!$B$32,RAND())</f>
        <v>0</v>
      </c>
      <c r="N1696" s="0" t="n">
        <f aca="true">CRITBINOM(MAX(0,$C1696-J1696),MIN(0.6,Matchup!$C$40*SQRT($B1696)/(1-MIN(0.75,Matchup!$C$39*$B1696))),RAND())</f>
        <v>3</v>
      </c>
      <c r="O1696" s="0" t="n">
        <f aca="false">6*J1696+(J1696-K1696-M1696)+2*L1696+3*N1696</f>
        <v>23</v>
      </c>
      <c r="P1696" s="0" t="n">
        <f aca="true">RAND()</f>
        <v>0.122900493633847</v>
      </c>
      <c r="Q1696" s="0" t="n">
        <f aca="true">RAND()</f>
        <v>0.143303995322568</v>
      </c>
      <c r="R1696" s="0" t="n">
        <f aca="false">IF($I1696&lt;&gt;$O1696,0,IF(P1696&lt;Matchup!$B$39,7,IF(P1696&lt;Matchup!$B$39+Matchup!$B$40,3,0)))</f>
        <v>0</v>
      </c>
      <c r="S1696" s="0" t="n">
        <f aca="false">IF($I1696&lt;&gt;$O1696,0,IF(Q1696&lt;Matchup!$C$39,7,IF(Q1696&lt;Matchup!$C$39+Matchup!$C$40,3,0)))</f>
        <v>0</v>
      </c>
      <c r="T1696" s="0" t="n">
        <f aca="false">I1696+R1696</f>
        <v>36</v>
      </c>
      <c r="U1696" s="0" t="n">
        <f aca="false">O1696+S1696</f>
        <v>23</v>
      </c>
      <c r="V1696" s="0" t="n">
        <f aca="false">T1696-U1696</f>
        <v>13</v>
      </c>
      <c r="W1696" s="0" t="n">
        <f aca="false">T1696+U1696</f>
        <v>59</v>
      </c>
    </row>
    <row r="1697" customFormat="false" ht="15" hidden="false" customHeight="false" outlineLevel="0" collapsed="false">
      <c r="A1697" s="0" t="n">
        <v>1694</v>
      </c>
      <c r="B1697" s="0" t="n">
        <f aca="true">NORMINV(RAND(),1,Coefficients!$B$22)</f>
        <v>1.0116159145341</v>
      </c>
      <c r="C1697" s="0" t="n">
        <f aca="true">MEDIAN(8,16,ROUND(NORMINV(RAND(),Coefficients!$B$20,Coefficients!$B$21),0))</f>
        <v>10</v>
      </c>
      <c r="D1697" s="0" t="n">
        <f aca="true">CRITBINOM($C1697,MIN(0.75,Matchup!$B$39*$B1697),RAND())</f>
        <v>3</v>
      </c>
      <c r="E1697" s="0" t="n">
        <f aca="true">CRITBINOM(D1697,Coefficients!$B$30,RAND())</f>
        <v>0</v>
      </c>
      <c r="F1697" s="0" t="n">
        <f aca="true">CRITBINOM(E1697,Coefficients!$B$31,RAND())</f>
        <v>0</v>
      </c>
      <c r="G1697" s="0" t="n">
        <f aca="true">CRITBINOM(MAX(0,D1697-E1697),1-Coefficients!$B$32,RAND())</f>
        <v>0</v>
      </c>
      <c r="H1697" s="0" t="n">
        <f aca="true">CRITBINOM(MAX(0,$C1697-D1697),MIN(0.6,Matchup!$B$40*SQRT($B1697)/(1-MIN(0.75,Matchup!$B$39*$B1697))),RAND())</f>
        <v>1</v>
      </c>
      <c r="I1697" s="0" t="n">
        <f aca="false">6*D1697+(D1697-E1697-G1697)+2*F1697+3*H1697</f>
        <v>24</v>
      </c>
      <c r="J1697" s="0" t="n">
        <f aca="true">CRITBINOM($C1697,MIN(0.75,Matchup!$C$39*$B1697),RAND())</f>
        <v>3</v>
      </c>
      <c r="K1697" s="0" t="n">
        <f aca="true">CRITBINOM(J1697,Coefficients!$B$30,RAND())</f>
        <v>0</v>
      </c>
      <c r="L1697" s="0" t="n">
        <f aca="true">CRITBINOM(K1697,Coefficients!$B$31,RAND())</f>
        <v>0</v>
      </c>
      <c r="M1697" s="0" t="n">
        <f aca="true">CRITBINOM(MAX(0,J1697-K1697),1-Coefficients!$B$32,RAND())</f>
        <v>0</v>
      </c>
      <c r="N1697" s="0" t="n">
        <f aca="true">CRITBINOM(MAX(0,$C1697-J1697),MIN(0.6,Matchup!$C$40*SQRT($B1697)/(1-MIN(0.75,Matchup!$C$39*$B1697))),RAND())</f>
        <v>2</v>
      </c>
      <c r="O1697" s="0" t="n">
        <f aca="false">6*J1697+(J1697-K1697-M1697)+2*L1697+3*N1697</f>
        <v>27</v>
      </c>
      <c r="P1697" s="0" t="n">
        <f aca="true">RAND()</f>
        <v>0.666489280064235</v>
      </c>
      <c r="Q1697" s="0" t="n">
        <f aca="true">RAND()</f>
        <v>0.208455181782068</v>
      </c>
      <c r="R1697" s="0" t="n">
        <f aca="false">IF($I1697&lt;&gt;$O1697,0,IF(P1697&lt;Matchup!$B$39,7,IF(P1697&lt;Matchup!$B$39+Matchup!$B$40,3,0)))</f>
        <v>0</v>
      </c>
      <c r="S1697" s="0" t="n">
        <f aca="false">IF($I1697&lt;&gt;$O1697,0,IF(Q1697&lt;Matchup!$C$39,7,IF(Q1697&lt;Matchup!$C$39+Matchup!$C$40,3,0)))</f>
        <v>0</v>
      </c>
      <c r="T1697" s="0" t="n">
        <f aca="false">I1697+R1697</f>
        <v>24</v>
      </c>
      <c r="U1697" s="0" t="n">
        <f aca="false">O1697+S1697</f>
        <v>27</v>
      </c>
      <c r="V1697" s="0" t="n">
        <f aca="false">T1697-U1697</f>
        <v>-3</v>
      </c>
      <c r="W1697" s="0" t="n">
        <f aca="false">T1697+U1697</f>
        <v>51</v>
      </c>
    </row>
    <row r="1698" customFormat="false" ht="15" hidden="false" customHeight="false" outlineLevel="0" collapsed="false">
      <c r="A1698" s="0" t="n">
        <v>1695</v>
      </c>
      <c r="B1698" s="0" t="n">
        <f aca="true">NORMINV(RAND(),1,Coefficients!$B$22)</f>
        <v>1.03069379279006</v>
      </c>
      <c r="C1698" s="0" t="n">
        <f aca="true">MEDIAN(8,16,ROUND(NORMINV(RAND(),Coefficients!$B$20,Coefficients!$B$21),0))</f>
        <v>10</v>
      </c>
      <c r="D1698" s="0" t="n">
        <f aca="true">CRITBINOM($C1698,MIN(0.75,Matchup!$B$39*$B1698),RAND())</f>
        <v>2</v>
      </c>
      <c r="E1698" s="0" t="n">
        <f aca="true">CRITBINOM(D1698,Coefficients!$B$30,RAND())</f>
        <v>0</v>
      </c>
      <c r="F1698" s="0" t="n">
        <f aca="true">CRITBINOM(E1698,Coefficients!$B$31,RAND())</f>
        <v>0</v>
      </c>
      <c r="G1698" s="0" t="n">
        <f aca="true">CRITBINOM(MAX(0,D1698-E1698),1-Coefficients!$B$32,RAND())</f>
        <v>0</v>
      </c>
      <c r="H1698" s="0" t="n">
        <f aca="true">CRITBINOM(MAX(0,$C1698-D1698),MIN(0.6,Matchup!$B$40*SQRT($B1698)/(1-MIN(0.75,Matchup!$B$39*$B1698))),RAND())</f>
        <v>1</v>
      </c>
      <c r="I1698" s="0" t="n">
        <f aca="false">6*D1698+(D1698-E1698-G1698)+2*F1698+3*H1698</f>
        <v>17</v>
      </c>
      <c r="J1698" s="0" t="n">
        <f aca="true">CRITBINOM($C1698,MIN(0.75,Matchup!$C$39*$B1698),RAND())</f>
        <v>5</v>
      </c>
      <c r="K1698" s="0" t="n">
        <f aca="true">CRITBINOM(J1698,Coefficients!$B$30,RAND())</f>
        <v>1</v>
      </c>
      <c r="L1698" s="0" t="n">
        <f aca="true">CRITBINOM(K1698,Coefficients!$B$31,RAND())</f>
        <v>1</v>
      </c>
      <c r="M1698" s="0" t="n">
        <f aca="true">CRITBINOM(MAX(0,J1698-K1698),1-Coefficients!$B$32,RAND())</f>
        <v>0</v>
      </c>
      <c r="N1698" s="0" t="n">
        <f aca="true">CRITBINOM(MAX(0,$C1698-J1698),MIN(0.6,Matchup!$C$40*SQRT($B1698)/(1-MIN(0.75,Matchup!$C$39*$B1698))),RAND())</f>
        <v>2</v>
      </c>
      <c r="O1698" s="0" t="n">
        <f aca="false">6*J1698+(J1698-K1698-M1698)+2*L1698+3*N1698</f>
        <v>42</v>
      </c>
      <c r="P1698" s="0" t="n">
        <f aca="true">RAND()</f>
        <v>0.431485709896075</v>
      </c>
      <c r="Q1698" s="0" t="n">
        <f aca="true">RAND()</f>
        <v>0.0751794797996177</v>
      </c>
      <c r="R1698" s="0" t="n">
        <f aca="false">IF($I1698&lt;&gt;$O1698,0,IF(P1698&lt;Matchup!$B$39,7,IF(P1698&lt;Matchup!$B$39+Matchup!$B$40,3,0)))</f>
        <v>0</v>
      </c>
      <c r="S1698" s="0" t="n">
        <f aca="false">IF($I1698&lt;&gt;$O1698,0,IF(Q1698&lt;Matchup!$C$39,7,IF(Q1698&lt;Matchup!$C$39+Matchup!$C$40,3,0)))</f>
        <v>0</v>
      </c>
      <c r="T1698" s="0" t="n">
        <f aca="false">I1698+R1698</f>
        <v>17</v>
      </c>
      <c r="U1698" s="0" t="n">
        <f aca="false">O1698+S1698</f>
        <v>42</v>
      </c>
      <c r="V1698" s="0" t="n">
        <f aca="false">T1698-U1698</f>
        <v>-25</v>
      </c>
      <c r="W1698" s="0" t="n">
        <f aca="false">T1698+U1698</f>
        <v>59</v>
      </c>
    </row>
    <row r="1699" customFormat="false" ht="15" hidden="false" customHeight="false" outlineLevel="0" collapsed="false">
      <c r="A1699" s="0" t="n">
        <v>1696</v>
      </c>
      <c r="B1699" s="0" t="n">
        <f aca="true">NORMINV(RAND(),1,Coefficients!$B$22)</f>
        <v>1.052034297194</v>
      </c>
      <c r="C1699" s="0" t="n">
        <f aca="true">MEDIAN(8,16,ROUND(NORMINV(RAND(),Coefficients!$B$20,Coefficients!$B$21),0))</f>
        <v>12</v>
      </c>
      <c r="D1699" s="0" t="n">
        <f aca="true">CRITBINOM($C1699,MIN(0.75,Matchup!$B$39*$B1699),RAND())</f>
        <v>2</v>
      </c>
      <c r="E1699" s="0" t="n">
        <f aca="true">CRITBINOM(D1699,Coefficients!$B$30,RAND())</f>
        <v>1</v>
      </c>
      <c r="F1699" s="0" t="n">
        <f aca="true">CRITBINOM(E1699,Coefficients!$B$31,RAND())</f>
        <v>1</v>
      </c>
      <c r="G1699" s="0" t="n">
        <f aca="true">CRITBINOM(MAX(0,D1699-E1699),1-Coefficients!$B$32,RAND())</f>
        <v>1</v>
      </c>
      <c r="H1699" s="0" t="n">
        <f aca="true">CRITBINOM(MAX(0,$C1699-D1699),MIN(0.6,Matchup!$B$40*SQRT($B1699)/(1-MIN(0.75,Matchup!$B$39*$B1699))),RAND())</f>
        <v>5</v>
      </c>
      <c r="I1699" s="0" t="n">
        <f aca="false">6*D1699+(D1699-E1699-G1699)+2*F1699+3*H1699</f>
        <v>29</v>
      </c>
      <c r="J1699" s="0" t="n">
        <f aca="true">CRITBINOM($C1699,MIN(0.75,Matchup!$C$39*$B1699),RAND())</f>
        <v>2</v>
      </c>
      <c r="K1699" s="0" t="n">
        <f aca="true">CRITBINOM(J1699,Coefficients!$B$30,RAND())</f>
        <v>0</v>
      </c>
      <c r="L1699" s="0" t="n">
        <f aca="true">CRITBINOM(K1699,Coefficients!$B$31,RAND())</f>
        <v>0</v>
      </c>
      <c r="M1699" s="0" t="n">
        <f aca="true">CRITBINOM(MAX(0,J1699-K1699),1-Coefficients!$B$32,RAND())</f>
        <v>1</v>
      </c>
      <c r="N1699" s="0" t="n">
        <f aca="true">CRITBINOM(MAX(0,$C1699-J1699),MIN(0.6,Matchup!$C$40*SQRT($B1699)/(1-MIN(0.75,Matchup!$C$39*$B1699))),RAND())</f>
        <v>5</v>
      </c>
      <c r="O1699" s="0" t="n">
        <f aca="false">6*J1699+(J1699-K1699-M1699)+2*L1699+3*N1699</f>
        <v>28</v>
      </c>
      <c r="P1699" s="0" t="n">
        <f aca="true">RAND()</f>
        <v>0.489823931008249</v>
      </c>
      <c r="Q1699" s="0" t="n">
        <f aca="true">RAND()</f>
        <v>0.114384462312033</v>
      </c>
      <c r="R1699" s="0" t="n">
        <f aca="false">IF($I1699&lt;&gt;$O1699,0,IF(P1699&lt;Matchup!$B$39,7,IF(P1699&lt;Matchup!$B$39+Matchup!$B$40,3,0)))</f>
        <v>0</v>
      </c>
      <c r="S1699" s="0" t="n">
        <f aca="false">IF($I1699&lt;&gt;$O1699,0,IF(Q1699&lt;Matchup!$C$39,7,IF(Q1699&lt;Matchup!$C$39+Matchup!$C$40,3,0)))</f>
        <v>0</v>
      </c>
      <c r="T1699" s="0" t="n">
        <f aca="false">I1699+R1699</f>
        <v>29</v>
      </c>
      <c r="U1699" s="0" t="n">
        <f aca="false">O1699+S1699</f>
        <v>28</v>
      </c>
      <c r="V1699" s="0" t="n">
        <f aca="false">T1699-U1699</f>
        <v>1</v>
      </c>
      <c r="W1699" s="0" t="n">
        <f aca="false">T1699+U1699</f>
        <v>57</v>
      </c>
    </row>
    <row r="1700" customFormat="false" ht="15" hidden="false" customHeight="false" outlineLevel="0" collapsed="false">
      <c r="A1700" s="0" t="n">
        <v>1697</v>
      </c>
      <c r="B1700" s="0" t="n">
        <f aca="true">NORMINV(RAND(),1,Coefficients!$B$22)</f>
        <v>0.948967374571275</v>
      </c>
      <c r="C1700" s="0" t="n">
        <f aca="true">MEDIAN(8,16,ROUND(NORMINV(RAND(),Coefficients!$B$20,Coefficients!$B$21),0))</f>
        <v>11</v>
      </c>
      <c r="D1700" s="0" t="n">
        <f aca="true">CRITBINOM($C1700,MIN(0.75,Matchup!$B$39*$B1700),RAND())</f>
        <v>1</v>
      </c>
      <c r="E1700" s="0" t="n">
        <f aca="true">CRITBINOM(D1700,Coefficients!$B$30,RAND())</f>
        <v>0</v>
      </c>
      <c r="F1700" s="0" t="n">
        <f aca="true">CRITBINOM(E1700,Coefficients!$B$31,RAND())</f>
        <v>0</v>
      </c>
      <c r="G1700" s="0" t="n">
        <f aca="true">CRITBINOM(MAX(0,D1700-E1700),1-Coefficients!$B$32,RAND())</f>
        <v>0</v>
      </c>
      <c r="H1700" s="0" t="n">
        <f aca="true">CRITBINOM(MAX(0,$C1700-D1700),MIN(0.6,Matchup!$B$40*SQRT($B1700)/(1-MIN(0.75,Matchup!$B$39*$B1700))),RAND())</f>
        <v>4</v>
      </c>
      <c r="I1700" s="0" t="n">
        <f aca="false">6*D1700+(D1700-E1700-G1700)+2*F1700+3*H1700</f>
        <v>19</v>
      </c>
      <c r="J1700" s="0" t="n">
        <f aca="true">CRITBINOM($C1700,MIN(0.75,Matchup!$C$39*$B1700),RAND())</f>
        <v>1</v>
      </c>
      <c r="K1700" s="0" t="n">
        <f aca="true">CRITBINOM(J1700,Coefficients!$B$30,RAND())</f>
        <v>0</v>
      </c>
      <c r="L1700" s="0" t="n">
        <f aca="true">CRITBINOM(K1700,Coefficients!$B$31,RAND())</f>
        <v>0</v>
      </c>
      <c r="M1700" s="0" t="n">
        <f aca="true">CRITBINOM(MAX(0,J1700-K1700),1-Coefficients!$B$32,RAND())</f>
        <v>0</v>
      </c>
      <c r="N1700" s="0" t="n">
        <f aca="true">CRITBINOM(MAX(0,$C1700-J1700),MIN(0.6,Matchup!$C$40*SQRT($B1700)/(1-MIN(0.75,Matchup!$C$39*$B1700))),RAND())</f>
        <v>0</v>
      </c>
      <c r="O1700" s="0" t="n">
        <f aca="false">6*J1700+(J1700-K1700-M1700)+2*L1700+3*N1700</f>
        <v>7</v>
      </c>
      <c r="P1700" s="0" t="n">
        <f aca="true">RAND()</f>
        <v>0.23639728133578</v>
      </c>
      <c r="Q1700" s="0" t="n">
        <f aca="true">RAND()</f>
        <v>0.570963772830033</v>
      </c>
      <c r="R1700" s="0" t="n">
        <f aca="false">IF($I1700&lt;&gt;$O1700,0,IF(P1700&lt;Matchup!$B$39,7,IF(P1700&lt;Matchup!$B$39+Matchup!$B$40,3,0)))</f>
        <v>0</v>
      </c>
      <c r="S1700" s="0" t="n">
        <f aca="false">IF($I1700&lt;&gt;$O1700,0,IF(Q1700&lt;Matchup!$C$39,7,IF(Q1700&lt;Matchup!$C$39+Matchup!$C$40,3,0)))</f>
        <v>0</v>
      </c>
      <c r="T1700" s="0" t="n">
        <f aca="false">I1700+R1700</f>
        <v>19</v>
      </c>
      <c r="U1700" s="0" t="n">
        <f aca="false">O1700+S1700</f>
        <v>7</v>
      </c>
      <c r="V1700" s="0" t="n">
        <f aca="false">T1700-U1700</f>
        <v>12</v>
      </c>
      <c r="W1700" s="0" t="n">
        <f aca="false">T1700+U1700</f>
        <v>26</v>
      </c>
    </row>
    <row r="1701" customFormat="false" ht="15" hidden="false" customHeight="false" outlineLevel="0" collapsed="false">
      <c r="A1701" s="0" t="n">
        <v>1698</v>
      </c>
      <c r="B1701" s="0" t="n">
        <f aca="true">NORMINV(RAND(),1,Coefficients!$B$22)</f>
        <v>0.989667132144924</v>
      </c>
      <c r="C1701" s="0" t="n">
        <f aca="true">MEDIAN(8,16,ROUND(NORMINV(RAND(),Coefficients!$B$20,Coefficients!$B$21),0))</f>
        <v>10</v>
      </c>
      <c r="D1701" s="0" t="n">
        <f aca="true">CRITBINOM($C1701,MIN(0.75,Matchup!$B$39*$B1701),RAND())</f>
        <v>3</v>
      </c>
      <c r="E1701" s="0" t="n">
        <f aca="true">CRITBINOM(D1701,Coefficients!$B$30,RAND())</f>
        <v>0</v>
      </c>
      <c r="F1701" s="0" t="n">
        <f aca="true">CRITBINOM(E1701,Coefficients!$B$31,RAND())</f>
        <v>0</v>
      </c>
      <c r="G1701" s="0" t="n">
        <f aca="true">CRITBINOM(MAX(0,D1701-E1701),1-Coefficients!$B$32,RAND())</f>
        <v>0</v>
      </c>
      <c r="H1701" s="0" t="n">
        <f aca="true">CRITBINOM(MAX(0,$C1701-D1701),MIN(0.6,Matchup!$B$40*SQRT($B1701)/(1-MIN(0.75,Matchup!$B$39*$B1701))),RAND())</f>
        <v>2</v>
      </c>
      <c r="I1701" s="0" t="n">
        <f aca="false">6*D1701+(D1701-E1701-G1701)+2*F1701+3*H1701</f>
        <v>27</v>
      </c>
      <c r="J1701" s="0" t="n">
        <f aca="true">CRITBINOM($C1701,MIN(0.75,Matchup!$C$39*$B1701),RAND())</f>
        <v>2</v>
      </c>
      <c r="K1701" s="0" t="n">
        <f aca="true">CRITBINOM(J1701,Coefficients!$B$30,RAND())</f>
        <v>0</v>
      </c>
      <c r="L1701" s="0" t="n">
        <f aca="true">CRITBINOM(K1701,Coefficients!$B$31,RAND())</f>
        <v>0</v>
      </c>
      <c r="M1701" s="0" t="n">
        <f aca="true">CRITBINOM(MAX(0,J1701-K1701),1-Coefficients!$B$32,RAND())</f>
        <v>0</v>
      </c>
      <c r="N1701" s="0" t="n">
        <f aca="true">CRITBINOM(MAX(0,$C1701-J1701),MIN(0.6,Matchup!$C$40*SQRT($B1701)/(1-MIN(0.75,Matchup!$C$39*$B1701))),RAND())</f>
        <v>2</v>
      </c>
      <c r="O1701" s="0" t="n">
        <f aca="false">6*J1701+(J1701-K1701-M1701)+2*L1701+3*N1701</f>
        <v>20</v>
      </c>
      <c r="P1701" s="0" t="n">
        <f aca="true">RAND()</f>
        <v>0.405346423927792</v>
      </c>
      <c r="Q1701" s="0" t="n">
        <f aca="true">RAND()</f>
        <v>0.324219605223145</v>
      </c>
      <c r="R1701" s="0" t="n">
        <f aca="false">IF($I1701&lt;&gt;$O1701,0,IF(P1701&lt;Matchup!$B$39,7,IF(P1701&lt;Matchup!$B$39+Matchup!$B$40,3,0)))</f>
        <v>0</v>
      </c>
      <c r="S1701" s="0" t="n">
        <f aca="false">IF($I1701&lt;&gt;$O1701,0,IF(Q1701&lt;Matchup!$C$39,7,IF(Q1701&lt;Matchup!$C$39+Matchup!$C$40,3,0)))</f>
        <v>0</v>
      </c>
      <c r="T1701" s="0" t="n">
        <f aca="false">I1701+R1701</f>
        <v>27</v>
      </c>
      <c r="U1701" s="0" t="n">
        <f aca="false">O1701+S1701</f>
        <v>20</v>
      </c>
      <c r="V1701" s="0" t="n">
        <f aca="false">T1701-U1701</f>
        <v>7</v>
      </c>
      <c r="W1701" s="0" t="n">
        <f aca="false">T1701+U1701</f>
        <v>47</v>
      </c>
    </row>
    <row r="1702" customFormat="false" ht="15" hidden="false" customHeight="false" outlineLevel="0" collapsed="false">
      <c r="A1702" s="0" t="n">
        <v>1699</v>
      </c>
      <c r="B1702" s="0" t="n">
        <f aca="true">NORMINV(RAND(),1,Coefficients!$B$22)</f>
        <v>1.02426678555975</v>
      </c>
      <c r="C1702" s="0" t="n">
        <f aca="true">MEDIAN(8,16,ROUND(NORMINV(RAND(),Coefficients!$B$20,Coefficients!$B$21),0))</f>
        <v>11</v>
      </c>
      <c r="D1702" s="0" t="n">
        <f aca="true">CRITBINOM($C1702,MIN(0.75,Matchup!$B$39*$B1702),RAND())</f>
        <v>1</v>
      </c>
      <c r="E1702" s="0" t="n">
        <f aca="true">CRITBINOM(D1702,Coefficients!$B$30,RAND())</f>
        <v>1</v>
      </c>
      <c r="F1702" s="0" t="n">
        <f aca="true">CRITBINOM(E1702,Coefficients!$B$31,RAND())</f>
        <v>0</v>
      </c>
      <c r="G1702" s="0" t="n">
        <f aca="true">CRITBINOM(MAX(0,D1702-E1702),1-Coefficients!$B$32,RAND())</f>
        <v>0</v>
      </c>
      <c r="H1702" s="0" t="n">
        <f aca="true">CRITBINOM(MAX(0,$C1702-D1702),MIN(0.6,Matchup!$B$40*SQRT($B1702)/(1-MIN(0.75,Matchup!$B$39*$B1702))),RAND())</f>
        <v>2</v>
      </c>
      <c r="I1702" s="0" t="n">
        <f aca="false">6*D1702+(D1702-E1702-G1702)+2*F1702+3*H1702</f>
        <v>12</v>
      </c>
      <c r="J1702" s="0" t="n">
        <f aca="true">CRITBINOM($C1702,MIN(0.75,Matchup!$C$39*$B1702),RAND())</f>
        <v>1</v>
      </c>
      <c r="K1702" s="0" t="n">
        <f aca="true">CRITBINOM(J1702,Coefficients!$B$30,RAND())</f>
        <v>0</v>
      </c>
      <c r="L1702" s="0" t="n">
        <f aca="true">CRITBINOM(K1702,Coefficients!$B$31,RAND())</f>
        <v>0</v>
      </c>
      <c r="M1702" s="0" t="n">
        <f aca="true">CRITBINOM(MAX(0,J1702-K1702),1-Coefficients!$B$32,RAND())</f>
        <v>0</v>
      </c>
      <c r="N1702" s="0" t="n">
        <f aca="true">CRITBINOM(MAX(0,$C1702-J1702),MIN(0.6,Matchup!$C$40*SQRT($B1702)/(1-MIN(0.75,Matchup!$C$39*$B1702))),RAND())</f>
        <v>3</v>
      </c>
      <c r="O1702" s="0" t="n">
        <f aca="false">6*J1702+(J1702-K1702-M1702)+2*L1702+3*N1702</f>
        <v>16</v>
      </c>
      <c r="P1702" s="0" t="n">
        <f aca="true">RAND()</f>
        <v>0.644790150868486</v>
      </c>
      <c r="Q1702" s="0" t="n">
        <f aca="true">RAND()</f>
        <v>0.0782359162971991</v>
      </c>
      <c r="R1702" s="0" t="n">
        <f aca="false">IF($I1702&lt;&gt;$O1702,0,IF(P1702&lt;Matchup!$B$39,7,IF(P1702&lt;Matchup!$B$39+Matchup!$B$40,3,0)))</f>
        <v>0</v>
      </c>
      <c r="S1702" s="0" t="n">
        <f aca="false">IF($I1702&lt;&gt;$O1702,0,IF(Q1702&lt;Matchup!$C$39,7,IF(Q1702&lt;Matchup!$C$39+Matchup!$C$40,3,0)))</f>
        <v>0</v>
      </c>
      <c r="T1702" s="0" t="n">
        <f aca="false">I1702+R1702</f>
        <v>12</v>
      </c>
      <c r="U1702" s="0" t="n">
        <f aca="false">O1702+S1702</f>
        <v>16</v>
      </c>
      <c r="V1702" s="0" t="n">
        <f aca="false">T1702-U1702</f>
        <v>-4</v>
      </c>
      <c r="W1702" s="0" t="n">
        <f aca="false">T1702+U1702</f>
        <v>28</v>
      </c>
    </row>
    <row r="1703" customFormat="false" ht="15" hidden="false" customHeight="false" outlineLevel="0" collapsed="false">
      <c r="A1703" s="0" t="n">
        <v>1700</v>
      </c>
      <c r="B1703" s="0" t="n">
        <f aca="true">NORMINV(RAND(),1,Coefficients!$B$22)</f>
        <v>1.0080856309224</v>
      </c>
      <c r="C1703" s="0" t="n">
        <f aca="true">MEDIAN(8,16,ROUND(NORMINV(RAND(),Coefficients!$B$20,Coefficients!$B$21),0))</f>
        <v>12</v>
      </c>
      <c r="D1703" s="0" t="n">
        <f aca="true">CRITBINOM($C1703,MIN(0.75,Matchup!$B$39*$B1703),RAND())</f>
        <v>1</v>
      </c>
      <c r="E1703" s="0" t="n">
        <f aca="true">CRITBINOM(D1703,Coefficients!$B$30,RAND())</f>
        <v>0</v>
      </c>
      <c r="F1703" s="0" t="n">
        <f aca="true">CRITBINOM(E1703,Coefficients!$B$31,RAND())</f>
        <v>0</v>
      </c>
      <c r="G1703" s="0" t="n">
        <f aca="true">CRITBINOM(MAX(0,D1703-E1703),1-Coefficients!$B$32,RAND())</f>
        <v>0</v>
      </c>
      <c r="H1703" s="0" t="n">
        <f aca="true">CRITBINOM(MAX(0,$C1703-D1703),MIN(0.6,Matchup!$B$40*SQRT($B1703)/(1-MIN(0.75,Matchup!$B$39*$B1703))),RAND())</f>
        <v>0</v>
      </c>
      <c r="I1703" s="0" t="n">
        <f aca="false">6*D1703+(D1703-E1703-G1703)+2*F1703+3*H1703</f>
        <v>7</v>
      </c>
      <c r="J1703" s="0" t="n">
        <f aca="true">CRITBINOM($C1703,MIN(0.75,Matchup!$C$39*$B1703),RAND())</f>
        <v>3</v>
      </c>
      <c r="K1703" s="0" t="n">
        <f aca="true">CRITBINOM(J1703,Coefficients!$B$30,RAND())</f>
        <v>1</v>
      </c>
      <c r="L1703" s="0" t="n">
        <f aca="true">CRITBINOM(K1703,Coefficients!$B$31,RAND())</f>
        <v>1</v>
      </c>
      <c r="M1703" s="0" t="n">
        <f aca="true">CRITBINOM(MAX(0,J1703-K1703),1-Coefficients!$B$32,RAND())</f>
        <v>0</v>
      </c>
      <c r="N1703" s="0" t="n">
        <f aca="true">CRITBINOM(MAX(0,$C1703-J1703),MIN(0.6,Matchup!$C$40*SQRT($B1703)/(1-MIN(0.75,Matchup!$C$39*$B1703))),RAND())</f>
        <v>1</v>
      </c>
      <c r="O1703" s="0" t="n">
        <f aca="false">6*J1703+(J1703-K1703-M1703)+2*L1703+3*N1703</f>
        <v>25</v>
      </c>
      <c r="P1703" s="0" t="n">
        <f aca="true">RAND()</f>
        <v>0.532455720347978</v>
      </c>
      <c r="Q1703" s="0" t="n">
        <f aca="true">RAND()</f>
        <v>0.948684330069363</v>
      </c>
      <c r="R1703" s="0" t="n">
        <f aca="false">IF($I1703&lt;&gt;$O1703,0,IF(P1703&lt;Matchup!$B$39,7,IF(P1703&lt;Matchup!$B$39+Matchup!$B$40,3,0)))</f>
        <v>0</v>
      </c>
      <c r="S1703" s="0" t="n">
        <f aca="false">IF($I1703&lt;&gt;$O1703,0,IF(Q1703&lt;Matchup!$C$39,7,IF(Q1703&lt;Matchup!$C$39+Matchup!$C$40,3,0)))</f>
        <v>0</v>
      </c>
      <c r="T1703" s="0" t="n">
        <f aca="false">I1703+R1703</f>
        <v>7</v>
      </c>
      <c r="U1703" s="0" t="n">
        <f aca="false">O1703+S1703</f>
        <v>25</v>
      </c>
      <c r="V1703" s="0" t="n">
        <f aca="false">T1703-U1703</f>
        <v>-18</v>
      </c>
      <c r="W1703" s="0" t="n">
        <f aca="false">T1703+U1703</f>
        <v>32</v>
      </c>
    </row>
    <row r="1704" customFormat="false" ht="15" hidden="false" customHeight="false" outlineLevel="0" collapsed="false">
      <c r="A1704" s="0" t="n">
        <v>1701</v>
      </c>
      <c r="B1704" s="0" t="n">
        <f aca="true">NORMINV(RAND(),1,Coefficients!$B$22)</f>
        <v>0.924779042344745</v>
      </c>
      <c r="C1704" s="0" t="n">
        <f aca="true">MEDIAN(8,16,ROUND(NORMINV(RAND(),Coefficients!$B$20,Coefficients!$B$21),0))</f>
        <v>12</v>
      </c>
      <c r="D1704" s="0" t="n">
        <f aca="true">CRITBINOM($C1704,MIN(0.75,Matchup!$B$39*$B1704),RAND())</f>
        <v>4</v>
      </c>
      <c r="E1704" s="0" t="n">
        <f aca="true">CRITBINOM(D1704,Coefficients!$B$30,RAND())</f>
        <v>1</v>
      </c>
      <c r="F1704" s="0" t="n">
        <f aca="true">CRITBINOM(E1704,Coefficients!$B$31,RAND())</f>
        <v>0</v>
      </c>
      <c r="G1704" s="0" t="n">
        <f aca="true">CRITBINOM(MAX(0,D1704-E1704),1-Coefficients!$B$32,RAND())</f>
        <v>0</v>
      </c>
      <c r="H1704" s="0" t="n">
        <f aca="true">CRITBINOM(MAX(0,$C1704-D1704),MIN(0.6,Matchup!$B$40*SQRT($B1704)/(1-MIN(0.75,Matchup!$B$39*$B1704))),RAND())</f>
        <v>2</v>
      </c>
      <c r="I1704" s="0" t="n">
        <f aca="false">6*D1704+(D1704-E1704-G1704)+2*F1704+3*H1704</f>
        <v>33</v>
      </c>
      <c r="J1704" s="0" t="n">
        <f aca="true">CRITBINOM($C1704,MIN(0.75,Matchup!$C$39*$B1704),RAND())</f>
        <v>2</v>
      </c>
      <c r="K1704" s="0" t="n">
        <f aca="true">CRITBINOM(J1704,Coefficients!$B$30,RAND())</f>
        <v>0</v>
      </c>
      <c r="L1704" s="0" t="n">
        <f aca="true">CRITBINOM(K1704,Coefficients!$B$31,RAND())</f>
        <v>0</v>
      </c>
      <c r="M1704" s="0" t="n">
        <f aca="true">CRITBINOM(MAX(0,J1704-K1704),1-Coefficients!$B$32,RAND())</f>
        <v>0</v>
      </c>
      <c r="N1704" s="0" t="n">
        <f aca="true">CRITBINOM(MAX(0,$C1704-J1704),MIN(0.6,Matchup!$C$40*SQRT($B1704)/(1-MIN(0.75,Matchup!$C$39*$B1704))),RAND())</f>
        <v>2</v>
      </c>
      <c r="O1704" s="0" t="n">
        <f aca="false">6*J1704+(J1704-K1704-M1704)+2*L1704+3*N1704</f>
        <v>20</v>
      </c>
      <c r="P1704" s="0" t="n">
        <f aca="true">RAND()</f>
        <v>0.846747005521792</v>
      </c>
      <c r="Q1704" s="0" t="n">
        <f aca="true">RAND()</f>
        <v>0.635404903046028</v>
      </c>
      <c r="R1704" s="0" t="n">
        <f aca="false">IF($I1704&lt;&gt;$O1704,0,IF(P1704&lt;Matchup!$B$39,7,IF(P1704&lt;Matchup!$B$39+Matchup!$B$40,3,0)))</f>
        <v>0</v>
      </c>
      <c r="S1704" s="0" t="n">
        <f aca="false">IF($I1704&lt;&gt;$O1704,0,IF(Q1704&lt;Matchup!$C$39,7,IF(Q1704&lt;Matchup!$C$39+Matchup!$C$40,3,0)))</f>
        <v>0</v>
      </c>
      <c r="T1704" s="0" t="n">
        <f aca="false">I1704+R1704</f>
        <v>33</v>
      </c>
      <c r="U1704" s="0" t="n">
        <f aca="false">O1704+S1704</f>
        <v>20</v>
      </c>
      <c r="V1704" s="0" t="n">
        <f aca="false">T1704-U1704</f>
        <v>13</v>
      </c>
      <c r="W1704" s="0" t="n">
        <f aca="false">T1704+U1704</f>
        <v>53</v>
      </c>
    </row>
    <row r="1705" customFormat="false" ht="15" hidden="false" customHeight="false" outlineLevel="0" collapsed="false">
      <c r="A1705" s="0" t="n">
        <v>1702</v>
      </c>
      <c r="B1705" s="0" t="n">
        <f aca="true">NORMINV(RAND(),1,Coefficients!$B$22)</f>
        <v>1.04237853835209</v>
      </c>
      <c r="C1705" s="0" t="n">
        <f aca="true">MEDIAN(8,16,ROUND(NORMINV(RAND(),Coefficients!$B$20,Coefficients!$B$21),0))</f>
        <v>8</v>
      </c>
      <c r="D1705" s="0" t="n">
        <f aca="true">CRITBINOM($C1705,MIN(0.75,Matchup!$B$39*$B1705),RAND())</f>
        <v>3</v>
      </c>
      <c r="E1705" s="0" t="n">
        <f aca="true">CRITBINOM(D1705,Coefficients!$B$30,RAND())</f>
        <v>0</v>
      </c>
      <c r="F1705" s="0" t="n">
        <f aca="true">CRITBINOM(E1705,Coefficients!$B$31,RAND())</f>
        <v>0</v>
      </c>
      <c r="G1705" s="0" t="n">
        <f aca="true">CRITBINOM(MAX(0,D1705-E1705),1-Coefficients!$B$32,RAND())</f>
        <v>0</v>
      </c>
      <c r="H1705" s="0" t="n">
        <f aca="true">CRITBINOM(MAX(0,$C1705-D1705),MIN(0.6,Matchup!$B$40*SQRT($B1705)/(1-MIN(0.75,Matchup!$B$39*$B1705))),RAND())</f>
        <v>2</v>
      </c>
      <c r="I1705" s="0" t="n">
        <f aca="false">6*D1705+(D1705-E1705-G1705)+2*F1705+3*H1705</f>
        <v>27</v>
      </c>
      <c r="J1705" s="0" t="n">
        <f aca="true">CRITBINOM($C1705,MIN(0.75,Matchup!$C$39*$B1705),RAND())</f>
        <v>2</v>
      </c>
      <c r="K1705" s="0" t="n">
        <f aca="true">CRITBINOM(J1705,Coefficients!$B$30,RAND())</f>
        <v>0</v>
      </c>
      <c r="L1705" s="0" t="n">
        <f aca="true">CRITBINOM(K1705,Coefficients!$B$31,RAND())</f>
        <v>0</v>
      </c>
      <c r="M1705" s="0" t="n">
        <f aca="true">CRITBINOM(MAX(0,J1705-K1705),1-Coefficients!$B$32,RAND())</f>
        <v>0</v>
      </c>
      <c r="N1705" s="0" t="n">
        <f aca="true">CRITBINOM(MAX(0,$C1705-J1705),MIN(0.6,Matchup!$C$40*SQRT($B1705)/(1-MIN(0.75,Matchup!$C$39*$B1705))),RAND())</f>
        <v>1</v>
      </c>
      <c r="O1705" s="0" t="n">
        <f aca="false">6*J1705+(J1705-K1705-M1705)+2*L1705+3*N1705</f>
        <v>17</v>
      </c>
      <c r="P1705" s="0" t="n">
        <f aca="true">RAND()</f>
        <v>0.911725448116708</v>
      </c>
      <c r="Q1705" s="0" t="n">
        <f aca="true">RAND()</f>
        <v>0.0221177009768401</v>
      </c>
      <c r="R1705" s="0" t="n">
        <f aca="false">IF($I1705&lt;&gt;$O1705,0,IF(P1705&lt;Matchup!$B$39,7,IF(P1705&lt;Matchup!$B$39+Matchup!$B$40,3,0)))</f>
        <v>0</v>
      </c>
      <c r="S1705" s="0" t="n">
        <f aca="false">IF($I1705&lt;&gt;$O1705,0,IF(Q1705&lt;Matchup!$C$39,7,IF(Q1705&lt;Matchup!$C$39+Matchup!$C$40,3,0)))</f>
        <v>0</v>
      </c>
      <c r="T1705" s="0" t="n">
        <f aca="false">I1705+R1705</f>
        <v>27</v>
      </c>
      <c r="U1705" s="0" t="n">
        <f aca="false">O1705+S1705</f>
        <v>17</v>
      </c>
      <c r="V1705" s="0" t="n">
        <f aca="false">T1705-U1705</f>
        <v>10</v>
      </c>
      <c r="W1705" s="0" t="n">
        <f aca="false">T1705+U1705</f>
        <v>44</v>
      </c>
    </row>
    <row r="1706" customFormat="false" ht="15" hidden="false" customHeight="false" outlineLevel="0" collapsed="false">
      <c r="A1706" s="0" t="n">
        <v>1703</v>
      </c>
      <c r="B1706" s="0" t="n">
        <f aca="true">NORMINV(RAND(),1,Coefficients!$B$22)</f>
        <v>1.00605064591213</v>
      </c>
      <c r="C1706" s="0" t="n">
        <f aca="true">MEDIAN(8,16,ROUND(NORMINV(RAND(),Coefficients!$B$20,Coefficients!$B$21),0))</f>
        <v>11</v>
      </c>
      <c r="D1706" s="0" t="n">
        <f aca="true">CRITBINOM($C1706,MIN(0.75,Matchup!$B$39*$B1706),RAND())</f>
        <v>5</v>
      </c>
      <c r="E1706" s="0" t="n">
        <f aca="true">CRITBINOM(D1706,Coefficients!$B$30,RAND())</f>
        <v>1</v>
      </c>
      <c r="F1706" s="0" t="n">
        <f aca="true">CRITBINOM(E1706,Coefficients!$B$31,RAND())</f>
        <v>0</v>
      </c>
      <c r="G1706" s="0" t="n">
        <f aca="true">CRITBINOM(MAX(0,D1706-E1706),1-Coefficients!$B$32,RAND())</f>
        <v>0</v>
      </c>
      <c r="H1706" s="0" t="n">
        <f aca="true">CRITBINOM(MAX(0,$C1706-D1706),MIN(0.6,Matchup!$B$40*SQRT($B1706)/(1-MIN(0.75,Matchup!$B$39*$B1706))),RAND())</f>
        <v>1</v>
      </c>
      <c r="I1706" s="0" t="n">
        <f aca="false">6*D1706+(D1706-E1706-G1706)+2*F1706+3*H1706</f>
        <v>37</v>
      </c>
      <c r="J1706" s="0" t="n">
        <f aca="true">CRITBINOM($C1706,MIN(0.75,Matchup!$C$39*$B1706),RAND())</f>
        <v>1</v>
      </c>
      <c r="K1706" s="0" t="n">
        <f aca="true">CRITBINOM(J1706,Coefficients!$B$30,RAND())</f>
        <v>0</v>
      </c>
      <c r="L1706" s="0" t="n">
        <f aca="true">CRITBINOM(K1706,Coefficients!$B$31,RAND())</f>
        <v>0</v>
      </c>
      <c r="M1706" s="0" t="n">
        <f aca="true">CRITBINOM(MAX(0,J1706-K1706),1-Coefficients!$B$32,RAND())</f>
        <v>0</v>
      </c>
      <c r="N1706" s="0" t="n">
        <f aca="true">CRITBINOM(MAX(0,$C1706-J1706),MIN(0.6,Matchup!$C$40*SQRT($B1706)/(1-MIN(0.75,Matchup!$C$39*$B1706))),RAND())</f>
        <v>1</v>
      </c>
      <c r="O1706" s="0" t="n">
        <f aca="false">6*J1706+(J1706-K1706-M1706)+2*L1706+3*N1706</f>
        <v>10</v>
      </c>
      <c r="P1706" s="0" t="n">
        <f aca="true">RAND()</f>
        <v>0.670003880989654</v>
      </c>
      <c r="Q1706" s="0" t="n">
        <f aca="true">RAND()</f>
        <v>0.532172821044872</v>
      </c>
      <c r="R1706" s="0" t="n">
        <f aca="false">IF($I1706&lt;&gt;$O1706,0,IF(P1706&lt;Matchup!$B$39,7,IF(P1706&lt;Matchup!$B$39+Matchup!$B$40,3,0)))</f>
        <v>0</v>
      </c>
      <c r="S1706" s="0" t="n">
        <f aca="false">IF($I1706&lt;&gt;$O1706,0,IF(Q1706&lt;Matchup!$C$39,7,IF(Q1706&lt;Matchup!$C$39+Matchup!$C$40,3,0)))</f>
        <v>0</v>
      </c>
      <c r="T1706" s="0" t="n">
        <f aca="false">I1706+R1706</f>
        <v>37</v>
      </c>
      <c r="U1706" s="0" t="n">
        <f aca="false">O1706+S1706</f>
        <v>10</v>
      </c>
      <c r="V1706" s="0" t="n">
        <f aca="false">T1706-U1706</f>
        <v>27</v>
      </c>
      <c r="W1706" s="0" t="n">
        <f aca="false">T1706+U1706</f>
        <v>47</v>
      </c>
    </row>
    <row r="1707" customFormat="false" ht="15" hidden="false" customHeight="false" outlineLevel="0" collapsed="false">
      <c r="A1707" s="0" t="n">
        <v>1704</v>
      </c>
      <c r="B1707" s="0" t="n">
        <f aca="true">NORMINV(RAND(),1,Coefficients!$B$22)</f>
        <v>0.96117473289812</v>
      </c>
      <c r="C1707" s="0" t="n">
        <f aca="true">MEDIAN(8,16,ROUND(NORMINV(RAND(),Coefficients!$B$20,Coefficients!$B$21),0))</f>
        <v>10</v>
      </c>
      <c r="D1707" s="0" t="n">
        <f aca="true">CRITBINOM($C1707,MIN(0.75,Matchup!$B$39*$B1707),RAND())</f>
        <v>4</v>
      </c>
      <c r="E1707" s="0" t="n">
        <f aca="true">CRITBINOM(D1707,Coefficients!$B$30,RAND())</f>
        <v>0</v>
      </c>
      <c r="F1707" s="0" t="n">
        <f aca="true">CRITBINOM(E1707,Coefficients!$B$31,RAND())</f>
        <v>0</v>
      </c>
      <c r="G1707" s="0" t="n">
        <f aca="true">CRITBINOM(MAX(0,D1707-E1707),1-Coefficients!$B$32,RAND())</f>
        <v>0</v>
      </c>
      <c r="H1707" s="0" t="n">
        <f aca="true">CRITBINOM(MAX(0,$C1707-D1707),MIN(0.6,Matchup!$B$40*SQRT($B1707)/(1-MIN(0.75,Matchup!$B$39*$B1707))),RAND())</f>
        <v>1</v>
      </c>
      <c r="I1707" s="0" t="n">
        <f aca="false">6*D1707+(D1707-E1707-G1707)+2*F1707+3*H1707</f>
        <v>31</v>
      </c>
      <c r="J1707" s="0" t="n">
        <f aca="true">CRITBINOM($C1707,MIN(0.75,Matchup!$C$39*$B1707),RAND())</f>
        <v>2</v>
      </c>
      <c r="K1707" s="0" t="n">
        <f aca="true">CRITBINOM(J1707,Coefficients!$B$30,RAND())</f>
        <v>0</v>
      </c>
      <c r="L1707" s="0" t="n">
        <f aca="true">CRITBINOM(K1707,Coefficients!$B$31,RAND())</f>
        <v>0</v>
      </c>
      <c r="M1707" s="0" t="n">
        <f aca="true">CRITBINOM(MAX(0,J1707-K1707),1-Coefficients!$B$32,RAND())</f>
        <v>0</v>
      </c>
      <c r="N1707" s="0" t="n">
        <f aca="true">CRITBINOM(MAX(0,$C1707-J1707),MIN(0.6,Matchup!$C$40*SQRT($B1707)/(1-MIN(0.75,Matchup!$C$39*$B1707))),RAND())</f>
        <v>2</v>
      </c>
      <c r="O1707" s="0" t="n">
        <f aca="false">6*J1707+(J1707-K1707-M1707)+2*L1707+3*N1707</f>
        <v>20</v>
      </c>
      <c r="P1707" s="0" t="n">
        <f aca="true">RAND()</f>
        <v>0.605262841282397</v>
      </c>
      <c r="Q1707" s="0" t="n">
        <f aca="true">RAND()</f>
        <v>0.18621407722509</v>
      </c>
      <c r="R1707" s="0" t="n">
        <f aca="false">IF($I1707&lt;&gt;$O1707,0,IF(P1707&lt;Matchup!$B$39,7,IF(P1707&lt;Matchup!$B$39+Matchup!$B$40,3,0)))</f>
        <v>0</v>
      </c>
      <c r="S1707" s="0" t="n">
        <f aca="false">IF($I1707&lt;&gt;$O1707,0,IF(Q1707&lt;Matchup!$C$39,7,IF(Q1707&lt;Matchup!$C$39+Matchup!$C$40,3,0)))</f>
        <v>0</v>
      </c>
      <c r="T1707" s="0" t="n">
        <f aca="false">I1707+R1707</f>
        <v>31</v>
      </c>
      <c r="U1707" s="0" t="n">
        <f aca="false">O1707+S1707</f>
        <v>20</v>
      </c>
      <c r="V1707" s="0" t="n">
        <f aca="false">T1707-U1707</f>
        <v>11</v>
      </c>
      <c r="W1707" s="0" t="n">
        <f aca="false">T1707+U1707</f>
        <v>51</v>
      </c>
    </row>
    <row r="1708" customFormat="false" ht="15" hidden="false" customHeight="false" outlineLevel="0" collapsed="false">
      <c r="A1708" s="0" t="n">
        <v>1705</v>
      </c>
      <c r="B1708" s="0" t="n">
        <f aca="true">NORMINV(RAND(),1,Coefficients!$B$22)</f>
        <v>1.03234562672019</v>
      </c>
      <c r="C1708" s="0" t="n">
        <f aca="true">MEDIAN(8,16,ROUND(NORMINV(RAND(),Coefficients!$B$20,Coefficients!$B$21),0))</f>
        <v>12</v>
      </c>
      <c r="D1708" s="0" t="n">
        <f aca="true">CRITBINOM($C1708,MIN(0.75,Matchup!$B$39*$B1708),RAND())</f>
        <v>3</v>
      </c>
      <c r="E1708" s="0" t="n">
        <f aca="true">CRITBINOM(D1708,Coefficients!$B$30,RAND())</f>
        <v>0</v>
      </c>
      <c r="F1708" s="0" t="n">
        <f aca="true">CRITBINOM(E1708,Coefficients!$B$31,RAND())</f>
        <v>0</v>
      </c>
      <c r="G1708" s="0" t="n">
        <f aca="true">CRITBINOM(MAX(0,D1708-E1708),1-Coefficients!$B$32,RAND())</f>
        <v>1</v>
      </c>
      <c r="H1708" s="0" t="n">
        <f aca="true">CRITBINOM(MAX(0,$C1708-D1708),MIN(0.6,Matchup!$B$40*SQRT($B1708)/(1-MIN(0.75,Matchup!$B$39*$B1708))),RAND())</f>
        <v>4</v>
      </c>
      <c r="I1708" s="0" t="n">
        <f aca="false">6*D1708+(D1708-E1708-G1708)+2*F1708+3*H1708</f>
        <v>32</v>
      </c>
      <c r="J1708" s="0" t="n">
        <f aca="true">CRITBINOM($C1708,MIN(0.75,Matchup!$C$39*$B1708),RAND())</f>
        <v>5</v>
      </c>
      <c r="K1708" s="0" t="n">
        <f aca="true">CRITBINOM(J1708,Coefficients!$B$30,RAND())</f>
        <v>1</v>
      </c>
      <c r="L1708" s="0" t="n">
        <f aca="true">CRITBINOM(K1708,Coefficients!$B$31,RAND())</f>
        <v>1</v>
      </c>
      <c r="M1708" s="0" t="n">
        <f aca="true">CRITBINOM(MAX(0,J1708-K1708),1-Coefficients!$B$32,RAND())</f>
        <v>0</v>
      </c>
      <c r="N1708" s="0" t="n">
        <f aca="true">CRITBINOM(MAX(0,$C1708-J1708),MIN(0.6,Matchup!$C$40*SQRT($B1708)/(1-MIN(0.75,Matchup!$C$39*$B1708))),RAND())</f>
        <v>1</v>
      </c>
      <c r="O1708" s="0" t="n">
        <f aca="false">6*J1708+(J1708-K1708-M1708)+2*L1708+3*N1708</f>
        <v>39</v>
      </c>
      <c r="P1708" s="0" t="n">
        <f aca="true">RAND()</f>
        <v>0.06693774860953</v>
      </c>
      <c r="Q1708" s="0" t="n">
        <f aca="true">RAND()</f>
        <v>0.904603070357021</v>
      </c>
      <c r="R1708" s="0" t="n">
        <f aca="false">IF($I1708&lt;&gt;$O1708,0,IF(P1708&lt;Matchup!$B$39,7,IF(P1708&lt;Matchup!$B$39+Matchup!$B$40,3,0)))</f>
        <v>0</v>
      </c>
      <c r="S1708" s="0" t="n">
        <f aca="false">IF($I1708&lt;&gt;$O1708,0,IF(Q1708&lt;Matchup!$C$39,7,IF(Q1708&lt;Matchup!$C$39+Matchup!$C$40,3,0)))</f>
        <v>0</v>
      </c>
      <c r="T1708" s="0" t="n">
        <f aca="false">I1708+R1708</f>
        <v>32</v>
      </c>
      <c r="U1708" s="0" t="n">
        <f aca="false">O1708+S1708</f>
        <v>39</v>
      </c>
      <c r="V1708" s="0" t="n">
        <f aca="false">T1708-U1708</f>
        <v>-7</v>
      </c>
      <c r="W1708" s="0" t="n">
        <f aca="false">T1708+U1708</f>
        <v>71</v>
      </c>
    </row>
    <row r="1709" customFormat="false" ht="15" hidden="false" customHeight="false" outlineLevel="0" collapsed="false">
      <c r="A1709" s="0" t="n">
        <v>1706</v>
      </c>
      <c r="B1709" s="0" t="n">
        <f aca="true">NORMINV(RAND(),1,Coefficients!$B$22)</f>
        <v>0.96719067263215</v>
      </c>
      <c r="C1709" s="0" t="n">
        <f aca="true">MEDIAN(8,16,ROUND(NORMINV(RAND(),Coefficients!$B$20,Coefficients!$B$21),0))</f>
        <v>10</v>
      </c>
      <c r="D1709" s="0" t="n">
        <f aca="true">CRITBINOM($C1709,MIN(0.75,Matchup!$B$39*$B1709),RAND())</f>
        <v>5</v>
      </c>
      <c r="E1709" s="0" t="n">
        <f aca="true">CRITBINOM(D1709,Coefficients!$B$30,RAND())</f>
        <v>1</v>
      </c>
      <c r="F1709" s="0" t="n">
        <f aca="true">CRITBINOM(E1709,Coefficients!$B$31,RAND())</f>
        <v>0</v>
      </c>
      <c r="G1709" s="0" t="n">
        <f aca="true">CRITBINOM(MAX(0,D1709-E1709),1-Coefficients!$B$32,RAND())</f>
        <v>1</v>
      </c>
      <c r="H1709" s="0" t="n">
        <f aca="true">CRITBINOM(MAX(0,$C1709-D1709),MIN(0.6,Matchup!$B$40*SQRT($B1709)/(1-MIN(0.75,Matchup!$B$39*$B1709))),RAND())</f>
        <v>0</v>
      </c>
      <c r="I1709" s="0" t="n">
        <f aca="false">6*D1709+(D1709-E1709-G1709)+2*F1709+3*H1709</f>
        <v>33</v>
      </c>
      <c r="J1709" s="0" t="n">
        <f aca="true">CRITBINOM($C1709,MIN(0.75,Matchup!$C$39*$B1709),RAND())</f>
        <v>3</v>
      </c>
      <c r="K1709" s="0" t="n">
        <f aca="true">CRITBINOM(J1709,Coefficients!$B$30,RAND())</f>
        <v>0</v>
      </c>
      <c r="L1709" s="0" t="n">
        <f aca="true">CRITBINOM(K1709,Coefficients!$B$31,RAND())</f>
        <v>0</v>
      </c>
      <c r="M1709" s="0" t="n">
        <f aca="true">CRITBINOM(MAX(0,J1709-K1709),1-Coefficients!$B$32,RAND())</f>
        <v>1</v>
      </c>
      <c r="N1709" s="0" t="n">
        <f aca="true">CRITBINOM(MAX(0,$C1709-J1709),MIN(0.6,Matchup!$C$40*SQRT($B1709)/(1-MIN(0.75,Matchup!$C$39*$B1709))),RAND())</f>
        <v>2</v>
      </c>
      <c r="O1709" s="0" t="n">
        <f aca="false">6*J1709+(J1709-K1709-M1709)+2*L1709+3*N1709</f>
        <v>26</v>
      </c>
      <c r="P1709" s="0" t="n">
        <f aca="true">RAND()</f>
        <v>0.123542367638681</v>
      </c>
      <c r="Q1709" s="0" t="n">
        <f aca="true">RAND()</f>
        <v>0.713723193859538</v>
      </c>
      <c r="R1709" s="0" t="n">
        <f aca="false">IF($I1709&lt;&gt;$O1709,0,IF(P1709&lt;Matchup!$B$39,7,IF(P1709&lt;Matchup!$B$39+Matchup!$B$40,3,0)))</f>
        <v>0</v>
      </c>
      <c r="S1709" s="0" t="n">
        <f aca="false">IF($I1709&lt;&gt;$O1709,0,IF(Q1709&lt;Matchup!$C$39,7,IF(Q1709&lt;Matchup!$C$39+Matchup!$C$40,3,0)))</f>
        <v>0</v>
      </c>
      <c r="T1709" s="0" t="n">
        <f aca="false">I1709+R1709</f>
        <v>33</v>
      </c>
      <c r="U1709" s="0" t="n">
        <f aca="false">O1709+S1709</f>
        <v>26</v>
      </c>
      <c r="V1709" s="0" t="n">
        <f aca="false">T1709-U1709</f>
        <v>7</v>
      </c>
      <c r="W1709" s="0" t="n">
        <f aca="false">T1709+U1709</f>
        <v>59</v>
      </c>
    </row>
    <row r="1710" customFormat="false" ht="15" hidden="false" customHeight="false" outlineLevel="0" collapsed="false">
      <c r="A1710" s="0" t="n">
        <v>1707</v>
      </c>
      <c r="B1710" s="0" t="n">
        <f aca="true">NORMINV(RAND(),1,Coefficients!$B$22)</f>
        <v>1.1668060382196</v>
      </c>
      <c r="C1710" s="0" t="n">
        <f aca="true">MEDIAN(8,16,ROUND(NORMINV(RAND(),Coefficients!$B$20,Coefficients!$B$21),0))</f>
        <v>13</v>
      </c>
      <c r="D1710" s="0" t="n">
        <f aca="true">CRITBINOM($C1710,MIN(0.75,Matchup!$B$39*$B1710),RAND())</f>
        <v>5</v>
      </c>
      <c r="E1710" s="0" t="n">
        <f aca="true">CRITBINOM(D1710,Coefficients!$B$30,RAND())</f>
        <v>1</v>
      </c>
      <c r="F1710" s="0" t="n">
        <f aca="true">CRITBINOM(E1710,Coefficients!$B$31,RAND())</f>
        <v>1</v>
      </c>
      <c r="G1710" s="0" t="n">
        <f aca="true">CRITBINOM(MAX(0,D1710-E1710),1-Coefficients!$B$32,RAND())</f>
        <v>0</v>
      </c>
      <c r="H1710" s="0" t="n">
        <f aca="true">CRITBINOM(MAX(0,$C1710-D1710),MIN(0.6,Matchup!$B$40*SQRT($B1710)/(1-MIN(0.75,Matchup!$B$39*$B1710))),RAND())</f>
        <v>2</v>
      </c>
      <c r="I1710" s="0" t="n">
        <f aca="false">6*D1710+(D1710-E1710-G1710)+2*F1710+3*H1710</f>
        <v>42</v>
      </c>
      <c r="J1710" s="0" t="n">
        <f aca="true">CRITBINOM($C1710,MIN(0.75,Matchup!$C$39*$B1710),RAND())</f>
        <v>3</v>
      </c>
      <c r="K1710" s="0" t="n">
        <f aca="true">CRITBINOM(J1710,Coefficients!$B$30,RAND())</f>
        <v>0</v>
      </c>
      <c r="L1710" s="0" t="n">
        <f aca="true">CRITBINOM(K1710,Coefficients!$B$31,RAND())</f>
        <v>0</v>
      </c>
      <c r="M1710" s="0" t="n">
        <f aca="true">CRITBINOM(MAX(0,J1710-K1710),1-Coefficients!$B$32,RAND())</f>
        <v>0</v>
      </c>
      <c r="N1710" s="0" t="n">
        <f aca="true">CRITBINOM(MAX(0,$C1710-J1710),MIN(0.6,Matchup!$C$40*SQRT($B1710)/(1-MIN(0.75,Matchup!$C$39*$B1710))),RAND())</f>
        <v>1</v>
      </c>
      <c r="O1710" s="0" t="n">
        <f aca="false">6*J1710+(J1710-K1710-M1710)+2*L1710+3*N1710</f>
        <v>24</v>
      </c>
      <c r="P1710" s="0" t="n">
        <f aca="true">RAND()</f>
        <v>0.553931643658265</v>
      </c>
      <c r="Q1710" s="0" t="n">
        <f aca="true">RAND()</f>
        <v>0.815194544282364</v>
      </c>
      <c r="R1710" s="0" t="n">
        <f aca="false">IF($I1710&lt;&gt;$O1710,0,IF(P1710&lt;Matchup!$B$39,7,IF(P1710&lt;Matchup!$B$39+Matchup!$B$40,3,0)))</f>
        <v>0</v>
      </c>
      <c r="S1710" s="0" t="n">
        <f aca="false">IF($I1710&lt;&gt;$O1710,0,IF(Q1710&lt;Matchup!$C$39,7,IF(Q1710&lt;Matchup!$C$39+Matchup!$C$40,3,0)))</f>
        <v>0</v>
      </c>
      <c r="T1710" s="0" t="n">
        <f aca="false">I1710+R1710</f>
        <v>42</v>
      </c>
      <c r="U1710" s="0" t="n">
        <f aca="false">O1710+S1710</f>
        <v>24</v>
      </c>
      <c r="V1710" s="0" t="n">
        <f aca="false">T1710-U1710</f>
        <v>18</v>
      </c>
      <c r="W1710" s="0" t="n">
        <f aca="false">T1710+U1710</f>
        <v>66</v>
      </c>
    </row>
    <row r="1711" customFormat="false" ht="15" hidden="false" customHeight="false" outlineLevel="0" collapsed="false">
      <c r="A1711" s="0" t="n">
        <v>1708</v>
      </c>
      <c r="B1711" s="0" t="n">
        <f aca="true">NORMINV(RAND(),1,Coefficients!$B$22)</f>
        <v>1.08398455543086</v>
      </c>
      <c r="C1711" s="0" t="n">
        <f aca="true">MEDIAN(8,16,ROUND(NORMINV(RAND(),Coefficients!$B$20,Coefficients!$B$21),0))</f>
        <v>11</v>
      </c>
      <c r="D1711" s="0" t="n">
        <f aca="true">CRITBINOM($C1711,MIN(0.75,Matchup!$B$39*$B1711),RAND())</f>
        <v>3</v>
      </c>
      <c r="E1711" s="0" t="n">
        <f aca="true">CRITBINOM(D1711,Coefficients!$B$30,RAND())</f>
        <v>1</v>
      </c>
      <c r="F1711" s="0" t="n">
        <f aca="true">CRITBINOM(E1711,Coefficients!$B$31,RAND())</f>
        <v>0</v>
      </c>
      <c r="G1711" s="0" t="n">
        <f aca="true">CRITBINOM(MAX(0,D1711-E1711),1-Coefficients!$B$32,RAND())</f>
        <v>0</v>
      </c>
      <c r="H1711" s="0" t="n">
        <f aca="true">CRITBINOM(MAX(0,$C1711-D1711),MIN(0.6,Matchup!$B$40*SQRT($B1711)/(1-MIN(0.75,Matchup!$B$39*$B1711))),RAND())</f>
        <v>1</v>
      </c>
      <c r="I1711" s="0" t="n">
        <f aca="false">6*D1711+(D1711-E1711-G1711)+2*F1711+3*H1711</f>
        <v>23</v>
      </c>
      <c r="J1711" s="0" t="n">
        <f aca="true">CRITBINOM($C1711,MIN(0.75,Matchup!$C$39*$B1711),RAND())</f>
        <v>2</v>
      </c>
      <c r="K1711" s="0" t="n">
        <f aca="true">CRITBINOM(J1711,Coefficients!$B$30,RAND())</f>
        <v>0</v>
      </c>
      <c r="L1711" s="0" t="n">
        <f aca="true">CRITBINOM(K1711,Coefficients!$B$31,RAND())</f>
        <v>0</v>
      </c>
      <c r="M1711" s="0" t="n">
        <f aca="true">CRITBINOM(MAX(0,J1711-K1711),1-Coefficients!$B$32,RAND())</f>
        <v>0</v>
      </c>
      <c r="N1711" s="0" t="n">
        <f aca="true">CRITBINOM(MAX(0,$C1711-J1711),MIN(0.6,Matchup!$C$40*SQRT($B1711)/(1-MIN(0.75,Matchup!$C$39*$B1711))),RAND())</f>
        <v>2</v>
      </c>
      <c r="O1711" s="0" t="n">
        <f aca="false">6*J1711+(J1711-K1711-M1711)+2*L1711+3*N1711</f>
        <v>20</v>
      </c>
      <c r="P1711" s="0" t="n">
        <f aca="true">RAND()</f>
        <v>0.831393170689691</v>
      </c>
      <c r="Q1711" s="0" t="n">
        <f aca="true">RAND()</f>
        <v>0.562492409042222</v>
      </c>
      <c r="R1711" s="0" t="n">
        <f aca="false">IF($I1711&lt;&gt;$O1711,0,IF(P1711&lt;Matchup!$B$39,7,IF(P1711&lt;Matchup!$B$39+Matchup!$B$40,3,0)))</f>
        <v>0</v>
      </c>
      <c r="S1711" s="0" t="n">
        <f aca="false">IF($I1711&lt;&gt;$O1711,0,IF(Q1711&lt;Matchup!$C$39,7,IF(Q1711&lt;Matchup!$C$39+Matchup!$C$40,3,0)))</f>
        <v>0</v>
      </c>
      <c r="T1711" s="0" t="n">
        <f aca="false">I1711+R1711</f>
        <v>23</v>
      </c>
      <c r="U1711" s="0" t="n">
        <f aca="false">O1711+S1711</f>
        <v>20</v>
      </c>
      <c r="V1711" s="0" t="n">
        <f aca="false">T1711-U1711</f>
        <v>3</v>
      </c>
      <c r="W1711" s="0" t="n">
        <f aca="false">T1711+U1711</f>
        <v>43</v>
      </c>
    </row>
    <row r="1712" customFormat="false" ht="15" hidden="false" customHeight="false" outlineLevel="0" collapsed="false">
      <c r="A1712" s="0" t="n">
        <v>1709</v>
      </c>
      <c r="B1712" s="0" t="n">
        <f aca="true">NORMINV(RAND(),1,Coefficients!$B$22)</f>
        <v>0.907657316859624</v>
      </c>
      <c r="C1712" s="0" t="n">
        <f aca="true">MEDIAN(8,16,ROUND(NORMINV(RAND(),Coefficients!$B$20,Coefficients!$B$21),0))</f>
        <v>11</v>
      </c>
      <c r="D1712" s="0" t="n">
        <f aca="true">CRITBINOM($C1712,MIN(0.75,Matchup!$B$39*$B1712),RAND())</f>
        <v>3</v>
      </c>
      <c r="E1712" s="0" t="n">
        <f aca="true">CRITBINOM(D1712,Coefficients!$B$30,RAND())</f>
        <v>0</v>
      </c>
      <c r="F1712" s="0" t="n">
        <f aca="true">CRITBINOM(E1712,Coefficients!$B$31,RAND())</f>
        <v>0</v>
      </c>
      <c r="G1712" s="0" t="n">
        <f aca="true">CRITBINOM(MAX(0,D1712-E1712),1-Coefficients!$B$32,RAND())</f>
        <v>1</v>
      </c>
      <c r="H1712" s="0" t="n">
        <f aca="true">CRITBINOM(MAX(0,$C1712-D1712),MIN(0.6,Matchup!$B$40*SQRT($B1712)/(1-MIN(0.75,Matchup!$B$39*$B1712))),RAND())</f>
        <v>2</v>
      </c>
      <c r="I1712" s="0" t="n">
        <f aca="false">6*D1712+(D1712-E1712-G1712)+2*F1712+3*H1712</f>
        <v>26</v>
      </c>
      <c r="J1712" s="0" t="n">
        <f aca="true">CRITBINOM($C1712,MIN(0.75,Matchup!$C$39*$B1712),RAND())</f>
        <v>1</v>
      </c>
      <c r="K1712" s="0" t="n">
        <f aca="true">CRITBINOM(J1712,Coefficients!$B$30,RAND())</f>
        <v>0</v>
      </c>
      <c r="L1712" s="0" t="n">
        <f aca="true">CRITBINOM(K1712,Coefficients!$B$31,RAND())</f>
        <v>0</v>
      </c>
      <c r="M1712" s="0" t="n">
        <f aca="true">CRITBINOM(MAX(0,J1712-K1712),1-Coefficients!$B$32,RAND())</f>
        <v>0</v>
      </c>
      <c r="N1712" s="0" t="n">
        <f aca="true">CRITBINOM(MAX(0,$C1712-J1712),MIN(0.6,Matchup!$C$40*SQRT($B1712)/(1-MIN(0.75,Matchup!$C$39*$B1712))),RAND())</f>
        <v>2</v>
      </c>
      <c r="O1712" s="0" t="n">
        <f aca="false">6*J1712+(J1712-K1712-M1712)+2*L1712+3*N1712</f>
        <v>13</v>
      </c>
      <c r="P1712" s="0" t="n">
        <f aca="true">RAND()</f>
        <v>0.626125055978694</v>
      </c>
      <c r="Q1712" s="0" t="n">
        <f aca="true">RAND()</f>
        <v>0.896775125942278</v>
      </c>
      <c r="R1712" s="0" t="n">
        <f aca="false">IF($I1712&lt;&gt;$O1712,0,IF(P1712&lt;Matchup!$B$39,7,IF(P1712&lt;Matchup!$B$39+Matchup!$B$40,3,0)))</f>
        <v>0</v>
      </c>
      <c r="S1712" s="0" t="n">
        <f aca="false">IF($I1712&lt;&gt;$O1712,0,IF(Q1712&lt;Matchup!$C$39,7,IF(Q1712&lt;Matchup!$C$39+Matchup!$C$40,3,0)))</f>
        <v>0</v>
      </c>
      <c r="T1712" s="0" t="n">
        <f aca="false">I1712+R1712</f>
        <v>26</v>
      </c>
      <c r="U1712" s="0" t="n">
        <f aca="false">O1712+S1712</f>
        <v>13</v>
      </c>
      <c r="V1712" s="0" t="n">
        <f aca="false">T1712-U1712</f>
        <v>13</v>
      </c>
      <c r="W1712" s="0" t="n">
        <f aca="false">T1712+U1712</f>
        <v>39</v>
      </c>
    </row>
    <row r="1713" customFormat="false" ht="15" hidden="false" customHeight="false" outlineLevel="0" collapsed="false">
      <c r="A1713" s="0" t="n">
        <v>1710</v>
      </c>
      <c r="B1713" s="0" t="n">
        <f aca="true">NORMINV(RAND(),1,Coefficients!$B$22)</f>
        <v>1.09312166532397</v>
      </c>
      <c r="C1713" s="0" t="n">
        <f aca="true">MEDIAN(8,16,ROUND(NORMINV(RAND(),Coefficients!$B$20,Coefficients!$B$21),0))</f>
        <v>10</v>
      </c>
      <c r="D1713" s="0" t="n">
        <f aca="true">CRITBINOM($C1713,MIN(0.75,Matchup!$B$39*$B1713),RAND())</f>
        <v>1</v>
      </c>
      <c r="E1713" s="0" t="n">
        <f aca="true">CRITBINOM(D1713,Coefficients!$B$30,RAND())</f>
        <v>0</v>
      </c>
      <c r="F1713" s="0" t="n">
        <f aca="true">CRITBINOM(E1713,Coefficients!$B$31,RAND())</f>
        <v>0</v>
      </c>
      <c r="G1713" s="0" t="n">
        <f aca="true">CRITBINOM(MAX(0,D1713-E1713),1-Coefficients!$B$32,RAND())</f>
        <v>0</v>
      </c>
      <c r="H1713" s="0" t="n">
        <f aca="true">CRITBINOM(MAX(0,$C1713-D1713),MIN(0.6,Matchup!$B$40*SQRT($B1713)/(1-MIN(0.75,Matchup!$B$39*$B1713))),RAND())</f>
        <v>1</v>
      </c>
      <c r="I1713" s="0" t="n">
        <f aca="false">6*D1713+(D1713-E1713-G1713)+2*F1713+3*H1713</f>
        <v>10</v>
      </c>
      <c r="J1713" s="0" t="n">
        <f aca="true">CRITBINOM($C1713,MIN(0.75,Matchup!$C$39*$B1713),RAND())</f>
        <v>4</v>
      </c>
      <c r="K1713" s="0" t="n">
        <f aca="true">CRITBINOM(J1713,Coefficients!$B$30,RAND())</f>
        <v>0</v>
      </c>
      <c r="L1713" s="0" t="n">
        <f aca="true">CRITBINOM(K1713,Coefficients!$B$31,RAND())</f>
        <v>0</v>
      </c>
      <c r="M1713" s="0" t="n">
        <f aca="true">CRITBINOM(MAX(0,J1713-K1713),1-Coefficients!$B$32,RAND())</f>
        <v>1</v>
      </c>
      <c r="N1713" s="0" t="n">
        <f aca="true">CRITBINOM(MAX(0,$C1713-J1713),MIN(0.6,Matchup!$C$40*SQRT($B1713)/(1-MIN(0.75,Matchup!$C$39*$B1713))),RAND())</f>
        <v>1</v>
      </c>
      <c r="O1713" s="0" t="n">
        <f aca="false">6*J1713+(J1713-K1713-M1713)+2*L1713+3*N1713</f>
        <v>30</v>
      </c>
      <c r="P1713" s="0" t="n">
        <f aca="true">RAND()</f>
        <v>0.700320986786596</v>
      </c>
      <c r="Q1713" s="0" t="n">
        <f aca="true">RAND()</f>
        <v>0.432005133922485</v>
      </c>
      <c r="R1713" s="0" t="n">
        <f aca="false">IF($I1713&lt;&gt;$O1713,0,IF(P1713&lt;Matchup!$B$39,7,IF(P1713&lt;Matchup!$B$39+Matchup!$B$40,3,0)))</f>
        <v>0</v>
      </c>
      <c r="S1713" s="0" t="n">
        <f aca="false">IF($I1713&lt;&gt;$O1713,0,IF(Q1713&lt;Matchup!$C$39,7,IF(Q1713&lt;Matchup!$C$39+Matchup!$C$40,3,0)))</f>
        <v>0</v>
      </c>
      <c r="T1713" s="0" t="n">
        <f aca="false">I1713+R1713</f>
        <v>10</v>
      </c>
      <c r="U1713" s="0" t="n">
        <f aca="false">O1713+S1713</f>
        <v>30</v>
      </c>
      <c r="V1713" s="0" t="n">
        <f aca="false">T1713-U1713</f>
        <v>-20</v>
      </c>
      <c r="W1713" s="0" t="n">
        <f aca="false">T1713+U1713</f>
        <v>40</v>
      </c>
    </row>
    <row r="1714" customFormat="false" ht="15" hidden="false" customHeight="false" outlineLevel="0" collapsed="false">
      <c r="A1714" s="0" t="n">
        <v>1711</v>
      </c>
      <c r="B1714" s="0" t="n">
        <f aca="true">NORMINV(RAND(),1,Coefficients!$B$22)</f>
        <v>1.03567724131176</v>
      </c>
      <c r="C1714" s="0" t="n">
        <f aca="true">MEDIAN(8,16,ROUND(NORMINV(RAND(),Coefficients!$B$20,Coefficients!$B$21),0))</f>
        <v>9</v>
      </c>
      <c r="D1714" s="0" t="n">
        <f aca="true">CRITBINOM($C1714,MIN(0.75,Matchup!$B$39*$B1714),RAND())</f>
        <v>3</v>
      </c>
      <c r="E1714" s="0" t="n">
        <f aca="true">CRITBINOM(D1714,Coefficients!$B$30,RAND())</f>
        <v>0</v>
      </c>
      <c r="F1714" s="0" t="n">
        <f aca="true">CRITBINOM(E1714,Coefficients!$B$31,RAND())</f>
        <v>0</v>
      </c>
      <c r="G1714" s="0" t="n">
        <f aca="true">CRITBINOM(MAX(0,D1714-E1714),1-Coefficients!$B$32,RAND())</f>
        <v>0</v>
      </c>
      <c r="H1714" s="0" t="n">
        <f aca="true">CRITBINOM(MAX(0,$C1714-D1714),MIN(0.6,Matchup!$B$40*SQRT($B1714)/(1-MIN(0.75,Matchup!$B$39*$B1714))),RAND())</f>
        <v>0</v>
      </c>
      <c r="I1714" s="0" t="n">
        <f aca="false">6*D1714+(D1714-E1714-G1714)+2*F1714+3*H1714</f>
        <v>21</v>
      </c>
      <c r="J1714" s="0" t="n">
        <f aca="true">CRITBINOM($C1714,MIN(0.75,Matchup!$C$39*$B1714),RAND())</f>
        <v>0</v>
      </c>
      <c r="K1714" s="0" t="n">
        <f aca="true">CRITBINOM(J1714,Coefficients!$B$30,RAND())</f>
        <v>0</v>
      </c>
      <c r="L1714" s="0" t="n">
        <f aca="true">CRITBINOM(K1714,Coefficients!$B$31,RAND())</f>
        <v>0</v>
      </c>
      <c r="M1714" s="0" t="n">
        <f aca="true">CRITBINOM(MAX(0,J1714-K1714),1-Coefficients!$B$32,RAND())</f>
        <v>0</v>
      </c>
      <c r="N1714" s="0" t="n">
        <f aca="true">CRITBINOM(MAX(0,$C1714-J1714),MIN(0.6,Matchup!$C$40*SQRT($B1714)/(1-MIN(0.75,Matchup!$C$39*$B1714))),RAND())</f>
        <v>2</v>
      </c>
      <c r="O1714" s="0" t="n">
        <f aca="false">6*J1714+(J1714-K1714-M1714)+2*L1714+3*N1714</f>
        <v>6</v>
      </c>
      <c r="P1714" s="0" t="n">
        <f aca="true">RAND()</f>
        <v>0.954643901034473</v>
      </c>
      <c r="Q1714" s="0" t="n">
        <f aca="true">RAND()</f>
        <v>0.787794578094281</v>
      </c>
      <c r="R1714" s="0" t="n">
        <f aca="false">IF($I1714&lt;&gt;$O1714,0,IF(P1714&lt;Matchup!$B$39,7,IF(P1714&lt;Matchup!$B$39+Matchup!$B$40,3,0)))</f>
        <v>0</v>
      </c>
      <c r="S1714" s="0" t="n">
        <f aca="false">IF($I1714&lt;&gt;$O1714,0,IF(Q1714&lt;Matchup!$C$39,7,IF(Q1714&lt;Matchup!$C$39+Matchup!$C$40,3,0)))</f>
        <v>0</v>
      </c>
      <c r="T1714" s="0" t="n">
        <f aca="false">I1714+R1714</f>
        <v>21</v>
      </c>
      <c r="U1714" s="0" t="n">
        <f aca="false">O1714+S1714</f>
        <v>6</v>
      </c>
      <c r="V1714" s="0" t="n">
        <f aca="false">T1714-U1714</f>
        <v>15</v>
      </c>
      <c r="W1714" s="0" t="n">
        <f aca="false">T1714+U1714</f>
        <v>27</v>
      </c>
    </row>
    <row r="1715" customFormat="false" ht="15" hidden="false" customHeight="false" outlineLevel="0" collapsed="false">
      <c r="A1715" s="0" t="n">
        <v>1712</v>
      </c>
      <c r="B1715" s="0" t="n">
        <f aca="true">NORMINV(RAND(),1,Coefficients!$B$22)</f>
        <v>0.916109539172767</v>
      </c>
      <c r="C1715" s="0" t="n">
        <f aca="true">MEDIAN(8,16,ROUND(NORMINV(RAND(),Coefficients!$B$20,Coefficients!$B$21),0))</f>
        <v>13</v>
      </c>
      <c r="D1715" s="0" t="n">
        <f aca="true">CRITBINOM($C1715,MIN(0.75,Matchup!$B$39*$B1715),RAND())</f>
        <v>3</v>
      </c>
      <c r="E1715" s="0" t="n">
        <f aca="true">CRITBINOM(D1715,Coefficients!$B$30,RAND())</f>
        <v>1</v>
      </c>
      <c r="F1715" s="0" t="n">
        <f aca="true">CRITBINOM(E1715,Coefficients!$B$31,RAND())</f>
        <v>0</v>
      </c>
      <c r="G1715" s="0" t="n">
        <f aca="true">CRITBINOM(MAX(0,D1715-E1715),1-Coefficients!$B$32,RAND())</f>
        <v>1</v>
      </c>
      <c r="H1715" s="0" t="n">
        <f aca="true">CRITBINOM(MAX(0,$C1715-D1715),MIN(0.6,Matchup!$B$40*SQRT($B1715)/(1-MIN(0.75,Matchup!$B$39*$B1715))),RAND())</f>
        <v>0</v>
      </c>
      <c r="I1715" s="0" t="n">
        <f aca="false">6*D1715+(D1715-E1715-G1715)+2*F1715+3*H1715</f>
        <v>19</v>
      </c>
      <c r="J1715" s="0" t="n">
        <f aca="true">CRITBINOM($C1715,MIN(0.75,Matchup!$C$39*$B1715),RAND())</f>
        <v>3</v>
      </c>
      <c r="K1715" s="0" t="n">
        <f aca="true">CRITBINOM(J1715,Coefficients!$B$30,RAND())</f>
        <v>1</v>
      </c>
      <c r="L1715" s="0" t="n">
        <f aca="true">CRITBINOM(K1715,Coefficients!$B$31,RAND())</f>
        <v>0</v>
      </c>
      <c r="M1715" s="0" t="n">
        <f aca="true">CRITBINOM(MAX(0,J1715-K1715),1-Coefficients!$B$32,RAND())</f>
        <v>0</v>
      </c>
      <c r="N1715" s="0" t="n">
        <f aca="true">CRITBINOM(MAX(0,$C1715-J1715),MIN(0.6,Matchup!$C$40*SQRT($B1715)/(1-MIN(0.75,Matchup!$C$39*$B1715))),RAND())</f>
        <v>1</v>
      </c>
      <c r="O1715" s="0" t="n">
        <f aca="false">6*J1715+(J1715-K1715-M1715)+2*L1715+3*N1715</f>
        <v>23</v>
      </c>
      <c r="P1715" s="0" t="n">
        <f aca="true">RAND()</f>
        <v>0.749248569275957</v>
      </c>
      <c r="Q1715" s="0" t="n">
        <f aca="true">RAND()</f>
        <v>0.635311820186674</v>
      </c>
      <c r="R1715" s="0" t="n">
        <f aca="false">IF($I1715&lt;&gt;$O1715,0,IF(P1715&lt;Matchup!$B$39,7,IF(P1715&lt;Matchup!$B$39+Matchup!$B$40,3,0)))</f>
        <v>0</v>
      </c>
      <c r="S1715" s="0" t="n">
        <f aca="false">IF($I1715&lt;&gt;$O1715,0,IF(Q1715&lt;Matchup!$C$39,7,IF(Q1715&lt;Matchup!$C$39+Matchup!$C$40,3,0)))</f>
        <v>0</v>
      </c>
      <c r="T1715" s="0" t="n">
        <f aca="false">I1715+R1715</f>
        <v>19</v>
      </c>
      <c r="U1715" s="0" t="n">
        <f aca="false">O1715+S1715</f>
        <v>23</v>
      </c>
      <c r="V1715" s="0" t="n">
        <f aca="false">T1715-U1715</f>
        <v>-4</v>
      </c>
      <c r="W1715" s="0" t="n">
        <f aca="false">T1715+U1715</f>
        <v>42</v>
      </c>
    </row>
    <row r="1716" customFormat="false" ht="15" hidden="false" customHeight="false" outlineLevel="0" collapsed="false">
      <c r="A1716" s="0" t="n">
        <v>1713</v>
      </c>
      <c r="B1716" s="0" t="n">
        <f aca="true">NORMINV(RAND(),1,Coefficients!$B$22)</f>
        <v>1.02929972299946</v>
      </c>
      <c r="C1716" s="0" t="n">
        <f aca="true">MEDIAN(8,16,ROUND(NORMINV(RAND(),Coefficients!$B$20,Coefficients!$B$21),0))</f>
        <v>10</v>
      </c>
      <c r="D1716" s="0" t="n">
        <f aca="true">CRITBINOM($C1716,MIN(0.75,Matchup!$B$39*$B1716),RAND())</f>
        <v>2</v>
      </c>
      <c r="E1716" s="0" t="n">
        <f aca="true">CRITBINOM(D1716,Coefficients!$B$30,RAND())</f>
        <v>0</v>
      </c>
      <c r="F1716" s="0" t="n">
        <f aca="true">CRITBINOM(E1716,Coefficients!$B$31,RAND())</f>
        <v>0</v>
      </c>
      <c r="G1716" s="0" t="n">
        <f aca="true">CRITBINOM(MAX(0,D1716-E1716),1-Coefficients!$B$32,RAND())</f>
        <v>0</v>
      </c>
      <c r="H1716" s="0" t="n">
        <f aca="true">CRITBINOM(MAX(0,$C1716-D1716),MIN(0.6,Matchup!$B$40*SQRT($B1716)/(1-MIN(0.75,Matchup!$B$39*$B1716))),RAND())</f>
        <v>1</v>
      </c>
      <c r="I1716" s="0" t="n">
        <f aca="false">6*D1716+(D1716-E1716-G1716)+2*F1716+3*H1716</f>
        <v>17</v>
      </c>
      <c r="J1716" s="0" t="n">
        <f aca="true">CRITBINOM($C1716,MIN(0.75,Matchup!$C$39*$B1716),RAND())</f>
        <v>2</v>
      </c>
      <c r="K1716" s="0" t="n">
        <f aca="true">CRITBINOM(J1716,Coefficients!$B$30,RAND())</f>
        <v>0</v>
      </c>
      <c r="L1716" s="0" t="n">
        <f aca="true">CRITBINOM(K1716,Coefficients!$B$31,RAND())</f>
        <v>0</v>
      </c>
      <c r="M1716" s="0" t="n">
        <f aca="true">CRITBINOM(MAX(0,J1716-K1716),1-Coefficients!$B$32,RAND())</f>
        <v>0</v>
      </c>
      <c r="N1716" s="0" t="n">
        <f aca="true">CRITBINOM(MAX(0,$C1716-J1716),MIN(0.6,Matchup!$C$40*SQRT($B1716)/(1-MIN(0.75,Matchup!$C$39*$B1716))),RAND())</f>
        <v>1</v>
      </c>
      <c r="O1716" s="0" t="n">
        <f aca="false">6*J1716+(J1716-K1716-M1716)+2*L1716+3*N1716</f>
        <v>17</v>
      </c>
      <c r="P1716" s="0" t="n">
        <f aca="true">RAND()</f>
        <v>0.937795329951506</v>
      </c>
      <c r="Q1716" s="0" t="n">
        <f aca="true">RAND()</f>
        <v>0.93313616196377</v>
      </c>
      <c r="R1716" s="0" t="n">
        <f aca="false">IF($I1716&lt;&gt;$O1716,0,IF(P1716&lt;Matchup!$B$39,7,IF(P1716&lt;Matchup!$B$39+Matchup!$B$40,3,0)))</f>
        <v>0</v>
      </c>
      <c r="S1716" s="0" t="n">
        <f aca="false">IF($I1716&lt;&gt;$O1716,0,IF(Q1716&lt;Matchup!$C$39,7,IF(Q1716&lt;Matchup!$C$39+Matchup!$C$40,3,0)))</f>
        <v>0</v>
      </c>
      <c r="T1716" s="0" t="n">
        <f aca="false">I1716+R1716</f>
        <v>17</v>
      </c>
      <c r="U1716" s="0" t="n">
        <f aca="false">O1716+S1716</f>
        <v>17</v>
      </c>
      <c r="V1716" s="0" t="n">
        <f aca="false">T1716-U1716</f>
        <v>0</v>
      </c>
      <c r="W1716" s="0" t="n">
        <f aca="false">T1716+U1716</f>
        <v>34</v>
      </c>
    </row>
    <row r="1717" customFormat="false" ht="15" hidden="false" customHeight="false" outlineLevel="0" collapsed="false">
      <c r="A1717" s="0" t="n">
        <v>1714</v>
      </c>
      <c r="B1717" s="0" t="n">
        <f aca="true">NORMINV(RAND(),1,Coefficients!$B$22)</f>
        <v>1.16746921486585</v>
      </c>
      <c r="C1717" s="0" t="n">
        <f aca="true">MEDIAN(8,16,ROUND(NORMINV(RAND(),Coefficients!$B$20,Coefficients!$B$21),0))</f>
        <v>11</v>
      </c>
      <c r="D1717" s="0" t="n">
        <f aca="true">CRITBINOM($C1717,MIN(0.75,Matchup!$B$39*$B1717),RAND())</f>
        <v>4</v>
      </c>
      <c r="E1717" s="0" t="n">
        <f aca="true">CRITBINOM(D1717,Coefficients!$B$30,RAND())</f>
        <v>0</v>
      </c>
      <c r="F1717" s="0" t="n">
        <f aca="true">CRITBINOM(E1717,Coefficients!$B$31,RAND())</f>
        <v>0</v>
      </c>
      <c r="G1717" s="0" t="n">
        <f aca="true">CRITBINOM(MAX(0,D1717-E1717),1-Coefficients!$B$32,RAND())</f>
        <v>0</v>
      </c>
      <c r="H1717" s="0" t="n">
        <f aca="true">CRITBINOM(MAX(0,$C1717-D1717),MIN(0.6,Matchup!$B$40*SQRT($B1717)/(1-MIN(0.75,Matchup!$B$39*$B1717))),RAND())</f>
        <v>2</v>
      </c>
      <c r="I1717" s="0" t="n">
        <f aca="false">6*D1717+(D1717-E1717-G1717)+2*F1717+3*H1717</f>
        <v>34</v>
      </c>
      <c r="J1717" s="0" t="n">
        <f aca="true">CRITBINOM($C1717,MIN(0.75,Matchup!$C$39*$B1717),RAND())</f>
        <v>1</v>
      </c>
      <c r="K1717" s="0" t="n">
        <f aca="true">CRITBINOM(J1717,Coefficients!$B$30,RAND())</f>
        <v>0</v>
      </c>
      <c r="L1717" s="0" t="n">
        <f aca="true">CRITBINOM(K1717,Coefficients!$B$31,RAND())</f>
        <v>0</v>
      </c>
      <c r="M1717" s="0" t="n">
        <f aca="true">CRITBINOM(MAX(0,J1717-K1717),1-Coefficients!$B$32,RAND())</f>
        <v>1</v>
      </c>
      <c r="N1717" s="0" t="n">
        <f aca="true">CRITBINOM(MAX(0,$C1717-J1717),MIN(0.6,Matchup!$C$40*SQRT($B1717)/(1-MIN(0.75,Matchup!$C$39*$B1717))),RAND())</f>
        <v>1</v>
      </c>
      <c r="O1717" s="0" t="n">
        <f aca="false">6*J1717+(J1717-K1717-M1717)+2*L1717+3*N1717</f>
        <v>9</v>
      </c>
      <c r="P1717" s="0" t="n">
        <f aca="true">RAND()</f>
        <v>0.152348570941484</v>
      </c>
      <c r="Q1717" s="0" t="n">
        <f aca="true">RAND()</f>
        <v>0.985953999794419</v>
      </c>
      <c r="R1717" s="0" t="n">
        <f aca="false">IF($I1717&lt;&gt;$O1717,0,IF(P1717&lt;Matchup!$B$39,7,IF(P1717&lt;Matchup!$B$39+Matchup!$B$40,3,0)))</f>
        <v>0</v>
      </c>
      <c r="S1717" s="0" t="n">
        <f aca="false">IF($I1717&lt;&gt;$O1717,0,IF(Q1717&lt;Matchup!$C$39,7,IF(Q1717&lt;Matchup!$C$39+Matchup!$C$40,3,0)))</f>
        <v>0</v>
      </c>
      <c r="T1717" s="0" t="n">
        <f aca="false">I1717+R1717</f>
        <v>34</v>
      </c>
      <c r="U1717" s="0" t="n">
        <f aca="false">O1717+S1717</f>
        <v>9</v>
      </c>
      <c r="V1717" s="0" t="n">
        <f aca="false">T1717-U1717</f>
        <v>25</v>
      </c>
      <c r="W1717" s="0" t="n">
        <f aca="false">T1717+U1717</f>
        <v>43</v>
      </c>
    </row>
    <row r="1718" customFormat="false" ht="15" hidden="false" customHeight="false" outlineLevel="0" collapsed="false">
      <c r="A1718" s="0" t="n">
        <v>1715</v>
      </c>
      <c r="B1718" s="0" t="n">
        <f aca="true">NORMINV(RAND(),1,Coefficients!$B$22)</f>
        <v>1.11909076831862</v>
      </c>
      <c r="C1718" s="0" t="n">
        <f aca="true">MEDIAN(8,16,ROUND(NORMINV(RAND(),Coefficients!$B$20,Coefficients!$B$21),0))</f>
        <v>11</v>
      </c>
      <c r="D1718" s="0" t="n">
        <f aca="true">CRITBINOM($C1718,MIN(0.75,Matchup!$B$39*$B1718),RAND())</f>
        <v>1</v>
      </c>
      <c r="E1718" s="0" t="n">
        <f aca="true">CRITBINOM(D1718,Coefficients!$B$30,RAND())</f>
        <v>0</v>
      </c>
      <c r="F1718" s="0" t="n">
        <f aca="true">CRITBINOM(E1718,Coefficients!$B$31,RAND())</f>
        <v>0</v>
      </c>
      <c r="G1718" s="0" t="n">
        <f aca="true">CRITBINOM(MAX(0,D1718-E1718),1-Coefficients!$B$32,RAND())</f>
        <v>0</v>
      </c>
      <c r="H1718" s="0" t="n">
        <f aca="true">CRITBINOM(MAX(0,$C1718-D1718),MIN(0.6,Matchup!$B$40*SQRT($B1718)/(1-MIN(0.75,Matchup!$B$39*$B1718))),RAND())</f>
        <v>2</v>
      </c>
      <c r="I1718" s="0" t="n">
        <f aca="false">6*D1718+(D1718-E1718-G1718)+2*F1718+3*H1718</f>
        <v>13</v>
      </c>
      <c r="J1718" s="0" t="n">
        <f aca="true">CRITBINOM($C1718,MIN(0.75,Matchup!$C$39*$B1718),RAND())</f>
        <v>4</v>
      </c>
      <c r="K1718" s="0" t="n">
        <f aca="true">CRITBINOM(J1718,Coefficients!$B$30,RAND())</f>
        <v>0</v>
      </c>
      <c r="L1718" s="0" t="n">
        <f aca="true">CRITBINOM(K1718,Coefficients!$B$31,RAND())</f>
        <v>0</v>
      </c>
      <c r="M1718" s="0" t="n">
        <f aca="true">CRITBINOM(MAX(0,J1718-K1718),1-Coefficients!$B$32,RAND())</f>
        <v>0</v>
      </c>
      <c r="N1718" s="0" t="n">
        <f aca="true">CRITBINOM(MAX(0,$C1718-J1718),MIN(0.6,Matchup!$C$40*SQRT($B1718)/(1-MIN(0.75,Matchup!$C$39*$B1718))),RAND())</f>
        <v>1</v>
      </c>
      <c r="O1718" s="0" t="n">
        <f aca="false">6*J1718+(J1718-K1718-M1718)+2*L1718+3*N1718</f>
        <v>31</v>
      </c>
      <c r="P1718" s="0" t="n">
        <f aca="true">RAND()</f>
        <v>0.0842796658432865</v>
      </c>
      <c r="Q1718" s="0" t="n">
        <f aca="true">RAND()</f>
        <v>0.590031514330693</v>
      </c>
      <c r="R1718" s="0" t="n">
        <f aca="false">IF($I1718&lt;&gt;$O1718,0,IF(P1718&lt;Matchup!$B$39,7,IF(P1718&lt;Matchup!$B$39+Matchup!$B$40,3,0)))</f>
        <v>0</v>
      </c>
      <c r="S1718" s="0" t="n">
        <f aca="false">IF($I1718&lt;&gt;$O1718,0,IF(Q1718&lt;Matchup!$C$39,7,IF(Q1718&lt;Matchup!$C$39+Matchup!$C$40,3,0)))</f>
        <v>0</v>
      </c>
      <c r="T1718" s="0" t="n">
        <f aca="false">I1718+R1718</f>
        <v>13</v>
      </c>
      <c r="U1718" s="0" t="n">
        <f aca="false">O1718+S1718</f>
        <v>31</v>
      </c>
      <c r="V1718" s="0" t="n">
        <f aca="false">T1718-U1718</f>
        <v>-18</v>
      </c>
      <c r="W1718" s="0" t="n">
        <f aca="false">T1718+U1718</f>
        <v>44</v>
      </c>
    </row>
    <row r="1719" customFormat="false" ht="15" hidden="false" customHeight="false" outlineLevel="0" collapsed="false">
      <c r="A1719" s="0" t="n">
        <v>1716</v>
      </c>
      <c r="B1719" s="0" t="n">
        <f aca="true">NORMINV(RAND(),1,Coefficients!$B$22)</f>
        <v>0.830790573465533</v>
      </c>
      <c r="C1719" s="0" t="n">
        <f aca="true">MEDIAN(8,16,ROUND(NORMINV(RAND(),Coefficients!$B$20,Coefficients!$B$21),0))</f>
        <v>9</v>
      </c>
      <c r="D1719" s="0" t="n">
        <f aca="true">CRITBINOM($C1719,MIN(0.75,Matchup!$B$39*$B1719),RAND())</f>
        <v>3</v>
      </c>
      <c r="E1719" s="0" t="n">
        <f aca="true">CRITBINOM(D1719,Coefficients!$B$30,RAND())</f>
        <v>0</v>
      </c>
      <c r="F1719" s="0" t="n">
        <f aca="true">CRITBINOM(E1719,Coefficients!$B$31,RAND())</f>
        <v>0</v>
      </c>
      <c r="G1719" s="0" t="n">
        <f aca="true">CRITBINOM(MAX(0,D1719-E1719),1-Coefficients!$B$32,RAND())</f>
        <v>0</v>
      </c>
      <c r="H1719" s="0" t="n">
        <f aca="true">CRITBINOM(MAX(0,$C1719-D1719),MIN(0.6,Matchup!$B$40*SQRT($B1719)/(1-MIN(0.75,Matchup!$B$39*$B1719))),RAND())</f>
        <v>2</v>
      </c>
      <c r="I1719" s="0" t="n">
        <f aca="false">6*D1719+(D1719-E1719-G1719)+2*F1719+3*H1719</f>
        <v>27</v>
      </c>
      <c r="J1719" s="0" t="n">
        <f aca="true">CRITBINOM($C1719,MIN(0.75,Matchup!$C$39*$B1719),RAND())</f>
        <v>1</v>
      </c>
      <c r="K1719" s="0" t="n">
        <f aca="true">CRITBINOM(J1719,Coefficients!$B$30,RAND())</f>
        <v>0</v>
      </c>
      <c r="L1719" s="0" t="n">
        <f aca="true">CRITBINOM(K1719,Coefficients!$B$31,RAND())</f>
        <v>0</v>
      </c>
      <c r="M1719" s="0" t="n">
        <f aca="true">CRITBINOM(MAX(0,J1719-K1719),1-Coefficients!$B$32,RAND())</f>
        <v>0</v>
      </c>
      <c r="N1719" s="0" t="n">
        <f aca="true">CRITBINOM(MAX(0,$C1719-J1719),MIN(0.6,Matchup!$C$40*SQRT($B1719)/(1-MIN(0.75,Matchup!$C$39*$B1719))),RAND())</f>
        <v>2</v>
      </c>
      <c r="O1719" s="0" t="n">
        <f aca="false">6*J1719+(J1719-K1719-M1719)+2*L1719+3*N1719</f>
        <v>13</v>
      </c>
      <c r="P1719" s="0" t="n">
        <f aca="true">RAND()</f>
        <v>0.592234711986296</v>
      </c>
      <c r="Q1719" s="0" t="n">
        <f aca="true">RAND()</f>
        <v>0.947795585539897</v>
      </c>
      <c r="R1719" s="0" t="n">
        <f aca="false">IF($I1719&lt;&gt;$O1719,0,IF(P1719&lt;Matchup!$B$39,7,IF(P1719&lt;Matchup!$B$39+Matchup!$B$40,3,0)))</f>
        <v>0</v>
      </c>
      <c r="S1719" s="0" t="n">
        <f aca="false">IF($I1719&lt;&gt;$O1719,0,IF(Q1719&lt;Matchup!$C$39,7,IF(Q1719&lt;Matchup!$C$39+Matchup!$C$40,3,0)))</f>
        <v>0</v>
      </c>
      <c r="T1719" s="0" t="n">
        <f aca="false">I1719+R1719</f>
        <v>27</v>
      </c>
      <c r="U1719" s="0" t="n">
        <f aca="false">O1719+S1719</f>
        <v>13</v>
      </c>
      <c r="V1719" s="0" t="n">
        <f aca="false">T1719-U1719</f>
        <v>14</v>
      </c>
      <c r="W1719" s="0" t="n">
        <f aca="false">T1719+U1719</f>
        <v>40</v>
      </c>
    </row>
    <row r="1720" customFormat="false" ht="15" hidden="false" customHeight="false" outlineLevel="0" collapsed="false">
      <c r="A1720" s="0" t="n">
        <v>1717</v>
      </c>
      <c r="B1720" s="0" t="n">
        <f aca="true">NORMINV(RAND(),1,Coefficients!$B$22)</f>
        <v>0.833109740231855</v>
      </c>
      <c r="C1720" s="0" t="n">
        <f aca="true">MEDIAN(8,16,ROUND(NORMINV(RAND(),Coefficients!$B$20,Coefficients!$B$21),0))</f>
        <v>11</v>
      </c>
      <c r="D1720" s="0" t="n">
        <f aca="true">CRITBINOM($C1720,MIN(0.75,Matchup!$B$39*$B1720),RAND())</f>
        <v>1</v>
      </c>
      <c r="E1720" s="0" t="n">
        <f aca="true">CRITBINOM(D1720,Coefficients!$B$30,RAND())</f>
        <v>0</v>
      </c>
      <c r="F1720" s="0" t="n">
        <f aca="true">CRITBINOM(E1720,Coefficients!$B$31,RAND())</f>
        <v>0</v>
      </c>
      <c r="G1720" s="0" t="n">
        <f aca="true">CRITBINOM(MAX(0,D1720-E1720),1-Coefficients!$B$32,RAND())</f>
        <v>0</v>
      </c>
      <c r="H1720" s="0" t="n">
        <f aca="true">CRITBINOM(MAX(0,$C1720-D1720),MIN(0.6,Matchup!$B$40*SQRT($B1720)/(1-MIN(0.75,Matchup!$B$39*$B1720))),RAND())</f>
        <v>2</v>
      </c>
      <c r="I1720" s="0" t="n">
        <f aca="false">6*D1720+(D1720-E1720-G1720)+2*F1720+3*H1720</f>
        <v>13</v>
      </c>
      <c r="J1720" s="0" t="n">
        <f aca="true">CRITBINOM($C1720,MIN(0.75,Matchup!$C$39*$B1720),RAND())</f>
        <v>3</v>
      </c>
      <c r="K1720" s="0" t="n">
        <f aca="true">CRITBINOM(J1720,Coefficients!$B$30,RAND())</f>
        <v>1</v>
      </c>
      <c r="L1720" s="0" t="n">
        <f aca="true">CRITBINOM(K1720,Coefficients!$B$31,RAND())</f>
        <v>1</v>
      </c>
      <c r="M1720" s="0" t="n">
        <f aca="true">CRITBINOM(MAX(0,J1720-K1720),1-Coefficients!$B$32,RAND())</f>
        <v>0</v>
      </c>
      <c r="N1720" s="0" t="n">
        <f aca="true">CRITBINOM(MAX(0,$C1720-J1720),MIN(0.6,Matchup!$C$40*SQRT($B1720)/(1-MIN(0.75,Matchup!$C$39*$B1720))),RAND())</f>
        <v>1</v>
      </c>
      <c r="O1720" s="0" t="n">
        <f aca="false">6*J1720+(J1720-K1720-M1720)+2*L1720+3*N1720</f>
        <v>25</v>
      </c>
      <c r="P1720" s="0" t="n">
        <f aca="true">RAND()</f>
        <v>0.849353032296962</v>
      </c>
      <c r="Q1720" s="0" t="n">
        <f aca="true">RAND()</f>
        <v>0.114677166665389</v>
      </c>
      <c r="R1720" s="0" t="n">
        <f aca="false">IF($I1720&lt;&gt;$O1720,0,IF(P1720&lt;Matchup!$B$39,7,IF(P1720&lt;Matchup!$B$39+Matchup!$B$40,3,0)))</f>
        <v>0</v>
      </c>
      <c r="S1720" s="0" t="n">
        <f aca="false">IF($I1720&lt;&gt;$O1720,0,IF(Q1720&lt;Matchup!$C$39,7,IF(Q1720&lt;Matchup!$C$39+Matchup!$C$40,3,0)))</f>
        <v>0</v>
      </c>
      <c r="T1720" s="0" t="n">
        <f aca="false">I1720+R1720</f>
        <v>13</v>
      </c>
      <c r="U1720" s="0" t="n">
        <f aca="false">O1720+S1720</f>
        <v>25</v>
      </c>
      <c r="V1720" s="0" t="n">
        <f aca="false">T1720-U1720</f>
        <v>-12</v>
      </c>
      <c r="W1720" s="0" t="n">
        <f aca="false">T1720+U1720</f>
        <v>38</v>
      </c>
    </row>
    <row r="1721" customFormat="false" ht="15" hidden="false" customHeight="false" outlineLevel="0" collapsed="false">
      <c r="A1721" s="0" t="n">
        <v>1718</v>
      </c>
      <c r="B1721" s="0" t="n">
        <f aca="true">NORMINV(RAND(),1,Coefficients!$B$22)</f>
        <v>1.00590699291866</v>
      </c>
      <c r="C1721" s="0" t="n">
        <f aca="true">MEDIAN(8,16,ROUND(NORMINV(RAND(),Coefficients!$B$20,Coefficients!$B$21),0))</f>
        <v>12</v>
      </c>
      <c r="D1721" s="0" t="n">
        <f aca="true">CRITBINOM($C1721,MIN(0.75,Matchup!$B$39*$B1721),RAND())</f>
        <v>2</v>
      </c>
      <c r="E1721" s="0" t="n">
        <f aca="true">CRITBINOM(D1721,Coefficients!$B$30,RAND())</f>
        <v>0</v>
      </c>
      <c r="F1721" s="0" t="n">
        <f aca="true">CRITBINOM(E1721,Coefficients!$B$31,RAND())</f>
        <v>0</v>
      </c>
      <c r="G1721" s="0" t="n">
        <f aca="true">CRITBINOM(MAX(0,D1721-E1721),1-Coefficients!$B$32,RAND())</f>
        <v>0</v>
      </c>
      <c r="H1721" s="0" t="n">
        <f aca="true">CRITBINOM(MAX(0,$C1721-D1721),MIN(0.6,Matchup!$B$40*SQRT($B1721)/(1-MIN(0.75,Matchup!$B$39*$B1721))),RAND())</f>
        <v>2</v>
      </c>
      <c r="I1721" s="0" t="n">
        <f aca="false">6*D1721+(D1721-E1721-G1721)+2*F1721+3*H1721</f>
        <v>20</v>
      </c>
      <c r="J1721" s="0" t="n">
        <f aca="true">CRITBINOM($C1721,MIN(0.75,Matchup!$C$39*$B1721),RAND())</f>
        <v>1</v>
      </c>
      <c r="K1721" s="0" t="n">
        <f aca="true">CRITBINOM(J1721,Coefficients!$B$30,RAND())</f>
        <v>0</v>
      </c>
      <c r="L1721" s="0" t="n">
        <f aca="true">CRITBINOM(K1721,Coefficients!$B$31,RAND())</f>
        <v>0</v>
      </c>
      <c r="M1721" s="0" t="n">
        <f aca="true">CRITBINOM(MAX(0,J1721-K1721),1-Coefficients!$B$32,RAND())</f>
        <v>0</v>
      </c>
      <c r="N1721" s="0" t="n">
        <f aca="true">CRITBINOM(MAX(0,$C1721-J1721),MIN(0.6,Matchup!$C$40*SQRT($B1721)/(1-MIN(0.75,Matchup!$C$39*$B1721))),RAND())</f>
        <v>1</v>
      </c>
      <c r="O1721" s="0" t="n">
        <f aca="false">6*J1721+(J1721-K1721-M1721)+2*L1721+3*N1721</f>
        <v>10</v>
      </c>
      <c r="P1721" s="0" t="n">
        <f aca="true">RAND()</f>
        <v>0.345868049835325</v>
      </c>
      <c r="Q1721" s="0" t="n">
        <f aca="true">RAND()</f>
        <v>0.529648572173518</v>
      </c>
      <c r="R1721" s="0" t="n">
        <f aca="false">IF($I1721&lt;&gt;$O1721,0,IF(P1721&lt;Matchup!$B$39,7,IF(P1721&lt;Matchup!$B$39+Matchup!$B$40,3,0)))</f>
        <v>0</v>
      </c>
      <c r="S1721" s="0" t="n">
        <f aca="false">IF($I1721&lt;&gt;$O1721,0,IF(Q1721&lt;Matchup!$C$39,7,IF(Q1721&lt;Matchup!$C$39+Matchup!$C$40,3,0)))</f>
        <v>0</v>
      </c>
      <c r="T1721" s="0" t="n">
        <f aca="false">I1721+R1721</f>
        <v>20</v>
      </c>
      <c r="U1721" s="0" t="n">
        <f aca="false">O1721+S1721</f>
        <v>10</v>
      </c>
      <c r="V1721" s="0" t="n">
        <f aca="false">T1721-U1721</f>
        <v>10</v>
      </c>
      <c r="W1721" s="0" t="n">
        <f aca="false">T1721+U1721</f>
        <v>30</v>
      </c>
    </row>
    <row r="1722" customFormat="false" ht="15" hidden="false" customHeight="false" outlineLevel="0" collapsed="false">
      <c r="A1722" s="0" t="n">
        <v>1719</v>
      </c>
      <c r="B1722" s="0" t="n">
        <f aca="true">NORMINV(RAND(),1,Coefficients!$B$22)</f>
        <v>1.0303565664138</v>
      </c>
      <c r="C1722" s="0" t="n">
        <f aca="true">MEDIAN(8,16,ROUND(NORMINV(RAND(),Coefficients!$B$20,Coefficients!$B$21),0))</f>
        <v>12</v>
      </c>
      <c r="D1722" s="0" t="n">
        <f aca="true">CRITBINOM($C1722,MIN(0.75,Matchup!$B$39*$B1722),RAND())</f>
        <v>5</v>
      </c>
      <c r="E1722" s="0" t="n">
        <f aca="true">CRITBINOM(D1722,Coefficients!$B$30,RAND())</f>
        <v>2</v>
      </c>
      <c r="F1722" s="0" t="n">
        <f aca="true">CRITBINOM(E1722,Coefficients!$B$31,RAND())</f>
        <v>0</v>
      </c>
      <c r="G1722" s="0" t="n">
        <f aca="true">CRITBINOM(MAX(0,D1722-E1722),1-Coefficients!$B$32,RAND())</f>
        <v>0</v>
      </c>
      <c r="H1722" s="0" t="n">
        <f aca="true">CRITBINOM(MAX(0,$C1722-D1722),MIN(0.6,Matchup!$B$40*SQRT($B1722)/(1-MIN(0.75,Matchup!$B$39*$B1722))),RAND())</f>
        <v>2</v>
      </c>
      <c r="I1722" s="0" t="n">
        <f aca="false">6*D1722+(D1722-E1722-G1722)+2*F1722+3*H1722</f>
        <v>39</v>
      </c>
      <c r="J1722" s="0" t="n">
        <f aca="true">CRITBINOM($C1722,MIN(0.75,Matchup!$C$39*$B1722),RAND())</f>
        <v>1</v>
      </c>
      <c r="K1722" s="0" t="n">
        <f aca="true">CRITBINOM(J1722,Coefficients!$B$30,RAND())</f>
        <v>0</v>
      </c>
      <c r="L1722" s="0" t="n">
        <f aca="true">CRITBINOM(K1722,Coefficients!$B$31,RAND())</f>
        <v>0</v>
      </c>
      <c r="M1722" s="0" t="n">
        <f aca="true">CRITBINOM(MAX(0,J1722-K1722),1-Coefficients!$B$32,RAND())</f>
        <v>0</v>
      </c>
      <c r="N1722" s="0" t="n">
        <f aca="true">CRITBINOM(MAX(0,$C1722-J1722),MIN(0.6,Matchup!$C$40*SQRT($B1722)/(1-MIN(0.75,Matchup!$C$39*$B1722))),RAND())</f>
        <v>4</v>
      </c>
      <c r="O1722" s="0" t="n">
        <f aca="false">6*J1722+(J1722-K1722-M1722)+2*L1722+3*N1722</f>
        <v>19</v>
      </c>
      <c r="P1722" s="0" t="n">
        <f aca="true">RAND()</f>
        <v>0.514863485177076</v>
      </c>
      <c r="Q1722" s="0" t="n">
        <f aca="true">RAND()</f>
        <v>0.312853713992617</v>
      </c>
      <c r="R1722" s="0" t="n">
        <f aca="false">IF($I1722&lt;&gt;$O1722,0,IF(P1722&lt;Matchup!$B$39,7,IF(P1722&lt;Matchup!$B$39+Matchup!$B$40,3,0)))</f>
        <v>0</v>
      </c>
      <c r="S1722" s="0" t="n">
        <f aca="false">IF($I1722&lt;&gt;$O1722,0,IF(Q1722&lt;Matchup!$C$39,7,IF(Q1722&lt;Matchup!$C$39+Matchup!$C$40,3,0)))</f>
        <v>0</v>
      </c>
      <c r="T1722" s="0" t="n">
        <f aca="false">I1722+R1722</f>
        <v>39</v>
      </c>
      <c r="U1722" s="0" t="n">
        <f aca="false">O1722+S1722</f>
        <v>19</v>
      </c>
      <c r="V1722" s="0" t="n">
        <f aca="false">T1722-U1722</f>
        <v>20</v>
      </c>
      <c r="W1722" s="0" t="n">
        <f aca="false">T1722+U1722</f>
        <v>58</v>
      </c>
    </row>
    <row r="1723" customFormat="false" ht="15" hidden="false" customHeight="false" outlineLevel="0" collapsed="false">
      <c r="A1723" s="0" t="n">
        <v>1720</v>
      </c>
      <c r="B1723" s="0" t="n">
        <f aca="true">NORMINV(RAND(),1,Coefficients!$B$22)</f>
        <v>1.00346735408962</v>
      </c>
      <c r="C1723" s="0" t="n">
        <f aca="true">MEDIAN(8,16,ROUND(NORMINV(RAND(),Coefficients!$B$20,Coefficients!$B$21),0))</f>
        <v>10</v>
      </c>
      <c r="D1723" s="0" t="n">
        <f aca="true">CRITBINOM($C1723,MIN(0.75,Matchup!$B$39*$B1723),RAND())</f>
        <v>4</v>
      </c>
      <c r="E1723" s="0" t="n">
        <f aca="true">CRITBINOM(D1723,Coefficients!$B$30,RAND())</f>
        <v>0</v>
      </c>
      <c r="F1723" s="0" t="n">
        <f aca="true">CRITBINOM(E1723,Coefficients!$B$31,RAND())</f>
        <v>0</v>
      </c>
      <c r="G1723" s="0" t="n">
        <f aca="true">CRITBINOM(MAX(0,D1723-E1723),1-Coefficients!$B$32,RAND())</f>
        <v>0</v>
      </c>
      <c r="H1723" s="0" t="n">
        <f aca="true">CRITBINOM(MAX(0,$C1723-D1723),MIN(0.6,Matchup!$B$40*SQRT($B1723)/(1-MIN(0.75,Matchup!$B$39*$B1723))),RAND())</f>
        <v>1</v>
      </c>
      <c r="I1723" s="0" t="n">
        <f aca="false">6*D1723+(D1723-E1723-G1723)+2*F1723+3*H1723</f>
        <v>31</v>
      </c>
      <c r="J1723" s="0" t="n">
        <f aca="true">CRITBINOM($C1723,MIN(0.75,Matchup!$C$39*$B1723),RAND())</f>
        <v>3</v>
      </c>
      <c r="K1723" s="0" t="n">
        <f aca="true">CRITBINOM(J1723,Coefficients!$B$30,RAND())</f>
        <v>2</v>
      </c>
      <c r="L1723" s="0" t="n">
        <f aca="true">CRITBINOM(K1723,Coefficients!$B$31,RAND())</f>
        <v>1</v>
      </c>
      <c r="M1723" s="0" t="n">
        <f aca="true">CRITBINOM(MAX(0,J1723-K1723),1-Coefficients!$B$32,RAND())</f>
        <v>0</v>
      </c>
      <c r="N1723" s="0" t="n">
        <f aca="true">CRITBINOM(MAX(0,$C1723-J1723),MIN(0.6,Matchup!$C$40*SQRT($B1723)/(1-MIN(0.75,Matchup!$C$39*$B1723))),RAND())</f>
        <v>3</v>
      </c>
      <c r="O1723" s="0" t="n">
        <f aca="false">6*J1723+(J1723-K1723-M1723)+2*L1723+3*N1723</f>
        <v>30</v>
      </c>
      <c r="P1723" s="0" t="n">
        <f aca="true">RAND()</f>
        <v>0.247606180417892</v>
      </c>
      <c r="Q1723" s="0" t="n">
        <f aca="true">RAND()</f>
        <v>0.905649145613342</v>
      </c>
      <c r="R1723" s="0" t="n">
        <f aca="false">IF($I1723&lt;&gt;$O1723,0,IF(P1723&lt;Matchup!$B$39,7,IF(P1723&lt;Matchup!$B$39+Matchup!$B$40,3,0)))</f>
        <v>0</v>
      </c>
      <c r="S1723" s="0" t="n">
        <f aca="false">IF($I1723&lt;&gt;$O1723,0,IF(Q1723&lt;Matchup!$C$39,7,IF(Q1723&lt;Matchup!$C$39+Matchup!$C$40,3,0)))</f>
        <v>0</v>
      </c>
      <c r="T1723" s="0" t="n">
        <f aca="false">I1723+R1723</f>
        <v>31</v>
      </c>
      <c r="U1723" s="0" t="n">
        <f aca="false">O1723+S1723</f>
        <v>30</v>
      </c>
      <c r="V1723" s="0" t="n">
        <f aca="false">T1723-U1723</f>
        <v>1</v>
      </c>
      <c r="W1723" s="0" t="n">
        <f aca="false">T1723+U1723</f>
        <v>61</v>
      </c>
    </row>
    <row r="1724" customFormat="false" ht="15" hidden="false" customHeight="false" outlineLevel="0" collapsed="false">
      <c r="A1724" s="0" t="n">
        <v>1721</v>
      </c>
      <c r="B1724" s="0" t="n">
        <f aca="true">NORMINV(RAND(),1,Coefficients!$B$22)</f>
        <v>1.20217402547575</v>
      </c>
      <c r="C1724" s="0" t="n">
        <f aca="true">MEDIAN(8,16,ROUND(NORMINV(RAND(),Coefficients!$B$20,Coefficients!$B$21),0))</f>
        <v>11</v>
      </c>
      <c r="D1724" s="0" t="n">
        <f aca="true">CRITBINOM($C1724,MIN(0.75,Matchup!$B$39*$B1724),RAND())</f>
        <v>1</v>
      </c>
      <c r="E1724" s="0" t="n">
        <f aca="true">CRITBINOM(D1724,Coefficients!$B$30,RAND())</f>
        <v>0</v>
      </c>
      <c r="F1724" s="0" t="n">
        <f aca="true">CRITBINOM(E1724,Coefficients!$B$31,RAND())</f>
        <v>0</v>
      </c>
      <c r="G1724" s="0" t="n">
        <f aca="true">CRITBINOM(MAX(0,D1724-E1724),1-Coefficients!$B$32,RAND())</f>
        <v>0</v>
      </c>
      <c r="H1724" s="0" t="n">
        <f aca="true">CRITBINOM(MAX(0,$C1724-D1724),MIN(0.6,Matchup!$B$40*SQRT($B1724)/(1-MIN(0.75,Matchup!$B$39*$B1724))),RAND())</f>
        <v>2</v>
      </c>
      <c r="I1724" s="0" t="n">
        <f aca="false">6*D1724+(D1724-E1724-G1724)+2*F1724+3*H1724</f>
        <v>13</v>
      </c>
      <c r="J1724" s="0" t="n">
        <f aca="true">CRITBINOM($C1724,MIN(0.75,Matchup!$C$39*$B1724),RAND())</f>
        <v>1</v>
      </c>
      <c r="K1724" s="0" t="n">
        <f aca="true">CRITBINOM(J1724,Coefficients!$B$30,RAND())</f>
        <v>0</v>
      </c>
      <c r="L1724" s="0" t="n">
        <f aca="true">CRITBINOM(K1724,Coefficients!$B$31,RAND())</f>
        <v>0</v>
      </c>
      <c r="M1724" s="0" t="n">
        <f aca="true">CRITBINOM(MAX(0,J1724-K1724),1-Coefficients!$B$32,RAND())</f>
        <v>0</v>
      </c>
      <c r="N1724" s="0" t="n">
        <f aca="true">CRITBINOM(MAX(0,$C1724-J1724),MIN(0.6,Matchup!$C$40*SQRT($B1724)/(1-MIN(0.75,Matchup!$C$39*$B1724))),RAND())</f>
        <v>3</v>
      </c>
      <c r="O1724" s="0" t="n">
        <f aca="false">6*J1724+(J1724-K1724-M1724)+2*L1724+3*N1724</f>
        <v>16</v>
      </c>
      <c r="P1724" s="0" t="n">
        <f aca="true">RAND()</f>
        <v>0.0612273029376768</v>
      </c>
      <c r="Q1724" s="0" t="n">
        <f aca="true">RAND()</f>
        <v>0.934829238267382</v>
      </c>
      <c r="R1724" s="0" t="n">
        <f aca="false">IF($I1724&lt;&gt;$O1724,0,IF(P1724&lt;Matchup!$B$39,7,IF(P1724&lt;Matchup!$B$39+Matchup!$B$40,3,0)))</f>
        <v>0</v>
      </c>
      <c r="S1724" s="0" t="n">
        <f aca="false">IF($I1724&lt;&gt;$O1724,0,IF(Q1724&lt;Matchup!$C$39,7,IF(Q1724&lt;Matchup!$C$39+Matchup!$C$40,3,0)))</f>
        <v>0</v>
      </c>
      <c r="T1724" s="0" t="n">
        <f aca="false">I1724+R1724</f>
        <v>13</v>
      </c>
      <c r="U1724" s="0" t="n">
        <f aca="false">O1724+S1724</f>
        <v>16</v>
      </c>
      <c r="V1724" s="0" t="n">
        <f aca="false">T1724-U1724</f>
        <v>-3</v>
      </c>
      <c r="W1724" s="0" t="n">
        <f aca="false">T1724+U1724</f>
        <v>29</v>
      </c>
    </row>
    <row r="1725" customFormat="false" ht="15" hidden="false" customHeight="false" outlineLevel="0" collapsed="false">
      <c r="A1725" s="0" t="n">
        <v>1722</v>
      </c>
      <c r="B1725" s="0" t="n">
        <f aca="true">NORMINV(RAND(),1,Coefficients!$B$22)</f>
        <v>1.06488608026736</v>
      </c>
      <c r="C1725" s="0" t="n">
        <f aca="true">MEDIAN(8,16,ROUND(NORMINV(RAND(),Coefficients!$B$20,Coefficients!$B$21),0))</f>
        <v>11</v>
      </c>
      <c r="D1725" s="0" t="n">
        <f aca="true">CRITBINOM($C1725,MIN(0.75,Matchup!$B$39*$B1725),RAND())</f>
        <v>5</v>
      </c>
      <c r="E1725" s="0" t="n">
        <f aca="true">CRITBINOM(D1725,Coefficients!$B$30,RAND())</f>
        <v>0</v>
      </c>
      <c r="F1725" s="0" t="n">
        <f aca="true">CRITBINOM(E1725,Coefficients!$B$31,RAND())</f>
        <v>0</v>
      </c>
      <c r="G1725" s="0" t="n">
        <f aca="true">CRITBINOM(MAX(0,D1725-E1725),1-Coefficients!$B$32,RAND())</f>
        <v>0</v>
      </c>
      <c r="H1725" s="0" t="n">
        <f aca="true">CRITBINOM(MAX(0,$C1725-D1725),MIN(0.6,Matchup!$B$40*SQRT($B1725)/(1-MIN(0.75,Matchup!$B$39*$B1725))),RAND())</f>
        <v>3</v>
      </c>
      <c r="I1725" s="0" t="n">
        <f aca="false">6*D1725+(D1725-E1725-G1725)+2*F1725+3*H1725</f>
        <v>44</v>
      </c>
      <c r="J1725" s="0" t="n">
        <f aca="true">CRITBINOM($C1725,MIN(0.75,Matchup!$C$39*$B1725),RAND())</f>
        <v>1</v>
      </c>
      <c r="K1725" s="0" t="n">
        <f aca="true">CRITBINOM(J1725,Coefficients!$B$30,RAND())</f>
        <v>0</v>
      </c>
      <c r="L1725" s="0" t="n">
        <f aca="true">CRITBINOM(K1725,Coefficients!$B$31,RAND())</f>
        <v>0</v>
      </c>
      <c r="M1725" s="0" t="n">
        <f aca="true">CRITBINOM(MAX(0,J1725-K1725),1-Coefficients!$B$32,RAND())</f>
        <v>0</v>
      </c>
      <c r="N1725" s="0" t="n">
        <f aca="true">CRITBINOM(MAX(0,$C1725-J1725),MIN(0.6,Matchup!$C$40*SQRT($B1725)/(1-MIN(0.75,Matchup!$C$39*$B1725))),RAND())</f>
        <v>2</v>
      </c>
      <c r="O1725" s="0" t="n">
        <f aca="false">6*J1725+(J1725-K1725-M1725)+2*L1725+3*N1725</f>
        <v>13</v>
      </c>
      <c r="P1725" s="0" t="n">
        <f aca="true">RAND()</f>
        <v>0.70531144551654</v>
      </c>
      <c r="Q1725" s="0" t="n">
        <f aca="true">RAND()</f>
        <v>0.498550409281771</v>
      </c>
      <c r="R1725" s="0" t="n">
        <f aca="false">IF($I1725&lt;&gt;$O1725,0,IF(P1725&lt;Matchup!$B$39,7,IF(P1725&lt;Matchup!$B$39+Matchup!$B$40,3,0)))</f>
        <v>0</v>
      </c>
      <c r="S1725" s="0" t="n">
        <f aca="false">IF($I1725&lt;&gt;$O1725,0,IF(Q1725&lt;Matchup!$C$39,7,IF(Q1725&lt;Matchup!$C$39+Matchup!$C$40,3,0)))</f>
        <v>0</v>
      </c>
      <c r="T1725" s="0" t="n">
        <f aca="false">I1725+R1725</f>
        <v>44</v>
      </c>
      <c r="U1725" s="0" t="n">
        <f aca="false">O1725+S1725</f>
        <v>13</v>
      </c>
      <c r="V1725" s="0" t="n">
        <f aca="false">T1725-U1725</f>
        <v>31</v>
      </c>
      <c r="W1725" s="0" t="n">
        <f aca="false">T1725+U1725</f>
        <v>57</v>
      </c>
    </row>
    <row r="1726" customFormat="false" ht="15" hidden="false" customHeight="false" outlineLevel="0" collapsed="false">
      <c r="A1726" s="0" t="n">
        <v>1723</v>
      </c>
      <c r="B1726" s="0" t="n">
        <f aca="true">NORMINV(RAND(),1,Coefficients!$B$22)</f>
        <v>0.958203345432968</v>
      </c>
      <c r="C1726" s="0" t="n">
        <f aca="true">MEDIAN(8,16,ROUND(NORMINV(RAND(),Coefficients!$B$20,Coefficients!$B$21),0))</f>
        <v>12</v>
      </c>
      <c r="D1726" s="0" t="n">
        <f aca="true">CRITBINOM($C1726,MIN(0.75,Matchup!$B$39*$B1726),RAND())</f>
        <v>4</v>
      </c>
      <c r="E1726" s="0" t="n">
        <f aca="true">CRITBINOM(D1726,Coefficients!$B$30,RAND())</f>
        <v>0</v>
      </c>
      <c r="F1726" s="0" t="n">
        <f aca="true">CRITBINOM(E1726,Coefficients!$B$31,RAND())</f>
        <v>0</v>
      </c>
      <c r="G1726" s="0" t="n">
        <f aca="true">CRITBINOM(MAX(0,D1726-E1726),1-Coefficients!$B$32,RAND())</f>
        <v>1</v>
      </c>
      <c r="H1726" s="0" t="n">
        <f aca="true">CRITBINOM(MAX(0,$C1726-D1726),MIN(0.6,Matchup!$B$40*SQRT($B1726)/(1-MIN(0.75,Matchup!$B$39*$B1726))),RAND())</f>
        <v>0</v>
      </c>
      <c r="I1726" s="0" t="n">
        <f aca="false">6*D1726+(D1726-E1726-G1726)+2*F1726+3*H1726</f>
        <v>27</v>
      </c>
      <c r="J1726" s="0" t="n">
        <f aca="true">CRITBINOM($C1726,MIN(0.75,Matchup!$C$39*$B1726),RAND())</f>
        <v>5</v>
      </c>
      <c r="K1726" s="0" t="n">
        <f aca="true">CRITBINOM(J1726,Coefficients!$B$30,RAND())</f>
        <v>0</v>
      </c>
      <c r="L1726" s="0" t="n">
        <f aca="true">CRITBINOM(K1726,Coefficients!$B$31,RAND())</f>
        <v>0</v>
      </c>
      <c r="M1726" s="0" t="n">
        <f aca="true">CRITBINOM(MAX(0,J1726-K1726),1-Coefficients!$B$32,RAND())</f>
        <v>0</v>
      </c>
      <c r="N1726" s="0" t="n">
        <f aca="true">CRITBINOM(MAX(0,$C1726-J1726),MIN(0.6,Matchup!$C$40*SQRT($B1726)/(1-MIN(0.75,Matchup!$C$39*$B1726))),RAND())</f>
        <v>1</v>
      </c>
      <c r="O1726" s="0" t="n">
        <f aca="false">6*J1726+(J1726-K1726-M1726)+2*L1726+3*N1726</f>
        <v>38</v>
      </c>
      <c r="P1726" s="0" t="n">
        <f aca="true">RAND()</f>
        <v>0.670569469937711</v>
      </c>
      <c r="Q1726" s="0" t="n">
        <f aca="true">RAND()</f>
        <v>0.0108896368936559</v>
      </c>
      <c r="R1726" s="0" t="n">
        <f aca="false">IF($I1726&lt;&gt;$O1726,0,IF(P1726&lt;Matchup!$B$39,7,IF(P1726&lt;Matchup!$B$39+Matchup!$B$40,3,0)))</f>
        <v>0</v>
      </c>
      <c r="S1726" s="0" t="n">
        <f aca="false">IF($I1726&lt;&gt;$O1726,0,IF(Q1726&lt;Matchup!$C$39,7,IF(Q1726&lt;Matchup!$C$39+Matchup!$C$40,3,0)))</f>
        <v>0</v>
      </c>
      <c r="T1726" s="0" t="n">
        <f aca="false">I1726+R1726</f>
        <v>27</v>
      </c>
      <c r="U1726" s="0" t="n">
        <f aca="false">O1726+S1726</f>
        <v>38</v>
      </c>
      <c r="V1726" s="0" t="n">
        <f aca="false">T1726-U1726</f>
        <v>-11</v>
      </c>
      <c r="W1726" s="0" t="n">
        <f aca="false">T1726+U1726</f>
        <v>65</v>
      </c>
    </row>
    <row r="1727" customFormat="false" ht="15" hidden="false" customHeight="false" outlineLevel="0" collapsed="false">
      <c r="A1727" s="0" t="n">
        <v>1724</v>
      </c>
      <c r="B1727" s="0" t="n">
        <f aca="true">NORMINV(RAND(),1,Coefficients!$B$22)</f>
        <v>1.02749836878517</v>
      </c>
      <c r="C1727" s="0" t="n">
        <f aca="true">MEDIAN(8,16,ROUND(NORMINV(RAND(),Coefficients!$B$20,Coefficients!$B$21),0))</f>
        <v>11</v>
      </c>
      <c r="D1727" s="0" t="n">
        <f aca="true">CRITBINOM($C1727,MIN(0.75,Matchup!$B$39*$B1727),RAND())</f>
        <v>1</v>
      </c>
      <c r="E1727" s="0" t="n">
        <f aca="true">CRITBINOM(D1727,Coefficients!$B$30,RAND())</f>
        <v>0</v>
      </c>
      <c r="F1727" s="0" t="n">
        <f aca="true">CRITBINOM(E1727,Coefficients!$B$31,RAND())</f>
        <v>0</v>
      </c>
      <c r="G1727" s="0" t="n">
        <f aca="true">CRITBINOM(MAX(0,D1727-E1727),1-Coefficients!$B$32,RAND())</f>
        <v>0</v>
      </c>
      <c r="H1727" s="0" t="n">
        <f aca="true">CRITBINOM(MAX(0,$C1727-D1727),MIN(0.6,Matchup!$B$40*SQRT($B1727)/(1-MIN(0.75,Matchup!$B$39*$B1727))),RAND())</f>
        <v>2</v>
      </c>
      <c r="I1727" s="0" t="n">
        <f aca="false">6*D1727+(D1727-E1727-G1727)+2*F1727+3*H1727</f>
        <v>13</v>
      </c>
      <c r="J1727" s="0" t="n">
        <f aca="true">CRITBINOM($C1727,MIN(0.75,Matchup!$C$39*$B1727),RAND())</f>
        <v>2</v>
      </c>
      <c r="K1727" s="0" t="n">
        <f aca="true">CRITBINOM(J1727,Coefficients!$B$30,RAND())</f>
        <v>1</v>
      </c>
      <c r="L1727" s="0" t="n">
        <f aca="true">CRITBINOM(K1727,Coefficients!$B$31,RAND())</f>
        <v>1</v>
      </c>
      <c r="M1727" s="0" t="n">
        <f aca="true">CRITBINOM(MAX(0,J1727-K1727),1-Coefficients!$B$32,RAND())</f>
        <v>0</v>
      </c>
      <c r="N1727" s="0" t="n">
        <f aca="true">CRITBINOM(MAX(0,$C1727-J1727),MIN(0.6,Matchup!$C$40*SQRT($B1727)/(1-MIN(0.75,Matchup!$C$39*$B1727))),RAND())</f>
        <v>2</v>
      </c>
      <c r="O1727" s="0" t="n">
        <f aca="false">6*J1727+(J1727-K1727-M1727)+2*L1727+3*N1727</f>
        <v>21</v>
      </c>
      <c r="P1727" s="0" t="n">
        <f aca="true">RAND()</f>
        <v>0.0469432834831515</v>
      </c>
      <c r="Q1727" s="0" t="n">
        <f aca="true">RAND()</f>
        <v>0.826658164322226</v>
      </c>
      <c r="R1727" s="0" t="n">
        <f aca="false">IF($I1727&lt;&gt;$O1727,0,IF(P1727&lt;Matchup!$B$39,7,IF(P1727&lt;Matchup!$B$39+Matchup!$B$40,3,0)))</f>
        <v>0</v>
      </c>
      <c r="S1727" s="0" t="n">
        <f aca="false">IF($I1727&lt;&gt;$O1727,0,IF(Q1727&lt;Matchup!$C$39,7,IF(Q1727&lt;Matchup!$C$39+Matchup!$C$40,3,0)))</f>
        <v>0</v>
      </c>
      <c r="T1727" s="0" t="n">
        <f aca="false">I1727+R1727</f>
        <v>13</v>
      </c>
      <c r="U1727" s="0" t="n">
        <f aca="false">O1727+S1727</f>
        <v>21</v>
      </c>
      <c r="V1727" s="0" t="n">
        <f aca="false">T1727-U1727</f>
        <v>-8</v>
      </c>
      <c r="W1727" s="0" t="n">
        <f aca="false">T1727+U1727</f>
        <v>34</v>
      </c>
    </row>
    <row r="1728" customFormat="false" ht="15" hidden="false" customHeight="false" outlineLevel="0" collapsed="false">
      <c r="A1728" s="0" t="n">
        <v>1725</v>
      </c>
      <c r="B1728" s="0" t="n">
        <f aca="true">NORMINV(RAND(),1,Coefficients!$B$22)</f>
        <v>1.09108310004408</v>
      </c>
      <c r="C1728" s="0" t="n">
        <f aca="true">MEDIAN(8,16,ROUND(NORMINV(RAND(),Coefficients!$B$20,Coefficients!$B$21),0))</f>
        <v>11</v>
      </c>
      <c r="D1728" s="0" t="n">
        <f aca="true">CRITBINOM($C1728,MIN(0.75,Matchup!$B$39*$B1728),RAND())</f>
        <v>6</v>
      </c>
      <c r="E1728" s="0" t="n">
        <f aca="true">CRITBINOM(D1728,Coefficients!$B$30,RAND())</f>
        <v>0</v>
      </c>
      <c r="F1728" s="0" t="n">
        <f aca="true">CRITBINOM(E1728,Coefficients!$B$31,RAND())</f>
        <v>0</v>
      </c>
      <c r="G1728" s="0" t="n">
        <f aca="true">CRITBINOM(MAX(0,D1728-E1728),1-Coefficients!$B$32,RAND())</f>
        <v>0</v>
      </c>
      <c r="H1728" s="0" t="n">
        <f aca="true">CRITBINOM(MAX(0,$C1728-D1728),MIN(0.6,Matchup!$B$40*SQRT($B1728)/(1-MIN(0.75,Matchup!$B$39*$B1728))),RAND())</f>
        <v>0</v>
      </c>
      <c r="I1728" s="0" t="n">
        <f aca="false">6*D1728+(D1728-E1728-G1728)+2*F1728+3*H1728</f>
        <v>42</v>
      </c>
      <c r="J1728" s="0" t="n">
        <f aca="true">CRITBINOM($C1728,MIN(0.75,Matchup!$C$39*$B1728),RAND())</f>
        <v>2</v>
      </c>
      <c r="K1728" s="0" t="n">
        <f aca="true">CRITBINOM(J1728,Coefficients!$B$30,RAND())</f>
        <v>1</v>
      </c>
      <c r="L1728" s="0" t="n">
        <f aca="true">CRITBINOM(K1728,Coefficients!$B$31,RAND())</f>
        <v>1</v>
      </c>
      <c r="M1728" s="0" t="n">
        <f aca="true">CRITBINOM(MAX(0,J1728-K1728),1-Coefficients!$B$32,RAND())</f>
        <v>0</v>
      </c>
      <c r="N1728" s="0" t="n">
        <f aca="true">CRITBINOM(MAX(0,$C1728-J1728),MIN(0.6,Matchup!$C$40*SQRT($B1728)/(1-MIN(0.75,Matchup!$C$39*$B1728))),RAND())</f>
        <v>0</v>
      </c>
      <c r="O1728" s="0" t="n">
        <f aca="false">6*J1728+(J1728-K1728-M1728)+2*L1728+3*N1728</f>
        <v>15</v>
      </c>
      <c r="P1728" s="0" t="n">
        <f aca="true">RAND()</f>
        <v>0.239404199066561</v>
      </c>
      <c r="Q1728" s="0" t="n">
        <f aca="true">RAND()</f>
        <v>0.874581076853456</v>
      </c>
      <c r="R1728" s="0" t="n">
        <f aca="false">IF($I1728&lt;&gt;$O1728,0,IF(P1728&lt;Matchup!$B$39,7,IF(P1728&lt;Matchup!$B$39+Matchup!$B$40,3,0)))</f>
        <v>0</v>
      </c>
      <c r="S1728" s="0" t="n">
        <f aca="false">IF($I1728&lt;&gt;$O1728,0,IF(Q1728&lt;Matchup!$C$39,7,IF(Q1728&lt;Matchup!$C$39+Matchup!$C$40,3,0)))</f>
        <v>0</v>
      </c>
      <c r="T1728" s="0" t="n">
        <f aca="false">I1728+R1728</f>
        <v>42</v>
      </c>
      <c r="U1728" s="0" t="n">
        <f aca="false">O1728+S1728</f>
        <v>15</v>
      </c>
      <c r="V1728" s="0" t="n">
        <f aca="false">T1728-U1728</f>
        <v>27</v>
      </c>
      <c r="W1728" s="0" t="n">
        <f aca="false">T1728+U1728</f>
        <v>57</v>
      </c>
    </row>
    <row r="1729" customFormat="false" ht="15" hidden="false" customHeight="false" outlineLevel="0" collapsed="false">
      <c r="A1729" s="0" t="n">
        <v>1726</v>
      </c>
      <c r="B1729" s="0" t="n">
        <f aca="true">NORMINV(RAND(),1,Coefficients!$B$22)</f>
        <v>1.08192431180937</v>
      </c>
      <c r="C1729" s="0" t="n">
        <f aca="true">MEDIAN(8,16,ROUND(NORMINV(RAND(),Coefficients!$B$20,Coefficients!$B$21),0))</f>
        <v>11</v>
      </c>
      <c r="D1729" s="0" t="n">
        <f aca="true">CRITBINOM($C1729,MIN(0.75,Matchup!$B$39*$B1729),RAND())</f>
        <v>3</v>
      </c>
      <c r="E1729" s="0" t="n">
        <f aca="true">CRITBINOM(D1729,Coefficients!$B$30,RAND())</f>
        <v>0</v>
      </c>
      <c r="F1729" s="0" t="n">
        <f aca="true">CRITBINOM(E1729,Coefficients!$B$31,RAND())</f>
        <v>0</v>
      </c>
      <c r="G1729" s="0" t="n">
        <f aca="true">CRITBINOM(MAX(0,D1729-E1729),1-Coefficients!$B$32,RAND())</f>
        <v>0</v>
      </c>
      <c r="H1729" s="0" t="n">
        <f aca="true">CRITBINOM(MAX(0,$C1729-D1729),MIN(0.6,Matchup!$B$40*SQRT($B1729)/(1-MIN(0.75,Matchup!$B$39*$B1729))),RAND())</f>
        <v>2</v>
      </c>
      <c r="I1729" s="0" t="n">
        <f aca="false">6*D1729+(D1729-E1729-G1729)+2*F1729+3*H1729</f>
        <v>27</v>
      </c>
      <c r="J1729" s="0" t="n">
        <f aca="true">CRITBINOM($C1729,MIN(0.75,Matchup!$C$39*$B1729),RAND())</f>
        <v>3</v>
      </c>
      <c r="K1729" s="0" t="n">
        <f aca="true">CRITBINOM(J1729,Coefficients!$B$30,RAND())</f>
        <v>0</v>
      </c>
      <c r="L1729" s="0" t="n">
        <f aca="true">CRITBINOM(K1729,Coefficients!$B$31,RAND())</f>
        <v>0</v>
      </c>
      <c r="M1729" s="0" t="n">
        <f aca="true">CRITBINOM(MAX(0,J1729-K1729),1-Coefficients!$B$32,RAND())</f>
        <v>0</v>
      </c>
      <c r="N1729" s="0" t="n">
        <f aca="true">CRITBINOM(MAX(0,$C1729-J1729),MIN(0.6,Matchup!$C$40*SQRT($B1729)/(1-MIN(0.75,Matchup!$C$39*$B1729))),RAND())</f>
        <v>0</v>
      </c>
      <c r="O1729" s="0" t="n">
        <f aca="false">6*J1729+(J1729-K1729-M1729)+2*L1729+3*N1729</f>
        <v>21</v>
      </c>
      <c r="P1729" s="0" t="n">
        <f aca="true">RAND()</f>
        <v>0.0209008427405552</v>
      </c>
      <c r="Q1729" s="0" t="n">
        <f aca="true">RAND()</f>
        <v>0.156483838979503</v>
      </c>
      <c r="R1729" s="0" t="n">
        <f aca="false">IF($I1729&lt;&gt;$O1729,0,IF(P1729&lt;Matchup!$B$39,7,IF(P1729&lt;Matchup!$B$39+Matchup!$B$40,3,0)))</f>
        <v>0</v>
      </c>
      <c r="S1729" s="0" t="n">
        <f aca="false">IF($I1729&lt;&gt;$O1729,0,IF(Q1729&lt;Matchup!$C$39,7,IF(Q1729&lt;Matchup!$C$39+Matchup!$C$40,3,0)))</f>
        <v>0</v>
      </c>
      <c r="T1729" s="0" t="n">
        <f aca="false">I1729+R1729</f>
        <v>27</v>
      </c>
      <c r="U1729" s="0" t="n">
        <f aca="false">O1729+S1729</f>
        <v>21</v>
      </c>
      <c r="V1729" s="0" t="n">
        <f aca="false">T1729-U1729</f>
        <v>6</v>
      </c>
      <c r="W1729" s="0" t="n">
        <f aca="false">T1729+U1729</f>
        <v>48</v>
      </c>
    </row>
    <row r="1730" customFormat="false" ht="15" hidden="false" customHeight="false" outlineLevel="0" collapsed="false">
      <c r="A1730" s="0" t="n">
        <v>1727</v>
      </c>
      <c r="B1730" s="0" t="n">
        <f aca="true">NORMINV(RAND(),1,Coefficients!$B$22)</f>
        <v>0.96738220479987</v>
      </c>
      <c r="C1730" s="0" t="n">
        <f aca="true">MEDIAN(8,16,ROUND(NORMINV(RAND(),Coefficients!$B$20,Coefficients!$B$21),0))</f>
        <v>14</v>
      </c>
      <c r="D1730" s="0" t="n">
        <f aca="true">CRITBINOM($C1730,MIN(0.75,Matchup!$B$39*$B1730),RAND())</f>
        <v>2</v>
      </c>
      <c r="E1730" s="0" t="n">
        <f aca="true">CRITBINOM(D1730,Coefficients!$B$30,RAND())</f>
        <v>1</v>
      </c>
      <c r="F1730" s="0" t="n">
        <f aca="true">CRITBINOM(E1730,Coefficients!$B$31,RAND())</f>
        <v>0</v>
      </c>
      <c r="G1730" s="0" t="n">
        <f aca="true">CRITBINOM(MAX(0,D1730-E1730),1-Coefficients!$B$32,RAND())</f>
        <v>0</v>
      </c>
      <c r="H1730" s="0" t="n">
        <f aca="true">CRITBINOM(MAX(0,$C1730-D1730),MIN(0.6,Matchup!$B$40*SQRT($B1730)/(1-MIN(0.75,Matchup!$B$39*$B1730))),RAND())</f>
        <v>1</v>
      </c>
      <c r="I1730" s="0" t="n">
        <f aca="false">6*D1730+(D1730-E1730-G1730)+2*F1730+3*H1730</f>
        <v>16</v>
      </c>
      <c r="J1730" s="0" t="n">
        <f aca="true">CRITBINOM($C1730,MIN(0.75,Matchup!$C$39*$B1730),RAND())</f>
        <v>3</v>
      </c>
      <c r="K1730" s="0" t="n">
        <f aca="true">CRITBINOM(J1730,Coefficients!$B$30,RAND())</f>
        <v>1</v>
      </c>
      <c r="L1730" s="0" t="n">
        <f aca="true">CRITBINOM(K1730,Coefficients!$B$31,RAND())</f>
        <v>0</v>
      </c>
      <c r="M1730" s="0" t="n">
        <f aca="true">CRITBINOM(MAX(0,J1730-K1730),1-Coefficients!$B$32,RAND())</f>
        <v>0</v>
      </c>
      <c r="N1730" s="0" t="n">
        <f aca="true">CRITBINOM(MAX(0,$C1730-J1730),MIN(0.6,Matchup!$C$40*SQRT($B1730)/(1-MIN(0.75,Matchup!$C$39*$B1730))),RAND())</f>
        <v>2</v>
      </c>
      <c r="O1730" s="0" t="n">
        <f aca="false">6*J1730+(J1730-K1730-M1730)+2*L1730+3*N1730</f>
        <v>26</v>
      </c>
      <c r="P1730" s="0" t="n">
        <f aca="true">RAND()</f>
        <v>0.968584365213019</v>
      </c>
      <c r="Q1730" s="0" t="n">
        <f aca="true">RAND()</f>
        <v>0.225453744403323</v>
      </c>
      <c r="R1730" s="0" t="n">
        <f aca="false">IF($I1730&lt;&gt;$O1730,0,IF(P1730&lt;Matchup!$B$39,7,IF(P1730&lt;Matchup!$B$39+Matchup!$B$40,3,0)))</f>
        <v>0</v>
      </c>
      <c r="S1730" s="0" t="n">
        <f aca="false">IF($I1730&lt;&gt;$O1730,0,IF(Q1730&lt;Matchup!$C$39,7,IF(Q1730&lt;Matchup!$C$39+Matchup!$C$40,3,0)))</f>
        <v>0</v>
      </c>
      <c r="T1730" s="0" t="n">
        <f aca="false">I1730+R1730</f>
        <v>16</v>
      </c>
      <c r="U1730" s="0" t="n">
        <f aca="false">O1730+S1730</f>
        <v>26</v>
      </c>
      <c r="V1730" s="0" t="n">
        <f aca="false">T1730-U1730</f>
        <v>-10</v>
      </c>
      <c r="W1730" s="0" t="n">
        <f aca="false">T1730+U1730</f>
        <v>42</v>
      </c>
    </row>
    <row r="1731" customFormat="false" ht="15" hidden="false" customHeight="false" outlineLevel="0" collapsed="false">
      <c r="A1731" s="0" t="n">
        <v>1728</v>
      </c>
      <c r="B1731" s="0" t="n">
        <f aca="true">NORMINV(RAND(),1,Coefficients!$B$22)</f>
        <v>1.00514995976283</v>
      </c>
      <c r="C1731" s="0" t="n">
        <f aca="true">MEDIAN(8,16,ROUND(NORMINV(RAND(),Coefficients!$B$20,Coefficients!$B$21),0))</f>
        <v>11</v>
      </c>
      <c r="D1731" s="0" t="n">
        <f aca="true">CRITBINOM($C1731,MIN(0.75,Matchup!$B$39*$B1731),RAND())</f>
        <v>3</v>
      </c>
      <c r="E1731" s="0" t="n">
        <f aca="true">CRITBINOM(D1731,Coefficients!$B$30,RAND())</f>
        <v>0</v>
      </c>
      <c r="F1731" s="0" t="n">
        <f aca="true">CRITBINOM(E1731,Coefficients!$B$31,RAND())</f>
        <v>0</v>
      </c>
      <c r="G1731" s="0" t="n">
        <f aca="true">CRITBINOM(MAX(0,D1731-E1731),1-Coefficients!$B$32,RAND())</f>
        <v>0</v>
      </c>
      <c r="H1731" s="0" t="n">
        <f aca="true">CRITBINOM(MAX(0,$C1731-D1731),MIN(0.6,Matchup!$B$40*SQRT($B1731)/(1-MIN(0.75,Matchup!$B$39*$B1731))),RAND())</f>
        <v>2</v>
      </c>
      <c r="I1731" s="0" t="n">
        <f aca="false">6*D1731+(D1731-E1731-G1731)+2*F1731+3*H1731</f>
        <v>27</v>
      </c>
      <c r="J1731" s="0" t="n">
        <f aca="true">CRITBINOM($C1731,MIN(0.75,Matchup!$C$39*$B1731),RAND())</f>
        <v>1</v>
      </c>
      <c r="K1731" s="0" t="n">
        <f aca="true">CRITBINOM(J1731,Coefficients!$B$30,RAND())</f>
        <v>0</v>
      </c>
      <c r="L1731" s="0" t="n">
        <f aca="true">CRITBINOM(K1731,Coefficients!$B$31,RAND())</f>
        <v>0</v>
      </c>
      <c r="M1731" s="0" t="n">
        <f aca="true">CRITBINOM(MAX(0,J1731-K1731),1-Coefficients!$B$32,RAND())</f>
        <v>0</v>
      </c>
      <c r="N1731" s="0" t="n">
        <f aca="true">CRITBINOM(MAX(0,$C1731-J1731),MIN(0.6,Matchup!$C$40*SQRT($B1731)/(1-MIN(0.75,Matchup!$C$39*$B1731))),RAND())</f>
        <v>3</v>
      </c>
      <c r="O1731" s="0" t="n">
        <f aca="false">6*J1731+(J1731-K1731-M1731)+2*L1731+3*N1731</f>
        <v>16</v>
      </c>
      <c r="P1731" s="0" t="n">
        <f aca="true">RAND()</f>
        <v>0.181085987243809</v>
      </c>
      <c r="Q1731" s="0" t="n">
        <f aca="true">RAND()</f>
        <v>0.0200398745096635</v>
      </c>
      <c r="R1731" s="0" t="n">
        <f aca="false">IF($I1731&lt;&gt;$O1731,0,IF(P1731&lt;Matchup!$B$39,7,IF(P1731&lt;Matchup!$B$39+Matchup!$B$40,3,0)))</f>
        <v>0</v>
      </c>
      <c r="S1731" s="0" t="n">
        <f aca="false">IF($I1731&lt;&gt;$O1731,0,IF(Q1731&lt;Matchup!$C$39,7,IF(Q1731&lt;Matchup!$C$39+Matchup!$C$40,3,0)))</f>
        <v>0</v>
      </c>
      <c r="T1731" s="0" t="n">
        <f aca="false">I1731+R1731</f>
        <v>27</v>
      </c>
      <c r="U1731" s="0" t="n">
        <f aca="false">O1731+S1731</f>
        <v>16</v>
      </c>
      <c r="V1731" s="0" t="n">
        <f aca="false">T1731-U1731</f>
        <v>11</v>
      </c>
      <c r="W1731" s="0" t="n">
        <f aca="false">T1731+U1731</f>
        <v>43</v>
      </c>
    </row>
    <row r="1732" customFormat="false" ht="15" hidden="false" customHeight="false" outlineLevel="0" collapsed="false">
      <c r="A1732" s="0" t="n">
        <v>1729</v>
      </c>
      <c r="B1732" s="0" t="n">
        <f aca="true">NORMINV(RAND(),1,Coefficients!$B$22)</f>
        <v>0.981890421847728</v>
      </c>
      <c r="C1732" s="0" t="n">
        <f aca="true">MEDIAN(8,16,ROUND(NORMINV(RAND(),Coefficients!$B$20,Coefficients!$B$21),0))</f>
        <v>12</v>
      </c>
      <c r="D1732" s="0" t="n">
        <f aca="true">CRITBINOM($C1732,MIN(0.75,Matchup!$B$39*$B1732),RAND())</f>
        <v>2</v>
      </c>
      <c r="E1732" s="0" t="n">
        <f aca="true">CRITBINOM(D1732,Coefficients!$B$30,RAND())</f>
        <v>0</v>
      </c>
      <c r="F1732" s="0" t="n">
        <f aca="true">CRITBINOM(E1732,Coefficients!$B$31,RAND())</f>
        <v>0</v>
      </c>
      <c r="G1732" s="0" t="n">
        <f aca="true">CRITBINOM(MAX(0,D1732-E1732),1-Coefficients!$B$32,RAND())</f>
        <v>0</v>
      </c>
      <c r="H1732" s="0" t="n">
        <f aca="true">CRITBINOM(MAX(0,$C1732-D1732),MIN(0.6,Matchup!$B$40*SQRT($B1732)/(1-MIN(0.75,Matchup!$B$39*$B1732))),RAND())</f>
        <v>2</v>
      </c>
      <c r="I1732" s="0" t="n">
        <f aca="false">6*D1732+(D1732-E1732-G1732)+2*F1732+3*H1732</f>
        <v>20</v>
      </c>
      <c r="J1732" s="0" t="n">
        <f aca="true">CRITBINOM($C1732,MIN(0.75,Matchup!$C$39*$B1732),RAND())</f>
        <v>2</v>
      </c>
      <c r="K1732" s="0" t="n">
        <f aca="true">CRITBINOM(J1732,Coefficients!$B$30,RAND())</f>
        <v>0</v>
      </c>
      <c r="L1732" s="0" t="n">
        <f aca="true">CRITBINOM(K1732,Coefficients!$B$31,RAND())</f>
        <v>0</v>
      </c>
      <c r="M1732" s="0" t="n">
        <f aca="true">CRITBINOM(MAX(0,J1732-K1732),1-Coefficients!$B$32,RAND())</f>
        <v>0</v>
      </c>
      <c r="N1732" s="0" t="n">
        <f aca="true">CRITBINOM(MAX(0,$C1732-J1732),MIN(0.6,Matchup!$C$40*SQRT($B1732)/(1-MIN(0.75,Matchup!$C$39*$B1732))),RAND())</f>
        <v>0</v>
      </c>
      <c r="O1732" s="0" t="n">
        <f aca="false">6*J1732+(J1732-K1732-M1732)+2*L1732+3*N1732</f>
        <v>14</v>
      </c>
      <c r="P1732" s="0" t="n">
        <f aca="true">RAND()</f>
        <v>0.294407244238803</v>
      </c>
      <c r="Q1732" s="0" t="n">
        <f aca="true">RAND()</f>
        <v>0.0593192256346679</v>
      </c>
      <c r="R1732" s="0" t="n">
        <f aca="false">IF($I1732&lt;&gt;$O1732,0,IF(P1732&lt;Matchup!$B$39,7,IF(P1732&lt;Matchup!$B$39+Matchup!$B$40,3,0)))</f>
        <v>0</v>
      </c>
      <c r="S1732" s="0" t="n">
        <f aca="false">IF($I1732&lt;&gt;$O1732,0,IF(Q1732&lt;Matchup!$C$39,7,IF(Q1732&lt;Matchup!$C$39+Matchup!$C$40,3,0)))</f>
        <v>0</v>
      </c>
      <c r="T1732" s="0" t="n">
        <f aca="false">I1732+R1732</f>
        <v>20</v>
      </c>
      <c r="U1732" s="0" t="n">
        <f aca="false">O1732+S1732</f>
        <v>14</v>
      </c>
      <c r="V1732" s="0" t="n">
        <f aca="false">T1732-U1732</f>
        <v>6</v>
      </c>
      <c r="W1732" s="0" t="n">
        <f aca="false">T1732+U1732</f>
        <v>34</v>
      </c>
    </row>
    <row r="1733" customFormat="false" ht="15" hidden="false" customHeight="false" outlineLevel="0" collapsed="false">
      <c r="A1733" s="0" t="n">
        <v>1730</v>
      </c>
      <c r="B1733" s="0" t="n">
        <f aca="true">NORMINV(RAND(),1,Coefficients!$B$22)</f>
        <v>1.13931815029652</v>
      </c>
      <c r="C1733" s="0" t="n">
        <f aca="true">MEDIAN(8,16,ROUND(NORMINV(RAND(),Coefficients!$B$20,Coefficients!$B$21),0))</f>
        <v>12</v>
      </c>
      <c r="D1733" s="0" t="n">
        <f aca="true">CRITBINOM($C1733,MIN(0.75,Matchup!$B$39*$B1733),RAND())</f>
        <v>2</v>
      </c>
      <c r="E1733" s="0" t="n">
        <f aca="true">CRITBINOM(D1733,Coefficients!$B$30,RAND())</f>
        <v>0</v>
      </c>
      <c r="F1733" s="0" t="n">
        <f aca="true">CRITBINOM(E1733,Coefficients!$B$31,RAND())</f>
        <v>0</v>
      </c>
      <c r="G1733" s="0" t="n">
        <f aca="true">CRITBINOM(MAX(0,D1733-E1733),1-Coefficients!$B$32,RAND())</f>
        <v>0</v>
      </c>
      <c r="H1733" s="0" t="n">
        <f aca="true">CRITBINOM(MAX(0,$C1733-D1733),MIN(0.6,Matchup!$B$40*SQRT($B1733)/(1-MIN(0.75,Matchup!$B$39*$B1733))),RAND())</f>
        <v>1</v>
      </c>
      <c r="I1733" s="0" t="n">
        <f aca="false">6*D1733+(D1733-E1733-G1733)+2*F1733+3*H1733</f>
        <v>17</v>
      </c>
      <c r="J1733" s="0" t="n">
        <f aca="true">CRITBINOM($C1733,MIN(0.75,Matchup!$C$39*$B1733),RAND())</f>
        <v>2</v>
      </c>
      <c r="K1733" s="0" t="n">
        <f aca="true">CRITBINOM(J1733,Coefficients!$B$30,RAND())</f>
        <v>0</v>
      </c>
      <c r="L1733" s="0" t="n">
        <f aca="true">CRITBINOM(K1733,Coefficients!$B$31,RAND())</f>
        <v>0</v>
      </c>
      <c r="M1733" s="0" t="n">
        <f aca="true">CRITBINOM(MAX(0,J1733-K1733),1-Coefficients!$B$32,RAND())</f>
        <v>0</v>
      </c>
      <c r="N1733" s="0" t="n">
        <f aca="true">CRITBINOM(MAX(0,$C1733-J1733),MIN(0.6,Matchup!$C$40*SQRT($B1733)/(1-MIN(0.75,Matchup!$C$39*$B1733))),RAND())</f>
        <v>1</v>
      </c>
      <c r="O1733" s="0" t="n">
        <f aca="false">6*J1733+(J1733-K1733-M1733)+2*L1733+3*N1733</f>
        <v>17</v>
      </c>
      <c r="P1733" s="0" t="n">
        <f aca="true">RAND()</f>
        <v>0.277358858351518</v>
      </c>
      <c r="Q1733" s="0" t="n">
        <f aca="true">RAND()</f>
        <v>0.99491478855551</v>
      </c>
      <c r="R1733" s="0" t="n">
        <f aca="false">IF($I1733&lt;&gt;$O1733,0,IF(P1733&lt;Matchup!$B$39,7,IF(P1733&lt;Matchup!$B$39+Matchup!$B$40,3,0)))</f>
        <v>3</v>
      </c>
      <c r="S1733" s="0" t="n">
        <f aca="false">IF($I1733&lt;&gt;$O1733,0,IF(Q1733&lt;Matchup!$C$39,7,IF(Q1733&lt;Matchup!$C$39+Matchup!$C$40,3,0)))</f>
        <v>0</v>
      </c>
      <c r="T1733" s="0" t="n">
        <f aca="false">I1733+R1733</f>
        <v>20</v>
      </c>
      <c r="U1733" s="0" t="n">
        <f aca="false">O1733+S1733</f>
        <v>17</v>
      </c>
      <c r="V1733" s="0" t="n">
        <f aca="false">T1733-U1733</f>
        <v>3</v>
      </c>
      <c r="W1733" s="0" t="n">
        <f aca="false">T1733+U1733</f>
        <v>37</v>
      </c>
    </row>
    <row r="1734" customFormat="false" ht="15" hidden="false" customHeight="false" outlineLevel="0" collapsed="false">
      <c r="A1734" s="0" t="n">
        <v>1731</v>
      </c>
      <c r="B1734" s="0" t="n">
        <f aca="true">NORMINV(RAND(),1,Coefficients!$B$22)</f>
        <v>1.05796111542128</v>
      </c>
      <c r="C1734" s="0" t="n">
        <f aca="true">MEDIAN(8,16,ROUND(NORMINV(RAND(),Coefficients!$B$20,Coefficients!$B$21),0))</f>
        <v>10</v>
      </c>
      <c r="D1734" s="0" t="n">
        <f aca="true">CRITBINOM($C1734,MIN(0.75,Matchup!$B$39*$B1734),RAND())</f>
        <v>0</v>
      </c>
      <c r="E1734" s="0" t="n">
        <f aca="true">CRITBINOM(D1734,Coefficients!$B$30,RAND())</f>
        <v>0</v>
      </c>
      <c r="F1734" s="0" t="n">
        <f aca="true">CRITBINOM(E1734,Coefficients!$B$31,RAND())</f>
        <v>0</v>
      </c>
      <c r="G1734" s="0" t="n">
        <f aca="true">CRITBINOM(MAX(0,D1734-E1734),1-Coefficients!$B$32,RAND())</f>
        <v>0</v>
      </c>
      <c r="H1734" s="0" t="n">
        <f aca="true">CRITBINOM(MAX(0,$C1734-D1734),MIN(0.6,Matchup!$B$40*SQRT($B1734)/(1-MIN(0.75,Matchup!$B$39*$B1734))),RAND())</f>
        <v>3</v>
      </c>
      <c r="I1734" s="0" t="n">
        <f aca="false">6*D1734+(D1734-E1734-G1734)+2*F1734+3*H1734</f>
        <v>9</v>
      </c>
      <c r="J1734" s="0" t="n">
        <f aca="true">CRITBINOM($C1734,MIN(0.75,Matchup!$C$39*$B1734),RAND())</f>
        <v>2</v>
      </c>
      <c r="K1734" s="0" t="n">
        <f aca="true">CRITBINOM(J1734,Coefficients!$B$30,RAND())</f>
        <v>0</v>
      </c>
      <c r="L1734" s="0" t="n">
        <f aca="true">CRITBINOM(K1734,Coefficients!$B$31,RAND())</f>
        <v>0</v>
      </c>
      <c r="M1734" s="0" t="n">
        <f aca="true">CRITBINOM(MAX(0,J1734-K1734),1-Coefficients!$B$32,RAND())</f>
        <v>1</v>
      </c>
      <c r="N1734" s="0" t="n">
        <f aca="true">CRITBINOM(MAX(0,$C1734-J1734),MIN(0.6,Matchup!$C$40*SQRT($B1734)/(1-MIN(0.75,Matchup!$C$39*$B1734))),RAND())</f>
        <v>1</v>
      </c>
      <c r="O1734" s="0" t="n">
        <f aca="false">6*J1734+(J1734-K1734-M1734)+2*L1734+3*N1734</f>
        <v>16</v>
      </c>
      <c r="P1734" s="0" t="n">
        <f aca="true">RAND()</f>
        <v>0.649090807586172</v>
      </c>
      <c r="Q1734" s="0" t="n">
        <f aca="true">RAND()</f>
        <v>0.856433672389753</v>
      </c>
      <c r="R1734" s="0" t="n">
        <f aca="false">IF($I1734&lt;&gt;$O1734,0,IF(P1734&lt;Matchup!$B$39,7,IF(P1734&lt;Matchup!$B$39+Matchup!$B$40,3,0)))</f>
        <v>0</v>
      </c>
      <c r="S1734" s="0" t="n">
        <f aca="false">IF($I1734&lt;&gt;$O1734,0,IF(Q1734&lt;Matchup!$C$39,7,IF(Q1734&lt;Matchup!$C$39+Matchup!$C$40,3,0)))</f>
        <v>0</v>
      </c>
      <c r="T1734" s="0" t="n">
        <f aca="false">I1734+R1734</f>
        <v>9</v>
      </c>
      <c r="U1734" s="0" t="n">
        <f aca="false">O1734+S1734</f>
        <v>16</v>
      </c>
      <c r="V1734" s="0" t="n">
        <f aca="false">T1734-U1734</f>
        <v>-7</v>
      </c>
      <c r="W1734" s="0" t="n">
        <f aca="false">T1734+U1734</f>
        <v>25</v>
      </c>
    </row>
    <row r="1735" customFormat="false" ht="15" hidden="false" customHeight="false" outlineLevel="0" collapsed="false">
      <c r="A1735" s="0" t="n">
        <v>1732</v>
      </c>
      <c r="B1735" s="0" t="n">
        <f aca="true">NORMINV(RAND(),1,Coefficients!$B$22)</f>
        <v>1.01414921897832</v>
      </c>
      <c r="C1735" s="0" t="n">
        <f aca="true">MEDIAN(8,16,ROUND(NORMINV(RAND(),Coefficients!$B$20,Coefficients!$B$21),0))</f>
        <v>9</v>
      </c>
      <c r="D1735" s="0" t="n">
        <f aca="true">CRITBINOM($C1735,MIN(0.75,Matchup!$B$39*$B1735),RAND())</f>
        <v>0</v>
      </c>
      <c r="E1735" s="0" t="n">
        <f aca="true">CRITBINOM(D1735,Coefficients!$B$30,RAND())</f>
        <v>0</v>
      </c>
      <c r="F1735" s="0" t="n">
        <f aca="true">CRITBINOM(E1735,Coefficients!$B$31,RAND())</f>
        <v>0</v>
      </c>
      <c r="G1735" s="0" t="n">
        <f aca="true">CRITBINOM(MAX(0,D1735-E1735),1-Coefficients!$B$32,RAND())</f>
        <v>0</v>
      </c>
      <c r="H1735" s="0" t="n">
        <f aca="true">CRITBINOM(MAX(0,$C1735-D1735),MIN(0.6,Matchup!$B$40*SQRT($B1735)/(1-MIN(0.75,Matchup!$B$39*$B1735))),RAND())</f>
        <v>2</v>
      </c>
      <c r="I1735" s="0" t="n">
        <f aca="false">6*D1735+(D1735-E1735-G1735)+2*F1735+3*H1735</f>
        <v>6</v>
      </c>
      <c r="J1735" s="0" t="n">
        <f aca="true">CRITBINOM($C1735,MIN(0.75,Matchup!$C$39*$B1735),RAND())</f>
        <v>2</v>
      </c>
      <c r="K1735" s="0" t="n">
        <f aca="true">CRITBINOM(J1735,Coefficients!$B$30,RAND())</f>
        <v>0</v>
      </c>
      <c r="L1735" s="0" t="n">
        <f aca="true">CRITBINOM(K1735,Coefficients!$B$31,RAND())</f>
        <v>0</v>
      </c>
      <c r="M1735" s="0" t="n">
        <f aca="true">CRITBINOM(MAX(0,J1735-K1735),1-Coefficients!$B$32,RAND())</f>
        <v>0</v>
      </c>
      <c r="N1735" s="0" t="n">
        <f aca="true">CRITBINOM(MAX(0,$C1735-J1735),MIN(0.6,Matchup!$C$40*SQRT($B1735)/(1-MIN(0.75,Matchup!$C$39*$B1735))),RAND())</f>
        <v>0</v>
      </c>
      <c r="O1735" s="0" t="n">
        <f aca="false">6*J1735+(J1735-K1735-M1735)+2*L1735+3*N1735</f>
        <v>14</v>
      </c>
      <c r="P1735" s="0" t="n">
        <f aca="true">RAND()</f>
        <v>0.894693498406437</v>
      </c>
      <c r="Q1735" s="0" t="n">
        <f aca="true">RAND()</f>
        <v>0.272613893596431</v>
      </c>
      <c r="R1735" s="0" t="n">
        <f aca="false">IF($I1735&lt;&gt;$O1735,0,IF(P1735&lt;Matchup!$B$39,7,IF(P1735&lt;Matchup!$B$39+Matchup!$B$40,3,0)))</f>
        <v>0</v>
      </c>
      <c r="S1735" s="0" t="n">
        <f aca="false">IF($I1735&lt;&gt;$O1735,0,IF(Q1735&lt;Matchup!$C$39,7,IF(Q1735&lt;Matchup!$C$39+Matchup!$C$40,3,0)))</f>
        <v>0</v>
      </c>
      <c r="T1735" s="0" t="n">
        <f aca="false">I1735+R1735</f>
        <v>6</v>
      </c>
      <c r="U1735" s="0" t="n">
        <f aca="false">O1735+S1735</f>
        <v>14</v>
      </c>
      <c r="V1735" s="0" t="n">
        <f aca="false">T1735-U1735</f>
        <v>-8</v>
      </c>
      <c r="W1735" s="0" t="n">
        <f aca="false">T1735+U1735</f>
        <v>20</v>
      </c>
    </row>
    <row r="1736" customFormat="false" ht="15" hidden="false" customHeight="false" outlineLevel="0" collapsed="false">
      <c r="A1736" s="0" t="n">
        <v>1733</v>
      </c>
      <c r="B1736" s="0" t="n">
        <f aca="true">NORMINV(RAND(),1,Coefficients!$B$22)</f>
        <v>1.04510183095527</v>
      </c>
      <c r="C1736" s="0" t="n">
        <f aca="true">MEDIAN(8,16,ROUND(NORMINV(RAND(),Coefficients!$B$20,Coefficients!$B$21),0))</f>
        <v>12</v>
      </c>
      <c r="D1736" s="0" t="n">
        <f aca="true">CRITBINOM($C1736,MIN(0.75,Matchup!$B$39*$B1736),RAND())</f>
        <v>3</v>
      </c>
      <c r="E1736" s="0" t="n">
        <f aca="true">CRITBINOM(D1736,Coefficients!$B$30,RAND())</f>
        <v>0</v>
      </c>
      <c r="F1736" s="0" t="n">
        <f aca="true">CRITBINOM(E1736,Coefficients!$B$31,RAND())</f>
        <v>0</v>
      </c>
      <c r="G1736" s="0" t="n">
        <f aca="true">CRITBINOM(MAX(0,D1736-E1736),1-Coefficients!$B$32,RAND())</f>
        <v>0</v>
      </c>
      <c r="H1736" s="0" t="n">
        <f aca="true">CRITBINOM(MAX(0,$C1736-D1736),MIN(0.6,Matchup!$B$40*SQRT($B1736)/(1-MIN(0.75,Matchup!$B$39*$B1736))),RAND())</f>
        <v>0</v>
      </c>
      <c r="I1736" s="0" t="n">
        <f aca="false">6*D1736+(D1736-E1736-G1736)+2*F1736+3*H1736</f>
        <v>21</v>
      </c>
      <c r="J1736" s="0" t="n">
        <f aca="true">CRITBINOM($C1736,MIN(0.75,Matchup!$C$39*$B1736),RAND())</f>
        <v>1</v>
      </c>
      <c r="K1736" s="0" t="n">
        <f aca="true">CRITBINOM(J1736,Coefficients!$B$30,RAND())</f>
        <v>0</v>
      </c>
      <c r="L1736" s="0" t="n">
        <f aca="true">CRITBINOM(K1736,Coefficients!$B$31,RAND())</f>
        <v>0</v>
      </c>
      <c r="M1736" s="0" t="n">
        <f aca="true">CRITBINOM(MAX(0,J1736-K1736),1-Coefficients!$B$32,RAND())</f>
        <v>0</v>
      </c>
      <c r="N1736" s="0" t="n">
        <f aca="true">CRITBINOM(MAX(0,$C1736-J1736),MIN(0.6,Matchup!$C$40*SQRT($B1736)/(1-MIN(0.75,Matchup!$C$39*$B1736))),RAND())</f>
        <v>2</v>
      </c>
      <c r="O1736" s="0" t="n">
        <f aca="false">6*J1736+(J1736-K1736-M1736)+2*L1736+3*N1736</f>
        <v>13</v>
      </c>
      <c r="P1736" s="0" t="n">
        <f aca="true">RAND()</f>
        <v>0.275895274287672</v>
      </c>
      <c r="Q1736" s="0" t="n">
        <f aca="true">RAND()</f>
        <v>0.00449794296271447</v>
      </c>
      <c r="R1736" s="0" t="n">
        <f aca="false">IF($I1736&lt;&gt;$O1736,0,IF(P1736&lt;Matchup!$B$39,7,IF(P1736&lt;Matchup!$B$39+Matchup!$B$40,3,0)))</f>
        <v>0</v>
      </c>
      <c r="S1736" s="0" t="n">
        <f aca="false">IF($I1736&lt;&gt;$O1736,0,IF(Q1736&lt;Matchup!$C$39,7,IF(Q1736&lt;Matchup!$C$39+Matchup!$C$40,3,0)))</f>
        <v>0</v>
      </c>
      <c r="T1736" s="0" t="n">
        <f aca="false">I1736+R1736</f>
        <v>21</v>
      </c>
      <c r="U1736" s="0" t="n">
        <f aca="false">O1736+S1736</f>
        <v>13</v>
      </c>
      <c r="V1736" s="0" t="n">
        <f aca="false">T1736-U1736</f>
        <v>8</v>
      </c>
      <c r="W1736" s="0" t="n">
        <f aca="false">T1736+U1736</f>
        <v>34</v>
      </c>
    </row>
    <row r="1737" customFormat="false" ht="15" hidden="false" customHeight="false" outlineLevel="0" collapsed="false">
      <c r="A1737" s="0" t="n">
        <v>1734</v>
      </c>
      <c r="B1737" s="0" t="n">
        <f aca="true">NORMINV(RAND(),1,Coefficients!$B$22)</f>
        <v>0.975100662521263</v>
      </c>
      <c r="C1737" s="0" t="n">
        <f aca="true">MEDIAN(8,16,ROUND(NORMINV(RAND(),Coefficients!$B$20,Coefficients!$B$21),0))</f>
        <v>11</v>
      </c>
      <c r="D1737" s="0" t="n">
        <f aca="true">CRITBINOM($C1737,MIN(0.75,Matchup!$B$39*$B1737),RAND())</f>
        <v>2</v>
      </c>
      <c r="E1737" s="0" t="n">
        <f aca="true">CRITBINOM(D1737,Coefficients!$B$30,RAND())</f>
        <v>0</v>
      </c>
      <c r="F1737" s="0" t="n">
        <f aca="true">CRITBINOM(E1737,Coefficients!$B$31,RAND())</f>
        <v>0</v>
      </c>
      <c r="G1737" s="0" t="n">
        <f aca="true">CRITBINOM(MAX(0,D1737-E1737),1-Coefficients!$B$32,RAND())</f>
        <v>0</v>
      </c>
      <c r="H1737" s="0" t="n">
        <f aca="true">CRITBINOM(MAX(0,$C1737-D1737),MIN(0.6,Matchup!$B$40*SQRT($B1737)/(1-MIN(0.75,Matchup!$B$39*$B1737))),RAND())</f>
        <v>2</v>
      </c>
      <c r="I1737" s="0" t="n">
        <f aca="false">6*D1737+(D1737-E1737-G1737)+2*F1737+3*H1737</f>
        <v>20</v>
      </c>
      <c r="J1737" s="0" t="n">
        <f aca="true">CRITBINOM($C1737,MIN(0.75,Matchup!$C$39*$B1737),RAND())</f>
        <v>4</v>
      </c>
      <c r="K1737" s="0" t="n">
        <f aca="true">CRITBINOM(J1737,Coefficients!$B$30,RAND())</f>
        <v>0</v>
      </c>
      <c r="L1737" s="0" t="n">
        <f aca="true">CRITBINOM(K1737,Coefficients!$B$31,RAND())</f>
        <v>0</v>
      </c>
      <c r="M1737" s="0" t="n">
        <f aca="true">CRITBINOM(MAX(0,J1737-K1737),1-Coefficients!$B$32,RAND())</f>
        <v>0</v>
      </c>
      <c r="N1737" s="0" t="n">
        <f aca="true">CRITBINOM(MAX(0,$C1737-J1737),MIN(0.6,Matchup!$C$40*SQRT($B1737)/(1-MIN(0.75,Matchup!$C$39*$B1737))),RAND())</f>
        <v>0</v>
      </c>
      <c r="O1737" s="0" t="n">
        <f aca="false">6*J1737+(J1737-K1737-M1737)+2*L1737+3*N1737</f>
        <v>28</v>
      </c>
      <c r="P1737" s="0" t="n">
        <f aca="true">RAND()</f>
        <v>0.216832112882463</v>
      </c>
      <c r="Q1737" s="0" t="n">
        <f aca="true">RAND()</f>
        <v>0.0148719354548925</v>
      </c>
      <c r="R1737" s="0" t="n">
        <f aca="false">IF($I1737&lt;&gt;$O1737,0,IF(P1737&lt;Matchup!$B$39,7,IF(P1737&lt;Matchup!$B$39+Matchup!$B$40,3,0)))</f>
        <v>0</v>
      </c>
      <c r="S1737" s="0" t="n">
        <f aca="false">IF($I1737&lt;&gt;$O1737,0,IF(Q1737&lt;Matchup!$C$39,7,IF(Q1737&lt;Matchup!$C$39+Matchup!$C$40,3,0)))</f>
        <v>0</v>
      </c>
      <c r="T1737" s="0" t="n">
        <f aca="false">I1737+R1737</f>
        <v>20</v>
      </c>
      <c r="U1737" s="0" t="n">
        <f aca="false">O1737+S1737</f>
        <v>28</v>
      </c>
      <c r="V1737" s="0" t="n">
        <f aca="false">T1737-U1737</f>
        <v>-8</v>
      </c>
      <c r="W1737" s="0" t="n">
        <f aca="false">T1737+U1737</f>
        <v>48</v>
      </c>
    </row>
    <row r="1738" customFormat="false" ht="15" hidden="false" customHeight="false" outlineLevel="0" collapsed="false">
      <c r="A1738" s="0" t="n">
        <v>1735</v>
      </c>
      <c r="B1738" s="0" t="n">
        <f aca="true">NORMINV(RAND(),1,Coefficients!$B$22)</f>
        <v>1.01758570804358</v>
      </c>
      <c r="C1738" s="0" t="n">
        <f aca="true">MEDIAN(8,16,ROUND(NORMINV(RAND(),Coefficients!$B$20,Coefficients!$B$21),0))</f>
        <v>12</v>
      </c>
      <c r="D1738" s="0" t="n">
        <f aca="true">CRITBINOM($C1738,MIN(0.75,Matchup!$B$39*$B1738),RAND())</f>
        <v>4</v>
      </c>
      <c r="E1738" s="0" t="n">
        <f aca="true">CRITBINOM(D1738,Coefficients!$B$30,RAND())</f>
        <v>1</v>
      </c>
      <c r="F1738" s="0" t="n">
        <f aca="true">CRITBINOM(E1738,Coefficients!$B$31,RAND())</f>
        <v>1</v>
      </c>
      <c r="G1738" s="0" t="n">
        <f aca="true">CRITBINOM(MAX(0,D1738-E1738),1-Coefficients!$B$32,RAND())</f>
        <v>0</v>
      </c>
      <c r="H1738" s="0" t="n">
        <f aca="true">CRITBINOM(MAX(0,$C1738-D1738),MIN(0.6,Matchup!$B$40*SQRT($B1738)/(1-MIN(0.75,Matchup!$B$39*$B1738))),RAND())</f>
        <v>3</v>
      </c>
      <c r="I1738" s="0" t="n">
        <f aca="false">6*D1738+(D1738-E1738-G1738)+2*F1738+3*H1738</f>
        <v>38</v>
      </c>
      <c r="J1738" s="0" t="n">
        <f aca="true">CRITBINOM($C1738,MIN(0.75,Matchup!$C$39*$B1738),RAND())</f>
        <v>3</v>
      </c>
      <c r="K1738" s="0" t="n">
        <f aca="true">CRITBINOM(J1738,Coefficients!$B$30,RAND())</f>
        <v>1</v>
      </c>
      <c r="L1738" s="0" t="n">
        <f aca="true">CRITBINOM(K1738,Coefficients!$B$31,RAND())</f>
        <v>1</v>
      </c>
      <c r="M1738" s="0" t="n">
        <f aca="true">CRITBINOM(MAX(0,J1738-K1738),1-Coefficients!$B$32,RAND())</f>
        <v>0</v>
      </c>
      <c r="N1738" s="0" t="n">
        <f aca="true">CRITBINOM(MAX(0,$C1738-J1738),MIN(0.6,Matchup!$C$40*SQRT($B1738)/(1-MIN(0.75,Matchup!$C$39*$B1738))),RAND())</f>
        <v>3</v>
      </c>
      <c r="O1738" s="0" t="n">
        <f aca="false">6*J1738+(J1738-K1738-M1738)+2*L1738+3*N1738</f>
        <v>31</v>
      </c>
      <c r="P1738" s="0" t="n">
        <f aca="true">RAND()</f>
        <v>0.624377639375311</v>
      </c>
      <c r="Q1738" s="0" t="n">
        <f aca="true">RAND()</f>
        <v>0.6301158316134</v>
      </c>
      <c r="R1738" s="0" t="n">
        <f aca="false">IF($I1738&lt;&gt;$O1738,0,IF(P1738&lt;Matchup!$B$39,7,IF(P1738&lt;Matchup!$B$39+Matchup!$B$40,3,0)))</f>
        <v>0</v>
      </c>
      <c r="S1738" s="0" t="n">
        <f aca="false">IF($I1738&lt;&gt;$O1738,0,IF(Q1738&lt;Matchup!$C$39,7,IF(Q1738&lt;Matchup!$C$39+Matchup!$C$40,3,0)))</f>
        <v>0</v>
      </c>
      <c r="T1738" s="0" t="n">
        <f aca="false">I1738+R1738</f>
        <v>38</v>
      </c>
      <c r="U1738" s="0" t="n">
        <f aca="false">O1738+S1738</f>
        <v>31</v>
      </c>
      <c r="V1738" s="0" t="n">
        <f aca="false">T1738-U1738</f>
        <v>7</v>
      </c>
      <c r="W1738" s="0" t="n">
        <f aca="false">T1738+U1738</f>
        <v>69</v>
      </c>
    </row>
    <row r="1739" customFormat="false" ht="15" hidden="false" customHeight="false" outlineLevel="0" collapsed="false">
      <c r="A1739" s="0" t="n">
        <v>1736</v>
      </c>
      <c r="B1739" s="0" t="n">
        <f aca="true">NORMINV(RAND(),1,Coefficients!$B$22)</f>
        <v>0.985583489088914</v>
      </c>
      <c r="C1739" s="0" t="n">
        <f aca="true">MEDIAN(8,16,ROUND(NORMINV(RAND(),Coefficients!$B$20,Coefficients!$B$21),0))</f>
        <v>11</v>
      </c>
      <c r="D1739" s="0" t="n">
        <f aca="true">CRITBINOM($C1739,MIN(0.75,Matchup!$B$39*$B1739),RAND())</f>
        <v>2</v>
      </c>
      <c r="E1739" s="0" t="n">
        <f aca="true">CRITBINOM(D1739,Coefficients!$B$30,RAND())</f>
        <v>0</v>
      </c>
      <c r="F1739" s="0" t="n">
        <f aca="true">CRITBINOM(E1739,Coefficients!$B$31,RAND())</f>
        <v>0</v>
      </c>
      <c r="G1739" s="0" t="n">
        <f aca="true">CRITBINOM(MAX(0,D1739-E1739),1-Coefficients!$B$32,RAND())</f>
        <v>0</v>
      </c>
      <c r="H1739" s="0" t="n">
        <f aca="true">CRITBINOM(MAX(0,$C1739-D1739),MIN(0.6,Matchup!$B$40*SQRT($B1739)/(1-MIN(0.75,Matchup!$B$39*$B1739))),RAND())</f>
        <v>1</v>
      </c>
      <c r="I1739" s="0" t="n">
        <f aca="false">6*D1739+(D1739-E1739-G1739)+2*F1739+3*H1739</f>
        <v>17</v>
      </c>
      <c r="J1739" s="0" t="n">
        <f aca="true">CRITBINOM($C1739,MIN(0.75,Matchup!$C$39*$B1739),RAND())</f>
        <v>5</v>
      </c>
      <c r="K1739" s="0" t="n">
        <f aca="true">CRITBINOM(J1739,Coefficients!$B$30,RAND())</f>
        <v>0</v>
      </c>
      <c r="L1739" s="0" t="n">
        <f aca="true">CRITBINOM(K1739,Coefficients!$B$31,RAND())</f>
        <v>0</v>
      </c>
      <c r="M1739" s="0" t="n">
        <f aca="true">CRITBINOM(MAX(0,J1739-K1739),1-Coefficients!$B$32,RAND())</f>
        <v>0</v>
      </c>
      <c r="N1739" s="0" t="n">
        <f aca="true">CRITBINOM(MAX(0,$C1739-J1739),MIN(0.6,Matchup!$C$40*SQRT($B1739)/(1-MIN(0.75,Matchup!$C$39*$B1739))),RAND())</f>
        <v>2</v>
      </c>
      <c r="O1739" s="0" t="n">
        <f aca="false">6*J1739+(J1739-K1739-M1739)+2*L1739+3*N1739</f>
        <v>41</v>
      </c>
      <c r="P1739" s="0" t="n">
        <f aca="true">RAND()</f>
        <v>0.0510159346201081</v>
      </c>
      <c r="Q1739" s="0" t="n">
        <f aca="true">RAND()</f>
        <v>0.731514757649814</v>
      </c>
      <c r="R1739" s="0" t="n">
        <f aca="false">IF($I1739&lt;&gt;$O1739,0,IF(P1739&lt;Matchup!$B$39,7,IF(P1739&lt;Matchup!$B$39+Matchup!$B$40,3,0)))</f>
        <v>0</v>
      </c>
      <c r="S1739" s="0" t="n">
        <f aca="false">IF($I1739&lt;&gt;$O1739,0,IF(Q1739&lt;Matchup!$C$39,7,IF(Q1739&lt;Matchup!$C$39+Matchup!$C$40,3,0)))</f>
        <v>0</v>
      </c>
      <c r="T1739" s="0" t="n">
        <f aca="false">I1739+R1739</f>
        <v>17</v>
      </c>
      <c r="U1739" s="0" t="n">
        <f aca="false">O1739+S1739</f>
        <v>41</v>
      </c>
      <c r="V1739" s="0" t="n">
        <f aca="false">T1739-U1739</f>
        <v>-24</v>
      </c>
      <c r="W1739" s="0" t="n">
        <f aca="false">T1739+U1739</f>
        <v>58</v>
      </c>
    </row>
    <row r="1740" customFormat="false" ht="15" hidden="false" customHeight="false" outlineLevel="0" collapsed="false">
      <c r="A1740" s="0" t="n">
        <v>1737</v>
      </c>
      <c r="B1740" s="0" t="n">
        <f aca="true">NORMINV(RAND(),1,Coefficients!$B$22)</f>
        <v>1.00386032349623</v>
      </c>
      <c r="C1740" s="0" t="n">
        <f aca="true">MEDIAN(8,16,ROUND(NORMINV(RAND(),Coefficients!$B$20,Coefficients!$B$21),0))</f>
        <v>12</v>
      </c>
      <c r="D1740" s="0" t="n">
        <f aca="true">CRITBINOM($C1740,MIN(0.75,Matchup!$B$39*$B1740),RAND())</f>
        <v>3</v>
      </c>
      <c r="E1740" s="0" t="n">
        <f aca="true">CRITBINOM(D1740,Coefficients!$B$30,RAND())</f>
        <v>0</v>
      </c>
      <c r="F1740" s="0" t="n">
        <f aca="true">CRITBINOM(E1740,Coefficients!$B$31,RAND())</f>
        <v>0</v>
      </c>
      <c r="G1740" s="0" t="n">
        <f aca="true">CRITBINOM(MAX(0,D1740-E1740),1-Coefficients!$B$32,RAND())</f>
        <v>0</v>
      </c>
      <c r="H1740" s="0" t="n">
        <f aca="true">CRITBINOM(MAX(0,$C1740-D1740),MIN(0.6,Matchup!$B$40*SQRT($B1740)/(1-MIN(0.75,Matchup!$B$39*$B1740))),RAND())</f>
        <v>2</v>
      </c>
      <c r="I1740" s="0" t="n">
        <f aca="false">6*D1740+(D1740-E1740-G1740)+2*F1740+3*H1740</f>
        <v>27</v>
      </c>
      <c r="J1740" s="0" t="n">
        <f aca="true">CRITBINOM($C1740,MIN(0.75,Matchup!$C$39*$B1740),RAND())</f>
        <v>5</v>
      </c>
      <c r="K1740" s="0" t="n">
        <f aca="true">CRITBINOM(J1740,Coefficients!$B$30,RAND())</f>
        <v>0</v>
      </c>
      <c r="L1740" s="0" t="n">
        <f aca="true">CRITBINOM(K1740,Coefficients!$B$31,RAND())</f>
        <v>0</v>
      </c>
      <c r="M1740" s="0" t="n">
        <f aca="true">CRITBINOM(MAX(0,J1740-K1740),1-Coefficients!$B$32,RAND())</f>
        <v>1</v>
      </c>
      <c r="N1740" s="0" t="n">
        <f aca="true">CRITBINOM(MAX(0,$C1740-J1740),MIN(0.6,Matchup!$C$40*SQRT($B1740)/(1-MIN(0.75,Matchup!$C$39*$B1740))),RAND())</f>
        <v>1</v>
      </c>
      <c r="O1740" s="0" t="n">
        <f aca="false">6*J1740+(J1740-K1740-M1740)+2*L1740+3*N1740</f>
        <v>37</v>
      </c>
      <c r="P1740" s="0" t="n">
        <f aca="true">RAND()</f>
        <v>0.654752030027206</v>
      </c>
      <c r="Q1740" s="0" t="n">
        <f aca="true">RAND()</f>
        <v>0.202080570657015</v>
      </c>
      <c r="R1740" s="0" t="n">
        <f aca="false">IF($I1740&lt;&gt;$O1740,0,IF(P1740&lt;Matchup!$B$39,7,IF(P1740&lt;Matchup!$B$39+Matchup!$B$40,3,0)))</f>
        <v>0</v>
      </c>
      <c r="S1740" s="0" t="n">
        <f aca="false">IF($I1740&lt;&gt;$O1740,0,IF(Q1740&lt;Matchup!$C$39,7,IF(Q1740&lt;Matchup!$C$39+Matchup!$C$40,3,0)))</f>
        <v>0</v>
      </c>
      <c r="T1740" s="0" t="n">
        <f aca="false">I1740+R1740</f>
        <v>27</v>
      </c>
      <c r="U1740" s="0" t="n">
        <f aca="false">O1740+S1740</f>
        <v>37</v>
      </c>
      <c r="V1740" s="0" t="n">
        <f aca="false">T1740-U1740</f>
        <v>-10</v>
      </c>
      <c r="W1740" s="0" t="n">
        <f aca="false">T1740+U1740</f>
        <v>64</v>
      </c>
    </row>
    <row r="1741" customFormat="false" ht="15" hidden="false" customHeight="false" outlineLevel="0" collapsed="false">
      <c r="A1741" s="0" t="n">
        <v>1738</v>
      </c>
      <c r="B1741" s="0" t="n">
        <f aca="true">NORMINV(RAND(),1,Coefficients!$B$22)</f>
        <v>0.965734970123137</v>
      </c>
      <c r="C1741" s="0" t="n">
        <f aca="true">MEDIAN(8,16,ROUND(NORMINV(RAND(),Coefficients!$B$20,Coefficients!$B$21),0))</f>
        <v>11</v>
      </c>
      <c r="D1741" s="0" t="n">
        <f aca="true">CRITBINOM($C1741,MIN(0.75,Matchup!$B$39*$B1741),RAND())</f>
        <v>2</v>
      </c>
      <c r="E1741" s="0" t="n">
        <f aca="true">CRITBINOM(D1741,Coefficients!$B$30,RAND())</f>
        <v>0</v>
      </c>
      <c r="F1741" s="0" t="n">
        <f aca="true">CRITBINOM(E1741,Coefficients!$B$31,RAND())</f>
        <v>0</v>
      </c>
      <c r="G1741" s="0" t="n">
        <f aca="true">CRITBINOM(MAX(0,D1741-E1741),1-Coefficients!$B$32,RAND())</f>
        <v>0</v>
      </c>
      <c r="H1741" s="0" t="n">
        <f aca="true">CRITBINOM(MAX(0,$C1741-D1741),MIN(0.6,Matchup!$B$40*SQRT($B1741)/(1-MIN(0.75,Matchup!$B$39*$B1741))),RAND())</f>
        <v>1</v>
      </c>
      <c r="I1741" s="0" t="n">
        <f aca="false">6*D1741+(D1741-E1741-G1741)+2*F1741+3*H1741</f>
        <v>17</v>
      </c>
      <c r="J1741" s="0" t="n">
        <f aca="true">CRITBINOM($C1741,MIN(0.75,Matchup!$C$39*$B1741),RAND())</f>
        <v>2</v>
      </c>
      <c r="K1741" s="0" t="n">
        <f aca="true">CRITBINOM(J1741,Coefficients!$B$30,RAND())</f>
        <v>0</v>
      </c>
      <c r="L1741" s="0" t="n">
        <f aca="true">CRITBINOM(K1741,Coefficients!$B$31,RAND())</f>
        <v>0</v>
      </c>
      <c r="M1741" s="0" t="n">
        <f aca="true">CRITBINOM(MAX(0,J1741-K1741),1-Coefficients!$B$32,RAND())</f>
        <v>0</v>
      </c>
      <c r="N1741" s="0" t="n">
        <f aca="true">CRITBINOM(MAX(0,$C1741-J1741),MIN(0.6,Matchup!$C$40*SQRT($B1741)/(1-MIN(0.75,Matchup!$C$39*$B1741))),RAND())</f>
        <v>0</v>
      </c>
      <c r="O1741" s="0" t="n">
        <f aca="false">6*J1741+(J1741-K1741-M1741)+2*L1741+3*N1741</f>
        <v>14</v>
      </c>
      <c r="P1741" s="0" t="n">
        <f aca="true">RAND()</f>
        <v>0.91535359087803</v>
      </c>
      <c r="Q1741" s="0" t="n">
        <f aca="true">RAND()</f>
        <v>0.0875235173294167</v>
      </c>
      <c r="R1741" s="0" t="n">
        <f aca="false">IF($I1741&lt;&gt;$O1741,0,IF(P1741&lt;Matchup!$B$39,7,IF(P1741&lt;Matchup!$B$39+Matchup!$B$40,3,0)))</f>
        <v>0</v>
      </c>
      <c r="S1741" s="0" t="n">
        <f aca="false">IF($I1741&lt;&gt;$O1741,0,IF(Q1741&lt;Matchup!$C$39,7,IF(Q1741&lt;Matchup!$C$39+Matchup!$C$40,3,0)))</f>
        <v>0</v>
      </c>
      <c r="T1741" s="0" t="n">
        <f aca="false">I1741+R1741</f>
        <v>17</v>
      </c>
      <c r="U1741" s="0" t="n">
        <f aca="false">O1741+S1741</f>
        <v>14</v>
      </c>
      <c r="V1741" s="0" t="n">
        <f aca="false">T1741-U1741</f>
        <v>3</v>
      </c>
      <c r="W1741" s="0" t="n">
        <f aca="false">T1741+U1741</f>
        <v>31</v>
      </c>
    </row>
    <row r="1742" customFormat="false" ht="15" hidden="false" customHeight="false" outlineLevel="0" collapsed="false">
      <c r="A1742" s="0" t="n">
        <v>1739</v>
      </c>
      <c r="B1742" s="0" t="n">
        <f aca="true">NORMINV(RAND(),1,Coefficients!$B$22)</f>
        <v>1.02112590666589</v>
      </c>
      <c r="C1742" s="0" t="n">
        <f aca="true">MEDIAN(8,16,ROUND(NORMINV(RAND(),Coefficients!$B$20,Coefficients!$B$21),0))</f>
        <v>12</v>
      </c>
      <c r="D1742" s="0" t="n">
        <f aca="true">CRITBINOM($C1742,MIN(0.75,Matchup!$B$39*$B1742),RAND())</f>
        <v>5</v>
      </c>
      <c r="E1742" s="0" t="n">
        <f aca="true">CRITBINOM(D1742,Coefficients!$B$30,RAND())</f>
        <v>0</v>
      </c>
      <c r="F1742" s="0" t="n">
        <f aca="true">CRITBINOM(E1742,Coefficients!$B$31,RAND())</f>
        <v>0</v>
      </c>
      <c r="G1742" s="0" t="n">
        <f aca="true">CRITBINOM(MAX(0,D1742-E1742),1-Coefficients!$B$32,RAND())</f>
        <v>0</v>
      </c>
      <c r="H1742" s="0" t="n">
        <f aca="true">CRITBINOM(MAX(0,$C1742-D1742),MIN(0.6,Matchup!$B$40*SQRT($B1742)/(1-MIN(0.75,Matchup!$B$39*$B1742))),RAND())</f>
        <v>0</v>
      </c>
      <c r="I1742" s="0" t="n">
        <f aca="false">6*D1742+(D1742-E1742-G1742)+2*F1742+3*H1742</f>
        <v>35</v>
      </c>
      <c r="J1742" s="0" t="n">
        <f aca="true">CRITBINOM($C1742,MIN(0.75,Matchup!$C$39*$B1742),RAND())</f>
        <v>3</v>
      </c>
      <c r="K1742" s="0" t="n">
        <f aca="true">CRITBINOM(J1742,Coefficients!$B$30,RAND())</f>
        <v>0</v>
      </c>
      <c r="L1742" s="0" t="n">
        <f aca="true">CRITBINOM(K1742,Coefficients!$B$31,RAND())</f>
        <v>0</v>
      </c>
      <c r="M1742" s="0" t="n">
        <f aca="true">CRITBINOM(MAX(0,J1742-K1742),1-Coefficients!$B$32,RAND())</f>
        <v>0</v>
      </c>
      <c r="N1742" s="0" t="n">
        <f aca="true">CRITBINOM(MAX(0,$C1742-J1742),MIN(0.6,Matchup!$C$40*SQRT($B1742)/(1-MIN(0.75,Matchup!$C$39*$B1742))),RAND())</f>
        <v>1</v>
      </c>
      <c r="O1742" s="0" t="n">
        <f aca="false">6*J1742+(J1742-K1742-M1742)+2*L1742+3*N1742</f>
        <v>24</v>
      </c>
      <c r="P1742" s="0" t="n">
        <f aca="true">RAND()</f>
        <v>0.0464852064928897</v>
      </c>
      <c r="Q1742" s="0" t="n">
        <f aca="true">RAND()</f>
        <v>0.271843737729769</v>
      </c>
      <c r="R1742" s="0" t="n">
        <f aca="false">IF($I1742&lt;&gt;$O1742,0,IF(P1742&lt;Matchup!$B$39,7,IF(P1742&lt;Matchup!$B$39+Matchup!$B$40,3,0)))</f>
        <v>0</v>
      </c>
      <c r="S1742" s="0" t="n">
        <f aca="false">IF($I1742&lt;&gt;$O1742,0,IF(Q1742&lt;Matchup!$C$39,7,IF(Q1742&lt;Matchup!$C$39+Matchup!$C$40,3,0)))</f>
        <v>0</v>
      </c>
      <c r="T1742" s="0" t="n">
        <f aca="false">I1742+R1742</f>
        <v>35</v>
      </c>
      <c r="U1742" s="0" t="n">
        <f aca="false">O1742+S1742</f>
        <v>24</v>
      </c>
      <c r="V1742" s="0" t="n">
        <f aca="false">T1742-U1742</f>
        <v>11</v>
      </c>
      <c r="W1742" s="0" t="n">
        <f aca="false">T1742+U1742</f>
        <v>59</v>
      </c>
    </row>
    <row r="1743" customFormat="false" ht="15" hidden="false" customHeight="false" outlineLevel="0" collapsed="false">
      <c r="A1743" s="0" t="n">
        <v>1740</v>
      </c>
      <c r="B1743" s="0" t="n">
        <f aca="true">NORMINV(RAND(),1,Coefficients!$B$22)</f>
        <v>1.03998435804372</v>
      </c>
      <c r="C1743" s="0" t="n">
        <f aca="true">MEDIAN(8,16,ROUND(NORMINV(RAND(),Coefficients!$B$20,Coefficients!$B$21),0))</f>
        <v>12</v>
      </c>
      <c r="D1743" s="0" t="n">
        <f aca="true">CRITBINOM($C1743,MIN(0.75,Matchup!$B$39*$B1743),RAND())</f>
        <v>1</v>
      </c>
      <c r="E1743" s="0" t="n">
        <f aca="true">CRITBINOM(D1743,Coefficients!$B$30,RAND())</f>
        <v>0</v>
      </c>
      <c r="F1743" s="0" t="n">
        <f aca="true">CRITBINOM(E1743,Coefficients!$B$31,RAND())</f>
        <v>0</v>
      </c>
      <c r="G1743" s="0" t="n">
        <f aca="true">CRITBINOM(MAX(0,D1743-E1743),1-Coefficients!$B$32,RAND())</f>
        <v>0</v>
      </c>
      <c r="H1743" s="0" t="n">
        <f aca="true">CRITBINOM(MAX(0,$C1743-D1743),MIN(0.6,Matchup!$B$40*SQRT($B1743)/(1-MIN(0.75,Matchup!$B$39*$B1743))),RAND())</f>
        <v>3</v>
      </c>
      <c r="I1743" s="0" t="n">
        <f aca="false">6*D1743+(D1743-E1743-G1743)+2*F1743+3*H1743</f>
        <v>16</v>
      </c>
      <c r="J1743" s="0" t="n">
        <f aca="true">CRITBINOM($C1743,MIN(0.75,Matchup!$C$39*$B1743),RAND())</f>
        <v>5</v>
      </c>
      <c r="K1743" s="0" t="n">
        <f aca="true">CRITBINOM(J1743,Coefficients!$B$30,RAND())</f>
        <v>1</v>
      </c>
      <c r="L1743" s="0" t="n">
        <f aca="true">CRITBINOM(K1743,Coefficients!$B$31,RAND())</f>
        <v>0</v>
      </c>
      <c r="M1743" s="0" t="n">
        <f aca="true">CRITBINOM(MAX(0,J1743-K1743),1-Coefficients!$B$32,RAND())</f>
        <v>1</v>
      </c>
      <c r="N1743" s="0" t="n">
        <f aca="true">CRITBINOM(MAX(0,$C1743-J1743),MIN(0.6,Matchup!$C$40*SQRT($B1743)/(1-MIN(0.75,Matchup!$C$39*$B1743))),RAND())</f>
        <v>1</v>
      </c>
      <c r="O1743" s="0" t="n">
        <f aca="false">6*J1743+(J1743-K1743-M1743)+2*L1743+3*N1743</f>
        <v>36</v>
      </c>
      <c r="P1743" s="0" t="n">
        <f aca="true">RAND()</f>
        <v>0.555081786156411</v>
      </c>
      <c r="Q1743" s="0" t="n">
        <f aca="true">RAND()</f>
        <v>0.94495228311901</v>
      </c>
      <c r="R1743" s="0" t="n">
        <f aca="false">IF($I1743&lt;&gt;$O1743,0,IF(P1743&lt;Matchup!$B$39,7,IF(P1743&lt;Matchup!$B$39+Matchup!$B$40,3,0)))</f>
        <v>0</v>
      </c>
      <c r="S1743" s="0" t="n">
        <f aca="false">IF($I1743&lt;&gt;$O1743,0,IF(Q1743&lt;Matchup!$C$39,7,IF(Q1743&lt;Matchup!$C$39+Matchup!$C$40,3,0)))</f>
        <v>0</v>
      </c>
      <c r="T1743" s="0" t="n">
        <f aca="false">I1743+R1743</f>
        <v>16</v>
      </c>
      <c r="U1743" s="0" t="n">
        <f aca="false">O1743+S1743</f>
        <v>36</v>
      </c>
      <c r="V1743" s="0" t="n">
        <f aca="false">T1743-U1743</f>
        <v>-20</v>
      </c>
      <c r="W1743" s="0" t="n">
        <f aca="false">T1743+U1743</f>
        <v>52</v>
      </c>
    </row>
    <row r="1744" customFormat="false" ht="15" hidden="false" customHeight="false" outlineLevel="0" collapsed="false">
      <c r="A1744" s="0" t="n">
        <v>1741</v>
      </c>
      <c r="B1744" s="0" t="n">
        <f aca="true">NORMINV(RAND(),1,Coefficients!$B$22)</f>
        <v>0.967954769381178</v>
      </c>
      <c r="C1744" s="0" t="n">
        <f aca="true">MEDIAN(8,16,ROUND(NORMINV(RAND(),Coefficients!$B$20,Coefficients!$B$21),0))</f>
        <v>10</v>
      </c>
      <c r="D1744" s="0" t="n">
        <f aca="true">CRITBINOM($C1744,MIN(0.75,Matchup!$B$39*$B1744),RAND())</f>
        <v>3</v>
      </c>
      <c r="E1744" s="0" t="n">
        <f aca="true">CRITBINOM(D1744,Coefficients!$B$30,RAND())</f>
        <v>0</v>
      </c>
      <c r="F1744" s="0" t="n">
        <f aca="true">CRITBINOM(E1744,Coefficients!$B$31,RAND())</f>
        <v>0</v>
      </c>
      <c r="G1744" s="0" t="n">
        <f aca="true">CRITBINOM(MAX(0,D1744-E1744),1-Coefficients!$B$32,RAND())</f>
        <v>0</v>
      </c>
      <c r="H1744" s="0" t="n">
        <f aca="true">CRITBINOM(MAX(0,$C1744-D1744),MIN(0.6,Matchup!$B$40*SQRT($B1744)/(1-MIN(0.75,Matchup!$B$39*$B1744))),RAND())</f>
        <v>2</v>
      </c>
      <c r="I1744" s="0" t="n">
        <f aca="false">6*D1744+(D1744-E1744-G1744)+2*F1744+3*H1744</f>
        <v>27</v>
      </c>
      <c r="J1744" s="0" t="n">
        <f aca="true">CRITBINOM($C1744,MIN(0.75,Matchup!$C$39*$B1744),RAND())</f>
        <v>1</v>
      </c>
      <c r="K1744" s="0" t="n">
        <f aca="true">CRITBINOM(J1744,Coefficients!$B$30,RAND())</f>
        <v>0</v>
      </c>
      <c r="L1744" s="0" t="n">
        <f aca="true">CRITBINOM(K1744,Coefficients!$B$31,RAND())</f>
        <v>0</v>
      </c>
      <c r="M1744" s="0" t="n">
        <f aca="true">CRITBINOM(MAX(0,J1744-K1744),1-Coefficients!$B$32,RAND())</f>
        <v>0</v>
      </c>
      <c r="N1744" s="0" t="n">
        <f aca="true">CRITBINOM(MAX(0,$C1744-J1744),MIN(0.6,Matchup!$C$40*SQRT($B1744)/(1-MIN(0.75,Matchup!$C$39*$B1744))),RAND())</f>
        <v>2</v>
      </c>
      <c r="O1744" s="0" t="n">
        <f aca="false">6*J1744+(J1744-K1744-M1744)+2*L1744+3*N1744</f>
        <v>13</v>
      </c>
      <c r="P1744" s="0" t="n">
        <f aca="true">RAND()</f>
        <v>0.905192591626677</v>
      </c>
      <c r="Q1744" s="0" t="n">
        <f aca="true">RAND()</f>
        <v>0.743467910785195</v>
      </c>
      <c r="R1744" s="0" t="n">
        <f aca="false">IF($I1744&lt;&gt;$O1744,0,IF(P1744&lt;Matchup!$B$39,7,IF(P1744&lt;Matchup!$B$39+Matchup!$B$40,3,0)))</f>
        <v>0</v>
      </c>
      <c r="S1744" s="0" t="n">
        <f aca="false">IF($I1744&lt;&gt;$O1744,0,IF(Q1744&lt;Matchup!$C$39,7,IF(Q1744&lt;Matchup!$C$39+Matchup!$C$40,3,0)))</f>
        <v>0</v>
      </c>
      <c r="T1744" s="0" t="n">
        <f aca="false">I1744+R1744</f>
        <v>27</v>
      </c>
      <c r="U1744" s="0" t="n">
        <f aca="false">O1744+S1744</f>
        <v>13</v>
      </c>
      <c r="V1744" s="0" t="n">
        <f aca="false">T1744-U1744</f>
        <v>14</v>
      </c>
      <c r="W1744" s="0" t="n">
        <f aca="false">T1744+U1744</f>
        <v>40</v>
      </c>
    </row>
    <row r="1745" customFormat="false" ht="15" hidden="false" customHeight="false" outlineLevel="0" collapsed="false">
      <c r="A1745" s="0" t="n">
        <v>1742</v>
      </c>
      <c r="B1745" s="0" t="n">
        <f aca="true">NORMINV(RAND(),1,Coefficients!$B$22)</f>
        <v>1.12120370032868</v>
      </c>
      <c r="C1745" s="0" t="n">
        <f aca="true">MEDIAN(8,16,ROUND(NORMINV(RAND(),Coefficients!$B$20,Coefficients!$B$21),0))</f>
        <v>9</v>
      </c>
      <c r="D1745" s="0" t="n">
        <f aca="true">CRITBINOM($C1745,MIN(0.75,Matchup!$B$39*$B1745),RAND())</f>
        <v>4</v>
      </c>
      <c r="E1745" s="0" t="n">
        <f aca="true">CRITBINOM(D1745,Coefficients!$B$30,RAND())</f>
        <v>0</v>
      </c>
      <c r="F1745" s="0" t="n">
        <f aca="true">CRITBINOM(E1745,Coefficients!$B$31,RAND())</f>
        <v>0</v>
      </c>
      <c r="G1745" s="0" t="n">
        <f aca="true">CRITBINOM(MAX(0,D1745-E1745),1-Coefficients!$B$32,RAND())</f>
        <v>0</v>
      </c>
      <c r="H1745" s="0" t="n">
        <f aca="true">CRITBINOM(MAX(0,$C1745-D1745),MIN(0.6,Matchup!$B$40*SQRT($B1745)/(1-MIN(0.75,Matchup!$B$39*$B1745))),RAND())</f>
        <v>2</v>
      </c>
      <c r="I1745" s="0" t="n">
        <f aca="false">6*D1745+(D1745-E1745-G1745)+2*F1745+3*H1745</f>
        <v>34</v>
      </c>
      <c r="J1745" s="0" t="n">
        <f aca="true">CRITBINOM($C1745,MIN(0.75,Matchup!$C$39*$B1745),RAND())</f>
        <v>3</v>
      </c>
      <c r="K1745" s="0" t="n">
        <f aca="true">CRITBINOM(J1745,Coefficients!$B$30,RAND())</f>
        <v>0</v>
      </c>
      <c r="L1745" s="0" t="n">
        <f aca="true">CRITBINOM(K1745,Coefficients!$B$31,RAND())</f>
        <v>0</v>
      </c>
      <c r="M1745" s="0" t="n">
        <f aca="true">CRITBINOM(MAX(0,J1745-K1745),1-Coefficients!$B$32,RAND())</f>
        <v>0</v>
      </c>
      <c r="N1745" s="0" t="n">
        <f aca="true">CRITBINOM(MAX(0,$C1745-J1745),MIN(0.6,Matchup!$C$40*SQRT($B1745)/(1-MIN(0.75,Matchup!$C$39*$B1745))),RAND())</f>
        <v>1</v>
      </c>
      <c r="O1745" s="0" t="n">
        <f aca="false">6*J1745+(J1745-K1745-M1745)+2*L1745+3*N1745</f>
        <v>24</v>
      </c>
      <c r="P1745" s="0" t="n">
        <f aca="true">RAND()</f>
        <v>0.124565769384726</v>
      </c>
      <c r="Q1745" s="0" t="n">
        <f aca="true">RAND()</f>
        <v>0.477404479276153</v>
      </c>
      <c r="R1745" s="0" t="n">
        <f aca="false">IF($I1745&lt;&gt;$O1745,0,IF(P1745&lt;Matchup!$B$39,7,IF(P1745&lt;Matchup!$B$39+Matchup!$B$40,3,0)))</f>
        <v>0</v>
      </c>
      <c r="S1745" s="0" t="n">
        <f aca="false">IF($I1745&lt;&gt;$O1745,0,IF(Q1745&lt;Matchup!$C$39,7,IF(Q1745&lt;Matchup!$C$39+Matchup!$C$40,3,0)))</f>
        <v>0</v>
      </c>
      <c r="T1745" s="0" t="n">
        <f aca="false">I1745+R1745</f>
        <v>34</v>
      </c>
      <c r="U1745" s="0" t="n">
        <f aca="false">O1745+S1745</f>
        <v>24</v>
      </c>
      <c r="V1745" s="0" t="n">
        <f aca="false">T1745-U1745</f>
        <v>10</v>
      </c>
      <c r="W1745" s="0" t="n">
        <f aca="false">T1745+U1745</f>
        <v>58</v>
      </c>
    </row>
    <row r="1746" customFormat="false" ht="15" hidden="false" customHeight="false" outlineLevel="0" collapsed="false">
      <c r="A1746" s="0" t="n">
        <v>1743</v>
      </c>
      <c r="B1746" s="0" t="n">
        <f aca="true">NORMINV(RAND(),1,Coefficients!$B$22)</f>
        <v>0.986315360098908</v>
      </c>
      <c r="C1746" s="0" t="n">
        <f aca="true">MEDIAN(8,16,ROUND(NORMINV(RAND(),Coefficients!$B$20,Coefficients!$B$21),0))</f>
        <v>11</v>
      </c>
      <c r="D1746" s="0" t="n">
        <f aca="true">CRITBINOM($C1746,MIN(0.75,Matchup!$B$39*$B1746),RAND())</f>
        <v>2</v>
      </c>
      <c r="E1746" s="0" t="n">
        <f aca="true">CRITBINOM(D1746,Coefficients!$B$30,RAND())</f>
        <v>0</v>
      </c>
      <c r="F1746" s="0" t="n">
        <f aca="true">CRITBINOM(E1746,Coefficients!$B$31,RAND())</f>
        <v>0</v>
      </c>
      <c r="G1746" s="0" t="n">
        <f aca="true">CRITBINOM(MAX(0,D1746-E1746),1-Coefficients!$B$32,RAND())</f>
        <v>0</v>
      </c>
      <c r="H1746" s="0" t="n">
        <f aca="true">CRITBINOM(MAX(0,$C1746-D1746),MIN(0.6,Matchup!$B$40*SQRT($B1746)/(1-MIN(0.75,Matchup!$B$39*$B1746))),RAND())</f>
        <v>3</v>
      </c>
      <c r="I1746" s="0" t="n">
        <f aca="false">6*D1746+(D1746-E1746-G1746)+2*F1746+3*H1746</f>
        <v>23</v>
      </c>
      <c r="J1746" s="0" t="n">
        <f aca="true">CRITBINOM($C1746,MIN(0.75,Matchup!$C$39*$B1746),RAND())</f>
        <v>3</v>
      </c>
      <c r="K1746" s="0" t="n">
        <f aca="true">CRITBINOM(J1746,Coefficients!$B$30,RAND())</f>
        <v>0</v>
      </c>
      <c r="L1746" s="0" t="n">
        <f aca="true">CRITBINOM(K1746,Coefficients!$B$31,RAND())</f>
        <v>0</v>
      </c>
      <c r="M1746" s="0" t="n">
        <f aca="true">CRITBINOM(MAX(0,J1746-K1746),1-Coefficients!$B$32,RAND())</f>
        <v>0</v>
      </c>
      <c r="N1746" s="0" t="n">
        <f aca="true">CRITBINOM(MAX(0,$C1746-J1746),MIN(0.6,Matchup!$C$40*SQRT($B1746)/(1-MIN(0.75,Matchup!$C$39*$B1746))),RAND())</f>
        <v>1</v>
      </c>
      <c r="O1746" s="0" t="n">
        <f aca="false">6*J1746+(J1746-K1746-M1746)+2*L1746+3*N1746</f>
        <v>24</v>
      </c>
      <c r="P1746" s="0" t="n">
        <f aca="true">RAND()</f>
        <v>0.617396682130836</v>
      </c>
      <c r="Q1746" s="0" t="n">
        <f aca="true">RAND()</f>
        <v>0.276689016680035</v>
      </c>
      <c r="R1746" s="0" t="n">
        <f aca="false">IF($I1746&lt;&gt;$O1746,0,IF(P1746&lt;Matchup!$B$39,7,IF(P1746&lt;Matchup!$B$39+Matchup!$B$40,3,0)))</f>
        <v>0</v>
      </c>
      <c r="S1746" s="0" t="n">
        <f aca="false">IF($I1746&lt;&gt;$O1746,0,IF(Q1746&lt;Matchup!$C$39,7,IF(Q1746&lt;Matchup!$C$39+Matchup!$C$40,3,0)))</f>
        <v>0</v>
      </c>
      <c r="T1746" s="0" t="n">
        <f aca="false">I1746+R1746</f>
        <v>23</v>
      </c>
      <c r="U1746" s="0" t="n">
        <f aca="false">O1746+S1746</f>
        <v>24</v>
      </c>
      <c r="V1746" s="0" t="n">
        <f aca="false">T1746-U1746</f>
        <v>-1</v>
      </c>
      <c r="W1746" s="0" t="n">
        <f aca="false">T1746+U1746</f>
        <v>47</v>
      </c>
    </row>
    <row r="1747" customFormat="false" ht="15" hidden="false" customHeight="false" outlineLevel="0" collapsed="false">
      <c r="A1747" s="0" t="n">
        <v>1744</v>
      </c>
      <c r="B1747" s="0" t="n">
        <f aca="true">NORMINV(RAND(),1,Coefficients!$B$22)</f>
        <v>0.932382368150137</v>
      </c>
      <c r="C1747" s="0" t="n">
        <f aca="true">MEDIAN(8,16,ROUND(NORMINV(RAND(),Coefficients!$B$20,Coefficients!$B$21),0))</f>
        <v>11</v>
      </c>
      <c r="D1747" s="0" t="n">
        <f aca="true">CRITBINOM($C1747,MIN(0.75,Matchup!$B$39*$B1747),RAND())</f>
        <v>0</v>
      </c>
      <c r="E1747" s="0" t="n">
        <f aca="true">CRITBINOM(D1747,Coefficients!$B$30,RAND())</f>
        <v>0</v>
      </c>
      <c r="F1747" s="0" t="n">
        <f aca="true">CRITBINOM(E1747,Coefficients!$B$31,RAND())</f>
        <v>0</v>
      </c>
      <c r="G1747" s="0" t="n">
        <f aca="true">CRITBINOM(MAX(0,D1747-E1747),1-Coefficients!$B$32,RAND())</f>
        <v>0</v>
      </c>
      <c r="H1747" s="0" t="n">
        <f aca="true">CRITBINOM(MAX(0,$C1747-D1747),MIN(0.6,Matchup!$B$40*SQRT($B1747)/(1-MIN(0.75,Matchup!$B$39*$B1747))),RAND())</f>
        <v>1</v>
      </c>
      <c r="I1747" s="0" t="n">
        <f aca="false">6*D1747+(D1747-E1747-G1747)+2*F1747+3*H1747</f>
        <v>3</v>
      </c>
      <c r="J1747" s="0" t="n">
        <f aca="true">CRITBINOM($C1747,MIN(0.75,Matchup!$C$39*$B1747),RAND())</f>
        <v>2</v>
      </c>
      <c r="K1747" s="0" t="n">
        <f aca="true">CRITBINOM(J1747,Coefficients!$B$30,RAND())</f>
        <v>0</v>
      </c>
      <c r="L1747" s="0" t="n">
        <f aca="true">CRITBINOM(K1747,Coefficients!$B$31,RAND())</f>
        <v>0</v>
      </c>
      <c r="M1747" s="0" t="n">
        <f aca="true">CRITBINOM(MAX(0,J1747-K1747),1-Coefficients!$B$32,RAND())</f>
        <v>0</v>
      </c>
      <c r="N1747" s="0" t="n">
        <f aca="true">CRITBINOM(MAX(0,$C1747-J1747),MIN(0.6,Matchup!$C$40*SQRT($B1747)/(1-MIN(0.75,Matchup!$C$39*$B1747))),RAND())</f>
        <v>1</v>
      </c>
      <c r="O1747" s="0" t="n">
        <f aca="false">6*J1747+(J1747-K1747-M1747)+2*L1747+3*N1747</f>
        <v>17</v>
      </c>
      <c r="P1747" s="0" t="n">
        <f aca="true">RAND()</f>
        <v>0.18712628567374</v>
      </c>
      <c r="Q1747" s="0" t="n">
        <f aca="true">RAND()</f>
        <v>0.352929426239331</v>
      </c>
      <c r="R1747" s="0" t="n">
        <f aca="false">IF($I1747&lt;&gt;$O1747,0,IF(P1747&lt;Matchup!$B$39,7,IF(P1747&lt;Matchup!$B$39+Matchup!$B$40,3,0)))</f>
        <v>0</v>
      </c>
      <c r="S1747" s="0" t="n">
        <f aca="false">IF($I1747&lt;&gt;$O1747,0,IF(Q1747&lt;Matchup!$C$39,7,IF(Q1747&lt;Matchup!$C$39+Matchup!$C$40,3,0)))</f>
        <v>0</v>
      </c>
      <c r="T1747" s="0" t="n">
        <f aca="false">I1747+R1747</f>
        <v>3</v>
      </c>
      <c r="U1747" s="0" t="n">
        <f aca="false">O1747+S1747</f>
        <v>17</v>
      </c>
      <c r="V1747" s="0" t="n">
        <f aca="false">T1747-U1747</f>
        <v>-14</v>
      </c>
      <c r="W1747" s="0" t="n">
        <f aca="false">T1747+U1747</f>
        <v>20</v>
      </c>
    </row>
    <row r="1748" customFormat="false" ht="15" hidden="false" customHeight="false" outlineLevel="0" collapsed="false">
      <c r="A1748" s="0" t="n">
        <v>1745</v>
      </c>
      <c r="B1748" s="0" t="n">
        <f aca="true">NORMINV(RAND(),1,Coefficients!$B$22)</f>
        <v>0.951308447667923</v>
      </c>
      <c r="C1748" s="0" t="n">
        <f aca="true">MEDIAN(8,16,ROUND(NORMINV(RAND(),Coefficients!$B$20,Coefficients!$B$21),0))</f>
        <v>10</v>
      </c>
      <c r="D1748" s="0" t="n">
        <f aca="true">CRITBINOM($C1748,MIN(0.75,Matchup!$B$39*$B1748),RAND())</f>
        <v>2</v>
      </c>
      <c r="E1748" s="0" t="n">
        <f aca="true">CRITBINOM(D1748,Coefficients!$B$30,RAND())</f>
        <v>0</v>
      </c>
      <c r="F1748" s="0" t="n">
        <f aca="true">CRITBINOM(E1748,Coefficients!$B$31,RAND())</f>
        <v>0</v>
      </c>
      <c r="G1748" s="0" t="n">
        <f aca="true">CRITBINOM(MAX(0,D1748-E1748),1-Coefficients!$B$32,RAND())</f>
        <v>0</v>
      </c>
      <c r="H1748" s="0" t="n">
        <f aca="true">CRITBINOM(MAX(0,$C1748-D1748),MIN(0.6,Matchup!$B$40*SQRT($B1748)/(1-MIN(0.75,Matchup!$B$39*$B1748))),RAND())</f>
        <v>1</v>
      </c>
      <c r="I1748" s="0" t="n">
        <f aca="false">6*D1748+(D1748-E1748-G1748)+2*F1748+3*H1748</f>
        <v>17</v>
      </c>
      <c r="J1748" s="0" t="n">
        <f aca="true">CRITBINOM($C1748,MIN(0.75,Matchup!$C$39*$B1748),RAND())</f>
        <v>0</v>
      </c>
      <c r="K1748" s="0" t="n">
        <f aca="true">CRITBINOM(J1748,Coefficients!$B$30,RAND())</f>
        <v>0</v>
      </c>
      <c r="L1748" s="0" t="n">
        <f aca="true">CRITBINOM(K1748,Coefficients!$B$31,RAND())</f>
        <v>0</v>
      </c>
      <c r="M1748" s="0" t="n">
        <f aca="true">CRITBINOM(MAX(0,J1748-K1748),1-Coefficients!$B$32,RAND())</f>
        <v>0</v>
      </c>
      <c r="N1748" s="0" t="n">
        <f aca="true">CRITBINOM(MAX(0,$C1748-J1748),MIN(0.6,Matchup!$C$40*SQRT($B1748)/(1-MIN(0.75,Matchup!$C$39*$B1748))),RAND())</f>
        <v>0</v>
      </c>
      <c r="O1748" s="0" t="n">
        <f aca="false">6*J1748+(J1748-K1748-M1748)+2*L1748+3*N1748</f>
        <v>0</v>
      </c>
      <c r="P1748" s="0" t="n">
        <f aca="true">RAND()</f>
        <v>0.410344273049654</v>
      </c>
      <c r="Q1748" s="0" t="n">
        <f aca="true">RAND()</f>
        <v>0.244456387701334</v>
      </c>
      <c r="R1748" s="0" t="n">
        <f aca="false">IF($I1748&lt;&gt;$O1748,0,IF(P1748&lt;Matchup!$B$39,7,IF(P1748&lt;Matchup!$B$39+Matchup!$B$40,3,0)))</f>
        <v>0</v>
      </c>
      <c r="S1748" s="0" t="n">
        <f aca="false">IF($I1748&lt;&gt;$O1748,0,IF(Q1748&lt;Matchup!$C$39,7,IF(Q1748&lt;Matchup!$C$39+Matchup!$C$40,3,0)))</f>
        <v>0</v>
      </c>
      <c r="T1748" s="0" t="n">
        <f aca="false">I1748+R1748</f>
        <v>17</v>
      </c>
      <c r="U1748" s="0" t="n">
        <f aca="false">O1748+S1748</f>
        <v>0</v>
      </c>
      <c r="V1748" s="0" t="n">
        <f aca="false">T1748-U1748</f>
        <v>17</v>
      </c>
      <c r="W1748" s="0" t="n">
        <f aca="false">T1748+U1748</f>
        <v>17</v>
      </c>
    </row>
    <row r="1749" customFormat="false" ht="15" hidden="false" customHeight="false" outlineLevel="0" collapsed="false">
      <c r="A1749" s="0" t="n">
        <v>1746</v>
      </c>
      <c r="B1749" s="0" t="n">
        <f aca="true">NORMINV(RAND(),1,Coefficients!$B$22)</f>
        <v>0.987536954899581</v>
      </c>
      <c r="C1749" s="0" t="n">
        <f aca="true">MEDIAN(8,16,ROUND(NORMINV(RAND(),Coefficients!$B$20,Coefficients!$B$21),0))</f>
        <v>11</v>
      </c>
      <c r="D1749" s="0" t="n">
        <f aca="true">CRITBINOM($C1749,MIN(0.75,Matchup!$B$39*$B1749),RAND())</f>
        <v>4</v>
      </c>
      <c r="E1749" s="0" t="n">
        <f aca="true">CRITBINOM(D1749,Coefficients!$B$30,RAND())</f>
        <v>1</v>
      </c>
      <c r="F1749" s="0" t="n">
        <f aca="true">CRITBINOM(E1749,Coefficients!$B$31,RAND())</f>
        <v>1</v>
      </c>
      <c r="G1749" s="0" t="n">
        <f aca="true">CRITBINOM(MAX(0,D1749-E1749),1-Coefficients!$B$32,RAND())</f>
        <v>0</v>
      </c>
      <c r="H1749" s="0" t="n">
        <f aca="true">CRITBINOM(MAX(0,$C1749-D1749),MIN(0.6,Matchup!$B$40*SQRT($B1749)/(1-MIN(0.75,Matchup!$B$39*$B1749))),RAND())</f>
        <v>1</v>
      </c>
      <c r="I1749" s="0" t="n">
        <f aca="false">6*D1749+(D1749-E1749-G1749)+2*F1749+3*H1749</f>
        <v>32</v>
      </c>
      <c r="J1749" s="0" t="n">
        <f aca="true">CRITBINOM($C1749,MIN(0.75,Matchup!$C$39*$B1749),RAND())</f>
        <v>1</v>
      </c>
      <c r="K1749" s="0" t="n">
        <f aca="true">CRITBINOM(J1749,Coefficients!$B$30,RAND())</f>
        <v>0</v>
      </c>
      <c r="L1749" s="0" t="n">
        <f aca="true">CRITBINOM(K1749,Coefficients!$B$31,RAND())</f>
        <v>0</v>
      </c>
      <c r="M1749" s="0" t="n">
        <f aca="true">CRITBINOM(MAX(0,J1749-K1749),1-Coefficients!$B$32,RAND())</f>
        <v>0</v>
      </c>
      <c r="N1749" s="0" t="n">
        <f aca="true">CRITBINOM(MAX(0,$C1749-J1749),MIN(0.6,Matchup!$C$40*SQRT($B1749)/(1-MIN(0.75,Matchup!$C$39*$B1749))),RAND())</f>
        <v>0</v>
      </c>
      <c r="O1749" s="0" t="n">
        <f aca="false">6*J1749+(J1749-K1749-M1749)+2*L1749+3*N1749</f>
        <v>7</v>
      </c>
      <c r="P1749" s="0" t="n">
        <f aca="true">RAND()</f>
        <v>0.261253281682279</v>
      </c>
      <c r="Q1749" s="0" t="n">
        <f aca="true">RAND()</f>
        <v>0.183375925028145</v>
      </c>
      <c r="R1749" s="0" t="n">
        <f aca="false">IF($I1749&lt;&gt;$O1749,0,IF(P1749&lt;Matchup!$B$39,7,IF(P1749&lt;Matchup!$B$39+Matchup!$B$40,3,0)))</f>
        <v>0</v>
      </c>
      <c r="S1749" s="0" t="n">
        <f aca="false">IF($I1749&lt;&gt;$O1749,0,IF(Q1749&lt;Matchup!$C$39,7,IF(Q1749&lt;Matchup!$C$39+Matchup!$C$40,3,0)))</f>
        <v>0</v>
      </c>
      <c r="T1749" s="0" t="n">
        <f aca="false">I1749+R1749</f>
        <v>32</v>
      </c>
      <c r="U1749" s="0" t="n">
        <f aca="false">O1749+S1749</f>
        <v>7</v>
      </c>
      <c r="V1749" s="0" t="n">
        <f aca="false">T1749-U1749</f>
        <v>25</v>
      </c>
      <c r="W1749" s="0" t="n">
        <f aca="false">T1749+U1749</f>
        <v>39</v>
      </c>
    </row>
    <row r="1750" customFormat="false" ht="15" hidden="false" customHeight="false" outlineLevel="0" collapsed="false">
      <c r="A1750" s="0" t="n">
        <v>1747</v>
      </c>
      <c r="B1750" s="0" t="n">
        <f aca="true">NORMINV(RAND(),1,Coefficients!$B$22)</f>
        <v>1.05550601237651</v>
      </c>
      <c r="C1750" s="0" t="n">
        <f aca="true">MEDIAN(8,16,ROUND(NORMINV(RAND(),Coefficients!$B$20,Coefficients!$B$21),0))</f>
        <v>10</v>
      </c>
      <c r="D1750" s="0" t="n">
        <f aca="true">CRITBINOM($C1750,MIN(0.75,Matchup!$B$39*$B1750),RAND())</f>
        <v>2</v>
      </c>
      <c r="E1750" s="0" t="n">
        <f aca="true">CRITBINOM(D1750,Coefficients!$B$30,RAND())</f>
        <v>0</v>
      </c>
      <c r="F1750" s="0" t="n">
        <f aca="true">CRITBINOM(E1750,Coefficients!$B$31,RAND())</f>
        <v>0</v>
      </c>
      <c r="G1750" s="0" t="n">
        <f aca="true">CRITBINOM(MAX(0,D1750-E1750),1-Coefficients!$B$32,RAND())</f>
        <v>0</v>
      </c>
      <c r="H1750" s="0" t="n">
        <f aca="true">CRITBINOM(MAX(0,$C1750-D1750),MIN(0.6,Matchup!$B$40*SQRT($B1750)/(1-MIN(0.75,Matchup!$B$39*$B1750))),RAND())</f>
        <v>4</v>
      </c>
      <c r="I1750" s="0" t="n">
        <f aca="false">6*D1750+(D1750-E1750-G1750)+2*F1750+3*H1750</f>
        <v>26</v>
      </c>
      <c r="J1750" s="0" t="n">
        <f aca="true">CRITBINOM($C1750,MIN(0.75,Matchup!$C$39*$B1750),RAND())</f>
        <v>2</v>
      </c>
      <c r="K1750" s="0" t="n">
        <f aca="true">CRITBINOM(J1750,Coefficients!$B$30,RAND())</f>
        <v>0</v>
      </c>
      <c r="L1750" s="0" t="n">
        <f aca="true">CRITBINOM(K1750,Coefficients!$B$31,RAND())</f>
        <v>0</v>
      </c>
      <c r="M1750" s="0" t="n">
        <f aca="true">CRITBINOM(MAX(0,J1750-K1750),1-Coefficients!$B$32,RAND())</f>
        <v>0</v>
      </c>
      <c r="N1750" s="0" t="n">
        <f aca="true">CRITBINOM(MAX(0,$C1750-J1750),MIN(0.6,Matchup!$C$40*SQRT($B1750)/(1-MIN(0.75,Matchup!$C$39*$B1750))),RAND())</f>
        <v>1</v>
      </c>
      <c r="O1750" s="0" t="n">
        <f aca="false">6*J1750+(J1750-K1750-M1750)+2*L1750+3*N1750</f>
        <v>17</v>
      </c>
      <c r="P1750" s="0" t="n">
        <f aca="true">RAND()</f>
        <v>0.106692705840352</v>
      </c>
      <c r="Q1750" s="0" t="n">
        <f aca="true">RAND()</f>
        <v>0.0849233240715434</v>
      </c>
      <c r="R1750" s="0" t="n">
        <f aca="false">IF($I1750&lt;&gt;$O1750,0,IF(P1750&lt;Matchup!$B$39,7,IF(P1750&lt;Matchup!$B$39+Matchup!$B$40,3,0)))</f>
        <v>0</v>
      </c>
      <c r="S1750" s="0" t="n">
        <f aca="false">IF($I1750&lt;&gt;$O1750,0,IF(Q1750&lt;Matchup!$C$39,7,IF(Q1750&lt;Matchup!$C$39+Matchup!$C$40,3,0)))</f>
        <v>0</v>
      </c>
      <c r="T1750" s="0" t="n">
        <f aca="false">I1750+R1750</f>
        <v>26</v>
      </c>
      <c r="U1750" s="0" t="n">
        <f aca="false">O1750+S1750</f>
        <v>17</v>
      </c>
      <c r="V1750" s="0" t="n">
        <f aca="false">T1750-U1750</f>
        <v>9</v>
      </c>
      <c r="W1750" s="0" t="n">
        <f aca="false">T1750+U1750</f>
        <v>43</v>
      </c>
    </row>
    <row r="1751" customFormat="false" ht="15" hidden="false" customHeight="false" outlineLevel="0" collapsed="false">
      <c r="A1751" s="0" t="n">
        <v>1748</v>
      </c>
      <c r="B1751" s="0" t="n">
        <f aca="true">NORMINV(RAND(),1,Coefficients!$B$22)</f>
        <v>1.01519041754904</v>
      </c>
      <c r="C1751" s="0" t="n">
        <f aca="true">MEDIAN(8,16,ROUND(NORMINV(RAND(),Coefficients!$B$20,Coefficients!$B$21),0))</f>
        <v>10</v>
      </c>
      <c r="D1751" s="0" t="n">
        <f aca="true">CRITBINOM($C1751,MIN(0.75,Matchup!$B$39*$B1751),RAND())</f>
        <v>0</v>
      </c>
      <c r="E1751" s="0" t="n">
        <f aca="true">CRITBINOM(D1751,Coefficients!$B$30,RAND())</f>
        <v>0</v>
      </c>
      <c r="F1751" s="0" t="n">
        <f aca="true">CRITBINOM(E1751,Coefficients!$B$31,RAND())</f>
        <v>0</v>
      </c>
      <c r="G1751" s="0" t="n">
        <f aca="true">CRITBINOM(MAX(0,D1751-E1751),1-Coefficients!$B$32,RAND())</f>
        <v>0</v>
      </c>
      <c r="H1751" s="0" t="n">
        <f aca="true">CRITBINOM(MAX(0,$C1751-D1751),MIN(0.6,Matchup!$B$40*SQRT($B1751)/(1-MIN(0.75,Matchup!$B$39*$B1751))),RAND())</f>
        <v>2</v>
      </c>
      <c r="I1751" s="0" t="n">
        <f aca="false">6*D1751+(D1751-E1751-G1751)+2*F1751+3*H1751</f>
        <v>6</v>
      </c>
      <c r="J1751" s="0" t="n">
        <f aca="true">CRITBINOM($C1751,MIN(0.75,Matchup!$C$39*$B1751),RAND())</f>
        <v>2</v>
      </c>
      <c r="K1751" s="0" t="n">
        <f aca="true">CRITBINOM(J1751,Coefficients!$B$30,RAND())</f>
        <v>0</v>
      </c>
      <c r="L1751" s="0" t="n">
        <f aca="true">CRITBINOM(K1751,Coefficients!$B$31,RAND())</f>
        <v>0</v>
      </c>
      <c r="M1751" s="0" t="n">
        <f aca="true">CRITBINOM(MAX(0,J1751-K1751),1-Coefficients!$B$32,RAND())</f>
        <v>0</v>
      </c>
      <c r="N1751" s="0" t="n">
        <f aca="true">CRITBINOM(MAX(0,$C1751-J1751),MIN(0.6,Matchup!$C$40*SQRT($B1751)/(1-MIN(0.75,Matchup!$C$39*$B1751))),RAND())</f>
        <v>0</v>
      </c>
      <c r="O1751" s="0" t="n">
        <f aca="false">6*J1751+(J1751-K1751-M1751)+2*L1751+3*N1751</f>
        <v>14</v>
      </c>
      <c r="P1751" s="0" t="n">
        <f aca="true">RAND()</f>
        <v>0.96410520933082</v>
      </c>
      <c r="Q1751" s="0" t="n">
        <f aca="true">RAND()</f>
        <v>0.454726520262005</v>
      </c>
      <c r="R1751" s="0" t="n">
        <f aca="false">IF($I1751&lt;&gt;$O1751,0,IF(P1751&lt;Matchup!$B$39,7,IF(P1751&lt;Matchup!$B$39+Matchup!$B$40,3,0)))</f>
        <v>0</v>
      </c>
      <c r="S1751" s="0" t="n">
        <f aca="false">IF($I1751&lt;&gt;$O1751,0,IF(Q1751&lt;Matchup!$C$39,7,IF(Q1751&lt;Matchup!$C$39+Matchup!$C$40,3,0)))</f>
        <v>0</v>
      </c>
      <c r="T1751" s="0" t="n">
        <f aca="false">I1751+R1751</f>
        <v>6</v>
      </c>
      <c r="U1751" s="0" t="n">
        <f aca="false">O1751+S1751</f>
        <v>14</v>
      </c>
      <c r="V1751" s="0" t="n">
        <f aca="false">T1751-U1751</f>
        <v>-8</v>
      </c>
      <c r="W1751" s="0" t="n">
        <f aca="false">T1751+U1751</f>
        <v>20</v>
      </c>
    </row>
    <row r="1752" customFormat="false" ht="15" hidden="false" customHeight="false" outlineLevel="0" collapsed="false">
      <c r="A1752" s="0" t="n">
        <v>1749</v>
      </c>
      <c r="B1752" s="0" t="n">
        <f aca="true">NORMINV(RAND(),1,Coefficients!$B$22)</f>
        <v>1.01995201146862</v>
      </c>
      <c r="C1752" s="0" t="n">
        <f aca="true">MEDIAN(8,16,ROUND(NORMINV(RAND(),Coefficients!$B$20,Coefficients!$B$21),0))</f>
        <v>10</v>
      </c>
      <c r="D1752" s="0" t="n">
        <f aca="true">CRITBINOM($C1752,MIN(0.75,Matchup!$B$39*$B1752),RAND())</f>
        <v>1</v>
      </c>
      <c r="E1752" s="0" t="n">
        <f aca="true">CRITBINOM(D1752,Coefficients!$B$30,RAND())</f>
        <v>1</v>
      </c>
      <c r="F1752" s="0" t="n">
        <f aca="true">CRITBINOM(E1752,Coefficients!$B$31,RAND())</f>
        <v>0</v>
      </c>
      <c r="G1752" s="0" t="n">
        <f aca="true">CRITBINOM(MAX(0,D1752-E1752),1-Coefficients!$B$32,RAND())</f>
        <v>0</v>
      </c>
      <c r="H1752" s="0" t="n">
        <f aca="true">CRITBINOM(MAX(0,$C1752-D1752),MIN(0.6,Matchup!$B$40*SQRT($B1752)/(1-MIN(0.75,Matchup!$B$39*$B1752))),RAND())</f>
        <v>3</v>
      </c>
      <c r="I1752" s="0" t="n">
        <f aca="false">6*D1752+(D1752-E1752-G1752)+2*F1752+3*H1752</f>
        <v>15</v>
      </c>
      <c r="J1752" s="0" t="n">
        <f aca="true">CRITBINOM($C1752,MIN(0.75,Matchup!$C$39*$B1752),RAND())</f>
        <v>3</v>
      </c>
      <c r="K1752" s="0" t="n">
        <f aca="true">CRITBINOM(J1752,Coefficients!$B$30,RAND())</f>
        <v>0</v>
      </c>
      <c r="L1752" s="0" t="n">
        <f aca="true">CRITBINOM(K1752,Coefficients!$B$31,RAND())</f>
        <v>0</v>
      </c>
      <c r="M1752" s="0" t="n">
        <f aca="true">CRITBINOM(MAX(0,J1752-K1752),1-Coefficients!$B$32,RAND())</f>
        <v>1</v>
      </c>
      <c r="N1752" s="0" t="n">
        <f aca="true">CRITBINOM(MAX(0,$C1752-J1752),MIN(0.6,Matchup!$C$40*SQRT($B1752)/(1-MIN(0.75,Matchup!$C$39*$B1752))),RAND())</f>
        <v>2</v>
      </c>
      <c r="O1752" s="0" t="n">
        <f aca="false">6*J1752+(J1752-K1752-M1752)+2*L1752+3*N1752</f>
        <v>26</v>
      </c>
      <c r="P1752" s="0" t="n">
        <f aca="true">RAND()</f>
        <v>0.744119675791137</v>
      </c>
      <c r="Q1752" s="0" t="n">
        <f aca="true">RAND()</f>
        <v>0.553682158944804</v>
      </c>
      <c r="R1752" s="0" t="n">
        <f aca="false">IF($I1752&lt;&gt;$O1752,0,IF(P1752&lt;Matchup!$B$39,7,IF(P1752&lt;Matchup!$B$39+Matchup!$B$40,3,0)))</f>
        <v>0</v>
      </c>
      <c r="S1752" s="0" t="n">
        <f aca="false">IF($I1752&lt;&gt;$O1752,0,IF(Q1752&lt;Matchup!$C$39,7,IF(Q1752&lt;Matchup!$C$39+Matchup!$C$40,3,0)))</f>
        <v>0</v>
      </c>
      <c r="T1752" s="0" t="n">
        <f aca="false">I1752+R1752</f>
        <v>15</v>
      </c>
      <c r="U1752" s="0" t="n">
        <f aca="false">O1752+S1752</f>
        <v>26</v>
      </c>
      <c r="V1752" s="0" t="n">
        <f aca="false">T1752-U1752</f>
        <v>-11</v>
      </c>
      <c r="W1752" s="0" t="n">
        <f aca="false">T1752+U1752</f>
        <v>41</v>
      </c>
    </row>
    <row r="1753" customFormat="false" ht="15" hidden="false" customHeight="false" outlineLevel="0" collapsed="false">
      <c r="A1753" s="0" t="n">
        <v>1750</v>
      </c>
      <c r="B1753" s="0" t="n">
        <f aca="true">NORMINV(RAND(),1,Coefficients!$B$22)</f>
        <v>1.23826258002306</v>
      </c>
      <c r="C1753" s="0" t="n">
        <f aca="true">MEDIAN(8,16,ROUND(NORMINV(RAND(),Coefficients!$B$20,Coefficients!$B$21),0))</f>
        <v>10</v>
      </c>
      <c r="D1753" s="0" t="n">
        <f aca="true">CRITBINOM($C1753,MIN(0.75,Matchup!$B$39*$B1753),RAND())</f>
        <v>4</v>
      </c>
      <c r="E1753" s="0" t="n">
        <f aca="true">CRITBINOM(D1753,Coefficients!$B$30,RAND())</f>
        <v>0</v>
      </c>
      <c r="F1753" s="0" t="n">
        <f aca="true">CRITBINOM(E1753,Coefficients!$B$31,RAND())</f>
        <v>0</v>
      </c>
      <c r="G1753" s="0" t="n">
        <f aca="true">CRITBINOM(MAX(0,D1753-E1753),1-Coefficients!$B$32,RAND())</f>
        <v>1</v>
      </c>
      <c r="H1753" s="0" t="n">
        <f aca="true">CRITBINOM(MAX(0,$C1753-D1753),MIN(0.6,Matchup!$B$40*SQRT($B1753)/(1-MIN(0.75,Matchup!$B$39*$B1753))),RAND())</f>
        <v>1</v>
      </c>
      <c r="I1753" s="0" t="n">
        <f aca="false">6*D1753+(D1753-E1753-G1753)+2*F1753+3*H1753</f>
        <v>30</v>
      </c>
      <c r="J1753" s="0" t="n">
        <f aca="true">CRITBINOM($C1753,MIN(0.75,Matchup!$C$39*$B1753),RAND())</f>
        <v>2</v>
      </c>
      <c r="K1753" s="0" t="n">
        <f aca="true">CRITBINOM(J1753,Coefficients!$B$30,RAND())</f>
        <v>0</v>
      </c>
      <c r="L1753" s="0" t="n">
        <f aca="true">CRITBINOM(K1753,Coefficients!$B$31,RAND())</f>
        <v>0</v>
      </c>
      <c r="M1753" s="0" t="n">
        <f aca="true">CRITBINOM(MAX(0,J1753-K1753),1-Coefficients!$B$32,RAND())</f>
        <v>0</v>
      </c>
      <c r="N1753" s="0" t="n">
        <f aca="true">CRITBINOM(MAX(0,$C1753-J1753),MIN(0.6,Matchup!$C$40*SQRT($B1753)/(1-MIN(0.75,Matchup!$C$39*$B1753))),RAND())</f>
        <v>2</v>
      </c>
      <c r="O1753" s="0" t="n">
        <f aca="false">6*J1753+(J1753-K1753-M1753)+2*L1753+3*N1753</f>
        <v>20</v>
      </c>
      <c r="P1753" s="0" t="n">
        <f aca="true">RAND()</f>
        <v>0.973740391279697</v>
      </c>
      <c r="Q1753" s="0" t="n">
        <f aca="true">RAND()</f>
        <v>0.353114513198778</v>
      </c>
      <c r="R1753" s="0" t="n">
        <f aca="false">IF($I1753&lt;&gt;$O1753,0,IF(P1753&lt;Matchup!$B$39,7,IF(P1753&lt;Matchup!$B$39+Matchup!$B$40,3,0)))</f>
        <v>0</v>
      </c>
      <c r="S1753" s="0" t="n">
        <f aca="false">IF($I1753&lt;&gt;$O1753,0,IF(Q1753&lt;Matchup!$C$39,7,IF(Q1753&lt;Matchup!$C$39+Matchup!$C$40,3,0)))</f>
        <v>0</v>
      </c>
      <c r="T1753" s="0" t="n">
        <f aca="false">I1753+R1753</f>
        <v>30</v>
      </c>
      <c r="U1753" s="0" t="n">
        <f aca="false">O1753+S1753</f>
        <v>20</v>
      </c>
      <c r="V1753" s="0" t="n">
        <f aca="false">T1753-U1753</f>
        <v>10</v>
      </c>
      <c r="W1753" s="0" t="n">
        <f aca="false">T1753+U1753</f>
        <v>50</v>
      </c>
    </row>
    <row r="1754" customFormat="false" ht="15" hidden="false" customHeight="false" outlineLevel="0" collapsed="false">
      <c r="A1754" s="0" t="n">
        <v>1751</v>
      </c>
      <c r="B1754" s="0" t="n">
        <f aca="true">NORMINV(RAND(),1,Coefficients!$B$22)</f>
        <v>1.07059717041059</v>
      </c>
      <c r="C1754" s="0" t="n">
        <f aca="true">MEDIAN(8,16,ROUND(NORMINV(RAND(),Coefficients!$B$20,Coefficients!$B$21),0))</f>
        <v>11</v>
      </c>
      <c r="D1754" s="0" t="n">
        <f aca="true">CRITBINOM($C1754,MIN(0.75,Matchup!$B$39*$B1754),RAND())</f>
        <v>3</v>
      </c>
      <c r="E1754" s="0" t="n">
        <f aca="true">CRITBINOM(D1754,Coefficients!$B$30,RAND())</f>
        <v>0</v>
      </c>
      <c r="F1754" s="0" t="n">
        <f aca="true">CRITBINOM(E1754,Coefficients!$B$31,RAND())</f>
        <v>0</v>
      </c>
      <c r="G1754" s="0" t="n">
        <f aca="true">CRITBINOM(MAX(0,D1754-E1754),1-Coefficients!$B$32,RAND())</f>
        <v>1</v>
      </c>
      <c r="H1754" s="0" t="n">
        <f aca="true">CRITBINOM(MAX(0,$C1754-D1754),MIN(0.6,Matchup!$B$40*SQRT($B1754)/(1-MIN(0.75,Matchup!$B$39*$B1754))),RAND())</f>
        <v>4</v>
      </c>
      <c r="I1754" s="0" t="n">
        <f aca="false">6*D1754+(D1754-E1754-G1754)+2*F1754+3*H1754</f>
        <v>32</v>
      </c>
      <c r="J1754" s="0" t="n">
        <f aca="true">CRITBINOM($C1754,MIN(0.75,Matchup!$C$39*$B1754),RAND())</f>
        <v>1</v>
      </c>
      <c r="K1754" s="0" t="n">
        <f aca="true">CRITBINOM(J1754,Coefficients!$B$30,RAND())</f>
        <v>0</v>
      </c>
      <c r="L1754" s="0" t="n">
        <f aca="true">CRITBINOM(K1754,Coefficients!$B$31,RAND())</f>
        <v>0</v>
      </c>
      <c r="M1754" s="0" t="n">
        <f aca="true">CRITBINOM(MAX(0,J1754-K1754),1-Coefficients!$B$32,RAND())</f>
        <v>0</v>
      </c>
      <c r="N1754" s="0" t="n">
        <f aca="true">CRITBINOM(MAX(0,$C1754-J1754),MIN(0.6,Matchup!$C$40*SQRT($B1754)/(1-MIN(0.75,Matchup!$C$39*$B1754))),RAND())</f>
        <v>3</v>
      </c>
      <c r="O1754" s="0" t="n">
        <f aca="false">6*J1754+(J1754-K1754-M1754)+2*L1754+3*N1754</f>
        <v>16</v>
      </c>
      <c r="P1754" s="0" t="n">
        <f aca="true">RAND()</f>
        <v>0.75184479523824</v>
      </c>
      <c r="Q1754" s="0" t="n">
        <f aca="true">RAND()</f>
        <v>0.9340361661173</v>
      </c>
      <c r="R1754" s="0" t="n">
        <f aca="false">IF($I1754&lt;&gt;$O1754,0,IF(P1754&lt;Matchup!$B$39,7,IF(P1754&lt;Matchup!$B$39+Matchup!$B$40,3,0)))</f>
        <v>0</v>
      </c>
      <c r="S1754" s="0" t="n">
        <f aca="false">IF($I1754&lt;&gt;$O1754,0,IF(Q1754&lt;Matchup!$C$39,7,IF(Q1754&lt;Matchup!$C$39+Matchup!$C$40,3,0)))</f>
        <v>0</v>
      </c>
      <c r="T1754" s="0" t="n">
        <f aca="false">I1754+R1754</f>
        <v>32</v>
      </c>
      <c r="U1754" s="0" t="n">
        <f aca="false">O1754+S1754</f>
        <v>16</v>
      </c>
      <c r="V1754" s="0" t="n">
        <f aca="false">T1754-U1754</f>
        <v>16</v>
      </c>
      <c r="W1754" s="0" t="n">
        <f aca="false">T1754+U1754</f>
        <v>48</v>
      </c>
    </row>
    <row r="1755" customFormat="false" ht="15" hidden="false" customHeight="false" outlineLevel="0" collapsed="false">
      <c r="A1755" s="0" t="n">
        <v>1752</v>
      </c>
      <c r="B1755" s="0" t="n">
        <f aca="true">NORMINV(RAND(),1,Coefficients!$B$22)</f>
        <v>1.00254570472494</v>
      </c>
      <c r="C1755" s="0" t="n">
        <f aca="true">MEDIAN(8,16,ROUND(NORMINV(RAND(),Coefficients!$B$20,Coefficients!$B$21),0))</f>
        <v>13</v>
      </c>
      <c r="D1755" s="0" t="n">
        <f aca="true">CRITBINOM($C1755,MIN(0.75,Matchup!$B$39*$B1755),RAND())</f>
        <v>5</v>
      </c>
      <c r="E1755" s="0" t="n">
        <f aca="true">CRITBINOM(D1755,Coefficients!$B$30,RAND())</f>
        <v>0</v>
      </c>
      <c r="F1755" s="0" t="n">
        <f aca="true">CRITBINOM(E1755,Coefficients!$B$31,RAND())</f>
        <v>0</v>
      </c>
      <c r="G1755" s="0" t="n">
        <f aca="true">CRITBINOM(MAX(0,D1755-E1755),1-Coefficients!$B$32,RAND())</f>
        <v>0</v>
      </c>
      <c r="H1755" s="0" t="n">
        <f aca="true">CRITBINOM(MAX(0,$C1755-D1755),MIN(0.6,Matchup!$B$40*SQRT($B1755)/(1-MIN(0.75,Matchup!$B$39*$B1755))),RAND())</f>
        <v>2</v>
      </c>
      <c r="I1755" s="0" t="n">
        <f aca="false">6*D1755+(D1755-E1755-G1755)+2*F1755+3*H1755</f>
        <v>41</v>
      </c>
      <c r="J1755" s="0" t="n">
        <f aca="true">CRITBINOM($C1755,MIN(0.75,Matchup!$C$39*$B1755),RAND())</f>
        <v>2</v>
      </c>
      <c r="K1755" s="0" t="n">
        <f aca="true">CRITBINOM(J1755,Coefficients!$B$30,RAND())</f>
        <v>0</v>
      </c>
      <c r="L1755" s="0" t="n">
        <f aca="true">CRITBINOM(K1755,Coefficients!$B$31,RAND())</f>
        <v>0</v>
      </c>
      <c r="M1755" s="0" t="n">
        <f aca="true">CRITBINOM(MAX(0,J1755-K1755),1-Coefficients!$B$32,RAND())</f>
        <v>0</v>
      </c>
      <c r="N1755" s="0" t="n">
        <f aca="true">CRITBINOM(MAX(0,$C1755-J1755),MIN(0.6,Matchup!$C$40*SQRT($B1755)/(1-MIN(0.75,Matchup!$C$39*$B1755))),RAND())</f>
        <v>0</v>
      </c>
      <c r="O1755" s="0" t="n">
        <f aca="false">6*J1755+(J1755-K1755-M1755)+2*L1755+3*N1755</f>
        <v>14</v>
      </c>
      <c r="P1755" s="0" t="n">
        <f aca="true">RAND()</f>
        <v>0.355079450567711</v>
      </c>
      <c r="Q1755" s="0" t="n">
        <f aca="true">RAND()</f>
        <v>0.234450524897967</v>
      </c>
      <c r="R1755" s="0" t="n">
        <f aca="false">IF($I1755&lt;&gt;$O1755,0,IF(P1755&lt;Matchup!$B$39,7,IF(P1755&lt;Matchup!$B$39+Matchup!$B$40,3,0)))</f>
        <v>0</v>
      </c>
      <c r="S1755" s="0" t="n">
        <f aca="false">IF($I1755&lt;&gt;$O1755,0,IF(Q1755&lt;Matchup!$C$39,7,IF(Q1755&lt;Matchup!$C$39+Matchup!$C$40,3,0)))</f>
        <v>0</v>
      </c>
      <c r="T1755" s="0" t="n">
        <f aca="false">I1755+R1755</f>
        <v>41</v>
      </c>
      <c r="U1755" s="0" t="n">
        <f aca="false">O1755+S1755</f>
        <v>14</v>
      </c>
      <c r="V1755" s="0" t="n">
        <f aca="false">T1755-U1755</f>
        <v>27</v>
      </c>
      <c r="W1755" s="0" t="n">
        <f aca="false">T1755+U1755</f>
        <v>55</v>
      </c>
    </row>
    <row r="1756" customFormat="false" ht="15" hidden="false" customHeight="false" outlineLevel="0" collapsed="false">
      <c r="A1756" s="0" t="n">
        <v>1753</v>
      </c>
      <c r="B1756" s="0" t="n">
        <f aca="true">NORMINV(RAND(),1,Coefficients!$B$22)</f>
        <v>1.00763287861448</v>
      </c>
      <c r="C1756" s="0" t="n">
        <f aca="true">MEDIAN(8,16,ROUND(NORMINV(RAND(),Coefficients!$B$20,Coefficients!$B$21),0))</f>
        <v>10</v>
      </c>
      <c r="D1756" s="0" t="n">
        <f aca="true">CRITBINOM($C1756,MIN(0.75,Matchup!$B$39*$B1756),RAND())</f>
        <v>3</v>
      </c>
      <c r="E1756" s="0" t="n">
        <f aca="true">CRITBINOM(D1756,Coefficients!$B$30,RAND())</f>
        <v>0</v>
      </c>
      <c r="F1756" s="0" t="n">
        <f aca="true">CRITBINOM(E1756,Coefficients!$B$31,RAND())</f>
        <v>0</v>
      </c>
      <c r="G1756" s="0" t="n">
        <f aca="true">CRITBINOM(MAX(0,D1756-E1756),1-Coefficients!$B$32,RAND())</f>
        <v>0</v>
      </c>
      <c r="H1756" s="0" t="n">
        <f aca="true">CRITBINOM(MAX(0,$C1756-D1756),MIN(0.6,Matchup!$B$40*SQRT($B1756)/(1-MIN(0.75,Matchup!$B$39*$B1756))),RAND())</f>
        <v>3</v>
      </c>
      <c r="I1756" s="0" t="n">
        <f aca="false">6*D1756+(D1756-E1756-G1756)+2*F1756+3*H1756</f>
        <v>30</v>
      </c>
      <c r="J1756" s="0" t="n">
        <f aca="true">CRITBINOM($C1756,MIN(0.75,Matchup!$C$39*$B1756),RAND())</f>
        <v>3</v>
      </c>
      <c r="K1756" s="0" t="n">
        <f aca="true">CRITBINOM(J1756,Coefficients!$B$30,RAND())</f>
        <v>1</v>
      </c>
      <c r="L1756" s="0" t="n">
        <f aca="true">CRITBINOM(K1756,Coefficients!$B$31,RAND())</f>
        <v>0</v>
      </c>
      <c r="M1756" s="0" t="n">
        <f aca="true">CRITBINOM(MAX(0,J1756-K1756),1-Coefficients!$B$32,RAND())</f>
        <v>0</v>
      </c>
      <c r="N1756" s="0" t="n">
        <f aca="true">CRITBINOM(MAX(0,$C1756-J1756),MIN(0.6,Matchup!$C$40*SQRT($B1756)/(1-MIN(0.75,Matchup!$C$39*$B1756))),RAND())</f>
        <v>2</v>
      </c>
      <c r="O1756" s="0" t="n">
        <f aca="false">6*J1756+(J1756-K1756-M1756)+2*L1756+3*N1756</f>
        <v>26</v>
      </c>
      <c r="P1756" s="0" t="n">
        <f aca="true">RAND()</f>
        <v>0.0423358775144885</v>
      </c>
      <c r="Q1756" s="0" t="n">
        <f aca="true">RAND()</f>
        <v>0.277553320816247</v>
      </c>
      <c r="R1756" s="0" t="n">
        <f aca="false">IF($I1756&lt;&gt;$O1756,0,IF(P1756&lt;Matchup!$B$39,7,IF(P1756&lt;Matchup!$B$39+Matchup!$B$40,3,0)))</f>
        <v>0</v>
      </c>
      <c r="S1756" s="0" t="n">
        <f aca="false">IF($I1756&lt;&gt;$O1756,0,IF(Q1756&lt;Matchup!$C$39,7,IF(Q1756&lt;Matchup!$C$39+Matchup!$C$40,3,0)))</f>
        <v>0</v>
      </c>
      <c r="T1756" s="0" t="n">
        <f aca="false">I1756+R1756</f>
        <v>30</v>
      </c>
      <c r="U1756" s="0" t="n">
        <f aca="false">O1756+S1756</f>
        <v>26</v>
      </c>
      <c r="V1756" s="0" t="n">
        <f aca="false">T1756-U1756</f>
        <v>4</v>
      </c>
      <c r="W1756" s="0" t="n">
        <f aca="false">T1756+U1756</f>
        <v>56</v>
      </c>
    </row>
    <row r="1757" customFormat="false" ht="15" hidden="false" customHeight="false" outlineLevel="0" collapsed="false">
      <c r="A1757" s="0" t="n">
        <v>1754</v>
      </c>
      <c r="B1757" s="0" t="n">
        <f aca="true">NORMINV(RAND(),1,Coefficients!$B$22)</f>
        <v>0.95386516289182</v>
      </c>
      <c r="C1757" s="0" t="n">
        <f aca="true">MEDIAN(8,16,ROUND(NORMINV(RAND(),Coefficients!$B$20,Coefficients!$B$21),0))</f>
        <v>11</v>
      </c>
      <c r="D1757" s="0" t="n">
        <f aca="true">CRITBINOM($C1757,MIN(0.75,Matchup!$B$39*$B1757),RAND())</f>
        <v>4</v>
      </c>
      <c r="E1757" s="0" t="n">
        <f aca="true">CRITBINOM(D1757,Coefficients!$B$30,RAND())</f>
        <v>2</v>
      </c>
      <c r="F1757" s="0" t="n">
        <f aca="true">CRITBINOM(E1757,Coefficients!$B$31,RAND())</f>
        <v>1</v>
      </c>
      <c r="G1757" s="0" t="n">
        <f aca="true">CRITBINOM(MAX(0,D1757-E1757),1-Coefficients!$B$32,RAND())</f>
        <v>0</v>
      </c>
      <c r="H1757" s="0" t="n">
        <f aca="true">CRITBINOM(MAX(0,$C1757-D1757),MIN(0.6,Matchup!$B$40*SQRT($B1757)/(1-MIN(0.75,Matchup!$B$39*$B1757))),RAND())</f>
        <v>1</v>
      </c>
      <c r="I1757" s="0" t="n">
        <f aca="false">6*D1757+(D1757-E1757-G1757)+2*F1757+3*H1757</f>
        <v>31</v>
      </c>
      <c r="J1757" s="0" t="n">
        <f aca="true">CRITBINOM($C1757,MIN(0.75,Matchup!$C$39*$B1757),RAND())</f>
        <v>3</v>
      </c>
      <c r="K1757" s="0" t="n">
        <f aca="true">CRITBINOM(J1757,Coefficients!$B$30,RAND())</f>
        <v>0</v>
      </c>
      <c r="L1757" s="0" t="n">
        <f aca="true">CRITBINOM(K1757,Coefficients!$B$31,RAND())</f>
        <v>0</v>
      </c>
      <c r="M1757" s="0" t="n">
        <f aca="true">CRITBINOM(MAX(0,J1757-K1757),1-Coefficients!$B$32,RAND())</f>
        <v>0</v>
      </c>
      <c r="N1757" s="0" t="n">
        <f aca="true">CRITBINOM(MAX(0,$C1757-J1757),MIN(0.6,Matchup!$C$40*SQRT($B1757)/(1-MIN(0.75,Matchup!$C$39*$B1757))),RAND())</f>
        <v>1</v>
      </c>
      <c r="O1757" s="0" t="n">
        <f aca="false">6*J1757+(J1757-K1757-M1757)+2*L1757+3*N1757</f>
        <v>24</v>
      </c>
      <c r="P1757" s="0" t="n">
        <f aca="true">RAND()</f>
        <v>0.816520366199308</v>
      </c>
      <c r="Q1757" s="0" t="n">
        <f aca="true">RAND()</f>
        <v>0.362600082126502</v>
      </c>
      <c r="R1757" s="0" t="n">
        <f aca="false">IF($I1757&lt;&gt;$O1757,0,IF(P1757&lt;Matchup!$B$39,7,IF(P1757&lt;Matchup!$B$39+Matchup!$B$40,3,0)))</f>
        <v>0</v>
      </c>
      <c r="S1757" s="0" t="n">
        <f aca="false">IF($I1757&lt;&gt;$O1757,0,IF(Q1757&lt;Matchup!$C$39,7,IF(Q1757&lt;Matchup!$C$39+Matchup!$C$40,3,0)))</f>
        <v>0</v>
      </c>
      <c r="T1757" s="0" t="n">
        <f aca="false">I1757+R1757</f>
        <v>31</v>
      </c>
      <c r="U1757" s="0" t="n">
        <f aca="false">O1757+S1757</f>
        <v>24</v>
      </c>
      <c r="V1757" s="0" t="n">
        <f aca="false">T1757-U1757</f>
        <v>7</v>
      </c>
      <c r="W1757" s="0" t="n">
        <f aca="false">T1757+U1757</f>
        <v>55</v>
      </c>
    </row>
    <row r="1758" customFormat="false" ht="15" hidden="false" customHeight="false" outlineLevel="0" collapsed="false">
      <c r="A1758" s="0" t="n">
        <v>1755</v>
      </c>
      <c r="B1758" s="0" t="n">
        <f aca="true">NORMINV(RAND(),1,Coefficients!$B$22)</f>
        <v>1.02227040523147</v>
      </c>
      <c r="C1758" s="0" t="n">
        <f aca="true">MEDIAN(8,16,ROUND(NORMINV(RAND(),Coefficients!$B$20,Coefficients!$B$21),0))</f>
        <v>12</v>
      </c>
      <c r="D1758" s="0" t="n">
        <f aca="true">CRITBINOM($C1758,MIN(0.75,Matchup!$B$39*$B1758),RAND())</f>
        <v>6</v>
      </c>
      <c r="E1758" s="0" t="n">
        <f aca="true">CRITBINOM(D1758,Coefficients!$B$30,RAND())</f>
        <v>0</v>
      </c>
      <c r="F1758" s="0" t="n">
        <f aca="true">CRITBINOM(E1758,Coefficients!$B$31,RAND())</f>
        <v>0</v>
      </c>
      <c r="G1758" s="0" t="n">
        <f aca="true">CRITBINOM(MAX(0,D1758-E1758),1-Coefficients!$B$32,RAND())</f>
        <v>0</v>
      </c>
      <c r="H1758" s="0" t="n">
        <f aca="true">CRITBINOM(MAX(0,$C1758-D1758),MIN(0.6,Matchup!$B$40*SQRT($B1758)/(1-MIN(0.75,Matchup!$B$39*$B1758))),RAND())</f>
        <v>2</v>
      </c>
      <c r="I1758" s="0" t="n">
        <f aca="false">6*D1758+(D1758-E1758-G1758)+2*F1758+3*H1758</f>
        <v>48</v>
      </c>
      <c r="J1758" s="0" t="n">
        <f aca="true">CRITBINOM($C1758,MIN(0.75,Matchup!$C$39*$B1758),RAND())</f>
        <v>4</v>
      </c>
      <c r="K1758" s="0" t="n">
        <f aca="true">CRITBINOM(J1758,Coefficients!$B$30,RAND())</f>
        <v>0</v>
      </c>
      <c r="L1758" s="0" t="n">
        <f aca="true">CRITBINOM(K1758,Coefficients!$B$31,RAND())</f>
        <v>0</v>
      </c>
      <c r="M1758" s="0" t="n">
        <f aca="true">CRITBINOM(MAX(0,J1758-K1758),1-Coefficients!$B$32,RAND())</f>
        <v>0</v>
      </c>
      <c r="N1758" s="0" t="n">
        <f aca="true">CRITBINOM(MAX(0,$C1758-J1758),MIN(0.6,Matchup!$C$40*SQRT($B1758)/(1-MIN(0.75,Matchup!$C$39*$B1758))),RAND())</f>
        <v>3</v>
      </c>
      <c r="O1758" s="0" t="n">
        <f aca="false">6*J1758+(J1758-K1758-M1758)+2*L1758+3*N1758</f>
        <v>37</v>
      </c>
      <c r="P1758" s="0" t="n">
        <f aca="true">RAND()</f>
        <v>0.79127499850714</v>
      </c>
      <c r="Q1758" s="0" t="n">
        <f aca="true">RAND()</f>
        <v>0.0339486351583719</v>
      </c>
      <c r="R1758" s="0" t="n">
        <f aca="false">IF($I1758&lt;&gt;$O1758,0,IF(P1758&lt;Matchup!$B$39,7,IF(P1758&lt;Matchup!$B$39+Matchup!$B$40,3,0)))</f>
        <v>0</v>
      </c>
      <c r="S1758" s="0" t="n">
        <f aca="false">IF($I1758&lt;&gt;$O1758,0,IF(Q1758&lt;Matchup!$C$39,7,IF(Q1758&lt;Matchup!$C$39+Matchup!$C$40,3,0)))</f>
        <v>0</v>
      </c>
      <c r="T1758" s="0" t="n">
        <f aca="false">I1758+R1758</f>
        <v>48</v>
      </c>
      <c r="U1758" s="0" t="n">
        <f aca="false">O1758+S1758</f>
        <v>37</v>
      </c>
      <c r="V1758" s="0" t="n">
        <f aca="false">T1758-U1758</f>
        <v>11</v>
      </c>
      <c r="W1758" s="0" t="n">
        <f aca="false">T1758+U1758</f>
        <v>85</v>
      </c>
    </row>
    <row r="1759" customFormat="false" ht="15" hidden="false" customHeight="false" outlineLevel="0" collapsed="false">
      <c r="A1759" s="0" t="n">
        <v>1756</v>
      </c>
      <c r="B1759" s="0" t="n">
        <f aca="true">NORMINV(RAND(),1,Coefficients!$B$22)</f>
        <v>0.947254454392796</v>
      </c>
      <c r="C1759" s="0" t="n">
        <f aca="true">MEDIAN(8,16,ROUND(NORMINV(RAND(),Coefficients!$B$20,Coefficients!$B$21),0))</f>
        <v>10</v>
      </c>
      <c r="D1759" s="0" t="n">
        <f aca="true">CRITBINOM($C1759,MIN(0.75,Matchup!$B$39*$B1759),RAND())</f>
        <v>0</v>
      </c>
      <c r="E1759" s="0" t="n">
        <f aca="true">CRITBINOM(D1759,Coefficients!$B$30,RAND())</f>
        <v>0</v>
      </c>
      <c r="F1759" s="0" t="n">
        <f aca="true">CRITBINOM(E1759,Coefficients!$B$31,RAND())</f>
        <v>0</v>
      </c>
      <c r="G1759" s="0" t="n">
        <f aca="true">CRITBINOM(MAX(0,D1759-E1759),1-Coefficients!$B$32,RAND())</f>
        <v>0</v>
      </c>
      <c r="H1759" s="0" t="n">
        <f aca="true">CRITBINOM(MAX(0,$C1759-D1759),MIN(0.6,Matchup!$B$40*SQRT($B1759)/(1-MIN(0.75,Matchup!$B$39*$B1759))),RAND())</f>
        <v>1</v>
      </c>
      <c r="I1759" s="0" t="n">
        <f aca="false">6*D1759+(D1759-E1759-G1759)+2*F1759+3*H1759</f>
        <v>3</v>
      </c>
      <c r="J1759" s="0" t="n">
        <f aca="true">CRITBINOM($C1759,MIN(0.75,Matchup!$C$39*$B1759),RAND())</f>
        <v>1</v>
      </c>
      <c r="K1759" s="0" t="n">
        <f aca="true">CRITBINOM(J1759,Coefficients!$B$30,RAND())</f>
        <v>0</v>
      </c>
      <c r="L1759" s="0" t="n">
        <f aca="true">CRITBINOM(K1759,Coefficients!$B$31,RAND())</f>
        <v>0</v>
      </c>
      <c r="M1759" s="0" t="n">
        <f aca="true">CRITBINOM(MAX(0,J1759-K1759),1-Coefficients!$B$32,RAND())</f>
        <v>0</v>
      </c>
      <c r="N1759" s="0" t="n">
        <f aca="true">CRITBINOM(MAX(0,$C1759-J1759),MIN(0.6,Matchup!$C$40*SQRT($B1759)/(1-MIN(0.75,Matchup!$C$39*$B1759))),RAND())</f>
        <v>1</v>
      </c>
      <c r="O1759" s="0" t="n">
        <f aca="false">6*J1759+(J1759-K1759-M1759)+2*L1759+3*N1759</f>
        <v>10</v>
      </c>
      <c r="P1759" s="0" t="n">
        <f aca="true">RAND()</f>
        <v>0.491970343032451</v>
      </c>
      <c r="Q1759" s="0" t="n">
        <f aca="true">RAND()</f>
        <v>0.381395777859328</v>
      </c>
      <c r="R1759" s="0" t="n">
        <f aca="false">IF($I1759&lt;&gt;$O1759,0,IF(P1759&lt;Matchup!$B$39,7,IF(P1759&lt;Matchup!$B$39+Matchup!$B$40,3,0)))</f>
        <v>0</v>
      </c>
      <c r="S1759" s="0" t="n">
        <f aca="false">IF($I1759&lt;&gt;$O1759,0,IF(Q1759&lt;Matchup!$C$39,7,IF(Q1759&lt;Matchup!$C$39+Matchup!$C$40,3,0)))</f>
        <v>0</v>
      </c>
      <c r="T1759" s="0" t="n">
        <f aca="false">I1759+R1759</f>
        <v>3</v>
      </c>
      <c r="U1759" s="0" t="n">
        <f aca="false">O1759+S1759</f>
        <v>10</v>
      </c>
      <c r="V1759" s="0" t="n">
        <f aca="false">T1759-U1759</f>
        <v>-7</v>
      </c>
      <c r="W1759" s="0" t="n">
        <f aca="false">T1759+U1759</f>
        <v>13</v>
      </c>
    </row>
    <row r="1760" customFormat="false" ht="15" hidden="false" customHeight="false" outlineLevel="0" collapsed="false">
      <c r="A1760" s="0" t="n">
        <v>1757</v>
      </c>
      <c r="B1760" s="0" t="n">
        <f aca="true">NORMINV(RAND(),1,Coefficients!$B$22)</f>
        <v>0.912939414366684</v>
      </c>
      <c r="C1760" s="0" t="n">
        <f aca="true">MEDIAN(8,16,ROUND(NORMINV(RAND(),Coefficients!$B$20,Coefficients!$B$21),0))</f>
        <v>11</v>
      </c>
      <c r="D1760" s="0" t="n">
        <f aca="true">CRITBINOM($C1760,MIN(0.75,Matchup!$B$39*$B1760),RAND())</f>
        <v>4</v>
      </c>
      <c r="E1760" s="0" t="n">
        <f aca="true">CRITBINOM(D1760,Coefficients!$B$30,RAND())</f>
        <v>0</v>
      </c>
      <c r="F1760" s="0" t="n">
        <f aca="true">CRITBINOM(E1760,Coefficients!$B$31,RAND())</f>
        <v>0</v>
      </c>
      <c r="G1760" s="0" t="n">
        <f aca="true">CRITBINOM(MAX(0,D1760-E1760),1-Coefficients!$B$32,RAND())</f>
        <v>0</v>
      </c>
      <c r="H1760" s="0" t="n">
        <f aca="true">CRITBINOM(MAX(0,$C1760-D1760),MIN(0.6,Matchup!$B$40*SQRT($B1760)/(1-MIN(0.75,Matchup!$B$39*$B1760))),RAND())</f>
        <v>3</v>
      </c>
      <c r="I1760" s="0" t="n">
        <f aca="false">6*D1760+(D1760-E1760-G1760)+2*F1760+3*H1760</f>
        <v>37</v>
      </c>
      <c r="J1760" s="0" t="n">
        <f aca="true">CRITBINOM($C1760,MIN(0.75,Matchup!$C$39*$B1760),RAND())</f>
        <v>3</v>
      </c>
      <c r="K1760" s="0" t="n">
        <f aca="true">CRITBINOM(J1760,Coefficients!$B$30,RAND())</f>
        <v>0</v>
      </c>
      <c r="L1760" s="0" t="n">
        <f aca="true">CRITBINOM(K1760,Coefficients!$B$31,RAND())</f>
        <v>0</v>
      </c>
      <c r="M1760" s="0" t="n">
        <f aca="true">CRITBINOM(MAX(0,J1760-K1760),1-Coefficients!$B$32,RAND())</f>
        <v>0</v>
      </c>
      <c r="N1760" s="0" t="n">
        <f aca="true">CRITBINOM(MAX(0,$C1760-J1760),MIN(0.6,Matchup!$C$40*SQRT($B1760)/(1-MIN(0.75,Matchup!$C$39*$B1760))),RAND())</f>
        <v>2</v>
      </c>
      <c r="O1760" s="0" t="n">
        <f aca="false">6*J1760+(J1760-K1760-M1760)+2*L1760+3*N1760</f>
        <v>27</v>
      </c>
      <c r="P1760" s="0" t="n">
        <f aca="true">RAND()</f>
        <v>0.751738779497703</v>
      </c>
      <c r="Q1760" s="0" t="n">
        <f aca="true">RAND()</f>
        <v>0.850369320660202</v>
      </c>
      <c r="R1760" s="0" t="n">
        <f aca="false">IF($I1760&lt;&gt;$O1760,0,IF(P1760&lt;Matchup!$B$39,7,IF(P1760&lt;Matchup!$B$39+Matchup!$B$40,3,0)))</f>
        <v>0</v>
      </c>
      <c r="S1760" s="0" t="n">
        <f aca="false">IF($I1760&lt;&gt;$O1760,0,IF(Q1760&lt;Matchup!$C$39,7,IF(Q1760&lt;Matchup!$C$39+Matchup!$C$40,3,0)))</f>
        <v>0</v>
      </c>
      <c r="T1760" s="0" t="n">
        <f aca="false">I1760+R1760</f>
        <v>37</v>
      </c>
      <c r="U1760" s="0" t="n">
        <f aca="false">O1760+S1760</f>
        <v>27</v>
      </c>
      <c r="V1760" s="0" t="n">
        <f aca="false">T1760-U1760</f>
        <v>10</v>
      </c>
      <c r="W1760" s="0" t="n">
        <f aca="false">T1760+U1760</f>
        <v>64</v>
      </c>
    </row>
    <row r="1761" customFormat="false" ht="15" hidden="false" customHeight="false" outlineLevel="0" collapsed="false">
      <c r="A1761" s="0" t="n">
        <v>1758</v>
      </c>
      <c r="B1761" s="0" t="n">
        <f aca="true">NORMINV(RAND(),1,Coefficients!$B$22)</f>
        <v>0.921971534502654</v>
      </c>
      <c r="C1761" s="0" t="n">
        <f aca="true">MEDIAN(8,16,ROUND(NORMINV(RAND(),Coefficients!$B$20,Coefficients!$B$21),0))</f>
        <v>11</v>
      </c>
      <c r="D1761" s="0" t="n">
        <f aca="true">CRITBINOM($C1761,MIN(0.75,Matchup!$B$39*$B1761),RAND())</f>
        <v>2</v>
      </c>
      <c r="E1761" s="0" t="n">
        <f aca="true">CRITBINOM(D1761,Coefficients!$B$30,RAND())</f>
        <v>0</v>
      </c>
      <c r="F1761" s="0" t="n">
        <f aca="true">CRITBINOM(E1761,Coefficients!$B$31,RAND())</f>
        <v>0</v>
      </c>
      <c r="G1761" s="0" t="n">
        <f aca="true">CRITBINOM(MAX(0,D1761-E1761),1-Coefficients!$B$32,RAND())</f>
        <v>0</v>
      </c>
      <c r="H1761" s="0" t="n">
        <f aca="true">CRITBINOM(MAX(0,$C1761-D1761),MIN(0.6,Matchup!$B$40*SQRT($B1761)/(1-MIN(0.75,Matchup!$B$39*$B1761))),RAND())</f>
        <v>0</v>
      </c>
      <c r="I1761" s="0" t="n">
        <f aca="false">6*D1761+(D1761-E1761-G1761)+2*F1761+3*H1761</f>
        <v>14</v>
      </c>
      <c r="J1761" s="0" t="n">
        <f aca="true">CRITBINOM($C1761,MIN(0.75,Matchup!$C$39*$B1761),RAND())</f>
        <v>3</v>
      </c>
      <c r="K1761" s="0" t="n">
        <f aca="true">CRITBINOM(J1761,Coefficients!$B$30,RAND())</f>
        <v>0</v>
      </c>
      <c r="L1761" s="0" t="n">
        <f aca="true">CRITBINOM(K1761,Coefficients!$B$31,RAND())</f>
        <v>0</v>
      </c>
      <c r="M1761" s="0" t="n">
        <f aca="true">CRITBINOM(MAX(0,J1761-K1761),1-Coefficients!$B$32,RAND())</f>
        <v>0</v>
      </c>
      <c r="N1761" s="0" t="n">
        <f aca="true">CRITBINOM(MAX(0,$C1761-J1761),MIN(0.6,Matchup!$C$40*SQRT($B1761)/(1-MIN(0.75,Matchup!$C$39*$B1761))),RAND())</f>
        <v>2</v>
      </c>
      <c r="O1761" s="0" t="n">
        <f aca="false">6*J1761+(J1761-K1761-M1761)+2*L1761+3*N1761</f>
        <v>27</v>
      </c>
      <c r="P1761" s="0" t="n">
        <f aca="true">RAND()</f>
        <v>0.146119512814474</v>
      </c>
      <c r="Q1761" s="0" t="n">
        <f aca="true">RAND()</f>
        <v>0.390763795322017</v>
      </c>
      <c r="R1761" s="0" t="n">
        <f aca="false">IF($I1761&lt;&gt;$O1761,0,IF(P1761&lt;Matchup!$B$39,7,IF(P1761&lt;Matchup!$B$39+Matchup!$B$40,3,0)))</f>
        <v>0</v>
      </c>
      <c r="S1761" s="0" t="n">
        <f aca="false">IF($I1761&lt;&gt;$O1761,0,IF(Q1761&lt;Matchup!$C$39,7,IF(Q1761&lt;Matchup!$C$39+Matchup!$C$40,3,0)))</f>
        <v>0</v>
      </c>
      <c r="T1761" s="0" t="n">
        <f aca="false">I1761+R1761</f>
        <v>14</v>
      </c>
      <c r="U1761" s="0" t="n">
        <f aca="false">O1761+S1761</f>
        <v>27</v>
      </c>
      <c r="V1761" s="0" t="n">
        <f aca="false">T1761-U1761</f>
        <v>-13</v>
      </c>
      <c r="W1761" s="0" t="n">
        <f aca="false">T1761+U1761</f>
        <v>41</v>
      </c>
    </row>
    <row r="1762" customFormat="false" ht="15" hidden="false" customHeight="false" outlineLevel="0" collapsed="false">
      <c r="A1762" s="0" t="n">
        <v>1759</v>
      </c>
      <c r="B1762" s="0" t="n">
        <f aca="true">NORMINV(RAND(),1,Coefficients!$B$22)</f>
        <v>0.986318533966014</v>
      </c>
      <c r="C1762" s="0" t="n">
        <f aca="true">MEDIAN(8,16,ROUND(NORMINV(RAND(),Coefficients!$B$20,Coefficients!$B$21),0))</f>
        <v>11</v>
      </c>
      <c r="D1762" s="0" t="n">
        <f aca="true">CRITBINOM($C1762,MIN(0.75,Matchup!$B$39*$B1762),RAND())</f>
        <v>2</v>
      </c>
      <c r="E1762" s="0" t="n">
        <f aca="true">CRITBINOM(D1762,Coefficients!$B$30,RAND())</f>
        <v>0</v>
      </c>
      <c r="F1762" s="0" t="n">
        <f aca="true">CRITBINOM(E1762,Coefficients!$B$31,RAND())</f>
        <v>0</v>
      </c>
      <c r="G1762" s="0" t="n">
        <f aca="true">CRITBINOM(MAX(0,D1762-E1762),1-Coefficients!$B$32,RAND())</f>
        <v>0</v>
      </c>
      <c r="H1762" s="0" t="n">
        <f aca="true">CRITBINOM(MAX(0,$C1762-D1762),MIN(0.6,Matchup!$B$40*SQRT($B1762)/(1-MIN(0.75,Matchup!$B$39*$B1762))),RAND())</f>
        <v>1</v>
      </c>
      <c r="I1762" s="0" t="n">
        <f aca="false">6*D1762+(D1762-E1762-G1762)+2*F1762+3*H1762</f>
        <v>17</v>
      </c>
      <c r="J1762" s="0" t="n">
        <f aca="true">CRITBINOM($C1762,MIN(0.75,Matchup!$C$39*$B1762),RAND())</f>
        <v>2</v>
      </c>
      <c r="K1762" s="0" t="n">
        <f aca="true">CRITBINOM(J1762,Coefficients!$B$30,RAND())</f>
        <v>1</v>
      </c>
      <c r="L1762" s="0" t="n">
        <f aca="true">CRITBINOM(K1762,Coefficients!$B$31,RAND())</f>
        <v>1</v>
      </c>
      <c r="M1762" s="0" t="n">
        <f aca="true">CRITBINOM(MAX(0,J1762-K1762),1-Coefficients!$B$32,RAND())</f>
        <v>0</v>
      </c>
      <c r="N1762" s="0" t="n">
        <f aca="true">CRITBINOM(MAX(0,$C1762-J1762),MIN(0.6,Matchup!$C$40*SQRT($B1762)/(1-MIN(0.75,Matchup!$C$39*$B1762))),RAND())</f>
        <v>1</v>
      </c>
      <c r="O1762" s="0" t="n">
        <f aca="false">6*J1762+(J1762-K1762-M1762)+2*L1762+3*N1762</f>
        <v>18</v>
      </c>
      <c r="P1762" s="0" t="n">
        <f aca="true">RAND()</f>
        <v>0.498813050168769</v>
      </c>
      <c r="Q1762" s="0" t="n">
        <f aca="true">RAND()</f>
        <v>0.677062529527061</v>
      </c>
      <c r="R1762" s="0" t="n">
        <f aca="false">IF($I1762&lt;&gt;$O1762,0,IF(P1762&lt;Matchup!$B$39,7,IF(P1762&lt;Matchup!$B$39+Matchup!$B$40,3,0)))</f>
        <v>0</v>
      </c>
      <c r="S1762" s="0" t="n">
        <f aca="false">IF($I1762&lt;&gt;$O1762,0,IF(Q1762&lt;Matchup!$C$39,7,IF(Q1762&lt;Matchup!$C$39+Matchup!$C$40,3,0)))</f>
        <v>0</v>
      </c>
      <c r="T1762" s="0" t="n">
        <f aca="false">I1762+R1762</f>
        <v>17</v>
      </c>
      <c r="U1762" s="0" t="n">
        <f aca="false">O1762+S1762</f>
        <v>18</v>
      </c>
      <c r="V1762" s="0" t="n">
        <f aca="false">T1762-U1762</f>
        <v>-1</v>
      </c>
      <c r="W1762" s="0" t="n">
        <f aca="false">T1762+U1762</f>
        <v>35</v>
      </c>
    </row>
    <row r="1763" customFormat="false" ht="15" hidden="false" customHeight="false" outlineLevel="0" collapsed="false">
      <c r="A1763" s="0" t="n">
        <v>1760</v>
      </c>
      <c r="B1763" s="0" t="n">
        <f aca="true">NORMINV(RAND(),1,Coefficients!$B$22)</f>
        <v>0.872159539414699</v>
      </c>
      <c r="C1763" s="0" t="n">
        <f aca="true">MEDIAN(8,16,ROUND(NORMINV(RAND(),Coefficients!$B$20,Coefficients!$B$21),0))</f>
        <v>11</v>
      </c>
      <c r="D1763" s="0" t="n">
        <f aca="true">CRITBINOM($C1763,MIN(0.75,Matchup!$B$39*$B1763),RAND())</f>
        <v>1</v>
      </c>
      <c r="E1763" s="0" t="n">
        <f aca="true">CRITBINOM(D1763,Coefficients!$B$30,RAND())</f>
        <v>1</v>
      </c>
      <c r="F1763" s="0" t="n">
        <f aca="true">CRITBINOM(E1763,Coefficients!$B$31,RAND())</f>
        <v>0</v>
      </c>
      <c r="G1763" s="0" t="n">
        <f aca="true">CRITBINOM(MAX(0,D1763-E1763),1-Coefficients!$B$32,RAND())</f>
        <v>0</v>
      </c>
      <c r="H1763" s="0" t="n">
        <f aca="true">CRITBINOM(MAX(0,$C1763-D1763),MIN(0.6,Matchup!$B$40*SQRT($B1763)/(1-MIN(0.75,Matchup!$B$39*$B1763))),RAND())</f>
        <v>4</v>
      </c>
      <c r="I1763" s="0" t="n">
        <f aca="false">6*D1763+(D1763-E1763-G1763)+2*F1763+3*H1763</f>
        <v>18</v>
      </c>
      <c r="J1763" s="0" t="n">
        <f aca="true">CRITBINOM($C1763,MIN(0.75,Matchup!$C$39*$B1763),RAND())</f>
        <v>2</v>
      </c>
      <c r="K1763" s="0" t="n">
        <f aca="true">CRITBINOM(J1763,Coefficients!$B$30,RAND())</f>
        <v>1</v>
      </c>
      <c r="L1763" s="0" t="n">
        <f aca="true">CRITBINOM(K1763,Coefficients!$B$31,RAND())</f>
        <v>1</v>
      </c>
      <c r="M1763" s="0" t="n">
        <f aca="true">CRITBINOM(MAX(0,J1763-K1763),1-Coefficients!$B$32,RAND())</f>
        <v>0</v>
      </c>
      <c r="N1763" s="0" t="n">
        <f aca="true">CRITBINOM(MAX(0,$C1763-J1763),MIN(0.6,Matchup!$C$40*SQRT($B1763)/(1-MIN(0.75,Matchup!$C$39*$B1763))),RAND())</f>
        <v>1</v>
      </c>
      <c r="O1763" s="0" t="n">
        <f aca="false">6*J1763+(J1763-K1763-M1763)+2*L1763+3*N1763</f>
        <v>18</v>
      </c>
      <c r="P1763" s="0" t="n">
        <f aca="true">RAND()</f>
        <v>0.375978143507688</v>
      </c>
      <c r="Q1763" s="0" t="n">
        <f aca="true">RAND()</f>
        <v>0.96021642913513</v>
      </c>
      <c r="R1763" s="0" t="n">
        <f aca="false">IF($I1763&lt;&gt;$O1763,0,IF(P1763&lt;Matchup!$B$39,7,IF(P1763&lt;Matchup!$B$39+Matchup!$B$40,3,0)))</f>
        <v>3</v>
      </c>
      <c r="S1763" s="0" t="n">
        <f aca="false">IF($I1763&lt;&gt;$O1763,0,IF(Q1763&lt;Matchup!$C$39,7,IF(Q1763&lt;Matchup!$C$39+Matchup!$C$40,3,0)))</f>
        <v>0</v>
      </c>
      <c r="T1763" s="0" t="n">
        <f aca="false">I1763+R1763</f>
        <v>21</v>
      </c>
      <c r="U1763" s="0" t="n">
        <f aca="false">O1763+S1763</f>
        <v>18</v>
      </c>
      <c r="V1763" s="0" t="n">
        <f aca="false">T1763-U1763</f>
        <v>3</v>
      </c>
      <c r="W1763" s="0" t="n">
        <f aca="false">T1763+U1763</f>
        <v>39</v>
      </c>
    </row>
    <row r="1764" customFormat="false" ht="15" hidden="false" customHeight="false" outlineLevel="0" collapsed="false">
      <c r="A1764" s="0" t="n">
        <v>1761</v>
      </c>
      <c r="B1764" s="0" t="n">
        <f aca="true">NORMINV(RAND(),1,Coefficients!$B$22)</f>
        <v>1.04053993386611</v>
      </c>
      <c r="C1764" s="0" t="n">
        <f aca="true">MEDIAN(8,16,ROUND(NORMINV(RAND(),Coefficients!$B$20,Coefficients!$B$21),0))</f>
        <v>10</v>
      </c>
      <c r="D1764" s="0" t="n">
        <f aca="true">CRITBINOM($C1764,MIN(0.75,Matchup!$B$39*$B1764),RAND())</f>
        <v>2</v>
      </c>
      <c r="E1764" s="0" t="n">
        <f aca="true">CRITBINOM(D1764,Coefficients!$B$30,RAND())</f>
        <v>0</v>
      </c>
      <c r="F1764" s="0" t="n">
        <f aca="true">CRITBINOM(E1764,Coefficients!$B$31,RAND())</f>
        <v>0</v>
      </c>
      <c r="G1764" s="0" t="n">
        <f aca="true">CRITBINOM(MAX(0,D1764-E1764),1-Coefficients!$B$32,RAND())</f>
        <v>0</v>
      </c>
      <c r="H1764" s="0" t="n">
        <f aca="true">CRITBINOM(MAX(0,$C1764-D1764),MIN(0.6,Matchup!$B$40*SQRT($B1764)/(1-MIN(0.75,Matchup!$B$39*$B1764))),RAND())</f>
        <v>3</v>
      </c>
      <c r="I1764" s="0" t="n">
        <f aca="false">6*D1764+(D1764-E1764-G1764)+2*F1764+3*H1764</f>
        <v>23</v>
      </c>
      <c r="J1764" s="0" t="n">
        <f aca="true">CRITBINOM($C1764,MIN(0.75,Matchup!$C$39*$B1764),RAND())</f>
        <v>2</v>
      </c>
      <c r="K1764" s="0" t="n">
        <f aca="true">CRITBINOM(J1764,Coefficients!$B$30,RAND())</f>
        <v>0</v>
      </c>
      <c r="L1764" s="0" t="n">
        <f aca="true">CRITBINOM(K1764,Coefficients!$B$31,RAND())</f>
        <v>0</v>
      </c>
      <c r="M1764" s="0" t="n">
        <f aca="true">CRITBINOM(MAX(0,J1764-K1764),1-Coefficients!$B$32,RAND())</f>
        <v>0</v>
      </c>
      <c r="N1764" s="0" t="n">
        <f aca="true">CRITBINOM(MAX(0,$C1764-J1764),MIN(0.6,Matchup!$C$40*SQRT($B1764)/(1-MIN(0.75,Matchup!$C$39*$B1764))),RAND())</f>
        <v>0</v>
      </c>
      <c r="O1764" s="0" t="n">
        <f aca="false">6*J1764+(J1764-K1764-M1764)+2*L1764+3*N1764</f>
        <v>14</v>
      </c>
      <c r="P1764" s="0" t="n">
        <f aca="true">RAND()</f>
        <v>0.0912368833090401</v>
      </c>
      <c r="Q1764" s="0" t="n">
        <f aca="true">RAND()</f>
        <v>0.672861192193102</v>
      </c>
      <c r="R1764" s="0" t="n">
        <f aca="false">IF($I1764&lt;&gt;$O1764,0,IF(P1764&lt;Matchup!$B$39,7,IF(P1764&lt;Matchup!$B$39+Matchup!$B$40,3,0)))</f>
        <v>0</v>
      </c>
      <c r="S1764" s="0" t="n">
        <f aca="false">IF($I1764&lt;&gt;$O1764,0,IF(Q1764&lt;Matchup!$C$39,7,IF(Q1764&lt;Matchup!$C$39+Matchup!$C$40,3,0)))</f>
        <v>0</v>
      </c>
      <c r="T1764" s="0" t="n">
        <f aca="false">I1764+R1764</f>
        <v>23</v>
      </c>
      <c r="U1764" s="0" t="n">
        <f aca="false">O1764+S1764</f>
        <v>14</v>
      </c>
      <c r="V1764" s="0" t="n">
        <f aca="false">T1764-U1764</f>
        <v>9</v>
      </c>
      <c r="W1764" s="0" t="n">
        <f aca="false">T1764+U1764</f>
        <v>37</v>
      </c>
    </row>
    <row r="1765" customFormat="false" ht="15" hidden="false" customHeight="false" outlineLevel="0" collapsed="false">
      <c r="A1765" s="0" t="n">
        <v>1762</v>
      </c>
      <c r="B1765" s="0" t="n">
        <f aca="true">NORMINV(RAND(),1,Coefficients!$B$22)</f>
        <v>0.952597693453613</v>
      </c>
      <c r="C1765" s="0" t="n">
        <f aca="true">MEDIAN(8,16,ROUND(NORMINV(RAND(),Coefficients!$B$20,Coefficients!$B$21),0))</f>
        <v>10</v>
      </c>
      <c r="D1765" s="0" t="n">
        <f aca="true">CRITBINOM($C1765,MIN(0.75,Matchup!$B$39*$B1765),RAND())</f>
        <v>2</v>
      </c>
      <c r="E1765" s="0" t="n">
        <f aca="true">CRITBINOM(D1765,Coefficients!$B$30,RAND())</f>
        <v>0</v>
      </c>
      <c r="F1765" s="0" t="n">
        <f aca="true">CRITBINOM(E1765,Coefficients!$B$31,RAND())</f>
        <v>0</v>
      </c>
      <c r="G1765" s="0" t="n">
        <f aca="true">CRITBINOM(MAX(0,D1765-E1765),1-Coefficients!$B$32,RAND())</f>
        <v>0</v>
      </c>
      <c r="H1765" s="0" t="n">
        <f aca="true">CRITBINOM(MAX(0,$C1765-D1765),MIN(0.6,Matchup!$B$40*SQRT($B1765)/(1-MIN(0.75,Matchup!$B$39*$B1765))),RAND())</f>
        <v>1</v>
      </c>
      <c r="I1765" s="0" t="n">
        <f aca="false">6*D1765+(D1765-E1765-G1765)+2*F1765+3*H1765</f>
        <v>17</v>
      </c>
      <c r="J1765" s="0" t="n">
        <f aca="true">CRITBINOM($C1765,MIN(0.75,Matchup!$C$39*$B1765),RAND())</f>
        <v>0</v>
      </c>
      <c r="K1765" s="0" t="n">
        <f aca="true">CRITBINOM(J1765,Coefficients!$B$30,RAND())</f>
        <v>0</v>
      </c>
      <c r="L1765" s="0" t="n">
        <f aca="true">CRITBINOM(K1765,Coefficients!$B$31,RAND())</f>
        <v>0</v>
      </c>
      <c r="M1765" s="0" t="n">
        <f aca="true">CRITBINOM(MAX(0,J1765-K1765),1-Coefficients!$B$32,RAND())</f>
        <v>0</v>
      </c>
      <c r="N1765" s="0" t="n">
        <f aca="true">CRITBINOM(MAX(0,$C1765-J1765),MIN(0.6,Matchup!$C$40*SQRT($B1765)/(1-MIN(0.75,Matchup!$C$39*$B1765))),RAND())</f>
        <v>1</v>
      </c>
      <c r="O1765" s="0" t="n">
        <f aca="false">6*J1765+(J1765-K1765-M1765)+2*L1765+3*N1765</f>
        <v>3</v>
      </c>
      <c r="P1765" s="0" t="n">
        <f aca="true">RAND()</f>
        <v>0.384796928946396</v>
      </c>
      <c r="Q1765" s="0" t="n">
        <f aca="true">RAND()</f>
        <v>0.0571877627489904</v>
      </c>
      <c r="R1765" s="0" t="n">
        <f aca="false">IF($I1765&lt;&gt;$O1765,0,IF(P1765&lt;Matchup!$B$39,7,IF(P1765&lt;Matchup!$B$39+Matchup!$B$40,3,0)))</f>
        <v>0</v>
      </c>
      <c r="S1765" s="0" t="n">
        <f aca="false">IF($I1765&lt;&gt;$O1765,0,IF(Q1765&lt;Matchup!$C$39,7,IF(Q1765&lt;Matchup!$C$39+Matchup!$C$40,3,0)))</f>
        <v>0</v>
      </c>
      <c r="T1765" s="0" t="n">
        <f aca="false">I1765+R1765</f>
        <v>17</v>
      </c>
      <c r="U1765" s="0" t="n">
        <f aca="false">O1765+S1765</f>
        <v>3</v>
      </c>
      <c r="V1765" s="0" t="n">
        <f aca="false">T1765-U1765</f>
        <v>14</v>
      </c>
      <c r="W1765" s="0" t="n">
        <f aca="false">T1765+U1765</f>
        <v>20</v>
      </c>
    </row>
    <row r="1766" customFormat="false" ht="15" hidden="false" customHeight="false" outlineLevel="0" collapsed="false">
      <c r="A1766" s="0" t="n">
        <v>1763</v>
      </c>
      <c r="B1766" s="0" t="n">
        <f aca="true">NORMINV(RAND(),1,Coefficients!$B$22)</f>
        <v>0.97685388287094</v>
      </c>
      <c r="C1766" s="0" t="n">
        <f aca="true">MEDIAN(8,16,ROUND(NORMINV(RAND(),Coefficients!$B$20,Coefficients!$B$21),0))</f>
        <v>12</v>
      </c>
      <c r="D1766" s="0" t="n">
        <f aca="true">CRITBINOM($C1766,MIN(0.75,Matchup!$B$39*$B1766),RAND())</f>
        <v>2</v>
      </c>
      <c r="E1766" s="0" t="n">
        <f aca="true">CRITBINOM(D1766,Coefficients!$B$30,RAND())</f>
        <v>0</v>
      </c>
      <c r="F1766" s="0" t="n">
        <f aca="true">CRITBINOM(E1766,Coefficients!$B$31,RAND())</f>
        <v>0</v>
      </c>
      <c r="G1766" s="0" t="n">
        <f aca="true">CRITBINOM(MAX(0,D1766-E1766),1-Coefficients!$B$32,RAND())</f>
        <v>1</v>
      </c>
      <c r="H1766" s="0" t="n">
        <f aca="true">CRITBINOM(MAX(0,$C1766-D1766),MIN(0.6,Matchup!$B$40*SQRT($B1766)/(1-MIN(0.75,Matchup!$B$39*$B1766))),RAND())</f>
        <v>1</v>
      </c>
      <c r="I1766" s="0" t="n">
        <f aca="false">6*D1766+(D1766-E1766-G1766)+2*F1766+3*H1766</f>
        <v>16</v>
      </c>
      <c r="J1766" s="0" t="n">
        <f aca="true">CRITBINOM($C1766,MIN(0.75,Matchup!$C$39*$B1766),RAND())</f>
        <v>2</v>
      </c>
      <c r="K1766" s="0" t="n">
        <f aca="true">CRITBINOM(J1766,Coefficients!$B$30,RAND())</f>
        <v>0</v>
      </c>
      <c r="L1766" s="0" t="n">
        <f aca="true">CRITBINOM(K1766,Coefficients!$B$31,RAND())</f>
        <v>0</v>
      </c>
      <c r="M1766" s="0" t="n">
        <f aca="true">CRITBINOM(MAX(0,J1766-K1766),1-Coefficients!$B$32,RAND())</f>
        <v>0</v>
      </c>
      <c r="N1766" s="0" t="n">
        <f aca="true">CRITBINOM(MAX(0,$C1766-J1766),MIN(0.6,Matchup!$C$40*SQRT($B1766)/(1-MIN(0.75,Matchup!$C$39*$B1766))),RAND())</f>
        <v>0</v>
      </c>
      <c r="O1766" s="0" t="n">
        <f aca="false">6*J1766+(J1766-K1766-M1766)+2*L1766+3*N1766</f>
        <v>14</v>
      </c>
      <c r="P1766" s="0" t="n">
        <f aca="true">RAND()</f>
        <v>0.670799801157325</v>
      </c>
      <c r="Q1766" s="0" t="n">
        <f aca="true">RAND()</f>
        <v>0.568308173511809</v>
      </c>
      <c r="R1766" s="0" t="n">
        <f aca="false">IF($I1766&lt;&gt;$O1766,0,IF(P1766&lt;Matchup!$B$39,7,IF(P1766&lt;Matchup!$B$39+Matchup!$B$40,3,0)))</f>
        <v>0</v>
      </c>
      <c r="S1766" s="0" t="n">
        <f aca="false">IF($I1766&lt;&gt;$O1766,0,IF(Q1766&lt;Matchup!$C$39,7,IF(Q1766&lt;Matchup!$C$39+Matchup!$C$40,3,0)))</f>
        <v>0</v>
      </c>
      <c r="T1766" s="0" t="n">
        <f aca="false">I1766+R1766</f>
        <v>16</v>
      </c>
      <c r="U1766" s="0" t="n">
        <f aca="false">O1766+S1766</f>
        <v>14</v>
      </c>
      <c r="V1766" s="0" t="n">
        <f aca="false">T1766-U1766</f>
        <v>2</v>
      </c>
      <c r="W1766" s="0" t="n">
        <f aca="false">T1766+U1766</f>
        <v>30</v>
      </c>
    </row>
    <row r="1767" customFormat="false" ht="15" hidden="false" customHeight="false" outlineLevel="0" collapsed="false">
      <c r="A1767" s="0" t="n">
        <v>1764</v>
      </c>
      <c r="B1767" s="0" t="n">
        <f aca="true">NORMINV(RAND(),1,Coefficients!$B$22)</f>
        <v>1.00804042344099</v>
      </c>
      <c r="C1767" s="0" t="n">
        <f aca="true">MEDIAN(8,16,ROUND(NORMINV(RAND(),Coefficients!$B$20,Coefficients!$B$21),0))</f>
        <v>10</v>
      </c>
      <c r="D1767" s="0" t="n">
        <f aca="true">CRITBINOM($C1767,MIN(0.75,Matchup!$B$39*$B1767),RAND())</f>
        <v>3</v>
      </c>
      <c r="E1767" s="0" t="n">
        <f aca="true">CRITBINOM(D1767,Coefficients!$B$30,RAND())</f>
        <v>0</v>
      </c>
      <c r="F1767" s="0" t="n">
        <f aca="true">CRITBINOM(E1767,Coefficients!$B$31,RAND())</f>
        <v>0</v>
      </c>
      <c r="G1767" s="0" t="n">
        <f aca="true">CRITBINOM(MAX(0,D1767-E1767),1-Coefficients!$B$32,RAND())</f>
        <v>0</v>
      </c>
      <c r="H1767" s="0" t="n">
        <f aca="true">CRITBINOM(MAX(0,$C1767-D1767),MIN(0.6,Matchup!$B$40*SQRT($B1767)/(1-MIN(0.75,Matchup!$B$39*$B1767))),RAND())</f>
        <v>0</v>
      </c>
      <c r="I1767" s="0" t="n">
        <f aca="false">6*D1767+(D1767-E1767-G1767)+2*F1767+3*H1767</f>
        <v>21</v>
      </c>
      <c r="J1767" s="0" t="n">
        <f aca="true">CRITBINOM($C1767,MIN(0.75,Matchup!$C$39*$B1767),RAND())</f>
        <v>2</v>
      </c>
      <c r="K1767" s="0" t="n">
        <f aca="true">CRITBINOM(J1767,Coefficients!$B$30,RAND())</f>
        <v>0</v>
      </c>
      <c r="L1767" s="0" t="n">
        <f aca="true">CRITBINOM(K1767,Coefficients!$B$31,RAND())</f>
        <v>0</v>
      </c>
      <c r="M1767" s="0" t="n">
        <f aca="true">CRITBINOM(MAX(0,J1767-K1767),1-Coefficients!$B$32,RAND())</f>
        <v>0</v>
      </c>
      <c r="N1767" s="0" t="n">
        <f aca="true">CRITBINOM(MAX(0,$C1767-J1767),MIN(0.6,Matchup!$C$40*SQRT($B1767)/(1-MIN(0.75,Matchup!$C$39*$B1767))),RAND())</f>
        <v>3</v>
      </c>
      <c r="O1767" s="0" t="n">
        <f aca="false">6*J1767+(J1767-K1767-M1767)+2*L1767+3*N1767</f>
        <v>23</v>
      </c>
      <c r="P1767" s="0" t="n">
        <f aca="true">RAND()</f>
        <v>0.148560313955588</v>
      </c>
      <c r="Q1767" s="0" t="n">
        <f aca="true">RAND()</f>
        <v>0.834972074250043</v>
      </c>
      <c r="R1767" s="0" t="n">
        <f aca="false">IF($I1767&lt;&gt;$O1767,0,IF(P1767&lt;Matchup!$B$39,7,IF(P1767&lt;Matchup!$B$39+Matchup!$B$40,3,0)))</f>
        <v>0</v>
      </c>
      <c r="S1767" s="0" t="n">
        <f aca="false">IF($I1767&lt;&gt;$O1767,0,IF(Q1767&lt;Matchup!$C$39,7,IF(Q1767&lt;Matchup!$C$39+Matchup!$C$40,3,0)))</f>
        <v>0</v>
      </c>
      <c r="T1767" s="0" t="n">
        <f aca="false">I1767+R1767</f>
        <v>21</v>
      </c>
      <c r="U1767" s="0" t="n">
        <f aca="false">O1767+S1767</f>
        <v>23</v>
      </c>
      <c r="V1767" s="0" t="n">
        <f aca="false">T1767-U1767</f>
        <v>-2</v>
      </c>
      <c r="W1767" s="0" t="n">
        <f aca="false">T1767+U1767</f>
        <v>44</v>
      </c>
    </row>
    <row r="1768" customFormat="false" ht="15" hidden="false" customHeight="false" outlineLevel="0" collapsed="false">
      <c r="A1768" s="0" t="n">
        <v>1765</v>
      </c>
      <c r="B1768" s="0" t="n">
        <f aca="true">NORMINV(RAND(),1,Coefficients!$B$22)</f>
        <v>0.975426631558913</v>
      </c>
      <c r="C1768" s="0" t="n">
        <f aca="true">MEDIAN(8,16,ROUND(NORMINV(RAND(),Coefficients!$B$20,Coefficients!$B$21),0))</f>
        <v>10</v>
      </c>
      <c r="D1768" s="0" t="n">
        <f aca="true">CRITBINOM($C1768,MIN(0.75,Matchup!$B$39*$B1768),RAND())</f>
        <v>6</v>
      </c>
      <c r="E1768" s="0" t="n">
        <f aca="true">CRITBINOM(D1768,Coefficients!$B$30,RAND())</f>
        <v>0</v>
      </c>
      <c r="F1768" s="0" t="n">
        <f aca="true">CRITBINOM(E1768,Coefficients!$B$31,RAND())</f>
        <v>0</v>
      </c>
      <c r="G1768" s="0" t="n">
        <f aca="true">CRITBINOM(MAX(0,D1768-E1768),1-Coefficients!$B$32,RAND())</f>
        <v>0</v>
      </c>
      <c r="H1768" s="0" t="n">
        <f aca="true">CRITBINOM(MAX(0,$C1768-D1768),MIN(0.6,Matchup!$B$40*SQRT($B1768)/(1-MIN(0.75,Matchup!$B$39*$B1768))),RAND())</f>
        <v>2</v>
      </c>
      <c r="I1768" s="0" t="n">
        <f aca="false">6*D1768+(D1768-E1768-G1768)+2*F1768+3*H1768</f>
        <v>48</v>
      </c>
      <c r="J1768" s="0" t="n">
        <f aca="true">CRITBINOM($C1768,MIN(0.75,Matchup!$C$39*$B1768),RAND())</f>
        <v>2</v>
      </c>
      <c r="K1768" s="0" t="n">
        <f aca="true">CRITBINOM(J1768,Coefficients!$B$30,RAND())</f>
        <v>0</v>
      </c>
      <c r="L1768" s="0" t="n">
        <f aca="true">CRITBINOM(K1768,Coefficients!$B$31,RAND())</f>
        <v>0</v>
      </c>
      <c r="M1768" s="0" t="n">
        <f aca="true">CRITBINOM(MAX(0,J1768-K1768),1-Coefficients!$B$32,RAND())</f>
        <v>0</v>
      </c>
      <c r="N1768" s="0" t="n">
        <f aca="true">CRITBINOM(MAX(0,$C1768-J1768),MIN(0.6,Matchup!$C$40*SQRT($B1768)/(1-MIN(0.75,Matchup!$C$39*$B1768))),RAND())</f>
        <v>0</v>
      </c>
      <c r="O1768" s="0" t="n">
        <f aca="false">6*J1768+(J1768-K1768-M1768)+2*L1768+3*N1768</f>
        <v>14</v>
      </c>
      <c r="P1768" s="0" t="n">
        <f aca="true">RAND()</f>
        <v>0.0185368316068998</v>
      </c>
      <c r="Q1768" s="0" t="n">
        <f aca="true">RAND()</f>
        <v>0.622062176614124</v>
      </c>
      <c r="R1768" s="0" t="n">
        <f aca="false">IF($I1768&lt;&gt;$O1768,0,IF(P1768&lt;Matchup!$B$39,7,IF(P1768&lt;Matchup!$B$39+Matchup!$B$40,3,0)))</f>
        <v>0</v>
      </c>
      <c r="S1768" s="0" t="n">
        <f aca="false">IF($I1768&lt;&gt;$O1768,0,IF(Q1768&lt;Matchup!$C$39,7,IF(Q1768&lt;Matchup!$C$39+Matchup!$C$40,3,0)))</f>
        <v>0</v>
      </c>
      <c r="T1768" s="0" t="n">
        <f aca="false">I1768+R1768</f>
        <v>48</v>
      </c>
      <c r="U1768" s="0" t="n">
        <f aca="false">O1768+S1768</f>
        <v>14</v>
      </c>
      <c r="V1768" s="0" t="n">
        <f aca="false">T1768-U1768</f>
        <v>34</v>
      </c>
      <c r="W1768" s="0" t="n">
        <f aca="false">T1768+U1768</f>
        <v>62</v>
      </c>
    </row>
    <row r="1769" customFormat="false" ht="15" hidden="false" customHeight="false" outlineLevel="0" collapsed="false">
      <c r="A1769" s="0" t="n">
        <v>1766</v>
      </c>
      <c r="B1769" s="0" t="n">
        <f aca="true">NORMINV(RAND(),1,Coefficients!$B$22)</f>
        <v>0.942414034772317</v>
      </c>
      <c r="C1769" s="0" t="n">
        <f aca="true">MEDIAN(8,16,ROUND(NORMINV(RAND(),Coefficients!$B$20,Coefficients!$B$21),0))</f>
        <v>12</v>
      </c>
      <c r="D1769" s="0" t="n">
        <f aca="true">CRITBINOM($C1769,MIN(0.75,Matchup!$B$39*$B1769),RAND())</f>
        <v>3</v>
      </c>
      <c r="E1769" s="0" t="n">
        <f aca="true">CRITBINOM(D1769,Coefficients!$B$30,RAND())</f>
        <v>1</v>
      </c>
      <c r="F1769" s="0" t="n">
        <f aca="true">CRITBINOM(E1769,Coefficients!$B$31,RAND())</f>
        <v>1</v>
      </c>
      <c r="G1769" s="0" t="n">
        <f aca="true">CRITBINOM(MAX(0,D1769-E1769),1-Coefficients!$B$32,RAND())</f>
        <v>0</v>
      </c>
      <c r="H1769" s="0" t="n">
        <f aca="true">CRITBINOM(MAX(0,$C1769-D1769),MIN(0.6,Matchup!$B$40*SQRT($B1769)/(1-MIN(0.75,Matchup!$B$39*$B1769))),RAND())</f>
        <v>4</v>
      </c>
      <c r="I1769" s="0" t="n">
        <f aca="false">6*D1769+(D1769-E1769-G1769)+2*F1769+3*H1769</f>
        <v>34</v>
      </c>
      <c r="J1769" s="0" t="n">
        <f aca="true">CRITBINOM($C1769,MIN(0.75,Matchup!$C$39*$B1769),RAND())</f>
        <v>2</v>
      </c>
      <c r="K1769" s="0" t="n">
        <f aca="true">CRITBINOM(J1769,Coefficients!$B$30,RAND())</f>
        <v>1</v>
      </c>
      <c r="L1769" s="0" t="n">
        <f aca="true">CRITBINOM(K1769,Coefficients!$B$31,RAND())</f>
        <v>0</v>
      </c>
      <c r="M1769" s="0" t="n">
        <f aca="true">CRITBINOM(MAX(0,J1769-K1769),1-Coefficients!$B$32,RAND())</f>
        <v>0</v>
      </c>
      <c r="N1769" s="0" t="n">
        <f aca="true">CRITBINOM(MAX(0,$C1769-J1769),MIN(0.6,Matchup!$C$40*SQRT($B1769)/(1-MIN(0.75,Matchup!$C$39*$B1769))),RAND())</f>
        <v>3</v>
      </c>
      <c r="O1769" s="0" t="n">
        <f aca="false">6*J1769+(J1769-K1769-M1769)+2*L1769+3*N1769</f>
        <v>22</v>
      </c>
      <c r="P1769" s="0" t="n">
        <f aca="true">RAND()</f>
        <v>0.506864139147269</v>
      </c>
      <c r="Q1769" s="0" t="n">
        <f aca="true">RAND()</f>
        <v>0.174768271607608</v>
      </c>
      <c r="R1769" s="0" t="n">
        <f aca="false">IF($I1769&lt;&gt;$O1769,0,IF(P1769&lt;Matchup!$B$39,7,IF(P1769&lt;Matchup!$B$39+Matchup!$B$40,3,0)))</f>
        <v>0</v>
      </c>
      <c r="S1769" s="0" t="n">
        <f aca="false">IF($I1769&lt;&gt;$O1769,0,IF(Q1769&lt;Matchup!$C$39,7,IF(Q1769&lt;Matchup!$C$39+Matchup!$C$40,3,0)))</f>
        <v>0</v>
      </c>
      <c r="T1769" s="0" t="n">
        <f aca="false">I1769+R1769</f>
        <v>34</v>
      </c>
      <c r="U1769" s="0" t="n">
        <f aca="false">O1769+S1769</f>
        <v>22</v>
      </c>
      <c r="V1769" s="0" t="n">
        <f aca="false">T1769-U1769</f>
        <v>12</v>
      </c>
      <c r="W1769" s="0" t="n">
        <f aca="false">T1769+U1769</f>
        <v>56</v>
      </c>
    </row>
    <row r="1770" customFormat="false" ht="15" hidden="false" customHeight="false" outlineLevel="0" collapsed="false">
      <c r="A1770" s="0" t="n">
        <v>1767</v>
      </c>
      <c r="B1770" s="0" t="n">
        <f aca="true">NORMINV(RAND(),1,Coefficients!$B$22)</f>
        <v>0.981281466155991</v>
      </c>
      <c r="C1770" s="0" t="n">
        <f aca="true">MEDIAN(8,16,ROUND(NORMINV(RAND(),Coefficients!$B$20,Coefficients!$B$21),0))</f>
        <v>8</v>
      </c>
      <c r="D1770" s="0" t="n">
        <f aca="true">CRITBINOM($C1770,MIN(0.75,Matchup!$B$39*$B1770),RAND())</f>
        <v>2</v>
      </c>
      <c r="E1770" s="0" t="n">
        <f aca="true">CRITBINOM(D1770,Coefficients!$B$30,RAND())</f>
        <v>0</v>
      </c>
      <c r="F1770" s="0" t="n">
        <f aca="true">CRITBINOM(E1770,Coefficients!$B$31,RAND())</f>
        <v>0</v>
      </c>
      <c r="G1770" s="0" t="n">
        <f aca="true">CRITBINOM(MAX(0,D1770-E1770),1-Coefficients!$B$32,RAND())</f>
        <v>0</v>
      </c>
      <c r="H1770" s="0" t="n">
        <f aca="true">CRITBINOM(MAX(0,$C1770-D1770),MIN(0.6,Matchup!$B$40*SQRT($B1770)/(1-MIN(0.75,Matchup!$B$39*$B1770))),RAND())</f>
        <v>0</v>
      </c>
      <c r="I1770" s="0" t="n">
        <f aca="false">6*D1770+(D1770-E1770-G1770)+2*F1770+3*H1770</f>
        <v>14</v>
      </c>
      <c r="J1770" s="0" t="n">
        <f aca="true">CRITBINOM($C1770,MIN(0.75,Matchup!$C$39*$B1770),RAND())</f>
        <v>3</v>
      </c>
      <c r="K1770" s="0" t="n">
        <f aca="true">CRITBINOM(J1770,Coefficients!$B$30,RAND())</f>
        <v>0</v>
      </c>
      <c r="L1770" s="0" t="n">
        <f aca="true">CRITBINOM(K1770,Coefficients!$B$31,RAND())</f>
        <v>0</v>
      </c>
      <c r="M1770" s="0" t="n">
        <f aca="true">CRITBINOM(MAX(0,J1770-K1770),1-Coefficients!$B$32,RAND())</f>
        <v>0</v>
      </c>
      <c r="N1770" s="0" t="n">
        <f aca="true">CRITBINOM(MAX(0,$C1770-J1770),MIN(0.6,Matchup!$C$40*SQRT($B1770)/(1-MIN(0.75,Matchup!$C$39*$B1770))),RAND())</f>
        <v>1</v>
      </c>
      <c r="O1770" s="0" t="n">
        <f aca="false">6*J1770+(J1770-K1770-M1770)+2*L1770+3*N1770</f>
        <v>24</v>
      </c>
      <c r="P1770" s="0" t="n">
        <f aca="true">RAND()</f>
        <v>0.13982202524635</v>
      </c>
      <c r="Q1770" s="0" t="n">
        <f aca="true">RAND()</f>
        <v>0.857336286076869</v>
      </c>
      <c r="R1770" s="0" t="n">
        <f aca="false">IF($I1770&lt;&gt;$O1770,0,IF(P1770&lt;Matchup!$B$39,7,IF(P1770&lt;Matchup!$B$39+Matchup!$B$40,3,0)))</f>
        <v>0</v>
      </c>
      <c r="S1770" s="0" t="n">
        <f aca="false">IF($I1770&lt;&gt;$O1770,0,IF(Q1770&lt;Matchup!$C$39,7,IF(Q1770&lt;Matchup!$C$39+Matchup!$C$40,3,0)))</f>
        <v>0</v>
      </c>
      <c r="T1770" s="0" t="n">
        <f aca="false">I1770+R1770</f>
        <v>14</v>
      </c>
      <c r="U1770" s="0" t="n">
        <f aca="false">O1770+S1770</f>
        <v>24</v>
      </c>
      <c r="V1770" s="0" t="n">
        <f aca="false">T1770-U1770</f>
        <v>-10</v>
      </c>
      <c r="W1770" s="0" t="n">
        <f aca="false">T1770+U1770</f>
        <v>38</v>
      </c>
    </row>
    <row r="1771" customFormat="false" ht="15" hidden="false" customHeight="false" outlineLevel="0" collapsed="false">
      <c r="A1771" s="0" t="n">
        <v>1768</v>
      </c>
      <c r="B1771" s="0" t="n">
        <f aca="true">NORMINV(RAND(),1,Coefficients!$B$22)</f>
        <v>1.01416980417782</v>
      </c>
      <c r="C1771" s="0" t="n">
        <f aca="true">MEDIAN(8,16,ROUND(NORMINV(RAND(),Coefficients!$B$20,Coefficients!$B$21),0))</f>
        <v>12</v>
      </c>
      <c r="D1771" s="0" t="n">
        <f aca="true">CRITBINOM($C1771,MIN(0.75,Matchup!$B$39*$B1771),RAND())</f>
        <v>3</v>
      </c>
      <c r="E1771" s="0" t="n">
        <f aca="true">CRITBINOM(D1771,Coefficients!$B$30,RAND())</f>
        <v>0</v>
      </c>
      <c r="F1771" s="0" t="n">
        <f aca="true">CRITBINOM(E1771,Coefficients!$B$31,RAND())</f>
        <v>0</v>
      </c>
      <c r="G1771" s="0" t="n">
        <f aca="true">CRITBINOM(MAX(0,D1771-E1771),1-Coefficients!$B$32,RAND())</f>
        <v>0</v>
      </c>
      <c r="H1771" s="0" t="n">
        <f aca="true">CRITBINOM(MAX(0,$C1771-D1771),MIN(0.6,Matchup!$B$40*SQRT($B1771)/(1-MIN(0.75,Matchup!$B$39*$B1771))),RAND())</f>
        <v>4</v>
      </c>
      <c r="I1771" s="0" t="n">
        <f aca="false">6*D1771+(D1771-E1771-G1771)+2*F1771+3*H1771</f>
        <v>33</v>
      </c>
      <c r="J1771" s="0" t="n">
        <f aca="true">CRITBINOM($C1771,MIN(0.75,Matchup!$C$39*$B1771),RAND())</f>
        <v>1</v>
      </c>
      <c r="K1771" s="0" t="n">
        <f aca="true">CRITBINOM(J1771,Coefficients!$B$30,RAND())</f>
        <v>0</v>
      </c>
      <c r="L1771" s="0" t="n">
        <f aca="true">CRITBINOM(K1771,Coefficients!$B$31,RAND())</f>
        <v>0</v>
      </c>
      <c r="M1771" s="0" t="n">
        <f aca="true">CRITBINOM(MAX(0,J1771-K1771),1-Coefficients!$B$32,RAND())</f>
        <v>0</v>
      </c>
      <c r="N1771" s="0" t="n">
        <f aca="true">CRITBINOM(MAX(0,$C1771-J1771),MIN(0.6,Matchup!$C$40*SQRT($B1771)/(1-MIN(0.75,Matchup!$C$39*$B1771))),RAND())</f>
        <v>1</v>
      </c>
      <c r="O1771" s="0" t="n">
        <f aca="false">6*J1771+(J1771-K1771-M1771)+2*L1771+3*N1771</f>
        <v>10</v>
      </c>
      <c r="P1771" s="0" t="n">
        <f aca="true">RAND()</f>
        <v>0.093201844031004</v>
      </c>
      <c r="Q1771" s="0" t="n">
        <f aca="true">RAND()</f>
        <v>0.580962512635648</v>
      </c>
      <c r="R1771" s="0" t="n">
        <f aca="false">IF($I1771&lt;&gt;$O1771,0,IF(P1771&lt;Matchup!$B$39,7,IF(P1771&lt;Matchup!$B$39+Matchup!$B$40,3,0)))</f>
        <v>0</v>
      </c>
      <c r="S1771" s="0" t="n">
        <f aca="false">IF($I1771&lt;&gt;$O1771,0,IF(Q1771&lt;Matchup!$C$39,7,IF(Q1771&lt;Matchup!$C$39+Matchup!$C$40,3,0)))</f>
        <v>0</v>
      </c>
      <c r="T1771" s="0" t="n">
        <f aca="false">I1771+R1771</f>
        <v>33</v>
      </c>
      <c r="U1771" s="0" t="n">
        <f aca="false">O1771+S1771</f>
        <v>10</v>
      </c>
      <c r="V1771" s="0" t="n">
        <f aca="false">T1771-U1771</f>
        <v>23</v>
      </c>
      <c r="W1771" s="0" t="n">
        <f aca="false">T1771+U1771</f>
        <v>43</v>
      </c>
    </row>
    <row r="1772" customFormat="false" ht="15" hidden="false" customHeight="false" outlineLevel="0" collapsed="false">
      <c r="A1772" s="0" t="n">
        <v>1769</v>
      </c>
      <c r="B1772" s="0" t="n">
        <f aca="true">NORMINV(RAND(),1,Coefficients!$B$22)</f>
        <v>1.05289334975148</v>
      </c>
      <c r="C1772" s="0" t="n">
        <f aca="true">MEDIAN(8,16,ROUND(NORMINV(RAND(),Coefficients!$B$20,Coefficients!$B$21),0))</f>
        <v>10</v>
      </c>
      <c r="D1772" s="0" t="n">
        <f aca="true">CRITBINOM($C1772,MIN(0.75,Matchup!$B$39*$B1772),RAND())</f>
        <v>4</v>
      </c>
      <c r="E1772" s="0" t="n">
        <f aca="true">CRITBINOM(D1772,Coefficients!$B$30,RAND())</f>
        <v>0</v>
      </c>
      <c r="F1772" s="0" t="n">
        <f aca="true">CRITBINOM(E1772,Coefficients!$B$31,RAND())</f>
        <v>0</v>
      </c>
      <c r="G1772" s="0" t="n">
        <f aca="true">CRITBINOM(MAX(0,D1772-E1772),1-Coefficients!$B$32,RAND())</f>
        <v>0</v>
      </c>
      <c r="H1772" s="0" t="n">
        <f aca="true">CRITBINOM(MAX(0,$C1772-D1772),MIN(0.6,Matchup!$B$40*SQRT($B1772)/(1-MIN(0.75,Matchup!$B$39*$B1772))),RAND())</f>
        <v>1</v>
      </c>
      <c r="I1772" s="0" t="n">
        <f aca="false">6*D1772+(D1772-E1772-G1772)+2*F1772+3*H1772</f>
        <v>31</v>
      </c>
      <c r="J1772" s="0" t="n">
        <f aca="true">CRITBINOM($C1772,MIN(0.75,Matchup!$C$39*$B1772),RAND())</f>
        <v>4</v>
      </c>
      <c r="K1772" s="0" t="n">
        <f aca="true">CRITBINOM(J1772,Coefficients!$B$30,RAND())</f>
        <v>2</v>
      </c>
      <c r="L1772" s="0" t="n">
        <f aca="true">CRITBINOM(K1772,Coefficients!$B$31,RAND())</f>
        <v>1</v>
      </c>
      <c r="M1772" s="0" t="n">
        <f aca="true">CRITBINOM(MAX(0,J1772-K1772),1-Coefficients!$B$32,RAND())</f>
        <v>0</v>
      </c>
      <c r="N1772" s="0" t="n">
        <f aca="true">CRITBINOM(MAX(0,$C1772-J1772),MIN(0.6,Matchup!$C$40*SQRT($B1772)/(1-MIN(0.75,Matchup!$C$39*$B1772))),RAND())</f>
        <v>1</v>
      </c>
      <c r="O1772" s="0" t="n">
        <f aca="false">6*J1772+(J1772-K1772-M1772)+2*L1772+3*N1772</f>
        <v>31</v>
      </c>
      <c r="P1772" s="0" t="n">
        <f aca="true">RAND()</f>
        <v>0.865096551087518</v>
      </c>
      <c r="Q1772" s="0" t="n">
        <f aca="true">RAND()</f>
        <v>0.905868237128021</v>
      </c>
      <c r="R1772" s="0" t="n">
        <f aca="false">IF($I1772&lt;&gt;$O1772,0,IF(P1772&lt;Matchup!$B$39,7,IF(P1772&lt;Matchup!$B$39+Matchup!$B$40,3,0)))</f>
        <v>0</v>
      </c>
      <c r="S1772" s="0" t="n">
        <f aca="false">IF($I1772&lt;&gt;$O1772,0,IF(Q1772&lt;Matchup!$C$39,7,IF(Q1772&lt;Matchup!$C$39+Matchup!$C$40,3,0)))</f>
        <v>0</v>
      </c>
      <c r="T1772" s="0" t="n">
        <f aca="false">I1772+R1772</f>
        <v>31</v>
      </c>
      <c r="U1772" s="0" t="n">
        <f aca="false">O1772+S1772</f>
        <v>31</v>
      </c>
      <c r="V1772" s="0" t="n">
        <f aca="false">T1772-U1772</f>
        <v>0</v>
      </c>
      <c r="W1772" s="0" t="n">
        <f aca="false">T1772+U1772</f>
        <v>62</v>
      </c>
    </row>
    <row r="1773" customFormat="false" ht="15" hidden="false" customHeight="false" outlineLevel="0" collapsed="false">
      <c r="A1773" s="0" t="n">
        <v>1770</v>
      </c>
      <c r="B1773" s="0" t="n">
        <f aca="true">NORMINV(RAND(),1,Coefficients!$B$22)</f>
        <v>1.14661863989818</v>
      </c>
      <c r="C1773" s="0" t="n">
        <f aca="true">MEDIAN(8,16,ROUND(NORMINV(RAND(),Coefficients!$B$20,Coefficients!$B$21),0))</f>
        <v>10</v>
      </c>
      <c r="D1773" s="0" t="n">
        <f aca="true">CRITBINOM($C1773,MIN(0.75,Matchup!$B$39*$B1773),RAND())</f>
        <v>1</v>
      </c>
      <c r="E1773" s="0" t="n">
        <f aca="true">CRITBINOM(D1773,Coefficients!$B$30,RAND())</f>
        <v>0</v>
      </c>
      <c r="F1773" s="0" t="n">
        <f aca="true">CRITBINOM(E1773,Coefficients!$B$31,RAND())</f>
        <v>0</v>
      </c>
      <c r="G1773" s="0" t="n">
        <f aca="true">CRITBINOM(MAX(0,D1773-E1773),1-Coefficients!$B$32,RAND())</f>
        <v>0</v>
      </c>
      <c r="H1773" s="0" t="n">
        <f aca="true">CRITBINOM(MAX(0,$C1773-D1773),MIN(0.6,Matchup!$B$40*SQRT($B1773)/(1-MIN(0.75,Matchup!$B$39*$B1773))),RAND())</f>
        <v>1</v>
      </c>
      <c r="I1773" s="0" t="n">
        <f aca="false">6*D1773+(D1773-E1773-G1773)+2*F1773+3*H1773</f>
        <v>10</v>
      </c>
      <c r="J1773" s="0" t="n">
        <f aca="true">CRITBINOM($C1773,MIN(0.75,Matchup!$C$39*$B1773),RAND())</f>
        <v>3</v>
      </c>
      <c r="K1773" s="0" t="n">
        <f aca="true">CRITBINOM(J1773,Coefficients!$B$30,RAND())</f>
        <v>0</v>
      </c>
      <c r="L1773" s="0" t="n">
        <f aca="true">CRITBINOM(K1773,Coefficients!$B$31,RAND())</f>
        <v>0</v>
      </c>
      <c r="M1773" s="0" t="n">
        <f aca="true">CRITBINOM(MAX(0,J1773-K1773),1-Coefficients!$B$32,RAND())</f>
        <v>0</v>
      </c>
      <c r="N1773" s="0" t="n">
        <f aca="true">CRITBINOM(MAX(0,$C1773-J1773),MIN(0.6,Matchup!$C$40*SQRT($B1773)/(1-MIN(0.75,Matchup!$C$39*$B1773))),RAND())</f>
        <v>3</v>
      </c>
      <c r="O1773" s="0" t="n">
        <f aca="false">6*J1773+(J1773-K1773-M1773)+2*L1773+3*N1773</f>
        <v>30</v>
      </c>
      <c r="P1773" s="0" t="n">
        <f aca="true">RAND()</f>
        <v>0.818408768953472</v>
      </c>
      <c r="Q1773" s="0" t="n">
        <f aca="true">RAND()</f>
        <v>0.643633394938999</v>
      </c>
      <c r="R1773" s="0" t="n">
        <f aca="false">IF($I1773&lt;&gt;$O1773,0,IF(P1773&lt;Matchup!$B$39,7,IF(P1773&lt;Matchup!$B$39+Matchup!$B$40,3,0)))</f>
        <v>0</v>
      </c>
      <c r="S1773" s="0" t="n">
        <f aca="false">IF($I1773&lt;&gt;$O1773,0,IF(Q1773&lt;Matchup!$C$39,7,IF(Q1773&lt;Matchup!$C$39+Matchup!$C$40,3,0)))</f>
        <v>0</v>
      </c>
      <c r="T1773" s="0" t="n">
        <f aca="false">I1773+R1773</f>
        <v>10</v>
      </c>
      <c r="U1773" s="0" t="n">
        <f aca="false">O1773+S1773</f>
        <v>30</v>
      </c>
      <c r="V1773" s="0" t="n">
        <f aca="false">T1773-U1773</f>
        <v>-20</v>
      </c>
      <c r="W1773" s="0" t="n">
        <f aca="false">T1773+U1773</f>
        <v>40</v>
      </c>
    </row>
    <row r="1774" customFormat="false" ht="15" hidden="false" customHeight="false" outlineLevel="0" collapsed="false">
      <c r="A1774" s="0" t="n">
        <v>1771</v>
      </c>
      <c r="B1774" s="0" t="n">
        <f aca="true">NORMINV(RAND(),1,Coefficients!$B$22)</f>
        <v>1.02448214788276</v>
      </c>
      <c r="C1774" s="0" t="n">
        <f aca="true">MEDIAN(8,16,ROUND(NORMINV(RAND(),Coefficients!$B$20,Coefficients!$B$21),0))</f>
        <v>13</v>
      </c>
      <c r="D1774" s="0" t="n">
        <f aca="true">CRITBINOM($C1774,MIN(0.75,Matchup!$B$39*$B1774),RAND())</f>
        <v>2</v>
      </c>
      <c r="E1774" s="0" t="n">
        <f aca="true">CRITBINOM(D1774,Coefficients!$B$30,RAND())</f>
        <v>1</v>
      </c>
      <c r="F1774" s="0" t="n">
        <f aca="true">CRITBINOM(E1774,Coefficients!$B$31,RAND())</f>
        <v>1</v>
      </c>
      <c r="G1774" s="0" t="n">
        <f aca="true">CRITBINOM(MAX(0,D1774-E1774),1-Coefficients!$B$32,RAND())</f>
        <v>0</v>
      </c>
      <c r="H1774" s="0" t="n">
        <f aca="true">CRITBINOM(MAX(0,$C1774-D1774),MIN(0.6,Matchup!$B$40*SQRT($B1774)/(1-MIN(0.75,Matchup!$B$39*$B1774))),RAND())</f>
        <v>3</v>
      </c>
      <c r="I1774" s="0" t="n">
        <f aca="false">6*D1774+(D1774-E1774-G1774)+2*F1774+3*H1774</f>
        <v>24</v>
      </c>
      <c r="J1774" s="0" t="n">
        <f aca="true">CRITBINOM($C1774,MIN(0.75,Matchup!$C$39*$B1774),RAND())</f>
        <v>4</v>
      </c>
      <c r="K1774" s="0" t="n">
        <f aca="true">CRITBINOM(J1774,Coefficients!$B$30,RAND())</f>
        <v>0</v>
      </c>
      <c r="L1774" s="0" t="n">
        <f aca="true">CRITBINOM(K1774,Coefficients!$B$31,RAND())</f>
        <v>0</v>
      </c>
      <c r="M1774" s="0" t="n">
        <f aca="true">CRITBINOM(MAX(0,J1774-K1774),1-Coefficients!$B$32,RAND())</f>
        <v>0</v>
      </c>
      <c r="N1774" s="0" t="n">
        <f aca="true">CRITBINOM(MAX(0,$C1774-J1774),MIN(0.6,Matchup!$C$40*SQRT($B1774)/(1-MIN(0.75,Matchup!$C$39*$B1774))),RAND())</f>
        <v>3</v>
      </c>
      <c r="O1774" s="0" t="n">
        <f aca="false">6*J1774+(J1774-K1774-M1774)+2*L1774+3*N1774</f>
        <v>37</v>
      </c>
      <c r="P1774" s="0" t="n">
        <f aca="true">RAND()</f>
        <v>0.505005294773661</v>
      </c>
      <c r="Q1774" s="0" t="n">
        <f aca="true">RAND()</f>
        <v>0.765778170580275</v>
      </c>
      <c r="R1774" s="0" t="n">
        <f aca="false">IF($I1774&lt;&gt;$O1774,0,IF(P1774&lt;Matchup!$B$39,7,IF(P1774&lt;Matchup!$B$39+Matchup!$B$40,3,0)))</f>
        <v>0</v>
      </c>
      <c r="S1774" s="0" t="n">
        <f aca="false">IF($I1774&lt;&gt;$O1774,0,IF(Q1774&lt;Matchup!$C$39,7,IF(Q1774&lt;Matchup!$C$39+Matchup!$C$40,3,0)))</f>
        <v>0</v>
      </c>
      <c r="T1774" s="0" t="n">
        <f aca="false">I1774+R1774</f>
        <v>24</v>
      </c>
      <c r="U1774" s="0" t="n">
        <f aca="false">O1774+S1774</f>
        <v>37</v>
      </c>
      <c r="V1774" s="0" t="n">
        <f aca="false">T1774-U1774</f>
        <v>-13</v>
      </c>
      <c r="W1774" s="0" t="n">
        <f aca="false">T1774+U1774</f>
        <v>61</v>
      </c>
    </row>
    <row r="1775" customFormat="false" ht="15" hidden="false" customHeight="false" outlineLevel="0" collapsed="false">
      <c r="A1775" s="0" t="n">
        <v>1772</v>
      </c>
      <c r="B1775" s="0" t="n">
        <f aca="true">NORMINV(RAND(),1,Coefficients!$B$22)</f>
        <v>1.01942533871196</v>
      </c>
      <c r="C1775" s="0" t="n">
        <f aca="true">MEDIAN(8,16,ROUND(NORMINV(RAND(),Coefficients!$B$20,Coefficients!$B$21),0))</f>
        <v>12</v>
      </c>
      <c r="D1775" s="0" t="n">
        <f aca="true">CRITBINOM($C1775,MIN(0.75,Matchup!$B$39*$B1775),RAND())</f>
        <v>4</v>
      </c>
      <c r="E1775" s="0" t="n">
        <f aca="true">CRITBINOM(D1775,Coefficients!$B$30,RAND())</f>
        <v>1</v>
      </c>
      <c r="F1775" s="0" t="n">
        <f aca="true">CRITBINOM(E1775,Coefficients!$B$31,RAND())</f>
        <v>1</v>
      </c>
      <c r="G1775" s="0" t="n">
        <f aca="true">CRITBINOM(MAX(0,D1775-E1775),1-Coefficients!$B$32,RAND())</f>
        <v>0</v>
      </c>
      <c r="H1775" s="0" t="n">
        <f aca="true">CRITBINOM(MAX(0,$C1775-D1775),MIN(0.6,Matchup!$B$40*SQRT($B1775)/(1-MIN(0.75,Matchup!$B$39*$B1775))),RAND())</f>
        <v>2</v>
      </c>
      <c r="I1775" s="0" t="n">
        <f aca="false">6*D1775+(D1775-E1775-G1775)+2*F1775+3*H1775</f>
        <v>35</v>
      </c>
      <c r="J1775" s="0" t="n">
        <f aca="true">CRITBINOM($C1775,MIN(0.75,Matchup!$C$39*$B1775),RAND())</f>
        <v>3</v>
      </c>
      <c r="K1775" s="0" t="n">
        <f aca="true">CRITBINOM(J1775,Coefficients!$B$30,RAND())</f>
        <v>0</v>
      </c>
      <c r="L1775" s="0" t="n">
        <f aca="true">CRITBINOM(K1775,Coefficients!$B$31,RAND())</f>
        <v>0</v>
      </c>
      <c r="M1775" s="0" t="n">
        <f aca="true">CRITBINOM(MAX(0,J1775-K1775),1-Coefficients!$B$32,RAND())</f>
        <v>0</v>
      </c>
      <c r="N1775" s="0" t="n">
        <f aca="true">CRITBINOM(MAX(0,$C1775-J1775),MIN(0.6,Matchup!$C$40*SQRT($B1775)/(1-MIN(0.75,Matchup!$C$39*$B1775))),RAND())</f>
        <v>3</v>
      </c>
      <c r="O1775" s="0" t="n">
        <f aca="false">6*J1775+(J1775-K1775-M1775)+2*L1775+3*N1775</f>
        <v>30</v>
      </c>
      <c r="P1775" s="0" t="n">
        <f aca="true">RAND()</f>
        <v>0.889196358706891</v>
      </c>
      <c r="Q1775" s="0" t="n">
        <f aca="true">RAND()</f>
        <v>0.580619221997488</v>
      </c>
      <c r="R1775" s="0" t="n">
        <f aca="false">IF($I1775&lt;&gt;$O1775,0,IF(P1775&lt;Matchup!$B$39,7,IF(P1775&lt;Matchup!$B$39+Matchup!$B$40,3,0)))</f>
        <v>0</v>
      </c>
      <c r="S1775" s="0" t="n">
        <f aca="false">IF($I1775&lt;&gt;$O1775,0,IF(Q1775&lt;Matchup!$C$39,7,IF(Q1775&lt;Matchup!$C$39+Matchup!$C$40,3,0)))</f>
        <v>0</v>
      </c>
      <c r="T1775" s="0" t="n">
        <f aca="false">I1775+R1775</f>
        <v>35</v>
      </c>
      <c r="U1775" s="0" t="n">
        <f aca="false">O1775+S1775</f>
        <v>30</v>
      </c>
      <c r="V1775" s="0" t="n">
        <f aca="false">T1775-U1775</f>
        <v>5</v>
      </c>
      <c r="W1775" s="0" t="n">
        <f aca="false">T1775+U1775</f>
        <v>65</v>
      </c>
    </row>
    <row r="1776" customFormat="false" ht="15" hidden="false" customHeight="false" outlineLevel="0" collapsed="false">
      <c r="A1776" s="0" t="n">
        <v>1773</v>
      </c>
      <c r="B1776" s="0" t="n">
        <f aca="true">NORMINV(RAND(),1,Coefficients!$B$22)</f>
        <v>0.880597365925316</v>
      </c>
      <c r="C1776" s="0" t="n">
        <f aca="true">MEDIAN(8,16,ROUND(NORMINV(RAND(),Coefficients!$B$20,Coefficients!$B$21),0))</f>
        <v>10</v>
      </c>
      <c r="D1776" s="0" t="n">
        <f aca="true">CRITBINOM($C1776,MIN(0.75,Matchup!$B$39*$B1776),RAND())</f>
        <v>4</v>
      </c>
      <c r="E1776" s="0" t="n">
        <f aca="true">CRITBINOM(D1776,Coefficients!$B$30,RAND())</f>
        <v>0</v>
      </c>
      <c r="F1776" s="0" t="n">
        <f aca="true">CRITBINOM(E1776,Coefficients!$B$31,RAND())</f>
        <v>0</v>
      </c>
      <c r="G1776" s="0" t="n">
        <f aca="true">CRITBINOM(MAX(0,D1776-E1776),1-Coefficients!$B$32,RAND())</f>
        <v>0</v>
      </c>
      <c r="H1776" s="0" t="n">
        <f aca="true">CRITBINOM(MAX(0,$C1776-D1776),MIN(0.6,Matchup!$B$40*SQRT($B1776)/(1-MIN(0.75,Matchup!$B$39*$B1776))),RAND())</f>
        <v>0</v>
      </c>
      <c r="I1776" s="0" t="n">
        <f aca="false">6*D1776+(D1776-E1776-G1776)+2*F1776+3*H1776</f>
        <v>28</v>
      </c>
      <c r="J1776" s="0" t="n">
        <f aca="true">CRITBINOM($C1776,MIN(0.75,Matchup!$C$39*$B1776),RAND())</f>
        <v>2</v>
      </c>
      <c r="K1776" s="0" t="n">
        <f aca="true">CRITBINOM(J1776,Coefficients!$B$30,RAND())</f>
        <v>1</v>
      </c>
      <c r="L1776" s="0" t="n">
        <f aca="true">CRITBINOM(K1776,Coefficients!$B$31,RAND())</f>
        <v>0</v>
      </c>
      <c r="M1776" s="0" t="n">
        <f aca="true">CRITBINOM(MAX(0,J1776-K1776),1-Coefficients!$B$32,RAND())</f>
        <v>0</v>
      </c>
      <c r="N1776" s="0" t="n">
        <f aca="true">CRITBINOM(MAX(0,$C1776-J1776),MIN(0.6,Matchup!$C$40*SQRT($B1776)/(1-MIN(0.75,Matchup!$C$39*$B1776))),RAND())</f>
        <v>0</v>
      </c>
      <c r="O1776" s="0" t="n">
        <f aca="false">6*J1776+(J1776-K1776-M1776)+2*L1776+3*N1776</f>
        <v>13</v>
      </c>
      <c r="P1776" s="0" t="n">
        <f aca="true">RAND()</f>
        <v>0.187995127158277</v>
      </c>
      <c r="Q1776" s="0" t="n">
        <f aca="true">RAND()</f>
        <v>0.240660510531821</v>
      </c>
      <c r="R1776" s="0" t="n">
        <f aca="false">IF($I1776&lt;&gt;$O1776,0,IF(P1776&lt;Matchup!$B$39,7,IF(P1776&lt;Matchup!$B$39+Matchup!$B$40,3,0)))</f>
        <v>0</v>
      </c>
      <c r="S1776" s="0" t="n">
        <f aca="false">IF($I1776&lt;&gt;$O1776,0,IF(Q1776&lt;Matchup!$C$39,7,IF(Q1776&lt;Matchup!$C$39+Matchup!$C$40,3,0)))</f>
        <v>0</v>
      </c>
      <c r="T1776" s="0" t="n">
        <f aca="false">I1776+R1776</f>
        <v>28</v>
      </c>
      <c r="U1776" s="0" t="n">
        <f aca="false">O1776+S1776</f>
        <v>13</v>
      </c>
      <c r="V1776" s="0" t="n">
        <f aca="false">T1776-U1776</f>
        <v>15</v>
      </c>
      <c r="W1776" s="0" t="n">
        <f aca="false">T1776+U1776</f>
        <v>41</v>
      </c>
    </row>
    <row r="1777" customFormat="false" ht="15" hidden="false" customHeight="false" outlineLevel="0" collapsed="false">
      <c r="A1777" s="0" t="n">
        <v>1774</v>
      </c>
      <c r="B1777" s="0" t="n">
        <f aca="true">NORMINV(RAND(),1,Coefficients!$B$22)</f>
        <v>1.05208134250647</v>
      </c>
      <c r="C1777" s="0" t="n">
        <f aca="true">MEDIAN(8,16,ROUND(NORMINV(RAND(),Coefficients!$B$20,Coefficients!$B$21),0))</f>
        <v>12</v>
      </c>
      <c r="D1777" s="0" t="n">
        <f aca="true">CRITBINOM($C1777,MIN(0.75,Matchup!$B$39*$B1777),RAND())</f>
        <v>2</v>
      </c>
      <c r="E1777" s="0" t="n">
        <f aca="true">CRITBINOM(D1777,Coefficients!$B$30,RAND())</f>
        <v>0</v>
      </c>
      <c r="F1777" s="0" t="n">
        <f aca="true">CRITBINOM(E1777,Coefficients!$B$31,RAND())</f>
        <v>0</v>
      </c>
      <c r="G1777" s="0" t="n">
        <f aca="true">CRITBINOM(MAX(0,D1777-E1777),1-Coefficients!$B$32,RAND())</f>
        <v>0</v>
      </c>
      <c r="H1777" s="0" t="n">
        <f aca="true">CRITBINOM(MAX(0,$C1777-D1777),MIN(0.6,Matchup!$B$40*SQRT($B1777)/(1-MIN(0.75,Matchup!$B$39*$B1777))),RAND())</f>
        <v>1</v>
      </c>
      <c r="I1777" s="0" t="n">
        <f aca="false">6*D1777+(D1777-E1777-G1777)+2*F1777+3*H1777</f>
        <v>17</v>
      </c>
      <c r="J1777" s="0" t="n">
        <f aca="true">CRITBINOM($C1777,MIN(0.75,Matchup!$C$39*$B1777),RAND())</f>
        <v>2</v>
      </c>
      <c r="K1777" s="0" t="n">
        <f aca="true">CRITBINOM(J1777,Coefficients!$B$30,RAND())</f>
        <v>0</v>
      </c>
      <c r="L1777" s="0" t="n">
        <f aca="true">CRITBINOM(K1777,Coefficients!$B$31,RAND())</f>
        <v>0</v>
      </c>
      <c r="M1777" s="0" t="n">
        <f aca="true">CRITBINOM(MAX(0,J1777-K1777),1-Coefficients!$B$32,RAND())</f>
        <v>0</v>
      </c>
      <c r="N1777" s="0" t="n">
        <f aca="true">CRITBINOM(MAX(0,$C1777-J1777),MIN(0.6,Matchup!$C$40*SQRT($B1777)/(1-MIN(0.75,Matchup!$C$39*$B1777))),RAND())</f>
        <v>2</v>
      </c>
      <c r="O1777" s="0" t="n">
        <f aca="false">6*J1777+(J1777-K1777-M1777)+2*L1777+3*N1777</f>
        <v>20</v>
      </c>
      <c r="P1777" s="0" t="n">
        <f aca="true">RAND()</f>
        <v>0.518293805039859</v>
      </c>
      <c r="Q1777" s="0" t="n">
        <f aca="true">RAND()</f>
        <v>0.895233688094787</v>
      </c>
      <c r="R1777" s="0" t="n">
        <f aca="false">IF($I1777&lt;&gt;$O1777,0,IF(P1777&lt;Matchup!$B$39,7,IF(P1777&lt;Matchup!$B$39+Matchup!$B$40,3,0)))</f>
        <v>0</v>
      </c>
      <c r="S1777" s="0" t="n">
        <f aca="false">IF($I1777&lt;&gt;$O1777,0,IF(Q1777&lt;Matchup!$C$39,7,IF(Q1777&lt;Matchup!$C$39+Matchup!$C$40,3,0)))</f>
        <v>0</v>
      </c>
      <c r="T1777" s="0" t="n">
        <f aca="false">I1777+R1777</f>
        <v>17</v>
      </c>
      <c r="U1777" s="0" t="n">
        <f aca="false">O1777+S1777</f>
        <v>20</v>
      </c>
      <c r="V1777" s="0" t="n">
        <f aca="false">T1777-U1777</f>
        <v>-3</v>
      </c>
      <c r="W1777" s="0" t="n">
        <f aca="false">T1777+U1777</f>
        <v>37</v>
      </c>
    </row>
    <row r="1778" customFormat="false" ht="15" hidden="false" customHeight="false" outlineLevel="0" collapsed="false">
      <c r="A1778" s="0" t="n">
        <v>1775</v>
      </c>
      <c r="B1778" s="0" t="n">
        <f aca="true">NORMINV(RAND(),1,Coefficients!$B$22)</f>
        <v>1.02413262181811</v>
      </c>
      <c r="C1778" s="0" t="n">
        <f aca="true">MEDIAN(8,16,ROUND(NORMINV(RAND(),Coefficients!$B$20,Coefficients!$B$21),0))</f>
        <v>11</v>
      </c>
      <c r="D1778" s="0" t="n">
        <f aca="true">CRITBINOM($C1778,MIN(0.75,Matchup!$B$39*$B1778),RAND())</f>
        <v>2</v>
      </c>
      <c r="E1778" s="0" t="n">
        <f aca="true">CRITBINOM(D1778,Coefficients!$B$30,RAND())</f>
        <v>1</v>
      </c>
      <c r="F1778" s="0" t="n">
        <f aca="true">CRITBINOM(E1778,Coefficients!$B$31,RAND())</f>
        <v>0</v>
      </c>
      <c r="G1778" s="0" t="n">
        <f aca="true">CRITBINOM(MAX(0,D1778-E1778),1-Coefficients!$B$32,RAND())</f>
        <v>0</v>
      </c>
      <c r="H1778" s="0" t="n">
        <f aca="true">CRITBINOM(MAX(0,$C1778-D1778),MIN(0.6,Matchup!$B$40*SQRT($B1778)/(1-MIN(0.75,Matchup!$B$39*$B1778))),RAND())</f>
        <v>1</v>
      </c>
      <c r="I1778" s="0" t="n">
        <f aca="false">6*D1778+(D1778-E1778-G1778)+2*F1778+3*H1778</f>
        <v>16</v>
      </c>
      <c r="J1778" s="0" t="n">
        <f aca="true">CRITBINOM($C1778,MIN(0.75,Matchup!$C$39*$B1778),RAND())</f>
        <v>1</v>
      </c>
      <c r="K1778" s="0" t="n">
        <f aca="true">CRITBINOM(J1778,Coefficients!$B$30,RAND())</f>
        <v>0</v>
      </c>
      <c r="L1778" s="0" t="n">
        <f aca="true">CRITBINOM(K1778,Coefficients!$B$31,RAND())</f>
        <v>0</v>
      </c>
      <c r="M1778" s="0" t="n">
        <f aca="true">CRITBINOM(MAX(0,J1778-K1778),1-Coefficients!$B$32,RAND())</f>
        <v>0</v>
      </c>
      <c r="N1778" s="0" t="n">
        <f aca="true">CRITBINOM(MAX(0,$C1778-J1778),MIN(0.6,Matchup!$C$40*SQRT($B1778)/(1-MIN(0.75,Matchup!$C$39*$B1778))),RAND())</f>
        <v>1</v>
      </c>
      <c r="O1778" s="0" t="n">
        <f aca="false">6*J1778+(J1778-K1778-M1778)+2*L1778+3*N1778</f>
        <v>10</v>
      </c>
      <c r="P1778" s="0" t="n">
        <f aca="true">RAND()</f>
        <v>0.922605290461993</v>
      </c>
      <c r="Q1778" s="0" t="n">
        <f aca="true">RAND()</f>
        <v>0.90654795227722</v>
      </c>
      <c r="R1778" s="0" t="n">
        <f aca="false">IF($I1778&lt;&gt;$O1778,0,IF(P1778&lt;Matchup!$B$39,7,IF(P1778&lt;Matchup!$B$39+Matchup!$B$40,3,0)))</f>
        <v>0</v>
      </c>
      <c r="S1778" s="0" t="n">
        <f aca="false">IF($I1778&lt;&gt;$O1778,0,IF(Q1778&lt;Matchup!$C$39,7,IF(Q1778&lt;Matchup!$C$39+Matchup!$C$40,3,0)))</f>
        <v>0</v>
      </c>
      <c r="T1778" s="0" t="n">
        <f aca="false">I1778+R1778</f>
        <v>16</v>
      </c>
      <c r="U1778" s="0" t="n">
        <f aca="false">O1778+S1778</f>
        <v>10</v>
      </c>
      <c r="V1778" s="0" t="n">
        <f aca="false">T1778-U1778</f>
        <v>6</v>
      </c>
      <c r="W1778" s="0" t="n">
        <f aca="false">T1778+U1778</f>
        <v>26</v>
      </c>
    </row>
    <row r="1779" customFormat="false" ht="15" hidden="false" customHeight="false" outlineLevel="0" collapsed="false">
      <c r="A1779" s="0" t="n">
        <v>1776</v>
      </c>
      <c r="B1779" s="0" t="n">
        <f aca="true">NORMINV(RAND(),1,Coefficients!$B$22)</f>
        <v>1.01973414984042</v>
      </c>
      <c r="C1779" s="0" t="n">
        <f aca="true">MEDIAN(8,16,ROUND(NORMINV(RAND(),Coefficients!$B$20,Coefficients!$B$21),0))</f>
        <v>10</v>
      </c>
      <c r="D1779" s="0" t="n">
        <f aca="true">CRITBINOM($C1779,MIN(0.75,Matchup!$B$39*$B1779),RAND())</f>
        <v>3</v>
      </c>
      <c r="E1779" s="0" t="n">
        <f aca="true">CRITBINOM(D1779,Coefficients!$B$30,RAND())</f>
        <v>0</v>
      </c>
      <c r="F1779" s="0" t="n">
        <f aca="true">CRITBINOM(E1779,Coefficients!$B$31,RAND())</f>
        <v>0</v>
      </c>
      <c r="G1779" s="0" t="n">
        <f aca="true">CRITBINOM(MAX(0,D1779-E1779),1-Coefficients!$B$32,RAND())</f>
        <v>1</v>
      </c>
      <c r="H1779" s="0" t="n">
        <f aca="true">CRITBINOM(MAX(0,$C1779-D1779),MIN(0.6,Matchup!$B$40*SQRT($B1779)/(1-MIN(0.75,Matchup!$B$39*$B1779))),RAND())</f>
        <v>1</v>
      </c>
      <c r="I1779" s="0" t="n">
        <f aca="false">6*D1779+(D1779-E1779-G1779)+2*F1779+3*H1779</f>
        <v>23</v>
      </c>
      <c r="J1779" s="0" t="n">
        <f aca="true">CRITBINOM($C1779,MIN(0.75,Matchup!$C$39*$B1779),RAND())</f>
        <v>1</v>
      </c>
      <c r="K1779" s="0" t="n">
        <f aca="true">CRITBINOM(J1779,Coefficients!$B$30,RAND())</f>
        <v>0</v>
      </c>
      <c r="L1779" s="0" t="n">
        <f aca="true">CRITBINOM(K1779,Coefficients!$B$31,RAND())</f>
        <v>0</v>
      </c>
      <c r="M1779" s="0" t="n">
        <f aca="true">CRITBINOM(MAX(0,J1779-K1779),1-Coefficients!$B$32,RAND())</f>
        <v>0</v>
      </c>
      <c r="N1779" s="0" t="n">
        <f aca="true">CRITBINOM(MAX(0,$C1779-J1779),MIN(0.6,Matchup!$C$40*SQRT($B1779)/(1-MIN(0.75,Matchup!$C$39*$B1779))),RAND())</f>
        <v>2</v>
      </c>
      <c r="O1779" s="0" t="n">
        <f aca="false">6*J1779+(J1779-K1779-M1779)+2*L1779+3*N1779</f>
        <v>13</v>
      </c>
      <c r="P1779" s="0" t="n">
        <f aca="true">RAND()</f>
        <v>0.145748099491313</v>
      </c>
      <c r="Q1779" s="0" t="n">
        <f aca="true">RAND()</f>
        <v>0.361036050406045</v>
      </c>
      <c r="R1779" s="0" t="n">
        <f aca="false">IF($I1779&lt;&gt;$O1779,0,IF(P1779&lt;Matchup!$B$39,7,IF(P1779&lt;Matchup!$B$39+Matchup!$B$40,3,0)))</f>
        <v>0</v>
      </c>
      <c r="S1779" s="0" t="n">
        <f aca="false">IF($I1779&lt;&gt;$O1779,0,IF(Q1779&lt;Matchup!$C$39,7,IF(Q1779&lt;Matchup!$C$39+Matchup!$C$40,3,0)))</f>
        <v>0</v>
      </c>
      <c r="T1779" s="0" t="n">
        <f aca="false">I1779+R1779</f>
        <v>23</v>
      </c>
      <c r="U1779" s="0" t="n">
        <f aca="false">O1779+S1779</f>
        <v>13</v>
      </c>
      <c r="V1779" s="0" t="n">
        <f aca="false">T1779-U1779</f>
        <v>10</v>
      </c>
      <c r="W1779" s="0" t="n">
        <f aca="false">T1779+U1779</f>
        <v>36</v>
      </c>
    </row>
    <row r="1780" customFormat="false" ht="15" hidden="false" customHeight="false" outlineLevel="0" collapsed="false">
      <c r="A1780" s="0" t="n">
        <v>1777</v>
      </c>
      <c r="B1780" s="0" t="n">
        <f aca="true">NORMINV(RAND(),1,Coefficients!$B$22)</f>
        <v>1.08459407542889</v>
      </c>
      <c r="C1780" s="0" t="n">
        <f aca="true">MEDIAN(8,16,ROUND(NORMINV(RAND(),Coefficients!$B$20,Coefficients!$B$21),0))</f>
        <v>12</v>
      </c>
      <c r="D1780" s="0" t="n">
        <f aca="true">CRITBINOM($C1780,MIN(0.75,Matchup!$B$39*$B1780),RAND())</f>
        <v>4</v>
      </c>
      <c r="E1780" s="0" t="n">
        <f aca="true">CRITBINOM(D1780,Coefficients!$B$30,RAND())</f>
        <v>0</v>
      </c>
      <c r="F1780" s="0" t="n">
        <f aca="true">CRITBINOM(E1780,Coefficients!$B$31,RAND())</f>
        <v>0</v>
      </c>
      <c r="G1780" s="0" t="n">
        <f aca="true">CRITBINOM(MAX(0,D1780-E1780),1-Coefficients!$B$32,RAND())</f>
        <v>0</v>
      </c>
      <c r="H1780" s="0" t="n">
        <f aca="true">CRITBINOM(MAX(0,$C1780-D1780),MIN(0.6,Matchup!$B$40*SQRT($B1780)/(1-MIN(0.75,Matchup!$B$39*$B1780))),RAND())</f>
        <v>1</v>
      </c>
      <c r="I1780" s="0" t="n">
        <f aca="false">6*D1780+(D1780-E1780-G1780)+2*F1780+3*H1780</f>
        <v>31</v>
      </c>
      <c r="J1780" s="0" t="n">
        <f aca="true">CRITBINOM($C1780,MIN(0.75,Matchup!$C$39*$B1780),RAND())</f>
        <v>5</v>
      </c>
      <c r="K1780" s="0" t="n">
        <f aca="true">CRITBINOM(J1780,Coefficients!$B$30,RAND())</f>
        <v>0</v>
      </c>
      <c r="L1780" s="0" t="n">
        <f aca="true">CRITBINOM(K1780,Coefficients!$B$31,RAND())</f>
        <v>0</v>
      </c>
      <c r="M1780" s="0" t="n">
        <f aca="true">CRITBINOM(MAX(0,J1780-K1780),1-Coefficients!$B$32,RAND())</f>
        <v>0</v>
      </c>
      <c r="N1780" s="0" t="n">
        <f aca="true">CRITBINOM(MAX(0,$C1780-J1780),MIN(0.6,Matchup!$C$40*SQRT($B1780)/(1-MIN(0.75,Matchup!$C$39*$B1780))),RAND())</f>
        <v>0</v>
      </c>
      <c r="O1780" s="0" t="n">
        <f aca="false">6*J1780+(J1780-K1780-M1780)+2*L1780+3*N1780</f>
        <v>35</v>
      </c>
      <c r="P1780" s="0" t="n">
        <f aca="true">RAND()</f>
        <v>0.645725569531589</v>
      </c>
      <c r="Q1780" s="0" t="n">
        <f aca="true">RAND()</f>
        <v>0.756827107822521</v>
      </c>
      <c r="R1780" s="0" t="n">
        <f aca="false">IF($I1780&lt;&gt;$O1780,0,IF(P1780&lt;Matchup!$B$39,7,IF(P1780&lt;Matchup!$B$39+Matchup!$B$40,3,0)))</f>
        <v>0</v>
      </c>
      <c r="S1780" s="0" t="n">
        <f aca="false">IF($I1780&lt;&gt;$O1780,0,IF(Q1780&lt;Matchup!$C$39,7,IF(Q1780&lt;Matchup!$C$39+Matchup!$C$40,3,0)))</f>
        <v>0</v>
      </c>
      <c r="T1780" s="0" t="n">
        <f aca="false">I1780+R1780</f>
        <v>31</v>
      </c>
      <c r="U1780" s="0" t="n">
        <f aca="false">O1780+S1780</f>
        <v>35</v>
      </c>
      <c r="V1780" s="0" t="n">
        <f aca="false">T1780-U1780</f>
        <v>-4</v>
      </c>
      <c r="W1780" s="0" t="n">
        <f aca="false">T1780+U1780</f>
        <v>66</v>
      </c>
    </row>
    <row r="1781" customFormat="false" ht="15" hidden="false" customHeight="false" outlineLevel="0" collapsed="false">
      <c r="A1781" s="0" t="n">
        <v>1778</v>
      </c>
      <c r="B1781" s="0" t="n">
        <f aca="true">NORMINV(RAND(),1,Coefficients!$B$22)</f>
        <v>1.09837015706572</v>
      </c>
      <c r="C1781" s="0" t="n">
        <f aca="true">MEDIAN(8,16,ROUND(NORMINV(RAND(),Coefficients!$B$20,Coefficients!$B$21),0))</f>
        <v>11</v>
      </c>
      <c r="D1781" s="0" t="n">
        <f aca="true">CRITBINOM($C1781,MIN(0.75,Matchup!$B$39*$B1781),RAND())</f>
        <v>2</v>
      </c>
      <c r="E1781" s="0" t="n">
        <f aca="true">CRITBINOM(D1781,Coefficients!$B$30,RAND())</f>
        <v>1</v>
      </c>
      <c r="F1781" s="0" t="n">
        <f aca="true">CRITBINOM(E1781,Coefficients!$B$31,RAND())</f>
        <v>1</v>
      </c>
      <c r="G1781" s="0" t="n">
        <f aca="true">CRITBINOM(MAX(0,D1781-E1781),1-Coefficients!$B$32,RAND())</f>
        <v>0</v>
      </c>
      <c r="H1781" s="0" t="n">
        <f aca="true">CRITBINOM(MAX(0,$C1781-D1781),MIN(0.6,Matchup!$B$40*SQRT($B1781)/(1-MIN(0.75,Matchup!$B$39*$B1781))),RAND())</f>
        <v>1</v>
      </c>
      <c r="I1781" s="0" t="n">
        <f aca="false">6*D1781+(D1781-E1781-G1781)+2*F1781+3*H1781</f>
        <v>18</v>
      </c>
      <c r="J1781" s="0" t="n">
        <f aca="true">CRITBINOM($C1781,MIN(0.75,Matchup!$C$39*$B1781),RAND())</f>
        <v>5</v>
      </c>
      <c r="K1781" s="0" t="n">
        <f aca="true">CRITBINOM(J1781,Coefficients!$B$30,RAND())</f>
        <v>0</v>
      </c>
      <c r="L1781" s="0" t="n">
        <f aca="true">CRITBINOM(K1781,Coefficients!$B$31,RAND())</f>
        <v>0</v>
      </c>
      <c r="M1781" s="0" t="n">
        <f aca="true">CRITBINOM(MAX(0,J1781-K1781),1-Coefficients!$B$32,RAND())</f>
        <v>0</v>
      </c>
      <c r="N1781" s="0" t="n">
        <f aca="true">CRITBINOM(MAX(0,$C1781-J1781),MIN(0.6,Matchup!$C$40*SQRT($B1781)/(1-MIN(0.75,Matchup!$C$39*$B1781))),RAND())</f>
        <v>1</v>
      </c>
      <c r="O1781" s="0" t="n">
        <f aca="false">6*J1781+(J1781-K1781-M1781)+2*L1781+3*N1781</f>
        <v>38</v>
      </c>
      <c r="P1781" s="0" t="n">
        <f aca="true">RAND()</f>
        <v>0.170290907561819</v>
      </c>
      <c r="Q1781" s="0" t="n">
        <f aca="true">RAND()</f>
        <v>0.274395104218383</v>
      </c>
      <c r="R1781" s="0" t="n">
        <f aca="false">IF($I1781&lt;&gt;$O1781,0,IF(P1781&lt;Matchup!$B$39,7,IF(P1781&lt;Matchup!$B$39+Matchup!$B$40,3,0)))</f>
        <v>0</v>
      </c>
      <c r="S1781" s="0" t="n">
        <f aca="false">IF($I1781&lt;&gt;$O1781,0,IF(Q1781&lt;Matchup!$C$39,7,IF(Q1781&lt;Matchup!$C$39+Matchup!$C$40,3,0)))</f>
        <v>0</v>
      </c>
      <c r="T1781" s="0" t="n">
        <f aca="false">I1781+R1781</f>
        <v>18</v>
      </c>
      <c r="U1781" s="0" t="n">
        <f aca="false">O1781+S1781</f>
        <v>38</v>
      </c>
      <c r="V1781" s="0" t="n">
        <f aca="false">T1781-U1781</f>
        <v>-20</v>
      </c>
      <c r="W1781" s="0" t="n">
        <f aca="false">T1781+U1781</f>
        <v>56</v>
      </c>
    </row>
    <row r="1782" customFormat="false" ht="15" hidden="false" customHeight="false" outlineLevel="0" collapsed="false">
      <c r="A1782" s="0" t="n">
        <v>1779</v>
      </c>
      <c r="B1782" s="0" t="n">
        <f aca="true">NORMINV(RAND(),1,Coefficients!$B$22)</f>
        <v>0.880896665697985</v>
      </c>
      <c r="C1782" s="0" t="n">
        <f aca="true">MEDIAN(8,16,ROUND(NORMINV(RAND(),Coefficients!$B$20,Coefficients!$B$21),0))</f>
        <v>11</v>
      </c>
      <c r="D1782" s="0" t="n">
        <f aca="true">CRITBINOM($C1782,MIN(0.75,Matchup!$B$39*$B1782),RAND())</f>
        <v>1</v>
      </c>
      <c r="E1782" s="0" t="n">
        <f aca="true">CRITBINOM(D1782,Coefficients!$B$30,RAND())</f>
        <v>0</v>
      </c>
      <c r="F1782" s="0" t="n">
        <f aca="true">CRITBINOM(E1782,Coefficients!$B$31,RAND())</f>
        <v>0</v>
      </c>
      <c r="G1782" s="0" t="n">
        <f aca="true">CRITBINOM(MAX(0,D1782-E1782),1-Coefficients!$B$32,RAND())</f>
        <v>0</v>
      </c>
      <c r="H1782" s="0" t="n">
        <f aca="true">CRITBINOM(MAX(0,$C1782-D1782),MIN(0.6,Matchup!$B$40*SQRT($B1782)/(1-MIN(0.75,Matchup!$B$39*$B1782))),RAND())</f>
        <v>2</v>
      </c>
      <c r="I1782" s="0" t="n">
        <f aca="false">6*D1782+(D1782-E1782-G1782)+2*F1782+3*H1782</f>
        <v>13</v>
      </c>
      <c r="J1782" s="0" t="n">
        <f aca="true">CRITBINOM($C1782,MIN(0.75,Matchup!$C$39*$B1782),RAND())</f>
        <v>4</v>
      </c>
      <c r="K1782" s="0" t="n">
        <f aca="true">CRITBINOM(J1782,Coefficients!$B$30,RAND())</f>
        <v>1</v>
      </c>
      <c r="L1782" s="0" t="n">
        <f aca="true">CRITBINOM(K1782,Coefficients!$B$31,RAND())</f>
        <v>0</v>
      </c>
      <c r="M1782" s="0" t="n">
        <f aca="true">CRITBINOM(MAX(0,J1782-K1782),1-Coefficients!$B$32,RAND())</f>
        <v>0</v>
      </c>
      <c r="N1782" s="0" t="n">
        <f aca="true">CRITBINOM(MAX(0,$C1782-J1782),MIN(0.6,Matchup!$C$40*SQRT($B1782)/(1-MIN(0.75,Matchup!$C$39*$B1782))),RAND())</f>
        <v>0</v>
      </c>
      <c r="O1782" s="0" t="n">
        <f aca="false">6*J1782+(J1782-K1782-M1782)+2*L1782+3*N1782</f>
        <v>27</v>
      </c>
      <c r="P1782" s="0" t="n">
        <f aca="true">RAND()</f>
        <v>0.753270991384184</v>
      </c>
      <c r="Q1782" s="0" t="n">
        <f aca="true">RAND()</f>
        <v>0.710566217679108</v>
      </c>
      <c r="R1782" s="0" t="n">
        <f aca="false">IF($I1782&lt;&gt;$O1782,0,IF(P1782&lt;Matchup!$B$39,7,IF(P1782&lt;Matchup!$B$39+Matchup!$B$40,3,0)))</f>
        <v>0</v>
      </c>
      <c r="S1782" s="0" t="n">
        <f aca="false">IF($I1782&lt;&gt;$O1782,0,IF(Q1782&lt;Matchup!$C$39,7,IF(Q1782&lt;Matchup!$C$39+Matchup!$C$40,3,0)))</f>
        <v>0</v>
      </c>
      <c r="T1782" s="0" t="n">
        <f aca="false">I1782+R1782</f>
        <v>13</v>
      </c>
      <c r="U1782" s="0" t="n">
        <f aca="false">O1782+S1782</f>
        <v>27</v>
      </c>
      <c r="V1782" s="0" t="n">
        <f aca="false">T1782-U1782</f>
        <v>-14</v>
      </c>
      <c r="W1782" s="0" t="n">
        <f aca="false">T1782+U1782</f>
        <v>40</v>
      </c>
    </row>
    <row r="1783" customFormat="false" ht="15" hidden="false" customHeight="false" outlineLevel="0" collapsed="false">
      <c r="A1783" s="0" t="n">
        <v>1780</v>
      </c>
      <c r="B1783" s="0" t="n">
        <f aca="true">NORMINV(RAND(),1,Coefficients!$B$22)</f>
        <v>0.985323578221549</v>
      </c>
      <c r="C1783" s="0" t="n">
        <f aca="true">MEDIAN(8,16,ROUND(NORMINV(RAND(),Coefficients!$B$20,Coefficients!$B$21),0))</f>
        <v>12</v>
      </c>
      <c r="D1783" s="0" t="n">
        <f aca="true">CRITBINOM($C1783,MIN(0.75,Matchup!$B$39*$B1783),RAND())</f>
        <v>3</v>
      </c>
      <c r="E1783" s="0" t="n">
        <f aca="true">CRITBINOM(D1783,Coefficients!$B$30,RAND())</f>
        <v>0</v>
      </c>
      <c r="F1783" s="0" t="n">
        <f aca="true">CRITBINOM(E1783,Coefficients!$B$31,RAND())</f>
        <v>0</v>
      </c>
      <c r="G1783" s="0" t="n">
        <f aca="true">CRITBINOM(MAX(0,D1783-E1783),1-Coefficients!$B$32,RAND())</f>
        <v>0</v>
      </c>
      <c r="H1783" s="0" t="n">
        <f aca="true">CRITBINOM(MAX(0,$C1783-D1783),MIN(0.6,Matchup!$B$40*SQRT($B1783)/(1-MIN(0.75,Matchup!$B$39*$B1783))),RAND())</f>
        <v>1</v>
      </c>
      <c r="I1783" s="0" t="n">
        <f aca="false">6*D1783+(D1783-E1783-G1783)+2*F1783+3*H1783</f>
        <v>24</v>
      </c>
      <c r="J1783" s="0" t="n">
        <f aca="true">CRITBINOM($C1783,MIN(0.75,Matchup!$C$39*$B1783),RAND())</f>
        <v>2</v>
      </c>
      <c r="K1783" s="0" t="n">
        <f aca="true">CRITBINOM(J1783,Coefficients!$B$30,RAND())</f>
        <v>1</v>
      </c>
      <c r="L1783" s="0" t="n">
        <f aca="true">CRITBINOM(K1783,Coefficients!$B$31,RAND())</f>
        <v>0</v>
      </c>
      <c r="M1783" s="0" t="n">
        <f aca="true">CRITBINOM(MAX(0,J1783-K1783),1-Coefficients!$B$32,RAND())</f>
        <v>0</v>
      </c>
      <c r="N1783" s="0" t="n">
        <f aca="true">CRITBINOM(MAX(0,$C1783-J1783),MIN(0.6,Matchup!$C$40*SQRT($B1783)/(1-MIN(0.75,Matchup!$C$39*$B1783))),RAND())</f>
        <v>2</v>
      </c>
      <c r="O1783" s="0" t="n">
        <f aca="false">6*J1783+(J1783-K1783-M1783)+2*L1783+3*N1783</f>
        <v>19</v>
      </c>
      <c r="P1783" s="0" t="n">
        <f aca="true">RAND()</f>
        <v>0.15890343805897</v>
      </c>
      <c r="Q1783" s="0" t="n">
        <f aca="true">RAND()</f>
        <v>0.00861110375710219</v>
      </c>
      <c r="R1783" s="0" t="n">
        <f aca="false">IF($I1783&lt;&gt;$O1783,0,IF(P1783&lt;Matchup!$B$39,7,IF(P1783&lt;Matchup!$B$39+Matchup!$B$40,3,0)))</f>
        <v>0</v>
      </c>
      <c r="S1783" s="0" t="n">
        <f aca="false">IF($I1783&lt;&gt;$O1783,0,IF(Q1783&lt;Matchup!$C$39,7,IF(Q1783&lt;Matchup!$C$39+Matchup!$C$40,3,0)))</f>
        <v>0</v>
      </c>
      <c r="T1783" s="0" t="n">
        <f aca="false">I1783+R1783</f>
        <v>24</v>
      </c>
      <c r="U1783" s="0" t="n">
        <f aca="false">O1783+S1783</f>
        <v>19</v>
      </c>
      <c r="V1783" s="0" t="n">
        <f aca="false">T1783-U1783</f>
        <v>5</v>
      </c>
      <c r="W1783" s="0" t="n">
        <f aca="false">T1783+U1783</f>
        <v>43</v>
      </c>
    </row>
    <row r="1784" customFormat="false" ht="15" hidden="false" customHeight="false" outlineLevel="0" collapsed="false">
      <c r="A1784" s="0" t="n">
        <v>1781</v>
      </c>
      <c r="B1784" s="0" t="n">
        <f aca="true">NORMINV(RAND(),1,Coefficients!$B$22)</f>
        <v>1.02626024948281</v>
      </c>
      <c r="C1784" s="0" t="n">
        <f aca="true">MEDIAN(8,16,ROUND(NORMINV(RAND(),Coefficients!$B$20,Coefficients!$B$21),0))</f>
        <v>11</v>
      </c>
      <c r="D1784" s="0" t="n">
        <f aca="true">CRITBINOM($C1784,MIN(0.75,Matchup!$B$39*$B1784),RAND())</f>
        <v>2</v>
      </c>
      <c r="E1784" s="0" t="n">
        <f aca="true">CRITBINOM(D1784,Coefficients!$B$30,RAND())</f>
        <v>0</v>
      </c>
      <c r="F1784" s="0" t="n">
        <f aca="true">CRITBINOM(E1784,Coefficients!$B$31,RAND())</f>
        <v>0</v>
      </c>
      <c r="G1784" s="0" t="n">
        <f aca="true">CRITBINOM(MAX(0,D1784-E1784),1-Coefficients!$B$32,RAND())</f>
        <v>0</v>
      </c>
      <c r="H1784" s="0" t="n">
        <f aca="true">CRITBINOM(MAX(0,$C1784-D1784),MIN(0.6,Matchup!$B$40*SQRT($B1784)/(1-MIN(0.75,Matchup!$B$39*$B1784))),RAND())</f>
        <v>1</v>
      </c>
      <c r="I1784" s="0" t="n">
        <f aca="false">6*D1784+(D1784-E1784-G1784)+2*F1784+3*H1784</f>
        <v>17</v>
      </c>
      <c r="J1784" s="0" t="n">
        <f aca="true">CRITBINOM($C1784,MIN(0.75,Matchup!$C$39*$B1784),RAND())</f>
        <v>2</v>
      </c>
      <c r="K1784" s="0" t="n">
        <f aca="true">CRITBINOM(J1784,Coefficients!$B$30,RAND())</f>
        <v>0</v>
      </c>
      <c r="L1784" s="0" t="n">
        <f aca="true">CRITBINOM(K1784,Coefficients!$B$31,RAND())</f>
        <v>0</v>
      </c>
      <c r="M1784" s="0" t="n">
        <f aca="true">CRITBINOM(MAX(0,J1784-K1784),1-Coefficients!$B$32,RAND())</f>
        <v>0</v>
      </c>
      <c r="N1784" s="0" t="n">
        <f aca="true">CRITBINOM(MAX(0,$C1784-J1784),MIN(0.6,Matchup!$C$40*SQRT($B1784)/(1-MIN(0.75,Matchup!$C$39*$B1784))),RAND())</f>
        <v>3</v>
      </c>
      <c r="O1784" s="0" t="n">
        <f aca="false">6*J1784+(J1784-K1784-M1784)+2*L1784+3*N1784</f>
        <v>23</v>
      </c>
      <c r="P1784" s="0" t="n">
        <f aca="true">RAND()</f>
        <v>0.601002842894641</v>
      </c>
      <c r="Q1784" s="0" t="n">
        <f aca="true">RAND()</f>
        <v>0.503299623303939</v>
      </c>
      <c r="R1784" s="0" t="n">
        <f aca="false">IF($I1784&lt;&gt;$O1784,0,IF(P1784&lt;Matchup!$B$39,7,IF(P1784&lt;Matchup!$B$39+Matchup!$B$40,3,0)))</f>
        <v>0</v>
      </c>
      <c r="S1784" s="0" t="n">
        <f aca="false">IF($I1784&lt;&gt;$O1784,0,IF(Q1784&lt;Matchup!$C$39,7,IF(Q1784&lt;Matchup!$C$39+Matchup!$C$40,3,0)))</f>
        <v>0</v>
      </c>
      <c r="T1784" s="0" t="n">
        <f aca="false">I1784+R1784</f>
        <v>17</v>
      </c>
      <c r="U1784" s="0" t="n">
        <f aca="false">O1784+S1784</f>
        <v>23</v>
      </c>
      <c r="V1784" s="0" t="n">
        <f aca="false">T1784-U1784</f>
        <v>-6</v>
      </c>
      <c r="W1784" s="0" t="n">
        <f aca="false">T1784+U1784</f>
        <v>40</v>
      </c>
    </row>
    <row r="1785" customFormat="false" ht="15" hidden="false" customHeight="false" outlineLevel="0" collapsed="false">
      <c r="A1785" s="0" t="n">
        <v>1782</v>
      </c>
      <c r="B1785" s="0" t="n">
        <f aca="true">NORMINV(RAND(),1,Coefficients!$B$22)</f>
        <v>1.01023730077205</v>
      </c>
      <c r="C1785" s="0" t="n">
        <f aca="true">MEDIAN(8,16,ROUND(NORMINV(RAND(),Coefficients!$B$20,Coefficients!$B$21),0))</f>
        <v>11</v>
      </c>
      <c r="D1785" s="0" t="n">
        <f aca="true">CRITBINOM($C1785,MIN(0.75,Matchup!$B$39*$B1785),RAND())</f>
        <v>1</v>
      </c>
      <c r="E1785" s="0" t="n">
        <f aca="true">CRITBINOM(D1785,Coefficients!$B$30,RAND())</f>
        <v>0</v>
      </c>
      <c r="F1785" s="0" t="n">
        <f aca="true">CRITBINOM(E1785,Coefficients!$B$31,RAND())</f>
        <v>0</v>
      </c>
      <c r="G1785" s="0" t="n">
        <f aca="true">CRITBINOM(MAX(0,D1785-E1785),1-Coefficients!$B$32,RAND())</f>
        <v>1</v>
      </c>
      <c r="H1785" s="0" t="n">
        <f aca="true">CRITBINOM(MAX(0,$C1785-D1785),MIN(0.6,Matchup!$B$40*SQRT($B1785)/(1-MIN(0.75,Matchup!$B$39*$B1785))),RAND())</f>
        <v>1</v>
      </c>
      <c r="I1785" s="0" t="n">
        <f aca="false">6*D1785+(D1785-E1785-G1785)+2*F1785+3*H1785</f>
        <v>9</v>
      </c>
      <c r="J1785" s="0" t="n">
        <f aca="true">CRITBINOM($C1785,MIN(0.75,Matchup!$C$39*$B1785),RAND())</f>
        <v>2</v>
      </c>
      <c r="K1785" s="0" t="n">
        <f aca="true">CRITBINOM(J1785,Coefficients!$B$30,RAND())</f>
        <v>0</v>
      </c>
      <c r="L1785" s="0" t="n">
        <f aca="true">CRITBINOM(K1785,Coefficients!$B$31,RAND())</f>
        <v>0</v>
      </c>
      <c r="M1785" s="0" t="n">
        <f aca="true">CRITBINOM(MAX(0,J1785-K1785),1-Coefficients!$B$32,RAND())</f>
        <v>0</v>
      </c>
      <c r="N1785" s="0" t="n">
        <f aca="true">CRITBINOM(MAX(0,$C1785-J1785),MIN(0.6,Matchup!$C$40*SQRT($B1785)/(1-MIN(0.75,Matchup!$C$39*$B1785))),RAND())</f>
        <v>5</v>
      </c>
      <c r="O1785" s="0" t="n">
        <f aca="false">6*J1785+(J1785-K1785-M1785)+2*L1785+3*N1785</f>
        <v>29</v>
      </c>
      <c r="P1785" s="0" t="n">
        <f aca="true">RAND()</f>
        <v>0.249005054161156</v>
      </c>
      <c r="Q1785" s="0" t="n">
        <f aca="true">RAND()</f>
        <v>0.375699643527783</v>
      </c>
      <c r="R1785" s="0" t="n">
        <f aca="false">IF($I1785&lt;&gt;$O1785,0,IF(P1785&lt;Matchup!$B$39,7,IF(P1785&lt;Matchup!$B$39+Matchup!$B$40,3,0)))</f>
        <v>0</v>
      </c>
      <c r="S1785" s="0" t="n">
        <f aca="false">IF($I1785&lt;&gt;$O1785,0,IF(Q1785&lt;Matchup!$C$39,7,IF(Q1785&lt;Matchup!$C$39+Matchup!$C$40,3,0)))</f>
        <v>0</v>
      </c>
      <c r="T1785" s="0" t="n">
        <f aca="false">I1785+R1785</f>
        <v>9</v>
      </c>
      <c r="U1785" s="0" t="n">
        <f aca="false">O1785+S1785</f>
        <v>29</v>
      </c>
      <c r="V1785" s="0" t="n">
        <f aca="false">T1785-U1785</f>
        <v>-20</v>
      </c>
      <c r="W1785" s="0" t="n">
        <f aca="false">T1785+U1785</f>
        <v>38</v>
      </c>
    </row>
    <row r="1786" customFormat="false" ht="15" hidden="false" customHeight="false" outlineLevel="0" collapsed="false">
      <c r="A1786" s="0" t="n">
        <v>1783</v>
      </c>
      <c r="B1786" s="0" t="n">
        <f aca="true">NORMINV(RAND(),1,Coefficients!$B$22)</f>
        <v>0.965822154787788</v>
      </c>
      <c r="C1786" s="0" t="n">
        <f aca="true">MEDIAN(8,16,ROUND(NORMINV(RAND(),Coefficients!$B$20,Coefficients!$B$21),0))</f>
        <v>12</v>
      </c>
      <c r="D1786" s="0" t="n">
        <f aca="true">CRITBINOM($C1786,MIN(0.75,Matchup!$B$39*$B1786),RAND())</f>
        <v>6</v>
      </c>
      <c r="E1786" s="0" t="n">
        <f aca="true">CRITBINOM(D1786,Coefficients!$B$30,RAND())</f>
        <v>0</v>
      </c>
      <c r="F1786" s="0" t="n">
        <f aca="true">CRITBINOM(E1786,Coefficients!$B$31,RAND())</f>
        <v>0</v>
      </c>
      <c r="G1786" s="0" t="n">
        <f aca="true">CRITBINOM(MAX(0,D1786-E1786),1-Coefficients!$B$32,RAND())</f>
        <v>0</v>
      </c>
      <c r="H1786" s="0" t="n">
        <f aca="true">CRITBINOM(MAX(0,$C1786-D1786),MIN(0.6,Matchup!$B$40*SQRT($B1786)/(1-MIN(0.75,Matchup!$B$39*$B1786))),RAND())</f>
        <v>0</v>
      </c>
      <c r="I1786" s="0" t="n">
        <f aca="false">6*D1786+(D1786-E1786-G1786)+2*F1786+3*H1786</f>
        <v>42</v>
      </c>
      <c r="J1786" s="0" t="n">
        <f aca="true">CRITBINOM($C1786,MIN(0.75,Matchup!$C$39*$B1786),RAND())</f>
        <v>6</v>
      </c>
      <c r="K1786" s="0" t="n">
        <f aca="true">CRITBINOM(J1786,Coefficients!$B$30,RAND())</f>
        <v>1</v>
      </c>
      <c r="L1786" s="0" t="n">
        <f aca="true">CRITBINOM(K1786,Coefficients!$B$31,RAND())</f>
        <v>1</v>
      </c>
      <c r="M1786" s="0" t="n">
        <f aca="true">CRITBINOM(MAX(0,J1786-K1786),1-Coefficients!$B$32,RAND())</f>
        <v>0</v>
      </c>
      <c r="N1786" s="0" t="n">
        <f aca="true">CRITBINOM(MAX(0,$C1786-J1786),MIN(0.6,Matchup!$C$40*SQRT($B1786)/(1-MIN(0.75,Matchup!$C$39*$B1786))),RAND())</f>
        <v>1</v>
      </c>
      <c r="O1786" s="0" t="n">
        <f aca="false">6*J1786+(J1786-K1786-M1786)+2*L1786+3*N1786</f>
        <v>46</v>
      </c>
      <c r="P1786" s="0" t="n">
        <f aca="true">RAND()</f>
        <v>0.218582381493577</v>
      </c>
      <c r="Q1786" s="0" t="n">
        <f aca="true">RAND()</f>
        <v>0.0971901294128964</v>
      </c>
      <c r="R1786" s="0" t="n">
        <f aca="false">IF($I1786&lt;&gt;$O1786,0,IF(P1786&lt;Matchup!$B$39,7,IF(P1786&lt;Matchup!$B$39+Matchup!$B$40,3,0)))</f>
        <v>0</v>
      </c>
      <c r="S1786" s="0" t="n">
        <f aca="false">IF($I1786&lt;&gt;$O1786,0,IF(Q1786&lt;Matchup!$C$39,7,IF(Q1786&lt;Matchup!$C$39+Matchup!$C$40,3,0)))</f>
        <v>0</v>
      </c>
      <c r="T1786" s="0" t="n">
        <f aca="false">I1786+R1786</f>
        <v>42</v>
      </c>
      <c r="U1786" s="0" t="n">
        <f aca="false">O1786+S1786</f>
        <v>46</v>
      </c>
      <c r="V1786" s="0" t="n">
        <f aca="false">T1786-U1786</f>
        <v>-4</v>
      </c>
      <c r="W1786" s="0" t="n">
        <f aca="false">T1786+U1786</f>
        <v>88</v>
      </c>
    </row>
    <row r="1787" customFormat="false" ht="15" hidden="false" customHeight="false" outlineLevel="0" collapsed="false">
      <c r="A1787" s="0" t="n">
        <v>1784</v>
      </c>
      <c r="B1787" s="0" t="n">
        <f aca="true">NORMINV(RAND(),1,Coefficients!$B$22)</f>
        <v>0.978230705457143</v>
      </c>
      <c r="C1787" s="0" t="n">
        <f aca="true">MEDIAN(8,16,ROUND(NORMINV(RAND(),Coefficients!$B$20,Coefficients!$B$21),0))</f>
        <v>11</v>
      </c>
      <c r="D1787" s="0" t="n">
        <f aca="true">CRITBINOM($C1787,MIN(0.75,Matchup!$B$39*$B1787),RAND())</f>
        <v>2</v>
      </c>
      <c r="E1787" s="0" t="n">
        <f aca="true">CRITBINOM(D1787,Coefficients!$B$30,RAND())</f>
        <v>0</v>
      </c>
      <c r="F1787" s="0" t="n">
        <f aca="true">CRITBINOM(E1787,Coefficients!$B$31,RAND())</f>
        <v>0</v>
      </c>
      <c r="G1787" s="0" t="n">
        <f aca="true">CRITBINOM(MAX(0,D1787-E1787),1-Coefficients!$B$32,RAND())</f>
        <v>0</v>
      </c>
      <c r="H1787" s="0" t="n">
        <f aca="true">CRITBINOM(MAX(0,$C1787-D1787),MIN(0.6,Matchup!$B$40*SQRT($B1787)/(1-MIN(0.75,Matchup!$B$39*$B1787))),RAND())</f>
        <v>0</v>
      </c>
      <c r="I1787" s="0" t="n">
        <f aca="false">6*D1787+(D1787-E1787-G1787)+2*F1787+3*H1787</f>
        <v>14</v>
      </c>
      <c r="J1787" s="0" t="n">
        <f aca="true">CRITBINOM($C1787,MIN(0.75,Matchup!$C$39*$B1787),RAND())</f>
        <v>4</v>
      </c>
      <c r="K1787" s="0" t="n">
        <f aca="true">CRITBINOM(J1787,Coefficients!$B$30,RAND())</f>
        <v>1</v>
      </c>
      <c r="L1787" s="0" t="n">
        <f aca="true">CRITBINOM(K1787,Coefficients!$B$31,RAND())</f>
        <v>1</v>
      </c>
      <c r="M1787" s="0" t="n">
        <f aca="true">CRITBINOM(MAX(0,J1787-K1787),1-Coefficients!$B$32,RAND())</f>
        <v>0</v>
      </c>
      <c r="N1787" s="0" t="n">
        <f aca="true">CRITBINOM(MAX(0,$C1787-J1787),MIN(0.6,Matchup!$C$40*SQRT($B1787)/(1-MIN(0.75,Matchup!$C$39*$B1787))),RAND())</f>
        <v>0</v>
      </c>
      <c r="O1787" s="0" t="n">
        <f aca="false">6*J1787+(J1787-K1787-M1787)+2*L1787+3*N1787</f>
        <v>29</v>
      </c>
      <c r="P1787" s="0" t="n">
        <f aca="true">RAND()</f>
        <v>0.268554948210776</v>
      </c>
      <c r="Q1787" s="0" t="n">
        <f aca="true">RAND()</f>
        <v>0.128639569940001</v>
      </c>
      <c r="R1787" s="0" t="n">
        <f aca="false">IF($I1787&lt;&gt;$O1787,0,IF(P1787&lt;Matchup!$B$39,7,IF(P1787&lt;Matchup!$B$39+Matchup!$B$40,3,0)))</f>
        <v>0</v>
      </c>
      <c r="S1787" s="0" t="n">
        <f aca="false">IF($I1787&lt;&gt;$O1787,0,IF(Q1787&lt;Matchup!$C$39,7,IF(Q1787&lt;Matchup!$C$39+Matchup!$C$40,3,0)))</f>
        <v>0</v>
      </c>
      <c r="T1787" s="0" t="n">
        <f aca="false">I1787+R1787</f>
        <v>14</v>
      </c>
      <c r="U1787" s="0" t="n">
        <f aca="false">O1787+S1787</f>
        <v>29</v>
      </c>
      <c r="V1787" s="0" t="n">
        <f aca="false">T1787-U1787</f>
        <v>-15</v>
      </c>
      <c r="W1787" s="0" t="n">
        <f aca="false">T1787+U1787</f>
        <v>43</v>
      </c>
    </row>
    <row r="1788" customFormat="false" ht="15" hidden="false" customHeight="false" outlineLevel="0" collapsed="false">
      <c r="A1788" s="0" t="n">
        <v>1785</v>
      </c>
      <c r="B1788" s="0" t="n">
        <f aca="true">NORMINV(RAND(),1,Coefficients!$B$22)</f>
        <v>0.994804208253135</v>
      </c>
      <c r="C1788" s="0" t="n">
        <f aca="true">MEDIAN(8,16,ROUND(NORMINV(RAND(),Coefficients!$B$20,Coefficients!$B$21),0))</f>
        <v>12</v>
      </c>
      <c r="D1788" s="0" t="n">
        <f aca="true">CRITBINOM($C1788,MIN(0.75,Matchup!$B$39*$B1788),RAND())</f>
        <v>4</v>
      </c>
      <c r="E1788" s="0" t="n">
        <f aca="true">CRITBINOM(D1788,Coefficients!$B$30,RAND())</f>
        <v>1</v>
      </c>
      <c r="F1788" s="0" t="n">
        <f aca="true">CRITBINOM(E1788,Coefficients!$B$31,RAND())</f>
        <v>1</v>
      </c>
      <c r="G1788" s="0" t="n">
        <f aca="true">CRITBINOM(MAX(0,D1788-E1788),1-Coefficients!$B$32,RAND())</f>
        <v>1</v>
      </c>
      <c r="H1788" s="0" t="n">
        <f aca="true">CRITBINOM(MAX(0,$C1788-D1788),MIN(0.6,Matchup!$B$40*SQRT($B1788)/(1-MIN(0.75,Matchup!$B$39*$B1788))),RAND())</f>
        <v>1</v>
      </c>
      <c r="I1788" s="0" t="n">
        <f aca="false">6*D1788+(D1788-E1788-G1788)+2*F1788+3*H1788</f>
        <v>31</v>
      </c>
      <c r="J1788" s="0" t="n">
        <f aca="true">CRITBINOM($C1788,MIN(0.75,Matchup!$C$39*$B1788),RAND())</f>
        <v>0</v>
      </c>
      <c r="K1788" s="0" t="n">
        <f aca="true">CRITBINOM(J1788,Coefficients!$B$30,RAND())</f>
        <v>0</v>
      </c>
      <c r="L1788" s="0" t="n">
        <f aca="true">CRITBINOM(K1788,Coefficients!$B$31,RAND())</f>
        <v>0</v>
      </c>
      <c r="M1788" s="0" t="n">
        <f aca="true">CRITBINOM(MAX(0,J1788-K1788),1-Coefficients!$B$32,RAND())</f>
        <v>0</v>
      </c>
      <c r="N1788" s="0" t="n">
        <f aca="true">CRITBINOM(MAX(0,$C1788-J1788),MIN(0.6,Matchup!$C$40*SQRT($B1788)/(1-MIN(0.75,Matchup!$C$39*$B1788))),RAND())</f>
        <v>2</v>
      </c>
      <c r="O1788" s="0" t="n">
        <f aca="false">6*J1788+(J1788-K1788-M1788)+2*L1788+3*N1788</f>
        <v>6</v>
      </c>
      <c r="P1788" s="0" t="n">
        <f aca="true">RAND()</f>
        <v>0.524364626443134</v>
      </c>
      <c r="Q1788" s="0" t="n">
        <f aca="true">RAND()</f>
        <v>0.981313493516441</v>
      </c>
      <c r="R1788" s="0" t="n">
        <f aca="false">IF($I1788&lt;&gt;$O1788,0,IF(P1788&lt;Matchup!$B$39,7,IF(P1788&lt;Matchup!$B$39+Matchup!$B$40,3,0)))</f>
        <v>0</v>
      </c>
      <c r="S1788" s="0" t="n">
        <f aca="false">IF($I1788&lt;&gt;$O1788,0,IF(Q1788&lt;Matchup!$C$39,7,IF(Q1788&lt;Matchup!$C$39+Matchup!$C$40,3,0)))</f>
        <v>0</v>
      </c>
      <c r="T1788" s="0" t="n">
        <f aca="false">I1788+R1788</f>
        <v>31</v>
      </c>
      <c r="U1788" s="0" t="n">
        <f aca="false">O1788+S1788</f>
        <v>6</v>
      </c>
      <c r="V1788" s="0" t="n">
        <f aca="false">T1788-U1788</f>
        <v>25</v>
      </c>
      <c r="W1788" s="0" t="n">
        <f aca="false">T1788+U1788</f>
        <v>37</v>
      </c>
    </row>
    <row r="1789" customFormat="false" ht="15" hidden="false" customHeight="false" outlineLevel="0" collapsed="false">
      <c r="A1789" s="0" t="n">
        <v>1786</v>
      </c>
      <c r="B1789" s="0" t="n">
        <f aca="true">NORMINV(RAND(),1,Coefficients!$B$22)</f>
        <v>0.975090785374489</v>
      </c>
      <c r="C1789" s="0" t="n">
        <f aca="true">MEDIAN(8,16,ROUND(NORMINV(RAND(),Coefficients!$B$20,Coefficients!$B$21),0))</f>
        <v>12</v>
      </c>
      <c r="D1789" s="0" t="n">
        <f aca="true">CRITBINOM($C1789,MIN(0.75,Matchup!$B$39*$B1789),RAND())</f>
        <v>3</v>
      </c>
      <c r="E1789" s="0" t="n">
        <f aca="true">CRITBINOM(D1789,Coefficients!$B$30,RAND())</f>
        <v>1</v>
      </c>
      <c r="F1789" s="0" t="n">
        <f aca="true">CRITBINOM(E1789,Coefficients!$B$31,RAND())</f>
        <v>0</v>
      </c>
      <c r="G1789" s="0" t="n">
        <f aca="true">CRITBINOM(MAX(0,D1789-E1789),1-Coefficients!$B$32,RAND())</f>
        <v>0</v>
      </c>
      <c r="H1789" s="0" t="n">
        <f aca="true">CRITBINOM(MAX(0,$C1789-D1789),MIN(0.6,Matchup!$B$40*SQRT($B1789)/(1-MIN(0.75,Matchup!$B$39*$B1789))),RAND())</f>
        <v>4</v>
      </c>
      <c r="I1789" s="0" t="n">
        <f aca="false">6*D1789+(D1789-E1789-G1789)+2*F1789+3*H1789</f>
        <v>32</v>
      </c>
      <c r="J1789" s="0" t="n">
        <f aca="true">CRITBINOM($C1789,MIN(0.75,Matchup!$C$39*$B1789),RAND())</f>
        <v>1</v>
      </c>
      <c r="K1789" s="0" t="n">
        <f aca="true">CRITBINOM(J1789,Coefficients!$B$30,RAND())</f>
        <v>0</v>
      </c>
      <c r="L1789" s="0" t="n">
        <f aca="true">CRITBINOM(K1789,Coefficients!$B$31,RAND())</f>
        <v>0</v>
      </c>
      <c r="M1789" s="0" t="n">
        <f aca="true">CRITBINOM(MAX(0,J1789-K1789),1-Coefficients!$B$32,RAND())</f>
        <v>0</v>
      </c>
      <c r="N1789" s="0" t="n">
        <f aca="true">CRITBINOM(MAX(0,$C1789-J1789),MIN(0.6,Matchup!$C$40*SQRT($B1789)/(1-MIN(0.75,Matchup!$C$39*$B1789))),RAND())</f>
        <v>1</v>
      </c>
      <c r="O1789" s="0" t="n">
        <f aca="false">6*J1789+(J1789-K1789-M1789)+2*L1789+3*N1789</f>
        <v>10</v>
      </c>
      <c r="P1789" s="0" t="n">
        <f aca="true">RAND()</f>
        <v>0.57911613476737</v>
      </c>
      <c r="Q1789" s="0" t="n">
        <f aca="true">RAND()</f>
        <v>0.367880475156551</v>
      </c>
      <c r="R1789" s="0" t="n">
        <f aca="false">IF($I1789&lt;&gt;$O1789,0,IF(P1789&lt;Matchup!$B$39,7,IF(P1789&lt;Matchup!$B$39+Matchup!$B$40,3,0)))</f>
        <v>0</v>
      </c>
      <c r="S1789" s="0" t="n">
        <f aca="false">IF($I1789&lt;&gt;$O1789,0,IF(Q1789&lt;Matchup!$C$39,7,IF(Q1789&lt;Matchup!$C$39+Matchup!$C$40,3,0)))</f>
        <v>0</v>
      </c>
      <c r="T1789" s="0" t="n">
        <f aca="false">I1789+R1789</f>
        <v>32</v>
      </c>
      <c r="U1789" s="0" t="n">
        <f aca="false">O1789+S1789</f>
        <v>10</v>
      </c>
      <c r="V1789" s="0" t="n">
        <f aca="false">T1789-U1789</f>
        <v>22</v>
      </c>
      <c r="W1789" s="0" t="n">
        <f aca="false">T1789+U1789</f>
        <v>42</v>
      </c>
    </row>
    <row r="1790" customFormat="false" ht="15" hidden="false" customHeight="false" outlineLevel="0" collapsed="false">
      <c r="A1790" s="0" t="n">
        <v>1787</v>
      </c>
      <c r="B1790" s="0" t="n">
        <f aca="true">NORMINV(RAND(),1,Coefficients!$B$22)</f>
        <v>1.06956306388442</v>
      </c>
      <c r="C1790" s="0" t="n">
        <f aca="true">MEDIAN(8,16,ROUND(NORMINV(RAND(),Coefficients!$B$20,Coefficients!$B$21),0))</f>
        <v>11</v>
      </c>
      <c r="D1790" s="0" t="n">
        <f aca="true">CRITBINOM($C1790,MIN(0.75,Matchup!$B$39*$B1790),RAND())</f>
        <v>4</v>
      </c>
      <c r="E1790" s="0" t="n">
        <f aca="true">CRITBINOM(D1790,Coefficients!$B$30,RAND())</f>
        <v>1</v>
      </c>
      <c r="F1790" s="0" t="n">
        <f aca="true">CRITBINOM(E1790,Coefficients!$B$31,RAND())</f>
        <v>0</v>
      </c>
      <c r="G1790" s="0" t="n">
        <f aca="true">CRITBINOM(MAX(0,D1790-E1790),1-Coefficients!$B$32,RAND())</f>
        <v>0</v>
      </c>
      <c r="H1790" s="0" t="n">
        <f aca="true">CRITBINOM(MAX(0,$C1790-D1790),MIN(0.6,Matchup!$B$40*SQRT($B1790)/(1-MIN(0.75,Matchup!$B$39*$B1790))),RAND())</f>
        <v>0</v>
      </c>
      <c r="I1790" s="0" t="n">
        <f aca="false">6*D1790+(D1790-E1790-G1790)+2*F1790+3*H1790</f>
        <v>27</v>
      </c>
      <c r="J1790" s="0" t="n">
        <f aca="true">CRITBINOM($C1790,MIN(0.75,Matchup!$C$39*$B1790),RAND())</f>
        <v>2</v>
      </c>
      <c r="K1790" s="0" t="n">
        <f aca="true">CRITBINOM(J1790,Coefficients!$B$30,RAND())</f>
        <v>0</v>
      </c>
      <c r="L1790" s="0" t="n">
        <f aca="true">CRITBINOM(K1790,Coefficients!$B$31,RAND())</f>
        <v>0</v>
      </c>
      <c r="M1790" s="0" t="n">
        <f aca="true">CRITBINOM(MAX(0,J1790-K1790),1-Coefficients!$B$32,RAND())</f>
        <v>1</v>
      </c>
      <c r="N1790" s="0" t="n">
        <f aca="true">CRITBINOM(MAX(0,$C1790-J1790),MIN(0.6,Matchup!$C$40*SQRT($B1790)/(1-MIN(0.75,Matchup!$C$39*$B1790))),RAND())</f>
        <v>2</v>
      </c>
      <c r="O1790" s="0" t="n">
        <f aca="false">6*J1790+(J1790-K1790-M1790)+2*L1790+3*N1790</f>
        <v>19</v>
      </c>
      <c r="P1790" s="0" t="n">
        <f aca="true">RAND()</f>
        <v>0.780716481661266</v>
      </c>
      <c r="Q1790" s="0" t="n">
        <f aca="true">RAND()</f>
        <v>0.482025532766984</v>
      </c>
      <c r="R1790" s="0" t="n">
        <f aca="false">IF($I1790&lt;&gt;$O1790,0,IF(P1790&lt;Matchup!$B$39,7,IF(P1790&lt;Matchup!$B$39+Matchup!$B$40,3,0)))</f>
        <v>0</v>
      </c>
      <c r="S1790" s="0" t="n">
        <f aca="false">IF($I1790&lt;&gt;$O1790,0,IF(Q1790&lt;Matchup!$C$39,7,IF(Q1790&lt;Matchup!$C$39+Matchup!$C$40,3,0)))</f>
        <v>0</v>
      </c>
      <c r="T1790" s="0" t="n">
        <f aca="false">I1790+R1790</f>
        <v>27</v>
      </c>
      <c r="U1790" s="0" t="n">
        <f aca="false">O1790+S1790</f>
        <v>19</v>
      </c>
      <c r="V1790" s="0" t="n">
        <f aca="false">T1790-U1790</f>
        <v>8</v>
      </c>
      <c r="W1790" s="0" t="n">
        <f aca="false">T1790+U1790</f>
        <v>46</v>
      </c>
    </row>
    <row r="1791" customFormat="false" ht="15" hidden="false" customHeight="false" outlineLevel="0" collapsed="false">
      <c r="A1791" s="0" t="n">
        <v>1788</v>
      </c>
      <c r="B1791" s="0" t="n">
        <f aca="true">NORMINV(RAND(),1,Coefficients!$B$22)</f>
        <v>1.01783739341224</v>
      </c>
      <c r="C1791" s="0" t="n">
        <f aca="true">MEDIAN(8,16,ROUND(NORMINV(RAND(),Coefficients!$B$20,Coefficients!$B$21),0))</f>
        <v>11</v>
      </c>
      <c r="D1791" s="0" t="n">
        <f aca="true">CRITBINOM($C1791,MIN(0.75,Matchup!$B$39*$B1791),RAND())</f>
        <v>4</v>
      </c>
      <c r="E1791" s="0" t="n">
        <f aca="true">CRITBINOM(D1791,Coefficients!$B$30,RAND())</f>
        <v>1</v>
      </c>
      <c r="F1791" s="0" t="n">
        <f aca="true">CRITBINOM(E1791,Coefficients!$B$31,RAND())</f>
        <v>1</v>
      </c>
      <c r="G1791" s="0" t="n">
        <f aca="true">CRITBINOM(MAX(0,D1791-E1791),1-Coefficients!$B$32,RAND())</f>
        <v>0</v>
      </c>
      <c r="H1791" s="0" t="n">
        <f aca="true">CRITBINOM(MAX(0,$C1791-D1791),MIN(0.6,Matchup!$B$40*SQRT($B1791)/(1-MIN(0.75,Matchup!$B$39*$B1791))),RAND())</f>
        <v>1</v>
      </c>
      <c r="I1791" s="0" t="n">
        <f aca="false">6*D1791+(D1791-E1791-G1791)+2*F1791+3*H1791</f>
        <v>32</v>
      </c>
      <c r="J1791" s="0" t="n">
        <f aca="true">CRITBINOM($C1791,MIN(0.75,Matchup!$C$39*$B1791),RAND())</f>
        <v>3</v>
      </c>
      <c r="K1791" s="0" t="n">
        <f aca="true">CRITBINOM(J1791,Coefficients!$B$30,RAND())</f>
        <v>0</v>
      </c>
      <c r="L1791" s="0" t="n">
        <f aca="true">CRITBINOM(K1791,Coefficients!$B$31,RAND())</f>
        <v>0</v>
      </c>
      <c r="M1791" s="0" t="n">
        <f aca="true">CRITBINOM(MAX(0,J1791-K1791),1-Coefficients!$B$32,RAND())</f>
        <v>0</v>
      </c>
      <c r="N1791" s="0" t="n">
        <f aca="true">CRITBINOM(MAX(0,$C1791-J1791),MIN(0.6,Matchup!$C$40*SQRT($B1791)/(1-MIN(0.75,Matchup!$C$39*$B1791))),RAND())</f>
        <v>2</v>
      </c>
      <c r="O1791" s="0" t="n">
        <f aca="false">6*J1791+(J1791-K1791-M1791)+2*L1791+3*N1791</f>
        <v>27</v>
      </c>
      <c r="P1791" s="0" t="n">
        <f aca="true">RAND()</f>
        <v>0.867349379401217</v>
      </c>
      <c r="Q1791" s="0" t="n">
        <f aca="true">RAND()</f>
        <v>0.903516558855282</v>
      </c>
      <c r="R1791" s="0" t="n">
        <f aca="false">IF($I1791&lt;&gt;$O1791,0,IF(P1791&lt;Matchup!$B$39,7,IF(P1791&lt;Matchup!$B$39+Matchup!$B$40,3,0)))</f>
        <v>0</v>
      </c>
      <c r="S1791" s="0" t="n">
        <f aca="false">IF($I1791&lt;&gt;$O1791,0,IF(Q1791&lt;Matchup!$C$39,7,IF(Q1791&lt;Matchup!$C$39+Matchup!$C$40,3,0)))</f>
        <v>0</v>
      </c>
      <c r="T1791" s="0" t="n">
        <f aca="false">I1791+R1791</f>
        <v>32</v>
      </c>
      <c r="U1791" s="0" t="n">
        <f aca="false">O1791+S1791</f>
        <v>27</v>
      </c>
      <c r="V1791" s="0" t="n">
        <f aca="false">T1791-U1791</f>
        <v>5</v>
      </c>
      <c r="W1791" s="0" t="n">
        <f aca="false">T1791+U1791</f>
        <v>59</v>
      </c>
    </row>
    <row r="1792" customFormat="false" ht="15" hidden="false" customHeight="false" outlineLevel="0" collapsed="false">
      <c r="A1792" s="0" t="n">
        <v>1789</v>
      </c>
      <c r="B1792" s="0" t="n">
        <f aca="true">NORMINV(RAND(),1,Coefficients!$B$22)</f>
        <v>0.991075254215625</v>
      </c>
      <c r="C1792" s="0" t="n">
        <f aca="true">MEDIAN(8,16,ROUND(NORMINV(RAND(),Coefficients!$B$20,Coefficients!$B$21),0))</f>
        <v>11</v>
      </c>
      <c r="D1792" s="0" t="n">
        <f aca="true">CRITBINOM($C1792,MIN(0.75,Matchup!$B$39*$B1792),RAND())</f>
        <v>2</v>
      </c>
      <c r="E1792" s="0" t="n">
        <f aca="true">CRITBINOM(D1792,Coefficients!$B$30,RAND())</f>
        <v>0</v>
      </c>
      <c r="F1792" s="0" t="n">
        <f aca="true">CRITBINOM(E1792,Coefficients!$B$31,RAND())</f>
        <v>0</v>
      </c>
      <c r="G1792" s="0" t="n">
        <f aca="true">CRITBINOM(MAX(0,D1792-E1792),1-Coefficients!$B$32,RAND())</f>
        <v>0</v>
      </c>
      <c r="H1792" s="0" t="n">
        <f aca="true">CRITBINOM(MAX(0,$C1792-D1792),MIN(0.6,Matchup!$B$40*SQRT($B1792)/(1-MIN(0.75,Matchup!$B$39*$B1792))),RAND())</f>
        <v>1</v>
      </c>
      <c r="I1792" s="0" t="n">
        <f aca="false">6*D1792+(D1792-E1792-G1792)+2*F1792+3*H1792</f>
        <v>17</v>
      </c>
      <c r="J1792" s="0" t="n">
        <f aca="true">CRITBINOM($C1792,MIN(0.75,Matchup!$C$39*$B1792),RAND())</f>
        <v>3</v>
      </c>
      <c r="K1792" s="0" t="n">
        <f aca="true">CRITBINOM(J1792,Coefficients!$B$30,RAND())</f>
        <v>0</v>
      </c>
      <c r="L1792" s="0" t="n">
        <f aca="true">CRITBINOM(K1792,Coefficients!$B$31,RAND())</f>
        <v>0</v>
      </c>
      <c r="M1792" s="0" t="n">
        <f aca="true">CRITBINOM(MAX(0,J1792-K1792),1-Coefficients!$B$32,RAND())</f>
        <v>0</v>
      </c>
      <c r="N1792" s="0" t="n">
        <f aca="true">CRITBINOM(MAX(0,$C1792-J1792),MIN(0.6,Matchup!$C$40*SQRT($B1792)/(1-MIN(0.75,Matchup!$C$39*$B1792))),RAND())</f>
        <v>0</v>
      </c>
      <c r="O1792" s="0" t="n">
        <f aca="false">6*J1792+(J1792-K1792-M1792)+2*L1792+3*N1792</f>
        <v>21</v>
      </c>
      <c r="P1792" s="0" t="n">
        <f aca="true">RAND()</f>
        <v>0.847302527250949</v>
      </c>
      <c r="Q1792" s="0" t="n">
        <f aca="true">RAND()</f>
        <v>0.658905070164635</v>
      </c>
      <c r="R1792" s="0" t="n">
        <f aca="false">IF($I1792&lt;&gt;$O1792,0,IF(P1792&lt;Matchup!$B$39,7,IF(P1792&lt;Matchup!$B$39+Matchup!$B$40,3,0)))</f>
        <v>0</v>
      </c>
      <c r="S1792" s="0" t="n">
        <f aca="false">IF($I1792&lt;&gt;$O1792,0,IF(Q1792&lt;Matchup!$C$39,7,IF(Q1792&lt;Matchup!$C$39+Matchup!$C$40,3,0)))</f>
        <v>0</v>
      </c>
      <c r="T1792" s="0" t="n">
        <f aca="false">I1792+R1792</f>
        <v>17</v>
      </c>
      <c r="U1792" s="0" t="n">
        <f aca="false">O1792+S1792</f>
        <v>21</v>
      </c>
      <c r="V1792" s="0" t="n">
        <f aca="false">T1792-U1792</f>
        <v>-4</v>
      </c>
      <c r="W1792" s="0" t="n">
        <f aca="false">T1792+U1792</f>
        <v>38</v>
      </c>
    </row>
    <row r="1793" customFormat="false" ht="15" hidden="false" customHeight="false" outlineLevel="0" collapsed="false">
      <c r="A1793" s="0" t="n">
        <v>1790</v>
      </c>
      <c r="B1793" s="0" t="n">
        <f aca="true">NORMINV(RAND(),1,Coefficients!$B$22)</f>
        <v>1.10446630200588</v>
      </c>
      <c r="C1793" s="0" t="n">
        <f aca="true">MEDIAN(8,16,ROUND(NORMINV(RAND(),Coefficients!$B$20,Coefficients!$B$21),0))</f>
        <v>13</v>
      </c>
      <c r="D1793" s="0" t="n">
        <f aca="true">CRITBINOM($C1793,MIN(0.75,Matchup!$B$39*$B1793),RAND())</f>
        <v>5</v>
      </c>
      <c r="E1793" s="0" t="n">
        <f aca="true">CRITBINOM(D1793,Coefficients!$B$30,RAND())</f>
        <v>0</v>
      </c>
      <c r="F1793" s="0" t="n">
        <f aca="true">CRITBINOM(E1793,Coefficients!$B$31,RAND())</f>
        <v>0</v>
      </c>
      <c r="G1793" s="0" t="n">
        <f aca="true">CRITBINOM(MAX(0,D1793-E1793),1-Coefficients!$B$32,RAND())</f>
        <v>0</v>
      </c>
      <c r="H1793" s="0" t="n">
        <f aca="true">CRITBINOM(MAX(0,$C1793-D1793),MIN(0.6,Matchup!$B$40*SQRT($B1793)/(1-MIN(0.75,Matchup!$B$39*$B1793))),RAND())</f>
        <v>2</v>
      </c>
      <c r="I1793" s="0" t="n">
        <f aca="false">6*D1793+(D1793-E1793-G1793)+2*F1793+3*H1793</f>
        <v>41</v>
      </c>
      <c r="J1793" s="0" t="n">
        <f aca="true">CRITBINOM($C1793,MIN(0.75,Matchup!$C$39*$B1793),RAND())</f>
        <v>3</v>
      </c>
      <c r="K1793" s="0" t="n">
        <f aca="true">CRITBINOM(J1793,Coefficients!$B$30,RAND())</f>
        <v>0</v>
      </c>
      <c r="L1793" s="0" t="n">
        <f aca="true">CRITBINOM(K1793,Coefficients!$B$31,RAND())</f>
        <v>0</v>
      </c>
      <c r="M1793" s="0" t="n">
        <f aca="true">CRITBINOM(MAX(0,J1793-K1793),1-Coefficients!$B$32,RAND())</f>
        <v>1</v>
      </c>
      <c r="N1793" s="0" t="n">
        <f aca="true">CRITBINOM(MAX(0,$C1793-J1793),MIN(0.6,Matchup!$C$40*SQRT($B1793)/(1-MIN(0.75,Matchup!$C$39*$B1793))),RAND())</f>
        <v>3</v>
      </c>
      <c r="O1793" s="0" t="n">
        <f aca="false">6*J1793+(J1793-K1793-M1793)+2*L1793+3*N1793</f>
        <v>29</v>
      </c>
      <c r="P1793" s="0" t="n">
        <f aca="true">RAND()</f>
        <v>0.000485079186763407</v>
      </c>
      <c r="Q1793" s="0" t="n">
        <f aca="true">RAND()</f>
        <v>0.493369519781051</v>
      </c>
      <c r="R1793" s="0" t="n">
        <f aca="false">IF($I1793&lt;&gt;$O1793,0,IF(P1793&lt;Matchup!$B$39,7,IF(P1793&lt;Matchup!$B$39+Matchup!$B$40,3,0)))</f>
        <v>0</v>
      </c>
      <c r="S1793" s="0" t="n">
        <f aca="false">IF($I1793&lt;&gt;$O1793,0,IF(Q1793&lt;Matchup!$C$39,7,IF(Q1793&lt;Matchup!$C$39+Matchup!$C$40,3,0)))</f>
        <v>0</v>
      </c>
      <c r="T1793" s="0" t="n">
        <f aca="false">I1793+R1793</f>
        <v>41</v>
      </c>
      <c r="U1793" s="0" t="n">
        <f aca="false">O1793+S1793</f>
        <v>29</v>
      </c>
      <c r="V1793" s="0" t="n">
        <f aca="false">T1793-U1793</f>
        <v>12</v>
      </c>
      <c r="W1793" s="0" t="n">
        <f aca="false">T1793+U1793</f>
        <v>70</v>
      </c>
    </row>
    <row r="1794" customFormat="false" ht="15" hidden="false" customHeight="false" outlineLevel="0" collapsed="false">
      <c r="A1794" s="0" t="n">
        <v>1791</v>
      </c>
      <c r="B1794" s="0" t="n">
        <f aca="true">NORMINV(RAND(),1,Coefficients!$B$22)</f>
        <v>0.838200828722962</v>
      </c>
      <c r="C1794" s="0" t="n">
        <f aca="true">MEDIAN(8,16,ROUND(NORMINV(RAND(),Coefficients!$B$20,Coefficients!$B$21),0))</f>
        <v>11</v>
      </c>
      <c r="D1794" s="0" t="n">
        <f aca="true">CRITBINOM($C1794,MIN(0.75,Matchup!$B$39*$B1794),RAND())</f>
        <v>3</v>
      </c>
      <c r="E1794" s="0" t="n">
        <f aca="true">CRITBINOM(D1794,Coefficients!$B$30,RAND())</f>
        <v>0</v>
      </c>
      <c r="F1794" s="0" t="n">
        <f aca="true">CRITBINOM(E1794,Coefficients!$B$31,RAND())</f>
        <v>0</v>
      </c>
      <c r="G1794" s="0" t="n">
        <f aca="true">CRITBINOM(MAX(0,D1794-E1794),1-Coefficients!$B$32,RAND())</f>
        <v>0</v>
      </c>
      <c r="H1794" s="0" t="n">
        <f aca="true">CRITBINOM(MAX(0,$C1794-D1794),MIN(0.6,Matchup!$B$40*SQRT($B1794)/(1-MIN(0.75,Matchup!$B$39*$B1794))),RAND())</f>
        <v>2</v>
      </c>
      <c r="I1794" s="0" t="n">
        <f aca="false">6*D1794+(D1794-E1794-G1794)+2*F1794+3*H1794</f>
        <v>27</v>
      </c>
      <c r="J1794" s="0" t="n">
        <f aca="true">CRITBINOM($C1794,MIN(0.75,Matchup!$C$39*$B1794),RAND())</f>
        <v>1</v>
      </c>
      <c r="K1794" s="0" t="n">
        <f aca="true">CRITBINOM(J1794,Coefficients!$B$30,RAND())</f>
        <v>0</v>
      </c>
      <c r="L1794" s="0" t="n">
        <f aca="true">CRITBINOM(K1794,Coefficients!$B$31,RAND())</f>
        <v>0</v>
      </c>
      <c r="M1794" s="0" t="n">
        <f aca="true">CRITBINOM(MAX(0,J1794-K1794),1-Coefficients!$B$32,RAND())</f>
        <v>0</v>
      </c>
      <c r="N1794" s="0" t="n">
        <f aca="true">CRITBINOM(MAX(0,$C1794-J1794),MIN(0.6,Matchup!$C$40*SQRT($B1794)/(1-MIN(0.75,Matchup!$C$39*$B1794))),RAND())</f>
        <v>0</v>
      </c>
      <c r="O1794" s="0" t="n">
        <f aca="false">6*J1794+(J1794-K1794-M1794)+2*L1794+3*N1794</f>
        <v>7</v>
      </c>
      <c r="P1794" s="0" t="n">
        <f aca="true">RAND()</f>
        <v>0.302264233255144</v>
      </c>
      <c r="Q1794" s="0" t="n">
        <f aca="true">RAND()</f>
        <v>0.841702141207391</v>
      </c>
      <c r="R1794" s="0" t="n">
        <f aca="false">IF($I1794&lt;&gt;$O1794,0,IF(P1794&lt;Matchup!$B$39,7,IF(P1794&lt;Matchup!$B$39+Matchup!$B$40,3,0)))</f>
        <v>0</v>
      </c>
      <c r="S1794" s="0" t="n">
        <f aca="false">IF($I1794&lt;&gt;$O1794,0,IF(Q1794&lt;Matchup!$C$39,7,IF(Q1794&lt;Matchup!$C$39+Matchup!$C$40,3,0)))</f>
        <v>0</v>
      </c>
      <c r="T1794" s="0" t="n">
        <f aca="false">I1794+R1794</f>
        <v>27</v>
      </c>
      <c r="U1794" s="0" t="n">
        <f aca="false">O1794+S1794</f>
        <v>7</v>
      </c>
      <c r="V1794" s="0" t="n">
        <f aca="false">T1794-U1794</f>
        <v>20</v>
      </c>
      <c r="W1794" s="0" t="n">
        <f aca="false">T1794+U1794</f>
        <v>34</v>
      </c>
    </row>
    <row r="1795" customFormat="false" ht="15" hidden="false" customHeight="false" outlineLevel="0" collapsed="false">
      <c r="A1795" s="0" t="n">
        <v>1792</v>
      </c>
      <c r="B1795" s="0" t="n">
        <f aca="true">NORMINV(RAND(),1,Coefficients!$B$22)</f>
        <v>1.03270272460932</v>
      </c>
      <c r="C1795" s="0" t="n">
        <f aca="true">MEDIAN(8,16,ROUND(NORMINV(RAND(),Coefficients!$B$20,Coefficients!$B$21),0))</f>
        <v>11</v>
      </c>
      <c r="D1795" s="0" t="n">
        <f aca="true">CRITBINOM($C1795,MIN(0.75,Matchup!$B$39*$B1795),RAND())</f>
        <v>2</v>
      </c>
      <c r="E1795" s="0" t="n">
        <f aca="true">CRITBINOM(D1795,Coefficients!$B$30,RAND())</f>
        <v>0</v>
      </c>
      <c r="F1795" s="0" t="n">
        <f aca="true">CRITBINOM(E1795,Coefficients!$B$31,RAND())</f>
        <v>0</v>
      </c>
      <c r="G1795" s="0" t="n">
        <f aca="true">CRITBINOM(MAX(0,D1795-E1795),1-Coefficients!$B$32,RAND())</f>
        <v>0</v>
      </c>
      <c r="H1795" s="0" t="n">
        <f aca="true">CRITBINOM(MAX(0,$C1795-D1795),MIN(0.6,Matchup!$B$40*SQRT($B1795)/(1-MIN(0.75,Matchup!$B$39*$B1795))),RAND())</f>
        <v>1</v>
      </c>
      <c r="I1795" s="0" t="n">
        <f aca="false">6*D1795+(D1795-E1795-G1795)+2*F1795+3*H1795</f>
        <v>17</v>
      </c>
      <c r="J1795" s="0" t="n">
        <f aca="true">CRITBINOM($C1795,MIN(0.75,Matchup!$C$39*$B1795),RAND())</f>
        <v>1</v>
      </c>
      <c r="K1795" s="0" t="n">
        <f aca="true">CRITBINOM(J1795,Coefficients!$B$30,RAND())</f>
        <v>0</v>
      </c>
      <c r="L1795" s="0" t="n">
        <f aca="true">CRITBINOM(K1795,Coefficients!$B$31,RAND())</f>
        <v>0</v>
      </c>
      <c r="M1795" s="0" t="n">
        <f aca="true">CRITBINOM(MAX(0,J1795-K1795),1-Coefficients!$B$32,RAND())</f>
        <v>0</v>
      </c>
      <c r="N1795" s="0" t="n">
        <f aca="true">CRITBINOM(MAX(0,$C1795-J1795),MIN(0.6,Matchup!$C$40*SQRT($B1795)/(1-MIN(0.75,Matchup!$C$39*$B1795))),RAND())</f>
        <v>2</v>
      </c>
      <c r="O1795" s="0" t="n">
        <f aca="false">6*J1795+(J1795-K1795-M1795)+2*L1795+3*N1795</f>
        <v>13</v>
      </c>
      <c r="P1795" s="0" t="n">
        <f aca="true">RAND()</f>
        <v>0.405672362822388</v>
      </c>
      <c r="Q1795" s="0" t="n">
        <f aca="true">RAND()</f>
        <v>0.250265854763645</v>
      </c>
      <c r="R1795" s="0" t="n">
        <f aca="false">IF($I1795&lt;&gt;$O1795,0,IF(P1795&lt;Matchup!$B$39,7,IF(P1795&lt;Matchup!$B$39+Matchup!$B$40,3,0)))</f>
        <v>0</v>
      </c>
      <c r="S1795" s="0" t="n">
        <f aca="false">IF($I1795&lt;&gt;$O1795,0,IF(Q1795&lt;Matchup!$C$39,7,IF(Q1795&lt;Matchup!$C$39+Matchup!$C$40,3,0)))</f>
        <v>0</v>
      </c>
      <c r="T1795" s="0" t="n">
        <f aca="false">I1795+R1795</f>
        <v>17</v>
      </c>
      <c r="U1795" s="0" t="n">
        <f aca="false">O1795+S1795</f>
        <v>13</v>
      </c>
      <c r="V1795" s="0" t="n">
        <f aca="false">T1795-U1795</f>
        <v>4</v>
      </c>
      <c r="W1795" s="0" t="n">
        <f aca="false">T1795+U1795</f>
        <v>30</v>
      </c>
    </row>
    <row r="1796" customFormat="false" ht="15" hidden="false" customHeight="false" outlineLevel="0" collapsed="false">
      <c r="A1796" s="0" t="n">
        <v>1793</v>
      </c>
      <c r="B1796" s="0" t="n">
        <f aca="true">NORMINV(RAND(),1,Coefficients!$B$22)</f>
        <v>0.930545211442804</v>
      </c>
      <c r="C1796" s="0" t="n">
        <f aca="true">MEDIAN(8,16,ROUND(NORMINV(RAND(),Coefficients!$B$20,Coefficients!$B$21),0))</f>
        <v>11</v>
      </c>
      <c r="D1796" s="0" t="n">
        <f aca="true">CRITBINOM($C1796,MIN(0.75,Matchup!$B$39*$B1796),RAND())</f>
        <v>5</v>
      </c>
      <c r="E1796" s="0" t="n">
        <f aca="true">CRITBINOM(D1796,Coefficients!$B$30,RAND())</f>
        <v>2</v>
      </c>
      <c r="F1796" s="0" t="n">
        <f aca="true">CRITBINOM(E1796,Coefficients!$B$31,RAND())</f>
        <v>1</v>
      </c>
      <c r="G1796" s="0" t="n">
        <f aca="true">CRITBINOM(MAX(0,D1796-E1796),1-Coefficients!$B$32,RAND())</f>
        <v>0</v>
      </c>
      <c r="H1796" s="0" t="n">
        <f aca="true">CRITBINOM(MAX(0,$C1796-D1796),MIN(0.6,Matchup!$B$40*SQRT($B1796)/(1-MIN(0.75,Matchup!$B$39*$B1796))),RAND())</f>
        <v>2</v>
      </c>
      <c r="I1796" s="0" t="n">
        <f aca="false">6*D1796+(D1796-E1796-G1796)+2*F1796+3*H1796</f>
        <v>41</v>
      </c>
      <c r="J1796" s="0" t="n">
        <f aca="true">CRITBINOM($C1796,MIN(0.75,Matchup!$C$39*$B1796),RAND())</f>
        <v>5</v>
      </c>
      <c r="K1796" s="0" t="n">
        <f aca="true">CRITBINOM(J1796,Coefficients!$B$30,RAND())</f>
        <v>2</v>
      </c>
      <c r="L1796" s="0" t="n">
        <f aca="true">CRITBINOM(K1796,Coefficients!$B$31,RAND())</f>
        <v>2</v>
      </c>
      <c r="M1796" s="0" t="n">
        <f aca="true">CRITBINOM(MAX(0,J1796-K1796),1-Coefficients!$B$32,RAND())</f>
        <v>0</v>
      </c>
      <c r="N1796" s="0" t="n">
        <f aca="true">CRITBINOM(MAX(0,$C1796-J1796),MIN(0.6,Matchup!$C$40*SQRT($B1796)/(1-MIN(0.75,Matchup!$C$39*$B1796))),RAND())</f>
        <v>1</v>
      </c>
      <c r="O1796" s="0" t="n">
        <f aca="false">6*J1796+(J1796-K1796-M1796)+2*L1796+3*N1796</f>
        <v>40</v>
      </c>
      <c r="P1796" s="0" t="n">
        <f aca="true">RAND()</f>
        <v>0.36334720338344</v>
      </c>
      <c r="Q1796" s="0" t="n">
        <f aca="true">RAND()</f>
        <v>0.15966680275121</v>
      </c>
      <c r="R1796" s="0" t="n">
        <f aca="false">IF($I1796&lt;&gt;$O1796,0,IF(P1796&lt;Matchup!$B$39,7,IF(P1796&lt;Matchup!$B$39+Matchup!$B$40,3,0)))</f>
        <v>0</v>
      </c>
      <c r="S1796" s="0" t="n">
        <f aca="false">IF($I1796&lt;&gt;$O1796,0,IF(Q1796&lt;Matchup!$C$39,7,IF(Q1796&lt;Matchup!$C$39+Matchup!$C$40,3,0)))</f>
        <v>0</v>
      </c>
      <c r="T1796" s="0" t="n">
        <f aca="false">I1796+R1796</f>
        <v>41</v>
      </c>
      <c r="U1796" s="0" t="n">
        <f aca="false">O1796+S1796</f>
        <v>40</v>
      </c>
      <c r="V1796" s="0" t="n">
        <f aca="false">T1796-U1796</f>
        <v>1</v>
      </c>
      <c r="W1796" s="0" t="n">
        <f aca="false">T1796+U1796</f>
        <v>81</v>
      </c>
    </row>
    <row r="1797" customFormat="false" ht="15" hidden="false" customHeight="false" outlineLevel="0" collapsed="false">
      <c r="A1797" s="0" t="n">
        <v>1794</v>
      </c>
      <c r="B1797" s="0" t="n">
        <f aca="true">NORMINV(RAND(),1,Coefficients!$B$22)</f>
        <v>1.00174781408497</v>
      </c>
      <c r="C1797" s="0" t="n">
        <f aca="true">MEDIAN(8,16,ROUND(NORMINV(RAND(),Coefficients!$B$20,Coefficients!$B$21),0))</f>
        <v>12</v>
      </c>
      <c r="D1797" s="0" t="n">
        <f aca="true">CRITBINOM($C1797,MIN(0.75,Matchup!$B$39*$B1797),RAND())</f>
        <v>5</v>
      </c>
      <c r="E1797" s="0" t="n">
        <f aca="true">CRITBINOM(D1797,Coefficients!$B$30,RAND())</f>
        <v>0</v>
      </c>
      <c r="F1797" s="0" t="n">
        <f aca="true">CRITBINOM(E1797,Coefficients!$B$31,RAND())</f>
        <v>0</v>
      </c>
      <c r="G1797" s="0" t="n">
        <f aca="true">CRITBINOM(MAX(0,D1797-E1797),1-Coefficients!$B$32,RAND())</f>
        <v>0</v>
      </c>
      <c r="H1797" s="0" t="n">
        <f aca="true">CRITBINOM(MAX(0,$C1797-D1797),MIN(0.6,Matchup!$B$40*SQRT($B1797)/(1-MIN(0.75,Matchup!$B$39*$B1797))),RAND())</f>
        <v>3</v>
      </c>
      <c r="I1797" s="0" t="n">
        <f aca="false">6*D1797+(D1797-E1797-G1797)+2*F1797+3*H1797</f>
        <v>44</v>
      </c>
      <c r="J1797" s="0" t="n">
        <f aca="true">CRITBINOM($C1797,MIN(0.75,Matchup!$C$39*$B1797),RAND())</f>
        <v>2</v>
      </c>
      <c r="K1797" s="0" t="n">
        <f aca="true">CRITBINOM(J1797,Coefficients!$B$30,RAND())</f>
        <v>0</v>
      </c>
      <c r="L1797" s="0" t="n">
        <f aca="true">CRITBINOM(K1797,Coefficients!$B$31,RAND())</f>
        <v>0</v>
      </c>
      <c r="M1797" s="0" t="n">
        <f aca="true">CRITBINOM(MAX(0,J1797-K1797),1-Coefficients!$B$32,RAND())</f>
        <v>0</v>
      </c>
      <c r="N1797" s="0" t="n">
        <f aca="true">CRITBINOM(MAX(0,$C1797-J1797),MIN(0.6,Matchup!$C$40*SQRT($B1797)/(1-MIN(0.75,Matchup!$C$39*$B1797))),RAND())</f>
        <v>0</v>
      </c>
      <c r="O1797" s="0" t="n">
        <f aca="false">6*J1797+(J1797-K1797-M1797)+2*L1797+3*N1797</f>
        <v>14</v>
      </c>
      <c r="P1797" s="0" t="n">
        <f aca="true">RAND()</f>
        <v>0.208104526722318</v>
      </c>
      <c r="Q1797" s="0" t="n">
        <f aca="true">RAND()</f>
        <v>0.00380571268925004</v>
      </c>
      <c r="R1797" s="0" t="n">
        <f aca="false">IF($I1797&lt;&gt;$O1797,0,IF(P1797&lt;Matchup!$B$39,7,IF(P1797&lt;Matchup!$B$39+Matchup!$B$40,3,0)))</f>
        <v>0</v>
      </c>
      <c r="S1797" s="0" t="n">
        <f aca="false">IF($I1797&lt;&gt;$O1797,0,IF(Q1797&lt;Matchup!$C$39,7,IF(Q1797&lt;Matchup!$C$39+Matchup!$C$40,3,0)))</f>
        <v>0</v>
      </c>
      <c r="T1797" s="0" t="n">
        <f aca="false">I1797+R1797</f>
        <v>44</v>
      </c>
      <c r="U1797" s="0" t="n">
        <f aca="false">O1797+S1797</f>
        <v>14</v>
      </c>
      <c r="V1797" s="0" t="n">
        <f aca="false">T1797-U1797</f>
        <v>30</v>
      </c>
      <c r="W1797" s="0" t="n">
        <f aca="false">T1797+U1797</f>
        <v>58</v>
      </c>
    </row>
    <row r="1798" customFormat="false" ht="15" hidden="false" customHeight="false" outlineLevel="0" collapsed="false">
      <c r="A1798" s="0" t="n">
        <v>1795</v>
      </c>
      <c r="B1798" s="0" t="n">
        <f aca="true">NORMINV(RAND(),1,Coefficients!$B$22)</f>
        <v>1.03755415024211</v>
      </c>
      <c r="C1798" s="0" t="n">
        <f aca="true">MEDIAN(8,16,ROUND(NORMINV(RAND(),Coefficients!$B$20,Coefficients!$B$21),0))</f>
        <v>10</v>
      </c>
      <c r="D1798" s="0" t="n">
        <f aca="true">CRITBINOM($C1798,MIN(0.75,Matchup!$B$39*$B1798),RAND())</f>
        <v>3</v>
      </c>
      <c r="E1798" s="0" t="n">
        <f aca="true">CRITBINOM(D1798,Coefficients!$B$30,RAND())</f>
        <v>0</v>
      </c>
      <c r="F1798" s="0" t="n">
        <f aca="true">CRITBINOM(E1798,Coefficients!$B$31,RAND())</f>
        <v>0</v>
      </c>
      <c r="G1798" s="0" t="n">
        <f aca="true">CRITBINOM(MAX(0,D1798-E1798),1-Coefficients!$B$32,RAND())</f>
        <v>0</v>
      </c>
      <c r="H1798" s="0" t="n">
        <f aca="true">CRITBINOM(MAX(0,$C1798-D1798),MIN(0.6,Matchup!$B$40*SQRT($B1798)/(1-MIN(0.75,Matchup!$B$39*$B1798))),RAND())</f>
        <v>2</v>
      </c>
      <c r="I1798" s="0" t="n">
        <f aca="false">6*D1798+(D1798-E1798-G1798)+2*F1798+3*H1798</f>
        <v>27</v>
      </c>
      <c r="J1798" s="0" t="n">
        <f aca="true">CRITBINOM($C1798,MIN(0.75,Matchup!$C$39*$B1798),RAND())</f>
        <v>6</v>
      </c>
      <c r="K1798" s="0" t="n">
        <f aca="true">CRITBINOM(J1798,Coefficients!$B$30,RAND())</f>
        <v>3</v>
      </c>
      <c r="L1798" s="0" t="n">
        <f aca="true">CRITBINOM(K1798,Coefficients!$B$31,RAND())</f>
        <v>1</v>
      </c>
      <c r="M1798" s="0" t="n">
        <f aca="true">CRITBINOM(MAX(0,J1798-K1798),1-Coefficients!$B$32,RAND())</f>
        <v>0</v>
      </c>
      <c r="N1798" s="0" t="n">
        <f aca="true">CRITBINOM(MAX(0,$C1798-J1798),MIN(0.6,Matchup!$C$40*SQRT($B1798)/(1-MIN(0.75,Matchup!$C$39*$B1798))),RAND())</f>
        <v>2</v>
      </c>
      <c r="O1798" s="0" t="n">
        <f aca="false">6*J1798+(J1798-K1798-M1798)+2*L1798+3*N1798</f>
        <v>47</v>
      </c>
      <c r="P1798" s="0" t="n">
        <f aca="true">RAND()</f>
        <v>0.19618844771021</v>
      </c>
      <c r="Q1798" s="0" t="n">
        <f aca="true">RAND()</f>
        <v>0.573002875087934</v>
      </c>
      <c r="R1798" s="0" t="n">
        <f aca="false">IF($I1798&lt;&gt;$O1798,0,IF(P1798&lt;Matchup!$B$39,7,IF(P1798&lt;Matchup!$B$39+Matchup!$B$40,3,0)))</f>
        <v>0</v>
      </c>
      <c r="S1798" s="0" t="n">
        <f aca="false">IF($I1798&lt;&gt;$O1798,0,IF(Q1798&lt;Matchup!$C$39,7,IF(Q1798&lt;Matchup!$C$39+Matchup!$C$40,3,0)))</f>
        <v>0</v>
      </c>
      <c r="T1798" s="0" t="n">
        <f aca="false">I1798+R1798</f>
        <v>27</v>
      </c>
      <c r="U1798" s="0" t="n">
        <f aca="false">O1798+S1798</f>
        <v>47</v>
      </c>
      <c r="V1798" s="0" t="n">
        <f aca="false">T1798-U1798</f>
        <v>-20</v>
      </c>
      <c r="W1798" s="0" t="n">
        <f aca="false">T1798+U1798</f>
        <v>74</v>
      </c>
    </row>
    <row r="1799" customFormat="false" ht="15" hidden="false" customHeight="false" outlineLevel="0" collapsed="false">
      <c r="A1799" s="0" t="n">
        <v>1796</v>
      </c>
      <c r="B1799" s="0" t="n">
        <f aca="true">NORMINV(RAND(),1,Coefficients!$B$22)</f>
        <v>1.108892730061</v>
      </c>
      <c r="C1799" s="0" t="n">
        <f aca="true">MEDIAN(8,16,ROUND(NORMINV(RAND(),Coefficients!$B$20,Coefficients!$B$21),0))</f>
        <v>12</v>
      </c>
      <c r="D1799" s="0" t="n">
        <f aca="true">CRITBINOM($C1799,MIN(0.75,Matchup!$B$39*$B1799),RAND())</f>
        <v>4</v>
      </c>
      <c r="E1799" s="0" t="n">
        <f aca="true">CRITBINOM(D1799,Coefficients!$B$30,RAND())</f>
        <v>0</v>
      </c>
      <c r="F1799" s="0" t="n">
        <f aca="true">CRITBINOM(E1799,Coefficients!$B$31,RAND())</f>
        <v>0</v>
      </c>
      <c r="G1799" s="0" t="n">
        <f aca="true">CRITBINOM(MAX(0,D1799-E1799),1-Coefficients!$B$32,RAND())</f>
        <v>1</v>
      </c>
      <c r="H1799" s="0" t="n">
        <f aca="true">CRITBINOM(MAX(0,$C1799-D1799),MIN(0.6,Matchup!$B$40*SQRT($B1799)/(1-MIN(0.75,Matchup!$B$39*$B1799))),RAND())</f>
        <v>0</v>
      </c>
      <c r="I1799" s="0" t="n">
        <f aca="false">6*D1799+(D1799-E1799-G1799)+2*F1799+3*H1799</f>
        <v>27</v>
      </c>
      <c r="J1799" s="0" t="n">
        <f aca="true">CRITBINOM($C1799,MIN(0.75,Matchup!$C$39*$B1799),RAND())</f>
        <v>5</v>
      </c>
      <c r="K1799" s="0" t="n">
        <f aca="true">CRITBINOM(J1799,Coefficients!$B$30,RAND())</f>
        <v>0</v>
      </c>
      <c r="L1799" s="0" t="n">
        <f aca="true">CRITBINOM(K1799,Coefficients!$B$31,RAND())</f>
        <v>0</v>
      </c>
      <c r="M1799" s="0" t="n">
        <f aca="true">CRITBINOM(MAX(0,J1799-K1799),1-Coefficients!$B$32,RAND())</f>
        <v>0</v>
      </c>
      <c r="N1799" s="0" t="n">
        <f aca="true">CRITBINOM(MAX(0,$C1799-J1799),MIN(0.6,Matchup!$C$40*SQRT($B1799)/(1-MIN(0.75,Matchup!$C$39*$B1799))),RAND())</f>
        <v>0</v>
      </c>
      <c r="O1799" s="0" t="n">
        <f aca="false">6*J1799+(J1799-K1799-M1799)+2*L1799+3*N1799</f>
        <v>35</v>
      </c>
      <c r="P1799" s="0" t="n">
        <f aca="true">RAND()</f>
        <v>0.325591343067417</v>
      </c>
      <c r="Q1799" s="0" t="n">
        <f aca="true">RAND()</f>
        <v>0.629004041605717</v>
      </c>
      <c r="R1799" s="0" t="n">
        <f aca="false">IF($I1799&lt;&gt;$O1799,0,IF(P1799&lt;Matchup!$B$39,7,IF(P1799&lt;Matchup!$B$39+Matchup!$B$40,3,0)))</f>
        <v>0</v>
      </c>
      <c r="S1799" s="0" t="n">
        <f aca="false">IF($I1799&lt;&gt;$O1799,0,IF(Q1799&lt;Matchup!$C$39,7,IF(Q1799&lt;Matchup!$C$39+Matchup!$C$40,3,0)))</f>
        <v>0</v>
      </c>
      <c r="T1799" s="0" t="n">
        <f aca="false">I1799+R1799</f>
        <v>27</v>
      </c>
      <c r="U1799" s="0" t="n">
        <f aca="false">O1799+S1799</f>
        <v>35</v>
      </c>
      <c r="V1799" s="0" t="n">
        <f aca="false">T1799-U1799</f>
        <v>-8</v>
      </c>
      <c r="W1799" s="0" t="n">
        <f aca="false">T1799+U1799</f>
        <v>62</v>
      </c>
    </row>
    <row r="1800" customFormat="false" ht="15" hidden="false" customHeight="false" outlineLevel="0" collapsed="false">
      <c r="A1800" s="0" t="n">
        <v>1797</v>
      </c>
      <c r="B1800" s="0" t="n">
        <f aca="true">NORMINV(RAND(),1,Coefficients!$B$22)</f>
        <v>1.09843877656067</v>
      </c>
      <c r="C1800" s="0" t="n">
        <f aca="true">MEDIAN(8,16,ROUND(NORMINV(RAND(),Coefficients!$B$20,Coefficients!$B$21),0))</f>
        <v>11</v>
      </c>
      <c r="D1800" s="0" t="n">
        <f aca="true">CRITBINOM($C1800,MIN(0.75,Matchup!$B$39*$B1800),RAND())</f>
        <v>3</v>
      </c>
      <c r="E1800" s="0" t="n">
        <f aca="true">CRITBINOM(D1800,Coefficients!$B$30,RAND())</f>
        <v>1</v>
      </c>
      <c r="F1800" s="0" t="n">
        <f aca="true">CRITBINOM(E1800,Coefficients!$B$31,RAND())</f>
        <v>0</v>
      </c>
      <c r="G1800" s="0" t="n">
        <f aca="true">CRITBINOM(MAX(0,D1800-E1800),1-Coefficients!$B$32,RAND())</f>
        <v>0</v>
      </c>
      <c r="H1800" s="0" t="n">
        <f aca="true">CRITBINOM(MAX(0,$C1800-D1800),MIN(0.6,Matchup!$B$40*SQRT($B1800)/(1-MIN(0.75,Matchup!$B$39*$B1800))),RAND())</f>
        <v>3</v>
      </c>
      <c r="I1800" s="0" t="n">
        <f aca="false">6*D1800+(D1800-E1800-G1800)+2*F1800+3*H1800</f>
        <v>29</v>
      </c>
      <c r="J1800" s="0" t="n">
        <f aca="true">CRITBINOM($C1800,MIN(0.75,Matchup!$C$39*$B1800),RAND())</f>
        <v>3</v>
      </c>
      <c r="K1800" s="0" t="n">
        <f aca="true">CRITBINOM(J1800,Coefficients!$B$30,RAND())</f>
        <v>0</v>
      </c>
      <c r="L1800" s="0" t="n">
        <f aca="true">CRITBINOM(K1800,Coefficients!$B$31,RAND())</f>
        <v>0</v>
      </c>
      <c r="M1800" s="0" t="n">
        <f aca="true">CRITBINOM(MAX(0,J1800-K1800),1-Coefficients!$B$32,RAND())</f>
        <v>0</v>
      </c>
      <c r="N1800" s="0" t="n">
        <f aca="true">CRITBINOM(MAX(0,$C1800-J1800),MIN(0.6,Matchup!$C$40*SQRT($B1800)/(1-MIN(0.75,Matchup!$C$39*$B1800))),RAND())</f>
        <v>1</v>
      </c>
      <c r="O1800" s="0" t="n">
        <f aca="false">6*J1800+(J1800-K1800-M1800)+2*L1800+3*N1800</f>
        <v>24</v>
      </c>
      <c r="P1800" s="0" t="n">
        <f aca="true">RAND()</f>
        <v>0.732361976253522</v>
      </c>
      <c r="Q1800" s="0" t="n">
        <f aca="true">RAND()</f>
        <v>0.731463129646566</v>
      </c>
      <c r="R1800" s="0" t="n">
        <f aca="false">IF($I1800&lt;&gt;$O1800,0,IF(P1800&lt;Matchup!$B$39,7,IF(P1800&lt;Matchup!$B$39+Matchup!$B$40,3,0)))</f>
        <v>0</v>
      </c>
      <c r="S1800" s="0" t="n">
        <f aca="false">IF($I1800&lt;&gt;$O1800,0,IF(Q1800&lt;Matchup!$C$39,7,IF(Q1800&lt;Matchup!$C$39+Matchup!$C$40,3,0)))</f>
        <v>0</v>
      </c>
      <c r="T1800" s="0" t="n">
        <f aca="false">I1800+R1800</f>
        <v>29</v>
      </c>
      <c r="U1800" s="0" t="n">
        <f aca="false">O1800+S1800</f>
        <v>24</v>
      </c>
      <c r="V1800" s="0" t="n">
        <f aca="false">T1800-U1800</f>
        <v>5</v>
      </c>
      <c r="W1800" s="0" t="n">
        <f aca="false">T1800+U1800</f>
        <v>53</v>
      </c>
    </row>
    <row r="1801" customFormat="false" ht="15" hidden="false" customHeight="false" outlineLevel="0" collapsed="false">
      <c r="A1801" s="0" t="n">
        <v>1798</v>
      </c>
      <c r="B1801" s="0" t="n">
        <f aca="true">NORMINV(RAND(),1,Coefficients!$B$22)</f>
        <v>0.954074778404912</v>
      </c>
      <c r="C1801" s="0" t="n">
        <f aca="true">MEDIAN(8,16,ROUND(NORMINV(RAND(),Coefficients!$B$20,Coefficients!$B$21),0))</f>
        <v>12</v>
      </c>
      <c r="D1801" s="0" t="n">
        <f aca="true">CRITBINOM($C1801,MIN(0.75,Matchup!$B$39*$B1801),RAND())</f>
        <v>2</v>
      </c>
      <c r="E1801" s="0" t="n">
        <f aca="true">CRITBINOM(D1801,Coefficients!$B$30,RAND())</f>
        <v>0</v>
      </c>
      <c r="F1801" s="0" t="n">
        <f aca="true">CRITBINOM(E1801,Coefficients!$B$31,RAND())</f>
        <v>0</v>
      </c>
      <c r="G1801" s="0" t="n">
        <f aca="true">CRITBINOM(MAX(0,D1801-E1801),1-Coefficients!$B$32,RAND())</f>
        <v>0</v>
      </c>
      <c r="H1801" s="0" t="n">
        <f aca="true">CRITBINOM(MAX(0,$C1801-D1801),MIN(0.6,Matchup!$B$40*SQRT($B1801)/(1-MIN(0.75,Matchup!$B$39*$B1801))),RAND())</f>
        <v>2</v>
      </c>
      <c r="I1801" s="0" t="n">
        <f aca="false">6*D1801+(D1801-E1801-G1801)+2*F1801+3*H1801</f>
        <v>20</v>
      </c>
      <c r="J1801" s="0" t="n">
        <f aca="true">CRITBINOM($C1801,MIN(0.75,Matchup!$C$39*$B1801),RAND())</f>
        <v>2</v>
      </c>
      <c r="K1801" s="0" t="n">
        <f aca="true">CRITBINOM(J1801,Coefficients!$B$30,RAND())</f>
        <v>0</v>
      </c>
      <c r="L1801" s="0" t="n">
        <f aca="true">CRITBINOM(K1801,Coefficients!$B$31,RAND())</f>
        <v>0</v>
      </c>
      <c r="M1801" s="0" t="n">
        <f aca="true">CRITBINOM(MAX(0,J1801-K1801),1-Coefficients!$B$32,RAND())</f>
        <v>0</v>
      </c>
      <c r="N1801" s="0" t="n">
        <f aca="true">CRITBINOM(MAX(0,$C1801-J1801),MIN(0.6,Matchup!$C$40*SQRT($B1801)/(1-MIN(0.75,Matchup!$C$39*$B1801))),RAND())</f>
        <v>2</v>
      </c>
      <c r="O1801" s="0" t="n">
        <f aca="false">6*J1801+(J1801-K1801-M1801)+2*L1801+3*N1801</f>
        <v>20</v>
      </c>
      <c r="P1801" s="0" t="n">
        <f aca="true">RAND()</f>
        <v>0.486738097456339</v>
      </c>
      <c r="Q1801" s="0" t="n">
        <f aca="true">RAND()</f>
        <v>0.967902686681983</v>
      </c>
      <c r="R1801" s="0" t="n">
        <f aca="false">IF($I1801&lt;&gt;$O1801,0,IF(P1801&lt;Matchup!$B$39,7,IF(P1801&lt;Matchup!$B$39+Matchup!$B$40,3,0)))</f>
        <v>0</v>
      </c>
      <c r="S1801" s="0" t="n">
        <f aca="false">IF($I1801&lt;&gt;$O1801,0,IF(Q1801&lt;Matchup!$C$39,7,IF(Q1801&lt;Matchup!$C$39+Matchup!$C$40,3,0)))</f>
        <v>0</v>
      </c>
      <c r="T1801" s="0" t="n">
        <f aca="false">I1801+R1801</f>
        <v>20</v>
      </c>
      <c r="U1801" s="0" t="n">
        <f aca="false">O1801+S1801</f>
        <v>20</v>
      </c>
      <c r="V1801" s="0" t="n">
        <f aca="false">T1801-U1801</f>
        <v>0</v>
      </c>
      <c r="W1801" s="0" t="n">
        <f aca="false">T1801+U1801</f>
        <v>40</v>
      </c>
    </row>
    <row r="1802" customFormat="false" ht="15" hidden="false" customHeight="false" outlineLevel="0" collapsed="false">
      <c r="A1802" s="0" t="n">
        <v>1799</v>
      </c>
      <c r="B1802" s="0" t="n">
        <f aca="true">NORMINV(RAND(),1,Coefficients!$B$22)</f>
        <v>0.928718205388199</v>
      </c>
      <c r="C1802" s="0" t="n">
        <f aca="true">MEDIAN(8,16,ROUND(NORMINV(RAND(),Coefficients!$B$20,Coefficients!$B$21),0))</f>
        <v>9</v>
      </c>
      <c r="D1802" s="0" t="n">
        <f aca="true">CRITBINOM($C1802,MIN(0.75,Matchup!$B$39*$B1802),RAND())</f>
        <v>3</v>
      </c>
      <c r="E1802" s="0" t="n">
        <f aca="true">CRITBINOM(D1802,Coefficients!$B$30,RAND())</f>
        <v>0</v>
      </c>
      <c r="F1802" s="0" t="n">
        <f aca="true">CRITBINOM(E1802,Coefficients!$B$31,RAND())</f>
        <v>0</v>
      </c>
      <c r="G1802" s="0" t="n">
        <f aca="true">CRITBINOM(MAX(0,D1802-E1802),1-Coefficients!$B$32,RAND())</f>
        <v>0</v>
      </c>
      <c r="H1802" s="0" t="n">
        <f aca="true">CRITBINOM(MAX(0,$C1802-D1802),MIN(0.6,Matchup!$B$40*SQRT($B1802)/(1-MIN(0.75,Matchup!$B$39*$B1802))),RAND())</f>
        <v>0</v>
      </c>
      <c r="I1802" s="0" t="n">
        <f aca="false">6*D1802+(D1802-E1802-G1802)+2*F1802+3*H1802</f>
        <v>21</v>
      </c>
      <c r="J1802" s="0" t="n">
        <f aca="true">CRITBINOM($C1802,MIN(0.75,Matchup!$C$39*$B1802),RAND())</f>
        <v>0</v>
      </c>
      <c r="K1802" s="0" t="n">
        <f aca="true">CRITBINOM(J1802,Coefficients!$B$30,RAND())</f>
        <v>0</v>
      </c>
      <c r="L1802" s="0" t="n">
        <f aca="true">CRITBINOM(K1802,Coefficients!$B$31,RAND())</f>
        <v>0</v>
      </c>
      <c r="M1802" s="0" t="n">
        <f aca="true">CRITBINOM(MAX(0,J1802-K1802),1-Coefficients!$B$32,RAND())</f>
        <v>0</v>
      </c>
      <c r="N1802" s="0" t="n">
        <f aca="true">CRITBINOM(MAX(0,$C1802-J1802),MIN(0.6,Matchup!$C$40*SQRT($B1802)/(1-MIN(0.75,Matchup!$C$39*$B1802))),RAND())</f>
        <v>2</v>
      </c>
      <c r="O1802" s="0" t="n">
        <f aca="false">6*J1802+(J1802-K1802-M1802)+2*L1802+3*N1802</f>
        <v>6</v>
      </c>
      <c r="P1802" s="0" t="n">
        <f aca="true">RAND()</f>
        <v>0.239567409976299</v>
      </c>
      <c r="Q1802" s="0" t="n">
        <f aca="true">RAND()</f>
        <v>0.151698884479453</v>
      </c>
      <c r="R1802" s="0" t="n">
        <f aca="false">IF($I1802&lt;&gt;$O1802,0,IF(P1802&lt;Matchup!$B$39,7,IF(P1802&lt;Matchup!$B$39+Matchup!$B$40,3,0)))</f>
        <v>0</v>
      </c>
      <c r="S1802" s="0" t="n">
        <f aca="false">IF($I1802&lt;&gt;$O1802,0,IF(Q1802&lt;Matchup!$C$39,7,IF(Q1802&lt;Matchup!$C$39+Matchup!$C$40,3,0)))</f>
        <v>0</v>
      </c>
      <c r="T1802" s="0" t="n">
        <f aca="false">I1802+R1802</f>
        <v>21</v>
      </c>
      <c r="U1802" s="0" t="n">
        <f aca="false">O1802+S1802</f>
        <v>6</v>
      </c>
      <c r="V1802" s="0" t="n">
        <f aca="false">T1802-U1802</f>
        <v>15</v>
      </c>
      <c r="W1802" s="0" t="n">
        <f aca="false">T1802+U1802</f>
        <v>27</v>
      </c>
    </row>
    <row r="1803" customFormat="false" ht="15" hidden="false" customHeight="false" outlineLevel="0" collapsed="false">
      <c r="A1803" s="0" t="n">
        <v>1800</v>
      </c>
      <c r="B1803" s="0" t="n">
        <f aca="true">NORMINV(RAND(),1,Coefficients!$B$22)</f>
        <v>1.01477663524552</v>
      </c>
      <c r="C1803" s="0" t="n">
        <f aca="true">MEDIAN(8,16,ROUND(NORMINV(RAND(),Coefficients!$B$20,Coefficients!$B$21),0))</f>
        <v>9</v>
      </c>
      <c r="D1803" s="0" t="n">
        <f aca="true">CRITBINOM($C1803,MIN(0.75,Matchup!$B$39*$B1803),RAND())</f>
        <v>1</v>
      </c>
      <c r="E1803" s="0" t="n">
        <f aca="true">CRITBINOM(D1803,Coefficients!$B$30,RAND())</f>
        <v>1</v>
      </c>
      <c r="F1803" s="0" t="n">
        <f aca="true">CRITBINOM(E1803,Coefficients!$B$31,RAND())</f>
        <v>1</v>
      </c>
      <c r="G1803" s="0" t="n">
        <f aca="true">CRITBINOM(MAX(0,D1803-E1803),1-Coefficients!$B$32,RAND())</f>
        <v>0</v>
      </c>
      <c r="H1803" s="0" t="n">
        <f aca="true">CRITBINOM(MAX(0,$C1803-D1803),MIN(0.6,Matchup!$B$40*SQRT($B1803)/(1-MIN(0.75,Matchup!$B$39*$B1803))),RAND())</f>
        <v>4</v>
      </c>
      <c r="I1803" s="0" t="n">
        <f aca="false">6*D1803+(D1803-E1803-G1803)+2*F1803+3*H1803</f>
        <v>20</v>
      </c>
      <c r="J1803" s="0" t="n">
        <f aca="true">CRITBINOM($C1803,MIN(0.75,Matchup!$C$39*$B1803),RAND())</f>
        <v>4</v>
      </c>
      <c r="K1803" s="0" t="n">
        <f aca="true">CRITBINOM(J1803,Coefficients!$B$30,RAND())</f>
        <v>1</v>
      </c>
      <c r="L1803" s="0" t="n">
        <f aca="true">CRITBINOM(K1803,Coefficients!$B$31,RAND())</f>
        <v>1</v>
      </c>
      <c r="M1803" s="0" t="n">
        <f aca="true">CRITBINOM(MAX(0,J1803-K1803),1-Coefficients!$B$32,RAND())</f>
        <v>0</v>
      </c>
      <c r="N1803" s="0" t="n">
        <f aca="true">CRITBINOM(MAX(0,$C1803-J1803),MIN(0.6,Matchup!$C$40*SQRT($B1803)/(1-MIN(0.75,Matchup!$C$39*$B1803))),RAND())</f>
        <v>2</v>
      </c>
      <c r="O1803" s="0" t="n">
        <f aca="false">6*J1803+(J1803-K1803-M1803)+2*L1803+3*N1803</f>
        <v>35</v>
      </c>
      <c r="P1803" s="0" t="n">
        <f aca="true">RAND()</f>
        <v>0.872336678254892</v>
      </c>
      <c r="Q1803" s="0" t="n">
        <f aca="true">RAND()</f>
        <v>0.630838957534255</v>
      </c>
      <c r="R1803" s="0" t="n">
        <f aca="false">IF($I1803&lt;&gt;$O1803,0,IF(P1803&lt;Matchup!$B$39,7,IF(P1803&lt;Matchup!$B$39+Matchup!$B$40,3,0)))</f>
        <v>0</v>
      </c>
      <c r="S1803" s="0" t="n">
        <f aca="false">IF($I1803&lt;&gt;$O1803,0,IF(Q1803&lt;Matchup!$C$39,7,IF(Q1803&lt;Matchup!$C$39+Matchup!$C$40,3,0)))</f>
        <v>0</v>
      </c>
      <c r="T1803" s="0" t="n">
        <f aca="false">I1803+R1803</f>
        <v>20</v>
      </c>
      <c r="U1803" s="0" t="n">
        <f aca="false">O1803+S1803</f>
        <v>35</v>
      </c>
      <c r="V1803" s="0" t="n">
        <f aca="false">T1803-U1803</f>
        <v>-15</v>
      </c>
      <c r="W1803" s="0" t="n">
        <f aca="false">T1803+U1803</f>
        <v>55</v>
      </c>
    </row>
    <row r="1804" customFormat="false" ht="15" hidden="false" customHeight="false" outlineLevel="0" collapsed="false">
      <c r="A1804" s="0" t="n">
        <v>1801</v>
      </c>
      <c r="B1804" s="0" t="n">
        <f aca="true">NORMINV(RAND(),1,Coefficients!$B$22)</f>
        <v>0.988128121161879</v>
      </c>
      <c r="C1804" s="0" t="n">
        <f aca="true">MEDIAN(8,16,ROUND(NORMINV(RAND(),Coefficients!$B$20,Coefficients!$B$21),0))</f>
        <v>10</v>
      </c>
      <c r="D1804" s="0" t="n">
        <f aca="true">CRITBINOM($C1804,MIN(0.75,Matchup!$B$39*$B1804),RAND())</f>
        <v>4</v>
      </c>
      <c r="E1804" s="0" t="n">
        <f aca="true">CRITBINOM(D1804,Coefficients!$B$30,RAND())</f>
        <v>2</v>
      </c>
      <c r="F1804" s="0" t="n">
        <f aca="true">CRITBINOM(E1804,Coefficients!$B$31,RAND())</f>
        <v>1</v>
      </c>
      <c r="G1804" s="0" t="n">
        <f aca="true">CRITBINOM(MAX(0,D1804-E1804),1-Coefficients!$B$32,RAND())</f>
        <v>0</v>
      </c>
      <c r="H1804" s="0" t="n">
        <f aca="true">CRITBINOM(MAX(0,$C1804-D1804),MIN(0.6,Matchup!$B$40*SQRT($B1804)/(1-MIN(0.75,Matchup!$B$39*$B1804))),RAND())</f>
        <v>1</v>
      </c>
      <c r="I1804" s="0" t="n">
        <f aca="false">6*D1804+(D1804-E1804-G1804)+2*F1804+3*H1804</f>
        <v>31</v>
      </c>
      <c r="J1804" s="0" t="n">
        <f aca="true">CRITBINOM($C1804,MIN(0.75,Matchup!$C$39*$B1804),RAND())</f>
        <v>2</v>
      </c>
      <c r="K1804" s="0" t="n">
        <f aca="true">CRITBINOM(J1804,Coefficients!$B$30,RAND())</f>
        <v>0</v>
      </c>
      <c r="L1804" s="0" t="n">
        <f aca="true">CRITBINOM(K1804,Coefficients!$B$31,RAND())</f>
        <v>0</v>
      </c>
      <c r="M1804" s="0" t="n">
        <f aca="true">CRITBINOM(MAX(0,J1804-K1804),1-Coefficients!$B$32,RAND())</f>
        <v>0</v>
      </c>
      <c r="N1804" s="0" t="n">
        <f aca="true">CRITBINOM(MAX(0,$C1804-J1804),MIN(0.6,Matchup!$C$40*SQRT($B1804)/(1-MIN(0.75,Matchup!$C$39*$B1804))),RAND())</f>
        <v>1</v>
      </c>
      <c r="O1804" s="0" t="n">
        <f aca="false">6*J1804+(J1804-K1804-M1804)+2*L1804+3*N1804</f>
        <v>17</v>
      </c>
      <c r="P1804" s="0" t="n">
        <f aca="true">RAND()</f>
        <v>0.699132489607466</v>
      </c>
      <c r="Q1804" s="0" t="n">
        <f aca="true">RAND()</f>
        <v>0.91677764358756</v>
      </c>
      <c r="R1804" s="0" t="n">
        <f aca="false">IF($I1804&lt;&gt;$O1804,0,IF(P1804&lt;Matchup!$B$39,7,IF(P1804&lt;Matchup!$B$39+Matchup!$B$40,3,0)))</f>
        <v>0</v>
      </c>
      <c r="S1804" s="0" t="n">
        <f aca="false">IF($I1804&lt;&gt;$O1804,0,IF(Q1804&lt;Matchup!$C$39,7,IF(Q1804&lt;Matchup!$C$39+Matchup!$C$40,3,0)))</f>
        <v>0</v>
      </c>
      <c r="T1804" s="0" t="n">
        <f aca="false">I1804+R1804</f>
        <v>31</v>
      </c>
      <c r="U1804" s="0" t="n">
        <f aca="false">O1804+S1804</f>
        <v>17</v>
      </c>
      <c r="V1804" s="0" t="n">
        <f aca="false">T1804-U1804</f>
        <v>14</v>
      </c>
      <c r="W1804" s="0" t="n">
        <f aca="false">T1804+U1804</f>
        <v>48</v>
      </c>
    </row>
    <row r="1805" customFormat="false" ht="15" hidden="false" customHeight="false" outlineLevel="0" collapsed="false">
      <c r="A1805" s="0" t="n">
        <v>1802</v>
      </c>
      <c r="B1805" s="0" t="n">
        <f aca="true">NORMINV(RAND(),1,Coefficients!$B$22)</f>
        <v>0.990935463344035</v>
      </c>
      <c r="C1805" s="0" t="n">
        <f aca="true">MEDIAN(8,16,ROUND(NORMINV(RAND(),Coefficients!$B$20,Coefficients!$B$21),0))</f>
        <v>10</v>
      </c>
      <c r="D1805" s="0" t="n">
        <f aca="true">CRITBINOM($C1805,MIN(0.75,Matchup!$B$39*$B1805),RAND())</f>
        <v>3</v>
      </c>
      <c r="E1805" s="0" t="n">
        <f aca="true">CRITBINOM(D1805,Coefficients!$B$30,RAND())</f>
        <v>1</v>
      </c>
      <c r="F1805" s="0" t="n">
        <f aca="true">CRITBINOM(E1805,Coefficients!$B$31,RAND())</f>
        <v>1</v>
      </c>
      <c r="G1805" s="0" t="n">
        <f aca="true">CRITBINOM(MAX(0,D1805-E1805),1-Coefficients!$B$32,RAND())</f>
        <v>1</v>
      </c>
      <c r="H1805" s="0" t="n">
        <f aca="true">CRITBINOM(MAX(0,$C1805-D1805),MIN(0.6,Matchup!$B$40*SQRT($B1805)/(1-MIN(0.75,Matchup!$B$39*$B1805))),RAND())</f>
        <v>1</v>
      </c>
      <c r="I1805" s="0" t="n">
        <f aca="false">6*D1805+(D1805-E1805-G1805)+2*F1805+3*H1805</f>
        <v>24</v>
      </c>
      <c r="J1805" s="0" t="n">
        <f aca="true">CRITBINOM($C1805,MIN(0.75,Matchup!$C$39*$B1805),RAND())</f>
        <v>4</v>
      </c>
      <c r="K1805" s="0" t="n">
        <f aca="true">CRITBINOM(J1805,Coefficients!$B$30,RAND())</f>
        <v>0</v>
      </c>
      <c r="L1805" s="0" t="n">
        <f aca="true">CRITBINOM(K1805,Coefficients!$B$31,RAND())</f>
        <v>0</v>
      </c>
      <c r="M1805" s="0" t="n">
        <f aca="true">CRITBINOM(MAX(0,J1805-K1805),1-Coefficients!$B$32,RAND())</f>
        <v>0</v>
      </c>
      <c r="N1805" s="0" t="n">
        <f aca="true">CRITBINOM(MAX(0,$C1805-J1805),MIN(0.6,Matchup!$C$40*SQRT($B1805)/(1-MIN(0.75,Matchup!$C$39*$B1805))),RAND())</f>
        <v>0</v>
      </c>
      <c r="O1805" s="0" t="n">
        <f aca="false">6*J1805+(J1805-K1805-M1805)+2*L1805+3*N1805</f>
        <v>28</v>
      </c>
      <c r="P1805" s="0" t="n">
        <f aca="true">RAND()</f>
        <v>0.199729766113519</v>
      </c>
      <c r="Q1805" s="0" t="n">
        <f aca="true">RAND()</f>
        <v>0.549230577861356</v>
      </c>
      <c r="R1805" s="0" t="n">
        <f aca="false">IF($I1805&lt;&gt;$O1805,0,IF(P1805&lt;Matchup!$B$39,7,IF(P1805&lt;Matchup!$B$39+Matchup!$B$40,3,0)))</f>
        <v>0</v>
      </c>
      <c r="S1805" s="0" t="n">
        <f aca="false">IF($I1805&lt;&gt;$O1805,0,IF(Q1805&lt;Matchup!$C$39,7,IF(Q1805&lt;Matchup!$C$39+Matchup!$C$40,3,0)))</f>
        <v>0</v>
      </c>
      <c r="T1805" s="0" t="n">
        <f aca="false">I1805+R1805</f>
        <v>24</v>
      </c>
      <c r="U1805" s="0" t="n">
        <f aca="false">O1805+S1805</f>
        <v>28</v>
      </c>
      <c r="V1805" s="0" t="n">
        <f aca="false">T1805-U1805</f>
        <v>-4</v>
      </c>
      <c r="W1805" s="0" t="n">
        <f aca="false">T1805+U1805</f>
        <v>52</v>
      </c>
    </row>
    <row r="1806" customFormat="false" ht="15" hidden="false" customHeight="false" outlineLevel="0" collapsed="false">
      <c r="A1806" s="0" t="n">
        <v>1803</v>
      </c>
      <c r="B1806" s="0" t="n">
        <f aca="true">NORMINV(RAND(),1,Coefficients!$B$22)</f>
        <v>1.06929732036723</v>
      </c>
      <c r="C1806" s="0" t="n">
        <f aca="true">MEDIAN(8,16,ROUND(NORMINV(RAND(),Coefficients!$B$20,Coefficients!$B$21),0))</f>
        <v>13</v>
      </c>
      <c r="D1806" s="0" t="n">
        <f aca="true">CRITBINOM($C1806,MIN(0.75,Matchup!$B$39*$B1806),RAND())</f>
        <v>1</v>
      </c>
      <c r="E1806" s="0" t="n">
        <f aca="true">CRITBINOM(D1806,Coefficients!$B$30,RAND())</f>
        <v>0</v>
      </c>
      <c r="F1806" s="0" t="n">
        <f aca="true">CRITBINOM(E1806,Coefficients!$B$31,RAND())</f>
        <v>0</v>
      </c>
      <c r="G1806" s="0" t="n">
        <f aca="true">CRITBINOM(MAX(0,D1806-E1806),1-Coefficients!$B$32,RAND())</f>
        <v>0</v>
      </c>
      <c r="H1806" s="0" t="n">
        <f aca="true">CRITBINOM(MAX(0,$C1806-D1806),MIN(0.6,Matchup!$B$40*SQRT($B1806)/(1-MIN(0.75,Matchup!$B$39*$B1806))),RAND())</f>
        <v>1</v>
      </c>
      <c r="I1806" s="0" t="n">
        <f aca="false">6*D1806+(D1806-E1806-G1806)+2*F1806+3*H1806</f>
        <v>10</v>
      </c>
      <c r="J1806" s="0" t="n">
        <f aca="true">CRITBINOM($C1806,MIN(0.75,Matchup!$C$39*$B1806),RAND())</f>
        <v>3</v>
      </c>
      <c r="K1806" s="0" t="n">
        <f aca="true">CRITBINOM(J1806,Coefficients!$B$30,RAND())</f>
        <v>0</v>
      </c>
      <c r="L1806" s="0" t="n">
        <f aca="true">CRITBINOM(K1806,Coefficients!$B$31,RAND())</f>
        <v>0</v>
      </c>
      <c r="M1806" s="0" t="n">
        <f aca="true">CRITBINOM(MAX(0,J1806-K1806),1-Coefficients!$B$32,RAND())</f>
        <v>0</v>
      </c>
      <c r="N1806" s="0" t="n">
        <f aca="true">CRITBINOM(MAX(0,$C1806-J1806),MIN(0.6,Matchup!$C$40*SQRT($B1806)/(1-MIN(0.75,Matchup!$C$39*$B1806))),RAND())</f>
        <v>2</v>
      </c>
      <c r="O1806" s="0" t="n">
        <f aca="false">6*J1806+(J1806-K1806-M1806)+2*L1806+3*N1806</f>
        <v>27</v>
      </c>
      <c r="P1806" s="0" t="n">
        <f aca="true">RAND()</f>
        <v>0.403014755781313</v>
      </c>
      <c r="Q1806" s="0" t="n">
        <f aca="true">RAND()</f>
        <v>0.0728666962873312</v>
      </c>
      <c r="R1806" s="0" t="n">
        <f aca="false">IF($I1806&lt;&gt;$O1806,0,IF(P1806&lt;Matchup!$B$39,7,IF(P1806&lt;Matchup!$B$39+Matchup!$B$40,3,0)))</f>
        <v>0</v>
      </c>
      <c r="S1806" s="0" t="n">
        <f aca="false">IF($I1806&lt;&gt;$O1806,0,IF(Q1806&lt;Matchup!$C$39,7,IF(Q1806&lt;Matchup!$C$39+Matchup!$C$40,3,0)))</f>
        <v>0</v>
      </c>
      <c r="T1806" s="0" t="n">
        <f aca="false">I1806+R1806</f>
        <v>10</v>
      </c>
      <c r="U1806" s="0" t="n">
        <f aca="false">O1806+S1806</f>
        <v>27</v>
      </c>
      <c r="V1806" s="0" t="n">
        <f aca="false">T1806-U1806</f>
        <v>-17</v>
      </c>
      <c r="W1806" s="0" t="n">
        <f aca="false">T1806+U1806</f>
        <v>37</v>
      </c>
    </row>
    <row r="1807" customFormat="false" ht="15" hidden="false" customHeight="false" outlineLevel="0" collapsed="false">
      <c r="A1807" s="0" t="n">
        <v>1804</v>
      </c>
      <c r="B1807" s="0" t="n">
        <f aca="true">NORMINV(RAND(),1,Coefficients!$B$22)</f>
        <v>1.06703484962376</v>
      </c>
      <c r="C1807" s="0" t="n">
        <f aca="true">MEDIAN(8,16,ROUND(NORMINV(RAND(),Coefficients!$B$20,Coefficients!$B$21),0))</f>
        <v>11</v>
      </c>
      <c r="D1807" s="0" t="n">
        <f aca="true">CRITBINOM($C1807,MIN(0.75,Matchup!$B$39*$B1807),RAND())</f>
        <v>4</v>
      </c>
      <c r="E1807" s="0" t="n">
        <f aca="true">CRITBINOM(D1807,Coefficients!$B$30,RAND())</f>
        <v>1</v>
      </c>
      <c r="F1807" s="0" t="n">
        <f aca="true">CRITBINOM(E1807,Coefficients!$B$31,RAND())</f>
        <v>1</v>
      </c>
      <c r="G1807" s="0" t="n">
        <f aca="true">CRITBINOM(MAX(0,D1807-E1807),1-Coefficients!$B$32,RAND())</f>
        <v>1</v>
      </c>
      <c r="H1807" s="0" t="n">
        <f aca="true">CRITBINOM(MAX(0,$C1807-D1807),MIN(0.6,Matchup!$B$40*SQRT($B1807)/(1-MIN(0.75,Matchup!$B$39*$B1807))),RAND())</f>
        <v>0</v>
      </c>
      <c r="I1807" s="0" t="n">
        <f aca="false">6*D1807+(D1807-E1807-G1807)+2*F1807+3*H1807</f>
        <v>28</v>
      </c>
      <c r="J1807" s="0" t="n">
        <f aca="true">CRITBINOM($C1807,MIN(0.75,Matchup!$C$39*$B1807),RAND())</f>
        <v>2</v>
      </c>
      <c r="K1807" s="0" t="n">
        <f aca="true">CRITBINOM(J1807,Coefficients!$B$30,RAND())</f>
        <v>0</v>
      </c>
      <c r="L1807" s="0" t="n">
        <f aca="true">CRITBINOM(K1807,Coefficients!$B$31,RAND())</f>
        <v>0</v>
      </c>
      <c r="M1807" s="0" t="n">
        <f aca="true">CRITBINOM(MAX(0,J1807-K1807),1-Coefficients!$B$32,RAND())</f>
        <v>1</v>
      </c>
      <c r="N1807" s="0" t="n">
        <f aca="true">CRITBINOM(MAX(0,$C1807-J1807),MIN(0.6,Matchup!$C$40*SQRT($B1807)/(1-MIN(0.75,Matchup!$C$39*$B1807))),RAND())</f>
        <v>0</v>
      </c>
      <c r="O1807" s="0" t="n">
        <f aca="false">6*J1807+(J1807-K1807-M1807)+2*L1807+3*N1807</f>
        <v>13</v>
      </c>
      <c r="P1807" s="0" t="n">
        <f aca="true">RAND()</f>
        <v>0.847785071153663</v>
      </c>
      <c r="Q1807" s="0" t="n">
        <f aca="true">RAND()</f>
        <v>0.307217784258596</v>
      </c>
      <c r="R1807" s="0" t="n">
        <f aca="false">IF($I1807&lt;&gt;$O1807,0,IF(P1807&lt;Matchup!$B$39,7,IF(P1807&lt;Matchup!$B$39+Matchup!$B$40,3,0)))</f>
        <v>0</v>
      </c>
      <c r="S1807" s="0" t="n">
        <f aca="false">IF($I1807&lt;&gt;$O1807,0,IF(Q1807&lt;Matchup!$C$39,7,IF(Q1807&lt;Matchup!$C$39+Matchup!$C$40,3,0)))</f>
        <v>0</v>
      </c>
      <c r="T1807" s="0" t="n">
        <f aca="false">I1807+R1807</f>
        <v>28</v>
      </c>
      <c r="U1807" s="0" t="n">
        <f aca="false">O1807+S1807</f>
        <v>13</v>
      </c>
      <c r="V1807" s="0" t="n">
        <f aca="false">T1807-U1807</f>
        <v>15</v>
      </c>
      <c r="W1807" s="0" t="n">
        <f aca="false">T1807+U1807</f>
        <v>41</v>
      </c>
    </row>
    <row r="1808" customFormat="false" ht="15" hidden="false" customHeight="false" outlineLevel="0" collapsed="false">
      <c r="A1808" s="0" t="n">
        <v>1805</v>
      </c>
      <c r="B1808" s="0" t="n">
        <f aca="true">NORMINV(RAND(),1,Coefficients!$B$22)</f>
        <v>0.968378275191204</v>
      </c>
      <c r="C1808" s="0" t="n">
        <f aca="true">MEDIAN(8,16,ROUND(NORMINV(RAND(),Coefficients!$B$20,Coefficients!$B$21),0))</f>
        <v>11</v>
      </c>
      <c r="D1808" s="0" t="n">
        <f aca="true">CRITBINOM($C1808,MIN(0.75,Matchup!$B$39*$B1808),RAND())</f>
        <v>3</v>
      </c>
      <c r="E1808" s="0" t="n">
        <f aca="true">CRITBINOM(D1808,Coefficients!$B$30,RAND())</f>
        <v>0</v>
      </c>
      <c r="F1808" s="0" t="n">
        <f aca="true">CRITBINOM(E1808,Coefficients!$B$31,RAND())</f>
        <v>0</v>
      </c>
      <c r="G1808" s="0" t="n">
        <f aca="true">CRITBINOM(MAX(0,D1808-E1808),1-Coefficients!$B$32,RAND())</f>
        <v>0</v>
      </c>
      <c r="H1808" s="0" t="n">
        <f aca="true">CRITBINOM(MAX(0,$C1808-D1808),MIN(0.6,Matchup!$B$40*SQRT($B1808)/(1-MIN(0.75,Matchup!$B$39*$B1808))),RAND())</f>
        <v>1</v>
      </c>
      <c r="I1808" s="0" t="n">
        <f aca="false">6*D1808+(D1808-E1808-G1808)+2*F1808+3*H1808</f>
        <v>24</v>
      </c>
      <c r="J1808" s="0" t="n">
        <f aca="true">CRITBINOM($C1808,MIN(0.75,Matchup!$C$39*$B1808),RAND())</f>
        <v>0</v>
      </c>
      <c r="K1808" s="0" t="n">
        <f aca="true">CRITBINOM(J1808,Coefficients!$B$30,RAND())</f>
        <v>0</v>
      </c>
      <c r="L1808" s="0" t="n">
        <f aca="true">CRITBINOM(K1808,Coefficients!$B$31,RAND())</f>
        <v>0</v>
      </c>
      <c r="M1808" s="0" t="n">
        <f aca="true">CRITBINOM(MAX(0,J1808-K1808),1-Coefficients!$B$32,RAND())</f>
        <v>0</v>
      </c>
      <c r="N1808" s="0" t="n">
        <f aca="true">CRITBINOM(MAX(0,$C1808-J1808),MIN(0.6,Matchup!$C$40*SQRT($B1808)/(1-MIN(0.75,Matchup!$C$39*$B1808))),RAND())</f>
        <v>0</v>
      </c>
      <c r="O1808" s="0" t="n">
        <f aca="false">6*J1808+(J1808-K1808-M1808)+2*L1808+3*N1808</f>
        <v>0</v>
      </c>
      <c r="P1808" s="0" t="n">
        <f aca="true">RAND()</f>
        <v>0.545502123313753</v>
      </c>
      <c r="Q1808" s="0" t="n">
        <f aca="true">RAND()</f>
        <v>0.467418804656847</v>
      </c>
      <c r="R1808" s="0" t="n">
        <f aca="false">IF($I1808&lt;&gt;$O1808,0,IF(P1808&lt;Matchup!$B$39,7,IF(P1808&lt;Matchup!$B$39+Matchup!$B$40,3,0)))</f>
        <v>0</v>
      </c>
      <c r="S1808" s="0" t="n">
        <f aca="false">IF($I1808&lt;&gt;$O1808,0,IF(Q1808&lt;Matchup!$C$39,7,IF(Q1808&lt;Matchup!$C$39+Matchup!$C$40,3,0)))</f>
        <v>0</v>
      </c>
      <c r="T1808" s="0" t="n">
        <f aca="false">I1808+R1808</f>
        <v>24</v>
      </c>
      <c r="U1808" s="0" t="n">
        <f aca="false">O1808+S1808</f>
        <v>0</v>
      </c>
      <c r="V1808" s="0" t="n">
        <f aca="false">T1808-U1808</f>
        <v>24</v>
      </c>
      <c r="W1808" s="0" t="n">
        <f aca="false">T1808+U1808</f>
        <v>24</v>
      </c>
    </row>
    <row r="1809" customFormat="false" ht="15" hidden="false" customHeight="false" outlineLevel="0" collapsed="false">
      <c r="A1809" s="0" t="n">
        <v>1806</v>
      </c>
      <c r="B1809" s="0" t="n">
        <f aca="true">NORMINV(RAND(),1,Coefficients!$B$22)</f>
        <v>1.04746728360356</v>
      </c>
      <c r="C1809" s="0" t="n">
        <f aca="true">MEDIAN(8,16,ROUND(NORMINV(RAND(),Coefficients!$B$20,Coefficients!$B$21),0))</f>
        <v>12</v>
      </c>
      <c r="D1809" s="0" t="n">
        <f aca="true">CRITBINOM($C1809,MIN(0.75,Matchup!$B$39*$B1809),RAND())</f>
        <v>4</v>
      </c>
      <c r="E1809" s="0" t="n">
        <f aca="true">CRITBINOM(D1809,Coefficients!$B$30,RAND())</f>
        <v>0</v>
      </c>
      <c r="F1809" s="0" t="n">
        <f aca="true">CRITBINOM(E1809,Coefficients!$B$31,RAND())</f>
        <v>0</v>
      </c>
      <c r="G1809" s="0" t="n">
        <f aca="true">CRITBINOM(MAX(0,D1809-E1809),1-Coefficients!$B$32,RAND())</f>
        <v>0</v>
      </c>
      <c r="H1809" s="0" t="n">
        <f aca="true">CRITBINOM(MAX(0,$C1809-D1809),MIN(0.6,Matchup!$B$40*SQRT($B1809)/(1-MIN(0.75,Matchup!$B$39*$B1809))),RAND())</f>
        <v>2</v>
      </c>
      <c r="I1809" s="0" t="n">
        <f aca="false">6*D1809+(D1809-E1809-G1809)+2*F1809+3*H1809</f>
        <v>34</v>
      </c>
      <c r="J1809" s="0" t="n">
        <f aca="true">CRITBINOM($C1809,MIN(0.75,Matchup!$C$39*$B1809),RAND())</f>
        <v>3</v>
      </c>
      <c r="K1809" s="0" t="n">
        <f aca="true">CRITBINOM(J1809,Coefficients!$B$30,RAND())</f>
        <v>0</v>
      </c>
      <c r="L1809" s="0" t="n">
        <f aca="true">CRITBINOM(K1809,Coefficients!$B$31,RAND())</f>
        <v>0</v>
      </c>
      <c r="M1809" s="0" t="n">
        <f aca="true">CRITBINOM(MAX(0,J1809-K1809),1-Coefficients!$B$32,RAND())</f>
        <v>0</v>
      </c>
      <c r="N1809" s="0" t="n">
        <f aca="true">CRITBINOM(MAX(0,$C1809-J1809),MIN(0.6,Matchup!$C$40*SQRT($B1809)/(1-MIN(0.75,Matchup!$C$39*$B1809))),RAND())</f>
        <v>2</v>
      </c>
      <c r="O1809" s="0" t="n">
        <f aca="false">6*J1809+(J1809-K1809-M1809)+2*L1809+3*N1809</f>
        <v>27</v>
      </c>
      <c r="P1809" s="0" t="n">
        <f aca="true">RAND()</f>
        <v>0.124562173976053</v>
      </c>
      <c r="Q1809" s="0" t="n">
        <f aca="true">RAND()</f>
        <v>0.881887145608453</v>
      </c>
      <c r="R1809" s="0" t="n">
        <f aca="false">IF($I1809&lt;&gt;$O1809,0,IF(P1809&lt;Matchup!$B$39,7,IF(P1809&lt;Matchup!$B$39+Matchup!$B$40,3,0)))</f>
        <v>0</v>
      </c>
      <c r="S1809" s="0" t="n">
        <f aca="false">IF($I1809&lt;&gt;$O1809,0,IF(Q1809&lt;Matchup!$C$39,7,IF(Q1809&lt;Matchup!$C$39+Matchup!$C$40,3,0)))</f>
        <v>0</v>
      </c>
      <c r="T1809" s="0" t="n">
        <f aca="false">I1809+R1809</f>
        <v>34</v>
      </c>
      <c r="U1809" s="0" t="n">
        <f aca="false">O1809+S1809</f>
        <v>27</v>
      </c>
      <c r="V1809" s="0" t="n">
        <f aca="false">T1809-U1809</f>
        <v>7</v>
      </c>
      <c r="W1809" s="0" t="n">
        <f aca="false">T1809+U1809</f>
        <v>61</v>
      </c>
    </row>
    <row r="1810" customFormat="false" ht="15" hidden="false" customHeight="false" outlineLevel="0" collapsed="false">
      <c r="A1810" s="0" t="n">
        <v>1807</v>
      </c>
      <c r="B1810" s="0" t="n">
        <f aca="true">NORMINV(RAND(),1,Coefficients!$B$22)</f>
        <v>0.986997574332728</v>
      </c>
      <c r="C1810" s="0" t="n">
        <f aca="true">MEDIAN(8,16,ROUND(NORMINV(RAND(),Coefficients!$B$20,Coefficients!$B$21),0))</f>
        <v>11</v>
      </c>
      <c r="D1810" s="0" t="n">
        <f aca="true">CRITBINOM($C1810,MIN(0.75,Matchup!$B$39*$B1810),RAND())</f>
        <v>2</v>
      </c>
      <c r="E1810" s="0" t="n">
        <f aca="true">CRITBINOM(D1810,Coefficients!$B$30,RAND())</f>
        <v>0</v>
      </c>
      <c r="F1810" s="0" t="n">
        <f aca="true">CRITBINOM(E1810,Coefficients!$B$31,RAND())</f>
        <v>0</v>
      </c>
      <c r="G1810" s="0" t="n">
        <f aca="true">CRITBINOM(MAX(0,D1810-E1810),1-Coefficients!$B$32,RAND())</f>
        <v>0</v>
      </c>
      <c r="H1810" s="0" t="n">
        <f aca="true">CRITBINOM(MAX(0,$C1810-D1810),MIN(0.6,Matchup!$B$40*SQRT($B1810)/(1-MIN(0.75,Matchup!$B$39*$B1810))),RAND())</f>
        <v>2</v>
      </c>
      <c r="I1810" s="0" t="n">
        <f aca="false">6*D1810+(D1810-E1810-G1810)+2*F1810+3*H1810</f>
        <v>20</v>
      </c>
      <c r="J1810" s="0" t="n">
        <f aca="true">CRITBINOM($C1810,MIN(0.75,Matchup!$C$39*$B1810),RAND())</f>
        <v>2</v>
      </c>
      <c r="K1810" s="0" t="n">
        <f aca="true">CRITBINOM(J1810,Coefficients!$B$30,RAND())</f>
        <v>0</v>
      </c>
      <c r="L1810" s="0" t="n">
        <f aca="true">CRITBINOM(K1810,Coefficients!$B$31,RAND())</f>
        <v>0</v>
      </c>
      <c r="M1810" s="0" t="n">
        <f aca="true">CRITBINOM(MAX(0,J1810-K1810),1-Coefficients!$B$32,RAND())</f>
        <v>0</v>
      </c>
      <c r="N1810" s="0" t="n">
        <f aca="true">CRITBINOM(MAX(0,$C1810-J1810),MIN(0.6,Matchup!$C$40*SQRT($B1810)/(1-MIN(0.75,Matchup!$C$39*$B1810))),RAND())</f>
        <v>2</v>
      </c>
      <c r="O1810" s="0" t="n">
        <f aca="false">6*J1810+(J1810-K1810-M1810)+2*L1810+3*N1810</f>
        <v>20</v>
      </c>
      <c r="P1810" s="0" t="n">
        <f aca="true">RAND()</f>
        <v>0.662997266109296</v>
      </c>
      <c r="Q1810" s="0" t="n">
        <f aca="true">RAND()</f>
        <v>0.801402259134505</v>
      </c>
      <c r="R1810" s="0" t="n">
        <f aca="false">IF($I1810&lt;&gt;$O1810,0,IF(P1810&lt;Matchup!$B$39,7,IF(P1810&lt;Matchup!$B$39+Matchup!$B$40,3,0)))</f>
        <v>0</v>
      </c>
      <c r="S1810" s="0" t="n">
        <f aca="false">IF($I1810&lt;&gt;$O1810,0,IF(Q1810&lt;Matchup!$C$39,7,IF(Q1810&lt;Matchup!$C$39+Matchup!$C$40,3,0)))</f>
        <v>0</v>
      </c>
      <c r="T1810" s="0" t="n">
        <f aca="false">I1810+R1810</f>
        <v>20</v>
      </c>
      <c r="U1810" s="0" t="n">
        <f aca="false">O1810+S1810</f>
        <v>20</v>
      </c>
      <c r="V1810" s="0" t="n">
        <f aca="false">T1810-U1810</f>
        <v>0</v>
      </c>
      <c r="W1810" s="0" t="n">
        <f aca="false">T1810+U1810</f>
        <v>40</v>
      </c>
    </row>
    <row r="1811" customFormat="false" ht="15" hidden="false" customHeight="false" outlineLevel="0" collapsed="false">
      <c r="A1811" s="0" t="n">
        <v>1808</v>
      </c>
      <c r="B1811" s="0" t="n">
        <f aca="true">NORMINV(RAND(),1,Coefficients!$B$22)</f>
        <v>0.922781030932257</v>
      </c>
      <c r="C1811" s="0" t="n">
        <f aca="true">MEDIAN(8,16,ROUND(NORMINV(RAND(),Coefficients!$B$20,Coefficients!$B$21),0))</f>
        <v>9</v>
      </c>
      <c r="D1811" s="0" t="n">
        <f aca="true">CRITBINOM($C1811,MIN(0.75,Matchup!$B$39*$B1811),RAND())</f>
        <v>1</v>
      </c>
      <c r="E1811" s="0" t="n">
        <f aca="true">CRITBINOM(D1811,Coefficients!$B$30,RAND())</f>
        <v>0</v>
      </c>
      <c r="F1811" s="0" t="n">
        <f aca="true">CRITBINOM(E1811,Coefficients!$B$31,RAND())</f>
        <v>0</v>
      </c>
      <c r="G1811" s="0" t="n">
        <f aca="true">CRITBINOM(MAX(0,D1811-E1811),1-Coefficients!$B$32,RAND())</f>
        <v>0</v>
      </c>
      <c r="H1811" s="0" t="n">
        <f aca="true">CRITBINOM(MAX(0,$C1811-D1811),MIN(0.6,Matchup!$B$40*SQRT($B1811)/(1-MIN(0.75,Matchup!$B$39*$B1811))),RAND())</f>
        <v>1</v>
      </c>
      <c r="I1811" s="0" t="n">
        <f aca="false">6*D1811+(D1811-E1811-G1811)+2*F1811+3*H1811</f>
        <v>10</v>
      </c>
      <c r="J1811" s="0" t="n">
        <f aca="true">CRITBINOM($C1811,MIN(0.75,Matchup!$C$39*$B1811),RAND())</f>
        <v>2</v>
      </c>
      <c r="K1811" s="0" t="n">
        <f aca="true">CRITBINOM(J1811,Coefficients!$B$30,RAND())</f>
        <v>0</v>
      </c>
      <c r="L1811" s="0" t="n">
        <f aca="true">CRITBINOM(K1811,Coefficients!$B$31,RAND())</f>
        <v>0</v>
      </c>
      <c r="M1811" s="0" t="n">
        <f aca="true">CRITBINOM(MAX(0,J1811-K1811),1-Coefficients!$B$32,RAND())</f>
        <v>0</v>
      </c>
      <c r="N1811" s="0" t="n">
        <f aca="true">CRITBINOM(MAX(0,$C1811-J1811),MIN(0.6,Matchup!$C$40*SQRT($B1811)/(1-MIN(0.75,Matchup!$C$39*$B1811))),RAND())</f>
        <v>1</v>
      </c>
      <c r="O1811" s="0" t="n">
        <f aca="false">6*J1811+(J1811-K1811-M1811)+2*L1811+3*N1811</f>
        <v>17</v>
      </c>
      <c r="P1811" s="0" t="n">
        <f aca="true">RAND()</f>
        <v>0.439221700005925</v>
      </c>
      <c r="Q1811" s="0" t="n">
        <f aca="true">RAND()</f>
        <v>0.184721925048872</v>
      </c>
      <c r="R1811" s="0" t="n">
        <f aca="false">IF($I1811&lt;&gt;$O1811,0,IF(P1811&lt;Matchup!$B$39,7,IF(P1811&lt;Matchup!$B$39+Matchup!$B$40,3,0)))</f>
        <v>0</v>
      </c>
      <c r="S1811" s="0" t="n">
        <f aca="false">IF($I1811&lt;&gt;$O1811,0,IF(Q1811&lt;Matchup!$C$39,7,IF(Q1811&lt;Matchup!$C$39+Matchup!$C$40,3,0)))</f>
        <v>0</v>
      </c>
      <c r="T1811" s="0" t="n">
        <f aca="false">I1811+R1811</f>
        <v>10</v>
      </c>
      <c r="U1811" s="0" t="n">
        <f aca="false">O1811+S1811</f>
        <v>17</v>
      </c>
      <c r="V1811" s="0" t="n">
        <f aca="false">T1811-U1811</f>
        <v>-7</v>
      </c>
      <c r="W1811" s="0" t="n">
        <f aca="false">T1811+U1811</f>
        <v>27</v>
      </c>
    </row>
    <row r="1812" customFormat="false" ht="15" hidden="false" customHeight="false" outlineLevel="0" collapsed="false">
      <c r="A1812" s="0" t="n">
        <v>1809</v>
      </c>
      <c r="B1812" s="0" t="n">
        <f aca="true">NORMINV(RAND(),1,Coefficients!$B$22)</f>
        <v>0.843654465254563</v>
      </c>
      <c r="C1812" s="0" t="n">
        <f aca="true">MEDIAN(8,16,ROUND(NORMINV(RAND(),Coefficients!$B$20,Coefficients!$B$21),0))</f>
        <v>11</v>
      </c>
      <c r="D1812" s="0" t="n">
        <f aca="true">CRITBINOM($C1812,MIN(0.75,Matchup!$B$39*$B1812),RAND())</f>
        <v>2</v>
      </c>
      <c r="E1812" s="0" t="n">
        <f aca="true">CRITBINOM(D1812,Coefficients!$B$30,RAND())</f>
        <v>1</v>
      </c>
      <c r="F1812" s="0" t="n">
        <f aca="true">CRITBINOM(E1812,Coefficients!$B$31,RAND())</f>
        <v>0</v>
      </c>
      <c r="G1812" s="0" t="n">
        <f aca="true">CRITBINOM(MAX(0,D1812-E1812),1-Coefficients!$B$32,RAND())</f>
        <v>0</v>
      </c>
      <c r="H1812" s="0" t="n">
        <f aca="true">CRITBINOM(MAX(0,$C1812-D1812),MIN(0.6,Matchup!$B$40*SQRT($B1812)/(1-MIN(0.75,Matchup!$B$39*$B1812))),RAND())</f>
        <v>1</v>
      </c>
      <c r="I1812" s="0" t="n">
        <f aca="false">6*D1812+(D1812-E1812-G1812)+2*F1812+3*H1812</f>
        <v>16</v>
      </c>
      <c r="J1812" s="0" t="n">
        <f aca="true">CRITBINOM($C1812,MIN(0.75,Matchup!$C$39*$B1812),RAND())</f>
        <v>5</v>
      </c>
      <c r="K1812" s="0" t="n">
        <f aca="true">CRITBINOM(J1812,Coefficients!$B$30,RAND())</f>
        <v>1</v>
      </c>
      <c r="L1812" s="0" t="n">
        <f aca="true">CRITBINOM(K1812,Coefficients!$B$31,RAND())</f>
        <v>1</v>
      </c>
      <c r="M1812" s="0" t="n">
        <f aca="true">CRITBINOM(MAX(0,J1812-K1812),1-Coefficients!$B$32,RAND())</f>
        <v>0</v>
      </c>
      <c r="N1812" s="0" t="n">
        <f aca="true">CRITBINOM(MAX(0,$C1812-J1812),MIN(0.6,Matchup!$C$40*SQRT($B1812)/(1-MIN(0.75,Matchup!$C$39*$B1812))),RAND())</f>
        <v>0</v>
      </c>
      <c r="O1812" s="0" t="n">
        <f aca="false">6*J1812+(J1812-K1812-M1812)+2*L1812+3*N1812</f>
        <v>36</v>
      </c>
      <c r="P1812" s="0" t="n">
        <f aca="true">RAND()</f>
        <v>0.117414766346509</v>
      </c>
      <c r="Q1812" s="0" t="n">
        <f aca="true">RAND()</f>
        <v>0.43531414738465</v>
      </c>
      <c r="R1812" s="0" t="n">
        <f aca="false">IF($I1812&lt;&gt;$O1812,0,IF(P1812&lt;Matchup!$B$39,7,IF(P1812&lt;Matchup!$B$39+Matchup!$B$40,3,0)))</f>
        <v>0</v>
      </c>
      <c r="S1812" s="0" t="n">
        <f aca="false">IF($I1812&lt;&gt;$O1812,0,IF(Q1812&lt;Matchup!$C$39,7,IF(Q1812&lt;Matchup!$C$39+Matchup!$C$40,3,0)))</f>
        <v>0</v>
      </c>
      <c r="T1812" s="0" t="n">
        <f aca="false">I1812+R1812</f>
        <v>16</v>
      </c>
      <c r="U1812" s="0" t="n">
        <f aca="false">O1812+S1812</f>
        <v>36</v>
      </c>
      <c r="V1812" s="0" t="n">
        <f aca="false">T1812-U1812</f>
        <v>-20</v>
      </c>
      <c r="W1812" s="0" t="n">
        <f aca="false">T1812+U1812</f>
        <v>52</v>
      </c>
    </row>
    <row r="1813" customFormat="false" ht="15" hidden="false" customHeight="false" outlineLevel="0" collapsed="false">
      <c r="A1813" s="0" t="n">
        <v>1810</v>
      </c>
      <c r="B1813" s="0" t="n">
        <f aca="true">NORMINV(RAND(),1,Coefficients!$B$22)</f>
        <v>1.05175723321455</v>
      </c>
      <c r="C1813" s="0" t="n">
        <f aca="true">MEDIAN(8,16,ROUND(NORMINV(RAND(),Coefficients!$B$20,Coefficients!$B$21),0))</f>
        <v>11</v>
      </c>
      <c r="D1813" s="0" t="n">
        <f aca="true">CRITBINOM($C1813,MIN(0.75,Matchup!$B$39*$B1813),RAND())</f>
        <v>1</v>
      </c>
      <c r="E1813" s="0" t="n">
        <f aca="true">CRITBINOM(D1813,Coefficients!$B$30,RAND())</f>
        <v>0</v>
      </c>
      <c r="F1813" s="0" t="n">
        <f aca="true">CRITBINOM(E1813,Coefficients!$B$31,RAND())</f>
        <v>0</v>
      </c>
      <c r="G1813" s="0" t="n">
        <f aca="true">CRITBINOM(MAX(0,D1813-E1813),1-Coefficients!$B$32,RAND())</f>
        <v>0</v>
      </c>
      <c r="H1813" s="0" t="n">
        <f aca="true">CRITBINOM(MAX(0,$C1813-D1813),MIN(0.6,Matchup!$B$40*SQRT($B1813)/(1-MIN(0.75,Matchup!$B$39*$B1813))),RAND())</f>
        <v>2</v>
      </c>
      <c r="I1813" s="0" t="n">
        <f aca="false">6*D1813+(D1813-E1813-G1813)+2*F1813+3*H1813</f>
        <v>13</v>
      </c>
      <c r="J1813" s="0" t="n">
        <f aca="true">CRITBINOM($C1813,MIN(0.75,Matchup!$C$39*$B1813),RAND())</f>
        <v>5</v>
      </c>
      <c r="K1813" s="0" t="n">
        <f aca="true">CRITBINOM(J1813,Coefficients!$B$30,RAND())</f>
        <v>0</v>
      </c>
      <c r="L1813" s="0" t="n">
        <f aca="true">CRITBINOM(K1813,Coefficients!$B$31,RAND())</f>
        <v>0</v>
      </c>
      <c r="M1813" s="0" t="n">
        <f aca="true">CRITBINOM(MAX(0,J1813-K1813),1-Coefficients!$B$32,RAND())</f>
        <v>0</v>
      </c>
      <c r="N1813" s="0" t="n">
        <f aca="true">CRITBINOM(MAX(0,$C1813-J1813),MIN(0.6,Matchup!$C$40*SQRT($B1813)/(1-MIN(0.75,Matchup!$C$39*$B1813))),RAND())</f>
        <v>2</v>
      </c>
      <c r="O1813" s="0" t="n">
        <f aca="false">6*J1813+(J1813-K1813-M1813)+2*L1813+3*N1813</f>
        <v>41</v>
      </c>
      <c r="P1813" s="0" t="n">
        <f aca="true">RAND()</f>
        <v>0.751917817522471</v>
      </c>
      <c r="Q1813" s="0" t="n">
        <f aca="true">RAND()</f>
        <v>0.637965048168708</v>
      </c>
      <c r="R1813" s="0" t="n">
        <f aca="false">IF($I1813&lt;&gt;$O1813,0,IF(P1813&lt;Matchup!$B$39,7,IF(P1813&lt;Matchup!$B$39+Matchup!$B$40,3,0)))</f>
        <v>0</v>
      </c>
      <c r="S1813" s="0" t="n">
        <f aca="false">IF($I1813&lt;&gt;$O1813,0,IF(Q1813&lt;Matchup!$C$39,7,IF(Q1813&lt;Matchup!$C$39+Matchup!$C$40,3,0)))</f>
        <v>0</v>
      </c>
      <c r="T1813" s="0" t="n">
        <f aca="false">I1813+R1813</f>
        <v>13</v>
      </c>
      <c r="U1813" s="0" t="n">
        <f aca="false">O1813+S1813</f>
        <v>41</v>
      </c>
      <c r="V1813" s="0" t="n">
        <f aca="false">T1813-U1813</f>
        <v>-28</v>
      </c>
      <c r="W1813" s="0" t="n">
        <f aca="false">T1813+U1813</f>
        <v>54</v>
      </c>
    </row>
    <row r="1814" customFormat="false" ht="15" hidden="false" customHeight="false" outlineLevel="0" collapsed="false">
      <c r="A1814" s="0" t="n">
        <v>1811</v>
      </c>
      <c r="B1814" s="0" t="n">
        <f aca="true">NORMINV(RAND(),1,Coefficients!$B$22)</f>
        <v>0.949572778854488</v>
      </c>
      <c r="C1814" s="0" t="n">
        <f aca="true">MEDIAN(8,16,ROUND(NORMINV(RAND(),Coefficients!$B$20,Coefficients!$B$21),0))</f>
        <v>11</v>
      </c>
      <c r="D1814" s="0" t="n">
        <f aca="true">CRITBINOM($C1814,MIN(0.75,Matchup!$B$39*$B1814),RAND())</f>
        <v>3</v>
      </c>
      <c r="E1814" s="0" t="n">
        <f aca="true">CRITBINOM(D1814,Coefficients!$B$30,RAND())</f>
        <v>2</v>
      </c>
      <c r="F1814" s="0" t="n">
        <f aca="true">CRITBINOM(E1814,Coefficients!$B$31,RAND())</f>
        <v>0</v>
      </c>
      <c r="G1814" s="0" t="n">
        <f aca="true">CRITBINOM(MAX(0,D1814-E1814),1-Coefficients!$B$32,RAND())</f>
        <v>0</v>
      </c>
      <c r="H1814" s="0" t="n">
        <f aca="true">CRITBINOM(MAX(0,$C1814-D1814),MIN(0.6,Matchup!$B$40*SQRT($B1814)/(1-MIN(0.75,Matchup!$B$39*$B1814))),RAND())</f>
        <v>2</v>
      </c>
      <c r="I1814" s="0" t="n">
        <f aca="false">6*D1814+(D1814-E1814-G1814)+2*F1814+3*H1814</f>
        <v>25</v>
      </c>
      <c r="J1814" s="0" t="n">
        <f aca="true">CRITBINOM($C1814,MIN(0.75,Matchup!$C$39*$B1814),RAND())</f>
        <v>2</v>
      </c>
      <c r="K1814" s="0" t="n">
        <f aca="true">CRITBINOM(J1814,Coefficients!$B$30,RAND())</f>
        <v>0</v>
      </c>
      <c r="L1814" s="0" t="n">
        <f aca="true">CRITBINOM(K1814,Coefficients!$B$31,RAND())</f>
        <v>0</v>
      </c>
      <c r="M1814" s="0" t="n">
        <f aca="true">CRITBINOM(MAX(0,J1814-K1814),1-Coefficients!$B$32,RAND())</f>
        <v>0</v>
      </c>
      <c r="N1814" s="0" t="n">
        <f aca="true">CRITBINOM(MAX(0,$C1814-J1814),MIN(0.6,Matchup!$C$40*SQRT($B1814)/(1-MIN(0.75,Matchup!$C$39*$B1814))),RAND())</f>
        <v>1</v>
      </c>
      <c r="O1814" s="0" t="n">
        <f aca="false">6*J1814+(J1814-K1814-M1814)+2*L1814+3*N1814</f>
        <v>17</v>
      </c>
      <c r="P1814" s="0" t="n">
        <f aca="true">RAND()</f>
        <v>0.382694368686382</v>
      </c>
      <c r="Q1814" s="0" t="n">
        <f aca="true">RAND()</f>
        <v>0.526137411434379</v>
      </c>
      <c r="R1814" s="0" t="n">
        <f aca="false">IF($I1814&lt;&gt;$O1814,0,IF(P1814&lt;Matchup!$B$39,7,IF(P1814&lt;Matchup!$B$39+Matchup!$B$40,3,0)))</f>
        <v>0</v>
      </c>
      <c r="S1814" s="0" t="n">
        <f aca="false">IF($I1814&lt;&gt;$O1814,0,IF(Q1814&lt;Matchup!$C$39,7,IF(Q1814&lt;Matchup!$C$39+Matchup!$C$40,3,0)))</f>
        <v>0</v>
      </c>
      <c r="T1814" s="0" t="n">
        <f aca="false">I1814+R1814</f>
        <v>25</v>
      </c>
      <c r="U1814" s="0" t="n">
        <f aca="false">O1814+S1814</f>
        <v>17</v>
      </c>
      <c r="V1814" s="0" t="n">
        <f aca="false">T1814-U1814</f>
        <v>8</v>
      </c>
      <c r="W1814" s="0" t="n">
        <f aca="false">T1814+U1814</f>
        <v>42</v>
      </c>
    </row>
    <row r="1815" customFormat="false" ht="15" hidden="false" customHeight="false" outlineLevel="0" collapsed="false">
      <c r="A1815" s="0" t="n">
        <v>1812</v>
      </c>
      <c r="B1815" s="0" t="n">
        <f aca="true">NORMINV(RAND(),1,Coefficients!$B$22)</f>
        <v>1.07488876827112</v>
      </c>
      <c r="C1815" s="0" t="n">
        <f aca="true">MEDIAN(8,16,ROUND(NORMINV(RAND(),Coefficients!$B$20,Coefficients!$B$21),0))</f>
        <v>11</v>
      </c>
      <c r="D1815" s="0" t="n">
        <f aca="true">CRITBINOM($C1815,MIN(0.75,Matchup!$B$39*$B1815),RAND())</f>
        <v>3</v>
      </c>
      <c r="E1815" s="0" t="n">
        <f aca="true">CRITBINOM(D1815,Coefficients!$B$30,RAND())</f>
        <v>0</v>
      </c>
      <c r="F1815" s="0" t="n">
        <f aca="true">CRITBINOM(E1815,Coefficients!$B$31,RAND())</f>
        <v>0</v>
      </c>
      <c r="G1815" s="0" t="n">
        <f aca="true">CRITBINOM(MAX(0,D1815-E1815),1-Coefficients!$B$32,RAND())</f>
        <v>0</v>
      </c>
      <c r="H1815" s="0" t="n">
        <f aca="true">CRITBINOM(MAX(0,$C1815-D1815),MIN(0.6,Matchup!$B$40*SQRT($B1815)/(1-MIN(0.75,Matchup!$B$39*$B1815))),RAND())</f>
        <v>1</v>
      </c>
      <c r="I1815" s="0" t="n">
        <f aca="false">6*D1815+(D1815-E1815-G1815)+2*F1815+3*H1815</f>
        <v>24</v>
      </c>
      <c r="J1815" s="0" t="n">
        <f aca="true">CRITBINOM($C1815,MIN(0.75,Matchup!$C$39*$B1815),RAND())</f>
        <v>1</v>
      </c>
      <c r="K1815" s="0" t="n">
        <f aca="true">CRITBINOM(J1815,Coefficients!$B$30,RAND())</f>
        <v>0</v>
      </c>
      <c r="L1815" s="0" t="n">
        <f aca="true">CRITBINOM(K1815,Coefficients!$B$31,RAND())</f>
        <v>0</v>
      </c>
      <c r="M1815" s="0" t="n">
        <f aca="true">CRITBINOM(MAX(0,J1815-K1815),1-Coefficients!$B$32,RAND())</f>
        <v>0</v>
      </c>
      <c r="N1815" s="0" t="n">
        <f aca="true">CRITBINOM(MAX(0,$C1815-J1815),MIN(0.6,Matchup!$C$40*SQRT($B1815)/(1-MIN(0.75,Matchup!$C$39*$B1815))),RAND())</f>
        <v>1</v>
      </c>
      <c r="O1815" s="0" t="n">
        <f aca="false">6*J1815+(J1815-K1815-M1815)+2*L1815+3*N1815</f>
        <v>10</v>
      </c>
      <c r="P1815" s="0" t="n">
        <f aca="true">RAND()</f>
        <v>0.702826750723896</v>
      </c>
      <c r="Q1815" s="0" t="n">
        <f aca="true">RAND()</f>
        <v>0.584304366669635</v>
      </c>
      <c r="R1815" s="0" t="n">
        <f aca="false">IF($I1815&lt;&gt;$O1815,0,IF(P1815&lt;Matchup!$B$39,7,IF(P1815&lt;Matchup!$B$39+Matchup!$B$40,3,0)))</f>
        <v>0</v>
      </c>
      <c r="S1815" s="0" t="n">
        <f aca="false">IF($I1815&lt;&gt;$O1815,0,IF(Q1815&lt;Matchup!$C$39,7,IF(Q1815&lt;Matchup!$C$39+Matchup!$C$40,3,0)))</f>
        <v>0</v>
      </c>
      <c r="T1815" s="0" t="n">
        <f aca="false">I1815+R1815</f>
        <v>24</v>
      </c>
      <c r="U1815" s="0" t="n">
        <f aca="false">O1815+S1815</f>
        <v>10</v>
      </c>
      <c r="V1815" s="0" t="n">
        <f aca="false">T1815-U1815</f>
        <v>14</v>
      </c>
      <c r="W1815" s="0" t="n">
        <f aca="false">T1815+U1815</f>
        <v>34</v>
      </c>
    </row>
    <row r="1816" customFormat="false" ht="15" hidden="false" customHeight="false" outlineLevel="0" collapsed="false">
      <c r="A1816" s="0" t="n">
        <v>1813</v>
      </c>
      <c r="B1816" s="0" t="n">
        <f aca="true">NORMINV(RAND(),1,Coefficients!$B$22)</f>
        <v>1.00152661352839</v>
      </c>
      <c r="C1816" s="0" t="n">
        <f aca="true">MEDIAN(8,16,ROUND(NORMINV(RAND(),Coefficients!$B$20,Coefficients!$B$21),0))</f>
        <v>12</v>
      </c>
      <c r="D1816" s="0" t="n">
        <f aca="true">CRITBINOM($C1816,MIN(0.75,Matchup!$B$39*$B1816),RAND())</f>
        <v>2</v>
      </c>
      <c r="E1816" s="0" t="n">
        <f aca="true">CRITBINOM(D1816,Coefficients!$B$30,RAND())</f>
        <v>1</v>
      </c>
      <c r="F1816" s="0" t="n">
        <f aca="true">CRITBINOM(E1816,Coefficients!$B$31,RAND())</f>
        <v>0</v>
      </c>
      <c r="G1816" s="0" t="n">
        <f aca="true">CRITBINOM(MAX(0,D1816-E1816),1-Coefficients!$B$32,RAND())</f>
        <v>1</v>
      </c>
      <c r="H1816" s="0" t="n">
        <f aca="true">CRITBINOM(MAX(0,$C1816-D1816),MIN(0.6,Matchup!$B$40*SQRT($B1816)/(1-MIN(0.75,Matchup!$B$39*$B1816))),RAND())</f>
        <v>1</v>
      </c>
      <c r="I1816" s="0" t="n">
        <f aca="false">6*D1816+(D1816-E1816-G1816)+2*F1816+3*H1816</f>
        <v>15</v>
      </c>
      <c r="J1816" s="0" t="n">
        <f aca="true">CRITBINOM($C1816,MIN(0.75,Matchup!$C$39*$B1816),RAND())</f>
        <v>5</v>
      </c>
      <c r="K1816" s="0" t="n">
        <f aca="true">CRITBINOM(J1816,Coefficients!$B$30,RAND())</f>
        <v>0</v>
      </c>
      <c r="L1816" s="0" t="n">
        <f aca="true">CRITBINOM(K1816,Coefficients!$B$31,RAND())</f>
        <v>0</v>
      </c>
      <c r="M1816" s="0" t="n">
        <f aca="true">CRITBINOM(MAX(0,J1816-K1816),1-Coefficients!$B$32,RAND())</f>
        <v>0</v>
      </c>
      <c r="N1816" s="0" t="n">
        <f aca="true">CRITBINOM(MAX(0,$C1816-J1816),MIN(0.6,Matchup!$C$40*SQRT($B1816)/(1-MIN(0.75,Matchup!$C$39*$B1816))),RAND())</f>
        <v>0</v>
      </c>
      <c r="O1816" s="0" t="n">
        <f aca="false">6*J1816+(J1816-K1816-M1816)+2*L1816+3*N1816</f>
        <v>35</v>
      </c>
      <c r="P1816" s="0" t="n">
        <f aca="true">RAND()</f>
        <v>0.304496492775463</v>
      </c>
      <c r="Q1816" s="0" t="n">
        <f aca="true">RAND()</f>
        <v>0.970788069945252</v>
      </c>
      <c r="R1816" s="0" t="n">
        <f aca="false">IF($I1816&lt;&gt;$O1816,0,IF(P1816&lt;Matchup!$B$39,7,IF(P1816&lt;Matchup!$B$39+Matchup!$B$40,3,0)))</f>
        <v>0</v>
      </c>
      <c r="S1816" s="0" t="n">
        <f aca="false">IF($I1816&lt;&gt;$O1816,0,IF(Q1816&lt;Matchup!$C$39,7,IF(Q1816&lt;Matchup!$C$39+Matchup!$C$40,3,0)))</f>
        <v>0</v>
      </c>
      <c r="T1816" s="0" t="n">
        <f aca="false">I1816+R1816</f>
        <v>15</v>
      </c>
      <c r="U1816" s="0" t="n">
        <f aca="false">O1816+S1816</f>
        <v>35</v>
      </c>
      <c r="V1816" s="0" t="n">
        <f aca="false">T1816-U1816</f>
        <v>-20</v>
      </c>
      <c r="W1816" s="0" t="n">
        <f aca="false">T1816+U1816</f>
        <v>50</v>
      </c>
    </row>
    <row r="1817" customFormat="false" ht="15" hidden="false" customHeight="false" outlineLevel="0" collapsed="false">
      <c r="A1817" s="0" t="n">
        <v>1814</v>
      </c>
      <c r="B1817" s="0" t="n">
        <f aca="true">NORMINV(RAND(),1,Coefficients!$B$22)</f>
        <v>0.991874144550226</v>
      </c>
      <c r="C1817" s="0" t="n">
        <f aca="true">MEDIAN(8,16,ROUND(NORMINV(RAND(),Coefficients!$B$20,Coefficients!$B$21),0))</f>
        <v>11</v>
      </c>
      <c r="D1817" s="0" t="n">
        <f aca="true">CRITBINOM($C1817,MIN(0.75,Matchup!$B$39*$B1817),RAND())</f>
        <v>3</v>
      </c>
      <c r="E1817" s="0" t="n">
        <f aca="true">CRITBINOM(D1817,Coefficients!$B$30,RAND())</f>
        <v>0</v>
      </c>
      <c r="F1817" s="0" t="n">
        <f aca="true">CRITBINOM(E1817,Coefficients!$B$31,RAND())</f>
        <v>0</v>
      </c>
      <c r="G1817" s="0" t="n">
        <f aca="true">CRITBINOM(MAX(0,D1817-E1817),1-Coefficients!$B$32,RAND())</f>
        <v>0</v>
      </c>
      <c r="H1817" s="0" t="n">
        <f aca="true">CRITBINOM(MAX(0,$C1817-D1817),MIN(0.6,Matchup!$B$40*SQRT($B1817)/(1-MIN(0.75,Matchup!$B$39*$B1817))),RAND())</f>
        <v>1</v>
      </c>
      <c r="I1817" s="0" t="n">
        <f aca="false">6*D1817+(D1817-E1817-G1817)+2*F1817+3*H1817</f>
        <v>24</v>
      </c>
      <c r="J1817" s="0" t="n">
        <f aca="true">CRITBINOM($C1817,MIN(0.75,Matchup!$C$39*$B1817),RAND())</f>
        <v>4</v>
      </c>
      <c r="K1817" s="0" t="n">
        <f aca="true">CRITBINOM(J1817,Coefficients!$B$30,RAND())</f>
        <v>0</v>
      </c>
      <c r="L1817" s="0" t="n">
        <f aca="true">CRITBINOM(K1817,Coefficients!$B$31,RAND())</f>
        <v>0</v>
      </c>
      <c r="M1817" s="0" t="n">
        <f aca="true">CRITBINOM(MAX(0,J1817-K1817),1-Coefficients!$B$32,RAND())</f>
        <v>0</v>
      </c>
      <c r="N1817" s="0" t="n">
        <f aca="true">CRITBINOM(MAX(0,$C1817-J1817),MIN(0.6,Matchup!$C$40*SQRT($B1817)/(1-MIN(0.75,Matchup!$C$39*$B1817))),RAND())</f>
        <v>3</v>
      </c>
      <c r="O1817" s="0" t="n">
        <f aca="false">6*J1817+(J1817-K1817-M1817)+2*L1817+3*N1817</f>
        <v>37</v>
      </c>
      <c r="P1817" s="0" t="n">
        <f aca="true">RAND()</f>
        <v>0.344475194474978</v>
      </c>
      <c r="Q1817" s="0" t="n">
        <f aca="true">RAND()</f>
        <v>0.899464474399579</v>
      </c>
      <c r="R1817" s="0" t="n">
        <f aca="false">IF($I1817&lt;&gt;$O1817,0,IF(P1817&lt;Matchup!$B$39,7,IF(P1817&lt;Matchup!$B$39+Matchup!$B$40,3,0)))</f>
        <v>0</v>
      </c>
      <c r="S1817" s="0" t="n">
        <f aca="false">IF($I1817&lt;&gt;$O1817,0,IF(Q1817&lt;Matchup!$C$39,7,IF(Q1817&lt;Matchup!$C$39+Matchup!$C$40,3,0)))</f>
        <v>0</v>
      </c>
      <c r="T1817" s="0" t="n">
        <f aca="false">I1817+R1817</f>
        <v>24</v>
      </c>
      <c r="U1817" s="0" t="n">
        <f aca="false">O1817+S1817</f>
        <v>37</v>
      </c>
      <c r="V1817" s="0" t="n">
        <f aca="false">T1817-U1817</f>
        <v>-13</v>
      </c>
      <c r="W1817" s="0" t="n">
        <f aca="false">T1817+U1817</f>
        <v>61</v>
      </c>
    </row>
    <row r="1818" customFormat="false" ht="15" hidden="false" customHeight="false" outlineLevel="0" collapsed="false">
      <c r="A1818" s="0" t="n">
        <v>1815</v>
      </c>
      <c r="B1818" s="0" t="n">
        <f aca="true">NORMINV(RAND(),1,Coefficients!$B$22)</f>
        <v>0.93421102185411</v>
      </c>
      <c r="C1818" s="0" t="n">
        <f aca="true">MEDIAN(8,16,ROUND(NORMINV(RAND(),Coefficients!$B$20,Coefficients!$B$21),0))</f>
        <v>11</v>
      </c>
      <c r="D1818" s="0" t="n">
        <f aca="true">CRITBINOM($C1818,MIN(0.75,Matchup!$B$39*$B1818),RAND())</f>
        <v>3</v>
      </c>
      <c r="E1818" s="0" t="n">
        <f aca="true">CRITBINOM(D1818,Coefficients!$B$30,RAND())</f>
        <v>0</v>
      </c>
      <c r="F1818" s="0" t="n">
        <f aca="true">CRITBINOM(E1818,Coefficients!$B$31,RAND())</f>
        <v>0</v>
      </c>
      <c r="G1818" s="0" t="n">
        <f aca="true">CRITBINOM(MAX(0,D1818-E1818),1-Coefficients!$B$32,RAND())</f>
        <v>0</v>
      </c>
      <c r="H1818" s="0" t="n">
        <f aca="true">CRITBINOM(MAX(0,$C1818-D1818),MIN(0.6,Matchup!$B$40*SQRT($B1818)/(1-MIN(0.75,Matchup!$B$39*$B1818))),RAND())</f>
        <v>0</v>
      </c>
      <c r="I1818" s="0" t="n">
        <f aca="false">6*D1818+(D1818-E1818-G1818)+2*F1818+3*H1818</f>
        <v>21</v>
      </c>
      <c r="J1818" s="0" t="n">
        <f aca="true">CRITBINOM($C1818,MIN(0.75,Matchup!$C$39*$B1818),RAND())</f>
        <v>2</v>
      </c>
      <c r="K1818" s="0" t="n">
        <f aca="true">CRITBINOM(J1818,Coefficients!$B$30,RAND())</f>
        <v>0</v>
      </c>
      <c r="L1818" s="0" t="n">
        <f aca="true">CRITBINOM(K1818,Coefficients!$B$31,RAND())</f>
        <v>0</v>
      </c>
      <c r="M1818" s="0" t="n">
        <f aca="true">CRITBINOM(MAX(0,J1818-K1818),1-Coefficients!$B$32,RAND())</f>
        <v>0</v>
      </c>
      <c r="N1818" s="0" t="n">
        <f aca="true">CRITBINOM(MAX(0,$C1818-J1818),MIN(0.6,Matchup!$C$40*SQRT($B1818)/(1-MIN(0.75,Matchup!$C$39*$B1818))),RAND())</f>
        <v>1</v>
      </c>
      <c r="O1818" s="0" t="n">
        <f aca="false">6*J1818+(J1818-K1818-M1818)+2*L1818+3*N1818</f>
        <v>17</v>
      </c>
      <c r="P1818" s="0" t="n">
        <f aca="true">RAND()</f>
        <v>0.0658813610188336</v>
      </c>
      <c r="Q1818" s="0" t="n">
        <f aca="true">RAND()</f>
        <v>0.646492046151543</v>
      </c>
      <c r="R1818" s="0" t="n">
        <f aca="false">IF($I1818&lt;&gt;$O1818,0,IF(P1818&lt;Matchup!$B$39,7,IF(P1818&lt;Matchup!$B$39+Matchup!$B$40,3,0)))</f>
        <v>0</v>
      </c>
      <c r="S1818" s="0" t="n">
        <f aca="false">IF($I1818&lt;&gt;$O1818,0,IF(Q1818&lt;Matchup!$C$39,7,IF(Q1818&lt;Matchup!$C$39+Matchup!$C$40,3,0)))</f>
        <v>0</v>
      </c>
      <c r="T1818" s="0" t="n">
        <f aca="false">I1818+R1818</f>
        <v>21</v>
      </c>
      <c r="U1818" s="0" t="n">
        <f aca="false">O1818+S1818</f>
        <v>17</v>
      </c>
      <c r="V1818" s="0" t="n">
        <f aca="false">T1818-U1818</f>
        <v>4</v>
      </c>
      <c r="W1818" s="0" t="n">
        <f aca="false">T1818+U1818</f>
        <v>38</v>
      </c>
    </row>
    <row r="1819" customFormat="false" ht="15" hidden="false" customHeight="false" outlineLevel="0" collapsed="false">
      <c r="A1819" s="0" t="n">
        <v>1816</v>
      </c>
      <c r="B1819" s="0" t="n">
        <f aca="true">NORMINV(RAND(),1,Coefficients!$B$22)</f>
        <v>1.03533073093629</v>
      </c>
      <c r="C1819" s="0" t="n">
        <f aca="true">MEDIAN(8,16,ROUND(NORMINV(RAND(),Coefficients!$B$20,Coefficients!$B$21),0))</f>
        <v>11</v>
      </c>
      <c r="D1819" s="0" t="n">
        <f aca="true">CRITBINOM($C1819,MIN(0.75,Matchup!$B$39*$B1819),RAND())</f>
        <v>1</v>
      </c>
      <c r="E1819" s="0" t="n">
        <f aca="true">CRITBINOM(D1819,Coefficients!$B$30,RAND())</f>
        <v>0</v>
      </c>
      <c r="F1819" s="0" t="n">
        <f aca="true">CRITBINOM(E1819,Coefficients!$B$31,RAND())</f>
        <v>0</v>
      </c>
      <c r="G1819" s="0" t="n">
        <f aca="true">CRITBINOM(MAX(0,D1819-E1819),1-Coefficients!$B$32,RAND())</f>
        <v>0</v>
      </c>
      <c r="H1819" s="0" t="n">
        <f aca="true">CRITBINOM(MAX(0,$C1819-D1819),MIN(0.6,Matchup!$B$40*SQRT($B1819)/(1-MIN(0.75,Matchup!$B$39*$B1819))),RAND())</f>
        <v>3</v>
      </c>
      <c r="I1819" s="0" t="n">
        <f aca="false">6*D1819+(D1819-E1819-G1819)+2*F1819+3*H1819</f>
        <v>16</v>
      </c>
      <c r="J1819" s="0" t="n">
        <f aca="true">CRITBINOM($C1819,MIN(0.75,Matchup!$C$39*$B1819),RAND())</f>
        <v>3</v>
      </c>
      <c r="K1819" s="0" t="n">
        <f aca="true">CRITBINOM(J1819,Coefficients!$B$30,RAND())</f>
        <v>1</v>
      </c>
      <c r="L1819" s="0" t="n">
        <f aca="true">CRITBINOM(K1819,Coefficients!$B$31,RAND())</f>
        <v>1</v>
      </c>
      <c r="M1819" s="0" t="n">
        <f aca="true">CRITBINOM(MAX(0,J1819-K1819),1-Coefficients!$B$32,RAND())</f>
        <v>0</v>
      </c>
      <c r="N1819" s="0" t="n">
        <f aca="true">CRITBINOM(MAX(0,$C1819-J1819),MIN(0.6,Matchup!$C$40*SQRT($B1819)/(1-MIN(0.75,Matchup!$C$39*$B1819))),RAND())</f>
        <v>1</v>
      </c>
      <c r="O1819" s="0" t="n">
        <f aca="false">6*J1819+(J1819-K1819-M1819)+2*L1819+3*N1819</f>
        <v>25</v>
      </c>
      <c r="P1819" s="0" t="n">
        <f aca="true">RAND()</f>
        <v>0.111433638743372</v>
      </c>
      <c r="Q1819" s="0" t="n">
        <f aca="true">RAND()</f>
        <v>0.665788831718276</v>
      </c>
      <c r="R1819" s="0" t="n">
        <f aca="false">IF($I1819&lt;&gt;$O1819,0,IF(P1819&lt;Matchup!$B$39,7,IF(P1819&lt;Matchup!$B$39+Matchup!$B$40,3,0)))</f>
        <v>0</v>
      </c>
      <c r="S1819" s="0" t="n">
        <f aca="false">IF($I1819&lt;&gt;$O1819,0,IF(Q1819&lt;Matchup!$C$39,7,IF(Q1819&lt;Matchup!$C$39+Matchup!$C$40,3,0)))</f>
        <v>0</v>
      </c>
      <c r="T1819" s="0" t="n">
        <f aca="false">I1819+R1819</f>
        <v>16</v>
      </c>
      <c r="U1819" s="0" t="n">
        <f aca="false">O1819+S1819</f>
        <v>25</v>
      </c>
      <c r="V1819" s="0" t="n">
        <f aca="false">T1819-U1819</f>
        <v>-9</v>
      </c>
      <c r="W1819" s="0" t="n">
        <f aca="false">T1819+U1819</f>
        <v>41</v>
      </c>
    </row>
    <row r="1820" customFormat="false" ht="15" hidden="false" customHeight="false" outlineLevel="0" collapsed="false">
      <c r="A1820" s="0" t="n">
        <v>1817</v>
      </c>
      <c r="B1820" s="0" t="n">
        <f aca="true">NORMINV(RAND(),1,Coefficients!$B$22)</f>
        <v>0.966529742591687</v>
      </c>
      <c r="C1820" s="0" t="n">
        <f aca="true">MEDIAN(8,16,ROUND(NORMINV(RAND(),Coefficients!$B$20,Coefficients!$B$21),0))</f>
        <v>10</v>
      </c>
      <c r="D1820" s="0" t="n">
        <f aca="true">CRITBINOM($C1820,MIN(0.75,Matchup!$B$39*$B1820),RAND())</f>
        <v>0</v>
      </c>
      <c r="E1820" s="0" t="n">
        <f aca="true">CRITBINOM(D1820,Coefficients!$B$30,RAND())</f>
        <v>0</v>
      </c>
      <c r="F1820" s="0" t="n">
        <f aca="true">CRITBINOM(E1820,Coefficients!$B$31,RAND())</f>
        <v>0</v>
      </c>
      <c r="G1820" s="0" t="n">
        <f aca="true">CRITBINOM(MAX(0,D1820-E1820),1-Coefficients!$B$32,RAND())</f>
        <v>0</v>
      </c>
      <c r="H1820" s="0" t="n">
        <f aca="true">CRITBINOM(MAX(0,$C1820-D1820),MIN(0.6,Matchup!$B$40*SQRT($B1820)/(1-MIN(0.75,Matchup!$B$39*$B1820))),RAND())</f>
        <v>4</v>
      </c>
      <c r="I1820" s="0" t="n">
        <f aca="false">6*D1820+(D1820-E1820-G1820)+2*F1820+3*H1820</f>
        <v>12</v>
      </c>
      <c r="J1820" s="0" t="n">
        <f aca="true">CRITBINOM($C1820,MIN(0.75,Matchup!$C$39*$B1820),RAND())</f>
        <v>2</v>
      </c>
      <c r="K1820" s="0" t="n">
        <f aca="true">CRITBINOM(J1820,Coefficients!$B$30,RAND())</f>
        <v>0</v>
      </c>
      <c r="L1820" s="0" t="n">
        <f aca="true">CRITBINOM(K1820,Coefficients!$B$31,RAND())</f>
        <v>0</v>
      </c>
      <c r="M1820" s="0" t="n">
        <f aca="true">CRITBINOM(MAX(0,J1820-K1820),1-Coefficients!$B$32,RAND())</f>
        <v>0</v>
      </c>
      <c r="N1820" s="0" t="n">
        <f aca="true">CRITBINOM(MAX(0,$C1820-J1820),MIN(0.6,Matchup!$C$40*SQRT($B1820)/(1-MIN(0.75,Matchup!$C$39*$B1820))),RAND())</f>
        <v>1</v>
      </c>
      <c r="O1820" s="0" t="n">
        <f aca="false">6*J1820+(J1820-K1820-M1820)+2*L1820+3*N1820</f>
        <v>17</v>
      </c>
      <c r="P1820" s="0" t="n">
        <f aca="true">RAND()</f>
        <v>0.703039807828337</v>
      </c>
      <c r="Q1820" s="0" t="n">
        <f aca="true">RAND()</f>
        <v>0.813868283028426</v>
      </c>
      <c r="R1820" s="0" t="n">
        <f aca="false">IF($I1820&lt;&gt;$O1820,0,IF(P1820&lt;Matchup!$B$39,7,IF(P1820&lt;Matchup!$B$39+Matchup!$B$40,3,0)))</f>
        <v>0</v>
      </c>
      <c r="S1820" s="0" t="n">
        <f aca="false">IF($I1820&lt;&gt;$O1820,0,IF(Q1820&lt;Matchup!$C$39,7,IF(Q1820&lt;Matchup!$C$39+Matchup!$C$40,3,0)))</f>
        <v>0</v>
      </c>
      <c r="T1820" s="0" t="n">
        <f aca="false">I1820+R1820</f>
        <v>12</v>
      </c>
      <c r="U1820" s="0" t="n">
        <f aca="false">O1820+S1820</f>
        <v>17</v>
      </c>
      <c r="V1820" s="0" t="n">
        <f aca="false">T1820-U1820</f>
        <v>-5</v>
      </c>
      <c r="W1820" s="0" t="n">
        <f aca="false">T1820+U1820</f>
        <v>29</v>
      </c>
    </row>
    <row r="1821" customFormat="false" ht="15" hidden="false" customHeight="false" outlineLevel="0" collapsed="false">
      <c r="A1821" s="0" t="n">
        <v>1818</v>
      </c>
      <c r="B1821" s="0" t="n">
        <f aca="true">NORMINV(RAND(),1,Coefficients!$B$22)</f>
        <v>0.991638749335088</v>
      </c>
      <c r="C1821" s="0" t="n">
        <f aca="true">MEDIAN(8,16,ROUND(NORMINV(RAND(),Coefficients!$B$20,Coefficients!$B$21),0))</f>
        <v>11</v>
      </c>
      <c r="D1821" s="0" t="n">
        <f aca="true">CRITBINOM($C1821,MIN(0.75,Matchup!$B$39*$B1821),RAND())</f>
        <v>3</v>
      </c>
      <c r="E1821" s="0" t="n">
        <f aca="true">CRITBINOM(D1821,Coefficients!$B$30,RAND())</f>
        <v>1</v>
      </c>
      <c r="F1821" s="0" t="n">
        <f aca="true">CRITBINOM(E1821,Coefficients!$B$31,RAND())</f>
        <v>1</v>
      </c>
      <c r="G1821" s="0" t="n">
        <f aca="true">CRITBINOM(MAX(0,D1821-E1821),1-Coefficients!$B$32,RAND())</f>
        <v>0</v>
      </c>
      <c r="H1821" s="0" t="n">
        <f aca="true">CRITBINOM(MAX(0,$C1821-D1821),MIN(0.6,Matchup!$B$40*SQRT($B1821)/(1-MIN(0.75,Matchup!$B$39*$B1821))),RAND())</f>
        <v>1</v>
      </c>
      <c r="I1821" s="0" t="n">
        <f aca="false">6*D1821+(D1821-E1821-G1821)+2*F1821+3*H1821</f>
        <v>25</v>
      </c>
      <c r="J1821" s="0" t="n">
        <f aca="true">CRITBINOM($C1821,MIN(0.75,Matchup!$C$39*$B1821),RAND())</f>
        <v>3</v>
      </c>
      <c r="K1821" s="0" t="n">
        <f aca="true">CRITBINOM(J1821,Coefficients!$B$30,RAND())</f>
        <v>0</v>
      </c>
      <c r="L1821" s="0" t="n">
        <f aca="true">CRITBINOM(K1821,Coefficients!$B$31,RAND())</f>
        <v>0</v>
      </c>
      <c r="M1821" s="0" t="n">
        <f aca="true">CRITBINOM(MAX(0,J1821-K1821),1-Coefficients!$B$32,RAND())</f>
        <v>0</v>
      </c>
      <c r="N1821" s="0" t="n">
        <f aca="true">CRITBINOM(MAX(0,$C1821-J1821),MIN(0.6,Matchup!$C$40*SQRT($B1821)/(1-MIN(0.75,Matchup!$C$39*$B1821))),RAND())</f>
        <v>0</v>
      </c>
      <c r="O1821" s="0" t="n">
        <f aca="false">6*J1821+(J1821-K1821-M1821)+2*L1821+3*N1821</f>
        <v>21</v>
      </c>
      <c r="P1821" s="0" t="n">
        <f aca="true">RAND()</f>
        <v>0.734062678028737</v>
      </c>
      <c r="Q1821" s="0" t="n">
        <f aca="true">RAND()</f>
        <v>0.614110785265606</v>
      </c>
      <c r="R1821" s="0" t="n">
        <f aca="false">IF($I1821&lt;&gt;$O1821,0,IF(P1821&lt;Matchup!$B$39,7,IF(P1821&lt;Matchup!$B$39+Matchup!$B$40,3,0)))</f>
        <v>0</v>
      </c>
      <c r="S1821" s="0" t="n">
        <f aca="false">IF($I1821&lt;&gt;$O1821,0,IF(Q1821&lt;Matchup!$C$39,7,IF(Q1821&lt;Matchup!$C$39+Matchup!$C$40,3,0)))</f>
        <v>0</v>
      </c>
      <c r="T1821" s="0" t="n">
        <f aca="false">I1821+R1821</f>
        <v>25</v>
      </c>
      <c r="U1821" s="0" t="n">
        <f aca="false">O1821+S1821</f>
        <v>21</v>
      </c>
      <c r="V1821" s="0" t="n">
        <f aca="false">T1821-U1821</f>
        <v>4</v>
      </c>
      <c r="W1821" s="0" t="n">
        <f aca="false">T1821+U1821</f>
        <v>46</v>
      </c>
    </row>
    <row r="1822" customFormat="false" ht="15" hidden="false" customHeight="false" outlineLevel="0" collapsed="false">
      <c r="A1822" s="0" t="n">
        <v>1819</v>
      </c>
      <c r="B1822" s="0" t="n">
        <f aca="true">NORMINV(RAND(),1,Coefficients!$B$22)</f>
        <v>0.885344771790738</v>
      </c>
      <c r="C1822" s="0" t="n">
        <f aca="true">MEDIAN(8,16,ROUND(NORMINV(RAND(),Coefficients!$B$20,Coefficients!$B$21),0))</f>
        <v>9</v>
      </c>
      <c r="D1822" s="0" t="n">
        <f aca="true">CRITBINOM($C1822,MIN(0.75,Matchup!$B$39*$B1822),RAND())</f>
        <v>3</v>
      </c>
      <c r="E1822" s="0" t="n">
        <f aca="true">CRITBINOM(D1822,Coefficients!$B$30,RAND())</f>
        <v>0</v>
      </c>
      <c r="F1822" s="0" t="n">
        <f aca="true">CRITBINOM(E1822,Coefficients!$B$31,RAND())</f>
        <v>0</v>
      </c>
      <c r="G1822" s="0" t="n">
        <f aca="true">CRITBINOM(MAX(0,D1822-E1822),1-Coefficients!$B$32,RAND())</f>
        <v>0</v>
      </c>
      <c r="H1822" s="0" t="n">
        <f aca="true">CRITBINOM(MAX(0,$C1822-D1822),MIN(0.6,Matchup!$B$40*SQRT($B1822)/(1-MIN(0.75,Matchup!$B$39*$B1822))),RAND())</f>
        <v>0</v>
      </c>
      <c r="I1822" s="0" t="n">
        <f aca="false">6*D1822+(D1822-E1822-G1822)+2*F1822+3*H1822</f>
        <v>21</v>
      </c>
      <c r="J1822" s="0" t="n">
        <f aca="true">CRITBINOM($C1822,MIN(0.75,Matchup!$C$39*$B1822),RAND())</f>
        <v>2</v>
      </c>
      <c r="K1822" s="0" t="n">
        <f aca="true">CRITBINOM(J1822,Coefficients!$B$30,RAND())</f>
        <v>0</v>
      </c>
      <c r="L1822" s="0" t="n">
        <f aca="true">CRITBINOM(K1822,Coefficients!$B$31,RAND())</f>
        <v>0</v>
      </c>
      <c r="M1822" s="0" t="n">
        <f aca="true">CRITBINOM(MAX(0,J1822-K1822),1-Coefficients!$B$32,RAND())</f>
        <v>0</v>
      </c>
      <c r="N1822" s="0" t="n">
        <f aca="true">CRITBINOM(MAX(0,$C1822-J1822),MIN(0.6,Matchup!$C$40*SQRT($B1822)/(1-MIN(0.75,Matchup!$C$39*$B1822))),RAND())</f>
        <v>1</v>
      </c>
      <c r="O1822" s="0" t="n">
        <f aca="false">6*J1822+(J1822-K1822-M1822)+2*L1822+3*N1822</f>
        <v>17</v>
      </c>
      <c r="P1822" s="0" t="n">
        <f aca="true">RAND()</f>
        <v>0.527172042879443</v>
      </c>
      <c r="Q1822" s="0" t="n">
        <f aca="true">RAND()</f>
        <v>0.643428603721468</v>
      </c>
      <c r="R1822" s="0" t="n">
        <f aca="false">IF($I1822&lt;&gt;$O1822,0,IF(P1822&lt;Matchup!$B$39,7,IF(P1822&lt;Matchup!$B$39+Matchup!$B$40,3,0)))</f>
        <v>0</v>
      </c>
      <c r="S1822" s="0" t="n">
        <f aca="false">IF($I1822&lt;&gt;$O1822,0,IF(Q1822&lt;Matchup!$C$39,7,IF(Q1822&lt;Matchup!$C$39+Matchup!$C$40,3,0)))</f>
        <v>0</v>
      </c>
      <c r="T1822" s="0" t="n">
        <f aca="false">I1822+R1822</f>
        <v>21</v>
      </c>
      <c r="U1822" s="0" t="n">
        <f aca="false">O1822+S1822</f>
        <v>17</v>
      </c>
      <c r="V1822" s="0" t="n">
        <f aca="false">T1822-U1822</f>
        <v>4</v>
      </c>
      <c r="W1822" s="0" t="n">
        <f aca="false">T1822+U1822</f>
        <v>38</v>
      </c>
    </row>
    <row r="1823" customFormat="false" ht="15" hidden="false" customHeight="false" outlineLevel="0" collapsed="false">
      <c r="A1823" s="0" t="n">
        <v>1820</v>
      </c>
      <c r="B1823" s="0" t="n">
        <f aca="true">NORMINV(RAND(),1,Coefficients!$B$22)</f>
        <v>0.977698974947363</v>
      </c>
      <c r="C1823" s="0" t="n">
        <f aca="true">MEDIAN(8,16,ROUND(NORMINV(RAND(),Coefficients!$B$20,Coefficients!$B$21),0))</f>
        <v>11</v>
      </c>
      <c r="D1823" s="0" t="n">
        <f aca="true">CRITBINOM($C1823,MIN(0.75,Matchup!$B$39*$B1823),RAND())</f>
        <v>2</v>
      </c>
      <c r="E1823" s="0" t="n">
        <f aca="true">CRITBINOM(D1823,Coefficients!$B$30,RAND())</f>
        <v>0</v>
      </c>
      <c r="F1823" s="0" t="n">
        <f aca="true">CRITBINOM(E1823,Coefficients!$B$31,RAND())</f>
        <v>0</v>
      </c>
      <c r="G1823" s="0" t="n">
        <f aca="true">CRITBINOM(MAX(0,D1823-E1823),1-Coefficients!$B$32,RAND())</f>
        <v>0</v>
      </c>
      <c r="H1823" s="0" t="n">
        <f aca="true">CRITBINOM(MAX(0,$C1823-D1823),MIN(0.6,Matchup!$B$40*SQRT($B1823)/(1-MIN(0.75,Matchup!$B$39*$B1823))),RAND())</f>
        <v>1</v>
      </c>
      <c r="I1823" s="0" t="n">
        <f aca="false">6*D1823+(D1823-E1823-G1823)+2*F1823+3*H1823</f>
        <v>17</v>
      </c>
      <c r="J1823" s="0" t="n">
        <f aca="true">CRITBINOM($C1823,MIN(0.75,Matchup!$C$39*$B1823),RAND())</f>
        <v>1</v>
      </c>
      <c r="K1823" s="0" t="n">
        <f aca="true">CRITBINOM(J1823,Coefficients!$B$30,RAND())</f>
        <v>0</v>
      </c>
      <c r="L1823" s="0" t="n">
        <f aca="true">CRITBINOM(K1823,Coefficients!$B$31,RAND())</f>
        <v>0</v>
      </c>
      <c r="M1823" s="0" t="n">
        <f aca="true">CRITBINOM(MAX(0,J1823-K1823),1-Coefficients!$B$32,RAND())</f>
        <v>0</v>
      </c>
      <c r="N1823" s="0" t="n">
        <f aca="true">CRITBINOM(MAX(0,$C1823-J1823),MIN(0.6,Matchup!$C$40*SQRT($B1823)/(1-MIN(0.75,Matchup!$C$39*$B1823))),RAND())</f>
        <v>2</v>
      </c>
      <c r="O1823" s="0" t="n">
        <f aca="false">6*J1823+(J1823-K1823-M1823)+2*L1823+3*N1823</f>
        <v>13</v>
      </c>
      <c r="P1823" s="0" t="n">
        <f aca="true">RAND()</f>
        <v>0.0709614688060821</v>
      </c>
      <c r="Q1823" s="0" t="n">
        <f aca="true">RAND()</f>
        <v>0.681635367093695</v>
      </c>
      <c r="R1823" s="0" t="n">
        <f aca="false">IF($I1823&lt;&gt;$O1823,0,IF(P1823&lt;Matchup!$B$39,7,IF(P1823&lt;Matchup!$B$39+Matchup!$B$40,3,0)))</f>
        <v>0</v>
      </c>
      <c r="S1823" s="0" t="n">
        <f aca="false">IF($I1823&lt;&gt;$O1823,0,IF(Q1823&lt;Matchup!$C$39,7,IF(Q1823&lt;Matchup!$C$39+Matchup!$C$40,3,0)))</f>
        <v>0</v>
      </c>
      <c r="T1823" s="0" t="n">
        <f aca="false">I1823+R1823</f>
        <v>17</v>
      </c>
      <c r="U1823" s="0" t="n">
        <f aca="false">O1823+S1823</f>
        <v>13</v>
      </c>
      <c r="V1823" s="0" t="n">
        <f aca="false">T1823-U1823</f>
        <v>4</v>
      </c>
      <c r="W1823" s="0" t="n">
        <f aca="false">T1823+U1823</f>
        <v>30</v>
      </c>
    </row>
    <row r="1824" customFormat="false" ht="15" hidden="false" customHeight="false" outlineLevel="0" collapsed="false">
      <c r="A1824" s="0" t="n">
        <v>1821</v>
      </c>
      <c r="B1824" s="0" t="n">
        <f aca="true">NORMINV(RAND(),1,Coefficients!$B$22)</f>
        <v>1.03211371214376</v>
      </c>
      <c r="C1824" s="0" t="n">
        <f aca="true">MEDIAN(8,16,ROUND(NORMINV(RAND(),Coefficients!$B$20,Coefficients!$B$21),0))</f>
        <v>11</v>
      </c>
      <c r="D1824" s="0" t="n">
        <f aca="true">CRITBINOM($C1824,MIN(0.75,Matchup!$B$39*$B1824),RAND())</f>
        <v>2</v>
      </c>
      <c r="E1824" s="0" t="n">
        <f aca="true">CRITBINOM(D1824,Coefficients!$B$30,RAND())</f>
        <v>1</v>
      </c>
      <c r="F1824" s="0" t="n">
        <f aca="true">CRITBINOM(E1824,Coefficients!$B$31,RAND())</f>
        <v>0</v>
      </c>
      <c r="G1824" s="0" t="n">
        <f aca="true">CRITBINOM(MAX(0,D1824-E1824),1-Coefficients!$B$32,RAND())</f>
        <v>0</v>
      </c>
      <c r="H1824" s="0" t="n">
        <f aca="true">CRITBINOM(MAX(0,$C1824-D1824),MIN(0.6,Matchup!$B$40*SQRT($B1824)/(1-MIN(0.75,Matchup!$B$39*$B1824))),RAND())</f>
        <v>0</v>
      </c>
      <c r="I1824" s="0" t="n">
        <f aca="false">6*D1824+(D1824-E1824-G1824)+2*F1824+3*H1824</f>
        <v>13</v>
      </c>
      <c r="J1824" s="0" t="n">
        <f aca="true">CRITBINOM($C1824,MIN(0.75,Matchup!$C$39*$B1824),RAND())</f>
        <v>2</v>
      </c>
      <c r="K1824" s="0" t="n">
        <f aca="true">CRITBINOM(J1824,Coefficients!$B$30,RAND())</f>
        <v>1</v>
      </c>
      <c r="L1824" s="0" t="n">
        <f aca="true">CRITBINOM(K1824,Coefficients!$B$31,RAND())</f>
        <v>0</v>
      </c>
      <c r="M1824" s="0" t="n">
        <f aca="true">CRITBINOM(MAX(0,J1824-K1824),1-Coefficients!$B$32,RAND())</f>
        <v>0</v>
      </c>
      <c r="N1824" s="0" t="n">
        <f aca="true">CRITBINOM(MAX(0,$C1824-J1824),MIN(0.6,Matchup!$C$40*SQRT($B1824)/(1-MIN(0.75,Matchup!$C$39*$B1824))),RAND())</f>
        <v>2</v>
      </c>
      <c r="O1824" s="0" t="n">
        <f aca="false">6*J1824+(J1824-K1824-M1824)+2*L1824+3*N1824</f>
        <v>19</v>
      </c>
      <c r="P1824" s="0" t="n">
        <f aca="true">RAND()</f>
        <v>0.410130855461532</v>
      </c>
      <c r="Q1824" s="0" t="n">
        <f aca="true">RAND()</f>
        <v>0.192230641084311</v>
      </c>
      <c r="R1824" s="0" t="n">
        <f aca="false">IF($I1824&lt;&gt;$O1824,0,IF(P1824&lt;Matchup!$B$39,7,IF(P1824&lt;Matchup!$B$39+Matchup!$B$40,3,0)))</f>
        <v>0</v>
      </c>
      <c r="S1824" s="0" t="n">
        <f aca="false">IF($I1824&lt;&gt;$O1824,0,IF(Q1824&lt;Matchup!$C$39,7,IF(Q1824&lt;Matchup!$C$39+Matchup!$C$40,3,0)))</f>
        <v>0</v>
      </c>
      <c r="T1824" s="0" t="n">
        <f aca="false">I1824+R1824</f>
        <v>13</v>
      </c>
      <c r="U1824" s="0" t="n">
        <f aca="false">O1824+S1824</f>
        <v>19</v>
      </c>
      <c r="V1824" s="0" t="n">
        <f aca="false">T1824-U1824</f>
        <v>-6</v>
      </c>
      <c r="W1824" s="0" t="n">
        <f aca="false">T1824+U1824</f>
        <v>32</v>
      </c>
    </row>
    <row r="1825" customFormat="false" ht="15" hidden="false" customHeight="false" outlineLevel="0" collapsed="false">
      <c r="A1825" s="0" t="n">
        <v>1822</v>
      </c>
      <c r="B1825" s="0" t="n">
        <f aca="true">NORMINV(RAND(),1,Coefficients!$B$22)</f>
        <v>1.12706839595018</v>
      </c>
      <c r="C1825" s="0" t="n">
        <f aca="true">MEDIAN(8,16,ROUND(NORMINV(RAND(),Coefficients!$B$20,Coefficients!$B$21),0))</f>
        <v>11</v>
      </c>
      <c r="D1825" s="0" t="n">
        <f aca="true">CRITBINOM($C1825,MIN(0.75,Matchup!$B$39*$B1825),RAND())</f>
        <v>3</v>
      </c>
      <c r="E1825" s="0" t="n">
        <f aca="true">CRITBINOM(D1825,Coefficients!$B$30,RAND())</f>
        <v>0</v>
      </c>
      <c r="F1825" s="0" t="n">
        <f aca="true">CRITBINOM(E1825,Coefficients!$B$31,RAND())</f>
        <v>0</v>
      </c>
      <c r="G1825" s="0" t="n">
        <f aca="true">CRITBINOM(MAX(0,D1825-E1825),1-Coefficients!$B$32,RAND())</f>
        <v>0</v>
      </c>
      <c r="H1825" s="0" t="n">
        <f aca="true">CRITBINOM(MAX(0,$C1825-D1825),MIN(0.6,Matchup!$B$40*SQRT($B1825)/(1-MIN(0.75,Matchup!$B$39*$B1825))),RAND())</f>
        <v>1</v>
      </c>
      <c r="I1825" s="0" t="n">
        <f aca="false">6*D1825+(D1825-E1825-G1825)+2*F1825+3*H1825</f>
        <v>24</v>
      </c>
      <c r="J1825" s="0" t="n">
        <f aca="true">CRITBINOM($C1825,MIN(0.75,Matchup!$C$39*$B1825),RAND())</f>
        <v>5</v>
      </c>
      <c r="K1825" s="0" t="n">
        <f aca="true">CRITBINOM(J1825,Coefficients!$B$30,RAND())</f>
        <v>1</v>
      </c>
      <c r="L1825" s="0" t="n">
        <f aca="true">CRITBINOM(K1825,Coefficients!$B$31,RAND())</f>
        <v>0</v>
      </c>
      <c r="M1825" s="0" t="n">
        <f aca="true">CRITBINOM(MAX(0,J1825-K1825),1-Coefficients!$B$32,RAND())</f>
        <v>0</v>
      </c>
      <c r="N1825" s="0" t="n">
        <f aca="true">CRITBINOM(MAX(0,$C1825-J1825),MIN(0.6,Matchup!$C$40*SQRT($B1825)/(1-MIN(0.75,Matchup!$C$39*$B1825))),RAND())</f>
        <v>1</v>
      </c>
      <c r="O1825" s="0" t="n">
        <f aca="false">6*J1825+(J1825-K1825-M1825)+2*L1825+3*N1825</f>
        <v>37</v>
      </c>
      <c r="P1825" s="0" t="n">
        <f aca="true">RAND()</f>
        <v>0.812084537023096</v>
      </c>
      <c r="Q1825" s="0" t="n">
        <f aca="true">RAND()</f>
        <v>0.353229269219504</v>
      </c>
      <c r="R1825" s="0" t="n">
        <f aca="false">IF($I1825&lt;&gt;$O1825,0,IF(P1825&lt;Matchup!$B$39,7,IF(P1825&lt;Matchup!$B$39+Matchup!$B$40,3,0)))</f>
        <v>0</v>
      </c>
      <c r="S1825" s="0" t="n">
        <f aca="false">IF($I1825&lt;&gt;$O1825,0,IF(Q1825&lt;Matchup!$C$39,7,IF(Q1825&lt;Matchup!$C$39+Matchup!$C$40,3,0)))</f>
        <v>0</v>
      </c>
      <c r="T1825" s="0" t="n">
        <f aca="false">I1825+R1825</f>
        <v>24</v>
      </c>
      <c r="U1825" s="0" t="n">
        <f aca="false">O1825+S1825</f>
        <v>37</v>
      </c>
      <c r="V1825" s="0" t="n">
        <f aca="false">T1825-U1825</f>
        <v>-13</v>
      </c>
      <c r="W1825" s="0" t="n">
        <f aca="false">T1825+U1825</f>
        <v>61</v>
      </c>
    </row>
    <row r="1826" customFormat="false" ht="15" hidden="false" customHeight="false" outlineLevel="0" collapsed="false">
      <c r="A1826" s="0" t="n">
        <v>1823</v>
      </c>
      <c r="B1826" s="0" t="n">
        <f aca="true">NORMINV(RAND(),1,Coefficients!$B$22)</f>
        <v>1.03333749750973</v>
      </c>
      <c r="C1826" s="0" t="n">
        <f aca="true">MEDIAN(8,16,ROUND(NORMINV(RAND(),Coefficients!$B$20,Coefficients!$B$21),0))</f>
        <v>13</v>
      </c>
      <c r="D1826" s="0" t="n">
        <f aca="true">CRITBINOM($C1826,MIN(0.75,Matchup!$B$39*$B1826),RAND())</f>
        <v>1</v>
      </c>
      <c r="E1826" s="0" t="n">
        <f aca="true">CRITBINOM(D1826,Coefficients!$B$30,RAND())</f>
        <v>0</v>
      </c>
      <c r="F1826" s="0" t="n">
        <f aca="true">CRITBINOM(E1826,Coefficients!$B$31,RAND())</f>
        <v>0</v>
      </c>
      <c r="G1826" s="0" t="n">
        <f aca="true">CRITBINOM(MAX(0,D1826-E1826),1-Coefficients!$B$32,RAND())</f>
        <v>0</v>
      </c>
      <c r="H1826" s="0" t="n">
        <f aca="true">CRITBINOM(MAX(0,$C1826-D1826),MIN(0.6,Matchup!$B$40*SQRT($B1826)/(1-MIN(0.75,Matchup!$B$39*$B1826))),RAND())</f>
        <v>4</v>
      </c>
      <c r="I1826" s="0" t="n">
        <f aca="false">6*D1826+(D1826-E1826-G1826)+2*F1826+3*H1826</f>
        <v>19</v>
      </c>
      <c r="J1826" s="0" t="n">
        <f aca="true">CRITBINOM($C1826,MIN(0.75,Matchup!$C$39*$B1826),RAND())</f>
        <v>4</v>
      </c>
      <c r="K1826" s="0" t="n">
        <f aca="true">CRITBINOM(J1826,Coefficients!$B$30,RAND())</f>
        <v>1</v>
      </c>
      <c r="L1826" s="0" t="n">
        <f aca="true">CRITBINOM(K1826,Coefficients!$B$31,RAND())</f>
        <v>1</v>
      </c>
      <c r="M1826" s="0" t="n">
        <f aca="true">CRITBINOM(MAX(0,J1826-K1826),1-Coefficients!$B$32,RAND())</f>
        <v>0</v>
      </c>
      <c r="N1826" s="0" t="n">
        <f aca="true">CRITBINOM(MAX(0,$C1826-J1826),MIN(0.6,Matchup!$C$40*SQRT($B1826)/(1-MIN(0.75,Matchup!$C$39*$B1826))),RAND())</f>
        <v>3</v>
      </c>
      <c r="O1826" s="0" t="n">
        <f aca="false">6*J1826+(J1826-K1826-M1826)+2*L1826+3*N1826</f>
        <v>38</v>
      </c>
      <c r="P1826" s="0" t="n">
        <f aca="true">RAND()</f>
        <v>0.229818026062005</v>
      </c>
      <c r="Q1826" s="0" t="n">
        <f aca="true">RAND()</f>
        <v>0.110043306900143</v>
      </c>
      <c r="R1826" s="0" t="n">
        <f aca="false">IF($I1826&lt;&gt;$O1826,0,IF(P1826&lt;Matchup!$B$39,7,IF(P1826&lt;Matchup!$B$39+Matchup!$B$40,3,0)))</f>
        <v>0</v>
      </c>
      <c r="S1826" s="0" t="n">
        <f aca="false">IF($I1826&lt;&gt;$O1826,0,IF(Q1826&lt;Matchup!$C$39,7,IF(Q1826&lt;Matchup!$C$39+Matchup!$C$40,3,0)))</f>
        <v>0</v>
      </c>
      <c r="T1826" s="0" t="n">
        <f aca="false">I1826+R1826</f>
        <v>19</v>
      </c>
      <c r="U1826" s="0" t="n">
        <f aca="false">O1826+S1826</f>
        <v>38</v>
      </c>
      <c r="V1826" s="0" t="n">
        <f aca="false">T1826-U1826</f>
        <v>-19</v>
      </c>
      <c r="W1826" s="0" t="n">
        <f aca="false">T1826+U1826</f>
        <v>57</v>
      </c>
    </row>
    <row r="1827" customFormat="false" ht="15" hidden="false" customHeight="false" outlineLevel="0" collapsed="false">
      <c r="A1827" s="0" t="n">
        <v>1824</v>
      </c>
      <c r="B1827" s="0" t="n">
        <f aca="true">NORMINV(RAND(),1,Coefficients!$B$22)</f>
        <v>1.00712367588257</v>
      </c>
      <c r="C1827" s="0" t="n">
        <f aca="true">MEDIAN(8,16,ROUND(NORMINV(RAND(),Coefficients!$B$20,Coefficients!$B$21),0))</f>
        <v>11</v>
      </c>
      <c r="D1827" s="0" t="n">
        <f aca="true">CRITBINOM($C1827,MIN(0.75,Matchup!$B$39*$B1827),RAND())</f>
        <v>4</v>
      </c>
      <c r="E1827" s="0" t="n">
        <f aca="true">CRITBINOM(D1827,Coefficients!$B$30,RAND())</f>
        <v>0</v>
      </c>
      <c r="F1827" s="0" t="n">
        <f aca="true">CRITBINOM(E1827,Coefficients!$B$31,RAND())</f>
        <v>0</v>
      </c>
      <c r="G1827" s="0" t="n">
        <f aca="true">CRITBINOM(MAX(0,D1827-E1827),1-Coefficients!$B$32,RAND())</f>
        <v>0</v>
      </c>
      <c r="H1827" s="0" t="n">
        <f aca="true">CRITBINOM(MAX(0,$C1827-D1827),MIN(0.6,Matchup!$B$40*SQRT($B1827)/(1-MIN(0.75,Matchup!$B$39*$B1827))),RAND())</f>
        <v>2</v>
      </c>
      <c r="I1827" s="0" t="n">
        <f aca="false">6*D1827+(D1827-E1827-G1827)+2*F1827+3*H1827</f>
        <v>34</v>
      </c>
      <c r="J1827" s="0" t="n">
        <f aca="true">CRITBINOM($C1827,MIN(0.75,Matchup!$C$39*$B1827),RAND())</f>
        <v>3</v>
      </c>
      <c r="K1827" s="0" t="n">
        <f aca="true">CRITBINOM(J1827,Coefficients!$B$30,RAND())</f>
        <v>0</v>
      </c>
      <c r="L1827" s="0" t="n">
        <f aca="true">CRITBINOM(K1827,Coefficients!$B$31,RAND())</f>
        <v>0</v>
      </c>
      <c r="M1827" s="0" t="n">
        <f aca="true">CRITBINOM(MAX(0,J1827-K1827),1-Coefficients!$B$32,RAND())</f>
        <v>0</v>
      </c>
      <c r="N1827" s="0" t="n">
        <f aca="true">CRITBINOM(MAX(0,$C1827-J1827),MIN(0.6,Matchup!$C$40*SQRT($B1827)/(1-MIN(0.75,Matchup!$C$39*$B1827))),RAND())</f>
        <v>1</v>
      </c>
      <c r="O1827" s="0" t="n">
        <f aca="false">6*J1827+(J1827-K1827-M1827)+2*L1827+3*N1827</f>
        <v>24</v>
      </c>
      <c r="P1827" s="0" t="n">
        <f aca="true">RAND()</f>
        <v>0.973677618477882</v>
      </c>
      <c r="Q1827" s="0" t="n">
        <f aca="true">RAND()</f>
        <v>0.188557208698877</v>
      </c>
      <c r="R1827" s="0" t="n">
        <f aca="false">IF($I1827&lt;&gt;$O1827,0,IF(P1827&lt;Matchup!$B$39,7,IF(P1827&lt;Matchup!$B$39+Matchup!$B$40,3,0)))</f>
        <v>0</v>
      </c>
      <c r="S1827" s="0" t="n">
        <f aca="false">IF($I1827&lt;&gt;$O1827,0,IF(Q1827&lt;Matchup!$C$39,7,IF(Q1827&lt;Matchup!$C$39+Matchup!$C$40,3,0)))</f>
        <v>0</v>
      </c>
      <c r="T1827" s="0" t="n">
        <f aca="false">I1827+R1827</f>
        <v>34</v>
      </c>
      <c r="U1827" s="0" t="n">
        <f aca="false">O1827+S1827</f>
        <v>24</v>
      </c>
      <c r="V1827" s="0" t="n">
        <f aca="false">T1827-U1827</f>
        <v>10</v>
      </c>
      <c r="W1827" s="0" t="n">
        <f aca="false">T1827+U1827</f>
        <v>58</v>
      </c>
    </row>
    <row r="1828" customFormat="false" ht="15" hidden="false" customHeight="false" outlineLevel="0" collapsed="false">
      <c r="A1828" s="0" t="n">
        <v>1825</v>
      </c>
      <c r="B1828" s="0" t="n">
        <f aca="true">NORMINV(RAND(),1,Coefficients!$B$22)</f>
        <v>1.24587107214489</v>
      </c>
      <c r="C1828" s="0" t="n">
        <f aca="true">MEDIAN(8,16,ROUND(NORMINV(RAND(),Coefficients!$B$20,Coefficients!$B$21),0))</f>
        <v>10</v>
      </c>
      <c r="D1828" s="0" t="n">
        <f aca="true">CRITBINOM($C1828,MIN(0.75,Matchup!$B$39*$B1828),RAND())</f>
        <v>2</v>
      </c>
      <c r="E1828" s="0" t="n">
        <f aca="true">CRITBINOM(D1828,Coefficients!$B$30,RAND())</f>
        <v>0</v>
      </c>
      <c r="F1828" s="0" t="n">
        <f aca="true">CRITBINOM(E1828,Coefficients!$B$31,RAND())</f>
        <v>0</v>
      </c>
      <c r="G1828" s="0" t="n">
        <f aca="true">CRITBINOM(MAX(0,D1828-E1828),1-Coefficients!$B$32,RAND())</f>
        <v>0</v>
      </c>
      <c r="H1828" s="0" t="n">
        <f aca="true">CRITBINOM(MAX(0,$C1828-D1828),MIN(0.6,Matchup!$B$40*SQRT($B1828)/(1-MIN(0.75,Matchup!$B$39*$B1828))),RAND())</f>
        <v>3</v>
      </c>
      <c r="I1828" s="0" t="n">
        <f aca="false">6*D1828+(D1828-E1828-G1828)+2*F1828+3*H1828</f>
        <v>23</v>
      </c>
      <c r="J1828" s="0" t="n">
        <f aca="true">CRITBINOM($C1828,MIN(0.75,Matchup!$C$39*$B1828),RAND())</f>
        <v>3</v>
      </c>
      <c r="K1828" s="0" t="n">
        <f aca="true">CRITBINOM(J1828,Coefficients!$B$30,RAND())</f>
        <v>0</v>
      </c>
      <c r="L1828" s="0" t="n">
        <f aca="true">CRITBINOM(K1828,Coefficients!$B$31,RAND())</f>
        <v>0</v>
      </c>
      <c r="M1828" s="0" t="n">
        <f aca="true">CRITBINOM(MAX(0,J1828-K1828),1-Coefficients!$B$32,RAND())</f>
        <v>1</v>
      </c>
      <c r="N1828" s="0" t="n">
        <f aca="true">CRITBINOM(MAX(0,$C1828-J1828),MIN(0.6,Matchup!$C$40*SQRT($B1828)/(1-MIN(0.75,Matchup!$C$39*$B1828))),RAND())</f>
        <v>0</v>
      </c>
      <c r="O1828" s="0" t="n">
        <f aca="false">6*J1828+(J1828-K1828-M1828)+2*L1828+3*N1828</f>
        <v>20</v>
      </c>
      <c r="P1828" s="0" t="n">
        <f aca="true">RAND()</f>
        <v>0.541818483543672</v>
      </c>
      <c r="Q1828" s="0" t="n">
        <f aca="true">RAND()</f>
        <v>0.586077084833696</v>
      </c>
      <c r="R1828" s="0" t="n">
        <f aca="false">IF($I1828&lt;&gt;$O1828,0,IF(P1828&lt;Matchup!$B$39,7,IF(P1828&lt;Matchup!$B$39+Matchup!$B$40,3,0)))</f>
        <v>0</v>
      </c>
      <c r="S1828" s="0" t="n">
        <f aca="false">IF($I1828&lt;&gt;$O1828,0,IF(Q1828&lt;Matchup!$C$39,7,IF(Q1828&lt;Matchup!$C$39+Matchup!$C$40,3,0)))</f>
        <v>0</v>
      </c>
      <c r="T1828" s="0" t="n">
        <f aca="false">I1828+R1828</f>
        <v>23</v>
      </c>
      <c r="U1828" s="0" t="n">
        <f aca="false">O1828+S1828</f>
        <v>20</v>
      </c>
      <c r="V1828" s="0" t="n">
        <f aca="false">T1828-U1828</f>
        <v>3</v>
      </c>
      <c r="W1828" s="0" t="n">
        <f aca="false">T1828+U1828</f>
        <v>43</v>
      </c>
    </row>
    <row r="1829" customFormat="false" ht="15" hidden="false" customHeight="false" outlineLevel="0" collapsed="false">
      <c r="A1829" s="0" t="n">
        <v>1826</v>
      </c>
      <c r="B1829" s="0" t="n">
        <f aca="true">NORMINV(RAND(),1,Coefficients!$B$22)</f>
        <v>0.928055179027688</v>
      </c>
      <c r="C1829" s="0" t="n">
        <f aca="true">MEDIAN(8,16,ROUND(NORMINV(RAND(),Coefficients!$B$20,Coefficients!$B$21),0))</f>
        <v>10</v>
      </c>
      <c r="D1829" s="0" t="n">
        <f aca="true">CRITBINOM($C1829,MIN(0.75,Matchup!$B$39*$B1829),RAND())</f>
        <v>7</v>
      </c>
      <c r="E1829" s="0" t="n">
        <f aca="true">CRITBINOM(D1829,Coefficients!$B$30,RAND())</f>
        <v>0</v>
      </c>
      <c r="F1829" s="0" t="n">
        <f aca="true">CRITBINOM(E1829,Coefficients!$B$31,RAND())</f>
        <v>0</v>
      </c>
      <c r="G1829" s="0" t="n">
        <f aca="true">CRITBINOM(MAX(0,D1829-E1829),1-Coefficients!$B$32,RAND())</f>
        <v>0</v>
      </c>
      <c r="H1829" s="0" t="n">
        <f aca="true">CRITBINOM(MAX(0,$C1829-D1829),MIN(0.6,Matchup!$B$40*SQRT($B1829)/(1-MIN(0.75,Matchup!$B$39*$B1829))),RAND())</f>
        <v>0</v>
      </c>
      <c r="I1829" s="0" t="n">
        <f aca="false">6*D1829+(D1829-E1829-G1829)+2*F1829+3*H1829</f>
        <v>49</v>
      </c>
      <c r="J1829" s="0" t="n">
        <f aca="true">CRITBINOM($C1829,MIN(0.75,Matchup!$C$39*$B1829),RAND())</f>
        <v>3</v>
      </c>
      <c r="K1829" s="0" t="n">
        <f aca="true">CRITBINOM(J1829,Coefficients!$B$30,RAND())</f>
        <v>0</v>
      </c>
      <c r="L1829" s="0" t="n">
        <f aca="true">CRITBINOM(K1829,Coefficients!$B$31,RAND())</f>
        <v>0</v>
      </c>
      <c r="M1829" s="0" t="n">
        <f aca="true">CRITBINOM(MAX(0,J1829-K1829),1-Coefficients!$B$32,RAND())</f>
        <v>0</v>
      </c>
      <c r="N1829" s="0" t="n">
        <f aca="true">CRITBINOM(MAX(0,$C1829-J1829),MIN(0.6,Matchup!$C$40*SQRT($B1829)/(1-MIN(0.75,Matchup!$C$39*$B1829))),RAND())</f>
        <v>0</v>
      </c>
      <c r="O1829" s="0" t="n">
        <f aca="false">6*J1829+(J1829-K1829-M1829)+2*L1829+3*N1829</f>
        <v>21</v>
      </c>
      <c r="P1829" s="0" t="n">
        <f aca="true">RAND()</f>
        <v>0.160363119528334</v>
      </c>
      <c r="Q1829" s="0" t="n">
        <f aca="true">RAND()</f>
        <v>0.611608708603115</v>
      </c>
      <c r="R1829" s="0" t="n">
        <f aca="false">IF($I1829&lt;&gt;$O1829,0,IF(P1829&lt;Matchup!$B$39,7,IF(P1829&lt;Matchup!$B$39+Matchup!$B$40,3,0)))</f>
        <v>0</v>
      </c>
      <c r="S1829" s="0" t="n">
        <f aca="false">IF($I1829&lt;&gt;$O1829,0,IF(Q1829&lt;Matchup!$C$39,7,IF(Q1829&lt;Matchup!$C$39+Matchup!$C$40,3,0)))</f>
        <v>0</v>
      </c>
      <c r="T1829" s="0" t="n">
        <f aca="false">I1829+R1829</f>
        <v>49</v>
      </c>
      <c r="U1829" s="0" t="n">
        <f aca="false">O1829+S1829</f>
        <v>21</v>
      </c>
      <c r="V1829" s="0" t="n">
        <f aca="false">T1829-U1829</f>
        <v>28</v>
      </c>
      <c r="W1829" s="0" t="n">
        <f aca="false">T1829+U1829</f>
        <v>70</v>
      </c>
    </row>
    <row r="1830" customFormat="false" ht="15" hidden="false" customHeight="false" outlineLevel="0" collapsed="false">
      <c r="A1830" s="0" t="n">
        <v>1827</v>
      </c>
      <c r="B1830" s="0" t="n">
        <f aca="true">NORMINV(RAND(),1,Coefficients!$B$22)</f>
        <v>1.10970541547097</v>
      </c>
      <c r="C1830" s="0" t="n">
        <f aca="true">MEDIAN(8,16,ROUND(NORMINV(RAND(),Coefficients!$B$20,Coefficients!$B$21),0))</f>
        <v>13</v>
      </c>
      <c r="D1830" s="0" t="n">
        <f aca="true">CRITBINOM($C1830,MIN(0.75,Matchup!$B$39*$B1830),RAND())</f>
        <v>4</v>
      </c>
      <c r="E1830" s="0" t="n">
        <f aca="true">CRITBINOM(D1830,Coefficients!$B$30,RAND())</f>
        <v>0</v>
      </c>
      <c r="F1830" s="0" t="n">
        <f aca="true">CRITBINOM(E1830,Coefficients!$B$31,RAND())</f>
        <v>0</v>
      </c>
      <c r="G1830" s="0" t="n">
        <f aca="true">CRITBINOM(MAX(0,D1830-E1830),1-Coefficients!$B$32,RAND())</f>
        <v>1</v>
      </c>
      <c r="H1830" s="0" t="n">
        <f aca="true">CRITBINOM(MAX(0,$C1830-D1830),MIN(0.6,Matchup!$B$40*SQRT($B1830)/(1-MIN(0.75,Matchup!$B$39*$B1830))),RAND())</f>
        <v>3</v>
      </c>
      <c r="I1830" s="0" t="n">
        <f aca="false">6*D1830+(D1830-E1830-G1830)+2*F1830+3*H1830</f>
        <v>36</v>
      </c>
      <c r="J1830" s="0" t="n">
        <f aca="true">CRITBINOM($C1830,MIN(0.75,Matchup!$C$39*$B1830),RAND())</f>
        <v>5</v>
      </c>
      <c r="K1830" s="0" t="n">
        <f aca="true">CRITBINOM(J1830,Coefficients!$B$30,RAND())</f>
        <v>0</v>
      </c>
      <c r="L1830" s="0" t="n">
        <f aca="true">CRITBINOM(K1830,Coefficients!$B$31,RAND())</f>
        <v>0</v>
      </c>
      <c r="M1830" s="0" t="n">
        <f aca="true">CRITBINOM(MAX(0,J1830-K1830),1-Coefficients!$B$32,RAND())</f>
        <v>0</v>
      </c>
      <c r="N1830" s="0" t="n">
        <f aca="true">CRITBINOM(MAX(0,$C1830-J1830),MIN(0.6,Matchup!$C$40*SQRT($B1830)/(1-MIN(0.75,Matchup!$C$39*$B1830))),RAND())</f>
        <v>1</v>
      </c>
      <c r="O1830" s="0" t="n">
        <f aca="false">6*J1830+(J1830-K1830-M1830)+2*L1830+3*N1830</f>
        <v>38</v>
      </c>
      <c r="P1830" s="0" t="n">
        <f aca="true">RAND()</f>
        <v>0.168623091276932</v>
      </c>
      <c r="Q1830" s="0" t="n">
        <f aca="true">RAND()</f>
        <v>0.376286039112422</v>
      </c>
      <c r="R1830" s="0" t="n">
        <f aca="false">IF($I1830&lt;&gt;$O1830,0,IF(P1830&lt;Matchup!$B$39,7,IF(P1830&lt;Matchup!$B$39+Matchup!$B$40,3,0)))</f>
        <v>0</v>
      </c>
      <c r="S1830" s="0" t="n">
        <f aca="false">IF($I1830&lt;&gt;$O1830,0,IF(Q1830&lt;Matchup!$C$39,7,IF(Q1830&lt;Matchup!$C$39+Matchup!$C$40,3,0)))</f>
        <v>0</v>
      </c>
      <c r="T1830" s="0" t="n">
        <f aca="false">I1830+R1830</f>
        <v>36</v>
      </c>
      <c r="U1830" s="0" t="n">
        <f aca="false">O1830+S1830</f>
        <v>38</v>
      </c>
      <c r="V1830" s="0" t="n">
        <f aca="false">T1830-U1830</f>
        <v>-2</v>
      </c>
      <c r="W1830" s="0" t="n">
        <f aca="false">T1830+U1830</f>
        <v>74</v>
      </c>
    </row>
    <row r="1831" customFormat="false" ht="15" hidden="false" customHeight="false" outlineLevel="0" collapsed="false">
      <c r="A1831" s="0" t="n">
        <v>1828</v>
      </c>
      <c r="B1831" s="0" t="n">
        <f aca="true">NORMINV(RAND(),1,Coefficients!$B$22)</f>
        <v>0.908114451626572</v>
      </c>
      <c r="C1831" s="0" t="n">
        <f aca="true">MEDIAN(8,16,ROUND(NORMINV(RAND(),Coefficients!$B$20,Coefficients!$B$21),0))</f>
        <v>11</v>
      </c>
      <c r="D1831" s="0" t="n">
        <f aca="true">CRITBINOM($C1831,MIN(0.75,Matchup!$B$39*$B1831),RAND())</f>
        <v>2</v>
      </c>
      <c r="E1831" s="0" t="n">
        <f aca="true">CRITBINOM(D1831,Coefficients!$B$30,RAND())</f>
        <v>0</v>
      </c>
      <c r="F1831" s="0" t="n">
        <f aca="true">CRITBINOM(E1831,Coefficients!$B$31,RAND())</f>
        <v>0</v>
      </c>
      <c r="G1831" s="0" t="n">
        <f aca="true">CRITBINOM(MAX(0,D1831-E1831),1-Coefficients!$B$32,RAND())</f>
        <v>0</v>
      </c>
      <c r="H1831" s="0" t="n">
        <f aca="true">CRITBINOM(MAX(0,$C1831-D1831),MIN(0.6,Matchup!$B$40*SQRT($B1831)/(1-MIN(0.75,Matchup!$B$39*$B1831))),RAND())</f>
        <v>2</v>
      </c>
      <c r="I1831" s="0" t="n">
        <f aca="false">6*D1831+(D1831-E1831-G1831)+2*F1831+3*H1831</f>
        <v>20</v>
      </c>
      <c r="J1831" s="0" t="n">
        <f aca="true">CRITBINOM($C1831,MIN(0.75,Matchup!$C$39*$B1831),RAND())</f>
        <v>2</v>
      </c>
      <c r="K1831" s="0" t="n">
        <f aca="true">CRITBINOM(J1831,Coefficients!$B$30,RAND())</f>
        <v>0</v>
      </c>
      <c r="L1831" s="0" t="n">
        <f aca="true">CRITBINOM(K1831,Coefficients!$B$31,RAND())</f>
        <v>0</v>
      </c>
      <c r="M1831" s="0" t="n">
        <f aca="true">CRITBINOM(MAX(0,J1831-K1831),1-Coefficients!$B$32,RAND())</f>
        <v>0</v>
      </c>
      <c r="N1831" s="0" t="n">
        <f aca="true">CRITBINOM(MAX(0,$C1831-J1831),MIN(0.6,Matchup!$C$40*SQRT($B1831)/(1-MIN(0.75,Matchup!$C$39*$B1831))),RAND())</f>
        <v>2</v>
      </c>
      <c r="O1831" s="0" t="n">
        <f aca="false">6*J1831+(J1831-K1831-M1831)+2*L1831+3*N1831</f>
        <v>20</v>
      </c>
      <c r="P1831" s="0" t="n">
        <f aca="true">RAND()</f>
        <v>0.0112948986432707</v>
      </c>
      <c r="Q1831" s="0" t="n">
        <f aca="true">RAND()</f>
        <v>0.396695388363892</v>
      </c>
      <c r="R1831" s="0" t="n">
        <f aca="false">IF($I1831&lt;&gt;$O1831,0,IF(P1831&lt;Matchup!$B$39,7,IF(P1831&lt;Matchup!$B$39+Matchup!$B$40,3,0)))</f>
        <v>7</v>
      </c>
      <c r="S1831" s="0" t="n">
        <f aca="false">IF($I1831&lt;&gt;$O1831,0,IF(Q1831&lt;Matchup!$C$39,7,IF(Q1831&lt;Matchup!$C$39+Matchup!$C$40,3,0)))</f>
        <v>0</v>
      </c>
      <c r="T1831" s="0" t="n">
        <f aca="false">I1831+R1831</f>
        <v>27</v>
      </c>
      <c r="U1831" s="0" t="n">
        <f aca="false">O1831+S1831</f>
        <v>20</v>
      </c>
      <c r="V1831" s="0" t="n">
        <f aca="false">T1831-U1831</f>
        <v>7</v>
      </c>
      <c r="W1831" s="0" t="n">
        <f aca="false">T1831+U1831</f>
        <v>47</v>
      </c>
    </row>
    <row r="1832" customFormat="false" ht="15" hidden="false" customHeight="false" outlineLevel="0" collapsed="false">
      <c r="A1832" s="0" t="n">
        <v>1829</v>
      </c>
      <c r="B1832" s="0" t="n">
        <f aca="true">NORMINV(RAND(),1,Coefficients!$B$22)</f>
        <v>0.999189300123836</v>
      </c>
      <c r="C1832" s="0" t="n">
        <f aca="true">MEDIAN(8,16,ROUND(NORMINV(RAND(),Coefficients!$B$20,Coefficients!$B$21),0))</f>
        <v>11</v>
      </c>
      <c r="D1832" s="0" t="n">
        <f aca="true">CRITBINOM($C1832,MIN(0.75,Matchup!$B$39*$B1832),RAND())</f>
        <v>5</v>
      </c>
      <c r="E1832" s="0" t="n">
        <f aca="true">CRITBINOM(D1832,Coefficients!$B$30,RAND())</f>
        <v>1</v>
      </c>
      <c r="F1832" s="0" t="n">
        <f aca="true">CRITBINOM(E1832,Coefficients!$B$31,RAND())</f>
        <v>0</v>
      </c>
      <c r="G1832" s="0" t="n">
        <f aca="true">CRITBINOM(MAX(0,D1832-E1832),1-Coefficients!$B$32,RAND())</f>
        <v>0</v>
      </c>
      <c r="H1832" s="0" t="n">
        <f aca="true">CRITBINOM(MAX(0,$C1832-D1832),MIN(0.6,Matchup!$B$40*SQRT($B1832)/(1-MIN(0.75,Matchup!$B$39*$B1832))),RAND())</f>
        <v>0</v>
      </c>
      <c r="I1832" s="0" t="n">
        <f aca="false">6*D1832+(D1832-E1832-G1832)+2*F1832+3*H1832</f>
        <v>34</v>
      </c>
      <c r="J1832" s="0" t="n">
        <f aca="true">CRITBINOM($C1832,MIN(0.75,Matchup!$C$39*$B1832),RAND())</f>
        <v>3</v>
      </c>
      <c r="K1832" s="0" t="n">
        <f aca="true">CRITBINOM(J1832,Coefficients!$B$30,RAND())</f>
        <v>1</v>
      </c>
      <c r="L1832" s="0" t="n">
        <f aca="true">CRITBINOM(K1832,Coefficients!$B$31,RAND())</f>
        <v>1</v>
      </c>
      <c r="M1832" s="0" t="n">
        <f aca="true">CRITBINOM(MAX(0,J1832-K1832),1-Coefficients!$B$32,RAND())</f>
        <v>0</v>
      </c>
      <c r="N1832" s="0" t="n">
        <f aca="true">CRITBINOM(MAX(0,$C1832-J1832),MIN(0.6,Matchup!$C$40*SQRT($B1832)/(1-MIN(0.75,Matchup!$C$39*$B1832))),RAND())</f>
        <v>4</v>
      </c>
      <c r="O1832" s="0" t="n">
        <f aca="false">6*J1832+(J1832-K1832-M1832)+2*L1832+3*N1832</f>
        <v>34</v>
      </c>
      <c r="P1832" s="0" t="n">
        <f aca="true">RAND()</f>
        <v>0.755875565196247</v>
      </c>
      <c r="Q1832" s="0" t="n">
        <f aca="true">RAND()</f>
        <v>0.544031963189755</v>
      </c>
      <c r="R1832" s="0" t="n">
        <f aca="false">IF($I1832&lt;&gt;$O1832,0,IF(P1832&lt;Matchup!$B$39,7,IF(P1832&lt;Matchup!$B$39+Matchup!$B$40,3,0)))</f>
        <v>0</v>
      </c>
      <c r="S1832" s="0" t="n">
        <f aca="false">IF($I1832&lt;&gt;$O1832,0,IF(Q1832&lt;Matchup!$C$39,7,IF(Q1832&lt;Matchup!$C$39+Matchup!$C$40,3,0)))</f>
        <v>0</v>
      </c>
      <c r="T1832" s="0" t="n">
        <f aca="false">I1832+R1832</f>
        <v>34</v>
      </c>
      <c r="U1832" s="0" t="n">
        <f aca="false">O1832+S1832</f>
        <v>34</v>
      </c>
      <c r="V1832" s="0" t="n">
        <f aca="false">T1832-U1832</f>
        <v>0</v>
      </c>
      <c r="W1832" s="0" t="n">
        <f aca="false">T1832+U1832</f>
        <v>68</v>
      </c>
    </row>
    <row r="1833" customFormat="false" ht="15" hidden="false" customHeight="false" outlineLevel="0" collapsed="false">
      <c r="A1833" s="0" t="n">
        <v>1830</v>
      </c>
      <c r="B1833" s="0" t="n">
        <f aca="true">NORMINV(RAND(),1,Coefficients!$B$22)</f>
        <v>1.00523868958336</v>
      </c>
      <c r="C1833" s="0" t="n">
        <f aca="true">MEDIAN(8,16,ROUND(NORMINV(RAND(),Coefficients!$B$20,Coefficients!$B$21),0))</f>
        <v>12</v>
      </c>
      <c r="D1833" s="0" t="n">
        <f aca="true">CRITBINOM($C1833,MIN(0.75,Matchup!$B$39*$B1833),RAND())</f>
        <v>5</v>
      </c>
      <c r="E1833" s="0" t="n">
        <f aca="true">CRITBINOM(D1833,Coefficients!$B$30,RAND())</f>
        <v>1</v>
      </c>
      <c r="F1833" s="0" t="n">
        <f aca="true">CRITBINOM(E1833,Coefficients!$B$31,RAND())</f>
        <v>1</v>
      </c>
      <c r="G1833" s="0" t="n">
        <f aca="true">CRITBINOM(MAX(0,D1833-E1833),1-Coefficients!$B$32,RAND())</f>
        <v>0</v>
      </c>
      <c r="H1833" s="0" t="n">
        <f aca="true">CRITBINOM(MAX(0,$C1833-D1833),MIN(0.6,Matchup!$B$40*SQRT($B1833)/(1-MIN(0.75,Matchup!$B$39*$B1833))),RAND())</f>
        <v>0</v>
      </c>
      <c r="I1833" s="0" t="n">
        <f aca="false">6*D1833+(D1833-E1833-G1833)+2*F1833+3*H1833</f>
        <v>36</v>
      </c>
      <c r="J1833" s="0" t="n">
        <f aca="true">CRITBINOM($C1833,MIN(0.75,Matchup!$C$39*$B1833),RAND())</f>
        <v>4</v>
      </c>
      <c r="K1833" s="0" t="n">
        <f aca="true">CRITBINOM(J1833,Coefficients!$B$30,RAND())</f>
        <v>0</v>
      </c>
      <c r="L1833" s="0" t="n">
        <f aca="true">CRITBINOM(K1833,Coefficients!$B$31,RAND())</f>
        <v>0</v>
      </c>
      <c r="M1833" s="0" t="n">
        <f aca="true">CRITBINOM(MAX(0,J1833-K1833),1-Coefficients!$B$32,RAND())</f>
        <v>0</v>
      </c>
      <c r="N1833" s="0" t="n">
        <f aca="true">CRITBINOM(MAX(0,$C1833-J1833),MIN(0.6,Matchup!$C$40*SQRT($B1833)/(1-MIN(0.75,Matchup!$C$39*$B1833))),RAND())</f>
        <v>0</v>
      </c>
      <c r="O1833" s="0" t="n">
        <f aca="false">6*J1833+(J1833-K1833-M1833)+2*L1833+3*N1833</f>
        <v>28</v>
      </c>
      <c r="P1833" s="0" t="n">
        <f aca="true">RAND()</f>
        <v>0.46078810861546</v>
      </c>
      <c r="Q1833" s="0" t="n">
        <f aca="true">RAND()</f>
        <v>0.508426777406275</v>
      </c>
      <c r="R1833" s="0" t="n">
        <f aca="false">IF($I1833&lt;&gt;$O1833,0,IF(P1833&lt;Matchup!$B$39,7,IF(P1833&lt;Matchup!$B$39+Matchup!$B$40,3,0)))</f>
        <v>0</v>
      </c>
      <c r="S1833" s="0" t="n">
        <f aca="false">IF($I1833&lt;&gt;$O1833,0,IF(Q1833&lt;Matchup!$C$39,7,IF(Q1833&lt;Matchup!$C$39+Matchup!$C$40,3,0)))</f>
        <v>0</v>
      </c>
      <c r="T1833" s="0" t="n">
        <f aca="false">I1833+R1833</f>
        <v>36</v>
      </c>
      <c r="U1833" s="0" t="n">
        <f aca="false">O1833+S1833</f>
        <v>28</v>
      </c>
      <c r="V1833" s="0" t="n">
        <f aca="false">T1833-U1833</f>
        <v>8</v>
      </c>
      <c r="W1833" s="0" t="n">
        <f aca="false">T1833+U1833</f>
        <v>64</v>
      </c>
    </row>
    <row r="1834" customFormat="false" ht="15" hidden="false" customHeight="false" outlineLevel="0" collapsed="false">
      <c r="A1834" s="0" t="n">
        <v>1831</v>
      </c>
      <c r="B1834" s="0" t="n">
        <f aca="true">NORMINV(RAND(),1,Coefficients!$B$22)</f>
        <v>1.07288187848371</v>
      </c>
      <c r="C1834" s="0" t="n">
        <f aca="true">MEDIAN(8,16,ROUND(NORMINV(RAND(),Coefficients!$B$20,Coefficients!$B$21),0))</f>
        <v>12</v>
      </c>
      <c r="D1834" s="0" t="n">
        <f aca="true">CRITBINOM($C1834,MIN(0.75,Matchup!$B$39*$B1834),RAND())</f>
        <v>3</v>
      </c>
      <c r="E1834" s="0" t="n">
        <f aca="true">CRITBINOM(D1834,Coefficients!$B$30,RAND())</f>
        <v>0</v>
      </c>
      <c r="F1834" s="0" t="n">
        <f aca="true">CRITBINOM(E1834,Coefficients!$B$31,RAND())</f>
        <v>0</v>
      </c>
      <c r="G1834" s="0" t="n">
        <f aca="true">CRITBINOM(MAX(0,D1834-E1834),1-Coefficients!$B$32,RAND())</f>
        <v>0</v>
      </c>
      <c r="H1834" s="0" t="n">
        <f aca="true">CRITBINOM(MAX(0,$C1834-D1834),MIN(0.6,Matchup!$B$40*SQRT($B1834)/(1-MIN(0.75,Matchup!$B$39*$B1834))),RAND())</f>
        <v>3</v>
      </c>
      <c r="I1834" s="0" t="n">
        <f aca="false">6*D1834+(D1834-E1834-G1834)+2*F1834+3*H1834</f>
        <v>30</v>
      </c>
      <c r="J1834" s="0" t="n">
        <f aca="true">CRITBINOM($C1834,MIN(0.75,Matchup!$C$39*$B1834),RAND())</f>
        <v>3</v>
      </c>
      <c r="K1834" s="0" t="n">
        <f aca="true">CRITBINOM(J1834,Coefficients!$B$30,RAND())</f>
        <v>0</v>
      </c>
      <c r="L1834" s="0" t="n">
        <f aca="true">CRITBINOM(K1834,Coefficients!$B$31,RAND())</f>
        <v>0</v>
      </c>
      <c r="M1834" s="0" t="n">
        <f aca="true">CRITBINOM(MAX(0,J1834-K1834),1-Coefficients!$B$32,RAND())</f>
        <v>0</v>
      </c>
      <c r="N1834" s="0" t="n">
        <f aca="true">CRITBINOM(MAX(0,$C1834-J1834),MIN(0.6,Matchup!$C$40*SQRT($B1834)/(1-MIN(0.75,Matchup!$C$39*$B1834))),RAND())</f>
        <v>2</v>
      </c>
      <c r="O1834" s="0" t="n">
        <f aca="false">6*J1834+(J1834-K1834-M1834)+2*L1834+3*N1834</f>
        <v>27</v>
      </c>
      <c r="P1834" s="0" t="n">
        <f aca="true">RAND()</f>
        <v>0.839203520695609</v>
      </c>
      <c r="Q1834" s="0" t="n">
        <f aca="true">RAND()</f>
        <v>0.946085449127165</v>
      </c>
      <c r="R1834" s="0" t="n">
        <f aca="false">IF($I1834&lt;&gt;$O1834,0,IF(P1834&lt;Matchup!$B$39,7,IF(P1834&lt;Matchup!$B$39+Matchup!$B$40,3,0)))</f>
        <v>0</v>
      </c>
      <c r="S1834" s="0" t="n">
        <f aca="false">IF($I1834&lt;&gt;$O1834,0,IF(Q1834&lt;Matchup!$C$39,7,IF(Q1834&lt;Matchup!$C$39+Matchup!$C$40,3,0)))</f>
        <v>0</v>
      </c>
      <c r="T1834" s="0" t="n">
        <f aca="false">I1834+R1834</f>
        <v>30</v>
      </c>
      <c r="U1834" s="0" t="n">
        <f aca="false">O1834+S1834</f>
        <v>27</v>
      </c>
      <c r="V1834" s="0" t="n">
        <f aca="false">T1834-U1834</f>
        <v>3</v>
      </c>
      <c r="W1834" s="0" t="n">
        <f aca="false">T1834+U1834</f>
        <v>57</v>
      </c>
    </row>
    <row r="1835" customFormat="false" ht="15" hidden="false" customHeight="false" outlineLevel="0" collapsed="false">
      <c r="A1835" s="0" t="n">
        <v>1832</v>
      </c>
      <c r="B1835" s="0" t="n">
        <f aca="true">NORMINV(RAND(),1,Coefficients!$B$22)</f>
        <v>0.927830723169359</v>
      </c>
      <c r="C1835" s="0" t="n">
        <f aca="true">MEDIAN(8,16,ROUND(NORMINV(RAND(),Coefficients!$B$20,Coefficients!$B$21),0))</f>
        <v>12</v>
      </c>
      <c r="D1835" s="0" t="n">
        <f aca="true">CRITBINOM($C1835,MIN(0.75,Matchup!$B$39*$B1835),RAND())</f>
        <v>3</v>
      </c>
      <c r="E1835" s="0" t="n">
        <f aca="true">CRITBINOM(D1835,Coefficients!$B$30,RAND())</f>
        <v>0</v>
      </c>
      <c r="F1835" s="0" t="n">
        <f aca="true">CRITBINOM(E1835,Coefficients!$B$31,RAND())</f>
        <v>0</v>
      </c>
      <c r="G1835" s="0" t="n">
        <f aca="true">CRITBINOM(MAX(0,D1835-E1835),1-Coefficients!$B$32,RAND())</f>
        <v>0</v>
      </c>
      <c r="H1835" s="0" t="n">
        <f aca="true">CRITBINOM(MAX(0,$C1835-D1835),MIN(0.6,Matchup!$B$40*SQRT($B1835)/(1-MIN(0.75,Matchup!$B$39*$B1835))),RAND())</f>
        <v>0</v>
      </c>
      <c r="I1835" s="0" t="n">
        <f aca="false">6*D1835+(D1835-E1835-G1835)+2*F1835+3*H1835</f>
        <v>21</v>
      </c>
      <c r="J1835" s="0" t="n">
        <f aca="true">CRITBINOM($C1835,MIN(0.75,Matchup!$C$39*$B1835),RAND())</f>
        <v>1</v>
      </c>
      <c r="K1835" s="0" t="n">
        <f aca="true">CRITBINOM(J1835,Coefficients!$B$30,RAND())</f>
        <v>0</v>
      </c>
      <c r="L1835" s="0" t="n">
        <f aca="true">CRITBINOM(K1835,Coefficients!$B$31,RAND())</f>
        <v>0</v>
      </c>
      <c r="M1835" s="0" t="n">
        <f aca="true">CRITBINOM(MAX(0,J1835-K1835),1-Coefficients!$B$32,RAND())</f>
        <v>0</v>
      </c>
      <c r="N1835" s="0" t="n">
        <f aca="true">CRITBINOM(MAX(0,$C1835-J1835),MIN(0.6,Matchup!$C$40*SQRT($B1835)/(1-MIN(0.75,Matchup!$C$39*$B1835))),RAND())</f>
        <v>2</v>
      </c>
      <c r="O1835" s="0" t="n">
        <f aca="false">6*J1835+(J1835-K1835-M1835)+2*L1835+3*N1835</f>
        <v>13</v>
      </c>
      <c r="P1835" s="0" t="n">
        <f aca="true">RAND()</f>
        <v>0.161137755069404</v>
      </c>
      <c r="Q1835" s="0" t="n">
        <f aca="true">RAND()</f>
        <v>0.524090886966992</v>
      </c>
      <c r="R1835" s="0" t="n">
        <f aca="false">IF($I1835&lt;&gt;$O1835,0,IF(P1835&lt;Matchup!$B$39,7,IF(P1835&lt;Matchup!$B$39+Matchup!$B$40,3,0)))</f>
        <v>0</v>
      </c>
      <c r="S1835" s="0" t="n">
        <f aca="false">IF($I1835&lt;&gt;$O1835,0,IF(Q1835&lt;Matchup!$C$39,7,IF(Q1835&lt;Matchup!$C$39+Matchup!$C$40,3,0)))</f>
        <v>0</v>
      </c>
      <c r="T1835" s="0" t="n">
        <f aca="false">I1835+R1835</f>
        <v>21</v>
      </c>
      <c r="U1835" s="0" t="n">
        <f aca="false">O1835+S1835</f>
        <v>13</v>
      </c>
      <c r="V1835" s="0" t="n">
        <f aca="false">T1835-U1835</f>
        <v>8</v>
      </c>
      <c r="W1835" s="0" t="n">
        <f aca="false">T1835+U1835</f>
        <v>34</v>
      </c>
    </row>
    <row r="1836" customFormat="false" ht="15" hidden="false" customHeight="false" outlineLevel="0" collapsed="false">
      <c r="A1836" s="0" t="n">
        <v>1833</v>
      </c>
      <c r="B1836" s="0" t="n">
        <f aca="true">NORMINV(RAND(),1,Coefficients!$B$22)</f>
        <v>1.00966312950157</v>
      </c>
      <c r="C1836" s="0" t="n">
        <f aca="true">MEDIAN(8,16,ROUND(NORMINV(RAND(),Coefficients!$B$20,Coefficients!$B$21),0))</f>
        <v>10</v>
      </c>
      <c r="D1836" s="0" t="n">
        <f aca="true">CRITBINOM($C1836,MIN(0.75,Matchup!$B$39*$B1836),RAND())</f>
        <v>2</v>
      </c>
      <c r="E1836" s="0" t="n">
        <f aca="true">CRITBINOM(D1836,Coefficients!$B$30,RAND())</f>
        <v>0</v>
      </c>
      <c r="F1836" s="0" t="n">
        <f aca="true">CRITBINOM(E1836,Coefficients!$B$31,RAND())</f>
        <v>0</v>
      </c>
      <c r="G1836" s="0" t="n">
        <f aca="true">CRITBINOM(MAX(0,D1836-E1836),1-Coefficients!$B$32,RAND())</f>
        <v>0</v>
      </c>
      <c r="H1836" s="0" t="n">
        <f aca="true">CRITBINOM(MAX(0,$C1836-D1836),MIN(0.6,Matchup!$B$40*SQRT($B1836)/(1-MIN(0.75,Matchup!$B$39*$B1836))),RAND())</f>
        <v>2</v>
      </c>
      <c r="I1836" s="0" t="n">
        <f aca="false">6*D1836+(D1836-E1836-G1836)+2*F1836+3*H1836</f>
        <v>20</v>
      </c>
      <c r="J1836" s="0" t="n">
        <f aca="true">CRITBINOM($C1836,MIN(0.75,Matchup!$C$39*$B1836),RAND())</f>
        <v>2</v>
      </c>
      <c r="K1836" s="0" t="n">
        <f aca="true">CRITBINOM(J1836,Coefficients!$B$30,RAND())</f>
        <v>0</v>
      </c>
      <c r="L1836" s="0" t="n">
        <f aca="true">CRITBINOM(K1836,Coefficients!$B$31,RAND())</f>
        <v>0</v>
      </c>
      <c r="M1836" s="0" t="n">
        <f aca="true">CRITBINOM(MAX(0,J1836-K1836),1-Coefficients!$B$32,RAND())</f>
        <v>1</v>
      </c>
      <c r="N1836" s="0" t="n">
        <f aca="true">CRITBINOM(MAX(0,$C1836-J1836),MIN(0.6,Matchup!$C$40*SQRT($B1836)/(1-MIN(0.75,Matchup!$C$39*$B1836))),RAND())</f>
        <v>1</v>
      </c>
      <c r="O1836" s="0" t="n">
        <f aca="false">6*J1836+(J1836-K1836-M1836)+2*L1836+3*N1836</f>
        <v>16</v>
      </c>
      <c r="P1836" s="0" t="n">
        <f aca="true">RAND()</f>
        <v>0.325140432400799</v>
      </c>
      <c r="Q1836" s="0" t="n">
        <f aca="true">RAND()</f>
        <v>0.581944023665021</v>
      </c>
      <c r="R1836" s="0" t="n">
        <f aca="false">IF($I1836&lt;&gt;$O1836,0,IF(P1836&lt;Matchup!$B$39,7,IF(P1836&lt;Matchup!$B$39+Matchup!$B$40,3,0)))</f>
        <v>0</v>
      </c>
      <c r="S1836" s="0" t="n">
        <f aca="false">IF($I1836&lt;&gt;$O1836,0,IF(Q1836&lt;Matchup!$C$39,7,IF(Q1836&lt;Matchup!$C$39+Matchup!$C$40,3,0)))</f>
        <v>0</v>
      </c>
      <c r="T1836" s="0" t="n">
        <f aca="false">I1836+R1836</f>
        <v>20</v>
      </c>
      <c r="U1836" s="0" t="n">
        <f aca="false">O1836+S1836</f>
        <v>16</v>
      </c>
      <c r="V1836" s="0" t="n">
        <f aca="false">T1836-U1836</f>
        <v>4</v>
      </c>
      <c r="W1836" s="0" t="n">
        <f aca="false">T1836+U1836</f>
        <v>36</v>
      </c>
    </row>
    <row r="1837" customFormat="false" ht="15" hidden="false" customHeight="false" outlineLevel="0" collapsed="false">
      <c r="A1837" s="0" t="n">
        <v>1834</v>
      </c>
      <c r="B1837" s="0" t="n">
        <f aca="true">NORMINV(RAND(),1,Coefficients!$B$22)</f>
        <v>1.11498072082115</v>
      </c>
      <c r="C1837" s="0" t="n">
        <f aca="true">MEDIAN(8,16,ROUND(NORMINV(RAND(),Coefficients!$B$20,Coefficients!$B$21),0))</f>
        <v>11</v>
      </c>
      <c r="D1837" s="0" t="n">
        <f aca="true">CRITBINOM($C1837,MIN(0.75,Matchup!$B$39*$B1837),RAND())</f>
        <v>4</v>
      </c>
      <c r="E1837" s="0" t="n">
        <f aca="true">CRITBINOM(D1837,Coefficients!$B$30,RAND())</f>
        <v>0</v>
      </c>
      <c r="F1837" s="0" t="n">
        <f aca="true">CRITBINOM(E1837,Coefficients!$B$31,RAND())</f>
        <v>0</v>
      </c>
      <c r="G1837" s="0" t="n">
        <f aca="true">CRITBINOM(MAX(0,D1837-E1837),1-Coefficients!$B$32,RAND())</f>
        <v>0</v>
      </c>
      <c r="H1837" s="0" t="n">
        <f aca="true">CRITBINOM(MAX(0,$C1837-D1837),MIN(0.6,Matchup!$B$40*SQRT($B1837)/(1-MIN(0.75,Matchup!$B$39*$B1837))),RAND())</f>
        <v>4</v>
      </c>
      <c r="I1837" s="0" t="n">
        <f aca="false">6*D1837+(D1837-E1837-G1837)+2*F1837+3*H1837</f>
        <v>40</v>
      </c>
      <c r="J1837" s="0" t="n">
        <f aca="true">CRITBINOM($C1837,MIN(0.75,Matchup!$C$39*$B1837),RAND())</f>
        <v>2</v>
      </c>
      <c r="K1837" s="0" t="n">
        <f aca="true">CRITBINOM(J1837,Coefficients!$B$30,RAND())</f>
        <v>0</v>
      </c>
      <c r="L1837" s="0" t="n">
        <f aca="true">CRITBINOM(K1837,Coefficients!$B$31,RAND())</f>
        <v>0</v>
      </c>
      <c r="M1837" s="0" t="n">
        <f aca="true">CRITBINOM(MAX(0,J1837-K1837),1-Coefficients!$B$32,RAND())</f>
        <v>0</v>
      </c>
      <c r="N1837" s="0" t="n">
        <f aca="true">CRITBINOM(MAX(0,$C1837-J1837),MIN(0.6,Matchup!$C$40*SQRT($B1837)/(1-MIN(0.75,Matchup!$C$39*$B1837))),RAND())</f>
        <v>1</v>
      </c>
      <c r="O1837" s="0" t="n">
        <f aca="false">6*J1837+(J1837-K1837-M1837)+2*L1837+3*N1837</f>
        <v>17</v>
      </c>
      <c r="P1837" s="0" t="n">
        <f aca="true">RAND()</f>
        <v>0.862141775875389</v>
      </c>
      <c r="Q1837" s="0" t="n">
        <f aca="true">RAND()</f>
        <v>0.96306715757336</v>
      </c>
      <c r="R1837" s="0" t="n">
        <f aca="false">IF($I1837&lt;&gt;$O1837,0,IF(P1837&lt;Matchup!$B$39,7,IF(P1837&lt;Matchup!$B$39+Matchup!$B$40,3,0)))</f>
        <v>0</v>
      </c>
      <c r="S1837" s="0" t="n">
        <f aca="false">IF($I1837&lt;&gt;$O1837,0,IF(Q1837&lt;Matchup!$C$39,7,IF(Q1837&lt;Matchup!$C$39+Matchup!$C$40,3,0)))</f>
        <v>0</v>
      </c>
      <c r="T1837" s="0" t="n">
        <f aca="false">I1837+R1837</f>
        <v>40</v>
      </c>
      <c r="U1837" s="0" t="n">
        <f aca="false">O1837+S1837</f>
        <v>17</v>
      </c>
      <c r="V1837" s="0" t="n">
        <f aca="false">T1837-U1837</f>
        <v>23</v>
      </c>
      <c r="W1837" s="0" t="n">
        <f aca="false">T1837+U1837</f>
        <v>57</v>
      </c>
    </row>
    <row r="1838" customFormat="false" ht="15" hidden="false" customHeight="false" outlineLevel="0" collapsed="false">
      <c r="A1838" s="0" t="n">
        <v>1835</v>
      </c>
      <c r="B1838" s="0" t="n">
        <f aca="true">NORMINV(RAND(),1,Coefficients!$B$22)</f>
        <v>0.940713494072215</v>
      </c>
      <c r="C1838" s="0" t="n">
        <f aca="true">MEDIAN(8,16,ROUND(NORMINV(RAND(),Coefficients!$B$20,Coefficients!$B$21),0))</f>
        <v>10</v>
      </c>
      <c r="D1838" s="0" t="n">
        <f aca="true">CRITBINOM($C1838,MIN(0.75,Matchup!$B$39*$B1838),RAND())</f>
        <v>4</v>
      </c>
      <c r="E1838" s="0" t="n">
        <f aca="true">CRITBINOM(D1838,Coefficients!$B$30,RAND())</f>
        <v>0</v>
      </c>
      <c r="F1838" s="0" t="n">
        <f aca="true">CRITBINOM(E1838,Coefficients!$B$31,RAND())</f>
        <v>0</v>
      </c>
      <c r="G1838" s="0" t="n">
        <f aca="true">CRITBINOM(MAX(0,D1838-E1838),1-Coefficients!$B$32,RAND())</f>
        <v>0</v>
      </c>
      <c r="H1838" s="0" t="n">
        <f aca="true">CRITBINOM(MAX(0,$C1838-D1838),MIN(0.6,Matchup!$B$40*SQRT($B1838)/(1-MIN(0.75,Matchup!$B$39*$B1838))),RAND())</f>
        <v>0</v>
      </c>
      <c r="I1838" s="0" t="n">
        <f aca="false">6*D1838+(D1838-E1838-G1838)+2*F1838+3*H1838</f>
        <v>28</v>
      </c>
      <c r="J1838" s="0" t="n">
        <f aca="true">CRITBINOM($C1838,MIN(0.75,Matchup!$C$39*$B1838),RAND())</f>
        <v>0</v>
      </c>
      <c r="K1838" s="0" t="n">
        <f aca="true">CRITBINOM(J1838,Coefficients!$B$30,RAND())</f>
        <v>0</v>
      </c>
      <c r="L1838" s="0" t="n">
        <f aca="true">CRITBINOM(K1838,Coefficients!$B$31,RAND())</f>
        <v>0</v>
      </c>
      <c r="M1838" s="0" t="n">
        <f aca="true">CRITBINOM(MAX(0,J1838-K1838),1-Coefficients!$B$32,RAND())</f>
        <v>0</v>
      </c>
      <c r="N1838" s="0" t="n">
        <f aca="true">CRITBINOM(MAX(0,$C1838-J1838),MIN(0.6,Matchup!$C$40*SQRT($B1838)/(1-MIN(0.75,Matchup!$C$39*$B1838))),RAND())</f>
        <v>0</v>
      </c>
      <c r="O1838" s="0" t="n">
        <f aca="false">6*J1838+(J1838-K1838-M1838)+2*L1838+3*N1838</f>
        <v>0</v>
      </c>
      <c r="P1838" s="0" t="n">
        <f aca="true">RAND()</f>
        <v>0.737731891578211</v>
      </c>
      <c r="Q1838" s="0" t="n">
        <f aca="true">RAND()</f>
        <v>0.606396773630547</v>
      </c>
      <c r="R1838" s="0" t="n">
        <f aca="false">IF($I1838&lt;&gt;$O1838,0,IF(P1838&lt;Matchup!$B$39,7,IF(P1838&lt;Matchup!$B$39+Matchup!$B$40,3,0)))</f>
        <v>0</v>
      </c>
      <c r="S1838" s="0" t="n">
        <f aca="false">IF($I1838&lt;&gt;$O1838,0,IF(Q1838&lt;Matchup!$C$39,7,IF(Q1838&lt;Matchup!$C$39+Matchup!$C$40,3,0)))</f>
        <v>0</v>
      </c>
      <c r="T1838" s="0" t="n">
        <f aca="false">I1838+R1838</f>
        <v>28</v>
      </c>
      <c r="U1838" s="0" t="n">
        <f aca="false">O1838+S1838</f>
        <v>0</v>
      </c>
      <c r="V1838" s="0" t="n">
        <f aca="false">T1838-U1838</f>
        <v>28</v>
      </c>
      <c r="W1838" s="0" t="n">
        <f aca="false">T1838+U1838</f>
        <v>28</v>
      </c>
    </row>
    <row r="1839" customFormat="false" ht="15" hidden="false" customHeight="false" outlineLevel="0" collapsed="false">
      <c r="A1839" s="0" t="n">
        <v>1836</v>
      </c>
      <c r="B1839" s="0" t="n">
        <f aca="true">NORMINV(RAND(),1,Coefficients!$B$22)</f>
        <v>1.03262425526834</v>
      </c>
      <c r="C1839" s="0" t="n">
        <f aca="true">MEDIAN(8,16,ROUND(NORMINV(RAND(),Coefficients!$B$20,Coefficients!$B$21),0))</f>
        <v>11</v>
      </c>
      <c r="D1839" s="0" t="n">
        <f aca="true">CRITBINOM($C1839,MIN(0.75,Matchup!$B$39*$B1839),RAND())</f>
        <v>2</v>
      </c>
      <c r="E1839" s="0" t="n">
        <f aca="true">CRITBINOM(D1839,Coefficients!$B$30,RAND())</f>
        <v>1</v>
      </c>
      <c r="F1839" s="0" t="n">
        <f aca="true">CRITBINOM(E1839,Coefficients!$B$31,RAND())</f>
        <v>1</v>
      </c>
      <c r="G1839" s="0" t="n">
        <f aca="true">CRITBINOM(MAX(0,D1839-E1839),1-Coefficients!$B$32,RAND())</f>
        <v>1</v>
      </c>
      <c r="H1839" s="0" t="n">
        <f aca="true">CRITBINOM(MAX(0,$C1839-D1839),MIN(0.6,Matchup!$B$40*SQRT($B1839)/(1-MIN(0.75,Matchup!$B$39*$B1839))),RAND())</f>
        <v>1</v>
      </c>
      <c r="I1839" s="0" t="n">
        <f aca="false">6*D1839+(D1839-E1839-G1839)+2*F1839+3*H1839</f>
        <v>17</v>
      </c>
      <c r="J1839" s="0" t="n">
        <f aca="true">CRITBINOM($C1839,MIN(0.75,Matchup!$C$39*$B1839),RAND())</f>
        <v>4</v>
      </c>
      <c r="K1839" s="0" t="n">
        <f aca="true">CRITBINOM(J1839,Coefficients!$B$30,RAND())</f>
        <v>0</v>
      </c>
      <c r="L1839" s="0" t="n">
        <f aca="true">CRITBINOM(K1839,Coefficients!$B$31,RAND())</f>
        <v>0</v>
      </c>
      <c r="M1839" s="0" t="n">
        <f aca="true">CRITBINOM(MAX(0,J1839-K1839),1-Coefficients!$B$32,RAND())</f>
        <v>1</v>
      </c>
      <c r="N1839" s="0" t="n">
        <f aca="true">CRITBINOM(MAX(0,$C1839-J1839),MIN(0.6,Matchup!$C$40*SQRT($B1839)/(1-MIN(0.75,Matchup!$C$39*$B1839))),RAND())</f>
        <v>3</v>
      </c>
      <c r="O1839" s="0" t="n">
        <f aca="false">6*J1839+(J1839-K1839-M1839)+2*L1839+3*N1839</f>
        <v>36</v>
      </c>
      <c r="P1839" s="0" t="n">
        <f aca="true">RAND()</f>
        <v>0.293616958072262</v>
      </c>
      <c r="Q1839" s="0" t="n">
        <f aca="true">RAND()</f>
        <v>0.953755880292127</v>
      </c>
      <c r="R1839" s="0" t="n">
        <f aca="false">IF($I1839&lt;&gt;$O1839,0,IF(P1839&lt;Matchup!$B$39,7,IF(P1839&lt;Matchup!$B$39+Matchup!$B$40,3,0)))</f>
        <v>0</v>
      </c>
      <c r="S1839" s="0" t="n">
        <f aca="false">IF($I1839&lt;&gt;$O1839,0,IF(Q1839&lt;Matchup!$C$39,7,IF(Q1839&lt;Matchup!$C$39+Matchup!$C$40,3,0)))</f>
        <v>0</v>
      </c>
      <c r="T1839" s="0" t="n">
        <f aca="false">I1839+R1839</f>
        <v>17</v>
      </c>
      <c r="U1839" s="0" t="n">
        <f aca="false">O1839+S1839</f>
        <v>36</v>
      </c>
      <c r="V1839" s="0" t="n">
        <f aca="false">T1839-U1839</f>
        <v>-19</v>
      </c>
      <c r="W1839" s="0" t="n">
        <f aca="false">T1839+U1839</f>
        <v>53</v>
      </c>
    </row>
    <row r="1840" customFormat="false" ht="15" hidden="false" customHeight="false" outlineLevel="0" collapsed="false">
      <c r="A1840" s="0" t="n">
        <v>1837</v>
      </c>
      <c r="B1840" s="0" t="n">
        <f aca="true">NORMINV(RAND(),1,Coefficients!$B$22)</f>
        <v>1.05160088684524</v>
      </c>
      <c r="C1840" s="0" t="n">
        <f aca="true">MEDIAN(8,16,ROUND(NORMINV(RAND(),Coefficients!$B$20,Coefficients!$B$21),0))</f>
        <v>11</v>
      </c>
      <c r="D1840" s="0" t="n">
        <f aca="true">CRITBINOM($C1840,MIN(0.75,Matchup!$B$39*$B1840),RAND())</f>
        <v>4</v>
      </c>
      <c r="E1840" s="0" t="n">
        <f aca="true">CRITBINOM(D1840,Coefficients!$B$30,RAND())</f>
        <v>1</v>
      </c>
      <c r="F1840" s="0" t="n">
        <f aca="true">CRITBINOM(E1840,Coefficients!$B$31,RAND())</f>
        <v>0</v>
      </c>
      <c r="G1840" s="0" t="n">
        <f aca="true">CRITBINOM(MAX(0,D1840-E1840),1-Coefficients!$B$32,RAND())</f>
        <v>0</v>
      </c>
      <c r="H1840" s="0" t="n">
        <f aca="true">CRITBINOM(MAX(0,$C1840-D1840),MIN(0.6,Matchup!$B$40*SQRT($B1840)/(1-MIN(0.75,Matchup!$B$39*$B1840))),RAND())</f>
        <v>0</v>
      </c>
      <c r="I1840" s="0" t="n">
        <f aca="false">6*D1840+(D1840-E1840-G1840)+2*F1840+3*H1840</f>
        <v>27</v>
      </c>
      <c r="J1840" s="0" t="n">
        <f aca="true">CRITBINOM($C1840,MIN(0.75,Matchup!$C$39*$B1840),RAND())</f>
        <v>2</v>
      </c>
      <c r="K1840" s="0" t="n">
        <f aca="true">CRITBINOM(J1840,Coefficients!$B$30,RAND())</f>
        <v>0</v>
      </c>
      <c r="L1840" s="0" t="n">
        <f aca="true">CRITBINOM(K1840,Coefficients!$B$31,RAND())</f>
        <v>0</v>
      </c>
      <c r="M1840" s="0" t="n">
        <f aca="true">CRITBINOM(MAX(0,J1840-K1840),1-Coefficients!$B$32,RAND())</f>
        <v>0</v>
      </c>
      <c r="N1840" s="0" t="n">
        <f aca="true">CRITBINOM(MAX(0,$C1840-J1840),MIN(0.6,Matchup!$C$40*SQRT($B1840)/(1-MIN(0.75,Matchup!$C$39*$B1840))),RAND())</f>
        <v>1</v>
      </c>
      <c r="O1840" s="0" t="n">
        <f aca="false">6*J1840+(J1840-K1840-M1840)+2*L1840+3*N1840</f>
        <v>17</v>
      </c>
      <c r="P1840" s="0" t="n">
        <f aca="true">RAND()</f>
        <v>0.00908248559418132</v>
      </c>
      <c r="Q1840" s="0" t="n">
        <f aca="true">RAND()</f>
        <v>0.898165807537811</v>
      </c>
      <c r="R1840" s="0" t="n">
        <f aca="false">IF($I1840&lt;&gt;$O1840,0,IF(P1840&lt;Matchup!$B$39,7,IF(P1840&lt;Matchup!$B$39+Matchup!$B$40,3,0)))</f>
        <v>0</v>
      </c>
      <c r="S1840" s="0" t="n">
        <f aca="false">IF($I1840&lt;&gt;$O1840,0,IF(Q1840&lt;Matchup!$C$39,7,IF(Q1840&lt;Matchup!$C$39+Matchup!$C$40,3,0)))</f>
        <v>0</v>
      </c>
      <c r="T1840" s="0" t="n">
        <f aca="false">I1840+R1840</f>
        <v>27</v>
      </c>
      <c r="U1840" s="0" t="n">
        <f aca="false">O1840+S1840</f>
        <v>17</v>
      </c>
      <c r="V1840" s="0" t="n">
        <f aca="false">T1840-U1840</f>
        <v>10</v>
      </c>
      <c r="W1840" s="0" t="n">
        <f aca="false">T1840+U1840</f>
        <v>44</v>
      </c>
    </row>
    <row r="1841" customFormat="false" ht="15" hidden="false" customHeight="false" outlineLevel="0" collapsed="false">
      <c r="A1841" s="0" t="n">
        <v>1838</v>
      </c>
      <c r="B1841" s="0" t="n">
        <f aca="true">NORMINV(RAND(),1,Coefficients!$B$22)</f>
        <v>1.02661261476704</v>
      </c>
      <c r="C1841" s="0" t="n">
        <f aca="true">MEDIAN(8,16,ROUND(NORMINV(RAND(),Coefficients!$B$20,Coefficients!$B$21),0))</f>
        <v>12</v>
      </c>
      <c r="D1841" s="0" t="n">
        <f aca="true">CRITBINOM($C1841,MIN(0.75,Matchup!$B$39*$B1841),RAND())</f>
        <v>4</v>
      </c>
      <c r="E1841" s="0" t="n">
        <f aca="true">CRITBINOM(D1841,Coefficients!$B$30,RAND())</f>
        <v>0</v>
      </c>
      <c r="F1841" s="0" t="n">
        <f aca="true">CRITBINOM(E1841,Coefficients!$B$31,RAND())</f>
        <v>0</v>
      </c>
      <c r="G1841" s="0" t="n">
        <f aca="true">CRITBINOM(MAX(0,D1841-E1841),1-Coefficients!$B$32,RAND())</f>
        <v>0</v>
      </c>
      <c r="H1841" s="0" t="n">
        <f aca="true">CRITBINOM(MAX(0,$C1841-D1841),MIN(0.6,Matchup!$B$40*SQRT($B1841)/(1-MIN(0.75,Matchup!$B$39*$B1841))),RAND())</f>
        <v>2</v>
      </c>
      <c r="I1841" s="0" t="n">
        <f aca="false">6*D1841+(D1841-E1841-G1841)+2*F1841+3*H1841</f>
        <v>34</v>
      </c>
      <c r="J1841" s="0" t="n">
        <f aca="true">CRITBINOM($C1841,MIN(0.75,Matchup!$C$39*$B1841),RAND())</f>
        <v>5</v>
      </c>
      <c r="K1841" s="0" t="n">
        <f aca="true">CRITBINOM(J1841,Coefficients!$B$30,RAND())</f>
        <v>0</v>
      </c>
      <c r="L1841" s="0" t="n">
        <f aca="true">CRITBINOM(K1841,Coefficients!$B$31,RAND())</f>
        <v>0</v>
      </c>
      <c r="M1841" s="0" t="n">
        <f aca="true">CRITBINOM(MAX(0,J1841-K1841),1-Coefficients!$B$32,RAND())</f>
        <v>0</v>
      </c>
      <c r="N1841" s="0" t="n">
        <f aca="true">CRITBINOM(MAX(0,$C1841-J1841),MIN(0.6,Matchup!$C$40*SQRT($B1841)/(1-MIN(0.75,Matchup!$C$39*$B1841))),RAND())</f>
        <v>1</v>
      </c>
      <c r="O1841" s="0" t="n">
        <f aca="false">6*J1841+(J1841-K1841-M1841)+2*L1841+3*N1841</f>
        <v>38</v>
      </c>
      <c r="P1841" s="0" t="n">
        <f aca="true">RAND()</f>
        <v>0.699802246290743</v>
      </c>
      <c r="Q1841" s="0" t="n">
        <f aca="true">RAND()</f>
        <v>0.36635445142171</v>
      </c>
      <c r="R1841" s="0" t="n">
        <f aca="false">IF($I1841&lt;&gt;$O1841,0,IF(P1841&lt;Matchup!$B$39,7,IF(P1841&lt;Matchup!$B$39+Matchup!$B$40,3,0)))</f>
        <v>0</v>
      </c>
      <c r="S1841" s="0" t="n">
        <f aca="false">IF($I1841&lt;&gt;$O1841,0,IF(Q1841&lt;Matchup!$C$39,7,IF(Q1841&lt;Matchup!$C$39+Matchup!$C$40,3,0)))</f>
        <v>0</v>
      </c>
      <c r="T1841" s="0" t="n">
        <f aca="false">I1841+R1841</f>
        <v>34</v>
      </c>
      <c r="U1841" s="0" t="n">
        <f aca="false">O1841+S1841</f>
        <v>38</v>
      </c>
      <c r="V1841" s="0" t="n">
        <f aca="false">T1841-U1841</f>
        <v>-4</v>
      </c>
      <c r="W1841" s="0" t="n">
        <f aca="false">T1841+U1841</f>
        <v>72</v>
      </c>
    </row>
    <row r="1842" customFormat="false" ht="15" hidden="false" customHeight="false" outlineLevel="0" collapsed="false">
      <c r="A1842" s="0" t="n">
        <v>1839</v>
      </c>
      <c r="B1842" s="0" t="n">
        <f aca="true">NORMINV(RAND(),1,Coefficients!$B$22)</f>
        <v>1.04738820005708</v>
      </c>
      <c r="C1842" s="0" t="n">
        <f aca="true">MEDIAN(8,16,ROUND(NORMINV(RAND(),Coefficients!$B$20,Coefficients!$B$21),0))</f>
        <v>10</v>
      </c>
      <c r="D1842" s="0" t="n">
        <f aca="true">CRITBINOM($C1842,MIN(0.75,Matchup!$B$39*$B1842),RAND())</f>
        <v>1</v>
      </c>
      <c r="E1842" s="0" t="n">
        <f aca="true">CRITBINOM(D1842,Coefficients!$B$30,RAND())</f>
        <v>0</v>
      </c>
      <c r="F1842" s="0" t="n">
        <f aca="true">CRITBINOM(E1842,Coefficients!$B$31,RAND())</f>
        <v>0</v>
      </c>
      <c r="G1842" s="0" t="n">
        <f aca="true">CRITBINOM(MAX(0,D1842-E1842),1-Coefficients!$B$32,RAND())</f>
        <v>0</v>
      </c>
      <c r="H1842" s="0" t="n">
        <f aca="true">CRITBINOM(MAX(0,$C1842-D1842),MIN(0.6,Matchup!$B$40*SQRT($B1842)/(1-MIN(0.75,Matchup!$B$39*$B1842))),RAND())</f>
        <v>1</v>
      </c>
      <c r="I1842" s="0" t="n">
        <f aca="false">6*D1842+(D1842-E1842-G1842)+2*F1842+3*H1842</f>
        <v>10</v>
      </c>
      <c r="J1842" s="0" t="n">
        <f aca="true">CRITBINOM($C1842,MIN(0.75,Matchup!$C$39*$B1842),RAND())</f>
        <v>2</v>
      </c>
      <c r="K1842" s="0" t="n">
        <f aca="true">CRITBINOM(J1842,Coefficients!$B$30,RAND())</f>
        <v>0</v>
      </c>
      <c r="L1842" s="0" t="n">
        <f aca="true">CRITBINOM(K1842,Coefficients!$B$31,RAND())</f>
        <v>0</v>
      </c>
      <c r="M1842" s="0" t="n">
        <f aca="true">CRITBINOM(MAX(0,J1842-K1842),1-Coefficients!$B$32,RAND())</f>
        <v>0</v>
      </c>
      <c r="N1842" s="0" t="n">
        <f aca="true">CRITBINOM(MAX(0,$C1842-J1842),MIN(0.6,Matchup!$C$40*SQRT($B1842)/(1-MIN(0.75,Matchup!$C$39*$B1842))),RAND())</f>
        <v>1</v>
      </c>
      <c r="O1842" s="0" t="n">
        <f aca="false">6*J1842+(J1842-K1842-M1842)+2*L1842+3*N1842</f>
        <v>17</v>
      </c>
      <c r="P1842" s="0" t="n">
        <f aca="true">RAND()</f>
        <v>0.146153386958917</v>
      </c>
      <c r="Q1842" s="0" t="n">
        <f aca="true">RAND()</f>
        <v>0.719479875868615</v>
      </c>
      <c r="R1842" s="0" t="n">
        <f aca="false">IF($I1842&lt;&gt;$O1842,0,IF(P1842&lt;Matchup!$B$39,7,IF(P1842&lt;Matchup!$B$39+Matchup!$B$40,3,0)))</f>
        <v>0</v>
      </c>
      <c r="S1842" s="0" t="n">
        <f aca="false">IF($I1842&lt;&gt;$O1842,0,IF(Q1842&lt;Matchup!$C$39,7,IF(Q1842&lt;Matchup!$C$39+Matchup!$C$40,3,0)))</f>
        <v>0</v>
      </c>
      <c r="T1842" s="0" t="n">
        <f aca="false">I1842+R1842</f>
        <v>10</v>
      </c>
      <c r="U1842" s="0" t="n">
        <f aca="false">O1842+S1842</f>
        <v>17</v>
      </c>
      <c r="V1842" s="0" t="n">
        <f aca="false">T1842-U1842</f>
        <v>-7</v>
      </c>
      <c r="W1842" s="0" t="n">
        <f aca="false">T1842+U1842</f>
        <v>27</v>
      </c>
    </row>
    <row r="1843" customFormat="false" ht="15" hidden="false" customHeight="false" outlineLevel="0" collapsed="false">
      <c r="A1843" s="0" t="n">
        <v>1840</v>
      </c>
      <c r="B1843" s="0" t="n">
        <f aca="true">NORMINV(RAND(),1,Coefficients!$B$22)</f>
        <v>0.935375480648143</v>
      </c>
      <c r="C1843" s="0" t="n">
        <f aca="true">MEDIAN(8,16,ROUND(NORMINV(RAND(),Coefficients!$B$20,Coefficients!$B$21),0))</f>
        <v>13</v>
      </c>
      <c r="D1843" s="0" t="n">
        <f aca="true">CRITBINOM($C1843,MIN(0.75,Matchup!$B$39*$B1843),RAND())</f>
        <v>4</v>
      </c>
      <c r="E1843" s="0" t="n">
        <f aca="true">CRITBINOM(D1843,Coefficients!$B$30,RAND())</f>
        <v>0</v>
      </c>
      <c r="F1843" s="0" t="n">
        <f aca="true">CRITBINOM(E1843,Coefficients!$B$31,RAND())</f>
        <v>0</v>
      </c>
      <c r="G1843" s="0" t="n">
        <f aca="true">CRITBINOM(MAX(0,D1843-E1843),1-Coefficients!$B$32,RAND())</f>
        <v>0</v>
      </c>
      <c r="H1843" s="0" t="n">
        <f aca="true">CRITBINOM(MAX(0,$C1843-D1843),MIN(0.6,Matchup!$B$40*SQRT($B1843)/(1-MIN(0.75,Matchup!$B$39*$B1843))),RAND())</f>
        <v>3</v>
      </c>
      <c r="I1843" s="0" t="n">
        <f aca="false">6*D1843+(D1843-E1843-G1843)+2*F1843+3*H1843</f>
        <v>37</v>
      </c>
      <c r="J1843" s="0" t="n">
        <f aca="true">CRITBINOM($C1843,MIN(0.75,Matchup!$C$39*$B1843),RAND())</f>
        <v>2</v>
      </c>
      <c r="K1843" s="0" t="n">
        <f aca="true">CRITBINOM(J1843,Coefficients!$B$30,RAND())</f>
        <v>0</v>
      </c>
      <c r="L1843" s="0" t="n">
        <f aca="true">CRITBINOM(K1843,Coefficients!$B$31,RAND())</f>
        <v>0</v>
      </c>
      <c r="M1843" s="0" t="n">
        <f aca="true">CRITBINOM(MAX(0,J1843-K1843),1-Coefficients!$B$32,RAND())</f>
        <v>0</v>
      </c>
      <c r="N1843" s="0" t="n">
        <f aca="true">CRITBINOM(MAX(0,$C1843-J1843),MIN(0.6,Matchup!$C$40*SQRT($B1843)/(1-MIN(0.75,Matchup!$C$39*$B1843))),RAND())</f>
        <v>3</v>
      </c>
      <c r="O1843" s="0" t="n">
        <f aca="false">6*J1843+(J1843-K1843-M1843)+2*L1843+3*N1843</f>
        <v>23</v>
      </c>
      <c r="P1843" s="0" t="n">
        <f aca="true">RAND()</f>
        <v>0.806392613570946</v>
      </c>
      <c r="Q1843" s="0" t="n">
        <f aca="true">RAND()</f>
        <v>0.774885485041718</v>
      </c>
      <c r="R1843" s="0" t="n">
        <f aca="false">IF($I1843&lt;&gt;$O1843,0,IF(P1843&lt;Matchup!$B$39,7,IF(P1843&lt;Matchup!$B$39+Matchup!$B$40,3,0)))</f>
        <v>0</v>
      </c>
      <c r="S1843" s="0" t="n">
        <f aca="false">IF($I1843&lt;&gt;$O1843,0,IF(Q1843&lt;Matchup!$C$39,7,IF(Q1843&lt;Matchup!$C$39+Matchup!$C$40,3,0)))</f>
        <v>0</v>
      </c>
      <c r="T1843" s="0" t="n">
        <f aca="false">I1843+R1843</f>
        <v>37</v>
      </c>
      <c r="U1843" s="0" t="n">
        <f aca="false">O1843+S1843</f>
        <v>23</v>
      </c>
      <c r="V1843" s="0" t="n">
        <f aca="false">T1843-U1843</f>
        <v>14</v>
      </c>
      <c r="W1843" s="0" t="n">
        <f aca="false">T1843+U1843</f>
        <v>60</v>
      </c>
    </row>
    <row r="1844" customFormat="false" ht="15" hidden="false" customHeight="false" outlineLevel="0" collapsed="false">
      <c r="A1844" s="0" t="n">
        <v>1841</v>
      </c>
      <c r="B1844" s="0" t="n">
        <f aca="true">NORMINV(RAND(),1,Coefficients!$B$22)</f>
        <v>0.982852700861778</v>
      </c>
      <c r="C1844" s="0" t="n">
        <f aca="true">MEDIAN(8,16,ROUND(NORMINV(RAND(),Coefficients!$B$20,Coefficients!$B$21),0))</f>
        <v>9</v>
      </c>
      <c r="D1844" s="0" t="n">
        <f aca="true">CRITBINOM($C1844,MIN(0.75,Matchup!$B$39*$B1844),RAND())</f>
        <v>2</v>
      </c>
      <c r="E1844" s="0" t="n">
        <f aca="true">CRITBINOM(D1844,Coefficients!$B$30,RAND())</f>
        <v>0</v>
      </c>
      <c r="F1844" s="0" t="n">
        <f aca="true">CRITBINOM(E1844,Coefficients!$B$31,RAND())</f>
        <v>0</v>
      </c>
      <c r="G1844" s="0" t="n">
        <f aca="true">CRITBINOM(MAX(0,D1844-E1844),1-Coefficients!$B$32,RAND())</f>
        <v>0</v>
      </c>
      <c r="H1844" s="0" t="n">
        <f aca="true">CRITBINOM(MAX(0,$C1844-D1844),MIN(0.6,Matchup!$B$40*SQRT($B1844)/(1-MIN(0.75,Matchup!$B$39*$B1844))),RAND())</f>
        <v>0</v>
      </c>
      <c r="I1844" s="0" t="n">
        <f aca="false">6*D1844+(D1844-E1844-G1844)+2*F1844+3*H1844</f>
        <v>14</v>
      </c>
      <c r="J1844" s="0" t="n">
        <f aca="true">CRITBINOM($C1844,MIN(0.75,Matchup!$C$39*$B1844),RAND())</f>
        <v>4</v>
      </c>
      <c r="K1844" s="0" t="n">
        <f aca="true">CRITBINOM(J1844,Coefficients!$B$30,RAND())</f>
        <v>0</v>
      </c>
      <c r="L1844" s="0" t="n">
        <f aca="true">CRITBINOM(K1844,Coefficients!$B$31,RAND())</f>
        <v>0</v>
      </c>
      <c r="M1844" s="0" t="n">
        <f aca="true">CRITBINOM(MAX(0,J1844-K1844),1-Coefficients!$B$32,RAND())</f>
        <v>0</v>
      </c>
      <c r="N1844" s="0" t="n">
        <f aca="true">CRITBINOM(MAX(0,$C1844-J1844),MIN(0.6,Matchup!$C$40*SQRT($B1844)/(1-MIN(0.75,Matchup!$C$39*$B1844))),RAND())</f>
        <v>1</v>
      </c>
      <c r="O1844" s="0" t="n">
        <f aca="false">6*J1844+(J1844-K1844-M1844)+2*L1844+3*N1844</f>
        <v>31</v>
      </c>
      <c r="P1844" s="0" t="n">
        <f aca="true">RAND()</f>
        <v>0.691000107229946</v>
      </c>
      <c r="Q1844" s="0" t="n">
        <f aca="true">RAND()</f>
        <v>0.0151714457508102</v>
      </c>
      <c r="R1844" s="0" t="n">
        <f aca="false">IF($I1844&lt;&gt;$O1844,0,IF(P1844&lt;Matchup!$B$39,7,IF(P1844&lt;Matchup!$B$39+Matchup!$B$40,3,0)))</f>
        <v>0</v>
      </c>
      <c r="S1844" s="0" t="n">
        <f aca="false">IF($I1844&lt;&gt;$O1844,0,IF(Q1844&lt;Matchup!$C$39,7,IF(Q1844&lt;Matchup!$C$39+Matchup!$C$40,3,0)))</f>
        <v>0</v>
      </c>
      <c r="T1844" s="0" t="n">
        <f aca="false">I1844+R1844</f>
        <v>14</v>
      </c>
      <c r="U1844" s="0" t="n">
        <f aca="false">O1844+S1844</f>
        <v>31</v>
      </c>
      <c r="V1844" s="0" t="n">
        <f aca="false">T1844-U1844</f>
        <v>-17</v>
      </c>
      <c r="W1844" s="0" t="n">
        <f aca="false">T1844+U1844</f>
        <v>45</v>
      </c>
    </row>
    <row r="1845" customFormat="false" ht="15" hidden="false" customHeight="false" outlineLevel="0" collapsed="false">
      <c r="A1845" s="0" t="n">
        <v>1842</v>
      </c>
      <c r="B1845" s="0" t="n">
        <f aca="true">NORMINV(RAND(),1,Coefficients!$B$22)</f>
        <v>1.03372131212029</v>
      </c>
      <c r="C1845" s="0" t="n">
        <f aca="true">MEDIAN(8,16,ROUND(NORMINV(RAND(),Coefficients!$B$20,Coefficients!$B$21),0))</f>
        <v>10</v>
      </c>
      <c r="D1845" s="0" t="n">
        <f aca="true">CRITBINOM($C1845,MIN(0.75,Matchup!$B$39*$B1845),RAND())</f>
        <v>2</v>
      </c>
      <c r="E1845" s="0" t="n">
        <f aca="true">CRITBINOM(D1845,Coefficients!$B$30,RAND())</f>
        <v>0</v>
      </c>
      <c r="F1845" s="0" t="n">
        <f aca="true">CRITBINOM(E1845,Coefficients!$B$31,RAND())</f>
        <v>0</v>
      </c>
      <c r="G1845" s="0" t="n">
        <f aca="true">CRITBINOM(MAX(0,D1845-E1845),1-Coefficients!$B$32,RAND())</f>
        <v>0</v>
      </c>
      <c r="H1845" s="0" t="n">
        <f aca="true">CRITBINOM(MAX(0,$C1845-D1845),MIN(0.6,Matchup!$B$40*SQRT($B1845)/(1-MIN(0.75,Matchup!$B$39*$B1845))),RAND())</f>
        <v>0</v>
      </c>
      <c r="I1845" s="0" t="n">
        <f aca="false">6*D1845+(D1845-E1845-G1845)+2*F1845+3*H1845</f>
        <v>14</v>
      </c>
      <c r="J1845" s="0" t="n">
        <f aca="true">CRITBINOM($C1845,MIN(0.75,Matchup!$C$39*$B1845),RAND())</f>
        <v>3</v>
      </c>
      <c r="K1845" s="0" t="n">
        <f aca="true">CRITBINOM(J1845,Coefficients!$B$30,RAND())</f>
        <v>0</v>
      </c>
      <c r="L1845" s="0" t="n">
        <f aca="true">CRITBINOM(K1845,Coefficients!$B$31,RAND())</f>
        <v>0</v>
      </c>
      <c r="M1845" s="0" t="n">
        <f aca="true">CRITBINOM(MAX(0,J1845-K1845),1-Coefficients!$B$32,RAND())</f>
        <v>1</v>
      </c>
      <c r="N1845" s="0" t="n">
        <f aca="true">CRITBINOM(MAX(0,$C1845-J1845),MIN(0.6,Matchup!$C$40*SQRT($B1845)/(1-MIN(0.75,Matchup!$C$39*$B1845))),RAND())</f>
        <v>2</v>
      </c>
      <c r="O1845" s="0" t="n">
        <f aca="false">6*J1845+(J1845-K1845-M1845)+2*L1845+3*N1845</f>
        <v>26</v>
      </c>
      <c r="P1845" s="0" t="n">
        <f aca="true">RAND()</f>
        <v>0.121901628656835</v>
      </c>
      <c r="Q1845" s="0" t="n">
        <f aca="true">RAND()</f>
        <v>0.773308493473888</v>
      </c>
      <c r="R1845" s="0" t="n">
        <f aca="false">IF($I1845&lt;&gt;$O1845,0,IF(P1845&lt;Matchup!$B$39,7,IF(P1845&lt;Matchup!$B$39+Matchup!$B$40,3,0)))</f>
        <v>0</v>
      </c>
      <c r="S1845" s="0" t="n">
        <f aca="false">IF($I1845&lt;&gt;$O1845,0,IF(Q1845&lt;Matchup!$C$39,7,IF(Q1845&lt;Matchup!$C$39+Matchup!$C$40,3,0)))</f>
        <v>0</v>
      </c>
      <c r="T1845" s="0" t="n">
        <f aca="false">I1845+R1845</f>
        <v>14</v>
      </c>
      <c r="U1845" s="0" t="n">
        <f aca="false">O1845+S1845</f>
        <v>26</v>
      </c>
      <c r="V1845" s="0" t="n">
        <f aca="false">T1845-U1845</f>
        <v>-12</v>
      </c>
      <c r="W1845" s="0" t="n">
        <f aca="false">T1845+U1845</f>
        <v>40</v>
      </c>
    </row>
    <row r="1846" customFormat="false" ht="15" hidden="false" customHeight="false" outlineLevel="0" collapsed="false">
      <c r="A1846" s="0" t="n">
        <v>1843</v>
      </c>
      <c r="B1846" s="0" t="n">
        <f aca="true">NORMINV(RAND(),1,Coefficients!$B$22)</f>
        <v>0.996165609310889</v>
      </c>
      <c r="C1846" s="0" t="n">
        <f aca="true">MEDIAN(8,16,ROUND(NORMINV(RAND(),Coefficients!$B$20,Coefficients!$B$21),0))</f>
        <v>10</v>
      </c>
      <c r="D1846" s="0" t="n">
        <f aca="true">CRITBINOM($C1846,MIN(0.75,Matchup!$B$39*$B1846),RAND())</f>
        <v>3</v>
      </c>
      <c r="E1846" s="0" t="n">
        <f aca="true">CRITBINOM(D1846,Coefficients!$B$30,RAND())</f>
        <v>0</v>
      </c>
      <c r="F1846" s="0" t="n">
        <f aca="true">CRITBINOM(E1846,Coefficients!$B$31,RAND())</f>
        <v>0</v>
      </c>
      <c r="G1846" s="0" t="n">
        <f aca="true">CRITBINOM(MAX(0,D1846-E1846),1-Coefficients!$B$32,RAND())</f>
        <v>0</v>
      </c>
      <c r="H1846" s="0" t="n">
        <f aca="true">CRITBINOM(MAX(0,$C1846-D1846),MIN(0.6,Matchup!$B$40*SQRT($B1846)/(1-MIN(0.75,Matchup!$B$39*$B1846))),RAND())</f>
        <v>1</v>
      </c>
      <c r="I1846" s="0" t="n">
        <f aca="false">6*D1846+(D1846-E1846-G1846)+2*F1846+3*H1846</f>
        <v>24</v>
      </c>
      <c r="J1846" s="0" t="n">
        <f aca="true">CRITBINOM($C1846,MIN(0.75,Matchup!$C$39*$B1846),RAND())</f>
        <v>1</v>
      </c>
      <c r="K1846" s="0" t="n">
        <f aca="true">CRITBINOM(J1846,Coefficients!$B$30,RAND())</f>
        <v>0</v>
      </c>
      <c r="L1846" s="0" t="n">
        <f aca="true">CRITBINOM(K1846,Coefficients!$B$31,RAND())</f>
        <v>0</v>
      </c>
      <c r="M1846" s="0" t="n">
        <f aca="true">CRITBINOM(MAX(0,J1846-K1846),1-Coefficients!$B$32,RAND())</f>
        <v>0</v>
      </c>
      <c r="N1846" s="0" t="n">
        <f aca="true">CRITBINOM(MAX(0,$C1846-J1846),MIN(0.6,Matchup!$C$40*SQRT($B1846)/(1-MIN(0.75,Matchup!$C$39*$B1846))),RAND())</f>
        <v>1</v>
      </c>
      <c r="O1846" s="0" t="n">
        <f aca="false">6*J1846+(J1846-K1846-M1846)+2*L1846+3*N1846</f>
        <v>10</v>
      </c>
      <c r="P1846" s="0" t="n">
        <f aca="true">RAND()</f>
        <v>0.702180963447404</v>
      </c>
      <c r="Q1846" s="0" t="n">
        <f aca="true">RAND()</f>
        <v>0.737201231906947</v>
      </c>
      <c r="R1846" s="0" t="n">
        <f aca="false">IF($I1846&lt;&gt;$O1846,0,IF(P1846&lt;Matchup!$B$39,7,IF(P1846&lt;Matchup!$B$39+Matchup!$B$40,3,0)))</f>
        <v>0</v>
      </c>
      <c r="S1846" s="0" t="n">
        <f aca="false">IF($I1846&lt;&gt;$O1846,0,IF(Q1846&lt;Matchup!$C$39,7,IF(Q1846&lt;Matchup!$C$39+Matchup!$C$40,3,0)))</f>
        <v>0</v>
      </c>
      <c r="T1846" s="0" t="n">
        <f aca="false">I1846+R1846</f>
        <v>24</v>
      </c>
      <c r="U1846" s="0" t="n">
        <f aca="false">O1846+S1846</f>
        <v>10</v>
      </c>
      <c r="V1846" s="0" t="n">
        <f aca="false">T1846-U1846</f>
        <v>14</v>
      </c>
      <c r="W1846" s="0" t="n">
        <f aca="false">T1846+U1846</f>
        <v>34</v>
      </c>
    </row>
    <row r="1847" customFormat="false" ht="15" hidden="false" customHeight="false" outlineLevel="0" collapsed="false">
      <c r="A1847" s="0" t="n">
        <v>1844</v>
      </c>
      <c r="B1847" s="0" t="n">
        <f aca="true">NORMINV(RAND(),1,Coefficients!$B$22)</f>
        <v>0.81491292968054</v>
      </c>
      <c r="C1847" s="0" t="n">
        <f aca="true">MEDIAN(8,16,ROUND(NORMINV(RAND(),Coefficients!$B$20,Coefficients!$B$21),0))</f>
        <v>12</v>
      </c>
      <c r="D1847" s="0" t="n">
        <f aca="true">CRITBINOM($C1847,MIN(0.75,Matchup!$B$39*$B1847),RAND())</f>
        <v>2</v>
      </c>
      <c r="E1847" s="0" t="n">
        <f aca="true">CRITBINOM(D1847,Coefficients!$B$30,RAND())</f>
        <v>1</v>
      </c>
      <c r="F1847" s="0" t="n">
        <f aca="true">CRITBINOM(E1847,Coefficients!$B$31,RAND())</f>
        <v>0</v>
      </c>
      <c r="G1847" s="0" t="n">
        <f aca="true">CRITBINOM(MAX(0,D1847-E1847),1-Coefficients!$B$32,RAND())</f>
        <v>0</v>
      </c>
      <c r="H1847" s="0" t="n">
        <f aca="true">CRITBINOM(MAX(0,$C1847-D1847),MIN(0.6,Matchup!$B$40*SQRT($B1847)/(1-MIN(0.75,Matchup!$B$39*$B1847))),RAND())</f>
        <v>3</v>
      </c>
      <c r="I1847" s="0" t="n">
        <f aca="false">6*D1847+(D1847-E1847-G1847)+2*F1847+3*H1847</f>
        <v>22</v>
      </c>
      <c r="J1847" s="0" t="n">
        <f aca="true">CRITBINOM($C1847,MIN(0.75,Matchup!$C$39*$B1847),RAND())</f>
        <v>2</v>
      </c>
      <c r="K1847" s="0" t="n">
        <f aca="true">CRITBINOM(J1847,Coefficients!$B$30,RAND())</f>
        <v>0</v>
      </c>
      <c r="L1847" s="0" t="n">
        <f aca="true">CRITBINOM(K1847,Coefficients!$B$31,RAND())</f>
        <v>0</v>
      </c>
      <c r="M1847" s="0" t="n">
        <f aca="true">CRITBINOM(MAX(0,J1847-K1847),1-Coefficients!$B$32,RAND())</f>
        <v>0</v>
      </c>
      <c r="N1847" s="0" t="n">
        <f aca="true">CRITBINOM(MAX(0,$C1847-J1847),MIN(0.6,Matchup!$C$40*SQRT($B1847)/(1-MIN(0.75,Matchup!$C$39*$B1847))),RAND())</f>
        <v>2</v>
      </c>
      <c r="O1847" s="0" t="n">
        <f aca="false">6*J1847+(J1847-K1847-M1847)+2*L1847+3*N1847</f>
        <v>20</v>
      </c>
      <c r="P1847" s="0" t="n">
        <f aca="true">RAND()</f>
        <v>0.880198688027615</v>
      </c>
      <c r="Q1847" s="0" t="n">
        <f aca="true">RAND()</f>
        <v>0.943927876157069</v>
      </c>
      <c r="R1847" s="0" t="n">
        <f aca="false">IF($I1847&lt;&gt;$O1847,0,IF(P1847&lt;Matchup!$B$39,7,IF(P1847&lt;Matchup!$B$39+Matchup!$B$40,3,0)))</f>
        <v>0</v>
      </c>
      <c r="S1847" s="0" t="n">
        <f aca="false">IF($I1847&lt;&gt;$O1847,0,IF(Q1847&lt;Matchup!$C$39,7,IF(Q1847&lt;Matchup!$C$39+Matchup!$C$40,3,0)))</f>
        <v>0</v>
      </c>
      <c r="T1847" s="0" t="n">
        <f aca="false">I1847+R1847</f>
        <v>22</v>
      </c>
      <c r="U1847" s="0" t="n">
        <f aca="false">O1847+S1847</f>
        <v>20</v>
      </c>
      <c r="V1847" s="0" t="n">
        <f aca="false">T1847-U1847</f>
        <v>2</v>
      </c>
      <c r="W1847" s="0" t="n">
        <f aca="false">T1847+U1847</f>
        <v>42</v>
      </c>
    </row>
    <row r="1848" customFormat="false" ht="15" hidden="false" customHeight="false" outlineLevel="0" collapsed="false">
      <c r="A1848" s="0" t="n">
        <v>1845</v>
      </c>
      <c r="B1848" s="0" t="n">
        <f aca="true">NORMINV(RAND(),1,Coefficients!$B$22)</f>
        <v>1.02063202881705</v>
      </c>
      <c r="C1848" s="0" t="n">
        <f aca="true">MEDIAN(8,16,ROUND(NORMINV(RAND(),Coefficients!$B$20,Coefficients!$B$21),0))</f>
        <v>12</v>
      </c>
      <c r="D1848" s="0" t="n">
        <f aca="true">CRITBINOM($C1848,MIN(0.75,Matchup!$B$39*$B1848),RAND())</f>
        <v>4</v>
      </c>
      <c r="E1848" s="0" t="n">
        <f aca="true">CRITBINOM(D1848,Coefficients!$B$30,RAND())</f>
        <v>0</v>
      </c>
      <c r="F1848" s="0" t="n">
        <f aca="true">CRITBINOM(E1848,Coefficients!$B$31,RAND())</f>
        <v>0</v>
      </c>
      <c r="G1848" s="0" t="n">
        <f aca="true">CRITBINOM(MAX(0,D1848-E1848),1-Coefficients!$B$32,RAND())</f>
        <v>1</v>
      </c>
      <c r="H1848" s="0" t="n">
        <f aca="true">CRITBINOM(MAX(0,$C1848-D1848),MIN(0.6,Matchup!$B$40*SQRT($B1848)/(1-MIN(0.75,Matchup!$B$39*$B1848))),RAND())</f>
        <v>2</v>
      </c>
      <c r="I1848" s="0" t="n">
        <f aca="false">6*D1848+(D1848-E1848-G1848)+2*F1848+3*H1848</f>
        <v>33</v>
      </c>
      <c r="J1848" s="0" t="n">
        <f aca="true">CRITBINOM($C1848,MIN(0.75,Matchup!$C$39*$B1848),RAND())</f>
        <v>3</v>
      </c>
      <c r="K1848" s="0" t="n">
        <f aca="true">CRITBINOM(J1848,Coefficients!$B$30,RAND())</f>
        <v>0</v>
      </c>
      <c r="L1848" s="0" t="n">
        <f aca="true">CRITBINOM(K1848,Coefficients!$B$31,RAND())</f>
        <v>0</v>
      </c>
      <c r="M1848" s="0" t="n">
        <f aca="true">CRITBINOM(MAX(0,J1848-K1848),1-Coefficients!$B$32,RAND())</f>
        <v>0</v>
      </c>
      <c r="N1848" s="0" t="n">
        <f aca="true">CRITBINOM(MAX(0,$C1848-J1848),MIN(0.6,Matchup!$C$40*SQRT($B1848)/(1-MIN(0.75,Matchup!$C$39*$B1848))),RAND())</f>
        <v>4</v>
      </c>
      <c r="O1848" s="0" t="n">
        <f aca="false">6*J1848+(J1848-K1848-M1848)+2*L1848+3*N1848</f>
        <v>33</v>
      </c>
      <c r="P1848" s="0" t="n">
        <f aca="true">RAND()</f>
        <v>0.120787861283036</v>
      </c>
      <c r="Q1848" s="0" t="n">
        <f aca="true">RAND()</f>
        <v>0.283717895156174</v>
      </c>
      <c r="R1848" s="0" t="n">
        <f aca="false">IF($I1848&lt;&gt;$O1848,0,IF(P1848&lt;Matchup!$B$39,7,IF(P1848&lt;Matchup!$B$39+Matchup!$B$40,3,0)))</f>
        <v>7</v>
      </c>
      <c r="S1848" s="0" t="n">
        <f aca="false">IF($I1848&lt;&gt;$O1848,0,IF(Q1848&lt;Matchup!$C$39,7,IF(Q1848&lt;Matchup!$C$39+Matchup!$C$40,3,0)))</f>
        <v>3</v>
      </c>
      <c r="T1848" s="0" t="n">
        <f aca="false">I1848+R1848</f>
        <v>40</v>
      </c>
      <c r="U1848" s="0" t="n">
        <f aca="false">O1848+S1848</f>
        <v>36</v>
      </c>
      <c r="V1848" s="0" t="n">
        <f aca="false">T1848-U1848</f>
        <v>4</v>
      </c>
      <c r="W1848" s="0" t="n">
        <f aca="false">T1848+U1848</f>
        <v>76</v>
      </c>
    </row>
    <row r="1849" customFormat="false" ht="15" hidden="false" customHeight="false" outlineLevel="0" collapsed="false">
      <c r="A1849" s="0" t="n">
        <v>1846</v>
      </c>
      <c r="B1849" s="0" t="n">
        <f aca="true">NORMINV(RAND(),1,Coefficients!$B$22)</f>
        <v>0.964717896785153</v>
      </c>
      <c r="C1849" s="0" t="n">
        <f aca="true">MEDIAN(8,16,ROUND(NORMINV(RAND(),Coefficients!$B$20,Coefficients!$B$21),0))</f>
        <v>12</v>
      </c>
      <c r="D1849" s="0" t="n">
        <f aca="true">CRITBINOM($C1849,MIN(0.75,Matchup!$B$39*$B1849),RAND())</f>
        <v>1</v>
      </c>
      <c r="E1849" s="0" t="n">
        <f aca="true">CRITBINOM(D1849,Coefficients!$B$30,RAND())</f>
        <v>0</v>
      </c>
      <c r="F1849" s="0" t="n">
        <f aca="true">CRITBINOM(E1849,Coefficients!$B$31,RAND())</f>
        <v>0</v>
      </c>
      <c r="G1849" s="0" t="n">
        <f aca="true">CRITBINOM(MAX(0,D1849-E1849),1-Coefficients!$B$32,RAND())</f>
        <v>0</v>
      </c>
      <c r="H1849" s="0" t="n">
        <f aca="true">CRITBINOM(MAX(0,$C1849-D1849),MIN(0.6,Matchup!$B$40*SQRT($B1849)/(1-MIN(0.75,Matchup!$B$39*$B1849))),RAND())</f>
        <v>5</v>
      </c>
      <c r="I1849" s="0" t="n">
        <f aca="false">6*D1849+(D1849-E1849-G1849)+2*F1849+3*H1849</f>
        <v>22</v>
      </c>
      <c r="J1849" s="0" t="n">
        <f aca="true">CRITBINOM($C1849,MIN(0.75,Matchup!$C$39*$B1849),RAND())</f>
        <v>1</v>
      </c>
      <c r="K1849" s="0" t="n">
        <f aca="true">CRITBINOM(J1849,Coefficients!$B$30,RAND())</f>
        <v>0</v>
      </c>
      <c r="L1849" s="0" t="n">
        <f aca="true">CRITBINOM(K1849,Coefficients!$B$31,RAND())</f>
        <v>0</v>
      </c>
      <c r="M1849" s="0" t="n">
        <f aca="true">CRITBINOM(MAX(0,J1849-K1849),1-Coefficients!$B$32,RAND())</f>
        <v>0</v>
      </c>
      <c r="N1849" s="0" t="n">
        <f aca="true">CRITBINOM(MAX(0,$C1849-J1849),MIN(0.6,Matchup!$C$40*SQRT($B1849)/(1-MIN(0.75,Matchup!$C$39*$B1849))),RAND())</f>
        <v>2</v>
      </c>
      <c r="O1849" s="0" t="n">
        <f aca="false">6*J1849+(J1849-K1849-M1849)+2*L1849+3*N1849</f>
        <v>13</v>
      </c>
      <c r="P1849" s="0" t="n">
        <f aca="true">RAND()</f>
        <v>0.363468782375862</v>
      </c>
      <c r="Q1849" s="0" t="n">
        <f aca="true">RAND()</f>
        <v>0.968718419905324</v>
      </c>
      <c r="R1849" s="0" t="n">
        <f aca="false">IF($I1849&lt;&gt;$O1849,0,IF(P1849&lt;Matchup!$B$39,7,IF(P1849&lt;Matchup!$B$39+Matchup!$B$40,3,0)))</f>
        <v>0</v>
      </c>
      <c r="S1849" s="0" t="n">
        <f aca="false">IF($I1849&lt;&gt;$O1849,0,IF(Q1849&lt;Matchup!$C$39,7,IF(Q1849&lt;Matchup!$C$39+Matchup!$C$40,3,0)))</f>
        <v>0</v>
      </c>
      <c r="T1849" s="0" t="n">
        <f aca="false">I1849+R1849</f>
        <v>22</v>
      </c>
      <c r="U1849" s="0" t="n">
        <f aca="false">O1849+S1849</f>
        <v>13</v>
      </c>
      <c r="V1849" s="0" t="n">
        <f aca="false">T1849-U1849</f>
        <v>9</v>
      </c>
      <c r="W1849" s="0" t="n">
        <f aca="false">T1849+U1849</f>
        <v>35</v>
      </c>
    </row>
    <row r="1850" customFormat="false" ht="15" hidden="false" customHeight="false" outlineLevel="0" collapsed="false">
      <c r="A1850" s="0" t="n">
        <v>1847</v>
      </c>
      <c r="B1850" s="0" t="n">
        <f aca="true">NORMINV(RAND(),1,Coefficients!$B$22)</f>
        <v>0.946003646562541</v>
      </c>
      <c r="C1850" s="0" t="n">
        <f aca="true">MEDIAN(8,16,ROUND(NORMINV(RAND(),Coefficients!$B$20,Coefficients!$B$21),0))</f>
        <v>11</v>
      </c>
      <c r="D1850" s="0" t="n">
        <f aca="true">CRITBINOM($C1850,MIN(0.75,Matchup!$B$39*$B1850),RAND())</f>
        <v>2</v>
      </c>
      <c r="E1850" s="0" t="n">
        <f aca="true">CRITBINOM(D1850,Coefficients!$B$30,RAND())</f>
        <v>0</v>
      </c>
      <c r="F1850" s="0" t="n">
        <f aca="true">CRITBINOM(E1850,Coefficients!$B$31,RAND())</f>
        <v>0</v>
      </c>
      <c r="G1850" s="0" t="n">
        <f aca="true">CRITBINOM(MAX(0,D1850-E1850),1-Coefficients!$B$32,RAND())</f>
        <v>0</v>
      </c>
      <c r="H1850" s="0" t="n">
        <f aca="true">CRITBINOM(MAX(0,$C1850-D1850),MIN(0.6,Matchup!$B$40*SQRT($B1850)/(1-MIN(0.75,Matchup!$B$39*$B1850))),RAND())</f>
        <v>0</v>
      </c>
      <c r="I1850" s="0" t="n">
        <f aca="false">6*D1850+(D1850-E1850-G1850)+2*F1850+3*H1850</f>
        <v>14</v>
      </c>
      <c r="J1850" s="0" t="n">
        <f aca="true">CRITBINOM($C1850,MIN(0.75,Matchup!$C$39*$B1850),RAND())</f>
        <v>2</v>
      </c>
      <c r="K1850" s="0" t="n">
        <f aca="true">CRITBINOM(J1850,Coefficients!$B$30,RAND())</f>
        <v>1</v>
      </c>
      <c r="L1850" s="0" t="n">
        <f aca="true">CRITBINOM(K1850,Coefficients!$B$31,RAND())</f>
        <v>0</v>
      </c>
      <c r="M1850" s="0" t="n">
        <f aca="true">CRITBINOM(MAX(0,J1850-K1850),1-Coefficients!$B$32,RAND())</f>
        <v>1</v>
      </c>
      <c r="N1850" s="0" t="n">
        <f aca="true">CRITBINOM(MAX(0,$C1850-J1850),MIN(0.6,Matchup!$C$40*SQRT($B1850)/(1-MIN(0.75,Matchup!$C$39*$B1850))),RAND())</f>
        <v>4</v>
      </c>
      <c r="O1850" s="0" t="n">
        <f aca="false">6*J1850+(J1850-K1850-M1850)+2*L1850+3*N1850</f>
        <v>24</v>
      </c>
      <c r="P1850" s="0" t="n">
        <f aca="true">RAND()</f>
        <v>0.0702501523342445</v>
      </c>
      <c r="Q1850" s="0" t="n">
        <f aca="true">RAND()</f>
        <v>0.952765344218641</v>
      </c>
      <c r="R1850" s="0" t="n">
        <f aca="false">IF($I1850&lt;&gt;$O1850,0,IF(P1850&lt;Matchup!$B$39,7,IF(P1850&lt;Matchup!$B$39+Matchup!$B$40,3,0)))</f>
        <v>0</v>
      </c>
      <c r="S1850" s="0" t="n">
        <f aca="false">IF($I1850&lt;&gt;$O1850,0,IF(Q1850&lt;Matchup!$C$39,7,IF(Q1850&lt;Matchup!$C$39+Matchup!$C$40,3,0)))</f>
        <v>0</v>
      </c>
      <c r="T1850" s="0" t="n">
        <f aca="false">I1850+R1850</f>
        <v>14</v>
      </c>
      <c r="U1850" s="0" t="n">
        <f aca="false">O1850+S1850</f>
        <v>24</v>
      </c>
      <c r="V1850" s="0" t="n">
        <f aca="false">T1850-U1850</f>
        <v>-10</v>
      </c>
      <c r="W1850" s="0" t="n">
        <f aca="false">T1850+U1850</f>
        <v>38</v>
      </c>
    </row>
    <row r="1851" customFormat="false" ht="15" hidden="false" customHeight="false" outlineLevel="0" collapsed="false">
      <c r="A1851" s="0" t="n">
        <v>1848</v>
      </c>
      <c r="B1851" s="0" t="n">
        <f aca="true">NORMINV(RAND(),1,Coefficients!$B$22)</f>
        <v>0.826599662128573</v>
      </c>
      <c r="C1851" s="0" t="n">
        <f aca="true">MEDIAN(8,16,ROUND(NORMINV(RAND(),Coefficients!$B$20,Coefficients!$B$21),0))</f>
        <v>11</v>
      </c>
      <c r="D1851" s="0" t="n">
        <f aca="true">CRITBINOM($C1851,MIN(0.75,Matchup!$B$39*$B1851),RAND())</f>
        <v>3</v>
      </c>
      <c r="E1851" s="0" t="n">
        <f aca="true">CRITBINOM(D1851,Coefficients!$B$30,RAND())</f>
        <v>0</v>
      </c>
      <c r="F1851" s="0" t="n">
        <f aca="true">CRITBINOM(E1851,Coefficients!$B$31,RAND())</f>
        <v>0</v>
      </c>
      <c r="G1851" s="0" t="n">
        <f aca="true">CRITBINOM(MAX(0,D1851-E1851),1-Coefficients!$B$32,RAND())</f>
        <v>0</v>
      </c>
      <c r="H1851" s="0" t="n">
        <f aca="true">CRITBINOM(MAX(0,$C1851-D1851),MIN(0.6,Matchup!$B$40*SQRT($B1851)/(1-MIN(0.75,Matchup!$B$39*$B1851))),RAND())</f>
        <v>0</v>
      </c>
      <c r="I1851" s="0" t="n">
        <f aca="false">6*D1851+(D1851-E1851-G1851)+2*F1851+3*H1851</f>
        <v>21</v>
      </c>
      <c r="J1851" s="0" t="n">
        <f aca="true">CRITBINOM($C1851,MIN(0.75,Matchup!$C$39*$B1851),RAND())</f>
        <v>2</v>
      </c>
      <c r="K1851" s="0" t="n">
        <f aca="true">CRITBINOM(J1851,Coefficients!$B$30,RAND())</f>
        <v>0</v>
      </c>
      <c r="L1851" s="0" t="n">
        <f aca="true">CRITBINOM(K1851,Coefficients!$B$31,RAND())</f>
        <v>0</v>
      </c>
      <c r="M1851" s="0" t="n">
        <f aca="true">CRITBINOM(MAX(0,J1851-K1851),1-Coefficients!$B$32,RAND())</f>
        <v>1</v>
      </c>
      <c r="N1851" s="0" t="n">
        <f aca="true">CRITBINOM(MAX(0,$C1851-J1851),MIN(0.6,Matchup!$C$40*SQRT($B1851)/(1-MIN(0.75,Matchup!$C$39*$B1851))),RAND())</f>
        <v>1</v>
      </c>
      <c r="O1851" s="0" t="n">
        <f aca="false">6*J1851+(J1851-K1851-M1851)+2*L1851+3*N1851</f>
        <v>16</v>
      </c>
      <c r="P1851" s="0" t="n">
        <f aca="true">RAND()</f>
        <v>0.717425650349374</v>
      </c>
      <c r="Q1851" s="0" t="n">
        <f aca="true">RAND()</f>
        <v>0.866150829072401</v>
      </c>
      <c r="R1851" s="0" t="n">
        <f aca="false">IF($I1851&lt;&gt;$O1851,0,IF(P1851&lt;Matchup!$B$39,7,IF(P1851&lt;Matchup!$B$39+Matchup!$B$40,3,0)))</f>
        <v>0</v>
      </c>
      <c r="S1851" s="0" t="n">
        <f aca="false">IF($I1851&lt;&gt;$O1851,0,IF(Q1851&lt;Matchup!$C$39,7,IF(Q1851&lt;Matchup!$C$39+Matchup!$C$40,3,0)))</f>
        <v>0</v>
      </c>
      <c r="T1851" s="0" t="n">
        <f aca="false">I1851+R1851</f>
        <v>21</v>
      </c>
      <c r="U1851" s="0" t="n">
        <f aca="false">O1851+S1851</f>
        <v>16</v>
      </c>
      <c r="V1851" s="0" t="n">
        <f aca="false">T1851-U1851</f>
        <v>5</v>
      </c>
      <c r="W1851" s="0" t="n">
        <f aca="false">T1851+U1851</f>
        <v>37</v>
      </c>
    </row>
    <row r="1852" customFormat="false" ht="15" hidden="false" customHeight="false" outlineLevel="0" collapsed="false">
      <c r="A1852" s="0" t="n">
        <v>1849</v>
      </c>
      <c r="B1852" s="0" t="n">
        <f aca="true">NORMINV(RAND(),1,Coefficients!$B$22)</f>
        <v>1.04519123769442</v>
      </c>
      <c r="C1852" s="0" t="n">
        <f aca="true">MEDIAN(8,16,ROUND(NORMINV(RAND(),Coefficients!$B$20,Coefficients!$B$21),0))</f>
        <v>11</v>
      </c>
      <c r="D1852" s="0" t="n">
        <f aca="true">CRITBINOM($C1852,MIN(0.75,Matchup!$B$39*$B1852),RAND())</f>
        <v>3</v>
      </c>
      <c r="E1852" s="0" t="n">
        <f aca="true">CRITBINOM(D1852,Coefficients!$B$30,RAND())</f>
        <v>0</v>
      </c>
      <c r="F1852" s="0" t="n">
        <f aca="true">CRITBINOM(E1852,Coefficients!$B$31,RAND())</f>
        <v>0</v>
      </c>
      <c r="G1852" s="0" t="n">
        <f aca="true">CRITBINOM(MAX(0,D1852-E1852),1-Coefficients!$B$32,RAND())</f>
        <v>0</v>
      </c>
      <c r="H1852" s="0" t="n">
        <f aca="true">CRITBINOM(MAX(0,$C1852-D1852),MIN(0.6,Matchup!$B$40*SQRT($B1852)/(1-MIN(0.75,Matchup!$B$39*$B1852))),RAND())</f>
        <v>0</v>
      </c>
      <c r="I1852" s="0" t="n">
        <f aca="false">6*D1852+(D1852-E1852-G1852)+2*F1852+3*H1852</f>
        <v>21</v>
      </c>
      <c r="J1852" s="0" t="n">
        <f aca="true">CRITBINOM($C1852,MIN(0.75,Matchup!$C$39*$B1852),RAND())</f>
        <v>1</v>
      </c>
      <c r="K1852" s="0" t="n">
        <f aca="true">CRITBINOM(J1852,Coefficients!$B$30,RAND())</f>
        <v>0</v>
      </c>
      <c r="L1852" s="0" t="n">
        <f aca="true">CRITBINOM(K1852,Coefficients!$B$31,RAND())</f>
        <v>0</v>
      </c>
      <c r="M1852" s="0" t="n">
        <f aca="true">CRITBINOM(MAX(0,J1852-K1852),1-Coefficients!$B$32,RAND())</f>
        <v>0</v>
      </c>
      <c r="N1852" s="0" t="n">
        <f aca="true">CRITBINOM(MAX(0,$C1852-J1852),MIN(0.6,Matchup!$C$40*SQRT($B1852)/(1-MIN(0.75,Matchup!$C$39*$B1852))),RAND())</f>
        <v>2</v>
      </c>
      <c r="O1852" s="0" t="n">
        <f aca="false">6*J1852+(J1852-K1852-M1852)+2*L1852+3*N1852</f>
        <v>13</v>
      </c>
      <c r="P1852" s="0" t="n">
        <f aca="true">RAND()</f>
        <v>0.0596302493132412</v>
      </c>
      <c r="Q1852" s="0" t="n">
        <f aca="true">RAND()</f>
        <v>0.779336240311366</v>
      </c>
      <c r="R1852" s="0" t="n">
        <f aca="false">IF($I1852&lt;&gt;$O1852,0,IF(P1852&lt;Matchup!$B$39,7,IF(P1852&lt;Matchup!$B$39+Matchup!$B$40,3,0)))</f>
        <v>0</v>
      </c>
      <c r="S1852" s="0" t="n">
        <f aca="false">IF($I1852&lt;&gt;$O1852,0,IF(Q1852&lt;Matchup!$C$39,7,IF(Q1852&lt;Matchup!$C$39+Matchup!$C$40,3,0)))</f>
        <v>0</v>
      </c>
      <c r="T1852" s="0" t="n">
        <f aca="false">I1852+R1852</f>
        <v>21</v>
      </c>
      <c r="U1852" s="0" t="n">
        <f aca="false">O1852+S1852</f>
        <v>13</v>
      </c>
      <c r="V1852" s="0" t="n">
        <f aca="false">T1852-U1852</f>
        <v>8</v>
      </c>
      <c r="W1852" s="0" t="n">
        <f aca="false">T1852+U1852</f>
        <v>34</v>
      </c>
    </row>
    <row r="1853" customFormat="false" ht="15" hidden="false" customHeight="false" outlineLevel="0" collapsed="false">
      <c r="A1853" s="0" t="n">
        <v>1850</v>
      </c>
      <c r="B1853" s="0" t="n">
        <f aca="true">NORMINV(RAND(),1,Coefficients!$B$22)</f>
        <v>0.988266704863034</v>
      </c>
      <c r="C1853" s="0" t="n">
        <f aca="true">MEDIAN(8,16,ROUND(NORMINV(RAND(),Coefficients!$B$20,Coefficients!$B$21),0))</f>
        <v>9</v>
      </c>
      <c r="D1853" s="0" t="n">
        <f aca="true">CRITBINOM($C1853,MIN(0.75,Matchup!$B$39*$B1853),RAND())</f>
        <v>5</v>
      </c>
      <c r="E1853" s="0" t="n">
        <f aca="true">CRITBINOM(D1853,Coefficients!$B$30,RAND())</f>
        <v>0</v>
      </c>
      <c r="F1853" s="0" t="n">
        <f aca="true">CRITBINOM(E1853,Coefficients!$B$31,RAND())</f>
        <v>0</v>
      </c>
      <c r="G1853" s="0" t="n">
        <f aca="true">CRITBINOM(MAX(0,D1853-E1853),1-Coefficients!$B$32,RAND())</f>
        <v>0</v>
      </c>
      <c r="H1853" s="0" t="n">
        <f aca="true">CRITBINOM(MAX(0,$C1853-D1853),MIN(0.6,Matchup!$B$40*SQRT($B1853)/(1-MIN(0.75,Matchup!$B$39*$B1853))),RAND())</f>
        <v>0</v>
      </c>
      <c r="I1853" s="0" t="n">
        <f aca="false">6*D1853+(D1853-E1853-G1853)+2*F1853+3*H1853</f>
        <v>35</v>
      </c>
      <c r="J1853" s="0" t="n">
        <f aca="true">CRITBINOM($C1853,MIN(0.75,Matchup!$C$39*$B1853),RAND())</f>
        <v>0</v>
      </c>
      <c r="K1853" s="0" t="n">
        <f aca="true">CRITBINOM(J1853,Coefficients!$B$30,RAND())</f>
        <v>0</v>
      </c>
      <c r="L1853" s="0" t="n">
        <f aca="true">CRITBINOM(K1853,Coefficients!$B$31,RAND())</f>
        <v>0</v>
      </c>
      <c r="M1853" s="0" t="n">
        <f aca="true">CRITBINOM(MAX(0,J1853-K1853),1-Coefficients!$B$32,RAND())</f>
        <v>0</v>
      </c>
      <c r="N1853" s="0" t="n">
        <f aca="true">CRITBINOM(MAX(0,$C1853-J1853),MIN(0.6,Matchup!$C$40*SQRT($B1853)/(1-MIN(0.75,Matchup!$C$39*$B1853))),RAND())</f>
        <v>2</v>
      </c>
      <c r="O1853" s="0" t="n">
        <f aca="false">6*J1853+(J1853-K1853-M1853)+2*L1853+3*N1853</f>
        <v>6</v>
      </c>
      <c r="P1853" s="0" t="n">
        <f aca="true">RAND()</f>
        <v>0.381150629028309</v>
      </c>
      <c r="Q1853" s="0" t="n">
        <f aca="true">RAND()</f>
        <v>0.305782509828572</v>
      </c>
      <c r="R1853" s="0" t="n">
        <f aca="false">IF($I1853&lt;&gt;$O1853,0,IF(P1853&lt;Matchup!$B$39,7,IF(P1853&lt;Matchup!$B$39+Matchup!$B$40,3,0)))</f>
        <v>0</v>
      </c>
      <c r="S1853" s="0" t="n">
        <f aca="false">IF($I1853&lt;&gt;$O1853,0,IF(Q1853&lt;Matchup!$C$39,7,IF(Q1853&lt;Matchup!$C$39+Matchup!$C$40,3,0)))</f>
        <v>0</v>
      </c>
      <c r="T1853" s="0" t="n">
        <f aca="false">I1853+R1853</f>
        <v>35</v>
      </c>
      <c r="U1853" s="0" t="n">
        <f aca="false">O1853+S1853</f>
        <v>6</v>
      </c>
      <c r="V1853" s="0" t="n">
        <f aca="false">T1853-U1853</f>
        <v>29</v>
      </c>
      <c r="W1853" s="0" t="n">
        <f aca="false">T1853+U1853</f>
        <v>41</v>
      </c>
    </row>
    <row r="1854" customFormat="false" ht="15" hidden="false" customHeight="false" outlineLevel="0" collapsed="false">
      <c r="A1854" s="0" t="n">
        <v>1851</v>
      </c>
      <c r="B1854" s="0" t="n">
        <f aca="true">NORMINV(RAND(),1,Coefficients!$B$22)</f>
        <v>0.945462889644164</v>
      </c>
      <c r="C1854" s="0" t="n">
        <f aca="true">MEDIAN(8,16,ROUND(NORMINV(RAND(),Coefficients!$B$20,Coefficients!$B$21),0))</f>
        <v>10</v>
      </c>
      <c r="D1854" s="0" t="n">
        <f aca="true">CRITBINOM($C1854,MIN(0.75,Matchup!$B$39*$B1854),RAND())</f>
        <v>5</v>
      </c>
      <c r="E1854" s="0" t="n">
        <f aca="true">CRITBINOM(D1854,Coefficients!$B$30,RAND())</f>
        <v>0</v>
      </c>
      <c r="F1854" s="0" t="n">
        <f aca="true">CRITBINOM(E1854,Coefficients!$B$31,RAND())</f>
        <v>0</v>
      </c>
      <c r="G1854" s="0" t="n">
        <f aca="true">CRITBINOM(MAX(0,D1854-E1854),1-Coefficients!$B$32,RAND())</f>
        <v>0</v>
      </c>
      <c r="H1854" s="0" t="n">
        <f aca="true">CRITBINOM(MAX(0,$C1854-D1854),MIN(0.6,Matchup!$B$40*SQRT($B1854)/(1-MIN(0.75,Matchup!$B$39*$B1854))),RAND())</f>
        <v>0</v>
      </c>
      <c r="I1854" s="0" t="n">
        <f aca="false">6*D1854+(D1854-E1854-G1854)+2*F1854+3*H1854</f>
        <v>35</v>
      </c>
      <c r="J1854" s="0" t="n">
        <f aca="true">CRITBINOM($C1854,MIN(0.75,Matchup!$C$39*$B1854),RAND())</f>
        <v>2</v>
      </c>
      <c r="K1854" s="0" t="n">
        <f aca="true">CRITBINOM(J1854,Coefficients!$B$30,RAND())</f>
        <v>0</v>
      </c>
      <c r="L1854" s="0" t="n">
        <f aca="true">CRITBINOM(K1854,Coefficients!$B$31,RAND())</f>
        <v>0</v>
      </c>
      <c r="M1854" s="0" t="n">
        <f aca="true">CRITBINOM(MAX(0,J1854-K1854),1-Coefficients!$B$32,RAND())</f>
        <v>0</v>
      </c>
      <c r="N1854" s="0" t="n">
        <f aca="true">CRITBINOM(MAX(0,$C1854-J1854),MIN(0.6,Matchup!$C$40*SQRT($B1854)/(1-MIN(0.75,Matchup!$C$39*$B1854))),RAND())</f>
        <v>1</v>
      </c>
      <c r="O1854" s="0" t="n">
        <f aca="false">6*J1854+(J1854-K1854-M1854)+2*L1854+3*N1854</f>
        <v>17</v>
      </c>
      <c r="P1854" s="0" t="n">
        <f aca="true">RAND()</f>
        <v>0.876898159559545</v>
      </c>
      <c r="Q1854" s="0" t="n">
        <f aca="true">RAND()</f>
        <v>0.574956938688089</v>
      </c>
      <c r="R1854" s="0" t="n">
        <f aca="false">IF($I1854&lt;&gt;$O1854,0,IF(P1854&lt;Matchup!$B$39,7,IF(P1854&lt;Matchup!$B$39+Matchup!$B$40,3,0)))</f>
        <v>0</v>
      </c>
      <c r="S1854" s="0" t="n">
        <f aca="false">IF($I1854&lt;&gt;$O1854,0,IF(Q1854&lt;Matchup!$C$39,7,IF(Q1854&lt;Matchup!$C$39+Matchup!$C$40,3,0)))</f>
        <v>0</v>
      </c>
      <c r="T1854" s="0" t="n">
        <f aca="false">I1854+R1854</f>
        <v>35</v>
      </c>
      <c r="U1854" s="0" t="n">
        <f aca="false">O1854+S1854</f>
        <v>17</v>
      </c>
      <c r="V1854" s="0" t="n">
        <f aca="false">T1854-U1854</f>
        <v>18</v>
      </c>
      <c r="W1854" s="0" t="n">
        <f aca="false">T1854+U1854</f>
        <v>52</v>
      </c>
    </row>
    <row r="1855" customFormat="false" ht="15" hidden="false" customHeight="false" outlineLevel="0" collapsed="false">
      <c r="A1855" s="0" t="n">
        <v>1852</v>
      </c>
      <c r="B1855" s="0" t="n">
        <f aca="true">NORMINV(RAND(),1,Coefficients!$B$22)</f>
        <v>0.892617154236206</v>
      </c>
      <c r="C1855" s="0" t="n">
        <f aca="true">MEDIAN(8,16,ROUND(NORMINV(RAND(),Coefficients!$B$20,Coefficients!$B$21),0))</f>
        <v>11</v>
      </c>
      <c r="D1855" s="0" t="n">
        <f aca="true">CRITBINOM($C1855,MIN(0.75,Matchup!$B$39*$B1855),RAND())</f>
        <v>3</v>
      </c>
      <c r="E1855" s="0" t="n">
        <f aca="true">CRITBINOM(D1855,Coefficients!$B$30,RAND())</f>
        <v>0</v>
      </c>
      <c r="F1855" s="0" t="n">
        <f aca="true">CRITBINOM(E1855,Coefficients!$B$31,RAND())</f>
        <v>0</v>
      </c>
      <c r="G1855" s="0" t="n">
        <f aca="true">CRITBINOM(MAX(0,D1855-E1855),1-Coefficients!$B$32,RAND())</f>
        <v>0</v>
      </c>
      <c r="H1855" s="0" t="n">
        <f aca="true">CRITBINOM(MAX(0,$C1855-D1855),MIN(0.6,Matchup!$B$40*SQRT($B1855)/(1-MIN(0.75,Matchup!$B$39*$B1855))),RAND())</f>
        <v>1</v>
      </c>
      <c r="I1855" s="0" t="n">
        <f aca="false">6*D1855+(D1855-E1855-G1855)+2*F1855+3*H1855</f>
        <v>24</v>
      </c>
      <c r="J1855" s="0" t="n">
        <f aca="true">CRITBINOM($C1855,MIN(0.75,Matchup!$C$39*$B1855),RAND())</f>
        <v>2</v>
      </c>
      <c r="K1855" s="0" t="n">
        <f aca="true">CRITBINOM(J1855,Coefficients!$B$30,RAND())</f>
        <v>0</v>
      </c>
      <c r="L1855" s="0" t="n">
        <f aca="true">CRITBINOM(K1855,Coefficients!$B$31,RAND())</f>
        <v>0</v>
      </c>
      <c r="M1855" s="0" t="n">
        <f aca="true">CRITBINOM(MAX(0,J1855-K1855),1-Coefficients!$B$32,RAND())</f>
        <v>0</v>
      </c>
      <c r="N1855" s="0" t="n">
        <f aca="true">CRITBINOM(MAX(0,$C1855-J1855),MIN(0.6,Matchup!$C$40*SQRT($B1855)/(1-MIN(0.75,Matchup!$C$39*$B1855))),RAND())</f>
        <v>3</v>
      </c>
      <c r="O1855" s="0" t="n">
        <f aca="false">6*J1855+(J1855-K1855-M1855)+2*L1855+3*N1855</f>
        <v>23</v>
      </c>
      <c r="P1855" s="0" t="n">
        <f aca="true">RAND()</f>
        <v>0.0890170028641075</v>
      </c>
      <c r="Q1855" s="0" t="n">
        <f aca="true">RAND()</f>
        <v>0.815427211947738</v>
      </c>
      <c r="R1855" s="0" t="n">
        <f aca="false">IF($I1855&lt;&gt;$O1855,0,IF(P1855&lt;Matchup!$B$39,7,IF(P1855&lt;Matchup!$B$39+Matchup!$B$40,3,0)))</f>
        <v>0</v>
      </c>
      <c r="S1855" s="0" t="n">
        <f aca="false">IF($I1855&lt;&gt;$O1855,0,IF(Q1855&lt;Matchup!$C$39,7,IF(Q1855&lt;Matchup!$C$39+Matchup!$C$40,3,0)))</f>
        <v>0</v>
      </c>
      <c r="T1855" s="0" t="n">
        <f aca="false">I1855+R1855</f>
        <v>24</v>
      </c>
      <c r="U1855" s="0" t="n">
        <f aca="false">O1855+S1855</f>
        <v>23</v>
      </c>
      <c r="V1855" s="0" t="n">
        <f aca="false">T1855-U1855</f>
        <v>1</v>
      </c>
      <c r="W1855" s="0" t="n">
        <f aca="false">T1855+U1855</f>
        <v>47</v>
      </c>
    </row>
    <row r="1856" customFormat="false" ht="15" hidden="false" customHeight="false" outlineLevel="0" collapsed="false">
      <c r="A1856" s="0" t="n">
        <v>1853</v>
      </c>
      <c r="B1856" s="0" t="n">
        <f aca="true">NORMINV(RAND(),1,Coefficients!$B$22)</f>
        <v>0.966367607140701</v>
      </c>
      <c r="C1856" s="0" t="n">
        <f aca="true">MEDIAN(8,16,ROUND(NORMINV(RAND(),Coefficients!$B$20,Coefficients!$B$21),0))</f>
        <v>11</v>
      </c>
      <c r="D1856" s="0" t="n">
        <f aca="true">CRITBINOM($C1856,MIN(0.75,Matchup!$B$39*$B1856),RAND())</f>
        <v>2</v>
      </c>
      <c r="E1856" s="0" t="n">
        <f aca="true">CRITBINOM(D1856,Coefficients!$B$30,RAND())</f>
        <v>0</v>
      </c>
      <c r="F1856" s="0" t="n">
        <f aca="true">CRITBINOM(E1856,Coefficients!$B$31,RAND())</f>
        <v>0</v>
      </c>
      <c r="G1856" s="0" t="n">
        <f aca="true">CRITBINOM(MAX(0,D1856-E1856),1-Coefficients!$B$32,RAND())</f>
        <v>0</v>
      </c>
      <c r="H1856" s="0" t="n">
        <f aca="true">CRITBINOM(MAX(0,$C1856-D1856),MIN(0.6,Matchup!$B$40*SQRT($B1856)/(1-MIN(0.75,Matchup!$B$39*$B1856))),RAND())</f>
        <v>2</v>
      </c>
      <c r="I1856" s="0" t="n">
        <f aca="false">6*D1856+(D1856-E1856-G1856)+2*F1856+3*H1856</f>
        <v>20</v>
      </c>
      <c r="J1856" s="0" t="n">
        <f aca="true">CRITBINOM($C1856,MIN(0.75,Matchup!$C$39*$B1856),RAND())</f>
        <v>2</v>
      </c>
      <c r="K1856" s="0" t="n">
        <f aca="true">CRITBINOM(J1856,Coefficients!$B$30,RAND())</f>
        <v>0</v>
      </c>
      <c r="L1856" s="0" t="n">
        <f aca="true">CRITBINOM(K1856,Coefficients!$B$31,RAND())</f>
        <v>0</v>
      </c>
      <c r="M1856" s="0" t="n">
        <f aca="true">CRITBINOM(MAX(0,J1856-K1856),1-Coefficients!$B$32,RAND())</f>
        <v>0</v>
      </c>
      <c r="N1856" s="0" t="n">
        <f aca="true">CRITBINOM(MAX(0,$C1856-J1856),MIN(0.6,Matchup!$C$40*SQRT($B1856)/(1-MIN(0.75,Matchup!$C$39*$B1856))),RAND())</f>
        <v>2</v>
      </c>
      <c r="O1856" s="0" t="n">
        <f aca="false">6*J1856+(J1856-K1856-M1856)+2*L1856+3*N1856</f>
        <v>20</v>
      </c>
      <c r="P1856" s="0" t="n">
        <f aca="true">RAND()</f>
        <v>0.320064159119863</v>
      </c>
      <c r="Q1856" s="0" t="n">
        <f aca="true">RAND()</f>
        <v>0.951759529203185</v>
      </c>
      <c r="R1856" s="0" t="n">
        <f aca="false">IF($I1856&lt;&gt;$O1856,0,IF(P1856&lt;Matchup!$B$39,7,IF(P1856&lt;Matchup!$B$39+Matchup!$B$40,3,0)))</f>
        <v>3</v>
      </c>
      <c r="S1856" s="0" t="n">
        <f aca="false">IF($I1856&lt;&gt;$O1856,0,IF(Q1856&lt;Matchup!$C$39,7,IF(Q1856&lt;Matchup!$C$39+Matchup!$C$40,3,0)))</f>
        <v>0</v>
      </c>
      <c r="T1856" s="0" t="n">
        <f aca="false">I1856+R1856</f>
        <v>23</v>
      </c>
      <c r="U1856" s="0" t="n">
        <f aca="false">O1856+S1856</f>
        <v>20</v>
      </c>
      <c r="V1856" s="0" t="n">
        <f aca="false">T1856-U1856</f>
        <v>3</v>
      </c>
      <c r="W1856" s="0" t="n">
        <f aca="false">T1856+U1856</f>
        <v>43</v>
      </c>
    </row>
    <row r="1857" customFormat="false" ht="15" hidden="false" customHeight="false" outlineLevel="0" collapsed="false">
      <c r="A1857" s="0" t="n">
        <v>1854</v>
      </c>
      <c r="B1857" s="0" t="n">
        <f aca="true">NORMINV(RAND(),1,Coefficients!$B$22)</f>
        <v>0.958310040422825</v>
      </c>
      <c r="C1857" s="0" t="n">
        <f aca="true">MEDIAN(8,16,ROUND(NORMINV(RAND(),Coefficients!$B$20,Coefficients!$B$21),0))</f>
        <v>10</v>
      </c>
      <c r="D1857" s="0" t="n">
        <f aca="true">CRITBINOM($C1857,MIN(0.75,Matchup!$B$39*$B1857),RAND())</f>
        <v>4</v>
      </c>
      <c r="E1857" s="0" t="n">
        <f aca="true">CRITBINOM(D1857,Coefficients!$B$30,RAND())</f>
        <v>0</v>
      </c>
      <c r="F1857" s="0" t="n">
        <f aca="true">CRITBINOM(E1857,Coefficients!$B$31,RAND())</f>
        <v>0</v>
      </c>
      <c r="G1857" s="0" t="n">
        <f aca="true">CRITBINOM(MAX(0,D1857-E1857),1-Coefficients!$B$32,RAND())</f>
        <v>0</v>
      </c>
      <c r="H1857" s="0" t="n">
        <f aca="true">CRITBINOM(MAX(0,$C1857-D1857),MIN(0.6,Matchup!$B$40*SQRT($B1857)/(1-MIN(0.75,Matchup!$B$39*$B1857))),RAND())</f>
        <v>2</v>
      </c>
      <c r="I1857" s="0" t="n">
        <f aca="false">6*D1857+(D1857-E1857-G1857)+2*F1857+3*H1857</f>
        <v>34</v>
      </c>
      <c r="J1857" s="0" t="n">
        <f aca="true">CRITBINOM($C1857,MIN(0.75,Matchup!$C$39*$B1857),RAND())</f>
        <v>1</v>
      </c>
      <c r="K1857" s="0" t="n">
        <f aca="true">CRITBINOM(J1857,Coefficients!$B$30,RAND())</f>
        <v>0</v>
      </c>
      <c r="L1857" s="0" t="n">
        <f aca="true">CRITBINOM(K1857,Coefficients!$B$31,RAND())</f>
        <v>0</v>
      </c>
      <c r="M1857" s="0" t="n">
        <f aca="true">CRITBINOM(MAX(0,J1857-K1857),1-Coefficients!$B$32,RAND())</f>
        <v>0</v>
      </c>
      <c r="N1857" s="0" t="n">
        <f aca="true">CRITBINOM(MAX(0,$C1857-J1857),MIN(0.6,Matchup!$C$40*SQRT($B1857)/(1-MIN(0.75,Matchup!$C$39*$B1857))),RAND())</f>
        <v>2</v>
      </c>
      <c r="O1857" s="0" t="n">
        <f aca="false">6*J1857+(J1857-K1857-M1857)+2*L1857+3*N1857</f>
        <v>13</v>
      </c>
      <c r="P1857" s="0" t="n">
        <f aca="true">RAND()</f>
        <v>0.60109151445916</v>
      </c>
      <c r="Q1857" s="0" t="n">
        <f aca="true">RAND()</f>
        <v>0.528773231440157</v>
      </c>
      <c r="R1857" s="0" t="n">
        <f aca="false">IF($I1857&lt;&gt;$O1857,0,IF(P1857&lt;Matchup!$B$39,7,IF(P1857&lt;Matchup!$B$39+Matchup!$B$40,3,0)))</f>
        <v>0</v>
      </c>
      <c r="S1857" s="0" t="n">
        <f aca="false">IF($I1857&lt;&gt;$O1857,0,IF(Q1857&lt;Matchup!$C$39,7,IF(Q1857&lt;Matchup!$C$39+Matchup!$C$40,3,0)))</f>
        <v>0</v>
      </c>
      <c r="T1857" s="0" t="n">
        <f aca="false">I1857+R1857</f>
        <v>34</v>
      </c>
      <c r="U1857" s="0" t="n">
        <f aca="false">O1857+S1857</f>
        <v>13</v>
      </c>
      <c r="V1857" s="0" t="n">
        <f aca="false">T1857-U1857</f>
        <v>21</v>
      </c>
      <c r="W1857" s="0" t="n">
        <f aca="false">T1857+U1857</f>
        <v>47</v>
      </c>
    </row>
    <row r="1858" customFormat="false" ht="15" hidden="false" customHeight="false" outlineLevel="0" collapsed="false">
      <c r="A1858" s="0" t="n">
        <v>1855</v>
      </c>
      <c r="B1858" s="0" t="n">
        <f aca="true">NORMINV(RAND(),1,Coefficients!$B$22)</f>
        <v>0.860152010212717</v>
      </c>
      <c r="C1858" s="0" t="n">
        <f aca="true">MEDIAN(8,16,ROUND(NORMINV(RAND(),Coefficients!$B$20,Coefficients!$B$21),0))</f>
        <v>11</v>
      </c>
      <c r="D1858" s="0" t="n">
        <f aca="true">CRITBINOM($C1858,MIN(0.75,Matchup!$B$39*$B1858),RAND())</f>
        <v>1</v>
      </c>
      <c r="E1858" s="0" t="n">
        <f aca="true">CRITBINOM(D1858,Coefficients!$B$30,RAND())</f>
        <v>0</v>
      </c>
      <c r="F1858" s="0" t="n">
        <f aca="true">CRITBINOM(E1858,Coefficients!$B$31,RAND())</f>
        <v>0</v>
      </c>
      <c r="G1858" s="0" t="n">
        <f aca="true">CRITBINOM(MAX(0,D1858-E1858),1-Coefficients!$B$32,RAND())</f>
        <v>0</v>
      </c>
      <c r="H1858" s="0" t="n">
        <f aca="true">CRITBINOM(MAX(0,$C1858-D1858),MIN(0.6,Matchup!$B$40*SQRT($B1858)/(1-MIN(0.75,Matchup!$B$39*$B1858))),RAND())</f>
        <v>1</v>
      </c>
      <c r="I1858" s="0" t="n">
        <f aca="false">6*D1858+(D1858-E1858-G1858)+2*F1858+3*H1858</f>
        <v>10</v>
      </c>
      <c r="J1858" s="0" t="n">
        <f aca="true">CRITBINOM($C1858,MIN(0.75,Matchup!$C$39*$B1858),RAND())</f>
        <v>4</v>
      </c>
      <c r="K1858" s="0" t="n">
        <f aca="true">CRITBINOM(J1858,Coefficients!$B$30,RAND())</f>
        <v>0</v>
      </c>
      <c r="L1858" s="0" t="n">
        <f aca="true">CRITBINOM(K1858,Coefficients!$B$31,RAND())</f>
        <v>0</v>
      </c>
      <c r="M1858" s="0" t="n">
        <f aca="true">CRITBINOM(MAX(0,J1858-K1858),1-Coefficients!$B$32,RAND())</f>
        <v>0</v>
      </c>
      <c r="N1858" s="0" t="n">
        <f aca="true">CRITBINOM(MAX(0,$C1858-J1858),MIN(0.6,Matchup!$C$40*SQRT($B1858)/(1-MIN(0.75,Matchup!$C$39*$B1858))),RAND())</f>
        <v>1</v>
      </c>
      <c r="O1858" s="0" t="n">
        <f aca="false">6*J1858+(J1858-K1858-M1858)+2*L1858+3*N1858</f>
        <v>31</v>
      </c>
      <c r="P1858" s="0" t="n">
        <f aca="true">RAND()</f>
        <v>0.519345757566389</v>
      </c>
      <c r="Q1858" s="0" t="n">
        <f aca="true">RAND()</f>
        <v>0.296140650983471</v>
      </c>
      <c r="R1858" s="0" t="n">
        <f aca="false">IF($I1858&lt;&gt;$O1858,0,IF(P1858&lt;Matchup!$B$39,7,IF(P1858&lt;Matchup!$B$39+Matchup!$B$40,3,0)))</f>
        <v>0</v>
      </c>
      <c r="S1858" s="0" t="n">
        <f aca="false">IF($I1858&lt;&gt;$O1858,0,IF(Q1858&lt;Matchup!$C$39,7,IF(Q1858&lt;Matchup!$C$39+Matchup!$C$40,3,0)))</f>
        <v>0</v>
      </c>
      <c r="T1858" s="0" t="n">
        <f aca="false">I1858+R1858</f>
        <v>10</v>
      </c>
      <c r="U1858" s="0" t="n">
        <f aca="false">O1858+S1858</f>
        <v>31</v>
      </c>
      <c r="V1858" s="0" t="n">
        <f aca="false">T1858-U1858</f>
        <v>-21</v>
      </c>
      <c r="W1858" s="0" t="n">
        <f aca="false">T1858+U1858</f>
        <v>41</v>
      </c>
    </row>
    <row r="1859" customFormat="false" ht="15" hidden="false" customHeight="false" outlineLevel="0" collapsed="false">
      <c r="A1859" s="0" t="n">
        <v>1856</v>
      </c>
      <c r="B1859" s="0" t="n">
        <f aca="true">NORMINV(RAND(),1,Coefficients!$B$22)</f>
        <v>0.982589674587071</v>
      </c>
      <c r="C1859" s="0" t="n">
        <f aca="true">MEDIAN(8,16,ROUND(NORMINV(RAND(),Coefficients!$B$20,Coefficients!$B$21),0))</f>
        <v>11</v>
      </c>
      <c r="D1859" s="0" t="n">
        <f aca="true">CRITBINOM($C1859,MIN(0.75,Matchup!$B$39*$B1859),RAND())</f>
        <v>6</v>
      </c>
      <c r="E1859" s="0" t="n">
        <f aca="true">CRITBINOM(D1859,Coefficients!$B$30,RAND())</f>
        <v>0</v>
      </c>
      <c r="F1859" s="0" t="n">
        <f aca="true">CRITBINOM(E1859,Coefficients!$B$31,RAND())</f>
        <v>0</v>
      </c>
      <c r="G1859" s="0" t="n">
        <f aca="true">CRITBINOM(MAX(0,D1859-E1859),1-Coefficients!$B$32,RAND())</f>
        <v>0</v>
      </c>
      <c r="H1859" s="0" t="n">
        <f aca="true">CRITBINOM(MAX(0,$C1859-D1859),MIN(0.6,Matchup!$B$40*SQRT($B1859)/(1-MIN(0.75,Matchup!$B$39*$B1859))),RAND())</f>
        <v>1</v>
      </c>
      <c r="I1859" s="0" t="n">
        <f aca="false">6*D1859+(D1859-E1859-G1859)+2*F1859+3*H1859</f>
        <v>45</v>
      </c>
      <c r="J1859" s="0" t="n">
        <f aca="true">CRITBINOM($C1859,MIN(0.75,Matchup!$C$39*$B1859),RAND())</f>
        <v>1</v>
      </c>
      <c r="K1859" s="0" t="n">
        <f aca="true">CRITBINOM(J1859,Coefficients!$B$30,RAND())</f>
        <v>0</v>
      </c>
      <c r="L1859" s="0" t="n">
        <f aca="true">CRITBINOM(K1859,Coefficients!$B$31,RAND())</f>
        <v>0</v>
      </c>
      <c r="M1859" s="0" t="n">
        <f aca="true">CRITBINOM(MAX(0,J1859-K1859),1-Coefficients!$B$32,RAND())</f>
        <v>0</v>
      </c>
      <c r="N1859" s="0" t="n">
        <f aca="true">CRITBINOM(MAX(0,$C1859-J1859),MIN(0.6,Matchup!$C$40*SQRT($B1859)/(1-MIN(0.75,Matchup!$C$39*$B1859))),RAND())</f>
        <v>0</v>
      </c>
      <c r="O1859" s="0" t="n">
        <f aca="false">6*J1859+(J1859-K1859-M1859)+2*L1859+3*N1859</f>
        <v>7</v>
      </c>
      <c r="P1859" s="0" t="n">
        <f aca="true">RAND()</f>
        <v>0.00821865564959051</v>
      </c>
      <c r="Q1859" s="0" t="n">
        <f aca="true">RAND()</f>
        <v>0.335567675815377</v>
      </c>
      <c r="R1859" s="0" t="n">
        <f aca="false">IF($I1859&lt;&gt;$O1859,0,IF(P1859&lt;Matchup!$B$39,7,IF(P1859&lt;Matchup!$B$39+Matchup!$B$40,3,0)))</f>
        <v>0</v>
      </c>
      <c r="S1859" s="0" t="n">
        <f aca="false">IF($I1859&lt;&gt;$O1859,0,IF(Q1859&lt;Matchup!$C$39,7,IF(Q1859&lt;Matchup!$C$39+Matchup!$C$40,3,0)))</f>
        <v>0</v>
      </c>
      <c r="T1859" s="0" t="n">
        <f aca="false">I1859+R1859</f>
        <v>45</v>
      </c>
      <c r="U1859" s="0" t="n">
        <f aca="false">O1859+S1859</f>
        <v>7</v>
      </c>
      <c r="V1859" s="0" t="n">
        <f aca="false">T1859-U1859</f>
        <v>38</v>
      </c>
      <c r="W1859" s="0" t="n">
        <f aca="false">T1859+U1859</f>
        <v>52</v>
      </c>
    </row>
    <row r="1860" customFormat="false" ht="15" hidden="false" customHeight="false" outlineLevel="0" collapsed="false">
      <c r="A1860" s="0" t="n">
        <v>1857</v>
      </c>
      <c r="B1860" s="0" t="n">
        <f aca="true">NORMINV(RAND(),1,Coefficients!$B$22)</f>
        <v>0.963056938313555</v>
      </c>
      <c r="C1860" s="0" t="n">
        <f aca="true">MEDIAN(8,16,ROUND(NORMINV(RAND(),Coefficients!$B$20,Coefficients!$B$21),0))</f>
        <v>11</v>
      </c>
      <c r="D1860" s="0" t="n">
        <f aca="true">CRITBINOM($C1860,MIN(0.75,Matchup!$B$39*$B1860),RAND())</f>
        <v>2</v>
      </c>
      <c r="E1860" s="0" t="n">
        <f aca="true">CRITBINOM(D1860,Coefficients!$B$30,RAND())</f>
        <v>0</v>
      </c>
      <c r="F1860" s="0" t="n">
        <f aca="true">CRITBINOM(E1860,Coefficients!$B$31,RAND())</f>
        <v>0</v>
      </c>
      <c r="G1860" s="0" t="n">
        <f aca="true">CRITBINOM(MAX(0,D1860-E1860),1-Coefficients!$B$32,RAND())</f>
        <v>0</v>
      </c>
      <c r="H1860" s="0" t="n">
        <f aca="true">CRITBINOM(MAX(0,$C1860-D1860),MIN(0.6,Matchup!$B$40*SQRT($B1860)/(1-MIN(0.75,Matchup!$B$39*$B1860))),RAND())</f>
        <v>3</v>
      </c>
      <c r="I1860" s="0" t="n">
        <f aca="false">6*D1860+(D1860-E1860-G1860)+2*F1860+3*H1860</f>
        <v>23</v>
      </c>
      <c r="J1860" s="0" t="n">
        <f aca="true">CRITBINOM($C1860,MIN(0.75,Matchup!$C$39*$B1860),RAND())</f>
        <v>2</v>
      </c>
      <c r="K1860" s="0" t="n">
        <f aca="true">CRITBINOM(J1860,Coefficients!$B$30,RAND())</f>
        <v>0</v>
      </c>
      <c r="L1860" s="0" t="n">
        <f aca="true">CRITBINOM(K1860,Coefficients!$B$31,RAND())</f>
        <v>0</v>
      </c>
      <c r="M1860" s="0" t="n">
        <f aca="true">CRITBINOM(MAX(0,J1860-K1860),1-Coefficients!$B$32,RAND())</f>
        <v>0</v>
      </c>
      <c r="N1860" s="0" t="n">
        <f aca="true">CRITBINOM(MAX(0,$C1860-J1860),MIN(0.6,Matchup!$C$40*SQRT($B1860)/(1-MIN(0.75,Matchup!$C$39*$B1860))),RAND())</f>
        <v>1</v>
      </c>
      <c r="O1860" s="0" t="n">
        <f aca="false">6*J1860+(J1860-K1860-M1860)+2*L1860+3*N1860</f>
        <v>17</v>
      </c>
      <c r="P1860" s="0" t="n">
        <f aca="true">RAND()</f>
        <v>0.847862206631792</v>
      </c>
      <c r="Q1860" s="0" t="n">
        <f aca="true">RAND()</f>
        <v>0.0907322136262504</v>
      </c>
      <c r="R1860" s="0" t="n">
        <f aca="false">IF($I1860&lt;&gt;$O1860,0,IF(P1860&lt;Matchup!$B$39,7,IF(P1860&lt;Matchup!$B$39+Matchup!$B$40,3,0)))</f>
        <v>0</v>
      </c>
      <c r="S1860" s="0" t="n">
        <f aca="false">IF($I1860&lt;&gt;$O1860,0,IF(Q1860&lt;Matchup!$C$39,7,IF(Q1860&lt;Matchup!$C$39+Matchup!$C$40,3,0)))</f>
        <v>0</v>
      </c>
      <c r="T1860" s="0" t="n">
        <f aca="false">I1860+R1860</f>
        <v>23</v>
      </c>
      <c r="U1860" s="0" t="n">
        <f aca="false">O1860+S1860</f>
        <v>17</v>
      </c>
      <c r="V1860" s="0" t="n">
        <f aca="false">T1860-U1860</f>
        <v>6</v>
      </c>
      <c r="W1860" s="0" t="n">
        <f aca="false">T1860+U1860</f>
        <v>40</v>
      </c>
    </row>
    <row r="1861" customFormat="false" ht="15" hidden="false" customHeight="false" outlineLevel="0" collapsed="false">
      <c r="A1861" s="0" t="n">
        <v>1858</v>
      </c>
      <c r="B1861" s="0" t="n">
        <f aca="true">NORMINV(RAND(),1,Coefficients!$B$22)</f>
        <v>0.894872279988558</v>
      </c>
      <c r="C1861" s="0" t="n">
        <f aca="true">MEDIAN(8,16,ROUND(NORMINV(RAND(),Coefficients!$B$20,Coefficients!$B$21),0))</f>
        <v>12</v>
      </c>
      <c r="D1861" s="0" t="n">
        <f aca="true">CRITBINOM($C1861,MIN(0.75,Matchup!$B$39*$B1861),RAND())</f>
        <v>3</v>
      </c>
      <c r="E1861" s="0" t="n">
        <f aca="true">CRITBINOM(D1861,Coefficients!$B$30,RAND())</f>
        <v>1</v>
      </c>
      <c r="F1861" s="0" t="n">
        <f aca="true">CRITBINOM(E1861,Coefficients!$B$31,RAND())</f>
        <v>1</v>
      </c>
      <c r="G1861" s="0" t="n">
        <f aca="true">CRITBINOM(MAX(0,D1861-E1861),1-Coefficients!$B$32,RAND())</f>
        <v>0</v>
      </c>
      <c r="H1861" s="0" t="n">
        <f aca="true">CRITBINOM(MAX(0,$C1861-D1861),MIN(0.6,Matchup!$B$40*SQRT($B1861)/(1-MIN(0.75,Matchup!$B$39*$B1861))),RAND())</f>
        <v>0</v>
      </c>
      <c r="I1861" s="0" t="n">
        <f aca="false">6*D1861+(D1861-E1861-G1861)+2*F1861+3*H1861</f>
        <v>22</v>
      </c>
      <c r="J1861" s="0" t="n">
        <f aca="true">CRITBINOM($C1861,MIN(0.75,Matchup!$C$39*$B1861),RAND())</f>
        <v>2</v>
      </c>
      <c r="K1861" s="0" t="n">
        <f aca="true">CRITBINOM(J1861,Coefficients!$B$30,RAND())</f>
        <v>0</v>
      </c>
      <c r="L1861" s="0" t="n">
        <f aca="true">CRITBINOM(K1861,Coefficients!$B$31,RAND())</f>
        <v>0</v>
      </c>
      <c r="M1861" s="0" t="n">
        <f aca="true">CRITBINOM(MAX(0,J1861-K1861),1-Coefficients!$B$32,RAND())</f>
        <v>0</v>
      </c>
      <c r="N1861" s="0" t="n">
        <f aca="true">CRITBINOM(MAX(0,$C1861-J1861),MIN(0.6,Matchup!$C$40*SQRT($B1861)/(1-MIN(0.75,Matchup!$C$39*$B1861))),RAND())</f>
        <v>1</v>
      </c>
      <c r="O1861" s="0" t="n">
        <f aca="false">6*J1861+(J1861-K1861-M1861)+2*L1861+3*N1861</f>
        <v>17</v>
      </c>
      <c r="P1861" s="0" t="n">
        <f aca="true">RAND()</f>
        <v>0.285698372599357</v>
      </c>
      <c r="Q1861" s="0" t="n">
        <f aca="true">RAND()</f>
        <v>0.372012043635657</v>
      </c>
      <c r="R1861" s="0" t="n">
        <f aca="false">IF($I1861&lt;&gt;$O1861,0,IF(P1861&lt;Matchup!$B$39,7,IF(P1861&lt;Matchup!$B$39+Matchup!$B$40,3,0)))</f>
        <v>0</v>
      </c>
      <c r="S1861" s="0" t="n">
        <f aca="false">IF($I1861&lt;&gt;$O1861,0,IF(Q1861&lt;Matchup!$C$39,7,IF(Q1861&lt;Matchup!$C$39+Matchup!$C$40,3,0)))</f>
        <v>0</v>
      </c>
      <c r="T1861" s="0" t="n">
        <f aca="false">I1861+R1861</f>
        <v>22</v>
      </c>
      <c r="U1861" s="0" t="n">
        <f aca="false">O1861+S1861</f>
        <v>17</v>
      </c>
      <c r="V1861" s="0" t="n">
        <f aca="false">T1861-U1861</f>
        <v>5</v>
      </c>
      <c r="W1861" s="0" t="n">
        <f aca="false">T1861+U1861</f>
        <v>39</v>
      </c>
    </row>
    <row r="1862" customFormat="false" ht="15" hidden="false" customHeight="false" outlineLevel="0" collapsed="false">
      <c r="A1862" s="0" t="n">
        <v>1859</v>
      </c>
      <c r="B1862" s="0" t="n">
        <f aca="true">NORMINV(RAND(),1,Coefficients!$B$22)</f>
        <v>1.00345729486657</v>
      </c>
      <c r="C1862" s="0" t="n">
        <f aca="true">MEDIAN(8,16,ROUND(NORMINV(RAND(),Coefficients!$B$20,Coefficients!$B$21),0))</f>
        <v>12</v>
      </c>
      <c r="D1862" s="0" t="n">
        <f aca="true">CRITBINOM($C1862,MIN(0.75,Matchup!$B$39*$B1862),RAND())</f>
        <v>3</v>
      </c>
      <c r="E1862" s="0" t="n">
        <f aca="true">CRITBINOM(D1862,Coefficients!$B$30,RAND())</f>
        <v>1</v>
      </c>
      <c r="F1862" s="0" t="n">
        <f aca="true">CRITBINOM(E1862,Coefficients!$B$31,RAND())</f>
        <v>0</v>
      </c>
      <c r="G1862" s="0" t="n">
        <f aca="true">CRITBINOM(MAX(0,D1862-E1862),1-Coefficients!$B$32,RAND())</f>
        <v>0</v>
      </c>
      <c r="H1862" s="0" t="n">
        <f aca="true">CRITBINOM(MAX(0,$C1862-D1862),MIN(0.6,Matchup!$B$40*SQRT($B1862)/(1-MIN(0.75,Matchup!$B$39*$B1862))),RAND())</f>
        <v>1</v>
      </c>
      <c r="I1862" s="0" t="n">
        <f aca="false">6*D1862+(D1862-E1862-G1862)+2*F1862+3*H1862</f>
        <v>23</v>
      </c>
      <c r="J1862" s="0" t="n">
        <f aca="true">CRITBINOM($C1862,MIN(0.75,Matchup!$C$39*$B1862),RAND())</f>
        <v>3</v>
      </c>
      <c r="K1862" s="0" t="n">
        <f aca="true">CRITBINOM(J1862,Coefficients!$B$30,RAND())</f>
        <v>1</v>
      </c>
      <c r="L1862" s="0" t="n">
        <f aca="true">CRITBINOM(K1862,Coefficients!$B$31,RAND())</f>
        <v>1</v>
      </c>
      <c r="M1862" s="0" t="n">
        <f aca="true">CRITBINOM(MAX(0,J1862-K1862),1-Coefficients!$B$32,RAND())</f>
        <v>0</v>
      </c>
      <c r="N1862" s="0" t="n">
        <f aca="true">CRITBINOM(MAX(0,$C1862-J1862),MIN(0.6,Matchup!$C$40*SQRT($B1862)/(1-MIN(0.75,Matchup!$C$39*$B1862))),RAND())</f>
        <v>2</v>
      </c>
      <c r="O1862" s="0" t="n">
        <f aca="false">6*J1862+(J1862-K1862-M1862)+2*L1862+3*N1862</f>
        <v>28</v>
      </c>
      <c r="P1862" s="0" t="n">
        <f aca="true">RAND()</f>
        <v>0.35847579577714</v>
      </c>
      <c r="Q1862" s="0" t="n">
        <f aca="true">RAND()</f>
        <v>0.189762377260814</v>
      </c>
      <c r="R1862" s="0" t="n">
        <f aca="false">IF($I1862&lt;&gt;$O1862,0,IF(P1862&lt;Matchup!$B$39,7,IF(P1862&lt;Matchup!$B$39+Matchup!$B$40,3,0)))</f>
        <v>0</v>
      </c>
      <c r="S1862" s="0" t="n">
        <f aca="false">IF($I1862&lt;&gt;$O1862,0,IF(Q1862&lt;Matchup!$C$39,7,IF(Q1862&lt;Matchup!$C$39+Matchup!$C$40,3,0)))</f>
        <v>0</v>
      </c>
      <c r="T1862" s="0" t="n">
        <f aca="false">I1862+R1862</f>
        <v>23</v>
      </c>
      <c r="U1862" s="0" t="n">
        <f aca="false">O1862+S1862</f>
        <v>28</v>
      </c>
      <c r="V1862" s="0" t="n">
        <f aca="false">T1862-U1862</f>
        <v>-5</v>
      </c>
      <c r="W1862" s="0" t="n">
        <f aca="false">T1862+U1862</f>
        <v>51</v>
      </c>
    </row>
    <row r="1863" customFormat="false" ht="15" hidden="false" customHeight="false" outlineLevel="0" collapsed="false">
      <c r="A1863" s="0" t="n">
        <v>1860</v>
      </c>
      <c r="B1863" s="0" t="n">
        <f aca="true">NORMINV(RAND(),1,Coefficients!$B$22)</f>
        <v>0.895636890266995</v>
      </c>
      <c r="C1863" s="0" t="n">
        <f aca="true">MEDIAN(8,16,ROUND(NORMINV(RAND(),Coefficients!$B$20,Coefficients!$B$21),0))</f>
        <v>11</v>
      </c>
      <c r="D1863" s="0" t="n">
        <f aca="true">CRITBINOM($C1863,MIN(0.75,Matchup!$B$39*$B1863),RAND())</f>
        <v>1</v>
      </c>
      <c r="E1863" s="0" t="n">
        <f aca="true">CRITBINOM(D1863,Coefficients!$B$30,RAND())</f>
        <v>0</v>
      </c>
      <c r="F1863" s="0" t="n">
        <f aca="true">CRITBINOM(E1863,Coefficients!$B$31,RAND())</f>
        <v>0</v>
      </c>
      <c r="G1863" s="0" t="n">
        <f aca="true">CRITBINOM(MAX(0,D1863-E1863),1-Coefficients!$B$32,RAND())</f>
        <v>0</v>
      </c>
      <c r="H1863" s="0" t="n">
        <f aca="true">CRITBINOM(MAX(0,$C1863-D1863),MIN(0.6,Matchup!$B$40*SQRT($B1863)/(1-MIN(0.75,Matchup!$B$39*$B1863))),RAND())</f>
        <v>1</v>
      </c>
      <c r="I1863" s="0" t="n">
        <f aca="false">6*D1863+(D1863-E1863-G1863)+2*F1863+3*H1863</f>
        <v>10</v>
      </c>
      <c r="J1863" s="0" t="n">
        <f aca="true">CRITBINOM($C1863,MIN(0.75,Matchup!$C$39*$B1863),RAND())</f>
        <v>1</v>
      </c>
      <c r="K1863" s="0" t="n">
        <f aca="true">CRITBINOM(J1863,Coefficients!$B$30,RAND())</f>
        <v>0</v>
      </c>
      <c r="L1863" s="0" t="n">
        <f aca="true">CRITBINOM(K1863,Coefficients!$B$31,RAND())</f>
        <v>0</v>
      </c>
      <c r="M1863" s="0" t="n">
        <f aca="true">CRITBINOM(MAX(0,J1863-K1863),1-Coefficients!$B$32,RAND())</f>
        <v>0</v>
      </c>
      <c r="N1863" s="0" t="n">
        <f aca="true">CRITBINOM(MAX(0,$C1863-J1863),MIN(0.6,Matchup!$C$40*SQRT($B1863)/(1-MIN(0.75,Matchup!$C$39*$B1863))),RAND())</f>
        <v>2</v>
      </c>
      <c r="O1863" s="0" t="n">
        <f aca="false">6*J1863+(J1863-K1863-M1863)+2*L1863+3*N1863</f>
        <v>13</v>
      </c>
      <c r="P1863" s="0" t="n">
        <f aca="true">RAND()</f>
        <v>0.97778760688566</v>
      </c>
      <c r="Q1863" s="0" t="n">
        <f aca="true">RAND()</f>
        <v>0.238198871164361</v>
      </c>
      <c r="R1863" s="0" t="n">
        <f aca="false">IF($I1863&lt;&gt;$O1863,0,IF(P1863&lt;Matchup!$B$39,7,IF(P1863&lt;Matchup!$B$39+Matchup!$B$40,3,0)))</f>
        <v>0</v>
      </c>
      <c r="S1863" s="0" t="n">
        <f aca="false">IF($I1863&lt;&gt;$O1863,0,IF(Q1863&lt;Matchup!$C$39,7,IF(Q1863&lt;Matchup!$C$39+Matchup!$C$40,3,0)))</f>
        <v>0</v>
      </c>
      <c r="T1863" s="0" t="n">
        <f aca="false">I1863+R1863</f>
        <v>10</v>
      </c>
      <c r="U1863" s="0" t="n">
        <f aca="false">O1863+S1863</f>
        <v>13</v>
      </c>
      <c r="V1863" s="0" t="n">
        <f aca="false">T1863-U1863</f>
        <v>-3</v>
      </c>
      <c r="W1863" s="0" t="n">
        <f aca="false">T1863+U1863</f>
        <v>23</v>
      </c>
    </row>
    <row r="1864" customFormat="false" ht="15" hidden="false" customHeight="false" outlineLevel="0" collapsed="false">
      <c r="A1864" s="0" t="n">
        <v>1861</v>
      </c>
      <c r="B1864" s="0" t="n">
        <f aca="true">NORMINV(RAND(),1,Coefficients!$B$22)</f>
        <v>1.07900064654931</v>
      </c>
      <c r="C1864" s="0" t="n">
        <f aca="true">MEDIAN(8,16,ROUND(NORMINV(RAND(),Coefficients!$B$20,Coefficients!$B$21),0))</f>
        <v>12</v>
      </c>
      <c r="D1864" s="0" t="n">
        <f aca="true">CRITBINOM($C1864,MIN(0.75,Matchup!$B$39*$B1864),RAND())</f>
        <v>3</v>
      </c>
      <c r="E1864" s="0" t="n">
        <f aca="true">CRITBINOM(D1864,Coefficients!$B$30,RAND())</f>
        <v>0</v>
      </c>
      <c r="F1864" s="0" t="n">
        <f aca="true">CRITBINOM(E1864,Coefficients!$B$31,RAND())</f>
        <v>0</v>
      </c>
      <c r="G1864" s="0" t="n">
        <f aca="true">CRITBINOM(MAX(0,D1864-E1864),1-Coefficients!$B$32,RAND())</f>
        <v>0</v>
      </c>
      <c r="H1864" s="0" t="n">
        <f aca="true">CRITBINOM(MAX(0,$C1864-D1864),MIN(0.6,Matchup!$B$40*SQRT($B1864)/(1-MIN(0.75,Matchup!$B$39*$B1864))),RAND())</f>
        <v>0</v>
      </c>
      <c r="I1864" s="0" t="n">
        <f aca="false">6*D1864+(D1864-E1864-G1864)+2*F1864+3*H1864</f>
        <v>21</v>
      </c>
      <c r="J1864" s="0" t="n">
        <f aca="true">CRITBINOM($C1864,MIN(0.75,Matchup!$C$39*$B1864),RAND())</f>
        <v>2</v>
      </c>
      <c r="K1864" s="0" t="n">
        <f aca="true">CRITBINOM(J1864,Coefficients!$B$30,RAND())</f>
        <v>0</v>
      </c>
      <c r="L1864" s="0" t="n">
        <f aca="true">CRITBINOM(K1864,Coefficients!$B$31,RAND())</f>
        <v>0</v>
      </c>
      <c r="M1864" s="0" t="n">
        <f aca="true">CRITBINOM(MAX(0,J1864-K1864),1-Coefficients!$B$32,RAND())</f>
        <v>0</v>
      </c>
      <c r="N1864" s="0" t="n">
        <f aca="true">CRITBINOM(MAX(0,$C1864-J1864),MIN(0.6,Matchup!$C$40*SQRT($B1864)/(1-MIN(0.75,Matchup!$C$39*$B1864))),RAND())</f>
        <v>2</v>
      </c>
      <c r="O1864" s="0" t="n">
        <f aca="false">6*J1864+(J1864-K1864-M1864)+2*L1864+3*N1864</f>
        <v>20</v>
      </c>
      <c r="P1864" s="0" t="n">
        <f aca="true">RAND()</f>
        <v>0.124139785160107</v>
      </c>
      <c r="Q1864" s="0" t="n">
        <f aca="true">RAND()</f>
        <v>0.139402758993063</v>
      </c>
      <c r="R1864" s="0" t="n">
        <f aca="false">IF($I1864&lt;&gt;$O1864,0,IF(P1864&lt;Matchup!$B$39,7,IF(P1864&lt;Matchup!$B$39+Matchup!$B$40,3,0)))</f>
        <v>0</v>
      </c>
      <c r="S1864" s="0" t="n">
        <f aca="false">IF($I1864&lt;&gt;$O1864,0,IF(Q1864&lt;Matchup!$C$39,7,IF(Q1864&lt;Matchup!$C$39+Matchup!$C$40,3,0)))</f>
        <v>0</v>
      </c>
      <c r="T1864" s="0" t="n">
        <f aca="false">I1864+R1864</f>
        <v>21</v>
      </c>
      <c r="U1864" s="0" t="n">
        <f aca="false">O1864+S1864</f>
        <v>20</v>
      </c>
      <c r="V1864" s="0" t="n">
        <f aca="false">T1864-U1864</f>
        <v>1</v>
      </c>
      <c r="W1864" s="0" t="n">
        <f aca="false">T1864+U1864</f>
        <v>41</v>
      </c>
    </row>
    <row r="1865" customFormat="false" ht="15" hidden="false" customHeight="false" outlineLevel="0" collapsed="false">
      <c r="A1865" s="0" t="n">
        <v>1862</v>
      </c>
      <c r="B1865" s="0" t="n">
        <f aca="true">NORMINV(RAND(),1,Coefficients!$B$22)</f>
        <v>0.974160896682625</v>
      </c>
      <c r="C1865" s="0" t="n">
        <f aca="true">MEDIAN(8,16,ROUND(NORMINV(RAND(),Coefficients!$B$20,Coefficients!$B$21),0))</f>
        <v>13</v>
      </c>
      <c r="D1865" s="0" t="n">
        <f aca="true">CRITBINOM($C1865,MIN(0.75,Matchup!$B$39*$B1865),RAND())</f>
        <v>5</v>
      </c>
      <c r="E1865" s="0" t="n">
        <f aca="true">CRITBINOM(D1865,Coefficients!$B$30,RAND())</f>
        <v>1</v>
      </c>
      <c r="F1865" s="0" t="n">
        <f aca="true">CRITBINOM(E1865,Coefficients!$B$31,RAND())</f>
        <v>1</v>
      </c>
      <c r="G1865" s="0" t="n">
        <f aca="true">CRITBINOM(MAX(0,D1865-E1865),1-Coefficients!$B$32,RAND())</f>
        <v>0</v>
      </c>
      <c r="H1865" s="0" t="n">
        <f aca="true">CRITBINOM(MAX(0,$C1865-D1865),MIN(0.6,Matchup!$B$40*SQRT($B1865)/(1-MIN(0.75,Matchup!$B$39*$B1865))),RAND())</f>
        <v>3</v>
      </c>
      <c r="I1865" s="0" t="n">
        <f aca="false">6*D1865+(D1865-E1865-G1865)+2*F1865+3*H1865</f>
        <v>45</v>
      </c>
      <c r="J1865" s="0" t="n">
        <f aca="true">CRITBINOM($C1865,MIN(0.75,Matchup!$C$39*$B1865),RAND())</f>
        <v>2</v>
      </c>
      <c r="K1865" s="0" t="n">
        <f aca="true">CRITBINOM(J1865,Coefficients!$B$30,RAND())</f>
        <v>0</v>
      </c>
      <c r="L1865" s="0" t="n">
        <f aca="true">CRITBINOM(K1865,Coefficients!$B$31,RAND())</f>
        <v>0</v>
      </c>
      <c r="M1865" s="0" t="n">
        <f aca="true">CRITBINOM(MAX(0,J1865-K1865),1-Coefficients!$B$32,RAND())</f>
        <v>0</v>
      </c>
      <c r="N1865" s="0" t="n">
        <f aca="true">CRITBINOM(MAX(0,$C1865-J1865),MIN(0.6,Matchup!$C$40*SQRT($B1865)/(1-MIN(0.75,Matchup!$C$39*$B1865))),RAND())</f>
        <v>0</v>
      </c>
      <c r="O1865" s="0" t="n">
        <f aca="false">6*J1865+(J1865-K1865-M1865)+2*L1865+3*N1865</f>
        <v>14</v>
      </c>
      <c r="P1865" s="0" t="n">
        <f aca="true">RAND()</f>
        <v>0.425318883365751</v>
      </c>
      <c r="Q1865" s="0" t="n">
        <f aca="true">RAND()</f>
        <v>0.700933780742868</v>
      </c>
      <c r="R1865" s="0" t="n">
        <f aca="false">IF($I1865&lt;&gt;$O1865,0,IF(P1865&lt;Matchup!$B$39,7,IF(P1865&lt;Matchup!$B$39+Matchup!$B$40,3,0)))</f>
        <v>0</v>
      </c>
      <c r="S1865" s="0" t="n">
        <f aca="false">IF($I1865&lt;&gt;$O1865,0,IF(Q1865&lt;Matchup!$C$39,7,IF(Q1865&lt;Matchup!$C$39+Matchup!$C$40,3,0)))</f>
        <v>0</v>
      </c>
      <c r="T1865" s="0" t="n">
        <f aca="false">I1865+R1865</f>
        <v>45</v>
      </c>
      <c r="U1865" s="0" t="n">
        <f aca="false">O1865+S1865</f>
        <v>14</v>
      </c>
      <c r="V1865" s="0" t="n">
        <f aca="false">T1865-U1865</f>
        <v>31</v>
      </c>
      <c r="W1865" s="0" t="n">
        <f aca="false">T1865+U1865</f>
        <v>59</v>
      </c>
    </row>
    <row r="1866" customFormat="false" ht="15" hidden="false" customHeight="false" outlineLevel="0" collapsed="false">
      <c r="A1866" s="0" t="n">
        <v>1863</v>
      </c>
      <c r="B1866" s="0" t="n">
        <f aca="true">NORMINV(RAND(),1,Coefficients!$B$22)</f>
        <v>0.908300011119469</v>
      </c>
      <c r="C1866" s="0" t="n">
        <f aca="true">MEDIAN(8,16,ROUND(NORMINV(RAND(),Coefficients!$B$20,Coefficients!$B$21),0))</f>
        <v>10</v>
      </c>
      <c r="D1866" s="0" t="n">
        <f aca="true">CRITBINOM($C1866,MIN(0.75,Matchup!$B$39*$B1866),RAND())</f>
        <v>3</v>
      </c>
      <c r="E1866" s="0" t="n">
        <f aca="true">CRITBINOM(D1866,Coefficients!$B$30,RAND())</f>
        <v>0</v>
      </c>
      <c r="F1866" s="0" t="n">
        <f aca="true">CRITBINOM(E1866,Coefficients!$B$31,RAND())</f>
        <v>0</v>
      </c>
      <c r="G1866" s="0" t="n">
        <f aca="true">CRITBINOM(MAX(0,D1866-E1866),1-Coefficients!$B$32,RAND())</f>
        <v>1</v>
      </c>
      <c r="H1866" s="0" t="n">
        <f aca="true">CRITBINOM(MAX(0,$C1866-D1866),MIN(0.6,Matchup!$B$40*SQRT($B1866)/(1-MIN(0.75,Matchup!$B$39*$B1866))),RAND())</f>
        <v>1</v>
      </c>
      <c r="I1866" s="0" t="n">
        <f aca="false">6*D1866+(D1866-E1866-G1866)+2*F1866+3*H1866</f>
        <v>23</v>
      </c>
      <c r="J1866" s="0" t="n">
        <f aca="true">CRITBINOM($C1866,MIN(0.75,Matchup!$C$39*$B1866),RAND())</f>
        <v>2</v>
      </c>
      <c r="K1866" s="0" t="n">
        <f aca="true">CRITBINOM(J1866,Coefficients!$B$30,RAND())</f>
        <v>0</v>
      </c>
      <c r="L1866" s="0" t="n">
        <f aca="true">CRITBINOM(K1866,Coefficients!$B$31,RAND())</f>
        <v>0</v>
      </c>
      <c r="M1866" s="0" t="n">
        <f aca="true">CRITBINOM(MAX(0,J1866-K1866),1-Coefficients!$B$32,RAND())</f>
        <v>0</v>
      </c>
      <c r="N1866" s="0" t="n">
        <f aca="true">CRITBINOM(MAX(0,$C1866-J1866),MIN(0.6,Matchup!$C$40*SQRT($B1866)/(1-MIN(0.75,Matchup!$C$39*$B1866))),RAND())</f>
        <v>2</v>
      </c>
      <c r="O1866" s="0" t="n">
        <f aca="false">6*J1866+(J1866-K1866-M1866)+2*L1866+3*N1866</f>
        <v>20</v>
      </c>
      <c r="P1866" s="0" t="n">
        <f aca="true">RAND()</f>
        <v>0.180642017417847</v>
      </c>
      <c r="Q1866" s="0" t="n">
        <f aca="true">RAND()</f>
        <v>0.575072960631529</v>
      </c>
      <c r="R1866" s="0" t="n">
        <f aca="false">IF($I1866&lt;&gt;$O1866,0,IF(P1866&lt;Matchup!$B$39,7,IF(P1866&lt;Matchup!$B$39+Matchup!$B$40,3,0)))</f>
        <v>0</v>
      </c>
      <c r="S1866" s="0" t="n">
        <f aca="false">IF($I1866&lt;&gt;$O1866,0,IF(Q1866&lt;Matchup!$C$39,7,IF(Q1866&lt;Matchup!$C$39+Matchup!$C$40,3,0)))</f>
        <v>0</v>
      </c>
      <c r="T1866" s="0" t="n">
        <f aca="false">I1866+R1866</f>
        <v>23</v>
      </c>
      <c r="U1866" s="0" t="n">
        <f aca="false">O1866+S1866</f>
        <v>20</v>
      </c>
      <c r="V1866" s="0" t="n">
        <f aca="false">T1866-U1866</f>
        <v>3</v>
      </c>
      <c r="W1866" s="0" t="n">
        <f aca="false">T1866+U1866</f>
        <v>43</v>
      </c>
    </row>
    <row r="1867" customFormat="false" ht="15" hidden="false" customHeight="false" outlineLevel="0" collapsed="false">
      <c r="A1867" s="0" t="n">
        <v>1864</v>
      </c>
      <c r="B1867" s="0" t="n">
        <f aca="true">NORMINV(RAND(),1,Coefficients!$B$22)</f>
        <v>1.02152501384131</v>
      </c>
      <c r="C1867" s="0" t="n">
        <f aca="true">MEDIAN(8,16,ROUND(NORMINV(RAND(),Coefficients!$B$20,Coefficients!$B$21),0))</f>
        <v>10</v>
      </c>
      <c r="D1867" s="0" t="n">
        <f aca="true">CRITBINOM($C1867,MIN(0.75,Matchup!$B$39*$B1867),RAND())</f>
        <v>4</v>
      </c>
      <c r="E1867" s="0" t="n">
        <f aca="true">CRITBINOM(D1867,Coefficients!$B$30,RAND())</f>
        <v>0</v>
      </c>
      <c r="F1867" s="0" t="n">
        <f aca="true">CRITBINOM(E1867,Coefficients!$B$31,RAND())</f>
        <v>0</v>
      </c>
      <c r="G1867" s="0" t="n">
        <f aca="true">CRITBINOM(MAX(0,D1867-E1867),1-Coefficients!$B$32,RAND())</f>
        <v>0</v>
      </c>
      <c r="H1867" s="0" t="n">
        <f aca="true">CRITBINOM(MAX(0,$C1867-D1867),MIN(0.6,Matchup!$B$40*SQRT($B1867)/(1-MIN(0.75,Matchup!$B$39*$B1867))),RAND())</f>
        <v>2</v>
      </c>
      <c r="I1867" s="0" t="n">
        <f aca="false">6*D1867+(D1867-E1867-G1867)+2*F1867+3*H1867</f>
        <v>34</v>
      </c>
      <c r="J1867" s="0" t="n">
        <f aca="true">CRITBINOM($C1867,MIN(0.75,Matchup!$C$39*$B1867),RAND())</f>
        <v>2</v>
      </c>
      <c r="K1867" s="0" t="n">
        <f aca="true">CRITBINOM(J1867,Coefficients!$B$30,RAND())</f>
        <v>1</v>
      </c>
      <c r="L1867" s="0" t="n">
        <f aca="true">CRITBINOM(K1867,Coefficients!$B$31,RAND())</f>
        <v>1</v>
      </c>
      <c r="M1867" s="0" t="n">
        <f aca="true">CRITBINOM(MAX(0,J1867-K1867),1-Coefficients!$B$32,RAND())</f>
        <v>0</v>
      </c>
      <c r="N1867" s="0" t="n">
        <f aca="true">CRITBINOM(MAX(0,$C1867-J1867),MIN(0.6,Matchup!$C$40*SQRT($B1867)/(1-MIN(0.75,Matchup!$C$39*$B1867))),RAND())</f>
        <v>0</v>
      </c>
      <c r="O1867" s="0" t="n">
        <f aca="false">6*J1867+(J1867-K1867-M1867)+2*L1867+3*N1867</f>
        <v>15</v>
      </c>
      <c r="P1867" s="0" t="n">
        <f aca="true">RAND()</f>
        <v>0.403643117367132</v>
      </c>
      <c r="Q1867" s="0" t="n">
        <f aca="true">RAND()</f>
        <v>0.367023461820005</v>
      </c>
      <c r="R1867" s="0" t="n">
        <f aca="false">IF($I1867&lt;&gt;$O1867,0,IF(P1867&lt;Matchup!$B$39,7,IF(P1867&lt;Matchup!$B$39+Matchup!$B$40,3,0)))</f>
        <v>0</v>
      </c>
      <c r="S1867" s="0" t="n">
        <f aca="false">IF($I1867&lt;&gt;$O1867,0,IF(Q1867&lt;Matchup!$C$39,7,IF(Q1867&lt;Matchup!$C$39+Matchup!$C$40,3,0)))</f>
        <v>0</v>
      </c>
      <c r="T1867" s="0" t="n">
        <f aca="false">I1867+R1867</f>
        <v>34</v>
      </c>
      <c r="U1867" s="0" t="n">
        <f aca="false">O1867+S1867</f>
        <v>15</v>
      </c>
      <c r="V1867" s="0" t="n">
        <f aca="false">T1867-U1867</f>
        <v>19</v>
      </c>
      <c r="W1867" s="0" t="n">
        <f aca="false">T1867+U1867</f>
        <v>49</v>
      </c>
    </row>
    <row r="1868" customFormat="false" ht="15" hidden="false" customHeight="false" outlineLevel="0" collapsed="false">
      <c r="A1868" s="0" t="n">
        <v>1865</v>
      </c>
      <c r="B1868" s="0" t="n">
        <f aca="true">NORMINV(RAND(),1,Coefficients!$B$22)</f>
        <v>1.00078424409135</v>
      </c>
      <c r="C1868" s="0" t="n">
        <f aca="true">MEDIAN(8,16,ROUND(NORMINV(RAND(),Coefficients!$B$20,Coefficients!$B$21),0))</f>
        <v>13</v>
      </c>
      <c r="D1868" s="0" t="n">
        <f aca="true">CRITBINOM($C1868,MIN(0.75,Matchup!$B$39*$B1868),RAND())</f>
        <v>5</v>
      </c>
      <c r="E1868" s="0" t="n">
        <f aca="true">CRITBINOM(D1868,Coefficients!$B$30,RAND())</f>
        <v>0</v>
      </c>
      <c r="F1868" s="0" t="n">
        <f aca="true">CRITBINOM(E1868,Coefficients!$B$31,RAND())</f>
        <v>0</v>
      </c>
      <c r="G1868" s="0" t="n">
        <f aca="true">CRITBINOM(MAX(0,D1868-E1868),1-Coefficients!$B$32,RAND())</f>
        <v>0</v>
      </c>
      <c r="H1868" s="0" t="n">
        <f aca="true">CRITBINOM(MAX(0,$C1868-D1868),MIN(0.6,Matchup!$B$40*SQRT($B1868)/(1-MIN(0.75,Matchup!$B$39*$B1868))),RAND())</f>
        <v>0</v>
      </c>
      <c r="I1868" s="0" t="n">
        <f aca="false">6*D1868+(D1868-E1868-G1868)+2*F1868+3*H1868</f>
        <v>35</v>
      </c>
      <c r="J1868" s="0" t="n">
        <f aca="true">CRITBINOM($C1868,MIN(0.75,Matchup!$C$39*$B1868),RAND())</f>
        <v>3</v>
      </c>
      <c r="K1868" s="0" t="n">
        <f aca="true">CRITBINOM(J1868,Coefficients!$B$30,RAND())</f>
        <v>0</v>
      </c>
      <c r="L1868" s="0" t="n">
        <f aca="true">CRITBINOM(K1868,Coefficients!$B$31,RAND())</f>
        <v>0</v>
      </c>
      <c r="M1868" s="0" t="n">
        <f aca="true">CRITBINOM(MAX(0,J1868-K1868),1-Coefficients!$B$32,RAND())</f>
        <v>1</v>
      </c>
      <c r="N1868" s="0" t="n">
        <f aca="true">CRITBINOM(MAX(0,$C1868-J1868),MIN(0.6,Matchup!$C$40*SQRT($B1868)/(1-MIN(0.75,Matchup!$C$39*$B1868))),RAND())</f>
        <v>2</v>
      </c>
      <c r="O1868" s="0" t="n">
        <f aca="false">6*J1868+(J1868-K1868-M1868)+2*L1868+3*N1868</f>
        <v>26</v>
      </c>
      <c r="P1868" s="0" t="n">
        <f aca="true">RAND()</f>
        <v>0.22112893209765</v>
      </c>
      <c r="Q1868" s="0" t="n">
        <f aca="true">RAND()</f>
        <v>0.548853709929656</v>
      </c>
      <c r="R1868" s="0" t="n">
        <f aca="false">IF($I1868&lt;&gt;$O1868,0,IF(P1868&lt;Matchup!$B$39,7,IF(P1868&lt;Matchup!$B$39+Matchup!$B$40,3,0)))</f>
        <v>0</v>
      </c>
      <c r="S1868" s="0" t="n">
        <f aca="false">IF($I1868&lt;&gt;$O1868,0,IF(Q1868&lt;Matchup!$C$39,7,IF(Q1868&lt;Matchup!$C$39+Matchup!$C$40,3,0)))</f>
        <v>0</v>
      </c>
      <c r="T1868" s="0" t="n">
        <f aca="false">I1868+R1868</f>
        <v>35</v>
      </c>
      <c r="U1868" s="0" t="n">
        <f aca="false">O1868+S1868</f>
        <v>26</v>
      </c>
      <c r="V1868" s="0" t="n">
        <f aca="false">T1868-U1868</f>
        <v>9</v>
      </c>
      <c r="W1868" s="0" t="n">
        <f aca="false">T1868+U1868</f>
        <v>61</v>
      </c>
    </row>
    <row r="1869" customFormat="false" ht="15" hidden="false" customHeight="false" outlineLevel="0" collapsed="false">
      <c r="A1869" s="0" t="n">
        <v>1866</v>
      </c>
      <c r="B1869" s="0" t="n">
        <f aca="true">NORMINV(RAND(),1,Coefficients!$B$22)</f>
        <v>0.947867974519846</v>
      </c>
      <c r="C1869" s="0" t="n">
        <f aca="true">MEDIAN(8,16,ROUND(NORMINV(RAND(),Coefficients!$B$20,Coefficients!$B$21),0))</f>
        <v>10</v>
      </c>
      <c r="D1869" s="0" t="n">
        <f aca="true">CRITBINOM($C1869,MIN(0.75,Matchup!$B$39*$B1869),RAND())</f>
        <v>2</v>
      </c>
      <c r="E1869" s="0" t="n">
        <f aca="true">CRITBINOM(D1869,Coefficients!$B$30,RAND())</f>
        <v>0</v>
      </c>
      <c r="F1869" s="0" t="n">
        <f aca="true">CRITBINOM(E1869,Coefficients!$B$31,RAND())</f>
        <v>0</v>
      </c>
      <c r="G1869" s="0" t="n">
        <f aca="true">CRITBINOM(MAX(0,D1869-E1869),1-Coefficients!$B$32,RAND())</f>
        <v>1</v>
      </c>
      <c r="H1869" s="0" t="n">
        <f aca="true">CRITBINOM(MAX(0,$C1869-D1869),MIN(0.6,Matchup!$B$40*SQRT($B1869)/(1-MIN(0.75,Matchup!$B$39*$B1869))),RAND())</f>
        <v>0</v>
      </c>
      <c r="I1869" s="0" t="n">
        <f aca="false">6*D1869+(D1869-E1869-G1869)+2*F1869+3*H1869</f>
        <v>13</v>
      </c>
      <c r="J1869" s="0" t="n">
        <f aca="true">CRITBINOM($C1869,MIN(0.75,Matchup!$C$39*$B1869),RAND())</f>
        <v>2</v>
      </c>
      <c r="K1869" s="0" t="n">
        <f aca="true">CRITBINOM(J1869,Coefficients!$B$30,RAND())</f>
        <v>1</v>
      </c>
      <c r="L1869" s="0" t="n">
        <f aca="true">CRITBINOM(K1869,Coefficients!$B$31,RAND())</f>
        <v>1</v>
      </c>
      <c r="M1869" s="0" t="n">
        <f aca="true">CRITBINOM(MAX(0,J1869-K1869),1-Coefficients!$B$32,RAND())</f>
        <v>0</v>
      </c>
      <c r="N1869" s="0" t="n">
        <f aca="true">CRITBINOM(MAX(0,$C1869-J1869),MIN(0.6,Matchup!$C$40*SQRT($B1869)/(1-MIN(0.75,Matchup!$C$39*$B1869))),RAND())</f>
        <v>1</v>
      </c>
      <c r="O1869" s="0" t="n">
        <f aca="false">6*J1869+(J1869-K1869-M1869)+2*L1869+3*N1869</f>
        <v>18</v>
      </c>
      <c r="P1869" s="0" t="n">
        <f aca="true">RAND()</f>
        <v>0.674977148982427</v>
      </c>
      <c r="Q1869" s="0" t="n">
        <f aca="true">RAND()</f>
        <v>0.826203663455994</v>
      </c>
      <c r="R1869" s="0" t="n">
        <f aca="false">IF($I1869&lt;&gt;$O1869,0,IF(P1869&lt;Matchup!$B$39,7,IF(P1869&lt;Matchup!$B$39+Matchup!$B$40,3,0)))</f>
        <v>0</v>
      </c>
      <c r="S1869" s="0" t="n">
        <f aca="false">IF($I1869&lt;&gt;$O1869,0,IF(Q1869&lt;Matchup!$C$39,7,IF(Q1869&lt;Matchup!$C$39+Matchup!$C$40,3,0)))</f>
        <v>0</v>
      </c>
      <c r="T1869" s="0" t="n">
        <f aca="false">I1869+R1869</f>
        <v>13</v>
      </c>
      <c r="U1869" s="0" t="n">
        <f aca="false">O1869+S1869</f>
        <v>18</v>
      </c>
      <c r="V1869" s="0" t="n">
        <f aca="false">T1869-U1869</f>
        <v>-5</v>
      </c>
      <c r="W1869" s="0" t="n">
        <f aca="false">T1869+U1869</f>
        <v>31</v>
      </c>
    </row>
    <row r="1870" customFormat="false" ht="15" hidden="false" customHeight="false" outlineLevel="0" collapsed="false">
      <c r="A1870" s="0" t="n">
        <v>1867</v>
      </c>
      <c r="B1870" s="0" t="n">
        <f aca="true">NORMINV(RAND(),1,Coefficients!$B$22)</f>
        <v>1.04227745758375</v>
      </c>
      <c r="C1870" s="0" t="n">
        <f aca="true">MEDIAN(8,16,ROUND(NORMINV(RAND(),Coefficients!$B$20,Coefficients!$B$21),0))</f>
        <v>11</v>
      </c>
      <c r="D1870" s="0" t="n">
        <f aca="true">CRITBINOM($C1870,MIN(0.75,Matchup!$B$39*$B1870),RAND())</f>
        <v>6</v>
      </c>
      <c r="E1870" s="0" t="n">
        <f aca="true">CRITBINOM(D1870,Coefficients!$B$30,RAND())</f>
        <v>1</v>
      </c>
      <c r="F1870" s="0" t="n">
        <f aca="true">CRITBINOM(E1870,Coefficients!$B$31,RAND())</f>
        <v>1</v>
      </c>
      <c r="G1870" s="0" t="n">
        <f aca="true">CRITBINOM(MAX(0,D1870-E1870),1-Coefficients!$B$32,RAND())</f>
        <v>0</v>
      </c>
      <c r="H1870" s="0" t="n">
        <f aca="true">CRITBINOM(MAX(0,$C1870-D1870),MIN(0.6,Matchup!$B$40*SQRT($B1870)/(1-MIN(0.75,Matchup!$B$39*$B1870))),RAND())</f>
        <v>1</v>
      </c>
      <c r="I1870" s="0" t="n">
        <f aca="false">6*D1870+(D1870-E1870-G1870)+2*F1870+3*H1870</f>
        <v>46</v>
      </c>
      <c r="J1870" s="0" t="n">
        <f aca="true">CRITBINOM($C1870,MIN(0.75,Matchup!$C$39*$B1870),RAND())</f>
        <v>5</v>
      </c>
      <c r="K1870" s="0" t="n">
        <f aca="true">CRITBINOM(J1870,Coefficients!$B$30,RAND())</f>
        <v>1</v>
      </c>
      <c r="L1870" s="0" t="n">
        <f aca="true">CRITBINOM(K1870,Coefficients!$B$31,RAND())</f>
        <v>0</v>
      </c>
      <c r="M1870" s="0" t="n">
        <f aca="true">CRITBINOM(MAX(0,J1870-K1870),1-Coefficients!$B$32,RAND())</f>
        <v>0</v>
      </c>
      <c r="N1870" s="0" t="n">
        <f aca="true">CRITBINOM(MAX(0,$C1870-J1870),MIN(0.6,Matchup!$C$40*SQRT($B1870)/(1-MIN(0.75,Matchup!$C$39*$B1870))),RAND())</f>
        <v>1</v>
      </c>
      <c r="O1870" s="0" t="n">
        <f aca="false">6*J1870+(J1870-K1870-M1870)+2*L1870+3*N1870</f>
        <v>37</v>
      </c>
      <c r="P1870" s="0" t="n">
        <f aca="true">RAND()</f>
        <v>0.676442995539334</v>
      </c>
      <c r="Q1870" s="0" t="n">
        <f aca="true">RAND()</f>
        <v>0.0570713437667473</v>
      </c>
      <c r="R1870" s="0" t="n">
        <f aca="false">IF($I1870&lt;&gt;$O1870,0,IF(P1870&lt;Matchup!$B$39,7,IF(P1870&lt;Matchup!$B$39+Matchup!$B$40,3,0)))</f>
        <v>0</v>
      </c>
      <c r="S1870" s="0" t="n">
        <f aca="false">IF($I1870&lt;&gt;$O1870,0,IF(Q1870&lt;Matchup!$C$39,7,IF(Q1870&lt;Matchup!$C$39+Matchup!$C$40,3,0)))</f>
        <v>0</v>
      </c>
      <c r="T1870" s="0" t="n">
        <f aca="false">I1870+R1870</f>
        <v>46</v>
      </c>
      <c r="U1870" s="0" t="n">
        <f aca="false">O1870+S1870</f>
        <v>37</v>
      </c>
      <c r="V1870" s="0" t="n">
        <f aca="false">T1870-U1870</f>
        <v>9</v>
      </c>
      <c r="W1870" s="0" t="n">
        <f aca="false">T1870+U1870</f>
        <v>83</v>
      </c>
    </row>
    <row r="1871" customFormat="false" ht="15" hidden="false" customHeight="false" outlineLevel="0" collapsed="false">
      <c r="A1871" s="0" t="n">
        <v>1868</v>
      </c>
      <c r="B1871" s="0" t="n">
        <f aca="true">NORMINV(RAND(),1,Coefficients!$B$22)</f>
        <v>0.884620308171801</v>
      </c>
      <c r="C1871" s="0" t="n">
        <f aca="true">MEDIAN(8,16,ROUND(NORMINV(RAND(),Coefficients!$B$20,Coefficients!$B$21),0))</f>
        <v>11</v>
      </c>
      <c r="D1871" s="0" t="n">
        <f aca="true">CRITBINOM($C1871,MIN(0.75,Matchup!$B$39*$B1871),RAND())</f>
        <v>2</v>
      </c>
      <c r="E1871" s="0" t="n">
        <f aca="true">CRITBINOM(D1871,Coefficients!$B$30,RAND())</f>
        <v>0</v>
      </c>
      <c r="F1871" s="0" t="n">
        <f aca="true">CRITBINOM(E1871,Coefficients!$B$31,RAND())</f>
        <v>0</v>
      </c>
      <c r="G1871" s="0" t="n">
        <f aca="true">CRITBINOM(MAX(0,D1871-E1871),1-Coefficients!$B$32,RAND())</f>
        <v>0</v>
      </c>
      <c r="H1871" s="0" t="n">
        <f aca="true">CRITBINOM(MAX(0,$C1871-D1871),MIN(0.6,Matchup!$B$40*SQRT($B1871)/(1-MIN(0.75,Matchup!$B$39*$B1871))),RAND())</f>
        <v>3</v>
      </c>
      <c r="I1871" s="0" t="n">
        <f aca="false">6*D1871+(D1871-E1871-G1871)+2*F1871+3*H1871</f>
        <v>23</v>
      </c>
      <c r="J1871" s="0" t="n">
        <f aca="true">CRITBINOM($C1871,MIN(0.75,Matchup!$C$39*$B1871),RAND())</f>
        <v>2</v>
      </c>
      <c r="K1871" s="0" t="n">
        <f aca="true">CRITBINOM(J1871,Coefficients!$B$30,RAND())</f>
        <v>0</v>
      </c>
      <c r="L1871" s="0" t="n">
        <f aca="true">CRITBINOM(K1871,Coefficients!$B$31,RAND())</f>
        <v>0</v>
      </c>
      <c r="M1871" s="0" t="n">
        <f aca="true">CRITBINOM(MAX(0,J1871-K1871),1-Coefficients!$B$32,RAND())</f>
        <v>0</v>
      </c>
      <c r="N1871" s="0" t="n">
        <f aca="true">CRITBINOM(MAX(0,$C1871-J1871),MIN(0.6,Matchup!$C$40*SQRT($B1871)/(1-MIN(0.75,Matchup!$C$39*$B1871))),RAND())</f>
        <v>2</v>
      </c>
      <c r="O1871" s="0" t="n">
        <f aca="false">6*J1871+(J1871-K1871-M1871)+2*L1871+3*N1871</f>
        <v>20</v>
      </c>
      <c r="P1871" s="0" t="n">
        <f aca="true">RAND()</f>
        <v>0.204251347661596</v>
      </c>
      <c r="Q1871" s="0" t="n">
        <f aca="true">RAND()</f>
        <v>0.135399524705301</v>
      </c>
      <c r="R1871" s="0" t="n">
        <f aca="false">IF($I1871&lt;&gt;$O1871,0,IF(P1871&lt;Matchup!$B$39,7,IF(P1871&lt;Matchup!$B$39+Matchup!$B$40,3,0)))</f>
        <v>0</v>
      </c>
      <c r="S1871" s="0" t="n">
        <f aca="false">IF($I1871&lt;&gt;$O1871,0,IF(Q1871&lt;Matchup!$C$39,7,IF(Q1871&lt;Matchup!$C$39+Matchup!$C$40,3,0)))</f>
        <v>0</v>
      </c>
      <c r="T1871" s="0" t="n">
        <f aca="false">I1871+R1871</f>
        <v>23</v>
      </c>
      <c r="U1871" s="0" t="n">
        <f aca="false">O1871+S1871</f>
        <v>20</v>
      </c>
      <c r="V1871" s="0" t="n">
        <f aca="false">T1871-U1871</f>
        <v>3</v>
      </c>
      <c r="W1871" s="0" t="n">
        <f aca="false">T1871+U1871</f>
        <v>43</v>
      </c>
    </row>
    <row r="1872" customFormat="false" ht="15" hidden="false" customHeight="false" outlineLevel="0" collapsed="false">
      <c r="A1872" s="0" t="n">
        <v>1869</v>
      </c>
      <c r="B1872" s="0" t="n">
        <f aca="true">NORMINV(RAND(),1,Coefficients!$B$22)</f>
        <v>1.04393912622312</v>
      </c>
      <c r="C1872" s="0" t="n">
        <f aca="true">MEDIAN(8,16,ROUND(NORMINV(RAND(),Coefficients!$B$20,Coefficients!$B$21),0))</f>
        <v>11</v>
      </c>
      <c r="D1872" s="0" t="n">
        <f aca="true">CRITBINOM($C1872,MIN(0.75,Matchup!$B$39*$B1872),RAND())</f>
        <v>5</v>
      </c>
      <c r="E1872" s="0" t="n">
        <f aca="true">CRITBINOM(D1872,Coefficients!$B$30,RAND())</f>
        <v>0</v>
      </c>
      <c r="F1872" s="0" t="n">
        <f aca="true">CRITBINOM(E1872,Coefficients!$B$31,RAND())</f>
        <v>0</v>
      </c>
      <c r="G1872" s="0" t="n">
        <f aca="true">CRITBINOM(MAX(0,D1872-E1872),1-Coefficients!$B$32,RAND())</f>
        <v>0</v>
      </c>
      <c r="H1872" s="0" t="n">
        <f aca="true">CRITBINOM(MAX(0,$C1872-D1872),MIN(0.6,Matchup!$B$40*SQRT($B1872)/(1-MIN(0.75,Matchup!$B$39*$B1872))),RAND())</f>
        <v>1</v>
      </c>
      <c r="I1872" s="0" t="n">
        <f aca="false">6*D1872+(D1872-E1872-G1872)+2*F1872+3*H1872</f>
        <v>38</v>
      </c>
      <c r="J1872" s="0" t="n">
        <f aca="true">CRITBINOM($C1872,MIN(0.75,Matchup!$C$39*$B1872),RAND())</f>
        <v>4</v>
      </c>
      <c r="K1872" s="0" t="n">
        <f aca="true">CRITBINOM(J1872,Coefficients!$B$30,RAND())</f>
        <v>0</v>
      </c>
      <c r="L1872" s="0" t="n">
        <f aca="true">CRITBINOM(K1872,Coefficients!$B$31,RAND())</f>
        <v>0</v>
      </c>
      <c r="M1872" s="0" t="n">
        <f aca="true">CRITBINOM(MAX(0,J1872-K1872),1-Coefficients!$B$32,RAND())</f>
        <v>0</v>
      </c>
      <c r="N1872" s="0" t="n">
        <f aca="true">CRITBINOM(MAX(0,$C1872-J1872),MIN(0.6,Matchup!$C$40*SQRT($B1872)/(1-MIN(0.75,Matchup!$C$39*$B1872))),RAND())</f>
        <v>0</v>
      </c>
      <c r="O1872" s="0" t="n">
        <f aca="false">6*J1872+(J1872-K1872-M1872)+2*L1872+3*N1872</f>
        <v>28</v>
      </c>
      <c r="P1872" s="0" t="n">
        <f aca="true">RAND()</f>
        <v>0.463039421342728</v>
      </c>
      <c r="Q1872" s="0" t="n">
        <f aca="true">RAND()</f>
        <v>0.115706341438548</v>
      </c>
      <c r="R1872" s="0" t="n">
        <f aca="false">IF($I1872&lt;&gt;$O1872,0,IF(P1872&lt;Matchup!$B$39,7,IF(P1872&lt;Matchup!$B$39+Matchup!$B$40,3,0)))</f>
        <v>0</v>
      </c>
      <c r="S1872" s="0" t="n">
        <f aca="false">IF($I1872&lt;&gt;$O1872,0,IF(Q1872&lt;Matchup!$C$39,7,IF(Q1872&lt;Matchup!$C$39+Matchup!$C$40,3,0)))</f>
        <v>0</v>
      </c>
      <c r="T1872" s="0" t="n">
        <f aca="false">I1872+R1872</f>
        <v>38</v>
      </c>
      <c r="U1872" s="0" t="n">
        <f aca="false">O1872+S1872</f>
        <v>28</v>
      </c>
      <c r="V1872" s="0" t="n">
        <f aca="false">T1872-U1872</f>
        <v>10</v>
      </c>
      <c r="W1872" s="0" t="n">
        <f aca="false">T1872+U1872</f>
        <v>66</v>
      </c>
    </row>
    <row r="1873" customFormat="false" ht="15" hidden="false" customHeight="false" outlineLevel="0" collapsed="false">
      <c r="A1873" s="0" t="n">
        <v>1870</v>
      </c>
      <c r="B1873" s="0" t="n">
        <f aca="true">NORMINV(RAND(),1,Coefficients!$B$22)</f>
        <v>0.971601588223695</v>
      </c>
      <c r="C1873" s="0" t="n">
        <f aca="true">MEDIAN(8,16,ROUND(NORMINV(RAND(),Coefficients!$B$20,Coefficients!$B$21),0))</f>
        <v>13</v>
      </c>
      <c r="D1873" s="0" t="n">
        <f aca="true">CRITBINOM($C1873,MIN(0.75,Matchup!$B$39*$B1873),RAND())</f>
        <v>3</v>
      </c>
      <c r="E1873" s="0" t="n">
        <f aca="true">CRITBINOM(D1873,Coefficients!$B$30,RAND())</f>
        <v>0</v>
      </c>
      <c r="F1873" s="0" t="n">
        <f aca="true">CRITBINOM(E1873,Coefficients!$B$31,RAND())</f>
        <v>0</v>
      </c>
      <c r="G1873" s="0" t="n">
        <f aca="true">CRITBINOM(MAX(0,D1873-E1873),1-Coefficients!$B$32,RAND())</f>
        <v>0</v>
      </c>
      <c r="H1873" s="0" t="n">
        <f aca="true">CRITBINOM(MAX(0,$C1873-D1873),MIN(0.6,Matchup!$B$40*SQRT($B1873)/(1-MIN(0.75,Matchup!$B$39*$B1873))),RAND())</f>
        <v>0</v>
      </c>
      <c r="I1873" s="0" t="n">
        <f aca="false">6*D1873+(D1873-E1873-G1873)+2*F1873+3*H1873</f>
        <v>21</v>
      </c>
      <c r="J1873" s="0" t="n">
        <f aca="true">CRITBINOM($C1873,MIN(0.75,Matchup!$C$39*$B1873),RAND())</f>
        <v>5</v>
      </c>
      <c r="K1873" s="0" t="n">
        <f aca="true">CRITBINOM(J1873,Coefficients!$B$30,RAND())</f>
        <v>0</v>
      </c>
      <c r="L1873" s="0" t="n">
        <f aca="true">CRITBINOM(K1873,Coefficients!$B$31,RAND())</f>
        <v>0</v>
      </c>
      <c r="M1873" s="0" t="n">
        <f aca="true">CRITBINOM(MAX(0,J1873-K1873),1-Coefficients!$B$32,RAND())</f>
        <v>0</v>
      </c>
      <c r="N1873" s="0" t="n">
        <f aca="true">CRITBINOM(MAX(0,$C1873-J1873),MIN(0.6,Matchup!$C$40*SQRT($B1873)/(1-MIN(0.75,Matchup!$C$39*$B1873))),RAND())</f>
        <v>5</v>
      </c>
      <c r="O1873" s="0" t="n">
        <f aca="false">6*J1873+(J1873-K1873-M1873)+2*L1873+3*N1873</f>
        <v>50</v>
      </c>
      <c r="P1873" s="0" t="n">
        <f aca="true">RAND()</f>
        <v>0.775631251192959</v>
      </c>
      <c r="Q1873" s="0" t="n">
        <f aca="true">RAND()</f>
        <v>0.511528959621935</v>
      </c>
      <c r="R1873" s="0" t="n">
        <f aca="false">IF($I1873&lt;&gt;$O1873,0,IF(P1873&lt;Matchup!$B$39,7,IF(P1873&lt;Matchup!$B$39+Matchup!$B$40,3,0)))</f>
        <v>0</v>
      </c>
      <c r="S1873" s="0" t="n">
        <f aca="false">IF($I1873&lt;&gt;$O1873,0,IF(Q1873&lt;Matchup!$C$39,7,IF(Q1873&lt;Matchup!$C$39+Matchup!$C$40,3,0)))</f>
        <v>0</v>
      </c>
      <c r="T1873" s="0" t="n">
        <f aca="false">I1873+R1873</f>
        <v>21</v>
      </c>
      <c r="U1873" s="0" t="n">
        <f aca="false">O1873+S1873</f>
        <v>50</v>
      </c>
      <c r="V1873" s="0" t="n">
        <f aca="false">T1873-U1873</f>
        <v>-29</v>
      </c>
      <c r="W1873" s="0" t="n">
        <f aca="false">T1873+U1873</f>
        <v>71</v>
      </c>
    </row>
    <row r="1874" customFormat="false" ht="15" hidden="false" customHeight="false" outlineLevel="0" collapsed="false">
      <c r="A1874" s="0" t="n">
        <v>1871</v>
      </c>
      <c r="B1874" s="0" t="n">
        <f aca="true">NORMINV(RAND(),1,Coefficients!$B$22)</f>
        <v>1.08921434757234</v>
      </c>
      <c r="C1874" s="0" t="n">
        <f aca="true">MEDIAN(8,16,ROUND(NORMINV(RAND(),Coefficients!$B$20,Coefficients!$B$21),0))</f>
        <v>12</v>
      </c>
      <c r="D1874" s="0" t="n">
        <f aca="true">CRITBINOM($C1874,MIN(0.75,Matchup!$B$39*$B1874),RAND())</f>
        <v>2</v>
      </c>
      <c r="E1874" s="0" t="n">
        <f aca="true">CRITBINOM(D1874,Coefficients!$B$30,RAND())</f>
        <v>1</v>
      </c>
      <c r="F1874" s="0" t="n">
        <f aca="true">CRITBINOM(E1874,Coefficients!$B$31,RAND())</f>
        <v>0</v>
      </c>
      <c r="G1874" s="0" t="n">
        <f aca="true">CRITBINOM(MAX(0,D1874-E1874),1-Coefficients!$B$32,RAND())</f>
        <v>1</v>
      </c>
      <c r="H1874" s="0" t="n">
        <f aca="true">CRITBINOM(MAX(0,$C1874-D1874),MIN(0.6,Matchup!$B$40*SQRT($B1874)/(1-MIN(0.75,Matchup!$B$39*$B1874))),RAND())</f>
        <v>0</v>
      </c>
      <c r="I1874" s="0" t="n">
        <f aca="false">6*D1874+(D1874-E1874-G1874)+2*F1874+3*H1874</f>
        <v>12</v>
      </c>
      <c r="J1874" s="0" t="n">
        <f aca="true">CRITBINOM($C1874,MIN(0.75,Matchup!$C$39*$B1874),RAND())</f>
        <v>1</v>
      </c>
      <c r="K1874" s="0" t="n">
        <f aca="true">CRITBINOM(J1874,Coefficients!$B$30,RAND())</f>
        <v>0</v>
      </c>
      <c r="L1874" s="0" t="n">
        <f aca="true">CRITBINOM(K1874,Coefficients!$B$31,RAND())</f>
        <v>0</v>
      </c>
      <c r="M1874" s="0" t="n">
        <f aca="true">CRITBINOM(MAX(0,J1874-K1874),1-Coefficients!$B$32,RAND())</f>
        <v>0</v>
      </c>
      <c r="N1874" s="0" t="n">
        <f aca="true">CRITBINOM(MAX(0,$C1874-J1874),MIN(0.6,Matchup!$C$40*SQRT($B1874)/(1-MIN(0.75,Matchup!$C$39*$B1874))),RAND())</f>
        <v>3</v>
      </c>
      <c r="O1874" s="0" t="n">
        <f aca="false">6*J1874+(J1874-K1874-M1874)+2*L1874+3*N1874</f>
        <v>16</v>
      </c>
      <c r="P1874" s="0" t="n">
        <f aca="true">RAND()</f>
        <v>0.177788682827165</v>
      </c>
      <c r="Q1874" s="0" t="n">
        <f aca="true">RAND()</f>
        <v>0.310293865870893</v>
      </c>
      <c r="R1874" s="0" t="n">
        <f aca="false">IF($I1874&lt;&gt;$O1874,0,IF(P1874&lt;Matchup!$B$39,7,IF(P1874&lt;Matchup!$B$39+Matchup!$B$40,3,0)))</f>
        <v>0</v>
      </c>
      <c r="S1874" s="0" t="n">
        <f aca="false">IF($I1874&lt;&gt;$O1874,0,IF(Q1874&lt;Matchup!$C$39,7,IF(Q1874&lt;Matchup!$C$39+Matchup!$C$40,3,0)))</f>
        <v>0</v>
      </c>
      <c r="T1874" s="0" t="n">
        <f aca="false">I1874+R1874</f>
        <v>12</v>
      </c>
      <c r="U1874" s="0" t="n">
        <f aca="false">O1874+S1874</f>
        <v>16</v>
      </c>
      <c r="V1874" s="0" t="n">
        <f aca="false">T1874-U1874</f>
        <v>-4</v>
      </c>
      <c r="W1874" s="0" t="n">
        <f aca="false">T1874+U1874</f>
        <v>28</v>
      </c>
    </row>
    <row r="1875" customFormat="false" ht="15" hidden="false" customHeight="false" outlineLevel="0" collapsed="false">
      <c r="A1875" s="0" t="n">
        <v>1872</v>
      </c>
      <c r="B1875" s="0" t="n">
        <f aca="true">NORMINV(RAND(),1,Coefficients!$B$22)</f>
        <v>0.877944187680967</v>
      </c>
      <c r="C1875" s="0" t="n">
        <f aca="true">MEDIAN(8,16,ROUND(NORMINV(RAND(),Coefficients!$B$20,Coefficients!$B$21),0))</f>
        <v>10</v>
      </c>
      <c r="D1875" s="0" t="n">
        <f aca="true">CRITBINOM($C1875,MIN(0.75,Matchup!$B$39*$B1875),RAND())</f>
        <v>2</v>
      </c>
      <c r="E1875" s="0" t="n">
        <f aca="true">CRITBINOM(D1875,Coefficients!$B$30,RAND())</f>
        <v>0</v>
      </c>
      <c r="F1875" s="0" t="n">
        <f aca="true">CRITBINOM(E1875,Coefficients!$B$31,RAND())</f>
        <v>0</v>
      </c>
      <c r="G1875" s="0" t="n">
        <f aca="true">CRITBINOM(MAX(0,D1875-E1875),1-Coefficients!$B$32,RAND())</f>
        <v>0</v>
      </c>
      <c r="H1875" s="0" t="n">
        <f aca="true">CRITBINOM(MAX(0,$C1875-D1875),MIN(0.6,Matchup!$B$40*SQRT($B1875)/(1-MIN(0.75,Matchup!$B$39*$B1875))),RAND())</f>
        <v>0</v>
      </c>
      <c r="I1875" s="0" t="n">
        <f aca="false">6*D1875+(D1875-E1875-G1875)+2*F1875+3*H1875</f>
        <v>14</v>
      </c>
      <c r="J1875" s="0" t="n">
        <f aca="true">CRITBINOM($C1875,MIN(0.75,Matchup!$C$39*$B1875),RAND())</f>
        <v>3</v>
      </c>
      <c r="K1875" s="0" t="n">
        <f aca="true">CRITBINOM(J1875,Coefficients!$B$30,RAND())</f>
        <v>0</v>
      </c>
      <c r="L1875" s="0" t="n">
        <f aca="true">CRITBINOM(K1875,Coefficients!$B$31,RAND())</f>
        <v>0</v>
      </c>
      <c r="M1875" s="0" t="n">
        <f aca="true">CRITBINOM(MAX(0,J1875-K1875),1-Coefficients!$B$32,RAND())</f>
        <v>0</v>
      </c>
      <c r="N1875" s="0" t="n">
        <f aca="true">CRITBINOM(MAX(0,$C1875-J1875),MIN(0.6,Matchup!$C$40*SQRT($B1875)/(1-MIN(0.75,Matchup!$C$39*$B1875))),RAND())</f>
        <v>2</v>
      </c>
      <c r="O1875" s="0" t="n">
        <f aca="false">6*J1875+(J1875-K1875-M1875)+2*L1875+3*N1875</f>
        <v>27</v>
      </c>
      <c r="P1875" s="0" t="n">
        <f aca="true">RAND()</f>
        <v>0.0469021186770358</v>
      </c>
      <c r="Q1875" s="0" t="n">
        <f aca="true">RAND()</f>
        <v>0.116383076468829</v>
      </c>
      <c r="R1875" s="0" t="n">
        <f aca="false">IF($I1875&lt;&gt;$O1875,0,IF(P1875&lt;Matchup!$B$39,7,IF(P1875&lt;Matchup!$B$39+Matchup!$B$40,3,0)))</f>
        <v>0</v>
      </c>
      <c r="S1875" s="0" t="n">
        <f aca="false">IF($I1875&lt;&gt;$O1875,0,IF(Q1875&lt;Matchup!$C$39,7,IF(Q1875&lt;Matchup!$C$39+Matchup!$C$40,3,0)))</f>
        <v>0</v>
      </c>
      <c r="T1875" s="0" t="n">
        <f aca="false">I1875+R1875</f>
        <v>14</v>
      </c>
      <c r="U1875" s="0" t="n">
        <f aca="false">O1875+S1875</f>
        <v>27</v>
      </c>
      <c r="V1875" s="0" t="n">
        <f aca="false">T1875-U1875</f>
        <v>-13</v>
      </c>
      <c r="W1875" s="0" t="n">
        <f aca="false">T1875+U1875</f>
        <v>41</v>
      </c>
    </row>
    <row r="1876" customFormat="false" ht="15" hidden="false" customHeight="false" outlineLevel="0" collapsed="false">
      <c r="A1876" s="0" t="n">
        <v>1873</v>
      </c>
      <c r="B1876" s="0" t="n">
        <f aca="true">NORMINV(RAND(),1,Coefficients!$B$22)</f>
        <v>1.086964532482</v>
      </c>
      <c r="C1876" s="0" t="n">
        <f aca="true">MEDIAN(8,16,ROUND(NORMINV(RAND(),Coefficients!$B$20,Coefficients!$B$21),0))</f>
        <v>12</v>
      </c>
      <c r="D1876" s="0" t="n">
        <f aca="true">CRITBINOM($C1876,MIN(0.75,Matchup!$B$39*$B1876),RAND())</f>
        <v>3</v>
      </c>
      <c r="E1876" s="0" t="n">
        <f aca="true">CRITBINOM(D1876,Coefficients!$B$30,RAND())</f>
        <v>0</v>
      </c>
      <c r="F1876" s="0" t="n">
        <f aca="true">CRITBINOM(E1876,Coefficients!$B$31,RAND())</f>
        <v>0</v>
      </c>
      <c r="G1876" s="0" t="n">
        <f aca="true">CRITBINOM(MAX(0,D1876-E1876),1-Coefficients!$B$32,RAND())</f>
        <v>0</v>
      </c>
      <c r="H1876" s="0" t="n">
        <f aca="true">CRITBINOM(MAX(0,$C1876-D1876),MIN(0.6,Matchup!$B$40*SQRT($B1876)/(1-MIN(0.75,Matchup!$B$39*$B1876))),RAND())</f>
        <v>1</v>
      </c>
      <c r="I1876" s="0" t="n">
        <f aca="false">6*D1876+(D1876-E1876-G1876)+2*F1876+3*H1876</f>
        <v>24</v>
      </c>
      <c r="J1876" s="0" t="n">
        <f aca="true">CRITBINOM($C1876,MIN(0.75,Matchup!$C$39*$B1876),RAND())</f>
        <v>0</v>
      </c>
      <c r="K1876" s="0" t="n">
        <f aca="true">CRITBINOM(J1876,Coefficients!$B$30,RAND())</f>
        <v>0</v>
      </c>
      <c r="L1876" s="0" t="n">
        <f aca="true">CRITBINOM(K1876,Coefficients!$B$31,RAND())</f>
        <v>0</v>
      </c>
      <c r="M1876" s="0" t="n">
        <f aca="true">CRITBINOM(MAX(0,J1876-K1876),1-Coefficients!$B$32,RAND())</f>
        <v>0</v>
      </c>
      <c r="N1876" s="0" t="n">
        <f aca="true">CRITBINOM(MAX(0,$C1876-J1876),MIN(0.6,Matchup!$C$40*SQRT($B1876)/(1-MIN(0.75,Matchup!$C$39*$B1876))),RAND())</f>
        <v>1</v>
      </c>
      <c r="O1876" s="0" t="n">
        <f aca="false">6*J1876+(J1876-K1876-M1876)+2*L1876+3*N1876</f>
        <v>3</v>
      </c>
      <c r="P1876" s="0" t="n">
        <f aca="true">RAND()</f>
        <v>0.474691698282986</v>
      </c>
      <c r="Q1876" s="0" t="n">
        <f aca="true">RAND()</f>
        <v>0.503473510113168</v>
      </c>
      <c r="R1876" s="0" t="n">
        <f aca="false">IF($I1876&lt;&gt;$O1876,0,IF(P1876&lt;Matchup!$B$39,7,IF(P1876&lt;Matchup!$B$39+Matchup!$B$40,3,0)))</f>
        <v>0</v>
      </c>
      <c r="S1876" s="0" t="n">
        <f aca="false">IF($I1876&lt;&gt;$O1876,0,IF(Q1876&lt;Matchup!$C$39,7,IF(Q1876&lt;Matchup!$C$39+Matchup!$C$40,3,0)))</f>
        <v>0</v>
      </c>
      <c r="T1876" s="0" t="n">
        <f aca="false">I1876+R1876</f>
        <v>24</v>
      </c>
      <c r="U1876" s="0" t="n">
        <f aca="false">O1876+S1876</f>
        <v>3</v>
      </c>
      <c r="V1876" s="0" t="n">
        <f aca="false">T1876-U1876</f>
        <v>21</v>
      </c>
      <c r="W1876" s="0" t="n">
        <f aca="false">T1876+U1876</f>
        <v>27</v>
      </c>
    </row>
    <row r="1877" customFormat="false" ht="15" hidden="false" customHeight="false" outlineLevel="0" collapsed="false">
      <c r="A1877" s="0" t="n">
        <v>1874</v>
      </c>
      <c r="B1877" s="0" t="n">
        <f aca="true">NORMINV(RAND(),1,Coefficients!$B$22)</f>
        <v>1.04640652547078</v>
      </c>
      <c r="C1877" s="0" t="n">
        <f aca="true">MEDIAN(8,16,ROUND(NORMINV(RAND(),Coefficients!$B$20,Coefficients!$B$21),0))</f>
        <v>12</v>
      </c>
      <c r="D1877" s="0" t="n">
        <f aca="true">CRITBINOM($C1877,MIN(0.75,Matchup!$B$39*$B1877),RAND())</f>
        <v>1</v>
      </c>
      <c r="E1877" s="0" t="n">
        <f aca="true">CRITBINOM(D1877,Coefficients!$B$30,RAND())</f>
        <v>1</v>
      </c>
      <c r="F1877" s="0" t="n">
        <f aca="true">CRITBINOM(E1877,Coefficients!$B$31,RAND())</f>
        <v>1</v>
      </c>
      <c r="G1877" s="0" t="n">
        <f aca="true">CRITBINOM(MAX(0,D1877-E1877),1-Coefficients!$B$32,RAND())</f>
        <v>0</v>
      </c>
      <c r="H1877" s="0" t="n">
        <f aca="true">CRITBINOM(MAX(0,$C1877-D1877),MIN(0.6,Matchup!$B$40*SQRT($B1877)/(1-MIN(0.75,Matchup!$B$39*$B1877))),RAND())</f>
        <v>1</v>
      </c>
      <c r="I1877" s="0" t="n">
        <f aca="false">6*D1877+(D1877-E1877-G1877)+2*F1877+3*H1877</f>
        <v>11</v>
      </c>
      <c r="J1877" s="0" t="n">
        <f aca="true">CRITBINOM($C1877,MIN(0.75,Matchup!$C$39*$B1877),RAND())</f>
        <v>2</v>
      </c>
      <c r="K1877" s="0" t="n">
        <f aca="true">CRITBINOM(J1877,Coefficients!$B$30,RAND())</f>
        <v>0</v>
      </c>
      <c r="L1877" s="0" t="n">
        <f aca="true">CRITBINOM(K1877,Coefficients!$B$31,RAND())</f>
        <v>0</v>
      </c>
      <c r="M1877" s="0" t="n">
        <f aca="true">CRITBINOM(MAX(0,J1877-K1877),1-Coefficients!$B$32,RAND())</f>
        <v>0</v>
      </c>
      <c r="N1877" s="0" t="n">
        <f aca="true">CRITBINOM(MAX(0,$C1877-J1877),MIN(0.6,Matchup!$C$40*SQRT($B1877)/(1-MIN(0.75,Matchup!$C$39*$B1877))),RAND())</f>
        <v>3</v>
      </c>
      <c r="O1877" s="0" t="n">
        <f aca="false">6*J1877+(J1877-K1877-M1877)+2*L1877+3*N1877</f>
        <v>23</v>
      </c>
      <c r="P1877" s="0" t="n">
        <f aca="true">RAND()</f>
        <v>0.750987560250305</v>
      </c>
      <c r="Q1877" s="0" t="n">
        <f aca="true">RAND()</f>
        <v>0.714368426417898</v>
      </c>
      <c r="R1877" s="0" t="n">
        <f aca="false">IF($I1877&lt;&gt;$O1877,0,IF(P1877&lt;Matchup!$B$39,7,IF(P1877&lt;Matchup!$B$39+Matchup!$B$40,3,0)))</f>
        <v>0</v>
      </c>
      <c r="S1877" s="0" t="n">
        <f aca="false">IF($I1877&lt;&gt;$O1877,0,IF(Q1877&lt;Matchup!$C$39,7,IF(Q1877&lt;Matchup!$C$39+Matchup!$C$40,3,0)))</f>
        <v>0</v>
      </c>
      <c r="T1877" s="0" t="n">
        <f aca="false">I1877+R1877</f>
        <v>11</v>
      </c>
      <c r="U1877" s="0" t="n">
        <f aca="false">O1877+S1877</f>
        <v>23</v>
      </c>
      <c r="V1877" s="0" t="n">
        <f aca="false">T1877-U1877</f>
        <v>-12</v>
      </c>
      <c r="W1877" s="0" t="n">
        <f aca="false">T1877+U1877</f>
        <v>34</v>
      </c>
    </row>
    <row r="1878" customFormat="false" ht="15" hidden="false" customHeight="false" outlineLevel="0" collapsed="false">
      <c r="A1878" s="0" t="n">
        <v>1875</v>
      </c>
      <c r="B1878" s="0" t="n">
        <f aca="true">NORMINV(RAND(),1,Coefficients!$B$22)</f>
        <v>0.993595071612119</v>
      </c>
      <c r="C1878" s="0" t="n">
        <f aca="true">MEDIAN(8,16,ROUND(NORMINV(RAND(),Coefficients!$B$20,Coefficients!$B$21),0))</f>
        <v>10</v>
      </c>
      <c r="D1878" s="0" t="n">
        <f aca="true">CRITBINOM($C1878,MIN(0.75,Matchup!$B$39*$B1878),RAND())</f>
        <v>1</v>
      </c>
      <c r="E1878" s="0" t="n">
        <f aca="true">CRITBINOM(D1878,Coefficients!$B$30,RAND())</f>
        <v>0</v>
      </c>
      <c r="F1878" s="0" t="n">
        <f aca="true">CRITBINOM(E1878,Coefficients!$B$31,RAND())</f>
        <v>0</v>
      </c>
      <c r="G1878" s="0" t="n">
        <f aca="true">CRITBINOM(MAX(0,D1878-E1878),1-Coefficients!$B$32,RAND())</f>
        <v>0</v>
      </c>
      <c r="H1878" s="0" t="n">
        <f aca="true">CRITBINOM(MAX(0,$C1878-D1878),MIN(0.6,Matchup!$B$40*SQRT($B1878)/(1-MIN(0.75,Matchup!$B$39*$B1878))),RAND())</f>
        <v>0</v>
      </c>
      <c r="I1878" s="0" t="n">
        <f aca="false">6*D1878+(D1878-E1878-G1878)+2*F1878+3*H1878</f>
        <v>7</v>
      </c>
      <c r="J1878" s="0" t="n">
        <f aca="true">CRITBINOM($C1878,MIN(0.75,Matchup!$C$39*$B1878),RAND())</f>
        <v>2</v>
      </c>
      <c r="K1878" s="0" t="n">
        <f aca="true">CRITBINOM(J1878,Coefficients!$B$30,RAND())</f>
        <v>0</v>
      </c>
      <c r="L1878" s="0" t="n">
        <f aca="true">CRITBINOM(K1878,Coefficients!$B$31,RAND())</f>
        <v>0</v>
      </c>
      <c r="M1878" s="0" t="n">
        <f aca="true">CRITBINOM(MAX(0,J1878-K1878),1-Coefficients!$B$32,RAND())</f>
        <v>0</v>
      </c>
      <c r="N1878" s="0" t="n">
        <f aca="true">CRITBINOM(MAX(0,$C1878-J1878),MIN(0.6,Matchup!$C$40*SQRT($B1878)/(1-MIN(0.75,Matchup!$C$39*$B1878))),RAND())</f>
        <v>0</v>
      </c>
      <c r="O1878" s="0" t="n">
        <f aca="false">6*J1878+(J1878-K1878-M1878)+2*L1878+3*N1878</f>
        <v>14</v>
      </c>
      <c r="P1878" s="0" t="n">
        <f aca="true">RAND()</f>
        <v>0.948843850363527</v>
      </c>
      <c r="Q1878" s="0" t="n">
        <f aca="true">RAND()</f>
        <v>0.612055072473996</v>
      </c>
      <c r="R1878" s="0" t="n">
        <f aca="false">IF($I1878&lt;&gt;$O1878,0,IF(P1878&lt;Matchup!$B$39,7,IF(P1878&lt;Matchup!$B$39+Matchup!$B$40,3,0)))</f>
        <v>0</v>
      </c>
      <c r="S1878" s="0" t="n">
        <f aca="false">IF($I1878&lt;&gt;$O1878,0,IF(Q1878&lt;Matchup!$C$39,7,IF(Q1878&lt;Matchup!$C$39+Matchup!$C$40,3,0)))</f>
        <v>0</v>
      </c>
      <c r="T1878" s="0" t="n">
        <f aca="false">I1878+R1878</f>
        <v>7</v>
      </c>
      <c r="U1878" s="0" t="n">
        <f aca="false">O1878+S1878</f>
        <v>14</v>
      </c>
      <c r="V1878" s="0" t="n">
        <f aca="false">T1878-U1878</f>
        <v>-7</v>
      </c>
      <c r="W1878" s="0" t="n">
        <f aca="false">T1878+U1878</f>
        <v>21</v>
      </c>
    </row>
    <row r="1879" customFormat="false" ht="15" hidden="false" customHeight="false" outlineLevel="0" collapsed="false">
      <c r="A1879" s="0" t="n">
        <v>1876</v>
      </c>
      <c r="B1879" s="0" t="n">
        <f aca="true">NORMINV(RAND(),1,Coefficients!$B$22)</f>
        <v>0.830501371005101</v>
      </c>
      <c r="C1879" s="0" t="n">
        <f aca="true">MEDIAN(8,16,ROUND(NORMINV(RAND(),Coefficients!$B$20,Coefficients!$B$21),0))</f>
        <v>12</v>
      </c>
      <c r="D1879" s="0" t="n">
        <f aca="true">CRITBINOM($C1879,MIN(0.75,Matchup!$B$39*$B1879),RAND())</f>
        <v>5</v>
      </c>
      <c r="E1879" s="0" t="n">
        <f aca="true">CRITBINOM(D1879,Coefficients!$B$30,RAND())</f>
        <v>1</v>
      </c>
      <c r="F1879" s="0" t="n">
        <f aca="true">CRITBINOM(E1879,Coefficients!$B$31,RAND())</f>
        <v>1</v>
      </c>
      <c r="G1879" s="0" t="n">
        <f aca="true">CRITBINOM(MAX(0,D1879-E1879),1-Coefficients!$B$32,RAND())</f>
        <v>0</v>
      </c>
      <c r="H1879" s="0" t="n">
        <f aca="true">CRITBINOM(MAX(0,$C1879-D1879),MIN(0.6,Matchup!$B$40*SQRT($B1879)/(1-MIN(0.75,Matchup!$B$39*$B1879))),RAND())</f>
        <v>1</v>
      </c>
      <c r="I1879" s="0" t="n">
        <f aca="false">6*D1879+(D1879-E1879-G1879)+2*F1879+3*H1879</f>
        <v>39</v>
      </c>
      <c r="J1879" s="0" t="n">
        <f aca="true">CRITBINOM($C1879,MIN(0.75,Matchup!$C$39*$B1879),RAND())</f>
        <v>0</v>
      </c>
      <c r="K1879" s="0" t="n">
        <f aca="true">CRITBINOM(J1879,Coefficients!$B$30,RAND())</f>
        <v>0</v>
      </c>
      <c r="L1879" s="0" t="n">
        <f aca="true">CRITBINOM(K1879,Coefficients!$B$31,RAND())</f>
        <v>0</v>
      </c>
      <c r="M1879" s="0" t="n">
        <f aca="true">CRITBINOM(MAX(0,J1879-K1879),1-Coefficients!$B$32,RAND())</f>
        <v>0</v>
      </c>
      <c r="N1879" s="0" t="n">
        <f aca="true">CRITBINOM(MAX(0,$C1879-J1879),MIN(0.6,Matchup!$C$40*SQRT($B1879)/(1-MIN(0.75,Matchup!$C$39*$B1879))),RAND())</f>
        <v>2</v>
      </c>
      <c r="O1879" s="0" t="n">
        <f aca="false">6*J1879+(J1879-K1879-M1879)+2*L1879+3*N1879</f>
        <v>6</v>
      </c>
      <c r="P1879" s="0" t="n">
        <f aca="true">RAND()</f>
        <v>0.285506019601871</v>
      </c>
      <c r="Q1879" s="0" t="n">
        <f aca="true">RAND()</f>
        <v>0.566662959797927</v>
      </c>
      <c r="R1879" s="0" t="n">
        <f aca="false">IF($I1879&lt;&gt;$O1879,0,IF(P1879&lt;Matchup!$B$39,7,IF(P1879&lt;Matchup!$B$39+Matchup!$B$40,3,0)))</f>
        <v>0</v>
      </c>
      <c r="S1879" s="0" t="n">
        <f aca="false">IF($I1879&lt;&gt;$O1879,0,IF(Q1879&lt;Matchup!$C$39,7,IF(Q1879&lt;Matchup!$C$39+Matchup!$C$40,3,0)))</f>
        <v>0</v>
      </c>
      <c r="T1879" s="0" t="n">
        <f aca="false">I1879+R1879</f>
        <v>39</v>
      </c>
      <c r="U1879" s="0" t="n">
        <f aca="false">O1879+S1879</f>
        <v>6</v>
      </c>
      <c r="V1879" s="0" t="n">
        <f aca="false">T1879-U1879</f>
        <v>33</v>
      </c>
      <c r="W1879" s="0" t="n">
        <f aca="false">T1879+U1879</f>
        <v>45</v>
      </c>
    </row>
    <row r="1880" customFormat="false" ht="15" hidden="false" customHeight="false" outlineLevel="0" collapsed="false">
      <c r="A1880" s="0" t="n">
        <v>1877</v>
      </c>
      <c r="B1880" s="0" t="n">
        <f aca="true">NORMINV(RAND(),1,Coefficients!$B$22)</f>
        <v>1.08017566481353</v>
      </c>
      <c r="C1880" s="0" t="n">
        <f aca="true">MEDIAN(8,16,ROUND(NORMINV(RAND(),Coefficients!$B$20,Coefficients!$B$21),0))</f>
        <v>12</v>
      </c>
      <c r="D1880" s="0" t="n">
        <f aca="true">CRITBINOM($C1880,MIN(0.75,Matchup!$B$39*$B1880),RAND())</f>
        <v>2</v>
      </c>
      <c r="E1880" s="0" t="n">
        <f aca="true">CRITBINOM(D1880,Coefficients!$B$30,RAND())</f>
        <v>0</v>
      </c>
      <c r="F1880" s="0" t="n">
        <f aca="true">CRITBINOM(E1880,Coefficients!$B$31,RAND())</f>
        <v>0</v>
      </c>
      <c r="G1880" s="0" t="n">
        <f aca="true">CRITBINOM(MAX(0,D1880-E1880),1-Coefficients!$B$32,RAND())</f>
        <v>0</v>
      </c>
      <c r="H1880" s="0" t="n">
        <f aca="true">CRITBINOM(MAX(0,$C1880-D1880),MIN(0.6,Matchup!$B$40*SQRT($B1880)/(1-MIN(0.75,Matchup!$B$39*$B1880))),RAND())</f>
        <v>2</v>
      </c>
      <c r="I1880" s="0" t="n">
        <f aca="false">6*D1880+(D1880-E1880-G1880)+2*F1880+3*H1880</f>
        <v>20</v>
      </c>
      <c r="J1880" s="0" t="n">
        <f aca="true">CRITBINOM($C1880,MIN(0.75,Matchup!$C$39*$B1880),RAND())</f>
        <v>3</v>
      </c>
      <c r="K1880" s="0" t="n">
        <f aca="true">CRITBINOM(J1880,Coefficients!$B$30,RAND())</f>
        <v>0</v>
      </c>
      <c r="L1880" s="0" t="n">
        <f aca="true">CRITBINOM(K1880,Coefficients!$B$31,RAND())</f>
        <v>0</v>
      </c>
      <c r="M1880" s="0" t="n">
        <f aca="true">CRITBINOM(MAX(0,J1880-K1880),1-Coefficients!$B$32,RAND())</f>
        <v>0</v>
      </c>
      <c r="N1880" s="0" t="n">
        <f aca="true">CRITBINOM(MAX(0,$C1880-J1880),MIN(0.6,Matchup!$C$40*SQRT($B1880)/(1-MIN(0.75,Matchup!$C$39*$B1880))),RAND())</f>
        <v>2</v>
      </c>
      <c r="O1880" s="0" t="n">
        <f aca="false">6*J1880+(J1880-K1880-M1880)+2*L1880+3*N1880</f>
        <v>27</v>
      </c>
      <c r="P1880" s="0" t="n">
        <f aca="true">RAND()</f>
        <v>0.212429143909766</v>
      </c>
      <c r="Q1880" s="0" t="n">
        <f aca="true">RAND()</f>
        <v>0.496066898196</v>
      </c>
      <c r="R1880" s="0" t="n">
        <f aca="false">IF($I1880&lt;&gt;$O1880,0,IF(P1880&lt;Matchup!$B$39,7,IF(P1880&lt;Matchup!$B$39+Matchup!$B$40,3,0)))</f>
        <v>0</v>
      </c>
      <c r="S1880" s="0" t="n">
        <f aca="false">IF($I1880&lt;&gt;$O1880,0,IF(Q1880&lt;Matchup!$C$39,7,IF(Q1880&lt;Matchup!$C$39+Matchup!$C$40,3,0)))</f>
        <v>0</v>
      </c>
      <c r="T1880" s="0" t="n">
        <f aca="false">I1880+R1880</f>
        <v>20</v>
      </c>
      <c r="U1880" s="0" t="n">
        <f aca="false">O1880+S1880</f>
        <v>27</v>
      </c>
      <c r="V1880" s="0" t="n">
        <f aca="false">T1880-U1880</f>
        <v>-7</v>
      </c>
      <c r="W1880" s="0" t="n">
        <f aca="false">T1880+U1880</f>
        <v>47</v>
      </c>
    </row>
    <row r="1881" customFormat="false" ht="15" hidden="false" customHeight="false" outlineLevel="0" collapsed="false">
      <c r="A1881" s="0" t="n">
        <v>1878</v>
      </c>
      <c r="B1881" s="0" t="n">
        <f aca="true">NORMINV(RAND(),1,Coefficients!$B$22)</f>
        <v>1.04298290341636</v>
      </c>
      <c r="C1881" s="0" t="n">
        <f aca="true">MEDIAN(8,16,ROUND(NORMINV(RAND(),Coefficients!$B$20,Coefficients!$B$21),0))</f>
        <v>12</v>
      </c>
      <c r="D1881" s="0" t="n">
        <f aca="true">CRITBINOM($C1881,MIN(0.75,Matchup!$B$39*$B1881),RAND())</f>
        <v>3</v>
      </c>
      <c r="E1881" s="0" t="n">
        <f aca="true">CRITBINOM(D1881,Coefficients!$B$30,RAND())</f>
        <v>0</v>
      </c>
      <c r="F1881" s="0" t="n">
        <f aca="true">CRITBINOM(E1881,Coefficients!$B$31,RAND())</f>
        <v>0</v>
      </c>
      <c r="G1881" s="0" t="n">
        <f aca="true">CRITBINOM(MAX(0,D1881-E1881),1-Coefficients!$B$32,RAND())</f>
        <v>0</v>
      </c>
      <c r="H1881" s="0" t="n">
        <f aca="true">CRITBINOM(MAX(0,$C1881-D1881),MIN(0.6,Matchup!$B$40*SQRT($B1881)/(1-MIN(0.75,Matchup!$B$39*$B1881))),RAND())</f>
        <v>2</v>
      </c>
      <c r="I1881" s="0" t="n">
        <f aca="false">6*D1881+(D1881-E1881-G1881)+2*F1881+3*H1881</f>
        <v>27</v>
      </c>
      <c r="J1881" s="0" t="n">
        <f aca="true">CRITBINOM($C1881,MIN(0.75,Matchup!$C$39*$B1881),RAND())</f>
        <v>1</v>
      </c>
      <c r="K1881" s="0" t="n">
        <f aca="true">CRITBINOM(J1881,Coefficients!$B$30,RAND())</f>
        <v>0</v>
      </c>
      <c r="L1881" s="0" t="n">
        <f aca="true">CRITBINOM(K1881,Coefficients!$B$31,RAND())</f>
        <v>0</v>
      </c>
      <c r="M1881" s="0" t="n">
        <f aca="true">CRITBINOM(MAX(0,J1881-K1881),1-Coefficients!$B$32,RAND())</f>
        <v>0</v>
      </c>
      <c r="N1881" s="0" t="n">
        <f aca="true">CRITBINOM(MAX(0,$C1881-J1881),MIN(0.6,Matchup!$C$40*SQRT($B1881)/(1-MIN(0.75,Matchup!$C$39*$B1881))),RAND())</f>
        <v>0</v>
      </c>
      <c r="O1881" s="0" t="n">
        <f aca="false">6*J1881+(J1881-K1881-M1881)+2*L1881+3*N1881</f>
        <v>7</v>
      </c>
      <c r="P1881" s="0" t="n">
        <f aca="true">RAND()</f>
        <v>0.627961461151424</v>
      </c>
      <c r="Q1881" s="0" t="n">
        <f aca="true">RAND()</f>
        <v>0.720227498543158</v>
      </c>
      <c r="R1881" s="0" t="n">
        <f aca="false">IF($I1881&lt;&gt;$O1881,0,IF(P1881&lt;Matchup!$B$39,7,IF(P1881&lt;Matchup!$B$39+Matchup!$B$40,3,0)))</f>
        <v>0</v>
      </c>
      <c r="S1881" s="0" t="n">
        <f aca="false">IF($I1881&lt;&gt;$O1881,0,IF(Q1881&lt;Matchup!$C$39,7,IF(Q1881&lt;Matchup!$C$39+Matchup!$C$40,3,0)))</f>
        <v>0</v>
      </c>
      <c r="T1881" s="0" t="n">
        <f aca="false">I1881+R1881</f>
        <v>27</v>
      </c>
      <c r="U1881" s="0" t="n">
        <f aca="false">O1881+S1881</f>
        <v>7</v>
      </c>
      <c r="V1881" s="0" t="n">
        <f aca="false">T1881-U1881</f>
        <v>20</v>
      </c>
      <c r="W1881" s="0" t="n">
        <f aca="false">T1881+U1881</f>
        <v>34</v>
      </c>
    </row>
    <row r="1882" customFormat="false" ht="15" hidden="false" customHeight="false" outlineLevel="0" collapsed="false">
      <c r="A1882" s="0" t="n">
        <v>1879</v>
      </c>
      <c r="B1882" s="0" t="n">
        <f aca="true">NORMINV(RAND(),1,Coefficients!$B$22)</f>
        <v>0.967206512266679</v>
      </c>
      <c r="C1882" s="0" t="n">
        <f aca="true">MEDIAN(8,16,ROUND(NORMINV(RAND(),Coefficients!$B$20,Coefficients!$B$21),0))</f>
        <v>11</v>
      </c>
      <c r="D1882" s="0" t="n">
        <f aca="true">CRITBINOM($C1882,MIN(0.75,Matchup!$B$39*$B1882),RAND())</f>
        <v>4</v>
      </c>
      <c r="E1882" s="0" t="n">
        <f aca="true">CRITBINOM(D1882,Coefficients!$B$30,RAND())</f>
        <v>0</v>
      </c>
      <c r="F1882" s="0" t="n">
        <f aca="true">CRITBINOM(E1882,Coefficients!$B$31,RAND())</f>
        <v>0</v>
      </c>
      <c r="G1882" s="0" t="n">
        <f aca="true">CRITBINOM(MAX(0,D1882-E1882),1-Coefficients!$B$32,RAND())</f>
        <v>0</v>
      </c>
      <c r="H1882" s="0" t="n">
        <f aca="true">CRITBINOM(MAX(0,$C1882-D1882),MIN(0.6,Matchup!$B$40*SQRT($B1882)/(1-MIN(0.75,Matchup!$B$39*$B1882))),RAND())</f>
        <v>1</v>
      </c>
      <c r="I1882" s="0" t="n">
        <f aca="false">6*D1882+(D1882-E1882-G1882)+2*F1882+3*H1882</f>
        <v>31</v>
      </c>
      <c r="J1882" s="0" t="n">
        <f aca="true">CRITBINOM($C1882,MIN(0.75,Matchup!$C$39*$B1882),RAND())</f>
        <v>1</v>
      </c>
      <c r="K1882" s="0" t="n">
        <f aca="true">CRITBINOM(J1882,Coefficients!$B$30,RAND())</f>
        <v>0</v>
      </c>
      <c r="L1882" s="0" t="n">
        <f aca="true">CRITBINOM(K1882,Coefficients!$B$31,RAND())</f>
        <v>0</v>
      </c>
      <c r="M1882" s="0" t="n">
        <f aca="true">CRITBINOM(MAX(0,J1882-K1882),1-Coefficients!$B$32,RAND())</f>
        <v>0</v>
      </c>
      <c r="N1882" s="0" t="n">
        <f aca="true">CRITBINOM(MAX(0,$C1882-J1882),MIN(0.6,Matchup!$C$40*SQRT($B1882)/(1-MIN(0.75,Matchup!$C$39*$B1882))),RAND())</f>
        <v>1</v>
      </c>
      <c r="O1882" s="0" t="n">
        <f aca="false">6*J1882+(J1882-K1882-M1882)+2*L1882+3*N1882</f>
        <v>10</v>
      </c>
      <c r="P1882" s="0" t="n">
        <f aca="true">RAND()</f>
        <v>0.741516983205917</v>
      </c>
      <c r="Q1882" s="0" t="n">
        <f aca="true">RAND()</f>
        <v>0.462686513959172</v>
      </c>
      <c r="R1882" s="0" t="n">
        <f aca="false">IF($I1882&lt;&gt;$O1882,0,IF(P1882&lt;Matchup!$B$39,7,IF(P1882&lt;Matchup!$B$39+Matchup!$B$40,3,0)))</f>
        <v>0</v>
      </c>
      <c r="S1882" s="0" t="n">
        <f aca="false">IF($I1882&lt;&gt;$O1882,0,IF(Q1882&lt;Matchup!$C$39,7,IF(Q1882&lt;Matchup!$C$39+Matchup!$C$40,3,0)))</f>
        <v>0</v>
      </c>
      <c r="T1882" s="0" t="n">
        <f aca="false">I1882+R1882</f>
        <v>31</v>
      </c>
      <c r="U1882" s="0" t="n">
        <f aca="false">O1882+S1882</f>
        <v>10</v>
      </c>
      <c r="V1882" s="0" t="n">
        <f aca="false">T1882-U1882</f>
        <v>21</v>
      </c>
      <c r="W1882" s="0" t="n">
        <f aca="false">T1882+U1882</f>
        <v>41</v>
      </c>
    </row>
    <row r="1883" customFormat="false" ht="15" hidden="false" customHeight="false" outlineLevel="0" collapsed="false">
      <c r="A1883" s="0" t="n">
        <v>1880</v>
      </c>
      <c r="B1883" s="0" t="n">
        <f aca="true">NORMINV(RAND(),1,Coefficients!$B$22)</f>
        <v>0.80387395779635</v>
      </c>
      <c r="C1883" s="0" t="n">
        <f aca="true">MEDIAN(8,16,ROUND(NORMINV(RAND(),Coefficients!$B$20,Coefficients!$B$21),0))</f>
        <v>12</v>
      </c>
      <c r="D1883" s="0" t="n">
        <f aca="true">CRITBINOM($C1883,MIN(0.75,Matchup!$B$39*$B1883),RAND())</f>
        <v>5</v>
      </c>
      <c r="E1883" s="0" t="n">
        <f aca="true">CRITBINOM(D1883,Coefficients!$B$30,RAND())</f>
        <v>2</v>
      </c>
      <c r="F1883" s="0" t="n">
        <f aca="true">CRITBINOM(E1883,Coefficients!$B$31,RAND())</f>
        <v>1</v>
      </c>
      <c r="G1883" s="0" t="n">
        <f aca="true">CRITBINOM(MAX(0,D1883-E1883),1-Coefficients!$B$32,RAND())</f>
        <v>0</v>
      </c>
      <c r="H1883" s="0" t="n">
        <f aca="true">CRITBINOM(MAX(0,$C1883-D1883),MIN(0.6,Matchup!$B$40*SQRT($B1883)/(1-MIN(0.75,Matchup!$B$39*$B1883))),RAND())</f>
        <v>1</v>
      </c>
      <c r="I1883" s="0" t="n">
        <f aca="false">6*D1883+(D1883-E1883-G1883)+2*F1883+3*H1883</f>
        <v>38</v>
      </c>
      <c r="J1883" s="0" t="n">
        <f aca="true">CRITBINOM($C1883,MIN(0.75,Matchup!$C$39*$B1883),RAND())</f>
        <v>2</v>
      </c>
      <c r="K1883" s="0" t="n">
        <f aca="true">CRITBINOM(J1883,Coefficients!$B$30,RAND())</f>
        <v>0</v>
      </c>
      <c r="L1883" s="0" t="n">
        <f aca="true">CRITBINOM(K1883,Coefficients!$B$31,RAND())</f>
        <v>0</v>
      </c>
      <c r="M1883" s="0" t="n">
        <f aca="true">CRITBINOM(MAX(0,J1883-K1883),1-Coefficients!$B$32,RAND())</f>
        <v>0</v>
      </c>
      <c r="N1883" s="0" t="n">
        <f aca="true">CRITBINOM(MAX(0,$C1883-J1883),MIN(0.6,Matchup!$C$40*SQRT($B1883)/(1-MIN(0.75,Matchup!$C$39*$B1883))),RAND())</f>
        <v>4</v>
      </c>
      <c r="O1883" s="0" t="n">
        <f aca="false">6*J1883+(J1883-K1883-M1883)+2*L1883+3*N1883</f>
        <v>26</v>
      </c>
      <c r="P1883" s="0" t="n">
        <f aca="true">RAND()</f>
        <v>0.687007558942448</v>
      </c>
      <c r="Q1883" s="0" t="n">
        <f aca="true">RAND()</f>
        <v>0.439490004797828</v>
      </c>
      <c r="R1883" s="0" t="n">
        <f aca="false">IF($I1883&lt;&gt;$O1883,0,IF(P1883&lt;Matchup!$B$39,7,IF(P1883&lt;Matchup!$B$39+Matchup!$B$40,3,0)))</f>
        <v>0</v>
      </c>
      <c r="S1883" s="0" t="n">
        <f aca="false">IF($I1883&lt;&gt;$O1883,0,IF(Q1883&lt;Matchup!$C$39,7,IF(Q1883&lt;Matchup!$C$39+Matchup!$C$40,3,0)))</f>
        <v>0</v>
      </c>
      <c r="T1883" s="0" t="n">
        <f aca="false">I1883+R1883</f>
        <v>38</v>
      </c>
      <c r="U1883" s="0" t="n">
        <f aca="false">O1883+S1883</f>
        <v>26</v>
      </c>
      <c r="V1883" s="0" t="n">
        <f aca="false">T1883-U1883</f>
        <v>12</v>
      </c>
      <c r="W1883" s="0" t="n">
        <f aca="false">T1883+U1883</f>
        <v>64</v>
      </c>
    </row>
    <row r="1884" customFormat="false" ht="15" hidden="false" customHeight="false" outlineLevel="0" collapsed="false">
      <c r="A1884" s="0" t="n">
        <v>1881</v>
      </c>
      <c r="B1884" s="0" t="n">
        <f aca="true">NORMINV(RAND(),1,Coefficients!$B$22)</f>
        <v>1.08149500818536</v>
      </c>
      <c r="C1884" s="0" t="n">
        <f aca="true">MEDIAN(8,16,ROUND(NORMINV(RAND(),Coefficients!$B$20,Coefficients!$B$21),0))</f>
        <v>8</v>
      </c>
      <c r="D1884" s="0" t="n">
        <f aca="true">CRITBINOM($C1884,MIN(0.75,Matchup!$B$39*$B1884),RAND())</f>
        <v>2</v>
      </c>
      <c r="E1884" s="0" t="n">
        <f aca="true">CRITBINOM(D1884,Coefficients!$B$30,RAND())</f>
        <v>0</v>
      </c>
      <c r="F1884" s="0" t="n">
        <f aca="true">CRITBINOM(E1884,Coefficients!$B$31,RAND())</f>
        <v>0</v>
      </c>
      <c r="G1884" s="0" t="n">
        <f aca="true">CRITBINOM(MAX(0,D1884-E1884),1-Coefficients!$B$32,RAND())</f>
        <v>0</v>
      </c>
      <c r="H1884" s="0" t="n">
        <f aca="true">CRITBINOM(MAX(0,$C1884-D1884),MIN(0.6,Matchup!$B$40*SQRT($B1884)/(1-MIN(0.75,Matchup!$B$39*$B1884))),RAND())</f>
        <v>0</v>
      </c>
      <c r="I1884" s="0" t="n">
        <f aca="false">6*D1884+(D1884-E1884-G1884)+2*F1884+3*H1884</f>
        <v>14</v>
      </c>
      <c r="J1884" s="0" t="n">
        <f aca="true">CRITBINOM($C1884,MIN(0.75,Matchup!$C$39*$B1884),RAND())</f>
        <v>3</v>
      </c>
      <c r="K1884" s="0" t="n">
        <f aca="true">CRITBINOM(J1884,Coefficients!$B$30,RAND())</f>
        <v>0</v>
      </c>
      <c r="L1884" s="0" t="n">
        <f aca="true">CRITBINOM(K1884,Coefficients!$B$31,RAND())</f>
        <v>0</v>
      </c>
      <c r="M1884" s="0" t="n">
        <f aca="true">CRITBINOM(MAX(0,J1884-K1884),1-Coefficients!$B$32,RAND())</f>
        <v>2</v>
      </c>
      <c r="N1884" s="0" t="n">
        <f aca="true">CRITBINOM(MAX(0,$C1884-J1884),MIN(0.6,Matchup!$C$40*SQRT($B1884)/(1-MIN(0.75,Matchup!$C$39*$B1884))),RAND())</f>
        <v>0</v>
      </c>
      <c r="O1884" s="0" t="n">
        <f aca="false">6*J1884+(J1884-K1884-M1884)+2*L1884+3*N1884</f>
        <v>19</v>
      </c>
      <c r="P1884" s="0" t="n">
        <f aca="true">RAND()</f>
        <v>0.245848420309531</v>
      </c>
      <c r="Q1884" s="0" t="n">
        <f aca="true">RAND()</f>
        <v>0.246142061502973</v>
      </c>
      <c r="R1884" s="0" t="n">
        <f aca="false">IF($I1884&lt;&gt;$O1884,0,IF(P1884&lt;Matchup!$B$39,7,IF(P1884&lt;Matchup!$B$39+Matchup!$B$40,3,0)))</f>
        <v>0</v>
      </c>
      <c r="S1884" s="0" t="n">
        <f aca="false">IF($I1884&lt;&gt;$O1884,0,IF(Q1884&lt;Matchup!$C$39,7,IF(Q1884&lt;Matchup!$C$39+Matchup!$C$40,3,0)))</f>
        <v>0</v>
      </c>
      <c r="T1884" s="0" t="n">
        <f aca="false">I1884+R1884</f>
        <v>14</v>
      </c>
      <c r="U1884" s="0" t="n">
        <f aca="false">O1884+S1884</f>
        <v>19</v>
      </c>
      <c r="V1884" s="0" t="n">
        <f aca="false">T1884-U1884</f>
        <v>-5</v>
      </c>
      <c r="W1884" s="0" t="n">
        <f aca="false">T1884+U1884</f>
        <v>33</v>
      </c>
    </row>
    <row r="1885" customFormat="false" ht="15" hidden="false" customHeight="false" outlineLevel="0" collapsed="false">
      <c r="A1885" s="0" t="n">
        <v>1882</v>
      </c>
      <c r="B1885" s="0" t="n">
        <f aca="true">NORMINV(RAND(),1,Coefficients!$B$22)</f>
        <v>0.918238410086555</v>
      </c>
      <c r="C1885" s="0" t="n">
        <f aca="true">MEDIAN(8,16,ROUND(NORMINV(RAND(),Coefficients!$B$20,Coefficients!$B$21),0))</f>
        <v>10</v>
      </c>
      <c r="D1885" s="0" t="n">
        <f aca="true">CRITBINOM($C1885,MIN(0.75,Matchup!$B$39*$B1885),RAND())</f>
        <v>0</v>
      </c>
      <c r="E1885" s="0" t="n">
        <f aca="true">CRITBINOM(D1885,Coefficients!$B$30,RAND())</f>
        <v>0</v>
      </c>
      <c r="F1885" s="0" t="n">
        <f aca="true">CRITBINOM(E1885,Coefficients!$B$31,RAND())</f>
        <v>0</v>
      </c>
      <c r="G1885" s="0" t="n">
        <f aca="true">CRITBINOM(MAX(0,D1885-E1885),1-Coefficients!$B$32,RAND())</f>
        <v>0</v>
      </c>
      <c r="H1885" s="0" t="n">
        <f aca="true">CRITBINOM(MAX(0,$C1885-D1885),MIN(0.6,Matchup!$B$40*SQRT($B1885)/(1-MIN(0.75,Matchup!$B$39*$B1885))),RAND())</f>
        <v>1</v>
      </c>
      <c r="I1885" s="0" t="n">
        <f aca="false">6*D1885+(D1885-E1885-G1885)+2*F1885+3*H1885</f>
        <v>3</v>
      </c>
      <c r="J1885" s="0" t="n">
        <f aca="true">CRITBINOM($C1885,MIN(0.75,Matchup!$C$39*$B1885),RAND())</f>
        <v>1</v>
      </c>
      <c r="K1885" s="0" t="n">
        <f aca="true">CRITBINOM(J1885,Coefficients!$B$30,RAND())</f>
        <v>0</v>
      </c>
      <c r="L1885" s="0" t="n">
        <f aca="true">CRITBINOM(K1885,Coefficients!$B$31,RAND())</f>
        <v>0</v>
      </c>
      <c r="M1885" s="0" t="n">
        <f aca="true">CRITBINOM(MAX(0,J1885-K1885),1-Coefficients!$B$32,RAND())</f>
        <v>0</v>
      </c>
      <c r="N1885" s="0" t="n">
        <f aca="true">CRITBINOM(MAX(0,$C1885-J1885),MIN(0.6,Matchup!$C$40*SQRT($B1885)/(1-MIN(0.75,Matchup!$C$39*$B1885))),RAND())</f>
        <v>1</v>
      </c>
      <c r="O1885" s="0" t="n">
        <f aca="false">6*J1885+(J1885-K1885-M1885)+2*L1885+3*N1885</f>
        <v>10</v>
      </c>
      <c r="P1885" s="0" t="n">
        <f aca="true">RAND()</f>
        <v>0.505547882688791</v>
      </c>
      <c r="Q1885" s="0" t="n">
        <f aca="true">RAND()</f>
        <v>0.561448896351587</v>
      </c>
      <c r="R1885" s="0" t="n">
        <f aca="false">IF($I1885&lt;&gt;$O1885,0,IF(P1885&lt;Matchup!$B$39,7,IF(P1885&lt;Matchup!$B$39+Matchup!$B$40,3,0)))</f>
        <v>0</v>
      </c>
      <c r="S1885" s="0" t="n">
        <f aca="false">IF($I1885&lt;&gt;$O1885,0,IF(Q1885&lt;Matchup!$C$39,7,IF(Q1885&lt;Matchup!$C$39+Matchup!$C$40,3,0)))</f>
        <v>0</v>
      </c>
      <c r="T1885" s="0" t="n">
        <f aca="false">I1885+R1885</f>
        <v>3</v>
      </c>
      <c r="U1885" s="0" t="n">
        <f aca="false">O1885+S1885</f>
        <v>10</v>
      </c>
      <c r="V1885" s="0" t="n">
        <f aca="false">T1885-U1885</f>
        <v>-7</v>
      </c>
      <c r="W1885" s="0" t="n">
        <f aca="false">T1885+U1885</f>
        <v>13</v>
      </c>
    </row>
    <row r="1886" customFormat="false" ht="15" hidden="false" customHeight="false" outlineLevel="0" collapsed="false">
      <c r="A1886" s="0" t="n">
        <v>1883</v>
      </c>
      <c r="B1886" s="0" t="n">
        <f aca="true">NORMINV(RAND(),1,Coefficients!$B$22)</f>
        <v>1.02478264288598</v>
      </c>
      <c r="C1886" s="0" t="n">
        <f aca="true">MEDIAN(8,16,ROUND(NORMINV(RAND(),Coefficients!$B$20,Coefficients!$B$21),0))</f>
        <v>12</v>
      </c>
      <c r="D1886" s="0" t="n">
        <f aca="true">CRITBINOM($C1886,MIN(0.75,Matchup!$B$39*$B1886),RAND())</f>
        <v>3</v>
      </c>
      <c r="E1886" s="0" t="n">
        <f aca="true">CRITBINOM(D1886,Coefficients!$B$30,RAND())</f>
        <v>1</v>
      </c>
      <c r="F1886" s="0" t="n">
        <f aca="true">CRITBINOM(E1886,Coefficients!$B$31,RAND())</f>
        <v>0</v>
      </c>
      <c r="G1886" s="0" t="n">
        <f aca="true">CRITBINOM(MAX(0,D1886-E1886),1-Coefficients!$B$32,RAND())</f>
        <v>0</v>
      </c>
      <c r="H1886" s="0" t="n">
        <f aca="true">CRITBINOM(MAX(0,$C1886-D1886),MIN(0.6,Matchup!$B$40*SQRT($B1886)/(1-MIN(0.75,Matchup!$B$39*$B1886))),RAND())</f>
        <v>2</v>
      </c>
      <c r="I1886" s="0" t="n">
        <f aca="false">6*D1886+(D1886-E1886-G1886)+2*F1886+3*H1886</f>
        <v>26</v>
      </c>
      <c r="J1886" s="0" t="n">
        <f aca="true">CRITBINOM($C1886,MIN(0.75,Matchup!$C$39*$B1886),RAND())</f>
        <v>2</v>
      </c>
      <c r="K1886" s="0" t="n">
        <f aca="true">CRITBINOM(J1886,Coefficients!$B$30,RAND())</f>
        <v>0</v>
      </c>
      <c r="L1886" s="0" t="n">
        <f aca="true">CRITBINOM(K1886,Coefficients!$B$31,RAND())</f>
        <v>0</v>
      </c>
      <c r="M1886" s="0" t="n">
        <f aca="true">CRITBINOM(MAX(0,J1886-K1886),1-Coefficients!$B$32,RAND())</f>
        <v>1</v>
      </c>
      <c r="N1886" s="0" t="n">
        <f aca="true">CRITBINOM(MAX(0,$C1886-J1886),MIN(0.6,Matchup!$C$40*SQRT($B1886)/(1-MIN(0.75,Matchup!$C$39*$B1886))),RAND())</f>
        <v>1</v>
      </c>
      <c r="O1886" s="0" t="n">
        <f aca="false">6*J1886+(J1886-K1886-M1886)+2*L1886+3*N1886</f>
        <v>16</v>
      </c>
      <c r="P1886" s="0" t="n">
        <f aca="true">RAND()</f>
        <v>0.480576471224755</v>
      </c>
      <c r="Q1886" s="0" t="n">
        <f aca="true">RAND()</f>
        <v>0.0246177044859613</v>
      </c>
      <c r="R1886" s="0" t="n">
        <f aca="false">IF($I1886&lt;&gt;$O1886,0,IF(P1886&lt;Matchup!$B$39,7,IF(P1886&lt;Matchup!$B$39+Matchup!$B$40,3,0)))</f>
        <v>0</v>
      </c>
      <c r="S1886" s="0" t="n">
        <f aca="false">IF($I1886&lt;&gt;$O1886,0,IF(Q1886&lt;Matchup!$C$39,7,IF(Q1886&lt;Matchup!$C$39+Matchup!$C$40,3,0)))</f>
        <v>0</v>
      </c>
      <c r="T1886" s="0" t="n">
        <f aca="false">I1886+R1886</f>
        <v>26</v>
      </c>
      <c r="U1886" s="0" t="n">
        <f aca="false">O1886+S1886</f>
        <v>16</v>
      </c>
      <c r="V1886" s="0" t="n">
        <f aca="false">T1886-U1886</f>
        <v>10</v>
      </c>
      <c r="W1886" s="0" t="n">
        <f aca="false">T1886+U1886</f>
        <v>42</v>
      </c>
    </row>
    <row r="1887" customFormat="false" ht="15" hidden="false" customHeight="false" outlineLevel="0" collapsed="false">
      <c r="A1887" s="0" t="n">
        <v>1884</v>
      </c>
      <c r="B1887" s="0" t="n">
        <f aca="true">NORMINV(RAND(),1,Coefficients!$B$22)</f>
        <v>0.959730343973101</v>
      </c>
      <c r="C1887" s="0" t="n">
        <f aca="true">MEDIAN(8,16,ROUND(NORMINV(RAND(),Coefficients!$B$20,Coefficients!$B$21),0))</f>
        <v>10</v>
      </c>
      <c r="D1887" s="0" t="n">
        <f aca="true">CRITBINOM($C1887,MIN(0.75,Matchup!$B$39*$B1887),RAND())</f>
        <v>0</v>
      </c>
      <c r="E1887" s="0" t="n">
        <f aca="true">CRITBINOM(D1887,Coefficients!$B$30,RAND())</f>
        <v>0</v>
      </c>
      <c r="F1887" s="0" t="n">
        <f aca="true">CRITBINOM(E1887,Coefficients!$B$31,RAND())</f>
        <v>0</v>
      </c>
      <c r="G1887" s="0" t="n">
        <f aca="true">CRITBINOM(MAX(0,D1887-E1887),1-Coefficients!$B$32,RAND())</f>
        <v>0</v>
      </c>
      <c r="H1887" s="0" t="n">
        <f aca="true">CRITBINOM(MAX(0,$C1887-D1887),MIN(0.6,Matchup!$B$40*SQRT($B1887)/(1-MIN(0.75,Matchup!$B$39*$B1887))),RAND())</f>
        <v>0</v>
      </c>
      <c r="I1887" s="0" t="n">
        <f aca="false">6*D1887+(D1887-E1887-G1887)+2*F1887+3*H1887</f>
        <v>0</v>
      </c>
      <c r="J1887" s="0" t="n">
        <f aca="true">CRITBINOM($C1887,MIN(0.75,Matchup!$C$39*$B1887),RAND())</f>
        <v>2</v>
      </c>
      <c r="K1887" s="0" t="n">
        <f aca="true">CRITBINOM(J1887,Coefficients!$B$30,RAND())</f>
        <v>0</v>
      </c>
      <c r="L1887" s="0" t="n">
        <f aca="true">CRITBINOM(K1887,Coefficients!$B$31,RAND())</f>
        <v>0</v>
      </c>
      <c r="M1887" s="0" t="n">
        <f aca="true">CRITBINOM(MAX(0,J1887-K1887),1-Coefficients!$B$32,RAND())</f>
        <v>0</v>
      </c>
      <c r="N1887" s="0" t="n">
        <f aca="true">CRITBINOM(MAX(0,$C1887-J1887),MIN(0.6,Matchup!$C$40*SQRT($B1887)/(1-MIN(0.75,Matchup!$C$39*$B1887))),RAND())</f>
        <v>0</v>
      </c>
      <c r="O1887" s="0" t="n">
        <f aca="false">6*J1887+(J1887-K1887-M1887)+2*L1887+3*N1887</f>
        <v>14</v>
      </c>
      <c r="P1887" s="0" t="n">
        <f aca="true">RAND()</f>
        <v>0.507804412141454</v>
      </c>
      <c r="Q1887" s="0" t="n">
        <f aca="true">RAND()</f>
        <v>0.458518682951641</v>
      </c>
      <c r="R1887" s="0" t="n">
        <f aca="false">IF($I1887&lt;&gt;$O1887,0,IF(P1887&lt;Matchup!$B$39,7,IF(P1887&lt;Matchup!$B$39+Matchup!$B$40,3,0)))</f>
        <v>0</v>
      </c>
      <c r="S1887" s="0" t="n">
        <f aca="false">IF($I1887&lt;&gt;$O1887,0,IF(Q1887&lt;Matchup!$C$39,7,IF(Q1887&lt;Matchup!$C$39+Matchup!$C$40,3,0)))</f>
        <v>0</v>
      </c>
      <c r="T1887" s="0" t="n">
        <f aca="false">I1887+R1887</f>
        <v>0</v>
      </c>
      <c r="U1887" s="0" t="n">
        <f aca="false">O1887+S1887</f>
        <v>14</v>
      </c>
      <c r="V1887" s="0" t="n">
        <f aca="false">T1887-U1887</f>
        <v>-14</v>
      </c>
      <c r="W1887" s="0" t="n">
        <f aca="false">T1887+U1887</f>
        <v>14</v>
      </c>
    </row>
    <row r="1888" customFormat="false" ht="15" hidden="false" customHeight="false" outlineLevel="0" collapsed="false">
      <c r="A1888" s="0" t="n">
        <v>1885</v>
      </c>
      <c r="B1888" s="0" t="n">
        <f aca="true">NORMINV(RAND(),1,Coefficients!$B$22)</f>
        <v>0.995825608239957</v>
      </c>
      <c r="C1888" s="0" t="n">
        <f aca="true">MEDIAN(8,16,ROUND(NORMINV(RAND(),Coefficients!$B$20,Coefficients!$B$21),0))</f>
        <v>11</v>
      </c>
      <c r="D1888" s="0" t="n">
        <f aca="true">CRITBINOM($C1888,MIN(0.75,Matchup!$B$39*$B1888),RAND())</f>
        <v>3</v>
      </c>
      <c r="E1888" s="0" t="n">
        <f aca="true">CRITBINOM(D1888,Coefficients!$B$30,RAND())</f>
        <v>0</v>
      </c>
      <c r="F1888" s="0" t="n">
        <f aca="true">CRITBINOM(E1888,Coefficients!$B$31,RAND())</f>
        <v>0</v>
      </c>
      <c r="G1888" s="0" t="n">
        <f aca="true">CRITBINOM(MAX(0,D1888-E1888),1-Coefficients!$B$32,RAND())</f>
        <v>0</v>
      </c>
      <c r="H1888" s="0" t="n">
        <f aca="true">CRITBINOM(MAX(0,$C1888-D1888),MIN(0.6,Matchup!$B$40*SQRT($B1888)/(1-MIN(0.75,Matchup!$B$39*$B1888))),RAND())</f>
        <v>3</v>
      </c>
      <c r="I1888" s="0" t="n">
        <f aca="false">6*D1888+(D1888-E1888-G1888)+2*F1888+3*H1888</f>
        <v>30</v>
      </c>
      <c r="J1888" s="0" t="n">
        <f aca="true">CRITBINOM($C1888,MIN(0.75,Matchup!$C$39*$B1888),RAND())</f>
        <v>3</v>
      </c>
      <c r="K1888" s="0" t="n">
        <f aca="true">CRITBINOM(J1888,Coefficients!$B$30,RAND())</f>
        <v>0</v>
      </c>
      <c r="L1888" s="0" t="n">
        <f aca="true">CRITBINOM(K1888,Coefficients!$B$31,RAND())</f>
        <v>0</v>
      </c>
      <c r="M1888" s="0" t="n">
        <f aca="true">CRITBINOM(MAX(0,J1888-K1888),1-Coefficients!$B$32,RAND())</f>
        <v>0</v>
      </c>
      <c r="N1888" s="0" t="n">
        <f aca="true">CRITBINOM(MAX(0,$C1888-J1888),MIN(0.6,Matchup!$C$40*SQRT($B1888)/(1-MIN(0.75,Matchup!$C$39*$B1888))),RAND())</f>
        <v>3</v>
      </c>
      <c r="O1888" s="0" t="n">
        <f aca="false">6*J1888+(J1888-K1888-M1888)+2*L1888+3*N1888</f>
        <v>30</v>
      </c>
      <c r="P1888" s="0" t="n">
        <f aca="true">RAND()</f>
        <v>0.727901722215962</v>
      </c>
      <c r="Q1888" s="0" t="n">
        <f aca="true">RAND()</f>
        <v>0.0474162609904562</v>
      </c>
      <c r="R1888" s="0" t="n">
        <f aca="false">IF($I1888&lt;&gt;$O1888,0,IF(P1888&lt;Matchup!$B$39,7,IF(P1888&lt;Matchup!$B$39+Matchup!$B$40,3,0)))</f>
        <v>0</v>
      </c>
      <c r="S1888" s="0" t="n">
        <f aca="false">IF($I1888&lt;&gt;$O1888,0,IF(Q1888&lt;Matchup!$C$39,7,IF(Q1888&lt;Matchup!$C$39+Matchup!$C$40,3,0)))</f>
        <v>7</v>
      </c>
      <c r="T1888" s="0" t="n">
        <f aca="false">I1888+R1888</f>
        <v>30</v>
      </c>
      <c r="U1888" s="0" t="n">
        <f aca="false">O1888+S1888</f>
        <v>37</v>
      </c>
      <c r="V1888" s="0" t="n">
        <f aca="false">T1888-U1888</f>
        <v>-7</v>
      </c>
      <c r="W1888" s="0" t="n">
        <f aca="false">T1888+U1888</f>
        <v>67</v>
      </c>
    </row>
    <row r="1889" customFormat="false" ht="15" hidden="false" customHeight="false" outlineLevel="0" collapsed="false">
      <c r="A1889" s="0" t="n">
        <v>1886</v>
      </c>
      <c r="B1889" s="0" t="n">
        <f aca="true">NORMINV(RAND(),1,Coefficients!$B$22)</f>
        <v>1.07914296124265</v>
      </c>
      <c r="C1889" s="0" t="n">
        <f aca="true">MEDIAN(8,16,ROUND(NORMINV(RAND(),Coefficients!$B$20,Coefficients!$B$21),0))</f>
        <v>11</v>
      </c>
      <c r="D1889" s="0" t="n">
        <f aca="true">CRITBINOM($C1889,MIN(0.75,Matchup!$B$39*$B1889),RAND())</f>
        <v>2</v>
      </c>
      <c r="E1889" s="0" t="n">
        <f aca="true">CRITBINOM(D1889,Coefficients!$B$30,RAND())</f>
        <v>0</v>
      </c>
      <c r="F1889" s="0" t="n">
        <f aca="true">CRITBINOM(E1889,Coefficients!$B$31,RAND())</f>
        <v>0</v>
      </c>
      <c r="G1889" s="0" t="n">
        <f aca="true">CRITBINOM(MAX(0,D1889-E1889),1-Coefficients!$B$32,RAND())</f>
        <v>0</v>
      </c>
      <c r="H1889" s="0" t="n">
        <f aca="true">CRITBINOM(MAX(0,$C1889-D1889),MIN(0.6,Matchup!$B$40*SQRT($B1889)/(1-MIN(0.75,Matchup!$B$39*$B1889))),RAND())</f>
        <v>2</v>
      </c>
      <c r="I1889" s="0" t="n">
        <f aca="false">6*D1889+(D1889-E1889-G1889)+2*F1889+3*H1889</f>
        <v>20</v>
      </c>
      <c r="J1889" s="0" t="n">
        <f aca="true">CRITBINOM($C1889,MIN(0.75,Matchup!$C$39*$B1889),RAND())</f>
        <v>2</v>
      </c>
      <c r="K1889" s="0" t="n">
        <f aca="true">CRITBINOM(J1889,Coefficients!$B$30,RAND())</f>
        <v>0</v>
      </c>
      <c r="L1889" s="0" t="n">
        <f aca="true">CRITBINOM(K1889,Coefficients!$B$31,RAND())</f>
        <v>0</v>
      </c>
      <c r="M1889" s="0" t="n">
        <f aca="true">CRITBINOM(MAX(0,J1889-K1889),1-Coefficients!$B$32,RAND())</f>
        <v>0</v>
      </c>
      <c r="N1889" s="0" t="n">
        <f aca="true">CRITBINOM(MAX(0,$C1889-J1889),MIN(0.6,Matchup!$C$40*SQRT($B1889)/(1-MIN(0.75,Matchup!$C$39*$B1889))),RAND())</f>
        <v>1</v>
      </c>
      <c r="O1889" s="0" t="n">
        <f aca="false">6*J1889+(J1889-K1889-M1889)+2*L1889+3*N1889</f>
        <v>17</v>
      </c>
      <c r="P1889" s="0" t="n">
        <f aca="true">RAND()</f>
        <v>0.659504336492904</v>
      </c>
      <c r="Q1889" s="0" t="n">
        <f aca="true">RAND()</f>
        <v>0.429802612050317</v>
      </c>
      <c r="R1889" s="0" t="n">
        <f aca="false">IF($I1889&lt;&gt;$O1889,0,IF(P1889&lt;Matchup!$B$39,7,IF(P1889&lt;Matchup!$B$39+Matchup!$B$40,3,0)))</f>
        <v>0</v>
      </c>
      <c r="S1889" s="0" t="n">
        <f aca="false">IF($I1889&lt;&gt;$O1889,0,IF(Q1889&lt;Matchup!$C$39,7,IF(Q1889&lt;Matchup!$C$39+Matchup!$C$40,3,0)))</f>
        <v>0</v>
      </c>
      <c r="T1889" s="0" t="n">
        <f aca="false">I1889+R1889</f>
        <v>20</v>
      </c>
      <c r="U1889" s="0" t="n">
        <f aca="false">O1889+S1889</f>
        <v>17</v>
      </c>
      <c r="V1889" s="0" t="n">
        <f aca="false">T1889-U1889</f>
        <v>3</v>
      </c>
      <c r="W1889" s="0" t="n">
        <f aca="false">T1889+U1889</f>
        <v>37</v>
      </c>
    </row>
    <row r="1890" customFormat="false" ht="15" hidden="false" customHeight="false" outlineLevel="0" collapsed="false">
      <c r="A1890" s="0" t="n">
        <v>1887</v>
      </c>
      <c r="B1890" s="0" t="n">
        <f aca="true">NORMINV(RAND(),1,Coefficients!$B$22)</f>
        <v>0.981383694030193</v>
      </c>
      <c r="C1890" s="0" t="n">
        <f aca="true">MEDIAN(8,16,ROUND(NORMINV(RAND(),Coefficients!$B$20,Coefficients!$B$21),0))</f>
        <v>10</v>
      </c>
      <c r="D1890" s="0" t="n">
        <f aca="true">CRITBINOM($C1890,MIN(0.75,Matchup!$B$39*$B1890),RAND())</f>
        <v>0</v>
      </c>
      <c r="E1890" s="0" t="n">
        <f aca="true">CRITBINOM(D1890,Coefficients!$B$30,RAND())</f>
        <v>0</v>
      </c>
      <c r="F1890" s="0" t="n">
        <f aca="true">CRITBINOM(E1890,Coefficients!$B$31,RAND())</f>
        <v>0</v>
      </c>
      <c r="G1890" s="0" t="n">
        <f aca="true">CRITBINOM(MAX(0,D1890-E1890),1-Coefficients!$B$32,RAND())</f>
        <v>0</v>
      </c>
      <c r="H1890" s="0" t="n">
        <f aca="true">CRITBINOM(MAX(0,$C1890-D1890),MIN(0.6,Matchup!$B$40*SQRT($B1890)/(1-MIN(0.75,Matchup!$B$39*$B1890))),RAND())</f>
        <v>2</v>
      </c>
      <c r="I1890" s="0" t="n">
        <f aca="false">6*D1890+(D1890-E1890-G1890)+2*F1890+3*H1890</f>
        <v>6</v>
      </c>
      <c r="J1890" s="0" t="n">
        <f aca="true">CRITBINOM($C1890,MIN(0.75,Matchup!$C$39*$B1890),RAND())</f>
        <v>5</v>
      </c>
      <c r="K1890" s="0" t="n">
        <f aca="true">CRITBINOM(J1890,Coefficients!$B$30,RAND())</f>
        <v>0</v>
      </c>
      <c r="L1890" s="0" t="n">
        <f aca="true">CRITBINOM(K1890,Coefficients!$B$31,RAND())</f>
        <v>0</v>
      </c>
      <c r="M1890" s="0" t="n">
        <f aca="true">CRITBINOM(MAX(0,J1890-K1890),1-Coefficients!$B$32,RAND())</f>
        <v>0</v>
      </c>
      <c r="N1890" s="0" t="n">
        <f aca="true">CRITBINOM(MAX(0,$C1890-J1890),MIN(0.6,Matchup!$C$40*SQRT($B1890)/(1-MIN(0.75,Matchup!$C$39*$B1890))),RAND())</f>
        <v>0</v>
      </c>
      <c r="O1890" s="0" t="n">
        <f aca="false">6*J1890+(J1890-K1890-M1890)+2*L1890+3*N1890</f>
        <v>35</v>
      </c>
      <c r="P1890" s="0" t="n">
        <f aca="true">RAND()</f>
        <v>0.315022369216506</v>
      </c>
      <c r="Q1890" s="0" t="n">
        <f aca="true">RAND()</f>
        <v>0.646300321784652</v>
      </c>
      <c r="R1890" s="0" t="n">
        <f aca="false">IF($I1890&lt;&gt;$O1890,0,IF(P1890&lt;Matchup!$B$39,7,IF(P1890&lt;Matchup!$B$39+Matchup!$B$40,3,0)))</f>
        <v>0</v>
      </c>
      <c r="S1890" s="0" t="n">
        <f aca="false">IF($I1890&lt;&gt;$O1890,0,IF(Q1890&lt;Matchup!$C$39,7,IF(Q1890&lt;Matchup!$C$39+Matchup!$C$40,3,0)))</f>
        <v>0</v>
      </c>
      <c r="T1890" s="0" t="n">
        <f aca="false">I1890+R1890</f>
        <v>6</v>
      </c>
      <c r="U1890" s="0" t="n">
        <f aca="false">O1890+S1890</f>
        <v>35</v>
      </c>
      <c r="V1890" s="0" t="n">
        <f aca="false">T1890-U1890</f>
        <v>-29</v>
      </c>
      <c r="W1890" s="0" t="n">
        <f aca="false">T1890+U1890</f>
        <v>41</v>
      </c>
    </row>
    <row r="1891" customFormat="false" ht="15" hidden="false" customHeight="false" outlineLevel="0" collapsed="false">
      <c r="A1891" s="0" t="n">
        <v>1888</v>
      </c>
      <c r="B1891" s="0" t="n">
        <f aca="true">NORMINV(RAND(),1,Coefficients!$B$22)</f>
        <v>0.992130188201068</v>
      </c>
      <c r="C1891" s="0" t="n">
        <f aca="true">MEDIAN(8,16,ROUND(NORMINV(RAND(),Coefficients!$B$20,Coefficients!$B$21),0))</f>
        <v>11</v>
      </c>
      <c r="D1891" s="0" t="n">
        <f aca="true">CRITBINOM($C1891,MIN(0.75,Matchup!$B$39*$B1891),RAND())</f>
        <v>3</v>
      </c>
      <c r="E1891" s="0" t="n">
        <f aca="true">CRITBINOM(D1891,Coefficients!$B$30,RAND())</f>
        <v>1</v>
      </c>
      <c r="F1891" s="0" t="n">
        <f aca="true">CRITBINOM(E1891,Coefficients!$B$31,RAND())</f>
        <v>1</v>
      </c>
      <c r="G1891" s="0" t="n">
        <f aca="true">CRITBINOM(MAX(0,D1891-E1891),1-Coefficients!$B$32,RAND())</f>
        <v>0</v>
      </c>
      <c r="H1891" s="0" t="n">
        <f aca="true">CRITBINOM(MAX(0,$C1891-D1891),MIN(0.6,Matchup!$B$40*SQRT($B1891)/(1-MIN(0.75,Matchup!$B$39*$B1891))),RAND())</f>
        <v>1</v>
      </c>
      <c r="I1891" s="0" t="n">
        <f aca="false">6*D1891+(D1891-E1891-G1891)+2*F1891+3*H1891</f>
        <v>25</v>
      </c>
      <c r="J1891" s="0" t="n">
        <f aca="true">CRITBINOM($C1891,MIN(0.75,Matchup!$C$39*$B1891),RAND())</f>
        <v>1</v>
      </c>
      <c r="K1891" s="0" t="n">
        <f aca="true">CRITBINOM(J1891,Coefficients!$B$30,RAND())</f>
        <v>0</v>
      </c>
      <c r="L1891" s="0" t="n">
        <f aca="true">CRITBINOM(K1891,Coefficients!$B$31,RAND())</f>
        <v>0</v>
      </c>
      <c r="M1891" s="0" t="n">
        <f aca="true">CRITBINOM(MAX(0,J1891-K1891),1-Coefficients!$B$32,RAND())</f>
        <v>0</v>
      </c>
      <c r="N1891" s="0" t="n">
        <f aca="true">CRITBINOM(MAX(0,$C1891-J1891),MIN(0.6,Matchup!$C$40*SQRT($B1891)/(1-MIN(0.75,Matchup!$C$39*$B1891))),RAND())</f>
        <v>4</v>
      </c>
      <c r="O1891" s="0" t="n">
        <f aca="false">6*J1891+(J1891-K1891-M1891)+2*L1891+3*N1891</f>
        <v>19</v>
      </c>
      <c r="P1891" s="0" t="n">
        <f aca="true">RAND()</f>
        <v>0.0352267723093119</v>
      </c>
      <c r="Q1891" s="0" t="n">
        <f aca="true">RAND()</f>
        <v>0.443206569824689</v>
      </c>
      <c r="R1891" s="0" t="n">
        <f aca="false">IF($I1891&lt;&gt;$O1891,0,IF(P1891&lt;Matchup!$B$39,7,IF(P1891&lt;Matchup!$B$39+Matchup!$B$40,3,0)))</f>
        <v>0</v>
      </c>
      <c r="S1891" s="0" t="n">
        <f aca="false">IF($I1891&lt;&gt;$O1891,0,IF(Q1891&lt;Matchup!$C$39,7,IF(Q1891&lt;Matchup!$C$39+Matchup!$C$40,3,0)))</f>
        <v>0</v>
      </c>
      <c r="T1891" s="0" t="n">
        <f aca="false">I1891+R1891</f>
        <v>25</v>
      </c>
      <c r="U1891" s="0" t="n">
        <f aca="false">O1891+S1891</f>
        <v>19</v>
      </c>
      <c r="V1891" s="0" t="n">
        <f aca="false">T1891-U1891</f>
        <v>6</v>
      </c>
      <c r="W1891" s="0" t="n">
        <f aca="false">T1891+U1891</f>
        <v>44</v>
      </c>
    </row>
    <row r="1892" customFormat="false" ht="15" hidden="false" customHeight="false" outlineLevel="0" collapsed="false">
      <c r="A1892" s="0" t="n">
        <v>1889</v>
      </c>
      <c r="B1892" s="0" t="n">
        <f aca="true">NORMINV(RAND(),1,Coefficients!$B$22)</f>
        <v>0.928332736785187</v>
      </c>
      <c r="C1892" s="0" t="n">
        <f aca="true">MEDIAN(8,16,ROUND(NORMINV(RAND(),Coefficients!$B$20,Coefficients!$B$21),0))</f>
        <v>13</v>
      </c>
      <c r="D1892" s="0" t="n">
        <f aca="true">CRITBINOM($C1892,MIN(0.75,Matchup!$B$39*$B1892),RAND())</f>
        <v>0</v>
      </c>
      <c r="E1892" s="0" t="n">
        <f aca="true">CRITBINOM(D1892,Coefficients!$B$30,RAND())</f>
        <v>0</v>
      </c>
      <c r="F1892" s="0" t="n">
        <f aca="true">CRITBINOM(E1892,Coefficients!$B$31,RAND())</f>
        <v>0</v>
      </c>
      <c r="G1892" s="0" t="n">
        <f aca="true">CRITBINOM(MAX(0,D1892-E1892),1-Coefficients!$B$32,RAND())</f>
        <v>0</v>
      </c>
      <c r="H1892" s="0" t="n">
        <f aca="true">CRITBINOM(MAX(0,$C1892-D1892),MIN(0.6,Matchup!$B$40*SQRT($B1892)/(1-MIN(0.75,Matchup!$B$39*$B1892))),RAND())</f>
        <v>1</v>
      </c>
      <c r="I1892" s="0" t="n">
        <f aca="false">6*D1892+(D1892-E1892-G1892)+2*F1892+3*H1892</f>
        <v>3</v>
      </c>
      <c r="J1892" s="0" t="n">
        <f aca="true">CRITBINOM($C1892,MIN(0.75,Matchup!$C$39*$B1892),RAND())</f>
        <v>1</v>
      </c>
      <c r="K1892" s="0" t="n">
        <f aca="true">CRITBINOM(J1892,Coefficients!$B$30,RAND())</f>
        <v>0</v>
      </c>
      <c r="L1892" s="0" t="n">
        <f aca="true">CRITBINOM(K1892,Coefficients!$B$31,RAND())</f>
        <v>0</v>
      </c>
      <c r="M1892" s="0" t="n">
        <f aca="true">CRITBINOM(MAX(0,J1892-K1892),1-Coefficients!$B$32,RAND())</f>
        <v>0</v>
      </c>
      <c r="N1892" s="0" t="n">
        <f aca="true">CRITBINOM(MAX(0,$C1892-J1892),MIN(0.6,Matchup!$C$40*SQRT($B1892)/(1-MIN(0.75,Matchup!$C$39*$B1892))),RAND())</f>
        <v>2</v>
      </c>
      <c r="O1892" s="0" t="n">
        <f aca="false">6*J1892+(J1892-K1892-M1892)+2*L1892+3*N1892</f>
        <v>13</v>
      </c>
      <c r="P1892" s="0" t="n">
        <f aca="true">RAND()</f>
        <v>0.563913508234226</v>
      </c>
      <c r="Q1892" s="0" t="n">
        <f aca="true">RAND()</f>
        <v>0.0319756755947533</v>
      </c>
      <c r="R1892" s="0" t="n">
        <f aca="false">IF($I1892&lt;&gt;$O1892,0,IF(P1892&lt;Matchup!$B$39,7,IF(P1892&lt;Matchup!$B$39+Matchup!$B$40,3,0)))</f>
        <v>0</v>
      </c>
      <c r="S1892" s="0" t="n">
        <f aca="false">IF($I1892&lt;&gt;$O1892,0,IF(Q1892&lt;Matchup!$C$39,7,IF(Q1892&lt;Matchup!$C$39+Matchup!$C$40,3,0)))</f>
        <v>0</v>
      </c>
      <c r="T1892" s="0" t="n">
        <f aca="false">I1892+R1892</f>
        <v>3</v>
      </c>
      <c r="U1892" s="0" t="n">
        <f aca="false">O1892+S1892</f>
        <v>13</v>
      </c>
      <c r="V1892" s="0" t="n">
        <f aca="false">T1892-U1892</f>
        <v>-10</v>
      </c>
      <c r="W1892" s="0" t="n">
        <f aca="false">T1892+U1892</f>
        <v>16</v>
      </c>
    </row>
    <row r="1893" customFormat="false" ht="15" hidden="false" customHeight="false" outlineLevel="0" collapsed="false">
      <c r="A1893" s="0" t="n">
        <v>1890</v>
      </c>
      <c r="B1893" s="0" t="n">
        <f aca="true">NORMINV(RAND(),1,Coefficients!$B$22)</f>
        <v>1.01871513690292</v>
      </c>
      <c r="C1893" s="0" t="n">
        <f aca="true">MEDIAN(8,16,ROUND(NORMINV(RAND(),Coefficients!$B$20,Coefficients!$B$21),0))</f>
        <v>11</v>
      </c>
      <c r="D1893" s="0" t="n">
        <f aca="true">CRITBINOM($C1893,MIN(0.75,Matchup!$B$39*$B1893),RAND())</f>
        <v>2</v>
      </c>
      <c r="E1893" s="0" t="n">
        <f aca="true">CRITBINOM(D1893,Coefficients!$B$30,RAND())</f>
        <v>0</v>
      </c>
      <c r="F1893" s="0" t="n">
        <f aca="true">CRITBINOM(E1893,Coefficients!$B$31,RAND())</f>
        <v>0</v>
      </c>
      <c r="G1893" s="0" t="n">
        <f aca="true">CRITBINOM(MAX(0,D1893-E1893),1-Coefficients!$B$32,RAND())</f>
        <v>0</v>
      </c>
      <c r="H1893" s="0" t="n">
        <f aca="true">CRITBINOM(MAX(0,$C1893-D1893),MIN(0.6,Matchup!$B$40*SQRT($B1893)/(1-MIN(0.75,Matchup!$B$39*$B1893))),RAND())</f>
        <v>0</v>
      </c>
      <c r="I1893" s="0" t="n">
        <f aca="false">6*D1893+(D1893-E1893-G1893)+2*F1893+3*H1893</f>
        <v>14</v>
      </c>
      <c r="J1893" s="0" t="n">
        <f aca="true">CRITBINOM($C1893,MIN(0.75,Matchup!$C$39*$B1893),RAND())</f>
        <v>2</v>
      </c>
      <c r="K1893" s="0" t="n">
        <f aca="true">CRITBINOM(J1893,Coefficients!$B$30,RAND())</f>
        <v>0</v>
      </c>
      <c r="L1893" s="0" t="n">
        <f aca="true">CRITBINOM(K1893,Coefficients!$B$31,RAND())</f>
        <v>0</v>
      </c>
      <c r="M1893" s="0" t="n">
        <f aca="true">CRITBINOM(MAX(0,J1893-K1893),1-Coefficients!$B$32,RAND())</f>
        <v>0</v>
      </c>
      <c r="N1893" s="0" t="n">
        <f aca="true">CRITBINOM(MAX(0,$C1893-J1893),MIN(0.6,Matchup!$C$40*SQRT($B1893)/(1-MIN(0.75,Matchup!$C$39*$B1893))),RAND())</f>
        <v>4</v>
      </c>
      <c r="O1893" s="0" t="n">
        <f aca="false">6*J1893+(J1893-K1893-M1893)+2*L1893+3*N1893</f>
        <v>26</v>
      </c>
      <c r="P1893" s="0" t="n">
        <f aca="true">RAND()</f>
        <v>0.500740728111309</v>
      </c>
      <c r="Q1893" s="0" t="n">
        <f aca="true">RAND()</f>
        <v>0.594157192800819</v>
      </c>
      <c r="R1893" s="0" t="n">
        <f aca="false">IF($I1893&lt;&gt;$O1893,0,IF(P1893&lt;Matchup!$B$39,7,IF(P1893&lt;Matchup!$B$39+Matchup!$B$40,3,0)))</f>
        <v>0</v>
      </c>
      <c r="S1893" s="0" t="n">
        <f aca="false">IF($I1893&lt;&gt;$O1893,0,IF(Q1893&lt;Matchup!$C$39,7,IF(Q1893&lt;Matchup!$C$39+Matchup!$C$40,3,0)))</f>
        <v>0</v>
      </c>
      <c r="T1893" s="0" t="n">
        <f aca="false">I1893+R1893</f>
        <v>14</v>
      </c>
      <c r="U1893" s="0" t="n">
        <f aca="false">O1893+S1893</f>
        <v>26</v>
      </c>
      <c r="V1893" s="0" t="n">
        <f aca="false">T1893-U1893</f>
        <v>-12</v>
      </c>
      <c r="W1893" s="0" t="n">
        <f aca="false">T1893+U1893</f>
        <v>40</v>
      </c>
    </row>
    <row r="1894" customFormat="false" ht="15" hidden="false" customHeight="false" outlineLevel="0" collapsed="false">
      <c r="A1894" s="0" t="n">
        <v>1891</v>
      </c>
      <c r="B1894" s="0" t="n">
        <f aca="true">NORMINV(RAND(),1,Coefficients!$B$22)</f>
        <v>0.965005458461518</v>
      </c>
      <c r="C1894" s="0" t="n">
        <f aca="true">MEDIAN(8,16,ROUND(NORMINV(RAND(),Coefficients!$B$20,Coefficients!$B$21),0))</f>
        <v>8</v>
      </c>
      <c r="D1894" s="0" t="n">
        <f aca="true">CRITBINOM($C1894,MIN(0.75,Matchup!$B$39*$B1894),RAND())</f>
        <v>2</v>
      </c>
      <c r="E1894" s="0" t="n">
        <f aca="true">CRITBINOM(D1894,Coefficients!$B$30,RAND())</f>
        <v>1</v>
      </c>
      <c r="F1894" s="0" t="n">
        <f aca="true">CRITBINOM(E1894,Coefficients!$B$31,RAND())</f>
        <v>0</v>
      </c>
      <c r="G1894" s="0" t="n">
        <f aca="true">CRITBINOM(MAX(0,D1894-E1894),1-Coefficients!$B$32,RAND())</f>
        <v>0</v>
      </c>
      <c r="H1894" s="0" t="n">
        <f aca="true">CRITBINOM(MAX(0,$C1894-D1894),MIN(0.6,Matchup!$B$40*SQRT($B1894)/(1-MIN(0.75,Matchup!$B$39*$B1894))),RAND())</f>
        <v>0</v>
      </c>
      <c r="I1894" s="0" t="n">
        <f aca="false">6*D1894+(D1894-E1894-G1894)+2*F1894+3*H1894</f>
        <v>13</v>
      </c>
      <c r="J1894" s="0" t="n">
        <f aca="true">CRITBINOM($C1894,MIN(0.75,Matchup!$C$39*$B1894),RAND())</f>
        <v>4</v>
      </c>
      <c r="K1894" s="0" t="n">
        <f aca="true">CRITBINOM(J1894,Coefficients!$B$30,RAND())</f>
        <v>0</v>
      </c>
      <c r="L1894" s="0" t="n">
        <f aca="true">CRITBINOM(K1894,Coefficients!$B$31,RAND())</f>
        <v>0</v>
      </c>
      <c r="M1894" s="0" t="n">
        <f aca="true">CRITBINOM(MAX(0,J1894-K1894),1-Coefficients!$B$32,RAND())</f>
        <v>0</v>
      </c>
      <c r="N1894" s="0" t="n">
        <f aca="true">CRITBINOM(MAX(0,$C1894-J1894),MIN(0.6,Matchup!$C$40*SQRT($B1894)/(1-MIN(0.75,Matchup!$C$39*$B1894))),RAND())</f>
        <v>0</v>
      </c>
      <c r="O1894" s="0" t="n">
        <f aca="false">6*J1894+(J1894-K1894-M1894)+2*L1894+3*N1894</f>
        <v>28</v>
      </c>
      <c r="P1894" s="0" t="n">
        <f aca="true">RAND()</f>
        <v>0.227273191675073</v>
      </c>
      <c r="Q1894" s="0" t="n">
        <f aca="true">RAND()</f>
        <v>0.243076420425586</v>
      </c>
      <c r="R1894" s="0" t="n">
        <f aca="false">IF($I1894&lt;&gt;$O1894,0,IF(P1894&lt;Matchup!$B$39,7,IF(P1894&lt;Matchup!$B$39+Matchup!$B$40,3,0)))</f>
        <v>0</v>
      </c>
      <c r="S1894" s="0" t="n">
        <f aca="false">IF($I1894&lt;&gt;$O1894,0,IF(Q1894&lt;Matchup!$C$39,7,IF(Q1894&lt;Matchup!$C$39+Matchup!$C$40,3,0)))</f>
        <v>0</v>
      </c>
      <c r="T1894" s="0" t="n">
        <f aca="false">I1894+R1894</f>
        <v>13</v>
      </c>
      <c r="U1894" s="0" t="n">
        <f aca="false">O1894+S1894</f>
        <v>28</v>
      </c>
      <c r="V1894" s="0" t="n">
        <f aca="false">T1894-U1894</f>
        <v>-15</v>
      </c>
      <c r="W1894" s="0" t="n">
        <f aca="false">T1894+U1894</f>
        <v>41</v>
      </c>
    </row>
    <row r="1895" customFormat="false" ht="15" hidden="false" customHeight="false" outlineLevel="0" collapsed="false">
      <c r="A1895" s="0" t="n">
        <v>1892</v>
      </c>
      <c r="B1895" s="0" t="n">
        <f aca="true">NORMINV(RAND(),1,Coefficients!$B$22)</f>
        <v>0.918072032746519</v>
      </c>
      <c r="C1895" s="0" t="n">
        <f aca="true">MEDIAN(8,16,ROUND(NORMINV(RAND(),Coefficients!$B$20,Coefficients!$B$21),0))</f>
        <v>11</v>
      </c>
      <c r="D1895" s="0" t="n">
        <f aca="true">CRITBINOM($C1895,MIN(0.75,Matchup!$B$39*$B1895),RAND())</f>
        <v>2</v>
      </c>
      <c r="E1895" s="0" t="n">
        <f aca="true">CRITBINOM(D1895,Coefficients!$B$30,RAND())</f>
        <v>0</v>
      </c>
      <c r="F1895" s="0" t="n">
        <f aca="true">CRITBINOM(E1895,Coefficients!$B$31,RAND())</f>
        <v>0</v>
      </c>
      <c r="G1895" s="0" t="n">
        <f aca="true">CRITBINOM(MAX(0,D1895-E1895),1-Coefficients!$B$32,RAND())</f>
        <v>0</v>
      </c>
      <c r="H1895" s="0" t="n">
        <f aca="true">CRITBINOM(MAX(0,$C1895-D1895),MIN(0.6,Matchup!$B$40*SQRT($B1895)/(1-MIN(0.75,Matchup!$B$39*$B1895))),RAND())</f>
        <v>2</v>
      </c>
      <c r="I1895" s="0" t="n">
        <f aca="false">6*D1895+(D1895-E1895-G1895)+2*F1895+3*H1895</f>
        <v>20</v>
      </c>
      <c r="J1895" s="0" t="n">
        <f aca="true">CRITBINOM($C1895,MIN(0.75,Matchup!$C$39*$B1895),RAND())</f>
        <v>3</v>
      </c>
      <c r="K1895" s="0" t="n">
        <f aca="true">CRITBINOM(J1895,Coefficients!$B$30,RAND())</f>
        <v>1</v>
      </c>
      <c r="L1895" s="0" t="n">
        <f aca="true">CRITBINOM(K1895,Coefficients!$B$31,RAND())</f>
        <v>0</v>
      </c>
      <c r="M1895" s="0" t="n">
        <f aca="true">CRITBINOM(MAX(0,J1895-K1895),1-Coefficients!$B$32,RAND())</f>
        <v>0</v>
      </c>
      <c r="N1895" s="0" t="n">
        <f aca="true">CRITBINOM(MAX(0,$C1895-J1895),MIN(0.6,Matchup!$C$40*SQRT($B1895)/(1-MIN(0.75,Matchup!$C$39*$B1895))),RAND())</f>
        <v>2</v>
      </c>
      <c r="O1895" s="0" t="n">
        <f aca="false">6*J1895+(J1895-K1895-M1895)+2*L1895+3*N1895</f>
        <v>26</v>
      </c>
      <c r="P1895" s="0" t="n">
        <f aca="true">RAND()</f>
        <v>0.510485574087987</v>
      </c>
      <c r="Q1895" s="0" t="n">
        <f aca="true">RAND()</f>
        <v>0.172298095790691</v>
      </c>
      <c r="R1895" s="0" t="n">
        <f aca="false">IF($I1895&lt;&gt;$O1895,0,IF(P1895&lt;Matchup!$B$39,7,IF(P1895&lt;Matchup!$B$39+Matchup!$B$40,3,0)))</f>
        <v>0</v>
      </c>
      <c r="S1895" s="0" t="n">
        <f aca="false">IF($I1895&lt;&gt;$O1895,0,IF(Q1895&lt;Matchup!$C$39,7,IF(Q1895&lt;Matchup!$C$39+Matchup!$C$40,3,0)))</f>
        <v>0</v>
      </c>
      <c r="T1895" s="0" t="n">
        <f aca="false">I1895+R1895</f>
        <v>20</v>
      </c>
      <c r="U1895" s="0" t="n">
        <f aca="false">O1895+S1895</f>
        <v>26</v>
      </c>
      <c r="V1895" s="0" t="n">
        <f aca="false">T1895-U1895</f>
        <v>-6</v>
      </c>
      <c r="W1895" s="0" t="n">
        <f aca="false">T1895+U1895</f>
        <v>46</v>
      </c>
    </row>
    <row r="1896" customFormat="false" ht="15" hidden="false" customHeight="false" outlineLevel="0" collapsed="false">
      <c r="A1896" s="0" t="n">
        <v>1893</v>
      </c>
      <c r="B1896" s="0" t="n">
        <f aca="true">NORMINV(RAND(),1,Coefficients!$B$22)</f>
        <v>0.957429407588506</v>
      </c>
      <c r="C1896" s="0" t="n">
        <f aca="true">MEDIAN(8,16,ROUND(NORMINV(RAND(),Coefficients!$B$20,Coefficients!$B$21),0))</f>
        <v>9</v>
      </c>
      <c r="D1896" s="0" t="n">
        <f aca="true">CRITBINOM($C1896,MIN(0.75,Matchup!$B$39*$B1896),RAND())</f>
        <v>2</v>
      </c>
      <c r="E1896" s="0" t="n">
        <f aca="true">CRITBINOM(D1896,Coefficients!$B$30,RAND())</f>
        <v>1</v>
      </c>
      <c r="F1896" s="0" t="n">
        <f aca="true">CRITBINOM(E1896,Coefficients!$B$31,RAND())</f>
        <v>1</v>
      </c>
      <c r="G1896" s="0" t="n">
        <f aca="true">CRITBINOM(MAX(0,D1896-E1896),1-Coefficients!$B$32,RAND())</f>
        <v>1</v>
      </c>
      <c r="H1896" s="0" t="n">
        <f aca="true">CRITBINOM(MAX(0,$C1896-D1896),MIN(0.6,Matchup!$B$40*SQRT($B1896)/(1-MIN(0.75,Matchup!$B$39*$B1896))),RAND())</f>
        <v>2</v>
      </c>
      <c r="I1896" s="0" t="n">
        <f aca="false">6*D1896+(D1896-E1896-G1896)+2*F1896+3*H1896</f>
        <v>20</v>
      </c>
      <c r="J1896" s="0" t="n">
        <f aca="true">CRITBINOM($C1896,MIN(0.75,Matchup!$C$39*$B1896),RAND())</f>
        <v>3</v>
      </c>
      <c r="K1896" s="0" t="n">
        <f aca="true">CRITBINOM(J1896,Coefficients!$B$30,RAND())</f>
        <v>0</v>
      </c>
      <c r="L1896" s="0" t="n">
        <f aca="true">CRITBINOM(K1896,Coefficients!$B$31,RAND())</f>
        <v>0</v>
      </c>
      <c r="M1896" s="0" t="n">
        <f aca="true">CRITBINOM(MAX(0,J1896-K1896),1-Coefficients!$B$32,RAND())</f>
        <v>0</v>
      </c>
      <c r="N1896" s="0" t="n">
        <f aca="true">CRITBINOM(MAX(0,$C1896-J1896),MIN(0.6,Matchup!$C$40*SQRT($B1896)/(1-MIN(0.75,Matchup!$C$39*$B1896))),RAND())</f>
        <v>1</v>
      </c>
      <c r="O1896" s="0" t="n">
        <f aca="false">6*J1896+(J1896-K1896-M1896)+2*L1896+3*N1896</f>
        <v>24</v>
      </c>
      <c r="P1896" s="0" t="n">
        <f aca="true">RAND()</f>
        <v>0.0998108376104322</v>
      </c>
      <c r="Q1896" s="0" t="n">
        <f aca="true">RAND()</f>
        <v>0.57611439140833</v>
      </c>
      <c r="R1896" s="0" t="n">
        <f aca="false">IF($I1896&lt;&gt;$O1896,0,IF(P1896&lt;Matchup!$B$39,7,IF(P1896&lt;Matchup!$B$39+Matchup!$B$40,3,0)))</f>
        <v>0</v>
      </c>
      <c r="S1896" s="0" t="n">
        <f aca="false">IF($I1896&lt;&gt;$O1896,0,IF(Q1896&lt;Matchup!$C$39,7,IF(Q1896&lt;Matchup!$C$39+Matchup!$C$40,3,0)))</f>
        <v>0</v>
      </c>
      <c r="T1896" s="0" t="n">
        <f aca="false">I1896+R1896</f>
        <v>20</v>
      </c>
      <c r="U1896" s="0" t="n">
        <f aca="false">O1896+S1896</f>
        <v>24</v>
      </c>
      <c r="V1896" s="0" t="n">
        <f aca="false">T1896-U1896</f>
        <v>-4</v>
      </c>
      <c r="W1896" s="0" t="n">
        <f aca="false">T1896+U1896</f>
        <v>44</v>
      </c>
    </row>
    <row r="1897" customFormat="false" ht="15" hidden="false" customHeight="false" outlineLevel="0" collapsed="false">
      <c r="A1897" s="0" t="n">
        <v>1894</v>
      </c>
      <c r="B1897" s="0" t="n">
        <f aca="true">NORMINV(RAND(),1,Coefficients!$B$22)</f>
        <v>0.996984635146389</v>
      </c>
      <c r="C1897" s="0" t="n">
        <f aca="true">MEDIAN(8,16,ROUND(NORMINV(RAND(),Coefficients!$B$20,Coefficients!$B$21),0))</f>
        <v>11</v>
      </c>
      <c r="D1897" s="0" t="n">
        <f aca="true">CRITBINOM($C1897,MIN(0.75,Matchup!$B$39*$B1897),RAND())</f>
        <v>6</v>
      </c>
      <c r="E1897" s="0" t="n">
        <f aca="true">CRITBINOM(D1897,Coefficients!$B$30,RAND())</f>
        <v>1</v>
      </c>
      <c r="F1897" s="0" t="n">
        <f aca="true">CRITBINOM(E1897,Coefficients!$B$31,RAND())</f>
        <v>1</v>
      </c>
      <c r="G1897" s="0" t="n">
        <f aca="true">CRITBINOM(MAX(0,D1897-E1897),1-Coefficients!$B$32,RAND())</f>
        <v>0</v>
      </c>
      <c r="H1897" s="0" t="n">
        <f aca="true">CRITBINOM(MAX(0,$C1897-D1897),MIN(0.6,Matchup!$B$40*SQRT($B1897)/(1-MIN(0.75,Matchup!$B$39*$B1897))),RAND())</f>
        <v>2</v>
      </c>
      <c r="I1897" s="0" t="n">
        <f aca="false">6*D1897+(D1897-E1897-G1897)+2*F1897+3*H1897</f>
        <v>49</v>
      </c>
      <c r="J1897" s="0" t="n">
        <f aca="true">CRITBINOM($C1897,MIN(0.75,Matchup!$C$39*$B1897),RAND())</f>
        <v>3</v>
      </c>
      <c r="K1897" s="0" t="n">
        <f aca="true">CRITBINOM(J1897,Coefficients!$B$30,RAND())</f>
        <v>0</v>
      </c>
      <c r="L1897" s="0" t="n">
        <f aca="true">CRITBINOM(K1897,Coefficients!$B$31,RAND())</f>
        <v>0</v>
      </c>
      <c r="M1897" s="0" t="n">
        <f aca="true">CRITBINOM(MAX(0,J1897-K1897),1-Coefficients!$B$32,RAND())</f>
        <v>0</v>
      </c>
      <c r="N1897" s="0" t="n">
        <f aca="true">CRITBINOM(MAX(0,$C1897-J1897),MIN(0.6,Matchup!$C$40*SQRT($B1897)/(1-MIN(0.75,Matchup!$C$39*$B1897))),RAND())</f>
        <v>2</v>
      </c>
      <c r="O1897" s="0" t="n">
        <f aca="false">6*J1897+(J1897-K1897-M1897)+2*L1897+3*N1897</f>
        <v>27</v>
      </c>
      <c r="P1897" s="0" t="n">
        <f aca="true">RAND()</f>
        <v>0.801023931213647</v>
      </c>
      <c r="Q1897" s="0" t="n">
        <f aca="true">RAND()</f>
        <v>0.290672632664691</v>
      </c>
      <c r="R1897" s="0" t="n">
        <f aca="false">IF($I1897&lt;&gt;$O1897,0,IF(P1897&lt;Matchup!$B$39,7,IF(P1897&lt;Matchup!$B$39+Matchup!$B$40,3,0)))</f>
        <v>0</v>
      </c>
      <c r="S1897" s="0" t="n">
        <f aca="false">IF($I1897&lt;&gt;$O1897,0,IF(Q1897&lt;Matchup!$C$39,7,IF(Q1897&lt;Matchup!$C$39+Matchup!$C$40,3,0)))</f>
        <v>0</v>
      </c>
      <c r="T1897" s="0" t="n">
        <f aca="false">I1897+R1897</f>
        <v>49</v>
      </c>
      <c r="U1897" s="0" t="n">
        <f aca="false">O1897+S1897</f>
        <v>27</v>
      </c>
      <c r="V1897" s="0" t="n">
        <f aca="false">T1897-U1897</f>
        <v>22</v>
      </c>
      <c r="W1897" s="0" t="n">
        <f aca="false">T1897+U1897</f>
        <v>76</v>
      </c>
    </row>
    <row r="1898" customFormat="false" ht="15" hidden="false" customHeight="false" outlineLevel="0" collapsed="false">
      <c r="A1898" s="0" t="n">
        <v>1895</v>
      </c>
      <c r="B1898" s="0" t="n">
        <f aca="true">NORMINV(RAND(),1,Coefficients!$B$22)</f>
        <v>0.98184846961473</v>
      </c>
      <c r="C1898" s="0" t="n">
        <f aca="true">MEDIAN(8,16,ROUND(NORMINV(RAND(),Coefficients!$B$20,Coefficients!$B$21),0))</f>
        <v>11</v>
      </c>
      <c r="D1898" s="0" t="n">
        <f aca="true">CRITBINOM($C1898,MIN(0.75,Matchup!$B$39*$B1898),RAND())</f>
        <v>2</v>
      </c>
      <c r="E1898" s="0" t="n">
        <f aca="true">CRITBINOM(D1898,Coefficients!$B$30,RAND())</f>
        <v>1</v>
      </c>
      <c r="F1898" s="0" t="n">
        <f aca="true">CRITBINOM(E1898,Coefficients!$B$31,RAND())</f>
        <v>1</v>
      </c>
      <c r="G1898" s="0" t="n">
        <f aca="true">CRITBINOM(MAX(0,D1898-E1898),1-Coefficients!$B$32,RAND())</f>
        <v>0</v>
      </c>
      <c r="H1898" s="0" t="n">
        <f aca="true">CRITBINOM(MAX(0,$C1898-D1898),MIN(0.6,Matchup!$B$40*SQRT($B1898)/(1-MIN(0.75,Matchup!$B$39*$B1898))),RAND())</f>
        <v>1</v>
      </c>
      <c r="I1898" s="0" t="n">
        <f aca="false">6*D1898+(D1898-E1898-G1898)+2*F1898+3*H1898</f>
        <v>18</v>
      </c>
      <c r="J1898" s="0" t="n">
        <f aca="true">CRITBINOM($C1898,MIN(0.75,Matchup!$C$39*$B1898),RAND())</f>
        <v>2</v>
      </c>
      <c r="K1898" s="0" t="n">
        <f aca="true">CRITBINOM(J1898,Coefficients!$B$30,RAND())</f>
        <v>0</v>
      </c>
      <c r="L1898" s="0" t="n">
        <f aca="true">CRITBINOM(K1898,Coefficients!$B$31,RAND())</f>
        <v>0</v>
      </c>
      <c r="M1898" s="0" t="n">
        <f aca="true">CRITBINOM(MAX(0,J1898-K1898),1-Coefficients!$B$32,RAND())</f>
        <v>0</v>
      </c>
      <c r="N1898" s="0" t="n">
        <f aca="true">CRITBINOM(MAX(0,$C1898-J1898),MIN(0.6,Matchup!$C$40*SQRT($B1898)/(1-MIN(0.75,Matchup!$C$39*$B1898))),RAND())</f>
        <v>1</v>
      </c>
      <c r="O1898" s="0" t="n">
        <f aca="false">6*J1898+(J1898-K1898-M1898)+2*L1898+3*N1898</f>
        <v>17</v>
      </c>
      <c r="P1898" s="0" t="n">
        <f aca="true">RAND()</f>
        <v>0.455034824098678</v>
      </c>
      <c r="Q1898" s="0" t="n">
        <f aca="true">RAND()</f>
        <v>0.300865172253562</v>
      </c>
      <c r="R1898" s="0" t="n">
        <f aca="false">IF($I1898&lt;&gt;$O1898,0,IF(P1898&lt;Matchup!$B$39,7,IF(P1898&lt;Matchup!$B$39+Matchup!$B$40,3,0)))</f>
        <v>0</v>
      </c>
      <c r="S1898" s="0" t="n">
        <f aca="false">IF($I1898&lt;&gt;$O1898,0,IF(Q1898&lt;Matchup!$C$39,7,IF(Q1898&lt;Matchup!$C$39+Matchup!$C$40,3,0)))</f>
        <v>0</v>
      </c>
      <c r="T1898" s="0" t="n">
        <f aca="false">I1898+R1898</f>
        <v>18</v>
      </c>
      <c r="U1898" s="0" t="n">
        <f aca="false">O1898+S1898</f>
        <v>17</v>
      </c>
      <c r="V1898" s="0" t="n">
        <f aca="false">T1898-U1898</f>
        <v>1</v>
      </c>
      <c r="W1898" s="0" t="n">
        <f aca="false">T1898+U1898</f>
        <v>35</v>
      </c>
    </row>
    <row r="1899" customFormat="false" ht="15" hidden="false" customHeight="false" outlineLevel="0" collapsed="false">
      <c r="A1899" s="0" t="n">
        <v>1896</v>
      </c>
      <c r="B1899" s="0" t="n">
        <f aca="true">NORMINV(RAND(),1,Coefficients!$B$22)</f>
        <v>1.01015334122304</v>
      </c>
      <c r="C1899" s="0" t="n">
        <f aca="true">MEDIAN(8,16,ROUND(NORMINV(RAND(),Coefficients!$B$20,Coefficients!$B$21),0))</f>
        <v>12</v>
      </c>
      <c r="D1899" s="0" t="n">
        <f aca="true">CRITBINOM($C1899,MIN(0.75,Matchup!$B$39*$B1899),RAND())</f>
        <v>2</v>
      </c>
      <c r="E1899" s="0" t="n">
        <f aca="true">CRITBINOM(D1899,Coefficients!$B$30,RAND())</f>
        <v>1</v>
      </c>
      <c r="F1899" s="0" t="n">
        <f aca="true">CRITBINOM(E1899,Coefficients!$B$31,RAND())</f>
        <v>0</v>
      </c>
      <c r="G1899" s="0" t="n">
        <f aca="true">CRITBINOM(MAX(0,D1899-E1899),1-Coefficients!$B$32,RAND())</f>
        <v>1</v>
      </c>
      <c r="H1899" s="0" t="n">
        <f aca="true">CRITBINOM(MAX(0,$C1899-D1899),MIN(0.6,Matchup!$B$40*SQRT($B1899)/(1-MIN(0.75,Matchup!$B$39*$B1899))),RAND())</f>
        <v>3</v>
      </c>
      <c r="I1899" s="0" t="n">
        <f aca="false">6*D1899+(D1899-E1899-G1899)+2*F1899+3*H1899</f>
        <v>21</v>
      </c>
      <c r="J1899" s="0" t="n">
        <f aca="true">CRITBINOM($C1899,MIN(0.75,Matchup!$C$39*$B1899),RAND())</f>
        <v>3</v>
      </c>
      <c r="K1899" s="0" t="n">
        <f aca="true">CRITBINOM(J1899,Coefficients!$B$30,RAND())</f>
        <v>0</v>
      </c>
      <c r="L1899" s="0" t="n">
        <f aca="true">CRITBINOM(K1899,Coefficients!$B$31,RAND())</f>
        <v>0</v>
      </c>
      <c r="M1899" s="0" t="n">
        <f aca="true">CRITBINOM(MAX(0,J1899-K1899),1-Coefficients!$B$32,RAND())</f>
        <v>0</v>
      </c>
      <c r="N1899" s="0" t="n">
        <f aca="true">CRITBINOM(MAX(0,$C1899-J1899),MIN(0.6,Matchup!$C$40*SQRT($B1899)/(1-MIN(0.75,Matchup!$C$39*$B1899))),RAND())</f>
        <v>1</v>
      </c>
      <c r="O1899" s="0" t="n">
        <f aca="false">6*J1899+(J1899-K1899-M1899)+2*L1899+3*N1899</f>
        <v>24</v>
      </c>
      <c r="P1899" s="0" t="n">
        <f aca="true">RAND()</f>
        <v>0.311206451811108</v>
      </c>
      <c r="Q1899" s="0" t="n">
        <f aca="true">RAND()</f>
        <v>0.969018232112315</v>
      </c>
      <c r="R1899" s="0" t="n">
        <f aca="false">IF($I1899&lt;&gt;$O1899,0,IF(P1899&lt;Matchup!$B$39,7,IF(P1899&lt;Matchup!$B$39+Matchup!$B$40,3,0)))</f>
        <v>0</v>
      </c>
      <c r="S1899" s="0" t="n">
        <f aca="false">IF($I1899&lt;&gt;$O1899,0,IF(Q1899&lt;Matchup!$C$39,7,IF(Q1899&lt;Matchup!$C$39+Matchup!$C$40,3,0)))</f>
        <v>0</v>
      </c>
      <c r="T1899" s="0" t="n">
        <f aca="false">I1899+R1899</f>
        <v>21</v>
      </c>
      <c r="U1899" s="0" t="n">
        <f aca="false">O1899+S1899</f>
        <v>24</v>
      </c>
      <c r="V1899" s="0" t="n">
        <f aca="false">T1899-U1899</f>
        <v>-3</v>
      </c>
      <c r="W1899" s="0" t="n">
        <f aca="false">T1899+U1899</f>
        <v>45</v>
      </c>
    </row>
    <row r="1900" customFormat="false" ht="15" hidden="false" customHeight="false" outlineLevel="0" collapsed="false">
      <c r="A1900" s="0" t="n">
        <v>1897</v>
      </c>
      <c r="B1900" s="0" t="n">
        <f aca="true">NORMINV(RAND(),1,Coefficients!$B$22)</f>
        <v>0.889295531398952</v>
      </c>
      <c r="C1900" s="0" t="n">
        <f aca="true">MEDIAN(8,16,ROUND(NORMINV(RAND(),Coefficients!$B$20,Coefficients!$B$21),0))</f>
        <v>10</v>
      </c>
      <c r="D1900" s="0" t="n">
        <f aca="true">CRITBINOM($C1900,MIN(0.75,Matchup!$B$39*$B1900),RAND())</f>
        <v>1</v>
      </c>
      <c r="E1900" s="0" t="n">
        <f aca="true">CRITBINOM(D1900,Coefficients!$B$30,RAND())</f>
        <v>1</v>
      </c>
      <c r="F1900" s="0" t="n">
        <f aca="true">CRITBINOM(E1900,Coefficients!$B$31,RAND())</f>
        <v>1</v>
      </c>
      <c r="G1900" s="0" t="n">
        <f aca="true">CRITBINOM(MAX(0,D1900-E1900),1-Coefficients!$B$32,RAND())</f>
        <v>0</v>
      </c>
      <c r="H1900" s="0" t="n">
        <f aca="true">CRITBINOM(MAX(0,$C1900-D1900),MIN(0.6,Matchup!$B$40*SQRT($B1900)/(1-MIN(0.75,Matchup!$B$39*$B1900))),RAND())</f>
        <v>2</v>
      </c>
      <c r="I1900" s="0" t="n">
        <f aca="false">6*D1900+(D1900-E1900-G1900)+2*F1900+3*H1900</f>
        <v>14</v>
      </c>
      <c r="J1900" s="0" t="n">
        <f aca="true">CRITBINOM($C1900,MIN(0.75,Matchup!$C$39*$B1900),RAND())</f>
        <v>2</v>
      </c>
      <c r="K1900" s="0" t="n">
        <f aca="true">CRITBINOM(J1900,Coefficients!$B$30,RAND())</f>
        <v>0</v>
      </c>
      <c r="L1900" s="0" t="n">
        <f aca="true">CRITBINOM(K1900,Coefficients!$B$31,RAND())</f>
        <v>0</v>
      </c>
      <c r="M1900" s="0" t="n">
        <f aca="true">CRITBINOM(MAX(0,J1900-K1900),1-Coefficients!$B$32,RAND())</f>
        <v>0</v>
      </c>
      <c r="N1900" s="0" t="n">
        <f aca="true">CRITBINOM(MAX(0,$C1900-J1900),MIN(0.6,Matchup!$C$40*SQRT($B1900)/(1-MIN(0.75,Matchup!$C$39*$B1900))),RAND())</f>
        <v>0</v>
      </c>
      <c r="O1900" s="0" t="n">
        <f aca="false">6*J1900+(J1900-K1900-M1900)+2*L1900+3*N1900</f>
        <v>14</v>
      </c>
      <c r="P1900" s="0" t="n">
        <f aca="true">RAND()</f>
        <v>0.50667566379437</v>
      </c>
      <c r="Q1900" s="0" t="n">
        <f aca="true">RAND()</f>
        <v>0.0118440960249395</v>
      </c>
      <c r="R1900" s="0" t="n">
        <f aca="false">IF($I1900&lt;&gt;$O1900,0,IF(P1900&lt;Matchup!$B$39,7,IF(P1900&lt;Matchup!$B$39+Matchup!$B$40,3,0)))</f>
        <v>0</v>
      </c>
      <c r="S1900" s="0" t="n">
        <f aca="false">IF($I1900&lt;&gt;$O1900,0,IF(Q1900&lt;Matchup!$C$39,7,IF(Q1900&lt;Matchup!$C$39+Matchup!$C$40,3,0)))</f>
        <v>7</v>
      </c>
      <c r="T1900" s="0" t="n">
        <f aca="false">I1900+R1900</f>
        <v>14</v>
      </c>
      <c r="U1900" s="0" t="n">
        <f aca="false">O1900+S1900</f>
        <v>21</v>
      </c>
      <c r="V1900" s="0" t="n">
        <f aca="false">T1900-U1900</f>
        <v>-7</v>
      </c>
      <c r="W1900" s="0" t="n">
        <f aca="false">T1900+U1900</f>
        <v>35</v>
      </c>
    </row>
    <row r="1901" customFormat="false" ht="15" hidden="false" customHeight="false" outlineLevel="0" collapsed="false">
      <c r="A1901" s="0" t="n">
        <v>1898</v>
      </c>
      <c r="B1901" s="0" t="n">
        <f aca="true">NORMINV(RAND(),1,Coefficients!$B$22)</f>
        <v>1.08352753488869</v>
      </c>
      <c r="C1901" s="0" t="n">
        <f aca="true">MEDIAN(8,16,ROUND(NORMINV(RAND(),Coefficients!$B$20,Coefficients!$B$21),0))</f>
        <v>8</v>
      </c>
      <c r="D1901" s="0" t="n">
        <f aca="true">CRITBINOM($C1901,MIN(0.75,Matchup!$B$39*$B1901),RAND())</f>
        <v>2</v>
      </c>
      <c r="E1901" s="0" t="n">
        <f aca="true">CRITBINOM(D1901,Coefficients!$B$30,RAND())</f>
        <v>0</v>
      </c>
      <c r="F1901" s="0" t="n">
        <f aca="true">CRITBINOM(E1901,Coefficients!$B$31,RAND())</f>
        <v>0</v>
      </c>
      <c r="G1901" s="0" t="n">
        <f aca="true">CRITBINOM(MAX(0,D1901-E1901),1-Coefficients!$B$32,RAND())</f>
        <v>0</v>
      </c>
      <c r="H1901" s="0" t="n">
        <f aca="true">CRITBINOM(MAX(0,$C1901-D1901),MIN(0.6,Matchup!$B$40*SQRT($B1901)/(1-MIN(0.75,Matchup!$B$39*$B1901))),RAND())</f>
        <v>4</v>
      </c>
      <c r="I1901" s="0" t="n">
        <f aca="false">6*D1901+(D1901-E1901-G1901)+2*F1901+3*H1901</f>
        <v>26</v>
      </c>
      <c r="J1901" s="0" t="n">
        <f aca="true">CRITBINOM($C1901,MIN(0.75,Matchup!$C$39*$B1901),RAND())</f>
        <v>1</v>
      </c>
      <c r="K1901" s="0" t="n">
        <f aca="true">CRITBINOM(J1901,Coefficients!$B$30,RAND())</f>
        <v>0</v>
      </c>
      <c r="L1901" s="0" t="n">
        <f aca="true">CRITBINOM(K1901,Coefficients!$B$31,RAND())</f>
        <v>0</v>
      </c>
      <c r="M1901" s="0" t="n">
        <f aca="true">CRITBINOM(MAX(0,J1901-K1901),1-Coefficients!$B$32,RAND())</f>
        <v>0</v>
      </c>
      <c r="N1901" s="0" t="n">
        <f aca="true">CRITBINOM(MAX(0,$C1901-J1901),MIN(0.6,Matchup!$C$40*SQRT($B1901)/(1-MIN(0.75,Matchup!$C$39*$B1901))),RAND())</f>
        <v>1</v>
      </c>
      <c r="O1901" s="0" t="n">
        <f aca="false">6*J1901+(J1901-K1901-M1901)+2*L1901+3*N1901</f>
        <v>10</v>
      </c>
      <c r="P1901" s="0" t="n">
        <f aca="true">RAND()</f>
        <v>0.48900478446514</v>
      </c>
      <c r="Q1901" s="0" t="n">
        <f aca="true">RAND()</f>
        <v>0.643976245385866</v>
      </c>
      <c r="R1901" s="0" t="n">
        <f aca="false">IF($I1901&lt;&gt;$O1901,0,IF(P1901&lt;Matchup!$B$39,7,IF(P1901&lt;Matchup!$B$39+Matchup!$B$40,3,0)))</f>
        <v>0</v>
      </c>
      <c r="S1901" s="0" t="n">
        <f aca="false">IF($I1901&lt;&gt;$O1901,0,IF(Q1901&lt;Matchup!$C$39,7,IF(Q1901&lt;Matchup!$C$39+Matchup!$C$40,3,0)))</f>
        <v>0</v>
      </c>
      <c r="T1901" s="0" t="n">
        <f aca="false">I1901+R1901</f>
        <v>26</v>
      </c>
      <c r="U1901" s="0" t="n">
        <f aca="false">O1901+S1901</f>
        <v>10</v>
      </c>
      <c r="V1901" s="0" t="n">
        <f aca="false">T1901-U1901</f>
        <v>16</v>
      </c>
      <c r="W1901" s="0" t="n">
        <f aca="false">T1901+U1901</f>
        <v>36</v>
      </c>
    </row>
    <row r="1902" customFormat="false" ht="15" hidden="false" customHeight="false" outlineLevel="0" collapsed="false">
      <c r="A1902" s="0" t="n">
        <v>1899</v>
      </c>
      <c r="B1902" s="0" t="n">
        <f aca="true">NORMINV(RAND(),1,Coefficients!$B$22)</f>
        <v>1.04204053205885</v>
      </c>
      <c r="C1902" s="0" t="n">
        <f aca="true">MEDIAN(8,16,ROUND(NORMINV(RAND(),Coefficients!$B$20,Coefficients!$B$21),0))</f>
        <v>11</v>
      </c>
      <c r="D1902" s="0" t="n">
        <f aca="true">CRITBINOM($C1902,MIN(0.75,Matchup!$B$39*$B1902),RAND())</f>
        <v>3</v>
      </c>
      <c r="E1902" s="0" t="n">
        <f aca="true">CRITBINOM(D1902,Coefficients!$B$30,RAND())</f>
        <v>0</v>
      </c>
      <c r="F1902" s="0" t="n">
        <f aca="true">CRITBINOM(E1902,Coefficients!$B$31,RAND())</f>
        <v>0</v>
      </c>
      <c r="G1902" s="0" t="n">
        <f aca="true">CRITBINOM(MAX(0,D1902-E1902),1-Coefficients!$B$32,RAND())</f>
        <v>0</v>
      </c>
      <c r="H1902" s="0" t="n">
        <f aca="true">CRITBINOM(MAX(0,$C1902-D1902),MIN(0.6,Matchup!$B$40*SQRT($B1902)/(1-MIN(0.75,Matchup!$B$39*$B1902))),RAND())</f>
        <v>1</v>
      </c>
      <c r="I1902" s="0" t="n">
        <f aca="false">6*D1902+(D1902-E1902-G1902)+2*F1902+3*H1902</f>
        <v>24</v>
      </c>
      <c r="J1902" s="0" t="n">
        <f aca="true">CRITBINOM($C1902,MIN(0.75,Matchup!$C$39*$B1902),RAND())</f>
        <v>5</v>
      </c>
      <c r="K1902" s="0" t="n">
        <f aca="true">CRITBINOM(J1902,Coefficients!$B$30,RAND())</f>
        <v>0</v>
      </c>
      <c r="L1902" s="0" t="n">
        <f aca="true">CRITBINOM(K1902,Coefficients!$B$31,RAND())</f>
        <v>0</v>
      </c>
      <c r="M1902" s="0" t="n">
        <f aca="true">CRITBINOM(MAX(0,J1902-K1902),1-Coefficients!$B$32,RAND())</f>
        <v>1</v>
      </c>
      <c r="N1902" s="0" t="n">
        <f aca="true">CRITBINOM(MAX(0,$C1902-J1902),MIN(0.6,Matchup!$C$40*SQRT($B1902)/(1-MIN(0.75,Matchup!$C$39*$B1902))),RAND())</f>
        <v>1</v>
      </c>
      <c r="O1902" s="0" t="n">
        <f aca="false">6*J1902+(J1902-K1902-M1902)+2*L1902+3*N1902</f>
        <v>37</v>
      </c>
      <c r="P1902" s="0" t="n">
        <f aca="true">RAND()</f>
        <v>0.510720599073131</v>
      </c>
      <c r="Q1902" s="0" t="n">
        <f aca="true">RAND()</f>
        <v>0.233498636895706</v>
      </c>
      <c r="R1902" s="0" t="n">
        <f aca="false">IF($I1902&lt;&gt;$O1902,0,IF(P1902&lt;Matchup!$B$39,7,IF(P1902&lt;Matchup!$B$39+Matchup!$B$40,3,0)))</f>
        <v>0</v>
      </c>
      <c r="S1902" s="0" t="n">
        <f aca="false">IF($I1902&lt;&gt;$O1902,0,IF(Q1902&lt;Matchup!$C$39,7,IF(Q1902&lt;Matchup!$C$39+Matchup!$C$40,3,0)))</f>
        <v>0</v>
      </c>
      <c r="T1902" s="0" t="n">
        <f aca="false">I1902+R1902</f>
        <v>24</v>
      </c>
      <c r="U1902" s="0" t="n">
        <f aca="false">O1902+S1902</f>
        <v>37</v>
      </c>
      <c r="V1902" s="0" t="n">
        <f aca="false">T1902-U1902</f>
        <v>-13</v>
      </c>
      <c r="W1902" s="0" t="n">
        <f aca="false">T1902+U1902</f>
        <v>61</v>
      </c>
    </row>
    <row r="1903" customFormat="false" ht="15" hidden="false" customHeight="false" outlineLevel="0" collapsed="false">
      <c r="A1903" s="0" t="n">
        <v>1900</v>
      </c>
      <c r="B1903" s="0" t="n">
        <f aca="true">NORMINV(RAND(),1,Coefficients!$B$22)</f>
        <v>0.978775732295567</v>
      </c>
      <c r="C1903" s="0" t="n">
        <f aca="true">MEDIAN(8,16,ROUND(NORMINV(RAND(),Coefficients!$B$20,Coefficients!$B$21),0))</f>
        <v>12</v>
      </c>
      <c r="D1903" s="0" t="n">
        <f aca="true">CRITBINOM($C1903,MIN(0.75,Matchup!$B$39*$B1903),RAND())</f>
        <v>2</v>
      </c>
      <c r="E1903" s="0" t="n">
        <f aca="true">CRITBINOM(D1903,Coefficients!$B$30,RAND())</f>
        <v>0</v>
      </c>
      <c r="F1903" s="0" t="n">
        <f aca="true">CRITBINOM(E1903,Coefficients!$B$31,RAND())</f>
        <v>0</v>
      </c>
      <c r="G1903" s="0" t="n">
        <f aca="true">CRITBINOM(MAX(0,D1903-E1903),1-Coefficients!$B$32,RAND())</f>
        <v>0</v>
      </c>
      <c r="H1903" s="0" t="n">
        <f aca="true">CRITBINOM(MAX(0,$C1903-D1903),MIN(0.6,Matchup!$B$40*SQRT($B1903)/(1-MIN(0.75,Matchup!$B$39*$B1903))),RAND())</f>
        <v>3</v>
      </c>
      <c r="I1903" s="0" t="n">
        <f aca="false">6*D1903+(D1903-E1903-G1903)+2*F1903+3*H1903</f>
        <v>23</v>
      </c>
      <c r="J1903" s="0" t="n">
        <f aca="true">CRITBINOM($C1903,MIN(0.75,Matchup!$C$39*$B1903),RAND())</f>
        <v>1</v>
      </c>
      <c r="K1903" s="0" t="n">
        <f aca="true">CRITBINOM(J1903,Coefficients!$B$30,RAND())</f>
        <v>0</v>
      </c>
      <c r="L1903" s="0" t="n">
        <f aca="true">CRITBINOM(K1903,Coefficients!$B$31,RAND())</f>
        <v>0</v>
      </c>
      <c r="M1903" s="0" t="n">
        <f aca="true">CRITBINOM(MAX(0,J1903-K1903),1-Coefficients!$B$32,RAND())</f>
        <v>0</v>
      </c>
      <c r="N1903" s="0" t="n">
        <f aca="true">CRITBINOM(MAX(0,$C1903-J1903),MIN(0.6,Matchup!$C$40*SQRT($B1903)/(1-MIN(0.75,Matchup!$C$39*$B1903))),RAND())</f>
        <v>0</v>
      </c>
      <c r="O1903" s="0" t="n">
        <f aca="false">6*J1903+(J1903-K1903-M1903)+2*L1903+3*N1903</f>
        <v>7</v>
      </c>
      <c r="P1903" s="0" t="n">
        <f aca="true">RAND()</f>
        <v>0.110334584459209</v>
      </c>
      <c r="Q1903" s="0" t="n">
        <f aca="true">RAND()</f>
        <v>0.0622266682207548</v>
      </c>
      <c r="R1903" s="0" t="n">
        <f aca="false">IF($I1903&lt;&gt;$O1903,0,IF(P1903&lt;Matchup!$B$39,7,IF(P1903&lt;Matchup!$B$39+Matchup!$B$40,3,0)))</f>
        <v>0</v>
      </c>
      <c r="S1903" s="0" t="n">
        <f aca="false">IF($I1903&lt;&gt;$O1903,0,IF(Q1903&lt;Matchup!$C$39,7,IF(Q1903&lt;Matchup!$C$39+Matchup!$C$40,3,0)))</f>
        <v>0</v>
      </c>
      <c r="T1903" s="0" t="n">
        <f aca="false">I1903+R1903</f>
        <v>23</v>
      </c>
      <c r="U1903" s="0" t="n">
        <f aca="false">O1903+S1903</f>
        <v>7</v>
      </c>
      <c r="V1903" s="0" t="n">
        <f aca="false">T1903-U1903</f>
        <v>16</v>
      </c>
      <c r="W1903" s="0" t="n">
        <f aca="false">T1903+U1903</f>
        <v>30</v>
      </c>
    </row>
    <row r="1904" customFormat="false" ht="15" hidden="false" customHeight="false" outlineLevel="0" collapsed="false">
      <c r="A1904" s="0" t="n">
        <v>1901</v>
      </c>
      <c r="B1904" s="0" t="n">
        <f aca="true">NORMINV(RAND(),1,Coefficients!$B$22)</f>
        <v>0.935275499117511</v>
      </c>
      <c r="C1904" s="0" t="n">
        <f aca="true">MEDIAN(8,16,ROUND(NORMINV(RAND(),Coefficients!$B$20,Coefficients!$B$21),0))</f>
        <v>10</v>
      </c>
      <c r="D1904" s="0" t="n">
        <f aca="true">CRITBINOM($C1904,MIN(0.75,Matchup!$B$39*$B1904),RAND())</f>
        <v>2</v>
      </c>
      <c r="E1904" s="0" t="n">
        <f aca="true">CRITBINOM(D1904,Coefficients!$B$30,RAND())</f>
        <v>0</v>
      </c>
      <c r="F1904" s="0" t="n">
        <f aca="true">CRITBINOM(E1904,Coefficients!$B$31,RAND())</f>
        <v>0</v>
      </c>
      <c r="G1904" s="0" t="n">
        <f aca="true">CRITBINOM(MAX(0,D1904-E1904),1-Coefficients!$B$32,RAND())</f>
        <v>0</v>
      </c>
      <c r="H1904" s="0" t="n">
        <f aca="true">CRITBINOM(MAX(0,$C1904-D1904),MIN(0.6,Matchup!$B$40*SQRT($B1904)/(1-MIN(0.75,Matchup!$B$39*$B1904))),RAND())</f>
        <v>3</v>
      </c>
      <c r="I1904" s="0" t="n">
        <f aca="false">6*D1904+(D1904-E1904-G1904)+2*F1904+3*H1904</f>
        <v>23</v>
      </c>
      <c r="J1904" s="0" t="n">
        <f aca="true">CRITBINOM($C1904,MIN(0.75,Matchup!$C$39*$B1904),RAND())</f>
        <v>3</v>
      </c>
      <c r="K1904" s="0" t="n">
        <f aca="true">CRITBINOM(J1904,Coefficients!$B$30,RAND())</f>
        <v>0</v>
      </c>
      <c r="L1904" s="0" t="n">
        <f aca="true">CRITBINOM(K1904,Coefficients!$B$31,RAND())</f>
        <v>0</v>
      </c>
      <c r="M1904" s="0" t="n">
        <f aca="true">CRITBINOM(MAX(0,J1904-K1904),1-Coefficients!$B$32,RAND())</f>
        <v>0</v>
      </c>
      <c r="N1904" s="0" t="n">
        <f aca="true">CRITBINOM(MAX(0,$C1904-J1904),MIN(0.6,Matchup!$C$40*SQRT($B1904)/(1-MIN(0.75,Matchup!$C$39*$B1904))),RAND())</f>
        <v>1</v>
      </c>
      <c r="O1904" s="0" t="n">
        <f aca="false">6*J1904+(J1904-K1904-M1904)+2*L1904+3*N1904</f>
        <v>24</v>
      </c>
      <c r="P1904" s="0" t="n">
        <f aca="true">RAND()</f>
        <v>0.0479747434986712</v>
      </c>
      <c r="Q1904" s="0" t="n">
        <f aca="true">RAND()</f>
        <v>0.341342725605854</v>
      </c>
      <c r="R1904" s="0" t="n">
        <f aca="false">IF($I1904&lt;&gt;$O1904,0,IF(P1904&lt;Matchup!$B$39,7,IF(P1904&lt;Matchup!$B$39+Matchup!$B$40,3,0)))</f>
        <v>0</v>
      </c>
      <c r="S1904" s="0" t="n">
        <f aca="false">IF($I1904&lt;&gt;$O1904,0,IF(Q1904&lt;Matchup!$C$39,7,IF(Q1904&lt;Matchup!$C$39+Matchup!$C$40,3,0)))</f>
        <v>0</v>
      </c>
      <c r="T1904" s="0" t="n">
        <f aca="false">I1904+R1904</f>
        <v>23</v>
      </c>
      <c r="U1904" s="0" t="n">
        <f aca="false">O1904+S1904</f>
        <v>24</v>
      </c>
      <c r="V1904" s="0" t="n">
        <f aca="false">T1904-U1904</f>
        <v>-1</v>
      </c>
      <c r="W1904" s="0" t="n">
        <f aca="false">T1904+U1904</f>
        <v>47</v>
      </c>
    </row>
    <row r="1905" customFormat="false" ht="15" hidden="false" customHeight="false" outlineLevel="0" collapsed="false">
      <c r="A1905" s="0" t="n">
        <v>1902</v>
      </c>
      <c r="B1905" s="0" t="n">
        <f aca="true">NORMINV(RAND(),1,Coefficients!$B$22)</f>
        <v>0.910064826573454</v>
      </c>
      <c r="C1905" s="0" t="n">
        <f aca="true">MEDIAN(8,16,ROUND(NORMINV(RAND(),Coefficients!$B$20,Coefficients!$B$21),0))</f>
        <v>12</v>
      </c>
      <c r="D1905" s="0" t="n">
        <f aca="true">CRITBINOM($C1905,MIN(0.75,Matchup!$B$39*$B1905),RAND())</f>
        <v>5</v>
      </c>
      <c r="E1905" s="0" t="n">
        <f aca="true">CRITBINOM(D1905,Coefficients!$B$30,RAND())</f>
        <v>0</v>
      </c>
      <c r="F1905" s="0" t="n">
        <f aca="true">CRITBINOM(E1905,Coefficients!$B$31,RAND())</f>
        <v>0</v>
      </c>
      <c r="G1905" s="0" t="n">
        <f aca="true">CRITBINOM(MAX(0,D1905-E1905),1-Coefficients!$B$32,RAND())</f>
        <v>0</v>
      </c>
      <c r="H1905" s="0" t="n">
        <f aca="true">CRITBINOM(MAX(0,$C1905-D1905),MIN(0.6,Matchup!$B$40*SQRT($B1905)/(1-MIN(0.75,Matchup!$B$39*$B1905))),RAND())</f>
        <v>1</v>
      </c>
      <c r="I1905" s="0" t="n">
        <f aca="false">6*D1905+(D1905-E1905-G1905)+2*F1905+3*H1905</f>
        <v>38</v>
      </c>
      <c r="J1905" s="0" t="n">
        <f aca="true">CRITBINOM($C1905,MIN(0.75,Matchup!$C$39*$B1905),RAND())</f>
        <v>1</v>
      </c>
      <c r="K1905" s="0" t="n">
        <f aca="true">CRITBINOM(J1905,Coefficients!$B$30,RAND())</f>
        <v>1</v>
      </c>
      <c r="L1905" s="0" t="n">
        <f aca="true">CRITBINOM(K1905,Coefficients!$B$31,RAND())</f>
        <v>0</v>
      </c>
      <c r="M1905" s="0" t="n">
        <f aca="true">CRITBINOM(MAX(0,J1905-K1905),1-Coefficients!$B$32,RAND())</f>
        <v>0</v>
      </c>
      <c r="N1905" s="0" t="n">
        <f aca="true">CRITBINOM(MAX(0,$C1905-J1905),MIN(0.6,Matchup!$C$40*SQRT($B1905)/(1-MIN(0.75,Matchup!$C$39*$B1905))),RAND())</f>
        <v>1</v>
      </c>
      <c r="O1905" s="0" t="n">
        <f aca="false">6*J1905+(J1905-K1905-M1905)+2*L1905+3*N1905</f>
        <v>9</v>
      </c>
      <c r="P1905" s="0" t="n">
        <f aca="true">RAND()</f>
        <v>0.0880426134348404</v>
      </c>
      <c r="Q1905" s="0" t="n">
        <f aca="true">RAND()</f>
        <v>0.74954712215363</v>
      </c>
      <c r="R1905" s="0" t="n">
        <f aca="false">IF($I1905&lt;&gt;$O1905,0,IF(P1905&lt;Matchup!$B$39,7,IF(P1905&lt;Matchup!$B$39+Matchup!$B$40,3,0)))</f>
        <v>0</v>
      </c>
      <c r="S1905" s="0" t="n">
        <f aca="false">IF($I1905&lt;&gt;$O1905,0,IF(Q1905&lt;Matchup!$C$39,7,IF(Q1905&lt;Matchup!$C$39+Matchup!$C$40,3,0)))</f>
        <v>0</v>
      </c>
      <c r="T1905" s="0" t="n">
        <f aca="false">I1905+R1905</f>
        <v>38</v>
      </c>
      <c r="U1905" s="0" t="n">
        <f aca="false">O1905+S1905</f>
        <v>9</v>
      </c>
      <c r="V1905" s="0" t="n">
        <f aca="false">T1905-U1905</f>
        <v>29</v>
      </c>
      <c r="W1905" s="0" t="n">
        <f aca="false">T1905+U1905</f>
        <v>47</v>
      </c>
    </row>
    <row r="1906" customFormat="false" ht="15" hidden="false" customHeight="false" outlineLevel="0" collapsed="false">
      <c r="A1906" s="0" t="n">
        <v>1903</v>
      </c>
      <c r="B1906" s="0" t="n">
        <f aca="true">NORMINV(RAND(),1,Coefficients!$B$22)</f>
        <v>0.927520835852237</v>
      </c>
      <c r="C1906" s="0" t="n">
        <f aca="true">MEDIAN(8,16,ROUND(NORMINV(RAND(),Coefficients!$B$20,Coefficients!$B$21),0))</f>
        <v>11</v>
      </c>
      <c r="D1906" s="0" t="n">
        <f aca="true">CRITBINOM($C1906,MIN(0.75,Matchup!$B$39*$B1906),RAND())</f>
        <v>5</v>
      </c>
      <c r="E1906" s="0" t="n">
        <f aca="true">CRITBINOM(D1906,Coefficients!$B$30,RAND())</f>
        <v>0</v>
      </c>
      <c r="F1906" s="0" t="n">
        <f aca="true">CRITBINOM(E1906,Coefficients!$B$31,RAND())</f>
        <v>0</v>
      </c>
      <c r="G1906" s="0" t="n">
        <f aca="true">CRITBINOM(MAX(0,D1906-E1906),1-Coefficients!$B$32,RAND())</f>
        <v>1</v>
      </c>
      <c r="H1906" s="0" t="n">
        <f aca="true">CRITBINOM(MAX(0,$C1906-D1906),MIN(0.6,Matchup!$B$40*SQRT($B1906)/(1-MIN(0.75,Matchup!$B$39*$B1906))),RAND())</f>
        <v>2</v>
      </c>
      <c r="I1906" s="0" t="n">
        <f aca="false">6*D1906+(D1906-E1906-G1906)+2*F1906+3*H1906</f>
        <v>40</v>
      </c>
      <c r="J1906" s="0" t="n">
        <f aca="true">CRITBINOM($C1906,MIN(0.75,Matchup!$C$39*$B1906),RAND())</f>
        <v>1</v>
      </c>
      <c r="K1906" s="0" t="n">
        <f aca="true">CRITBINOM(J1906,Coefficients!$B$30,RAND())</f>
        <v>1</v>
      </c>
      <c r="L1906" s="0" t="n">
        <f aca="true">CRITBINOM(K1906,Coefficients!$B$31,RAND())</f>
        <v>0</v>
      </c>
      <c r="M1906" s="0" t="n">
        <f aca="true">CRITBINOM(MAX(0,J1906-K1906),1-Coefficients!$B$32,RAND())</f>
        <v>0</v>
      </c>
      <c r="N1906" s="0" t="n">
        <f aca="true">CRITBINOM(MAX(0,$C1906-J1906),MIN(0.6,Matchup!$C$40*SQRT($B1906)/(1-MIN(0.75,Matchup!$C$39*$B1906))),RAND())</f>
        <v>3</v>
      </c>
      <c r="O1906" s="0" t="n">
        <f aca="false">6*J1906+(J1906-K1906-M1906)+2*L1906+3*N1906</f>
        <v>15</v>
      </c>
      <c r="P1906" s="0" t="n">
        <f aca="true">RAND()</f>
        <v>0.472544309778659</v>
      </c>
      <c r="Q1906" s="0" t="n">
        <f aca="true">RAND()</f>
        <v>0.2559233013298</v>
      </c>
      <c r="R1906" s="0" t="n">
        <f aca="false">IF($I1906&lt;&gt;$O1906,0,IF(P1906&lt;Matchup!$B$39,7,IF(P1906&lt;Matchup!$B$39+Matchup!$B$40,3,0)))</f>
        <v>0</v>
      </c>
      <c r="S1906" s="0" t="n">
        <f aca="false">IF($I1906&lt;&gt;$O1906,0,IF(Q1906&lt;Matchup!$C$39,7,IF(Q1906&lt;Matchup!$C$39+Matchup!$C$40,3,0)))</f>
        <v>0</v>
      </c>
      <c r="T1906" s="0" t="n">
        <f aca="false">I1906+R1906</f>
        <v>40</v>
      </c>
      <c r="U1906" s="0" t="n">
        <f aca="false">O1906+S1906</f>
        <v>15</v>
      </c>
      <c r="V1906" s="0" t="n">
        <f aca="false">T1906-U1906</f>
        <v>25</v>
      </c>
      <c r="W1906" s="0" t="n">
        <f aca="false">T1906+U1906</f>
        <v>55</v>
      </c>
    </row>
    <row r="1907" customFormat="false" ht="15" hidden="false" customHeight="false" outlineLevel="0" collapsed="false">
      <c r="A1907" s="0" t="n">
        <v>1904</v>
      </c>
      <c r="B1907" s="0" t="n">
        <f aca="true">NORMINV(RAND(),1,Coefficients!$B$22)</f>
        <v>1.14612697555341</v>
      </c>
      <c r="C1907" s="0" t="n">
        <f aca="true">MEDIAN(8,16,ROUND(NORMINV(RAND(),Coefficients!$B$20,Coefficients!$B$21),0))</f>
        <v>10</v>
      </c>
      <c r="D1907" s="0" t="n">
        <f aca="true">CRITBINOM($C1907,MIN(0.75,Matchup!$B$39*$B1907),RAND())</f>
        <v>3</v>
      </c>
      <c r="E1907" s="0" t="n">
        <f aca="true">CRITBINOM(D1907,Coefficients!$B$30,RAND())</f>
        <v>0</v>
      </c>
      <c r="F1907" s="0" t="n">
        <f aca="true">CRITBINOM(E1907,Coefficients!$B$31,RAND())</f>
        <v>0</v>
      </c>
      <c r="G1907" s="0" t="n">
        <f aca="true">CRITBINOM(MAX(0,D1907-E1907),1-Coefficients!$B$32,RAND())</f>
        <v>0</v>
      </c>
      <c r="H1907" s="0" t="n">
        <f aca="true">CRITBINOM(MAX(0,$C1907-D1907),MIN(0.6,Matchup!$B$40*SQRT($B1907)/(1-MIN(0.75,Matchup!$B$39*$B1907))),RAND())</f>
        <v>1</v>
      </c>
      <c r="I1907" s="0" t="n">
        <f aca="false">6*D1907+(D1907-E1907-G1907)+2*F1907+3*H1907</f>
        <v>24</v>
      </c>
      <c r="J1907" s="0" t="n">
        <f aca="true">CRITBINOM($C1907,MIN(0.75,Matchup!$C$39*$B1907),RAND())</f>
        <v>4</v>
      </c>
      <c r="K1907" s="0" t="n">
        <f aca="true">CRITBINOM(J1907,Coefficients!$B$30,RAND())</f>
        <v>0</v>
      </c>
      <c r="L1907" s="0" t="n">
        <f aca="true">CRITBINOM(K1907,Coefficients!$B$31,RAND())</f>
        <v>0</v>
      </c>
      <c r="M1907" s="0" t="n">
        <f aca="true">CRITBINOM(MAX(0,J1907-K1907),1-Coefficients!$B$32,RAND())</f>
        <v>0</v>
      </c>
      <c r="N1907" s="0" t="n">
        <f aca="true">CRITBINOM(MAX(0,$C1907-J1907),MIN(0.6,Matchup!$C$40*SQRT($B1907)/(1-MIN(0.75,Matchup!$C$39*$B1907))),RAND())</f>
        <v>1</v>
      </c>
      <c r="O1907" s="0" t="n">
        <f aca="false">6*J1907+(J1907-K1907-M1907)+2*L1907+3*N1907</f>
        <v>31</v>
      </c>
      <c r="P1907" s="0" t="n">
        <f aca="true">RAND()</f>
        <v>0.238429241968418</v>
      </c>
      <c r="Q1907" s="0" t="n">
        <f aca="true">RAND()</f>
        <v>0.760114658675328</v>
      </c>
      <c r="R1907" s="0" t="n">
        <f aca="false">IF($I1907&lt;&gt;$O1907,0,IF(P1907&lt;Matchup!$B$39,7,IF(P1907&lt;Matchup!$B$39+Matchup!$B$40,3,0)))</f>
        <v>0</v>
      </c>
      <c r="S1907" s="0" t="n">
        <f aca="false">IF($I1907&lt;&gt;$O1907,0,IF(Q1907&lt;Matchup!$C$39,7,IF(Q1907&lt;Matchup!$C$39+Matchup!$C$40,3,0)))</f>
        <v>0</v>
      </c>
      <c r="T1907" s="0" t="n">
        <f aca="false">I1907+R1907</f>
        <v>24</v>
      </c>
      <c r="U1907" s="0" t="n">
        <f aca="false">O1907+S1907</f>
        <v>31</v>
      </c>
      <c r="V1907" s="0" t="n">
        <f aca="false">T1907-U1907</f>
        <v>-7</v>
      </c>
      <c r="W1907" s="0" t="n">
        <f aca="false">T1907+U1907</f>
        <v>55</v>
      </c>
    </row>
    <row r="1908" customFormat="false" ht="15" hidden="false" customHeight="false" outlineLevel="0" collapsed="false">
      <c r="A1908" s="0" t="n">
        <v>1905</v>
      </c>
      <c r="B1908" s="0" t="n">
        <f aca="true">NORMINV(RAND(),1,Coefficients!$B$22)</f>
        <v>0.95015015206008</v>
      </c>
      <c r="C1908" s="0" t="n">
        <f aca="true">MEDIAN(8,16,ROUND(NORMINV(RAND(),Coefficients!$B$20,Coefficients!$B$21),0))</f>
        <v>11</v>
      </c>
      <c r="D1908" s="0" t="n">
        <f aca="true">CRITBINOM($C1908,MIN(0.75,Matchup!$B$39*$B1908),RAND())</f>
        <v>3</v>
      </c>
      <c r="E1908" s="0" t="n">
        <f aca="true">CRITBINOM(D1908,Coefficients!$B$30,RAND())</f>
        <v>0</v>
      </c>
      <c r="F1908" s="0" t="n">
        <f aca="true">CRITBINOM(E1908,Coefficients!$B$31,RAND())</f>
        <v>0</v>
      </c>
      <c r="G1908" s="0" t="n">
        <f aca="true">CRITBINOM(MAX(0,D1908-E1908),1-Coefficients!$B$32,RAND())</f>
        <v>0</v>
      </c>
      <c r="H1908" s="0" t="n">
        <f aca="true">CRITBINOM(MAX(0,$C1908-D1908),MIN(0.6,Matchup!$B$40*SQRT($B1908)/(1-MIN(0.75,Matchup!$B$39*$B1908))),RAND())</f>
        <v>0</v>
      </c>
      <c r="I1908" s="0" t="n">
        <f aca="false">6*D1908+(D1908-E1908-G1908)+2*F1908+3*H1908</f>
        <v>21</v>
      </c>
      <c r="J1908" s="0" t="n">
        <f aca="true">CRITBINOM($C1908,MIN(0.75,Matchup!$C$39*$B1908),RAND())</f>
        <v>1</v>
      </c>
      <c r="K1908" s="0" t="n">
        <f aca="true">CRITBINOM(J1908,Coefficients!$B$30,RAND())</f>
        <v>0</v>
      </c>
      <c r="L1908" s="0" t="n">
        <f aca="true">CRITBINOM(K1908,Coefficients!$B$31,RAND())</f>
        <v>0</v>
      </c>
      <c r="M1908" s="0" t="n">
        <f aca="true">CRITBINOM(MAX(0,J1908-K1908),1-Coefficients!$B$32,RAND())</f>
        <v>0</v>
      </c>
      <c r="N1908" s="0" t="n">
        <f aca="true">CRITBINOM(MAX(0,$C1908-J1908),MIN(0.6,Matchup!$C$40*SQRT($B1908)/(1-MIN(0.75,Matchup!$C$39*$B1908))),RAND())</f>
        <v>2</v>
      </c>
      <c r="O1908" s="0" t="n">
        <f aca="false">6*J1908+(J1908-K1908-M1908)+2*L1908+3*N1908</f>
        <v>13</v>
      </c>
      <c r="P1908" s="0" t="n">
        <f aca="true">RAND()</f>
        <v>0.0439401732723833</v>
      </c>
      <c r="Q1908" s="0" t="n">
        <f aca="true">RAND()</f>
        <v>0.460698848781036</v>
      </c>
      <c r="R1908" s="0" t="n">
        <f aca="false">IF($I1908&lt;&gt;$O1908,0,IF(P1908&lt;Matchup!$B$39,7,IF(P1908&lt;Matchup!$B$39+Matchup!$B$40,3,0)))</f>
        <v>0</v>
      </c>
      <c r="S1908" s="0" t="n">
        <f aca="false">IF($I1908&lt;&gt;$O1908,0,IF(Q1908&lt;Matchup!$C$39,7,IF(Q1908&lt;Matchup!$C$39+Matchup!$C$40,3,0)))</f>
        <v>0</v>
      </c>
      <c r="T1908" s="0" t="n">
        <f aca="false">I1908+R1908</f>
        <v>21</v>
      </c>
      <c r="U1908" s="0" t="n">
        <f aca="false">O1908+S1908</f>
        <v>13</v>
      </c>
      <c r="V1908" s="0" t="n">
        <f aca="false">T1908-U1908</f>
        <v>8</v>
      </c>
      <c r="W1908" s="0" t="n">
        <f aca="false">T1908+U1908</f>
        <v>34</v>
      </c>
    </row>
    <row r="1909" customFormat="false" ht="15" hidden="false" customHeight="false" outlineLevel="0" collapsed="false">
      <c r="A1909" s="0" t="n">
        <v>1906</v>
      </c>
      <c r="B1909" s="0" t="n">
        <f aca="true">NORMINV(RAND(),1,Coefficients!$B$22)</f>
        <v>0.963686853243136</v>
      </c>
      <c r="C1909" s="0" t="n">
        <f aca="true">MEDIAN(8,16,ROUND(NORMINV(RAND(),Coefficients!$B$20,Coefficients!$B$21),0))</f>
        <v>11</v>
      </c>
      <c r="D1909" s="0" t="n">
        <f aca="true">CRITBINOM($C1909,MIN(0.75,Matchup!$B$39*$B1909),RAND())</f>
        <v>3</v>
      </c>
      <c r="E1909" s="0" t="n">
        <f aca="true">CRITBINOM(D1909,Coefficients!$B$30,RAND())</f>
        <v>0</v>
      </c>
      <c r="F1909" s="0" t="n">
        <f aca="true">CRITBINOM(E1909,Coefficients!$B$31,RAND())</f>
        <v>0</v>
      </c>
      <c r="G1909" s="0" t="n">
        <f aca="true">CRITBINOM(MAX(0,D1909-E1909),1-Coefficients!$B$32,RAND())</f>
        <v>0</v>
      </c>
      <c r="H1909" s="0" t="n">
        <f aca="true">CRITBINOM(MAX(0,$C1909-D1909),MIN(0.6,Matchup!$B$40*SQRT($B1909)/(1-MIN(0.75,Matchup!$B$39*$B1909))),RAND())</f>
        <v>0</v>
      </c>
      <c r="I1909" s="0" t="n">
        <f aca="false">6*D1909+(D1909-E1909-G1909)+2*F1909+3*H1909</f>
        <v>21</v>
      </c>
      <c r="J1909" s="0" t="n">
        <f aca="true">CRITBINOM($C1909,MIN(0.75,Matchup!$C$39*$B1909),RAND())</f>
        <v>3</v>
      </c>
      <c r="K1909" s="0" t="n">
        <f aca="true">CRITBINOM(J1909,Coefficients!$B$30,RAND())</f>
        <v>0</v>
      </c>
      <c r="L1909" s="0" t="n">
        <f aca="true">CRITBINOM(K1909,Coefficients!$B$31,RAND())</f>
        <v>0</v>
      </c>
      <c r="M1909" s="0" t="n">
        <f aca="true">CRITBINOM(MAX(0,J1909-K1909),1-Coefficients!$B$32,RAND())</f>
        <v>0</v>
      </c>
      <c r="N1909" s="0" t="n">
        <f aca="true">CRITBINOM(MAX(0,$C1909-J1909),MIN(0.6,Matchup!$C$40*SQRT($B1909)/(1-MIN(0.75,Matchup!$C$39*$B1909))),RAND())</f>
        <v>2</v>
      </c>
      <c r="O1909" s="0" t="n">
        <f aca="false">6*J1909+(J1909-K1909-M1909)+2*L1909+3*N1909</f>
        <v>27</v>
      </c>
      <c r="P1909" s="0" t="n">
        <f aca="true">RAND()</f>
        <v>0.76538810025305</v>
      </c>
      <c r="Q1909" s="0" t="n">
        <f aca="true">RAND()</f>
        <v>0.910480588313554</v>
      </c>
      <c r="R1909" s="0" t="n">
        <f aca="false">IF($I1909&lt;&gt;$O1909,0,IF(P1909&lt;Matchup!$B$39,7,IF(P1909&lt;Matchup!$B$39+Matchup!$B$40,3,0)))</f>
        <v>0</v>
      </c>
      <c r="S1909" s="0" t="n">
        <f aca="false">IF($I1909&lt;&gt;$O1909,0,IF(Q1909&lt;Matchup!$C$39,7,IF(Q1909&lt;Matchup!$C$39+Matchup!$C$40,3,0)))</f>
        <v>0</v>
      </c>
      <c r="T1909" s="0" t="n">
        <f aca="false">I1909+R1909</f>
        <v>21</v>
      </c>
      <c r="U1909" s="0" t="n">
        <f aca="false">O1909+S1909</f>
        <v>27</v>
      </c>
      <c r="V1909" s="0" t="n">
        <f aca="false">T1909-U1909</f>
        <v>-6</v>
      </c>
      <c r="W1909" s="0" t="n">
        <f aca="false">T1909+U1909</f>
        <v>48</v>
      </c>
    </row>
    <row r="1910" customFormat="false" ht="15" hidden="false" customHeight="false" outlineLevel="0" collapsed="false">
      <c r="A1910" s="0" t="n">
        <v>1907</v>
      </c>
      <c r="B1910" s="0" t="n">
        <f aca="true">NORMINV(RAND(),1,Coefficients!$B$22)</f>
        <v>1.06282255830394</v>
      </c>
      <c r="C1910" s="0" t="n">
        <f aca="true">MEDIAN(8,16,ROUND(NORMINV(RAND(),Coefficients!$B$20,Coefficients!$B$21),0))</f>
        <v>12</v>
      </c>
      <c r="D1910" s="0" t="n">
        <f aca="true">CRITBINOM($C1910,MIN(0.75,Matchup!$B$39*$B1910),RAND())</f>
        <v>0</v>
      </c>
      <c r="E1910" s="0" t="n">
        <f aca="true">CRITBINOM(D1910,Coefficients!$B$30,RAND())</f>
        <v>0</v>
      </c>
      <c r="F1910" s="0" t="n">
        <f aca="true">CRITBINOM(E1910,Coefficients!$B$31,RAND())</f>
        <v>0</v>
      </c>
      <c r="G1910" s="0" t="n">
        <f aca="true">CRITBINOM(MAX(0,D1910-E1910),1-Coefficients!$B$32,RAND())</f>
        <v>0</v>
      </c>
      <c r="H1910" s="0" t="n">
        <f aca="true">CRITBINOM(MAX(0,$C1910-D1910),MIN(0.6,Matchup!$B$40*SQRT($B1910)/(1-MIN(0.75,Matchup!$B$39*$B1910))),RAND())</f>
        <v>3</v>
      </c>
      <c r="I1910" s="0" t="n">
        <f aca="false">6*D1910+(D1910-E1910-G1910)+2*F1910+3*H1910</f>
        <v>9</v>
      </c>
      <c r="J1910" s="0" t="n">
        <f aca="true">CRITBINOM($C1910,MIN(0.75,Matchup!$C$39*$B1910),RAND())</f>
        <v>4</v>
      </c>
      <c r="K1910" s="0" t="n">
        <f aca="true">CRITBINOM(J1910,Coefficients!$B$30,RAND())</f>
        <v>0</v>
      </c>
      <c r="L1910" s="0" t="n">
        <f aca="true">CRITBINOM(K1910,Coefficients!$B$31,RAND())</f>
        <v>0</v>
      </c>
      <c r="M1910" s="0" t="n">
        <f aca="true">CRITBINOM(MAX(0,J1910-K1910),1-Coefficients!$B$32,RAND())</f>
        <v>0</v>
      </c>
      <c r="N1910" s="0" t="n">
        <f aca="true">CRITBINOM(MAX(0,$C1910-J1910),MIN(0.6,Matchup!$C$40*SQRT($B1910)/(1-MIN(0.75,Matchup!$C$39*$B1910))),RAND())</f>
        <v>1</v>
      </c>
      <c r="O1910" s="0" t="n">
        <f aca="false">6*J1910+(J1910-K1910-M1910)+2*L1910+3*N1910</f>
        <v>31</v>
      </c>
      <c r="P1910" s="0" t="n">
        <f aca="true">RAND()</f>
        <v>0.62013572110437</v>
      </c>
      <c r="Q1910" s="0" t="n">
        <f aca="true">RAND()</f>
        <v>0.308865337155174</v>
      </c>
      <c r="R1910" s="0" t="n">
        <f aca="false">IF($I1910&lt;&gt;$O1910,0,IF(P1910&lt;Matchup!$B$39,7,IF(P1910&lt;Matchup!$B$39+Matchup!$B$40,3,0)))</f>
        <v>0</v>
      </c>
      <c r="S1910" s="0" t="n">
        <f aca="false">IF($I1910&lt;&gt;$O1910,0,IF(Q1910&lt;Matchup!$C$39,7,IF(Q1910&lt;Matchup!$C$39+Matchup!$C$40,3,0)))</f>
        <v>0</v>
      </c>
      <c r="T1910" s="0" t="n">
        <f aca="false">I1910+R1910</f>
        <v>9</v>
      </c>
      <c r="U1910" s="0" t="n">
        <f aca="false">O1910+S1910</f>
        <v>31</v>
      </c>
      <c r="V1910" s="0" t="n">
        <f aca="false">T1910-U1910</f>
        <v>-22</v>
      </c>
      <c r="W1910" s="0" t="n">
        <f aca="false">T1910+U1910</f>
        <v>40</v>
      </c>
    </row>
    <row r="1911" customFormat="false" ht="15" hidden="false" customHeight="false" outlineLevel="0" collapsed="false">
      <c r="A1911" s="0" t="n">
        <v>1908</v>
      </c>
      <c r="B1911" s="0" t="n">
        <f aca="true">NORMINV(RAND(),1,Coefficients!$B$22)</f>
        <v>0.963966978761054</v>
      </c>
      <c r="C1911" s="0" t="n">
        <f aca="true">MEDIAN(8,16,ROUND(NORMINV(RAND(),Coefficients!$B$20,Coefficients!$B$21),0))</f>
        <v>11</v>
      </c>
      <c r="D1911" s="0" t="n">
        <f aca="true">CRITBINOM($C1911,MIN(0.75,Matchup!$B$39*$B1911),RAND())</f>
        <v>3</v>
      </c>
      <c r="E1911" s="0" t="n">
        <f aca="true">CRITBINOM(D1911,Coefficients!$B$30,RAND())</f>
        <v>1</v>
      </c>
      <c r="F1911" s="0" t="n">
        <f aca="true">CRITBINOM(E1911,Coefficients!$B$31,RAND())</f>
        <v>0</v>
      </c>
      <c r="G1911" s="0" t="n">
        <f aca="true">CRITBINOM(MAX(0,D1911-E1911),1-Coefficients!$B$32,RAND())</f>
        <v>0</v>
      </c>
      <c r="H1911" s="0" t="n">
        <f aca="true">CRITBINOM(MAX(0,$C1911-D1911),MIN(0.6,Matchup!$B$40*SQRT($B1911)/(1-MIN(0.75,Matchup!$B$39*$B1911))),RAND())</f>
        <v>2</v>
      </c>
      <c r="I1911" s="0" t="n">
        <f aca="false">6*D1911+(D1911-E1911-G1911)+2*F1911+3*H1911</f>
        <v>26</v>
      </c>
      <c r="J1911" s="0" t="n">
        <f aca="true">CRITBINOM($C1911,MIN(0.75,Matchup!$C$39*$B1911),RAND())</f>
        <v>1</v>
      </c>
      <c r="K1911" s="0" t="n">
        <f aca="true">CRITBINOM(J1911,Coefficients!$B$30,RAND())</f>
        <v>0</v>
      </c>
      <c r="L1911" s="0" t="n">
        <f aca="true">CRITBINOM(K1911,Coefficients!$B$31,RAND())</f>
        <v>0</v>
      </c>
      <c r="M1911" s="0" t="n">
        <f aca="true">CRITBINOM(MAX(0,J1911-K1911),1-Coefficients!$B$32,RAND())</f>
        <v>0</v>
      </c>
      <c r="N1911" s="0" t="n">
        <f aca="true">CRITBINOM(MAX(0,$C1911-J1911),MIN(0.6,Matchup!$C$40*SQRT($B1911)/(1-MIN(0.75,Matchup!$C$39*$B1911))),RAND())</f>
        <v>2</v>
      </c>
      <c r="O1911" s="0" t="n">
        <f aca="false">6*J1911+(J1911-K1911-M1911)+2*L1911+3*N1911</f>
        <v>13</v>
      </c>
      <c r="P1911" s="0" t="n">
        <f aca="true">RAND()</f>
        <v>0.0965737004835575</v>
      </c>
      <c r="Q1911" s="0" t="n">
        <f aca="true">RAND()</f>
        <v>0.726798256099759</v>
      </c>
      <c r="R1911" s="0" t="n">
        <f aca="false">IF($I1911&lt;&gt;$O1911,0,IF(P1911&lt;Matchup!$B$39,7,IF(P1911&lt;Matchup!$B$39+Matchup!$B$40,3,0)))</f>
        <v>0</v>
      </c>
      <c r="S1911" s="0" t="n">
        <f aca="false">IF($I1911&lt;&gt;$O1911,0,IF(Q1911&lt;Matchup!$C$39,7,IF(Q1911&lt;Matchup!$C$39+Matchup!$C$40,3,0)))</f>
        <v>0</v>
      </c>
      <c r="T1911" s="0" t="n">
        <f aca="false">I1911+R1911</f>
        <v>26</v>
      </c>
      <c r="U1911" s="0" t="n">
        <f aca="false">O1911+S1911</f>
        <v>13</v>
      </c>
      <c r="V1911" s="0" t="n">
        <f aca="false">T1911-U1911</f>
        <v>13</v>
      </c>
      <c r="W1911" s="0" t="n">
        <f aca="false">T1911+U1911</f>
        <v>39</v>
      </c>
    </row>
    <row r="1912" customFormat="false" ht="15" hidden="false" customHeight="false" outlineLevel="0" collapsed="false">
      <c r="A1912" s="0" t="n">
        <v>1909</v>
      </c>
      <c r="B1912" s="0" t="n">
        <f aca="true">NORMINV(RAND(),1,Coefficients!$B$22)</f>
        <v>0.942329244677733</v>
      </c>
      <c r="C1912" s="0" t="n">
        <f aca="true">MEDIAN(8,16,ROUND(NORMINV(RAND(),Coefficients!$B$20,Coefficients!$B$21),0))</f>
        <v>10</v>
      </c>
      <c r="D1912" s="0" t="n">
        <f aca="true">CRITBINOM($C1912,MIN(0.75,Matchup!$B$39*$B1912),RAND())</f>
        <v>5</v>
      </c>
      <c r="E1912" s="0" t="n">
        <f aca="true">CRITBINOM(D1912,Coefficients!$B$30,RAND())</f>
        <v>0</v>
      </c>
      <c r="F1912" s="0" t="n">
        <f aca="true">CRITBINOM(E1912,Coefficients!$B$31,RAND())</f>
        <v>0</v>
      </c>
      <c r="G1912" s="0" t="n">
        <f aca="true">CRITBINOM(MAX(0,D1912-E1912),1-Coefficients!$B$32,RAND())</f>
        <v>1</v>
      </c>
      <c r="H1912" s="0" t="n">
        <f aca="true">CRITBINOM(MAX(0,$C1912-D1912),MIN(0.6,Matchup!$B$40*SQRT($B1912)/(1-MIN(0.75,Matchup!$B$39*$B1912))),RAND())</f>
        <v>0</v>
      </c>
      <c r="I1912" s="0" t="n">
        <f aca="false">6*D1912+(D1912-E1912-G1912)+2*F1912+3*H1912</f>
        <v>34</v>
      </c>
      <c r="J1912" s="0" t="n">
        <f aca="true">CRITBINOM($C1912,MIN(0.75,Matchup!$C$39*$B1912),RAND())</f>
        <v>1</v>
      </c>
      <c r="K1912" s="0" t="n">
        <f aca="true">CRITBINOM(J1912,Coefficients!$B$30,RAND())</f>
        <v>0</v>
      </c>
      <c r="L1912" s="0" t="n">
        <f aca="true">CRITBINOM(K1912,Coefficients!$B$31,RAND())</f>
        <v>0</v>
      </c>
      <c r="M1912" s="0" t="n">
        <f aca="true">CRITBINOM(MAX(0,J1912-K1912),1-Coefficients!$B$32,RAND())</f>
        <v>0</v>
      </c>
      <c r="N1912" s="0" t="n">
        <f aca="true">CRITBINOM(MAX(0,$C1912-J1912),MIN(0.6,Matchup!$C$40*SQRT($B1912)/(1-MIN(0.75,Matchup!$C$39*$B1912))),RAND())</f>
        <v>1</v>
      </c>
      <c r="O1912" s="0" t="n">
        <f aca="false">6*J1912+(J1912-K1912-M1912)+2*L1912+3*N1912</f>
        <v>10</v>
      </c>
      <c r="P1912" s="0" t="n">
        <f aca="true">RAND()</f>
        <v>0.673943214677163</v>
      </c>
      <c r="Q1912" s="0" t="n">
        <f aca="true">RAND()</f>
        <v>0.371812716675594</v>
      </c>
      <c r="R1912" s="0" t="n">
        <f aca="false">IF($I1912&lt;&gt;$O1912,0,IF(P1912&lt;Matchup!$B$39,7,IF(P1912&lt;Matchup!$B$39+Matchup!$B$40,3,0)))</f>
        <v>0</v>
      </c>
      <c r="S1912" s="0" t="n">
        <f aca="false">IF($I1912&lt;&gt;$O1912,0,IF(Q1912&lt;Matchup!$C$39,7,IF(Q1912&lt;Matchup!$C$39+Matchup!$C$40,3,0)))</f>
        <v>0</v>
      </c>
      <c r="T1912" s="0" t="n">
        <f aca="false">I1912+R1912</f>
        <v>34</v>
      </c>
      <c r="U1912" s="0" t="n">
        <f aca="false">O1912+S1912</f>
        <v>10</v>
      </c>
      <c r="V1912" s="0" t="n">
        <f aca="false">T1912-U1912</f>
        <v>24</v>
      </c>
      <c r="W1912" s="0" t="n">
        <f aca="false">T1912+U1912</f>
        <v>44</v>
      </c>
    </row>
    <row r="1913" customFormat="false" ht="15" hidden="false" customHeight="false" outlineLevel="0" collapsed="false">
      <c r="A1913" s="0" t="n">
        <v>1910</v>
      </c>
      <c r="B1913" s="0" t="n">
        <f aca="true">NORMINV(RAND(),1,Coefficients!$B$22)</f>
        <v>1.09507893139716</v>
      </c>
      <c r="C1913" s="0" t="n">
        <f aca="true">MEDIAN(8,16,ROUND(NORMINV(RAND(),Coefficients!$B$20,Coefficients!$B$21),0))</f>
        <v>11</v>
      </c>
      <c r="D1913" s="0" t="n">
        <f aca="true">CRITBINOM($C1913,MIN(0.75,Matchup!$B$39*$B1913),RAND())</f>
        <v>4</v>
      </c>
      <c r="E1913" s="0" t="n">
        <f aca="true">CRITBINOM(D1913,Coefficients!$B$30,RAND())</f>
        <v>1</v>
      </c>
      <c r="F1913" s="0" t="n">
        <f aca="true">CRITBINOM(E1913,Coefficients!$B$31,RAND())</f>
        <v>1</v>
      </c>
      <c r="G1913" s="0" t="n">
        <f aca="true">CRITBINOM(MAX(0,D1913-E1913),1-Coefficients!$B$32,RAND())</f>
        <v>0</v>
      </c>
      <c r="H1913" s="0" t="n">
        <f aca="true">CRITBINOM(MAX(0,$C1913-D1913),MIN(0.6,Matchup!$B$40*SQRT($B1913)/(1-MIN(0.75,Matchup!$B$39*$B1913))),RAND())</f>
        <v>2</v>
      </c>
      <c r="I1913" s="0" t="n">
        <f aca="false">6*D1913+(D1913-E1913-G1913)+2*F1913+3*H1913</f>
        <v>35</v>
      </c>
      <c r="J1913" s="0" t="n">
        <f aca="true">CRITBINOM($C1913,MIN(0.75,Matchup!$C$39*$B1913),RAND())</f>
        <v>1</v>
      </c>
      <c r="K1913" s="0" t="n">
        <f aca="true">CRITBINOM(J1913,Coefficients!$B$30,RAND())</f>
        <v>0</v>
      </c>
      <c r="L1913" s="0" t="n">
        <f aca="true">CRITBINOM(K1913,Coefficients!$B$31,RAND())</f>
        <v>0</v>
      </c>
      <c r="M1913" s="0" t="n">
        <f aca="true">CRITBINOM(MAX(0,J1913-K1913),1-Coefficients!$B$32,RAND())</f>
        <v>0</v>
      </c>
      <c r="N1913" s="0" t="n">
        <f aca="true">CRITBINOM(MAX(0,$C1913-J1913),MIN(0.6,Matchup!$C$40*SQRT($B1913)/(1-MIN(0.75,Matchup!$C$39*$B1913))),RAND())</f>
        <v>0</v>
      </c>
      <c r="O1913" s="0" t="n">
        <f aca="false">6*J1913+(J1913-K1913-M1913)+2*L1913+3*N1913</f>
        <v>7</v>
      </c>
      <c r="P1913" s="0" t="n">
        <f aca="true">RAND()</f>
        <v>0.0909191092786009</v>
      </c>
      <c r="Q1913" s="0" t="n">
        <f aca="true">RAND()</f>
        <v>0.366560832602194</v>
      </c>
      <c r="R1913" s="0" t="n">
        <f aca="false">IF($I1913&lt;&gt;$O1913,0,IF(P1913&lt;Matchup!$B$39,7,IF(P1913&lt;Matchup!$B$39+Matchup!$B$40,3,0)))</f>
        <v>0</v>
      </c>
      <c r="S1913" s="0" t="n">
        <f aca="false">IF($I1913&lt;&gt;$O1913,0,IF(Q1913&lt;Matchup!$C$39,7,IF(Q1913&lt;Matchup!$C$39+Matchup!$C$40,3,0)))</f>
        <v>0</v>
      </c>
      <c r="T1913" s="0" t="n">
        <f aca="false">I1913+R1913</f>
        <v>35</v>
      </c>
      <c r="U1913" s="0" t="n">
        <f aca="false">O1913+S1913</f>
        <v>7</v>
      </c>
      <c r="V1913" s="0" t="n">
        <f aca="false">T1913-U1913</f>
        <v>28</v>
      </c>
      <c r="W1913" s="0" t="n">
        <f aca="false">T1913+U1913</f>
        <v>42</v>
      </c>
    </row>
    <row r="1914" customFormat="false" ht="15" hidden="false" customHeight="false" outlineLevel="0" collapsed="false">
      <c r="A1914" s="0" t="n">
        <v>1911</v>
      </c>
      <c r="B1914" s="0" t="n">
        <f aca="true">NORMINV(RAND(),1,Coefficients!$B$22)</f>
        <v>0.90678673890605</v>
      </c>
      <c r="C1914" s="0" t="n">
        <f aca="true">MEDIAN(8,16,ROUND(NORMINV(RAND(),Coefficients!$B$20,Coefficients!$B$21),0))</f>
        <v>14</v>
      </c>
      <c r="D1914" s="0" t="n">
        <f aca="true">CRITBINOM($C1914,MIN(0.75,Matchup!$B$39*$B1914),RAND())</f>
        <v>1</v>
      </c>
      <c r="E1914" s="0" t="n">
        <f aca="true">CRITBINOM(D1914,Coefficients!$B$30,RAND())</f>
        <v>1</v>
      </c>
      <c r="F1914" s="0" t="n">
        <f aca="true">CRITBINOM(E1914,Coefficients!$B$31,RAND())</f>
        <v>0</v>
      </c>
      <c r="G1914" s="0" t="n">
        <f aca="true">CRITBINOM(MAX(0,D1914-E1914),1-Coefficients!$B$32,RAND())</f>
        <v>0</v>
      </c>
      <c r="H1914" s="0" t="n">
        <f aca="true">CRITBINOM(MAX(0,$C1914-D1914),MIN(0.6,Matchup!$B$40*SQRT($B1914)/(1-MIN(0.75,Matchup!$B$39*$B1914))),RAND())</f>
        <v>1</v>
      </c>
      <c r="I1914" s="0" t="n">
        <f aca="false">6*D1914+(D1914-E1914-G1914)+2*F1914+3*H1914</f>
        <v>9</v>
      </c>
      <c r="J1914" s="0" t="n">
        <f aca="true">CRITBINOM($C1914,MIN(0.75,Matchup!$C$39*$B1914),RAND())</f>
        <v>3</v>
      </c>
      <c r="K1914" s="0" t="n">
        <f aca="true">CRITBINOM(J1914,Coefficients!$B$30,RAND())</f>
        <v>0</v>
      </c>
      <c r="L1914" s="0" t="n">
        <f aca="true">CRITBINOM(K1914,Coefficients!$B$31,RAND())</f>
        <v>0</v>
      </c>
      <c r="M1914" s="0" t="n">
        <f aca="true">CRITBINOM(MAX(0,J1914-K1914),1-Coefficients!$B$32,RAND())</f>
        <v>0</v>
      </c>
      <c r="N1914" s="0" t="n">
        <f aca="true">CRITBINOM(MAX(0,$C1914-J1914),MIN(0.6,Matchup!$C$40*SQRT($B1914)/(1-MIN(0.75,Matchup!$C$39*$B1914))),RAND())</f>
        <v>4</v>
      </c>
      <c r="O1914" s="0" t="n">
        <f aca="false">6*J1914+(J1914-K1914-M1914)+2*L1914+3*N1914</f>
        <v>33</v>
      </c>
      <c r="P1914" s="0" t="n">
        <f aca="true">RAND()</f>
        <v>0.908547360113331</v>
      </c>
      <c r="Q1914" s="0" t="n">
        <f aca="true">RAND()</f>
        <v>0.810392784116965</v>
      </c>
      <c r="R1914" s="0" t="n">
        <f aca="false">IF($I1914&lt;&gt;$O1914,0,IF(P1914&lt;Matchup!$B$39,7,IF(P1914&lt;Matchup!$B$39+Matchup!$B$40,3,0)))</f>
        <v>0</v>
      </c>
      <c r="S1914" s="0" t="n">
        <f aca="false">IF($I1914&lt;&gt;$O1914,0,IF(Q1914&lt;Matchup!$C$39,7,IF(Q1914&lt;Matchup!$C$39+Matchup!$C$40,3,0)))</f>
        <v>0</v>
      </c>
      <c r="T1914" s="0" t="n">
        <f aca="false">I1914+R1914</f>
        <v>9</v>
      </c>
      <c r="U1914" s="0" t="n">
        <f aca="false">O1914+S1914</f>
        <v>33</v>
      </c>
      <c r="V1914" s="0" t="n">
        <f aca="false">T1914-U1914</f>
        <v>-24</v>
      </c>
      <c r="W1914" s="0" t="n">
        <f aca="false">T1914+U1914</f>
        <v>42</v>
      </c>
    </row>
    <row r="1915" customFormat="false" ht="15" hidden="false" customHeight="false" outlineLevel="0" collapsed="false">
      <c r="A1915" s="0" t="n">
        <v>1912</v>
      </c>
      <c r="B1915" s="0" t="n">
        <f aca="true">NORMINV(RAND(),1,Coefficients!$B$22)</f>
        <v>1.03111730806061</v>
      </c>
      <c r="C1915" s="0" t="n">
        <f aca="true">MEDIAN(8,16,ROUND(NORMINV(RAND(),Coefficients!$B$20,Coefficients!$B$21),0))</f>
        <v>12</v>
      </c>
      <c r="D1915" s="0" t="n">
        <f aca="true">CRITBINOM($C1915,MIN(0.75,Matchup!$B$39*$B1915),RAND())</f>
        <v>2</v>
      </c>
      <c r="E1915" s="0" t="n">
        <f aca="true">CRITBINOM(D1915,Coefficients!$B$30,RAND())</f>
        <v>0</v>
      </c>
      <c r="F1915" s="0" t="n">
        <f aca="true">CRITBINOM(E1915,Coefficients!$B$31,RAND())</f>
        <v>0</v>
      </c>
      <c r="G1915" s="0" t="n">
        <f aca="true">CRITBINOM(MAX(0,D1915-E1915),1-Coefficients!$B$32,RAND())</f>
        <v>0</v>
      </c>
      <c r="H1915" s="0" t="n">
        <f aca="true">CRITBINOM(MAX(0,$C1915-D1915),MIN(0.6,Matchup!$B$40*SQRT($B1915)/(1-MIN(0.75,Matchup!$B$39*$B1915))),RAND())</f>
        <v>1</v>
      </c>
      <c r="I1915" s="0" t="n">
        <f aca="false">6*D1915+(D1915-E1915-G1915)+2*F1915+3*H1915</f>
        <v>17</v>
      </c>
      <c r="J1915" s="0" t="n">
        <f aca="true">CRITBINOM($C1915,MIN(0.75,Matchup!$C$39*$B1915),RAND())</f>
        <v>2</v>
      </c>
      <c r="K1915" s="0" t="n">
        <f aca="true">CRITBINOM(J1915,Coefficients!$B$30,RAND())</f>
        <v>0</v>
      </c>
      <c r="L1915" s="0" t="n">
        <f aca="true">CRITBINOM(K1915,Coefficients!$B$31,RAND())</f>
        <v>0</v>
      </c>
      <c r="M1915" s="0" t="n">
        <f aca="true">CRITBINOM(MAX(0,J1915-K1915),1-Coefficients!$B$32,RAND())</f>
        <v>0</v>
      </c>
      <c r="N1915" s="0" t="n">
        <f aca="true">CRITBINOM(MAX(0,$C1915-J1915),MIN(0.6,Matchup!$C$40*SQRT($B1915)/(1-MIN(0.75,Matchup!$C$39*$B1915))),RAND())</f>
        <v>1</v>
      </c>
      <c r="O1915" s="0" t="n">
        <f aca="false">6*J1915+(J1915-K1915-M1915)+2*L1915+3*N1915</f>
        <v>17</v>
      </c>
      <c r="P1915" s="0" t="n">
        <f aca="true">RAND()</f>
        <v>0.79618430427276</v>
      </c>
      <c r="Q1915" s="0" t="n">
        <f aca="true">RAND()</f>
        <v>0.271822050993255</v>
      </c>
      <c r="R1915" s="0" t="n">
        <f aca="false">IF($I1915&lt;&gt;$O1915,0,IF(P1915&lt;Matchup!$B$39,7,IF(P1915&lt;Matchup!$B$39+Matchup!$B$40,3,0)))</f>
        <v>0</v>
      </c>
      <c r="S1915" s="0" t="n">
        <f aca="false">IF($I1915&lt;&gt;$O1915,0,IF(Q1915&lt;Matchup!$C$39,7,IF(Q1915&lt;Matchup!$C$39+Matchup!$C$40,3,0)))</f>
        <v>3</v>
      </c>
      <c r="T1915" s="0" t="n">
        <f aca="false">I1915+R1915</f>
        <v>17</v>
      </c>
      <c r="U1915" s="0" t="n">
        <f aca="false">O1915+S1915</f>
        <v>20</v>
      </c>
      <c r="V1915" s="0" t="n">
        <f aca="false">T1915-U1915</f>
        <v>-3</v>
      </c>
      <c r="W1915" s="0" t="n">
        <f aca="false">T1915+U1915</f>
        <v>37</v>
      </c>
    </row>
    <row r="1916" customFormat="false" ht="15" hidden="false" customHeight="false" outlineLevel="0" collapsed="false">
      <c r="A1916" s="0" t="n">
        <v>1913</v>
      </c>
      <c r="B1916" s="0" t="n">
        <f aca="true">NORMINV(RAND(),1,Coefficients!$B$22)</f>
        <v>0.991891047653154</v>
      </c>
      <c r="C1916" s="0" t="n">
        <f aca="true">MEDIAN(8,16,ROUND(NORMINV(RAND(),Coefficients!$B$20,Coefficients!$B$21),0))</f>
        <v>11</v>
      </c>
      <c r="D1916" s="0" t="n">
        <f aca="true">CRITBINOM($C1916,MIN(0.75,Matchup!$B$39*$B1916),RAND())</f>
        <v>1</v>
      </c>
      <c r="E1916" s="0" t="n">
        <f aca="true">CRITBINOM(D1916,Coefficients!$B$30,RAND())</f>
        <v>0</v>
      </c>
      <c r="F1916" s="0" t="n">
        <f aca="true">CRITBINOM(E1916,Coefficients!$B$31,RAND())</f>
        <v>0</v>
      </c>
      <c r="G1916" s="0" t="n">
        <f aca="true">CRITBINOM(MAX(0,D1916-E1916),1-Coefficients!$B$32,RAND())</f>
        <v>0</v>
      </c>
      <c r="H1916" s="0" t="n">
        <f aca="true">CRITBINOM(MAX(0,$C1916-D1916),MIN(0.6,Matchup!$B$40*SQRT($B1916)/(1-MIN(0.75,Matchup!$B$39*$B1916))),RAND())</f>
        <v>1</v>
      </c>
      <c r="I1916" s="0" t="n">
        <f aca="false">6*D1916+(D1916-E1916-G1916)+2*F1916+3*H1916</f>
        <v>10</v>
      </c>
      <c r="J1916" s="0" t="n">
        <f aca="true">CRITBINOM($C1916,MIN(0.75,Matchup!$C$39*$B1916),RAND())</f>
        <v>3</v>
      </c>
      <c r="K1916" s="0" t="n">
        <f aca="true">CRITBINOM(J1916,Coefficients!$B$30,RAND())</f>
        <v>0</v>
      </c>
      <c r="L1916" s="0" t="n">
        <f aca="true">CRITBINOM(K1916,Coefficients!$B$31,RAND())</f>
        <v>0</v>
      </c>
      <c r="M1916" s="0" t="n">
        <f aca="true">CRITBINOM(MAX(0,J1916-K1916),1-Coefficients!$B$32,RAND())</f>
        <v>0</v>
      </c>
      <c r="N1916" s="0" t="n">
        <f aca="true">CRITBINOM(MAX(0,$C1916-J1916),MIN(0.6,Matchup!$C$40*SQRT($B1916)/(1-MIN(0.75,Matchup!$C$39*$B1916))),RAND())</f>
        <v>2</v>
      </c>
      <c r="O1916" s="0" t="n">
        <f aca="false">6*J1916+(J1916-K1916-M1916)+2*L1916+3*N1916</f>
        <v>27</v>
      </c>
      <c r="P1916" s="0" t="n">
        <f aca="true">RAND()</f>
        <v>0.0528549127553342</v>
      </c>
      <c r="Q1916" s="0" t="n">
        <f aca="true">RAND()</f>
        <v>0.334642646301845</v>
      </c>
      <c r="R1916" s="0" t="n">
        <f aca="false">IF($I1916&lt;&gt;$O1916,0,IF(P1916&lt;Matchup!$B$39,7,IF(P1916&lt;Matchup!$B$39+Matchup!$B$40,3,0)))</f>
        <v>0</v>
      </c>
      <c r="S1916" s="0" t="n">
        <f aca="false">IF($I1916&lt;&gt;$O1916,0,IF(Q1916&lt;Matchup!$C$39,7,IF(Q1916&lt;Matchup!$C$39+Matchup!$C$40,3,0)))</f>
        <v>0</v>
      </c>
      <c r="T1916" s="0" t="n">
        <f aca="false">I1916+R1916</f>
        <v>10</v>
      </c>
      <c r="U1916" s="0" t="n">
        <f aca="false">O1916+S1916</f>
        <v>27</v>
      </c>
      <c r="V1916" s="0" t="n">
        <f aca="false">T1916-U1916</f>
        <v>-17</v>
      </c>
      <c r="W1916" s="0" t="n">
        <f aca="false">T1916+U1916</f>
        <v>37</v>
      </c>
    </row>
    <row r="1917" customFormat="false" ht="15" hidden="false" customHeight="false" outlineLevel="0" collapsed="false">
      <c r="A1917" s="0" t="n">
        <v>1914</v>
      </c>
      <c r="B1917" s="0" t="n">
        <f aca="true">NORMINV(RAND(),1,Coefficients!$B$22)</f>
        <v>0.977585854689065</v>
      </c>
      <c r="C1917" s="0" t="n">
        <f aca="true">MEDIAN(8,16,ROUND(NORMINV(RAND(),Coefficients!$B$20,Coefficients!$B$21),0))</f>
        <v>12</v>
      </c>
      <c r="D1917" s="0" t="n">
        <f aca="true">CRITBINOM($C1917,MIN(0.75,Matchup!$B$39*$B1917),RAND())</f>
        <v>2</v>
      </c>
      <c r="E1917" s="0" t="n">
        <f aca="true">CRITBINOM(D1917,Coefficients!$B$30,RAND())</f>
        <v>0</v>
      </c>
      <c r="F1917" s="0" t="n">
        <f aca="true">CRITBINOM(E1917,Coefficients!$B$31,RAND())</f>
        <v>0</v>
      </c>
      <c r="G1917" s="0" t="n">
        <f aca="true">CRITBINOM(MAX(0,D1917-E1917),1-Coefficients!$B$32,RAND())</f>
        <v>0</v>
      </c>
      <c r="H1917" s="0" t="n">
        <f aca="true">CRITBINOM(MAX(0,$C1917-D1917),MIN(0.6,Matchup!$B$40*SQRT($B1917)/(1-MIN(0.75,Matchup!$B$39*$B1917))),RAND())</f>
        <v>2</v>
      </c>
      <c r="I1917" s="0" t="n">
        <f aca="false">6*D1917+(D1917-E1917-G1917)+2*F1917+3*H1917</f>
        <v>20</v>
      </c>
      <c r="J1917" s="0" t="n">
        <f aca="true">CRITBINOM($C1917,MIN(0.75,Matchup!$C$39*$B1917),RAND())</f>
        <v>5</v>
      </c>
      <c r="K1917" s="0" t="n">
        <f aca="true">CRITBINOM(J1917,Coefficients!$B$30,RAND())</f>
        <v>1</v>
      </c>
      <c r="L1917" s="0" t="n">
        <f aca="true">CRITBINOM(K1917,Coefficients!$B$31,RAND())</f>
        <v>0</v>
      </c>
      <c r="M1917" s="0" t="n">
        <f aca="true">CRITBINOM(MAX(0,J1917-K1917),1-Coefficients!$B$32,RAND())</f>
        <v>0</v>
      </c>
      <c r="N1917" s="0" t="n">
        <f aca="true">CRITBINOM(MAX(0,$C1917-J1917),MIN(0.6,Matchup!$C$40*SQRT($B1917)/(1-MIN(0.75,Matchup!$C$39*$B1917))),RAND())</f>
        <v>1</v>
      </c>
      <c r="O1917" s="0" t="n">
        <f aca="false">6*J1917+(J1917-K1917-M1917)+2*L1917+3*N1917</f>
        <v>37</v>
      </c>
      <c r="P1917" s="0" t="n">
        <f aca="true">RAND()</f>
        <v>0.340198227131462</v>
      </c>
      <c r="Q1917" s="0" t="n">
        <f aca="true">RAND()</f>
        <v>0.041241818159034</v>
      </c>
      <c r="R1917" s="0" t="n">
        <f aca="false">IF($I1917&lt;&gt;$O1917,0,IF(P1917&lt;Matchup!$B$39,7,IF(P1917&lt;Matchup!$B$39+Matchup!$B$40,3,0)))</f>
        <v>0</v>
      </c>
      <c r="S1917" s="0" t="n">
        <f aca="false">IF($I1917&lt;&gt;$O1917,0,IF(Q1917&lt;Matchup!$C$39,7,IF(Q1917&lt;Matchup!$C$39+Matchup!$C$40,3,0)))</f>
        <v>0</v>
      </c>
      <c r="T1917" s="0" t="n">
        <f aca="false">I1917+R1917</f>
        <v>20</v>
      </c>
      <c r="U1917" s="0" t="n">
        <f aca="false">O1917+S1917</f>
        <v>37</v>
      </c>
      <c r="V1917" s="0" t="n">
        <f aca="false">T1917-U1917</f>
        <v>-17</v>
      </c>
      <c r="W1917" s="0" t="n">
        <f aca="false">T1917+U1917</f>
        <v>57</v>
      </c>
    </row>
    <row r="1918" customFormat="false" ht="15" hidden="false" customHeight="false" outlineLevel="0" collapsed="false">
      <c r="A1918" s="0" t="n">
        <v>1915</v>
      </c>
      <c r="B1918" s="0" t="n">
        <f aca="true">NORMINV(RAND(),1,Coefficients!$B$22)</f>
        <v>1.03237179856901</v>
      </c>
      <c r="C1918" s="0" t="n">
        <f aca="true">MEDIAN(8,16,ROUND(NORMINV(RAND(),Coefficients!$B$20,Coefficients!$B$21),0))</f>
        <v>13</v>
      </c>
      <c r="D1918" s="0" t="n">
        <f aca="true">CRITBINOM($C1918,MIN(0.75,Matchup!$B$39*$B1918),RAND())</f>
        <v>6</v>
      </c>
      <c r="E1918" s="0" t="n">
        <f aca="true">CRITBINOM(D1918,Coefficients!$B$30,RAND())</f>
        <v>0</v>
      </c>
      <c r="F1918" s="0" t="n">
        <f aca="true">CRITBINOM(E1918,Coefficients!$B$31,RAND())</f>
        <v>0</v>
      </c>
      <c r="G1918" s="0" t="n">
        <f aca="true">CRITBINOM(MAX(0,D1918-E1918),1-Coefficients!$B$32,RAND())</f>
        <v>0</v>
      </c>
      <c r="H1918" s="0" t="n">
        <f aca="true">CRITBINOM(MAX(0,$C1918-D1918),MIN(0.6,Matchup!$B$40*SQRT($B1918)/(1-MIN(0.75,Matchup!$B$39*$B1918))),RAND())</f>
        <v>2</v>
      </c>
      <c r="I1918" s="0" t="n">
        <f aca="false">6*D1918+(D1918-E1918-G1918)+2*F1918+3*H1918</f>
        <v>48</v>
      </c>
      <c r="J1918" s="0" t="n">
        <f aca="true">CRITBINOM($C1918,MIN(0.75,Matchup!$C$39*$B1918),RAND())</f>
        <v>3</v>
      </c>
      <c r="K1918" s="0" t="n">
        <f aca="true">CRITBINOM(J1918,Coefficients!$B$30,RAND())</f>
        <v>0</v>
      </c>
      <c r="L1918" s="0" t="n">
        <f aca="true">CRITBINOM(K1918,Coefficients!$B$31,RAND())</f>
        <v>0</v>
      </c>
      <c r="M1918" s="0" t="n">
        <f aca="true">CRITBINOM(MAX(0,J1918-K1918),1-Coefficients!$B$32,RAND())</f>
        <v>0</v>
      </c>
      <c r="N1918" s="0" t="n">
        <f aca="true">CRITBINOM(MAX(0,$C1918-J1918),MIN(0.6,Matchup!$C$40*SQRT($B1918)/(1-MIN(0.75,Matchup!$C$39*$B1918))),RAND())</f>
        <v>1</v>
      </c>
      <c r="O1918" s="0" t="n">
        <f aca="false">6*J1918+(J1918-K1918-M1918)+2*L1918+3*N1918</f>
        <v>24</v>
      </c>
      <c r="P1918" s="0" t="n">
        <f aca="true">RAND()</f>
        <v>0.111178293196094</v>
      </c>
      <c r="Q1918" s="0" t="n">
        <f aca="true">RAND()</f>
        <v>0.974187879493843</v>
      </c>
      <c r="R1918" s="0" t="n">
        <f aca="false">IF($I1918&lt;&gt;$O1918,0,IF(P1918&lt;Matchup!$B$39,7,IF(P1918&lt;Matchup!$B$39+Matchup!$B$40,3,0)))</f>
        <v>0</v>
      </c>
      <c r="S1918" s="0" t="n">
        <f aca="false">IF($I1918&lt;&gt;$O1918,0,IF(Q1918&lt;Matchup!$C$39,7,IF(Q1918&lt;Matchup!$C$39+Matchup!$C$40,3,0)))</f>
        <v>0</v>
      </c>
      <c r="T1918" s="0" t="n">
        <f aca="false">I1918+R1918</f>
        <v>48</v>
      </c>
      <c r="U1918" s="0" t="n">
        <f aca="false">O1918+S1918</f>
        <v>24</v>
      </c>
      <c r="V1918" s="0" t="n">
        <f aca="false">T1918-U1918</f>
        <v>24</v>
      </c>
      <c r="W1918" s="0" t="n">
        <f aca="false">T1918+U1918</f>
        <v>72</v>
      </c>
    </row>
    <row r="1919" customFormat="false" ht="15" hidden="false" customHeight="false" outlineLevel="0" collapsed="false">
      <c r="A1919" s="0" t="n">
        <v>1916</v>
      </c>
      <c r="B1919" s="0" t="n">
        <f aca="true">NORMINV(RAND(),1,Coefficients!$B$22)</f>
        <v>0.965802442703824</v>
      </c>
      <c r="C1919" s="0" t="n">
        <f aca="true">MEDIAN(8,16,ROUND(NORMINV(RAND(),Coefficients!$B$20,Coefficients!$B$21),0))</f>
        <v>10</v>
      </c>
      <c r="D1919" s="0" t="n">
        <f aca="true">CRITBINOM($C1919,MIN(0.75,Matchup!$B$39*$B1919),RAND())</f>
        <v>5</v>
      </c>
      <c r="E1919" s="0" t="n">
        <f aca="true">CRITBINOM(D1919,Coefficients!$B$30,RAND())</f>
        <v>0</v>
      </c>
      <c r="F1919" s="0" t="n">
        <f aca="true">CRITBINOM(E1919,Coefficients!$B$31,RAND())</f>
        <v>0</v>
      </c>
      <c r="G1919" s="0" t="n">
        <f aca="true">CRITBINOM(MAX(0,D1919-E1919),1-Coefficients!$B$32,RAND())</f>
        <v>1</v>
      </c>
      <c r="H1919" s="0" t="n">
        <f aca="true">CRITBINOM(MAX(0,$C1919-D1919),MIN(0.6,Matchup!$B$40*SQRT($B1919)/(1-MIN(0.75,Matchup!$B$39*$B1919))),RAND())</f>
        <v>0</v>
      </c>
      <c r="I1919" s="0" t="n">
        <f aca="false">6*D1919+(D1919-E1919-G1919)+2*F1919+3*H1919</f>
        <v>34</v>
      </c>
      <c r="J1919" s="0" t="n">
        <f aca="true">CRITBINOM($C1919,MIN(0.75,Matchup!$C$39*$B1919),RAND())</f>
        <v>3</v>
      </c>
      <c r="K1919" s="0" t="n">
        <f aca="true">CRITBINOM(J1919,Coefficients!$B$30,RAND())</f>
        <v>0</v>
      </c>
      <c r="L1919" s="0" t="n">
        <f aca="true">CRITBINOM(K1919,Coefficients!$B$31,RAND())</f>
        <v>0</v>
      </c>
      <c r="M1919" s="0" t="n">
        <f aca="true">CRITBINOM(MAX(0,J1919-K1919),1-Coefficients!$B$32,RAND())</f>
        <v>0</v>
      </c>
      <c r="N1919" s="0" t="n">
        <f aca="true">CRITBINOM(MAX(0,$C1919-J1919),MIN(0.6,Matchup!$C$40*SQRT($B1919)/(1-MIN(0.75,Matchup!$C$39*$B1919))),RAND())</f>
        <v>2</v>
      </c>
      <c r="O1919" s="0" t="n">
        <f aca="false">6*J1919+(J1919-K1919-M1919)+2*L1919+3*N1919</f>
        <v>27</v>
      </c>
      <c r="P1919" s="0" t="n">
        <f aca="true">RAND()</f>
        <v>0.916017268508755</v>
      </c>
      <c r="Q1919" s="0" t="n">
        <f aca="true">RAND()</f>
        <v>0.394703831353082</v>
      </c>
      <c r="R1919" s="0" t="n">
        <f aca="false">IF($I1919&lt;&gt;$O1919,0,IF(P1919&lt;Matchup!$B$39,7,IF(P1919&lt;Matchup!$B$39+Matchup!$B$40,3,0)))</f>
        <v>0</v>
      </c>
      <c r="S1919" s="0" t="n">
        <f aca="false">IF($I1919&lt;&gt;$O1919,0,IF(Q1919&lt;Matchup!$C$39,7,IF(Q1919&lt;Matchup!$C$39+Matchup!$C$40,3,0)))</f>
        <v>0</v>
      </c>
      <c r="T1919" s="0" t="n">
        <f aca="false">I1919+R1919</f>
        <v>34</v>
      </c>
      <c r="U1919" s="0" t="n">
        <f aca="false">O1919+S1919</f>
        <v>27</v>
      </c>
      <c r="V1919" s="0" t="n">
        <f aca="false">T1919-U1919</f>
        <v>7</v>
      </c>
      <c r="W1919" s="0" t="n">
        <f aca="false">T1919+U1919</f>
        <v>61</v>
      </c>
    </row>
    <row r="1920" customFormat="false" ht="15" hidden="false" customHeight="false" outlineLevel="0" collapsed="false">
      <c r="A1920" s="0" t="n">
        <v>1917</v>
      </c>
      <c r="B1920" s="0" t="n">
        <f aca="true">NORMINV(RAND(),1,Coefficients!$B$22)</f>
        <v>1.07233207234169</v>
      </c>
      <c r="C1920" s="0" t="n">
        <f aca="true">MEDIAN(8,16,ROUND(NORMINV(RAND(),Coefficients!$B$20,Coefficients!$B$21),0))</f>
        <v>11</v>
      </c>
      <c r="D1920" s="0" t="n">
        <f aca="true">CRITBINOM($C1920,MIN(0.75,Matchup!$B$39*$B1920),RAND())</f>
        <v>1</v>
      </c>
      <c r="E1920" s="0" t="n">
        <f aca="true">CRITBINOM(D1920,Coefficients!$B$30,RAND())</f>
        <v>0</v>
      </c>
      <c r="F1920" s="0" t="n">
        <f aca="true">CRITBINOM(E1920,Coefficients!$B$31,RAND())</f>
        <v>0</v>
      </c>
      <c r="G1920" s="0" t="n">
        <f aca="true">CRITBINOM(MAX(0,D1920-E1920),1-Coefficients!$B$32,RAND())</f>
        <v>0</v>
      </c>
      <c r="H1920" s="0" t="n">
        <f aca="true">CRITBINOM(MAX(0,$C1920-D1920),MIN(0.6,Matchup!$B$40*SQRT($B1920)/(1-MIN(0.75,Matchup!$B$39*$B1920))),RAND())</f>
        <v>0</v>
      </c>
      <c r="I1920" s="0" t="n">
        <f aca="false">6*D1920+(D1920-E1920-G1920)+2*F1920+3*H1920</f>
        <v>7</v>
      </c>
      <c r="J1920" s="0" t="n">
        <f aca="true">CRITBINOM($C1920,MIN(0.75,Matchup!$C$39*$B1920),RAND())</f>
        <v>1</v>
      </c>
      <c r="K1920" s="0" t="n">
        <f aca="true">CRITBINOM(J1920,Coefficients!$B$30,RAND())</f>
        <v>0</v>
      </c>
      <c r="L1920" s="0" t="n">
        <f aca="true">CRITBINOM(K1920,Coefficients!$B$31,RAND())</f>
        <v>0</v>
      </c>
      <c r="M1920" s="0" t="n">
        <f aca="true">CRITBINOM(MAX(0,J1920-K1920),1-Coefficients!$B$32,RAND())</f>
        <v>0</v>
      </c>
      <c r="N1920" s="0" t="n">
        <f aca="true">CRITBINOM(MAX(0,$C1920-J1920),MIN(0.6,Matchup!$C$40*SQRT($B1920)/(1-MIN(0.75,Matchup!$C$39*$B1920))),RAND())</f>
        <v>1</v>
      </c>
      <c r="O1920" s="0" t="n">
        <f aca="false">6*J1920+(J1920-K1920-M1920)+2*L1920+3*N1920</f>
        <v>10</v>
      </c>
      <c r="P1920" s="0" t="n">
        <f aca="true">RAND()</f>
        <v>0.231223970428254</v>
      </c>
      <c r="Q1920" s="0" t="n">
        <f aca="true">RAND()</f>
        <v>0.532447591710587</v>
      </c>
      <c r="R1920" s="0" t="n">
        <f aca="false">IF($I1920&lt;&gt;$O1920,0,IF(P1920&lt;Matchup!$B$39,7,IF(P1920&lt;Matchup!$B$39+Matchup!$B$40,3,0)))</f>
        <v>0</v>
      </c>
      <c r="S1920" s="0" t="n">
        <f aca="false">IF($I1920&lt;&gt;$O1920,0,IF(Q1920&lt;Matchup!$C$39,7,IF(Q1920&lt;Matchup!$C$39+Matchup!$C$40,3,0)))</f>
        <v>0</v>
      </c>
      <c r="T1920" s="0" t="n">
        <f aca="false">I1920+R1920</f>
        <v>7</v>
      </c>
      <c r="U1920" s="0" t="n">
        <f aca="false">O1920+S1920</f>
        <v>10</v>
      </c>
      <c r="V1920" s="0" t="n">
        <f aca="false">T1920-U1920</f>
        <v>-3</v>
      </c>
      <c r="W1920" s="0" t="n">
        <f aca="false">T1920+U1920</f>
        <v>17</v>
      </c>
    </row>
    <row r="1921" customFormat="false" ht="15" hidden="false" customHeight="false" outlineLevel="0" collapsed="false">
      <c r="A1921" s="0" t="n">
        <v>1918</v>
      </c>
      <c r="B1921" s="0" t="n">
        <f aca="true">NORMINV(RAND(),1,Coefficients!$B$22)</f>
        <v>0.98094924841843</v>
      </c>
      <c r="C1921" s="0" t="n">
        <f aca="true">MEDIAN(8,16,ROUND(NORMINV(RAND(),Coefficients!$B$20,Coefficients!$B$21),0))</f>
        <v>11</v>
      </c>
      <c r="D1921" s="0" t="n">
        <f aca="true">CRITBINOM($C1921,MIN(0.75,Matchup!$B$39*$B1921),RAND())</f>
        <v>2</v>
      </c>
      <c r="E1921" s="0" t="n">
        <f aca="true">CRITBINOM(D1921,Coefficients!$B$30,RAND())</f>
        <v>0</v>
      </c>
      <c r="F1921" s="0" t="n">
        <f aca="true">CRITBINOM(E1921,Coefficients!$B$31,RAND())</f>
        <v>0</v>
      </c>
      <c r="G1921" s="0" t="n">
        <f aca="true">CRITBINOM(MAX(0,D1921-E1921),1-Coefficients!$B$32,RAND())</f>
        <v>1</v>
      </c>
      <c r="H1921" s="0" t="n">
        <f aca="true">CRITBINOM(MAX(0,$C1921-D1921),MIN(0.6,Matchup!$B$40*SQRT($B1921)/(1-MIN(0.75,Matchup!$B$39*$B1921))),RAND())</f>
        <v>0</v>
      </c>
      <c r="I1921" s="0" t="n">
        <f aca="false">6*D1921+(D1921-E1921-G1921)+2*F1921+3*H1921</f>
        <v>13</v>
      </c>
      <c r="J1921" s="0" t="n">
        <f aca="true">CRITBINOM($C1921,MIN(0.75,Matchup!$C$39*$B1921),RAND())</f>
        <v>1</v>
      </c>
      <c r="K1921" s="0" t="n">
        <f aca="true">CRITBINOM(J1921,Coefficients!$B$30,RAND())</f>
        <v>0</v>
      </c>
      <c r="L1921" s="0" t="n">
        <f aca="true">CRITBINOM(K1921,Coefficients!$B$31,RAND())</f>
        <v>0</v>
      </c>
      <c r="M1921" s="0" t="n">
        <f aca="true">CRITBINOM(MAX(0,J1921-K1921),1-Coefficients!$B$32,RAND())</f>
        <v>0</v>
      </c>
      <c r="N1921" s="0" t="n">
        <f aca="true">CRITBINOM(MAX(0,$C1921-J1921),MIN(0.6,Matchup!$C$40*SQRT($B1921)/(1-MIN(0.75,Matchup!$C$39*$B1921))),RAND())</f>
        <v>2</v>
      </c>
      <c r="O1921" s="0" t="n">
        <f aca="false">6*J1921+(J1921-K1921-M1921)+2*L1921+3*N1921</f>
        <v>13</v>
      </c>
      <c r="P1921" s="0" t="n">
        <f aca="true">RAND()</f>
        <v>0.244443066110187</v>
      </c>
      <c r="Q1921" s="0" t="n">
        <f aca="true">RAND()</f>
        <v>0.503140788290482</v>
      </c>
      <c r="R1921" s="0" t="n">
        <f aca="false">IF($I1921&lt;&gt;$O1921,0,IF(P1921&lt;Matchup!$B$39,7,IF(P1921&lt;Matchup!$B$39+Matchup!$B$40,3,0)))</f>
        <v>7</v>
      </c>
      <c r="S1921" s="0" t="n">
        <f aca="false">IF($I1921&lt;&gt;$O1921,0,IF(Q1921&lt;Matchup!$C$39,7,IF(Q1921&lt;Matchup!$C$39+Matchup!$C$40,3,0)))</f>
        <v>0</v>
      </c>
      <c r="T1921" s="0" t="n">
        <f aca="false">I1921+R1921</f>
        <v>20</v>
      </c>
      <c r="U1921" s="0" t="n">
        <f aca="false">O1921+S1921</f>
        <v>13</v>
      </c>
      <c r="V1921" s="0" t="n">
        <f aca="false">T1921-U1921</f>
        <v>7</v>
      </c>
      <c r="W1921" s="0" t="n">
        <f aca="false">T1921+U1921</f>
        <v>33</v>
      </c>
    </row>
    <row r="1922" customFormat="false" ht="15" hidden="false" customHeight="false" outlineLevel="0" collapsed="false">
      <c r="A1922" s="0" t="n">
        <v>1919</v>
      </c>
      <c r="B1922" s="0" t="n">
        <f aca="true">NORMINV(RAND(),1,Coefficients!$B$22)</f>
        <v>1.03398958946397</v>
      </c>
      <c r="C1922" s="0" t="n">
        <f aca="true">MEDIAN(8,16,ROUND(NORMINV(RAND(),Coefficients!$B$20,Coefficients!$B$21),0))</f>
        <v>11</v>
      </c>
      <c r="D1922" s="0" t="n">
        <f aca="true">CRITBINOM($C1922,MIN(0.75,Matchup!$B$39*$B1922),RAND())</f>
        <v>1</v>
      </c>
      <c r="E1922" s="0" t="n">
        <f aca="true">CRITBINOM(D1922,Coefficients!$B$30,RAND())</f>
        <v>0</v>
      </c>
      <c r="F1922" s="0" t="n">
        <f aca="true">CRITBINOM(E1922,Coefficients!$B$31,RAND())</f>
        <v>0</v>
      </c>
      <c r="G1922" s="0" t="n">
        <f aca="true">CRITBINOM(MAX(0,D1922-E1922),1-Coefficients!$B$32,RAND())</f>
        <v>0</v>
      </c>
      <c r="H1922" s="0" t="n">
        <f aca="true">CRITBINOM(MAX(0,$C1922-D1922),MIN(0.6,Matchup!$B$40*SQRT($B1922)/(1-MIN(0.75,Matchup!$B$39*$B1922))),RAND())</f>
        <v>2</v>
      </c>
      <c r="I1922" s="0" t="n">
        <f aca="false">6*D1922+(D1922-E1922-G1922)+2*F1922+3*H1922</f>
        <v>13</v>
      </c>
      <c r="J1922" s="0" t="n">
        <f aca="true">CRITBINOM($C1922,MIN(0.75,Matchup!$C$39*$B1922),RAND())</f>
        <v>6</v>
      </c>
      <c r="K1922" s="0" t="n">
        <f aca="true">CRITBINOM(J1922,Coefficients!$B$30,RAND())</f>
        <v>1</v>
      </c>
      <c r="L1922" s="0" t="n">
        <f aca="true">CRITBINOM(K1922,Coefficients!$B$31,RAND())</f>
        <v>1</v>
      </c>
      <c r="M1922" s="0" t="n">
        <f aca="true">CRITBINOM(MAX(0,J1922-K1922),1-Coefficients!$B$32,RAND())</f>
        <v>0</v>
      </c>
      <c r="N1922" s="0" t="n">
        <f aca="true">CRITBINOM(MAX(0,$C1922-J1922),MIN(0.6,Matchup!$C$40*SQRT($B1922)/(1-MIN(0.75,Matchup!$C$39*$B1922))),RAND())</f>
        <v>0</v>
      </c>
      <c r="O1922" s="0" t="n">
        <f aca="false">6*J1922+(J1922-K1922-M1922)+2*L1922+3*N1922</f>
        <v>43</v>
      </c>
      <c r="P1922" s="0" t="n">
        <f aca="true">RAND()</f>
        <v>0.911815616603152</v>
      </c>
      <c r="Q1922" s="0" t="n">
        <f aca="true">RAND()</f>
        <v>0.431976925501968</v>
      </c>
      <c r="R1922" s="0" t="n">
        <f aca="false">IF($I1922&lt;&gt;$O1922,0,IF(P1922&lt;Matchup!$B$39,7,IF(P1922&lt;Matchup!$B$39+Matchup!$B$40,3,0)))</f>
        <v>0</v>
      </c>
      <c r="S1922" s="0" t="n">
        <f aca="false">IF($I1922&lt;&gt;$O1922,0,IF(Q1922&lt;Matchup!$C$39,7,IF(Q1922&lt;Matchup!$C$39+Matchup!$C$40,3,0)))</f>
        <v>0</v>
      </c>
      <c r="T1922" s="0" t="n">
        <f aca="false">I1922+R1922</f>
        <v>13</v>
      </c>
      <c r="U1922" s="0" t="n">
        <f aca="false">O1922+S1922</f>
        <v>43</v>
      </c>
      <c r="V1922" s="0" t="n">
        <f aca="false">T1922-U1922</f>
        <v>-30</v>
      </c>
      <c r="W1922" s="0" t="n">
        <f aca="false">T1922+U1922</f>
        <v>56</v>
      </c>
    </row>
    <row r="1923" customFormat="false" ht="15" hidden="false" customHeight="false" outlineLevel="0" collapsed="false">
      <c r="A1923" s="0" t="n">
        <v>1920</v>
      </c>
      <c r="B1923" s="0" t="n">
        <f aca="true">NORMINV(RAND(),1,Coefficients!$B$22)</f>
        <v>1.05623169500067</v>
      </c>
      <c r="C1923" s="0" t="n">
        <f aca="true">MEDIAN(8,16,ROUND(NORMINV(RAND(),Coefficients!$B$20,Coefficients!$B$21),0))</f>
        <v>11</v>
      </c>
      <c r="D1923" s="0" t="n">
        <f aca="true">CRITBINOM($C1923,MIN(0.75,Matchup!$B$39*$B1923),RAND())</f>
        <v>5</v>
      </c>
      <c r="E1923" s="0" t="n">
        <f aca="true">CRITBINOM(D1923,Coefficients!$B$30,RAND())</f>
        <v>0</v>
      </c>
      <c r="F1923" s="0" t="n">
        <f aca="true">CRITBINOM(E1923,Coefficients!$B$31,RAND())</f>
        <v>0</v>
      </c>
      <c r="G1923" s="0" t="n">
        <f aca="true">CRITBINOM(MAX(0,D1923-E1923),1-Coefficients!$B$32,RAND())</f>
        <v>0</v>
      </c>
      <c r="H1923" s="0" t="n">
        <f aca="true">CRITBINOM(MAX(0,$C1923-D1923),MIN(0.6,Matchup!$B$40*SQRT($B1923)/(1-MIN(0.75,Matchup!$B$39*$B1923))),RAND())</f>
        <v>0</v>
      </c>
      <c r="I1923" s="0" t="n">
        <f aca="false">6*D1923+(D1923-E1923-G1923)+2*F1923+3*H1923</f>
        <v>35</v>
      </c>
      <c r="J1923" s="0" t="n">
        <f aca="true">CRITBINOM($C1923,MIN(0.75,Matchup!$C$39*$B1923),RAND())</f>
        <v>4</v>
      </c>
      <c r="K1923" s="0" t="n">
        <f aca="true">CRITBINOM(J1923,Coefficients!$B$30,RAND())</f>
        <v>0</v>
      </c>
      <c r="L1923" s="0" t="n">
        <f aca="true">CRITBINOM(K1923,Coefficients!$B$31,RAND())</f>
        <v>0</v>
      </c>
      <c r="M1923" s="0" t="n">
        <f aca="true">CRITBINOM(MAX(0,J1923-K1923),1-Coefficients!$B$32,RAND())</f>
        <v>1</v>
      </c>
      <c r="N1923" s="0" t="n">
        <f aca="true">CRITBINOM(MAX(0,$C1923-J1923),MIN(0.6,Matchup!$C$40*SQRT($B1923)/(1-MIN(0.75,Matchup!$C$39*$B1923))),RAND())</f>
        <v>1</v>
      </c>
      <c r="O1923" s="0" t="n">
        <f aca="false">6*J1923+(J1923-K1923-M1923)+2*L1923+3*N1923</f>
        <v>30</v>
      </c>
      <c r="P1923" s="0" t="n">
        <f aca="true">RAND()</f>
        <v>0.294410983441208</v>
      </c>
      <c r="Q1923" s="0" t="n">
        <f aca="true">RAND()</f>
        <v>0.596990106452746</v>
      </c>
      <c r="R1923" s="0" t="n">
        <f aca="false">IF($I1923&lt;&gt;$O1923,0,IF(P1923&lt;Matchup!$B$39,7,IF(P1923&lt;Matchup!$B$39+Matchup!$B$40,3,0)))</f>
        <v>0</v>
      </c>
      <c r="S1923" s="0" t="n">
        <f aca="false">IF($I1923&lt;&gt;$O1923,0,IF(Q1923&lt;Matchup!$C$39,7,IF(Q1923&lt;Matchup!$C$39+Matchup!$C$40,3,0)))</f>
        <v>0</v>
      </c>
      <c r="T1923" s="0" t="n">
        <f aca="false">I1923+R1923</f>
        <v>35</v>
      </c>
      <c r="U1923" s="0" t="n">
        <f aca="false">O1923+S1923</f>
        <v>30</v>
      </c>
      <c r="V1923" s="0" t="n">
        <f aca="false">T1923-U1923</f>
        <v>5</v>
      </c>
      <c r="W1923" s="0" t="n">
        <f aca="false">T1923+U1923</f>
        <v>65</v>
      </c>
    </row>
    <row r="1924" customFormat="false" ht="15" hidden="false" customHeight="false" outlineLevel="0" collapsed="false">
      <c r="A1924" s="0" t="n">
        <v>1921</v>
      </c>
      <c r="B1924" s="0" t="n">
        <f aca="true">NORMINV(RAND(),1,Coefficients!$B$22)</f>
        <v>1.02622447911311</v>
      </c>
      <c r="C1924" s="0" t="n">
        <f aca="true">MEDIAN(8,16,ROUND(NORMINV(RAND(),Coefficients!$B$20,Coefficients!$B$21),0))</f>
        <v>12</v>
      </c>
      <c r="D1924" s="0" t="n">
        <f aca="true">CRITBINOM($C1924,MIN(0.75,Matchup!$B$39*$B1924),RAND())</f>
        <v>6</v>
      </c>
      <c r="E1924" s="0" t="n">
        <f aca="true">CRITBINOM(D1924,Coefficients!$B$30,RAND())</f>
        <v>1</v>
      </c>
      <c r="F1924" s="0" t="n">
        <f aca="true">CRITBINOM(E1924,Coefficients!$B$31,RAND())</f>
        <v>0</v>
      </c>
      <c r="G1924" s="0" t="n">
        <f aca="true">CRITBINOM(MAX(0,D1924-E1924),1-Coefficients!$B$32,RAND())</f>
        <v>0</v>
      </c>
      <c r="H1924" s="0" t="n">
        <f aca="true">CRITBINOM(MAX(0,$C1924-D1924),MIN(0.6,Matchup!$B$40*SQRT($B1924)/(1-MIN(0.75,Matchup!$B$39*$B1924))),RAND())</f>
        <v>1</v>
      </c>
      <c r="I1924" s="0" t="n">
        <f aca="false">6*D1924+(D1924-E1924-G1924)+2*F1924+3*H1924</f>
        <v>44</v>
      </c>
      <c r="J1924" s="0" t="n">
        <f aca="true">CRITBINOM($C1924,MIN(0.75,Matchup!$C$39*$B1924),RAND())</f>
        <v>5</v>
      </c>
      <c r="K1924" s="0" t="n">
        <f aca="true">CRITBINOM(J1924,Coefficients!$B$30,RAND())</f>
        <v>1</v>
      </c>
      <c r="L1924" s="0" t="n">
        <f aca="true">CRITBINOM(K1924,Coefficients!$B$31,RAND())</f>
        <v>1</v>
      </c>
      <c r="M1924" s="0" t="n">
        <f aca="true">CRITBINOM(MAX(0,J1924-K1924),1-Coefficients!$B$32,RAND())</f>
        <v>0</v>
      </c>
      <c r="N1924" s="0" t="n">
        <f aca="true">CRITBINOM(MAX(0,$C1924-J1924),MIN(0.6,Matchup!$C$40*SQRT($B1924)/(1-MIN(0.75,Matchup!$C$39*$B1924))),RAND())</f>
        <v>2</v>
      </c>
      <c r="O1924" s="0" t="n">
        <f aca="false">6*J1924+(J1924-K1924-M1924)+2*L1924+3*N1924</f>
        <v>42</v>
      </c>
      <c r="P1924" s="0" t="n">
        <f aca="true">RAND()</f>
        <v>0.294385538187606</v>
      </c>
      <c r="Q1924" s="0" t="n">
        <f aca="true">RAND()</f>
        <v>0.589785692304352</v>
      </c>
      <c r="R1924" s="0" t="n">
        <f aca="false">IF($I1924&lt;&gt;$O1924,0,IF(P1924&lt;Matchup!$B$39,7,IF(P1924&lt;Matchup!$B$39+Matchup!$B$40,3,0)))</f>
        <v>0</v>
      </c>
      <c r="S1924" s="0" t="n">
        <f aca="false">IF($I1924&lt;&gt;$O1924,0,IF(Q1924&lt;Matchup!$C$39,7,IF(Q1924&lt;Matchup!$C$39+Matchup!$C$40,3,0)))</f>
        <v>0</v>
      </c>
      <c r="T1924" s="0" t="n">
        <f aca="false">I1924+R1924</f>
        <v>44</v>
      </c>
      <c r="U1924" s="0" t="n">
        <f aca="false">O1924+S1924</f>
        <v>42</v>
      </c>
      <c r="V1924" s="0" t="n">
        <f aca="false">T1924-U1924</f>
        <v>2</v>
      </c>
      <c r="W1924" s="0" t="n">
        <f aca="false">T1924+U1924</f>
        <v>86</v>
      </c>
    </row>
    <row r="1925" customFormat="false" ht="15" hidden="false" customHeight="false" outlineLevel="0" collapsed="false">
      <c r="A1925" s="0" t="n">
        <v>1922</v>
      </c>
      <c r="B1925" s="0" t="n">
        <f aca="true">NORMINV(RAND(),1,Coefficients!$B$22)</f>
        <v>0.945084493661071</v>
      </c>
      <c r="C1925" s="0" t="n">
        <f aca="true">MEDIAN(8,16,ROUND(NORMINV(RAND(),Coefficients!$B$20,Coefficients!$B$21),0))</f>
        <v>10</v>
      </c>
      <c r="D1925" s="0" t="n">
        <f aca="true">CRITBINOM($C1925,MIN(0.75,Matchup!$B$39*$B1925),RAND())</f>
        <v>2</v>
      </c>
      <c r="E1925" s="0" t="n">
        <f aca="true">CRITBINOM(D1925,Coefficients!$B$30,RAND())</f>
        <v>0</v>
      </c>
      <c r="F1925" s="0" t="n">
        <f aca="true">CRITBINOM(E1925,Coefficients!$B$31,RAND())</f>
        <v>0</v>
      </c>
      <c r="G1925" s="0" t="n">
        <f aca="true">CRITBINOM(MAX(0,D1925-E1925),1-Coefficients!$B$32,RAND())</f>
        <v>1</v>
      </c>
      <c r="H1925" s="0" t="n">
        <f aca="true">CRITBINOM(MAX(0,$C1925-D1925),MIN(0.6,Matchup!$B$40*SQRT($B1925)/(1-MIN(0.75,Matchup!$B$39*$B1925))),RAND())</f>
        <v>1</v>
      </c>
      <c r="I1925" s="0" t="n">
        <f aca="false">6*D1925+(D1925-E1925-G1925)+2*F1925+3*H1925</f>
        <v>16</v>
      </c>
      <c r="J1925" s="0" t="n">
        <f aca="true">CRITBINOM($C1925,MIN(0.75,Matchup!$C$39*$B1925),RAND())</f>
        <v>2</v>
      </c>
      <c r="K1925" s="0" t="n">
        <f aca="true">CRITBINOM(J1925,Coefficients!$B$30,RAND())</f>
        <v>0</v>
      </c>
      <c r="L1925" s="0" t="n">
        <f aca="true">CRITBINOM(K1925,Coefficients!$B$31,RAND())</f>
        <v>0</v>
      </c>
      <c r="M1925" s="0" t="n">
        <f aca="true">CRITBINOM(MAX(0,J1925-K1925),1-Coefficients!$B$32,RAND())</f>
        <v>0</v>
      </c>
      <c r="N1925" s="0" t="n">
        <f aca="true">CRITBINOM(MAX(0,$C1925-J1925),MIN(0.6,Matchup!$C$40*SQRT($B1925)/(1-MIN(0.75,Matchup!$C$39*$B1925))),RAND())</f>
        <v>1</v>
      </c>
      <c r="O1925" s="0" t="n">
        <f aca="false">6*J1925+(J1925-K1925-M1925)+2*L1925+3*N1925</f>
        <v>17</v>
      </c>
      <c r="P1925" s="0" t="n">
        <f aca="true">RAND()</f>
        <v>0.713198765373171</v>
      </c>
      <c r="Q1925" s="0" t="n">
        <f aca="true">RAND()</f>
        <v>0.52339130476266</v>
      </c>
      <c r="R1925" s="0" t="n">
        <f aca="false">IF($I1925&lt;&gt;$O1925,0,IF(P1925&lt;Matchup!$B$39,7,IF(P1925&lt;Matchup!$B$39+Matchup!$B$40,3,0)))</f>
        <v>0</v>
      </c>
      <c r="S1925" s="0" t="n">
        <f aca="false">IF($I1925&lt;&gt;$O1925,0,IF(Q1925&lt;Matchup!$C$39,7,IF(Q1925&lt;Matchup!$C$39+Matchup!$C$40,3,0)))</f>
        <v>0</v>
      </c>
      <c r="T1925" s="0" t="n">
        <f aca="false">I1925+R1925</f>
        <v>16</v>
      </c>
      <c r="U1925" s="0" t="n">
        <f aca="false">O1925+S1925</f>
        <v>17</v>
      </c>
      <c r="V1925" s="0" t="n">
        <f aca="false">T1925-U1925</f>
        <v>-1</v>
      </c>
      <c r="W1925" s="0" t="n">
        <f aca="false">T1925+U1925</f>
        <v>33</v>
      </c>
    </row>
    <row r="1926" customFormat="false" ht="15" hidden="false" customHeight="false" outlineLevel="0" collapsed="false">
      <c r="A1926" s="0" t="n">
        <v>1923</v>
      </c>
      <c r="B1926" s="0" t="n">
        <f aca="true">NORMINV(RAND(),1,Coefficients!$B$22)</f>
        <v>1.03639746347659</v>
      </c>
      <c r="C1926" s="0" t="n">
        <f aca="true">MEDIAN(8,16,ROUND(NORMINV(RAND(),Coefficients!$B$20,Coefficients!$B$21),0))</f>
        <v>13</v>
      </c>
      <c r="D1926" s="0" t="n">
        <f aca="true">CRITBINOM($C1926,MIN(0.75,Matchup!$B$39*$B1926),RAND())</f>
        <v>2</v>
      </c>
      <c r="E1926" s="0" t="n">
        <f aca="true">CRITBINOM(D1926,Coefficients!$B$30,RAND())</f>
        <v>0</v>
      </c>
      <c r="F1926" s="0" t="n">
        <f aca="true">CRITBINOM(E1926,Coefficients!$B$31,RAND())</f>
        <v>0</v>
      </c>
      <c r="G1926" s="0" t="n">
        <f aca="true">CRITBINOM(MAX(0,D1926-E1926),1-Coefficients!$B$32,RAND())</f>
        <v>0</v>
      </c>
      <c r="H1926" s="0" t="n">
        <f aca="true">CRITBINOM(MAX(0,$C1926-D1926),MIN(0.6,Matchup!$B$40*SQRT($B1926)/(1-MIN(0.75,Matchup!$B$39*$B1926))),RAND())</f>
        <v>1</v>
      </c>
      <c r="I1926" s="0" t="n">
        <f aca="false">6*D1926+(D1926-E1926-G1926)+2*F1926+3*H1926</f>
        <v>17</v>
      </c>
      <c r="J1926" s="0" t="n">
        <f aca="true">CRITBINOM($C1926,MIN(0.75,Matchup!$C$39*$B1926),RAND())</f>
        <v>3</v>
      </c>
      <c r="K1926" s="0" t="n">
        <f aca="true">CRITBINOM(J1926,Coefficients!$B$30,RAND())</f>
        <v>0</v>
      </c>
      <c r="L1926" s="0" t="n">
        <f aca="true">CRITBINOM(K1926,Coefficients!$B$31,RAND())</f>
        <v>0</v>
      </c>
      <c r="M1926" s="0" t="n">
        <f aca="true">CRITBINOM(MAX(0,J1926-K1926),1-Coefficients!$B$32,RAND())</f>
        <v>0</v>
      </c>
      <c r="N1926" s="0" t="n">
        <f aca="true">CRITBINOM(MAX(0,$C1926-J1926),MIN(0.6,Matchup!$C$40*SQRT($B1926)/(1-MIN(0.75,Matchup!$C$39*$B1926))),RAND())</f>
        <v>2</v>
      </c>
      <c r="O1926" s="0" t="n">
        <f aca="false">6*J1926+(J1926-K1926-M1926)+2*L1926+3*N1926</f>
        <v>27</v>
      </c>
      <c r="P1926" s="0" t="n">
        <f aca="true">RAND()</f>
        <v>0.959639723846859</v>
      </c>
      <c r="Q1926" s="0" t="n">
        <f aca="true">RAND()</f>
        <v>0.887571912125159</v>
      </c>
      <c r="R1926" s="0" t="n">
        <f aca="false">IF($I1926&lt;&gt;$O1926,0,IF(P1926&lt;Matchup!$B$39,7,IF(P1926&lt;Matchup!$B$39+Matchup!$B$40,3,0)))</f>
        <v>0</v>
      </c>
      <c r="S1926" s="0" t="n">
        <f aca="false">IF($I1926&lt;&gt;$O1926,0,IF(Q1926&lt;Matchup!$C$39,7,IF(Q1926&lt;Matchup!$C$39+Matchup!$C$40,3,0)))</f>
        <v>0</v>
      </c>
      <c r="T1926" s="0" t="n">
        <f aca="false">I1926+R1926</f>
        <v>17</v>
      </c>
      <c r="U1926" s="0" t="n">
        <f aca="false">O1926+S1926</f>
        <v>27</v>
      </c>
      <c r="V1926" s="0" t="n">
        <f aca="false">T1926-U1926</f>
        <v>-10</v>
      </c>
      <c r="W1926" s="0" t="n">
        <f aca="false">T1926+U1926</f>
        <v>44</v>
      </c>
    </row>
    <row r="1927" customFormat="false" ht="15" hidden="false" customHeight="false" outlineLevel="0" collapsed="false">
      <c r="A1927" s="0" t="n">
        <v>1924</v>
      </c>
      <c r="B1927" s="0" t="n">
        <f aca="true">NORMINV(RAND(),1,Coefficients!$B$22)</f>
        <v>0.78179519191492</v>
      </c>
      <c r="C1927" s="0" t="n">
        <f aca="true">MEDIAN(8,16,ROUND(NORMINV(RAND(),Coefficients!$B$20,Coefficients!$B$21),0))</f>
        <v>12</v>
      </c>
      <c r="D1927" s="0" t="n">
        <f aca="true">CRITBINOM($C1927,MIN(0.75,Matchup!$B$39*$B1927),RAND())</f>
        <v>5</v>
      </c>
      <c r="E1927" s="0" t="n">
        <f aca="true">CRITBINOM(D1927,Coefficients!$B$30,RAND())</f>
        <v>0</v>
      </c>
      <c r="F1927" s="0" t="n">
        <f aca="true">CRITBINOM(E1927,Coefficients!$B$31,RAND())</f>
        <v>0</v>
      </c>
      <c r="G1927" s="0" t="n">
        <f aca="true">CRITBINOM(MAX(0,D1927-E1927),1-Coefficients!$B$32,RAND())</f>
        <v>0</v>
      </c>
      <c r="H1927" s="0" t="n">
        <f aca="true">CRITBINOM(MAX(0,$C1927-D1927),MIN(0.6,Matchup!$B$40*SQRT($B1927)/(1-MIN(0.75,Matchup!$B$39*$B1927))),RAND())</f>
        <v>0</v>
      </c>
      <c r="I1927" s="0" t="n">
        <f aca="false">6*D1927+(D1927-E1927-G1927)+2*F1927+3*H1927</f>
        <v>35</v>
      </c>
      <c r="J1927" s="0" t="n">
        <f aca="true">CRITBINOM($C1927,MIN(0.75,Matchup!$C$39*$B1927),RAND())</f>
        <v>2</v>
      </c>
      <c r="K1927" s="0" t="n">
        <f aca="true">CRITBINOM(J1927,Coefficients!$B$30,RAND())</f>
        <v>0</v>
      </c>
      <c r="L1927" s="0" t="n">
        <f aca="true">CRITBINOM(K1927,Coefficients!$B$31,RAND())</f>
        <v>0</v>
      </c>
      <c r="M1927" s="0" t="n">
        <f aca="true">CRITBINOM(MAX(0,J1927-K1927),1-Coefficients!$B$32,RAND())</f>
        <v>0</v>
      </c>
      <c r="N1927" s="0" t="n">
        <f aca="true">CRITBINOM(MAX(0,$C1927-J1927),MIN(0.6,Matchup!$C$40*SQRT($B1927)/(1-MIN(0.75,Matchup!$C$39*$B1927))),RAND())</f>
        <v>1</v>
      </c>
      <c r="O1927" s="0" t="n">
        <f aca="false">6*J1927+(J1927-K1927-M1927)+2*L1927+3*N1927</f>
        <v>17</v>
      </c>
      <c r="P1927" s="0" t="n">
        <f aca="true">RAND()</f>
        <v>0.560276177909704</v>
      </c>
      <c r="Q1927" s="0" t="n">
        <f aca="true">RAND()</f>
        <v>0.967995365727604</v>
      </c>
      <c r="R1927" s="0" t="n">
        <f aca="false">IF($I1927&lt;&gt;$O1927,0,IF(P1927&lt;Matchup!$B$39,7,IF(P1927&lt;Matchup!$B$39+Matchup!$B$40,3,0)))</f>
        <v>0</v>
      </c>
      <c r="S1927" s="0" t="n">
        <f aca="false">IF($I1927&lt;&gt;$O1927,0,IF(Q1927&lt;Matchup!$C$39,7,IF(Q1927&lt;Matchup!$C$39+Matchup!$C$40,3,0)))</f>
        <v>0</v>
      </c>
      <c r="T1927" s="0" t="n">
        <f aca="false">I1927+R1927</f>
        <v>35</v>
      </c>
      <c r="U1927" s="0" t="n">
        <f aca="false">O1927+S1927</f>
        <v>17</v>
      </c>
      <c r="V1927" s="0" t="n">
        <f aca="false">T1927-U1927</f>
        <v>18</v>
      </c>
      <c r="W1927" s="0" t="n">
        <f aca="false">T1927+U1927</f>
        <v>52</v>
      </c>
    </row>
    <row r="1928" customFormat="false" ht="15" hidden="false" customHeight="false" outlineLevel="0" collapsed="false">
      <c r="A1928" s="0" t="n">
        <v>1925</v>
      </c>
      <c r="B1928" s="0" t="n">
        <f aca="true">NORMINV(RAND(),1,Coefficients!$B$22)</f>
        <v>1.0918880749009</v>
      </c>
      <c r="C1928" s="0" t="n">
        <f aca="true">MEDIAN(8,16,ROUND(NORMINV(RAND(),Coefficients!$B$20,Coefficients!$B$21),0))</f>
        <v>13</v>
      </c>
      <c r="D1928" s="0" t="n">
        <f aca="true">CRITBINOM($C1928,MIN(0.75,Matchup!$B$39*$B1928),RAND())</f>
        <v>1</v>
      </c>
      <c r="E1928" s="0" t="n">
        <f aca="true">CRITBINOM(D1928,Coefficients!$B$30,RAND())</f>
        <v>1</v>
      </c>
      <c r="F1928" s="0" t="n">
        <f aca="true">CRITBINOM(E1928,Coefficients!$B$31,RAND())</f>
        <v>0</v>
      </c>
      <c r="G1928" s="0" t="n">
        <f aca="true">CRITBINOM(MAX(0,D1928-E1928),1-Coefficients!$B$32,RAND())</f>
        <v>0</v>
      </c>
      <c r="H1928" s="0" t="n">
        <f aca="true">CRITBINOM(MAX(0,$C1928-D1928),MIN(0.6,Matchup!$B$40*SQRT($B1928)/(1-MIN(0.75,Matchup!$B$39*$B1928))),RAND())</f>
        <v>3</v>
      </c>
      <c r="I1928" s="0" t="n">
        <f aca="false">6*D1928+(D1928-E1928-G1928)+2*F1928+3*H1928</f>
        <v>15</v>
      </c>
      <c r="J1928" s="0" t="n">
        <f aca="true">CRITBINOM($C1928,MIN(0.75,Matchup!$C$39*$B1928),RAND())</f>
        <v>5</v>
      </c>
      <c r="K1928" s="0" t="n">
        <f aca="true">CRITBINOM(J1928,Coefficients!$B$30,RAND())</f>
        <v>0</v>
      </c>
      <c r="L1928" s="0" t="n">
        <f aca="true">CRITBINOM(K1928,Coefficients!$B$31,RAND())</f>
        <v>0</v>
      </c>
      <c r="M1928" s="0" t="n">
        <f aca="true">CRITBINOM(MAX(0,J1928-K1928),1-Coefficients!$B$32,RAND())</f>
        <v>0</v>
      </c>
      <c r="N1928" s="0" t="n">
        <f aca="true">CRITBINOM(MAX(0,$C1928-J1928),MIN(0.6,Matchup!$C$40*SQRT($B1928)/(1-MIN(0.75,Matchup!$C$39*$B1928))),RAND())</f>
        <v>2</v>
      </c>
      <c r="O1928" s="0" t="n">
        <f aca="false">6*J1928+(J1928-K1928-M1928)+2*L1928+3*N1928</f>
        <v>41</v>
      </c>
      <c r="P1928" s="0" t="n">
        <f aca="true">RAND()</f>
        <v>0.404274201573296</v>
      </c>
      <c r="Q1928" s="0" t="n">
        <f aca="true">RAND()</f>
        <v>0.734538285220751</v>
      </c>
      <c r="R1928" s="0" t="n">
        <f aca="false">IF($I1928&lt;&gt;$O1928,0,IF(P1928&lt;Matchup!$B$39,7,IF(P1928&lt;Matchup!$B$39+Matchup!$B$40,3,0)))</f>
        <v>0</v>
      </c>
      <c r="S1928" s="0" t="n">
        <f aca="false">IF($I1928&lt;&gt;$O1928,0,IF(Q1928&lt;Matchup!$C$39,7,IF(Q1928&lt;Matchup!$C$39+Matchup!$C$40,3,0)))</f>
        <v>0</v>
      </c>
      <c r="T1928" s="0" t="n">
        <f aca="false">I1928+R1928</f>
        <v>15</v>
      </c>
      <c r="U1928" s="0" t="n">
        <f aca="false">O1928+S1928</f>
        <v>41</v>
      </c>
      <c r="V1928" s="0" t="n">
        <f aca="false">T1928-U1928</f>
        <v>-26</v>
      </c>
      <c r="W1928" s="0" t="n">
        <f aca="false">T1928+U1928</f>
        <v>56</v>
      </c>
    </row>
    <row r="1929" customFormat="false" ht="15" hidden="false" customHeight="false" outlineLevel="0" collapsed="false">
      <c r="A1929" s="0" t="n">
        <v>1926</v>
      </c>
      <c r="B1929" s="0" t="n">
        <f aca="true">NORMINV(RAND(),1,Coefficients!$B$22)</f>
        <v>1.10488352572289</v>
      </c>
      <c r="C1929" s="0" t="n">
        <f aca="true">MEDIAN(8,16,ROUND(NORMINV(RAND(),Coefficients!$B$20,Coefficients!$B$21),0))</f>
        <v>12</v>
      </c>
      <c r="D1929" s="0" t="n">
        <f aca="true">CRITBINOM($C1929,MIN(0.75,Matchup!$B$39*$B1929),RAND())</f>
        <v>3</v>
      </c>
      <c r="E1929" s="0" t="n">
        <f aca="true">CRITBINOM(D1929,Coefficients!$B$30,RAND())</f>
        <v>0</v>
      </c>
      <c r="F1929" s="0" t="n">
        <f aca="true">CRITBINOM(E1929,Coefficients!$B$31,RAND())</f>
        <v>0</v>
      </c>
      <c r="G1929" s="0" t="n">
        <f aca="true">CRITBINOM(MAX(0,D1929-E1929),1-Coefficients!$B$32,RAND())</f>
        <v>0</v>
      </c>
      <c r="H1929" s="0" t="n">
        <f aca="true">CRITBINOM(MAX(0,$C1929-D1929),MIN(0.6,Matchup!$B$40*SQRT($B1929)/(1-MIN(0.75,Matchup!$B$39*$B1929))),RAND())</f>
        <v>1</v>
      </c>
      <c r="I1929" s="0" t="n">
        <f aca="false">6*D1929+(D1929-E1929-G1929)+2*F1929+3*H1929</f>
        <v>24</v>
      </c>
      <c r="J1929" s="0" t="n">
        <f aca="true">CRITBINOM($C1929,MIN(0.75,Matchup!$C$39*$B1929),RAND())</f>
        <v>2</v>
      </c>
      <c r="K1929" s="0" t="n">
        <f aca="true">CRITBINOM(J1929,Coefficients!$B$30,RAND())</f>
        <v>1</v>
      </c>
      <c r="L1929" s="0" t="n">
        <f aca="true">CRITBINOM(K1929,Coefficients!$B$31,RAND())</f>
        <v>1</v>
      </c>
      <c r="M1929" s="0" t="n">
        <f aca="true">CRITBINOM(MAX(0,J1929-K1929),1-Coefficients!$B$32,RAND())</f>
        <v>0</v>
      </c>
      <c r="N1929" s="0" t="n">
        <f aca="true">CRITBINOM(MAX(0,$C1929-J1929),MIN(0.6,Matchup!$C$40*SQRT($B1929)/(1-MIN(0.75,Matchup!$C$39*$B1929))),RAND())</f>
        <v>2</v>
      </c>
      <c r="O1929" s="0" t="n">
        <f aca="false">6*J1929+(J1929-K1929-M1929)+2*L1929+3*N1929</f>
        <v>21</v>
      </c>
      <c r="P1929" s="0" t="n">
        <f aca="true">RAND()</f>
        <v>0.755635756392063</v>
      </c>
      <c r="Q1929" s="0" t="n">
        <f aca="true">RAND()</f>
        <v>0.0374190244475301</v>
      </c>
      <c r="R1929" s="0" t="n">
        <f aca="false">IF($I1929&lt;&gt;$O1929,0,IF(P1929&lt;Matchup!$B$39,7,IF(P1929&lt;Matchup!$B$39+Matchup!$B$40,3,0)))</f>
        <v>0</v>
      </c>
      <c r="S1929" s="0" t="n">
        <f aca="false">IF($I1929&lt;&gt;$O1929,0,IF(Q1929&lt;Matchup!$C$39,7,IF(Q1929&lt;Matchup!$C$39+Matchup!$C$40,3,0)))</f>
        <v>0</v>
      </c>
      <c r="T1929" s="0" t="n">
        <f aca="false">I1929+R1929</f>
        <v>24</v>
      </c>
      <c r="U1929" s="0" t="n">
        <f aca="false">O1929+S1929</f>
        <v>21</v>
      </c>
      <c r="V1929" s="0" t="n">
        <f aca="false">T1929-U1929</f>
        <v>3</v>
      </c>
      <c r="W1929" s="0" t="n">
        <f aca="false">T1929+U1929</f>
        <v>45</v>
      </c>
    </row>
    <row r="1930" customFormat="false" ht="15" hidden="false" customHeight="false" outlineLevel="0" collapsed="false">
      <c r="A1930" s="0" t="n">
        <v>1927</v>
      </c>
      <c r="B1930" s="0" t="n">
        <f aca="true">NORMINV(RAND(),1,Coefficients!$B$22)</f>
        <v>1.02905144537085</v>
      </c>
      <c r="C1930" s="0" t="n">
        <f aca="true">MEDIAN(8,16,ROUND(NORMINV(RAND(),Coefficients!$B$20,Coefficients!$B$21),0))</f>
        <v>10</v>
      </c>
      <c r="D1930" s="0" t="n">
        <f aca="true">CRITBINOM($C1930,MIN(0.75,Matchup!$B$39*$B1930),RAND())</f>
        <v>2</v>
      </c>
      <c r="E1930" s="0" t="n">
        <f aca="true">CRITBINOM(D1930,Coefficients!$B$30,RAND())</f>
        <v>0</v>
      </c>
      <c r="F1930" s="0" t="n">
        <f aca="true">CRITBINOM(E1930,Coefficients!$B$31,RAND())</f>
        <v>0</v>
      </c>
      <c r="G1930" s="0" t="n">
        <f aca="true">CRITBINOM(MAX(0,D1930-E1930),1-Coefficients!$B$32,RAND())</f>
        <v>0</v>
      </c>
      <c r="H1930" s="0" t="n">
        <f aca="true">CRITBINOM(MAX(0,$C1930-D1930),MIN(0.6,Matchup!$B$40*SQRT($B1930)/(1-MIN(0.75,Matchup!$B$39*$B1930))),RAND())</f>
        <v>4</v>
      </c>
      <c r="I1930" s="0" t="n">
        <f aca="false">6*D1930+(D1930-E1930-G1930)+2*F1930+3*H1930</f>
        <v>26</v>
      </c>
      <c r="J1930" s="0" t="n">
        <f aca="true">CRITBINOM($C1930,MIN(0.75,Matchup!$C$39*$B1930),RAND())</f>
        <v>1</v>
      </c>
      <c r="K1930" s="0" t="n">
        <f aca="true">CRITBINOM(J1930,Coefficients!$B$30,RAND())</f>
        <v>0</v>
      </c>
      <c r="L1930" s="0" t="n">
        <f aca="true">CRITBINOM(K1930,Coefficients!$B$31,RAND())</f>
        <v>0</v>
      </c>
      <c r="M1930" s="0" t="n">
        <f aca="true">CRITBINOM(MAX(0,J1930-K1930),1-Coefficients!$B$32,RAND())</f>
        <v>0</v>
      </c>
      <c r="N1930" s="0" t="n">
        <f aca="true">CRITBINOM(MAX(0,$C1930-J1930),MIN(0.6,Matchup!$C$40*SQRT($B1930)/(1-MIN(0.75,Matchup!$C$39*$B1930))),RAND())</f>
        <v>1</v>
      </c>
      <c r="O1930" s="0" t="n">
        <f aca="false">6*J1930+(J1930-K1930-M1930)+2*L1930+3*N1930</f>
        <v>10</v>
      </c>
      <c r="P1930" s="0" t="n">
        <f aca="true">RAND()</f>
        <v>0.299479759811752</v>
      </c>
      <c r="Q1930" s="0" t="n">
        <f aca="true">RAND()</f>
        <v>0.724778861740756</v>
      </c>
      <c r="R1930" s="0" t="n">
        <f aca="false">IF($I1930&lt;&gt;$O1930,0,IF(P1930&lt;Matchup!$B$39,7,IF(P1930&lt;Matchup!$B$39+Matchup!$B$40,3,0)))</f>
        <v>0</v>
      </c>
      <c r="S1930" s="0" t="n">
        <f aca="false">IF($I1930&lt;&gt;$O1930,0,IF(Q1930&lt;Matchup!$C$39,7,IF(Q1930&lt;Matchup!$C$39+Matchup!$C$40,3,0)))</f>
        <v>0</v>
      </c>
      <c r="T1930" s="0" t="n">
        <f aca="false">I1930+R1930</f>
        <v>26</v>
      </c>
      <c r="U1930" s="0" t="n">
        <f aca="false">O1930+S1930</f>
        <v>10</v>
      </c>
      <c r="V1930" s="0" t="n">
        <f aca="false">T1930-U1930</f>
        <v>16</v>
      </c>
      <c r="W1930" s="0" t="n">
        <f aca="false">T1930+U1930</f>
        <v>36</v>
      </c>
    </row>
    <row r="1931" customFormat="false" ht="15" hidden="false" customHeight="false" outlineLevel="0" collapsed="false">
      <c r="A1931" s="0" t="n">
        <v>1928</v>
      </c>
      <c r="B1931" s="0" t="n">
        <f aca="true">NORMINV(RAND(),1,Coefficients!$B$22)</f>
        <v>1.16598701118063</v>
      </c>
      <c r="C1931" s="0" t="n">
        <f aca="true">MEDIAN(8,16,ROUND(NORMINV(RAND(),Coefficients!$B$20,Coefficients!$B$21),0))</f>
        <v>11</v>
      </c>
      <c r="D1931" s="0" t="n">
        <f aca="true">CRITBINOM($C1931,MIN(0.75,Matchup!$B$39*$B1931),RAND())</f>
        <v>4</v>
      </c>
      <c r="E1931" s="0" t="n">
        <f aca="true">CRITBINOM(D1931,Coefficients!$B$30,RAND())</f>
        <v>1</v>
      </c>
      <c r="F1931" s="0" t="n">
        <f aca="true">CRITBINOM(E1931,Coefficients!$B$31,RAND())</f>
        <v>0</v>
      </c>
      <c r="G1931" s="0" t="n">
        <f aca="true">CRITBINOM(MAX(0,D1931-E1931),1-Coefficients!$B$32,RAND())</f>
        <v>2</v>
      </c>
      <c r="H1931" s="0" t="n">
        <f aca="true">CRITBINOM(MAX(0,$C1931-D1931),MIN(0.6,Matchup!$B$40*SQRT($B1931)/(1-MIN(0.75,Matchup!$B$39*$B1931))),RAND())</f>
        <v>1</v>
      </c>
      <c r="I1931" s="0" t="n">
        <f aca="false">6*D1931+(D1931-E1931-G1931)+2*F1931+3*H1931</f>
        <v>28</v>
      </c>
      <c r="J1931" s="0" t="n">
        <f aca="true">CRITBINOM($C1931,MIN(0.75,Matchup!$C$39*$B1931),RAND())</f>
        <v>6</v>
      </c>
      <c r="K1931" s="0" t="n">
        <f aca="true">CRITBINOM(J1931,Coefficients!$B$30,RAND())</f>
        <v>0</v>
      </c>
      <c r="L1931" s="0" t="n">
        <f aca="true">CRITBINOM(K1931,Coefficients!$B$31,RAND())</f>
        <v>0</v>
      </c>
      <c r="M1931" s="0" t="n">
        <f aca="true">CRITBINOM(MAX(0,J1931-K1931),1-Coefficients!$B$32,RAND())</f>
        <v>0</v>
      </c>
      <c r="N1931" s="0" t="n">
        <f aca="true">CRITBINOM(MAX(0,$C1931-J1931),MIN(0.6,Matchup!$C$40*SQRT($B1931)/(1-MIN(0.75,Matchup!$C$39*$B1931))),RAND())</f>
        <v>0</v>
      </c>
      <c r="O1931" s="0" t="n">
        <f aca="false">6*J1931+(J1931-K1931-M1931)+2*L1931+3*N1931</f>
        <v>42</v>
      </c>
      <c r="P1931" s="0" t="n">
        <f aca="true">RAND()</f>
        <v>0.76154424355788</v>
      </c>
      <c r="Q1931" s="0" t="n">
        <f aca="true">RAND()</f>
        <v>0.336082197672065</v>
      </c>
      <c r="R1931" s="0" t="n">
        <f aca="false">IF($I1931&lt;&gt;$O1931,0,IF(P1931&lt;Matchup!$B$39,7,IF(P1931&lt;Matchup!$B$39+Matchup!$B$40,3,0)))</f>
        <v>0</v>
      </c>
      <c r="S1931" s="0" t="n">
        <f aca="false">IF($I1931&lt;&gt;$O1931,0,IF(Q1931&lt;Matchup!$C$39,7,IF(Q1931&lt;Matchup!$C$39+Matchup!$C$40,3,0)))</f>
        <v>0</v>
      </c>
      <c r="T1931" s="0" t="n">
        <f aca="false">I1931+R1931</f>
        <v>28</v>
      </c>
      <c r="U1931" s="0" t="n">
        <f aca="false">O1931+S1931</f>
        <v>42</v>
      </c>
      <c r="V1931" s="0" t="n">
        <f aca="false">T1931-U1931</f>
        <v>-14</v>
      </c>
      <c r="W1931" s="0" t="n">
        <f aca="false">T1931+U1931</f>
        <v>70</v>
      </c>
    </row>
    <row r="1932" customFormat="false" ht="15" hidden="false" customHeight="false" outlineLevel="0" collapsed="false">
      <c r="A1932" s="0" t="n">
        <v>1929</v>
      </c>
      <c r="B1932" s="0" t="n">
        <f aca="true">NORMINV(RAND(),1,Coefficients!$B$22)</f>
        <v>1.06100325527011</v>
      </c>
      <c r="C1932" s="0" t="n">
        <f aca="true">MEDIAN(8,16,ROUND(NORMINV(RAND(),Coefficients!$B$20,Coefficients!$B$21),0))</f>
        <v>12</v>
      </c>
      <c r="D1932" s="0" t="n">
        <f aca="true">CRITBINOM($C1932,MIN(0.75,Matchup!$B$39*$B1932),RAND())</f>
        <v>2</v>
      </c>
      <c r="E1932" s="0" t="n">
        <f aca="true">CRITBINOM(D1932,Coefficients!$B$30,RAND())</f>
        <v>1</v>
      </c>
      <c r="F1932" s="0" t="n">
        <f aca="true">CRITBINOM(E1932,Coefficients!$B$31,RAND())</f>
        <v>1</v>
      </c>
      <c r="G1932" s="0" t="n">
        <f aca="true">CRITBINOM(MAX(0,D1932-E1932),1-Coefficients!$B$32,RAND())</f>
        <v>0</v>
      </c>
      <c r="H1932" s="0" t="n">
        <f aca="true">CRITBINOM(MAX(0,$C1932-D1932),MIN(0.6,Matchup!$B$40*SQRT($B1932)/(1-MIN(0.75,Matchup!$B$39*$B1932))),RAND())</f>
        <v>2</v>
      </c>
      <c r="I1932" s="0" t="n">
        <f aca="false">6*D1932+(D1932-E1932-G1932)+2*F1932+3*H1932</f>
        <v>21</v>
      </c>
      <c r="J1932" s="0" t="n">
        <f aca="true">CRITBINOM($C1932,MIN(0.75,Matchup!$C$39*$B1932),RAND())</f>
        <v>2</v>
      </c>
      <c r="K1932" s="0" t="n">
        <f aca="true">CRITBINOM(J1932,Coefficients!$B$30,RAND())</f>
        <v>0</v>
      </c>
      <c r="L1932" s="0" t="n">
        <f aca="true">CRITBINOM(K1932,Coefficients!$B$31,RAND())</f>
        <v>0</v>
      </c>
      <c r="M1932" s="0" t="n">
        <f aca="true">CRITBINOM(MAX(0,J1932-K1932),1-Coefficients!$B$32,RAND())</f>
        <v>0</v>
      </c>
      <c r="N1932" s="0" t="n">
        <f aca="true">CRITBINOM(MAX(0,$C1932-J1932),MIN(0.6,Matchup!$C$40*SQRT($B1932)/(1-MIN(0.75,Matchup!$C$39*$B1932))),RAND())</f>
        <v>2</v>
      </c>
      <c r="O1932" s="0" t="n">
        <f aca="false">6*J1932+(J1932-K1932-M1932)+2*L1932+3*N1932</f>
        <v>20</v>
      </c>
      <c r="P1932" s="0" t="n">
        <f aca="true">RAND()</f>
        <v>0.704825585107752</v>
      </c>
      <c r="Q1932" s="0" t="n">
        <f aca="true">RAND()</f>
        <v>0.315250301983356</v>
      </c>
      <c r="R1932" s="0" t="n">
        <f aca="false">IF($I1932&lt;&gt;$O1932,0,IF(P1932&lt;Matchup!$B$39,7,IF(P1932&lt;Matchup!$B$39+Matchup!$B$40,3,0)))</f>
        <v>0</v>
      </c>
      <c r="S1932" s="0" t="n">
        <f aca="false">IF($I1932&lt;&gt;$O1932,0,IF(Q1932&lt;Matchup!$C$39,7,IF(Q1932&lt;Matchup!$C$39+Matchup!$C$40,3,0)))</f>
        <v>0</v>
      </c>
      <c r="T1932" s="0" t="n">
        <f aca="false">I1932+R1932</f>
        <v>21</v>
      </c>
      <c r="U1932" s="0" t="n">
        <f aca="false">O1932+S1932</f>
        <v>20</v>
      </c>
      <c r="V1932" s="0" t="n">
        <f aca="false">T1932-U1932</f>
        <v>1</v>
      </c>
      <c r="W1932" s="0" t="n">
        <f aca="false">T1932+U1932</f>
        <v>41</v>
      </c>
    </row>
    <row r="1933" customFormat="false" ht="15" hidden="false" customHeight="false" outlineLevel="0" collapsed="false">
      <c r="A1933" s="0" t="n">
        <v>1930</v>
      </c>
      <c r="B1933" s="0" t="n">
        <f aca="true">NORMINV(RAND(),1,Coefficients!$B$22)</f>
        <v>1.04905194134987</v>
      </c>
      <c r="C1933" s="0" t="n">
        <f aca="true">MEDIAN(8,16,ROUND(NORMINV(RAND(),Coefficients!$B$20,Coefficients!$B$21),0))</f>
        <v>10</v>
      </c>
      <c r="D1933" s="0" t="n">
        <f aca="true">CRITBINOM($C1933,MIN(0.75,Matchup!$B$39*$B1933),RAND())</f>
        <v>2</v>
      </c>
      <c r="E1933" s="0" t="n">
        <f aca="true">CRITBINOM(D1933,Coefficients!$B$30,RAND())</f>
        <v>1</v>
      </c>
      <c r="F1933" s="0" t="n">
        <f aca="true">CRITBINOM(E1933,Coefficients!$B$31,RAND())</f>
        <v>0</v>
      </c>
      <c r="G1933" s="0" t="n">
        <f aca="true">CRITBINOM(MAX(0,D1933-E1933),1-Coefficients!$B$32,RAND())</f>
        <v>0</v>
      </c>
      <c r="H1933" s="0" t="n">
        <f aca="true">CRITBINOM(MAX(0,$C1933-D1933),MIN(0.6,Matchup!$B$40*SQRT($B1933)/(1-MIN(0.75,Matchup!$B$39*$B1933))),RAND())</f>
        <v>1</v>
      </c>
      <c r="I1933" s="0" t="n">
        <f aca="false">6*D1933+(D1933-E1933-G1933)+2*F1933+3*H1933</f>
        <v>16</v>
      </c>
      <c r="J1933" s="0" t="n">
        <f aca="true">CRITBINOM($C1933,MIN(0.75,Matchup!$C$39*$B1933),RAND())</f>
        <v>4</v>
      </c>
      <c r="K1933" s="0" t="n">
        <f aca="true">CRITBINOM(J1933,Coefficients!$B$30,RAND())</f>
        <v>0</v>
      </c>
      <c r="L1933" s="0" t="n">
        <f aca="true">CRITBINOM(K1933,Coefficients!$B$31,RAND())</f>
        <v>0</v>
      </c>
      <c r="M1933" s="0" t="n">
        <f aca="true">CRITBINOM(MAX(0,J1933-K1933),1-Coefficients!$B$32,RAND())</f>
        <v>0</v>
      </c>
      <c r="N1933" s="0" t="n">
        <f aca="true">CRITBINOM(MAX(0,$C1933-J1933),MIN(0.6,Matchup!$C$40*SQRT($B1933)/(1-MIN(0.75,Matchup!$C$39*$B1933))),RAND())</f>
        <v>1</v>
      </c>
      <c r="O1933" s="0" t="n">
        <f aca="false">6*J1933+(J1933-K1933-M1933)+2*L1933+3*N1933</f>
        <v>31</v>
      </c>
      <c r="P1933" s="0" t="n">
        <f aca="true">RAND()</f>
        <v>0.639286897516464</v>
      </c>
      <c r="Q1933" s="0" t="n">
        <f aca="true">RAND()</f>
        <v>0.502861084043357</v>
      </c>
      <c r="R1933" s="0" t="n">
        <f aca="false">IF($I1933&lt;&gt;$O1933,0,IF(P1933&lt;Matchup!$B$39,7,IF(P1933&lt;Matchup!$B$39+Matchup!$B$40,3,0)))</f>
        <v>0</v>
      </c>
      <c r="S1933" s="0" t="n">
        <f aca="false">IF($I1933&lt;&gt;$O1933,0,IF(Q1933&lt;Matchup!$C$39,7,IF(Q1933&lt;Matchup!$C$39+Matchup!$C$40,3,0)))</f>
        <v>0</v>
      </c>
      <c r="T1933" s="0" t="n">
        <f aca="false">I1933+R1933</f>
        <v>16</v>
      </c>
      <c r="U1933" s="0" t="n">
        <f aca="false">O1933+S1933</f>
        <v>31</v>
      </c>
      <c r="V1933" s="0" t="n">
        <f aca="false">T1933-U1933</f>
        <v>-15</v>
      </c>
      <c r="W1933" s="0" t="n">
        <f aca="false">T1933+U1933</f>
        <v>47</v>
      </c>
    </row>
    <row r="1934" customFormat="false" ht="15" hidden="false" customHeight="false" outlineLevel="0" collapsed="false">
      <c r="A1934" s="0" t="n">
        <v>1931</v>
      </c>
      <c r="B1934" s="0" t="n">
        <f aca="true">NORMINV(RAND(),1,Coefficients!$B$22)</f>
        <v>0.986017508335038</v>
      </c>
      <c r="C1934" s="0" t="n">
        <f aca="true">MEDIAN(8,16,ROUND(NORMINV(RAND(),Coefficients!$B$20,Coefficients!$B$21),0))</f>
        <v>12</v>
      </c>
      <c r="D1934" s="0" t="n">
        <f aca="true">CRITBINOM($C1934,MIN(0.75,Matchup!$B$39*$B1934),RAND())</f>
        <v>4</v>
      </c>
      <c r="E1934" s="0" t="n">
        <f aca="true">CRITBINOM(D1934,Coefficients!$B$30,RAND())</f>
        <v>0</v>
      </c>
      <c r="F1934" s="0" t="n">
        <f aca="true">CRITBINOM(E1934,Coefficients!$B$31,RAND())</f>
        <v>0</v>
      </c>
      <c r="G1934" s="0" t="n">
        <f aca="true">CRITBINOM(MAX(0,D1934-E1934),1-Coefficients!$B$32,RAND())</f>
        <v>1</v>
      </c>
      <c r="H1934" s="0" t="n">
        <f aca="true">CRITBINOM(MAX(0,$C1934-D1934),MIN(0.6,Matchup!$B$40*SQRT($B1934)/(1-MIN(0.75,Matchup!$B$39*$B1934))),RAND())</f>
        <v>1</v>
      </c>
      <c r="I1934" s="0" t="n">
        <f aca="false">6*D1934+(D1934-E1934-G1934)+2*F1934+3*H1934</f>
        <v>30</v>
      </c>
      <c r="J1934" s="0" t="n">
        <f aca="true">CRITBINOM($C1934,MIN(0.75,Matchup!$C$39*$B1934),RAND())</f>
        <v>3</v>
      </c>
      <c r="K1934" s="0" t="n">
        <f aca="true">CRITBINOM(J1934,Coefficients!$B$30,RAND())</f>
        <v>0</v>
      </c>
      <c r="L1934" s="0" t="n">
        <f aca="true">CRITBINOM(K1934,Coefficients!$B$31,RAND())</f>
        <v>0</v>
      </c>
      <c r="M1934" s="0" t="n">
        <f aca="true">CRITBINOM(MAX(0,J1934-K1934),1-Coefficients!$B$32,RAND())</f>
        <v>0</v>
      </c>
      <c r="N1934" s="0" t="n">
        <f aca="true">CRITBINOM(MAX(0,$C1934-J1934),MIN(0.6,Matchup!$C$40*SQRT($B1934)/(1-MIN(0.75,Matchup!$C$39*$B1934))),RAND())</f>
        <v>1</v>
      </c>
      <c r="O1934" s="0" t="n">
        <f aca="false">6*J1934+(J1934-K1934-M1934)+2*L1934+3*N1934</f>
        <v>24</v>
      </c>
      <c r="P1934" s="0" t="n">
        <f aca="true">RAND()</f>
        <v>0.389894462222489</v>
      </c>
      <c r="Q1934" s="0" t="n">
        <f aca="true">RAND()</f>
        <v>0.72263463877669</v>
      </c>
      <c r="R1934" s="0" t="n">
        <f aca="false">IF($I1934&lt;&gt;$O1934,0,IF(P1934&lt;Matchup!$B$39,7,IF(P1934&lt;Matchup!$B$39+Matchup!$B$40,3,0)))</f>
        <v>0</v>
      </c>
      <c r="S1934" s="0" t="n">
        <f aca="false">IF($I1934&lt;&gt;$O1934,0,IF(Q1934&lt;Matchup!$C$39,7,IF(Q1934&lt;Matchup!$C$39+Matchup!$C$40,3,0)))</f>
        <v>0</v>
      </c>
      <c r="T1934" s="0" t="n">
        <f aca="false">I1934+R1934</f>
        <v>30</v>
      </c>
      <c r="U1934" s="0" t="n">
        <f aca="false">O1934+S1934</f>
        <v>24</v>
      </c>
      <c r="V1934" s="0" t="n">
        <f aca="false">T1934-U1934</f>
        <v>6</v>
      </c>
      <c r="W1934" s="0" t="n">
        <f aca="false">T1934+U1934</f>
        <v>54</v>
      </c>
    </row>
    <row r="1935" customFormat="false" ht="15" hidden="false" customHeight="false" outlineLevel="0" collapsed="false">
      <c r="A1935" s="0" t="n">
        <v>1932</v>
      </c>
      <c r="B1935" s="0" t="n">
        <f aca="true">NORMINV(RAND(),1,Coefficients!$B$22)</f>
        <v>0.942579841144232</v>
      </c>
      <c r="C1935" s="0" t="n">
        <f aca="true">MEDIAN(8,16,ROUND(NORMINV(RAND(),Coefficients!$B$20,Coefficients!$B$21),0))</f>
        <v>11</v>
      </c>
      <c r="D1935" s="0" t="n">
        <f aca="true">CRITBINOM($C1935,MIN(0.75,Matchup!$B$39*$B1935),RAND())</f>
        <v>3</v>
      </c>
      <c r="E1935" s="0" t="n">
        <f aca="true">CRITBINOM(D1935,Coefficients!$B$30,RAND())</f>
        <v>0</v>
      </c>
      <c r="F1935" s="0" t="n">
        <f aca="true">CRITBINOM(E1935,Coefficients!$B$31,RAND())</f>
        <v>0</v>
      </c>
      <c r="G1935" s="0" t="n">
        <f aca="true">CRITBINOM(MAX(0,D1935-E1935),1-Coefficients!$B$32,RAND())</f>
        <v>0</v>
      </c>
      <c r="H1935" s="0" t="n">
        <f aca="true">CRITBINOM(MAX(0,$C1935-D1935),MIN(0.6,Matchup!$B$40*SQRT($B1935)/(1-MIN(0.75,Matchup!$B$39*$B1935))),RAND())</f>
        <v>2</v>
      </c>
      <c r="I1935" s="0" t="n">
        <f aca="false">6*D1935+(D1935-E1935-G1935)+2*F1935+3*H1935</f>
        <v>27</v>
      </c>
      <c r="J1935" s="0" t="n">
        <f aca="true">CRITBINOM($C1935,MIN(0.75,Matchup!$C$39*$B1935),RAND())</f>
        <v>2</v>
      </c>
      <c r="K1935" s="0" t="n">
        <f aca="true">CRITBINOM(J1935,Coefficients!$B$30,RAND())</f>
        <v>1</v>
      </c>
      <c r="L1935" s="0" t="n">
        <f aca="true">CRITBINOM(K1935,Coefficients!$B$31,RAND())</f>
        <v>0</v>
      </c>
      <c r="M1935" s="0" t="n">
        <f aca="true">CRITBINOM(MAX(0,J1935-K1935),1-Coefficients!$B$32,RAND())</f>
        <v>0</v>
      </c>
      <c r="N1935" s="0" t="n">
        <f aca="true">CRITBINOM(MAX(0,$C1935-J1935),MIN(0.6,Matchup!$C$40*SQRT($B1935)/(1-MIN(0.75,Matchup!$C$39*$B1935))),RAND())</f>
        <v>2</v>
      </c>
      <c r="O1935" s="0" t="n">
        <f aca="false">6*J1935+(J1935-K1935-M1935)+2*L1935+3*N1935</f>
        <v>19</v>
      </c>
      <c r="P1935" s="0" t="n">
        <f aca="true">RAND()</f>
        <v>0.9252635113652</v>
      </c>
      <c r="Q1935" s="0" t="n">
        <f aca="true">RAND()</f>
        <v>0.348387191013313</v>
      </c>
      <c r="R1935" s="0" t="n">
        <f aca="false">IF($I1935&lt;&gt;$O1935,0,IF(P1935&lt;Matchup!$B$39,7,IF(P1935&lt;Matchup!$B$39+Matchup!$B$40,3,0)))</f>
        <v>0</v>
      </c>
      <c r="S1935" s="0" t="n">
        <f aca="false">IF($I1935&lt;&gt;$O1935,0,IF(Q1935&lt;Matchup!$C$39,7,IF(Q1935&lt;Matchup!$C$39+Matchup!$C$40,3,0)))</f>
        <v>0</v>
      </c>
      <c r="T1935" s="0" t="n">
        <f aca="false">I1935+R1935</f>
        <v>27</v>
      </c>
      <c r="U1935" s="0" t="n">
        <f aca="false">O1935+S1935</f>
        <v>19</v>
      </c>
      <c r="V1935" s="0" t="n">
        <f aca="false">T1935-U1935</f>
        <v>8</v>
      </c>
      <c r="W1935" s="0" t="n">
        <f aca="false">T1935+U1935</f>
        <v>46</v>
      </c>
    </row>
    <row r="1936" customFormat="false" ht="15" hidden="false" customHeight="false" outlineLevel="0" collapsed="false">
      <c r="A1936" s="0" t="n">
        <v>1933</v>
      </c>
      <c r="B1936" s="0" t="n">
        <f aca="true">NORMINV(RAND(),1,Coefficients!$B$22)</f>
        <v>0.977459226058047</v>
      </c>
      <c r="C1936" s="0" t="n">
        <f aca="true">MEDIAN(8,16,ROUND(NORMINV(RAND(),Coefficients!$B$20,Coefficients!$B$21),0))</f>
        <v>10</v>
      </c>
      <c r="D1936" s="0" t="n">
        <f aca="true">CRITBINOM($C1936,MIN(0.75,Matchup!$B$39*$B1936),RAND())</f>
        <v>0</v>
      </c>
      <c r="E1936" s="0" t="n">
        <f aca="true">CRITBINOM(D1936,Coefficients!$B$30,RAND())</f>
        <v>0</v>
      </c>
      <c r="F1936" s="0" t="n">
        <f aca="true">CRITBINOM(E1936,Coefficients!$B$31,RAND())</f>
        <v>0</v>
      </c>
      <c r="G1936" s="0" t="n">
        <f aca="true">CRITBINOM(MAX(0,D1936-E1936),1-Coefficients!$B$32,RAND())</f>
        <v>0</v>
      </c>
      <c r="H1936" s="0" t="n">
        <f aca="true">CRITBINOM(MAX(0,$C1936-D1936),MIN(0.6,Matchup!$B$40*SQRT($B1936)/(1-MIN(0.75,Matchup!$B$39*$B1936))),RAND())</f>
        <v>1</v>
      </c>
      <c r="I1936" s="0" t="n">
        <f aca="false">6*D1936+(D1936-E1936-G1936)+2*F1936+3*H1936</f>
        <v>3</v>
      </c>
      <c r="J1936" s="0" t="n">
        <f aca="true">CRITBINOM($C1936,MIN(0.75,Matchup!$C$39*$B1936),RAND())</f>
        <v>1</v>
      </c>
      <c r="K1936" s="0" t="n">
        <f aca="true">CRITBINOM(J1936,Coefficients!$B$30,RAND())</f>
        <v>0</v>
      </c>
      <c r="L1936" s="0" t="n">
        <f aca="true">CRITBINOM(K1936,Coefficients!$B$31,RAND())</f>
        <v>0</v>
      </c>
      <c r="M1936" s="0" t="n">
        <f aca="true">CRITBINOM(MAX(0,J1936-K1936),1-Coefficients!$B$32,RAND())</f>
        <v>0</v>
      </c>
      <c r="N1936" s="0" t="n">
        <f aca="true">CRITBINOM(MAX(0,$C1936-J1936),MIN(0.6,Matchup!$C$40*SQRT($B1936)/(1-MIN(0.75,Matchup!$C$39*$B1936))),RAND())</f>
        <v>1</v>
      </c>
      <c r="O1936" s="0" t="n">
        <f aca="false">6*J1936+(J1936-K1936-M1936)+2*L1936+3*N1936</f>
        <v>10</v>
      </c>
      <c r="P1936" s="0" t="n">
        <f aca="true">RAND()</f>
        <v>0.740700574195842</v>
      </c>
      <c r="Q1936" s="0" t="n">
        <f aca="true">RAND()</f>
        <v>0.812992193953379</v>
      </c>
      <c r="R1936" s="0" t="n">
        <f aca="false">IF($I1936&lt;&gt;$O1936,0,IF(P1936&lt;Matchup!$B$39,7,IF(P1936&lt;Matchup!$B$39+Matchup!$B$40,3,0)))</f>
        <v>0</v>
      </c>
      <c r="S1936" s="0" t="n">
        <f aca="false">IF($I1936&lt;&gt;$O1936,0,IF(Q1936&lt;Matchup!$C$39,7,IF(Q1936&lt;Matchup!$C$39+Matchup!$C$40,3,0)))</f>
        <v>0</v>
      </c>
      <c r="T1936" s="0" t="n">
        <f aca="false">I1936+R1936</f>
        <v>3</v>
      </c>
      <c r="U1936" s="0" t="n">
        <f aca="false">O1936+S1936</f>
        <v>10</v>
      </c>
      <c r="V1936" s="0" t="n">
        <f aca="false">T1936-U1936</f>
        <v>-7</v>
      </c>
      <c r="W1936" s="0" t="n">
        <f aca="false">T1936+U1936</f>
        <v>13</v>
      </c>
    </row>
    <row r="1937" customFormat="false" ht="15" hidden="false" customHeight="false" outlineLevel="0" collapsed="false">
      <c r="A1937" s="0" t="n">
        <v>1934</v>
      </c>
      <c r="B1937" s="0" t="n">
        <f aca="true">NORMINV(RAND(),1,Coefficients!$B$22)</f>
        <v>1.1372079806954</v>
      </c>
      <c r="C1937" s="0" t="n">
        <f aca="true">MEDIAN(8,16,ROUND(NORMINV(RAND(),Coefficients!$B$20,Coefficients!$B$21),0))</f>
        <v>11</v>
      </c>
      <c r="D1937" s="0" t="n">
        <f aca="true">CRITBINOM($C1937,MIN(0.75,Matchup!$B$39*$B1937),RAND())</f>
        <v>5</v>
      </c>
      <c r="E1937" s="0" t="n">
        <f aca="true">CRITBINOM(D1937,Coefficients!$B$30,RAND())</f>
        <v>0</v>
      </c>
      <c r="F1937" s="0" t="n">
        <f aca="true">CRITBINOM(E1937,Coefficients!$B$31,RAND())</f>
        <v>0</v>
      </c>
      <c r="G1937" s="0" t="n">
        <f aca="true">CRITBINOM(MAX(0,D1937-E1937),1-Coefficients!$B$32,RAND())</f>
        <v>0</v>
      </c>
      <c r="H1937" s="0" t="n">
        <f aca="true">CRITBINOM(MAX(0,$C1937-D1937),MIN(0.6,Matchup!$B$40*SQRT($B1937)/(1-MIN(0.75,Matchup!$B$39*$B1937))),RAND())</f>
        <v>0</v>
      </c>
      <c r="I1937" s="0" t="n">
        <f aca="false">6*D1937+(D1937-E1937-G1937)+2*F1937+3*H1937</f>
        <v>35</v>
      </c>
      <c r="J1937" s="0" t="n">
        <f aca="true">CRITBINOM($C1937,MIN(0.75,Matchup!$C$39*$B1937),RAND())</f>
        <v>2</v>
      </c>
      <c r="K1937" s="0" t="n">
        <f aca="true">CRITBINOM(J1937,Coefficients!$B$30,RAND())</f>
        <v>0</v>
      </c>
      <c r="L1937" s="0" t="n">
        <f aca="true">CRITBINOM(K1937,Coefficients!$B$31,RAND())</f>
        <v>0</v>
      </c>
      <c r="M1937" s="0" t="n">
        <f aca="true">CRITBINOM(MAX(0,J1937-K1937),1-Coefficients!$B$32,RAND())</f>
        <v>0</v>
      </c>
      <c r="N1937" s="0" t="n">
        <f aca="true">CRITBINOM(MAX(0,$C1937-J1937),MIN(0.6,Matchup!$C$40*SQRT($B1937)/(1-MIN(0.75,Matchup!$C$39*$B1937))),RAND())</f>
        <v>2</v>
      </c>
      <c r="O1937" s="0" t="n">
        <f aca="false">6*J1937+(J1937-K1937-M1937)+2*L1937+3*N1937</f>
        <v>20</v>
      </c>
      <c r="P1937" s="0" t="n">
        <f aca="true">RAND()</f>
        <v>0.21756465397926</v>
      </c>
      <c r="Q1937" s="0" t="n">
        <f aca="true">RAND()</f>
        <v>0.980995781515177</v>
      </c>
      <c r="R1937" s="0" t="n">
        <f aca="false">IF($I1937&lt;&gt;$O1937,0,IF(P1937&lt;Matchup!$B$39,7,IF(P1937&lt;Matchup!$B$39+Matchup!$B$40,3,0)))</f>
        <v>0</v>
      </c>
      <c r="S1937" s="0" t="n">
        <f aca="false">IF($I1937&lt;&gt;$O1937,0,IF(Q1937&lt;Matchup!$C$39,7,IF(Q1937&lt;Matchup!$C$39+Matchup!$C$40,3,0)))</f>
        <v>0</v>
      </c>
      <c r="T1937" s="0" t="n">
        <f aca="false">I1937+R1937</f>
        <v>35</v>
      </c>
      <c r="U1937" s="0" t="n">
        <f aca="false">O1937+S1937</f>
        <v>20</v>
      </c>
      <c r="V1937" s="0" t="n">
        <f aca="false">T1937-U1937</f>
        <v>15</v>
      </c>
      <c r="W1937" s="0" t="n">
        <f aca="false">T1937+U1937</f>
        <v>55</v>
      </c>
    </row>
    <row r="1938" customFormat="false" ht="15" hidden="false" customHeight="false" outlineLevel="0" collapsed="false">
      <c r="A1938" s="0" t="n">
        <v>1935</v>
      </c>
      <c r="B1938" s="0" t="n">
        <f aca="true">NORMINV(RAND(),1,Coefficients!$B$22)</f>
        <v>1.07886327471744</v>
      </c>
      <c r="C1938" s="0" t="n">
        <f aca="true">MEDIAN(8,16,ROUND(NORMINV(RAND(),Coefficients!$B$20,Coefficients!$B$21),0))</f>
        <v>12</v>
      </c>
      <c r="D1938" s="0" t="n">
        <f aca="true">CRITBINOM($C1938,MIN(0.75,Matchup!$B$39*$B1938),RAND())</f>
        <v>5</v>
      </c>
      <c r="E1938" s="0" t="n">
        <f aca="true">CRITBINOM(D1938,Coefficients!$B$30,RAND())</f>
        <v>0</v>
      </c>
      <c r="F1938" s="0" t="n">
        <f aca="true">CRITBINOM(E1938,Coefficients!$B$31,RAND())</f>
        <v>0</v>
      </c>
      <c r="G1938" s="0" t="n">
        <f aca="true">CRITBINOM(MAX(0,D1938-E1938),1-Coefficients!$B$32,RAND())</f>
        <v>0</v>
      </c>
      <c r="H1938" s="0" t="n">
        <f aca="true">CRITBINOM(MAX(0,$C1938-D1938),MIN(0.6,Matchup!$B$40*SQRT($B1938)/(1-MIN(0.75,Matchup!$B$39*$B1938))),RAND())</f>
        <v>2</v>
      </c>
      <c r="I1938" s="0" t="n">
        <f aca="false">6*D1938+(D1938-E1938-G1938)+2*F1938+3*H1938</f>
        <v>41</v>
      </c>
      <c r="J1938" s="0" t="n">
        <f aca="true">CRITBINOM($C1938,MIN(0.75,Matchup!$C$39*$B1938),RAND())</f>
        <v>3</v>
      </c>
      <c r="K1938" s="0" t="n">
        <f aca="true">CRITBINOM(J1938,Coefficients!$B$30,RAND())</f>
        <v>0</v>
      </c>
      <c r="L1938" s="0" t="n">
        <f aca="true">CRITBINOM(K1938,Coefficients!$B$31,RAND())</f>
        <v>0</v>
      </c>
      <c r="M1938" s="0" t="n">
        <f aca="true">CRITBINOM(MAX(0,J1938-K1938),1-Coefficients!$B$32,RAND())</f>
        <v>0</v>
      </c>
      <c r="N1938" s="0" t="n">
        <f aca="true">CRITBINOM(MAX(0,$C1938-J1938),MIN(0.6,Matchup!$C$40*SQRT($B1938)/(1-MIN(0.75,Matchup!$C$39*$B1938))),RAND())</f>
        <v>3</v>
      </c>
      <c r="O1938" s="0" t="n">
        <f aca="false">6*J1938+(J1938-K1938-M1938)+2*L1938+3*N1938</f>
        <v>30</v>
      </c>
      <c r="P1938" s="0" t="n">
        <f aca="true">RAND()</f>
        <v>0.38970102169623</v>
      </c>
      <c r="Q1938" s="0" t="n">
        <f aca="true">RAND()</f>
        <v>0.356372202929854</v>
      </c>
      <c r="R1938" s="0" t="n">
        <f aca="false">IF($I1938&lt;&gt;$O1938,0,IF(P1938&lt;Matchup!$B$39,7,IF(P1938&lt;Matchup!$B$39+Matchup!$B$40,3,0)))</f>
        <v>0</v>
      </c>
      <c r="S1938" s="0" t="n">
        <f aca="false">IF($I1938&lt;&gt;$O1938,0,IF(Q1938&lt;Matchup!$C$39,7,IF(Q1938&lt;Matchup!$C$39+Matchup!$C$40,3,0)))</f>
        <v>0</v>
      </c>
      <c r="T1938" s="0" t="n">
        <f aca="false">I1938+R1938</f>
        <v>41</v>
      </c>
      <c r="U1938" s="0" t="n">
        <f aca="false">O1938+S1938</f>
        <v>30</v>
      </c>
      <c r="V1938" s="0" t="n">
        <f aca="false">T1938-U1938</f>
        <v>11</v>
      </c>
      <c r="W1938" s="0" t="n">
        <f aca="false">T1938+U1938</f>
        <v>71</v>
      </c>
    </row>
    <row r="1939" customFormat="false" ht="15" hidden="false" customHeight="false" outlineLevel="0" collapsed="false">
      <c r="A1939" s="0" t="n">
        <v>1936</v>
      </c>
      <c r="B1939" s="0" t="n">
        <f aca="true">NORMINV(RAND(),1,Coefficients!$B$22)</f>
        <v>1.06729911078911</v>
      </c>
      <c r="C1939" s="0" t="n">
        <f aca="true">MEDIAN(8,16,ROUND(NORMINV(RAND(),Coefficients!$B$20,Coefficients!$B$21),0))</f>
        <v>12</v>
      </c>
      <c r="D1939" s="0" t="n">
        <f aca="true">CRITBINOM($C1939,MIN(0.75,Matchup!$B$39*$B1939),RAND())</f>
        <v>6</v>
      </c>
      <c r="E1939" s="0" t="n">
        <f aca="true">CRITBINOM(D1939,Coefficients!$B$30,RAND())</f>
        <v>0</v>
      </c>
      <c r="F1939" s="0" t="n">
        <f aca="true">CRITBINOM(E1939,Coefficients!$B$31,RAND())</f>
        <v>0</v>
      </c>
      <c r="G1939" s="0" t="n">
        <f aca="true">CRITBINOM(MAX(0,D1939-E1939),1-Coefficients!$B$32,RAND())</f>
        <v>0</v>
      </c>
      <c r="H1939" s="0" t="n">
        <f aca="true">CRITBINOM(MAX(0,$C1939-D1939),MIN(0.6,Matchup!$B$40*SQRT($B1939)/(1-MIN(0.75,Matchup!$B$39*$B1939))),RAND())</f>
        <v>1</v>
      </c>
      <c r="I1939" s="0" t="n">
        <f aca="false">6*D1939+(D1939-E1939-G1939)+2*F1939+3*H1939</f>
        <v>45</v>
      </c>
      <c r="J1939" s="0" t="n">
        <f aca="true">CRITBINOM($C1939,MIN(0.75,Matchup!$C$39*$B1939),RAND())</f>
        <v>3</v>
      </c>
      <c r="K1939" s="0" t="n">
        <f aca="true">CRITBINOM(J1939,Coefficients!$B$30,RAND())</f>
        <v>1</v>
      </c>
      <c r="L1939" s="0" t="n">
        <f aca="true">CRITBINOM(K1939,Coefficients!$B$31,RAND())</f>
        <v>0</v>
      </c>
      <c r="M1939" s="0" t="n">
        <f aca="true">CRITBINOM(MAX(0,J1939-K1939),1-Coefficients!$B$32,RAND())</f>
        <v>0</v>
      </c>
      <c r="N1939" s="0" t="n">
        <f aca="true">CRITBINOM(MAX(0,$C1939-J1939),MIN(0.6,Matchup!$C$40*SQRT($B1939)/(1-MIN(0.75,Matchup!$C$39*$B1939))),RAND())</f>
        <v>1</v>
      </c>
      <c r="O1939" s="0" t="n">
        <f aca="false">6*J1939+(J1939-K1939-M1939)+2*L1939+3*N1939</f>
        <v>23</v>
      </c>
      <c r="P1939" s="0" t="n">
        <f aca="true">RAND()</f>
        <v>0.702687574610558</v>
      </c>
      <c r="Q1939" s="0" t="n">
        <f aca="true">RAND()</f>
        <v>0.121844316401224</v>
      </c>
      <c r="R1939" s="0" t="n">
        <f aca="false">IF($I1939&lt;&gt;$O1939,0,IF(P1939&lt;Matchup!$B$39,7,IF(P1939&lt;Matchup!$B$39+Matchup!$B$40,3,0)))</f>
        <v>0</v>
      </c>
      <c r="S1939" s="0" t="n">
        <f aca="false">IF($I1939&lt;&gt;$O1939,0,IF(Q1939&lt;Matchup!$C$39,7,IF(Q1939&lt;Matchup!$C$39+Matchup!$C$40,3,0)))</f>
        <v>0</v>
      </c>
      <c r="T1939" s="0" t="n">
        <f aca="false">I1939+R1939</f>
        <v>45</v>
      </c>
      <c r="U1939" s="0" t="n">
        <f aca="false">O1939+S1939</f>
        <v>23</v>
      </c>
      <c r="V1939" s="0" t="n">
        <f aca="false">T1939-U1939</f>
        <v>22</v>
      </c>
      <c r="W1939" s="0" t="n">
        <f aca="false">T1939+U1939</f>
        <v>68</v>
      </c>
    </row>
    <row r="1940" customFormat="false" ht="15" hidden="false" customHeight="false" outlineLevel="0" collapsed="false">
      <c r="A1940" s="0" t="n">
        <v>1937</v>
      </c>
      <c r="B1940" s="0" t="n">
        <f aca="true">NORMINV(RAND(),1,Coefficients!$B$22)</f>
        <v>1.01550003511327</v>
      </c>
      <c r="C1940" s="0" t="n">
        <f aca="true">MEDIAN(8,16,ROUND(NORMINV(RAND(),Coefficients!$B$20,Coefficients!$B$21),0))</f>
        <v>12</v>
      </c>
      <c r="D1940" s="0" t="n">
        <f aca="true">CRITBINOM($C1940,MIN(0.75,Matchup!$B$39*$B1940),RAND())</f>
        <v>3</v>
      </c>
      <c r="E1940" s="0" t="n">
        <f aca="true">CRITBINOM(D1940,Coefficients!$B$30,RAND())</f>
        <v>0</v>
      </c>
      <c r="F1940" s="0" t="n">
        <f aca="true">CRITBINOM(E1940,Coefficients!$B$31,RAND())</f>
        <v>0</v>
      </c>
      <c r="G1940" s="0" t="n">
        <f aca="true">CRITBINOM(MAX(0,D1940-E1940),1-Coefficients!$B$32,RAND())</f>
        <v>0</v>
      </c>
      <c r="H1940" s="0" t="n">
        <f aca="true">CRITBINOM(MAX(0,$C1940-D1940),MIN(0.6,Matchup!$B$40*SQRT($B1940)/(1-MIN(0.75,Matchup!$B$39*$B1940))),RAND())</f>
        <v>1</v>
      </c>
      <c r="I1940" s="0" t="n">
        <f aca="false">6*D1940+(D1940-E1940-G1940)+2*F1940+3*H1940</f>
        <v>24</v>
      </c>
      <c r="J1940" s="0" t="n">
        <f aca="true">CRITBINOM($C1940,MIN(0.75,Matchup!$C$39*$B1940),RAND())</f>
        <v>3</v>
      </c>
      <c r="K1940" s="0" t="n">
        <f aca="true">CRITBINOM(J1940,Coefficients!$B$30,RAND())</f>
        <v>0</v>
      </c>
      <c r="L1940" s="0" t="n">
        <f aca="true">CRITBINOM(K1940,Coefficients!$B$31,RAND())</f>
        <v>0</v>
      </c>
      <c r="M1940" s="0" t="n">
        <f aca="true">CRITBINOM(MAX(0,J1940-K1940),1-Coefficients!$B$32,RAND())</f>
        <v>0</v>
      </c>
      <c r="N1940" s="0" t="n">
        <f aca="true">CRITBINOM(MAX(0,$C1940-J1940),MIN(0.6,Matchup!$C$40*SQRT($B1940)/(1-MIN(0.75,Matchup!$C$39*$B1940))),RAND())</f>
        <v>2</v>
      </c>
      <c r="O1940" s="0" t="n">
        <f aca="false">6*J1940+(J1940-K1940-M1940)+2*L1940+3*N1940</f>
        <v>27</v>
      </c>
      <c r="P1940" s="0" t="n">
        <f aca="true">RAND()</f>
        <v>0.752176529564452</v>
      </c>
      <c r="Q1940" s="0" t="n">
        <f aca="true">RAND()</f>
        <v>0.3455111734057</v>
      </c>
      <c r="R1940" s="0" t="n">
        <f aca="false">IF($I1940&lt;&gt;$O1940,0,IF(P1940&lt;Matchup!$B$39,7,IF(P1940&lt;Matchup!$B$39+Matchup!$B$40,3,0)))</f>
        <v>0</v>
      </c>
      <c r="S1940" s="0" t="n">
        <f aca="false">IF($I1940&lt;&gt;$O1940,0,IF(Q1940&lt;Matchup!$C$39,7,IF(Q1940&lt;Matchup!$C$39+Matchup!$C$40,3,0)))</f>
        <v>0</v>
      </c>
      <c r="T1940" s="0" t="n">
        <f aca="false">I1940+R1940</f>
        <v>24</v>
      </c>
      <c r="U1940" s="0" t="n">
        <f aca="false">O1940+S1940</f>
        <v>27</v>
      </c>
      <c r="V1940" s="0" t="n">
        <f aca="false">T1940-U1940</f>
        <v>-3</v>
      </c>
      <c r="W1940" s="0" t="n">
        <f aca="false">T1940+U1940</f>
        <v>51</v>
      </c>
    </row>
    <row r="1941" customFormat="false" ht="15" hidden="false" customHeight="false" outlineLevel="0" collapsed="false">
      <c r="A1941" s="0" t="n">
        <v>1938</v>
      </c>
      <c r="B1941" s="0" t="n">
        <f aca="true">NORMINV(RAND(),1,Coefficients!$B$22)</f>
        <v>0.926734432093207</v>
      </c>
      <c r="C1941" s="0" t="n">
        <f aca="true">MEDIAN(8,16,ROUND(NORMINV(RAND(),Coefficients!$B$20,Coefficients!$B$21),0))</f>
        <v>8</v>
      </c>
      <c r="D1941" s="0" t="n">
        <f aca="true">CRITBINOM($C1941,MIN(0.75,Matchup!$B$39*$B1941),RAND())</f>
        <v>1</v>
      </c>
      <c r="E1941" s="0" t="n">
        <f aca="true">CRITBINOM(D1941,Coefficients!$B$30,RAND())</f>
        <v>0</v>
      </c>
      <c r="F1941" s="0" t="n">
        <f aca="true">CRITBINOM(E1941,Coefficients!$B$31,RAND())</f>
        <v>0</v>
      </c>
      <c r="G1941" s="0" t="n">
        <f aca="true">CRITBINOM(MAX(0,D1941-E1941),1-Coefficients!$B$32,RAND())</f>
        <v>0</v>
      </c>
      <c r="H1941" s="0" t="n">
        <f aca="true">CRITBINOM(MAX(0,$C1941-D1941),MIN(0.6,Matchup!$B$40*SQRT($B1941)/(1-MIN(0.75,Matchup!$B$39*$B1941))),RAND())</f>
        <v>2</v>
      </c>
      <c r="I1941" s="0" t="n">
        <f aca="false">6*D1941+(D1941-E1941-G1941)+2*F1941+3*H1941</f>
        <v>13</v>
      </c>
      <c r="J1941" s="0" t="n">
        <f aca="true">CRITBINOM($C1941,MIN(0.75,Matchup!$C$39*$B1941),RAND())</f>
        <v>1</v>
      </c>
      <c r="K1941" s="0" t="n">
        <f aca="true">CRITBINOM(J1941,Coefficients!$B$30,RAND())</f>
        <v>0</v>
      </c>
      <c r="L1941" s="0" t="n">
        <f aca="true">CRITBINOM(K1941,Coefficients!$B$31,RAND())</f>
        <v>0</v>
      </c>
      <c r="M1941" s="0" t="n">
        <f aca="true">CRITBINOM(MAX(0,J1941-K1941),1-Coefficients!$B$32,RAND())</f>
        <v>0</v>
      </c>
      <c r="N1941" s="0" t="n">
        <f aca="true">CRITBINOM(MAX(0,$C1941-J1941),MIN(0.6,Matchup!$C$40*SQRT($B1941)/(1-MIN(0.75,Matchup!$C$39*$B1941))),RAND())</f>
        <v>2</v>
      </c>
      <c r="O1941" s="0" t="n">
        <f aca="false">6*J1941+(J1941-K1941-M1941)+2*L1941+3*N1941</f>
        <v>13</v>
      </c>
      <c r="P1941" s="0" t="n">
        <f aca="true">RAND()</f>
        <v>0.886086790941334</v>
      </c>
      <c r="Q1941" s="0" t="n">
        <f aca="true">RAND()</f>
        <v>0.625689176475161</v>
      </c>
      <c r="R1941" s="0" t="n">
        <f aca="false">IF($I1941&lt;&gt;$O1941,0,IF(P1941&lt;Matchup!$B$39,7,IF(P1941&lt;Matchup!$B$39+Matchup!$B$40,3,0)))</f>
        <v>0</v>
      </c>
      <c r="S1941" s="0" t="n">
        <f aca="false">IF($I1941&lt;&gt;$O1941,0,IF(Q1941&lt;Matchup!$C$39,7,IF(Q1941&lt;Matchup!$C$39+Matchup!$C$40,3,0)))</f>
        <v>0</v>
      </c>
      <c r="T1941" s="0" t="n">
        <f aca="false">I1941+R1941</f>
        <v>13</v>
      </c>
      <c r="U1941" s="0" t="n">
        <f aca="false">O1941+S1941</f>
        <v>13</v>
      </c>
      <c r="V1941" s="0" t="n">
        <f aca="false">T1941-U1941</f>
        <v>0</v>
      </c>
      <c r="W1941" s="0" t="n">
        <f aca="false">T1941+U1941</f>
        <v>26</v>
      </c>
    </row>
    <row r="1942" customFormat="false" ht="15" hidden="false" customHeight="false" outlineLevel="0" collapsed="false">
      <c r="A1942" s="0" t="n">
        <v>1939</v>
      </c>
      <c r="B1942" s="0" t="n">
        <f aca="true">NORMINV(RAND(),1,Coefficients!$B$22)</f>
        <v>0.95355496485345</v>
      </c>
      <c r="C1942" s="0" t="n">
        <f aca="true">MEDIAN(8,16,ROUND(NORMINV(RAND(),Coefficients!$B$20,Coefficients!$B$21),0))</f>
        <v>12</v>
      </c>
      <c r="D1942" s="0" t="n">
        <f aca="true">CRITBINOM($C1942,MIN(0.75,Matchup!$B$39*$B1942),RAND())</f>
        <v>1</v>
      </c>
      <c r="E1942" s="0" t="n">
        <f aca="true">CRITBINOM(D1942,Coefficients!$B$30,RAND())</f>
        <v>0</v>
      </c>
      <c r="F1942" s="0" t="n">
        <f aca="true">CRITBINOM(E1942,Coefficients!$B$31,RAND())</f>
        <v>0</v>
      </c>
      <c r="G1942" s="0" t="n">
        <f aca="true">CRITBINOM(MAX(0,D1942-E1942),1-Coefficients!$B$32,RAND())</f>
        <v>0</v>
      </c>
      <c r="H1942" s="0" t="n">
        <f aca="true">CRITBINOM(MAX(0,$C1942-D1942),MIN(0.6,Matchup!$B$40*SQRT($B1942)/(1-MIN(0.75,Matchup!$B$39*$B1942))),RAND())</f>
        <v>4</v>
      </c>
      <c r="I1942" s="0" t="n">
        <f aca="false">6*D1942+(D1942-E1942-G1942)+2*F1942+3*H1942</f>
        <v>19</v>
      </c>
      <c r="J1942" s="0" t="n">
        <f aca="true">CRITBINOM($C1942,MIN(0.75,Matchup!$C$39*$B1942),RAND())</f>
        <v>1</v>
      </c>
      <c r="K1942" s="0" t="n">
        <f aca="true">CRITBINOM(J1942,Coefficients!$B$30,RAND())</f>
        <v>0</v>
      </c>
      <c r="L1942" s="0" t="n">
        <f aca="true">CRITBINOM(K1942,Coefficients!$B$31,RAND())</f>
        <v>0</v>
      </c>
      <c r="M1942" s="0" t="n">
        <f aca="true">CRITBINOM(MAX(0,J1942-K1942),1-Coefficients!$B$32,RAND())</f>
        <v>0</v>
      </c>
      <c r="N1942" s="0" t="n">
        <f aca="true">CRITBINOM(MAX(0,$C1942-J1942),MIN(0.6,Matchup!$C$40*SQRT($B1942)/(1-MIN(0.75,Matchup!$C$39*$B1942))),RAND())</f>
        <v>1</v>
      </c>
      <c r="O1942" s="0" t="n">
        <f aca="false">6*J1942+(J1942-K1942-M1942)+2*L1942+3*N1942</f>
        <v>10</v>
      </c>
      <c r="P1942" s="0" t="n">
        <f aca="true">RAND()</f>
        <v>0.401001179988698</v>
      </c>
      <c r="Q1942" s="0" t="n">
        <f aca="true">RAND()</f>
        <v>0.365625885892283</v>
      </c>
      <c r="R1942" s="0" t="n">
        <f aca="false">IF($I1942&lt;&gt;$O1942,0,IF(P1942&lt;Matchup!$B$39,7,IF(P1942&lt;Matchup!$B$39+Matchup!$B$40,3,0)))</f>
        <v>0</v>
      </c>
      <c r="S1942" s="0" t="n">
        <f aca="false">IF($I1942&lt;&gt;$O1942,0,IF(Q1942&lt;Matchup!$C$39,7,IF(Q1942&lt;Matchup!$C$39+Matchup!$C$40,3,0)))</f>
        <v>0</v>
      </c>
      <c r="T1942" s="0" t="n">
        <f aca="false">I1942+R1942</f>
        <v>19</v>
      </c>
      <c r="U1942" s="0" t="n">
        <f aca="false">O1942+S1942</f>
        <v>10</v>
      </c>
      <c r="V1942" s="0" t="n">
        <f aca="false">T1942-U1942</f>
        <v>9</v>
      </c>
      <c r="W1942" s="0" t="n">
        <f aca="false">T1942+U1942</f>
        <v>29</v>
      </c>
    </row>
    <row r="1943" customFormat="false" ht="15" hidden="false" customHeight="false" outlineLevel="0" collapsed="false">
      <c r="A1943" s="0" t="n">
        <v>1940</v>
      </c>
      <c r="B1943" s="0" t="n">
        <f aca="true">NORMINV(RAND(),1,Coefficients!$B$22)</f>
        <v>0.984391269661712</v>
      </c>
      <c r="C1943" s="0" t="n">
        <f aca="true">MEDIAN(8,16,ROUND(NORMINV(RAND(),Coefficients!$B$20,Coefficients!$B$21),0))</f>
        <v>11</v>
      </c>
      <c r="D1943" s="0" t="n">
        <f aca="true">CRITBINOM($C1943,MIN(0.75,Matchup!$B$39*$B1943),RAND())</f>
        <v>2</v>
      </c>
      <c r="E1943" s="0" t="n">
        <f aca="true">CRITBINOM(D1943,Coefficients!$B$30,RAND())</f>
        <v>0</v>
      </c>
      <c r="F1943" s="0" t="n">
        <f aca="true">CRITBINOM(E1943,Coefficients!$B$31,RAND())</f>
        <v>0</v>
      </c>
      <c r="G1943" s="0" t="n">
        <f aca="true">CRITBINOM(MAX(0,D1943-E1943),1-Coefficients!$B$32,RAND())</f>
        <v>0</v>
      </c>
      <c r="H1943" s="0" t="n">
        <f aca="true">CRITBINOM(MAX(0,$C1943-D1943),MIN(0.6,Matchup!$B$40*SQRT($B1943)/(1-MIN(0.75,Matchup!$B$39*$B1943))),RAND())</f>
        <v>2</v>
      </c>
      <c r="I1943" s="0" t="n">
        <f aca="false">6*D1943+(D1943-E1943-G1943)+2*F1943+3*H1943</f>
        <v>20</v>
      </c>
      <c r="J1943" s="0" t="n">
        <f aca="true">CRITBINOM($C1943,MIN(0.75,Matchup!$C$39*$B1943),RAND())</f>
        <v>2</v>
      </c>
      <c r="K1943" s="0" t="n">
        <f aca="true">CRITBINOM(J1943,Coefficients!$B$30,RAND())</f>
        <v>0</v>
      </c>
      <c r="L1943" s="0" t="n">
        <f aca="true">CRITBINOM(K1943,Coefficients!$B$31,RAND())</f>
        <v>0</v>
      </c>
      <c r="M1943" s="0" t="n">
        <f aca="true">CRITBINOM(MAX(0,J1943-K1943),1-Coefficients!$B$32,RAND())</f>
        <v>0</v>
      </c>
      <c r="N1943" s="0" t="n">
        <f aca="true">CRITBINOM(MAX(0,$C1943-J1943),MIN(0.6,Matchup!$C$40*SQRT($B1943)/(1-MIN(0.75,Matchup!$C$39*$B1943))),RAND())</f>
        <v>1</v>
      </c>
      <c r="O1943" s="0" t="n">
        <f aca="false">6*J1943+(J1943-K1943-M1943)+2*L1943+3*N1943</f>
        <v>17</v>
      </c>
      <c r="P1943" s="0" t="n">
        <f aca="true">RAND()</f>
        <v>0.125803472135465</v>
      </c>
      <c r="Q1943" s="0" t="n">
        <f aca="true">RAND()</f>
        <v>0.0753998529552521</v>
      </c>
      <c r="R1943" s="0" t="n">
        <f aca="false">IF($I1943&lt;&gt;$O1943,0,IF(P1943&lt;Matchup!$B$39,7,IF(P1943&lt;Matchup!$B$39+Matchup!$B$40,3,0)))</f>
        <v>0</v>
      </c>
      <c r="S1943" s="0" t="n">
        <f aca="false">IF($I1943&lt;&gt;$O1943,0,IF(Q1943&lt;Matchup!$C$39,7,IF(Q1943&lt;Matchup!$C$39+Matchup!$C$40,3,0)))</f>
        <v>0</v>
      </c>
      <c r="T1943" s="0" t="n">
        <f aca="false">I1943+R1943</f>
        <v>20</v>
      </c>
      <c r="U1943" s="0" t="n">
        <f aca="false">O1943+S1943</f>
        <v>17</v>
      </c>
      <c r="V1943" s="0" t="n">
        <f aca="false">T1943-U1943</f>
        <v>3</v>
      </c>
      <c r="W1943" s="0" t="n">
        <f aca="false">T1943+U1943</f>
        <v>37</v>
      </c>
    </row>
    <row r="1944" customFormat="false" ht="15" hidden="false" customHeight="false" outlineLevel="0" collapsed="false">
      <c r="A1944" s="0" t="n">
        <v>1941</v>
      </c>
      <c r="B1944" s="0" t="n">
        <f aca="true">NORMINV(RAND(),1,Coefficients!$B$22)</f>
        <v>0.909962802047038</v>
      </c>
      <c r="C1944" s="0" t="n">
        <f aca="true">MEDIAN(8,16,ROUND(NORMINV(RAND(),Coefficients!$B$20,Coefficients!$B$21),0))</f>
        <v>11</v>
      </c>
      <c r="D1944" s="0" t="n">
        <f aca="true">CRITBINOM($C1944,MIN(0.75,Matchup!$B$39*$B1944),RAND())</f>
        <v>4</v>
      </c>
      <c r="E1944" s="0" t="n">
        <f aca="true">CRITBINOM(D1944,Coefficients!$B$30,RAND())</f>
        <v>0</v>
      </c>
      <c r="F1944" s="0" t="n">
        <f aca="true">CRITBINOM(E1944,Coefficients!$B$31,RAND())</f>
        <v>0</v>
      </c>
      <c r="G1944" s="0" t="n">
        <f aca="true">CRITBINOM(MAX(0,D1944-E1944),1-Coefficients!$B$32,RAND())</f>
        <v>0</v>
      </c>
      <c r="H1944" s="0" t="n">
        <f aca="true">CRITBINOM(MAX(0,$C1944-D1944),MIN(0.6,Matchup!$B$40*SQRT($B1944)/(1-MIN(0.75,Matchup!$B$39*$B1944))),RAND())</f>
        <v>1</v>
      </c>
      <c r="I1944" s="0" t="n">
        <f aca="false">6*D1944+(D1944-E1944-G1944)+2*F1944+3*H1944</f>
        <v>31</v>
      </c>
      <c r="J1944" s="0" t="n">
        <f aca="true">CRITBINOM($C1944,MIN(0.75,Matchup!$C$39*$B1944),RAND())</f>
        <v>3</v>
      </c>
      <c r="K1944" s="0" t="n">
        <f aca="true">CRITBINOM(J1944,Coefficients!$B$30,RAND())</f>
        <v>0</v>
      </c>
      <c r="L1944" s="0" t="n">
        <f aca="true">CRITBINOM(K1944,Coefficients!$B$31,RAND())</f>
        <v>0</v>
      </c>
      <c r="M1944" s="0" t="n">
        <f aca="true">CRITBINOM(MAX(0,J1944-K1944),1-Coefficients!$B$32,RAND())</f>
        <v>1</v>
      </c>
      <c r="N1944" s="0" t="n">
        <f aca="true">CRITBINOM(MAX(0,$C1944-J1944),MIN(0.6,Matchup!$C$40*SQRT($B1944)/(1-MIN(0.75,Matchup!$C$39*$B1944))),RAND())</f>
        <v>1</v>
      </c>
      <c r="O1944" s="0" t="n">
        <f aca="false">6*J1944+(J1944-K1944-M1944)+2*L1944+3*N1944</f>
        <v>23</v>
      </c>
      <c r="P1944" s="0" t="n">
        <f aca="true">RAND()</f>
        <v>0.761485250833528</v>
      </c>
      <c r="Q1944" s="0" t="n">
        <f aca="true">RAND()</f>
        <v>0.222090378237516</v>
      </c>
      <c r="R1944" s="0" t="n">
        <f aca="false">IF($I1944&lt;&gt;$O1944,0,IF(P1944&lt;Matchup!$B$39,7,IF(P1944&lt;Matchup!$B$39+Matchup!$B$40,3,0)))</f>
        <v>0</v>
      </c>
      <c r="S1944" s="0" t="n">
        <f aca="false">IF($I1944&lt;&gt;$O1944,0,IF(Q1944&lt;Matchup!$C$39,7,IF(Q1944&lt;Matchup!$C$39+Matchup!$C$40,3,0)))</f>
        <v>0</v>
      </c>
      <c r="T1944" s="0" t="n">
        <f aca="false">I1944+R1944</f>
        <v>31</v>
      </c>
      <c r="U1944" s="0" t="n">
        <f aca="false">O1944+S1944</f>
        <v>23</v>
      </c>
      <c r="V1944" s="0" t="n">
        <f aca="false">T1944-U1944</f>
        <v>8</v>
      </c>
      <c r="W1944" s="0" t="n">
        <f aca="false">T1944+U1944</f>
        <v>54</v>
      </c>
    </row>
    <row r="1945" customFormat="false" ht="15" hidden="false" customHeight="false" outlineLevel="0" collapsed="false">
      <c r="A1945" s="0" t="n">
        <v>1942</v>
      </c>
      <c r="B1945" s="0" t="n">
        <f aca="true">NORMINV(RAND(),1,Coefficients!$B$22)</f>
        <v>1.019526521968</v>
      </c>
      <c r="C1945" s="0" t="n">
        <f aca="true">MEDIAN(8,16,ROUND(NORMINV(RAND(),Coefficients!$B$20,Coefficients!$B$21),0))</f>
        <v>9</v>
      </c>
      <c r="D1945" s="0" t="n">
        <f aca="true">CRITBINOM($C1945,MIN(0.75,Matchup!$B$39*$B1945),RAND())</f>
        <v>2</v>
      </c>
      <c r="E1945" s="0" t="n">
        <f aca="true">CRITBINOM(D1945,Coefficients!$B$30,RAND())</f>
        <v>0</v>
      </c>
      <c r="F1945" s="0" t="n">
        <f aca="true">CRITBINOM(E1945,Coefficients!$B$31,RAND())</f>
        <v>0</v>
      </c>
      <c r="G1945" s="0" t="n">
        <f aca="true">CRITBINOM(MAX(0,D1945-E1945),1-Coefficients!$B$32,RAND())</f>
        <v>0</v>
      </c>
      <c r="H1945" s="0" t="n">
        <f aca="true">CRITBINOM(MAX(0,$C1945-D1945),MIN(0.6,Matchup!$B$40*SQRT($B1945)/(1-MIN(0.75,Matchup!$B$39*$B1945))),RAND())</f>
        <v>2</v>
      </c>
      <c r="I1945" s="0" t="n">
        <f aca="false">6*D1945+(D1945-E1945-G1945)+2*F1945+3*H1945</f>
        <v>20</v>
      </c>
      <c r="J1945" s="0" t="n">
        <f aca="true">CRITBINOM($C1945,MIN(0.75,Matchup!$C$39*$B1945),RAND())</f>
        <v>2</v>
      </c>
      <c r="K1945" s="0" t="n">
        <f aca="true">CRITBINOM(J1945,Coefficients!$B$30,RAND())</f>
        <v>0</v>
      </c>
      <c r="L1945" s="0" t="n">
        <f aca="true">CRITBINOM(K1945,Coefficients!$B$31,RAND())</f>
        <v>0</v>
      </c>
      <c r="M1945" s="0" t="n">
        <f aca="true">CRITBINOM(MAX(0,J1945-K1945),1-Coefficients!$B$32,RAND())</f>
        <v>0</v>
      </c>
      <c r="N1945" s="0" t="n">
        <f aca="true">CRITBINOM(MAX(0,$C1945-J1945),MIN(0.6,Matchup!$C$40*SQRT($B1945)/(1-MIN(0.75,Matchup!$C$39*$B1945))),RAND())</f>
        <v>1</v>
      </c>
      <c r="O1945" s="0" t="n">
        <f aca="false">6*J1945+(J1945-K1945-M1945)+2*L1945+3*N1945</f>
        <v>17</v>
      </c>
      <c r="P1945" s="0" t="n">
        <f aca="true">RAND()</f>
        <v>0.838962694402993</v>
      </c>
      <c r="Q1945" s="0" t="n">
        <f aca="true">RAND()</f>
        <v>0.896075714718392</v>
      </c>
      <c r="R1945" s="0" t="n">
        <f aca="false">IF($I1945&lt;&gt;$O1945,0,IF(P1945&lt;Matchup!$B$39,7,IF(P1945&lt;Matchup!$B$39+Matchup!$B$40,3,0)))</f>
        <v>0</v>
      </c>
      <c r="S1945" s="0" t="n">
        <f aca="false">IF($I1945&lt;&gt;$O1945,0,IF(Q1945&lt;Matchup!$C$39,7,IF(Q1945&lt;Matchup!$C$39+Matchup!$C$40,3,0)))</f>
        <v>0</v>
      </c>
      <c r="T1945" s="0" t="n">
        <f aca="false">I1945+R1945</f>
        <v>20</v>
      </c>
      <c r="U1945" s="0" t="n">
        <f aca="false">O1945+S1945</f>
        <v>17</v>
      </c>
      <c r="V1945" s="0" t="n">
        <f aca="false">T1945-U1945</f>
        <v>3</v>
      </c>
      <c r="W1945" s="0" t="n">
        <f aca="false">T1945+U1945</f>
        <v>37</v>
      </c>
    </row>
    <row r="1946" customFormat="false" ht="15" hidden="false" customHeight="false" outlineLevel="0" collapsed="false">
      <c r="A1946" s="0" t="n">
        <v>1943</v>
      </c>
      <c r="B1946" s="0" t="n">
        <f aca="true">NORMINV(RAND(),1,Coefficients!$B$22)</f>
        <v>1.04026564467336</v>
      </c>
      <c r="C1946" s="0" t="n">
        <f aca="true">MEDIAN(8,16,ROUND(NORMINV(RAND(),Coefficients!$B$20,Coefficients!$B$21),0))</f>
        <v>11</v>
      </c>
      <c r="D1946" s="0" t="n">
        <f aca="true">CRITBINOM($C1946,MIN(0.75,Matchup!$B$39*$B1946),RAND())</f>
        <v>2</v>
      </c>
      <c r="E1946" s="0" t="n">
        <f aca="true">CRITBINOM(D1946,Coefficients!$B$30,RAND())</f>
        <v>1</v>
      </c>
      <c r="F1946" s="0" t="n">
        <f aca="true">CRITBINOM(E1946,Coefficients!$B$31,RAND())</f>
        <v>1</v>
      </c>
      <c r="G1946" s="0" t="n">
        <f aca="true">CRITBINOM(MAX(0,D1946-E1946),1-Coefficients!$B$32,RAND())</f>
        <v>0</v>
      </c>
      <c r="H1946" s="0" t="n">
        <f aca="true">CRITBINOM(MAX(0,$C1946-D1946),MIN(0.6,Matchup!$B$40*SQRT($B1946)/(1-MIN(0.75,Matchup!$B$39*$B1946))),RAND())</f>
        <v>0</v>
      </c>
      <c r="I1946" s="0" t="n">
        <f aca="false">6*D1946+(D1946-E1946-G1946)+2*F1946+3*H1946</f>
        <v>15</v>
      </c>
      <c r="J1946" s="0" t="n">
        <f aca="true">CRITBINOM($C1946,MIN(0.75,Matchup!$C$39*$B1946),RAND())</f>
        <v>2</v>
      </c>
      <c r="K1946" s="0" t="n">
        <f aca="true">CRITBINOM(J1946,Coefficients!$B$30,RAND())</f>
        <v>1</v>
      </c>
      <c r="L1946" s="0" t="n">
        <f aca="true">CRITBINOM(K1946,Coefficients!$B$31,RAND())</f>
        <v>1</v>
      </c>
      <c r="M1946" s="0" t="n">
        <f aca="true">CRITBINOM(MAX(0,J1946-K1946),1-Coefficients!$B$32,RAND())</f>
        <v>0</v>
      </c>
      <c r="N1946" s="0" t="n">
        <f aca="true">CRITBINOM(MAX(0,$C1946-J1946),MIN(0.6,Matchup!$C$40*SQRT($B1946)/(1-MIN(0.75,Matchup!$C$39*$B1946))),RAND())</f>
        <v>4</v>
      </c>
      <c r="O1946" s="0" t="n">
        <f aca="false">6*J1946+(J1946-K1946-M1946)+2*L1946+3*N1946</f>
        <v>27</v>
      </c>
      <c r="P1946" s="0" t="n">
        <f aca="true">RAND()</f>
        <v>0.832380458135372</v>
      </c>
      <c r="Q1946" s="0" t="n">
        <f aca="true">RAND()</f>
        <v>0.786605524402882</v>
      </c>
      <c r="R1946" s="0" t="n">
        <f aca="false">IF($I1946&lt;&gt;$O1946,0,IF(P1946&lt;Matchup!$B$39,7,IF(P1946&lt;Matchup!$B$39+Matchup!$B$40,3,0)))</f>
        <v>0</v>
      </c>
      <c r="S1946" s="0" t="n">
        <f aca="false">IF($I1946&lt;&gt;$O1946,0,IF(Q1946&lt;Matchup!$C$39,7,IF(Q1946&lt;Matchup!$C$39+Matchup!$C$40,3,0)))</f>
        <v>0</v>
      </c>
      <c r="T1946" s="0" t="n">
        <f aca="false">I1946+R1946</f>
        <v>15</v>
      </c>
      <c r="U1946" s="0" t="n">
        <f aca="false">O1946+S1946</f>
        <v>27</v>
      </c>
      <c r="V1946" s="0" t="n">
        <f aca="false">T1946-U1946</f>
        <v>-12</v>
      </c>
      <c r="W1946" s="0" t="n">
        <f aca="false">T1946+U1946</f>
        <v>42</v>
      </c>
    </row>
    <row r="1947" customFormat="false" ht="15" hidden="false" customHeight="false" outlineLevel="0" collapsed="false">
      <c r="A1947" s="0" t="n">
        <v>1944</v>
      </c>
      <c r="B1947" s="0" t="n">
        <f aca="true">NORMINV(RAND(),1,Coefficients!$B$22)</f>
        <v>1.00292664680147</v>
      </c>
      <c r="C1947" s="0" t="n">
        <f aca="true">MEDIAN(8,16,ROUND(NORMINV(RAND(),Coefficients!$B$20,Coefficients!$B$21),0))</f>
        <v>13</v>
      </c>
      <c r="D1947" s="0" t="n">
        <f aca="true">CRITBINOM($C1947,MIN(0.75,Matchup!$B$39*$B1947),RAND())</f>
        <v>5</v>
      </c>
      <c r="E1947" s="0" t="n">
        <f aca="true">CRITBINOM(D1947,Coefficients!$B$30,RAND())</f>
        <v>0</v>
      </c>
      <c r="F1947" s="0" t="n">
        <f aca="true">CRITBINOM(E1947,Coefficients!$B$31,RAND())</f>
        <v>0</v>
      </c>
      <c r="G1947" s="0" t="n">
        <f aca="true">CRITBINOM(MAX(0,D1947-E1947),1-Coefficients!$B$32,RAND())</f>
        <v>1</v>
      </c>
      <c r="H1947" s="0" t="n">
        <f aca="true">CRITBINOM(MAX(0,$C1947-D1947),MIN(0.6,Matchup!$B$40*SQRT($B1947)/(1-MIN(0.75,Matchup!$B$39*$B1947))),RAND())</f>
        <v>1</v>
      </c>
      <c r="I1947" s="0" t="n">
        <f aca="false">6*D1947+(D1947-E1947-G1947)+2*F1947+3*H1947</f>
        <v>37</v>
      </c>
      <c r="J1947" s="0" t="n">
        <f aca="true">CRITBINOM($C1947,MIN(0.75,Matchup!$C$39*$B1947),RAND())</f>
        <v>4</v>
      </c>
      <c r="K1947" s="0" t="n">
        <f aca="true">CRITBINOM(J1947,Coefficients!$B$30,RAND())</f>
        <v>0</v>
      </c>
      <c r="L1947" s="0" t="n">
        <f aca="true">CRITBINOM(K1947,Coefficients!$B$31,RAND())</f>
        <v>0</v>
      </c>
      <c r="M1947" s="0" t="n">
        <f aca="true">CRITBINOM(MAX(0,J1947-K1947),1-Coefficients!$B$32,RAND())</f>
        <v>0</v>
      </c>
      <c r="N1947" s="0" t="n">
        <f aca="true">CRITBINOM(MAX(0,$C1947-J1947),MIN(0.6,Matchup!$C$40*SQRT($B1947)/(1-MIN(0.75,Matchup!$C$39*$B1947))),RAND())</f>
        <v>2</v>
      </c>
      <c r="O1947" s="0" t="n">
        <f aca="false">6*J1947+(J1947-K1947-M1947)+2*L1947+3*N1947</f>
        <v>34</v>
      </c>
      <c r="P1947" s="0" t="n">
        <f aca="true">RAND()</f>
        <v>0.50830301466643</v>
      </c>
      <c r="Q1947" s="0" t="n">
        <f aca="true">RAND()</f>
        <v>0.271332819524667</v>
      </c>
      <c r="R1947" s="0" t="n">
        <f aca="false">IF($I1947&lt;&gt;$O1947,0,IF(P1947&lt;Matchup!$B$39,7,IF(P1947&lt;Matchup!$B$39+Matchup!$B$40,3,0)))</f>
        <v>0</v>
      </c>
      <c r="S1947" s="0" t="n">
        <f aca="false">IF($I1947&lt;&gt;$O1947,0,IF(Q1947&lt;Matchup!$C$39,7,IF(Q1947&lt;Matchup!$C$39+Matchup!$C$40,3,0)))</f>
        <v>0</v>
      </c>
      <c r="T1947" s="0" t="n">
        <f aca="false">I1947+R1947</f>
        <v>37</v>
      </c>
      <c r="U1947" s="0" t="n">
        <f aca="false">O1947+S1947</f>
        <v>34</v>
      </c>
      <c r="V1947" s="0" t="n">
        <f aca="false">T1947-U1947</f>
        <v>3</v>
      </c>
      <c r="W1947" s="0" t="n">
        <f aca="false">T1947+U1947</f>
        <v>71</v>
      </c>
    </row>
    <row r="1948" customFormat="false" ht="15" hidden="false" customHeight="false" outlineLevel="0" collapsed="false">
      <c r="A1948" s="0" t="n">
        <v>1945</v>
      </c>
      <c r="B1948" s="0" t="n">
        <f aca="true">NORMINV(RAND(),1,Coefficients!$B$22)</f>
        <v>1.06171898745072</v>
      </c>
      <c r="C1948" s="0" t="n">
        <f aca="true">MEDIAN(8,16,ROUND(NORMINV(RAND(),Coefficients!$B$20,Coefficients!$B$21),0))</f>
        <v>9</v>
      </c>
      <c r="D1948" s="0" t="n">
        <f aca="true">CRITBINOM($C1948,MIN(0.75,Matchup!$B$39*$B1948),RAND())</f>
        <v>3</v>
      </c>
      <c r="E1948" s="0" t="n">
        <f aca="true">CRITBINOM(D1948,Coefficients!$B$30,RAND())</f>
        <v>0</v>
      </c>
      <c r="F1948" s="0" t="n">
        <f aca="true">CRITBINOM(E1948,Coefficients!$B$31,RAND())</f>
        <v>0</v>
      </c>
      <c r="G1948" s="0" t="n">
        <f aca="true">CRITBINOM(MAX(0,D1948-E1948),1-Coefficients!$B$32,RAND())</f>
        <v>0</v>
      </c>
      <c r="H1948" s="0" t="n">
        <f aca="true">CRITBINOM(MAX(0,$C1948-D1948),MIN(0.6,Matchup!$B$40*SQRT($B1948)/(1-MIN(0.75,Matchup!$B$39*$B1948))),RAND())</f>
        <v>0</v>
      </c>
      <c r="I1948" s="0" t="n">
        <f aca="false">6*D1948+(D1948-E1948-G1948)+2*F1948+3*H1948</f>
        <v>21</v>
      </c>
      <c r="J1948" s="0" t="n">
        <f aca="true">CRITBINOM($C1948,MIN(0.75,Matchup!$C$39*$B1948),RAND())</f>
        <v>4</v>
      </c>
      <c r="K1948" s="0" t="n">
        <f aca="true">CRITBINOM(J1948,Coefficients!$B$30,RAND())</f>
        <v>1</v>
      </c>
      <c r="L1948" s="0" t="n">
        <f aca="true">CRITBINOM(K1948,Coefficients!$B$31,RAND())</f>
        <v>0</v>
      </c>
      <c r="M1948" s="0" t="n">
        <f aca="true">CRITBINOM(MAX(0,J1948-K1948),1-Coefficients!$B$32,RAND())</f>
        <v>0</v>
      </c>
      <c r="N1948" s="0" t="n">
        <f aca="true">CRITBINOM(MAX(0,$C1948-J1948),MIN(0.6,Matchup!$C$40*SQRT($B1948)/(1-MIN(0.75,Matchup!$C$39*$B1948))),RAND())</f>
        <v>1</v>
      </c>
      <c r="O1948" s="0" t="n">
        <f aca="false">6*J1948+(J1948-K1948-M1948)+2*L1948+3*N1948</f>
        <v>30</v>
      </c>
      <c r="P1948" s="0" t="n">
        <f aca="true">RAND()</f>
        <v>0.323355493615005</v>
      </c>
      <c r="Q1948" s="0" t="n">
        <f aca="true">RAND()</f>
        <v>0.325145916636627</v>
      </c>
      <c r="R1948" s="0" t="n">
        <f aca="false">IF($I1948&lt;&gt;$O1948,0,IF(P1948&lt;Matchup!$B$39,7,IF(P1948&lt;Matchup!$B$39+Matchup!$B$40,3,0)))</f>
        <v>0</v>
      </c>
      <c r="S1948" s="0" t="n">
        <f aca="false">IF($I1948&lt;&gt;$O1948,0,IF(Q1948&lt;Matchup!$C$39,7,IF(Q1948&lt;Matchup!$C$39+Matchup!$C$40,3,0)))</f>
        <v>0</v>
      </c>
      <c r="T1948" s="0" t="n">
        <f aca="false">I1948+R1948</f>
        <v>21</v>
      </c>
      <c r="U1948" s="0" t="n">
        <f aca="false">O1948+S1948</f>
        <v>30</v>
      </c>
      <c r="V1948" s="0" t="n">
        <f aca="false">T1948-U1948</f>
        <v>-9</v>
      </c>
      <c r="W1948" s="0" t="n">
        <f aca="false">T1948+U1948</f>
        <v>51</v>
      </c>
    </row>
    <row r="1949" customFormat="false" ht="15" hidden="false" customHeight="false" outlineLevel="0" collapsed="false">
      <c r="A1949" s="0" t="n">
        <v>1946</v>
      </c>
      <c r="B1949" s="0" t="n">
        <f aca="true">NORMINV(RAND(),1,Coefficients!$B$22)</f>
        <v>0.910531858276967</v>
      </c>
      <c r="C1949" s="0" t="n">
        <f aca="true">MEDIAN(8,16,ROUND(NORMINV(RAND(),Coefficients!$B$20,Coefficients!$B$21),0))</f>
        <v>11</v>
      </c>
      <c r="D1949" s="0" t="n">
        <f aca="true">CRITBINOM($C1949,MIN(0.75,Matchup!$B$39*$B1949),RAND())</f>
        <v>2</v>
      </c>
      <c r="E1949" s="0" t="n">
        <f aca="true">CRITBINOM(D1949,Coefficients!$B$30,RAND())</f>
        <v>0</v>
      </c>
      <c r="F1949" s="0" t="n">
        <f aca="true">CRITBINOM(E1949,Coefficients!$B$31,RAND())</f>
        <v>0</v>
      </c>
      <c r="G1949" s="0" t="n">
        <f aca="true">CRITBINOM(MAX(0,D1949-E1949),1-Coefficients!$B$32,RAND())</f>
        <v>0</v>
      </c>
      <c r="H1949" s="0" t="n">
        <f aca="true">CRITBINOM(MAX(0,$C1949-D1949),MIN(0.6,Matchup!$B$40*SQRT($B1949)/(1-MIN(0.75,Matchup!$B$39*$B1949))),RAND())</f>
        <v>2</v>
      </c>
      <c r="I1949" s="0" t="n">
        <f aca="false">6*D1949+(D1949-E1949-G1949)+2*F1949+3*H1949</f>
        <v>20</v>
      </c>
      <c r="J1949" s="0" t="n">
        <f aca="true">CRITBINOM($C1949,MIN(0.75,Matchup!$C$39*$B1949),RAND())</f>
        <v>0</v>
      </c>
      <c r="K1949" s="0" t="n">
        <f aca="true">CRITBINOM(J1949,Coefficients!$B$30,RAND())</f>
        <v>0</v>
      </c>
      <c r="L1949" s="0" t="n">
        <f aca="true">CRITBINOM(K1949,Coefficients!$B$31,RAND())</f>
        <v>0</v>
      </c>
      <c r="M1949" s="0" t="n">
        <f aca="true">CRITBINOM(MAX(0,J1949-K1949),1-Coefficients!$B$32,RAND())</f>
        <v>0</v>
      </c>
      <c r="N1949" s="0" t="n">
        <f aca="true">CRITBINOM(MAX(0,$C1949-J1949),MIN(0.6,Matchup!$C$40*SQRT($B1949)/(1-MIN(0.75,Matchup!$C$39*$B1949))),RAND())</f>
        <v>2</v>
      </c>
      <c r="O1949" s="0" t="n">
        <f aca="false">6*J1949+(J1949-K1949-M1949)+2*L1949+3*N1949</f>
        <v>6</v>
      </c>
      <c r="P1949" s="0" t="n">
        <f aca="true">RAND()</f>
        <v>0.890275413136583</v>
      </c>
      <c r="Q1949" s="0" t="n">
        <f aca="true">RAND()</f>
        <v>0.571941473236646</v>
      </c>
      <c r="R1949" s="0" t="n">
        <f aca="false">IF($I1949&lt;&gt;$O1949,0,IF(P1949&lt;Matchup!$B$39,7,IF(P1949&lt;Matchup!$B$39+Matchup!$B$40,3,0)))</f>
        <v>0</v>
      </c>
      <c r="S1949" s="0" t="n">
        <f aca="false">IF($I1949&lt;&gt;$O1949,0,IF(Q1949&lt;Matchup!$C$39,7,IF(Q1949&lt;Matchup!$C$39+Matchup!$C$40,3,0)))</f>
        <v>0</v>
      </c>
      <c r="T1949" s="0" t="n">
        <f aca="false">I1949+R1949</f>
        <v>20</v>
      </c>
      <c r="U1949" s="0" t="n">
        <f aca="false">O1949+S1949</f>
        <v>6</v>
      </c>
      <c r="V1949" s="0" t="n">
        <f aca="false">T1949-U1949</f>
        <v>14</v>
      </c>
      <c r="W1949" s="0" t="n">
        <f aca="false">T1949+U1949</f>
        <v>26</v>
      </c>
    </row>
    <row r="1950" customFormat="false" ht="15" hidden="false" customHeight="false" outlineLevel="0" collapsed="false">
      <c r="A1950" s="0" t="n">
        <v>1947</v>
      </c>
      <c r="B1950" s="0" t="n">
        <f aca="true">NORMINV(RAND(),1,Coefficients!$B$22)</f>
        <v>0.856879583099192</v>
      </c>
      <c r="C1950" s="0" t="n">
        <f aca="true">MEDIAN(8,16,ROUND(NORMINV(RAND(),Coefficients!$B$20,Coefficients!$B$21),0))</f>
        <v>10</v>
      </c>
      <c r="D1950" s="0" t="n">
        <f aca="true">CRITBINOM($C1950,MIN(0.75,Matchup!$B$39*$B1950),RAND())</f>
        <v>4</v>
      </c>
      <c r="E1950" s="0" t="n">
        <f aca="true">CRITBINOM(D1950,Coefficients!$B$30,RAND())</f>
        <v>1</v>
      </c>
      <c r="F1950" s="0" t="n">
        <f aca="true">CRITBINOM(E1950,Coefficients!$B$31,RAND())</f>
        <v>0</v>
      </c>
      <c r="G1950" s="0" t="n">
        <f aca="true">CRITBINOM(MAX(0,D1950-E1950),1-Coefficients!$B$32,RAND())</f>
        <v>0</v>
      </c>
      <c r="H1950" s="0" t="n">
        <f aca="true">CRITBINOM(MAX(0,$C1950-D1950),MIN(0.6,Matchup!$B$40*SQRT($B1950)/(1-MIN(0.75,Matchup!$B$39*$B1950))),RAND())</f>
        <v>1</v>
      </c>
      <c r="I1950" s="0" t="n">
        <f aca="false">6*D1950+(D1950-E1950-G1950)+2*F1950+3*H1950</f>
        <v>30</v>
      </c>
      <c r="J1950" s="0" t="n">
        <f aca="true">CRITBINOM($C1950,MIN(0.75,Matchup!$C$39*$B1950),RAND())</f>
        <v>0</v>
      </c>
      <c r="K1950" s="0" t="n">
        <f aca="true">CRITBINOM(J1950,Coefficients!$B$30,RAND())</f>
        <v>0</v>
      </c>
      <c r="L1950" s="0" t="n">
        <f aca="true">CRITBINOM(K1950,Coefficients!$B$31,RAND())</f>
        <v>0</v>
      </c>
      <c r="M1950" s="0" t="n">
        <f aca="true">CRITBINOM(MAX(0,J1950-K1950),1-Coefficients!$B$32,RAND())</f>
        <v>0</v>
      </c>
      <c r="N1950" s="0" t="n">
        <f aca="true">CRITBINOM(MAX(0,$C1950-J1950),MIN(0.6,Matchup!$C$40*SQRT($B1950)/(1-MIN(0.75,Matchup!$C$39*$B1950))),RAND())</f>
        <v>2</v>
      </c>
      <c r="O1950" s="0" t="n">
        <f aca="false">6*J1950+(J1950-K1950-M1950)+2*L1950+3*N1950</f>
        <v>6</v>
      </c>
      <c r="P1950" s="0" t="n">
        <f aca="true">RAND()</f>
        <v>0.55641920943014</v>
      </c>
      <c r="Q1950" s="0" t="n">
        <f aca="true">RAND()</f>
        <v>0.286954030364901</v>
      </c>
      <c r="R1950" s="0" t="n">
        <f aca="false">IF($I1950&lt;&gt;$O1950,0,IF(P1950&lt;Matchup!$B$39,7,IF(P1950&lt;Matchup!$B$39+Matchup!$B$40,3,0)))</f>
        <v>0</v>
      </c>
      <c r="S1950" s="0" t="n">
        <f aca="false">IF($I1950&lt;&gt;$O1950,0,IF(Q1950&lt;Matchup!$C$39,7,IF(Q1950&lt;Matchup!$C$39+Matchup!$C$40,3,0)))</f>
        <v>0</v>
      </c>
      <c r="T1950" s="0" t="n">
        <f aca="false">I1950+R1950</f>
        <v>30</v>
      </c>
      <c r="U1950" s="0" t="n">
        <f aca="false">O1950+S1950</f>
        <v>6</v>
      </c>
      <c r="V1950" s="0" t="n">
        <f aca="false">T1950-U1950</f>
        <v>24</v>
      </c>
      <c r="W1950" s="0" t="n">
        <f aca="false">T1950+U1950</f>
        <v>36</v>
      </c>
    </row>
    <row r="1951" customFormat="false" ht="15" hidden="false" customHeight="false" outlineLevel="0" collapsed="false">
      <c r="A1951" s="0" t="n">
        <v>1948</v>
      </c>
      <c r="B1951" s="0" t="n">
        <f aca="true">NORMINV(RAND(),1,Coefficients!$B$22)</f>
        <v>1.05127196772543</v>
      </c>
      <c r="C1951" s="0" t="n">
        <f aca="true">MEDIAN(8,16,ROUND(NORMINV(RAND(),Coefficients!$B$20,Coefficients!$B$21),0))</f>
        <v>11</v>
      </c>
      <c r="D1951" s="0" t="n">
        <f aca="true">CRITBINOM($C1951,MIN(0.75,Matchup!$B$39*$B1951),RAND())</f>
        <v>0</v>
      </c>
      <c r="E1951" s="0" t="n">
        <f aca="true">CRITBINOM(D1951,Coefficients!$B$30,RAND())</f>
        <v>0</v>
      </c>
      <c r="F1951" s="0" t="n">
        <f aca="true">CRITBINOM(E1951,Coefficients!$B$31,RAND())</f>
        <v>0</v>
      </c>
      <c r="G1951" s="0" t="n">
        <f aca="true">CRITBINOM(MAX(0,D1951-E1951),1-Coefficients!$B$32,RAND())</f>
        <v>0</v>
      </c>
      <c r="H1951" s="0" t="n">
        <f aca="true">CRITBINOM(MAX(0,$C1951-D1951),MIN(0.6,Matchup!$B$40*SQRT($B1951)/(1-MIN(0.75,Matchup!$B$39*$B1951))),RAND())</f>
        <v>3</v>
      </c>
      <c r="I1951" s="0" t="n">
        <f aca="false">6*D1951+(D1951-E1951-G1951)+2*F1951+3*H1951</f>
        <v>9</v>
      </c>
      <c r="J1951" s="0" t="n">
        <f aca="true">CRITBINOM($C1951,MIN(0.75,Matchup!$C$39*$B1951),RAND())</f>
        <v>6</v>
      </c>
      <c r="K1951" s="0" t="n">
        <f aca="true">CRITBINOM(J1951,Coefficients!$B$30,RAND())</f>
        <v>1</v>
      </c>
      <c r="L1951" s="0" t="n">
        <f aca="true">CRITBINOM(K1951,Coefficients!$B$31,RAND())</f>
        <v>0</v>
      </c>
      <c r="M1951" s="0" t="n">
        <f aca="true">CRITBINOM(MAX(0,J1951-K1951),1-Coefficients!$B$32,RAND())</f>
        <v>0</v>
      </c>
      <c r="N1951" s="0" t="n">
        <f aca="true">CRITBINOM(MAX(0,$C1951-J1951),MIN(0.6,Matchup!$C$40*SQRT($B1951)/(1-MIN(0.75,Matchup!$C$39*$B1951))),RAND())</f>
        <v>1</v>
      </c>
      <c r="O1951" s="0" t="n">
        <f aca="false">6*J1951+(J1951-K1951-M1951)+2*L1951+3*N1951</f>
        <v>44</v>
      </c>
      <c r="P1951" s="0" t="n">
        <f aca="true">RAND()</f>
        <v>0.33383168707333</v>
      </c>
      <c r="Q1951" s="0" t="n">
        <f aca="true">RAND()</f>
        <v>0.346558009188551</v>
      </c>
      <c r="R1951" s="0" t="n">
        <f aca="false">IF($I1951&lt;&gt;$O1951,0,IF(P1951&lt;Matchup!$B$39,7,IF(P1951&lt;Matchup!$B$39+Matchup!$B$40,3,0)))</f>
        <v>0</v>
      </c>
      <c r="S1951" s="0" t="n">
        <f aca="false">IF($I1951&lt;&gt;$O1951,0,IF(Q1951&lt;Matchup!$C$39,7,IF(Q1951&lt;Matchup!$C$39+Matchup!$C$40,3,0)))</f>
        <v>0</v>
      </c>
      <c r="T1951" s="0" t="n">
        <f aca="false">I1951+R1951</f>
        <v>9</v>
      </c>
      <c r="U1951" s="0" t="n">
        <f aca="false">O1951+S1951</f>
        <v>44</v>
      </c>
      <c r="V1951" s="0" t="n">
        <f aca="false">T1951-U1951</f>
        <v>-35</v>
      </c>
      <c r="W1951" s="0" t="n">
        <f aca="false">T1951+U1951</f>
        <v>53</v>
      </c>
    </row>
    <row r="1952" customFormat="false" ht="15" hidden="false" customHeight="false" outlineLevel="0" collapsed="false">
      <c r="A1952" s="0" t="n">
        <v>1949</v>
      </c>
      <c r="B1952" s="0" t="n">
        <f aca="true">NORMINV(RAND(),1,Coefficients!$B$22)</f>
        <v>1.0455966213651</v>
      </c>
      <c r="C1952" s="0" t="n">
        <f aca="true">MEDIAN(8,16,ROUND(NORMINV(RAND(),Coefficients!$B$20,Coefficients!$B$21),0))</f>
        <v>10</v>
      </c>
      <c r="D1952" s="0" t="n">
        <f aca="true">CRITBINOM($C1952,MIN(0.75,Matchup!$B$39*$B1952),RAND())</f>
        <v>1</v>
      </c>
      <c r="E1952" s="0" t="n">
        <f aca="true">CRITBINOM(D1952,Coefficients!$B$30,RAND())</f>
        <v>0</v>
      </c>
      <c r="F1952" s="0" t="n">
        <f aca="true">CRITBINOM(E1952,Coefficients!$B$31,RAND())</f>
        <v>0</v>
      </c>
      <c r="G1952" s="0" t="n">
        <f aca="true">CRITBINOM(MAX(0,D1952-E1952),1-Coefficients!$B$32,RAND())</f>
        <v>0</v>
      </c>
      <c r="H1952" s="0" t="n">
        <f aca="true">CRITBINOM(MAX(0,$C1952-D1952),MIN(0.6,Matchup!$B$40*SQRT($B1952)/(1-MIN(0.75,Matchup!$B$39*$B1952))),RAND())</f>
        <v>1</v>
      </c>
      <c r="I1952" s="0" t="n">
        <f aca="false">6*D1952+(D1952-E1952-G1952)+2*F1952+3*H1952</f>
        <v>10</v>
      </c>
      <c r="J1952" s="0" t="n">
        <f aca="true">CRITBINOM($C1952,MIN(0.75,Matchup!$C$39*$B1952),RAND())</f>
        <v>1</v>
      </c>
      <c r="K1952" s="0" t="n">
        <f aca="true">CRITBINOM(J1952,Coefficients!$B$30,RAND())</f>
        <v>0</v>
      </c>
      <c r="L1952" s="0" t="n">
        <f aca="true">CRITBINOM(K1952,Coefficients!$B$31,RAND())</f>
        <v>0</v>
      </c>
      <c r="M1952" s="0" t="n">
        <f aca="true">CRITBINOM(MAX(0,J1952-K1952),1-Coefficients!$B$32,RAND())</f>
        <v>0</v>
      </c>
      <c r="N1952" s="0" t="n">
        <f aca="true">CRITBINOM(MAX(0,$C1952-J1952),MIN(0.6,Matchup!$C$40*SQRT($B1952)/(1-MIN(0.75,Matchup!$C$39*$B1952))),RAND())</f>
        <v>4</v>
      </c>
      <c r="O1952" s="0" t="n">
        <f aca="false">6*J1952+(J1952-K1952-M1952)+2*L1952+3*N1952</f>
        <v>19</v>
      </c>
      <c r="P1952" s="0" t="n">
        <f aca="true">RAND()</f>
        <v>0.033782911391109</v>
      </c>
      <c r="Q1952" s="0" t="n">
        <f aca="true">RAND()</f>
        <v>0.53256097555794</v>
      </c>
      <c r="R1952" s="0" t="n">
        <f aca="false">IF($I1952&lt;&gt;$O1952,0,IF(P1952&lt;Matchup!$B$39,7,IF(P1952&lt;Matchup!$B$39+Matchup!$B$40,3,0)))</f>
        <v>0</v>
      </c>
      <c r="S1952" s="0" t="n">
        <f aca="false">IF($I1952&lt;&gt;$O1952,0,IF(Q1952&lt;Matchup!$C$39,7,IF(Q1952&lt;Matchup!$C$39+Matchup!$C$40,3,0)))</f>
        <v>0</v>
      </c>
      <c r="T1952" s="0" t="n">
        <f aca="false">I1952+R1952</f>
        <v>10</v>
      </c>
      <c r="U1952" s="0" t="n">
        <f aca="false">O1952+S1952</f>
        <v>19</v>
      </c>
      <c r="V1952" s="0" t="n">
        <f aca="false">T1952-U1952</f>
        <v>-9</v>
      </c>
      <c r="W1952" s="0" t="n">
        <f aca="false">T1952+U1952</f>
        <v>29</v>
      </c>
    </row>
    <row r="1953" customFormat="false" ht="15" hidden="false" customHeight="false" outlineLevel="0" collapsed="false">
      <c r="A1953" s="0" t="n">
        <v>1950</v>
      </c>
      <c r="B1953" s="0" t="n">
        <f aca="true">NORMINV(RAND(),1,Coefficients!$B$22)</f>
        <v>1.02958126773031</v>
      </c>
      <c r="C1953" s="0" t="n">
        <f aca="true">MEDIAN(8,16,ROUND(NORMINV(RAND(),Coefficients!$B$20,Coefficients!$B$21),0))</f>
        <v>12</v>
      </c>
      <c r="D1953" s="0" t="n">
        <f aca="true">CRITBINOM($C1953,MIN(0.75,Matchup!$B$39*$B1953),RAND())</f>
        <v>3</v>
      </c>
      <c r="E1953" s="0" t="n">
        <f aca="true">CRITBINOM(D1953,Coefficients!$B$30,RAND())</f>
        <v>1</v>
      </c>
      <c r="F1953" s="0" t="n">
        <f aca="true">CRITBINOM(E1953,Coefficients!$B$31,RAND())</f>
        <v>1</v>
      </c>
      <c r="G1953" s="0" t="n">
        <f aca="true">CRITBINOM(MAX(0,D1953-E1953),1-Coefficients!$B$32,RAND())</f>
        <v>0</v>
      </c>
      <c r="H1953" s="0" t="n">
        <f aca="true">CRITBINOM(MAX(0,$C1953-D1953),MIN(0.6,Matchup!$B$40*SQRT($B1953)/(1-MIN(0.75,Matchup!$B$39*$B1953))),RAND())</f>
        <v>2</v>
      </c>
      <c r="I1953" s="0" t="n">
        <f aca="false">6*D1953+(D1953-E1953-G1953)+2*F1953+3*H1953</f>
        <v>28</v>
      </c>
      <c r="J1953" s="0" t="n">
        <f aca="true">CRITBINOM($C1953,MIN(0.75,Matchup!$C$39*$B1953),RAND())</f>
        <v>4</v>
      </c>
      <c r="K1953" s="0" t="n">
        <f aca="true">CRITBINOM(J1953,Coefficients!$B$30,RAND())</f>
        <v>0</v>
      </c>
      <c r="L1953" s="0" t="n">
        <f aca="true">CRITBINOM(K1953,Coefficients!$B$31,RAND())</f>
        <v>0</v>
      </c>
      <c r="M1953" s="0" t="n">
        <f aca="true">CRITBINOM(MAX(0,J1953-K1953),1-Coefficients!$B$32,RAND())</f>
        <v>0</v>
      </c>
      <c r="N1953" s="0" t="n">
        <f aca="true">CRITBINOM(MAX(0,$C1953-J1953),MIN(0.6,Matchup!$C$40*SQRT($B1953)/(1-MIN(0.75,Matchup!$C$39*$B1953))),RAND())</f>
        <v>2</v>
      </c>
      <c r="O1953" s="0" t="n">
        <f aca="false">6*J1953+(J1953-K1953-M1953)+2*L1953+3*N1953</f>
        <v>34</v>
      </c>
      <c r="P1953" s="0" t="n">
        <f aca="true">RAND()</f>
        <v>0.322421184243599</v>
      </c>
      <c r="Q1953" s="0" t="n">
        <f aca="true">RAND()</f>
        <v>0.589898502983892</v>
      </c>
      <c r="R1953" s="0" t="n">
        <f aca="false">IF($I1953&lt;&gt;$O1953,0,IF(P1953&lt;Matchup!$B$39,7,IF(P1953&lt;Matchup!$B$39+Matchup!$B$40,3,0)))</f>
        <v>0</v>
      </c>
      <c r="S1953" s="0" t="n">
        <f aca="false">IF($I1953&lt;&gt;$O1953,0,IF(Q1953&lt;Matchup!$C$39,7,IF(Q1953&lt;Matchup!$C$39+Matchup!$C$40,3,0)))</f>
        <v>0</v>
      </c>
      <c r="T1953" s="0" t="n">
        <f aca="false">I1953+R1953</f>
        <v>28</v>
      </c>
      <c r="U1953" s="0" t="n">
        <f aca="false">O1953+S1953</f>
        <v>34</v>
      </c>
      <c r="V1953" s="0" t="n">
        <f aca="false">T1953-U1953</f>
        <v>-6</v>
      </c>
      <c r="W1953" s="0" t="n">
        <f aca="false">T1953+U1953</f>
        <v>62</v>
      </c>
    </row>
    <row r="1954" customFormat="false" ht="15" hidden="false" customHeight="false" outlineLevel="0" collapsed="false">
      <c r="A1954" s="0" t="n">
        <v>1951</v>
      </c>
      <c r="B1954" s="0" t="n">
        <f aca="true">NORMINV(RAND(),1,Coefficients!$B$22)</f>
        <v>1.12962709332631</v>
      </c>
      <c r="C1954" s="0" t="n">
        <f aca="true">MEDIAN(8,16,ROUND(NORMINV(RAND(),Coefficients!$B$20,Coefficients!$B$21),0))</f>
        <v>11</v>
      </c>
      <c r="D1954" s="0" t="n">
        <f aca="true">CRITBINOM($C1954,MIN(0.75,Matchup!$B$39*$B1954),RAND())</f>
        <v>4</v>
      </c>
      <c r="E1954" s="0" t="n">
        <f aca="true">CRITBINOM(D1954,Coefficients!$B$30,RAND())</f>
        <v>0</v>
      </c>
      <c r="F1954" s="0" t="n">
        <f aca="true">CRITBINOM(E1954,Coefficients!$B$31,RAND())</f>
        <v>0</v>
      </c>
      <c r="G1954" s="0" t="n">
        <f aca="true">CRITBINOM(MAX(0,D1954-E1954),1-Coefficients!$B$32,RAND())</f>
        <v>0</v>
      </c>
      <c r="H1954" s="0" t="n">
        <f aca="true">CRITBINOM(MAX(0,$C1954-D1954),MIN(0.6,Matchup!$B$40*SQRT($B1954)/(1-MIN(0.75,Matchup!$B$39*$B1954))),RAND())</f>
        <v>1</v>
      </c>
      <c r="I1954" s="0" t="n">
        <f aca="false">6*D1954+(D1954-E1954-G1954)+2*F1954+3*H1954</f>
        <v>31</v>
      </c>
      <c r="J1954" s="0" t="n">
        <f aca="true">CRITBINOM($C1954,MIN(0.75,Matchup!$C$39*$B1954),RAND())</f>
        <v>3</v>
      </c>
      <c r="K1954" s="0" t="n">
        <f aca="true">CRITBINOM(J1954,Coefficients!$B$30,RAND())</f>
        <v>0</v>
      </c>
      <c r="L1954" s="0" t="n">
        <f aca="true">CRITBINOM(K1954,Coefficients!$B$31,RAND())</f>
        <v>0</v>
      </c>
      <c r="M1954" s="0" t="n">
        <f aca="true">CRITBINOM(MAX(0,J1954-K1954),1-Coefficients!$B$32,RAND())</f>
        <v>0</v>
      </c>
      <c r="N1954" s="0" t="n">
        <f aca="true">CRITBINOM(MAX(0,$C1954-J1954),MIN(0.6,Matchup!$C$40*SQRT($B1954)/(1-MIN(0.75,Matchup!$C$39*$B1954))),RAND())</f>
        <v>1</v>
      </c>
      <c r="O1954" s="0" t="n">
        <f aca="false">6*J1954+(J1954-K1954-M1954)+2*L1954+3*N1954</f>
        <v>24</v>
      </c>
      <c r="P1954" s="0" t="n">
        <f aca="true">RAND()</f>
        <v>0.887551627285693</v>
      </c>
      <c r="Q1954" s="0" t="n">
        <f aca="true">RAND()</f>
        <v>0.483119394884913</v>
      </c>
      <c r="R1954" s="0" t="n">
        <f aca="false">IF($I1954&lt;&gt;$O1954,0,IF(P1954&lt;Matchup!$B$39,7,IF(P1954&lt;Matchup!$B$39+Matchup!$B$40,3,0)))</f>
        <v>0</v>
      </c>
      <c r="S1954" s="0" t="n">
        <f aca="false">IF($I1954&lt;&gt;$O1954,0,IF(Q1954&lt;Matchup!$C$39,7,IF(Q1954&lt;Matchup!$C$39+Matchup!$C$40,3,0)))</f>
        <v>0</v>
      </c>
      <c r="T1954" s="0" t="n">
        <f aca="false">I1954+R1954</f>
        <v>31</v>
      </c>
      <c r="U1954" s="0" t="n">
        <f aca="false">O1954+S1954</f>
        <v>24</v>
      </c>
      <c r="V1954" s="0" t="n">
        <f aca="false">T1954-U1954</f>
        <v>7</v>
      </c>
      <c r="W1954" s="0" t="n">
        <f aca="false">T1954+U1954</f>
        <v>55</v>
      </c>
    </row>
    <row r="1955" customFormat="false" ht="15" hidden="false" customHeight="false" outlineLevel="0" collapsed="false">
      <c r="A1955" s="0" t="n">
        <v>1952</v>
      </c>
      <c r="B1955" s="0" t="n">
        <f aca="true">NORMINV(RAND(),1,Coefficients!$B$22)</f>
        <v>1.04003489620428</v>
      </c>
      <c r="C1955" s="0" t="n">
        <f aca="true">MEDIAN(8,16,ROUND(NORMINV(RAND(),Coefficients!$B$20,Coefficients!$B$21),0))</f>
        <v>9</v>
      </c>
      <c r="D1955" s="0" t="n">
        <f aca="true">CRITBINOM($C1955,MIN(0.75,Matchup!$B$39*$B1955),RAND())</f>
        <v>2</v>
      </c>
      <c r="E1955" s="0" t="n">
        <f aca="true">CRITBINOM(D1955,Coefficients!$B$30,RAND())</f>
        <v>0</v>
      </c>
      <c r="F1955" s="0" t="n">
        <f aca="true">CRITBINOM(E1955,Coefficients!$B$31,RAND())</f>
        <v>0</v>
      </c>
      <c r="G1955" s="0" t="n">
        <f aca="true">CRITBINOM(MAX(0,D1955-E1955),1-Coefficients!$B$32,RAND())</f>
        <v>0</v>
      </c>
      <c r="H1955" s="0" t="n">
        <f aca="true">CRITBINOM(MAX(0,$C1955-D1955),MIN(0.6,Matchup!$B$40*SQRT($B1955)/(1-MIN(0.75,Matchup!$B$39*$B1955))),RAND())</f>
        <v>1</v>
      </c>
      <c r="I1955" s="0" t="n">
        <f aca="false">6*D1955+(D1955-E1955-G1955)+2*F1955+3*H1955</f>
        <v>17</v>
      </c>
      <c r="J1955" s="0" t="n">
        <f aca="true">CRITBINOM($C1955,MIN(0.75,Matchup!$C$39*$B1955),RAND())</f>
        <v>3</v>
      </c>
      <c r="K1955" s="0" t="n">
        <f aca="true">CRITBINOM(J1955,Coefficients!$B$30,RAND())</f>
        <v>0</v>
      </c>
      <c r="L1955" s="0" t="n">
        <f aca="true">CRITBINOM(K1955,Coefficients!$B$31,RAND())</f>
        <v>0</v>
      </c>
      <c r="M1955" s="0" t="n">
        <f aca="true">CRITBINOM(MAX(0,J1955-K1955),1-Coefficients!$B$32,RAND())</f>
        <v>0</v>
      </c>
      <c r="N1955" s="0" t="n">
        <f aca="true">CRITBINOM(MAX(0,$C1955-J1955),MIN(0.6,Matchup!$C$40*SQRT($B1955)/(1-MIN(0.75,Matchup!$C$39*$B1955))),RAND())</f>
        <v>3</v>
      </c>
      <c r="O1955" s="0" t="n">
        <f aca="false">6*J1955+(J1955-K1955-M1955)+2*L1955+3*N1955</f>
        <v>30</v>
      </c>
      <c r="P1955" s="0" t="n">
        <f aca="true">RAND()</f>
        <v>0.922912187845723</v>
      </c>
      <c r="Q1955" s="0" t="n">
        <f aca="true">RAND()</f>
        <v>0.887423713448122</v>
      </c>
      <c r="R1955" s="0" t="n">
        <f aca="false">IF($I1955&lt;&gt;$O1955,0,IF(P1955&lt;Matchup!$B$39,7,IF(P1955&lt;Matchup!$B$39+Matchup!$B$40,3,0)))</f>
        <v>0</v>
      </c>
      <c r="S1955" s="0" t="n">
        <f aca="false">IF($I1955&lt;&gt;$O1955,0,IF(Q1955&lt;Matchup!$C$39,7,IF(Q1955&lt;Matchup!$C$39+Matchup!$C$40,3,0)))</f>
        <v>0</v>
      </c>
      <c r="T1955" s="0" t="n">
        <f aca="false">I1955+R1955</f>
        <v>17</v>
      </c>
      <c r="U1955" s="0" t="n">
        <f aca="false">O1955+S1955</f>
        <v>30</v>
      </c>
      <c r="V1955" s="0" t="n">
        <f aca="false">T1955-U1955</f>
        <v>-13</v>
      </c>
      <c r="W1955" s="0" t="n">
        <f aca="false">T1955+U1955</f>
        <v>47</v>
      </c>
    </row>
    <row r="1956" customFormat="false" ht="15" hidden="false" customHeight="false" outlineLevel="0" collapsed="false">
      <c r="A1956" s="0" t="n">
        <v>1953</v>
      </c>
      <c r="B1956" s="0" t="n">
        <f aca="true">NORMINV(RAND(),1,Coefficients!$B$22)</f>
        <v>0.860361780231808</v>
      </c>
      <c r="C1956" s="0" t="n">
        <f aca="true">MEDIAN(8,16,ROUND(NORMINV(RAND(),Coefficients!$B$20,Coefficients!$B$21),0))</f>
        <v>12</v>
      </c>
      <c r="D1956" s="0" t="n">
        <f aca="true">CRITBINOM($C1956,MIN(0.75,Matchup!$B$39*$B1956),RAND())</f>
        <v>5</v>
      </c>
      <c r="E1956" s="0" t="n">
        <f aca="true">CRITBINOM(D1956,Coefficients!$B$30,RAND())</f>
        <v>1</v>
      </c>
      <c r="F1956" s="0" t="n">
        <f aca="true">CRITBINOM(E1956,Coefficients!$B$31,RAND())</f>
        <v>1</v>
      </c>
      <c r="G1956" s="0" t="n">
        <f aca="true">CRITBINOM(MAX(0,D1956-E1956),1-Coefficients!$B$32,RAND())</f>
        <v>1</v>
      </c>
      <c r="H1956" s="0" t="n">
        <f aca="true">CRITBINOM(MAX(0,$C1956-D1956),MIN(0.6,Matchup!$B$40*SQRT($B1956)/(1-MIN(0.75,Matchup!$B$39*$B1956))),RAND())</f>
        <v>1</v>
      </c>
      <c r="I1956" s="0" t="n">
        <f aca="false">6*D1956+(D1956-E1956-G1956)+2*F1956+3*H1956</f>
        <v>38</v>
      </c>
      <c r="J1956" s="0" t="n">
        <f aca="true">CRITBINOM($C1956,MIN(0.75,Matchup!$C$39*$B1956),RAND())</f>
        <v>2</v>
      </c>
      <c r="K1956" s="0" t="n">
        <f aca="true">CRITBINOM(J1956,Coefficients!$B$30,RAND())</f>
        <v>0</v>
      </c>
      <c r="L1956" s="0" t="n">
        <f aca="true">CRITBINOM(K1956,Coefficients!$B$31,RAND())</f>
        <v>0</v>
      </c>
      <c r="M1956" s="0" t="n">
        <f aca="true">CRITBINOM(MAX(0,J1956-K1956),1-Coefficients!$B$32,RAND())</f>
        <v>0</v>
      </c>
      <c r="N1956" s="0" t="n">
        <f aca="true">CRITBINOM(MAX(0,$C1956-J1956),MIN(0.6,Matchup!$C$40*SQRT($B1956)/(1-MIN(0.75,Matchup!$C$39*$B1956))),RAND())</f>
        <v>2</v>
      </c>
      <c r="O1956" s="0" t="n">
        <f aca="false">6*J1956+(J1956-K1956-M1956)+2*L1956+3*N1956</f>
        <v>20</v>
      </c>
      <c r="P1956" s="0" t="n">
        <f aca="true">RAND()</f>
        <v>0.109111649528918</v>
      </c>
      <c r="Q1956" s="0" t="n">
        <f aca="true">RAND()</f>
        <v>0.609895872731308</v>
      </c>
      <c r="R1956" s="0" t="n">
        <f aca="false">IF($I1956&lt;&gt;$O1956,0,IF(P1956&lt;Matchup!$B$39,7,IF(P1956&lt;Matchup!$B$39+Matchup!$B$40,3,0)))</f>
        <v>0</v>
      </c>
      <c r="S1956" s="0" t="n">
        <f aca="false">IF($I1956&lt;&gt;$O1956,0,IF(Q1956&lt;Matchup!$C$39,7,IF(Q1956&lt;Matchup!$C$39+Matchup!$C$40,3,0)))</f>
        <v>0</v>
      </c>
      <c r="T1956" s="0" t="n">
        <f aca="false">I1956+R1956</f>
        <v>38</v>
      </c>
      <c r="U1956" s="0" t="n">
        <f aca="false">O1956+S1956</f>
        <v>20</v>
      </c>
      <c r="V1956" s="0" t="n">
        <f aca="false">T1956-U1956</f>
        <v>18</v>
      </c>
      <c r="W1956" s="0" t="n">
        <f aca="false">T1956+U1956</f>
        <v>58</v>
      </c>
    </row>
    <row r="1957" customFormat="false" ht="15" hidden="false" customHeight="false" outlineLevel="0" collapsed="false">
      <c r="A1957" s="0" t="n">
        <v>1954</v>
      </c>
      <c r="B1957" s="0" t="n">
        <f aca="true">NORMINV(RAND(),1,Coefficients!$B$22)</f>
        <v>0.979865610503</v>
      </c>
      <c r="C1957" s="0" t="n">
        <f aca="true">MEDIAN(8,16,ROUND(NORMINV(RAND(),Coefficients!$B$20,Coefficients!$B$21),0))</f>
        <v>11</v>
      </c>
      <c r="D1957" s="0" t="n">
        <f aca="true">CRITBINOM($C1957,MIN(0.75,Matchup!$B$39*$B1957),RAND())</f>
        <v>3</v>
      </c>
      <c r="E1957" s="0" t="n">
        <f aca="true">CRITBINOM(D1957,Coefficients!$B$30,RAND())</f>
        <v>1</v>
      </c>
      <c r="F1957" s="0" t="n">
        <f aca="true">CRITBINOM(E1957,Coefficients!$B$31,RAND())</f>
        <v>0</v>
      </c>
      <c r="G1957" s="0" t="n">
        <f aca="true">CRITBINOM(MAX(0,D1957-E1957),1-Coefficients!$B$32,RAND())</f>
        <v>0</v>
      </c>
      <c r="H1957" s="0" t="n">
        <f aca="true">CRITBINOM(MAX(0,$C1957-D1957),MIN(0.6,Matchup!$B$40*SQRT($B1957)/(1-MIN(0.75,Matchup!$B$39*$B1957))),RAND())</f>
        <v>0</v>
      </c>
      <c r="I1957" s="0" t="n">
        <f aca="false">6*D1957+(D1957-E1957-G1957)+2*F1957+3*H1957</f>
        <v>20</v>
      </c>
      <c r="J1957" s="0" t="n">
        <f aca="true">CRITBINOM($C1957,MIN(0.75,Matchup!$C$39*$B1957),RAND())</f>
        <v>6</v>
      </c>
      <c r="K1957" s="0" t="n">
        <f aca="true">CRITBINOM(J1957,Coefficients!$B$30,RAND())</f>
        <v>0</v>
      </c>
      <c r="L1957" s="0" t="n">
        <f aca="true">CRITBINOM(K1957,Coefficients!$B$31,RAND())</f>
        <v>0</v>
      </c>
      <c r="M1957" s="0" t="n">
        <f aca="true">CRITBINOM(MAX(0,J1957-K1957),1-Coefficients!$B$32,RAND())</f>
        <v>0</v>
      </c>
      <c r="N1957" s="0" t="n">
        <f aca="true">CRITBINOM(MAX(0,$C1957-J1957),MIN(0.6,Matchup!$C$40*SQRT($B1957)/(1-MIN(0.75,Matchup!$C$39*$B1957))),RAND())</f>
        <v>1</v>
      </c>
      <c r="O1957" s="0" t="n">
        <f aca="false">6*J1957+(J1957-K1957-M1957)+2*L1957+3*N1957</f>
        <v>45</v>
      </c>
      <c r="P1957" s="0" t="n">
        <f aca="true">RAND()</f>
        <v>0.92067481277936</v>
      </c>
      <c r="Q1957" s="0" t="n">
        <f aca="true">RAND()</f>
        <v>0.725878165760286</v>
      </c>
      <c r="R1957" s="0" t="n">
        <f aca="false">IF($I1957&lt;&gt;$O1957,0,IF(P1957&lt;Matchup!$B$39,7,IF(P1957&lt;Matchup!$B$39+Matchup!$B$40,3,0)))</f>
        <v>0</v>
      </c>
      <c r="S1957" s="0" t="n">
        <f aca="false">IF($I1957&lt;&gt;$O1957,0,IF(Q1957&lt;Matchup!$C$39,7,IF(Q1957&lt;Matchup!$C$39+Matchup!$C$40,3,0)))</f>
        <v>0</v>
      </c>
      <c r="T1957" s="0" t="n">
        <f aca="false">I1957+R1957</f>
        <v>20</v>
      </c>
      <c r="U1957" s="0" t="n">
        <f aca="false">O1957+S1957</f>
        <v>45</v>
      </c>
      <c r="V1957" s="0" t="n">
        <f aca="false">T1957-U1957</f>
        <v>-25</v>
      </c>
      <c r="W1957" s="0" t="n">
        <f aca="false">T1957+U1957</f>
        <v>65</v>
      </c>
    </row>
    <row r="1958" customFormat="false" ht="15" hidden="false" customHeight="false" outlineLevel="0" collapsed="false">
      <c r="A1958" s="0" t="n">
        <v>1955</v>
      </c>
      <c r="B1958" s="0" t="n">
        <f aca="true">NORMINV(RAND(),1,Coefficients!$B$22)</f>
        <v>1.03767660026782</v>
      </c>
      <c r="C1958" s="0" t="n">
        <f aca="true">MEDIAN(8,16,ROUND(NORMINV(RAND(),Coefficients!$B$20,Coefficients!$B$21),0))</f>
        <v>12</v>
      </c>
      <c r="D1958" s="0" t="n">
        <f aca="true">CRITBINOM($C1958,MIN(0.75,Matchup!$B$39*$B1958),RAND())</f>
        <v>2</v>
      </c>
      <c r="E1958" s="0" t="n">
        <f aca="true">CRITBINOM(D1958,Coefficients!$B$30,RAND())</f>
        <v>0</v>
      </c>
      <c r="F1958" s="0" t="n">
        <f aca="true">CRITBINOM(E1958,Coefficients!$B$31,RAND())</f>
        <v>0</v>
      </c>
      <c r="G1958" s="0" t="n">
        <f aca="true">CRITBINOM(MAX(0,D1958-E1958),1-Coefficients!$B$32,RAND())</f>
        <v>0</v>
      </c>
      <c r="H1958" s="0" t="n">
        <f aca="true">CRITBINOM(MAX(0,$C1958-D1958),MIN(0.6,Matchup!$B$40*SQRT($B1958)/(1-MIN(0.75,Matchup!$B$39*$B1958))),RAND())</f>
        <v>0</v>
      </c>
      <c r="I1958" s="0" t="n">
        <f aca="false">6*D1958+(D1958-E1958-G1958)+2*F1958+3*H1958</f>
        <v>14</v>
      </c>
      <c r="J1958" s="0" t="n">
        <f aca="true">CRITBINOM($C1958,MIN(0.75,Matchup!$C$39*$B1958),RAND())</f>
        <v>2</v>
      </c>
      <c r="K1958" s="0" t="n">
        <f aca="true">CRITBINOM(J1958,Coefficients!$B$30,RAND())</f>
        <v>0</v>
      </c>
      <c r="L1958" s="0" t="n">
        <f aca="true">CRITBINOM(K1958,Coefficients!$B$31,RAND())</f>
        <v>0</v>
      </c>
      <c r="M1958" s="0" t="n">
        <f aca="true">CRITBINOM(MAX(0,J1958-K1958),1-Coefficients!$B$32,RAND())</f>
        <v>0</v>
      </c>
      <c r="N1958" s="0" t="n">
        <f aca="true">CRITBINOM(MAX(0,$C1958-J1958),MIN(0.6,Matchup!$C$40*SQRT($B1958)/(1-MIN(0.75,Matchup!$C$39*$B1958))),RAND())</f>
        <v>2</v>
      </c>
      <c r="O1958" s="0" t="n">
        <f aca="false">6*J1958+(J1958-K1958-M1958)+2*L1958+3*N1958</f>
        <v>20</v>
      </c>
      <c r="P1958" s="0" t="n">
        <f aca="true">RAND()</f>
        <v>0.0714993526942352</v>
      </c>
      <c r="Q1958" s="0" t="n">
        <f aca="true">RAND()</f>
        <v>0.921081865202096</v>
      </c>
      <c r="R1958" s="0" t="n">
        <f aca="false">IF($I1958&lt;&gt;$O1958,0,IF(P1958&lt;Matchup!$B$39,7,IF(P1958&lt;Matchup!$B$39+Matchup!$B$40,3,0)))</f>
        <v>0</v>
      </c>
      <c r="S1958" s="0" t="n">
        <f aca="false">IF($I1958&lt;&gt;$O1958,0,IF(Q1958&lt;Matchup!$C$39,7,IF(Q1958&lt;Matchup!$C$39+Matchup!$C$40,3,0)))</f>
        <v>0</v>
      </c>
      <c r="T1958" s="0" t="n">
        <f aca="false">I1958+R1958</f>
        <v>14</v>
      </c>
      <c r="U1958" s="0" t="n">
        <f aca="false">O1958+S1958</f>
        <v>20</v>
      </c>
      <c r="V1958" s="0" t="n">
        <f aca="false">T1958-U1958</f>
        <v>-6</v>
      </c>
      <c r="W1958" s="0" t="n">
        <f aca="false">T1958+U1958</f>
        <v>34</v>
      </c>
    </row>
    <row r="1959" customFormat="false" ht="15" hidden="false" customHeight="false" outlineLevel="0" collapsed="false">
      <c r="A1959" s="0" t="n">
        <v>1956</v>
      </c>
      <c r="B1959" s="0" t="n">
        <f aca="true">NORMINV(RAND(),1,Coefficients!$B$22)</f>
        <v>1.21332700351794</v>
      </c>
      <c r="C1959" s="0" t="n">
        <f aca="true">MEDIAN(8,16,ROUND(NORMINV(RAND(),Coefficients!$B$20,Coefficients!$B$21),0))</f>
        <v>13</v>
      </c>
      <c r="D1959" s="0" t="n">
        <f aca="true">CRITBINOM($C1959,MIN(0.75,Matchup!$B$39*$B1959),RAND())</f>
        <v>4</v>
      </c>
      <c r="E1959" s="0" t="n">
        <f aca="true">CRITBINOM(D1959,Coefficients!$B$30,RAND())</f>
        <v>0</v>
      </c>
      <c r="F1959" s="0" t="n">
        <f aca="true">CRITBINOM(E1959,Coefficients!$B$31,RAND())</f>
        <v>0</v>
      </c>
      <c r="G1959" s="0" t="n">
        <f aca="true">CRITBINOM(MAX(0,D1959-E1959),1-Coefficients!$B$32,RAND())</f>
        <v>0</v>
      </c>
      <c r="H1959" s="0" t="n">
        <f aca="true">CRITBINOM(MAX(0,$C1959-D1959),MIN(0.6,Matchup!$B$40*SQRT($B1959)/(1-MIN(0.75,Matchup!$B$39*$B1959))),RAND())</f>
        <v>1</v>
      </c>
      <c r="I1959" s="0" t="n">
        <f aca="false">6*D1959+(D1959-E1959-G1959)+2*F1959+3*H1959</f>
        <v>31</v>
      </c>
      <c r="J1959" s="0" t="n">
        <f aca="true">CRITBINOM($C1959,MIN(0.75,Matchup!$C$39*$B1959),RAND())</f>
        <v>2</v>
      </c>
      <c r="K1959" s="0" t="n">
        <f aca="true">CRITBINOM(J1959,Coefficients!$B$30,RAND())</f>
        <v>0</v>
      </c>
      <c r="L1959" s="0" t="n">
        <f aca="true">CRITBINOM(K1959,Coefficients!$B$31,RAND())</f>
        <v>0</v>
      </c>
      <c r="M1959" s="0" t="n">
        <f aca="true">CRITBINOM(MAX(0,J1959-K1959),1-Coefficients!$B$32,RAND())</f>
        <v>0</v>
      </c>
      <c r="N1959" s="0" t="n">
        <f aca="true">CRITBINOM(MAX(0,$C1959-J1959),MIN(0.6,Matchup!$C$40*SQRT($B1959)/(1-MIN(0.75,Matchup!$C$39*$B1959))),RAND())</f>
        <v>1</v>
      </c>
      <c r="O1959" s="0" t="n">
        <f aca="false">6*J1959+(J1959-K1959-M1959)+2*L1959+3*N1959</f>
        <v>17</v>
      </c>
      <c r="P1959" s="0" t="n">
        <f aca="true">RAND()</f>
        <v>0.397083935672263</v>
      </c>
      <c r="Q1959" s="0" t="n">
        <f aca="true">RAND()</f>
        <v>0.697185850679257</v>
      </c>
      <c r="R1959" s="0" t="n">
        <f aca="false">IF($I1959&lt;&gt;$O1959,0,IF(P1959&lt;Matchup!$B$39,7,IF(P1959&lt;Matchup!$B$39+Matchup!$B$40,3,0)))</f>
        <v>0</v>
      </c>
      <c r="S1959" s="0" t="n">
        <f aca="false">IF($I1959&lt;&gt;$O1959,0,IF(Q1959&lt;Matchup!$C$39,7,IF(Q1959&lt;Matchup!$C$39+Matchup!$C$40,3,0)))</f>
        <v>0</v>
      </c>
      <c r="T1959" s="0" t="n">
        <f aca="false">I1959+R1959</f>
        <v>31</v>
      </c>
      <c r="U1959" s="0" t="n">
        <f aca="false">O1959+S1959</f>
        <v>17</v>
      </c>
      <c r="V1959" s="0" t="n">
        <f aca="false">T1959-U1959</f>
        <v>14</v>
      </c>
      <c r="W1959" s="0" t="n">
        <f aca="false">T1959+U1959</f>
        <v>48</v>
      </c>
    </row>
    <row r="1960" customFormat="false" ht="15" hidden="false" customHeight="false" outlineLevel="0" collapsed="false">
      <c r="A1960" s="0" t="n">
        <v>1957</v>
      </c>
      <c r="B1960" s="0" t="n">
        <f aca="true">NORMINV(RAND(),1,Coefficients!$B$22)</f>
        <v>0.947481577081094</v>
      </c>
      <c r="C1960" s="0" t="n">
        <f aca="true">MEDIAN(8,16,ROUND(NORMINV(RAND(),Coefficients!$B$20,Coefficients!$B$21),0))</f>
        <v>13</v>
      </c>
      <c r="D1960" s="0" t="n">
        <f aca="true">CRITBINOM($C1960,MIN(0.75,Matchup!$B$39*$B1960),RAND())</f>
        <v>5</v>
      </c>
      <c r="E1960" s="0" t="n">
        <f aca="true">CRITBINOM(D1960,Coefficients!$B$30,RAND())</f>
        <v>0</v>
      </c>
      <c r="F1960" s="0" t="n">
        <f aca="true">CRITBINOM(E1960,Coefficients!$B$31,RAND())</f>
        <v>0</v>
      </c>
      <c r="G1960" s="0" t="n">
        <f aca="true">CRITBINOM(MAX(0,D1960-E1960),1-Coefficients!$B$32,RAND())</f>
        <v>1</v>
      </c>
      <c r="H1960" s="0" t="n">
        <f aca="true">CRITBINOM(MAX(0,$C1960-D1960),MIN(0.6,Matchup!$B$40*SQRT($B1960)/(1-MIN(0.75,Matchup!$B$39*$B1960))),RAND())</f>
        <v>3</v>
      </c>
      <c r="I1960" s="0" t="n">
        <f aca="false">6*D1960+(D1960-E1960-G1960)+2*F1960+3*H1960</f>
        <v>43</v>
      </c>
      <c r="J1960" s="0" t="n">
        <f aca="true">CRITBINOM($C1960,MIN(0.75,Matchup!$C$39*$B1960),RAND())</f>
        <v>2</v>
      </c>
      <c r="K1960" s="0" t="n">
        <f aca="true">CRITBINOM(J1960,Coefficients!$B$30,RAND())</f>
        <v>0</v>
      </c>
      <c r="L1960" s="0" t="n">
        <f aca="true">CRITBINOM(K1960,Coefficients!$B$31,RAND())</f>
        <v>0</v>
      </c>
      <c r="M1960" s="0" t="n">
        <f aca="true">CRITBINOM(MAX(0,J1960-K1960),1-Coefficients!$B$32,RAND())</f>
        <v>1</v>
      </c>
      <c r="N1960" s="0" t="n">
        <f aca="true">CRITBINOM(MAX(0,$C1960-J1960),MIN(0.6,Matchup!$C$40*SQRT($B1960)/(1-MIN(0.75,Matchup!$C$39*$B1960))),RAND())</f>
        <v>3</v>
      </c>
      <c r="O1960" s="0" t="n">
        <f aca="false">6*J1960+(J1960-K1960-M1960)+2*L1960+3*N1960</f>
        <v>22</v>
      </c>
      <c r="P1960" s="0" t="n">
        <f aca="true">RAND()</f>
        <v>0.630838126557082</v>
      </c>
      <c r="Q1960" s="0" t="n">
        <f aca="true">RAND()</f>
        <v>0.264447076615651</v>
      </c>
      <c r="R1960" s="0" t="n">
        <f aca="false">IF($I1960&lt;&gt;$O1960,0,IF(P1960&lt;Matchup!$B$39,7,IF(P1960&lt;Matchup!$B$39+Matchup!$B$40,3,0)))</f>
        <v>0</v>
      </c>
      <c r="S1960" s="0" t="n">
        <f aca="false">IF($I1960&lt;&gt;$O1960,0,IF(Q1960&lt;Matchup!$C$39,7,IF(Q1960&lt;Matchup!$C$39+Matchup!$C$40,3,0)))</f>
        <v>0</v>
      </c>
      <c r="T1960" s="0" t="n">
        <f aca="false">I1960+R1960</f>
        <v>43</v>
      </c>
      <c r="U1960" s="0" t="n">
        <f aca="false">O1960+S1960</f>
        <v>22</v>
      </c>
      <c r="V1960" s="0" t="n">
        <f aca="false">T1960-U1960</f>
        <v>21</v>
      </c>
      <c r="W1960" s="0" t="n">
        <f aca="false">T1960+U1960</f>
        <v>65</v>
      </c>
    </row>
    <row r="1961" customFormat="false" ht="15" hidden="false" customHeight="false" outlineLevel="0" collapsed="false">
      <c r="A1961" s="0" t="n">
        <v>1958</v>
      </c>
      <c r="B1961" s="0" t="n">
        <f aca="true">NORMINV(RAND(),1,Coefficients!$B$22)</f>
        <v>1.01537341537804</v>
      </c>
      <c r="C1961" s="0" t="n">
        <f aca="true">MEDIAN(8,16,ROUND(NORMINV(RAND(),Coefficients!$B$20,Coefficients!$B$21),0))</f>
        <v>12</v>
      </c>
      <c r="D1961" s="0" t="n">
        <f aca="true">CRITBINOM($C1961,MIN(0.75,Matchup!$B$39*$B1961),RAND())</f>
        <v>3</v>
      </c>
      <c r="E1961" s="0" t="n">
        <f aca="true">CRITBINOM(D1961,Coefficients!$B$30,RAND())</f>
        <v>0</v>
      </c>
      <c r="F1961" s="0" t="n">
        <f aca="true">CRITBINOM(E1961,Coefficients!$B$31,RAND())</f>
        <v>0</v>
      </c>
      <c r="G1961" s="0" t="n">
        <f aca="true">CRITBINOM(MAX(0,D1961-E1961),1-Coefficients!$B$32,RAND())</f>
        <v>0</v>
      </c>
      <c r="H1961" s="0" t="n">
        <f aca="true">CRITBINOM(MAX(0,$C1961-D1961),MIN(0.6,Matchup!$B$40*SQRT($B1961)/(1-MIN(0.75,Matchup!$B$39*$B1961))),RAND())</f>
        <v>0</v>
      </c>
      <c r="I1961" s="0" t="n">
        <f aca="false">6*D1961+(D1961-E1961-G1961)+2*F1961+3*H1961</f>
        <v>21</v>
      </c>
      <c r="J1961" s="0" t="n">
        <f aca="true">CRITBINOM($C1961,MIN(0.75,Matchup!$C$39*$B1961),RAND())</f>
        <v>5</v>
      </c>
      <c r="K1961" s="0" t="n">
        <f aca="true">CRITBINOM(J1961,Coefficients!$B$30,RAND())</f>
        <v>1</v>
      </c>
      <c r="L1961" s="0" t="n">
        <f aca="true">CRITBINOM(K1961,Coefficients!$B$31,RAND())</f>
        <v>0</v>
      </c>
      <c r="M1961" s="0" t="n">
        <f aca="true">CRITBINOM(MAX(0,J1961-K1961),1-Coefficients!$B$32,RAND())</f>
        <v>0</v>
      </c>
      <c r="N1961" s="0" t="n">
        <f aca="true">CRITBINOM(MAX(0,$C1961-J1961),MIN(0.6,Matchup!$C$40*SQRT($B1961)/(1-MIN(0.75,Matchup!$C$39*$B1961))),RAND())</f>
        <v>3</v>
      </c>
      <c r="O1961" s="0" t="n">
        <f aca="false">6*J1961+(J1961-K1961-M1961)+2*L1961+3*N1961</f>
        <v>43</v>
      </c>
      <c r="P1961" s="0" t="n">
        <f aca="true">RAND()</f>
        <v>0.905683182782322</v>
      </c>
      <c r="Q1961" s="0" t="n">
        <f aca="true">RAND()</f>
        <v>0.850541365302795</v>
      </c>
      <c r="R1961" s="0" t="n">
        <f aca="false">IF($I1961&lt;&gt;$O1961,0,IF(P1961&lt;Matchup!$B$39,7,IF(P1961&lt;Matchup!$B$39+Matchup!$B$40,3,0)))</f>
        <v>0</v>
      </c>
      <c r="S1961" s="0" t="n">
        <f aca="false">IF($I1961&lt;&gt;$O1961,0,IF(Q1961&lt;Matchup!$C$39,7,IF(Q1961&lt;Matchup!$C$39+Matchup!$C$40,3,0)))</f>
        <v>0</v>
      </c>
      <c r="T1961" s="0" t="n">
        <f aca="false">I1961+R1961</f>
        <v>21</v>
      </c>
      <c r="U1961" s="0" t="n">
        <f aca="false">O1961+S1961</f>
        <v>43</v>
      </c>
      <c r="V1961" s="0" t="n">
        <f aca="false">T1961-U1961</f>
        <v>-22</v>
      </c>
      <c r="W1961" s="0" t="n">
        <f aca="false">T1961+U1961</f>
        <v>64</v>
      </c>
    </row>
    <row r="1962" customFormat="false" ht="15" hidden="false" customHeight="false" outlineLevel="0" collapsed="false">
      <c r="A1962" s="0" t="n">
        <v>1959</v>
      </c>
      <c r="B1962" s="0" t="n">
        <f aca="true">NORMINV(RAND(),1,Coefficients!$B$22)</f>
        <v>0.973719125176556</v>
      </c>
      <c r="C1962" s="0" t="n">
        <f aca="true">MEDIAN(8,16,ROUND(NORMINV(RAND(),Coefficients!$B$20,Coefficients!$B$21),0))</f>
        <v>10</v>
      </c>
      <c r="D1962" s="0" t="n">
        <f aca="true">CRITBINOM($C1962,MIN(0.75,Matchup!$B$39*$B1962),RAND())</f>
        <v>3</v>
      </c>
      <c r="E1962" s="0" t="n">
        <f aca="true">CRITBINOM(D1962,Coefficients!$B$30,RAND())</f>
        <v>0</v>
      </c>
      <c r="F1962" s="0" t="n">
        <f aca="true">CRITBINOM(E1962,Coefficients!$B$31,RAND())</f>
        <v>0</v>
      </c>
      <c r="G1962" s="0" t="n">
        <f aca="true">CRITBINOM(MAX(0,D1962-E1962),1-Coefficients!$B$32,RAND())</f>
        <v>0</v>
      </c>
      <c r="H1962" s="0" t="n">
        <f aca="true">CRITBINOM(MAX(0,$C1962-D1962),MIN(0.6,Matchup!$B$40*SQRT($B1962)/(1-MIN(0.75,Matchup!$B$39*$B1962))),RAND())</f>
        <v>3</v>
      </c>
      <c r="I1962" s="0" t="n">
        <f aca="false">6*D1962+(D1962-E1962-G1962)+2*F1962+3*H1962</f>
        <v>30</v>
      </c>
      <c r="J1962" s="0" t="n">
        <f aca="true">CRITBINOM($C1962,MIN(0.75,Matchup!$C$39*$B1962),RAND())</f>
        <v>2</v>
      </c>
      <c r="K1962" s="0" t="n">
        <f aca="true">CRITBINOM(J1962,Coefficients!$B$30,RAND())</f>
        <v>0</v>
      </c>
      <c r="L1962" s="0" t="n">
        <f aca="true">CRITBINOM(K1962,Coefficients!$B$31,RAND())</f>
        <v>0</v>
      </c>
      <c r="M1962" s="0" t="n">
        <f aca="true">CRITBINOM(MAX(0,J1962-K1962),1-Coefficients!$B$32,RAND())</f>
        <v>0</v>
      </c>
      <c r="N1962" s="0" t="n">
        <f aca="true">CRITBINOM(MAX(0,$C1962-J1962),MIN(0.6,Matchup!$C$40*SQRT($B1962)/(1-MIN(0.75,Matchup!$C$39*$B1962))),RAND())</f>
        <v>3</v>
      </c>
      <c r="O1962" s="0" t="n">
        <f aca="false">6*J1962+(J1962-K1962-M1962)+2*L1962+3*N1962</f>
        <v>23</v>
      </c>
      <c r="P1962" s="0" t="n">
        <f aca="true">RAND()</f>
        <v>0.800639294205356</v>
      </c>
      <c r="Q1962" s="0" t="n">
        <f aca="true">RAND()</f>
        <v>0.470216350216463</v>
      </c>
      <c r="R1962" s="0" t="n">
        <f aca="false">IF($I1962&lt;&gt;$O1962,0,IF(P1962&lt;Matchup!$B$39,7,IF(P1962&lt;Matchup!$B$39+Matchup!$B$40,3,0)))</f>
        <v>0</v>
      </c>
      <c r="S1962" s="0" t="n">
        <f aca="false">IF($I1962&lt;&gt;$O1962,0,IF(Q1962&lt;Matchup!$C$39,7,IF(Q1962&lt;Matchup!$C$39+Matchup!$C$40,3,0)))</f>
        <v>0</v>
      </c>
      <c r="T1962" s="0" t="n">
        <f aca="false">I1962+R1962</f>
        <v>30</v>
      </c>
      <c r="U1962" s="0" t="n">
        <f aca="false">O1962+S1962</f>
        <v>23</v>
      </c>
      <c r="V1962" s="0" t="n">
        <f aca="false">T1962-U1962</f>
        <v>7</v>
      </c>
      <c r="W1962" s="0" t="n">
        <f aca="false">T1962+U1962</f>
        <v>53</v>
      </c>
    </row>
    <row r="1963" customFormat="false" ht="15" hidden="false" customHeight="false" outlineLevel="0" collapsed="false">
      <c r="A1963" s="0" t="n">
        <v>1960</v>
      </c>
      <c r="B1963" s="0" t="n">
        <f aca="true">NORMINV(RAND(),1,Coefficients!$B$22)</f>
        <v>1.01109394959915</v>
      </c>
      <c r="C1963" s="0" t="n">
        <f aca="true">MEDIAN(8,16,ROUND(NORMINV(RAND(),Coefficients!$B$20,Coefficients!$B$21),0))</f>
        <v>11</v>
      </c>
      <c r="D1963" s="0" t="n">
        <f aca="true">CRITBINOM($C1963,MIN(0.75,Matchup!$B$39*$B1963),RAND())</f>
        <v>6</v>
      </c>
      <c r="E1963" s="0" t="n">
        <f aca="true">CRITBINOM(D1963,Coefficients!$B$30,RAND())</f>
        <v>0</v>
      </c>
      <c r="F1963" s="0" t="n">
        <f aca="true">CRITBINOM(E1963,Coefficients!$B$31,RAND())</f>
        <v>0</v>
      </c>
      <c r="G1963" s="0" t="n">
        <f aca="true">CRITBINOM(MAX(0,D1963-E1963),1-Coefficients!$B$32,RAND())</f>
        <v>0</v>
      </c>
      <c r="H1963" s="0" t="n">
        <f aca="true">CRITBINOM(MAX(0,$C1963-D1963),MIN(0.6,Matchup!$B$40*SQRT($B1963)/(1-MIN(0.75,Matchup!$B$39*$B1963))),RAND())</f>
        <v>1</v>
      </c>
      <c r="I1963" s="0" t="n">
        <f aca="false">6*D1963+(D1963-E1963-G1963)+2*F1963+3*H1963</f>
        <v>45</v>
      </c>
      <c r="J1963" s="0" t="n">
        <f aca="true">CRITBINOM($C1963,MIN(0.75,Matchup!$C$39*$B1963),RAND())</f>
        <v>3</v>
      </c>
      <c r="K1963" s="0" t="n">
        <f aca="true">CRITBINOM(J1963,Coefficients!$B$30,RAND())</f>
        <v>0</v>
      </c>
      <c r="L1963" s="0" t="n">
        <f aca="true">CRITBINOM(K1963,Coefficients!$B$31,RAND())</f>
        <v>0</v>
      </c>
      <c r="M1963" s="0" t="n">
        <f aca="true">CRITBINOM(MAX(0,J1963-K1963),1-Coefficients!$B$32,RAND())</f>
        <v>0</v>
      </c>
      <c r="N1963" s="0" t="n">
        <f aca="true">CRITBINOM(MAX(0,$C1963-J1963),MIN(0.6,Matchup!$C$40*SQRT($B1963)/(1-MIN(0.75,Matchup!$C$39*$B1963))),RAND())</f>
        <v>1</v>
      </c>
      <c r="O1963" s="0" t="n">
        <f aca="false">6*J1963+(J1963-K1963-M1963)+2*L1963+3*N1963</f>
        <v>24</v>
      </c>
      <c r="P1963" s="0" t="n">
        <f aca="true">RAND()</f>
        <v>0.312856568651963</v>
      </c>
      <c r="Q1963" s="0" t="n">
        <f aca="true">RAND()</f>
        <v>0.0789364296886946</v>
      </c>
      <c r="R1963" s="0" t="n">
        <f aca="false">IF($I1963&lt;&gt;$O1963,0,IF(P1963&lt;Matchup!$B$39,7,IF(P1963&lt;Matchup!$B$39+Matchup!$B$40,3,0)))</f>
        <v>0</v>
      </c>
      <c r="S1963" s="0" t="n">
        <f aca="false">IF($I1963&lt;&gt;$O1963,0,IF(Q1963&lt;Matchup!$C$39,7,IF(Q1963&lt;Matchup!$C$39+Matchup!$C$40,3,0)))</f>
        <v>0</v>
      </c>
      <c r="T1963" s="0" t="n">
        <f aca="false">I1963+R1963</f>
        <v>45</v>
      </c>
      <c r="U1963" s="0" t="n">
        <f aca="false">O1963+S1963</f>
        <v>24</v>
      </c>
      <c r="V1963" s="0" t="n">
        <f aca="false">T1963-U1963</f>
        <v>21</v>
      </c>
      <c r="W1963" s="0" t="n">
        <f aca="false">T1963+U1963</f>
        <v>69</v>
      </c>
    </row>
    <row r="1964" customFormat="false" ht="15" hidden="false" customHeight="false" outlineLevel="0" collapsed="false">
      <c r="A1964" s="0" t="n">
        <v>1961</v>
      </c>
      <c r="B1964" s="0" t="n">
        <f aca="true">NORMINV(RAND(),1,Coefficients!$B$22)</f>
        <v>1.15039879325966</v>
      </c>
      <c r="C1964" s="0" t="n">
        <f aca="true">MEDIAN(8,16,ROUND(NORMINV(RAND(),Coefficients!$B$20,Coefficients!$B$21),0))</f>
        <v>11</v>
      </c>
      <c r="D1964" s="0" t="n">
        <f aca="true">CRITBINOM($C1964,MIN(0.75,Matchup!$B$39*$B1964),RAND())</f>
        <v>2</v>
      </c>
      <c r="E1964" s="0" t="n">
        <f aca="true">CRITBINOM(D1964,Coefficients!$B$30,RAND())</f>
        <v>0</v>
      </c>
      <c r="F1964" s="0" t="n">
        <f aca="true">CRITBINOM(E1964,Coefficients!$B$31,RAND())</f>
        <v>0</v>
      </c>
      <c r="G1964" s="0" t="n">
        <f aca="true">CRITBINOM(MAX(0,D1964-E1964),1-Coefficients!$B$32,RAND())</f>
        <v>0</v>
      </c>
      <c r="H1964" s="0" t="n">
        <f aca="true">CRITBINOM(MAX(0,$C1964-D1964),MIN(0.6,Matchup!$B$40*SQRT($B1964)/(1-MIN(0.75,Matchup!$B$39*$B1964))),RAND())</f>
        <v>2</v>
      </c>
      <c r="I1964" s="0" t="n">
        <f aca="false">6*D1964+(D1964-E1964-G1964)+2*F1964+3*H1964</f>
        <v>20</v>
      </c>
      <c r="J1964" s="0" t="n">
        <f aca="true">CRITBINOM($C1964,MIN(0.75,Matchup!$C$39*$B1964),RAND())</f>
        <v>0</v>
      </c>
      <c r="K1964" s="0" t="n">
        <f aca="true">CRITBINOM(J1964,Coefficients!$B$30,RAND())</f>
        <v>0</v>
      </c>
      <c r="L1964" s="0" t="n">
        <f aca="true">CRITBINOM(K1964,Coefficients!$B$31,RAND())</f>
        <v>0</v>
      </c>
      <c r="M1964" s="0" t="n">
        <f aca="true">CRITBINOM(MAX(0,J1964-K1964),1-Coefficients!$B$32,RAND())</f>
        <v>0</v>
      </c>
      <c r="N1964" s="0" t="n">
        <f aca="true">CRITBINOM(MAX(0,$C1964-J1964),MIN(0.6,Matchup!$C$40*SQRT($B1964)/(1-MIN(0.75,Matchup!$C$39*$B1964))),RAND())</f>
        <v>1</v>
      </c>
      <c r="O1964" s="0" t="n">
        <f aca="false">6*J1964+(J1964-K1964-M1964)+2*L1964+3*N1964</f>
        <v>3</v>
      </c>
      <c r="P1964" s="0" t="n">
        <f aca="true">RAND()</f>
        <v>0.624298303039466</v>
      </c>
      <c r="Q1964" s="0" t="n">
        <f aca="true">RAND()</f>
        <v>0.750371960015679</v>
      </c>
      <c r="R1964" s="0" t="n">
        <f aca="false">IF($I1964&lt;&gt;$O1964,0,IF(P1964&lt;Matchup!$B$39,7,IF(P1964&lt;Matchup!$B$39+Matchup!$B$40,3,0)))</f>
        <v>0</v>
      </c>
      <c r="S1964" s="0" t="n">
        <f aca="false">IF($I1964&lt;&gt;$O1964,0,IF(Q1964&lt;Matchup!$C$39,7,IF(Q1964&lt;Matchup!$C$39+Matchup!$C$40,3,0)))</f>
        <v>0</v>
      </c>
      <c r="T1964" s="0" t="n">
        <f aca="false">I1964+R1964</f>
        <v>20</v>
      </c>
      <c r="U1964" s="0" t="n">
        <f aca="false">O1964+S1964</f>
        <v>3</v>
      </c>
      <c r="V1964" s="0" t="n">
        <f aca="false">T1964-U1964</f>
        <v>17</v>
      </c>
      <c r="W1964" s="0" t="n">
        <f aca="false">T1964+U1964</f>
        <v>23</v>
      </c>
    </row>
    <row r="1965" customFormat="false" ht="15" hidden="false" customHeight="false" outlineLevel="0" collapsed="false">
      <c r="A1965" s="0" t="n">
        <v>1962</v>
      </c>
      <c r="B1965" s="0" t="n">
        <f aca="true">NORMINV(RAND(),1,Coefficients!$B$22)</f>
        <v>1.00720563891491</v>
      </c>
      <c r="C1965" s="0" t="n">
        <f aca="true">MEDIAN(8,16,ROUND(NORMINV(RAND(),Coefficients!$B$20,Coefficients!$B$21),0))</f>
        <v>12</v>
      </c>
      <c r="D1965" s="0" t="n">
        <f aca="true">CRITBINOM($C1965,MIN(0.75,Matchup!$B$39*$B1965),RAND())</f>
        <v>4</v>
      </c>
      <c r="E1965" s="0" t="n">
        <f aca="true">CRITBINOM(D1965,Coefficients!$B$30,RAND())</f>
        <v>0</v>
      </c>
      <c r="F1965" s="0" t="n">
        <f aca="true">CRITBINOM(E1965,Coefficients!$B$31,RAND())</f>
        <v>0</v>
      </c>
      <c r="G1965" s="0" t="n">
        <f aca="true">CRITBINOM(MAX(0,D1965-E1965),1-Coefficients!$B$32,RAND())</f>
        <v>0</v>
      </c>
      <c r="H1965" s="0" t="n">
        <f aca="true">CRITBINOM(MAX(0,$C1965-D1965),MIN(0.6,Matchup!$B$40*SQRT($B1965)/(1-MIN(0.75,Matchup!$B$39*$B1965))),RAND())</f>
        <v>1</v>
      </c>
      <c r="I1965" s="0" t="n">
        <f aca="false">6*D1965+(D1965-E1965-G1965)+2*F1965+3*H1965</f>
        <v>31</v>
      </c>
      <c r="J1965" s="0" t="n">
        <f aca="true">CRITBINOM($C1965,MIN(0.75,Matchup!$C$39*$B1965),RAND())</f>
        <v>1</v>
      </c>
      <c r="K1965" s="0" t="n">
        <f aca="true">CRITBINOM(J1965,Coefficients!$B$30,RAND())</f>
        <v>0</v>
      </c>
      <c r="L1965" s="0" t="n">
        <f aca="true">CRITBINOM(K1965,Coefficients!$B$31,RAND())</f>
        <v>0</v>
      </c>
      <c r="M1965" s="0" t="n">
        <f aca="true">CRITBINOM(MAX(0,J1965-K1965),1-Coefficients!$B$32,RAND())</f>
        <v>0</v>
      </c>
      <c r="N1965" s="0" t="n">
        <f aca="true">CRITBINOM(MAX(0,$C1965-J1965),MIN(0.6,Matchup!$C$40*SQRT($B1965)/(1-MIN(0.75,Matchup!$C$39*$B1965))),RAND())</f>
        <v>2</v>
      </c>
      <c r="O1965" s="0" t="n">
        <f aca="false">6*J1965+(J1965-K1965-M1965)+2*L1965+3*N1965</f>
        <v>13</v>
      </c>
      <c r="P1965" s="0" t="n">
        <f aca="true">RAND()</f>
        <v>0.189780409168349</v>
      </c>
      <c r="Q1965" s="0" t="n">
        <f aca="true">RAND()</f>
        <v>0.603378984088297</v>
      </c>
      <c r="R1965" s="0" t="n">
        <f aca="false">IF($I1965&lt;&gt;$O1965,0,IF(P1965&lt;Matchup!$B$39,7,IF(P1965&lt;Matchup!$B$39+Matchup!$B$40,3,0)))</f>
        <v>0</v>
      </c>
      <c r="S1965" s="0" t="n">
        <f aca="false">IF($I1965&lt;&gt;$O1965,0,IF(Q1965&lt;Matchup!$C$39,7,IF(Q1965&lt;Matchup!$C$39+Matchup!$C$40,3,0)))</f>
        <v>0</v>
      </c>
      <c r="T1965" s="0" t="n">
        <f aca="false">I1965+R1965</f>
        <v>31</v>
      </c>
      <c r="U1965" s="0" t="n">
        <f aca="false">O1965+S1965</f>
        <v>13</v>
      </c>
      <c r="V1965" s="0" t="n">
        <f aca="false">T1965-U1965</f>
        <v>18</v>
      </c>
      <c r="W1965" s="0" t="n">
        <f aca="false">T1965+U1965</f>
        <v>44</v>
      </c>
    </row>
    <row r="1966" customFormat="false" ht="15" hidden="false" customHeight="false" outlineLevel="0" collapsed="false">
      <c r="A1966" s="0" t="n">
        <v>1963</v>
      </c>
      <c r="B1966" s="0" t="n">
        <f aca="true">NORMINV(RAND(),1,Coefficients!$B$22)</f>
        <v>0.945345499281891</v>
      </c>
      <c r="C1966" s="0" t="n">
        <f aca="true">MEDIAN(8,16,ROUND(NORMINV(RAND(),Coefficients!$B$20,Coefficients!$B$21),0))</f>
        <v>10</v>
      </c>
      <c r="D1966" s="0" t="n">
        <f aca="true">CRITBINOM($C1966,MIN(0.75,Matchup!$B$39*$B1966),RAND())</f>
        <v>3</v>
      </c>
      <c r="E1966" s="0" t="n">
        <f aca="true">CRITBINOM(D1966,Coefficients!$B$30,RAND())</f>
        <v>0</v>
      </c>
      <c r="F1966" s="0" t="n">
        <f aca="true">CRITBINOM(E1966,Coefficients!$B$31,RAND())</f>
        <v>0</v>
      </c>
      <c r="G1966" s="0" t="n">
        <f aca="true">CRITBINOM(MAX(0,D1966-E1966),1-Coefficients!$B$32,RAND())</f>
        <v>0</v>
      </c>
      <c r="H1966" s="0" t="n">
        <f aca="true">CRITBINOM(MAX(0,$C1966-D1966),MIN(0.6,Matchup!$B$40*SQRT($B1966)/(1-MIN(0.75,Matchup!$B$39*$B1966))),RAND())</f>
        <v>1</v>
      </c>
      <c r="I1966" s="0" t="n">
        <f aca="false">6*D1966+(D1966-E1966-G1966)+2*F1966+3*H1966</f>
        <v>24</v>
      </c>
      <c r="J1966" s="0" t="n">
        <f aca="true">CRITBINOM($C1966,MIN(0.75,Matchup!$C$39*$B1966),RAND())</f>
        <v>1</v>
      </c>
      <c r="K1966" s="0" t="n">
        <f aca="true">CRITBINOM(J1966,Coefficients!$B$30,RAND())</f>
        <v>0</v>
      </c>
      <c r="L1966" s="0" t="n">
        <f aca="true">CRITBINOM(K1966,Coefficients!$B$31,RAND())</f>
        <v>0</v>
      </c>
      <c r="M1966" s="0" t="n">
        <f aca="true">CRITBINOM(MAX(0,J1966-K1966),1-Coefficients!$B$32,RAND())</f>
        <v>1</v>
      </c>
      <c r="N1966" s="0" t="n">
        <f aca="true">CRITBINOM(MAX(0,$C1966-J1966),MIN(0.6,Matchup!$C$40*SQRT($B1966)/(1-MIN(0.75,Matchup!$C$39*$B1966))),RAND())</f>
        <v>3</v>
      </c>
      <c r="O1966" s="0" t="n">
        <f aca="false">6*J1966+(J1966-K1966-M1966)+2*L1966+3*N1966</f>
        <v>15</v>
      </c>
      <c r="P1966" s="0" t="n">
        <f aca="true">RAND()</f>
        <v>0.0875912740579202</v>
      </c>
      <c r="Q1966" s="0" t="n">
        <f aca="true">RAND()</f>
        <v>0.48798602769567</v>
      </c>
      <c r="R1966" s="0" t="n">
        <f aca="false">IF($I1966&lt;&gt;$O1966,0,IF(P1966&lt;Matchup!$B$39,7,IF(P1966&lt;Matchup!$B$39+Matchup!$B$40,3,0)))</f>
        <v>0</v>
      </c>
      <c r="S1966" s="0" t="n">
        <f aca="false">IF($I1966&lt;&gt;$O1966,0,IF(Q1966&lt;Matchup!$C$39,7,IF(Q1966&lt;Matchup!$C$39+Matchup!$C$40,3,0)))</f>
        <v>0</v>
      </c>
      <c r="T1966" s="0" t="n">
        <f aca="false">I1966+R1966</f>
        <v>24</v>
      </c>
      <c r="U1966" s="0" t="n">
        <f aca="false">O1966+S1966</f>
        <v>15</v>
      </c>
      <c r="V1966" s="0" t="n">
        <f aca="false">T1966-U1966</f>
        <v>9</v>
      </c>
      <c r="W1966" s="0" t="n">
        <f aca="false">T1966+U1966</f>
        <v>39</v>
      </c>
    </row>
    <row r="1967" customFormat="false" ht="15" hidden="false" customHeight="false" outlineLevel="0" collapsed="false">
      <c r="A1967" s="0" t="n">
        <v>1964</v>
      </c>
      <c r="B1967" s="0" t="n">
        <f aca="true">NORMINV(RAND(),1,Coefficients!$B$22)</f>
        <v>0.949575102896799</v>
      </c>
      <c r="C1967" s="0" t="n">
        <f aca="true">MEDIAN(8,16,ROUND(NORMINV(RAND(),Coefficients!$B$20,Coefficients!$B$21),0))</f>
        <v>12</v>
      </c>
      <c r="D1967" s="0" t="n">
        <f aca="true">CRITBINOM($C1967,MIN(0.75,Matchup!$B$39*$B1967),RAND())</f>
        <v>4</v>
      </c>
      <c r="E1967" s="0" t="n">
        <f aca="true">CRITBINOM(D1967,Coefficients!$B$30,RAND())</f>
        <v>1</v>
      </c>
      <c r="F1967" s="0" t="n">
        <f aca="true">CRITBINOM(E1967,Coefficients!$B$31,RAND())</f>
        <v>1</v>
      </c>
      <c r="G1967" s="0" t="n">
        <f aca="true">CRITBINOM(MAX(0,D1967-E1967),1-Coefficients!$B$32,RAND())</f>
        <v>0</v>
      </c>
      <c r="H1967" s="0" t="n">
        <f aca="true">CRITBINOM(MAX(0,$C1967-D1967),MIN(0.6,Matchup!$B$40*SQRT($B1967)/(1-MIN(0.75,Matchup!$B$39*$B1967))),RAND())</f>
        <v>1</v>
      </c>
      <c r="I1967" s="0" t="n">
        <f aca="false">6*D1967+(D1967-E1967-G1967)+2*F1967+3*H1967</f>
        <v>32</v>
      </c>
      <c r="J1967" s="0" t="n">
        <f aca="true">CRITBINOM($C1967,MIN(0.75,Matchup!$C$39*$B1967),RAND())</f>
        <v>5</v>
      </c>
      <c r="K1967" s="0" t="n">
        <f aca="true">CRITBINOM(J1967,Coefficients!$B$30,RAND())</f>
        <v>1</v>
      </c>
      <c r="L1967" s="0" t="n">
        <f aca="true">CRITBINOM(K1967,Coefficients!$B$31,RAND())</f>
        <v>1</v>
      </c>
      <c r="M1967" s="0" t="n">
        <f aca="true">CRITBINOM(MAX(0,J1967-K1967),1-Coefficients!$B$32,RAND())</f>
        <v>0</v>
      </c>
      <c r="N1967" s="0" t="n">
        <f aca="true">CRITBINOM(MAX(0,$C1967-J1967),MIN(0.6,Matchup!$C$40*SQRT($B1967)/(1-MIN(0.75,Matchup!$C$39*$B1967))),RAND())</f>
        <v>1</v>
      </c>
      <c r="O1967" s="0" t="n">
        <f aca="false">6*J1967+(J1967-K1967-M1967)+2*L1967+3*N1967</f>
        <v>39</v>
      </c>
      <c r="P1967" s="0" t="n">
        <f aca="true">RAND()</f>
        <v>0.757307555456158</v>
      </c>
      <c r="Q1967" s="0" t="n">
        <f aca="true">RAND()</f>
        <v>0.107071740566121</v>
      </c>
      <c r="R1967" s="0" t="n">
        <f aca="false">IF($I1967&lt;&gt;$O1967,0,IF(P1967&lt;Matchup!$B$39,7,IF(P1967&lt;Matchup!$B$39+Matchup!$B$40,3,0)))</f>
        <v>0</v>
      </c>
      <c r="S1967" s="0" t="n">
        <f aca="false">IF($I1967&lt;&gt;$O1967,0,IF(Q1967&lt;Matchup!$C$39,7,IF(Q1967&lt;Matchup!$C$39+Matchup!$C$40,3,0)))</f>
        <v>0</v>
      </c>
      <c r="T1967" s="0" t="n">
        <f aca="false">I1967+R1967</f>
        <v>32</v>
      </c>
      <c r="U1967" s="0" t="n">
        <f aca="false">O1967+S1967</f>
        <v>39</v>
      </c>
      <c r="V1967" s="0" t="n">
        <f aca="false">T1967-U1967</f>
        <v>-7</v>
      </c>
      <c r="W1967" s="0" t="n">
        <f aca="false">T1967+U1967</f>
        <v>71</v>
      </c>
    </row>
    <row r="1968" customFormat="false" ht="15" hidden="false" customHeight="false" outlineLevel="0" collapsed="false">
      <c r="A1968" s="0" t="n">
        <v>1965</v>
      </c>
      <c r="B1968" s="0" t="n">
        <f aca="true">NORMINV(RAND(),1,Coefficients!$B$22)</f>
        <v>1.05289345052571</v>
      </c>
      <c r="C1968" s="0" t="n">
        <f aca="true">MEDIAN(8,16,ROUND(NORMINV(RAND(),Coefficients!$B$20,Coefficients!$B$21),0))</f>
        <v>13</v>
      </c>
      <c r="D1968" s="0" t="n">
        <f aca="true">CRITBINOM($C1968,MIN(0.75,Matchup!$B$39*$B1968),RAND())</f>
        <v>3</v>
      </c>
      <c r="E1968" s="0" t="n">
        <f aca="true">CRITBINOM(D1968,Coefficients!$B$30,RAND())</f>
        <v>0</v>
      </c>
      <c r="F1968" s="0" t="n">
        <f aca="true">CRITBINOM(E1968,Coefficients!$B$31,RAND())</f>
        <v>0</v>
      </c>
      <c r="G1968" s="0" t="n">
        <f aca="true">CRITBINOM(MAX(0,D1968-E1968),1-Coefficients!$B$32,RAND())</f>
        <v>0</v>
      </c>
      <c r="H1968" s="0" t="n">
        <f aca="true">CRITBINOM(MAX(0,$C1968-D1968),MIN(0.6,Matchup!$B$40*SQRT($B1968)/(1-MIN(0.75,Matchup!$B$39*$B1968))),RAND())</f>
        <v>1</v>
      </c>
      <c r="I1968" s="0" t="n">
        <f aca="false">6*D1968+(D1968-E1968-G1968)+2*F1968+3*H1968</f>
        <v>24</v>
      </c>
      <c r="J1968" s="0" t="n">
        <f aca="true">CRITBINOM($C1968,MIN(0.75,Matchup!$C$39*$B1968),RAND())</f>
        <v>0</v>
      </c>
      <c r="K1968" s="0" t="n">
        <f aca="true">CRITBINOM(J1968,Coefficients!$B$30,RAND())</f>
        <v>0</v>
      </c>
      <c r="L1968" s="0" t="n">
        <f aca="true">CRITBINOM(K1968,Coefficients!$B$31,RAND())</f>
        <v>0</v>
      </c>
      <c r="M1968" s="0" t="n">
        <f aca="true">CRITBINOM(MAX(0,J1968-K1968),1-Coefficients!$B$32,RAND())</f>
        <v>0</v>
      </c>
      <c r="N1968" s="0" t="n">
        <f aca="true">CRITBINOM(MAX(0,$C1968-J1968),MIN(0.6,Matchup!$C$40*SQRT($B1968)/(1-MIN(0.75,Matchup!$C$39*$B1968))),RAND())</f>
        <v>4</v>
      </c>
      <c r="O1968" s="0" t="n">
        <f aca="false">6*J1968+(J1968-K1968-M1968)+2*L1968+3*N1968</f>
        <v>12</v>
      </c>
      <c r="P1968" s="0" t="n">
        <f aca="true">RAND()</f>
        <v>0.688601510708623</v>
      </c>
      <c r="Q1968" s="0" t="n">
        <f aca="true">RAND()</f>
        <v>0.807191268188245</v>
      </c>
      <c r="R1968" s="0" t="n">
        <f aca="false">IF($I1968&lt;&gt;$O1968,0,IF(P1968&lt;Matchup!$B$39,7,IF(P1968&lt;Matchup!$B$39+Matchup!$B$40,3,0)))</f>
        <v>0</v>
      </c>
      <c r="S1968" s="0" t="n">
        <f aca="false">IF($I1968&lt;&gt;$O1968,0,IF(Q1968&lt;Matchup!$C$39,7,IF(Q1968&lt;Matchup!$C$39+Matchup!$C$40,3,0)))</f>
        <v>0</v>
      </c>
      <c r="T1968" s="0" t="n">
        <f aca="false">I1968+R1968</f>
        <v>24</v>
      </c>
      <c r="U1968" s="0" t="n">
        <f aca="false">O1968+S1968</f>
        <v>12</v>
      </c>
      <c r="V1968" s="0" t="n">
        <f aca="false">T1968-U1968</f>
        <v>12</v>
      </c>
      <c r="W1968" s="0" t="n">
        <f aca="false">T1968+U1968</f>
        <v>36</v>
      </c>
    </row>
    <row r="1969" customFormat="false" ht="15" hidden="false" customHeight="false" outlineLevel="0" collapsed="false">
      <c r="A1969" s="0" t="n">
        <v>1966</v>
      </c>
      <c r="B1969" s="0" t="n">
        <f aca="true">NORMINV(RAND(),1,Coefficients!$B$22)</f>
        <v>1.14422609466222</v>
      </c>
      <c r="C1969" s="0" t="n">
        <f aca="true">MEDIAN(8,16,ROUND(NORMINV(RAND(),Coefficients!$B$20,Coefficients!$B$21),0))</f>
        <v>10</v>
      </c>
      <c r="D1969" s="0" t="n">
        <f aca="true">CRITBINOM($C1969,MIN(0.75,Matchup!$B$39*$B1969),RAND())</f>
        <v>2</v>
      </c>
      <c r="E1969" s="0" t="n">
        <f aca="true">CRITBINOM(D1969,Coefficients!$B$30,RAND())</f>
        <v>0</v>
      </c>
      <c r="F1969" s="0" t="n">
        <f aca="true">CRITBINOM(E1969,Coefficients!$B$31,RAND())</f>
        <v>0</v>
      </c>
      <c r="G1969" s="0" t="n">
        <f aca="true">CRITBINOM(MAX(0,D1969-E1969),1-Coefficients!$B$32,RAND())</f>
        <v>0</v>
      </c>
      <c r="H1969" s="0" t="n">
        <f aca="true">CRITBINOM(MAX(0,$C1969-D1969),MIN(0.6,Matchup!$B$40*SQRT($B1969)/(1-MIN(0.75,Matchup!$B$39*$B1969))),RAND())</f>
        <v>1</v>
      </c>
      <c r="I1969" s="0" t="n">
        <f aca="false">6*D1969+(D1969-E1969-G1969)+2*F1969+3*H1969</f>
        <v>17</v>
      </c>
      <c r="J1969" s="0" t="n">
        <f aca="true">CRITBINOM($C1969,MIN(0.75,Matchup!$C$39*$B1969),RAND())</f>
        <v>4</v>
      </c>
      <c r="K1969" s="0" t="n">
        <f aca="true">CRITBINOM(J1969,Coefficients!$B$30,RAND())</f>
        <v>0</v>
      </c>
      <c r="L1969" s="0" t="n">
        <f aca="true">CRITBINOM(K1969,Coefficients!$B$31,RAND())</f>
        <v>0</v>
      </c>
      <c r="M1969" s="0" t="n">
        <f aca="true">CRITBINOM(MAX(0,J1969-K1969),1-Coefficients!$B$32,RAND())</f>
        <v>0</v>
      </c>
      <c r="N1969" s="0" t="n">
        <f aca="true">CRITBINOM(MAX(0,$C1969-J1969),MIN(0.6,Matchup!$C$40*SQRT($B1969)/(1-MIN(0.75,Matchup!$C$39*$B1969))),RAND())</f>
        <v>1</v>
      </c>
      <c r="O1969" s="0" t="n">
        <f aca="false">6*J1969+(J1969-K1969-M1969)+2*L1969+3*N1969</f>
        <v>31</v>
      </c>
      <c r="P1969" s="0" t="n">
        <f aca="true">RAND()</f>
        <v>0.782945233769261</v>
      </c>
      <c r="Q1969" s="0" t="n">
        <f aca="true">RAND()</f>
        <v>0.689254440544608</v>
      </c>
      <c r="R1969" s="0" t="n">
        <f aca="false">IF($I1969&lt;&gt;$O1969,0,IF(P1969&lt;Matchup!$B$39,7,IF(P1969&lt;Matchup!$B$39+Matchup!$B$40,3,0)))</f>
        <v>0</v>
      </c>
      <c r="S1969" s="0" t="n">
        <f aca="false">IF($I1969&lt;&gt;$O1969,0,IF(Q1969&lt;Matchup!$C$39,7,IF(Q1969&lt;Matchup!$C$39+Matchup!$C$40,3,0)))</f>
        <v>0</v>
      </c>
      <c r="T1969" s="0" t="n">
        <f aca="false">I1969+R1969</f>
        <v>17</v>
      </c>
      <c r="U1969" s="0" t="n">
        <f aca="false">O1969+S1969</f>
        <v>31</v>
      </c>
      <c r="V1969" s="0" t="n">
        <f aca="false">T1969-U1969</f>
        <v>-14</v>
      </c>
      <c r="W1969" s="0" t="n">
        <f aca="false">T1969+U1969</f>
        <v>48</v>
      </c>
    </row>
    <row r="1970" customFormat="false" ht="15" hidden="false" customHeight="false" outlineLevel="0" collapsed="false">
      <c r="A1970" s="0" t="n">
        <v>1967</v>
      </c>
      <c r="B1970" s="0" t="n">
        <f aca="true">NORMINV(RAND(),1,Coefficients!$B$22)</f>
        <v>1.11486027189309</v>
      </c>
      <c r="C1970" s="0" t="n">
        <f aca="true">MEDIAN(8,16,ROUND(NORMINV(RAND(),Coefficients!$B$20,Coefficients!$B$21),0))</f>
        <v>12</v>
      </c>
      <c r="D1970" s="0" t="n">
        <f aca="true">CRITBINOM($C1970,MIN(0.75,Matchup!$B$39*$B1970),RAND())</f>
        <v>4</v>
      </c>
      <c r="E1970" s="0" t="n">
        <f aca="true">CRITBINOM(D1970,Coefficients!$B$30,RAND())</f>
        <v>0</v>
      </c>
      <c r="F1970" s="0" t="n">
        <f aca="true">CRITBINOM(E1970,Coefficients!$B$31,RAND())</f>
        <v>0</v>
      </c>
      <c r="G1970" s="0" t="n">
        <f aca="true">CRITBINOM(MAX(0,D1970-E1970),1-Coefficients!$B$32,RAND())</f>
        <v>0</v>
      </c>
      <c r="H1970" s="0" t="n">
        <f aca="true">CRITBINOM(MAX(0,$C1970-D1970),MIN(0.6,Matchup!$B$40*SQRT($B1970)/(1-MIN(0.75,Matchup!$B$39*$B1970))),RAND())</f>
        <v>1</v>
      </c>
      <c r="I1970" s="0" t="n">
        <f aca="false">6*D1970+(D1970-E1970-G1970)+2*F1970+3*H1970</f>
        <v>31</v>
      </c>
      <c r="J1970" s="0" t="n">
        <f aca="true">CRITBINOM($C1970,MIN(0.75,Matchup!$C$39*$B1970),RAND())</f>
        <v>2</v>
      </c>
      <c r="K1970" s="0" t="n">
        <f aca="true">CRITBINOM(J1970,Coefficients!$B$30,RAND())</f>
        <v>1</v>
      </c>
      <c r="L1970" s="0" t="n">
        <f aca="true">CRITBINOM(K1970,Coefficients!$B$31,RAND())</f>
        <v>0</v>
      </c>
      <c r="M1970" s="0" t="n">
        <f aca="true">CRITBINOM(MAX(0,J1970-K1970),1-Coefficients!$B$32,RAND())</f>
        <v>0</v>
      </c>
      <c r="N1970" s="0" t="n">
        <f aca="true">CRITBINOM(MAX(0,$C1970-J1970),MIN(0.6,Matchup!$C$40*SQRT($B1970)/(1-MIN(0.75,Matchup!$C$39*$B1970))),RAND())</f>
        <v>1</v>
      </c>
      <c r="O1970" s="0" t="n">
        <f aca="false">6*J1970+(J1970-K1970-M1970)+2*L1970+3*N1970</f>
        <v>16</v>
      </c>
      <c r="P1970" s="0" t="n">
        <f aca="true">RAND()</f>
        <v>0.852770067830794</v>
      </c>
      <c r="Q1970" s="0" t="n">
        <f aca="true">RAND()</f>
        <v>0.162993406852453</v>
      </c>
      <c r="R1970" s="0" t="n">
        <f aca="false">IF($I1970&lt;&gt;$O1970,0,IF(P1970&lt;Matchup!$B$39,7,IF(P1970&lt;Matchup!$B$39+Matchup!$B$40,3,0)))</f>
        <v>0</v>
      </c>
      <c r="S1970" s="0" t="n">
        <f aca="false">IF($I1970&lt;&gt;$O1970,0,IF(Q1970&lt;Matchup!$C$39,7,IF(Q1970&lt;Matchup!$C$39+Matchup!$C$40,3,0)))</f>
        <v>0</v>
      </c>
      <c r="T1970" s="0" t="n">
        <f aca="false">I1970+R1970</f>
        <v>31</v>
      </c>
      <c r="U1970" s="0" t="n">
        <f aca="false">O1970+S1970</f>
        <v>16</v>
      </c>
      <c r="V1970" s="0" t="n">
        <f aca="false">T1970-U1970</f>
        <v>15</v>
      </c>
      <c r="W1970" s="0" t="n">
        <f aca="false">T1970+U1970</f>
        <v>47</v>
      </c>
    </row>
    <row r="1971" customFormat="false" ht="15" hidden="false" customHeight="false" outlineLevel="0" collapsed="false">
      <c r="A1971" s="0" t="n">
        <v>1968</v>
      </c>
      <c r="B1971" s="0" t="n">
        <f aca="true">NORMINV(RAND(),1,Coefficients!$B$22)</f>
        <v>1.02464852461278</v>
      </c>
      <c r="C1971" s="0" t="n">
        <f aca="true">MEDIAN(8,16,ROUND(NORMINV(RAND(),Coefficients!$B$20,Coefficients!$B$21),0))</f>
        <v>13</v>
      </c>
      <c r="D1971" s="0" t="n">
        <f aca="true">CRITBINOM($C1971,MIN(0.75,Matchup!$B$39*$B1971),RAND())</f>
        <v>2</v>
      </c>
      <c r="E1971" s="0" t="n">
        <f aca="true">CRITBINOM(D1971,Coefficients!$B$30,RAND())</f>
        <v>0</v>
      </c>
      <c r="F1971" s="0" t="n">
        <f aca="true">CRITBINOM(E1971,Coefficients!$B$31,RAND())</f>
        <v>0</v>
      </c>
      <c r="G1971" s="0" t="n">
        <f aca="true">CRITBINOM(MAX(0,D1971-E1971),1-Coefficients!$B$32,RAND())</f>
        <v>0</v>
      </c>
      <c r="H1971" s="0" t="n">
        <f aca="true">CRITBINOM(MAX(0,$C1971-D1971),MIN(0.6,Matchup!$B$40*SQRT($B1971)/(1-MIN(0.75,Matchup!$B$39*$B1971))),RAND())</f>
        <v>1</v>
      </c>
      <c r="I1971" s="0" t="n">
        <f aca="false">6*D1971+(D1971-E1971-G1971)+2*F1971+3*H1971</f>
        <v>17</v>
      </c>
      <c r="J1971" s="0" t="n">
        <f aca="true">CRITBINOM($C1971,MIN(0.75,Matchup!$C$39*$B1971),RAND())</f>
        <v>4</v>
      </c>
      <c r="K1971" s="0" t="n">
        <f aca="true">CRITBINOM(J1971,Coefficients!$B$30,RAND())</f>
        <v>0</v>
      </c>
      <c r="L1971" s="0" t="n">
        <f aca="true">CRITBINOM(K1971,Coefficients!$B$31,RAND())</f>
        <v>0</v>
      </c>
      <c r="M1971" s="0" t="n">
        <f aca="true">CRITBINOM(MAX(0,J1971-K1971),1-Coefficients!$B$32,RAND())</f>
        <v>0</v>
      </c>
      <c r="N1971" s="0" t="n">
        <f aca="true">CRITBINOM(MAX(0,$C1971-J1971),MIN(0.6,Matchup!$C$40*SQRT($B1971)/(1-MIN(0.75,Matchup!$C$39*$B1971))),RAND())</f>
        <v>2</v>
      </c>
      <c r="O1971" s="0" t="n">
        <f aca="false">6*J1971+(J1971-K1971-M1971)+2*L1971+3*N1971</f>
        <v>34</v>
      </c>
      <c r="P1971" s="0" t="n">
        <f aca="true">RAND()</f>
        <v>0.732788637154906</v>
      </c>
      <c r="Q1971" s="0" t="n">
        <f aca="true">RAND()</f>
        <v>0.54225464934192</v>
      </c>
      <c r="R1971" s="0" t="n">
        <f aca="false">IF($I1971&lt;&gt;$O1971,0,IF(P1971&lt;Matchup!$B$39,7,IF(P1971&lt;Matchup!$B$39+Matchup!$B$40,3,0)))</f>
        <v>0</v>
      </c>
      <c r="S1971" s="0" t="n">
        <f aca="false">IF($I1971&lt;&gt;$O1971,0,IF(Q1971&lt;Matchup!$C$39,7,IF(Q1971&lt;Matchup!$C$39+Matchup!$C$40,3,0)))</f>
        <v>0</v>
      </c>
      <c r="T1971" s="0" t="n">
        <f aca="false">I1971+R1971</f>
        <v>17</v>
      </c>
      <c r="U1971" s="0" t="n">
        <f aca="false">O1971+S1971</f>
        <v>34</v>
      </c>
      <c r="V1971" s="0" t="n">
        <f aca="false">T1971-U1971</f>
        <v>-17</v>
      </c>
      <c r="W1971" s="0" t="n">
        <f aca="false">T1971+U1971</f>
        <v>51</v>
      </c>
    </row>
    <row r="1972" customFormat="false" ht="15" hidden="false" customHeight="false" outlineLevel="0" collapsed="false">
      <c r="A1972" s="0" t="n">
        <v>1969</v>
      </c>
      <c r="B1972" s="0" t="n">
        <f aca="true">NORMINV(RAND(),1,Coefficients!$B$22)</f>
        <v>0.999196126522706</v>
      </c>
      <c r="C1972" s="0" t="n">
        <f aca="true">MEDIAN(8,16,ROUND(NORMINV(RAND(),Coefficients!$B$20,Coefficients!$B$21),0))</f>
        <v>10</v>
      </c>
      <c r="D1972" s="0" t="n">
        <f aca="true">CRITBINOM($C1972,MIN(0.75,Matchup!$B$39*$B1972),RAND())</f>
        <v>4</v>
      </c>
      <c r="E1972" s="0" t="n">
        <f aca="true">CRITBINOM(D1972,Coefficients!$B$30,RAND())</f>
        <v>1</v>
      </c>
      <c r="F1972" s="0" t="n">
        <f aca="true">CRITBINOM(E1972,Coefficients!$B$31,RAND())</f>
        <v>0</v>
      </c>
      <c r="G1972" s="0" t="n">
        <f aca="true">CRITBINOM(MAX(0,D1972-E1972),1-Coefficients!$B$32,RAND())</f>
        <v>1</v>
      </c>
      <c r="H1972" s="0" t="n">
        <f aca="true">CRITBINOM(MAX(0,$C1972-D1972),MIN(0.6,Matchup!$B$40*SQRT($B1972)/(1-MIN(0.75,Matchup!$B$39*$B1972))),RAND())</f>
        <v>2</v>
      </c>
      <c r="I1972" s="0" t="n">
        <f aca="false">6*D1972+(D1972-E1972-G1972)+2*F1972+3*H1972</f>
        <v>32</v>
      </c>
      <c r="J1972" s="0" t="n">
        <f aca="true">CRITBINOM($C1972,MIN(0.75,Matchup!$C$39*$B1972),RAND())</f>
        <v>2</v>
      </c>
      <c r="K1972" s="0" t="n">
        <f aca="true">CRITBINOM(J1972,Coefficients!$B$30,RAND())</f>
        <v>1</v>
      </c>
      <c r="L1972" s="0" t="n">
        <f aca="true">CRITBINOM(K1972,Coefficients!$B$31,RAND())</f>
        <v>0</v>
      </c>
      <c r="M1972" s="0" t="n">
        <f aca="true">CRITBINOM(MAX(0,J1972-K1972),1-Coefficients!$B$32,RAND())</f>
        <v>0</v>
      </c>
      <c r="N1972" s="0" t="n">
        <f aca="true">CRITBINOM(MAX(0,$C1972-J1972),MIN(0.6,Matchup!$C$40*SQRT($B1972)/(1-MIN(0.75,Matchup!$C$39*$B1972))),RAND())</f>
        <v>1</v>
      </c>
      <c r="O1972" s="0" t="n">
        <f aca="false">6*J1972+(J1972-K1972-M1972)+2*L1972+3*N1972</f>
        <v>16</v>
      </c>
      <c r="P1972" s="0" t="n">
        <f aca="true">RAND()</f>
        <v>0.134281056104907</v>
      </c>
      <c r="Q1972" s="0" t="n">
        <f aca="true">RAND()</f>
        <v>0.0605038652382058</v>
      </c>
      <c r="R1972" s="0" t="n">
        <f aca="false">IF($I1972&lt;&gt;$O1972,0,IF(P1972&lt;Matchup!$B$39,7,IF(P1972&lt;Matchup!$B$39+Matchup!$B$40,3,0)))</f>
        <v>0</v>
      </c>
      <c r="S1972" s="0" t="n">
        <f aca="false">IF($I1972&lt;&gt;$O1972,0,IF(Q1972&lt;Matchup!$C$39,7,IF(Q1972&lt;Matchup!$C$39+Matchup!$C$40,3,0)))</f>
        <v>0</v>
      </c>
      <c r="T1972" s="0" t="n">
        <f aca="false">I1972+R1972</f>
        <v>32</v>
      </c>
      <c r="U1972" s="0" t="n">
        <f aca="false">O1972+S1972</f>
        <v>16</v>
      </c>
      <c r="V1972" s="0" t="n">
        <f aca="false">T1972-U1972</f>
        <v>16</v>
      </c>
      <c r="W1972" s="0" t="n">
        <f aca="false">T1972+U1972</f>
        <v>48</v>
      </c>
    </row>
    <row r="1973" customFormat="false" ht="15" hidden="false" customHeight="false" outlineLevel="0" collapsed="false">
      <c r="A1973" s="0" t="n">
        <v>1970</v>
      </c>
      <c r="B1973" s="0" t="n">
        <f aca="true">NORMINV(RAND(),1,Coefficients!$B$22)</f>
        <v>0.992892883494393</v>
      </c>
      <c r="C1973" s="0" t="n">
        <f aca="true">MEDIAN(8,16,ROUND(NORMINV(RAND(),Coefficients!$B$20,Coefficients!$B$21),0))</f>
        <v>12</v>
      </c>
      <c r="D1973" s="0" t="n">
        <f aca="true">CRITBINOM($C1973,MIN(0.75,Matchup!$B$39*$B1973),RAND())</f>
        <v>2</v>
      </c>
      <c r="E1973" s="0" t="n">
        <f aca="true">CRITBINOM(D1973,Coefficients!$B$30,RAND())</f>
        <v>0</v>
      </c>
      <c r="F1973" s="0" t="n">
        <f aca="true">CRITBINOM(E1973,Coefficients!$B$31,RAND())</f>
        <v>0</v>
      </c>
      <c r="G1973" s="0" t="n">
        <f aca="true">CRITBINOM(MAX(0,D1973-E1973),1-Coefficients!$B$32,RAND())</f>
        <v>0</v>
      </c>
      <c r="H1973" s="0" t="n">
        <f aca="true">CRITBINOM(MAX(0,$C1973-D1973),MIN(0.6,Matchup!$B$40*SQRT($B1973)/(1-MIN(0.75,Matchup!$B$39*$B1973))),RAND())</f>
        <v>2</v>
      </c>
      <c r="I1973" s="0" t="n">
        <f aca="false">6*D1973+(D1973-E1973-G1973)+2*F1973+3*H1973</f>
        <v>20</v>
      </c>
      <c r="J1973" s="0" t="n">
        <f aca="true">CRITBINOM($C1973,MIN(0.75,Matchup!$C$39*$B1973),RAND())</f>
        <v>2</v>
      </c>
      <c r="K1973" s="0" t="n">
        <f aca="true">CRITBINOM(J1973,Coefficients!$B$30,RAND())</f>
        <v>1</v>
      </c>
      <c r="L1973" s="0" t="n">
        <f aca="true">CRITBINOM(K1973,Coefficients!$B$31,RAND())</f>
        <v>1</v>
      </c>
      <c r="M1973" s="0" t="n">
        <f aca="true">CRITBINOM(MAX(0,J1973-K1973),1-Coefficients!$B$32,RAND())</f>
        <v>0</v>
      </c>
      <c r="N1973" s="0" t="n">
        <f aca="true">CRITBINOM(MAX(0,$C1973-J1973),MIN(0.6,Matchup!$C$40*SQRT($B1973)/(1-MIN(0.75,Matchup!$C$39*$B1973))),RAND())</f>
        <v>2</v>
      </c>
      <c r="O1973" s="0" t="n">
        <f aca="false">6*J1973+(J1973-K1973-M1973)+2*L1973+3*N1973</f>
        <v>21</v>
      </c>
      <c r="P1973" s="0" t="n">
        <f aca="true">RAND()</f>
        <v>0.562459422166103</v>
      </c>
      <c r="Q1973" s="0" t="n">
        <f aca="true">RAND()</f>
        <v>0.692715736854759</v>
      </c>
      <c r="R1973" s="0" t="n">
        <f aca="false">IF($I1973&lt;&gt;$O1973,0,IF(P1973&lt;Matchup!$B$39,7,IF(P1973&lt;Matchup!$B$39+Matchup!$B$40,3,0)))</f>
        <v>0</v>
      </c>
      <c r="S1973" s="0" t="n">
        <f aca="false">IF($I1973&lt;&gt;$O1973,0,IF(Q1973&lt;Matchup!$C$39,7,IF(Q1973&lt;Matchup!$C$39+Matchup!$C$40,3,0)))</f>
        <v>0</v>
      </c>
      <c r="T1973" s="0" t="n">
        <f aca="false">I1973+R1973</f>
        <v>20</v>
      </c>
      <c r="U1973" s="0" t="n">
        <f aca="false">O1973+S1973</f>
        <v>21</v>
      </c>
      <c r="V1973" s="0" t="n">
        <f aca="false">T1973-U1973</f>
        <v>-1</v>
      </c>
      <c r="W1973" s="0" t="n">
        <f aca="false">T1973+U1973</f>
        <v>41</v>
      </c>
    </row>
    <row r="1974" customFormat="false" ht="15" hidden="false" customHeight="false" outlineLevel="0" collapsed="false">
      <c r="A1974" s="0" t="n">
        <v>1971</v>
      </c>
      <c r="B1974" s="0" t="n">
        <f aca="true">NORMINV(RAND(),1,Coefficients!$B$22)</f>
        <v>1.05729269777436</v>
      </c>
      <c r="C1974" s="0" t="n">
        <f aca="true">MEDIAN(8,16,ROUND(NORMINV(RAND(),Coefficients!$B$20,Coefficients!$B$21),0))</f>
        <v>9</v>
      </c>
      <c r="D1974" s="0" t="n">
        <f aca="true">CRITBINOM($C1974,MIN(0.75,Matchup!$B$39*$B1974),RAND())</f>
        <v>1</v>
      </c>
      <c r="E1974" s="0" t="n">
        <f aca="true">CRITBINOM(D1974,Coefficients!$B$30,RAND())</f>
        <v>0</v>
      </c>
      <c r="F1974" s="0" t="n">
        <f aca="true">CRITBINOM(E1974,Coefficients!$B$31,RAND())</f>
        <v>0</v>
      </c>
      <c r="G1974" s="0" t="n">
        <f aca="true">CRITBINOM(MAX(0,D1974-E1974),1-Coefficients!$B$32,RAND())</f>
        <v>0</v>
      </c>
      <c r="H1974" s="0" t="n">
        <f aca="true">CRITBINOM(MAX(0,$C1974-D1974),MIN(0.6,Matchup!$B$40*SQRT($B1974)/(1-MIN(0.75,Matchup!$B$39*$B1974))),RAND())</f>
        <v>2</v>
      </c>
      <c r="I1974" s="0" t="n">
        <f aca="false">6*D1974+(D1974-E1974-G1974)+2*F1974+3*H1974</f>
        <v>13</v>
      </c>
      <c r="J1974" s="0" t="n">
        <f aca="true">CRITBINOM($C1974,MIN(0.75,Matchup!$C$39*$B1974),RAND())</f>
        <v>4</v>
      </c>
      <c r="K1974" s="0" t="n">
        <f aca="true">CRITBINOM(J1974,Coefficients!$B$30,RAND())</f>
        <v>0</v>
      </c>
      <c r="L1974" s="0" t="n">
        <f aca="true">CRITBINOM(K1974,Coefficients!$B$31,RAND())</f>
        <v>0</v>
      </c>
      <c r="M1974" s="0" t="n">
        <f aca="true">CRITBINOM(MAX(0,J1974-K1974),1-Coefficients!$B$32,RAND())</f>
        <v>0</v>
      </c>
      <c r="N1974" s="0" t="n">
        <f aca="true">CRITBINOM(MAX(0,$C1974-J1974),MIN(0.6,Matchup!$C$40*SQRT($B1974)/(1-MIN(0.75,Matchup!$C$39*$B1974))),RAND())</f>
        <v>1</v>
      </c>
      <c r="O1974" s="0" t="n">
        <f aca="false">6*J1974+(J1974-K1974-M1974)+2*L1974+3*N1974</f>
        <v>31</v>
      </c>
      <c r="P1974" s="0" t="n">
        <f aca="true">RAND()</f>
        <v>0.0666177116839928</v>
      </c>
      <c r="Q1974" s="0" t="n">
        <f aca="true">RAND()</f>
        <v>0.184756604799053</v>
      </c>
      <c r="R1974" s="0" t="n">
        <f aca="false">IF($I1974&lt;&gt;$O1974,0,IF(P1974&lt;Matchup!$B$39,7,IF(P1974&lt;Matchup!$B$39+Matchup!$B$40,3,0)))</f>
        <v>0</v>
      </c>
      <c r="S1974" s="0" t="n">
        <f aca="false">IF($I1974&lt;&gt;$O1974,0,IF(Q1974&lt;Matchup!$C$39,7,IF(Q1974&lt;Matchup!$C$39+Matchup!$C$40,3,0)))</f>
        <v>0</v>
      </c>
      <c r="T1974" s="0" t="n">
        <f aca="false">I1974+R1974</f>
        <v>13</v>
      </c>
      <c r="U1974" s="0" t="n">
        <f aca="false">O1974+S1974</f>
        <v>31</v>
      </c>
      <c r="V1974" s="0" t="n">
        <f aca="false">T1974-U1974</f>
        <v>-18</v>
      </c>
      <c r="W1974" s="0" t="n">
        <f aca="false">T1974+U1974</f>
        <v>44</v>
      </c>
    </row>
    <row r="1975" customFormat="false" ht="15" hidden="false" customHeight="false" outlineLevel="0" collapsed="false">
      <c r="A1975" s="0" t="n">
        <v>1972</v>
      </c>
      <c r="B1975" s="0" t="n">
        <f aca="true">NORMINV(RAND(),1,Coefficients!$B$22)</f>
        <v>0.980293199269099</v>
      </c>
      <c r="C1975" s="0" t="n">
        <f aca="true">MEDIAN(8,16,ROUND(NORMINV(RAND(),Coefficients!$B$20,Coefficients!$B$21),0))</f>
        <v>11</v>
      </c>
      <c r="D1975" s="0" t="n">
        <f aca="true">CRITBINOM($C1975,MIN(0.75,Matchup!$B$39*$B1975),RAND())</f>
        <v>3</v>
      </c>
      <c r="E1975" s="0" t="n">
        <f aca="true">CRITBINOM(D1975,Coefficients!$B$30,RAND())</f>
        <v>0</v>
      </c>
      <c r="F1975" s="0" t="n">
        <f aca="true">CRITBINOM(E1975,Coefficients!$B$31,RAND())</f>
        <v>0</v>
      </c>
      <c r="G1975" s="0" t="n">
        <f aca="true">CRITBINOM(MAX(0,D1975-E1975),1-Coefficients!$B$32,RAND())</f>
        <v>0</v>
      </c>
      <c r="H1975" s="0" t="n">
        <f aca="true">CRITBINOM(MAX(0,$C1975-D1975),MIN(0.6,Matchup!$B$40*SQRT($B1975)/(1-MIN(0.75,Matchup!$B$39*$B1975))),RAND())</f>
        <v>1</v>
      </c>
      <c r="I1975" s="0" t="n">
        <f aca="false">6*D1975+(D1975-E1975-G1975)+2*F1975+3*H1975</f>
        <v>24</v>
      </c>
      <c r="J1975" s="0" t="n">
        <f aca="true">CRITBINOM($C1975,MIN(0.75,Matchup!$C$39*$B1975),RAND())</f>
        <v>0</v>
      </c>
      <c r="K1975" s="0" t="n">
        <f aca="true">CRITBINOM(J1975,Coefficients!$B$30,RAND())</f>
        <v>0</v>
      </c>
      <c r="L1975" s="0" t="n">
        <f aca="true">CRITBINOM(K1975,Coefficients!$B$31,RAND())</f>
        <v>0</v>
      </c>
      <c r="M1975" s="0" t="n">
        <f aca="true">CRITBINOM(MAX(0,J1975-K1975),1-Coefficients!$B$32,RAND())</f>
        <v>0</v>
      </c>
      <c r="N1975" s="0" t="n">
        <f aca="true">CRITBINOM(MAX(0,$C1975-J1975),MIN(0.6,Matchup!$C$40*SQRT($B1975)/(1-MIN(0.75,Matchup!$C$39*$B1975))),RAND())</f>
        <v>3</v>
      </c>
      <c r="O1975" s="0" t="n">
        <f aca="false">6*J1975+(J1975-K1975-M1975)+2*L1975+3*N1975</f>
        <v>9</v>
      </c>
      <c r="P1975" s="0" t="n">
        <f aca="true">RAND()</f>
        <v>0.541067592162742</v>
      </c>
      <c r="Q1975" s="0" t="n">
        <f aca="true">RAND()</f>
        <v>0.681975407360584</v>
      </c>
      <c r="R1975" s="0" t="n">
        <f aca="false">IF($I1975&lt;&gt;$O1975,0,IF(P1975&lt;Matchup!$B$39,7,IF(P1975&lt;Matchup!$B$39+Matchup!$B$40,3,0)))</f>
        <v>0</v>
      </c>
      <c r="S1975" s="0" t="n">
        <f aca="false">IF($I1975&lt;&gt;$O1975,0,IF(Q1975&lt;Matchup!$C$39,7,IF(Q1975&lt;Matchup!$C$39+Matchup!$C$40,3,0)))</f>
        <v>0</v>
      </c>
      <c r="T1975" s="0" t="n">
        <f aca="false">I1975+R1975</f>
        <v>24</v>
      </c>
      <c r="U1975" s="0" t="n">
        <f aca="false">O1975+S1975</f>
        <v>9</v>
      </c>
      <c r="V1975" s="0" t="n">
        <f aca="false">T1975-U1975</f>
        <v>15</v>
      </c>
      <c r="W1975" s="0" t="n">
        <f aca="false">T1975+U1975</f>
        <v>33</v>
      </c>
    </row>
    <row r="1976" customFormat="false" ht="15" hidden="false" customHeight="false" outlineLevel="0" collapsed="false">
      <c r="A1976" s="0" t="n">
        <v>1973</v>
      </c>
      <c r="B1976" s="0" t="n">
        <f aca="true">NORMINV(RAND(),1,Coefficients!$B$22)</f>
        <v>1.11341080135378</v>
      </c>
      <c r="C1976" s="0" t="n">
        <f aca="true">MEDIAN(8,16,ROUND(NORMINV(RAND(),Coefficients!$B$20,Coefficients!$B$21),0))</f>
        <v>13</v>
      </c>
      <c r="D1976" s="0" t="n">
        <f aca="true">CRITBINOM($C1976,MIN(0.75,Matchup!$B$39*$B1976),RAND())</f>
        <v>3</v>
      </c>
      <c r="E1976" s="0" t="n">
        <f aca="true">CRITBINOM(D1976,Coefficients!$B$30,RAND())</f>
        <v>0</v>
      </c>
      <c r="F1976" s="0" t="n">
        <f aca="true">CRITBINOM(E1976,Coefficients!$B$31,RAND())</f>
        <v>0</v>
      </c>
      <c r="G1976" s="0" t="n">
        <f aca="true">CRITBINOM(MAX(0,D1976-E1976),1-Coefficients!$B$32,RAND())</f>
        <v>0</v>
      </c>
      <c r="H1976" s="0" t="n">
        <f aca="true">CRITBINOM(MAX(0,$C1976-D1976),MIN(0.6,Matchup!$B$40*SQRT($B1976)/(1-MIN(0.75,Matchup!$B$39*$B1976))),RAND())</f>
        <v>3</v>
      </c>
      <c r="I1976" s="0" t="n">
        <f aca="false">6*D1976+(D1976-E1976-G1976)+2*F1976+3*H1976</f>
        <v>30</v>
      </c>
      <c r="J1976" s="0" t="n">
        <f aca="true">CRITBINOM($C1976,MIN(0.75,Matchup!$C$39*$B1976),RAND())</f>
        <v>1</v>
      </c>
      <c r="K1976" s="0" t="n">
        <f aca="true">CRITBINOM(J1976,Coefficients!$B$30,RAND())</f>
        <v>1</v>
      </c>
      <c r="L1976" s="0" t="n">
        <f aca="true">CRITBINOM(K1976,Coefficients!$B$31,RAND())</f>
        <v>0</v>
      </c>
      <c r="M1976" s="0" t="n">
        <f aca="true">CRITBINOM(MAX(0,J1976-K1976),1-Coefficients!$B$32,RAND())</f>
        <v>0</v>
      </c>
      <c r="N1976" s="0" t="n">
        <f aca="true">CRITBINOM(MAX(0,$C1976-J1976),MIN(0.6,Matchup!$C$40*SQRT($B1976)/(1-MIN(0.75,Matchup!$C$39*$B1976))),RAND())</f>
        <v>4</v>
      </c>
      <c r="O1976" s="0" t="n">
        <f aca="false">6*J1976+(J1976-K1976-M1976)+2*L1976+3*N1976</f>
        <v>18</v>
      </c>
      <c r="P1976" s="0" t="n">
        <f aca="true">RAND()</f>
        <v>0.831907586176626</v>
      </c>
      <c r="Q1976" s="0" t="n">
        <f aca="true">RAND()</f>
        <v>0.345617889576971</v>
      </c>
      <c r="R1976" s="0" t="n">
        <f aca="false">IF($I1976&lt;&gt;$O1976,0,IF(P1976&lt;Matchup!$B$39,7,IF(P1976&lt;Matchup!$B$39+Matchup!$B$40,3,0)))</f>
        <v>0</v>
      </c>
      <c r="S1976" s="0" t="n">
        <f aca="false">IF($I1976&lt;&gt;$O1976,0,IF(Q1976&lt;Matchup!$C$39,7,IF(Q1976&lt;Matchup!$C$39+Matchup!$C$40,3,0)))</f>
        <v>0</v>
      </c>
      <c r="T1976" s="0" t="n">
        <f aca="false">I1976+R1976</f>
        <v>30</v>
      </c>
      <c r="U1976" s="0" t="n">
        <f aca="false">O1976+S1976</f>
        <v>18</v>
      </c>
      <c r="V1976" s="0" t="n">
        <f aca="false">T1976-U1976</f>
        <v>12</v>
      </c>
      <c r="W1976" s="0" t="n">
        <f aca="false">T1976+U1976</f>
        <v>48</v>
      </c>
    </row>
    <row r="1977" customFormat="false" ht="15" hidden="false" customHeight="false" outlineLevel="0" collapsed="false">
      <c r="A1977" s="0" t="n">
        <v>1974</v>
      </c>
      <c r="B1977" s="0" t="n">
        <f aca="true">NORMINV(RAND(),1,Coefficients!$B$22)</f>
        <v>1.00152871268504</v>
      </c>
      <c r="C1977" s="0" t="n">
        <f aca="true">MEDIAN(8,16,ROUND(NORMINV(RAND(),Coefficients!$B$20,Coefficients!$B$21),0))</f>
        <v>11</v>
      </c>
      <c r="D1977" s="0" t="n">
        <f aca="true">CRITBINOM($C1977,MIN(0.75,Matchup!$B$39*$B1977),RAND())</f>
        <v>2</v>
      </c>
      <c r="E1977" s="0" t="n">
        <f aca="true">CRITBINOM(D1977,Coefficients!$B$30,RAND())</f>
        <v>0</v>
      </c>
      <c r="F1977" s="0" t="n">
        <f aca="true">CRITBINOM(E1977,Coefficients!$B$31,RAND())</f>
        <v>0</v>
      </c>
      <c r="G1977" s="0" t="n">
        <f aca="true">CRITBINOM(MAX(0,D1977-E1977),1-Coefficients!$B$32,RAND())</f>
        <v>0</v>
      </c>
      <c r="H1977" s="0" t="n">
        <f aca="true">CRITBINOM(MAX(0,$C1977-D1977),MIN(0.6,Matchup!$B$40*SQRT($B1977)/(1-MIN(0.75,Matchup!$B$39*$B1977))),RAND())</f>
        <v>1</v>
      </c>
      <c r="I1977" s="0" t="n">
        <f aca="false">6*D1977+(D1977-E1977-G1977)+2*F1977+3*H1977</f>
        <v>17</v>
      </c>
      <c r="J1977" s="0" t="n">
        <f aca="true">CRITBINOM($C1977,MIN(0.75,Matchup!$C$39*$B1977),RAND())</f>
        <v>4</v>
      </c>
      <c r="K1977" s="0" t="n">
        <f aca="true">CRITBINOM(J1977,Coefficients!$B$30,RAND())</f>
        <v>0</v>
      </c>
      <c r="L1977" s="0" t="n">
        <f aca="true">CRITBINOM(K1977,Coefficients!$B$31,RAND())</f>
        <v>0</v>
      </c>
      <c r="M1977" s="0" t="n">
        <f aca="true">CRITBINOM(MAX(0,J1977-K1977),1-Coefficients!$B$32,RAND())</f>
        <v>0</v>
      </c>
      <c r="N1977" s="0" t="n">
        <f aca="true">CRITBINOM(MAX(0,$C1977-J1977),MIN(0.6,Matchup!$C$40*SQRT($B1977)/(1-MIN(0.75,Matchup!$C$39*$B1977))),RAND())</f>
        <v>0</v>
      </c>
      <c r="O1977" s="0" t="n">
        <f aca="false">6*J1977+(J1977-K1977-M1977)+2*L1977+3*N1977</f>
        <v>28</v>
      </c>
      <c r="P1977" s="0" t="n">
        <f aca="true">RAND()</f>
        <v>0.380274436622675</v>
      </c>
      <c r="Q1977" s="0" t="n">
        <f aca="true">RAND()</f>
        <v>0.746238538224802</v>
      </c>
      <c r="R1977" s="0" t="n">
        <f aca="false">IF($I1977&lt;&gt;$O1977,0,IF(P1977&lt;Matchup!$B$39,7,IF(P1977&lt;Matchup!$B$39+Matchup!$B$40,3,0)))</f>
        <v>0</v>
      </c>
      <c r="S1977" s="0" t="n">
        <f aca="false">IF($I1977&lt;&gt;$O1977,0,IF(Q1977&lt;Matchup!$C$39,7,IF(Q1977&lt;Matchup!$C$39+Matchup!$C$40,3,0)))</f>
        <v>0</v>
      </c>
      <c r="T1977" s="0" t="n">
        <f aca="false">I1977+R1977</f>
        <v>17</v>
      </c>
      <c r="U1977" s="0" t="n">
        <f aca="false">O1977+S1977</f>
        <v>28</v>
      </c>
      <c r="V1977" s="0" t="n">
        <f aca="false">T1977-U1977</f>
        <v>-11</v>
      </c>
      <c r="W1977" s="0" t="n">
        <f aca="false">T1977+U1977</f>
        <v>45</v>
      </c>
    </row>
    <row r="1978" customFormat="false" ht="15" hidden="false" customHeight="false" outlineLevel="0" collapsed="false">
      <c r="A1978" s="0" t="n">
        <v>1975</v>
      </c>
      <c r="B1978" s="0" t="n">
        <f aca="true">NORMINV(RAND(),1,Coefficients!$B$22)</f>
        <v>1.07178369868563</v>
      </c>
      <c r="C1978" s="0" t="n">
        <f aca="true">MEDIAN(8,16,ROUND(NORMINV(RAND(),Coefficients!$B$20,Coefficients!$B$21),0))</f>
        <v>12</v>
      </c>
      <c r="D1978" s="0" t="n">
        <f aca="true">CRITBINOM($C1978,MIN(0.75,Matchup!$B$39*$B1978),RAND())</f>
        <v>3</v>
      </c>
      <c r="E1978" s="0" t="n">
        <f aca="true">CRITBINOM(D1978,Coefficients!$B$30,RAND())</f>
        <v>0</v>
      </c>
      <c r="F1978" s="0" t="n">
        <f aca="true">CRITBINOM(E1978,Coefficients!$B$31,RAND())</f>
        <v>0</v>
      </c>
      <c r="G1978" s="0" t="n">
        <f aca="true">CRITBINOM(MAX(0,D1978-E1978),1-Coefficients!$B$32,RAND())</f>
        <v>0</v>
      </c>
      <c r="H1978" s="0" t="n">
        <f aca="true">CRITBINOM(MAX(0,$C1978-D1978),MIN(0.6,Matchup!$B$40*SQRT($B1978)/(1-MIN(0.75,Matchup!$B$39*$B1978))),RAND())</f>
        <v>2</v>
      </c>
      <c r="I1978" s="0" t="n">
        <f aca="false">6*D1978+(D1978-E1978-G1978)+2*F1978+3*H1978</f>
        <v>27</v>
      </c>
      <c r="J1978" s="0" t="n">
        <f aca="true">CRITBINOM($C1978,MIN(0.75,Matchup!$C$39*$B1978),RAND())</f>
        <v>2</v>
      </c>
      <c r="K1978" s="0" t="n">
        <f aca="true">CRITBINOM(J1978,Coefficients!$B$30,RAND())</f>
        <v>1</v>
      </c>
      <c r="L1978" s="0" t="n">
        <f aca="true">CRITBINOM(K1978,Coefficients!$B$31,RAND())</f>
        <v>0</v>
      </c>
      <c r="M1978" s="0" t="n">
        <f aca="true">CRITBINOM(MAX(0,J1978-K1978),1-Coefficients!$B$32,RAND())</f>
        <v>0</v>
      </c>
      <c r="N1978" s="0" t="n">
        <f aca="true">CRITBINOM(MAX(0,$C1978-J1978),MIN(0.6,Matchup!$C$40*SQRT($B1978)/(1-MIN(0.75,Matchup!$C$39*$B1978))),RAND())</f>
        <v>0</v>
      </c>
      <c r="O1978" s="0" t="n">
        <f aca="false">6*J1978+(J1978-K1978-M1978)+2*L1978+3*N1978</f>
        <v>13</v>
      </c>
      <c r="P1978" s="0" t="n">
        <f aca="true">RAND()</f>
        <v>0.714361303935985</v>
      </c>
      <c r="Q1978" s="0" t="n">
        <f aca="true">RAND()</f>
        <v>0.609154328022379</v>
      </c>
      <c r="R1978" s="0" t="n">
        <f aca="false">IF($I1978&lt;&gt;$O1978,0,IF(P1978&lt;Matchup!$B$39,7,IF(P1978&lt;Matchup!$B$39+Matchup!$B$40,3,0)))</f>
        <v>0</v>
      </c>
      <c r="S1978" s="0" t="n">
        <f aca="false">IF($I1978&lt;&gt;$O1978,0,IF(Q1978&lt;Matchup!$C$39,7,IF(Q1978&lt;Matchup!$C$39+Matchup!$C$40,3,0)))</f>
        <v>0</v>
      </c>
      <c r="T1978" s="0" t="n">
        <f aca="false">I1978+R1978</f>
        <v>27</v>
      </c>
      <c r="U1978" s="0" t="n">
        <f aca="false">O1978+S1978</f>
        <v>13</v>
      </c>
      <c r="V1978" s="0" t="n">
        <f aca="false">T1978-U1978</f>
        <v>14</v>
      </c>
      <c r="W1978" s="0" t="n">
        <f aca="false">T1978+U1978</f>
        <v>40</v>
      </c>
    </row>
    <row r="1979" customFormat="false" ht="15" hidden="false" customHeight="false" outlineLevel="0" collapsed="false">
      <c r="A1979" s="0" t="n">
        <v>1976</v>
      </c>
      <c r="B1979" s="0" t="n">
        <f aca="true">NORMINV(RAND(),1,Coefficients!$B$22)</f>
        <v>0.922666553311075</v>
      </c>
      <c r="C1979" s="0" t="n">
        <f aca="true">MEDIAN(8,16,ROUND(NORMINV(RAND(),Coefficients!$B$20,Coefficients!$B$21),0))</f>
        <v>11</v>
      </c>
      <c r="D1979" s="0" t="n">
        <f aca="true">CRITBINOM($C1979,MIN(0.75,Matchup!$B$39*$B1979),RAND())</f>
        <v>4</v>
      </c>
      <c r="E1979" s="0" t="n">
        <f aca="true">CRITBINOM(D1979,Coefficients!$B$30,RAND())</f>
        <v>1</v>
      </c>
      <c r="F1979" s="0" t="n">
        <f aca="true">CRITBINOM(E1979,Coefficients!$B$31,RAND())</f>
        <v>0</v>
      </c>
      <c r="G1979" s="0" t="n">
        <f aca="true">CRITBINOM(MAX(0,D1979-E1979),1-Coefficients!$B$32,RAND())</f>
        <v>0</v>
      </c>
      <c r="H1979" s="0" t="n">
        <f aca="true">CRITBINOM(MAX(0,$C1979-D1979),MIN(0.6,Matchup!$B$40*SQRT($B1979)/(1-MIN(0.75,Matchup!$B$39*$B1979))),RAND())</f>
        <v>1</v>
      </c>
      <c r="I1979" s="0" t="n">
        <f aca="false">6*D1979+(D1979-E1979-G1979)+2*F1979+3*H1979</f>
        <v>30</v>
      </c>
      <c r="J1979" s="0" t="n">
        <f aca="true">CRITBINOM($C1979,MIN(0.75,Matchup!$C$39*$B1979),RAND())</f>
        <v>3</v>
      </c>
      <c r="K1979" s="0" t="n">
        <f aca="true">CRITBINOM(J1979,Coefficients!$B$30,RAND())</f>
        <v>0</v>
      </c>
      <c r="L1979" s="0" t="n">
        <f aca="true">CRITBINOM(K1979,Coefficients!$B$31,RAND())</f>
        <v>0</v>
      </c>
      <c r="M1979" s="0" t="n">
        <f aca="true">CRITBINOM(MAX(0,J1979-K1979),1-Coefficients!$B$32,RAND())</f>
        <v>1</v>
      </c>
      <c r="N1979" s="0" t="n">
        <f aca="true">CRITBINOM(MAX(0,$C1979-J1979),MIN(0.6,Matchup!$C$40*SQRT($B1979)/(1-MIN(0.75,Matchup!$C$39*$B1979))),RAND())</f>
        <v>0</v>
      </c>
      <c r="O1979" s="0" t="n">
        <f aca="false">6*J1979+(J1979-K1979-M1979)+2*L1979+3*N1979</f>
        <v>20</v>
      </c>
      <c r="P1979" s="0" t="n">
        <f aca="true">RAND()</f>
        <v>0.925450259174285</v>
      </c>
      <c r="Q1979" s="0" t="n">
        <f aca="true">RAND()</f>
        <v>0.570553715298817</v>
      </c>
      <c r="R1979" s="0" t="n">
        <f aca="false">IF($I1979&lt;&gt;$O1979,0,IF(P1979&lt;Matchup!$B$39,7,IF(P1979&lt;Matchup!$B$39+Matchup!$B$40,3,0)))</f>
        <v>0</v>
      </c>
      <c r="S1979" s="0" t="n">
        <f aca="false">IF($I1979&lt;&gt;$O1979,0,IF(Q1979&lt;Matchup!$C$39,7,IF(Q1979&lt;Matchup!$C$39+Matchup!$C$40,3,0)))</f>
        <v>0</v>
      </c>
      <c r="T1979" s="0" t="n">
        <f aca="false">I1979+R1979</f>
        <v>30</v>
      </c>
      <c r="U1979" s="0" t="n">
        <f aca="false">O1979+S1979</f>
        <v>20</v>
      </c>
      <c r="V1979" s="0" t="n">
        <f aca="false">T1979-U1979</f>
        <v>10</v>
      </c>
      <c r="W1979" s="0" t="n">
        <f aca="false">T1979+U1979</f>
        <v>50</v>
      </c>
    </row>
    <row r="1980" customFormat="false" ht="15" hidden="false" customHeight="false" outlineLevel="0" collapsed="false">
      <c r="A1980" s="0" t="n">
        <v>1977</v>
      </c>
      <c r="B1980" s="0" t="n">
        <f aca="true">NORMINV(RAND(),1,Coefficients!$B$22)</f>
        <v>1.03635226536392</v>
      </c>
      <c r="C1980" s="0" t="n">
        <f aca="true">MEDIAN(8,16,ROUND(NORMINV(RAND(),Coefficients!$B$20,Coefficients!$B$21),0))</f>
        <v>13</v>
      </c>
      <c r="D1980" s="0" t="n">
        <f aca="true">CRITBINOM($C1980,MIN(0.75,Matchup!$B$39*$B1980),RAND())</f>
        <v>4</v>
      </c>
      <c r="E1980" s="0" t="n">
        <f aca="true">CRITBINOM(D1980,Coefficients!$B$30,RAND())</f>
        <v>0</v>
      </c>
      <c r="F1980" s="0" t="n">
        <f aca="true">CRITBINOM(E1980,Coefficients!$B$31,RAND())</f>
        <v>0</v>
      </c>
      <c r="G1980" s="0" t="n">
        <f aca="true">CRITBINOM(MAX(0,D1980-E1980),1-Coefficients!$B$32,RAND())</f>
        <v>0</v>
      </c>
      <c r="H1980" s="0" t="n">
        <f aca="true">CRITBINOM(MAX(0,$C1980-D1980),MIN(0.6,Matchup!$B$40*SQRT($B1980)/(1-MIN(0.75,Matchup!$B$39*$B1980))),RAND())</f>
        <v>4</v>
      </c>
      <c r="I1980" s="0" t="n">
        <f aca="false">6*D1980+(D1980-E1980-G1980)+2*F1980+3*H1980</f>
        <v>40</v>
      </c>
      <c r="J1980" s="0" t="n">
        <f aca="true">CRITBINOM($C1980,MIN(0.75,Matchup!$C$39*$B1980),RAND())</f>
        <v>1</v>
      </c>
      <c r="K1980" s="0" t="n">
        <f aca="true">CRITBINOM(J1980,Coefficients!$B$30,RAND())</f>
        <v>0</v>
      </c>
      <c r="L1980" s="0" t="n">
        <f aca="true">CRITBINOM(K1980,Coefficients!$B$31,RAND())</f>
        <v>0</v>
      </c>
      <c r="M1980" s="0" t="n">
        <f aca="true">CRITBINOM(MAX(0,J1980-K1980),1-Coefficients!$B$32,RAND())</f>
        <v>0</v>
      </c>
      <c r="N1980" s="0" t="n">
        <f aca="true">CRITBINOM(MAX(0,$C1980-J1980),MIN(0.6,Matchup!$C$40*SQRT($B1980)/(1-MIN(0.75,Matchup!$C$39*$B1980))),RAND())</f>
        <v>2</v>
      </c>
      <c r="O1980" s="0" t="n">
        <f aca="false">6*J1980+(J1980-K1980-M1980)+2*L1980+3*N1980</f>
        <v>13</v>
      </c>
      <c r="P1980" s="0" t="n">
        <f aca="true">RAND()</f>
        <v>0.120275454514538</v>
      </c>
      <c r="Q1980" s="0" t="n">
        <f aca="true">RAND()</f>
        <v>0.981476659328641</v>
      </c>
      <c r="R1980" s="0" t="n">
        <f aca="false">IF($I1980&lt;&gt;$O1980,0,IF(P1980&lt;Matchup!$B$39,7,IF(P1980&lt;Matchup!$B$39+Matchup!$B$40,3,0)))</f>
        <v>0</v>
      </c>
      <c r="S1980" s="0" t="n">
        <f aca="false">IF($I1980&lt;&gt;$O1980,0,IF(Q1980&lt;Matchup!$C$39,7,IF(Q1980&lt;Matchup!$C$39+Matchup!$C$40,3,0)))</f>
        <v>0</v>
      </c>
      <c r="T1980" s="0" t="n">
        <f aca="false">I1980+R1980</f>
        <v>40</v>
      </c>
      <c r="U1980" s="0" t="n">
        <f aca="false">O1980+S1980</f>
        <v>13</v>
      </c>
      <c r="V1980" s="0" t="n">
        <f aca="false">T1980-U1980</f>
        <v>27</v>
      </c>
      <c r="W1980" s="0" t="n">
        <f aca="false">T1980+U1980</f>
        <v>53</v>
      </c>
    </row>
    <row r="1981" customFormat="false" ht="15" hidden="false" customHeight="false" outlineLevel="0" collapsed="false">
      <c r="A1981" s="0" t="n">
        <v>1978</v>
      </c>
      <c r="B1981" s="0" t="n">
        <f aca="true">NORMINV(RAND(),1,Coefficients!$B$22)</f>
        <v>1.01608130082255</v>
      </c>
      <c r="C1981" s="0" t="n">
        <f aca="true">MEDIAN(8,16,ROUND(NORMINV(RAND(),Coefficients!$B$20,Coefficients!$B$21),0))</f>
        <v>12</v>
      </c>
      <c r="D1981" s="0" t="n">
        <f aca="true">CRITBINOM($C1981,MIN(0.75,Matchup!$B$39*$B1981),RAND())</f>
        <v>2</v>
      </c>
      <c r="E1981" s="0" t="n">
        <f aca="true">CRITBINOM(D1981,Coefficients!$B$30,RAND())</f>
        <v>1</v>
      </c>
      <c r="F1981" s="0" t="n">
        <f aca="true">CRITBINOM(E1981,Coefficients!$B$31,RAND())</f>
        <v>1</v>
      </c>
      <c r="G1981" s="0" t="n">
        <f aca="true">CRITBINOM(MAX(0,D1981-E1981),1-Coefficients!$B$32,RAND())</f>
        <v>0</v>
      </c>
      <c r="H1981" s="0" t="n">
        <f aca="true">CRITBINOM(MAX(0,$C1981-D1981),MIN(0.6,Matchup!$B$40*SQRT($B1981)/(1-MIN(0.75,Matchup!$B$39*$B1981))),RAND())</f>
        <v>1</v>
      </c>
      <c r="I1981" s="0" t="n">
        <f aca="false">6*D1981+(D1981-E1981-G1981)+2*F1981+3*H1981</f>
        <v>18</v>
      </c>
      <c r="J1981" s="0" t="n">
        <f aca="true">CRITBINOM($C1981,MIN(0.75,Matchup!$C$39*$B1981),RAND())</f>
        <v>1</v>
      </c>
      <c r="K1981" s="0" t="n">
        <f aca="true">CRITBINOM(J1981,Coefficients!$B$30,RAND())</f>
        <v>0</v>
      </c>
      <c r="L1981" s="0" t="n">
        <f aca="true">CRITBINOM(K1981,Coefficients!$B$31,RAND())</f>
        <v>0</v>
      </c>
      <c r="M1981" s="0" t="n">
        <f aca="true">CRITBINOM(MAX(0,J1981-K1981),1-Coefficients!$B$32,RAND())</f>
        <v>0</v>
      </c>
      <c r="N1981" s="0" t="n">
        <f aca="true">CRITBINOM(MAX(0,$C1981-J1981),MIN(0.6,Matchup!$C$40*SQRT($B1981)/(1-MIN(0.75,Matchup!$C$39*$B1981))),RAND())</f>
        <v>3</v>
      </c>
      <c r="O1981" s="0" t="n">
        <f aca="false">6*J1981+(J1981-K1981-M1981)+2*L1981+3*N1981</f>
        <v>16</v>
      </c>
      <c r="P1981" s="0" t="n">
        <f aca="true">RAND()</f>
        <v>0.077192703096746</v>
      </c>
      <c r="Q1981" s="0" t="n">
        <f aca="true">RAND()</f>
        <v>0.276296413276957</v>
      </c>
      <c r="R1981" s="0" t="n">
        <f aca="false">IF($I1981&lt;&gt;$O1981,0,IF(P1981&lt;Matchup!$B$39,7,IF(P1981&lt;Matchup!$B$39+Matchup!$B$40,3,0)))</f>
        <v>0</v>
      </c>
      <c r="S1981" s="0" t="n">
        <f aca="false">IF($I1981&lt;&gt;$O1981,0,IF(Q1981&lt;Matchup!$C$39,7,IF(Q1981&lt;Matchup!$C$39+Matchup!$C$40,3,0)))</f>
        <v>0</v>
      </c>
      <c r="T1981" s="0" t="n">
        <f aca="false">I1981+R1981</f>
        <v>18</v>
      </c>
      <c r="U1981" s="0" t="n">
        <f aca="false">O1981+S1981</f>
        <v>16</v>
      </c>
      <c r="V1981" s="0" t="n">
        <f aca="false">T1981-U1981</f>
        <v>2</v>
      </c>
      <c r="W1981" s="0" t="n">
        <f aca="false">T1981+U1981</f>
        <v>34</v>
      </c>
    </row>
    <row r="1982" customFormat="false" ht="15" hidden="false" customHeight="false" outlineLevel="0" collapsed="false">
      <c r="A1982" s="0" t="n">
        <v>1979</v>
      </c>
      <c r="B1982" s="0" t="n">
        <f aca="true">NORMINV(RAND(),1,Coefficients!$B$22)</f>
        <v>0.997398880168495</v>
      </c>
      <c r="C1982" s="0" t="n">
        <f aca="true">MEDIAN(8,16,ROUND(NORMINV(RAND(),Coefficients!$B$20,Coefficients!$B$21),0))</f>
        <v>10</v>
      </c>
      <c r="D1982" s="0" t="n">
        <f aca="true">CRITBINOM($C1982,MIN(0.75,Matchup!$B$39*$B1982),RAND())</f>
        <v>3</v>
      </c>
      <c r="E1982" s="0" t="n">
        <f aca="true">CRITBINOM(D1982,Coefficients!$B$30,RAND())</f>
        <v>0</v>
      </c>
      <c r="F1982" s="0" t="n">
        <f aca="true">CRITBINOM(E1982,Coefficients!$B$31,RAND())</f>
        <v>0</v>
      </c>
      <c r="G1982" s="0" t="n">
        <f aca="true">CRITBINOM(MAX(0,D1982-E1982),1-Coefficients!$B$32,RAND())</f>
        <v>0</v>
      </c>
      <c r="H1982" s="0" t="n">
        <f aca="true">CRITBINOM(MAX(0,$C1982-D1982),MIN(0.6,Matchup!$B$40*SQRT($B1982)/(1-MIN(0.75,Matchup!$B$39*$B1982))),RAND())</f>
        <v>1</v>
      </c>
      <c r="I1982" s="0" t="n">
        <f aca="false">6*D1982+(D1982-E1982-G1982)+2*F1982+3*H1982</f>
        <v>24</v>
      </c>
      <c r="J1982" s="0" t="n">
        <f aca="true">CRITBINOM($C1982,MIN(0.75,Matchup!$C$39*$B1982),RAND())</f>
        <v>2</v>
      </c>
      <c r="K1982" s="0" t="n">
        <f aca="true">CRITBINOM(J1982,Coefficients!$B$30,RAND())</f>
        <v>0</v>
      </c>
      <c r="L1982" s="0" t="n">
        <f aca="true">CRITBINOM(K1982,Coefficients!$B$31,RAND())</f>
        <v>0</v>
      </c>
      <c r="M1982" s="0" t="n">
        <f aca="true">CRITBINOM(MAX(0,J1982-K1982),1-Coefficients!$B$32,RAND())</f>
        <v>1</v>
      </c>
      <c r="N1982" s="0" t="n">
        <f aca="true">CRITBINOM(MAX(0,$C1982-J1982),MIN(0.6,Matchup!$C$40*SQRT($B1982)/(1-MIN(0.75,Matchup!$C$39*$B1982))),RAND())</f>
        <v>0</v>
      </c>
      <c r="O1982" s="0" t="n">
        <f aca="false">6*J1982+(J1982-K1982-M1982)+2*L1982+3*N1982</f>
        <v>13</v>
      </c>
      <c r="P1982" s="0" t="n">
        <f aca="true">RAND()</f>
        <v>0.318381536614761</v>
      </c>
      <c r="Q1982" s="0" t="n">
        <f aca="true">RAND()</f>
        <v>0.571429607385883</v>
      </c>
      <c r="R1982" s="0" t="n">
        <f aca="false">IF($I1982&lt;&gt;$O1982,0,IF(P1982&lt;Matchup!$B$39,7,IF(P1982&lt;Matchup!$B$39+Matchup!$B$40,3,0)))</f>
        <v>0</v>
      </c>
      <c r="S1982" s="0" t="n">
        <f aca="false">IF($I1982&lt;&gt;$O1982,0,IF(Q1982&lt;Matchup!$C$39,7,IF(Q1982&lt;Matchup!$C$39+Matchup!$C$40,3,0)))</f>
        <v>0</v>
      </c>
      <c r="T1982" s="0" t="n">
        <f aca="false">I1982+R1982</f>
        <v>24</v>
      </c>
      <c r="U1982" s="0" t="n">
        <f aca="false">O1982+S1982</f>
        <v>13</v>
      </c>
      <c r="V1982" s="0" t="n">
        <f aca="false">T1982-U1982</f>
        <v>11</v>
      </c>
      <c r="W1982" s="0" t="n">
        <f aca="false">T1982+U1982</f>
        <v>37</v>
      </c>
    </row>
    <row r="1983" customFormat="false" ht="15" hidden="false" customHeight="false" outlineLevel="0" collapsed="false">
      <c r="A1983" s="0" t="n">
        <v>1980</v>
      </c>
      <c r="B1983" s="0" t="n">
        <f aca="true">NORMINV(RAND(),1,Coefficients!$B$22)</f>
        <v>0.982475253378631</v>
      </c>
      <c r="C1983" s="0" t="n">
        <f aca="true">MEDIAN(8,16,ROUND(NORMINV(RAND(),Coefficients!$B$20,Coefficients!$B$21),0))</f>
        <v>10</v>
      </c>
      <c r="D1983" s="0" t="n">
        <f aca="true">CRITBINOM($C1983,MIN(0.75,Matchup!$B$39*$B1983),RAND())</f>
        <v>5</v>
      </c>
      <c r="E1983" s="0" t="n">
        <f aca="true">CRITBINOM(D1983,Coefficients!$B$30,RAND())</f>
        <v>0</v>
      </c>
      <c r="F1983" s="0" t="n">
        <f aca="true">CRITBINOM(E1983,Coefficients!$B$31,RAND())</f>
        <v>0</v>
      </c>
      <c r="G1983" s="0" t="n">
        <f aca="true">CRITBINOM(MAX(0,D1983-E1983),1-Coefficients!$B$32,RAND())</f>
        <v>0</v>
      </c>
      <c r="H1983" s="0" t="n">
        <f aca="true">CRITBINOM(MAX(0,$C1983-D1983),MIN(0.6,Matchup!$B$40*SQRT($B1983)/(1-MIN(0.75,Matchup!$B$39*$B1983))),RAND())</f>
        <v>2</v>
      </c>
      <c r="I1983" s="0" t="n">
        <f aca="false">6*D1983+(D1983-E1983-G1983)+2*F1983+3*H1983</f>
        <v>41</v>
      </c>
      <c r="J1983" s="0" t="n">
        <f aca="true">CRITBINOM($C1983,MIN(0.75,Matchup!$C$39*$B1983),RAND())</f>
        <v>2</v>
      </c>
      <c r="K1983" s="0" t="n">
        <f aca="true">CRITBINOM(J1983,Coefficients!$B$30,RAND())</f>
        <v>1</v>
      </c>
      <c r="L1983" s="0" t="n">
        <f aca="true">CRITBINOM(K1983,Coefficients!$B$31,RAND())</f>
        <v>0</v>
      </c>
      <c r="M1983" s="0" t="n">
        <f aca="true">CRITBINOM(MAX(0,J1983-K1983),1-Coefficients!$B$32,RAND())</f>
        <v>0</v>
      </c>
      <c r="N1983" s="0" t="n">
        <f aca="true">CRITBINOM(MAX(0,$C1983-J1983),MIN(0.6,Matchup!$C$40*SQRT($B1983)/(1-MIN(0.75,Matchup!$C$39*$B1983))),RAND())</f>
        <v>4</v>
      </c>
      <c r="O1983" s="0" t="n">
        <f aca="false">6*J1983+(J1983-K1983-M1983)+2*L1983+3*N1983</f>
        <v>25</v>
      </c>
      <c r="P1983" s="0" t="n">
        <f aca="true">RAND()</f>
        <v>0.317709627805215</v>
      </c>
      <c r="Q1983" s="0" t="n">
        <f aca="true">RAND()</f>
        <v>0.152865198623033</v>
      </c>
      <c r="R1983" s="0" t="n">
        <f aca="false">IF($I1983&lt;&gt;$O1983,0,IF(P1983&lt;Matchup!$B$39,7,IF(P1983&lt;Matchup!$B$39+Matchup!$B$40,3,0)))</f>
        <v>0</v>
      </c>
      <c r="S1983" s="0" t="n">
        <f aca="false">IF($I1983&lt;&gt;$O1983,0,IF(Q1983&lt;Matchup!$C$39,7,IF(Q1983&lt;Matchup!$C$39+Matchup!$C$40,3,0)))</f>
        <v>0</v>
      </c>
      <c r="T1983" s="0" t="n">
        <f aca="false">I1983+R1983</f>
        <v>41</v>
      </c>
      <c r="U1983" s="0" t="n">
        <f aca="false">O1983+S1983</f>
        <v>25</v>
      </c>
      <c r="V1983" s="0" t="n">
        <f aca="false">T1983-U1983</f>
        <v>16</v>
      </c>
      <c r="W1983" s="0" t="n">
        <f aca="false">T1983+U1983</f>
        <v>66</v>
      </c>
    </row>
    <row r="1984" customFormat="false" ht="15" hidden="false" customHeight="false" outlineLevel="0" collapsed="false">
      <c r="A1984" s="0" t="n">
        <v>1981</v>
      </c>
      <c r="B1984" s="0" t="n">
        <f aca="true">NORMINV(RAND(),1,Coefficients!$B$22)</f>
        <v>1.07530490595741</v>
      </c>
      <c r="C1984" s="0" t="n">
        <f aca="true">MEDIAN(8,16,ROUND(NORMINV(RAND(),Coefficients!$B$20,Coefficients!$B$21),0))</f>
        <v>12</v>
      </c>
      <c r="D1984" s="0" t="n">
        <f aca="true">CRITBINOM($C1984,MIN(0.75,Matchup!$B$39*$B1984),RAND())</f>
        <v>3</v>
      </c>
      <c r="E1984" s="0" t="n">
        <f aca="true">CRITBINOM(D1984,Coefficients!$B$30,RAND())</f>
        <v>0</v>
      </c>
      <c r="F1984" s="0" t="n">
        <f aca="true">CRITBINOM(E1984,Coefficients!$B$31,RAND())</f>
        <v>0</v>
      </c>
      <c r="G1984" s="0" t="n">
        <f aca="true">CRITBINOM(MAX(0,D1984-E1984),1-Coefficients!$B$32,RAND())</f>
        <v>0</v>
      </c>
      <c r="H1984" s="0" t="n">
        <f aca="true">CRITBINOM(MAX(0,$C1984-D1984),MIN(0.6,Matchup!$B$40*SQRT($B1984)/(1-MIN(0.75,Matchup!$B$39*$B1984))),RAND())</f>
        <v>0</v>
      </c>
      <c r="I1984" s="0" t="n">
        <f aca="false">6*D1984+(D1984-E1984-G1984)+2*F1984+3*H1984</f>
        <v>21</v>
      </c>
      <c r="J1984" s="0" t="n">
        <f aca="true">CRITBINOM($C1984,MIN(0.75,Matchup!$C$39*$B1984),RAND())</f>
        <v>3</v>
      </c>
      <c r="K1984" s="0" t="n">
        <f aca="true">CRITBINOM(J1984,Coefficients!$B$30,RAND())</f>
        <v>0</v>
      </c>
      <c r="L1984" s="0" t="n">
        <f aca="true">CRITBINOM(K1984,Coefficients!$B$31,RAND())</f>
        <v>0</v>
      </c>
      <c r="M1984" s="0" t="n">
        <f aca="true">CRITBINOM(MAX(0,J1984-K1984),1-Coefficients!$B$32,RAND())</f>
        <v>0</v>
      </c>
      <c r="N1984" s="0" t="n">
        <f aca="true">CRITBINOM(MAX(0,$C1984-J1984),MIN(0.6,Matchup!$C$40*SQRT($B1984)/(1-MIN(0.75,Matchup!$C$39*$B1984))),RAND())</f>
        <v>3</v>
      </c>
      <c r="O1984" s="0" t="n">
        <f aca="false">6*J1984+(J1984-K1984-M1984)+2*L1984+3*N1984</f>
        <v>30</v>
      </c>
      <c r="P1984" s="0" t="n">
        <f aca="true">RAND()</f>
        <v>0.560167874757851</v>
      </c>
      <c r="Q1984" s="0" t="n">
        <f aca="true">RAND()</f>
        <v>0.355327063680724</v>
      </c>
      <c r="R1984" s="0" t="n">
        <f aca="false">IF($I1984&lt;&gt;$O1984,0,IF(P1984&lt;Matchup!$B$39,7,IF(P1984&lt;Matchup!$B$39+Matchup!$B$40,3,0)))</f>
        <v>0</v>
      </c>
      <c r="S1984" s="0" t="n">
        <f aca="false">IF($I1984&lt;&gt;$O1984,0,IF(Q1984&lt;Matchup!$C$39,7,IF(Q1984&lt;Matchup!$C$39+Matchup!$C$40,3,0)))</f>
        <v>0</v>
      </c>
      <c r="T1984" s="0" t="n">
        <f aca="false">I1984+R1984</f>
        <v>21</v>
      </c>
      <c r="U1984" s="0" t="n">
        <f aca="false">O1984+S1984</f>
        <v>30</v>
      </c>
      <c r="V1984" s="0" t="n">
        <f aca="false">T1984-U1984</f>
        <v>-9</v>
      </c>
      <c r="W1984" s="0" t="n">
        <f aca="false">T1984+U1984</f>
        <v>51</v>
      </c>
    </row>
    <row r="1985" customFormat="false" ht="15" hidden="false" customHeight="false" outlineLevel="0" collapsed="false">
      <c r="A1985" s="0" t="n">
        <v>1982</v>
      </c>
      <c r="B1985" s="0" t="n">
        <f aca="true">NORMINV(RAND(),1,Coefficients!$B$22)</f>
        <v>0.934723837415534</v>
      </c>
      <c r="C1985" s="0" t="n">
        <f aca="true">MEDIAN(8,16,ROUND(NORMINV(RAND(),Coefficients!$B$20,Coefficients!$B$21),0))</f>
        <v>11</v>
      </c>
      <c r="D1985" s="0" t="n">
        <f aca="true">CRITBINOM($C1985,MIN(0.75,Matchup!$B$39*$B1985),RAND())</f>
        <v>3</v>
      </c>
      <c r="E1985" s="0" t="n">
        <f aca="true">CRITBINOM(D1985,Coefficients!$B$30,RAND())</f>
        <v>1</v>
      </c>
      <c r="F1985" s="0" t="n">
        <f aca="true">CRITBINOM(E1985,Coefficients!$B$31,RAND())</f>
        <v>1</v>
      </c>
      <c r="G1985" s="0" t="n">
        <f aca="true">CRITBINOM(MAX(0,D1985-E1985),1-Coefficients!$B$32,RAND())</f>
        <v>1</v>
      </c>
      <c r="H1985" s="0" t="n">
        <f aca="true">CRITBINOM(MAX(0,$C1985-D1985),MIN(0.6,Matchup!$B$40*SQRT($B1985)/(1-MIN(0.75,Matchup!$B$39*$B1985))),RAND())</f>
        <v>0</v>
      </c>
      <c r="I1985" s="0" t="n">
        <f aca="false">6*D1985+(D1985-E1985-G1985)+2*F1985+3*H1985</f>
        <v>21</v>
      </c>
      <c r="J1985" s="0" t="n">
        <f aca="true">CRITBINOM($C1985,MIN(0.75,Matchup!$C$39*$B1985),RAND())</f>
        <v>2</v>
      </c>
      <c r="K1985" s="0" t="n">
        <f aca="true">CRITBINOM(J1985,Coefficients!$B$30,RAND())</f>
        <v>0</v>
      </c>
      <c r="L1985" s="0" t="n">
        <f aca="true">CRITBINOM(K1985,Coefficients!$B$31,RAND())</f>
        <v>0</v>
      </c>
      <c r="M1985" s="0" t="n">
        <f aca="true">CRITBINOM(MAX(0,J1985-K1985),1-Coefficients!$B$32,RAND())</f>
        <v>1</v>
      </c>
      <c r="N1985" s="0" t="n">
        <f aca="true">CRITBINOM(MAX(0,$C1985-J1985),MIN(0.6,Matchup!$C$40*SQRT($B1985)/(1-MIN(0.75,Matchup!$C$39*$B1985))),RAND())</f>
        <v>2</v>
      </c>
      <c r="O1985" s="0" t="n">
        <f aca="false">6*J1985+(J1985-K1985-M1985)+2*L1985+3*N1985</f>
        <v>19</v>
      </c>
      <c r="P1985" s="0" t="n">
        <f aca="true">RAND()</f>
        <v>0.108057640524437</v>
      </c>
      <c r="Q1985" s="0" t="n">
        <f aca="true">RAND()</f>
        <v>0.336528740265155</v>
      </c>
      <c r="R1985" s="0" t="n">
        <f aca="false">IF($I1985&lt;&gt;$O1985,0,IF(P1985&lt;Matchup!$B$39,7,IF(P1985&lt;Matchup!$B$39+Matchup!$B$40,3,0)))</f>
        <v>0</v>
      </c>
      <c r="S1985" s="0" t="n">
        <f aca="false">IF($I1985&lt;&gt;$O1985,0,IF(Q1985&lt;Matchup!$C$39,7,IF(Q1985&lt;Matchup!$C$39+Matchup!$C$40,3,0)))</f>
        <v>0</v>
      </c>
      <c r="T1985" s="0" t="n">
        <f aca="false">I1985+R1985</f>
        <v>21</v>
      </c>
      <c r="U1985" s="0" t="n">
        <f aca="false">O1985+S1985</f>
        <v>19</v>
      </c>
      <c r="V1985" s="0" t="n">
        <f aca="false">T1985-U1985</f>
        <v>2</v>
      </c>
      <c r="W1985" s="0" t="n">
        <f aca="false">T1985+U1985</f>
        <v>40</v>
      </c>
    </row>
    <row r="1986" customFormat="false" ht="15" hidden="false" customHeight="false" outlineLevel="0" collapsed="false">
      <c r="A1986" s="0" t="n">
        <v>1983</v>
      </c>
      <c r="B1986" s="0" t="n">
        <f aca="true">NORMINV(RAND(),1,Coefficients!$B$22)</f>
        <v>0.96608456870764</v>
      </c>
      <c r="C1986" s="0" t="n">
        <f aca="true">MEDIAN(8,16,ROUND(NORMINV(RAND(),Coefficients!$B$20,Coefficients!$B$21),0))</f>
        <v>12</v>
      </c>
      <c r="D1986" s="0" t="n">
        <f aca="true">CRITBINOM($C1986,MIN(0.75,Matchup!$B$39*$B1986),RAND())</f>
        <v>5</v>
      </c>
      <c r="E1986" s="0" t="n">
        <f aca="true">CRITBINOM(D1986,Coefficients!$B$30,RAND())</f>
        <v>0</v>
      </c>
      <c r="F1986" s="0" t="n">
        <f aca="true">CRITBINOM(E1986,Coefficients!$B$31,RAND())</f>
        <v>0</v>
      </c>
      <c r="G1986" s="0" t="n">
        <f aca="true">CRITBINOM(MAX(0,D1986-E1986),1-Coefficients!$B$32,RAND())</f>
        <v>0</v>
      </c>
      <c r="H1986" s="0" t="n">
        <f aca="true">CRITBINOM(MAX(0,$C1986-D1986),MIN(0.6,Matchup!$B$40*SQRT($B1986)/(1-MIN(0.75,Matchup!$B$39*$B1986))),RAND())</f>
        <v>2</v>
      </c>
      <c r="I1986" s="0" t="n">
        <f aca="false">6*D1986+(D1986-E1986-G1986)+2*F1986+3*H1986</f>
        <v>41</v>
      </c>
      <c r="J1986" s="0" t="n">
        <f aca="true">CRITBINOM($C1986,MIN(0.75,Matchup!$C$39*$B1986),RAND())</f>
        <v>5</v>
      </c>
      <c r="K1986" s="0" t="n">
        <f aca="true">CRITBINOM(J1986,Coefficients!$B$30,RAND())</f>
        <v>0</v>
      </c>
      <c r="L1986" s="0" t="n">
        <f aca="true">CRITBINOM(K1986,Coefficients!$B$31,RAND())</f>
        <v>0</v>
      </c>
      <c r="M1986" s="0" t="n">
        <f aca="true">CRITBINOM(MAX(0,J1986-K1986),1-Coefficients!$B$32,RAND())</f>
        <v>0</v>
      </c>
      <c r="N1986" s="0" t="n">
        <f aca="true">CRITBINOM(MAX(0,$C1986-J1986),MIN(0.6,Matchup!$C$40*SQRT($B1986)/(1-MIN(0.75,Matchup!$C$39*$B1986))),RAND())</f>
        <v>4</v>
      </c>
      <c r="O1986" s="0" t="n">
        <f aca="false">6*J1986+(J1986-K1986-M1986)+2*L1986+3*N1986</f>
        <v>47</v>
      </c>
      <c r="P1986" s="0" t="n">
        <f aca="true">RAND()</f>
        <v>0.918819601271192</v>
      </c>
      <c r="Q1986" s="0" t="n">
        <f aca="true">RAND()</f>
        <v>0.550981571600453</v>
      </c>
      <c r="R1986" s="0" t="n">
        <f aca="false">IF($I1986&lt;&gt;$O1986,0,IF(P1986&lt;Matchup!$B$39,7,IF(P1986&lt;Matchup!$B$39+Matchup!$B$40,3,0)))</f>
        <v>0</v>
      </c>
      <c r="S1986" s="0" t="n">
        <f aca="false">IF($I1986&lt;&gt;$O1986,0,IF(Q1986&lt;Matchup!$C$39,7,IF(Q1986&lt;Matchup!$C$39+Matchup!$C$40,3,0)))</f>
        <v>0</v>
      </c>
      <c r="T1986" s="0" t="n">
        <f aca="false">I1986+R1986</f>
        <v>41</v>
      </c>
      <c r="U1986" s="0" t="n">
        <f aca="false">O1986+S1986</f>
        <v>47</v>
      </c>
      <c r="V1986" s="0" t="n">
        <f aca="false">T1986-U1986</f>
        <v>-6</v>
      </c>
      <c r="W1986" s="0" t="n">
        <f aca="false">T1986+U1986</f>
        <v>88</v>
      </c>
    </row>
    <row r="1987" customFormat="false" ht="15" hidden="false" customHeight="false" outlineLevel="0" collapsed="false">
      <c r="A1987" s="0" t="n">
        <v>1984</v>
      </c>
      <c r="B1987" s="0" t="n">
        <f aca="true">NORMINV(RAND(),1,Coefficients!$B$22)</f>
        <v>1.10294008430794</v>
      </c>
      <c r="C1987" s="0" t="n">
        <f aca="true">MEDIAN(8,16,ROUND(NORMINV(RAND(),Coefficients!$B$20,Coefficients!$B$21),0))</f>
        <v>13</v>
      </c>
      <c r="D1987" s="0" t="n">
        <f aca="true">CRITBINOM($C1987,MIN(0.75,Matchup!$B$39*$B1987),RAND())</f>
        <v>5</v>
      </c>
      <c r="E1987" s="0" t="n">
        <f aca="true">CRITBINOM(D1987,Coefficients!$B$30,RAND())</f>
        <v>0</v>
      </c>
      <c r="F1987" s="0" t="n">
        <f aca="true">CRITBINOM(E1987,Coefficients!$B$31,RAND())</f>
        <v>0</v>
      </c>
      <c r="G1987" s="0" t="n">
        <f aca="true">CRITBINOM(MAX(0,D1987-E1987),1-Coefficients!$B$32,RAND())</f>
        <v>1</v>
      </c>
      <c r="H1987" s="0" t="n">
        <f aca="true">CRITBINOM(MAX(0,$C1987-D1987),MIN(0.6,Matchup!$B$40*SQRT($B1987)/(1-MIN(0.75,Matchup!$B$39*$B1987))),RAND())</f>
        <v>1</v>
      </c>
      <c r="I1987" s="0" t="n">
        <f aca="false">6*D1987+(D1987-E1987-G1987)+2*F1987+3*H1987</f>
        <v>37</v>
      </c>
      <c r="J1987" s="0" t="n">
        <f aca="true">CRITBINOM($C1987,MIN(0.75,Matchup!$C$39*$B1987),RAND())</f>
        <v>1</v>
      </c>
      <c r="K1987" s="0" t="n">
        <f aca="true">CRITBINOM(J1987,Coefficients!$B$30,RAND())</f>
        <v>0</v>
      </c>
      <c r="L1987" s="0" t="n">
        <f aca="true">CRITBINOM(K1987,Coefficients!$B$31,RAND())</f>
        <v>0</v>
      </c>
      <c r="M1987" s="0" t="n">
        <f aca="true">CRITBINOM(MAX(0,J1987-K1987),1-Coefficients!$B$32,RAND())</f>
        <v>0</v>
      </c>
      <c r="N1987" s="0" t="n">
        <f aca="true">CRITBINOM(MAX(0,$C1987-J1987),MIN(0.6,Matchup!$C$40*SQRT($B1987)/(1-MIN(0.75,Matchup!$C$39*$B1987))),RAND())</f>
        <v>1</v>
      </c>
      <c r="O1987" s="0" t="n">
        <f aca="false">6*J1987+(J1987-K1987-M1987)+2*L1987+3*N1987</f>
        <v>10</v>
      </c>
      <c r="P1987" s="0" t="n">
        <f aca="true">RAND()</f>
        <v>0.842602622125366</v>
      </c>
      <c r="Q1987" s="0" t="n">
        <f aca="true">RAND()</f>
        <v>0.26841262816728</v>
      </c>
      <c r="R1987" s="0" t="n">
        <f aca="false">IF($I1987&lt;&gt;$O1987,0,IF(P1987&lt;Matchup!$B$39,7,IF(P1987&lt;Matchup!$B$39+Matchup!$B$40,3,0)))</f>
        <v>0</v>
      </c>
      <c r="S1987" s="0" t="n">
        <f aca="false">IF($I1987&lt;&gt;$O1987,0,IF(Q1987&lt;Matchup!$C$39,7,IF(Q1987&lt;Matchup!$C$39+Matchup!$C$40,3,0)))</f>
        <v>0</v>
      </c>
      <c r="T1987" s="0" t="n">
        <f aca="false">I1987+R1987</f>
        <v>37</v>
      </c>
      <c r="U1987" s="0" t="n">
        <f aca="false">O1987+S1987</f>
        <v>10</v>
      </c>
      <c r="V1987" s="0" t="n">
        <f aca="false">T1987-U1987</f>
        <v>27</v>
      </c>
      <c r="W1987" s="0" t="n">
        <f aca="false">T1987+U1987</f>
        <v>47</v>
      </c>
    </row>
    <row r="1988" customFormat="false" ht="15" hidden="false" customHeight="false" outlineLevel="0" collapsed="false">
      <c r="A1988" s="0" t="n">
        <v>1985</v>
      </c>
      <c r="B1988" s="0" t="n">
        <f aca="true">NORMINV(RAND(),1,Coefficients!$B$22)</f>
        <v>1.10785299050878</v>
      </c>
      <c r="C1988" s="0" t="n">
        <f aca="true">MEDIAN(8,16,ROUND(NORMINV(RAND(),Coefficients!$B$20,Coefficients!$B$21),0))</f>
        <v>11</v>
      </c>
      <c r="D1988" s="0" t="n">
        <f aca="true">CRITBINOM($C1988,MIN(0.75,Matchup!$B$39*$B1988),RAND())</f>
        <v>4</v>
      </c>
      <c r="E1988" s="0" t="n">
        <f aca="true">CRITBINOM(D1988,Coefficients!$B$30,RAND())</f>
        <v>0</v>
      </c>
      <c r="F1988" s="0" t="n">
        <f aca="true">CRITBINOM(E1988,Coefficients!$B$31,RAND())</f>
        <v>0</v>
      </c>
      <c r="G1988" s="0" t="n">
        <f aca="true">CRITBINOM(MAX(0,D1988-E1988),1-Coefficients!$B$32,RAND())</f>
        <v>0</v>
      </c>
      <c r="H1988" s="0" t="n">
        <f aca="true">CRITBINOM(MAX(0,$C1988-D1988),MIN(0.6,Matchup!$B$40*SQRT($B1988)/(1-MIN(0.75,Matchup!$B$39*$B1988))),RAND())</f>
        <v>2</v>
      </c>
      <c r="I1988" s="0" t="n">
        <f aca="false">6*D1988+(D1988-E1988-G1988)+2*F1988+3*H1988</f>
        <v>34</v>
      </c>
      <c r="J1988" s="0" t="n">
        <f aca="true">CRITBINOM($C1988,MIN(0.75,Matchup!$C$39*$B1988),RAND())</f>
        <v>6</v>
      </c>
      <c r="K1988" s="0" t="n">
        <f aca="true">CRITBINOM(J1988,Coefficients!$B$30,RAND())</f>
        <v>0</v>
      </c>
      <c r="L1988" s="0" t="n">
        <f aca="true">CRITBINOM(K1988,Coefficients!$B$31,RAND())</f>
        <v>0</v>
      </c>
      <c r="M1988" s="0" t="n">
        <f aca="true">CRITBINOM(MAX(0,J1988-K1988),1-Coefficients!$B$32,RAND())</f>
        <v>0</v>
      </c>
      <c r="N1988" s="0" t="n">
        <f aca="true">CRITBINOM(MAX(0,$C1988-J1988),MIN(0.6,Matchup!$C$40*SQRT($B1988)/(1-MIN(0.75,Matchup!$C$39*$B1988))),RAND())</f>
        <v>2</v>
      </c>
      <c r="O1988" s="0" t="n">
        <f aca="false">6*J1988+(J1988-K1988-M1988)+2*L1988+3*N1988</f>
        <v>48</v>
      </c>
      <c r="P1988" s="0" t="n">
        <f aca="true">RAND()</f>
        <v>0.449153625756411</v>
      </c>
      <c r="Q1988" s="0" t="n">
        <f aca="true">RAND()</f>
        <v>0.917436995864129</v>
      </c>
      <c r="R1988" s="0" t="n">
        <f aca="false">IF($I1988&lt;&gt;$O1988,0,IF(P1988&lt;Matchup!$B$39,7,IF(P1988&lt;Matchup!$B$39+Matchup!$B$40,3,0)))</f>
        <v>0</v>
      </c>
      <c r="S1988" s="0" t="n">
        <f aca="false">IF($I1988&lt;&gt;$O1988,0,IF(Q1988&lt;Matchup!$C$39,7,IF(Q1988&lt;Matchup!$C$39+Matchup!$C$40,3,0)))</f>
        <v>0</v>
      </c>
      <c r="T1988" s="0" t="n">
        <f aca="false">I1988+R1988</f>
        <v>34</v>
      </c>
      <c r="U1988" s="0" t="n">
        <f aca="false">O1988+S1988</f>
        <v>48</v>
      </c>
      <c r="V1988" s="0" t="n">
        <f aca="false">T1988-U1988</f>
        <v>-14</v>
      </c>
      <c r="W1988" s="0" t="n">
        <f aca="false">T1988+U1988</f>
        <v>82</v>
      </c>
    </row>
    <row r="1989" customFormat="false" ht="15" hidden="false" customHeight="false" outlineLevel="0" collapsed="false">
      <c r="A1989" s="0" t="n">
        <v>1986</v>
      </c>
      <c r="B1989" s="0" t="n">
        <f aca="true">NORMINV(RAND(),1,Coefficients!$B$22)</f>
        <v>0.922767064715565</v>
      </c>
      <c r="C1989" s="0" t="n">
        <f aca="true">MEDIAN(8,16,ROUND(NORMINV(RAND(),Coefficients!$B$20,Coefficients!$B$21),0))</f>
        <v>10</v>
      </c>
      <c r="D1989" s="0" t="n">
        <f aca="true">CRITBINOM($C1989,MIN(0.75,Matchup!$B$39*$B1989),RAND())</f>
        <v>3</v>
      </c>
      <c r="E1989" s="0" t="n">
        <f aca="true">CRITBINOM(D1989,Coefficients!$B$30,RAND())</f>
        <v>0</v>
      </c>
      <c r="F1989" s="0" t="n">
        <f aca="true">CRITBINOM(E1989,Coefficients!$B$31,RAND())</f>
        <v>0</v>
      </c>
      <c r="G1989" s="0" t="n">
        <f aca="true">CRITBINOM(MAX(0,D1989-E1989),1-Coefficients!$B$32,RAND())</f>
        <v>0</v>
      </c>
      <c r="H1989" s="0" t="n">
        <f aca="true">CRITBINOM(MAX(0,$C1989-D1989),MIN(0.6,Matchup!$B$40*SQRT($B1989)/(1-MIN(0.75,Matchup!$B$39*$B1989))),RAND())</f>
        <v>1</v>
      </c>
      <c r="I1989" s="0" t="n">
        <f aca="false">6*D1989+(D1989-E1989-G1989)+2*F1989+3*H1989</f>
        <v>24</v>
      </c>
      <c r="J1989" s="0" t="n">
        <f aca="true">CRITBINOM($C1989,MIN(0.75,Matchup!$C$39*$B1989),RAND())</f>
        <v>1</v>
      </c>
      <c r="K1989" s="0" t="n">
        <f aca="true">CRITBINOM(J1989,Coefficients!$B$30,RAND())</f>
        <v>0</v>
      </c>
      <c r="L1989" s="0" t="n">
        <f aca="true">CRITBINOM(K1989,Coefficients!$B$31,RAND())</f>
        <v>0</v>
      </c>
      <c r="M1989" s="0" t="n">
        <f aca="true">CRITBINOM(MAX(0,J1989-K1989),1-Coefficients!$B$32,RAND())</f>
        <v>0</v>
      </c>
      <c r="N1989" s="0" t="n">
        <f aca="true">CRITBINOM(MAX(0,$C1989-J1989),MIN(0.6,Matchup!$C$40*SQRT($B1989)/(1-MIN(0.75,Matchup!$C$39*$B1989))),RAND())</f>
        <v>1</v>
      </c>
      <c r="O1989" s="0" t="n">
        <f aca="false">6*J1989+(J1989-K1989-M1989)+2*L1989+3*N1989</f>
        <v>10</v>
      </c>
      <c r="P1989" s="0" t="n">
        <f aca="true">RAND()</f>
        <v>0.00321467322824437</v>
      </c>
      <c r="Q1989" s="0" t="n">
        <f aca="true">RAND()</f>
        <v>0.00909506332663194</v>
      </c>
      <c r="R1989" s="0" t="n">
        <f aca="false">IF($I1989&lt;&gt;$O1989,0,IF(P1989&lt;Matchup!$B$39,7,IF(P1989&lt;Matchup!$B$39+Matchup!$B$40,3,0)))</f>
        <v>0</v>
      </c>
      <c r="S1989" s="0" t="n">
        <f aca="false">IF($I1989&lt;&gt;$O1989,0,IF(Q1989&lt;Matchup!$C$39,7,IF(Q1989&lt;Matchup!$C$39+Matchup!$C$40,3,0)))</f>
        <v>0</v>
      </c>
      <c r="T1989" s="0" t="n">
        <f aca="false">I1989+R1989</f>
        <v>24</v>
      </c>
      <c r="U1989" s="0" t="n">
        <f aca="false">O1989+S1989</f>
        <v>10</v>
      </c>
      <c r="V1989" s="0" t="n">
        <f aca="false">T1989-U1989</f>
        <v>14</v>
      </c>
      <c r="W1989" s="0" t="n">
        <f aca="false">T1989+U1989</f>
        <v>34</v>
      </c>
    </row>
    <row r="1990" customFormat="false" ht="15" hidden="false" customHeight="false" outlineLevel="0" collapsed="false">
      <c r="A1990" s="0" t="n">
        <v>1987</v>
      </c>
      <c r="B1990" s="0" t="n">
        <f aca="true">NORMINV(RAND(),1,Coefficients!$B$22)</f>
        <v>1.03562436447452</v>
      </c>
      <c r="C1990" s="0" t="n">
        <f aca="true">MEDIAN(8,16,ROUND(NORMINV(RAND(),Coefficients!$B$20,Coefficients!$B$21),0))</f>
        <v>11</v>
      </c>
      <c r="D1990" s="0" t="n">
        <f aca="true">CRITBINOM($C1990,MIN(0.75,Matchup!$B$39*$B1990),RAND())</f>
        <v>4</v>
      </c>
      <c r="E1990" s="0" t="n">
        <f aca="true">CRITBINOM(D1990,Coefficients!$B$30,RAND())</f>
        <v>0</v>
      </c>
      <c r="F1990" s="0" t="n">
        <f aca="true">CRITBINOM(E1990,Coefficients!$B$31,RAND())</f>
        <v>0</v>
      </c>
      <c r="G1990" s="0" t="n">
        <f aca="true">CRITBINOM(MAX(0,D1990-E1990),1-Coefficients!$B$32,RAND())</f>
        <v>1</v>
      </c>
      <c r="H1990" s="0" t="n">
        <f aca="true">CRITBINOM(MAX(0,$C1990-D1990),MIN(0.6,Matchup!$B$40*SQRT($B1990)/(1-MIN(0.75,Matchup!$B$39*$B1990))),RAND())</f>
        <v>3</v>
      </c>
      <c r="I1990" s="0" t="n">
        <f aca="false">6*D1990+(D1990-E1990-G1990)+2*F1990+3*H1990</f>
        <v>36</v>
      </c>
      <c r="J1990" s="0" t="n">
        <f aca="true">CRITBINOM($C1990,MIN(0.75,Matchup!$C$39*$B1990),RAND())</f>
        <v>2</v>
      </c>
      <c r="K1990" s="0" t="n">
        <f aca="true">CRITBINOM(J1990,Coefficients!$B$30,RAND())</f>
        <v>0</v>
      </c>
      <c r="L1990" s="0" t="n">
        <f aca="true">CRITBINOM(K1990,Coefficients!$B$31,RAND())</f>
        <v>0</v>
      </c>
      <c r="M1990" s="0" t="n">
        <f aca="true">CRITBINOM(MAX(0,J1990-K1990),1-Coefficients!$B$32,RAND())</f>
        <v>1</v>
      </c>
      <c r="N1990" s="0" t="n">
        <f aca="true">CRITBINOM(MAX(0,$C1990-J1990),MIN(0.6,Matchup!$C$40*SQRT($B1990)/(1-MIN(0.75,Matchup!$C$39*$B1990))),RAND())</f>
        <v>3</v>
      </c>
      <c r="O1990" s="0" t="n">
        <f aca="false">6*J1990+(J1990-K1990-M1990)+2*L1990+3*N1990</f>
        <v>22</v>
      </c>
      <c r="P1990" s="0" t="n">
        <f aca="true">RAND()</f>
        <v>0.10149016735945</v>
      </c>
      <c r="Q1990" s="0" t="n">
        <f aca="true">RAND()</f>
        <v>0.0997919782491995</v>
      </c>
      <c r="R1990" s="0" t="n">
        <f aca="false">IF($I1990&lt;&gt;$O1990,0,IF(P1990&lt;Matchup!$B$39,7,IF(P1990&lt;Matchup!$B$39+Matchup!$B$40,3,0)))</f>
        <v>0</v>
      </c>
      <c r="S1990" s="0" t="n">
        <f aca="false">IF($I1990&lt;&gt;$O1990,0,IF(Q1990&lt;Matchup!$C$39,7,IF(Q1990&lt;Matchup!$C$39+Matchup!$C$40,3,0)))</f>
        <v>0</v>
      </c>
      <c r="T1990" s="0" t="n">
        <f aca="false">I1990+R1990</f>
        <v>36</v>
      </c>
      <c r="U1990" s="0" t="n">
        <f aca="false">O1990+S1990</f>
        <v>22</v>
      </c>
      <c r="V1990" s="0" t="n">
        <f aca="false">T1990-U1990</f>
        <v>14</v>
      </c>
      <c r="W1990" s="0" t="n">
        <f aca="false">T1990+U1990</f>
        <v>58</v>
      </c>
    </row>
    <row r="1991" customFormat="false" ht="15" hidden="false" customHeight="false" outlineLevel="0" collapsed="false">
      <c r="A1991" s="0" t="n">
        <v>1988</v>
      </c>
      <c r="B1991" s="0" t="n">
        <f aca="true">NORMINV(RAND(),1,Coefficients!$B$22)</f>
        <v>0.852756231503032</v>
      </c>
      <c r="C1991" s="0" t="n">
        <f aca="true">MEDIAN(8,16,ROUND(NORMINV(RAND(),Coefficients!$B$20,Coefficients!$B$21),0))</f>
        <v>11</v>
      </c>
      <c r="D1991" s="0" t="n">
        <f aca="true">CRITBINOM($C1991,MIN(0.75,Matchup!$B$39*$B1991),RAND())</f>
        <v>2</v>
      </c>
      <c r="E1991" s="0" t="n">
        <f aca="true">CRITBINOM(D1991,Coefficients!$B$30,RAND())</f>
        <v>0</v>
      </c>
      <c r="F1991" s="0" t="n">
        <f aca="true">CRITBINOM(E1991,Coefficients!$B$31,RAND())</f>
        <v>0</v>
      </c>
      <c r="G1991" s="0" t="n">
        <f aca="true">CRITBINOM(MAX(0,D1991-E1991),1-Coefficients!$B$32,RAND())</f>
        <v>0</v>
      </c>
      <c r="H1991" s="0" t="n">
        <f aca="true">CRITBINOM(MAX(0,$C1991-D1991),MIN(0.6,Matchup!$B$40*SQRT($B1991)/(1-MIN(0.75,Matchup!$B$39*$B1991))),RAND())</f>
        <v>2</v>
      </c>
      <c r="I1991" s="0" t="n">
        <f aca="false">6*D1991+(D1991-E1991-G1991)+2*F1991+3*H1991</f>
        <v>20</v>
      </c>
      <c r="J1991" s="0" t="n">
        <f aca="true">CRITBINOM($C1991,MIN(0.75,Matchup!$C$39*$B1991),RAND())</f>
        <v>3</v>
      </c>
      <c r="K1991" s="0" t="n">
        <f aca="true">CRITBINOM(J1991,Coefficients!$B$30,RAND())</f>
        <v>1</v>
      </c>
      <c r="L1991" s="0" t="n">
        <f aca="true">CRITBINOM(K1991,Coefficients!$B$31,RAND())</f>
        <v>0</v>
      </c>
      <c r="M1991" s="0" t="n">
        <f aca="true">CRITBINOM(MAX(0,J1991-K1991),1-Coefficients!$B$32,RAND())</f>
        <v>0</v>
      </c>
      <c r="N1991" s="0" t="n">
        <f aca="true">CRITBINOM(MAX(0,$C1991-J1991),MIN(0.6,Matchup!$C$40*SQRT($B1991)/(1-MIN(0.75,Matchup!$C$39*$B1991))),RAND())</f>
        <v>0</v>
      </c>
      <c r="O1991" s="0" t="n">
        <f aca="false">6*J1991+(J1991-K1991-M1991)+2*L1991+3*N1991</f>
        <v>20</v>
      </c>
      <c r="P1991" s="0" t="n">
        <f aca="true">RAND()</f>
        <v>0.408006512781549</v>
      </c>
      <c r="Q1991" s="0" t="n">
        <f aca="true">RAND()</f>
        <v>0.289075210520212</v>
      </c>
      <c r="R1991" s="0" t="n">
        <f aca="false">IF($I1991&lt;&gt;$O1991,0,IF(P1991&lt;Matchup!$B$39,7,IF(P1991&lt;Matchup!$B$39+Matchup!$B$40,3,0)))</f>
        <v>0</v>
      </c>
      <c r="S1991" s="0" t="n">
        <f aca="false">IF($I1991&lt;&gt;$O1991,0,IF(Q1991&lt;Matchup!$C$39,7,IF(Q1991&lt;Matchup!$C$39+Matchup!$C$40,3,0)))</f>
        <v>3</v>
      </c>
      <c r="T1991" s="0" t="n">
        <f aca="false">I1991+R1991</f>
        <v>20</v>
      </c>
      <c r="U1991" s="0" t="n">
        <f aca="false">O1991+S1991</f>
        <v>23</v>
      </c>
      <c r="V1991" s="0" t="n">
        <f aca="false">T1991-U1991</f>
        <v>-3</v>
      </c>
      <c r="W1991" s="0" t="n">
        <f aca="false">T1991+U1991</f>
        <v>43</v>
      </c>
    </row>
    <row r="1992" customFormat="false" ht="15" hidden="false" customHeight="false" outlineLevel="0" collapsed="false">
      <c r="A1992" s="0" t="n">
        <v>1989</v>
      </c>
      <c r="B1992" s="0" t="n">
        <f aca="true">NORMINV(RAND(),1,Coefficients!$B$22)</f>
        <v>0.983118894107779</v>
      </c>
      <c r="C1992" s="0" t="n">
        <f aca="true">MEDIAN(8,16,ROUND(NORMINV(RAND(),Coefficients!$B$20,Coefficients!$B$21),0))</f>
        <v>11</v>
      </c>
      <c r="D1992" s="0" t="n">
        <f aca="true">CRITBINOM($C1992,MIN(0.75,Matchup!$B$39*$B1992),RAND())</f>
        <v>4</v>
      </c>
      <c r="E1992" s="0" t="n">
        <f aca="true">CRITBINOM(D1992,Coefficients!$B$30,RAND())</f>
        <v>0</v>
      </c>
      <c r="F1992" s="0" t="n">
        <f aca="true">CRITBINOM(E1992,Coefficients!$B$31,RAND())</f>
        <v>0</v>
      </c>
      <c r="G1992" s="0" t="n">
        <f aca="true">CRITBINOM(MAX(0,D1992-E1992),1-Coefficients!$B$32,RAND())</f>
        <v>1</v>
      </c>
      <c r="H1992" s="0" t="n">
        <f aca="true">CRITBINOM(MAX(0,$C1992-D1992),MIN(0.6,Matchup!$B$40*SQRT($B1992)/(1-MIN(0.75,Matchup!$B$39*$B1992))),RAND())</f>
        <v>1</v>
      </c>
      <c r="I1992" s="0" t="n">
        <f aca="false">6*D1992+(D1992-E1992-G1992)+2*F1992+3*H1992</f>
        <v>30</v>
      </c>
      <c r="J1992" s="0" t="n">
        <f aca="true">CRITBINOM($C1992,MIN(0.75,Matchup!$C$39*$B1992),RAND())</f>
        <v>3</v>
      </c>
      <c r="K1992" s="0" t="n">
        <f aca="true">CRITBINOM(J1992,Coefficients!$B$30,RAND())</f>
        <v>0</v>
      </c>
      <c r="L1992" s="0" t="n">
        <f aca="true">CRITBINOM(K1992,Coefficients!$B$31,RAND())</f>
        <v>0</v>
      </c>
      <c r="M1992" s="0" t="n">
        <f aca="true">CRITBINOM(MAX(0,J1992-K1992),1-Coefficients!$B$32,RAND())</f>
        <v>0</v>
      </c>
      <c r="N1992" s="0" t="n">
        <f aca="true">CRITBINOM(MAX(0,$C1992-J1992),MIN(0.6,Matchup!$C$40*SQRT($B1992)/(1-MIN(0.75,Matchup!$C$39*$B1992))),RAND())</f>
        <v>2</v>
      </c>
      <c r="O1992" s="0" t="n">
        <f aca="false">6*J1992+(J1992-K1992-M1992)+2*L1992+3*N1992</f>
        <v>27</v>
      </c>
      <c r="P1992" s="0" t="n">
        <f aca="true">RAND()</f>
        <v>0.0461191884812375</v>
      </c>
      <c r="Q1992" s="0" t="n">
        <f aca="true">RAND()</f>
        <v>0.00597999383759428</v>
      </c>
      <c r="R1992" s="0" t="n">
        <f aca="false">IF($I1992&lt;&gt;$O1992,0,IF(P1992&lt;Matchup!$B$39,7,IF(P1992&lt;Matchup!$B$39+Matchup!$B$40,3,0)))</f>
        <v>0</v>
      </c>
      <c r="S1992" s="0" t="n">
        <f aca="false">IF($I1992&lt;&gt;$O1992,0,IF(Q1992&lt;Matchup!$C$39,7,IF(Q1992&lt;Matchup!$C$39+Matchup!$C$40,3,0)))</f>
        <v>0</v>
      </c>
      <c r="T1992" s="0" t="n">
        <f aca="false">I1992+R1992</f>
        <v>30</v>
      </c>
      <c r="U1992" s="0" t="n">
        <f aca="false">O1992+S1992</f>
        <v>27</v>
      </c>
      <c r="V1992" s="0" t="n">
        <f aca="false">T1992-U1992</f>
        <v>3</v>
      </c>
      <c r="W1992" s="0" t="n">
        <f aca="false">T1992+U1992</f>
        <v>57</v>
      </c>
    </row>
    <row r="1993" customFormat="false" ht="15" hidden="false" customHeight="false" outlineLevel="0" collapsed="false">
      <c r="A1993" s="0" t="n">
        <v>1990</v>
      </c>
      <c r="B1993" s="0" t="n">
        <f aca="true">NORMINV(RAND(),1,Coefficients!$B$22)</f>
        <v>1.08138014502849</v>
      </c>
      <c r="C1993" s="0" t="n">
        <f aca="true">MEDIAN(8,16,ROUND(NORMINV(RAND(),Coefficients!$B$20,Coefficients!$B$21),0))</f>
        <v>13</v>
      </c>
      <c r="D1993" s="0" t="n">
        <f aca="true">CRITBINOM($C1993,MIN(0.75,Matchup!$B$39*$B1993),RAND())</f>
        <v>2</v>
      </c>
      <c r="E1993" s="0" t="n">
        <f aca="true">CRITBINOM(D1993,Coefficients!$B$30,RAND())</f>
        <v>0</v>
      </c>
      <c r="F1993" s="0" t="n">
        <f aca="true">CRITBINOM(E1993,Coefficients!$B$31,RAND())</f>
        <v>0</v>
      </c>
      <c r="G1993" s="0" t="n">
        <f aca="true">CRITBINOM(MAX(0,D1993-E1993),1-Coefficients!$B$32,RAND())</f>
        <v>0</v>
      </c>
      <c r="H1993" s="0" t="n">
        <f aca="true">CRITBINOM(MAX(0,$C1993-D1993),MIN(0.6,Matchup!$B$40*SQRT($B1993)/(1-MIN(0.75,Matchup!$B$39*$B1993))),RAND())</f>
        <v>1</v>
      </c>
      <c r="I1993" s="0" t="n">
        <f aca="false">6*D1993+(D1993-E1993-G1993)+2*F1993+3*H1993</f>
        <v>17</v>
      </c>
      <c r="J1993" s="0" t="n">
        <f aca="true">CRITBINOM($C1993,MIN(0.75,Matchup!$C$39*$B1993),RAND())</f>
        <v>1</v>
      </c>
      <c r="K1993" s="0" t="n">
        <f aca="true">CRITBINOM(J1993,Coefficients!$B$30,RAND())</f>
        <v>0</v>
      </c>
      <c r="L1993" s="0" t="n">
        <f aca="true">CRITBINOM(K1993,Coefficients!$B$31,RAND())</f>
        <v>0</v>
      </c>
      <c r="M1993" s="0" t="n">
        <f aca="true">CRITBINOM(MAX(0,J1993-K1993),1-Coefficients!$B$32,RAND())</f>
        <v>0</v>
      </c>
      <c r="N1993" s="0" t="n">
        <f aca="true">CRITBINOM(MAX(0,$C1993-J1993),MIN(0.6,Matchup!$C$40*SQRT($B1993)/(1-MIN(0.75,Matchup!$C$39*$B1993))),RAND())</f>
        <v>1</v>
      </c>
      <c r="O1993" s="0" t="n">
        <f aca="false">6*J1993+(J1993-K1993-M1993)+2*L1993+3*N1993</f>
        <v>10</v>
      </c>
      <c r="P1993" s="0" t="n">
        <f aca="true">RAND()</f>
        <v>0.996971795440374</v>
      </c>
      <c r="Q1993" s="0" t="n">
        <f aca="true">RAND()</f>
        <v>0.242611715699281</v>
      </c>
      <c r="R1993" s="0" t="n">
        <f aca="false">IF($I1993&lt;&gt;$O1993,0,IF(P1993&lt;Matchup!$B$39,7,IF(P1993&lt;Matchup!$B$39+Matchup!$B$40,3,0)))</f>
        <v>0</v>
      </c>
      <c r="S1993" s="0" t="n">
        <f aca="false">IF($I1993&lt;&gt;$O1993,0,IF(Q1993&lt;Matchup!$C$39,7,IF(Q1993&lt;Matchup!$C$39+Matchup!$C$40,3,0)))</f>
        <v>0</v>
      </c>
      <c r="T1993" s="0" t="n">
        <f aca="false">I1993+R1993</f>
        <v>17</v>
      </c>
      <c r="U1993" s="0" t="n">
        <f aca="false">O1993+S1993</f>
        <v>10</v>
      </c>
      <c r="V1993" s="0" t="n">
        <f aca="false">T1993-U1993</f>
        <v>7</v>
      </c>
      <c r="W1993" s="0" t="n">
        <f aca="false">T1993+U1993</f>
        <v>27</v>
      </c>
    </row>
    <row r="1994" customFormat="false" ht="15" hidden="false" customHeight="false" outlineLevel="0" collapsed="false">
      <c r="A1994" s="0" t="n">
        <v>1991</v>
      </c>
      <c r="B1994" s="0" t="n">
        <f aca="true">NORMINV(RAND(),1,Coefficients!$B$22)</f>
        <v>1.03649807271249</v>
      </c>
      <c r="C1994" s="0" t="n">
        <f aca="true">MEDIAN(8,16,ROUND(NORMINV(RAND(),Coefficients!$B$20,Coefficients!$B$21),0))</f>
        <v>11</v>
      </c>
      <c r="D1994" s="0" t="n">
        <f aca="true">CRITBINOM($C1994,MIN(0.75,Matchup!$B$39*$B1994),RAND())</f>
        <v>2</v>
      </c>
      <c r="E1994" s="0" t="n">
        <f aca="true">CRITBINOM(D1994,Coefficients!$B$30,RAND())</f>
        <v>0</v>
      </c>
      <c r="F1994" s="0" t="n">
        <f aca="true">CRITBINOM(E1994,Coefficients!$B$31,RAND())</f>
        <v>0</v>
      </c>
      <c r="G1994" s="0" t="n">
        <f aca="true">CRITBINOM(MAX(0,D1994-E1994),1-Coefficients!$B$32,RAND())</f>
        <v>0</v>
      </c>
      <c r="H1994" s="0" t="n">
        <f aca="true">CRITBINOM(MAX(0,$C1994-D1994),MIN(0.6,Matchup!$B$40*SQRT($B1994)/(1-MIN(0.75,Matchup!$B$39*$B1994))),RAND())</f>
        <v>1</v>
      </c>
      <c r="I1994" s="0" t="n">
        <f aca="false">6*D1994+(D1994-E1994-G1994)+2*F1994+3*H1994</f>
        <v>17</v>
      </c>
      <c r="J1994" s="0" t="n">
        <f aca="true">CRITBINOM($C1994,MIN(0.75,Matchup!$C$39*$B1994),RAND())</f>
        <v>2</v>
      </c>
      <c r="K1994" s="0" t="n">
        <f aca="true">CRITBINOM(J1994,Coefficients!$B$30,RAND())</f>
        <v>1</v>
      </c>
      <c r="L1994" s="0" t="n">
        <f aca="true">CRITBINOM(K1994,Coefficients!$B$31,RAND())</f>
        <v>0</v>
      </c>
      <c r="M1994" s="0" t="n">
        <f aca="true">CRITBINOM(MAX(0,J1994-K1994),1-Coefficients!$B$32,RAND())</f>
        <v>0</v>
      </c>
      <c r="N1994" s="0" t="n">
        <f aca="true">CRITBINOM(MAX(0,$C1994-J1994),MIN(0.6,Matchup!$C$40*SQRT($B1994)/(1-MIN(0.75,Matchup!$C$39*$B1994))),RAND())</f>
        <v>2</v>
      </c>
      <c r="O1994" s="0" t="n">
        <f aca="false">6*J1994+(J1994-K1994-M1994)+2*L1994+3*N1994</f>
        <v>19</v>
      </c>
      <c r="P1994" s="0" t="n">
        <f aca="true">RAND()</f>
        <v>0.697482686556644</v>
      </c>
      <c r="Q1994" s="0" t="n">
        <f aca="true">RAND()</f>
        <v>0.0884092759425273</v>
      </c>
      <c r="R1994" s="0" t="n">
        <f aca="false">IF($I1994&lt;&gt;$O1994,0,IF(P1994&lt;Matchup!$B$39,7,IF(P1994&lt;Matchup!$B$39+Matchup!$B$40,3,0)))</f>
        <v>0</v>
      </c>
      <c r="S1994" s="0" t="n">
        <f aca="false">IF($I1994&lt;&gt;$O1994,0,IF(Q1994&lt;Matchup!$C$39,7,IF(Q1994&lt;Matchup!$C$39+Matchup!$C$40,3,0)))</f>
        <v>0</v>
      </c>
      <c r="T1994" s="0" t="n">
        <f aca="false">I1994+R1994</f>
        <v>17</v>
      </c>
      <c r="U1994" s="0" t="n">
        <f aca="false">O1994+S1994</f>
        <v>19</v>
      </c>
      <c r="V1994" s="0" t="n">
        <f aca="false">T1994-U1994</f>
        <v>-2</v>
      </c>
      <c r="W1994" s="0" t="n">
        <f aca="false">T1994+U1994</f>
        <v>36</v>
      </c>
    </row>
    <row r="1995" customFormat="false" ht="15" hidden="false" customHeight="false" outlineLevel="0" collapsed="false">
      <c r="A1995" s="0" t="n">
        <v>1992</v>
      </c>
      <c r="B1995" s="0" t="n">
        <f aca="true">NORMINV(RAND(),1,Coefficients!$B$22)</f>
        <v>1.10334255003713</v>
      </c>
      <c r="C1995" s="0" t="n">
        <f aca="true">MEDIAN(8,16,ROUND(NORMINV(RAND(),Coefficients!$B$20,Coefficients!$B$21),0))</f>
        <v>11</v>
      </c>
      <c r="D1995" s="0" t="n">
        <f aca="true">CRITBINOM($C1995,MIN(0.75,Matchup!$B$39*$B1995),RAND())</f>
        <v>3</v>
      </c>
      <c r="E1995" s="0" t="n">
        <f aca="true">CRITBINOM(D1995,Coefficients!$B$30,RAND())</f>
        <v>0</v>
      </c>
      <c r="F1995" s="0" t="n">
        <f aca="true">CRITBINOM(E1995,Coefficients!$B$31,RAND())</f>
        <v>0</v>
      </c>
      <c r="G1995" s="0" t="n">
        <f aca="true">CRITBINOM(MAX(0,D1995-E1995),1-Coefficients!$B$32,RAND())</f>
        <v>0</v>
      </c>
      <c r="H1995" s="0" t="n">
        <f aca="true">CRITBINOM(MAX(0,$C1995-D1995),MIN(0.6,Matchup!$B$40*SQRT($B1995)/(1-MIN(0.75,Matchup!$B$39*$B1995))),RAND())</f>
        <v>1</v>
      </c>
      <c r="I1995" s="0" t="n">
        <f aca="false">6*D1995+(D1995-E1995-G1995)+2*F1995+3*H1995</f>
        <v>24</v>
      </c>
      <c r="J1995" s="0" t="n">
        <f aca="true">CRITBINOM($C1995,MIN(0.75,Matchup!$C$39*$B1995),RAND())</f>
        <v>1</v>
      </c>
      <c r="K1995" s="0" t="n">
        <f aca="true">CRITBINOM(J1995,Coefficients!$B$30,RAND())</f>
        <v>0</v>
      </c>
      <c r="L1995" s="0" t="n">
        <f aca="true">CRITBINOM(K1995,Coefficients!$B$31,RAND())</f>
        <v>0</v>
      </c>
      <c r="M1995" s="0" t="n">
        <f aca="true">CRITBINOM(MAX(0,J1995-K1995),1-Coefficients!$B$32,RAND())</f>
        <v>0</v>
      </c>
      <c r="N1995" s="0" t="n">
        <f aca="true">CRITBINOM(MAX(0,$C1995-J1995),MIN(0.6,Matchup!$C$40*SQRT($B1995)/(1-MIN(0.75,Matchup!$C$39*$B1995))),RAND())</f>
        <v>3</v>
      </c>
      <c r="O1995" s="0" t="n">
        <f aca="false">6*J1995+(J1995-K1995-M1995)+2*L1995+3*N1995</f>
        <v>16</v>
      </c>
      <c r="P1995" s="0" t="n">
        <f aca="true">RAND()</f>
        <v>0.645247488862383</v>
      </c>
      <c r="Q1995" s="0" t="n">
        <f aca="true">RAND()</f>
        <v>0.188494597225978</v>
      </c>
      <c r="R1995" s="0" t="n">
        <f aca="false">IF($I1995&lt;&gt;$O1995,0,IF(P1995&lt;Matchup!$B$39,7,IF(P1995&lt;Matchup!$B$39+Matchup!$B$40,3,0)))</f>
        <v>0</v>
      </c>
      <c r="S1995" s="0" t="n">
        <f aca="false">IF($I1995&lt;&gt;$O1995,0,IF(Q1995&lt;Matchup!$C$39,7,IF(Q1995&lt;Matchup!$C$39+Matchup!$C$40,3,0)))</f>
        <v>0</v>
      </c>
      <c r="T1995" s="0" t="n">
        <f aca="false">I1995+R1995</f>
        <v>24</v>
      </c>
      <c r="U1995" s="0" t="n">
        <f aca="false">O1995+S1995</f>
        <v>16</v>
      </c>
      <c r="V1995" s="0" t="n">
        <f aca="false">T1995-U1995</f>
        <v>8</v>
      </c>
      <c r="W1995" s="0" t="n">
        <f aca="false">T1995+U1995</f>
        <v>40</v>
      </c>
    </row>
    <row r="1996" customFormat="false" ht="15" hidden="false" customHeight="false" outlineLevel="0" collapsed="false">
      <c r="A1996" s="0" t="n">
        <v>1993</v>
      </c>
      <c r="B1996" s="0" t="n">
        <f aca="true">NORMINV(RAND(),1,Coefficients!$B$22)</f>
        <v>0.997479888346943</v>
      </c>
      <c r="C1996" s="0" t="n">
        <f aca="true">MEDIAN(8,16,ROUND(NORMINV(RAND(),Coefficients!$B$20,Coefficients!$B$21),0))</f>
        <v>11</v>
      </c>
      <c r="D1996" s="0" t="n">
        <f aca="true">CRITBINOM($C1996,MIN(0.75,Matchup!$B$39*$B1996),RAND())</f>
        <v>3</v>
      </c>
      <c r="E1996" s="0" t="n">
        <f aca="true">CRITBINOM(D1996,Coefficients!$B$30,RAND())</f>
        <v>1</v>
      </c>
      <c r="F1996" s="0" t="n">
        <f aca="true">CRITBINOM(E1996,Coefficients!$B$31,RAND())</f>
        <v>0</v>
      </c>
      <c r="G1996" s="0" t="n">
        <f aca="true">CRITBINOM(MAX(0,D1996-E1996),1-Coefficients!$B$32,RAND())</f>
        <v>0</v>
      </c>
      <c r="H1996" s="0" t="n">
        <f aca="true">CRITBINOM(MAX(0,$C1996-D1996),MIN(0.6,Matchup!$B$40*SQRT($B1996)/(1-MIN(0.75,Matchup!$B$39*$B1996))),RAND())</f>
        <v>0</v>
      </c>
      <c r="I1996" s="0" t="n">
        <f aca="false">6*D1996+(D1996-E1996-G1996)+2*F1996+3*H1996</f>
        <v>20</v>
      </c>
      <c r="J1996" s="0" t="n">
        <f aca="true">CRITBINOM($C1996,MIN(0.75,Matchup!$C$39*$B1996),RAND())</f>
        <v>1</v>
      </c>
      <c r="K1996" s="0" t="n">
        <f aca="true">CRITBINOM(J1996,Coefficients!$B$30,RAND())</f>
        <v>0</v>
      </c>
      <c r="L1996" s="0" t="n">
        <f aca="true">CRITBINOM(K1996,Coefficients!$B$31,RAND())</f>
        <v>0</v>
      </c>
      <c r="M1996" s="0" t="n">
        <f aca="true">CRITBINOM(MAX(0,J1996-K1996),1-Coefficients!$B$32,RAND())</f>
        <v>0</v>
      </c>
      <c r="N1996" s="0" t="n">
        <f aca="true">CRITBINOM(MAX(0,$C1996-J1996),MIN(0.6,Matchup!$C$40*SQRT($B1996)/(1-MIN(0.75,Matchup!$C$39*$B1996))),RAND())</f>
        <v>3</v>
      </c>
      <c r="O1996" s="0" t="n">
        <f aca="false">6*J1996+(J1996-K1996-M1996)+2*L1996+3*N1996</f>
        <v>16</v>
      </c>
      <c r="P1996" s="0" t="n">
        <f aca="true">RAND()</f>
        <v>0.480562944097975</v>
      </c>
      <c r="Q1996" s="0" t="n">
        <f aca="true">RAND()</f>
        <v>0.682825597981057</v>
      </c>
      <c r="R1996" s="0" t="n">
        <f aca="false">IF($I1996&lt;&gt;$O1996,0,IF(P1996&lt;Matchup!$B$39,7,IF(P1996&lt;Matchup!$B$39+Matchup!$B$40,3,0)))</f>
        <v>0</v>
      </c>
      <c r="S1996" s="0" t="n">
        <f aca="false">IF($I1996&lt;&gt;$O1996,0,IF(Q1996&lt;Matchup!$C$39,7,IF(Q1996&lt;Matchup!$C$39+Matchup!$C$40,3,0)))</f>
        <v>0</v>
      </c>
      <c r="T1996" s="0" t="n">
        <f aca="false">I1996+R1996</f>
        <v>20</v>
      </c>
      <c r="U1996" s="0" t="n">
        <f aca="false">O1996+S1996</f>
        <v>16</v>
      </c>
      <c r="V1996" s="0" t="n">
        <f aca="false">T1996-U1996</f>
        <v>4</v>
      </c>
      <c r="W1996" s="0" t="n">
        <f aca="false">T1996+U1996</f>
        <v>36</v>
      </c>
    </row>
    <row r="1997" customFormat="false" ht="15" hidden="false" customHeight="false" outlineLevel="0" collapsed="false">
      <c r="A1997" s="0" t="n">
        <v>1994</v>
      </c>
      <c r="B1997" s="0" t="n">
        <f aca="true">NORMINV(RAND(),1,Coefficients!$B$22)</f>
        <v>1.00327361420637</v>
      </c>
      <c r="C1997" s="0" t="n">
        <f aca="true">MEDIAN(8,16,ROUND(NORMINV(RAND(),Coefficients!$B$20,Coefficients!$B$21),0))</f>
        <v>12</v>
      </c>
      <c r="D1997" s="0" t="n">
        <f aca="true">CRITBINOM($C1997,MIN(0.75,Matchup!$B$39*$B1997),RAND())</f>
        <v>6</v>
      </c>
      <c r="E1997" s="0" t="n">
        <f aca="true">CRITBINOM(D1997,Coefficients!$B$30,RAND())</f>
        <v>1</v>
      </c>
      <c r="F1997" s="0" t="n">
        <f aca="true">CRITBINOM(E1997,Coefficients!$B$31,RAND())</f>
        <v>1</v>
      </c>
      <c r="G1997" s="0" t="n">
        <f aca="true">CRITBINOM(MAX(0,D1997-E1997),1-Coefficients!$B$32,RAND())</f>
        <v>0</v>
      </c>
      <c r="H1997" s="0" t="n">
        <f aca="true">CRITBINOM(MAX(0,$C1997-D1997),MIN(0.6,Matchup!$B$40*SQRT($B1997)/(1-MIN(0.75,Matchup!$B$39*$B1997))),RAND())</f>
        <v>1</v>
      </c>
      <c r="I1997" s="0" t="n">
        <f aca="false">6*D1997+(D1997-E1997-G1997)+2*F1997+3*H1997</f>
        <v>46</v>
      </c>
      <c r="J1997" s="0" t="n">
        <f aca="true">CRITBINOM($C1997,MIN(0.75,Matchup!$C$39*$B1997),RAND())</f>
        <v>4</v>
      </c>
      <c r="K1997" s="0" t="n">
        <f aca="true">CRITBINOM(J1997,Coefficients!$B$30,RAND())</f>
        <v>0</v>
      </c>
      <c r="L1997" s="0" t="n">
        <f aca="true">CRITBINOM(K1997,Coefficients!$B$31,RAND())</f>
        <v>0</v>
      </c>
      <c r="M1997" s="0" t="n">
        <f aca="true">CRITBINOM(MAX(0,J1997-K1997),1-Coefficients!$B$32,RAND())</f>
        <v>1</v>
      </c>
      <c r="N1997" s="0" t="n">
        <f aca="true">CRITBINOM(MAX(0,$C1997-J1997),MIN(0.6,Matchup!$C$40*SQRT($B1997)/(1-MIN(0.75,Matchup!$C$39*$B1997))),RAND())</f>
        <v>3</v>
      </c>
      <c r="O1997" s="0" t="n">
        <f aca="false">6*J1997+(J1997-K1997-M1997)+2*L1997+3*N1997</f>
        <v>36</v>
      </c>
      <c r="P1997" s="0" t="n">
        <f aca="true">RAND()</f>
        <v>0.329442864881849</v>
      </c>
      <c r="Q1997" s="0" t="n">
        <f aca="true">RAND()</f>
        <v>0.125511332512757</v>
      </c>
      <c r="R1997" s="0" t="n">
        <f aca="false">IF($I1997&lt;&gt;$O1997,0,IF(P1997&lt;Matchup!$B$39,7,IF(P1997&lt;Matchup!$B$39+Matchup!$B$40,3,0)))</f>
        <v>0</v>
      </c>
      <c r="S1997" s="0" t="n">
        <f aca="false">IF($I1997&lt;&gt;$O1997,0,IF(Q1997&lt;Matchup!$C$39,7,IF(Q1997&lt;Matchup!$C$39+Matchup!$C$40,3,0)))</f>
        <v>0</v>
      </c>
      <c r="T1997" s="0" t="n">
        <f aca="false">I1997+R1997</f>
        <v>46</v>
      </c>
      <c r="U1997" s="0" t="n">
        <f aca="false">O1997+S1997</f>
        <v>36</v>
      </c>
      <c r="V1997" s="0" t="n">
        <f aca="false">T1997-U1997</f>
        <v>10</v>
      </c>
      <c r="W1997" s="0" t="n">
        <f aca="false">T1997+U1997</f>
        <v>82</v>
      </c>
    </row>
    <row r="1998" customFormat="false" ht="15" hidden="false" customHeight="false" outlineLevel="0" collapsed="false">
      <c r="A1998" s="0" t="n">
        <v>1995</v>
      </c>
      <c r="B1998" s="0" t="n">
        <f aca="true">NORMINV(RAND(),1,Coefficients!$B$22)</f>
        <v>0.977756962237892</v>
      </c>
      <c r="C1998" s="0" t="n">
        <f aca="true">MEDIAN(8,16,ROUND(NORMINV(RAND(),Coefficients!$B$20,Coefficients!$B$21),0))</f>
        <v>10</v>
      </c>
      <c r="D1998" s="0" t="n">
        <f aca="true">CRITBINOM($C1998,MIN(0.75,Matchup!$B$39*$B1998),RAND())</f>
        <v>2</v>
      </c>
      <c r="E1998" s="0" t="n">
        <f aca="true">CRITBINOM(D1998,Coefficients!$B$30,RAND())</f>
        <v>1</v>
      </c>
      <c r="F1998" s="0" t="n">
        <f aca="true">CRITBINOM(E1998,Coefficients!$B$31,RAND())</f>
        <v>0</v>
      </c>
      <c r="G1998" s="0" t="n">
        <f aca="true">CRITBINOM(MAX(0,D1998-E1998),1-Coefficients!$B$32,RAND())</f>
        <v>0</v>
      </c>
      <c r="H1998" s="0" t="n">
        <f aca="true">CRITBINOM(MAX(0,$C1998-D1998),MIN(0.6,Matchup!$B$40*SQRT($B1998)/(1-MIN(0.75,Matchup!$B$39*$B1998))),RAND())</f>
        <v>1</v>
      </c>
      <c r="I1998" s="0" t="n">
        <f aca="false">6*D1998+(D1998-E1998-G1998)+2*F1998+3*H1998</f>
        <v>16</v>
      </c>
      <c r="J1998" s="0" t="n">
        <f aca="true">CRITBINOM($C1998,MIN(0.75,Matchup!$C$39*$B1998),RAND())</f>
        <v>3</v>
      </c>
      <c r="K1998" s="0" t="n">
        <f aca="true">CRITBINOM(J1998,Coefficients!$B$30,RAND())</f>
        <v>1</v>
      </c>
      <c r="L1998" s="0" t="n">
        <f aca="true">CRITBINOM(K1998,Coefficients!$B$31,RAND())</f>
        <v>1</v>
      </c>
      <c r="M1998" s="0" t="n">
        <f aca="true">CRITBINOM(MAX(0,J1998-K1998),1-Coefficients!$B$32,RAND())</f>
        <v>0</v>
      </c>
      <c r="N1998" s="0" t="n">
        <f aca="true">CRITBINOM(MAX(0,$C1998-J1998),MIN(0.6,Matchup!$C$40*SQRT($B1998)/(1-MIN(0.75,Matchup!$C$39*$B1998))),RAND())</f>
        <v>2</v>
      </c>
      <c r="O1998" s="0" t="n">
        <f aca="false">6*J1998+(J1998-K1998-M1998)+2*L1998+3*N1998</f>
        <v>28</v>
      </c>
      <c r="P1998" s="0" t="n">
        <f aca="true">RAND()</f>
        <v>0.325936028736905</v>
      </c>
      <c r="Q1998" s="0" t="n">
        <f aca="true">RAND()</f>
        <v>0.231397047382598</v>
      </c>
      <c r="R1998" s="0" t="n">
        <f aca="false">IF($I1998&lt;&gt;$O1998,0,IF(P1998&lt;Matchup!$B$39,7,IF(P1998&lt;Matchup!$B$39+Matchup!$B$40,3,0)))</f>
        <v>0</v>
      </c>
      <c r="S1998" s="0" t="n">
        <f aca="false">IF($I1998&lt;&gt;$O1998,0,IF(Q1998&lt;Matchup!$C$39,7,IF(Q1998&lt;Matchup!$C$39+Matchup!$C$40,3,0)))</f>
        <v>0</v>
      </c>
      <c r="T1998" s="0" t="n">
        <f aca="false">I1998+R1998</f>
        <v>16</v>
      </c>
      <c r="U1998" s="0" t="n">
        <f aca="false">O1998+S1998</f>
        <v>28</v>
      </c>
      <c r="V1998" s="0" t="n">
        <f aca="false">T1998-U1998</f>
        <v>-12</v>
      </c>
      <c r="W1998" s="0" t="n">
        <f aca="false">T1998+U1998</f>
        <v>44</v>
      </c>
    </row>
    <row r="1999" customFormat="false" ht="15" hidden="false" customHeight="false" outlineLevel="0" collapsed="false">
      <c r="A1999" s="0" t="n">
        <v>1996</v>
      </c>
      <c r="B1999" s="0" t="n">
        <f aca="true">NORMINV(RAND(),1,Coefficients!$B$22)</f>
        <v>1.17537617642669</v>
      </c>
      <c r="C1999" s="0" t="n">
        <f aca="true">MEDIAN(8,16,ROUND(NORMINV(RAND(),Coefficients!$B$20,Coefficients!$B$21),0))</f>
        <v>10</v>
      </c>
      <c r="D1999" s="0" t="n">
        <f aca="true">CRITBINOM($C1999,MIN(0.75,Matchup!$B$39*$B1999),RAND())</f>
        <v>2</v>
      </c>
      <c r="E1999" s="0" t="n">
        <f aca="true">CRITBINOM(D1999,Coefficients!$B$30,RAND())</f>
        <v>0</v>
      </c>
      <c r="F1999" s="0" t="n">
        <f aca="true">CRITBINOM(E1999,Coefficients!$B$31,RAND())</f>
        <v>0</v>
      </c>
      <c r="G1999" s="0" t="n">
        <f aca="true">CRITBINOM(MAX(0,D1999-E1999),1-Coefficients!$B$32,RAND())</f>
        <v>0</v>
      </c>
      <c r="H1999" s="0" t="n">
        <f aca="true">CRITBINOM(MAX(0,$C1999-D1999),MIN(0.6,Matchup!$B$40*SQRT($B1999)/(1-MIN(0.75,Matchup!$B$39*$B1999))),RAND())</f>
        <v>1</v>
      </c>
      <c r="I1999" s="0" t="n">
        <f aca="false">6*D1999+(D1999-E1999-G1999)+2*F1999+3*H1999</f>
        <v>17</v>
      </c>
      <c r="J1999" s="0" t="n">
        <f aca="true">CRITBINOM($C1999,MIN(0.75,Matchup!$C$39*$B1999),RAND())</f>
        <v>4</v>
      </c>
      <c r="K1999" s="0" t="n">
        <f aca="true">CRITBINOM(J1999,Coefficients!$B$30,RAND())</f>
        <v>1</v>
      </c>
      <c r="L1999" s="0" t="n">
        <f aca="true">CRITBINOM(K1999,Coefficients!$B$31,RAND())</f>
        <v>0</v>
      </c>
      <c r="M1999" s="0" t="n">
        <f aca="true">CRITBINOM(MAX(0,J1999-K1999),1-Coefficients!$B$32,RAND())</f>
        <v>0</v>
      </c>
      <c r="N1999" s="0" t="n">
        <f aca="true">CRITBINOM(MAX(0,$C1999-J1999),MIN(0.6,Matchup!$C$40*SQRT($B1999)/(1-MIN(0.75,Matchup!$C$39*$B1999))),RAND())</f>
        <v>3</v>
      </c>
      <c r="O1999" s="0" t="n">
        <f aca="false">6*J1999+(J1999-K1999-M1999)+2*L1999+3*N1999</f>
        <v>36</v>
      </c>
      <c r="P1999" s="0" t="n">
        <f aca="true">RAND()</f>
        <v>0.042186958759045</v>
      </c>
      <c r="Q1999" s="0" t="n">
        <f aca="true">RAND()</f>
        <v>0.788863988735555</v>
      </c>
      <c r="R1999" s="0" t="n">
        <f aca="false">IF($I1999&lt;&gt;$O1999,0,IF(P1999&lt;Matchup!$B$39,7,IF(P1999&lt;Matchup!$B$39+Matchup!$B$40,3,0)))</f>
        <v>0</v>
      </c>
      <c r="S1999" s="0" t="n">
        <f aca="false">IF($I1999&lt;&gt;$O1999,0,IF(Q1999&lt;Matchup!$C$39,7,IF(Q1999&lt;Matchup!$C$39+Matchup!$C$40,3,0)))</f>
        <v>0</v>
      </c>
      <c r="T1999" s="0" t="n">
        <f aca="false">I1999+R1999</f>
        <v>17</v>
      </c>
      <c r="U1999" s="0" t="n">
        <f aca="false">O1999+S1999</f>
        <v>36</v>
      </c>
      <c r="V1999" s="0" t="n">
        <f aca="false">T1999-U1999</f>
        <v>-19</v>
      </c>
      <c r="W1999" s="0" t="n">
        <f aca="false">T1999+U1999</f>
        <v>53</v>
      </c>
    </row>
    <row r="2000" customFormat="false" ht="15" hidden="false" customHeight="false" outlineLevel="0" collapsed="false">
      <c r="A2000" s="0" t="n">
        <v>1997</v>
      </c>
      <c r="B2000" s="0" t="n">
        <f aca="true">NORMINV(RAND(),1,Coefficients!$B$22)</f>
        <v>0.977214130686896</v>
      </c>
      <c r="C2000" s="0" t="n">
        <f aca="true">MEDIAN(8,16,ROUND(NORMINV(RAND(),Coefficients!$B$20,Coefficients!$B$21),0))</f>
        <v>10</v>
      </c>
      <c r="D2000" s="0" t="n">
        <f aca="true">CRITBINOM($C2000,MIN(0.75,Matchup!$B$39*$B2000),RAND())</f>
        <v>0</v>
      </c>
      <c r="E2000" s="0" t="n">
        <f aca="true">CRITBINOM(D2000,Coefficients!$B$30,RAND())</f>
        <v>0</v>
      </c>
      <c r="F2000" s="0" t="n">
        <f aca="true">CRITBINOM(E2000,Coefficients!$B$31,RAND())</f>
        <v>0</v>
      </c>
      <c r="G2000" s="0" t="n">
        <f aca="true">CRITBINOM(MAX(0,D2000-E2000),1-Coefficients!$B$32,RAND())</f>
        <v>0</v>
      </c>
      <c r="H2000" s="0" t="n">
        <f aca="true">CRITBINOM(MAX(0,$C2000-D2000),MIN(0.6,Matchup!$B$40*SQRT($B2000)/(1-MIN(0.75,Matchup!$B$39*$B2000))),RAND())</f>
        <v>4</v>
      </c>
      <c r="I2000" s="0" t="n">
        <f aca="false">6*D2000+(D2000-E2000-G2000)+2*F2000+3*H2000</f>
        <v>12</v>
      </c>
      <c r="J2000" s="0" t="n">
        <f aca="true">CRITBINOM($C2000,MIN(0.75,Matchup!$C$39*$B2000),RAND())</f>
        <v>1</v>
      </c>
      <c r="K2000" s="0" t="n">
        <f aca="true">CRITBINOM(J2000,Coefficients!$B$30,RAND())</f>
        <v>0</v>
      </c>
      <c r="L2000" s="0" t="n">
        <f aca="true">CRITBINOM(K2000,Coefficients!$B$31,RAND())</f>
        <v>0</v>
      </c>
      <c r="M2000" s="0" t="n">
        <f aca="true">CRITBINOM(MAX(0,J2000-K2000),1-Coefficients!$B$32,RAND())</f>
        <v>0</v>
      </c>
      <c r="N2000" s="0" t="n">
        <f aca="true">CRITBINOM(MAX(0,$C2000-J2000),MIN(0.6,Matchup!$C$40*SQRT($B2000)/(1-MIN(0.75,Matchup!$C$39*$B2000))),RAND())</f>
        <v>1</v>
      </c>
      <c r="O2000" s="0" t="n">
        <f aca="false">6*J2000+(J2000-K2000-M2000)+2*L2000+3*N2000</f>
        <v>10</v>
      </c>
      <c r="P2000" s="0" t="n">
        <f aca="true">RAND()</f>
        <v>0.222642551073146</v>
      </c>
      <c r="Q2000" s="0" t="n">
        <f aca="true">RAND()</f>
        <v>0.34259451880443</v>
      </c>
      <c r="R2000" s="0" t="n">
        <f aca="false">IF($I2000&lt;&gt;$O2000,0,IF(P2000&lt;Matchup!$B$39,7,IF(P2000&lt;Matchup!$B$39+Matchup!$B$40,3,0)))</f>
        <v>0</v>
      </c>
      <c r="S2000" s="0" t="n">
        <f aca="false">IF($I2000&lt;&gt;$O2000,0,IF(Q2000&lt;Matchup!$C$39,7,IF(Q2000&lt;Matchup!$C$39+Matchup!$C$40,3,0)))</f>
        <v>0</v>
      </c>
      <c r="T2000" s="0" t="n">
        <f aca="false">I2000+R2000</f>
        <v>12</v>
      </c>
      <c r="U2000" s="0" t="n">
        <f aca="false">O2000+S2000</f>
        <v>10</v>
      </c>
      <c r="V2000" s="0" t="n">
        <f aca="false">T2000-U2000</f>
        <v>2</v>
      </c>
      <c r="W2000" s="0" t="n">
        <f aca="false">T2000+U2000</f>
        <v>22</v>
      </c>
    </row>
    <row r="2001" customFormat="false" ht="15" hidden="false" customHeight="false" outlineLevel="0" collapsed="false">
      <c r="A2001" s="0" t="n">
        <v>1998</v>
      </c>
      <c r="B2001" s="0" t="n">
        <f aca="true">NORMINV(RAND(),1,Coefficients!$B$22)</f>
        <v>1.0780453517635</v>
      </c>
      <c r="C2001" s="0" t="n">
        <f aca="true">MEDIAN(8,16,ROUND(NORMINV(RAND(),Coefficients!$B$20,Coefficients!$B$21),0))</f>
        <v>11</v>
      </c>
      <c r="D2001" s="0" t="n">
        <f aca="true">CRITBINOM($C2001,MIN(0.75,Matchup!$B$39*$B2001),RAND())</f>
        <v>5</v>
      </c>
      <c r="E2001" s="0" t="n">
        <f aca="true">CRITBINOM(D2001,Coefficients!$B$30,RAND())</f>
        <v>0</v>
      </c>
      <c r="F2001" s="0" t="n">
        <f aca="true">CRITBINOM(E2001,Coefficients!$B$31,RAND())</f>
        <v>0</v>
      </c>
      <c r="G2001" s="0" t="n">
        <f aca="true">CRITBINOM(MAX(0,D2001-E2001),1-Coefficients!$B$32,RAND())</f>
        <v>0</v>
      </c>
      <c r="H2001" s="0" t="n">
        <f aca="true">CRITBINOM(MAX(0,$C2001-D2001),MIN(0.6,Matchup!$B$40*SQRT($B2001)/(1-MIN(0.75,Matchup!$B$39*$B2001))),RAND())</f>
        <v>1</v>
      </c>
      <c r="I2001" s="0" t="n">
        <f aca="false">6*D2001+(D2001-E2001-G2001)+2*F2001+3*H2001</f>
        <v>38</v>
      </c>
      <c r="J2001" s="0" t="n">
        <f aca="true">CRITBINOM($C2001,MIN(0.75,Matchup!$C$39*$B2001),RAND())</f>
        <v>2</v>
      </c>
      <c r="K2001" s="0" t="n">
        <f aca="true">CRITBINOM(J2001,Coefficients!$B$30,RAND())</f>
        <v>0</v>
      </c>
      <c r="L2001" s="0" t="n">
        <f aca="true">CRITBINOM(K2001,Coefficients!$B$31,RAND())</f>
        <v>0</v>
      </c>
      <c r="M2001" s="0" t="n">
        <f aca="true">CRITBINOM(MAX(0,J2001-K2001),1-Coefficients!$B$32,RAND())</f>
        <v>0</v>
      </c>
      <c r="N2001" s="0" t="n">
        <f aca="true">CRITBINOM(MAX(0,$C2001-J2001),MIN(0.6,Matchup!$C$40*SQRT($B2001)/(1-MIN(0.75,Matchup!$C$39*$B2001))),RAND())</f>
        <v>3</v>
      </c>
      <c r="O2001" s="0" t="n">
        <f aca="false">6*J2001+(J2001-K2001-M2001)+2*L2001+3*N2001</f>
        <v>23</v>
      </c>
      <c r="P2001" s="0" t="n">
        <f aca="true">RAND()</f>
        <v>0.96524280769902</v>
      </c>
      <c r="Q2001" s="0" t="n">
        <f aca="true">RAND()</f>
        <v>0.227322938557835</v>
      </c>
      <c r="R2001" s="0" t="n">
        <f aca="false">IF($I2001&lt;&gt;$O2001,0,IF(P2001&lt;Matchup!$B$39,7,IF(P2001&lt;Matchup!$B$39+Matchup!$B$40,3,0)))</f>
        <v>0</v>
      </c>
      <c r="S2001" s="0" t="n">
        <f aca="false">IF($I2001&lt;&gt;$O2001,0,IF(Q2001&lt;Matchup!$C$39,7,IF(Q2001&lt;Matchup!$C$39+Matchup!$C$40,3,0)))</f>
        <v>0</v>
      </c>
      <c r="T2001" s="0" t="n">
        <f aca="false">I2001+R2001</f>
        <v>38</v>
      </c>
      <c r="U2001" s="0" t="n">
        <f aca="false">O2001+S2001</f>
        <v>23</v>
      </c>
      <c r="V2001" s="0" t="n">
        <f aca="false">T2001-U2001</f>
        <v>15</v>
      </c>
      <c r="W2001" s="0" t="n">
        <f aca="false">T2001+U2001</f>
        <v>61</v>
      </c>
    </row>
    <row r="2002" customFormat="false" ht="15" hidden="false" customHeight="false" outlineLevel="0" collapsed="false">
      <c r="A2002" s="0" t="n">
        <v>1999</v>
      </c>
      <c r="B2002" s="0" t="n">
        <f aca="true">NORMINV(RAND(),1,Coefficients!$B$22)</f>
        <v>0.947861515879743</v>
      </c>
      <c r="C2002" s="0" t="n">
        <f aca="true">MEDIAN(8,16,ROUND(NORMINV(RAND(),Coefficients!$B$20,Coefficients!$B$21),0))</f>
        <v>11</v>
      </c>
      <c r="D2002" s="0" t="n">
        <f aca="true">CRITBINOM($C2002,MIN(0.75,Matchup!$B$39*$B2002),RAND())</f>
        <v>2</v>
      </c>
      <c r="E2002" s="0" t="n">
        <f aca="true">CRITBINOM(D2002,Coefficients!$B$30,RAND())</f>
        <v>0</v>
      </c>
      <c r="F2002" s="0" t="n">
        <f aca="true">CRITBINOM(E2002,Coefficients!$B$31,RAND())</f>
        <v>0</v>
      </c>
      <c r="G2002" s="0" t="n">
        <f aca="true">CRITBINOM(MAX(0,D2002-E2002),1-Coefficients!$B$32,RAND())</f>
        <v>0</v>
      </c>
      <c r="H2002" s="0" t="n">
        <f aca="true">CRITBINOM(MAX(0,$C2002-D2002),MIN(0.6,Matchup!$B$40*SQRT($B2002)/(1-MIN(0.75,Matchup!$B$39*$B2002))),RAND())</f>
        <v>2</v>
      </c>
      <c r="I2002" s="0" t="n">
        <f aca="false">6*D2002+(D2002-E2002-G2002)+2*F2002+3*H2002</f>
        <v>20</v>
      </c>
      <c r="J2002" s="0" t="n">
        <f aca="true">CRITBINOM($C2002,MIN(0.75,Matchup!$C$39*$B2002),RAND())</f>
        <v>3</v>
      </c>
      <c r="K2002" s="0" t="n">
        <f aca="true">CRITBINOM(J2002,Coefficients!$B$30,RAND())</f>
        <v>1</v>
      </c>
      <c r="L2002" s="0" t="n">
        <f aca="true">CRITBINOM(K2002,Coefficients!$B$31,RAND())</f>
        <v>0</v>
      </c>
      <c r="M2002" s="0" t="n">
        <f aca="true">CRITBINOM(MAX(0,J2002-K2002),1-Coefficients!$B$32,RAND())</f>
        <v>0</v>
      </c>
      <c r="N2002" s="0" t="n">
        <f aca="true">CRITBINOM(MAX(0,$C2002-J2002),MIN(0.6,Matchup!$C$40*SQRT($B2002)/(1-MIN(0.75,Matchup!$C$39*$B2002))),RAND())</f>
        <v>1</v>
      </c>
      <c r="O2002" s="0" t="n">
        <f aca="false">6*J2002+(J2002-K2002-M2002)+2*L2002+3*N2002</f>
        <v>23</v>
      </c>
      <c r="P2002" s="0" t="n">
        <f aca="true">RAND()</f>
        <v>0.239234420359681</v>
      </c>
      <c r="Q2002" s="0" t="n">
        <f aca="true">RAND()</f>
        <v>0.643961789209654</v>
      </c>
      <c r="R2002" s="0" t="n">
        <f aca="false">IF($I2002&lt;&gt;$O2002,0,IF(P2002&lt;Matchup!$B$39,7,IF(P2002&lt;Matchup!$B$39+Matchup!$B$40,3,0)))</f>
        <v>0</v>
      </c>
      <c r="S2002" s="0" t="n">
        <f aca="false">IF($I2002&lt;&gt;$O2002,0,IF(Q2002&lt;Matchup!$C$39,7,IF(Q2002&lt;Matchup!$C$39+Matchup!$C$40,3,0)))</f>
        <v>0</v>
      </c>
      <c r="T2002" s="0" t="n">
        <f aca="false">I2002+R2002</f>
        <v>20</v>
      </c>
      <c r="U2002" s="0" t="n">
        <f aca="false">O2002+S2002</f>
        <v>23</v>
      </c>
      <c r="V2002" s="0" t="n">
        <f aca="false">T2002-U2002</f>
        <v>-3</v>
      </c>
      <c r="W2002" s="0" t="n">
        <f aca="false">T2002+U2002</f>
        <v>43</v>
      </c>
    </row>
    <row r="2003" customFormat="false" ht="15" hidden="false" customHeight="false" outlineLevel="0" collapsed="false">
      <c r="A2003" s="0" t="n">
        <v>2000</v>
      </c>
      <c r="B2003" s="0" t="n">
        <f aca="true">NORMINV(RAND(),1,Coefficients!$B$22)</f>
        <v>1.01566846728174</v>
      </c>
      <c r="C2003" s="0" t="n">
        <f aca="true">MEDIAN(8,16,ROUND(NORMINV(RAND(),Coefficients!$B$20,Coefficients!$B$21),0))</f>
        <v>10</v>
      </c>
      <c r="D2003" s="0" t="n">
        <f aca="true">CRITBINOM($C2003,MIN(0.75,Matchup!$B$39*$B2003),RAND())</f>
        <v>0</v>
      </c>
      <c r="E2003" s="0" t="n">
        <f aca="true">CRITBINOM(D2003,Coefficients!$B$30,RAND())</f>
        <v>0</v>
      </c>
      <c r="F2003" s="0" t="n">
        <f aca="true">CRITBINOM(E2003,Coefficients!$B$31,RAND())</f>
        <v>0</v>
      </c>
      <c r="G2003" s="0" t="n">
        <f aca="true">CRITBINOM(MAX(0,D2003-E2003),1-Coefficients!$B$32,RAND())</f>
        <v>0</v>
      </c>
      <c r="H2003" s="0" t="n">
        <f aca="true">CRITBINOM(MAX(0,$C2003-D2003),MIN(0.6,Matchup!$B$40*SQRT($B2003)/(1-MIN(0.75,Matchup!$B$39*$B2003))),RAND())</f>
        <v>1</v>
      </c>
      <c r="I2003" s="0" t="n">
        <f aca="false">6*D2003+(D2003-E2003-G2003)+2*F2003+3*H2003</f>
        <v>3</v>
      </c>
      <c r="J2003" s="0" t="n">
        <f aca="true">CRITBINOM($C2003,MIN(0.75,Matchup!$C$39*$B2003),RAND())</f>
        <v>2</v>
      </c>
      <c r="K2003" s="0" t="n">
        <f aca="true">CRITBINOM(J2003,Coefficients!$B$30,RAND())</f>
        <v>1</v>
      </c>
      <c r="L2003" s="0" t="n">
        <f aca="true">CRITBINOM(K2003,Coefficients!$B$31,RAND())</f>
        <v>0</v>
      </c>
      <c r="M2003" s="0" t="n">
        <f aca="true">CRITBINOM(MAX(0,J2003-K2003),1-Coefficients!$B$32,RAND())</f>
        <v>0</v>
      </c>
      <c r="N2003" s="0" t="n">
        <f aca="true">CRITBINOM(MAX(0,$C2003-J2003),MIN(0.6,Matchup!$C$40*SQRT($B2003)/(1-MIN(0.75,Matchup!$C$39*$B2003))),RAND())</f>
        <v>1</v>
      </c>
      <c r="O2003" s="0" t="n">
        <f aca="false">6*J2003+(J2003-K2003-M2003)+2*L2003+3*N2003</f>
        <v>16</v>
      </c>
      <c r="P2003" s="0" t="n">
        <f aca="true">RAND()</f>
        <v>0.722595662111591</v>
      </c>
      <c r="Q2003" s="0" t="n">
        <f aca="true">RAND()</f>
        <v>0.162672742942605</v>
      </c>
      <c r="R2003" s="0" t="n">
        <f aca="false">IF($I2003&lt;&gt;$O2003,0,IF(P2003&lt;Matchup!$B$39,7,IF(P2003&lt;Matchup!$B$39+Matchup!$B$40,3,0)))</f>
        <v>0</v>
      </c>
      <c r="S2003" s="0" t="n">
        <f aca="false">IF($I2003&lt;&gt;$O2003,0,IF(Q2003&lt;Matchup!$C$39,7,IF(Q2003&lt;Matchup!$C$39+Matchup!$C$40,3,0)))</f>
        <v>0</v>
      </c>
      <c r="T2003" s="0" t="n">
        <f aca="false">I2003+R2003</f>
        <v>3</v>
      </c>
      <c r="U2003" s="0" t="n">
        <f aca="false">O2003+S2003</f>
        <v>16</v>
      </c>
      <c r="V2003" s="0" t="n">
        <f aca="false">T2003-U2003</f>
        <v>-13</v>
      </c>
      <c r="W2003" s="0" t="n">
        <f aca="false">T2003+U2003</f>
        <v>19</v>
      </c>
    </row>
    <row r="2004" customFormat="false" ht="15" hidden="false" customHeight="false" outlineLevel="0" collapsed="false">
      <c r="A2004" s="0" t="n">
        <v>2001</v>
      </c>
      <c r="B2004" s="0" t="n">
        <f aca="true">NORMINV(RAND(),1,Coefficients!$B$22)</f>
        <v>0.928593912884428</v>
      </c>
      <c r="C2004" s="0" t="n">
        <f aca="true">MEDIAN(8,16,ROUND(NORMINV(RAND(),Coefficients!$B$20,Coefficients!$B$21),0))</f>
        <v>13</v>
      </c>
      <c r="D2004" s="0" t="n">
        <f aca="true">CRITBINOM($C2004,MIN(0.75,Matchup!$B$39*$B2004),RAND())</f>
        <v>5</v>
      </c>
      <c r="E2004" s="0" t="n">
        <f aca="true">CRITBINOM(D2004,Coefficients!$B$30,RAND())</f>
        <v>0</v>
      </c>
      <c r="F2004" s="0" t="n">
        <f aca="true">CRITBINOM(E2004,Coefficients!$B$31,RAND())</f>
        <v>0</v>
      </c>
      <c r="G2004" s="0" t="n">
        <f aca="true">CRITBINOM(MAX(0,D2004-E2004),1-Coefficients!$B$32,RAND())</f>
        <v>0</v>
      </c>
      <c r="H2004" s="0" t="n">
        <f aca="true">CRITBINOM(MAX(0,$C2004-D2004),MIN(0.6,Matchup!$B$40*SQRT($B2004)/(1-MIN(0.75,Matchup!$B$39*$B2004))),RAND())</f>
        <v>1</v>
      </c>
      <c r="I2004" s="0" t="n">
        <f aca="false">6*D2004+(D2004-E2004-G2004)+2*F2004+3*H2004</f>
        <v>38</v>
      </c>
      <c r="J2004" s="0" t="n">
        <f aca="true">CRITBINOM($C2004,MIN(0.75,Matchup!$C$39*$B2004),RAND())</f>
        <v>2</v>
      </c>
      <c r="K2004" s="0" t="n">
        <f aca="true">CRITBINOM(J2004,Coefficients!$B$30,RAND())</f>
        <v>0</v>
      </c>
      <c r="L2004" s="0" t="n">
        <f aca="true">CRITBINOM(K2004,Coefficients!$B$31,RAND())</f>
        <v>0</v>
      </c>
      <c r="M2004" s="0" t="n">
        <f aca="true">CRITBINOM(MAX(0,J2004-K2004),1-Coefficients!$B$32,RAND())</f>
        <v>0</v>
      </c>
      <c r="N2004" s="0" t="n">
        <f aca="true">CRITBINOM(MAX(0,$C2004-J2004),MIN(0.6,Matchup!$C$40*SQRT($B2004)/(1-MIN(0.75,Matchup!$C$39*$B2004))),RAND())</f>
        <v>4</v>
      </c>
      <c r="O2004" s="0" t="n">
        <f aca="false">6*J2004+(J2004-K2004-M2004)+2*L2004+3*N2004</f>
        <v>26</v>
      </c>
      <c r="P2004" s="0" t="n">
        <f aca="true">RAND()</f>
        <v>0.809983901985379</v>
      </c>
      <c r="Q2004" s="0" t="n">
        <f aca="true">RAND()</f>
        <v>0.762482196180062</v>
      </c>
      <c r="R2004" s="0" t="n">
        <f aca="false">IF($I2004&lt;&gt;$O2004,0,IF(P2004&lt;Matchup!$B$39,7,IF(P2004&lt;Matchup!$B$39+Matchup!$B$40,3,0)))</f>
        <v>0</v>
      </c>
      <c r="S2004" s="0" t="n">
        <f aca="false">IF($I2004&lt;&gt;$O2004,0,IF(Q2004&lt;Matchup!$C$39,7,IF(Q2004&lt;Matchup!$C$39+Matchup!$C$40,3,0)))</f>
        <v>0</v>
      </c>
      <c r="T2004" s="0" t="n">
        <f aca="false">I2004+R2004</f>
        <v>38</v>
      </c>
      <c r="U2004" s="0" t="n">
        <f aca="false">O2004+S2004</f>
        <v>26</v>
      </c>
      <c r="V2004" s="0" t="n">
        <f aca="false">T2004-U2004</f>
        <v>12</v>
      </c>
      <c r="W2004" s="0" t="n">
        <f aca="false">T2004+U2004</f>
        <v>64</v>
      </c>
    </row>
    <row r="2005" customFormat="false" ht="15" hidden="false" customHeight="false" outlineLevel="0" collapsed="false">
      <c r="A2005" s="0" t="n">
        <v>2002</v>
      </c>
      <c r="B2005" s="0" t="n">
        <f aca="true">NORMINV(RAND(),1,Coefficients!$B$22)</f>
        <v>1.0481068160745</v>
      </c>
      <c r="C2005" s="0" t="n">
        <f aca="true">MEDIAN(8,16,ROUND(NORMINV(RAND(),Coefficients!$B$20,Coefficients!$B$21),0))</f>
        <v>11</v>
      </c>
      <c r="D2005" s="0" t="n">
        <f aca="true">CRITBINOM($C2005,MIN(0.75,Matchup!$B$39*$B2005),RAND())</f>
        <v>1</v>
      </c>
      <c r="E2005" s="0" t="n">
        <f aca="true">CRITBINOM(D2005,Coefficients!$B$30,RAND())</f>
        <v>1</v>
      </c>
      <c r="F2005" s="0" t="n">
        <f aca="true">CRITBINOM(E2005,Coefficients!$B$31,RAND())</f>
        <v>1</v>
      </c>
      <c r="G2005" s="0" t="n">
        <f aca="true">CRITBINOM(MAX(0,D2005-E2005),1-Coefficients!$B$32,RAND())</f>
        <v>0</v>
      </c>
      <c r="H2005" s="0" t="n">
        <f aca="true">CRITBINOM(MAX(0,$C2005-D2005),MIN(0.6,Matchup!$B$40*SQRT($B2005)/(1-MIN(0.75,Matchup!$B$39*$B2005))),RAND())</f>
        <v>2</v>
      </c>
      <c r="I2005" s="0" t="n">
        <f aca="false">6*D2005+(D2005-E2005-G2005)+2*F2005+3*H2005</f>
        <v>14</v>
      </c>
      <c r="J2005" s="0" t="n">
        <f aca="true">CRITBINOM($C2005,MIN(0.75,Matchup!$C$39*$B2005),RAND())</f>
        <v>3</v>
      </c>
      <c r="K2005" s="0" t="n">
        <f aca="true">CRITBINOM(J2005,Coefficients!$B$30,RAND())</f>
        <v>1</v>
      </c>
      <c r="L2005" s="0" t="n">
        <f aca="true">CRITBINOM(K2005,Coefficients!$B$31,RAND())</f>
        <v>1</v>
      </c>
      <c r="M2005" s="0" t="n">
        <f aca="true">CRITBINOM(MAX(0,J2005-K2005),1-Coefficients!$B$32,RAND())</f>
        <v>0</v>
      </c>
      <c r="N2005" s="0" t="n">
        <f aca="true">CRITBINOM(MAX(0,$C2005-J2005),MIN(0.6,Matchup!$C$40*SQRT($B2005)/(1-MIN(0.75,Matchup!$C$39*$B2005))),RAND())</f>
        <v>2</v>
      </c>
      <c r="O2005" s="0" t="n">
        <f aca="false">6*J2005+(J2005-K2005-M2005)+2*L2005+3*N2005</f>
        <v>28</v>
      </c>
      <c r="P2005" s="0" t="n">
        <f aca="true">RAND()</f>
        <v>0.348345402271712</v>
      </c>
      <c r="Q2005" s="0" t="n">
        <f aca="true">RAND()</f>
        <v>0.299825171937775</v>
      </c>
      <c r="R2005" s="0" t="n">
        <f aca="false">IF($I2005&lt;&gt;$O2005,0,IF(P2005&lt;Matchup!$B$39,7,IF(P2005&lt;Matchup!$B$39+Matchup!$B$40,3,0)))</f>
        <v>0</v>
      </c>
      <c r="S2005" s="0" t="n">
        <f aca="false">IF($I2005&lt;&gt;$O2005,0,IF(Q2005&lt;Matchup!$C$39,7,IF(Q2005&lt;Matchup!$C$39+Matchup!$C$40,3,0)))</f>
        <v>0</v>
      </c>
      <c r="T2005" s="0" t="n">
        <f aca="false">I2005+R2005</f>
        <v>14</v>
      </c>
      <c r="U2005" s="0" t="n">
        <f aca="false">O2005+S2005</f>
        <v>28</v>
      </c>
      <c r="V2005" s="0" t="n">
        <f aca="false">T2005-U2005</f>
        <v>-14</v>
      </c>
      <c r="W2005" s="0" t="n">
        <f aca="false">T2005+U2005</f>
        <v>42</v>
      </c>
    </row>
    <row r="2006" customFormat="false" ht="15" hidden="false" customHeight="false" outlineLevel="0" collapsed="false">
      <c r="A2006" s="0" t="n">
        <v>2003</v>
      </c>
      <c r="B2006" s="0" t="n">
        <f aca="true">NORMINV(RAND(),1,Coefficients!$B$22)</f>
        <v>0.998720549152649</v>
      </c>
      <c r="C2006" s="0" t="n">
        <f aca="true">MEDIAN(8,16,ROUND(NORMINV(RAND(),Coefficients!$B$20,Coefficients!$B$21),0))</f>
        <v>12</v>
      </c>
      <c r="D2006" s="0" t="n">
        <f aca="true">CRITBINOM($C2006,MIN(0.75,Matchup!$B$39*$B2006),RAND())</f>
        <v>3</v>
      </c>
      <c r="E2006" s="0" t="n">
        <f aca="true">CRITBINOM(D2006,Coefficients!$B$30,RAND())</f>
        <v>0</v>
      </c>
      <c r="F2006" s="0" t="n">
        <f aca="true">CRITBINOM(E2006,Coefficients!$B$31,RAND())</f>
        <v>0</v>
      </c>
      <c r="G2006" s="0" t="n">
        <f aca="true">CRITBINOM(MAX(0,D2006-E2006),1-Coefficients!$B$32,RAND())</f>
        <v>0</v>
      </c>
      <c r="H2006" s="0" t="n">
        <f aca="true">CRITBINOM(MAX(0,$C2006-D2006),MIN(0.6,Matchup!$B$40*SQRT($B2006)/(1-MIN(0.75,Matchup!$B$39*$B2006))),RAND())</f>
        <v>1</v>
      </c>
      <c r="I2006" s="0" t="n">
        <f aca="false">6*D2006+(D2006-E2006-G2006)+2*F2006+3*H2006</f>
        <v>24</v>
      </c>
      <c r="J2006" s="0" t="n">
        <f aca="true">CRITBINOM($C2006,MIN(0.75,Matchup!$C$39*$B2006),RAND())</f>
        <v>2</v>
      </c>
      <c r="K2006" s="0" t="n">
        <f aca="true">CRITBINOM(J2006,Coefficients!$B$30,RAND())</f>
        <v>1</v>
      </c>
      <c r="L2006" s="0" t="n">
        <f aca="true">CRITBINOM(K2006,Coefficients!$B$31,RAND())</f>
        <v>0</v>
      </c>
      <c r="M2006" s="0" t="n">
        <f aca="true">CRITBINOM(MAX(0,J2006-K2006),1-Coefficients!$B$32,RAND())</f>
        <v>0</v>
      </c>
      <c r="N2006" s="0" t="n">
        <f aca="true">CRITBINOM(MAX(0,$C2006-J2006),MIN(0.6,Matchup!$C$40*SQRT($B2006)/(1-MIN(0.75,Matchup!$C$39*$B2006))),RAND())</f>
        <v>2</v>
      </c>
      <c r="O2006" s="0" t="n">
        <f aca="false">6*J2006+(J2006-K2006-M2006)+2*L2006+3*N2006</f>
        <v>19</v>
      </c>
      <c r="P2006" s="0" t="n">
        <f aca="true">RAND()</f>
        <v>0.860069406791441</v>
      </c>
      <c r="Q2006" s="0" t="n">
        <f aca="true">RAND()</f>
        <v>0.941954088597472</v>
      </c>
      <c r="R2006" s="0" t="n">
        <f aca="false">IF($I2006&lt;&gt;$O2006,0,IF(P2006&lt;Matchup!$B$39,7,IF(P2006&lt;Matchup!$B$39+Matchup!$B$40,3,0)))</f>
        <v>0</v>
      </c>
      <c r="S2006" s="0" t="n">
        <f aca="false">IF($I2006&lt;&gt;$O2006,0,IF(Q2006&lt;Matchup!$C$39,7,IF(Q2006&lt;Matchup!$C$39+Matchup!$C$40,3,0)))</f>
        <v>0</v>
      </c>
      <c r="T2006" s="0" t="n">
        <f aca="false">I2006+R2006</f>
        <v>24</v>
      </c>
      <c r="U2006" s="0" t="n">
        <f aca="false">O2006+S2006</f>
        <v>19</v>
      </c>
      <c r="V2006" s="0" t="n">
        <f aca="false">T2006-U2006</f>
        <v>5</v>
      </c>
      <c r="W2006" s="0" t="n">
        <f aca="false">T2006+U2006</f>
        <v>43</v>
      </c>
    </row>
    <row r="2007" customFormat="false" ht="15" hidden="false" customHeight="false" outlineLevel="0" collapsed="false">
      <c r="A2007" s="0" t="n">
        <v>2004</v>
      </c>
      <c r="B2007" s="0" t="n">
        <f aca="true">NORMINV(RAND(),1,Coefficients!$B$22)</f>
        <v>1.03978310156994</v>
      </c>
      <c r="C2007" s="0" t="n">
        <f aca="true">MEDIAN(8,16,ROUND(NORMINV(RAND(),Coefficients!$B$20,Coefficients!$B$21),0))</f>
        <v>9</v>
      </c>
      <c r="D2007" s="0" t="n">
        <f aca="true">CRITBINOM($C2007,MIN(0.75,Matchup!$B$39*$B2007),RAND())</f>
        <v>2</v>
      </c>
      <c r="E2007" s="0" t="n">
        <f aca="true">CRITBINOM(D2007,Coefficients!$B$30,RAND())</f>
        <v>1</v>
      </c>
      <c r="F2007" s="0" t="n">
        <f aca="true">CRITBINOM(E2007,Coefficients!$B$31,RAND())</f>
        <v>1</v>
      </c>
      <c r="G2007" s="0" t="n">
        <f aca="true">CRITBINOM(MAX(0,D2007-E2007),1-Coefficients!$B$32,RAND())</f>
        <v>0</v>
      </c>
      <c r="H2007" s="0" t="n">
        <f aca="true">CRITBINOM(MAX(0,$C2007-D2007),MIN(0.6,Matchup!$B$40*SQRT($B2007)/(1-MIN(0.75,Matchup!$B$39*$B2007))),RAND())</f>
        <v>2</v>
      </c>
      <c r="I2007" s="0" t="n">
        <f aca="false">6*D2007+(D2007-E2007-G2007)+2*F2007+3*H2007</f>
        <v>21</v>
      </c>
      <c r="J2007" s="0" t="n">
        <f aca="true">CRITBINOM($C2007,MIN(0.75,Matchup!$C$39*$B2007),RAND())</f>
        <v>1</v>
      </c>
      <c r="K2007" s="0" t="n">
        <f aca="true">CRITBINOM(J2007,Coefficients!$B$30,RAND())</f>
        <v>0</v>
      </c>
      <c r="L2007" s="0" t="n">
        <f aca="true">CRITBINOM(K2007,Coefficients!$B$31,RAND())</f>
        <v>0</v>
      </c>
      <c r="M2007" s="0" t="n">
        <f aca="true">CRITBINOM(MAX(0,J2007-K2007),1-Coefficients!$B$32,RAND())</f>
        <v>0</v>
      </c>
      <c r="N2007" s="0" t="n">
        <f aca="true">CRITBINOM(MAX(0,$C2007-J2007),MIN(0.6,Matchup!$C$40*SQRT($B2007)/(1-MIN(0.75,Matchup!$C$39*$B2007))),RAND())</f>
        <v>2</v>
      </c>
      <c r="O2007" s="0" t="n">
        <f aca="false">6*J2007+(J2007-K2007-M2007)+2*L2007+3*N2007</f>
        <v>13</v>
      </c>
      <c r="P2007" s="0" t="n">
        <f aca="true">RAND()</f>
        <v>0.0469942564161056</v>
      </c>
      <c r="Q2007" s="0" t="n">
        <f aca="true">RAND()</f>
        <v>0.123733248634661</v>
      </c>
      <c r="R2007" s="0" t="n">
        <f aca="false">IF($I2007&lt;&gt;$O2007,0,IF(P2007&lt;Matchup!$B$39,7,IF(P2007&lt;Matchup!$B$39+Matchup!$B$40,3,0)))</f>
        <v>0</v>
      </c>
      <c r="S2007" s="0" t="n">
        <f aca="false">IF($I2007&lt;&gt;$O2007,0,IF(Q2007&lt;Matchup!$C$39,7,IF(Q2007&lt;Matchup!$C$39+Matchup!$C$40,3,0)))</f>
        <v>0</v>
      </c>
      <c r="T2007" s="0" t="n">
        <f aca="false">I2007+R2007</f>
        <v>21</v>
      </c>
      <c r="U2007" s="0" t="n">
        <f aca="false">O2007+S2007</f>
        <v>13</v>
      </c>
      <c r="V2007" s="0" t="n">
        <f aca="false">T2007-U2007</f>
        <v>8</v>
      </c>
      <c r="W2007" s="0" t="n">
        <f aca="false">T2007+U2007</f>
        <v>34</v>
      </c>
    </row>
    <row r="2008" customFormat="false" ht="15" hidden="false" customHeight="false" outlineLevel="0" collapsed="false">
      <c r="A2008" s="0" t="n">
        <v>2005</v>
      </c>
      <c r="B2008" s="0" t="n">
        <f aca="true">NORMINV(RAND(),1,Coefficients!$B$22)</f>
        <v>1.01240977575097</v>
      </c>
      <c r="C2008" s="0" t="n">
        <f aca="true">MEDIAN(8,16,ROUND(NORMINV(RAND(),Coefficients!$B$20,Coefficients!$B$21),0))</f>
        <v>9</v>
      </c>
      <c r="D2008" s="0" t="n">
        <f aca="true">CRITBINOM($C2008,MIN(0.75,Matchup!$B$39*$B2008),RAND())</f>
        <v>3</v>
      </c>
      <c r="E2008" s="0" t="n">
        <f aca="true">CRITBINOM(D2008,Coefficients!$B$30,RAND())</f>
        <v>0</v>
      </c>
      <c r="F2008" s="0" t="n">
        <f aca="true">CRITBINOM(E2008,Coefficients!$B$31,RAND())</f>
        <v>0</v>
      </c>
      <c r="G2008" s="0" t="n">
        <f aca="true">CRITBINOM(MAX(0,D2008-E2008),1-Coefficients!$B$32,RAND())</f>
        <v>0</v>
      </c>
      <c r="H2008" s="0" t="n">
        <f aca="true">CRITBINOM(MAX(0,$C2008-D2008),MIN(0.6,Matchup!$B$40*SQRT($B2008)/(1-MIN(0.75,Matchup!$B$39*$B2008))),RAND())</f>
        <v>2</v>
      </c>
      <c r="I2008" s="0" t="n">
        <f aca="false">6*D2008+(D2008-E2008-G2008)+2*F2008+3*H2008</f>
        <v>27</v>
      </c>
      <c r="J2008" s="0" t="n">
        <f aca="true">CRITBINOM($C2008,MIN(0.75,Matchup!$C$39*$B2008),RAND())</f>
        <v>5</v>
      </c>
      <c r="K2008" s="0" t="n">
        <f aca="true">CRITBINOM(J2008,Coefficients!$B$30,RAND())</f>
        <v>0</v>
      </c>
      <c r="L2008" s="0" t="n">
        <f aca="true">CRITBINOM(K2008,Coefficients!$B$31,RAND())</f>
        <v>0</v>
      </c>
      <c r="M2008" s="0" t="n">
        <f aca="true">CRITBINOM(MAX(0,J2008-K2008),1-Coefficients!$B$32,RAND())</f>
        <v>0</v>
      </c>
      <c r="N2008" s="0" t="n">
        <f aca="true">CRITBINOM(MAX(0,$C2008-J2008),MIN(0.6,Matchup!$C$40*SQRT($B2008)/(1-MIN(0.75,Matchup!$C$39*$B2008))),RAND())</f>
        <v>1</v>
      </c>
      <c r="O2008" s="0" t="n">
        <f aca="false">6*J2008+(J2008-K2008-M2008)+2*L2008+3*N2008</f>
        <v>38</v>
      </c>
      <c r="P2008" s="0" t="n">
        <f aca="true">RAND()</f>
        <v>0.281417336315069</v>
      </c>
      <c r="Q2008" s="0" t="n">
        <f aca="true">RAND()</f>
        <v>0.660708886792311</v>
      </c>
      <c r="R2008" s="0" t="n">
        <f aca="false">IF($I2008&lt;&gt;$O2008,0,IF(P2008&lt;Matchup!$B$39,7,IF(P2008&lt;Matchup!$B$39+Matchup!$B$40,3,0)))</f>
        <v>0</v>
      </c>
      <c r="S2008" s="0" t="n">
        <f aca="false">IF($I2008&lt;&gt;$O2008,0,IF(Q2008&lt;Matchup!$C$39,7,IF(Q2008&lt;Matchup!$C$39+Matchup!$C$40,3,0)))</f>
        <v>0</v>
      </c>
      <c r="T2008" s="0" t="n">
        <f aca="false">I2008+R2008</f>
        <v>27</v>
      </c>
      <c r="U2008" s="0" t="n">
        <f aca="false">O2008+S2008</f>
        <v>38</v>
      </c>
      <c r="V2008" s="0" t="n">
        <f aca="false">T2008-U2008</f>
        <v>-11</v>
      </c>
      <c r="W2008" s="0" t="n">
        <f aca="false">T2008+U2008</f>
        <v>65</v>
      </c>
    </row>
    <row r="2009" customFormat="false" ht="15" hidden="false" customHeight="false" outlineLevel="0" collapsed="false">
      <c r="A2009" s="0" t="n">
        <v>2006</v>
      </c>
      <c r="B2009" s="0" t="n">
        <f aca="true">NORMINV(RAND(),1,Coefficients!$B$22)</f>
        <v>0.908704095642024</v>
      </c>
      <c r="C2009" s="0" t="n">
        <f aca="true">MEDIAN(8,16,ROUND(NORMINV(RAND(),Coefficients!$B$20,Coefficients!$B$21),0))</f>
        <v>13</v>
      </c>
      <c r="D2009" s="0" t="n">
        <f aca="true">CRITBINOM($C2009,MIN(0.75,Matchup!$B$39*$B2009),RAND())</f>
        <v>4</v>
      </c>
      <c r="E2009" s="0" t="n">
        <f aca="true">CRITBINOM(D2009,Coefficients!$B$30,RAND())</f>
        <v>0</v>
      </c>
      <c r="F2009" s="0" t="n">
        <f aca="true">CRITBINOM(E2009,Coefficients!$B$31,RAND())</f>
        <v>0</v>
      </c>
      <c r="G2009" s="0" t="n">
        <f aca="true">CRITBINOM(MAX(0,D2009-E2009),1-Coefficients!$B$32,RAND())</f>
        <v>0</v>
      </c>
      <c r="H2009" s="0" t="n">
        <f aca="true">CRITBINOM(MAX(0,$C2009-D2009),MIN(0.6,Matchup!$B$40*SQRT($B2009)/(1-MIN(0.75,Matchup!$B$39*$B2009))),RAND())</f>
        <v>1</v>
      </c>
      <c r="I2009" s="0" t="n">
        <f aca="false">6*D2009+(D2009-E2009-G2009)+2*F2009+3*H2009</f>
        <v>31</v>
      </c>
      <c r="J2009" s="0" t="n">
        <f aca="true">CRITBINOM($C2009,MIN(0.75,Matchup!$C$39*$B2009),RAND())</f>
        <v>4</v>
      </c>
      <c r="K2009" s="0" t="n">
        <f aca="true">CRITBINOM(J2009,Coefficients!$B$30,RAND())</f>
        <v>2</v>
      </c>
      <c r="L2009" s="0" t="n">
        <f aca="true">CRITBINOM(K2009,Coefficients!$B$31,RAND())</f>
        <v>1</v>
      </c>
      <c r="M2009" s="0" t="n">
        <f aca="true">CRITBINOM(MAX(0,J2009-K2009),1-Coefficients!$B$32,RAND())</f>
        <v>0</v>
      </c>
      <c r="N2009" s="0" t="n">
        <f aca="true">CRITBINOM(MAX(0,$C2009-J2009),MIN(0.6,Matchup!$C$40*SQRT($B2009)/(1-MIN(0.75,Matchup!$C$39*$B2009))),RAND())</f>
        <v>4</v>
      </c>
      <c r="O2009" s="0" t="n">
        <f aca="false">6*J2009+(J2009-K2009-M2009)+2*L2009+3*N2009</f>
        <v>40</v>
      </c>
      <c r="P2009" s="0" t="n">
        <f aca="true">RAND()</f>
        <v>0.631917139017917</v>
      </c>
      <c r="Q2009" s="0" t="n">
        <f aca="true">RAND()</f>
        <v>0.879252759896016</v>
      </c>
      <c r="R2009" s="0" t="n">
        <f aca="false">IF($I2009&lt;&gt;$O2009,0,IF(P2009&lt;Matchup!$B$39,7,IF(P2009&lt;Matchup!$B$39+Matchup!$B$40,3,0)))</f>
        <v>0</v>
      </c>
      <c r="S2009" s="0" t="n">
        <f aca="false">IF($I2009&lt;&gt;$O2009,0,IF(Q2009&lt;Matchup!$C$39,7,IF(Q2009&lt;Matchup!$C$39+Matchup!$C$40,3,0)))</f>
        <v>0</v>
      </c>
      <c r="T2009" s="0" t="n">
        <f aca="false">I2009+R2009</f>
        <v>31</v>
      </c>
      <c r="U2009" s="0" t="n">
        <f aca="false">O2009+S2009</f>
        <v>40</v>
      </c>
      <c r="V2009" s="0" t="n">
        <f aca="false">T2009-U2009</f>
        <v>-9</v>
      </c>
      <c r="W2009" s="0" t="n">
        <f aca="false">T2009+U2009</f>
        <v>71</v>
      </c>
    </row>
    <row r="2010" customFormat="false" ht="15" hidden="false" customHeight="false" outlineLevel="0" collapsed="false">
      <c r="A2010" s="0" t="n">
        <v>2007</v>
      </c>
      <c r="B2010" s="0" t="n">
        <f aca="true">NORMINV(RAND(),1,Coefficients!$B$22)</f>
        <v>0.953071274718359</v>
      </c>
      <c r="C2010" s="0" t="n">
        <f aca="true">MEDIAN(8,16,ROUND(NORMINV(RAND(),Coefficients!$B$20,Coefficients!$B$21),0))</f>
        <v>12</v>
      </c>
      <c r="D2010" s="0" t="n">
        <f aca="true">CRITBINOM($C2010,MIN(0.75,Matchup!$B$39*$B2010),RAND())</f>
        <v>5</v>
      </c>
      <c r="E2010" s="0" t="n">
        <f aca="true">CRITBINOM(D2010,Coefficients!$B$30,RAND())</f>
        <v>2</v>
      </c>
      <c r="F2010" s="0" t="n">
        <f aca="true">CRITBINOM(E2010,Coefficients!$B$31,RAND())</f>
        <v>1</v>
      </c>
      <c r="G2010" s="0" t="n">
        <f aca="true">CRITBINOM(MAX(0,D2010-E2010),1-Coefficients!$B$32,RAND())</f>
        <v>1</v>
      </c>
      <c r="H2010" s="0" t="n">
        <f aca="true">CRITBINOM(MAX(0,$C2010-D2010),MIN(0.6,Matchup!$B$40*SQRT($B2010)/(1-MIN(0.75,Matchup!$B$39*$B2010))),RAND())</f>
        <v>3</v>
      </c>
      <c r="I2010" s="0" t="n">
        <f aca="false">6*D2010+(D2010-E2010-G2010)+2*F2010+3*H2010</f>
        <v>43</v>
      </c>
      <c r="J2010" s="0" t="n">
        <f aca="true">CRITBINOM($C2010,MIN(0.75,Matchup!$C$39*$B2010),RAND())</f>
        <v>2</v>
      </c>
      <c r="K2010" s="0" t="n">
        <f aca="true">CRITBINOM(J2010,Coefficients!$B$30,RAND())</f>
        <v>0</v>
      </c>
      <c r="L2010" s="0" t="n">
        <f aca="true">CRITBINOM(K2010,Coefficients!$B$31,RAND())</f>
        <v>0</v>
      </c>
      <c r="M2010" s="0" t="n">
        <f aca="true">CRITBINOM(MAX(0,J2010-K2010),1-Coefficients!$B$32,RAND())</f>
        <v>0</v>
      </c>
      <c r="N2010" s="0" t="n">
        <f aca="true">CRITBINOM(MAX(0,$C2010-J2010),MIN(0.6,Matchup!$C$40*SQRT($B2010)/(1-MIN(0.75,Matchup!$C$39*$B2010))),RAND())</f>
        <v>2</v>
      </c>
      <c r="O2010" s="0" t="n">
        <f aca="false">6*J2010+(J2010-K2010-M2010)+2*L2010+3*N2010</f>
        <v>20</v>
      </c>
      <c r="P2010" s="0" t="n">
        <f aca="true">RAND()</f>
        <v>0.938404809393062</v>
      </c>
      <c r="Q2010" s="0" t="n">
        <f aca="true">RAND()</f>
        <v>0.248980651653229</v>
      </c>
      <c r="R2010" s="0" t="n">
        <f aca="false">IF($I2010&lt;&gt;$O2010,0,IF(P2010&lt;Matchup!$B$39,7,IF(P2010&lt;Matchup!$B$39+Matchup!$B$40,3,0)))</f>
        <v>0</v>
      </c>
      <c r="S2010" s="0" t="n">
        <f aca="false">IF($I2010&lt;&gt;$O2010,0,IF(Q2010&lt;Matchup!$C$39,7,IF(Q2010&lt;Matchup!$C$39+Matchup!$C$40,3,0)))</f>
        <v>0</v>
      </c>
      <c r="T2010" s="0" t="n">
        <f aca="false">I2010+R2010</f>
        <v>43</v>
      </c>
      <c r="U2010" s="0" t="n">
        <f aca="false">O2010+S2010</f>
        <v>20</v>
      </c>
      <c r="V2010" s="0" t="n">
        <f aca="false">T2010-U2010</f>
        <v>23</v>
      </c>
      <c r="W2010" s="0" t="n">
        <f aca="false">T2010+U2010</f>
        <v>63</v>
      </c>
    </row>
    <row r="2011" customFormat="false" ht="15" hidden="false" customHeight="false" outlineLevel="0" collapsed="false">
      <c r="A2011" s="0" t="n">
        <v>2008</v>
      </c>
      <c r="B2011" s="0" t="n">
        <f aca="true">NORMINV(RAND(),1,Coefficients!$B$22)</f>
        <v>0.996028905384588</v>
      </c>
      <c r="C2011" s="0" t="n">
        <f aca="true">MEDIAN(8,16,ROUND(NORMINV(RAND(),Coefficients!$B$20,Coefficients!$B$21),0))</f>
        <v>11</v>
      </c>
      <c r="D2011" s="0" t="n">
        <f aca="true">CRITBINOM($C2011,MIN(0.75,Matchup!$B$39*$B2011),RAND())</f>
        <v>2</v>
      </c>
      <c r="E2011" s="0" t="n">
        <f aca="true">CRITBINOM(D2011,Coefficients!$B$30,RAND())</f>
        <v>0</v>
      </c>
      <c r="F2011" s="0" t="n">
        <f aca="true">CRITBINOM(E2011,Coefficients!$B$31,RAND())</f>
        <v>0</v>
      </c>
      <c r="G2011" s="0" t="n">
        <f aca="true">CRITBINOM(MAX(0,D2011-E2011),1-Coefficients!$B$32,RAND())</f>
        <v>0</v>
      </c>
      <c r="H2011" s="0" t="n">
        <f aca="true">CRITBINOM(MAX(0,$C2011-D2011),MIN(0.6,Matchup!$B$40*SQRT($B2011)/(1-MIN(0.75,Matchup!$B$39*$B2011))),RAND())</f>
        <v>1</v>
      </c>
      <c r="I2011" s="0" t="n">
        <f aca="false">6*D2011+(D2011-E2011-G2011)+2*F2011+3*H2011</f>
        <v>17</v>
      </c>
      <c r="J2011" s="0" t="n">
        <f aca="true">CRITBINOM($C2011,MIN(0.75,Matchup!$C$39*$B2011),RAND())</f>
        <v>3</v>
      </c>
      <c r="K2011" s="0" t="n">
        <f aca="true">CRITBINOM(J2011,Coefficients!$B$30,RAND())</f>
        <v>0</v>
      </c>
      <c r="L2011" s="0" t="n">
        <f aca="true">CRITBINOM(K2011,Coefficients!$B$31,RAND())</f>
        <v>0</v>
      </c>
      <c r="M2011" s="0" t="n">
        <f aca="true">CRITBINOM(MAX(0,J2011-K2011),1-Coefficients!$B$32,RAND())</f>
        <v>1</v>
      </c>
      <c r="N2011" s="0" t="n">
        <f aca="true">CRITBINOM(MAX(0,$C2011-J2011),MIN(0.6,Matchup!$C$40*SQRT($B2011)/(1-MIN(0.75,Matchup!$C$39*$B2011))),RAND())</f>
        <v>1</v>
      </c>
      <c r="O2011" s="0" t="n">
        <f aca="false">6*J2011+(J2011-K2011-M2011)+2*L2011+3*N2011</f>
        <v>23</v>
      </c>
      <c r="P2011" s="0" t="n">
        <f aca="true">RAND()</f>
        <v>0.626277673357491</v>
      </c>
      <c r="Q2011" s="0" t="n">
        <f aca="true">RAND()</f>
        <v>0.537834556785303</v>
      </c>
      <c r="R2011" s="0" t="n">
        <f aca="false">IF($I2011&lt;&gt;$O2011,0,IF(P2011&lt;Matchup!$B$39,7,IF(P2011&lt;Matchup!$B$39+Matchup!$B$40,3,0)))</f>
        <v>0</v>
      </c>
      <c r="S2011" s="0" t="n">
        <f aca="false">IF($I2011&lt;&gt;$O2011,0,IF(Q2011&lt;Matchup!$C$39,7,IF(Q2011&lt;Matchup!$C$39+Matchup!$C$40,3,0)))</f>
        <v>0</v>
      </c>
      <c r="T2011" s="0" t="n">
        <f aca="false">I2011+R2011</f>
        <v>17</v>
      </c>
      <c r="U2011" s="0" t="n">
        <f aca="false">O2011+S2011</f>
        <v>23</v>
      </c>
      <c r="V2011" s="0" t="n">
        <f aca="false">T2011-U2011</f>
        <v>-6</v>
      </c>
      <c r="W2011" s="0" t="n">
        <f aca="false">T2011+U2011</f>
        <v>40</v>
      </c>
    </row>
    <row r="2012" customFormat="false" ht="15" hidden="false" customHeight="false" outlineLevel="0" collapsed="false">
      <c r="A2012" s="0" t="n">
        <v>2009</v>
      </c>
      <c r="B2012" s="0" t="n">
        <f aca="true">NORMINV(RAND(),1,Coefficients!$B$22)</f>
        <v>0.882707514507417</v>
      </c>
      <c r="C2012" s="0" t="n">
        <f aca="true">MEDIAN(8,16,ROUND(NORMINV(RAND(),Coefficients!$B$20,Coefficients!$B$21),0))</f>
        <v>11</v>
      </c>
      <c r="D2012" s="0" t="n">
        <f aca="true">CRITBINOM($C2012,MIN(0.75,Matchup!$B$39*$B2012),RAND())</f>
        <v>4</v>
      </c>
      <c r="E2012" s="0" t="n">
        <f aca="true">CRITBINOM(D2012,Coefficients!$B$30,RAND())</f>
        <v>1</v>
      </c>
      <c r="F2012" s="0" t="n">
        <f aca="true">CRITBINOM(E2012,Coefficients!$B$31,RAND())</f>
        <v>1</v>
      </c>
      <c r="G2012" s="0" t="n">
        <f aca="true">CRITBINOM(MAX(0,D2012-E2012),1-Coefficients!$B$32,RAND())</f>
        <v>0</v>
      </c>
      <c r="H2012" s="0" t="n">
        <f aca="true">CRITBINOM(MAX(0,$C2012-D2012),MIN(0.6,Matchup!$B$40*SQRT($B2012)/(1-MIN(0.75,Matchup!$B$39*$B2012))),RAND())</f>
        <v>2</v>
      </c>
      <c r="I2012" s="0" t="n">
        <f aca="false">6*D2012+(D2012-E2012-G2012)+2*F2012+3*H2012</f>
        <v>35</v>
      </c>
      <c r="J2012" s="0" t="n">
        <f aca="true">CRITBINOM($C2012,MIN(0.75,Matchup!$C$39*$B2012),RAND())</f>
        <v>0</v>
      </c>
      <c r="K2012" s="0" t="n">
        <f aca="true">CRITBINOM(J2012,Coefficients!$B$30,RAND())</f>
        <v>0</v>
      </c>
      <c r="L2012" s="0" t="n">
        <f aca="true">CRITBINOM(K2012,Coefficients!$B$31,RAND())</f>
        <v>0</v>
      </c>
      <c r="M2012" s="0" t="n">
        <f aca="true">CRITBINOM(MAX(0,J2012-K2012),1-Coefficients!$B$32,RAND())</f>
        <v>0</v>
      </c>
      <c r="N2012" s="0" t="n">
        <f aca="true">CRITBINOM(MAX(0,$C2012-J2012),MIN(0.6,Matchup!$C$40*SQRT($B2012)/(1-MIN(0.75,Matchup!$C$39*$B2012))),RAND())</f>
        <v>2</v>
      </c>
      <c r="O2012" s="0" t="n">
        <f aca="false">6*J2012+(J2012-K2012-M2012)+2*L2012+3*N2012</f>
        <v>6</v>
      </c>
      <c r="P2012" s="0" t="n">
        <f aca="true">RAND()</f>
        <v>0.556879217794236</v>
      </c>
      <c r="Q2012" s="0" t="n">
        <f aca="true">RAND()</f>
        <v>0.828872053479849</v>
      </c>
      <c r="R2012" s="0" t="n">
        <f aca="false">IF($I2012&lt;&gt;$O2012,0,IF(P2012&lt;Matchup!$B$39,7,IF(P2012&lt;Matchup!$B$39+Matchup!$B$40,3,0)))</f>
        <v>0</v>
      </c>
      <c r="S2012" s="0" t="n">
        <f aca="false">IF($I2012&lt;&gt;$O2012,0,IF(Q2012&lt;Matchup!$C$39,7,IF(Q2012&lt;Matchup!$C$39+Matchup!$C$40,3,0)))</f>
        <v>0</v>
      </c>
      <c r="T2012" s="0" t="n">
        <f aca="false">I2012+R2012</f>
        <v>35</v>
      </c>
      <c r="U2012" s="0" t="n">
        <f aca="false">O2012+S2012</f>
        <v>6</v>
      </c>
      <c r="V2012" s="0" t="n">
        <f aca="false">T2012-U2012</f>
        <v>29</v>
      </c>
      <c r="W2012" s="0" t="n">
        <f aca="false">T2012+U2012</f>
        <v>41</v>
      </c>
    </row>
    <row r="2013" customFormat="false" ht="15" hidden="false" customHeight="false" outlineLevel="0" collapsed="false">
      <c r="A2013" s="0" t="n">
        <v>2010</v>
      </c>
      <c r="B2013" s="0" t="n">
        <f aca="true">NORMINV(RAND(),1,Coefficients!$B$22)</f>
        <v>1.10226062384065</v>
      </c>
      <c r="C2013" s="0" t="n">
        <f aca="true">MEDIAN(8,16,ROUND(NORMINV(RAND(),Coefficients!$B$20,Coefficients!$B$21),0))</f>
        <v>10</v>
      </c>
      <c r="D2013" s="0" t="n">
        <f aca="true">CRITBINOM($C2013,MIN(0.75,Matchup!$B$39*$B2013),RAND())</f>
        <v>4</v>
      </c>
      <c r="E2013" s="0" t="n">
        <f aca="true">CRITBINOM(D2013,Coefficients!$B$30,RAND())</f>
        <v>0</v>
      </c>
      <c r="F2013" s="0" t="n">
        <f aca="true">CRITBINOM(E2013,Coefficients!$B$31,RAND())</f>
        <v>0</v>
      </c>
      <c r="G2013" s="0" t="n">
        <f aca="true">CRITBINOM(MAX(0,D2013-E2013),1-Coefficients!$B$32,RAND())</f>
        <v>0</v>
      </c>
      <c r="H2013" s="0" t="n">
        <f aca="true">CRITBINOM(MAX(0,$C2013-D2013),MIN(0.6,Matchup!$B$40*SQRT($B2013)/(1-MIN(0.75,Matchup!$B$39*$B2013))),RAND())</f>
        <v>1</v>
      </c>
      <c r="I2013" s="0" t="n">
        <f aca="false">6*D2013+(D2013-E2013-G2013)+2*F2013+3*H2013</f>
        <v>31</v>
      </c>
      <c r="J2013" s="0" t="n">
        <f aca="true">CRITBINOM($C2013,MIN(0.75,Matchup!$C$39*$B2013),RAND())</f>
        <v>4</v>
      </c>
      <c r="K2013" s="0" t="n">
        <f aca="true">CRITBINOM(J2013,Coefficients!$B$30,RAND())</f>
        <v>0</v>
      </c>
      <c r="L2013" s="0" t="n">
        <f aca="true">CRITBINOM(K2013,Coefficients!$B$31,RAND())</f>
        <v>0</v>
      </c>
      <c r="M2013" s="0" t="n">
        <f aca="true">CRITBINOM(MAX(0,J2013-K2013),1-Coefficients!$B$32,RAND())</f>
        <v>0</v>
      </c>
      <c r="N2013" s="0" t="n">
        <f aca="true">CRITBINOM(MAX(0,$C2013-J2013),MIN(0.6,Matchup!$C$40*SQRT($B2013)/(1-MIN(0.75,Matchup!$C$39*$B2013))),RAND())</f>
        <v>2</v>
      </c>
      <c r="O2013" s="0" t="n">
        <f aca="false">6*J2013+(J2013-K2013-M2013)+2*L2013+3*N2013</f>
        <v>34</v>
      </c>
      <c r="P2013" s="0" t="n">
        <f aca="true">RAND()</f>
        <v>0.315975765598683</v>
      </c>
      <c r="Q2013" s="0" t="n">
        <f aca="true">RAND()</f>
        <v>0.207608483207083</v>
      </c>
      <c r="R2013" s="0" t="n">
        <f aca="false">IF($I2013&lt;&gt;$O2013,0,IF(P2013&lt;Matchup!$B$39,7,IF(P2013&lt;Matchup!$B$39+Matchup!$B$40,3,0)))</f>
        <v>0</v>
      </c>
      <c r="S2013" s="0" t="n">
        <f aca="false">IF($I2013&lt;&gt;$O2013,0,IF(Q2013&lt;Matchup!$C$39,7,IF(Q2013&lt;Matchup!$C$39+Matchup!$C$40,3,0)))</f>
        <v>0</v>
      </c>
      <c r="T2013" s="0" t="n">
        <f aca="false">I2013+R2013</f>
        <v>31</v>
      </c>
      <c r="U2013" s="0" t="n">
        <f aca="false">O2013+S2013</f>
        <v>34</v>
      </c>
      <c r="V2013" s="0" t="n">
        <f aca="false">T2013-U2013</f>
        <v>-3</v>
      </c>
      <c r="W2013" s="0" t="n">
        <f aca="false">T2013+U2013</f>
        <v>65</v>
      </c>
    </row>
    <row r="2014" customFormat="false" ht="15" hidden="false" customHeight="false" outlineLevel="0" collapsed="false">
      <c r="A2014" s="0" t="n">
        <v>2011</v>
      </c>
      <c r="B2014" s="0" t="n">
        <f aca="true">NORMINV(RAND(),1,Coefficients!$B$22)</f>
        <v>1.06396358168987</v>
      </c>
      <c r="C2014" s="0" t="n">
        <f aca="true">MEDIAN(8,16,ROUND(NORMINV(RAND(),Coefficients!$B$20,Coefficients!$B$21),0))</f>
        <v>11</v>
      </c>
      <c r="D2014" s="0" t="n">
        <f aca="true">CRITBINOM($C2014,MIN(0.75,Matchup!$B$39*$B2014),RAND())</f>
        <v>1</v>
      </c>
      <c r="E2014" s="0" t="n">
        <f aca="true">CRITBINOM(D2014,Coefficients!$B$30,RAND())</f>
        <v>0</v>
      </c>
      <c r="F2014" s="0" t="n">
        <f aca="true">CRITBINOM(E2014,Coefficients!$B$31,RAND())</f>
        <v>0</v>
      </c>
      <c r="G2014" s="0" t="n">
        <f aca="true">CRITBINOM(MAX(0,D2014-E2014),1-Coefficients!$B$32,RAND())</f>
        <v>0</v>
      </c>
      <c r="H2014" s="0" t="n">
        <f aca="true">CRITBINOM(MAX(0,$C2014-D2014),MIN(0.6,Matchup!$B$40*SQRT($B2014)/(1-MIN(0.75,Matchup!$B$39*$B2014))),RAND())</f>
        <v>4</v>
      </c>
      <c r="I2014" s="0" t="n">
        <f aca="false">6*D2014+(D2014-E2014-G2014)+2*F2014+3*H2014</f>
        <v>19</v>
      </c>
      <c r="J2014" s="0" t="n">
        <f aca="true">CRITBINOM($C2014,MIN(0.75,Matchup!$C$39*$B2014),RAND())</f>
        <v>2</v>
      </c>
      <c r="K2014" s="0" t="n">
        <f aca="true">CRITBINOM(J2014,Coefficients!$B$30,RAND())</f>
        <v>0</v>
      </c>
      <c r="L2014" s="0" t="n">
        <f aca="true">CRITBINOM(K2014,Coefficients!$B$31,RAND())</f>
        <v>0</v>
      </c>
      <c r="M2014" s="0" t="n">
        <f aca="true">CRITBINOM(MAX(0,J2014-K2014),1-Coefficients!$B$32,RAND())</f>
        <v>0</v>
      </c>
      <c r="N2014" s="0" t="n">
        <f aca="true">CRITBINOM(MAX(0,$C2014-J2014),MIN(0.6,Matchup!$C$40*SQRT($B2014)/(1-MIN(0.75,Matchup!$C$39*$B2014))),RAND())</f>
        <v>0</v>
      </c>
      <c r="O2014" s="0" t="n">
        <f aca="false">6*J2014+(J2014-K2014-M2014)+2*L2014+3*N2014</f>
        <v>14</v>
      </c>
      <c r="P2014" s="0" t="n">
        <f aca="true">RAND()</f>
        <v>0.613010266707072</v>
      </c>
      <c r="Q2014" s="0" t="n">
        <f aca="true">RAND()</f>
        <v>0.748402276914195</v>
      </c>
      <c r="R2014" s="0" t="n">
        <f aca="false">IF($I2014&lt;&gt;$O2014,0,IF(P2014&lt;Matchup!$B$39,7,IF(P2014&lt;Matchup!$B$39+Matchup!$B$40,3,0)))</f>
        <v>0</v>
      </c>
      <c r="S2014" s="0" t="n">
        <f aca="false">IF($I2014&lt;&gt;$O2014,0,IF(Q2014&lt;Matchup!$C$39,7,IF(Q2014&lt;Matchup!$C$39+Matchup!$C$40,3,0)))</f>
        <v>0</v>
      </c>
      <c r="T2014" s="0" t="n">
        <f aca="false">I2014+R2014</f>
        <v>19</v>
      </c>
      <c r="U2014" s="0" t="n">
        <f aca="false">O2014+S2014</f>
        <v>14</v>
      </c>
      <c r="V2014" s="0" t="n">
        <f aca="false">T2014-U2014</f>
        <v>5</v>
      </c>
      <c r="W2014" s="0" t="n">
        <f aca="false">T2014+U2014</f>
        <v>33</v>
      </c>
    </row>
    <row r="2015" customFormat="false" ht="15" hidden="false" customHeight="false" outlineLevel="0" collapsed="false">
      <c r="A2015" s="0" t="n">
        <v>2012</v>
      </c>
      <c r="B2015" s="0" t="n">
        <f aca="true">NORMINV(RAND(),1,Coefficients!$B$22)</f>
        <v>0.999710965706504</v>
      </c>
      <c r="C2015" s="0" t="n">
        <f aca="true">MEDIAN(8,16,ROUND(NORMINV(RAND(),Coefficients!$B$20,Coefficients!$B$21),0))</f>
        <v>12</v>
      </c>
      <c r="D2015" s="0" t="n">
        <f aca="true">CRITBINOM($C2015,MIN(0.75,Matchup!$B$39*$B2015),RAND())</f>
        <v>3</v>
      </c>
      <c r="E2015" s="0" t="n">
        <f aca="true">CRITBINOM(D2015,Coefficients!$B$30,RAND())</f>
        <v>0</v>
      </c>
      <c r="F2015" s="0" t="n">
        <f aca="true">CRITBINOM(E2015,Coefficients!$B$31,RAND())</f>
        <v>0</v>
      </c>
      <c r="G2015" s="0" t="n">
        <f aca="true">CRITBINOM(MAX(0,D2015-E2015),1-Coefficients!$B$32,RAND())</f>
        <v>0</v>
      </c>
      <c r="H2015" s="0" t="n">
        <f aca="true">CRITBINOM(MAX(0,$C2015-D2015),MIN(0.6,Matchup!$B$40*SQRT($B2015)/(1-MIN(0.75,Matchup!$B$39*$B2015))),RAND())</f>
        <v>2</v>
      </c>
      <c r="I2015" s="0" t="n">
        <f aca="false">6*D2015+(D2015-E2015-G2015)+2*F2015+3*H2015</f>
        <v>27</v>
      </c>
      <c r="J2015" s="0" t="n">
        <f aca="true">CRITBINOM($C2015,MIN(0.75,Matchup!$C$39*$B2015),RAND())</f>
        <v>2</v>
      </c>
      <c r="K2015" s="0" t="n">
        <f aca="true">CRITBINOM(J2015,Coefficients!$B$30,RAND())</f>
        <v>0</v>
      </c>
      <c r="L2015" s="0" t="n">
        <f aca="true">CRITBINOM(K2015,Coefficients!$B$31,RAND())</f>
        <v>0</v>
      </c>
      <c r="M2015" s="0" t="n">
        <f aca="true">CRITBINOM(MAX(0,J2015-K2015),1-Coefficients!$B$32,RAND())</f>
        <v>0</v>
      </c>
      <c r="N2015" s="0" t="n">
        <f aca="true">CRITBINOM(MAX(0,$C2015-J2015),MIN(0.6,Matchup!$C$40*SQRT($B2015)/(1-MIN(0.75,Matchup!$C$39*$B2015))),RAND())</f>
        <v>0</v>
      </c>
      <c r="O2015" s="0" t="n">
        <f aca="false">6*J2015+(J2015-K2015-M2015)+2*L2015+3*N2015</f>
        <v>14</v>
      </c>
      <c r="P2015" s="0" t="n">
        <f aca="true">RAND()</f>
        <v>0.124497238829423</v>
      </c>
      <c r="Q2015" s="0" t="n">
        <f aca="true">RAND()</f>
        <v>0.29551833648213</v>
      </c>
      <c r="R2015" s="0" t="n">
        <f aca="false">IF($I2015&lt;&gt;$O2015,0,IF(P2015&lt;Matchup!$B$39,7,IF(P2015&lt;Matchup!$B$39+Matchup!$B$40,3,0)))</f>
        <v>0</v>
      </c>
      <c r="S2015" s="0" t="n">
        <f aca="false">IF($I2015&lt;&gt;$O2015,0,IF(Q2015&lt;Matchup!$C$39,7,IF(Q2015&lt;Matchup!$C$39+Matchup!$C$40,3,0)))</f>
        <v>0</v>
      </c>
      <c r="T2015" s="0" t="n">
        <f aca="false">I2015+R2015</f>
        <v>27</v>
      </c>
      <c r="U2015" s="0" t="n">
        <f aca="false">O2015+S2015</f>
        <v>14</v>
      </c>
      <c r="V2015" s="0" t="n">
        <f aca="false">T2015-U2015</f>
        <v>13</v>
      </c>
      <c r="W2015" s="0" t="n">
        <f aca="false">T2015+U2015</f>
        <v>41</v>
      </c>
    </row>
    <row r="2016" customFormat="false" ht="15" hidden="false" customHeight="false" outlineLevel="0" collapsed="false">
      <c r="A2016" s="0" t="n">
        <v>2013</v>
      </c>
      <c r="B2016" s="0" t="n">
        <f aca="true">NORMINV(RAND(),1,Coefficients!$B$22)</f>
        <v>1.00436525365189</v>
      </c>
      <c r="C2016" s="0" t="n">
        <f aca="true">MEDIAN(8,16,ROUND(NORMINV(RAND(),Coefficients!$B$20,Coefficients!$B$21),0))</f>
        <v>12</v>
      </c>
      <c r="D2016" s="0" t="n">
        <f aca="true">CRITBINOM($C2016,MIN(0.75,Matchup!$B$39*$B2016),RAND())</f>
        <v>4</v>
      </c>
      <c r="E2016" s="0" t="n">
        <f aca="true">CRITBINOM(D2016,Coefficients!$B$30,RAND())</f>
        <v>1</v>
      </c>
      <c r="F2016" s="0" t="n">
        <f aca="true">CRITBINOM(E2016,Coefficients!$B$31,RAND())</f>
        <v>1</v>
      </c>
      <c r="G2016" s="0" t="n">
        <f aca="true">CRITBINOM(MAX(0,D2016-E2016),1-Coefficients!$B$32,RAND())</f>
        <v>1</v>
      </c>
      <c r="H2016" s="0" t="n">
        <f aca="true">CRITBINOM(MAX(0,$C2016-D2016),MIN(0.6,Matchup!$B$40*SQRT($B2016)/(1-MIN(0.75,Matchup!$B$39*$B2016))),RAND())</f>
        <v>0</v>
      </c>
      <c r="I2016" s="0" t="n">
        <f aca="false">6*D2016+(D2016-E2016-G2016)+2*F2016+3*H2016</f>
        <v>28</v>
      </c>
      <c r="J2016" s="0" t="n">
        <f aca="true">CRITBINOM($C2016,MIN(0.75,Matchup!$C$39*$B2016),RAND())</f>
        <v>3</v>
      </c>
      <c r="K2016" s="0" t="n">
        <f aca="true">CRITBINOM(J2016,Coefficients!$B$30,RAND())</f>
        <v>0</v>
      </c>
      <c r="L2016" s="0" t="n">
        <f aca="true">CRITBINOM(K2016,Coefficients!$B$31,RAND())</f>
        <v>0</v>
      </c>
      <c r="M2016" s="0" t="n">
        <f aca="true">CRITBINOM(MAX(0,J2016-K2016),1-Coefficients!$B$32,RAND())</f>
        <v>0</v>
      </c>
      <c r="N2016" s="0" t="n">
        <f aca="true">CRITBINOM(MAX(0,$C2016-J2016),MIN(0.6,Matchup!$C$40*SQRT($B2016)/(1-MIN(0.75,Matchup!$C$39*$B2016))),RAND())</f>
        <v>0</v>
      </c>
      <c r="O2016" s="0" t="n">
        <f aca="false">6*J2016+(J2016-K2016-M2016)+2*L2016+3*N2016</f>
        <v>21</v>
      </c>
      <c r="P2016" s="0" t="n">
        <f aca="true">RAND()</f>
        <v>0.440270526328551</v>
      </c>
      <c r="Q2016" s="0" t="n">
        <f aca="true">RAND()</f>
        <v>0.890189678997164</v>
      </c>
      <c r="R2016" s="0" t="n">
        <f aca="false">IF($I2016&lt;&gt;$O2016,0,IF(P2016&lt;Matchup!$B$39,7,IF(P2016&lt;Matchup!$B$39+Matchup!$B$40,3,0)))</f>
        <v>0</v>
      </c>
      <c r="S2016" s="0" t="n">
        <f aca="false">IF($I2016&lt;&gt;$O2016,0,IF(Q2016&lt;Matchup!$C$39,7,IF(Q2016&lt;Matchup!$C$39+Matchup!$C$40,3,0)))</f>
        <v>0</v>
      </c>
      <c r="T2016" s="0" t="n">
        <f aca="false">I2016+R2016</f>
        <v>28</v>
      </c>
      <c r="U2016" s="0" t="n">
        <f aca="false">O2016+S2016</f>
        <v>21</v>
      </c>
      <c r="V2016" s="0" t="n">
        <f aca="false">T2016-U2016</f>
        <v>7</v>
      </c>
      <c r="W2016" s="0" t="n">
        <f aca="false">T2016+U2016</f>
        <v>49</v>
      </c>
    </row>
    <row r="2017" customFormat="false" ht="15" hidden="false" customHeight="false" outlineLevel="0" collapsed="false">
      <c r="A2017" s="0" t="n">
        <v>2014</v>
      </c>
      <c r="B2017" s="0" t="n">
        <f aca="true">NORMINV(RAND(),1,Coefficients!$B$22)</f>
        <v>1.10320655121898</v>
      </c>
      <c r="C2017" s="0" t="n">
        <f aca="true">MEDIAN(8,16,ROUND(NORMINV(RAND(),Coefficients!$B$20,Coefficients!$B$21),0))</f>
        <v>12</v>
      </c>
      <c r="D2017" s="0" t="n">
        <f aca="true">CRITBINOM($C2017,MIN(0.75,Matchup!$B$39*$B2017),RAND())</f>
        <v>1</v>
      </c>
      <c r="E2017" s="0" t="n">
        <f aca="true">CRITBINOM(D2017,Coefficients!$B$30,RAND())</f>
        <v>0</v>
      </c>
      <c r="F2017" s="0" t="n">
        <f aca="true">CRITBINOM(E2017,Coefficients!$B$31,RAND())</f>
        <v>0</v>
      </c>
      <c r="G2017" s="0" t="n">
        <f aca="true">CRITBINOM(MAX(0,D2017-E2017),1-Coefficients!$B$32,RAND())</f>
        <v>0</v>
      </c>
      <c r="H2017" s="0" t="n">
        <f aca="true">CRITBINOM(MAX(0,$C2017-D2017),MIN(0.6,Matchup!$B$40*SQRT($B2017)/(1-MIN(0.75,Matchup!$B$39*$B2017))),RAND())</f>
        <v>5</v>
      </c>
      <c r="I2017" s="0" t="n">
        <f aca="false">6*D2017+(D2017-E2017-G2017)+2*F2017+3*H2017</f>
        <v>22</v>
      </c>
      <c r="J2017" s="0" t="n">
        <f aca="true">CRITBINOM($C2017,MIN(0.75,Matchup!$C$39*$B2017),RAND())</f>
        <v>3</v>
      </c>
      <c r="K2017" s="0" t="n">
        <f aca="true">CRITBINOM(J2017,Coefficients!$B$30,RAND())</f>
        <v>0</v>
      </c>
      <c r="L2017" s="0" t="n">
        <f aca="true">CRITBINOM(K2017,Coefficients!$B$31,RAND())</f>
        <v>0</v>
      </c>
      <c r="M2017" s="0" t="n">
        <f aca="true">CRITBINOM(MAX(0,J2017-K2017),1-Coefficients!$B$32,RAND())</f>
        <v>0</v>
      </c>
      <c r="N2017" s="0" t="n">
        <f aca="true">CRITBINOM(MAX(0,$C2017-J2017),MIN(0.6,Matchup!$C$40*SQRT($B2017)/(1-MIN(0.75,Matchup!$C$39*$B2017))),RAND())</f>
        <v>1</v>
      </c>
      <c r="O2017" s="0" t="n">
        <f aca="false">6*J2017+(J2017-K2017-M2017)+2*L2017+3*N2017</f>
        <v>24</v>
      </c>
      <c r="P2017" s="0" t="n">
        <f aca="true">RAND()</f>
        <v>0.941392026600947</v>
      </c>
      <c r="Q2017" s="0" t="n">
        <f aca="true">RAND()</f>
        <v>0.979112320586945</v>
      </c>
      <c r="R2017" s="0" t="n">
        <f aca="false">IF($I2017&lt;&gt;$O2017,0,IF(P2017&lt;Matchup!$B$39,7,IF(P2017&lt;Matchup!$B$39+Matchup!$B$40,3,0)))</f>
        <v>0</v>
      </c>
      <c r="S2017" s="0" t="n">
        <f aca="false">IF($I2017&lt;&gt;$O2017,0,IF(Q2017&lt;Matchup!$C$39,7,IF(Q2017&lt;Matchup!$C$39+Matchup!$C$40,3,0)))</f>
        <v>0</v>
      </c>
      <c r="T2017" s="0" t="n">
        <f aca="false">I2017+R2017</f>
        <v>22</v>
      </c>
      <c r="U2017" s="0" t="n">
        <f aca="false">O2017+S2017</f>
        <v>24</v>
      </c>
      <c r="V2017" s="0" t="n">
        <f aca="false">T2017-U2017</f>
        <v>-2</v>
      </c>
      <c r="W2017" s="0" t="n">
        <f aca="false">T2017+U2017</f>
        <v>46</v>
      </c>
    </row>
    <row r="2018" customFormat="false" ht="15" hidden="false" customHeight="false" outlineLevel="0" collapsed="false">
      <c r="A2018" s="0" t="n">
        <v>2015</v>
      </c>
      <c r="B2018" s="0" t="n">
        <f aca="true">NORMINV(RAND(),1,Coefficients!$B$22)</f>
        <v>1.02139414329589</v>
      </c>
      <c r="C2018" s="0" t="n">
        <f aca="true">MEDIAN(8,16,ROUND(NORMINV(RAND(),Coefficients!$B$20,Coefficients!$B$21),0))</f>
        <v>11</v>
      </c>
      <c r="D2018" s="0" t="n">
        <f aca="true">CRITBINOM($C2018,MIN(0.75,Matchup!$B$39*$B2018),RAND())</f>
        <v>4</v>
      </c>
      <c r="E2018" s="0" t="n">
        <f aca="true">CRITBINOM(D2018,Coefficients!$B$30,RAND())</f>
        <v>0</v>
      </c>
      <c r="F2018" s="0" t="n">
        <f aca="true">CRITBINOM(E2018,Coefficients!$B$31,RAND())</f>
        <v>0</v>
      </c>
      <c r="G2018" s="0" t="n">
        <f aca="true">CRITBINOM(MAX(0,D2018-E2018),1-Coefficients!$B$32,RAND())</f>
        <v>0</v>
      </c>
      <c r="H2018" s="0" t="n">
        <f aca="true">CRITBINOM(MAX(0,$C2018-D2018),MIN(0.6,Matchup!$B$40*SQRT($B2018)/(1-MIN(0.75,Matchup!$B$39*$B2018))),RAND())</f>
        <v>3</v>
      </c>
      <c r="I2018" s="0" t="n">
        <f aca="false">6*D2018+(D2018-E2018-G2018)+2*F2018+3*H2018</f>
        <v>37</v>
      </c>
      <c r="J2018" s="0" t="n">
        <f aca="true">CRITBINOM($C2018,MIN(0.75,Matchup!$C$39*$B2018),RAND())</f>
        <v>5</v>
      </c>
      <c r="K2018" s="0" t="n">
        <f aca="true">CRITBINOM(J2018,Coefficients!$B$30,RAND())</f>
        <v>0</v>
      </c>
      <c r="L2018" s="0" t="n">
        <f aca="true">CRITBINOM(K2018,Coefficients!$B$31,RAND())</f>
        <v>0</v>
      </c>
      <c r="M2018" s="0" t="n">
        <f aca="true">CRITBINOM(MAX(0,J2018-K2018),1-Coefficients!$B$32,RAND())</f>
        <v>0</v>
      </c>
      <c r="N2018" s="0" t="n">
        <f aca="true">CRITBINOM(MAX(0,$C2018-J2018),MIN(0.6,Matchup!$C$40*SQRT($B2018)/(1-MIN(0.75,Matchup!$C$39*$B2018))),RAND())</f>
        <v>1</v>
      </c>
      <c r="O2018" s="0" t="n">
        <f aca="false">6*J2018+(J2018-K2018-M2018)+2*L2018+3*N2018</f>
        <v>38</v>
      </c>
      <c r="P2018" s="0" t="n">
        <f aca="true">RAND()</f>
        <v>0.387999156932522</v>
      </c>
      <c r="Q2018" s="0" t="n">
        <f aca="true">RAND()</f>
        <v>0.453302879826403</v>
      </c>
      <c r="R2018" s="0" t="n">
        <f aca="false">IF($I2018&lt;&gt;$O2018,0,IF(P2018&lt;Matchup!$B$39,7,IF(P2018&lt;Matchup!$B$39+Matchup!$B$40,3,0)))</f>
        <v>0</v>
      </c>
      <c r="S2018" s="0" t="n">
        <f aca="false">IF($I2018&lt;&gt;$O2018,0,IF(Q2018&lt;Matchup!$C$39,7,IF(Q2018&lt;Matchup!$C$39+Matchup!$C$40,3,0)))</f>
        <v>0</v>
      </c>
      <c r="T2018" s="0" t="n">
        <f aca="false">I2018+R2018</f>
        <v>37</v>
      </c>
      <c r="U2018" s="0" t="n">
        <f aca="false">O2018+S2018</f>
        <v>38</v>
      </c>
      <c r="V2018" s="0" t="n">
        <f aca="false">T2018-U2018</f>
        <v>-1</v>
      </c>
      <c r="W2018" s="0" t="n">
        <f aca="false">T2018+U2018</f>
        <v>75</v>
      </c>
    </row>
    <row r="2019" customFormat="false" ht="15" hidden="false" customHeight="false" outlineLevel="0" collapsed="false">
      <c r="A2019" s="0" t="n">
        <v>2016</v>
      </c>
      <c r="B2019" s="0" t="n">
        <f aca="true">NORMINV(RAND(),1,Coefficients!$B$22)</f>
        <v>0.982653052281547</v>
      </c>
      <c r="C2019" s="0" t="n">
        <f aca="true">MEDIAN(8,16,ROUND(NORMINV(RAND(),Coefficients!$B$20,Coefficients!$B$21),0))</f>
        <v>11</v>
      </c>
      <c r="D2019" s="0" t="n">
        <f aca="true">CRITBINOM($C2019,MIN(0.75,Matchup!$B$39*$B2019),RAND())</f>
        <v>3</v>
      </c>
      <c r="E2019" s="0" t="n">
        <f aca="true">CRITBINOM(D2019,Coefficients!$B$30,RAND())</f>
        <v>1</v>
      </c>
      <c r="F2019" s="0" t="n">
        <f aca="true">CRITBINOM(E2019,Coefficients!$B$31,RAND())</f>
        <v>0</v>
      </c>
      <c r="G2019" s="0" t="n">
        <f aca="true">CRITBINOM(MAX(0,D2019-E2019),1-Coefficients!$B$32,RAND())</f>
        <v>0</v>
      </c>
      <c r="H2019" s="0" t="n">
        <f aca="true">CRITBINOM(MAX(0,$C2019-D2019),MIN(0.6,Matchup!$B$40*SQRT($B2019)/(1-MIN(0.75,Matchup!$B$39*$B2019))),RAND())</f>
        <v>1</v>
      </c>
      <c r="I2019" s="0" t="n">
        <f aca="false">6*D2019+(D2019-E2019-G2019)+2*F2019+3*H2019</f>
        <v>23</v>
      </c>
      <c r="J2019" s="0" t="n">
        <f aca="true">CRITBINOM($C2019,MIN(0.75,Matchup!$C$39*$B2019),RAND())</f>
        <v>3</v>
      </c>
      <c r="K2019" s="0" t="n">
        <f aca="true">CRITBINOM(J2019,Coefficients!$B$30,RAND())</f>
        <v>0</v>
      </c>
      <c r="L2019" s="0" t="n">
        <f aca="true">CRITBINOM(K2019,Coefficients!$B$31,RAND())</f>
        <v>0</v>
      </c>
      <c r="M2019" s="0" t="n">
        <f aca="true">CRITBINOM(MAX(0,J2019-K2019),1-Coefficients!$B$32,RAND())</f>
        <v>0</v>
      </c>
      <c r="N2019" s="0" t="n">
        <f aca="true">CRITBINOM(MAX(0,$C2019-J2019),MIN(0.6,Matchup!$C$40*SQRT($B2019)/(1-MIN(0.75,Matchup!$C$39*$B2019))),RAND())</f>
        <v>1</v>
      </c>
      <c r="O2019" s="0" t="n">
        <f aca="false">6*J2019+(J2019-K2019-M2019)+2*L2019+3*N2019</f>
        <v>24</v>
      </c>
      <c r="P2019" s="0" t="n">
        <f aca="true">RAND()</f>
        <v>0.896052319084834</v>
      </c>
      <c r="Q2019" s="0" t="n">
        <f aca="true">RAND()</f>
        <v>0.777007752181875</v>
      </c>
      <c r="R2019" s="0" t="n">
        <f aca="false">IF($I2019&lt;&gt;$O2019,0,IF(P2019&lt;Matchup!$B$39,7,IF(P2019&lt;Matchup!$B$39+Matchup!$B$40,3,0)))</f>
        <v>0</v>
      </c>
      <c r="S2019" s="0" t="n">
        <f aca="false">IF($I2019&lt;&gt;$O2019,0,IF(Q2019&lt;Matchup!$C$39,7,IF(Q2019&lt;Matchup!$C$39+Matchup!$C$40,3,0)))</f>
        <v>0</v>
      </c>
      <c r="T2019" s="0" t="n">
        <f aca="false">I2019+R2019</f>
        <v>23</v>
      </c>
      <c r="U2019" s="0" t="n">
        <f aca="false">O2019+S2019</f>
        <v>24</v>
      </c>
      <c r="V2019" s="0" t="n">
        <f aca="false">T2019-U2019</f>
        <v>-1</v>
      </c>
      <c r="W2019" s="0" t="n">
        <f aca="false">T2019+U2019</f>
        <v>47</v>
      </c>
    </row>
    <row r="2020" customFormat="false" ht="15" hidden="false" customHeight="false" outlineLevel="0" collapsed="false">
      <c r="A2020" s="0" t="n">
        <v>2017</v>
      </c>
      <c r="B2020" s="0" t="n">
        <f aca="true">NORMINV(RAND(),1,Coefficients!$B$22)</f>
        <v>1.09581098022773</v>
      </c>
      <c r="C2020" s="0" t="n">
        <f aca="true">MEDIAN(8,16,ROUND(NORMINV(RAND(),Coefficients!$B$20,Coefficients!$B$21),0))</f>
        <v>11</v>
      </c>
      <c r="D2020" s="0" t="n">
        <f aca="true">CRITBINOM($C2020,MIN(0.75,Matchup!$B$39*$B2020),RAND())</f>
        <v>4</v>
      </c>
      <c r="E2020" s="0" t="n">
        <f aca="true">CRITBINOM(D2020,Coefficients!$B$30,RAND())</f>
        <v>0</v>
      </c>
      <c r="F2020" s="0" t="n">
        <f aca="true">CRITBINOM(E2020,Coefficients!$B$31,RAND())</f>
        <v>0</v>
      </c>
      <c r="G2020" s="0" t="n">
        <f aca="true">CRITBINOM(MAX(0,D2020-E2020),1-Coefficients!$B$32,RAND())</f>
        <v>1</v>
      </c>
      <c r="H2020" s="0" t="n">
        <f aca="true">CRITBINOM(MAX(0,$C2020-D2020),MIN(0.6,Matchup!$B$40*SQRT($B2020)/(1-MIN(0.75,Matchup!$B$39*$B2020))),RAND())</f>
        <v>0</v>
      </c>
      <c r="I2020" s="0" t="n">
        <f aca="false">6*D2020+(D2020-E2020-G2020)+2*F2020+3*H2020</f>
        <v>27</v>
      </c>
      <c r="J2020" s="0" t="n">
        <f aca="true">CRITBINOM($C2020,MIN(0.75,Matchup!$C$39*$B2020),RAND())</f>
        <v>3</v>
      </c>
      <c r="K2020" s="0" t="n">
        <f aca="true">CRITBINOM(J2020,Coefficients!$B$30,RAND())</f>
        <v>0</v>
      </c>
      <c r="L2020" s="0" t="n">
        <f aca="true">CRITBINOM(K2020,Coefficients!$B$31,RAND())</f>
        <v>0</v>
      </c>
      <c r="M2020" s="0" t="n">
        <f aca="true">CRITBINOM(MAX(0,J2020-K2020),1-Coefficients!$B$32,RAND())</f>
        <v>0</v>
      </c>
      <c r="N2020" s="0" t="n">
        <f aca="true">CRITBINOM(MAX(0,$C2020-J2020),MIN(0.6,Matchup!$C$40*SQRT($B2020)/(1-MIN(0.75,Matchup!$C$39*$B2020))),RAND())</f>
        <v>1</v>
      </c>
      <c r="O2020" s="0" t="n">
        <f aca="false">6*J2020+(J2020-K2020-M2020)+2*L2020+3*N2020</f>
        <v>24</v>
      </c>
      <c r="P2020" s="0" t="n">
        <f aca="true">RAND()</f>
        <v>0.544380205089803</v>
      </c>
      <c r="Q2020" s="0" t="n">
        <f aca="true">RAND()</f>
        <v>0.104974781198681</v>
      </c>
      <c r="R2020" s="0" t="n">
        <f aca="false">IF($I2020&lt;&gt;$O2020,0,IF(P2020&lt;Matchup!$B$39,7,IF(P2020&lt;Matchup!$B$39+Matchup!$B$40,3,0)))</f>
        <v>0</v>
      </c>
      <c r="S2020" s="0" t="n">
        <f aca="false">IF($I2020&lt;&gt;$O2020,0,IF(Q2020&lt;Matchup!$C$39,7,IF(Q2020&lt;Matchup!$C$39+Matchup!$C$40,3,0)))</f>
        <v>0</v>
      </c>
      <c r="T2020" s="0" t="n">
        <f aca="false">I2020+R2020</f>
        <v>27</v>
      </c>
      <c r="U2020" s="0" t="n">
        <f aca="false">O2020+S2020</f>
        <v>24</v>
      </c>
      <c r="V2020" s="0" t="n">
        <f aca="false">T2020-U2020</f>
        <v>3</v>
      </c>
      <c r="W2020" s="0" t="n">
        <f aca="false">T2020+U2020</f>
        <v>51</v>
      </c>
    </row>
    <row r="2021" customFormat="false" ht="15" hidden="false" customHeight="false" outlineLevel="0" collapsed="false">
      <c r="A2021" s="0" t="n">
        <v>2018</v>
      </c>
      <c r="B2021" s="0" t="n">
        <f aca="true">NORMINV(RAND(),1,Coefficients!$B$22)</f>
        <v>1.00784213228085</v>
      </c>
      <c r="C2021" s="0" t="n">
        <f aca="true">MEDIAN(8,16,ROUND(NORMINV(RAND(),Coefficients!$B$20,Coefficients!$B$21),0))</f>
        <v>10</v>
      </c>
      <c r="D2021" s="0" t="n">
        <f aca="true">CRITBINOM($C2021,MIN(0.75,Matchup!$B$39*$B2021),RAND())</f>
        <v>3</v>
      </c>
      <c r="E2021" s="0" t="n">
        <f aca="true">CRITBINOM(D2021,Coefficients!$B$30,RAND())</f>
        <v>1</v>
      </c>
      <c r="F2021" s="0" t="n">
        <f aca="true">CRITBINOM(E2021,Coefficients!$B$31,RAND())</f>
        <v>0</v>
      </c>
      <c r="G2021" s="0" t="n">
        <f aca="true">CRITBINOM(MAX(0,D2021-E2021),1-Coefficients!$B$32,RAND())</f>
        <v>0</v>
      </c>
      <c r="H2021" s="0" t="n">
        <f aca="true">CRITBINOM(MAX(0,$C2021-D2021),MIN(0.6,Matchup!$B$40*SQRT($B2021)/(1-MIN(0.75,Matchup!$B$39*$B2021))),RAND())</f>
        <v>0</v>
      </c>
      <c r="I2021" s="0" t="n">
        <f aca="false">6*D2021+(D2021-E2021-G2021)+2*F2021+3*H2021</f>
        <v>20</v>
      </c>
      <c r="J2021" s="0" t="n">
        <f aca="true">CRITBINOM($C2021,MIN(0.75,Matchup!$C$39*$B2021),RAND())</f>
        <v>3</v>
      </c>
      <c r="K2021" s="0" t="n">
        <f aca="true">CRITBINOM(J2021,Coefficients!$B$30,RAND())</f>
        <v>1</v>
      </c>
      <c r="L2021" s="0" t="n">
        <f aca="true">CRITBINOM(K2021,Coefficients!$B$31,RAND())</f>
        <v>1</v>
      </c>
      <c r="M2021" s="0" t="n">
        <f aca="true">CRITBINOM(MAX(0,J2021-K2021),1-Coefficients!$B$32,RAND())</f>
        <v>0</v>
      </c>
      <c r="N2021" s="0" t="n">
        <f aca="true">CRITBINOM(MAX(0,$C2021-J2021),MIN(0.6,Matchup!$C$40*SQRT($B2021)/(1-MIN(0.75,Matchup!$C$39*$B2021))),RAND())</f>
        <v>3</v>
      </c>
      <c r="O2021" s="0" t="n">
        <f aca="false">6*J2021+(J2021-K2021-M2021)+2*L2021+3*N2021</f>
        <v>31</v>
      </c>
      <c r="P2021" s="0" t="n">
        <f aca="true">RAND()</f>
        <v>0.992935475010488</v>
      </c>
      <c r="Q2021" s="0" t="n">
        <f aca="true">RAND()</f>
        <v>0.0848883621173299</v>
      </c>
      <c r="R2021" s="0" t="n">
        <f aca="false">IF($I2021&lt;&gt;$O2021,0,IF(P2021&lt;Matchup!$B$39,7,IF(P2021&lt;Matchup!$B$39+Matchup!$B$40,3,0)))</f>
        <v>0</v>
      </c>
      <c r="S2021" s="0" t="n">
        <f aca="false">IF($I2021&lt;&gt;$O2021,0,IF(Q2021&lt;Matchup!$C$39,7,IF(Q2021&lt;Matchup!$C$39+Matchup!$C$40,3,0)))</f>
        <v>0</v>
      </c>
      <c r="T2021" s="0" t="n">
        <f aca="false">I2021+R2021</f>
        <v>20</v>
      </c>
      <c r="U2021" s="0" t="n">
        <f aca="false">O2021+S2021</f>
        <v>31</v>
      </c>
      <c r="V2021" s="0" t="n">
        <f aca="false">T2021-U2021</f>
        <v>-11</v>
      </c>
      <c r="W2021" s="0" t="n">
        <f aca="false">T2021+U2021</f>
        <v>51</v>
      </c>
    </row>
    <row r="2022" customFormat="false" ht="15" hidden="false" customHeight="false" outlineLevel="0" collapsed="false">
      <c r="A2022" s="0" t="n">
        <v>2019</v>
      </c>
      <c r="B2022" s="0" t="n">
        <f aca="true">NORMINV(RAND(),1,Coefficients!$B$22)</f>
        <v>0.962155963252094</v>
      </c>
      <c r="C2022" s="0" t="n">
        <f aca="true">MEDIAN(8,16,ROUND(NORMINV(RAND(),Coefficients!$B$20,Coefficients!$B$21),0))</f>
        <v>12</v>
      </c>
      <c r="D2022" s="0" t="n">
        <f aca="true">CRITBINOM($C2022,MIN(0.75,Matchup!$B$39*$B2022),RAND())</f>
        <v>3</v>
      </c>
      <c r="E2022" s="0" t="n">
        <f aca="true">CRITBINOM(D2022,Coefficients!$B$30,RAND())</f>
        <v>0</v>
      </c>
      <c r="F2022" s="0" t="n">
        <f aca="true">CRITBINOM(E2022,Coefficients!$B$31,RAND())</f>
        <v>0</v>
      </c>
      <c r="G2022" s="0" t="n">
        <f aca="true">CRITBINOM(MAX(0,D2022-E2022),1-Coefficients!$B$32,RAND())</f>
        <v>0</v>
      </c>
      <c r="H2022" s="0" t="n">
        <f aca="true">CRITBINOM(MAX(0,$C2022-D2022),MIN(0.6,Matchup!$B$40*SQRT($B2022)/(1-MIN(0.75,Matchup!$B$39*$B2022))),RAND())</f>
        <v>3</v>
      </c>
      <c r="I2022" s="0" t="n">
        <f aca="false">6*D2022+(D2022-E2022-G2022)+2*F2022+3*H2022</f>
        <v>30</v>
      </c>
      <c r="J2022" s="0" t="n">
        <f aca="true">CRITBINOM($C2022,MIN(0.75,Matchup!$C$39*$B2022),RAND())</f>
        <v>4</v>
      </c>
      <c r="K2022" s="0" t="n">
        <f aca="true">CRITBINOM(J2022,Coefficients!$B$30,RAND())</f>
        <v>0</v>
      </c>
      <c r="L2022" s="0" t="n">
        <f aca="true">CRITBINOM(K2022,Coefficients!$B$31,RAND())</f>
        <v>0</v>
      </c>
      <c r="M2022" s="0" t="n">
        <f aca="true">CRITBINOM(MAX(0,J2022-K2022),1-Coefficients!$B$32,RAND())</f>
        <v>0</v>
      </c>
      <c r="N2022" s="0" t="n">
        <f aca="true">CRITBINOM(MAX(0,$C2022-J2022),MIN(0.6,Matchup!$C$40*SQRT($B2022)/(1-MIN(0.75,Matchup!$C$39*$B2022))),RAND())</f>
        <v>1</v>
      </c>
      <c r="O2022" s="0" t="n">
        <f aca="false">6*J2022+(J2022-K2022-M2022)+2*L2022+3*N2022</f>
        <v>31</v>
      </c>
      <c r="P2022" s="0" t="n">
        <f aca="true">RAND()</f>
        <v>0.851327509384823</v>
      </c>
      <c r="Q2022" s="0" t="n">
        <f aca="true">RAND()</f>
        <v>0.0223603205657993</v>
      </c>
      <c r="R2022" s="0" t="n">
        <f aca="false">IF($I2022&lt;&gt;$O2022,0,IF(P2022&lt;Matchup!$B$39,7,IF(P2022&lt;Matchup!$B$39+Matchup!$B$40,3,0)))</f>
        <v>0</v>
      </c>
      <c r="S2022" s="0" t="n">
        <f aca="false">IF($I2022&lt;&gt;$O2022,0,IF(Q2022&lt;Matchup!$C$39,7,IF(Q2022&lt;Matchup!$C$39+Matchup!$C$40,3,0)))</f>
        <v>0</v>
      </c>
      <c r="T2022" s="0" t="n">
        <f aca="false">I2022+R2022</f>
        <v>30</v>
      </c>
      <c r="U2022" s="0" t="n">
        <f aca="false">O2022+S2022</f>
        <v>31</v>
      </c>
      <c r="V2022" s="0" t="n">
        <f aca="false">T2022-U2022</f>
        <v>-1</v>
      </c>
      <c r="W2022" s="0" t="n">
        <f aca="false">T2022+U2022</f>
        <v>61</v>
      </c>
    </row>
    <row r="2023" customFormat="false" ht="15" hidden="false" customHeight="false" outlineLevel="0" collapsed="false">
      <c r="A2023" s="0" t="n">
        <v>2020</v>
      </c>
      <c r="B2023" s="0" t="n">
        <f aca="true">NORMINV(RAND(),1,Coefficients!$B$22)</f>
        <v>1.02597606844664</v>
      </c>
      <c r="C2023" s="0" t="n">
        <f aca="true">MEDIAN(8,16,ROUND(NORMINV(RAND(),Coefficients!$B$20,Coefficients!$B$21),0))</f>
        <v>12</v>
      </c>
      <c r="D2023" s="0" t="n">
        <f aca="true">CRITBINOM($C2023,MIN(0.75,Matchup!$B$39*$B2023),RAND())</f>
        <v>3</v>
      </c>
      <c r="E2023" s="0" t="n">
        <f aca="true">CRITBINOM(D2023,Coefficients!$B$30,RAND())</f>
        <v>0</v>
      </c>
      <c r="F2023" s="0" t="n">
        <f aca="true">CRITBINOM(E2023,Coefficients!$B$31,RAND())</f>
        <v>0</v>
      </c>
      <c r="G2023" s="0" t="n">
        <f aca="true">CRITBINOM(MAX(0,D2023-E2023),1-Coefficients!$B$32,RAND())</f>
        <v>0</v>
      </c>
      <c r="H2023" s="0" t="n">
        <f aca="true">CRITBINOM(MAX(0,$C2023-D2023),MIN(0.6,Matchup!$B$40*SQRT($B2023)/(1-MIN(0.75,Matchup!$B$39*$B2023))),RAND())</f>
        <v>1</v>
      </c>
      <c r="I2023" s="0" t="n">
        <f aca="false">6*D2023+(D2023-E2023-G2023)+2*F2023+3*H2023</f>
        <v>24</v>
      </c>
      <c r="J2023" s="0" t="n">
        <f aca="true">CRITBINOM($C2023,MIN(0.75,Matchup!$C$39*$B2023),RAND())</f>
        <v>5</v>
      </c>
      <c r="K2023" s="0" t="n">
        <f aca="true">CRITBINOM(J2023,Coefficients!$B$30,RAND())</f>
        <v>0</v>
      </c>
      <c r="L2023" s="0" t="n">
        <f aca="true">CRITBINOM(K2023,Coefficients!$B$31,RAND())</f>
        <v>0</v>
      </c>
      <c r="M2023" s="0" t="n">
        <f aca="true">CRITBINOM(MAX(0,J2023-K2023),1-Coefficients!$B$32,RAND())</f>
        <v>0</v>
      </c>
      <c r="N2023" s="0" t="n">
        <f aca="true">CRITBINOM(MAX(0,$C2023-J2023),MIN(0.6,Matchup!$C$40*SQRT($B2023)/(1-MIN(0.75,Matchup!$C$39*$B2023))),RAND())</f>
        <v>2</v>
      </c>
      <c r="O2023" s="0" t="n">
        <f aca="false">6*J2023+(J2023-K2023-M2023)+2*L2023+3*N2023</f>
        <v>41</v>
      </c>
      <c r="P2023" s="0" t="n">
        <f aca="true">RAND()</f>
        <v>0.0846324300532225</v>
      </c>
      <c r="Q2023" s="0" t="n">
        <f aca="true">RAND()</f>
        <v>0.247738531649337</v>
      </c>
      <c r="R2023" s="0" t="n">
        <f aca="false">IF($I2023&lt;&gt;$O2023,0,IF(P2023&lt;Matchup!$B$39,7,IF(P2023&lt;Matchup!$B$39+Matchup!$B$40,3,0)))</f>
        <v>0</v>
      </c>
      <c r="S2023" s="0" t="n">
        <f aca="false">IF($I2023&lt;&gt;$O2023,0,IF(Q2023&lt;Matchup!$C$39,7,IF(Q2023&lt;Matchup!$C$39+Matchup!$C$40,3,0)))</f>
        <v>0</v>
      </c>
      <c r="T2023" s="0" t="n">
        <f aca="false">I2023+R2023</f>
        <v>24</v>
      </c>
      <c r="U2023" s="0" t="n">
        <f aca="false">O2023+S2023</f>
        <v>41</v>
      </c>
      <c r="V2023" s="0" t="n">
        <f aca="false">T2023-U2023</f>
        <v>-17</v>
      </c>
      <c r="W2023" s="0" t="n">
        <f aca="false">T2023+U2023</f>
        <v>65</v>
      </c>
    </row>
    <row r="2024" customFormat="false" ht="15" hidden="false" customHeight="false" outlineLevel="0" collapsed="false">
      <c r="A2024" s="0" t="n">
        <v>2021</v>
      </c>
      <c r="B2024" s="0" t="n">
        <f aca="true">NORMINV(RAND(),1,Coefficients!$B$22)</f>
        <v>0.829678291444641</v>
      </c>
      <c r="C2024" s="0" t="n">
        <f aca="true">MEDIAN(8,16,ROUND(NORMINV(RAND(),Coefficients!$B$20,Coefficients!$B$21),0))</f>
        <v>13</v>
      </c>
      <c r="D2024" s="0" t="n">
        <f aca="true">CRITBINOM($C2024,MIN(0.75,Matchup!$B$39*$B2024),RAND())</f>
        <v>3</v>
      </c>
      <c r="E2024" s="0" t="n">
        <f aca="true">CRITBINOM(D2024,Coefficients!$B$30,RAND())</f>
        <v>0</v>
      </c>
      <c r="F2024" s="0" t="n">
        <f aca="true">CRITBINOM(E2024,Coefficients!$B$31,RAND())</f>
        <v>0</v>
      </c>
      <c r="G2024" s="0" t="n">
        <f aca="true">CRITBINOM(MAX(0,D2024-E2024),1-Coefficients!$B$32,RAND())</f>
        <v>0</v>
      </c>
      <c r="H2024" s="0" t="n">
        <f aca="true">CRITBINOM(MAX(0,$C2024-D2024),MIN(0.6,Matchup!$B$40*SQRT($B2024)/(1-MIN(0.75,Matchup!$B$39*$B2024))),RAND())</f>
        <v>2</v>
      </c>
      <c r="I2024" s="0" t="n">
        <f aca="false">6*D2024+(D2024-E2024-G2024)+2*F2024+3*H2024</f>
        <v>27</v>
      </c>
      <c r="J2024" s="0" t="n">
        <f aca="true">CRITBINOM($C2024,MIN(0.75,Matchup!$C$39*$B2024),RAND())</f>
        <v>2</v>
      </c>
      <c r="K2024" s="0" t="n">
        <f aca="true">CRITBINOM(J2024,Coefficients!$B$30,RAND())</f>
        <v>0</v>
      </c>
      <c r="L2024" s="0" t="n">
        <f aca="true">CRITBINOM(K2024,Coefficients!$B$31,RAND())</f>
        <v>0</v>
      </c>
      <c r="M2024" s="0" t="n">
        <f aca="true">CRITBINOM(MAX(0,J2024-K2024),1-Coefficients!$B$32,RAND())</f>
        <v>0</v>
      </c>
      <c r="N2024" s="0" t="n">
        <f aca="true">CRITBINOM(MAX(0,$C2024-J2024),MIN(0.6,Matchup!$C$40*SQRT($B2024)/(1-MIN(0.75,Matchup!$C$39*$B2024))),RAND())</f>
        <v>1</v>
      </c>
      <c r="O2024" s="0" t="n">
        <f aca="false">6*J2024+(J2024-K2024-M2024)+2*L2024+3*N2024</f>
        <v>17</v>
      </c>
      <c r="P2024" s="0" t="n">
        <f aca="true">RAND()</f>
        <v>0.497096545888182</v>
      </c>
      <c r="Q2024" s="0" t="n">
        <f aca="true">RAND()</f>
        <v>0.180516481665522</v>
      </c>
      <c r="R2024" s="0" t="n">
        <f aca="false">IF($I2024&lt;&gt;$O2024,0,IF(P2024&lt;Matchup!$B$39,7,IF(P2024&lt;Matchup!$B$39+Matchup!$B$40,3,0)))</f>
        <v>0</v>
      </c>
      <c r="S2024" s="0" t="n">
        <f aca="false">IF($I2024&lt;&gt;$O2024,0,IF(Q2024&lt;Matchup!$C$39,7,IF(Q2024&lt;Matchup!$C$39+Matchup!$C$40,3,0)))</f>
        <v>0</v>
      </c>
      <c r="T2024" s="0" t="n">
        <f aca="false">I2024+R2024</f>
        <v>27</v>
      </c>
      <c r="U2024" s="0" t="n">
        <f aca="false">O2024+S2024</f>
        <v>17</v>
      </c>
      <c r="V2024" s="0" t="n">
        <f aca="false">T2024-U2024</f>
        <v>10</v>
      </c>
      <c r="W2024" s="0" t="n">
        <f aca="false">T2024+U2024</f>
        <v>44</v>
      </c>
    </row>
    <row r="2025" customFormat="false" ht="15" hidden="false" customHeight="false" outlineLevel="0" collapsed="false">
      <c r="A2025" s="0" t="n">
        <v>2022</v>
      </c>
      <c r="B2025" s="0" t="n">
        <f aca="true">NORMINV(RAND(),1,Coefficients!$B$22)</f>
        <v>1.07418555576196</v>
      </c>
      <c r="C2025" s="0" t="n">
        <f aca="true">MEDIAN(8,16,ROUND(NORMINV(RAND(),Coefficients!$B$20,Coefficients!$B$21),0))</f>
        <v>11</v>
      </c>
      <c r="D2025" s="0" t="n">
        <f aca="true">CRITBINOM($C2025,MIN(0.75,Matchup!$B$39*$B2025),RAND())</f>
        <v>3</v>
      </c>
      <c r="E2025" s="0" t="n">
        <f aca="true">CRITBINOM(D2025,Coefficients!$B$30,RAND())</f>
        <v>0</v>
      </c>
      <c r="F2025" s="0" t="n">
        <f aca="true">CRITBINOM(E2025,Coefficients!$B$31,RAND())</f>
        <v>0</v>
      </c>
      <c r="G2025" s="0" t="n">
        <f aca="true">CRITBINOM(MAX(0,D2025-E2025),1-Coefficients!$B$32,RAND())</f>
        <v>0</v>
      </c>
      <c r="H2025" s="0" t="n">
        <f aca="true">CRITBINOM(MAX(0,$C2025-D2025),MIN(0.6,Matchup!$B$40*SQRT($B2025)/(1-MIN(0.75,Matchup!$B$39*$B2025))),RAND())</f>
        <v>1</v>
      </c>
      <c r="I2025" s="0" t="n">
        <f aca="false">6*D2025+(D2025-E2025-G2025)+2*F2025+3*H2025</f>
        <v>24</v>
      </c>
      <c r="J2025" s="0" t="n">
        <f aca="true">CRITBINOM($C2025,MIN(0.75,Matchup!$C$39*$B2025),RAND())</f>
        <v>1</v>
      </c>
      <c r="K2025" s="0" t="n">
        <f aca="true">CRITBINOM(J2025,Coefficients!$B$30,RAND())</f>
        <v>0</v>
      </c>
      <c r="L2025" s="0" t="n">
        <f aca="true">CRITBINOM(K2025,Coefficients!$B$31,RAND())</f>
        <v>0</v>
      </c>
      <c r="M2025" s="0" t="n">
        <f aca="true">CRITBINOM(MAX(0,J2025-K2025),1-Coefficients!$B$32,RAND())</f>
        <v>0</v>
      </c>
      <c r="N2025" s="0" t="n">
        <f aca="true">CRITBINOM(MAX(0,$C2025-J2025),MIN(0.6,Matchup!$C$40*SQRT($B2025)/(1-MIN(0.75,Matchup!$C$39*$B2025))),RAND())</f>
        <v>1</v>
      </c>
      <c r="O2025" s="0" t="n">
        <f aca="false">6*J2025+(J2025-K2025-M2025)+2*L2025+3*N2025</f>
        <v>10</v>
      </c>
      <c r="P2025" s="0" t="n">
        <f aca="true">RAND()</f>
        <v>0.897291316482708</v>
      </c>
      <c r="Q2025" s="0" t="n">
        <f aca="true">RAND()</f>
        <v>0.776653795049965</v>
      </c>
      <c r="R2025" s="0" t="n">
        <f aca="false">IF($I2025&lt;&gt;$O2025,0,IF(P2025&lt;Matchup!$B$39,7,IF(P2025&lt;Matchup!$B$39+Matchup!$B$40,3,0)))</f>
        <v>0</v>
      </c>
      <c r="S2025" s="0" t="n">
        <f aca="false">IF($I2025&lt;&gt;$O2025,0,IF(Q2025&lt;Matchup!$C$39,7,IF(Q2025&lt;Matchup!$C$39+Matchup!$C$40,3,0)))</f>
        <v>0</v>
      </c>
      <c r="T2025" s="0" t="n">
        <f aca="false">I2025+R2025</f>
        <v>24</v>
      </c>
      <c r="U2025" s="0" t="n">
        <f aca="false">O2025+S2025</f>
        <v>10</v>
      </c>
      <c r="V2025" s="0" t="n">
        <f aca="false">T2025-U2025</f>
        <v>14</v>
      </c>
      <c r="W2025" s="0" t="n">
        <f aca="false">T2025+U2025</f>
        <v>34</v>
      </c>
    </row>
    <row r="2026" customFormat="false" ht="15" hidden="false" customHeight="false" outlineLevel="0" collapsed="false">
      <c r="A2026" s="0" t="n">
        <v>2023</v>
      </c>
      <c r="B2026" s="0" t="n">
        <f aca="true">NORMINV(RAND(),1,Coefficients!$B$22)</f>
        <v>1.09580997783648</v>
      </c>
      <c r="C2026" s="0" t="n">
        <f aca="true">MEDIAN(8,16,ROUND(NORMINV(RAND(),Coefficients!$B$20,Coefficients!$B$21),0))</f>
        <v>10</v>
      </c>
      <c r="D2026" s="0" t="n">
        <f aca="true">CRITBINOM($C2026,MIN(0.75,Matchup!$B$39*$B2026),RAND())</f>
        <v>3</v>
      </c>
      <c r="E2026" s="0" t="n">
        <f aca="true">CRITBINOM(D2026,Coefficients!$B$30,RAND())</f>
        <v>1</v>
      </c>
      <c r="F2026" s="0" t="n">
        <f aca="true">CRITBINOM(E2026,Coefficients!$B$31,RAND())</f>
        <v>0</v>
      </c>
      <c r="G2026" s="0" t="n">
        <f aca="true">CRITBINOM(MAX(0,D2026-E2026),1-Coefficients!$B$32,RAND())</f>
        <v>1</v>
      </c>
      <c r="H2026" s="0" t="n">
        <f aca="true">CRITBINOM(MAX(0,$C2026-D2026),MIN(0.6,Matchup!$B$40*SQRT($B2026)/(1-MIN(0.75,Matchup!$B$39*$B2026))),RAND())</f>
        <v>2</v>
      </c>
      <c r="I2026" s="0" t="n">
        <f aca="false">6*D2026+(D2026-E2026-G2026)+2*F2026+3*H2026</f>
        <v>25</v>
      </c>
      <c r="J2026" s="0" t="n">
        <f aca="true">CRITBINOM($C2026,MIN(0.75,Matchup!$C$39*$B2026),RAND())</f>
        <v>4</v>
      </c>
      <c r="K2026" s="0" t="n">
        <f aca="true">CRITBINOM(J2026,Coefficients!$B$30,RAND())</f>
        <v>1</v>
      </c>
      <c r="L2026" s="0" t="n">
        <f aca="true">CRITBINOM(K2026,Coefficients!$B$31,RAND())</f>
        <v>1</v>
      </c>
      <c r="M2026" s="0" t="n">
        <f aca="true">CRITBINOM(MAX(0,J2026-K2026),1-Coefficients!$B$32,RAND())</f>
        <v>0</v>
      </c>
      <c r="N2026" s="0" t="n">
        <f aca="true">CRITBINOM(MAX(0,$C2026-J2026),MIN(0.6,Matchup!$C$40*SQRT($B2026)/(1-MIN(0.75,Matchup!$C$39*$B2026))),RAND())</f>
        <v>1</v>
      </c>
      <c r="O2026" s="0" t="n">
        <f aca="false">6*J2026+(J2026-K2026-M2026)+2*L2026+3*N2026</f>
        <v>32</v>
      </c>
      <c r="P2026" s="0" t="n">
        <f aca="true">RAND()</f>
        <v>0.60383071382277</v>
      </c>
      <c r="Q2026" s="0" t="n">
        <f aca="true">RAND()</f>
        <v>0.636699088464071</v>
      </c>
      <c r="R2026" s="0" t="n">
        <f aca="false">IF($I2026&lt;&gt;$O2026,0,IF(P2026&lt;Matchup!$B$39,7,IF(P2026&lt;Matchup!$B$39+Matchup!$B$40,3,0)))</f>
        <v>0</v>
      </c>
      <c r="S2026" s="0" t="n">
        <f aca="false">IF($I2026&lt;&gt;$O2026,0,IF(Q2026&lt;Matchup!$C$39,7,IF(Q2026&lt;Matchup!$C$39+Matchup!$C$40,3,0)))</f>
        <v>0</v>
      </c>
      <c r="T2026" s="0" t="n">
        <f aca="false">I2026+R2026</f>
        <v>25</v>
      </c>
      <c r="U2026" s="0" t="n">
        <f aca="false">O2026+S2026</f>
        <v>32</v>
      </c>
      <c r="V2026" s="0" t="n">
        <f aca="false">T2026-U2026</f>
        <v>-7</v>
      </c>
      <c r="W2026" s="0" t="n">
        <f aca="false">T2026+U2026</f>
        <v>57</v>
      </c>
    </row>
    <row r="2027" customFormat="false" ht="15" hidden="false" customHeight="false" outlineLevel="0" collapsed="false">
      <c r="A2027" s="0" t="n">
        <v>2024</v>
      </c>
      <c r="B2027" s="0" t="n">
        <f aca="true">NORMINV(RAND(),1,Coefficients!$B$22)</f>
        <v>1.01050084419232</v>
      </c>
      <c r="C2027" s="0" t="n">
        <f aca="true">MEDIAN(8,16,ROUND(NORMINV(RAND(),Coefficients!$B$20,Coefficients!$B$21),0))</f>
        <v>12</v>
      </c>
      <c r="D2027" s="0" t="n">
        <f aca="true">CRITBINOM($C2027,MIN(0.75,Matchup!$B$39*$B2027),RAND())</f>
        <v>3</v>
      </c>
      <c r="E2027" s="0" t="n">
        <f aca="true">CRITBINOM(D2027,Coefficients!$B$30,RAND())</f>
        <v>1</v>
      </c>
      <c r="F2027" s="0" t="n">
        <f aca="true">CRITBINOM(E2027,Coefficients!$B$31,RAND())</f>
        <v>0</v>
      </c>
      <c r="G2027" s="0" t="n">
        <f aca="true">CRITBINOM(MAX(0,D2027-E2027),1-Coefficients!$B$32,RAND())</f>
        <v>0</v>
      </c>
      <c r="H2027" s="0" t="n">
        <f aca="true">CRITBINOM(MAX(0,$C2027-D2027),MIN(0.6,Matchup!$B$40*SQRT($B2027)/(1-MIN(0.75,Matchup!$B$39*$B2027))),RAND())</f>
        <v>2</v>
      </c>
      <c r="I2027" s="0" t="n">
        <f aca="false">6*D2027+(D2027-E2027-G2027)+2*F2027+3*H2027</f>
        <v>26</v>
      </c>
      <c r="J2027" s="0" t="n">
        <f aca="true">CRITBINOM($C2027,MIN(0.75,Matchup!$C$39*$B2027),RAND())</f>
        <v>4</v>
      </c>
      <c r="K2027" s="0" t="n">
        <f aca="true">CRITBINOM(J2027,Coefficients!$B$30,RAND())</f>
        <v>0</v>
      </c>
      <c r="L2027" s="0" t="n">
        <f aca="true">CRITBINOM(K2027,Coefficients!$B$31,RAND())</f>
        <v>0</v>
      </c>
      <c r="M2027" s="0" t="n">
        <f aca="true">CRITBINOM(MAX(0,J2027-K2027),1-Coefficients!$B$32,RAND())</f>
        <v>1</v>
      </c>
      <c r="N2027" s="0" t="n">
        <f aca="true">CRITBINOM(MAX(0,$C2027-J2027),MIN(0.6,Matchup!$C$40*SQRT($B2027)/(1-MIN(0.75,Matchup!$C$39*$B2027))),RAND())</f>
        <v>1</v>
      </c>
      <c r="O2027" s="0" t="n">
        <f aca="false">6*J2027+(J2027-K2027-M2027)+2*L2027+3*N2027</f>
        <v>30</v>
      </c>
      <c r="P2027" s="0" t="n">
        <f aca="true">RAND()</f>
        <v>0.874418347352694</v>
      </c>
      <c r="Q2027" s="0" t="n">
        <f aca="true">RAND()</f>
        <v>0.0346449250841917</v>
      </c>
      <c r="R2027" s="0" t="n">
        <f aca="false">IF($I2027&lt;&gt;$O2027,0,IF(P2027&lt;Matchup!$B$39,7,IF(P2027&lt;Matchup!$B$39+Matchup!$B$40,3,0)))</f>
        <v>0</v>
      </c>
      <c r="S2027" s="0" t="n">
        <f aca="false">IF($I2027&lt;&gt;$O2027,0,IF(Q2027&lt;Matchup!$C$39,7,IF(Q2027&lt;Matchup!$C$39+Matchup!$C$40,3,0)))</f>
        <v>0</v>
      </c>
      <c r="T2027" s="0" t="n">
        <f aca="false">I2027+R2027</f>
        <v>26</v>
      </c>
      <c r="U2027" s="0" t="n">
        <f aca="false">O2027+S2027</f>
        <v>30</v>
      </c>
      <c r="V2027" s="0" t="n">
        <f aca="false">T2027-U2027</f>
        <v>-4</v>
      </c>
      <c r="W2027" s="0" t="n">
        <f aca="false">T2027+U2027</f>
        <v>56</v>
      </c>
    </row>
    <row r="2028" customFormat="false" ht="15" hidden="false" customHeight="false" outlineLevel="0" collapsed="false">
      <c r="A2028" s="0" t="n">
        <v>2025</v>
      </c>
      <c r="B2028" s="0" t="n">
        <f aca="true">NORMINV(RAND(),1,Coefficients!$B$22)</f>
        <v>1.04539314215664</v>
      </c>
      <c r="C2028" s="0" t="n">
        <f aca="true">MEDIAN(8,16,ROUND(NORMINV(RAND(),Coefficients!$B$20,Coefficients!$B$21),0))</f>
        <v>10</v>
      </c>
      <c r="D2028" s="0" t="n">
        <f aca="true">CRITBINOM($C2028,MIN(0.75,Matchup!$B$39*$B2028),RAND())</f>
        <v>2</v>
      </c>
      <c r="E2028" s="0" t="n">
        <f aca="true">CRITBINOM(D2028,Coefficients!$B$30,RAND())</f>
        <v>1</v>
      </c>
      <c r="F2028" s="0" t="n">
        <f aca="true">CRITBINOM(E2028,Coefficients!$B$31,RAND())</f>
        <v>0</v>
      </c>
      <c r="G2028" s="0" t="n">
        <f aca="true">CRITBINOM(MAX(0,D2028-E2028),1-Coefficients!$B$32,RAND())</f>
        <v>0</v>
      </c>
      <c r="H2028" s="0" t="n">
        <f aca="true">CRITBINOM(MAX(0,$C2028-D2028),MIN(0.6,Matchup!$B$40*SQRT($B2028)/(1-MIN(0.75,Matchup!$B$39*$B2028))),RAND())</f>
        <v>0</v>
      </c>
      <c r="I2028" s="0" t="n">
        <f aca="false">6*D2028+(D2028-E2028-G2028)+2*F2028+3*H2028</f>
        <v>13</v>
      </c>
      <c r="J2028" s="0" t="n">
        <f aca="true">CRITBINOM($C2028,MIN(0.75,Matchup!$C$39*$B2028),RAND())</f>
        <v>4</v>
      </c>
      <c r="K2028" s="0" t="n">
        <f aca="true">CRITBINOM(J2028,Coefficients!$B$30,RAND())</f>
        <v>0</v>
      </c>
      <c r="L2028" s="0" t="n">
        <f aca="true">CRITBINOM(K2028,Coefficients!$B$31,RAND())</f>
        <v>0</v>
      </c>
      <c r="M2028" s="0" t="n">
        <f aca="true">CRITBINOM(MAX(0,J2028-K2028),1-Coefficients!$B$32,RAND())</f>
        <v>0</v>
      </c>
      <c r="N2028" s="0" t="n">
        <f aca="true">CRITBINOM(MAX(0,$C2028-J2028),MIN(0.6,Matchup!$C$40*SQRT($B2028)/(1-MIN(0.75,Matchup!$C$39*$B2028))),RAND())</f>
        <v>0</v>
      </c>
      <c r="O2028" s="0" t="n">
        <f aca="false">6*J2028+(J2028-K2028-M2028)+2*L2028+3*N2028</f>
        <v>28</v>
      </c>
      <c r="P2028" s="0" t="n">
        <f aca="true">RAND()</f>
        <v>0.48002211887131</v>
      </c>
      <c r="Q2028" s="0" t="n">
        <f aca="true">RAND()</f>
        <v>0.934085691011911</v>
      </c>
      <c r="R2028" s="0" t="n">
        <f aca="false">IF($I2028&lt;&gt;$O2028,0,IF(P2028&lt;Matchup!$B$39,7,IF(P2028&lt;Matchup!$B$39+Matchup!$B$40,3,0)))</f>
        <v>0</v>
      </c>
      <c r="S2028" s="0" t="n">
        <f aca="false">IF($I2028&lt;&gt;$O2028,0,IF(Q2028&lt;Matchup!$C$39,7,IF(Q2028&lt;Matchup!$C$39+Matchup!$C$40,3,0)))</f>
        <v>0</v>
      </c>
      <c r="T2028" s="0" t="n">
        <f aca="false">I2028+R2028</f>
        <v>13</v>
      </c>
      <c r="U2028" s="0" t="n">
        <f aca="false">O2028+S2028</f>
        <v>28</v>
      </c>
      <c r="V2028" s="0" t="n">
        <f aca="false">T2028-U2028</f>
        <v>-15</v>
      </c>
      <c r="W2028" s="0" t="n">
        <f aca="false">T2028+U2028</f>
        <v>41</v>
      </c>
    </row>
    <row r="2029" customFormat="false" ht="15" hidden="false" customHeight="false" outlineLevel="0" collapsed="false">
      <c r="A2029" s="0" t="n">
        <v>2026</v>
      </c>
      <c r="B2029" s="0" t="n">
        <f aca="true">NORMINV(RAND(),1,Coefficients!$B$22)</f>
        <v>0.930107823559705</v>
      </c>
      <c r="C2029" s="0" t="n">
        <f aca="true">MEDIAN(8,16,ROUND(NORMINV(RAND(),Coefficients!$B$20,Coefficients!$B$21),0))</f>
        <v>11</v>
      </c>
      <c r="D2029" s="0" t="n">
        <f aca="true">CRITBINOM($C2029,MIN(0.75,Matchup!$B$39*$B2029),RAND())</f>
        <v>3</v>
      </c>
      <c r="E2029" s="0" t="n">
        <f aca="true">CRITBINOM(D2029,Coefficients!$B$30,RAND())</f>
        <v>1</v>
      </c>
      <c r="F2029" s="0" t="n">
        <f aca="true">CRITBINOM(E2029,Coefficients!$B$31,RAND())</f>
        <v>0</v>
      </c>
      <c r="G2029" s="0" t="n">
        <f aca="true">CRITBINOM(MAX(0,D2029-E2029),1-Coefficients!$B$32,RAND())</f>
        <v>0</v>
      </c>
      <c r="H2029" s="0" t="n">
        <f aca="true">CRITBINOM(MAX(0,$C2029-D2029),MIN(0.6,Matchup!$B$40*SQRT($B2029)/(1-MIN(0.75,Matchup!$B$39*$B2029))),RAND())</f>
        <v>3</v>
      </c>
      <c r="I2029" s="0" t="n">
        <f aca="false">6*D2029+(D2029-E2029-G2029)+2*F2029+3*H2029</f>
        <v>29</v>
      </c>
      <c r="J2029" s="0" t="n">
        <f aca="true">CRITBINOM($C2029,MIN(0.75,Matchup!$C$39*$B2029),RAND())</f>
        <v>0</v>
      </c>
      <c r="K2029" s="0" t="n">
        <f aca="true">CRITBINOM(J2029,Coefficients!$B$30,RAND())</f>
        <v>0</v>
      </c>
      <c r="L2029" s="0" t="n">
        <f aca="true">CRITBINOM(K2029,Coefficients!$B$31,RAND())</f>
        <v>0</v>
      </c>
      <c r="M2029" s="0" t="n">
        <f aca="true">CRITBINOM(MAX(0,J2029-K2029),1-Coefficients!$B$32,RAND())</f>
        <v>0</v>
      </c>
      <c r="N2029" s="0" t="n">
        <f aca="true">CRITBINOM(MAX(0,$C2029-J2029),MIN(0.6,Matchup!$C$40*SQRT($B2029)/(1-MIN(0.75,Matchup!$C$39*$B2029))),RAND())</f>
        <v>2</v>
      </c>
      <c r="O2029" s="0" t="n">
        <f aca="false">6*J2029+(J2029-K2029-M2029)+2*L2029+3*N2029</f>
        <v>6</v>
      </c>
      <c r="P2029" s="0" t="n">
        <f aca="true">RAND()</f>
        <v>0.643960900933368</v>
      </c>
      <c r="Q2029" s="0" t="n">
        <f aca="true">RAND()</f>
        <v>0.602578691319784</v>
      </c>
      <c r="R2029" s="0" t="n">
        <f aca="false">IF($I2029&lt;&gt;$O2029,0,IF(P2029&lt;Matchup!$B$39,7,IF(P2029&lt;Matchup!$B$39+Matchup!$B$40,3,0)))</f>
        <v>0</v>
      </c>
      <c r="S2029" s="0" t="n">
        <f aca="false">IF($I2029&lt;&gt;$O2029,0,IF(Q2029&lt;Matchup!$C$39,7,IF(Q2029&lt;Matchup!$C$39+Matchup!$C$40,3,0)))</f>
        <v>0</v>
      </c>
      <c r="T2029" s="0" t="n">
        <f aca="false">I2029+R2029</f>
        <v>29</v>
      </c>
      <c r="U2029" s="0" t="n">
        <f aca="false">O2029+S2029</f>
        <v>6</v>
      </c>
      <c r="V2029" s="0" t="n">
        <f aca="false">T2029-U2029</f>
        <v>23</v>
      </c>
      <c r="W2029" s="0" t="n">
        <f aca="false">T2029+U2029</f>
        <v>35</v>
      </c>
    </row>
    <row r="2030" customFormat="false" ht="15" hidden="false" customHeight="false" outlineLevel="0" collapsed="false">
      <c r="A2030" s="0" t="n">
        <v>2027</v>
      </c>
      <c r="B2030" s="0" t="n">
        <f aca="true">NORMINV(RAND(),1,Coefficients!$B$22)</f>
        <v>0.939656934060173</v>
      </c>
      <c r="C2030" s="0" t="n">
        <f aca="true">MEDIAN(8,16,ROUND(NORMINV(RAND(),Coefficients!$B$20,Coefficients!$B$21),0))</f>
        <v>13</v>
      </c>
      <c r="D2030" s="0" t="n">
        <f aca="true">CRITBINOM($C2030,MIN(0.75,Matchup!$B$39*$B2030),RAND())</f>
        <v>2</v>
      </c>
      <c r="E2030" s="0" t="n">
        <f aca="true">CRITBINOM(D2030,Coefficients!$B$30,RAND())</f>
        <v>0</v>
      </c>
      <c r="F2030" s="0" t="n">
        <f aca="true">CRITBINOM(E2030,Coefficients!$B$31,RAND())</f>
        <v>0</v>
      </c>
      <c r="G2030" s="0" t="n">
        <f aca="true">CRITBINOM(MAX(0,D2030-E2030),1-Coefficients!$B$32,RAND())</f>
        <v>0</v>
      </c>
      <c r="H2030" s="0" t="n">
        <f aca="true">CRITBINOM(MAX(0,$C2030-D2030),MIN(0.6,Matchup!$B$40*SQRT($B2030)/(1-MIN(0.75,Matchup!$B$39*$B2030))),RAND())</f>
        <v>4</v>
      </c>
      <c r="I2030" s="0" t="n">
        <f aca="false">6*D2030+(D2030-E2030-G2030)+2*F2030+3*H2030</f>
        <v>26</v>
      </c>
      <c r="J2030" s="0" t="n">
        <f aca="true">CRITBINOM($C2030,MIN(0.75,Matchup!$C$39*$B2030),RAND())</f>
        <v>2</v>
      </c>
      <c r="K2030" s="0" t="n">
        <f aca="true">CRITBINOM(J2030,Coefficients!$B$30,RAND())</f>
        <v>0</v>
      </c>
      <c r="L2030" s="0" t="n">
        <f aca="true">CRITBINOM(K2030,Coefficients!$B$31,RAND())</f>
        <v>0</v>
      </c>
      <c r="M2030" s="0" t="n">
        <f aca="true">CRITBINOM(MAX(0,J2030-K2030),1-Coefficients!$B$32,RAND())</f>
        <v>0</v>
      </c>
      <c r="N2030" s="0" t="n">
        <f aca="true">CRITBINOM(MAX(0,$C2030-J2030),MIN(0.6,Matchup!$C$40*SQRT($B2030)/(1-MIN(0.75,Matchup!$C$39*$B2030))),RAND())</f>
        <v>2</v>
      </c>
      <c r="O2030" s="0" t="n">
        <f aca="false">6*J2030+(J2030-K2030-M2030)+2*L2030+3*N2030</f>
        <v>20</v>
      </c>
      <c r="P2030" s="0" t="n">
        <f aca="true">RAND()</f>
        <v>0.785215799470517</v>
      </c>
      <c r="Q2030" s="0" t="n">
        <f aca="true">RAND()</f>
        <v>0.170604675945723</v>
      </c>
      <c r="R2030" s="0" t="n">
        <f aca="false">IF($I2030&lt;&gt;$O2030,0,IF(P2030&lt;Matchup!$B$39,7,IF(P2030&lt;Matchup!$B$39+Matchup!$B$40,3,0)))</f>
        <v>0</v>
      </c>
      <c r="S2030" s="0" t="n">
        <f aca="false">IF($I2030&lt;&gt;$O2030,0,IF(Q2030&lt;Matchup!$C$39,7,IF(Q2030&lt;Matchup!$C$39+Matchup!$C$40,3,0)))</f>
        <v>0</v>
      </c>
      <c r="T2030" s="0" t="n">
        <f aca="false">I2030+R2030</f>
        <v>26</v>
      </c>
      <c r="U2030" s="0" t="n">
        <f aca="false">O2030+S2030</f>
        <v>20</v>
      </c>
      <c r="V2030" s="0" t="n">
        <f aca="false">T2030-U2030</f>
        <v>6</v>
      </c>
      <c r="W2030" s="0" t="n">
        <f aca="false">T2030+U2030</f>
        <v>46</v>
      </c>
    </row>
    <row r="2031" customFormat="false" ht="15" hidden="false" customHeight="false" outlineLevel="0" collapsed="false">
      <c r="A2031" s="0" t="n">
        <v>2028</v>
      </c>
      <c r="B2031" s="0" t="n">
        <f aca="true">NORMINV(RAND(),1,Coefficients!$B$22)</f>
        <v>1.02976475717019</v>
      </c>
      <c r="C2031" s="0" t="n">
        <f aca="true">MEDIAN(8,16,ROUND(NORMINV(RAND(),Coefficients!$B$20,Coefficients!$B$21),0))</f>
        <v>12</v>
      </c>
      <c r="D2031" s="0" t="n">
        <f aca="true">CRITBINOM($C2031,MIN(0.75,Matchup!$B$39*$B2031),RAND())</f>
        <v>5</v>
      </c>
      <c r="E2031" s="0" t="n">
        <f aca="true">CRITBINOM(D2031,Coefficients!$B$30,RAND())</f>
        <v>0</v>
      </c>
      <c r="F2031" s="0" t="n">
        <f aca="true">CRITBINOM(E2031,Coefficients!$B$31,RAND())</f>
        <v>0</v>
      </c>
      <c r="G2031" s="0" t="n">
        <f aca="true">CRITBINOM(MAX(0,D2031-E2031),1-Coefficients!$B$32,RAND())</f>
        <v>1</v>
      </c>
      <c r="H2031" s="0" t="n">
        <f aca="true">CRITBINOM(MAX(0,$C2031-D2031),MIN(0.6,Matchup!$B$40*SQRT($B2031)/(1-MIN(0.75,Matchup!$B$39*$B2031))),RAND())</f>
        <v>2</v>
      </c>
      <c r="I2031" s="0" t="n">
        <f aca="false">6*D2031+(D2031-E2031-G2031)+2*F2031+3*H2031</f>
        <v>40</v>
      </c>
      <c r="J2031" s="0" t="n">
        <f aca="true">CRITBINOM($C2031,MIN(0.75,Matchup!$C$39*$B2031),RAND())</f>
        <v>3</v>
      </c>
      <c r="K2031" s="0" t="n">
        <f aca="true">CRITBINOM(J2031,Coefficients!$B$30,RAND())</f>
        <v>0</v>
      </c>
      <c r="L2031" s="0" t="n">
        <f aca="true">CRITBINOM(K2031,Coefficients!$B$31,RAND())</f>
        <v>0</v>
      </c>
      <c r="M2031" s="0" t="n">
        <f aca="true">CRITBINOM(MAX(0,J2031-K2031),1-Coefficients!$B$32,RAND())</f>
        <v>0</v>
      </c>
      <c r="N2031" s="0" t="n">
        <f aca="true">CRITBINOM(MAX(0,$C2031-J2031),MIN(0.6,Matchup!$C$40*SQRT($B2031)/(1-MIN(0.75,Matchup!$C$39*$B2031))),RAND())</f>
        <v>1</v>
      </c>
      <c r="O2031" s="0" t="n">
        <f aca="false">6*J2031+(J2031-K2031-M2031)+2*L2031+3*N2031</f>
        <v>24</v>
      </c>
      <c r="P2031" s="0" t="n">
        <f aca="true">RAND()</f>
        <v>0.208719310893661</v>
      </c>
      <c r="Q2031" s="0" t="n">
        <f aca="true">RAND()</f>
        <v>0.174713910448275</v>
      </c>
      <c r="R2031" s="0" t="n">
        <f aca="false">IF($I2031&lt;&gt;$O2031,0,IF(P2031&lt;Matchup!$B$39,7,IF(P2031&lt;Matchup!$B$39+Matchup!$B$40,3,0)))</f>
        <v>0</v>
      </c>
      <c r="S2031" s="0" t="n">
        <f aca="false">IF($I2031&lt;&gt;$O2031,0,IF(Q2031&lt;Matchup!$C$39,7,IF(Q2031&lt;Matchup!$C$39+Matchup!$C$40,3,0)))</f>
        <v>0</v>
      </c>
      <c r="T2031" s="0" t="n">
        <f aca="false">I2031+R2031</f>
        <v>40</v>
      </c>
      <c r="U2031" s="0" t="n">
        <f aca="false">O2031+S2031</f>
        <v>24</v>
      </c>
      <c r="V2031" s="0" t="n">
        <f aca="false">T2031-U2031</f>
        <v>16</v>
      </c>
      <c r="W2031" s="0" t="n">
        <f aca="false">T2031+U2031</f>
        <v>64</v>
      </c>
    </row>
    <row r="2032" customFormat="false" ht="15" hidden="false" customHeight="false" outlineLevel="0" collapsed="false">
      <c r="A2032" s="0" t="n">
        <v>2029</v>
      </c>
      <c r="B2032" s="0" t="n">
        <f aca="true">NORMINV(RAND(),1,Coefficients!$B$22)</f>
        <v>0.904382922282771</v>
      </c>
      <c r="C2032" s="0" t="n">
        <f aca="true">MEDIAN(8,16,ROUND(NORMINV(RAND(),Coefficients!$B$20,Coefficients!$B$21),0))</f>
        <v>12</v>
      </c>
      <c r="D2032" s="0" t="n">
        <f aca="true">CRITBINOM($C2032,MIN(0.75,Matchup!$B$39*$B2032),RAND())</f>
        <v>3</v>
      </c>
      <c r="E2032" s="0" t="n">
        <f aca="true">CRITBINOM(D2032,Coefficients!$B$30,RAND())</f>
        <v>1</v>
      </c>
      <c r="F2032" s="0" t="n">
        <f aca="true">CRITBINOM(E2032,Coefficients!$B$31,RAND())</f>
        <v>0</v>
      </c>
      <c r="G2032" s="0" t="n">
        <f aca="true">CRITBINOM(MAX(0,D2032-E2032),1-Coefficients!$B$32,RAND())</f>
        <v>0</v>
      </c>
      <c r="H2032" s="0" t="n">
        <f aca="true">CRITBINOM(MAX(0,$C2032-D2032),MIN(0.6,Matchup!$B$40*SQRT($B2032)/(1-MIN(0.75,Matchup!$B$39*$B2032))),RAND())</f>
        <v>0</v>
      </c>
      <c r="I2032" s="0" t="n">
        <f aca="false">6*D2032+(D2032-E2032-G2032)+2*F2032+3*H2032</f>
        <v>20</v>
      </c>
      <c r="J2032" s="0" t="n">
        <f aca="true">CRITBINOM($C2032,MIN(0.75,Matchup!$C$39*$B2032),RAND())</f>
        <v>0</v>
      </c>
      <c r="K2032" s="0" t="n">
        <f aca="true">CRITBINOM(J2032,Coefficients!$B$30,RAND())</f>
        <v>0</v>
      </c>
      <c r="L2032" s="0" t="n">
        <f aca="true">CRITBINOM(K2032,Coefficients!$B$31,RAND())</f>
        <v>0</v>
      </c>
      <c r="M2032" s="0" t="n">
        <f aca="true">CRITBINOM(MAX(0,J2032-K2032),1-Coefficients!$B$32,RAND())</f>
        <v>0</v>
      </c>
      <c r="N2032" s="0" t="n">
        <f aca="true">CRITBINOM(MAX(0,$C2032-J2032),MIN(0.6,Matchup!$C$40*SQRT($B2032)/(1-MIN(0.75,Matchup!$C$39*$B2032))),RAND())</f>
        <v>3</v>
      </c>
      <c r="O2032" s="0" t="n">
        <f aca="false">6*J2032+(J2032-K2032-M2032)+2*L2032+3*N2032</f>
        <v>9</v>
      </c>
      <c r="P2032" s="0" t="n">
        <f aca="true">RAND()</f>
        <v>0.775136672950871</v>
      </c>
      <c r="Q2032" s="0" t="n">
        <f aca="true">RAND()</f>
        <v>0.324358981999201</v>
      </c>
      <c r="R2032" s="0" t="n">
        <f aca="false">IF($I2032&lt;&gt;$O2032,0,IF(P2032&lt;Matchup!$B$39,7,IF(P2032&lt;Matchup!$B$39+Matchup!$B$40,3,0)))</f>
        <v>0</v>
      </c>
      <c r="S2032" s="0" t="n">
        <f aca="false">IF($I2032&lt;&gt;$O2032,0,IF(Q2032&lt;Matchup!$C$39,7,IF(Q2032&lt;Matchup!$C$39+Matchup!$C$40,3,0)))</f>
        <v>0</v>
      </c>
      <c r="T2032" s="0" t="n">
        <f aca="false">I2032+R2032</f>
        <v>20</v>
      </c>
      <c r="U2032" s="0" t="n">
        <f aca="false">O2032+S2032</f>
        <v>9</v>
      </c>
      <c r="V2032" s="0" t="n">
        <f aca="false">T2032-U2032</f>
        <v>11</v>
      </c>
      <c r="W2032" s="0" t="n">
        <f aca="false">T2032+U2032</f>
        <v>29</v>
      </c>
    </row>
    <row r="2033" customFormat="false" ht="15" hidden="false" customHeight="false" outlineLevel="0" collapsed="false">
      <c r="A2033" s="0" t="n">
        <v>2030</v>
      </c>
      <c r="B2033" s="0" t="n">
        <f aca="true">NORMINV(RAND(),1,Coefficients!$B$22)</f>
        <v>1.13470813740527</v>
      </c>
      <c r="C2033" s="0" t="n">
        <f aca="true">MEDIAN(8,16,ROUND(NORMINV(RAND(),Coefficients!$B$20,Coefficients!$B$21),0))</f>
        <v>11</v>
      </c>
      <c r="D2033" s="0" t="n">
        <f aca="true">CRITBINOM($C2033,MIN(0.75,Matchup!$B$39*$B2033),RAND())</f>
        <v>3</v>
      </c>
      <c r="E2033" s="0" t="n">
        <f aca="true">CRITBINOM(D2033,Coefficients!$B$30,RAND())</f>
        <v>0</v>
      </c>
      <c r="F2033" s="0" t="n">
        <f aca="true">CRITBINOM(E2033,Coefficients!$B$31,RAND())</f>
        <v>0</v>
      </c>
      <c r="G2033" s="0" t="n">
        <f aca="true">CRITBINOM(MAX(0,D2033-E2033),1-Coefficients!$B$32,RAND())</f>
        <v>1</v>
      </c>
      <c r="H2033" s="0" t="n">
        <f aca="true">CRITBINOM(MAX(0,$C2033-D2033),MIN(0.6,Matchup!$B$40*SQRT($B2033)/(1-MIN(0.75,Matchup!$B$39*$B2033))),RAND())</f>
        <v>0</v>
      </c>
      <c r="I2033" s="0" t="n">
        <f aca="false">6*D2033+(D2033-E2033-G2033)+2*F2033+3*H2033</f>
        <v>20</v>
      </c>
      <c r="J2033" s="0" t="n">
        <f aca="true">CRITBINOM($C2033,MIN(0.75,Matchup!$C$39*$B2033),RAND())</f>
        <v>5</v>
      </c>
      <c r="K2033" s="0" t="n">
        <f aca="true">CRITBINOM(J2033,Coefficients!$B$30,RAND())</f>
        <v>0</v>
      </c>
      <c r="L2033" s="0" t="n">
        <f aca="true">CRITBINOM(K2033,Coefficients!$B$31,RAND())</f>
        <v>0</v>
      </c>
      <c r="M2033" s="0" t="n">
        <f aca="true">CRITBINOM(MAX(0,J2033-K2033),1-Coefficients!$B$32,RAND())</f>
        <v>0</v>
      </c>
      <c r="N2033" s="0" t="n">
        <f aca="true">CRITBINOM(MAX(0,$C2033-J2033),MIN(0.6,Matchup!$C$40*SQRT($B2033)/(1-MIN(0.75,Matchup!$C$39*$B2033))),RAND())</f>
        <v>0</v>
      </c>
      <c r="O2033" s="0" t="n">
        <f aca="false">6*J2033+(J2033-K2033-M2033)+2*L2033+3*N2033</f>
        <v>35</v>
      </c>
      <c r="P2033" s="0" t="n">
        <f aca="true">RAND()</f>
        <v>0.448410202116333</v>
      </c>
      <c r="Q2033" s="0" t="n">
        <f aca="true">RAND()</f>
        <v>0.971554722834492</v>
      </c>
      <c r="R2033" s="0" t="n">
        <f aca="false">IF($I2033&lt;&gt;$O2033,0,IF(P2033&lt;Matchup!$B$39,7,IF(P2033&lt;Matchup!$B$39+Matchup!$B$40,3,0)))</f>
        <v>0</v>
      </c>
      <c r="S2033" s="0" t="n">
        <f aca="false">IF($I2033&lt;&gt;$O2033,0,IF(Q2033&lt;Matchup!$C$39,7,IF(Q2033&lt;Matchup!$C$39+Matchup!$C$40,3,0)))</f>
        <v>0</v>
      </c>
      <c r="T2033" s="0" t="n">
        <f aca="false">I2033+R2033</f>
        <v>20</v>
      </c>
      <c r="U2033" s="0" t="n">
        <f aca="false">O2033+S2033</f>
        <v>35</v>
      </c>
      <c r="V2033" s="0" t="n">
        <f aca="false">T2033-U2033</f>
        <v>-15</v>
      </c>
      <c r="W2033" s="0" t="n">
        <f aca="false">T2033+U2033</f>
        <v>55</v>
      </c>
    </row>
    <row r="2034" customFormat="false" ht="15" hidden="false" customHeight="false" outlineLevel="0" collapsed="false">
      <c r="A2034" s="0" t="n">
        <v>2031</v>
      </c>
      <c r="B2034" s="0" t="n">
        <f aca="true">NORMINV(RAND(),1,Coefficients!$B$22)</f>
        <v>1.04333169511258</v>
      </c>
      <c r="C2034" s="0" t="n">
        <f aca="true">MEDIAN(8,16,ROUND(NORMINV(RAND(),Coefficients!$B$20,Coefficients!$B$21),0))</f>
        <v>12</v>
      </c>
      <c r="D2034" s="0" t="n">
        <f aca="true">CRITBINOM($C2034,MIN(0.75,Matchup!$B$39*$B2034),RAND())</f>
        <v>2</v>
      </c>
      <c r="E2034" s="0" t="n">
        <f aca="true">CRITBINOM(D2034,Coefficients!$B$30,RAND())</f>
        <v>0</v>
      </c>
      <c r="F2034" s="0" t="n">
        <f aca="true">CRITBINOM(E2034,Coefficients!$B$31,RAND())</f>
        <v>0</v>
      </c>
      <c r="G2034" s="0" t="n">
        <f aca="true">CRITBINOM(MAX(0,D2034-E2034),1-Coefficients!$B$32,RAND())</f>
        <v>0</v>
      </c>
      <c r="H2034" s="0" t="n">
        <f aca="true">CRITBINOM(MAX(0,$C2034-D2034),MIN(0.6,Matchup!$B$40*SQRT($B2034)/(1-MIN(0.75,Matchup!$B$39*$B2034))),RAND())</f>
        <v>2</v>
      </c>
      <c r="I2034" s="0" t="n">
        <f aca="false">6*D2034+(D2034-E2034-G2034)+2*F2034+3*H2034</f>
        <v>20</v>
      </c>
      <c r="J2034" s="0" t="n">
        <f aca="true">CRITBINOM($C2034,MIN(0.75,Matchup!$C$39*$B2034),RAND())</f>
        <v>2</v>
      </c>
      <c r="K2034" s="0" t="n">
        <f aca="true">CRITBINOM(J2034,Coefficients!$B$30,RAND())</f>
        <v>0</v>
      </c>
      <c r="L2034" s="0" t="n">
        <f aca="true">CRITBINOM(K2034,Coefficients!$B$31,RAND())</f>
        <v>0</v>
      </c>
      <c r="M2034" s="0" t="n">
        <f aca="true">CRITBINOM(MAX(0,J2034-K2034),1-Coefficients!$B$32,RAND())</f>
        <v>0</v>
      </c>
      <c r="N2034" s="0" t="n">
        <f aca="true">CRITBINOM(MAX(0,$C2034-J2034),MIN(0.6,Matchup!$C$40*SQRT($B2034)/(1-MIN(0.75,Matchup!$C$39*$B2034))),RAND())</f>
        <v>4</v>
      </c>
      <c r="O2034" s="0" t="n">
        <f aca="false">6*J2034+(J2034-K2034-M2034)+2*L2034+3*N2034</f>
        <v>26</v>
      </c>
      <c r="P2034" s="0" t="n">
        <f aca="true">RAND()</f>
        <v>0.214245825599658</v>
      </c>
      <c r="Q2034" s="0" t="n">
        <f aca="true">RAND()</f>
        <v>0.241754101153319</v>
      </c>
      <c r="R2034" s="0" t="n">
        <f aca="false">IF($I2034&lt;&gt;$O2034,0,IF(P2034&lt;Matchup!$B$39,7,IF(P2034&lt;Matchup!$B$39+Matchup!$B$40,3,0)))</f>
        <v>0</v>
      </c>
      <c r="S2034" s="0" t="n">
        <f aca="false">IF($I2034&lt;&gt;$O2034,0,IF(Q2034&lt;Matchup!$C$39,7,IF(Q2034&lt;Matchup!$C$39+Matchup!$C$40,3,0)))</f>
        <v>0</v>
      </c>
      <c r="T2034" s="0" t="n">
        <f aca="false">I2034+R2034</f>
        <v>20</v>
      </c>
      <c r="U2034" s="0" t="n">
        <f aca="false">O2034+S2034</f>
        <v>26</v>
      </c>
      <c r="V2034" s="0" t="n">
        <f aca="false">T2034-U2034</f>
        <v>-6</v>
      </c>
      <c r="W2034" s="0" t="n">
        <f aca="false">T2034+U2034</f>
        <v>46</v>
      </c>
    </row>
    <row r="2035" customFormat="false" ht="15" hidden="false" customHeight="false" outlineLevel="0" collapsed="false">
      <c r="A2035" s="0" t="n">
        <v>2032</v>
      </c>
      <c r="B2035" s="0" t="n">
        <f aca="true">NORMINV(RAND(),1,Coefficients!$B$22)</f>
        <v>0.855273671669221</v>
      </c>
      <c r="C2035" s="0" t="n">
        <f aca="true">MEDIAN(8,16,ROUND(NORMINV(RAND(),Coefficients!$B$20,Coefficients!$B$21),0))</f>
        <v>12</v>
      </c>
      <c r="D2035" s="0" t="n">
        <f aca="true">CRITBINOM($C2035,MIN(0.75,Matchup!$B$39*$B2035),RAND())</f>
        <v>2</v>
      </c>
      <c r="E2035" s="0" t="n">
        <f aca="true">CRITBINOM(D2035,Coefficients!$B$30,RAND())</f>
        <v>1</v>
      </c>
      <c r="F2035" s="0" t="n">
        <f aca="true">CRITBINOM(E2035,Coefficients!$B$31,RAND())</f>
        <v>0</v>
      </c>
      <c r="G2035" s="0" t="n">
        <f aca="true">CRITBINOM(MAX(0,D2035-E2035),1-Coefficients!$B$32,RAND())</f>
        <v>0</v>
      </c>
      <c r="H2035" s="0" t="n">
        <f aca="true">CRITBINOM(MAX(0,$C2035-D2035),MIN(0.6,Matchup!$B$40*SQRT($B2035)/(1-MIN(0.75,Matchup!$B$39*$B2035))),RAND())</f>
        <v>3</v>
      </c>
      <c r="I2035" s="0" t="n">
        <f aca="false">6*D2035+(D2035-E2035-G2035)+2*F2035+3*H2035</f>
        <v>22</v>
      </c>
      <c r="J2035" s="0" t="n">
        <f aca="true">CRITBINOM($C2035,MIN(0.75,Matchup!$C$39*$B2035),RAND())</f>
        <v>2</v>
      </c>
      <c r="K2035" s="0" t="n">
        <f aca="true">CRITBINOM(J2035,Coefficients!$B$30,RAND())</f>
        <v>0</v>
      </c>
      <c r="L2035" s="0" t="n">
        <f aca="true">CRITBINOM(K2035,Coefficients!$B$31,RAND())</f>
        <v>0</v>
      </c>
      <c r="M2035" s="0" t="n">
        <f aca="true">CRITBINOM(MAX(0,J2035-K2035),1-Coefficients!$B$32,RAND())</f>
        <v>0</v>
      </c>
      <c r="N2035" s="0" t="n">
        <f aca="true">CRITBINOM(MAX(0,$C2035-J2035),MIN(0.6,Matchup!$C$40*SQRT($B2035)/(1-MIN(0.75,Matchup!$C$39*$B2035))),RAND())</f>
        <v>1</v>
      </c>
      <c r="O2035" s="0" t="n">
        <f aca="false">6*J2035+(J2035-K2035-M2035)+2*L2035+3*N2035</f>
        <v>17</v>
      </c>
      <c r="P2035" s="0" t="n">
        <f aca="true">RAND()</f>
        <v>0.276548623450583</v>
      </c>
      <c r="Q2035" s="0" t="n">
        <f aca="true">RAND()</f>
        <v>0.764638483523618</v>
      </c>
      <c r="R2035" s="0" t="n">
        <f aca="false">IF($I2035&lt;&gt;$O2035,0,IF(P2035&lt;Matchup!$B$39,7,IF(P2035&lt;Matchup!$B$39+Matchup!$B$40,3,0)))</f>
        <v>0</v>
      </c>
      <c r="S2035" s="0" t="n">
        <f aca="false">IF($I2035&lt;&gt;$O2035,0,IF(Q2035&lt;Matchup!$C$39,7,IF(Q2035&lt;Matchup!$C$39+Matchup!$C$40,3,0)))</f>
        <v>0</v>
      </c>
      <c r="T2035" s="0" t="n">
        <f aca="false">I2035+R2035</f>
        <v>22</v>
      </c>
      <c r="U2035" s="0" t="n">
        <f aca="false">O2035+S2035</f>
        <v>17</v>
      </c>
      <c r="V2035" s="0" t="n">
        <f aca="false">T2035-U2035</f>
        <v>5</v>
      </c>
      <c r="W2035" s="0" t="n">
        <f aca="false">T2035+U2035</f>
        <v>39</v>
      </c>
    </row>
    <row r="2036" customFormat="false" ht="15" hidden="false" customHeight="false" outlineLevel="0" collapsed="false">
      <c r="A2036" s="0" t="n">
        <v>2033</v>
      </c>
      <c r="B2036" s="0" t="n">
        <f aca="true">NORMINV(RAND(),1,Coefficients!$B$22)</f>
        <v>1.02942040856546</v>
      </c>
      <c r="C2036" s="0" t="n">
        <f aca="true">MEDIAN(8,16,ROUND(NORMINV(RAND(),Coefficients!$B$20,Coefficients!$B$21),0))</f>
        <v>10</v>
      </c>
      <c r="D2036" s="0" t="n">
        <f aca="true">CRITBINOM($C2036,MIN(0.75,Matchup!$B$39*$B2036),RAND())</f>
        <v>3</v>
      </c>
      <c r="E2036" s="0" t="n">
        <f aca="true">CRITBINOM(D2036,Coefficients!$B$30,RAND())</f>
        <v>0</v>
      </c>
      <c r="F2036" s="0" t="n">
        <f aca="true">CRITBINOM(E2036,Coefficients!$B$31,RAND())</f>
        <v>0</v>
      </c>
      <c r="G2036" s="0" t="n">
        <f aca="true">CRITBINOM(MAX(0,D2036-E2036),1-Coefficients!$B$32,RAND())</f>
        <v>0</v>
      </c>
      <c r="H2036" s="0" t="n">
        <f aca="true">CRITBINOM(MAX(0,$C2036-D2036),MIN(0.6,Matchup!$B$40*SQRT($B2036)/(1-MIN(0.75,Matchup!$B$39*$B2036))),RAND())</f>
        <v>1</v>
      </c>
      <c r="I2036" s="0" t="n">
        <f aca="false">6*D2036+(D2036-E2036-G2036)+2*F2036+3*H2036</f>
        <v>24</v>
      </c>
      <c r="J2036" s="0" t="n">
        <f aca="true">CRITBINOM($C2036,MIN(0.75,Matchup!$C$39*$B2036),RAND())</f>
        <v>4</v>
      </c>
      <c r="K2036" s="0" t="n">
        <f aca="true">CRITBINOM(J2036,Coefficients!$B$30,RAND())</f>
        <v>0</v>
      </c>
      <c r="L2036" s="0" t="n">
        <f aca="true">CRITBINOM(K2036,Coefficients!$B$31,RAND())</f>
        <v>0</v>
      </c>
      <c r="M2036" s="0" t="n">
        <f aca="true">CRITBINOM(MAX(0,J2036-K2036),1-Coefficients!$B$32,RAND())</f>
        <v>1</v>
      </c>
      <c r="N2036" s="0" t="n">
        <f aca="true">CRITBINOM(MAX(0,$C2036-J2036),MIN(0.6,Matchup!$C$40*SQRT($B2036)/(1-MIN(0.75,Matchup!$C$39*$B2036))),RAND())</f>
        <v>0</v>
      </c>
      <c r="O2036" s="0" t="n">
        <f aca="false">6*J2036+(J2036-K2036-M2036)+2*L2036+3*N2036</f>
        <v>27</v>
      </c>
      <c r="P2036" s="0" t="n">
        <f aca="true">RAND()</f>
        <v>0.55207591606414</v>
      </c>
      <c r="Q2036" s="0" t="n">
        <f aca="true">RAND()</f>
        <v>0.279728053625796</v>
      </c>
      <c r="R2036" s="0" t="n">
        <f aca="false">IF($I2036&lt;&gt;$O2036,0,IF(P2036&lt;Matchup!$B$39,7,IF(P2036&lt;Matchup!$B$39+Matchup!$B$40,3,0)))</f>
        <v>0</v>
      </c>
      <c r="S2036" s="0" t="n">
        <f aca="false">IF($I2036&lt;&gt;$O2036,0,IF(Q2036&lt;Matchup!$C$39,7,IF(Q2036&lt;Matchup!$C$39+Matchup!$C$40,3,0)))</f>
        <v>0</v>
      </c>
      <c r="T2036" s="0" t="n">
        <f aca="false">I2036+R2036</f>
        <v>24</v>
      </c>
      <c r="U2036" s="0" t="n">
        <f aca="false">O2036+S2036</f>
        <v>27</v>
      </c>
      <c r="V2036" s="0" t="n">
        <f aca="false">T2036-U2036</f>
        <v>-3</v>
      </c>
      <c r="W2036" s="0" t="n">
        <f aca="false">T2036+U2036</f>
        <v>51</v>
      </c>
    </row>
    <row r="2037" customFormat="false" ht="15" hidden="false" customHeight="false" outlineLevel="0" collapsed="false">
      <c r="A2037" s="0" t="n">
        <v>2034</v>
      </c>
      <c r="B2037" s="0" t="n">
        <f aca="true">NORMINV(RAND(),1,Coefficients!$B$22)</f>
        <v>1.0600190479822</v>
      </c>
      <c r="C2037" s="0" t="n">
        <f aca="true">MEDIAN(8,16,ROUND(NORMINV(RAND(),Coefficients!$B$20,Coefficients!$B$21),0))</f>
        <v>9</v>
      </c>
      <c r="D2037" s="0" t="n">
        <f aca="true">CRITBINOM($C2037,MIN(0.75,Matchup!$B$39*$B2037),RAND())</f>
        <v>1</v>
      </c>
      <c r="E2037" s="0" t="n">
        <f aca="true">CRITBINOM(D2037,Coefficients!$B$30,RAND())</f>
        <v>0</v>
      </c>
      <c r="F2037" s="0" t="n">
        <f aca="true">CRITBINOM(E2037,Coefficients!$B$31,RAND())</f>
        <v>0</v>
      </c>
      <c r="G2037" s="0" t="n">
        <f aca="true">CRITBINOM(MAX(0,D2037-E2037),1-Coefficients!$B$32,RAND())</f>
        <v>0</v>
      </c>
      <c r="H2037" s="0" t="n">
        <f aca="true">CRITBINOM(MAX(0,$C2037-D2037),MIN(0.6,Matchup!$B$40*SQRT($B2037)/(1-MIN(0.75,Matchup!$B$39*$B2037))),RAND())</f>
        <v>0</v>
      </c>
      <c r="I2037" s="0" t="n">
        <f aca="false">6*D2037+(D2037-E2037-G2037)+2*F2037+3*H2037</f>
        <v>7</v>
      </c>
      <c r="J2037" s="0" t="n">
        <f aca="true">CRITBINOM($C2037,MIN(0.75,Matchup!$C$39*$B2037),RAND())</f>
        <v>4</v>
      </c>
      <c r="K2037" s="0" t="n">
        <f aca="true">CRITBINOM(J2037,Coefficients!$B$30,RAND())</f>
        <v>1</v>
      </c>
      <c r="L2037" s="0" t="n">
        <f aca="true">CRITBINOM(K2037,Coefficients!$B$31,RAND())</f>
        <v>1</v>
      </c>
      <c r="M2037" s="0" t="n">
        <f aca="true">CRITBINOM(MAX(0,J2037-K2037),1-Coefficients!$B$32,RAND())</f>
        <v>1</v>
      </c>
      <c r="N2037" s="0" t="n">
        <f aca="true">CRITBINOM(MAX(0,$C2037-J2037),MIN(0.6,Matchup!$C$40*SQRT($B2037)/(1-MIN(0.75,Matchup!$C$39*$B2037))),RAND())</f>
        <v>1</v>
      </c>
      <c r="O2037" s="0" t="n">
        <f aca="false">6*J2037+(J2037-K2037-M2037)+2*L2037+3*N2037</f>
        <v>31</v>
      </c>
      <c r="P2037" s="0" t="n">
        <f aca="true">RAND()</f>
        <v>0.351954316691733</v>
      </c>
      <c r="Q2037" s="0" t="n">
        <f aca="true">RAND()</f>
        <v>0.0980189387346218</v>
      </c>
      <c r="R2037" s="0" t="n">
        <f aca="false">IF($I2037&lt;&gt;$O2037,0,IF(P2037&lt;Matchup!$B$39,7,IF(P2037&lt;Matchup!$B$39+Matchup!$B$40,3,0)))</f>
        <v>0</v>
      </c>
      <c r="S2037" s="0" t="n">
        <f aca="false">IF($I2037&lt;&gt;$O2037,0,IF(Q2037&lt;Matchup!$C$39,7,IF(Q2037&lt;Matchup!$C$39+Matchup!$C$40,3,0)))</f>
        <v>0</v>
      </c>
      <c r="T2037" s="0" t="n">
        <f aca="false">I2037+R2037</f>
        <v>7</v>
      </c>
      <c r="U2037" s="0" t="n">
        <f aca="false">O2037+S2037</f>
        <v>31</v>
      </c>
      <c r="V2037" s="0" t="n">
        <f aca="false">T2037-U2037</f>
        <v>-24</v>
      </c>
      <c r="W2037" s="0" t="n">
        <f aca="false">T2037+U2037</f>
        <v>38</v>
      </c>
    </row>
    <row r="2038" customFormat="false" ht="15" hidden="false" customHeight="false" outlineLevel="0" collapsed="false">
      <c r="A2038" s="0" t="n">
        <v>2035</v>
      </c>
      <c r="B2038" s="0" t="n">
        <f aca="true">NORMINV(RAND(),1,Coefficients!$B$22)</f>
        <v>1.01107599571121</v>
      </c>
      <c r="C2038" s="0" t="n">
        <f aca="true">MEDIAN(8,16,ROUND(NORMINV(RAND(),Coefficients!$B$20,Coefficients!$B$21),0))</f>
        <v>10</v>
      </c>
      <c r="D2038" s="0" t="n">
        <f aca="true">CRITBINOM($C2038,MIN(0.75,Matchup!$B$39*$B2038),RAND())</f>
        <v>5</v>
      </c>
      <c r="E2038" s="0" t="n">
        <f aca="true">CRITBINOM(D2038,Coefficients!$B$30,RAND())</f>
        <v>0</v>
      </c>
      <c r="F2038" s="0" t="n">
        <f aca="true">CRITBINOM(E2038,Coefficients!$B$31,RAND())</f>
        <v>0</v>
      </c>
      <c r="G2038" s="0" t="n">
        <f aca="true">CRITBINOM(MAX(0,D2038-E2038),1-Coefficients!$B$32,RAND())</f>
        <v>0</v>
      </c>
      <c r="H2038" s="0" t="n">
        <f aca="true">CRITBINOM(MAX(0,$C2038-D2038),MIN(0.6,Matchup!$B$40*SQRT($B2038)/(1-MIN(0.75,Matchup!$B$39*$B2038))),RAND())</f>
        <v>0</v>
      </c>
      <c r="I2038" s="0" t="n">
        <f aca="false">6*D2038+(D2038-E2038-G2038)+2*F2038+3*H2038</f>
        <v>35</v>
      </c>
      <c r="J2038" s="0" t="n">
        <f aca="true">CRITBINOM($C2038,MIN(0.75,Matchup!$C$39*$B2038),RAND())</f>
        <v>2</v>
      </c>
      <c r="K2038" s="0" t="n">
        <f aca="true">CRITBINOM(J2038,Coefficients!$B$30,RAND())</f>
        <v>1</v>
      </c>
      <c r="L2038" s="0" t="n">
        <f aca="true">CRITBINOM(K2038,Coefficients!$B$31,RAND())</f>
        <v>1</v>
      </c>
      <c r="M2038" s="0" t="n">
        <f aca="true">CRITBINOM(MAX(0,J2038-K2038),1-Coefficients!$B$32,RAND())</f>
        <v>0</v>
      </c>
      <c r="N2038" s="0" t="n">
        <f aca="true">CRITBINOM(MAX(0,$C2038-J2038),MIN(0.6,Matchup!$C$40*SQRT($B2038)/(1-MIN(0.75,Matchup!$C$39*$B2038))),RAND())</f>
        <v>3</v>
      </c>
      <c r="O2038" s="0" t="n">
        <f aca="false">6*J2038+(J2038-K2038-M2038)+2*L2038+3*N2038</f>
        <v>24</v>
      </c>
      <c r="P2038" s="0" t="n">
        <f aca="true">RAND()</f>
        <v>0.664071195418781</v>
      </c>
      <c r="Q2038" s="0" t="n">
        <f aca="true">RAND()</f>
        <v>0.563797372951507</v>
      </c>
      <c r="R2038" s="0" t="n">
        <f aca="false">IF($I2038&lt;&gt;$O2038,0,IF(P2038&lt;Matchup!$B$39,7,IF(P2038&lt;Matchup!$B$39+Matchup!$B$40,3,0)))</f>
        <v>0</v>
      </c>
      <c r="S2038" s="0" t="n">
        <f aca="false">IF($I2038&lt;&gt;$O2038,0,IF(Q2038&lt;Matchup!$C$39,7,IF(Q2038&lt;Matchup!$C$39+Matchup!$C$40,3,0)))</f>
        <v>0</v>
      </c>
      <c r="T2038" s="0" t="n">
        <f aca="false">I2038+R2038</f>
        <v>35</v>
      </c>
      <c r="U2038" s="0" t="n">
        <f aca="false">O2038+S2038</f>
        <v>24</v>
      </c>
      <c r="V2038" s="0" t="n">
        <f aca="false">T2038-U2038</f>
        <v>11</v>
      </c>
      <c r="W2038" s="0" t="n">
        <f aca="false">T2038+U2038</f>
        <v>59</v>
      </c>
    </row>
    <row r="2039" customFormat="false" ht="15" hidden="false" customHeight="false" outlineLevel="0" collapsed="false">
      <c r="A2039" s="0" t="n">
        <v>2036</v>
      </c>
      <c r="B2039" s="0" t="n">
        <f aca="true">NORMINV(RAND(),1,Coefficients!$B$22)</f>
        <v>1.02497316527469</v>
      </c>
      <c r="C2039" s="0" t="n">
        <f aca="true">MEDIAN(8,16,ROUND(NORMINV(RAND(),Coefficients!$B$20,Coefficients!$B$21),0))</f>
        <v>9</v>
      </c>
      <c r="D2039" s="0" t="n">
        <f aca="true">CRITBINOM($C2039,MIN(0.75,Matchup!$B$39*$B2039),RAND())</f>
        <v>0</v>
      </c>
      <c r="E2039" s="0" t="n">
        <f aca="true">CRITBINOM(D2039,Coefficients!$B$30,RAND())</f>
        <v>0</v>
      </c>
      <c r="F2039" s="0" t="n">
        <f aca="true">CRITBINOM(E2039,Coefficients!$B$31,RAND())</f>
        <v>0</v>
      </c>
      <c r="G2039" s="0" t="n">
        <f aca="true">CRITBINOM(MAX(0,D2039-E2039),1-Coefficients!$B$32,RAND())</f>
        <v>0</v>
      </c>
      <c r="H2039" s="0" t="n">
        <f aca="true">CRITBINOM(MAX(0,$C2039-D2039),MIN(0.6,Matchup!$B$40*SQRT($B2039)/(1-MIN(0.75,Matchup!$B$39*$B2039))),RAND())</f>
        <v>2</v>
      </c>
      <c r="I2039" s="0" t="n">
        <f aca="false">6*D2039+(D2039-E2039-G2039)+2*F2039+3*H2039</f>
        <v>6</v>
      </c>
      <c r="J2039" s="0" t="n">
        <f aca="true">CRITBINOM($C2039,MIN(0.75,Matchup!$C$39*$B2039),RAND())</f>
        <v>1</v>
      </c>
      <c r="K2039" s="0" t="n">
        <f aca="true">CRITBINOM(J2039,Coefficients!$B$30,RAND())</f>
        <v>0</v>
      </c>
      <c r="L2039" s="0" t="n">
        <f aca="true">CRITBINOM(K2039,Coefficients!$B$31,RAND())</f>
        <v>0</v>
      </c>
      <c r="M2039" s="0" t="n">
        <f aca="true">CRITBINOM(MAX(0,J2039-K2039),1-Coefficients!$B$32,RAND())</f>
        <v>0</v>
      </c>
      <c r="N2039" s="0" t="n">
        <f aca="true">CRITBINOM(MAX(0,$C2039-J2039),MIN(0.6,Matchup!$C$40*SQRT($B2039)/(1-MIN(0.75,Matchup!$C$39*$B2039))),RAND())</f>
        <v>2</v>
      </c>
      <c r="O2039" s="0" t="n">
        <f aca="false">6*J2039+(J2039-K2039-M2039)+2*L2039+3*N2039</f>
        <v>13</v>
      </c>
      <c r="P2039" s="0" t="n">
        <f aca="true">RAND()</f>
        <v>0.384114317823305</v>
      </c>
      <c r="Q2039" s="0" t="n">
        <f aca="true">RAND()</f>
        <v>0.0788813442912513</v>
      </c>
      <c r="R2039" s="0" t="n">
        <f aca="false">IF($I2039&lt;&gt;$O2039,0,IF(P2039&lt;Matchup!$B$39,7,IF(P2039&lt;Matchup!$B$39+Matchup!$B$40,3,0)))</f>
        <v>0</v>
      </c>
      <c r="S2039" s="0" t="n">
        <f aca="false">IF($I2039&lt;&gt;$O2039,0,IF(Q2039&lt;Matchup!$C$39,7,IF(Q2039&lt;Matchup!$C$39+Matchup!$C$40,3,0)))</f>
        <v>0</v>
      </c>
      <c r="T2039" s="0" t="n">
        <f aca="false">I2039+R2039</f>
        <v>6</v>
      </c>
      <c r="U2039" s="0" t="n">
        <f aca="false">O2039+S2039</f>
        <v>13</v>
      </c>
      <c r="V2039" s="0" t="n">
        <f aca="false">T2039-U2039</f>
        <v>-7</v>
      </c>
      <c r="W2039" s="0" t="n">
        <f aca="false">T2039+U2039</f>
        <v>19</v>
      </c>
    </row>
    <row r="2040" customFormat="false" ht="15" hidden="false" customHeight="false" outlineLevel="0" collapsed="false">
      <c r="A2040" s="0" t="n">
        <v>2037</v>
      </c>
      <c r="B2040" s="0" t="n">
        <f aca="true">NORMINV(RAND(),1,Coefficients!$B$22)</f>
        <v>1.01905111264763</v>
      </c>
      <c r="C2040" s="0" t="n">
        <f aca="true">MEDIAN(8,16,ROUND(NORMINV(RAND(),Coefficients!$B$20,Coefficients!$B$21),0))</f>
        <v>10</v>
      </c>
      <c r="D2040" s="0" t="n">
        <f aca="true">CRITBINOM($C2040,MIN(0.75,Matchup!$B$39*$B2040),RAND())</f>
        <v>2</v>
      </c>
      <c r="E2040" s="0" t="n">
        <f aca="true">CRITBINOM(D2040,Coefficients!$B$30,RAND())</f>
        <v>0</v>
      </c>
      <c r="F2040" s="0" t="n">
        <f aca="true">CRITBINOM(E2040,Coefficients!$B$31,RAND())</f>
        <v>0</v>
      </c>
      <c r="G2040" s="0" t="n">
        <f aca="true">CRITBINOM(MAX(0,D2040-E2040),1-Coefficients!$B$32,RAND())</f>
        <v>0</v>
      </c>
      <c r="H2040" s="0" t="n">
        <f aca="true">CRITBINOM(MAX(0,$C2040-D2040),MIN(0.6,Matchup!$B$40*SQRT($B2040)/(1-MIN(0.75,Matchup!$B$39*$B2040))),RAND())</f>
        <v>3</v>
      </c>
      <c r="I2040" s="0" t="n">
        <f aca="false">6*D2040+(D2040-E2040-G2040)+2*F2040+3*H2040</f>
        <v>23</v>
      </c>
      <c r="J2040" s="0" t="n">
        <f aca="true">CRITBINOM($C2040,MIN(0.75,Matchup!$C$39*$B2040),RAND())</f>
        <v>3</v>
      </c>
      <c r="K2040" s="0" t="n">
        <f aca="true">CRITBINOM(J2040,Coefficients!$B$30,RAND())</f>
        <v>0</v>
      </c>
      <c r="L2040" s="0" t="n">
        <f aca="true">CRITBINOM(K2040,Coefficients!$B$31,RAND())</f>
        <v>0</v>
      </c>
      <c r="M2040" s="0" t="n">
        <f aca="true">CRITBINOM(MAX(0,J2040-K2040),1-Coefficients!$B$32,RAND())</f>
        <v>0</v>
      </c>
      <c r="N2040" s="0" t="n">
        <f aca="true">CRITBINOM(MAX(0,$C2040-J2040),MIN(0.6,Matchup!$C$40*SQRT($B2040)/(1-MIN(0.75,Matchup!$C$39*$B2040))),RAND())</f>
        <v>1</v>
      </c>
      <c r="O2040" s="0" t="n">
        <f aca="false">6*J2040+(J2040-K2040-M2040)+2*L2040+3*N2040</f>
        <v>24</v>
      </c>
      <c r="P2040" s="0" t="n">
        <f aca="true">RAND()</f>
        <v>0.503664243071643</v>
      </c>
      <c r="Q2040" s="0" t="n">
        <f aca="true">RAND()</f>
        <v>0.271078987079066</v>
      </c>
      <c r="R2040" s="0" t="n">
        <f aca="false">IF($I2040&lt;&gt;$O2040,0,IF(P2040&lt;Matchup!$B$39,7,IF(P2040&lt;Matchup!$B$39+Matchup!$B$40,3,0)))</f>
        <v>0</v>
      </c>
      <c r="S2040" s="0" t="n">
        <f aca="false">IF($I2040&lt;&gt;$O2040,0,IF(Q2040&lt;Matchup!$C$39,7,IF(Q2040&lt;Matchup!$C$39+Matchup!$C$40,3,0)))</f>
        <v>0</v>
      </c>
      <c r="T2040" s="0" t="n">
        <f aca="false">I2040+R2040</f>
        <v>23</v>
      </c>
      <c r="U2040" s="0" t="n">
        <f aca="false">O2040+S2040</f>
        <v>24</v>
      </c>
      <c r="V2040" s="0" t="n">
        <f aca="false">T2040-U2040</f>
        <v>-1</v>
      </c>
      <c r="W2040" s="0" t="n">
        <f aca="false">T2040+U2040</f>
        <v>47</v>
      </c>
    </row>
    <row r="2041" customFormat="false" ht="15" hidden="false" customHeight="false" outlineLevel="0" collapsed="false">
      <c r="A2041" s="0" t="n">
        <v>2038</v>
      </c>
      <c r="B2041" s="0" t="n">
        <f aca="true">NORMINV(RAND(),1,Coefficients!$B$22)</f>
        <v>0.985360965915687</v>
      </c>
      <c r="C2041" s="0" t="n">
        <f aca="true">MEDIAN(8,16,ROUND(NORMINV(RAND(),Coefficients!$B$20,Coefficients!$B$21),0))</f>
        <v>12</v>
      </c>
      <c r="D2041" s="0" t="n">
        <f aca="true">CRITBINOM($C2041,MIN(0.75,Matchup!$B$39*$B2041),RAND())</f>
        <v>6</v>
      </c>
      <c r="E2041" s="0" t="n">
        <f aca="true">CRITBINOM(D2041,Coefficients!$B$30,RAND())</f>
        <v>0</v>
      </c>
      <c r="F2041" s="0" t="n">
        <f aca="true">CRITBINOM(E2041,Coefficients!$B$31,RAND())</f>
        <v>0</v>
      </c>
      <c r="G2041" s="0" t="n">
        <f aca="true">CRITBINOM(MAX(0,D2041-E2041),1-Coefficients!$B$32,RAND())</f>
        <v>0</v>
      </c>
      <c r="H2041" s="0" t="n">
        <f aca="true">CRITBINOM(MAX(0,$C2041-D2041),MIN(0.6,Matchup!$B$40*SQRT($B2041)/(1-MIN(0.75,Matchup!$B$39*$B2041))),RAND())</f>
        <v>1</v>
      </c>
      <c r="I2041" s="0" t="n">
        <f aca="false">6*D2041+(D2041-E2041-G2041)+2*F2041+3*H2041</f>
        <v>45</v>
      </c>
      <c r="J2041" s="0" t="n">
        <f aca="true">CRITBINOM($C2041,MIN(0.75,Matchup!$C$39*$B2041),RAND())</f>
        <v>6</v>
      </c>
      <c r="K2041" s="0" t="n">
        <f aca="true">CRITBINOM(J2041,Coefficients!$B$30,RAND())</f>
        <v>1</v>
      </c>
      <c r="L2041" s="0" t="n">
        <f aca="true">CRITBINOM(K2041,Coefficients!$B$31,RAND())</f>
        <v>1</v>
      </c>
      <c r="M2041" s="0" t="n">
        <f aca="true">CRITBINOM(MAX(0,J2041-K2041),1-Coefficients!$B$32,RAND())</f>
        <v>0</v>
      </c>
      <c r="N2041" s="0" t="n">
        <f aca="true">CRITBINOM(MAX(0,$C2041-J2041),MIN(0.6,Matchup!$C$40*SQRT($B2041)/(1-MIN(0.75,Matchup!$C$39*$B2041))),RAND())</f>
        <v>2</v>
      </c>
      <c r="O2041" s="0" t="n">
        <f aca="false">6*J2041+(J2041-K2041-M2041)+2*L2041+3*N2041</f>
        <v>49</v>
      </c>
      <c r="P2041" s="0" t="n">
        <f aca="true">RAND()</f>
        <v>0.580155174445745</v>
      </c>
      <c r="Q2041" s="0" t="n">
        <f aca="true">RAND()</f>
        <v>0.59800000868587</v>
      </c>
      <c r="R2041" s="0" t="n">
        <f aca="false">IF($I2041&lt;&gt;$O2041,0,IF(P2041&lt;Matchup!$B$39,7,IF(P2041&lt;Matchup!$B$39+Matchup!$B$40,3,0)))</f>
        <v>0</v>
      </c>
      <c r="S2041" s="0" t="n">
        <f aca="false">IF($I2041&lt;&gt;$O2041,0,IF(Q2041&lt;Matchup!$C$39,7,IF(Q2041&lt;Matchup!$C$39+Matchup!$C$40,3,0)))</f>
        <v>0</v>
      </c>
      <c r="T2041" s="0" t="n">
        <f aca="false">I2041+R2041</f>
        <v>45</v>
      </c>
      <c r="U2041" s="0" t="n">
        <f aca="false">O2041+S2041</f>
        <v>49</v>
      </c>
      <c r="V2041" s="0" t="n">
        <f aca="false">T2041-U2041</f>
        <v>-4</v>
      </c>
      <c r="W2041" s="0" t="n">
        <f aca="false">T2041+U2041</f>
        <v>94</v>
      </c>
    </row>
    <row r="2042" customFormat="false" ht="15" hidden="false" customHeight="false" outlineLevel="0" collapsed="false">
      <c r="A2042" s="0" t="n">
        <v>2039</v>
      </c>
      <c r="B2042" s="0" t="n">
        <f aca="true">NORMINV(RAND(),1,Coefficients!$B$22)</f>
        <v>0.999811003185447</v>
      </c>
      <c r="C2042" s="0" t="n">
        <f aca="true">MEDIAN(8,16,ROUND(NORMINV(RAND(),Coefficients!$B$20,Coefficients!$B$21),0))</f>
        <v>10</v>
      </c>
      <c r="D2042" s="0" t="n">
        <f aca="true">CRITBINOM($C2042,MIN(0.75,Matchup!$B$39*$B2042),RAND())</f>
        <v>3</v>
      </c>
      <c r="E2042" s="0" t="n">
        <f aca="true">CRITBINOM(D2042,Coefficients!$B$30,RAND())</f>
        <v>0</v>
      </c>
      <c r="F2042" s="0" t="n">
        <f aca="true">CRITBINOM(E2042,Coefficients!$B$31,RAND())</f>
        <v>0</v>
      </c>
      <c r="G2042" s="0" t="n">
        <f aca="true">CRITBINOM(MAX(0,D2042-E2042),1-Coefficients!$B$32,RAND())</f>
        <v>0</v>
      </c>
      <c r="H2042" s="0" t="n">
        <f aca="true">CRITBINOM(MAX(0,$C2042-D2042),MIN(0.6,Matchup!$B$40*SQRT($B2042)/(1-MIN(0.75,Matchup!$B$39*$B2042))),RAND())</f>
        <v>2</v>
      </c>
      <c r="I2042" s="0" t="n">
        <f aca="false">6*D2042+(D2042-E2042-G2042)+2*F2042+3*H2042</f>
        <v>27</v>
      </c>
      <c r="J2042" s="0" t="n">
        <f aca="true">CRITBINOM($C2042,MIN(0.75,Matchup!$C$39*$B2042),RAND())</f>
        <v>1</v>
      </c>
      <c r="K2042" s="0" t="n">
        <f aca="true">CRITBINOM(J2042,Coefficients!$B$30,RAND())</f>
        <v>0</v>
      </c>
      <c r="L2042" s="0" t="n">
        <f aca="true">CRITBINOM(K2042,Coefficients!$B$31,RAND())</f>
        <v>0</v>
      </c>
      <c r="M2042" s="0" t="n">
        <f aca="true">CRITBINOM(MAX(0,J2042-K2042),1-Coefficients!$B$32,RAND())</f>
        <v>0</v>
      </c>
      <c r="N2042" s="0" t="n">
        <f aca="true">CRITBINOM(MAX(0,$C2042-J2042),MIN(0.6,Matchup!$C$40*SQRT($B2042)/(1-MIN(0.75,Matchup!$C$39*$B2042))),RAND())</f>
        <v>2</v>
      </c>
      <c r="O2042" s="0" t="n">
        <f aca="false">6*J2042+(J2042-K2042-M2042)+2*L2042+3*N2042</f>
        <v>13</v>
      </c>
      <c r="P2042" s="0" t="n">
        <f aca="true">RAND()</f>
        <v>0.235130357225608</v>
      </c>
      <c r="Q2042" s="0" t="n">
        <f aca="true">RAND()</f>
        <v>0.840881122503626</v>
      </c>
      <c r="R2042" s="0" t="n">
        <f aca="false">IF($I2042&lt;&gt;$O2042,0,IF(P2042&lt;Matchup!$B$39,7,IF(P2042&lt;Matchup!$B$39+Matchup!$B$40,3,0)))</f>
        <v>0</v>
      </c>
      <c r="S2042" s="0" t="n">
        <f aca="false">IF($I2042&lt;&gt;$O2042,0,IF(Q2042&lt;Matchup!$C$39,7,IF(Q2042&lt;Matchup!$C$39+Matchup!$C$40,3,0)))</f>
        <v>0</v>
      </c>
      <c r="T2042" s="0" t="n">
        <f aca="false">I2042+R2042</f>
        <v>27</v>
      </c>
      <c r="U2042" s="0" t="n">
        <f aca="false">O2042+S2042</f>
        <v>13</v>
      </c>
      <c r="V2042" s="0" t="n">
        <f aca="false">T2042-U2042</f>
        <v>14</v>
      </c>
      <c r="W2042" s="0" t="n">
        <f aca="false">T2042+U2042</f>
        <v>40</v>
      </c>
    </row>
    <row r="2043" customFormat="false" ht="15" hidden="false" customHeight="false" outlineLevel="0" collapsed="false">
      <c r="A2043" s="0" t="n">
        <v>2040</v>
      </c>
      <c r="B2043" s="0" t="n">
        <f aca="true">NORMINV(RAND(),1,Coefficients!$B$22)</f>
        <v>1.01252477282023</v>
      </c>
      <c r="C2043" s="0" t="n">
        <f aca="true">MEDIAN(8,16,ROUND(NORMINV(RAND(),Coefficients!$B$20,Coefficients!$B$21),0))</f>
        <v>12</v>
      </c>
      <c r="D2043" s="0" t="n">
        <f aca="true">CRITBINOM($C2043,MIN(0.75,Matchup!$B$39*$B2043),RAND())</f>
        <v>3</v>
      </c>
      <c r="E2043" s="0" t="n">
        <f aca="true">CRITBINOM(D2043,Coefficients!$B$30,RAND())</f>
        <v>0</v>
      </c>
      <c r="F2043" s="0" t="n">
        <f aca="true">CRITBINOM(E2043,Coefficients!$B$31,RAND())</f>
        <v>0</v>
      </c>
      <c r="G2043" s="0" t="n">
        <f aca="true">CRITBINOM(MAX(0,D2043-E2043),1-Coefficients!$B$32,RAND())</f>
        <v>0</v>
      </c>
      <c r="H2043" s="0" t="n">
        <f aca="true">CRITBINOM(MAX(0,$C2043-D2043),MIN(0.6,Matchup!$B$40*SQRT($B2043)/(1-MIN(0.75,Matchup!$B$39*$B2043))),RAND())</f>
        <v>2</v>
      </c>
      <c r="I2043" s="0" t="n">
        <f aca="false">6*D2043+(D2043-E2043-G2043)+2*F2043+3*H2043</f>
        <v>27</v>
      </c>
      <c r="J2043" s="0" t="n">
        <f aca="true">CRITBINOM($C2043,MIN(0.75,Matchup!$C$39*$B2043),RAND())</f>
        <v>3</v>
      </c>
      <c r="K2043" s="0" t="n">
        <f aca="true">CRITBINOM(J2043,Coefficients!$B$30,RAND())</f>
        <v>0</v>
      </c>
      <c r="L2043" s="0" t="n">
        <f aca="true">CRITBINOM(K2043,Coefficients!$B$31,RAND())</f>
        <v>0</v>
      </c>
      <c r="M2043" s="0" t="n">
        <f aca="true">CRITBINOM(MAX(0,J2043-K2043),1-Coefficients!$B$32,RAND())</f>
        <v>1</v>
      </c>
      <c r="N2043" s="0" t="n">
        <f aca="true">CRITBINOM(MAX(0,$C2043-J2043),MIN(0.6,Matchup!$C$40*SQRT($B2043)/(1-MIN(0.75,Matchup!$C$39*$B2043))),RAND())</f>
        <v>2</v>
      </c>
      <c r="O2043" s="0" t="n">
        <f aca="false">6*J2043+(J2043-K2043-M2043)+2*L2043+3*N2043</f>
        <v>26</v>
      </c>
      <c r="P2043" s="0" t="n">
        <f aca="true">RAND()</f>
        <v>0.305982799428193</v>
      </c>
      <c r="Q2043" s="0" t="n">
        <f aca="true">RAND()</f>
        <v>0.109688930191233</v>
      </c>
      <c r="R2043" s="0" t="n">
        <f aca="false">IF($I2043&lt;&gt;$O2043,0,IF(P2043&lt;Matchup!$B$39,7,IF(P2043&lt;Matchup!$B$39+Matchup!$B$40,3,0)))</f>
        <v>0</v>
      </c>
      <c r="S2043" s="0" t="n">
        <f aca="false">IF($I2043&lt;&gt;$O2043,0,IF(Q2043&lt;Matchup!$C$39,7,IF(Q2043&lt;Matchup!$C$39+Matchup!$C$40,3,0)))</f>
        <v>0</v>
      </c>
      <c r="T2043" s="0" t="n">
        <f aca="false">I2043+R2043</f>
        <v>27</v>
      </c>
      <c r="U2043" s="0" t="n">
        <f aca="false">O2043+S2043</f>
        <v>26</v>
      </c>
      <c r="V2043" s="0" t="n">
        <f aca="false">T2043-U2043</f>
        <v>1</v>
      </c>
      <c r="W2043" s="0" t="n">
        <f aca="false">T2043+U2043</f>
        <v>53</v>
      </c>
    </row>
    <row r="2044" customFormat="false" ht="15" hidden="false" customHeight="false" outlineLevel="0" collapsed="false">
      <c r="A2044" s="0" t="n">
        <v>2041</v>
      </c>
      <c r="B2044" s="0" t="n">
        <f aca="true">NORMINV(RAND(),1,Coefficients!$B$22)</f>
        <v>1.01426345278013</v>
      </c>
      <c r="C2044" s="0" t="n">
        <f aca="true">MEDIAN(8,16,ROUND(NORMINV(RAND(),Coefficients!$B$20,Coefficients!$B$21),0))</f>
        <v>11</v>
      </c>
      <c r="D2044" s="0" t="n">
        <f aca="true">CRITBINOM($C2044,MIN(0.75,Matchup!$B$39*$B2044),RAND())</f>
        <v>2</v>
      </c>
      <c r="E2044" s="0" t="n">
        <f aca="true">CRITBINOM(D2044,Coefficients!$B$30,RAND())</f>
        <v>1</v>
      </c>
      <c r="F2044" s="0" t="n">
        <f aca="true">CRITBINOM(E2044,Coefficients!$B$31,RAND())</f>
        <v>0</v>
      </c>
      <c r="G2044" s="0" t="n">
        <f aca="true">CRITBINOM(MAX(0,D2044-E2044),1-Coefficients!$B$32,RAND())</f>
        <v>0</v>
      </c>
      <c r="H2044" s="0" t="n">
        <f aca="true">CRITBINOM(MAX(0,$C2044-D2044),MIN(0.6,Matchup!$B$40*SQRT($B2044)/(1-MIN(0.75,Matchup!$B$39*$B2044))),RAND())</f>
        <v>2</v>
      </c>
      <c r="I2044" s="0" t="n">
        <f aca="false">6*D2044+(D2044-E2044-G2044)+2*F2044+3*H2044</f>
        <v>19</v>
      </c>
      <c r="J2044" s="0" t="n">
        <f aca="true">CRITBINOM($C2044,MIN(0.75,Matchup!$C$39*$B2044),RAND())</f>
        <v>2</v>
      </c>
      <c r="K2044" s="0" t="n">
        <f aca="true">CRITBINOM(J2044,Coefficients!$B$30,RAND())</f>
        <v>2</v>
      </c>
      <c r="L2044" s="0" t="n">
        <f aca="true">CRITBINOM(K2044,Coefficients!$B$31,RAND())</f>
        <v>1</v>
      </c>
      <c r="M2044" s="0" t="n">
        <f aca="true">CRITBINOM(MAX(0,J2044-K2044),1-Coefficients!$B$32,RAND())</f>
        <v>0</v>
      </c>
      <c r="N2044" s="0" t="n">
        <f aca="true">CRITBINOM(MAX(0,$C2044-J2044),MIN(0.6,Matchup!$C$40*SQRT($B2044)/(1-MIN(0.75,Matchup!$C$39*$B2044))),RAND())</f>
        <v>0</v>
      </c>
      <c r="O2044" s="0" t="n">
        <f aca="false">6*J2044+(J2044-K2044-M2044)+2*L2044+3*N2044</f>
        <v>14</v>
      </c>
      <c r="P2044" s="0" t="n">
        <f aca="true">RAND()</f>
        <v>0.574873499855407</v>
      </c>
      <c r="Q2044" s="0" t="n">
        <f aca="true">RAND()</f>
        <v>0.476239723989281</v>
      </c>
      <c r="R2044" s="0" t="n">
        <f aca="false">IF($I2044&lt;&gt;$O2044,0,IF(P2044&lt;Matchup!$B$39,7,IF(P2044&lt;Matchup!$B$39+Matchup!$B$40,3,0)))</f>
        <v>0</v>
      </c>
      <c r="S2044" s="0" t="n">
        <f aca="false">IF($I2044&lt;&gt;$O2044,0,IF(Q2044&lt;Matchup!$C$39,7,IF(Q2044&lt;Matchup!$C$39+Matchup!$C$40,3,0)))</f>
        <v>0</v>
      </c>
      <c r="T2044" s="0" t="n">
        <f aca="false">I2044+R2044</f>
        <v>19</v>
      </c>
      <c r="U2044" s="0" t="n">
        <f aca="false">O2044+S2044</f>
        <v>14</v>
      </c>
      <c r="V2044" s="0" t="n">
        <f aca="false">T2044-U2044</f>
        <v>5</v>
      </c>
      <c r="W2044" s="0" t="n">
        <f aca="false">T2044+U2044</f>
        <v>33</v>
      </c>
    </row>
    <row r="2045" customFormat="false" ht="15" hidden="false" customHeight="false" outlineLevel="0" collapsed="false">
      <c r="A2045" s="0" t="n">
        <v>2042</v>
      </c>
      <c r="B2045" s="0" t="n">
        <f aca="true">NORMINV(RAND(),1,Coefficients!$B$22)</f>
        <v>0.979265361221918</v>
      </c>
      <c r="C2045" s="0" t="n">
        <f aca="true">MEDIAN(8,16,ROUND(NORMINV(RAND(),Coefficients!$B$20,Coefficients!$B$21),0))</f>
        <v>12</v>
      </c>
      <c r="D2045" s="0" t="n">
        <f aca="true">CRITBINOM($C2045,MIN(0.75,Matchup!$B$39*$B2045),RAND())</f>
        <v>4</v>
      </c>
      <c r="E2045" s="0" t="n">
        <f aca="true">CRITBINOM(D2045,Coefficients!$B$30,RAND())</f>
        <v>0</v>
      </c>
      <c r="F2045" s="0" t="n">
        <f aca="true">CRITBINOM(E2045,Coefficients!$B$31,RAND())</f>
        <v>0</v>
      </c>
      <c r="G2045" s="0" t="n">
        <f aca="true">CRITBINOM(MAX(0,D2045-E2045),1-Coefficients!$B$32,RAND())</f>
        <v>0</v>
      </c>
      <c r="H2045" s="0" t="n">
        <f aca="true">CRITBINOM(MAX(0,$C2045-D2045),MIN(0.6,Matchup!$B$40*SQRT($B2045)/(1-MIN(0.75,Matchup!$B$39*$B2045))),RAND())</f>
        <v>1</v>
      </c>
      <c r="I2045" s="0" t="n">
        <f aca="false">6*D2045+(D2045-E2045-G2045)+2*F2045+3*H2045</f>
        <v>31</v>
      </c>
      <c r="J2045" s="0" t="n">
        <f aca="true">CRITBINOM($C2045,MIN(0.75,Matchup!$C$39*$B2045),RAND())</f>
        <v>2</v>
      </c>
      <c r="K2045" s="0" t="n">
        <f aca="true">CRITBINOM(J2045,Coefficients!$B$30,RAND())</f>
        <v>0</v>
      </c>
      <c r="L2045" s="0" t="n">
        <f aca="true">CRITBINOM(K2045,Coefficients!$B$31,RAND())</f>
        <v>0</v>
      </c>
      <c r="M2045" s="0" t="n">
        <f aca="true">CRITBINOM(MAX(0,J2045-K2045),1-Coefficients!$B$32,RAND())</f>
        <v>0</v>
      </c>
      <c r="N2045" s="0" t="n">
        <f aca="true">CRITBINOM(MAX(0,$C2045-J2045),MIN(0.6,Matchup!$C$40*SQRT($B2045)/(1-MIN(0.75,Matchup!$C$39*$B2045))),RAND())</f>
        <v>3</v>
      </c>
      <c r="O2045" s="0" t="n">
        <f aca="false">6*J2045+(J2045-K2045-M2045)+2*L2045+3*N2045</f>
        <v>23</v>
      </c>
      <c r="P2045" s="0" t="n">
        <f aca="true">RAND()</f>
        <v>0.289387178916503</v>
      </c>
      <c r="Q2045" s="0" t="n">
        <f aca="true">RAND()</f>
        <v>0.824513470597226</v>
      </c>
      <c r="R2045" s="0" t="n">
        <f aca="false">IF($I2045&lt;&gt;$O2045,0,IF(P2045&lt;Matchup!$B$39,7,IF(P2045&lt;Matchup!$B$39+Matchup!$B$40,3,0)))</f>
        <v>0</v>
      </c>
      <c r="S2045" s="0" t="n">
        <f aca="false">IF($I2045&lt;&gt;$O2045,0,IF(Q2045&lt;Matchup!$C$39,7,IF(Q2045&lt;Matchup!$C$39+Matchup!$C$40,3,0)))</f>
        <v>0</v>
      </c>
      <c r="T2045" s="0" t="n">
        <f aca="false">I2045+R2045</f>
        <v>31</v>
      </c>
      <c r="U2045" s="0" t="n">
        <f aca="false">O2045+S2045</f>
        <v>23</v>
      </c>
      <c r="V2045" s="0" t="n">
        <f aca="false">T2045-U2045</f>
        <v>8</v>
      </c>
      <c r="W2045" s="0" t="n">
        <f aca="false">T2045+U2045</f>
        <v>54</v>
      </c>
    </row>
    <row r="2046" customFormat="false" ht="15" hidden="false" customHeight="false" outlineLevel="0" collapsed="false">
      <c r="A2046" s="0" t="n">
        <v>2043</v>
      </c>
      <c r="B2046" s="0" t="n">
        <f aca="true">NORMINV(RAND(),1,Coefficients!$B$22)</f>
        <v>0.819180153804533</v>
      </c>
      <c r="C2046" s="0" t="n">
        <f aca="true">MEDIAN(8,16,ROUND(NORMINV(RAND(),Coefficients!$B$20,Coefficients!$B$21),0))</f>
        <v>12</v>
      </c>
      <c r="D2046" s="0" t="n">
        <f aca="true">CRITBINOM($C2046,MIN(0.75,Matchup!$B$39*$B2046),RAND())</f>
        <v>0</v>
      </c>
      <c r="E2046" s="0" t="n">
        <f aca="true">CRITBINOM(D2046,Coefficients!$B$30,RAND())</f>
        <v>0</v>
      </c>
      <c r="F2046" s="0" t="n">
        <f aca="true">CRITBINOM(E2046,Coefficients!$B$31,RAND())</f>
        <v>0</v>
      </c>
      <c r="G2046" s="0" t="n">
        <f aca="true">CRITBINOM(MAX(0,D2046-E2046),1-Coefficients!$B$32,RAND())</f>
        <v>0</v>
      </c>
      <c r="H2046" s="0" t="n">
        <f aca="true">CRITBINOM(MAX(0,$C2046-D2046),MIN(0.6,Matchup!$B$40*SQRT($B2046)/(1-MIN(0.75,Matchup!$B$39*$B2046))),RAND())</f>
        <v>3</v>
      </c>
      <c r="I2046" s="0" t="n">
        <f aca="false">6*D2046+(D2046-E2046-G2046)+2*F2046+3*H2046</f>
        <v>9</v>
      </c>
      <c r="J2046" s="0" t="n">
        <f aca="true">CRITBINOM($C2046,MIN(0.75,Matchup!$C$39*$B2046),RAND())</f>
        <v>4</v>
      </c>
      <c r="K2046" s="0" t="n">
        <f aca="true">CRITBINOM(J2046,Coefficients!$B$30,RAND())</f>
        <v>0</v>
      </c>
      <c r="L2046" s="0" t="n">
        <f aca="true">CRITBINOM(K2046,Coefficients!$B$31,RAND())</f>
        <v>0</v>
      </c>
      <c r="M2046" s="0" t="n">
        <f aca="true">CRITBINOM(MAX(0,J2046-K2046),1-Coefficients!$B$32,RAND())</f>
        <v>0</v>
      </c>
      <c r="N2046" s="0" t="n">
        <f aca="true">CRITBINOM(MAX(0,$C2046-J2046),MIN(0.6,Matchup!$C$40*SQRT($B2046)/(1-MIN(0.75,Matchup!$C$39*$B2046))),RAND())</f>
        <v>3</v>
      </c>
      <c r="O2046" s="0" t="n">
        <f aca="false">6*J2046+(J2046-K2046-M2046)+2*L2046+3*N2046</f>
        <v>37</v>
      </c>
      <c r="P2046" s="0" t="n">
        <f aca="true">RAND()</f>
        <v>0.672570516040958</v>
      </c>
      <c r="Q2046" s="0" t="n">
        <f aca="true">RAND()</f>
        <v>0.0889342306679368</v>
      </c>
      <c r="R2046" s="0" t="n">
        <f aca="false">IF($I2046&lt;&gt;$O2046,0,IF(P2046&lt;Matchup!$B$39,7,IF(P2046&lt;Matchup!$B$39+Matchup!$B$40,3,0)))</f>
        <v>0</v>
      </c>
      <c r="S2046" s="0" t="n">
        <f aca="false">IF($I2046&lt;&gt;$O2046,0,IF(Q2046&lt;Matchup!$C$39,7,IF(Q2046&lt;Matchup!$C$39+Matchup!$C$40,3,0)))</f>
        <v>0</v>
      </c>
      <c r="T2046" s="0" t="n">
        <f aca="false">I2046+R2046</f>
        <v>9</v>
      </c>
      <c r="U2046" s="0" t="n">
        <f aca="false">O2046+S2046</f>
        <v>37</v>
      </c>
      <c r="V2046" s="0" t="n">
        <f aca="false">T2046-U2046</f>
        <v>-28</v>
      </c>
      <c r="W2046" s="0" t="n">
        <f aca="false">T2046+U2046</f>
        <v>46</v>
      </c>
    </row>
    <row r="2047" customFormat="false" ht="15" hidden="false" customHeight="false" outlineLevel="0" collapsed="false">
      <c r="A2047" s="0" t="n">
        <v>2044</v>
      </c>
      <c r="B2047" s="0" t="n">
        <f aca="true">NORMINV(RAND(),1,Coefficients!$B$22)</f>
        <v>1.00757949461264</v>
      </c>
      <c r="C2047" s="0" t="n">
        <f aca="true">MEDIAN(8,16,ROUND(NORMINV(RAND(),Coefficients!$B$20,Coefficients!$B$21),0))</f>
        <v>12</v>
      </c>
      <c r="D2047" s="0" t="n">
        <f aca="true">CRITBINOM($C2047,MIN(0.75,Matchup!$B$39*$B2047),RAND())</f>
        <v>3</v>
      </c>
      <c r="E2047" s="0" t="n">
        <f aca="true">CRITBINOM(D2047,Coefficients!$B$30,RAND())</f>
        <v>0</v>
      </c>
      <c r="F2047" s="0" t="n">
        <f aca="true">CRITBINOM(E2047,Coefficients!$B$31,RAND())</f>
        <v>0</v>
      </c>
      <c r="G2047" s="0" t="n">
        <f aca="true">CRITBINOM(MAX(0,D2047-E2047),1-Coefficients!$B$32,RAND())</f>
        <v>1</v>
      </c>
      <c r="H2047" s="0" t="n">
        <f aca="true">CRITBINOM(MAX(0,$C2047-D2047),MIN(0.6,Matchup!$B$40*SQRT($B2047)/(1-MIN(0.75,Matchup!$B$39*$B2047))),RAND())</f>
        <v>0</v>
      </c>
      <c r="I2047" s="0" t="n">
        <f aca="false">6*D2047+(D2047-E2047-G2047)+2*F2047+3*H2047</f>
        <v>20</v>
      </c>
      <c r="J2047" s="0" t="n">
        <f aca="true">CRITBINOM($C2047,MIN(0.75,Matchup!$C$39*$B2047),RAND())</f>
        <v>5</v>
      </c>
      <c r="K2047" s="0" t="n">
        <f aca="true">CRITBINOM(J2047,Coefficients!$B$30,RAND())</f>
        <v>0</v>
      </c>
      <c r="L2047" s="0" t="n">
        <f aca="true">CRITBINOM(K2047,Coefficients!$B$31,RAND())</f>
        <v>0</v>
      </c>
      <c r="M2047" s="0" t="n">
        <f aca="true">CRITBINOM(MAX(0,J2047-K2047),1-Coefficients!$B$32,RAND())</f>
        <v>0</v>
      </c>
      <c r="N2047" s="0" t="n">
        <f aca="true">CRITBINOM(MAX(0,$C2047-J2047),MIN(0.6,Matchup!$C$40*SQRT($B2047)/(1-MIN(0.75,Matchup!$C$39*$B2047))),RAND())</f>
        <v>1</v>
      </c>
      <c r="O2047" s="0" t="n">
        <f aca="false">6*J2047+(J2047-K2047-M2047)+2*L2047+3*N2047</f>
        <v>38</v>
      </c>
      <c r="P2047" s="0" t="n">
        <f aca="true">RAND()</f>
        <v>0.287980748160959</v>
      </c>
      <c r="Q2047" s="0" t="n">
        <f aca="true">RAND()</f>
        <v>0.689823717367787</v>
      </c>
      <c r="R2047" s="0" t="n">
        <f aca="false">IF($I2047&lt;&gt;$O2047,0,IF(P2047&lt;Matchup!$B$39,7,IF(P2047&lt;Matchup!$B$39+Matchup!$B$40,3,0)))</f>
        <v>0</v>
      </c>
      <c r="S2047" s="0" t="n">
        <f aca="false">IF($I2047&lt;&gt;$O2047,0,IF(Q2047&lt;Matchup!$C$39,7,IF(Q2047&lt;Matchup!$C$39+Matchup!$C$40,3,0)))</f>
        <v>0</v>
      </c>
      <c r="T2047" s="0" t="n">
        <f aca="false">I2047+R2047</f>
        <v>20</v>
      </c>
      <c r="U2047" s="0" t="n">
        <f aca="false">O2047+S2047</f>
        <v>38</v>
      </c>
      <c r="V2047" s="0" t="n">
        <f aca="false">T2047-U2047</f>
        <v>-18</v>
      </c>
      <c r="W2047" s="0" t="n">
        <f aca="false">T2047+U2047</f>
        <v>58</v>
      </c>
    </row>
    <row r="2048" customFormat="false" ht="15" hidden="false" customHeight="false" outlineLevel="0" collapsed="false">
      <c r="A2048" s="0" t="n">
        <v>2045</v>
      </c>
      <c r="B2048" s="0" t="n">
        <f aca="true">NORMINV(RAND(),1,Coefficients!$B$22)</f>
        <v>1.00621479856263</v>
      </c>
      <c r="C2048" s="0" t="n">
        <f aca="true">MEDIAN(8,16,ROUND(NORMINV(RAND(),Coefficients!$B$20,Coefficients!$B$21),0))</f>
        <v>11</v>
      </c>
      <c r="D2048" s="0" t="n">
        <f aca="true">CRITBINOM($C2048,MIN(0.75,Matchup!$B$39*$B2048),RAND())</f>
        <v>5</v>
      </c>
      <c r="E2048" s="0" t="n">
        <f aca="true">CRITBINOM(D2048,Coefficients!$B$30,RAND())</f>
        <v>1</v>
      </c>
      <c r="F2048" s="0" t="n">
        <f aca="true">CRITBINOM(E2048,Coefficients!$B$31,RAND())</f>
        <v>0</v>
      </c>
      <c r="G2048" s="0" t="n">
        <f aca="true">CRITBINOM(MAX(0,D2048-E2048),1-Coefficients!$B$32,RAND())</f>
        <v>0</v>
      </c>
      <c r="H2048" s="0" t="n">
        <f aca="true">CRITBINOM(MAX(0,$C2048-D2048),MIN(0.6,Matchup!$B$40*SQRT($B2048)/(1-MIN(0.75,Matchup!$B$39*$B2048))),RAND())</f>
        <v>3</v>
      </c>
      <c r="I2048" s="0" t="n">
        <f aca="false">6*D2048+(D2048-E2048-G2048)+2*F2048+3*H2048</f>
        <v>43</v>
      </c>
      <c r="J2048" s="0" t="n">
        <f aca="true">CRITBINOM($C2048,MIN(0.75,Matchup!$C$39*$B2048),RAND())</f>
        <v>2</v>
      </c>
      <c r="K2048" s="0" t="n">
        <f aca="true">CRITBINOM(J2048,Coefficients!$B$30,RAND())</f>
        <v>0</v>
      </c>
      <c r="L2048" s="0" t="n">
        <f aca="true">CRITBINOM(K2048,Coefficients!$B$31,RAND())</f>
        <v>0</v>
      </c>
      <c r="M2048" s="0" t="n">
        <f aca="true">CRITBINOM(MAX(0,J2048-K2048),1-Coefficients!$B$32,RAND())</f>
        <v>0</v>
      </c>
      <c r="N2048" s="0" t="n">
        <f aca="true">CRITBINOM(MAX(0,$C2048-J2048),MIN(0.6,Matchup!$C$40*SQRT($B2048)/(1-MIN(0.75,Matchup!$C$39*$B2048))),RAND())</f>
        <v>2</v>
      </c>
      <c r="O2048" s="0" t="n">
        <f aca="false">6*J2048+(J2048-K2048-M2048)+2*L2048+3*N2048</f>
        <v>20</v>
      </c>
      <c r="P2048" s="0" t="n">
        <f aca="true">RAND()</f>
        <v>0.506843923620685</v>
      </c>
      <c r="Q2048" s="0" t="n">
        <f aca="true">RAND()</f>
        <v>0.924328830913932</v>
      </c>
      <c r="R2048" s="0" t="n">
        <f aca="false">IF($I2048&lt;&gt;$O2048,0,IF(P2048&lt;Matchup!$B$39,7,IF(P2048&lt;Matchup!$B$39+Matchup!$B$40,3,0)))</f>
        <v>0</v>
      </c>
      <c r="S2048" s="0" t="n">
        <f aca="false">IF($I2048&lt;&gt;$O2048,0,IF(Q2048&lt;Matchup!$C$39,7,IF(Q2048&lt;Matchup!$C$39+Matchup!$C$40,3,0)))</f>
        <v>0</v>
      </c>
      <c r="T2048" s="0" t="n">
        <f aca="false">I2048+R2048</f>
        <v>43</v>
      </c>
      <c r="U2048" s="0" t="n">
        <f aca="false">O2048+S2048</f>
        <v>20</v>
      </c>
      <c r="V2048" s="0" t="n">
        <f aca="false">T2048-U2048</f>
        <v>23</v>
      </c>
      <c r="W2048" s="0" t="n">
        <f aca="false">T2048+U2048</f>
        <v>63</v>
      </c>
    </row>
    <row r="2049" customFormat="false" ht="15" hidden="false" customHeight="false" outlineLevel="0" collapsed="false">
      <c r="A2049" s="0" t="n">
        <v>2046</v>
      </c>
      <c r="B2049" s="0" t="n">
        <f aca="true">NORMINV(RAND(),1,Coefficients!$B$22)</f>
        <v>1.1395790866559</v>
      </c>
      <c r="C2049" s="0" t="n">
        <f aca="true">MEDIAN(8,16,ROUND(NORMINV(RAND(),Coefficients!$B$20,Coefficients!$B$21),0))</f>
        <v>12</v>
      </c>
      <c r="D2049" s="0" t="n">
        <f aca="true">CRITBINOM($C2049,MIN(0.75,Matchup!$B$39*$B2049),RAND())</f>
        <v>7</v>
      </c>
      <c r="E2049" s="0" t="n">
        <f aca="true">CRITBINOM(D2049,Coefficients!$B$30,RAND())</f>
        <v>0</v>
      </c>
      <c r="F2049" s="0" t="n">
        <f aca="true">CRITBINOM(E2049,Coefficients!$B$31,RAND())</f>
        <v>0</v>
      </c>
      <c r="G2049" s="0" t="n">
        <f aca="true">CRITBINOM(MAX(0,D2049-E2049),1-Coefficients!$B$32,RAND())</f>
        <v>0</v>
      </c>
      <c r="H2049" s="0" t="n">
        <f aca="true">CRITBINOM(MAX(0,$C2049-D2049),MIN(0.6,Matchup!$B$40*SQRT($B2049)/(1-MIN(0.75,Matchup!$B$39*$B2049))),RAND())</f>
        <v>0</v>
      </c>
      <c r="I2049" s="0" t="n">
        <f aca="false">6*D2049+(D2049-E2049-G2049)+2*F2049+3*H2049</f>
        <v>49</v>
      </c>
      <c r="J2049" s="0" t="n">
        <f aca="true">CRITBINOM($C2049,MIN(0.75,Matchup!$C$39*$B2049),RAND())</f>
        <v>4</v>
      </c>
      <c r="K2049" s="0" t="n">
        <f aca="true">CRITBINOM(J2049,Coefficients!$B$30,RAND())</f>
        <v>0</v>
      </c>
      <c r="L2049" s="0" t="n">
        <f aca="true">CRITBINOM(K2049,Coefficients!$B$31,RAND())</f>
        <v>0</v>
      </c>
      <c r="M2049" s="0" t="n">
        <f aca="true">CRITBINOM(MAX(0,J2049-K2049),1-Coefficients!$B$32,RAND())</f>
        <v>0</v>
      </c>
      <c r="N2049" s="0" t="n">
        <f aca="true">CRITBINOM(MAX(0,$C2049-J2049),MIN(0.6,Matchup!$C$40*SQRT($B2049)/(1-MIN(0.75,Matchup!$C$39*$B2049))),RAND())</f>
        <v>2</v>
      </c>
      <c r="O2049" s="0" t="n">
        <f aca="false">6*J2049+(J2049-K2049-M2049)+2*L2049+3*N2049</f>
        <v>34</v>
      </c>
      <c r="P2049" s="0" t="n">
        <f aca="true">RAND()</f>
        <v>0.801541859045426</v>
      </c>
      <c r="Q2049" s="0" t="n">
        <f aca="true">RAND()</f>
        <v>0.996025937878776</v>
      </c>
      <c r="R2049" s="0" t="n">
        <f aca="false">IF($I2049&lt;&gt;$O2049,0,IF(P2049&lt;Matchup!$B$39,7,IF(P2049&lt;Matchup!$B$39+Matchup!$B$40,3,0)))</f>
        <v>0</v>
      </c>
      <c r="S2049" s="0" t="n">
        <f aca="false">IF($I2049&lt;&gt;$O2049,0,IF(Q2049&lt;Matchup!$C$39,7,IF(Q2049&lt;Matchup!$C$39+Matchup!$C$40,3,0)))</f>
        <v>0</v>
      </c>
      <c r="T2049" s="0" t="n">
        <f aca="false">I2049+R2049</f>
        <v>49</v>
      </c>
      <c r="U2049" s="0" t="n">
        <f aca="false">O2049+S2049</f>
        <v>34</v>
      </c>
      <c r="V2049" s="0" t="n">
        <f aca="false">T2049-U2049</f>
        <v>15</v>
      </c>
      <c r="W2049" s="0" t="n">
        <f aca="false">T2049+U2049</f>
        <v>83</v>
      </c>
    </row>
    <row r="2050" customFormat="false" ht="15" hidden="false" customHeight="false" outlineLevel="0" collapsed="false">
      <c r="A2050" s="0" t="n">
        <v>2047</v>
      </c>
      <c r="B2050" s="0" t="n">
        <f aca="true">NORMINV(RAND(),1,Coefficients!$B$22)</f>
        <v>1.00678892536256</v>
      </c>
      <c r="C2050" s="0" t="n">
        <f aca="true">MEDIAN(8,16,ROUND(NORMINV(RAND(),Coefficients!$B$20,Coefficients!$B$21),0))</f>
        <v>11</v>
      </c>
      <c r="D2050" s="0" t="n">
        <f aca="true">CRITBINOM($C2050,MIN(0.75,Matchup!$B$39*$B2050),RAND())</f>
        <v>1</v>
      </c>
      <c r="E2050" s="0" t="n">
        <f aca="true">CRITBINOM(D2050,Coefficients!$B$30,RAND())</f>
        <v>0</v>
      </c>
      <c r="F2050" s="0" t="n">
        <f aca="true">CRITBINOM(E2050,Coefficients!$B$31,RAND())</f>
        <v>0</v>
      </c>
      <c r="G2050" s="0" t="n">
        <f aca="true">CRITBINOM(MAX(0,D2050-E2050),1-Coefficients!$B$32,RAND())</f>
        <v>0</v>
      </c>
      <c r="H2050" s="0" t="n">
        <f aca="true">CRITBINOM(MAX(0,$C2050-D2050),MIN(0.6,Matchup!$B$40*SQRT($B2050)/(1-MIN(0.75,Matchup!$B$39*$B2050))),RAND())</f>
        <v>2</v>
      </c>
      <c r="I2050" s="0" t="n">
        <f aca="false">6*D2050+(D2050-E2050-G2050)+2*F2050+3*H2050</f>
        <v>13</v>
      </c>
      <c r="J2050" s="0" t="n">
        <f aca="true">CRITBINOM($C2050,MIN(0.75,Matchup!$C$39*$B2050),RAND())</f>
        <v>3</v>
      </c>
      <c r="K2050" s="0" t="n">
        <f aca="true">CRITBINOM(J2050,Coefficients!$B$30,RAND())</f>
        <v>0</v>
      </c>
      <c r="L2050" s="0" t="n">
        <f aca="true">CRITBINOM(K2050,Coefficients!$B$31,RAND())</f>
        <v>0</v>
      </c>
      <c r="M2050" s="0" t="n">
        <f aca="true">CRITBINOM(MAX(0,J2050-K2050),1-Coefficients!$B$32,RAND())</f>
        <v>1</v>
      </c>
      <c r="N2050" s="0" t="n">
        <f aca="true">CRITBINOM(MAX(0,$C2050-J2050),MIN(0.6,Matchup!$C$40*SQRT($B2050)/(1-MIN(0.75,Matchup!$C$39*$B2050))),RAND())</f>
        <v>1</v>
      </c>
      <c r="O2050" s="0" t="n">
        <f aca="false">6*J2050+(J2050-K2050-M2050)+2*L2050+3*N2050</f>
        <v>23</v>
      </c>
      <c r="P2050" s="0" t="n">
        <f aca="true">RAND()</f>
        <v>0.888777574338202</v>
      </c>
      <c r="Q2050" s="0" t="n">
        <f aca="true">RAND()</f>
        <v>0.175849455335401</v>
      </c>
      <c r="R2050" s="0" t="n">
        <f aca="false">IF($I2050&lt;&gt;$O2050,0,IF(P2050&lt;Matchup!$B$39,7,IF(P2050&lt;Matchup!$B$39+Matchup!$B$40,3,0)))</f>
        <v>0</v>
      </c>
      <c r="S2050" s="0" t="n">
        <f aca="false">IF($I2050&lt;&gt;$O2050,0,IF(Q2050&lt;Matchup!$C$39,7,IF(Q2050&lt;Matchup!$C$39+Matchup!$C$40,3,0)))</f>
        <v>0</v>
      </c>
      <c r="T2050" s="0" t="n">
        <f aca="false">I2050+R2050</f>
        <v>13</v>
      </c>
      <c r="U2050" s="0" t="n">
        <f aca="false">O2050+S2050</f>
        <v>23</v>
      </c>
      <c r="V2050" s="0" t="n">
        <f aca="false">T2050-U2050</f>
        <v>-10</v>
      </c>
      <c r="W2050" s="0" t="n">
        <f aca="false">T2050+U2050</f>
        <v>36</v>
      </c>
    </row>
    <row r="2051" customFormat="false" ht="15" hidden="false" customHeight="false" outlineLevel="0" collapsed="false">
      <c r="A2051" s="0" t="n">
        <v>2048</v>
      </c>
      <c r="B2051" s="0" t="n">
        <f aca="true">NORMINV(RAND(),1,Coefficients!$B$22)</f>
        <v>1.03928106294324</v>
      </c>
      <c r="C2051" s="0" t="n">
        <f aca="true">MEDIAN(8,16,ROUND(NORMINV(RAND(),Coefficients!$B$20,Coefficients!$B$21),0))</f>
        <v>11</v>
      </c>
      <c r="D2051" s="0" t="n">
        <f aca="true">CRITBINOM($C2051,MIN(0.75,Matchup!$B$39*$B2051),RAND())</f>
        <v>2</v>
      </c>
      <c r="E2051" s="0" t="n">
        <f aca="true">CRITBINOM(D2051,Coefficients!$B$30,RAND())</f>
        <v>0</v>
      </c>
      <c r="F2051" s="0" t="n">
        <f aca="true">CRITBINOM(E2051,Coefficients!$B$31,RAND())</f>
        <v>0</v>
      </c>
      <c r="G2051" s="0" t="n">
        <f aca="true">CRITBINOM(MAX(0,D2051-E2051),1-Coefficients!$B$32,RAND())</f>
        <v>0</v>
      </c>
      <c r="H2051" s="0" t="n">
        <f aca="true">CRITBINOM(MAX(0,$C2051-D2051),MIN(0.6,Matchup!$B$40*SQRT($B2051)/(1-MIN(0.75,Matchup!$B$39*$B2051))),RAND())</f>
        <v>1</v>
      </c>
      <c r="I2051" s="0" t="n">
        <f aca="false">6*D2051+(D2051-E2051-G2051)+2*F2051+3*H2051</f>
        <v>17</v>
      </c>
      <c r="J2051" s="0" t="n">
        <f aca="true">CRITBINOM($C2051,MIN(0.75,Matchup!$C$39*$B2051),RAND())</f>
        <v>1</v>
      </c>
      <c r="K2051" s="0" t="n">
        <f aca="true">CRITBINOM(J2051,Coefficients!$B$30,RAND())</f>
        <v>0</v>
      </c>
      <c r="L2051" s="0" t="n">
        <f aca="true">CRITBINOM(K2051,Coefficients!$B$31,RAND())</f>
        <v>0</v>
      </c>
      <c r="M2051" s="0" t="n">
        <f aca="true">CRITBINOM(MAX(0,J2051-K2051),1-Coefficients!$B$32,RAND())</f>
        <v>0</v>
      </c>
      <c r="N2051" s="0" t="n">
        <f aca="true">CRITBINOM(MAX(0,$C2051-J2051),MIN(0.6,Matchup!$C$40*SQRT($B2051)/(1-MIN(0.75,Matchup!$C$39*$B2051))),RAND())</f>
        <v>1</v>
      </c>
      <c r="O2051" s="0" t="n">
        <f aca="false">6*J2051+(J2051-K2051-M2051)+2*L2051+3*N2051</f>
        <v>10</v>
      </c>
      <c r="P2051" s="0" t="n">
        <f aca="true">RAND()</f>
        <v>0.370590718538686</v>
      </c>
      <c r="Q2051" s="0" t="n">
        <f aca="true">RAND()</f>
        <v>0.340764071497771</v>
      </c>
      <c r="R2051" s="0" t="n">
        <f aca="false">IF($I2051&lt;&gt;$O2051,0,IF(P2051&lt;Matchup!$B$39,7,IF(P2051&lt;Matchup!$B$39+Matchup!$B$40,3,0)))</f>
        <v>0</v>
      </c>
      <c r="S2051" s="0" t="n">
        <f aca="false">IF($I2051&lt;&gt;$O2051,0,IF(Q2051&lt;Matchup!$C$39,7,IF(Q2051&lt;Matchup!$C$39+Matchup!$C$40,3,0)))</f>
        <v>0</v>
      </c>
      <c r="T2051" s="0" t="n">
        <f aca="false">I2051+R2051</f>
        <v>17</v>
      </c>
      <c r="U2051" s="0" t="n">
        <f aca="false">O2051+S2051</f>
        <v>10</v>
      </c>
      <c r="V2051" s="0" t="n">
        <f aca="false">T2051-U2051</f>
        <v>7</v>
      </c>
      <c r="W2051" s="0" t="n">
        <f aca="false">T2051+U2051</f>
        <v>27</v>
      </c>
    </row>
    <row r="2052" customFormat="false" ht="15" hidden="false" customHeight="false" outlineLevel="0" collapsed="false">
      <c r="A2052" s="0" t="n">
        <v>2049</v>
      </c>
      <c r="B2052" s="0" t="n">
        <f aca="true">NORMINV(RAND(),1,Coefficients!$B$22)</f>
        <v>1.18317353417653</v>
      </c>
      <c r="C2052" s="0" t="n">
        <f aca="true">MEDIAN(8,16,ROUND(NORMINV(RAND(),Coefficients!$B$20,Coefficients!$B$21),0))</f>
        <v>11</v>
      </c>
      <c r="D2052" s="0" t="n">
        <f aca="true">CRITBINOM($C2052,MIN(0.75,Matchup!$B$39*$B2052),RAND())</f>
        <v>2</v>
      </c>
      <c r="E2052" s="0" t="n">
        <f aca="true">CRITBINOM(D2052,Coefficients!$B$30,RAND())</f>
        <v>1</v>
      </c>
      <c r="F2052" s="0" t="n">
        <f aca="true">CRITBINOM(E2052,Coefficients!$B$31,RAND())</f>
        <v>1</v>
      </c>
      <c r="G2052" s="0" t="n">
        <f aca="true">CRITBINOM(MAX(0,D2052-E2052),1-Coefficients!$B$32,RAND())</f>
        <v>0</v>
      </c>
      <c r="H2052" s="0" t="n">
        <f aca="true">CRITBINOM(MAX(0,$C2052-D2052),MIN(0.6,Matchup!$B$40*SQRT($B2052)/(1-MIN(0.75,Matchup!$B$39*$B2052))),RAND())</f>
        <v>3</v>
      </c>
      <c r="I2052" s="0" t="n">
        <f aca="false">6*D2052+(D2052-E2052-G2052)+2*F2052+3*H2052</f>
        <v>24</v>
      </c>
      <c r="J2052" s="0" t="n">
        <f aca="true">CRITBINOM($C2052,MIN(0.75,Matchup!$C$39*$B2052),RAND())</f>
        <v>1</v>
      </c>
      <c r="K2052" s="0" t="n">
        <f aca="true">CRITBINOM(J2052,Coefficients!$B$30,RAND())</f>
        <v>0</v>
      </c>
      <c r="L2052" s="0" t="n">
        <f aca="true">CRITBINOM(K2052,Coefficients!$B$31,RAND())</f>
        <v>0</v>
      </c>
      <c r="M2052" s="0" t="n">
        <f aca="true">CRITBINOM(MAX(0,J2052-K2052),1-Coefficients!$B$32,RAND())</f>
        <v>0</v>
      </c>
      <c r="N2052" s="0" t="n">
        <f aca="true">CRITBINOM(MAX(0,$C2052-J2052),MIN(0.6,Matchup!$C$40*SQRT($B2052)/(1-MIN(0.75,Matchup!$C$39*$B2052))),RAND())</f>
        <v>1</v>
      </c>
      <c r="O2052" s="0" t="n">
        <f aca="false">6*J2052+(J2052-K2052-M2052)+2*L2052+3*N2052</f>
        <v>10</v>
      </c>
      <c r="P2052" s="0" t="n">
        <f aca="true">RAND()</f>
        <v>0.632121198074894</v>
      </c>
      <c r="Q2052" s="0" t="n">
        <f aca="true">RAND()</f>
        <v>0.727696157304224</v>
      </c>
      <c r="R2052" s="0" t="n">
        <f aca="false">IF($I2052&lt;&gt;$O2052,0,IF(P2052&lt;Matchup!$B$39,7,IF(P2052&lt;Matchup!$B$39+Matchup!$B$40,3,0)))</f>
        <v>0</v>
      </c>
      <c r="S2052" s="0" t="n">
        <f aca="false">IF($I2052&lt;&gt;$O2052,0,IF(Q2052&lt;Matchup!$C$39,7,IF(Q2052&lt;Matchup!$C$39+Matchup!$C$40,3,0)))</f>
        <v>0</v>
      </c>
      <c r="T2052" s="0" t="n">
        <f aca="false">I2052+R2052</f>
        <v>24</v>
      </c>
      <c r="U2052" s="0" t="n">
        <f aca="false">O2052+S2052</f>
        <v>10</v>
      </c>
      <c r="V2052" s="0" t="n">
        <f aca="false">T2052-U2052</f>
        <v>14</v>
      </c>
      <c r="W2052" s="0" t="n">
        <f aca="false">T2052+U2052</f>
        <v>34</v>
      </c>
    </row>
    <row r="2053" customFormat="false" ht="15" hidden="false" customHeight="false" outlineLevel="0" collapsed="false">
      <c r="A2053" s="0" t="n">
        <v>2050</v>
      </c>
      <c r="B2053" s="0" t="n">
        <f aca="true">NORMINV(RAND(),1,Coefficients!$B$22)</f>
        <v>0.962280127448453</v>
      </c>
      <c r="C2053" s="0" t="n">
        <f aca="true">MEDIAN(8,16,ROUND(NORMINV(RAND(),Coefficients!$B$20,Coefficients!$B$21),0))</f>
        <v>11</v>
      </c>
      <c r="D2053" s="0" t="n">
        <f aca="true">CRITBINOM($C2053,MIN(0.75,Matchup!$B$39*$B2053),RAND())</f>
        <v>1</v>
      </c>
      <c r="E2053" s="0" t="n">
        <f aca="true">CRITBINOM(D2053,Coefficients!$B$30,RAND())</f>
        <v>0</v>
      </c>
      <c r="F2053" s="0" t="n">
        <f aca="true">CRITBINOM(E2053,Coefficients!$B$31,RAND())</f>
        <v>0</v>
      </c>
      <c r="G2053" s="0" t="n">
        <f aca="true">CRITBINOM(MAX(0,D2053-E2053),1-Coefficients!$B$32,RAND())</f>
        <v>0</v>
      </c>
      <c r="H2053" s="0" t="n">
        <f aca="true">CRITBINOM(MAX(0,$C2053-D2053),MIN(0.6,Matchup!$B$40*SQRT($B2053)/(1-MIN(0.75,Matchup!$B$39*$B2053))),RAND())</f>
        <v>2</v>
      </c>
      <c r="I2053" s="0" t="n">
        <f aca="false">6*D2053+(D2053-E2053-G2053)+2*F2053+3*H2053</f>
        <v>13</v>
      </c>
      <c r="J2053" s="0" t="n">
        <f aca="true">CRITBINOM($C2053,MIN(0.75,Matchup!$C$39*$B2053),RAND())</f>
        <v>1</v>
      </c>
      <c r="K2053" s="0" t="n">
        <f aca="true">CRITBINOM(J2053,Coefficients!$B$30,RAND())</f>
        <v>0</v>
      </c>
      <c r="L2053" s="0" t="n">
        <f aca="true">CRITBINOM(K2053,Coefficients!$B$31,RAND())</f>
        <v>0</v>
      </c>
      <c r="M2053" s="0" t="n">
        <f aca="true">CRITBINOM(MAX(0,J2053-K2053),1-Coefficients!$B$32,RAND())</f>
        <v>0</v>
      </c>
      <c r="N2053" s="0" t="n">
        <f aca="true">CRITBINOM(MAX(0,$C2053-J2053),MIN(0.6,Matchup!$C$40*SQRT($B2053)/(1-MIN(0.75,Matchup!$C$39*$B2053))),RAND())</f>
        <v>1</v>
      </c>
      <c r="O2053" s="0" t="n">
        <f aca="false">6*J2053+(J2053-K2053-M2053)+2*L2053+3*N2053</f>
        <v>10</v>
      </c>
      <c r="P2053" s="0" t="n">
        <f aca="true">RAND()</f>
        <v>0.192480573587502</v>
      </c>
      <c r="Q2053" s="0" t="n">
        <f aca="true">RAND()</f>
        <v>0.0476300291380897</v>
      </c>
      <c r="R2053" s="0" t="n">
        <f aca="false">IF($I2053&lt;&gt;$O2053,0,IF(P2053&lt;Matchup!$B$39,7,IF(P2053&lt;Matchup!$B$39+Matchup!$B$40,3,0)))</f>
        <v>0</v>
      </c>
      <c r="S2053" s="0" t="n">
        <f aca="false">IF($I2053&lt;&gt;$O2053,0,IF(Q2053&lt;Matchup!$C$39,7,IF(Q2053&lt;Matchup!$C$39+Matchup!$C$40,3,0)))</f>
        <v>0</v>
      </c>
      <c r="T2053" s="0" t="n">
        <f aca="false">I2053+R2053</f>
        <v>13</v>
      </c>
      <c r="U2053" s="0" t="n">
        <f aca="false">O2053+S2053</f>
        <v>10</v>
      </c>
      <c r="V2053" s="0" t="n">
        <f aca="false">T2053-U2053</f>
        <v>3</v>
      </c>
      <c r="W2053" s="0" t="n">
        <f aca="false">T2053+U2053</f>
        <v>23</v>
      </c>
    </row>
    <row r="2054" customFormat="false" ht="15" hidden="false" customHeight="false" outlineLevel="0" collapsed="false">
      <c r="A2054" s="0" t="n">
        <v>2051</v>
      </c>
      <c r="B2054" s="0" t="n">
        <f aca="true">NORMINV(RAND(),1,Coefficients!$B$22)</f>
        <v>1.10556493747629</v>
      </c>
      <c r="C2054" s="0" t="n">
        <f aca="true">MEDIAN(8,16,ROUND(NORMINV(RAND(),Coefficients!$B$20,Coefficients!$B$21),0))</f>
        <v>10</v>
      </c>
      <c r="D2054" s="0" t="n">
        <f aca="true">CRITBINOM($C2054,MIN(0.75,Matchup!$B$39*$B2054),RAND())</f>
        <v>2</v>
      </c>
      <c r="E2054" s="0" t="n">
        <f aca="true">CRITBINOM(D2054,Coefficients!$B$30,RAND())</f>
        <v>0</v>
      </c>
      <c r="F2054" s="0" t="n">
        <f aca="true">CRITBINOM(E2054,Coefficients!$B$31,RAND())</f>
        <v>0</v>
      </c>
      <c r="G2054" s="0" t="n">
        <f aca="true">CRITBINOM(MAX(0,D2054-E2054),1-Coefficients!$B$32,RAND())</f>
        <v>0</v>
      </c>
      <c r="H2054" s="0" t="n">
        <f aca="true">CRITBINOM(MAX(0,$C2054-D2054),MIN(0.6,Matchup!$B$40*SQRT($B2054)/(1-MIN(0.75,Matchup!$B$39*$B2054))),RAND())</f>
        <v>2</v>
      </c>
      <c r="I2054" s="0" t="n">
        <f aca="false">6*D2054+(D2054-E2054-G2054)+2*F2054+3*H2054</f>
        <v>20</v>
      </c>
      <c r="J2054" s="0" t="n">
        <f aca="true">CRITBINOM($C2054,MIN(0.75,Matchup!$C$39*$B2054),RAND())</f>
        <v>1</v>
      </c>
      <c r="K2054" s="0" t="n">
        <f aca="true">CRITBINOM(J2054,Coefficients!$B$30,RAND())</f>
        <v>1</v>
      </c>
      <c r="L2054" s="0" t="n">
        <f aca="true">CRITBINOM(K2054,Coefficients!$B$31,RAND())</f>
        <v>0</v>
      </c>
      <c r="M2054" s="0" t="n">
        <f aca="true">CRITBINOM(MAX(0,J2054-K2054),1-Coefficients!$B$32,RAND())</f>
        <v>0</v>
      </c>
      <c r="N2054" s="0" t="n">
        <f aca="true">CRITBINOM(MAX(0,$C2054-J2054),MIN(0.6,Matchup!$C$40*SQRT($B2054)/(1-MIN(0.75,Matchup!$C$39*$B2054))),RAND())</f>
        <v>1</v>
      </c>
      <c r="O2054" s="0" t="n">
        <f aca="false">6*J2054+(J2054-K2054-M2054)+2*L2054+3*N2054</f>
        <v>9</v>
      </c>
      <c r="P2054" s="0" t="n">
        <f aca="true">RAND()</f>
        <v>0.25260918659554</v>
      </c>
      <c r="Q2054" s="0" t="n">
        <f aca="true">RAND()</f>
        <v>0.426646085059277</v>
      </c>
      <c r="R2054" s="0" t="n">
        <f aca="false">IF($I2054&lt;&gt;$O2054,0,IF(P2054&lt;Matchup!$B$39,7,IF(P2054&lt;Matchup!$B$39+Matchup!$B$40,3,0)))</f>
        <v>0</v>
      </c>
      <c r="S2054" s="0" t="n">
        <f aca="false">IF($I2054&lt;&gt;$O2054,0,IF(Q2054&lt;Matchup!$C$39,7,IF(Q2054&lt;Matchup!$C$39+Matchup!$C$40,3,0)))</f>
        <v>0</v>
      </c>
      <c r="T2054" s="0" t="n">
        <f aca="false">I2054+R2054</f>
        <v>20</v>
      </c>
      <c r="U2054" s="0" t="n">
        <f aca="false">O2054+S2054</f>
        <v>9</v>
      </c>
      <c r="V2054" s="0" t="n">
        <f aca="false">T2054-U2054</f>
        <v>11</v>
      </c>
      <c r="W2054" s="0" t="n">
        <f aca="false">T2054+U2054</f>
        <v>29</v>
      </c>
    </row>
    <row r="2055" customFormat="false" ht="15" hidden="false" customHeight="false" outlineLevel="0" collapsed="false">
      <c r="A2055" s="0" t="n">
        <v>2052</v>
      </c>
      <c r="B2055" s="0" t="n">
        <f aca="true">NORMINV(RAND(),1,Coefficients!$B$22)</f>
        <v>0.949468153096635</v>
      </c>
      <c r="C2055" s="0" t="n">
        <f aca="true">MEDIAN(8,16,ROUND(NORMINV(RAND(),Coefficients!$B$20,Coefficients!$B$21),0))</f>
        <v>10</v>
      </c>
      <c r="D2055" s="0" t="n">
        <f aca="true">CRITBINOM($C2055,MIN(0.75,Matchup!$B$39*$B2055),RAND())</f>
        <v>5</v>
      </c>
      <c r="E2055" s="0" t="n">
        <f aca="true">CRITBINOM(D2055,Coefficients!$B$30,RAND())</f>
        <v>1</v>
      </c>
      <c r="F2055" s="0" t="n">
        <f aca="true">CRITBINOM(E2055,Coefficients!$B$31,RAND())</f>
        <v>1</v>
      </c>
      <c r="G2055" s="0" t="n">
        <f aca="true">CRITBINOM(MAX(0,D2055-E2055),1-Coefficients!$B$32,RAND())</f>
        <v>0</v>
      </c>
      <c r="H2055" s="0" t="n">
        <f aca="true">CRITBINOM(MAX(0,$C2055-D2055),MIN(0.6,Matchup!$B$40*SQRT($B2055)/(1-MIN(0.75,Matchup!$B$39*$B2055))),RAND())</f>
        <v>1</v>
      </c>
      <c r="I2055" s="0" t="n">
        <f aca="false">6*D2055+(D2055-E2055-G2055)+2*F2055+3*H2055</f>
        <v>39</v>
      </c>
      <c r="J2055" s="0" t="n">
        <f aca="true">CRITBINOM($C2055,MIN(0.75,Matchup!$C$39*$B2055),RAND())</f>
        <v>1</v>
      </c>
      <c r="K2055" s="0" t="n">
        <f aca="true">CRITBINOM(J2055,Coefficients!$B$30,RAND())</f>
        <v>0</v>
      </c>
      <c r="L2055" s="0" t="n">
        <f aca="true">CRITBINOM(K2055,Coefficients!$B$31,RAND())</f>
        <v>0</v>
      </c>
      <c r="M2055" s="0" t="n">
        <f aca="true">CRITBINOM(MAX(0,J2055-K2055),1-Coefficients!$B$32,RAND())</f>
        <v>0</v>
      </c>
      <c r="N2055" s="0" t="n">
        <f aca="true">CRITBINOM(MAX(0,$C2055-J2055),MIN(0.6,Matchup!$C$40*SQRT($B2055)/(1-MIN(0.75,Matchup!$C$39*$B2055))),RAND())</f>
        <v>1</v>
      </c>
      <c r="O2055" s="0" t="n">
        <f aca="false">6*J2055+(J2055-K2055-M2055)+2*L2055+3*N2055</f>
        <v>10</v>
      </c>
      <c r="P2055" s="0" t="n">
        <f aca="true">RAND()</f>
        <v>0.612277023049777</v>
      </c>
      <c r="Q2055" s="0" t="n">
        <f aca="true">RAND()</f>
        <v>0.339755331042557</v>
      </c>
      <c r="R2055" s="0" t="n">
        <f aca="false">IF($I2055&lt;&gt;$O2055,0,IF(P2055&lt;Matchup!$B$39,7,IF(P2055&lt;Matchup!$B$39+Matchup!$B$40,3,0)))</f>
        <v>0</v>
      </c>
      <c r="S2055" s="0" t="n">
        <f aca="false">IF($I2055&lt;&gt;$O2055,0,IF(Q2055&lt;Matchup!$C$39,7,IF(Q2055&lt;Matchup!$C$39+Matchup!$C$40,3,0)))</f>
        <v>0</v>
      </c>
      <c r="T2055" s="0" t="n">
        <f aca="false">I2055+R2055</f>
        <v>39</v>
      </c>
      <c r="U2055" s="0" t="n">
        <f aca="false">O2055+S2055</f>
        <v>10</v>
      </c>
      <c r="V2055" s="0" t="n">
        <f aca="false">T2055-U2055</f>
        <v>29</v>
      </c>
      <c r="W2055" s="0" t="n">
        <f aca="false">T2055+U2055</f>
        <v>49</v>
      </c>
    </row>
    <row r="2056" customFormat="false" ht="15" hidden="false" customHeight="false" outlineLevel="0" collapsed="false">
      <c r="A2056" s="0" t="n">
        <v>2053</v>
      </c>
      <c r="B2056" s="0" t="n">
        <f aca="true">NORMINV(RAND(),1,Coefficients!$B$22)</f>
        <v>1.02630134712895</v>
      </c>
      <c r="C2056" s="0" t="n">
        <f aca="true">MEDIAN(8,16,ROUND(NORMINV(RAND(),Coefficients!$B$20,Coefficients!$B$21),0))</f>
        <v>12</v>
      </c>
      <c r="D2056" s="0" t="n">
        <f aca="true">CRITBINOM($C2056,MIN(0.75,Matchup!$B$39*$B2056),RAND())</f>
        <v>1</v>
      </c>
      <c r="E2056" s="0" t="n">
        <f aca="true">CRITBINOM(D2056,Coefficients!$B$30,RAND())</f>
        <v>0</v>
      </c>
      <c r="F2056" s="0" t="n">
        <f aca="true">CRITBINOM(E2056,Coefficients!$B$31,RAND())</f>
        <v>0</v>
      </c>
      <c r="G2056" s="0" t="n">
        <f aca="true">CRITBINOM(MAX(0,D2056-E2056),1-Coefficients!$B$32,RAND())</f>
        <v>0</v>
      </c>
      <c r="H2056" s="0" t="n">
        <f aca="true">CRITBINOM(MAX(0,$C2056-D2056),MIN(0.6,Matchup!$B$40*SQRT($B2056)/(1-MIN(0.75,Matchup!$B$39*$B2056))),RAND())</f>
        <v>3</v>
      </c>
      <c r="I2056" s="0" t="n">
        <f aca="false">6*D2056+(D2056-E2056-G2056)+2*F2056+3*H2056</f>
        <v>16</v>
      </c>
      <c r="J2056" s="0" t="n">
        <f aca="true">CRITBINOM($C2056,MIN(0.75,Matchup!$C$39*$B2056),RAND())</f>
        <v>3</v>
      </c>
      <c r="K2056" s="0" t="n">
        <f aca="true">CRITBINOM(J2056,Coefficients!$B$30,RAND())</f>
        <v>0</v>
      </c>
      <c r="L2056" s="0" t="n">
        <f aca="true">CRITBINOM(K2056,Coefficients!$B$31,RAND())</f>
        <v>0</v>
      </c>
      <c r="M2056" s="0" t="n">
        <f aca="true">CRITBINOM(MAX(0,J2056-K2056),1-Coefficients!$B$32,RAND())</f>
        <v>0</v>
      </c>
      <c r="N2056" s="0" t="n">
        <f aca="true">CRITBINOM(MAX(0,$C2056-J2056),MIN(0.6,Matchup!$C$40*SQRT($B2056)/(1-MIN(0.75,Matchup!$C$39*$B2056))),RAND())</f>
        <v>4</v>
      </c>
      <c r="O2056" s="0" t="n">
        <f aca="false">6*J2056+(J2056-K2056-M2056)+2*L2056+3*N2056</f>
        <v>33</v>
      </c>
      <c r="P2056" s="0" t="n">
        <f aca="true">RAND()</f>
        <v>0.843548075961331</v>
      </c>
      <c r="Q2056" s="0" t="n">
        <f aca="true">RAND()</f>
        <v>0.225779809290425</v>
      </c>
      <c r="R2056" s="0" t="n">
        <f aca="false">IF($I2056&lt;&gt;$O2056,0,IF(P2056&lt;Matchup!$B$39,7,IF(P2056&lt;Matchup!$B$39+Matchup!$B$40,3,0)))</f>
        <v>0</v>
      </c>
      <c r="S2056" s="0" t="n">
        <f aca="false">IF($I2056&lt;&gt;$O2056,0,IF(Q2056&lt;Matchup!$C$39,7,IF(Q2056&lt;Matchup!$C$39+Matchup!$C$40,3,0)))</f>
        <v>0</v>
      </c>
      <c r="T2056" s="0" t="n">
        <f aca="false">I2056+R2056</f>
        <v>16</v>
      </c>
      <c r="U2056" s="0" t="n">
        <f aca="false">O2056+S2056</f>
        <v>33</v>
      </c>
      <c r="V2056" s="0" t="n">
        <f aca="false">T2056-U2056</f>
        <v>-17</v>
      </c>
      <c r="W2056" s="0" t="n">
        <f aca="false">T2056+U2056</f>
        <v>49</v>
      </c>
    </row>
    <row r="2057" customFormat="false" ht="15" hidden="false" customHeight="false" outlineLevel="0" collapsed="false">
      <c r="A2057" s="0" t="n">
        <v>2054</v>
      </c>
      <c r="B2057" s="0" t="n">
        <f aca="true">NORMINV(RAND(),1,Coefficients!$B$22)</f>
        <v>0.996746870573296</v>
      </c>
      <c r="C2057" s="0" t="n">
        <f aca="true">MEDIAN(8,16,ROUND(NORMINV(RAND(),Coefficients!$B$20,Coefficients!$B$21),0))</f>
        <v>12</v>
      </c>
      <c r="D2057" s="0" t="n">
        <f aca="true">CRITBINOM($C2057,MIN(0.75,Matchup!$B$39*$B2057),RAND())</f>
        <v>3</v>
      </c>
      <c r="E2057" s="0" t="n">
        <f aca="true">CRITBINOM(D2057,Coefficients!$B$30,RAND())</f>
        <v>0</v>
      </c>
      <c r="F2057" s="0" t="n">
        <f aca="true">CRITBINOM(E2057,Coefficients!$B$31,RAND())</f>
        <v>0</v>
      </c>
      <c r="G2057" s="0" t="n">
        <f aca="true">CRITBINOM(MAX(0,D2057-E2057),1-Coefficients!$B$32,RAND())</f>
        <v>1</v>
      </c>
      <c r="H2057" s="0" t="n">
        <f aca="true">CRITBINOM(MAX(0,$C2057-D2057),MIN(0.6,Matchup!$B$40*SQRT($B2057)/(1-MIN(0.75,Matchup!$B$39*$B2057))),RAND())</f>
        <v>0</v>
      </c>
      <c r="I2057" s="0" t="n">
        <f aca="false">6*D2057+(D2057-E2057-G2057)+2*F2057+3*H2057</f>
        <v>20</v>
      </c>
      <c r="J2057" s="0" t="n">
        <f aca="true">CRITBINOM($C2057,MIN(0.75,Matchup!$C$39*$B2057),RAND())</f>
        <v>3</v>
      </c>
      <c r="K2057" s="0" t="n">
        <f aca="true">CRITBINOM(J2057,Coefficients!$B$30,RAND())</f>
        <v>0</v>
      </c>
      <c r="L2057" s="0" t="n">
        <f aca="true">CRITBINOM(K2057,Coefficients!$B$31,RAND())</f>
        <v>0</v>
      </c>
      <c r="M2057" s="0" t="n">
        <f aca="true">CRITBINOM(MAX(0,J2057-K2057),1-Coefficients!$B$32,RAND())</f>
        <v>0</v>
      </c>
      <c r="N2057" s="0" t="n">
        <f aca="true">CRITBINOM(MAX(0,$C2057-J2057),MIN(0.6,Matchup!$C$40*SQRT($B2057)/(1-MIN(0.75,Matchup!$C$39*$B2057))),RAND())</f>
        <v>2</v>
      </c>
      <c r="O2057" s="0" t="n">
        <f aca="false">6*J2057+(J2057-K2057-M2057)+2*L2057+3*N2057</f>
        <v>27</v>
      </c>
      <c r="P2057" s="0" t="n">
        <f aca="true">RAND()</f>
        <v>0.549817353985336</v>
      </c>
      <c r="Q2057" s="0" t="n">
        <f aca="true">RAND()</f>
        <v>0.477143751934321</v>
      </c>
      <c r="R2057" s="0" t="n">
        <f aca="false">IF($I2057&lt;&gt;$O2057,0,IF(P2057&lt;Matchup!$B$39,7,IF(P2057&lt;Matchup!$B$39+Matchup!$B$40,3,0)))</f>
        <v>0</v>
      </c>
      <c r="S2057" s="0" t="n">
        <f aca="false">IF($I2057&lt;&gt;$O2057,0,IF(Q2057&lt;Matchup!$C$39,7,IF(Q2057&lt;Matchup!$C$39+Matchup!$C$40,3,0)))</f>
        <v>0</v>
      </c>
      <c r="T2057" s="0" t="n">
        <f aca="false">I2057+R2057</f>
        <v>20</v>
      </c>
      <c r="U2057" s="0" t="n">
        <f aca="false">O2057+S2057</f>
        <v>27</v>
      </c>
      <c r="V2057" s="0" t="n">
        <f aca="false">T2057-U2057</f>
        <v>-7</v>
      </c>
      <c r="W2057" s="0" t="n">
        <f aca="false">T2057+U2057</f>
        <v>47</v>
      </c>
    </row>
    <row r="2058" customFormat="false" ht="15" hidden="false" customHeight="false" outlineLevel="0" collapsed="false">
      <c r="A2058" s="0" t="n">
        <v>2055</v>
      </c>
      <c r="B2058" s="0" t="n">
        <f aca="true">NORMINV(RAND(),1,Coefficients!$B$22)</f>
        <v>0.957739705675342</v>
      </c>
      <c r="C2058" s="0" t="n">
        <f aca="true">MEDIAN(8,16,ROUND(NORMINV(RAND(),Coefficients!$B$20,Coefficients!$B$21),0))</f>
        <v>11</v>
      </c>
      <c r="D2058" s="0" t="n">
        <f aca="true">CRITBINOM($C2058,MIN(0.75,Matchup!$B$39*$B2058),RAND())</f>
        <v>3</v>
      </c>
      <c r="E2058" s="0" t="n">
        <f aca="true">CRITBINOM(D2058,Coefficients!$B$30,RAND())</f>
        <v>1</v>
      </c>
      <c r="F2058" s="0" t="n">
        <f aca="true">CRITBINOM(E2058,Coefficients!$B$31,RAND())</f>
        <v>1</v>
      </c>
      <c r="G2058" s="0" t="n">
        <f aca="true">CRITBINOM(MAX(0,D2058-E2058),1-Coefficients!$B$32,RAND())</f>
        <v>0</v>
      </c>
      <c r="H2058" s="0" t="n">
        <f aca="true">CRITBINOM(MAX(0,$C2058-D2058),MIN(0.6,Matchup!$B$40*SQRT($B2058)/(1-MIN(0.75,Matchup!$B$39*$B2058))),RAND())</f>
        <v>2</v>
      </c>
      <c r="I2058" s="0" t="n">
        <f aca="false">6*D2058+(D2058-E2058-G2058)+2*F2058+3*H2058</f>
        <v>28</v>
      </c>
      <c r="J2058" s="0" t="n">
        <f aca="true">CRITBINOM($C2058,MIN(0.75,Matchup!$C$39*$B2058),RAND())</f>
        <v>2</v>
      </c>
      <c r="K2058" s="0" t="n">
        <f aca="true">CRITBINOM(J2058,Coefficients!$B$30,RAND())</f>
        <v>0</v>
      </c>
      <c r="L2058" s="0" t="n">
        <f aca="true">CRITBINOM(K2058,Coefficients!$B$31,RAND())</f>
        <v>0</v>
      </c>
      <c r="M2058" s="0" t="n">
        <f aca="true">CRITBINOM(MAX(0,J2058-K2058),1-Coefficients!$B$32,RAND())</f>
        <v>0</v>
      </c>
      <c r="N2058" s="0" t="n">
        <f aca="true">CRITBINOM(MAX(0,$C2058-J2058),MIN(0.6,Matchup!$C$40*SQRT($B2058)/(1-MIN(0.75,Matchup!$C$39*$B2058))),RAND())</f>
        <v>1</v>
      </c>
      <c r="O2058" s="0" t="n">
        <f aca="false">6*J2058+(J2058-K2058-M2058)+2*L2058+3*N2058</f>
        <v>17</v>
      </c>
      <c r="P2058" s="0" t="n">
        <f aca="true">RAND()</f>
        <v>0.720015150627615</v>
      </c>
      <c r="Q2058" s="0" t="n">
        <f aca="true">RAND()</f>
        <v>0.591178594408619</v>
      </c>
      <c r="R2058" s="0" t="n">
        <f aca="false">IF($I2058&lt;&gt;$O2058,0,IF(P2058&lt;Matchup!$B$39,7,IF(P2058&lt;Matchup!$B$39+Matchup!$B$40,3,0)))</f>
        <v>0</v>
      </c>
      <c r="S2058" s="0" t="n">
        <f aca="false">IF($I2058&lt;&gt;$O2058,0,IF(Q2058&lt;Matchup!$C$39,7,IF(Q2058&lt;Matchup!$C$39+Matchup!$C$40,3,0)))</f>
        <v>0</v>
      </c>
      <c r="T2058" s="0" t="n">
        <f aca="false">I2058+R2058</f>
        <v>28</v>
      </c>
      <c r="U2058" s="0" t="n">
        <f aca="false">O2058+S2058</f>
        <v>17</v>
      </c>
      <c r="V2058" s="0" t="n">
        <f aca="false">T2058-U2058</f>
        <v>11</v>
      </c>
      <c r="W2058" s="0" t="n">
        <f aca="false">T2058+U2058</f>
        <v>45</v>
      </c>
    </row>
    <row r="2059" customFormat="false" ht="15" hidden="false" customHeight="false" outlineLevel="0" collapsed="false">
      <c r="A2059" s="0" t="n">
        <v>2056</v>
      </c>
      <c r="B2059" s="0" t="n">
        <f aca="true">NORMINV(RAND(),1,Coefficients!$B$22)</f>
        <v>0.924406629803511</v>
      </c>
      <c r="C2059" s="0" t="n">
        <f aca="true">MEDIAN(8,16,ROUND(NORMINV(RAND(),Coefficients!$B$20,Coefficients!$B$21),0))</f>
        <v>11</v>
      </c>
      <c r="D2059" s="0" t="n">
        <f aca="true">CRITBINOM($C2059,MIN(0.75,Matchup!$B$39*$B2059),RAND())</f>
        <v>2</v>
      </c>
      <c r="E2059" s="0" t="n">
        <f aca="true">CRITBINOM(D2059,Coefficients!$B$30,RAND())</f>
        <v>0</v>
      </c>
      <c r="F2059" s="0" t="n">
        <f aca="true">CRITBINOM(E2059,Coefficients!$B$31,RAND())</f>
        <v>0</v>
      </c>
      <c r="G2059" s="0" t="n">
        <f aca="true">CRITBINOM(MAX(0,D2059-E2059),1-Coefficients!$B$32,RAND())</f>
        <v>0</v>
      </c>
      <c r="H2059" s="0" t="n">
        <f aca="true">CRITBINOM(MAX(0,$C2059-D2059),MIN(0.6,Matchup!$B$40*SQRT($B2059)/(1-MIN(0.75,Matchup!$B$39*$B2059))),RAND())</f>
        <v>1</v>
      </c>
      <c r="I2059" s="0" t="n">
        <f aca="false">6*D2059+(D2059-E2059-G2059)+2*F2059+3*H2059</f>
        <v>17</v>
      </c>
      <c r="J2059" s="0" t="n">
        <f aca="true">CRITBINOM($C2059,MIN(0.75,Matchup!$C$39*$B2059),RAND())</f>
        <v>1</v>
      </c>
      <c r="K2059" s="0" t="n">
        <f aca="true">CRITBINOM(J2059,Coefficients!$B$30,RAND())</f>
        <v>1</v>
      </c>
      <c r="L2059" s="0" t="n">
        <f aca="true">CRITBINOM(K2059,Coefficients!$B$31,RAND())</f>
        <v>0</v>
      </c>
      <c r="M2059" s="0" t="n">
        <f aca="true">CRITBINOM(MAX(0,J2059-K2059),1-Coefficients!$B$32,RAND())</f>
        <v>0</v>
      </c>
      <c r="N2059" s="0" t="n">
        <f aca="true">CRITBINOM(MAX(0,$C2059-J2059),MIN(0.6,Matchup!$C$40*SQRT($B2059)/(1-MIN(0.75,Matchup!$C$39*$B2059))),RAND())</f>
        <v>2</v>
      </c>
      <c r="O2059" s="0" t="n">
        <f aca="false">6*J2059+(J2059-K2059-M2059)+2*L2059+3*N2059</f>
        <v>12</v>
      </c>
      <c r="P2059" s="0" t="n">
        <f aca="true">RAND()</f>
        <v>0.420222350586475</v>
      </c>
      <c r="Q2059" s="0" t="n">
        <f aca="true">RAND()</f>
        <v>0.927941692486337</v>
      </c>
      <c r="R2059" s="0" t="n">
        <f aca="false">IF($I2059&lt;&gt;$O2059,0,IF(P2059&lt;Matchup!$B$39,7,IF(P2059&lt;Matchup!$B$39+Matchup!$B$40,3,0)))</f>
        <v>0</v>
      </c>
      <c r="S2059" s="0" t="n">
        <f aca="false">IF($I2059&lt;&gt;$O2059,0,IF(Q2059&lt;Matchup!$C$39,7,IF(Q2059&lt;Matchup!$C$39+Matchup!$C$40,3,0)))</f>
        <v>0</v>
      </c>
      <c r="T2059" s="0" t="n">
        <f aca="false">I2059+R2059</f>
        <v>17</v>
      </c>
      <c r="U2059" s="0" t="n">
        <f aca="false">O2059+S2059</f>
        <v>12</v>
      </c>
      <c r="V2059" s="0" t="n">
        <f aca="false">T2059-U2059</f>
        <v>5</v>
      </c>
      <c r="W2059" s="0" t="n">
        <f aca="false">T2059+U2059</f>
        <v>29</v>
      </c>
    </row>
    <row r="2060" customFormat="false" ht="15" hidden="false" customHeight="false" outlineLevel="0" collapsed="false">
      <c r="A2060" s="0" t="n">
        <v>2057</v>
      </c>
      <c r="B2060" s="0" t="n">
        <f aca="true">NORMINV(RAND(),1,Coefficients!$B$22)</f>
        <v>0.934036821304686</v>
      </c>
      <c r="C2060" s="0" t="n">
        <f aca="true">MEDIAN(8,16,ROUND(NORMINV(RAND(),Coefficients!$B$20,Coefficients!$B$21),0))</f>
        <v>10</v>
      </c>
      <c r="D2060" s="0" t="n">
        <f aca="true">CRITBINOM($C2060,MIN(0.75,Matchup!$B$39*$B2060),RAND())</f>
        <v>2</v>
      </c>
      <c r="E2060" s="0" t="n">
        <f aca="true">CRITBINOM(D2060,Coefficients!$B$30,RAND())</f>
        <v>0</v>
      </c>
      <c r="F2060" s="0" t="n">
        <f aca="true">CRITBINOM(E2060,Coefficients!$B$31,RAND())</f>
        <v>0</v>
      </c>
      <c r="G2060" s="0" t="n">
        <f aca="true">CRITBINOM(MAX(0,D2060-E2060),1-Coefficients!$B$32,RAND())</f>
        <v>0</v>
      </c>
      <c r="H2060" s="0" t="n">
        <f aca="true">CRITBINOM(MAX(0,$C2060-D2060),MIN(0.6,Matchup!$B$40*SQRT($B2060)/(1-MIN(0.75,Matchup!$B$39*$B2060))),RAND())</f>
        <v>1</v>
      </c>
      <c r="I2060" s="0" t="n">
        <f aca="false">6*D2060+(D2060-E2060-G2060)+2*F2060+3*H2060</f>
        <v>17</v>
      </c>
      <c r="J2060" s="0" t="n">
        <f aca="true">CRITBINOM($C2060,MIN(0.75,Matchup!$C$39*$B2060),RAND())</f>
        <v>2</v>
      </c>
      <c r="K2060" s="0" t="n">
        <f aca="true">CRITBINOM(J2060,Coefficients!$B$30,RAND())</f>
        <v>0</v>
      </c>
      <c r="L2060" s="0" t="n">
        <f aca="true">CRITBINOM(K2060,Coefficients!$B$31,RAND())</f>
        <v>0</v>
      </c>
      <c r="M2060" s="0" t="n">
        <f aca="true">CRITBINOM(MAX(0,J2060-K2060),1-Coefficients!$B$32,RAND())</f>
        <v>0</v>
      </c>
      <c r="N2060" s="0" t="n">
        <f aca="true">CRITBINOM(MAX(0,$C2060-J2060),MIN(0.6,Matchup!$C$40*SQRT($B2060)/(1-MIN(0.75,Matchup!$C$39*$B2060))),RAND())</f>
        <v>1</v>
      </c>
      <c r="O2060" s="0" t="n">
        <f aca="false">6*J2060+(J2060-K2060-M2060)+2*L2060+3*N2060</f>
        <v>17</v>
      </c>
      <c r="P2060" s="0" t="n">
        <f aca="true">RAND()</f>
        <v>0.290593728268011</v>
      </c>
      <c r="Q2060" s="0" t="n">
        <f aca="true">RAND()</f>
        <v>0.563394391815943</v>
      </c>
      <c r="R2060" s="0" t="n">
        <f aca="false">IF($I2060&lt;&gt;$O2060,0,IF(P2060&lt;Matchup!$B$39,7,IF(P2060&lt;Matchup!$B$39+Matchup!$B$40,3,0)))</f>
        <v>3</v>
      </c>
      <c r="S2060" s="0" t="n">
        <f aca="false">IF($I2060&lt;&gt;$O2060,0,IF(Q2060&lt;Matchup!$C$39,7,IF(Q2060&lt;Matchup!$C$39+Matchup!$C$40,3,0)))</f>
        <v>0</v>
      </c>
      <c r="T2060" s="0" t="n">
        <f aca="false">I2060+R2060</f>
        <v>20</v>
      </c>
      <c r="U2060" s="0" t="n">
        <f aca="false">O2060+S2060</f>
        <v>17</v>
      </c>
      <c r="V2060" s="0" t="n">
        <f aca="false">T2060-U2060</f>
        <v>3</v>
      </c>
      <c r="W2060" s="0" t="n">
        <f aca="false">T2060+U2060</f>
        <v>37</v>
      </c>
    </row>
    <row r="2061" customFormat="false" ht="15" hidden="false" customHeight="false" outlineLevel="0" collapsed="false">
      <c r="A2061" s="0" t="n">
        <v>2058</v>
      </c>
      <c r="B2061" s="0" t="n">
        <f aca="true">NORMINV(RAND(),1,Coefficients!$B$22)</f>
        <v>1.08294101126996</v>
      </c>
      <c r="C2061" s="0" t="n">
        <f aca="true">MEDIAN(8,16,ROUND(NORMINV(RAND(),Coefficients!$B$20,Coefficients!$B$21),0))</f>
        <v>13</v>
      </c>
      <c r="D2061" s="0" t="n">
        <f aca="true">CRITBINOM($C2061,MIN(0.75,Matchup!$B$39*$B2061),RAND())</f>
        <v>8</v>
      </c>
      <c r="E2061" s="0" t="n">
        <f aca="true">CRITBINOM(D2061,Coefficients!$B$30,RAND())</f>
        <v>0</v>
      </c>
      <c r="F2061" s="0" t="n">
        <f aca="true">CRITBINOM(E2061,Coefficients!$B$31,RAND())</f>
        <v>0</v>
      </c>
      <c r="G2061" s="0" t="n">
        <f aca="true">CRITBINOM(MAX(0,D2061-E2061),1-Coefficients!$B$32,RAND())</f>
        <v>0</v>
      </c>
      <c r="H2061" s="0" t="n">
        <f aca="true">CRITBINOM(MAX(0,$C2061-D2061),MIN(0.6,Matchup!$B$40*SQRT($B2061)/(1-MIN(0.75,Matchup!$B$39*$B2061))),RAND())</f>
        <v>0</v>
      </c>
      <c r="I2061" s="0" t="n">
        <f aca="false">6*D2061+(D2061-E2061-G2061)+2*F2061+3*H2061</f>
        <v>56</v>
      </c>
      <c r="J2061" s="0" t="n">
        <f aca="true">CRITBINOM($C2061,MIN(0.75,Matchup!$C$39*$B2061),RAND())</f>
        <v>1</v>
      </c>
      <c r="K2061" s="0" t="n">
        <f aca="true">CRITBINOM(J2061,Coefficients!$B$30,RAND())</f>
        <v>0</v>
      </c>
      <c r="L2061" s="0" t="n">
        <f aca="true">CRITBINOM(K2061,Coefficients!$B$31,RAND())</f>
        <v>0</v>
      </c>
      <c r="M2061" s="0" t="n">
        <f aca="true">CRITBINOM(MAX(0,J2061-K2061),1-Coefficients!$B$32,RAND())</f>
        <v>0</v>
      </c>
      <c r="N2061" s="0" t="n">
        <f aca="true">CRITBINOM(MAX(0,$C2061-J2061),MIN(0.6,Matchup!$C$40*SQRT($B2061)/(1-MIN(0.75,Matchup!$C$39*$B2061))),RAND())</f>
        <v>1</v>
      </c>
      <c r="O2061" s="0" t="n">
        <f aca="false">6*J2061+(J2061-K2061-M2061)+2*L2061+3*N2061</f>
        <v>10</v>
      </c>
      <c r="P2061" s="0" t="n">
        <f aca="true">RAND()</f>
        <v>0.554199153890535</v>
      </c>
      <c r="Q2061" s="0" t="n">
        <f aca="true">RAND()</f>
        <v>0.15302434516319</v>
      </c>
      <c r="R2061" s="0" t="n">
        <f aca="false">IF($I2061&lt;&gt;$O2061,0,IF(P2061&lt;Matchup!$B$39,7,IF(P2061&lt;Matchup!$B$39+Matchup!$B$40,3,0)))</f>
        <v>0</v>
      </c>
      <c r="S2061" s="0" t="n">
        <f aca="false">IF($I2061&lt;&gt;$O2061,0,IF(Q2061&lt;Matchup!$C$39,7,IF(Q2061&lt;Matchup!$C$39+Matchup!$C$40,3,0)))</f>
        <v>0</v>
      </c>
      <c r="T2061" s="0" t="n">
        <f aca="false">I2061+R2061</f>
        <v>56</v>
      </c>
      <c r="U2061" s="0" t="n">
        <f aca="false">O2061+S2061</f>
        <v>10</v>
      </c>
      <c r="V2061" s="0" t="n">
        <f aca="false">T2061-U2061</f>
        <v>46</v>
      </c>
      <c r="W2061" s="0" t="n">
        <f aca="false">T2061+U2061</f>
        <v>66</v>
      </c>
    </row>
    <row r="2062" customFormat="false" ht="15" hidden="false" customHeight="false" outlineLevel="0" collapsed="false">
      <c r="A2062" s="0" t="n">
        <v>2059</v>
      </c>
      <c r="B2062" s="0" t="n">
        <f aca="true">NORMINV(RAND(),1,Coefficients!$B$22)</f>
        <v>0.914692272477536</v>
      </c>
      <c r="C2062" s="0" t="n">
        <f aca="true">MEDIAN(8,16,ROUND(NORMINV(RAND(),Coefficients!$B$20,Coefficients!$B$21),0))</f>
        <v>11</v>
      </c>
      <c r="D2062" s="0" t="n">
        <f aca="true">CRITBINOM($C2062,MIN(0.75,Matchup!$B$39*$B2062),RAND())</f>
        <v>2</v>
      </c>
      <c r="E2062" s="0" t="n">
        <f aca="true">CRITBINOM(D2062,Coefficients!$B$30,RAND())</f>
        <v>0</v>
      </c>
      <c r="F2062" s="0" t="n">
        <f aca="true">CRITBINOM(E2062,Coefficients!$B$31,RAND())</f>
        <v>0</v>
      </c>
      <c r="G2062" s="0" t="n">
        <f aca="true">CRITBINOM(MAX(0,D2062-E2062),1-Coefficients!$B$32,RAND())</f>
        <v>0</v>
      </c>
      <c r="H2062" s="0" t="n">
        <f aca="true">CRITBINOM(MAX(0,$C2062-D2062),MIN(0.6,Matchup!$B$40*SQRT($B2062)/(1-MIN(0.75,Matchup!$B$39*$B2062))),RAND())</f>
        <v>1</v>
      </c>
      <c r="I2062" s="0" t="n">
        <f aca="false">6*D2062+(D2062-E2062-G2062)+2*F2062+3*H2062</f>
        <v>17</v>
      </c>
      <c r="J2062" s="0" t="n">
        <f aca="true">CRITBINOM($C2062,MIN(0.75,Matchup!$C$39*$B2062),RAND())</f>
        <v>2</v>
      </c>
      <c r="K2062" s="0" t="n">
        <f aca="true">CRITBINOM(J2062,Coefficients!$B$30,RAND())</f>
        <v>0</v>
      </c>
      <c r="L2062" s="0" t="n">
        <f aca="true">CRITBINOM(K2062,Coefficients!$B$31,RAND())</f>
        <v>0</v>
      </c>
      <c r="M2062" s="0" t="n">
        <f aca="true">CRITBINOM(MAX(0,J2062-K2062),1-Coefficients!$B$32,RAND())</f>
        <v>0</v>
      </c>
      <c r="N2062" s="0" t="n">
        <f aca="true">CRITBINOM(MAX(0,$C2062-J2062),MIN(0.6,Matchup!$C$40*SQRT($B2062)/(1-MIN(0.75,Matchup!$C$39*$B2062))),RAND())</f>
        <v>0</v>
      </c>
      <c r="O2062" s="0" t="n">
        <f aca="false">6*J2062+(J2062-K2062-M2062)+2*L2062+3*N2062</f>
        <v>14</v>
      </c>
      <c r="P2062" s="0" t="n">
        <f aca="true">RAND()</f>
        <v>0.679164394728764</v>
      </c>
      <c r="Q2062" s="0" t="n">
        <f aca="true">RAND()</f>
        <v>0.2413673040946</v>
      </c>
      <c r="R2062" s="0" t="n">
        <f aca="false">IF($I2062&lt;&gt;$O2062,0,IF(P2062&lt;Matchup!$B$39,7,IF(P2062&lt;Matchup!$B$39+Matchup!$B$40,3,0)))</f>
        <v>0</v>
      </c>
      <c r="S2062" s="0" t="n">
        <f aca="false">IF($I2062&lt;&gt;$O2062,0,IF(Q2062&lt;Matchup!$C$39,7,IF(Q2062&lt;Matchup!$C$39+Matchup!$C$40,3,0)))</f>
        <v>0</v>
      </c>
      <c r="T2062" s="0" t="n">
        <f aca="false">I2062+R2062</f>
        <v>17</v>
      </c>
      <c r="U2062" s="0" t="n">
        <f aca="false">O2062+S2062</f>
        <v>14</v>
      </c>
      <c r="V2062" s="0" t="n">
        <f aca="false">T2062-U2062</f>
        <v>3</v>
      </c>
      <c r="W2062" s="0" t="n">
        <f aca="false">T2062+U2062</f>
        <v>31</v>
      </c>
    </row>
    <row r="2063" customFormat="false" ht="15" hidden="false" customHeight="false" outlineLevel="0" collapsed="false">
      <c r="A2063" s="0" t="n">
        <v>2060</v>
      </c>
      <c r="B2063" s="0" t="n">
        <f aca="true">NORMINV(RAND(),1,Coefficients!$B$22)</f>
        <v>1.08347257437424</v>
      </c>
      <c r="C2063" s="0" t="n">
        <f aca="true">MEDIAN(8,16,ROUND(NORMINV(RAND(),Coefficients!$B$20,Coefficients!$B$21),0))</f>
        <v>12</v>
      </c>
      <c r="D2063" s="0" t="n">
        <f aca="true">CRITBINOM($C2063,MIN(0.75,Matchup!$B$39*$B2063),RAND())</f>
        <v>1</v>
      </c>
      <c r="E2063" s="0" t="n">
        <f aca="true">CRITBINOM(D2063,Coefficients!$B$30,RAND())</f>
        <v>1</v>
      </c>
      <c r="F2063" s="0" t="n">
        <f aca="true">CRITBINOM(E2063,Coefficients!$B$31,RAND())</f>
        <v>0</v>
      </c>
      <c r="G2063" s="0" t="n">
        <f aca="true">CRITBINOM(MAX(0,D2063-E2063),1-Coefficients!$B$32,RAND())</f>
        <v>0</v>
      </c>
      <c r="H2063" s="0" t="n">
        <f aca="true">CRITBINOM(MAX(0,$C2063-D2063),MIN(0.6,Matchup!$B$40*SQRT($B2063)/(1-MIN(0.75,Matchup!$B$39*$B2063))),RAND())</f>
        <v>3</v>
      </c>
      <c r="I2063" s="0" t="n">
        <f aca="false">6*D2063+(D2063-E2063-G2063)+2*F2063+3*H2063</f>
        <v>15</v>
      </c>
      <c r="J2063" s="0" t="n">
        <f aca="true">CRITBINOM($C2063,MIN(0.75,Matchup!$C$39*$B2063),RAND())</f>
        <v>2</v>
      </c>
      <c r="K2063" s="0" t="n">
        <f aca="true">CRITBINOM(J2063,Coefficients!$B$30,RAND())</f>
        <v>0</v>
      </c>
      <c r="L2063" s="0" t="n">
        <f aca="true">CRITBINOM(K2063,Coefficients!$B$31,RAND())</f>
        <v>0</v>
      </c>
      <c r="M2063" s="0" t="n">
        <f aca="true">CRITBINOM(MAX(0,J2063-K2063),1-Coefficients!$B$32,RAND())</f>
        <v>0</v>
      </c>
      <c r="N2063" s="0" t="n">
        <f aca="true">CRITBINOM(MAX(0,$C2063-J2063),MIN(0.6,Matchup!$C$40*SQRT($B2063)/(1-MIN(0.75,Matchup!$C$39*$B2063))),RAND())</f>
        <v>1</v>
      </c>
      <c r="O2063" s="0" t="n">
        <f aca="false">6*J2063+(J2063-K2063-M2063)+2*L2063+3*N2063</f>
        <v>17</v>
      </c>
      <c r="P2063" s="0" t="n">
        <f aca="true">RAND()</f>
        <v>0.378130077116225</v>
      </c>
      <c r="Q2063" s="0" t="n">
        <f aca="true">RAND()</f>
        <v>0.54747268013275</v>
      </c>
      <c r="R2063" s="0" t="n">
        <f aca="false">IF($I2063&lt;&gt;$O2063,0,IF(P2063&lt;Matchup!$B$39,7,IF(P2063&lt;Matchup!$B$39+Matchup!$B$40,3,0)))</f>
        <v>0</v>
      </c>
      <c r="S2063" s="0" t="n">
        <f aca="false">IF($I2063&lt;&gt;$O2063,0,IF(Q2063&lt;Matchup!$C$39,7,IF(Q2063&lt;Matchup!$C$39+Matchup!$C$40,3,0)))</f>
        <v>0</v>
      </c>
      <c r="T2063" s="0" t="n">
        <f aca="false">I2063+R2063</f>
        <v>15</v>
      </c>
      <c r="U2063" s="0" t="n">
        <f aca="false">O2063+S2063</f>
        <v>17</v>
      </c>
      <c r="V2063" s="0" t="n">
        <f aca="false">T2063-U2063</f>
        <v>-2</v>
      </c>
      <c r="W2063" s="0" t="n">
        <f aca="false">T2063+U2063</f>
        <v>32</v>
      </c>
    </row>
    <row r="2064" customFormat="false" ht="15" hidden="false" customHeight="false" outlineLevel="0" collapsed="false">
      <c r="A2064" s="0" t="n">
        <v>2061</v>
      </c>
      <c r="B2064" s="0" t="n">
        <f aca="true">NORMINV(RAND(),1,Coefficients!$B$22)</f>
        <v>1.04931226134457</v>
      </c>
      <c r="C2064" s="0" t="n">
        <f aca="true">MEDIAN(8,16,ROUND(NORMINV(RAND(),Coefficients!$B$20,Coefficients!$B$21),0))</f>
        <v>9</v>
      </c>
      <c r="D2064" s="0" t="n">
        <f aca="true">CRITBINOM($C2064,MIN(0.75,Matchup!$B$39*$B2064),RAND())</f>
        <v>0</v>
      </c>
      <c r="E2064" s="0" t="n">
        <f aca="true">CRITBINOM(D2064,Coefficients!$B$30,RAND())</f>
        <v>0</v>
      </c>
      <c r="F2064" s="0" t="n">
        <f aca="true">CRITBINOM(E2064,Coefficients!$B$31,RAND())</f>
        <v>0</v>
      </c>
      <c r="G2064" s="0" t="n">
        <f aca="true">CRITBINOM(MAX(0,D2064-E2064),1-Coefficients!$B$32,RAND())</f>
        <v>0</v>
      </c>
      <c r="H2064" s="0" t="n">
        <f aca="true">CRITBINOM(MAX(0,$C2064-D2064),MIN(0.6,Matchup!$B$40*SQRT($B2064)/(1-MIN(0.75,Matchup!$B$39*$B2064))),RAND())</f>
        <v>2</v>
      </c>
      <c r="I2064" s="0" t="n">
        <f aca="false">6*D2064+(D2064-E2064-G2064)+2*F2064+3*H2064</f>
        <v>6</v>
      </c>
      <c r="J2064" s="0" t="n">
        <f aca="true">CRITBINOM($C2064,MIN(0.75,Matchup!$C$39*$B2064),RAND())</f>
        <v>0</v>
      </c>
      <c r="K2064" s="0" t="n">
        <f aca="true">CRITBINOM(J2064,Coefficients!$B$30,RAND())</f>
        <v>0</v>
      </c>
      <c r="L2064" s="0" t="n">
        <f aca="true">CRITBINOM(K2064,Coefficients!$B$31,RAND())</f>
        <v>0</v>
      </c>
      <c r="M2064" s="0" t="n">
        <f aca="true">CRITBINOM(MAX(0,J2064-K2064),1-Coefficients!$B$32,RAND())</f>
        <v>0</v>
      </c>
      <c r="N2064" s="0" t="n">
        <f aca="true">CRITBINOM(MAX(0,$C2064-J2064),MIN(0.6,Matchup!$C$40*SQRT($B2064)/(1-MIN(0.75,Matchup!$C$39*$B2064))),RAND())</f>
        <v>0</v>
      </c>
      <c r="O2064" s="0" t="n">
        <f aca="false">6*J2064+(J2064-K2064-M2064)+2*L2064+3*N2064</f>
        <v>0</v>
      </c>
      <c r="P2064" s="0" t="n">
        <f aca="true">RAND()</f>
        <v>0.463505418539058</v>
      </c>
      <c r="Q2064" s="0" t="n">
        <f aca="true">RAND()</f>
        <v>0.22965256100542</v>
      </c>
      <c r="R2064" s="0" t="n">
        <f aca="false">IF($I2064&lt;&gt;$O2064,0,IF(P2064&lt;Matchup!$B$39,7,IF(P2064&lt;Matchup!$B$39+Matchup!$B$40,3,0)))</f>
        <v>0</v>
      </c>
      <c r="S2064" s="0" t="n">
        <f aca="false">IF($I2064&lt;&gt;$O2064,0,IF(Q2064&lt;Matchup!$C$39,7,IF(Q2064&lt;Matchup!$C$39+Matchup!$C$40,3,0)))</f>
        <v>0</v>
      </c>
      <c r="T2064" s="0" t="n">
        <f aca="false">I2064+R2064</f>
        <v>6</v>
      </c>
      <c r="U2064" s="0" t="n">
        <f aca="false">O2064+S2064</f>
        <v>0</v>
      </c>
      <c r="V2064" s="0" t="n">
        <f aca="false">T2064-U2064</f>
        <v>6</v>
      </c>
      <c r="W2064" s="0" t="n">
        <f aca="false">T2064+U2064</f>
        <v>6</v>
      </c>
    </row>
    <row r="2065" customFormat="false" ht="15" hidden="false" customHeight="false" outlineLevel="0" collapsed="false">
      <c r="A2065" s="0" t="n">
        <v>2062</v>
      </c>
      <c r="B2065" s="0" t="n">
        <f aca="true">NORMINV(RAND(),1,Coefficients!$B$22)</f>
        <v>0.950397310782589</v>
      </c>
      <c r="C2065" s="0" t="n">
        <f aca="true">MEDIAN(8,16,ROUND(NORMINV(RAND(),Coefficients!$B$20,Coefficients!$B$21),0))</f>
        <v>12</v>
      </c>
      <c r="D2065" s="0" t="n">
        <f aca="true">CRITBINOM($C2065,MIN(0.75,Matchup!$B$39*$B2065),RAND())</f>
        <v>1</v>
      </c>
      <c r="E2065" s="0" t="n">
        <f aca="true">CRITBINOM(D2065,Coefficients!$B$30,RAND())</f>
        <v>0</v>
      </c>
      <c r="F2065" s="0" t="n">
        <f aca="true">CRITBINOM(E2065,Coefficients!$B$31,RAND())</f>
        <v>0</v>
      </c>
      <c r="G2065" s="0" t="n">
        <f aca="true">CRITBINOM(MAX(0,D2065-E2065),1-Coefficients!$B$32,RAND())</f>
        <v>1</v>
      </c>
      <c r="H2065" s="0" t="n">
        <f aca="true">CRITBINOM(MAX(0,$C2065-D2065),MIN(0.6,Matchup!$B$40*SQRT($B2065)/(1-MIN(0.75,Matchup!$B$39*$B2065))),RAND())</f>
        <v>1</v>
      </c>
      <c r="I2065" s="0" t="n">
        <f aca="false">6*D2065+(D2065-E2065-G2065)+2*F2065+3*H2065</f>
        <v>9</v>
      </c>
      <c r="J2065" s="0" t="n">
        <f aca="true">CRITBINOM($C2065,MIN(0.75,Matchup!$C$39*$B2065),RAND())</f>
        <v>2</v>
      </c>
      <c r="K2065" s="0" t="n">
        <f aca="true">CRITBINOM(J2065,Coefficients!$B$30,RAND())</f>
        <v>0</v>
      </c>
      <c r="L2065" s="0" t="n">
        <f aca="true">CRITBINOM(K2065,Coefficients!$B$31,RAND())</f>
        <v>0</v>
      </c>
      <c r="M2065" s="0" t="n">
        <f aca="true">CRITBINOM(MAX(0,J2065-K2065),1-Coefficients!$B$32,RAND())</f>
        <v>2</v>
      </c>
      <c r="N2065" s="0" t="n">
        <f aca="true">CRITBINOM(MAX(0,$C2065-J2065),MIN(0.6,Matchup!$C$40*SQRT($B2065)/(1-MIN(0.75,Matchup!$C$39*$B2065))),RAND())</f>
        <v>1</v>
      </c>
      <c r="O2065" s="0" t="n">
        <f aca="false">6*J2065+(J2065-K2065-M2065)+2*L2065+3*N2065</f>
        <v>15</v>
      </c>
      <c r="P2065" s="0" t="n">
        <f aca="true">RAND()</f>
        <v>0.82278879525546</v>
      </c>
      <c r="Q2065" s="0" t="n">
        <f aca="true">RAND()</f>
        <v>0.0350259738512049</v>
      </c>
      <c r="R2065" s="0" t="n">
        <f aca="false">IF($I2065&lt;&gt;$O2065,0,IF(P2065&lt;Matchup!$B$39,7,IF(P2065&lt;Matchup!$B$39+Matchup!$B$40,3,0)))</f>
        <v>0</v>
      </c>
      <c r="S2065" s="0" t="n">
        <f aca="false">IF($I2065&lt;&gt;$O2065,0,IF(Q2065&lt;Matchup!$C$39,7,IF(Q2065&lt;Matchup!$C$39+Matchup!$C$40,3,0)))</f>
        <v>0</v>
      </c>
      <c r="T2065" s="0" t="n">
        <f aca="false">I2065+R2065</f>
        <v>9</v>
      </c>
      <c r="U2065" s="0" t="n">
        <f aca="false">O2065+S2065</f>
        <v>15</v>
      </c>
      <c r="V2065" s="0" t="n">
        <f aca="false">T2065-U2065</f>
        <v>-6</v>
      </c>
      <c r="W2065" s="0" t="n">
        <f aca="false">T2065+U2065</f>
        <v>24</v>
      </c>
    </row>
    <row r="2066" customFormat="false" ht="15" hidden="false" customHeight="false" outlineLevel="0" collapsed="false">
      <c r="A2066" s="0" t="n">
        <v>2063</v>
      </c>
      <c r="B2066" s="0" t="n">
        <f aca="true">NORMINV(RAND(),1,Coefficients!$B$22)</f>
        <v>0.87331540984836</v>
      </c>
      <c r="C2066" s="0" t="n">
        <f aca="true">MEDIAN(8,16,ROUND(NORMINV(RAND(),Coefficients!$B$20,Coefficients!$B$21),0))</f>
        <v>12</v>
      </c>
      <c r="D2066" s="0" t="n">
        <f aca="true">CRITBINOM($C2066,MIN(0.75,Matchup!$B$39*$B2066),RAND())</f>
        <v>2</v>
      </c>
      <c r="E2066" s="0" t="n">
        <f aca="true">CRITBINOM(D2066,Coefficients!$B$30,RAND())</f>
        <v>1</v>
      </c>
      <c r="F2066" s="0" t="n">
        <f aca="true">CRITBINOM(E2066,Coefficients!$B$31,RAND())</f>
        <v>0</v>
      </c>
      <c r="G2066" s="0" t="n">
        <f aca="true">CRITBINOM(MAX(0,D2066-E2066),1-Coefficients!$B$32,RAND())</f>
        <v>0</v>
      </c>
      <c r="H2066" s="0" t="n">
        <f aca="true">CRITBINOM(MAX(0,$C2066-D2066),MIN(0.6,Matchup!$B$40*SQRT($B2066)/(1-MIN(0.75,Matchup!$B$39*$B2066))),RAND())</f>
        <v>1</v>
      </c>
      <c r="I2066" s="0" t="n">
        <f aca="false">6*D2066+(D2066-E2066-G2066)+2*F2066+3*H2066</f>
        <v>16</v>
      </c>
      <c r="J2066" s="0" t="n">
        <f aca="true">CRITBINOM($C2066,MIN(0.75,Matchup!$C$39*$B2066),RAND())</f>
        <v>3</v>
      </c>
      <c r="K2066" s="0" t="n">
        <f aca="true">CRITBINOM(J2066,Coefficients!$B$30,RAND())</f>
        <v>0</v>
      </c>
      <c r="L2066" s="0" t="n">
        <f aca="true">CRITBINOM(K2066,Coefficients!$B$31,RAND())</f>
        <v>0</v>
      </c>
      <c r="M2066" s="0" t="n">
        <f aca="true">CRITBINOM(MAX(0,J2066-K2066),1-Coefficients!$B$32,RAND())</f>
        <v>0</v>
      </c>
      <c r="N2066" s="0" t="n">
        <f aca="true">CRITBINOM(MAX(0,$C2066-J2066),MIN(0.6,Matchup!$C$40*SQRT($B2066)/(1-MIN(0.75,Matchup!$C$39*$B2066))),RAND())</f>
        <v>4</v>
      </c>
      <c r="O2066" s="0" t="n">
        <f aca="false">6*J2066+(J2066-K2066-M2066)+2*L2066+3*N2066</f>
        <v>33</v>
      </c>
      <c r="P2066" s="0" t="n">
        <f aca="true">RAND()</f>
        <v>0.0666005416470424</v>
      </c>
      <c r="Q2066" s="0" t="n">
        <f aca="true">RAND()</f>
        <v>0.174343727527589</v>
      </c>
      <c r="R2066" s="0" t="n">
        <f aca="false">IF($I2066&lt;&gt;$O2066,0,IF(P2066&lt;Matchup!$B$39,7,IF(P2066&lt;Matchup!$B$39+Matchup!$B$40,3,0)))</f>
        <v>0</v>
      </c>
      <c r="S2066" s="0" t="n">
        <f aca="false">IF($I2066&lt;&gt;$O2066,0,IF(Q2066&lt;Matchup!$C$39,7,IF(Q2066&lt;Matchup!$C$39+Matchup!$C$40,3,0)))</f>
        <v>0</v>
      </c>
      <c r="T2066" s="0" t="n">
        <f aca="false">I2066+R2066</f>
        <v>16</v>
      </c>
      <c r="U2066" s="0" t="n">
        <f aca="false">O2066+S2066</f>
        <v>33</v>
      </c>
      <c r="V2066" s="0" t="n">
        <f aca="false">T2066-U2066</f>
        <v>-17</v>
      </c>
      <c r="W2066" s="0" t="n">
        <f aca="false">T2066+U2066</f>
        <v>49</v>
      </c>
    </row>
    <row r="2067" customFormat="false" ht="15" hidden="false" customHeight="false" outlineLevel="0" collapsed="false">
      <c r="A2067" s="0" t="n">
        <v>2064</v>
      </c>
      <c r="B2067" s="0" t="n">
        <f aca="true">NORMINV(RAND(),1,Coefficients!$B$22)</f>
        <v>1.08055619555747</v>
      </c>
      <c r="C2067" s="0" t="n">
        <f aca="true">MEDIAN(8,16,ROUND(NORMINV(RAND(),Coefficients!$B$20,Coefficients!$B$21),0))</f>
        <v>10</v>
      </c>
      <c r="D2067" s="0" t="n">
        <f aca="true">CRITBINOM($C2067,MIN(0.75,Matchup!$B$39*$B2067),RAND())</f>
        <v>2</v>
      </c>
      <c r="E2067" s="0" t="n">
        <f aca="true">CRITBINOM(D2067,Coefficients!$B$30,RAND())</f>
        <v>0</v>
      </c>
      <c r="F2067" s="0" t="n">
        <f aca="true">CRITBINOM(E2067,Coefficients!$B$31,RAND())</f>
        <v>0</v>
      </c>
      <c r="G2067" s="0" t="n">
        <f aca="true">CRITBINOM(MAX(0,D2067-E2067),1-Coefficients!$B$32,RAND())</f>
        <v>0</v>
      </c>
      <c r="H2067" s="0" t="n">
        <f aca="true">CRITBINOM(MAX(0,$C2067-D2067),MIN(0.6,Matchup!$B$40*SQRT($B2067)/(1-MIN(0.75,Matchup!$B$39*$B2067))),RAND())</f>
        <v>2</v>
      </c>
      <c r="I2067" s="0" t="n">
        <f aca="false">6*D2067+(D2067-E2067-G2067)+2*F2067+3*H2067</f>
        <v>20</v>
      </c>
      <c r="J2067" s="0" t="n">
        <f aca="true">CRITBINOM($C2067,MIN(0.75,Matchup!$C$39*$B2067),RAND())</f>
        <v>2</v>
      </c>
      <c r="K2067" s="0" t="n">
        <f aca="true">CRITBINOM(J2067,Coefficients!$B$30,RAND())</f>
        <v>1</v>
      </c>
      <c r="L2067" s="0" t="n">
        <f aca="true">CRITBINOM(K2067,Coefficients!$B$31,RAND())</f>
        <v>1</v>
      </c>
      <c r="M2067" s="0" t="n">
        <f aca="true">CRITBINOM(MAX(0,J2067-K2067),1-Coefficients!$B$32,RAND())</f>
        <v>0</v>
      </c>
      <c r="N2067" s="0" t="n">
        <f aca="true">CRITBINOM(MAX(0,$C2067-J2067),MIN(0.6,Matchup!$C$40*SQRT($B2067)/(1-MIN(0.75,Matchup!$C$39*$B2067))),RAND())</f>
        <v>3</v>
      </c>
      <c r="O2067" s="0" t="n">
        <f aca="false">6*J2067+(J2067-K2067-M2067)+2*L2067+3*N2067</f>
        <v>24</v>
      </c>
      <c r="P2067" s="0" t="n">
        <f aca="true">RAND()</f>
        <v>0.76314970675244</v>
      </c>
      <c r="Q2067" s="0" t="n">
        <f aca="true">RAND()</f>
        <v>0.991203401019618</v>
      </c>
      <c r="R2067" s="0" t="n">
        <f aca="false">IF($I2067&lt;&gt;$O2067,0,IF(P2067&lt;Matchup!$B$39,7,IF(P2067&lt;Matchup!$B$39+Matchup!$B$40,3,0)))</f>
        <v>0</v>
      </c>
      <c r="S2067" s="0" t="n">
        <f aca="false">IF($I2067&lt;&gt;$O2067,0,IF(Q2067&lt;Matchup!$C$39,7,IF(Q2067&lt;Matchup!$C$39+Matchup!$C$40,3,0)))</f>
        <v>0</v>
      </c>
      <c r="T2067" s="0" t="n">
        <f aca="false">I2067+R2067</f>
        <v>20</v>
      </c>
      <c r="U2067" s="0" t="n">
        <f aca="false">O2067+S2067</f>
        <v>24</v>
      </c>
      <c r="V2067" s="0" t="n">
        <f aca="false">T2067-U2067</f>
        <v>-4</v>
      </c>
      <c r="W2067" s="0" t="n">
        <f aca="false">T2067+U2067</f>
        <v>44</v>
      </c>
    </row>
    <row r="2068" customFormat="false" ht="15" hidden="false" customHeight="false" outlineLevel="0" collapsed="false">
      <c r="A2068" s="0" t="n">
        <v>2065</v>
      </c>
      <c r="B2068" s="0" t="n">
        <f aca="true">NORMINV(RAND(),1,Coefficients!$B$22)</f>
        <v>0.968645908018981</v>
      </c>
      <c r="C2068" s="0" t="n">
        <f aca="true">MEDIAN(8,16,ROUND(NORMINV(RAND(),Coefficients!$B$20,Coefficients!$B$21),0))</f>
        <v>12</v>
      </c>
      <c r="D2068" s="0" t="n">
        <f aca="true">CRITBINOM($C2068,MIN(0.75,Matchup!$B$39*$B2068),RAND())</f>
        <v>3</v>
      </c>
      <c r="E2068" s="0" t="n">
        <f aca="true">CRITBINOM(D2068,Coefficients!$B$30,RAND())</f>
        <v>0</v>
      </c>
      <c r="F2068" s="0" t="n">
        <f aca="true">CRITBINOM(E2068,Coefficients!$B$31,RAND())</f>
        <v>0</v>
      </c>
      <c r="G2068" s="0" t="n">
        <f aca="true">CRITBINOM(MAX(0,D2068-E2068),1-Coefficients!$B$32,RAND())</f>
        <v>0</v>
      </c>
      <c r="H2068" s="0" t="n">
        <f aca="true">CRITBINOM(MAX(0,$C2068-D2068),MIN(0.6,Matchup!$B$40*SQRT($B2068)/(1-MIN(0.75,Matchup!$B$39*$B2068))),RAND())</f>
        <v>2</v>
      </c>
      <c r="I2068" s="0" t="n">
        <f aca="false">6*D2068+(D2068-E2068-G2068)+2*F2068+3*H2068</f>
        <v>27</v>
      </c>
      <c r="J2068" s="0" t="n">
        <f aca="true">CRITBINOM($C2068,MIN(0.75,Matchup!$C$39*$B2068),RAND())</f>
        <v>3</v>
      </c>
      <c r="K2068" s="0" t="n">
        <f aca="true">CRITBINOM(J2068,Coefficients!$B$30,RAND())</f>
        <v>0</v>
      </c>
      <c r="L2068" s="0" t="n">
        <f aca="true">CRITBINOM(K2068,Coefficients!$B$31,RAND())</f>
        <v>0</v>
      </c>
      <c r="M2068" s="0" t="n">
        <f aca="true">CRITBINOM(MAX(0,J2068-K2068),1-Coefficients!$B$32,RAND())</f>
        <v>0</v>
      </c>
      <c r="N2068" s="0" t="n">
        <f aca="true">CRITBINOM(MAX(0,$C2068-J2068),MIN(0.6,Matchup!$C$40*SQRT($B2068)/(1-MIN(0.75,Matchup!$C$39*$B2068))),RAND())</f>
        <v>2</v>
      </c>
      <c r="O2068" s="0" t="n">
        <f aca="false">6*J2068+(J2068-K2068-M2068)+2*L2068+3*N2068</f>
        <v>27</v>
      </c>
      <c r="P2068" s="0" t="n">
        <f aca="true">RAND()</f>
        <v>0.981901937776232</v>
      </c>
      <c r="Q2068" s="0" t="n">
        <f aca="true">RAND()</f>
        <v>0.427149573208429</v>
      </c>
      <c r="R2068" s="0" t="n">
        <f aca="false">IF($I2068&lt;&gt;$O2068,0,IF(P2068&lt;Matchup!$B$39,7,IF(P2068&lt;Matchup!$B$39+Matchup!$B$40,3,0)))</f>
        <v>0</v>
      </c>
      <c r="S2068" s="0" t="n">
        <f aca="false">IF($I2068&lt;&gt;$O2068,0,IF(Q2068&lt;Matchup!$C$39,7,IF(Q2068&lt;Matchup!$C$39+Matchup!$C$40,3,0)))</f>
        <v>0</v>
      </c>
      <c r="T2068" s="0" t="n">
        <f aca="false">I2068+R2068</f>
        <v>27</v>
      </c>
      <c r="U2068" s="0" t="n">
        <f aca="false">O2068+S2068</f>
        <v>27</v>
      </c>
      <c r="V2068" s="0" t="n">
        <f aca="false">T2068-U2068</f>
        <v>0</v>
      </c>
      <c r="W2068" s="0" t="n">
        <f aca="false">T2068+U2068</f>
        <v>54</v>
      </c>
    </row>
    <row r="2069" customFormat="false" ht="15" hidden="false" customHeight="false" outlineLevel="0" collapsed="false">
      <c r="A2069" s="0" t="n">
        <v>2066</v>
      </c>
      <c r="B2069" s="0" t="n">
        <f aca="true">NORMINV(RAND(),1,Coefficients!$B$22)</f>
        <v>0.909339244298533</v>
      </c>
      <c r="C2069" s="0" t="n">
        <f aca="true">MEDIAN(8,16,ROUND(NORMINV(RAND(),Coefficients!$B$20,Coefficients!$B$21),0))</f>
        <v>9</v>
      </c>
      <c r="D2069" s="0" t="n">
        <f aca="true">CRITBINOM($C2069,MIN(0.75,Matchup!$B$39*$B2069),RAND())</f>
        <v>3</v>
      </c>
      <c r="E2069" s="0" t="n">
        <f aca="true">CRITBINOM(D2069,Coefficients!$B$30,RAND())</f>
        <v>1</v>
      </c>
      <c r="F2069" s="0" t="n">
        <f aca="true">CRITBINOM(E2069,Coefficients!$B$31,RAND())</f>
        <v>1</v>
      </c>
      <c r="G2069" s="0" t="n">
        <f aca="true">CRITBINOM(MAX(0,D2069-E2069),1-Coefficients!$B$32,RAND())</f>
        <v>0</v>
      </c>
      <c r="H2069" s="0" t="n">
        <f aca="true">CRITBINOM(MAX(0,$C2069-D2069),MIN(0.6,Matchup!$B$40*SQRT($B2069)/(1-MIN(0.75,Matchup!$B$39*$B2069))),RAND())</f>
        <v>0</v>
      </c>
      <c r="I2069" s="0" t="n">
        <f aca="false">6*D2069+(D2069-E2069-G2069)+2*F2069+3*H2069</f>
        <v>22</v>
      </c>
      <c r="J2069" s="0" t="n">
        <f aca="true">CRITBINOM($C2069,MIN(0.75,Matchup!$C$39*$B2069),RAND())</f>
        <v>2</v>
      </c>
      <c r="K2069" s="0" t="n">
        <f aca="true">CRITBINOM(J2069,Coefficients!$B$30,RAND())</f>
        <v>0</v>
      </c>
      <c r="L2069" s="0" t="n">
        <f aca="true">CRITBINOM(K2069,Coefficients!$B$31,RAND())</f>
        <v>0</v>
      </c>
      <c r="M2069" s="0" t="n">
        <f aca="true">CRITBINOM(MAX(0,J2069-K2069),1-Coefficients!$B$32,RAND())</f>
        <v>0</v>
      </c>
      <c r="N2069" s="0" t="n">
        <f aca="true">CRITBINOM(MAX(0,$C2069-J2069),MIN(0.6,Matchup!$C$40*SQRT($B2069)/(1-MIN(0.75,Matchup!$C$39*$B2069))),RAND())</f>
        <v>0</v>
      </c>
      <c r="O2069" s="0" t="n">
        <f aca="false">6*J2069+(J2069-K2069-M2069)+2*L2069+3*N2069</f>
        <v>14</v>
      </c>
      <c r="P2069" s="0" t="n">
        <f aca="true">RAND()</f>
        <v>0.656968190867173</v>
      </c>
      <c r="Q2069" s="0" t="n">
        <f aca="true">RAND()</f>
        <v>0.862488813971362</v>
      </c>
      <c r="R2069" s="0" t="n">
        <f aca="false">IF($I2069&lt;&gt;$O2069,0,IF(P2069&lt;Matchup!$B$39,7,IF(P2069&lt;Matchup!$B$39+Matchup!$B$40,3,0)))</f>
        <v>0</v>
      </c>
      <c r="S2069" s="0" t="n">
        <f aca="false">IF($I2069&lt;&gt;$O2069,0,IF(Q2069&lt;Matchup!$C$39,7,IF(Q2069&lt;Matchup!$C$39+Matchup!$C$40,3,0)))</f>
        <v>0</v>
      </c>
      <c r="T2069" s="0" t="n">
        <f aca="false">I2069+R2069</f>
        <v>22</v>
      </c>
      <c r="U2069" s="0" t="n">
        <f aca="false">O2069+S2069</f>
        <v>14</v>
      </c>
      <c r="V2069" s="0" t="n">
        <f aca="false">T2069-U2069</f>
        <v>8</v>
      </c>
      <c r="W2069" s="0" t="n">
        <f aca="false">T2069+U2069</f>
        <v>36</v>
      </c>
    </row>
    <row r="2070" customFormat="false" ht="15" hidden="false" customHeight="false" outlineLevel="0" collapsed="false">
      <c r="A2070" s="0" t="n">
        <v>2067</v>
      </c>
      <c r="B2070" s="0" t="n">
        <f aca="true">NORMINV(RAND(),1,Coefficients!$B$22)</f>
        <v>1.13382840641589</v>
      </c>
      <c r="C2070" s="0" t="n">
        <f aca="true">MEDIAN(8,16,ROUND(NORMINV(RAND(),Coefficients!$B$20,Coefficients!$B$21),0))</f>
        <v>10</v>
      </c>
      <c r="D2070" s="0" t="n">
        <f aca="true">CRITBINOM($C2070,MIN(0.75,Matchup!$B$39*$B2070),RAND())</f>
        <v>2</v>
      </c>
      <c r="E2070" s="0" t="n">
        <f aca="true">CRITBINOM(D2070,Coefficients!$B$30,RAND())</f>
        <v>0</v>
      </c>
      <c r="F2070" s="0" t="n">
        <f aca="true">CRITBINOM(E2070,Coefficients!$B$31,RAND())</f>
        <v>0</v>
      </c>
      <c r="G2070" s="0" t="n">
        <f aca="true">CRITBINOM(MAX(0,D2070-E2070),1-Coefficients!$B$32,RAND())</f>
        <v>0</v>
      </c>
      <c r="H2070" s="0" t="n">
        <f aca="true">CRITBINOM(MAX(0,$C2070-D2070),MIN(0.6,Matchup!$B$40*SQRT($B2070)/(1-MIN(0.75,Matchup!$B$39*$B2070))),RAND())</f>
        <v>4</v>
      </c>
      <c r="I2070" s="0" t="n">
        <f aca="false">6*D2070+(D2070-E2070-G2070)+2*F2070+3*H2070</f>
        <v>26</v>
      </c>
      <c r="J2070" s="0" t="n">
        <f aca="true">CRITBINOM($C2070,MIN(0.75,Matchup!$C$39*$B2070),RAND())</f>
        <v>2</v>
      </c>
      <c r="K2070" s="0" t="n">
        <f aca="true">CRITBINOM(J2070,Coefficients!$B$30,RAND())</f>
        <v>0</v>
      </c>
      <c r="L2070" s="0" t="n">
        <f aca="true">CRITBINOM(K2070,Coefficients!$B$31,RAND())</f>
        <v>0</v>
      </c>
      <c r="M2070" s="0" t="n">
        <f aca="true">CRITBINOM(MAX(0,J2070-K2070),1-Coefficients!$B$32,RAND())</f>
        <v>0</v>
      </c>
      <c r="N2070" s="0" t="n">
        <f aca="true">CRITBINOM(MAX(0,$C2070-J2070),MIN(0.6,Matchup!$C$40*SQRT($B2070)/(1-MIN(0.75,Matchup!$C$39*$B2070))),RAND())</f>
        <v>1</v>
      </c>
      <c r="O2070" s="0" t="n">
        <f aca="false">6*J2070+(J2070-K2070-M2070)+2*L2070+3*N2070</f>
        <v>17</v>
      </c>
      <c r="P2070" s="0" t="n">
        <f aca="true">RAND()</f>
        <v>0.398441775746556</v>
      </c>
      <c r="Q2070" s="0" t="n">
        <f aca="true">RAND()</f>
        <v>0.582624403764342</v>
      </c>
      <c r="R2070" s="0" t="n">
        <f aca="false">IF($I2070&lt;&gt;$O2070,0,IF(P2070&lt;Matchup!$B$39,7,IF(P2070&lt;Matchup!$B$39+Matchup!$B$40,3,0)))</f>
        <v>0</v>
      </c>
      <c r="S2070" s="0" t="n">
        <f aca="false">IF($I2070&lt;&gt;$O2070,0,IF(Q2070&lt;Matchup!$C$39,7,IF(Q2070&lt;Matchup!$C$39+Matchup!$C$40,3,0)))</f>
        <v>0</v>
      </c>
      <c r="T2070" s="0" t="n">
        <f aca="false">I2070+R2070</f>
        <v>26</v>
      </c>
      <c r="U2070" s="0" t="n">
        <f aca="false">O2070+S2070</f>
        <v>17</v>
      </c>
      <c r="V2070" s="0" t="n">
        <f aca="false">T2070-U2070</f>
        <v>9</v>
      </c>
      <c r="W2070" s="0" t="n">
        <f aca="false">T2070+U2070</f>
        <v>43</v>
      </c>
    </row>
    <row r="2071" customFormat="false" ht="15" hidden="false" customHeight="false" outlineLevel="0" collapsed="false">
      <c r="A2071" s="0" t="n">
        <v>2068</v>
      </c>
      <c r="B2071" s="0" t="n">
        <f aca="true">NORMINV(RAND(),1,Coefficients!$B$22)</f>
        <v>0.925297229277617</v>
      </c>
      <c r="C2071" s="0" t="n">
        <f aca="true">MEDIAN(8,16,ROUND(NORMINV(RAND(),Coefficients!$B$20,Coefficients!$B$21),0))</f>
        <v>10</v>
      </c>
      <c r="D2071" s="0" t="n">
        <f aca="true">CRITBINOM($C2071,MIN(0.75,Matchup!$B$39*$B2071),RAND())</f>
        <v>4</v>
      </c>
      <c r="E2071" s="0" t="n">
        <f aca="true">CRITBINOM(D2071,Coefficients!$B$30,RAND())</f>
        <v>1</v>
      </c>
      <c r="F2071" s="0" t="n">
        <f aca="true">CRITBINOM(E2071,Coefficients!$B$31,RAND())</f>
        <v>0</v>
      </c>
      <c r="G2071" s="0" t="n">
        <f aca="true">CRITBINOM(MAX(0,D2071-E2071),1-Coefficients!$B$32,RAND())</f>
        <v>0</v>
      </c>
      <c r="H2071" s="0" t="n">
        <f aca="true">CRITBINOM(MAX(0,$C2071-D2071),MIN(0.6,Matchup!$B$40*SQRT($B2071)/(1-MIN(0.75,Matchup!$B$39*$B2071))),RAND())</f>
        <v>0</v>
      </c>
      <c r="I2071" s="0" t="n">
        <f aca="false">6*D2071+(D2071-E2071-G2071)+2*F2071+3*H2071</f>
        <v>27</v>
      </c>
      <c r="J2071" s="0" t="n">
        <f aca="true">CRITBINOM($C2071,MIN(0.75,Matchup!$C$39*$B2071),RAND())</f>
        <v>4</v>
      </c>
      <c r="K2071" s="0" t="n">
        <f aca="true">CRITBINOM(J2071,Coefficients!$B$30,RAND())</f>
        <v>0</v>
      </c>
      <c r="L2071" s="0" t="n">
        <f aca="true">CRITBINOM(K2071,Coefficients!$B$31,RAND())</f>
        <v>0</v>
      </c>
      <c r="M2071" s="0" t="n">
        <f aca="true">CRITBINOM(MAX(0,J2071-K2071),1-Coefficients!$B$32,RAND())</f>
        <v>0</v>
      </c>
      <c r="N2071" s="0" t="n">
        <f aca="true">CRITBINOM(MAX(0,$C2071-J2071),MIN(0.6,Matchup!$C$40*SQRT($B2071)/(1-MIN(0.75,Matchup!$C$39*$B2071))),RAND())</f>
        <v>1</v>
      </c>
      <c r="O2071" s="0" t="n">
        <f aca="false">6*J2071+(J2071-K2071-M2071)+2*L2071+3*N2071</f>
        <v>31</v>
      </c>
      <c r="P2071" s="0" t="n">
        <f aca="true">RAND()</f>
        <v>0.147375832995166</v>
      </c>
      <c r="Q2071" s="0" t="n">
        <f aca="true">RAND()</f>
        <v>0.104502036785629</v>
      </c>
      <c r="R2071" s="0" t="n">
        <f aca="false">IF($I2071&lt;&gt;$O2071,0,IF(P2071&lt;Matchup!$B$39,7,IF(P2071&lt;Matchup!$B$39+Matchup!$B$40,3,0)))</f>
        <v>0</v>
      </c>
      <c r="S2071" s="0" t="n">
        <f aca="false">IF($I2071&lt;&gt;$O2071,0,IF(Q2071&lt;Matchup!$C$39,7,IF(Q2071&lt;Matchup!$C$39+Matchup!$C$40,3,0)))</f>
        <v>0</v>
      </c>
      <c r="T2071" s="0" t="n">
        <f aca="false">I2071+R2071</f>
        <v>27</v>
      </c>
      <c r="U2071" s="0" t="n">
        <f aca="false">O2071+S2071</f>
        <v>31</v>
      </c>
      <c r="V2071" s="0" t="n">
        <f aca="false">T2071-U2071</f>
        <v>-4</v>
      </c>
      <c r="W2071" s="0" t="n">
        <f aca="false">T2071+U2071</f>
        <v>58</v>
      </c>
    </row>
    <row r="2072" customFormat="false" ht="15" hidden="false" customHeight="false" outlineLevel="0" collapsed="false">
      <c r="A2072" s="0" t="n">
        <v>2069</v>
      </c>
      <c r="B2072" s="0" t="n">
        <f aca="true">NORMINV(RAND(),1,Coefficients!$B$22)</f>
        <v>0.955748639619977</v>
      </c>
      <c r="C2072" s="0" t="n">
        <f aca="true">MEDIAN(8,16,ROUND(NORMINV(RAND(),Coefficients!$B$20,Coefficients!$B$21),0))</f>
        <v>9</v>
      </c>
      <c r="D2072" s="0" t="n">
        <f aca="true">CRITBINOM($C2072,MIN(0.75,Matchup!$B$39*$B2072),RAND())</f>
        <v>1</v>
      </c>
      <c r="E2072" s="0" t="n">
        <f aca="true">CRITBINOM(D2072,Coefficients!$B$30,RAND())</f>
        <v>0</v>
      </c>
      <c r="F2072" s="0" t="n">
        <f aca="true">CRITBINOM(E2072,Coefficients!$B$31,RAND())</f>
        <v>0</v>
      </c>
      <c r="G2072" s="0" t="n">
        <f aca="true">CRITBINOM(MAX(0,D2072-E2072),1-Coefficients!$B$32,RAND())</f>
        <v>0</v>
      </c>
      <c r="H2072" s="0" t="n">
        <f aca="true">CRITBINOM(MAX(0,$C2072-D2072),MIN(0.6,Matchup!$B$40*SQRT($B2072)/(1-MIN(0.75,Matchup!$B$39*$B2072))),RAND())</f>
        <v>1</v>
      </c>
      <c r="I2072" s="0" t="n">
        <f aca="false">6*D2072+(D2072-E2072-G2072)+2*F2072+3*H2072</f>
        <v>10</v>
      </c>
      <c r="J2072" s="0" t="n">
        <f aca="true">CRITBINOM($C2072,MIN(0.75,Matchup!$C$39*$B2072),RAND())</f>
        <v>2</v>
      </c>
      <c r="K2072" s="0" t="n">
        <f aca="true">CRITBINOM(J2072,Coefficients!$B$30,RAND())</f>
        <v>1</v>
      </c>
      <c r="L2072" s="0" t="n">
        <f aca="true">CRITBINOM(K2072,Coefficients!$B$31,RAND())</f>
        <v>1</v>
      </c>
      <c r="M2072" s="0" t="n">
        <f aca="true">CRITBINOM(MAX(0,J2072-K2072),1-Coefficients!$B$32,RAND())</f>
        <v>0</v>
      </c>
      <c r="N2072" s="0" t="n">
        <f aca="true">CRITBINOM(MAX(0,$C2072-J2072),MIN(0.6,Matchup!$C$40*SQRT($B2072)/(1-MIN(0.75,Matchup!$C$39*$B2072))),RAND())</f>
        <v>0</v>
      </c>
      <c r="O2072" s="0" t="n">
        <f aca="false">6*J2072+(J2072-K2072-M2072)+2*L2072+3*N2072</f>
        <v>15</v>
      </c>
      <c r="P2072" s="0" t="n">
        <f aca="true">RAND()</f>
        <v>0.241943495921077</v>
      </c>
      <c r="Q2072" s="0" t="n">
        <f aca="true">RAND()</f>
        <v>0.916910606048622</v>
      </c>
      <c r="R2072" s="0" t="n">
        <f aca="false">IF($I2072&lt;&gt;$O2072,0,IF(P2072&lt;Matchup!$B$39,7,IF(P2072&lt;Matchup!$B$39+Matchup!$B$40,3,0)))</f>
        <v>0</v>
      </c>
      <c r="S2072" s="0" t="n">
        <f aca="false">IF($I2072&lt;&gt;$O2072,0,IF(Q2072&lt;Matchup!$C$39,7,IF(Q2072&lt;Matchup!$C$39+Matchup!$C$40,3,0)))</f>
        <v>0</v>
      </c>
      <c r="T2072" s="0" t="n">
        <f aca="false">I2072+R2072</f>
        <v>10</v>
      </c>
      <c r="U2072" s="0" t="n">
        <f aca="false">O2072+S2072</f>
        <v>15</v>
      </c>
      <c r="V2072" s="0" t="n">
        <f aca="false">T2072-U2072</f>
        <v>-5</v>
      </c>
      <c r="W2072" s="0" t="n">
        <f aca="false">T2072+U2072</f>
        <v>25</v>
      </c>
    </row>
    <row r="2073" customFormat="false" ht="15" hidden="false" customHeight="false" outlineLevel="0" collapsed="false">
      <c r="A2073" s="0" t="n">
        <v>2070</v>
      </c>
      <c r="B2073" s="0" t="n">
        <f aca="true">NORMINV(RAND(),1,Coefficients!$B$22)</f>
        <v>0.951817956537422</v>
      </c>
      <c r="C2073" s="0" t="n">
        <f aca="true">MEDIAN(8,16,ROUND(NORMINV(RAND(),Coefficients!$B$20,Coefficients!$B$21),0))</f>
        <v>12</v>
      </c>
      <c r="D2073" s="0" t="n">
        <f aca="true">CRITBINOM($C2073,MIN(0.75,Matchup!$B$39*$B2073),RAND())</f>
        <v>4</v>
      </c>
      <c r="E2073" s="0" t="n">
        <f aca="true">CRITBINOM(D2073,Coefficients!$B$30,RAND())</f>
        <v>1</v>
      </c>
      <c r="F2073" s="0" t="n">
        <f aca="true">CRITBINOM(E2073,Coefficients!$B$31,RAND())</f>
        <v>0</v>
      </c>
      <c r="G2073" s="0" t="n">
        <f aca="true">CRITBINOM(MAX(0,D2073-E2073),1-Coefficients!$B$32,RAND())</f>
        <v>0</v>
      </c>
      <c r="H2073" s="0" t="n">
        <f aca="true">CRITBINOM(MAX(0,$C2073-D2073),MIN(0.6,Matchup!$B$40*SQRT($B2073)/(1-MIN(0.75,Matchup!$B$39*$B2073))),RAND())</f>
        <v>1</v>
      </c>
      <c r="I2073" s="0" t="n">
        <f aca="false">6*D2073+(D2073-E2073-G2073)+2*F2073+3*H2073</f>
        <v>30</v>
      </c>
      <c r="J2073" s="0" t="n">
        <f aca="true">CRITBINOM($C2073,MIN(0.75,Matchup!$C$39*$B2073),RAND())</f>
        <v>4</v>
      </c>
      <c r="K2073" s="0" t="n">
        <f aca="true">CRITBINOM(J2073,Coefficients!$B$30,RAND())</f>
        <v>1</v>
      </c>
      <c r="L2073" s="0" t="n">
        <f aca="true">CRITBINOM(K2073,Coefficients!$B$31,RAND())</f>
        <v>1</v>
      </c>
      <c r="M2073" s="0" t="n">
        <f aca="true">CRITBINOM(MAX(0,J2073-K2073),1-Coefficients!$B$32,RAND())</f>
        <v>0</v>
      </c>
      <c r="N2073" s="0" t="n">
        <f aca="true">CRITBINOM(MAX(0,$C2073-J2073),MIN(0.6,Matchup!$C$40*SQRT($B2073)/(1-MIN(0.75,Matchup!$C$39*$B2073))),RAND())</f>
        <v>1</v>
      </c>
      <c r="O2073" s="0" t="n">
        <f aca="false">6*J2073+(J2073-K2073-M2073)+2*L2073+3*N2073</f>
        <v>32</v>
      </c>
      <c r="P2073" s="0" t="n">
        <f aca="true">RAND()</f>
        <v>0.79599488186248</v>
      </c>
      <c r="Q2073" s="0" t="n">
        <f aca="true">RAND()</f>
        <v>0.136287498743578</v>
      </c>
      <c r="R2073" s="0" t="n">
        <f aca="false">IF($I2073&lt;&gt;$O2073,0,IF(P2073&lt;Matchup!$B$39,7,IF(P2073&lt;Matchup!$B$39+Matchup!$B$40,3,0)))</f>
        <v>0</v>
      </c>
      <c r="S2073" s="0" t="n">
        <f aca="false">IF($I2073&lt;&gt;$O2073,0,IF(Q2073&lt;Matchup!$C$39,7,IF(Q2073&lt;Matchup!$C$39+Matchup!$C$40,3,0)))</f>
        <v>0</v>
      </c>
      <c r="T2073" s="0" t="n">
        <f aca="false">I2073+R2073</f>
        <v>30</v>
      </c>
      <c r="U2073" s="0" t="n">
        <f aca="false">O2073+S2073</f>
        <v>32</v>
      </c>
      <c r="V2073" s="0" t="n">
        <f aca="false">T2073-U2073</f>
        <v>-2</v>
      </c>
      <c r="W2073" s="0" t="n">
        <f aca="false">T2073+U2073</f>
        <v>62</v>
      </c>
    </row>
    <row r="2074" customFormat="false" ht="15" hidden="false" customHeight="false" outlineLevel="0" collapsed="false">
      <c r="A2074" s="0" t="n">
        <v>2071</v>
      </c>
      <c r="B2074" s="0" t="n">
        <f aca="true">NORMINV(RAND(),1,Coefficients!$B$22)</f>
        <v>0.936556075205985</v>
      </c>
      <c r="C2074" s="0" t="n">
        <f aca="true">MEDIAN(8,16,ROUND(NORMINV(RAND(),Coefficients!$B$20,Coefficients!$B$21),0))</f>
        <v>12</v>
      </c>
      <c r="D2074" s="0" t="n">
        <f aca="true">CRITBINOM($C2074,MIN(0.75,Matchup!$B$39*$B2074),RAND())</f>
        <v>2</v>
      </c>
      <c r="E2074" s="0" t="n">
        <f aca="true">CRITBINOM(D2074,Coefficients!$B$30,RAND())</f>
        <v>0</v>
      </c>
      <c r="F2074" s="0" t="n">
        <f aca="true">CRITBINOM(E2074,Coefficients!$B$31,RAND())</f>
        <v>0</v>
      </c>
      <c r="G2074" s="0" t="n">
        <f aca="true">CRITBINOM(MAX(0,D2074-E2074),1-Coefficients!$B$32,RAND())</f>
        <v>0</v>
      </c>
      <c r="H2074" s="0" t="n">
        <f aca="true">CRITBINOM(MAX(0,$C2074-D2074),MIN(0.6,Matchup!$B$40*SQRT($B2074)/(1-MIN(0.75,Matchup!$B$39*$B2074))),RAND())</f>
        <v>0</v>
      </c>
      <c r="I2074" s="0" t="n">
        <f aca="false">6*D2074+(D2074-E2074-G2074)+2*F2074+3*H2074</f>
        <v>14</v>
      </c>
      <c r="J2074" s="0" t="n">
        <f aca="true">CRITBINOM($C2074,MIN(0.75,Matchup!$C$39*$B2074),RAND())</f>
        <v>2</v>
      </c>
      <c r="K2074" s="0" t="n">
        <f aca="true">CRITBINOM(J2074,Coefficients!$B$30,RAND())</f>
        <v>0</v>
      </c>
      <c r="L2074" s="0" t="n">
        <f aca="true">CRITBINOM(K2074,Coefficients!$B$31,RAND())</f>
        <v>0</v>
      </c>
      <c r="M2074" s="0" t="n">
        <f aca="true">CRITBINOM(MAX(0,J2074-K2074),1-Coefficients!$B$32,RAND())</f>
        <v>0</v>
      </c>
      <c r="N2074" s="0" t="n">
        <f aca="true">CRITBINOM(MAX(0,$C2074-J2074),MIN(0.6,Matchup!$C$40*SQRT($B2074)/(1-MIN(0.75,Matchup!$C$39*$B2074))),RAND())</f>
        <v>2</v>
      </c>
      <c r="O2074" s="0" t="n">
        <f aca="false">6*J2074+(J2074-K2074-M2074)+2*L2074+3*N2074</f>
        <v>20</v>
      </c>
      <c r="P2074" s="0" t="n">
        <f aca="true">RAND()</f>
        <v>0.142462132410952</v>
      </c>
      <c r="Q2074" s="0" t="n">
        <f aca="true">RAND()</f>
        <v>0.971593663955643</v>
      </c>
      <c r="R2074" s="0" t="n">
        <f aca="false">IF($I2074&lt;&gt;$O2074,0,IF(P2074&lt;Matchup!$B$39,7,IF(P2074&lt;Matchup!$B$39+Matchup!$B$40,3,0)))</f>
        <v>0</v>
      </c>
      <c r="S2074" s="0" t="n">
        <f aca="false">IF($I2074&lt;&gt;$O2074,0,IF(Q2074&lt;Matchup!$C$39,7,IF(Q2074&lt;Matchup!$C$39+Matchup!$C$40,3,0)))</f>
        <v>0</v>
      </c>
      <c r="T2074" s="0" t="n">
        <f aca="false">I2074+R2074</f>
        <v>14</v>
      </c>
      <c r="U2074" s="0" t="n">
        <f aca="false">O2074+S2074</f>
        <v>20</v>
      </c>
      <c r="V2074" s="0" t="n">
        <f aca="false">T2074-U2074</f>
        <v>-6</v>
      </c>
      <c r="W2074" s="0" t="n">
        <f aca="false">T2074+U2074</f>
        <v>34</v>
      </c>
    </row>
    <row r="2075" customFormat="false" ht="15" hidden="false" customHeight="false" outlineLevel="0" collapsed="false">
      <c r="A2075" s="0" t="n">
        <v>2072</v>
      </c>
      <c r="B2075" s="0" t="n">
        <f aca="true">NORMINV(RAND(),1,Coefficients!$B$22)</f>
        <v>1.07595135867095</v>
      </c>
      <c r="C2075" s="0" t="n">
        <f aca="true">MEDIAN(8,16,ROUND(NORMINV(RAND(),Coefficients!$B$20,Coefficients!$B$21),0))</f>
        <v>13</v>
      </c>
      <c r="D2075" s="0" t="n">
        <f aca="true">CRITBINOM($C2075,MIN(0.75,Matchup!$B$39*$B2075),RAND())</f>
        <v>6</v>
      </c>
      <c r="E2075" s="0" t="n">
        <f aca="true">CRITBINOM(D2075,Coefficients!$B$30,RAND())</f>
        <v>1</v>
      </c>
      <c r="F2075" s="0" t="n">
        <f aca="true">CRITBINOM(E2075,Coefficients!$B$31,RAND())</f>
        <v>1</v>
      </c>
      <c r="G2075" s="0" t="n">
        <f aca="true">CRITBINOM(MAX(0,D2075-E2075),1-Coefficients!$B$32,RAND())</f>
        <v>1</v>
      </c>
      <c r="H2075" s="0" t="n">
        <f aca="true">CRITBINOM(MAX(0,$C2075-D2075),MIN(0.6,Matchup!$B$40*SQRT($B2075)/(1-MIN(0.75,Matchup!$B$39*$B2075))),RAND())</f>
        <v>1</v>
      </c>
      <c r="I2075" s="0" t="n">
        <f aca="false">6*D2075+(D2075-E2075-G2075)+2*F2075+3*H2075</f>
        <v>45</v>
      </c>
      <c r="J2075" s="0" t="n">
        <f aca="true">CRITBINOM($C2075,MIN(0.75,Matchup!$C$39*$B2075),RAND())</f>
        <v>3</v>
      </c>
      <c r="K2075" s="0" t="n">
        <f aca="true">CRITBINOM(J2075,Coefficients!$B$30,RAND())</f>
        <v>1</v>
      </c>
      <c r="L2075" s="0" t="n">
        <f aca="true">CRITBINOM(K2075,Coefficients!$B$31,RAND())</f>
        <v>1</v>
      </c>
      <c r="M2075" s="0" t="n">
        <f aca="true">CRITBINOM(MAX(0,J2075-K2075),1-Coefficients!$B$32,RAND())</f>
        <v>0</v>
      </c>
      <c r="N2075" s="0" t="n">
        <f aca="true">CRITBINOM(MAX(0,$C2075-J2075),MIN(0.6,Matchup!$C$40*SQRT($B2075)/(1-MIN(0.75,Matchup!$C$39*$B2075))),RAND())</f>
        <v>2</v>
      </c>
      <c r="O2075" s="0" t="n">
        <f aca="false">6*J2075+(J2075-K2075-M2075)+2*L2075+3*N2075</f>
        <v>28</v>
      </c>
      <c r="P2075" s="0" t="n">
        <f aca="true">RAND()</f>
        <v>0.447816997844313</v>
      </c>
      <c r="Q2075" s="0" t="n">
        <f aca="true">RAND()</f>
        <v>0.00953189020027829</v>
      </c>
      <c r="R2075" s="0" t="n">
        <f aca="false">IF($I2075&lt;&gt;$O2075,0,IF(P2075&lt;Matchup!$B$39,7,IF(P2075&lt;Matchup!$B$39+Matchup!$B$40,3,0)))</f>
        <v>0</v>
      </c>
      <c r="S2075" s="0" t="n">
        <f aca="false">IF($I2075&lt;&gt;$O2075,0,IF(Q2075&lt;Matchup!$C$39,7,IF(Q2075&lt;Matchup!$C$39+Matchup!$C$40,3,0)))</f>
        <v>0</v>
      </c>
      <c r="T2075" s="0" t="n">
        <f aca="false">I2075+R2075</f>
        <v>45</v>
      </c>
      <c r="U2075" s="0" t="n">
        <f aca="false">O2075+S2075</f>
        <v>28</v>
      </c>
      <c r="V2075" s="0" t="n">
        <f aca="false">T2075-U2075</f>
        <v>17</v>
      </c>
      <c r="W2075" s="0" t="n">
        <f aca="false">T2075+U2075</f>
        <v>73</v>
      </c>
    </row>
    <row r="2076" customFormat="false" ht="15" hidden="false" customHeight="false" outlineLevel="0" collapsed="false">
      <c r="A2076" s="0" t="n">
        <v>2073</v>
      </c>
      <c r="B2076" s="0" t="n">
        <f aca="true">NORMINV(RAND(),1,Coefficients!$B$22)</f>
        <v>1.12882383460727</v>
      </c>
      <c r="C2076" s="0" t="n">
        <f aca="true">MEDIAN(8,16,ROUND(NORMINV(RAND(),Coefficients!$B$20,Coefficients!$B$21),0))</f>
        <v>9</v>
      </c>
      <c r="D2076" s="0" t="n">
        <f aca="true">CRITBINOM($C2076,MIN(0.75,Matchup!$B$39*$B2076),RAND())</f>
        <v>2</v>
      </c>
      <c r="E2076" s="0" t="n">
        <f aca="true">CRITBINOM(D2076,Coefficients!$B$30,RAND())</f>
        <v>0</v>
      </c>
      <c r="F2076" s="0" t="n">
        <f aca="true">CRITBINOM(E2076,Coefficients!$B$31,RAND())</f>
        <v>0</v>
      </c>
      <c r="G2076" s="0" t="n">
        <f aca="true">CRITBINOM(MAX(0,D2076-E2076),1-Coefficients!$B$32,RAND())</f>
        <v>0</v>
      </c>
      <c r="H2076" s="0" t="n">
        <f aca="true">CRITBINOM(MAX(0,$C2076-D2076),MIN(0.6,Matchup!$B$40*SQRT($B2076)/(1-MIN(0.75,Matchup!$B$39*$B2076))),RAND())</f>
        <v>2</v>
      </c>
      <c r="I2076" s="0" t="n">
        <f aca="false">6*D2076+(D2076-E2076-G2076)+2*F2076+3*H2076</f>
        <v>20</v>
      </c>
      <c r="J2076" s="0" t="n">
        <f aca="true">CRITBINOM($C2076,MIN(0.75,Matchup!$C$39*$B2076),RAND())</f>
        <v>4</v>
      </c>
      <c r="K2076" s="0" t="n">
        <f aca="true">CRITBINOM(J2076,Coefficients!$B$30,RAND())</f>
        <v>0</v>
      </c>
      <c r="L2076" s="0" t="n">
        <f aca="true">CRITBINOM(K2076,Coefficients!$B$31,RAND())</f>
        <v>0</v>
      </c>
      <c r="M2076" s="0" t="n">
        <f aca="true">CRITBINOM(MAX(0,J2076-K2076),1-Coefficients!$B$32,RAND())</f>
        <v>0</v>
      </c>
      <c r="N2076" s="0" t="n">
        <f aca="true">CRITBINOM(MAX(0,$C2076-J2076),MIN(0.6,Matchup!$C$40*SQRT($B2076)/(1-MIN(0.75,Matchup!$C$39*$B2076))),RAND())</f>
        <v>2</v>
      </c>
      <c r="O2076" s="0" t="n">
        <f aca="false">6*J2076+(J2076-K2076-M2076)+2*L2076+3*N2076</f>
        <v>34</v>
      </c>
      <c r="P2076" s="0" t="n">
        <f aca="true">RAND()</f>
        <v>0.894273447542948</v>
      </c>
      <c r="Q2076" s="0" t="n">
        <f aca="true">RAND()</f>
        <v>0.183529652633352</v>
      </c>
      <c r="R2076" s="0" t="n">
        <f aca="false">IF($I2076&lt;&gt;$O2076,0,IF(P2076&lt;Matchup!$B$39,7,IF(P2076&lt;Matchup!$B$39+Matchup!$B$40,3,0)))</f>
        <v>0</v>
      </c>
      <c r="S2076" s="0" t="n">
        <f aca="false">IF($I2076&lt;&gt;$O2076,0,IF(Q2076&lt;Matchup!$C$39,7,IF(Q2076&lt;Matchup!$C$39+Matchup!$C$40,3,0)))</f>
        <v>0</v>
      </c>
      <c r="T2076" s="0" t="n">
        <f aca="false">I2076+R2076</f>
        <v>20</v>
      </c>
      <c r="U2076" s="0" t="n">
        <f aca="false">O2076+S2076</f>
        <v>34</v>
      </c>
      <c r="V2076" s="0" t="n">
        <f aca="false">T2076-U2076</f>
        <v>-14</v>
      </c>
      <c r="W2076" s="0" t="n">
        <f aca="false">T2076+U2076</f>
        <v>54</v>
      </c>
    </row>
    <row r="2077" customFormat="false" ht="15" hidden="false" customHeight="false" outlineLevel="0" collapsed="false">
      <c r="A2077" s="0" t="n">
        <v>2074</v>
      </c>
      <c r="B2077" s="0" t="n">
        <f aca="true">NORMINV(RAND(),1,Coefficients!$B$22)</f>
        <v>0.993710104872259</v>
      </c>
      <c r="C2077" s="0" t="n">
        <f aca="true">MEDIAN(8,16,ROUND(NORMINV(RAND(),Coefficients!$B$20,Coefficients!$B$21),0))</f>
        <v>11</v>
      </c>
      <c r="D2077" s="0" t="n">
        <f aca="true">CRITBINOM($C2077,MIN(0.75,Matchup!$B$39*$B2077),RAND())</f>
        <v>2</v>
      </c>
      <c r="E2077" s="0" t="n">
        <f aca="true">CRITBINOM(D2077,Coefficients!$B$30,RAND())</f>
        <v>0</v>
      </c>
      <c r="F2077" s="0" t="n">
        <f aca="true">CRITBINOM(E2077,Coefficients!$B$31,RAND())</f>
        <v>0</v>
      </c>
      <c r="G2077" s="0" t="n">
        <f aca="true">CRITBINOM(MAX(0,D2077-E2077),1-Coefficients!$B$32,RAND())</f>
        <v>0</v>
      </c>
      <c r="H2077" s="0" t="n">
        <f aca="true">CRITBINOM(MAX(0,$C2077-D2077),MIN(0.6,Matchup!$B$40*SQRT($B2077)/(1-MIN(0.75,Matchup!$B$39*$B2077))),RAND())</f>
        <v>1</v>
      </c>
      <c r="I2077" s="0" t="n">
        <f aca="false">6*D2077+(D2077-E2077-G2077)+2*F2077+3*H2077</f>
        <v>17</v>
      </c>
      <c r="J2077" s="0" t="n">
        <f aca="true">CRITBINOM($C2077,MIN(0.75,Matchup!$C$39*$B2077),RAND())</f>
        <v>4</v>
      </c>
      <c r="K2077" s="0" t="n">
        <f aca="true">CRITBINOM(J2077,Coefficients!$B$30,RAND())</f>
        <v>0</v>
      </c>
      <c r="L2077" s="0" t="n">
        <f aca="true">CRITBINOM(K2077,Coefficients!$B$31,RAND())</f>
        <v>0</v>
      </c>
      <c r="M2077" s="0" t="n">
        <f aca="true">CRITBINOM(MAX(0,J2077-K2077),1-Coefficients!$B$32,RAND())</f>
        <v>0</v>
      </c>
      <c r="N2077" s="0" t="n">
        <f aca="true">CRITBINOM(MAX(0,$C2077-J2077),MIN(0.6,Matchup!$C$40*SQRT($B2077)/(1-MIN(0.75,Matchup!$C$39*$B2077))),RAND())</f>
        <v>0</v>
      </c>
      <c r="O2077" s="0" t="n">
        <f aca="false">6*J2077+(J2077-K2077-M2077)+2*L2077+3*N2077</f>
        <v>28</v>
      </c>
      <c r="P2077" s="0" t="n">
        <f aca="true">RAND()</f>
        <v>0.549212814968975</v>
      </c>
      <c r="Q2077" s="0" t="n">
        <f aca="true">RAND()</f>
        <v>0.459387808601303</v>
      </c>
      <c r="R2077" s="0" t="n">
        <f aca="false">IF($I2077&lt;&gt;$O2077,0,IF(P2077&lt;Matchup!$B$39,7,IF(P2077&lt;Matchup!$B$39+Matchup!$B$40,3,0)))</f>
        <v>0</v>
      </c>
      <c r="S2077" s="0" t="n">
        <f aca="false">IF($I2077&lt;&gt;$O2077,0,IF(Q2077&lt;Matchup!$C$39,7,IF(Q2077&lt;Matchup!$C$39+Matchup!$C$40,3,0)))</f>
        <v>0</v>
      </c>
      <c r="T2077" s="0" t="n">
        <f aca="false">I2077+R2077</f>
        <v>17</v>
      </c>
      <c r="U2077" s="0" t="n">
        <f aca="false">O2077+S2077</f>
        <v>28</v>
      </c>
      <c r="V2077" s="0" t="n">
        <f aca="false">T2077-U2077</f>
        <v>-11</v>
      </c>
      <c r="W2077" s="0" t="n">
        <f aca="false">T2077+U2077</f>
        <v>45</v>
      </c>
    </row>
    <row r="2078" customFormat="false" ht="15" hidden="false" customHeight="false" outlineLevel="0" collapsed="false">
      <c r="A2078" s="0" t="n">
        <v>2075</v>
      </c>
      <c r="B2078" s="0" t="n">
        <f aca="true">NORMINV(RAND(),1,Coefficients!$B$22)</f>
        <v>1.05293800103943</v>
      </c>
      <c r="C2078" s="0" t="n">
        <f aca="true">MEDIAN(8,16,ROUND(NORMINV(RAND(),Coefficients!$B$20,Coefficients!$B$21),0))</f>
        <v>11</v>
      </c>
      <c r="D2078" s="0" t="n">
        <f aca="true">CRITBINOM($C2078,MIN(0.75,Matchup!$B$39*$B2078),RAND())</f>
        <v>1</v>
      </c>
      <c r="E2078" s="0" t="n">
        <f aca="true">CRITBINOM(D2078,Coefficients!$B$30,RAND())</f>
        <v>0</v>
      </c>
      <c r="F2078" s="0" t="n">
        <f aca="true">CRITBINOM(E2078,Coefficients!$B$31,RAND())</f>
        <v>0</v>
      </c>
      <c r="G2078" s="0" t="n">
        <f aca="true">CRITBINOM(MAX(0,D2078-E2078),1-Coefficients!$B$32,RAND())</f>
        <v>0</v>
      </c>
      <c r="H2078" s="0" t="n">
        <f aca="true">CRITBINOM(MAX(0,$C2078-D2078),MIN(0.6,Matchup!$B$40*SQRT($B2078)/(1-MIN(0.75,Matchup!$B$39*$B2078))),RAND())</f>
        <v>3</v>
      </c>
      <c r="I2078" s="0" t="n">
        <f aca="false">6*D2078+(D2078-E2078-G2078)+2*F2078+3*H2078</f>
        <v>16</v>
      </c>
      <c r="J2078" s="0" t="n">
        <f aca="true">CRITBINOM($C2078,MIN(0.75,Matchup!$C$39*$B2078),RAND())</f>
        <v>4</v>
      </c>
      <c r="K2078" s="0" t="n">
        <f aca="true">CRITBINOM(J2078,Coefficients!$B$30,RAND())</f>
        <v>0</v>
      </c>
      <c r="L2078" s="0" t="n">
        <f aca="true">CRITBINOM(K2078,Coefficients!$B$31,RAND())</f>
        <v>0</v>
      </c>
      <c r="M2078" s="0" t="n">
        <f aca="true">CRITBINOM(MAX(0,J2078-K2078),1-Coefficients!$B$32,RAND())</f>
        <v>0</v>
      </c>
      <c r="N2078" s="0" t="n">
        <f aca="true">CRITBINOM(MAX(0,$C2078-J2078),MIN(0.6,Matchup!$C$40*SQRT($B2078)/(1-MIN(0.75,Matchup!$C$39*$B2078))),RAND())</f>
        <v>1</v>
      </c>
      <c r="O2078" s="0" t="n">
        <f aca="false">6*J2078+(J2078-K2078-M2078)+2*L2078+3*N2078</f>
        <v>31</v>
      </c>
      <c r="P2078" s="0" t="n">
        <f aca="true">RAND()</f>
        <v>0.384294319030915</v>
      </c>
      <c r="Q2078" s="0" t="n">
        <f aca="true">RAND()</f>
        <v>0.905598412567767</v>
      </c>
      <c r="R2078" s="0" t="n">
        <f aca="false">IF($I2078&lt;&gt;$O2078,0,IF(P2078&lt;Matchup!$B$39,7,IF(P2078&lt;Matchup!$B$39+Matchup!$B$40,3,0)))</f>
        <v>0</v>
      </c>
      <c r="S2078" s="0" t="n">
        <f aca="false">IF($I2078&lt;&gt;$O2078,0,IF(Q2078&lt;Matchup!$C$39,7,IF(Q2078&lt;Matchup!$C$39+Matchup!$C$40,3,0)))</f>
        <v>0</v>
      </c>
      <c r="T2078" s="0" t="n">
        <f aca="false">I2078+R2078</f>
        <v>16</v>
      </c>
      <c r="U2078" s="0" t="n">
        <f aca="false">O2078+S2078</f>
        <v>31</v>
      </c>
      <c r="V2078" s="0" t="n">
        <f aca="false">T2078-U2078</f>
        <v>-15</v>
      </c>
      <c r="W2078" s="0" t="n">
        <f aca="false">T2078+U2078</f>
        <v>47</v>
      </c>
    </row>
    <row r="2079" customFormat="false" ht="15" hidden="false" customHeight="false" outlineLevel="0" collapsed="false">
      <c r="A2079" s="0" t="n">
        <v>2076</v>
      </c>
      <c r="B2079" s="0" t="n">
        <f aca="true">NORMINV(RAND(),1,Coefficients!$B$22)</f>
        <v>1.02951486566603</v>
      </c>
      <c r="C2079" s="0" t="n">
        <f aca="true">MEDIAN(8,16,ROUND(NORMINV(RAND(),Coefficients!$B$20,Coefficients!$B$21),0))</f>
        <v>12</v>
      </c>
      <c r="D2079" s="0" t="n">
        <f aca="true">CRITBINOM($C2079,MIN(0.75,Matchup!$B$39*$B2079),RAND())</f>
        <v>4</v>
      </c>
      <c r="E2079" s="0" t="n">
        <f aca="true">CRITBINOM(D2079,Coefficients!$B$30,RAND())</f>
        <v>0</v>
      </c>
      <c r="F2079" s="0" t="n">
        <f aca="true">CRITBINOM(E2079,Coefficients!$B$31,RAND())</f>
        <v>0</v>
      </c>
      <c r="G2079" s="0" t="n">
        <f aca="true">CRITBINOM(MAX(0,D2079-E2079),1-Coefficients!$B$32,RAND())</f>
        <v>0</v>
      </c>
      <c r="H2079" s="0" t="n">
        <f aca="true">CRITBINOM(MAX(0,$C2079-D2079),MIN(0.6,Matchup!$B$40*SQRT($B2079)/(1-MIN(0.75,Matchup!$B$39*$B2079))),RAND())</f>
        <v>1</v>
      </c>
      <c r="I2079" s="0" t="n">
        <f aca="false">6*D2079+(D2079-E2079-G2079)+2*F2079+3*H2079</f>
        <v>31</v>
      </c>
      <c r="J2079" s="0" t="n">
        <f aca="true">CRITBINOM($C2079,MIN(0.75,Matchup!$C$39*$B2079),RAND())</f>
        <v>3</v>
      </c>
      <c r="K2079" s="0" t="n">
        <f aca="true">CRITBINOM(J2079,Coefficients!$B$30,RAND())</f>
        <v>0</v>
      </c>
      <c r="L2079" s="0" t="n">
        <f aca="true">CRITBINOM(K2079,Coefficients!$B$31,RAND())</f>
        <v>0</v>
      </c>
      <c r="M2079" s="0" t="n">
        <f aca="true">CRITBINOM(MAX(0,J2079-K2079),1-Coefficients!$B$32,RAND())</f>
        <v>0</v>
      </c>
      <c r="N2079" s="0" t="n">
        <f aca="true">CRITBINOM(MAX(0,$C2079-J2079),MIN(0.6,Matchup!$C$40*SQRT($B2079)/(1-MIN(0.75,Matchup!$C$39*$B2079))),RAND())</f>
        <v>3</v>
      </c>
      <c r="O2079" s="0" t="n">
        <f aca="false">6*J2079+(J2079-K2079-M2079)+2*L2079+3*N2079</f>
        <v>30</v>
      </c>
      <c r="P2079" s="0" t="n">
        <f aca="true">RAND()</f>
        <v>0.961623734820894</v>
      </c>
      <c r="Q2079" s="0" t="n">
        <f aca="true">RAND()</f>
        <v>0.963135941325007</v>
      </c>
      <c r="R2079" s="0" t="n">
        <f aca="false">IF($I2079&lt;&gt;$O2079,0,IF(P2079&lt;Matchup!$B$39,7,IF(P2079&lt;Matchup!$B$39+Matchup!$B$40,3,0)))</f>
        <v>0</v>
      </c>
      <c r="S2079" s="0" t="n">
        <f aca="false">IF($I2079&lt;&gt;$O2079,0,IF(Q2079&lt;Matchup!$C$39,7,IF(Q2079&lt;Matchup!$C$39+Matchup!$C$40,3,0)))</f>
        <v>0</v>
      </c>
      <c r="T2079" s="0" t="n">
        <f aca="false">I2079+R2079</f>
        <v>31</v>
      </c>
      <c r="U2079" s="0" t="n">
        <f aca="false">O2079+S2079</f>
        <v>30</v>
      </c>
      <c r="V2079" s="0" t="n">
        <f aca="false">T2079-U2079</f>
        <v>1</v>
      </c>
      <c r="W2079" s="0" t="n">
        <f aca="false">T2079+U2079</f>
        <v>61</v>
      </c>
    </row>
    <row r="2080" customFormat="false" ht="15" hidden="false" customHeight="false" outlineLevel="0" collapsed="false">
      <c r="A2080" s="0" t="n">
        <v>2077</v>
      </c>
      <c r="B2080" s="0" t="n">
        <f aca="true">NORMINV(RAND(),1,Coefficients!$B$22)</f>
        <v>0.93393261840676</v>
      </c>
      <c r="C2080" s="0" t="n">
        <f aca="true">MEDIAN(8,16,ROUND(NORMINV(RAND(),Coefficients!$B$20,Coefficients!$B$21),0))</f>
        <v>13</v>
      </c>
      <c r="D2080" s="0" t="n">
        <f aca="true">CRITBINOM($C2080,MIN(0.75,Matchup!$B$39*$B2080),RAND())</f>
        <v>1</v>
      </c>
      <c r="E2080" s="0" t="n">
        <f aca="true">CRITBINOM(D2080,Coefficients!$B$30,RAND())</f>
        <v>0</v>
      </c>
      <c r="F2080" s="0" t="n">
        <f aca="true">CRITBINOM(E2080,Coefficients!$B$31,RAND())</f>
        <v>0</v>
      </c>
      <c r="G2080" s="0" t="n">
        <f aca="true">CRITBINOM(MAX(0,D2080-E2080),1-Coefficients!$B$32,RAND())</f>
        <v>0</v>
      </c>
      <c r="H2080" s="0" t="n">
        <f aca="true">CRITBINOM(MAX(0,$C2080-D2080),MIN(0.6,Matchup!$B$40*SQRT($B2080)/(1-MIN(0.75,Matchup!$B$39*$B2080))),RAND())</f>
        <v>3</v>
      </c>
      <c r="I2080" s="0" t="n">
        <f aca="false">6*D2080+(D2080-E2080-G2080)+2*F2080+3*H2080</f>
        <v>16</v>
      </c>
      <c r="J2080" s="0" t="n">
        <f aca="true">CRITBINOM($C2080,MIN(0.75,Matchup!$C$39*$B2080),RAND())</f>
        <v>4</v>
      </c>
      <c r="K2080" s="0" t="n">
        <f aca="true">CRITBINOM(J2080,Coefficients!$B$30,RAND())</f>
        <v>1</v>
      </c>
      <c r="L2080" s="0" t="n">
        <f aca="true">CRITBINOM(K2080,Coefficients!$B$31,RAND())</f>
        <v>0</v>
      </c>
      <c r="M2080" s="0" t="n">
        <f aca="true">CRITBINOM(MAX(0,J2080-K2080),1-Coefficients!$B$32,RAND())</f>
        <v>0</v>
      </c>
      <c r="N2080" s="0" t="n">
        <f aca="true">CRITBINOM(MAX(0,$C2080-J2080),MIN(0.6,Matchup!$C$40*SQRT($B2080)/(1-MIN(0.75,Matchup!$C$39*$B2080))),RAND())</f>
        <v>1</v>
      </c>
      <c r="O2080" s="0" t="n">
        <f aca="false">6*J2080+(J2080-K2080-M2080)+2*L2080+3*N2080</f>
        <v>30</v>
      </c>
      <c r="P2080" s="0" t="n">
        <f aca="true">RAND()</f>
        <v>0.521638543444863</v>
      </c>
      <c r="Q2080" s="0" t="n">
        <f aca="true">RAND()</f>
        <v>0.268894201218408</v>
      </c>
      <c r="R2080" s="0" t="n">
        <f aca="false">IF($I2080&lt;&gt;$O2080,0,IF(P2080&lt;Matchup!$B$39,7,IF(P2080&lt;Matchup!$B$39+Matchup!$B$40,3,0)))</f>
        <v>0</v>
      </c>
      <c r="S2080" s="0" t="n">
        <f aca="false">IF($I2080&lt;&gt;$O2080,0,IF(Q2080&lt;Matchup!$C$39,7,IF(Q2080&lt;Matchup!$C$39+Matchup!$C$40,3,0)))</f>
        <v>0</v>
      </c>
      <c r="T2080" s="0" t="n">
        <f aca="false">I2080+R2080</f>
        <v>16</v>
      </c>
      <c r="U2080" s="0" t="n">
        <f aca="false">O2080+S2080</f>
        <v>30</v>
      </c>
      <c r="V2080" s="0" t="n">
        <f aca="false">T2080-U2080</f>
        <v>-14</v>
      </c>
      <c r="W2080" s="0" t="n">
        <f aca="false">T2080+U2080</f>
        <v>46</v>
      </c>
    </row>
    <row r="2081" customFormat="false" ht="15" hidden="false" customHeight="false" outlineLevel="0" collapsed="false">
      <c r="A2081" s="0" t="n">
        <v>2078</v>
      </c>
      <c r="B2081" s="0" t="n">
        <f aca="true">NORMINV(RAND(),1,Coefficients!$B$22)</f>
        <v>1.03935669059987</v>
      </c>
      <c r="C2081" s="0" t="n">
        <f aca="true">MEDIAN(8,16,ROUND(NORMINV(RAND(),Coefficients!$B$20,Coefficients!$B$21),0))</f>
        <v>11</v>
      </c>
      <c r="D2081" s="0" t="n">
        <f aca="true">CRITBINOM($C2081,MIN(0.75,Matchup!$B$39*$B2081),RAND())</f>
        <v>1</v>
      </c>
      <c r="E2081" s="0" t="n">
        <f aca="true">CRITBINOM(D2081,Coefficients!$B$30,RAND())</f>
        <v>0</v>
      </c>
      <c r="F2081" s="0" t="n">
        <f aca="true">CRITBINOM(E2081,Coefficients!$B$31,RAND())</f>
        <v>0</v>
      </c>
      <c r="G2081" s="0" t="n">
        <f aca="true">CRITBINOM(MAX(0,D2081-E2081),1-Coefficients!$B$32,RAND())</f>
        <v>0</v>
      </c>
      <c r="H2081" s="0" t="n">
        <f aca="true">CRITBINOM(MAX(0,$C2081-D2081),MIN(0.6,Matchup!$B$40*SQRT($B2081)/(1-MIN(0.75,Matchup!$B$39*$B2081))),RAND())</f>
        <v>2</v>
      </c>
      <c r="I2081" s="0" t="n">
        <f aca="false">6*D2081+(D2081-E2081-G2081)+2*F2081+3*H2081</f>
        <v>13</v>
      </c>
      <c r="J2081" s="0" t="n">
        <f aca="true">CRITBINOM($C2081,MIN(0.75,Matchup!$C$39*$B2081),RAND())</f>
        <v>4</v>
      </c>
      <c r="K2081" s="0" t="n">
        <f aca="true">CRITBINOM(J2081,Coefficients!$B$30,RAND())</f>
        <v>1</v>
      </c>
      <c r="L2081" s="0" t="n">
        <f aca="true">CRITBINOM(K2081,Coefficients!$B$31,RAND())</f>
        <v>1</v>
      </c>
      <c r="M2081" s="0" t="n">
        <f aca="true">CRITBINOM(MAX(0,J2081-K2081),1-Coefficients!$B$32,RAND())</f>
        <v>1</v>
      </c>
      <c r="N2081" s="0" t="n">
        <f aca="true">CRITBINOM(MAX(0,$C2081-J2081),MIN(0.6,Matchup!$C$40*SQRT($B2081)/(1-MIN(0.75,Matchup!$C$39*$B2081))),RAND())</f>
        <v>3</v>
      </c>
      <c r="O2081" s="0" t="n">
        <f aca="false">6*J2081+(J2081-K2081-M2081)+2*L2081+3*N2081</f>
        <v>37</v>
      </c>
      <c r="P2081" s="0" t="n">
        <f aca="true">RAND()</f>
        <v>0.96113727913919</v>
      </c>
      <c r="Q2081" s="0" t="n">
        <f aca="true">RAND()</f>
        <v>0.533725558009426</v>
      </c>
      <c r="R2081" s="0" t="n">
        <f aca="false">IF($I2081&lt;&gt;$O2081,0,IF(P2081&lt;Matchup!$B$39,7,IF(P2081&lt;Matchup!$B$39+Matchup!$B$40,3,0)))</f>
        <v>0</v>
      </c>
      <c r="S2081" s="0" t="n">
        <f aca="false">IF($I2081&lt;&gt;$O2081,0,IF(Q2081&lt;Matchup!$C$39,7,IF(Q2081&lt;Matchup!$C$39+Matchup!$C$40,3,0)))</f>
        <v>0</v>
      </c>
      <c r="T2081" s="0" t="n">
        <f aca="false">I2081+R2081</f>
        <v>13</v>
      </c>
      <c r="U2081" s="0" t="n">
        <f aca="false">O2081+S2081</f>
        <v>37</v>
      </c>
      <c r="V2081" s="0" t="n">
        <f aca="false">T2081-U2081</f>
        <v>-24</v>
      </c>
      <c r="W2081" s="0" t="n">
        <f aca="false">T2081+U2081</f>
        <v>50</v>
      </c>
    </row>
    <row r="2082" customFormat="false" ht="15" hidden="false" customHeight="false" outlineLevel="0" collapsed="false">
      <c r="A2082" s="0" t="n">
        <v>2079</v>
      </c>
      <c r="B2082" s="0" t="n">
        <f aca="true">NORMINV(RAND(),1,Coefficients!$B$22)</f>
        <v>1.05043740815835</v>
      </c>
      <c r="C2082" s="0" t="n">
        <f aca="true">MEDIAN(8,16,ROUND(NORMINV(RAND(),Coefficients!$B$20,Coefficients!$B$21),0))</f>
        <v>11</v>
      </c>
      <c r="D2082" s="0" t="n">
        <f aca="true">CRITBINOM($C2082,MIN(0.75,Matchup!$B$39*$B2082),RAND())</f>
        <v>3</v>
      </c>
      <c r="E2082" s="0" t="n">
        <f aca="true">CRITBINOM(D2082,Coefficients!$B$30,RAND())</f>
        <v>0</v>
      </c>
      <c r="F2082" s="0" t="n">
        <f aca="true">CRITBINOM(E2082,Coefficients!$B$31,RAND())</f>
        <v>0</v>
      </c>
      <c r="G2082" s="0" t="n">
        <f aca="true">CRITBINOM(MAX(0,D2082-E2082),1-Coefficients!$B$32,RAND())</f>
        <v>0</v>
      </c>
      <c r="H2082" s="0" t="n">
        <f aca="true">CRITBINOM(MAX(0,$C2082-D2082),MIN(0.6,Matchup!$B$40*SQRT($B2082)/(1-MIN(0.75,Matchup!$B$39*$B2082))),RAND())</f>
        <v>0</v>
      </c>
      <c r="I2082" s="0" t="n">
        <f aca="false">6*D2082+(D2082-E2082-G2082)+2*F2082+3*H2082</f>
        <v>21</v>
      </c>
      <c r="J2082" s="0" t="n">
        <f aca="true">CRITBINOM($C2082,MIN(0.75,Matchup!$C$39*$B2082),RAND())</f>
        <v>4</v>
      </c>
      <c r="K2082" s="0" t="n">
        <f aca="true">CRITBINOM(J2082,Coefficients!$B$30,RAND())</f>
        <v>0</v>
      </c>
      <c r="L2082" s="0" t="n">
        <f aca="true">CRITBINOM(K2082,Coefficients!$B$31,RAND())</f>
        <v>0</v>
      </c>
      <c r="M2082" s="0" t="n">
        <f aca="true">CRITBINOM(MAX(0,J2082-K2082),1-Coefficients!$B$32,RAND())</f>
        <v>0</v>
      </c>
      <c r="N2082" s="0" t="n">
        <f aca="true">CRITBINOM(MAX(0,$C2082-J2082),MIN(0.6,Matchup!$C$40*SQRT($B2082)/(1-MIN(0.75,Matchup!$C$39*$B2082))),RAND())</f>
        <v>1</v>
      </c>
      <c r="O2082" s="0" t="n">
        <f aca="false">6*J2082+(J2082-K2082-M2082)+2*L2082+3*N2082</f>
        <v>31</v>
      </c>
      <c r="P2082" s="0" t="n">
        <f aca="true">RAND()</f>
        <v>0.543861335369341</v>
      </c>
      <c r="Q2082" s="0" t="n">
        <f aca="true">RAND()</f>
        <v>0.64264322071698</v>
      </c>
      <c r="R2082" s="0" t="n">
        <f aca="false">IF($I2082&lt;&gt;$O2082,0,IF(P2082&lt;Matchup!$B$39,7,IF(P2082&lt;Matchup!$B$39+Matchup!$B$40,3,0)))</f>
        <v>0</v>
      </c>
      <c r="S2082" s="0" t="n">
        <f aca="false">IF($I2082&lt;&gt;$O2082,0,IF(Q2082&lt;Matchup!$C$39,7,IF(Q2082&lt;Matchup!$C$39+Matchup!$C$40,3,0)))</f>
        <v>0</v>
      </c>
      <c r="T2082" s="0" t="n">
        <f aca="false">I2082+R2082</f>
        <v>21</v>
      </c>
      <c r="U2082" s="0" t="n">
        <f aca="false">O2082+S2082</f>
        <v>31</v>
      </c>
      <c r="V2082" s="0" t="n">
        <f aca="false">T2082-U2082</f>
        <v>-10</v>
      </c>
      <c r="W2082" s="0" t="n">
        <f aca="false">T2082+U2082</f>
        <v>52</v>
      </c>
    </row>
    <row r="2083" customFormat="false" ht="15" hidden="false" customHeight="false" outlineLevel="0" collapsed="false">
      <c r="A2083" s="0" t="n">
        <v>2080</v>
      </c>
      <c r="B2083" s="0" t="n">
        <f aca="true">NORMINV(RAND(),1,Coefficients!$B$22)</f>
        <v>0.96513300269873</v>
      </c>
      <c r="C2083" s="0" t="n">
        <f aca="true">MEDIAN(8,16,ROUND(NORMINV(RAND(),Coefficients!$B$20,Coefficients!$B$21),0))</f>
        <v>12</v>
      </c>
      <c r="D2083" s="0" t="n">
        <f aca="true">CRITBINOM($C2083,MIN(0.75,Matchup!$B$39*$B2083),RAND())</f>
        <v>3</v>
      </c>
      <c r="E2083" s="0" t="n">
        <f aca="true">CRITBINOM(D2083,Coefficients!$B$30,RAND())</f>
        <v>0</v>
      </c>
      <c r="F2083" s="0" t="n">
        <f aca="true">CRITBINOM(E2083,Coefficients!$B$31,RAND())</f>
        <v>0</v>
      </c>
      <c r="G2083" s="0" t="n">
        <f aca="true">CRITBINOM(MAX(0,D2083-E2083),1-Coefficients!$B$32,RAND())</f>
        <v>0</v>
      </c>
      <c r="H2083" s="0" t="n">
        <f aca="true">CRITBINOM(MAX(0,$C2083-D2083),MIN(0.6,Matchup!$B$40*SQRT($B2083)/(1-MIN(0.75,Matchup!$B$39*$B2083))),RAND())</f>
        <v>0</v>
      </c>
      <c r="I2083" s="0" t="n">
        <f aca="false">6*D2083+(D2083-E2083-G2083)+2*F2083+3*H2083</f>
        <v>21</v>
      </c>
      <c r="J2083" s="0" t="n">
        <f aca="true">CRITBINOM($C2083,MIN(0.75,Matchup!$C$39*$B2083),RAND())</f>
        <v>1</v>
      </c>
      <c r="K2083" s="0" t="n">
        <f aca="true">CRITBINOM(J2083,Coefficients!$B$30,RAND())</f>
        <v>0</v>
      </c>
      <c r="L2083" s="0" t="n">
        <f aca="true">CRITBINOM(K2083,Coefficients!$B$31,RAND())</f>
        <v>0</v>
      </c>
      <c r="M2083" s="0" t="n">
        <f aca="true">CRITBINOM(MAX(0,J2083-K2083),1-Coefficients!$B$32,RAND())</f>
        <v>0</v>
      </c>
      <c r="N2083" s="0" t="n">
        <f aca="true">CRITBINOM(MAX(0,$C2083-J2083),MIN(0.6,Matchup!$C$40*SQRT($B2083)/(1-MIN(0.75,Matchup!$C$39*$B2083))),RAND())</f>
        <v>1</v>
      </c>
      <c r="O2083" s="0" t="n">
        <f aca="false">6*J2083+(J2083-K2083-M2083)+2*L2083+3*N2083</f>
        <v>10</v>
      </c>
      <c r="P2083" s="0" t="n">
        <f aca="true">RAND()</f>
        <v>0.729055014203794</v>
      </c>
      <c r="Q2083" s="0" t="n">
        <f aca="true">RAND()</f>
        <v>0.704641918819299</v>
      </c>
      <c r="R2083" s="0" t="n">
        <f aca="false">IF($I2083&lt;&gt;$O2083,0,IF(P2083&lt;Matchup!$B$39,7,IF(P2083&lt;Matchup!$B$39+Matchup!$B$40,3,0)))</f>
        <v>0</v>
      </c>
      <c r="S2083" s="0" t="n">
        <f aca="false">IF($I2083&lt;&gt;$O2083,0,IF(Q2083&lt;Matchup!$C$39,7,IF(Q2083&lt;Matchup!$C$39+Matchup!$C$40,3,0)))</f>
        <v>0</v>
      </c>
      <c r="T2083" s="0" t="n">
        <f aca="false">I2083+R2083</f>
        <v>21</v>
      </c>
      <c r="U2083" s="0" t="n">
        <f aca="false">O2083+S2083</f>
        <v>10</v>
      </c>
      <c r="V2083" s="0" t="n">
        <f aca="false">T2083-U2083</f>
        <v>11</v>
      </c>
      <c r="W2083" s="0" t="n">
        <f aca="false">T2083+U2083</f>
        <v>31</v>
      </c>
    </row>
    <row r="2084" customFormat="false" ht="15" hidden="false" customHeight="false" outlineLevel="0" collapsed="false">
      <c r="A2084" s="0" t="n">
        <v>2081</v>
      </c>
      <c r="B2084" s="0" t="n">
        <f aca="true">NORMINV(RAND(),1,Coefficients!$B$22)</f>
        <v>0.899016227494653</v>
      </c>
      <c r="C2084" s="0" t="n">
        <f aca="true">MEDIAN(8,16,ROUND(NORMINV(RAND(),Coefficients!$B$20,Coefficients!$B$21),0))</f>
        <v>13</v>
      </c>
      <c r="D2084" s="0" t="n">
        <f aca="true">CRITBINOM($C2084,MIN(0.75,Matchup!$B$39*$B2084),RAND())</f>
        <v>1</v>
      </c>
      <c r="E2084" s="0" t="n">
        <f aca="true">CRITBINOM(D2084,Coefficients!$B$30,RAND())</f>
        <v>0</v>
      </c>
      <c r="F2084" s="0" t="n">
        <f aca="true">CRITBINOM(E2084,Coefficients!$B$31,RAND())</f>
        <v>0</v>
      </c>
      <c r="G2084" s="0" t="n">
        <f aca="true">CRITBINOM(MAX(0,D2084-E2084),1-Coefficients!$B$32,RAND())</f>
        <v>0</v>
      </c>
      <c r="H2084" s="0" t="n">
        <f aca="true">CRITBINOM(MAX(0,$C2084-D2084),MIN(0.6,Matchup!$B$40*SQRT($B2084)/(1-MIN(0.75,Matchup!$B$39*$B2084))),RAND())</f>
        <v>2</v>
      </c>
      <c r="I2084" s="0" t="n">
        <f aca="false">6*D2084+(D2084-E2084-G2084)+2*F2084+3*H2084</f>
        <v>13</v>
      </c>
      <c r="J2084" s="0" t="n">
        <f aca="true">CRITBINOM($C2084,MIN(0.75,Matchup!$C$39*$B2084),RAND())</f>
        <v>2</v>
      </c>
      <c r="K2084" s="0" t="n">
        <f aca="true">CRITBINOM(J2084,Coefficients!$B$30,RAND())</f>
        <v>0</v>
      </c>
      <c r="L2084" s="0" t="n">
        <f aca="true">CRITBINOM(K2084,Coefficients!$B$31,RAND())</f>
        <v>0</v>
      </c>
      <c r="M2084" s="0" t="n">
        <f aca="true">CRITBINOM(MAX(0,J2084-K2084),1-Coefficients!$B$32,RAND())</f>
        <v>0</v>
      </c>
      <c r="N2084" s="0" t="n">
        <f aca="true">CRITBINOM(MAX(0,$C2084-J2084),MIN(0.6,Matchup!$C$40*SQRT($B2084)/(1-MIN(0.75,Matchup!$C$39*$B2084))),RAND())</f>
        <v>3</v>
      </c>
      <c r="O2084" s="0" t="n">
        <f aca="false">6*J2084+(J2084-K2084-M2084)+2*L2084+3*N2084</f>
        <v>23</v>
      </c>
      <c r="P2084" s="0" t="n">
        <f aca="true">RAND()</f>
        <v>0.172093290388783</v>
      </c>
      <c r="Q2084" s="0" t="n">
        <f aca="true">RAND()</f>
        <v>0.899519211665664</v>
      </c>
      <c r="R2084" s="0" t="n">
        <f aca="false">IF($I2084&lt;&gt;$O2084,0,IF(P2084&lt;Matchup!$B$39,7,IF(P2084&lt;Matchup!$B$39+Matchup!$B$40,3,0)))</f>
        <v>0</v>
      </c>
      <c r="S2084" s="0" t="n">
        <f aca="false">IF($I2084&lt;&gt;$O2084,0,IF(Q2084&lt;Matchup!$C$39,7,IF(Q2084&lt;Matchup!$C$39+Matchup!$C$40,3,0)))</f>
        <v>0</v>
      </c>
      <c r="T2084" s="0" t="n">
        <f aca="false">I2084+R2084</f>
        <v>13</v>
      </c>
      <c r="U2084" s="0" t="n">
        <f aca="false">O2084+S2084</f>
        <v>23</v>
      </c>
      <c r="V2084" s="0" t="n">
        <f aca="false">T2084-U2084</f>
        <v>-10</v>
      </c>
      <c r="W2084" s="0" t="n">
        <f aca="false">T2084+U2084</f>
        <v>36</v>
      </c>
    </row>
    <row r="2085" customFormat="false" ht="15" hidden="false" customHeight="false" outlineLevel="0" collapsed="false">
      <c r="A2085" s="0" t="n">
        <v>2082</v>
      </c>
      <c r="B2085" s="0" t="n">
        <f aca="true">NORMINV(RAND(),1,Coefficients!$B$22)</f>
        <v>1.11091007007746</v>
      </c>
      <c r="C2085" s="0" t="n">
        <f aca="true">MEDIAN(8,16,ROUND(NORMINV(RAND(),Coefficients!$B$20,Coefficients!$B$21),0))</f>
        <v>9</v>
      </c>
      <c r="D2085" s="0" t="n">
        <f aca="true">CRITBINOM($C2085,MIN(0.75,Matchup!$B$39*$B2085),RAND())</f>
        <v>4</v>
      </c>
      <c r="E2085" s="0" t="n">
        <f aca="true">CRITBINOM(D2085,Coefficients!$B$30,RAND())</f>
        <v>0</v>
      </c>
      <c r="F2085" s="0" t="n">
        <f aca="true">CRITBINOM(E2085,Coefficients!$B$31,RAND())</f>
        <v>0</v>
      </c>
      <c r="G2085" s="0" t="n">
        <f aca="true">CRITBINOM(MAX(0,D2085-E2085),1-Coefficients!$B$32,RAND())</f>
        <v>0</v>
      </c>
      <c r="H2085" s="0" t="n">
        <f aca="true">CRITBINOM(MAX(0,$C2085-D2085),MIN(0.6,Matchup!$B$40*SQRT($B2085)/(1-MIN(0.75,Matchup!$B$39*$B2085))),RAND())</f>
        <v>0</v>
      </c>
      <c r="I2085" s="0" t="n">
        <f aca="false">6*D2085+(D2085-E2085-G2085)+2*F2085+3*H2085</f>
        <v>28</v>
      </c>
      <c r="J2085" s="0" t="n">
        <f aca="true">CRITBINOM($C2085,MIN(0.75,Matchup!$C$39*$B2085),RAND())</f>
        <v>2</v>
      </c>
      <c r="K2085" s="0" t="n">
        <f aca="true">CRITBINOM(J2085,Coefficients!$B$30,RAND())</f>
        <v>0</v>
      </c>
      <c r="L2085" s="0" t="n">
        <f aca="true">CRITBINOM(K2085,Coefficients!$B$31,RAND())</f>
        <v>0</v>
      </c>
      <c r="M2085" s="0" t="n">
        <f aca="true">CRITBINOM(MAX(0,J2085-K2085),1-Coefficients!$B$32,RAND())</f>
        <v>0</v>
      </c>
      <c r="N2085" s="0" t="n">
        <f aca="true">CRITBINOM(MAX(0,$C2085-J2085),MIN(0.6,Matchup!$C$40*SQRT($B2085)/(1-MIN(0.75,Matchup!$C$39*$B2085))),RAND())</f>
        <v>1</v>
      </c>
      <c r="O2085" s="0" t="n">
        <f aca="false">6*J2085+(J2085-K2085-M2085)+2*L2085+3*N2085</f>
        <v>17</v>
      </c>
      <c r="P2085" s="0" t="n">
        <f aca="true">RAND()</f>
        <v>0.234804327820144</v>
      </c>
      <c r="Q2085" s="0" t="n">
        <f aca="true">RAND()</f>
        <v>0.770219278258214</v>
      </c>
      <c r="R2085" s="0" t="n">
        <f aca="false">IF($I2085&lt;&gt;$O2085,0,IF(P2085&lt;Matchup!$B$39,7,IF(P2085&lt;Matchup!$B$39+Matchup!$B$40,3,0)))</f>
        <v>0</v>
      </c>
      <c r="S2085" s="0" t="n">
        <f aca="false">IF($I2085&lt;&gt;$O2085,0,IF(Q2085&lt;Matchup!$C$39,7,IF(Q2085&lt;Matchup!$C$39+Matchup!$C$40,3,0)))</f>
        <v>0</v>
      </c>
      <c r="T2085" s="0" t="n">
        <f aca="false">I2085+R2085</f>
        <v>28</v>
      </c>
      <c r="U2085" s="0" t="n">
        <f aca="false">O2085+S2085</f>
        <v>17</v>
      </c>
      <c r="V2085" s="0" t="n">
        <f aca="false">T2085-U2085</f>
        <v>11</v>
      </c>
      <c r="W2085" s="0" t="n">
        <f aca="false">T2085+U2085</f>
        <v>45</v>
      </c>
    </row>
    <row r="2086" customFormat="false" ht="15" hidden="false" customHeight="false" outlineLevel="0" collapsed="false">
      <c r="A2086" s="0" t="n">
        <v>2083</v>
      </c>
      <c r="B2086" s="0" t="n">
        <f aca="true">NORMINV(RAND(),1,Coefficients!$B$22)</f>
        <v>1.14706819209741</v>
      </c>
      <c r="C2086" s="0" t="n">
        <f aca="true">MEDIAN(8,16,ROUND(NORMINV(RAND(),Coefficients!$B$20,Coefficients!$B$21),0))</f>
        <v>11</v>
      </c>
      <c r="D2086" s="0" t="n">
        <f aca="true">CRITBINOM($C2086,MIN(0.75,Matchup!$B$39*$B2086),RAND())</f>
        <v>2</v>
      </c>
      <c r="E2086" s="0" t="n">
        <f aca="true">CRITBINOM(D2086,Coefficients!$B$30,RAND())</f>
        <v>1</v>
      </c>
      <c r="F2086" s="0" t="n">
        <f aca="true">CRITBINOM(E2086,Coefficients!$B$31,RAND())</f>
        <v>0</v>
      </c>
      <c r="G2086" s="0" t="n">
        <f aca="true">CRITBINOM(MAX(0,D2086-E2086),1-Coefficients!$B$32,RAND())</f>
        <v>1</v>
      </c>
      <c r="H2086" s="0" t="n">
        <f aca="true">CRITBINOM(MAX(0,$C2086-D2086),MIN(0.6,Matchup!$B$40*SQRT($B2086)/(1-MIN(0.75,Matchup!$B$39*$B2086))),RAND())</f>
        <v>3</v>
      </c>
      <c r="I2086" s="0" t="n">
        <f aca="false">6*D2086+(D2086-E2086-G2086)+2*F2086+3*H2086</f>
        <v>21</v>
      </c>
      <c r="J2086" s="0" t="n">
        <f aca="true">CRITBINOM($C2086,MIN(0.75,Matchup!$C$39*$B2086),RAND())</f>
        <v>2</v>
      </c>
      <c r="K2086" s="0" t="n">
        <f aca="true">CRITBINOM(J2086,Coefficients!$B$30,RAND())</f>
        <v>0</v>
      </c>
      <c r="L2086" s="0" t="n">
        <f aca="true">CRITBINOM(K2086,Coefficients!$B$31,RAND())</f>
        <v>0</v>
      </c>
      <c r="M2086" s="0" t="n">
        <f aca="true">CRITBINOM(MAX(0,J2086-K2086),1-Coefficients!$B$32,RAND())</f>
        <v>0</v>
      </c>
      <c r="N2086" s="0" t="n">
        <f aca="true">CRITBINOM(MAX(0,$C2086-J2086),MIN(0.6,Matchup!$C$40*SQRT($B2086)/(1-MIN(0.75,Matchup!$C$39*$B2086))),RAND())</f>
        <v>2</v>
      </c>
      <c r="O2086" s="0" t="n">
        <f aca="false">6*J2086+(J2086-K2086-M2086)+2*L2086+3*N2086</f>
        <v>20</v>
      </c>
      <c r="P2086" s="0" t="n">
        <f aca="true">RAND()</f>
        <v>0.767525608730665</v>
      </c>
      <c r="Q2086" s="0" t="n">
        <f aca="true">RAND()</f>
        <v>0.378849774945377</v>
      </c>
      <c r="R2086" s="0" t="n">
        <f aca="false">IF($I2086&lt;&gt;$O2086,0,IF(P2086&lt;Matchup!$B$39,7,IF(P2086&lt;Matchup!$B$39+Matchup!$B$40,3,0)))</f>
        <v>0</v>
      </c>
      <c r="S2086" s="0" t="n">
        <f aca="false">IF($I2086&lt;&gt;$O2086,0,IF(Q2086&lt;Matchup!$C$39,7,IF(Q2086&lt;Matchup!$C$39+Matchup!$C$40,3,0)))</f>
        <v>0</v>
      </c>
      <c r="T2086" s="0" t="n">
        <f aca="false">I2086+R2086</f>
        <v>21</v>
      </c>
      <c r="U2086" s="0" t="n">
        <f aca="false">O2086+S2086</f>
        <v>20</v>
      </c>
      <c r="V2086" s="0" t="n">
        <f aca="false">T2086-U2086</f>
        <v>1</v>
      </c>
      <c r="W2086" s="0" t="n">
        <f aca="false">T2086+U2086</f>
        <v>41</v>
      </c>
    </row>
    <row r="2087" customFormat="false" ht="15" hidden="false" customHeight="false" outlineLevel="0" collapsed="false">
      <c r="A2087" s="0" t="n">
        <v>2084</v>
      </c>
      <c r="B2087" s="0" t="n">
        <f aca="true">NORMINV(RAND(),1,Coefficients!$B$22)</f>
        <v>0.988936811359087</v>
      </c>
      <c r="C2087" s="0" t="n">
        <f aca="true">MEDIAN(8,16,ROUND(NORMINV(RAND(),Coefficients!$B$20,Coefficients!$B$21),0))</f>
        <v>11</v>
      </c>
      <c r="D2087" s="0" t="n">
        <f aca="true">CRITBINOM($C2087,MIN(0.75,Matchup!$B$39*$B2087),RAND())</f>
        <v>3</v>
      </c>
      <c r="E2087" s="0" t="n">
        <f aca="true">CRITBINOM(D2087,Coefficients!$B$30,RAND())</f>
        <v>0</v>
      </c>
      <c r="F2087" s="0" t="n">
        <f aca="true">CRITBINOM(E2087,Coefficients!$B$31,RAND())</f>
        <v>0</v>
      </c>
      <c r="G2087" s="0" t="n">
        <f aca="true">CRITBINOM(MAX(0,D2087-E2087),1-Coefficients!$B$32,RAND())</f>
        <v>1</v>
      </c>
      <c r="H2087" s="0" t="n">
        <f aca="true">CRITBINOM(MAX(0,$C2087-D2087),MIN(0.6,Matchup!$B$40*SQRT($B2087)/(1-MIN(0.75,Matchup!$B$39*$B2087))),RAND())</f>
        <v>0</v>
      </c>
      <c r="I2087" s="0" t="n">
        <f aca="false">6*D2087+(D2087-E2087-G2087)+2*F2087+3*H2087</f>
        <v>20</v>
      </c>
      <c r="J2087" s="0" t="n">
        <f aca="true">CRITBINOM($C2087,MIN(0.75,Matchup!$C$39*$B2087),RAND())</f>
        <v>3</v>
      </c>
      <c r="K2087" s="0" t="n">
        <f aca="true">CRITBINOM(J2087,Coefficients!$B$30,RAND())</f>
        <v>1</v>
      </c>
      <c r="L2087" s="0" t="n">
        <f aca="true">CRITBINOM(K2087,Coefficients!$B$31,RAND())</f>
        <v>0</v>
      </c>
      <c r="M2087" s="0" t="n">
        <f aca="true">CRITBINOM(MAX(0,J2087-K2087),1-Coefficients!$B$32,RAND())</f>
        <v>0</v>
      </c>
      <c r="N2087" s="0" t="n">
        <f aca="true">CRITBINOM(MAX(0,$C2087-J2087),MIN(0.6,Matchup!$C$40*SQRT($B2087)/(1-MIN(0.75,Matchup!$C$39*$B2087))),RAND())</f>
        <v>3</v>
      </c>
      <c r="O2087" s="0" t="n">
        <f aca="false">6*J2087+(J2087-K2087-M2087)+2*L2087+3*N2087</f>
        <v>29</v>
      </c>
      <c r="P2087" s="0" t="n">
        <f aca="true">RAND()</f>
        <v>0.387785198790069</v>
      </c>
      <c r="Q2087" s="0" t="n">
        <f aca="true">RAND()</f>
        <v>0.823096295050248</v>
      </c>
      <c r="R2087" s="0" t="n">
        <f aca="false">IF($I2087&lt;&gt;$O2087,0,IF(P2087&lt;Matchup!$B$39,7,IF(P2087&lt;Matchup!$B$39+Matchup!$B$40,3,0)))</f>
        <v>0</v>
      </c>
      <c r="S2087" s="0" t="n">
        <f aca="false">IF($I2087&lt;&gt;$O2087,0,IF(Q2087&lt;Matchup!$C$39,7,IF(Q2087&lt;Matchup!$C$39+Matchup!$C$40,3,0)))</f>
        <v>0</v>
      </c>
      <c r="T2087" s="0" t="n">
        <f aca="false">I2087+R2087</f>
        <v>20</v>
      </c>
      <c r="U2087" s="0" t="n">
        <f aca="false">O2087+S2087</f>
        <v>29</v>
      </c>
      <c r="V2087" s="0" t="n">
        <f aca="false">T2087-U2087</f>
        <v>-9</v>
      </c>
      <c r="W2087" s="0" t="n">
        <f aca="false">T2087+U2087</f>
        <v>49</v>
      </c>
    </row>
    <row r="2088" customFormat="false" ht="15" hidden="false" customHeight="false" outlineLevel="0" collapsed="false">
      <c r="A2088" s="0" t="n">
        <v>2085</v>
      </c>
      <c r="B2088" s="0" t="n">
        <f aca="true">NORMINV(RAND(),1,Coefficients!$B$22)</f>
        <v>0.878959403237092</v>
      </c>
      <c r="C2088" s="0" t="n">
        <f aca="true">MEDIAN(8,16,ROUND(NORMINV(RAND(),Coefficients!$B$20,Coefficients!$B$21),0))</f>
        <v>13</v>
      </c>
      <c r="D2088" s="0" t="n">
        <f aca="true">CRITBINOM($C2088,MIN(0.75,Matchup!$B$39*$B2088),RAND())</f>
        <v>4</v>
      </c>
      <c r="E2088" s="0" t="n">
        <f aca="true">CRITBINOM(D2088,Coefficients!$B$30,RAND())</f>
        <v>0</v>
      </c>
      <c r="F2088" s="0" t="n">
        <f aca="true">CRITBINOM(E2088,Coefficients!$B$31,RAND())</f>
        <v>0</v>
      </c>
      <c r="G2088" s="0" t="n">
        <f aca="true">CRITBINOM(MAX(0,D2088-E2088),1-Coefficients!$B$32,RAND())</f>
        <v>0</v>
      </c>
      <c r="H2088" s="0" t="n">
        <f aca="true">CRITBINOM(MAX(0,$C2088-D2088),MIN(0.6,Matchup!$B$40*SQRT($B2088)/(1-MIN(0.75,Matchup!$B$39*$B2088))),RAND())</f>
        <v>0</v>
      </c>
      <c r="I2088" s="0" t="n">
        <f aca="false">6*D2088+(D2088-E2088-G2088)+2*F2088+3*H2088</f>
        <v>28</v>
      </c>
      <c r="J2088" s="0" t="n">
        <f aca="true">CRITBINOM($C2088,MIN(0.75,Matchup!$C$39*$B2088),RAND())</f>
        <v>0</v>
      </c>
      <c r="K2088" s="0" t="n">
        <f aca="true">CRITBINOM(J2088,Coefficients!$B$30,RAND())</f>
        <v>0</v>
      </c>
      <c r="L2088" s="0" t="n">
        <f aca="true">CRITBINOM(K2088,Coefficients!$B$31,RAND())</f>
        <v>0</v>
      </c>
      <c r="M2088" s="0" t="n">
        <f aca="true">CRITBINOM(MAX(0,J2088-K2088),1-Coefficients!$B$32,RAND())</f>
        <v>0</v>
      </c>
      <c r="N2088" s="0" t="n">
        <f aca="true">CRITBINOM(MAX(0,$C2088-J2088),MIN(0.6,Matchup!$C$40*SQRT($B2088)/(1-MIN(0.75,Matchup!$C$39*$B2088))),RAND())</f>
        <v>3</v>
      </c>
      <c r="O2088" s="0" t="n">
        <f aca="false">6*J2088+(J2088-K2088-M2088)+2*L2088+3*N2088</f>
        <v>9</v>
      </c>
      <c r="P2088" s="0" t="n">
        <f aca="true">RAND()</f>
        <v>0.215147958497695</v>
      </c>
      <c r="Q2088" s="0" t="n">
        <f aca="true">RAND()</f>
        <v>0.728850099940466</v>
      </c>
      <c r="R2088" s="0" t="n">
        <f aca="false">IF($I2088&lt;&gt;$O2088,0,IF(P2088&lt;Matchup!$B$39,7,IF(P2088&lt;Matchup!$B$39+Matchup!$B$40,3,0)))</f>
        <v>0</v>
      </c>
      <c r="S2088" s="0" t="n">
        <f aca="false">IF($I2088&lt;&gt;$O2088,0,IF(Q2088&lt;Matchup!$C$39,7,IF(Q2088&lt;Matchup!$C$39+Matchup!$C$40,3,0)))</f>
        <v>0</v>
      </c>
      <c r="T2088" s="0" t="n">
        <f aca="false">I2088+R2088</f>
        <v>28</v>
      </c>
      <c r="U2088" s="0" t="n">
        <f aca="false">O2088+S2088</f>
        <v>9</v>
      </c>
      <c r="V2088" s="0" t="n">
        <f aca="false">T2088-U2088</f>
        <v>19</v>
      </c>
      <c r="W2088" s="0" t="n">
        <f aca="false">T2088+U2088</f>
        <v>37</v>
      </c>
    </row>
    <row r="2089" customFormat="false" ht="15" hidden="false" customHeight="false" outlineLevel="0" collapsed="false">
      <c r="A2089" s="0" t="n">
        <v>2086</v>
      </c>
      <c r="B2089" s="0" t="n">
        <f aca="true">NORMINV(RAND(),1,Coefficients!$B$22)</f>
        <v>0.91348517639096</v>
      </c>
      <c r="C2089" s="0" t="n">
        <f aca="true">MEDIAN(8,16,ROUND(NORMINV(RAND(),Coefficients!$B$20,Coefficients!$B$21),0))</f>
        <v>11</v>
      </c>
      <c r="D2089" s="0" t="n">
        <f aca="true">CRITBINOM($C2089,MIN(0.75,Matchup!$B$39*$B2089),RAND())</f>
        <v>1</v>
      </c>
      <c r="E2089" s="0" t="n">
        <f aca="true">CRITBINOM(D2089,Coefficients!$B$30,RAND())</f>
        <v>0</v>
      </c>
      <c r="F2089" s="0" t="n">
        <f aca="true">CRITBINOM(E2089,Coefficients!$B$31,RAND())</f>
        <v>0</v>
      </c>
      <c r="G2089" s="0" t="n">
        <f aca="true">CRITBINOM(MAX(0,D2089-E2089),1-Coefficients!$B$32,RAND())</f>
        <v>0</v>
      </c>
      <c r="H2089" s="0" t="n">
        <f aca="true">CRITBINOM(MAX(0,$C2089-D2089),MIN(0.6,Matchup!$B$40*SQRT($B2089)/(1-MIN(0.75,Matchup!$B$39*$B2089))),RAND())</f>
        <v>2</v>
      </c>
      <c r="I2089" s="0" t="n">
        <f aca="false">6*D2089+(D2089-E2089-G2089)+2*F2089+3*H2089</f>
        <v>13</v>
      </c>
      <c r="J2089" s="0" t="n">
        <f aca="true">CRITBINOM($C2089,MIN(0.75,Matchup!$C$39*$B2089),RAND())</f>
        <v>1</v>
      </c>
      <c r="K2089" s="0" t="n">
        <f aca="true">CRITBINOM(J2089,Coefficients!$B$30,RAND())</f>
        <v>0</v>
      </c>
      <c r="L2089" s="0" t="n">
        <f aca="true">CRITBINOM(K2089,Coefficients!$B$31,RAND())</f>
        <v>0</v>
      </c>
      <c r="M2089" s="0" t="n">
        <f aca="true">CRITBINOM(MAX(0,J2089-K2089),1-Coefficients!$B$32,RAND())</f>
        <v>0</v>
      </c>
      <c r="N2089" s="0" t="n">
        <f aca="true">CRITBINOM(MAX(0,$C2089-J2089),MIN(0.6,Matchup!$C$40*SQRT($B2089)/(1-MIN(0.75,Matchup!$C$39*$B2089))),RAND())</f>
        <v>3</v>
      </c>
      <c r="O2089" s="0" t="n">
        <f aca="false">6*J2089+(J2089-K2089-M2089)+2*L2089+3*N2089</f>
        <v>16</v>
      </c>
      <c r="P2089" s="0" t="n">
        <f aca="true">RAND()</f>
        <v>0.29282694907118</v>
      </c>
      <c r="Q2089" s="0" t="n">
        <f aca="true">RAND()</f>
        <v>0.526635464256201</v>
      </c>
      <c r="R2089" s="0" t="n">
        <f aca="false">IF($I2089&lt;&gt;$O2089,0,IF(P2089&lt;Matchup!$B$39,7,IF(P2089&lt;Matchup!$B$39+Matchup!$B$40,3,0)))</f>
        <v>0</v>
      </c>
      <c r="S2089" s="0" t="n">
        <f aca="false">IF($I2089&lt;&gt;$O2089,0,IF(Q2089&lt;Matchup!$C$39,7,IF(Q2089&lt;Matchup!$C$39+Matchup!$C$40,3,0)))</f>
        <v>0</v>
      </c>
      <c r="T2089" s="0" t="n">
        <f aca="false">I2089+R2089</f>
        <v>13</v>
      </c>
      <c r="U2089" s="0" t="n">
        <f aca="false">O2089+S2089</f>
        <v>16</v>
      </c>
      <c r="V2089" s="0" t="n">
        <f aca="false">T2089-U2089</f>
        <v>-3</v>
      </c>
      <c r="W2089" s="0" t="n">
        <f aca="false">T2089+U2089</f>
        <v>29</v>
      </c>
    </row>
    <row r="2090" customFormat="false" ht="15" hidden="false" customHeight="false" outlineLevel="0" collapsed="false">
      <c r="A2090" s="0" t="n">
        <v>2087</v>
      </c>
      <c r="B2090" s="0" t="n">
        <f aca="true">NORMINV(RAND(),1,Coefficients!$B$22)</f>
        <v>0.968001486081769</v>
      </c>
      <c r="C2090" s="0" t="n">
        <f aca="true">MEDIAN(8,16,ROUND(NORMINV(RAND(),Coefficients!$B$20,Coefficients!$B$21),0))</f>
        <v>10</v>
      </c>
      <c r="D2090" s="0" t="n">
        <f aca="true">CRITBINOM($C2090,MIN(0.75,Matchup!$B$39*$B2090),RAND())</f>
        <v>6</v>
      </c>
      <c r="E2090" s="0" t="n">
        <f aca="true">CRITBINOM(D2090,Coefficients!$B$30,RAND())</f>
        <v>3</v>
      </c>
      <c r="F2090" s="0" t="n">
        <f aca="true">CRITBINOM(E2090,Coefficients!$B$31,RAND())</f>
        <v>0</v>
      </c>
      <c r="G2090" s="0" t="n">
        <f aca="true">CRITBINOM(MAX(0,D2090-E2090),1-Coefficients!$B$32,RAND())</f>
        <v>0</v>
      </c>
      <c r="H2090" s="0" t="n">
        <f aca="true">CRITBINOM(MAX(0,$C2090-D2090),MIN(0.6,Matchup!$B$40*SQRT($B2090)/(1-MIN(0.75,Matchup!$B$39*$B2090))),RAND())</f>
        <v>2</v>
      </c>
      <c r="I2090" s="0" t="n">
        <f aca="false">6*D2090+(D2090-E2090-G2090)+2*F2090+3*H2090</f>
        <v>45</v>
      </c>
      <c r="J2090" s="0" t="n">
        <f aca="true">CRITBINOM($C2090,MIN(0.75,Matchup!$C$39*$B2090),RAND())</f>
        <v>2</v>
      </c>
      <c r="K2090" s="0" t="n">
        <f aca="true">CRITBINOM(J2090,Coefficients!$B$30,RAND())</f>
        <v>0</v>
      </c>
      <c r="L2090" s="0" t="n">
        <f aca="true">CRITBINOM(K2090,Coefficients!$B$31,RAND())</f>
        <v>0</v>
      </c>
      <c r="M2090" s="0" t="n">
        <f aca="true">CRITBINOM(MAX(0,J2090-K2090),1-Coefficients!$B$32,RAND())</f>
        <v>0</v>
      </c>
      <c r="N2090" s="0" t="n">
        <f aca="true">CRITBINOM(MAX(0,$C2090-J2090),MIN(0.6,Matchup!$C$40*SQRT($B2090)/(1-MIN(0.75,Matchup!$C$39*$B2090))),RAND())</f>
        <v>1</v>
      </c>
      <c r="O2090" s="0" t="n">
        <f aca="false">6*J2090+(J2090-K2090-M2090)+2*L2090+3*N2090</f>
        <v>17</v>
      </c>
      <c r="P2090" s="0" t="n">
        <f aca="true">RAND()</f>
        <v>0.557102734773357</v>
      </c>
      <c r="Q2090" s="0" t="n">
        <f aca="true">RAND()</f>
        <v>0.00318233377782301</v>
      </c>
      <c r="R2090" s="0" t="n">
        <f aca="false">IF($I2090&lt;&gt;$O2090,0,IF(P2090&lt;Matchup!$B$39,7,IF(P2090&lt;Matchup!$B$39+Matchup!$B$40,3,0)))</f>
        <v>0</v>
      </c>
      <c r="S2090" s="0" t="n">
        <f aca="false">IF($I2090&lt;&gt;$O2090,0,IF(Q2090&lt;Matchup!$C$39,7,IF(Q2090&lt;Matchup!$C$39+Matchup!$C$40,3,0)))</f>
        <v>0</v>
      </c>
      <c r="T2090" s="0" t="n">
        <f aca="false">I2090+R2090</f>
        <v>45</v>
      </c>
      <c r="U2090" s="0" t="n">
        <f aca="false">O2090+S2090</f>
        <v>17</v>
      </c>
      <c r="V2090" s="0" t="n">
        <f aca="false">T2090-U2090</f>
        <v>28</v>
      </c>
      <c r="W2090" s="0" t="n">
        <f aca="false">T2090+U2090</f>
        <v>62</v>
      </c>
    </row>
    <row r="2091" customFormat="false" ht="15" hidden="false" customHeight="false" outlineLevel="0" collapsed="false">
      <c r="A2091" s="0" t="n">
        <v>2088</v>
      </c>
      <c r="B2091" s="0" t="n">
        <f aca="true">NORMINV(RAND(),1,Coefficients!$B$22)</f>
        <v>0.983323130620724</v>
      </c>
      <c r="C2091" s="0" t="n">
        <f aca="true">MEDIAN(8,16,ROUND(NORMINV(RAND(),Coefficients!$B$20,Coefficients!$B$21),0))</f>
        <v>13</v>
      </c>
      <c r="D2091" s="0" t="n">
        <f aca="true">CRITBINOM($C2091,MIN(0.75,Matchup!$B$39*$B2091),RAND())</f>
        <v>2</v>
      </c>
      <c r="E2091" s="0" t="n">
        <f aca="true">CRITBINOM(D2091,Coefficients!$B$30,RAND())</f>
        <v>0</v>
      </c>
      <c r="F2091" s="0" t="n">
        <f aca="true">CRITBINOM(E2091,Coefficients!$B$31,RAND())</f>
        <v>0</v>
      </c>
      <c r="G2091" s="0" t="n">
        <f aca="true">CRITBINOM(MAX(0,D2091-E2091),1-Coefficients!$B$32,RAND())</f>
        <v>0</v>
      </c>
      <c r="H2091" s="0" t="n">
        <f aca="true">CRITBINOM(MAX(0,$C2091-D2091),MIN(0.6,Matchup!$B$40*SQRT($B2091)/(1-MIN(0.75,Matchup!$B$39*$B2091))),RAND())</f>
        <v>2</v>
      </c>
      <c r="I2091" s="0" t="n">
        <f aca="false">6*D2091+(D2091-E2091-G2091)+2*F2091+3*H2091</f>
        <v>20</v>
      </c>
      <c r="J2091" s="0" t="n">
        <f aca="true">CRITBINOM($C2091,MIN(0.75,Matchup!$C$39*$B2091),RAND())</f>
        <v>4</v>
      </c>
      <c r="K2091" s="0" t="n">
        <f aca="true">CRITBINOM(J2091,Coefficients!$B$30,RAND())</f>
        <v>0</v>
      </c>
      <c r="L2091" s="0" t="n">
        <f aca="true">CRITBINOM(K2091,Coefficients!$B$31,RAND())</f>
        <v>0</v>
      </c>
      <c r="M2091" s="0" t="n">
        <f aca="true">CRITBINOM(MAX(0,J2091-K2091),1-Coefficients!$B$32,RAND())</f>
        <v>0</v>
      </c>
      <c r="N2091" s="0" t="n">
        <f aca="true">CRITBINOM(MAX(0,$C2091-J2091),MIN(0.6,Matchup!$C$40*SQRT($B2091)/(1-MIN(0.75,Matchup!$C$39*$B2091))),RAND())</f>
        <v>1</v>
      </c>
      <c r="O2091" s="0" t="n">
        <f aca="false">6*J2091+(J2091-K2091-M2091)+2*L2091+3*N2091</f>
        <v>31</v>
      </c>
      <c r="P2091" s="0" t="n">
        <f aca="true">RAND()</f>
        <v>0.547036282524481</v>
      </c>
      <c r="Q2091" s="0" t="n">
        <f aca="true">RAND()</f>
        <v>0.745144871168946</v>
      </c>
      <c r="R2091" s="0" t="n">
        <f aca="false">IF($I2091&lt;&gt;$O2091,0,IF(P2091&lt;Matchup!$B$39,7,IF(P2091&lt;Matchup!$B$39+Matchup!$B$40,3,0)))</f>
        <v>0</v>
      </c>
      <c r="S2091" s="0" t="n">
        <f aca="false">IF($I2091&lt;&gt;$O2091,0,IF(Q2091&lt;Matchup!$C$39,7,IF(Q2091&lt;Matchup!$C$39+Matchup!$C$40,3,0)))</f>
        <v>0</v>
      </c>
      <c r="T2091" s="0" t="n">
        <f aca="false">I2091+R2091</f>
        <v>20</v>
      </c>
      <c r="U2091" s="0" t="n">
        <f aca="false">O2091+S2091</f>
        <v>31</v>
      </c>
      <c r="V2091" s="0" t="n">
        <f aca="false">T2091-U2091</f>
        <v>-11</v>
      </c>
      <c r="W2091" s="0" t="n">
        <f aca="false">T2091+U2091</f>
        <v>51</v>
      </c>
    </row>
    <row r="2092" customFormat="false" ht="15" hidden="false" customHeight="false" outlineLevel="0" collapsed="false">
      <c r="A2092" s="0" t="n">
        <v>2089</v>
      </c>
      <c r="B2092" s="0" t="n">
        <f aca="true">NORMINV(RAND(),1,Coefficients!$B$22)</f>
        <v>0.955023661279634</v>
      </c>
      <c r="C2092" s="0" t="n">
        <f aca="true">MEDIAN(8,16,ROUND(NORMINV(RAND(),Coefficients!$B$20,Coefficients!$B$21),0))</f>
        <v>11</v>
      </c>
      <c r="D2092" s="0" t="n">
        <f aca="true">CRITBINOM($C2092,MIN(0.75,Matchup!$B$39*$B2092),RAND())</f>
        <v>2</v>
      </c>
      <c r="E2092" s="0" t="n">
        <f aca="true">CRITBINOM(D2092,Coefficients!$B$30,RAND())</f>
        <v>0</v>
      </c>
      <c r="F2092" s="0" t="n">
        <f aca="true">CRITBINOM(E2092,Coefficients!$B$31,RAND())</f>
        <v>0</v>
      </c>
      <c r="G2092" s="0" t="n">
        <f aca="true">CRITBINOM(MAX(0,D2092-E2092),1-Coefficients!$B$32,RAND())</f>
        <v>0</v>
      </c>
      <c r="H2092" s="0" t="n">
        <f aca="true">CRITBINOM(MAX(0,$C2092-D2092),MIN(0.6,Matchup!$B$40*SQRT($B2092)/(1-MIN(0.75,Matchup!$B$39*$B2092))),RAND())</f>
        <v>1</v>
      </c>
      <c r="I2092" s="0" t="n">
        <f aca="false">6*D2092+(D2092-E2092-G2092)+2*F2092+3*H2092</f>
        <v>17</v>
      </c>
      <c r="J2092" s="0" t="n">
        <f aca="true">CRITBINOM($C2092,MIN(0.75,Matchup!$C$39*$B2092),RAND())</f>
        <v>4</v>
      </c>
      <c r="K2092" s="0" t="n">
        <f aca="true">CRITBINOM(J2092,Coefficients!$B$30,RAND())</f>
        <v>0</v>
      </c>
      <c r="L2092" s="0" t="n">
        <f aca="true">CRITBINOM(K2092,Coefficients!$B$31,RAND())</f>
        <v>0</v>
      </c>
      <c r="M2092" s="0" t="n">
        <f aca="true">CRITBINOM(MAX(0,J2092-K2092),1-Coefficients!$B$32,RAND())</f>
        <v>0</v>
      </c>
      <c r="N2092" s="0" t="n">
        <f aca="true">CRITBINOM(MAX(0,$C2092-J2092),MIN(0.6,Matchup!$C$40*SQRT($B2092)/(1-MIN(0.75,Matchup!$C$39*$B2092))),RAND())</f>
        <v>0</v>
      </c>
      <c r="O2092" s="0" t="n">
        <f aca="false">6*J2092+(J2092-K2092-M2092)+2*L2092+3*N2092</f>
        <v>28</v>
      </c>
      <c r="P2092" s="0" t="n">
        <f aca="true">RAND()</f>
        <v>0.372621382277278</v>
      </c>
      <c r="Q2092" s="0" t="n">
        <f aca="true">RAND()</f>
        <v>0.485158600296272</v>
      </c>
      <c r="R2092" s="0" t="n">
        <f aca="false">IF($I2092&lt;&gt;$O2092,0,IF(P2092&lt;Matchup!$B$39,7,IF(P2092&lt;Matchup!$B$39+Matchup!$B$40,3,0)))</f>
        <v>0</v>
      </c>
      <c r="S2092" s="0" t="n">
        <f aca="false">IF($I2092&lt;&gt;$O2092,0,IF(Q2092&lt;Matchup!$C$39,7,IF(Q2092&lt;Matchup!$C$39+Matchup!$C$40,3,0)))</f>
        <v>0</v>
      </c>
      <c r="T2092" s="0" t="n">
        <f aca="false">I2092+R2092</f>
        <v>17</v>
      </c>
      <c r="U2092" s="0" t="n">
        <f aca="false">O2092+S2092</f>
        <v>28</v>
      </c>
      <c r="V2092" s="0" t="n">
        <f aca="false">T2092-U2092</f>
        <v>-11</v>
      </c>
      <c r="W2092" s="0" t="n">
        <f aca="false">T2092+U2092</f>
        <v>45</v>
      </c>
    </row>
    <row r="2093" customFormat="false" ht="15" hidden="false" customHeight="false" outlineLevel="0" collapsed="false">
      <c r="A2093" s="0" t="n">
        <v>2090</v>
      </c>
      <c r="B2093" s="0" t="n">
        <f aca="true">NORMINV(RAND(),1,Coefficients!$B$22)</f>
        <v>1.00260030279067</v>
      </c>
      <c r="C2093" s="0" t="n">
        <f aca="true">MEDIAN(8,16,ROUND(NORMINV(RAND(),Coefficients!$B$20,Coefficients!$B$21),0))</f>
        <v>11</v>
      </c>
      <c r="D2093" s="0" t="n">
        <f aca="true">CRITBINOM($C2093,MIN(0.75,Matchup!$B$39*$B2093),RAND())</f>
        <v>4</v>
      </c>
      <c r="E2093" s="0" t="n">
        <f aca="true">CRITBINOM(D2093,Coefficients!$B$30,RAND())</f>
        <v>0</v>
      </c>
      <c r="F2093" s="0" t="n">
        <f aca="true">CRITBINOM(E2093,Coefficients!$B$31,RAND())</f>
        <v>0</v>
      </c>
      <c r="G2093" s="0" t="n">
        <f aca="true">CRITBINOM(MAX(0,D2093-E2093),1-Coefficients!$B$32,RAND())</f>
        <v>0</v>
      </c>
      <c r="H2093" s="0" t="n">
        <f aca="true">CRITBINOM(MAX(0,$C2093-D2093),MIN(0.6,Matchup!$B$40*SQRT($B2093)/(1-MIN(0.75,Matchup!$B$39*$B2093))),RAND())</f>
        <v>2</v>
      </c>
      <c r="I2093" s="0" t="n">
        <f aca="false">6*D2093+(D2093-E2093-G2093)+2*F2093+3*H2093</f>
        <v>34</v>
      </c>
      <c r="J2093" s="0" t="n">
        <f aca="true">CRITBINOM($C2093,MIN(0.75,Matchup!$C$39*$B2093),RAND())</f>
        <v>2</v>
      </c>
      <c r="K2093" s="0" t="n">
        <f aca="true">CRITBINOM(J2093,Coefficients!$B$30,RAND())</f>
        <v>1</v>
      </c>
      <c r="L2093" s="0" t="n">
        <f aca="true">CRITBINOM(K2093,Coefficients!$B$31,RAND())</f>
        <v>0</v>
      </c>
      <c r="M2093" s="0" t="n">
        <f aca="true">CRITBINOM(MAX(0,J2093-K2093),1-Coefficients!$B$32,RAND())</f>
        <v>0</v>
      </c>
      <c r="N2093" s="0" t="n">
        <f aca="true">CRITBINOM(MAX(0,$C2093-J2093),MIN(0.6,Matchup!$C$40*SQRT($B2093)/(1-MIN(0.75,Matchup!$C$39*$B2093))),RAND())</f>
        <v>2</v>
      </c>
      <c r="O2093" s="0" t="n">
        <f aca="false">6*J2093+(J2093-K2093-M2093)+2*L2093+3*N2093</f>
        <v>19</v>
      </c>
      <c r="P2093" s="0" t="n">
        <f aca="true">RAND()</f>
        <v>0.746047319256426</v>
      </c>
      <c r="Q2093" s="0" t="n">
        <f aca="true">RAND()</f>
        <v>0.58046607534939</v>
      </c>
      <c r="R2093" s="0" t="n">
        <f aca="false">IF($I2093&lt;&gt;$O2093,0,IF(P2093&lt;Matchup!$B$39,7,IF(P2093&lt;Matchup!$B$39+Matchup!$B$40,3,0)))</f>
        <v>0</v>
      </c>
      <c r="S2093" s="0" t="n">
        <f aca="false">IF($I2093&lt;&gt;$O2093,0,IF(Q2093&lt;Matchup!$C$39,7,IF(Q2093&lt;Matchup!$C$39+Matchup!$C$40,3,0)))</f>
        <v>0</v>
      </c>
      <c r="T2093" s="0" t="n">
        <f aca="false">I2093+R2093</f>
        <v>34</v>
      </c>
      <c r="U2093" s="0" t="n">
        <f aca="false">O2093+S2093</f>
        <v>19</v>
      </c>
      <c r="V2093" s="0" t="n">
        <f aca="false">T2093-U2093</f>
        <v>15</v>
      </c>
      <c r="W2093" s="0" t="n">
        <f aca="false">T2093+U2093</f>
        <v>53</v>
      </c>
    </row>
    <row r="2094" customFormat="false" ht="15" hidden="false" customHeight="false" outlineLevel="0" collapsed="false">
      <c r="A2094" s="0" t="n">
        <v>2091</v>
      </c>
      <c r="B2094" s="0" t="n">
        <f aca="true">NORMINV(RAND(),1,Coefficients!$B$22)</f>
        <v>1.14434842958495</v>
      </c>
      <c r="C2094" s="0" t="n">
        <f aca="true">MEDIAN(8,16,ROUND(NORMINV(RAND(),Coefficients!$B$20,Coefficients!$B$21),0))</f>
        <v>11</v>
      </c>
      <c r="D2094" s="0" t="n">
        <f aca="true">CRITBINOM($C2094,MIN(0.75,Matchup!$B$39*$B2094),RAND())</f>
        <v>2</v>
      </c>
      <c r="E2094" s="0" t="n">
        <f aca="true">CRITBINOM(D2094,Coefficients!$B$30,RAND())</f>
        <v>0</v>
      </c>
      <c r="F2094" s="0" t="n">
        <f aca="true">CRITBINOM(E2094,Coefficients!$B$31,RAND())</f>
        <v>0</v>
      </c>
      <c r="G2094" s="0" t="n">
        <f aca="true">CRITBINOM(MAX(0,D2094-E2094),1-Coefficients!$B$32,RAND())</f>
        <v>0</v>
      </c>
      <c r="H2094" s="0" t="n">
        <f aca="true">CRITBINOM(MAX(0,$C2094-D2094),MIN(0.6,Matchup!$B$40*SQRT($B2094)/(1-MIN(0.75,Matchup!$B$39*$B2094))),RAND())</f>
        <v>2</v>
      </c>
      <c r="I2094" s="0" t="n">
        <f aca="false">6*D2094+(D2094-E2094-G2094)+2*F2094+3*H2094</f>
        <v>20</v>
      </c>
      <c r="J2094" s="0" t="n">
        <f aca="true">CRITBINOM($C2094,MIN(0.75,Matchup!$C$39*$B2094),RAND())</f>
        <v>3</v>
      </c>
      <c r="K2094" s="0" t="n">
        <f aca="true">CRITBINOM(J2094,Coefficients!$B$30,RAND())</f>
        <v>0</v>
      </c>
      <c r="L2094" s="0" t="n">
        <f aca="true">CRITBINOM(K2094,Coefficients!$B$31,RAND())</f>
        <v>0</v>
      </c>
      <c r="M2094" s="0" t="n">
        <f aca="true">CRITBINOM(MAX(0,J2094-K2094),1-Coefficients!$B$32,RAND())</f>
        <v>0</v>
      </c>
      <c r="N2094" s="0" t="n">
        <f aca="true">CRITBINOM(MAX(0,$C2094-J2094),MIN(0.6,Matchup!$C$40*SQRT($B2094)/(1-MIN(0.75,Matchup!$C$39*$B2094))),RAND())</f>
        <v>0</v>
      </c>
      <c r="O2094" s="0" t="n">
        <f aca="false">6*J2094+(J2094-K2094-M2094)+2*L2094+3*N2094</f>
        <v>21</v>
      </c>
      <c r="P2094" s="0" t="n">
        <f aca="true">RAND()</f>
        <v>0.870014724485594</v>
      </c>
      <c r="Q2094" s="0" t="n">
        <f aca="true">RAND()</f>
        <v>0.622078223031091</v>
      </c>
      <c r="R2094" s="0" t="n">
        <f aca="false">IF($I2094&lt;&gt;$O2094,0,IF(P2094&lt;Matchup!$B$39,7,IF(P2094&lt;Matchup!$B$39+Matchup!$B$40,3,0)))</f>
        <v>0</v>
      </c>
      <c r="S2094" s="0" t="n">
        <f aca="false">IF($I2094&lt;&gt;$O2094,0,IF(Q2094&lt;Matchup!$C$39,7,IF(Q2094&lt;Matchup!$C$39+Matchup!$C$40,3,0)))</f>
        <v>0</v>
      </c>
      <c r="T2094" s="0" t="n">
        <f aca="false">I2094+R2094</f>
        <v>20</v>
      </c>
      <c r="U2094" s="0" t="n">
        <f aca="false">O2094+S2094</f>
        <v>21</v>
      </c>
      <c r="V2094" s="0" t="n">
        <f aca="false">T2094-U2094</f>
        <v>-1</v>
      </c>
      <c r="W2094" s="0" t="n">
        <f aca="false">T2094+U2094</f>
        <v>41</v>
      </c>
    </row>
    <row r="2095" customFormat="false" ht="15" hidden="false" customHeight="false" outlineLevel="0" collapsed="false">
      <c r="A2095" s="0" t="n">
        <v>2092</v>
      </c>
      <c r="B2095" s="0" t="n">
        <f aca="true">NORMINV(RAND(),1,Coefficients!$B$22)</f>
        <v>0.873231545510266</v>
      </c>
      <c r="C2095" s="0" t="n">
        <f aca="true">MEDIAN(8,16,ROUND(NORMINV(RAND(),Coefficients!$B$20,Coefficients!$B$21),0))</f>
        <v>12</v>
      </c>
      <c r="D2095" s="0" t="n">
        <f aca="true">CRITBINOM($C2095,MIN(0.75,Matchup!$B$39*$B2095),RAND())</f>
        <v>0</v>
      </c>
      <c r="E2095" s="0" t="n">
        <f aca="true">CRITBINOM(D2095,Coefficients!$B$30,RAND())</f>
        <v>0</v>
      </c>
      <c r="F2095" s="0" t="n">
        <f aca="true">CRITBINOM(E2095,Coefficients!$B$31,RAND())</f>
        <v>0</v>
      </c>
      <c r="G2095" s="0" t="n">
        <f aca="true">CRITBINOM(MAX(0,D2095-E2095),1-Coefficients!$B$32,RAND())</f>
        <v>0</v>
      </c>
      <c r="H2095" s="0" t="n">
        <f aca="true">CRITBINOM(MAX(0,$C2095-D2095),MIN(0.6,Matchup!$B$40*SQRT($B2095)/(1-MIN(0.75,Matchup!$B$39*$B2095))),RAND())</f>
        <v>4</v>
      </c>
      <c r="I2095" s="0" t="n">
        <f aca="false">6*D2095+(D2095-E2095-G2095)+2*F2095+3*H2095</f>
        <v>12</v>
      </c>
      <c r="J2095" s="0" t="n">
        <f aca="true">CRITBINOM($C2095,MIN(0.75,Matchup!$C$39*$B2095),RAND())</f>
        <v>1</v>
      </c>
      <c r="K2095" s="0" t="n">
        <f aca="true">CRITBINOM(J2095,Coefficients!$B$30,RAND())</f>
        <v>0</v>
      </c>
      <c r="L2095" s="0" t="n">
        <f aca="true">CRITBINOM(K2095,Coefficients!$B$31,RAND())</f>
        <v>0</v>
      </c>
      <c r="M2095" s="0" t="n">
        <f aca="true">CRITBINOM(MAX(0,J2095-K2095),1-Coefficients!$B$32,RAND())</f>
        <v>1</v>
      </c>
      <c r="N2095" s="0" t="n">
        <f aca="true">CRITBINOM(MAX(0,$C2095-J2095),MIN(0.6,Matchup!$C$40*SQRT($B2095)/(1-MIN(0.75,Matchup!$C$39*$B2095))),RAND())</f>
        <v>2</v>
      </c>
      <c r="O2095" s="0" t="n">
        <f aca="false">6*J2095+(J2095-K2095-M2095)+2*L2095+3*N2095</f>
        <v>12</v>
      </c>
      <c r="P2095" s="0" t="n">
        <f aca="true">RAND()</f>
        <v>0.439392715180903</v>
      </c>
      <c r="Q2095" s="0" t="n">
        <f aca="true">RAND()</f>
        <v>0.835548341783648</v>
      </c>
      <c r="R2095" s="0" t="n">
        <f aca="false">IF($I2095&lt;&gt;$O2095,0,IF(P2095&lt;Matchup!$B$39,7,IF(P2095&lt;Matchup!$B$39+Matchup!$B$40,3,0)))</f>
        <v>0</v>
      </c>
      <c r="S2095" s="0" t="n">
        <f aca="false">IF($I2095&lt;&gt;$O2095,0,IF(Q2095&lt;Matchup!$C$39,7,IF(Q2095&lt;Matchup!$C$39+Matchup!$C$40,3,0)))</f>
        <v>0</v>
      </c>
      <c r="T2095" s="0" t="n">
        <f aca="false">I2095+R2095</f>
        <v>12</v>
      </c>
      <c r="U2095" s="0" t="n">
        <f aca="false">O2095+S2095</f>
        <v>12</v>
      </c>
      <c r="V2095" s="0" t="n">
        <f aca="false">T2095-U2095</f>
        <v>0</v>
      </c>
      <c r="W2095" s="0" t="n">
        <f aca="false">T2095+U2095</f>
        <v>24</v>
      </c>
    </row>
    <row r="2096" customFormat="false" ht="15" hidden="false" customHeight="false" outlineLevel="0" collapsed="false">
      <c r="A2096" s="0" t="n">
        <v>2093</v>
      </c>
      <c r="B2096" s="0" t="n">
        <f aca="true">NORMINV(RAND(),1,Coefficients!$B$22)</f>
        <v>0.974994955820909</v>
      </c>
      <c r="C2096" s="0" t="n">
        <f aca="true">MEDIAN(8,16,ROUND(NORMINV(RAND(),Coefficients!$B$20,Coefficients!$B$21),0))</f>
        <v>10</v>
      </c>
      <c r="D2096" s="0" t="n">
        <f aca="true">CRITBINOM($C2096,MIN(0.75,Matchup!$B$39*$B2096),RAND())</f>
        <v>2</v>
      </c>
      <c r="E2096" s="0" t="n">
        <f aca="true">CRITBINOM(D2096,Coefficients!$B$30,RAND())</f>
        <v>0</v>
      </c>
      <c r="F2096" s="0" t="n">
        <f aca="true">CRITBINOM(E2096,Coefficients!$B$31,RAND())</f>
        <v>0</v>
      </c>
      <c r="G2096" s="0" t="n">
        <f aca="true">CRITBINOM(MAX(0,D2096-E2096),1-Coefficients!$B$32,RAND())</f>
        <v>0</v>
      </c>
      <c r="H2096" s="0" t="n">
        <f aca="true">CRITBINOM(MAX(0,$C2096-D2096),MIN(0.6,Matchup!$B$40*SQRT($B2096)/(1-MIN(0.75,Matchup!$B$39*$B2096))),RAND())</f>
        <v>2</v>
      </c>
      <c r="I2096" s="0" t="n">
        <f aca="false">6*D2096+(D2096-E2096-G2096)+2*F2096+3*H2096</f>
        <v>20</v>
      </c>
      <c r="J2096" s="0" t="n">
        <f aca="true">CRITBINOM($C2096,MIN(0.75,Matchup!$C$39*$B2096),RAND())</f>
        <v>0</v>
      </c>
      <c r="K2096" s="0" t="n">
        <f aca="true">CRITBINOM(J2096,Coefficients!$B$30,RAND())</f>
        <v>0</v>
      </c>
      <c r="L2096" s="0" t="n">
        <f aca="true">CRITBINOM(K2096,Coefficients!$B$31,RAND())</f>
        <v>0</v>
      </c>
      <c r="M2096" s="0" t="n">
        <f aca="true">CRITBINOM(MAX(0,J2096-K2096),1-Coefficients!$B$32,RAND())</f>
        <v>0</v>
      </c>
      <c r="N2096" s="0" t="n">
        <f aca="true">CRITBINOM(MAX(0,$C2096-J2096),MIN(0.6,Matchup!$C$40*SQRT($B2096)/(1-MIN(0.75,Matchup!$C$39*$B2096))),RAND())</f>
        <v>1</v>
      </c>
      <c r="O2096" s="0" t="n">
        <f aca="false">6*J2096+(J2096-K2096-M2096)+2*L2096+3*N2096</f>
        <v>3</v>
      </c>
      <c r="P2096" s="0" t="n">
        <f aca="true">RAND()</f>
        <v>0.183161956308389</v>
      </c>
      <c r="Q2096" s="0" t="n">
        <f aca="true">RAND()</f>
        <v>0.666997818114564</v>
      </c>
      <c r="R2096" s="0" t="n">
        <f aca="false">IF($I2096&lt;&gt;$O2096,0,IF(P2096&lt;Matchup!$B$39,7,IF(P2096&lt;Matchup!$B$39+Matchup!$B$40,3,0)))</f>
        <v>0</v>
      </c>
      <c r="S2096" s="0" t="n">
        <f aca="false">IF($I2096&lt;&gt;$O2096,0,IF(Q2096&lt;Matchup!$C$39,7,IF(Q2096&lt;Matchup!$C$39+Matchup!$C$40,3,0)))</f>
        <v>0</v>
      </c>
      <c r="T2096" s="0" t="n">
        <f aca="false">I2096+R2096</f>
        <v>20</v>
      </c>
      <c r="U2096" s="0" t="n">
        <f aca="false">O2096+S2096</f>
        <v>3</v>
      </c>
      <c r="V2096" s="0" t="n">
        <f aca="false">T2096-U2096</f>
        <v>17</v>
      </c>
      <c r="W2096" s="0" t="n">
        <f aca="false">T2096+U2096</f>
        <v>23</v>
      </c>
    </row>
    <row r="2097" customFormat="false" ht="15" hidden="false" customHeight="false" outlineLevel="0" collapsed="false">
      <c r="A2097" s="0" t="n">
        <v>2094</v>
      </c>
      <c r="B2097" s="0" t="n">
        <f aca="true">NORMINV(RAND(),1,Coefficients!$B$22)</f>
        <v>1.13331581436987</v>
      </c>
      <c r="C2097" s="0" t="n">
        <f aca="true">MEDIAN(8,16,ROUND(NORMINV(RAND(),Coefficients!$B$20,Coefficients!$B$21),0))</f>
        <v>12</v>
      </c>
      <c r="D2097" s="0" t="n">
        <f aca="true">CRITBINOM($C2097,MIN(0.75,Matchup!$B$39*$B2097),RAND())</f>
        <v>4</v>
      </c>
      <c r="E2097" s="0" t="n">
        <f aca="true">CRITBINOM(D2097,Coefficients!$B$30,RAND())</f>
        <v>0</v>
      </c>
      <c r="F2097" s="0" t="n">
        <f aca="true">CRITBINOM(E2097,Coefficients!$B$31,RAND())</f>
        <v>0</v>
      </c>
      <c r="G2097" s="0" t="n">
        <f aca="true">CRITBINOM(MAX(0,D2097-E2097),1-Coefficients!$B$32,RAND())</f>
        <v>0</v>
      </c>
      <c r="H2097" s="0" t="n">
        <f aca="true">CRITBINOM(MAX(0,$C2097-D2097),MIN(0.6,Matchup!$B$40*SQRT($B2097)/(1-MIN(0.75,Matchup!$B$39*$B2097))),RAND())</f>
        <v>1</v>
      </c>
      <c r="I2097" s="0" t="n">
        <f aca="false">6*D2097+(D2097-E2097-G2097)+2*F2097+3*H2097</f>
        <v>31</v>
      </c>
      <c r="J2097" s="0" t="n">
        <f aca="true">CRITBINOM($C2097,MIN(0.75,Matchup!$C$39*$B2097),RAND())</f>
        <v>4</v>
      </c>
      <c r="K2097" s="0" t="n">
        <f aca="true">CRITBINOM(J2097,Coefficients!$B$30,RAND())</f>
        <v>0</v>
      </c>
      <c r="L2097" s="0" t="n">
        <f aca="true">CRITBINOM(K2097,Coefficients!$B$31,RAND())</f>
        <v>0</v>
      </c>
      <c r="M2097" s="0" t="n">
        <f aca="true">CRITBINOM(MAX(0,J2097-K2097),1-Coefficients!$B$32,RAND())</f>
        <v>0</v>
      </c>
      <c r="N2097" s="0" t="n">
        <f aca="true">CRITBINOM(MAX(0,$C2097-J2097),MIN(0.6,Matchup!$C$40*SQRT($B2097)/(1-MIN(0.75,Matchup!$C$39*$B2097))),RAND())</f>
        <v>3</v>
      </c>
      <c r="O2097" s="0" t="n">
        <f aca="false">6*J2097+(J2097-K2097-M2097)+2*L2097+3*N2097</f>
        <v>37</v>
      </c>
      <c r="P2097" s="0" t="n">
        <f aca="true">RAND()</f>
        <v>0.82157617863681</v>
      </c>
      <c r="Q2097" s="0" t="n">
        <f aca="true">RAND()</f>
        <v>0.728792179078962</v>
      </c>
      <c r="R2097" s="0" t="n">
        <f aca="false">IF($I2097&lt;&gt;$O2097,0,IF(P2097&lt;Matchup!$B$39,7,IF(P2097&lt;Matchup!$B$39+Matchup!$B$40,3,0)))</f>
        <v>0</v>
      </c>
      <c r="S2097" s="0" t="n">
        <f aca="false">IF($I2097&lt;&gt;$O2097,0,IF(Q2097&lt;Matchup!$C$39,7,IF(Q2097&lt;Matchup!$C$39+Matchup!$C$40,3,0)))</f>
        <v>0</v>
      </c>
      <c r="T2097" s="0" t="n">
        <f aca="false">I2097+R2097</f>
        <v>31</v>
      </c>
      <c r="U2097" s="0" t="n">
        <f aca="false">O2097+S2097</f>
        <v>37</v>
      </c>
      <c r="V2097" s="0" t="n">
        <f aca="false">T2097-U2097</f>
        <v>-6</v>
      </c>
      <c r="W2097" s="0" t="n">
        <f aca="false">T2097+U2097</f>
        <v>68</v>
      </c>
    </row>
    <row r="2098" customFormat="false" ht="15" hidden="false" customHeight="false" outlineLevel="0" collapsed="false">
      <c r="A2098" s="0" t="n">
        <v>2095</v>
      </c>
      <c r="B2098" s="0" t="n">
        <f aca="true">NORMINV(RAND(),1,Coefficients!$B$22)</f>
        <v>0.938961314564123</v>
      </c>
      <c r="C2098" s="0" t="n">
        <f aca="true">MEDIAN(8,16,ROUND(NORMINV(RAND(),Coefficients!$B$20,Coefficients!$B$21),0))</f>
        <v>9</v>
      </c>
      <c r="D2098" s="0" t="n">
        <f aca="true">CRITBINOM($C2098,MIN(0.75,Matchup!$B$39*$B2098),RAND())</f>
        <v>2</v>
      </c>
      <c r="E2098" s="0" t="n">
        <f aca="true">CRITBINOM(D2098,Coefficients!$B$30,RAND())</f>
        <v>0</v>
      </c>
      <c r="F2098" s="0" t="n">
        <f aca="true">CRITBINOM(E2098,Coefficients!$B$31,RAND())</f>
        <v>0</v>
      </c>
      <c r="G2098" s="0" t="n">
        <f aca="true">CRITBINOM(MAX(0,D2098-E2098),1-Coefficients!$B$32,RAND())</f>
        <v>0</v>
      </c>
      <c r="H2098" s="0" t="n">
        <f aca="true">CRITBINOM(MAX(0,$C2098-D2098),MIN(0.6,Matchup!$B$40*SQRT($B2098)/(1-MIN(0.75,Matchup!$B$39*$B2098))),RAND())</f>
        <v>3</v>
      </c>
      <c r="I2098" s="0" t="n">
        <f aca="false">6*D2098+(D2098-E2098-G2098)+2*F2098+3*H2098</f>
        <v>23</v>
      </c>
      <c r="J2098" s="0" t="n">
        <f aca="true">CRITBINOM($C2098,MIN(0.75,Matchup!$C$39*$B2098),RAND())</f>
        <v>4</v>
      </c>
      <c r="K2098" s="0" t="n">
        <f aca="true">CRITBINOM(J2098,Coefficients!$B$30,RAND())</f>
        <v>1</v>
      </c>
      <c r="L2098" s="0" t="n">
        <f aca="true">CRITBINOM(K2098,Coefficients!$B$31,RAND())</f>
        <v>1</v>
      </c>
      <c r="M2098" s="0" t="n">
        <f aca="true">CRITBINOM(MAX(0,J2098-K2098),1-Coefficients!$B$32,RAND())</f>
        <v>1</v>
      </c>
      <c r="N2098" s="0" t="n">
        <f aca="true">CRITBINOM(MAX(0,$C2098-J2098),MIN(0.6,Matchup!$C$40*SQRT($B2098)/(1-MIN(0.75,Matchup!$C$39*$B2098))),RAND())</f>
        <v>0</v>
      </c>
      <c r="O2098" s="0" t="n">
        <f aca="false">6*J2098+(J2098-K2098-M2098)+2*L2098+3*N2098</f>
        <v>28</v>
      </c>
      <c r="P2098" s="0" t="n">
        <f aca="true">RAND()</f>
        <v>0.721441705485484</v>
      </c>
      <c r="Q2098" s="0" t="n">
        <f aca="true">RAND()</f>
        <v>0.0152942538538155</v>
      </c>
      <c r="R2098" s="0" t="n">
        <f aca="false">IF($I2098&lt;&gt;$O2098,0,IF(P2098&lt;Matchup!$B$39,7,IF(P2098&lt;Matchup!$B$39+Matchup!$B$40,3,0)))</f>
        <v>0</v>
      </c>
      <c r="S2098" s="0" t="n">
        <f aca="false">IF($I2098&lt;&gt;$O2098,0,IF(Q2098&lt;Matchup!$C$39,7,IF(Q2098&lt;Matchup!$C$39+Matchup!$C$40,3,0)))</f>
        <v>0</v>
      </c>
      <c r="T2098" s="0" t="n">
        <f aca="false">I2098+R2098</f>
        <v>23</v>
      </c>
      <c r="U2098" s="0" t="n">
        <f aca="false">O2098+S2098</f>
        <v>28</v>
      </c>
      <c r="V2098" s="0" t="n">
        <f aca="false">T2098-U2098</f>
        <v>-5</v>
      </c>
      <c r="W2098" s="0" t="n">
        <f aca="false">T2098+U2098</f>
        <v>51</v>
      </c>
    </row>
    <row r="2099" customFormat="false" ht="15" hidden="false" customHeight="false" outlineLevel="0" collapsed="false">
      <c r="A2099" s="0" t="n">
        <v>2096</v>
      </c>
      <c r="B2099" s="0" t="n">
        <f aca="true">NORMINV(RAND(),1,Coefficients!$B$22)</f>
        <v>0.953824143303138</v>
      </c>
      <c r="C2099" s="0" t="n">
        <f aca="true">MEDIAN(8,16,ROUND(NORMINV(RAND(),Coefficients!$B$20,Coefficients!$B$21),0))</f>
        <v>10</v>
      </c>
      <c r="D2099" s="0" t="n">
        <f aca="true">CRITBINOM($C2099,MIN(0.75,Matchup!$B$39*$B2099),RAND())</f>
        <v>2</v>
      </c>
      <c r="E2099" s="0" t="n">
        <f aca="true">CRITBINOM(D2099,Coefficients!$B$30,RAND())</f>
        <v>0</v>
      </c>
      <c r="F2099" s="0" t="n">
        <f aca="true">CRITBINOM(E2099,Coefficients!$B$31,RAND())</f>
        <v>0</v>
      </c>
      <c r="G2099" s="0" t="n">
        <f aca="true">CRITBINOM(MAX(0,D2099-E2099),1-Coefficients!$B$32,RAND())</f>
        <v>0</v>
      </c>
      <c r="H2099" s="0" t="n">
        <f aca="true">CRITBINOM(MAX(0,$C2099-D2099),MIN(0.6,Matchup!$B$40*SQRT($B2099)/(1-MIN(0.75,Matchup!$B$39*$B2099))),RAND())</f>
        <v>2</v>
      </c>
      <c r="I2099" s="0" t="n">
        <f aca="false">6*D2099+(D2099-E2099-G2099)+2*F2099+3*H2099</f>
        <v>20</v>
      </c>
      <c r="J2099" s="0" t="n">
        <f aca="true">CRITBINOM($C2099,MIN(0.75,Matchup!$C$39*$B2099),RAND())</f>
        <v>4</v>
      </c>
      <c r="K2099" s="0" t="n">
        <f aca="true">CRITBINOM(J2099,Coefficients!$B$30,RAND())</f>
        <v>1</v>
      </c>
      <c r="L2099" s="0" t="n">
        <f aca="true">CRITBINOM(K2099,Coefficients!$B$31,RAND())</f>
        <v>0</v>
      </c>
      <c r="M2099" s="0" t="n">
        <f aca="true">CRITBINOM(MAX(0,J2099-K2099),1-Coefficients!$B$32,RAND())</f>
        <v>0</v>
      </c>
      <c r="N2099" s="0" t="n">
        <f aca="true">CRITBINOM(MAX(0,$C2099-J2099),MIN(0.6,Matchup!$C$40*SQRT($B2099)/(1-MIN(0.75,Matchup!$C$39*$B2099))),RAND())</f>
        <v>0</v>
      </c>
      <c r="O2099" s="0" t="n">
        <f aca="false">6*J2099+(J2099-K2099-M2099)+2*L2099+3*N2099</f>
        <v>27</v>
      </c>
      <c r="P2099" s="0" t="n">
        <f aca="true">RAND()</f>
        <v>0.980153045912263</v>
      </c>
      <c r="Q2099" s="0" t="n">
        <f aca="true">RAND()</f>
        <v>0.451737946092253</v>
      </c>
      <c r="R2099" s="0" t="n">
        <f aca="false">IF($I2099&lt;&gt;$O2099,0,IF(P2099&lt;Matchup!$B$39,7,IF(P2099&lt;Matchup!$B$39+Matchup!$B$40,3,0)))</f>
        <v>0</v>
      </c>
      <c r="S2099" s="0" t="n">
        <f aca="false">IF($I2099&lt;&gt;$O2099,0,IF(Q2099&lt;Matchup!$C$39,7,IF(Q2099&lt;Matchup!$C$39+Matchup!$C$40,3,0)))</f>
        <v>0</v>
      </c>
      <c r="T2099" s="0" t="n">
        <f aca="false">I2099+R2099</f>
        <v>20</v>
      </c>
      <c r="U2099" s="0" t="n">
        <f aca="false">O2099+S2099</f>
        <v>27</v>
      </c>
      <c r="V2099" s="0" t="n">
        <f aca="false">T2099-U2099</f>
        <v>-7</v>
      </c>
      <c r="W2099" s="0" t="n">
        <f aca="false">T2099+U2099</f>
        <v>47</v>
      </c>
    </row>
    <row r="2100" customFormat="false" ht="15" hidden="false" customHeight="false" outlineLevel="0" collapsed="false">
      <c r="A2100" s="0" t="n">
        <v>2097</v>
      </c>
      <c r="B2100" s="0" t="n">
        <f aca="true">NORMINV(RAND(),1,Coefficients!$B$22)</f>
        <v>1.01573551821902</v>
      </c>
      <c r="C2100" s="0" t="n">
        <f aca="true">MEDIAN(8,16,ROUND(NORMINV(RAND(),Coefficients!$B$20,Coefficients!$B$21),0))</f>
        <v>13</v>
      </c>
      <c r="D2100" s="0" t="n">
        <f aca="true">CRITBINOM($C2100,MIN(0.75,Matchup!$B$39*$B2100),RAND())</f>
        <v>3</v>
      </c>
      <c r="E2100" s="0" t="n">
        <f aca="true">CRITBINOM(D2100,Coefficients!$B$30,RAND())</f>
        <v>0</v>
      </c>
      <c r="F2100" s="0" t="n">
        <f aca="true">CRITBINOM(E2100,Coefficients!$B$31,RAND())</f>
        <v>0</v>
      </c>
      <c r="G2100" s="0" t="n">
        <f aca="true">CRITBINOM(MAX(0,D2100-E2100),1-Coefficients!$B$32,RAND())</f>
        <v>0</v>
      </c>
      <c r="H2100" s="0" t="n">
        <f aca="true">CRITBINOM(MAX(0,$C2100-D2100),MIN(0.6,Matchup!$B$40*SQRT($B2100)/(1-MIN(0.75,Matchup!$B$39*$B2100))),RAND())</f>
        <v>2</v>
      </c>
      <c r="I2100" s="0" t="n">
        <f aca="false">6*D2100+(D2100-E2100-G2100)+2*F2100+3*H2100</f>
        <v>27</v>
      </c>
      <c r="J2100" s="0" t="n">
        <f aca="true">CRITBINOM($C2100,MIN(0.75,Matchup!$C$39*$B2100),RAND())</f>
        <v>2</v>
      </c>
      <c r="K2100" s="0" t="n">
        <f aca="true">CRITBINOM(J2100,Coefficients!$B$30,RAND())</f>
        <v>0</v>
      </c>
      <c r="L2100" s="0" t="n">
        <f aca="true">CRITBINOM(K2100,Coefficients!$B$31,RAND())</f>
        <v>0</v>
      </c>
      <c r="M2100" s="0" t="n">
        <f aca="true">CRITBINOM(MAX(0,J2100-K2100),1-Coefficients!$B$32,RAND())</f>
        <v>0</v>
      </c>
      <c r="N2100" s="0" t="n">
        <f aca="true">CRITBINOM(MAX(0,$C2100-J2100),MIN(0.6,Matchup!$C$40*SQRT($B2100)/(1-MIN(0.75,Matchup!$C$39*$B2100))),RAND())</f>
        <v>3</v>
      </c>
      <c r="O2100" s="0" t="n">
        <f aca="false">6*J2100+(J2100-K2100-M2100)+2*L2100+3*N2100</f>
        <v>23</v>
      </c>
      <c r="P2100" s="0" t="n">
        <f aca="true">RAND()</f>
        <v>0.977999940413912</v>
      </c>
      <c r="Q2100" s="0" t="n">
        <f aca="true">RAND()</f>
        <v>0.637402367664139</v>
      </c>
      <c r="R2100" s="0" t="n">
        <f aca="false">IF($I2100&lt;&gt;$O2100,0,IF(P2100&lt;Matchup!$B$39,7,IF(P2100&lt;Matchup!$B$39+Matchup!$B$40,3,0)))</f>
        <v>0</v>
      </c>
      <c r="S2100" s="0" t="n">
        <f aca="false">IF($I2100&lt;&gt;$O2100,0,IF(Q2100&lt;Matchup!$C$39,7,IF(Q2100&lt;Matchup!$C$39+Matchup!$C$40,3,0)))</f>
        <v>0</v>
      </c>
      <c r="T2100" s="0" t="n">
        <f aca="false">I2100+R2100</f>
        <v>27</v>
      </c>
      <c r="U2100" s="0" t="n">
        <f aca="false">O2100+S2100</f>
        <v>23</v>
      </c>
      <c r="V2100" s="0" t="n">
        <f aca="false">T2100-U2100</f>
        <v>4</v>
      </c>
      <c r="W2100" s="0" t="n">
        <f aca="false">T2100+U2100</f>
        <v>50</v>
      </c>
    </row>
    <row r="2101" customFormat="false" ht="15" hidden="false" customHeight="false" outlineLevel="0" collapsed="false">
      <c r="A2101" s="0" t="n">
        <v>2098</v>
      </c>
      <c r="B2101" s="0" t="n">
        <f aca="true">NORMINV(RAND(),1,Coefficients!$B$22)</f>
        <v>1.04964326397445</v>
      </c>
      <c r="C2101" s="0" t="n">
        <f aca="true">MEDIAN(8,16,ROUND(NORMINV(RAND(),Coefficients!$B$20,Coefficients!$B$21),0))</f>
        <v>11</v>
      </c>
      <c r="D2101" s="0" t="n">
        <f aca="true">CRITBINOM($C2101,MIN(0.75,Matchup!$B$39*$B2101),RAND())</f>
        <v>2</v>
      </c>
      <c r="E2101" s="0" t="n">
        <f aca="true">CRITBINOM(D2101,Coefficients!$B$30,RAND())</f>
        <v>0</v>
      </c>
      <c r="F2101" s="0" t="n">
        <f aca="true">CRITBINOM(E2101,Coefficients!$B$31,RAND())</f>
        <v>0</v>
      </c>
      <c r="G2101" s="0" t="n">
        <f aca="true">CRITBINOM(MAX(0,D2101-E2101),1-Coefficients!$B$32,RAND())</f>
        <v>0</v>
      </c>
      <c r="H2101" s="0" t="n">
        <f aca="true">CRITBINOM(MAX(0,$C2101-D2101),MIN(0.6,Matchup!$B$40*SQRT($B2101)/(1-MIN(0.75,Matchup!$B$39*$B2101))),RAND())</f>
        <v>2</v>
      </c>
      <c r="I2101" s="0" t="n">
        <f aca="false">6*D2101+(D2101-E2101-G2101)+2*F2101+3*H2101</f>
        <v>20</v>
      </c>
      <c r="J2101" s="0" t="n">
        <f aca="true">CRITBINOM($C2101,MIN(0.75,Matchup!$C$39*$B2101),RAND())</f>
        <v>2</v>
      </c>
      <c r="K2101" s="0" t="n">
        <f aca="true">CRITBINOM(J2101,Coefficients!$B$30,RAND())</f>
        <v>0</v>
      </c>
      <c r="L2101" s="0" t="n">
        <f aca="true">CRITBINOM(K2101,Coefficients!$B$31,RAND())</f>
        <v>0</v>
      </c>
      <c r="M2101" s="0" t="n">
        <f aca="true">CRITBINOM(MAX(0,J2101-K2101),1-Coefficients!$B$32,RAND())</f>
        <v>1</v>
      </c>
      <c r="N2101" s="0" t="n">
        <f aca="true">CRITBINOM(MAX(0,$C2101-J2101),MIN(0.6,Matchup!$C$40*SQRT($B2101)/(1-MIN(0.75,Matchup!$C$39*$B2101))),RAND())</f>
        <v>4</v>
      </c>
      <c r="O2101" s="0" t="n">
        <f aca="false">6*J2101+(J2101-K2101-M2101)+2*L2101+3*N2101</f>
        <v>25</v>
      </c>
      <c r="P2101" s="0" t="n">
        <f aca="true">RAND()</f>
        <v>0.974335095307612</v>
      </c>
      <c r="Q2101" s="0" t="n">
        <f aca="true">RAND()</f>
        <v>0.726807605306755</v>
      </c>
      <c r="R2101" s="0" t="n">
        <f aca="false">IF($I2101&lt;&gt;$O2101,0,IF(P2101&lt;Matchup!$B$39,7,IF(P2101&lt;Matchup!$B$39+Matchup!$B$40,3,0)))</f>
        <v>0</v>
      </c>
      <c r="S2101" s="0" t="n">
        <f aca="false">IF($I2101&lt;&gt;$O2101,0,IF(Q2101&lt;Matchup!$C$39,7,IF(Q2101&lt;Matchup!$C$39+Matchup!$C$40,3,0)))</f>
        <v>0</v>
      </c>
      <c r="T2101" s="0" t="n">
        <f aca="false">I2101+R2101</f>
        <v>20</v>
      </c>
      <c r="U2101" s="0" t="n">
        <f aca="false">O2101+S2101</f>
        <v>25</v>
      </c>
      <c r="V2101" s="0" t="n">
        <f aca="false">T2101-U2101</f>
        <v>-5</v>
      </c>
      <c r="W2101" s="0" t="n">
        <f aca="false">T2101+U2101</f>
        <v>45</v>
      </c>
    </row>
    <row r="2102" customFormat="false" ht="15" hidden="false" customHeight="false" outlineLevel="0" collapsed="false">
      <c r="A2102" s="0" t="n">
        <v>2099</v>
      </c>
      <c r="B2102" s="0" t="n">
        <f aca="true">NORMINV(RAND(),1,Coefficients!$B$22)</f>
        <v>1.07123362312652</v>
      </c>
      <c r="C2102" s="0" t="n">
        <f aca="true">MEDIAN(8,16,ROUND(NORMINV(RAND(),Coefficients!$B$20,Coefficients!$B$21),0))</f>
        <v>12</v>
      </c>
      <c r="D2102" s="0" t="n">
        <f aca="true">CRITBINOM($C2102,MIN(0.75,Matchup!$B$39*$B2102),RAND())</f>
        <v>3</v>
      </c>
      <c r="E2102" s="0" t="n">
        <f aca="true">CRITBINOM(D2102,Coefficients!$B$30,RAND())</f>
        <v>0</v>
      </c>
      <c r="F2102" s="0" t="n">
        <f aca="true">CRITBINOM(E2102,Coefficients!$B$31,RAND())</f>
        <v>0</v>
      </c>
      <c r="G2102" s="0" t="n">
        <f aca="true">CRITBINOM(MAX(0,D2102-E2102),1-Coefficients!$B$32,RAND())</f>
        <v>0</v>
      </c>
      <c r="H2102" s="0" t="n">
        <f aca="true">CRITBINOM(MAX(0,$C2102-D2102),MIN(0.6,Matchup!$B$40*SQRT($B2102)/(1-MIN(0.75,Matchup!$B$39*$B2102))),RAND())</f>
        <v>2</v>
      </c>
      <c r="I2102" s="0" t="n">
        <f aca="false">6*D2102+(D2102-E2102-G2102)+2*F2102+3*H2102</f>
        <v>27</v>
      </c>
      <c r="J2102" s="0" t="n">
        <f aca="true">CRITBINOM($C2102,MIN(0.75,Matchup!$C$39*$B2102),RAND())</f>
        <v>5</v>
      </c>
      <c r="K2102" s="0" t="n">
        <f aca="true">CRITBINOM(J2102,Coefficients!$B$30,RAND())</f>
        <v>1</v>
      </c>
      <c r="L2102" s="0" t="n">
        <f aca="true">CRITBINOM(K2102,Coefficients!$B$31,RAND())</f>
        <v>0</v>
      </c>
      <c r="M2102" s="0" t="n">
        <f aca="true">CRITBINOM(MAX(0,J2102-K2102),1-Coefficients!$B$32,RAND())</f>
        <v>0</v>
      </c>
      <c r="N2102" s="0" t="n">
        <f aca="true">CRITBINOM(MAX(0,$C2102-J2102),MIN(0.6,Matchup!$C$40*SQRT($B2102)/(1-MIN(0.75,Matchup!$C$39*$B2102))),RAND())</f>
        <v>2</v>
      </c>
      <c r="O2102" s="0" t="n">
        <f aca="false">6*J2102+(J2102-K2102-M2102)+2*L2102+3*N2102</f>
        <v>40</v>
      </c>
      <c r="P2102" s="0" t="n">
        <f aca="true">RAND()</f>
        <v>0.133794231006004</v>
      </c>
      <c r="Q2102" s="0" t="n">
        <f aca="true">RAND()</f>
        <v>0.682244059437877</v>
      </c>
      <c r="R2102" s="0" t="n">
        <f aca="false">IF($I2102&lt;&gt;$O2102,0,IF(P2102&lt;Matchup!$B$39,7,IF(P2102&lt;Matchup!$B$39+Matchup!$B$40,3,0)))</f>
        <v>0</v>
      </c>
      <c r="S2102" s="0" t="n">
        <f aca="false">IF($I2102&lt;&gt;$O2102,0,IF(Q2102&lt;Matchup!$C$39,7,IF(Q2102&lt;Matchup!$C$39+Matchup!$C$40,3,0)))</f>
        <v>0</v>
      </c>
      <c r="T2102" s="0" t="n">
        <f aca="false">I2102+R2102</f>
        <v>27</v>
      </c>
      <c r="U2102" s="0" t="n">
        <f aca="false">O2102+S2102</f>
        <v>40</v>
      </c>
      <c r="V2102" s="0" t="n">
        <f aca="false">T2102-U2102</f>
        <v>-13</v>
      </c>
      <c r="W2102" s="0" t="n">
        <f aca="false">T2102+U2102</f>
        <v>67</v>
      </c>
    </row>
    <row r="2103" customFormat="false" ht="15" hidden="false" customHeight="false" outlineLevel="0" collapsed="false">
      <c r="A2103" s="0" t="n">
        <v>2100</v>
      </c>
      <c r="B2103" s="0" t="n">
        <f aca="true">NORMINV(RAND(),1,Coefficients!$B$22)</f>
        <v>1.02047490407413</v>
      </c>
      <c r="C2103" s="0" t="n">
        <f aca="true">MEDIAN(8,16,ROUND(NORMINV(RAND(),Coefficients!$B$20,Coefficients!$B$21),0))</f>
        <v>9</v>
      </c>
      <c r="D2103" s="0" t="n">
        <f aca="true">CRITBINOM($C2103,MIN(0.75,Matchup!$B$39*$B2103),RAND())</f>
        <v>0</v>
      </c>
      <c r="E2103" s="0" t="n">
        <f aca="true">CRITBINOM(D2103,Coefficients!$B$30,RAND())</f>
        <v>0</v>
      </c>
      <c r="F2103" s="0" t="n">
        <f aca="true">CRITBINOM(E2103,Coefficients!$B$31,RAND())</f>
        <v>0</v>
      </c>
      <c r="G2103" s="0" t="n">
        <f aca="true">CRITBINOM(MAX(0,D2103-E2103),1-Coefficients!$B$32,RAND())</f>
        <v>0</v>
      </c>
      <c r="H2103" s="0" t="n">
        <f aca="true">CRITBINOM(MAX(0,$C2103-D2103),MIN(0.6,Matchup!$B$40*SQRT($B2103)/(1-MIN(0.75,Matchup!$B$39*$B2103))),RAND())</f>
        <v>2</v>
      </c>
      <c r="I2103" s="0" t="n">
        <f aca="false">6*D2103+(D2103-E2103-G2103)+2*F2103+3*H2103</f>
        <v>6</v>
      </c>
      <c r="J2103" s="0" t="n">
        <f aca="true">CRITBINOM($C2103,MIN(0.75,Matchup!$C$39*$B2103),RAND())</f>
        <v>3</v>
      </c>
      <c r="K2103" s="0" t="n">
        <f aca="true">CRITBINOM(J2103,Coefficients!$B$30,RAND())</f>
        <v>1</v>
      </c>
      <c r="L2103" s="0" t="n">
        <f aca="true">CRITBINOM(K2103,Coefficients!$B$31,RAND())</f>
        <v>0</v>
      </c>
      <c r="M2103" s="0" t="n">
        <f aca="true">CRITBINOM(MAX(0,J2103-K2103),1-Coefficients!$B$32,RAND())</f>
        <v>0</v>
      </c>
      <c r="N2103" s="0" t="n">
        <f aca="true">CRITBINOM(MAX(0,$C2103-J2103),MIN(0.6,Matchup!$C$40*SQRT($B2103)/(1-MIN(0.75,Matchup!$C$39*$B2103))),RAND())</f>
        <v>1</v>
      </c>
      <c r="O2103" s="0" t="n">
        <f aca="false">6*J2103+(J2103-K2103-M2103)+2*L2103+3*N2103</f>
        <v>23</v>
      </c>
      <c r="P2103" s="0" t="n">
        <f aca="true">RAND()</f>
        <v>0.402487152504258</v>
      </c>
      <c r="Q2103" s="0" t="n">
        <f aca="true">RAND()</f>
        <v>0.0254932419711168</v>
      </c>
      <c r="R2103" s="0" t="n">
        <f aca="false">IF($I2103&lt;&gt;$O2103,0,IF(P2103&lt;Matchup!$B$39,7,IF(P2103&lt;Matchup!$B$39+Matchup!$B$40,3,0)))</f>
        <v>0</v>
      </c>
      <c r="S2103" s="0" t="n">
        <f aca="false">IF($I2103&lt;&gt;$O2103,0,IF(Q2103&lt;Matchup!$C$39,7,IF(Q2103&lt;Matchup!$C$39+Matchup!$C$40,3,0)))</f>
        <v>0</v>
      </c>
      <c r="T2103" s="0" t="n">
        <f aca="false">I2103+R2103</f>
        <v>6</v>
      </c>
      <c r="U2103" s="0" t="n">
        <f aca="false">O2103+S2103</f>
        <v>23</v>
      </c>
      <c r="V2103" s="0" t="n">
        <f aca="false">T2103-U2103</f>
        <v>-17</v>
      </c>
      <c r="W2103" s="0" t="n">
        <f aca="false">T2103+U2103</f>
        <v>29</v>
      </c>
    </row>
    <row r="2104" customFormat="false" ht="15" hidden="false" customHeight="false" outlineLevel="0" collapsed="false">
      <c r="A2104" s="0" t="n">
        <v>2101</v>
      </c>
      <c r="B2104" s="0" t="n">
        <f aca="true">NORMINV(RAND(),1,Coefficients!$B$22)</f>
        <v>0.940858981565973</v>
      </c>
      <c r="C2104" s="0" t="n">
        <f aca="true">MEDIAN(8,16,ROUND(NORMINV(RAND(),Coefficients!$B$20,Coefficients!$B$21),0))</f>
        <v>10</v>
      </c>
      <c r="D2104" s="0" t="n">
        <f aca="true">CRITBINOM($C2104,MIN(0.75,Matchup!$B$39*$B2104),RAND())</f>
        <v>2</v>
      </c>
      <c r="E2104" s="0" t="n">
        <f aca="true">CRITBINOM(D2104,Coefficients!$B$30,RAND())</f>
        <v>0</v>
      </c>
      <c r="F2104" s="0" t="n">
        <f aca="true">CRITBINOM(E2104,Coefficients!$B$31,RAND())</f>
        <v>0</v>
      </c>
      <c r="G2104" s="0" t="n">
        <f aca="true">CRITBINOM(MAX(0,D2104-E2104),1-Coefficients!$B$32,RAND())</f>
        <v>0</v>
      </c>
      <c r="H2104" s="0" t="n">
        <f aca="true">CRITBINOM(MAX(0,$C2104-D2104),MIN(0.6,Matchup!$B$40*SQRT($B2104)/(1-MIN(0.75,Matchup!$B$39*$B2104))),RAND())</f>
        <v>0</v>
      </c>
      <c r="I2104" s="0" t="n">
        <f aca="false">6*D2104+(D2104-E2104-G2104)+2*F2104+3*H2104</f>
        <v>14</v>
      </c>
      <c r="J2104" s="0" t="n">
        <f aca="true">CRITBINOM($C2104,MIN(0.75,Matchup!$C$39*$B2104),RAND())</f>
        <v>2</v>
      </c>
      <c r="K2104" s="0" t="n">
        <f aca="true">CRITBINOM(J2104,Coefficients!$B$30,RAND())</f>
        <v>0</v>
      </c>
      <c r="L2104" s="0" t="n">
        <f aca="true">CRITBINOM(K2104,Coefficients!$B$31,RAND())</f>
        <v>0</v>
      </c>
      <c r="M2104" s="0" t="n">
        <f aca="true">CRITBINOM(MAX(0,J2104-K2104),1-Coefficients!$B$32,RAND())</f>
        <v>0</v>
      </c>
      <c r="N2104" s="0" t="n">
        <f aca="true">CRITBINOM(MAX(0,$C2104-J2104),MIN(0.6,Matchup!$C$40*SQRT($B2104)/(1-MIN(0.75,Matchup!$C$39*$B2104))),RAND())</f>
        <v>2</v>
      </c>
      <c r="O2104" s="0" t="n">
        <f aca="false">6*J2104+(J2104-K2104-M2104)+2*L2104+3*N2104</f>
        <v>20</v>
      </c>
      <c r="P2104" s="0" t="n">
        <f aca="true">RAND()</f>
        <v>0.893523398389115</v>
      </c>
      <c r="Q2104" s="0" t="n">
        <f aca="true">RAND()</f>
        <v>0.889996416011342</v>
      </c>
      <c r="R2104" s="0" t="n">
        <f aca="false">IF($I2104&lt;&gt;$O2104,0,IF(P2104&lt;Matchup!$B$39,7,IF(P2104&lt;Matchup!$B$39+Matchup!$B$40,3,0)))</f>
        <v>0</v>
      </c>
      <c r="S2104" s="0" t="n">
        <f aca="false">IF($I2104&lt;&gt;$O2104,0,IF(Q2104&lt;Matchup!$C$39,7,IF(Q2104&lt;Matchup!$C$39+Matchup!$C$40,3,0)))</f>
        <v>0</v>
      </c>
      <c r="T2104" s="0" t="n">
        <f aca="false">I2104+R2104</f>
        <v>14</v>
      </c>
      <c r="U2104" s="0" t="n">
        <f aca="false">O2104+S2104</f>
        <v>20</v>
      </c>
      <c r="V2104" s="0" t="n">
        <f aca="false">T2104-U2104</f>
        <v>-6</v>
      </c>
      <c r="W2104" s="0" t="n">
        <f aca="false">T2104+U2104</f>
        <v>34</v>
      </c>
    </row>
    <row r="2105" customFormat="false" ht="15" hidden="false" customHeight="false" outlineLevel="0" collapsed="false">
      <c r="A2105" s="0" t="n">
        <v>2102</v>
      </c>
      <c r="B2105" s="0" t="n">
        <f aca="true">NORMINV(RAND(),1,Coefficients!$B$22)</f>
        <v>0.987884987972397</v>
      </c>
      <c r="C2105" s="0" t="n">
        <f aca="true">MEDIAN(8,16,ROUND(NORMINV(RAND(),Coefficients!$B$20,Coefficients!$B$21),0))</f>
        <v>12</v>
      </c>
      <c r="D2105" s="0" t="n">
        <f aca="true">CRITBINOM($C2105,MIN(0.75,Matchup!$B$39*$B2105),RAND())</f>
        <v>2</v>
      </c>
      <c r="E2105" s="0" t="n">
        <f aca="true">CRITBINOM(D2105,Coefficients!$B$30,RAND())</f>
        <v>0</v>
      </c>
      <c r="F2105" s="0" t="n">
        <f aca="true">CRITBINOM(E2105,Coefficients!$B$31,RAND())</f>
        <v>0</v>
      </c>
      <c r="G2105" s="0" t="n">
        <f aca="true">CRITBINOM(MAX(0,D2105-E2105),1-Coefficients!$B$32,RAND())</f>
        <v>0</v>
      </c>
      <c r="H2105" s="0" t="n">
        <f aca="true">CRITBINOM(MAX(0,$C2105-D2105),MIN(0.6,Matchup!$B$40*SQRT($B2105)/(1-MIN(0.75,Matchup!$B$39*$B2105))),RAND())</f>
        <v>3</v>
      </c>
      <c r="I2105" s="0" t="n">
        <f aca="false">6*D2105+(D2105-E2105-G2105)+2*F2105+3*H2105</f>
        <v>23</v>
      </c>
      <c r="J2105" s="0" t="n">
        <f aca="true">CRITBINOM($C2105,MIN(0.75,Matchup!$C$39*$B2105),RAND())</f>
        <v>4</v>
      </c>
      <c r="K2105" s="0" t="n">
        <f aca="true">CRITBINOM(J2105,Coefficients!$B$30,RAND())</f>
        <v>0</v>
      </c>
      <c r="L2105" s="0" t="n">
        <f aca="true">CRITBINOM(K2105,Coefficients!$B$31,RAND())</f>
        <v>0</v>
      </c>
      <c r="M2105" s="0" t="n">
        <f aca="true">CRITBINOM(MAX(0,J2105-K2105),1-Coefficients!$B$32,RAND())</f>
        <v>0</v>
      </c>
      <c r="N2105" s="0" t="n">
        <f aca="true">CRITBINOM(MAX(0,$C2105-J2105),MIN(0.6,Matchup!$C$40*SQRT($B2105)/(1-MIN(0.75,Matchup!$C$39*$B2105))),RAND())</f>
        <v>0</v>
      </c>
      <c r="O2105" s="0" t="n">
        <f aca="false">6*J2105+(J2105-K2105-M2105)+2*L2105+3*N2105</f>
        <v>28</v>
      </c>
      <c r="P2105" s="0" t="n">
        <f aca="true">RAND()</f>
        <v>0.327416547119672</v>
      </c>
      <c r="Q2105" s="0" t="n">
        <f aca="true">RAND()</f>
        <v>0.616010781065883</v>
      </c>
      <c r="R2105" s="0" t="n">
        <f aca="false">IF($I2105&lt;&gt;$O2105,0,IF(P2105&lt;Matchup!$B$39,7,IF(P2105&lt;Matchup!$B$39+Matchup!$B$40,3,0)))</f>
        <v>0</v>
      </c>
      <c r="S2105" s="0" t="n">
        <f aca="false">IF($I2105&lt;&gt;$O2105,0,IF(Q2105&lt;Matchup!$C$39,7,IF(Q2105&lt;Matchup!$C$39+Matchup!$C$40,3,0)))</f>
        <v>0</v>
      </c>
      <c r="T2105" s="0" t="n">
        <f aca="false">I2105+R2105</f>
        <v>23</v>
      </c>
      <c r="U2105" s="0" t="n">
        <f aca="false">O2105+S2105</f>
        <v>28</v>
      </c>
      <c r="V2105" s="0" t="n">
        <f aca="false">T2105-U2105</f>
        <v>-5</v>
      </c>
      <c r="W2105" s="0" t="n">
        <f aca="false">T2105+U2105</f>
        <v>51</v>
      </c>
    </row>
    <row r="2106" customFormat="false" ht="15" hidden="false" customHeight="false" outlineLevel="0" collapsed="false">
      <c r="A2106" s="0" t="n">
        <v>2103</v>
      </c>
      <c r="B2106" s="0" t="n">
        <f aca="true">NORMINV(RAND(),1,Coefficients!$B$22)</f>
        <v>0.97440597924266</v>
      </c>
      <c r="C2106" s="0" t="n">
        <f aca="true">MEDIAN(8,16,ROUND(NORMINV(RAND(),Coefficients!$B$20,Coefficients!$B$21),0))</f>
        <v>10</v>
      </c>
      <c r="D2106" s="0" t="n">
        <f aca="true">CRITBINOM($C2106,MIN(0.75,Matchup!$B$39*$B2106),RAND())</f>
        <v>1</v>
      </c>
      <c r="E2106" s="0" t="n">
        <f aca="true">CRITBINOM(D2106,Coefficients!$B$30,RAND())</f>
        <v>0</v>
      </c>
      <c r="F2106" s="0" t="n">
        <f aca="true">CRITBINOM(E2106,Coefficients!$B$31,RAND())</f>
        <v>0</v>
      </c>
      <c r="G2106" s="0" t="n">
        <f aca="true">CRITBINOM(MAX(0,D2106-E2106),1-Coefficients!$B$32,RAND())</f>
        <v>0</v>
      </c>
      <c r="H2106" s="0" t="n">
        <f aca="true">CRITBINOM(MAX(0,$C2106-D2106),MIN(0.6,Matchup!$B$40*SQRT($B2106)/(1-MIN(0.75,Matchup!$B$39*$B2106))),RAND())</f>
        <v>2</v>
      </c>
      <c r="I2106" s="0" t="n">
        <f aca="false">6*D2106+(D2106-E2106-G2106)+2*F2106+3*H2106</f>
        <v>13</v>
      </c>
      <c r="J2106" s="0" t="n">
        <f aca="true">CRITBINOM($C2106,MIN(0.75,Matchup!$C$39*$B2106),RAND())</f>
        <v>1</v>
      </c>
      <c r="K2106" s="0" t="n">
        <f aca="true">CRITBINOM(J2106,Coefficients!$B$30,RAND())</f>
        <v>0</v>
      </c>
      <c r="L2106" s="0" t="n">
        <f aca="true">CRITBINOM(K2106,Coefficients!$B$31,RAND())</f>
        <v>0</v>
      </c>
      <c r="M2106" s="0" t="n">
        <f aca="true">CRITBINOM(MAX(0,J2106-K2106),1-Coefficients!$B$32,RAND())</f>
        <v>0</v>
      </c>
      <c r="N2106" s="0" t="n">
        <f aca="true">CRITBINOM(MAX(0,$C2106-J2106),MIN(0.6,Matchup!$C$40*SQRT($B2106)/(1-MIN(0.75,Matchup!$C$39*$B2106))),RAND())</f>
        <v>0</v>
      </c>
      <c r="O2106" s="0" t="n">
        <f aca="false">6*J2106+(J2106-K2106-M2106)+2*L2106+3*N2106</f>
        <v>7</v>
      </c>
      <c r="P2106" s="0" t="n">
        <f aca="true">RAND()</f>
        <v>0.867743481455252</v>
      </c>
      <c r="Q2106" s="0" t="n">
        <f aca="true">RAND()</f>
        <v>0.376389689325875</v>
      </c>
      <c r="R2106" s="0" t="n">
        <f aca="false">IF($I2106&lt;&gt;$O2106,0,IF(P2106&lt;Matchup!$B$39,7,IF(P2106&lt;Matchup!$B$39+Matchup!$B$40,3,0)))</f>
        <v>0</v>
      </c>
      <c r="S2106" s="0" t="n">
        <f aca="false">IF($I2106&lt;&gt;$O2106,0,IF(Q2106&lt;Matchup!$C$39,7,IF(Q2106&lt;Matchup!$C$39+Matchup!$C$40,3,0)))</f>
        <v>0</v>
      </c>
      <c r="T2106" s="0" t="n">
        <f aca="false">I2106+R2106</f>
        <v>13</v>
      </c>
      <c r="U2106" s="0" t="n">
        <f aca="false">O2106+S2106</f>
        <v>7</v>
      </c>
      <c r="V2106" s="0" t="n">
        <f aca="false">T2106-U2106</f>
        <v>6</v>
      </c>
      <c r="W2106" s="0" t="n">
        <f aca="false">T2106+U2106</f>
        <v>20</v>
      </c>
    </row>
    <row r="2107" customFormat="false" ht="15" hidden="false" customHeight="false" outlineLevel="0" collapsed="false">
      <c r="A2107" s="0" t="n">
        <v>2104</v>
      </c>
      <c r="B2107" s="0" t="n">
        <f aca="true">NORMINV(RAND(),1,Coefficients!$B$22)</f>
        <v>1.01426476392015</v>
      </c>
      <c r="C2107" s="0" t="n">
        <f aca="true">MEDIAN(8,16,ROUND(NORMINV(RAND(),Coefficients!$B$20,Coefficients!$B$21),0))</f>
        <v>12</v>
      </c>
      <c r="D2107" s="0" t="n">
        <f aca="true">CRITBINOM($C2107,MIN(0.75,Matchup!$B$39*$B2107),RAND())</f>
        <v>3</v>
      </c>
      <c r="E2107" s="0" t="n">
        <f aca="true">CRITBINOM(D2107,Coefficients!$B$30,RAND())</f>
        <v>0</v>
      </c>
      <c r="F2107" s="0" t="n">
        <f aca="true">CRITBINOM(E2107,Coefficients!$B$31,RAND())</f>
        <v>0</v>
      </c>
      <c r="G2107" s="0" t="n">
        <f aca="true">CRITBINOM(MAX(0,D2107-E2107),1-Coefficients!$B$32,RAND())</f>
        <v>1</v>
      </c>
      <c r="H2107" s="0" t="n">
        <f aca="true">CRITBINOM(MAX(0,$C2107-D2107),MIN(0.6,Matchup!$B$40*SQRT($B2107)/(1-MIN(0.75,Matchup!$B$39*$B2107))),RAND())</f>
        <v>0</v>
      </c>
      <c r="I2107" s="0" t="n">
        <f aca="false">6*D2107+(D2107-E2107-G2107)+2*F2107+3*H2107</f>
        <v>20</v>
      </c>
      <c r="J2107" s="0" t="n">
        <f aca="true">CRITBINOM($C2107,MIN(0.75,Matchup!$C$39*$B2107),RAND())</f>
        <v>4</v>
      </c>
      <c r="K2107" s="0" t="n">
        <f aca="true">CRITBINOM(J2107,Coefficients!$B$30,RAND())</f>
        <v>0</v>
      </c>
      <c r="L2107" s="0" t="n">
        <f aca="true">CRITBINOM(K2107,Coefficients!$B$31,RAND())</f>
        <v>0</v>
      </c>
      <c r="M2107" s="0" t="n">
        <f aca="true">CRITBINOM(MAX(0,J2107-K2107),1-Coefficients!$B$32,RAND())</f>
        <v>0</v>
      </c>
      <c r="N2107" s="0" t="n">
        <f aca="true">CRITBINOM(MAX(0,$C2107-J2107),MIN(0.6,Matchup!$C$40*SQRT($B2107)/(1-MIN(0.75,Matchup!$C$39*$B2107))),RAND())</f>
        <v>1</v>
      </c>
      <c r="O2107" s="0" t="n">
        <f aca="false">6*J2107+(J2107-K2107-M2107)+2*L2107+3*N2107</f>
        <v>31</v>
      </c>
      <c r="P2107" s="0" t="n">
        <f aca="true">RAND()</f>
        <v>0.534094549490704</v>
      </c>
      <c r="Q2107" s="0" t="n">
        <f aca="true">RAND()</f>
        <v>0.706585927295327</v>
      </c>
      <c r="R2107" s="0" t="n">
        <f aca="false">IF($I2107&lt;&gt;$O2107,0,IF(P2107&lt;Matchup!$B$39,7,IF(P2107&lt;Matchup!$B$39+Matchup!$B$40,3,0)))</f>
        <v>0</v>
      </c>
      <c r="S2107" s="0" t="n">
        <f aca="false">IF($I2107&lt;&gt;$O2107,0,IF(Q2107&lt;Matchup!$C$39,7,IF(Q2107&lt;Matchup!$C$39+Matchup!$C$40,3,0)))</f>
        <v>0</v>
      </c>
      <c r="T2107" s="0" t="n">
        <f aca="false">I2107+R2107</f>
        <v>20</v>
      </c>
      <c r="U2107" s="0" t="n">
        <f aca="false">O2107+S2107</f>
        <v>31</v>
      </c>
      <c r="V2107" s="0" t="n">
        <f aca="false">T2107-U2107</f>
        <v>-11</v>
      </c>
      <c r="W2107" s="0" t="n">
        <f aca="false">T2107+U2107</f>
        <v>51</v>
      </c>
    </row>
    <row r="2108" customFormat="false" ht="15" hidden="false" customHeight="false" outlineLevel="0" collapsed="false">
      <c r="A2108" s="0" t="n">
        <v>2105</v>
      </c>
      <c r="B2108" s="0" t="n">
        <f aca="true">NORMINV(RAND(),1,Coefficients!$B$22)</f>
        <v>0.955370453112735</v>
      </c>
      <c r="C2108" s="0" t="n">
        <f aca="true">MEDIAN(8,16,ROUND(NORMINV(RAND(),Coefficients!$B$20,Coefficients!$B$21),0))</f>
        <v>11</v>
      </c>
      <c r="D2108" s="0" t="n">
        <f aca="true">CRITBINOM($C2108,MIN(0.75,Matchup!$B$39*$B2108),RAND())</f>
        <v>2</v>
      </c>
      <c r="E2108" s="0" t="n">
        <f aca="true">CRITBINOM(D2108,Coefficients!$B$30,RAND())</f>
        <v>0</v>
      </c>
      <c r="F2108" s="0" t="n">
        <f aca="true">CRITBINOM(E2108,Coefficients!$B$31,RAND())</f>
        <v>0</v>
      </c>
      <c r="G2108" s="0" t="n">
        <f aca="true">CRITBINOM(MAX(0,D2108-E2108),1-Coefficients!$B$32,RAND())</f>
        <v>0</v>
      </c>
      <c r="H2108" s="0" t="n">
        <f aca="true">CRITBINOM(MAX(0,$C2108-D2108),MIN(0.6,Matchup!$B$40*SQRT($B2108)/(1-MIN(0.75,Matchup!$B$39*$B2108))),RAND())</f>
        <v>2</v>
      </c>
      <c r="I2108" s="0" t="n">
        <f aca="false">6*D2108+(D2108-E2108-G2108)+2*F2108+3*H2108</f>
        <v>20</v>
      </c>
      <c r="J2108" s="0" t="n">
        <f aca="true">CRITBINOM($C2108,MIN(0.75,Matchup!$C$39*$B2108),RAND())</f>
        <v>3</v>
      </c>
      <c r="K2108" s="0" t="n">
        <f aca="true">CRITBINOM(J2108,Coefficients!$B$30,RAND())</f>
        <v>0</v>
      </c>
      <c r="L2108" s="0" t="n">
        <f aca="true">CRITBINOM(K2108,Coefficients!$B$31,RAND())</f>
        <v>0</v>
      </c>
      <c r="M2108" s="0" t="n">
        <f aca="true">CRITBINOM(MAX(0,J2108-K2108),1-Coefficients!$B$32,RAND())</f>
        <v>0</v>
      </c>
      <c r="N2108" s="0" t="n">
        <f aca="true">CRITBINOM(MAX(0,$C2108-J2108),MIN(0.6,Matchup!$C$40*SQRT($B2108)/(1-MIN(0.75,Matchup!$C$39*$B2108))),RAND())</f>
        <v>1</v>
      </c>
      <c r="O2108" s="0" t="n">
        <f aca="false">6*J2108+(J2108-K2108-M2108)+2*L2108+3*N2108</f>
        <v>24</v>
      </c>
      <c r="P2108" s="0" t="n">
        <f aca="true">RAND()</f>
        <v>0.325494528471565</v>
      </c>
      <c r="Q2108" s="0" t="n">
        <f aca="true">RAND()</f>
        <v>0.0685991320107715</v>
      </c>
      <c r="R2108" s="0" t="n">
        <f aca="false">IF($I2108&lt;&gt;$O2108,0,IF(P2108&lt;Matchup!$B$39,7,IF(P2108&lt;Matchup!$B$39+Matchup!$B$40,3,0)))</f>
        <v>0</v>
      </c>
      <c r="S2108" s="0" t="n">
        <f aca="false">IF($I2108&lt;&gt;$O2108,0,IF(Q2108&lt;Matchup!$C$39,7,IF(Q2108&lt;Matchup!$C$39+Matchup!$C$40,3,0)))</f>
        <v>0</v>
      </c>
      <c r="T2108" s="0" t="n">
        <f aca="false">I2108+R2108</f>
        <v>20</v>
      </c>
      <c r="U2108" s="0" t="n">
        <f aca="false">O2108+S2108</f>
        <v>24</v>
      </c>
      <c r="V2108" s="0" t="n">
        <f aca="false">T2108-U2108</f>
        <v>-4</v>
      </c>
      <c r="W2108" s="0" t="n">
        <f aca="false">T2108+U2108</f>
        <v>44</v>
      </c>
    </row>
    <row r="2109" customFormat="false" ht="15" hidden="false" customHeight="false" outlineLevel="0" collapsed="false">
      <c r="A2109" s="0" t="n">
        <v>2106</v>
      </c>
      <c r="B2109" s="0" t="n">
        <f aca="true">NORMINV(RAND(),1,Coefficients!$B$22)</f>
        <v>1.06590321221498</v>
      </c>
      <c r="C2109" s="0" t="n">
        <f aca="true">MEDIAN(8,16,ROUND(NORMINV(RAND(),Coefficients!$B$20,Coefficients!$B$21),0))</f>
        <v>11</v>
      </c>
      <c r="D2109" s="0" t="n">
        <f aca="true">CRITBINOM($C2109,MIN(0.75,Matchup!$B$39*$B2109),RAND())</f>
        <v>1</v>
      </c>
      <c r="E2109" s="0" t="n">
        <f aca="true">CRITBINOM(D2109,Coefficients!$B$30,RAND())</f>
        <v>0</v>
      </c>
      <c r="F2109" s="0" t="n">
        <f aca="true">CRITBINOM(E2109,Coefficients!$B$31,RAND())</f>
        <v>0</v>
      </c>
      <c r="G2109" s="0" t="n">
        <f aca="true">CRITBINOM(MAX(0,D2109-E2109),1-Coefficients!$B$32,RAND())</f>
        <v>0</v>
      </c>
      <c r="H2109" s="0" t="n">
        <f aca="true">CRITBINOM(MAX(0,$C2109-D2109),MIN(0.6,Matchup!$B$40*SQRT($B2109)/(1-MIN(0.75,Matchup!$B$39*$B2109))),RAND())</f>
        <v>4</v>
      </c>
      <c r="I2109" s="0" t="n">
        <f aca="false">6*D2109+(D2109-E2109-G2109)+2*F2109+3*H2109</f>
        <v>19</v>
      </c>
      <c r="J2109" s="0" t="n">
        <f aca="true">CRITBINOM($C2109,MIN(0.75,Matchup!$C$39*$B2109),RAND())</f>
        <v>3</v>
      </c>
      <c r="K2109" s="0" t="n">
        <f aca="true">CRITBINOM(J2109,Coefficients!$B$30,RAND())</f>
        <v>2</v>
      </c>
      <c r="L2109" s="0" t="n">
        <f aca="true">CRITBINOM(K2109,Coefficients!$B$31,RAND())</f>
        <v>2</v>
      </c>
      <c r="M2109" s="0" t="n">
        <f aca="true">CRITBINOM(MAX(0,J2109-K2109),1-Coefficients!$B$32,RAND())</f>
        <v>0</v>
      </c>
      <c r="N2109" s="0" t="n">
        <f aca="true">CRITBINOM(MAX(0,$C2109-J2109),MIN(0.6,Matchup!$C$40*SQRT($B2109)/(1-MIN(0.75,Matchup!$C$39*$B2109))),RAND())</f>
        <v>2</v>
      </c>
      <c r="O2109" s="0" t="n">
        <f aca="false">6*J2109+(J2109-K2109-M2109)+2*L2109+3*N2109</f>
        <v>29</v>
      </c>
      <c r="P2109" s="0" t="n">
        <f aca="true">RAND()</f>
        <v>0.192081744084332</v>
      </c>
      <c r="Q2109" s="0" t="n">
        <f aca="true">RAND()</f>
        <v>0.342045337991909</v>
      </c>
      <c r="R2109" s="0" t="n">
        <f aca="false">IF($I2109&lt;&gt;$O2109,0,IF(P2109&lt;Matchup!$B$39,7,IF(P2109&lt;Matchup!$B$39+Matchup!$B$40,3,0)))</f>
        <v>0</v>
      </c>
      <c r="S2109" s="0" t="n">
        <f aca="false">IF($I2109&lt;&gt;$O2109,0,IF(Q2109&lt;Matchup!$C$39,7,IF(Q2109&lt;Matchup!$C$39+Matchup!$C$40,3,0)))</f>
        <v>0</v>
      </c>
      <c r="T2109" s="0" t="n">
        <f aca="false">I2109+R2109</f>
        <v>19</v>
      </c>
      <c r="U2109" s="0" t="n">
        <f aca="false">O2109+S2109</f>
        <v>29</v>
      </c>
      <c r="V2109" s="0" t="n">
        <f aca="false">T2109-U2109</f>
        <v>-10</v>
      </c>
      <c r="W2109" s="0" t="n">
        <f aca="false">T2109+U2109</f>
        <v>48</v>
      </c>
    </row>
    <row r="2110" customFormat="false" ht="15" hidden="false" customHeight="false" outlineLevel="0" collapsed="false">
      <c r="A2110" s="0" t="n">
        <v>2107</v>
      </c>
      <c r="B2110" s="0" t="n">
        <f aca="true">NORMINV(RAND(),1,Coefficients!$B$22)</f>
        <v>0.944626298374453</v>
      </c>
      <c r="C2110" s="0" t="n">
        <f aca="true">MEDIAN(8,16,ROUND(NORMINV(RAND(),Coefficients!$B$20,Coefficients!$B$21),0))</f>
        <v>12</v>
      </c>
      <c r="D2110" s="0" t="n">
        <f aca="true">CRITBINOM($C2110,MIN(0.75,Matchup!$B$39*$B2110),RAND())</f>
        <v>2</v>
      </c>
      <c r="E2110" s="0" t="n">
        <f aca="true">CRITBINOM(D2110,Coefficients!$B$30,RAND())</f>
        <v>1</v>
      </c>
      <c r="F2110" s="0" t="n">
        <f aca="true">CRITBINOM(E2110,Coefficients!$B$31,RAND())</f>
        <v>1</v>
      </c>
      <c r="G2110" s="0" t="n">
        <f aca="true">CRITBINOM(MAX(0,D2110-E2110),1-Coefficients!$B$32,RAND())</f>
        <v>0</v>
      </c>
      <c r="H2110" s="0" t="n">
        <f aca="true">CRITBINOM(MAX(0,$C2110-D2110),MIN(0.6,Matchup!$B$40*SQRT($B2110)/(1-MIN(0.75,Matchup!$B$39*$B2110))),RAND())</f>
        <v>2</v>
      </c>
      <c r="I2110" s="0" t="n">
        <f aca="false">6*D2110+(D2110-E2110-G2110)+2*F2110+3*H2110</f>
        <v>21</v>
      </c>
      <c r="J2110" s="0" t="n">
        <f aca="true">CRITBINOM($C2110,MIN(0.75,Matchup!$C$39*$B2110),RAND())</f>
        <v>4</v>
      </c>
      <c r="K2110" s="0" t="n">
        <f aca="true">CRITBINOM(J2110,Coefficients!$B$30,RAND())</f>
        <v>0</v>
      </c>
      <c r="L2110" s="0" t="n">
        <f aca="true">CRITBINOM(K2110,Coefficients!$B$31,RAND())</f>
        <v>0</v>
      </c>
      <c r="M2110" s="0" t="n">
        <f aca="true">CRITBINOM(MAX(0,J2110-K2110),1-Coefficients!$B$32,RAND())</f>
        <v>0</v>
      </c>
      <c r="N2110" s="0" t="n">
        <f aca="true">CRITBINOM(MAX(0,$C2110-J2110),MIN(0.6,Matchup!$C$40*SQRT($B2110)/(1-MIN(0.75,Matchup!$C$39*$B2110))),RAND())</f>
        <v>3</v>
      </c>
      <c r="O2110" s="0" t="n">
        <f aca="false">6*J2110+(J2110-K2110-M2110)+2*L2110+3*N2110</f>
        <v>37</v>
      </c>
      <c r="P2110" s="0" t="n">
        <f aca="true">RAND()</f>
        <v>0.103660034290993</v>
      </c>
      <c r="Q2110" s="0" t="n">
        <f aca="true">RAND()</f>
        <v>0.0333757247559734</v>
      </c>
      <c r="R2110" s="0" t="n">
        <f aca="false">IF($I2110&lt;&gt;$O2110,0,IF(P2110&lt;Matchup!$B$39,7,IF(P2110&lt;Matchup!$B$39+Matchup!$B$40,3,0)))</f>
        <v>0</v>
      </c>
      <c r="S2110" s="0" t="n">
        <f aca="false">IF($I2110&lt;&gt;$O2110,0,IF(Q2110&lt;Matchup!$C$39,7,IF(Q2110&lt;Matchup!$C$39+Matchup!$C$40,3,0)))</f>
        <v>0</v>
      </c>
      <c r="T2110" s="0" t="n">
        <f aca="false">I2110+R2110</f>
        <v>21</v>
      </c>
      <c r="U2110" s="0" t="n">
        <f aca="false">O2110+S2110</f>
        <v>37</v>
      </c>
      <c r="V2110" s="0" t="n">
        <f aca="false">T2110-U2110</f>
        <v>-16</v>
      </c>
      <c r="W2110" s="0" t="n">
        <f aca="false">T2110+U2110</f>
        <v>58</v>
      </c>
    </row>
    <row r="2111" customFormat="false" ht="15" hidden="false" customHeight="false" outlineLevel="0" collapsed="false">
      <c r="A2111" s="0" t="n">
        <v>2108</v>
      </c>
      <c r="B2111" s="0" t="n">
        <f aca="true">NORMINV(RAND(),1,Coefficients!$B$22)</f>
        <v>0.887925832665981</v>
      </c>
      <c r="C2111" s="0" t="n">
        <f aca="true">MEDIAN(8,16,ROUND(NORMINV(RAND(),Coefficients!$B$20,Coefficients!$B$21),0))</f>
        <v>12</v>
      </c>
      <c r="D2111" s="0" t="n">
        <f aca="true">CRITBINOM($C2111,MIN(0.75,Matchup!$B$39*$B2111),RAND())</f>
        <v>4</v>
      </c>
      <c r="E2111" s="0" t="n">
        <f aca="true">CRITBINOM(D2111,Coefficients!$B$30,RAND())</f>
        <v>2</v>
      </c>
      <c r="F2111" s="0" t="n">
        <f aca="true">CRITBINOM(E2111,Coefficients!$B$31,RAND())</f>
        <v>1</v>
      </c>
      <c r="G2111" s="0" t="n">
        <f aca="true">CRITBINOM(MAX(0,D2111-E2111),1-Coefficients!$B$32,RAND())</f>
        <v>0</v>
      </c>
      <c r="H2111" s="0" t="n">
        <f aca="true">CRITBINOM(MAX(0,$C2111-D2111),MIN(0.6,Matchup!$B$40*SQRT($B2111)/(1-MIN(0.75,Matchup!$B$39*$B2111))),RAND())</f>
        <v>0</v>
      </c>
      <c r="I2111" s="0" t="n">
        <f aca="false">6*D2111+(D2111-E2111-G2111)+2*F2111+3*H2111</f>
        <v>28</v>
      </c>
      <c r="J2111" s="0" t="n">
        <f aca="true">CRITBINOM($C2111,MIN(0.75,Matchup!$C$39*$B2111),RAND())</f>
        <v>3</v>
      </c>
      <c r="K2111" s="0" t="n">
        <f aca="true">CRITBINOM(J2111,Coefficients!$B$30,RAND())</f>
        <v>1</v>
      </c>
      <c r="L2111" s="0" t="n">
        <f aca="true">CRITBINOM(K2111,Coefficients!$B$31,RAND())</f>
        <v>1</v>
      </c>
      <c r="M2111" s="0" t="n">
        <f aca="true">CRITBINOM(MAX(0,J2111-K2111),1-Coefficients!$B$32,RAND())</f>
        <v>0</v>
      </c>
      <c r="N2111" s="0" t="n">
        <f aca="true">CRITBINOM(MAX(0,$C2111-J2111),MIN(0.6,Matchup!$C$40*SQRT($B2111)/(1-MIN(0.75,Matchup!$C$39*$B2111))),RAND())</f>
        <v>0</v>
      </c>
      <c r="O2111" s="0" t="n">
        <f aca="false">6*J2111+(J2111-K2111-M2111)+2*L2111+3*N2111</f>
        <v>22</v>
      </c>
      <c r="P2111" s="0" t="n">
        <f aca="true">RAND()</f>
        <v>0.0851621895862976</v>
      </c>
      <c r="Q2111" s="0" t="n">
        <f aca="true">RAND()</f>
        <v>0.339278171367245</v>
      </c>
      <c r="R2111" s="0" t="n">
        <f aca="false">IF($I2111&lt;&gt;$O2111,0,IF(P2111&lt;Matchup!$B$39,7,IF(P2111&lt;Matchup!$B$39+Matchup!$B$40,3,0)))</f>
        <v>0</v>
      </c>
      <c r="S2111" s="0" t="n">
        <f aca="false">IF($I2111&lt;&gt;$O2111,0,IF(Q2111&lt;Matchup!$C$39,7,IF(Q2111&lt;Matchup!$C$39+Matchup!$C$40,3,0)))</f>
        <v>0</v>
      </c>
      <c r="T2111" s="0" t="n">
        <f aca="false">I2111+R2111</f>
        <v>28</v>
      </c>
      <c r="U2111" s="0" t="n">
        <f aca="false">O2111+S2111</f>
        <v>22</v>
      </c>
      <c r="V2111" s="0" t="n">
        <f aca="false">T2111-U2111</f>
        <v>6</v>
      </c>
      <c r="W2111" s="0" t="n">
        <f aca="false">T2111+U2111</f>
        <v>50</v>
      </c>
    </row>
    <row r="2112" customFormat="false" ht="15" hidden="false" customHeight="false" outlineLevel="0" collapsed="false">
      <c r="A2112" s="0" t="n">
        <v>2109</v>
      </c>
      <c r="B2112" s="0" t="n">
        <f aca="true">NORMINV(RAND(),1,Coefficients!$B$22)</f>
        <v>0.981432212771406</v>
      </c>
      <c r="C2112" s="0" t="n">
        <f aca="true">MEDIAN(8,16,ROUND(NORMINV(RAND(),Coefficients!$B$20,Coefficients!$B$21),0))</f>
        <v>12</v>
      </c>
      <c r="D2112" s="0" t="n">
        <f aca="true">CRITBINOM($C2112,MIN(0.75,Matchup!$B$39*$B2112),RAND())</f>
        <v>4</v>
      </c>
      <c r="E2112" s="0" t="n">
        <f aca="true">CRITBINOM(D2112,Coefficients!$B$30,RAND())</f>
        <v>1</v>
      </c>
      <c r="F2112" s="0" t="n">
        <f aca="true">CRITBINOM(E2112,Coefficients!$B$31,RAND())</f>
        <v>1</v>
      </c>
      <c r="G2112" s="0" t="n">
        <f aca="true">CRITBINOM(MAX(0,D2112-E2112),1-Coefficients!$B$32,RAND())</f>
        <v>0</v>
      </c>
      <c r="H2112" s="0" t="n">
        <f aca="true">CRITBINOM(MAX(0,$C2112-D2112),MIN(0.6,Matchup!$B$40*SQRT($B2112)/(1-MIN(0.75,Matchup!$B$39*$B2112))),RAND())</f>
        <v>1</v>
      </c>
      <c r="I2112" s="0" t="n">
        <f aca="false">6*D2112+(D2112-E2112-G2112)+2*F2112+3*H2112</f>
        <v>32</v>
      </c>
      <c r="J2112" s="0" t="n">
        <f aca="true">CRITBINOM($C2112,MIN(0.75,Matchup!$C$39*$B2112),RAND())</f>
        <v>4</v>
      </c>
      <c r="K2112" s="0" t="n">
        <f aca="true">CRITBINOM(J2112,Coefficients!$B$30,RAND())</f>
        <v>0</v>
      </c>
      <c r="L2112" s="0" t="n">
        <f aca="true">CRITBINOM(K2112,Coefficients!$B$31,RAND())</f>
        <v>0</v>
      </c>
      <c r="M2112" s="0" t="n">
        <f aca="true">CRITBINOM(MAX(0,J2112-K2112),1-Coefficients!$B$32,RAND())</f>
        <v>0</v>
      </c>
      <c r="N2112" s="0" t="n">
        <f aca="true">CRITBINOM(MAX(0,$C2112-J2112),MIN(0.6,Matchup!$C$40*SQRT($B2112)/(1-MIN(0.75,Matchup!$C$39*$B2112))),RAND())</f>
        <v>1</v>
      </c>
      <c r="O2112" s="0" t="n">
        <f aca="false">6*J2112+(J2112-K2112-M2112)+2*L2112+3*N2112</f>
        <v>31</v>
      </c>
      <c r="P2112" s="0" t="n">
        <f aca="true">RAND()</f>
        <v>0.52275202346177</v>
      </c>
      <c r="Q2112" s="0" t="n">
        <f aca="true">RAND()</f>
        <v>0.734797037505837</v>
      </c>
      <c r="R2112" s="0" t="n">
        <f aca="false">IF($I2112&lt;&gt;$O2112,0,IF(P2112&lt;Matchup!$B$39,7,IF(P2112&lt;Matchup!$B$39+Matchup!$B$40,3,0)))</f>
        <v>0</v>
      </c>
      <c r="S2112" s="0" t="n">
        <f aca="false">IF($I2112&lt;&gt;$O2112,0,IF(Q2112&lt;Matchup!$C$39,7,IF(Q2112&lt;Matchup!$C$39+Matchup!$C$40,3,0)))</f>
        <v>0</v>
      </c>
      <c r="T2112" s="0" t="n">
        <f aca="false">I2112+R2112</f>
        <v>32</v>
      </c>
      <c r="U2112" s="0" t="n">
        <f aca="false">O2112+S2112</f>
        <v>31</v>
      </c>
      <c r="V2112" s="0" t="n">
        <f aca="false">T2112-U2112</f>
        <v>1</v>
      </c>
      <c r="W2112" s="0" t="n">
        <f aca="false">T2112+U2112</f>
        <v>63</v>
      </c>
    </row>
    <row r="2113" customFormat="false" ht="15" hidden="false" customHeight="false" outlineLevel="0" collapsed="false">
      <c r="A2113" s="0" t="n">
        <v>2110</v>
      </c>
      <c r="B2113" s="0" t="n">
        <f aca="true">NORMINV(RAND(),1,Coefficients!$B$22)</f>
        <v>0.927692390757489</v>
      </c>
      <c r="C2113" s="0" t="n">
        <f aca="true">MEDIAN(8,16,ROUND(NORMINV(RAND(),Coefficients!$B$20,Coefficients!$B$21),0))</f>
        <v>9</v>
      </c>
      <c r="D2113" s="0" t="n">
        <f aca="true">CRITBINOM($C2113,MIN(0.75,Matchup!$B$39*$B2113),RAND())</f>
        <v>4</v>
      </c>
      <c r="E2113" s="0" t="n">
        <f aca="true">CRITBINOM(D2113,Coefficients!$B$30,RAND())</f>
        <v>0</v>
      </c>
      <c r="F2113" s="0" t="n">
        <f aca="true">CRITBINOM(E2113,Coefficients!$B$31,RAND())</f>
        <v>0</v>
      </c>
      <c r="G2113" s="0" t="n">
        <f aca="true">CRITBINOM(MAX(0,D2113-E2113),1-Coefficients!$B$32,RAND())</f>
        <v>0</v>
      </c>
      <c r="H2113" s="0" t="n">
        <f aca="true">CRITBINOM(MAX(0,$C2113-D2113),MIN(0.6,Matchup!$B$40*SQRT($B2113)/(1-MIN(0.75,Matchup!$B$39*$B2113))),RAND())</f>
        <v>0</v>
      </c>
      <c r="I2113" s="0" t="n">
        <f aca="false">6*D2113+(D2113-E2113-G2113)+2*F2113+3*H2113</f>
        <v>28</v>
      </c>
      <c r="J2113" s="0" t="n">
        <f aca="true">CRITBINOM($C2113,MIN(0.75,Matchup!$C$39*$B2113),RAND())</f>
        <v>0</v>
      </c>
      <c r="K2113" s="0" t="n">
        <f aca="true">CRITBINOM(J2113,Coefficients!$B$30,RAND())</f>
        <v>0</v>
      </c>
      <c r="L2113" s="0" t="n">
        <f aca="true">CRITBINOM(K2113,Coefficients!$B$31,RAND())</f>
        <v>0</v>
      </c>
      <c r="M2113" s="0" t="n">
        <f aca="true">CRITBINOM(MAX(0,J2113-K2113),1-Coefficients!$B$32,RAND())</f>
        <v>0</v>
      </c>
      <c r="N2113" s="0" t="n">
        <f aca="true">CRITBINOM(MAX(0,$C2113-J2113),MIN(0.6,Matchup!$C$40*SQRT($B2113)/(1-MIN(0.75,Matchup!$C$39*$B2113))),RAND())</f>
        <v>0</v>
      </c>
      <c r="O2113" s="0" t="n">
        <f aca="false">6*J2113+(J2113-K2113-M2113)+2*L2113+3*N2113</f>
        <v>0</v>
      </c>
      <c r="P2113" s="0" t="n">
        <f aca="true">RAND()</f>
        <v>0.434774811150607</v>
      </c>
      <c r="Q2113" s="0" t="n">
        <f aca="true">RAND()</f>
        <v>0.915540458979171</v>
      </c>
      <c r="R2113" s="0" t="n">
        <f aca="false">IF($I2113&lt;&gt;$O2113,0,IF(P2113&lt;Matchup!$B$39,7,IF(P2113&lt;Matchup!$B$39+Matchup!$B$40,3,0)))</f>
        <v>0</v>
      </c>
      <c r="S2113" s="0" t="n">
        <f aca="false">IF($I2113&lt;&gt;$O2113,0,IF(Q2113&lt;Matchup!$C$39,7,IF(Q2113&lt;Matchup!$C$39+Matchup!$C$40,3,0)))</f>
        <v>0</v>
      </c>
      <c r="T2113" s="0" t="n">
        <f aca="false">I2113+R2113</f>
        <v>28</v>
      </c>
      <c r="U2113" s="0" t="n">
        <f aca="false">O2113+S2113</f>
        <v>0</v>
      </c>
      <c r="V2113" s="0" t="n">
        <f aca="false">T2113-U2113</f>
        <v>28</v>
      </c>
      <c r="W2113" s="0" t="n">
        <f aca="false">T2113+U2113</f>
        <v>28</v>
      </c>
    </row>
    <row r="2114" customFormat="false" ht="15" hidden="false" customHeight="false" outlineLevel="0" collapsed="false">
      <c r="A2114" s="0" t="n">
        <v>2111</v>
      </c>
      <c r="B2114" s="0" t="n">
        <f aca="true">NORMINV(RAND(),1,Coefficients!$B$22)</f>
        <v>1.03436154687967</v>
      </c>
      <c r="C2114" s="0" t="n">
        <f aca="true">MEDIAN(8,16,ROUND(NORMINV(RAND(),Coefficients!$B$20,Coefficients!$B$21),0))</f>
        <v>10</v>
      </c>
      <c r="D2114" s="0" t="n">
        <f aca="true">CRITBINOM($C2114,MIN(0.75,Matchup!$B$39*$B2114),RAND())</f>
        <v>4</v>
      </c>
      <c r="E2114" s="0" t="n">
        <f aca="true">CRITBINOM(D2114,Coefficients!$B$30,RAND())</f>
        <v>0</v>
      </c>
      <c r="F2114" s="0" t="n">
        <f aca="true">CRITBINOM(E2114,Coefficients!$B$31,RAND())</f>
        <v>0</v>
      </c>
      <c r="G2114" s="0" t="n">
        <f aca="true">CRITBINOM(MAX(0,D2114-E2114),1-Coefficients!$B$32,RAND())</f>
        <v>0</v>
      </c>
      <c r="H2114" s="0" t="n">
        <f aca="true">CRITBINOM(MAX(0,$C2114-D2114),MIN(0.6,Matchup!$B$40*SQRT($B2114)/(1-MIN(0.75,Matchup!$B$39*$B2114))),RAND())</f>
        <v>3</v>
      </c>
      <c r="I2114" s="0" t="n">
        <f aca="false">6*D2114+(D2114-E2114-G2114)+2*F2114+3*H2114</f>
        <v>37</v>
      </c>
      <c r="J2114" s="0" t="n">
        <f aca="true">CRITBINOM($C2114,MIN(0.75,Matchup!$C$39*$B2114),RAND())</f>
        <v>2</v>
      </c>
      <c r="K2114" s="0" t="n">
        <f aca="true">CRITBINOM(J2114,Coefficients!$B$30,RAND())</f>
        <v>0</v>
      </c>
      <c r="L2114" s="0" t="n">
        <f aca="true">CRITBINOM(K2114,Coefficients!$B$31,RAND())</f>
        <v>0</v>
      </c>
      <c r="M2114" s="0" t="n">
        <f aca="true">CRITBINOM(MAX(0,J2114-K2114),1-Coefficients!$B$32,RAND())</f>
        <v>0</v>
      </c>
      <c r="N2114" s="0" t="n">
        <f aca="true">CRITBINOM(MAX(0,$C2114-J2114),MIN(0.6,Matchup!$C$40*SQRT($B2114)/(1-MIN(0.75,Matchup!$C$39*$B2114))),RAND())</f>
        <v>0</v>
      </c>
      <c r="O2114" s="0" t="n">
        <f aca="false">6*J2114+(J2114-K2114-M2114)+2*L2114+3*N2114</f>
        <v>14</v>
      </c>
      <c r="P2114" s="0" t="n">
        <f aca="true">RAND()</f>
        <v>0.639431030770164</v>
      </c>
      <c r="Q2114" s="0" t="n">
        <f aca="true">RAND()</f>
        <v>0.576059940570417</v>
      </c>
      <c r="R2114" s="0" t="n">
        <f aca="false">IF($I2114&lt;&gt;$O2114,0,IF(P2114&lt;Matchup!$B$39,7,IF(P2114&lt;Matchup!$B$39+Matchup!$B$40,3,0)))</f>
        <v>0</v>
      </c>
      <c r="S2114" s="0" t="n">
        <f aca="false">IF($I2114&lt;&gt;$O2114,0,IF(Q2114&lt;Matchup!$C$39,7,IF(Q2114&lt;Matchup!$C$39+Matchup!$C$40,3,0)))</f>
        <v>0</v>
      </c>
      <c r="T2114" s="0" t="n">
        <f aca="false">I2114+R2114</f>
        <v>37</v>
      </c>
      <c r="U2114" s="0" t="n">
        <f aca="false">O2114+S2114</f>
        <v>14</v>
      </c>
      <c r="V2114" s="0" t="n">
        <f aca="false">T2114-U2114</f>
        <v>23</v>
      </c>
      <c r="W2114" s="0" t="n">
        <f aca="false">T2114+U2114</f>
        <v>51</v>
      </c>
    </row>
    <row r="2115" customFormat="false" ht="15" hidden="false" customHeight="false" outlineLevel="0" collapsed="false">
      <c r="A2115" s="0" t="n">
        <v>2112</v>
      </c>
      <c r="B2115" s="0" t="n">
        <f aca="true">NORMINV(RAND(),1,Coefficients!$B$22)</f>
        <v>0.912367014042329</v>
      </c>
      <c r="C2115" s="0" t="n">
        <f aca="true">MEDIAN(8,16,ROUND(NORMINV(RAND(),Coefficients!$B$20,Coefficients!$B$21),0))</f>
        <v>10</v>
      </c>
      <c r="D2115" s="0" t="n">
        <f aca="true">CRITBINOM($C2115,MIN(0.75,Matchup!$B$39*$B2115),RAND())</f>
        <v>1</v>
      </c>
      <c r="E2115" s="0" t="n">
        <f aca="true">CRITBINOM(D2115,Coefficients!$B$30,RAND())</f>
        <v>1</v>
      </c>
      <c r="F2115" s="0" t="n">
        <f aca="true">CRITBINOM(E2115,Coefficients!$B$31,RAND())</f>
        <v>1</v>
      </c>
      <c r="G2115" s="0" t="n">
        <f aca="true">CRITBINOM(MAX(0,D2115-E2115),1-Coefficients!$B$32,RAND())</f>
        <v>0</v>
      </c>
      <c r="H2115" s="0" t="n">
        <f aca="true">CRITBINOM(MAX(0,$C2115-D2115),MIN(0.6,Matchup!$B$40*SQRT($B2115)/(1-MIN(0.75,Matchup!$B$39*$B2115))),RAND())</f>
        <v>2</v>
      </c>
      <c r="I2115" s="0" t="n">
        <f aca="false">6*D2115+(D2115-E2115-G2115)+2*F2115+3*H2115</f>
        <v>14</v>
      </c>
      <c r="J2115" s="0" t="n">
        <f aca="true">CRITBINOM($C2115,MIN(0.75,Matchup!$C$39*$B2115),RAND())</f>
        <v>0</v>
      </c>
      <c r="K2115" s="0" t="n">
        <f aca="true">CRITBINOM(J2115,Coefficients!$B$30,RAND())</f>
        <v>0</v>
      </c>
      <c r="L2115" s="0" t="n">
        <f aca="true">CRITBINOM(K2115,Coefficients!$B$31,RAND())</f>
        <v>0</v>
      </c>
      <c r="M2115" s="0" t="n">
        <f aca="true">CRITBINOM(MAX(0,J2115-K2115),1-Coefficients!$B$32,RAND())</f>
        <v>0</v>
      </c>
      <c r="N2115" s="0" t="n">
        <f aca="true">CRITBINOM(MAX(0,$C2115-J2115),MIN(0.6,Matchup!$C$40*SQRT($B2115)/(1-MIN(0.75,Matchup!$C$39*$B2115))),RAND())</f>
        <v>1</v>
      </c>
      <c r="O2115" s="0" t="n">
        <f aca="false">6*J2115+(J2115-K2115-M2115)+2*L2115+3*N2115</f>
        <v>3</v>
      </c>
      <c r="P2115" s="0" t="n">
        <f aca="true">RAND()</f>
        <v>0.159208473347662</v>
      </c>
      <c r="Q2115" s="0" t="n">
        <f aca="true">RAND()</f>
        <v>0.893801193190229</v>
      </c>
      <c r="R2115" s="0" t="n">
        <f aca="false">IF($I2115&lt;&gt;$O2115,0,IF(P2115&lt;Matchup!$B$39,7,IF(P2115&lt;Matchup!$B$39+Matchup!$B$40,3,0)))</f>
        <v>0</v>
      </c>
      <c r="S2115" s="0" t="n">
        <f aca="false">IF($I2115&lt;&gt;$O2115,0,IF(Q2115&lt;Matchup!$C$39,7,IF(Q2115&lt;Matchup!$C$39+Matchup!$C$40,3,0)))</f>
        <v>0</v>
      </c>
      <c r="T2115" s="0" t="n">
        <f aca="false">I2115+R2115</f>
        <v>14</v>
      </c>
      <c r="U2115" s="0" t="n">
        <f aca="false">O2115+S2115</f>
        <v>3</v>
      </c>
      <c r="V2115" s="0" t="n">
        <f aca="false">T2115-U2115</f>
        <v>11</v>
      </c>
      <c r="W2115" s="0" t="n">
        <f aca="false">T2115+U2115</f>
        <v>17</v>
      </c>
    </row>
    <row r="2116" customFormat="false" ht="15" hidden="false" customHeight="false" outlineLevel="0" collapsed="false">
      <c r="A2116" s="0" t="n">
        <v>2113</v>
      </c>
      <c r="B2116" s="0" t="n">
        <f aca="true">NORMINV(RAND(),1,Coefficients!$B$22)</f>
        <v>0.928151627210076</v>
      </c>
      <c r="C2116" s="0" t="n">
        <f aca="true">MEDIAN(8,16,ROUND(NORMINV(RAND(),Coefficients!$B$20,Coefficients!$B$21),0))</f>
        <v>11</v>
      </c>
      <c r="D2116" s="0" t="n">
        <f aca="true">CRITBINOM($C2116,MIN(0.75,Matchup!$B$39*$B2116),RAND())</f>
        <v>2</v>
      </c>
      <c r="E2116" s="0" t="n">
        <f aca="true">CRITBINOM(D2116,Coefficients!$B$30,RAND())</f>
        <v>0</v>
      </c>
      <c r="F2116" s="0" t="n">
        <f aca="true">CRITBINOM(E2116,Coefficients!$B$31,RAND())</f>
        <v>0</v>
      </c>
      <c r="G2116" s="0" t="n">
        <f aca="true">CRITBINOM(MAX(0,D2116-E2116),1-Coefficients!$B$32,RAND())</f>
        <v>0</v>
      </c>
      <c r="H2116" s="0" t="n">
        <f aca="true">CRITBINOM(MAX(0,$C2116-D2116),MIN(0.6,Matchup!$B$40*SQRT($B2116)/(1-MIN(0.75,Matchup!$B$39*$B2116))),RAND())</f>
        <v>1</v>
      </c>
      <c r="I2116" s="0" t="n">
        <f aca="false">6*D2116+(D2116-E2116-G2116)+2*F2116+3*H2116</f>
        <v>17</v>
      </c>
      <c r="J2116" s="0" t="n">
        <f aca="true">CRITBINOM($C2116,MIN(0.75,Matchup!$C$39*$B2116),RAND())</f>
        <v>4</v>
      </c>
      <c r="K2116" s="0" t="n">
        <f aca="true">CRITBINOM(J2116,Coefficients!$B$30,RAND())</f>
        <v>0</v>
      </c>
      <c r="L2116" s="0" t="n">
        <f aca="true">CRITBINOM(K2116,Coefficients!$B$31,RAND())</f>
        <v>0</v>
      </c>
      <c r="M2116" s="0" t="n">
        <f aca="true">CRITBINOM(MAX(0,J2116-K2116),1-Coefficients!$B$32,RAND())</f>
        <v>0</v>
      </c>
      <c r="N2116" s="0" t="n">
        <f aca="true">CRITBINOM(MAX(0,$C2116-J2116),MIN(0.6,Matchup!$C$40*SQRT($B2116)/(1-MIN(0.75,Matchup!$C$39*$B2116))),RAND())</f>
        <v>1</v>
      </c>
      <c r="O2116" s="0" t="n">
        <f aca="false">6*J2116+(J2116-K2116-M2116)+2*L2116+3*N2116</f>
        <v>31</v>
      </c>
      <c r="P2116" s="0" t="n">
        <f aca="true">RAND()</f>
        <v>0.394964954959767</v>
      </c>
      <c r="Q2116" s="0" t="n">
        <f aca="true">RAND()</f>
        <v>0.327157547868579</v>
      </c>
      <c r="R2116" s="0" t="n">
        <f aca="false">IF($I2116&lt;&gt;$O2116,0,IF(P2116&lt;Matchup!$B$39,7,IF(P2116&lt;Matchup!$B$39+Matchup!$B$40,3,0)))</f>
        <v>0</v>
      </c>
      <c r="S2116" s="0" t="n">
        <f aca="false">IF($I2116&lt;&gt;$O2116,0,IF(Q2116&lt;Matchup!$C$39,7,IF(Q2116&lt;Matchup!$C$39+Matchup!$C$40,3,0)))</f>
        <v>0</v>
      </c>
      <c r="T2116" s="0" t="n">
        <f aca="false">I2116+R2116</f>
        <v>17</v>
      </c>
      <c r="U2116" s="0" t="n">
        <f aca="false">O2116+S2116</f>
        <v>31</v>
      </c>
      <c r="V2116" s="0" t="n">
        <f aca="false">T2116-U2116</f>
        <v>-14</v>
      </c>
      <c r="W2116" s="0" t="n">
        <f aca="false">T2116+U2116</f>
        <v>48</v>
      </c>
    </row>
    <row r="2117" customFormat="false" ht="15" hidden="false" customHeight="false" outlineLevel="0" collapsed="false">
      <c r="A2117" s="0" t="n">
        <v>2114</v>
      </c>
      <c r="B2117" s="0" t="n">
        <f aca="true">NORMINV(RAND(),1,Coefficients!$B$22)</f>
        <v>1.00976410448444</v>
      </c>
      <c r="C2117" s="0" t="n">
        <f aca="true">MEDIAN(8,16,ROUND(NORMINV(RAND(),Coefficients!$B$20,Coefficients!$B$21),0))</f>
        <v>10</v>
      </c>
      <c r="D2117" s="0" t="n">
        <f aca="true">CRITBINOM($C2117,MIN(0.75,Matchup!$B$39*$B2117),RAND())</f>
        <v>2</v>
      </c>
      <c r="E2117" s="0" t="n">
        <f aca="true">CRITBINOM(D2117,Coefficients!$B$30,RAND())</f>
        <v>1</v>
      </c>
      <c r="F2117" s="0" t="n">
        <f aca="true">CRITBINOM(E2117,Coefficients!$B$31,RAND())</f>
        <v>1</v>
      </c>
      <c r="G2117" s="0" t="n">
        <f aca="true">CRITBINOM(MAX(0,D2117-E2117),1-Coefficients!$B$32,RAND())</f>
        <v>0</v>
      </c>
      <c r="H2117" s="0" t="n">
        <f aca="true">CRITBINOM(MAX(0,$C2117-D2117),MIN(0.6,Matchup!$B$40*SQRT($B2117)/(1-MIN(0.75,Matchup!$B$39*$B2117))),RAND())</f>
        <v>1</v>
      </c>
      <c r="I2117" s="0" t="n">
        <f aca="false">6*D2117+(D2117-E2117-G2117)+2*F2117+3*H2117</f>
        <v>18</v>
      </c>
      <c r="J2117" s="0" t="n">
        <f aca="true">CRITBINOM($C2117,MIN(0.75,Matchup!$C$39*$B2117),RAND())</f>
        <v>4</v>
      </c>
      <c r="K2117" s="0" t="n">
        <f aca="true">CRITBINOM(J2117,Coefficients!$B$30,RAND())</f>
        <v>1</v>
      </c>
      <c r="L2117" s="0" t="n">
        <f aca="true">CRITBINOM(K2117,Coefficients!$B$31,RAND())</f>
        <v>0</v>
      </c>
      <c r="M2117" s="0" t="n">
        <f aca="true">CRITBINOM(MAX(0,J2117-K2117),1-Coefficients!$B$32,RAND())</f>
        <v>0</v>
      </c>
      <c r="N2117" s="0" t="n">
        <f aca="true">CRITBINOM(MAX(0,$C2117-J2117),MIN(0.6,Matchup!$C$40*SQRT($B2117)/(1-MIN(0.75,Matchup!$C$39*$B2117))),RAND())</f>
        <v>1</v>
      </c>
      <c r="O2117" s="0" t="n">
        <f aca="false">6*J2117+(J2117-K2117-M2117)+2*L2117+3*N2117</f>
        <v>30</v>
      </c>
      <c r="P2117" s="0" t="n">
        <f aca="true">RAND()</f>
        <v>0.587810560545556</v>
      </c>
      <c r="Q2117" s="0" t="n">
        <f aca="true">RAND()</f>
        <v>0.100119911978905</v>
      </c>
      <c r="R2117" s="0" t="n">
        <f aca="false">IF($I2117&lt;&gt;$O2117,0,IF(P2117&lt;Matchup!$B$39,7,IF(P2117&lt;Matchup!$B$39+Matchup!$B$40,3,0)))</f>
        <v>0</v>
      </c>
      <c r="S2117" s="0" t="n">
        <f aca="false">IF($I2117&lt;&gt;$O2117,0,IF(Q2117&lt;Matchup!$C$39,7,IF(Q2117&lt;Matchup!$C$39+Matchup!$C$40,3,0)))</f>
        <v>0</v>
      </c>
      <c r="T2117" s="0" t="n">
        <f aca="false">I2117+R2117</f>
        <v>18</v>
      </c>
      <c r="U2117" s="0" t="n">
        <f aca="false">O2117+S2117</f>
        <v>30</v>
      </c>
      <c r="V2117" s="0" t="n">
        <f aca="false">T2117-U2117</f>
        <v>-12</v>
      </c>
      <c r="W2117" s="0" t="n">
        <f aca="false">T2117+U2117</f>
        <v>48</v>
      </c>
    </row>
    <row r="2118" customFormat="false" ht="15" hidden="false" customHeight="false" outlineLevel="0" collapsed="false">
      <c r="A2118" s="0" t="n">
        <v>2115</v>
      </c>
      <c r="B2118" s="0" t="n">
        <f aca="true">NORMINV(RAND(),1,Coefficients!$B$22)</f>
        <v>1.04042040826837</v>
      </c>
      <c r="C2118" s="0" t="n">
        <f aca="true">MEDIAN(8,16,ROUND(NORMINV(RAND(),Coefficients!$B$20,Coefficients!$B$21),0))</f>
        <v>13</v>
      </c>
      <c r="D2118" s="0" t="n">
        <f aca="true">CRITBINOM($C2118,MIN(0.75,Matchup!$B$39*$B2118),RAND())</f>
        <v>2</v>
      </c>
      <c r="E2118" s="0" t="n">
        <f aca="true">CRITBINOM(D2118,Coefficients!$B$30,RAND())</f>
        <v>0</v>
      </c>
      <c r="F2118" s="0" t="n">
        <f aca="true">CRITBINOM(E2118,Coefficients!$B$31,RAND())</f>
        <v>0</v>
      </c>
      <c r="G2118" s="0" t="n">
        <f aca="true">CRITBINOM(MAX(0,D2118-E2118),1-Coefficients!$B$32,RAND())</f>
        <v>0</v>
      </c>
      <c r="H2118" s="0" t="n">
        <f aca="true">CRITBINOM(MAX(0,$C2118-D2118),MIN(0.6,Matchup!$B$40*SQRT($B2118)/(1-MIN(0.75,Matchup!$B$39*$B2118))),RAND())</f>
        <v>1</v>
      </c>
      <c r="I2118" s="0" t="n">
        <f aca="false">6*D2118+(D2118-E2118-G2118)+2*F2118+3*H2118</f>
        <v>17</v>
      </c>
      <c r="J2118" s="0" t="n">
        <f aca="true">CRITBINOM($C2118,MIN(0.75,Matchup!$C$39*$B2118),RAND())</f>
        <v>4</v>
      </c>
      <c r="K2118" s="0" t="n">
        <f aca="true">CRITBINOM(J2118,Coefficients!$B$30,RAND())</f>
        <v>0</v>
      </c>
      <c r="L2118" s="0" t="n">
        <f aca="true">CRITBINOM(K2118,Coefficients!$B$31,RAND())</f>
        <v>0</v>
      </c>
      <c r="M2118" s="0" t="n">
        <f aca="true">CRITBINOM(MAX(0,J2118-K2118),1-Coefficients!$B$32,RAND())</f>
        <v>0</v>
      </c>
      <c r="N2118" s="0" t="n">
        <f aca="true">CRITBINOM(MAX(0,$C2118-J2118),MIN(0.6,Matchup!$C$40*SQRT($B2118)/(1-MIN(0.75,Matchup!$C$39*$B2118))),RAND())</f>
        <v>2</v>
      </c>
      <c r="O2118" s="0" t="n">
        <f aca="false">6*J2118+(J2118-K2118-M2118)+2*L2118+3*N2118</f>
        <v>34</v>
      </c>
      <c r="P2118" s="0" t="n">
        <f aca="true">RAND()</f>
        <v>0.909664614438033</v>
      </c>
      <c r="Q2118" s="0" t="n">
        <f aca="true">RAND()</f>
        <v>0.724483668734476</v>
      </c>
      <c r="R2118" s="0" t="n">
        <f aca="false">IF($I2118&lt;&gt;$O2118,0,IF(P2118&lt;Matchup!$B$39,7,IF(P2118&lt;Matchup!$B$39+Matchup!$B$40,3,0)))</f>
        <v>0</v>
      </c>
      <c r="S2118" s="0" t="n">
        <f aca="false">IF($I2118&lt;&gt;$O2118,0,IF(Q2118&lt;Matchup!$C$39,7,IF(Q2118&lt;Matchup!$C$39+Matchup!$C$40,3,0)))</f>
        <v>0</v>
      </c>
      <c r="T2118" s="0" t="n">
        <f aca="false">I2118+R2118</f>
        <v>17</v>
      </c>
      <c r="U2118" s="0" t="n">
        <f aca="false">O2118+S2118</f>
        <v>34</v>
      </c>
      <c r="V2118" s="0" t="n">
        <f aca="false">T2118-U2118</f>
        <v>-17</v>
      </c>
      <c r="W2118" s="0" t="n">
        <f aca="false">T2118+U2118</f>
        <v>51</v>
      </c>
    </row>
    <row r="2119" customFormat="false" ht="15" hidden="false" customHeight="false" outlineLevel="0" collapsed="false">
      <c r="A2119" s="0" t="n">
        <v>2116</v>
      </c>
      <c r="B2119" s="0" t="n">
        <f aca="true">NORMINV(RAND(),1,Coefficients!$B$22)</f>
        <v>1.02139403113082</v>
      </c>
      <c r="C2119" s="0" t="n">
        <f aca="true">MEDIAN(8,16,ROUND(NORMINV(RAND(),Coefficients!$B$20,Coefficients!$B$21),0))</f>
        <v>11</v>
      </c>
      <c r="D2119" s="0" t="n">
        <f aca="true">CRITBINOM($C2119,MIN(0.75,Matchup!$B$39*$B2119),RAND())</f>
        <v>1</v>
      </c>
      <c r="E2119" s="0" t="n">
        <f aca="true">CRITBINOM(D2119,Coefficients!$B$30,RAND())</f>
        <v>0</v>
      </c>
      <c r="F2119" s="0" t="n">
        <f aca="true">CRITBINOM(E2119,Coefficients!$B$31,RAND())</f>
        <v>0</v>
      </c>
      <c r="G2119" s="0" t="n">
        <f aca="true">CRITBINOM(MAX(0,D2119-E2119),1-Coefficients!$B$32,RAND())</f>
        <v>0</v>
      </c>
      <c r="H2119" s="0" t="n">
        <f aca="true">CRITBINOM(MAX(0,$C2119-D2119),MIN(0.6,Matchup!$B$40*SQRT($B2119)/(1-MIN(0.75,Matchup!$B$39*$B2119))),RAND())</f>
        <v>3</v>
      </c>
      <c r="I2119" s="0" t="n">
        <f aca="false">6*D2119+(D2119-E2119-G2119)+2*F2119+3*H2119</f>
        <v>16</v>
      </c>
      <c r="J2119" s="0" t="n">
        <f aca="true">CRITBINOM($C2119,MIN(0.75,Matchup!$C$39*$B2119),RAND())</f>
        <v>3</v>
      </c>
      <c r="K2119" s="0" t="n">
        <f aca="true">CRITBINOM(J2119,Coefficients!$B$30,RAND())</f>
        <v>1</v>
      </c>
      <c r="L2119" s="0" t="n">
        <f aca="true">CRITBINOM(K2119,Coefficients!$B$31,RAND())</f>
        <v>1</v>
      </c>
      <c r="M2119" s="0" t="n">
        <f aca="true">CRITBINOM(MAX(0,J2119-K2119),1-Coefficients!$B$32,RAND())</f>
        <v>0</v>
      </c>
      <c r="N2119" s="0" t="n">
        <f aca="true">CRITBINOM(MAX(0,$C2119-J2119),MIN(0.6,Matchup!$C$40*SQRT($B2119)/(1-MIN(0.75,Matchup!$C$39*$B2119))),RAND())</f>
        <v>0</v>
      </c>
      <c r="O2119" s="0" t="n">
        <f aca="false">6*J2119+(J2119-K2119-M2119)+2*L2119+3*N2119</f>
        <v>22</v>
      </c>
      <c r="P2119" s="0" t="n">
        <f aca="true">RAND()</f>
        <v>0.0510624839841449</v>
      </c>
      <c r="Q2119" s="0" t="n">
        <f aca="true">RAND()</f>
        <v>0.194025913933287</v>
      </c>
      <c r="R2119" s="0" t="n">
        <f aca="false">IF($I2119&lt;&gt;$O2119,0,IF(P2119&lt;Matchup!$B$39,7,IF(P2119&lt;Matchup!$B$39+Matchup!$B$40,3,0)))</f>
        <v>0</v>
      </c>
      <c r="S2119" s="0" t="n">
        <f aca="false">IF($I2119&lt;&gt;$O2119,0,IF(Q2119&lt;Matchup!$C$39,7,IF(Q2119&lt;Matchup!$C$39+Matchup!$C$40,3,0)))</f>
        <v>0</v>
      </c>
      <c r="T2119" s="0" t="n">
        <f aca="false">I2119+R2119</f>
        <v>16</v>
      </c>
      <c r="U2119" s="0" t="n">
        <f aca="false">O2119+S2119</f>
        <v>22</v>
      </c>
      <c r="V2119" s="0" t="n">
        <f aca="false">T2119-U2119</f>
        <v>-6</v>
      </c>
      <c r="W2119" s="0" t="n">
        <f aca="false">T2119+U2119</f>
        <v>38</v>
      </c>
    </row>
    <row r="2120" customFormat="false" ht="15" hidden="false" customHeight="false" outlineLevel="0" collapsed="false">
      <c r="A2120" s="0" t="n">
        <v>2117</v>
      </c>
      <c r="B2120" s="0" t="n">
        <f aca="true">NORMINV(RAND(),1,Coefficients!$B$22)</f>
        <v>1.08934707261742</v>
      </c>
      <c r="C2120" s="0" t="n">
        <f aca="true">MEDIAN(8,16,ROUND(NORMINV(RAND(),Coefficients!$B$20,Coefficients!$B$21),0))</f>
        <v>12</v>
      </c>
      <c r="D2120" s="0" t="n">
        <f aca="true">CRITBINOM($C2120,MIN(0.75,Matchup!$B$39*$B2120),RAND())</f>
        <v>5</v>
      </c>
      <c r="E2120" s="0" t="n">
        <f aca="true">CRITBINOM(D2120,Coefficients!$B$30,RAND())</f>
        <v>1</v>
      </c>
      <c r="F2120" s="0" t="n">
        <f aca="true">CRITBINOM(E2120,Coefficients!$B$31,RAND())</f>
        <v>1</v>
      </c>
      <c r="G2120" s="0" t="n">
        <f aca="true">CRITBINOM(MAX(0,D2120-E2120),1-Coefficients!$B$32,RAND())</f>
        <v>1</v>
      </c>
      <c r="H2120" s="0" t="n">
        <f aca="true">CRITBINOM(MAX(0,$C2120-D2120),MIN(0.6,Matchup!$B$40*SQRT($B2120)/(1-MIN(0.75,Matchup!$B$39*$B2120))),RAND())</f>
        <v>1</v>
      </c>
      <c r="I2120" s="0" t="n">
        <f aca="false">6*D2120+(D2120-E2120-G2120)+2*F2120+3*H2120</f>
        <v>38</v>
      </c>
      <c r="J2120" s="0" t="n">
        <f aca="true">CRITBINOM($C2120,MIN(0.75,Matchup!$C$39*$B2120),RAND())</f>
        <v>3</v>
      </c>
      <c r="K2120" s="0" t="n">
        <f aca="true">CRITBINOM(J2120,Coefficients!$B$30,RAND())</f>
        <v>0</v>
      </c>
      <c r="L2120" s="0" t="n">
        <f aca="true">CRITBINOM(K2120,Coefficients!$B$31,RAND())</f>
        <v>0</v>
      </c>
      <c r="M2120" s="0" t="n">
        <f aca="true">CRITBINOM(MAX(0,J2120-K2120),1-Coefficients!$B$32,RAND())</f>
        <v>0</v>
      </c>
      <c r="N2120" s="0" t="n">
        <f aca="true">CRITBINOM(MAX(0,$C2120-J2120),MIN(0.6,Matchup!$C$40*SQRT($B2120)/(1-MIN(0.75,Matchup!$C$39*$B2120))),RAND())</f>
        <v>4</v>
      </c>
      <c r="O2120" s="0" t="n">
        <f aca="false">6*J2120+(J2120-K2120-M2120)+2*L2120+3*N2120</f>
        <v>33</v>
      </c>
      <c r="P2120" s="0" t="n">
        <f aca="true">RAND()</f>
        <v>0.34623719270824</v>
      </c>
      <c r="Q2120" s="0" t="n">
        <f aca="true">RAND()</f>
        <v>0.744498591141987</v>
      </c>
      <c r="R2120" s="0" t="n">
        <f aca="false">IF($I2120&lt;&gt;$O2120,0,IF(P2120&lt;Matchup!$B$39,7,IF(P2120&lt;Matchup!$B$39+Matchup!$B$40,3,0)))</f>
        <v>0</v>
      </c>
      <c r="S2120" s="0" t="n">
        <f aca="false">IF($I2120&lt;&gt;$O2120,0,IF(Q2120&lt;Matchup!$C$39,7,IF(Q2120&lt;Matchup!$C$39+Matchup!$C$40,3,0)))</f>
        <v>0</v>
      </c>
      <c r="T2120" s="0" t="n">
        <f aca="false">I2120+R2120</f>
        <v>38</v>
      </c>
      <c r="U2120" s="0" t="n">
        <f aca="false">O2120+S2120</f>
        <v>33</v>
      </c>
      <c r="V2120" s="0" t="n">
        <f aca="false">T2120-U2120</f>
        <v>5</v>
      </c>
      <c r="W2120" s="0" t="n">
        <f aca="false">T2120+U2120</f>
        <v>71</v>
      </c>
    </row>
    <row r="2121" customFormat="false" ht="15" hidden="false" customHeight="false" outlineLevel="0" collapsed="false">
      <c r="A2121" s="0" t="n">
        <v>2118</v>
      </c>
      <c r="B2121" s="0" t="n">
        <f aca="true">NORMINV(RAND(),1,Coefficients!$B$22)</f>
        <v>1.00916136086622</v>
      </c>
      <c r="C2121" s="0" t="n">
        <f aca="true">MEDIAN(8,16,ROUND(NORMINV(RAND(),Coefficients!$B$20,Coefficients!$B$21),0))</f>
        <v>10</v>
      </c>
      <c r="D2121" s="0" t="n">
        <f aca="true">CRITBINOM($C2121,MIN(0.75,Matchup!$B$39*$B2121),RAND())</f>
        <v>1</v>
      </c>
      <c r="E2121" s="0" t="n">
        <f aca="true">CRITBINOM(D2121,Coefficients!$B$30,RAND())</f>
        <v>0</v>
      </c>
      <c r="F2121" s="0" t="n">
        <f aca="true">CRITBINOM(E2121,Coefficients!$B$31,RAND())</f>
        <v>0</v>
      </c>
      <c r="G2121" s="0" t="n">
        <f aca="true">CRITBINOM(MAX(0,D2121-E2121),1-Coefficients!$B$32,RAND())</f>
        <v>0</v>
      </c>
      <c r="H2121" s="0" t="n">
        <f aca="true">CRITBINOM(MAX(0,$C2121-D2121),MIN(0.6,Matchup!$B$40*SQRT($B2121)/(1-MIN(0.75,Matchup!$B$39*$B2121))),RAND())</f>
        <v>2</v>
      </c>
      <c r="I2121" s="0" t="n">
        <f aca="false">6*D2121+(D2121-E2121-G2121)+2*F2121+3*H2121</f>
        <v>13</v>
      </c>
      <c r="J2121" s="0" t="n">
        <f aca="true">CRITBINOM($C2121,MIN(0.75,Matchup!$C$39*$B2121),RAND())</f>
        <v>3</v>
      </c>
      <c r="K2121" s="0" t="n">
        <f aca="true">CRITBINOM(J2121,Coefficients!$B$30,RAND())</f>
        <v>0</v>
      </c>
      <c r="L2121" s="0" t="n">
        <f aca="true">CRITBINOM(K2121,Coefficients!$B$31,RAND())</f>
        <v>0</v>
      </c>
      <c r="M2121" s="0" t="n">
        <f aca="true">CRITBINOM(MAX(0,J2121-K2121),1-Coefficients!$B$32,RAND())</f>
        <v>0</v>
      </c>
      <c r="N2121" s="0" t="n">
        <f aca="true">CRITBINOM(MAX(0,$C2121-J2121),MIN(0.6,Matchup!$C$40*SQRT($B2121)/(1-MIN(0.75,Matchup!$C$39*$B2121))),RAND())</f>
        <v>0</v>
      </c>
      <c r="O2121" s="0" t="n">
        <f aca="false">6*J2121+(J2121-K2121-M2121)+2*L2121+3*N2121</f>
        <v>21</v>
      </c>
      <c r="P2121" s="0" t="n">
        <f aca="true">RAND()</f>
        <v>0.30141243546861</v>
      </c>
      <c r="Q2121" s="0" t="n">
        <f aca="true">RAND()</f>
        <v>0.598745883858815</v>
      </c>
      <c r="R2121" s="0" t="n">
        <f aca="false">IF($I2121&lt;&gt;$O2121,0,IF(P2121&lt;Matchup!$B$39,7,IF(P2121&lt;Matchup!$B$39+Matchup!$B$40,3,0)))</f>
        <v>0</v>
      </c>
      <c r="S2121" s="0" t="n">
        <f aca="false">IF($I2121&lt;&gt;$O2121,0,IF(Q2121&lt;Matchup!$C$39,7,IF(Q2121&lt;Matchup!$C$39+Matchup!$C$40,3,0)))</f>
        <v>0</v>
      </c>
      <c r="T2121" s="0" t="n">
        <f aca="false">I2121+R2121</f>
        <v>13</v>
      </c>
      <c r="U2121" s="0" t="n">
        <f aca="false">O2121+S2121</f>
        <v>21</v>
      </c>
      <c r="V2121" s="0" t="n">
        <f aca="false">T2121-U2121</f>
        <v>-8</v>
      </c>
      <c r="W2121" s="0" t="n">
        <f aca="false">T2121+U2121</f>
        <v>34</v>
      </c>
    </row>
    <row r="2122" customFormat="false" ht="15" hidden="false" customHeight="false" outlineLevel="0" collapsed="false">
      <c r="A2122" s="0" t="n">
        <v>2119</v>
      </c>
      <c r="B2122" s="0" t="n">
        <f aca="true">NORMINV(RAND(),1,Coefficients!$B$22)</f>
        <v>0.985038715187238</v>
      </c>
      <c r="C2122" s="0" t="n">
        <f aca="true">MEDIAN(8,16,ROUND(NORMINV(RAND(),Coefficients!$B$20,Coefficients!$B$21),0))</f>
        <v>12</v>
      </c>
      <c r="D2122" s="0" t="n">
        <f aca="true">CRITBINOM($C2122,MIN(0.75,Matchup!$B$39*$B2122),RAND())</f>
        <v>3</v>
      </c>
      <c r="E2122" s="0" t="n">
        <f aca="true">CRITBINOM(D2122,Coefficients!$B$30,RAND())</f>
        <v>0</v>
      </c>
      <c r="F2122" s="0" t="n">
        <f aca="true">CRITBINOM(E2122,Coefficients!$B$31,RAND())</f>
        <v>0</v>
      </c>
      <c r="G2122" s="0" t="n">
        <f aca="true">CRITBINOM(MAX(0,D2122-E2122),1-Coefficients!$B$32,RAND())</f>
        <v>1</v>
      </c>
      <c r="H2122" s="0" t="n">
        <f aca="true">CRITBINOM(MAX(0,$C2122-D2122),MIN(0.6,Matchup!$B$40*SQRT($B2122)/(1-MIN(0.75,Matchup!$B$39*$B2122))),RAND())</f>
        <v>1</v>
      </c>
      <c r="I2122" s="0" t="n">
        <f aca="false">6*D2122+(D2122-E2122-G2122)+2*F2122+3*H2122</f>
        <v>23</v>
      </c>
      <c r="J2122" s="0" t="n">
        <f aca="true">CRITBINOM($C2122,MIN(0.75,Matchup!$C$39*$B2122),RAND())</f>
        <v>3</v>
      </c>
      <c r="K2122" s="0" t="n">
        <f aca="true">CRITBINOM(J2122,Coefficients!$B$30,RAND())</f>
        <v>0</v>
      </c>
      <c r="L2122" s="0" t="n">
        <f aca="true">CRITBINOM(K2122,Coefficients!$B$31,RAND())</f>
        <v>0</v>
      </c>
      <c r="M2122" s="0" t="n">
        <f aca="true">CRITBINOM(MAX(0,J2122-K2122),1-Coefficients!$B$32,RAND())</f>
        <v>1</v>
      </c>
      <c r="N2122" s="0" t="n">
        <f aca="true">CRITBINOM(MAX(0,$C2122-J2122),MIN(0.6,Matchup!$C$40*SQRT($B2122)/(1-MIN(0.75,Matchup!$C$39*$B2122))),RAND())</f>
        <v>2</v>
      </c>
      <c r="O2122" s="0" t="n">
        <f aca="false">6*J2122+(J2122-K2122-M2122)+2*L2122+3*N2122</f>
        <v>26</v>
      </c>
      <c r="P2122" s="0" t="n">
        <f aca="true">RAND()</f>
        <v>0.261137420453714</v>
      </c>
      <c r="Q2122" s="0" t="n">
        <f aca="true">RAND()</f>
        <v>0.21373942872194</v>
      </c>
      <c r="R2122" s="0" t="n">
        <f aca="false">IF($I2122&lt;&gt;$O2122,0,IF(P2122&lt;Matchup!$B$39,7,IF(P2122&lt;Matchup!$B$39+Matchup!$B$40,3,0)))</f>
        <v>0</v>
      </c>
      <c r="S2122" s="0" t="n">
        <f aca="false">IF($I2122&lt;&gt;$O2122,0,IF(Q2122&lt;Matchup!$C$39,7,IF(Q2122&lt;Matchup!$C$39+Matchup!$C$40,3,0)))</f>
        <v>0</v>
      </c>
      <c r="T2122" s="0" t="n">
        <f aca="false">I2122+R2122</f>
        <v>23</v>
      </c>
      <c r="U2122" s="0" t="n">
        <f aca="false">O2122+S2122</f>
        <v>26</v>
      </c>
      <c r="V2122" s="0" t="n">
        <f aca="false">T2122-U2122</f>
        <v>-3</v>
      </c>
      <c r="W2122" s="0" t="n">
        <f aca="false">T2122+U2122</f>
        <v>49</v>
      </c>
    </row>
    <row r="2123" customFormat="false" ht="15" hidden="false" customHeight="false" outlineLevel="0" collapsed="false">
      <c r="A2123" s="0" t="n">
        <v>2120</v>
      </c>
      <c r="B2123" s="0" t="n">
        <f aca="true">NORMINV(RAND(),1,Coefficients!$B$22)</f>
        <v>1.11211395376615</v>
      </c>
      <c r="C2123" s="0" t="n">
        <f aca="true">MEDIAN(8,16,ROUND(NORMINV(RAND(),Coefficients!$B$20,Coefficients!$B$21),0))</f>
        <v>10</v>
      </c>
      <c r="D2123" s="0" t="n">
        <f aca="true">CRITBINOM($C2123,MIN(0.75,Matchup!$B$39*$B2123),RAND())</f>
        <v>5</v>
      </c>
      <c r="E2123" s="0" t="n">
        <f aca="true">CRITBINOM(D2123,Coefficients!$B$30,RAND())</f>
        <v>0</v>
      </c>
      <c r="F2123" s="0" t="n">
        <f aca="true">CRITBINOM(E2123,Coefficients!$B$31,RAND())</f>
        <v>0</v>
      </c>
      <c r="G2123" s="0" t="n">
        <f aca="true">CRITBINOM(MAX(0,D2123-E2123),1-Coefficients!$B$32,RAND())</f>
        <v>0</v>
      </c>
      <c r="H2123" s="0" t="n">
        <f aca="true">CRITBINOM(MAX(0,$C2123-D2123),MIN(0.6,Matchup!$B$40*SQRT($B2123)/(1-MIN(0.75,Matchup!$B$39*$B2123))),RAND())</f>
        <v>0</v>
      </c>
      <c r="I2123" s="0" t="n">
        <f aca="false">6*D2123+(D2123-E2123-G2123)+2*F2123+3*H2123</f>
        <v>35</v>
      </c>
      <c r="J2123" s="0" t="n">
        <f aca="true">CRITBINOM($C2123,MIN(0.75,Matchup!$C$39*$B2123),RAND())</f>
        <v>4</v>
      </c>
      <c r="K2123" s="0" t="n">
        <f aca="true">CRITBINOM(J2123,Coefficients!$B$30,RAND())</f>
        <v>1</v>
      </c>
      <c r="L2123" s="0" t="n">
        <f aca="true">CRITBINOM(K2123,Coefficients!$B$31,RAND())</f>
        <v>1</v>
      </c>
      <c r="M2123" s="0" t="n">
        <f aca="true">CRITBINOM(MAX(0,J2123-K2123),1-Coefficients!$B$32,RAND())</f>
        <v>0</v>
      </c>
      <c r="N2123" s="0" t="n">
        <f aca="true">CRITBINOM(MAX(0,$C2123-J2123),MIN(0.6,Matchup!$C$40*SQRT($B2123)/(1-MIN(0.75,Matchup!$C$39*$B2123))),RAND())</f>
        <v>1</v>
      </c>
      <c r="O2123" s="0" t="n">
        <f aca="false">6*J2123+(J2123-K2123-M2123)+2*L2123+3*N2123</f>
        <v>32</v>
      </c>
      <c r="P2123" s="0" t="n">
        <f aca="true">RAND()</f>
        <v>0.18652707129809</v>
      </c>
      <c r="Q2123" s="0" t="n">
        <f aca="true">RAND()</f>
        <v>0.720166822438904</v>
      </c>
      <c r="R2123" s="0" t="n">
        <f aca="false">IF($I2123&lt;&gt;$O2123,0,IF(P2123&lt;Matchup!$B$39,7,IF(P2123&lt;Matchup!$B$39+Matchup!$B$40,3,0)))</f>
        <v>0</v>
      </c>
      <c r="S2123" s="0" t="n">
        <f aca="false">IF($I2123&lt;&gt;$O2123,0,IF(Q2123&lt;Matchup!$C$39,7,IF(Q2123&lt;Matchup!$C$39+Matchup!$C$40,3,0)))</f>
        <v>0</v>
      </c>
      <c r="T2123" s="0" t="n">
        <f aca="false">I2123+R2123</f>
        <v>35</v>
      </c>
      <c r="U2123" s="0" t="n">
        <f aca="false">O2123+S2123</f>
        <v>32</v>
      </c>
      <c r="V2123" s="0" t="n">
        <f aca="false">T2123-U2123</f>
        <v>3</v>
      </c>
      <c r="W2123" s="0" t="n">
        <f aca="false">T2123+U2123</f>
        <v>67</v>
      </c>
    </row>
    <row r="2124" customFormat="false" ht="15" hidden="false" customHeight="false" outlineLevel="0" collapsed="false">
      <c r="A2124" s="0" t="n">
        <v>2121</v>
      </c>
      <c r="B2124" s="0" t="n">
        <f aca="true">NORMINV(RAND(),1,Coefficients!$B$22)</f>
        <v>0.999838639123826</v>
      </c>
      <c r="C2124" s="0" t="n">
        <f aca="true">MEDIAN(8,16,ROUND(NORMINV(RAND(),Coefficients!$B$20,Coefficients!$B$21),0))</f>
        <v>10</v>
      </c>
      <c r="D2124" s="0" t="n">
        <f aca="true">CRITBINOM($C2124,MIN(0.75,Matchup!$B$39*$B2124),RAND())</f>
        <v>3</v>
      </c>
      <c r="E2124" s="0" t="n">
        <f aca="true">CRITBINOM(D2124,Coefficients!$B$30,RAND())</f>
        <v>0</v>
      </c>
      <c r="F2124" s="0" t="n">
        <f aca="true">CRITBINOM(E2124,Coefficients!$B$31,RAND())</f>
        <v>0</v>
      </c>
      <c r="G2124" s="0" t="n">
        <f aca="true">CRITBINOM(MAX(0,D2124-E2124),1-Coefficients!$B$32,RAND())</f>
        <v>0</v>
      </c>
      <c r="H2124" s="0" t="n">
        <f aca="true">CRITBINOM(MAX(0,$C2124-D2124),MIN(0.6,Matchup!$B$40*SQRT($B2124)/(1-MIN(0.75,Matchup!$B$39*$B2124))),RAND())</f>
        <v>0</v>
      </c>
      <c r="I2124" s="0" t="n">
        <f aca="false">6*D2124+(D2124-E2124-G2124)+2*F2124+3*H2124</f>
        <v>21</v>
      </c>
      <c r="J2124" s="0" t="n">
        <f aca="true">CRITBINOM($C2124,MIN(0.75,Matchup!$C$39*$B2124),RAND())</f>
        <v>2</v>
      </c>
      <c r="K2124" s="0" t="n">
        <f aca="true">CRITBINOM(J2124,Coefficients!$B$30,RAND())</f>
        <v>0</v>
      </c>
      <c r="L2124" s="0" t="n">
        <f aca="true">CRITBINOM(K2124,Coefficients!$B$31,RAND())</f>
        <v>0</v>
      </c>
      <c r="M2124" s="0" t="n">
        <f aca="true">CRITBINOM(MAX(0,J2124-K2124),1-Coefficients!$B$32,RAND())</f>
        <v>0</v>
      </c>
      <c r="N2124" s="0" t="n">
        <f aca="true">CRITBINOM(MAX(0,$C2124-J2124),MIN(0.6,Matchup!$C$40*SQRT($B2124)/(1-MIN(0.75,Matchup!$C$39*$B2124))),RAND())</f>
        <v>0</v>
      </c>
      <c r="O2124" s="0" t="n">
        <f aca="false">6*J2124+(J2124-K2124-M2124)+2*L2124+3*N2124</f>
        <v>14</v>
      </c>
      <c r="P2124" s="0" t="n">
        <f aca="true">RAND()</f>
        <v>0.856694788278039</v>
      </c>
      <c r="Q2124" s="0" t="n">
        <f aca="true">RAND()</f>
        <v>0.343169202684622</v>
      </c>
      <c r="R2124" s="0" t="n">
        <f aca="false">IF($I2124&lt;&gt;$O2124,0,IF(P2124&lt;Matchup!$B$39,7,IF(P2124&lt;Matchup!$B$39+Matchup!$B$40,3,0)))</f>
        <v>0</v>
      </c>
      <c r="S2124" s="0" t="n">
        <f aca="false">IF($I2124&lt;&gt;$O2124,0,IF(Q2124&lt;Matchup!$C$39,7,IF(Q2124&lt;Matchup!$C$39+Matchup!$C$40,3,0)))</f>
        <v>0</v>
      </c>
      <c r="T2124" s="0" t="n">
        <f aca="false">I2124+R2124</f>
        <v>21</v>
      </c>
      <c r="U2124" s="0" t="n">
        <f aca="false">O2124+S2124</f>
        <v>14</v>
      </c>
      <c r="V2124" s="0" t="n">
        <f aca="false">T2124-U2124</f>
        <v>7</v>
      </c>
      <c r="W2124" s="0" t="n">
        <f aca="false">T2124+U2124</f>
        <v>35</v>
      </c>
    </row>
    <row r="2125" customFormat="false" ht="15" hidden="false" customHeight="false" outlineLevel="0" collapsed="false">
      <c r="A2125" s="0" t="n">
        <v>2122</v>
      </c>
      <c r="B2125" s="0" t="n">
        <f aca="true">NORMINV(RAND(),1,Coefficients!$B$22)</f>
        <v>0.983427821814678</v>
      </c>
      <c r="C2125" s="0" t="n">
        <f aca="true">MEDIAN(8,16,ROUND(NORMINV(RAND(),Coefficients!$B$20,Coefficients!$B$21),0))</f>
        <v>10</v>
      </c>
      <c r="D2125" s="0" t="n">
        <f aca="true">CRITBINOM($C2125,MIN(0.75,Matchup!$B$39*$B2125),RAND())</f>
        <v>4</v>
      </c>
      <c r="E2125" s="0" t="n">
        <f aca="true">CRITBINOM(D2125,Coefficients!$B$30,RAND())</f>
        <v>0</v>
      </c>
      <c r="F2125" s="0" t="n">
        <f aca="true">CRITBINOM(E2125,Coefficients!$B$31,RAND())</f>
        <v>0</v>
      </c>
      <c r="G2125" s="0" t="n">
        <f aca="true">CRITBINOM(MAX(0,D2125-E2125),1-Coefficients!$B$32,RAND())</f>
        <v>0</v>
      </c>
      <c r="H2125" s="0" t="n">
        <f aca="true">CRITBINOM(MAX(0,$C2125-D2125),MIN(0.6,Matchup!$B$40*SQRT($B2125)/(1-MIN(0.75,Matchup!$B$39*$B2125))),RAND())</f>
        <v>0</v>
      </c>
      <c r="I2125" s="0" t="n">
        <f aca="false">6*D2125+(D2125-E2125-G2125)+2*F2125+3*H2125</f>
        <v>28</v>
      </c>
      <c r="J2125" s="0" t="n">
        <f aca="true">CRITBINOM($C2125,MIN(0.75,Matchup!$C$39*$B2125),RAND())</f>
        <v>4</v>
      </c>
      <c r="K2125" s="0" t="n">
        <f aca="true">CRITBINOM(J2125,Coefficients!$B$30,RAND())</f>
        <v>0</v>
      </c>
      <c r="L2125" s="0" t="n">
        <f aca="true">CRITBINOM(K2125,Coefficients!$B$31,RAND())</f>
        <v>0</v>
      </c>
      <c r="M2125" s="0" t="n">
        <f aca="true">CRITBINOM(MAX(0,J2125-K2125),1-Coefficients!$B$32,RAND())</f>
        <v>0</v>
      </c>
      <c r="N2125" s="0" t="n">
        <f aca="true">CRITBINOM(MAX(0,$C2125-J2125),MIN(0.6,Matchup!$C$40*SQRT($B2125)/(1-MIN(0.75,Matchup!$C$39*$B2125))),RAND())</f>
        <v>1</v>
      </c>
      <c r="O2125" s="0" t="n">
        <f aca="false">6*J2125+(J2125-K2125-M2125)+2*L2125+3*N2125</f>
        <v>31</v>
      </c>
      <c r="P2125" s="0" t="n">
        <f aca="true">RAND()</f>
        <v>0.96991716729817</v>
      </c>
      <c r="Q2125" s="0" t="n">
        <f aca="true">RAND()</f>
        <v>0.0478293036063555</v>
      </c>
      <c r="R2125" s="0" t="n">
        <f aca="false">IF($I2125&lt;&gt;$O2125,0,IF(P2125&lt;Matchup!$B$39,7,IF(P2125&lt;Matchup!$B$39+Matchup!$B$40,3,0)))</f>
        <v>0</v>
      </c>
      <c r="S2125" s="0" t="n">
        <f aca="false">IF($I2125&lt;&gt;$O2125,0,IF(Q2125&lt;Matchup!$C$39,7,IF(Q2125&lt;Matchup!$C$39+Matchup!$C$40,3,0)))</f>
        <v>0</v>
      </c>
      <c r="T2125" s="0" t="n">
        <f aca="false">I2125+R2125</f>
        <v>28</v>
      </c>
      <c r="U2125" s="0" t="n">
        <f aca="false">O2125+S2125</f>
        <v>31</v>
      </c>
      <c r="V2125" s="0" t="n">
        <f aca="false">T2125-U2125</f>
        <v>-3</v>
      </c>
      <c r="W2125" s="0" t="n">
        <f aca="false">T2125+U2125</f>
        <v>59</v>
      </c>
    </row>
    <row r="2126" customFormat="false" ht="15" hidden="false" customHeight="false" outlineLevel="0" collapsed="false">
      <c r="A2126" s="0" t="n">
        <v>2123</v>
      </c>
      <c r="B2126" s="0" t="n">
        <f aca="true">NORMINV(RAND(),1,Coefficients!$B$22)</f>
        <v>1.09271544802858</v>
      </c>
      <c r="C2126" s="0" t="n">
        <f aca="true">MEDIAN(8,16,ROUND(NORMINV(RAND(),Coefficients!$B$20,Coefficients!$B$21),0))</f>
        <v>11</v>
      </c>
      <c r="D2126" s="0" t="n">
        <f aca="true">CRITBINOM($C2126,MIN(0.75,Matchup!$B$39*$B2126),RAND())</f>
        <v>3</v>
      </c>
      <c r="E2126" s="0" t="n">
        <f aca="true">CRITBINOM(D2126,Coefficients!$B$30,RAND())</f>
        <v>0</v>
      </c>
      <c r="F2126" s="0" t="n">
        <f aca="true">CRITBINOM(E2126,Coefficients!$B$31,RAND())</f>
        <v>0</v>
      </c>
      <c r="G2126" s="0" t="n">
        <f aca="true">CRITBINOM(MAX(0,D2126-E2126),1-Coefficients!$B$32,RAND())</f>
        <v>0</v>
      </c>
      <c r="H2126" s="0" t="n">
        <f aca="true">CRITBINOM(MAX(0,$C2126-D2126),MIN(0.6,Matchup!$B$40*SQRT($B2126)/(1-MIN(0.75,Matchup!$B$39*$B2126))),RAND())</f>
        <v>2</v>
      </c>
      <c r="I2126" s="0" t="n">
        <f aca="false">6*D2126+(D2126-E2126-G2126)+2*F2126+3*H2126</f>
        <v>27</v>
      </c>
      <c r="J2126" s="0" t="n">
        <f aca="true">CRITBINOM($C2126,MIN(0.75,Matchup!$C$39*$B2126),RAND())</f>
        <v>2</v>
      </c>
      <c r="K2126" s="0" t="n">
        <f aca="true">CRITBINOM(J2126,Coefficients!$B$30,RAND())</f>
        <v>0</v>
      </c>
      <c r="L2126" s="0" t="n">
        <f aca="true">CRITBINOM(K2126,Coefficients!$B$31,RAND())</f>
        <v>0</v>
      </c>
      <c r="M2126" s="0" t="n">
        <f aca="true">CRITBINOM(MAX(0,J2126-K2126),1-Coefficients!$B$32,RAND())</f>
        <v>0</v>
      </c>
      <c r="N2126" s="0" t="n">
        <f aca="true">CRITBINOM(MAX(0,$C2126-J2126),MIN(0.6,Matchup!$C$40*SQRT($B2126)/(1-MIN(0.75,Matchup!$C$39*$B2126))),RAND())</f>
        <v>2</v>
      </c>
      <c r="O2126" s="0" t="n">
        <f aca="false">6*J2126+(J2126-K2126-M2126)+2*L2126+3*N2126</f>
        <v>20</v>
      </c>
      <c r="P2126" s="0" t="n">
        <f aca="true">RAND()</f>
        <v>0.628557837345107</v>
      </c>
      <c r="Q2126" s="0" t="n">
        <f aca="true">RAND()</f>
        <v>0.293415633919364</v>
      </c>
      <c r="R2126" s="0" t="n">
        <f aca="false">IF($I2126&lt;&gt;$O2126,0,IF(P2126&lt;Matchup!$B$39,7,IF(P2126&lt;Matchup!$B$39+Matchup!$B$40,3,0)))</f>
        <v>0</v>
      </c>
      <c r="S2126" s="0" t="n">
        <f aca="false">IF($I2126&lt;&gt;$O2126,0,IF(Q2126&lt;Matchup!$C$39,7,IF(Q2126&lt;Matchup!$C$39+Matchup!$C$40,3,0)))</f>
        <v>0</v>
      </c>
      <c r="T2126" s="0" t="n">
        <f aca="false">I2126+R2126</f>
        <v>27</v>
      </c>
      <c r="U2126" s="0" t="n">
        <f aca="false">O2126+S2126</f>
        <v>20</v>
      </c>
      <c r="V2126" s="0" t="n">
        <f aca="false">T2126-U2126</f>
        <v>7</v>
      </c>
      <c r="W2126" s="0" t="n">
        <f aca="false">T2126+U2126</f>
        <v>47</v>
      </c>
    </row>
    <row r="2127" customFormat="false" ht="15" hidden="false" customHeight="false" outlineLevel="0" collapsed="false">
      <c r="A2127" s="0" t="n">
        <v>2124</v>
      </c>
      <c r="B2127" s="0" t="n">
        <f aca="true">NORMINV(RAND(),1,Coefficients!$B$22)</f>
        <v>0.928375252742396</v>
      </c>
      <c r="C2127" s="0" t="n">
        <f aca="true">MEDIAN(8,16,ROUND(NORMINV(RAND(),Coefficients!$B$20,Coefficients!$B$21),0))</f>
        <v>12</v>
      </c>
      <c r="D2127" s="0" t="n">
        <f aca="true">CRITBINOM($C2127,MIN(0.75,Matchup!$B$39*$B2127),RAND())</f>
        <v>2</v>
      </c>
      <c r="E2127" s="0" t="n">
        <f aca="true">CRITBINOM(D2127,Coefficients!$B$30,RAND())</f>
        <v>0</v>
      </c>
      <c r="F2127" s="0" t="n">
        <f aca="true">CRITBINOM(E2127,Coefficients!$B$31,RAND())</f>
        <v>0</v>
      </c>
      <c r="G2127" s="0" t="n">
        <f aca="true">CRITBINOM(MAX(0,D2127-E2127),1-Coefficients!$B$32,RAND())</f>
        <v>0</v>
      </c>
      <c r="H2127" s="0" t="n">
        <f aca="true">CRITBINOM(MAX(0,$C2127-D2127),MIN(0.6,Matchup!$B$40*SQRT($B2127)/(1-MIN(0.75,Matchup!$B$39*$B2127))),RAND())</f>
        <v>2</v>
      </c>
      <c r="I2127" s="0" t="n">
        <f aca="false">6*D2127+(D2127-E2127-G2127)+2*F2127+3*H2127</f>
        <v>20</v>
      </c>
      <c r="J2127" s="0" t="n">
        <f aca="true">CRITBINOM($C2127,MIN(0.75,Matchup!$C$39*$B2127),RAND())</f>
        <v>1</v>
      </c>
      <c r="K2127" s="0" t="n">
        <f aca="true">CRITBINOM(J2127,Coefficients!$B$30,RAND())</f>
        <v>1</v>
      </c>
      <c r="L2127" s="0" t="n">
        <f aca="true">CRITBINOM(K2127,Coefficients!$B$31,RAND())</f>
        <v>0</v>
      </c>
      <c r="M2127" s="0" t="n">
        <f aca="true">CRITBINOM(MAX(0,J2127-K2127),1-Coefficients!$B$32,RAND())</f>
        <v>0</v>
      </c>
      <c r="N2127" s="0" t="n">
        <f aca="true">CRITBINOM(MAX(0,$C2127-J2127),MIN(0.6,Matchup!$C$40*SQRT($B2127)/(1-MIN(0.75,Matchup!$C$39*$B2127))),RAND())</f>
        <v>1</v>
      </c>
      <c r="O2127" s="0" t="n">
        <f aca="false">6*J2127+(J2127-K2127-M2127)+2*L2127+3*N2127</f>
        <v>9</v>
      </c>
      <c r="P2127" s="0" t="n">
        <f aca="true">RAND()</f>
        <v>0.705559086737485</v>
      </c>
      <c r="Q2127" s="0" t="n">
        <f aca="true">RAND()</f>
        <v>0.262656603261237</v>
      </c>
      <c r="R2127" s="0" t="n">
        <f aca="false">IF($I2127&lt;&gt;$O2127,0,IF(P2127&lt;Matchup!$B$39,7,IF(P2127&lt;Matchup!$B$39+Matchup!$B$40,3,0)))</f>
        <v>0</v>
      </c>
      <c r="S2127" s="0" t="n">
        <f aca="false">IF($I2127&lt;&gt;$O2127,0,IF(Q2127&lt;Matchup!$C$39,7,IF(Q2127&lt;Matchup!$C$39+Matchup!$C$40,3,0)))</f>
        <v>0</v>
      </c>
      <c r="T2127" s="0" t="n">
        <f aca="false">I2127+R2127</f>
        <v>20</v>
      </c>
      <c r="U2127" s="0" t="n">
        <f aca="false">O2127+S2127</f>
        <v>9</v>
      </c>
      <c r="V2127" s="0" t="n">
        <f aca="false">T2127-U2127</f>
        <v>11</v>
      </c>
      <c r="W2127" s="0" t="n">
        <f aca="false">T2127+U2127</f>
        <v>29</v>
      </c>
    </row>
    <row r="2128" customFormat="false" ht="15" hidden="false" customHeight="false" outlineLevel="0" collapsed="false">
      <c r="A2128" s="0" t="n">
        <v>2125</v>
      </c>
      <c r="B2128" s="0" t="n">
        <f aca="true">NORMINV(RAND(),1,Coefficients!$B$22)</f>
        <v>0.945253172839912</v>
      </c>
      <c r="C2128" s="0" t="n">
        <f aca="true">MEDIAN(8,16,ROUND(NORMINV(RAND(),Coefficients!$B$20,Coefficients!$B$21),0))</f>
        <v>10</v>
      </c>
      <c r="D2128" s="0" t="n">
        <f aca="true">CRITBINOM($C2128,MIN(0.75,Matchup!$B$39*$B2128),RAND())</f>
        <v>4</v>
      </c>
      <c r="E2128" s="0" t="n">
        <f aca="true">CRITBINOM(D2128,Coefficients!$B$30,RAND())</f>
        <v>1</v>
      </c>
      <c r="F2128" s="0" t="n">
        <f aca="true">CRITBINOM(E2128,Coefficients!$B$31,RAND())</f>
        <v>1</v>
      </c>
      <c r="G2128" s="0" t="n">
        <f aca="true">CRITBINOM(MAX(0,D2128-E2128),1-Coefficients!$B$32,RAND())</f>
        <v>0</v>
      </c>
      <c r="H2128" s="0" t="n">
        <f aca="true">CRITBINOM(MAX(0,$C2128-D2128),MIN(0.6,Matchup!$B$40*SQRT($B2128)/(1-MIN(0.75,Matchup!$B$39*$B2128))),RAND())</f>
        <v>0</v>
      </c>
      <c r="I2128" s="0" t="n">
        <f aca="false">6*D2128+(D2128-E2128-G2128)+2*F2128+3*H2128</f>
        <v>29</v>
      </c>
      <c r="J2128" s="0" t="n">
        <f aca="true">CRITBINOM($C2128,MIN(0.75,Matchup!$C$39*$B2128),RAND())</f>
        <v>1</v>
      </c>
      <c r="K2128" s="0" t="n">
        <f aca="true">CRITBINOM(J2128,Coefficients!$B$30,RAND())</f>
        <v>0</v>
      </c>
      <c r="L2128" s="0" t="n">
        <f aca="true">CRITBINOM(K2128,Coefficients!$B$31,RAND())</f>
        <v>0</v>
      </c>
      <c r="M2128" s="0" t="n">
        <f aca="true">CRITBINOM(MAX(0,J2128-K2128),1-Coefficients!$B$32,RAND())</f>
        <v>1</v>
      </c>
      <c r="N2128" s="0" t="n">
        <f aca="true">CRITBINOM(MAX(0,$C2128-J2128),MIN(0.6,Matchup!$C$40*SQRT($B2128)/(1-MIN(0.75,Matchup!$C$39*$B2128))),RAND())</f>
        <v>2</v>
      </c>
      <c r="O2128" s="0" t="n">
        <f aca="false">6*J2128+(J2128-K2128-M2128)+2*L2128+3*N2128</f>
        <v>12</v>
      </c>
      <c r="P2128" s="0" t="n">
        <f aca="true">RAND()</f>
        <v>0.8476945821183</v>
      </c>
      <c r="Q2128" s="0" t="n">
        <f aca="true">RAND()</f>
        <v>0.808502812132389</v>
      </c>
      <c r="R2128" s="0" t="n">
        <f aca="false">IF($I2128&lt;&gt;$O2128,0,IF(P2128&lt;Matchup!$B$39,7,IF(P2128&lt;Matchup!$B$39+Matchup!$B$40,3,0)))</f>
        <v>0</v>
      </c>
      <c r="S2128" s="0" t="n">
        <f aca="false">IF($I2128&lt;&gt;$O2128,0,IF(Q2128&lt;Matchup!$C$39,7,IF(Q2128&lt;Matchup!$C$39+Matchup!$C$40,3,0)))</f>
        <v>0</v>
      </c>
      <c r="T2128" s="0" t="n">
        <f aca="false">I2128+R2128</f>
        <v>29</v>
      </c>
      <c r="U2128" s="0" t="n">
        <f aca="false">O2128+S2128</f>
        <v>12</v>
      </c>
      <c r="V2128" s="0" t="n">
        <f aca="false">T2128-U2128</f>
        <v>17</v>
      </c>
      <c r="W2128" s="0" t="n">
        <f aca="false">T2128+U2128</f>
        <v>41</v>
      </c>
    </row>
    <row r="2129" customFormat="false" ht="15" hidden="false" customHeight="false" outlineLevel="0" collapsed="false">
      <c r="A2129" s="0" t="n">
        <v>2126</v>
      </c>
      <c r="B2129" s="0" t="n">
        <f aca="true">NORMINV(RAND(),1,Coefficients!$B$22)</f>
        <v>0.942912465169881</v>
      </c>
      <c r="C2129" s="0" t="n">
        <f aca="true">MEDIAN(8,16,ROUND(NORMINV(RAND(),Coefficients!$B$20,Coefficients!$B$21),0))</f>
        <v>12</v>
      </c>
      <c r="D2129" s="0" t="n">
        <f aca="true">CRITBINOM($C2129,MIN(0.75,Matchup!$B$39*$B2129),RAND())</f>
        <v>1</v>
      </c>
      <c r="E2129" s="0" t="n">
        <f aca="true">CRITBINOM(D2129,Coefficients!$B$30,RAND())</f>
        <v>1</v>
      </c>
      <c r="F2129" s="0" t="n">
        <f aca="true">CRITBINOM(E2129,Coefficients!$B$31,RAND())</f>
        <v>1</v>
      </c>
      <c r="G2129" s="0" t="n">
        <f aca="true">CRITBINOM(MAX(0,D2129-E2129),1-Coefficients!$B$32,RAND())</f>
        <v>0</v>
      </c>
      <c r="H2129" s="0" t="n">
        <f aca="true">CRITBINOM(MAX(0,$C2129-D2129),MIN(0.6,Matchup!$B$40*SQRT($B2129)/(1-MIN(0.75,Matchup!$B$39*$B2129))),RAND())</f>
        <v>1</v>
      </c>
      <c r="I2129" s="0" t="n">
        <f aca="false">6*D2129+(D2129-E2129-G2129)+2*F2129+3*H2129</f>
        <v>11</v>
      </c>
      <c r="J2129" s="0" t="n">
        <f aca="true">CRITBINOM($C2129,MIN(0.75,Matchup!$C$39*$B2129),RAND())</f>
        <v>5</v>
      </c>
      <c r="K2129" s="0" t="n">
        <f aca="true">CRITBINOM(J2129,Coefficients!$B$30,RAND())</f>
        <v>0</v>
      </c>
      <c r="L2129" s="0" t="n">
        <f aca="true">CRITBINOM(K2129,Coefficients!$B$31,RAND())</f>
        <v>0</v>
      </c>
      <c r="M2129" s="0" t="n">
        <f aca="true">CRITBINOM(MAX(0,J2129-K2129),1-Coefficients!$B$32,RAND())</f>
        <v>0</v>
      </c>
      <c r="N2129" s="0" t="n">
        <f aca="true">CRITBINOM(MAX(0,$C2129-J2129),MIN(0.6,Matchup!$C$40*SQRT($B2129)/(1-MIN(0.75,Matchup!$C$39*$B2129))),RAND())</f>
        <v>3</v>
      </c>
      <c r="O2129" s="0" t="n">
        <f aca="false">6*J2129+(J2129-K2129-M2129)+2*L2129+3*N2129</f>
        <v>44</v>
      </c>
      <c r="P2129" s="0" t="n">
        <f aca="true">RAND()</f>
        <v>0.811843577628927</v>
      </c>
      <c r="Q2129" s="0" t="n">
        <f aca="true">RAND()</f>
        <v>0.234394166964206</v>
      </c>
      <c r="R2129" s="0" t="n">
        <f aca="false">IF($I2129&lt;&gt;$O2129,0,IF(P2129&lt;Matchup!$B$39,7,IF(P2129&lt;Matchup!$B$39+Matchup!$B$40,3,0)))</f>
        <v>0</v>
      </c>
      <c r="S2129" s="0" t="n">
        <f aca="false">IF($I2129&lt;&gt;$O2129,0,IF(Q2129&lt;Matchup!$C$39,7,IF(Q2129&lt;Matchup!$C$39+Matchup!$C$40,3,0)))</f>
        <v>0</v>
      </c>
      <c r="T2129" s="0" t="n">
        <f aca="false">I2129+R2129</f>
        <v>11</v>
      </c>
      <c r="U2129" s="0" t="n">
        <f aca="false">O2129+S2129</f>
        <v>44</v>
      </c>
      <c r="V2129" s="0" t="n">
        <f aca="false">T2129-U2129</f>
        <v>-33</v>
      </c>
      <c r="W2129" s="0" t="n">
        <f aca="false">T2129+U2129</f>
        <v>55</v>
      </c>
    </row>
    <row r="2130" customFormat="false" ht="15" hidden="false" customHeight="false" outlineLevel="0" collapsed="false">
      <c r="A2130" s="0" t="n">
        <v>2127</v>
      </c>
      <c r="B2130" s="0" t="n">
        <f aca="true">NORMINV(RAND(),1,Coefficients!$B$22)</f>
        <v>1.12350114381197</v>
      </c>
      <c r="C2130" s="0" t="n">
        <f aca="true">MEDIAN(8,16,ROUND(NORMINV(RAND(),Coefficients!$B$20,Coefficients!$B$21),0))</f>
        <v>13</v>
      </c>
      <c r="D2130" s="0" t="n">
        <f aca="true">CRITBINOM($C2130,MIN(0.75,Matchup!$B$39*$B2130),RAND())</f>
        <v>1</v>
      </c>
      <c r="E2130" s="0" t="n">
        <f aca="true">CRITBINOM(D2130,Coefficients!$B$30,RAND())</f>
        <v>0</v>
      </c>
      <c r="F2130" s="0" t="n">
        <f aca="true">CRITBINOM(E2130,Coefficients!$B$31,RAND())</f>
        <v>0</v>
      </c>
      <c r="G2130" s="0" t="n">
        <f aca="true">CRITBINOM(MAX(0,D2130-E2130),1-Coefficients!$B$32,RAND())</f>
        <v>0</v>
      </c>
      <c r="H2130" s="0" t="n">
        <f aca="true">CRITBINOM(MAX(0,$C2130-D2130),MIN(0.6,Matchup!$B$40*SQRT($B2130)/(1-MIN(0.75,Matchup!$B$39*$B2130))),RAND())</f>
        <v>0</v>
      </c>
      <c r="I2130" s="0" t="n">
        <f aca="false">6*D2130+(D2130-E2130-G2130)+2*F2130+3*H2130</f>
        <v>7</v>
      </c>
      <c r="J2130" s="0" t="n">
        <f aca="true">CRITBINOM($C2130,MIN(0.75,Matchup!$C$39*$B2130),RAND())</f>
        <v>1</v>
      </c>
      <c r="K2130" s="0" t="n">
        <f aca="true">CRITBINOM(J2130,Coefficients!$B$30,RAND())</f>
        <v>0</v>
      </c>
      <c r="L2130" s="0" t="n">
        <f aca="true">CRITBINOM(K2130,Coefficients!$B$31,RAND())</f>
        <v>0</v>
      </c>
      <c r="M2130" s="0" t="n">
        <f aca="true">CRITBINOM(MAX(0,J2130-K2130),1-Coefficients!$B$32,RAND())</f>
        <v>0</v>
      </c>
      <c r="N2130" s="0" t="n">
        <f aca="true">CRITBINOM(MAX(0,$C2130-J2130),MIN(0.6,Matchup!$C$40*SQRT($B2130)/(1-MIN(0.75,Matchup!$C$39*$B2130))),RAND())</f>
        <v>1</v>
      </c>
      <c r="O2130" s="0" t="n">
        <f aca="false">6*J2130+(J2130-K2130-M2130)+2*L2130+3*N2130</f>
        <v>10</v>
      </c>
      <c r="P2130" s="0" t="n">
        <f aca="true">RAND()</f>
        <v>0.974267971777238</v>
      </c>
      <c r="Q2130" s="0" t="n">
        <f aca="true">RAND()</f>
        <v>0.554290439057676</v>
      </c>
      <c r="R2130" s="0" t="n">
        <f aca="false">IF($I2130&lt;&gt;$O2130,0,IF(P2130&lt;Matchup!$B$39,7,IF(P2130&lt;Matchup!$B$39+Matchup!$B$40,3,0)))</f>
        <v>0</v>
      </c>
      <c r="S2130" s="0" t="n">
        <f aca="false">IF($I2130&lt;&gt;$O2130,0,IF(Q2130&lt;Matchup!$C$39,7,IF(Q2130&lt;Matchup!$C$39+Matchup!$C$40,3,0)))</f>
        <v>0</v>
      </c>
      <c r="T2130" s="0" t="n">
        <f aca="false">I2130+R2130</f>
        <v>7</v>
      </c>
      <c r="U2130" s="0" t="n">
        <f aca="false">O2130+S2130</f>
        <v>10</v>
      </c>
      <c r="V2130" s="0" t="n">
        <f aca="false">T2130-U2130</f>
        <v>-3</v>
      </c>
      <c r="W2130" s="0" t="n">
        <f aca="false">T2130+U2130</f>
        <v>17</v>
      </c>
    </row>
    <row r="2131" customFormat="false" ht="15" hidden="false" customHeight="false" outlineLevel="0" collapsed="false">
      <c r="A2131" s="0" t="n">
        <v>2128</v>
      </c>
      <c r="B2131" s="0" t="n">
        <f aca="true">NORMINV(RAND(),1,Coefficients!$B$22)</f>
        <v>0.970482891858716</v>
      </c>
      <c r="C2131" s="0" t="n">
        <f aca="true">MEDIAN(8,16,ROUND(NORMINV(RAND(),Coefficients!$B$20,Coefficients!$B$21),0))</f>
        <v>9</v>
      </c>
      <c r="D2131" s="0" t="n">
        <f aca="true">CRITBINOM($C2131,MIN(0.75,Matchup!$B$39*$B2131),RAND())</f>
        <v>4</v>
      </c>
      <c r="E2131" s="0" t="n">
        <f aca="true">CRITBINOM(D2131,Coefficients!$B$30,RAND())</f>
        <v>0</v>
      </c>
      <c r="F2131" s="0" t="n">
        <f aca="true">CRITBINOM(E2131,Coefficients!$B$31,RAND())</f>
        <v>0</v>
      </c>
      <c r="G2131" s="0" t="n">
        <f aca="true">CRITBINOM(MAX(0,D2131-E2131),1-Coefficients!$B$32,RAND())</f>
        <v>1</v>
      </c>
      <c r="H2131" s="0" t="n">
        <f aca="true">CRITBINOM(MAX(0,$C2131-D2131),MIN(0.6,Matchup!$B$40*SQRT($B2131)/(1-MIN(0.75,Matchup!$B$39*$B2131))),RAND())</f>
        <v>0</v>
      </c>
      <c r="I2131" s="0" t="n">
        <f aca="false">6*D2131+(D2131-E2131-G2131)+2*F2131+3*H2131</f>
        <v>27</v>
      </c>
      <c r="J2131" s="0" t="n">
        <f aca="true">CRITBINOM($C2131,MIN(0.75,Matchup!$C$39*$B2131),RAND())</f>
        <v>2</v>
      </c>
      <c r="K2131" s="0" t="n">
        <f aca="true">CRITBINOM(J2131,Coefficients!$B$30,RAND())</f>
        <v>1</v>
      </c>
      <c r="L2131" s="0" t="n">
        <f aca="true">CRITBINOM(K2131,Coefficients!$B$31,RAND())</f>
        <v>1</v>
      </c>
      <c r="M2131" s="0" t="n">
        <f aca="true">CRITBINOM(MAX(0,J2131-K2131),1-Coefficients!$B$32,RAND())</f>
        <v>0</v>
      </c>
      <c r="N2131" s="0" t="n">
        <f aca="true">CRITBINOM(MAX(0,$C2131-J2131),MIN(0.6,Matchup!$C$40*SQRT($B2131)/(1-MIN(0.75,Matchup!$C$39*$B2131))),RAND())</f>
        <v>2</v>
      </c>
      <c r="O2131" s="0" t="n">
        <f aca="false">6*J2131+(J2131-K2131-M2131)+2*L2131+3*N2131</f>
        <v>21</v>
      </c>
      <c r="P2131" s="0" t="n">
        <f aca="true">RAND()</f>
        <v>0.885700160758753</v>
      </c>
      <c r="Q2131" s="0" t="n">
        <f aca="true">RAND()</f>
        <v>0.2925752043252</v>
      </c>
      <c r="R2131" s="0" t="n">
        <f aca="false">IF($I2131&lt;&gt;$O2131,0,IF(P2131&lt;Matchup!$B$39,7,IF(P2131&lt;Matchup!$B$39+Matchup!$B$40,3,0)))</f>
        <v>0</v>
      </c>
      <c r="S2131" s="0" t="n">
        <f aca="false">IF($I2131&lt;&gt;$O2131,0,IF(Q2131&lt;Matchup!$C$39,7,IF(Q2131&lt;Matchup!$C$39+Matchup!$C$40,3,0)))</f>
        <v>0</v>
      </c>
      <c r="T2131" s="0" t="n">
        <f aca="false">I2131+R2131</f>
        <v>27</v>
      </c>
      <c r="U2131" s="0" t="n">
        <f aca="false">O2131+S2131</f>
        <v>21</v>
      </c>
      <c r="V2131" s="0" t="n">
        <f aca="false">T2131-U2131</f>
        <v>6</v>
      </c>
      <c r="W2131" s="0" t="n">
        <f aca="false">T2131+U2131</f>
        <v>48</v>
      </c>
    </row>
    <row r="2132" customFormat="false" ht="15" hidden="false" customHeight="false" outlineLevel="0" collapsed="false">
      <c r="A2132" s="0" t="n">
        <v>2129</v>
      </c>
      <c r="B2132" s="0" t="n">
        <f aca="true">NORMINV(RAND(),1,Coefficients!$B$22)</f>
        <v>1.01482363394666</v>
      </c>
      <c r="C2132" s="0" t="n">
        <f aca="true">MEDIAN(8,16,ROUND(NORMINV(RAND(),Coefficients!$B$20,Coefficients!$B$21),0))</f>
        <v>10</v>
      </c>
      <c r="D2132" s="0" t="n">
        <f aca="true">CRITBINOM($C2132,MIN(0.75,Matchup!$B$39*$B2132),RAND())</f>
        <v>1</v>
      </c>
      <c r="E2132" s="0" t="n">
        <f aca="true">CRITBINOM(D2132,Coefficients!$B$30,RAND())</f>
        <v>0</v>
      </c>
      <c r="F2132" s="0" t="n">
        <f aca="true">CRITBINOM(E2132,Coefficients!$B$31,RAND())</f>
        <v>0</v>
      </c>
      <c r="G2132" s="0" t="n">
        <f aca="true">CRITBINOM(MAX(0,D2132-E2132),1-Coefficients!$B$32,RAND())</f>
        <v>0</v>
      </c>
      <c r="H2132" s="0" t="n">
        <f aca="true">CRITBINOM(MAX(0,$C2132-D2132),MIN(0.6,Matchup!$B$40*SQRT($B2132)/(1-MIN(0.75,Matchup!$B$39*$B2132))),RAND())</f>
        <v>0</v>
      </c>
      <c r="I2132" s="0" t="n">
        <f aca="false">6*D2132+(D2132-E2132-G2132)+2*F2132+3*H2132</f>
        <v>7</v>
      </c>
      <c r="J2132" s="0" t="n">
        <f aca="true">CRITBINOM($C2132,MIN(0.75,Matchup!$C$39*$B2132),RAND())</f>
        <v>3</v>
      </c>
      <c r="K2132" s="0" t="n">
        <f aca="true">CRITBINOM(J2132,Coefficients!$B$30,RAND())</f>
        <v>0</v>
      </c>
      <c r="L2132" s="0" t="n">
        <f aca="true">CRITBINOM(K2132,Coefficients!$B$31,RAND())</f>
        <v>0</v>
      </c>
      <c r="M2132" s="0" t="n">
        <f aca="true">CRITBINOM(MAX(0,J2132-K2132),1-Coefficients!$B$32,RAND())</f>
        <v>0</v>
      </c>
      <c r="N2132" s="0" t="n">
        <f aca="true">CRITBINOM(MAX(0,$C2132-J2132),MIN(0.6,Matchup!$C$40*SQRT($B2132)/(1-MIN(0.75,Matchup!$C$39*$B2132))),RAND())</f>
        <v>0</v>
      </c>
      <c r="O2132" s="0" t="n">
        <f aca="false">6*J2132+(J2132-K2132-M2132)+2*L2132+3*N2132</f>
        <v>21</v>
      </c>
      <c r="P2132" s="0" t="n">
        <f aca="true">RAND()</f>
        <v>0.896402746507764</v>
      </c>
      <c r="Q2132" s="0" t="n">
        <f aca="true">RAND()</f>
        <v>0.0494314209869769</v>
      </c>
      <c r="R2132" s="0" t="n">
        <f aca="false">IF($I2132&lt;&gt;$O2132,0,IF(P2132&lt;Matchup!$B$39,7,IF(P2132&lt;Matchup!$B$39+Matchup!$B$40,3,0)))</f>
        <v>0</v>
      </c>
      <c r="S2132" s="0" t="n">
        <f aca="false">IF($I2132&lt;&gt;$O2132,0,IF(Q2132&lt;Matchup!$C$39,7,IF(Q2132&lt;Matchup!$C$39+Matchup!$C$40,3,0)))</f>
        <v>0</v>
      </c>
      <c r="T2132" s="0" t="n">
        <f aca="false">I2132+R2132</f>
        <v>7</v>
      </c>
      <c r="U2132" s="0" t="n">
        <f aca="false">O2132+S2132</f>
        <v>21</v>
      </c>
      <c r="V2132" s="0" t="n">
        <f aca="false">T2132-U2132</f>
        <v>-14</v>
      </c>
      <c r="W2132" s="0" t="n">
        <f aca="false">T2132+U2132</f>
        <v>28</v>
      </c>
    </row>
    <row r="2133" customFormat="false" ht="15" hidden="false" customHeight="false" outlineLevel="0" collapsed="false">
      <c r="A2133" s="0" t="n">
        <v>2130</v>
      </c>
      <c r="B2133" s="0" t="n">
        <f aca="true">NORMINV(RAND(),1,Coefficients!$B$22)</f>
        <v>1.14825626925807</v>
      </c>
      <c r="C2133" s="0" t="n">
        <f aca="true">MEDIAN(8,16,ROUND(NORMINV(RAND(),Coefficients!$B$20,Coefficients!$B$21),0))</f>
        <v>11</v>
      </c>
      <c r="D2133" s="0" t="n">
        <f aca="true">CRITBINOM($C2133,MIN(0.75,Matchup!$B$39*$B2133),RAND())</f>
        <v>2</v>
      </c>
      <c r="E2133" s="0" t="n">
        <f aca="true">CRITBINOM(D2133,Coefficients!$B$30,RAND())</f>
        <v>0</v>
      </c>
      <c r="F2133" s="0" t="n">
        <f aca="true">CRITBINOM(E2133,Coefficients!$B$31,RAND())</f>
        <v>0</v>
      </c>
      <c r="G2133" s="0" t="n">
        <f aca="true">CRITBINOM(MAX(0,D2133-E2133),1-Coefficients!$B$32,RAND())</f>
        <v>0</v>
      </c>
      <c r="H2133" s="0" t="n">
        <f aca="true">CRITBINOM(MAX(0,$C2133-D2133),MIN(0.6,Matchup!$B$40*SQRT($B2133)/(1-MIN(0.75,Matchup!$B$39*$B2133))),RAND())</f>
        <v>6</v>
      </c>
      <c r="I2133" s="0" t="n">
        <f aca="false">6*D2133+(D2133-E2133-G2133)+2*F2133+3*H2133</f>
        <v>32</v>
      </c>
      <c r="J2133" s="0" t="n">
        <f aca="true">CRITBINOM($C2133,MIN(0.75,Matchup!$C$39*$B2133),RAND())</f>
        <v>3</v>
      </c>
      <c r="K2133" s="0" t="n">
        <f aca="true">CRITBINOM(J2133,Coefficients!$B$30,RAND())</f>
        <v>0</v>
      </c>
      <c r="L2133" s="0" t="n">
        <f aca="true">CRITBINOM(K2133,Coefficients!$B$31,RAND())</f>
        <v>0</v>
      </c>
      <c r="M2133" s="0" t="n">
        <f aca="true">CRITBINOM(MAX(0,J2133-K2133),1-Coefficients!$B$32,RAND())</f>
        <v>0</v>
      </c>
      <c r="N2133" s="0" t="n">
        <f aca="true">CRITBINOM(MAX(0,$C2133-J2133),MIN(0.6,Matchup!$C$40*SQRT($B2133)/(1-MIN(0.75,Matchup!$C$39*$B2133))),RAND())</f>
        <v>2</v>
      </c>
      <c r="O2133" s="0" t="n">
        <f aca="false">6*J2133+(J2133-K2133-M2133)+2*L2133+3*N2133</f>
        <v>27</v>
      </c>
      <c r="P2133" s="0" t="n">
        <f aca="true">RAND()</f>
        <v>0.591004379274188</v>
      </c>
      <c r="Q2133" s="0" t="n">
        <f aca="true">RAND()</f>
        <v>0.0111771110848407</v>
      </c>
      <c r="R2133" s="0" t="n">
        <f aca="false">IF($I2133&lt;&gt;$O2133,0,IF(P2133&lt;Matchup!$B$39,7,IF(P2133&lt;Matchup!$B$39+Matchup!$B$40,3,0)))</f>
        <v>0</v>
      </c>
      <c r="S2133" s="0" t="n">
        <f aca="false">IF($I2133&lt;&gt;$O2133,0,IF(Q2133&lt;Matchup!$C$39,7,IF(Q2133&lt;Matchup!$C$39+Matchup!$C$40,3,0)))</f>
        <v>0</v>
      </c>
      <c r="T2133" s="0" t="n">
        <f aca="false">I2133+R2133</f>
        <v>32</v>
      </c>
      <c r="U2133" s="0" t="n">
        <f aca="false">O2133+S2133</f>
        <v>27</v>
      </c>
      <c r="V2133" s="0" t="n">
        <f aca="false">T2133-U2133</f>
        <v>5</v>
      </c>
      <c r="W2133" s="0" t="n">
        <f aca="false">T2133+U2133</f>
        <v>59</v>
      </c>
    </row>
    <row r="2134" customFormat="false" ht="15" hidden="false" customHeight="false" outlineLevel="0" collapsed="false">
      <c r="A2134" s="0" t="n">
        <v>2131</v>
      </c>
      <c r="B2134" s="0" t="n">
        <f aca="true">NORMINV(RAND(),1,Coefficients!$B$22)</f>
        <v>0.950496856964304</v>
      </c>
      <c r="C2134" s="0" t="n">
        <f aca="true">MEDIAN(8,16,ROUND(NORMINV(RAND(),Coefficients!$B$20,Coefficients!$B$21),0))</f>
        <v>10</v>
      </c>
      <c r="D2134" s="0" t="n">
        <f aca="true">CRITBINOM($C2134,MIN(0.75,Matchup!$B$39*$B2134),RAND())</f>
        <v>3</v>
      </c>
      <c r="E2134" s="0" t="n">
        <f aca="true">CRITBINOM(D2134,Coefficients!$B$30,RAND())</f>
        <v>0</v>
      </c>
      <c r="F2134" s="0" t="n">
        <f aca="true">CRITBINOM(E2134,Coefficients!$B$31,RAND())</f>
        <v>0</v>
      </c>
      <c r="G2134" s="0" t="n">
        <f aca="true">CRITBINOM(MAX(0,D2134-E2134),1-Coefficients!$B$32,RAND())</f>
        <v>1</v>
      </c>
      <c r="H2134" s="0" t="n">
        <f aca="true">CRITBINOM(MAX(0,$C2134-D2134),MIN(0.6,Matchup!$B$40*SQRT($B2134)/(1-MIN(0.75,Matchup!$B$39*$B2134))),RAND())</f>
        <v>1</v>
      </c>
      <c r="I2134" s="0" t="n">
        <f aca="false">6*D2134+(D2134-E2134-G2134)+2*F2134+3*H2134</f>
        <v>23</v>
      </c>
      <c r="J2134" s="0" t="n">
        <f aca="true">CRITBINOM($C2134,MIN(0.75,Matchup!$C$39*$B2134),RAND())</f>
        <v>1</v>
      </c>
      <c r="K2134" s="0" t="n">
        <f aca="true">CRITBINOM(J2134,Coefficients!$B$30,RAND())</f>
        <v>0</v>
      </c>
      <c r="L2134" s="0" t="n">
        <f aca="true">CRITBINOM(K2134,Coefficients!$B$31,RAND())</f>
        <v>0</v>
      </c>
      <c r="M2134" s="0" t="n">
        <f aca="true">CRITBINOM(MAX(0,J2134-K2134),1-Coefficients!$B$32,RAND())</f>
        <v>0</v>
      </c>
      <c r="N2134" s="0" t="n">
        <f aca="true">CRITBINOM(MAX(0,$C2134-J2134),MIN(0.6,Matchup!$C$40*SQRT($B2134)/(1-MIN(0.75,Matchup!$C$39*$B2134))),RAND())</f>
        <v>1</v>
      </c>
      <c r="O2134" s="0" t="n">
        <f aca="false">6*J2134+(J2134-K2134-M2134)+2*L2134+3*N2134</f>
        <v>10</v>
      </c>
      <c r="P2134" s="0" t="n">
        <f aca="true">RAND()</f>
        <v>0.897873250986699</v>
      </c>
      <c r="Q2134" s="0" t="n">
        <f aca="true">RAND()</f>
        <v>0.312147569838335</v>
      </c>
      <c r="R2134" s="0" t="n">
        <f aca="false">IF($I2134&lt;&gt;$O2134,0,IF(P2134&lt;Matchup!$B$39,7,IF(P2134&lt;Matchup!$B$39+Matchup!$B$40,3,0)))</f>
        <v>0</v>
      </c>
      <c r="S2134" s="0" t="n">
        <f aca="false">IF($I2134&lt;&gt;$O2134,0,IF(Q2134&lt;Matchup!$C$39,7,IF(Q2134&lt;Matchup!$C$39+Matchup!$C$40,3,0)))</f>
        <v>0</v>
      </c>
      <c r="T2134" s="0" t="n">
        <f aca="false">I2134+R2134</f>
        <v>23</v>
      </c>
      <c r="U2134" s="0" t="n">
        <f aca="false">O2134+S2134</f>
        <v>10</v>
      </c>
      <c r="V2134" s="0" t="n">
        <f aca="false">T2134-U2134</f>
        <v>13</v>
      </c>
      <c r="W2134" s="0" t="n">
        <f aca="false">T2134+U2134</f>
        <v>33</v>
      </c>
    </row>
    <row r="2135" customFormat="false" ht="15" hidden="false" customHeight="false" outlineLevel="0" collapsed="false">
      <c r="A2135" s="0" t="n">
        <v>2132</v>
      </c>
      <c r="B2135" s="0" t="n">
        <f aca="true">NORMINV(RAND(),1,Coefficients!$B$22)</f>
        <v>0.986916439806091</v>
      </c>
      <c r="C2135" s="0" t="n">
        <f aca="true">MEDIAN(8,16,ROUND(NORMINV(RAND(),Coefficients!$B$20,Coefficients!$B$21),0))</f>
        <v>12</v>
      </c>
      <c r="D2135" s="0" t="n">
        <f aca="true">CRITBINOM($C2135,MIN(0.75,Matchup!$B$39*$B2135),RAND())</f>
        <v>0</v>
      </c>
      <c r="E2135" s="0" t="n">
        <f aca="true">CRITBINOM(D2135,Coefficients!$B$30,RAND())</f>
        <v>0</v>
      </c>
      <c r="F2135" s="0" t="n">
        <f aca="true">CRITBINOM(E2135,Coefficients!$B$31,RAND())</f>
        <v>0</v>
      </c>
      <c r="G2135" s="0" t="n">
        <f aca="true">CRITBINOM(MAX(0,D2135-E2135),1-Coefficients!$B$32,RAND())</f>
        <v>0</v>
      </c>
      <c r="H2135" s="0" t="n">
        <f aca="true">CRITBINOM(MAX(0,$C2135-D2135),MIN(0.6,Matchup!$B$40*SQRT($B2135)/(1-MIN(0.75,Matchup!$B$39*$B2135))),RAND())</f>
        <v>3</v>
      </c>
      <c r="I2135" s="0" t="n">
        <f aca="false">6*D2135+(D2135-E2135-G2135)+2*F2135+3*H2135</f>
        <v>9</v>
      </c>
      <c r="J2135" s="0" t="n">
        <f aca="true">CRITBINOM($C2135,MIN(0.75,Matchup!$C$39*$B2135),RAND())</f>
        <v>4</v>
      </c>
      <c r="K2135" s="0" t="n">
        <f aca="true">CRITBINOM(J2135,Coefficients!$B$30,RAND())</f>
        <v>2</v>
      </c>
      <c r="L2135" s="0" t="n">
        <f aca="true">CRITBINOM(K2135,Coefficients!$B$31,RAND())</f>
        <v>0</v>
      </c>
      <c r="M2135" s="0" t="n">
        <f aca="true">CRITBINOM(MAX(0,J2135-K2135),1-Coefficients!$B$32,RAND())</f>
        <v>0</v>
      </c>
      <c r="N2135" s="0" t="n">
        <f aca="true">CRITBINOM(MAX(0,$C2135-J2135),MIN(0.6,Matchup!$C$40*SQRT($B2135)/(1-MIN(0.75,Matchup!$C$39*$B2135))),RAND())</f>
        <v>0</v>
      </c>
      <c r="O2135" s="0" t="n">
        <f aca="false">6*J2135+(J2135-K2135-M2135)+2*L2135+3*N2135</f>
        <v>26</v>
      </c>
      <c r="P2135" s="0" t="n">
        <f aca="true">RAND()</f>
        <v>0.802854276116747</v>
      </c>
      <c r="Q2135" s="0" t="n">
        <f aca="true">RAND()</f>
        <v>0.432337256696329</v>
      </c>
      <c r="R2135" s="0" t="n">
        <f aca="false">IF($I2135&lt;&gt;$O2135,0,IF(P2135&lt;Matchup!$B$39,7,IF(P2135&lt;Matchup!$B$39+Matchup!$B$40,3,0)))</f>
        <v>0</v>
      </c>
      <c r="S2135" s="0" t="n">
        <f aca="false">IF($I2135&lt;&gt;$O2135,0,IF(Q2135&lt;Matchup!$C$39,7,IF(Q2135&lt;Matchup!$C$39+Matchup!$C$40,3,0)))</f>
        <v>0</v>
      </c>
      <c r="T2135" s="0" t="n">
        <f aca="false">I2135+R2135</f>
        <v>9</v>
      </c>
      <c r="U2135" s="0" t="n">
        <f aca="false">O2135+S2135</f>
        <v>26</v>
      </c>
      <c r="V2135" s="0" t="n">
        <f aca="false">T2135-U2135</f>
        <v>-17</v>
      </c>
      <c r="W2135" s="0" t="n">
        <f aca="false">T2135+U2135</f>
        <v>35</v>
      </c>
    </row>
    <row r="2136" customFormat="false" ht="15" hidden="false" customHeight="false" outlineLevel="0" collapsed="false">
      <c r="A2136" s="0" t="n">
        <v>2133</v>
      </c>
      <c r="B2136" s="0" t="n">
        <f aca="true">NORMINV(RAND(),1,Coefficients!$B$22)</f>
        <v>1.05386807093286</v>
      </c>
      <c r="C2136" s="0" t="n">
        <f aca="true">MEDIAN(8,16,ROUND(NORMINV(RAND(),Coefficients!$B$20,Coefficients!$B$21),0))</f>
        <v>9</v>
      </c>
      <c r="D2136" s="0" t="n">
        <f aca="true">CRITBINOM($C2136,MIN(0.75,Matchup!$B$39*$B2136),RAND())</f>
        <v>1</v>
      </c>
      <c r="E2136" s="0" t="n">
        <f aca="true">CRITBINOM(D2136,Coefficients!$B$30,RAND())</f>
        <v>0</v>
      </c>
      <c r="F2136" s="0" t="n">
        <f aca="true">CRITBINOM(E2136,Coefficients!$B$31,RAND())</f>
        <v>0</v>
      </c>
      <c r="G2136" s="0" t="n">
        <f aca="true">CRITBINOM(MAX(0,D2136-E2136),1-Coefficients!$B$32,RAND())</f>
        <v>0</v>
      </c>
      <c r="H2136" s="0" t="n">
        <f aca="true">CRITBINOM(MAX(0,$C2136-D2136),MIN(0.6,Matchup!$B$40*SQRT($B2136)/(1-MIN(0.75,Matchup!$B$39*$B2136))),RAND())</f>
        <v>3</v>
      </c>
      <c r="I2136" s="0" t="n">
        <f aca="false">6*D2136+(D2136-E2136-G2136)+2*F2136+3*H2136</f>
        <v>16</v>
      </c>
      <c r="J2136" s="0" t="n">
        <f aca="true">CRITBINOM($C2136,MIN(0.75,Matchup!$C$39*$B2136),RAND())</f>
        <v>1</v>
      </c>
      <c r="K2136" s="0" t="n">
        <f aca="true">CRITBINOM(J2136,Coefficients!$B$30,RAND())</f>
        <v>0</v>
      </c>
      <c r="L2136" s="0" t="n">
        <f aca="true">CRITBINOM(K2136,Coefficients!$B$31,RAND())</f>
        <v>0</v>
      </c>
      <c r="M2136" s="0" t="n">
        <f aca="true">CRITBINOM(MAX(0,J2136-K2136),1-Coefficients!$B$32,RAND())</f>
        <v>0</v>
      </c>
      <c r="N2136" s="0" t="n">
        <f aca="true">CRITBINOM(MAX(0,$C2136-J2136),MIN(0.6,Matchup!$C$40*SQRT($B2136)/(1-MIN(0.75,Matchup!$C$39*$B2136))),RAND())</f>
        <v>1</v>
      </c>
      <c r="O2136" s="0" t="n">
        <f aca="false">6*J2136+(J2136-K2136-M2136)+2*L2136+3*N2136</f>
        <v>10</v>
      </c>
      <c r="P2136" s="0" t="n">
        <f aca="true">RAND()</f>
        <v>0.925958889282566</v>
      </c>
      <c r="Q2136" s="0" t="n">
        <f aca="true">RAND()</f>
        <v>0.910749945894266</v>
      </c>
      <c r="R2136" s="0" t="n">
        <f aca="false">IF($I2136&lt;&gt;$O2136,0,IF(P2136&lt;Matchup!$B$39,7,IF(P2136&lt;Matchup!$B$39+Matchup!$B$40,3,0)))</f>
        <v>0</v>
      </c>
      <c r="S2136" s="0" t="n">
        <f aca="false">IF($I2136&lt;&gt;$O2136,0,IF(Q2136&lt;Matchup!$C$39,7,IF(Q2136&lt;Matchup!$C$39+Matchup!$C$40,3,0)))</f>
        <v>0</v>
      </c>
      <c r="T2136" s="0" t="n">
        <f aca="false">I2136+R2136</f>
        <v>16</v>
      </c>
      <c r="U2136" s="0" t="n">
        <f aca="false">O2136+S2136</f>
        <v>10</v>
      </c>
      <c r="V2136" s="0" t="n">
        <f aca="false">T2136-U2136</f>
        <v>6</v>
      </c>
      <c r="W2136" s="0" t="n">
        <f aca="false">T2136+U2136</f>
        <v>26</v>
      </c>
    </row>
    <row r="2137" customFormat="false" ht="15" hidden="false" customHeight="false" outlineLevel="0" collapsed="false">
      <c r="A2137" s="0" t="n">
        <v>2134</v>
      </c>
      <c r="B2137" s="0" t="n">
        <f aca="true">NORMINV(RAND(),1,Coefficients!$B$22)</f>
        <v>1.03342865561527</v>
      </c>
      <c r="C2137" s="0" t="n">
        <f aca="true">MEDIAN(8,16,ROUND(NORMINV(RAND(),Coefficients!$B$20,Coefficients!$B$21),0))</f>
        <v>11</v>
      </c>
      <c r="D2137" s="0" t="n">
        <f aca="true">CRITBINOM($C2137,MIN(0.75,Matchup!$B$39*$B2137),RAND())</f>
        <v>2</v>
      </c>
      <c r="E2137" s="0" t="n">
        <f aca="true">CRITBINOM(D2137,Coefficients!$B$30,RAND())</f>
        <v>0</v>
      </c>
      <c r="F2137" s="0" t="n">
        <f aca="true">CRITBINOM(E2137,Coefficients!$B$31,RAND())</f>
        <v>0</v>
      </c>
      <c r="G2137" s="0" t="n">
        <f aca="true">CRITBINOM(MAX(0,D2137-E2137),1-Coefficients!$B$32,RAND())</f>
        <v>0</v>
      </c>
      <c r="H2137" s="0" t="n">
        <f aca="true">CRITBINOM(MAX(0,$C2137-D2137),MIN(0.6,Matchup!$B$40*SQRT($B2137)/(1-MIN(0.75,Matchup!$B$39*$B2137))),RAND())</f>
        <v>1</v>
      </c>
      <c r="I2137" s="0" t="n">
        <f aca="false">6*D2137+(D2137-E2137-G2137)+2*F2137+3*H2137</f>
        <v>17</v>
      </c>
      <c r="J2137" s="0" t="n">
        <f aca="true">CRITBINOM($C2137,MIN(0.75,Matchup!$C$39*$B2137),RAND())</f>
        <v>3</v>
      </c>
      <c r="K2137" s="0" t="n">
        <f aca="true">CRITBINOM(J2137,Coefficients!$B$30,RAND())</f>
        <v>0</v>
      </c>
      <c r="L2137" s="0" t="n">
        <f aca="true">CRITBINOM(K2137,Coefficients!$B$31,RAND())</f>
        <v>0</v>
      </c>
      <c r="M2137" s="0" t="n">
        <f aca="true">CRITBINOM(MAX(0,J2137-K2137),1-Coefficients!$B$32,RAND())</f>
        <v>1</v>
      </c>
      <c r="N2137" s="0" t="n">
        <f aca="true">CRITBINOM(MAX(0,$C2137-J2137),MIN(0.6,Matchup!$C$40*SQRT($B2137)/(1-MIN(0.75,Matchup!$C$39*$B2137))),RAND())</f>
        <v>2</v>
      </c>
      <c r="O2137" s="0" t="n">
        <f aca="false">6*J2137+(J2137-K2137-M2137)+2*L2137+3*N2137</f>
        <v>26</v>
      </c>
      <c r="P2137" s="0" t="n">
        <f aca="true">RAND()</f>
        <v>0.330145758624412</v>
      </c>
      <c r="Q2137" s="0" t="n">
        <f aca="true">RAND()</f>
        <v>0.433008624457522</v>
      </c>
      <c r="R2137" s="0" t="n">
        <f aca="false">IF($I2137&lt;&gt;$O2137,0,IF(P2137&lt;Matchup!$B$39,7,IF(P2137&lt;Matchup!$B$39+Matchup!$B$40,3,0)))</f>
        <v>0</v>
      </c>
      <c r="S2137" s="0" t="n">
        <f aca="false">IF($I2137&lt;&gt;$O2137,0,IF(Q2137&lt;Matchup!$C$39,7,IF(Q2137&lt;Matchup!$C$39+Matchup!$C$40,3,0)))</f>
        <v>0</v>
      </c>
      <c r="T2137" s="0" t="n">
        <f aca="false">I2137+R2137</f>
        <v>17</v>
      </c>
      <c r="U2137" s="0" t="n">
        <f aca="false">O2137+S2137</f>
        <v>26</v>
      </c>
      <c r="V2137" s="0" t="n">
        <f aca="false">T2137-U2137</f>
        <v>-9</v>
      </c>
      <c r="W2137" s="0" t="n">
        <f aca="false">T2137+U2137</f>
        <v>43</v>
      </c>
    </row>
    <row r="2138" customFormat="false" ht="15" hidden="false" customHeight="false" outlineLevel="0" collapsed="false">
      <c r="A2138" s="0" t="n">
        <v>2135</v>
      </c>
      <c r="B2138" s="0" t="n">
        <f aca="true">NORMINV(RAND(),1,Coefficients!$B$22)</f>
        <v>1.01199192967717</v>
      </c>
      <c r="C2138" s="0" t="n">
        <f aca="true">MEDIAN(8,16,ROUND(NORMINV(RAND(),Coefficients!$B$20,Coefficients!$B$21),0))</f>
        <v>12</v>
      </c>
      <c r="D2138" s="0" t="n">
        <f aca="true">CRITBINOM($C2138,MIN(0.75,Matchup!$B$39*$B2138),RAND())</f>
        <v>3</v>
      </c>
      <c r="E2138" s="0" t="n">
        <f aca="true">CRITBINOM(D2138,Coefficients!$B$30,RAND())</f>
        <v>0</v>
      </c>
      <c r="F2138" s="0" t="n">
        <f aca="true">CRITBINOM(E2138,Coefficients!$B$31,RAND())</f>
        <v>0</v>
      </c>
      <c r="G2138" s="0" t="n">
        <f aca="true">CRITBINOM(MAX(0,D2138-E2138),1-Coefficients!$B$32,RAND())</f>
        <v>0</v>
      </c>
      <c r="H2138" s="0" t="n">
        <f aca="true">CRITBINOM(MAX(0,$C2138-D2138),MIN(0.6,Matchup!$B$40*SQRT($B2138)/(1-MIN(0.75,Matchup!$B$39*$B2138))),RAND())</f>
        <v>1</v>
      </c>
      <c r="I2138" s="0" t="n">
        <f aca="false">6*D2138+(D2138-E2138-G2138)+2*F2138+3*H2138</f>
        <v>24</v>
      </c>
      <c r="J2138" s="0" t="n">
        <f aca="true">CRITBINOM($C2138,MIN(0.75,Matchup!$C$39*$B2138),RAND())</f>
        <v>4</v>
      </c>
      <c r="K2138" s="0" t="n">
        <f aca="true">CRITBINOM(J2138,Coefficients!$B$30,RAND())</f>
        <v>0</v>
      </c>
      <c r="L2138" s="0" t="n">
        <f aca="true">CRITBINOM(K2138,Coefficients!$B$31,RAND())</f>
        <v>0</v>
      </c>
      <c r="M2138" s="0" t="n">
        <f aca="true">CRITBINOM(MAX(0,J2138-K2138),1-Coefficients!$B$32,RAND())</f>
        <v>0</v>
      </c>
      <c r="N2138" s="0" t="n">
        <f aca="true">CRITBINOM(MAX(0,$C2138-J2138),MIN(0.6,Matchup!$C$40*SQRT($B2138)/(1-MIN(0.75,Matchup!$C$39*$B2138))),RAND())</f>
        <v>1</v>
      </c>
      <c r="O2138" s="0" t="n">
        <f aca="false">6*J2138+(J2138-K2138-M2138)+2*L2138+3*N2138</f>
        <v>31</v>
      </c>
      <c r="P2138" s="0" t="n">
        <f aca="true">RAND()</f>
        <v>0.932603671532582</v>
      </c>
      <c r="Q2138" s="0" t="n">
        <f aca="true">RAND()</f>
        <v>0.978459037347687</v>
      </c>
      <c r="R2138" s="0" t="n">
        <f aca="false">IF($I2138&lt;&gt;$O2138,0,IF(P2138&lt;Matchup!$B$39,7,IF(P2138&lt;Matchup!$B$39+Matchup!$B$40,3,0)))</f>
        <v>0</v>
      </c>
      <c r="S2138" s="0" t="n">
        <f aca="false">IF($I2138&lt;&gt;$O2138,0,IF(Q2138&lt;Matchup!$C$39,7,IF(Q2138&lt;Matchup!$C$39+Matchup!$C$40,3,0)))</f>
        <v>0</v>
      </c>
      <c r="T2138" s="0" t="n">
        <f aca="false">I2138+R2138</f>
        <v>24</v>
      </c>
      <c r="U2138" s="0" t="n">
        <f aca="false">O2138+S2138</f>
        <v>31</v>
      </c>
      <c r="V2138" s="0" t="n">
        <f aca="false">T2138-U2138</f>
        <v>-7</v>
      </c>
      <c r="W2138" s="0" t="n">
        <f aca="false">T2138+U2138</f>
        <v>55</v>
      </c>
    </row>
    <row r="2139" customFormat="false" ht="15" hidden="false" customHeight="false" outlineLevel="0" collapsed="false">
      <c r="A2139" s="0" t="n">
        <v>2136</v>
      </c>
      <c r="B2139" s="0" t="n">
        <f aca="true">NORMINV(RAND(),1,Coefficients!$B$22)</f>
        <v>0.996879504711187</v>
      </c>
      <c r="C2139" s="0" t="n">
        <f aca="true">MEDIAN(8,16,ROUND(NORMINV(RAND(),Coefficients!$B$20,Coefficients!$B$21),0))</f>
        <v>10</v>
      </c>
      <c r="D2139" s="0" t="n">
        <f aca="true">CRITBINOM($C2139,MIN(0.75,Matchup!$B$39*$B2139),RAND())</f>
        <v>2</v>
      </c>
      <c r="E2139" s="0" t="n">
        <f aca="true">CRITBINOM(D2139,Coefficients!$B$30,RAND())</f>
        <v>0</v>
      </c>
      <c r="F2139" s="0" t="n">
        <f aca="true">CRITBINOM(E2139,Coefficients!$B$31,RAND())</f>
        <v>0</v>
      </c>
      <c r="G2139" s="0" t="n">
        <f aca="true">CRITBINOM(MAX(0,D2139-E2139),1-Coefficients!$B$32,RAND())</f>
        <v>0</v>
      </c>
      <c r="H2139" s="0" t="n">
        <f aca="true">CRITBINOM(MAX(0,$C2139-D2139),MIN(0.6,Matchup!$B$40*SQRT($B2139)/(1-MIN(0.75,Matchup!$B$39*$B2139))),RAND())</f>
        <v>0</v>
      </c>
      <c r="I2139" s="0" t="n">
        <f aca="false">6*D2139+(D2139-E2139-G2139)+2*F2139+3*H2139</f>
        <v>14</v>
      </c>
      <c r="J2139" s="0" t="n">
        <f aca="true">CRITBINOM($C2139,MIN(0.75,Matchup!$C$39*$B2139),RAND())</f>
        <v>4</v>
      </c>
      <c r="K2139" s="0" t="n">
        <f aca="true">CRITBINOM(J2139,Coefficients!$B$30,RAND())</f>
        <v>0</v>
      </c>
      <c r="L2139" s="0" t="n">
        <f aca="true">CRITBINOM(K2139,Coefficients!$B$31,RAND())</f>
        <v>0</v>
      </c>
      <c r="M2139" s="0" t="n">
        <f aca="true">CRITBINOM(MAX(0,J2139-K2139),1-Coefficients!$B$32,RAND())</f>
        <v>0</v>
      </c>
      <c r="N2139" s="0" t="n">
        <f aca="true">CRITBINOM(MAX(0,$C2139-J2139),MIN(0.6,Matchup!$C$40*SQRT($B2139)/(1-MIN(0.75,Matchup!$C$39*$B2139))),RAND())</f>
        <v>0</v>
      </c>
      <c r="O2139" s="0" t="n">
        <f aca="false">6*J2139+(J2139-K2139-M2139)+2*L2139+3*N2139</f>
        <v>28</v>
      </c>
      <c r="P2139" s="0" t="n">
        <f aca="true">RAND()</f>
        <v>0.587720104992136</v>
      </c>
      <c r="Q2139" s="0" t="n">
        <f aca="true">RAND()</f>
        <v>0.929341455395804</v>
      </c>
      <c r="R2139" s="0" t="n">
        <f aca="false">IF($I2139&lt;&gt;$O2139,0,IF(P2139&lt;Matchup!$B$39,7,IF(P2139&lt;Matchup!$B$39+Matchup!$B$40,3,0)))</f>
        <v>0</v>
      </c>
      <c r="S2139" s="0" t="n">
        <f aca="false">IF($I2139&lt;&gt;$O2139,0,IF(Q2139&lt;Matchup!$C$39,7,IF(Q2139&lt;Matchup!$C$39+Matchup!$C$40,3,0)))</f>
        <v>0</v>
      </c>
      <c r="T2139" s="0" t="n">
        <f aca="false">I2139+R2139</f>
        <v>14</v>
      </c>
      <c r="U2139" s="0" t="n">
        <f aca="false">O2139+S2139</f>
        <v>28</v>
      </c>
      <c r="V2139" s="0" t="n">
        <f aca="false">T2139-U2139</f>
        <v>-14</v>
      </c>
      <c r="W2139" s="0" t="n">
        <f aca="false">T2139+U2139</f>
        <v>42</v>
      </c>
    </row>
    <row r="2140" customFormat="false" ht="15" hidden="false" customHeight="false" outlineLevel="0" collapsed="false">
      <c r="A2140" s="0" t="n">
        <v>2137</v>
      </c>
      <c r="B2140" s="0" t="n">
        <f aca="true">NORMINV(RAND(),1,Coefficients!$B$22)</f>
        <v>0.866507796620694</v>
      </c>
      <c r="C2140" s="0" t="n">
        <f aca="true">MEDIAN(8,16,ROUND(NORMINV(RAND(),Coefficients!$B$20,Coefficients!$B$21),0))</f>
        <v>11</v>
      </c>
      <c r="D2140" s="0" t="n">
        <f aca="true">CRITBINOM($C2140,MIN(0.75,Matchup!$B$39*$B2140),RAND())</f>
        <v>2</v>
      </c>
      <c r="E2140" s="0" t="n">
        <f aca="true">CRITBINOM(D2140,Coefficients!$B$30,RAND())</f>
        <v>0</v>
      </c>
      <c r="F2140" s="0" t="n">
        <f aca="true">CRITBINOM(E2140,Coefficients!$B$31,RAND())</f>
        <v>0</v>
      </c>
      <c r="G2140" s="0" t="n">
        <f aca="true">CRITBINOM(MAX(0,D2140-E2140),1-Coefficients!$B$32,RAND())</f>
        <v>0</v>
      </c>
      <c r="H2140" s="0" t="n">
        <f aca="true">CRITBINOM(MAX(0,$C2140-D2140),MIN(0.6,Matchup!$B$40*SQRT($B2140)/(1-MIN(0.75,Matchup!$B$39*$B2140))),RAND())</f>
        <v>3</v>
      </c>
      <c r="I2140" s="0" t="n">
        <f aca="false">6*D2140+(D2140-E2140-G2140)+2*F2140+3*H2140</f>
        <v>23</v>
      </c>
      <c r="J2140" s="0" t="n">
        <f aca="true">CRITBINOM($C2140,MIN(0.75,Matchup!$C$39*$B2140),RAND())</f>
        <v>4</v>
      </c>
      <c r="K2140" s="0" t="n">
        <f aca="true">CRITBINOM(J2140,Coefficients!$B$30,RAND())</f>
        <v>0</v>
      </c>
      <c r="L2140" s="0" t="n">
        <f aca="true">CRITBINOM(K2140,Coefficients!$B$31,RAND())</f>
        <v>0</v>
      </c>
      <c r="M2140" s="0" t="n">
        <f aca="true">CRITBINOM(MAX(0,J2140-K2140),1-Coefficients!$B$32,RAND())</f>
        <v>0</v>
      </c>
      <c r="N2140" s="0" t="n">
        <f aca="true">CRITBINOM(MAX(0,$C2140-J2140),MIN(0.6,Matchup!$C$40*SQRT($B2140)/(1-MIN(0.75,Matchup!$C$39*$B2140))),RAND())</f>
        <v>2</v>
      </c>
      <c r="O2140" s="0" t="n">
        <f aca="false">6*J2140+(J2140-K2140-M2140)+2*L2140+3*N2140</f>
        <v>34</v>
      </c>
      <c r="P2140" s="0" t="n">
        <f aca="true">RAND()</f>
        <v>0.107966043179852</v>
      </c>
      <c r="Q2140" s="0" t="n">
        <f aca="true">RAND()</f>
        <v>0.940072273457865</v>
      </c>
      <c r="R2140" s="0" t="n">
        <f aca="false">IF($I2140&lt;&gt;$O2140,0,IF(P2140&lt;Matchup!$B$39,7,IF(P2140&lt;Matchup!$B$39+Matchup!$B$40,3,0)))</f>
        <v>0</v>
      </c>
      <c r="S2140" s="0" t="n">
        <f aca="false">IF($I2140&lt;&gt;$O2140,0,IF(Q2140&lt;Matchup!$C$39,7,IF(Q2140&lt;Matchup!$C$39+Matchup!$C$40,3,0)))</f>
        <v>0</v>
      </c>
      <c r="T2140" s="0" t="n">
        <f aca="false">I2140+R2140</f>
        <v>23</v>
      </c>
      <c r="U2140" s="0" t="n">
        <f aca="false">O2140+S2140</f>
        <v>34</v>
      </c>
      <c r="V2140" s="0" t="n">
        <f aca="false">T2140-U2140</f>
        <v>-11</v>
      </c>
      <c r="W2140" s="0" t="n">
        <f aca="false">T2140+U2140</f>
        <v>57</v>
      </c>
    </row>
    <row r="2141" customFormat="false" ht="15" hidden="false" customHeight="false" outlineLevel="0" collapsed="false">
      <c r="A2141" s="0" t="n">
        <v>2138</v>
      </c>
      <c r="B2141" s="0" t="n">
        <f aca="true">NORMINV(RAND(),1,Coefficients!$B$22)</f>
        <v>0.91560521556114</v>
      </c>
      <c r="C2141" s="0" t="n">
        <f aca="true">MEDIAN(8,16,ROUND(NORMINV(RAND(),Coefficients!$B$20,Coefficients!$B$21),0))</f>
        <v>11</v>
      </c>
      <c r="D2141" s="0" t="n">
        <f aca="true">CRITBINOM($C2141,MIN(0.75,Matchup!$B$39*$B2141),RAND())</f>
        <v>1</v>
      </c>
      <c r="E2141" s="0" t="n">
        <f aca="true">CRITBINOM(D2141,Coefficients!$B$30,RAND())</f>
        <v>0</v>
      </c>
      <c r="F2141" s="0" t="n">
        <f aca="true">CRITBINOM(E2141,Coefficients!$B$31,RAND())</f>
        <v>0</v>
      </c>
      <c r="G2141" s="0" t="n">
        <f aca="true">CRITBINOM(MAX(0,D2141-E2141),1-Coefficients!$B$32,RAND())</f>
        <v>0</v>
      </c>
      <c r="H2141" s="0" t="n">
        <f aca="true">CRITBINOM(MAX(0,$C2141-D2141),MIN(0.6,Matchup!$B$40*SQRT($B2141)/(1-MIN(0.75,Matchup!$B$39*$B2141))),RAND())</f>
        <v>1</v>
      </c>
      <c r="I2141" s="0" t="n">
        <f aca="false">6*D2141+(D2141-E2141-G2141)+2*F2141+3*H2141</f>
        <v>10</v>
      </c>
      <c r="J2141" s="0" t="n">
        <f aca="true">CRITBINOM($C2141,MIN(0.75,Matchup!$C$39*$B2141),RAND())</f>
        <v>1</v>
      </c>
      <c r="K2141" s="0" t="n">
        <f aca="true">CRITBINOM(J2141,Coefficients!$B$30,RAND())</f>
        <v>0</v>
      </c>
      <c r="L2141" s="0" t="n">
        <f aca="true">CRITBINOM(K2141,Coefficients!$B$31,RAND())</f>
        <v>0</v>
      </c>
      <c r="M2141" s="0" t="n">
        <f aca="true">CRITBINOM(MAX(0,J2141-K2141),1-Coefficients!$B$32,RAND())</f>
        <v>0</v>
      </c>
      <c r="N2141" s="0" t="n">
        <f aca="true">CRITBINOM(MAX(0,$C2141-J2141),MIN(0.6,Matchup!$C$40*SQRT($B2141)/(1-MIN(0.75,Matchup!$C$39*$B2141))),RAND())</f>
        <v>1</v>
      </c>
      <c r="O2141" s="0" t="n">
        <f aca="false">6*J2141+(J2141-K2141-M2141)+2*L2141+3*N2141</f>
        <v>10</v>
      </c>
      <c r="P2141" s="0" t="n">
        <f aca="true">RAND()</f>
        <v>0.527152172503168</v>
      </c>
      <c r="Q2141" s="0" t="n">
        <f aca="true">RAND()</f>
        <v>0.517273727431109</v>
      </c>
      <c r="R2141" s="0" t="n">
        <f aca="false">IF($I2141&lt;&gt;$O2141,0,IF(P2141&lt;Matchup!$B$39,7,IF(P2141&lt;Matchup!$B$39+Matchup!$B$40,3,0)))</f>
        <v>0</v>
      </c>
      <c r="S2141" s="0" t="n">
        <f aca="false">IF($I2141&lt;&gt;$O2141,0,IF(Q2141&lt;Matchup!$C$39,7,IF(Q2141&lt;Matchup!$C$39+Matchup!$C$40,3,0)))</f>
        <v>0</v>
      </c>
      <c r="T2141" s="0" t="n">
        <f aca="false">I2141+R2141</f>
        <v>10</v>
      </c>
      <c r="U2141" s="0" t="n">
        <f aca="false">O2141+S2141</f>
        <v>10</v>
      </c>
      <c r="V2141" s="0" t="n">
        <f aca="false">T2141-U2141</f>
        <v>0</v>
      </c>
      <c r="W2141" s="0" t="n">
        <f aca="false">T2141+U2141</f>
        <v>20</v>
      </c>
    </row>
    <row r="2142" customFormat="false" ht="15" hidden="false" customHeight="false" outlineLevel="0" collapsed="false">
      <c r="A2142" s="0" t="n">
        <v>2139</v>
      </c>
      <c r="B2142" s="0" t="n">
        <f aca="true">NORMINV(RAND(),1,Coefficients!$B$22)</f>
        <v>0.958556448674197</v>
      </c>
      <c r="C2142" s="0" t="n">
        <f aca="true">MEDIAN(8,16,ROUND(NORMINV(RAND(),Coefficients!$B$20,Coefficients!$B$21),0))</f>
        <v>11</v>
      </c>
      <c r="D2142" s="0" t="n">
        <f aca="true">CRITBINOM($C2142,MIN(0.75,Matchup!$B$39*$B2142),RAND())</f>
        <v>2</v>
      </c>
      <c r="E2142" s="0" t="n">
        <f aca="true">CRITBINOM(D2142,Coefficients!$B$30,RAND())</f>
        <v>0</v>
      </c>
      <c r="F2142" s="0" t="n">
        <f aca="true">CRITBINOM(E2142,Coefficients!$B$31,RAND())</f>
        <v>0</v>
      </c>
      <c r="G2142" s="0" t="n">
        <f aca="true">CRITBINOM(MAX(0,D2142-E2142),1-Coefficients!$B$32,RAND())</f>
        <v>0</v>
      </c>
      <c r="H2142" s="0" t="n">
        <f aca="true">CRITBINOM(MAX(0,$C2142-D2142),MIN(0.6,Matchup!$B$40*SQRT($B2142)/(1-MIN(0.75,Matchup!$B$39*$B2142))),RAND())</f>
        <v>2</v>
      </c>
      <c r="I2142" s="0" t="n">
        <f aca="false">6*D2142+(D2142-E2142-G2142)+2*F2142+3*H2142</f>
        <v>20</v>
      </c>
      <c r="J2142" s="0" t="n">
        <f aca="true">CRITBINOM($C2142,MIN(0.75,Matchup!$C$39*$B2142),RAND())</f>
        <v>2</v>
      </c>
      <c r="K2142" s="0" t="n">
        <f aca="true">CRITBINOM(J2142,Coefficients!$B$30,RAND())</f>
        <v>1</v>
      </c>
      <c r="L2142" s="0" t="n">
        <f aca="true">CRITBINOM(K2142,Coefficients!$B$31,RAND())</f>
        <v>1</v>
      </c>
      <c r="M2142" s="0" t="n">
        <f aca="true">CRITBINOM(MAX(0,J2142-K2142),1-Coefficients!$B$32,RAND())</f>
        <v>0</v>
      </c>
      <c r="N2142" s="0" t="n">
        <f aca="true">CRITBINOM(MAX(0,$C2142-J2142),MIN(0.6,Matchup!$C$40*SQRT($B2142)/(1-MIN(0.75,Matchup!$C$39*$B2142))),RAND())</f>
        <v>0</v>
      </c>
      <c r="O2142" s="0" t="n">
        <f aca="false">6*J2142+(J2142-K2142-M2142)+2*L2142+3*N2142</f>
        <v>15</v>
      </c>
      <c r="P2142" s="0" t="n">
        <f aca="true">RAND()</f>
        <v>0.36691604849874</v>
      </c>
      <c r="Q2142" s="0" t="n">
        <f aca="true">RAND()</f>
        <v>0.226689109614007</v>
      </c>
      <c r="R2142" s="0" t="n">
        <f aca="false">IF($I2142&lt;&gt;$O2142,0,IF(P2142&lt;Matchup!$B$39,7,IF(P2142&lt;Matchup!$B$39+Matchup!$B$40,3,0)))</f>
        <v>0</v>
      </c>
      <c r="S2142" s="0" t="n">
        <f aca="false">IF($I2142&lt;&gt;$O2142,0,IF(Q2142&lt;Matchup!$C$39,7,IF(Q2142&lt;Matchup!$C$39+Matchup!$C$40,3,0)))</f>
        <v>0</v>
      </c>
      <c r="T2142" s="0" t="n">
        <f aca="false">I2142+R2142</f>
        <v>20</v>
      </c>
      <c r="U2142" s="0" t="n">
        <f aca="false">O2142+S2142</f>
        <v>15</v>
      </c>
      <c r="V2142" s="0" t="n">
        <f aca="false">T2142-U2142</f>
        <v>5</v>
      </c>
      <c r="W2142" s="0" t="n">
        <f aca="false">T2142+U2142</f>
        <v>35</v>
      </c>
    </row>
    <row r="2143" customFormat="false" ht="15" hidden="false" customHeight="false" outlineLevel="0" collapsed="false">
      <c r="A2143" s="0" t="n">
        <v>2140</v>
      </c>
      <c r="B2143" s="0" t="n">
        <f aca="true">NORMINV(RAND(),1,Coefficients!$B$22)</f>
        <v>1.05902483555801</v>
      </c>
      <c r="C2143" s="0" t="n">
        <f aca="true">MEDIAN(8,16,ROUND(NORMINV(RAND(),Coefficients!$B$20,Coefficients!$B$21),0))</f>
        <v>12</v>
      </c>
      <c r="D2143" s="0" t="n">
        <f aca="true">CRITBINOM($C2143,MIN(0.75,Matchup!$B$39*$B2143),RAND())</f>
        <v>6</v>
      </c>
      <c r="E2143" s="0" t="n">
        <f aca="true">CRITBINOM(D2143,Coefficients!$B$30,RAND())</f>
        <v>0</v>
      </c>
      <c r="F2143" s="0" t="n">
        <f aca="true">CRITBINOM(E2143,Coefficients!$B$31,RAND())</f>
        <v>0</v>
      </c>
      <c r="G2143" s="0" t="n">
        <f aca="true">CRITBINOM(MAX(0,D2143-E2143),1-Coefficients!$B$32,RAND())</f>
        <v>0</v>
      </c>
      <c r="H2143" s="0" t="n">
        <f aca="true">CRITBINOM(MAX(0,$C2143-D2143),MIN(0.6,Matchup!$B$40*SQRT($B2143)/(1-MIN(0.75,Matchup!$B$39*$B2143))),RAND())</f>
        <v>2</v>
      </c>
      <c r="I2143" s="0" t="n">
        <f aca="false">6*D2143+(D2143-E2143-G2143)+2*F2143+3*H2143</f>
        <v>48</v>
      </c>
      <c r="J2143" s="0" t="n">
        <f aca="true">CRITBINOM($C2143,MIN(0.75,Matchup!$C$39*$B2143),RAND())</f>
        <v>5</v>
      </c>
      <c r="K2143" s="0" t="n">
        <f aca="true">CRITBINOM(J2143,Coefficients!$B$30,RAND())</f>
        <v>0</v>
      </c>
      <c r="L2143" s="0" t="n">
        <f aca="true">CRITBINOM(K2143,Coefficients!$B$31,RAND())</f>
        <v>0</v>
      </c>
      <c r="M2143" s="0" t="n">
        <f aca="true">CRITBINOM(MAX(0,J2143-K2143),1-Coefficients!$B$32,RAND())</f>
        <v>0</v>
      </c>
      <c r="N2143" s="0" t="n">
        <f aca="true">CRITBINOM(MAX(0,$C2143-J2143),MIN(0.6,Matchup!$C$40*SQRT($B2143)/(1-MIN(0.75,Matchup!$C$39*$B2143))),RAND())</f>
        <v>1</v>
      </c>
      <c r="O2143" s="0" t="n">
        <f aca="false">6*J2143+(J2143-K2143-M2143)+2*L2143+3*N2143</f>
        <v>38</v>
      </c>
      <c r="P2143" s="0" t="n">
        <f aca="true">RAND()</f>
        <v>0.566808578161884</v>
      </c>
      <c r="Q2143" s="0" t="n">
        <f aca="true">RAND()</f>
        <v>0.356890423323551</v>
      </c>
      <c r="R2143" s="0" t="n">
        <f aca="false">IF($I2143&lt;&gt;$O2143,0,IF(P2143&lt;Matchup!$B$39,7,IF(P2143&lt;Matchup!$B$39+Matchup!$B$40,3,0)))</f>
        <v>0</v>
      </c>
      <c r="S2143" s="0" t="n">
        <f aca="false">IF($I2143&lt;&gt;$O2143,0,IF(Q2143&lt;Matchup!$C$39,7,IF(Q2143&lt;Matchup!$C$39+Matchup!$C$40,3,0)))</f>
        <v>0</v>
      </c>
      <c r="T2143" s="0" t="n">
        <f aca="false">I2143+R2143</f>
        <v>48</v>
      </c>
      <c r="U2143" s="0" t="n">
        <f aca="false">O2143+S2143</f>
        <v>38</v>
      </c>
      <c r="V2143" s="0" t="n">
        <f aca="false">T2143-U2143</f>
        <v>10</v>
      </c>
      <c r="W2143" s="0" t="n">
        <f aca="false">T2143+U2143</f>
        <v>86</v>
      </c>
    </row>
    <row r="2144" customFormat="false" ht="15" hidden="false" customHeight="false" outlineLevel="0" collapsed="false">
      <c r="A2144" s="0" t="n">
        <v>2141</v>
      </c>
      <c r="B2144" s="0" t="n">
        <f aca="true">NORMINV(RAND(),1,Coefficients!$B$22)</f>
        <v>1.03588205786188</v>
      </c>
      <c r="C2144" s="0" t="n">
        <f aca="true">MEDIAN(8,16,ROUND(NORMINV(RAND(),Coefficients!$B$20,Coefficients!$B$21),0))</f>
        <v>11</v>
      </c>
      <c r="D2144" s="0" t="n">
        <f aca="true">CRITBINOM($C2144,MIN(0.75,Matchup!$B$39*$B2144),RAND())</f>
        <v>2</v>
      </c>
      <c r="E2144" s="0" t="n">
        <f aca="true">CRITBINOM(D2144,Coefficients!$B$30,RAND())</f>
        <v>0</v>
      </c>
      <c r="F2144" s="0" t="n">
        <f aca="true">CRITBINOM(E2144,Coefficients!$B$31,RAND())</f>
        <v>0</v>
      </c>
      <c r="G2144" s="0" t="n">
        <f aca="true">CRITBINOM(MAX(0,D2144-E2144),1-Coefficients!$B$32,RAND())</f>
        <v>0</v>
      </c>
      <c r="H2144" s="0" t="n">
        <f aca="true">CRITBINOM(MAX(0,$C2144-D2144),MIN(0.6,Matchup!$B$40*SQRT($B2144)/(1-MIN(0.75,Matchup!$B$39*$B2144))),RAND())</f>
        <v>2</v>
      </c>
      <c r="I2144" s="0" t="n">
        <f aca="false">6*D2144+(D2144-E2144-G2144)+2*F2144+3*H2144</f>
        <v>20</v>
      </c>
      <c r="J2144" s="0" t="n">
        <f aca="true">CRITBINOM($C2144,MIN(0.75,Matchup!$C$39*$B2144),RAND())</f>
        <v>1</v>
      </c>
      <c r="K2144" s="0" t="n">
        <f aca="true">CRITBINOM(J2144,Coefficients!$B$30,RAND())</f>
        <v>0</v>
      </c>
      <c r="L2144" s="0" t="n">
        <f aca="true">CRITBINOM(K2144,Coefficients!$B$31,RAND())</f>
        <v>0</v>
      </c>
      <c r="M2144" s="0" t="n">
        <f aca="true">CRITBINOM(MAX(0,J2144-K2144),1-Coefficients!$B$32,RAND())</f>
        <v>0</v>
      </c>
      <c r="N2144" s="0" t="n">
        <f aca="true">CRITBINOM(MAX(0,$C2144-J2144),MIN(0.6,Matchup!$C$40*SQRT($B2144)/(1-MIN(0.75,Matchup!$C$39*$B2144))),RAND())</f>
        <v>1</v>
      </c>
      <c r="O2144" s="0" t="n">
        <f aca="false">6*J2144+(J2144-K2144-M2144)+2*L2144+3*N2144</f>
        <v>10</v>
      </c>
      <c r="P2144" s="0" t="n">
        <f aca="true">RAND()</f>
        <v>0.382845039736797</v>
      </c>
      <c r="Q2144" s="0" t="n">
        <f aca="true">RAND()</f>
        <v>0.600183001042866</v>
      </c>
      <c r="R2144" s="0" t="n">
        <f aca="false">IF($I2144&lt;&gt;$O2144,0,IF(P2144&lt;Matchup!$B$39,7,IF(P2144&lt;Matchup!$B$39+Matchup!$B$40,3,0)))</f>
        <v>0</v>
      </c>
      <c r="S2144" s="0" t="n">
        <f aca="false">IF($I2144&lt;&gt;$O2144,0,IF(Q2144&lt;Matchup!$C$39,7,IF(Q2144&lt;Matchup!$C$39+Matchup!$C$40,3,0)))</f>
        <v>0</v>
      </c>
      <c r="T2144" s="0" t="n">
        <f aca="false">I2144+R2144</f>
        <v>20</v>
      </c>
      <c r="U2144" s="0" t="n">
        <f aca="false">O2144+S2144</f>
        <v>10</v>
      </c>
      <c r="V2144" s="0" t="n">
        <f aca="false">T2144-U2144</f>
        <v>10</v>
      </c>
      <c r="W2144" s="0" t="n">
        <f aca="false">T2144+U2144</f>
        <v>30</v>
      </c>
    </row>
    <row r="2145" customFormat="false" ht="15" hidden="false" customHeight="false" outlineLevel="0" collapsed="false">
      <c r="A2145" s="0" t="n">
        <v>2142</v>
      </c>
      <c r="B2145" s="0" t="n">
        <f aca="true">NORMINV(RAND(),1,Coefficients!$B$22)</f>
        <v>0.987408384673116</v>
      </c>
      <c r="C2145" s="0" t="n">
        <f aca="true">MEDIAN(8,16,ROUND(NORMINV(RAND(),Coefficients!$B$20,Coefficients!$B$21),0))</f>
        <v>10</v>
      </c>
      <c r="D2145" s="0" t="n">
        <f aca="true">CRITBINOM($C2145,MIN(0.75,Matchup!$B$39*$B2145),RAND())</f>
        <v>2</v>
      </c>
      <c r="E2145" s="0" t="n">
        <f aca="true">CRITBINOM(D2145,Coefficients!$B$30,RAND())</f>
        <v>0</v>
      </c>
      <c r="F2145" s="0" t="n">
        <f aca="true">CRITBINOM(E2145,Coefficients!$B$31,RAND())</f>
        <v>0</v>
      </c>
      <c r="G2145" s="0" t="n">
        <f aca="true">CRITBINOM(MAX(0,D2145-E2145),1-Coefficients!$B$32,RAND())</f>
        <v>0</v>
      </c>
      <c r="H2145" s="0" t="n">
        <f aca="true">CRITBINOM(MAX(0,$C2145-D2145),MIN(0.6,Matchup!$B$40*SQRT($B2145)/(1-MIN(0.75,Matchup!$B$39*$B2145))),RAND())</f>
        <v>1</v>
      </c>
      <c r="I2145" s="0" t="n">
        <f aca="false">6*D2145+(D2145-E2145-G2145)+2*F2145+3*H2145</f>
        <v>17</v>
      </c>
      <c r="J2145" s="0" t="n">
        <f aca="true">CRITBINOM($C2145,MIN(0.75,Matchup!$C$39*$B2145),RAND())</f>
        <v>2</v>
      </c>
      <c r="K2145" s="0" t="n">
        <f aca="true">CRITBINOM(J2145,Coefficients!$B$30,RAND())</f>
        <v>0</v>
      </c>
      <c r="L2145" s="0" t="n">
        <f aca="true">CRITBINOM(K2145,Coefficients!$B$31,RAND())</f>
        <v>0</v>
      </c>
      <c r="M2145" s="0" t="n">
        <f aca="true">CRITBINOM(MAX(0,J2145-K2145),1-Coefficients!$B$32,RAND())</f>
        <v>0</v>
      </c>
      <c r="N2145" s="0" t="n">
        <f aca="true">CRITBINOM(MAX(0,$C2145-J2145),MIN(0.6,Matchup!$C$40*SQRT($B2145)/(1-MIN(0.75,Matchup!$C$39*$B2145))),RAND())</f>
        <v>2</v>
      </c>
      <c r="O2145" s="0" t="n">
        <f aca="false">6*J2145+(J2145-K2145-M2145)+2*L2145+3*N2145</f>
        <v>20</v>
      </c>
      <c r="P2145" s="0" t="n">
        <f aca="true">RAND()</f>
        <v>0.428973868496722</v>
      </c>
      <c r="Q2145" s="0" t="n">
        <f aca="true">RAND()</f>
        <v>0.968480318293092</v>
      </c>
      <c r="R2145" s="0" t="n">
        <f aca="false">IF($I2145&lt;&gt;$O2145,0,IF(P2145&lt;Matchup!$B$39,7,IF(P2145&lt;Matchup!$B$39+Matchup!$B$40,3,0)))</f>
        <v>0</v>
      </c>
      <c r="S2145" s="0" t="n">
        <f aca="false">IF($I2145&lt;&gt;$O2145,0,IF(Q2145&lt;Matchup!$C$39,7,IF(Q2145&lt;Matchup!$C$39+Matchup!$C$40,3,0)))</f>
        <v>0</v>
      </c>
      <c r="T2145" s="0" t="n">
        <f aca="false">I2145+R2145</f>
        <v>17</v>
      </c>
      <c r="U2145" s="0" t="n">
        <f aca="false">O2145+S2145</f>
        <v>20</v>
      </c>
      <c r="V2145" s="0" t="n">
        <f aca="false">T2145-U2145</f>
        <v>-3</v>
      </c>
      <c r="W2145" s="0" t="n">
        <f aca="false">T2145+U2145</f>
        <v>37</v>
      </c>
    </row>
    <row r="2146" customFormat="false" ht="15" hidden="false" customHeight="false" outlineLevel="0" collapsed="false">
      <c r="A2146" s="0" t="n">
        <v>2143</v>
      </c>
      <c r="B2146" s="0" t="n">
        <f aca="true">NORMINV(RAND(),1,Coefficients!$B$22)</f>
        <v>0.95069743776325</v>
      </c>
      <c r="C2146" s="0" t="n">
        <f aca="true">MEDIAN(8,16,ROUND(NORMINV(RAND(),Coefficients!$B$20,Coefficients!$B$21),0))</f>
        <v>12</v>
      </c>
      <c r="D2146" s="0" t="n">
        <f aca="true">CRITBINOM($C2146,MIN(0.75,Matchup!$B$39*$B2146),RAND())</f>
        <v>2</v>
      </c>
      <c r="E2146" s="0" t="n">
        <f aca="true">CRITBINOM(D2146,Coefficients!$B$30,RAND())</f>
        <v>0</v>
      </c>
      <c r="F2146" s="0" t="n">
        <f aca="true">CRITBINOM(E2146,Coefficients!$B$31,RAND())</f>
        <v>0</v>
      </c>
      <c r="G2146" s="0" t="n">
        <f aca="true">CRITBINOM(MAX(0,D2146-E2146),1-Coefficients!$B$32,RAND())</f>
        <v>0</v>
      </c>
      <c r="H2146" s="0" t="n">
        <f aca="true">CRITBINOM(MAX(0,$C2146-D2146),MIN(0.6,Matchup!$B$40*SQRT($B2146)/(1-MIN(0.75,Matchup!$B$39*$B2146))),RAND())</f>
        <v>0</v>
      </c>
      <c r="I2146" s="0" t="n">
        <f aca="false">6*D2146+(D2146-E2146-G2146)+2*F2146+3*H2146</f>
        <v>14</v>
      </c>
      <c r="J2146" s="0" t="n">
        <f aca="true">CRITBINOM($C2146,MIN(0.75,Matchup!$C$39*$B2146),RAND())</f>
        <v>1</v>
      </c>
      <c r="K2146" s="0" t="n">
        <f aca="true">CRITBINOM(J2146,Coefficients!$B$30,RAND())</f>
        <v>0</v>
      </c>
      <c r="L2146" s="0" t="n">
        <f aca="true">CRITBINOM(K2146,Coefficients!$B$31,RAND())</f>
        <v>0</v>
      </c>
      <c r="M2146" s="0" t="n">
        <f aca="true">CRITBINOM(MAX(0,J2146-K2146),1-Coefficients!$B$32,RAND())</f>
        <v>0</v>
      </c>
      <c r="N2146" s="0" t="n">
        <f aca="true">CRITBINOM(MAX(0,$C2146-J2146),MIN(0.6,Matchup!$C$40*SQRT($B2146)/(1-MIN(0.75,Matchup!$C$39*$B2146))),RAND())</f>
        <v>0</v>
      </c>
      <c r="O2146" s="0" t="n">
        <f aca="false">6*J2146+(J2146-K2146-M2146)+2*L2146+3*N2146</f>
        <v>7</v>
      </c>
      <c r="P2146" s="0" t="n">
        <f aca="true">RAND()</f>
        <v>0.901214569319599</v>
      </c>
      <c r="Q2146" s="0" t="n">
        <f aca="true">RAND()</f>
        <v>0.838028750622364</v>
      </c>
      <c r="R2146" s="0" t="n">
        <f aca="false">IF($I2146&lt;&gt;$O2146,0,IF(P2146&lt;Matchup!$B$39,7,IF(P2146&lt;Matchup!$B$39+Matchup!$B$40,3,0)))</f>
        <v>0</v>
      </c>
      <c r="S2146" s="0" t="n">
        <f aca="false">IF($I2146&lt;&gt;$O2146,0,IF(Q2146&lt;Matchup!$C$39,7,IF(Q2146&lt;Matchup!$C$39+Matchup!$C$40,3,0)))</f>
        <v>0</v>
      </c>
      <c r="T2146" s="0" t="n">
        <f aca="false">I2146+R2146</f>
        <v>14</v>
      </c>
      <c r="U2146" s="0" t="n">
        <f aca="false">O2146+S2146</f>
        <v>7</v>
      </c>
      <c r="V2146" s="0" t="n">
        <f aca="false">T2146-U2146</f>
        <v>7</v>
      </c>
      <c r="W2146" s="0" t="n">
        <f aca="false">T2146+U2146</f>
        <v>21</v>
      </c>
    </row>
    <row r="2147" customFormat="false" ht="15" hidden="false" customHeight="false" outlineLevel="0" collapsed="false">
      <c r="A2147" s="0" t="n">
        <v>2144</v>
      </c>
      <c r="B2147" s="0" t="n">
        <f aca="true">NORMINV(RAND(),1,Coefficients!$B$22)</f>
        <v>1.05494804664249</v>
      </c>
      <c r="C2147" s="0" t="n">
        <f aca="true">MEDIAN(8,16,ROUND(NORMINV(RAND(),Coefficients!$B$20,Coefficients!$B$21),0))</f>
        <v>11</v>
      </c>
      <c r="D2147" s="0" t="n">
        <f aca="true">CRITBINOM($C2147,MIN(0.75,Matchup!$B$39*$B2147),RAND())</f>
        <v>4</v>
      </c>
      <c r="E2147" s="0" t="n">
        <f aca="true">CRITBINOM(D2147,Coefficients!$B$30,RAND())</f>
        <v>0</v>
      </c>
      <c r="F2147" s="0" t="n">
        <f aca="true">CRITBINOM(E2147,Coefficients!$B$31,RAND())</f>
        <v>0</v>
      </c>
      <c r="G2147" s="0" t="n">
        <f aca="true">CRITBINOM(MAX(0,D2147-E2147),1-Coefficients!$B$32,RAND())</f>
        <v>0</v>
      </c>
      <c r="H2147" s="0" t="n">
        <f aca="true">CRITBINOM(MAX(0,$C2147-D2147),MIN(0.6,Matchup!$B$40*SQRT($B2147)/(1-MIN(0.75,Matchup!$B$39*$B2147))),RAND())</f>
        <v>2</v>
      </c>
      <c r="I2147" s="0" t="n">
        <f aca="false">6*D2147+(D2147-E2147-G2147)+2*F2147+3*H2147</f>
        <v>34</v>
      </c>
      <c r="J2147" s="0" t="n">
        <f aca="true">CRITBINOM($C2147,MIN(0.75,Matchup!$C$39*$B2147),RAND())</f>
        <v>2</v>
      </c>
      <c r="K2147" s="0" t="n">
        <f aca="true">CRITBINOM(J2147,Coefficients!$B$30,RAND())</f>
        <v>0</v>
      </c>
      <c r="L2147" s="0" t="n">
        <f aca="true">CRITBINOM(K2147,Coefficients!$B$31,RAND())</f>
        <v>0</v>
      </c>
      <c r="M2147" s="0" t="n">
        <f aca="true">CRITBINOM(MAX(0,J2147-K2147),1-Coefficients!$B$32,RAND())</f>
        <v>0</v>
      </c>
      <c r="N2147" s="0" t="n">
        <f aca="true">CRITBINOM(MAX(0,$C2147-J2147),MIN(0.6,Matchup!$C$40*SQRT($B2147)/(1-MIN(0.75,Matchup!$C$39*$B2147))),RAND())</f>
        <v>0</v>
      </c>
      <c r="O2147" s="0" t="n">
        <f aca="false">6*J2147+(J2147-K2147-M2147)+2*L2147+3*N2147</f>
        <v>14</v>
      </c>
      <c r="P2147" s="0" t="n">
        <f aca="true">RAND()</f>
        <v>0.639250380520778</v>
      </c>
      <c r="Q2147" s="0" t="n">
        <f aca="true">RAND()</f>
        <v>0.604846798714998</v>
      </c>
      <c r="R2147" s="0" t="n">
        <f aca="false">IF($I2147&lt;&gt;$O2147,0,IF(P2147&lt;Matchup!$B$39,7,IF(P2147&lt;Matchup!$B$39+Matchup!$B$40,3,0)))</f>
        <v>0</v>
      </c>
      <c r="S2147" s="0" t="n">
        <f aca="false">IF($I2147&lt;&gt;$O2147,0,IF(Q2147&lt;Matchup!$C$39,7,IF(Q2147&lt;Matchup!$C$39+Matchup!$C$40,3,0)))</f>
        <v>0</v>
      </c>
      <c r="T2147" s="0" t="n">
        <f aca="false">I2147+R2147</f>
        <v>34</v>
      </c>
      <c r="U2147" s="0" t="n">
        <f aca="false">O2147+S2147</f>
        <v>14</v>
      </c>
      <c r="V2147" s="0" t="n">
        <f aca="false">T2147-U2147</f>
        <v>20</v>
      </c>
      <c r="W2147" s="0" t="n">
        <f aca="false">T2147+U2147</f>
        <v>48</v>
      </c>
    </row>
    <row r="2148" customFormat="false" ht="15" hidden="false" customHeight="false" outlineLevel="0" collapsed="false">
      <c r="A2148" s="0" t="n">
        <v>2145</v>
      </c>
      <c r="B2148" s="0" t="n">
        <f aca="true">NORMINV(RAND(),1,Coefficients!$B$22)</f>
        <v>1.12841858228671</v>
      </c>
      <c r="C2148" s="0" t="n">
        <f aca="true">MEDIAN(8,16,ROUND(NORMINV(RAND(),Coefficients!$B$20,Coefficients!$B$21),0))</f>
        <v>11</v>
      </c>
      <c r="D2148" s="0" t="n">
        <f aca="true">CRITBINOM($C2148,MIN(0.75,Matchup!$B$39*$B2148),RAND())</f>
        <v>2</v>
      </c>
      <c r="E2148" s="0" t="n">
        <f aca="true">CRITBINOM(D2148,Coefficients!$B$30,RAND())</f>
        <v>0</v>
      </c>
      <c r="F2148" s="0" t="n">
        <f aca="true">CRITBINOM(E2148,Coefficients!$B$31,RAND())</f>
        <v>0</v>
      </c>
      <c r="G2148" s="0" t="n">
        <f aca="true">CRITBINOM(MAX(0,D2148-E2148),1-Coefficients!$B$32,RAND())</f>
        <v>0</v>
      </c>
      <c r="H2148" s="0" t="n">
        <f aca="true">CRITBINOM(MAX(0,$C2148-D2148),MIN(0.6,Matchup!$B$40*SQRT($B2148)/(1-MIN(0.75,Matchup!$B$39*$B2148))),RAND())</f>
        <v>0</v>
      </c>
      <c r="I2148" s="0" t="n">
        <f aca="false">6*D2148+(D2148-E2148-G2148)+2*F2148+3*H2148</f>
        <v>14</v>
      </c>
      <c r="J2148" s="0" t="n">
        <f aca="true">CRITBINOM($C2148,MIN(0.75,Matchup!$C$39*$B2148),RAND())</f>
        <v>4</v>
      </c>
      <c r="K2148" s="0" t="n">
        <f aca="true">CRITBINOM(J2148,Coefficients!$B$30,RAND())</f>
        <v>0</v>
      </c>
      <c r="L2148" s="0" t="n">
        <f aca="true">CRITBINOM(K2148,Coefficients!$B$31,RAND())</f>
        <v>0</v>
      </c>
      <c r="M2148" s="0" t="n">
        <f aca="true">CRITBINOM(MAX(0,J2148-K2148),1-Coefficients!$B$32,RAND())</f>
        <v>0</v>
      </c>
      <c r="N2148" s="0" t="n">
        <f aca="true">CRITBINOM(MAX(0,$C2148-J2148),MIN(0.6,Matchup!$C$40*SQRT($B2148)/(1-MIN(0.75,Matchup!$C$39*$B2148))),RAND())</f>
        <v>1</v>
      </c>
      <c r="O2148" s="0" t="n">
        <f aca="false">6*J2148+(J2148-K2148-M2148)+2*L2148+3*N2148</f>
        <v>31</v>
      </c>
      <c r="P2148" s="0" t="n">
        <f aca="true">RAND()</f>
        <v>0.106957098190777</v>
      </c>
      <c r="Q2148" s="0" t="n">
        <f aca="true">RAND()</f>
        <v>0.378306323905594</v>
      </c>
      <c r="R2148" s="0" t="n">
        <f aca="false">IF($I2148&lt;&gt;$O2148,0,IF(P2148&lt;Matchup!$B$39,7,IF(P2148&lt;Matchup!$B$39+Matchup!$B$40,3,0)))</f>
        <v>0</v>
      </c>
      <c r="S2148" s="0" t="n">
        <f aca="false">IF($I2148&lt;&gt;$O2148,0,IF(Q2148&lt;Matchup!$C$39,7,IF(Q2148&lt;Matchup!$C$39+Matchup!$C$40,3,0)))</f>
        <v>0</v>
      </c>
      <c r="T2148" s="0" t="n">
        <f aca="false">I2148+R2148</f>
        <v>14</v>
      </c>
      <c r="U2148" s="0" t="n">
        <f aca="false">O2148+S2148</f>
        <v>31</v>
      </c>
      <c r="V2148" s="0" t="n">
        <f aca="false">T2148-U2148</f>
        <v>-17</v>
      </c>
      <c r="W2148" s="0" t="n">
        <f aca="false">T2148+U2148</f>
        <v>45</v>
      </c>
    </row>
    <row r="2149" customFormat="false" ht="15" hidden="false" customHeight="false" outlineLevel="0" collapsed="false">
      <c r="A2149" s="0" t="n">
        <v>2146</v>
      </c>
      <c r="B2149" s="0" t="n">
        <f aca="true">NORMINV(RAND(),1,Coefficients!$B$22)</f>
        <v>1.11369733511772</v>
      </c>
      <c r="C2149" s="0" t="n">
        <f aca="true">MEDIAN(8,16,ROUND(NORMINV(RAND(),Coefficients!$B$20,Coefficients!$B$21),0))</f>
        <v>12</v>
      </c>
      <c r="D2149" s="0" t="n">
        <f aca="true">CRITBINOM($C2149,MIN(0.75,Matchup!$B$39*$B2149),RAND())</f>
        <v>2</v>
      </c>
      <c r="E2149" s="0" t="n">
        <f aca="true">CRITBINOM(D2149,Coefficients!$B$30,RAND())</f>
        <v>0</v>
      </c>
      <c r="F2149" s="0" t="n">
        <f aca="true">CRITBINOM(E2149,Coefficients!$B$31,RAND())</f>
        <v>0</v>
      </c>
      <c r="G2149" s="0" t="n">
        <f aca="true">CRITBINOM(MAX(0,D2149-E2149),1-Coefficients!$B$32,RAND())</f>
        <v>0</v>
      </c>
      <c r="H2149" s="0" t="n">
        <f aca="true">CRITBINOM(MAX(0,$C2149-D2149),MIN(0.6,Matchup!$B$40*SQRT($B2149)/(1-MIN(0.75,Matchup!$B$39*$B2149))),RAND())</f>
        <v>2</v>
      </c>
      <c r="I2149" s="0" t="n">
        <f aca="false">6*D2149+(D2149-E2149-G2149)+2*F2149+3*H2149</f>
        <v>20</v>
      </c>
      <c r="J2149" s="0" t="n">
        <f aca="true">CRITBINOM($C2149,MIN(0.75,Matchup!$C$39*$B2149),RAND())</f>
        <v>3</v>
      </c>
      <c r="K2149" s="0" t="n">
        <f aca="true">CRITBINOM(J2149,Coefficients!$B$30,RAND())</f>
        <v>0</v>
      </c>
      <c r="L2149" s="0" t="n">
        <f aca="true">CRITBINOM(K2149,Coefficients!$B$31,RAND())</f>
        <v>0</v>
      </c>
      <c r="M2149" s="0" t="n">
        <f aca="true">CRITBINOM(MAX(0,J2149-K2149),1-Coefficients!$B$32,RAND())</f>
        <v>0</v>
      </c>
      <c r="N2149" s="0" t="n">
        <f aca="true">CRITBINOM(MAX(0,$C2149-J2149),MIN(0.6,Matchup!$C$40*SQRT($B2149)/(1-MIN(0.75,Matchup!$C$39*$B2149))),RAND())</f>
        <v>1</v>
      </c>
      <c r="O2149" s="0" t="n">
        <f aca="false">6*J2149+(J2149-K2149-M2149)+2*L2149+3*N2149</f>
        <v>24</v>
      </c>
      <c r="P2149" s="0" t="n">
        <f aca="true">RAND()</f>
        <v>0.155256210583871</v>
      </c>
      <c r="Q2149" s="0" t="n">
        <f aca="true">RAND()</f>
        <v>0.0551832612691375</v>
      </c>
      <c r="R2149" s="0" t="n">
        <f aca="false">IF($I2149&lt;&gt;$O2149,0,IF(P2149&lt;Matchup!$B$39,7,IF(P2149&lt;Matchup!$B$39+Matchup!$B$40,3,0)))</f>
        <v>0</v>
      </c>
      <c r="S2149" s="0" t="n">
        <f aca="false">IF($I2149&lt;&gt;$O2149,0,IF(Q2149&lt;Matchup!$C$39,7,IF(Q2149&lt;Matchup!$C$39+Matchup!$C$40,3,0)))</f>
        <v>0</v>
      </c>
      <c r="T2149" s="0" t="n">
        <f aca="false">I2149+R2149</f>
        <v>20</v>
      </c>
      <c r="U2149" s="0" t="n">
        <f aca="false">O2149+S2149</f>
        <v>24</v>
      </c>
      <c r="V2149" s="0" t="n">
        <f aca="false">T2149-U2149</f>
        <v>-4</v>
      </c>
      <c r="W2149" s="0" t="n">
        <f aca="false">T2149+U2149</f>
        <v>44</v>
      </c>
    </row>
    <row r="2150" customFormat="false" ht="15" hidden="false" customHeight="false" outlineLevel="0" collapsed="false">
      <c r="A2150" s="0" t="n">
        <v>2147</v>
      </c>
      <c r="B2150" s="0" t="n">
        <f aca="true">NORMINV(RAND(),1,Coefficients!$B$22)</f>
        <v>1.09436313899707</v>
      </c>
      <c r="C2150" s="0" t="n">
        <f aca="true">MEDIAN(8,16,ROUND(NORMINV(RAND(),Coefficients!$B$20,Coefficients!$B$21),0))</f>
        <v>10</v>
      </c>
      <c r="D2150" s="0" t="n">
        <f aca="true">CRITBINOM($C2150,MIN(0.75,Matchup!$B$39*$B2150),RAND())</f>
        <v>2</v>
      </c>
      <c r="E2150" s="0" t="n">
        <f aca="true">CRITBINOM(D2150,Coefficients!$B$30,RAND())</f>
        <v>0</v>
      </c>
      <c r="F2150" s="0" t="n">
        <f aca="true">CRITBINOM(E2150,Coefficients!$B$31,RAND())</f>
        <v>0</v>
      </c>
      <c r="G2150" s="0" t="n">
        <f aca="true">CRITBINOM(MAX(0,D2150-E2150),1-Coefficients!$B$32,RAND())</f>
        <v>0</v>
      </c>
      <c r="H2150" s="0" t="n">
        <f aca="true">CRITBINOM(MAX(0,$C2150-D2150),MIN(0.6,Matchup!$B$40*SQRT($B2150)/(1-MIN(0.75,Matchup!$B$39*$B2150))),RAND())</f>
        <v>4</v>
      </c>
      <c r="I2150" s="0" t="n">
        <f aca="false">6*D2150+(D2150-E2150-G2150)+2*F2150+3*H2150</f>
        <v>26</v>
      </c>
      <c r="J2150" s="0" t="n">
        <f aca="true">CRITBINOM($C2150,MIN(0.75,Matchup!$C$39*$B2150),RAND())</f>
        <v>2</v>
      </c>
      <c r="K2150" s="0" t="n">
        <f aca="true">CRITBINOM(J2150,Coefficients!$B$30,RAND())</f>
        <v>1</v>
      </c>
      <c r="L2150" s="0" t="n">
        <f aca="true">CRITBINOM(K2150,Coefficients!$B$31,RAND())</f>
        <v>1</v>
      </c>
      <c r="M2150" s="0" t="n">
        <f aca="true">CRITBINOM(MAX(0,J2150-K2150),1-Coefficients!$B$32,RAND())</f>
        <v>1</v>
      </c>
      <c r="N2150" s="0" t="n">
        <f aca="true">CRITBINOM(MAX(0,$C2150-J2150),MIN(0.6,Matchup!$C$40*SQRT($B2150)/(1-MIN(0.75,Matchup!$C$39*$B2150))),RAND())</f>
        <v>2</v>
      </c>
      <c r="O2150" s="0" t="n">
        <f aca="false">6*J2150+(J2150-K2150-M2150)+2*L2150+3*N2150</f>
        <v>20</v>
      </c>
      <c r="P2150" s="0" t="n">
        <f aca="true">RAND()</f>
        <v>0.133253542846958</v>
      </c>
      <c r="Q2150" s="0" t="n">
        <f aca="true">RAND()</f>
        <v>0.283800681874917</v>
      </c>
      <c r="R2150" s="0" t="n">
        <f aca="false">IF($I2150&lt;&gt;$O2150,0,IF(P2150&lt;Matchup!$B$39,7,IF(P2150&lt;Matchup!$B$39+Matchup!$B$40,3,0)))</f>
        <v>0</v>
      </c>
      <c r="S2150" s="0" t="n">
        <f aca="false">IF($I2150&lt;&gt;$O2150,0,IF(Q2150&lt;Matchup!$C$39,7,IF(Q2150&lt;Matchup!$C$39+Matchup!$C$40,3,0)))</f>
        <v>0</v>
      </c>
      <c r="T2150" s="0" t="n">
        <f aca="false">I2150+R2150</f>
        <v>26</v>
      </c>
      <c r="U2150" s="0" t="n">
        <f aca="false">O2150+S2150</f>
        <v>20</v>
      </c>
      <c r="V2150" s="0" t="n">
        <f aca="false">T2150-U2150</f>
        <v>6</v>
      </c>
      <c r="W2150" s="0" t="n">
        <f aca="false">T2150+U2150</f>
        <v>46</v>
      </c>
    </row>
    <row r="2151" customFormat="false" ht="15" hidden="false" customHeight="false" outlineLevel="0" collapsed="false">
      <c r="A2151" s="0" t="n">
        <v>2148</v>
      </c>
      <c r="B2151" s="0" t="n">
        <f aca="true">NORMINV(RAND(),1,Coefficients!$B$22)</f>
        <v>0.907938522382326</v>
      </c>
      <c r="C2151" s="0" t="n">
        <f aca="true">MEDIAN(8,16,ROUND(NORMINV(RAND(),Coefficients!$B$20,Coefficients!$B$21),0))</f>
        <v>11</v>
      </c>
      <c r="D2151" s="0" t="n">
        <f aca="true">CRITBINOM($C2151,MIN(0.75,Matchup!$B$39*$B2151),RAND())</f>
        <v>6</v>
      </c>
      <c r="E2151" s="0" t="n">
        <f aca="true">CRITBINOM(D2151,Coefficients!$B$30,RAND())</f>
        <v>0</v>
      </c>
      <c r="F2151" s="0" t="n">
        <f aca="true">CRITBINOM(E2151,Coefficients!$B$31,RAND())</f>
        <v>0</v>
      </c>
      <c r="G2151" s="0" t="n">
        <f aca="true">CRITBINOM(MAX(0,D2151-E2151),1-Coefficients!$B$32,RAND())</f>
        <v>0</v>
      </c>
      <c r="H2151" s="0" t="n">
        <f aca="true">CRITBINOM(MAX(0,$C2151-D2151),MIN(0.6,Matchup!$B$40*SQRT($B2151)/(1-MIN(0.75,Matchup!$B$39*$B2151))),RAND())</f>
        <v>1</v>
      </c>
      <c r="I2151" s="0" t="n">
        <f aca="false">6*D2151+(D2151-E2151-G2151)+2*F2151+3*H2151</f>
        <v>45</v>
      </c>
      <c r="J2151" s="0" t="n">
        <f aca="true">CRITBINOM($C2151,MIN(0.75,Matchup!$C$39*$B2151),RAND())</f>
        <v>0</v>
      </c>
      <c r="K2151" s="0" t="n">
        <f aca="true">CRITBINOM(J2151,Coefficients!$B$30,RAND())</f>
        <v>0</v>
      </c>
      <c r="L2151" s="0" t="n">
        <f aca="true">CRITBINOM(K2151,Coefficients!$B$31,RAND())</f>
        <v>0</v>
      </c>
      <c r="M2151" s="0" t="n">
        <f aca="true">CRITBINOM(MAX(0,J2151-K2151),1-Coefficients!$B$32,RAND())</f>
        <v>0</v>
      </c>
      <c r="N2151" s="0" t="n">
        <f aca="true">CRITBINOM(MAX(0,$C2151-J2151),MIN(0.6,Matchup!$C$40*SQRT($B2151)/(1-MIN(0.75,Matchup!$C$39*$B2151))),RAND())</f>
        <v>0</v>
      </c>
      <c r="O2151" s="0" t="n">
        <f aca="false">6*J2151+(J2151-K2151-M2151)+2*L2151+3*N2151</f>
        <v>0</v>
      </c>
      <c r="P2151" s="0" t="n">
        <f aca="true">RAND()</f>
        <v>0.149210349918061</v>
      </c>
      <c r="Q2151" s="0" t="n">
        <f aca="true">RAND()</f>
        <v>0.145921325444828</v>
      </c>
      <c r="R2151" s="0" t="n">
        <f aca="false">IF($I2151&lt;&gt;$O2151,0,IF(P2151&lt;Matchup!$B$39,7,IF(P2151&lt;Matchup!$B$39+Matchup!$B$40,3,0)))</f>
        <v>0</v>
      </c>
      <c r="S2151" s="0" t="n">
        <f aca="false">IF($I2151&lt;&gt;$O2151,0,IF(Q2151&lt;Matchup!$C$39,7,IF(Q2151&lt;Matchup!$C$39+Matchup!$C$40,3,0)))</f>
        <v>0</v>
      </c>
      <c r="T2151" s="0" t="n">
        <f aca="false">I2151+R2151</f>
        <v>45</v>
      </c>
      <c r="U2151" s="0" t="n">
        <f aca="false">O2151+S2151</f>
        <v>0</v>
      </c>
      <c r="V2151" s="0" t="n">
        <f aca="false">T2151-U2151</f>
        <v>45</v>
      </c>
      <c r="W2151" s="0" t="n">
        <f aca="false">T2151+U2151</f>
        <v>45</v>
      </c>
    </row>
    <row r="2152" customFormat="false" ht="15" hidden="false" customHeight="false" outlineLevel="0" collapsed="false">
      <c r="A2152" s="0" t="n">
        <v>2149</v>
      </c>
      <c r="B2152" s="0" t="n">
        <f aca="true">NORMINV(RAND(),1,Coefficients!$B$22)</f>
        <v>0.939697316180437</v>
      </c>
      <c r="C2152" s="0" t="n">
        <f aca="true">MEDIAN(8,16,ROUND(NORMINV(RAND(),Coefficients!$B$20,Coefficients!$B$21),0))</f>
        <v>11</v>
      </c>
      <c r="D2152" s="0" t="n">
        <f aca="true">CRITBINOM($C2152,MIN(0.75,Matchup!$B$39*$B2152),RAND())</f>
        <v>4</v>
      </c>
      <c r="E2152" s="0" t="n">
        <f aca="true">CRITBINOM(D2152,Coefficients!$B$30,RAND())</f>
        <v>0</v>
      </c>
      <c r="F2152" s="0" t="n">
        <f aca="true">CRITBINOM(E2152,Coefficients!$B$31,RAND())</f>
        <v>0</v>
      </c>
      <c r="G2152" s="0" t="n">
        <f aca="true">CRITBINOM(MAX(0,D2152-E2152),1-Coefficients!$B$32,RAND())</f>
        <v>0</v>
      </c>
      <c r="H2152" s="0" t="n">
        <f aca="true">CRITBINOM(MAX(0,$C2152-D2152),MIN(0.6,Matchup!$B$40*SQRT($B2152)/(1-MIN(0.75,Matchup!$B$39*$B2152))),RAND())</f>
        <v>1</v>
      </c>
      <c r="I2152" s="0" t="n">
        <f aca="false">6*D2152+(D2152-E2152-G2152)+2*F2152+3*H2152</f>
        <v>31</v>
      </c>
      <c r="J2152" s="0" t="n">
        <f aca="true">CRITBINOM($C2152,MIN(0.75,Matchup!$C$39*$B2152),RAND())</f>
        <v>2</v>
      </c>
      <c r="K2152" s="0" t="n">
        <f aca="true">CRITBINOM(J2152,Coefficients!$B$30,RAND())</f>
        <v>1</v>
      </c>
      <c r="L2152" s="0" t="n">
        <f aca="true">CRITBINOM(K2152,Coefficients!$B$31,RAND())</f>
        <v>1</v>
      </c>
      <c r="M2152" s="0" t="n">
        <f aca="true">CRITBINOM(MAX(0,J2152-K2152),1-Coefficients!$B$32,RAND())</f>
        <v>0</v>
      </c>
      <c r="N2152" s="0" t="n">
        <f aca="true">CRITBINOM(MAX(0,$C2152-J2152),MIN(0.6,Matchup!$C$40*SQRT($B2152)/(1-MIN(0.75,Matchup!$C$39*$B2152))),RAND())</f>
        <v>3</v>
      </c>
      <c r="O2152" s="0" t="n">
        <f aca="false">6*J2152+(J2152-K2152-M2152)+2*L2152+3*N2152</f>
        <v>24</v>
      </c>
      <c r="P2152" s="0" t="n">
        <f aca="true">RAND()</f>
        <v>0.478731450501876</v>
      </c>
      <c r="Q2152" s="0" t="n">
        <f aca="true">RAND()</f>
        <v>0.178533982456244</v>
      </c>
      <c r="R2152" s="0" t="n">
        <f aca="false">IF($I2152&lt;&gt;$O2152,0,IF(P2152&lt;Matchup!$B$39,7,IF(P2152&lt;Matchup!$B$39+Matchup!$B$40,3,0)))</f>
        <v>0</v>
      </c>
      <c r="S2152" s="0" t="n">
        <f aca="false">IF($I2152&lt;&gt;$O2152,0,IF(Q2152&lt;Matchup!$C$39,7,IF(Q2152&lt;Matchup!$C$39+Matchup!$C$40,3,0)))</f>
        <v>0</v>
      </c>
      <c r="T2152" s="0" t="n">
        <f aca="false">I2152+R2152</f>
        <v>31</v>
      </c>
      <c r="U2152" s="0" t="n">
        <f aca="false">O2152+S2152</f>
        <v>24</v>
      </c>
      <c r="V2152" s="0" t="n">
        <f aca="false">T2152-U2152</f>
        <v>7</v>
      </c>
      <c r="W2152" s="0" t="n">
        <f aca="false">T2152+U2152</f>
        <v>55</v>
      </c>
    </row>
    <row r="2153" customFormat="false" ht="15" hidden="false" customHeight="false" outlineLevel="0" collapsed="false">
      <c r="A2153" s="0" t="n">
        <v>2150</v>
      </c>
      <c r="B2153" s="0" t="n">
        <f aca="true">NORMINV(RAND(),1,Coefficients!$B$22)</f>
        <v>0.97449341987997</v>
      </c>
      <c r="C2153" s="0" t="n">
        <f aca="true">MEDIAN(8,16,ROUND(NORMINV(RAND(),Coefficients!$B$20,Coefficients!$B$21),0))</f>
        <v>10</v>
      </c>
      <c r="D2153" s="0" t="n">
        <f aca="true">CRITBINOM($C2153,MIN(0.75,Matchup!$B$39*$B2153),RAND())</f>
        <v>3</v>
      </c>
      <c r="E2153" s="0" t="n">
        <f aca="true">CRITBINOM(D2153,Coefficients!$B$30,RAND())</f>
        <v>0</v>
      </c>
      <c r="F2153" s="0" t="n">
        <f aca="true">CRITBINOM(E2153,Coefficients!$B$31,RAND())</f>
        <v>0</v>
      </c>
      <c r="G2153" s="0" t="n">
        <f aca="true">CRITBINOM(MAX(0,D2153-E2153),1-Coefficients!$B$32,RAND())</f>
        <v>0</v>
      </c>
      <c r="H2153" s="0" t="n">
        <f aca="true">CRITBINOM(MAX(0,$C2153-D2153),MIN(0.6,Matchup!$B$40*SQRT($B2153)/(1-MIN(0.75,Matchup!$B$39*$B2153))),RAND())</f>
        <v>1</v>
      </c>
      <c r="I2153" s="0" t="n">
        <f aca="false">6*D2153+(D2153-E2153-G2153)+2*F2153+3*H2153</f>
        <v>24</v>
      </c>
      <c r="J2153" s="0" t="n">
        <f aca="true">CRITBINOM($C2153,MIN(0.75,Matchup!$C$39*$B2153),RAND())</f>
        <v>3</v>
      </c>
      <c r="K2153" s="0" t="n">
        <f aca="true">CRITBINOM(J2153,Coefficients!$B$30,RAND())</f>
        <v>1</v>
      </c>
      <c r="L2153" s="0" t="n">
        <f aca="true">CRITBINOM(K2153,Coefficients!$B$31,RAND())</f>
        <v>1</v>
      </c>
      <c r="M2153" s="0" t="n">
        <f aca="true">CRITBINOM(MAX(0,J2153-K2153),1-Coefficients!$B$32,RAND())</f>
        <v>0</v>
      </c>
      <c r="N2153" s="0" t="n">
        <f aca="true">CRITBINOM(MAX(0,$C2153-J2153),MIN(0.6,Matchup!$C$40*SQRT($B2153)/(1-MIN(0.75,Matchup!$C$39*$B2153))),RAND())</f>
        <v>0</v>
      </c>
      <c r="O2153" s="0" t="n">
        <f aca="false">6*J2153+(J2153-K2153-M2153)+2*L2153+3*N2153</f>
        <v>22</v>
      </c>
      <c r="P2153" s="0" t="n">
        <f aca="true">RAND()</f>
        <v>0.119593630944954</v>
      </c>
      <c r="Q2153" s="0" t="n">
        <f aca="true">RAND()</f>
        <v>0.18931900171125</v>
      </c>
      <c r="R2153" s="0" t="n">
        <f aca="false">IF($I2153&lt;&gt;$O2153,0,IF(P2153&lt;Matchup!$B$39,7,IF(P2153&lt;Matchup!$B$39+Matchup!$B$40,3,0)))</f>
        <v>0</v>
      </c>
      <c r="S2153" s="0" t="n">
        <f aca="false">IF($I2153&lt;&gt;$O2153,0,IF(Q2153&lt;Matchup!$C$39,7,IF(Q2153&lt;Matchup!$C$39+Matchup!$C$40,3,0)))</f>
        <v>0</v>
      </c>
      <c r="T2153" s="0" t="n">
        <f aca="false">I2153+R2153</f>
        <v>24</v>
      </c>
      <c r="U2153" s="0" t="n">
        <f aca="false">O2153+S2153</f>
        <v>22</v>
      </c>
      <c r="V2153" s="0" t="n">
        <f aca="false">T2153-U2153</f>
        <v>2</v>
      </c>
      <c r="W2153" s="0" t="n">
        <f aca="false">T2153+U2153</f>
        <v>46</v>
      </c>
    </row>
    <row r="2154" customFormat="false" ht="15" hidden="false" customHeight="false" outlineLevel="0" collapsed="false">
      <c r="A2154" s="0" t="n">
        <v>2151</v>
      </c>
      <c r="B2154" s="0" t="n">
        <f aca="true">NORMINV(RAND(),1,Coefficients!$B$22)</f>
        <v>0.996777791177745</v>
      </c>
      <c r="C2154" s="0" t="n">
        <f aca="true">MEDIAN(8,16,ROUND(NORMINV(RAND(),Coefficients!$B$20,Coefficients!$B$21),0))</f>
        <v>12</v>
      </c>
      <c r="D2154" s="0" t="n">
        <f aca="true">CRITBINOM($C2154,MIN(0.75,Matchup!$B$39*$B2154),RAND())</f>
        <v>3</v>
      </c>
      <c r="E2154" s="0" t="n">
        <f aca="true">CRITBINOM(D2154,Coefficients!$B$30,RAND())</f>
        <v>0</v>
      </c>
      <c r="F2154" s="0" t="n">
        <f aca="true">CRITBINOM(E2154,Coefficients!$B$31,RAND())</f>
        <v>0</v>
      </c>
      <c r="G2154" s="0" t="n">
        <f aca="true">CRITBINOM(MAX(0,D2154-E2154),1-Coefficients!$B$32,RAND())</f>
        <v>0</v>
      </c>
      <c r="H2154" s="0" t="n">
        <f aca="true">CRITBINOM(MAX(0,$C2154-D2154),MIN(0.6,Matchup!$B$40*SQRT($B2154)/(1-MIN(0.75,Matchup!$B$39*$B2154))),RAND())</f>
        <v>0</v>
      </c>
      <c r="I2154" s="0" t="n">
        <f aca="false">6*D2154+(D2154-E2154-G2154)+2*F2154+3*H2154</f>
        <v>21</v>
      </c>
      <c r="J2154" s="0" t="n">
        <f aca="true">CRITBINOM($C2154,MIN(0.75,Matchup!$C$39*$B2154),RAND())</f>
        <v>2</v>
      </c>
      <c r="K2154" s="0" t="n">
        <f aca="true">CRITBINOM(J2154,Coefficients!$B$30,RAND())</f>
        <v>0</v>
      </c>
      <c r="L2154" s="0" t="n">
        <f aca="true">CRITBINOM(K2154,Coefficients!$B$31,RAND())</f>
        <v>0</v>
      </c>
      <c r="M2154" s="0" t="n">
        <f aca="true">CRITBINOM(MAX(0,J2154-K2154),1-Coefficients!$B$32,RAND())</f>
        <v>0</v>
      </c>
      <c r="N2154" s="0" t="n">
        <f aca="true">CRITBINOM(MAX(0,$C2154-J2154),MIN(0.6,Matchup!$C$40*SQRT($B2154)/(1-MIN(0.75,Matchup!$C$39*$B2154))),RAND())</f>
        <v>4</v>
      </c>
      <c r="O2154" s="0" t="n">
        <f aca="false">6*J2154+(J2154-K2154-M2154)+2*L2154+3*N2154</f>
        <v>26</v>
      </c>
      <c r="P2154" s="0" t="n">
        <f aca="true">RAND()</f>
        <v>0.619322620649806</v>
      </c>
      <c r="Q2154" s="0" t="n">
        <f aca="true">RAND()</f>
        <v>0.14214622431027</v>
      </c>
      <c r="R2154" s="0" t="n">
        <f aca="false">IF($I2154&lt;&gt;$O2154,0,IF(P2154&lt;Matchup!$B$39,7,IF(P2154&lt;Matchup!$B$39+Matchup!$B$40,3,0)))</f>
        <v>0</v>
      </c>
      <c r="S2154" s="0" t="n">
        <f aca="false">IF($I2154&lt;&gt;$O2154,0,IF(Q2154&lt;Matchup!$C$39,7,IF(Q2154&lt;Matchup!$C$39+Matchup!$C$40,3,0)))</f>
        <v>0</v>
      </c>
      <c r="T2154" s="0" t="n">
        <f aca="false">I2154+R2154</f>
        <v>21</v>
      </c>
      <c r="U2154" s="0" t="n">
        <f aca="false">O2154+S2154</f>
        <v>26</v>
      </c>
      <c r="V2154" s="0" t="n">
        <f aca="false">T2154-U2154</f>
        <v>-5</v>
      </c>
      <c r="W2154" s="0" t="n">
        <f aca="false">T2154+U2154</f>
        <v>47</v>
      </c>
    </row>
    <row r="2155" customFormat="false" ht="15" hidden="false" customHeight="false" outlineLevel="0" collapsed="false">
      <c r="A2155" s="0" t="n">
        <v>2152</v>
      </c>
      <c r="B2155" s="0" t="n">
        <f aca="true">NORMINV(RAND(),1,Coefficients!$B$22)</f>
        <v>1.03922459814741</v>
      </c>
      <c r="C2155" s="0" t="n">
        <f aca="true">MEDIAN(8,16,ROUND(NORMINV(RAND(),Coefficients!$B$20,Coefficients!$B$21),0))</f>
        <v>10</v>
      </c>
      <c r="D2155" s="0" t="n">
        <f aca="true">CRITBINOM($C2155,MIN(0.75,Matchup!$B$39*$B2155),RAND())</f>
        <v>4</v>
      </c>
      <c r="E2155" s="0" t="n">
        <f aca="true">CRITBINOM(D2155,Coefficients!$B$30,RAND())</f>
        <v>1</v>
      </c>
      <c r="F2155" s="0" t="n">
        <f aca="true">CRITBINOM(E2155,Coefficients!$B$31,RAND())</f>
        <v>1</v>
      </c>
      <c r="G2155" s="0" t="n">
        <f aca="true">CRITBINOM(MAX(0,D2155-E2155),1-Coefficients!$B$32,RAND())</f>
        <v>0</v>
      </c>
      <c r="H2155" s="0" t="n">
        <f aca="true">CRITBINOM(MAX(0,$C2155-D2155),MIN(0.6,Matchup!$B$40*SQRT($B2155)/(1-MIN(0.75,Matchup!$B$39*$B2155))),RAND())</f>
        <v>0</v>
      </c>
      <c r="I2155" s="0" t="n">
        <f aca="false">6*D2155+(D2155-E2155-G2155)+2*F2155+3*H2155</f>
        <v>29</v>
      </c>
      <c r="J2155" s="0" t="n">
        <f aca="true">CRITBINOM($C2155,MIN(0.75,Matchup!$C$39*$B2155),RAND())</f>
        <v>3</v>
      </c>
      <c r="K2155" s="0" t="n">
        <f aca="true">CRITBINOM(J2155,Coefficients!$B$30,RAND())</f>
        <v>1</v>
      </c>
      <c r="L2155" s="0" t="n">
        <f aca="true">CRITBINOM(K2155,Coefficients!$B$31,RAND())</f>
        <v>0</v>
      </c>
      <c r="M2155" s="0" t="n">
        <f aca="true">CRITBINOM(MAX(0,J2155-K2155),1-Coefficients!$B$32,RAND())</f>
        <v>0</v>
      </c>
      <c r="N2155" s="0" t="n">
        <f aca="true">CRITBINOM(MAX(0,$C2155-J2155),MIN(0.6,Matchup!$C$40*SQRT($B2155)/(1-MIN(0.75,Matchup!$C$39*$B2155))),RAND())</f>
        <v>1</v>
      </c>
      <c r="O2155" s="0" t="n">
        <f aca="false">6*J2155+(J2155-K2155-M2155)+2*L2155+3*N2155</f>
        <v>23</v>
      </c>
      <c r="P2155" s="0" t="n">
        <f aca="true">RAND()</f>
        <v>0.278777094624935</v>
      </c>
      <c r="Q2155" s="0" t="n">
        <f aca="true">RAND()</f>
        <v>0.24176535227566</v>
      </c>
      <c r="R2155" s="0" t="n">
        <f aca="false">IF($I2155&lt;&gt;$O2155,0,IF(P2155&lt;Matchup!$B$39,7,IF(P2155&lt;Matchup!$B$39+Matchup!$B$40,3,0)))</f>
        <v>0</v>
      </c>
      <c r="S2155" s="0" t="n">
        <f aca="false">IF($I2155&lt;&gt;$O2155,0,IF(Q2155&lt;Matchup!$C$39,7,IF(Q2155&lt;Matchup!$C$39+Matchup!$C$40,3,0)))</f>
        <v>0</v>
      </c>
      <c r="T2155" s="0" t="n">
        <f aca="false">I2155+R2155</f>
        <v>29</v>
      </c>
      <c r="U2155" s="0" t="n">
        <f aca="false">O2155+S2155</f>
        <v>23</v>
      </c>
      <c r="V2155" s="0" t="n">
        <f aca="false">T2155-U2155</f>
        <v>6</v>
      </c>
      <c r="W2155" s="0" t="n">
        <f aca="false">T2155+U2155</f>
        <v>52</v>
      </c>
    </row>
    <row r="2156" customFormat="false" ht="15" hidden="false" customHeight="false" outlineLevel="0" collapsed="false">
      <c r="A2156" s="0" t="n">
        <v>2153</v>
      </c>
      <c r="B2156" s="0" t="n">
        <f aca="true">NORMINV(RAND(),1,Coefficients!$B$22)</f>
        <v>0.953138520391022</v>
      </c>
      <c r="C2156" s="0" t="n">
        <f aca="true">MEDIAN(8,16,ROUND(NORMINV(RAND(),Coefficients!$B$20,Coefficients!$B$21),0))</f>
        <v>10</v>
      </c>
      <c r="D2156" s="0" t="n">
        <f aca="true">CRITBINOM($C2156,MIN(0.75,Matchup!$B$39*$B2156),RAND())</f>
        <v>2</v>
      </c>
      <c r="E2156" s="0" t="n">
        <f aca="true">CRITBINOM(D2156,Coefficients!$B$30,RAND())</f>
        <v>0</v>
      </c>
      <c r="F2156" s="0" t="n">
        <f aca="true">CRITBINOM(E2156,Coefficients!$B$31,RAND())</f>
        <v>0</v>
      </c>
      <c r="G2156" s="0" t="n">
        <f aca="true">CRITBINOM(MAX(0,D2156-E2156),1-Coefficients!$B$32,RAND())</f>
        <v>0</v>
      </c>
      <c r="H2156" s="0" t="n">
        <f aca="true">CRITBINOM(MAX(0,$C2156-D2156),MIN(0.6,Matchup!$B$40*SQRT($B2156)/(1-MIN(0.75,Matchup!$B$39*$B2156))),RAND())</f>
        <v>3</v>
      </c>
      <c r="I2156" s="0" t="n">
        <f aca="false">6*D2156+(D2156-E2156-G2156)+2*F2156+3*H2156</f>
        <v>23</v>
      </c>
      <c r="J2156" s="0" t="n">
        <f aca="true">CRITBINOM($C2156,MIN(0.75,Matchup!$C$39*$B2156),RAND())</f>
        <v>1</v>
      </c>
      <c r="K2156" s="0" t="n">
        <f aca="true">CRITBINOM(J2156,Coefficients!$B$30,RAND())</f>
        <v>0</v>
      </c>
      <c r="L2156" s="0" t="n">
        <f aca="true">CRITBINOM(K2156,Coefficients!$B$31,RAND())</f>
        <v>0</v>
      </c>
      <c r="M2156" s="0" t="n">
        <f aca="true">CRITBINOM(MAX(0,J2156-K2156),1-Coefficients!$B$32,RAND())</f>
        <v>0</v>
      </c>
      <c r="N2156" s="0" t="n">
        <f aca="true">CRITBINOM(MAX(0,$C2156-J2156),MIN(0.6,Matchup!$C$40*SQRT($B2156)/(1-MIN(0.75,Matchup!$C$39*$B2156))),RAND())</f>
        <v>0</v>
      </c>
      <c r="O2156" s="0" t="n">
        <f aca="false">6*J2156+(J2156-K2156-M2156)+2*L2156+3*N2156</f>
        <v>7</v>
      </c>
      <c r="P2156" s="0" t="n">
        <f aca="true">RAND()</f>
        <v>0.357348149088082</v>
      </c>
      <c r="Q2156" s="0" t="n">
        <f aca="true">RAND()</f>
        <v>0.090147401403058</v>
      </c>
      <c r="R2156" s="0" t="n">
        <f aca="false">IF($I2156&lt;&gt;$O2156,0,IF(P2156&lt;Matchup!$B$39,7,IF(P2156&lt;Matchup!$B$39+Matchup!$B$40,3,0)))</f>
        <v>0</v>
      </c>
      <c r="S2156" s="0" t="n">
        <f aca="false">IF($I2156&lt;&gt;$O2156,0,IF(Q2156&lt;Matchup!$C$39,7,IF(Q2156&lt;Matchup!$C$39+Matchup!$C$40,3,0)))</f>
        <v>0</v>
      </c>
      <c r="T2156" s="0" t="n">
        <f aca="false">I2156+R2156</f>
        <v>23</v>
      </c>
      <c r="U2156" s="0" t="n">
        <f aca="false">O2156+S2156</f>
        <v>7</v>
      </c>
      <c r="V2156" s="0" t="n">
        <f aca="false">T2156-U2156</f>
        <v>16</v>
      </c>
      <c r="W2156" s="0" t="n">
        <f aca="false">T2156+U2156</f>
        <v>30</v>
      </c>
    </row>
    <row r="2157" customFormat="false" ht="15" hidden="false" customHeight="false" outlineLevel="0" collapsed="false">
      <c r="A2157" s="0" t="n">
        <v>2154</v>
      </c>
      <c r="B2157" s="0" t="n">
        <f aca="true">NORMINV(RAND(),1,Coefficients!$B$22)</f>
        <v>0.917866683680399</v>
      </c>
      <c r="C2157" s="0" t="n">
        <f aca="true">MEDIAN(8,16,ROUND(NORMINV(RAND(),Coefficients!$B$20,Coefficients!$B$21),0))</f>
        <v>11</v>
      </c>
      <c r="D2157" s="0" t="n">
        <f aca="true">CRITBINOM($C2157,MIN(0.75,Matchup!$B$39*$B2157),RAND())</f>
        <v>1</v>
      </c>
      <c r="E2157" s="0" t="n">
        <f aca="true">CRITBINOM(D2157,Coefficients!$B$30,RAND())</f>
        <v>0</v>
      </c>
      <c r="F2157" s="0" t="n">
        <f aca="true">CRITBINOM(E2157,Coefficients!$B$31,RAND())</f>
        <v>0</v>
      </c>
      <c r="G2157" s="0" t="n">
        <f aca="true">CRITBINOM(MAX(0,D2157-E2157),1-Coefficients!$B$32,RAND())</f>
        <v>0</v>
      </c>
      <c r="H2157" s="0" t="n">
        <f aca="true">CRITBINOM(MAX(0,$C2157-D2157),MIN(0.6,Matchup!$B$40*SQRT($B2157)/(1-MIN(0.75,Matchup!$B$39*$B2157))),RAND())</f>
        <v>1</v>
      </c>
      <c r="I2157" s="0" t="n">
        <f aca="false">6*D2157+(D2157-E2157-G2157)+2*F2157+3*H2157</f>
        <v>10</v>
      </c>
      <c r="J2157" s="0" t="n">
        <f aca="true">CRITBINOM($C2157,MIN(0.75,Matchup!$C$39*$B2157),RAND())</f>
        <v>2</v>
      </c>
      <c r="K2157" s="0" t="n">
        <f aca="true">CRITBINOM(J2157,Coefficients!$B$30,RAND())</f>
        <v>1</v>
      </c>
      <c r="L2157" s="0" t="n">
        <f aca="true">CRITBINOM(K2157,Coefficients!$B$31,RAND())</f>
        <v>0</v>
      </c>
      <c r="M2157" s="0" t="n">
        <f aca="true">CRITBINOM(MAX(0,J2157-K2157),1-Coefficients!$B$32,RAND())</f>
        <v>0</v>
      </c>
      <c r="N2157" s="0" t="n">
        <f aca="true">CRITBINOM(MAX(0,$C2157-J2157),MIN(0.6,Matchup!$C$40*SQRT($B2157)/(1-MIN(0.75,Matchup!$C$39*$B2157))),RAND())</f>
        <v>0</v>
      </c>
      <c r="O2157" s="0" t="n">
        <f aca="false">6*J2157+(J2157-K2157-M2157)+2*L2157+3*N2157</f>
        <v>13</v>
      </c>
      <c r="P2157" s="0" t="n">
        <f aca="true">RAND()</f>
        <v>0.429879849923471</v>
      </c>
      <c r="Q2157" s="0" t="n">
        <f aca="true">RAND()</f>
        <v>0.415126542213242</v>
      </c>
      <c r="R2157" s="0" t="n">
        <f aca="false">IF($I2157&lt;&gt;$O2157,0,IF(P2157&lt;Matchup!$B$39,7,IF(P2157&lt;Matchup!$B$39+Matchup!$B$40,3,0)))</f>
        <v>0</v>
      </c>
      <c r="S2157" s="0" t="n">
        <f aca="false">IF($I2157&lt;&gt;$O2157,0,IF(Q2157&lt;Matchup!$C$39,7,IF(Q2157&lt;Matchup!$C$39+Matchup!$C$40,3,0)))</f>
        <v>0</v>
      </c>
      <c r="T2157" s="0" t="n">
        <f aca="false">I2157+R2157</f>
        <v>10</v>
      </c>
      <c r="U2157" s="0" t="n">
        <f aca="false">O2157+S2157</f>
        <v>13</v>
      </c>
      <c r="V2157" s="0" t="n">
        <f aca="false">T2157-U2157</f>
        <v>-3</v>
      </c>
      <c r="W2157" s="0" t="n">
        <f aca="false">T2157+U2157</f>
        <v>23</v>
      </c>
    </row>
    <row r="2158" customFormat="false" ht="15" hidden="false" customHeight="false" outlineLevel="0" collapsed="false">
      <c r="A2158" s="0" t="n">
        <v>2155</v>
      </c>
      <c r="B2158" s="0" t="n">
        <f aca="true">NORMINV(RAND(),1,Coefficients!$B$22)</f>
        <v>0.874289533378829</v>
      </c>
      <c r="C2158" s="0" t="n">
        <f aca="true">MEDIAN(8,16,ROUND(NORMINV(RAND(),Coefficients!$B$20,Coefficients!$B$21),0))</f>
        <v>11</v>
      </c>
      <c r="D2158" s="0" t="n">
        <f aca="true">CRITBINOM($C2158,MIN(0.75,Matchup!$B$39*$B2158),RAND())</f>
        <v>2</v>
      </c>
      <c r="E2158" s="0" t="n">
        <f aca="true">CRITBINOM(D2158,Coefficients!$B$30,RAND())</f>
        <v>0</v>
      </c>
      <c r="F2158" s="0" t="n">
        <f aca="true">CRITBINOM(E2158,Coefficients!$B$31,RAND())</f>
        <v>0</v>
      </c>
      <c r="G2158" s="0" t="n">
        <f aca="true">CRITBINOM(MAX(0,D2158-E2158),1-Coefficients!$B$32,RAND())</f>
        <v>0</v>
      </c>
      <c r="H2158" s="0" t="n">
        <f aca="true">CRITBINOM(MAX(0,$C2158-D2158),MIN(0.6,Matchup!$B$40*SQRT($B2158)/(1-MIN(0.75,Matchup!$B$39*$B2158))),RAND())</f>
        <v>0</v>
      </c>
      <c r="I2158" s="0" t="n">
        <f aca="false">6*D2158+(D2158-E2158-G2158)+2*F2158+3*H2158</f>
        <v>14</v>
      </c>
      <c r="J2158" s="0" t="n">
        <f aca="true">CRITBINOM($C2158,MIN(0.75,Matchup!$C$39*$B2158),RAND())</f>
        <v>1</v>
      </c>
      <c r="K2158" s="0" t="n">
        <f aca="true">CRITBINOM(J2158,Coefficients!$B$30,RAND())</f>
        <v>0</v>
      </c>
      <c r="L2158" s="0" t="n">
        <f aca="true">CRITBINOM(K2158,Coefficients!$B$31,RAND())</f>
        <v>0</v>
      </c>
      <c r="M2158" s="0" t="n">
        <f aca="true">CRITBINOM(MAX(0,J2158-K2158),1-Coefficients!$B$32,RAND())</f>
        <v>0</v>
      </c>
      <c r="N2158" s="0" t="n">
        <f aca="true">CRITBINOM(MAX(0,$C2158-J2158),MIN(0.6,Matchup!$C$40*SQRT($B2158)/(1-MIN(0.75,Matchup!$C$39*$B2158))),RAND())</f>
        <v>1</v>
      </c>
      <c r="O2158" s="0" t="n">
        <f aca="false">6*J2158+(J2158-K2158-M2158)+2*L2158+3*N2158</f>
        <v>10</v>
      </c>
      <c r="P2158" s="0" t="n">
        <f aca="true">RAND()</f>
        <v>0.993599643361273</v>
      </c>
      <c r="Q2158" s="0" t="n">
        <f aca="true">RAND()</f>
        <v>0.357705377092721</v>
      </c>
      <c r="R2158" s="0" t="n">
        <f aca="false">IF($I2158&lt;&gt;$O2158,0,IF(P2158&lt;Matchup!$B$39,7,IF(P2158&lt;Matchup!$B$39+Matchup!$B$40,3,0)))</f>
        <v>0</v>
      </c>
      <c r="S2158" s="0" t="n">
        <f aca="false">IF($I2158&lt;&gt;$O2158,0,IF(Q2158&lt;Matchup!$C$39,7,IF(Q2158&lt;Matchup!$C$39+Matchup!$C$40,3,0)))</f>
        <v>0</v>
      </c>
      <c r="T2158" s="0" t="n">
        <f aca="false">I2158+R2158</f>
        <v>14</v>
      </c>
      <c r="U2158" s="0" t="n">
        <f aca="false">O2158+S2158</f>
        <v>10</v>
      </c>
      <c r="V2158" s="0" t="n">
        <f aca="false">T2158-U2158</f>
        <v>4</v>
      </c>
      <c r="W2158" s="0" t="n">
        <f aca="false">T2158+U2158</f>
        <v>24</v>
      </c>
    </row>
    <row r="2159" customFormat="false" ht="15" hidden="false" customHeight="false" outlineLevel="0" collapsed="false">
      <c r="A2159" s="0" t="n">
        <v>2156</v>
      </c>
      <c r="B2159" s="0" t="n">
        <f aca="true">NORMINV(RAND(),1,Coefficients!$B$22)</f>
        <v>0.981739071489852</v>
      </c>
      <c r="C2159" s="0" t="n">
        <f aca="true">MEDIAN(8,16,ROUND(NORMINV(RAND(),Coefficients!$B$20,Coefficients!$B$21),0))</f>
        <v>12</v>
      </c>
      <c r="D2159" s="0" t="n">
        <f aca="true">CRITBINOM($C2159,MIN(0.75,Matchup!$B$39*$B2159),RAND())</f>
        <v>4</v>
      </c>
      <c r="E2159" s="0" t="n">
        <f aca="true">CRITBINOM(D2159,Coefficients!$B$30,RAND())</f>
        <v>1</v>
      </c>
      <c r="F2159" s="0" t="n">
        <f aca="true">CRITBINOM(E2159,Coefficients!$B$31,RAND())</f>
        <v>1</v>
      </c>
      <c r="G2159" s="0" t="n">
        <f aca="true">CRITBINOM(MAX(0,D2159-E2159),1-Coefficients!$B$32,RAND())</f>
        <v>1</v>
      </c>
      <c r="H2159" s="0" t="n">
        <f aca="true">CRITBINOM(MAX(0,$C2159-D2159),MIN(0.6,Matchup!$B$40*SQRT($B2159)/(1-MIN(0.75,Matchup!$B$39*$B2159))),RAND())</f>
        <v>0</v>
      </c>
      <c r="I2159" s="0" t="n">
        <f aca="false">6*D2159+(D2159-E2159-G2159)+2*F2159+3*H2159</f>
        <v>28</v>
      </c>
      <c r="J2159" s="0" t="n">
        <f aca="true">CRITBINOM($C2159,MIN(0.75,Matchup!$C$39*$B2159),RAND())</f>
        <v>3</v>
      </c>
      <c r="K2159" s="0" t="n">
        <f aca="true">CRITBINOM(J2159,Coefficients!$B$30,RAND())</f>
        <v>0</v>
      </c>
      <c r="L2159" s="0" t="n">
        <f aca="true">CRITBINOM(K2159,Coefficients!$B$31,RAND())</f>
        <v>0</v>
      </c>
      <c r="M2159" s="0" t="n">
        <f aca="true">CRITBINOM(MAX(0,J2159-K2159),1-Coefficients!$B$32,RAND())</f>
        <v>1</v>
      </c>
      <c r="N2159" s="0" t="n">
        <f aca="true">CRITBINOM(MAX(0,$C2159-J2159),MIN(0.6,Matchup!$C$40*SQRT($B2159)/(1-MIN(0.75,Matchup!$C$39*$B2159))),RAND())</f>
        <v>2</v>
      </c>
      <c r="O2159" s="0" t="n">
        <f aca="false">6*J2159+(J2159-K2159-M2159)+2*L2159+3*N2159</f>
        <v>26</v>
      </c>
      <c r="P2159" s="0" t="n">
        <f aca="true">RAND()</f>
        <v>0.26416584993285</v>
      </c>
      <c r="Q2159" s="0" t="n">
        <f aca="true">RAND()</f>
        <v>0.855608133953803</v>
      </c>
      <c r="R2159" s="0" t="n">
        <f aca="false">IF($I2159&lt;&gt;$O2159,0,IF(P2159&lt;Matchup!$B$39,7,IF(P2159&lt;Matchup!$B$39+Matchup!$B$40,3,0)))</f>
        <v>0</v>
      </c>
      <c r="S2159" s="0" t="n">
        <f aca="false">IF($I2159&lt;&gt;$O2159,0,IF(Q2159&lt;Matchup!$C$39,7,IF(Q2159&lt;Matchup!$C$39+Matchup!$C$40,3,0)))</f>
        <v>0</v>
      </c>
      <c r="T2159" s="0" t="n">
        <f aca="false">I2159+R2159</f>
        <v>28</v>
      </c>
      <c r="U2159" s="0" t="n">
        <f aca="false">O2159+S2159</f>
        <v>26</v>
      </c>
      <c r="V2159" s="0" t="n">
        <f aca="false">T2159-U2159</f>
        <v>2</v>
      </c>
      <c r="W2159" s="0" t="n">
        <f aca="false">T2159+U2159</f>
        <v>54</v>
      </c>
    </row>
    <row r="2160" customFormat="false" ht="15" hidden="false" customHeight="false" outlineLevel="0" collapsed="false">
      <c r="A2160" s="0" t="n">
        <v>2157</v>
      </c>
      <c r="B2160" s="0" t="n">
        <f aca="true">NORMINV(RAND(),1,Coefficients!$B$22)</f>
        <v>1.09694712558132</v>
      </c>
      <c r="C2160" s="0" t="n">
        <f aca="true">MEDIAN(8,16,ROUND(NORMINV(RAND(),Coefficients!$B$20,Coefficients!$B$21),0))</f>
        <v>13</v>
      </c>
      <c r="D2160" s="0" t="n">
        <f aca="true">CRITBINOM($C2160,MIN(0.75,Matchup!$B$39*$B2160),RAND())</f>
        <v>5</v>
      </c>
      <c r="E2160" s="0" t="n">
        <f aca="true">CRITBINOM(D2160,Coefficients!$B$30,RAND())</f>
        <v>1</v>
      </c>
      <c r="F2160" s="0" t="n">
        <f aca="true">CRITBINOM(E2160,Coefficients!$B$31,RAND())</f>
        <v>0</v>
      </c>
      <c r="G2160" s="0" t="n">
        <f aca="true">CRITBINOM(MAX(0,D2160-E2160),1-Coefficients!$B$32,RAND())</f>
        <v>2</v>
      </c>
      <c r="H2160" s="0" t="n">
        <f aca="true">CRITBINOM(MAX(0,$C2160-D2160),MIN(0.6,Matchup!$B$40*SQRT($B2160)/(1-MIN(0.75,Matchup!$B$39*$B2160))),RAND())</f>
        <v>2</v>
      </c>
      <c r="I2160" s="0" t="n">
        <f aca="false">6*D2160+(D2160-E2160-G2160)+2*F2160+3*H2160</f>
        <v>38</v>
      </c>
      <c r="J2160" s="0" t="n">
        <f aca="true">CRITBINOM($C2160,MIN(0.75,Matchup!$C$39*$B2160),RAND())</f>
        <v>3</v>
      </c>
      <c r="K2160" s="0" t="n">
        <f aca="true">CRITBINOM(J2160,Coefficients!$B$30,RAND())</f>
        <v>0</v>
      </c>
      <c r="L2160" s="0" t="n">
        <f aca="true">CRITBINOM(K2160,Coefficients!$B$31,RAND())</f>
        <v>0</v>
      </c>
      <c r="M2160" s="0" t="n">
        <f aca="true">CRITBINOM(MAX(0,J2160-K2160),1-Coefficients!$B$32,RAND())</f>
        <v>0</v>
      </c>
      <c r="N2160" s="0" t="n">
        <f aca="true">CRITBINOM(MAX(0,$C2160-J2160),MIN(0.6,Matchup!$C$40*SQRT($B2160)/(1-MIN(0.75,Matchup!$C$39*$B2160))),RAND())</f>
        <v>5</v>
      </c>
      <c r="O2160" s="0" t="n">
        <f aca="false">6*J2160+(J2160-K2160-M2160)+2*L2160+3*N2160</f>
        <v>36</v>
      </c>
      <c r="P2160" s="0" t="n">
        <f aca="true">RAND()</f>
        <v>0.639169722650947</v>
      </c>
      <c r="Q2160" s="0" t="n">
        <f aca="true">RAND()</f>
        <v>0.362412134950437</v>
      </c>
      <c r="R2160" s="0" t="n">
        <f aca="false">IF($I2160&lt;&gt;$O2160,0,IF(P2160&lt;Matchup!$B$39,7,IF(P2160&lt;Matchup!$B$39+Matchup!$B$40,3,0)))</f>
        <v>0</v>
      </c>
      <c r="S2160" s="0" t="n">
        <f aca="false">IF($I2160&lt;&gt;$O2160,0,IF(Q2160&lt;Matchup!$C$39,7,IF(Q2160&lt;Matchup!$C$39+Matchup!$C$40,3,0)))</f>
        <v>0</v>
      </c>
      <c r="T2160" s="0" t="n">
        <f aca="false">I2160+R2160</f>
        <v>38</v>
      </c>
      <c r="U2160" s="0" t="n">
        <f aca="false">O2160+S2160</f>
        <v>36</v>
      </c>
      <c r="V2160" s="0" t="n">
        <f aca="false">T2160-U2160</f>
        <v>2</v>
      </c>
      <c r="W2160" s="0" t="n">
        <f aca="false">T2160+U2160</f>
        <v>74</v>
      </c>
    </row>
    <row r="2161" customFormat="false" ht="15" hidden="false" customHeight="false" outlineLevel="0" collapsed="false">
      <c r="A2161" s="0" t="n">
        <v>2158</v>
      </c>
      <c r="B2161" s="0" t="n">
        <f aca="true">NORMINV(RAND(),1,Coefficients!$B$22)</f>
        <v>1.00812717922477</v>
      </c>
      <c r="C2161" s="0" t="n">
        <f aca="true">MEDIAN(8,16,ROUND(NORMINV(RAND(),Coefficients!$B$20,Coefficients!$B$21),0))</f>
        <v>13</v>
      </c>
      <c r="D2161" s="0" t="n">
        <f aca="true">CRITBINOM($C2161,MIN(0.75,Matchup!$B$39*$B2161),RAND())</f>
        <v>4</v>
      </c>
      <c r="E2161" s="0" t="n">
        <f aca="true">CRITBINOM(D2161,Coefficients!$B$30,RAND())</f>
        <v>0</v>
      </c>
      <c r="F2161" s="0" t="n">
        <f aca="true">CRITBINOM(E2161,Coefficients!$B$31,RAND())</f>
        <v>0</v>
      </c>
      <c r="G2161" s="0" t="n">
        <f aca="true">CRITBINOM(MAX(0,D2161-E2161),1-Coefficients!$B$32,RAND())</f>
        <v>1</v>
      </c>
      <c r="H2161" s="0" t="n">
        <f aca="true">CRITBINOM(MAX(0,$C2161-D2161),MIN(0.6,Matchup!$B$40*SQRT($B2161)/(1-MIN(0.75,Matchup!$B$39*$B2161))),RAND())</f>
        <v>0</v>
      </c>
      <c r="I2161" s="0" t="n">
        <f aca="false">6*D2161+(D2161-E2161-G2161)+2*F2161+3*H2161</f>
        <v>27</v>
      </c>
      <c r="J2161" s="0" t="n">
        <f aca="true">CRITBINOM($C2161,MIN(0.75,Matchup!$C$39*$B2161),RAND())</f>
        <v>4</v>
      </c>
      <c r="K2161" s="0" t="n">
        <f aca="true">CRITBINOM(J2161,Coefficients!$B$30,RAND())</f>
        <v>0</v>
      </c>
      <c r="L2161" s="0" t="n">
        <f aca="true">CRITBINOM(K2161,Coefficients!$B$31,RAND())</f>
        <v>0</v>
      </c>
      <c r="M2161" s="0" t="n">
        <f aca="true">CRITBINOM(MAX(0,J2161-K2161),1-Coefficients!$B$32,RAND())</f>
        <v>0</v>
      </c>
      <c r="N2161" s="0" t="n">
        <f aca="true">CRITBINOM(MAX(0,$C2161-J2161),MIN(0.6,Matchup!$C$40*SQRT($B2161)/(1-MIN(0.75,Matchup!$C$39*$B2161))),RAND())</f>
        <v>0</v>
      </c>
      <c r="O2161" s="0" t="n">
        <f aca="false">6*J2161+(J2161-K2161-M2161)+2*L2161+3*N2161</f>
        <v>28</v>
      </c>
      <c r="P2161" s="0" t="n">
        <f aca="true">RAND()</f>
        <v>0.0866049702580779</v>
      </c>
      <c r="Q2161" s="0" t="n">
        <f aca="true">RAND()</f>
        <v>0.820795037735185</v>
      </c>
      <c r="R2161" s="0" t="n">
        <f aca="false">IF($I2161&lt;&gt;$O2161,0,IF(P2161&lt;Matchup!$B$39,7,IF(P2161&lt;Matchup!$B$39+Matchup!$B$40,3,0)))</f>
        <v>0</v>
      </c>
      <c r="S2161" s="0" t="n">
        <f aca="false">IF($I2161&lt;&gt;$O2161,0,IF(Q2161&lt;Matchup!$C$39,7,IF(Q2161&lt;Matchup!$C$39+Matchup!$C$40,3,0)))</f>
        <v>0</v>
      </c>
      <c r="T2161" s="0" t="n">
        <f aca="false">I2161+R2161</f>
        <v>27</v>
      </c>
      <c r="U2161" s="0" t="n">
        <f aca="false">O2161+S2161</f>
        <v>28</v>
      </c>
      <c r="V2161" s="0" t="n">
        <f aca="false">T2161-U2161</f>
        <v>-1</v>
      </c>
      <c r="W2161" s="0" t="n">
        <f aca="false">T2161+U2161</f>
        <v>55</v>
      </c>
    </row>
    <row r="2162" customFormat="false" ht="15" hidden="false" customHeight="false" outlineLevel="0" collapsed="false">
      <c r="A2162" s="0" t="n">
        <v>2159</v>
      </c>
      <c r="B2162" s="0" t="n">
        <f aca="true">NORMINV(RAND(),1,Coefficients!$B$22)</f>
        <v>1.09487085001147</v>
      </c>
      <c r="C2162" s="0" t="n">
        <f aca="true">MEDIAN(8,16,ROUND(NORMINV(RAND(),Coefficients!$B$20,Coefficients!$B$21),0))</f>
        <v>11</v>
      </c>
      <c r="D2162" s="0" t="n">
        <f aca="true">CRITBINOM($C2162,MIN(0.75,Matchup!$B$39*$B2162),RAND())</f>
        <v>2</v>
      </c>
      <c r="E2162" s="0" t="n">
        <f aca="true">CRITBINOM(D2162,Coefficients!$B$30,RAND())</f>
        <v>0</v>
      </c>
      <c r="F2162" s="0" t="n">
        <f aca="true">CRITBINOM(E2162,Coefficients!$B$31,RAND())</f>
        <v>0</v>
      </c>
      <c r="G2162" s="0" t="n">
        <f aca="true">CRITBINOM(MAX(0,D2162-E2162),1-Coefficients!$B$32,RAND())</f>
        <v>0</v>
      </c>
      <c r="H2162" s="0" t="n">
        <f aca="true">CRITBINOM(MAX(0,$C2162-D2162),MIN(0.6,Matchup!$B$40*SQRT($B2162)/(1-MIN(0.75,Matchup!$B$39*$B2162))),RAND())</f>
        <v>1</v>
      </c>
      <c r="I2162" s="0" t="n">
        <f aca="false">6*D2162+(D2162-E2162-G2162)+2*F2162+3*H2162</f>
        <v>17</v>
      </c>
      <c r="J2162" s="0" t="n">
        <f aca="true">CRITBINOM($C2162,MIN(0.75,Matchup!$C$39*$B2162),RAND())</f>
        <v>2</v>
      </c>
      <c r="K2162" s="0" t="n">
        <f aca="true">CRITBINOM(J2162,Coefficients!$B$30,RAND())</f>
        <v>0</v>
      </c>
      <c r="L2162" s="0" t="n">
        <f aca="true">CRITBINOM(K2162,Coefficients!$B$31,RAND())</f>
        <v>0</v>
      </c>
      <c r="M2162" s="0" t="n">
        <f aca="true">CRITBINOM(MAX(0,J2162-K2162),1-Coefficients!$B$32,RAND())</f>
        <v>0</v>
      </c>
      <c r="N2162" s="0" t="n">
        <f aca="true">CRITBINOM(MAX(0,$C2162-J2162),MIN(0.6,Matchup!$C$40*SQRT($B2162)/(1-MIN(0.75,Matchup!$C$39*$B2162))),RAND())</f>
        <v>1</v>
      </c>
      <c r="O2162" s="0" t="n">
        <f aca="false">6*J2162+(J2162-K2162-M2162)+2*L2162+3*N2162</f>
        <v>17</v>
      </c>
      <c r="P2162" s="0" t="n">
        <f aca="true">RAND()</f>
        <v>0.153664420773715</v>
      </c>
      <c r="Q2162" s="0" t="n">
        <f aca="true">RAND()</f>
        <v>0.387087926923284</v>
      </c>
      <c r="R2162" s="0" t="n">
        <f aca="false">IF($I2162&lt;&gt;$O2162,0,IF(P2162&lt;Matchup!$B$39,7,IF(P2162&lt;Matchup!$B$39+Matchup!$B$40,3,0)))</f>
        <v>7</v>
      </c>
      <c r="S2162" s="0" t="n">
        <f aca="false">IF($I2162&lt;&gt;$O2162,0,IF(Q2162&lt;Matchup!$C$39,7,IF(Q2162&lt;Matchup!$C$39+Matchup!$C$40,3,0)))</f>
        <v>0</v>
      </c>
      <c r="T2162" s="0" t="n">
        <f aca="false">I2162+R2162</f>
        <v>24</v>
      </c>
      <c r="U2162" s="0" t="n">
        <f aca="false">O2162+S2162</f>
        <v>17</v>
      </c>
      <c r="V2162" s="0" t="n">
        <f aca="false">T2162-U2162</f>
        <v>7</v>
      </c>
      <c r="W2162" s="0" t="n">
        <f aca="false">T2162+U2162</f>
        <v>41</v>
      </c>
    </row>
    <row r="2163" customFormat="false" ht="15" hidden="false" customHeight="false" outlineLevel="0" collapsed="false">
      <c r="A2163" s="0" t="n">
        <v>2160</v>
      </c>
      <c r="B2163" s="0" t="n">
        <f aca="true">NORMINV(RAND(),1,Coefficients!$B$22)</f>
        <v>0.995243000684203</v>
      </c>
      <c r="C2163" s="0" t="n">
        <f aca="true">MEDIAN(8,16,ROUND(NORMINV(RAND(),Coefficients!$B$20,Coefficients!$B$21),0))</f>
        <v>10</v>
      </c>
      <c r="D2163" s="0" t="n">
        <f aca="true">CRITBINOM($C2163,MIN(0.75,Matchup!$B$39*$B2163),RAND())</f>
        <v>2</v>
      </c>
      <c r="E2163" s="0" t="n">
        <f aca="true">CRITBINOM(D2163,Coefficients!$B$30,RAND())</f>
        <v>0</v>
      </c>
      <c r="F2163" s="0" t="n">
        <f aca="true">CRITBINOM(E2163,Coefficients!$B$31,RAND())</f>
        <v>0</v>
      </c>
      <c r="G2163" s="0" t="n">
        <f aca="true">CRITBINOM(MAX(0,D2163-E2163),1-Coefficients!$B$32,RAND())</f>
        <v>0</v>
      </c>
      <c r="H2163" s="0" t="n">
        <f aca="true">CRITBINOM(MAX(0,$C2163-D2163),MIN(0.6,Matchup!$B$40*SQRT($B2163)/(1-MIN(0.75,Matchup!$B$39*$B2163))),RAND())</f>
        <v>1</v>
      </c>
      <c r="I2163" s="0" t="n">
        <f aca="false">6*D2163+(D2163-E2163-G2163)+2*F2163+3*H2163</f>
        <v>17</v>
      </c>
      <c r="J2163" s="0" t="n">
        <f aca="true">CRITBINOM($C2163,MIN(0.75,Matchup!$C$39*$B2163),RAND())</f>
        <v>3</v>
      </c>
      <c r="K2163" s="0" t="n">
        <f aca="true">CRITBINOM(J2163,Coefficients!$B$30,RAND())</f>
        <v>0</v>
      </c>
      <c r="L2163" s="0" t="n">
        <f aca="true">CRITBINOM(K2163,Coefficients!$B$31,RAND())</f>
        <v>0</v>
      </c>
      <c r="M2163" s="0" t="n">
        <f aca="true">CRITBINOM(MAX(0,J2163-K2163),1-Coefficients!$B$32,RAND())</f>
        <v>0</v>
      </c>
      <c r="N2163" s="0" t="n">
        <f aca="true">CRITBINOM(MAX(0,$C2163-J2163),MIN(0.6,Matchup!$C$40*SQRT($B2163)/(1-MIN(0.75,Matchup!$C$39*$B2163))),RAND())</f>
        <v>1</v>
      </c>
      <c r="O2163" s="0" t="n">
        <f aca="false">6*J2163+(J2163-K2163-M2163)+2*L2163+3*N2163</f>
        <v>24</v>
      </c>
      <c r="P2163" s="0" t="n">
        <f aca="true">RAND()</f>
        <v>0.699356577345599</v>
      </c>
      <c r="Q2163" s="0" t="n">
        <f aca="true">RAND()</f>
        <v>0.290985366148421</v>
      </c>
      <c r="R2163" s="0" t="n">
        <f aca="false">IF($I2163&lt;&gt;$O2163,0,IF(P2163&lt;Matchup!$B$39,7,IF(P2163&lt;Matchup!$B$39+Matchup!$B$40,3,0)))</f>
        <v>0</v>
      </c>
      <c r="S2163" s="0" t="n">
        <f aca="false">IF($I2163&lt;&gt;$O2163,0,IF(Q2163&lt;Matchup!$C$39,7,IF(Q2163&lt;Matchup!$C$39+Matchup!$C$40,3,0)))</f>
        <v>0</v>
      </c>
      <c r="T2163" s="0" t="n">
        <f aca="false">I2163+R2163</f>
        <v>17</v>
      </c>
      <c r="U2163" s="0" t="n">
        <f aca="false">O2163+S2163</f>
        <v>24</v>
      </c>
      <c r="V2163" s="0" t="n">
        <f aca="false">T2163-U2163</f>
        <v>-7</v>
      </c>
      <c r="W2163" s="0" t="n">
        <f aca="false">T2163+U2163</f>
        <v>41</v>
      </c>
    </row>
    <row r="2164" customFormat="false" ht="15" hidden="false" customHeight="false" outlineLevel="0" collapsed="false">
      <c r="A2164" s="0" t="n">
        <v>2161</v>
      </c>
      <c r="B2164" s="0" t="n">
        <f aca="true">NORMINV(RAND(),1,Coefficients!$B$22)</f>
        <v>0.950574308286491</v>
      </c>
      <c r="C2164" s="0" t="n">
        <f aca="true">MEDIAN(8,16,ROUND(NORMINV(RAND(),Coefficients!$B$20,Coefficients!$B$21),0))</f>
        <v>9</v>
      </c>
      <c r="D2164" s="0" t="n">
        <f aca="true">CRITBINOM($C2164,MIN(0.75,Matchup!$B$39*$B2164),RAND())</f>
        <v>2</v>
      </c>
      <c r="E2164" s="0" t="n">
        <f aca="true">CRITBINOM(D2164,Coefficients!$B$30,RAND())</f>
        <v>1</v>
      </c>
      <c r="F2164" s="0" t="n">
        <f aca="true">CRITBINOM(E2164,Coefficients!$B$31,RAND())</f>
        <v>0</v>
      </c>
      <c r="G2164" s="0" t="n">
        <f aca="true">CRITBINOM(MAX(0,D2164-E2164),1-Coefficients!$B$32,RAND())</f>
        <v>0</v>
      </c>
      <c r="H2164" s="0" t="n">
        <f aca="true">CRITBINOM(MAX(0,$C2164-D2164),MIN(0.6,Matchup!$B$40*SQRT($B2164)/(1-MIN(0.75,Matchup!$B$39*$B2164))),RAND())</f>
        <v>0</v>
      </c>
      <c r="I2164" s="0" t="n">
        <f aca="false">6*D2164+(D2164-E2164-G2164)+2*F2164+3*H2164</f>
        <v>13</v>
      </c>
      <c r="J2164" s="0" t="n">
        <f aca="true">CRITBINOM($C2164,MIN(0.75,Matchup!$C$39*$B2164),RAND())</f>
        <v>4</v>
      </c>
      <c r="K2164" s="0" t="n">
        <f aca="true">CRITBINOM(J2164,Coefficients!$B$30,RAND())</f>
        <v>0</v>
      </c>
      <c r="L2164" s="0" t="n">
        <f aca="true">CRITBINOM(K2164,Coefficients!$B$31,RAND())</f>
        <v>0</v>
      </c>
      <c r="M2164" s="0" t="n">
        <f aca="true">CRITBINOM(MAX(0,J2164-K2164),1-Coefficients!$B$32,RAND())</f>
        <v>0</v>
      </c>
      <c r="N2164" s="0" t="n">
        <f aca="true">CRITBINOM(MAX(0,$C2164-J2164),MIN(0.6,Matchup!$C$40*SQRT($B2164)/(1-MIN(0.75,Matchup!$C$39*$B2164))),RAND())</f>
        <v>1</v>
      </c>
      <c r="O2164" s="0" t="n">
        <f aca="false">6*J2164+(J2164-K2164-M2164)+2*L2164+3*N2164</f>
        <v>31</v>
      </c>
      <c r="P2164" s="0" t="n">
        <f aca="true">RAND()</f>
        <v>0.914601683239955</v>
      </c>
      <c r="Q2164" s="0" t="n">
        <f aca="true">RAND()</f>
        <v>0.933489803234631</v>
      </c>
      <c r="R2164" s="0" t="n">
        <f aca="false">IF($I2164&lt;&gt;$O2164,0,IF(P2164&lt;Matchup!$B$39,7,IF(P2164&lt;Matchup!$B$39+Matchup!$B$40,3,0)))</f>
        <v>0</v>
      </c>
      <c r="S2164" s="0" t="n">
        <f aca="false">IF($I2164&lt;&gt;$O2164,0,IF(Q2164&lt;Matchup!$C$39,7,IF(Q2164&lt;Matchup!$C$39+Matchup!$C$40,3,0)))</f>
        <v>0</v>
      </c>
      <c r="T2164" s="0" t="n">
        <f aca="false">I2164+R2164</f>
        <v>13</v>
      </c>
      <c r="U2164" s="0" t="n">
        <f aca="false">O2164+S2164</f>
        <v>31</v>
      </c>
      <c r="V2164" s="0" t="n">
        <f aca="false">T2164-U2164</f>
        <v>-18</v>
      </c>
      <c r="W2164" s="0" t="n">
        <f aca="false">T2164+U2164</f>
        <v>44</v>
      </c>
    </row>
    <row r="2165" customFormat="false" ht="15" hidden="false" customHeight="false" outlineLevel="0" collapsed="false">
      <c r="A2165" s="0" t="n">
        <v>2162</v>
      </c>
      <c r="B2165" s="0" t="n">
        <f aca="true">NORMINV(RAND(),1,Coefficients!$B$22)</f>
        <v>0.811488440897734</v>
      </c>
      <c r="C2165" s="0" t="n">
        <f aca="true">MEDIAN(8,16,ROUND(NORMINV(RAND(),Coefficients!$B$20,Coefficients!$B$21),0))</f>
        <v>12</v>
      </c>
      <c r="D2165" s="0" t="n">
        <f aca="true">CRITBINOM($C2165,MIN(0.75,Matchup!$B$39*$B2165),RAND())</f>
        <v>2</v>
      </c>
      <c r="E2165" s="0" t="n">
        <f aca="true">CRITBINOM(D2165,Coefficients!$B$30,RAND())</f>
        <v>0</v>
      </c>
      <c r="F2165" s="0" t="n">
        <f aca="true">CRITBINOM(E2165,Coefficients!$B$31,RAND())</f>
        <v>0</v>
      </c>
      <c r="G2165" s="0" t="n">
        <f aca="true">CRITBINOM(MAX(0,D2165-E2165),1-Coefficients!$B$32,RAND())</f>
        <v>0</v>
      </c>
      <c r="H2165" s="0" t="n">
        <f aca="true">CRITBINOM(MAX(0,$C2165-D2165),MIN(0.6,Matchup!$B$40*SQRT($B2165)/(1-MIN(0.75,Matchup!$B$39*$B2165))),RAND())</f>
        <v>2</v>
      </c>
      <c r="I2165" s="0" t="n">
        <f aca="false">6*D2165+(D2165-E2165-G2165)+2*F2165+3*H2165</f>
        <v>20</v>
      </c>
      <c r="J2165" s="0" t="n">
        <f aca="true">CRITBINOM($C2165,MIN(0.75,Matchup!$C$39*$B2165),RAND())</f>
        <v>0</v>
      </c>
      <c r="K2165" s="0" t="n">
        <f aca="true">CRITBINOM(J2165,Coefficients!$B$30,RAND())</f>
        <v>0</v>
      </c>
      <c r="L2165" s="0" t="n">
        <f aca="true">CRITBINOM(K2165,Coefficients!$B$31,RAND())</f>
        <v>0</v>
      </c>
      <c r="M2165" s="0" t="n">
        <f aca="true">CRITBINOM(MAX(0,J2165-K2165),1-Coefficients!$B$32,RAND())</f>
        <v>0</v>
      </c>
      <c r="N2165" s="0" t="n">
        <f aca="true">CRITBINOM(MAX(0,$C2165-J2165),MIN(0.6,Matchup!$C$40*SQRT($B2165)/(1-MIN(0.75,Matchup!$C$39*$B2165))),RAND())</f>
        <v>3</v>
      </c>
      <c r="O2165" s="0" t="n">
        <f aca="false">6*J2165+(J2165-K2165-M2165)+2*L2165+3*N2165</f>
        <v>9</v>
      </c>
      <c r="P2165" s="0" t="n">
        <f aca="true">RAND()</f>
        <v>0.952858442342672</v>
      </c>
      <c r="Q2165" s="0" t="n">
        <f aca="true">RAND()</f>
        <v>0.964816757454055</v>
      </c>
      <c r="R2165" s="0" t="n">
        <f aca="false">IF($I2165&lt;&gt;$O2165,0,IF(P2165&lt;Matchup!$B$39,7,IF(P2165&lt;Matchup!$B$39+Matchup!$B$40,3,0)))</f>
        <v>0</v>
      </c>
      <c r="S2165" s="0" t="n">
        <f aca="false">IF($I2165&lt;&gt;$O2165,0,IF(Q2165&lt;Matchup!$C$39,7,IF(Q2165&lt;Matchup!$C$39+Matchup!$C$40,3,0)))</f>
        <v>0</v>
      </c>
      <c r="T2165" s="0" t="n">
        <f aca="false">I2165+R2165</f>
        <v>20</v>
      </c>
      <c r="U2165" s="0" t="n">
        <f aca="false">O2165+S2165</f>
        <v>9</v>
      </c>
      <c r="V2165" s="0" t="n">
        <f aca="false">T2165-U2165</f>
        <v>11</v>
      </c>
      <c r="W2165" s="0" t="n">
        <f aca="false">T2165+U2165</f>
        <v>29</v>
      </c>
    </row>
    <row r="2166" customFormat="false" ht="15" hidden="false" customHeight="false" outlineLevel="0" collapsed="false">
      <c r="A2166" s="0" t="n">
        <v>2163</v>
      </c>
      <c r="B2166" s="0" t="n">
        <f aca="true">NORMINV(RAND(),1,Coefficients!$B$22)</f>
        <v>1.04616494491639</v>
      </c>
      <c r="C2166" s="0" t="n">
        <f aca="true">MEDIAN(8,16,ROUND(NORMINV(RAND(),Coefficients!$B$20,Coefficients!$B$21),0))</f>
        <v>10</v>
      </c>
      <c r="D2166" s="0" t="n">
        <f aca="true">CRITBINOM($C2166,MIN(0.75,Matchup!$B$39*$B2166),RAND())</f>
        <v>4</v>
      </c>
      <c r="E2166" s="0" t="n">
        <f aca="true">CRITBINOM(D2166,Coefficients!$B$30,RAND())</f>
        <v>1</v>
      </c>
      <c r="F2166" s="0" t="n">
        <f aca="true">CRITBINOM(E2166,Coefficients!$B$31,RAND())</f>
        <v>0</v>
      </c>
      <c r="G2166" s="0" t="n">
        <f aca="true">CRITBINOM(MAX(0,D2166-E2166),1-Coefficients!$B$32,RAND())</f>
        <v>0</v>
      </c>
      <c r="H2166" s="0" t="n">
        <f aca="true">CRITBINOM(MAX(0,$C2166-D2166),MIN(0.6,Matchup!$B$40*SQRT($B2166)/(1-MIN(0.75,Matchup!$B$39*$B2166))),RAND())</f>
        <v>1</v>
      </c>
      <c r="I2166" s="0" t="n">
        <f aca="false">6*D2166+(D2166-E2166-G2166)+2*F2166+3*H2166</f>
        <v>30</v>
      </c>
      <c r="J2166" s="0" t="n">
        <f aca="true">CRITBINOM($C2166,MIN(0.75,Matchup!$C$39*$B2166),RAND())</f>
        <v>1</v>
      </c>
      <c r="K2166" s="0" t="n">
        <f aca="true">CRITBINOM(J2166,Coefficients!$B$30,RAND())</f>
        <v>0</v>
      </c>
      <c r="L2166" s="0" t="n">
        <f aca="true">CRITBINOM(K2166,Coefficients!$B$31,RAND())</f>
        <v>0</v>
      </c>
      <c r="M2166" s="0" t="n">
        <f aca="true">CRITBINOM(MAX(0,J2166-K2166),1-Coefficients!$B$32,RAND())</f>
        <v>0</v>
      </c>
      <c r="N2166" s="0" t="n">
        <f aca="true">CRITBINOM(MAX(0,$C2166-J2166),MIN(0.6,Matchup!$C$40*SQRT($B2166)/(1-MIN(0.75,Matchup!$C$39*$B2166))),RAND())</f>
        <v>2</v>
      </c>
      <c r="O2166" s="0" t="n">
        <f aca="false">6*J2166+(J2166-K2166-M2166)+2*L2166+3*N2166</f>
        <v>13</v>
      </c>
      <c r="P2166" s="0" t="n">
        <f aca="true">RAND()</f>
        <v>0.993941076469217</v>
      </c>
      <c r="Q2166" s="0" t="n">
        <f aca="true">RAND()</f>
        <v>0.677504676895109</v>
      </c>
      <c r="R2166" s="0" t="n">
        <f aca="false">IF($I2166&lt;&gt;$O2166,0,IF(P2166&lt;Matchup!$B$39,7,IF(P2166&lt;Matchup!$B$39+Matchup!$B$40,3,0)))</f>
        <v>0</v>
      </c>
      <c r="S2166" s="0" t="n">
        <f aca="false">IF($I2166&lt;&gt;$O2166,0,IF(Q2166&lt;Matchup!$C$39,7,IF(Q2166&lt;Matchup!$C$39+Matchup!$C$40,3,0)))</f>
        <v>0</v>
      </c>
      <c r="T2166" s="0" t="n">
        <f aca="false">I2166+R2166</f>
        <v>30</v>
      </c>
      <c r="U2166" s="0" t="n">
        <f aca="false">O2166+S2166</f>
        <v>13</v>
      </c>
      <c r="V2166" s="0" t="n">
        <f aca="false">T2166-U2166</f>
        <v>17</v>
      </c>
      <c r="W2166" s="0" t="n">
        <f aca="false">T2166+U2166</f>
        <v>43</v>
      </c>
    </row>
    <row r="2167" customFormat="false" ht="15" hidden="false" customHeight="false" outlineLevel="0" collapsed="false">
      <c r="A2167" s="0" t="n">
        <v>2164</v>
      </c>
      <c r="B2167" s="0" t="n">
        <f aca="true">NORMINV(RAND(),1,Coefficients!$B$22)</f>
        <v>0.943263069673312</v>
      </c>
      <c r="C2167" s="0" t="n">
        <f aca="true">MEDIAN(8,16,ROUND(NORMINV(RAND(),Coefficients!$B$20,Coefficients!$B$21),0))</f>
        <v>13</v>
      </c>
      <c r="D2167" s="0" t="n">
        <f aca="true">CRITBINOM($C2167,MIN(0.75,Matchup!$B$39*$B2167),RAND())</f>
        <v>3</v>
      </c>
      <c r="E2167" s="0" t="n">
        <f aca="true">CRITBINOM(D2167,Coefficients!$B$30,RAND())</f>
        <v>0</v>
      </c>
      <c r="F2167" s="0" t="n">
        <f aca="true">CRITBINOM(E2167,Coefficients!$B$31,RAND())</f>
        <v>0</v>
      </c>
      <c r="G2167" s="0" t="n">
        <f aca="true">CRITBINOM(MAX(0,D2167-E2167),1-Coefficients!$B$32,RAND())</f>
        <v>0</v>
      </c>
      <c r="H2167" s="0" t="n">
        <f aca="true">CRITBINOM(MAX(0,$C2167-D2167),MIN(0.6,Matchup!$B$40*SQRT($B2167)/(1-MIN(0.75,Matchup!$B$39*$B2167))),RAND())</f>
        <v>3</v>
      </c>
      <c r="I2167" s="0" t="n">
        <f aca="false">6*D2167+(D2167-E2167-G2167)+2*F2167+3*H2167</f>
        <v>30</v>
      </c>
      <c r="J2167" s="0" t="n">
        <f aca="true">CRITBINOM($C2167,MIN(0.75,Matchup!$C$39*$B2167),RAND())</f>
        <v>7</v>
      </c>
      <c r="K2167" s="0" t="n">
        <f aca="true">CRITBINOM(J2167,Coefficients!$B$30,RAND())</f>
        <v>1</v>
      </c>
      <c r="L2167" s="0" t="n">
        <f aca="true">CRITBINOM(K2167,Coefficients!$B$31,RAND())</f>
        <v>0</v>
      </c>
      <c r="M2167" s="0" t="n">
        <f aca="true">CRITBINOM(MAX(0,J2167-K2167),1-Coefficients!$B$32,RAND())</f>
        <v>1</v>
      </c>
      <c r="N2167" s="0" t="n">
        <f aca="true">CRITBINOM(MAX(0,$C2167-J2167),MIN(0.6,Matchup!$C$40*SQRT($B2167)/(1-MIN(0.75,Matchup!$C$39*$B2167))),RAND())</f>
        <v>1</v>
      </c>
      <c r="O2167" s="0" t="n">
        <f aca="false">6*J2167+(J2167-K2167-M2167)+2*L2167+3*N2167</f>
        <v>50</v>
      </c>
      <c r="P2167" s="0" t="n">
        <f aca="true">RAND()</f>
        <v>0.104317435735892</v>
      </c>
      <c r="Q2167" s="0" t="n">
        <f aca="true">RAND()</f>
        <v>0.721155760737797</v>
      </c>
      <c r="R2167" s="0" t="n">
        <f aca="false">IF($I2167&lt;&gt;$O2167,0,IF(P2167&lt;Matchup!$B$39,7,IF(P2167&lt;Matchup!$B$39+Matchup!$B$40,3,0)))</f>
        <v>0</v>
      </c>
      <c r="S2167" s="0" t="n">
        <f aca="false">IF($I2167&lt;&gt;$O2167,0,IF(Q2167&lt;Matchup!$C$39,7,IF(Q2167&lt;Matchup!$C$39+Matchup!$C$40,3,0)))</f>
        <v>0</v>
      </c>
      <c r="T2167" s="0" t="n">
        <f aca="false">I2167+R2167</f>
        <v>30</v>
      </c>
      <c r="U2167" s="0" t="n">
        <f aca="false">O2167+S2167</f>
        <v>50</v>
      </c>
      <c r="V2167" s="0" t="n">
        <f aca="false">T2167-U2167</f>
        <v>-20</v>
      </c>
      <c r="W2167" s="0" t="n">
        <f aca="false">T2167+U2167</f>
        <v>80</v>
      </c>
    </row>
    <row r="2168" customFormat="false" ht="15" hidden="false" customHeight="false" outlineLevel="0" collapsed="false">
      <c r="A2168" s="0" t="n">
        <v>2165</v>
      </c>
      <c r="B2168" s="0" t="n">
        <f aca="true">NORMINV(RAND(),1,Coefficients!$B$22)</f>
        <v>0.883951221833684</v>
      </c>
      <c r="C2168" s="0" t="n">
        <f aca="true">MEDIAN(8,16,ROUND(NORMINV(RAND(),Coefficients!$B$20,Coefficients!$B$21),0))</f>
        <v>12</v>
      </c>
      <c r="D2168" s="0" t="n">
        <f aca="true">CRITBINOM($C2168,MIN(0.75,Matchup!$B$39*$B2168),RAND())</f>
        <v>2</v>
      </c>
      <c r="E2168" s="0" t="n">
        <f aca="true">CRITBINOM(D2168,Coefficients!$B$30,RAND())</f>
        <v>0</v>
      </c>
      <c r="F2168" s="0" t="n">
        <f aca="true">CRITBINOM(E2168,Coefficients!$B$31,RAND())</f>
        <v>0</v>
      </c>
      <c r="G2168" s="0" t="n">
        <f aca="true">CRITBINOM(MAX(0,D2168-E2168),1-Coefficients!$B$32,RAND())</f>
        <v>0</v>
      </c>
      <c r="H2168" s="0" t="n">
        <f aca="true">CRITBINOM(MAX(0,$C2168-D2168),MIN(0.6,Matchup!$B$40*SQRT($B2168)/(1-MIN(0.75,Matchup!$B$39*$B2168))),RAND())</f>
        <v>2</v>
      </c>
      <c r="I2168" s="0" t="n">
        <f aca="false">6*D2168+(D2168-E2168-G2168)+2*F2168+3*H2168</f>
        <v>20</v>
      </c>
      <c r="J2168" s="0" t="n">
        <f aca="true">CRITBINOM($C2168,MIN(0.75,Matchup!$C$39*$B2168),RAND())</f>
        <v>2</v>
      </c>
      <c r="K2168" s="0" t="n">
        <f aca="true">CRITBINOM(J2168,Coefficients!$B$30,RAND())</f>
        <v>0</v>
      </c>
      <c r="L2168" s="0" t="n">
        <f aca="true">CRITBINOM(K2168,Coefficients!$B$31,RAND())</f>
        <v>0</v>
      </c>
      <c r="M2168" s="0" t="n">
        <f aca="true">CRITBINOM(MAX(0,J2168-K2168),1-Coefficients!$B$32,RAND())</f>
        <v>0</v>
      </c>
      <c r="N2168" s="0" t="n">
        <f aca="true">CRITBINOM(MAX(0,$C2168-J2168),MIN(0.6,Matchup!$C$40*SQRT($B2168)/(1-MIN(0.75,Matchup!$C$39*$B2168))),RAND())</f>
        <v>3</v>
      </c>
      <c r="O2168" s="0" t="n">
        <f aca="false">6*J2168+(J2168-K2168-M2168)+2*L2168+3*N2168</f>
        <v>23</v>
      </c>
      <c r="P2168" s="0" t="n">
        <f aca="true">RAND()</f>
        <v>0.204927494759074</v>
      </c>
      <c r="Q2168" s="0" t="n">
        <f aca="true">RAND()</f>
        <v>0.716480152657104</v>
      </c>
      <c r="R2168" s="0" t="n">
        <f aca="false">IF($I2168&lt;&gt;$O2168,0,IF(P2168&lt;Matchup!$B$39,7,IF(P2168&lt;Matchup!$B$39+Matchup!$B$40,3,0)))</f>
        <v>0</v>
      </c>
      <c r="S2168" s="0" t="n">
        <f aca="false">IF($I2168&lt;&gt;$O2168,0,IF(Q2168&lt;Matchup!$C$39,7,IF(Q2168&lt;Matchup!$C$39+Matchup!$C$40,3,0)))</f>
        <v>0</v>
      </c>
      <c r="T2168" s="0" t="n">
        <f aca="false">I2168+R2168</f>
        <v>20</v>
      </c>
      <c r="U2168" s="0" t="n">
        <f aca="false">O2168+S2168</f>
        <v>23</v>
      </c>
      <c r="V2168" s="0" t="n">
        <f aca="false">T2168-U2168</f>
        <v>-3</v>
      </c>
      <c r="W2168" s="0" t="n">
        <f aca="false">T2168+U2168</f>
        <v>43</v>
      </c>
    </row>
    <row r="2169" customFormat="false" ht="15" hidden="false" customHeight="false" outlineLevel="0" collapsed="false">
      <c r="A2169" s="0" t="n">
        <v>2166</v>
      </c>
      <c r="B2169" s="0" t="n">
        <f aca="true">NORMINV(RAND(),1,Coefficients!$B$22)</f>
        <v>0.927227593427275</v>
      </c>
      <c r="C2169" s="0" t="n">
        <f aca="true">MEDIAN(8,16,ROUND(NORMINV(RAND(),Coefficients!$B$20,Coefficients!$B$21),0))</f>
        <v>11</v>
      </c>
      <c r="D2169" s="0" t="n">
        <f aca="true">CRITBINOM($C2169,MIN(0.75,Matchup!$B$39*$B2169),RAND())</f>
        <v>4</v>
      </c>
      <c r="E2169" s="0" t="n">
        <f aca="true">CRITBINOM(D2169,Coefficients!$B$30,RAND())</f>
        <v>2</v>
      </c>
      <c r="F2169" s="0" t="n">
        <f aca="true">CRITBINOM(E2169,Coefficients!$B$31,RAND())</f>
        <v>1</v>
      </c>
      <c r="G2169" s="0" t="n">
        <f aca="true">CRITBINOM(MAX(0,D2169-E2169),1-Coefficients!$B$32,RAND())</f>
        <v>0</v>
      </c>
      <c r="H2169" s="0" t="n">
        <f aca="true">CRITBINOM(MAX(0,$C2169-D2169),MIN(0.6,Matchup!$B$40*SQRT($B2169)/(1-MIN(0.75,Matchup!$B$39*$B2169))),RAND())</f>
        <v>2</v>
      </c>
      <c r="I2169" s="0" t="n">
        <f aca="false">6*D2169+(D2169-E2169-G2169)+2*F2169+3*H2169</f>
        <v>34</v>
      </c>
      <c r="J2169" s="0" t="n">
        <f aca="true">CRITBINOM($C2169,MIN(0.75,Matchup!$C$39*$B2169),RAND())</f>
        <v>1</v>
      </c>
      <c r="K2169" s="0" t="n">
        <f aca="true">CRITBINOM(J2169,Coefficients!$B$30,RAND())</f>
        <v>0</v>
      </c>
      <c r="L2169" s="0" t="n">
        <f aca="true">CRITBINOM(K2169,Coefficients!$B$31,RAND())</f>
        <v>0</v>
      </c>
      <c r="M2169" s="0" t="n">
        <f aca="true">CRITBINOM(MAX(0,J2169-K2169),1-Coefficients!$B$32,RAND())</f>
        <v>0</v>
      </c>
      <c r="N2169" s="0" t="n">
        <f aca="true">CRITBINOM(MAX(0,$C2169-J2169),MIN(0.6,Matchup!$C$40*SQRT($B2169)/(1-MIN(0.75,Matchup!$C$39*$B2169))),RAND())</f>
        <v>1</v>
      </c>
      <c r="O2169" s="0" t="n">
        <f aca="false">6*J2169+(J2169-K2169-M2169)+2*L2169+3*N2169</f>
        <v>10</v>
      </c>
      <c r="P2169" s="0" t="n">
        <f aca="true">RAND()</f>
        <v>0.627603706486171</v>
      </c>
      <c r="Q2169" s="0" t="n">
        <f aca="true">RAND()</f>
        <v>0.638408662826551</v>
      </c>
      <c r="R2169" s="0" t="n">
        <f aca="false">IF($I2169&lt;&gt;$O2169,0,IF(P2169&lt;Matchup!$B$39,7,IF(P2169&lt;Matchup!$B$39+Matchup!$B$40,3,0)))</f>
        <v>0</v>
      </c>
      <c r="S2169" s="0" t="n">
        <f aca="false">IF($I2169&lt;&gt;$O2169,0,IF(Q2169&lt;Matchup!$C$39,7,IF(Q2169&lt;Matchup!$C$39+Matchup!$C$40,3,0)))</f>
        <v>0</v>
      </c>
      <c r="T2169" s="0" t="n">
        <f aca="false">I2169+R2169</f>
        <v>34</v>
      </c>
      <c r="U2169" s="0" t="n">
        <f aca="false">O2169+S2169</f>
        <v>10</v>
      </c>
      <c r="V2169" s="0" t="n">
        <f aca="false">T2169-U2169</f>
        <v>24</v>
      </c>
      <c r="W2169" s="0" t="n">
        <f aca="false">T2169+U2169</f>
        <v>44</v>
      </c>
    </row>
    <row r="2170" customFormat="false" ht="15" hidden="false" customHeight="false" outlineLevel="0" collapsed="false">
      <c r="A2170" s="0" t="n">
        <v>2167</v>
      </c>
      <c r="B2170" s="0" t="n">
        <f aca="true">NORMINV(RAND(),1,Coefficients!$B$22)</f>
        <v>1.0923717129394</v>
      </c>
      <c r="C2170" s="0" t="n">
        <f aca="true">MEDIAN(8,16,ROUND(NORMINV(RAND(),Coefficients!$B$20,Coefficients!$B$21),0))</f>
        <v>10</v>
      </c>
      <c r="D2170" s="0" t="n">
        <f aca="true">CRITBINOM($C2170,MIN(0.75,Matchup!$B$39*$B2170),RAND())</f>
        <v>0</v>
      </c>
      <c r="E2170" s="0" t="n">
        <f aca="true">CRITBINOM(D2170,Coefficients!$B$30,RAND())</f>
        <v>0</v>
      </c>
      <c r="F2170" s="0" t="n">
        <f aca="true">CRITBINOM(E2170,Coefficients!$B$31,RAND())</f>
        <v>0</v>
      </c>
      <c r="G2170" s="0" t="n">
        <f aca="true">CRITBINOM(MAX(0,D2170-E2170),1-Coefficients!$B$32,RAND())</f>
        <v>0</v>
      </c>
      <c r="H2170" s="0" t="n">
        <f aca="true">CRITBINOM(MAX(0,$C2170-D2170),MIN(0.6,Matchup!$B$40*SQRT($B2170)/(1-MIN(0.75,Matchup!$B$39*$B2170))),RAND())</f>
        <v>1</v>
      </c>
      <c r="I2170" s="0" t="n">
        <f aca="false">6*D2170+(D2170-E2170-G2170)+2*F2170+3*H2170</f>
        <v>3</v>
      </c>
      <c r="J2170" s="0" t="n">
        <f aca="true">CRITBINOM($C2170,MIN(0.75,Matchup!$C$39*$B2170),RAND())</f>
        <v>3</v>
      </c>
      <c r="K2170" s="0" t="n">
        <f aca="true">CRITBINOM(J2170,Coefficients!$B$30,RAND())</f>
        <v>0</v>
      </c>
      <c r="L2170" s="0" t="n">
        <f aca="true">CRITBINOM(K2170,Coefficients!$B$31,RAND())</f>
        <v>0</v>
      </c>
      <c r="M2170" s="0" t="n">
        <f aca="true">CRITBINOM(MAX(0,J2170-K2170),1-Coefficients!$B$32,RAND())</f>
        <v>1</v>
      </c>
      <c r="N2170" s="0" t="n">
        <f aca="true">CRITBINOM(MAX(0,$C2170-J2170),MIN(0.6,Matchup!$C$40*SQRT($B2170)/(1-MIN(0.75,Matchup!$C$39*$B2170))),RAND())</f>
        <v>1</v>
      </c>
      <c r="O2170" s="0" t="n">
        <f aca="false">6*J2170+(J2170-K2170-M2170)+2*L2170+3*N2170</f>
        <v>23</v>
      </c>
      <c r="P2170" s="0" t="n">
        <f aca="true">RAND()</f>
        <v>0.923496823934368</v>
      </c>
      <c r="Q2170" s="0" t="n">
        <f aca="true">RAND()</f>
        <v>0.0442610269629815</v>
      </c>
      <c r="R2170" s="0" t="n">
        <f aca="false">IF($I2170&lt;&gt;$O2170,0,IF(P2170&lt;Matchup!$B$39,7,IF(P2170&lt;Matchup!$B$39+Matchup!$B$40,3,0)))</f>
        <v>0</v>
      </c>
      <c r="S2170" s="0" t="n">
        <f aca="false">IF($I2170&lt;&gt;$O2170,0,IF(Q2170&lt;Matchup!$C$39,7,IF(Q2170&lt;Matchup!$C$39+Matchup!$C$40,3,0)))</f>
        <v>0</v>
      </c>
      <c r="T2170" s="0" t="n">
        <f aca="false">I2170+R2170</f>
        <v>3</v>
      </c>
      <c r="U2170" s="0" t="n">
        <f aca="false">O2170+S2170</f>
        <v>23</v>
      </c>
      <c r="V2170" s="0" t="n">
        <f aca="false">T2170-U2170</f>
        <v>-20</v>
      </c>
      <c r="W2170" s="0" t="n">
        <f aca="false">T2170+U2170</f>
        <v>26</v>
      </c>
    </row>
    <row r="2171" customFormat="false" ht="15" hidden="false" customHeight="false" outlineLevel="0" collapsed="false">
      <c r="A2171" s="0" t="n">
        <v>2168</v>
      </c>
      <c r="B2171" s="0" t="n">
        <f aca="true">NORMINV(RAND(),1,Coefficients!$B$22)</f>
        <v>1.0212393218338</v>
      </c>
      <c r="C2171" s="0" t="n">
        <f aca="true">MEDIAN(8,16,ROUND(NORMINV(RAND(),Coefficients!$B$20,Coefficients!$B$21),0))</f>
        <v>10</v>
      </c>
      <c r="D2171" s="0" t="n">
        <f aca="true">CRITBINOM($C2171,MIN(0.75,Matchup!$B$39*$B2171),RAND())</f>
        <v>2</v>
      </c>
      <c r="E2171" s="0" t="n">
        <f aca="true">CRITBINOM(D2171,Coefficients!$B$30,RAND())</f>
        <v>0</v>
      </c>
      <c r="F2171" s="0" t="n">
        <f aca="true">CRITBINOM(E2171,Coefficients!$B$31,RAND())</f>
        <v>0</v>
      </c>
      <c r="G2171" s="0" t="n">
        <f aca="true">CRITBINOM(MAX(0,D2171-E2171),1-Coefficients!$B$32,RAND())</f>
        <v>0</v>
      </c>
      <c r="H2171" s="0" t="n">
        <f aca="true">CRITBINOM(MAX(0,$C2171-D2171),MIN(0.6,Matchup!$B$40*SQRT($B2171)/(1-MIN(0.75,Matchup!$B$39*$B2171))),RAND())</f>
        <v>3</v>
      </c>
      <c r="I2171" s="0" t="n">
        <f aca="false">6*D2171+(D2171-E2171-G2171)+2*F2171+3*H2171</f>
        <v>23</v>
      </c>
      <c r="J2171" s="0" t="n">
        <f aca="true">CRITBINOM($C2171,MIN(0.75,Matchup!$C$39*$B2171),RAND())</f>
        <v>0</v>
      </c>
      <c r="K2171" s="0" t="n">
        <f aca="true">CRITBINOM(J2171,Coefficients!$B$30,RAND())</f>
        <v>0</v>
      </c>
      <c r="L2171" s="0" t="n">
        <f aca="true">CRITBINOM(K2171,Coefficients!$B$31,RAND())</f>
        <v>0</v>
      </c>
      <c r="M2171" s="0" t="n">
        <f aca="true">CRITBINOM(MAX(0,J2171-K2171),1-Coefficients!$B$32,RAND())</f>
        <v>0</v>
      </c>
      <c r="N2171" s="0" t="n">
        <f aca="true">CRITBINOM(MAX(0,$C2171-J2171),MIN(0.6,Matchup!$C$40*SQRT($B2171)/(1-MIN(0.75,Matchup!$C$39*$B2171))),RAND())</f>
        <v>2</v>
      </c>
      <c r="O2171" s="0" t="n">
        <f aca="false">6*J2171+(J2171-K2171-M2171)+2*L2171+3*N2171</f>
        <v>6</v>
      </c>
      <c r="P2171" s="0" t="n">
        <f aca="true">RAND()</f>
        <v>0.843585591797454</v>
      </c>
      <c r="Q2171" s="0" t="n">
        <f aca="true">RAND()</f>
        <v>0.315078064023503</v>
      </c>
      <c r="R2171" s="0" t="n">
        <f aca="false">IF($I2171&lt;&gt;$O2171,0,IF(P2171&lt;Matchup!$B$39,7,IF(P2171&lt;Matchup!$B$39+Matchup!$B$40,3,0)))</f>
        <v>0</v>
      </c>
      <c r="S2171" s="0" t="n">
        <f aca="false">IF($I2171&lt;&gt;$O2171,0,IF(Q2171&lt;Matchup!$C$39,7,IF(Q2171&lt;Matchup!$C$39+Matchup!$C$40,3,0)))</f>
        <v>0</v>
      </c>
      <c r="T2171" s="0" t="n">
        <f aca="false">I2171+R2171</f>
        <v>23</v>
      </c>
      <c r="U2171" s="0" t="n">
        <f aca="false">O2171+S2171</f>
        <v>6</v>
      </c>
      <c r="V2171" s="0" t="n">
        <f aca="false">T2171-U2171</f>
        <v>17</v>
      </c>
      <c r="W2171" s="0" t="n">
        <f aca="false">T2171+U2171</f>
        <v>29</v>
      </c>
    </row>
    <row r="2172" customFormat="false" ht="15" hidden="false" customHeight="false" outlineLevel="0" collapsed="false">
      <c r="A2172" s="0" t="n">
        <v>2169</v>
      </c>
      <c r="B2172" s="0" t="n">
        <f aca="true">NORMINV(RAND(),1,Coefficients!$B$22)</f>
        <v>1.04868099878371</v>
      </c>
      <c r="C2172" s="0" t="n">
        <f aca="true">MEDIAN(8,16,ROUND(NORMINV(RAND(),Coefficients!$B$20,Coefficients!$B$21),0))</f>
        <v>11</v>
      </c>
      <c r="D2172" s="0" t="n">
        <f aca="true">CRITBINOM($C2172,MIN(0.75,Matchup!$B$39*$B2172),RAND())</f>
        <v>0</v>
      </c>
      <c r="E2172" s="0" t="n">
        <f aca="true">CRITBINOM(D2172,Coefficients!$B$30,RAND())</f>
        <v>0</v>
      </c>
      <c r="F2172" s="0" t="n">
        <f aca="true">CRITBINOM(E2172,Coefficients!$B$31,RAND())</f>
        <v>0</v>
      </c>
      <c r="G2172" s="0" t="n">
        <f aca="true">CRITBINOM(MAX(0,D2172-E2172),1-Coefficients!$B$32,RAND())</f>
        <v>0</v>
      </c>
      <c r="H2172" s="0" t="n">
        <f aca="true">CRITBINOM(MAX(0,$C2172-D2172),MIN(0.6,Matchup!$B$40*SQRT($B2172)/(1-MIN(0.75,Matchup!$B$39*$B2172))),RAND())</f>
        <v>0</v>
      </c>
      <c r="I2172" s="0" t="n">
        <f aca="false">6*D2172+(D2172-E2172-G2172)+2*F2172+3*H2172</f>
        <v>0</v>
      </c>
      <c r="J2172" s="0" t="n">
        <f aca="true">CRITBINOM($C2172,MIN(0.75,Matchup!$C$39*$B2172),RAND())</f>
        <v>3</v>
      </c>
      <c r="K2172" s="0" t="n">
        <f aca="true">CRITBINOM(J2172,Coefficients!$B$30,RAND())</f>
        <v>1</v>
      </c>
      <c r="L2172" s="0" t="n">
        <f aca="true">CRITBINOM(K2172,Coefficients!$B$31,RAND())</f>
        <v>1</v>
      </c>
      <c r="M2172" s="0" t="n">
        <f aca="true">CRITBINOM(MAX(0,J2172-K2172),1-Coefficients!$B$32,RAND())</f>
        <v>1</v>
      </c>
      <c r="N2172" s="0" t="n">
        <f aca="true">CRITBINOM(MAX(0,$C2172-J2172),MIN(0.6,Matchup!$C$40*SQRT($B2172)/(1-MIN(0.75,Matchup!$C$39*$B2172))),RAND())</f>
        <v>0</v>
      </c>
      <c r="O2172" s="0" t="n">
        <f aca="false">6*J2172+(J2172-K2172-M2172)+2*L2172+3*N2172</f>
        <v>21</v>
      </c>
      <c r="P2172" s="0" t="n">
        <f aca="true">RAND()</f>
        <v>0.894801804770957</v>
      </c>
      <c r="Q2172" s="0" t="n">
        <f aca="true">RAND()</f>
        <v>0.291437041111616</v>
      </c>
      <c r="R2172" s="0" t="n">
        <f aca="false">IF($I2172&lt;&gt;$O2172,0,IF(P2172&lt;Matchup!$B$39,7,IF(P2172&lt;Matchup!$B$39+Matchup!$B$40,3,0)))</f>
        <v>0</v>
      </c>
      <c r="S2172" s="0" t="n">
        <f aca="false">IF($I2172&lt;&gt;$O2172,0,IF(Q2172&lt;Matchup!$C$39,7,IF(Q2172&lt;Matchup!$C$39+Matchup!$C$40,3,0)))</f>
        <v>0</v>
      </c>
      <c r="T2172" s="0" t="n">
        <f aca="false">I2172+R2172</f>
        <v>0</v>
      </c>
      <c r="U2172" s="0" t="n">
        <f aca="false">O2172+S2172</f>
        <v>21</v>
      </c>
      <c r="V2172" s="0" t="n">
        <f aca="false">T2172-U2172</f>
        <v>-21</v>
      </c>
      <c r="W2172" s="0" t="n">
        <f aca="false">T2172+U2172</f>
        <v>21</v>
      </c>
    </row>
    <row r="2173" customFormat="false" ht="15" hidden="false" customHeight="false" outlineLevel="0" collapsed="false">
      <c r="A2173" s="0" t="n">
        <v>2170</v>
      </c>
      <c r="B2173" s="0" t="n">
        <f aca="true">NORMINV(RAND(),1,Coefficients!$B$22)</f>
        <v>0.920090169270894</v>
      </c>
      <c r="C2173" s="0" t="n">
        <f aca="true">MEDIAN(8,16,ROUND(NORMINV(RAND(),Coefficients!$B$20,Coefficients!$B$21),0))</f>
        <v>12</v>
      </c>
      <c r="D2173" s="0" t="n">
        <f aca="true">CRITBINOM($C2173,MIN(0.75,Matchup!$B$39*$B2173),RAND())</f>
        <v>1</v>
      </c>
      <c r="E2173" s="0" t="n">
        <f aca="true">CRITBINOM(D2173,Coefficients!$B$30,RAND())</f>
        <v>0</v>
      </c>
      <c r="F2173" s="0" t="n">
        <f aca="true">CRITBINOM(E2173,Coefficients!$B$31,RAND())</f>
        <v>0</v>
      </c>
      <c r="G2173" s="0" t="n">
        <f aca="true">CRITBINOM(MAX(0,D2173-E2173),1-Coefficients!$B$32,RAND())</f>
        <v>0</v>
      </c>
      <c r="H2173" s="0" t="n">
        <f aca="true">CRITBINOM(MAX(0,$C2173-D2173),MIN(0.6,Matchup!$B$40*SQRT($B2173)/(1-MIN(0.75,Matchup!$B$39*$B2173))),RAND())</f>
        <v>1</v>
      </c>
      <c r="I2173" s="0" t="n">
        <f aca="false">6*D2173+(D2173-E2173-G2173)+2*F2173+3*H2173</f>
        <v>10</v>
      </c>
      <c r="J2173" s="0" t="n">
        <f aca="true">CRITBINOM($C2173,MIN(0.75,Matchup!$C$39*$B2173),RAND())</f>
        <v>3</v>
      </c>
      <c r="K2173" s="0" t="n">
        <f aca="true">CRITBINOM(J2173,Coefficients!$B$30,RAND())</f>
        <v>1</v>
      </c>
      <c r="L2173" s="0" t="n">
        <f aca="true">CRITBINOM(K2173,Coefficients!$B$31,RAND())</f>
        <v>0</v>
      </c>
      <c r="M2173" s="0" t="n">
        <f aca="true">CRITBINOM(MAX(0,J2173-K2173),1-Coefficients!$B$32,RAND())</f>
        <v>0</v>
      </c>
      <c r="N2173" s="0" t="n">
        <f aca="true">CRITBINOM(MAX(0,$C2173-J2173),MIN(0.6,Matchup!$C$40*SQRT($B2173)/(1-MIN(0.75,Matchup!$C$39*$B2173))),RAND())</f>
        <v>1</v>
      </c>
      <c r="O2173" s="0" t="n">
        <f aca="false">6*J2173+(J2173-K2173-M2173)+2*L2173+3*N2173</f>
        <v>23</v>
      </c>
      <c r="P2173" s="0" t="n">
        <f aca="true">RAND()</f>
        <v>0.693277113064948</v>
      </c>
      <c r="Q2173" s="0" t="n">
        <f aca="true">RAND()</f>
        <v>0.849172265902215</v>
      </c>
      <c r="R2173" s="0" t="n">
        <f aca="false">IF($I2173&lt;&gt;$O2173,0,IF(P2173&lt;Matchup!$B$39,7,IF(P2173&lt;Matchup!$B$39+Matchup!$B$40,3,0)))</f>
        <v>0</v>
      </c>
      <c r="S2173" s="0" t="n">
        <f aca="false">IF($I2173&lt;&gt;$O2173,0,IF(Q2173&lt;Matchup!$C$39,7,IF(Q2173&lt;Matchup!$C$39+Matchup!$C$40,3,0)))</f>
        <v>0</v>
      </c>
      <c r="T2173" s="0" t="n">
        <f aca="false">I2173+R2173</f>
        <v>10</v>
      </c>
      <c r="U2173" s="0" t="n">
        <f aca="false">O2173+S2173</f>
        <v>23</v>
      </c>
      <c r="V2173" s="0" t="n">
        <f aca="false">T2173-U2173</f>
        <v>-13</v>
      </c>
      <c r="W2173" s="0" t="n">
        <f aca="false">T2173+U2173</f>
        <v>33</v>
      </c>
    </row>
    <row r="2174" customFormat="false" ht="15" hidden="false" customHeight="false" outlineLevel="0" collapsed="false">
      <c r="A2174" s="0" t="n">
        <v>2171</v>
      </c>
      <c r="B2174" s="0" t="n">
        <f aca="true">NORMINV(RAND(),1,Coefficients!$B$22)</f>
        <v>0.959320526060759</v>
      </c>
      <c r="C2174" s="0" t="n">
        <f aca="true">MEDIAN(8,16,ROUND(NORMINV(RAND(),Coefficients!$B$20,Coefficients!$B$21),0))</f>
        <v>12</v>
      </c>
      <c r="D2174" s="0" t="n">
        <f aca="true">CRITBINOM($C2174,MIN(0.75,Matchup!$B$39*$B2174),RAND())</f>
        <v>3</v>
      </c>
      <c r="E2174" s="0" t="n">
        <f aca="true">CRITBINOM(D2174,Coefficients!$B$30,RAND())</f>
        <v>0</v>
      </c>
      <c r="F2174" s="0" t="n">
        <f aca="true">CRITBINOM(E2174,Coefficients!$B$31,RAND())</f>
        <v>0</v>
      </c>
      <c r="G2174" s="0" t="n">
        <f aca="true">CRITBINOM(MAX(0,D2174-E2174),1-Coefficients!$B$32,RAND())</f>
        <v>0</v>
      </c>
      <c r="H2174" s="0" t="n">
        <f aca="true">CRITBINOM(MAX(0,$C2174-D2174),MIN(0.6,Matchup!$B$40*SQRT($B2174)/(1-MIN(0.75,Matchup!$B$39*$B2174))),RAND())</f>
        <v>3</v>
      </c>
      <c r="I2174" s="0" t="n">
        <f aca="false">6*D2174+(D2174-E2174-G2174)+2*F2174+3*H2174</f>
        <v>30</v>
      </c>
      <c r="J2174" s="0" t="n">
        <f aca="true">CRITBINOM($C2174,MIN(0.75,Matchup!$C$39*$B2174),RAND())</f>
        <v>4</v>
      </c>
      <c r="K2174" s="0" t="n">
        <f aca="true">CRITBINOM(J2174,Coefficients!$B$30,RAND())</f>
        <v>2</v>
      </c>
      <c r="L2174" s="0" t="n">
        <f aca="true">CRITBINOM(K2174,Coefficients!$B$31,RAND())</f>
        <v>1</v>
      </c>
      <c r="M2174" s="0" t="n">
        <f aca="true">CRITBINOM(MAX(0,J2174-K2174),1-Coefficients!$B$32,RAND())</f>
        <v>0</v>
      </c>
      <c r="N2174" s="0" t="n">
        <f aca="true">CRITBINOM(MAX(0,$C2174-J2174),MIN(0.6,Matchup!$C$40*SQRT($B2174)/(1-MIN(0.75,Matchup!$C$39*$B2174))),RAND())</f>
        <v>1</v>
      </c>
      <c r="O2174" s="0" t="n">
        <f aca="false">6*J2174+(J2174-K2174-M2174)+2*L2174+3*N2174</f>
        <v>31</v>
      </c>
      <c r="P2174" s="0" t="n">
        <f aca="true">RAND()</f>
        <v>0.926653214191282</v>
      </c>
      <c r="Q2174" s="0" t="n">
        <f aca="true">RAND()</f>
        <v>0.455573040253947</v>
      </c>
      <c r="R2174" s="0" t="n">
        <f aca="false">IF($I2174&lt;&gt;$O2174,0,IF(P2174&lt;Matchup!$B$39,7,IF(P2174&lt;Matchup!$B$39+Matchup!$B$40,3,0)))</f>
        <v>0</v>
      </c>
      <c r="S2174" s="0" t="n">
        <f aca="false">IF($I2174&lt;&gt;$O2174,0,IF(Q2174&lt;Matchup!$C$39,7,IF(Q2174&lt;Matchup!$C$39+Matchup!$C$40,3,0)))</f>
        <v>0</v>
      </c>
      <c r="T2174" s="0" t="n">
        <f aca="false">I2174+R2174</f>
        <v>30</v>
      </c>
      <c r="U2174" s="0" t="n">
        <f aca="false">O2174+S2174</f>
        <v>31</v>
      </c>
      <c r="V2174" s="0" t="n">
        <f aca="false">T2174-U2174</f>
        <v>-1</v>
      </c>
      <c r="W2174" s="0" t="n">
        <f aca="false">T2174+U2174</f>
        <v>61</v>
      </c>
    </row>
    <row r="2175" customFormat="false" ht="15" hidden="false" customHeight="false" outlineLevel="0" collapsed="false">
      <c r="A2175" s="0" t="n">
        <v>2172</v>
      </c>
      <c r="B2175" s="0" t="n">
        <f aca="true">NORMINV(RAND(),1,Coefficients!$B$22)</f>
        <v>0.877707675420419</v>
      </c>
      <c r="C2175" s="0" t="n">
        <f aca="true">MEDIAN(8,16,ROUND(NORMINV(RAND(),Coefficients!$B$20,Coefficients!$B$21),0))</f>
        <v>12</v>
      </c>
      <c r="D2175" s="0" t="n">
        <f aca="true">CRITBINOM($C2175,MIN(0.75,Matchup!$B$39*$B2175),RAND())</f>
        <v>2</v>
      </c>
      <c r="E2175" s="0" t="n">
        <f aca="true">CRITBINOM(D2175,Coefficients!$B$30,RAND())</f>
        <v>1</v>
      </c>
      <c r="F2175" s="0" t="n">
        <f aca="true">CRITBINOM(E2175,Coefficients!$B$31,RAND())</f>
        <v>1</v>
      </c>
      <c r="G2175" s="0" t="n">
        <f aca="true">CRITBINOM(MAX(0,D2175-E2175),1-Coefficients!$B$32,RAND())</f>
        <v>0</v>
      </c>
      <c r="H2175" s="0" t="n">
        <f aca="true">CRITBINOM(MAX(0,$C2175-D2175),MIN(0.6,Matchup!$B$40*SQRT($B2175)/(1-MIN(0.75,Matchup!$B$39*$B2175))),RAND())</f>
        <v>0</v>
      </c>
      <c r="I2175" s="0" t="n">
        <f aca="false">6*D2175+(D2175-E2175-G2175)+2*F2175+3*H2175</f>
        <v>15</v>
      </c>
      <c r="J2175" s="0" t="n">
        <f aca="true">CRITBINOM($C2175,MIN(0.75,Matchup!$C$39*$B2175),RAND())</f>
        <v>3</v>
      </c>
      <c r="K2175" s="0" t="n">
        <f aca="true">CRITBINOM(J2175,Coefficients!$B$30,RAND())</f>
        <v>1</v>
      </c>
      <c r="L2175" s="0" t="n">
        <f aca="true">CRITBINOM(K2175,Coefficients!$B$31,RAND())</f>
        <v>1</v>
      </c>
      <c r="M2175" s="0" t="n">
        <f aca="true">CRITBINOM(MAX(0,J2175-K2175),1-Coefficients!$B$32,RAND())</f>
        <v>0</v>
      </c>
      <c r="N2175" s="0" t="n">
        <f aca="true">CRITBINOM(MAX(0,$C2175-J2175),MIN(0.6,Matchup!$C$40*SQRT($B2175)/(1-MIN(0.75,Matchup!$C$39*$B2175))),RAND())</f>
        <v>1</v>
      </c>
      <c r="O2175" s="0" t="n">
        <f aca="false">6*J2175+(J2175-K2175-M2175)+2*L2175+3*N2175</f>
        <v>25</v>
      </c>
      <c r="P2175" s="0" t="n">
        <f aca="true">RAND()</f>
        <v>0.617885038238645</v>
      </c>
      <c r="Q2175" s="0" t="n">
        <f aca="true">RAND()</f>
        <v>0.000751352935406542</v>
      </c>
      <c r="R2175" s="0" t="n">
        <f aca="false">IF($I2175&lt;&gt;$O2175,0,IF(P2175&lt;Matchup!$B$39,7,IF(P2175&lt;Matchup!$B$39+Matchup!$B$40,3,0)))</f>
        <v>0</v>
      </c>
      <c r="S2175" s="0" t="n">
        <f aca="false">IF($I2175&lt;&gt;$O2175,0,IF(Q2175&lt;Matchup!$C$39,7,IF(Q2175&lt;Matchup!$C$39+Matchup!$C$40,3,0)))</f>
        <v>0</v>
      </c>
      <c r="T2175" s="0" t="n">
        <f aca="false">I2175+R2175</f>
        <v>15</v>
      </c>
      <c r="U2175" s="0" t="n">
        <f aca="false">O2175+S2175</f>
        <v>25</v>
      </c>
      <c r="V2175" s="0" t="n">
        <f aca="false">T2175-U2175</f>
        <v>-10</v>
      </c>
      <c r="W2175" s="0" t="n">
        <f aca="false">T2175+U2175</f>
        <v>40</v>
      </c>
    </row>
    <row r="2176" customFormat="false" ht="15" hidden="false" customHeight="false" outlineLevel="0" collapsed="false">
      <c r="A2176" s="0" t="n">
        <v>2173</v>
      </c>
      <c r="B2176" s="0" t="n">
        <f aca="true">NORMINV(RAND(),1,Coefficients!$B$22)</f>
        <v>1.03927537253056</v>
      </c>
      <c r="C2176" s="0" t="n">
        <f aca="true">MEDIAN(8,16,ROUND(NORMINV(RAND(),Coefficients!$B$20,Coefficients!$B$21),0))</f>
        <v>11</v>
      </c>
      <c r="D2176" s="0" t="n">
        <f aca="true">CRITBINOM($C2176,MIN(0.75,Matchup!$B$39*$B2176),RAND())</f>
        <v>2</v>
      </c>
      <c r="E2176" s="0" t="n">
        <f aca="true">CRITBINOM(D2176,Coefficients!$B$30,RAND())</f>
        <v>1</v>
      </c>
      <c r="F2176" s="0" t="n">
        <f aca="true">CRITBINOM(E2176,Coefficients!$B$31,RAND())</f>
        <v>1</v>
      </c>
      <c r="G2176" s="0" t="n">
        <f aca="true">CRITBINOM(MAX(0,D2176-E2176),1-Coefficients!$B$32,RAND())</f>
        <v>0</v>
      </c>
      <c r="H2176" s="0" t="n">
        <f aca="true">CRITBINOM(MAX(0,$C2176-D2176),MIN(0.6,Matchup!$B$40*SQRT($B2176)/(1-MIN(0.75,Matchup!$B$39*$B2176))),RAND())</f>
        <v>1</v>
      </c>
      <c r="I2176" s="0" t="n">
        <f aca="false">6*D2176+(D2176-E2176-G2176)+2*F2176+3*H2176</f>
        <v>18</v>
      </c>
      <c r="J2176" s="0" t="n">
        <f aca="true">CRITBINOM($C2176,MIN(0.75,Matchup!$C$39*$B2176),RAND())</f>
        <v>3</v>
      </c>
      <c r="K2176" s="0" t="n">
        <f aca="true">CRITBINOM(J2176,Coefficients!$B$30,RAND())</f>
        <v>0</v>
      </c>
      <c r="L2176" s="0" t="n">
        <f aca="true">CRITBINOM(K2176,Coefficients!$B$31,RAND())</f>
        <v>0</v>
      </c>
      <c r="M2176" s="0" t="n">
        <f aca="true">CRITBINOM(MAX(0,J2176-K2176),1-Coefficients!$B$32,RAND())</f>
        <v>0</v>
      </c>
      <c r="N2176" s="0" t="n">
        <f aca="true">CRITBINOM(MAX(0,$C2176-J2176),MIN(0.6,Matchup!$C$40*SQRT($B2176)/(1-MIN(0.75,Matchup!$C$39*$B2176))),RAND())</f>
        <v>1</v>
      </c>
      <c r="O2176" s="0" t="n">
        <f aca="false">6*J2176+(J2176-K2176-M2176)+2*L2176+3*N2176</f>
        <v>24</v>
      </c>
      <c r="P2176" s="0" t="n">
        <f aca="true">RAND()</f>
        <v>0.874647003181584</v>
      </c>
      <c r="Q2176" s="0" t="n">
        <f aca="true">RAND()</f>
        <v>0.710159639146767</v>
      </c>
      <c r="R2176" s="0" t="n">
        <f aca="false">IF($I2176&lt;&gt;$O2176,0,IF(P2176&lt;Matchup!$B$39,7,IF(P2176&lt;Matchup!$B$39+Matchup!$B$40,3,0)))</f>
        <v>0</v>
      </c>
      <c r="S2176" s="0" t="n">
        <f aca="false">IF($I2176&lt;&gt;$O2176,0,IF(Q2176&lt;Matchup!$C$39,7,IF(Q2176&lt;Matchup!$C$39+Matchup!$C$40,3,0)))</f>
        <v>0</v>
      </c>
      <c r="T2176" s="0" t="n">
        <f aca="false">I2176+R2176</f>
        <v>18</v>
      </c>
      <c r="U2176" s="0" t="n">
        <f aca="false">O2176+S2176</f>
        <v>24</v>
      </c>
      <c r="V2176" s="0" t="n">
        <f aca="false">T2176-U2176</f>
        <v>-6</v>
      </c>
      <c r="W2176" s="0" t="n">
        <f aca="false">T2176+U2176</f>
        <v>42</v>
      </c>
    </row>
    <row r="2177" customFormat="false" ht="15" hidden="false" customHeight="false" outlineLevel="0" collapsed="false">
      <c r="A2177" s="0" t="n">
        <v>2174</v>
      </c>
      <c r="B2177" s="0" t="n">
        <f aca="true">NORMINV(RAND(),1,Coefficients!$B$22)</f>
        <v>1.08663649315507</v>
      </c>
      <c r="C2177" s="0" t="n">
        <f aca="true">MEDIAN(8,16,ROUND(NORMINV(RAND(),Coefficients!$B$20,Coefficients!$B$21),0))</f>
        <v>11</v>
      </c>
      <c r="D2177" s="0" t="n">
        <f aca="true">CRITBINOM($C2177,MIN(0.75,Matchup!$B$39*$B2177),RAND())</f>
        <v>4</v>
      </c>
      <c r="E2177" s="0" t="n">
        <f aca="true">CRITBINOM(D2177,Coefficients!$B$30,RAND())</f>
        <v>0</v>
      </c>
      <c r="F2177" s="0" t="n">
        <f aca="true">CRITBINOM(E2177,Coefficients!$B$31,RAND())</f>
        <v>0</v>
      </c>
      <c r="G2177" s="0" t="n">
        <f aca="true">CRITBINOM(MAX(0,D2177-E2177),1-Coefficients!$B$32,RAND())</f>
        <v>0</v>
      </c>
      <c r="H2177" s="0" t="n">
        <f aca="true">CRITBINOM(MAX(0,$C2177-D2177),MIN(0.6,Matchup!$B$40*SQRT($B2177)/(1-MIN(0.75,Matchup!$B$39*$B2177))),RAND())</f>
        <v>2</v>
      </c>
      <c r="I2177" s="0" t="n">
        <f aca="false">6*D2177+(D2177-E2177-G2177)+2*F2177+3*H2177</f>
        <v>34</v>
      </c>
      <c r="J2177" s="0" t="n">
        <f aca="true">CRITBINOM($C2177,MIN(0.75,Matchup!$C$39*$B2177),RAND())</f>
        <v>3</v>
      </c>
      <c r="K2177" s="0" t="n">
        <f aca="true">CRITBINOM(J2177,Coefficients!$B$30,RAND())</f>
        <v>0</v>
      </c>
      <c r="L2177" s="0" t="n">
        <f aca="true">CRITBINOM(K2177,Coefficients!$B$31,RAND())</f>
        <v>0</v>
      </c>
      <c r="M2177" s="0" t="n">
        <f aca="true">CRITBINOM(MAX(0,J2177-K2177),1-Coefficients!$B$32,RAND())</f>
        <v>1</v>
      </c>
      <c r="N2177" s="0" t="n">
        <f aca="true">CRITBINOM(MAX(0,$C2177-J2177),MIN(0.6,Matchup!$C$40*SQRT($B2177)/(1-MIN(0.75,Matchup!$C$39*$B2177))),RAND())</f>
        <v>0</v>
      </c>
      <c r="O2177" s="0" t="n">
        <f aca="false">6*J2177+(J2177-K2177-M2177)+2*L2177+3*N2177</f>
        <v>20</v>
      </c>
      <c r="P2177" s="0" t="n">
        <f aca="true">RAND()</f>
        <v>0.805381872527922</v>
      </c>
      <c r="Q2177" s="0" t="n">
        <f aca="true">RAND()</f>
        <v>0.385007532161707</v>
      </c>
      <c r="R2177" s="0" t="n">
        <f aca="false">IF($I2177&lt;&gt;$O2177,0,IF(P2177&lt;Matchup!$B$39,7,IF(P2177&lt;Matchup!$B$39+Matchup!$B$40,3,0)))</f>
        <v>0</v>
      </c>
      <c r="S2177" s="0" t="n">
        <f aca="false">IF($I2177&lt;&gt;$O2177,0,IF(Q2177&lt;Matchup!$C$39,7,IF(Q2177&lt;Matchup!$C$39+Matchup!$C$40,3,0)))</f>
        <v>0</v>
      </c>
      <c r="T2177" s="0" t="n">
        <f aca="false">I2177+R2177</f>
        <v>34</v>
      </c>
      <c r="U2177" s="0" t="n">
        <f aca="false">O2177+S2177</f>
        <v>20</v>
      </c>
      <c r="V2177" s="0" t="n">
        <f aca="false">T2177-U2177</f>
        <v>14</v>
      </c>
      <c r="W2177" s="0" t="n">
        <f aca="false">T2177+U2177</f>
        <v>54</v>
      </c>
    </row>
    <row r="2178" customFormat="false" ht="15" hidden="false" customHeight="false" outlineLevel="0" collapsed="false">
      <c r="A2178" s="0" t="n">
        <v>2175</v>
      </c>
      <c r="B2178" s="0" t="n">
        <f aca="true">NORMINV(RAND(),1,Coefficients!$B$22)</f>
        <v>1.21964551814393</v>
      </c>
      <c r="C2178" s="0" t="n">
        <f aca="true">MEDIAN(8,16,ROUND(NORMINV(RAND(),Coefficients!$B$20,Coefficients!$B$21),0))</f>
        <v>10</v>
      </c>
      <c r="D2178" s="0" t="n">
        <f aca="true">CRITBINOM($C2178,MIN(0.75,Matchup!$B$39*$B2178),RAND())</f>
        <v>4</v>
      </c>
      <c r="E2178" s="0" t="n">
        <f aca="true">CRITBINOM(D2178,Coefficients!$B$30,RAND())</f>
        <v>0</v>
      </c>
      <c r="F2178" s="0" t="n">
        <f aca="true">CRITBINOM(E2178,Coefficients!$B$31,RAND())</f>
        <v>0</v>
      </c>
      <c r="G2178" s="0" t="n">
        <f aca="true">CRITBINOM(MAX(0,D2178-E2178),1-Coefficients!$B$32,RAND())</f>
        <v>0</v>
      </c>
      <c r="H2178" s="0" t="n">
        <f aca="true">CRITBINOM(MAX(0,$C2178-D2178),MIN(0.6,Matchup!$B$40*SQRT($B2178)/(1-MIN(0.75,Matchup!$B$39*$B2178))),RAND())</f>
        <v>0</v>
      </c>
      <c r="I2178" s="0" t="n">
        <f aca="false">6*D2178+(D2178-E2178-G2178)+2*F2178+3*H2178</f>
        <v>28</v>
      </c>
      <c r="J2178" s="0" t="n">
        <f aca="true">CRITBINOM($C2178,MIN(0.75,Matchup!$C$39*$B2178),RAND())</f>
        <v>2</v>
      </c>
      <c r="K2178" s="0" t="n">
        <f aca="true">CRITBINOM(J2178,Coefficients!$B$30,RAND())</f>
        <v>0</v>
      </c>
      <c r="L2178" s="0" t="n">
        <f aca="true">CRITBINOM(K2178,Coefficients!$B$31,RAND())</f>
        <v>0</v>
      </c>
      <c r="M2178" s="0" t="n">
        <f aca="true">CRITBINOM(MAX(0,J2178-K2178),1-Coefficients!$B$32,RAND())</f>
        <v>0</v>
      </c>
      <c r="N2178" s="0" t="n">
        <f aca="true">CRITBINOM(MAX(0,$C2178-J2178),MIN(0.6,Matchup!$C$40*SQRT($B2178)/(1-MIN(0.75,Matchup!$C$39*$B2178))),RAND())</f>
        <v>2</v>
      </c>
      <c r="O2178" s="0" t="n">
        <f aca="false">6*J2178+(J2178-K2178-M2178)+2*L2178+3*N2178</f>
        <v>20</v>
      </c>
      <c r="P2178" s="0" t="n">
        <f aca="true">RAND()</f>
        <v>0.752891144758879</v>
      </c>
      <c r="Q2178" s="0" t="n">
        <f aca="true">RAND()</f>
        <v>0.684494372790215</v>
      </c>
      <c r="R2178" s="0" t="n">
        <f aca="false">IF($I2178&lt;&gt;$O2178,0,IF(P2178&lt;Matchup!$B$39,7,IF(P2178&lt;Matchup!$B$39+Matchup!$B$40,3,0)))</f>
        <v>0</v>
      </c>
      <c r="S2178" s="0" t="n">
        <f aca="false">IF($I2178&lt;&gt;$O2178,0,IF(Q2178&lt;Matchup!$C$39,7,IF(Q2178&lt;Matchup!$C$39+Matchup!$C$40,3,0)))</f>
        <v>0</v>
      </c>
      <c r="T2178" s="0" t="n">
        <f aca="false">I2178+R2178</f>
        <v>28</v>
      </c>
      <c r="U2178" s="0" t="n">
        <f aca="false">O2178+S2178</f>
        <v>20</v>
      </c>
      <c r="V2178" s="0" t="n">
        <f aca="false">T2178-U2178</f>
        <v>8</v>
      </c>
      <c r="W2178" s="0" t="n">
        <f aca="false">T2178+U2178</f>
        <v>48</v>
      </c>
    </row>
    <row r="2179" customFormat="false" ht="15" hidden="false" customHeight="false" outlineLevel="0" collapsed="false">
      <c r="A2179" s="0" t="n">
        <v>2176</v>
      </c>
      <c r="B2179" s="0" t="n">
        <f aca="true">NORMINV(RAND(),1,Coefficients!$B$22)</f>
        <v>1.13345829219951</v>
      </c>
      <c r="C2179" s="0" t="n">
        <f aca="true">MEDIAN(8,16,ROUND(NORMINV(RAND(),Coefficients!$B$20,Coefficients!$B$21),0))</f>
        <v>10</v>
      </c>
      <c r="D2179" s="0" t="n">
        <f aca="true">CRITBINOM($C2179,MIN(0.75,Matchup!$B$39*$B2179),RAND())</f>
        <v>5</v>
      </c>
      <c r="E2179" s="0" t="n">
        <f aca="true">CRITBINOM(D2179,Coefficients!$B$30,RAND())</f>
        <v>1</v>
      </c>
      <c r="F2179" s="0" t="n">
        <f aca="true">CRITBINOM(E2179,Coefficients!$B$31,RAND())</f>
        <v>0</v>
      </c>
      <c r="G2179" s="0" t="n">
        <f aca="true">CRITBINOM(MAX(0,D2179-E2179),1-Coefficients!$B$32,RAND())</f>
        <v>0</v>
      </c>
      <c r="H2179" s="0" t="n">
        <f aca="true">CRITBINOM(MAX(0,$C2179-D2179),MIN(0.6,Matchup!$B$40*SQRT($B2179)/(1-MIN(0.75,Matchup!$B$39*$B2179))),RAND())</f>
        <v>0</v>
      </c>
      <c r="I2179" s="0" t="n">
        <f aca="false">6*D2179+(D2179-E2179-G2179)+2*F2179+3*H2179</f>
        <v>34</v>
      </c>
      <c r="J2179" s="0" t="n">
        <f aca="true">CRITBINOM($C2179,MIN(0.75,Matchup!$C$39*$B2179),RAND())</f>
        <v>2</v>
      </c>
      <c r="K2179" s="0" t="n">
        <f aca="true">CRITBINOM(J2179,Coefficients!$B$30,RAND())</f>
        <v>0</v>
      </c>
      <c r="L2179" s="0" t="n">
        <f aca="true">CRITBINOM(K2179,Coefficients!$B$31,RAND())</f>
        <v>0</v>
      </c>
      <c r="M2179" s="0" t="n">
        <f aca="true">CRITBINOM(MAX(0,J2179-K2179),1-Coefficients!$B$32,RAND())</f>
        <v>0</v>
      </c>
      <c r="N2179" s="0" t="n">
        <f aca="true">CRITBINOM(MAX(0,$C2179-J2179),MIN(0.6,Matchup!$C$40*SQRT($B2179)/(1-MIN(0.75,Matchup!$C$39*$B2179))),RAND())</f>
        <v>1</v>
      </c>
      <c r="O2179" s="0" t="n">
        <f aca="false">6*J2179+(J2179-K2179-M2179)+2*L2179+3*N2179</f>
        <v>17</v>
      </c>
      <c r="P2179" s="0" t="n">
        <f aca="true">RAND()</f>
        <v>0.645675916231543</v>
      </c>
      <c r="Q2179" s="0" t="n">
        <f aca="true">RAND()</f>
        <v>0.991094375629147</v>
      </c>
      <c r="R2179" s="0" t="n">
        <f aca="false">IF($I2179&lt;&gt;$O2179,0,IF(P2179&lt;Matchup!$B$39,7,IF(P2179&lt;Matchup!$B$39+Matchup!$B$40,3,0)))</f>
        <v>0</v>
      </c>
      <c r="S2179" s="0" t="n">
        <f aca="false">IF($I2179&lt;&gt;$O2179,0,IF(Q2179&lt;Matchup!$C$39,7,IF(Q2179&lt;Matchup!$C$39+Matchup!$C$40,3,0)))</f>
        <v>0</v>
      </c>
      <c r="T2179" s="0" t="n">
        <f aca="false">I2179+R2179</f>
        <v>34</v>
      </c>
      <c r="U2179" s="0" t="n">
        <f aca="false">O2179+S2179</f>
        <v>17</v>
      </c>
      <c r="V2179" s="0" t="n">
        <f aca="false">T2179-U2179</f>
        <v>17</v>
      </c>
      <c r="W2179" s="0" t="n">
        <f aca="false">T2179+U2179</f>
        <v>51</v>
      </c>
    </row>
    <row r="2180" customFormat="false" ht="15" hidden="false" customHeight="false" outlineLevel="0" collapsed="false">
      <c r="A2180" s="0" t="n">
        <v>2177</v>
      </c>
      <c r="B2180" s="0" t="n">
        <f aca="true">NORMINV(RAND(),1,Coefficients!$B$22)</f>
        <v>1.03477971319778</v>
      </c>
      <c r="C2180" s="0" t="n">
        <f aca="true">MEDIAN(8,16,ROUND(NORMINV(RAND(),Coefficients!$B$20,Coefficients!$B$21),0))</f>
        <v>11</v>
      </c>
      <c r="D2180" s="0" t="n">
        <f aca="true">CRITBINOM($C2180,MIN(0.75,Matchup!$B$39*$B2180),RAND())</f>
        <v>3</v>
      </c>
      <c r="E2180" s="0" t="n">
        <f aca="true">CRITBINOM(D2180,Coefficients!$B$30,RAND())</f>
        <v>0</v>
      </c>
      <c r="F2180" s="0" t="n">
        <f aca="true">CRITBINOM(E2180,Coefficients!$B$31,RAND())</f>
        <v>0</v>
      </c>
      <c r="G2180" s="0" t="n">
        <f aca="true">CRITBINOM(MAX(0,D2180-E2180),1-Coefficients!$B$32,RAND())</f>
        <v>0</v>
      </c>
      <c r="H2180" s="0" t="n">
        <f aca="true">CRITBINOM(MAX(0,$C2180-D2180),MIN(0.6,Matchup!$B$40*SQRT($B2180)/(1-MIN(0.75,Matchup!$B$39*$B2180))),RAND())</f>
        <v>1</v>
      </c>
      <c r="I2180" s="0" t="n">
        <f aca="false">6*D2180+(D2180-E2180-G2180)+2*F2180+3*H2180</f>
        <v>24</v>
      </c>
      <c r="J2180" s="0" t="n">
        <f aca="true">CRITBINOM($C2180,MIN(0.75,Matchup!$C$39*$B2180),RAND())</f>
        <v>2</v>
      </c>
      <c r="K2180" s="0" t="n">
        <f aca="true">CRITBINOM(J2180,Coefficients!$B$30,RAND())</f>
        <v>1</v>
      </c>
      <c r="L2180" s="0" t="n">
        <f aca="true">CRITBINOM(K2180,Coefficients!$B$31,RAND())</f>
        <v>1</v>
      </c>
      <c r="M2180" s="0" t="n">
        <f aca="true">CRITBINOM(MAX(0,J2180-K2180),1-Coefficients!$B$32,RAND())</f>
        <v>0</v>
      </c>
      <c r="N2180" s="0" t="n">
        <f aca="true">CRITBINOM(MAX(0,$C2180-J2180),MIN(0.6,Matchup!$C$40*SQRT($B2180)/(1-MIN(0.75,Matchup!$C$39*$B2180))),RAND())</f>
        <v>3</v>
      </c>
      <c r="O2180" s="0" t="n">
        <f aca="false">6*J2180+(J2180-K2180-M2180)+2*L2180+3*N2180</f>
        <v>24</v>
      </c>
      <c r="P2180" s="0" t="n">
        <f aca="true">RAND()</f>
        <v>0.935936974555524</v>
      </c>
      <c r="Q2180" s="0" t="n">
        <f aca="true">RAND()</f>
        <v>0.320410931906828</v>
      </c>
      <c r="R2180" s="0" t="n">
        <f aca="false">IF($I2180&lt;&gt;$O2180,0,IF(P2180&lt;Matchup!$B$39,7,IF(P2180&lt;Matchup!$B$39+Matchup!$B$40,3,0)))</f>
        <v>0</v>
      </c>
      <c r="S2180" s="0" t="n">
        <f aca="false">IF($I2180&lt;&gt;$O2180,0,IF(Q2180&lt;Matchup!$C$39,7,IF(Q2180&lt;Matchup!$C$39+Matchup!$C$40,3,0)))</f>
        <v>3</v>
      </c>
      <c r="T2180" s="0" t="n">
        <f aca="false">I2180+R2180</f>
        <v>24</v>
      </c>
      <c r="U2180" s="0" t="n">
        <f aca="false">O2180+S2180</f>
        <v>27</v>
      </c>
      <c r="V2180" s="0" t="n">
        <f aca="false">T2180-U2180</f>
        <v>-3</v>
      </c>
      <c r="W2180" s="0" t="n">
        <f aca="false">T2180+U2180</f>
        <v>51</v>
      </c>
    </row>
    <row r="2181" customFormat="false" ht="15" hidden="false" customHeight="false" outlineLevel="0" collapsed="false">
      <c r="A2181" s="0" t="n">
        <v>2178</v>
      </c>
      <c r="B2181" s="0" t="n">
        <f aca="true">NORMINV(RAND(),1,Coefficients!$B$22)</f>
        <v>0.906069251555502</v>
      </c>
      <c r="C2181" s="0" t="n">
        <f aca="true">MEDIAN(8,16,ROUND(NORMINV(RAND(),Coefficients!$B$20,Coefficients!$B$21),0))</f>
        <v>12</v>
      </c>
      <c r="D2181" s="0" t="n">
        <f aca="true">CRITBINOM($C2181,MIN(0.75,Matchup!$B$39*$B2181),RAND())</f>
        <v>3</v>
      </c>
      <c r="E2181" s="0" t="n">
        <f aca="true">CRITBINOM(D2181,Coefficients!$B$30,RAND())</f>
        <v>0</v>
      </c>
      <c r="F2181" s="0" t="n">
        <f aca="true">CRITBINOM(E2181,Coefficients!$B$31,RAND())</f>
        <v>0</v>
      </c>
      <c r="G2181" s="0" t="n">
        <f aca="true">CRITBINOM(MAX(0,D2181-E2181),1-Coefficients!$B$32,RAND())</f>
        <v>0</v>
      </c>
      <c r="H2181" s="0" t="n">
        <f aca="true">CRITBINOM(MAX(0,$C2181-D2181),MIN(0.6,Matchup!$B$40*SQRT($B2181)/(1-MIN(0.75,Matchup!$B$39*$B2181))),RAND())</f>
        <v>1</v>
      </c>
      <c r="I2181" s="0" t="n">
        <f aca="false">6*D2181+(D2181-E2181-G2181)+2*F2181+3*H2181</f>
        <v>24</v>
      </c>
      <c r="J2181" s="0" t="n">
        <f aca="true">CRITBINOM($C2181,MIN(0.75,Matchup!$C$39*$B2181),RAND())</f>
        <v>2</v>
      </c>
      <c r="K2181" s="0" t="n">
        <f aca="true">CRITBINOM(J2181,Coefficients!$B$30,RAND())</f>
        <v>0</v>
      </c>
      <c r="L2181" s="0" t="n">
        <f aca="true">CRITBINOM(K2181,Coefficients!$B$31,RAND())</f>
        <v>0</v>
      </c>
      <c r="M2181" s="0" t="n">
        <f aca="true">CRITBINOM(MAX(0,J2181-K2181),1-Coefficients!$B$32,RAND())</f>
        <v>0</v>
      </c>
      <c r="N2181" s="0" t="n">
        <f aca="true">CRITBINOM(MAX(0,$C2181-J2181),MIN(0.6,Matchup!$C$40*SQRT($B2181)/(1-MIN(0.75,Matchup!$C$39*$B2181))),RAND())</f>
        <v>2</v>
      </c>
      <c r="O2181" s="0" t="n">
        <f aca="false">6*J2181+(J2181-K2181-M2181)+2*L2181+3*N2181</f>
        <v>20</v>
      </c>
      <c r="P2181" s="0" t="n">
        <f aca="true">RAND()</f>
        <v>0.218003345109944</v>
      </c>
      <c r="Q2181" s="0" t="n">
        <f aca="true">RAND()</f>
        <v>0.531528971407273</v>
      </c>
      <c r="R2181" s="0" t="n">
        <f aca="false">IF($I2181&lt;&gt;$O2181,0,IF(P2181&lt;Matchup!$B$39,7,IF(P2181&lt;Matchup!$B$39+Matchup!$B$40,3,0)))</f>
        <v>0</v>
      </c>
      <c r="S2181" s="0" t="n">
        <f aca="false">IF($I2181&lt;&gt;$O2181,0,IF(Q2181&lt;Matchup!$C$39,7,IF(Q2181&lt;Matchup!$C$39+Matchup!$C$40,3,0)))</f>
        <v>0</v>
      </c>
      <c r="T2181" s="0" t="n">
        <f aca="false">I2181+R2181</f>
        <v>24</v>
      </c>
      <c r="U2181" s="0" t="n">
        <f aca="false">O2181+S2181</f>
        <v>20</v>
      </c>
      <c r="V2181" s="0" t="n">
        <f aca="false">T2181-U2181</f>
        <v>4</v>
      </c>
      <c r="W2181" s="0" t="n">
        <f aca="false">T2181+U2181</f>
        <v>44</v>
      </c>
    </row>
    <row r="2182" customFormat="false" ht="15" hidden="false" customHeight="false" outlineLevel="0" collapsed="false">
      <c r="A2182" s="0" t="n">
        <v>2179</v>
      </c>
      <c r="B2182" s="0" t="n">
        <f aca="true">NORMINV(RAND(),1,Coefficients!$B$22)</f>
        <v>0.926742389951196</v>
      </c>
      <c r="C2182" s="0" t="n">
        <f aca="true">MEDIAN(8,16,ROUND(NORMINV(RAND(),Coefficients!$B$20,Coefficients!$B$21),0))</f>
        <v>13</v>
      </c>
      <c r="D2182" s="0" t="n">
        <f aca="true">CRITBINOM($C2182,MIN(0.75,Matchup!$B$39*$B2182),RAND())</f>
        <v>4</v>
      </c>
      <c r="E2182" s="0" t="n">
        <f aca="true">CRITBINOM(D2182,Coefficients!$B$30,RAND())</f>
        <v>0</v>
      </c>
      <c r="F2182" s="0" t="n">
        <f aca="true">CRITBINOM(E2182,Coefficients!$B$31,RAND())</f>
        <v>0</v>
      </c>
      <c r="G2182" s="0" t="n">
        <f aca="true">CRITBINOM(MAX(0,D2182-E2182),1-Coefficients!$B$32,RAND())</f>
        <v>0</v>
      </c>
      <c r="H2182" s="0" t="n">
        <f aca="true">CRITBINOM(MAX(0,$C2182-D2182),MIN(0.6,Matchup!$B$40*SQRT($B2182)/(1-MIN(0.75,Matchup!$B$39*$B2182))),RAND())</f>
        <v>2</v>
      </c>
      <c r="I2182" s="0" t="n">
        <f aca="false">6*D2182+(D2182-E2182-G2182)+2*F2182+3*H2182</f>
        <v>34</v>
      </c>
      <c r="J2182" s="0" t="n">
        <f aca="true">CRITBINOM($C2182,MIN(0.75,Matchup!$C$39*$B2182),RAND())</f>
        <v>3</v>
      </c>
      <c r="K2182" s="0" t="n">
        <f aca="true">CRITBINOM(J2182,Coefficients!$B$30,RAND())</f>
        <v>1</v>
      </c>
      <c r="L2182" s="0" t="n">
        <f aca="true">CRITBINOM(K2182,Coefficients!$B$31,RAND())</f>
        <v>1</v>
      </c>
      <c r="M2182" s="0" t="n">
        <f aca="true">CRITBINOM(MAX(0,J2182-K2182),1-Coefficients!$B$32,RAND())</f>
        <v>0</v>
      </c>
      <c r="N2182" s="0" t="n">
        <f aca="true">CRITBINOM(MAX(0,$C2182-J2182),MIN(0.6,Matchup!$C$40*SQRT($B2182)/(1-MIN(0.75,Matchup!$C$39*$B2182))),RAND())</f>
        <v>2</v>
      </c>
      <c r="O2182" s="0" t="n">
        <f aca="false">6*J2182+(J2182-K2182-M2182)+2*L2182+3*N2182</f>
        <v>28</v>
      </c>
      <c r="P2182" s="0" t="n">
        <f aca="true">RAND()</f>
        <v>0.823317450911286</v>
      </c>
      <c r="Q2182" s="0" t="n">
        <f aca="true">RAND()</f>
        <v>0.0592161489441197</v>
      </c>
      <c r="R2182" s="0" t="n">
        <f aca="false">IF($I2182&lt;&gt;$O2182,0,IF(P2182&lt;Matchup!$B$39,7,IF(P2182&lt;Matchup!$B$39+Matchup!$B$40,3,0)))</f>
        <v>0</v>
      </c>
      <c r="S2182" s="0" t="n">
        <f aca="false">IF($I2182&lt;&gt;$O2182,0,IF(Q2182&lt;Matchup!$C$39,7,IF(Q2182&lt;Matchup!$C$39+Matchup!$C$40,3,0)))</f>
        <v>0</v>
      </c>
      <c r="T2182" s="0" t="n">
        <f aca="false">I2182+R2182</f>
        <v>34</v>
      </c>
      <c r="U2182" s="0" t="n">
        <f aca="false">O2182+S2182</f>
        <v>28</v>
      </c>
      <c r="V2182" s="0" t="n">
        <f aca="false">T2182-U2182</f>
        <v>6</v>
      </c>
      <c r="W2182" s="0" t="n">
        <f aca="false">T2182+U2182</f>
        <v>62</v>
      </c>
    </row>
    <row r="2183" customFormat="false" ht="15" hidden="false" customHeight="false" outlineLevel="0" collapsed="false">
      <c r="A2183" s="0" t="n">
        <v>2180</v>
      </c>
      <c r="B2183" s="0" t="n">
        <f aca="true">NORMINV(RAND(),1,Coefficients!$B$22)</f>
        <v>1.11960150030201</v>
      </c>
      <c r="C2183" s="0" t="n">
        <f aca="true">MEDIAN(8,16,ROUND(NORMINV(RAND(),Coefficients!$B$20,Coefficients!$B$21),0))</f>
        <v>9</v>
      </c>
      <c r="D2183" s="0" t="n">
        <f aca="true">CRITBINOM($C2183,MIN(0.75,Matchup!$B$39*$B2183),RAND())</f>
        <v>1</v>
      </c>
      <c r="E2183" s="0" t="n">
        <f aca="true">CRITBINOM(D2183,Coefficients!$B$30,RAND())</f>
        <v>0</v>
      </c>
      <c r="F2183" s="0" t="n">
        <f aca="true">CRITBINOM(E2183,Coefficients!$B$31,RAND())</f>
        <v>0</v>
      </c>
      <c r="G2183" s="0" t="n">
        <f aca="true">CRITBINOM(MAX(0,D2183-E2183),1-Coefficients!$B$32,RAND())</f>
        <v>0</v>
      </c>
      <c r="H2183" s="0" t="n">
        <f aca="true">CRITBINOM(MAX(0,$C2183-D2183),MIN(0.6,Matchup!$B$40*SQRT($B2183)/(1-MIN(0.75,Matchup!$B$39*$B2183))),RAND())</f>
        <v>0</v>
      </c>
      <c r="I2183" s="0" t="n">
        <f aca="false">6*D2183+(D2183-E2183-G2183)+2*F2183+3*H2183</f>
        <v>7</v>
      </c>
      <c r="J2183" s="0" t="n">
        <f aca="true">CRITBINOM($C2183,MIN(0.75,Matchup!$C$39*$B2183),RAND())</f>
        <v>3</v>
      </c>
      <c r="K2183" s="0" t="n">
        <f aca="true">CRITBINOM(J2183,Coefficients!$B$30,RAND())</f>
        <v>0</v>
      </c>
      <c r="L2183" s="0" t="n">
        <f aca="true">CRITBINOM(K2183,Coefficients!$B$31,RAND())</f>
        <v>0</v>
      </c>
      <c r="M2183" s="0" t="n">
        <f aca="true">CRITBINOM(MAX(0,J2183-K2183),1-Coefficients!$B$32,RAND())</f>
        <v>0</v>
      </c>
      <c r="N2183" s="0" t="n">
        <f aca="true">CRITBINOM(MAX(0,$C2183-J2183),MIN(0.6,Matchup!$C$40*SQRT($B2183)/(1-MIN(0.75,Matchup!$C$39*$B2183))),RAND())</f>
        <v>1</v>
      </c>
      <c r="O2183" s="0" t="n">
        <f aca="false">6*J2183+(J2183-K2183-M2183)+2*L2183+3*N2183</f>
        <v>24</v>
      </c>
      <c r="P2183" s="0" t="n">
        <f aca="true">RAND()</f>
        <v>0.203091602240045</v>
      </c>
      <c r="Q2183" s="0" t="n">
        <f aca="true">RAND()</f>
        <v>0.61161423469103</v>
      </c>
      <c r="R2183" s="0" t="n">
        <f aca="false">IF($I2183&lt;&gt;$O2183,0,IF(P2183&lt;Matchup!$B$39,7,IF(P2183&lt;Matchup!$B$39+Matchup!$B$40,3,0)))</f>
        <v>0</v>
      </c>
      <c r="S2183" s="0" t="n">
        <f aca="false">IF($I2183&lt;&gt;$O2183,0,IF(Q2183&lt;Matchup!$C$39,7,IF(Q2183&lt;Matchup!$C$39+Matchup!$C$40,3,0)))</f>
        <v>0</v>
      </c>
      <c r="T2183" s="0" t="n">
        <f aca="false">I2183+R2183</f>
        <v>7</v>
      </c>
      <c r="U2183" s="0" t="n">
        <f aca="false">O2183+S2183</f>
        <v>24</v>
      </c>
      <c r="V2183" s="0" t="n">
        <f aca="false">T2183-U2183</f>
        <v>-17</v>
      </c>
      <c r="W2183" s="0" t="n">
        <f aca="false">T2183+U2183</f>
        <v>31</v>
      </c>
    </row>
    <row r="2184" customFormat="false" ht="15" hidden="false" customHeight="false" outlineLevel="0" collapsed="false">
      <c r="A2184" s="0" t="n">
        <v>2181</v>
      </c>
      <c r="B2184" s="0" t="n">
        <f aca="true">NORMINV(RAND(),1,Coefficients!$B$22)</f>
        <v>0.9623295088086</v>
      </c>
      <c r="C2184" s="0" t="n">
        <f aca="true">MEDIAN(8,16,ROUND(NORMINV(RAND(),Coefficients!$B$20,Coefficients!$B$21),0))</f>
        <v>9</v>
      </c>
      <c r="D2184" s="0" t="n">
        <f aca="true">CRITBINOM($C2184,MIN(0.75,Matchup!$B$39*$B2184),RAND())</f>
        <v>1</v>
      </c>
      <c r="E2184" s="0" t="n">
        <f aca="true">CRITBINOM(D2184,Coefficients!$B$30,RAND())</f>
        <v>0</v>
      </c>
      <c r="F2184" s="0" t="n">
        <f aca="true">CRITBINOM(E2184,Coefficients!$B$31,RAND())</f>
        <v>0</v>
      </c>
      <c r="G2184" s="0" t="n">
        <f aca="true">CRITBINOM(MAX(0,D2184-E2184),1-Coefficients!$B$32,RAND())</f>
        <v>0</v>
      </c>
      <c r="H2184" s="0" t="n">
        <f aca="true">CRITBINOM(MAX(0,$C2184-D2184),MIN(0.6,Matchup!$B$40*SQRT($B2184)/(1-MIN(0.75,Matchup!$B$39*$B2184))),RAND())</f>
        <v>0</v>
      </c>
      <c r="I2184" s="0" t="n">
        <f aca="false">6*D2184+(D2184-E2184-G2184)+2*F2184+3*H2184</f>
        <v>7</v>
      </c>
      <c r="J2184" s="0" t="n">
        <f aca="true">CRITBINOM($C2184,MIN(0.75,Matchup!$C$39*$B2184),RAND())</f>
        <v>2</v>
      </c>
      <c r="K2184" s="0" t="n">
        <f aca="true">CRITBINOM(J2184,Coefficients!$B$30,RAND())</f>
        <v>0</v>
      </c>
      <c r="L2184" s="0" t="n">
        <f aca="true">CRITBINOM(K2184,Coefficients!$B$31,RAND())</f>
        <v>0</v>
      </c>
      <c r="M2184" s="0" t="n">
        <f aca="true">CRITBINOM(MAX(0,J2184-K2184),1-Coefficients!$B$32,RAND())</f>
        <v>0</v>
      </c>
      <c r="N2184" s="0" t="n">
        <f aca="true">CRITBINOM(MAX(0,$C2184-J2184),MIN(0.6,Matchup!$C$40*SQRT($B2184)/(1-MIN(0.75,Matchup!$C$39*$B2184))),RAND())</f>
        <v>0</v>
      </c>
      <c r="O2184" s="0" t="n">
        <f aca="false">6*J2184+(J2184-K2184-M2184)+2*L2184+3*N2184</f>
        <v>14</v>
      </c>
      <c r="P2184" s="0" t="n">
        <f aca="true">RAND()</f>
        <v>0.384345748184192</v>
      </c>
      <c r="Q2184" s="0" t="n">
        <f aca="true">RAND()</f>
        <v>0.826074947113749</v>
      </c>
      <c r="R2184" s="0" t="n">
        <f aca="false">IF($I2184&lt;&gt;$O2184,0,IF(P2184&lt;Matchup!$B$39,7,IF(P2184&lt;Matchup!$B$39+Matchup!$B$40,3,0)))</f>
        <v>0</v>
      </c>
      <c r="S2184" s="0" t="n">
        <f aca="false">IF($I2184&lt;&gt;$O2184,0,IF(Q2184&lt;Matchup!$C$39,7,IF(Q2184&lt;Matchup!$C$39+Matchup!$C$40,3,0)))</f>
        <v>0</v>
      </c>
      <c r="T2184" s="0" t="n">
        <f aca="false">I2184+R2184</f>
        <v>7</v>
      </c>
      <c r="U2184" s="0" t="n">
        <f aca="false">O2184+S2184</f>
        <v>14</v>
      </c>
      <c r="V2184" s="0" t="n">
        <f aca="false">T2184-U2184</f>
        <v>-7</v>
      </c>
      <c r="W2184" s="0" t="n">
        <f aca="false">T2184+U2184</f>
        <v>21</v>
      </c>
    </row>
    <row r="2185" customFormat="false" ht="15" hidden="false" customHeight="false" outlineLevel="0" collapsed="false">
      <c r="A2185" s="0" t="n">
        <v>2182</v>
      </c>
      <c r="B2185" s="0" t="n">
        <f aca="true">NORMINV(RAND(),1,Coefficients!$B$22)</f>
        <v>0.835122541638476</v>
      </c>
      <c r="C2185" s="0" t="n">
        <f aca="true">MEDIAN(8,16,ROUND(NORMINV(RAND(),Coefficients!$B$20,Coefficients!$B$21),0))</f>
        <v>11</v>
      </c>
      <c r="D2185" s="0" t="n">
        <f aca="true">CRITBINOM($C2185,MIN(0.75,Matchup!$B$39*$B2185),RAND())</f>
        <v>2</v>
      </c>
      <c r="E2185" s="0" t="n">
        <f aca="true">CRITBINOM(D2185,Coefficients!$B$30,RAND())</f>
        <v>0</v>
      </c>
      <c r="F2185" s="0" t="n">
        <f aca="true">CRITBINOM(E2185,Coefficients!$B$31,RAND())</f>
        <v>0</v>
      </c>
      <c r="G2185" s="0" t="n">
        <f aca="true">CRITBINOM(MAX(0,D2185-E2185),1-Coefficients!$B$32,RAND())</f>
        <v>0</v>
      </c>
      <c r="H2185" s="0" t="n">
        <f aca="true">CRITBINOM(MAX(0,$C2185-D2185),MIN(0.6,Matchup!$B$40*SQRT($B2185)/(1-MIN(0.75,Matchup!$B$39*$B2185))),RAND())</f>
        <v>0</v>
      </c>
      <c r="I2185" s="0" t="n">
        <f aca="false">6*D2185+(D2185-E2185-G2185)+2*F2185+3*H2185</f>
        <v>14</v>
      </c>
      <c r="J2185" s="0" t="n">
        <f aca="true">CRITBINOM($C2185,MIN(0.75,Matchup!$C$39*$B2185),RAND())</f>
        <v>2</v>
      </c>
      <c r="K2185" s="0" t="n">
        <f aca="true">CRITBINOM(J2185,Coefficients!$B$30,RAND())</f>
        <v>0</v>
      </c>
      <c r="L2185" s="0" t="n">
        <f aca="true">CRITBINOM(K2185,Coefficients!$B$31,RAND())</f>
        <v>0</v>
      </c>
      <c r="M2185" s="0" t="n">
        <f aca="true">CRITBINOM(MAX(0,J2185-K2185),1-Coefficients!$B$32,RAND())</f>
        <v>0</v>
      </c>
      <c r="N2185" s="0" t="n">
        <f aca="true">CRITBINOM(MAX(0,$C2185-J2185),MIN(0.6,Matchup!$C$40*SQRT($B2185)/(1-MIN(0.75,Matchup!$C$39*$B2185))),RAND())</f>
        <v>1</v>
      </c>
      <c r="O2185" s="0" t="n">
        <f aca="false">6*J2185+(J2185-K2185-M2185)+2*L2185+3*N2185</f>
        <v>17</v>
      </c>
      <c r="P2185" s="0" t="n">
        <f aca="true">RAND()</f>
        <v>0.793233624007067</v>
      </c>
      <c r="Q2185" s="0" t="n">
        <f aca="true">RAND()</f>
        <v>0.170448038356064</v>
      </c>
      <c r="R2185" s="0" t="n">
        <f aca="false">IF($I2185&lt;&gt;$O2185,0,IF(P2185&lt;Matchup!$B$39,7,IF(P2185&lt;Matchup!$B$39+Matchup!$B$40,3,0)))</f>
        <v>0</v>
      </c>
      <c r="S2185" s="0" t="n">
        <f aca="false">IF($I2185&lt;&gt;$O2185,0,IF(Q2185&lt;Matchup!$C$39,7,IF(Q2185&lt;Matchup!$C$39+Matchup!$C$40,3,0)))</f>
        <v>0</v>
      </c>
      <c r="T2185" s="0" t="n">
        <f aca="false">I2185+R2185</f>
        <v>14</v>
      </c>
      <c r="U2185" s="0" t="n">
        <f aca="false">O2185+S2185</f>
        <v>17</v>
      </c>
      <c r="V2185" s="0" t="n">
        <f aca="false">T2185-U2185</f>
        <v>-3</v>
      </c>
      <c r="W2185" s="0" t="n">
        <f aca="false">T2185+U2185</f>
        <v>31</v>
      </c>
    </row>
    <row r="2186" customFormat="false" ht="15" hidden="false" customHeight="false" outlineLevel="0" collapsed="false">
      <c r="A2186" s="0" t="n">
        <v>2183</v>
      </c>
      <c r="B2186" s="0" t="n">
        <f aca="true">NORMINV(RAND(),1,Coefficients!$B$22)</f>
        <v>0.95651622856568</v>
      </c>
      <c r="C2186" s="0" t="n">
        <f aca="true">MEDIAN(8,16,ROUND(NORMINV(RAND(),Coefficients!$B$20,Coefficients!$B$21),0))</f>
        <v>12</v>
      </c>
      <c r="D2186" s="0" t="n">
        <f aca="true">CRITBINOM($C2186,MIN(0.75,Matchup!$B$39*$B2186),RAND())</f>
        <v>3</v>
      </c>
      <c r="E2186" s="0" t="n">
        <f aca="true">CRITBINOM(D2186,Coefficients!$B$30,RAND())</f>
        <v>0</v>
      </c>
      <c r="F2186" s="0" t="n">
        <f aca="true">CRITBINOM(E2186,Coefficients!$B$31,RAND())</f>
        <v>0</v>
      </c>
      <c r="G2186" s="0" t="n">
        <f aca="true">CRITBINOM(MAX(0,D2186-E2186),1-Coefficients!$B$32,RAND())</f>
        <v>0</v>
      </c>
      <c r="H2186" s="0" t="n">
        <f aca="true">CRITBINOM(MAX(0,$C2186-D2186),MIN(0.6,Matchup!$B$40*SQRT($B2186)/(1-MIN(0.75,Matchup!$B$39*$B2186))),RAND())</f>
        <v>3</v>
      </c>
      <c r="I2186" s="0" t="n">
        <f aca="false">6*D2186+(D2186-E2186-G2186)+2*F2186+3*H2186</f>
        <v>30</v>
      </c>
      <c r="J2186" s="0" t="n">
        <f aca="true">CRITBINOM($C2186,MIN(0.75,Matchup!$C$39*$B2186),RAND())</f>
        <v>3</v>
      </c>
      <c r="K2186" s="0" t="n">
        <f aca="true">CRITBINOM(J2186,Coefficients!$B$30,RAND())</f>
        <v>1</v>
      </c>
      <c r="L2186" s="0" t="n">
        <f aca="true">CRITBINOM(K2186,Coefficients!$B$31,RAND())</f>
        <v>0</v>
      </c>
      <c r="M2186" s="0" t="n">
        <f aca="true">CRITBINOM(MAX(0,J2186-K2186),1-Coefficients!$B$32,RAND())</f>
        <v>0</v>
      </c>
      <c r="N2186" s="0" t="n">
        <f aca="true">CRITBINOM(MAX(0,$C2186-J2186),MIN(0.6,Matchup!$C$40*SQRT($B2186)/(1-MIN(0.75,Matchup!$C$39*$B2186))),RAND())</f>
        <v>1</v>
      </c>
      <c r="O2186" s="0" t="n">
        <f aca="false">6*J2186+(J2186-K2186-M2186)+2*L2186+3*N2186</f>
        <v>23</v>
      </c>
      <c r="P2186" s="0" t="n">
        <f aca="true">RAND()</f>
        <v>0.309317369745095</v>
      </c>
      <c r="Q2186" s="0" t="n">
        <f aca="true">RAND()</f>
        <v>0.775091419253578</v>
      </c>
      <c r="R2186" s="0" t="n">
        <f aca="false">IF($I2186&lt;&gt;$O2186,0,IF(P2186&lt;Matchup!$B$39,7,IF(P2186&lt;Matchup!$B$39+Matchup!$B$40,3,0)))</f>
        <v>0</v>
      </c>
      <c r="S2186" s="0" t="n">
        <f aca="false">IF($I2186&lt;&gt;$O2186,0,IF(Q2186&lt;Matchup!$C$39,7,IF(Q2186&lt;Matchup!$C$39+Matchup!$C$40,3,0)))</f>
        <v>0</v>
      </c>
      <c r="T2186" s="0" t="n">
        <f aca="false">I2186+R2186</f>
        <v>30</v>
      </c>
      <c r="U2186" s="0" t="n">
        <f aca="false">O2186+S2186</f>
        <v>23</v>
      </c>
      <c r="V2186" s="0" t="n">
        <f aca="false">T2186-U2186</f>
        <v>7</v>
      </c>
      <c r="W2186" s="0" t="n">
        <f aca="false">T2186+U2186</f>
        <v>53</v>
      </c>
    </row>
    <row r="2187" customFormat="false" ht="15" hidden="false" customHeight="false" outlineLevel="0" collapsed="false">
      <c r="A2187" s="0" t="n">
        <v>2184</v>
      </c>
      <c r="B2187" s="0" t="n">
        <f aca="true">NORMINV(RAND(),1,Coefficients!$B$22)</f>
        <v>1.03244713155818</v>
      </c>
      <c r="C2187" s="0" t="n">
        <f aca="true">MEDIAN(8,16,ROUND(NORMINV(RAND(),Coefficients!$B$20,Coefficients!$B$21),0))</f>
        <v>10</v>
      </c>
      <c r="D2187" s="0" t="n">
        <f aca="true">CRITBINOM($C2187,MIN(0.75,Matchup!$B$39*$B2187),RAND())</f>
        <v>0</v>
      </c>
      <c r="E2187" s="0" t="n">
        <f aca="true">CRITBINOM(D2187,Coefficients!$B$30,RAND())</f>
        <v>0</v>
      </c>
      <c r="F2187" s="0" t="n">
        <f aca="true">CRITBINOM(E2187,Coefficients!$B$31,RAND())</f>
        <v>0</v>
      </c>
      <c r="G2187" s="0" t="n">
        <f aca="true">CRITBINOM(MAX(0,D2187-E2187),1-Coefficients!$B$32,RAND())</f>
        <v>0</v>
      </c>
      <c r="H2187" s="0" t="n">
        <f aca="true">CRITBINOM(MAX(0,$C2187-D2187),MIN(0.6,Matchup!$B$40*SQRT($B2187)/(1-MIN(0.75,Matchup!$B$39*$B2187))),RAND())</f>
        <v>1</v>
      </c>
      <c r="I2187" s="0" t="n">
        <f aca="false">6*D2187+(D2187-E2187-G2187)+2*F2187+3*H2187</f>
        <v>3</v>
      </c>
      <c r="J2187" s="0" t="n">
        <f aca="true">CRITBINOM($C2187,MIN(0.75,Matchup!$C$39*$B2187),RAND())</f>
        <v>3</v>
      </c>
      <c r="K2187" s="0" t="n">
        <f aca="true">CRITBINOM(J2187,Coefficients!$B$30,RAND())</f>
        <v>0</v>
      </c>
      <c r="L2187" s="0" t="n">
        <f aca="true">CRITBINOM(K2187,Coefficients!$B$31,RAND())</f>
        <v>0</v>
      </c>
      <c r="M2187" s="0" t="n">
        <f aca="true">CRITBINOM(MAX(0,J2187-K2187),1-Coefficients!$B$32,RAND())</f>
        <v>0</v>
      </c>
      <c r="N2187" s="0" t="n">
        <f aca="true">CRITBINOM(MAX(0,$C2187-J2187),MIN(0.6,Matchup!$C$40*SQRT($B2187)/(1-MIN(0.75,Matchup!$C$39*$B2187))),RAND())</f>
        <v>1</v>
      </c>
      <c r="O2187" s="0" t="n">
        <f aca="false">6*J2187+(J2187-K2187-M2187)+2*L2187+3*N2187</f>
        <v>24</v>
      </c>
      <c r="P2187" s="0" t="n">
        <f aca="true">RAND()</f>
        <v>0.285724971764306</v>
      </c>
      <c r="Q2187" s="0" t="n">
        <f aca="true">RAND()</f>
        <v>0.108403930379693</v>
      </c>
      <c r="R2187" s="0" t="n">
        <f aca="false">IF($I2187&lt;&gt;$O2187,0,IF(P2187&lt;Matchup!$B$39,7,IF(P2187&lt;Matchup!$B$39+Matchup!$B$40,3,0)))</f>
        <v>0</v>
      </c>
      <c r="S2187" s="0" t="n">
        <f aca="false">IF($I2187&lt;&gt;$O2187,0,IF(Q2187&lt;Matchup!$C$39,7,IF(Q2187&lt;Matchup!$C$39+Matchup!$C$40,3,0)))</f>
        <v>0</v>
      </c>
      <c r="T2187" s="0" t="n">
        <f aca="false">I2187+R2187</f>
        <v>3</v>
      </c>
      <c r="U2187" s="0" t="n">
        <f aca="false">O2187+S2187</f>
        <v>24</v>
      </c>
      <c r="V2187" s="0" t="n">
        <f aca="false">T2187-U2187</f>
        <v>-21</v>
      </c>
      <c r="W2187" s="0" t="n">
        <f aca="false">T2187+U2187</f>
        <v>27</v>
      </c>
    </row>
    <row r="2188" customFormat="false" ht="15" hidden="false" customHeight="false" outlineLevel="0" collapsed="false">
      <c r="A2188" s="0" t="n">
        <v>2185</v>
      </c>
      <c r="B2188" s="0" t="n">
        <f aca="true">NORMINV(RAND(),1,Coefficients!$B$22)</f>
        <v>1.13737021728437</v>
      </c>
      <c r="C2188" s="0" t="n">
        <f aca="true">MEDIAN(8,16,ROUND(NORMINV(RAND(),Coefficients!$B$20,Coefficients!$B$21),0))</f>
        <v>11</v>
      </c>
      <c r="D2188" s="0" t="n">
        <f aca="true">CRITBINOM($C2188,MIN(0.75,Matchup!$B$39*$B2188),RAND())</f>
        <v>2</v>
      </c>
      <c r="E2188" s="0" t="n">
        <f aca="true">CRITBINOM(D2188,Coefficients!$B$30,RAND())</f>
        <v>0</v>
      </c>
      <c r="F2188" s="0" t="n">
        <f aca="true">CRITBINOM(E2188,Coefficients!$B$31,RAND())</f>
        <v>0</v>
      </c>
      <c r="G2188" s="0" t="n">
        <f aca="true">CRITBINOM(MAX(0,D2188-E2188),1-Coefficients!$B$32,RAND())</f>
        <v>0</v>
      </c>
      <c r="H2188" s="0" t="n">
        <f aca="true">CRITBINOM(MAX(0,$C2188-D2188),MIN(0.6,Matchup!$B$40*SQRT($B2188)/(1-MIN(0.75,Matchup!$B$39*$B2188))),RAND())</f>
        <v>1</v>
      </c>
      <c r="I2188" s="0" t="n">
        <f aca="false">6*D2188+(D2188-E2188-G2188)+2*F2188+3*H2188</f>
        <v>17</v>
      </c>
      <c r="J2188" s="0" t="n">
        <f aca="true">CRITBINOM($C2188,MIN(0.75,Matchup!$C$39*$B2188),RAND())</f>
        <v>1</v>
      </c>
      <c r="K2188" s="0" t="n">
        <f aca="true">CRITBINOM(J2188,Coefficients!$B$30,RAND())</f>
        <v>0</v>
      </c>
      <c r="L2188" s="0" t="n">
        <f aca="true">CRITBINOM(K2188,Coefficients!$B$31,RAND())</f>
        <v>0</v>
      </c>
      <c r="M2188" s="0" t="n">
        <f aca="true">CRITBINOM(MAX(0,J2188-K2188),1-Coefficients!$B$32,RAND())</f>
        <v>0</v>
      </c>
      <c r="N2188" s="0" t="n">
        <f aca="true">CRITBINOM(MAX(0,$C2188-J2188),MIN(0.6,Matchup!$C$40*SQRT($B2188)/(1-MIN(0.75,Matchup!$C$39*$B2188))),RAND())</f>
        <v>2</v>
      </c>
      <c r="O2188" s="0" t="n">
        <f aca="false">6*J2188+(J2188-K2188-M2188)+2*L2188+3*N2188</f>
        <v>13</v>
      </c>
      <c r="P2188" s="0" t="n">
        <f aca="true">RAND()</f>
        <v>0.822063560205145</v>
      </c>
      <c r="Q2188" s="0" t="n">
        <f aca="true">RAND()</f>
        <v>0.357139599177867</v>
      </c>
      <c r="R2188" s="0" t="n">
        <f aca="false">IF($I2188&lt;&gt;$O2188,0,IF(P2188&lt;Matchup!$B$39,7,IF(P2188&lt;Matchup!$B$39+Matchup!$B$40,3,0)))</f>
        <v>0</v>
      </c>
      <c r="S2188" s="0" t="n">
        <f aca="false">IF($I2188&lt;&gt;$O2188,0,IF(Q2188&lt;Matchup!$C$39,7,IF(Q2188&lt;Matchup!$C$39+Matchup!$C$40,3,0)))</f>
        <v>0</v>
      </c>
      <c r="T2188" s="0" t="n">
        <f aca="false">I2188+R2188</f>
        <v>17</v>
      </c>
      <c r="U2188" s="0" t="n">
        <f aca="false">O2188+S2188</f>
        <v>13</v>
      </c>
      <c r="V2188" s="0" t="n">
        <f aca="false">T2188-U2188</f>
        <v>4</v>
      </c>
      <c r="W2188" s="0" t="n">
        <f aca="false">T2188+U2188</f>
        <v>30</v>
      </c>
    </row>
    <row r="2189" customFormat="false" ht="15" hidden="false" customHeight="false" outlineLevel="0" collapsed="false">
      <c r="A2189" s="0" t="n">
        <v>2186</v>
      </c>
      <c r="B2189" s="0" t="n">
        <f aca="true">NORMINV(RAND(),1,Coefficients!$B$22)</f>
        <v>0.928854871163677</v>
      </c>
      <c r="C2189" s="0" t="n">
        <f aca="true">MEDIAN(8,16,ROUND(NORMINV(RAND(),Coefficients!$B$20,Coefficients!$B$21),0))</f>
        <v>12</v>
      </c>
      <c r="D2189" s="0" t="n">
        <f aca="true">CRITBINOM($C2189,MIN(0.75,Matchup!$B$39*$B2189),RAND())</f>
        <v>5</v>
      </c>
      <c r="E2189" s="0" t="n">
        <f aca="true">CRITBINOM(D2189,Coefficients!$B$30,RAND())</f>
        <v>1</v>
      </c>
      <c r="F2189" s="0" t="n">
        <f aca="true">CRITBINOM(E2189,Coefficients!$B$31,RAND())</f>
        <v>1</v>
      </c>
      <c r="G2189" s="0" t="n">
        <f aca="true">CRITBINOM(MAX(0,D2189-E2189),1-Coefficients!$B$32,RAND())</f>
        <v>1</v>
      </c>
      <c r="H2189" s="0" t="n">
        <f aca="true">CRITBINOM(MAX(0,$C2189-D2189),MIN(0.6,Matchup!$B$40*SQRT($B2189)/(1-MIN(0.75,Matchup!$B$39*$B2189))),RAND())</f>
        <v>2</v>
      </c>
      <c r="I2189" s="0" t="n">
        <f aca="false">6*D2189+(D2189-E2189-G2189)+2*F2189+3*H2189</f>
        <v>41</v>
      </c>
      <c r="J2189" s="0" t="n">
        <f aca="true">CRITBINOM($C2189,MIN(0.75,Matchup!$C$39*$B2189),RAND())</f>
        <v>3</v>
      </c>
      <c r="K2189" s="0" t="n">
        <f aca="true">CRITBINOM(J2189,Coefficients!$B$30,RAND())</f>
        <v>1</v>
      </c>
      <c r="L2189" s="0" t="n">
        <f aca="true">CRITBINOM(K2189,Coefficients!$B$31,RAND())</f>
        <v>0</v>
      </c>
      <c r="M2189" s="0" t="n">
        <f aca="true">CRITBINOM(MAX(0,J2189-K2189),1-Coefficients!$B$32,RAND())</f>
        <v>0</v>
      </c>
      <c r="N2189" s="0" t="n">
        <f aca="true">CRITBINOM(MAX(0,$C2189-J2189),MIN(0.6,Matchup!$C$40*SQRT($B2189)/(1-MIN(0.75,Matchup!$C$39*$B2189))),RAND())</f>
        <v>2</v>
      </c>
      <c r="O2189" s="0" t="n">
        <f aca="false">6*J2189+(J2189-K2189-M2189)+2*L2189+3*N2189</f>
        <v>26</v>
      </c>
      <c r="P2189" s="0" t="n">
        <f aca="true">RAND()</f>
        <v>0.22748453534887</v>
      </c>
      <c r="Q2189" s="0" t="n">
        <f aca="true">RAND()</f>
        <v>0.828421543708877</v>
      </c>
      <c r="R2189" s="0" t="n">
        <f aca="false">IF($I2189&lt;&gt;$O2189,0,IF(P2189&lt;Matchup!$B$39,7,IF(P2189&lt;Matchup!$B$39+Matchup!$B$40,3,0)))</f>
        <v>0</v>
      </c>
      <c r="S2189" s="0" t="n">
        <f aca="false">IF($I2189&lt;&gt;$O2189,0,IF(Q2189&lt;Matchup!$C$39,7,IF(Q2189&lt;Matchup!$C$39+Matchup!$C$40,3,0)))</f>
        <v>0</v>
      </c>
      <c r="T2189" s="0" t="n">
        <f aca="false">I2189+R2189</f>
        <v>41</v>
      </c>
      <c r="U2189" s="0" t="n">
        <f aca="false">O2189+S2189</f>
        <v>26</v>
      </c>
      <c r="V2189" s="0" t="n">
        <f aca="false">T2189-U2189</f>
        <v>15</v>
      </c>
      <c r="W2189" s="0" t="n">
        <f aca="false">T2189+U2189</f>
        <v>67</v>
      </c>
    </row>
    <row r="2190" customFormat="false" ht="15" hidden="false" customHeight="false" outlineLevel="0" collapsed="false">
      <c r="A2190" s="0" t="n">
        <v>2187</v>
      </c>
      <c r="B2190" s="0" t="n">
        <f aca="true">NORMINV(RAND(),1,Coefficients!$B$22)</f>
        <v>1.00013528435547</v>
      </c>
      <c r="C2190" s="0" t="n">
        <f aca="true">MEDIAN(8,16,ROUND(NORMINV(RAND(),Coefficients!$B$20,Coefficients!$B$21),0))</f>
        <v>11</v>
      </c>
      <c r="D2190" s="0" t="n">
        <f aca="true">CRITBINOM($C2190,MIN(0.75,Matchup!$B$39*$B2190),RAND())</f>
        <v>3</v>
      </c>
      <c r="E2190" s="0" t="n">
        <f aca="true">CRITBINOM(D2190,Coefficients!$B$30,RAND())</f>
        <v>0</v>
      </c>
      <c r="F2190" s="0" t="n">
        <f aca="true">CRITBINOM(E2190,Coefficients!$B$31,RAND())</f>
        <v>0</v>
      </c>
      <c r="G2190" s="0" t="n">
        <f aca="true">CRITBINOM(MAX(0,D2190-E2190),1-Coefficients!$B$32,RAND())</f>
        <v>1</v>
      </c>
      <c r="H2190" s="0" t="n">
        <f aca="true">CRITBINOM(MAX(0,$C2190-D2190),MIN(0.6,Matchup!$B$40*SQRT($B2190)/(1-MIN(0.75,Matchup!$B$39*$B2190))),RAND())</f>
        <v>0</v>
      </c>
      <c r="I2190" s="0" t="n">
        <f aca="false">6*D2190+(D2190-E2190-G2190)+2*F2190+3*H2190</f>
        <v>20</v>
      </c>
      <c r="J2190" s="0" t="n">
        <f aca="true">CRITBINOM($C2190,MIN(0.75,Matchup!$C$39*$B2190),RAND())</f>
        <v>0</v>
      </c>
      <c r="K2190" s="0" t="n">
        <f aca="true">CRITBINOM(J2190,Coefficients!$B$30,RAND())</f>
        <v>0</v>
      </c>
      <c r="L2190" s="0" t="n">
        <f aca="true">CRITBINOM(K2190,Coefficients!$B$31,RAND())</f>
        <v>0</v>
      </c>
      <c r="M2190" s="0" t="n">
        <f aca="true">CRITBINOM(MAX(0,J2190-K2190),1-Coefficients!$B$32,RAND())</f>
        <v>0</v>
      </c>
      <c r="N2190" s="0" t="n">
        <f aca="true">CRITBINOM(MAX(0,$C2190-J2190),MIN(0.6,Matchup!$C$40*SQRT($B2190)/(1-MIN(0.75,Matchup!$C$39*$B2190))),RAND())</f>
        <v>2</v>
      </c>
      <c r="O2190" s="0" t="n">
        <f aca="false">6*J2190+(J2190-K2190-M2190)+2*L2190+3*N2190</f>
        <v>6</v>
      </c>
      <c r="P2190" s="0" t="n">
        <f aca="true">RAND()</f>
        <v>0.173546953407777</v>
      </c>
      <c r="Q2190" s="0" t="n">
        <f aca="true">RAND()</f>
        <v>0.738148711452614</v>
      </c>
      <c r="R2190" s="0" t="n">
        <f aca="false">IF($I2190&lt;&gt;$O2190,0,IF(P2190&lt;Matchup!$B$39,7,IF(P2190&lt;Matchup!$B$39+Matchup!$B$40,3,0)))</f>
        <v>0</v>
      </c>
      <c r="S2190" s="0" t="n">
        <f aca="false">IF($I2190&lt;&gt;$O2190,0,IF(Q2190&lt;Matchup!$C$39,7,IF(Q2190&lt;Matchup!$C$39+Matchup!$C$40,3,0)))</f>
        <v>0</v>
      </c>
      <c r="T2190" s="0" t="n">
        <f aca="false">I2190+R2190</f>
        <v>20</v>
      </c>
      <c r="U2190" s="0" t="n">
        <f aca="false">O2190+S2190</f>
        <v>6</v>
      </c>
      <c r="V2190" s="0" t="n">
        <f aca="false">T2190-U2190</f>
        <v>14</v>
      </c>
      <c r="W2190" s="0" t="n">
        <f aca="false">T2190+U2190</f>
        <v>26</v>
      </c>
    </row>
    <row r="2191" customFormat="false" ht="15" hidden="false" customHeight="false" outlineLevel="0" collapsed="false">
      <c r="A2191" s="0" t="n">
        <v>2188</v>
      </c>
      <c r="B2191" s="0" t="n">
        <f aca="true">NORMINV(RAND(),1,Coefficients!$B$22)</f>
        <v>0.957515133398698</v>
      </c>
      <c r="C2191" s="0" t="n">
        <f aca="true">MEDIAN(8,16,ROUND(NORMINV(RAND(),Coefficients!$B$20,Coefficients!$B$21),0))</f>
        <v>12</v>
      </c>
      <c r="D2191" s="0" t="n">
        <f aca="true">CRITBINOM($C2191,MIN(0.75,Matchup!$B$39*$B2191),RAND())</f>
        <v>4</v>
      </c>
      <c r="E2191" s="0" t="n">
        <f aca="true">CRITBINOM(D2191,Coefficients!$B$30,RAND())</f>
        <v>0</v>
      </c>
      <c r="F2191" s="0" t="n">
        <f aca="true">CRITBINOM(E2191,Coefficients!$B$31,RAND())</f>
        <v>0</v>
      </c>
      <c r="G2191" s="0" t="n">
        <f aca="true">CRITBINOM(MAX(0,D2191-E2191),1-Coefficients!$B$32,RAND())</f>
        <v>0</v>
      </c>
      <c r="H2191" s="0" t="n">
        <f aca="true">CRITBINOM(MAX(0,$C2191-D2191),MIN(0.6,Matchup!$B$40*SQRT($B2191)/(1-MIN(0.75,Matchup!$B$39*$B2191))),RAND())</f>
        <v>2</v>
      </c>
      <c r="I2191" s="0" t="n">
        <f aca="false">6*D2191+(D2191-E2191-G2191)+2*F2191+3*H2191</f>
        <v>34</v>
      </c>
      <c r="J2191" s="0" t="n">
        <f aca="true">CRITBINOM($C2191,MIN(0.75,Matchup!$C$39*$B2191),RAND())</f>
        <v>4</v>
      </c>
      <c r="K2191" s="0" t="n">
        <f aca="true">CRITBINOM(J2191,Coefficients!$B$30,RAND())</f>
        <v>0</v>
      </c>
      <c r="L2191" s="0" t="n">
        <f aca="true">CRITBINOM(K2191,Coefficients!$B$31,RAND())</f>
        <v>0</v>
      </c>
      <c r="M2191" s="0" t="n">
        <f aca="true">CRITBINOM(MAX(0,J2191-K2191),1-Coefficients!$B$32,RAND())</f>
        <v>0</v>
      </c>
      <c r="N2191" s="0" t="n">
        <f aca="true">CRITBINOM(MAX(0,$C2191-J2191),MIN(0.6,Matchup!$C$40*SQRT($B2191)/(1-MIN(0.75,Matchup!$C$39*$B2191))),RAND())</f>
        <v>1</v>
      </c>
      <c r="O2191" s="0" t="n">
        <f aca="false">6*J2191+(J2191-K2191-M2191)+2*L2191+3*N2191</f>
        <v>31</v>
      </c>
      <c r="P2191" s="0" t="n">
        <f aca="true">RAND()</f>
        <v>0.390579998205107</v>
      </c>
      <c r="Q2191" s="0" t="n">
        <f aca="true">RAND()</f>
        <v>0.326423300615278</v>
      </c>
      <c r="R2191" s="0" t="n">
        <f aca="false">IF($I2191&lt;&gt;$O2191,0,IF(P2191&lt;Matchup!$B$39,7,IF(P2191&lt;Matchup!$B$39+Matchup!$B$40,3,0)))</f>
        <v>0</v>
      </c>
      <c r="S2191" s="0" t="n">
        <f aca="false">IF($I2191&lt;&gt;$O2191,0,IF(Q2191&lt;Matchup!$C$39,7,IF(Q2191&lt;Matchup!$C$39+Matchup!$C$40,3,0)))</f>
        <v>0</v>
      </c>
      <c r="T2191" s="0" t="n">
        <f aca="false">I2191+R2191</f>
        <v>34</v>
      </c>
      <c r="U2191" s="0" t="n">
        <f aca="false">O2191+S2191</f>
        <v>31</v>
      </c>
      <c r="V2191" s="0" t="n">
        <f aca="false">T2191-U2191</f>
        <v>3</v>
      </c>
      <c r="W2191" s="0" t="n">
        <f aca="false">T2191+U2191</f>
        <v>65</v>
      </c>
    </row>
    <row r="2192" customFormat="false" ht="15" hidden="false" customHeight="false" outlineLevel="0" collapsed="false">
      <c r="A2192" s="0" t="n">
        <v>2189</v>
      </c>
      <c r="B2192" s="0" t="n">
        <f aca="true">NORMINV(RAND(),1,Coefficients!$B$22)</f>
        <v>1.0151077814407</v>
      </c>
      <c r="C2192" s="0" t="n">
        <f aca="true">MEDIAN(8,16,ROUND(NORMINV(RAND(),Coefficients!$B$20,Coefficients!$B$21),0))</f>
        <v>12</v>
      </c>
      <c r="D2192" s="0" t="n">
        <f aca="true">CRITBINOM($C2192,MIN(0.75,Matchup!$B$39*$B2192),RAND())</f>
        <v>4</v>
      </c>
      <c r="E2192" s="0" t="n">
        <f aca="true">CRITBINOM(D2192,Coefficients!$B$30,RAND())</f>
        <v>0</v>
      </c>
      <c r="F2192" s="0" t="n">
        <f aca="true">CRITBINOM(E2192,Coefficients!$B$31,RAND())</f>
        <v>0</v>
      </c>
      <c r="G2192" s="0" t="n">
        <f aca="true">CRITBINOM(MAX(0,D2192-E2192),1-Coefficients!$B$32,RAND())</f>
        <v>0</v>
      </c>
      <c r="H2192" s="0" t="n">
        <f aca="true">CRITBINOM(MAX(0,$C2192-D2192),MIN(0.6,Matchup!$B$40*SQRT($B2192)/(1-MIN(0.75,Matchup!$B$39*$B2192))),RAND())</f>
        <v>1</v>
      </c>
      <c r="I2192" s="0" t="n">
        <f aca="false">6*D2192+(D2192-E2192-G2192)+2*F2192+3*H2192</f>
        <v>31</v>
      </c>
      <c r="J2192" s="0" t="n">
        <f aca="true">CRITBINOM($C2192,MIN(0.75,Matchup!$C$39*$B2192),RAND())</f>
        <v>3</v>
      </c>
      <c r="K2192" s="0" t="n">
        <f aca="true">CRITBINOM(J2192,Coefficients!$B$30,RAND())</f>
        <v>1</v>
      </c>
      <c r="L2192" s="0" t="n">
        <f aca="true">CRITBINOM(K2192,Coefficients!$B$31,RAND())</f>
        <v>0</v>
      </c>
      <c r="M2192" s="0" t="n">
        <f aca="true">CRITBINOM(MAX(0,J2192-K2192),1-Coefficients!$B$32,RAND())</f>
        <v>0</v>
      </c>
      <c r="N2192" s="0" t="n">
        <f aca="true">CRITBINOM(MAX(0,$C2192-J2192),MIN(0.6,Matchup!$C$40*SQRT($B2192)/(1-MIN(0.75,Matchup!$C$39*$B2192))),RAND())</f>
        <v>3</v>
      </c>
      <c r="O2192" s="0" t="n">
        <f aca="false">6*J2192+(J2192-K2192-M2192)+2*L2192+3*N2192</f>
        <v>29</v>
      </c>
      <c r="P2192" s="0" t="n">
        <f aca="true">RAND()</f>
        <v>0.265372212863327</v>
      </c>
      <c r="Q2192" s="0" t="n">
        <f aca="true">RAND()</f>
        <v>0.741542542824815</v>
      </c>
      <c r="R2192" s="0" t="n">
        <f aca="false">IF($I2192&lt;&gt;$O2192,0,IF(P2192&lt;Matchup!$B$39,7,IF(P2192&lt;Matchup!$B$39+Matchup!$B$40,3,0)))</f>
        <v>0</v>
      </c>
      <c r="S2192" s="0" t="n">
        <f aca="false">IF($I2192&lt;&gt;$O2192,0,IF(Q2192&lt;Matchup!$C$39,7,IF(Q2192&lt;Matchup!$C$39+Matchup!$C$40,3,0)))</f>
        <v>0</v>
      </c>
      <c r="T2192" s="0" t="n">
        <f aca="false">I2192+R2192</f>
        <v>31</v>
      </c>
      <c r="U2192" s="0" t="n">
        <f aca="false">O2192+S2192</f>
        <v>29</v>
      </c>
      <c r="V2192" s="0" t="n">
        <f aca="false">T2192-U2192</f>
        <v>2</v>
      </c>
      <c r="W2192" s="0" t="n">
        <f aca="false">T2192+U2192</f>
        <v>60</v>
      </c>
    </row>
    <row r="2193" customFormat="false" ht="15" hidden="false" customHeight="false" outlineLevel="0" collapsed="false">
      <c r="A2193" s="0" t="n">
        <v>2190</v>
      </c>
      <c r="B2193" s="0" t="n">
        <f aca="true">NORMINV(RAND(),1,Coefficients!$B$22)</f>
        <v>1.00001641267133</v>
      </c>
      <c r="C2193" s="0" t="n">
        <f aca="true">MEDIAN(8,16,ROUND(NORMINV(RAND(),Coefficients!$B$20,Coefficients!$B$21),0))</f>
        <v>13</v>
      </c>
      <c r="D2193" s="0" t="n">
        <f aca="true">CRITBINOM($C2193,MIN(0.75,Matchup!$B$39*$B2193),RAND())</f>
        <v>2</v>
      </c>
      <c r="E2193" s="0" t="n">
        <f aca="true">CRITBINOM(D2193,Coefficients!$B$30,RAND())</f>
        <v>0</v>
      </c>
      <c r="F2193" s="0" t="n">
        <f aca="true">CRITBINOM(E2193,Coefficients!$B$31,RAND())</f>
        <v>0</v>
      </c>
      <c r="G2193" s="0" t="n">
        <f aca="true">CRITBINOM(MAX(0,D2193-E2193),1-Coefficients!$B$32,RAND())</f>
        <v>0</v>
      </c>
      <c r="H2193" s="0" t="n">
        <f aca="true">CRITBINOM(MAX(0,$C2193-D2193),MIN(0.6,Matchup!$B$40*SQRT($B2193)/(1-MIN(0.75,Matchup!$B$39*$B2193))),RAND())</f>
        <v>3</v>
      </c>
      <c r="I2193" s="0" t="n">
        <f aca="false">6*D2193+(D2193-E2193-G2193)+2*F2193+3*H2193</f>
        <v>23</v>
      </c>
      <c r="J2193" s="0" t="n">
        <f aca="true">CRITBINOM($C2193,MIN(0.75,Matchup!$C$39*$B2193),RAND())</f>
        <v>3</v>
      </c>
      <c r="K2193" s="0" t="n">
        <f aca="true">CRITBINOM(J2193,Coefficients!$B$30,RAND())</f>
        <v>0</v>
      </c>
      <c r="L2193" s="0" t="n">
        <f aca="true">CRITBINOM(K2193,Coefficients!$B$31,RAND())</f>
        <v>0</v>
      </c>
      <c r="M2193" s="0" t="n">
        <f aca="true">CRITBINOM(MAX(0,J2193-K2193),1-Coefficients!$B$32,RAND())</f>
        <v>0</v>
      </c>
      <c r="N2193" s="0" t="n">
        <f aca="true">CRITBINOM(MAX(0,$C2193-J2193),MIN(0.6,Matchup!$C$40*SQRT($B2193)/(1-MIN(0.75,Matchup!$C$39*$B2193))),RAND())</f>
        <v>3</v>
      </c>
      <c r="O2193" s="0" t="n">
        <f aca="false">6*J2193+(J2193-K2193-M2193)+2*L2193+3*N2193</f>
        <v>30</v>
      </c>
      <c r="P2193" s="0" t="n">
        <f aca="true">RAND()</f>
        <v>0.709040409564806</v>
      </c>
      <c r="Q2193" s="0" t="n">
        <f aca="true">RAND()</f>
        <v>0.663674032043987</v>
      </c>
      <c r="R2193" s="0" t="n">
        <f aca="false">IF($I2193&lt;&gt;$O2193,0,IF(P2193&lt;Matchup!$B$39,7,IF(P2193&lt;Matchup!$B$39+Matchup!$B$40,3,0)))</f>
        <v>0</v>
      </c>
      <c r="S2193" s="0" t="n">
        <f aca="false">IF($I2193&lt;&gt;$O2193,0,IF(Q2193&lt;Matchup!$C$39,7,IF(Q2193&lt;Matchup!$C$39+Matchup!$C$40,3,0)))</f>
        <v>0</v>
      </c>
      <c r="T2193" s="0" t="n">
        <f aca="false">I2193+R2193</f>
        <v>23</v>
      </c>
      <c r="U2193" s="0" t="n">
        <f aca="false">O2193+S2193</f>
        <v>30</v>
      </c>
      <c r="V2193" s="0" t="n">
        <f aca="false">T2193-U2193</f>
        <v>-7</v>
      </c>
      <c r="W2193" s="0" t="n">
        <f aca="false">T2193+U2193</f>
        <v>53</v>
      </c>
    </row>
    <row r="2194" customFormat="false" ht="15" hidden="false" customHeight="false" outlineLevel="0" collapsed="false">
      <c r="A2194" s="0" t="n">
        <v>2191</v>
      </c>
      <c r="B2194" s="0" t="n">
        <f aca="true">NORMINV(RAND(),1,Coefficients!$B$22)</f>
        <v>1.01530601182637</v>
      </c>
      <c r="C2194" s="0" t="n">
        <f aca="true">MEDIAN(8,16,ROUND(NORMINV(RAND(),Coefficients!$B$20,Coefficients!$B$21),0))</f>
        <v>11</v>
      </c>
      <c r="D2194" s="0" t="n">
        <f aca="true">CRITBINOM($C2194,MIN(0.75,Matchup!$B$39*$B2194),RAND())</f>
        <v>3</v>
      </c>
      <c r="E2194" s="0" t="n">
        <f aca="true">CRITBINOM(D2194,Coefficients!$B$30,RAND())</f>
        <v>0</v>
      </c>
      <c r="F2194" s="0" t="n">
        <f aca="true">CRITBINOM(E2194,Coefficients!$B$31,RAND())</f>
        <v>0</v>
      </c>
      <c r="G2194" s="0" t="n">
        <f aca="true">CRITBINOM(MAX(0,D2194-E2194),1-Coefficients!$B$32,RAND())</f>
        <v>1</v>
      </c>
      <c r="H2194" s="0" t="n">
        <f aca="true">CRITBINOM(MAX(0,$C2194-D2194),MIN(0.6,Matchup!$B$40*SQRT($B2194)/(1-MIN(0.75,Matchup!$B$39*$B2194))),RAND())</f>
        <v>1</v>
      </c>
      <c r="I2194" s="0" t="n">
        <f aca="false">6*D2194+(D2194-E2194-G2194)+2*F2194+3*H2194</f>
        <v>23</v>
      </c>
      <c r="J2194" s="0" t="n">
        <f aca="true">CRITBINOM($C2194,MIN(0.75,Matchup!$C$39*$B2194),RAND())</f>
        <v>2</v>
      </c>
      <c r="K2194" s="0" t="n">
        <f aca="true">CRITBINOM(J2194,Coefficients!$B$30,RAND())</f>
        <v>0</v>
      </c>
      <c r="L2194" s="0" t="n">
        <f aca="true">CRITBINOM(K2194,Coefficients!$B$31,RAND())</f>
        <v>0</v>
      </c>
      <c r="M2194" s="0" t="n">
        <f aca="true">CRITBINOM(MAX(0,J2194-K2194),1-Coefficients!$B$32,RAND())</f>
        <v>1</v>
      </c>
      <c r="N2194" s="0" t="n">
        <f aca="true">CRITBINOM(MAX(0,$C2194-J2194),MIN(0.6,Matchup!$C$40*SQRT($B2194)/(1-MIN(0.75,Matchup!$C$39*$B2194))),RAND())</f>
        <v>3</v>
      </c>
      <c r="O2194" s="0" t="n">
        <f aca="false">6*J2194+(J2194-K2194-M2194)+2*L2194+3*N2194</f>
        <v>22</v>
      </c>
      <c r="P2194" s="0" t="n">
        <f aca="true">RAND()</f>
        <v>0.96153502393994</v>
      </c>
      <c r="Q2194" s="0" t="n">
        <f aca="true">RAND()</f>
        <v>0.827967155996103</v>
      </c>
      <c r="R2194" s="0" t="n">
        <f aca="false">IF($I2194&lt;&gt;$O2194,0,IF(P2194&lt;Matchup!$B$39,7,IF(P2194&lt;Matchup!$B$39+Matchup!$B$40,3,0)))</f>
        <v>0</v>
      </c>
      <c r="S2194" s="0" t="n">
        <f aca="false">IF($I2194&lt;&gt;$O2194,0,IF(Q2194&lt;Matchup!$C$39,7,IF(Q2194&lt;Matchup!$C$39+Matchup!$C$40,3,0)))</f>
        <v>0</v>
      </c>
      <c r="T2194" s="0" t="n">
        <f aca="false">I2194+R2194</f>
        <v>23</v>
      </c>
      <c r="U2194" s="0" t="n">
        <f aca="false">O2194+S2194</f>
        <v>22</v>
      </c>
      <c r="V2194" s="0" t="n">
        <f aca="false">T2194-U2194</f>
        <v>1</v>
      </c>
      <c r="W2194" s="0" t="n">
        <f aca="false">T2194+U2194</f>
        <v>45</v>
      </c>
    </row>
    <row r="2195" customFormat="false" ht="15" hidden="false" customHeight="false" outlineLevel="0" collapsed="false">
      <c r="A2195" s="0" t="n">
        <v>2192</v>
      </c>
      <c r="B2195" s="0" t="n">
        <f aca="true">NORMINV(RAND(),1,Coefficients!$B$22)</f>
        <v>0.932690290656321</v>
      </c>
      <c r="C2195" s="0" t="n">
        <f aca="true">MEDIAN(8,16,ROUND(NORMINV(RAND(),Coefficients!$B$20,Coefficients!$B$21),0))</f>
        <v>11</v>
      </c>
      <c r="D2195" s="0" t="n">
        <f aca="true">CRITBINOM($C2195,MIN(0.75,Matchup!$B$39*$B2195),RAND())</f>
        <v>3</v>
      </c>
      <c r="E2195" s="0" t="n">
        <f aca="true">CRITBINOM(D2195,Coefficients!$B$30,RAND())</f>
        <v>0</v>
      </c>
      <c r="F2195" s="0" t="n">
        <f aca="true">CRITBINOM(E2195,Coefficients!$B$31,RAND())</f>
        <v>0</v>
      </c>
      <c r="G2195" s="0" t="n">
        <f aca="true">CRITBINOM(MAX(0,D2195-E2195),1-Coefficients!$B$32,RAND())</f>
        <v>0</v>
      </c>
      <c r="H2195" s="0" t="n">
        <f aca="true">CRITBINOM(MAX(0,$C2195-D2195),MIN(0.6,Matchup!$B$40*SQRT($B2195)/(1-MIN(0.75,Matchup!$B$39*$B2195))),RAND())</f>
        <v>2</v>
      </c>
      <c r="I2195" s="0" t="n">
        <f aca="false">6*D2195+(D2195-E2195-G2195)+2*F2195+3*H2195</f>
        <v>27</v>
      </c>
      <c r="J2195" s="0" t="n">
        <f aca="true">CRITBINOM($C2195,MIN(0.75,Matchup!$C$39*$B2195),RAND())</f>
        <v>3</v>
      </c>
      <c r="K2195" s="0" t="n">
        <f aca="true">CRITBINOM(J2195,Coefficients!$B$30,RAND())</f>
        <v>0</v>
      </c>
      <c r="L2195" s="0" t="n">
        <f aca="true">CRITBINOM(K2195,Coefficients!$B$31,RAND())</f>
        <v>0</v>
      </c>
      <c r="M2195" s="0" t="n">
        <f aca="true">CRITBINOM(MAX(0,J2195-K2195),1-Coefficients!$B$32,RAND())</f>
        <v>0</v>
      </c>
      <c r="N2195" s="0" t="n">
        <f aca="true">CRITBINOM(MAX(0,$C2195-J2195),MIN(0.6,Matchup!$C$40*SQRT($B2195)/(1-MIN(0.75,Matchup!$C$39*$B2195))),RAND())</f>
        <v>3</v>
      </c>
      <c r="O2195" s="0" t="n">
        <f aca="false">6*J2195+(J2195-K2195-M2195)+2*L2195+3*N2195</f>
        <v>30</v>
      </c>
      <c r="P2195" s="0" t="n">
        <f aca="true">RAND()</f>
        <v>0.6198449781625</v>
      </c>
      <c r="Q2195" s="0" t="n">
        <f aca="true">RAND()</f>
        <v>0.930022735902946</v>
      </c>
      <c r="R2195" s="0" t="n">
        <f aca="false">IF($I2195&lt;&gt;$O2195,0,IF(P2195&lt;Matchup!$B$39,7,IF(P2195&lt;Matchup!$B$39+Matchup!$B$40,3,0)))</f>
        <v>0</v>
      </c>
      <c r="S2195" s="0" t="n">
        <f aca="false">IF($I2195&lt;&gt;$O2195,0,IF(Q2195&lt;Matchup!$C$39,7,IF(Q2195&lt;Matchup!$C$39+Matchup!$C$40,3,0)))</f>
        <v>0</v>
      </c>
      <c r="T2195" s="0" t="n">
        <f aca="false">I2195+R2195</f>
        <v>27</v>
      </c>
      <c r="U2195" s="0" t="n">
        <f aca="false">O2195+S2195</f>
        <v>30</v>
      </c>
      <c r="V2195" s="0" t="n">
        <f aca="false">T2195-U2195</f>
        <v>-3</v>
      </c>
      <c r="W2195" s="0" t="n">
        <f aca="false">T2195+U2195</f>
        <v>57</v>
      </c>
    </row>
    <row r="2196" customFormat="false" ht="15" hidden="false" customHeight="false" outlineLevel="0" collapsed="false">
      <c r="A2196" s="0" t="n">
        <v>2193</v>
      </c>
      <c r="B2196" s="0" t="n">
        <f aca="true">NORMINV(RAND(),1,Coefficients!$B$22)</f>
        <v>1.02073628645679</v>
      </c>
      <c r="C2196" s="0" t="n">
        <f aca="true">MEDIAN(8,16,ROUND(NORMINV(RAND(),Coefficients!$B$20,Coefficients!$B$21),0))</f>
        <v>12</v>
      </c>
      <c r="D2196" s="0" t="n">
        <f aca="true">CRITBINOM($C2196,MIN(0.75,Matchup!$B$39*$B2196),RAND())</f>
        <v>1</v>
      </c>
      <c r="E2196" s="0" t="n">
        <f aca="true">CRITBINOM(D2196,Coefficients!$B$30,RAND())</f>
        <v>0</v>
      </c>
      <c r="F2196" s="0" t="n">
        <f aca="true">CRITBINOM(E2196,Coefficients!$B$31,RAND())</f>
        <v>0</v>
      </c>
      <c r="G2196" s="0" t="n">
        <f aca="true">CRITBINOM(MAX(0,D2196-E2196),1-Coefficients!$B$32,RAND())</f>
        <v>0</v>
      </c>
      <c r="H2196" s="0" t="n">
        <f aca="true">CRITBINOM(MAX(0,$C2196-D2196),MIN(0.6,Matchup!$B$40*SQRT($B2196)/(1-MIN(0.75,Matchup!$B$39*$B2196))),RAND())</f>
        <v>2</v>
      </c>
      <c r="I2196" s="0" t="n">
        <f aca="false">6*D2196+(D2196-E2196-G2196)+2*F2196+3*H2196</f>
        <v>13</v>
      </c>
      <c r="J2196" s="0" t="n">
        <f aca="true">CRITBINOM($C2196,MIN(0.75,Matchup!$C$39*$B2196),RAND())</f>
        <v>3</v>
      </c>
      <c r="K2196" s="0" t="n">
        <f aca="true">CRITBINOM(J2196,Coefficients!$B$30,RAND())</f>
        <v>0</v>
      </c>
      <c r="L2196" s="0" t="n">
        <f aca="true">CRITBINOM(K2196,Coefficients!$B$31,RAND())</f>
        <v>0</v>
      </c>
      <c r="M2196" s="0" t="n">
        <f aca="true">CRITBINOM(MAX(0,J2196-K2196),1-Coefficients!$B$32,RAND())</f>
        <v>0</v>
      </c>
      <c r="N2196" s="0" t="n">
        <f aca="true">CRITBINOM(MAX(0,$C2196-J2196),MIN(0.6,Matchup!$C$40*SQRT($B2196)/(1-MIN(0.75,Matchup!$C$39*$B2196))),RAND())</f>
        <v>1</v>
      </c>
      <c r="O2196" s="0" t="n">
        <f aca="false">6*J2196+(J2196-K2196-M2196)+2*L2196+3*N2196</f>
        <v>24</v>
      </c>
      <c r="P2196" s="0" t="n">
        <f aca="true">RAND()</f>
        <v>0.706517402125914</v>
      </c>
      <c r="Q2196" s="0" t="n">
        <f aca="true">RAND()</f>
        <v>0.381288530390996</v>
      </c>
      <c r="R2196" s="0" t="n">
        <f aca="false">IF($I2196&lt;&gt;$O2196,0,IF(P2196&lt;Matchup!$B$39,7,IF(P2196&lt;Matchup!$B$39+Matchup!$B$40,3,0)))</f>
        <v>0</v>
      </c>
      <c r="S2196" s="0" t="n">
        <f aca="false">IF($I2196&lt;&gt;$O2196,0,IF(Q2196&lt;Matchup!$C$39,7,IF(Q2196&lt;Matchup!$C$39+Matchup!$C$40,3,0)))</f>
        <v>0</v>
      </c>
      <c r="T2196" s="0" t="n">
        <f aca="false">I2196+R2196</f>
        <v>13</v>
      </c>
      <c r="U2196" s="0" t="n">
        <f aca="false">O2196+S2196</f>
        <v>24</v>
      </c>
      <c r="V2196" s="0" t="n">
        <f aca="false">T2196-U2196</f>
        <v>-11</v>
      </c>
      <c r="W2196" s="0" t="n">
        <f aca="false">T2196+U2196</f>
        <v>37</v>
      </c>
    </row>
    <row r="2197" customFormat="false" ht="15" hidden="false" customHeight="false" outlineLevel="0" collapsed="false">
      <c r="A2197" s="0" t="n">
        <v>2194</v>
      </c>
      <c r="B2197" s="0" t="n">
        <f aca="true">NORMINV(RAND(),1,Coefficients!$B$22)</f>
        <v>0.817491873861356</v>
      </c>
      <c r="C2197" s="0" t="n">
        <f aca="true">MEDIAN(8,16,ROUND(NORMINV(RAND(),Coefficients!$B$20,Coefficients!$B$21),0))</f>
        <v>14</v>
      </c>
      <c r="D2197" s="0" t="n">
        <f aca="true">CRITBINOM($C2197,MIN(0.75,Matchup!$B$39*$B2197),RAND())</f>
        <v>3</v>
      </c>
      <c r="E2197" s="0" t="n">
        <f aca="true">CRITBINOM(D2197,Coefficients!$B$30,RAND())</f>
        <v>0</v>
      </c>
      <c r="F2197" s="0" t="n">
        <f aca="true">CRITBINOM(E2197,Coefficients!$B$31,RAND())</f>
        <v>0</v>
      </c>
      <c r="G2197" s="0" t="n">
        <f aca="true">CRITBINOM(MAX(0,D2197-E2197),1-Coefficients!$B$32,RAND())</f>
        <v>0</v>
      </c>
      <c r="H2197" s="0" t="n">
        <f aca="true">CRITBINOM(MAX(0,$C2197-D2197),MIN(0.6,Matchup!$B$40*SQRT($B2197)/(1-MIN(0.75,Matchup!$B$39*$B2197))),RAND())</f>
        <v>0</v>
      </c>
      <c r="I2197" s="0" t="n">
        <f aca="false">6*D2197+(D2197-E2197-G2197)+2*F2197+3*H2197</f>
        <v>21</v>
      </c>
      <c r="J2197" s="0" t="n">
        <f aca="true">CRITBINOM($C2197,MIN(0.75,Matchup!$C$39*$B2197),RAND())</f>
        <v>2</v>
      </c>
      <c r="K2197" s="0" t="n">
        <f aca="true">CRITBINOM(J2197,Coefficients!$B$30,RAND())</f>
        <v>0</v>
      </c>
      <c r="L2197" s="0" t="n">
        <f aca="true">CRITBINOM(K2197,Coefficients!$B$31,RAND())</f>
        <v>0</v>
      </c>
      <c r="M2197" s="0" t="n">
        <f aca="true">CRITBINOM(MAX(0,J2197-K2197),1-Coefficients!$B$32,RAND())</f>
        <v>0</v>
      </c>
      <c r="N2197" s="0" t="n">
        <f aca="true">CRITBINOM(MAX(0,$C2197-J2197),MIN(0.6,Matchup!$C$40*SQRT($B2197)/(1-MIN(0.75,Matchup!$C$39*$B2197))),RAND())</f>
        <v>4</v>
      </c>
      <c r="O2197" s="0" t="n">
        <f aca="false">6*J2197+(J2197-K2197-M2197)+2*L2197+3*N2197</f>
        <v>26</v>
      </c>
      <c r="P2197" s="0" t="n">
        <f aca="true">RAND()</f>
        <v>0.848132243571983</v>
      </c>
      <c r="Q2197" s="0" t="n">
        <f aca="true">RAND()</f>
        <v>0.0572250885145913</v>
      </c>
      <c r="R2197" s="0" t="n">
        <f aca="false">IF($I2197&lt;&gt;$O2197,0,IF(P2197&lt;Matchup!$B$39,7,IF(P2197&lt;Matchup!$B$39+Matchup!$B$40,3,0)))</f>
        <v>0</v>
      </c>
      <c r="S2197" s="0" t="n">
        <f aca="false">IF($I2197&lt;&gt;$O2197,0,IF(Q2197&lt;Matchup!$C$39,7,IF(Q2197&lt;Matchup!$C$39+Matchup!$C$40,3,0)))</f>
        <v>0</v>
      </c>
      <c r="T2197" s="0" t="n">
        <f aca="false">I2197+R2197</f>
        <v>21</v>
      </c>
      <c r="U2197" s="0" t="n">
        <f aca="false">O2197+S2197</f>
        <v>26</v>
      </c>
      <c r="V2197" s="0" t="n">
        <f aca="false">T2197-U2197</f>
        <v>-5</v>
      </c>
      <c r="W2197" s="0" t="n">
        <f aca="false">T2197+U2197</f>
        <v>47</v>
      </c>
    </row>
    <row r="2198" customFormat="false" ht="15" hidden="false" customHeight="false" outlineLevel="0" collapsed="false">
      <c r="A2198" s="0" t="n">
        <v>2195</v>
      </c>
      <c r="B2198" s="0" t="n">
        <f aca="true">NORMINV(RAND(),1,Coefficients!$B$22)</f>
        <v>1.04737266046496</v>
      </c>
      <c r="C2198" s="0" t="n">
        <f aca="true">MEDIAN(8,16,ROUND(NORMINV(RAND(),Coefficients!$B$20,Coefficients!$B$21),0))</f>
        <v>11</v>
      </c>
      <c r="D2198" s="0" t="n">
        <f aca="true">CRITBINOM($C2198,MIN(0.75,Matchup!$B$39*$B2198),RAND())</f>
        <v>1</v>
      </c>
      <c r="E2198" s="0" t="n">
        <f aca="true">CRITBINOM(D2198,Coefficients!$B$30,RAND())</f>
        <v>0</v>
      </c>
      <c r="F2198" s="0" t="n">
        <f aca="true">CRITBINOM(E2198,Coefficients!$B$31,RAND())</f>
        <v>0</v>
      </c>
      <c r="G2198" s="0" t="n">
        <f aca="true">CRITBINOM(MAX(0,D2198-E2198),1-Coefficients!$B$32,RAND())</f>
        <v>0</v>
      </c>
      <c r="H2198" s="0" t="n">
        <f aca="true">CRITBINOM(MAX(0,$C2198-D2198),MIN(0.6,Matchup!$B$40*SQRT($B2198)/(1-MIN(0.75,Matchup!$B$39*$B2198))),RAND())</f>
        <v>2</v>
      </c>
      <c r="I2198" s="0" t="n">
        <f aca="false">6*D2198+(D2198-E2198-G2198)+2*F2198+3*H2198</f>
        <v>13</v>
      </c>
      <c r="J2198" s="0" t="n">
        <f aca="true">CRITBINOM($C2198,MIN(0.75,Matchup!$C$39*$B2198),RAND())</f>
        <v>2</v>
      </c>
      <c r="K2198" s="0" t="n">
        <f aca="true">CRITBINOM(J2198,Coefficients!$B$30,RAND())</f>
        <v>1</v>
      </c>
      <c r="L2198" s="0" t="n">
        <f aca="true">CRITBINOM(K2198,Coefficients!$B$31,RAND())</f>
        <v>0</v>
      </c>
      <c r="M2198" s="0" t="n">
        <f aca="true">CRITBINOM(MAX(0,J2198-K2198),1-Coefficients!$B$32,RAND())</f>
        <v>0</v>
      </c>
      <c r="N2198" s="0" t="n">
        <f aca="true">CRITBINOM(MAX(0,$C2198-J2198),MIN(0.6,Matchup!$C$40*SQRT($B2198)/(1-MIN(0.75,Matchup!$C$39*$B2198))),RAND())</f>
        <v>1</v>
      </c>
      <c r="O2198" s="0" t="n">
        <f aca="false">6*J2198+(J2198-K2198-M2198)+2*L2198+3*N2198</f>
        <v>16</v>
      </c>
      <c r="P2198" s="0" t="n">
        <f aca="true">RAND()</f>
        <v>0.519140472076182</v>
      </c>
      <c r="Q2198" s="0" t="n">
        <f aca="true">RAND()</f>
        <v>0.831307872262607</v>
      </c>
      <c r="R2198" s="0" t="n">
        <f aca="false">IF($I2198&lt;&gt;$O2198,0,IF(P2198&lt;Matchup!$B$39,7,IF(P2198&lt;Matchup!$B$39+Matchup!$B$40,3,0)))</f>
        <v>0</v>
      </c>
      <c r="S2198" s="0" t="n">
        <f aca="false">IF($I2198&lt;&gt;$O2198,0,IF(Q2198&lt;Matchup!$C$39,7,IF(Q2198&lt;Matchup!$C$39+Matchup!$C$40,3,0)))</f>
        <v>0</v>
      </c>
      <c r="T2198" s="0" t="n">
        <f aca="false">I2198+R2198</f>
        <v>13</v>
      </c>
      <c r="U2198" s="0" t="n">
        <f aca="false">O2198+S2198</f>
        <v>16</v>
      </c>
      <c r="V2198" s="0" t="n">
        <f aca="false">T2198-U2198</f>
        <v>-3</v>
      </c>
      <c r="W2198" s="0" t="n">
        <f aca="false">T2198+U2198</f>
        <v>29</v>
      </c>
    </row>
    <row r="2199" customFormat="false" ht="15" hidden="false" customHeight="false" outlineLevel="0" collapsed="false">
      <c r="A2199" s="0" t="n">
        <v>2196</v>
      </c>
      <c r="B2199" s="0" t="n">
        <f aca="true">NORMINV(RAND(),1,Coefficients!$B$22)</f>
        <v>1.0007771976755</v>
      </c>
      <c r="C2199" s="0" t="n">
        <f aca="true">MEDIAN(8,16,ROUND(NORMINV(RAND(),Coefficients!$B$20,Coefficients!$B$21),0))</f>
        <v>9</v>
      </c>
      <c r="D2199" s="0" t="n">
        <f aca="true">CRITBINOM($C2199,MIN(0.75,Matchup!$B$39*$B2199),RAND())</f>
        <v>5</v>
      </c>
      <c r="E2199" s="0" t="n">
        <f aca="true">CRITBINOM(D2199,Coefficients!$B$30,RAND())</f>
        <v>1</v>
      </c>
      <c r="F2199" s="0" t="n">
        <f aca="true">CRITBINOM(E2199,Coefficients!$B$31,RAND())</f>
        <v>0</v>
      </c>
      <c r="G2199" s="0" t="n">
        <f aca="true">CRITBINOM(MAX(0,D2199-E2199),1-Coefficients!$B$32,RAND())</f>
        <v>0</v>
      </c>
      <c r="H2199" s="0" t="n">
        <f aca="true">CRITBINOM(MAX(0,$C2199-D2199),MIN(0.6,Matchup!$B$40*SQRT($B2199)/(1-MIN(0.75,Matchup!$B$39*$B2199))),RAND())</f>
        <v>1</v>
      </c>
      <c r="I2199" s="0" t="n">
        <f aca="false">6*D2199+(D2199-E2199-G2199)+2*F2199+3*H2199</f>
        <v>37</v>
      </c>
      <c r="J2199" s="0" t="n">
        <f aca="true">CRITBINOM($C2199,MIN(0.75,Matchup!$C$39*$B2199),RAND())</f>
        <v>2</v>
      </c>
      <c r="K2199" s="0" t="n">
        <f aca="true">CRITBINOM(J2199,Coefficients!$B$30,RAND())</f>
        <v>0</v>
      </c>
      <c r="L2199" s="0" t="n">
        <f aca="true">CRITBINOM(K2199,Coefficients!$B$31,RAND())</f>
        <v>0</v>
      </c>
      <c r="M2199" s="0" t="n">
        <f aca="true">CRITBINOM(MAX(0,J2199-K2199),1-Coefficients!$B$32,RAND())</f>
        <v>0</v>
      </c>
      <c r="N2199" s="0" t="n">
        <f aca="true">CRITBINOM(MAX(0,$C2199-J2199),MIN(0.6,Matchup!$C$40*SQRT($B2199)/(1-MIN(0.75,Matchup!$C$39*$B2199))),RAND())</f>
        <v>0</v>
      </c>
      <c r="O2199" s="0" t="n">
        <f aca="false">6*J2199+(J2199-K2199-M2199)+2*L2199+3*N2199</f>
        <v>14</v>
      </c>
      <c r="P2199" s="0" t="n">
        <f aca="true">RAND()</f>
        <v>0.840789149055988</v>
      </c>
      <c r="Q2199" s="0" t="n">
        <f aca="true">RAND()</f>
        <v>0.321421543364956</v>
      </c>
      <c r="R2199" s="0" t="n">
        <f aca="false">IF($I2199&lt;&gt;$O2199,0,IF(P2199&lt;Matchup!$B$39,7,IF(P2199&lt;Matchup!$B$39+Matchup!$B$40,3,0)))</f>
        <v>0</v>
      </c>
      <c r="S2199" s="0" t="n">
        <f aca="false">IF($I2199&lt;&gt;$O2199,0,IF(Q2199&lt;Matchup!$C$39,7,IF(Q2199&lt;Matchup!$C$39+Matchup!$C$40,3,0)))</f>
        <v>0</v>
      </c>
      <c r="T2199" s="0" t="n">
        <f aca="false">I2199+R2199</f>
        <v>37</v>
      </c>
      <c r="U2199" s="0" t="n">
        <f aca="false">O2199+S2199</f>
        <v>14</v>
      </c>
      <c r="V2199" s="0" t="n">
        <f aca="false">T2199-U2199</f>
        <v>23</v>
      </c>
      <c r="W2199" s="0" t="n">
        <f aca="false">T2199+U2199</f>
        <v>51</v>
      </c>
    </row>
    <row r="2200" customFormat="false" ht="15" hidden="false" customHeight="false" outlineLevel="0" collapsed="false">
      <c r="A2200" s="0" t="n">
        <v>2197</v>
      </c>
      <c r="B2200" s="0" t="n">
        <f aca="true">NORMINV(RAND(),1,Coefficients!$B$22)</f>
        <v>1.0197642993376</v>
      </c>
      <c r="C2200" s="0" t="n">
        <f aca="true">MEDIAN(8,16,ROUND(NORMINV(RAND(),Coefficients!$B$20,Coefficients!$B$21),0))</f>
        <v>11</v>
      </c>
      <c r="D2200" s="0" t="n">
        <f aca="true">CRITBINOM($C2200,MIN(0.75,Matchup!$B$39*$B2200),RAND())</f>
        <v>3</v>
      </c>
      <c r="E2200" s="0" t="n">
        <f aca="true">CRITBINOM(D2200,Coefficients!$B$30,RAND())</f>
        <v>0</v>
      </c>
      <c r="F2200" s="0" t="n">
        <f aca="true">CRITBINOM(E2200,Coefficients!$B$31,RAND())</f>
        <v>0</v>
      </c>
      <c r="G2200" s="0" t="n">
        <f aca="true">CRITBINOM(MAX(0,D2200-E2200),1-Coefficients!$B$32,RAND())</f>
        <v>0</v>
      </c>
      <c r="H2200" s="0" t="n">
        <f aca="true">CRITBINOM(MAX(0,$C2200-D2200),MIN(0.6,Matchup!$B$40*SQRT($B2200)/(1-MIN(0.75,Matchup!$B$39*$B2200))),RAND())</f>
        <v>1</v>
      </c>
      <c r="I2200" s="0" t="n">
        <f aca="false">6*D2200+(D2200-E2200-G2200)+2*F2200+3*H2200</f>
        <v>24</v>
      </c>
      <c r="J2200" s="0" t="n">
        <f aca="true">CRITBINOM($C2200,MIN(0.75,Matchup!$C$39*$B2200),RAND())</f>
        <v>3</v>
      </c>
      <c r="K2200" s="0" t="n">
        <f aca="true">CRITBINOM(J2200,Coefficients!$B$30,RAND())</f>
        <v>0</v>
      </c>
      <c r="L2200" s="0" t="n">
        <f aca="true">CRITBINOM(K2200,Coefficients!$B$31,RAND())</f>
        <v>0</v>
      </c>
      <c r="M2200" s="0" t="n">
        <f aca="true">CRITBINOM(MAX(0,J2200-K2200),1-Coefficients!$B$32,RAND())</f>
        <v>0</v>
      </c>
      <c r="N2200" s="0" t="n">
        <f aca="true">CRITBINOM(MAX(0,$C2200-J2200),MIN(0.6,Matchup!$C$40*SQRT($B2200)/(1-MIN(0.75,Matchup!$C$39*$B2200))),RAND())</f>
        <v>0</v>
      </c>
      <c r="O2200" s="0" t="n">
        <f aca="false">6*J2200+(J2200-K2200-M2200)+2*L2200+3*N2200</f>
        <v>21</v>
      </c>
      <c r="P2200" s="0" t="n">
        <f aca="true">RAND()</f>
        <v>0.344752148188546</v>
      </c>
      <c r="Q2200" s="0" t="n">
        <f aca="true">RAND()</f>
        <v>0.962853279549605</v>
      </c>
      <c r="R2200" s="0" t="n">
        <f aca="false">IF($I2200&lt;&gt;$O2200,0,IF(P2200&lt;Matchup!$B$39,7,IF(P2200&lt;Matchup!$B$39+Matchup!$B$40,3,0)))</f>
        <v>0</v>
      </c>
      <c r="S2200" s="0" t="n">
        <f aca="false">IF($I2200&lt;&gt;$O2200,0,IF(Q2200&lt;Matchup!$C$39,7,IF(Q2200&lt;Matchup!$C$39+Matchup!$C$40,3,0)))</f>
        <v>0</v>
      </c>
      <c r="T2200" s="0" t="n">
        <f aca="false">I2200+R2200</f>
        <v>24</v>
      </c>
      <c r="U2200" s="0" t="n">
        <f aca="false">O2200+S2200</f>
        <v>21</v>
      </c>
      <c r="V2200" s="0" t="n">
        <f aca="false">T2200-U2200</f>
        <v>3</v>
      </c>
      <c r="W2200" s="0" t="n">
        <f aca="false">T2200+U2200</f>
        <v>45</v>
      </c>
    </row>
    <row r="2201" customFormat="false" ht="15" hidden="false" customHeight="false" outlineLevel="0" collapsed="false">
      <c r="A2201" s="0" t="n">
        <v>2198</v>
      </c>
      <c r="B2201" s="0" t="n">
        <f aca="true">NORMINV(RAND(),1,Coefficients!$B$22)</f>
        <v>1.04261199099455</v>
      </c>
      <c r="C2201" s="0" t="n">
        <f aca="true">MEDIAN(8,16,ROUND(NORMINV(RAND(),Coefficients!$B$20,Coefficients!$B$21),0))</f>
        <v>13</v>
      </c>
      <c r="D2201" s="0" t="n">
        <f aca="true">CRITBINOM($C2201,MIN(0.75,Matchup!$B$39*$B2201),RAND())</f>
        <v>3</v>
      </c>
      <c r="E2201" s="0" t="n">
        <f aca="true">CRITBINOM(D2201,Coefficients!$B$30,RAND())</f>
        <v>0</v>
      </c>
      <c r="F2201" s="0" t="n">
        <f aca="true">CRITBINOM(E2201,Coefficients!$B$31,RAND())</f>
        <v>0</v>
      </c>
      <c r="G2201" s="0" t="n">
        <f aca="true">CRITBINOM(MAX(0,D2201-E2201),1-Coefficients!$B$32,RAND())</f>
        <v>0</v>
      </c>
      <c r="H2201" s="0" t="n">
        <f aca="true">CRITBINOM(MAX(0,$C2201-D2201),MIN(0.6,Matchup!$B$40*SQRT($B2201)/(1-MIN(0.75,Matchup!$B$39*$B2201))),RAND())</f>
        <v>1</v>
      </c>
      <c r="I2201" s="0" t="n">
        <f aca="false">6*D2201+(D2201-E2201-G2201)+2*F2201+3*H2201</f>
        <v>24</v>
      </c>
      <c r="J2201" s="0" t="n">
        <f aca="true">CRITBINOM($C2201,MIN(0.75,Matchup!$C$39*$B2201),RAND())</f>
        <v>5</v>
      </c>
      <c r="K2201" s="0" t="n">
        <f aca="true">CRITBINOM(J2201,Coefficients!$B$30,RAND())</f>
        <v>0</v>
      </c>
      <c r="L2201" s="0" t="n">
        <f aca="true">CRITBINOM(K2201,Coefficients!$B$31,RAND())</f>
        <v>0</v>
      </c>
      <c r="M2201" s="0" t="n">
        <f aca="true">CRITBINOM(MAX(0,J2201-K2201),1-Coefficients!$B$32,RAND())</f>
        <v>0</v>
      </c>
      <c r="N2201" s="0" t="n">
        <f aca="true">CRITBINOM(MAX(0,$C2201-J2201),MIN(0.6,Matchup!$C$40*SQRT($B2201)/(1-MIN(0.75,Matchup!$C$39*$B2201))),RAND())</f>
        <v>0</v>
      </c>
      <c r="O2201" s="0" t="n">
        <f aca="false">6*J2201+(J2201-K2201-M2201)+2*L2201+3*N2201</f>
        <v>35</v>
      </c>
      <c r="P2201" s="0" t="n">
        <f aca="true">RAND()</f>
        <v>0.259160887842048</v>
      </c>
      <c r="Q2201" s="0" t="n">
        <f aca="true">RAND()</f>
        <v>0.189194238041174</v>
      </c>
      <c r="R2201" s="0" t="n">
        <f aca="false">IF($I2201&lt;&gt;$O2201,0,IF(P2201&lt;Matchup!$B$39,7,IF(P2201&lt;Matchup!$B$39+Matchup!$B$40,3,0)))</f>
        <v>0</v>
      </c>
      <c r="S2201" s="0" t="n">
        <f aca="false">IF($I2201&lt;&gt;$O2201,0,IF(Q2201&lt;Matchup!$C$39,7,IF(Q2201&lt;Matchup!$C$39+Matchup!$C$40,3,0)))</f>
        <v>0</v>
      </c>
      <c r="T2201" s="0" t="n">
        <f aca="false">I2201+R2201</f>
        <v>24</v>
      </c>
      <c r="U2201" s="0" t="n">
        <f aca="false">O2201+S2201</f>
        <v>35</v>
      </c>
      <c r="V2201" s="0" t="n">
        <f aca="false">T2201-U2201</f>
        <v>-11</v>
      </c>
      <c r="W2201" s="0" t="n">
        <f aca="false">T2201+U2201</f>
        <v>59</v>
      </c>
    </row>
    <row r="2202" customFormat="false" ht="15" hidden="false" customHeight="false" outlineLevel="0" collapsed="false">
      <c r="A2202" s="0" t="n">
        <v>2199</v>
      </c>
      <c r="B2202" s="0" t="n">
        <f aca="true">NORMINV(RAND(),1,Coefficients!$B$22)</f>
        <v>0.944486221317702</v>
      </c>
      <c r="C2202" s="0" t="n">
        <f aca="true">MEDIAN(8,16,ROUND(NORMINV(RAND(),Coefficients!$B$20,Coefficients!$B$21),0))</f>
        <v>10</v>
      </c>
      <c r="D2202" s="0" t="n">
        <f aca="true">CRITBINOM($C2202,MIN(0.75,Matchup!$B$39*$B2202),RAND())</f>
        <v>3</v>
      </c>
      <c r="E2202" s="0" t="n">
        <f aca="true">CRITBINOM(D2202,Coefficients!$B$30,RAND())</f>
        <v>0</v>
      </c>
      <c r="F2202" s="0" t="n">
        <f aca="true">CRITBINOM(E2202,Coefficients!$B$31,RAND())</f>
        <v>0</v>
      </c>
      <c r="G2202" s="0" t="n">
        <f aca="true">CRITBINOM(MAX(0,D2202-E2202),1-Coefficients!$B$32,RAND())</f>
        <v>0</v>
      </c>
      <c r="H2202" s="0" t="n">
        <f aca="true">CRITBINOM(MAX(0,$C2202-D2202),MIN(0.6,Matchup!$B$40*SQRT($B2202)/(1-MIN(0.75,Matchup!$B$39*$B2202))),RAND())</f>
        <v>0</v>
      </c>
      <c r="I2202" s="0" t="n">
        <f aca="false">6*D2202+(D2202-E2202-G2202)+2*F2202+3*H2202</f>
        <v>21</v>
      </c>
      <c r="J2202" s="0" t="n">
        <f aca="true">CRITBINOM($C2202,MIN(0.75,Matchup!$C$39*$B2202),RAND())</f>
        <v>3</v>
      </c>
      <c r="K2202" s="0" t="n">
        <f aca="true">CRITBINOM(J2202,Coefficients!$B$30,RAND())</f>
        <v>0</v>
      </c>
      <c r="L2202" s="0" t="n">
        <f aca="true">CRITBINOM(K2202,Coefficients!$B$31,RAND())</f>
        <v>0</v>
      </c>
      <c r="M2202" s="0" t="n">
        <f aca="true">CRITBINOM(MAX(0,J2202-K2202),1-Coefficients!$B$32,RAND())</f>
        <v>0</v>
      </c>
      <c r="N2202" s="0" t="n">
        <f aca="true">CRITBINOM(MAX(0,$C2202-J2202),MIN(0.6,Matchup!$C$40*SQRT($B2202)/(1-MIN(0.75,Matchup!$C$39*$B2202))),RAND())</f>
        <v>0</v>
      </c>
      <c r="O2202" s="0" t="n">
        <f aca="false">6*J2202+(J2202-K2202-M2202)+2*L2202+3*N2202</f>
        <v>21</v>
      </c>
      <c r="P2202" s="0" t="n">
        <f aca="true">RAND()</f>
        <v>0.725744845926562</v>
      </c>
      <c r="Q2202" s="0" t="n">
        <f aca="true">RAND()</f>
        <v>0.909216158904288</v>
      </c>
      <c r="R2202" s="0" t="n">
        <f aca="false">IF($I2202&lt;&gt;$O2202,0,IF(P2202&lt;Matchup!$B$39,7,IF(P2202&lt;Matchup!$B$39+Matchup!$B$40,3,0)))</f>
        <v>0</v>
      </c>
      <c r="S2202" s="0" t="n">
        <f aca="false">IF($I2202&lt;&gt;$O2202,0,IF(Q2202&lt;Matchup!$C$39,7,IF(Q2202&lt;Matchup!$C$39+Matchup!$C$40,3,0)))</f>
        <v>0</v>
      </c>
      <c r="T2202" s="0" t="n">
        <f aca="false">I2202+R2202</f>
        <v>21</v>
      </c>
      <c r="U2202" s="0" t="n">
        <f aca="false">O2202+S2202</f>
        <v>21</v>
      </c>
      <c r="V2202" s="0" t="n">
        <f aca="false">T2202-U2202</f>
        <v>0</v>
      </c>
      <c r="W2202" s="0" t="n">
        <f aca="false">T2202+U2202</f>
        <v>42</v>
      </c>
    </row>
    <row r="2203" customFormat="false" ht="15" hidden="false" customHeight="false" outlineLevel="0" collapsed="false">
      <c r="A2203" s="0" t="n">
        <v>2200</v>
      </c>
      <c r="B2203" s="0" t="n">
        <f aca="true">NORMINV(RAND(),1,Coefficients!$B$22)</f>
        <v>1.12627854876046</v>
      </c>
      <c r="C2203" s="0" t="n">
        <f aca="true">MEDIAN(8,16,ROUND(NORMINV(RAND(),Coefficients!$B$20,Coefficients!$B$21),0))</f>
        <v>11</v>
      </c>
      <c r="D2203" s="0" t="n">
        <f aca="true">CRITBINOM($C2203,MIN(0.75,Matchup!$B$39*$B2203),RAND())</f>
        <v>4</v>
      </c>
      <c r="E2203" s="0" t="n">
        <f aca="true">CRITBINOM(D2203,Coefficients!$B$30,RAND())</f>
        <v>1</v>
      </c>
      <c r="F2203" s="0" t="n">
        <f aca="true">CRITBINOM(E2203,Coefficients!$B$31,RAND())</f>
        <v>0</v>
      </c>
      <c r="G2203" s="0" t="n">
        <f aca="true">CRITBINOM(MAX(0,D2203-E2203),1-Coefficients!$B$32,RAND())</f>
        <v>0</v>
      </c>
      <c r="H2203" s="0" t="n">
        <f aca="true">CRITBINOM(MAX(0,$C2203-D2203),MIN(0.6,Matchup!$B$40*SQRT($B2203)/(1-MIN(0.75,Matchup!$B$39*$B2203))),RAND())</f>
        <v>1</v>
      </c>
      <c r="I2203" s="0" t="n">
        <f aca="false">6*D2203+(D2203-E2203-G2203)+2*F2203+3*H2203</f>
        <v>30</v>
      </c>
      <c r="J2203" s="0" t="n">
        <f aca="true">CRITBINOM($C2203,MIN(0.75,Matchup!$C$39*$B2203),RAND())</f>
        <v>3</v>
      </c>
      <c r="K2203" s="0" t="n">
        <f aca="true">CRITBINOM(J2203,Coefficients!$B$30,RAND())</f>
        <v>0</v>
      </c>
      <c r="L2203" s="0" t="n">
        <f aca="true">CRITBINOM(K2203,Coefficients!$B$31,RAND())</f>
        <v>0</v>
      </c>
      <c r="M2203" s="0" t="n">
        <f aca="true">CRITBINOM(MAX(0,J2203-K2203),1-Coefficients!$B$32,RAND())</f>
        <v>0</v>
      </c>
      <c r="N2203" s="0" t="n">
        <f aca="true">CRITBINOM(MAX(0,$C2203-J2203),MIN(0.6,Matchup!$C$40*SQRT($B2203)/(1-MIN(0.75,Matchup!$C$39*$B2203))),RAND())</f>
        <v>3</v>
      </c>
      <c r="O2203" s="0" t="n">
        <f aca="false">6*J2203+(J2203-K2203-M2203)+2*L2203+3*N2203</f>
        <v>30</v>
      </c>
      <c r="P2203" s="0" t="n">
        <f aca="true">RAND()</f>
        <v>0.185426975452634</v>
      </c>
      <c r="Q2203" s="0" t="n">
        <f aca="true">RAND()</f>
        <v>0.577801891241544</v>
      </c>
      <c r="R2203" s="0" t="n">
        <f aca="false">IF($I2203&lt;&gt;$O2203,0,IF(P2203&lt;Matchup!$B$39,7,IF(P2203&lt;Matchup!$B$39+Matchup!$B$40,3,0)))</f>
        <v>7</v>
      </c>
      <c r="S2203" s="0" t="n">
        <f aca="false">IF($I2203&lt;&gt;$O2203,0,IF(Q2203&lt;Matchup!$C$39,7,IF(Q2203&lt;Matchup!$C$39+Matchup!$C$40,3,0)))</f>
        <v>0</v>
      </c>
      <c r="T2203" s="0" t="n">
        <f aca="false">I2203+R2203</f>
        <v>37</v>
      </c>
      <c r="U2203" s="0" t="n">
        <f aca="false">O2203+S2203</f>
        <v>30</v>
      </c>
      <c r="V2203" s="0" t="n">
        <f aca="false">T2203-U2203</f>
        <v>7</v>
      </c>
      <c r="W2203" s="0" t="n">
        <f aca="false">T2203+U2203</f>
        <v>67</v>
      </c>
    </row>
    <row r="2204" customFormat="false" ht="15" hidden="false" customHeight="false" outlineLevel="0" collapsed="false">
      <c r="A2204" s="0" t="n">
        <v>2201</v>
      </c>
      <c r="B2204" s="0" t="n">
        <f aca="true">NORMINV(RAND(),1,Coefficients!$B$22)</f>
        <v>0.907028318703103</v>
      </c>
      <c r="C2204" s="0" t="n">
        <f aca="true">MEDIAN(8,16,ROUND(NORMINV(RAND(),Coefficients!$B$20,Coefficients!$B$21),0))</f>
        <v>10</v>
      </c>
      <c r="D2204" s="0" t="n">
        <f aca="true">CRITBINOM($C2204,MIN(0.75,Matchup!$B$39*$B2204),RAND())</f>
        <v>3</v>
      </c>
      <c r="E2204" s="0" t="n">
        <f aca="true">CRITBINOM(D2204,Coefficients!$B$30,RAND())</f>
        <v>0</v>
      </c>
      <c r="F2204" s="0" t="n">
        <f aca="true">CRITBINOM(E2204,Coefficients!$B$31,RAND())</f>
        <v>0</v>
      </c>
      <c r="G2204" s="0" t="n">
        <f aca="true">CRITBINOM(MAX(0,D2204-E2204),1-Coefficients!$B$32,RAND())</f>
        <v>0</v>
      </c>
      <c r="H2204" s="0" t="n">
        <f aca="true">CRITBINOM(MAX(0,$C2204-D2204),MIN(0.6,Matchup!$B$40*SQRT($B2204)/(1-MIN(0.75,Matchup!$B$39*$B2204))),RAND())</f>
        <v>1</v>
      </c>
      <c r="I2204" s="0" t="n">
        <f aca="false">6*D2204+(D2204-E2204-G2204)+2*F2204+3*H2204</f>
        <v>24</v>
      </c>
      <c r="J2204" s="0" t="n">
        <f aca="true">CRITBINOM($C2204,MIN(0.75,Matchup!$C$39*$B2204),RAND())</f>
        <v>3</v>
      </c>
      <c r="K2204" s="0" t="n">
        <f aca="true">CRITBINOM(J2204,Coefficients!$B$30,RAND())</f>
        <v>0</v>
      </c>
      <c r="L2204" s="0" t="n">
        <f aca="true">CRITBINOM(K2204,Coefficients!$B$31,RAND())</f>
        <v>0</v>
      </c>
      <c r="M2204" s="0" t="n">
        <f aca="true">CRITBINOM(MAX(0,J2204-K2204),1-Coefficients!$B$32,RAND())</f>
        <v>1</v>
      </c>
      <c r="N2204" s="0" t="n">
        <f aca="true">CRITBINOM(MAX(0,$C2204-J2204),MIN(0.6,Matchup!$C$40*SQRT($B2204)/(1-MIN(0.75,Matchup!$C$39*$B2204))),RAND())</f>
        <v>1</v>
      </c>
      <c r="O2204" s="0" t="n">
        <f aca="false">6*J2204+(J2204-K2204-M2204)+2*L2204+3*N2204</f>
        <v>23</v>
      </c>
      <c r="P2204" s="0" t="n">
        <f aca="true">RAND()</f>
        <v>0.000958827035564959</v>
      </c>
      <c r="Q2204" s="0" t="n">
        <f aca="true">RAND()</f>
        <v>0.0969585294147872</v>
      </c>
      <c r="R2204" s="0" t="n">
        <f aca="false">IF($I2204&lt;&gt;$O2204,0,IF(P2204&lt;Matchup!$B$39,7,IF(P2204&lt;Matchup!$B$39+Matchup!$B$40,3,0)))</f>
        <v>0</v>
      </c>
      <c r="S2204" s="0" t="n">
        <f aca="false">IF($I2204&lt;&gt;$O2204,0,IF(Q2204&lt;Matchup!$C$39,7,IF(Q2204&lt;Matchup!$C$39+Matchup!$C$40,3,0)))</f>
        <v>0</v>
      </c>
      <c r="T2204" s="0" t="n">
        <f aca="false">I2204+R2204</f>
        <v>24</v>
      </c>
      <c r="U2204" s="0" t="n">
        <f aca="false">O2204+S2204</f>
        <v>23</v>
      </c>
      <c r="V2204" s="0" t="n">
        <f aca="false">T2204-U2204</f>
        <v>1</v>
      </c>
      <c r="W2204" s="0" t="n">
        <f aca="false">T2204+U2204</f>
        <v>47</v>
      </c>
    </row>
    <row r="2205" customFormat="false" ht="15" hidden="false" customHeight="false" outlineLevel="0" collapsed="false">
      <c r="A2205" s="0" t="n">
        <v>2202</v>
      </c>
      <c r="B2205" s="0" t="n">
        <f aca="true">NORMINV(RAND(),1,Coefficients!$B$22)</f>
        <v>1.0274520226721</v>
      </c>
      <c r="C2205" s="0" t="n">
        <f aca="true">MEDIAN(8,16,ROUND(NORMINV(RAND(),Coefficients!$B$20,Coefficients!$B$21),0))</f>
        <v>13</v>
      </c>
      <c r="D2205" s="0" t="n">
        <f aca="true">CRITBINOM($C2205,MIN(0.75,Matchup!$B$39*$B2205),RAND())</f>
        <v>4</v>
      </c>
      <c r="E2205" s="0" t="n">
        <f aca="true">CRITBINOM(D2205,Coefficients!$B$30,RAND())</f>
        <v>0</v>
      </c>
      <c r="F2205" s="0" t="n">
        <f aca="true">CRITBINOM(E2205,Coefficients!$B$31,RAND())</f>
        <v>0</v>
      </c>
      <c r="G2205" s="0" t="n">
        <f aca="true">CRITBINOM(MAX(0,D2205-E2205),1-Coefficients!$B$32,RAND())</f>
        <v>1</v>
      </c>
      <c r="H2205" s="0" t="n">
        <f aca="true">CRITBINOM(MAX(0,$C2205-D2205),MIN(0.6,Matchup!$B$40*SQRT($B2205)/(1-MIN(0.75,Matchup!$B$39*$B2205))),RAND())</f>
        <v>4</v>
      </c>
      <c r="I2205" s="0" t="n">
        <f aca="false">6*D2205+(D2205-E2205-G2205)+2*F2205+3*H2205</f>
        <v>39</v>
      </c>
      <c r="J2205" s="0" t="n">
        <f aca="true">CRITBINOM($C2205,MIN(0.75,Matchup!$C$39*$B2205),RAND())</f>
        <v>3</v>
      </c>
      <c r="K2205" s="0" t="n">
        <f aca="true">CRITBINOM(J2205,Coefficients!$B$30,RAND())</f>
        <v>0</v>
      </c>
      <c r="L2205" s="0" t="n">
        <f aca="true">CRITBINOM(K2205,Coefficients!$B$31,RAND())</f>
        <v>0</v>
      </c>
      <c r="M2205" s="0" t="n">
        <f aca="true">CRITBINOM(MAX(0,J2205-K2205),1-Coefficients!$B$32,RAND())</f>
        <v>1</v>
      </c>
      <c r="N2205" s="0" t="n">
        <f aca="true">CRITBINOM(MAX(0,$C2205-J2205),MIN(0.6,Matchup!$C$40*SQRT($B2205)/(1-MIN(0.75,Matchup!$C$39*$B2205))),RAND())</f>
        <v>3</v>
      </c>
      <c r="O2205" s="0" t="n">
        <f aca="false">6*J2205+(J2205-K2205-M2205)+2*L2205+3*N2205</f>
        <v>29</v>
      </c>
      <c r="P2205" s="0" t="n">
        <f aca="true">RAND()</f>
        <v>0.144158222053554</v>
      </c>
      <c r="Q2205" s="0" t="n">
        <f aca="true">RAND()</f>
        <v>0.741636790566961</v>
      </c>
      <c r="R2205" s="0" t="n">
        <f aca="false">IF($I2205&lt;&gt;$O2205,0,IF(P2205&lt;Matchup!$B$39,7,IF(P2205&lt;Matchup!$B$39+Matchup!$B$40,3,0)))</f>
        <v>0</v>
      </c>
      <c r="S2205" s="0" t="n">
        <f aca="false">IF($I2205&lt;&gt;$O2205,0,IF(Q2205&lt;Matchup!$C$39,7,IF(Q2205&lt;Matchup!$C$39+Matchup!$C$40,3,0)))</f>
        <v>0</v>
      </c>
      <c r="T2205" s="0" t="n">
        <f aca="false">I2205+R2205</f>
        <v>39</v>
      </c>
      <c r="U2205" s="0" t="n">
        <f aca="false">O2205+S2205</f>
        <v>29</v>
      </c>
      <c r="V2205" s="0" t="n">
        <f aca="false">T2205-U2205</f>
        <v>10</v>
      </c>
      <c r="W2205" s="0" t="n">
        <f aca="false">T2205+U2205</f>
        <v>68</v>
      </c>
    </row>
    <row r="2206" customFormat="false" ht="15" hidden="false" customHeight="false" outlineLevel="0" collapsed="false">
      <c r="A2206" s="0" t="n">
        <v>2203</v>
      </c>
      <c r="B2206" s="0" t="n">
        <f aca="true">NORMINV(RAND(),1,Coefficients!$B$22)</f>
        <v>1.01802717064693</v>
      </c>
      <c r="C2206" s="0" t="n">
        <f aca="true">MEDIAN(8,16,ROUND(NORMINV(RAND(),Coefficients!$B$20,Coefficients!$B$21),0))</f>
        <v>9</v>
      </c>
      <c r="D2206" s="0" t="n">
        <f aca="true">CRITBINOM($C2206,MIN(0.75,Matchup!$B$39*$B2206),RAND())</f>
        <v>2</v>
      </c>
      <c r="E2206" s="0" t="n">
        <f aca="true">CRITBINOM(D2206,Coefficients!$B$30,RAND())</f>
        <v>0</v>
      </c>
      <c r="F2206" s="0" t="n">
        <f aca="true">CRITBINOM(E2206,Coefficients!$B$31,RAND())</f>
        <v>0</v>
      </c>
      <c r="G2206" s="0" t="n">
        <f aca="true">CRITBINOM(MAX(0,D2206-E2206),1-Coefficients!$B$32,RAND())</f>
        <v>0</v>
      </c>
      <c r="H2206" s="0" t="n">
        <f aca="true">CRITBINOM(MAX(0,$C2206-D2206),MIN(0.6,Matchup!$B$40*SQRT($B2206)/(1-MIN(0.75,Matchup!$B$39*$B2206))),RAND())</f>
        <v>0</v>
      </c>
      <c r="I2206" s="0" t="n">
        <f aca="false">6*D2206+(D2206-E2206-G2206)+2*F2206+3*H2206</f>
        <v>14</v>
      </c>
      <c r="J2206" s="0" t="n">
        <f aca="true">CRITBINOM($C2206,MIN(0.75,Matchup!$C$39*$B2206),RAND())</f>
        <v>3</v>
      </c>
      <c r="K2206" s="0" t="n">
        <f aca="true">CRITBINOM(J2206,Coefficients!$B$30,RAND())</f>
        <v>0</v>
      </c>
      <c r="L2206" s="0" t="n">
        <f aca="true">CRITBINOM(K2206,Coefficients!$B$31,RAND())</f>
        <v>0</v>
      </c>
      <c r="M2206" s="0" t="n">
        <f aca="true">CRITBINOM(MAX(0,J2206-K2206),1-Coefficients!$B$32,RAND())</f>
        <v>0</v>
      </c>
      <c r="N2206" s="0" t="n">
        <f aca="true">CRITBINOM(MAX(0,$C2206-J2206),MIN(0.6,Matchup!$C$40*SQRT($B2206)/(1-MIN(0.75,Matchup!$C$39*$B2206))),RAND())</f>
        <v>0</v>
      </c>
      <c r="O2206" s="0" t="n">
        <f aca="false">6*J2206+(J2206-K2206-M2206)+2*L2206+3*N2206</f>
        <v>21</v>
      </c>
      <c r="P2206" s="0" t="n">
        <f aca="true">RAND()</f>
        <v>0.92809693736183</v>
      </c>
      <c r="Q2206" s="0" t="n">
        <f aca="true">RAND()</f>
        <v>0.785291297838227</v>
      </c>
      <c r="R2206" s="0" t="n">
        <f aca="false">IF($I2206&lt;&gt;$O2206,0,IF(P2206&lt;Matchup!$B$39,7,IF(P2206&lt;Matchup!$B$39+Matchup!$B$40,3,0)))</f>
        <v>0</v>
      </c>
      <c r="S2206" s="0" t="n">
        <f aca="false">IF($I2206&lt;&gt;$O2206,0,IF(Q2206&lt;Matchup!$C$39,7,IF(Q2206&lt;Matchup!$C$39+Matchup!$C$40,3,0)))</f>
        <v>0</v>
      </c>
      <c r="T2206" s="0" t="n">
        <f aca="false">I2206+R2206</f>
        <v>14</v>
      </c>
      <c r="U2206" s="0" t="n">
        <f aca="false">O2206+S2206</f>
        <v>21</v>
      </c>
      <c r="V2206" s="0" t="n">
        <f aca="false">T2206-U2206</f>
        <v>-7</v>
      </c>
      <c r="W2206" s="0" t="n">
        <f aca="false">T2206+U2206</f>
        <v>35</v>
      </c>
    </row>
    <row r="2207" customFormat="false" ht="15" hidden="false" customHeight="false" outlineLevel="0" collapsed="false">
      <c r="A2207" s="0" t="n">
        <v>2204</v>
      </c>
      <c r="B2207" s="0" t="n">
        <f aca="true">NORMINV(RAND(),1,Coefficients!$B$22)</f>
        <v>0.92603868024092</v>
      </c>
      <c r="C2207" s="0" t="n">
        <f aca="true">MEDIAN(8,16,ROUND(NORMINV(RAND(),Coefficients!$B$20,Coefficients!$B$21),0))</f>
        <v>12</v>
      </c>
      <c r="D2207" s="0" t="n">
        <f aca="true">CRITBINOM($C2207,MIN(0.75,Matchup!$B$39*$B2207),RAND())</f>
        <v>3</v>
      </c>
      <c r="E2207" s="0" t="n">
        <f aca="true">CRITBINOM(D2207,Coefficients!$B$30,RAND())</f>
        <v>0</v>
      </c>
      <c r="F2207" s="0" t="n">
        <f aca="true">CRITBINOM(E2207,Coefficients!$B$31,RAND())</f>
        <v>0</v>
      </c>
      <c r="G2207" s="0" t="n">
        <f aca="true">CRITBINOM(MAX(0,D2207-E2207),1-Coefficients!$B$32,RAND())</f>
        <v>1</v>
      </c>
      <c r="H2207" s="0" t="n">
        <f aca="true">CRITBINOM(MAX(0,$C2207-D2207),MIN(0.6,Matchup!$B$40*SQRT($B2207)/(1-MIN(0.75,Matchup!$B$39*$B2207))),RAND())</f>
        <v>2</v>
      </c>
      <c r="I2207" s="0" t="n">
        <f aca="false">6*D2207+(D2207-E2207-G2207)+2*F2207+3*H2207</f>
        <v>26</v>
      </c>
      <c r="J2207" s="0" t="n">
        <f aca="true">CRITBINOM($C2207,MIN(0.75,Matchup!$C$39*$B2207),RAND())</f>
        <v>2</v>
      </c>
      <c r="K2207" s="0" t="n">
        <f aca="true">CRITBINOM(J2207,Coefficients!$B$30,RAND())</f>
        <v>0</v>
      </c>
      <c r="L2207" s="0" t="n">
        <f aca="true">CRITBINOM(K2207,Coefficients!$B$31,RAND())</f>
        <v>0</v>
      </c>
      <c r="M2207" s="0" t="n">
        <f aca="true">CRITBINOM(MAX(0,J2207-K2207),1-Coefficients!$B$32,RAND())</f>
        <v>0</v>
      </c>
      <c r="N2207" s="0" t="n">
        <f aca="true">CRITBINOM(MAX(0,$C2207-J2207),MIN(0.6,Matchup!$C$40*SQRT($B2207)/(1-MIN(0.75,Matchup!$C$39*$B2207))),RAND())</f>
        <v>2</v>
      </c>
      <c r="O2207" s="0" t="n">
        <f aca="false">6*J2207+(J2207-K2207-M2207)+2*L2207+3*N2207</f>
        <v>20</v>
      </c>
      <c r="P2207" s="0" t="n">
        <f aca="true">RAND()</f>
        <v>0.705270087173615</v>
      </c>
      <c r="Q2207" s="0" t="n">
        <f aca="true">RAND()</f>
        <v>0.717862050835922</v>
      </c>
      <c r="R2207" s="0" t="n">
        <f aca="false">IF($I2207&lt;&gt;$O2207,0,IF(P2207&lt;Matchup!$B$39,7,IF(P2207&lt;Matchup!$B$39+Matchup!$B$40,3,0)))</f>
        <v>0</v>
      </c>
      <c r="S2207" s="0" t="n">
        <f aca="false">IF($I2207&lt;&gt;$O2207,0,IF(Q2207&lt;Matchup!$C$39,7,IF(Q2207&lt;Matchup!$C$39+Matchup!$C$40,3,0)))</f>
        <v>0</v>
      </c>
      <c r="T2207" s="0" t="n">
        <f aca="false">I2207+R2207</f>
        <v>26</v>
      </c>
      <c r="U2207" s="0" t="n">
        <f aca="false">O2207+S2207</f>
        <v>20</v>
      </c>
      <c r="V2207" s="0" t="n">
        <f aca="false">T2207-U2207</f>
        <v>6</v>
      </c>
      <c r="W2207" s="0" t="n">
        <f aca="false">T2207+U2207</f>
        <v>46</v>
      </c>
    </row>
    <row r="2208" customFormat="false" ht="15" hidden="false" customHeight="false" outlineLevel="0" collapsed="false">
      <c r="A2208" s="0" t="n">
        <v>2205</v>
      </c>
      <c r="B2208" s="0" t="n">
        <f aca="true">NORMINV(RAND(),1,Coefficients!$B$22)</f>
        <v>1.03451117928516</v>
      </c>
      <c r="C2208" s="0" t="n">
        <f aca="true">MEDIAN(8,16,ROUND(NORMINV(RAND(),Coefficients!$B$20,Coefficients!$B$21),0))</f>
        <v>10</v>
      </c>
      <c r="D2208" s="0" t="n">
        <f aca="true">CRITBINOM($C2208,MIN(0.75,Matchup!$B$39*$B2208),RAND())</f>
        <v>6</v>
      </c>
      <c r="E2208" s="0" t="n">
        <f aca="true">CRITBINOM(D2208,Coefficients!$B$30,RAND())</f>
        <v>0</v>
      </c>
      <c r="F2208" s="0" t="n">
        <f aca="true">CRITBINOM(E2208,Coefficients!$B$31,RAND())</f>
        <v>0</v>
      </c>
      <c r="G2208" s="0" t="n">
        <f aca="true">CRITBINOM(MAX(0,D2208-E2208),1-Coefficients!$B$32,RAND())</f>
        <v>0</v>
      </c>
      <c r="H2208" s="0" t="n">
        <f aca="true">CRITBINOM(MAX(0,$C2208-D2208),MIN(0.6,Matchup!$B$40*SQRT($B2208)/(1-MIN(0.75,Matchup!$B$39*$B2208))),RAND())</f>
        <v>1</v>
      </c>
      <c r="I2208" s="0" t="n">
        <f aca="false">6*D2208+(D2208-E2208-G2208)+2*F2208+3*H2208</f>
        <v>45</v>
      </c>
      <c r="J2208" s="0" t="n">
        <f aca="true">CRITBINOM($C2208,MIN(0.75,Matchup!$C$39*$B2208),RAND())</f>
        <v>2</v>
      </c>
      <c r="K2208" s="0" t="n">
        <f aca="true">CRITBINOM(J2208,Coefficients!$B$30,RAND())</f>
        <v>1</v>
      </c>
      <c r="L2208" s="0" t="n">
        <f aca="true">CRITBINOM(K2208,Coefficients!$B$31,RAND())</f>
        <v>1</v>
      </c>
      <c r="M2208" s="0" t="n">
        <f aca="true">CRITBINOM(MAX(0,J2208-K2208),1-Coefficients!$B$32,RAND())</f>
        <v>0</v>
      </c>
      <c r="N2208" s="0" t="n">
        <f aca="true">CRITBINOM(MAX(0,$C2208-J2208),MIN(0.6,Matchup!$C$40*SQRT($B2208)/(1-MIN(0.75,Matchup!$C$39*$B2208))),RAND())</f>
        <v>2</v>
      </c>
      <c r="O2208" s="0" t="n">
        <f aca="false">6*J2208+(J2208-K2208-M2208)+2*L2208+3*N2208</f>
        <v>21</v>
      </c>
      <c r="P2208" s="0" t="n">
        <f aca="true">RAND()</f>
        <v>0.659671037358622</v>
      </c>
      <c r="Q2208" s="0" t="n">
        <f aca="true">RAND()</f>
        <v>0.163685937335419</v>
      </c>
      <c r="R2208" s="0" t="n">
        <f aca="false">IF($I2208&lt;&gt;$O2208,0,IF(P2208&lt;Matchup!$B$39,7,IF(P2208&lt;Matchup!$B$39+Matchup!$B$40,3,0)))</f>
        <v>0</v>
      </c>
      <c r="S2208" s="0" t="n">
        <f aca="false">IF($I2208&lt;&gt;$O2208,0,IF(Q2208&lt;Matchup!$C$39,7,IF(Q2208&lt;Matchup!$C$39+Matchup!$C$40,3,0)))</f>
        <v>0</v>
      </c>
      <c r="T2208" s="0" t="n">
        <f aca="false">I2208+R2208</f>
        <v>45</v>
      </c>
      <c r="U2208" s="0" t="n">
        <f aca="false">O2208+S2208</f>
        <v>21</v>
      </c>
      <c r="V2208" s="0" t="n">
        <f aca="false">T2208-U2208</f>
        <v>24</v>
      </c>
      <c r="W2208" s="0" t="n">
        <f aca="false">T2208+U2208</f>
        <v>66</v>
      </c>
    </row>
    <row r="2209" customFormat="false" ht="15" hidden="false" customHeight="false" outlineLevel="0" collapsed="false">
      <c r="A2209" s="0" t="n">
        <v>2206</v>
      </c>
      <c r="B2209" s="0" t="n">
        <f aca="true">NORMINV(RAND(),1,Coefficients!$B$22)</f>
        <v>1.08292879421895</v>
      </c>
      <c r="C2209" s="0" t="n">
        <f aca="true">MEDIAN(8,16,ROUND(NORMINV(RAND(),Coefficients!$B$20,Coefficients!$B$21),0))</f>
        <v>10</v>
      </c>
      <c r="D2209" s="0" t="n">
        <f aca="true">CRITBINOM($C2209,MIN(0.75,Matchup!$B$39*$B2209),RAND())</f>
        <v>2</v>
      </c>
      <c r="E2209" s="0" t="n">
        <f aca="true">CRITBINOM(D2209,Coefficients!$B$30,RAND())</f>
        <v>0</v>
      </c>
      <c r="F2209" s="0" t="n">
        <f aca="true">CRITBINOM(E2209,Coefficients!$B$31,RAND())</f>
        <v>0</v>
      </c>
      <c r="G2209" s="0" t="n">
        <f aca="true">CRITBINOM(MAX(0,D2209-E2209),1-Coefficients!$B$32,RAND())</f>
        <v>0</v>
      </c>
      <c r="H2209" s="0" t="n">
        <f aca="true">CRITBINOM(MAX(0,$C2209-D2209),MIN(0.6,Matchup!$B$40*SQRT($B2209)/(1-MIN(0.75,Matchup!$B$39*$B2209))),RAND())</f>
        <v>1</v>
      </c>
      <c r="I2209" s="0" t="n">
        <f aca="false">6*D2209+(D2209-E2209-G2209)+2*F2209+3*H2209</f>
        <v>17</v>
      </c>
      <c r="J2209" s="0" t="n">
        <f aca="true">CRITBINOM($C2209,MIN(0.75,Matchup!$C$39*$B2209),RAND())</f>
        <v>1</v>
      </c>
      <c r="K2209" s="0" t="n">
        <f aca="true">CRITBINOM(J2209,Coefficients!$B$30,RAND())</f>
        <v>1</v>
      </c>
      <c r="L2209" s="0" t="n">
        <f aca="true">CRITBINOM(K2209,Coefficients!$B$31,RAND())</f>
        <v>0</v>
      </c>
      <c r="M2209" s="0" t="n">
        <f aca="true">CRITBINOM(MAX(0,J2209-K2209),1-Coefficients!$B$32,RAND())</f>
        <v>0</v>
      </c>
      <c r="N2209" s="0" t="n">
        <f aca="true">CRITBINOM(MAX(0,$C2209-J2209),MIN(0.6,Matchup!$C$40*SQRT($B2209)/(1-MIN(0.75,Matchup!$C$39*$B2209))),RAND())</f>
        <v>1</v>
      </c>
      <c r="O2209" s="0" t="n">
        <f aca="false">6*J2209+(J2209-K2209-M2209)+2*L2209+3*N2209</f>
        <v>9</v>
      </c>
      <c r="P2209" s="0" t="n">
        <f aca="true">RAND()</f>
        <v>0.519229449948299</v>
      </c>
      <c r="Q2209" s="0" t="n">
        <f aca="true">RAND()</f>
        <v>0.984821736295028</v>
      </c>
      <c r="R2209" s="0" t="n">
        <f aca="false">IF($I2209&lt;&gt;$O2209,0,IF(P2209&lt;Matchup!$B$39,7,IF(P2209&lt;Matchup!$B$39+Matchup!$B$40,3,0)))</f>
        <v>0</v>
      </c>
      <c r="S2209" s="0" t="n">
        <f aca="false">IF($I2209&lt;&gt;$O2209,0,IF(Q2209&lt;Matchup!$C$39,7,IF(Q2209&lt;Matchup!$C$39+Matchup!$C$40,3,0)))</f>
        <v>0</v>
      </c>
      <c r="T2209" s="0" t="n">
        <f aca="false">I2209+R2209</f>
        <v>17</v>
      </c>
      <c r="U2209" s="0" t="n">
        <f aca="false">O2209+S2209</f>
        <v>9</v>
      </c>
      <c r="V2209" s="0" t="n">
        <f aca="false">T2209-U2209</f>
        <v>8</v>
      </c>
      <c r="W2209" s="0" t="n">
        <f aca="false">T2209+U2209</f>
        <v>26</v>
      </c>
    </row>
    <row r="2210" customFormat="false" ht="15" hidden="false" customHeight="false" outlineLevel="0" collapsed="false">
      <c r="A2210" s="0" t="n">
        <v>2207</v>
      </c>
      <c r="B2210" s="0" t="n">
        <f aca="true">NORMINV(RAND(),1,Coefficients!$B$22)</f>
        <v>1.15205014038643</v>
      </c>
      <c r="C2210" s="0" t="n">
        <f aca="true">MEDIAN(8,16,ROUND(NORMINV(RAND(),Coefficients!$B$20,Coefficients!$B$21),0))</f>
        <v>12</v>
      </c>
      <c r="D2210" s="0" t="n">
        <f aca="true">CRITBINOM($C2210,MIN(0.75,Matchup!$B$39*$B2210),RAND())</f>
        <v>3</v>
      </c>
      <c r="E2210" s="0" t="n">
        <f aca="true">CRITBINOM(D2210,Coefficients!$B$30,RAND())</f>
        <v>0</v>
      </c>
      <c r="F2210" s="0" t="n">
        <f aca="true">CRITBINOM(E2210,Coefficients!$B$31,RAND())</f>
        <v>0</v>
      </c>
      <c r="G2210" s="0" t="n">
        <f aca="true">CRITBINOM(MAX(0,D2210-E2210),1-Coefficients!$B$32,RAND())</f>
        <v>0</v>
      </c>
      <c r="H2210" s="0" t="n">
        <f aca="true">CRITBINOM(MAX(0,$C2210-D2210),MIN(0.6,Matchup!$B$40*SQRT($B2210)/(1-MIN(0.75,Matchup!$B$39*$B2210))),RAND())</f>
        <v>4</v>
      </c>
      <c r="I2210" s="0" t="n">
        <f aca="false">6*D2210+(D2210-E2210-G2210)+2*F2210+3*H2210</f>
        <v>33</v>
      </c>
      <c r="J2210" s="0" t="n">
        <f aca="true">CRITBINOM($C2210,MIN(0.75,Matchup!$C$39*$B2210),RAND())</f>
        <v>1</v>
      </c>
      <c r="K2210" s="0" t="n">
        <f aca="true">CRITBINOM(J2210,Coefficients!$B$30,RAND())</f>
        <v>0</v>
      </c>
      <c r="L2210" s="0" t="n">
        <f aca="true">CRITBINOM(K2210,Coefficients!$B$31,RAND())</f>
        <v>0</v>
      </c>
      <c r="M2210" s="0" t="n">
        <f aca="true">CRITBINOM(MAX(0,J2210-K2210),1-Coefficients!$B$32,RAND())</f>
        <v>0</v>
      </c>
      <c r="N2210" s="0" t="n">
        <f aca="true">CRITBINOM(MAX(0,$C2210-J2210),MIN(0.6,Matchup!$C$40*SQRT($B2210)/(1-MIN(0.75,Matchup!$C$39*$B2210))),RAND())</f>
        <v>1</v>
      </c>
      <c r="O2210" s="0" t="n">
        <f aca="false">6*J2210+(J2210-K2210-M2210)+2*L2210+3*N2210</f>
        <v>10</v>
      </c>
      <c r="P2210" s="0" t="n">
        <f aca="true">RAND()</f>
        <v>0.696859111519358</v>
      </c>
      <c r="Q2210" s="0" t="n">
        <f aca="true">RAND()</f>
        <v>0.25263593555896</v>
      </c>
      <c r="R2210" s="0" t="n">
        <f aca="false">IF($I2210&lt;&gt;$O2210,0,IF(P2210&lt;Matchup!$B$39,7,IF(P2210&lt;Matchup!$B$39+Matchup!$B$40,3,0)))</f>
        <v>0</v>
      </c>
      <c r="S2210" s="0" t="n">
        <f aca="false">IF($I2210&lt;&gt;$O2210,0,IF(Q2210&lt;Matchup!$C$39,7,IF(Q2210&lt;Matchup!$C$39+Matchup!$C$40,3,0)))</f>
        <v>0</v>
      </c>
      <c r="T2210" s="0" t="n">
        <f aca="false">I2210+R2210</f>
        <v>33</v>
      </c>
      <c r="U2210" s="0" t="n">
        <f aca="false">O2210+S2210</f>
        <v>10</v>
      </c>
      <c r="V2210" s="0" t="n">
        <f aca="false">T2210-U2210</f>
        <v>23</v>
      </c>
      <c r="W2210" s="0" t="n">
        <f aca="false">T2210+U2210</f>
        <v>43</v>
      </c>
    </row>
    <row r="2211" customFormat="false" ht="15" hidden="false" customHeight="false" outlineLevel="0" collapsed="false">
      <c r="A2211" s="0" t="n">
        <v>2208</v>
      </c>
      <c r="B2211" s="0" t="n">
        <f aca="true">NORMINV(RAND(),1,Coefficients!$B$22)</f>
        <v>0.948086519472439</v>
      </c>
      <c r="C2211" s="0" t="n">
        <f aca="true">MEDIAN(8,16,ROUND(NORMINV(RAND(),Coefficients!$B$20,Coefficients!$B$21),0))</f>
        <v>10</v>
      </c>
      <c r="D2211" s="0" t="n">
        <f aca="true">CRITBINOM($C2211,MIN(0.75,Matchup!$B$39*$B2211),RAND())</f>
        <v>2</v>
      </c>
      <c r="E2211" s="0" t="n">
        <f aca="true">CRITBINOM(D2211,Coefficients!$B$30,RAND())</f>
        <v>1</v>
      </c>
      <c r="F2211" s="0" t="n">
        <f aca="true">CRITBINOM(E2211,Coefficients!$B$31,RAND())</f>
        <v>1</v>
      </c>
      <c r="G2211" s="0" t="n">
        <f aca="true">CRITBINOM(MAX(0,D2211-E2211),1-Coefficients!$B$32,RAND())</f>
        <v>0</v>
      </c>
      <c r="H2211" s="0" t="n">
        <f aca="true">CRITBINOM(MAX(0,$C2211-D2211),MIN(0.6,Matchup!$B$40*SQRT($B2211)/(1-MIN(0.75,Matchup!$B$39*$B2211))),RAND())</f>
        <v>2</v>
      </c>
      <c r="I2211" s="0" t="n">
        <f aca="false">6*D2211+(D2211-E2211-G2211)+2*F2211+3*H2211</f>
        <v>21</v>
      </c>
      <c r="J2211" s="0" t="n">
        <f aca="true">CRITBINOM($C2211,MIN(0.75,Matchup!$C$39*$B2211),RAND())</f>
        <v>3</v>
      </c>
      <c r="K2211" s="0" t="n">
        <f aca="true">CRITBINOM(J2211,Coefficients!$B$30,RAND())</f>
        <v>0</v>
      </c>
      <c r="L2211" s="0" t="n">
        <f aca="true">CRITBINOM(K2211,Coefficients!$B$31,RAND())</f>
        <v>0</v>
      </c>
      <c r="M2211" s="0" t="n">
        <f aca="true">CRITBINOM(MAX(0,J2211-K2211),1-Coefficients!$B$32,RAND())</f>
        <v>0</v>
      </c>
      <c r="N2211" s="0" t="n">
        <f aca="true">CRITBINOM(MAX(0,$C2211-J2211),MIN(0.6,Matchup!$C$40*SQRT($B2211)/(1-MIN(0.75,Matchup!$C$39*$B2211))),RAND())</f>
        <v>0</v>
      </c>
      <c r="O2211" s="0" t="n">
        <f aca="false">6*J2211+(J2211-K2211-M2211)+2*L2211+3*N2211</f>
        <v>21</v>
      </c>
      <c r="P2211" s="0" t="n">
        <f aca="true">RAND()</f>
        <v>0.698473023891749</v>
      </c>
      <c r="Q2211" s="0" t="n">
        <f aca="true">RAND()</f>
        <v>0.763830727363832</v>
      </c>
      <c r="R2211" s="0" t="n">
        <f aca="false">IF($I2211&lt;&gt;$O2211,0,IF(P2211&lt;Matchup!$B$39,7,IF(P2211&lt;Matchup!$B$39+Matchup!$B$40,3,0)))</f>
        <v>0</v>
      </c>
      <c r="S2211" s="0" t="n">
        <f aca="false">IF($I2211&lt;&gt;$O2211,0,IF(Q2211&lt;Matchup!$C$39,7,IF(Q2211&lt;Matchup!$C$39+Matchup!$C$40,3,0)))</f>
        <v>0</v>
      </c>
      <c r="T2211" s="0" t="n">
        <f aca="false">I2211+R2211</f>
        <v>21</v>
      </c>
      <c r="U2211" s="0" t="n">
        <f aca="false">O2211+S2211</f>
        <v>21</v>
      </c>
      <c r="V2211" s="0" t="n">
        <f aca="false">T2211-U2211</f>
        <v>0</v>
      </c>
      <c r="W2211" s="0" t="n">
        <f aca="false">T2211+U2211</f>
        <v>42</v>
      </c>
    </row>
    <row r="2212" customFormat="false" ht="15" hidden="false" customHeight="false" outlineLevel="0" collapsed="false">
      <c r="A2212" s="0" t="n">
        <v>2209</v>
      </c>
      <c r="B2212" s="0" t="n">
        <f aca="true">NORMINV(RAND(),1,Coefficients!$B$22)</f>
        <v>1.03185441633685</v>
      </c>
      <c r="C2212" s="0" t="n">
        <f aca="true">MEDIAN(8,16,ROUND(NORMINV(RAND(),Coefficients!$B$20,Coefficients!$B$21),0))</f>
        <v>10</v>
      </c>
      <c r="D2212" s="0" t="n">
        <f aca="true">CRITBINOM($C2212,MIN(0.75,Matchup!$B$39*$B2212),RAND())</f>
        <v>2</v>
      </c>
      <c r="E2212" s="0" t="n">
        <f aca="true">CRITBINOM(D2212,Coefficients!$B$30,RAND())</f>
        <v>0</v>
      </c>
      <c r="F2212" s="0" t="n">
        <f aca="true">CRITBINOM(E2212,Coefficients!$B$31,RAND())</f>
        <v>0</v>
      </c>
      <c r="G2212" s="0" t="n">
        <f aca="true">CRITBINOM(MAX(0,D2212-E2212),1-Coefficients!$B$32,RAND())</f>
        <v>0</v>
      </c>
      <c r="H2212" s="0" t="n">
        <f aca="true">CRITBINOM(MAX(0,$C2212-D2212),MIN(0.6,Matchup!$B$40*SQRT($B2212)/(1-MIN(0.75,Matchup!$B$39*$B2212))),RAND())</f>
        <v>2</v>
      </c>
      <c r="I2212" s="0" t="n">
        <f aca="false">6*D2212+(D2212-E2212-G2212)+2*F2212+3*H2212</f>
        <v>20</v>
      </c>
      <c r="J2212" s="0" t="n">
        <f aca="true">CRITBINOM($C2212,MIN(0.75,Matchup!$C$39*$B2212),RAND())</f>
        <v>1</v>
      </c>
      <c r="K2212" s="0" t="n">
        <f aca="true">CRITBINOM(J2212,Coefficients!$B$30,RAND())</f>
        <v>0</v>
      </c>
      <c r="L2212" s="0" t="n">
        <f aca="true">CRITBINOM(K2212,Coefficients!$B$31,RAND())</f>
        <v>0</v>
      </c>
      <c r="M2212" s="0" t="n">
        <f aca="true">CRITBINOM(MAX(0,J2212-K2212),1-Coefficients!$B$32,RAND())</f>
        <v>1</v>
      </c>
      <c r="N2212" s="0" t="n">
        <f aca="true">CRITBINOM(MAX(0,$C2212-J2212),MIN(0.6,Matchup!$C$40*SQRT($B2212)/(1-MIN(0.75,Matchup!$C$39*$B2212))),RAND())</f>
        <v>2</v>
      </c>
      <c r="O2212" s="0" t="n">
        <f aca="false">6*J2212+(J2212-K2212-M2212)+2*L2212+3*N2212</f>
        <v>12</v>
      </c>
      <c r="P2212" s="0" t="n">
        <f aca="true">RAND()</f>
        <v>0.900203185154991</v>
      </c>
      <c r="Q2212" s="0" t="n">
        <f aca="true">RAND()</f>
        <v>0.366557677553504</v>
      </c>
      <c r="R2212" s="0" t="n">
        <f aca="false">IF($I2212&lt;&gt;$O2212,0,IF(P2212&lt;Matchup!$B$39,7,IF(P2212&lt;Matchup!$B$39+Matchup!$B$40,3,0)))</f>
        <v>0</v>
      </c>
      <c r="S2212" s="0" t="n">
        <f aca="false">IF($I2212&lt;&gt;$O2212,0,IF(Q2212&lt;Matchup!$C$39,7,IF(Q2212&lt;Matchup!$C$39+Matchup!$C$40,3,0)))</f>
        <v>0</v>
      </c>
      <c r="T2212" s="0" t="n">
        <f aca="false">I2212+R2212</f>
        <v>20</v>
      </c>
      <c r="U2212" s="0" t="n">
        <f aca="false">O2212+S2212</f>
        <v>12</v>
      </c>
      <c r="V2212" s="0" t="n">
        <f aca="false">T2212-U2212</f>
        <v>8</v>
      </c>
      <c r="W2212" s="0" t="n">
        <f aca="false">T2212+U2212</f>
        <v>32</v>
      </c>
    </row>
    <row r="2213" customFormat="false" ht="15" hidden="false" customHeight="false" outlineLevel="0" collapsed="false">
      <c r="A2213" s="0" t="n">
        <v>2210</v>
      </c>
      <c r="B2213" s="0" t="n">
        <f aca="true">NORMINV(RAND(),1,Coefficients!$B$22)</f>
        <v>0.949738421731062</v>
      </c>
      <c r="C2213" s="0" t="n">
        <f aca="true">MEDIAN(8,16,ROUND(NORMINV(RAND(),Coefficients!$B$20,Coefficients!$B$21),0))</f>
        <v>11</v>
      </c>
      <c r="D2213" s="0" t="n">
        <f aca="true">CRITBINOM($C2213,MIN(0.75,Matchup!$B$39*$B2213),RAND())</f>
        <v>5</v>
      </c>
      <c r="E2213" s="0" t="n">
        <f aca="true">CRITBINOM(D2213,Coefficients!$B$30,RAND())</f>
        <v>1</v>
      </c>
      <c r="F2213" s="0" t="n">
        <f aca="true">CRITBINOM(E2213,Coefficients!$B$31,RAND())</f>
        <v>1</v>
      </c>
      <c r="G2213" s="0" t="n">
        <f aca="true">CRITBINOM(MAX(0,D2213-E2213),1-Coefficients!$B$32,RAND())</f>
        <v>0</v>
      </c>
      <c r="H2213" s="0" t="n">
        <f aca="true">CRITBINOM(MAX(0,$C2213-D2213),MIN(0.6,Matchup!$B$40*SQRT($B2213)/(1-MIN(0.75,Matchup!$B$39*$B2213))),RAND())</f>
        <v>1</v>
      </c>
      <c r="I2213" s="0" t="n">
        <f aca="false">6*D2213+(D2213-E2213-G2213)+2*F2213+3*H2213</f>
        <v>39</v>
      </c>
      <c r="J2213" s="0" t="n">
        <f aca="true">CRITBINOM($C2213,MIN(0.75,Matchup!$C$39*$B2213),RAND())</f>
        <v>3</v>
      </c>
      <c r="K2213" s="0" t="n">
        <f aca="true">CRITBINOM(J2213,Coefficients!$B$30,RAND())</f>
        <v>0</v>
      </c>
      <c r="L2213" s="0" t="n">
        <f aca="true">CRITBINOM(K2213,Coefficients!$B$31,RAND())</f>
        <v>0</v>
      </c>
      <c r="M2213" s="0" t="n">
        <f aca="true">CRITBINOM(MAX(0,J2213-K2213),1-Coefficients!$B$32,RAND())</f>
        <v>0</v>
      </c>
      <c r="N2213" s="0" t="n">
        <f aca="true">CRITBINOM(MAX(0,$C2213-J2213),MIN(0.6,Matchup!$C$40*SQRT($B2213)/(1-MIN(0.75,Matchup!$C$39*$B2213))),RAND())</f>
        <v>3</v>
      </c>
      <c r="O2213" s="0" t="n">
        <f aca="false">6*J2213+(J2213-K2213-M2213)+2*L2213+3*N2213</f>
        <v>30</v>
      </c>
      <c r="P2213" s="0" t="n">
        <f aca="true">RAND()</f>
        <v>0.242335459085146</v>
      </c>
      <c r="Q2213" s="0" t="n">
        <f aca="true">RAND()</f>
        <v>0.997814922830044</v>
      </c>
      <c r="R2213" s="0" t="n">
        <f aca="false">IF($I2213&lt;&gt;$O2213,0,IF(P2213&lt;Matchup!$B$39,7,IF(P2213&lt;Matchup!$B$39+Matchup!$B$40,3,0)))</f>
        <v>0</v>
      </c>
      <c r="S2213" s="0" t="n">
        <f aca="false">IF($I2213&lt;&gt;$O2213,0,IF(Q2213&lt;Matchup!$C$39,7,IF(Q2213&lt;Matchup!$C$39+Matchup!$C$40,3,0)))</f>
        <v>0</v>
      </c>
      <c r="T2213" s="0" t="n">
        <f aca="false">I2213+R2213</f>
        <v>39</v>
      </c>
      <c r="U2213" s="0" t="n">
        <f aca="false">O2213+S2213</f>
        <v>30</v>
      </c>
      <c r="V2213" s="0" t="n">
        <f aca="false">T2213-U2213</f>
        <v>9</v>
      </c>
      <c r="W2213" s="0" t="n">
        <f aca="false">T2213+U2213</f>
        <v>69</v>
      </c>
    </row>
    <row r="2214" customFormat="false" ht="15" hidden="false" customHeight="false" outlineLevel="0" collapsed="false">
      <c r="A2214" s="0" t="n">
        <v>2211</v>
      </c>
      <c r="B2214" s="0" t="n">
        <f aca="true">NORMINV(RAND(),1,Coefficients!$B$22)</f>
        <v>1.12196141251799</v>
      </c>
      <c r="C2214" s="0" t="n">
        <f aca="true">MEDIAN(8,16,ROUND(NORMINV(RAND(),Coefficients!$B$20,Coefficients!$B$21),0))</f>
        <v>13</v>
      </c>
      <c r="D2214" s="0" t="n">
        <f aca="true">CRITBINOM($C2214,MIN(0.75,Matchup!$B$39*$B2214),RAND())</f>
        <v>3</v>
      </c>
      <c r="E2214" s="0" t="n">
        <f aca="true">CRITBINOM(D2214,Coefficients!$B$30,RAND())</f>
        <v>0</v>
      </c>
      <c r="F2214" s="0" t="n">
        <f aca="true">CRITBINOM(E2214,Coefficients!$B$31,RAND())</f>
        <v>0</v>
      </c>
      <c r="G2214" s="0" t="n">
        <f aca="true">CRITBINOM(MAX(0,D2214-E2214),1-Coefficients!$B$32,RAND())</f>
        <v>0</v>
      </c>
      <c r="H2214" s="0" t="n">
        <f aca="true">CRITBINOM(MAX(0,$C2214-D2214),MIN(0.6,Matchup!$B$40*SQRT($B2214)/(1-MIN(0.75,Matchup!$B$39*$B2214))),RAND())</f>
        <v>1</v>
      </c>
      <c r="I2214" s="0" t="n">
        <f aca="false">6*D2214+(D2214-E2214-G2214)+2*F2214+3*H2214</f>
        <v>24</v>
      </c>
      <c r="J2214" s="0" t="n">
        <f aca="true">CRITBINOM($C2214,MIN(0.75,Matchup!$C$39*$B2214),RAND())</f>
        <v>1</v>
      </c>
      <c r="K2214" s="0" t="n">
        <f aca="true">CRITBINOM(J2214,Coefficients!$B$30,RAND())</f>
        <v>0</v>
      </c>
      <c r="L2214" s="0" t="n">
        <f aca="true">CRITBINOM(K2214,Coefficients!$B$31,RAND())</f>
        <v>0</v>
      </c>
      <c r="M2214" s="0" t="n">
        <f aca="true">CRITBINOM(MAX(0,J2214-K2214),1-Coefficients!$B$32,RAND())</f>
        <v>0</v>
      </c>
      <c r="N2214" s="0" t="n">
        <f aca="true">CRITBINOM(MAX(0,$C2214-J2214),MIN(0.6,Matchup!$C$40*SQRT($B2214)/(1-MIN(0.75,Matchup!$C$39*$B2214))),RAND())</f>
        <v>3</v>
      </c>
      <c r="O2214" s="0" t="n">
        <f aca="false">6*J2214+(J2214-K2214-M2214)+2*L2214+3*N2214</f>
        <v>16</v>
      </c>
      <c r="P2214" s="0" t="n">
        <f aca="true">RAND()</f>
        <v>0.891194231024368</v>
      </c>
      <c r="Q2214" s="0" t="n">
        <f aca="true">RAND()</f>
        <v>0.055700035278968</v>
      </c>
      <c r="R2214" s="0" t="n">
        <f aca="false">IF($I2214&lt;&gt;$O2214,0,IF(P2214&lt;Matchup!$B$39,7,IF(P2214&lt;Matchup!$B$39+Matchup!$B$40,3,0)))</f>
        <v>0</v>
      </c>
      <c r="S2214" s="0" t="n">
        <f aca="false">IF($I2214&lt;&gt;$O2214,0,IF(Q2214&lt;Matchup!$C$39,7,IF(Q2214&lt;Matchup!$C$39+Matchup!$C$40,3,0)))</f>
        <v>0</v>
      </c>
      <c r="T2214" s="0" t="n">
        <f aca="false">I2214+R2214</f>
        <v>24</v>
      </c>
      <c r="U2214" s="0" t="n">
        <f aca="false">O2214+S2214</f>
        <v>16</v>
      </c>
      <c r="V2214" s="0" t="n">
        <f aca="false">T2214-U2214</f>
        <v>8</v>
      </c>
      <c r="W2214" s="0" t="n">
        <f aca="false">T2214+U2214</f>
        <v>40</v>
      </c>
    </row>
    <row r="2215" customFormat="false" ht="15" hidden="false" customHeight="false" outlineLevel="0" collapsed="false">
      <c r="A2215" s="0" t="n">
        <v>2212</v>
      </c>
      <c r="B2215" s="0" t="n">
        <f aca="true">NORMINV(RAND(),1,Coefficients!$B$22)</f>
        <v>0.840671292190347</v>
      </c>
      <c r="C2215" s="0" t="n">
        <f aca="true">MEDIAN(8,16,ROUND(NORMINV(RAND(),Coefficients!$B$20,Coefficients!$B$21),0))</f>
        <v>11</v>
      </c>
      <c r="D2215" s="0" t="n">
        <f aca="true">CRITBINOM($C2215,MIN(0.75,Matchup!$B$39*$B2215),RAND())</f>
        <v>0</v>
      </c>
      <c r="E2215" s="0" t="n">
        <f aca="true">CRITBINOM(D2215,Coefficients!$B$30,RAND())</f>
        <v>0</v>
      </c>
      <c r="F2215" s="0" t="n">
        <f aca="true">CRITBINOM(E2215,Coefficients!$B$31,RAND())</f>
        <v>0</v>
      </c>
      <c r="G2215" s="0" t="n">
        <f aca="true">CRITBINOM(MAX(0,D2215-E2215),1-Coefficients!$B$32,RAND())</f>
        <v>0</v>
      </c>
      <c r="H2215" s="0" t="n">
        <f aca="true">CRITBINOM(MAX(0,$C2215-D2215),MIN(0.6,Matchup!$B$40*SQRT($B2215)/(1-MIN(0.75,Matchup!$B$39*$B2215))),RAND())</f>
        <v>5</v>
      </c>
      <c r="I2215" s="0" t="n">
        <f aca="false">6*D2215+(D2215-E2215-G2215)+2*F2215+3*H2215</f>
        <v>15</v>
      </c>
      <c r="J2215" s="0" t="n">
        <f aca="true">CRITBINOM($C2215,MIN(0.75,Matchup!$C$39*$B2215),RAND())</f>
        <v>2</v>
      </c>
      <c r="K2215" s="0" t="n">
        <f aca="true">CRITBINOM(J2215,Coefficients!$B$30,RAND())</f>
        <v>1</v>
      </c>
      <c r="L2215" s="0" t="n">
        <f aca="true">CRITBINOM(K2215,Coefficients!$B$31,RAND())</f>
        <v>1</v>
      </c>
      <c r="M2215" s="0" t="n">
        <f aca="true">CRITBINOM(MAX(0,J2215-K2215),1-Coefficients!$B$32,RAND())</f>
        <v>0</v>
      </c>
      <c r="N2215" s="0" t="n">
        <f aca="true">CRITBINOM(MAX(0,$C2215-J2215),MIN(0.6,Matchup!$C$40*SQRT($B2215)/(1-MIN(0.75,Matchup!$C$39*$B2215))),RAND())</f>
        <v>0</v>
      </c>
      <c r="O2215" s="0" t="n">
        <f aca="false">6*J2215+(J2215-K2215-M2215)+2*L2215+3*N2215</f>
        <v>15</v>
      </c>
      <c r="P2215" s="0" t="n">
        <f aca="true">RAND()</f>
        <v>0.30899742983073</v>
      </c>
      <c r="Q2215" s="0" t="n">
        <f aca="true">RAND()</f>
        <v>0.625955830942632</v>
      </c>
      <c r="R2215" s="0" t="n">
        <f aca="false">IF($I2215&lt;&gt;$O2215,0,IF(P2215&lt;Matchup!$B$39,7,IF(P2215&lt;Matchup!$B$39+Matchup!$B$40,3,0)))</f>
        <v>3</v>
      </c>
      <c r="S2215" s="0" t="n">
        <f aca="false">IF($I2215&lt;&gt;$O2215,0,IF(Q2215&lt;Matchup!$C$39,7,IF(Q2215&lt;Matchup!$C$39+Matchup!$C$40,3,0)))</f>
        <v>0</v>
      </c>
      <c r="T2215" s="0" t="n">
        <f aca="false">I2215+R2215</f>
        <v>18</v>
      </c>
      <c r="U2215" s="0" t="n">
        <f aca="false">O2215+S2215</f>
        <v>15</v>
      </c>
      <c r="V2215" s="0" t="n">
        <f aca="false">T2215-U2215</f>
        <v>3</v>
      </c>
      <c r="W2215" s="0" t="n">
        <f aca="false">T2215+U2215</f>
        <v>33</v>
      </c>
    </row>
    <row r="2216" customFormat="false" ht="15" hidden="false" customHeight="false" outlineLevel="0" collapsed="false">
      <c r="A2216" s="0" t="n">
        <v>2213</v>
      </c>
      <c r="B2216" s="0" t="n">
        <f aca="true">NORMINV(RAND(),1,Coefficients!$B$22)</f>
        <v>0.964414499041437</v>
      </c>
      <c r="C2216" s="0" t="n">
        <f aca="true">MEDIAN(8,16,ROUND(NORMINV(RAND(),Coefficients!$B$20,Coefficients!$B$21),0))</f>
        <v>11</v>
      </c>
      <c r="D2216" s="0" t="n">
        <f aca="true">CRITBINOM($C2216,MIN(0.75,Matchup!$B$39*$B2216),RAND())</f>
        <v>3</v>
      </c>
      <c r="E2216" s="0" t="n">
        <f aca="true">CRITBINOM(D2216,Coefficients!$B$30,RAND())</f>
        <v>0</v>
      </c>
      <c r="F2216" s="0" t="n">
        <f aca="true">CRITBINOM(E2216,Coefficients!$B$31,RAND())</f>
        <v>0</v>
      </c>
      <c r="G2216" s="0" t="n">
        <f aca="true">CRITBINOM(MAX(0,D2216-E2216),1-Coefficients!$B$32,RAND())</f>
        <v>0</v>
      </c>
      <c r="H2216" s="0" t="n">
        <f aca="true">CRITBINOM(MAX(0,$C2216-D2216),MIN(0.6,Matchup!$B$40*SQRT($B2216)/(1-MIN(0.75,Matchup!$B$39*$B2216))),RAND())</f>
        <v>0</v>
      </c>
      <c r="I2216" s="0" t="n">
        <f aca="false">6*D2216+(D2216-E2216-G2216)+2*F2216+3*H2216</f>
        <v>21</v>
      </c>
      <c r="J2216" s="0" t="n">
        <f aca="true">CRITBINOM($C2216,MIN(0.75,Matchup!$C$39*$B2216),RAND())</f>
        <v>4</v>
      </c>
      <c r="K2216" s="0" t="n">
        <f aca="true">CRITBINOM(J2216,Coefficients!$B$30,RAND())</f>
        <v>0</v>
      </c>
      <c r="L2216" s="0" t="n">
        <f aca="true">CRITBINOM(K2216,Coefficients!$B$31,RAND())</f>
        <v>0</v>
      </c>
      <c r="M2216" s="0" t="n">
        <f aca="true">CRITBINOM(MAX(0,J2216-K2216),1-Coefficients!$B$32,RAND())</f>
        <v>0</v>
      </c>
      <c r="N2216" s="0" t="n">
        <f aca="true">CRITBINOM(MAX(0,$C2216-J2216),MIN(0.6,Matchup!$C$40*SQRT($B2216)/(1-MIN(0.75,Matchup!$C$39*$B2216))),RAND())</f>
        <v>2</v>
      </c>
      <c r="O2216" s="0" t="n">
        <f aca="false">6*J2216+(J2216-K2216-M2216)+2*L2216+3*N2216</f>
        <v>34</v>
      </c>
      <c r="P2216" s="0" t="n">
        <f aca="true">RAND()</f>
        <v>0.939588430570724</v>
      </c>
      <c r="Q2216" s="0" t="n">
        <f aca="true">RAND()</f>
        <v>0.308392869380779</v>
      </c>
      <c r="R2216" s="0" t="n">
        <f aca="false">IF($I2216&lt;&gt;$O2216,0,IF(P2216&lt;Matchup!$B$39,7,IF(P2216&lt;Matchup!$B$39+Matchup!$B$40,3,0)))</f>
        <v>0</v>
      </c>
      <c r="S2216" s="0" t="n">
        <f aca="false">IF($I2216&lt;&gt;$O2216,0,IF(Q2216&lt;Matchup!$C$39,7,IF(Q2216&lt;Matchup!$C$39+Matchup!$C$40,3,0)))</f>
        <v>0</v>
      </c>
      <c r="T2216" s="0" t="n">
        <f aca="false">I2216+R2216</f>
        <v>21</v>
      </c>
      <c r="U2216" s="0" t="n">
        <f aca="false">O2216+S2216</f>
        <v>34</v>
      </c>
      <c r="V2216" s="0" t="n">
        <f aca="false">T2216-U2216</f>
        <v>-13</v>
      </c>
      <c r="W2216" s="0" t="n">
        <f aca="false">T2216+U2216</f>
        <v>55</v>
      </c>
    </row>
    <row r="2217" customFormat="false" ht="15" hidden="false" customHeight="false" outlineLevel="0" collapsed="false">
      <c r="A2217" s="0" t="n">
        <v>2214</v>
      </c>
      <c r="B2217" s="0" t="n">
        <f aca="true">NORMINV(RAND(),1,Coefficients!$B$22)</f>
        <v>0.916688395122315</v>
      </c>
      <c r="C2217" s="0" t="n">
        <f aca="true">MEDIAN(8,16,ROUND(NORMINV(RAND(),Coefficients!$B$20,Coefficients!$B$21),0))</f>
        <v>14</v>
      </c>
      <c r="D2217" s="0" t="n">
        <f aca="true">CRITBINOM($C2217,MIN(0.75,Matchup!$B$39*$B2217),RAND())</f>
        <v>1</v>
      </c>
      <c r="E2217" s="0" t="n">
        <f aca="true">CRITBINOM(D2217,Coefficients!$B$30,RAND())</f>
        <v>0</v>
      </c>
      <c r="F2217" s="0" t="n">
        <f aca="true">CRITBINOM(E2217,Coefficients!$B$31,RAND())</f>
        <v>0</v>
      </c>
      <c r="G2217" s="0" t="n">
        <f aca="true">CRITBINOM(MAX(0,D2217-E2217),1-Coefficients!$B$32,RAND())</f>
        <v>0</v>
      </c>
      <c r="H2217" s="0" t="n">
        <f aca="true">CRITBINOM(MAX(0,$C2217-D2217),MIN(0.6,Matchup!$B$40*SQRT($B2217)/(1-MIN(0.75,Matchup!$B$39*$B2217))),RAND())</f>
        <v>4</v>
      </c>
      <c r="I2217" s="0" t="n">
        <f aca="false">6*D2217+(D2217-E2217-G2217)+2*F2217+3*H2217</f>
        <v>19</v>
      </c>
      <c r="J2217" s="0" t="n">
        <f aca="true">CRITBINOM($C2217,MIN(0.75,Matchup!$C$39*$B2217),RAND())</f>
        <v>3</v>
      </c>
      <c r="K2217" s="0" t="n">
        <f aca="true">CRITBINOM(J2217,Coefficients!$B$30,RAND())</f>
        <v>1</v>
      </c>
      <c r="L2217" s="0" t="n">
        <f aca="true">CRITBINOM(K2217,Coefficients!$B$31,RAND())</f>
        <v>1</v>
      </c>
      <c r="M2217" s="0" t="n">
        <f aca="true">CRITBINOM(MAX(0,J2217-K2217),1-Coefficients!$B$32,RAND())</f>
        <v>0</v>
      </c>
      <c r="N2217" s="0" t="n">
        <f aca="true">CRITBINOM(MAX(0,$C2217-J2217),MIN(0.6,Matchup!$C$40*SQRT($B2217)/(1-MIN(0.75,Matchup!$C$39*$B2217))),RAND())</f>
        <v>2</v>
      </c>
      <c r="O2217" s="0" t="n">
        <f aca="false">6*J2217+(J2217-K2217-M2217)+2*L2217+3*N2217</f>
        <v>28</v>
      </c>
      <c r="P2217" s="0" t="n">
        <f aca="true">RAND()</f>
        <v>0.0807977289120972</v>
      </c>
      <c r="Q2217" s="0" t="n">
        <f aca="true">RAND()</f>
        <v>0.181718855531406</v>
      </c>
      <c r="R2217" s="0" t="n">
        <f aca="false">IF($I2217&lt;&gt;$O2217,0,IF(P2217&lt;Matchup!$B$39,7,IF(P2217&lt;Matchup!$B$39+Matchup!$B$40,3,0)))</f>
        <v>0</v>
      </c>
      <c r="S2217" s="0" t="n">
        <f aca="false">IF($I2217&lt;&gt;$O2217,0,IF(Q2217&lt;Matchup!$C$39,7,IF(Q2217&lt;Matchup!$C$39+Matchup!$C$40,3,0)))</f>
        <v>0</v>
      </c>
      <c r="T2217" s="0" t="n">
        <f aca="false">I2217+R2217</f>
        <v>19</v>
      </c>
      <c r="U2217" s="0" t="n">
        <f aca="false">O2217+S2217</f>
        <v>28</v>
      </c>
      <c r="V2217" s="0" t="n">
        <f aca="false">T2217-U2217</f>
        <v>-9</v>
      </c>
      <c r="W2217" s="0" t="n">
        <f aca="false">T2217+U2217</f>
        <v>47</v>
      </c>
    </row>
    <row r="2218" customFormat="false" ht="15" hidden="false" customHeight="false" outlineLevel="0" collapsed="false">
      <c r="A2218" s="0" t="n">
        <v>2215</v>
      </c>
      <c r="B2218" s="0" t="n">
        <f aca="true">NORMINV(RAND(),1,Coefficients!$B$22)</f>
        <v>0.924516662517492</v>
      </c>
      <c r="C2218" s="0" t="n">
        <f aca="true">MEDIAN(8,16,ROUND(NORMINV(RAND(),Coefficients!$B$20,Coefficients!$B$21),0))</f>
        <v>12</v>
      </c>
      <c r="D2218" s="0" t="n">
        <f aca="true">CRITBINOM($C2218,MIN(0.75,Matchup!$B$39*$B2218),RAND())</f>
        <v>4</v>
      </c>
      <c r="E2218" s="0" t="n">
        <f aca="true">CRITBINOM(D2218,Coefficients!$B$30,RAND())</f>
        <v>0</v>
      </c>
      <c r="F2218" s="0" t="n">
        <f aca="true">CRITBINOM(E2218,Coefficients!$B$31,RAND())</f>
        <v>0</v>
      </c>
      <c r="G2218" s="0" t="n">
        <f aca="true">CRITBINOM(MAX(0,D2218-E2218),1-Coefficients!$B$32,RAND())</f>
        <v>0</v>
      </c>
      <c r="H2218" s="0" t="n">
        <f aca="true">CRITBINOM(MAX(0,$C2218-D2218),MIN(0.6,Matchup!$B$40*SQRT($B2218)/(1-MIN(0.75,Matchup!$B$39*$B2218))),RAND())</f>
        <v>3</v>
      </c>
      <c r="I2218" s="0" t="n">
        <f aca="false">6*D2218+(D2218-E2218-G2218)+2*F2218+3*H2218</f>
        <v>37</v>
      </c>
      <c r="J2218" s="0" t="n">
        <f aca="true">CRITBINOM($C2218,MIN(0.75,Matchup!$C$39*$B2218),RAND())</f>
        <v>1</v>
      </c>
      <c r="K2218" s="0" t="n">
        <f aca="true">CRITBINOM(J2218,Coefficients!$B$30,RAND())</f>
        <v>0</v>
      </c>
      <c r="L2218" s="0" t="n">
        <f aca="true">CRITBINOM(K2218,Coefficients!$B$31,RAND())</f>
        <v>0</v>
      </c>
      <c r="M2218" s="0" t="n">
        <f aca="true">CRITBINOM(MAX(0,J2218-K2218),1-Coefficients!$B$32,RAND())</f>
        <v>0</v>
      </c>
      <c r="N2218" s="0" t="n">
        <f aca="true">CRITBINOM(MAX(0,$C2218-J2218),MIN(0.6,Matchup!$C$40*SQRT($B2218)/(1-MIN(0.75,Matchup!$C$39*$B2218))),RAND())</f>
        <v>1</v>
      </c>
      <c r="O2218" s="0" t="n">
        <f aca="false">6*J2218+(J2218-K2218-M2218)+2*L2218+3*N2218</f>
        <v>10</v>
      </c>
      <c r="P2218" s="0" t="n">
        <f aca="true">RAND()</f>
        <v>0.273914693503293</v>
      </c>
      <c r="Q2218" s="0" t="n">
        <f aca="true">RAND()</f>
        <v>0.56393014527448</v>
      </c>
      <c r="R2218" s="0" t="n">
        <f aca="false">IF($I2218&lt;&gt;$O2218,0,IF(P2218&lt;Matchup!$B$39,7,IF(P2218&lt;Matchup!$B$39+Matchup!$B$40,3,0)))</f>
        <v>0</v>
      </c>
      <c r="S2218" s="0" t="n">
        <f aca="false">IF($I2218&lt;&gt;$O2218,0,IF(Q2218&lt;Matchup!$C$39,7,IF(Q2218&lt;Matchup!$C$39+Matchup!$C$40,3,0)))</f>
        <v>0</v>
      </c>
      <c r="T2218" s="0" t="n">
        <f aca="false">I2218+R2218</f>
        <v>37</v>
      </c>
      <c r="U2218" s="0" t="n">
        <f aca="false">O2218+S2218</f>
        <v>10</v>
      </c>
      <c r="V2218" s="0" t="n">
        <f aca="false">T2218-U2218</f>
        <v>27</v>
      </c>
      <c r="W2218" s="0" t="n">
        <f aca="false">T2218+U2218</f>
        <v>47</v>
      </c>
    </row>
    <row r="2219" customFormat="false" ht="15" hidden="false" customHeight="false" outlineLevel="0" collapsed="false">
      <c r="A2219" s="0" t="n">
        <v>2216</v>
      </c>
      <c r="B2219" s="0" t="n">
        <f aca="true">NORMINV(RAND(),1,Coefficients!$B$22)</f>
        <v>1.10636762186805</v>
      </c>
      <c r="C2219" s="0" t="n">
        <f aca="true">MEDIAN(8,16,ROUND(NORMINV(RAND(),Coefficients!$B$20,Coefficients!$B$21),0))</f>
        <v>10</v>
      </c>
      <c r="D2219" s="0" t="n">
        <f aca="true">CRITBINOM($C2219,MIN(0.75,Matchup!$B$39*$B2219),RAND())</f>
        <v>3</v>
      </c>
      <c r="E2219" s="0" t="n">
        <f aca="true">CRITBINOM(D2219,Coefficients!$B$30,RAND())</f>
        <v>0</v>
      </c>
      <c r="F2219" s="0" t="n">
        <f aca="true">CRITBINOM(E2219,Coefficients!$B$31,RAND())</f>
        <v>0</v>
      </c>
      <c r="G2219" s="0" t="n">
        <f aca="true">CRITBINOM(MAX(0,D2219-E2219),1-Coefficients!$B$32,RAND())</f>
        <v>0</v>
      </c>
      <c r="H2219" s="0" t="n">
        <f aca="true">CRITBINOM(MAX(0,$C2219-D2219),MIN(0.6,Matchup!$B$40*SQRT($B2219)/(1-MIN(0.75,Matchup!$B$39*$B2219))),RAND())</f>
        <v>0</v>
      </c>
      <c r="I2219" s="0" t="n">
        <f aca="false">6*D2219+(D2219-E2219-G2219)+2*F2219+3*H2219</f>
        <v>21</v>
      </c>
      <c r="J2219" s="0" t="n">
        <f aca="true">CRITBINOM($C2219,MIN(0.75,Matchup!$C$39*$B2219),RAND())</f>
        <v>2</v>
      </c>
      <c r="K2219" s="0" t="n">
        <f aca="true">CRITBINOM(J2219,Coefficients!$B$30,RAND())</f>
        <v>0</v>
      </c>
      <c r="L2219" s="0" t="n">
        <f aca="true">CRITBINOM(K2219,Coefficients!$B$31,RAND())</f>
        <v>0</v>
      </c>
      <c r="M2219" s="0" t="n">
        <f aca="true">CRITBINOM(MAX(0,J2219-K2219),1-Coefficients!$B$32,RAND())</f>
        <v>0</v>
      </c>
      <c r="N2219" s="0" t="n">
        <f aca="true">CRITBINOM(MAX(0,$C2219-J2219),MIN(0.6,Matchup!$C$40*SQRT($B2219)/(1-MIN(0.75,Matchup!$C$39*$B2219))),RAND())</f>
        <v>2</v>
      </c>
      <c r="O2219" s="0" t="n">
        <f aca="false">6*J2219+(J2219-K2219-M2219)+2*L2219+3*N2219</f>
        <v>20</v>
      </c>
      <c r="P2219" s="0" t="n">
        <f aca="true">RAND()</f>
        <v>0.452306234847179</v>
      </c>
      <c r="Q2219" s="0" t="n">
        <f aca="true">RAND()</f>
        <v>0.231763447758876</v>
      </c>
      <c r="R2219" s="0" t="n">
        <f aca="false">IF($I2219&lt;&gt;$O2219,0,IF(P2219&lt;Matchup!$B$39,7,IF(P2219&lt;Matchup!$B$39+Matchup!$B$40,3,0)))</f>
        <v>0</v>
      </c>
      <c r="S2219" s="0" t="n">
        <f aca="false">IF($I2219&lt;&gt;$O2219,0,IF(Q2219&lt;Matchup!$C$39,7,IF(Q2219&lt;Matchup!$C$39+Matchup!$C$40,3,0)))</f>
        <v>0</v>
      </c>
      <c r="T2219" s="0" t="n">
        <f aca="false">I2219+R2219</f>
        <v>21</v>
      </c>
      <c r="U2219" s="0" t="n">
        <f aca="false">O2219+S2219</f>
        <v>20</v>
      </c>
      <c r="V2219" s="0" t="n">
        <f aca="false">T2219-U2219</f>
        <v>1</v>
      </c>
      <c r="W2219" s="0" t="n">
        <f aca="false">T2219+U2219</f>
        <v>41</v>
      </c>
    </row>
    <row r="2220" customFormat="false" ht="15" hidden="false" customHeight="false" outlineLevel="0" collapsed="false">
      <c r="A2220" s="0" t="n">
        <v>2217</v>
      </c>
      <c r="B2220" s="0" t="n">
        <f aca="true">NORMINV(RAND(),1,Coefficients!$B$22)</f>
        <v>0.988751731494472</v>
      </c>
      <c r="C2220" s="0" t="n">
        <f aca="true">MEDIAN(8,16,ROUND(NORMINV(RAND(),Coefficients!$B$20,Coefficients!$B$21),0))</f>
        <v>12</v>
      </c>
      <c r="D2220" s="0" t="n">
        <f aca="true">CRITBINOM($C2220,MIN(0.75,Matchup!$B$39*$B2220),RAND())</f>
        <v>2</v>
      </c>
      <c r="E2220" s="0" t="n">
        <f aca="true">CRITBINOM(D2220,Coefficients!$B$30,RAND())</f>
        <v>0</v>
      </c>
      <c r="F2220" s="0" t="n">
        <f aca="true">CRITBINOM(E2220,Coefficients!$B$31,RAND())</f>
        <v>0</v>
      </c>
      <c r="G2220" s="0" t="n">
        <f aca="true">CRITBINOM(MAX(0,D2220-E2220),1-Coefficients!$B$32,RAND())</f>
        <v>0</v>
      </c>
      <c r="H2220" s="0" t="n">
        <f aca="true">CRITBINOM(MAX(0,$C2220-D2220),MIN(0.6,Matchup!$B$40*SQRT($B2220)/(1-MIN(0.75,Matchup!$B$39*$B2220))),RAND())</f>
        <v>3</v>
      </c>
      <c r="I2220" s="0" t="n">
        <f aca="false">6*D2220+(D2220-E2220-G2220)+2*F2220+3*H2220</f>
        <v>23</v>
      </c>
      <c r="J2220" s="0" t="n">
        <f aca="true">CRITBINOM($C2220,MIN(0.75,Matchup!$C$39*$B2220),RAND())</f>
        <v>6</v>
      </c>
      <c r="K2220" s="0" t="n">
        <f aca="true">CRITBINOM(J2220,Coefficients!$B$30,RAND())</f>
        <v>1</v>
      </c>
      <c r="L2220" s="0" t="n">
        <f aca="true">CRITBINOM(K2220,Coefficients!$B$31,RAND())</f>
        <v>0</v>
      </c>
      <c r="M2220" s="0" t="n">
        <f aca="true">CRITBINOM(MAX(0,J2220-K2220),1-Coefficients!$B$32,RAND())</f>
        <v>0</v>
      </c>
      <c r="N2220" s="0" t="n">
        <f aca="true">CRITBINOM(MAX(0,$C2220-J2220),MIN(0.6,Matchup!$C$40*SQRT($B2220)/(1-MIN(0.75,Matchup!$C$39*$B2220))),RAND())</f>
        <v>0</v>
      </c>
      <c r="O2220" s="0" t="n">
        <f aca="false">6*J2220+(J2220-K2220-M2220)+2*L2220+3*N2220</f>
        <v>41</v>
      </c>
      <c r="P2220" s="0" t="n">
        <f aca="true">RAND()</f>
        <v>0.855233627148259</v>
      </c>
      <c r="Q2220" s="0" t="n">
        <f aca="true">RAND()</f>
        <v>0.0514103440347558</v>
      </c>
      <c r="R2220" s="0" t="n">
        <f aca="false">IF($I2220&lt;&gt;$O2220,0,IF(P2220&lt;Matchup!$B$39,7,IF(P2220&lt;Matchup!$B$39+Matchup!$B$40,3,0)))</f>
        <v>0</v>
      </c>
      <c r="S2220" s="0" t="n">
        <f aca="false">IF($I2220&lt;&gt;$O2220,0,IF(Q2220&lt;Matchup!$C$39,7,IF(Q2220&lt;Matchup!$C$39+Matchup!$C$40,3,0)))</f>
        <v>0</v>
      </c>
      <c r="T2220" s="0" t="n">
        <f aca="false">I2220+R2220</f>
        <v>23</v>
      </c>
      <c r="U2220" s="0" t="n">
        <f aca="false">O2220+S2220</f>
        <v>41</v>
      </c>
      <c r="V2220" s="0" t="n">
        <f aca="false">T2220-U2220</f>
        <v>-18</v>
      </c>
      <c r="W2220" s="0" t="n">
        <f aca="false">T2220+U2220</f>
        <v>64</v>
      </c>
    </row>
    <row r="2221" customFormat="false" ht="15" hidden="false" customHeight="false" outlineLevel="0" collapsed="false">
      <c r="A2221" s="0" t="n">
        <v>2218</v>
      </c>
      <c r="B2221" s="0" t="n">
        <f aca="true">NORMINV(RAND(),1,Coefficients!$B$22)</f>
        <v>1.17260911337087</v>
      </c>
      <c r="C2221" s="0" t="n">
        <f aca="true">MEDIAN(8,16,ROUND(NORMINV(RAND(),Coefficients!$B$20,Coefficients!$B$21),0))</f>
        <v>10</v>
      </c>
      <c r="D2221" s="0" t="n">
        <f aca="true">CRITBINOM($C2221,MIN(0.75,Matchup!$B$39*$B2221),RAND())</f>
        <v>3</v>
      </c>
      <c r="E2221" s="0" t="n">
        <f aca="true">CRITBINOM(D2221,Coefficients!$B$30,RAND())</f>
        <v>1</v>
      </c>
      <c r="F2221" s="0" t="n">
        <f aca="true">CRITBINOM(E2221,Coefficients!$B$31,RAND())</f>
        <v>1</v>
      </c>
      <c r="G2221" s="0" t="n">
        <f aca="true">CRITBINOM(MAX(0,D2221-E2221),1-Coefficients!$B$32,RAND())</f>
        <v>0</v>
      </c>
      <c r="H2221" s="0" t="n">
        <f aca="true">CRITBINOM(MAX(0,$C2221-D2221),MIN(0.6,Matchup!$B$40*SQRT($B2221)/(1-MIN(0.75,Matchup!$B$39*$B2221))),RAND())</f>
        <v>2</v>
      </c>
      <c r="I2221" s="0" t="n">
        <f aca="false">6*D2221+(D2221-E2221-G2221)+2*F2221+3*H2221</f>
        <v>28</v>
      </c>
      <c r="J2221" s="0" t="n">
        <f aca="true">CRITBINOM($C2221,MIN(0.75,Matchup!$C$39*$B2221),RAND())</f>
        <v>4</v>
      </c>
      <c r="K2221" s="0" t="n">
        <f aca="true">CRITBINOM(J2221,Coefficients!$B$30,RAND())</f>
        <v>1</v>
      </c>
      <c r="L2221" s="0" t="n">
        <f aca="true">CRITBINOM(K2221,Coefficients!$B$31,RAND())</f>
        <v>0</v>
      </c>
      <c r="M2221" s="0" t="n">
        <f aca="true">CRITBINOM(MAX(0,J2221-K2221),1-Coefficients!$B$32,RAND())</f>
        <v>0</v>
      </c>
      <c r="N2221" s="0" t="n">
        <f aca="true">CRITBINOM(MAX(0,$C2221-J2221),MIN(0.6,Matchup!$C$40*SQRT($B2221)/(1-MIN(0.75,Matchup!$C$39*$B2221))),RAND())</f>
        <v>2</v>
      </c>
      <c r="O2221" s="0" t="n">
        <f aca="false">6*J2221+(J2221-K2221-M2221)+2*L2221+3*N2221</f>
        <v>33</v>
      </c>
      <c r="P2221" s="0" t="n">
        <f aca="true">RAND()</f>
        <v>0.208995018118177</v>
      </c>
      <c r="Q2221" s="0" t="n">
        <f aca="true">RAND()</f>
        <v>0.878461747600504</v>
      </c>
      <c r="R2221" s="0" t="n">
        <f aca="false">IF($I2221&lt;&gt;$O2221,0,IF(P2221&lt;Matchup!$B$39,7,IF(P2221&lt;Matchup!$B$39+Matchup!$B$40,3,0)))</f>
        <v>0</v>
      </c>
      <c r="S2221" s="0" t="n">
        <f aca="false">IF($I2221&lt;&gt;$O2221,0,IF(Q2221&lt;Matchup!$C$39,7,IF(Q2221&lt;Matchup!$C$39+Matchup!$C$40,3,0)))</f>
        <v>0</v>
      </c>
      <c r="T2221" s="0" t="n">
        <f aca="false">I2221+R2221</f>
        <v>28</v>
      </c>
      <c r="U2221" s="0" t="n">
        <f aca="false">O2221+S2221</f>
        <v>33</v>
      </c>
      <c r="V2221" s="0" t="n">
        <f aca="false">T2221-U2221</f>
        <v>-5</v>
      </c>
      <c r="W2221" s="0" t="n">
        <f aca="false">T2221+U2221</f>
        <v>61</v>
      </c>
    </row>
    <row r="2222" customFormat="false" ht="15" hidden="false" customHeight="false" outlineLevel="0" collapsed="false">
      <c r="A2222" s="0" t="n">
        <v>2219</v>
      </c>
      <c r="B2222" s="0" t="n">
        <f aca="true">NORMINV(RAND(),1,Coefficients!$B$22)</f>
        <v>0.987492442908524</v>
      </c>
      <c r="C2222" s="0" t="n">
        <f aca="true">MEDIAN(8,16,ROUND(NORMINV(RAND(),Coefficients!$B$20,Coefficients!$B$21),0))</f>
        <v>13</v>
      </c>
      <c r="D2222" s="0" t="n">
        <f aca="true">CRITBINOM($C2222,MIN(0.75,Matchup!$B$39*$B2222),RAND())</f>
        <v>3</v>
      </c>
      <c r="E2222" s="0" t="n">
        <f aca="true">CRITBINOM(D2222,Coefficients!$B$30,RAND())</f>
        <v>0</v>
      </c>
      <c r="F2222" s="0" t="n">
        <f aca="true">CRITBINOM(E2222,Coefficients!$B$31,RAND())</f>
        <v>0</v>
      </c>
      <c r="G2222" s="0" t="n">
        <f aca="true">CRITBINOM(MAX(0,D2222-E2222),1-Coefficients!$B$32,RAND())</f>
        <v>1</v>
      </c>
      <c r="H2222" s="0" t="n">
        <f aca="true">CRITBINOM(MAX(0,$C2222-D2222),MIN(0.6,Matchup!$B$40*SQRT($B2222)/(1-MIN(0.75,Matchup!$B$39*$B2222))),RAND())</f>
        <v>2</v>
      </c>
      <c r="I2222" s="0" t="n">
        <f aca="false">6*D2222+(D2222-E2222-G2222)+2*F2222+3*H2222</f>
        <v>26</v>
      </c>
      <c r="J2222" s="0" t="n">
        <f aca="true">CRITBINOM($C2222,MIN(0.75,Matchup!$C$39*$B2222),RAND())</f>
        <v>6</v>
      </c>
      <c r="K2222" s="0" t="n">
        <f aca="true">CRITBINOM(J2222,Coefficients!$B$30,RAND())</f>
        <v>1</v>
      </c>
      <c r="L2222" s="0" t="n">
        <f aca="true">CRITBINOM(K2222,Coefficients!$B$31,RAND())</f>
        <v>1</v>
      </c>
      <c r="M2222" s="0" t="n">
        <f aca="true">CRITBINOM(MAX(0,J2222-K2222),1-Coefficients!$B$32,RAND())</f>
        <v>1</v>
      </c>
      <c r="N2222" s="0" t="n">
        <f aca="true">CRITBINOM(MAX(0,$C2222-J2222),MIN(0.6,Matchup!$C$40*SQRT($B2222)/(1-MIN(0.75,Matchup!$C$39*$B2222))),RAND())</f>
        <v>0</v>
      </c>
      <c r="O2222" s="0" t="n">
        <f aca="false">6*J2222+(J2222-K2222-M2222)+2*L2222+3*N2222</f>
        <v>42</v>
      </c>
      <c r="P2222" s="0" t="n">
        <f aca="true">RAND()</f>
        <v>0.492711776374717</v>
      </c>
      <c r="Q2222" s="0" t="n">
        <f aca="true">RAND()</f>
        <v>0.743721023066029</v>
      </c>
      <c r="R2222" s="0" t="n">
        <f aca="false">IF($I2222&lt;&gt;$O2222,0,IF(P2222&lt;Matchup!$B$39,7,IF(P2222&lt;Matchup!$B$39+Matchup!$B$40,3,0)))</f>
        <v>0</v>
      </c>
      <c r="S2222" s="0" t="n">
        <f aca="false">IF($I2222&lt;&gt;$O2222,0,IF(Q2222&lt;Matchup!$C$39,7,IF(Q2222&lt;Matchup!$C$39+Matchup!$C$40,3,0)))</f>
        <v>0</v>
      </c>
      <c r="T2222" s="0" t="n">
        <f aca="false">I2222+R2222</f>
        <v>26</v>
      </c>
      <c r="U2222" s="0" t="n">
        <f aca="false">O2222+S2222</f>
        <v>42</v>
      </c>
      <c r="V2222" s="0" t="n">
        <f aca="false">T2222-U2222</f>
        <v>-16</v>
      </c>
      <c r="W2222" s="0" t="n">
        <f aca="false">T2222+U2222</f>
        <v>68</v>
      </c>
    </row>
    <row r="2223" customFormat="false" ht="15" hidden="false" customHeight="false" outlineLevel="0" collapsed="false">
      <c r="A2223" s="0" t="n">
        <v>2220</v>
      </c>
      <c r="B2223" s="0" t="n">
        <f aca="true">NORMINV(RAND(),1,Coefficients!$B$22)</f>
        <v>0.977091740778085</v>
      </c>
      <c r="C2223" s="0" t="n">
        <f aca="true">MEDIAN(8,16,ROUND(NORMINV(RAND(),Coefficients!$B$20,Coefficients!$B$21),0))</f>
        <v>12</v>
      </c>
      <c r="D2223" s="0" t="n">
        <f aca="true">CRITBINOM($C2223,MIN(0.75,Matchup!$B$39*$B2223),RAND())</f>
        <v>3</v>
      </c>
      <c r="E2223" s="0" t="n">
        <f aca="true">CRITBINOM(D2223,Coefficients!$B$30,RAND())</f>
        <v>0</v>
      </c>
      <c r="F2223" s="0" t="n">
        <f aca="true">CRITBINOM(E2223,Coefficients!$B$31,RAND())</f>
        <v>0</v>
      </c>
      <c r="G2223" s="0" t="n">
        <f aca="true">CRITBINOM(MAX(0,D2223-E2223),1-Coefficients!$B$32,RAND())</f>
        <v>1</v>
      </c>
      <c r="H2223" s="0" t="n">
        <f aca="true">CRITBINOM(MAX(0,$C2223-D2223),MIN(0.6,Matchup!$B$40*SQRT($B2223)/(1-MIN(0.75,Matchup!$B$39*$B2223))),RAND())</f>
        <v>2</v>
      </c>
      <c r="I2223" s="0" t="n">
        <f aca="false">6*D2223+(D2223-E2223-G2223)+2*F2223+3*H2223</f>
        <v>26</v>
      </c>
      <c r="J2223" s="0" t="n">
        <f aca="true">CRITBINOM($C2223,MIN(0.75,Matchup!$C$39*$B2223),RAND())</f>
        <v>4</v>
      </c>
      <c r="K2223" s="0" t="n">
        <f aca="true">CRITBINOM(J2223,Coefficients!$B$30,RAND())</f>
        <v>0</v>
      </c>
      <c r="L2223" s="0" t="n">
        <f aca="true">CRITBINOM(K2223,Coefficients!$B$31,RAND())</f>
        <v>0</v>
      </c>
      <c r="M2223" s="0" t="n">
        <f aca="true">CRITBINOM(MAX(0,J2223-K2223),1-Coefficients!$B$32,RAND())</f>
        <v>0</v>
      </c>
      <c r="N2223" s="0" t="n">
        <f aca="true">CRITBINOM(MAX(0,$C2223-J2223),MIN(0.6,Matchup!$C$40*SQRT($B2223)/(1-MIN(0.75,Matchup!$C$39*$B2223))),RAND())</f>
        <v>1</v>
      </c>
      <c r="O2223" s="0" t="n">
        <f aca="false">6*J2223+(J2223-K2223-M2223)+2*L2223+3*N2223</f>
        <v>31</v>
      </c>
      <c r="P2223" s="0" t="n">
        <f aca="true">RAND()</f>
        <v>0.0818663439654638</v>
      </c>
      <c r="Q2223" s="0" t="n">
        <f aca="true">RAND()</f>
        <v>0.585101581847053</v>
      </c>
      <c r="R2223" s="0" t="n">
        <f aca="false">IF($I2223&lt;&gt;$O2223,0,IF(P2223&lt;Matchup!$B$39,7,IF(P2223&lt;Matchup!$B$39+Matchup!$B$40,3,0)))</f>
        <v>0</v>
      </c>
      <c r="S2223" s="0" t="n">
        <f aca="false">IF($I2223&lt;&gt;$O2223,0,IF(Q2223&lt;Matchup!$C$39,7,IF(Q2223&lt;Matchup!$C$39+Matchup!$C$40,3,0)))</f>
        <v>0</v>
      </c>
      <c r="T2223" s="0" t="n">
        <f aca="false">I2223+R2223</f>
        <v>26</v>
      </c>
      <c r="U2223" s="0" t="n">
        <f aca="false">O2223+S2223</f>
        <v>31</v>
      </c>
      <c r="V2223" s="0" t="n">
        <f aca="false">T2223-U2223</f>
        <v>-5</v>
      </c>
      <c r="W2223" s="0" t="n">
        <f aca="false">T2223+U2223</f>
        <v>57</v>
      </c>
    </row>
    <row r="2224" customFormat="false" ht="15" hidden="false" customHeight="false" outlineLevel="0" collapsed="false">
      <c r="A2224" s="0" t="n">
        <v>2221</v>
      </c>
      <c r="B2224" s="0" t="n">
        <f aca="true">NORMINV(RAND(),1,Coefficients!$B$22)</f>
        <v>1.01509554962246</v>
      </c>
      <c r="C2224" s="0" t="n">
        <f aca="true">MEDIAN(8,16,ROUND(NORMINV(RAND(),Coefficients!$B$20,Coefficients!$B$21),0))</f>
        <v>12</v>
      </c>
      <c r="D2224" s="0" t="n">
        <f aca="true">CRITBINOM($C2224,MIN(0.75,Matchup!$B$39*$B2224),RAND())</f>
        <v>3</v>
      </c>
      <c r="E2224" s="0" t="n">
        <f aca="true">CRITBINOM(D2224,Coefficients!$B$30,RAND())</f>
        <v>0</v>
      </c>
      <c r="F2224" s="0" t="n">
        <f aca="true">CRITBINOM(E2224,Coefficients!$B$31,RAND())</f>
        <v>0</v>
      </c>
      <c r="G2224" s="0" t="n">
        <f aca="true">CRITBINOM(MAX(0,D2224-E2224),1-Coefficients!$B$32,RAND())</f>
        <v>1</v>
      </c>
      <c r="H2224" s="0" t="n">
        <f aca="true">CRITBINOM(MAX(0,$C2224-D2224),MIN(0.6,Matchup!$B$40*SQRT($B2224)/(1-MIN(0.75,Matchup!$B$39*$B2224))),RAND())</f>
        <v>4</v>
      </c>
      <c r="I2224" s="0" t="n">
        <f aca="false">6*D2224+(D2224-E2224-G2224)+2*F2224+3*H2224</f>
        <v>32</v>
      </c>
      <c r="J2224" s="0" t="n">
        <f aca="true">CRITBINOM($C2224,MIN(0.75,Matchup!$C$39*$B2224),RAND())</f>
        <v>1</v>
      </c>
      <c r="K2224" s="0" t="n">
        <f aca="true">CRITBINOM(J2224,Coefficients!$B$30,RAND())</f>
        <v>0</v>
      </c>
      <c r="L2224" s="0" t="n">
        <f aca="true">CRITBINOM(K2224,Coefficients!$B$31,RAND())</f>
        <v>0</v>
      </c>
      <c r="M2224" s="0" t="n">
        <f aca="true">CRITBINOM(MAX(0,J2224-K2224),1-Coefficients!$B$32,RAND())</f>
        <v>0</v>
      </c>
      <c r="N2224" s="0" t="n">
        <f aca="true">CRITBINOM(MAX(0,$C2224-J2224),MIN(0.6,Matchup!$C$40*SQRT($B2224)/(1-MIN(0.75,Matchup!$C$39*$B2224))),RAND())</f>
        <v>3</v>
      </c>
      <c r="O2224" s="0" t="n">
        <f aca="false">6*J2224+(J2224-K2224-M2224)+2*L2224+3*N2224</f>
        <v>16</v>
      </c>
      <c r="P2224" s="0" t="n">
        <f aca="true">RAND()</f>
        <v>0.140901010888239</v>
      </c>
      <c r="Q2224" s="0" t="n">
        <f aca="true">RAND()</f>
        <v>0.884165893467189</v>
      </c>
      <c r="R2224" s="0" t="n">
        <f aca="false">IF($I2224&lt;&gt;$O2224,0,IF(P2224&lt;Matchup!$B$39,7,IF(P2224&lt;Matchup!$B$39+Matchup!$B$40,3,0)))</f>
        <v>0</v>
      </c>
      <c r="S2224" s="0" t="n">
        <f aca="false">IF($I2224&lt;&gt;$O2224,0,IF(Q2224&lt;Matchup!$C$39,7,IF(Q2224&lt;Matchup!$C$39+Matchup!$C$40,3,0)))</f>
        <v>0</v>
      </c>
      <c r="T2224" s="0" t="n">
        <f aca="false">I2224+R2224</f>
        <v>32</v>
      </c>
      <c r="U2224" s="0" t="n">
        <f aca="false">O2224+S2224</f>
        <v>16</v>
      </c>
      <c r="V2224" s="0" t="n">
        <f aca="false">T2224-U2224</f>
        <v>16</v>
      </c>
      <c r="W2224" s="0" t="n">
        <f aca="false">T2224+U2224</f>
        <v>48</v>
      </c>
    </row>
    <row r="2225" customFormat="false" ht="15" hidden="false" customHeight="false" outlineLevel="0" collapsed="false">
      <c r="A2225" s="0" t="n">
        <v>2222</v>
      </c>
      <c r="B2225" s="0" t="n">
        <f aca="true">NORMINV(RAND(),1,Coefficients!$B$22)</f>
        <v>1.04300941189097</v>
      </c>
      <c r="C2225" s="0" t="n">
        <f aca="true">MEDIAN(8,16,ROUND(NORMINV(RAND(),Coefficients!$B$20,Coefficients!$B$21),0))</f>
        <v>11</v>
      </c>
      <c r="D2225" s="0" t="n">
        <f aca="true">CRITBINOM($C2225,MIN(0.75,Matchup!$B$39*$B2225),RAND())</f>
        <v>4</v>
      </c>
      <c r="E2225" s="0" t="n">
        <f aca="true">CRITBINOM(D2225,Coefficients!$B$30,RAND())</f>
        <v>0</v>
      </c>
      <c r="F2225" s="0" t="n">
        <f aca="true">CRITBINOM(E2225,Coefficients!$B$31,RAND())</f>
        <v>0</v>
      </c>
      <c r="G2225" s="0" t="n">
        <f aca="true">CRITBINOM(MAX(0,D2225-E2225),1-Coefficients!$B$32,RAND())</f>
        <v>0</v>
      </c>
      <c r="H2225" s="0" t="n">
        <f aca="true">CRITBINOM(MAX(0,$C2225-D2225),MIN(0.6,Matchup!$B$40*SQRT($B2225)/(1-MIN(0.75,Matchup!$B$39*$B2225))),RAND())</f>
        <v>3</v>
      </c>
      <c r="I2225" s="0" t="n">
        <f aca="false">6*D2225+(D2225-E2225-G2225)+2*F2225+3*H2225</f>
        <v>37</v>
      </c>
      <c r="J2225" s="0" t="n">
        <f aca="true">CRITBINOM($C2225,MIN(0.75,Matchup!$C$39*$B2225),RAND())</f>
        <v>4</v>
      </c>
      <c r="K2225" s="0" t="n">
        <f aca="true">CRITBINOM(J2225,Coefficients!$B$30,RAND())</f>
        <v>1</v>
      </c>
      <c r="L2225" s="0" t="n">
        <f aca="true">CRITBINOM(K2225,Coefficients!$B$31,RAND())</f>
        <v>1</v>
      </c>
      <c r="M2225" s="0" t="n">
        <f aca="true">CRITBINOM(MAX(0,J2225-K2225),1-Coefficients!$B$32,RAND())</f>
        <v>0</v>
      </c>
      <c r="N2225" s="0" t="n">
        <f aca="true">CRITBINOM(MAX(0,$C2225-J2225),MIN(0.6,Matchup!$C$40*SQRT($B2225)/(1-MIN(0.75,Matchup!$C$39*$B2225))),RAND())</f>
        <v>0</v>
      </c>
      <c r="O2225" s="0" t="n">
        <f aca="false">6*J2225+(J2225-K2225-M2225)+2*L2225+3*N2225</f>
        <v>29</v>
      </c>
      <c r="P2225" s="0" t="n">
        <f aca="true">RAND()</f>
        <v>0.928743703146637</v>
      </c>
      <c r="Q2225" s="0" t="n">
        <f aca="true">RAND()</f>
        <v>0.799936790815992</v>
      </c>
      <c r="R2225" s="0" t="n">
        <f aca="false">IF($I2225&lt;&gt;$O2225,0,IF(P2225&lt;Matchup!$B$39,7,IF(P2225&lt;Matchup!$B$39+Matchup!$B$40,3,0)))</f>
        <v>0</v>
      </c>
      <c r="S2225" s="0" t="n">
        <f aca="false">IF($I2225&lt;&gt;$O2225,0,IF(Q2225&lt;Matchup!$C$39,7,IF(Q2225&lt;Matchup!$C$39+Matchup!$C$40,3,0)))</f>
        <v>0</v>
      </c>
      <c r="T2225" s="0" t="n">
        <f aca="false">I2225+R2225</f>
        <v>37</v>
      </c>
      <c r="U2225" s="0" t="n">
        <f aca="false">O2225+S2225</f>
        <v>29</v>
      </c>
      <c r="V2225" s="0" t="n">
        <f aca="false">T2225-U2225</f>
        <v>8</v>
      </c>
      <c r="W2225" s="0" t="n">
        <f aca="false">T2225+U2225</f>
        <v>66</v>
      </c>
    </row>
    <row r="2226" customFormat="false" ht="15" hidden="false" customHeight="false" outlineLevel="0" collapsed="false">
      <c r="A2226" s="0" t="n">
        <v>2223</v>
      </c>
      <c r="B2226" s="0" t="n">
        <f aca="true">NORMINV(RAND(),1,Coefficients!$B$22)</f>
        <v>0.992490640775223</v>
      </c>
      <c r="C2226" s="0" t="n">
        <f aca="true">MEDIAN(8,16,ROUND(NORMINV(RAND(),Coefficients!$B$20,Coefficients!$B$21),0))</f>
        <v>10</v>
      </c>
      <c r="D2226" s="0" t="n">
        <f aca="true">CRITBINOM($C2226,MIN(0.75,Matchup!$B$39*$B2226),RAND())</f>
        <v>5</v>
      </c>
      <c r="E2226" s="0" t="n">
        <f aca="true">CRITBINOM(D2226,Coefficients!$B$30,RAND())</f>
        <v>0</v>
      </c>
      <c r="F2226" s="0" t="n">
        <f aca="true">CRITBINOM(E2226,Coefficients!$B$31,RAND())</f>
        <v>0</v>
      </c>
      <c r="G2226" s="0" t="n">
        <f aca="true">CRITBINOM(MAX(0,D2226-E2226),1-Coefficients!$B$32,RAND())</f>
        <v>0</v>
      </c>
      <c r="H2226" s="0" t="n">
        <f aca="true">CRITBINOM(MAX(0,$C2226-D2226),MIN(0.6,Matchup!$B$40*SQRT($B2226)/(1-MIN(0.75,Matchup!$B$39*$B2226))),RAND())</f>
        <v>1</v>
      </c>
      <c r="I2226" s="0" t="n">
        <f aca="false">6*D2226+(D2226-E2226-G2226)+2*F2226+3*H2226</f>
        <v>38</v>
      </c>
      <c r="J2226" s="0" t="n">
        <f aca="true">CRITBINOM($C2226,MIN(0.75,Matchup!$C$39*$B2226),RAND())</f>
        <v>3</v>
      </c>
      <c r="K2226" s="0" t="n">
        <f aca="true">CRITBINOM(J2226,Coefficients!$B$30,RAND())</f>
        <v>1</v>
      </c>
      <c r="L2226" s="0" t="n">
        <f aca="true">CRITBINOM(K2226,Coefficients!$B$31,RAND())</f>
        <v>1</v>
      </c>
      <c r="M2226" s="0" t="n">
        <f aca="true">CRITBINOM(MAX(0,J2226-K2226),1-Coefficients!$B$32,RAND())</f>
        <v>0</v>
      </c>
      <c r="N2226" s="0" t="n">
        <f aca="true">CRITBINOM(MAX(0,$C2226-J2226),MIN(0.6,Matchup!$C$40*SQRT($B2226)/(1-MIN(0.75,Matchup!$C$39*$B2226))),RAND())</f>
        <v>1</v>
      </c>
      <c r="O2226" s="0" t="n">
        <f aca="false">6*J2226+(J2226-K2226-M2226)+2*L2226+3*N2226</f>
        <v>25</v>
      </c>
      <c r="P2226" s="0" t="n">
        <f aca="true">RAND()</f>
        <v>0.458532628002984</v>
      </c>
      <c r="Q2226" s="0" t="n">
        <f aca="true">RAND()</f>
        <v>0.184685447543004</v>
      </c>
      <c r="R2226" s="0" t="n">
        <f aca="false">IF($I2226&lt;&gt;$O2226,0,IF(P2226&lt;Matchup!$B$39,7,IF(P2226&lt;Matchup!$B$39+Matchup!$B$40,3,0)))</f>
        <v>0</v>
      </c>
      <c r="S2226" s="0" t="n">
        <f aca="false">IF($I2226&lt;&gt;$O2226,0,IF(Q2226&lt;Matchup!$C$39,7,IF(Q2226&lt;Matchup!$C$39+Matchup!$C$40,3,0)))</f>
        <v>0</v>
      </c>
      <c r="T2226" s="0" t="n">
        <f aca="false">I2226+R2226</f>
        <v>38</v>
      </c>
      <c r="U2226" s="0" t="n">
        <f aca="false">O2226+S2226</f>
        <v>25</v>
      </c>
      <c r="V2226" s="0" t="n">
        <f aca="false">T2226-U2226</f>
        <v>13</v>
      </c>
      <c r="W2226" s="0" t="n">
        <f aca="false">T2226+U2226</f>
        <v>63</v>
      </c>
    </row>
    <row r="2227" customFormat="false" ht="15" hidden="false" customHeight="false" outlineLevel="0" collapsed="false">
      <c r="A2227" s="0" t="n">
        <v>2224</v>
      </c>
      <c r="B2227" s="0" t="n">
        <f aca="true">NORMINV(RAND(),1,Coefficients!$B$22)</f>
        <v>0.997817132601203</v>
      </c>
      <c r="C2227" s="0" t="n">
        <f aca="true">MEDIAN(8,16,ROUND(NORMINV(RAND(),Coefficients!$B$20,Coefficients!$B$21),0))</f>
        <v>11</v>
      </c>
      <c r="D2227" s="0" t="n">
        <f aca="true">CRITBINOM($C2227,MIN(0.75,Matchup!$B$39*$B2227),RAND())</f>
        <v>6</v>
      </c>
      <c r="E2227" s="0" t="n">
        <f aca="true">CRITBINOM(D2227,Coefficients!$B$30,RAND())</f>
        <v>1</v>
      </c>
      <c r="F2227" s="0" t="n">
        <f aca="true">CRITBINOM(E2227,Coefficients!$B$31,RAND())</f>
        <v>1</v>
      </c>
      <c r="G2227" s="0" t="n">
        <f aca="true">CRITBINOM(MAX(0,D2227-E2227),1-Coefficients!$B$32,RAND())</f>
        <v>0</v>
      </c>
      <c r="H2227" s="0" t="n">
        <f aca="true">CRITBINOM(MAX(0,$C2227-D2227),MIN(0.6,Matchup!$B$40*SQRT($B2227)/(1-MIN(0.75,Matchup!$B$39*$B2227))),RAND())</f>
        <v>3</v>
      </c>
      <c r="I2227" s="0" t="n">
        <f aca="false">6*D2227+(D2227-E2227-G2227)+2*F2227+3*H2227</f>
        <v>52</v>
      </c>
      <c r="J2227" s="0" t="n">
        <f aca="true">CRITBINOM($C2227,MIN(0.75,Matchup!$C$39*$B2227),RAND())</f>
        <v>3</v>
      </c>
      <c r="K2227" s="0" t="n">
        <f aca="true">CRITBINOM(J2227,Coefficients!$B$30,RAND())</f>
        <v>0</v>
      </c>
      <c r="L2227" s="0" t="n">
        <f aca="true">CRITBINOM(K2227,Coefficients!$B$31,RAND())</f>
        <v>0</v>
      </c>
      <c r="M2227" s="0" t="n">
        <f aca="true">CRITBINOM(MAX(0,J2227-K2227),1-Coefficients!$B$32,RAND())</f>
        <v>1</v>
      </c>
      <c r="N2227" s="0" t="n">
        <f aca="true">CRITBINOM(MAX(0,$C2227-J2227),MIN(0.6,Matchup!$C$40*SQRT($B2227)/(1-MIN(0.75,Matchup!$C$39*$B2227))),RAND())</f>
        <v>0</v>
      </c>
      <c r="O2227" s="0" t="n">
        <f aca="false">6*J2227+(J2227-K2227-M2227)+2*L2227+3*N2227</f>
        <v>20</v>
      </c>
      <c r="P2227" s="0" t="n">
        <f aca="true">RAND()</f>
        <v>0.768331361287572</v>
      </c>
      <c r="Q2227" s="0" t="n">
        <f aca="true">RAND()</f>
        <v>0.795601263818223</v>
      </c>
      <c r="R2227" s="0" t="n">
        <f aca="false">IF($I2227&lt;&gt;$O2227,0,IF(P2227&lt;Matchup!$B$39,7,IF(P2227&lt;Matchup!$B$39+Matchup!$B$40,3,0)))</f>
        <v>0</v>
      </c>
      <c r="S2227" s="0" t="n">
        <f aca="false">IF($I2227&lt;&gt;$O2227,0,IF(Q2227&lt;Matchup!$C$39,7,IF(Q2227&lt;Matchup!$C$39+Matchup!$C$40,3,0)))</f>
        <v>0</v>
      </c>
      <c r="T2227" s="0" t="n">
        <f aca="false">I2227+R2227</f>
        <v>52</v>
      </c>
      <c r="U2227" s="0" t="n">
        <f aca="false">O2227+S2227</f>
        <v>20</v>
      </c>
      <c r="V2227" s="0" t="n">
        <f aca="false">T2227-U2227</f>
        <v>32</v>
      </c>
      <c r="W2227" s="0" t="n">
        <f aca="false">T2227+U2227</f>
        <v>72</v>
      </c>
    </row>
    <row r="2228" customFormat="false" ht="15" hidden="false" customHeight="false" outlineLevel="0" collapsed="false">
      <c r="A2228" s="0" t="n">
        <v>2225</v>
      </c>
      <c r="B2228" s="0" t="n">
        <f aca="true">NORMINV(RAND(),1,Coefficients!$B$22)</f>
        <v>1.15706718018433</v>
      </c>
      <c r="C2228" s="0" t="n">
        <f aca="true">MEDIAN(8,16,ROUND(NORMINV(RAND(),Coefficients!$B$20,Coefficients!$B$21),0))</f>
        <v>10</v>
      </c>
      <c r="D2228" s="0" t="n">
        <f aca="true">CRITBINOM($C2228,MIN(0.75,Matchup!$B$39*$B2228),RAND())</f>
        <v>0</v>
      </c>
      <c r="E2228" s="0" t="n">
        <f aca="true">CRITBINOM(D2228,Coefficients!$B$30,RAND())</f>
        <v>0</v>
      </c>
      <c r="F2228" s="0" t="n">
        <f aca="true">CRITBINOM(E2228,Coefficients!$B$31,RAND())</f>
        <v>0</v>
      </c>
      <c r="G2228" s="0" t="n">
        <f aca="true">CRITBINOM(MAX(0,D2228-E2228),1-Coefficients!$B$32,RAND())</f>
        <v>0</v>
      </c>
      <c r="H2228" s="0" t="n">
        <f aca="true">CRITBINOM(MAX(0,$C2228-D2228),MIN(0.6,Matchup!$B$40*SQRT($B2228)/(1-MIN(0.75,Matchup!$B$39*$B2228))),RAND())</f>
        <v>2</v>
      </c>
      <c r="I2228" s="0" t="n">
        <f aca="false">6*D2228+(D2228-E2228-G2228)+2*F2228+3*H2228</f>
        <v>6</v>
      </c>
      <c r="J2228" s="0" t="n">
        <f aca="true">CRITBINOM($C2228,MIN(0.75,Matchup!$C$39*$B2228),RAND())</f>
        <v>1</v>
      </c>
      <c r="K2228" s="0" t="n">
        <f aca="true">CRITBINOM(J2228,Coefficients!$B$30,RAND())</f>
        <v>0</v>
      </c>
      <c r="L2228" s="0" t="n">
        <f aca="true">CRITBINOM(K2228,Coefficients!$B$31,RAND())</f>
        <v>0</v>
      </c>
      <c r="M2228" s="0" t="n">
        <f aca="true">CRITBINOM(MAX(0,J2228-K2228),1-Coefficients!$B$32,RAND())</f>
        <v>0</v>
      </c>
      <c r="N2228" s="0" t="n">
        <f aca="true">CRITBINOM(MAX(0,$C2228-J2228),MIN(0.6,Matchup!$C$40*SQRT($B2228)/(1-MIN(0.75,Matchup!$C$39*$B2228))),RAND())</f>
        <v>3</v>
      </c>
      <c r="O2228" s="0" t="n">
        <f aca="false">6*J2228+(J2228-K2228-M2228)+2*L2228+3*N2228</f>
        <v>16</v>
      </c>
      <c r="P2228" s="0" t="n">
        <f aca="true">RAND()</f>
        <v>0.626025000263136</v>
      </c>
      <c r="Q2228" s="0" t="n">
        <f aca="true">RAND()</f>
        <v>0.167544004538513</v>
      </c>
      <c r="R2228" s="0" t="n">
        <f aca="false">IF($I2228&lt;&gt;$O2228,0,IF(P2228&lt;Matchup!$B$39,7,IF(P2228&lt;Matchup!$B$39+Matchup!$B$40,3,0)))</f>
        <v>0</v>
      </c>
      <c r="S2228" s="0" t="n">
        <f aca="false">IF($I2228&lt;&gt;$O2228,0,IF(Q2228&lt;Matchup!$C$39,7,IF(Q2228&lt;Matchup!$C$39+Matchup!$C$40,3,0)))</f>
        <v>0</v>
      </c>
      <c r="T2228" s="0" t="n">
        <f aca="false">I2228+R2228</f>
        <v>6</v>
      </c>
      <c r="U2228" s="0" t="n">
        <f aca="false">O2228+S2228</f>
        <v>16</v>
      </c>
      <c r="V2228" s="0" t="n">
        <f aca="false">T2228-U2228</f>
        <v>-10</v>
      </c>
      <c r="W2228" s="0" t="n">
        <f aca="false">T2228+U2228</f>
        <v>22</v>
      </c>
    </row>
    <row r="2229" customFormat="false" ht="15" hidden="false" customHeight="false" outlineLevel="0" collapsed="false">
      <c r="A2229" s="0" t="n">
        <v>2226</v>
      </c>
      <c r="B2229" s="0" t="n">
        <f aca="true">NORMINV(RAND(),1,Coefficients!$B$22)</f>
        <v>1.0851195466415</v>
      </c>
      <c r="C2229" s="0" t="n">
        <f aca="true">MEDIAN(8,16,ROUND(NORMINV(RAND(),Coefficients!$B$20,Coefficients!$B$21),0))</f>
        <v>10</v>
      </c>
      <c r="D2229" s="0" t="n">
        <f aca="true">CRITBINOM($C2229,MIN(0.75,Matchup!$B$39*$B2229),RAND())</f>
        <v>0</v>
      </c>
      <c r="E2229" s="0" t="n">
        <f aca="true">CRITBINOM(D2229,Coefficients!$B$30,RAND())</f>
        <v>0</v>
      </c>
      <c r="F2229" s="0" t="n">
        <f aca="true">CRITBINOM(E2229,Coefficients!$B$31,RAND())</f>
        <v>0</v>
      </c>
      <c r="G2229" s="0" t="n">
        <f aca="true">CRITBINOM(MAX(0,D2229-E2229),1-Coefficients!$B$32,RAND())</f>
        <v>0</v>
      </c>
      <c r="H2229" s="0" t="n">
        <f aca="true">CRITBINOM(MAX(0,$C2229-D2229),MIN(0.6,Matchup!$B$40*SQRT($B2229)/(1-MIN(0.75,Matchup!$B$39*$B2229))),RAND())</f>
        <v>1</v>
      </c>
      <c r="I2229" s="0" t="n">
        <f aca="false">6*D2229+(D2229-E2229-G2229)+2*F2229+3*H2229</f>
        <v>3</v>
      </c>
      <c r="J2229" s="0" t="n">
        <f aca="true">CRITBINOM($C2229,MIN(0.75,Matchup!$C$39*$B2229),RAND())</f>
        <v>4</v>
      </c>
      <c r="K2229" s="0" t="n">
        <f aca="true">CRITBINOM(J2229,Coefficients!$B$30,RAND())</f>
        <v>0</v>
      </c>
      <c r="L2229" s="0" t="n">
        <f aca="true">CRITBINOM(K2229,Coefficients!$B$31,RAND())</f>
        <v>0</v>
      </c>
      <c r="M2229" s="0" t="n">
        <f aca="true">CRITBINOM(MAX(0,J2229-K2229),1-Coefficients!$B$32,RAND())</f>
        <v>0</v>
      </c>
      <c r="N2229" s="0" t="n">
        <f aca="true">CRITBINOM(MAX(0,$C2229-J2229),MIN(0.6,Matchup!$C$40*SQRT($B2229)/(1-MIN(0.75,Matchup!$C$39*$B2229))),RAND())</f>
        <v>2</v>
      </c>
      <c r="O2229" s="0" t="n">
        <f aca="false">6*J2229+(J2229-K2229-M2229)+2*L2229+3*N2229</f>
        <v>34</v>
      </c>
      <c r="P2229" s="0" t="n">
        <f aca="true">RAND()</f>
        <v>0.523200835408465</v>
      </c>
      <c r="Q2229" s="0" t="n">
        <f aca="true">RAND()</f>
        <v>0.647185967659317</v>
      </c>
      <c r="R2229" s="0" t="n">
        <f aca="false">IF($I2229&lt;&gt;$O2229,0,IF(P2229&lt;Matchup!$B$39,7,IF(P2229&lt;Matchup!$B$39+Matchup!$B$40,3,0)))</f>
        <v>0</v>
      </c>
      <c r="S2229" s="0" t="n">
        <f aca="false">IF($I2229&lt;&gt;$O2229,0,IF(Q2229&lt;Matchup!$C$39,7,IF(Q2229&lt;Matchup!$C$39+Matchup!$C$40,3,0)))</f>
        <v>0</v>
      </c>
      <c r="T2229" s="0" t="n">
        <f aca="false">I2229+R2229</f>
        <v>3</v>
      </c>
      <c r="U2229" s="0" t="n">
        <f aca="false">O2229+S2229</f>
        <v>34</v>
      </c>
      <c r="V2229" s="0" t="n">
        <f aca="false">T2229-U2229</f>
        <v>-31</v>
      </c>
      <c r="W2229" s="0" t="n">
        <f aca="false">T2229+U2229</f>
        <v>37</v>
      </c>
    </row>
    <row r="2230" customFormat="false" ht="15" hidden="false" customHeight="false" outlineLevel="0" collapsed="false">
      <c r="A2230" s="0" t="n">
        <v>2227</v>
      </c>
      <c r="B2230" s="0" t="n">
        <f aca="true">NORMINV(RAND(),1,Coefficients!$B$22)</f>
        <v>1.11860954419636</v>
      </c>
      <c r="C2230" s="0" t="n">
        <f aca="true">MEDIAN(8,16,ROUND(NORMINV(RAND(),Coefficients!$B$20,Coefficients!$B$21),0))</f>
        <v>12</v>
      </c>
      <c r="D2230" s="0" t="n">
        <f aca="true">CRITBINOM($C2230,MIN(0.75,Matchup!$B$39*$B2230),RAND())</f>
        <v>2</v>
      </c>
      <c r="E2230" s="0" t="n">
        <f aca="true">CRITBINOM(D2230,Coefficients!$B$30,RAND())</f>
        <v>0</v>
      </c>
      <c r="F2230" s="0" t="n">
        <f aca="true">CRITBINOM(E2230,Coefficients!$B$31,RAND())</f>
        <v>0</v>
      </c>
      <c r="G2230" s="0" t="n">
        <f aca="true">CRITBINOM(MAX(0,D2230-E2230),1-Coefficients!$B$32,RAND())</f>
        <v>0</v>
      </c>
      <c r="H2230" s="0" t="n">
        <f aca="true">CRITBINOM(MAX(0,$C2230-D2230),MIN(0.6,Matchup!$B$40*SQRT($B2230)/(1-MIN(0.75,Matchup!$B$39*$B2230))),RAND())</f>
        <v>5</v>
      </c>
      <c r="I2230" s="0" t="n">
        <f aca="false">6*D2230+(D2230-E2230-G2230)+2*F2230+3*H2230</f>
        <v>29</v>
      </c>
      <c r="J2230" s="0" t="n">
        <f aca="true">CRITBINOM($C2230,MIN(0.75,Matchup!$C$39*$B2230),RAND())</f>
        <v>1</v>
      </c>
      <c r="K2230" s="0" t="n">
        <f aca="true">CRITBINOM(J2230,Coefficients!$B$30,RAND())</f>
        <v>0</v>
      </c>
      <c r="L2230" s="0" t="n">
        <f aca="true">CRITBINOM(K2230,Coefficients!$B$31,RAND())</f>
        <v>0</v>
      </c>
      <c r="M2230" s="0" t="n">
        <f aca="true">CRITBINOM(MAX(0,J2230-K2230),1-Coefficients!$B$32,RAND())</f>
        <v>0</v>
      </c>
      <c r="N2230" s="0" t="n">
        <f aca="true">CRITBINOM(MAX(0,$C2230-J2230),MIN(0.6,Matchup!$C$40*SQRT($B2230)/(1-MIN(0.75,Matchup!$C$39*$B2230))),RAND())</f>
        <v>4</v>
      </c>
      <c r="O2230" s="0" t="n">
        <f aca="false">6*J2230+(J2230-K2230-M2230)+2*L2230+3*N2230</f>
        <v>19</v>
      </c>
      <c r="P2230" s="0" t="n">
        <f aca="true">RAND()</f>
        <v>0.917395867132332</v>
      </c>
      <c r="Q2230" s="0" t="n">
        <f aca="true">RAND()</f>
        <v>0.634166677032849</v>
      </c>
      <c r="R2230" s="0" t="n">
        <f aca="false">IF($I2230&lt;&gt;$O2230,0,IF(P2230&lt;Matchup!$B$39,7,IF(P2230&lt;Matchup!$B$39+Matchup!$B$40,3,0)))</f>
        <v>0</v>
      </c>
      <c r="S2230" s="0" t="n">
        <f aca="false">IF($I2230&lt;&gt;$O2230,0,IF(Q2230&lt;Matchup!$C$39,7,IF(Q2230&lt;Matchup!$C$39+Matchup!$C$40,3,0)))</f>
        <v>0</v>
      </c>
      <c r="T2230" s="0" t="n">
        <f aca="false">I2230+R2230</f>
        <v>29</v>
      </c>
      <c r="U2230" s="0" t="n">
        <f aca="false">O2230+S2230</f>
        <v>19</v>
      </c>
      <c r="V2230" s="0" t="n">
        <f aca="false">T2230-U2230</f>
        <v>10</v>
      </c>
      <c r="W2230" s="0" t="n">
        <f aca="false">T2230+U2230</f>
        <v>48</v>
      </c>
    </row>
    <row r="2231" customFormat="false" ht="15" hidden="false" customHeight="false" outlineLevel="0" collapsed="false">
      <c r="A2231" s="0" t="n">
        <v>2228</v>
      </c>
      <c r="B2231" s="0" t="n">
        <f aca="true">NORMINV(RAND(),1,Coefficients!$B$22)</f>
        <v>1.07432921300765</v>
      </c>
      <c r="C2231" s="0" t="n">
        <f aca="true">MEDIAN(8,16,ROUND(NORMINV(RAND(),Coefficients!$B$20,Coefficients!$B$21),0))</f>
        <v>12</v>
      </c>
      <c r="D2231" s="0" t="n">
        <f aca="true">CRITBINOM($C2231,MIN(0.75,Matchup!$B$39*$B2231),RAND())</f>
        <v>7</v>
      </c>
      <c r="E2231" s="0" t="n">
        <f aca="true">CRITBINOM(D2231,Coefficients!$B$30,RAND())</f>
        <v>0</v>
      </c>
      <c r="F2231" s="0" t="n">
        <f aca="true">CRITBINOM(E2231,Coefficients!$B$31,RAND())</f>
        <v>0</v>
      </c>
      <c r="G2231" s="0" t="n">
        <f aca="true">CRITBINOM(MAX(0,D2231-E2231),1-Coefficients!$B$32,RAND())</f>
        <v>0</v>
      </c>
      <c r="H2231" s="0" t="n">
        <f aca="true">CRITBINOM(MAX(0,$C2231-D2231),MIN(0.6,Matchup!$B$40*SQRT($B2231)/(1-MIN(0.75,Matchup!$B$39*$B2231))),RAND())</f>
        <v>2</v>
      </c>
      <c r="I2231" s="0" t="n">
        <f aca="false">6*D2231+(D2231-E2231-G2231)+2*F2231+3*H2231</f>
        <v>55</v>
      </c>
      <c r="J2231" s="0" t="n">
        <f aca="true">CRITBINOM($C2231,MIN(0.75,Matchup!$C$39*$B2231),RAND())</f>
        <v>7</v>
      </c>
      <c r="K2231" s="0" t="n">
        <f aca="true">CRITBINOM(J2231,Coefficients!$B$30,RAND())</f>
        <v>2</v>
      </c>
      <c r="L2231" s="0" t="n">
        <f aca="true">CRITBINOM(K2231,Coefficients!$B$31,RAND())</f>
        <v>1</v>
      </c>
      <c r="M2231" s="0" t="n">
        <f aca="true">CRITBINOM(MAX(0,J2231-K2231),1-Coefficients!$B$32,RAND())</f>
        <v>0</v>
      </c>
      <c r="N2231" s="0" t="n">
        <f aca="true">CRITBINOM(MAX(0,$C2231-J2231),MIN(0.6,Matchup!$C$40*SQRT($B2231)/(1-MIN(0.75,Matchup!$C$39*$B2231))),RAND())</f>
        <v>0</v>
      </c>
      <c r="O2231" s="0" t="n">
        <f aca="false">6*J2231+(J2231-K2231-M2231)+2*L2231+3*N2231</f>
        <v>49</v>
      </c>
      <c r="P2231" s="0" t="n">
        <f aca="true">RAND()</f>
        <v>0.739750256306702</v>
      </c>
      <c r="Q2231" s="0" t="n">
        <f aca="true">RAND()</f>
        <v>0.177794406017889</v>
      </c>
      <c r="R2231" s="0" t="n">
        <f aca="false">IF($I2231&lt;&gt;$O2231,0,IF(P2231&lt;Matchup!$B$39,7,IF(P2231&lt;Matchup!$B$39+Matchup!$B$40,3,0)))</f>
        <v>0</v>
      </c>
      <c r="S2231" s="0" t="n">
        <f aca="false">IF($I2231&lt;&gt;$O2231,0,IF(Q2231&lt;Matchup!$C$39,7,IF(Q2231&lt;Matchup!$C$39+Matchup!$C$40,3,0)))</f>
        <v>0</v>
      </c>
      <c r="T2231" s="0" t="n">
        <f aca="false">I2231+R2231</f>
        <v>55</v>
      </c>
      <c r="U2231" s="0" t="n">
        <f aca="false">O2231+S2231</f>
        <v>49</v>
      </c>
      <c r="V2231" s="0" t="n">
        <f aca="false">T2231-U2231</f>
        <v>6</v>
      </c>
      <c r="W2231" s="0" t="n">
        <f aca="false">T2231+U2231</f>
        <v>104</v>
      </c>
    </row>
    <row r="2232" customFormat="false" ht="15" hidden="false" customHeight="false" outlineLevel="0" collapsed="false">
      <c r="A2232" s="0" t="n">
        <v>2229</v>
      </c>
      <c r="B2232" s="0" t="n">
        <f aca="true">NORMINV(RAND(),1,Coefficients!$B$22)</f>
        <v>0.927158050567731</v>
      </c>
      <c r="C2232" s="0" t="n">
        <f aca="true">MEDIAN(8,16,ROUND(NORMINV(RAND(),Coefficients!$B$20,Coefficients!$B$21),0))</f>
        <v>12</v>
      </c>
      <c r="D2232" s="0" t="n">
        <f aca="true">CRITBINOM($C2232,MIN(0.75,Matchup!$B$39*$B2232),RAND())</f>
        <v>2</v>
      </c>
      <c r="E2232" s="0" t="n">
        <f aca="true">CRITBINOM(D2232,Coefficients!$B$30,RAND())</f>
        <v>0</v>
      </c>
      <c r="F2232" s="0" t="n">
        <f aca="true">CRITBINOM(E2232,Coefficients!$B$31,RAND())</f>
        <v>0</v>
      </c>
      <c r="G2232" s="0" t="n">
        <f aca="true">CRITBINOM(MAX(0,D2232-E2232),1-Coefficients!$B$32,RAND())</f>
        <v>1</v>
      </c>
      <c r="H2232" s="0" t="n">
        <f aca="true">CRITBINOM(MAX(0,$C2232-D2232),MIN(0.6,Matchup!$B$40*SQRT($B2232)/(1-MIN(0.75,Matchup!$B$39*$B2232))),RAND())</f>
        <v>6</v>
      </c>
      <c r="I2232" s="0" t="n">
        <f aca="false">6*D2232+(D2232-E2232-G2232)+2*F2232+3*H2232</f>
        <v>31</v>
      </c>
      <c r="J2232" s="0" t="n">
        <f aca="true">CRITBINOM($C2232,MIN(0.75,Matchup!$C$39*$B2232),RAND())</f>
        <v>2</v>
      </c>
      <c r="K2232" s="0" t="n">
        <f aca="true">CRITBINOM(J2232,Coefficients!$B$30,RAND())</f>
        <v>0</v>
      </c>
      <c r="L2232" s="0" t="n">
        <f aca="true">CRITBINOM(K2232,Coefficients!$B$31,RAND())</f>
        <v>0</v>
      </c>
      <c r="M2232" s="0" t="n">
        <f aca="true">CRITBINOM(MAX(0,J2232-K2232),1-Coefficients!$B$32,RAND())</f>
        <v>0</v>
      </c>
      <c r="N2232" s="0" t="n">
        <f aca="true">CRITBINOM(MAX(0,$C2232-J2232),MIN(0.6,Matchup!$C$40*SQRT($B2232)/(1-MIN(0.75,Matchup!$C$39*$B2232))),RAND())</f>
        <v>3</v>
      </c>
      <c r="O2232" s="0" t="n">
        <f aca="false">6*J2232+(J2232-K2232-M2232)+2*L2232+3*N2232</f>
        <v>23</v>
      </c>
      <c r="P2232" s="0" t="n">
        <f aca="true">RAND()</f>
        <v>0.452730385935138</v>
      </c>
      <c r="Q2232" s="0" t="n">
        <f aca="true">RAND()</f>
        <v>0.15657906699155</v>
      </c>
      <c r="R2232" s="0" t="n">
        <f aca="false">IF($I2232&lt;&gt;$O2232,0,IF(P2232&lt;Matchup!$B$39,7,IF(P2232&lt;Matchup!$B$39+Matchup!$B$40,3,0)))</f>
        <v>0</v>
      </c>
      <c r="S2232" s="0" t="n">
        <f aca="false">IF($I2232&lt;&gt;$O2232,0,IF(Q2232&lt;Matchup!$C$39,7,IF(Q2232&lt;Matchup!$C$39+Matchup!$C$40,3,0)))</f>
        <v>0</v>
      </c>
      <c r="T2232" s="0" t="n">
        <f aca="false">I2232+R2232</f>
        <v>31</v>
      </c>
      <c r="U2232" s="0" t="n">
        <f aca="false">O2232+S2232</f>
        <v>23</v>
      </c>
      <c r="V2232" s="0" t="n">
        <f aca="false">T2232-U2232</f>
        <v>8</v>
      </c>
      <c r="W2232" s="0" t="n">
        <f aca="false">T2232+U2232</f>
        <v>54</v>
      </c>
    </row>
    <row r="2233" customFormat="false" ht="15" hidden="false" customHeight="false" outlineLevel="0" collapsed="false">
      <c r="A2233" s="0" t="n">
        <v>2230</v>
      </c>
      <c r="B2233" s="0" t="n">
        <f aca="true">NORMINV(RAND(),1,Coefficients!$B$22)</f>
        <v>1.14935718515039</v>
      </c>
      <c r="C2233" s="0" t="n">
        <f aca="true">MEDIAN(8,16,ROUND(NORMINV(RAND(),Coefficients!$B$20,Coefficients!$B$21),0))</f>
        <v>12</v>
      </c>
      <c r="D2233" s="0" t="n">
        <f aca="true">CRITBINOM($C2233,MIN(0.75,Matchup!$B$39*$B2233),RAND())</f>
        <v>5</v>
      </c>
      <c r="E2233" s="0" t="n">
        <f aca="true">CRITBINOM(D2233,Coefficients!$B$30,RAND())</f>
        <v>0</v>
      </c>
      <c r="F2233" s="0" t="n">
        <f aca="true">CRITBINOM(E2233,Coefficients!$B$31,RAND())</f>
        <v>0</v>
      </c>
      <c r="G2233" s="0" t="n">
        <f aca="true">CRITBINOM(MAX(0,D2233-E2233),1-Coefficients!$B$32,RAND())</f>
        <v>1</v>
      </c>
      <c r="H2233" s="0" t="n">
        <f aca="true">CRITBINOM(MAX(0,$C2233-D2233),MIN(0.6,Matchup!$B$40*SQRT($B2233)/(1-MIN(0.75,Matchup!$B$39*$B2233))),RAND())</f>
        <v>3</v>
      </c>
      <c r="I2233" s="0" t="n">
        <f aca="false">6*D2233+(D2233-E2233-G2233)+2*F2233+3*H2233</f>
        <v>43</v>
      </c>
      <c r="J2233" s="0" t="n">
        <f aca="true">CRITBINOM($C2233,MIN(0.75,Matchup!$C$39*$B2233),RAND())</f>
        <v>3</v>
      </c>
      <c r="K2233" s="0" t="n">
        <f aca="true">CRITBINOM(J2233,Coefficients!$B$30,RAND())</f>
        <v>1</v>
      </c>
      <c r="L2233" s="0" t="n">
        <f aca="true">CRITBINOM(K2233,Coefficients!$B$31,RAND())</f>
        <v>0</v>
      </c>
      <c r="M2233" s="0" t="n">
        <f aca="true">CRITBINOM(MAX(0,J2233-K2233),1-Coefficients!$B$32,RAND())</f>
        <v>0</v>
      </c>
      <c r="N2233" s="0" t="n">
        <f aca="true">CRITBINOM(MAX(0,$C2233-J2233),MIN(0.6,Matchup!$C$40*SQRT($B2233)/(1-MIN(0.75,Matchup!$C$39*$B2233))),RAND())</f>
        <v>2</v>
      </c>
      <c r="O2233" s="0" t="n">
        <f aca="false">6*J2233+(J2233-K2233-M2233)+2*L2233+3*N2233</f>
        <v>26</v>
      </c>
      <c r="P2233" s="0" t="n">
        <f aca="true">RAND()</f>
        <v>0.197804332871406</v>
      </c>
      <c r="Q2233" s="0" t="n">
        <f aca="true">RAND()</f>
        <v>0.909451142347563</v>
      </c>
      <c r="R2233" s="0" t="n">
        <f aca="false">IF($I2233&lt;&gt;$O2233,0,IF(P2233&lt;Matchup!$B$39,7,IF(P2233&lt;Matchup!$B$39+Matchup!$B$40,3,0)))</f>
        <v>0</v>
      </c>
      <c r="S2233" s="0" t="n">
        <f aca="false">IF($I2233&lt;&gt;$O2233,0,IF(Q2233&lt;Matchup!$C$39,7,IF(Q2233&lt;Matchup!$C$39+Matchup!$C$40,3,0)))</f>
        <v>0</v>
      </c>
      <c r="T2233" s="0" t="n">
        <f aca="false">I2233+R2233</f>
        <v>43</v>
      </c>
      <c r="U2233" s="0" t="n">
        <f aca="false">O2233+S2233</f>
        <v>26</v>
      </c>
      <c r="V2233" s="0" t="n">
        <f aca="false">T2233-U2233</f>
        <v>17</v>
      </c>
      <c r="W2233" s="0" t="n">
        <f aca="false">T2233+U2233</f>
        <v>69</v>
      </c>
    </row>
    <row r="2234" customFormat="false" ht="15" hidden="false" customHeight="false" outlineLevel="0" collapsed="false">
      <c r="A2234" s="0" t="n">
        <v>2231</v>
      </c>
      <c r="B2234" s="0" t="n">
        <f aca="true">NORMINV(RAND(),1,Coefficients!$B$22)</f>
        <v>1.03894893338899</v>
      </c>
      <c r="C2234" s="0" t="n">
        <f aca="true">MEDIAN(8,16,ROUND(NORMINV(RAND(),Coefficients!$B$20,Coefficients!$B$21),0))</f>
        <v>12</v>
      </c>
      <c r="D2234" s="0" t="n">
        <f aca="true">CRITBINOM($C2234,MIN(0.75,Matchup!$B$39*$B2234),RAND())</f>
        <v>5</v>
      </c>
      <c r="E2234" s="0" t="n">
        <f aca="true">CRITBINOM(D2234,Coefficients!$B$30,RAND())</f>
        <v>0</v>
      </c>
      <c r="F2234" s="0" t="n">
        <f aca="true">CRITBINOM(E2234,Coefficients!$B$31,RAND())</f>
        <v>0</v>
      </c>
      <c r="G2234" s="0" t="n">
        <f aca="true">CRITBINOM(MAX(0,D2234-E2234),1-Coefficients!$B$32,RAND())</f>
        <v>0</v>
      </c>
      <c r="H2234" s="0" t="n">
        <f aca="true">CRITBINOM(MAX(0,$C2234-D2234),MIN(0.6,Matchup!$B$40*SQRT($B2234)/(1-MIN(0.75,Matchup!$B$39*$B2234))),RAND())</f>
        <v>2</v>
      </c>
      <c r="I2234" s="0" t="n">
        <f aca="false">6*D2234+(D2234-E2234-G2234)+2*F2234+3*H2234</f>
        <v>41</v>
      </c>
      <c r="J2234" s="0" t="n">
        <f aca="true">CRITBINOM($C2234,MIN(0.75,Matchup!$C$39*$B2234),RAND())</f>
        <v>2</v>
      </c>
      <c r="K2234" s="0" t="n">
        <f aca="true">CRITBINOM(J2234,Coefficients!$B$30,RAND())</f>
        <v>0</v>
      </c>
      <c r="L2234" s="0" t="n">
        <f aca="true">CRITBINOM(K2234,Coefficients!$B$31,RAND())</f>
        <v>0</v>
      </c>
      <c r="M2234" s="0" t="n">
        <f aca="true">CRITBINOM(MAX(0,J2234-K2234),1-Coefficients!$B$32,RAND())</f>
        <v>0</v>
      </c>
      <c r="N2234" s="0" t="n">
        <f aca="true">CRITBINOM(MAX(0,$C2234-J2234),MIN(0.6,Matchup!$C$40*SQRT($B2234)/(1-MIN(0.75,Matchup!$C$39*$B2234))),RAND())</f>
        <v>2</v>
      </c>
      <c r="O2234" s="0" t="n">
        <f aca="false">6*J2234+(J2234-K2234-M2234)+2*L2234+3*N2234</f>
        <v>20</v>
      </c>
      <c r="P2234" s="0" t="n">
        <f aca="true">RAND()</f>
        <v>0.882704920660473</v>
      </c>
      <c r="Q2234" s="0" t="n">
        <f aca="true">RAND()</f>
        <v>0.517000844008848</v>
      </c>
      <c r="R2234" s="0" t="n">
        <f aca="false">IF($I2234&lt;&gt;$O2234,0,IF(P2234&lt;Matchup!$B$39,7,IF(P2234&lt;Matchup!$B$39+Matchup!$B$40,3,0)))</f>
        <v>0</v>
      </c>
      <c r="S2234" s="0" t="n">
        <f aca="false">IF($I2234&lt;&gt;$O2234,0,IF(Q2234&lt;Matchup!$C$39,7,IF(Q2234&lt;Matchup!$C$39+Matchup!$C$40,3,0)))</f>
        <v>0</v>
      </c>
      <c r="T2234" s="0" t="n">
        <f aca="false">I2234+R2234</f>
        <v>41</v>
      </c>
      <c r="U2234" s="0" t="n">
        <f aca="false">O2234+S2234</f>
        <v>20</v>
      </c>
      <c r="V2234" s="0" t="n">
        <f aca="false">T2234-U2234</f>
        <v>21</v>
      </c>
      <c r="W2234" s="0" t="n">
        <f aca="false">T2234+U2234</f>
        <v>61</v>
      </c>
    </row>
    <row r="2235" customFormat="false" ht="15" hidden="false" customHeight="false" outlineLevel="0" collapsed="false">
      <c r="A2235" s="0" t="n">
        <v>2232</v>
      </c>
      <c r="B2235" s="0" t="n">
        <f aca="true">NORMINV(RAND(),1,Coefficients!$B$22)</f>
        <v>1.05353659694861</v>
      </c>
      <c r="C2235" s="0" t="n">
        <f aca="true">MEDIAN(8,16,ROUND(NORMINV(RAND(),Coefficients!$B$20,Coefficients!$B$21),0))</f>
        <v>12</v>
      </c>
      <c r="D2235" s="0" t="n">
        <f aca="true">CRITBINOM($C2235,MIN(0.75,Matchup!$B$39*$B2235),RAND())</f>
        <v>4</v>
      </c>
      <c r="E2235" s="0" t="n">
        <f aca="true">CRITBINOM(D2235,Coefficients!$B$30,RAND())</f>
        <v>0</v>
      </c>
      <c r="F2235" s="0" t="n">
        <f aca="true">CRITBINOM(E2235,Coefficients!$B$31,RAND())</f>
        <v>0</v>
      </c>
      <c r="G2235" s="0" t="n">
        <f aca="true">CRITBINOM(MAX(0,D2235-E2235),1-Coefficients!$B$32,RAND())</f>
        <v>0</v>
      </c>
      <c r="H2235" s="0" t="n">
        <f aca="true">CRITBINOM(MAX(0,$C2235-D2235),MIN(0.6,Matchup!$B$40*SQRT($B2235)/(1-MIN(0.75,Matchup!$B$39*$B2235))),RAND())</f>
        <v>1</v>
      </c>
      <c r="I2235" s="0" t="n">
        <f aca="false">6*D2235+(D2235-E2235-G2235)+2*F2235+3*H2235</f>
        <v>31</v>
      </c>
      <c r="J2235" s="0" t="n">
        <f aca="true">CRITBINOM($C2235,MIN(0.75,Matchup!$C$39*$B2235),RAND())</f>
        <v>2</v>
      </c>
      <c r="K2235" s="0" t="n">
        <f aca="true">CRITBINOM(J2235,Coefficients!$B$30,RAND())</f>
        <v>1</v>
      </c>
      <c r="L2235" s="0" t="n">
        <f aca="true">CRITBINOM(K2235,Coefficients!$B$31,RAND())</f>
        <v>1</v>
      </c>
      <c r="M2235" s="0" t="n">
        <f aca="true">CRITBINOM(MAX(0,J2235-K2235),1-Coefficients!$B$32,RAND())</f>
        <v>0</v>
      </c>
      <c r="N2235" s="0" t="n">
        <f aca="true">CRITBINOM(MAX(0,$C2235-J2235),MIN(0.6,Matchup!$C$40*SQRT($B2235)/(1-MIN(0.75,Matchup!$C$39*$B2235))),RAND())</f>
        <v>2</v>
      </c>
      <c r="O2235" s="0" t="n">
        <f aca="false">6*J2235+(J2235-K2235-M2235)+2*L2235+3*N2235</f>
        <v>21</v>
      </c>
      <c r="P2235" s="0" t="n">
        <f aca="true">RAND()</f>
        <v>0.724987257693091</v>
      </c>
      <c r="Q2235" s="0" t="n">
        <f aca="true">RAND()</f>
        <v>0.794267460214788</v>
      </c>
      <c r="R2235" s="0" t="n">
        <f aca="false">IF($I2235&lt;&gt;$O2235,0,IF(P2235&lt;Matchup!$B$39,7,IF(P2235&lt;Matchup!$B$39+Matchup!$B$40,3,0)))</f>
        <v>0</v>
      </c>
      <c r="S2235" s="0" t="n">
        <f aca="false">IF($I2235&lt;&gt;$O2235,0,IF(Q2235&lt;Matchup!$C$39,7,IF(Q2235&lt;Matchup!$C$39+Matchup!$C$40,3,0)))</f>
        <v>0</v>
      </c>
      <c r="T2235" s="0" t="n">
        <f aca="false">I2235+R2235</f>
        <v>31</v>
      </c>
      <c r="U2235" s="0" t="n">
        <f aca="false">O2235+S2235</f>
        <v>21</v>
      </c>
      <c r="V2235" s="0" t="n">
        <f aca="false">T2235-U2235</f>
        <v>10</v>
      </c>
      <c r="W2235" s="0" t="n">
        <f aca="false">T2235+U2235</f>
        <v>52</v>
      </c>
    </row>
    <row r="2236" customFormat="false" ht="15" hidden="false" customHeight="false" outlineLevel="0" collapsed="false">
      <c r="A2236" s="0" t="n">
        <v>2233</v>
      </c>
      <c r="B2236" s="0" t="n">
        <f aca="true">NORMINV(RAND(),1,Coefficients!$B$22)</f>
        <v>0.991105184216001</v>
      </c>
      <c r="C2236" s="0" t="n">
        <f aca="true">MEDIAN(8,16,ROUND(NORMINV(RAND(),Coefficients!$B$20,Coefficients!$B$21),0))</f>
        <v>11</v>
      </c>
      <c r="D2236" s="0" t="n">
        <f aca="true">CRITBINOM($C2236,MIN(0.75,Matchup!$B$39*$B2236),RAND())</f>
        <v>1</v>
      </c>
      <c r="E2236" s="0" t="n">
        <f aca="true">CRITBINOM(D2236,Coefficients!$B$30,RAND())</f>
        <v>0</v>
      </c>
      <c r="F2236" s="0" t="n">
        <f aca="true">CRITBINOM(E2236,Coefficients!$B$31,RAND())</f>
        <v>0</v>
      </c>
      <c r="G2236" s="0" t="n">
        <f aca="true">CRITBINOM(MAX(0,D2236-E2236),1-Coefficients!$B$32,RAND())</f>
        <v>0</v>
      </c>
      <c r="H2236" s="0" t="n">
        <f aca="true">CRITBINOM(MAX(0,$C2236-D2236),MIN(0.6,Matchup!$B$40*SQRT($B2236)/(1-MIN(0.75,Matchup!$B$39*$B2236))),RAND())</f>
        <v>1</v>
      </c>
      <c r="I2236" s="0" t="n">
        <f aca="false">6*D2236+(D2236-E2236-G2236)+2*F2236+3*H2236</f>
        <v>10</v>
      </c>
      <c r="J2236" s="0" t="n">
        <f aca="true">CRITBINOM($C2236,MIN(0.75,Matchup!$C$39*$B2236),RAND())</f>
        <v>6</v>
      </c>
      <c r="K2236" s="0" t="n">
        <f aca="true">CRITBINOM(J2236,Coefficients!$B$30,RAND())</f>
        <v>0</v>
      </c>
      <c r="L2236" s="0" t="n">
        <f aca="true">CRITBINOM(K2236,Coefficients!$B$31,RAND())</f>
        <v>0</v>
      </c>
      <c r="M2236" s="0" t="n">
        <f aca="true">CRITBINOM(MAX(0,J2236-K2236),1-Coefficients!$B$32,RAND())</f>
        <v>0</v>
      </c>
      <c r="N2236" s="0" t="n">
        <f aca="true">CRITBINOM(MAX(0,$C2236-J2236),MIN(0.6,Matchup!$C$40*SQRT($B2236)/(1-MIN(0.75,Matchup!$C$39*$B2236))),RAND())</f>
        <v>1</v>
      </c>
      <c r="O2236" s="0" t="n">
        <f aca="false">6*J2236+(J2236-K2236-M2236)+2*L2236+3*N2236</f>
        <v>45</v>
      </c>
      <c r="P2236" s="0" t="n">
        <f aca="true">RAND()</f>
        <v>0.0692610621861402</v>
      </c>
      <c r="Q2236" s="0" t="n">
        <f aca="true">RAND()</f>
        <v>0.989344854636846</v>
      </c>
      <c r="R2236" s="0" t="n">
        <f aca="false">IF($I2236&lt;&gt;$O2236,0,IF(P2236&lt;Matchup!$B$39,7,IF(P2236&lt;Matchup!$B$39+Matchup!$B$40,3,0)))</f>
        <v>0</v>
      </c>
      <c r="S2236" s="0" t="n">
        <f aca="false">IF($I2236&lt;&gt;$O2236,0,IF(Q2236&lt;Matchup!$C$39,7,IF(Q2236&lt;Matchup!$C$39+Matchup!$C$40,3,0)))</f>
        <v>0</v>
      </c>
      <c r="T2236" s="0" t="n">
        <f aca="false">I2236+R2236</f>
        <v>10</v>
      </c>
      <c r="U2236" s="0" t="n">
        <f aca="false">O2236+S2236</f>
        <v>45</v>
      </c>
      <c r="V2236" s="0" t="n">
        <f aca="false">T2236-U2236</f>
        <v>-35</v>
      </c>
      <c r="W2236" s="0" t="n">
        <f aca="false">T2236+U2236</f>
        <v>55</v>
      </c>
    </row>
    <row r="2237" customFormat="false" ht="15" hidden="false" customHeight="false" outlineLevel="0" collapsed="false">
      <c r="A2237" s="0" t="n">
        <v>2234</v>
      </c>
      <c r="B2237" s="0" t="n">
        <f aca="true">NORMINV(RAND(),1,Coefficients!$B$22)</f>
        <v>1.05089177514828</v>
      </c>
      <c r="C2237" s="0" t="n">
        <f aca="true">MEDIAN(8,16,ROUND(NORMINV(RAND(),Coefficients!$B$20,Coefficients!$B$21),0))</f>
        <v>13</v>
      </c>
      <c r="D2237" s="0" t="n">
        <f aca="true">CRITBINOM($C2237,MIN(0.75,Matchup!$B$39*$B2237),RAND())</f>
        <v>5</v>
      </c>
      <c r="E2237" s="0" t="n">
        <f aca="true">CRITBINOM(D2237,Coefficients!$B$30,RAND())</f>
        <v>1</v>
      </c>
      <c r="F2237" s="0" t="n">
        <f aca="true">CRITBINOM(E2237,Coefficients!$B$31,RAND())</f>
        <v>1</v>
      </c>
      <c r="G2237" s="0" t="n">
        <f aca="true">CRITBINOM(MAX(0,D2237-E2237),1-Coefficients!$B$32,RAND())</f>
        <v>0</v>
      </c>
      <c r="H2237" s="0" t="n">
        <f aca="true">CRITBINOM(MAX(0,$C2237-D2237),MIN(0.6,Matchup!$B$40*SQRT($B2237)/(1-MIN(0.75,Matchup!$B$39*$B2237))),RAND())</f>
        <v>3</v>
      </c>
      <c r="I2237" s="0" t="n">
        <f aca="false">6*D2237+(D2237-E2237-G2237)+2*F2237+3*H2237</f>
        <v>45</v>
      </c>
      <c r="J2237" s="0" t="n">
        <f aca="true">CRITBINOM($C2237,MIN(0.75,Matchup!$C$39*$B2237),RAND())</f>
        <v>2</v>
      </c>
      <c r="K2237" s="0" t="n">
        <f aca="true">CRITBINOM(J2237,Coefficients!$B$30,RAND())</f>
        <v>1</v>
      </c>
      <c r="L2237" s="0" t="n">
        <f aca="true">CRITBINOM(K2237,Coefficients!$B$31,RAND())</f>
        <v>1</v>
      </c>
      <c r="M2237" s="0" t="n">
        <f aca="true">CRITBINOM(MAX(0,J2237-K2237),1-Coefficients!$B$32,RAND())</f>
        <v>0</v>
      </c>
      <c r="N2237" s="0" t="n">
        <f aca="true">CRITBINOM(MAX(0,$C2237-J2237),MIN(0.6,Matchup!$C$40*SQRT($B2237)/(1-MIN(0.75,Matchup!$C$39*$B2237))),RAND())</f>
        <v>1</v>
      </c>
      <c r="O2237" s="0" t="n">
        <f aca="false">6*J2237+(J2237-K2237-M2237)+2*L2237+3*N2237</f>
        <v>18</v>
      </c>
      <c r="P2237" s="0" t="n">
        <f aca="true">RAND()</f>
        <v>0.221636267253061</v>
      </c>
      <c r="Q2237" s="0" t="n">
        <f aca="true">RAND()</f>
        <v>0.478624412858103</v>
      </c>
      <c r="R2237" s="0" t="n">
        <f aca="false">IF($I2237&lt;&gt;$O2237,0,IF(P2237&lt;Matchup!$B$39,7,IF(P2237&lt;Matchup!$B$39+Matchup!$B$40,3,0)))</f>
        <v>0</v>
      </c>
      <c r="S2237" s="0" t="n">
        <f aca="false">IF($I2237&lt;&gt;$O2237,0,IF(Q2237&lt;Matchup!$C$39,7,IF(Q2237&lt;Matchup!$C$39+Matchup!$C$40,3,0)))</f>
        <v>0</v>
      </c>
      <c r="T2237" s="0" t="n">
        <f aca="false">I2237+R2237</f>
        <v>45</v>
      </c>
      <c r="U2237" s="0" t="n">
        <f aca="false">O2237+S2237</f>
        <v>18</v>
      </c>
      <c r="V2237" s="0" t="n">
        <f aca="false">T2237-U2237</f>
        <v>27</v>
      </c>
      <c r="W2237" s="0" t="n">
        <f aca="false">T2237+U2237</f>
        <v>63</v>
      </c>
    </row>
    <row r="2238" customFormat="false" ht="15" hidden="false" customHeight="false" outlineLevel="0" collapsed="false">
      <c r="A2238" s="0" t="n">
        <v>2235</v>
      </c>
      <c r="B2238" s="0" t="n">
        <f aca="true">NORMINV(RAND(),1,Coefficients!$B$22)</f>
        <v>0.93471297364585</v>
      </c>
      <c r="C2238" s="0" t="n">
        <f aca="true">MEDIAN(8,16,ROUND(NORMINV(RAND(),Coefficients!$B$20,Coefficients!$B$21),0))</f>
        <v>11</v>
      </c>
      <c r="D2238" s="0" t="n">
        <f aca="true">CRITBINOM($C2238,MIN(0.75,Matchup!$B$39*$B2238),RAND())</f>
        <v>5</v>
      </c>
      <c r="E2238" s="0" t="n">
        <f aca="true">CRITBINOM(D2238,Coefficients!$B$30,RAND())</f>
        <v>0</v>
      </c>
      <c r="F2238" s="0" t="n">
        <f aca="true">CRITBINOM(E2238,Coefficients!$B$31,RAND())</f>
        <v>0</v>
      </c>
      <c r="G2238" s="0" t="n">
        <f aca="true">CRITBINOM(MAX(0,D2238-E2238),1-Coefficients!$B$32,RAND())</f>
        <v>0</v>
      </c>
      <c r="H2238" s="0" t="n">
        <f aca="true">CRITBINOM(MAX(0,$C2238-D2238),MIN(0.6,Matchup!$B$40*SQRT($B2238)/(1-MIN(0.75,Matchup!$B$39*$B2238))),RAND())</f>
        <v>0</v>
      </c>
      <c r="I2238" s="0" t="n">
        <f aca="false">6*D2238+(D2238-E2238-G2238)+2*F2238+3*H2238</f>
        <v>35</v>
      </c>
      <c r="J2238" s="0" t="n">
        <f aca="true">CRITBINOM($C2238,MIN(0.75,Matchup!$C$39*$B2238),RAND())</f>
        <v>2</v>
      </c>
      <c r="K2238" s="0" t="n">
        <f aca="true">CRITBINOM(J2238,Coefficients!$B$30,RAND())</f>
        <v>0</v>
      </c>
      <c r="L2238" s="0" t="n">
        <f aca="true">CRITBINOM(K2238,Coefficients!$B$31,RAND())</f>
        <v>0</v>
      </c>
      <c r="M2238" s="0" t="n">
        <f aca="true">CRITBINOM(MAX(0,J2238-K2238),1-Coefficients!$B$32,RAND())</f>
        <v>0</v>
      </c>
      <c r="N2238" s="0" t="n">
        <f aca="true">CRITBINOM(MAX(0,$C2238-J2238),MIN(0.6,Matchup!$C$40*SQRT($B2238)/(1-MIN(0.75,Matchup!$C$39*$B2238))),RAND())</f>
        <v>2</v>
      </c>
      <c r="O2238" s="0" t="n">
        <f aca="false">6*J2238+(J2238-K2238-M2238)+2*L2238+3*N2238</f>
        <v>20</v>
      </c>
      <c r="P2238" s="0" t="n">
        <f aca="true">RAND()</f>
        <v>0.158522658683785</v>
      </c>
      <c r="Q2238" s="0" t="n">
        <f aca="true">RAND()</f>
        <v>0.17288916683149</v>
      </c>
      <c r="R2238" s="0" t="n">
        <f aca="false">IF($I2238&lt;&gt;$O2238,0,IF(P2238&lt;Matchup!$B$39,7,IF(P2238&lt;Matchup!$B$39+Matchup!$B$40,3,0)))</f>
        <v>0</v>
      </c>
      <c r="S2238" s="0" t="n">
        <f aca="false">IF($I2238&lt;&gt;$O2238,0,IF(Q2238&lt;Matchup!$C$39,7,IF(Q2238&lt;Matchup!$C$39+Matchup!$C$40,3,0)))</f>
        <v>0</v>
      </c>
      <c r="T2238" s="0" t="n">
        <f aca="false">I2238+R2238</f>
        <v>35</v>
      </c>
      <c r="U2238" s="0" t="n">
        <f aca="false">O2238+S2238</f>
        <v>20</v>
      </c>
      <c r="V2238" s="0" t="n">
        <f aca="false">T2238-U2238</f>
        <v>15</v>
      </c>
      <c r="W2238" s="0" t="n">
        <f aca="false">T2238+U2238</f>
        <v>55</v>
      </c>
    </row>
    <row r="2239" customFormat="false" ht="15" hidden="false" customHeight="false" outlineLevel="0" collapsed="false">
      <c r="A2239" s="0" t="n">
        <v>2236</v>
      </c>
      <c r="B2239" s="0" t="n">
        <f aca="true">NORMINV(RAND(),1,Coefficients!$B$22)</f>
        <v>1.1084619558082</v>
      </c>
      <c r="C2239" s="0" t="n">
        <f aca="true">MEDIAN(8,16,ROUND(NORMINV(RAND(),Coefficients!$B$20,Coefficients!$B$21),0))</f>
        <v>11</v>
      </c>
      <c r="D2239" s="0" t="n">
        <f aca="true">CRITBINOM($C2239,MIN(0.75,Matchup!$B$39*$B2239),RAND())</f>
        <v>3</v>
      </c>
      <c r="E2239" s="0" t="n">
        <f aca="true">CRITBINOM(D2239,Coefficients!$B$30,RAND())</f>
        <v>0</v>
      </c>
      <c r="F2239" s="0" t="n">
        <f aca="true">CRITBINOM(E2239,Coefficients!$B$31,RAND())</f>
        <v>0</v>
      </c>
      <c r="G2239" s="0" t="n">
        <f aca="true">CRITBINOM(MAX(0,D2239-E2239),1-Coefficients!$B$32,RAND())</f>
        <v>0</v>
      </c>
      <c r="H2239" s="0" t="n">
        <f aca="true">CRITBINOM(MAX(0,$C2239-D2239),MIN(0.6,Matchup!$B$40*SQRT($B2239)/(1-MIN(0.75,Matchup!$B$39*$B2239))),RAND())</f>
        <v>2</v>
      </c>
      <c r="I2239" s="0" t="n">
        <f aca="false">6*D2239+(D2239-E2239-G2239)+2*F2239+3*H2239</f>
        <v>27</v>
      </c>
      <c r="J2239" s="0" t="n">
        <f aca="true">CRITBINOM($C2239,MIN(0.75,Matchup!$C$39*$B2239),RAND())</f>
        <v>3</v>
      </c>
      <c r="K2239" s="0" t="n">
        <f aca="true">CRITBINOM(J2239,Coefficients!$B$30,RAND())</f>
        <v>0</v>
      </c>
      <c r="L2239" s="0" t="n">
        <f aca="true">CRITBINOM(K2239,Coefficients!$B$31,RAND())</f>
        <v>0</v>
      </c>
      <c r="M2239" s="0" t="n">
        <f aca="true">CRITBINOM(MAX(0,J2239-K2239),1-Coefficients!$B$32,RAND())</f>
        <v>0</v>
      </c>
      <c r="N2239" s="0" t="n">
        <f aca="true">CRITBINOM(MAX(0,$C2239-J2239),MIN(0.6,Matchup!$C$40*SQRT($B2239)/(1-MIN(0.75,Matchup!$C$39*$B2239))),RAND())</f>
        <v>1</v>
      </c>
      <c r="O2239" s="0" t="n">
        <f aca="false">6*J2239+(J2239-K2239-M2239)+2*L2239+3*N2239</f>
        <v>24</v>
      </c>
      <c r="P2239" s="0" t="n">
        <f aca="true">RAND()</f>
        <v>0.41574886668021</v>
      </c>
      <c r="Q2239" s="0" t="n">
        <f aca="true">RAND()</f>
        <v>0.777709146207426</v>
      </c>
      <c r="R2239" s="0" t="n">
        <f aca="false">IF($I2239&lt;&gt;$O2239,0,IF(P2239&lt;Matchup!$B$39,7,IF(P2239&lt;Matchup!$B$39+Matchup!$B$40,3,0)))</f>
        <v>0</v>
      </c>
      <c r="S2239" s="0" t="n">
        <f aca="false">IF($I2239&lt;&gt;$O2239,0,IF(Q2239&lt;Matchup!$C$39,7,IF(Q2239&lt;Matchup!$C$39+Matchup!$C$40,3,0)))</f>
        <v>0</v>
      </c>
      <c r="T2239" s="0" t="n">
        <f aca="false">I2239+R2239</f>
        <v>27</v>
      </c>
      <c r="U2239" s="0" t="n">
        <f aca="false">O2239+S2239</f>
        <v>24</v>
      </c>
      <c r="V2239" s="0" t="n">
        <f aca="false">T2239-U2239</f>
        <v>3</v>
      </c>
      <c r="W2239" s="0" t="n">
        <f aca="false">T2239+U2239</f>
        <v>51</v>
      </c>
    </row>
    <row r="2240" customFormat="false" ht="15" hidden="false" customHeight="false" outlineLevel="0" collapsed="false">
      <c r="A2240" s="0" t="n">
        <v>2237</v>
      </c>
      <c r="B2240" s="0" t="n">
        <f aca="true">NORMINV(RAND(),1,Coefficients!$B$22)</f>
        <v>1.02405548633269</v>
      </c>
      <c r="C2240" s="0" t="n">
        <f aca="true">MEDIAN(8,16,ROUND(NORMINV(RAND(),Coefficients!$B$20,Coefficients!$B$21),0))</f>
        <v>11</v>
      </c>
      <c r="D2240" s="0" t="n">
        <f aca="true">CRITBINOM($C2240,MIN(0.75,Matchup!$B$39*$B2240),RAND())</f>
        <v>1</v>
      </c>
      <c r="E2240" s="0" t="n">
        <f aca="true">CRITBINOM(D2240,Coefficients!$B$30,RAND())</f>
        <v>1</v>
      </c>
      <c r="F2240" s="0" t="n">
        <f aca="true">CRITBINOM(E2240,Coefficients!$B$31,RAND())</f>
        <v>0</v>
      </c>
      <c r="G2240" s="0" t="n">
        <f aca="true">CRITBINOM(MAX(0,D2240-E2240),1-Coefficients!$B$32,RAND())</f>
        <v>0</v>
      </c>
      <c r="H2240" s="0" t="n">
        <f aca="true">CRITBINOM(MAX(0,$C2240-D2240),MIN(0.6,Matchup!$B$40*SQRT($B2240)/(1-MIN(0.75,Matchup!$B$39*$B2240))),RAND())</f>
        <v>1</v>
      </c>
      <c r="I2240" s="0" t="n">
        <f aca="false">6*D2240+(D2240-E2240-G2240)+2*F2240+3*H2240</f>
        <v>9</v>
      </c>
      <c r="J2240" s="0" t="n">
        <f aca="true">CRITBINOM($C2240,MIN(0.75,Matchup!$C$39*$B2240),RAND())</f>
        <v>3</v>
      </c>
      <c r="K2240" s="0" t="n">
        <f aca="true">CRITBINOM(J2240,Coefficients!$B$30,RAND())</f>
        <v>1</v>
      </c>
      <c r="L2240" s="0" t="n">
        <f aca="true">CRITBINOM(K2240,Coefficients!$B$31,RAND())</f>
        <v>1</v>
      </c>
      <c r="M2240" s="0" t="n">
        <f aca="true">CRITBINOM(MAX(0,J2240-K2240),1-Coefficients!$B$32,RAND())</f>
        <v>0</v>
      </c>
      <c r="N2240" s="0" t="n">
        <f aca="true">CRITBINOM(MAX(0,$C2240-J2240),MIN(0.6,Matchup!$C$40*SQRT($B2240)/(1-MIN(0.75,Matchup!$C$39*$B2240))),RAND())</f>
        <v>1</v>
      </c>
      <c r="O2240" s="0" t="n">
        <f aca="false">6*J2240+(J2240-K2240-M2240)+2*L2240+3*N2240</f>
        <v>25</v>
      </c>
      <c r="P2240" s="0" t="n">
        <f aca="true">RAND()</f>
        <v>0.375110031095981</v>
      </c>
      <c r="Q2240" s="0" t="n">
        <f aca="true">RAND()</f>
        <v>0.360859584735756</v>
      </c>
      <c r="R2240" s="0" t="n">
        <f aca="false">IF($I2240&lt;&gt;$O2240,0,IF(P2240&lt;Matchup!$B$39,7,IF(P2240&lt;Matchup!$B$39+Matchup!$B$40,3,0)))</f>
        <v>0</v>
      </c>
      <c r="S2240" s="0" t="n">
        <f aca="false">IF($I2240&lt;&gt;$O2240,0,IF(Q2240&lt;Matchup!$C$39,7,IF(Q2240&lt;Matchup!$C$39+Matchup!$C$40,3,0)))</f>
        <v>0</v>
      </c>
      <c r="T2240" s="0" t="n">
        <f aca="false">I2240+R2240</f>
        <v>9</v>
      </c>
      <c r="U2240" s="0" t="n">
        <f aca="false">O2240+S2240</f>
        <v>25</v>
      </c>
      <c r="V2240" s="0" t="n">
        <f aca="false">T2240-U2240</f>
        <v>-16</v>
      </c>
      <c r="W2240" s="0" t="n">
        <f aca="false">T2240+U2240</f>
        <v>34</v>
      </c>
    </row>
    <row r="2241" customFormat="false" ht="15" hidden="false" customHeight="false" outlineLevel="0" collapsed="false">
      <c r="A2241" s="0" t="n">
        <v>2238</v>
      </c>
      <c r="B2241" s="0" t="n">
        <f aca="true">NORMINV(RAND(),1,Coefficients!$B$22)</f>
        <v>0.980135965396864</v>
      </c>
      <c r="C2241" s="0" t="n">
        <f aca="true">MEDIAN(8,16,ROUND(NORMINV(RAND(),Coefficients!$B$20,Coefficients!$B$21),0))</f>
        <v>11</v>
      </c>
      <c r="D2241" s="0" t="n">
        <f aca="true">CRITBINOM($C2241,MIN(0.75,Matchup!$B$39*$B2241),RAND())</f>
        <v>1</v>
      </c>
      <c r="E2241" s="0" t="n">
        <f aca="true">CRITBINOM(D2241,Coefficients!$B$30,RAND())</f>
        <v>0</v>
      </c>
      <c r="F2241" s="0" t="n">
        <f aca="true">CRITBINOM(E2241,Coefficients!$B$31,RAND())</f>
        <v>0</v>
      </c>
      <c r="G2241" s="0" t="n">
        <f aca="true">CRITBINOM(MAX(0,D2241-E2241),1-Coefficients!$B$32,RAND())</f>
        <v>0</v>
      </c>
      <c r="H2241" s="0" t="n">
        <f aca="true">CRITBINOM(MAX(0,$C2241-D2241),MIN(0.6,Matchup!$B$40*SQRT($B2241)/(1-MIN(0.75,Matchup!$B$39*$B2241))),RAND())</f>
        <v>0</v>
      </c>
      <c r="I2241" s="0" t="n">
        <f aca="false">6*D2241+(D2241-E2241-G2241)+2*F2241+3*H2241</f>
        <v>7</v>
      </c>
      <c r="J2241" s="0" t="n">
        <f aca="true">CRITBINOM($C2241,MIN(0.75,Matchup!$C$39*$B2241),RAND())</f>
        <v>2</v>
      </c>
      <c r="K2241" s="0" t="n">
        <f aca="true">CRITBINOM(J2241,Coefficients!$B$30,RAND())</f>
        <v>0</v>
      </c>
      <c r="L2241" s="0" t="n">
        <f aca="true">CRITBINOM(K2241,Coefficients!$B$31,RAND())</f>
        <v>0</v>
      </c>
      <c r="M2241" s="0" t="n">
        <f aca="true">CRITBINOM(MAX(0,J2241-K2241),1-Coefficients!$B$32,RAND())</f>
        <v>0</v>
      </c>
      <c r="N2241" s="0" t="n">
        <f aca="true">CRITBINOM(MAX(0,$C2241-J2241),MIN(0.6,Matchup!$C$40*SQRT($B2241)/(1-MIN(0.75,Matchup!$C$39*$B2241))),RAND())</f>
        <v>2</v>
      </c>
      <c r="O2241" s="0" t="n">
        <f aca="false">6*J2241+(J2241-K2241-M2241)+2*L2241+3*N2241</f>
        <v>20</v>
      </c>
      <c r="P2241" s="0" t="n">
        <f aca="true">RAND()</f>
        <v>0.54527512103024</v>
      </c>
      <c r="Q2241" s="0" t="n">
        <f aca="true">RAND()</f>
        <v>0.0832672371732213</v>
      </c>
      <c r="R2241" s="0" t="n">
        <f aca="false">IF($I2241&lt;&gt;$O2241,0,IF(P2241&lt;Matchup!$B$39,7,IF(P2241&lt;Matchup!$B$39+Matchup!$B$40,3,0)))</f>
        <v>0</v>
      </c>
      <c r="S2241" s="0" t="n">
        <f aca="false">IF($I2241&lt;&gt;$O2241,0,IF(Q2241&lt;Matchup!$C$39,7,IF(Q2241&lt;Matchup!$C$39+Matchup!$C$40,3,0)))</f>
        <v>0</v>
      </c>
      <c r="T2241" s="0" t="n">
        <f aca="false">I2241+R2241</f>
        <v>7</v>
      </c>
      <c r="U2241" s="0" t="n">
        <f aca="false">O2241+S2241</f>
        <v>20</v>
      </c>
      <c r="V2241" s="0" t="n">
        <f aca="false">T2241-U2241</f>
        <v>-13</v>
      </c>
      <c r="W2241" s="0" t="n">
        <f aca="false">T2241+U2241</f>
        <v>27</v>
      </c>
    </row>
    <row r="2242" customFormat="false" ht="15" hidden="false" customHeight="false" outlineLevel="0" collapsed="false">
      <c r="A2242" s="0" t="n">
        <v>2239</v>
      </c>
      <c r="B2242" s="0" t="n">
        <f aca="true">NORMINV(RAND(),1,Coefficients!$B$22)</f>
        <v>0.909745321104158</v>
      </c>
      <c r="C2242" s="0" t="n">
        <f aca="true">MEDIAN(8,16,ROUND(NORMINV(RAND(),Coefficients!$B$20,Coefficients!$B$21),0))</f>
        <v>12</v>
      </c>
      <c r="D2242" s="0" t="n">
        <f aca="true">CRITBINOM($C2242,MIN(0.75,Matchup!$B$39*$B2242),RAND())</f>
        <v>2</v>
      </c>
      <c r="E2242" s="0" t="n">
        <f aca="true">CRITBINOM(D2242,Coefficients!$B$30,RAND())</f>
        <v>1</v>
      </c>
      <c r="F2242" s="0" t="n">
        <f aca="true">CRITBINOM(E2242,Coefficients!$B$31,RAND())</f>
        <v>0</v>
      </c>
      <c r="G2242" s="0" t="n">
        <f aca="true">CRITBINOM(MAX(0,D2242-E2242),1-Coefficients!$B$32,RAND())</f>
        <v>0</v>
      </c>
      <c r="H2242" s="0" t="n">
        <f aca="true">CRITBINOM(MAX(0,$C2242-D2242),MIN(0.6,Matchup!$B$40*SQRT($B2242)/(1-MIN(0.75,Matchup!$B$39*$B2242))),RAND())</f>
        <v>3</v>
      </c>
      <c r="I2242" s="0" t="n">
        <f aca="false">6*D2242+(D2242-E2242-G2242)+2*F2242+3*H2242</f>
        <v>22</v>
      </c>
      <c r="J2242" s="0" t="n">
        <f aca="true">CRITBINOM($C2242,MIN(0.75,Matchup!$C$39*$B2242),RAND())</f>
        <v>2</v>
      </c>
      <c r="K2242" s="0" t="n">
        <f aca="true">CRITBINOM(J2242,Coefficients!$B$30,RAND())</f>
        <v>1</v>
      </c>
      <c r="L2242" s="0" t="n">
        <f aca="true">CRITBINOM(K2242,Coefficients!$B$31,RAND())</f>
        <v>0</v>
      </c>
      <c r="M2242" s="0" t="n">
        <f aca="true">CRITBINOM(MAX(0,J2242-K2242),1-Coefficients!$B$32,RAND())</f>
        <v>0</v>
      </c>
      <c r="N2242" s="0" t="n">
        <f aca="true">CRITBINOM(MAX(0,$C2242-J2242),MIN(0.6,Matchup!$C$40*SQRT($B2242)/(1-MIN(0.75,Matchup!$C$39*$B2242))),RAND())</f>
        <v>1</v>
      </c>
      <c r="O2242" s="0" t="n">
        <f aca="false">6*J2242+(J2242-K2242-M2242)+2*L2242+3*N2242</f>
        <v>16</v>
      </c>
      <c r="P2242" s="0" t="n">
        <f aca="true">RAND()</f>
        <v>0.639598974491823</v>
      </c>
      <c r="Q2242" s="0" t="n">
        <f aca="true">RAND()</f>
        <v>0.790028800862562</v>
      </c>
      <c r="R2242" s="0" t="n">
        <f aca="false">IF($I2242&lt;&gt;$O2242,0,IF(P2242&lt;Matchup!$B$39,7,IF(P2242&lt;Matchup!$B$39+Matchup!$B$40,3,0)))</f>
        <v>0</v>
      </c>
      <c r="S2242" s="0" t="n">
        <f aca="false">IF($I2242&lt;&gt;$O2242,0,IF(Q2242&lt;Matchup!$C$39,7,IF(Q2242&lt;Matchup!$C$39+Matchup!$C$40,3,0)))</f>
        <v>0</v>
      </c>
      <c r="T2242" s="0" t="n">
        <f aca="false">I2242+R2242</f>
        <v>22</v>
      </c>
      <c r="U2242" s="0" t="n">
        <f aca="false">O2242+S2242</f>
        <v>16</v>
      </c>
      <c r="V2242" s="0" t="n">
        <f aca="false">T2242-U2242</f>
        <v>6</v>
      </c>
      <c r="W2242" s="0" t="n">
        <f aca="false">T2242+U2242</f>
        <v>38</v>
      </c>
    </row>
    <row r="2243" customFormat="false" ht="15" hidden="false" customHeight="false" outlineLevel="0" collapsed="false">
      <c r="A2243" s="0" t="n">
        <v>2240</v>
      </c>
      <c r="B2243" s="0" t="n">
        <f aca="true">NORMINV(RAND(),1,Coefficients!$B$22)</f>
        <v>1.02770916105323</v>
      </c>
      <c r="C2243" s="0" t="n">
        <f aca="true">MEDIAN(8,16,ROUND(NORMINV(RAND(),Coefficients!$B$20,Coefficients!$B$21),0))</f>
        <v>12</v>
      </c>
      <c r="D2243" s="0" t="n">
        <f aca="true">CRITBINOM($C2243,MIN(0.75,Matchup!$B$39*$B2243),RAND())</f>
        <v>2</v>
      </c>
      <c r="E2243" s="0" t="n">
        <f aca="true">CRITBINOM(D2243,Coefficients!$B$30,RAND())</f>
        <v>0</v>
      </c>
      <c r="F2243" s="0" t="n">
        <f aca="true">CRITBINOM(E2243,Coefficients!$B$31,RAND())</f>
        <v>0</v>
      </c>
      <c r="G2243" s="0" t="n">
        <f aca="true">CRITBINOM(MAX(0,D2243-E2243),1-Coefficients!$B$32,RAND())</f>
        <v>0</v>
      </c>
      <c r="H2243" s="0" t="n">
        <f aca="true">CRITBINOM(MAX(0,$C2243-D2243),MIN(0.6,Matchup!$B$40*SQRT($B2243)/(1-MIN(0.75,Matchup!$B$39*$B2243))),RAND())</f>
        <v>0</v>
      </c>
      <c r="I2243" s="0" t="n">
        <f aca="false">6*D2243+(D2243-E2243-G2243)+2*F2243+3*H2243</f>
        <v>14</v>
      </c>
      <c r="J2243" s="0" t="n">
        <f aca="true">CRITBINOM($C2243,MIN(0.75,Matchup!$C$39*$B2243),RAND())</f>
        <v>3</v>
      </c>
      <c r="K2243" s="0" t="n">
        <f aca="true">CRITBINOM(J2243,Coefficients!$B$30,RAND())</f>
        <v>0</v>
      </c>
      <c r="L2243" s="0" t="n">
        <f aca="true">CRITBINOM(K2243,Coefficients!$B$31,RAND())</f>
        <v>0</v>
      </c>
      <c r="M2243" s="0" t="n">
        <f aca="true">CRITBINOM(MAX(0,J2243-K2243),1-Coefficients!$B$32,RAND())</f>
        <v>0</v>
      </c>
      <c r="N2243" s="0" t="n">
        <f aca="true">CRITBINOM(MAX(0,$C2243-J2243),MIN(0.6,Matchup!$C$40*SQRT($B2243)/(1-MIN(0.75,Matchup!$C$39*$B2243))),RAND())</f>
        <v>3</v>
      </c>
      <c r="O2243" s="0" t="n">
        <f aca="false">6*J2243+(J2243-K2243-M2243)+2*L2243+3*N2243</f>
        <v>30</v>
      </c>
      <c r="P2243" s="0" t="n">
        <f aca="true">RAND()</f>
        <v>0.726520707558128</v>
      </c>
      <c r="Q2243" s="0" t="n">
        <f aca="true">RAND()</f>
        <v>0.539206128930385</v>
      </c>
      <c r="R2243" s="0" t="n">
        <f aca="false">IF($I2243&lt;&gt;$O2243,0,IF(P2243&lt;Matchup!$B$39,7,IF(P2243&lt;Matchup!$B$39+Matchup!$B$40,3,0)))</f>
        <v>0</v>
      </c>
      <c r="S2243" s="0" t="n">
        <f aca="false">IF($I2243&lt;&gt;$O2243,0,IF(Q2243&lt;Matchup!$C$39,7,IF(Q2243&lt;Matchup!$C$39+Matchup!$C$40,3,0)))</f>
        <v>0</v>
      </c>
      <c r="T2243" s="0" t="n">
        <f aca="false">I2243+R2243</f>
        <v>14</v>
      </c>
      <c r="U2243" s="0" t="n">
        <f aca="false">O2243+S2243</f>
        <v>30</v>
      </c>
      <c r="V2243" s="0" t="n">
        <f aca="false">T2243-U2243</f>
        <v>-16</v>
      </c>
      <c r="W2243" s="0" t="n">
        <f aca="false">T2243+U2243</f>
        <v>44</v>
      </c>
    </row>
    <row r="2244" customFormat="false" ht="15" hidden="false" customHeight="false" outlineLevel="0" collapsed="false">
      <c r="A2244" s="0" t="n">
        <v>2241</v>
      </c>
      <c r="B2244" s="0" t="n">
        <f aca="true">NORMINV(RAND(),1,Coefficients!$B$22)</f>
        <v>0.981767698607208</v>
      </c>
      <c r="C2244" s="0" t="n">
        <f aca="true">MEDIAN(8,16,ROUND(NORMINV(RAND(),Coefficients!$B$20,Coefficients!$B$21),0))</f>
        <v>9</v>
      </c>
      <c r="D2244" s="0" t="n">
        <f aca="true">CRITBINOM($C2244,MIN(0.75,Matchup!$B$39*$B2244),RAND())</f>
        <v>3</v>
      </c>
      <c r="E2244" s="0" t="n">
        <f aca="true">CRITBINOM(D2244,Coefficients!$B$30,RAND())</f>
        <v>0</v>
      </c>
      <c r="F2244" s="0" t="n">
        <f aca="true">CRITBINOM(E2244,Coefficients!$B$31,RAND())</f>
        <v>0</v>
      </c>
      <c r="G2244" s="0" t="n">
        <f aca="true">CRITBINOM(MAX(0,D2244-E2244),1-Coefficients!$B$32,RAND())</f>
        <v>0</v>
      </c>
      <c r="H2244" s="0" t="n">
        <f aca="true">CRITBINOM(MAX(0,$C2244-D2244),MIN(0.6,Matchup!$B$40*SQRT($B2244)/(1-MIN(0.75,Matchup!$B$39*$B2244))),RAND())</f>
        <v>1</v>
      </c>
      <c r="I2244" s="0" t="n">
        <f aca="false">6*D2244+(D2244-E2244-G2244)+2*F2244+3*H2244</f>
        <v>24</v>
      </c>
      <c r="J2244" s="0" t="n">
        <f aca="true">CRITBINOM($C2244,MIN(0.75,Matchup!$C$39*$B2244),RAND())</f>
        <v>3</v>
      </c>
      <c r="K2244" s="0" t="n">
        <f aca="true">CRITBINOM(J2244,Coefficients!$B$30,RAND())</f>
        <v>0</v>
      </c>
      <c r="L2244" s="0" t="n">
        <f aca="true">CRITBINOM(K2244,Coefficients!$B$31,RAND())</f>
        <v>0</v>
      </c>
      <c r="M2244" s="0" t="n">
        <f aca="true">CRITBINOM(MAX(0,J2244-K2244),1-Coefficients!$B$32,RAND())</f>
        <v>0</v>
      </c>
      <c r="N2244" s="0" t="n">
        <f aca="true">CRITBINOM(MAX(0,$C2244-J2244),MIN(0.6,Matchup!$C$40*SQRT($B2244)/(1-MIN(0.75,Matchup!$C$39*$B2244))),RAND())</f>
        <v>1</v>
      </c>
      <c r="O2244" s="0" t="n">
        <f aca="false">6*J2244+(J2244-K2244-M2244)+2*L2244+3*N2244</f>
        <v>24</v>
      </c>
      <c r="P2244" s="0" t="n">
        <f aca="true">RAND()</f>
        <v>0.0599017409026787</v>
      </c>
      <c r="Q2244" s="0" t="n">
        <f aca="true">RAND()</f>
        <v>0.620835118140502</v>
      </c>
      <c r="R2244" s="0" t="n">
        <f aca="false">IF($I2244&lt;&gt;$O2244,0,IF(P2244&lt;Matchup!$B$39,7,IF(P2244&lt;Matchup!$B$39+Matchup!$B$40,3,0)))</f>
        <v>7</v>
      </c>
      <c r="S2244" s="0" t="n">
        <f aca="false">IF($I2244&lt;&gt;$O2244,0,IF(Q2244&lt;Matchup!$C$39,7,IF(Q2244&lt;Matchup!$C$39+Matchup!$C$40,3,0)))</f>
        <v>0</v>
      </c>
      <c r="T2244" s="0" t="n">
        <f aca="false">I2244+R2244</f>
        <v>31</v>
      </c>
      <c r="U2244" s="0" t="n">
        <f aca="false">O2244+S2244</f>
        <v>24</v>
      </c>
      <c r="V2244" s="0" t="n">
        <f aca="false">T2244-U2244</f>
        <v>7</v>
      </c>
      <c r="W2244" s="0" t="n">
        <f aca="false">T2244+U2244</f>
        <v>55</v>
      </c>
    </row>
    <row r="2245" customFormat="false" ht="15" hidden="false" customHeight="false" outlineLevel="0" collapsed="false">
      <c r="A2245" s="0" t="n">
        <v>2242</v>
      </c>
      <c r="B2245" s="0" t="n">
        <f aca="true">NORMINV(RAND(),1,Coefficients!$B$22)</f>
        <v>0.947631843877462</v>
      </c>
      <c r="C2245" s="0" t="n">
        <f aca="true">MEDIAN(8,16,ROUND(NORMINV(RAND(),Coefficients!$B$20,Coefficients!$B$21),0))</f>
        <v>10</v>
      </c>
      <c r="D2245" s="0" t="n">
        <f aca="true">CRITBINOM($C2245,MIN(0.75,Matchup!$B$39*$B2245),RAND())</f>
        <v>2</v>
      </c>
      <c r="E2245" s="0" t="n">
        <f aca="true">CRITBINOM(D2245,Coefficients!$B$30,RAND())</f>
        <v>0</v>
      </c>
      <c r="F2245" s="0" t="n">
        <f aca="true">CRITBINOM(E2245,Coefficients!$B$31,RAND())</f>
        <v>0</v>
      </c>
      <c r="G2245" s="0" t="n">
        <f aca="true">CRITBINOM(MAX(0,D2245-E2245),1-Coefficients!$B$32,RAND())</f>
        <v>0</v>
      </c>
      <c r="H2245" s="0" t="n">
        <f aca="true">CRITBINOM(MAX(0,$C2245-D2245),MIN(0.6,Matchup!$B$40*SQRT($B2245)/(1-MIN(0.75,Matchup!$B$39*$B2245))),RAND())</f>
        <v>2</v>
      </c>
      <c r="I2245" s="0" t="n">
        <f aca="false">6*D2245+(D2245-E2245-G2245)+2*F2245+3*H2245</f>
        <v>20</v>
      </c>
      <c r="J2245" s="0" t="n">
        <f aca="true">CRITBINOM($C2245,MIN(0.75,Matchup!$C$39*$B2245),RAND())</f>
        <v>2</v>
      </c>
      <c r="K2245" s="0" t="n">
        <f aca="true">CRITBINOM(J2245,Coefficients!$B$30,RAND())</f>
        <v>0</v>
      </c>
      <c r="L2245" s="0" t="n">
        <f aca="true">CRITBINOM(K2245,Coefficients!$B$31,RAND())</f>
        <v>0</v>
      </c>
      <c r="M2245" s="0" t="n">
        <f aca="true">CRITBINOM(MAX(0,J2245-K2245),1-Coefficients!$B$32,RAND())</f>
        <v>0</v>
      </c>
      <c r="N2245" s="0" t="n">
        <f aca="true">CRITBINOM(MAX(0,$C2245-J2245),MIN(0.6,Matchup!$C$40*SQRT($B2245)/(1-MIN(0.75,Matchup!$C$39*$B2245))),RAND())</f>
        <v>0</v>
      </c>
      <c r="O2245" s="0" t="n">
        <f aca="false">6*J2245+(J2245-K2245-M2245)+2*L2245+3*N2245</f>
        <v>14</v>
      </c>
      <c r="P2245" s="0" t="n">
        <f aca="true">RAND()</f>
        <v>0.67926952830122</v>
      </c>
      <c r="Q2245" s="0" t="n">
        <f aca="true">RAND()</f>
        <v>0.182956538140458</v>
      </c>
      <c r="R2245" s="0" t="n">
        <f aca="false">IF($I2245&lt;&gt;$O2245,0,IF(P2245&lt;Matchup!$B$39,7,IF(P2245&lt;Matchup!$B$39+Matchup!$B$40,3,0)))</f>
        <v>0</v>
      </c>
      <c r="S2245" s="0" t="n">
        <f aca="false">IF($I2245&lt;&gt;$O2245,0,IF(Q2245&lt;Matchup!$C$39,7,IF(Q2245&lt;Matchup!$C$39+Matchup!$C$40,3,0)))</f>
        <v>0</v>
      </c>
      <c r="T2245" s="0" t="n">
        <f aca="false">I2245+R2245</f>
        <v>20</v>
      </c>
      <c r="U2245" s="0" t="n">
        <f aca="false">O2245+S2245</f>
        <v>14</v>
      </c>
      <c r="V2245" s="0" t="n">
        <f aca="false">T2245-U2245</f>
        <v>6</v>
      </c>
      <c r="W2245" s="0" t="n">
        <f aca="false">T2245+U2245</f>
        <v>34</v>
      </c>
    </row>
    <row r="2246" customFormat="false" ht="15" hidden="false" customHeight="false" outlineLevel="0" collapsed="false">
      <c r="A2246" s="0" t="n">
        <v>2243</v>
      </c>
      <c r="B2246" s="0" t="n">
        <f aca="true">NORMINV(RAND(),1,Coefficients!$B$22)</f>
        <v>0.987044544414674</v>
      </c>
      <c r="C2246" s="0" t="n">
        <f aca="true">MEDIAN(8,16,ROUND(NORMINV(RAND(),Coefficients!$B$20,Coefficients!$B$21),0))</f>
        <v>12</v>
      </c>
      <c r="D2246" s="0" t="n">
        <f aca="true">CRITBINOM($C2246,MIN(0.75,Matchup!$B$39*$B2246),RAND())</f>
        <v>2</v>
      </c>
      <c r="E2246" s="0" t="n">
        <f aca="true">CRITBINOM(D2246,Coefficients!$B$30,RAND())</f>
        <v>0</v>
      </c>
      <c r="F2246" s="0" t="n">
        <f aca="true">CRITBINOM(E2246,Coefficients!$B$31,RAND())</f>
        <v>0</v>
      </c>
      <c r="G2246" s="0" t="n">
        <f aca="true">CRITBINOM(MAX(0,D2246-E2246),1-Coefficients!$B$32,RAND())</f>
        <v>0</v>
      </c>
      <c r="H2246" s="0" t="n">
        <f aca="true">CRITBINOM(MAX(0,$C2246-D2246),MIN(0.6,Matchup!$B$40*SQRT($B2246)/(1-MIN(0.75,Matchup!$B$39*$B2246))),RAND())</f>
        <v>4</v>
      </c>
      <c r="I2246" s="0" t="n">
        <f aca="false">6*D2246+(D2246-E2246-G2246)+2*F2246+3*H2246</f>
        <v>26</v>
      </c>
      <c r="J2246" s="0" t="n">
        <f aca="true">CRITBINOM($C2246,MIN(0.75,Matchup!$C$39*$B2246),RAND())</f>
        <v>4</v>
      </c>
      <c r="K2246" s="0" t="n">
        <f aca="true">CRITBINOM(J2246,Coefficients!$B$30,RAND())</f>
        <v>1</v>
      </c>
      <c r="L2246" s="0" t="n">
        <f aca="true">CRITBINOM(K2246,Coefficients!$B$31,RAND())</f>
        <v>0</v>
      </c>
      <c r="M2246" s="0" t="n">
        <f aca="true">CRITBINOM(MAX(0,J2246-K2246),1-Coefficients!$B$32,RAND())</f>
        <v>0</v>
      </c>
      <c r="N2246" s="0" t="n">
        <f aca="true">CRITBINOM(MAX(0,$C2246-J2246),MIN(0.6,Matchup!$C$40*SQRT($B2246)/(1-MIN(0.75,Matchup!$C$39*$B2246))),RAND())</f>
        <v>2</v>
      </c>
      <c r="O2246" s="0" t="n">
        <f aca="false">6*J2246+(J2246-K2246-M2246)+2*L2246+3*N2246</f>
        <v>33</v>
      </c>
      <c r="P2246" s="0" t="n">
        <f aca="true">RAND()</f>
        <v>0.948362529351517</v>
      </c>
      <c r="Q2246" s="0" t="n">
        <f aca="true">RAND()</f>
        <v>0.845259065533076</v>
      </c>
      <c r="R2246" s="0" t="n">
        <f aca="false">IF($I2246&lt;&gt;$O2246,0,IF(P2246&lt;Matchup!$B$39,7,IF(P2246&lt;Matchup!$B$39+Matchup!$B$40,3,0)))</f>
        <v>0</v>
      </c>
      <c r="S2246" s="0" t="n">
        <f aca="false">IF($I2246&lt;&gt;$O2246,0,IF(Q2246&lt;Matchup!$C$39,7,IF(Q2246&lt;Matchup!$C$39+Matchup!$C$40,3,0)))</f>
        <v>0</v>
      </c>
      <c r="T2246" s="0" t="n">
        <f aca="false">I2246+R2246</f>
        <v>26</v>
      </c>
      <c r="U2246" s="0" t="n">
        <f aca="false">O2246+S2246</f>
        <v>33</v>
      </c>
      <c r="V2246" s="0" t="n">
        <f aca="false">T2246-U2246</f>
        <v>-7</v>
      </c>
      <c r="W2246" s="0" t="n">
        <f aca="false">T2246+U2246</f>
        <v>59</v>
      </c>
    </row>
    <row r="2247" customFormat="false" ht="15" hidden="false" customHeight="false" outlineLevel="0" collapsed="false">
      <c r="A2247" s="0" t="n">
        <v>2244</v>
      </c>
      <c r="B2247" s="0" t="n">
        <f aca="true">NORMINV(RAND(),1,Coefficients!$B$22)</f>
        <v>0.999717124511597</v>
      </c>
      <c r="C2247" s="0" t="n">
        <f aca="true">MEDIAN(8,16,ROUND(NORMINV(RAND(),Coefficients!$B$20,Coefficients!$B$21),0))</f>
        <v>13</v>
      </c>
      <c r="D2247" s="0" t="n">
        <f aca="true">CRITBINOM($C2247,MIN(0.75,Matchup!$B$39*$B2247),RAND())</f>
        <v>4</v>
      </c>
      <c r="E2247" s="0" t="n">
        <f aca="true">CRITBINOM(D2247,Coefficients!$B$30,RAND())</f>
        <v>0</v>
      </c>
      <c r="F2247" s="0" t="n">
        <f aca="true">CRITBINOM(E2247,Coefficients!$B$31,RAND())</f>
        <v>0</v>
      </c>
      <c r="G2247" s="0" t="n">
        <f aca="true">CRITBINOM(MAX(0,D2247-E2247),1-Coefficients!$B$32,RAND())</f>
        <v>0</v>
      </c>
      <c r="H2247" s="0" t="n">
        <f aca="true">CRITBINOM(MAX(0,$C2247-D2247),MIN(0.6,Matchup!$B$40*SQRT($B2247)/(1-MIN(0.75,Matchup!$B$39*$B2247))),RAND())</f>
        <v>0</v>
      </c>
      <c r="I2247" s="0" t="n">
        <f aca="false">6*D2247+(D2247-E2247-G2247)+2*F2247+3*H2247</f>
        <v>28</v>
      </c>
      <c r="J2247" s="0" t="n">
        <f aca="true">CRITBINOM($C2247,MIN(0.75,Matchup!$C$39*$B2247),RAND())</f>
        <v>1</v>
      </c>
      <c r="K2247" s="0" t="n">
        <f aca="true">CRITBINOM(J2247,Coefficients!$B$30,RAND())</f>
        <v>0</v>
      </c>
      <c r="L2247" s="0" t="n">
        <f aca="true">CRITBINOM(K2247,Coefficients!$B$31,RAND())</f>
        <v>0</v>
      </c>
      <c r="M2247" s="0" t="n">
        <f aca="true">CRITBINOM(MAX(0,J2247-K2247),1-Coefficients!$B$32,RAND())</f>
        <v>0</v>
      </c>
      <c r="N2247" s="0" t="n">
        <f aca="true">CRITBINOM(MAX(0,$C2247-J2247),MIN(0.6,Matchup!$C$40*SQRT($B2247)/(1-MIN(0.75,Matchup!$C$39*$B2247))),RAND())</f>
        <v>0</v>
      </c>
      <c r="O2247" s="0" t="n">
        <f aca="false">6*J2247+(J2247-K2247-M2247)+2*L2247+3*N2247</f>
        <v>7</v>
      </c>
      <c r="P2247" s="0" t="n">
        <f aca="true">RAND()</f>
        <v>0.731504512099761</v>
      </c>
      <c r="Q2247" s="0" t="n">
        <f aca="true">RAND()</f>
        <v>0.158507002311105</v>
      </c>
      <c r="R2247" s="0" t="n">
        <f aca="false">IF($I2247&lt;&gt;$O2247,0,IF(P2247&lt;Matchup!$B$39,7,IF(P2247&lt;Matchup!$B$39+Matchup!$B$40,3,0)))</f>
        <v>0</v>
      </c>
      <c r="S2247" s="0" t="n">
        <f aca="false">IF($I2247&lt;&gt;$O2247,0,IF(Q2247&lt;Matchup!$C$39,7,IF(Q2247&lt;Matchup!$C$39+Matchup!$C$40,3,0)))</f>
        <v>0</v>
      </c>
      <c r="T2247" s="0" t="n">
        <f aca="false">I2247+R2247</f>
        <v>28</v>
      </c>
      <c r="U2247" s="0" t="n">
        <f aca="false">O2247+S2247</f>
        <v>7</v>
      </c>
      <c r="V2247" s="0" t="n">
        <f aca="false">T2247-U2247</f>
        <v>21</v>
      </c>
      <c r="W2247" s="0" t="n">
        <f aca="false">T2247+U2247</f>
        <v>35</v>
      </c>
    </row>
    <row r="2248" customFormat="false" ht="15" hidden="false" customHeight="false" outlineLevel="0" collapsed="false">
      <c r="A2248" s="0" t="n">
        <v>2245</v>
      </c>
      <c r="B2248" s="0" t="n">
        <f aca="true">NORMINV(RAND(),1,Coefficients!$B$22)</f>
        <v>0.963547500621179</v>
      </c>
      <c r="C2248" s="0" t="n">
        <f aca="true">MEDIAN(8,16,ROUND(NORMINV(RAND(),Coefficients!$B$20,Coefficients!$B$21),0))</f>
        <v>12</v>
      </c>
      <c r="D2248" s="0" t="n">
        <f aca="true">CRITBINOM($C2248,MIN(0.75,Matchup!$B$39*$B2248),RAND())</f>
        <v>3</v>
      </c>
      <c r="E2248" s="0" t="n">
        <f aca="true">CRITBINOM(D2248,Coefficients!$B$30,RAND())</f>
        <v>0</v>
      </c>
      <c r="F2248" s="0" t="n">
        <f aca="true">CRITBINOM(E2248,Coefficients!$B$31,RAND())</f>
        <v>0</v>
      </c>
      <c r="G2248" s="0" t="n">
        <f aca="true">CRITBINOM(MAX(0,D2248-E2248),1-Coefficients!$B$32,RAND())</f>
        <v>0</v>
      </c>
      <c r="H2248" s="0" t="n">
        <f aca="true">CRITBINOM(MAX(0,$C2248-D2248),MIN(0.6,Matchup!$B$40*SQRT($B2248)/(1-MIN(0.75,Matchup!$B$39*$B2248))),RAND())</f>
        <v>1</v>
      </c>
      <c r="I2248" s="0" t="n">
        <f aca="false">6*D2248+(D2248-E2248-G2248)+2*F2248+3*H2248</f>
        <v>24</v>
      </c>
      <c r="J2248" s="0" t="n">
        <f aca="true">CRITBINOM($C2248,MIN(0.75,Matchup!$C$39*$B2248),RAND())</f>
        <v>2</v>
      </c>
      <c r="K2248" s="0" t="n">
        <f aca="true">CRITBINOM(J2248,Coefficients!$B$30,RAND())</f>
        <v>0</v>
      </c>
      <c r="L2248" s="0" t="n">
        <f aca="true">CRITBINOM(K2248,Coefficients!$B$31,RAND())</f>
        <v>0</v>
      </c>
      <c r="M2248" s="0" t="n">
        <f aca="true">CRITBINOM(MAX(0,J2248-K2248),1-Coefficients!$B$32,RAND())</f>
        <v>0</v>
      </c>
      <c r="N2248" s="0" t="n">
        <f aca="true">CRITBINOM(MAX(0,$C2248-J2248),MIN(0.6,Matchup!$C$40*SQRT($B2248)/(1-MIN(0.75,Matchup!$C$39*$B2248))),RAND())</f>
        <v>2</v>
      </c>
      <c r="O2248" s="0" t="n">
        <f aca="false">6*J2248+(J2248-K2248-M2248)+2*L2248+3*N2248</f>
        <v>20</v>
      </c>
      <c r="P2248" s="0" t="n">
        <f aca="true">RAND()</f>
        <v>0.324273635439186</v>
      </c>
      <c r="Q2248" s="0" t="n">
        <f aca="true">RAND()</f>
        <v>0.716400340883689</v>
      </c>
      <c r="R2248" s="0" t="n">
        <f aca="false">IF($I2248&lt;&gt;$O2248,0,IF(P2248&lt;Matchup!$B$39,7,IF(P2248&lt;Matchup!$B$39+Matchup!$B$40,3,0)))</f>
        <v>0</v>
      </c>
      <c r="S2248" s="0" t="n">
        <f aca="false">IF($I2248&lt;&gt;$O2248,0,IF(Q2248&lt;Matchup!$C$39,7,IF(Q2248&lt;Matchup!$C$39+Matchup!$C$40,3,0)))</f>
        <v>0</v>
      </c>
      <c r="T2248" s="0" t="n">
        <f aca="false">I2248+R2248</f>
        <v>24</v>
      </c>
      <c r="U2248" s="0" t="n">
        <f aca="false">O2248+S2248</f>
        <v>20</v>
      </c>
      <c r="V2248" s="0" t="n">
        <f aca="false">T2248-U2248</f>
        <v>4</v>
      </c>
      <c r="W2248" s="0" t="n">
        <f aca="false">T2248+U2248</f>
        <v>44</v>
      </c>
    </row>
    <row r="2249" customFormat="false" ht="15" hidden="false" customHeight="false" outlineLevel="0" collapsed="false">
      <c r="A2249" s="0" t="n">
        <v>2246</v>
      </c>
      <c r="B2249" s="0" t="n">
        <f aca="true">NORMINV(RAND(),1,Coefficients!$B$22)</f>
        <v>0.929903195728697</v>
      </c>
      <c r="C2249" s="0" t="n">
        <f aca="true">MEDIAN(8,16,ROUND(NORMINV(RAND(),Coefficients!$B$20,Coefficients!$B$21),0))</f>
        <v>12</v>
      </c>
      <c r="D2249" s="0" t="n">
        <f aca="true">CRITBINOM($C2249,MIN(0.75,Matchup!$B$39*$B2249),RAND())</f>
        <v>3</v>
      </c>
      <c r="E2249" s="0" t="n">
        <f aca="true">CRITBINOM(D2249,Coefficients!$B$30,RAND())</f>
        <v>0</v>
      </c>
      <c r="F2249" s="0" t="n">
        <f aca="true">CRITBINOM(E2249,Coefficients!$B$31,RAND())</f>
        <v>0</v>
      </c>
      <c r="G2249" s="0" t="n">
        <f aca="true">CRITBINOM(MAX(0,D2249-E2249),1-Coefficients!$B$32,RAND())</f>
        <v>0</v>
      </c>
      <c r="H2249" s="0" t="n">
        <f aca="true">CRITBINOM(MAX(0,$C2249-D2249),MIN(0.6,Matchup!$B$40*SQRT($B2249)/(1-MIN(0.75,Matchup!$B$39*$B2249))),RAND())</f>
        <v>2</v>
      </c>
      <c r="I2249" s="0" t="n">
        <f aca="false">6*D2249+(D2249-E2249-G2249)+2*F2249+3*H2249</f>
        <v>27</v>
      </c>
      <c r="J2249" s="0" t="n">
        <f aca="true">CRITBINOM($C2249,MIN(0.75,Matchup!$C$39*$B2249),RAND())</f>
        <v>3</v>
      </c>
      <c r="K2249" s="0" t="n">
        <f aca="true">CRITBINOM(J2249,Coefficients!$B$30,RAND())</f>
        <v>0</v>
      </c>
      <c r="L2249" s="0" t="n">
        <f aca="true">CRITBINOM(K2249,Coefficients!$B$31,RAND())</f>
        <v>0</v>
      </c>
      <c r="M2249" s="0" t="n">
        <f aca="true">CRITBINOM(MAX(0,J2249-K2249),1-Coefficients!$B$32,RAND())</f>
        <v>0</v>
      </c>
      <c r="N2249" s="0" t="n">
        <f aca="true">CRITBINOM(MAX(0,$C2249-J2249),MIN(0.6,Matchup!$C$40*SQRT($B2249)/(1-MIN(0.75,Matchup!$C$39*$B2249))),RAND())</f>
        <v>1</v>
      </c>
      <c r="O2249" s="0" t="n">
        <f aca="false">6*J2249+(J2249-K2249-M2249)+2*L2249+3*N2249</f>
        <v>24</v>
      </c>
      <c r="P2249" s="0" t="n">
        <f aca="true">RAND()</f>
        <v>0.801400385131693</v>
      </c>
      <c r="Q2249" s="0" t="n">
        <f aca="true">RAND()</f>
        <v>0.423351201989085</v>
      </c>
      <c r="R2249" s="0" t="n">
        <f aca="false">IF($I2249&lt;&gt;$O2249,0,IF(P2249&lt;Matchup!$B$39,7,IF(P2249&lt;Matchup!$B$39+Matchup!$B$40,3,0)))</f>
        <v>0</v>
      </c>
      <c r="S2249" s="0" t="n">
        <f aca="false">IF($I2249&lt;&gt;$O2249,0,IF(Q2249&lt;Matchup!$C$39,7,IF(Q2249&lt;Matchup!$C$39+Matchup!$C$40,3,0)))</f>
        <v>0</v>
      </c>
      <c r="T2249" s="0" t="n">
        <f aca="false">I2249+R2249</f>
        <v>27</v>
      </c>
      <c r="U2249" s="0" t="n">
        <f aca="false">O2249+S2249</f>
        <v>24</v>
      </c>
      <c r="V2249" s="0" t="n">
        <f aca="false">T2249-U2249</f>
        <v>3</v>
      </c>
      <c r="W2249" s="0" t="n">
        <f aca="false">T2249+U2249</f>
        <v>51</v>
      </c>
    </row>
    <row r="2250" customFormat="false" ht="15" hidden="false" customHeight="false" outlineLevel="0" collapsed="false">
      <c r="A2250" s="0" t="n">
        <v>2247</v>
      </c>
      <c r="B2250" s="0" t="n">
        <f aca="true">NORMINV(RAND(),1,Coefficients!$B$22)</f>
        <v>1.04547703581239</v>
      </c>
      <c r="C2250" s="0" t="n">
        <f aca="true">MEDIAN(8,16,ROUND(NORMINV(RAND(),Coefficients!$B$20,Coefficients!$B$21),0))</f>
        <v>13</v>
      </c>
      <c r="D2250" s="0" t="n">
        <f aca="true">CRITBINOM($C2250,MIN(0.75,Matchup!$B$39*$B2250),RAND())</f>
        <v>4</v>
      </c>
      <c r="E2250" s="0" t="n">
        <f aca="true">CRITBINOM(D2250,Coefficients!$B$30,RAND())</f>
        <v>0</v>
      </c>
      <c r="F2250" s="0" t="n">
        <f aca="true">CRITBINOM(E2250,Coefficients!$B$31,RAND())</f>
        <v>0</v>
      </c>
      <c r="G2250" s="0" t="n">
        <f aca="true">CRITBINOM(MAX(0,D2250-E2250),1-Coefficients!$B$32,RAND())</f>
        <v>0</v>
      </c>
      <c r="H2250" s="0" t="n">
        <f aca="true">CRITBINOM(MAX(0,$C2250-D2250),MIN(0.6,Matchup!$B$40*SQRT($B2250)/(1-MIN(0.75,Matchup!$B$39*$B2250))),RAND())</f>
        <v>2</v>
      </c>
      <c r="I2250" s="0" t="n">
        <f aca="false">6*D2250+(D2250-E2250-G2250)+2*F2250+3*H2250</f>
        <v>34</v>
      </c>
      <c r="J2250" s="0" t="n">
        <f aca="true">CRITBINOM($C2250,MIN(0.75,Matchup!$C$39*$B2250),RAND())</f>
        <v>1</v>
      </c>
      <c r="K2250" s="0" t="n">
        <f aca="true">CRITBINOM(J2250,Coefficients!$B$30,RAND())</f>
        <v>0</v>
      </c>
      <c r="L2250" s="0" t="n">
        <f aca="true">CRITBINOM(K2250,Coefficients!$B$31,RAND())</f>
        <v>0</v>
      </c>
      <c r="M2250" s="0" t="n">
        <f aca="true">CRITBINOM(MAX(0,J2250-K2250),1-Coefficients!$B$32,RAND())</f>
        <v>0</v>
      </c>
      <c r="N2250" s="0" t="n">
        <f aca="true">CRITBINOM(MAX(0,$C2250-J2250),MIN(0.6,Matchup!$C$40*SQRT($B2250)/(1-MIN(0.75,Matchup!$C$39*$B2250))),RAND())</f>
        <v>3</v>
      </c>
      <c r="O2250" s="0" t="n">
        <f aca="false">6*J2250+(J2250-K2250-M2250)+2*L2250+3*N2250</f>
        <v>16</v>
      </c>
      <c r="P2250" s="0" t="n">
        <f aca="true">RAND()</f>
        <v>0.582147157293638</v>
      </c>
      <c r="Q2250" s="0" t="n">
        <f aca="true">RAND()</f>
        <v>0.204125079096105</v>
      </c>
      <c r="R2250" s="0" t="n">
        <f aca="false">IF($I2250&lt;&gt;$O2250,0,IF(P2250&lt;Matchup!$B$39,7,IF(P2250&lt;Matchup!$B$39+Matchup!$B$40,3,0)))</f>
        <v>0</v>
      </c>
      <c r="S2250" s="0" t="n">
        <f aca="false">IF($I2250&lt;&gt;$O2250,0,IF(Q2250&lt;Matchup!$C$39,7,IF(Q2250&lt;Matchup!$C$39+Matchup!$C$40,3,0)))</f>
        <v>0</v>
      </c>
      <c r="T2250" s="0" t="n">
        <f aca="false">I2250+R2250</f>
        <v>34</v>
      </c>
      <c r="U2250" s="0" t="n">
        <f aca="false">O2250+S2250</f>
        <v>16</v>
      </c>
      <c r="V2250" s="0" t="n">
        <f aca="false">T2250-U2250</f>
        <v>18</v>
      </c>
      <c r="W2250" s="0" t="n">
        <f aca="false">T2250+U2250</f>
        <v>50</v>
      </c>
    </row>
    <row r="2251" customFormat="false" ht="15" hidden="false" customHeight="false" outlineLevel="0" collapsed="false">
      <c r="A2251" s="0" t="n">
        <v>2248</v>
      </c>
      <c r="B2251" s="0" t="n">
        <f aca="true">NORMINV(RAND(),1,Coefficients!$B$22)</f>
        <v>1.22766990445426</v>
      </c>
      <c r="C2251" s="0" t="n">
        <f aca="true">MEDIAN(8,16,ROUND(NORMINV(RAND(),Coefficients!$B$20,Coefficients!$B$21),0))</f>
        <v>11</v>
      </c>
      <c r="D2251" s="0" t="n">
        <f aca="true">CRITBINOM($C2251,MIN(0.75,Matchup!$B$39*$B2251),RAND())</f>
        <v>2</v>
      </c>
      <c r="E2251" s="0" t="n">
        <f aca="true">CRITBINOM(D2251,Coefficients!$B$30,RAND())</f>
        <v>0</v>
      </c>
      <c r="F2251" s="0" t="n">
        <f aca="true">CRITBINOM(E2251,Coefficients!$B$31,RAND())</f>
        <v>0</v>
      </c>
      <c r="G2251" s="0" t="n">
        <f aca="true">CRITBINOM(MAX(0,D2251-E2251),1-Coefficients!$B$32,RAND())</f>
        <v>0</v>
      </c>
      <c r="H2251" s="0" t="n">
        <f aca="true">CRITBINOM(MAX(0,$C2251-D2251),MIN(0.6,Matchup!$B$40*SQRT($B2251)/(1-MIN(0.75,Matchup!$B$39*$B2251))),RAND())</f>
        <v>4</v>
      </c>
      <c r="I2251" s="0" t="n">
        <f aca="false">6*D2251+(D2251-E2251-G2251)+2*F2251+3*H2251</f>
        <v>26</v>
      </c>
      <c r="J2251" s="0" t="n">
        <f aca="true">CRITBINOM($C2251,MIN(0.75,Matchup!$C$39*$B2251),RAND())</f>
        <v>4</v>
      </c>
      <c r="K2251" s="0" t="n">
        <f aca="true">CRITBINOM(J2251,Coefficients!$B$30,RAND())</f>
        <v>0</v>
      </c>
      <c r="L2251" s="0" t="n">
        <f aca="true">CRITBINOM(K2251,Coefficients!$B$31,RAND())</f>
        <v>0</v>
      </c>
      <c r="M2251" s="0" t="n">
        <f aca="true">CRITBINOM(MAX(0,J2251-K2251),1-Coefficients!$B$32,RAND())</f>
        <v>0</v>
      </c>
      <c r="N2251" s="0" t="n">
        <f aca="true">CRITBINOM(MAX(0,$C2251-J2251),MIN(0.6,Matchup!$C$40*SQRT($B2251)/(1-MIN(0.75,Matchup!$C$39*$B2251))),RAND())</f>
        <v>0</v>
      </c>
      <c r="O2251" s="0" t="n">
        <f aca="false">6*J2251+(J2251-K2251-M2251)+2*L2251+3*N2251</f>
        <v>28</v>
      </c>
      <c r="P2251" s="0" t="n">
        <f aca="true">RAND()</f>
        <v>0.412151927714377</v>
      </c>
      <c r="Q2251" s="0" t="n">
        <f aca="true">RAND()</f>
        <v>0.883824308438902</v>
      </c>
      <c r="R2251" s="0" t="n">
        <f aca="false">IF($I2251&lt;&gt;$O2251,0,IF(P2251&lt;Matchup!$B$39,7,IF(P2251&lt;Matchup!$B$39+Matchup!$B$40,3,0)))</f>
        <v>0</v>
      </c>
      <c r="S2251" s="0" t="n">
        <f aca="false">IF($I2251&lt;&gt;$O2251,0,IF(Q2251&lt;Matchup!$C$39,7,IF(Q2251&lt;Matchup!$C$39+Matchup!$C$40,3,0)))</f>
        <v>0</v>
      </c>
      <c r="T2251" s="0" t="n">
        <f aca="false">I2251+R2251</f>
        <v>26</v>
      </c>
      <c r="U2251" s="0" t="n">
        <f aca="false">O2251+S2251</f>
        <v>28</v>
      </c>
      <c r="V2251" s="0" t="n">
        <f aca="false">T2251-U2251</f>
        <v>-2</v>
      </c>
      <c r="W2251" s="0" t="n">
        <f aca="false">T2251+U2251</f>
        <v>54</v>
      </c>
    </row>
    <row r="2252" customFormat="false" ht="15" hidden="false" customHeight="false" outlineLevel="0" collapsed="false">
      <c r="A2252" s="0" t="n">
        <v>2249</v>
      </c>
      <c r="B2252" s="0" t="n">
        <f aca="true">NORMINV(RAND(),1,Coefficients!$B$22)</f>
        <v>0.8888496283291</v>
      </c>
      <c r="C2252" s="0" t="n">
        <f aca="true">MEDIAN(8,16,ROUND(NORMINV(RAND(),Coefficients!$B$20,Coefficients!$B$21),0))</f>
        <v>11</v>
      </c>
      <c r="D2252" s="0" t="n">
        <f aca="true">CRITBINOM($C2252,MIN(0.75,Matchup!$B$39*$B2252),RAND())</f>
        <v>2</v>
      </c>
      <c r="E2252" s="0" t="n">
        <f aca="true">CRITBINOM(D2252,Coefficients!$B$30,RAND())</f>
        <v>1</v>
      </c>
      <c r="F2252" s="0" t="n">
        <f aca="true">CRITBINOM(E2252,Coefficients!$B$31,RAND())</f>
        <v>1</v>
      </c>
      <c r="G2252" s="0" t="n">
        <f aca="true">CRITBINOM(MAX(0,D2252-E2252),1-Coefficients!$B$32,RAND())</f>
        <v>0</v>
      </c>
      <c r="H2252" s="0" t="n">
        <f aca="true">CRITBINOM(MAX(0,$C2252-D2252),MIN(0.6,Matchup!$B$40*SQRT($B2252)/(1-MIN(0.75,Matchup!$B$39*$B2252))),RAND())</f>
        <v>3</v>
      </c>
      <c r="I2252" s="0" t="n">
        <f aca="false">6*D2252+(D2252-E2252-G2252)+2*F2252+3*H2252</f>
        <v>24</v>
      </c>
      <c r="J2252" s="0" t="n">
        <f aca="true">CRITBINOM($C2252,MIN(0.75,Matchup!$C$39*$B2252),RAND())</f>
        <v>2</v>
      </c>
      <c r="K2252" s="0" t="n">
        <f aca="true">CRITBINOM(J2252,Coefficients!$B$30,RAND())</f>
        <v>0</v>
      </c>
      <c r="L2252" s="0" t="n">
        <f aca="true">CRITBINOM(K2252,Coefficients!$B$31,RAND())</f>
        <v>0</v>
      </c>
      <c r="M2252" s="0" t="n">
        <f aca="true">CRITBINOM(MAX(0,J2252-K2252),1-Coefficients!$B$32,RAND())</f>
        <v>0</v>
      </c>
      <c r="N2252" s="0" t="n">
        <f aca="true">CRITBINOM(MAX(0,$C2252-J2252),MIN(0.6,Matchup!$C$40*SQRT($B2252)/(1-MIN(0.75,Matchup!$C$39*$B2252))),RAND())</f>
        <v>1</v>
      </c>
      <c r="O2252" s="0" t="n">
        <f aca="false">6*J2252+(J2252-K2252-M2252)+2*L2252+3*N2252</f>
        <v>17</v>
      </c>
      <c r="P2252" s="0" t="n">
        <f aca="true">RAND()</f>
        <v>0.915329284218715</v>
      </c>
      <c r="Q2252" s="0" t="n">
        <f aca="true">RAND()</f>
        <v>0.844600709641044</v>
      </c>
      <c r="R2252" s="0" t="n">
        <f aca="false">IF($I2252&lt;&gt;$O2252,0,IF(P2252&lt;Matchup!$B$39,7,IF(P2252&lt;Matchup!$B$39+Matchup!$B$40,3,0)))</f>
        <v>0</v>
      </c>
      <c r="S2252" s="0" t="n">
        <f aca="false">IF($I2252&lt;&gt;$O2252,0,IF(Q2252&lt;Matchup!$C$39,7,IF(Q2252&lt;Matchup!$C$39+Matchup!$C$40,3,0)))</f>
        <v>0</v>
      </c>
      <c r="T2252" s="0" t="n">
        <f aca="false">I2252+R2252</f>
        <v>24</v>
      </c>
      <c r="U2252" s="0" t="n">
        <f aca="false">O2252+S2252</f>
        <v>17</v>
      </c>
      <c r="V2252" s="0" t="n">
        <f aca="false">T2252-U2252</f>
        <v>7</v>
      </c>
      <c r="W2252" s="0" t="n">
        <f aca="false">T2252+U2252</f>
        <v>41</v>
      </c>
    </row>
    <row r="2253" customFormat="false" ht="15" hidden="false" customHeight="false" outlineLevel="0" collapsed="false">
      <c r="A2253" s="0" t="n">
        <v>2250</v>
      </c>
      <c r="B2253" s="0" t="n">
        <f aca="true">NORMINV(RAND(),1,Coefficients!$B$22)</f>
        <v>1.10613855844903</v>
      </c>
      <c r="C2253" s="0" t="n">
        <f aca="true">MEDIAN(8,16,ROUND(NORMINV(RAND(),Coefficients!$B$20,Coefficients!$B$21),0))</f>
        <v>12</v>
      </c>
      <c r="D2253" s="0" t="n">
        <f aca="true">CRITBINOM($C2253,MIN(0.75,Matchup!$B$39*$B2253),RAND())</f>
        <v>2</v>
      </c>
      <c r="E2253" s="0" t="n">
        <f aca="true">CRITBINOM(D2253,Coefficients!$B$30,RAND())</f>
        <v>0</v>
      </c>
      <c r="F2253" s="0" t="n">
        <f aca="true">CRITBINOM(E2253,Coefficients!$B$31,RAND())</f>
        <v>0</v>
      </c>
      <c r="G2253" s="0" t="n">
        <f aca="true">CRITBINOM(MAX(0,D2253-E2253),1-Coefficients!$B$32,RAND())</f>
        <v>0</v>
      </c>
      <c r="H2253" s="0" t="n">
        <f aca="true">CRITBINOM(MAX(0,$C2253-D2253),MIN(0.6,Matchup!$B$40*SQRT($B2253)/(1-MIN(0.75,Matchup!$B$39*$B2253))),RAND())</f>
        <v>2</v>
      </c>
      <c r="I2253" s="0" t="n">
        <f aca="false">6*D2253+(D2253-E2253-G2253)+2*F2253+3*H2253</f>
        <v>20</v>
      </c>
      <c r="J2253" s="0" t="n">
        <f aca="true">CRITBINOM($C2253,MIN(0.75,Matchup!$C$39*$B2253),RAND())</f>
        <v>4</v>
      </c>
      <c r="K2253" s="0" t="n">
        <f aca="true">CRITBINOM(J2253,Coefficients!$B$30,RAND())</f>
        <v>0</v>
      </c>
      <c r="L2253" s="0" t="n">
        <f aca="true">CRITBINOM(K2253,Coefficients!$B$31,RAND())</f>
        <v>0</v>
      </c>
      <c r="M2253" s="0" t="n">
        <f aca="true">CRITBINOM(MAX(0,J2253-K2253),1-Coefficients!$B$32,RAND())</f>
        <v>0</v>
      </c>
      <c r="N2253" s="0" t="n">
        <f aca="true">CRITBINOM(MAX(0,$C2253-J2253),MIN(0.6,Matchup!$C$40*SQRT($B2253)/(1-MIN(0.75,Matchup!$C$39*$B2253))),RAND())</f>
        <v>1</v>
      </c>
      <c r="O2253" s="0" t="n">
        <f aca="false">6*J2253+(J2253-K2253-M2253)+2*L2253+3*N2253</f>
        <v>31</v>
      </c>
      <c r="P2253" s="0" t="n">
        <f aca="true">RAND()</f>
        <v>0.27471650095196</v>
      </c>
      <c r="Q2253" s="0" t="n">
        <f aca="true">RAND()</f>
        <v>0.975409596414001</v>
      </c>
      <c r="R2253" s="0" t="n">
        <f aca="false">IF($I2253&lt;&gt;$O2253,0,IF(P2253&lt;Matchup!$B$39,7,IF(P2253&lt;Matchup!$B$39+Matchup!$B$40,3,0)))</f>
        <v>0</v>
      </c>
      <c r="S2253" s="0" t="n">
        <f aca="false">IF($I2253&lt;&gt;$O2253,0,IF(Q2253&lt;Matchup!$C$39,7,IF(Q2253&lt;Matchup!$C$39+Matchup!$C$40,3,0)))</f>
        <v>0</v>
      </c>
      <c r="T2253" s="0" t="n">
        <f aca="false">I2253+R2253</f>
        <v>20</v>
      </c>
      <c r="U2253" s="0" t="n">
        <f aca="false">O2253+S2253</f>
        <v>31</v>
      </c>
      <c r="V2253" s="0" t="n">
        <f aca="false">T2253-U2253</f>
        <v>-11</v>
      </c>
      <c r="W2253" s="0" t="n">
        <f aca="false">T2253+U2253</f>
        <v>51</v>
      </c>
    </row>
    <row r="2254" customFormat="false" ht="15" hidden="false" customHeight="false" outlineLevel="0" collapsed="false">
      <c r="A2254" s="0" t="n">
        <v>2251</v>
      </c>
      <c r="B2254" s="0" t="n">
        <f aca="true">NORMINV(RAND(),1,Coefficients!$B$22)</f>
        <v>1.02552029953364</v>
      </c>
      <c r="C2254" s="0" t="n">
        <f aca="true">MEDIAN(8,16,ROUND(NORMINV(RAND(),Coefficients!$B$20,Coefficients!$B$21),0))</f>
        <v>10</v>
      </c>
      <c r="D2254" s="0" t="n">
        <f aca="true">CRITBINOM($C2254,MIN(0.75,Matchup!$B$39*$B2254),RAND())</f>
        <v>5</v>
      </c>
      <c r="E2254" s="0" t="n">
        <f aca="true">CRITBINOM(D2254,Coefficients!$B$30,RAND())</f>
        <v>1</v>
      </c>
      <c r="F2254" s="0" t="n">
        <f aca="true">CRITBINOM(E2254,Coefficients!$B$31,RAND())</f>
        <v>1</v>
      </c>
      <c r="G2254" s="0" t="n">
        <f aca="true">CRITBINOM(MAX(0,D2254-E2254),1-Coefficients!$B$32,RAND())</f>
        <v>0</v>
      </c>
      <c r="H2254" s="0" t="n">
        <f aca="true">CRITBINOM(MAX(0,$C2254-D2254),MIN(0.6,Matchup!$B$40*SQRT($B2254)/(1-MIN(0.75,Matchup!$B$39*$B2254))),RAND())</f>
        <v>2</v>
      </c>
      <c r="I2254" s="0" t="n">
        <f aca="false">6*D2254+(D2254-E2254-G2254)+2*F2254+3*H2254</f>
        <v>42</v>
      </c>
      <c r="J2254" s="0" t="n">
        <f aca="true">CRITBINOM($C2254,MIN(0.75,Matchup!$C$39*$B2254),RAND())</f>
        <v>0</v>
      </c>
      <c r="K2254" s="0" t="n">
        <f aca="true">CRITBINOM(J2254,Coefficients!$B$30,RAND())</f>
        <v>0</v>
      </c>
      <c r="L2254" s="0" t="n">
        <f aca="true">CRITBINOM(K2254,Coefficients!$B$31,RAND())</f>
        <v>0</v>
      </c>
      <c r="M2254" s="0" t="n">
        <f aca="true">CRITBINOM(MAX(0,J2254-K2254),1-Coefficients!$B$32,RAND())</f>
        <v>0</v>
      </c>
      <c r="N2254" s="0" t="n">
        <f aca="true">CRITBINOM(MAX(0,$C2254-J2254),MIN(0.6,Matchup!$C$40*SQRT($B2254)/(1-MIN(0.75,Matchup!$C$39*$B2254))),RAND())</f>
        <v>3</v>
      </c>
      <c r="O2254" s="0" t="n">
        <f aca="false">6*J2254+(J2254-K2254-M2254)+2*L2254+3*N2254</f>
        <v>9</v>
      </c>
      <c r="P2254" s="0" t="n">
        <f aca="true">RAND()</f>
        <v>0.391344001996012</v>
      </c>
      <c r="Q2254" s="0" t="n">
        <f aca="true">RAND()</f>
        <v>0.420242720705424</v>
      </c>
      <c r="R2254" s="0" t="n">
        <f aca="false">IF($I2254&lt;&gt;$O2254,0,IF(P2254&lt;Matchup!$B$39,7,IF(P2254&lt;Matchup!$B$39+Matchup!$B$40,3,0)))</f>
        <v>0</v>
      </c>
      <c r="S2254" s="0" t="n">
        <f aca="false">IF($I2254&lt;&gt;$O2254,0,IF(Q2254&lt;Matchup!$C$39,7,IF(Q2254&lt;Matchup!$C$39+Matchup!$C$40,3,0)))</f>
        <v>0</v>
      </c>
      <c r="T2254" s="0" t="n">
        <f aca="false">I2254+R2254</f>
        <v>42</v>
      </c>
      <c r="U2254" s="0" t="n">
        <f aca="false">O2254+S2254</f>
        <v>9</v>
      </c>
      <c r="V2254" s="0" t="n">
        <f aca="false">T2254-U2254</f>
        <v>33</v>
      </c>
      <c r="W2254" s="0" t="n">
        <f aca="false">T2254+U2254</f>
        <v>51</v>
      </c>
    </row>
    <row r="2255" customFormat="false" ht="15" hidden="false" customHeight="false" outlineLevel="0" collapsed="false">
      <c r="A2255" s="0" t="n">
        <v>2252</v>
      </c>
      <c r="B2255" s="0" t="n">
        <f aca="true">NORMINV(RAND(),1,Coefficients!$B$22)</f>
        <v>0.924335312250488</v>
      </c>
      <c r="C2255" s="0" t="n">
        <f aca="true">MEDIAN(8,16,ROUND(NORMINV(RAND(),Coefficients!$B$20,Coefficients!$B$21),0))</f>
        <v>11</v>
      </c>
      <c r="D2255" s="0" t="n">
        <f aca="true">CRITBINOM($C2255,MIN(0.75,Matchup!$B$39*$B2255),RAND())</f>
        <v>3</v>
      </c>
      <c r="E2255" s="0" t="n">
        <f aca="true">CRITBINOM(D2255,Coefficients!$B$30,RAND())</f>
        <v>0</v>
      </c>
      <c r="F2255" s="0" t="n">
        <f aca="true">CRITBINOM(E2255,Coefficients!$B$31,RAND())</f>
        <v>0</v>
      </c>
      <c r="G2255" s="0" t="n">
        <f aca="true">CRITBINOM(MAX(0,D2255-E2255),1-Coefficients!$B$32,RAND())</f>
        <v>0</v>
      </c>
      <c r="H2255" s="0" t="n">
        <f aca="true">CRITBINOM(MAX(0,$C2255-D2255),MIN(0.6,Matchup!$B$40*SQRT($B2255)/(1-MIN(0.75,Matchup!$B$39*$B2255))),RAND())</f>
        <v>1</v>
      </c>
      <c r="I2255" s="0" t="n">
        <f aca="false">6*D2255+(D2255-E2255-G2255)+2*F2255+3*H2255</f>
        <v>24</v>
      </c>
      <c r="J2255" s="0" t="n">
        <f aca="true">CRITBINOM($C2255,MIN(0.75,Matchup!$C$39*$B2255),RAND())</f>
        <v>2</v>
      </c>
      <c r="K2255" s="0" t="n">
        <f aca="true">CRITBINOM(J2255,Coefficients!$B$30,RAND())</f>
        <v>0</v>
      </c>
      <c r="L2255" s="0" t="n">
        <f aca="true">CRITBINOM(K2255,Coefficients!$B$31,RAND())</f>
        <v>0</v>
      </c>
      <c r="M2255" s="0" t="n">
        <f aca="true">CRITBINOM(MAX(0,J2255-K2255),1-Coefficients!$B$32,RAND())</f>
        <v>0</v>
      </c>
      <c r="N2255" s="0" t="n">
        <f aca="true">CRITBINOM(MAX(0,$C2255-J2255),MIN(0.6,Matchup!$C$40*SQRT($B2255)/(1-MIN(0.75,Matchup!$C$39*$B2255))),RAND())</f>
        <v>3</v>
      </c>
      <c r="O2255" s="0" t="n">
        <f aca="false">6*J2255+(J2255-K2255-M2255)+2*L2255+3*N2255</f>
        <v>23</v>
      </c>
      <c r="P2255" s="0" t="n">
        <f aca="true">RAND()</f>
        <v>0.236281607565669</v>
      </c>
      <c r="Q2255" s="0" t="n">
        <f aca="true">RAND()</f>
        <v>0.851886638192596</v>
      </c>
      <c r="R2255" s="0" t="n">
        <f aca="false">IF($I2255&lt;&gt;$O2255,0,IF(P2255&lt;Matchup!$B$39,7,IF(P2255&lt;Matchup!$B$39+Matchup!$B$40,3,0)))</f>
        <v>0</v>
      </c>
      <c r="S2255" s="0" t="n">
        <f aca="false">IF($I2255&lt;&gt;$O2255,0,IF(Q2255&lt;Matchup!$C$39,7,IF(Q2255&lt;Matchup!$C$39+Matchup!$C$40,3,0)))</f>
        <v>0</v>
      </c>
      <c r="T2255" s="0" t="n">
        <f aca="false">I2255+R2255</f>
        <v>24</v>
      </c>
      <c r="U2255" s="0" t="n">
        <f aca="false">O2255+S2255</f>
        <v>23</v>
      </c>
      <c r="V2255" s="0" t="n">
        <f aca="false">T2255-U2255</f>
        <v>1</v>
      </c>
      <c r="W2255" s="0" t="n">
        <f aca="false">T2255+U2255</f>
        <v>47</v>
      </c>
    </row>
    <row r="2256" customFormat="false" ht="15" hidden="false" customHeight="false" outlineLevel="0" collapsed="false">
      <c r="A2256" s="0" t="n">
        <v>2253</v>
      </c>
      <c r="B2256" s="0" t="n">
        <f aca="true">NORMINV(RAND(),1,Coefficients!$B$22)</f>
        <v>1.06065787903784</v>
      </c>
      <c r="C2256" s="0" t="n">
        <f aca="true">MEDIAN(8,16,ROUND(NORMINV(RAND(),Coefficients!$B$20,Coefficients!$B$21),0))</f>
        <v>12</v>
      </c>
      <c r="D2256" s="0" t="n">
        <f aca="true">CRITBINOM($C2256,MIN(0.75,Matchup!$B$39*$B2256),RAND())</f>
        <v>2</v>
      </c>
      <c r="E2256" s="0" t="n">
        <f aca="true">CRITBINOM(D2256,Coefficients!$B$30,RAND())</f>
        <v>0</v>
      </c>
      <c r="F2256" s="0" t="n">
        <f aca="true">CRITBINOM(E2256,Coefficients!$B$31,RAND())</f>
        <v>0</v>
      </c>
      <c r="G2256" s="0" t="n">
        <f aca="true">CRITBINOM(MAX(0,D2256-E2256),1-Coefficients!$B$32,RAND())</f>
        <v>0</v>
      </c>
      <c r="H2256" s="0" t="n">
        <f aca="true">CRITBINOM(MAX(0,$C2256-D2256),MIN(0.6,Matchup!$B$40*SQRT($B2256)/(1-MIN(0.75,Matchup!$B$39*$B2256))),RAND())</f>
        <v>3</v>
      </c>
      <c r="I2256" s="0" t="n">
        <f aca="false">6*D2256+(D2256-E2256-G2256)+2*F2256+3*H2256</f>
        <v>23</v>
      </c>
      <c r="J2256" s="0" t="n">
        <f aca="true">CRITBINOM($C2256,MIN(0.75,Matchup!$C$39*$B2256),RAND())</f>
        <v>2</v>
      </c>
      <c r="K2256" s="0" t="n">
        <f aca="true">CRITBINOM(J2256,Coefficients!$B$30,RAND())</f>
        <v>0</v>
      </c>
      <c r="L2256" s="0" t="n">
        <f aca="true">CRITBINOM(K2256,Coefficients!$B$31,RAND())</f>
        <v>0</v>
      </c>
      <c r="M2256" s="0" t="n">
        <f aca="true">CRITBINOM(MAX(0,J2256-K2256),1-Coefficients!$B$32,RAND())</f>
        <v>0</v>
      </c>
      <c r="N2256" s="0" t="n">
        <f aca="true">CRITBINOM(MAX(0,$C2256-J2256),MIN(0.6,Matchup!$C$40*SQRT($B2256)/(1-MIN(0.75,Matchup!$C$39*$B2256))),RAND())</f>
        <v>1</v>
      </c>
      <c r="O2256" s="0" t="n">
        <f aca="false">6*J2256+(J2256-K2256-M2256)+2*L2256+3*N2256</f>
        <v>17</v>
      </c>
      <c r="P2256" s="0" t="n">
        <f aca="true">RAND()</f>
        <v>0.626792542536509</v>
      </c>
      <c r="Q2256" s="0" t="n">
        <f aca="true">RAND()</f>
        <v>0.684065436112906</v>
      </c>
      <c r="R2256" s="0" t="n">
        <f aca="false">IF($I2256&lt;&gt;$O2256,0,IF(P2256&lt;Matchup!$B$39,7,IF(P2256&lt;Matchup!$B$39+Matchup!$B$40,3,0)))</f>
        <v>0</v>
      </c>
      <c r="S2256" s="0" t="n">
        <f aca="false">IF($I2256&lt;&gt;$O2256,0,IF(Q2256&lt;Matchup!$C$39,7,IF(Q2256&lt;Matchup!$C$39+Matchup!$C$40,3,0)))</f>
        <v>0</v>
      </c>
      <c r="T2256" s="0" t="n">
        <f aca="false">I2256+R2256</f>
        <v>23</v>
      </c>
      <c r="U2256" s="0" t="n">
        <f aca="false">O2256+S2256</f>
        <v>17</v>
      </c>
      <c r="V2256" s="0" t="n">
        <f aca="false">T2256-U2256</f>
        <v>6</v>
      </c>
      <c r="W2256" s="0" t="n">
        <f aca="false">T2256+U2256</f>
        <v>40</v>
      </c>
    </row>
    <row r="2257" customFormat="false" ht="15" hidden="false" customHeight="false" outlineLevel="0" collapsed="false">
      <c r="A2257" s="0" t="n">
        <v>2254</v>
      </c>
      <c r="B2257" s="0" t="n">
        <f aca="true">NORMINV(RAND(),1,Coefficients!$B$22)</f>
        <v>1.07485953456843</v>
      </c>
      <c r="C2257" s="0" t="n">
        <f aca="true">MEDIAN(8,16,ROUND(NORMINV(RAND(),Coefficients!$B$20,Coefficients!$B$21),0))</f>
        <v>14</v>
      </c>
      <c r="D2257" s="0" t="n">
        <f aca="true">CRITBINOM($C2257,MIN(0.75,Matchup!$B$39*$B2257),RAND())</f>
        <v>3</v>
      </c>
      <c r="E2257" s="0" t="n">
        <f aca="true">CRITBINOM(D2257,Coefficients!$B$30,RAND())</f>
        <v>1</v>
      </c>
      <c r="F2257" s="0" t="n">
        <f aca="true">CRITBINOM(E2257,Coefficients!$B$31,RAND())</f>
        <v>0</v>
      </c>
      <c r="G2257" s="0" t="n">
        <f aca="true">CRITBINOM(MAX(0,D2257-E2257),1-Coefficients!$B$32,RAND())</f>
        <v>0</v>
      </c>
      <c r="H2257" s="0" t="n">
        <f aca="true">CRITBINOM(MAX(0,$C2257-D2257),MIN(0.6,Matchup!$B$40*SQRT($B2257)/(1-MIN(0.75,Matchup!$B$39*$B2257))),RAND())</f>
        <v>2</v>
      </c>
      <c r="I2257" s="0" t="n">
        <f aca="false">6*D2257+(D2257-E2257-G2257)+2*F2257+3*H2257</f>
        <v>26</v>
      </c>
      <c r="J2257" s="0" t="n">
        <f aca="true">CRITBINOM($C2257,MIN(0.75,Matchup!$C$39*$B2257),RAND())</f>
        <v>3</v>
      </c>
      <c r="K2257" s="0" t="n">
        <f aca="true">CRITBINOM(J2257,Coefficients!$B$30,RAND())</f>
        <v>0</v>
      </c>
      <c r="L2257" s="0" t="n">
        <f aca="true">CRITBINOM(K2257,Coefficients!$B$31,RAND())</f>
        <v>0</v>
      </c>
      <c r="M2257" s="0" t="n">
        <f aca="true">CRITBINOM(MAX(0,J2257-K2257),1-Coefficients!$B$32,RAND())</f>
        <v>0</v>
      </c>
      <c r="N2257" s="0" t="n">
        <f aca="true">CRITBINOM(MAX(0,$C2257-J2257),MIN(0.6,Matchup!$C$40*SQRT($B2257)/(1-MIN(0.75,Matchup!$C$39*$B2257))),RAND())</f>
        <v>2</v>
      </c>
      <c r="O2257" s="0" t="n">
        <f aca="false">6*J2257+(J2257-K2257-M2257)+2*L2257+3*N2257</f>
        <v>27</v>
      </c>
      <c r="P2257" s="0" t="n">
        <f aca="true">RAND()</f>
        <v>0.847254274543559</v>
      </c>
      <c r="Q2257" s="0" t="n">
        <f aca="true">RAND()</f>
        <v>0.490599155209801</v>
      </c>
      <c r="R2257" s="0" t="n">
        <f aca="false">IF($I2257&lt;&gt;$O2257,0,IF(P2257&lt;Matchup!$B$39,7,IF(P2257&lt;Matchup!$B$39+Matchup!$B$40,3,0)))</f>
        <v>0</v>
      </c>
      <c r="S2257" s="0" t="n">
        <f aca="false">IF($I2257&lt;&gt;$O2257,0,IF(Q2257&lt;Matchup!$C$39,7,IF(Q2257&lt;Matchup!$C$39+Matchup!$C$40,3,0)))</f>
        <v>0</v>
      </c>
      <c r="T2257" s="0" t="n">
        <f aca="false">I2257+R2257</f>
        <v>26</v>
      </c>
      <c r="U2257" s="0" t="n">
        <f aca="false">O2257+S2257</f>
        <v>27</v>
      </c>
      <c r="V2257" s="0" t="n">
        <f aca="false">T2257-U2257</f>
        <v>-1</v>
      </c>
      <c r="W2257" s="0" t="n">
        <f aca="false">T2257+U2257</f>
        <v>53</v>
      </c>
    </row>
    <row r="2258" customFormat="false" ht="15" hidden="false" customHeight="false" outlineLevel="0" collapsed="false">
      <c r="A2258" s="0" t="n">
        <v>2255</v>
      </c>
      <c r="B2258" s="0" t="n">
        <f aca="true">NORMINV(RAND(),1,Coefficients!$B$22)</f>
        <v>0.941966248974854</v>
      </c>
      <c r="C2258" s="0" t="n">
        <f aca="true">MEDIAN(8,16,ROUND(NORMINV(RAND(),Coefficients!$B$20,Coefficients!$B$21),0))</f>
        <v>14</v>
      </c>
      <c r="D2258" s="0" t="n">
        <f aca="true">CRITBINOM($C2258,MIN(0.75,Matchup!$B$39*$B2258),RAND())</f>
        <v>4</v>
      </c>
      <c r="E2258" s="0" t="n">
        <f aca="true">CRITBINOM(D2258,Coefficients!$B$30,RAND())</f>
        <v>0</v>
      </c>
      <c r="F2258" s="0" t="n">
        <f aca="true">CRITBINOM(E2258,Coefficients!$B$31,RAND())</f>
        <v>0</v>
      </c>
      <c r="G2258" s="0" t="n">
        <f aca="true">CRITBINOM(MAX(0,D2258-E2258),1-Coefficients!$B$32,RAND())</f>
        <v>1</v>
      </c>
      <c r="H2258" s="0" t="n">
        <f aca="true">CRITBINOM(MAX(0,$C2258-D2258),MIN(0.6,Matchup!$B$40*SQRT($B2258)/(1-MIN(0.75,Matchup!$B$39*$B2258))),RAND())</f>
        <v>1</v>
      </c>
      <c r="I2258" s="0" t="n">
        <f aca="false">6*D2258+(D2258-E2258-G2258)+2*F2258+3*H2258</f>
        <v>30</v>
      </c>
      <c r="J2258" s="0" t="n">
        <f aca="true">CRITBINOM($C2258,MIN(0.75,Matchup!$C$39*$B2258),RAND())</f>
        <v>2</v>
      </c>
      <c r="K2258" s="0" t="n">
        <f aca="true">CRITBINOM(J2258,Coefficients!$B$30,RAND())</f>
        <v>1</v>
      </c>
      <c r="L2258" s="0" t="n">
        <f aca="true">CRITBINOM(K2258,Coefficients!$B$31,RAND())</f>
        <v>0</v>
      </c>
      <c r="M2258" s="0" t="n">
        <f aca="true">CRITBINOM(MAX(0,J2258-K2258),1-Coefficients!$B$32,RAND())</f>
        <v>0</v>
      </c>
      <c r="N2258" s="0" t="n">
        <f aca="true">CRITBINOM(MAX(0,$C2258-J2258),MIN(0.6,Matchup!$C$40*SQRT($B2258)/(1-MIN(0.75,Matchup!$C$39*$B2258))),RAND())</f>
        <v>1</v>
      </c>
      <c r="O2258" s="0" t="n">
        <f aca="false">6*J2258+(J2258-K2258-M2258)+2*L2258+3*N2258</f>
        <v>16</v>
      </c>
      <c r="P2258" s="0" t="n">
        <f aca="true">RAND()</f>
        <v>0.199827527595129</v>
      </c>
      <c r="Q2258" s="0" t="n">
        <f aca="true">RAND()</f>
        <v>0.34347461115302</v>
      </c>
      <c r="R2258" s="0" t="n">
        <f aca="false">IF($I2258&lt;&gt;$O2258,0,IF(P2258&lt;Matchup!$B$39,7,IF(P2258&lt;Matchup!$B$39+Matchup!$B$40,3,0)))</f>
        <v>0</v>
      </c>
      <c r="S2258" s="0" t="n">
        <f aca="false">IF($I2258&lt;&gt;$O2258,0,IF(Q2258&lt;Matchup!$C$39,7,IF(Q2258&lt;Matchup!$C$39+Matchup!$C$40,3,0)))</f>
        <v>0</v>
      </c>
      <c r="T2258" s="0" t="n">
        <f aca="false">I2258+R2258</f>
        <v>30</v>
      </c>
      <c r="U2258" s="0" t="n">
        <f aca="false">O2258+S2258</f>
        <v>16</v>
      </c>
      <c r="V2258" s="0" t="n">
        <f aca="false">T2258-U2258</f>
        <v>14</v>
      </c>
      <c r="W2258" s="0" t="n">
        <f aca="false">T2258+U2258</f>
        <v>46</v>
      </c>
    </row>
    <row r="2259" customFormat="false" ht="15" hidden="false" customHeight="false" outlineLevel="0" collapsed="false">
      <c r="A2259" s="0" t="n">
        <v>2256</v>
      </c>
      <c r="B2259" s="0" t="n">
        <f aca="true">NORMINV(RAND(),1,Coefficients!$B$22)</f>
        <v>0.993656809326673</v>
      </c>
      <c r="C2259" s="0" t="n">
        <f aca="true">MEDIAN(8,16,ROUND(NORMINV(RAND(),Coefficients!$B$20,Coefficients!$B$21),0))</f>
        <v>10</v>
      </c>
      <c r="D2259" s="0" t="n">
        <f aca="true">CRITBINOM($C2259,MIN(0.75,Matchup!$B$39*$B2259),RAND())</f>
        <v>2</v>
      </c>
      <c r="E2259" s="0" t="n">
        <f aca="true">CRITBINOM(D2259,Coefficients!$B$30,RAND())</f>
        <v>0</v>
      </c>
      <c r="F2259" s="0" t="n">
        <f aca="true">CRITBINOM(E2259,Coefficients!$B$31,RAND())</f>
        <v>0</v>
      </c>
      <c r="G2259" s="0" t="n">
        <f aca="true">CRITBINOM(MAX(0,D2259-E2259),1-Coefficients!$B$32,RAND())</f>
        <v>0</v>
      </c>
      <c r="H2259" s="0" t="n">
        <f aca="true">CRITBINOM(MAX(0,$C2259-D2259),MIN(0.6,Matchup!$B$40*SQRT($B2259)/(1-MIN(0.75,Matchup!$B$39*$B2259))),RAND())</f>
        <v>1</v>
      </c>
      <c r="I2259" s="0" t="n">
        <f aca="false">6*D2259+(D2259-E2259-G2259)+2*F2259+3*H2259</f>
        <v>17</v>
      </c>
      <c r="J2259" s="0" t="n">
        <f aca="true">CRITBINOM($C2259,MIN(0.75,Matchup!$C$39*$B2259),RAND())</f>
        <v>2</v>
      </c>
      <c r="K2259" s="0" t="n">
        <f aca="true">CRITBINOM(J2259,Coefficients!$B$30,RAND())</f>
        <v>1</v>
      </c>
      <c r="L2259" s="0" t="n">
        <f aca="true">CRITBINOM(K2259,Coefficients!$B$31,RAND())</f>
        <v>1</v>
      </c>
      <c r="M2259" s="0" t="n">
        <f aca="true">CRITBINOM(MAX(0,J2259-K2259),1-Coefficients!$B$32,RAND())</f>
        <v>0</v>
      </c>
      <c r="N2259" s="0" t="n">
        <f aca="true">CRITBINOM(MAX(0,$C2259-J2259),MIN(0.6,Matchup!$C$40*SQRT($B2259)/(1-MIN(0.75,Matchup!$C$39*$B2259))),RAND())</f>
        <v>1</v>
      </c>
      <c r="O2259" s="0" t="n">
        <f aca="false">6*J2259+(J2259-K2259-M2259)+2*L2259+3*N2259</f>
        <v>18</v>
      </c>
      <c r="P2259" s="0" t="n">
        <f aca="true">RAND()</f>
        <v>0.352586192932373</v>
      </c>
      <c r="Q2259" s="0" t="n">
        <f aca="true">RAND()</f>
        <v>0.89163602714463</v>
      </c>
      <c r="R2259" s="0" t="n">
        <f aca="false">IF($I2259&lt;&gt;$O2259,0,IF(P2259&lt;Matchup!$B$39,7,IF(P2259&lt;Matchup!$B$39+Matchup!$B$40,3,0)))</f>
        <v>0</v>
      </c>
      <c r="S2259" s="0" t="n">
        <f aca="false">IF($I2259&lt;&gt;$O2259,0,IF(Q2259&lt;Matchup!$C$39,7,IF(Q2259&lt;Matchup!$C$39+Matchup!$C$40,3,0)))</f>
        <v>0</v>
      </c>
      <c r="T2259" s="0" t="n">
        <f aca="false">I2259+R2259</f>
        <v>17</v>
      </c>
      <c r="U2259" s="0" t="n">
        <f aca="false">O2259+S2259</f>
        <v>18</v>
      </c>
      <c r="V2259" s="0" t="n">
        <f aca="false">T2259-U2259</f>
        <v>-1</v>
      </c>
      <c r="W2259" s="0" t="n">
        <f aca="false">T2259+U2259</f>
        <v>35</v>
      </c>
    </row>
    <row r="2260" customFormat="false" ht="15" hidden="false" customHeight="false" outlineLevel="0" collapsed="false">
      <c r="A2260" s="0" t="n">
        <v>2257</v>
      </c>
      <c r="B2260" s="0" t="n">
        <f aca="true">NORMINV(RAND(),1,Coefficients!$B$22)</f>
        <v>1.01526585824558</v>
      </c>
      <c r="C2260" s="0" t="n">
        <f aca="true">MEDIAN(8,16,ROUND(NORMINV(RAND(),Coefficients!$B$20,Coefficients!$B$21),0))</f>
        <v>11</v>
      </c>
      <c r="D2260" s="0" t="n">
        <f aca="true">CRITBINOM($C2260,MIN(0.75,Matchup!$B$39*$B2260),RAND())</f>
        <v>3</v>
      </c>
      <c r="E2260" s="0" t="n">
        <f aca="true">CRITBINOM(D2260,Coefficients!$B$30,RAND())</f>
        <v>1</v>
      </c>
      <c r="F2260" s="0" t="n">
        <f aca="true">CRITBINOM(E2260,Coefficients!$B$31,RAND())</f>
        <v>0</v>
      </c>
      <c r="G2260" s="0" t="n">
        <f aca="true">CRITBINOM(MAX(0,D2260-E2260),1-Coefficients!$B$32,RAND())</f>
        <v>0</v>
      </c>
      <c r="H2260" s="0" t="n">
        <f aca="true">CRITBINOM(MAX(0,$C2260-D2260),MIN(0.6,Matchup!$B$40*SQRT($B2260)/(1-MIN(0.75,Matchup!$B$39*$B2260))),RAND())</f>
        <v>0</v>
      </c>
      <c r="I2260" s="0" t="n">
        <f aca="false">6*D2260+(D2260-E2260-G2260)+2*F2260+3*H2260</f>
        <v>20</v>
      </c>
      <c r="J2260" s="0" t="n">
        <f aca="true">CRITBINOM($C2260,MIN(0.75,Matchup!$C$39*$B2260),RAND())</f>
        <v>4</v>
      </c>
      <c r="K2260" s="0" t="n">
        <f aca="true">CRITBINOM(J2260,Coefficients!$B$30,RAND())</f>
        <v>1</v>
      </c>
      <c r="L2260" s="0" t="n">
        <f aca="true">CRITBINOM(K2260,Coefficients!$B$31,RAND())</f>
        <v>0</v>
      </c>
      <c r="M2260" s="0" t="n">
        <f aca="true">CRITBINOM(MAX(0,J2260-K2260),1-Coefficients!$B$32,RAND())</f>
        <v>0</v>
      </c>
      <c r="N2260" s="0" t="n">
        <f aca="true">CRITBINOM(MAX(0,$C2260-J2260),MIN(0.6,Matchup!$C$40*SQRT($B2260)/(1-MIN(0.75,Matchup!$C$39*$B2260))),RAND())</f>
        <v>0</v>
      </c>
      <c r="O2260" s="0" t="n">
        <f aca="false">6*J2260+(J2260-K2260-M2260)+2*L2260+3*N2260</f>
        <v>27</v>
      </c>
      <c r="P2260" s="0" t="n">
        <f aca="true">RAND()</f>
        <v>0.546992800889266</v>
      </c>
      <c r="Q2260" s="0" t="n">
        <f aca="true">RAND()</f>
        <v>0.745208145787754</v>
      </c>
      <c r="R2260" s="0" t="n">
        <f aca="false">IF($I2260&lt;&gt;$O2260,0,IF(P2260&lt;Matchup!$B$39,7,IF(P2260&lt;Matchup!$B$39+Matchup!$B$40,3,0)))</f>
        <v>0</v>
      </c>
      <c r="S2260" s="0" t="n">
        <f aca="false">IF($I2260&lt;&gt;$O2260,0,IF(Q2260&lt;Matchup!$C$39,7,IF(Q2260&lt;Matchup!$C$39+Matchup!$C$40,3,0)))</f>
        <v>0</v>
      </c>
      <c r="T2260" s="0" t="n">
        <f aca="false">I2260+R2260</f>
        <v>20</v>
      </c>
      <c r="U2260" s="0" t="n">
        <f aca="false">O2260+S2260</f>
        <v>27</v>
      </c>
      <c r="V2260" s="0" t="n">
        <f aca="false">T2260-U2260</f>
        <v>-7</v>
      </c>
      <c r="W2260" s="0" t="n">
        <f aca="false">T2260+U2260</f>
        <v>47</v>
      </c>
    </row>
    <row r="2261" customFormat="false" ht="15" hidden="false" customHeight="false" outlineLevel="0" collapsed="false">
      <c r="A2261" s="0" t="n">
        <v>2258</v>
      </c>
      <c r="B2261" s="0" t="n">
        <f aca="true">NORMINV(RAND(),1,Coefficients!$B$22)</f>
        <v>0.906441781291892</v>
      </c>
      <c r="C2261" s="0" t="n">
        <f aca="true">MEDIAN(8,16,ROUND(NORMINV(RAND(),Coefficients!$B$20,Coefficients!$B$21),0))</f>
        <v>12</v>
      </c>
      <c r="D2261" s="0" t="n">
        <f aca="true">CRITBINOM($C2261,MIN(0.75,Matchup!$B$39*$B2261),RAND())</f>
        <v>4</v>
      </c>
      <c r="E2261" s="0" t="n">
        <f aca="true">CRITBINOM(D2261,Coefficients!$B$30,RAND())</f>
        <v>0</v>
      </c>
      <c r="F2261" s="0" t="n">
        <f aca="true">CRITBINOM(E2261,Coefficients!$B$31,RAND())</f>
        <v>0</v>
      </c>
      <c r="G2261" s="0" t="n">
        <f aca="true">CRITBINOM(MAX(0,D2261-E2261),1-Coefficients!$B$32,RAND())</f>
        <v>1</v>
      </c>
      <c r="H2261" s="0" t="n">
        <f aca="true">CRITBINOM(MAX(0,$C2261-D2261),MIN(0.6,Matchup!$B$40*SQRT($B2261)/(1-MIN(0.75,Matchup!$B$39*$B2261))),RAND())</f>
        <v>2</v>
      </c>
      <c r="I2261" s="0" t="n">
        <f aca="false">6*D2261+(D2261-E2261-G2261)+2*F2261+3*H2261</f>
        <v>33</v>
      </c>
      <c r="J2261" s="0" t="n">
        <f aca="true">CRITBINOM($C2261,MIN(0.75,Matchup!$C$39*$B2261),RAND())</f>
        <v>2</v>
      </c>
      <c r="K2261" s="0" t="n">
        <f aca="true">CRITBINOM(J2261,Coefficients!$B$30,RAND())</f>
        <v>1</v>
      </c>
      <c r="L2261" s="0" t="n">
        <f aca="true">CRITBINOM(K2261,Coefficients!$B$31,RAND())</f>
        <v>0</v>
      </c>
      <c r="M2261" s="0" t="n">
        <f aca="true">CRITBINOM(MAX(0,J2261-K2261),1-Coefficients!$B$32,RAND())</f>
        <v>0</v>
      </c>
      <c r="N2261" s="0" t="n">
        <f aca="true">CRITBINOM(MAX(0,$C2261-J2261),MIN(0.6,Matchup!$C$40*SQRT($B2261)/(1-MIN(0.75,Matchup!$C$39*$B2261))),RAND())</f>
        <v>0</v>
      </c>
      <c r="O2261" s="0" t="n">
        <f aca="false">6*J2261+(J2261-K2261-M2261)+2*L2261+3*N2261</f>
        <v>13</v>
      </c>
      <c r="P2261" s="0" t="n">
        <f aca="true">RAND()</f>
        <v>0.723105167432385</v>
      </c>
      <c r="Q2261" s="0" t="n">
        <f aca="true">RAND()</f>
        <v>0.799118329016699</v>
      </c>
      <c r="R2261" s="0" t="n">
        <f aca="false">IF($I2261&lt;&gt;$O2261,0,IF(P2261&lt;Matchup!$B$39,7,IF(P2261&lt;Matchup!$B$39+Matchup!$B$40,3,0)))</f>
        <v>0</v>
      </c>
      <c r="S2261" s="0" t="n">
        <f aca="false">IF($I2261&lt;&gt;$O2261,0,IF(Q2261&lt;Matchup!$C$39,7,IF(Q2261&lt;Matchup!$C$39+Matchup!$C$40,3,0)))</f>
        <v>0</v>
      </c>
      <c r="T2261" s="0" t="n">
        <f aca="false">I2261+R2261</f>
        <v>33</v>
      </c>
      <c r="U2261" s="0" t="n">
        <f aca="false">O2261+S2261</f>
        <v>13</v>
      </c>
      <c r="V2261" s="0" t="n">
        <f aca="false">T2261-U2261</f>
        <v>20</v>
      </c>
      <c r="W2261" s="0" t="n">
        <f aca="false">T2261+U2261</f>
        <v>46</v>
      </c>
    </row>
    <row r="2262" customFormat="false" ht="15" hidden="false" customHeight="false" outlineLevel="0" collapsed="false">
      <c r="A2262" s="0" t="n">
        <v>2259</v>
      </c>
      <c r="B2262" s="0" t="n">
        <f aca="true">NORMINV(RAND(),1,Coefficients!$B$22)</f>
        <v>1.05475724317187</v>
      </c>
      <c r="C2262" s="0" t="n">
        <f aca="true">MEDIAN(8,16,ROUND(NORMINV(RAND(),Coefficients!$B$20,Coefficients!$B$21),0))</f>
        <v>13</v>
      </c>
      <c r="D2262" s="0" t="n">
        <f aca="true">CRITBINOM($C2262,MIN(0.75,Matchup!$B$39*$B2262),RAND())</f>
        <v>5</v>
      </c>
      <c r="E2262" s="0" t="n">
        <f aca="true">CRITBINOM(D2262,Coefficients!$B$30,RAND())</f>
        <v>0</v>
      </c>
      <c r="F2262" s="0" t="n">
        <f aca="true">CRITBINOM(E2262,Coefficients!$B$31,RAND())</f>
        <v>0</v>
      </c>
      <c r="G2262" s="0" t="n">
        <f aca="true">CRITBINOM(MAX(0,D2262-E2262),1-Coefficients!$B$32,RAND())</f>
        <v>0</v>
      </c>
      <c r="H2262" s="0" t="n">
        <f aca="true">CRITBINOM(MAX(0,$C2262-D2262),MIN(0.6,Matchup!$B$40*SQRT($B2262)/(1-MIN(0.75,Matchup!$B$39*$B2262))),RAND())</f>
        <v>4</v>
      </c>
      <c r="I2262" s="0" t="n">
        <f aca="false">6*D2262+(D2262-E2262-G2262)+2*F2262+3*H2262</f>
        <v>47</v>
      </c>
      <c r="J2262" s="0" t="n">
        <f aca="true">CRITBINOM($C2262,MIN(0.75,Matchup!$C$39*$B2262),RAND())</f>
        <v>2</v>
      </c>
      <c r="K2262" s="0" t="n">
        <f aca="true">CRITBINOM(J2262,Coefficients!$B$30,RAND())</f>
        <v>0</v>
      </c>
      <c r="L2262" s="0" t="n">
        <f aca="true">CRITBINOM(K2262,Coefficients!$B$31,RAND())</f>
        <v>0</v>
      </c>
      <c r="M2262" s="0" t="n">
        <f aca="true">CRITBINOM(MAX(0,J2262-K2262),1-Coefficients!$B$32,RAND())</f>
        <v>0</v>
      </c>
      <c r="N2262" s="0" t="n">
        <f aca="true">CRITBINOM(MAX(0,$C2262-J2262),MIN(0.6,Matchup!$C$40*SQRT($B2262)/(1-MIN(0.75,Matchup!$C$39*$B2262))),RAND())</f>
        <v>2</v>
      </c>
      <c r="O2262" s="0" t="n">
        <f aca="false">6*J2262+(J2262-K2262-M2262)+2*L2262+3*N2262</f>
        <v>20</v>
      </c>
      <c r="P2262" s="0" t="n">
        <f aca="true">RAND()</f>
        <v>0.540177231832949</v>
      </c>
      <c r="Q2262" s="0" t="n">
        <f aca="true">RAND()</f>
        <v>0.429160302849717</v>
      </c>
      <c r="R2262" s="0" t="n">
        <f aca="false">IF($I2262&lt;&gt;$O2262,0,IF(P2262&lt;Matchup!$B$39,7,IF(P2262&lt;Matchup!$B$39+Matchup!$B$40,3,0)))</f>
        <v>0</v>
      </c>
      <c r="S2262" s="0" t="n">
        <f aca="false">IF($I2262&lt;&gt;$O2262,0,IF(Q2262&lt;Matchup!$C$39,7,IF(Q2262&lt;Matchup!$C$39+Matchup!$C$40,3,0)))</f>
        <v>0</v>
      </c>
      <c r="T2262" s="0" t="n">
        <f aca="false">I2262+R2262</f>
        <v>47</v>
      </c>
      <c r="U2262" s="0" t="n">
        <f aca="false">O2262+S2262</f>
        <v>20</v>
      </c>
      <c r="V2262" s="0" t="n">
        <f aca="false">T2262-U2262</f>
        <v>27</v>
      </c>
      <c r="W2262" s="0" t="n">
        <f aca="false">T2262+U2262</f>
        <v>67</v>
      </c>
    </row>
    <row r="2263" customFormat="false" ht="15" hidden="false" customHeight="false" outlineLevel="0" collapsed="false">
      <c r="A2263" s="0" t="n">
        <v>2260</v>
      </c>
      <c r="B2263" s="0" t="n">
        <f aca="true">NORMINV(RAND(),1,Coefficients!$B$22)</f>
        <v>1.0086505168677</v>
      </c>
      <c r="C2263" s="0" t="n">
        <f aca="true">MEDIAN(8,16,ROUND(NORMINV(RAND(),Coefficients!$B$20,Coefficients!$B$21),0))</f>
        <v>11</v>
      </c>
      <c r="D2263" s="0" t="n">
        <f aca="true">CRITBINOM($C2263,MIN(0.75,Matchup!$B$39*$B2263),RAND())</f>
        <v>2</v>
      </c>
      <c r="E2263" s="0" t="n">
        <f aca="true">CRITBINOM(D2263,Coefficients!$B$30,RAND())</f>
        <v>0</v>
      </c>
      <c r="F2263" s="0" t="n">
        <f aca="true">CRITBINOM(E2263,Coefficients!$B$31,RAND())</f>
        <v>0</v>
      </c>
      <c r="G2263" s="0" t="n">
        <f aca="true">CRITBINOM(MAX(0,D2263-E2263),1-Coefficients!$B$32,RAND())</f>
        <v>0</v>
      </c>
      <c r="H2263" s="0" t="n">
        <f aca="true">CRITBINOM(MAX(0,$C2263-D2263),MIN(0.6,Matchup!$B$40*SQRT($B2263)/(1-MIN(0.75,Matchup!$B$39*$B2263))),RAND())</f>
        <v>2</v>
      </c>
      <c r="I2263" s="0" t="n">
        <f aca="false">6*D2263+(D2263-E2263-G2263)+2*F2263+3*H2263</f>
        <v>20</v>
      </c>
      <c r="J2263" s="0" t="n">
        <f aca="true">CRITBINOM($C2263,MIN(0.75,Matchup!$C$39*$B2263),RAND())</f>
        <v>0</v>
      </c>
      <c r="K2263" s="0" t="n">
        <f aca="true">CRITBINOM(J2263,Coefficients!$B$30,RAND())</f>
        <v>0</v>
      </c>
      <c r="L2263" s="0" t="n">
        <f aca="true">CRITBINOM(K2263,Coefficients!$B$31,RAND())</f>
        <v>0</v>
      </c>
      <c r="M2263" s="0" t="n">
        <f aca="true">CRITBINOM(MAX(0,J2263-K2263),1-Coefficients!$B$32,RAND())</f>
        <v>0</v>
      </c>
      <c r="N2263" s="0" t="n">
        <f aca="true">CRITBINOM(MAX(0,$C2263-J2263),MIN(0.6,Matchup!$C$40*SQRT($B2263)/(1-MIN(0.75,Matchup!$C$39*$B2263))),RAND())</f>
        <v>0</v>
      </c>
      <c r="O2263" s="0" t="n">
        <f aca="false">6*J2263+(J2263-K2263-M2263)+2*L2263+3*N2263</f>
        <v>0</v>
      </c>
      <c r="P2263" s="0" t="n">
        <f aca="true">RAND()</f>
        <v>0.479776387593093</v>
      </c>
      <c r="Q2263" s="0" t="n">
        <f aca="true">RAND()</f>
        <v>0.764436061889972</v>
      </c>
      <c r="R2263" s="0" t="n">
        <f aca="false">IF($I2263&lt;&gt;$O2263,0,IF(P2263&lt;Matchup!$B$39,7,IF(P2263&lt;Matchup!$B$39+Matchup!$B$40,3,0)))</f>
        <v>0</v>
      </c>
      <c r="S2263" s="0" t="n">
        <f aca="false">IF($I2263&lt;&gt;$O2263,0,IF(Q2263&lt;Matchup!$C$39,7,IF(Q2263&lt;Matchup!$C$39+Matchup!$C$40,3,0)))</f>
        <v>0</v>
      </c>
      <c r="T2263" s="0" t="n">
        <f aca="false">I2263+R2263</f>
        <v>20</v>
      </c>
      <c r="U2263" s="0" t="n">
        <f aca="false">O2263+S2263</f>
        <v>0</v>
      </c>
      <c r="V2263" s="0" t="n">
        <f aca="false">T2263-U2263</f>
        <v>20</v>
      </c>
      <c r="W2263" s="0" t="n">
        <f aca="false">T2263+U2263</f>
        <v>20</v>
      </c>
    </row>
    <row r="2264" customFormat="false" ht="15" hidden="false" customHeight="false" outlineLevel="0" collapsed="false">
      <c r="A2264" s="0" t="n">
        <v>2261</v>
      </c>
      <c r="B2264" s="0" t="n">
        <f aca="true">NORMINV(RAND(),1,Coefficients!$B$22)</f>
        <v>1.03935392738267</v>
      </c>
      <c r="C2264" s="0" t="n">
        <f aca="true">MEDIAN(8,16,ROUND(NORMINV(RAND(),Coefficients!$B$20,Coefficients!$B$21),0))</f>
        <v>11</v>
      </c>
      <c r="D2264" s="0" t="n">
        <f aca="true">CRITBINOM($C2264,MIN(0.75,Matchup!$B$39*$B2264),RAND())</f>
        <v>1</v>
      </c>
      <c r="E2264" s="0" t="n">
        <f aca="true">CRITBINOM(D2264,Coefficients!$B$30,RAND())</f>
        <v>0</v>
      </c>
      <c r="F2264" s="0" t="n">
        <f aca="true">CRITBINOM(E2264,Coefficients!$B$31,RAND())</f>
        <v>0</v>
      </c>
      <c r="G2264" s="0" t="n">
        <f aca="true">CRITBINOM(MAX(0,D2264-E2264),1-Coefficients!$B$32,RAND())</f>
        <v>0</v>
      </c>
      <c r="H2264" s="0" t="n">
        <f aca="true">CRITBINOM(MAX(0,$C2264-D2264),MIN(0.6,Matchup!$B$40*SQRT($B2264)/(1-MIN(0.75,Matchup!$B$39*$B2264))),RAND())</f>
        <v>0</v>
      </c>
      <c r="I2264" s="0" t="n">
        <f aca="false">6*D2264+(D2264-E2264-G2264)+2*F2264+3*H2264</f>
        <v>7</v>
      </c>
      <c r="J2264" s="0" t="n">
        <f aca="true">CRITBINOM($C2264,MIN(0.75,Matchup!$C$39*$B2264),RAND())</f>
        <v>1</v>
      </c>
      <c r="K2264" s="0" t="n">
        <f aca="true">CRITBINOM(J2264,Coefficients!$B$30,RAND())</f>
        <v>0</v>
      </c>
      <c r="L2264" s="0" t="n">
        <f aca="true">CRITBINOM(K2264,Coefficients!$B$31,RAND())</f>
        <v>0</v>
      </c>
      <c r="M2264" s="0" t="n">
        <f aca="true">CRITBINOM(MAX(0,J2264-K2264),1-Coefficients!$B$32,RAND())</f>
        <v>0</v>
      </c>
      <c r="N2264" s="0" t="n">
        <f aca="true">CRITBINOM(MAX(0,$C2264-J2264),MIN(0.6,Matchup!$C$40*SQRT($B2264)/(1-MIN(0.75,Matchup!$C$39*$B2264))),RAND())</f>
        <v>1</v>
      </c>
      <c r="O2264" s="0" t="n">
        <f aca="false">6*J2264+(J2264-K2264-M2264)+2*L2264+3*N2264</f>
        <v>10</v>
      </c>
      <c r="P2264" s="0" t="n">
        <f aca="true">RAND()</f>
        <v>0.406768206595784</v>
      </c>
      <c r="Q2264" s="0" t="n">
        <f aca="true">RAND()</f>
        <v>0.313533629439988</v>
      </c>
      <c r="R2264" s="0" t="n">
        <f aca="false">IF($I2264&lt;&gt;$O2264,0,IF(P2264&lt;Matchup!$B$39,7,IF(P2264&lt;Matchup!$B$39+Matchup!$B$40,3,0)))</f>
        <v>0</v>
      </c>
      <c r="S2264" s="0" t="n">
        <f aca="false">IF($I2264&lt;&gt;$O2264,0,IF(Q2264&lt;Matchup!$C$39,7,IF(Q2264&lt;Matchup!$C$39+Matchup!$C$40,3,0)))</f>
        <v>0</v>
      </c>
      <c r="T2264" s="0" t="n">
        <f aca="false">I2264+R2264</f>
        <v>7</v>
      </c>
      <c r="U2264" s="0" t="n">
        <f aca="false">O2264+S2264</f>
        <v>10</v>
      </c>
      <c r="V2264" s="0" t="n">
        <f aca="false">T2264-U2264</f>
        <v>-3</v>
      </c>
      <c r="W2264" s="0" t="n">
        <f aca="false">T2264+U2264</f>
        <v>17</v>
      </c>
    </row>
    <row r="2265" customFormat="false" ht="15" hidden="false" customHeight="false" outlineLevel="0" collapsed="false">
      <c r="A2265" s="0" t="n">
        <v>2262</v>
      </c>
      <c r="B2265" s="0" t="n">
        <f aca="true">NORMINV(RAND(),1,Coefficients!$B$22)</f>
        <v>1.07631678833838</v>
      </c>
      <c r="C2265" s="0" t="n">
        <f aca="true">MEDIAN(8,16,ROUND(NORMINV(RAND(),Coefficients!$B$20,Coefficients!$B$21),0))</f>
        <v>11</v>
      </c>
      <c r="D2265" s="0" t="n">
        <f aca="true">CRITBINOM($C2265,MIN(0.75,Matchup!$B$39*$B2265),RAND())</f>
        <v>5</v>
      </c>
      <c r="E2265" s="0" t="n">
        <f aca="true">CRITBINOM(D2265,Coefficients!$B$30,RAND())</f>
        <v>0</v>
      </c>
      <c r="F2265" s="0" t="n">
        <f aca="true">CRITBINOM(E2265,Coefficients!$B$31,RAND())</f>
        <v>0</v>
      </c>
      <c r="G2265" s="0" t="n">
        <f aca="true">CRITBINOM(MAX(0,D2265-E2265),1-Coefficients!$B$32,RAND())</f>
        <v>1</v>
      </c>
      <c r="H2265" s="0" t="n">
        <f aca="true">CRITBINOM(MAX(0,$C2265-D2265),MIN(0.6,Matchup!$B$40*SQRT($B2265)/(1-MIN(0.75,Matchup!$B$39*$B2265))),RAND())</f>
        <v>1</v>
      </c>
      <c r="I2265" s="0" t="n">
        <f aca="false">6*D2265+(D2265-E2265-G2265)+2*F2265+3*H2265</f>
        <v>37</v>
      </c>
      <c r="J2265" s="0" t="n">
        <f aca="true">CRITBINOM($C2265,MIN(0.75,Matchup!$C$39*$B2265),RAND())</f>
        <v>5</v>
      </c>
      <c r="K2265" s="0" t="n">
        <f aca="true">CRITBINOM(J2265,Coefficients!$B$30,RAND())</f>
        <v>0</v>
      </c>
      <c r="L2265" s="0" t="n">
        <f aca="true">CRITBINOM(K2265,Coefficients!$B$31,RAND())</f>
        <v>0</v>
      </c>
      <c r="M2265" s="0" t="n">
        <f aca="true">CRITBINOM(MAX(0,J2265-K2265),1-Coefficients!$B$32,RAND())</f>
        <v>0</v>
      </c>
      <c r="N2265" s="0" t="n">
        <f aca="true">CRITBINOM(MAX(0,$C2265-J2265),MIN(0.6,Matchup!$C$40*SQRT($B2265)/(1-MIN(0.75,Matchup!$C$39*$B2265))),RAND())</f>
        <v>1</v>
      </c>
      <c r="O2265" s="0" t="n">
        <f aca="false">6*J2265+(J2265-K2265-M2265)+2*L2265+3*N2265</f>
        <v>38</v>
      </c>
      <c r="P2265" s="0" t="n">
        <f aca="true">RAND()</f>
        <v>0.747589996570454</v>
      </c>
      <c r="Q2265" s="0" t="n">
        <f aca="true">RAND()</f>
        <v>0.487674540675693</v>
      </c>
      <c r="R2265" s="0" t="n">
        <f aca="false">IF($I2265&lt;&gt;$O2265,0,IF(P2265&lt;Matchup!$B$39,7,IF(P2265&lt;Matchup!$B$39+Matchup!$B$40,3,0)))</f>
        <v>0</v>
      </c>
      <c r="S2265" s="0" t="n">
        <f aca="false">IF($I2265&lt;&gt;$O2265,0,IF(Q2265&lt;Matchup!$C$39,7,IF(Q2265&lt;Matchup!$C$39+Matchup!$C$40,3,0)))</f>
        <v>0</v>
      </c>
      <c r="T2265" s="0" t="n">
        <f aca="false">I2265+R2265</f>
        <v>37</v>
      </c>
      <c r="U2265" s="0" t="n">
        <f aca="false">O2265+S2265</f>
        <v>38</v>
      </c>
      <c r="V2265" s="0" t="n">
        <f aca="false">T2265-U2265</f>
        <v>-1</v>
      </c>
      <c r="W2265" s="0" t="n">
        <f aca="false">T2265+U2265</f>
        <v>75</v>
      </c>
    </row>
    <row r="2266" customFormat="false" ht="15" hidden="false" customHeight="false" outlineLevel="0" collapsed="false">
      <c r="A2266" s="0" t="n">
        <v>2263</v>
      </c>
      <c r="B2266" s="0" t="n">
        <f aca="true">NORMINV(RAND(),1,Coefficients!$B$22)</f>
        <v>1.08215583923186</v>
      </c>
      <c r="C2266" s="0" t="n">
        <f aca="true">MEDIAN(8,16,ROUND(NORMINV(RAND(),Coefficients!$B$20,Coefficients!$B$21),0))</f>
        <v>11</v>
      </c>
      <c r="D2266" s="0" t="n">
        <f aca="true">CRITBINOM($C2266,MIN(0.75,Matchup!$B$39*$B2266),RAND())</f>
        <v>1</v>
      </c>
      <c r="E2266" s="0" t="n">
        <f aca="true">CRITBINOM(D2266,Coefficients!$B$30,RAND())</f>
        <v>0</v>
      </c>
      <c r="F2266" s="0" t="n">
        <f aca="true">CRITBINOM(E2266,Coefficients!$B$31,RAND())</f>
        <v>0</v>
      </c>
      <c r="G2266" s="0" t="n">
        <f aca="true">CRITBINOM(MAX(0,D2266-E2266),1-Coefficients!$B$32,RAND())</f>
        <v>0</v>
      </c>
      <c r="H2266" s="0" t="n">
        <f aca="true">CRITBINOM(MAX(0,$C2266-D2266),MIN(0.6,Matchup!$B$40*SQRT($B2266)/(1-MIN(0.75,Matchup!$B$39*$B2266))),RAND())</f>
        <v>1</v>
      </c>
      <c r="I2266" s="0" t="n">
        <f aca="false">6*D2266+(D2266-E2266-G2266)+2*F2266+3*H2266</f>
        <v>10</v>
      </c>
      <c r="J2266" s="0" t="n">
        <f aca="true">CRITBINOM($C2266,MIN(0.75,Matchup!$C$39*$B2266),RAND())</f>
        <v>3</v>
      </c>
      <c r="K2266" s="0" t="n">
        <f aca="true">CRITBINOM(J2266,Coefficients!$B$30,RAND())</f>
        <v>1</v>
      </c>
      <c r="L2266" s="0" t="n">
        <f aca="true">CRITBINOM(K2266,Coefficients!$B$31,RAND())</f>
        <v>0</v>
      </c>
      <c r="M2266" s="0" t="n">
        <f aca="true">CRITBINOM(MAX(0,J2266-K2266),1-Coefficients!$B$32,RAND())</f>
        <v>1</v>
      </c>
      <c r="N2266" s="0" t="n">
        <f aca="true">CRITBINOM(MAX(0,$C2266-J2266),MIN(0.6,Matchup!$C$40*SQRT($B2266)/(1-MIN(0.75,Matchup!$C$39*$B2266))),RAND())</f>
        <v>2</v>
      </c>
      <c r="O2266" s="0" t="n">
        <f aca="false">6*J2266+(J2266-K2266-M2266)+2*L2266+3*N2266</f>
        <v>25</v>
      </c>
      <c r="P2266" s="0" t="n">
        <f aca="true">RAND()</f>
        <v>0.464293156356735</v>
      </c>
      <c r="Q2266" s="0" t="n">
        <f aca="true">RAND()</f>
        <v>0.464487496248</v>
      </c>
      <c r="R2266" s="0" t="n">
        <f aca="false">IF($I2266&lt;&gt;$O2266,0,IF(P2266&lt;Matchup!$B$39,7,IF(P2266&lt;Matchup!$B$39+Matchup!$B$40,3,0)))</f>
        <v>0</v>
      </c>
      <c r="S2266" s="0" t="n">
        <f aca="false">IF($I2266&lt;&gt;$O2266,0,IF(Q2266&lt;Matchup!$C$39,7,IF(Q2266&lt;Matchup!$C$39+Matchup!$C$40,3,0)))</f>
        <v>0</v>
      </c>
      <c r="T2266" s="0" t="n">
        <f aca="false">I2266+R2266</f>
        <v>10</v>
      </c>
      <c r="U2266" s="0" t="n">
        <f aca="false">O2266+S2266</f>
        <v>25</v>
      </c>
      <c r="V2266" s="0" t="n">
        <f aca="false">T2266-U2266</f>
        <v>-15</v>
      </c>
      <c r="W2266" s="0" t="n">
        <f aca="false">T2266+U2266</f>
        <v>35</v>
      </c>
    </row>
    <row r="2267" customFormat="false" ht="15" hidden="false" customHeight="false" outlineLevel="0" collapsed="false">
      <c r="A2267" s="0" t="n">
        <v>2264</v>
      </c>
      <c r="B2267" s="0" t="n">
        <f aca="true">NORMINV(RAND(),1,Coefficients!$B$22)</f>
        <v>0.977941196072614</v>
      </c>
      <c r="C2267" s="0" t="n">
        <f aca="true">MEDIAN(8,16,ROUND(NORMINV(RAND(),Coefficients!$B$20,Coefficients!$B$21),0))</f>
        <v>12</v>
      </c>
      <c r="D2267" s="0" t="n">
        <f aca="true">CRITBINOM($C2267,MIN(0.75,Matchup!$B$39*$B2267),RAND())</f>
        <v>3</v>
      </c>
      <c r="E2267" s="0" t="n">
        <f aca="true">CRITBINOM(D2267,Coefficients!$B$30,RAND())</f>
        <v>0</v>
      </c>
      <c r="F2267" s="0" t="n">
        <f aca="true">CRITBINOM(E2267,Coefficients!$B$31,RAND())</f>
        <v>0</v>
      </c>
      <c r="G2267" s="0" t="n">
        <f aca="true">CRITBINOM(MAX(0,D2267-E2267),1-Coefficients!$B$32,RAND())</f>
        <v>1</v>
      </c>
      <c r="H2267" s="0" t="n">
        <f aca="true">CRITBINOM(MAX(0,$C2267-D2267),MIN(0.6,Matchup!$B$40*SQRT($B2267)/(1-MIN(0.75,Matchup!$B$39*$B2267))),RAND())</f>
        <v>2</v>
      </c>
      <c r="I2267" s="0" t="n">
        <f aca="false">6*D2267+(D2267-E2267-G2267)+2*F2267+3*H2267</f>
        <v>26</v>
      </c>
      <c r="J2267" s="0" t="n">
        <f aca="true">CRITBINOM($C2267,MIN(0.75,Matchup!$C$39*$B2267),RAND())</f>
        <v>3</v>
      </c>
      <c r="K2267" s="0" t="n">
        <f aca="true">CRITBINOM(J2267,Coefficients!$B$30,RAND())</f>
        <v>0</v>
      </c>
      <c r="L2267" s="0" t="n">
        <f aca="true">CRITBINOM(K2267,Coefficients!$B$31,RAND())</f>
        <v>0</v>
      </c>
      <c r="M2267" s="0" t="n">
        <f aca="true">CRITBINOM(MAX(0,J2267-K2267),1-Coefficients!$B$32,RAND())</f>
        <v>1</v>
      </c>
      <c r="N2267" s="0" t="n">
        <f aca="true">CRITBINOM(MAX(0,$C2267-J2267),MIN(0.6,Matchup!$C$40*SQRT($B2267)/(1-MIN(0.75,Matchup!$C$39*$B2267))),RAND())</f>
        <v>0</v>
      </c>
      <c r="O2267" s="0" t="n">
        <f aca="false">6*J2267+(J2267-K2267-M2267)+2*L2267+3*N2267</f>
        <v>20</v>
      </c>
      <c r="P2267" s="0" t="n">
        <f aca="true">RAND()</f>
        <v>0.691205769643906</v>
      </c>
      <c r="Q2267" s="0" t="n">
        <f aca="true">RAND()</f>
        <v>0.735848018621999</v>
      </c>
      <c r="R2267" s="0" t="n">
        <f aca="false">IF($I2267&lt;&gt;$O2267,0,IF(P2267&lt;Matchup!$B$39,7,IF(P2267&lt;Matchup!$B$39+Matchup!$B$40,3,0)))</f>
        <v>0</v>
      </c>
      <c r="S2267" s="0" t="n">
        <f aca="false">IF($I2267&lt;&gt;$O2267,0,IF(Q2267&lt;Matchup!$C$39,7,IF(Q2267&lt;Matchup!$C$39+Matchup!$C$40,3,0)))</f>
        <v>0</v>
      </c>
      <c r="T2267" s="0" t="n">
        <f aca="false">I2267+R2267</f>
        <v>26</v>
      </c>
      <c r="U2267" s="0" t="n">
        <f aca="false">O2267+S2267</f>
        <v>20</v>
      </c>
      <c r="V2267" s="0" t="n">
        <f aca="false">T2267-U2267</f>
        <v>6</v>
      </c>
      <c r="W2267" s="0" t="n">
        <f aca="false">T2267+U2267</f>
        <v>46</v>
      </c>
    </row>
    <row r="2268" customFormat="false" ht="15" hidden="false" customHeight="false" outlineLevel="0" collapsed="false">
      <c r="A2268" s="0" t="n">
        <v>2265</v>
      </c>
      <c r="B2268" s="0" t="n">
        <f aca="true">NORMINV(RAND(),1,Coefficients!$B$22)</f>
        <v>1.07613111330651</v>
      </c>
      <c r="C2268" s="0" t="n">
        <f aca="true">MEDIAN(8,16,ROUND(NORMINV(RAND(),Coefficients!$B$20,Coefficients!$B$21),0))</f>
        <v>13</v>
      </c>
      <c r="D2268" s="0" t="n">
        <f aca="true">CRITBINOM($C2268,MIN(0.75,Matchup!$B$39*$B2268),RAND())</f>
        <v>5</v>
      </c>
      <c r="E2268" s="0" t="n">
        <f aca="true">CRITBINOM(D2268,Coefficients!$B$30,RAND())</f>
        <v>0</v>
      </c>
      <c r="F2268" s="0" t="n">
        <f aca="true">CRITBINOM(E2268,Coefficients!$B$31,RAND())</f>
        <v>0</v>
      </c>
      <c r="G2268" s="0" t="n">
        <f aca="true">CRITBINOM(MAX(0,D2268-E2268),1-Coefficients!$B$32,RAND())</f>
        <v>1</v>
      </c>
      <c r="H2268" s="0" t="n">
        <f aca="true">CRITBINOM(MAX(0,$C2268-D2268),MIN(0.6,Matchup!$B$40*SQRT($B2268)/(1-MIN(0.75,Matchup!$B$39*$B2268))),RAND())</f>
        <v>1</v>
      </c>
      <c r="I2268" s="0" t="n">
        <f aca="false">6*D2268+(D2268-E2268-G2268)+2*F2268+3*H2268</f>
        <v>37</v>
      </c>
      <c r="J2268" s="0" t="n">
        <f aca="true">CRITBINOM($C2268,MIN(0.75,Matchup!$C$39*$B2268),RAND())</f>
        <v>4</v>
      </c>
      <c r="K2268" s="0" t="n">
        <f aca="true">CRITBINOM(J2268,Coefficients!$B$30,RAND())</f>
        <v>0</v>
      </c>
      <c r="L2268" s="0" t="n">
        <f aca="true">CRITBINOM(K2268,Coefficients!$B$31,RAND())</f>
        <v>0</v>
      </c>
      <c r="M2268" s="0" t="n">
        <f aca="true">CRITBINOM(MAX(0,J2268-K2268),1-Coefficients!$B$32,RAND())</f>
        <v>1</v>
      </c>
      <c r="N2268" s="0" t="n">
        <f aca="true">CRITBINOM(MAX(0,$C2268-J2268),MIN(0.6,Matchup!$C$40*SQRT($B2268)/(1-MIN(0.75,Matchup!$C$39*$B2268))),RAND())</f>
        <v>0</v>
      </c>
      <c r="O2268" s="0" t="n">
        <f aca="false">6*J2268+(J2268-K2268-M2268)+2*L2268+3*N2268</f>
        <v>27</v>
      </c>
      <c r="P2268" s="0" t="n">
        <f aca="true">RAND()</f>
        <v>0.486572659014513</v>
      </c>
      <c r="Q2268" s="0" t="n">
        <f aca="true">RAND()</f>
        <v>0.889131116992399</v>
      </c>
      <c r="R2268" s="0" t="n">
        <f aca="false">IF($I2268&lt;&gt;$O2268,0,IF(P2268&lt;Matchup!$B$39,7,IF(P2268&lt;Matchup!$B$39+Matchup!$B$40,3,0)))</f>
        <v>0</v>
      </c>
      <c r="S2268" s="0" t="n">
        <f aca="false">IF($I2268&lt;&gt;$O2268,0,IF(Q2268&lt;Matchup!$C$39,7,IF(Q2268&lt;Matchup!$C$39+Matchup!$C$40,3,0)))</f>
        <v>0</v>
      </c>
      <c r="T2268" s="0" t="n">
        <f aca="false">I2268+R2268</f>
        <v>37</v>
      </c>
      <c r="U2268" s="0" t="n">
        <f aca="false">O2268+S2268</f>
        <v>27</v>
      </c>
      <c r="V2268" s="0" t="n">
        <f aca="false">T2268-U2268</f>
        <v>10</v>
      </c>
      <c r="W2268" s="0" t="n">
        <f aca="false">T2268+U2268</f>
        <v>64</v>
      </c>
    </row>
    <row r="2269" customFormat="false" ht="15" hidden="false" customHeight="false" outlineLevel="0" collapsed="false">
      <c r="A2269" s="0" t="n">
        <v>2266</v>
      </c>
      <c r="B2269" s="0" t="n">
        <f aca="true">NORMINV(RAND(),1,Coefficients!$B$22)</f>
        <v>0.993914333969293</v>
      </c>
      <c r="C2269" s="0" t="n">
        <f aca="true">MEDIAN(8,16,ROUND(NORMINV(RAND(),Coefficients!$B$20,Coefficients!$B$21),0))</f>
        <v>10</v>
      </c>
      <c r="D2269" s="0" t="n">
        <f aca="true">CRITBINOM($C2269,MIN(0.75,Matchup!$B$39*$B2269),RAND())</f>
        <v>0</v>
      </c>
      <c r="E2269" s="0" t="n">
        <f aca="true">CRITBINOM(D2269,Coefficients!$B$30,RAND())</f>
        <v>0</v>
      </c>
      <c r="F2269" s="0" t="n">
        <f aca="true">CRITBINOM(E2269,Coefficients!$B$31,RAND())</f>
        <v>0</v>
      </c>
      <c r="G2269" s="0" t="n">
        <f aca="true">CRITBINOM(MAX(0,D2269-E2269),1-Coefficients!$B$32,RAND())</f>
        <v>0</v>
      </c>
      <c r="H2269" s="0" t="n">
        <f aca="true">CRITBINOM(MAX(0,$C2269-D2269),MIN(0.6,Matchup!$B$40*SQRT($B2269)/(1-MIN(0.75,Matchup!$B$39*$B2269))),RAND())</f>
        <v>1</v>
      </c>
      <c r="I2269" s="0" t="n">
        <f aca="false">6*D2269+(D2269-E2269-G2269)+2*F2269+3*H2269</f>
        <v>3</v>
      </c>
      <c r="J2269" s="0" t="n">
        <f aca="true">CRITBINOM($C2269,MIN(0.75,Matchup!$C$39*$B2269),RAND())</f>
        <v>4</v>
      </c>
      <c r="K2269" s="0" t="n">
        <f aca="true">CRITBINOM(J2269,Coefficients!$B$30,RAND())</f>
        <v>0</v>
      </c>
      <c r="L2269" s="0" t="n">
        <f aca="true">CRITBINOM(K2269,Coefficients!$B$31,RAND())</f>
        <v>0</v>
      </c>
      <c r="M2269" s="0" t="n">
        <f aca="true">CRITBINOM(MAX(0,J2269-K2269),1-Coefficients!$B$32,RAND())</f>
        <v>0</v>
      </c>
      <c r="N2269" s="0" t="n">
        <f aca="true">CRITBINOM(MAX(0,$C2269-J2269),MIN(0.6,Matchup!$C$40*SQRT($B2269)/(1-MIN(0.75,Matchup!$C$39*$B2269))),RAND())</f>
        <v>3</v>
      </c>
      <c r="O2269" s="0" t="n">
        <f aca="false">6*J2269+(J2269-K2269-M2269)+2*L2269+3*N2269</f>
        <v>37</v>
      </c>
      <c r="P2269" s="0" t="n">
        <f aca="true">RAND()</f>
        <v>0.634969733060616</v>
      </c>
      <c r="Q2269" s="0" t="n">
        <f aca="true">RAND()</f>
        <v>0.909881097583267</v>
      </c>
      <c r="R2269" s="0" t="n">
        <f aca="false">IF($I2269&lt;&gt;$O2269,0,IF(P2269&lt;Matchup!$B$39,7,IF(P2269&lt;Matchup!$B$39+Matchup!$B$40,3,0)))</f>
        <v>0</v>
      </c>
      <c r="S2269" s="0" t="n">
        <f aca="false">IF($I2269&lt;&gt;$O2269,0,IF(Q2269&lt;Matchup!$C$39,7,IF(Q2269&lt;Matchup!$C$39+Matchup!$C$40,3,0)))</f>
        <v>0</v>
      </c>
      <c r="T2269" s="0" t="n">
        <f aca="false">I2269+R2269</f>
        <v>3</v>
      </c>
      <c r="U2269" s="0" t="n">
        <f aca="false">O2269+S2269</f>
        <v>37</v>
      </c>
      <c r="V2269" s="0" t="n">
        <f aca="false">T2269-U2269</f>
        <v>-34</v>
      </c>
      <c r="W2269" s="0" t="n">
        <f aca="false">T2269+U2269</f>
        <v>40</v>
      </c>
    </row>
    <row r="2270" customFormat="false" ht="15" hidden="false" customHeight="false" outlineLevel="0" collapsed="false">
      <c r="A2270" s="0" t="n">
        <v>2267</v>
      </c>
      <c r="B2270" s="0" t="n">
        <f aca="true">NORMINV(RAND(),1,Coefficients!$B$22)</f>
        <v>1.01753653168157</v>
      </c>
      <c r="C2270" s="0" t="n">
        <f aca="true">MEDIAN(8,16,ROUND(NORMINV(RAND(),Coefficients!$B$20,Coefficients!$B$21),0))</f>
        <v>9</v>
      </c>
      <c r="D2270" s="0" t="n">
        <f aca="true">CRITBINOM($C2270,MIN(0.75,Matchup!$B$39*$B2270),RAND())</f>
        <v>3</v>
      </c>
      <c r="E2270" s="0" t="n">
        <f aca="true">CRITBINOM(D2270,Coefficients!$B$30,RAND())</f>
        <v>0</v>
      </c>
      <c r="F2270" s="0" t="n">
        <f aca="true">CRITBINOM(E2270,Coefficients!$B$31,RAND())</f>
        <v>0</v>
      </c>
      <c r="G2270" s="0" t="n">
        <f aca="true">CRITBINOM(MAX(0,D2270-E2270),1-Coefficients!$B$32,RAND())</f>
        <v>0</v>
      </c>
      <c r="H2270" s="0" t="n">
        <f aca="true">CRITBINOM(MAX(0,$C2270-D2270),MIN(0.6,Matchup!$B$40*SQRT($B2270)/(1-MIN(0.75,Matchup!$B$39*$B2270))),RAND())</f>
        <v>2</v>
      </c>
      <c r="I2270" s="0" t="n">
        <f aca="false">6*D2270+(D2270-E2270-G2270)+2*F2270+3*H2270</f>
        <v>27</v>
      </c>
      <c r="J2270" s="0" t="n">
        <f aca="true">CRITBINOM($C2270,MIN(0.75,Matchup!$C$39*$B2270),RAND())</f>
        <v>1</v>
      </c>
      <c r="K2270" s="0" t="n">
        <f aca="true">CRITBINOM(J2270,Coefficients!$B$30,RAND())</f>
        <v>0</v>
      </c>
      <c r="L2270" s="0" t="n">
        <f aca="true">CRITBINOM(K2270,Coefficients!$B$31,RAND())</f>
        <v>0</v>
      </c>
      <c r="M2270" s="0" t="n">
        <f aca="true">CRITBINOM(MAX(0,J2270-K2270),1-Coefficients!$B$32,RAND())</f>
        <v>0</v>
      </c>
      <c r="N2270" s="0" t="n">
        <f aca="true">CRITBINOM(MAX(0,$C2270-J2270),MIN(0.6,Matchup!$C$40*SQRT($B2270)/(1-MIN(0.75,Matchup!$C$39*$B2270))),RAND())</f>
        <v>3</v>
      </c>
      <c r="O2270" s="0" t="n">
        <f aca="false">6*J2270+(J2270-K2270-M2270)+2*L2270+3*N2270</f>
        <v>16</v>
      </c>
      <c r="P2270" s="0" t="n">
        <f aca="true">RAND()</f>
        <v>0.992688020278824</v>
      </c>
      <c r="Q2270" s="0" t="n">
        <f aca="true">RAND()</f>
        <v>0.443807383812175</v>
      </c>
      <c r="R2270" s="0" t="n">
        <f aca="false">IF($I2270&lt;&gt;$O2270,0,IF(P2270&lt;Matchup!$B$39,7,IF(P2270&lt;Matchup!$B$39+Matchup!$B$40,3,0)))</f>
        <v>0</v>
      </c>
      <c r="S2270" s="0" t="n">
        <f aca="false">IF($I2270&lt;&gt;$O2270,0,IF(Q2270&lt;Matchup!$C$39,7,IF(Q2270&lt;Matchup!$C$39+Matchup!$C$40,3,0)))</f>
        <v>0</v>
      </c>
      <c r="T2270" s="0" t="n">
        <f aca="false">I2270+R2270</f>
        <v>27</v>
      </c>
      <c r="U2270" s="0" t="n">
        <f aca="false">O2270+S2270</f>
        <v>16</v>
      </c>
      <c r="V2270" s="0" t="n">
        <f aca="false">T2270-U2270</f>
        <v>11</v>
      </c>
      <c r="W2270" s="0" t="n">
        <f aca="false">T2270+U2270</f>
        <v>43</v>
      </c>
    </row>
    <row r="2271" customFormat="false" ht="15" hidden="false" customHeight="false" outlineLevel="0" collapsed="false">
      <c r="A2271" s="0" t="n">
        <v>2268</v>
      </c>
      <c r="B2271" s="0" t="n">
        <f aca="true">NORMINV(RAND(),1,Coefficients!$B$22)</f>
        <v>0.965176491518447</v>
      </c>
      <c r="C2271" s="0" t="n">
        <f aca="true">MEDIAN(8,16,ROUND(NORMINV(RAND(),Coefficients!$B$20,Coefficients!$B$21),0))</f>
        <v>10</v>
      </c>
      <c r="D2271" s="0" t="n">
        <f aca="true">CRITBINOM($C2271,MIN(0.75,Matchup!$B$39*$B2271),RAND())</f>
        <v>4</v>
      </c>
      <c r="E2271" s="0" t="n">
        <f aca="true">CRITBINOM(D2271,Coefficients!$B$30,RAND())</f>
        <v>0</v>
      </c>
      <c r="F2271" s="0" t="n">
        <f aca="true">CRITBINOM(E2271,Coefficients!$B$31,RAND())</f>
        <v>0</v>
      </c>
      <c r="G2271" s="0" t="n">
        <f aca="true">CRITBINOM(MAX(0,D2271-E2271),1-Coefficients!$B$32,RAND())</f>
        <v>1</v>
      </c>
      <c r="H2271" s="0" t="n">
        <f aca="true">CRITBINOM(MAX(0,$C2271-D2271),MIN(0.6,Matchup!$B$40*SQRT($B2271)/(1-MIN(0.75,Matchup!$B$39*$B2271))),RAND())</f>
        <v>1</v>
      </c>
      <c r="I2271" s="0" t="n">
        <f aca="false">6*D2271+(D2271-E2271-G2271)+2*F2271+3*H2271</f>
        <v>30</v>
      </c>
      <c r="J2271" s="0" t="n">
        <f aca="true">CRITBINOM($C2271,MIN(0.75,Matchup!$C$39*$B2271),RAND())</f>
        <v>3</v>
      </c>
      <c r="K2271" s="0" t="n">
        <f aca="true">CRITBINOM(J2271,Coefficients!$B$30,RAND())</f>
        <v>0</v>
      </c>
      <c r="L2271" s="0" t="n">
        <f aca="true">CRITBINOM(K2271,Coefficients!$B$31,RAND())</f>
        <v>0</v>
      </c>
      <c r="M2271" s="0" t="n">
        <f aca="true">CRITBINOM(MAX(0,J2271-K2271),1-Coefficients!$B$32,RAND())</f>
        <v>0</v>
      </c>
      <c r="N2271" s="0" t="n">
        <f aca="true">CRITBINOM(MAX(0,$C2271-J2271),MIN(0.6,Matchup!$C$40*SQRT($B2271)/(1-MIN(0.75,Matchup!$C$39*$B2271))),RAND())</f>
        <v>1</v>
      </c>
      <c r="O2271" s="0" t="n">
        <f aca="false">6*J2271+(J2271-K2271-M2271)+2*L2271+3*N2271</f>
        <v>24</v>
      </c>
      <c r="P2271" s="0" t="n">
        <f aca="true">RAND()</f>
        <v>0.308808751756195</v>
      </c>
      <c r="Q2271" s="0" t="n">
        <f aca="true">RAND()</f>
        <v>0.02588066374871</v>
      </c>
      <c r="R2271" s="0" t="n">
        <f aca="false">IF($I2271&lt;&gt;$O2271,0,IF(P2271&lt;Matchup!$B$39,7,IF(P2271&lt;Matchup!$B$39+Matchup!$B$40,3,0)))</f>
        <v>0</v>
      </c>
      <c r="S2271" s="0" t="n">
        <f aca="false">IF($I2271&lt;&gt;$O2271,0,IF(Q2271&lt;Matchup!$C$39,7,IF(Q2271&lt;Matchup!$C$39+Matchup!$C$40,3,0)))</f>
        <v>0</v>
      </c>
      <c r="T2271" s="0" t="n">
        <f aca="false">I2271+R2271</f>
        <v>30</v>
      </c>
      <c r="U2271" s="0" t="n">
        <f aca="false">O2271+S2271</f>
        <v>24</v>
      </c>
      <c r="V2271" s="0" t="n">
        <f aca="false">T2271-U2271</f>
        <v>6</v>
      </c>
      <c r="W2271" s="0" t="n">
        <f aca="false">T2271+U2271</f>
        <v>54</v>
      </c>
    </row>
    <row r="2272" customFormat="false" ht="15" hidden="false" customHeight="false" outlineLevel="0" collapsed="false">
      <c r="A2272" s="0" t="n">
        <v>2269</v>
      </c>
      <c r="B2272" s="0" t="n">
        <f aca="true">NORMINV(RAND(),1,Coefficients!$B$22)</f>
        <v>1.00530371362243</v>
      </c>
      <c r="C2272" s="0" t="n">
        <f aca="true">MEDIAN(8,16,ROUND(NORMINV(RAND(),Coefficients!$B$20,Coefficients!$B$21),0))</f>
        <v>13</v>
      </c>
      <c r="D2272" s="0" t="n">
        <f aca="true">CRITBINOM($C2272,MIN(0.75,Matchup!$B$39*$B2272),RAND())</f>
        <v>4</v>
      </c>
      <c r="E2272" s="0" t="n">
        <f aca="true">CRITBINOM(D2272,Coefficients!$B$30,RAND())</f>
        <v>1</v>
      </c>
      <c r="F2272" s="0" t="n">
        <f aca="true">CRITBINOM(E2272,Coefficients!$B$31,RAND())</f>
        <v>0</v>
      </c>
      <c r="G2272" s="0" t="n">
        <f aca="true">CRITBINOM(MAX(0,D2272-E2272),1-Coefficients!$B$32,RAND())</f>
        <v>0</v>
      </c>
      <c r="H2272" s="0" t="n">
        <f aca="true">CRITBINOM(MAX(0,$C2272-D2272),MIN(0.6,Matchup!$B$40*SQRT($B2272)/(1-MIN(0.75,Matchup!$B$39*$B2272))),RAND())</f>
        <v>2</v>
      </c>
      <c r="I2272" s="0" t="n">
        <f aca="false">6*D2272+(D2272-E2272-G2272)+2*F2272+3*H2272</f>
        <v>33</v>
      </c>
      <c r="J2272" s="0" t="n">
        <f aca="true">CRITBINOM($C2272,MIN(0.75,Matchup!$C$39*$B2272),RAND())</f>
        <v>5</v>
      </c>
      <c r="K2272" s="0" t="n">
        <f aca="true">CRITBINOM(J2272,Coefficients!$B$30,RAND())</f>
        <v>2</v>
      </c>
      <c r="L2272" s="0" t="n">
        <f aca="true">CRITBINOM(K2272,Coefficients!$B$31,RAND())</f>
        <v>1</v>
      </c>
      <c r="M2272" s="0" t="n">
        <f aca="true">CRITBINOM(MAX(0,J2272-K2272),1-Coefficients!$B$32,RAND())</f>
        <v>0</v>
      </c>
      <c r="N2272" s="0" t="n">
        <f aca="true">CRITBINOM(MAX(0,$C2272-J2272),MIN(0.6,Matchup!$C$40*SQRT($B2272)/(1-MIN(0.75,Matchup!$C$39*$B2272))),RAND())</f>
        <v>3</v>
      </c>
      <c r="O2272" s="0" t="n">
        <f aca="false">6*J2272+(J2272-K2272-M2272)+2*L2272+3*N2272</f>
        <v>44</v>
      </c>
      <c r="P2272" s="0" t="n">
        <f aca="true">RAND()</f>
        <v>0.921492895914502</v>
      </c>
      <c r="Q2272" s="0" t="n">
        <f aca="true">RAND()</f>
        <v>0.352013066181757</v>
      </c>
      <c r="R2272" s="0" t="n">
        <f aca="false">IF($I2272&lt;&gt;$O2272,0,IF(P2272&lt;Matchup!$B$39,7,IF(P2272&lt;Matchup!$B$39+Matchup!$B$40,3,0)))</f>
        <v>0</v>
      </c>
      <c r="S2272" s="0" t="n">
        <f aca="false">IF($I2272&lt;&gt;$O2272,0,IF(Q2272&lt;Matchup!$C$39,7,IF(Q2272&lt;Matchup!$C$39+Matchup!$C$40,3,0)))</f>
        <v>0</v>
      </c>
      <c r="T2272" s="0" t="n">
        <f aca="false">I2272+R2272</f>
        <v>33</v>
      </c>
      <c r="U2272" s="0" t="n">
        <f aca="false">O2272+S2272</f>
        <v>44</v>
      </c>
      <c r="V2272" s="0" t="n">
        <f aca="false">T2272-U2272</f>
        <v>-11</v>
      </c>
      <c r="W2272" s="0" t="n">
        <f aca="false">T2272+U2272</f>
        <v>77</v>
      </c>
    </row>
    <row r="2273" customFormat="false" ht="15" hidden="false" customHeight="false" outlineLevel="0" collapsed="false">
      <c r="A2273" s="0" t="n">
        <v>2270</v>
      </c>
      <c r="B2273" s="0" t="n">
        <f aca="true">NORMINV(RAND(),1,Coefficients!$B$22)</f>
        <v>0.947567048015341</v>
      </c>
      <c r="C2273" s="0" t="n">
        <f aca="true">MEDIAN(8,16,ROUND(NORMINV(RAND(),Coefficients!$B$20,Coefficients!$B$21),0))</f>
        <v>11</v>
      </c>
      <c r="D2273" s="0" t="n">
        <f aca="true">CRITBINOM($C2273,MIN(0.75,Matchup!$B$39*$B2273),RAND())</f>
        <v>3</v>
      </c>
      <c r="E2273" s="0" t="n">
        <f aca="true">CRITBINOM(D2273,Coefficients!$B$30,RAND())</f>
        <v>1</v>
      </c>
      <c r="F2273" s="0" t="n">
        <f aca="true">CRITBINOM(E2273,Coefficients!$B$31,RAND())</f>
        <v>1</v>
      </c>
      <c r="G2273" s="0" t="n">
        <f aca="true">CRITBINOM(MAX(0,D2273-E2273),1-Coefficients!$B$32,RAND())</f>
        <v>0</v>
      </c>
      <c r="H2273" s="0" t="n">
        <f aca="true">CRITBINOM(MAX(0,$C2273-D2273),MIN(0.6,Matchup!$B$40*SQRT($B2273)/(1-MIN(0.75,Matchup!$B$39*$B2273))),RAND())</f>
        <v>1</v>
      </c>
      <c r="I2273" s="0" t="n">
        <f aca="false">6*D2273+(D2273-E2273-G2273)+2*F2273+3*H2273</f>
        <v>25</v>
      </c>
      <c r="J2273" s="0" t="n">
        <f aca="true">CRITBINOM($C2273,MIN(0.75,Matchup!$C$39*$B2273),RAND())</f>
        <v>4</v>
      </c>
      <c r="K2273" s="0" t="n">
        <f aca="true">CRITBINOM(J2273,Coefficients!$B$30,RAND())</f>
        <v>0</v>
      </c>
      <c r="L2273" s="0" t="n">
        <f aca="true">CRITBINOM(K2273,Coefficients!$B$31,RAND())</f>
        <v>0</v>
      </c>
      <c r="M2273" s="0" t="n">
        <f aca="true">CRITBINOM(MAX(0,J2273-K2273),1-Coefficients!$B$32,RAND())</f>
        <v>0</v>
      </c>
      <c r="N2273" s="0" t="n">
        <f aca="true">CRITBINOM(MAX(0,$C2273-J2273),MIN(0.6,Matchup!$C$40*SQRT($B2273)/(1-MIN(0.75,Matchup!$C$39*$B2273))),RAND())</f>
        <v>2</v>
      </c>
      <c r="O2273" s="0" t="n">
        <f aca="false">6*J2273+(J2273-K2273-M2273)+2*L2273+3*N2273</f>
        <v>34</v>
      </c>
      <c r="P2273" s="0" t="n">
        <f aca="true">RAND()</f>
        <v>0.829992975931193</v>
      </c>
      <c r="Q2273" s="0" t="n">
        <f aca="true">RAND()</f>
        <v>0.710059350931127</v>
      </c>
      <c r="R2273" s="0" t="n">
        <f aca="false">IF($I2273&lt;&gt;$O2273,0,IF(P2273&lt;Matchup!$B$39,7,IF(P2273&lt;Matchup!$B$39+Matchup!$B$40,3,0)))</f>
        <v>0</v>
      </c>
      <c r="S2273" s="0" t="n">
        <f aca="false">IF($I2273&lt;&gt;$O2273,0,IF(Q2273&lt;Matchup!$C$39,7,IF(Q2273&lt;Matchup!$C$39+Matchup!$C$40,3,0)))</f>
        <v>0</v>
      </c>
      <c r="T2273" s="0" t="n">
        <f aca="false">I2273+R2273</f>
        <v>25</v>
      </c>
      <c r="U2273" s="0" t="n">
        <f aca="false">O2273+S2273</f>
        <v>34</v>
      </c>
      <c r="V2273" s="0" t="n">
        <f aca="false">T2273-U2273</f>
        <v>-9</v>
      </c>
      <c r="W2273" s="0" t="n">
        <f aca="false">T2273+U2273</f>
        <v>59</v>
      </c>
    </row>
    <row r="2274" customFormat="false" ht="15" hidden="false" customHeight="false" outlineLevel="0" collapsed="false">
      <c r="A2274" s="0" t="n">
        <v>2271</v>
      </c>
      <c r="B2274" s="0" t="n">
        <f aca="true">NORMINV(RAND(),1,Coefficients!$B$22)</f>
        <v>0.981457261985893</v>
      </c>
      <c r="C2274" s="0" t="n">
        <f aca="true">MEDIAN(8,16,ROUND(NORMINV(RAND(),Coefficients!$B$20,Coefficients!$B$21),0))</f>
        <v>11</v>
      </c>
      <c r="D2274" s="0" t="n">
        <f aca="true">CRITBINOM($C2274,MIN(0.75,Matchup!$B$39*$B2274),RAND())</f>
        <v>1</v>
      </c>
      <c r="E2274" s="0" t="n">
        <f aca="true">CRITBINOM(D2274,Coefficients!$B$30,RAND())</f>
        <v>0</v>
      </c>
      <c r="F2274" s="0" t="n">
        <f aca="true">CRITBINOM(E2274,Coefficients!$B$31,RAND())</f>
        <v>0</v>
      </c>
      <c r="G2274" s="0" t="n">
        <f aca="true">CRITBINOM(MAX(0,D2274-E2274),1-Coefficients!$B$32,RAND())</f>
        <v>0</v>
      </c>
      <c r="H2274" s="0" t="n">
        <f aca="true">CRITBINOM(MAX(0,$C2274-D2274),MIN(0.6,Matchup!$B$40*SQRT($B2274)/(1-MIN(0.75,Matchup!$B$39*$B2274))),RAND())</f>
        <v>2</v>
      </c>
      <c r="I2274" s="0" t="n">
        <f aca="false">6*D2274+(D2274-E2274-G2274)+2*F2274+3*H2274</f>
        <v>13</v>
      </c>
      <c r="J2274" s="0" t="n">
        <f aca="true">CRITBINOM($C2274,MIN(0.75,Matchup!$C$39*$B2274),RAND())</f>
        <v>2</v>
      </c>
      <c r="K2274" s="0" t="n">
        <f aca="true">CRITBINOM(J2274,Coefficients!$B$30,RAND())</f>
        <v>0</v>
      </c>
      <c r="L2274" s="0" t="n">
        <f aca="true">CRITBINOM(K2274,Coefficients!$B$31,RAND())</f>
        <v>0</v>
      </c>
      <c r="M2274" s="0" t="n">
        <f aca="true">CRITBINOM(MAX(0,J2274-K2274),1-Coefficients!$B$32,RAND())</f>
        <v>0</v>
      </c>
      <c r="N2274" s="0" t="n">
        <f aca="true">CRITBINOM(MAX(0,$C2274-J2274),MIN(0.6,Matchup!$C$40*SQRT($B2274)/(1-MIN(0.75,Matchup!$C$39*$B2274))),RAND())</f>
        <v>0</v>
      </c>
      <c r="O2274" s="0" t="n">
        <f aca="false">6*J2274+(J2274-K2274-M2274)+2*L2274+3*N2274</f>
        <v>14</v>
      </c>
      <c r="P2274" s="0" t="n">
        <f aca="true">RAND()</f>
        <v>0.79035095957388</v>
      </c>
      <c r="Q2274" s="0" t="n">
        <f aca="true">RAND()</f>
        <v>0.473303053678271</v>
      </c>
      <c r="R2274" s="0" t="n">
        <f aca="false">IF($I2274&lt;&gt;$O2274,0,IF(P2274&lt;Matchup!$B$39,7,IF(P2274&lt;Matchup!$B$39+Matchup!$B$40,3,0)))</f>
        <v>0</v>
      </c>
      <c r="S2274" s="0" t="n">
        <f aca="false">IF($I2274&lt;&gt;$O2274,0,IF(Q2274&lt;Matchup!$C$39,7,IF(Q2274&lt;Matchup!$C$39+Matchup!$C$40,3,0)))</f>
        <v>0</v>
      </c>
      <c r="T2274" s="0" t="n">
        <f aca="false">I2274+R2274</f>
        <v>13</v>
      </c>
      <c r="U2274" s="0" t="n">
        <f aca="false">O2274+S2274</f>
        <v>14</v>
      </c>
      <c r="V2274" s="0" t="n">
        <f aca="false">T2274-U2274</f>
        <v>-1</v>
      </c>
      <c r="W2274" s="0" t="n">
        <f aca="false">T2274+U2274</f>
        <v>27</v>
      </c>
    </row>
    <row r="2275" customFormat="false" ht="15" hidden="false" customHeight="false" outlineLevel="0" collapsed="false">
      <c r="A2275" s="0" t="n">
        <v>2272</v>
      </c>
      <c r="B2275" s="0" t="n">
        <f aca="true">NORMINV(RAND(),1,Coefficients!$B$22)</f>
        <v>0.928619588906881</v>
      </c>
      <c r="C2275" s="0" t="n">
        <f aca="true">MEDIAN(8,16,ROUND(NORMINV(RAND(),Coefficients!$B$20,Coefficients!$B$21),0))</f>
        <v>11</v>
      </c>
      <c r="D2275" s="0" t="n">
        <f aca="true">CRITBINOM($C2275,MIN(0.75,Matchup!$B$39*$B2275),RAND())</f>
        <v>1</v>
      </c>
      <c r="E2275" s="0" t="n">
        <f aca="true">CRITBINOM(D2275,Coefficients!$B$30,RAND())</f>
        <v>0</v>
      </c>
      <c r="F2275" s="0" t="n">
        <f aca="true">CRITBINOM(E2275,Coefficients!$B$31,RAND())</f>
        <v>0</v>
      </c>
      <c r="G2275" s="0" t="n">
        <f aca="true">CRITBINOM(MAX(0,D2275-E2275),1-Coefficients!$B$32,RAND())</f>
        <v>0</v>
      </c>
      <c r="H2275" s="0" t="n">
        <f aca="true">CRITBINOM(MAX(0,$C2275-D2275),MIN(0.6,Matchup!$B$40*SQRT($B2275)/(1-MIN(0.75,Matchup!$B$39*$B2275))),RAND())</f>
        <v>2</v>
      </c>
      <c r="I2275" s="0" t="n">
        <f aca="false">6*D2275+(D2275-E2275-G2275)+2*F2275+3*H2275</f>
        <v>13</v>
      </c>
      <c r="J2275" s="0" t="n">
        <f aca="true">CRITBINOM($C2275,MIN(0.75,Matchup!$C$39*$B2275),RAND())</f>
        <v>3</v>
      </c>
      <c r="K2275" s="0" t="n">
        <f aca="true">CRITBINOM(J2275,Coefficients!$B$30,RAND())</f>
        <v>0</v>
      </c>
      <c r="L2275" s="0" t="n">
        <f aca="true">CRITBINOM(K2275,Coefficients!$B$31,RAND())</f>
        <v>0</v>
      </c>
      <c r="M2275" s="0" t="n">
        <f aca="true">CRITBINOM(MAX(0,J2275-K2275),1-Coefficients!$B$32,RAND())</f>
        <v>0</v>
      </c>
      <c r="N2275" s="0" t="n">
        <f aca="true">CRITBINOM(MAX(0,$C2275-J2275),MIN(0.6,Matchup!$C$40*SQRT($B2275)/(1-MIN(0.75,Matchup!$C$39*$B2275))),RAND())</f>
        <v>1</v>
      </c>
      <c r="O2275" s="0" t="n">
        <f aca="false">6*J2275+(J2275-K2275-M2275)+2*L2275+3*N2275</f>
        <v>24</v>
      </c>
      <c r="P2275" s="0" t="n">
        <f aca="true">RAND()</f>
        <v>0.478375960472388</v>
      </c>
      <c r="Q2275" s="0" t="n">
        <f aca="true">RAND()</f>
        <v>0.145314623079227</v>
      </c>
      <c r="R2275" s="0" t="n">
        <f aca="false">IF($I2275&lt;&gt;$O2275,0,IF(P2275&lt;Matchup!$B$39,7,IF(P2275&lt;Matchup!$B$39+Matchup!$B$40,3,0)))</f>
        <v>0</v>
      </c>
      <c r="S2275" s="0" t="n">
        <f aca="false">IF($I2275&lt;&gt;$O2275,0,IF(Q2275&lt;Matchup!$C$39,7,IF(Q2275&lt;Matchup!$C$39+Matchup!$C$40,3,0)))</f>
        <v>0</v>
      </c>
      <c r="T2275" s="0" t="n">
        <f aca="false">I2275+R2275</f>
        <v>13</v>
      </c>
      <c r="U2275" s="0" t="n">
        <f aca="false">O2275+S2275</f>
        <v>24</v>
      </c>
      <c r="V2275" s="0" t="n">
        <f aca="false">T2275-U2275</f>
        <v>-11</v>
      </c>
      <c r="W2275" s="0" t="n">
        <f aca="false">T2275+U2275</f>
        <v>37</v>
      </c>
    </row>
    <row r="2276" customFormat="false" ht="15" hidden="false" customHeight="false" outlineLevel="0" collapsed="false">
      <c r="A2276" s="0" t="n">
        <v>2273</v>
      </c>
      <c r="B2276" s="0" t="n">
        <f aca="true">NORMINV(RAND(),1,Coefficients!$B$22)</f>
        <v>0.967399506113419</v>
      </c>
      <c r="C2276" s="0" t="n">
        <f aca="true">MEDIAN(8,16,ROUND(NORMINV(RAND(),Coefficients!$B$20,Coefficients!$B$21),0))</f>
        <v>10</v>
      </c>
      <c r="D2276" s="0" t="n">
        <f aca="true">CRITBINOM($C2276,MIN(0.75,Matchup!$B$39*$B2276),RAND())</f>
        <v>5</v>
      </c>
      <c r="E2276" s="0" t="n">
        <f aca="true">CRITBINOM(D2276,Coefficients!$B$30,RAND())</f>
        <v>0</v>
      </c>
      <c r="F2276" s="0" t="n">
        <f aca="true">CRITBINOM(E2276,Coefficients!$B$31,RAND())</f>
        <v>0</v>
      </c>
      <c r="G2276" s="0" t="n">
        <f aca="true">CRITBINOM(MAX(0,D2276-E2276),1-Coefficients!$B$32,RAND())</f>
        <v>0</v>
      </c>
      <c r="H2276" s="0" t="n">
        <f aca="true">CRITBINOM(MAX(0,$C2276-D2276),MIN(0.6,Matchup!$B$40*SQRT($B2276)/(1-MIN(0.75,Matchup!$B$39*$B2276))),RAND())</f>
        <v>0</v>
      </c>
      <c r="I2276" s="0" t="n">
        <f aca="false">6*D2276+(D2276-E2276-G2276)+2*F2276+3*H2276</f>
        <v>35</v>
      </c>
      <c r="J2276" s="0" t="n">
        <f aca="true">CRITBINOM($C2276,MIN(0.75,Matchup!$C$39*$B2276),RAND())</f>
        <v>4</v>
      </c>
      <c r="K2276" s="0" t="n">
        <f aca="true">CRITBINOM(J2276,Coefficients!$B$30,RAND())</f>
        <v>0</v>
      </c>
      <c r="L2276" s="0" t="n">
        <f aca="true">CRITBINOM(K2276,Coefficients!$B$31,RAND())</f>
        <v>0</v>
      </c>
      <c r="M2276" s="0" t="n">
        <f aca="true">CRITBINOM(MAX(0,J2276-K2276),1-Coefficients!$B$32,RAND())</f>
        <v>1</v>
      </c>
      <c r="N2276" s="0" t="n">
        <f aca="true">CRITBINOM(MAX(0,$C2276-J2276),MIN(0.6,Matchup!$C$40*SQRT($B2276)/(1-MIN(0.75,Matchup!$C$39*$B2276))),RAND())</f>
        <v>0</v>
      </c>
      <c r="O2276" s="0" t="n">
        <f aca="false">6*J2276+(J2276-K2276-M2276)+2*L2276+3*N2276</f>
        <v>27</v>
      </c>
      <c r="P2276" s="0" t="n">
        <f aca="true">RAND()</f>
        <v>0.941951148304095</v>
      </c>
      <c r="Q2276" s="0" t="n">
        <f aca="true">RAND()</f>
        <v>0.78816602503801</v>
      </c>
      <c r="R2276" s="0" t="n">
        <f aca="false">IF($I2276&lt;&gt;$O2276,0,IF(P2276&lt;Matchup!$B$39,7,IF(P2276&lt;Matchup!$B$39+Matchup!$B$40,3,0)))</f>
        <v>0</v>
      </c>
      <c r="S2276" s="0" t="n">
        <f aca="false">IF($I2276&lt;&gt;$O2276,0,IF(Q2276&lt;Matchup!$C$39,7,IF(Q2276&lt;Matchup!$C$39+Matchup!$C$40,3,0)))</f>
        <v>0</v>
      </c>
      <c r="T2276" s="0" t="n">
        <f aca="false">I2276+R2276</f>
        <v>35</v>
      </c>
      <c r="U2276" s="0" t="n">
        <f aca="false">O2276+S2276</f>
        <v>27</v>
      </c>
      <c r="V2276" s="0" t="n">
        <f aca="false">T2276-U2276</f>
        <v>8</v>
      </c>
      <c r="W2276" s="0" t="n">
        <f aca="false">T2276+U2276</f>
        <v>62</v>
      </c>
    </row>
    <row r="2277" customFormat="false" ht="15" hidden="false" customHeight="false" outlineLevel="0" collapsed="false">
      <c r="A2277" s="0" t="n">
        <v>2274</v>
      </c>
      <c r="B2277" s="0" t="n">
        <f aca="true">NORMINV(RAND(),1,Coefficients!$B$22)</f>
        <v>0.975990745455807</v>
      </c>
      <c r="C2277" s="0" t="n">
        <f aca="true">MEDIAN(8,16,ROUND(NORMINV(RAND(),Coefficients!$B$20,Coefficients!$B$21),0))</f>
        <v>11</v>
      </c>
      <c r="D2277" s="0" t="n">
        <f aca="true">CRITBINOM($C2277,MIN(0.75,Matchup!$B$39*$B2277),RAND())</f>
        <v>4</v>
      </c>
      <c r="E2277" s="0" t="n">
        <f aca="true">CRITBINOM(D2277,Coefficients!$B$30,RAND())</f>
        <v>0</v>
      </c>
      <c r="F2277" s="0" t="n">
        <f aca="true">CRITBINOM(E2277,Coefficients!$B$31,RAND())</f>
        <v>0</v>
      </c>
      <c r="G2277" s="0" t="n">
        <f aca="true">CRITBINOM(MAX(0,D2277-E2277),1-Coefficients!$B$32,RAND())</f>
        <v>0</v>
      </c>
      <c r="H2277" s="0" t="n">
        <f aca="true">CRITBINOM(MAX(0,$C2277-D2277),MIN(0.6,Matchup!$B$40*SQRT($B2277)/(1-MIN(0.75,Matchup!$B$39*$B2277))),RAND())</f>
        <v>4</v>
      </c>
      <c r="I2277" s="0" t="n">
        <f aca="false">6*D2277+(D2277-E2277-G2277)+2*F2277+3*H2277</f>
        <v>40</v>
      </c>
      <c r="J2277" s="0" t="n">
        <f aca="true">CRITBINOM($C2277,MIN(0.75,Matchup!$C$39*$B2277),RAND())</f>
        <v>3</v>
      </c>
      <c r="K2277" s="0" t="n">
        <f aca="true">CRITBINOM(J2277,Coefficients!$B$30,RAND())</f>
        <v>1</v>
      </c>
      <c r="L2277" s="0" t="n">
        <f aca="true">CRITBINOM(K2277,Coefficients!$B$31,RAND())</f>
        <v>0</v>
      </c>
      <c r="M2277" s="0" t="n">
        <f aca="true">CRITBINOM(MAX(0,J2277-K2277),1-Coefficients!$B$32,RAND())</f>
        <v>0</v>
      </c>
      <c r="N2277" s="0" t="n">
        <f aca="true">CRITBINOM(MAX(0,$C2277-J2277),MIN(0.6,Matchup!$C$40*SQRT($B2277)/(1-MIN(0.75,Matchup!$C$39*$B2277))),RAND())</f>
        <v>0</v>
      </c>
      <c r="O2277" s="0" t="n">
        <f aca="false">6*J2277+(J2277-K2277-M2277)+2*L2277+3*N2277</f>
        <v>20</v>
      </c>
      <c r="P2277" s="0" t="n">
        <f aca="true">RAND()</f>
        <v>0.49831438025893</v>
      </c>
      <c r="Q2277" s="0" t="n">
        <f aca="true">RAND()</f>
        <v>0.0392119687144642</v>
      </c>
      <c r="R2277" s="0" t="n">
        <f aca="false">IF($I2277&lt;&gt;$O2277,0,IF(P2277&lt;Matchup!$B$39,7,IF(P2277&lt;Matchup!$B$39+Matchup!$B$40,3,0)))</f>
        <v>0</v>
      </c>
      <c r="S2277" s="0" t="n">
        <f aca="false">IF($I2277&lt;&gt;$O2277,0,IF(Q2277&lt;Matchup!$C$39,7,IF(Q2277&lt;Matchup!$C$39+Matchup!$C$40,3,0)))</f>
        <v>0</v>
      </c>
      <c r="T2277" s="0" t="n">
        <f aca="false">I2277+R2277</f>
        <v>40</v>
      </c>
      <c r="U2277" s="0" t="n">
        <f aca="false">O2277+S2277</f>
        <v>20</v>
      </c>
      <c r="V2277" s="0" t="n">
        <f aca="false">T2277-U2277</f>
        <v>20</v>
      </c>
      <c r="W2277" s="0" t="n">
        <f aca="false">T2277+U2277</f>
        <v>60</v>
      </c>
    </row>
    <row r="2278" customFormat="false" ht="15" hidden="false" customHeight="false" outlineLevel="0" collapsed="false">
      <c r="A2278" s="0" t="n">
        <v>2275</v>
      </c>
      <c r="B2278" s="0" t="n">
        <f aca="true">NORMINV(RAND(),1,Coefficients!$B$22)</f>
        <v>0.990288249263319</v>
      </c>
      <c r="C2278" s="0" t="n">
        <f aca="true">MEDIAN(8,16,ROUND(NORMINV(RAND(),Coefficients!$B$20,Coefficients!$B$21),0))</f>
        <v>14</v>
      </c>
      <c r="D2278" s="0" t="n">
        <f aca="true">CRITBINOM($C2278,MIN(0.75,Matchup!$B$39*$B2278),RAND())</f>
        <v>2</v>
      </c>
      <c r="E2278" s="0" t="n">
        <f aca="true">CRITBINOM(D2278,Coefficients!$B$30,RAND())</f>
        <v>0</v>
      </c>
      <c r="F2278" s="0" t="n">
        <f aca="true">CRITBINOM(E2278,Coefficients!$B$31,RAND())</f>
        <v>0</v>
      </c>
      <c r="G2278" s="0" t="n">
        <f aca="true">CRITBINOM(MAX(0,D2278-E2278),1-Coefficients!$B$32,RAND())</f>
        <v>0</v>
      </c>
      <c r="H2278" s="0" t="n">
        <f aca="true">CRITBINOM(MAX(0,$C2278-D2278),MIN(0.6,Matchup!$B$40*SQRT($B2278)/(1-MIN(0.75,Matchup!$B$39*$B2278))),RAND())</f>
        <v>1</v>
      </c>
      <c r="I2278" s="0" t="n">
        <f aca="false">6*D2278+(D2278-E2278-G2278)+2*F2278+3*H2278</f>
        <v>17</v>
      </c>
      <c r="J2278" s="0" t="n">
        <f aca="true">CRITBINOM($C2278,MIN(0.75,Matchup!$C$39*$B2278),RAND())</f>
        <v>3</v>
      </c>
      <c r="K2278" s="0" t="n">
        <f aca="true">CRITBINOM(J2278,Coefficients!$B$30,RAND())</f>
        <v>0</v>
      </c>
      <c r="L2278" s="0" t="n">
        <f aca="true">CRITBINOM(K2278,Coefficients!$B$31,RAND())</f>
        <v>0</v>
      </c>
      <c r="M2278" s="0" t="n">
        <f aca="true">CRITBINOM(MAX(0,J2278-K2278),1-Coefficients!$B$32,RAND())</f>
        <v>0</v>
      </c>
      <c r="N2278" s="0" t="n">
        <f aca="true">CRITBINOM(MAX(0,$C2278-J2278),MIN(0.6,Matchup!$C$40*SQRT($B2278)/(1-MIN(0.75,Matchup!$C$39*$B2278))),RAND())</f>
        <v>1</v>
      </c>
      <c r="O2278" s="0" t="n">
        <f aca="false">6*J2278+(J2278-K2278-M2278)+2*L2278+3*N2278</f>
        <v>24</v>
      </c>
      <c r="P2278" s="0" t="n">
        <f aca="true">RAND()</f>
        <v>0.601059251078207</v>
      </c>
      <c r="Q2278" s="0" t="n">
        <f aca="true">RAND()</f>
        <v>0.826756653097859</v>
      </c>
      <c r="R2278" s="0" t="n">
        <f aca="false">IF($I2278&lt;&gt;$O2278,0,IF(P2278&lt;Matchup!$B$39,7,IF(P2278&lt;Matchup!$B$39+Matchup!$B$40,3,0)))</f>
        <v>0</v>
      </c>
      <c r="S2278" s="0" t="n">
        <f aca="false">IF($I2278&lt;&gt;$O2278,0,IF(Q2278&lt;Matchup!$C$39,7,IF(Q2278&lt;Matchup!$C$39+Matchup!$C$40,3,0)))</f>
        <v>0</v>
      </c>
      <c r="T2278" s="0" t="n">
        <f aca="false">I2278+R2278</f>
        <v>17</v>
      </c>
      <c r="U2278" s="0" t="n">
        <f aca="false">O2278+S2278</f>
        <v>24</v>
      </c>
      <c r="V2278" s="0" t="n">
        <f aca="false">T2278-U2278</f>
        <v>-7</v>
      </c>
      <c r="W2278" s="0" t="n">
        <f aca="false">T2278+U2278</f>
        <v>41</v>
      </c>
    </row>
    <row r="2279" customFormat="false" ht="15" hidden="false" customHeight="false" outlineLevel="0" collapsed="false">
      <c r="A2279" s="0" t="n">
        <v>2276</v>
      </c>
      <c r="B2279" s="0" t="n">
        <f aca="true">NORMINV(RAND(),1,Coefficients!$B$22)</f>
        <v>0.942891188732148</v>
      </c>
      <c r="C2279" s="0" t="n">
        <f aca="true">MEDIAN(8,16,ROUND(NORMINV(RAND(),Coefficients!$B$20,Coefficients!$B$21),0))</f>
        <v>10</v>
      </c>
      <c r="D2279" s="0" t="n">
        <f aca="true">CRITBINOM($C2279,MIN(0.75,Matchup!$B$39*$B2279),RAND())</f>
        <v>3</v>
      </c>
      <c r="E2279" s="0" t="n">
        <f aca="true">CRITBINOM(D2279,Coefficients!$B$30,RAND())</f>
        <v>1</v>
      </c>
      <c r="F2279" s="0" t="n">
        <f aca="true">CRITBINOM(E2279,Coefficients!$B$31,RAND())</f>
        <v>0</v>
      </c>
      <c r="G2279" s="0" t="n">
        <f aca="true">CRITBINOM(MAX(0,D2279-E2279),1-Coefficients!$B$32,RAND())</f>
        <v>0</v>
      </c>
      <c r="H2279" s="0" t="n">
        <f aca="true">CRITBINOM(MAX(0,$C2279-D2279),MIN(0.6,Matchup!$B$40*SQRT($B2279)/(1-MIN(0.75,Matchup!$B$39*$B2279))),RAND())</f>
        <v>2</v>
      </c>
      <c r="I2279" s="0" t="n">
        <f aca="false">6*D2279+(D2279-E2279-G2279)+2*F2279+3*H2279</f>
        <v>26</v>
      </c>
      <c r="J2279" s="0" t="n">
        <f aca="true">CRITBINOM($C2279,MIN(0.75,Matchup!$C$39*$B2279),RAND())</f>
        <v>2</v>
      </c>
      <c r="K2279" s="0" t="n">
        <f aca="true">CRITBINOM(J2279,Coefficients!$B$30,RAND())</f>
        <v>0</v>
      </c>
      <c r="L2279" s="0" t="n">
        <f aca="true">CRITBINOM(K2279,Coefficients!$B$31,RAND())</f>
        <v>0</v>
      </c>
      <c r="M2279" s="0" t="n">
        <f aca="true">CRITBINOM(MAX(0,J2279-K2279),1-Coefficients!$B$32,RAND())</f>
        <v>0</v>
      </c>
      <c r="N2279" s="0" t="n">
        <f aca="true">CRITBINOM(MAX(0,$C2279-J2279),MIN(0.6,Matchup!$C$40*SQRT($B2279)/(1-MIN(0.75,Matchup!$C$39*$B2279))),RAND())</f>
        <v>0</v>
      </c>
      <c r="O2279" s="0" t="n">
        <f aca="false">6*J2279+(J2279-K2279-M2279)+2*L2279+3*N2279</f>
        <v>14</v>
      </c>
      <c r="P2279" s="0" t="n">
        <f aca="true">RAND()</f>
        <v>0.0658098520550531</v>
      </c>
      <c r="Q2279" s="0" t="n">
        <f aca="true">RAND()</f>
        <v>0.452105246951763</v>
      </c>
      <c r="R2279" s="0" t="n">
        <f aca="false">IF($I2279&lt;&gt;$O2279,0,IF(P2279&lt;Matchup!$B$39,7,IF(P2279&lt;Matchup!$B$39+Matchup!$B$40,3,0)))</f>
        <v>0</v>
      </c>
      <c r="S2279" s="0" t="n">
        <f aca="false">IF($I2279&lt;&gt;$O2279,0,IF(Q2279&lt;Matchup!$C$39,7,IF(Q2279&lt;Matchup!$C$39+Matchup!$C$40,3,0)))</f>
        <v>0</v>
      </c>
      <c r="T2279" s="0" t="n">
        <f aca="false">I2279+R2279</f>
        <v>26</v>
      </c>
      <c r="U2279" s="0" t="n">
        <f aca="false">O2279+S2279</f>
        <v>14</v>
      </c>
      <c r="V2279" s="0" t="n">
        <f aca="false">T2279-U2279</f>
        <v>12</v>
      </c>
      <c r="W2279" s="0" t="n">
        <f aca="false">T2279+U2279</f>
        <v>40</v>
      </c>
    </row>
    <row r="2280" customFormat="false" ht="15" hidden="false" customHeight="false" outlineLevel="0" collapsed="false">
      <c r="A2280" s="0" t="n">
        <v>2277</v>
      </c>
      <c r="B2280" s="0" t="n">
        <f aca="true">NORMINV(RAND(),1,Coefficients!$B$22)</f>
        <v>0.93106999106285</v>
      </c>
      <c r="C2280" s="0" t="n">
        <f aca="true">MEDIAN(8,16,ROUND(NORMINV(RAND(),Coefficients!$B$20,Coefficients!$B$21),0))</f>
        <v>13</v>
      </c>
      <c r="D2280" s="0" t="n">
        <f aca="true">CRITBINOM($C2280,MIN(0.75,Matchup!$B$39*$B2280),RAND())</f>
        <v>3</v>
      </c>
      <c r="E2280" s="0" t="n">
        <f aca="true">CRITBINOM(D2280,Coefficients!$B$30,RAND())</f>
        <v>1</v>
      </c>
      <c r="F2280" s="0" t="n">
        <f aca="true">CRITBINOM(E2280,Coefficients!$B$31,RAND())</f>
        <v>1</v>
      </c>
      <c r="G2280" s="0" t="n">
        <f aca="true">CRITBINOM(MAX(0,D2280-E2280),1-Coefficients!$B$32,RAND())</f>
        <v>0</v>
      </c>
      <c r="H2280" s="0" t="n">
        <f aca="true">CRITBINOM(MAX(0,$C2280-D2280),MIN(0.6,Matchup!$B$40*SQRT($B2280)/(1-MIN(0.75,Matchup!$B$39*$B2280))),RAND())</f>
        <v>1</v>
      </c>
      <c r="I2280" s="0" t="n">
        <f aca="false">6*D2280+(D2280-E2280-G2280)+2*F2280+3*H2280</f>
        <v>25</v>
      </c>
      <c r="J2280" s="0" t="n">
        <f aca="true">CRITBINOM($C2280,MIN(0.75,Matchup!$C$39*$B2280),RAND())</f>
        <v>4</v>
      </c>
      <c r="K2280" s="0" t="n">
        <f aca="true">CRITBINOM(J2280,Coefficients!$B$30,RAND())</f>
        <v>2</v>
      </c>
      <c r="L2280" s="0" t="n">
        <f aca="true">CRITBINOM(K2280,Coefficients!$B$31,RAND())</f>
        <v>0</v>
      </c>
      <c r="M2280" s="0" t="n">
        <f aca="true">CRITBINOM(MAX(0,J2280-K2280),1-Coefficients!$B$32,RAND())</f>
        <v>0</v>
      </c>
      <c r="N2280" s="0" t="n">
        <f aca="true">CRITBINOM(MAX(0,$C2280-J2280),MIN(0.6,Matchup!$C$40*SQRT($B2280)/(1-MIN(0.75,Matchup!$C$39*$B2280))),RAND())</f>
        <v>2</v>
      </c>
      <c r="O2280" s="0" t="n">
        <f aca="false">6*J2280+(J2280-K2280-M2280)+2*L2280+3*N2280</f>
        <v>32</v>
      </c>
      <c r="P2280" s="0" t="n">
        <f aca="true">RAND()</f>
        <v>0.74001863068776</v>
      </c>
      <c r="Q2280" s="0" t="n">
        <f aca="true">RAND()</f>
        <v>0.303161409618279</v>
      </c>
      <c r="R2280" s="0" t="n">
        <f aca="false">IF($I2280&lt;&gt;$O2280,0,IF(P2280&lt;Matchup!$B$39,7,IF(P2280&lt;Matchup!$B$39+Matchup!$B$40,3,0)))</f>
        <v>0</v>
      </c>
      <c r="S2280" s="0" t="n">
        <f aca="false">IF($I2280&lt;&gt;$O2280,0,IF(Q2280&lt;Matchup!$C$39,7,IF(Q2280&lt;Matchup!$C$39+Matchup!$C$40,3,0)))</f>
        <v>0</v>
      </c>
      <c r="T2280" s="0" t="n">
        <f aca="false">I2280+R2280</f>
        <v>25</v>
      </c>
      <c r="U2280" s="0" t="n">
        <f aca="false">O2280+S2280</f>
        <v>32</v>
      </c>
      <c r="V2280" s="0" t="n">
        <f aca="false">T2280-U2280</f>
        <v>-7</v>
      </c>
      <c r="W2280" s="0" t="n">
        <f aca="false">T2280+U2280</f>
        <v>57</v>
      </c>
    </row>
    <row r="2281" customFormat="false" ht="15" hidden="false" customHeight="false" outlineLevel="0" collapsed="false">
      <c r="A2281" s="0" t="n">
        <v>2278</v>
      </c>
      <c r="B2281" s="0" t="n">
        <f aca="true">NORMINV(RAND(),1,Coefficients!$B$22)</f>
        <v>0.983812428117624</v>
      </c>
      <c r="C2281" s="0" t="n">
        <f aca="true">MEDIAN(8,16,ROUND(NORMINV(RAND(),Coefficients!$B$20,Coefficients!$B$21),0))</f>
        <v>11</v>
      </c>
      <c r="D2281" s="0" t="n">
        <f aca="true">CRITBINOM($C2281,MIN(0.75,Matchup!$B$39*$B2281),RAND())</f>
        <v>0</v>
      </c>
      <c r="E2281" s="0" t="n">
        <f aca="true">CRITBINOM(D2281,Coefficients!$B$30,RAND())</f>
        <v>0</v>
      </c>
      <c r="F2281" s="0" t="n">
        <f aca="true">CRITBINOM(E2281,Coefficients!$B$31,RAND())</f>
        <v>0</v>
      </c>
      <c r="G2281" s="0" t="n">
        <f aca="true">CRITBINOM(MAX(0,D2281-E2281),1-Coefficients!$B$32,RAND())</f>
        <v>0</v>
      </c>
      <c r="H2281" s="0" t="n">
        <f aca="true">CRITBINOM(MAX(0,$C2281-D2281),MIN(0.6,Matchup!$B$40*SQRT($B2281)/(1-MIN(0.75,Matchup!$B$39*$B2281))),RAND())</f>
        <v>3</v>
      </c>
      <c r="I2281" s="0" t="n">
        <f aca="false">6*D2281+(D2281-E2281-G2281)+2*F2281+3*H2281</f>
        <v>9</v>
      </c>
      <c r="J2281" s="0" t="n">
        <f aca="true">CRITBINOM($C2281,MIN(0.75,Matchup!$C$39*$B2281),RAND())</f>
        <v>3</v>
      </c>
      <c r="K2281" s="0" t="n">
        <f aca="true">CRITBINOM(J2281,Coefficients!$B$30,RAND())</f>
        <v>0</v>
      </c>
      <c r="L2281" s="0" t="n">
        <f aca="true">CRITBINOM(K2281,Coefficients!$B$31,RAND())</f>
        <v>0</v>
      </c>
      <c r="M2281" s="0" t="n">
        <f aca="true">CRITBINOM(MAX(0,J2281-K2281),1-Coefficients!$B$32,RAND())</f>
        <v>1</v>
      </c>
      <c r="N2281" s="0" t="n">
        <f aca="true">CRITBINOM(MAX(0,$C2281-J2281),MIN(0.6,Matchup!$C$40*SQRT($B2281)/(1-MIN(0.75,Matchup!$C$39*$B2281))),RAND())</f>
        <v>1</v>
      </c>
      <c r="O2281" s="0" t="n">
        <f aca="false">6*J2281+(J2281-K2281-M2281)+2*L2281+3*N2281</f>
        <v>23</v>
      </c>
      <c r="P2281" s="0" t="n">
        <f aca="true">RAND()</f>
        <v>0.312362770384668</v>
      </c>
      <c r="Q2281" s="0" t="n">
        <f aca="true">RAND()</f>
        <v>0.256055886907354</v>
      </c>
      <c r="R2281" s="0" t="n">
        <f aca="false">IF($I2281&lt;&gt;$O2281,0,IF(P2281&lt;Matchup!$B$39,7,IF(P2281&lt;Matchup!$B$39+Matchup!$B$40,3,0)))</f>
        <v>0</v>
      </c>
      <c r="S2281" s="0" t="n">
        <f aca="false">IF($I2281&lt;&gt;$O2281,0,IF(Q2281&lt;Matchup!$C$39,7,IF(Q2281&lt;Matchup!$C$39+Matchup!$C$40,3,0)))</f>
        <v>0</v>
      </c>
      <c r="T2281" s="0" t="n">
        <f aca="false">I2281+R2281</f>
        <v>9</v>
      </c>
      <c r="U2281" s="0" t="n">
        <f aca="false">O2281+S2281</f>
        <v>23</v>
      </c>
      <c r="V2281" s="0" t="n">
        <f aca="false">T2281-U2281</f>
        <v>-14</v>
      </c>
      <c r="W2281" s="0" t="n">
        <f aca="false">T2281+U2281</f>
        <v>32</v>
      </c>
    </row>
    <row r="2282" customFormat="false" ht="15" hidden="false" customHeight="false" outlineLevel="0" collapsed="false">
      <c r="A2282" s="0" t="n">
        <v>2279</v>
      </c>
      <c r="B2282" s="0" t="n">
        <f aca="true">NORMINV(RAND(),1,Coefficients!$B$22)</f>
        <v>0.959002106882047</v>
      </c>
      <c r="C2282" s="0" t="n">
        <f aca="true">MEDIAN(8,16,ROUND(NORMINV(RAND(),Coefficients!$B$20,Coefficients!$B$21),0))</f>
        <v>10</v>
      </c>
      <c r="D2282" s="0" t="n">
        <f aca="true">CRITBINOM($C2282,MIN(0.75,Matchup!$B$39*$B2282),RAND())</f>
        <v>2</v>
      </c>
      <c r="E2282" s="0" t="n">
        <f aca="true">CRITBINOM(D2282,Coefficients!$B$30,RAND())</f>
        <v>0</v>
      </c>
      <c r="F2282" s="0" t="n">
        <f aca="true">CRITBINOM(E2282,Coefficients!$B$31,RAND())</f>
        <v>0</v>
      </c>
      <c r="G2282" s="0" t="n">
        <f aca="true">CRITBINOM(MAX(0,D2282-E2282),1-Coefficients!$B$32,RAND())</f>
        <v>0</v>
      </c>
      <c r="H2282" s="0" t="n">
        <f aca="true">CRITBINOM(MAX(0,$C2282-D2282),MIN(0.6,Matchup!$B$40*SQRT($B2282)/(1-MIN(0.75,Matchup!$B$39*$B2282))),RAND())</f>
        <v>1</v>
      </c>
      <c r="I2282" s="0" t="n">
        <f aca="false">6*D2282+(D2282-E2282-G2282)+2*F2282+3*H2282</f>
        <v>17</v>
      </c>
      <c r="J2282" s="0" t="n">
        <f aca="true">CRITBINOM($C2282,MIN(0.75,Matchup!$C$39*$B2282),RAND())</f>
        <v>2</v>
      </c>
      <c r="K2282" s="0" t="n">
        <f aca="true">CRITBINOM(J2282,Coefficients!$B$30,RAND())</f>
        <v>0</v>
      </c>
      <c r="L2282" s="0" t="n">
        <f aca="true">CRITBINOM(K2282,Coefficients!$B$31,RAND())</f>
        <v>0</v>
      </c>
      <c r="M2282" s="0" t="n">
        <f aca="true">CRITBINOM(MAX(0,J2282-K2282),1-Coefficients!$B$32,RAND())</f>
        <v>0</v>
      </c>
      <c r="N2282" s="0" t="n">
        <f aca="true">CRITBINOM(MAX(0,$C2282-J2282),MIN(0.6,Matchup!$C$40*SQRT($B2282)/(1-MIN(0.75,Matchup!$C$39*$B2282))),RAND())</f>
        <v>0</v>
      </c>
      <c r="O2282" s="0" t="n">
        <f aca="false">6*J2282+(J2282-K2282-M2282)+2*L2282+3*N2282</f>
        <v>14</v>
      </c>
      <c r="P2282" s="0" t="n">
        <f aca="true">RAND()</f>
        <v>0.37033234319508</v>
      </c>
      <c r="Q2282" s="0" t="n">
        <f aca="true">RAND()</f>
        <v>0.610848998185829</v>
      </c>
      <c r="R2282" s="0" t="n">
        <f aca="false">IF($I2282&lt;&gt;$O2282,0,IF(P2282&lt;Matchup!$B$39,7,IF(P2282&lt;Matchup!$B$39+Matchup!$B$40,3,0)))</f>
        <v>0</v>
      </c>
      <c r="S2282" s="0" t="n">
        <f aca="false">IF($I2282&lt;&gt;$O2282,0,IF(Q2282&lt;Matchup!$C$39,7,IF(Q2282&lt;Matchup!$C$39+Matchup!$C$40,3,0)))</f>
        <v>0</v>
      </c>
      <c r="T2282" s="0" t="n">
        <f aca="false">I2282+R2282</f>
        <v>17</v>
      </c>
      <c r="U2282" s="0" t="n">
        <f aca="false">O2282+S2282</f>
        <v>14</v>
      </c>
      <c r="V2282" s="0" t="n">
        <f aca="false">T2282-U2282</f>
        <v>3</v>
      </c>
      <c r="W2282" s="0" t="n">
        <f aca="false">T2282+U2282</f>
        <v>31</v>
      </c>
    </row>
    <row r="2283" customFormat="false" ht="15" hidden="false" customHeight="false" outlineLevel="0" collapsed="false">
      <c r="A2283" s="0" t="n">
        <v>2280</v>
      </c>
      <c r="B2283" s="0" t="n">
        <f aca="true">NORMINV(RAND(),1,Coefficients!$B$22)</f>
        <v>0.993830934046184</v>
      </c>
      <c r="C2283" s="0" t="n">
        <f aca="true">MEDIAN(8,16,ROUND(NORMINV(RAND(),Coefficients!$B$20,Coefficients!$B$21),0))</f>
        <v>11</v>
      </c>
      <c r="D2283" s="0" t="n">
        <f aca="true">CRITBINOM($C2283,MIN(0.75,Matchup!$B$39*$B2283),RAND())</f>
        <v>1</v>
      </c>
      <c r="E2283" s="0" t="n">
        <f aca="true">CRITBINOM(D2283,Coefficients!$B$30,RAND())</f>
        <v>0</v>
      </c>
      <c r="F2283" s="0" t="n">
        <f aca="true">CRITBINOM(E2283,Coefficients!$B$31,RAND())</f>
        <v>0</v>
      </c>
      <c r="G2283" s="0" t="n">
        <f aca="true">CRITBINOM(MAX(0,D2283-E2283),1-Coefficients!$B$32,RAND())</f>
        <v>0</v>
      </c>
      <c r="H2283" s="0" t="n">
        <f aca="true">CRITBINOM(MAX(0,$C2283-D2283),MIN(0.6,Matchup!$B$40*SQRT($B2283)/(1-MIN(0.75,Matchup!$B$39*$B2283))),RAND())</f>
        <v>1</v>
      </c>
      <c r="I2283" s="0" t="n">
        <f aca="false">6*D2283+(D2283-E2283-G2283)+2*F2283+3*H2283</f>
        <v>10</v>
      </c>
      <c r="J2283" s="0" t="n">
        <f aca="true">CRITBINOM($C2283,MIN(0.75,Matchup!$C$39*$B2283),RAND())</f>
        <v>4</v>
      </c>
      <c r="K2283" s="0" t="n">
        <f aca="true">CRITBINOM(J2283,Coefficients!$B$30,RAND())</f>
        <v>0</v>
      </c>
      <c r="L2283" s="0" t="n">
        <f aca="true">CRITBINOM(K2283,Coefficients!$B$31,RAND())</f>
        <v>0</v>
      </c>
      <c r="M2283" s="0" t="n">
        <f aca="true">CRITBINOM(MAX(0,J2283-K2283),1-Coefficients!$B$32,RAND())</f>
        <v>0</v>
      </c>
      <c r="N2283" s="0" t="n">
        <f aca="true">CRITBINOM(MAX(0,$C2283-J2283),MIN(0.6,Matchup!$C$40*SQRT($B2283)/(1-MIN(0.75,Matchup!$C$39*$B2283))),RAND())</f>
        <v>0</v>
      </c>
      <c r="O2283" s="0" t="n">
        <f aca="false">6*J2283+(J2283-K2283-M2283)+2*L2283+3*N2283</f>
        <v>28</v>
      </c>
      <c r="P2283" s="0" t="n">
        <f aca="true">RAND()</f>
        <v>0.936565826770913</v>
      </c>
      <c r="Q2283" s="0" t="n">
        <f aca="true">RAND()</f>
        <v>0.634255990666805</v>
      </c>
      <c r="R2283" s="0" t="n">
        <f aca="false">IF($I2283&lt;&gt;$O2283,0,IF(P2283&lt;Matchup!$B$39,7,IF(P2283&lt;Matchup!$B$39+Matchup!$B$40,3,0)))</f>
        <v>0</v>
      </c>
      <c r="S2283" s="0" t="n">
        <f aca="false">IF($I2283&lt;&gt;$O2283,0,IF(Q2283&lt;Matchup!$C$39,7,IF(Q2283&lt;Matchup!$C$39+Matchup!$C$40,3,0)))</f>
        <v>0</v>
      </c>
      <c r="T2283" s="0" t="n">
        <f aca="false">I2283+R2283</f>
        <v>10</v>
      </c>
      <c r="U2283" s="0" t="n">
        <f aca="false">O2283+S2283</f>
        <v>28</v>
      </c>
      <c r="V2283" s="0" t="n">
        <f aca="false">T2283-U2283</f>
        <v>-18</v>
      </c>
      <c r="W2283" s="0" t="n">
        <f aca="false">T2283+U2283</f>
        <v>38</v>
      </c>
    </row>
    <row r="2284" customFormat="false" ht="15" hidden="false" customHeight="false" outlineLevel="0" collapsed="false">
      <c r="A2284" s="0" t="n">
        <v>2281</v>
      </c>
      <c r="B2284" s="0" t="n">
        <f aca="true">NORMINV(RAND(),1,Coefficients!$B$22)</f>
        <v>1.02229798469817</v>
      </c>
      <c r="C2284" s="0" t="n">
        <f aca="true">MEDIAN(8,16,ROUND(NORMINV(RAND(),Coefficients!$B$20,Coefficients!$B$21),0))</f>
        <v>12</v>
      </c>
      <c r="D2284" s="0" t="n">
        <f aca="true">CRITBINOM($C2284,MIN(0.75,Matchup!$B$39*$B2284),RAND())</f>
        <v>6</v>
      </c>
      <c r="E2284" s="0" t="n">
        <f aca="true">CRITBINOM(D2284,Coefficients!$B$30,RAND())</f>
        <v>1</v>
      </c>
      <c r="F2284" s="0" t="n">
        <f aca="true">CRITBINOM(E2284,Coefficients!$B$31,RAND())</f>
        <v>0</v>
      </c>
      <c r="G2284" s="0" t="n">
        <f aca="true">CRITBINOM(MAX(0,D2284-E2284),1-Coefficients!$B$32,RAND())</f>
        <v>0</v>
      </c>
      <c r="H2284" s="0" t="n">
        <f aca="true">CRITBINOM(MAX(0,$C2284-D2284),MIN(0.6,Matchup!$B$40*SQRT($B2284)/(1-MIN(0.75,Matchup!$B$39*$B2284))),RAND())</f>
        <v>0</v>
      </c>
      <c r="I2284" s="0" t="n">
        <f aca="false">6*D2284+(D2284-E2284-G2284)+2*F2284+3*H2284</f>
        <v>41</v>
      </c>
      <c r="J2284" s="0" t="n">
        <f aca="true">CRITBINOM($C2284,MIN(0.75,Matchup!$C$39*$B2284),RAND())</f>
        <v>4</v>
      </c>
      <c r="K2284" s="0" t="n">
        <f aca="true">CRITBINOM(J2284,Coefficients!$B$30,RAND())</f>
        <v>0</v>
      </c>
      <c r="L2284" s="0" t="n">
        <f aca="true">CRITBINOM(K2284,Coefficients!$B$31,RAND())</f>
        <v>0</v>
      </c>
      <c r="M2284" s="0" t="n">
        <f aca="true">CRITBINOM(MAX(0,J2284-K2284),1-Coefficients!$B$32,RAND())</f>
        <v>2</v>
      </c>
      <c r="N2284" s="0" t="n">
        <f aca="true">CRITBINOM(MAX(0,$C2284-J2284),MIN(0.6,Matchup!$C$40*SQRT($B2284)/(1-MIN(0.75,Matchup!$C$39*$B2284))),RAND())</f>
        <v>2</v>
      </c>
      <c r="O2284" s="0" t="n">
        <f aca="false">6*J2284+(J2284-K2284-M2284)+2*L2284+3*N2284</f>
        <v>32</v>
      </c>
      <c r="P2284" s="0" t="n">
        <f aca="true">RAND()</f>
        <v>0.717812192100064</v>
      </c>
      <c r="Q2284" s="0" t="n">
        <f aca="true">RAND()</f>
        <v>0.901520342310325</v>
      </c>
      <c r="R2284" s="0" t="n">
        <f aca="false">IF($I2284&lt;&gt;$O2284,0,IF(P2284&lt;Matchup!$B$39,7,IF(P2284&lt;Matchup!$B$39+Matchup!$B$40,3,0)))</f>
        <v>0</v>
      </c>
      <c r="S2284" s="0" t="n">
        <f aca="false">IF($I2284&lt;&gt;$O2284,0,IF(Q2284&lt;Matchup!$C$39,7,IF(Q2284&lt;Matchup!$C$39+Matchup!$C$40,3,0)))</f>
        <v>0</v>
      </c>
      <c r="T2284" s="0" t="n">
        <f aca="false">I2284+R2284</f>
        <v>41</v>
      </c>
      <c r="U2284" s="0" t="n">
        <f aca="false">O2284+S2284</f>
        <v>32</v>
      </c>
      <c r="V2284" s="0" t="n">
        <f aca="false">T2284-U2284</f>
        <v>9</v>
      </c>
      <c r="W2284" s="0" t="n">
        <f aca="false">T2284+U2284</f>
        <v>73</v>
      </c>
    </row>
    <row r="2285" customFormat="false" ht="15" hidden="false" customHeight="false" outlineLevel="0" collapsed="false">
      <c r="A2285" s="0" t="n">
        <v>2282</v>
      </c>
      <c r="B2285" s="0" t="n">
        <f aca="true">NORMINV(RAND(),1,Coefficients!$B$22)</f>
        <v>1.08782941657924</v>
      </c>
      <c r="C2285" s="0" t="n">
        <f aca="true">MEDIAN(8,16,ROUND(NORMINV(RAND(),Coefficients!$B$20,Coefficients!$B$21),0))</f>
        <v>11</v>
      </c>
      <c r="D2285" s="0" t="n">
        <f aca="true">CRITBINOM($C2285,MIN(0.75,Matchup!$B$39*$B2285),RAND())</f>
        <v>3</v>
      </c>
      <c r="E2285" s="0" t="n">
        <f aca="true">CRITBINOM(D2285,Coefficients!$B$30,RAND())</f>
        <v>1</v>
      </c>
      <c r="F2285" s="0" t="n">
        <f aca="true">CRITBINOM(E2285,Coefficients!$B$31,RAND())</f>
        <v>1</v>
      </c>
      <c r="G2285" s="0" t="n">
        <f aca="true">CRITBINOM(MAX(0,D2285-E2285),1-Coefficients!$B$32,RAND())</f>
        <v>0</v>
      </c>
      <c r="H2285" s="0" t="n">
        <f aca="true">CRITBINOM(MAX(0,$C2285-D2285),MIN(0.6,Matchup!$B$40*SQRT($B2285)/(1-MIN(0.75,Matchup!$B$39*$B2285))),RAND())</f>
        <v>1</v>
      </c>
      <c r="I2285" s="0" t="n">
        <f aca="false">6*D2285+(D2285-E2285-G2285)+2*F2285+3*H2285</f>
        <v>25</v>
      </c>
      <c r="J2285" s="0" t="n">
        <f aca="true">CRITBINOM($C2285,MIN(0.75,Matchup!$C$39*$B2285),RAND())</f>
        <v>2</v>
      </c>
      <c r="K2285" s="0" t="n">
        <f aca="true">CRITBINOM(J2285,Coefficients!$B$30,RAND())</f>
        <v>0</v>
      </c>
      <c r="L2285" s="0" t="n">
        <f aca="true">CRITBINOM(K2285,Coefficients!$B$31,RAND())</f>
        <v>0</v>
      </c>
      <c r="M2285" s="0" t="n">
        <f aca="true">CRITBINOM(MAX(0,J2285-K2285),1-Coefficients!$B$32,RAND())</f>
        <v>0</v>
      </c>
      <c r="N2285" s="0" t="n">
        <f aca="true">CRITBINOM(MAX(0,$C2285-J2285),MIN(0.6,Matchup!$C$40*SQRT($B2285)/(1-MIN(0.75,Matchup!$C$39*$B2285))),RAND())</f>
        <v>2</v>
      </c>
      <c r="O2285" s="0" t="n">
        <f aca="false">6*J2285+(J2285-K2285-M2285)+2*L2285+3*N2285</f>
        <v>20</v>
      </c>
      <c r="P2285" s="0" t="n">
        <f aca="true">RAND()</f>
        <v>0.802885664979995</v>
      </c>
      <c r="Q2285" s="0" t="n">
        <f aca="true">RAND()</f>
        <v>0.214301156232816</v>
      </c>
      <c r="R2285" s="0" t="n">
        <f aca="false">IF($I2285&lt;&gt;$O2285,0,IF(P2285&lt;Matchup!$B$39,7,IF(P2285&lt;Matchup!$B$39+Matchup!$B$40,3,0)))</f>
        <v>0</v>
      </c>
      <c r="S2285" s="0" t="n">
        <f aca="false">IF($I2285&lt;&gt;$O2285,0,IF(Q2285&lt;Matchup!$C$39,7,IF(Q2285&lt;Matchup!$C$39+Matchup!$C$40,3,0)))</f>
        <v>0</v>
      </c>
      <c r="T2285" s="0" t="n">
        <f aca="false">I2285+R2285</f>
        <v>25</v>
      </c>
      <c r="U2285" s="0" t="n">
        <f aca="false">O2285+S2285</f>
        <v>20</v>
      </c>
      <c r="V2285" s="0" t="n">
        <f aca="false">T2285-U2285</f>
        <v>5</v>
      </c>
      <c r="W2285" s="0" t="n">
        <f aca="false">T2285+U2285</f>
        <v>45</v>
      </c>
    </row>
    <row r="2286" customFormat="false" ht="15" hidden="false" customHeight="false" outlineLevel="0" collapsed="false">
      <c r="A2286" s="0" t="n">
        <v>2283</v>
      </c>
      <c r="B2286" s="0" t="n">
        <f aca="true">NORMINV(RAND(),1,Coefficients!$B$22)</f>
        <v>1.05101861158716</v>
      </c>
      <c r="C2286" s="0" t="n">
        <f aca="true">MEDIAN(8,16,ROUND(NORMINV(RAND(),Coefficients!$B$20,Coefficients!$B$21),0))</f>
        <v>11</v>
      </c>
      <c r="D2286" s="0" t="n">
        <f aca="true">CRITBINOM($C2286,MIN(0.75,Matchup!$B$39*$B2286),RAND())</f>
        <v>1</v>
      </c>
      <c r="E2286" s="0" t="n">
        <f aca="true">CRITBINOM(D2286,Coefficients!$B$30,RAND())</f>
        <v>0</v>
      </c>
      <c r="F2286" s="0" t="n">
        <f aca="true">CRITBINOM(E2286,Coefficients!$B$31,RAND())</f>
        <v>0</v>
      </c>
      <c r="G2286" s="0" t="n">
        <f aca="true">CRITBINOM(MAX(0,D2286-E2286),1-Coefficients!$B$32,RAND())</f>
        <v>0</v>
      </c>
      <c r="H2286" s="0" t="n">
        <f aca="true">CRITBINOM(MAX(0,$C2286-D2286),MIN(0.6,Matchup!$B$40*SQRT($B2286)/(1-MIN(0.75,Matchup!$B$39*$B2286))),RAND())</f>
        <v>2</v>
      </c>
      <c r="I2286" s="0" t="n">
        <f aca="false">6*D2286+(D2286-E2286-G2286)+2*F2286+3*H2286</f>
        <v>13</v>
      </c>
      <c r="J2286" s="0" t="n">
        <f aca="true">CRITBINOM($C2286,MIN(0.75,Matchup!$C$39*$B2286),RAND())</f>
        <v>3</v>
      </c>
      <c r="K2286" s="0" t="n">
        <f aca="true">CRITBINOM(J2286,Coefficients!$B$30,RAND())</f>
        <v>0</v>
      </c>
      <c r="L2286" s="0" t="n">
        <f aca="true">CRITBINOM(K2286,Coefficients!$B$31,RAND())</f>
        <v>0</v>
      </c>
      <c r="M2286" s="0" t="n">
        <f aca="true">CRITBINOM(MAX(0,J2286-K2286),1-Coefficients!$B$32,RAND())</f>
        <v>0</v>
      </c>
      <c r="N2286" s="0" t="n">
        <f aca="true">CRITBINOM(MAX(0,$C2286-J2286),MIN(0.6,Matchup!$C$40*SQRT($B2286)/(1-MIN(0.75,Matchup!$C$39*$B2286))),RAND())</f>
        <v>2</v>
      </c>
      <c r="O2286" s="0" t="n">
        <f aca="false">6*J2286+(J2286-K2286-M2286)+2*L2286+3*N2286</f>
        <v>27</v>
      </c>
      <c r="P2286" s="0" t="n">
        <f aca="true">RAND()</f>
        <v>0.186600352118007</v>
      </c>
      <c r="Q2286" s="0" t="n">
        <f aca="true">RAND()</f>
        <v>0.191194792843424</v>
      </c>
      <c r="R2286" s="0" t="n">
        <f aca="false">IF($I2286&lt;&gt;$O2286,0,IF(P2286&lt;Matchup!$B$39,7,IF(P2286&lt;Matchup!$B$39+Matchup!$B$40,3,0)))</f>
        <v>0</v>
      </c>
      <c r="S2286" s="0" t="n">
        <f aca="false">IF($I2286&lt;&gt;$O2286,0,IF(Q2286&lt;Matchup!$C$39,7,IF(Q2286&lt;Matchup!$C$39+Matchup!$C$40,3,0)))</f>
        <v>0</v>
      </c>
      <c r="T2286" s="0" t="n">
        <f aca="false">I2286+R2286</f>
        <v>13</v>
      </c>
      <c r="U2286" s="0" t="n">
        <f aca="false">O2286+S2286</f>
        <v>27</v>
      </c>
      <c r="V2286" s="0" t="n">
        <f aca="false">T2286-U2286</f>
        <v>-14</v>
      </c>
      <c r="W2286" s="0" t="n">
        <f aca="false">T2286+U2286</f>
        <v>40</v>
      </c>
    </row>
    <row r="2287" customFormat="false" ht="15" hidden="false" customHeight="false" outlineLevel="0" collapsed="false">
      <c r="A2287" s="0" t="n">
        <v>2284</v>
      </c>
      <c r="B2287" s="0" t="n">
        <f aca="true">NORMINV(RAND(),1,Coefficients!$B$22)</f>
        <v>1.04852709226907</v>
      </c>
      <c r="C2287" s="0" t="n">
        <f aca="true">MEDIAN(8,16,ROUND(NORMINV(RAND(),Coefficients!$B$20,Coefficients!$B$21),0))</f>
        <v>12</v>
      </c>
      <c r="D2287" s="0" t="n">
        <f aca="true">CRITBINOM($C2287,MIN(0.75,Matchup!$B$39*$B2287),RAND())</f>
        <v>2</v>
      </c>
      <c r="E2287" s="0" t="n">
        <f aca="true">CRITBINOM(D2287,Coefficients!$B$30,RAND())</f>
        <v>0</v>
      </c>
      <c r="F2287" s="0" t="n">
        <f aca="true">CRITBINOM(E2287,Coefficients!$B$31,RAND())</f>
        <v>0</v>
      </c>
      <c r="G2287" s="0" t="n">
        <f aca="true">CRITBINOM(MAX(0,D2287-E2287),1-Coefficients!$B$32,RAND())</f>
        <v>0</v>
      </c>
      <c r="H2287" s="0" t="n">
        <f aca="true">CRITBINOM(MAX(0,$C2287-D2287),MIN(0.6,Matchup!$B$40*SQRT($B2287)/(1-MIN(0.75,Matchup!$B$39*$B2287))),RAND())</f>
        <v>1</v>
      </c>
      <c r="I2287" s="0" t="n">
        <f aca="false">6*D2287+(D2287-E2287-G2287)+2*F2287+3*H2287</f>
        <v>17</v>
      </c>
      <c r="J2287" s="0" t="n">
        <f aca="true">CRITBINOM($C2287,MIN(0.75,Matchup!$C$39*$B2287),RAND())</f>
        <v>3</v>
      </c>
      <c r="K2287" s="0" t="n">
        <f aca="true">CRITBINOM(J2287,Coefficients!$B$30,RAND())</f>
        <v>0</v>
      </c>
      <c r="L2287" s="0" t="n">
        <f aca="true">CRITBINOM(K2287,Coefficients!$B$31,RAND())</f>
        <v>0</v>
      </c>
      <c r="M2287" s="0" t="n">
        <f aca="true">CRITBINOM(MAX(0,J2287-K2287),1-Coefficients!$B$32,RAND())</f>
        <v>0</v>
      </c>
      <c r="N2287" s="0" t="n">
        <f aca="true">CRITBINOM(MAX(0,$C2287-J2287),MIN(0.6,Matchup!$C$40*SQRT($B2287)/(1-MIN(0.75,Matchup!$C$39*$B2287))),RAND())</f>
        <v>2</v>
      </c>
      <c r="O2287" s="0" t="n">
        <f aca="false">6*J2287+(J2287-K2287-M2287)+2*L2287+3*N2287</f>
        <v>27</v>
      </c>
      <c r="P2287" s="0" t="n">
        <f aca="true">RAND()</f>
        <v>0.696905602572889</v>
      </c>
      <c r="Q2287" s="0" t="n">
        <f aca="true">RAND()</f>
        <v>0.855717308470759</v>
      </c>
      <c r="R2287" s="0" t="n">
        <f aca="false">IF($I2287&lt;&gt;$O2287,0,IF(P2287&lt;Matchup!$B$39,7,IF(P2287&lt;Matchup!$B$39+Matchup!$B$40,3,0)))</f>
        <v>0</v>
      </c>
      <c r="S2287" s="0" t="n">
        <f aca="false">IF($I2287&lt;&gt;$O2287,0,IF(Q2287&lt;Matchup!$C$39,7,IF(Q2287&lt;Matchup!$C$39+Matchup!$C$40,3,0)))</f>
        <v>0</v>
      </c>
      <c r="T2287" s="0" t="n">
        <f aca="false">I2287+R2287</f>
        <v>17</v>
      </c>
      <c r="U2287" s="0" t="n">
        <f aca="false">O2287+S2287</f>
        <v>27</v>
      </c>
      <c r="V2287" s="0" t="n">
        <f aca="false">T2287-U2287</f>
        <v>-10</v>
      </c>
      <c r="W2287" s="0" t="n">
        <f aca="false">T2287+U2287</f>
        <v>44</v>
      </c>
    </row>
    <row r="2288" customFormat="false" ht="15" hidden="false" customHeight="false" outlineLevel="0" collapsed="false">
      <c r="A2288" s="0" t="n">
        <v>2285</v>
      </c>
      <c r="B2288" s="0" t="n">
        <f aca="true">NORMINV(RAND(),1,Coefficients!$B$22)</f>
        <v>1.00548922667953</v>
      </c>
      <c r="C2288" s="0" t="n">
        <f aca="true">MEDIAN(8,16,ROUND(NORMINV(RAND(),Coefficients!$B$20,Coefficients!$B$21),0))</f>
        <v>11</v>
      </c>
      <c r="D2288" s="0" t="n">
        <f aca="true">CRITBINOM($C2288,MIN(0.75,Matchup!$B$39*$B2288),RAND())</f>
        <v>3</v>
      </c>
      <c r="E2288" s="0" t="n">
        <f aca="true">CRITBINOM(D2288,Coefficients!$B$30,RAND())</f>
        <v>0</v>
      </c>
      <c r="F2288" s="0" t="n">
        <f aca="true">CRITBINOM(E2288,Coefficients!$B$31,RAND())</f>
        <v>0</v>
      </c>
      <c r="G2288" s="0" t="n">
        <f aca="true">CRITBINOM(MAX(0,D2288-E2288),1-Coefficients!$B$32,RAND())</f>
        <v>0</v>
      </c>
      <c r="H2288" s="0" t="n">
        <f aca="true">CRITBINOM(MAX(0,$C2288-D2288),MIN(0.6,Matchup!$B$40*SQRT($B2288)/(1-MIN(0.75,Matchup!$B$39*$B2288))),RAND())</f>
        <v>4</v>
      </c>
      <c r="I2288" s="0" t="n">
        <f aca="false">6*D2288+(D2288-E2288-G2288)+2*F2288+3*H2288</f>
        <v>33</v>
      </c>
      <c r="J2288" s="0" t="n">
        <f aca="true">CRITBINOM($C2288,MIN(0.75,Matchup!$C$39*$B2288),RAND())</f>
        <v>6</v>
      </c>
      <c r="K2288" s="0" t="n">
        <f aca="true">CRITBINOM(J2288,Coefficients!$B$30,RAND())</f>
        <v>0</v>
      </c>
      <c r="L2288" s="0" t="n">
        <f aca="true">CRITBINOM(K2288,Coefficients!$B$31,RAND())</f>
        <v>0</v>
      </c>
      <c r="M2288" s="0" t="n">
        <f aca="true">CRITBINOM(MAX(0,J2288-K2288),1-Coefficients!$B$32,RAND())</f>
        <v>1</v>
      </c>
      <c r="N2288" s="0" t="n">
        <f aca="true">CRITBINOM(MAX(0,$C2288-J2288),MIN(0.6,Matchup!$C$40*SQRT($B2288)/(1-MIN(0.75,Matchup!$C$39*$B2288))),RAND())</f>
        <v>1</v>
      </c>
      <c r="O2288" s="0" t="n">
        <f aca="false">6*J2288+(J2288-K2288-M2288)+2*L2288+3*N2288</f>
        <v>44</v>
      </c>
      <c r="P2288" s="0" t="n">
        <f aca="true">RAND()</f>
        <v>0.632945864802537</v>
      </c>
      <c r="Q2288" s="0" t="n">
        <f aca="true">RAND()</f>
        <v>0.242064363983363</v>
      </c>
      <c r="R2288" s="0" t="n">
        <f aca="false">IF($I2288&lt;&gt;$O2288,0,IF(P2288&lt;Matchup!$B$39,7,IF(P2288&lt;Matchup!$B$39+Matchup!$B$40,3,0)))</f>
        <v>0</v>
      </c>
      <c r="S2288" s="0" t="n">
        <f aca="false">IF($I2288&lt;&gt;$O2288,0,IF(Q2288&lt;Matchup!$C$39,7,IF(Q2288&lt;Matchup!$C$39+Matchup!$C$40,3,0)))</f>
        <v>0</v>
      </c>
      <c r="T2288" s="0" t="n">
        <f aca="false">I2288+R2288</f>
        <v>33</v>
      </c>
      <c r="U2288" s="0" t="n">
        <f aca="false">O2288+S2288</f>
        <v>44</v>
      </c>
      <c r="V2288" s="0" t="n">
        <f aca="false">T2288-U2288</f>
        <v>-11</v>
      </c>
      <c r="W2288" s="0" t="n">
        <f aca="false">T2288+U2288</f>
        <v>77</v>
      </c>
    </row>
    <row r="2289" customFormat="false" ht="15" hidden="false" customHeight="false" outlineLevel="0" collapsed="false">
      <c r="A2289" s="0" t="n">
        <v>2286</v>
      </c>
      <c r="B2289" s="0" t="n">
        <f aca="true">NORMINV(RAND(),1,Coefficients!$B$22)</f>
        <v>1.00250014271636</v>
      </c>
      <c r="C2289" s="0" t="n">
        <f aca="true">MEDIAN(8,16,ROUND(NORMINV(RAND(),Coefficients!$B$20,Coefficients!$B$21),0))</f>
        <v>10</v>
      </c>
      <c r="D2289" s="0" t="n">
        <f aca="true">CRITBINOM($C2289,MIN(0.75,Matchup!$B$39*$B2289),RAND())</f>
        <v>3</v>
      </c>
      <c r="E2289" s="0" t="n">
        <f aca="true">CRITBINOM(D2289,Coefficients!$B$30,RAND())</f>
        <v>0</v>
      </c>
      <c r="F2289" s="0" t="n">
        <f aca="true">CRITBINOM(E2289,Coefficients!$B$31,RAND())</f>
        <v>0</v>
      </c>
      <c r="G2289" s="0" t="n">
        <f aca="true">CRITBINOM(MAX(0,D2289-E2289),1-Coefficients!$B$32,RAND())</f>
        <v>0</v>
      </c>
      <c r="H2289" s="0" t="n">
        <f aca="true">CRITBINOM(MAX(0,$C2289-D2289),MIN(0.6,Matchup!$B$40*SQRT($B2289)/(1-MIN(0.75,Matchup!$B$39*$B2289))),RAND())</f>
        <v>3</v>
      </c>
      <c r="I2289" s="0" t="n">
        <f aca="false">6*D2289+(D2289-E2289-G2289)+2*F2289+3*H2289</f>
        <v>30</v>
      </c>
      <c r="J2289" s="0" t="n">
        <f aca="true">CRITBINOM($C2289,MIN(0.75,Matchup!$C$39*$B2289),RAND())</f>
        <v>2</v>
      </c>
      <c r="K2289" s="0" t="n">
        <f aca="true">CRITBINOM(J2289,Coefficients!$B$30,RAND())</f>
        <v>0</v>
      </c>
      <c r="L2289" s="0" t="n">
        <f aca="true">CRITBINOM(K2289,Coefficients!$B$31,RAND())</f>
        <v>0</v>
      </c>
      <c r="M2289" s="0" t="n">
        <f aca="true">CRITBINOM(MAX(0,J2289-K2289),1-Coefficients!$B$32,RAND())</f>
        <v>1</v>
      </c>
      <c r="N2289" s="0" t="n">
        <f aca="true">CRITBINOM(MAX(0,$C2289-J2289),MIN(0.6,Matchup!$C$40*SQRT($B2289)/(1-MIN(0.75,Matchup!$C$39*$B2289))),RAND())</f>
        <v>1</v>
      </c>
      <c r="O2289" s="0" t="n">
        <f aca="false">6*J2289+(J2289-K2289-M2289)+2*L2289+3*N2289</f>
        <v>16</v>
      </c>
      <c r="P2289" s="0" t="n">
        <f aca="true">RAND()</f>
        <v>0.079862108520951</v>
      </c>
      <c r="Q2289" s="0" t="n">
        <f aca="true">RAND()</f>
        <v>0.555628047309495</v>
      </c>
      <c r="R2289" s="0" t="n">
        <f aca="false">IF($I2289&lt;&gt;$O2289,0,IF(P2289&lt;Matchup!$B$39,7,IF(P2289&lt;Matchup!$B$39+Matchup!$B$40,3,0)))</f>
        <v>0</v>
      </c>
      <c r="S2289" s="0" t="n">
        <f aca="false">IF($I2289&lt;&gt;$O2289,0,IF(Q2289&lt;Matchup!$C$39,7,IF(Q2289&lt;Matchup!$C$39+Matchup!$C$40,3,0)))</f>
        <v>0</v>
      </c>
      <c r="T2289" s="0" t="n">
        <f aca="false">I2289+R2289</f>
        <v>30</v>
      </c>
      <c r="U2289" s="0" t="n">
        <f aca="false">O2289+S2289</f>
        <v>16</v>
      </c>
      <c r="V2289" s="0" t="n">
        <f aca="false">T2289-U2289</f>
        <v>14</v>
      </c>
      <c r="W2289" s="0" t="n">
        <f aca="false">T2289+U2289</f>
        <v>46</v>
      </c>
    </row>
    <row r="2290" customFormat="false" ht="15" hidden="false" customHeight="false" outlineLevel="0" collapsed="false">
      <c r="A2290" s="0" t="n">
        <v>2287</v>
      </c>
      <c r="B2290" s="0" t="n">
        <f aca="true">NORMINV(RAND(),1,Coefficients!$B$22)</f>
        <v>0.867272552093477</v>
      </c>
      <c r="C2290" s="0" t="n">
        <f aca="true">MEDIAN(8,16,ROUND(NORMINV(RAND(),Coefficients!$B$20,Coefficients!$B$21),0))</f>
        <v>9</v>
      </c>
      <c r="D2290" s="0" t="n">
        <f aca="true">CRITBINOM($C2290,MIN(0.75,Matchup!$B$39*$B2290),RAND())</f>
        <v>2</v>
      </c>
      <c r="E2290" s="0" t="n">
        <f aca="true">CRITBINOM(D2290,Coefficients!$B$30,RAND())</f>
        <v>0</v>
      </c>
      <c r="F2290" s="0" t="n">
        <f aca="true">CRITBINOM(E2290,Coefficients!$B$31,RAND())</f>
        <v>0</v>
      </c>
      <c r="G2290" s="0" t="n">
        <f aca="true">CRITBINOM(MAX(0,D2290-E2290),1-Coefficients!$B$32,RAND())</f>
        <v>0</v>
      </c>
      <c r="H2290" s="0" t="n">
        <f aca="true">CRITBINOM(MAX(0,$C2290-D2290),MIN(0.6,Matchup!$B$40*SQRT($B2290)/(1-MIN(0.75,Matchup!$B$39*$B2290))),RAND())</f>
        <v>1</v>
      </c>
      <c r="I2290" s="0" t="n">
        <f aca="false">6*D2290+(D2290-E2290-G2290)+2*F2290+3*H2290</f>
        <v>17</v>
      </c>
      <c r="J2290" s="0" t="n">
        <f aca="true">CRITBINOM($C2290,MIN(0.75,Matchup!$C$39*$B2290),RAND())</f>
        <v>3</v>
      </c>
      <c r="K2290" s="0" t="n">
        <f aca="true">CRITBINOM(J2290,Coefficients!$B$30,RAND())</f>
        <v>1</v>
      </c>
      <c r="L2290" s="0" t="n">
        <f aca="true">CRITBINOM(K2290,Coefficients!$B$31,RAND())</f>
        <v>1</v>
      </c>
      <c r="M2290" s="0" t="n">
        <f aca="true">CRITBINOM(MAX(0,J2290-K2290),1-Coefficients!$B$32,RAND())</f>
        <v>0</v>
      </c>
      <c r="N2290" s="0" t="n">
        <f aca="true">CRITBINOM(MAX(0,$C2290-J2290),MIN(0.6,Matchup!$C$40*SQRT($B2290)/(1-MIN(0.75,Matchup!$C$39*$B2290))),RAND())</f>
        <v>1</v>
      </c>
      <c r="O2290" s="0" t="n">
        <f aca="false">6*J2290+(J2290-K2290-M2290)+2*L2290+3*N2290</f>
        <v>25</v>
      </c>
      <c r="P2290" s="0" t="n">
        <f aca="true">RAND()</f>
        <v>0.0846393587271734</v>
      </c>
      <c r="Q2290" s="0" t="n">
        <f aca="true">RAND()</f>
        <v>0.292430273074929</v>
      </c>
      <c r="R2290" s="0" t="n">
        <f aca="false">IF($I2290&lt;&gt;$O2290,0,IF(P2290&lt;Matchup!$B$39,7,IF(P2290&lt;Matchup!$B$39+Matchup!$B$40,3,0)))</f>
        <v>0</v>
      </c>
      <c r="S2290" s="0" t="n">
        <f aca="false">IF($I2290&lt;&gt;$O2290,0,IF(Q2290&lt;Matchup!$C$39,7,IF(Q2290&lt;Matchup!$C$39+Matchup!$C$40,3,0)))</f>
        <v>0</v>
      </c>
      <c r="T2290" s="0" t="n">
        <f aca="false">I2290+R2290</f>
        <v>17</v>
      </c>
      <c r="U2290" s="0" t="n">
        <f aca="false">O2290+S2290</f>
        <v>25</v>
      </c>
      <c r="V2290" s="0" t="n">
        <f aca="false">T2290-U2290</f>
        <v>-8</v>
      </c>
      <c r="W2290" s="0" t="n">
        <f aca="false">T2290+U2290</f>
        <v>42</v>
      </c>
    </row>
    <row r="2291" customFormat="false" ht="15" hidden="false" customHeight="false" outlineLevel="0" collapsed="false">
      <c r="A2291" s="0" t="n">
        <v>2288</v>
      </c>
      <c r="B2291" s="0" t="n">
        <f aca="true">NORMINV(RAND(),1,Coefficients!$B$22)</f>
        <v>1.06126205398162</v>
      </c>
      <c r="C2291" s="0" t="n">
        <f aca="true">MEDIAN(8,16,ROUND(NORMINV(RAND(),Coefficients!$B$20,Coefficients!$B$21),0))</f>
        <v>10</v>
      </c>
      <c r="D2291" s="0" t="n">
        <f aca="true">CRITBINOM($C2291,MIN(0.75,Matchup!$B$39*$B2291),RAND())</f>
        <v>3</v>
      </c>
      <c r="E2291" s="0" t="n">
        <f aca="true">CRITBINOM(D2291,Coefficients!$B$30,RAND())</f>
        <v>0</v>
      </c>
      <c r="F2291" s="0" t="n">
        <f aca="true">CRITBINOM(E2291,Coefficients!$B$31,RAND())</f>
        <v>0</v>
      </c>
      <c r="G2291" s="0" t="n">
        <f aca="true">CRITBINOM(MAX(0,D2291-E2291),1-Coefficients!$B$32,RAND())</f>
        <v>0</v>
      </c>
      <c r="H2291" s="0" t="n">
        <f aca="true">CRITBINOM(MAX(0,$C2291-D2291),MIN(0.6,Matchup!$B$40*SQRT($B2291)/(1-MIN(0.75,Matchup!$B$39*$B2291))),RAND())</f>
        <v>0</v>
      </c>
      <c r="I2291" s="0" t="n">
        <f aca="false">6*D2291+(D2291-E2291-G2291)+2*F2291+3*H2291</f>
        <v>21</v>
      </c>
      <c r="J2291" s="0" t="n">
        <f aca="true">CRITBINOM($C2291,MIN(0.75,Matchup!$C$39*$B2291),RAND())</f>
        <v>5</v>
      </c>
      <c r="K2291" s="0" t="n">
        <f aca="true">CRITBINOM(J2291,Coefficients!$B$30,RAND())</f>
        <v>1</v>
      </c>
      <c r="L2291" s="0" t="n">
        <f aca="true">CRITBINOM(K2291,Coefficients!$B$31,RAND())</f>
        <v>0</v>
      </c>
      <c r="M2291" s="0" t="n">
        <f aca="true">CRITBINOM(MAX(0,J2291-K2291),1-Coefficients!$B$32,RAND())</f>
        <v>0</v>
      </c>
      <c r="N2291" s="0" t="n">
        <f aca="true">CRITBINOM(MAX(0,$C2291-J2291),MIN(0.6,Matchup!$C$40*SQRT($B2291)/(1-MIN(0.75,Matchup!$C$39*$B2291))),RAND())</f>
        <v>2</v>
      </c>
      <c r="O2291" s="0" t="n">
        <f aca="false">6*J2291+(J2291-K2291-M2291)+2*L2291+3*N2291</f>
        <v>40</v>
      </c>
      <c r="P2291" s="0" t="n">
        <f aca="true">RAND()</f>
        <v>0.0641231196834234</v>
      </c>
      <c r="Q2291" s="0" t="n">
        <f aca="true">RAND()</f>
        <v>0.0406541317976727</v>
      </c>
      <c r="R2291" s="0" t="n">
        <f aca="false">IF($I2291&lt;&gt;$O2291,0,IF(P2291&lt;Matchup!$B$39,7,IF(P2291&lt;Matchup!$B$39+Matchup!$B$40,3,0)))</f>
        <v>0</v>
      </c>
      <c r="S2291" s="0" t="n">
        <f aca="false">IF($I2291&lt;&gt;$O2291,0,IF(Q2291&lt;Matchup!$C$39,7,IF(Q2291&lt;Matchup!$C$39+Matchup!$C$40,3,0)))</f>
        <v>0</v>
      </c>
      <c r="T2291" s="0" t="n">
        <f aca="false">I2291+R2291</f>
        <v>21</v>
      </c>
      <c r="U2291" s="0" t="n">
        <f aca="false">O2291+S2291</f>
        <v>40</v>
      </c>
      <c r="V2291" s="0" t="n">
        <f aca="false">T2291-U2291</f>
        <v>-19</v>
      </c>
      <c r="W2291" s="0" t="n">
        <f aca="false">T2291+U2291</f>
        <v>61</v>
      </c>
    </row>
    <row r="2292" customFormat="false" ht="15" hidden="false" customHeight="false" outlineLevel="0" collapsed="false">
      <c r="A2292" s="0" t="n">
        <v>2289</v>
      </c>
      <c r="B2292" s="0" t="n">
        <f aca="true">NORMINV(RAND(),1,Coefficients!$B$22)</f>
        <v>1.01839737244949</v>
      </c>
      <c r="C2292" s="0" t="n">
        <f aca="true">MEDIAN(8,16,ROUND(NORMINV(RAND(),Coefficients!$B$20,Coefficients!$B$21),0))</f>
        <v>12</v>
      </c>
      <c r="D2292" s="0" t="n">
        <f aca="true">CRITBINOM($C2292,MIN(0.75,Matchup!$B$39*$B2292),RAND())</f>
        <v>4</v>
      </c>
      <c r="E2292" s="0" t="n">
        <f aca="true">CRITBINOM(D2292,Coefficients!$B$30,RAND())</f>
        <v>0</v>
      </c>
      <c r="F2292" s="0" t="n">
        <f aca="true">CRITBINOM(E2292,Coefficients!$B$31,RAND())</f>
        <v>0</v>
      </c>
      <c r="G2292" s="0" t="n">
        <f aca="true">CRITBINOM(MAX(0,D2292-E2292),1-Coefficients!$B$32,RAND())</f>
        <v>0</v>
      </c>
      <c r="H2292" s="0" t="n">
        <f aca="true">CRITBINOM(MAX(0,$C2292-D2292),MIN(0.6,Matchup!$B$40*SQRT($B2292)/(1-MIN(0.75,Matchup!$B$39*$B2292))),RAND())</f>
        <v>3</v>
      </c>
      <c r="I2292" s="0" t="n">
        <f aca="false">6*D2292+(D2292-E2292-G2292)+2*F2292+3*H2292</f>
        <v>37</v>
      </c>
      <c r="J2292" s="0" t="n">
        <f aca="true">CRITBINOM($C2292,MIN(0.75,Matchup!$C$39*$B2292),RAND())</f>
        <v>3</v>
      </c>
      <c r="K2292" s="0" t="n">
        <f aca="true">CRITBINOM(J2292,Coefficients!$B$30,RAND())</f>
        <v>0</v>
      </c>
      <c r="L2292" s="0" t="n">
        <f aca="true">CRITBINOM(K2292,Coefficients!$B$31,RAND())</f>
        <v>0</v>
      </c>
      <c r="M2292" s="0" t="n">
        <f aca="true">CRITBINOM(MAX(0,J2292-K2292),1-Coefficients!$B$32,RAND())</f>
        <v>0</v>
      </c>
      <c r="N2292" s="0" t="n">
        <f aca="true">CRITBINOM(MAX(0,$C2292-J2292),MIN(0.6,Matchup!$C$40*SQRT($B2292)/(1-MIN(0.75,Matchup!$C$39*$B2292))),RAND())</f>
        <v>2</v>
      </c>
      <c r="O2292" s="0" t="n">
        <f aca="false">6*J2292+(J2292-K2292-M2292)+2*L2292+3*N2292</f>
        <v>27</v>
      </c>
      <c r="P2292" s="0" t="n">
        <f aca="true">RAND()</f>
        <v>0.83553932474973</v>
      </c>
      <c r="Q2292" s="0" t="n">
        <f aca="true">RAND()</f>
        <v>0.000567879972601238</v>
      </c>
      <c r="R2292" s="0" t="n">
        <f aca="false">IF($I2292&lt;&gt;$O2292,0,IF(P2292&lt;Matchup!$B$39,7,IF(P2292&lt;Matchup!$B$39+Matchup!$B$40,3,0)))</f>
        <v>0</v>
      </c>
      <c r="S2292" s="0" t="n">
        <f aca="false">IF($I2292&lt;&gt;$O2292,0,IF(Q2292&lt;Matchup!$C$39,7,IF(Q2292&lt;Matchup!$C$39+Matchup!$C$40,3,0)))</f>
        <v>0</v>
      </c>
      <c r="T2292" s="0" t="n">
        <f aca="false">I2292+R2292</f>
        <v>37</v>
      </c>
      <c r="U2292" s="0" t="n">
        <f aca="false">O2292+S2292</f>
        <v>27</v>
      </c>
      <c r="V2292" s="0" t="n">
        <f aca="false">T2292-U2292</f>
        <v>10</v>
      </c>
      <c r="W2292" s="0" t="n">
        <f aca="false">T2292+U2292</f>
        <v>64</v>
      </c>
    </row>
    <row r="2293" customFormat="false" ht="15" hidden="false" customHeight="false" outlineLevel="0" collapsed="false">
      <c r="A2293" s="0" t="n">
        <v>2290</v>
      </c>
      <c r="B2293" s="0" t="n">
        <f aca="true">NORMINV(RAND(),1,Coefficients!$B$22)</f>
        <v>1.03656802043003</v>
      </c>
      <c r="C2293" s="0" t="n">
        <f aca="true">MEDIAN(8,16,ROUND(NORMINV(RAND(),Coefficients!$B$20,Coefficients!$B$21),0))</f>
        <v>12</v>
      </c>
      <c r="D2293" s="0" t="n">
        <f aca="true">CRITBINOM($C2293,MIN(0.75,Matchup!$B$39*$B2293),RAND())</f>
        <v>5</v>
      </c>
      <c r="E2293" s="0" t="n">
        <f aca="true">CRITBINOM(D2293,Coefficients!$B$30,RAND())</f>
        <v>1</v>
      </c>
      <c r="F2293" s="0" t="n">
        <f aca="true">CRITBINOM(E2293,Coefficients!$B$31,RAND())</f>
        <v>0</v>
      </c>
      <c r="G2293" s="0" t="n">
        <f aca="true">CRITBINOM(MAX(0,D2293-E2293),1-Coefficients!$B$32,RAND())</f>
        <v>1</v>
      </c>
      <c r="H2293" s="0" t="n">
        <f aca="true">CRITBINOM(MAX(0,$C2293-D2293),MIN(0.6,Matchup!$B$40*SQRT($B2293)/(1-MIN(0.75,Matchup!$B$39*$B2293))),RAND())</f>
        <v>3</v>
      </c>
      <c r="I2293" s="0" t="n">
        <f aca="false">6*D2293+(D2293-E2293-G2293)+2*F2293+3*H2293</f>
        <v>42</v>
      </c>
      <c r="J2293" s="0" t="n">
        <f aca="true">CRITBINOM($C2293,MIN(0.75,Matchup!$C$39*$B2293),RAND())</f>
        <v>1</v>
      </c>
      <c r="K2293" s="0" t="n">
        <f aca="true">CRITBINOM(J2293,Coefficients!$B$30,RAND())</f>
        <v>0</v>
      </c>
      <c r="L2293" s="0" t="n">
        <f aca="true">CRITBINOM(K2293,Coefficients!$B$31,RAND())</f>
        <v>0</v>
      </c>
      <c r="M2293" s="0" t="n">
        <f aca="true">CRITBINOM(MAX(0,J2293-K2293),1-Coefficients!$B$32,RAND())</f>
        <v>0</v>
      </c>
      <c r="N2293" s="0" t="n">
        <f aca="true">CRITBINOM(MAX(0,$C2293-J2293),MIN(0.6,Matchup!$C$40*SQRT($B2293)/(1-MIN(0.75,Matchup!$C$39*$B2293))),RAND())</f>
        <v>3</v>
      </c>
      <c r="O2293" s="0" t="n">
        <f aca="false">6*J2293+(J2293-K2293-M2293)+2*L2293+3*N2293</f>
        <v>16</v>
      </c>
      <c r="P2293" s="0" t="n">
        <f aca="true">RAND()</f>
        <v>0.977701347829024</v>
      </c>
      <c r="Q2293" s="0" t="n">
        <f aca="true">RAND()</f>
        <v>0.00583686066731031</v>
      </c>
      <c r="R2293" s="0" t="n">
        <f aca="false">IF($I2293&lt;&gt;$O2293,0,IF(P2293&lt;Matchup!$B$39,7,IF(P2293&lt;Matchup!$B$39+Matchup!$B$40,3,0)))</f>
        <v>0</v>
      </c>
      <c r="S2293" s="0" t="n">
        <f aca="false">IF($I2293&lt;&gt;$O2293,0,IF(Q2293&lt;Matchup!$C$39,7,IF(Q2293&lt;Matchup!$C$39+Matchup!$C$40,3,0)))</f>
        <v>0</v>
      </c>
      <c r="T2293" s="0" t="n">
        <f aca="false">I2293+R2293</f>
        <v>42</v>
      </c>
      <c r="U2293" s="0" t="n">
        <f aca="false">O2293+S2293</f>
        <v>16</v>
      </c>
      <c r="V2293" s="0" t="n">
        <f aca="false">T2293-U2293</f>
        <v>26</v>
      </c>
      <c r="W2293" s="0" t="n">
        <f aca="false">T2293+U2293</f>
        <v>58</v>
      </c>
    </row>
    <row r="2294" customFormat="false" ht="15" hidden="false" customHeight="false" outlineLevel="0" collapsed="false">
      <c r="A2294" s="0" t="n">
        <v>2291</v>
      </c>
      <c r="B2294" s="0" t="n">
        <f aca="true">NORMINV(RAND(),1,Coefficients!$B$22)</f>
        <v>0.879676464525731</v>
      </c>
      <c r="C2294" s="0" t="n">
        <f aca="true">MEDIAN(8,16,ROUND(NORMINV(RAND(),Coefficients!$B$20,Coefficients!$B$21),0))</f>
        <v>11</v>
      </c>
      <c r="D2294" s="0" t="n">
        <f aca="true">CRITBINOM($C2294,MIN(0.75,Matchup!$B$39*$B2294),RAND())</f>
        <v>3</v>
      </c>
      <c r="E2294" s="0" t="n">
        <f aca="true">CRITBINOM(D2294,Coefficients!$B$30,RAND())</f>
        <v>1</v>
      </c>
      <c r="F2294" s="0" t="n">
        <f aca="true">CRITBINOM(E2294,Coefficients!$B$31,RAND())</f>
        <v>0</v>
      </c>
      <c r="G2294" s="0" t="n">
        <f aca="true">CRITBINOM(MAX(0,D2294-E2294),1-Coefficients!$B$32,RAND())</f>
        <v>0</v>
      </c>
      <c r="H2294" s="0" t="n">
        <f aca="true">CRITBINOM(MAX(0,$C2294-D2294),MIN(0.6,Matchup!$B$40*SQRT($B2294)/(1-MIN(0.75,Matchup!$B$39*$B2294))),RAND())</f>
        <v>0</v>
      </c>
      <c r="I2294" s="0" t="n">
        <f aca="false">6*D2294+(D2294-E2294-G2294)+2*F2294+3*H2294</f>
        <v>20</v>
      </c>
      <c r="J2294" s="0" t="n">
        <f aca="true">CRITBINOM($C2294,MIN(0.75,Matchup!$C$39*$B2294),RAND())</f>
        <v>1</v>
      </c>
      <c r="K2294" s="0" t="n">
        <f aca="true">CRITBINOM(J2294,Coefficients!$B$30,RAND())</f>
        <v>0</v>
      </c>
      <c r="L2294" s="0" t="n">
        <f aca="true">CRITBINOM(K2294,Coefficients!$B$31,RAND())</f>
        <v>0</v>
      </c>
      <c r="M2294" s="0" t="n">
        <f aca="true">CRITBINOM(MAX(0,J2294-K2294),1-Coefficients!$B$32,RAND())</f>
        <v>0</v>
      </c>
      <c r="N2294" s="0" t="n">
        <f aca="true">CRITBINOM(MAX(0,$C2294-J2294),MIN(0.6,Matchup!$C$40*SQRT($B2294)/(1-MIN(0.75,Matchup!$C$39*$B2294))),RAND())</f>
        <v>2</v>
      </c>
      <c r="O2294" s="0" t="n">
        <f aca="false">6*J2294+(J2294-K2294-M2294)+2*L2294+3*N2294</f>
        <v>13</v>
      </c>
      <c r="P2294" s="0" t="n">
        <f aca="true">RAND()</f>
        <v>0.791143134683951</v>
      </c>
      <c r="Q2294" s="0" t="n">
        <f aca="true">RAND()</f>
        <v>0.296731197480066</v>
      </c>
      <c r="R2294" s="0" t="n">
        <f aca="false">IF($I2294&lt;&gt;$O2294,0,IF(P2294&lt;Matchup!$B$39,7,IF(P2294&lt;Matchup!$B$39+Matchup!$B$40,3,0)))</f>
        <v>0</v>
      </c>
      <c r="S2294" s="0" t="n">
        <f aca="false">IF($I2294&lt;&gt;$O2294,0,IF(Q2294&lt;Matchup!$C$39,7,IF(Q2294&lt;Matchup!$C$39+Matchup!$C$40,3,0)))</f>
        <v>0</v>
      </c>
      <c r="T2294" s="0" t="n">
        <f aca="false">I2294+R2294</f>
        <v>20</v>
      </c>
      <c r="U2294" s="0" t="n">
        <f aca="false">O2294+S2294</f>
        <v>13</v>
      </c>
      <c r="V2294" s="0" t="n">
        <f aca="false">T2294-U2294</f>
        <v>7</v>
      </c>
      <c r="W2294" s="0" t="n">
        <f aca="false">T2294+U2294</f>
        <v>33</v>
      </c>
    </row>
    <row r="2295" customFormat="false" ht="15" hidden="false" customHeight="false" outlineLevel="0" collapsed="false">
      <c r="A2295" s="0" t="n">
        <v>2292</v>
      </c>
      <c r="B2295" s="0" t="n">
        <f aca="true">NORMINV(RAND(),1,Coefficients!$B$22)</f>
        <v>1.00886627930192</v>
      </c>
      <c r="C2295" s="0" t="n">
        <f aca="true">MEDIAN(8,16,ROUND(NORMINV(RAND(),Coefficients!$B$20,Coefficients!$B$21),0))</f>
        <v>12</v>
      </c>
      <c r="D2295" s="0" t="n">
        <f aca="true">CRITBINOM($C2295,MIN(0.75,Matchup!$B$39*$B2295),RAND())</f>
        <v>6</v>
      </c>
      <c r="E2295" s="0" t="n">
        <f aca="true">CRITBINOM(D2295,Coefficients!$B$30,RAND())</f>
        <v>0</v>
      </c>
      <c r="F2295" s="0" t="n">
        <f aca="true">CRITBINOM(E2295,Coefficients!$B$31,RAND())</f>
        <v>0</v>
      </c>
      <c r="G2295" s="0" t="n">
        <f aca="true">CRITBINOM(MAX(0,D2295-E2295),1-Coefficients!$B$32,RAND())</f>
        <v>0</v>
      </c>
      <c r="H2295" s="0" t="n">
        <f aca="true">CRITBINOM(MAX(0,$C2295-D2295),MIN(0.6,Matchup!$B$40*SQRT($B2295)/(1-MIN(0.75,Matchup!$B$39*$B2295))),RAND())</f>
        <v>1</v>
      </c>
      <c r="I2295" s="0" t="n">
        <f aca="false">6*D2295+(D2295-E2295-G2295)+2*F2295+3*H2295</f>
        <v>45</v>
      </c>
      <c r="J2295" s="0" t="n">
        <f aca="true">CRITBINOM($C2295,MIN(0.75,Matchup!$C$39*$B2295),RAND())</f>
        <v>5</v>
      </c>
      <c r="K2295" s="0" t="n">
        <f aca="true">CRITBINOM(J2295,Coefficients!$B$30,RAND())</f>
        <v>0</v>
      </c>
      <c r="L2295" s="0" t="n">
        <f aca="true">CRITBINOM(K2295,Coefficients!$B$31,RAND())</f>
        <v>0</v>
      </c>
      <c r="M2295" s="0" t="n">
        <f aca="true">CRITBINOM(MAX(0,J2295-K2295),1-Coefficients!$B$32,RAND())</f>
        <v>0</v>
      </c>
      <c r="N2295" s="0" t="n">
        <f aca="true">CRITBINOM(MAX(0,$C2295-J2295),MIN(0.6,Matchup!$C$40*SQRT($B2295)/(1-MIN(0.75,Matchup!$C$39*$B2295))),RAND())</f>
        <v>1</v>
      </c>
      <c r="O2295" s="0" t="n">
        <f aca="false">6*J2295+(J2295-K2295-M2295)+2*L2295+3*N2295</f>
        <v>38</v>
      </c>
      <c r="P2295" s="0" t="n">
        <f aca="true">RAND()</f>
        <v>0.851886696177146</v>
      </c>
      <c r="Q2295" s="0" t="n">
        <f aca="true">RAND()</f>
        <v>0.564014636933883</v>
      </c>
      <c r="R2295" s="0" t="n">
        <f aca="false">IF($I2295&lt;&gt;$O2295,0,IF(P2295&lt;Matchup!$B$39,7,IF(P2295&lt;Matchup!$B$39+Matchup!$B$40,3,0)))</f>
        <v>0</v>
      </c>
      <c r="S2295" s="0" t="n">
        <f aca="false">IF($I2295&lt;&gt;$O2295,0,IF(Q2295&lt;Matchup!$C$39,7,IF(Q2295&lt;Matchup!$C$39+Matchup!$C$40,3,0)))</f>
        <v>0</v>
      </c>
      <c r="T2295" s="0" t="n">
        <f aca="false">I2295+R2295</f>
        <v>45</v>
      </c>
      <c r="U2295" s="0" t="n">
        <f aca="false">O2295+S2295</f>
        <v>38</v>
      </c>
      <c r="V2295" s="0" t="n">
        <f aca="false">T2295-U2295</f>
        <v>7</v>
      </c>
      <c r="W2295" s="0" t="n">
        <f aca="false">T2295+U2295</f>
        <v>83</v>
      </c>
    </row>
    <row r="2296" customFormat="false" ht="15" hidden="false" customHeight="false" outlineLevel="0" collapsed="false">
      <c r="A2296" s="0" t="n">
        <v>2293</v>
      </c>
      <c r="B2296" s="0" t="n">
        <f aca="true">NORMINV(RAND(),1,Coefficients!$B$22)</f>
        <v>1.12533135417784</v>
      </c>
      <c r="C2296" s="0" t="n">
        <f aca="true">MEDIAN(8,16,ROUND(NORMINV(RAND(),Coefficients!$B$20,Coefficients!$B$21),0))</f>
        <v>11</v>
      </c>
      <c r="D2296" s="0" t="n">
        <f aca="true">CRITBINOM($C2296,MIN(0.75,Matchup!$B$39*$B2296),RAND())</f>
        <v>4</v>
      </c>
      <c r="E2296" s="0" t="n">
        <f aca="true">CRITBINOM(D2296,Coefficients!$B$30,RAND())</f>
        <v>0</v>
      </c>
      <c r="F2296" s="0" t="n">
        <f aca="true">CRITBINOM(E2296,Coefficients!$B$31,RAND())</f>
        <v>0</v>
      </c>
      <c r="G2296" s="0" t="n">
        <f aca="true">CRITBINOM(MAX(0,D2296-E2296),1-Coefficients!$B$32,RAND())</f>
        <v>0</v>
      </c>
      <c r="H2296" s="0" t="n">
        <f aca="true">CRITBINOM(MAX(0,$C2296-D2296),MIN(0.6,Matchup!$B$40*SQRT($B2296)/(1-MIN(0.75,Matchup!$B$39*$B2296))),RAND())</f>
        <v>0</v>
      </c>
      <c r="I2296" s="0" t="n">
        <f aca="false">6*D2296+(D2296-E2296-G2296)+2*F2296+3*H2296</f>
        <v>28</v>
      </c>
      <c r="J2296" s="0" t="n">
        <f aca="true">CRITBINOM($C2296,MIN(0.75,Matchup!$C$39*$B2296),RAND())</f>
        <v>1</v>
      </c>
      <c r="K2296" s="0" t="n">
        <f aca="true">CRITBINOM(J2296,Coefficients!$B$30,RAND())</f>
        <v>0</v>
      </c>
      <c r="L2296" s="0" t="n">
        <f aca="true">CRITBINOM(K2296,Coefficients!$B$31,RAND())</f>
        <v>0</v>
      </c>
      <c r="M2296" s="0" t="n">
        <f aca="true">CRITBINOM(MAX(0,J2296-K2296),1-Coefficients!$B$32,RAND())</f>
        <v>1</v>
      </c>
      <c r="N2296" s="0" t="n">
        <f aca="true">CRITBINOM(MAX(0,$C2296-J2296),MIN(0.6,Matchup!$C$40*SQRT($B2296)/(1-MIN(0.75,Matchup!$C$39*$B2296))),RAND())</f>
        <v>0</v>
      </c>
      <c r="O2296" s="0" t="n">
        <f aca="false">6*J2296+(J2296-K2296-M2296)+2*L2296+3*N2296</f>
        <v>6</v>
      </c>
      <c r="P2296" s="0" t="n">
        <f aca="true">RAND()</f>
        <v>0.724750700717409</v>
      </c>
      <c r="Q2296" s="0" t="n">
        <f aca="true">RAND()</f>
        <v>0.62255960343319</v>
      </c>
      <c r="R2296" s="0" t="n">
        <f aca="false">IF($I2296&lt;&gt;$O2296,0,IF(P2296&lt;Matchup!$B$39,7,IF(P2296&lt;Matchup!$B$39+Matchup!$B$40,3,0)))</f>
        <v>0</v>
      </c>
      <c r="S2296" s="0" t="n">
        <f aca="false">IF($I2296&lt;&gt;$O2296,0,IF(Q2296&lt;Matchup!$C$39,7,IF(Q2296&lt;Matchup!$C$39+Matchup!$C$40,3,0)))</f>
        <v>0</v>
      </c>
      <c r="T2296" s="0" t="n">
        <f aca="false">I2296+R2296</f>
        <v>28</v>
      </c>
      <c r="U2296" s="0" t="n">
        <f aca="false">O2296+S2296</f>
        <v>6</v>
      </c>
      <c r="V2296" s="0" t="n">
        <f aca="false">T2296-U2296</f>
        <v>22</v>
      </c>
      <c r="W2296" s="0" t="n">
        <f aca="false">T2296+U2296</f>
        <v>34</v>
      </c>
    </row>
    <row r="2297" customFormat="false" ht="15" hidden="false" customHeight="false" outlineLevel="0" collapsed="false">
      <c r="A2297" s="0" t="n">
        <v>2294</v>
      </c>
      <c r="B2297" s="0" t="n">
        <f aca="true">NORMINV(RAND(),1,Coefficients!$B$22)</f>
        <v>1.06357540411496</v>
      </c>
      <c r="C2297" s="0" t="n">
        <f aca="true">MEDIAN(8,16,ROUND(NORMINV(RAND(),Coefficients!$B$20,Coefficients!$B$21),0))</f>
        <v>13</v>
      </c>
      <c r="D2297" s="0" t="n">
        <f aca="true">CRITBINOM($C2297,MIN(0.75,Matchup!$B$39*$B2297),RAND())</f>
        <v>5</v>
      </c>
      <c r="E2297" s="0" t="n">
        <f aca="true">CRITBINOM(D2297,Coefficients!$B$30,RAND())</f>
        <v>0</v>
      </c>
      <c r="F2297" s="0" t="n">
        <f aca="true">CRITBINOM(E2297,Coefficients!$B$31,RAND())</f>
        <v>0</v>
      </c>
      <c r="G2297" s="0" t="n">
        <f aca="true">CRITBINOM(MAX(0,D2297-E2297),1-Coefficients!$B$32,RAND())</f>
        <v>0</v>
      </c>
      <c r="H2297" s="0" t="n">
        <f aca="true">CRITBINOM(MAX(0,$C2297-D2297),MIN(0.6,Matchup!$B$40*SQRT($B2297)/(1-MIN(0.75,Matchup!$B$39*$B2297))),RAND())</f>
        <v>2</v>
      </c>
      <c r="I2297" s="0" t="n">
        <f aca="false">6*D2297+(D2297-E2297-G2297)+2*F2297+3*H2297</f>
        <v>41</v>
      </c>
      <c r="J2297" s="0" t="n">
        <f aca="true">CRITBINOM($C2297,MIN(0.75,Matchup!$C$39*$B2297),RAND())</f>
        <v>4</v>
      </c>
      <c r="K2297" s="0" t="n">
        <f aca="true">CRITBINOM(J2297,Coefficients!$B$30,RAND())</f>
        <v>0</v>
      </c>
      <c r="L2297" s="0" t="n">
        <f aca="true">CRITBINOM(K2297,Coefficients!$B$31,RAND())</f>
        <v>0</v>
      </c>
      <c r="M2297" s="0" t="n">
        <f aca="true">CRITBINOM(MAX(0,J2297-K2297),1-Coefficients!$B$32,RAND())</f>
        <v>2</v>
      </c>
      <c r="N2297" s="0" t="n">
        <f aca="true">CRITBINOM(MAX(0,$C2297-J2297),MIN(0.6,Matchup!$C$40*SQRT($B2297)/(1-MIN(0.75,Matchup!$C$39*$B2297))),RAND())</f>
        <v>1</v>
      </c>
      <c r="O2297" s="0" t="n">
        <f aca="false">6*J2297+(J2297-K2297-M2297)+2*L2297+3*N2297</f>
        <v>29</v>
      </c>
      <c r="P2297" s="0" t="n">
        <f aca="true">RAND()</f>
        <v>0.48474694372315</v>
      </c>
      <c r="Q2297" s="0" t="n">
        <f aca="true">RAND()</f>
        <v>0.662794947188639</v>
      </c>
      <c r="R2297" s="0" t="n">
        <f aca="false">IF($I2297&lt;&gt;$O2297,0,IF(P2297&lt;Matchup!$B$39,7,IF(P2297&lt;Matchup!$B$39+Matchup!$B$40,3,0)))</f>
        <v>0</v>
      </c>
      <c r="S2297" s="0" t="n">
        <f aca="false">IF($I2297&lt;&gt;$O2297,0,IF(Q2297&lt;Matchup!$C$39,7,IF(Q2297&lt;Matchup!$C$39+Matchup!$C$40,3,0)))</f>
        <v>0</v>
      </c>
      <c r="T2297" s="0" t="n">
        <f aca="false">I2297+R2297</f>
        <v>41</v>
      </c>
      <c r="U2297" s="0" t="n">
        <f aca="false">O2297+S2297</f>
        <v>29</v>
      </c>
      <c r="V2297" s="0" t="n">
        <f aca="false">T2297-U2297</f>
        <v>12</v>
      </c>
      <c r="W2297" s="0" t="n">
        <f aca="false">T2297+U2297</f>
        <v>70</v>
      </c>
    </row>
    <row r="2298" customFormat="false" ht="15" hidden="false" customHeight="false" outlineLevel="0" collapsed="false">
      <c r="A2298" s="0" t="n">
        <v>2295</v>
      </c>
      <c r="B2298" s="0" t="n">
        <f aca="true">NORMINV(RAND(),1,Coefficients!$B$22)</f>
        <v>0.991320386466541</v>
      </c>
      <c r="C2298" s="0" t="n">
        <f aca="true">MEDIAN(8,16,ROUND(NORMINV(RAND(),Coefficients!$B$20,Coefficients!$B$21),0))</f>
        <v>12</v>
      </c>
      <c r="D2298" s="0" t="n">
        <f aca="true">CRITBINOM($C2298,MIN(0.75,Matchup!$B$39*$B2298),RAND())</f>
        <v>2</v>
      </c>
      <c r="E2298" s="0" t="n">
        <f aca="true">CRITBINOM(D2298,Coefficients!$B$30,RAND())</f>
        <v>0</v>
      </c>
      <c r="F2298" s="0" t="n">
        <f aca="true">CRITBINOM(E2298,Coefficients!$B$31,RAND())</f>
        <v>0</v>
      </c>
      <c r="G2298" s="0" t="n">
        <f aca="true">CRITBINOM(MAX(0,D2298-E2298),1-Coefficients!$B$32,RAND())</f>
        <v>0</v>
      </c>
      <c r="H2298" s="0" t="n">
        <f aca="true">CRITBINOM(MAX(0,$C2298-D2298),MIN(0.6,Matchup!$B$40*SQRT($B2298)/(1-MIN(0.75,Matchup!$B$39*$B2298))),RAND())</f>
        <v>0</v>
      </c>
      <c r="I2298" s="0" t="n">
        <f aca="false">6*D2298+(D2298-E2298-G2298)+2*F2298+3*H2298</f>
        <v>14</v>
      </c>
      <c r="J2298" s="0" t="n">
        <f aca="true">CRITBINOM($C2298,MIN(0.75,Matchup!$C$39*$B2298),RAND())</f>
        <v>4</v>
      </c>
      <c r="K2298" s="0" t="n">
        <f aca="true">CRITBINOM(J2298,Coefficients!$B$30,RAND())</f>
        <v>0</v>
      </c>
      <c r="L2298" s="0" t="n">
        <f aca="true">CRITBINOM(K2298,Coefficients!$B$31,RAND())</f>
        <v>0</v>
      </c>
      <c r="M2298" s="0" t="n">
        <f aca="true">CRITBINOM(MAX(0,J2298-K2298),1-Coefficients!$B$32,RAND())</f>
        <v>1</v>
      </c>
      <c r="N2298" s="0" t="n">
        <f aca="true">CRITBINOM(MAX(0,$C2298-J2298),MIN(0.6,Matchup!$C$40*SQRT($B2298)/(1-MIN(0.75,Matchup!$C$39*$B2298))),RAND())</f>
        <v>1</v>
      </c>
      <c r="O2298" s="0" t="n">
        <f aca="false">6*J2298+(J2298-K2298-M2298)+2*L2298+3*N2298</f>
        <v>30</v>
      </c>
      <c r="P2298" s="0" t="n">
        <f aca="true">RAND()</f>
        <v>0.883781134335623</v>
      </c>
      <c r="Q2298" s="0" t="n">
        <f aca="true">RAND()</f>
        <v>0.584992507735316</v>
      </c>
      <c r="R2298" s="0" t="n">
        <f aca="false">IF($I2298&lt;&gt;$O2298,0,IF(P2298&lt;Matchup!$B$39,7,IF(P2298&lt;Matchup!$B$39+Matchup!$B$40,3,0)))</f>
        <v>0</v>
      </c>
      <c r="S2298" s="0" t="n">
        <f aca="false">IF($I2298&lt;&gt;$O2298,0,IF(Q2298&lt;Matchup!$C$39,7,IF(Q2298&lt;Matchup!$C$39+Matchup!$C$40,3,0)))</f>
        <v>0</v>
      </c>
      <c r="T2298" s="0" t="n">
        <f aca="false">I2298+R2298</f>
        <v>14</v>
      </c>
      <c r="U2298" s="0" t="n">
        <f aca="false">O2298+S2298</f>
        <v>30</v>
      </c>
      <c r="V2298" s="0" t="n">
        <f aca="false">T2298-U2298</f>
        <v>-16</v>
      </c>
      <c r="W2298" s="0" t="n">
        <f aca="false">T2298+U2298</f>
        <v>44</v>
      </c>
    </row>
    <row r="2299" customFormat="false" ht="15" hidden="false" customHeight="false" outlineLevel="0" collapsed="false">
      <c r="A2299" s="0" t="n">
        <v>2296</v>
      </c>
      <c r="B2299" s="0" t="n">
        <f aca="true">NORMINV(RAND(),1,Coefficients!$B$22)</f>
        <v>1.03860699482863</v>
      </c>
      <c r="C2299" s="0" t="n">
        <f aca="true">MEDIAN(8,16,ROUND(NORMINV(RAND(),Coefficients!$B$20,Coefficients!$B$21),0))</f>
        <v>11</v>
      </c>
      <c r="D2299" s="0" t="n">
        <f aca="true">CRITBINOM($C2299,MIN(0.75,Matchup!$B$39*$B2299),RAND())</f>
        <v>3</v>
      </c>
      <c r="E2299" s="0" t="n">
        <f aca="true">CRITBINOM(D2299,Coefficients!$B$30,RAND())</f>
        <v>0</v>
      </c>
      <c r="F2299" s="0" t="n">
        <f aca="true">CRITBINOM(E2299,Coefficients!$B$31,RAND())</f>
        <v>0</v>
      </c>
      <c r="G2299" s="0" t="n">
        <f aca="true">CRITBINOM(MAX(0,D2299-E2299),1-Coefficients!$B$32,RAND())</f>
        <v>1</v>
      </c>
      <c r="H2299" s="0" t="n">
        <f aca="true">CRITBINOM(MAX(0,$C2299-D2299),MIN(0.6,Matchup!$B$40*SQRT($B2299)/(1-MIN(0.75,Matchup!$B$39*$B2299))),RAND())</f>
        <v>2</v>
      </c>
      <c r="I2299" s="0" t="n">
        <f aca="false">6*D2299+(D2299-E2299-G2299)+2*F2299+3*H2299</f>
        <v>26</v>
      </c>
      <c r="J2299" s="0" t="n">
        <f aca="true">CRITBINOM($C2299,MIN(0.75,Matchup!$C$39*$B2299),RAND())</f>
        <v>1</v>
      </c>
      <c r="K2299" s="0" t="n">
        <f aca="true">CRITBINOM(J2299,Coefficients!$B$30,RAND())</f>
        <v>0</v>
      </c>
      <c r="L2299" s="0" t="n">
        <f aca="true">CRITBINOM(K2299,Coefficients!$B$31,RAND())</f>
        <v>0</v>
      </c>
      <c r="M2299" s="0" t="n">
        <f aca="true">CRITBINOM(MAX(0,J2299-K2299),1-Coefficients!$B$32,RAND())</f>
        <v>0</v>
      </c>
      <c r="N2299" s="0" t="n">
        <f aca="true">CRITBINOM(MAX(0,$C2299-J2299),MIN(0.6,Matchup!$C$40*SQRT($B2299)/(1-MIN(0.75,Matchup!$C$39*$B2299))),RAND())</f>
        <v>2</v>
      </c>
      <c r="O2299" s="0" t="n">
        <f aca="false">6*J2299+(J2299-K2299-M2299)+2*L2299+3*N2299</f>
        <v>13</v>
      </c>
      <c r="P2299" s="0" t="n">
        <f aca="true">RAND()</f>
        <v>0.0534447493317183</v>
      </c>
      <c r="Q2299" s="0" t="n">
        <f aca="true">RAND()</f>
        <v>0.692612479629786</v>
      </c>
      <c r="R2299" s="0" t="n">
        <f aca="false">IF($I2299&lt;&gt;$O2299,0,IF(P2299&lt;Matchup!$B$39,7,IF(P2299&lt;Matchup!$B$39+Matchup!$B$40,3,0)))</f>
        <v>0</v>
      </c>
      <c r="S2299" s="0" t="n">
        <f aca="false">IF($I2299&lt;&gt;$O2299,0,IF(Q2299&lt;Matchup!$C$39,7,IF(Q2299&lt;Matchup!$C$39+Matchup!$C$40,3,0)))</f>
        <v>0</v>
      </c>
      <c r="T2299" s="0" t="n">
        <f aca="false">I2299+R2299</f>
        <v>26</v>
      </c>
      <c r="U2299" s="0" t="n">
        <f aca="false">O2299+S2299</f>
        <v>13</v>
      </c>
      <c r="V2299" s="0" t="n">
        <f aca="false">T2299-U2299</f>
        <v>13</v>
      </c>
      <c r="W2299" s="0" t="n">
        <f aca="false">T2299+U2299</f>
        <v>39</v>
      </c>
    </row>
    <row r="2300" customFormat="false" ht="15" hidden="false" customHeight="false" outlineLevel="0" collapsed="false">
      <c r="A2300" s="0" t="n">
        <v>2297</v>
      </c>
      <c r="B2300" s="0" t="n">
        <f aca="true">NORMINV(RAND(),1,Coefficients!$B$22)</f>
        <v>1.08572153703733</v>
      </c>
      <c r="C2300" s="0" t="n">
        <f aca="true">MEDIAN(8,16,ROUND(NORMINV(RAND(),Coefficients!$B$20,Coefficients!$B$21),0))</f>
        <v>12</v>
      </c>
      <c r="D2300" s="0" t="n">
        <f aca="true">CRITBINOM($C2300,MIN(0.75,Matchup!$B$39*$B2300),RAND())</f>
        <v>5</v>
      </c>
      <c r="E2300" s="0" t="n">
        <f aca="true">CRITBINOM(D2300,Coefficients!$B$30,RAND())</f>
        <v>0</v>
      </c>
      <c r="F2300" s="0" t="n">
        <f aca="true">CRITBINOM(E2300,Coefficients!$B$31,RAND())</f>
        <v>0</v>
      </c>
      <c r="G2300" s="0" t="n">
        <f aca="true">CRITBINOM(MAX(0,D2300-E2300),1-Coefficients!$B$32,RAND())</f>
        <v>0</v>
      </c>
      <c r="H2300" s="0" t="n">
        <f aca="true">CRITBINOM(MAX(0,$C2300-D2300),MIN(0.6,Matchup!$B$40*SQRT($B2300)/(1-MIN(0.75,Matchup!$B$39*$B2300))),RAND())</f>
        <v>3</v>
      </c>
      <c r="I2300" s="0" t="n">
        <f aca="false">6*D2300+(D2300-E2300-G2300)+2*F2300+3*H2300</f>
        <v>44</v>
      </c>
      <c r="J2300" s="0" t="n">
        <f aca="true">CRITBINOM($C2300,MIN(0.75,Matchup!$C$39*$B2300),RAND())</f>
        <v>5</v>
      </c>
      <c r="K2300" s="0" t="n">
        <f aca="true">CRITBINOM(J2300,Coefficients!$B$30,RAND())</f>
        <v>0</v>
      </c>
      <c r="L2300" s="0" t="n">
        <f aca="true">CRITBINOM(K2300,Coefficients!$B$31,RAND())</f>
        <v>0</v>
      </c>
      <c r="M2300" s="0" t="n">
        <f aca="true">CRITBINOM(MAX(0,J2300-K2300),1-Coefficients!$B$32,RAND())</f>
        <v>0</v>
      </c>
      <c r="N2300" s="0" t="n">
        <f aca="true">CRITBINOM(MAX(0,$C2300-J2300),MIN(0.6,Matchup!$C$40*SQRT($B2300)/(1-MIN(0.75,Matchup!$C$39*$B2300))),RAND())</f>
        <v>1</v>
      </c>
      <c r="O2300" s="0" t="n">
        <f aca="false">6*J2300+(J2300-K2300-M2300)+2*L2300+3*N2300</f>
        <v>38</v>
      </c>
      <c r="P2300" s="0" t="n">
        <f aca="true">RAND()</f>
        <v>0.587689724089647</v>
      </c>
      <c r="Q2300" s="0" t="n">
        <f aca="true">RAND()</f>
        <v>0.144070591691406</v>
      </c>
      <c r="R2300" s="0" t="n">
        <f aca="false">IF($I2300&lt;&gt;$O2300,0,IF(P2300&lt;Matchup!$B$39,7,IF(P2300&lt;Matchup!$B$39+Matchup!$B$40,3,0)))</f>
        <v>0</v>
      </c>
      <c r="S2300" s="0" t="n">
        <f aca="false">IF($I2300&lt;&gt;$O2300,0,IF(Q2300&lt;Matchup!$C$39,7,IF(Q2300&lt;Matchup!$C$39+Matchup!$C$40,3,0)))</f>
        <v>0</v>
      </c>
      <c r="T2300" s="0" t="n">
        <f aca="false">I2300+R2300</f>
        <v>44</v>
      </c>
      <c r="U2300" s="0" t="n">
        <f aca="false">O2300+S2300</f>
        <v>38</v>
      </c>
      <c r="V2300" s="0" t="n">
        <f aca="false">T2300-U2300</f>
        <v>6</v>
      </c>
      <c r="W2300" s="0" t="n">
        <f aca="false">T2300+U2300</f>
        <v>82</v>
      </c>
    </row>
    <row r="2301" customFormat="false" ht="15" hidden="false" customHeight="false" outlineLevel="0" collapsed="false">
      <c r="A2301" s="0" t="n">
        <v>2298</v>
      </c>
      <c r="B2301" s="0" t="n">
        <f aca="true">NORMINV(RAND(),1,Coefficients!$B$22)</f>
        <v>1.04572842428896</v>
      </c>
      <c r="C2301" s="0" t="n">
        <f aca="true">MEDIAN(8,16,ROUND(NORMINV(RAND(),Coefficients!$B$20,Coefficients!$B$21),0))</f>
        <v>11</v>
      </c>
      <c r="D2301" s="0" t="n">
        <f aca="true">CRITBINOM($C2301,MIN(0.75,Matchup!$B$39*$B2301),RAND())</f>
        <v>4</v>
      </c>
      <c r="E2301" s="0" t="n">
        <f aca="true">CRITBINOM(D2301,Coefficients!$B$30,RAND())</f>
        <v>0</v>
      </c>
      <c r="F2301" s="0" t="n">
        <f aca="true">CRITBINOM(E2301,Coefficients!$B$31,RAND())</f>
        <v>0</v>
      </c>
      <c r="G2301" s="0" t="n">
        <f aca="true">CRITBINOM(MAX(0,D2301-E2301),1-Coefficients!$B$32,RAND())</f>
        <v>0</v>
      </c>
      <c r="H2301" s="0" t="n">
        <f aca="true">CRITBINOM(MAX(0,$C2301-D2301),MIN(0.6,Matchup!$B$40*SQRT($B2301)/(1-MIN(0.75,Matchup!$B$39*$B2301))),RAND())</f>
        <v>3</v>
      </c>
      <c r="I2301" s="0" t="n">
        <f aca="false">6*D2301+(D2301-E2301-G2301)+2*F2301+3*H2301</f>
        <v>37</v>
      </c>
      <c r="J2301" s="0" t="n">
        <f aca="true">CRITBINOM($C2301,MIN(0.75,Matchup!$C$39*$B2301),RAND())</f>
        <v>3</v>
      </c>
      <c r="K2301" s="0" t="n">
        <f aca="true">CRITBINOM(J2301,Coefficients!$B$30,RAND())</f>
        <v>0</v>
      </c>
      <c r="L2301" s="0" t="n">
        <f aca="true">CRITBINOM(K2301,Coefficients!$B$31,RAND())</f>
        <v>0</v>
      </c>
      <c r="M2301" s="0" t="n">
        <f aca="true">CRITBINOM(MAX(0,J2301-K2301),1-Coefficients!$B$32,RAND())</f>
        <v>0</v>
      </c>
      <c r="N2301" s="0" t="n">
        <f aca="true">CRITBINOM(MAX(0,$C2301-J2301),MIN(0.6,Matchup!$C$40*SQRT($B2301)/(1-MIN(0.75,Matchup!$C$39*$B2301))),RAND())</f>
        <v>2</v>
      </c>
      <c r="O2301" s="0" t="n">
        <f aca="false">6*J2301+(J2301-K2301-M2301)+2*L2301+3*N2301</f>
        <v>27</v>
      </c>
      <c r="P2301" s="0" t="n">
        <f aca="true">RAND()</f>
        <v>0.855859715314076</v>
      </c>
      <c r="Q2301" s="0" t="n">
        <f aca="true">RAND()</f>
        <v>0.313725603837725</v>
      </c>
      <c r="R2301" s="0" t="n">
        <f aca="false">IF($I2301&lt;&gt;$O2301,0,IF(P2301&lt;Matchup!$B$39,7,IF(P2301&lt;Matchup!$B$39+Matchup!$B$40,3,0)))</f>
        <v>0</v>
      </c>
      <c r="S2301" s="0" t="n">
        <f aca="false">IF($I2301&lt;&gt;$O2301,0,IF(Q2301&lt;Matchup!$C$39,7,IF(Q2301&lt;Matchup!$C$39+Matchup!$C$40,3,0)))</f>
        <v>0</v>
      </c>
      <c r="T2301" s="0" t="n">
        <f aca="false">I2301+R2301</f>
        <v>37</v>
      </c>
      <c r="U2301" s="0" t="n">
        <f aca="false">O2301+S2301</f>
        <v>27</v>
      </c>
      <c r="V2301" s="0" t="n">
        <f aca="false">T2301-U2301</f>
        <v>10</v>
      </c>
      <c r="W2301" s="0" t="n">
        <f aca="false">T2301+U2301</f>
        <v>64</v>
      </c>
    </row>
    <row r="2302" customFormat="false" ht="15" hidden="false" customHeight="false" outlineLevel="0" collapsed="false">
      <c r="A2302" s="0" t="n">
        <v>2299</v>
      </c>
      <c r="B2302" s="0" t="n">
        <f aca="true">NORMINV(RAND(),1,Coefficients!$B$22)</f>
        <v>0.91946328297951</v>
      </c>
      <c r="C2302" s="0" t="n">
        <f aca="true">MEDIAN(8,16,ROUND(NORMINV(RAND(),Coefficients!$B$20,Coefficients!$B$21),0))</f>
        <v>11</v>
      </c>
      <c r="D2302" s="0" t="n">
        <f aca="true">CRITBINOM($C2302,MIN(0.75,Matchup!$B$39*$B2302),RAND())</f>
        <v>2</v>
      </c>
      <c r="E2302" s="0" t="n">
        <f aca="true">CRITBINOM(D2302,Coefficients!$B$30,RAND())</f>
        <v>0</v>
      </c>
      <c r="F2302" s="0" t="n">
        <f aca="true">CRITBINOM(E2302,Coefficients!$B$31,RAND())</f>
        <v>0</v>
      </c>
      <c r="G2302" s="0" t="n">
        <f aca="true">CRITBINOM(MAX(0,D2302-E2302),1-Coefficients!$B$32,RAND())</f>
        <v>0</v>
      </c>
      <c r="H2302" s="0" t="n">
        <f aca="true">CRITBINOM(MAX(0,$C2302-D2302),MIN(0.6,Matchup!$B$40*SQRT($B2302)/(1-MIN(0.75,Matchup!$B$39*$B2302))),RAND())</f>
        <v>1</v>
      </c>
      <c r="I2302" s="0" t="n">
        <f aca="false">6*D2302+(D2302-E2302-G2302)+2*F2302+3*H2302</f>
        <v>17</v>
      </c>
      <c r="J2302" s="0" t="n">
        <f aca="true">CRITBINOM($C2302,MIN(0.75,Matchup!$C$39*$B2302),RAND())</f>
        <v>2</v>
      </c>
      <c r="K2302" s="0" t="n">
        <f aca="true">CRITBINOM(J2302,Coefficients!$B$30,RAND())</f>
        <v>1</v>
      </c>
      <c r="L2302" s="0" t="n">
        <f aca="true">CRITBINOM(K2302,Coefficients!$B$31,RAND())</f>
        <v>0</v>
      </c>
      <c r="M2302" s="0" t="n">
        <f aca="true">CRITBINOM(MAX(0,J2302-K2302),1-Coefficients!$B$32,RAND())</f>
        <v>0</v>
      </c>
      <c r="N2302" s="0" t="n">
        <f aca="true">CRITBINOM(MAX(0,$C2302-J2302),MIN(0.6,Matchup!$C$40*SQRT($B2302)/(1-MIN(0.75,Matchup!$C$39*$B2302))),RAND())</f>
        <v>3</v>
      </c>
      <c r="O2302" s="0" t="n">
        <f aca="false">6*J2302+(J2302-K2302-M2302)+2*L2302+3*N2302</f>
        <v>22</v>
      </c>
      <c r="P2302" s="0" t="n">
        <f aca="true">RAND()</f>
        <v>0.75533611923427</v>
      </c>
      <c r="Q2302" s="0" t="n">
        <f aca="true">RAND()</f>
        <v>0.549076422650372</v>
      </c>
      <c r="R2302" s="0" t="n">
        <f aca="false">IF($I2302&lt;&gt;$O2302,0,IF(P2302&lt;Matchup!$B$39,7,IF(P2302&lt;Matchup!$B$39+Matchup!$B$40,3,0)))</f>
        <v>0</v>
      </c>
      <c r="S2302" s="0" t="n">
        <f aca="false">IF($I2302&lt;&gt;$O2302,0,IF(Q2302&lt;Matchup!$C$39,7,IF(Q2302&lt;Matchup!$C$39+Matchup!$C$40,3,0)))</f>
        <v>0</v>
      </c>
      <c r="T2302" s="0" t="n">
        <f aca="false">I2302+R2302</f>
        <v>17</v>
      </c>
      <c r="U2302" s="0" t="n">
        <f aca="false">O2302+S2302</f>
        <v>22</v>
      </c>
      <c r="V2302" s="0" t="n">
        <f aca="false">T2302-U2302</f>
        <v>-5</v>
      </c>
      <c r="W2302" s="0" t="n">
        <f aca="false">T2302+U2302</f>
        <v>39</v>
      </c>
    </row>
    <row r="2303" customFormat="false" ht="15" hidden="false" customHeight="false" outlineLevel="0" collapsed="false">
      <c r="A2303" s="0" t="n">
        <v>2300</v>
      </c>
      <c r="B2303" s="0" t="n">
        <f aca="true">NORMINV(RAND(),1,Coefficients!$B$22)</f>
        <v>0.935322118617113</v>
      </c>
      <c r="C2303" s="0" t="n">
        <f aca="true">MEDIAN(8,16,ROUND(NORMINV(RAND(),Coefficients!$B$20,Coefficients!$B$21),0))</f>
        <v>14</v>
      </c>
      <c r="D2303" s="0" t="n">
        <f aca="true">CRITBINOM($C2303,MIN(0.75,Matchup!$B$39*$B2303),RAND())</f>
        <v>2</v>
      </c>
      <c r="E2303" s="0" t="n">
        <f aca="true">CRITBINOM(D2303,Coefficients!$B$30,RAND())</f>
        <v>0</v>
      </c>
      <c r="F2303" s="0" t="n">
        <f aca="true">CRITBINOM(E2303,Coefficients!$B$31,RAND())</f>
        <v>0</v>
      </c>
      <c r="G2303" s="0" t="n">
        <f aca="true">CRITBINOM(MAX(0,D2303-E2303),1-Coefficients!$B$32,RAND())</f>
        <v>0</v>
      </c>
      <c r="H2303" s="0" t="n">
        <f aca="true">CRITBINOM(MAX(0,$C2303-D2303),MIN(0.6,Matchup!$B$40*SQRT($B2303)/(1-MIN(0.75,Matchup!$B$39*$B2303))),RAND())</f>
        <v>3</v>
      </c>
      <c r="I2303" s="0" t="n">
        <f aca="false">6*D2303+(D2303-E2303-G2303)+2*F2303+3*H2303</f>
        <v>23</v>
      </c>
      <c r="J2303" s="0" t="n">
        <f aca="true">CRITBINOM($C2303,MIN(0.75,Matchup!$C$39*$B2303),RAND())</f>
        <v>3</v>
      </c>
      <c r="K2303" s="0" t="n">
        <f aca="true">CRITBINOM(J2303,Coefficients!$B$30,RAND())</f>
        <v>0</v>
      </c>
      <c r="L2303" s="0" t="n">
        <f aca="true">CRITBINOM(K2303,Coefficients!$B$31,RAND())</f>
        <v>0</v>
      </c>
      <c r="M2303" s="0" t="n">
        <f aca="true">CRITBINOM(MAX(0,J2303-K2303),1-Coefficients!$B$32,RAND())</f>
        <v>0</v>
      </c>
      <c r="N2303" s="0" t="n">
        <f aca="true">CRITBINOM(MAX(0,$C2303-J2303),MIN(0.6,Matchup!$C$40*SQRT($B2303)/(1-MIN(0.75,Matchup!$C$39*$B2303))),RAND())</f>
        <v>2</v>
      </c>
      <c r="O2303" s="0" t="n">
        <f aca="false">6*J2303+(J2303-K2303-M2303)+2*L2303+3*N2303</f>
        <v>27</v>
      </c>
      <c r="P2303" s="0" t="n">
        <f aca="true">RAND()</f>
        <v>0.457521104673185</v>
      </c>
      <c r="Q2303" s="0" t="n">
        <f aca="true">RAND()</f>
        <v>0.505674325704854</v>
      </c>
      <c r="R2303" s="0" t="n">
        <f aca="false">IF($I2303&lt;&gt;$O2303,0,IF(P2303&lt;Matchup!$B$39,7,IF(P2303&lt;Matchup!$B$39+Matchup!$B$40,3,0)))</f>
        <v>0</v>
      </c>
      <c r="S2303" s="0" t="n">
        <f aca="false">IF($I2303&lt;&gt;$O2303,0,IF(Q2303&lt;Matchup!$C$39,7,IF(Q2303&lt;Matchup!$C$39+Matchup!$C$40,3,0)))</f>
        <v>0</v>
      </c>
      <c r="T2303" s="0" t="n">
        <f aca="false">I2303+R2303</f>
        <v>23</v>
      </c>
      <c r="U2303" s="0" t="n">
        <f aca="false">O2303+S2303</f>
        <v>27</v>
      </c>
      <c r="V2303" s="0" t="n">
        <f aca="false">T2303-U2303</f>
        <v>-4</v>
      </c>
      <c r="W2303" s="0" t="n">
        <f aca="false">T2303+U2303</f>
        <v>50</v>
      </c>
    </row>
    <row r="2304" customFormat="false" ht="15" hidden="false" customHeight="false" outlineLevel="0" collapsed="false">
      <c r="A2304" s="0" t="n">
        <v>2301</v>
      </c>
      <c r="B2304" s="0" t="n">
        <f aca="true">NORMINV(RAND(),1,Coefficients!$B$22)</f>
        <v>0.910627755612254</v>
      </c>
      <c r="C2304" s="0" t="n">
        <f aca="true">MEDIAN(8,16,ROUND(NORMINV(RAND(),Coefficients!$B$20,Coefficients!$B$21),0))</f>
        <v>11</v>
      </c>
      <c r="D2304" s="0" t="n">
        <f aca="true">CRITBINOM($C2304,MIN(0.75,Matchup!$B$39*$B2304),RAND())</f>
        <v>1</v>
      </c>
      <c r="E2304" s="0" t="n">
        <f aca="true">CRITBINOM(D2304,Coefficients!$B$30,RAND())</f>
        <v>0</v>
      </c>
      <c r="F2304" s="0" t="n">
        <f aca="true">CRITBINOM(E2304,Coefficients!$B$31,RAND())</f>
        <v>0</v>
      </c>
      <c r="G2304" s="0" t="n">
        <f aca="true">CRITBINOM(MAX(0,D2304-E2304),1-Coefficients!$B$32,RAND())</f>
        <v>0</v>
      </c>
      <c r="H2304" s="0" t="n">
        <f aca="true">CRITBINOM(MAX(0,$C2304-D2304),MIN(0.6,Matchup!$B$40*SQRT($B2304)/(1-MIN(0.75,Matchup!$B$39*$B2304))),RAND())</f>
        <v>0</v>
      </c>
      <c r="I2304" s="0" t="n">
        <f aca="false">6*D2304+(D2304-E2304-G2304)+2*F2304+3*H2304</f>
        <v>7</v>
      </c>
      <c r="J2304" s="0" t="n">
        <f aca="true">CRITBINOM($C2304,MIN(0.75,Matchup!$C$39*$B2304),RAND())</f>
        <v>2</v>
      </c>
      <c r="K2304" s="0" t="n">
        <f aca="true">CRITBINOM(J2304,Coefficients!$B$30,RAND())</f>
        <v>0</v>
      </c>
      <c r="L2304" s="0" t="n">
        <f aca="true">CRITBINOM(K2304,Coefficients!$B$31,RAND())</f>
        <v>0</v>
      </c>
      <c r="M2304" s="0" t="n">
        <f aca="true">CRITBINOM(MAX(0,J2304-K2304),1-Coefficients!$B$32,RAND())</f>
        <v>0</v>
      </c>
      <c r="N2304" s="0" t="n">
        <f aca="true">CRITBINOM(MAX(0,$C2304-J2304),MIN(0.6,Matchup!$C$40*SQRT($B2304)/(1-MIN(0.75,Matchup!$C$39*$B2304))),RAND())</f>
        <v>1</v>
      </c>
      <c r="O2304" s="0" t="n">
        <f aca="false">6*J2304+(J2304-K2304-M2304)+2*L2304+3*N2304</f>
        <v>17</v>
      </c>
      <c r="P2304" s="0" t="n">
        <f aca="true">RAND()</f>
        <v>0.2340185726771</v>
      </c>
      <c r="Q2304" s="0" t="n">
        <f aca="true">RAND()</f>
        <v>0.651712245980129</v>
      </c>
      <c r="R2304" s="0" t="n">
        <f aca="false">IF($I2304&lt;&gt;$O2304,0,IF(P2304&lt;Matchup!$B$39,7,IF(P2304&lt;Matchup!$B$39+Matchup!$B$40,3,0)))</f>
        <v>0</v>
      </c>
      <c r="S2304" s="0" t="n">
        <f aca="false">IF($I2304&lt;&gt;$O2304,0,IF(Q2304&lt;Matchup!$C$39,7,IF(Q2304&lt;Matchup!$C$39+Matchup!$C$40,3,0)))</f>
        <v>0</v>
      </c>
      <c r="T2304" s="0" t="n">
        <f aca="false">I2304+R2304</f>
        <v>7</v>
      </c>
      <c r="U2304" s="0" t="n">
        <f aca="false">O2304+S2304</f>
        <v>17</v>
      </c>
      <c r="V2304" s="0" t="n">
        <f aca="false">T2304-U2304</f>
        <v>-10</v>
      </c>
      <c r="W2304" s="0" t="n">
        <f aca="false">T2304+U2304</f>
        <v>24</v>
      </c>
    </row>
    <row r="2305" customFormat="false" ht="15" hidden="false" customHeight="false" outlineLevel="0" collapsed="false">
      <c r="A2305" s="0" t="n">
        <v>2302</v>
      </c>
      <c r="B2305" s="0" t="n">
        <f aca="true">NORMINV(RAND(),1,Coefficients!$B$22)</f>
        <v>0.978214985214996</v>
      </c>
      <c r="C2305" s="0" t="n">
        <f aca="true">MEDIAN(8,16,ROUND(NORMINV(RAND(),Coefficients!$B$20,Coefficients!$B$21),0))</f>
        <v>11</v>
      </c>
      <c r="D2305" s="0" t="n">
        <f aca="true">CRITBINOM($C2305,MIN(0.75,Matchup!$B$39*$B2305),RAND())</f>
        <v>5</v>
      </c>
      <c r="E2305" s="0" t="n">
        <f aca="true">CRITBINOM(D2305,Coefficients!$B$30,RAND())</f>
        <v>2</v>
      </c>
      <c r="F2305" s="0" t="n">
        <f aca="true">CRITBINOM(E2305,Coefficients!$B$31,RAND())</f>
        <v>0</v>
      </c>
      <c r="G2305" s="0" t="n">
        <f aca="true">CRITBINOM(MAX(0,D2305-E2305),1-Coefficients!$B$32,RAND())</f>
        <v>0</v>
      </c>
      <c r="H2305" s="0" t="n">
        <f aca="true">CRITBINOM(MAX(0,$C2305-D2305),MIN(0.6,Matchup!$B$40*SQRT($B2305)/(1-MIN(0.75,Matchup!$B$39*$B2305))),RAND())</f>
        <v>0</v>
      </c>
      <c r="I2305" s="0" t="n">
        <f aca="false">6*D2305+(D2305-E2305-G2305)+2*F2305+3*H2305</f>
        <v>33</v>
      </c>
      <c r="J2305" s="0" t="n">
        <f aca="true">CRITBINOM($C2305,MIN(0.75,Matchup!$C$39*$B2305),RAND())</f>
        <v>1</v>
      </c>
      <c r="K2305" s="0" t="n">
        <f aca="true">CRITBINOM(J2305,Coefficients!$B$30,RAND())</f>
        <v>0</v>
      </c>
      <c r="L2305" s="0" t="n">
        <f aca="true">CRITBINOM(K2305,Coefficients!$B$31,RAND())</f>
        <v>0</v>
      </c>
      <c r="M2305" s="0" t="n">
        <f aca="true">CRITBINOM(MAX(0,J2305-K2305),1-Coefficients!$B$32,RAND())</f>
        <v>0</v>
      </c>
      <c r="N2305" s="0" t="n">
        <f aca="true">CRITBINOM(MAX(0,$C2305-J2305),MIN(0.6,Matchup!$C$40*SQRT($B2305)/(1-MIN(0.75,Matchup!$C$39*$B2305))),RAND())</f>
        <v>2</v>
      </c>
      <c r="O2305" s="0" t="n">
        <f aca="false">6*J2305+(J2305-K2305-M2305)+2*L2305+3*N2305</f>
        <v>13</v>
      </c>
      <c r="P2305" s="0" t="n">
        <f aca="true">RAND()</f>
        <v>0.509818858744123</v>
      </c>
      <c r="Q2305" s="0" t="n">
        <f aca="true">RAND()</f>
        <v>0.865936275214876</v>
      </c>
      <c r="R2305" s="0" t="n">
        <f aca="false">IF($I2305&lt;&gt;$O2305,0,IF(P2305&lt;Matchup!$B$39,7,IF(P2305&lt;Matchup!$B$39+Matchup!$B$40,3,0)))</f>
        <v>0</v>
      </c>
      <c r="S2305" s="0" t="n">
        <f aca="false">IF($I2305&lt;&gt;$O2305,0,IF(Q2305&lt;Matchup!$C$39,7,IF(Q2305&lt;Matchup!$C$39+Matchup!$C$40,3,0)))</f>
        <v>0</v>
      </c>
      <c r="T2305" s="0" t="n">
        <f aca="false">I2305+R2305</f>
        <v>33</v>
      </c>
      <c r="U2305" s="0" t="n">
        <f aca="false">O2305+S2305</f>
        <v>13</v>
      </c>
      <c r="V2305" s="0" t="n">
        <f aca="false">T2305-U2305</f>
        <v>20</v>
      </c>
      <c r="W2305" s="0" t="n">
        <f aca="false">T2305+U2305</f>
        <v>46</v>
      </c>
    </row>
    <row r="2306" customFormat="false" ht="15" hidden="false" customHeight="false" outlineLevel="0" collapsed="false">
      <c r="A2306" s="0" t="n">
        <v>2303</v>
      </c>
      <c r="B2306" s="0" t="n">
        <f aca="true">NORMINV(RAND(),1,Coefficients!$B$22)</f>
        <v>1.01135010733963</v>
      </c>
      <c r="C2306" s="0" t="n">
        <f aca="true">MEDIAN(8,16,ROUND(NORMINV(RAND(),Coefficients!$B$20,Coefficients!$B$21),0))</f>
        <v>11</v>
      </c>
      <c r="D2306" s="0" t="n">
        <f aca="true">CRITBINOM($C2306,MIN(0.75,Matchup!$B$39*$B2306),RAND())</f>
        <v>2</v>
      </c>
      <c r="E2306" s="0" t="n">
        <f aca="true">CRITBINOM(D2306,Coefficients!$B$30,RAND())</f>
        <v>1</v>
      </c>
      <c r="F2306" s="0" t="n">
        <f aca="true">CRITBINOM(E2306,Coefficients!$B$31,RAND())</f>
        <v>0</v>
      </c>
      <c r="G2306" s="0" t="n">
        <f aca="true">CRITBINOM(MAX(0,D2306-E2306),1-Coefficients!$B$32,RAND())</f>
        <v>0</v>
      </c>
      <c r="H2306" s="0" t="n">
        <f aca="true">CRITBINOM(MAX(0,$C2306-D2306),MIN(0.6,Matchup!$B$40*SQRT($B2306)/(1-MIN(0.75,Matchup!$B$39*$B2306))),RAND())</f>
        <v>0</v>
      </c>
      <c r="I2306" s="0" t="n">
        <f aca="false">6*D2306+(D2306-E2306-G2306)+2*F2306+3*H2306</f>
        <v>13</v>
      </c>
      <c r="J2306" s="0" t="n">
        <f aca="true">CRITBINOM($C2306,MIN(0.75,Matchup!$C$39*$B2306),RAND())</f>
        <v>3</v>
      </c>
      <c r="K2306" s="0" t="n">
        <f aca="true">CRITBINOM(J2306,Coefficients!$B$30,RAND())</f>
        <v>1</v>
      </c>
      <c r="L2306" s="0" t="n">
        <f aca="true">CRITBINOM(K2306,Coefficients!$B$31,RAND())</f>
        <v>0</v>
      </c>
      <c r="M2306" s="0" t="n">
        <f aca="true">CRITBINOM(MAX(0,J2306-K2306),1-Coefficients!$B$32,RAND())</f>
        <v>0</v>
      </c>
      <c r="N2306" s="0" t="n">
        <f aca="true">CRITBINOM(MAX(0,$C2306-J2306),MIN(0.6,Matchup!$C$40*SQRT($B2306)/(1-MIN(0.75,Matchup!$C$39*$B2306))),RAND())</f>
        <v>0</v>
      </c>
      <c r="O2306" s="0" t="n">
        <f aca="false">6*J2306+(J2306-K2306-M2306)+2*L2306+3*N2306</f>
        <v>20</v>
      </c>
      <c r="P2306" s="0" t="n">
        <f aca="true">RAND()</f>
        <v>0.637462389717157</v>
      </c>
      <c r="Q2306" s="0" t="n">
        <f aca="true">RAND()</f>
        <v>0.300259786032376</v>
      </c>
      <c r="R2306" s="0" t="n">
        <f aca="false">IF($I2306&lt;&gt;$O2306,0,IF(P2306&lt;Matchup!$B$39,7,IF(P2306&lt;Matchup!$B$39+Matchup!$B$40,3,0)))</f>
        <v>0</v>
      </c>
      <c r="S2306" s="0" t="n">
        <f aca="false">IF($I2306&lt;&gt;$O2306,0,IF(Q2306&lt;Matchup!$C$39,7,IF(Q2306&lt;Matchup!$C$39+Matchup!$C$40,3,0)))</f>
        <v>0</v>
      </c>
      <c r="T2306" s="0" t="n">
        <f aca="false">I2306+R2306</f>
        <v>13</v>
      </c>
      <c r="U2306" s="0" t="n">
        <f aca="false">O2306+S2306</f>
        <v>20</v>
      </c>
      <c r="V2306" s="0" t="n">
        <f aca="false">T2306-U2306</f>
        <v>-7</v>
      </c>
      <c r="W2306" s="0" t="n">
        <f aca="false">T2306+U2306</f>
        <v>33</v>
      </c>
    </row>
    <row r="2307" customFormat="false" ht="15" hidden="false" customHeight="false" outlineLevel="0" collapsed="false">
      <c r="A2307" s="0" t="n">
        <v>2304</v>
      </c>
      <c r="B2307" s="0" t="n">
        <f aca="true">NORMINV(RAND(),1,Coefficients!$B$22)</f>
        <v>0.920817999777959</v>
      </c>
      <c r="C2307" s="0" t="n">
        <f aca="true">MEDIAN(8,16,ROUND(NORMINV(RAND(),Coefficients!$B$20,Coefficients!$B$21),0))</f>
        <v>13</v>
      </c>
      <c r="D2307" s="0" t="n">
        <f aca="true">CRITBINOM($C2307,MIN(0.75,Matchup!$B$39*$B2307),RAND())</f>
        <v>3</v>
      </c>
      <c r="E2307" s="0" t="n">
        <f aca="true">CRITBINOM(D2307,Coefficients!$B$30,RAND())</f>
        <v>0</v>
      </c>
      <c r="F2307" s="0" t="n">
        <f aca="true">CRITBINOM(E2307,Coefficients!$B$31,RAND())</f>
        <v>0</v>
      </c>
      <c r="G2307" s="0" t="n">
        <f aca="true">CRITBINOM(MAX(0,D2307-E2307),1-Coefficients!$B$32,RAND())</f>
        <v>0</v>
      </c>
      <c r="H2307" s="0" t="n">
        <f aca="true">CRITBINOM(MAX(0,$C2307-D2307),MIN(0.6,Matchup!$B$40*SQRT($B2307)/(1-MIN(0.75,Matchup!$B$39*$B2307))),RAND())</f>
        <v>1</v>
      </c>
      <c r="I2307" s="0" t="n">
        <f aca="false">6*D2307+(D2307-E2307-G2307)+2*F2307+3*H2307</f>
        <v>24</v>
      </c>
      <c r="J2307" s="0" t="n">
        <f aca="true">CRITBINOM($C2307,MIN(0.75,Matchup!$C$39*$B2307),RAND())</f>
        <v>1</v>
      </c>
      <c r="K2307" s="0" t="n">
        <f aca="true">CRITBINOM(J2307,Coefficients!$B$30,RAND())</f>
        <v>0</v>
      </c>
      <c r="L2307" s="0" t="n">
        <f aca="true">CRITBINOM(K2307,Coefficients!$B$31,RAND())</f>
        <v>0</v>
      </c>
      <c r="M2307" s="0" t="n">
        <f aca="true">CRITBINOM(MAX(0,J2307-K2307),1-Coefficients!$B$32,RAND())</f>
        <v>0</v>
      </c>
      <c r="N2307" s="0" t="n">
        <f aca="true">CRITBINOM(MAX(0,$C2307-J2307),MIN(0.6,Matchup!$C$40*SQRT($B2307)/(1-MIN(0.75,Matchup!$C$39*$B2307))),RAND())</f>
        <v>3</v>
      </c>
      <c r="O2307" s="0" t="n">
        <f aca="false">6*J2307+(J2307-K2307-M2307)+2*L2307+3*N2307</f>
        <v>16</v>
      </c>
      <c r="P2307" s="0" t="n">
        <f aca="true">RAND()</f>
        <v>0.595218762951602</v>
      </c>
      <c r="Q2307" s="0" t="n">
        <f aca="true">RAND()</f>
        <v>0.0715349281069501</v>
      </c>
      <c r="R2307" s="0" t="n">
        <f aca="false">IF($I2307&lt;&gt;$O2307,0,IF(P2307&lt;Matchup!$B$39,7,IF(P2307&lt;Matchup!$B$39+Matchup!$B$40,3,0)))</f>
        <v>0</v>
      </c>
      <c r="S2307" s="0" t="n">
        <f aca="false">IF($I2307&lt;&gt;$O2307,0,IF(Q2307&lt;Matchup!$C$39,7,IF(Q2307&lt;Matchup!$C$39+Matchup!$C$40,3,0)))</f>
        <v>0</v>
      </c>
      <c r="T2307" s="0" t="n">
        <f aca="false">I2307+R2307</f>
        <v>24</v>
      </c>
      <c r="U2307" s="0" t="n">
        <f aca="false">O2307+S2307</f>
        <v>16</v>
      </c>
      <c r="V2307" s="0" t="n">
        <f aca="false">T2307-U2307</f>
        <v>8</v>
      </c>
      <c r="W2307" s="0" t="n">
        <f aca="false">T2307+U2307</f>
        <v>40</v>
      </c>
    </row>
    <row r="2308" customFormat="false" ht="15" hidden="false" customHeight="false" outlineLevel="0" collapsed="false">
      <c r="A2308" s="0" t="n">
        <v>2305</v>
      </c>
      <c r="B2308" s="0" t="n">
        <f aca="true">NORMINV(RAND(),1,Coefficients!$B$22)</f>
        <v>1.03934626918186</v>
      </c>
      <c r="C2308" s="0" t="n">
        <f aca="true">MEDIAN(8,16,ROUND(NORMINV(RAND(),Coefficients!$B$20,Coefficients!$B$21),0))</f>
        <v>12</v>
      </c>
      <c r="D2308" s="0" t="n">
        <f aca="true">CRITBINOM($C2308,MIN(0.75,Matchup!$B$39*$B2308),RAND())</f>
        <v>4</v>
      </c>
      <c r="E2308" s="0" t="n">
        <f aca="true">CRITBINOM(D2308,Coefficients!$B$30,RAND())</f>
        <v>1</v>
      </c>
      <c r="F2308" s="0" t="n">
        <f aca="true">CRITBINOM(E2308,Coefficients!$B$31,RAND())</f>
        <v>1</v>
      </c>
      <c r="G2308" s="0" t="n">
        <f aca="true">CRITBINOM(MAX(0,D2308-E2308),1-Coefficients!$B$32,RAND())</f>
        <v>0</v>
      </c>
      <c r="H2308" s="0" t="n">
        <f aca="true">CRITBINOM(MAX(0,$C2308-D2308),MIN(0.6,Matchup!$B$40*SQRT($B2308)/(1-MIN(0.75,Matchup!$B$39*$B2308))),RAND())</f>
        <v>2</v>
      </c>
      <c r="I2308" s="0" t="n">
        <f aca="false">6*D2308+(D2308-E2308-G2308)+2*F2308+3*H2308</f>
        <v>35</v>
      </c>
      <c r="J2308" s="0" t="n">
        <f aca="true">CRITBINOM($C2308,MIN(0.75,Matchup!$C$39*$B2308),RAND())</f>
        <v>3</v>
      </c>
      <c r="K2308" s="0" t="n">
        <f aca="true">CRITBINOM(J2308,Coefficients!$B$30,RAND())</f>
        <v>0</v>
      </c>
      <c r="L2308" s="0" t="n">
        <f aca="true">CRITBINOM(K2308,Coefficients!$B$31,RAND())</f>
        <v>0</v>
      </c>
      <c r="M2308" s="0" t="n">
        <f aca="true">CRITBINOM(MAX(0,J2308-K2308),1-Coefficients!$B$32,RAND())</f>
        <v>0</v>
      </c>
      <c r="N2308" s="0" t="n">
        <f aca="true">CRITBINOM(MAX(0,$C2308-J2308),MIN(0.6,Matchup!$C$40*SQRT($B2308)/(1-MIN(0.75,Matchup!$C$39*$B2308))),RAND())</f>
        <v>4</v>
      </c>
      <c r="O2308" s="0" t="n">
        <f aca="false">6*J2308+(J2308-K2308-M2308)+2*L2308+3*N2308</f>
        <v>33</v>
      </c>
      <c r="P2308" s="0" t="n">
        <f aca="true">RAND()</f>
        <v>0.672483911637784</v>
      </c>
      <c r="Q2308" s="0" t="n">
        <f aca="true">RAND()</f>
        <v>0.733629302811941</v>
      </c>
      <c r="R2308" s="0" t="n">
        <f aca="false">IF($I2308&lt;&gt;$O2308,0,IF(P2308&lt;Matchup!$B$39,7,IF(P2308&lt;Matchup!$B$39+Matchup!$B$40,3,0)))</f>
        <v>0</v>
      </c>
      <c r="S2308" s="0" t="n">
        <f aca="false">IF($I2308&lt;&gt;$O2308,0,IF(Q2308&lt;Matchup!$C$39,7,IF(Q2308&lt;Matchup!$C$39+Matchup!$C$40,3,0)))</f>
        <v>0</v>
      </c>
      <c r="T2308" s="0" t="n">
        <f aca="false">I2308+R2308</f>
        <v>35</v>
      </c>
      <c r="U2308" s="0" t="n">
        <f aca="false">O2308+S2308</f>
        <v>33</v>
      </c>
      <c r="V2308" s="0" t="n">
        <f aca="false">T2308-U2308</f>
        <v>2</v>
      </c>
      <c r="W2308" s="0" t="n">
        <f aca="false">T2308+U2308</f>
        <v>68</v>
      </c>
    </row>
    <row r="2309" customFormat="false" ht="15" hidden="false" customHeight="false" outlineLevel="0" collapsed="false">
      <c r="A2309" s="0" t="n">
        <v>2306</v>
      </c>
      <c r="B2309" s="0" t="n">
        <f aca="true">NORMINV(RAND(),1,Coefficients!$B$22)</f>
        <v>0.880413845263921</v>
      </c>
      <c r="C2309" s="0" t="n">
        <f aca="true">MEDIAN(8,16,ROUND(NORMINV(RAND(),Coefficients!$B$20,Coefficients!$B$21),0))</f>
        <v>11</v>
      </c>
      <c r="D2309" s="0" t="n">
        <f aca="true">CRITBINOM($C2309,MIN(0.75,Matchup!$B$39*$B2309),RAND())</f>
        <v>3</v>
      </c>
      <c r="E2309" s="0" t="n">
        <f aca="true">CRITBINOM(D2309,Coefficients!$B$30,RAND())</f>
        <v>0</v>
      </c>
      <c r="F2309" s="0" t="n">
        <f aca="true">CRITBINOM(E2309,Coefficients!$B$31,RAND())</f>
        <v>0</v>
      </c>
      <c r="G2309" s="0" t="n">
        <f aca="true">CRITBINOM(MAX(0,D2309-E2309),1-Coefficients!$B$32,RAND())</f>
        <v>0</v>
      </c>
      <c r="H2309" s="0" t="n">
        <f aca="true">CRITBINOM(MAX(0,$C2309-D2309),MIN(0.6,Matchup!$B$40*SQRT($B2309)/(1-MIN(0.75,Matchup!$B$39*$B2309))),RAND())</f>
        <v>1</v>
      </c>
      <c r="I2309" s="0" t="n">
        <f aca="false">6*D2309+(D2309-E2309-G2309)+2*F2309+3*H2309</f>
        <v>24</v>
      </c>
      <c r="J2309" s="0" t="n">
        <f aca="true">CRITBINOM($C2309,MIN(0.75,Matchup!$C$39*$B2309),RAND())</f>
        <v>1</v>
      </c>
      <c r="K2309" s="0" t="n">
        <f aca="true">CRITBINOM(J2309,Coefficients!$B$30,RAND())</f>
        <v>0</v>
      </c>
      <c r="L2309" s="0" t="n">
        <f aca="true">CRITBINOM(K2309,Coefficients!$B$31,RAND())</f>
        <v>0</v>
      </c>
      <c r="M2309" s="0" t="n">
        <f aca="true">CRITBINOM(MAX(0,J2309-K2309),1-Coefficients!$B$32,RAND())</f>
        <v>0</v>
      </c>
      <c r="N2309" s="0" t="n">
        <f aca="true">CRITBINOM(MAX(0,$C2309-J2309),MIN(0.6,Matchup!$C$40*SQRT($B2309)/(1-MIN(0.75,Matchup!$C$39*$B2309))),RAND())</f>
        <v>0</v>
      </c>
      <c r="O2309" s="0" t="n">
        <f aca="false">6*J2309+(J2309-K2309-M2309)+2*L2309+3*N2309</f>
        <v>7</v>
      </c>
      <c r="P2309" s="0" t="n">
        <f aca="true">RAND()</f>
        <v>0.258693705352761</v>
      </c>
      <c r="Q2309" s="0" t="n">
        <f aca="true">RAND()</f>
        <v>0.431168771679105</v>
      </c>
      <c r="R2309" s="0" t="n">
        <f aca="false">IF($I2309&lt;&gt;$O2309,0,IF(P2309&lt;Matchup!$B$39,7,IF(P2309&lt;Matchup!$B$39+Matchup!$B$40,3,0)))</f>
        <v>0</v>
      </c>
      <c r="S2309" s="0" t="n">
        <f aca="false">IF($I2309&lt;&gt;$O2309,0,IF(Q2309&lt;Matchup!$C$39,7,IF(Q2309&lt;Matchup!$C$39+Matchup!$C$40,3,0)))</f>
        <v>0</v>
      </c>
      <c r="T2309" s="0" t="n">
        <f aca="false">I2309+R2309</f>
        <v>24</v>
      </c>
      <c r="U2309" s="0" t="n">
        <f aca="false">O2309+S2309</f>
        <v>7</v>
      </c>
      <c r="V2309" s="0" t="n">
        <f aca="false">T2309-U2309</f>
        <v>17</v>
      </c>
      <c r="W2309" s="0" t="n">
        <f aca="false">T2309+U2309</f>
        <v>31</v>
      </c>
    </row>
    <row r="2310" customFormat="false" ht="15" hidden="false" customHeight="false" outlineLevel="0" collapsed="false">
      <c r="A2310" s="0" t="n">
        <v>2307</v>
      </c>
      <c r="B2310" s="0" t="n">
        <f aca="true">NORMINV(RAND(),1,Coefficients!$B$22)</f>
        <v>1.08391419220809</v>
      </c>
      <c r="C2310" s="0" t="n">
        <f aca="true">MEDIAN(8,16,ROUND(NORMINV(RAND(),Coefficients!$B$20,Coefficients!$B$21),0))</f>
        <v>10</v>
      </c>
      <c r="D2310" s="0" t="n">
        <f aca="true">CRITBINOM($C2310,MIN(0.75,Matchup!$B$39*$B2310),RAND())</f>
        <v>2</v>
      </c>
      <c r="E2310" s="0" t="n">
        <f aca="true">CRITBINOM(D2310,Coefficients!$B$30,RAND())</f>
        <v>0</v>
      </c>
      <c r="F2310" s="0" t="n">
        <f aca="true">CRITBINOM(E2310,Coefficients!$B$31,RAND())</f>
        <v>0</v>
      </c>
      <c r="G2310" s="0" t="n">
        <f aca="true">CRITBINOM(MAX(0,D2310-E2310),1-Coefficients!$B$32,RAND())</f>
        <v>0</v>
      </c>
      <c r="H2310" s="0" t="n">
        <f aca="true">CRITBINOM(MAX(0,$C2310-D2310),MIN(0.6,Matchup!$B$40*SQRT($B2310)/(1-MIN(0.75,Matchup!$B$39*$B2310))),RAND())</f>
        <v>4</v>
      </c>
      <c r="I2310" s="0" t="n">
        <f aca="false">6*D2310+(D2310-E2310-G2310)+2*F2310+3*H2310</f>
        <v>26</v>
      </c>
      <c r="J2310" s="0" t="n">
        <f aca="true">CRITBINOM($C2310,MIN(0.75,Matchup!$C$39*$B2310),RAND())</f>
        <v>1</v>
      </c>
      <c r="K2310" s="0" t="n">
        <f aca="true">CRITBINOM(J2310,Coefficients!$B$30,RAND())</f>
        <v>1</v>
      </c>
      <c r="L2310" s="0" t="n">
        <f aca="true">CRITBINOM(K2310,Coefficients!$B$31,RAND())</f>
        <v>1</v>
      </c>
      <c r="M2310" s="0" t="n">
        <f aca="true">CRITBINOM(MAX(0,J2310-K2310),1-Coefficients!$B$32,RAND())</f>
        <v>0</v>
      </c>
      <c r="N2310" s="0" t="n">
        <f aca="true">CRITBINOM(MAX(0,$C2310-J2310),MIN(0.6,Matchup!$C$40*SQRT($B2310)/(1-MIN(0.75,Matchup!$C$39*$B2310))),RAND())</f>
        <v>0</v>
      </c>
      <c r="O2310" s="0" t="n">
        <f aca="false">6*J2310+(J2310-K2310-M2310)+2*L2310+3*N2310</f>
        <v>8</v>
      </c>
      <c r="P2310" s="0" t="n">
        <f aca="true">RAND()</f>
        <v>0.602587045065685</v>
      </c>
      <c r="Q2310" s="0" t="n">
        <f aca="true">RAND()</f>
        <v>0.848495398657674</v>
      </c>
      <c r="R2310" s="0" t="n">
        <f aca="false">IF($I2310&lt;&gt;$O2310,0,IF(P2310&lt;Matchup!$B$39,7,IF(P2310&lt;Matchup!$B$39+Matchup!$B$40,3,0)))</f>
        <v>0</v>
      </c>
      <c r="S2310" s="0" t="n">
        <f aca="false">IF($I2310&lt;&gt;$O2310,0,IF(Q2310&lt;Matchup!$C$39,7,IF(Q2310&lt;Matchup!$C$39+Matchup!$C$40,3,0)))</f>
        <v>0</v>
      </c>
      <c r="T2310" s="0" t="n">
        <f aca="false">I2310+R2310</f>
        <v>26</v>
      </c>
      <c r="U2310" s="0" t="n">
        <f aca="false">O2310+S2310</f>
        <v>8</v>
      </c>
      <c r="V2310" s="0" t="n">
        <f aca="false">T2310-U2310</f>
        <v>18</v>
      </c>
      <c r="W2310" s="0" t="n">
        <f aca="false">T2310+U2310</f>
        <v>34</v>
      </c>
    </row>
    <row r="2311" customFormat="false" ht="15" hidden="false" customHeight="false" outlineLevel="0" collapsed="false">
      <c r="A2311" s="0" t="n">
        <v>2308</v>
      </c>
      <c r="B2311" s="0" t="n">
        <f aca="true">NORMINV(RAND(),1,Coefficients!$B$22)</f>
        <v>1.03307147351208</v>
      </c>
      <c r="C2311" s="0" t="n">
        <f aca="true">MEDIAN(8,16,ROUND(NORMINV(RAND(),Coefficients!$B$20,Coefficients!$B$21),0))</f>
        <v>12</v>
      </c>
      <c r="D2311" s="0" t="n">
        <f aca="true">CRITBINOM($C2311,MIN(0.75,Matchup!$B$39*$B2311),RAND())</f>
        <v>5</v>
      </c>
      <c r="E2311" s="0" t="n">
        <f aca="true">CRITBINOM(D2311,Coefficients!$B$30,RAND())</f>
        <v>1</v>
      </c>
      <c r="F2311" s="0" t="n">
        <f aca="true">CRITBINOM(E2311,Coefficients!$B$31,RAND())</f>
        <v>0</v>
      </c>
      <c r="G2311" s="0" t="n">
        <f aca="true">CRITBINOM(MAX(0,D2311-E2311),1-Coefficients!$B$32,RAND())</f>
        <v>0</v>
      </c>
      <c r="H2311" s="0" t="n">
        <f aca="true">CRITBINOM(MAX(0,$C2311-D2311),MIN(0.6,Matchup!$B$40*SQRT($B2311)/(1-MIN(0.75,Matchup!$B$39*$B2311))),RAND())</f>
        <v>0</v>
      </c>
      <c r="I2311" s="0" t="n">
        <f aca="false">6*D2311+(D2311-E2311-G2311)+2*F2311+3*H2311</f>
        <v>34</v>
      </c>
      <c r="J2311" s="0" t="n">
        <f aca="true">CRITBINOM($C2311,MIN(0.75,Matchup!$C$39*$B2311),RAND())</f>
        <v>1</v>
      </c>
      <c r="K2311" s="0" t="n">
        <f aca="true">CRITBINOM(J2311,Coefficients!$B$30,RAND())</f>
        <v>0</v>
      </c>
      <c r="L2311" s="0" t="n">
        <f aca="true">CRITBINOM(K2311,Coefficients!$B$31,RAND())</f>
        <v>0</v>
      </c>
      <c r="M2311" s="0" t="n">
        <f aca="true">CRITBINOM(MAX(0,J2311-K2311),1-Coefficients!$B$32,RAND())</f>
        <v>0</v>
      </c>
      <c r="N2311" s="0" t="n">
        <f aca="true">CRITBINOM(MAX(0,$C2311-J2311),MIN(0.6,Matchup!$C$40*SQRT($B2311)/(1-MIN(0.75,Matchup!$C$39*$B2311))),RAND())</f>
        <v>0</v>
      </c>
      <c r="O2311" s="0" t="n">
        <f aca="false">6*J2311+(J2311-K2311-M2311)+2*L2311+3*N2311</f>
        <v>7</v>
      </c>
      <c r="P2311" s="0" t="n">
        <f aca="true">RAND()</f>
        <v>0.784874811883217</v>
      </c>
      <c r="Q2311" s="0" t="n">
        <f aca="true">RAND()</f>
        <v>0.762978021620511</v>
      </c>
      <c r="R2311" s="0" t="n">
        <f aca="false">IF($I2311&lt;&gt;$O2311,0,IF(P2311&lt;Matchup!$B$39,7,IF(P2311&lt;Matchup!$B$39+Matchup!$B$40,3,0)))</f>
        <v>0</v>
      </c>
      <c r="S2311" s="0" t="n">
        <f aca="false">IF($I2311&lt;&gt;$O2311,0,IF(Q2311&lt;Matchup!$C$39,7,IF(Q2311&lt;Matchup!$C$39+Matchup!$C$40,3,0)))</f>
        <v>0</v>
      </c>
      <c r="T2311" s="0" t="n">
        <f aca="false">I2311+R2311</f>
        <v>34</v>
      </c>
      <c r="U2311" s="0" t="n">
        <f aca="false">O2311+S2311</f>
        <v>7</v>
      </c>
      <c r="V2311" s="0" t="n">
        <f aca="false">T2311-U2311</f>
        <v>27</v>
      </c>
      <c r="W2311" s="0" t="n">
        <f aca="false">T2311+U2311</f>
        <v>41</v>
      </c>
    </row>
    <row r="2312" customFormat="false" ht="15" hidden="false" customHeight="false" outlineLevel="0" collapsed="false">
      <c r="A2312" s="0" t="n">
        <v>2309</v>
      </c>
      <c r="B2312" s="0" t="n">
        <f aca="true">NORMINV(RAND(),1,Coefficients!$B$22)</f>
        <v>0.951546308690445</v>
      </c>
      <c r="C2312" s="0" t="n">
        <f aca="true">MEDIAN(8,16,ROUND(NORMINV(RAND(),Coefficients!$B$20,Coefficients!$B$21),0))</f>
        <v>12</v>
      </c>
      <c r="D2312" s="0" t="n">
        <f aca="true">CRITBINOM($C2312,MIN(0.75,Matchup!$B$39*$B2312),RAND())</f>
        <v>1</v>
      </c>
      <c r="E2312" s="0" t="n">
        <f aca="true">CRITBINOM(D2312,Coefficients!$B$30,RAND())</f>
        <v>0</v>
      </c>
      <c r="F2312" s="0" t="n">
        <f aca="true">CRITBINOM(E2312,Coefficients!$B$31,RAND())</f>
        <v>0</v>
      </c>
      <c r="G2312" s="0" t="n">
        <f aca="true">CRITBINOM(MAX(0,D2312-E2312),1-Coefficients!$B$32,RAND())</f>
        <v>0</v>
      </c>
      <c r="H2312" s="0" t="n">
        <f aca="true">CRITBINOM(MAX(0,$C2312-D2312),MIN(0.6,Matchup!$B$40*SQRT($B2312)/(1-MIN(0.75,Matchup!$B$39*$B2312))),RAND())</f>
        <v>3</v>
      </c>
      <c r="I2312" s="0" t="n">
        <f aca="false">6*D2312+(D2312-E2312-G2312)+2*F2312+3*H2312</f>
        <v>16</v>
      </c>
      <c r="J2312" s="0" t="n">
        <f aca="true">CRITBINOM($C2312,MIN(0.75,Matchup!$C$39*$B2312),RAND())</f>
        <v>4</v>
      </c>
      <c r="K2312" s="0" t="n">
        <f aca="true">CRITBINOM(J2312,Coefficients!$B$30,RAND())</f>
        <v>0</v>
      </c>
      <c r="L2312" s="0" t="n">
        <f aca="true">CRITBINOM(K2312,Coefficients!$B$31,RAND())</f>
        <v>0</v>
      </c>
      <c r="M2312" s="0" t="n">
        <f aca="true">CRITBINOM(MAX(0,J2312-K2312),1-Coefficients!$B$32,RAND())</f>
        <v>0</v>
      </c>
      <c r="N2312" s="0" t="n">
        <f aca="true">CRITBINOM(MAX(0,$C2312-J2312),MIN(0.6,Matchup!$C$40*SQRT($B2312)/(1-MIN(0.75,Matchup!$C$39*$B2312))),RAND())</f>
        <v>1</v>
      </c>
      <c r="O2312" s="0" t="n">
        <f aca="false">6*J2312+(J2312-K2312-M2312)+2*L2312+3*N2312</f>
        <v>31</v>
      </c>
      <c r="P2312" s="0" t="n">
        <f aca="true">RAND()</f>
        <v>0.425935023221922</v>
      </c>
      <c r="Q2312" s="0" t="n">
        <f aca="true">RAND()</f>
        <v>0.0389976434111889</v>
      </c>
      <c r="R2312" s="0" t="n">
        <f aca="false">IF($I2312&lt;&gt;$O2312,0,IF(P2312&lt;Matchup!$B$39,7,IF(P2312&lt;Matchup!$B$39+Matchup!$B$40,3,0)))</f>
        <v>0</v>
      </c>
      <c r="S2312" s="0" t="n">
        <f aca="false">IF($I2312&lt;&gt;$O2312,0,IF(Q2312&lt;Matchup!$C$39,7,IF(Q2312&lt;Matchup!$C$39+Matchup!$C$40,3,0)))</f>
        <v>0</v>
      </c>
      <c r="T2312" s="0" t="n">
        <f aca="false">I2312+R2312</f>
        <v>16</v>
      </c>
      <c r="U2312" s="0" t="n">
        <f aca="false">O2312+S2312</f>
        <v>31</v>
      </c>
      <c r="V2312" s="0" t="n">
        <f aca="false">T2312-U2312</f>
        <v>-15</v>
      </c>
      <c r="W2312" s="0" t="n">
        <f aca="false">T2312+U2312</f>
        <v>47</v>
      </c>
    </row>
    <row r="2313" customFormat="false" ht="15" hidden="false" customHeight="false" outlineLevel="0" collapsed="false">
      <c r="A2313" s="0" t="n">
        <v>2310</v>
      </c>
      <c r="B2313" s="0" t="n">
        <f aca="true">NORMINV(RAND(),1,Coefficients!$B$22)</f>
        <v>0.868263472266085</v>
      </c>
      <c r="C2313" s="0" t="n">
        <f aca="true">MEDIAN(8,16,ROUND(NORMINV(RAND(),Coefficients!$B$20,Coefficients!$B$21),0))</f>
        <v>12</v>
      </c>
      <c r="D2313" s="0" t="n">
        <f aca="true">CRITBINOM($C2313,MIN(0.75,Matchup!$B$39*$B2313),RAND())</f>
        <v>1</v>
      </c>
      <c r="E2313" s="0" t="n">
        <f aca="true">CRITBINOM(D2313,Coefficients!$B$30,RAND())</f>
        <v>0</v>
      </c>
      <c r="F2313" s="0" t="n">
        <f aca="true">CRITBINOM(E2313,Coefficients!$B$31,RAND())</f>
        <v>0</v>
      </c>
      <c r="G2313" s="0" t="n">
        <f aca="true">CRITBINOM(MAX(0,D2313-E2313),1-Coefficients!$B$32,RAND())</f>
        <v>0</v>
      </c>
      <c r="H2313" s="0" t="n">
        <f aca="true">CRITBINOM(MAX(0,$C2313-D2313),MIN(0.6,Matchup!$B$40*SQRT($B2313)/(1-MIN(0.75,Matchup!$B$39*$B2313))),RAND())</f>
        <v>4</v>
      </c>
      <c r="I2313" s="0" t="n">
        <f aca="false">6*D2313+(D2313-E2313-G2313)+2*F2313+3*H2313</f>
        <v>19</v>
      </c>
      <c r="J2313" s="0" t="n">
        <f aca="true">CRITBINOM($C2313,MIN(0.75,Matchup!$C$39*$B2313),RAND())</f>
        <v>3</v>
      </c>
      <c r="K2313" s="0" t="n">
        <f aca="true">CRITBINOM(J2313,Coefficients!$B$30,RAND())</f>
        <v>0</v>
      </c>
      <c r="L2313" s="0" t="n">
        <f aca="true">CRITBINOM(K2313,Coefficients!$B$31,RAND())</f>
        <v>0</v>
      </c>
      <c r="M2313" s="0" t="n">
        <f aca="true">CRITBINOM(MAX(0,J2313-K2313),1-Coefficients!$B$32,RAND())</f>
        <v>0</v>
      </c>
      <c r="N2313" s="0" t="n">
        <f aca="true">CRITBINOM(MAX(0,$C2313-J2313),MIN(0.6,Matchup!$C$40*SQRT($B2313)/(1-MIN(0.75,Matchup!$C$39*$B2313))),RAND())</f>
        <v>0</v>
      </c>
      <c r="O2313" s="0" t="n">
        <f aca="false">6*J2313+(J2313-K2313-M2313)+2*L2313+3*N2313</f>
        <v>21</v>
      </c>
      <c r="P2313" s="0" t="n">
        <f aca="true">RAND()</f>
        <v>0.680314592501873</v>
      </c>
      <c r="Q2313" s="0" t="n">
        <f aca="true">RAND()</f>
        <v>0.63648400671819</v>
      </c>
      <c r="R2313" s="0" t="n">
        <f aca="false">IF($I2313&lt;&gt;$O2313,0,IF(P2313&lt;Matchup!$B$39,7,IF(P2313&lt;Matchup!$B$39+Matchup!$B$40,3,0)))</f>
        <v>0</v>
      </c>
      <c r="S2313" s="0" t="n">
        <f aca="false">IF($I2313&lt;&gt;$O2313,0,IF(Q2313&lt;Matchup!$C$39,7,IF(Q2313&lt;Matchup!$C$39+Matchup!$C$40,3,0)))</f>
        <v>0</v>
      </c>
      <c r="T2313" s="0" t="n">
        <f aca="false">I2313+R2313</f>
        <v>19</v>
      </c>
      <c r="U2313" s="0" t="n">
        <f aca="false">O2313+S2313</f>
        <v>21</v>
      </c>
      <c r="V2313" s="0" t="n">
        <f aca="false">T2313-U2313</f>
        <v>-2</v>
      </c>
      <c r="W2313" s="0" t="n">
        <f aca="false">T2313+U2313</f>
        <v>40</v>
      </c>
    </row>
    <row r="2314" customFormat="false" ht="15" hidden="false" customHeight="false" outlineLevel="0" collapsed="false">
      <c r="A2314" s="0" t="n">
        <v>2311</v>
      </c>
      <c r="B2314" s="0" t="n">
        <f aca="true">NORMINV(RAND(),1,Coefficients!$B$22)</f>
        <v>1.00079273230231</v>
      </c>
      <c r="C2314" s="0" t="n">
        <f aca="true">MEDIAN(8,16,ROUND(NORMINV(RAND(),Coefficients!$B$20,Coefficients!$B$21),0))</f>
        <v>11</v>
      </c>
      <c r="D2314" s="0" t="n">
        <f aca="true">CRITBINOM($C2314,MIN(0.75,Matchup!$B$39*$B2314),RAND())</f>
        <v>3</v>
      </c>
      <c r="E2314" s="0" t="n">
        <f aca="true">CRITBINOM(D2314,Coefficients!$B$30,RAND())</f>
        <v>0</v>
      </c>
      <c r="F2314" s="0" t="n">
        <f aca="true">CRITBINOM(E2314,Coefficients!$B$31,RAND())</f>
        <v>0</v>
      </c>
      <c r="G2314" s="0" t="n">
        <f aca="true">CRITBINOM(MAX(0,D2314-E2314),1-Coefficients!$B$32,RAND())</f>
        <v>0</v>
      </c>
      <c r="H2314" s="0" t="n">
        <f aca="true">CRITBINOM(MAX(0,$C2314-D2314),MIN(0.6,Matchup!$B$40*SQRT($B2314)/(1-MIN(0.75,Matchup!$B$39*$B2314))),RAND())</f>
        <v>1</v>
      </c>
      <c r="I2314" s="0" t="n">
        <f aca="false">6*D2314+(D2314-E2314-G2314)+2*F2314+3*H2314</f>
        <v>24</v>
      </c>
      <c r="J2314" s="0" t="n">
        <f aca="true">CRITBINOM($C2314,MIN(0.75,Matchup!$C$39*$B2314),RAND())</f>
        <v>3</v>
      </c>
      <c r="K2314" s="0" t="n">
        <f aca="true">CRITBINOM(J2314,Coefficients!$B$30,RAND())</f>
        <v>0</v>
      </c>
      <c r="L2314" s="0" t="n">
        <f aca="true">CRITBINOM(K2314,Coefficients!$B$31,RAND())</f>
        <v>0</v>
      </c>
      <c r="M2314" s="0" t="n">
        <f aca="true">CRITBINOM(MAX(0,J2314-K2314),1-Coefficients!$B$32,RAND())</f>
        <v>0</v>
      </c>
      <c r="N2314" s="0" t="n">
        <f aca="true">CRITBINOM(MAX(0,$C2314-J2314),MIN(0.6,Matchup!$C$40*SQRT($B2314)/(1-MIN(0.75,Matchup!$C$39*$B2314))),RAND())</f>
        <v>1</v>
      </c>
      <c r="O2314" s="0" t="n">
        <f aca="false">6*J2314+(J2314-K2314-M2314)+2*L2314+3*N2314</f>
        <v>24</v>
      </c>
      <c r="P2314" s="0" t="n">
        <f aca="true">RAND()</f>
        <v>0.837998359757413</v>
      </c>
      <c r="Q2314" s="0" t="n">
        <f aca="true">RAND()</f>
        <v>0.416928255677172</v>
      </c>
      <c r="R2314" s="0" t="n">
        <f aca="false">IF($I2314&lt;&gt;$O2314,0,IF(P2314&lt;Matchup!$B$39,7,IF(P2314&lt;Matchup!$B$39+Matchup!$B$40,3,0)))</f>
        <v>0</v>
      </c>
      <c r="S2314" s="0" t="n">
        <f aca="false">IF($I2314&lt;&gt;$O2314,0,IF(Q2314&lt;Matchup!$C$39,7,IF(Q2314&lt;Matchup!$C$39+Matchup!$C$40,3,0)))</f>
        <v>0</v>
      </c>
      <c r="T2314" s="0" t="n">
        <f aca="false">I2314+R2314</f>
        <v>24</v>
      </c>
      <c r="U2314" s="0" t="n">
        <f aca="false">O2314+S2314</f>
        <v>24</v>
      </c>
      <c r="V2314" s="0" t="n">
        <f aca="false">T2314-U2314</f>
        <v>0</v>
      </c>
      <c r="W2314" s="0" t="n">
        <f aca="false">T2314+U2314</f>
        <v>48</v>
      </c>
    </row>
    <row r="2315" customFormat="false" ht="15" hidden="false" customHeight="false" outlineLevel="0" collapsed="false">
      <c r="A2315" s="0" t="n">
        <v>2312</v>
      </c>
      <c r="B2315" s="0" t="n">
        <f aca="true">NORMINV(RAND(),1,Coefficients!$B$22)</f>
        <v>0.906930824954561</v>
      </c>
      <c r="C2315" s="0" t="n">
        <f aca="true">MEDIAN(8,16,ROUND(NORMINV(RAND(),Coefficients!$B$20,Coefficients!$B$21),0))</f>
        <v>11</v>
      </c>
      <c r="D2315" s="0" t="n">
        <f aca="true">CRITBINOM($C2315,MIN(0.75,Matchup!$B$39*$B2315),RAND())</f>
        <v>3</v>
      </c>
      <c r="E2315" s="0" t="n">
        <f aca="true">CRITBINOM(D2315,Coefficients!$B$30,RAND())</f>
        <v>0</v>
      </c>
      <c r="F2315" s="0" t="n">
        <f aca="true">CRITBINOM(E2315,Coefficients!$B$31,RAND())</f>
        <v>0</v>
      </c>
      <c r="G2315" s="0" t="n">
        <f aca="true">CRITBINOM(MAX(0,D2315-E2315),1-Coefficients!$B$32,RAND())</f>
        <v>0</v>
      </c>
      <c r="H2315" s="0" t="n">
        <f aca="true">CRITBINOM(MAX(0,$C2315-D2315),MIN(0.6,Matchup!$B$40*SQRT($B2315)/(1-MIN(0.75,Matchup!$B$39*$B2315))),RAND())</f>
        <v>1</v>
      </c>
      <c r="I2315" s="0" t="n">
        <f aca="false">6*D2315+(D2315-E2315-G2315)+2*F2315+3*H2315</f>
        <v>24</v>
      </c>
      <c r="J2315" s="0" t="n">
        <f aca="true">CRITBINOM($C2315,MIN(0.75,Matchup!$C$39*$B2315),RAND())</f>
        <v>4</v>
      </c>
      <c r="K2315" s="0" t="n">
        <f aca="true">CRITBINOM(J2315,Coefficients!$B$30,RAND())</f>
        <v>0</v>
      </c>
      <c r="L2315" s="0" t="n">
        <f aca="true">CRITBINOM(K2315,Coefficients!$B$31,RAND())</f>
        <v>0</v>
      </c>
      <c r="M2315" s="0" t="n">
        <f aca="true">CRITBINOM(MAX(0,J2315-K2315),1-Coefficients!$B$32,RAND())</f>
        <v>0</v>
      </c>
      <c r="N2315" s="0" t="n">
        <f aca="true">CRITBINOM(MAX(0,$C2315-J2315),MIN(0.6,Matchup!$C$40*SQRT($B2315)/(1-MIN(0.75,Matchup!$C$39*$B2315))),RAND())</f>
        <v>0</v>
      </c>
      <c r="O2315" s="0" t="n">
        <f aca="false">6*J2315+(J2315-K2315-M2315)+2*L2315+3*N2315</f>
        <v>28</v>
      </c>
      <c r="P2315" s="0" t="n">
        <f aca="true">RAND()</f>
        <v>0.613850734443811</v>
      </c>
      <c r="Q2315" s="0" t="n">
        <f aca="true">RAND()</f>
        <v>0.720840620753649</v>
      </c>
      <c r="R2315" s="0" t="n">
        <f aca="false">IF($I2315&lt;&gt;$O2315,0,IF(P2315&lt;Matchup!$B$39,7,IF(P2315&lt;Matchup!$B$39+Matchup!$B$40,3,0)))</f>
        <v>0</v>
      </c>
      <c r="S2315" s="0" t="n">
        <f aca="false">IF($I2315&lt;&gt;$O2315,0,IF(Q2315&lt;Matchup!$C$39,7,IF(Q2315&lt;Matchup!$C$39+Matchup!$C$40,3,0)))</f>
        <v>0</v>
      </c>
      <c r="T2315" s="0" t="n">
        <f aca="false">I2315+R2315</f>
        <v>24</v>
      </c>
      <c r="U2315" s="0" t="n">
        <f aca="false">O2315+S2315</f>
        <v>28</v>
      </c>
      <c r="V2315" s="0" t="n">
        <f aca="false">T2315-U2315</f>
        <v>-4</v>
      </c>
      <c r="W2315" s="0" t="n">
        <f aca="false">T2315+U2315</f>
        <v>52</v>
      </c>
    </row>
    <row r="2316" customFormat="false" ht="15" hidden="false" customHeight="false" outlineLevel="0" collapsed="false">
      <c r="A2316" s="0" t="n">
        <v>2313</v>
      </c>
      <c r="B2316" s="0" t="n">
        <f aca="true">NORMINV(RAND(),1,Coefficients!$B$22)</f>
        <v>0.920753342935539</v>
      </c>
      <c r="C2316" s="0" t="n">
        <f aca="true">MEDIAN(8,16,ROUND(NORMINV(RAND(),Coefficients!$B$20,Coefficients!$B$21),0))</f>
        <v>12</v>
      </c>
      <c r="D2316" s="0" t="n">
        <f aca="true">CRITBINOM($C2316,MIN(0.75,Matchup!$B$39*$B2316),RAND())</f>
        <v>1</v>
      </c>
      <c r="E2316" s="0" t="n">
        <f aca="true">CRITBINOM(D2316,Coefficients!$B$30,RAND())</f>
        <v>0</v>
      </c>
      <c r="F2316" s="0" t="n">
        <f aca="true">CRITBINOM(E2316,Coefficients!$B$31,RAND())</f>
        <v>0</v>
      </c>
      <c r="G2316" s="0" t="n">
        <f aca="true">CRITBINOM(MAX(0,D2316-E2316),1-Coefficients!$B$32,RAND())</f>
        <v>0</v>
      </c>
      <c r="H2316" s="0" t="n">
        <f aca="true">CRITBINOM(MAX(0,$C2316-D2316),MIN(0.6,Matchup!$B$40*SQRT($B2316)/(1-MIN(0.75,Matchup!$B$39*$B2316))),RAND())</f>
        <v>0</v>
      </c>
      <c r="I2316" s="0" t="n">
        <f aca="false">6*D2316+(D2316-E2316-G2316)+2*F2316+3*H2316</f>
        <v>7</v>
      </c>
      <c r="J2316" s="0" t="n">
        <f aca="true">CRITBINOM($C2316,MIN(0.75,Matchup!$C$39*$B2316),RAND())</f>
        <v>1</v>
      </c>
      <c r="K2316" s="0" t="n">
        <f aca="true">CRITBINOM(J2316,Coefficients!$B$30,RAND())</f>
        <v>0</v>
      </c>
      <c r="L2316" s="0" t="n">
        <f aca="true">CRITBINOM(K2316,Coefficients!$B$31,RAND())</f>
        <v>0</v>
      </c>
      <c r="M2316" s="0" t="n">
        <f aca="true">CRITBINOM(MAX(0,J2316-K2316),1-Coefficients!$B$32,RAND())</f>
        <v>0</v>
      </c>
      <c r="N2316" s="0" t="n">
        <f aca="true">CRITBINOM(MAX(0,$C2316-J2316),MIN(0.6,Matchup!$C$40*SQRT($B2316)/(1-MIN(0.75,Matchup!$C$39*$B2316))),RAND())</f>
        <v>0</v>
      </c>
      <c r="O2316" s="0" t="n">
        <f aca="false">6*J2316+(J2316-K2316-M2316)+2*L2316+3*N2316</f>
        <v>7</v>
      </c>
      <c r="P2316" s="0" t="n">
        <f aca="true">RAND()</f>
        <v>0.753366332005667</v>
      </c>
      <c r="Q2316" s="0" t="n">
        <f aca="true">RAND()</f>
        <v>0.662901563501946</v>
      </c>
      <c r="R2316" s="0" t="n">
        <f aca="false">IF($I2316&lt;&gt;$O2316,0,IF(P2316&lt;Matchup!$B$39,7,IF(P2316&lt;Matchup!$B$39+Matchup!$B$40,3,0)))</f>
        <v>0</v>
      </c>
      <c r="S2316" s="0" t="n">
        <f aca="false">IF($I2316&lt;&gt;$O2316,0,IF(Q2316&lt;Matchup!$C$39,7,IF(Q2316&lt;Matchup!$C$39+Matchup!$C$40,3,0)))</f>
        <v>0</v>
      </c>
      <c r="T2316" s="0" t="n">
        <f aca="false">I2316+R2316</f>
        <v>7</v>
      </c>
      <c r="U2316" s="0" t="n">
        <f aca="false">O2316+S2316</f>
        <v>7</v>
      </c>
      <c r="V2316" s="0" t="n">
        <f aca="false">T2316-U2316</f>
        <v>0</v>
      </c>
      <c r="W2316" s="0" t="n">
        <f aca="false">T2316+U2316</f>
        <v>14</v>
      </c>
    </row>
    <row r="2317" customFormat="false" ht="15" hidden="false" customHeight="false" outlineLevel="0" collapsed="false">
      <c r="A2317" s="0" t="n">
        <v>2314</v>
      </c>
      <c r="B2317" s="0" t="n">
        <f aca="true">NORMINV(RAND(),1,Coefficients!$B$22)</f>
        <v>0.833105089684986</v>
      </c>
      <c r="C2317" s="0" t="n">
        <f aca="true">MEDIAN(8,16,ROUND(NORMINV(RAND(),Coefficients!$B$20,Coefficients!$B$21),0))</f>
        <v>10</v>
      </c>
      <c r="D2317" s="0" t="n">
        <f aca="true">CRITBINOM($C2317,MIN(0.75,Matchup!$B$39*$B2317),RAND())</f>
        <v>1</v>
      </c>
      <c r="E2317" s="0" t="n">
        <f aca="true">CRITBINOM(D2317,Coefficients!$B$30,RAND())</f>
        <v>0</v>
      </c>
      <c r="F2317" s="0" t="n">
        <f aca="true">CRITBINOM(E2317,Coefficients!$B$31,RAND())</f>
        <v>0</v>
      </c>
      <c r="G2317" s="0" t="n">
        <f aca="true">CRITBINOM(MAX(0,D2317-E2317),1-Coefficients!$B$32,RAND())</f>
        <v>0</v>
      </c>
      <c r="H2317" s="0" t="n">
        <f aca="true">CRITBINOM(MAX(0,$C2317-D2317),MIN(0.6,Matchup!$B$40*SQRT($B2317)/(1-MIN(0.75,Matchup!$B$39*$B2317))),RAND())</f>
        <v>1</v>
      </c>
      <c r="I2317" s="0" t="n">
        <f aca="false">6*D2317+(D2317-E2317-G2317)+2*F2317+3*H2317</f>
        <v>10</v>
      </c>
      <c r="J2317" s="0" t="n">
        <f aca="true">CRITBINOM($C2317,MIN(0.75,Matchup!$C$39*$B2317),RAND())</f>
        <v>1</v>
      </c>
      <c r="K2317" s="0" t="n">
        <f aca="true">CRITBINOM(J2317,Coefficients!$B$30,RAND())</f>
        <v>1</v>
      </c>
      <c r="L2317" s="0" t="n">
        <f aca="true">CRITBINOM(K2317,Coefficients!$B$31,RAND())</f>
        <v>1</v>
      </c>
      <c r="M2317" s="0" t="n">
        <f aca="true">CRITBINOM(MAX(0,J2317-K2317),1-Coefficients!$B$32,RAND())</f>
        <v>0</v>
      </c>
      <c r="N2317" s="0" t="n">
        <f aca="true">CRITBINOM(MAX(0,$C2317-J2317),MIN(0.6,Matchup!$C$40*SQRT($B2317)/(1-MIN(0.75,Matchup!$C$39*$B2317))),RAND())</f>
        <v>1</v>
      </c>
      <c r="O2317" s="0" t="n">
        <f aca="false">6*J2317+(J2317-K2317-M2317)+2*L2317+3*N2317</f>
        <v>11</v>
      </c>
      <c r="P2317" s="0" t="n">
        <f aca="true">RAND()</f>
        <v>0.307110915957301</v>
      </c>
      <c r="Q2317" s="0" t="n">
        <f aca="true">RAND()</f>
        <v>0.16013337900987</v>
      </c>
      <c r="R2317" s="0" t="n">
        <f aca="false">IF($I2317&lt;&gt;$O2317,0,IF(P2317&lt;Matchup!$B$39,7,IF(P2317&lt;Matchup!$B$39+Matchup!$B$40,3,0)))</f>
        <v>0</v>
      </c>
      <c r="S2317" s="0" t="n">
        <f aca="false">IF($I2317&lt;&gt;$O2317,0,IF(Q2317&lt;Matchup!$C$39,7,IF(Q2317&lt;Matchup!$C$39+Matchup!$C$40,3,0)))</f>
        <v>0</v>
      </c>
      <c r="T2317" s="0" t="n">
        <f aca="false">I2317+R2317</f>
        <v>10</v>
      </c>
      <c r="U2317" s="0" t="n">
        <f aca="false">O2317+S2317</f>
        <v>11</v>
      </c>
      <c r="V2317" s="0" t="n">
        <f aca="false">T2317-U2317</f>
        <v>-1</v>
      </c>
      <c r="W2317" s="0" t="n">
        <f aca="false">T2317+U2317</f>
        <v>21</v>
      </c>
    </row>
    <row r="2318" customFormat="false" ht="15" hidden="false" customHeight="false" outlineLevel="0" collapsed="false">
      <c r="A2318" s="0" t="n">
        <v>2315</v>
      </c>
      <c r="B2318" s="0" t="n">
        <f aca="true">NORMINV(RAND(),1,Coefficients!$B$22)</f>
        <v>1.09306867228423</v>
      </c>
      <c r="C2318" s="0" t="n">
        <f aca="true">MEDIAN(8,16,ROUND(NORMINV(RAND(),Coefficients!$B$20,Coefficients!$B$21),0))</f>
        <v>12</v>
      </c>
      <c r="D2318" s="0" t="n">
        <f aca="true">CRITBINOM($C2318,MIN(0.75,Matchup!$B$39*$B2318),RAND())</f>
        <v>1</v>
      </c>
      <c r="E2318" s="0" t="n">
        <f aca="true">CRITBINOM(D2318,Coefficients!$B$30,RAND())</f>
        <v>0</v>
      </c>
      <c r="F2318" s="0" t="n">
        <f aca="true">CRITBINOM(E2318,Coefficients!$B$31,RAND())</f>
        <v>0</v>
      </c>
      <c r="G2318" s="0" t="n">
        <f aca="true">CRITBINOM(MAX(0,D2318-E2318),1-Coefficients!$B$32,RAND())</f>
        <v>0</v>
      </c>
      <c r="H2318" s="0" t="n">
        <f aca="true">CRITBINOM(MAX(0,$C2318-D2318),MIN(0.6,Matchup!$B$40*SQRT($B2318)/(1-MIN(0.75,Matchup!$B$39*$B2318))),RAND())</f>
        <v>1</v>
      </c>
      <c r="I2318" s="0" t="n">
        <f aca="false">6*D2318+(D2318-E2318-G2318)+2*F2318+3*H2318</f>
        <v>10</v>
      </c>
      <c r="J2318" s="0" t="n">
        <f aca="true">CRITBINOM($C2318,MIN(0.75,Matchup!$C$39*$B2318),RAND())</f>
        <v>6</v>
      </c>
      <c r="K2318" s="0" t="n">
        <f aca="true">CRITBINOM(J2318,Coefficients!$B$30,RAND())</f>
        <v>0</v>
      </c>
      <c r="L2318" s="0" t="n">
        <f aca="true">CRITBINOM(K2318,Coefficients!$B$31,RAND())</f>
        <v>0</v>
      </c>
      <c r="M2318" s="0" t="n">
        <f aca="true">CRITBINOM(MAX(0,J2318-K2318),1-Coefficients!$B$32,RAND())</f>
        <v>0</v>
      </c>
      <c r="N2318" s="0" t="n">
        <f aca="true">CRITBINOM(MAX(0,$C2318-J2318),MIN(0.6,Matchup!$C$40*SQRT($B2318)/(1-MIN(0.75,Matchup!$C$39*$B2318))),RAND())</f>
        <v>1</v>
      </c>
      <c r="O2318" s="0" t="n">
        <f aca="false">6*J2318+(J2318-K2318-M2318)+2*L2318+3*N2318</f>
        <v>45</v>
      </c>
      <c r="P2318" s="0" t="n">
        <f aca="true">RAND()</f>
        <v>0.578739293785967</v>
      </c>
      <c r="Q2318" s="0" t="n">
        <f aca="true">RAND()</f>
        <v>0.727018162055526</v>
      </c>
      <c r="R2318" s="0" t="n">
        <f aca="false">IF($I2318&lt;&gt;$O2318,0,IF(P2318&lt;Matchup!$B$39,7,IF(P2318&lt;Matchup!$B$39+Matchup!$B$40,3,0)))</f>
        <v>0</v>
      </c>
      <c r="S2318" s="0" t="n">
        <f aca="false">IF($I2318&lt;&gt;$O2318,0,IF(Q2318&lt;Matchup!$C$39,7,IF(Q2318&lt;Matchup!$C$39+Matchup!$C$40,3,0)))</f>
        <v>0</v>
      </c>
      <c r="T2318" s="0" t="n">
        <f aca="false">I2318+R2318</f>
        <v>10</v>
      </c>
      <c r="U2318" s="0" t="n">
        <f aca="false">O2318+S2318</f>
        <v>45</v>
      </c>
      <c r="V2318" s="0" t="n">
        <f aca="false">T2318-U2318</f>
        <v>-35</v>
      </c>
      <c r="W2318" s="0" t="n">
        <f aca="false">T2318+U2318</f>
        <v>55</v>
      </c>
    </row>
    <row r="2319" customFormat="false" ht="15" hidden="false" customHeight="false" outlineLevel="0" collapsed="false">
      <c r="A2319" s="0" t="n">
        <v>2316</v>
      </c>
      <c r="B2319" s="0" t="n">
        <f aca="true">NORMINV(RAND(),1,Coefficients!$B$22)</f>
        <v>0.958346648437876</v>
      </c>
      <c r="C2319" s="0" t="n">
        <f aca="true">MEDIAN(8,16,ROUND(NORMINV(RAND(),Coefficients!$B$20,Coefficients!$B$21),0))</f>
        <v>11</v>
      </c>
      <c r="D2319" s="0" t="n">
        <f aca="true">CRITBINOM($C2319,MIN(0.75,Matchup!$B$39*$B2319),RAND())</f>
        <v>3</v>
      </c>
      <c r="E2319" s="0" t="n">
        <f aca="true">CRITBINOM(D2319,Coefficients!$B$30,RAND())</f>
        <v>0</v>
      </c>
      <c r="F2319" s="0" t="n">
        <f aca="true">CRITBINOM(E2319,Coefficients!$B$31,RAND())</f>
        <v>0</v>
      </c>
      <c r="G2319" s="0" t="n">
        <f aca="true">CRITBINOM(MAX(0,D2319-E2319),1-Coefficients!$B$32,RAND())</f>
        <v>0</v>
      </c>
      <c r="H2319" s="0" t="n">
        <f aca="true">CRITBINOM(MAX(0,$C2319-D2319),MIN(0.6,Matchup!$B$40*SQRT($B2319)/(1-MIN(0.75,Matchup!$B$39*$B2319))),RAND())</f>
        <v>2</v>
      </c>
      <c r="I2319" s="0" t="n">
        <f aca="false">6*D2319+(D2319-E2319-G2319)+2*F2319+3*H2319</f>
        <v>27</v>
      </c>
      <c r="J2319" s="0" t="n">
        <f aca="true">CRITBINOM($C2319,MIN(0.75,Matchup!$C$39*$B2319),RAND())</f>
        <v>1</v>
      </c>
      <c r="K2319" s="0" t="n">
        <f aca="true">CRITBINOM(J2319,Coefficients!$B$30,RAND())</f>
        <v>0</v>
      </c>
      <c r="L2319" s="0" t="n">
        <f aca="true">CRITBINOM(K2319,Coefficients!$B$31,RAND())</f>
        <v>0</v>
      </c>
      <c r="M2319" s="0" t="n">
        <f aca="true">CRITBINOM(MAX(0,J2319-K2319),1-Coefficients!$B$32,RAND())</f>
        <v>0</v>
      </c>
      <c r="N2319" s="0" t="n">
        <f aca="true">CRITBINOM(MAX(0,$C2319-J2319),MIN(0.6,Matchup!$C$40*SQRT($B2319)/(1-MIN(0.75,Matchup!$C$39*$B2319))),RAND())</f>
        <v>0</v>
      </c>
      <c r="O2319" s="0" t="n">
        <f aca="false">6*J2319+(J2319-K2319-M2319)+2*L2319+3*N2319</f>
        <v>7</v>
      </c>
      <c r="P2319" s="0" t="n">
        <f aca="true">RAND()</f>
        <v>0.0429850026959999</v>
      </c>
      <c r="Q2319" s="0" t="n">
        <f aca="true">RAND()</f>
        <v>0.880638292586626</v>
      </c>
      <c r="R2319" s="0" t="n">
        <f aca="false">IF($I2319&lt;&gt;$O2319,0,IF(P2319&lt;Matchup!$B$39,7,IF(P2319&lt;Matchup!$B$39+Matchup!$B$40,3,0)))</f>
        <v>0</v>
      </c>
      <c r="S2319" s="0" t="n">
        <f aca="false">IF($I2319&lt;&gt;$O2319,0,IF(Q2319&lt;Matchup!$C$39,7,IF(Q2319&lt;Matchup!$C$39+Matchup!$C$40,3,0)))</f>
        <v>0</v>
      </c>
      <c r="T2319" s="0" t="n">
        <f aca="false">I2319+R2319</f>
        <v>27</v>
      </c>
      <c r="U2319" s="0" t="n">
        <f aca="false">O2319+S2319</f>
        <v>7</v>
      </c>
      <c r="V2319" s="0" t="n">
        <f aca="false">T2319-U2319</f>
        <v>20</v>
      </c>
      <c r="W2319" s="0" t="n">
        <f aca="false">T2319+U2319</f>
        <v>34</v>
      </c>
    </row>
    <row r="2320" customFormat="false" ht="15" hidden="false" customHeight="false" outlineLevel="0" collapsed="false">
      <c r="A2320" s="0" t="n">
        <v>2317</v>
      </c>
      <c r="B2320" s="0" t="n">
        <f aca="true">NORMINV(RAND(),1,Coefficients!$B$22)</f>
        <v>1.01009795421142</v>
      </c>
      <c r="C2320" s="0" t="n">
        <f aca="true">MEDIAN(8,16,ROUND(NORMINV(RAND(),Coefficients!$B$20,Coefficients!$B$21),0))</f>
        <v>11</v>
      </c>
      <c r="D2320" s="0" t="n">
        <f aca="true">CRITBINOM($C2320,MIN(0.75,Matchup!$B$39*$B2320),RAND())</f>
        <v>2</v>
      </c>
      <c r="E2320" s="0" t="n">
        <f aca="true">CRITBINOM(D2320,Coefficients!$B$30,RAND())</f>
        <v>0</v>
      </c>
      <c r="F2320" s="0" t="n">
        <f aca="true">CRITBINOM(E2320,Coefficients!$B$31,RAND())</f>
        <v>0</v>
      </c>
      <c r="G2320" s="0" t="n">
        <f aca="true">CRITBINOM(MAX(0,D2320-E2320),1-Coefficients!$B$32,RAND())</f>
        <v>0</v>
      </c>
      <c r="H2320" s="0" t="n">
        <f aca="true">CRITBINOM(MAX(0,$C2320-D2320),MIN(0.6,Matchup!$B$40*SQRT($B2320)/(1-MIN(0.75,Matchup!$B$39*$B2320))),RAND())</f>
        <v>0</v>
      </c>
      <c r="I2320" s="0" t="n">
        <f aca="false">6*D2320+(D2320-E2320-G2320)+2*F2320+3*H2320</f>
        <v>14</v>
      </c>
      <c r="J2320" s="0" t="n">
        <f aca="true">CRITBINOM($C2320,MIN(0.75,Matchup!$C$39*$B2320),RAND())</f>
        <v>1</v>
      </c>
      <c r="K2320" s="0" t="n">
        <f aca="true">CRITBINOM(J2320,Coefficients!$B$30,RAND())</f>
        <v>0</v>
      </c>
      <c r="L2320" s="0" t="n">
        <f aca="true">CRITBINOM(K2320,Coefficients!$B$31,RAND())</f>
        <v>0</v>
      </c>
      <c r="M2320" s="0" t="n">
        <f aca="true">CRITBINOM(MAX(0,J2320-K2320),1-Coefficients!$B$32,RAND())</f>
        <v>0</v>
      </c>
      <c r="N2320" s="0" t="n">
        <f aca="true">CRITBINOM(MAX(0,$C2320-J2320),MIN(0.6,Matchup!$C$40*SQRT($B2320)/(1-MIN(0.75,Matchup!$C$39*$B2320))),RAND())</f>
        <v>3</v>
      </c>
      <c r="O2320" s="0" t="n">
        <f aca="false">6*J2320+(J2320-K2320-M2320)+2*L2320+3*N2320</f>
        <v>16</v>
      </c>
      <c r="P2320" s="0" t="n">
        <f aca="true">RAND()</f>
        <v>0.238919002931109</v>
      </c>
      <c r="Q2320" s="0" t="n">
        <f aca="true">RAND()</f>
        <v>0.372803230388095</v>
      </c>
      <c r="R2320" s="0" t="n">
        <f aca="false">IF($I2320&lt;&gt;$O2320,0,IF(P2320&lt;Matchup!$B$39,7,IF(P2320&lt;Matchup!$B$39+Matchup!$B$40,3,0)))</f>
        <v>0</v>
      </c>
      <c r="S2320" s="0" t="n">
        <f aca="false">IF($I2320&lt;&gt;$O2320,0,IF(Q2320&lt;Matchup!$C$39,7,IF(Q2320&lt;Matchup!$C$39+Matchup!$C$40,3,0)))</f>
        <v>0</v>
      </c>
      <c r="T2320" s="0" t="n">
        <f aca="false">I2320+R2320</f>
        <v>14</v>
      </c>
      <c r="U2320" s="0" t="n">
        <f aca="false">O2320+S2320</f>
        <v>16</v>
      </c>
      <c r="V2320" s="0" t="n">
        <f aca="false">T2320-U2320</f>
        <v>-2</v>
      </c>
      <c r="W2320" s="0" t="n">
        <f aca="false">T2320+U2320</f>
        <v>30</v>
      </c>
    </row>
    <row r="2321" customFormat="false" ht="15" hidden="false" customHeight="false" outlineLevel="0" collapsed="false">
      <c r="A2321" s="0" t="n">
        <v>2318</v>
      </c>
      <c r="B2321" s="0" t="n">
        <f aca="true">NORMINV(RAND(),1,Coefficients!$B$22)</f>
        <v>1.15384735472272</v>
      </c>
      <c r="C2321" s="0" t="n">
        <f aca="true">MEDIAN(8,16,ROUND(NORMINV(RAND(),Coefficients!$B$20,Coefficients!$B$21),0))</f>
        <v>11</v>
      </c>
      <c r="D2321" s="0" t="n">
        <f aca="true">CRITBINOM($C2321,MIN(0.75,Matchup!$B$39*$B2321),RAND())</f>
        <v>1</v>
      </c>
      <c r="E2321" s="0" t="n">
        <f aca="true">CRITBINOM(D2321,Coefficients!$B$30,RAND())</f>
        <v>0</v>
      </c>
      <c r="F2321" s="0" t="n">
        <f aca="true">CRITBINOM(E2321,Coefficients!$B$31,RAND())</f>
        <v>0</v>
      </c>
      <c r="G2321" s="0" t="n">
        <f aca="true">CRITBINOM(MAX(0,D2321-E2321),1-Coefficients!$B$32,RAND())</f>
        <v>0</v>
      </c>
      <c r="H2321" s="0" t="n">
        <f aca="true">CRITBINOM(MAX(0,$C2321-D2321),MIN(0.6,Matchup!$B$40*SQRT($B2321)/(1-MIN(0.75,Matchup!$B$39*$B2321))),RAND())</f>
        <v>1</v>
      </c>
      <c r="I2321" s="0" t="n">
        <f aca="false">6*D2321+(D2321-E2321-G2321)+2*F2321+3*H2321</f>
        <v>10</v>
      </c>
      <c r="J2321" s="0" t="n">
        <f aca="true">CRITBINOM($C2321,MIN(0.75,Matchup!$C$39*$B2321),RAND())</f>
        <v>4</v>
      </c>
      <c r="K2321" s="0" t="n">
        <f aca="true">CRITBINOM(J2321,Coefficients!$B$30,RAND())</f>
        <v>0</v>
      </c>
      <c r="L2321" s="0" t="n">
        <f aca="true">CRITBINOM(K2321,Coefficients!$B$31,RAND())</f>
        <v>0</v>
      </c>
      <c r="M2321" s="0" t="n">
        <f aca="true">CRITBINOM(MAX(0,J2321-K2321),1-Coefficients!$B$32,RAND())</f>
        <v>0</v>
      </c>
      <c r="N2321" s="0" t="n">
        <f aca="true">CRITBINOM(MAX(0,$C2321-J2321),MIN(0.6,Matchup!$C$40*SQRT($B2321)/(1-MIN(0.75,Matchup!$C$39*$B2321))),RAND())</f>
        <v>3</v>
      </c>
      <c r="O2321" s="0" t="n">
        <f aca="false">6*J2321+(J2321-K2321-M2321)+2*L2321+3*N2321</f>
        <v>37</v>
      </c>
      <c r="P2321" s="0" t="n">
        <f aca="true">RAND()</f>
        <v>0.811088399998386</v>
      </c>
      <c r="Q2321" s="0" t="n">
        <f aca="true">RAND()</f>
        <v>0.520399475734826</v>
      </c>
      <c r="R2321" s="0" t="n">
        <f aca="false">IF($I2321&lt;&gt;$O2321,0,IF(P2321&lt;Matchup!$B$39,7,IF(P2321&lt;Matchup!$B$39+Matchup!$B$40,3,0)))</f>
        <v>0</v>
      </c>
      <c r="S2321" s="0" t="n">
        <f aca="false">IF($I2321&lt;&gt;$O2321,0,IF(Q2321&lt;Matchup!$C$39,7,IF(Q2321&lt;Matchup!$C$39+Matchup!$C$40,3,0)))</f>
        <v>0</v>
      </c>
      <c r="T2321" s="0" t="n">
        <f aca="false">I2321+R2321</f>
        <v>10</v>
      </c>
      <c r="U2321" s="0" t="n">
        <f aca="false">O2321+S2321</f>
        <v>37</v>
      </c>
      <c r="V2321" s="0" t="n">
        <f aca="false">T2321-U2321</f>
        <v>-27</v>
      </c>
      <c r="W2321" s="0" t="n">
        <f aca="false">T2321+U2321</f>
        <v>47</v>
      </c>
    </row>
    <row r="2322" customFormat="false" ht="15" hidden="false" customHeight="false" outlineLevel="0" collapsed="false">
      <c r="A2322" s="0" t="n">
        <v>2319</v>
      </c>
      <c r="B2322" s="0" t="n">
        <f aca="true">NORMINV(RAND(),1,Coefficients!$B$22)</f>
        <v>1.06284175938237</v>
      </c>
      <c r="C2322" s="0" t="n">
        <f aca="true">MEDIAN(8,16,ROUND(NORMINV(RAND(),Coefficients!$B$20,Coefficients!$B$21),0))</f>
        <v>12</v>
      </c>
      <c r="D2322" s="0" t="n">
        <f aca="true">CRITBINOM($C2322,MIN(0.75,Matchup!$B$39*$B2322),RAND())</f>
        <v>4</v>
      </c>
      <c r="E2322" s="0" t="n">
        <f aca="true">CRITBINOM(D2322,Coefficients!$B$30,RAND())</f>
        <v>1</v>
      </c>
      <c r="F2322" s="0" t="n">
        <f aca="true">CRITBINOM(E2322,Coefficients!$B$31,RAND())</f>
        <v>1</v>
      </c>
      <c r="G2322" s="0" t="n">
        <f aca="true">CRITBINOM(MAX(0,D2322-E2322),1-Coefficients!$B$32,RAND())</f>
        <v>0</v>
      </c>
      <c r="H2322" s="0" t="n">
        <f aca="true">CRITBINOM(MAX(0,$C2322-D2322),MIN(0.6,Matchup!$B$40*SQRT($B2322)/(1-MIN(0.75,Matchup!$B$39*$B2322))),RAND())</f>
        <v>1</v>
      </c>
      <c r="I2322" s="0" t="n">
        <f aca="false">6*D2322+(D2322-E2322-G2322)+2*F2322+3*H2322</f>
        <v>32</v>
      </c>
      <c r="J2322" s="0" t="n">
        <f aca="true">CRITBINOM($C2322,MIN(0.75,Matchup!$C$39*$B2322),RAND())</f>
        <v>0</v>
      </c>
      <c r="K2322" s="0" t="n">
        <f aca="true">CRITBINOM(J2322,Coefficients!$B$30,RAND())</f>
        <v>0</v>
      </c>
      <c r="L2322" s="0" t="n">
        <f aca="true">CRITBINOM(K2322,Coefficients!$B$31,RAND())</f>
        <v>0</v>
      </c>
      <c r="M2322" s="0" t="n">
        <f aca="true">CRITBINOM(MAX(0,J2322-K2322),1-Coefficients!$B$32,RAND())</f>
        <v>0</v>
      </c>
      <c r="N2322" s="0" t="n">
        <f aca="true">CRITBINOM(MAX(0,$C2322-J2322),MIN(0.6,Matchup!$C$40*SQRT($B2322)/(1-MIN(0.75,Matchup!$C$39*$B2322))),RAND())</f>
        <v>3</v>
      </c>
      <c r="O2322" s="0" t="n">
        <f aca="false">6*J2322+(J2322-K2322-M2322)+2*L2322+3*N2322</f>
        <v>9</v>
      </c>
      <c r="P2322" s="0" t="n">
        <f aca="true">RAND()</f>
        <v>0.809379444758114</v>
      </c>
      <c r="Q2322" s="0" t="n">
        <f aca="true">RAND()</f>
        <v>0.975550254974921</v>
      </c>
      <c r="R2322" s="0" t="n">
        <f aca="false">IF($I2322&lt;&gt;$O2322,0,IF(P2322&lt;Matchup!$B$39,7,IF(P2322&lt;Matchup!$B$39+Matchup!$B$40,3,0)))</f>
        <v>0</v>
      </c>
      <c r="S2322" s="0" t="n">
        <f aca="false">IF($I2322&lt;&gt;$O2322,0,IF(Q2322&lt;Matchup!$C$39,7,IF(Q2322&lt;Matchup!$C$39+Matchup!$C$40,3,0)))</f>
        <v>0</v>
      </c>
      <c r="T2322" s="0" t="n">
        <f aca="false">I2322+R2322</f>
        <v>32</v>
      </c>
      <c r="U2322" s="0" t="n">
        <f aca="false">O2322+S2322</f>
        <v>9</v>
      </c>
      <c r="V2322" s="0" t="n">
        <f aca="false">T2322-U2322</f>
        <v>23</v>
      </c>
      <c r="W2322" s="0" t="n">
        <f aca="false">T2322+U2322</f>
        <v>41</v>
      </c>
    </row>
    <row r="2323" customFormat="false" ht="15" hidden="false" customHeight="false" outlineLevel="0" collapsed="false">
      <c r="A2323" s="0" t="n">
        <v>2320</v>
      </c>
      <c r="B2323" s="0" t="n">
        <f aca="true">NORMINV(RAND(),1,Coefficients!$B$22)</f>
        <v>1.05841777295039</v>
      </c>
      <c r="C2323" s="0" t="n">
        <f aca="true">MEDIAN(8,16,ROUND(NORMINV(RAND(),Coefficients!$B$20,Coefficients!$B$21),0))</f>
        <v>11</v>
      </c>
      <c r="D2323" s="0" t="n">
        <f aca="true">CRITBINOM($C2323,MIN(0.75,Matchup!$B$39*$B2323),RAND())</f>
        <v>2</v>
      </c>
      <c r="E2323" s="0" t="n">
        <f aca="true">CRITBINOM(D2323,Coefficients!$B$30,RAND())</f>
        <v>0</v>
      </c>
      <c r="F2323" s="0" t="n">
        <f aca="true">CRITBINOM(E2323,Coefficients!$B$31,RAND())</f>
        <v>0</v>
      </c>
      <c r="G2323" s="0" t="n">
        <f aca="true">CRITBINOM(MAX(0,D2323-E2323),1-Coefficients!$B$32,RAND())</f>
        <v>0</v>
      </c>
      <c r="H2323" s="0" t="n">
        <f aca="true">CRITBINOM(MAX(0,$C2323-D2323),MIN(0.6,Matchup!$B$40*SQRT($B2323)/(1-MIN(0.75,Matchup!$B$39*$B2323))),RAND())</f>
        <v>2</v>
      </c>
      <c r="I2323" s="0" t="n">
        <f aca="false">6*D2323+(D2323-E2323-G2323)+2*F2323+3*H2323</f>
        <v>20</v>
      </c>
      <c r="J2323" s="0" t="n">
        <f aca="true">CRITBINOM($C2323,MIN(0.75,Matchup!$C$39*$B2323),RAND())</f>
        <v>4</v>
      </c>
      <c r="K2323" s="0" t="n">
        <f aca="true">CRITBINOM(J2323,Coefficients!$B$30,RAND())</f>
        <v>1</v>
      </c>
      <c r="L2323" s="0" t="n">
        <f aca="true">CRITBINOM(K2323,Coefficients!$B$31,RAND())</f>
        <v>0</v>
      </c>
      <c r="M2323" s="0" t="n">
        <f aca="true">CRITBINOM(MAX(0,J2323-K2323),1-Coefficients!$B$32,RAND())</f>
        <v>0</v>
      </c>
      <c r="N2323" s="0" t="n">
        <f aca="true">CRITBINOM(MAX(0,$C2323-J2323),MIN(0.6,Matchup!$C$40*SQRT($B2323)/(1-MIN(0.75,Matchup!$C$39*$B2323))),RAND())</f>
        <v>1</v>
      </c>
      <c r="O2323" s="0" t="n">
        <f aca="false">6*J2323+(J2323-K2323-M2323)+2*L2323+3*N2323</f>
        <v>30</v>
      </c>
      <c r="P2323" s="0" t="n">
        <f aca="true">RAND()</f>
        <v>0.0782970233775529</v>
      </c>
      <c r="Q2323" s="0" t="n">
        <f aca="true">RAND()</f>
        <v>0.101677948355283</v>
      </c>
      <c r="R2323" s="0" t="n">
        <f aca="false">IF($I2323&lt;&gt;$O2323,0,IF(P2323&lt;Matchup!$B$39,7,IF(P2323&lt;Matchup!$B$39+Matchup!$B$40,3,0)))</f>
        <v>0</v>
      </c>
      <c r="S2323" s="0" t="n">
        <f aca="false">IF($I2323&lt;&gt;$O2323,0,IF(Q2323&lt;Matchup!$C$39,7,IF(Q2323&lt;Matchup!$C$39+Matchup!$C$40,3,0)))</f>
        <v>0</v>
      </c>
      <c r="T2323" s="0" t="n">
        <f aca="false">I2323+R2323</f>
        <v>20</v>
      </c>
      <c r="U2323" s="0" t="n">
        <f aca="false">O2323+S2323</f>
        <v>30</v>
      </c>
      <c r="V2323" s="0" t="n">
        <f aca="false">T2323-U2323</f>
        <v>-10</v>
      </c>
      <c r="W2323" s="0" t="n">
        <f aca="false">T2323+U2323</f>
        <v>50</v>
      </c>
    </row>
    <row r="2324" customFormat="false" ht="15" hidden="false" customHeight="false" outlineLevel="0" collapsed="false">
      <c r="A2324" s="0" t="n">
        <v>2321</v>
      </c>
      <c r="B2324" s="0" t="n">
        <f aca="true">NORMINV(RAND(),1,Coefficients!$B$22)</f>
        <v>0.95975021654343</v>
      </c>
      <c r="C2324" s="0" t="n">
        <f aca="true">MEDIAN(8,16,ROUND(NORMINV(RAND(),Coefficients!$B$20,Coefficients!$B$21),0))</f>
        <v>10</v>
      </c>
      <c r="D2324" s="0" t="n">
        <f aca="true">CRITBINOM($C2324,MIN(0.75,Matchup!$B$39*$B2324),RAND())</f>
        <v>2</v>
      </c>
      <c r="E2324" s="0" t="n">
        <f aca="true">CRITBINOM(D2324,Coefficients!$B$30,RAND())</f>
        <v>0</v>
      </c>
      <c r="F2324" s="0" t="n">
        <f aca="true">CRITBINOM(E2324,Coefficients!$B$31,RAND())</f>
        <v>0</v>
      </c>
      <c r="G2324" s="0" t="n">
        <f aca="true">CRITBINOM(MAX(0,D2324-E2324),1-Coefficients!$B$32,RAND())</f>
        <v>0</v>
      </c>
      <c r="H2324" s="0" t="n">
        <f aca="true">CRITBINOM(MAX(0,$C2324-D2324),MIN(0.6,Matchup!$B$40*SQRT($B2324)/(1-MIN(0.75,Matchup!$B$39*$B2324))),RAND())</f>
        <v>2</v>
      </c>
      <c r="I2324" s="0" t="n">
        <f aca="false">6*D2324+(D2324-E2324-G2324)+2*F2324+3*H2324</f>
        <v>20</v>
      </c>
      <c r="J2324" s="0" t="n">
        <f aca="true">CRITBINOM($C2324,MIN(0.75,Matchup!$C$39*$B2324),RAND())</f>
        <v>3</v>
      </c>
      <c r="K2324" s="0" t="n">
        <f aca="true">CRITBINOM(J2324,Coefficients!$B$30,RAND())</f>
        <v>0</v>
      </c>
      <c r="L2324" s="0" t="n">
        <f aca="true">CRITBINOM(K2324,Coefficients!$B$31,RAND())</f>
        <v>0</v>
      </c>
      <c r="M2324" s="0" t="n">
        <f aca="true">CRITBINOM(MAX(0,J2324-K2324),1-Coefficients!$B$32,RAND())</f>
        <v>0</v>
      </c>
      <c r="N2324" s="0" t="n">
        <f aca="true">CRITBINOM(MAX(0,$C2324-J2324),MIN(0.6,Matchup!$C$40*SQRT($B2324)/(1-MIN(0.75,Matchup!$C$39*$B2324))),RAND())</f>
        <v>2</v>
      </c>
      <c r="O2324" s="0" t="n">
        <f aca="false">6*J2324+(J2324-K2324-M2324)+2*L2324+3*N2324</f>
        <v>27</v>
      </c>
      <c r="P2324" s="0" t="n">
        <f aca="true">RAND()</f>
        <v>0.0471499953176112</v>
      </c>
      <c r="Q2324" s="0" t="n">
        <f aca="true">RAND()</f>
        <v>0.273956269250227</v>
      </c>
      <c r="R2324" s="0" t="n">
        <f aca="false">IF($I2324&lt;&gt;$O2324,0,IF(P2324&lt;Matchup!$B$39,7,IF(P2324&lt;Matchup!$B$39+Matchup!$B$40,3,0)))</f>
        <v>0</v>
      </c>
      <c r="S2324" s="0" t="n">
        <f aca="false">IF($I2324&lt;&gt;$O2324,0,IF(Q2324&lt;Matchup!$C$39,7,IF(Q2324&lt;Matchup!$C$39+Matchup!$C$40,3,0)))</f>
        <v>0</v>
      </c>
      <c r="T2324" s="0" t="n">
        <f aca="false">I2324+R2324</f>
        <v>20</v>
      </c>
      <c r="U2324" s="0" t="n">
        <f aca="false">O2324+S2324</f>
        <v>27</v>
      </c>
      <c r="V2324" s="0" t="n">
        <f aca="false">T2324-U2324</f>
        <v>-7</v>
      </c>
      <c r="W2324" s="0" t="n">
        <f aca="false">T2324+U2324</f>
        <v>47</v>
      </c>
    </row>
    <row r="2325" customFormat="false" ht="15" hidden="false" customHeight="false" outlineLevel="0" collapsed="false">
      <c r="A2325" s="0" t="n">
        <v>2322</v>
      </c>
      <c r="B2325" s="0" t="n">
        <f aca="true">NORMINV(RAND(),1,Coefficients!$B$22)</f>
        <v>1.1632256731919</v>
      </c>
      <c r="C2325" s="0" t="n">
        <f aca="true">MEDIAN(8,16,ROUND(NORMINV(RAND(),Coefficients!$B$20,Coefficients!$B$21),0))</f>
        <v>11</v>
      </c>
      <c r="D2325" s="0" t="n">
        <f aca="true">CRITBINOM($C2325,MIN(0.75,Matchup!$B$39*$B2325),RAND())</f>
        <v>4</v>
      </c>
      <c r="E2325" s="0" t="n">
        <f aca="true">CRITBINOM(D2325,Coefficients!$B$30,RAND())</f>
        <v>0</v>
      </c>
      <c r="F2325" s="0" t="n">
        <f aca="true">CRITBINOM(E2325,Coefficients!$B$31,RAND())</f>
        <v>0</v>
      </c>
      <c r="G2325" s="0" t="n">
        <f aca="true">CRITBINOM(MAX(0,D2325-E2325),1-Coefficients!$B$32,RAND())</f>
        <v>0</v>
      </c>
      <c r="H2325" s="0" t="n">
        <f aca="true">CRITBINOM(MAX(0,$C2325-D2325),MIN(0.6,Matchup!$B$40*SQRT($B2325)/(1-MIN(0.75,Matchup!$B$39*$B2325))),RAND())</f>
        <v>4</v>
      </c>
      <c r="I2325" s="0" t="n">
        <f aca="false">6*D2325+(D2325-E2325-G2325)+2*F2325+3*H2325</f>
        <v>40</v>
      </c>
      <c r="J2325" s="0" t="n">
        <f aca="true">CRITBINOM($C2325,MIN(0.75,Matchup!$C$39*$B2325),RAND())</f>
        <v>1</v>
      </c>
      <c r="K2325" s="0" t="n">
        <f aca="true">CRITBINOM(J2325,Coefficients!$B$30,RAND())</f>
        <v>0</v>
      </c>
      <c r="L2325" s="0" t="n">
        <f aca="true">CRITBINOM(K2325,Coefficients!$B$31,RAND())</f>
        <v>0</v>
      </c>
      <c r="M2325" s="0" t="n">
        <f aca="true">CRITBINOM(MAX(0,J2325-K2325),1-Coefficients!$B$32,RAND())</f>
        <v>0</v>
      </c>
      <c r="N2325" s="0" t="n">
        <f aca="true">CRITBINOM(MAX(0,$C2325-J2325),MIN(0.6,Matchup!$C$40*SQRT($B2325)/(1-MIN(0.75,Matchup!$C$39*$B2325))),RAND())</f>
        <v>1</v>
      </c>
      <c r="O2325" s="0" t="n">
        <f aca="false">6*J2325+(J2325-K2325-M2325)+2*L2325+3*N2325</f>
        <v>10</v>
      </c>
      <c r="P2325" s="0" t="n">
        <f aca="true">RAND()</f>
        <v>0.817354187528851</v>
      </c>
      <c r="Q2325" s="0" t="n">
        <f aca="true">RAND()</f>
        <v>0.369625914514216</v>
      </c>
      <c r="R2325" s="0" t="n">
        <f aca="false">IF($I2325&lt;&gt;$O2325,0,IF(P2325&lt;Matchup!$B$39,7,IF(P2325&lt;Matchup!$B$39+Matchup!$B$40,3,0)))</f>
        <v>0</v>
      </c>
      <c r="S2325" s="0" t="n">
        <f aca="false">IF($I2325&lt;&gt;$O2325,0,IF(Q2325&lt;Matchup!$C$39,7,IF(Q2325&lt;Matchup!$C$39+Matchup!$C$40,3,0)))</f>
        <v>0</v>
      </c>
      <c r="T2325" s="0" t="n">
        <f aca="false">I2325+R2325</f>
        <v>40</v>
      </c>
      <c r="U2325" s="0" t="n">
        <f aca="false">O2325+S2325</f>
        <v>10</v>
      </c>
      <c r="V2325" s="0" t="n">
        <f aca="false">T2325-U2325</f>
        <v>30</v>
      </c>
      <c r="W2325" s="0" t="n">
        <f aca="false">T2325+U2325</f>
        <v>50</v>
      </c>
    </row>
    <row r="2326" customFormat="false" ht="15" hidden="false" customHeight="false" outlineLevel="0" collapsed="false">
      <c r="A2326" s="0" t="n">
        <v>2323</v>
      </c>
      <c r="B2326" s="0" t="n">
        <f aca="true">NORMINV(RAND(),1,Coefficients!$B$22)</f>
        <v>0.890408980533684</v>
      </c>
      <c r="C2326" s="0" t="n">
        <f aca="true">MEDIAN(8,16,ROUND(NORMINV(RAND(),Coefficients!$B$20,Coefficients!$B$21),0))</f>
        <v>10</v>
      </c>
      <c r="D2326" s="0" t="n">
        <f aca="true">CRITBINOM($C2326,MIN(0.75,Matchup!$B$39*$B2326),RAND())</f>
        <v>1</v>
      </c>
      <c r="E2326" s="0" t="n">
        <f aca="true">CRITBINOM(D2326,Coefficients!$B$30,RAND())</f>
        <v>1</v>
      </c>
      <c r="F2326" s="0" t="n">
        <f aca="true">CRITBINOM(E2326,Coefficients!$B$31,RAND())</f>
        <v>0</v>
      </c>
      <c r="G2326" s="0" t="n">
        <f aca="true">CRITBINOM(MAX(0,D2326-E2326),1-Coefficients!$B$32,RAND())</f>
        <v>0</v>
      </c>
      <c r="H2326" s="0" t="n">
        <f aca="true">CRITBINOM(MAX(0,$C2326-D2326),MIN(0.6,Matchup!$B$40*SQRT($B2326)/(1-MIN(0.75,Matchup!$B$39*$B2326))),RAND())</f>
        <v>0</v>
      </c>
      <c r="I2326" s="0" t="n">
        <f aca="false">6*D2326+(D2326-E2326-G2326)+2*F2326+3*H2326</f>
        <v>6</v>
      </c>
      <c r="J2326" s="0" t="n">
        <f aca="true">CRITBINOM($C2326,MIN(0.75,Matchup!$C$39*$B2326),RAND())</f>
        <v>3</v>
      </c>
      <c r="K2326" s="0" t="n">
        <f aca="true">CRITBINOM(J2326,Coefficients!$B$30,RAND())</f>
        <v>0</v>
      </c>
      <c r="L2326" s="0" t="n">
        <f aca="true">CRITBINOM(K2326,Coefficients!$B$31,RAND())</f>
        <v>0</v>
      </c>
      <c r="M2326" s="0" t="n">
        <f aca="true">CRITBINOM(MAX(0,J2326-K2326),1-Coefficients!$B$32,RAND())</f>
        <v>0</v>
      </c>
      <c r="N2326" s="0" t="n">
        <f aca="true">CRITBINOM(MAX(0,$C2326-J2326),MIN(0.6,Matchup!$C$40*SQRT($B2326)/(1-MIN(0.75,Matchup!$C$39*$B2326))),RAND())</f>
        <v>0</v>
      </c>
      <c r="O2326" s="0" t="n">
        <f aca="false">6*J2326+(J2326-K2326-M2326)+2*L2326+3*N2326</f>
        <v>21</v>
      </c>
      <c r="P2326" s="0" t="n">
        <f aca="true">RAND()</f>
        <v>0.474622974889955</v>
      </c>
      <c r="Q2326" s="0" t="n">
        <f aca="true">RAND()</f>
        <v>0.54494636778306</v>
      </c>
      <c r="R2326" s="0" t="n">
        <f aca="false">IF($I2326&lt;&gt;$O2326,0,IF(P2326&lt;Matchup!$B$39,7,IF(P2326&lt;Matchup!$B$39+Matchup!$B$40,3,0)))</f>
        <v>0</v>
      </c>
      <c r="S2326" s="0" t="n">
        <f aca="false">IF($I2326&lt;&gt;$O2326,0,IF(Q2326&lt;Matchup!$C$39,7,IF(Q2326&lt;Matchup!$C$39+Matchup!$C$40,3,0)))</f>
        <v>0</v>
      </c>
      <c r="T2326" s="0" t="n">
        <f aca="false">I2326+R2326</f>
        <v>6</v>
      </c>
      <c r="U2326" s="0" t="n">
        <f aca="false">O2326+S2326</f>
        <v>21</v>
      </c>
      <c r="V2326" s="0" t="n">
        <f aca="false">T2326-U2326</f>
        <v>-15</v>
      </c>
      <c r="W2326" s="0" t="n">
        <f aca="false">T2326+U2326</f>
        <v>27</v>
      </c>
    </row>
    <row r="2327" customFormat="false" ht="15" hidden="false" customHeight="false" outlineLevel="0" collapsed="false">
      <c r="A2327" s="0" t="n">
        <v>2324</v>
      </c>
      <c r="B2327" s="0" t="n">
        <f aca="true">NORMINV(RAND(),1,Coefficients!$B$22)</f>
        <v>1.07434500534636</v>
      </c>
      <c r="C2327" s="0" t="n">
        <f aca="true">MEDIAN(8,16,ROUND(NORMINV(RAND(),Coefficients!$B$20,Coefficients!$B$21),0))</f>
        <v>9</v>
      </c>
      <c r="D2327" s="0" t="n">
        <f aca="true">CRITBINOM($C2327,MIN(0.75,Matchup!$B$39*$B2327),RAND())</f>
        <v>1</v>
      </c>
      <c r="E2327" s="0" t="n">
        <f aca="true">CRITBINOM(D2327,Coefficients!$B$30,RAND())</f>
        <v>0</v>
      </c>
      <c r="F2327" s="0" t="n">
        <f aca="true">CRITBINOM(E2327,Coefficients!$B$31,RAND())</f>
        <v>0</v>
      </c>
      <c r="G2327" s="0" t="n">
        <f aca="true">CRITBINOM(MAX(0,D2327-E2327),1-Coefficients!$B$32,RAND())</f>
        <v>0</v>
      </c>
      <c r="H2327" s="0" t="n">
        <f aca="true">CRITBINOM(MAX(0,$C2327-D2327),MIN(0.6,Matchup!$B$40*SQRT($B2327)/(1-MIN(0.75,Matchup!$B$39*$B2327))),RAND())</f>
        <v>2</v>
      </c>
      <c r="I2327" s="0" t="n">
        <f aca="false">6*D2327+(D2327-E2327-G2327)+2*F2327+3*H2327</f>
        <v>13</v>
      </c>
      <c r="J2327" s="0" t="n">
        <f aca="true">CRITBINOM($C2327,MIN(0.75,Matchup!$C$39*$B2327),RAND())</f>
        <v>1</v>
      </c>
      <c r="K2327" s="0" t="n">
        <f aca="true">CRITBINOM(J2327,Coefficients!$B$30,RAND())</f>
        <v>0</v>
      </c>
      <c r="L2327" s="0" t="n">
        <f aca="true">CRITBINOM(K2327,Coefficients!$B$31,RAND())</f>
        <v>0</v>
      </c>
      <c r="M2327" s="0" t="n">
        <f aca="true">CRITBINOM(MAX(0,J2327-K2327),1-Coefficients!$B$32,RAND())</f>
        <v>0</v>
      </c>
      <c r="N2327" s="0" t="n">
        <f aca="true">CRITBINOM(MAX(0,$C2327-J2327),MIN(0.6,Matchup!$C$40*SQRT($B2327)/(1-MIN(0.75,Matchup!$C$39*$B2327))),RAND())</f>
        <v>1</v>
      </c>
      <c r="O2327" s="0" t="n">
        <f aca="false">6*J2327+(J2327-K2327-M2327)+2*L2327+3*N2327</f>
        <v>10</v>
      </c>
      <c r="P2327" s="0" t="n">
        <f aca="true">RAND()</f>
        <v>0.75056390162312</v>
      </c>
      <c r="Q2327" s="0" t="n">
        <f aca="true">RAND()</f>
        <v>0.176857507120905</v>
      </c>
      <c r="R2327" s="0" t="n">
        <f aca="false">IF($I2327&lt;&gt;$O2327,0,IF(P2327&lt;Matchup!$B$39,7,IF(P2327&lt;Matchup!$B$39+Matchup!$B$40,3,0)))</f>
        <v>0</v>
      </c>
      <c r="S2327" s="0" t="n">
        <f aca="false">IF($I2327&lt;&gt;$O2327,0,IF(Q2327&lt;Matchup!$C$39,7,IF(Q2327&lt;Matchup!$C$39+Matchup!$C$40,3,0)))</f>
        <v>0</v>
      </c>
      <c r="T2327" s="0" t="n">
        <f aca="false">I2327+R2327</f>
        <v>13</v>
      </c>
      <c r="U2327" s="0" t="n">
        <f aca="false">O2327+S2327</f>
        <v>10</v>
      </c>
      <c r="V2327" s="0" t="n">
        <f aca="false">T2327-U2327</f>
        <v>3</v>
      </c>
      <c r="W2327" s="0" t="n">
        <f aca="false">T2327+U2327</f>
        <v>23</v>
      </c>
    </row>
    <row r="2328" customFormat="false" ht="15" hidden="false" customHeight="false" outlineLevel="0" collapsed="false">
      <c r="A2328" s="0" t="n">
        <v>2325</v>
      </c>
      <c r="B2328" s="0" t="n">
        <f aca="true">NORMINV(RAND(),1,Coefficients!$B$22)</f>
        <v>1.08067010255649</v>
      </c>
      <c r="C2328" s="0" t="n">
        <f aca="true">MEDIAN(8,16,ROUND(NORMINV(RAND(),Coefficients!$B$20,Coefficients!$B$21),0))</f>
        <v>11</v>
      </c>
      <c r="D2328" s="0" t="n">
        <f aca="true">CRITBINOM($C2328,MIN(0.75,Matchup!$B$39*$B2328),RAND())</f>
        <v>4</v>
      </c>
      <c r="E2328" s="0" t="n">
        <f aca="true">CRITBINOM(D2328,Coefficients!$B$30,RAND())</f>
        <v>0</v>
      </c>
      <c r="F2328" s="0" t="n">
        <f aca="true">CRITBINOM(E2328,Coefficients!$B$31,RAND())</f>
        <v>0</v>
      </c>
      <c r="G2328" s="0" t="n">
        <f aca="true">CRITBINOM(MAX(0,D2328-E2328),1-Coefficients!$B$32,RAND())</f>
        <v>0</v>
      </c>
      <c r="H2328" s="0" t="n">
        <f aca="true">CRITBINOM(MAX(0,$C2328-D2328),MIN(0.6,Matchup!$B$40*SQRT($B2328)/(1-MIN(0.75,Matchup!$B$39*$B2328))),RAND())</f>
        <v>0</v>
      </c>
      <c r="I2328" s="0" t="n">
        <f aca="false">6*D2328+(D2328-E2328-G2328)+2*F2328+3*H2328</f>
        <v>28</v>
      </c>
      <c r="J2328" s="0" t="n">
        <f aca="true">CRITBINOM($C2328,MIN(0.75,Matchup!$C$39*$B2328),RAND())</f>
        <v>3</v>
      </c>
      <c r="K2328" s="0" t="n">
        <f aca="true">CRITBINOM(J2328,Coefficients!$B$30,RAND())</f>
        <v>0</v>
      </c>
      <c r="L2328" s="0" t="n">
        <f aca="true">CRITBINOM(K2328,Coefficients!$B$31,RAND())</f>
        <v>0</v>
      </c>
      <c r="M2328" s="0" t="n">
        <f aca="true">CRITBINOM(MAX(0,J2328-K2328),1-Coefficients!$B$32,RAND())</f>
        <v>0</v>
      </c>
      <c r="N2328" s="0" t="n">
        <f aca="true">CRITBINOM(MAX(0,$C2328-J2328),MIN(0.6,Matchup!$C$40*SQRT($B2328)/(1-MIN(0.75,Matchup!$C$39*$B2328))),RAND())</f>
        <v>1</v>
      </c>
      <c r="O2328" s="0" t="n">
        <f aca="false">6*J2328+(J2328-K2328-M2328)+2*L2328+3*N2328</f>
        <v>24</v>
      </c>
      <c r="P2328" s="0" t="n">
        <f aca="true">RAND()</f>
        <v>0.0320219547567497</v>
      </c>
      <c r="Q2328" s="0" t="n">
        <f aca="true">RAND()</f>
        <v>0.766765234596225</v>
      </c>
      <c r="R2328" s="0" t="n">
        <f aca="false">IF($I2328&lt;&gt;$O2328,0,IF(P2328&lt;Matchup!$B$39,7,IF(P2328&lt;Matchup!$B$39+Matchup!$B$40,3,0)))</f>
        <v>0</v>
      </c>
      <c r="S2328" s="0" t="n">
        <f aca="false">IF($I2328&lt;&gt;$O2328,0,IF(Q2328&lt;Matchup!$C$39,7,IF(Q2328&lt;Matchup!$C$39+Matchup!$C$40,3,0)))</f>
        <v>0</v>
      </c>
      <c r="T2328" s="0" t="n">
        <f aca="false">I2328+R2328</f>
        <v>28</v>
      </c>
      <c r="U2328" s="0" t="n">
        <f aca="false">O2328+S2328</f>
        <v>24</v>
      </c>
      <c r="V2328" s="0" t="n">
        <f aca="false">T2328-U2328</f>
        <v>4</v>
      </c>
      <c r="W2328" s="0" t="n">
        <f aca="false">T2328+U2328</f>
        <v>52</v>
      </c>
    </row>
    <row r="2329" customFormat="false" ht="15" hidden="false" customHeight="false" outlineLevel="0" collapsed="false">
      <c r="A2329" s="0" t="n">
        <v>2326</v>
      </c>
      <c r="B2329" s="0" t="n">
        <f aca="true">NORMINV(RAND(),1,Coefficients!$B$22)</f>
        <v>0.995409795383269</v>
      </c>
      <c r="C2329" s="0" t="n">
        <f aca="true">MEDIAN(8,16,ROUND(NORMINV(RAND(),Coefficients!$B$20,Coefficients!$B$21),0))</f>
        <v>12</v>
      </c>
      <c r="D2329" s="0" t="n">
        <f aca="true">CRITBINOM($C2329,MIN(0.75,Matchup!$B$39*$B2329),RAND())</f>
        <v>3</v>
      </c>
      <c r="E2329" s="0" t="n">
        <f aca="true">CRITBINOM(D2329,Coefficients!$B$30,RAND())</f>
        <v>1</v>
      </c>
      <c r="F2329" s="0" t="n">
        <f aca="true">CRITBINOM(E2329,Coefficients!$B$31,RAND())</f>
        <v>0</v>
      </c>
      <c r="G2329" s="0" t="n">
        <f aca="true">CRITBINOM(MAX(0,D2329-E2329),1-Coefficients!$B$32,RAND())</f>
        <v>0</v>
      </c>
      <c r="H2329" s="0" t="n">
        <f aca="true">CRITBINOM(MAX(0,$C2329-D2329),MIN(0.6,Matchup!$B$40*SQRT($B2329)/(1-MIN(0.75,Matchup!$B$39*$B2329))),RAND())</f>
        <v>0</v>
      </c>
      <c r="I2329" s="0" t="n">
        <f aca="false">6*D2329+(D2329-E2329-G2329)+2*F2329+3*H2329</f>
        <v>20</v>
      </c>
      <c r="J2329" s="0" t="n">
        <f aca="true">CRITBINOM($C2329,MIN(0.75,Matchup!$C$39*$B2329),RAND())</f>
        <v>1</v>
      </c>
      <c r="K2329" s="0" t="n">
        <f aca="true">CRITBINOM(J2329,Coefficients!$B$30,RAND())</f>
        <v>0</v>
      </c>
      <c r="L2329" s="0" t="n">
        <f aca="true">CRITBINOM(K2329,Coefficients!$B$31,RAND())</f>
        <v>0</v>
      </c>
      <c r="M2329" s="0" t="n">
        <f aca="true">CRITBINOM(MAX(0,J2329-K2329),1-Coefficients!$B$32,RAND())</f>
        <v>0</v>
      </c>
      <c r="N2329" s="0" t="n">
        <f aca="true">CRITBINOM(MAX(0,$C2329-J2329),MIN(0.6,Matchup!$C$40*SQRT($B2329)/(1-MIN(0.75,Matchup!$C$39*$B2329))),RAND())</f>
        <v>3</v>
      </c>
      <c r="O2329" s="0" t="n">
        <f aca="false">6*J2329+(J2329-K2329-M2329)+2*L2329+3*N2329</f>
        <v>16</v>
      </c>
      <c r="P2329" s="0" t="n">
        <f aca="true">RAND()</f>
        <v>0.663756076651596</v>
      </c>
      <c r="Q2329" s="0" t="n">
        <f aca="true">RAND()</f>
        <v>0.942357862400413</v>
      </c>
      <c r="R2329" s="0" t="n">
        <f aca="false">IF($I2329&lt;&gt;$O2329,0,IF(P2329&lt;Matchup!$B$39,7,IF(P2329&lt;Matchup!$B$39+Matchup!$B$40,3,0)))</f>
        <v>0</v>
      </c>
      <c r="S2329" s="0" t="n">
        <f aca="false">IF($I2329&lt;&gt;$O2329,0,IF(Q2329&lt;Matchup!$C$39,7,IF(Q2329&lt;Matchup!$C$39+Matchup!$C$40,3,0)))</f>
        <v>0</v>
      </c>
      <c r="T2329" s="0" t="n">
        <f aca="false">I2329+R2329</f>
        <v>20</v>
      </c>
      <c r="U2329" s="0" t="n">
        <f aca="false">O2329+S2329</f>
        <v>16</v>
      </c>
      <c r="V2329" s="0" t="n">
        <f aca="false">T2329-U2329</f>
        <v>4</v>
      </c>
      <c r="W2329" s="0" t="n">
        <f aca="false">T2329+U2329</f>
        <v>36</v>
      </c>
    </row>
    <row r="2330" customFormat="false" ht="15" hidden="false" customHeight="false" outlineLevel="0" collapsed="false">
      <c r="A2330" s="0" t="n">
        <v>2327</v>
      </c>
      <c r="B2330" s="0" t="n">
        <f aca="true">NORMINV(RAND(),1,Coefficients!$B$22)</f>
        <v>0.935708040865474</v>
      </c>
      <c r="C2330" s="0" t="n">
        <f aca="true">MEDIAN(8,16,ROUND(NORMINV(RAND(),Coefficients!$B$20,Coefficients!$B$21),0))</f>
        <v>10</v>
      </c>
      <c r="D2330" s="0" t="n">
        <f aca="true">CRITBINOM($C2330,MIN(0.75,Matchup!$B$39*$B2330),RAND())</f>
        <v>3</v>
      </c>
      <c r="E2330" s="0" t="n">
        <f aca="true">CRITBINOM(D2330,Coefficients!$B$30,RAND())</f>
        <v>0</v>
      </c>
      <c r="F2330" s="0" t="n">
        <f aca="true">CRITBINOM(E2330,Coefficients!$B$31,RAND())</f>
        <v>0</v>
      </c>
      <c r="G2330" s="0" t="n">
        <f aca="true">CRITBINOM(MAX(0,D2330-E2330),1-Coefficients!$B$32,RAND())</f>
        <v>0</v>
      </c>
      <c r="H2330" s="0" t="n">
        <f aca="true">CRITBINOM(MAX(0,$C2330-D2330),MIN(0.6,Matchup!$B$40*SQRT($B2330)/(1-MIN(0.75,Matchup!$B$39*$B2330))),RAND())</f>
        <v>1</v>
      </c>
      <c r="I2330" s="0" t="n">
        <f aca="false">6*D2330+(D2330-E2330-G2330)+2*F2330+3*H2330</f>
        <v>24</v>
      </c>
      <c r="J2330" s="0" t="n">
        <f aca="true">CRITBINOM($C2330,MIN(0.75,Matchup!$C$39*$B2330),RAND())</f>
        <v>2</v>
      </c>
      <c r="K2330" s="0" t="n">
        <f aca="true">CRITBINOM(J2330,Coefficients!$B$30,RAND())</f>
        <v>0</v>
      </c>
      <c r="L2330" s="0" t="n">
        <f aca="true">CRITBINOM(K2330,Coefficients!$B$31,RAND())</f>
        <v>0</v>
      </c>
      <c r="M2330" s="0" t="n">
        <f aca="true">CRITBINOM(MAX(0,J2330-K2330),1-Coefficients!$B$32,RAND())</f>
        <v>0</v>
      </c>
      <c r="N2330" s="0" t="n">
        <f aca="true">CRITBINOM(MAX(0,$C2330-J2330),MIN(0.6,Matchup!$C$40*SQRT($B2330)/(1-MIN(0.75,Matchup!$C$39*$B2330))),RAND())</f>
        <v>0</v>
      </c>
      <c r="O2330" s="0" t="n">
        <f aca="false">6*J2330+(J2330-K2330-M2330)+2*L2330+3*N2330</f>
        <v>14</v>
      </c>
      <c r="P2330" s="0" t="n">
        <f aca="true">RAND()</f>
        <v>0.213922166067776</v>
      </c>
      <c r="Q2330" s="0" t="n">
        <f aca="true">RAND()</f>
        <v>0.925349560931929</v>
      </c>
      <c r="R2330" s="0" t="n">
        <f aca="false">IF($I2330&lt;&gt;$O2330,0,IF(P2330&lt;Matchup!$B$39,7,IF(P2330&lt;Matchup!$B$39+Matchup!$B$40,3,0)))</f>
        <v>0</v>
      </c>
      <c r="S2330" s="0" t="n">
        <f aca="false">IF($I2330&lt;&gt;$O2330,0,IF(Q2330&lt;Matchup!$C$39,7,IF(Q2330&lt;Matchup!$C$39+Matchup!$C$40,3,0)))</f>
        <v>0</v>
      </c>
      <c r="T2330" s="0" t="n">
        <f aca="false">I2330+R2330</f>
        <v>24</v>
      </c>
      <c r="U2330" s="0" t="n">
        <f aca="false">O2330+S2330</f>
        <v>14</v>
      </c>
      <c r="V2330" s="0" t="n">
        <f aca="false">T2330-U2330</f>
        <v>10</v>
      </c>
      <c r="W2330" s="0" t="n">
        <f aca="false">T2330+U2330</f>
        <v>38</v>
      </c>
    </row>
    <row r="2331" customFormat="false" ht="15" hidden="false" customHeight="false" outlineLevel="0" collapsed="false">
      <c r="A2331" s="0" t="n">
        <v>2328</v>
      </c>
      <c r="B2331" s="0" t="n">
        <f aca="true">NORMINV(RAND(),1,Coefficients!$B$22)</f>
        <v>1.04384781233243</v>
      </c>
      <c r="C2331" s="0" t="n">
        <f aca="true">MEDIAN(8,16,ROUND(NORMINV(RAND(),Coefficients!$B$20,Coefficients!$B$21),0))</f>
        <v>11</v>
      </c>
      <c r="D2331" s="0" t="n">
        <f aca="true">CRITBINOM($C2331,MIN(0.75,Matchup!$B$39*$B2331),RAND())</f>
        <v>2</v>
      </c>
      <c r="E2331" s="0" t="n">
        <f aca="true">CRITBINOM(D2331,Coefficients!$B$30,RAND())</f>
        <v>0</v>
      </c>
      <c r="F2331" s="0" t="n">
        <f aca="true">CRITBINOM(E2331,Coefficients!$B$31,RAND())</f>
        <v>0</v>
      </c>
      <c r="G2331" s="0" t="n">
        <f aca="true">CRITBINOM(MAX(0,D2331-E2331),1-Coefficients!$B$32,RAND())</f>
        <v>0</v>
      </c>
      <c r="H2331" s="0" t="n">
        <f aca="true">CRITBINOM(MAX(0,$C2331-D2331),MIN(0.6,Matchup!$B$40*SQRT($B2331)/(1-MIN(0.75,Matchup!$B$39*$B2331))),RAND())</f>
        <v>2</v>
      </c>
      <c r="I2331" s="0" t="n">
        <f aca="false">6*D2331+(D2331-E2331-G2331)+2*F2331+3*H2331</f>
        <v>20</v>
      </c>
      <c r="J2331" s="0" t="n">
        <f aca="true">CRITBINOM($C2331,MIN(0.75,Matchup!$C$39*$B2331),RAND())</f>
        <v>2</v>
      </c>
      <c r="K2331" s="0" t="n">
        <f aca="true">CRITBINOM(J2331,Coefficients!$B$30,RAND())</f>
        <v>0</v>
      </c>
      <c r="L2331" s="0" t="n">
        <f aca="true">CRITBINOM(K2331,Coefficients!$B$31,RAND())</f>
        <v>0</v>
      </c>
      <c r="M2331" s="0" t="n">
        <f aca="true">CRITBINOM(MAX(0,J2331-K2331),1-Coefficients!$B$32,RAND())</f>
        <v>0</v>
      </c>
      <c r="N2331" s="0" t="n">
        <f aca="true">CRITBINOM(MAX(0,$C2331-J2331),MIN(0.6,Matchup!$C$40*SQRT($B2331)/(1-MIN(0.75,Matchup!$C$39*$B2331))),RAND())</f>
        <v>1</v>
      </c>
      <c r="O2331" s="0" t="n">
        <f aca="false">6*J2331+(J2331-K2331-M2331)+2*L2331+3*N2331</f>
        <v>17</v>
      </c>
      <c r="P2331" s="0" t="n">
        <f aca="true">RAND()</f>
        <v>0.743715130653655</v>
      </c>
      <c r="Q2331" s="0" t="n">
        <f aca="true">RAND()</f>
        <v>0.357253805299076</v>
      </c>
      <c r="R2331" s="0" t="n">
        <f aca="false">IF($I2331&lt;&gt;$O2331,0,IF(P2331&lt;Matchup!$B$39,7,IF(P2331&lt;Matchup!$B$39+Matchup!$B$40,3,0)))</f>
        <v>0</v>
      </c>
      <c r="S2331" s="0" t="n">
        <f aca="false">IF($I2331&lt;&gt;$O2331,0,IF(Q2331&lt;Matchup!$C$39,7,IF(Q2331&lt;Matchup!$C$39+Matchup!$C$40,3,0)))</f>
        <v>0</v>
      </c>
      <c r="T2331" s="0" t="n">
        <f aca="false">I2331+R2331</f>
        <v>20</v>
      </c>
      <c r="U2331" s="0" t="n">
        <f aca="false">O2331+S2331</f>
        <v>17</v>
      </c>
      <c r="V2331" s="0" t="n">
        <f aca="false">T2331-U2331</f>
        <v>3</v>
      </c>
      <c r="W2331" s="0" t="n">
        <f aca="false">T2331+U2331</f>
        <v>37</v>
      </c>
    </row>
    <row r="2332" customFormat="false" ht="15" hidden="false" customHeight="false" outlineLevel="0" collapsed="false">
      <c r="A2332" s="0" t="n">
        <v>2329</v>
      </c>
      <c r="B2332" s="0" t="n">
        <f aca="true">NORMINV(RAND(),1,Coefficients!$B$22)</f>
        <v>1.02920018696513</v>
      </c>
      <c r="C2332" s="0" t="n">
        <f aca="true">MEDIAN(8,16,ROUND(NORMINV(RAND(),Coefficients!$B$20,Coefficients!$B$21),0))</f>
        <v>11</v>
      </c>
      <c r="D2332" s="0" t="n">
        <f aca="true">CRITBINOM($C2332,MIN(0.75,Matchup!$B$39*$B2332),RAND())</f>
        <v>3</v>
      </c>
      <c r="E2332" s="0" t="n">
        <f aca="true">CRITBINOM(D2332,Coefficients!$B$30,RAND())</f>
        <v>0</v>
      </c>
      <c r="F2332" s="0" t="n">
        <f aca="true">CRITBINOM(E2332,Coefficients!$B$31,RAND())</f>
        <v>0</v>
      </c>
      <c r="G2332" s="0" t="n">
        <f aca="true">CRITBINOM(MAX(0,D2332-E2332),1-Coefficients!$B$32,RAND())</f>
        <v>0</v>
      </c>
      <c r="H2332" s="0" t="n">
        <f aca="true">CRITBINOM(MAX(0,$C2332-D2332),MIN(0.6,Matchup!$B$40*SQRT($B2332)/(1-MIN(0.75,Matchup!$B$39*$B2332))),RAND())</f>
        <v>1</v>
      </c>
      <c r="I2332" s="0" t="n">
        <f aca="false">6*D2332+(D2332-E2332-G2332)+2*F2332+3*H2332</f>
        <v>24</v>
      </c>
      <c r="J2332" s="0" t="n">
        <f aca="true">CRITBINOM($C2332,MIN(0.75,Matchup!$C$39*$B2332),RAND())</f>
        <v>2</v>
      </c>
      <c r="K2332" s="0" t="n">
        <f aca="true">CRITBINOM(J2332,Coefficients!$B$30,RAND())</f>
        <v>0</v>
      </c>
      <c r="L2332" s="0" t="n">
        <f aca="true">CRITBINOM(K2332,Coefficients!$B$31,RAND())</f>
        <v>0</v>
      </c>
      <c r="M2332" s="0" t="n">
        <f aca="true">CRITBINOM(MAX(0,J2332-K2332),1-Coefficients!$B$32,RAND())</f>
        <v>0</v>
      </c>
      <c r="N2332" s="0" t="n">
        <f aca="true">CRITBINOM(MAX(0,$C2332-J2332),MIN(0.6,Matchup!$C$40*SQRT($B2332)/(1-MIN(0.75,Matchup!$C$39*$B2332))),RAND())</f>
        <v>2</v>
      </c>
      <c r="O2332" s="0" t="n">
        <f aca="false">6*J2332+(J2332-K2332-M2332)+2*L2332+3*N2332</f>
        <v>20</v>
      </c>
      <c r="P2332" s="0" t="n">
        <f aca="true">RAND()</f>
        <v>0.70592766122347</v>
      </c>
      <c r="Q2332" s="0" t="n">
        <f aca="true">RAND()</f>
        <v>0.165103595704559</v>
      </c>
      <c r="R2332" s="0" t="n">
        <f aca="false">IF($I2332&lt;&gt;$O2332,0,IF(P2332&lt;Matchup!$B$39,7,IF(P2332&lt;Matchup!$B$39+Matchup!$B$40,3,0)))</f>
        <v>0</v>
      </c>
      <c r="S2332" s="0" t="n">
        <f aca="false">IF($I2332&lt;&gt;$O2332,0,IF(Q2332&lt;Matchup!$C$39,7,IF(Q2332&lt;Matchup!$C$39+Matchup!$C$40,3,0)))</f>
        <v>0</v>
      </c>
      <c r="T2332" s="0" t="n">
        <f aca="false">I2332+R2332</f>
        <v>24</v>
      </c>
      <c r="U2332" s="0" t="n">
        <f aca="false">O2332+S2332</f>
        <v>20</v>
      </c>
      <c r="V2332" s="0" t="n">
        <f aca="false">T2332-U2332</f>
        <v>4</v>
      </c>
      <c r="W2332" s="0" t="n">
        <f aca="false">T2332+U2332</f>
        <v>44</v>
      </c>
    </row>
    <row r="2333" customFormat="false" ht="15" hidden="false" customHeight="false" outlineLevel="0" collapsed="false">
      <c r="A2333" s="0" t="n">
        <v>2330</v>
      </c>
      <c r="B2333" s="0" t="n">
        <f aca="true">NORMINV(RAND(),1,Coefficients!$B$22)</f>
        <v>0.956453324042382</v>
      </c>
      <c r="C2333" s="0" t="n">
        <f aca="true">MEDIAN(8,16,ROUND(NORMINV(RAND(),Coefficients!$B$20,Coefficients!$B$21),0))</f>
        <v>11</v>
      </c>
      <c r="D2333" s="0" t="n">
        <f aca="true">CRITBINOM($C2333,MIN(0.75,Matchup!$B$39*$B2333),RAND())</f>
        <v>1</v>
      </c>
      <c r="E2333" s="0" t="n">
        <f aca="true">CRITBINOM(D2333,Coefficients!$B$30,RAND())</f>
        <v>0</v>
      </c>
      <c r="F2333" s="0" t="n">
        <f aca="true">CRITBINOM(E2333,Coefficients!$B$31,RAND())</f>
        <v>0</v>
      </c>
      <c r="G2333" s="0" t="n">
        <f aca="true">CRITBINOM(MAX(0,D2333-E2333),1-Coefficients!$B$32,RAND())</f>
        <v>0</v>
      </c>
      <c r="H2333" s="0" t="n">
        <f aca="true">CRITBINOM(MAX(0,$C2333-D2333),MIN(0.6,Matchup!$B$40*SQRT($B2333)/(1-MIN(0.75,Matchup!$B$39*$B2333))),RAND())</f>
        <v>1</v>
      </c>
      <c r="I2333" s="0" t="n">
        <f aca="false">6*D2333+(D2333-E2333-G2333)+2*F2333+3*H2333</f>
        <v>10</v>
      </c>
      <c r="J2333" s="0" t="n">
        <f aca="true">CRITBINOM($C2333,MIN(0.75,Matchup!$C$39*$B2333),RAND())</f>
        <v>2</v>
      </c>
      <c r="K2333" s="0" t="n">
        <f aca="true">CRITBINOM(J2333,Coefficients!$B$30,RAND())</f>
        <v>0</v>
      </c>
      <c r="L2333" s="0" t="n">
        <f aca="true">CRITBINOM(K2333,Coefficients!$B$31,RAND())</f>
        <v>0</v>
      </c>
      <c r="M2333" s="0" t="n">
        <f aca="true">CRITBINOM(MAX(0,J2333-K2333),1-Coefficients!$B$32,RAND())</f>
        <v>0</v>
      </c>
      <c r="N2333" s="0" t="n">
        <f aca="true">CRITBINOM(MAX(0,$C2333-J2333),MIN(0.6,Matchup!$C$40*SQRT($B2333)/(1-MIN(0.75,Matchup!$C$39*$B2333))),RAND())</f>
        <v>0</v>
      </c>
      <c r="O2333" s="0" t="n">
        <f aca="false">6*J2333+(J2333-K2333-M2333)+2*L2333+3*N2333</f>
        <v>14</v>
      </c>
      <c r="P2333" s="0" t="n">
        <f aca="true">RAND()</f>
        <v>0.906141371892127</v>
      </c>
      <c r="Q2333" s="0" t="n">
        <f aca="true">RAND()</f>
        <v>0.607918171002049</v>
      </c>
      <c r="R2333" s="0" t="n">
        <f aca="false">IF($I2333&lt;&gt;$O2333,0,IF(P2333&lt;Matchup!$B$39,7,IF(P2333&lt;Matchup!$B$39+Matchup!$B$40,3,0)))</f>
        <v>0</v>
      </c>
      <c r="S2333" s="0" t="n">
        <f aca="false">IF($I2333&lt;&gt;$O2333,0,IF(Q2333&lt;Matchup!$C$39,7,IF(Q2333&lt;Matchup!$C$39+Matchup!$C$40,3,0)))</f>
        <v>0</v>
      </c>
      <c r="T2333" s="0" t="n">
        <f aca="false">I2333+R2333</f>
        <v>10</v>
      </c>
      <c r="U2333" s="0" t="n">
        <f aca="false">O2333+S2333</f>
        <v>14</v>
      </c>
      <c r="V2333" s="0" t="n">
        <f aca="false">T2333-U2333</f>
        <v>-4</v>
      </c>
      <c r="W2333" s="0" t="n">
        <f aca="false">T2333+U2333</f>
        <v>24</v>
      </c>
    </row>
    <row r="2334" customFormat="false" ht="15" hidden="false" customHeight="false" outlineLevel="0" collapsed="false">
      <c r="A2334" s="0" t="n">
        <v>2331</v>
      </c>
      <c r="B2334" s="0" t="n">
        <f aca="true">NORMINV(RAND(),1,Coefficients!$B$22)</f>
        <v>1.03398444504707</v>
      </c>
      <c r="C2334" s="0" t="n">
        <f aca="true">MEDIAN(8,16,ROUND(NORMINV(RAND(),Coefficients!$B$20,Coefficients!$B$21),0))</f>
        <v>11</v>
      </c>
      <c r="D2334" s="0" t="n">
        <f aca="true">CRITBINOM($C2334,MIN(0.75,Matchup!$B$39*$B2334),RAND())</f>
        <v>1</v>
      </c>
      <c r="E2334" s="0" t="n">
        <f aca="true">CRITBINOM(D2334,Coefficients!$B$30,RAND())</f>
        <v>0</v>
      </c>
      <c r="F2334" s="0" t="n">
        <f aca="true">CRITBINOM(E2334,Coefficients!$B$31,RAND())</f>
        <v>0</v>
      </c>
      <c r="G2334" s="0" t="n">
        <f aca="true">CRITBINOM(MAX(0,D2334-E2334),1-Coefficients!$B$32,RAND())</f>
        <v>0</v>
      </c>
      <c r="H2334" s="0" t="n">
        <f aca="true">CRITBINOM(MAX(0,$C2334-D2334),MIN(0.6,Matchup!$B$40*SQRT($B2334)/(1-MIN(0.75,Matchup!$B$39*$B2334))),RAND())</f>
        <v>0</v>
      </c>
      <c r="I2334" s="0" t="n">
        <f aca="false">6*D2334+(D2334-E2334-G2334)+2*F2334+3*H2334</f>
        <v>7</v>
      </c>
      <c r="J2334" s="0" t="n">
        <f aca="true">CRITBINOM($C2334,MIN(0.75,Matchup!$C$39*$B2334),RAND())</f>
        <v>2</v>
      </c>
      <c r="K2334" s="0" t="n">
        <f aca="true">CRITBINOM(J2334,Coefficients!$B$30,RAND())</f>
        <v>0</v>
      </c>
      <c r="L2334" s="0" t="n">
        <f aca="true">CRITBINOM(K2334,Coefficients!$B$31,RAND())</f>
        <v>0</v>
      </c>
      <c r="M2334" s="0" t="n">
        <f aca="true">CRITBINOM(MAX(0,J2334-K2334),1-Coefficients!$B$32,RAND())</f>
        <v>0</v>
      </c>
      <c r="N2334" s="0" t="n">
        <f aca="true">CRITBINOM(MAX(0,$C2334-J2334),MIN(0.6,Matchup!$C$40*SQRT($B2334)/(1-MIN(0.75,Matchup!$C$39*$B2334))),RAND())</f>
        <v>1</v>
      </c>
      <c r="O2334" s="0" t="n">
        <f aca="false">6*J2334+(J2334-K2334-M2334)+2*L2334+3*N2334</f>
        <v>17</v>
      </c>
      <c r="P2334" s="0" t="n">
        <f aca="true">RAND()</f>
        <v>0.769079692236802</v>
      </c>
      <c r="Q2334" s="0" t="n">
        <f aca="true">RAND()</f>
        <v>0.161098896701808</v>
      </c>
      <c r="R2334" s="0" t="n">
        <f aca="false">IF($I2334&lt;&gt;$O2334,0,IF(P2334&lt;Matchup!$B$39,7,IF(P2334&lt;Matchup!$B$39+Matchup!$B$40,3,0)))</f>
        <v>0</v>
      </c>
      <c r="S2334" s="0" t="n">
        <f aca="false">IF($I2334&lt;&gt;$O2334,0,IF(Q2334&lt;Matchup!$C$39,7,IF(Q2334&lt;Matchup!$C$39+Matchup!$C$40,3,0)))</f>
        <v>0</v>
      </c>
      <c r="T2334" s="0" t="n">
        <f aca="false">I2334+R2334</f>
        <v>7</v>
      </c>
      <c r="U2334" s="0" t="n">
        <f aca="false">O2334+S2334</f>
        <v>17</v>
      </c>
      <c r="V2334" s="0" t="n">
        <f aca="false">T2334-U2334</f>
        <v>-10</v>
      </c>
      <c r="W2334" s="0" t="n">
        <f aca="false">T2334+U2334</f>
        <v>24</v>
      </c>
    </row>
    <row r="2335" customFormat="false" ht="15" hidden="false" customHeight="false" outlineLevel="0" collapsed="false">
      <c r="A2335" s="0" t="n">
        <v>2332</v>
      </c>
      <c r="B2335" s="0" t="n">
        <f aca="true">NORMINV(RAND(),1,Coefficients!$B$22)</f>
        <v>0.977093561804866</v>
      </c>
      <c r="C2335" s="0" t="n">
        <f aca="true">MEDIAN(8,16,ROUND(NORMINV(RAND(),Coefficients!$B$20,Coefficients!$B$21),0))</f>
        <v>10</v>
      </c>
      <c r="D2335" s="0" t="n">
        <f aca="true">CRITBINOM($C2335,MIN(0.75,Matchup!$B$39*$B2335),RAND())</f>
        <v>2</v>
      </c>
      <c r="E2335" s="0" t="n">
        <f aca="true">CRITBINOM(D2335,Coefficients!$B$30,RAND())</f>
        <v>0</v>
      </c>
      <c r="F2335" s="0" t="n">
        <f aca="true">CRITBINOM(E2335,Coefficients!$B$31,RAND())</f>
        <v>0</v>
      </c>
      <c r="G2335" s="0" t="n">
        <f aca="true">CRITBINOM(MAX(0,D2335-E2335),1-Coefficients!$B$32,RAND())</f>
        <v>0</v>
      </c>
      <c r="H2335" s="0" t="n">
        <f aca="true">CRITBINOM(MAX(0,$C2335-D2335),MIN(0.6,Matchup!$B$40*SQRT($B2335)/(1-MIN(0.75,Matchup!$B$39*$B2335))),RAND())</f>
        <v>1</v>
      </c>
      <c r="I2335" s="0" t="n">
        <f aca="false">6*D2335+(D2335-E2335-G2335)+2*F2335+3*H2335</f>
        <v>17</v>
      </c>
      <c r="J2335" s="0" t="n">
        <f aca="true">CRITBINOM($C2335,MIN(0.75,Matchup!$C$39*$B2335),RAND())</f>
        <v>2</v>
      </c>
      <c r="K2335" s="0" t="n">
        <f aca="true">CRITBINOM(J2335,Coefficients!$B$30,RAND())</f>
        <v>0</v>
      </c>
      <c r="L2335" s="0" t="n">
        <f aca="true">CRITBINOM(K2335,Coefficients!$B$31,RAND())</f>
        <v>0</v>
      </c>
      <c r="M2335" s="0" t="n">
        <f aca="true">CRITBINOM(MAX(0,J2335-K2335),1-Coefficients!$B$32,RAND())</f>
        <v>0</v>
      </c>
      <c r="N2335" s="0" t="n">
        <f aca="true">CRITBINOM(MAX(0,$C2335-J2335),MIN(0.6,Matchup!$C$40*SQRT($B2335)/(1-MIN(0.75,Matchup!$C$39*$B2335))),RAND())</f>
        <v>1</v>
      </c>
      <c r="O2335" s="0" t="n">
        <f aca="false">6*J2335+(J2335-K2335-M2335)+2*L2335+3*N2335</f>
        <v>17</v>
      </c>
      <c r="P2335" s="0" t="n">
        <f aca="true">RAND()</f>
        <v>0.55450462204178</v>
      </c>
      <c r="Q2335" s="0" t="n">
        <f aca="true">RAND()</f>
        <v>0.965305437885005</v>
      </c>
      <c r="R2335" s="0" t="n">
        <f aca="false">IF($I2335&lt;&gt;$O2335,0,IF(P2335&lt;Matchup!$B$39,7,IF(P2335&lt;Matchup!$B$39+Matchup!$B$40,3,0)))</f>
        <v>0</v>
      </c>
      <c r="S2335" s="0" t="n">
        <f aca="false">IF($I2335&lt;&gt;$O2335,0,IF(Q2335&lt;Matchup!$C$39,7,IF(Q2335&lt;Matchup!$C$39+Matchup!$C$40,3,0)))</f>
        <v>0</v>
      </c>
      <c r="T2335" s="0" t="n">
        <f aca="false">I2335+R2335</f>
        <v>17</v>
      </c>
      <c r="U2335" s="0" t="n">
        <f aca="false">O2335+S2335</f>
        <v>17</v>
      </c>
      <c r="V2335" s="0" t="n">
        <f aca="false">T2335-U2335</f>
        <v>0</v>
      </c>
      <c r="W2335" s="0" t="n">
        <f aca="false">T2335+U2335</f>
        <v>34</v>
      </c>
    </row>
    <row r="2336" customFormat="false" ht="15" hidden="false" customHeight="false" outlineLevel="0" collapsed="false">
      <c r="A2336" s="0" t="n">
        <v>2333</v>
      </c>
      <c r="B2336" s="0" t="n">
        <f aca="true">NORMINV(RAND(),1,Coefficients!$B$22)</f>
        <v>0.991931273726629</v>
      </c>
      <c r="C2336" s="0" t="n">
        <f aca="true">MEDIAN(8,16,ROUND(NORMINV(RAND(),Coefficients!$B$20,Coefficients!$B$21),0))</f>
        <v>12</v>
      </c>
      <c r="D2336" s="0" t="n">
        <f aca="true">CRITBINOM($C2336,MIN(0.75,Matchup!$B$39*$B2336),RAND())</f>
        <v>5</v>
      </c>
      <c r="E2336" s="0" t="n">
        <f aca="true">CRITBINOM(D2336,Coefficients!$B$30,RAND())</f>
        <v>0</v>
      </c>
      <c r="F2336" s="0" t="n">
        <f aca="true">CRITBINOM(E2336,Coefficients!$B$31,RAND())</f>
        <v>0</v>
      </c>
      <c r="G2336" s="0" t="n">
        <f aca="true">CRITBINOM(MAX(0,D2336-E2336),1-Coefficients!$B$32,RAND())</f>
        <v>1</v>
      </c>
      <c r="H2336" s="0" t="n">
        <f aca="true">CRITBINOM(MAX(0,$C2336-D2336),MIN(0.6,Matchup!$B$40*SQRT($B2336)/(1-MIN(0.75,Matchup!$B$39*$B2336))),RAND())</f>
        <v>2</v>
      </c>
      <c r="I2336" s="0" t="n">
        <f aca="false">6*D2336+(D2336-E2336-G2336)+2*F2336+3*H2336</f>
        <v>40</v>
      </c>
      <c r="J2336" s="0" t="n">
        <f aca="true">CRITBINOM($C2336,MIN(0.75,Matchup!$C$39*$B2336),RAND())</f>
        <v>3</v>
      </c>
      <c r="K2336" s="0" t="n">
        <f aca="true">CRITBINOM(J2336,Coefficients!$B$30,RAND())</f>
        <v>0</v>
      </c>
      <c r="L2336" s="0" t="n">
        <f aca="true">CRITBINOM(K2336,Coefficients!$B$31,RAND())</f>
        <v>0</v>
      </c>
      <c r="M2336" s="0" t="n">
        <f aca="true">CRITBINOM(MAX(0,J2336-K2336),1-Coefficients!$B$32,RAND())</f>
        <v>0</v>
      </c>
      <c r="N2336" s="0" t="n">
        <f aca="true">CRITBINOM(MAX(0,$C2336-J2336),MIN(0.6,Matchup!$C$40*SQRT($B2336)/(1-MIN(0.75,Matchup!$C$39*$B2336))),RAND())</f>
        <v>3</v>
      </c>
      <c r="O2336" s="0" t="n">
        <f aca="false">6*J2336+(J2336-K2336-M2336)+2*L2336+3*N2336</f>
        <v>30</v>
      </c>
      <c r="P2336" s="0" t="n">
        <f aca="true">RAND()</f>
        <v>0.72513788265708</v>
      </c>
      <c r="Q2336" s="0" t="n">
        <f aca="true">RAND()</f>
        <v>0.652470147134255</v>
      </c>
      <c r="R2336" s="0" t="n">
        <f aca="false">IF($I2336&lt;&gt;$O2336,0,IF(P2336&lt;Matchup!$B$39,7,IF(P2336&lt;Matchup!$B$39+Matchup!$B$40,3,0)))</f>
        <v>0</v>
      </c>
      <c r="S2336" s="0" t="n">
        <f aca="false">IF($I2336&lt;&gt;$O2336,0,IF(Q2336&lt;Matchup!$C$39,7,IF(Q2336&lt;Matchup!$C$39+Matchup!$C$40,3,0)))</f>
        <v>0</v>
      </c>
      <c r="T2336" s="0" t="n">
        <f aca="false">I2336+R2336</f>
        <v>40</v>
      </c>
      <c r="U2336" s="0" t="n">
        <f aca="false">O2336+S2336</f>
        <v>30</v>
      </c>
      <c r="V2336" s="0" t="n">
        <f aca="false">T2336-U2336</f>
        <v>10</v>
      </c>
      <c r="W2336" s="0" t="n">
        <f aca="false">T2336+U2336</f>
        <v>70</v>
      </c>
    </row>
    <row r="2337" customFormat="false" ht="15" hidden="false" customHeight="false" outlineLevel="0" collapsed="false">
      <c r="A2337" s="0" t="n">
        <v>2334</v>
      </c>
      <c r="B2337" s="0" t="n">
        <f aca="true">NORMINV(RAND(),1,Coefficients!$B$22)</f>
        <v>0.956951053405049</v>
      </c>
      <c r="C2337" s="0" t="n">
        <f aca="true">MEDIAN(8,16,ROUND(NORMINV(RAND(),Coefficients!$B$20,Coefficients!$B$21),0))</f>
        <v>11</v>
      </c>
      <c r="D2337" s="0" t="n">
        <f aca="true">CRITBINOM($C2337,MIN(0.75,Matchup!$B$39*$B2337),RAND())</f>
        <v>3</v>
      </c>
      <c r="E2337" s="0" t="n">
        <f aca="true">CRITBINOM(D2337,Coefficients!$B$30,RAND())</f>
        <v>0</v>
      </c>
      <c r="F2337" s="0" t="n">
        <f aca="true">CRITBINOM(E2337,Coefficients!$B$31,RAND())</f>
        <v>0</v>
      </c>
      <c r="G2337" s="0" t="n">
        <f aca="true">CRITBINOM(MAX(0,D2337-E2337),1-Coefficients!$B$32,RAND())</f>
        <v>0</v>
      </c>
      <c r="H2337" s="0" t="n">
        <f aca="true">CRITBINOM(MAX(0,$C2337-D2337),MIN(0.6,Matchup!$B$40*SQRT($B2337)/(1-MIN(0.75,Matchup!$B$39*$B2337))),RAND())</f>
        <v>1</v>
      </c>
      <c r="I2337" s="0" t="n">
        <f aca="false">6*D2337+(D2337-E2337-G2337)+2*F2337+3*H2337</f>
        <v>24</v>
      </c>
      <c r="J2337" s="0" t="n">
        <f aca="true">CRITBINOM($C2337,MIN(0.75,Matchup!$C$39*$B2337),RAND())</f>
        <v>4</v>
      </c>
      <c r="K2337" s="0" t="n">
        <f aca="true">CRITBINOM(J2337,Coefficients!$B$30,RAND())</f>
        <v>1</v>
      </c>
      <c r="L2337" s="0" t="n">
        <f aca="true">CRITBINOM(K2337,Coefficients!$B$31,RAND())</f>
        <v>0</v>
      </c>
      <c r="M2337" s="0" t="n">
        <f aca="true">CRITBINOM(MAX(0,J2337-K2337),1-Coefficients!$B$32,RAND())</f>
        <v>0</v>
      </c>
      <c r="N2337" s="0" t="n">
        <f aca="true">CRITBINOM(MAX(0,$C2337-J2337),MIN(0.6,Matchup!$C$40*SQRT($B2337)/(1-MIN(0.75,Matchup!$C$39*$B2337))),RAND())</f>
        <v>0</v>
      </c>
      <c r="O2337" s="0" t="n">
        <f aca="false">6*J2337+(J2337-K2337-M2337)+2*L2337+3*N2337</f>
        <v>27</v>
      </c>
      <c r="P2337" s="0" t="n">
        <f aca="true">RAND()</f>
        <v>0.77556122568859</v>
      </c>
      <c r="Q2337" s="0" t="n">
        <f aca="true">RAND()</f>
        <v>0.843984343110566</v>
      </c>
      <c r="R2337" s="0" t="n">
        <f aca="false">IF($I2337&lt;&gt;$O2337,0,IF(P2337&lt;Matchup!$B$39,7,IF(P2337&lt;Matchup!$B$39+Matchup!$B$40,3,0)))</f>
        <v>0</v>
      </c>
      <c r="S2337" s="0" t="n">
        <f aca="false">IF($I2337&lt;&gt;$O2337,0,IF(Q2337&lt;Matchup!$C$39,7,IF(Q2337&lt;Matchup!$C$39+Matchup!$C$40,3,0)))</f>
        <v>0</v>
      </c>
      <c r="T2337" s="0" t="n">
        <f aca="false">I2337+R2337</f>
        <v>24</v>
      </c>
      <c r="U2337" s="0" t="n">
        <f aca="false">O2337+S2337</f>
        <v>27</v>
      </c>
      <c r="V2337" s="0" t="n">
        <f aca="false">T2337-U2337</f>
        <v>-3</v>
      </c>
      <c r="W2337" s="0" t="n">
        <f aca="false">T2337+U2337</f>
        <v>51</v>
      </c>
    </row>
    <row r="2338" customFormat="false" ht="15" hidden="false" customHeight="false" outlineLevel="0" collapsed="false">
      <c r="A2338" s="0" t="n">
        <v>2335</v>
      </c>
      <c r="B2338" s="0" t="n">
        <f aca="true">NORMINV(RAND(),1,Coefficients!$B$22)</f>
        <v>1.06923381445437</v>
      </c>
      <c r="C2338" s="0" t="n">
        <f aca="true">MEDIAN(8,16,ROUND(NORMINV(RAND(),Coefficients!$B$20,Coefficients!$B$21),0))</f>
        <v>11</v>
      </c>
      <c r="D2338" s="0" t="n">
        <f aca="true">CRITBINOM($C2338,MIN(0.75,Matchup!$B$39*$B2338),RAND())</f>
        <v>2</v>
      </c>
      <c r="E2338" s="0" t="n">
        <f aca="true">CRITBINOM(D2338,Coefficients!$B$30,RAND())</f>
        <v>0</v>
      </c>
      <c r="F2338" s="0" t="n">
        <f aca="true">CRITBINOM(E2338,Coefficients!$B$31,RAND())</f>
        <v>0</v>
      </c>
      <c r="G2338" s="0" t="n">
        <f aca="true">CRITBINOM(MAX(0,D2338-E2338),1-Coefficients!$B$32,RAND())</f>
        <v>1</v>
      </c>
      <c r="H2338" s="0" t="n">
        <f aca="true">CRITBINOM(MAX(0,$C2338-D2338),MIN(0.6,Matchup!$B$40*SQRT($B2338)/(1-MIN(0.75,Matchup!$B$39*$B2338))),RAND())</f>
        <v>0</v>
      </c>
      <c r="I2338" s="0" t="n">
        <f aca="false">6*D2338+(D2338-E2338-G2338)+2*F2338+3*H2338</f>
        <v>13</v>
      </c>
      <c r="J2338" s="0" t="n">
        <f aca="true">CRITBINOM($C2338,MIN(0.75,Matchup!$C$39*$B2338),RAND())</f>
        <v>2</v>
      </c>
      <c r="K2338" s="0" t="n">
        <f aca="true">CRITBINOM(J2338,Coefficients!$B$30,RAND())</f>
        <v>0</v>
      </c>
      <c r="L2338" s="0" t="n">
        <f aca="true">CRITBINOM(K2338,Coefficients!$B$31,RAND())</f>
        <v>0</v>
      </c>
      <c r="M2338" s="0" t="n">
        <f aca="true">CRITBINOM(MAX(0,J2338-K2338),1-Coefficients!$B$32,RAND())</f>
        <v>0</v>
      </c>
      <c r="N2338" s="0" t="n">
        <f aca="true">CRITBINOM(MAX(0,$C2338-J2338),MIN(0.6,Matchup!$C$40*SQRT($B2338)/(1-MIN(0.75,Matchup!$C$39*$B2338))),RAND())</f>
        <v>2</v>
      </c>
      <c r="O2338" s="0" t="n">
        <f aca="false">6*J2338+(J2338-K2338-M2338)+2*L2338+3*N2338</f>
        <v>20</v>
      </c>
      <c r="P2338" s="0" t="n">
        <f aca="true">RAND()</f>
        <v>0.874185781795253</v>
      </c>
      <c r="Q2338" s="0" t="n">
        <f aca="true">RAND()</f>
        <v>0.188119537594193</v>
      </c>
      <c r="R2338" s="0" t="n">
        <f aca="false">IF($I2338&lt;&gt;$O2338,0,IF(P2338&lt;Matchup!$B$39,7,IF(P2338&lt;Matchup!$B$39+Matchup!$B$40,3,0)))</f>
        <v>0</v>
      </c>
      <c r="S2338" s="0" t="n">
        <f aca="false">IF($I2338&lt;&gt;$O2338,0,IF(Q2338&lt;Matchup!$C$39,7,IF(Q2338&lt;Matchup!$C$39+Matchup!$C$40,3,0)))</f>
        <v>0</v>
      </c>
      <c r="T2338" s="0" t="n">
        <f aca="false">I2338+R2338</f>
        <v>13</v>
      </c>
      <c r="U2338" s="0" t="n">
        <f aca="false">O2338+S2338</f>
        <v>20</v>
      </c>
      <c r="V2338" s="0" t="n">
        <f aca="false">T2338-U2338</f>
        <v>-7</v>
      </c>
      <c r="W2338" s="0" t="n">
        <f aca="false">T2338+U2338</f>
        <v>33</v>
      </c>
    </row>
    <row r="2339" customFormat="false" ht="15" hidden="false" customHeight="false" outlineLevel="0" collapsed="false">
      <c r="A2339" s="0" t="n">
        <v>2336</v>
      </c>
      <c r="B2339" s="0" t="n">
        <f aca="true">NORMINV(RAND(),1,Coefficients!$B$22)</f>
        <v>1.05811385810495</v>
      </c>
      <c r="C2339" s="0" t="n">
        <f aca="true">MEDIAN(8,16,ROUND(NORMINV(RAND(),Coefficients!$B$20,Coefficients!$B$21),0))</f>
        <v>11</v>
      </c>
      <c r="D2339" s="0" t="n">
        <f aca="true">CRITBINOM($C2339,MIN(0.75,Matchup!$B$39*$B2339),RAND())</f>
        <v>2</v>
      </c>
      <c r="E2339" s="0" t="n">
        <f aca="true">CRITBINOM(D2339,Coefficients!$B$30,RAND())</f>
        <v>0</v>
      </c>
      <c r="F2339" s="0" t="n">
        <f aca="true">CRITBINOM(E2339,Coefficients!$B$31,RAND())</f>
        <v>0</v>
      </c>
      <c r="G2339" s="0" t="n">
        <f aca="true">CRITBINOM(MAX(0,D2339-E2339),1-Coefficients!$B$32,RAND())</f>
        <v>0</v>
      </c>
      <c r="H2339" s="0" t="n">
        <f aca="true">CRITBINOM(MAX(0,$C2339-D2339),MIN(0.6,Matchup!$B$40*SQRT($B2339)/(1-MIN(0.75,Matchup!$B$39*$B2339))),RAND())</f>
        <v>1</v>
      </c>
      <c r="I2339" s="0" t="n">
        <f aca="false">6*D2339+(D2339-E2339-G2339)+2*F2339+3*H2339</f>
        <v>17</v>
      </c>
      <c r="J2339" s="0" t="n">
        <f aca="true">CRITBINOM($C2339,MIN(0.75,Matchup!$C$39*$B2339),RAND())</f>
        <v>0</v>
      </c>
      <c r="K2339" s="0" t="n">
        <f aca="true">CRITBINOM(J2339,Coefficients!$B$30,RAND())</f>
        <v>0</v>
      </c>
      <c r="L2339" s="0" t="n">
        <f aca="true">CRITBINOM(K2339,Coefficients!$B$31,RAND())</f>
        <v>0</v>
      </c>
      <c r="M2339" s="0" t="n">
        <f aca="true">CRITBINOM(MAX(0,J2339-K2339),1-Coefficients!$B$32,RAND())</f>
        <v>0</v>
      </c>
      <c r="N2339" s="0" t="n">
        <f aca="true">CRITBINOM(MAX(0,$C2339-J2339),MIN(0.6,Matchup!$C$40*SQRT($B2339)/(1-MIN(0.75,Matchup!$C$39*$B2339))),RAND())</f>
        <v>3</v>
      </c>
      <c r="O2339" s="0" t="n">
        <f aca="false">6*J2339+(J2339-K2339-M2339)+2*L2339+3*N2339</f>
        <v>9</v>
      </c>
      <c r="P2339" s="0" t="n">
        <f aca="true">RAND()</f>
        <v>0.537369047487484</v>
      </c>
      <c r="Q2339" s="0" t="n">
        <f aca="true">RAND()</f>
        <v>0.0597083035581747</v>
      </c>
      <c r="R2339" s="0" t="n">
        <f aca="false">IF($I2339&lt;&gt;$O2339,0,IF(P2339&lt;Matchup!$B$39,7,IF(P2339&lt;Matchup!$B$39+Matchup!$B$40,3,0)))</f>
        <v>0</v>
      </c>
      <c r="S2339" s="0" t="n">
        <f aca="false">IF($I2339&lt;&gt;$O2339,0,IF(Q2339&lt;Matchup!$C$39,7,IF(Q2339&lt;Matchup!$C$39+Matchup!$C$40,3,0)))</f>
        <v>0</v>
      </c>
      <c r="T2339" s="0" t="n">
        <f aca="false">I2339+R2339</f>
        <v>17</v>
      </c>
      <c r="U2339" s="0" t="n">
        <f aca="false">O2339+S2339</f>
        <v>9</v>
      </c>
      <c r="V2339" s="0" t="n">
        <f aca="false">T2339-U2339</f>
        <v>8</v>
      </c>
      <c r="W2339" s="0" t="n">
        <f aca="false">T2339+U2339</f>
        <v>26</v>
      </c>
    </row>
    <row r="2340" customFormat="false" ht="15" hidden="false" customHeight="false" outlineLevel="0" collapsed="false">
      <c r="A2340" s="0" t="n">
        <v>2337</v>
      </c>
      <c r="B2340" s="0" t="n">
        <f aca="true">NORMINV(RAND(),1,Coefficients!$B$22)</f>
        <v>1.03876391908118</v>
      </c>
      <c r="C2340" s="0" t="n">
        <f aca="true">MEDIAN(8,16,ROUND(NORMINV(RAND(),Coefficients!$B$20,Coefficients!$B$21),0))</f>
        <v>11</v>
      </c>
      <c r="D2340" s="0" t="n">
        <f aca="true">CRITBINOM($C2340,MIN(0.75,Matchup!$B$39*$B2340),RAND())</f>
        <v>4</v>
      </c>
      <c r="E2340" s="0" t="n">
        <f aca="true">CRITBINOM(D2340,Coefficients!$B$30,RAND())</f>
        <v>0</v>
      </c>
      <c r="F2340" s="0" t="n">
        <f aca="true">CRITBINOM(E2340,Coefficients!$B$31,RAND())</f>
        <v>0</v>
      </c>
      <c r="G2340" s="0" t="n">
        <f aca="true">CRITBINOM(MAX(0,D2340-E2340),1-Coefficients!$B$32,RAND())</f>
        <v>0</v>
      </c>
      <c r="H2340" s="0" t="n">
        <f aca="true">CRITBINOM(MAX(0,$C2340-D2340),MIN(0.6,Matchup!$B$40*SQRT($B2340)/(1-MIN(0.75,Matchup!$B$39*$B2340))),RAND())</f>
        <v>1</v>
      </c>
      <c r="I2340" s="0" t="n">
        <f aca="false">6*D2340+(D2340-E2340-G2340)+2*F2340+3*H2340</f>
        <v>31</v>
      </c>
      <c r="J2340" s="0" t="n">
        <f aca="true">CRITBINOM($C2340,MIN(0.75,Matchup!$C$39*$B2340),RAND())</f>
        <v>1</v>
      </c>
      <c r="K2340" s="0" t="n">
        <f aca="true">CRITBINOM(J2340,Coefficients!$B$30,RAND())</f>
        <v>0</v>
      </c>
      <c r="L2340" s="0" t="n">
        <f aca="true">CRITBINOM(K2340,Coefficients!$B$31,RAND())</f>
        <v>0</v>
      </c>
      <c r="M2340" s="0" t="n">
        <f aca="true">CRITBINOM(MAX(0,J2340-K2340),1-Coefficients!$B$32,RAND())</f>
        <v>0</v>
      </c>
      <c r="N2340" s="0" t="n">
        <f aca="true">CRITBINOM(MAX(0,$C2340-J2340),MIN(0.6,Matchup!$C$40*SQRT($B2340)/(1-MIN(0.75,Matchup!$C$39*$B2340))),RAND())</f>
        <v>2</v>
      </c>
      <c r="O2340" s="0" t="n">
        <f aca="false">6*J2340+(J2340-K2340-M2340)+2*L2340+3*N2340</f>
        <v>13</v>
      </c>
      <c r="P2340" s="0" t="n">
        <f aca="true">RAND()</f>
        <v>0.0321614796063374</v>
      </c>
      <c r="Q2340" s="0" t="n">
        <f aca="true">RAND()</f>
        <v>0.763806466581803</v>
      </c>
      <c r="R2340" s="0" t="n">
        <f aca="false">IF($I2340&lt;&gt;$O2340,0,IF(P2340&lt;Matchup!$B$39,7,IF(P2340&lt;Matchup!$B$39+Matchup!$B$40,3,0)))</f>
        <v>0</v>
      </c>
      <c r="S2340" s="0" t="n">
        <f aca="false">IF($I2340&lt;&gt;$O2340,0,IF(Q2340&lt;Matchup!$C$39,7,IF(Q2340&lt;Matchup!$C$39+Matchup!$C$40,3,0)))</f>
        <v>0</v>
      </c>
      <c r="T2340" s="0" t="n">
        <f aca="false">I2340+R2340</f>
        <v>31</v>
      </c>
      <c r="U2340" s="0" t="n">
        <f aca="false">O2340+S2340</f>
        <v>13</v>
      </c>
      <c r="V2340" s="0" t="n">
        <f aca="false">T2340-U2340</f>
        <v>18</v>
      </c>
      <c r="W2340" s="0" t="n">
        <f aca="false">T2340+U2340</f>
        <v>44</v>
      </c>
    </row>
    <row r="2341" customFormat="false" ht="15" hidden="false" customHeight="false" outlineLevel="0" collapsed="false">
      <c r="A2341" s="0" t="n">
        <v>2338</v>
      </c>
      <c r="B2341" s="0" t="n">
        <f aca="true">NORMINV(RAND(),1,Coefficients!$B$22)</f>
        <v>0.937676445287213</v>
      </c>
      <c r="C2341" s="0" t="n">
        <f aca="true">MEDIAN(8,16,ROUND(NORMINV(RAND(),Coefficients!$B$20,Coefficients!$B$21),0))</f>
        <v>9</v>
      </c>
      <c r="D2341" s="0" t="n">
        <f aca="true">CRITBINOM($C2341,MIN(0.75,Matchup!$B$39*$B2341),RAND())</f>
        <v>1</v>
      </c>
      <c r="E2341" s="0" t="n">
        <f aca="true">CRITBINOM(D2341,Coefficients!$B$30,RAND())</f>
        <v>0</v>
      </c>
      <c r="F2341" s="0" t="n">
        <f aca="true">CRITBINOM(E2341,Coefficients!$B$31,RAND())</f>
        <v>0</v>
      </c>
      <c r="G2341" s="0" t="n">
        <f aca="true">CRITBINOM(MAX(0,D2341-E2341),1-Coefficients!$B$32,RAND())</f>
        <v>0</v>
      </c>
      <c r="H2341" s="0" t="n">
        <f aca="true">CRITBINOM(MAX(0,$C2341-D2341),MIN(0.6,Matchup!$B$40*SQRT($B2341)/(1-MIN(0.75,Matchup!$B$39*$B2341))),RAND())</f>
        <v>0</v>
      </c>
      <c r="I2341" s="0" t="n">
        <f aca="false">6*D2341+(D2341-E2341-G2341)+2*F2341+3*H2341</f>
        <v>7</v>
      </c>
      <c r="J2341" s="0" t="n">
        <f aca="true">CRITBINOM($C2341,MIN(0.75,Matchup!$C$39*$B2341),RAND())</f>
        <v>2</v>
      </c>
      <c r="K2341" s="0" t="n">
        <f aca="true">CRITBINOM(J2341,Coefficients!$B$30,RAND())</f>
        <v>0</v>
      </c>
      <c r="L2341" s="0" t="n">
        <f aca="true">CRITBINOM(K2341,Coefficients!$B$31,RAND())</f>
        <v>0</v>
      </c>
      <c r="M2341" s="0" t="n">
        <f aca="true">CRITBINOM(MAX(0,J2341-K2341),1-Coefficients!$B$32,RAND())</f>
        <v>0</v>
      </c>
      <c r="N2341" s="0" t="n">
        <f aca="true">CRITBINOM(MAX(0,$C2341-J2341),MIN(0.6,Matchup!$C$40*SQRT($B2341)/(1-MIN(0.75,Matchup!$C$39*$B2341))),RAND())</f>
        <v>0</v>
      </c>
      <c r="O2341" s="0" t="n">
        <f aca="false">6*J2341+(J2341-K2341-M2341)+2*L2341+3*N2341</f>
        <v>14</v>
      </c>
      <c r="P2341" s="0" t="n">
        <f aca="true">RAND()</f>
        <v>0.506714116851189</v>
      </c>
      <c r="Q2341" s="0" t="n">
        <f aca="true">RAND()</f>
        <v>0.689791457160193</v>
      </c>
      <c r="R2341" s="0" t="n">
        <f aca="false">IF($I2341&lt;&gt;$O2341,0,IF(P2341&lt;Matchup!$B$39,7,IF(P2341&lt;Matchup!$B$39+Matchup!$B$40,3,0)))</f>
        <v>0</v>
      </c>
      <c r="S2341" s="0" t="n">
        <f aca="false">IF($I2341&lt;&gt;$O2341,0,IF(Q2341&lt;Matchup!$C$39,7,IF(Q2341&lt;Matchup!$C$39+Matchup!$C$40,3,0)))</f>
        <v>0</v>
      </c>
      <c r="T2341" s="0" t="n">
        <f aca="false">I2341+R2341</f>
        <v>7</v>
      </c>
      <c r="U2341" s="0" t="n">
        <f aca="false">O2341+S2341</f>
        <v>14</v>
      </c>
      <c r="V2341" s="0" t="n">
        <f aca="false">T2341-U2341</f>
        <v>-7</v>
      </c>
      <c r="W2341" s="0" t="n">
        <f aca="false">T2341+U2341</f>
        <v>21</v>
      </c>
    </row>
    <row r="2342" customFormat="false" ht="15" hidden="false" customHeight="false" outlineLevel="0" collapsed="false">
      <c r="A2342" s="0" t="n">
        <v>2339</v>
      </c>
      <c r="B2342" s="0" t="n">
        <f aca="true">NORMINV(RAND(),1,Coefficients!$B$22)</f>
        <v>0.920116458758352</v>
      </c>
      <c r="C2342" s="0" t="n">
        <f aca="true">MEDIAN(8,16,ROUND(NORMINV(RAND(),Coefficients!$B$20,Coefficients!$B$21),0))</f>
        <v>10</v>
      </c>
      <c r="D2342" s="0" t="n">
        <f aca="true">CRITBINOM($C2342,MIN(0.75,Matchup!$B$39*$B2342),RAND())</f>
        <v>2</v>
      </c>
      <c r="E2342" s="0" t="n">
        <f aca="true">CRITBINOM(D2342,Coefficients!$B$30,RAND())</f>
        <v>1</v>
      </c>
      <c r="F2342" s="0" t="n">
        <f aca="true">CRITBINOM(E2342,Coefficients!$B$31,RAND())</f>
        <v>1</v>
      </c>
      <c r="G2342" s="0" t="n">
        <f aca="true">CRITBINOM(MAX(0,D2342-E2342),1-Coefficients!$B$32,RAND())</f>
        <v>0</v>
      </c>
      <c r="H2342" s="0" t="n">
        <f aca="true">CRITBINOM(MAX(0,$C2342-D2342),MIN(0.6,Matchup!$B$40*SQRT($B2342)/(1-MIN(0.75,Matchup!$B$39*$B2342))),RAND())</f>
        <v>2</v>
      </c>
      <c r="I2342" s="0" t="n">
        <f aca="false">6*D2342+(D2342-E2342-G2342)+2*F2342+3*H2342</f>
        <v>21</v>
      </c>
      <c r="J2342" s="0" t="n">
        <f aca="true">CRITBINOM($C2342,MIN(0.75,Matchup!$C$39*$B2342),RAND())</f>
        <v>0</v>
      </c>
      <c r="K2342" s="0" t="n">
        <f aca="true">CRITBINOM(J2342,Coefficients!$B$30,RAND())</f>
        <v>0</v>
      </c>
      <c r="L2342" s="0" t="n">
        <f aca="true">CRITBINOM(K2342,Coefficients!$B$31,RAND())</f>
        <v>0</v>
      </c>
      <c r="M2342" s="0" t="n">
        <f aca="true">CRITBINOM(MAX(0,J2342-K2342),1-Coefficients!$B$32,RAND())</f>
        <v>0</v>
      </c>
      <c r="N2342" s="0" t="n">
        <f aca="true">CRITBINOM(MAX(0,$C2342-J2342),MIN(0.6,Matchup!$C$40*SQRT($B2342)/(1-MIN(0.75,Matchup!$C$39*$B2342))),RAND())</f>
        <v>0</v>
      </c>
      <c r="O2342" s="0" t="n">
        <f aca="false">6*J2342+(J2342-K2342-M2342)+2*L2342+3*N2342</f>
        <v>0</v>
      </c>
      <c r="P2342" s="0" t="n">
        <f aca="true">RAND()</f>
        <v>0.686125232142051</v>
      </c>
      <c r="Q2342" s="0" t="n">
        <f aca="true">RAND()</f>
        <v>0.502134226552417</v>
      </c>
      <c r="R2342" s="0" t="n">
        <f aca="false">IF($I2342&lt;&gt;$O2342,0,IF(P2342&lt;Matchup!$B$39,7,IF(P2342&lt;Matchup!$B$39+Matchup!$B$40,3,0)))</f>
        <v>0</v>
      </c>
      <c r="S2342" s="0" t="n">
        <f aca="false">IF($I2342&lt;&gt;$O2342,0,IF(Q2342&lt;Matchup!$C$39,7,IF(Q2342&lt;Matchup!$C$39+Matchup!$C$40,3,0)))</f>
        <v>0</v>
      </c>
      <c r="T2342" s="0" t="n">
        <f aca="false">I2342+R2342</f>
        <v>21</v>
      </c>
      <c r="U2342" s="0" t="n">
        <f aca="false">O2342+S2342</f>
        <v>0</v>
      </c>
      <c r="V2342" s="0" t="n">
        <f aca="false">T2342-U2342</f>
        <v>21</v>
      </c>
      <c r="W2342" s="0" t="n">
        <f aca="false">T2342+U2342</f>
        <v>21</v>
      </c>
    </row>
    <row r="2343" customFormat="false" ht="15" hidden="false" customHeight="false" outlineLevel="0" collapsed="false">
      <c r="A2343" s="0" t="n">
        <v>2340</v>
      </c>
      <c r="B2343" s="0" t="n">
        <f aca="true">NORMINV(RAND(),1,Coefficients!$B$22)</f>
        <v>1.05162448554652</v>
      </c>
      <c r="C2343" s="0" t="n">
        <f aca="true">MEDIAN(8,16,ROUND(NORMINV(RAND(),Coefficients!$B$20,Coefficients!$B$21),0))</f>
        <v>13</v>
      </c>
      <c r="D2343" s="0" t="n">
        <f aca="true">CRITBINOM($C2343,MIN(0.75,Matchup!$B$39*$B2343),RAND())</f>
        <v>1</v>
      </c>
      <c r="E2343" s="0" t="n">
        <f aca="true">CRITBINOM(D2343,Coefficients!$B$30,RAND())</f>
        <v>0</v>
      </c>
      <c r="F2343" s="0" t="n">
        <f aca="true">CRITBINOM(E2343,Coefficients!$B$31,RAND())</f>
        <v>0</v>
      </c>
      <c r="G2343" s="0" t="n">
        <f aca="true">CRITBINOM(MAX(0,D2343-E2343),1-Coefficients!$B$32,RAND())</f>
        <v>0</v>
      </c>
      <c r="H2343" s="0" t="n">
        <f aca="true">CRITBINOM(MAX(0,$C2343-D2343),MIN(0.6,Matchup!$B$40*SQRT($B2343)/(1-MIN(0.75,Matchup!$B$39*$B2343))),RAND())</f>
        <v>2</v>
      </c>
      <c r="I2343" s="0" t="n">
        <f aca="false">6*D2343+(D2343-E2343-G2343)+2*F2343+3*H2343</f>
        <v>13</v>
      </c>
      <c r="J2343" s="0" t="n">
        <f aca="true">CRITBINOM($C2343,MIN(0.75,Matchup!$C$39*$B2343),RAND())</f>
        <v>4</v>
      </c>
      <c r="K2343" s="0" t="n">
        <f aca="true">CRITBINOM(J2343,Coefficients!$B$30,RAND())</f>
        <v>0</v>
      </c>
      <c r="L2343" s="0" t="n">
        <f aca="true">CRITBINOM(K2343,Coefficients!$B$31,RAND())</f>
        <v>0</v>
      </c>
      <c r="M2343" s="0" t="n">
        <f aca="true">CRITBINOM(MAX(0,J2343-K2343),1-Coefficients!$B$32,RAND())</f>
        <v>0</v>
      </c>
      <c r="N2343" s="0" t="n">
        <f aca="true">CRITBINOM(MAX(0,$C2343-J2343),MIN(0.6,Matchup!$C$40*SQRT($B2343)/(1-MIN(0.75,Matchup!$C$39*$B2343))),RAND())</f>
        <v>0</v>
      </c>
      <c r="O2343" s="0" t="n">
        <f aca="false">6*J2343+(J2343-K2343-M2343)+2*L2343+3*N2343</f>
        <v>28</v>
      </c>
      <c r="P2343" s="0" t="n">
        <f aca="true">RAND()</f>
        <v>0.304895757801931</v>
      </c>
      <c r="Q2343" s="0" t="n">
        <f aca="true">RAND()</f>
        <v>0.161572926165711</v>
      </c>
      <c r="R2343" s="0" t="n">
        <f aca="false">IF($I2343&lt;&gt;$O2343,0,IF(P2343&lt;Matchup!$B$39,7,IF(P2343&lt;Matchup!$B$39+Matchup!$B$40,3,0)))</f>
        <v>0</v>
      </c>
      <c r="S2343" s="0" t="n">
        <f aca="false">IF($I2343&lt;&gt;$O2343,0,IF(Q2343&lt;Matchup!$C$39,7,IF(Q2343&lt;Matchup!$C$39+Matchup!$C$40,3,0)))</f>
        <v>0</v>
      </c>
      <c r="T2343" s="0" t="n">
        <f aca="false">I2343+R2343</f>
        <v>13</v>
      </c>
      <c r="U2343" s="0" t="n">
        <f aca="false">O2343+S2343</f>
        <v>28</v>
      </c>
      <c r="V2343" s="0" t="n">
        <f aca="false">T2343-U2343</f>
        <v>-15</v>
      </c>
      <c r="W2343" s="0" t="n">
        <f aca="false">T2343+U2343</f>
        <v>41</v>
      </c>
    </row>
    <row r="2344" customFormat="false" ht="15" hidden="false" customHeight="false" outlineLevel="0" collapsed="false">
      <c r="A2344" s="0" t="n">
        <v>2341</v>
      </c>
      <c r="B2344" s="0" t="n">
        <f aca="true">NORMINV(RAND(),1,Coefficients!$B$22)</f>
        <v>1.01802607746964</v>
      </c>
      <c r="C2344" s="0" t="n">
        <f aca="true">MEDIAN(8,16,ROUND(NORMINV(RAND(),Coefficients!$B$20,Coefficients!$B$21),0))</f>
        <v>12</v>
      </c>
      <c r="D2344" s="0" t="n">
        <f aca="true">CRITBINOM($C2344,MIN(0.75,Matchup!$B$39*$B2344),RAND())</f>
        <v>4</v>
      </c>
      <c r="E2344" s="0" t="n">
        <f aca="true">CRITBINOM(D2344,Coefficients!$B$30,RAND())</f>
        <v>0</v>
      </c>
      <c r="F2344" s="0" t="n">
        <f aca="true">CRITBINOM(E2344,Coefficients!$B$31,RAND())</f>
        <v>0</v>
      </c>
      <c r="G2344" s="0" t="n">
        <f aca="true">CRITBINOM(MAX(0,D2344-E2344),1-Coefficients!$B$32,RAND())</f>
        <v>0</v>
      </c>
      <c r="H2344" s="0" t="n">
        <f aca="true">CRITBINOM(MAX(0,$C2344-D2344),MIN(0.6,Matchup!$B$40*SQRT($B2344)/(1-MIN(0.75,Matchup!$B$39*$B2344))),RAND())</f>
        <v>1</v>
      </c>
      <c r="I2344" s="0" t="n">
        <f aca="false">6*D2344+(D2344-E2344-G2344)+2*F2344+3*H2344</f>
        <v>31</v>
      </c>
      <c r="J2344" s="0" t="n">
        <f aca="true">CRITBINOM($C2344,MIN(0.75,Matchup!$C$39*$B2344),RAND())</f>
        <v>0</v>
      </c>
      <c r="K2344" s="0" t="n">
        <f aca="true">CRITBINOM(J2344,Coefficients!$B$30,RAND())</f>
        <v>0</v>
      </c>
      <c r="L2344" s="0" t="n">
        <f aca="true">CRITBINOM(K2344,Coefficients!$B$31,RAND())</f>
        <v>0</v>
      </c>
      <c r="M2344" s="0" t="n">
        <f aca="true">CRITBINOM(MAX(0,J2344-K2344),1-Coefficients!$B$32,RAND())</f>
        <v>0</v>
      </c>
      <c r="N2344" s="0" t="n">
        <f aca="true">CRITBINOM(MAX(0,$C2344-J2344),MIN(0.6,Matchup!$C$40*SQRT($B2344)/(1-MIN(0.75,Matchup!$C$39*$B2344))),RAND())</f>
        <v>2</v>
      </c>
      <c r="O2344" s="0" t="n">
        <f aca="false">6*J2344+(J2344-K2344-M2344)+2*L2344+3*N2344</f>
        <v>6</v>
      </c>
      <c r="P2344" s="0" t="n">
        <f aca="true">RAND()</f>
        <v>0.0528003844356808</v>
      </c>
      <c r="Q2344" s="0" t="n">
        <f aca="true">RAND()</f>
        <v>0.425925576640423</v>
      </c>
      <c r="R2344" s="0" t="n">
        <f aca="false">IF($I2344&lt;&gt;$O2344,0,IF(P2344&lt;Matchup!$B$39,7,IF(P2344&lt;Matchup!$B$39+Matchup!$B$40,3,0)))</f>
        <v>0</v>
      </c>
      <c r="S2344" s="0" t="n">
        <f aca="false">IF($I2344&lt;&gt;$O2344,0,IF(Q2344&lt;Matchup!$C$39,7,IF(Q2344&lt;Matchup!$C$39+Matchup!$C$40,3,0)))</f>
        <v>0</v>
      </c>
      <c r="T2344" s="0" t="n">
        <f aca="false">I2344+R2344</f>
        <v>31</v>
      </c>
      <c r="U2344" s="0" t="n">
        <f aca="false">O2344+S2344</f>
        <v>6</v>
      </c>
      <c r="V2344" s="0" t="n">
        <f aca="false">T2344-U2344</f>
        <v>25</v>
      </c>
      <c r="W2344" s="0" t="n">
        <f aca="false">T2344+U2344</f>
        <v>37</v>
      </c>
    </row>
    <row r="2345" customFormat="false" ht="15" hidden="false" customHeight="false" outlineLevel="0" collapsed="false">
      <c r="A2345" s="0" t="n">
        <v>2342</v>
      </c>
      <c r="B2345" s="0" t="n">
        <f aca="true">NORMINV(RAND(),1,Coefficients!$B$22)</f>
        <v>0.970695588806222</v>
      </c>
      <c r="C2345" s="0" t="n">
        <f aca="true">MEDIAN(8,16,ROUND(NORMINV(RAND(),Coefficients!$B$20,Coefficients!$B$21),0))</f>
        <v>12</v>
      </c>
      <c r="D2345" s="0" t="n">
        <f aca="true">CRITBINOM($C2345,MIN(0.75,Matchup!$B$39*$B2345),RAND())</f>
        <v>0</v>
      </c>
      <c r="E2345" s="0" t="n">
        <f aca="true">CRITBINOM(D2345,Coefficients!$B$30,RAND())</f>
        <v>0</v>
      </c>
      <c r="F2345" s="0" t="n">
        <f aca="true">CRITBINOM(E2345,Coefficients!$B$31,RAND())</f>
        <v>0</v>
      </c>
      <c r="G2345" s="0" t="n">
        <f aca="true">CRITBINOM(MAX(0,D2345-E2345),1-Coefficients!$B$32,RAND())</f>
        <v>0</v>
      </c>
      <c r="H2345" s="0" t="n">
        <f aca="true">CRITBINOM(MAX(0,$C2345-D2345),MIN(0.6,Matchup!$B$40*SQRT($B2345)/(1-MIN(0.75,Matchup!$B$39*$B2345))),RAND())</f>
        <v>2</v>
      </c>
      <c r="I2345" s="0" t="n">
        <f aca="false">6*D2345+(D2345-E2345-G2345)+2*F2345+3*H2345</f>
        <v>6</v>
      </c>
      <c r="J2345" s="0" t="n">
        <f aca="true">CRITBINOM($C2345,MIN(0.75,Matchup!$C$39*$B2345),RAND())</f>
        <v>2</v>
      </c>
      <c r="K2345" s="0" t="n">
        <f aca="true">CRITBINOM(J2345,Coefficients!$B$30,RAND())</f>
        <v>0</v>
      </c>
      <c r="L2345" s="0" t="n">
        <f aca="true">CRITBINOM(K2345,Coefficients!$B$31,RAND())</f>
        <v>0</v>
      </c>
      <c r="M2345" s="0" t="n">
        <f aca="true">CRITBINOM(MAX(0,J2345-K2345),1-Coefficients!$B$32,RAND())</f>
        <v>0</v>
      </c>
      <c r="N2345" s="0" t="n">
        <f aca="true">CRITBINOM(MAX(0,$C2345-J2345),MIN(0.6,Matchup!$C$40*SQRT($B2345)/(1-MIN(0.75,Matchup!$C$39*$B2345))),RAND())</f>
        <v>3</v>
      </c>
      <c r="O2345" s="0" t="n">
        <f aca="false">6*J2345+(J2345-K2345-M2345)+2*L2345+3*N2345</f>
        <v>23</v>
      </c>
      <c r="P2345" s="0" t="n">
        <f aca="true">RAND()</f>
        <v>0.73289547997888</v>
      </c>
      <c r="Q2345" s="0" t="n">
        <f aca="true">RAND()</f>
        <v>0.555164549932593</v>
      </c>
      <c r="R2345" s="0" t="n">
        <f aca="false">IF($I2345&lt;&gt;$O2345,0,IF(P2345&lt;Matchup!$B$39,7,IF(P2345&lt;Matchup!$B$39+Matchup!$B$40,3,0)))</f>
        <v>0</v>
      </c>
      <c r="S2345" s="0" t="n">
        <f aca="false">IF($I2345&lt;&gt;$O2345,0,IF(Q2345&lt;Matchup!$C$39,7,IF(Q2345&lt;Matchup!$C$39+Matchup!$C$40,3,0)))</f>
        <v>0</v>
      </c>
      <c r="T2345" s="0" t="n">
        <f aca="false">I2345+R2345</f>
        <v>6</v>
      </c>
      <c r="U2345" s="0" t="n">
        <f aca="false">O2345+S2345</f>
        <v>23</v>
      </c>
      <c r="V2345" s="0" t="n">
        <f aca="false">T2345-U2345</f>
        <v>-17</v>
      </c>
      <c r="W2345" s="0" t="n">
        <f aca="false">T2345+U2345</f>
        <v>29</v>
      </c>
    </row>
    <row r="2346" customFormat="false" ht="15" hidden="false" customHeight="false" outlineLevel="0" collapsed="false">
      <c r="A2346" s="0" t="n">
        <v>2343</v>
      </c>
      <c r="B2346" s="0" t="n">
        <f aca="true">NORMINV(RAND(),1,Coefficients!$B$22)</f>
        <v>1.03488092480208</v>
      </c>
      <c r="C2346" s="0" t="n">
        <f aca="true">MEDIAN(8,16,ROUND(NORMINV(RAND(),Coefficients!$B$20,Coefficients!$B$21),0))</f>
        <v>11</v>
      </c>
      <c r="D2346" s="0" t="n">
        <f aca="true">CRITBINOM($C2346,MIN(0.75,Matchup!$B$39*$B2346),RAND())</f>
        <v>3</v>
      </c>
      <c r="E2346" s="0" t="n">
        <f aca="true">CRITBINOM(D2346,Coefficients!$B$30,RAND())</f>
        <v>2</v>
      </c>
      <c r="F2346" s="0" t="n">
        <f aca="true">CRITBINOM(E2346,Coefficients!$B$31,RAND())</f>
        <v>1</v>
      </c>
      <c r="G2346" s="0" t="n">
        <f aca="true">CRITBINOM(MAX(0,D2346-E2346),1-Coefficients!$B$32,RAND())</f>
        <v>0</v>
      </c>
      <c r="H2346" s="0" t="n">
        <f aca="true">CRITBINOM(MAX(0,$C2346-D2346),MIN(0.6,Matchup!$B$40*SQRT($B2346)/(1-MIN(0.75,Matchup!$B$39*$B2346))),RAND())</f>
        <v>2</v>
      </c>
      <c r="I2346" s="0" t="n">
        <f aca="false">6*D2346+(D2346-E2346-G2346)+2*F2346+3*H2346</f>
        <v>27</v>
      </c>
      <c r="J2346" s="0" t="n">
        <f aca="true">CRITBINOM($C2346,MIN(0.75,Matchup!$C$39*$B2346),RAND())</f>
        <v>1</v>
      </c>
      <c r="K2346" s="0" t="n">
        <f aca="true">CRITBINOM(J2346,Coefficients!$B$30,RAND())</f>
        <v>0</v>
      </c>
      <c r="L2346" s="0" t="n">
        <f aca="true">CRITBINOM(K2346,Coefficients!$B$31,RAND())</f>
        <v>0</v>
      </c>
      <c r="M2346" s="0" t="n">
        <f aca="true">CRITBINOM(MAX(0,J2346-K2346),1-Coefficients!$B$32,RAND())</f>
        <v>0</v>
      </c>
      <c r="N2346" s="0" t="n">
        <f aca="true">CRITBINOM(MAX(0,$C2346-J2346),MIN(0.6,Matchup!$C$40*SQRT($B2346)/(1-MIN(0.75,Matchup!$C$39*$B2346))),RAND())</f>
        <v>2</v>
      </c>
      <c r="O2346" s="0" t="n">
        <f aca="false">6*J2346+(J2346-K2346-M2346)+2*L2346+3*N2346</f>
        <v>13</v>
      </c>
      <c r="P2346" s="0" t="n">
        <f aca="true">RAND()</f>
        <v>0.715696245124604</v>
      </c>
      <c r="Q2346" s="0" t="n">
        <f aca="true">RAND()</f>
        <v>0.91516029684971</v>
      </c>
      <c r="R2346" s="0" t="n">
        <f aca="false">IF($I2346&lt;&gt;$O2346,0,IF(P2346&lt;Matchup!$B$39,7,IF(P2346&lt;Matchup!$B$39+Matchup!$B$40,3,0)))</f>
        <v>0</v>
      </c>
      <c r="S2346" s="0" t="n">
        <f aca="false">IF($I2346&lt;&gt;$O2346,0,IF(Q2346&lt;Matchup!$C$39,7,IF(Q2346&lt;Matchup!$C$39+Matchup!$C$40,3,0)))</f>
        <v>0</v>
      </c>
      <c r="T2346" s="0" t="n">
        <f aca="false">I2346+R2346</f>
        <v>27</v>
      </c>
      <c r="U2346" s="0" t="n">
        <f aca="false">O2346+S2346</f>
        <v>13</v>
      </c>
      <c r="V2346" s="0" t="n">
        <f aca="false">T2346-U2346</f>
        <v>14</v>
      </c>
      <c r="W2346" s="0" t="n">
        <f aca="false">T2346+U2346</f>
        <v>40</v>
      </c>
    </row>
    <row r="2347" customFormat="false" ht="15" hidden="false" customHeight="false" outlineLevel="0" collapsed="false">
      <c r="A2347" s="0" t="n">
        <v>2344</v>
      </c>
      <c r="B2347" s="0" t="n">
        <f aca="true">NORMINV(RAND(),1,Coefficients!$B$22)</f>
        <v>1.09192876217658</v>
      </c>
      <c r="C2347" s="0" t="n">
        <f aca="true">MEDIAN(8,16,ROUND(NORMINV(RAND(),Coefficients!$B$20,Coefficients!$B$21),0))</f>
        <v>11</v>
      </c>
      <c r="D2347" s="0" t="n">
        <f aca="true">CRITBINOM($C2347,MIN(0.75,Matchup!$B$39*$B2347),RAND())</f>
        <v>5</v>
      </c>
      <c r="E2347" s="0" t="n">
        <f aca="true">CRITBINOM(D2347,Coefficients!$B$30,RAND())</f>
        <v>0</v>
      </c>
      <c r="F2347" s="0" t="n">
        <f aca="true">CRITBINOM(E2347,Coefficients!$B$31,RAND())</f>
        <v>0</v>
      </c>
      <c r="G2347" s="0" t="n">
        <f aca="true">CRITBINOM(MAX(0,D2347-E2347),1-Coefficients!$B$32,RAND())</f>
        <v>0</v>
      </c>
      <c r="H2347" s="0" t="n">
        <f aca="true">CRITBINOM(MAX(0,$C2347-D2347),MIN(0.6,Matchup!$B$40*SQRT($B2347)/(1-MIN(0.75,Matchup!$B$39*$B2347))),RAND())</f>
        <v>1</v>
      </c>
      <c r="I2347" s="0" t="n">
        <f aca="false">6*D2347+(D2347-E2347-G2347)+2*F2347+3*H2347</f>
        <v>38</v>
      </c>
      <c r="J2347" s="0" t="n">
        <f aca="true">CRITBINOM($C2347,MIN(0.75,Matchup!$C$39*$B2347),RAND())</f>
        <v>4</v>
      </c>
      <c r="K2347" s="0" t="n">
        <f aca="true">CRITBINOM(J2347,Coefficients!$B$30,RAND())</f>
        <v>0</v>
      </c>
      <c r="L2347" s="0" t="n">
        <f aca="true">CRITBINOM(K2347,Coefficients!$B$31,RAND())</f>
        <v>0</v>
      </c>
      <c r="M2347" s="0" t="n">
        <f aca="true">CRITBINOM(MAX(0,J2347-K2347),1-Coefficients!$B$32,RAND())</f>
        <v>0</v>
      </c>
      <c r="N2347" s="0" t="n">
        <f aca="true">CRITBINOM(MAX(0,$C2347-J2347),MIN(0.6,Matchup!$C$40*SQRT($B2347)/(1-MIN(0.75,Matchup!$C$39*$B2347))),RAND())</f>
        <v>0</v>
      </c>
      <c r="O2347" s="0" t="n">
        <f aca="false">6*J2347+(J2347-K2347-M2347)+2*L2347+3*N2347</f>
        <v>28</v>
      </c>
      <c r="P2347" s="0" t="n">
        <f aca="true">RAND()</f>
        <v>0.230636466429273</v>
      </c>
      <c r="Q2347" s="0" t="n">
        <f aca="true">RAND()</f>
        <v>0.0122025004048383</v>
      </c>
      <c r="R2347" s="0" t="n">
        <f aca="false">IF($I2347&lt;&gt;$O2347,0,IF(P2347&lt;Matchup!$B$39,7,IF(P2347&lt;Matchup!$B$39+Matchup!$B$40,3,0)))</f>
        <v>0</v>
      </c>
      <c r="S2347" s="0" t="n">
        <f aca="false">IF($I2347&lt;&gt;$O2347,0,IF(Q2347&lt;Matchup!$C$39,7,IF(Q2347&lt;Matchup!$C$39+Matchup!$C$40,3,0)))</f>
        <v>0</v>
      </c>
      <c r="T2347" s="0" t="n">
        <f aca="false">I2347+R2347</f>
        <v>38</v>
      </c>
      <c r="U2347" s="0" t="n">
        <f aca="false">O2347+S2347</f>
        <v>28</v>
      </c>
      <c r="V2347" s="0" t="n">
        <f aca="false">T2347-U2347</f>
        <v>10</v>
      </c>
      <c r="W2347" s="0" t="n">
        <f aca="false">T2347+U2347</f>
        <v>66</v>
      </c>
    </row>
    <row r="2348" customFormat="false" ht="15" hidden="false" customHeight="false" outlineLevel="0" collapsed="false">
      <c r="A2348" s="0" t="n">
        <v>2345</v>
      </c>
      <c r="B2348" s="0" t="n">
        <f aca="true">NORMINV(RAND(),1,Coefficients!$B$22)</f>
        <v>0.997133884176673</v>
      </c>
      <c r="C2348" s="0" t="n">
        <f aca="true">MEDIAN(8,16,ROUND(NORMINV(RAND(),Coefficients!$B$20,Coefficients!$B$21),0))</f>
        <v>12</v>
      </c>
      <c r="D2348" s="0" t="n">
        <f aca="true">CRITBINOM($C2348,MIN(0.75,Matchup!$B$39*$B2348),RAND())</f>
        <v>3</v>
      </c>
      <c r="E2348" s="0" t="n">
        <f aca="true">CRITBINOM(D2348,Coefficients!$B$30,RAND())</f>
        <v>0</v>
      </c>
      <c r="F2348" s="0" t="n">
        <f aca="true">CRITBINOM(E2348,Coefficients!$B$31,RAND())</f>
        <v>0</v>
      </c>
      <c r="G2348" s="0" t="n">
        <f aca="true">CRITBINOM(MAX(0,D2348-E2348),1-Coefficients!$B$32,RAND())</f>
        <v>0</v>
      </c>
      <c r="H2348" s="0" t="n">
        <f aca="true">CRITBINOM(MAX(0,$C2348-D2348),MIN(0.6,Matchup!$B$40*SQRT($B2348)/(1-MIN(0.75,Matchup!$B$39*$B2348))),RAND())</f>
        <v>1</v>
      </c>
      <c r="I2348" s="0" t="n">
        <f aca="false">6*D2348+(D2348-E2348-G2348)+2*F2348+3*H2348</f>
        <v>24</v>
      </c>
      <c r="J2348" s="0" t="n">
        <f aca="true">CRITBINOM($C2348,MIN(0.75,Matchup!$C$39*$B2348),RAND())</f>
        <v>4</v>
      </c>
      <c r="K2348" s="0" t="n">
        <f aca="true">CRITBINOM(J2348,Coefficients!$B$30,RAND())</f>
        <v>0</v>
      </c>
      <c r="L2348" s="0" t="n">
        <f aca="true">CRITBINOM(K2348,Coefficients!$B$31,RAND())</f>
        <v>0</v>
      </c>
      <c r="M2348" s="0" t="n">
        <f aca="true">CRITBINOM(MAX(0,J2348-K2348),1-Coefficients!$B$32,RAND())</f>
        <v>0</v>
      </c>
      <c r="N2348" s="0" t="n">
        <f aca="true">CRITBINOM(MAX(0,$C2348-J2348),MIN(0.6,Matchup!$C$40*SQRT($B2348)/(1-MIN(0.75,Matchup!$C$39*$B2348))),RAND())</f>
        <v>1</v>
      </c>
      <c r="O2348" s="0" t="n">
        <f aca="false">6*J2348+(J2348-K2348-M2348)+2*L2348+3*N2348</f>
        <v>31</v>
      </c>
      <c r="P2348" s="0" t="n">
        <f aca="true">RAND()</f>
        <v>0.769716520933162</v>
      </c>
      <c r="Q2348" s="0" t="n">
        <f aca="true">RAND()</f>
        <v>0.598005272283468</v>
      </c>
      <c r="R2348" s="0" t="n">
        <f aca="false">IF($I2348&lt;&gt;$O2348,0,IF(P2348&lt;Matchup!$B$39,7,IF(P2348&lt;Matchup!$B$39+Matchup!$B$40,3,0)))</f>
        <v>0</v>
      </c>
      <c r="S2348" s="0" t="n">
        <f aca="false">IF($I2348&lt;&gt;$O2348,0,IF(Q2348&lt;Matchup!$C$39,7,IF(Q2348&lt;Matchup!$C$39+Matchup!$C$40,3,0)))</f>
        <v>0</v>
      </c>
      <c r="T2348" s="0" t="n">
        <f aca="false">I2348+R2348</f>
        <v>24</v>
      </c>
      <c r="U2348" s="0" t="n">
        <f aca="false">O2348+S2348</f>
        <v>31</v>
      </c>
      <c r="V2348" s="0" t="n">
        <f aca="false">T2348-U2348</f>
        <v>-7</v>
      </c>
      <c r="W2348" s="0" t="n">
        <f aca="false">T2348+U2348</f>
        <v>55</v>
      </c>
    </row>
    <row r="2349" customFormat="false" ht="15" hidden="false" customHeight="false" outlineLevel="0" collapsed="false">
      <c r="A2349" s="0" t="n">
        <v>2346</v>
      </c>
      <c r="B2349" s="0" t="n">
        <f aca="true">NORMINV(RAND(),1,Coefficients!$B$22)</f>
        <v>0.860094583680615</v>
      </c>
      <c r="C2349" s="0" t="n">
        <f aca="true">MEDIAN(8,16,ROUND(NORMINV(RAND(),Coefficients!$B$20,Coefficients!$B$21),0))</f>
        <v>8</v>
      </c>
      <c r="D2349" s="0" t="n">
        <f aca="true">CRITBINOM($C2349,MIN(0.75,Matchup!$B$39*$B2349),RAND())</f>
        <v>2</v>
      </c>
      <c r="E2349" s="0" t="n">
        <f aca="true">CRITBINOM(D2349,Coefficients!$B$30,RAND())</f>
        <v>0</v>
      </c>
      <c r="F2349" s="0" t="n">
        <f aca="true">CRITBINOM(E2349,Coefficients!$B$31,RAND())</f>
        <v>0</v>
      </c>
      <c r="G2349" s="0" t="n">
        <f aca="true">CRITBINOM(MAX(0,D2349-E2349),1-Coefficients!$B$32,RAND())</f>
        <v>1</v>
      </c>
      <c r="H2349" s="0" t="n">
        <f aca="true">CRITBINOM(MAX(0,$C2349-D2349),MIN(0.6,Matchup!$B$40*SQRT($B2349)/(1-MIN(0.75,Matchup!$B$39*$B2349))),RAND())</f>
        <v>2</v>
      </c>
      <c r="I2349" s="0" t="n">
        <f aca="false">6*D2349+(D2349-E2349-G2349)+2*F2349+3*H2349</f>
        <v>19</v>
      </c>
      <c r="J2349" s="0" t="n">
        <f aca="true">CRITBINOM($C2349,MIN(0.75,Matchup!$C$39*$B2349),RAND())</f>
        <v>3</v>
      </c>
      <c r="K2349" s="0" t="n">
        <f aca="true">CRITBINOM(J2349,Coefficients!$B$30,RAND())</f>
        <v>0</v>
      </c>
      <c r="L2349" s="0" t="n">
        <f aca="true">CRITBINOM(K2349,Coefficients!$B$31,RAND())</f>
        <v>0</v>
      </c>
      <c r="M2349" s="0" t="n">
        <f aca="true">CRITBINOM(MAX(0,J2349-K2349),1-Coefficients!$B$32,RAND())</f>
        <v>0</v>
      </c>
      <c r="N2349" s="0" t="n">
        <f aca="true">CRITBINOM(MAX(0,$C2349-J2349),MIN(0.6,Matchup!$C$40*SQRT($B2349)/(1-MIN(0.75,Matchup!$C$39*$B2349))),RAND())</f>
        <v>2</v>
      </c>
      <c r="O2349" s="0" t="n">
        <f aca="false">6*J2349+(J2349-K2349-M2349)+2*L2349+3*N2349</f>
        <v>27</v>
      </c>
      <c r="P2349" s="0" t="n">
        <f aca="true">RAND()</f>
        <v>0.762360003427298</v>
      </c>
      <c r="Q2349" s="0" t="n">
        <f aca="true">RAND()</f>
        <v>0.191865767706332</v>
      </c>
      <c r="R2349" s="0" t="n">
        <f aca="false">IF($I2349&lt;&gt;$O2349,0,IF(P2349&lt;Matchup!$B$39,7,IF(P2349&lt;Matchup!$B$39+Matchup!$B$40,3,0)))</f>
        <v>0</v>
      </c>
      <c r="S2349" s="0" t="n">
        <f aca="false">IF($I2349&lt;&gt;$O2349,0,IF(Q2349&lt;Matchup!$C$39,7,IF(Q2349&lt;Matchup!$C$39+Matchup!$C$40,3,0)))</f>
        <v>0</v>
      </c>
      <c r="T2349" s="0" t="n">
        <f aca="false">I2349+R2349</f>
        <v>19</v>
      </c>
      <c r="U2349" s="0" t="n">
        <f aca="false">O2349+S2349</f>
        <v>27</v>
      </c>
      <c r="V2349" s="0" t="n">
        <f aca="false">T2349-U2349</f>
        <v>-8</v>
      </c>
      <c r="W2349" s="0" t="n">
        <f aca="false">T2349+U2349</f>
        <v>46</v>
      </c>
    </row>
    <row r="2350" customFormat="false" ht="15" hidden="false" customHeight="false" outlineLevel="0" collapsed="false">
      <c r="A2350" s="0" t="n">
        <v>2347</v>
      </c>
      <c r="B2350" s="0" t="n">
        <f aca="true">NORMINV(RAND(),1,Coefficients!$B$22)</f>
        <v>0.859606080382147</v>
      </c>
      <c r="C2350" s="0" t="n">
        <f aca="true">MEDIAN(8,16,ROUND(NORMINV(RAND(),Coefficients!$B$20,Coefficients!$B$21),0))</f>
        <v>9</v>
      </c>
      <c r="D2350" s="0" t="n">
        <f aca="true">CRITBINOM($C2350,MIN(0.75,Matchup!$B$39*$B2350),RAND())</f>
        <v>2</v>
      </c>
      <c r="E2350" s="0" t="n">
        <f aca="true">CRITBINOM(D2350,Coefficients!$B$30,RAND())</f>
        <v>0</v>
      </c>
      <c r="F2350" s="0" t="n">
        <f aca="true">CRITBINOM(E2350,Coefficients!$B$31,RAND())</f>
        <v>0</v>
      </c>
      <c r="G2350" s="0" t="n">
        <f aca="true">CRITBINOM(MAX(0,D2350-E2350),1-Coefficients!$B$32,RAND())</f>
        <v>0</v>
      </c>
      <c r="H2350" s="0" t="n">
        <f aca="true">CRITBINOM(MAX(0,$C2350-D2350),MIN(0.6,Matchup!$B$40*SQRT($B2350)/(1-MIN(0.75,Matchup!$B$39*$B2350))),RAND())</f>
        <v>3</v>
      </c>
      <c r="I2350" s="0" t="n">
        <f aca="false">6*D2350+(D2350-E2350-G2350)+2*F2350+3*H2350</f>
        <v>23</v>
      </c>
      <c r="J2350" s="0" t="n">
        <f aca="true">CRITBINOM($C2350,MIN(0.75,Matchup!$C$39*$B2350),RAND())</f>
        <v>1</v>
      </c>
      <c r="K2350" s="0" t="n">
        <f aca="true">CRITBINOM(J2350,Coefficients!$B$30,RAND())</f>
        <v>0</v>
      </c>
      <c r="L2350" s="0" t="n">
        <f aca="true">CRITBINOM(K2350,Coefficients!$B$31,RAND())</f>
        <v>0</v>
      </c>
      <c r="M2350" s="0" t="n">
        <f aca="true">CRITBINOM(MAX(0,J2350-K2350),1-Coefficients!$B$32,RAND())</f>
        <v>0</v>
      </c>
      <c r="N2350" s="0" t="n">
        <f aca="true">CRITBINOM(MAX(0,$C2350-J2350),MIN(0.6,Matchup!$C$40*SQRT($B2350)/(1-MIN(0.75,Matchup!$C$39*$B2350))),RAND())</f>
        <v>0</v>
      </c>
      <c r="O2350" s="0" t="n">
        <f aca="false">6*J2350+(J2350-K2350-M2350)+2*L2350+3*N2350</f>
        <v>7</v>
      </c>
      <c r="P2350" s="0" t="n">
        <f aca="true">RAND()</f>
        <v>0.395957229218136</v>
      </c>
      <c r="Q2350" s="0" t="n">
        <f aca="true">RAND()</f>
        <v>0.583156401036103</v>
      </c>
      <c r="R2350" s="0" t="n">
        <f aca="false">IF($I2350&lt;&gt;$O2350,0,IF(P2350&lt;Matchup!$B$39,7,IF(P2350&lt;Matchup!$B$39+Matchup!$B$40,3,0)))</f>
        <v>0</v>
      </c>
      <c r="S2350" s="0" t="n">
        <f aca="false">IF($I2350&lt;&gt;$O2350,0,IF(Q2350&lt;Matchup!$C$39,7,IF(Q2350&lt;Matchup!$C$39+Matchup!$C$40,3,0)))</f>
        <v>0</v>
      </c>
      <c r="T2350" s="0" t="n">
        <f aca="false">I2350+R2350</f>
        <v>23</v>
      </c>
      <c r="U2350" s="0" t="n">
        <f aca="false">O2350+S2350</f>
        <v>7</v>
      </c>
      <c r="V2350" s="0" t="n">
        <f aca="false">T2350-U2350</f>
        <v>16</v>
      </c>
      <c r="W2350" s="0" t="n">
        <f aca="false">T2350+U2350</f>
        <v>30</v>
      </c>
    </row>
    <row r="2351" customFormat="false" ht="15" hidden="false" customHeight="false" outlineLevel="0" collapsed="false">
      <c r="A2351" s="0" t="n">
        <v>2348</v>
      </c>
      <c r="B2351" s="0" t="n">
        <f aca="true">NORMINV(RAND(),1,Coefficients!$B$22)</f>
        <v>0.913764420374699</v>
      </c>
      <c r="C2351" s="0" t="n">
        <f aca="true">MEDIAN(8,16,ROUND(NORMINV(RAND(),Coefficients!$B$20,Coefficients!$B$21),0))</f>
        <v>12</v>
      </c>
      <c r="D2351" s="0" t="n">
        <f aca="true">CRITBINOM($C2351,MIN(0.75,Matchup!$B$39*$B2351),RAND())</f>
        <v>1</v>
      </c>
      <c r="E2351" s="0" t="n">
        <f aca="true">CRITBINOM(D2351,Coefficients!$B$30,RAND())</f>
        <v>0</v>
      </c>
      <c r="F2351" s="0" t="n">
        <f aca="true">CRITBINOM(E2351,Coefficients!$B$31,RAND())</f>
        <v>0</v>
      </c>
      <c r="G2351" s="0" t="n">
        <f aca="true">CRITBINOM(MAX(0,D2351-E2351),1-Coefficients!$B$32,RAND())</f>
        <v>0</v>
      </c>
      <c r="H2351" s="0" t="n">
        <f aca="true">CRITBINOM(MAX(0,$C2351-D2351),MIN(0.6,Matchup!$B$40*SQRT($B2351)/(1-MIN(0.75,Matchup!$B$39*$B2351))),RAND())</f>
        <v>4</v>
      </c>
      <c r="I2351" s="0" t="n">
        <f aca="false">6*D2351+(D2351-E2351-G2351)+2*F2351+3*H2351</f>
        <v>19</v>
      </c>
      <c r="J2351" s="0" t="n">
        <f aca="true">CRITBINOM($C2351,MIN(0.75,Matchup!$C$39*$B2351),RAND())</f>
        <v>0</v>
      </c>
      <c r="K2351" s="0" t="n">
        <f aca="true">CRITBINOM(J2351,Coefficients!$B$30,RAND())</f>
        <v>0</v>
      </c>
      <c r="L2351" s="0" t="n">
        <f aca="true">CRITBINOM(K2351,Coefficients!$B$31,RAND())</f>
        <v>0</v>
      </c>
      <c r="M2351" s="0" t="n">
        <f aca="true">CRITBINOM(MAX(0,J2351-K2351),1-Coefficients!$B$32,RAND())</f>
        <v>0</v>
      </c>
      <c r="N2351" s="0" t="n">
        <f aca="true">CRITBINOM(MAX(0,$C2351-J2351),MIN(0.6,Matchup!$C$40*SQRT($B2351)/(1-MIN(0.75,Matchup!$C$39*$B2351))),RAND())</f>
        <v>1</v>
      </c>
      <c r="O2351" s="0" t="n">
        <f aca="false">6*J2351+(J2351-K2351-M2351)+2*L2351+3*N2351</f>
        <v>3</v>
      </c>
      <c r="P2351" s="0" t="n">
        <f aca="true">RAND()</f>
        <v>0.480041664092878</v>
      </c>
      <c r="Q2351" s="0" t="n">
        <f aca="true">RAND()</f>
        <v>0.782463007026497</v>
      </c>
      <c r="R2351" s="0" t="n">
        <f aca="false">IF($I2351&lt;&gt;$O2351,0,IF(P2351&lt;Matchup!$B$39,7,IF(P2351&lt;Matchup!$B$39+Matchup!$B$40,3,0)))</f>
        <v>0</v>
      </c>
      <c r="S2351" s="0" t="n">
        <f aca="false">IF($I2351&lt;&gt;$O2351,0,IF(Q2351&lt;Matchup!$C$39,7,IF(Q2351&lt;Matchup!$C$39+Matchup!$C$40,3,0)))</f>
        <v>0</v>
      </c>
      <c r="T2351" s="0" t="n">
        <f aca="false">I2351+R2351</f>
        <v>19</v>
      </c>
      <c r="U2351" s="0" t="n">
        <f aca="false">O2351+S2351</f>
        <v>3</v>
      </c>
      <c r="V2351" s="0" t="n">
        <f aca="false">T2351-U2351</f>
        <v>16</v>
      </c>
      <c r="W2351" s="0" t="n">
        <f aca="false">T2351+U2351</f>
        <v>22</v>
      </c>
    </row>
    <row r="2352" customFormat="false" ht="15" hidden="false" customHeight="false" outlineLevel="0" collapsed="false">
      <c r="A2352" s="0" t="n">
        <v>2349</v>
      </c>
      <c r="B2352" s="0" t="n">
        <f aca="true">NORMINV(RAND(),1,Coefficients!$B$22)</f>
        <v>0.995474888886612</v>
      </c>
      <c r="C2352" s="0" t="n">
        <f aca="true">MEDIAN(8,16,ROUND(NORMINV(RAND(),Coefficients!$B$20,Coefficients!$B$21),0))</f>
        <v>11</v>
      </c>
      <c r="D2352" s="0" t="n">
        <f aca="true">CRITBINOM($C2352,MIN(0.75,Matchup!$B$39*$B2352),RAND())</f>
        <v>2</v>
      </c>
      <c r="E2352" s="0" t="n">
        <f aca="true">CRITBINOM(D2352,Coefficients!$B$30,RAND())</f>
        <v>0</v>
      </c>
      <c r="F2352" s="0" t="n">
        <f aca="true">CRITBINOM(E2352,Coefficients!$B$31,RAND())</f>
        <v>0</v>
      </c>
      <c r="G2352" s="0" t="n">
        <f aca="true">CRITBINOM(MAX(0,D2352-E2352),1-Coefficients!$B$32,RAND())</f>
        <v>0</v>
      </c>
      <c r="H2352" s="0" t="n">
        <f aca="true">CRITBINOM(MAX(0,$C2352-D2352),MIN(0.6,Matchup!$B$40*SQRT($B2352)/(1-MIN(0.75,Matchup!$B$39*$B2352))),RAND())</f>
        <v>3</v>
      </c>
      <c r="I2352" s="0" t="n">
        <f aca="false">6*D2352+(D2352-E2352-G2352)+2*F2352+3*H2352</f>
        <v>23</v>
      </c>
      <c r="J2352" s="0" t="n">
        <f aca="true">CRITBINOM($C2352,MIN(0.75,Matchup!$C$39*$B2352),RAND())</f>
        <v>4</v>
      </c>
      <c r="K2352" s="0" t="n">
        <f aca="true">CRITBINOM(J2352,Coefficients!$B$30,RAND())</f>
        <v>0</v>
      </c>
      <c r="L2352" s="0" t="n">
        <f aca="true">CRITBINOM(K2352,Coefficients!$B$31,RAND())</f>
        <v>0</v>
      </c>
      <c r="M2352" s="0" t="n">
        <f aca="true">CRITBINOM(MAX(0,J2352-K2352),1-Coefficients!$B$32,RAND())</f>
        <v>0</v>
      </c>
      <c r="N2352" s="0" t="n">
        <f aca="true">CRITBINOM(MAX(0,$C2352-J2352),MIN(0.6,Matchup!$C$40*SQRT($B2352)/(1-MIN(0.75,Matchup!$C$39*$B2352))),RAND())</f>
        <v>1</v>
      </c>
      <c r="O2352" s="0" t="n">
        <f aca="false">6*J2352+(J2352-K2352-M2352)+2*L2352+3*N2352</f>
        <v>31</v>
      </c>
      <c r="P2352" s="0" t="n">
        <f aca="true">RAND()</f>
        <v>0.293642111414388</v>
      </c>
      <c r="Q2352" s="0" t="n">
        <f aca="true">RAND()</f>
        <v>0.423378987873359</v>
      </c>
      <c r="R2352" s="0" t="n">
        <f aca="false">IF($I2352&lt;&gt;$O2352,0,IF(P2352&lt;Matchup!$B$39,7,IF(P2352&lt;Matchup!$B$39+Matchup!$B$40,3,0)))</f>
        <v>0</v>
      </c>
      <c r="S2352" s="0" t="n">
        <f aca="false">IF($I2352&lt;&gt;$O2352,0,IF(Q2352&lt;Matchup!$C$39,7,IF(Q2352&lt;Matchup!$C$39+Matchup!$C$40,3,0)))</f>
        <v>0</v>
      </c>
      <c r="T2352" s="0" t="n">
        <f aca="false">I2352+R2352</f>
        <v>23</v>
      </c>
      <c r="U2352" s="0" t="n">
        <f aca="false">O2352+S2352</f>
        <v>31</v>
      </c>
      <c r="V2352" s="0" t="n">
        <f aca="false">T2352-U2352</f>
        <v>-8</v>
      </c>
      <c r="W2352" s="0" t="n">
        <f aca="false">T2352+U2352</f>
        <v>54</v>
      </c>
    </row>
    <row r="2353" customFormat="false" ht="15" hidden="false" customHeight="false" outlineLevel="0" collapsed="false">
      <c r="A2353" s="0" t="n">
        <v>2350</v>
      </c>
      <c r="B2353" s="0" t="n">
        <f aca="true">NORMINV(RAND(),1,Coefficients!$B$22)</f>
        <v>0.984541666593739</v>
      </c>
      <c r="C2353" s="0" t="n">
        <f aca="true">MEDIAN(8,16,ROUND(NORMINV(RAND(),Coefficients!$B$20,Coefficients!$B$21),0))</f>
        <v>10</v>
      </c>
      <c r="D2353" s="0" t="n">
        <f aca="true">CRITBINOM($C2353,MIN(0.75,Matchup!$B$39*$B2353),RAND())</f>
        <v>3</v>
      </c>
      <c r="E2353" s="0" t="n">
        <f aca="true">CRITBINOM(D2353,Coefficients!$B$30,RAND())</f>
        <v>1</v>
      </c>
      <c r="F2353" s="0" t="n">
        <f aca="true">CRITBINOM(E2353,Coefficients!$B$31,RAND())</f>
        <v>1</v>
      </c>
      <c r="G2353" s="0" t="n">
        <f aca="true">CRITBINOM(MAX(0,D2353-E2353),1-Coefficients!$B$32,RAND())</f>
        <v>0</v>
      </c>
      <c r="H2353" s="0" t="n">
        <f aca="true">CRITBINOM(MAX(0,$C2353-D2353),MIN(0.6,Matchup!$B$40*SQRT($B2353)/(1-MIN(0.75,Matchup!$B$39*$B2353))),RAND())</f>
        <v>1</v>
      </c>
      <c r="I2353" s="0" t="n">
        <f aca="false">6*D2353+(D2353-E2353-G2353)+2*F2353+3*H2353</f>
        <v>25</v>
      </c>
      <c r="J2353" s="0" t="n">
        <f aca="true">CRITBINOM($C2353,MIN(0.75,Matchup!$C$39*$B2353),RAND())</f>
        <v>4</v>
      </c>
      <c r="K2353" s="0" t="n">
        <f aca="true">CRITBINOM(J2353,Coefficients!$B$30,RAND())</f>
        <v>0</v>
      </c>
      <c r="L2353" s="0" t="n">
        <f aca="true">CRITBINOM(K2353,Coefficients!$B$31,RAND())</f>
        <v>0</v>
      </c>
      <c r="M2353" s="0" t="n">
        <f aca="true">CRITBINOM(MAX(0,J2353-K2353),1-Coefficients!$B$32,RAND())</f>
        <v>0</v>
      </c>
      <c r="N2353" s="0" t="n">
        <f aca="true">CRITBINOM(MAX(0,$C2353-J2353),MIN(0.6,Matchup!$C$40*SQRT($B2353)/(1-MIN(0.75,Matchup!$C$39*$B2353))),RAND())</f>
        <v>0</v>
      </c>
      <c r="O2353" s="0" t="n">
        <f aca="false">6*J2353+(J2353-K2353-M2353)+2*L2353+3*N2353</f>
        <v>28</v>
      </c>
      <c r="P2353" s="0" t="n">
        <f aca="true">RAND()</f>
        <v>0.209878719968034</v>
      </c>
      <c r="Q2353" s="0" t="n">
        <f aca="true">RAND()</f>
        <v>0.928903802147709</v>
      </c>
      <c r="R2353" s="0" t="n">
        <f aca="false">IF($I2353&lt;&gt;$O2353,0,IF(P2353&lt;Matchup!$B$39,7,IF(P2353&lt;Matchup!$B$39+Matchup!$B$40,3,0)))</f>
        <v>0</v>
      </c>
      <c r="S2353" s="0" t="n">
        <f aca="false">IF($I2353&lt;&gt;$O2353,0,IF(Q2353&lt;Matchup!$C$39,7,IF(Q2353&lt;Matchup!$C$39+Matchup!$C$40,3,0)))</f>
        <v>0</v>
      </c>
      <c r="T2353" s="0" t="n">
        <f aca="false">I2353+R2353</f>
        <v>25</v>
      </c>
      <c r="U2353" s="0" t="n">
        <f aca="false">O2353+S2353</f>
        <v>28</v>
      </c>
      <c r="V2353" s="0" t="n">
        <f aca="false">T2353-U2353</f>
        <v>-3</v>
      </c>
      <c r="W2353" s="0" t="n">
        <f aca="false">T2353+U2353</f>
        <v>53</v>
      </c>
    </row>
    <row r="2354" customFormat="false" ht="15" hidden="false" customHeight="false" outlineLevel="0" collapsed="false">
      <c r="A2354" s="0" t="n">
        <v>2351</v>
      </c>
      <c r="B2354" s="0" t="n">
        <f aca="true">NORMINV(RAND(),1,Coefficients!$B$22)</f>
        <v>1.03387901043906</v>
      </c>
      <c r="C2354" s="0" t="n">
        <f aca="true">MEDIAN(8,16,ROUND(NORMINV(RAND(),Coefficients!$B$20,Coefficients!$B$21),0))</f>
        <v>10</v>
      </c>
      <c r="D2354" s="0" t="n">
        <f aca="true">CRITBINOM($C2354,MIN(0.75,Matchup!$B$39*$B2354),RAND())</f>
        <v>2</v>
      </c>
      <c r="E2354" s="0" t="n">
        <f aca="true">CRITBINOM(D2354,Coefficients!$B$30,RAND())</f>
        <v>0</v>
      </c>
      <c r="F2354" s="0" t="n">
        <f aca="true">CRITBINOM(E2354,Coefficients!$B$31,RAND())</f>
        <v>0</v>
      </c>
      <c r="G2354" s="0" t="n">
        <f aca="true">CRITBINOM(MAX(0,D2354-E2354),1-Coefficients!$B$32,RAND())</f>
        <v>0</v>
      </c>
      <c r="H2354" s="0" t="n">
        <f aca="true">CRITBINOM(MAX(0,$C2354-D2354),MIN(0.6,Matchup!$B$40*SQRT($B2354)/(1-MIN(0.75,Matchup!$B$39*$B2354))),RAND())</f>
        <v>1</v>
      </c>
      <c r="I2354" s="0" t="n">
        <f aca="false">6*D2354+(D2354-E2354-G2354)+2*F2354+3*H2354</f>
        <v>17</v>
      </c>
      <c r="J2354" s="0" t="n">
        <f aca="true">CRITBINOM($C2354,MIN(0.75,Matchup!$C$39*$B2354),RAND())</f>
        <v>3</v>
      </c>
      <c r="K2354" s="0" t="n">
        <f aca="true">CRITBINOM(J2354,Coefficients!$B$30,RAND())</f>
        <v>1</v>
      </c>
      <c r="L2354" s="0" t="n">
        <f aca="true">CRITBINOM(K2354,Coefficients!$B$31,RAND())</f>
        <v>0</v>
      </c>
      <c r="M2354" s="0" t="n">
        <f aca="true">CRITBINOM(MAX(0,J2354-K2354),1-Coefficients!$B$32,RAND())</f>
        <v>0</v>
      </c>
      <c r="N2354" s="0" t="n">
        <f aca="true">CRITBINOM(MAX(0,$C2354-J2354),MIN(0.6,Matchup!$C$40*SQRT($B2354)/(1-MIN(0.75,Matchup!$C$39*$B2354))),RAND())</f>
        <v>3</v>
      </c>
      <c r="O2354" s="0" t="n">
        <f aca="false">6*J2354+(J2354-K2354-M2354)+2*L2354+3*N2354</f>
        <v>29</v>
      </c>
      <c r="P2354" s="0" t="n">
        <f aca="true">RAND()</f>
        <v>0.0432180061500439</v>
      </c>
      <c r="Q2354" s="0" t="n">
        <f aca="true">RAND()</f>
        <v>0.890446746481605</v>
      </c>
      <c r="R2354" s="0" t="n">
        <f aca="false">IF($I2354&lt;&gt;$O2354,0,IF(P2354&lt;Matchup!$B$39,7,IF(P2354&lt;Matchup!$B$39+Matchup!$B$40,3,0)))</f>
        <v>0</v>
      </c>
      <c r="S2354" s="0" t="n">
        <f aca="false">IF($I2354&lt;&gt;$O2354,0,IF(Q2354&lt;Matchup!$C$39,7,IF(Q2354&lt;Matchup!$C$39+Matchup!$C$40,3,0)))</f>
        <v>0</v>
      </c>
      <c r="T2354" s="0" t="n">
        <f aca="false">I2354+R2354</f>
        <v>17</v>
      </c>
      <c r="U2354" s="0" t="n">
        <f aca="false">O2354+S2354</f>
        <v>29</v>
      </c>
      <c r="V2354" s="0" t="n">
        <f aca="false">T2354-U2354</f>
        <v>-12</v>
      </c>
      <c r="W2354" s="0" t="n">
        <f aca="false">T2354+U2354</f>
        <v>46</v>
      </c>
    </row>
    <row r="2355" customFormat="false" ht="15" hidden="false" customHeight="false" outlineLevel="0" collapsed="false">
      <c r="A2355" s="0" t="n">
        <v>2352</v>
      </c>
      <c r="B2355" s="0" t="n">
        <f aca="true">NORMINV(RAND(),1,Coefficients!$B$22)</f>
        <v>1.13901672192917</v>
      </c>
      <c r="C2355" s="0" t="n">
        <f aca="true">MEDIAN(8,16,ROUND(NORMINV(RAND(),Coefficients!$B$20,Coefficients!$B$21),0))</f>
        <v>12</v>
      </c>
      <c r="D2355" s="0" t="n">
        <f aca="true">CRITBINOM($C2355,MIN(0.75,Matchup!$B$39*$B2355),RAND())</f>
        <v>4</v>
      </c>
      <c r="E2355" s="0" t="n">
        <f aca="true">CRITBINOM(D2355,Coefficients!$B$30,RAND())</f>
        <v>0</v>
      </c>
      <c r="F2355" s="0" t="n">
        <f aca="true">CRITBINOM(E2355,Coefficients!$B$31,RAND())</f>
        <v>0</v>
      </c>
      <c r="G2355" s="0" t="n">
        <f aca="true">CRITBINOM(MAX(0,D2355-E2355),1-Coefficients!$B$32,RAND())</f>
        <v>1</v>
      </c>
      <c r="H2355" s="0" t="n">
        <f aca="true">CRITBINOM(MAX(0,$C2355-D2355),MIN(0.6,Matchup!$B$40*SQRT($B2355)/(1-MIN(0.75,Matchup!$B$39*$B2355))),RAND())</f>
        <v>0</v>
      </c>
      <c r="I2355" s="0" t="n">
        <f aca="false">6*D2355+(D2355-E2355-G2355)+2*F2355+3*H2355</f>
        <v>27</v>
      </c>
      <c r="J2355" s="0" t="n">
        <f aca="true">CRITBINOM($C2355,MIN(0.75,Matchup!$C$39*$B2355),RAND())</f>
        <v>5</v>
      </c>
      <c r="K2355" s="0" t="n">
        <f aca="true">CRITBINOM(J2355,Coefficients!$B$30,RAND())</f>
        <v>1</v>
      </c>
      <c r="L2355" s="0" t="n">
        <f aca="true">CRITBINOM(K2355,Coefficients!$B$31,RAND())</f>
        <v>0</v>
      </c>
      <c r="M2355" s="0" t="n">
        <f aca="true">CRITBINOM(MAX(0,J2355-K2355),1-Coefficients!$B$32,RAND())</f>
        <v>0</v>
      </c>
      <c r="N2355" s="0" t="n">
        <f aca="true">CRITBINOM(MAX(0,$C2355-J2355),MIN(0.6,Matchup!$C$40*SQRT($B2355)/(1-MIN(0.75,Matchup!$C$39*$B2355))),RAND())</f>
        <v>2</v>
      </c>
      <c r="O2355" s="0" t="n">
        <f aca="false">6*J2355+(J2355-K2355-M2355)+2*L2355+3*N2355</f>
        <v>40</v>
      </c>
      <c r="P2355" s="0" t="n">
        <f aca="true">RAND()</f>
        <v>0.294101650449737</v>
      </c>
      <c r="Q2355" s="0" t="n">
        <f aca="true">RAND()</f>
        <v>0.818095586813431</v>
      </c>
      <c r="R2355" s="0" t="n">
        <f aca="false">IF($I2355&lt;&gt;$O2355,0,IF(P2355&lt;Matchup!$B$39,7,IF(P2355&lt;Matchup!$B$39+Matchup!$B$40,3,0)))</f>
        <v>0</v>
      </c>
      <c r="S2355" s="0" t="n">
        <f aca="false">IF($I2355&lt;&gt;$O2355,0,IF(Q2355&lt;Matchup!$C$39,7,IF(Q2355&lt;Matchup!$C$39+Matchup!$C$40,3,0)))</f>
        <v>0</v>
      </c>
      <c r="T2355" s="0" t="n">
        <f aca="false">I2355+R2355</f>
        <v>27</v>
      </c>
      <c r="U2355" s="0" t="n">
        <f aca="false">O2355+S2355</f>
        <v>40</v>
      </c>
      <c r="V2355" s="0" t="n">
        <f aca="false">T2355-U2355</f>
        <v>-13</v>
      </c>
      <c r="W2355" s="0" t="n">
        <f aca="false">T2355+U2355</f>
        <v>67</v>
      </c>
    </row>
    <row r="2356" customFormat="false" ht="15" hidden="false" customHeight="false" outlineLevel="0" collapsed="false">
      <c r="A2356" s="0" t="n">
        <v>2353</v>
      </c>
      <c r="B2356" s="0" t="n">
        <f aca="true">NORMINV(RAND(),1,Coefficients!$B$22)</f>
        <v>0.952305937942866</v>
      </c>
      <c r="C2356" s="0" t="n">
        <f aca="true">MEDIAN(8,16,ROUND(NORMINV(RAND(),Coefficients!$B$20,Coefficients!$B$21),0))</f>
        <v>12</v>
      </c>
      <c r="D2356" s="0" t="n">
        <f aca="true">CRITBINOM($C2356,MIN(0.75,Matchup!$B$39*$B2356),RAND())</f>
        <v>1</v>
      </c>
      <c r="E2356" s="0" t="n">
        <f aca="true">CRITBINOM(D2356,Coefficients!$B$30,RAND())</f>
        <v>0</v>
      </c>
      <c r="F2356" s="0" t="n">
        <f aca="true">CRITBINOM(E2356,Coefficients!$B$31,RAND())</f>
        <v>0</v>
      </c>
      <c r="G2356" s="0" t="n">
        <f aca="true">CRITBINOM(MAX(0,D2356-E2356),1-Coefficients!$B$32,RAND())</f>
        <v>0</v>
      </c>
      <c r="H2356" s="0" t="n">
        <f aca="true">CRITBINOM(MAX(0,$C2356-D2356),MIN(0.6,Matchup!$B$40*SQRT($B2356)/(1-MIN(0.75,Matchup!$B$39*$B2356))),RAND())</f>
        <v>2</v>
      </c>
      <c r="I2356" s="0" t="n">
        <f aca="false">6*D2356+(D2356-E2356-G2356)+2*F2356+3*H2356</f>
        <v>13</v>
      </c>
      <c r="J2356" s="0" t="n">
        <f aca="true">CRITBINOM($C2356,MIN(0.75,Matchup!$C$39*$B2356),RAND())</f>
        <v>2</v>
      </c>
      <c r="K2356" s="0" t="n">
        <f aca="true">CRITBINOM(J2356,Coefficients!$B$30,RAND())</f>
        <v>0</v>
      </c>
      <c r="L2356" s="0" t="n">
        <f aca="true">CRITBINOM(K2356,Coefficients!$B$31,RAND())</f>
        <v>0</v>
      </c>
      <c r="M2356" s="0" t="n">
        <f aca="true">CRITBINOM(MAX(0,J2356-K2356),1-Coefficients!$B$32,RAND())</f>
        <v>0</v>
      </c>
      <c r="N2356" s="0" t="n">
        <f aca="true">CRITBINOM(MAX(0,$C2356-J2356),MIN(0.6,Matchup!$C$40*SQRT($B2356)/(1-MIN(0.75,Matchup!$C$39*$B2356))),RAND())</f>
        <v>1</v>
      </c>
      <c r="O2356" s="0" t="n">
        <f aca="false">6*J2356+(J2356-K2356-M2356)+2*L2356+3*N2356</f>
        <v>17</v>
      </c>
      <c r="P2356" s="0" t="n">
        <f aca="true">RAND()</f>
        <v>0.634388121131237</v>
      </c>
      <c r="Q2356" s="0" t="n">
        <f aca="true">RAND()</f>
        <v>0.116571976937667</v>
      </c>
      <c r="R2356" s="0" t="n">
        <f aca="false">IF($I2356&lt;&gt;$O2356,0,IF(P2356&lt;Matchup!$B$39,7,IF(P2356&lt;Matchup!$B$39+Matchup!$B$40,3,0)))</f>
        <v>0</v>
      </c>
      <c r="S2356" s="0" t="n">
        <f aca="false">IF($I2356&lt;&gt;$O2356,0,IF(Q2356&lt;Matchup!$C$39,7,IF(Q2356&lt;Matchup!$C$39+Matchup!$C$40,3,0)))</f>
        <v>0</v>
      </c>
      <c r="T2356" s="0" t="n">
        <f aca="false">I2356+R2356</f>
        <v>13</v>
      </c>
      <c r="U2356" s="0" t="n">
        <f aca="false">O2356+S2356</f>
        <v>17</v>
      </c>
      <c r="V2356" s="0" t="n">
        <f aca="false">T2356-U2356</f>
        <v>-4</v>
      </c>
      <c r="W2356" s="0" t="n">
        <f aca="false">T2356+U2356</f>
        <v>30</v>
      </c>
    </row>
    <row r="2357" customFormat="false" ht="15" hidden="false" customHeight="false" outlineLevel="0" collapsed="false">
      <c r="A2357" s="0" t="n">
        <v>2354</v>
      </c>
      <c r="B2357" s="0" t="n">
        <f aca="true">NORMINV(RAND(),1,Coefficients!$B$22)</f>
        <v>1.01133996367041</v>
      </c>
      <c r="C2357" s="0" t="n">
        <f aca="true">MEDIAN(8,16,ROUND(NORMINV(RAND(),Coefficients!$B$20,Coefficients!$B$21),0))</f>
        <v>11</v>
      </c>
      <c r="D2357" s="0" t="n">
        <f aca="true">CRITBINOM($C2357,MIN(0.75,Matchup!$B$39*$B2357),RAND())</f>
        <v>2</v>
      </c>
      <c r="E2357" s="0" t="n">
        <f aca="true">CRITBINOM(D2357,Coefficients!$B$30,RAND())</f>
        <v>0</v>
      </c>
      <c r="F2357" s="0" t="n">
        <f aca="true">CRITBINOM(E2357,Coefficients!$B$31,RAND())</f>
        <v>0</v>
      </c>
      <c r="G2357" s="0" t="n">
        <f aca="true">CRITBINOM(MAX(0,D2357-E2357),1-Coefficients!$B$32,RAND())</f>
        <v>1</v>
      </c>
      <c r="H2357" s="0" t="n">
        <f aca="true">CRITBINOM(MAX(0,$C2357-D2357),MIN(0.6,Matchup!$B$40*SQRT($B2357)/(1-MIN(0.75,Matchup!$B$39*$B2357))),RAND())</f>
        <v>3</v>
      </c>
      <c r="I2357" s="0" t="n">
        <f aca="false">6*D2357+(D2357-E2357-G2357)+2*F2357+3*H2357</f>
        <v>22</v>
      </c>
      <c r="J2357" s="0" t="n">
        <f aca="true">CRITBINOM($C2357,MIN(0.75,Matchup!$C$39*$B2357),RAND())</f>
        <v>6</v>
      </c>
      <c r="K2357" s="0" t="n">
        <f aca="true">CRITBINOM(J2357,Coefficients!$B$30,RAND())</f>
        <v>0</v>
      </c>
      <c r="L2357" s="0" t="n">
        <f aca="true">CRITBINOM(K2357,Coefficients!$B$31,RAND())</f>
        <v>0</v>
      </c>
      <c r="M2357" s="0" t="n">
        <f aca="true">CRITBINOM(MAX(0,J2357-K2357),1-Coefficients!$B$32,RAND())</f>
        <v>0</v>
      </c>
      <c r="N2357" s="0" t="n">
        <f aca="true">CRITBINOM(MAX(0,$C2357-J2357),MIN(0.6,Matchup!$C$40*SQRT($B2357)/(1-MIN(0.75,Matchup!$C$39*$B2357))),RAND())</f>
        <v>2</v>
      </c>
      <c r="O2357" s="0" t="n">
        <f aca="false">6*J2357+(J2357-K2357-M2357)+2*L2357+3*N2357</f>
        <v>48</v>
      </c>
      <c r="P2357" s="0" t="n">
        <f aca="true">RAND()</f>
        <v>0.442037971924309</v>
      </c>
      <c r="Q2357" s="0" t="n">
        <f aca="true">RAND()</f>
        <v>0.384118406054608</v>
      </c>
      <c r="R2357" s="0" t="n">
        <f aca="false">IF($I2357&lt;&gt;$O2357,0,IF(P2357&lt;Matchup!$B$39,7,IF(P2357&lt;Matchup!$B$39+Matchup!$B$40,3,0)))</f>
        <v>0</v>
      </c>
      <c r="S2357" s="0" t="n">
        <f aca="false">IF($I2357&lt;&gt;$O2357,0,IF(Q2357&lt;Matchup!$C$39,7,IF(Q2357&lt;Matchup!$C$39+Matchup!$C$40,3,0)))</f>
        <v>0</v>
      </c>
      <c r="T2357" s="0" t="n">
        <f aca="false">I2357+R2357</f>
        <v>22</v>
      </c>
      <c r="U2357" s="0" t="n">
        <f aca="false">O2357+S2357</f>
        <v>48</v>
      </c>
      <c r="V2357" s="0" t="n">
        <f aca="false">T2357-U2357</f>
        <v>-26</v>
      </c>
      <c r="W2357" s="0" t="n">
        <f aca="false">T2357+U2357</f>
        <v>70</v>
      </c>
    </row>
    <row r="2358" customFormat="false" ht="15" hidden="false" customHeight="false" outlineLevel="0" collapsed="false">
      <c r="A2358" s="0" t="n">
        <v>2355</v>
      </c>
      <c r="B2358" s="0" t="n">
        <f aca="true">NORMINV(RAND(),1,Coefficients!$B$22)</f>
        <v>0.99493755134999</v>
      </c>
      <c r="C2358" s="0" t="n">
        <f aca="true">MEDIAN(8,16,ROUND(NORMINV(RAND(),Coefficients!$B$20,Coefficients!$B$21),0))</f>
        <v>11</v>
      </c>
      <c r="D2358" s="0" t="n">
        <f aca="true">CRITBINOM($C2358,MIN(0.75,Matchup!$B$39*$B2358),RAND())</f>
        <v>4</v>
      </c>
      <c r="E2358" s="0" t="n">
        <f aca="true">CRITBINOM(D2358,Coefficients!$B$30,RAND())</f>
        <v>1</v>
      </c>
      <c r="F2358" s="0" t="n">
        <f aca="true">CRITBINOM(E2358,Coefficients!$B$31,RAND())</f>
        <v>0</v>
      </c>
      <c r="G2358" s="0" t="n">
        <f aca="true">CRITBINOM(MAX(0,D2358-E2358),1-Coefficients!$B$32,RAND())</f>
        <v>0</v>
      </c>
      <c r="H2358" s="0" t="n">
        <f aca="true">CRITBINOM(MAX(0,$C2358-D2358),MIN(0.6,Matchup!$B$40*SQRT($B2358)/(1-MIN(0.75,Matchup!$B$39*$B2358))),RAND())</f>
        <v>1</v>
      </c>
      <c r="I2358" s="0" t="n">
        <f aca="false">6*D2358+(D2358-E2358-G2358)+2*F2358+3*H2358</f>
        <v>30</v>
      </c>
      <c r="J2358" s="0" t="n">
        <f aca="true">CRITBINOM($C2358,MIN(0.75,Matchup!$C$39*$B2358),RAND())</f>
        <v>4</v>
      </c>
      <c r="K2358" s="0" t="n">
        <f aca="true">CRITBINOM(J2358,Coefficients!$B$30,RAND())</f>
        <v>1</v>
      </c>
      <c r="L2358" s="0" t="n">
        <f aca="true">CRITBINOM(K2358,Coefficients!$B$31,RAND())</f>
        <v>1</v>
      </c>
      <c r="M2358" s="0" t="n">
        <f aca="true">CRITBINOM(MAX(0,J2358-K2358),1-Coefficients!$B$32,RAND())</f>
        <v>0</v>
      </c>
      <c r="N2358" s="0" t="n">
        <f aca="true">CRITBINOM(MAX(0,$C2358-J2358),MIN(0.6,Matchup!$C$40*SQRT($B2358)/(1-MIN(0.75,Matchup!$C$39*$B2358))),RAND())</f>
        <v>2</v>
      </c>
      <c r="O2358" s="0" t="n">
        <f aca="false">6*J2358+(J2358-K2358-M2358)+2*L2358+3*N2358</f>
        <v>35</v>
      </c>
      <c r="P2358" s="0" t="n">
        <f aca="true">RAND()</f>
        <v>0.103986983202798</v>
      </c>
      <c r="Q2358" s="0" t="n">
        <f aca="true">RAND()</f>
        <v>0.321124413448645</v>
      </c>
      <c r="R2358" s="0" t="n">
        <f aca="false">IF($I2358&lt;&gt;$O2358,0,IF(P2358&lt;Matchup!$B$39,7,IF(P2358&lt;Matchup!$B$39+Matchup!$B$40,3,0)))</f>
        <v>0</v>
      </c>
      <c r="S2358" s="0" t="n">
        <f aca="false">IF($I2358&lt;&gt;$O2358,0,IF(Q2358&lt;Matchup!$C$39,7,IF(Q2358&lt;Matchup!$C$39+Matchup!$C$40,3,0)))</f>
        <v>0</v>
      </c>
      <c r="T2358" s="0" t="n">
        <f aca="false">I2358+R2358</f>
        <v>30</v>
      </c>
      <c r="U2358" s="0" t="n">
        <f aca="false">O2358+S2358</f>
        <v>35</v>
      </c>
      <c r="V2358" s="0" t="n">
        <f aca="false">T2358-U2358</f>
        <v>-5</v>
      </c>
      <c r="W2358" s="0" t="n">
        <f aca="false">T2358+U2358</f>
        <v>65</v>
      </c>
    </row>
    <row r="2359" customFormat="false" ht="15" hidden="false" customHeight="false" outlineLevel="0" collapsed="false">
      <c r="A2359" s="0" t="n">
        <v>2356</v>
      </c>
      <c r="B2359" s="0" t="n">
        <f aca="true">NORMINV(RAND(),1,Coefficients!$B$22)</f>
        <v>1.05220220255164</v>
      </c>
      <c r="C2359" s="0" t="n">
        <f aca="true">MEDIAN(8,16,ROUND(NORMINV(RAND(),Coefficients!$B$20,Coefficients!$B$21),0))</f>
        <v>11</v>
      </c>
      <c r="D2359" s="0" t="n">
        <f aca="true">CRITBINOM($C2359,MIN(0.75,Matchup!$B$39*$B2359),RAND())</f>
        <v>4</v>
      </c>
      <c r="E2359" s="0" t="n">
        <f aca="true">CRITBINOM(D2359,Coefficients!$B$30,RAND())</f>
        <v>0</v>
      </c>
      <c r="F2359" s="0" t="n">
        <f aca="true">CRITBINOM(E2359,Coefficients!$B$31,RAND())</f>
        <v>0</v>
      </c>
      <c r="G2359" s="0" t="n">
        <f aca="true">CRITBINOM(MAX(0,D2359-E2359),1-Coefficients!$B$32,RAND())</f>
        <v>0</v>
      </c>
      <c r="H2359" s="0" t="n">
        <f aca="true">CRITBINOM(MAX(0,$C2359-D2359),MIN(0.6,Matchup!$B$40*SQRT($B2359)/(1-MIN(0.75,Matchup!$B$39*$B2359))),RAND())</f>
        <v>3</v>
      </c>
      <c r="I2359" s="0" t="n">
        <f aca="false">6*D2359+(D2359-E2359-G2359)+2*F2359+3*H2359</f>
        <v>37</v>
      </c>
      <c r="J2359" s="0" t="n">
        <f aca="true">CRITBINOM($C2359,MIN(0.75,Matchup!$C$39*$B2359),RAND())</f>
        <v>3</v>
      </c>
      <c r="K2359" s="0" t="n">
        <f aca="true">CRITBINOM(J2359,Coefficients!$B$30,RAND())</f>
        <v>0</v>
      </c>
      <c r="L2359" s="0" t="n">
        <f aca="true">CRITBINOM(K2359,Coefficients!$B$31,RAND())</f>
        <v>0</v>
      </c>
      <c r="M2359" s="0" t="n">
        <f aca="true">CRITBINOM(MAX(0,J2359-K2359),1-Coefficients!$B$32,RAND())</f>
        <v>0</v>
      </c>
      <c r="N2359" s="0" t="n">
        <f aca="true">CRITBINOM(MAX(0,$C2359-J2359),MIN(0.6,Matchup!$C$40*SQRT($B2359)/(1-MIN(0.75,Matchup!$C$39*$B2359))),RAND())</f>
        <v>2</v>
      </c>
      <c r="O2359" s="0" t="n">
        <f aca="false">6*J2359+(J2359-K2359-M2359)+2*L2359+3*N2359</f>
        <v>27</v>
      </c>
      <c r="P2359" s="0" t="n">
        <f aca="true">RAND()</f>
        <v>0.183799958294168</v>
      </c>
      <c r="Q2359" s="0" t="n">
        <f aca="true">RAND()</f>
        <v>0.189761096524466</v>
      </c>
      <c r="R2359" s="0" t="n">
        <f aca="false">IF($I2359&lt;&gt;$O2359,0,IF(P2359&lt;Matchup!$B$39,7,IF(P2359&lt;Matchup!$B$39+Matchup!$B$40,3,0)))</f>
        <v>0</v>
      </c>
      <c r="S2359" s="0" t="n">
        <f aca="false">IF($I2359&lt;&gt;$O2359,0,IF(Q2359&lt;Matchup!$C$39,7,IF(Q2359&lt;Matchup!$C$39+Matchup!$C$40,3,0)))</f>
        <v>0</v>
      </c>
      <c r="T2359" s="0" t="n">
        <f aca="false">I2359+R2359</f>
        <v>37</v>
      </c>
      <c r="U2359" s="0" t="n">
        <f aca="false">O2359+S2359</f>
        <v>27</v>
      </c>
      <c r="V2359" s="0" t="n">
        <f aca="false">T2359-U2359</f>
        <v>10</v>
      </c>
      <c r="W2359" s="0" t="n">
        <f aca="false">T2359+U2359</f>
        <v>64</v>
      </c>
    </row>
    <row r="2360" customFormat="false" ht="15" hidden="false" customHeight="false" outlineLevel="0" collapsed="false">
      <c r="A2360" s="0" t="n">
        <v>2357</v>
      </c>
      <c r="B2360" s="0" t="n">
        <f aca="true">NORMINV(RAND(),1,Coefficients!$B$22)</f>
        <v>1.0223513612898</v>
      </c>
      <c r="C2360" s="0" t="n">
        <f aca="true">MEDIAN(8,16,ROUND(NORMINV(RAND(),Coefficients!$B$20,Coefficients!$B$21),0))</f>
        <v>9</v>
      </c>
      <c r="D2360" s="0" t="n">
        <f aca="true">CRITBINOM($C2360,MIN(0.75,Matchup!$B$39*$B2360),RAND())</f>
        <v>5</v>
      </c>
      <c r="E2360" s="0" t="n">
        <f aca="true">CRITBINOM(D2360,Coefficients!$B$30,RAND())</f>
        <v>1</v>
      </c>
      <c r="F2360" s="0" t="n">
        <f aca="true">CRITBINOM(E2360,Coefficients!$B$31,RAND())</f>
        <v>1</v>
      </c>
      <c r="G2360" s="0" t="n">
        <f aca="true">CRITBINOM(MAX(0,D2360-E2360),1-Coefficients!$B$32,RAND())</f>
        <v>0</v>
      </c>
      <c r="H2360" s="0" t="n">
        <f aca="true">CRITBINOM(MAX(0,$C2360-D2360),MIN(0.6,Matchup!$B$40*SQRT($B2360)/(1-MIN(0.75,Matchup!$B$39*$B2360))),RAND())</f>
        <v>1</v>
      </c>
      <c r="I2360" s="0" t="n">
        <f aca="false">6*D2360+(D2360-E2360-G2360)+2*F2360+3*H2360</f>
        <v>39</v>
      </c>
      <c r="J2360" s="0" t="n">
        <f aca="true">CRITBINOM($C2360,MIN(0.75,Matchup!$C$39*$B2360),RAND())</f>
        <v>4</v>
      </c>
      <c r="K2360" s="0" t="n">
        <f aca="true">CRITBINOM(J2360,Coefficients!$B$30,RAND())</f>
        <v>1</v>
      </c>
      <c r="L2360" s="0" t="n">
        <f aca="true">CRITBINOM(K2360,Coefficients!$B$31,RAND())</f>
        <v>0</v>
      </c>
      <c r="M2360" s="0" t="n">
        <f aca="true">CRITBINOM(MAX(0,J2360-K2360),1-Coefficients!$B$32,RAND())</f>
        <v>0</v>
      </c>
      <c r="N2360" s="0" t="n">
        <f aca="true">CRITBINOM(MAX(0,$C2360-J2360),MIN(0.6,Matchup!$C$40*SQRT($B2360)/(1-MIN(0.75,Matchup!$C$39*$B2360))),RAND())</f>
        <v>0</v>
      </c>
      <c r="O2360" s="0" t="n">
        <f aca="false">6*J2360+(J2360-K2360-M2360)+2*L2360+3*N2360</f>
        <v>27</v>
      </c>
      <c r="P2360" s="0" t="n">
        <f aca="true">RAND()</f>
        <v>0.84919765402375</v>
      </c>
      <c r="Q2360" s="0" t="n">
        <f aca="true">RAND()</f>
        <v>0.144885421465336</v>
      </c>
      <c r="R2360" s="0" t="n">
        <f aca="false">IF($I2360&lt;&gt;$O2360,0,IF(P2360&lt;Matchup!$B$39,7,IF(P2360&lt;Matchup!$B$39+Matchup!$B$40,3,0)))</f>
        <v>0</v>
      </c>
      <c r="S2360" s="0" t="n">
        <f aca="false">IF($I2360&lt;&gt;$O2360,0,IF(Q2360&lt;Matchup!$C$39,7,IF(Q2360&lt;Matchup!$C$39+Matchup!$C$40,3,0)))</f>
        <v>0</v>
      </c>
      <c r="T2360" s="0" t="n">
        <f aca="false">I2360+R2360</f>
        <v>39</v>
      </c>
      <c r="U2360" s="0" t="n">
        <f aca="false">O2360+S2360</f>
        <v>27</v>
      </c>
      <c r="V2360" s="0" t="n">
        <f aca="false">T2360-U2360</f>
        <v>12</v>
      </c>
      <c r="W2360" s="0" t="n">
        <f aca="false">T2360+U2360</f>
        <v>66</v>
      </c>
    </row>
    <row r="2361" customFormat="false" ht="15" hidden="false" customHeight="false" outlineLevel="0" collapsed="false">
      <c r="A2361" s="0" t="n">
        <v>2358</v>
      </c>
      <c r="B2361" s="0" t="n">
        <f aca="true">NORMINV(RAND(),1,Coefficients!$B$22)</f>
        <v>1.01705583551493</v>
      </c>
      <c r="C2361" s="0" t="n">
        <f aca="true">MEDIAN(8,16,ROUND(NORMINV(RAND(),Coefficients!$B$20,Coefficients!$B$21),0))</f>
        <v>13</v>
      </c>
      <c r="D2361" s="0" t="n">
        <f aca="true">CRITBINOM($C2361,MIN(0.75,Matchup!$B$39*$B2361),RAND())</f>
        <v>2</v>
      </c>
      <c r="E2361" s="0" t="n">
        <f aca="true">CRITBINOM(D2361,Coefficients!$B$30,RAND())</f>
        <v>0</v>
      </c>
      <c r="F2361" s="0" t="n">
        <f aca="true">CRITBINOM(E2361,Coefficients!$B$31,RAND())</f>
        <v>0</v>
      </c>
      <c r="G2361" s="0" t="n">
        <f aca="true">CRITBINOM(MAX(0,D2361-E2361),1-Coefficients!$B$32,RAND())</f>
        <v>1</v>
      </c>
      <c r="H2361" s="0" t="n">
        <f aca="true">CRITBINOM(MAX(0,$C2361-D2361),MIN(0.6,Matchup!$B$40*SQRT($B2361)/(1-MIN(0.75,Matchup!$B$39*$B2361))),RAND())</f>
        <v>2</v>
      </c>
      <c r="I2361" s="0" t="n">
        <f aca="false">6*D2361+(D2361-E2361-G2361)+2*F2361+3*H2361</f>
        <v>19</v>
      </c>
      <c r="J2361" s="0" t="n">
        <f aca="true">CRITBINOM($C2361,MIN(0.75,Matchup!$C$39*$B2361),RAND())</f>
        <v>3</v>
      </c>
      <c r="K2361" s="0" t="n">
        <f aca="true">CRITBINOM(J2361,Coefficients!$B$30,RAND())</f>
        <v>0</v>
      </c>
      <c r="L2361" s="0" t="n">
        <f aca="true">CRITBINOM(K2361,Coefficients!$B$31,RAND())</f>
        <v>0</v>
      </c>
      <c r="M2361" s="0" t="n">
        <f aca="true">CRITBINOM(MAX(0,J2361-K2361),1-Coefficients!$B$32,RAND())</f>
        <v>0</v>
      </c>
      <c r="N2361" s="0" t="n">
        <f aca="true">CRITBINOM(MAX(0,$C2361-J2361),MIN(0.6,Matchup!$C$40*SQRT($B2361)/(1-MIN(0.75,Matchup!$C$39*$B2361))),RAND())</f>
        <v>3</v>
      </c>
      <c r="O2361" s="0" t="n">
        <f aca="false">6*J2361+(J2361-K2361-M2361)+2*L2361+3*N2361</f>
        <v>30</v>
      </c>
      <c r="P2361" s="0" t="n">
        <f aca="true">RAND()</f>
        <v>0.945625870244447</v>
      </c>
      <c r="Q2361" s="0" t="n">
        <f aca="true">RAND()</f>
        <v>0.769238052316487</v>
      </c>
      <c r="R2361" s="0" t="n">
        <f aca="false">IF($I2361&lt;&gt;$O2361,0,IF(P2361&lt;Matchup!$B$39,7,IF(P2361&lt;Matchup!$B$39+Matchup!$B$40,3,0)))</f>
        <v>0</v>
      </c>
      <c r="S2361" s="0" t="n">
        <f aca="false">IF($I2361&lt;&gt;$O2361,0,IF(Q2361&lt;Matchup!$C$39,7,IF(Q2361&lt;Matchup!$C$39+Matchup!$C$40,3,0)))</f>
        <v>0</v>
      </c>
      <c r="T2361" s="0" t="n">
        <f aca="false">I2361+R2361</f>
        <v>19</v>
      </c>
      <c r="U2361" s="0" t="n">
        <f aca="false">O2361+S2361</f>
        <v>30</v>
      </c>
      <c r="V2361" s="0" t="n">
        <f aca="false">T2361-U2361</f>
        <v>-11</v>
      </c>
      <c r="W2361" s="0" t="n">
        <f aca="false">T2361+U2361</f>
        <v>49</v>
      </c>
    </row>
    <row r="2362" customFormat="false" ht="15" hidden="false" customHeight="false" outlineLevel="0" collapsed="false">
      <c r="A2362" s="0" t="n">
        <v>2359</v>
      </c>
      <c r="B2362" s="0" t="n">
        <f aca="true">NORMINV(RAND(),1,Coefficients!$B$22)</f>
        <v>0.94601737598859</v>
      </c>
      <c r="C2362" s="0" t="n">
        <f aca="true">MEDIAN(8,16,ROUND(NORMINV(RAND(),Coefficients!$B$20,Coefficients!$B$21),0))</f>
        <v>11</v>
      </c>
      <c r="D2362" s="0" t="n">
        <f aca="true">CRITBINOM($C2362,MIN(0.75,Matchup!$B$39*$B2362),RAND())</f>
        <v>1</v>
      </c>
      <c r="E2362" s="0" t="n">
        <f aca="true">CRITBINOM(D2362,Coefficients!$B$30,RAND())</f>
        <v>0</v>
      </c>
      <c r="F2362" s="0" t="n">
        <f aca="true">CRITBINOM(E2362,Coefficients!$B$31,RAND())</f>
        <v>0</v>
      </c>
      <c r="G2362" s="0" t="n">
        <f aca="true">CRITBINOM(MAX(0,D2362-E2362),1-Coefficients!$B$32,RAND())</f>
        <v>0</v>
      </c>
      <c r="H2362" s="0" t="n">
        <f aca="true">CRITBINOM(MAX(0,$C2362-D2362),MIN(0.6,Matchup!$B$40*SQRT($B2362)/(1-MIN(0.75,Matchup!$B$39*$B2362))),RAND())</f>
        <v>2</v>
      </c>
      <c r="I2362" s="0" t="n">
        <f aca="false">6*D2362+(D2362-E2362-G2362)+2*F2362+3*H2362</f>
        <v>13</v>
      </c>
      <c r="J2362" s="0" t="n">
        <f aca="true">CRITBINOM($C2362,MIN(0.75,Matchup!$C$39*$B2362),RAND())</f>
        <v>3</v>
      </c>
      <c r="K2362" s="0" t="n">
        <f aca="true">CRITBINOM(J2362,Coefficients!$B$30,RAND())</f>
        <v>1</v>
      </c>
      <c r="L2362" s="0" t="n">
        <f aca="true">CRITBINOM(K2362,Coefficients!$B$31,RAND())</f>
        <v>1</v>
      </c>
      <c r="M2362" s="0" t="n">
        <f aca="true">CRITBINOM(MAX(0,J2362-K2362),1-Coefficients!$B$32,RAND())</f>
        <v>0</v>
      </c>
      <c r="N2362" s="0" t="n">
        <f aca="true">CRITBINOM(MAX(0,$C2362-J2362),MIN(0.6,Matchup!$C$40*SQRT($B2362)/(1-MIN(0.75,Matchup!$C$39*$B2362))),RAND())</f>
        <v>1</v>
      </c>
      <c r="O2362" s="0" t="n">
        <f aca="false">6*J2362+(J2362-K2362-M2362)+2*L2362+3*N2362</f>
        <v>25</v>
      </c>
      <c r="P2362" s="0" t="n">
        <f aca="true">RAND()</f>
        <v>0.579393023158994</v>
      </c>
      <c r="Q2362" s="0" t="n">
        <f aca="true">RAND()</f>
        <v>0.520239732369861</v>
      </c>
      <c r="R2362" s="0" t="n">
        <f aca="false">IF($I2362&lt;&gt;$O2362,0,IF(P2362&lt;Matchup!$B$39,7,IF(P2362&lt;Matchup!$B$39+Matchup!$B$40,3,0)))</f>
        <v>0</v>
      </c>
      <c r="S2362" s="0" t="n">
        <f aca="false">IF($I2362&lt;&gt;$O2362,0,IF(Q2362&lt;Matchup!$C$39,7,IF(Q2362&lt;Matchup!$C$39+Matchup!$C$40,3,0)))</f>
        <v>0</v>
      </c>
      <c r="T2362" s="0" t="n">
        <f aca="false">I2362+R2362</f>
        <v>13</v>
      </c>
      <c r="U2362" s="0" t="n">
        <f aca="false">O2362+S2362</f>
        <v>25</v>
      </c>
      <c r="V2362" s="0" t="n">
        <f aca="false">T2362-U2362</f>
        <v>-12</v>
      </c>
      <c r="W2362" s="0" t="n">
        <f aca="false">T2362+U2362</f>
        <v>38</v>
      </c>
    </row>
    <row r="2363" customFormat="false" ht="15" hidden="false" customHeight="false" outlineLevel="0" collapsed="false">
      <c r="A2363" s="0" t="n">
        <v>2360</v>
      </c>
      <c r="B2363" s="0" t="n">
        <f aca="true">NORMINV(RAND(),1,Coefficients!$B$22)</f>
        <v>0.911647554893356</v>
      </c>
      <c r="C2363" s="0" t="n">
        <f aca="true">MEDIAN(8,16,ROUND(NORMINV(RAND(),Coefficients!$B$20,Coefficients!$B$21),0))</f>
        <v>11</v>
      </c>
      <c r="D2363" s="0" t="n">
        <f aca="true">CRITBINOM($C2363,MIN(0.75,Matchup!$B$39*$B2363),RAND())</f>
        <v>3</v>
      </c>
      <c r="E2363" s="0" t="n">
        <f aca="true">CRITBINOM(D2363,Coefficients!$B$30,RAND())</f>
        <v>0</v>
      </c>
      <c r="F2363" s="0" t="n">
        <f aca="true">CRITBINOM(E2363,Coefficients!$B$31,RAND())</f>
        <v>0</v>
      </c>
      <c r="G2363" s="0" t="n">
        <f aca="true">CRITBINOM(MAX(0,D2363-E2363),1-Coefficients!$B$32,RAND())</f>
        <v>0</v>
      </c>
      <c r="H2363" s="0" t="n">
        <f aca="true">CRITBINOM(MAX(0,$C2363-D2363),MIN(0.6,Matchup!$B$40*SQRT($B2363)/(1-MIN(0.75,Matchup!$B$39*$B2363))),RAND())</f>
        <v>1</v>
      </c>
      <c r="I2363" s="0" t="n">
        <f aca="false">6*D2363+(D2363-E2363-G2363)+2*F2363+3*H2363</f>
        <v>24</v>
      </c>
      <c r="J2363" s="0" t="n">
        <f aca="true">CRITBINOM($C2363,MIN(0.75,Matchup!$C$39*$B2363),RAND())</f>
        <v>2</v>
      </c>
      <c r="K2363" s="0" t="n">
        <f aca="true">CRITBINOM(J2363,Coefficients!$B$30,RAND())</f>
        <v>0</v>
      </c>
      <c r="L2363" s="0" t="n">
        <f aca="true">CRITBINOM(K2363,Coefficients!$B$31,RAND())</f>
        <v>0</v>
      </c>
      <c r="M2363" s="0" t="n">
        <f aca="true">CRITBINOM(MAX(0,J2363-K2363),1-Coefficients!$B$32,RAND())</f>
        <v>1</v>
      </c>
      <c r="N2363" s="0" t="n">
        <f aca="true">CRITBINOM(MAX(0,$C2363-J2363),MIN(0.6,Matchup!$C$40*SQRT($B2363)/(1-MIN(0.75,Matchup!$C$39*$B2363))),RAND())</f>
        <v>2</v>
      </c>
      <c r="O2363" s="0" t="n">
        <f aca="false">6*J2363+(J2363-K2363-M2363)+2*L2363+3*N2363</f>
        <v>19</v>
      </c>
      <c r="P2363" s="0" t="n">
        <f aca="true">RAND()</f>
        <v>0.897152862607099</v>
      </c>
      <c r="Q2363" s="0" t="n">
        <f aca="true">RAND()</f>
        <v>0.875633484948419</v>
      </c>
      <c r="R2363" s="0" t="n">
        <f aca="false">IF($I2363&lt;&gt;$O2363,0,IF(P2363&lt;Matchup!$B$39,7,IF(P2363&lt;Matchup!$B$39+Matchup!$B$40,3,0)))</f>
        <v>0</v>
      </c>
      <c r="S2363" s="0" t="n">
        <f aca="false">IF($I2363&lt;&gt;$O2363,0,IF(Q2363&lt;Matchup!$C$39,7,IF(Q2363&lt;Matchup!$C$39+Matchup!$C$40,3,0)))</f>
        <v>0</v>
      </c>
      <c r="T2363" s="0" t="n">
        <f aca="false">I2363+R2363</f>
        <v>24</v>
      </c>
      <c r="U2363" s="0" t="n">
        <f aca="false">O2363+S2363</f>
        <v>19</v>
      </c>
      <c r="V2363" s="0" t="n">
        <f aca="false">T2363-U2363</f>
        <v>5</v>
      </c>
      <c r="W2363" s="0" t="n">
        <f aca="false">T2363+U2363</f>
        <v>43</v>
      </c>
    </row>
    <row r="2364" customFormat="false" ht="15" hidden="false" customHeight="false" outlineLevel="0" collapsed="false">
      <c r="A2364" s="0" t="n">
        <v>2361</v>
      </c>
      <c r="B2364" s="0" t="n">
        <f aca="true">NORMINV(RAND(),1,Coefficients!$B$22)</f>
        <v>1.00913658954585</v>
      </c>
      <c r="C2364" s="0" t="n">
        <f aca="true">MEDIAN(8,16,ROUND(NORMINV(RAND(),Coefficients!$B$20,Coefficients!$B$21),0))</f>
        <v>11</v>
      </c>
      <c r="D2364" s="0" t="n">
        <f aca="true">CRITBINOM($C2364,MIN(0.75,Matchup!$B$39*$B2364),RAND())</f>
        <v>3</v>
      </c>
      <c r="E2364" s="0" t="n">
        <f aca="true">CRITBINOM(D2364,Coefficients!$B$30,RAND())</f>
        <v>0</v>
      </c>
      <c r="F2364" s="0" t="n">
        <f aca="true">CRITBINOM(E2364,Coefficients!$B$31,RAND())</f>
        <v>0</v>
      </c>
      <c r="G2364" s="0" t="n">
        <f aca="true">CRITBINOM(MAX(0,D2364-E2364),1-Coefficients!$B$32,RAND())</f>
        <v>0</v>
      </c>
      <c r="H2364" s="0" t="n">
        <f aca="true">CRITBINOM(MAX(0,$C2364-D2364),MIN(0.6,Matchup!$B$40*SQRT($B2364)/(1-MIN(0.75,Matchup!$B$39*$B2364))),RAND())</f>
        <v>1</v>
      </c>
      <c r="I2364" s="0" t="n">
        <f aca="false">6*D2364+(D2364-E2364-G2364)+2*F2364+3*H2364</f>
        <v>24</v>
      </c>
      <c r="J2364" s="0" t="n">
        <f aca="true">CRITBINOM($C2364,MIN(0.75,Matchup!$C$39*$B2364),RAND())</f>
        <v>5</v>
      </c>
      <c r="K2364" s="0" t="n">
        <f aca="true">CRITBINOM(J2364,Coefficients!$B$30,RAND())</f>
        <v>2</v>
      </c>
      <c r="L2364" s="0" t="n">
        <f aca="true">CRITBINOM(K2364,Coefficients!$B$31,RAND())</f>
        <v>0</v>
      </c>
      <c r="M2364" s="0" t="n">
        <f aca="true">CRITBINOM(MAX(0,J2364-K2364),1-Coefficients!$B$32,RAND())</f>
        <v>0</v>
      </c>
      <c r="N2364" s="0" t="n">
        <f aca="true">CRITBINOM(MAX(0,$C2364-J2364),MIN(0.6,Matchup!$C$40*SQRT($B2364)/(1-MIN(0.75,Matchup!$C$39*$B2364))),RAND())</f>
        <v>0</v>
      </c>
      <c r="O2364" s="0" t="n">
        <f aca="false">6*J2364+(J2364-K2364-M2364)+2*L2364+3*N2364</f>
        <v>33</v>
      </c>
      <c r="P2364" s="0" t="n">
        <f aca="true">RAND()</f>
        <v>0.204029493061989</v>
      </c>
      <c r="Q2364" s="0" t="n">
        <f aca="true">RAND()</f>
        <v>0.0989124719659947</v>
      </c>
      <c r="R2364" s="0" t="n">
        <f aca="false">IF($I2364&lt;&gt;$O2364,0,IF(P2364&lt;Matchup!$B$39,7,IF(P2364&lt;Matchup!$B$39+Matchup!$B$40,3,0)))</f>
        <v>0</v>
      </c>
      <c r="S2364" s="0" t="n">
        <f aca="false">IF($I2364&lt;&gt;$O2364,0,IF(Q2364&lt;Matchup!$C$39,7,IF(Q2364&lt;Matchup!$C$39+Matchup!$C$40,3,0)))</f>
        <v>0</v>
      </c>
      <c r="T2364" s="0" t="n">
        <f aca="false">I2364+R2364</f>
        <v>24</v>
      </c>
      <c r="U2364" s="0" t="n">
        <f aca="false">O2364+S2364</f>
        <v>33</v>
      </c>
      <c r="V2364" s="0" t="n">
        <f aca="false">T2364-U2364</f>
        <v>-9</v>
      </c>
      <c r="W2364" s="0" t="n">
        <f aca="false">T2364+U2364</f>
        <v>57</v>
      </c>
    </row>
    <row r="2365" customFormat="false" ht="15" hidden="false" customHeight="false" outlineLevel="0" collapsed="false">
      <c r="A2365" s="0" t="n">
        <v>2362</v>
      </c>
      <c r="B2365" s="0" t="n">
        <f aca="true">NORMINV(RAND(),1,Coefficients!$B$22)</f>
        <v>1.0332584825208</v>
      </c>
      <c r="C2365" s="0" t="n">
        <f aca="true">MEDIAN(8,16,ROUND(NORMINV(RAND(),Coefficients!$B$20,Coefficients!$B$21),0))</f>
        <v>9</v>
      </c>
      <c r="D2365" s="0" t="n">
        <f aca="true">CRITBINOM($C2365,MIN(0.75,Matchup!$B$39*$B2365),RAND())</f>
        <v>5</v>
      </c>
      <c r="E2365" s="0" t="n">
        <f aca="true">CRITBINOM(D2365,Coefficients!$B$30,RAND())</f>
        <v>1</v>
      </c>
      <c r="F2365" s="0" t="n">
        <f aca="true">CRITBINOM(E2365,Coefficients!$B$31,RAND())</f>
        <v>0</v>
      </c>
      <c r="G2365" s="0" t="n">
        <f aca="true">CRITBINOM(MAX(0,D2365-E2365),1-Coefficients!$B$32,RAND())</f>
        <v>0</v>
      </c>
      <c r="H2365" s="0" t="n">
        <f aca="true">CRITBINOM(MAX(0,$C2365-D2365),MIN(0.6,Matchup!$B$40*SQRT($B2365)/(1-MIN(0.75,Matchup!$B$39*$B2365))),RAND())</f>
        <v>1</v>
      </c>
      <c r="I2365" s="0" t="n">
        <f aca="false">6*D2365+(D2365-E2365-G2365)+2*F2365+3*H2365</f>
        <v>37</v>
      </c>
      <c r="J2365" s="0" t="n">
        <f aca="true">CRITBINOM($C2365,MIN(0.75,Matchup!$C$39*$B2365),RAND())</f>
        <v>3</v>
      </c>
      <c r="K2365" s="0" t="n">
        <f aca="true">CRITBINOM(J2365,Coefficients!$B$30,RAND())</f>
        <v>1</v>
      </c>
      <c r="L2365" s="0" t="n">
        <f aca="true">CRITBINOM(K2365,Coefficients!$B$31,RAND())</f>
        <v>0</v>
      </c>
      <c r="M2365" s="0" t="n">
        <f aca="true">CRITBINOM(MAX(0,J2365-K2365),1-Coefficients!$B$32,RAND())</f>
        <v>0</v>
      </c>
      <c r="N2365" s="0" t="n">
        <f aca="true">CRITBINOM(MAX(0,$C2365-J2365),MIN(0.6,Matchup!$C$40*SQRT($B2365)/(1-MIN(0.75,Matchup!$C$39*$B2365))),RAND())</f>
        <v>0</v>
      </c>
      <c r="O2365" s="0" t="n">
        <f aca="false">6*J2365+(J2365-K2365-M2365)+2*L2365+3*N2365</f>
        <v>20</v>
      </c>
      <c r="P2365" s="0" t="n">
        <f aca="true">RAND()</f>
        <v>0.775407780705471</v>
      </c>
      <c r="Q2365" s="0" t="n">
        <f aca="true">RAND()</f>
        <v>0.077195838144071</v>
      </c>
      <c r="R2365" s="0" t="n">
        <f aca="false">IF($I2365&lt;&gt;$O2365,0,IF(P2365&lt;Matchup!$B$39,7,IF(P2365&lt;Matchup!$B$39+Matchup!$B$40,3,0)))</f>
        <v>0</v>
      </c>
      <c r="S2365" s="0" t="n">
        <f aca="false">IF($I2365&lt;&gt;$O2365,0,IF(Q2365&lt;Matchup!$C$39,7,IF(Q2365&lt;Matchup!$C$39+Matchup!$C$40,3,0)))</f>
        <v>0</v>
      </c>
      <c r="T2365" s="0" t="n">
        <f aca="false">I2365+R2365</f>
        <v>37</v>
      </c>
      <c r="U2365" s="0" t="n">
        <f aca="false">O2365+S2365</f>
        <v>20</v>
      </c>
      <c r="V2365" s="0" t="n">
        <f aca="false">T2365-U2365</f>
        <v>17</v>
      </c>
      <c r="W2365" s="0" t="n">
        <f aca="false">T2365+U2365</f>
        <v>57</v>
      </c>
    </row>
    <row r="2366" customFormat="false" ht="15" hidden="false" customHeight="false" outlineLevel="0" collapsed="false">
      <c r="A2366" s="0" t="n">
        <v>2363</v>
      </c>
      <c r="B2366" s="0" t="n">
        <f aca="true">NORMINV(RAND(),1,Coefficients!$B$22)</f>
        <v>0.867431356761191</v>
      </c>
      <c r="C2366" s="0" t="n">
        <f aca="true">MEDIAN(8,16,ROUND(NORMINV(RAND(),Coefficients!$B$20,Coefficients!$B$21),0))</f>
        <v>10</v>
      </c>
      <c r="D2366" s="0" t="n">
        <f aca="true">CRITBINOM($C2366,MIN(0.75,Matchup!$B$39*$B2366),RAND())</f>
        <v>1</v>
      </c>
      <c r="E2366" s="0" t="n">
        <f aca="true">CRITBINOM(D2366,Coefficients!$B$30,RAND())</f>
        <v>0</v>
      </c>
      <c r="F2366" s="0" t="n">
        <f aca="true">CRITBINOM(E2366,Coefficients!$B$31,RAND())</f>
        <v>0</v>
      </c>
      <c r="G2366" s="0" t="n">
        <f aca="true">CRITBINOM(MAX(0,D2366-E2366),1-Coefficients!$B$32,RAND())</f>
        <v>0</v>
      </c>
      <c r="H2366" s="0" t="n">
        <f aca="true">CRITBINOM(MAX(0,$C2366-D2366),MIN(0.6,Matchup!$B$40*SQRT($B2366)/(1-MIN(0.75,Matchup!$B$39*$B2366))),RAND())</f>
        <v>0</v>
      </c>
      <c r="I2366" s="0" t="n">
        <f aca="false">6*D2366+(D2366-E2366-G2366)+2*F2366+3*H2366</f>
        <v>7</v>
      </c>
      <c r="J2366" s="0" t="n">
        <f aca="true">CRITBINOM($C2366,MIN(0.75,Matchup!$C$39*$B2366),RAND())</f>
        <v>2</v>
      </c>
      <c r="K2366" s="0" t="n">
        <f aca="true">CRITBINOM(J2366,Coefficients!$B$30,RAND())</f>
        <v>0</v>
      </c>
      <c r="L2366" s="0" t="n">
        <f aca="true">CRITBINOM(K2366,Coefficients!$B$31,RAND())</f>
        <v>0</v>
      </c>
      <c r="M2366" s="0" t="n">
        <f aca="true">CRITBINOM(MAX(0,J2366-K2366),1-Coefficients!$B$32,RAND())</f>
        <v>0</v>
      </c>
      <c r="N2366" s="0" t="n">
        <f aca="true">CRITBINOM(MAX(0,$C2366-J2366),MIN(0.6,Matchup!$C$40*SQRT($B2366)/(1-MIN(0.75,Matchup!$C$39*$B2366))),RAND())</f>
        <v>1</v>
      </c>
      <c r="O2366" s="0" t="n">
        <f aca="false">6*J2366+(J2366-K2366-M2366)+2*L2366+3*N2366</f>
        <v>17</v>
      </c>
      <c r="P2366" s="0" t="n">
        <f aca="true">RAND()</f>
        <v>0.555346665254588</v>
      </c>
      <c r="Q2366" s="0" t="n">
        <f aca="true">RAND()</f>
        <v>0.868942626931288</v>
      </c>
      <c r="R2366" s="0" t="n">
        <f aca="false">IF($I2366&lt;&gt;$O2366,0,IF(P2366&lt;Matchup!$B$39,7,IF(P2366&lt;Matchup!$B$39+Matchup!$B$40,3,0)))</f>
        <v>0</v>
      </c>
      <c r="S2366" s="0" t="n">
        <f aca="false">IF($I2366&lt;&gt;$O2366,0,IF(Q2366&lt;Matchup!$C$39,7,IF(Q2366&lt;Matchup!$C$39+Matchup!$C$40,3,0)))</f>
        <v>0</v>
      </c>
      <c r="T2366" s="0" t="n">
        <f aca="false">I2366+R2366</f>
        <v>7</v>
      </c>
      <c r="U2366" s="0" t="n">
        <f aca="false">O2366+S2366</f>
        <v>17</v>
      </c>
      <c r="V2366" s="0" t="n">
        <f aca="false">T2366-U2366</f>
        <v>-10</v>
      </c>
      <c r="W2366" s="0" t="n">
        <f aca="false">T2366+U2366</f>
        <v>24</v>
      </c>
    </row>
    <row r="2367" customFormat="false" ht="15" hidden="false" customHeight="false" outlineLevel="0" collapsed="false">
      <c r="A2367" s="0" t="n">
        <v>2364</v>
      </c>
      <c r="B2367" s="0" t="n">
        <f aca="true">NORMINV(RAND(),1,Coefficients!$B$22)</f>
        <v>1.05096779534733</v>
      </c>
      <c r="C2367" s="0" t="n">
        <f aca="true">MEDIAN(8,16,ROUND(NORMINV(RAND(),Coefficients!$B$20,Coefficients!$B$21),0))</f>
        <v>13</v>
      </c>
      <c r="D2367" s="0" t="n">
        <f aca="true">CRITBINOM($C2367,MIN(0.75,Matchup!$B$39*$B2367),RAND())</f>
        <v>6</v>
      </c>
      <c r="E2367" s="0" t="n">
        <f aca="true">CRITBINOM(D2367,Coefficients!$B$30,RAND())</f>
        <v>1</v>
      </c>
      <c r="F2367" s="0" t="n">
        <f aca="true">CRITBINOM(E2367,Coefficients!$B$31,RAND())</f>
        <v>1</v>
      </c>
      <c r="G2367" s="0" t="n">
        <f aca="true">CRITBINOM(MAX(0,D2367-E2367),1-Coefficients!$B$32,RAND())</f>
        <v>0</v>
      </c>
      <c r="H2367" s="0" t="n">
        <f aca="true">CRITBINOM(MAX(0,$C2367-D2367),MIN(0.6,Matchup!$B$40*SQRT($B2367)/(1-MIN(0.75,Matchup!$B$39*$B2367))),RAND())</f>
        <v>0</v>
      </c>
      <c r="I2367" s="0" t="n">
        <f aca="false">6*D2367+(D2367-E2367-G2367)+2*F2367+3*H2367</f>
        <v>43</v>
      </c>
      <c r="J2367" s="0" t="n">
        <f aca="true">CRITBINOM($C2367,MIN(0.75,Matchup!$C$39*$B2367),RAND())</f>
        <v>4</v>
      </c>
      <c r="K2367" s="0" t="n">
        <f aca="true">CRITBINOM(J2367,Coefficients!$B$30,RAND())</f>
        <v>0</v>
      </c>
      <c r="L2367" s="0" t="n">
        <f aca="true">CRITBINOM(K2367,Coefficients!$B$31,RAND())</f>
        <v>0</v>
      </c>
      <c r="M2367" s="0" t="n">
        <f aca="true">CRITBINOM(MAX(0,J2367-K2367),1-Coefficients!$B$32,RAND())</f>
        <v>0</v>
      </c>
      <c r="N2367" s="0" t="n">
        <f aca="true">CRITBINOM(MAX(0,$C2367-J2367),MIN(0.6,Matchup!$C$40*SQRT($B2367)/(1-MIN(0.75,Matchup!$C$39*$B2367))),RAND())</f>
        <v>1</v>
      </c>
      <c r="O2367" s="0" t="n">
        <f aca="false">6*J2367+(J2367-K2367-M2367)+2*L2367+3*N2367</f>
        <v>31</v>
      </c>
      <c r="P2367" s="0" t="n">
        <f aca="true">RAND()</f>
        <v>0.76858125892996</v>
      </c>
      <c r="Q2367" s="0" t="n">
        <f aca="true">RAND()</f>
        <v>0.480156786779248</v>
      </c>
      <c r="R2367" s="0" t="n">
        <f aca="false">IF($I2367&lt;&gt;$O2367,0,IF(P2367&lt;Matchup!$B$39,7,IF(P2367&lt;Matchup!$B$39+Matchup!$B$40,3,0)))</f>
        <v>0</v>
      </c>
      <c r="S2367" s="0" t="n">
        <f aca="false">IF($I2367&lt;&gt;$O2367,0,IF(Q2367&lt;Matchup!$C$39,7,IF(Q2367&lt;Matchup!$C$39+Matchup!$C$40,3,0)))</f>
        <v>0</v>
      </c>
      <c r="T2367" s="0" t="n">
        <f aca="false">I2367+R2367</f>
        <v>43</v>
      </c>
      <c r="U2367" s="0" t="n">
        <f aca="false">O2367+S2367</f>
        <v>31</v>
      </c>
      <c r="V2367" s="0" t="n">
        <f aca="false">T2367-U2367</f>
        <v>12</v>
      </c>
      <c r="W2367" s="0" t="n">
        <f aca="false">T2367+U2367</f>
        <v>74</v>
      </c>
    </row>
    <row r="2368" customFormat="false" ht="15" hidden="false" customHeight="false" outlineLevel="0" collapsed="false">
      <c r="A2368" s="0" t="n">
        <v>2365</v>
      </c>
      <c r="B2368" s="0" t="n">
        <f aca="true">NORMINV(RAND(),1,Coefficients!$B$22)</f>
        <v>0.872281316794276</v>
      </c>
      <c r="C2368" s="0" t="n">
        <f aca="true">MEDIAN(8,16,ROUND(NORMINV(RAND(),Coefficients!$B$20,Coefficients!$B$21),0))</f>
        <v>11</v>
      </c>
      <c r="D2368" s="0" t="n">
        <f aca="true">CRITBINOM($C2368,MIN(0.75,Matchup!$B$39*$B2368),RAND())</f>
        <v>3</v>
      </c>
      <c r="E2368" s="0" t="n">
        <f aca="true">CRITBINOM(D2368,Coefficients!$B$30,RAND())</f>
        <v>0</v>
      </c>
      <c r="F2368" s="0" t="n">
        <f aca="true">CRITBINOM(E2368,Coefficients!$B$31,RAND())</f>
        <v>0</v>
      </c>
      <c r="G2368" s="0" t="n">
        <f aca="true">CRITBINOM(MAX(0,D2368-E2368),1-Coefficients!$B$32,RAND())</f>
        <v>0</v>
      </c>
      <c r="H2368" s="0" t="n">
        <f aca="true">CRITBINOM(MAX(0,$C2368-D2368),MIN(0.6,Matchup!$B$40*SQRT($B2368)/(1-MIN(0.75,Matchup!$B$39*$B2368))),RAND())</f>
        <v>0</v>
      </c>
      <c r="I2368" s="0" t="n">
        <f aca="false">6*D2368+(D2368-E2368-G2368)+2*F2368+3*H2368</f>
        <v>21</v>
      </c>
      <c r="J2368" s="0" t="n">
        <f aca="true">CRITBINOM($C2368,MIN(0.75,Matchup!$C$39*$B2368),RAND())</f>
        <v>2</v>
      </c>
      <c r="K2368" s="0" t="n">
        <f aca="true">CRITBINOM(J2368,Coefficients!$B$30,RAND())</f>
        <v>0</v>
      </c>
      <c r="L2368" s="0" t="n">
        <f aca="true">CRITBINOM(K2368,Coefficients!$B$31,RAND())</f>
        <v>0</v>
      </c>
      <c r="M2368" s="0" t="n">
        <f aca="true">CRITBINOM(MAX(0,J2368-K2368),1-Coefficients!$B$32,RAND())</f>
        <v>0</v>
      </c>
      <c r="N2368" s="0" t="n">
        <f aca="true">CRITBINOM(MAX(0,$C2368-J2368),MIN(0.6,Matchup!$C$40*SQRT($B2368)/(1-MIN(0.75,Matchup!$C$39*$B2368))),RAND())</f>
        <v>2</v>
      </c>
      <c r="O2368" s="0" t="n">
        <f aca="false">6*J2368+(J2368-K2368-M2368)+2*L2368+3*N2368</f>
        <v>20</v>
      </c>
      <c r="P2368" s="0" t="n">
        <f aca="true">RAND()</f>
        <v>0.719391279897629</v>
      </c>
      <c r="Q2368" s="0" t="n">
        <f aca="true">RAND()</f>
        <v>0.830864726206746</v>
      </c>
      <c r="R2368" s="0" t="n">
        <f aca="false">IF($I2368&lt;&gt;$O2368,0,IF(P2368&lt;Matchup!$B$39,7,IF(P2368&lt;Matchup!$B$39+Matchup!$B$40,3,0)))</f>
        <v>0</v>
      </c>
      <c r="S2368" s="0" t="n">
        <f aca="false">IF($I2368&lt;&gt;$O2368,0,IF(Q2368&lt;Matchup!$C$39,7,IF(Q2368&lt;Matchup!$C$39+Matchup!$C$40,3,0)))</f>
        <v>0</v>
      </c>
      <c r="T2368" s="0" t="n">
        <f aca="false">I2368+R2368</f>
        <v>21</v>
      </c>
      <c r="U2368" s="0" t="n">
        <f aca="false">O2368+S2368</f>
        <v>20</v>
      </c>
      <c r="V2368" s="0" t="n">
        <f aca="false">T2368-U2368</f>
        <v>1</v>
      </c>
      <c r="W2368" s="0" t="n">
        <f aca="false">T2368+U2368</f>
        <v>41</v>
      </c>
    </row>
    <row r="2369" customFormat="false" ht="15" hidden="false" customHeight="false" outlineLevel="0" collapsed="false">
      <c r="A2369" s="0" t="n">
        <v>2366</v>
      </c>
      <c r="B2369" s="0" t="n">
        <f aca="true">NORMINV(RAND(),1,Coefficients!$B$22)</f>
        <v>0.952612804091689</v>
      </c>
      <c r="C2369" s="0" t="n">
        <f aca="true">MEDIAN(8,16,ROUND(NORMINV(RAND(),Coefficients!$B$20,Coefficients!$B$21),0))</f>
        <v>11</v>
      </c>
      <c r="D2369" s="0" t="n">
        <f aca="true">CRITBINOM($C2369,MIN(0.75,Matchup!$B$39*$B2369),RAND())</f>
        <v>2</v>
      </c>
      <c r="E2369" s="0" t="n">
        <f aca="true">CRITBINOM(D2369,Coefficients!$B$30,RAND())</f>
        <v>0</v>
      </c>
      <c r="F2369" s="0" t="n">
        <f aca="true">CRITBINOM(E2369,Coefficients!$B$31,RAND())</f>
        <v>0</v>
      </c>
      <c r="G2369" s="0" t="n">
        <f aca="true">CRITBINOM(MAX(0,D2369-E2369),1-Coefficients!$B$32,RAND())</f>
        <v>0</v>
      </c>
      <c r="H2369" s="0" t="n">
        <f aca="true">CRITBINOM(MAX(0,$C2369-D2369),MIN(0.6,Matchup!$B$40*SQRT($B2369)/(1-MIN(0.75,Matchup!$B$39*$B2369))),RAND())</f>
        <v>2</v>
      </c>
      <c r="I2369" s="0" t="n">
        <f aca="false">6*D2369+(D2369-E2369-G2369)+2*F2369+3*H2369</f>
        <v>20</v>
      </c>
      <c r="J2369" s="0" t="n">
        <f aca="true">CRITBINOM($C2369,MIN(0.75,Matchup!$C$39*$B2369),RAND())</f>
        <v>2</v>
      </c>
      <c r="K2369" s="0" t="n">
        <f aca="true">CRITBINOM(J2369,Coefficients!$B$30,RAND())</f>
        <v>0</v>
      </c>
      <c r="L2369" s="0" t="n">
        <f aca="true">CRITBINOM(K2369,Coefficients!$B$31,RAND())</f>
        <v>0</v>
      </c>
      <c r="M2369" s="0" t="n">
        <f aca="true">CRITBINOM(MAX(0,J2369-K2369),1-Coefficients!$B$32,RAND())</f>
        <v>0</v>
      </c>
      <c r="N2369" s="0" t="n">
        <f aca="true">CRITBINOM(MAX(0,$C2369-J2369),MIN(0.6,Matchup!$C$40*SQRT($B2369)/(1-MIN(0.75,Matchup!$C$39*$B2369))),RAND())</f>
        <v>3</v>
      </c>
      <c r="O2369" s="0" t="n">
        <f aca="false">6*J2369+(J2369-K2369-M2369)+2*L2369+3*N2369</f>
        <v>23</v>
      </c>
      <c r="P2369" s="0" t="n">
        <f aca="true">RAND()</f>
        <v>0.139080870605855</v>
      </c>
      <c r="Q2369" s="0" t="n">
        <f aca="true">RAND()</f>
        <v>0.898875106256882</v>
      </c>
      <c r="R2369" s="0" t="n">
        <f aca="false">IF($I2369&lt;&gt;$O2369,0,IF(P2369&lt;Matchup!$B$39,7,IF(P2369&lt;Matchup!$B$39+Matchup!$B$40,3,0)))</f>
        <v>0</v>
      </c>
      <c r="S2369" s="0" t="n">
        <f aca="false">IF($I2369&lt;&gt;$O2369,0,IF(Q2369&lt;Matchup!$C$39,7,IF(Q2369&lt;Matchup!$C$39+Matchup!$C$40,3,0)))</f>
        <v>0</v>
      </c>
      <c r="T2369" s="0" t="n">
        <f aca="false">I2369+R2369</f>
        <v>20</v>
      </c>
      <c r="U2369" s="0" t="n">
        <f aca="false">O2369+S2369</f>
        <v>23</v>
      </c>
      <c r="V2369" s="0" t="n">
        <f aca="false">T2369-U2369</f>
        <v>-3</v>
      </c>
      <c r="W2369" s="0" t="n">
        <f aca="false">T2369+U2369</f>
        <v>43</v>
      </c>
    </row>
    <row r="2370" customFormat="false" ht="15" hidden="false" customHeight="false" outlineLevel="0" collapsed="false">
      <c r="A2370" s="0" t="n">
        <v>2367</v>
      </c>
      <c r="B2370" s="0" t="n">
        <f aca="true">NORMINV(RAND(),1,Coefficients!$B$22)</f>
        <v>0.946928420556787</v>
      </c>
      <c r="C2370" s="0" t="n">
        <f aca="true">MEDIAN(8,16,ROUND(NORMINV(RAND(),Coefficients!$B$20,Coefficients!$B$21),0))</f>
        <v>12</v>
      </c>
      <c r="D2370" s="0" t="n">
        <f aca="true">CRITBINOM($C2370,MIN(0.75,Matchup!$B$39*$B2370),RAND())</f>
        <v>5</v>
      </c>
      <c r="E2370" s="0" t="n">
        <f aca="true">CRITBINOM(D2370,Coefficients!$B$30,RAND())</f>
        <v>1</v>
      </c>
      <c r="F2370" s="0" t="n">
        <f aca="true">CRITBINOM(E2370,Coefficients!$B$31,RAND())</f>
        <v>1</v>
      </c>
      <c r="G2370" s="0" t="n">
        <f aca="true">CRITBINOM(MAX(0,D2370-E2370),1-Coefficients!$B$32,RAND())</f>
        <v>1</v>
      </c>
      <c r="H2370" s="0" t="n">
        <f aca="true">CRITBINOM(MAX(0,$C2370-D2370),MIN(0.6,Matchup!$B$40*SQRT($B2370)/(1-MIN(0.75,Matchup!$B$39*$B2370))),RAND())</f>
        <v>0</v>
      </c>
      <c r="I2370" s="0" t="n">
        <f aca="false">6*D2370+(D2370-E2370-G2370)+2*F2370+3*H2370</f>
        <v>35</v>
      </c>
      <c r="J2370" s="0" t="n">
        <f aca="true">CRITBINOM($C2370,MIN(0.75,Matchup!$C$39*$B2370),RAND())</f>
        <v>2</v>
      </c>
      <c r="K2370" s="0" t="n">
        <f aca="true">CRITBINOM(J2370,Coefficients!$B$30,RAND())</f>
        <v>0</v>
      </c>
      <c r="L2370" s="0" t="n">
        <f aca="true">CRITBINOM(K2370,Coefficients!$B$31,RAND())</f>
        <v>0</v>
      </c>
      <c r="M2370" s="0" t="n">
        <f aca="true">CRITBINOM(MAX(0,J2370-K2370),1-Coefficients!$B$32,RAND())</f>
        <v>0</v>
      </c>
      <c r="N2370" s="0" t="n">
        <f aca="true">CRITBINOM(MAX(0,$C2370-J2370),MIN(0.6,Matchup!$C$40*SQRT($B2370)/(1-MIN(0.75,Matchup!$C$39*$B2370))),RAND())</f>
        <v>2</v>
      </c>
      <c r="O2370" s="0" t="n">
        <f aca="false">6*J2370+(J2370-K2370-M2370)+2*L2370+3*N2370</f>
        <v>20</v>
      </c>
      <c r="P2370" s="0" t="n">
        <f aca="true">RAND()</f>
        <v>0.559080298708851</v>
      </c>
      <c r="Q2370" s="0" t="n">
        <f aca="true">RAND()</f>
        <v>0.205587335517684</v>
      </c>
      <c r="R2370" s="0" t="n">
        <f aca="false">IF($I2370&lt;&gt;$O2370,0,IF(P2370&lt;Matchup!$B$39,7,IF(P2370&lt;Matchup!$B$39+Matchup!$B$40,3,0)))</f>
        <v>0</v>
      </c>
      <c r="S2370" s="0" t="n">
        <f aca="false">IF($I2370&lt;&gt;$O2370,0,IF(Q2370&lt;Matchup!$C$39,7,IF(Q2370&lt;Matchup!$C$39+Matchup!$C$40,3,0)))</f>
        <v>0</v>
      </c>
      <c r="T2370" s="0" t="n">
        <f aca="false">I2370+R2370</f>
        <v>35</v>
      </c>
      <c r="U2370" s="0" t="n">
        <f aca="false">O2370+S2370</f>
        <v>20</v>
      </c>
      <c r="V2370" s="0" t="n">
        <f aca="false">T2370-U2370</f>
        <v>15</v>
      </c>
      <c r="W2370" s="0" t="n">
        <f aca="false">T2370+U2370</f>
        <v>55</v>
      </c>
    </row>
    <row r="2371" customFormat="false" ht="15" hidden="false" customHeight="false" outlineLevel="0" collapsed="false">
      <c r="A2371" s="0" t="n">
        <v>2368</v>
      </c>
      <c r="B2371" s="0" t="n">
        <f aca="true">NORMINV(RAND(),1,Coefficients!$B$22)</f>
        <v>1.04820858301463</v>
      </c>
      <c r="C2371" s="0" t="n">
        <f aca="true">MEDIAN(8,16,ROUND(NORMINV(RAND(),Coefficients!$B$20,Coefficients!$B$21),0))</f>
        <v>11</v>
      </c>
      <c r="D2371" s="0" t="n">
        <f aca="true">CRITBINOM($C2371,MIN(0.75,Matchup!$B$39*$B2371),RAND())</f>
        <v>5</v>
      </c>
      <c r="E2371" s="0" t="n">
        <f aca="true">CRITBINOM(D2371,Coefficients!$B$30,RAND())</f>
        <v>0</v>
      </c>
      <c r="F2371" s="0" t="n">
        <f aca="true">CRITBINOM(E2371,Coefficients!$B$31,RAND())</f>
        <v>0</v>
      </c>
      <c r="G2371" s="0" t="n">
        <f aca="true">CRITBINOM(MAX(0,D2371-E2371),1-Coefficients!$B$32,RAND())</f>
        <v>0</v>
      </c>
      <c r="H2371" s="0" t="n">
        <f aca="true">CRITBINOM(MAX(0,$C2371-D2371),MIN(0.6,Matchup!$B$40*SQRT($B2371)/(1-MIN(0.75,Matchup!$B$39*$B2371))),RAND())</f>
        <v>1</v>
      </c>
      <c r="I2371" s="0" t="n">
        <f aca="false">6*D2371+(D2371-E2371-G2371)+2*F2371+3*H2371</f>
        <v>38</v>
      </c>
      <c r="J2371" s="0" t="n">
        <f aca="true">CRITBINOM($C2371,MIN(0.75,Matchup!$C$39*$B2371),RAND())</f>
        <v>1</v>
      </c>
      <c r="K2371" s="0" t="n">
        <f aca="true">CRITBINOM(J2371,Coefficients!$B$30,RAND())</f>
        <v>0</v>
      </c>
      <c r="L2371" s="0" t="n">
        <f aca="true">CRITBINOM(K2371,Coefficients!$B$31,RAND())</f>
        <v>0</v>
      </c>
      <c r="M2371" s="0" t="n">
        <f aca="true">CRITBINOM(MAX(0,J2371-K2371),1-Coefficients!$B$32,RAND())</f>
        <v>0</v>
      </c>
      <c r="N2371" s="0" t="n">
        <f aca="true">CRITBINOM(MAX(0,$C2371-J2371),MIN(0.6,Matchup!$C$40*SQRT($B2371)/(1-MIN(0.75,Matchup!$C$39*$B2371))),RAND())</f>
        <v>0</v>
      </c>
      <c r="O2371" s="0" t="n">
        <f aca="false">6*J2371+(J2371-K2371-M2371)+2*L2371+3*N2371</f>
        <v>7</v>
      </c>
      <c r="P2371" s="0" t="n">
        <f aca="true">RAND()</f>
        <v>0.834892569074093</v>
      </c>
      <c r="Q2371" s="0" t="n">
        <f aca="true">RAND()</f>
        <v>0.334148912823031</v>
      </c>
      <c r="R2371" s="0" t="n">
        <f aca="false">IF($I2371&lt;&gt;$O2371,0,IF(P2371&lt;Matchup!$B$39,7,IF(P2371&lt;Matchup!$B$39+Matchup!$B$40,3,0)))</f>
        <v>0</v>
      </c>
      <c r="S2371" s="0" t="n">
        <f aca="false">IF($I2371&lt;&gt;$O2371,0,IF(Q2371&lt;Matchup!$C$39,7,IF(Q2371&lt;Matchup!$C$39+Matchup!$C$40,3,0)))</f>
        <v>0</v>
      </c>
      <c r="T2371" s="0" t="n">
        <f aca="false">I2371+R2371</f>
        <v>38</v>
      </c>
      <c r="U2371" s="0" t="n">
        <f aca="false">O2371+S2371</f>
        <v>7</v>
      </c>
      <c r="V2371" s="0" t="n">
        <f aca="false">T2371-U2371</f>
        <v>31</v>
      </c>
      <c r="W2371" s="0" t="n">
        <f aca="false">T2371+U2371</f>
        <v>45</v>
      </c>
    </row>
    <row r="2372" customFormat="false" ht="15" hidden="false" customHeight="false" outlineLevel="0" collapsed="false">
      <c r="A2372" s="0" t="n">
        <v>2369</v>
      </c>
      <c r="B2372" s="0" t="n">
        <f aca="true">NORMINV(RAND(),1,Coefficients!$B$22)</f>
        <v>1.11606918051003</v>
      </c>
      <c r="C2372" s="0" t="n">
        <f aca="true">MEDIAN(8,16,ROUND(NORMINV(RAND(),Coefficients!$B$20,Coefficients!$B$21),0))</f>
        <v>11</v>
      </c>
      <c r="D2372" s="0" t="n">
        <f aca="true">CRITBINOM($C2372,MIN(0.75,Matchup!$B$39*$B2372),RAND())</f>
        <v>5</v>
      </c>
      <c r="E2372" s="0" t="n">
        <f aca="true">CRITBINOM(D2372,Coefficients!$B$30,RAND())</f>
        <v>1</v>
      </c>
      <c r="F2372" s="0" t="n">
        <f aca="true">CRITBINOM(E2372,Coefficients!$B$31,RAND())</f>
        <v>0</v>
      </c>
      <c r="G2372" s="0" t="n">
        <f aca="true">CRITBINOM(MAX(0,D2372-E2372),1-Coefficients!$B$32,RAND())</f>
        <v>0</v>
      </c>
      <c r="H2372" s="0" t="n">
        <f aca="true">CRITBINOM(MAX(0,$C2372-D2372),MIN(0.6,Matchup!$B$40*SQRT($B2372)/(1-MIN(0.75,Matchup!$B$39*$B2372))),RAND())</f>
        <v>1</v>
      </c>
      <c r="I2372" s="0" t="n">
        <f aca="false">6*D2372+(D2372-E2372-G2372)+2*F2372+3*H2372</f>
        <v>37</v>
      </c>
      <c r="J2372" s="0" t="n">
        <f aca="true">CRITBINOM($C2372,MIN(0.75,Matchup!$C$39*$B2372),RAND())</f>
        <v>3</v>
      </c>
      <c r="K2372" s="0" t="n">
        <f aca="true">CRITBINOM(J2372,Coefficients!$B$30,RAND())</f>
        <v>0</v>
      </c>
      <c r="L2372" s="0" t="n">
        <f aca="true">CRITBINOM(K2372,Coefficients!$B$31,RAND())</f>
        <v>0</v>
      </c>
      <c r="M2372" s="0" t="n">
        <f aca="true">CRITBINOM(MAX(0,J2372-K2372),1-Coefficients!$B$32,RAND())</f>
        <v>0</v>
      </c>
      <c r="N2372" s="0" t="n">
        <f aca="true">CRITBINOM(MAX(0,$C2372-J2372),MIN(0.6,Matchup!$C$40*SQRT($B2372)/(1-MIN(0.75,Matchup!$C$39*$B2372))),RAND())</f>
        <v>2</v>
      </c>
      <c r="O2372" s="0" t="n">
        <f aca="false">6*J2372+(J2372-K2372-M2372)+2*L2372+3*N2372</f>
        <v>27</v>
      </c>
      <c r="P2372" s="0" t="n">
        <f aca="true">RAND()</f>
        <v>0.998520917132107</v>
      </c>
      <c r="Q2372" s="0" t="n">
        <f aca="true">RAND()</f>
        <v>0.0873736429432874</v>
      </c>
      <c r="R2372" s="0" t="n">
        <f aca="false">IF($I2372&lt;&gt;$O2372,0,IF(P2372&lt;Matchup!$B$39,7,IF(P2372&lt;Matchup!$B$39+Matchup!$B$40,3,0)))</f>
        <v>0</v>
      </c>
      <c r="S2372" s="0" t="n">
        <f aca="false">IF($I2372&lt;&gt;$O2372,0,IF(Q2372&lt;Matchup!$C$39,7,IF(Q2372&lt;Matchup!$C$39+Matchup!$C$40,3,0)))</f>
        <v>0</v>
      </c>
      <c r="T2372" s="0" t="n">
        <f aca="false">I2372+R2372</f>
        <v>37</v>
      </c>
      <c r="U2372" s="0" t="n">
        <f aca="false">O2372+S2372</f>
        <v>27</v>
      </c>
      <c r="V2372" s="0" t="n">
        <f aca="false">T2372-U2372</f>
        <v>10</v>
      </c>
      <c r="W2372" s="0" t="n">
        <f aca="false">T2372+U2372</f>
        <v>64</v>
      </c>
    </row>
    <row r="2373" customFormat="false" ht="15" hidden="false" customHeight="false" outlineLevel="0" collapsed="false">
      <c r="A2373" s="0" t="n">
        <v>2370</v>
      </c>
      <c r="B2373" s="0" t="n">
        <f aca="true">NORMINV(RAND(),1,Coefficients!$B$22)</f>
        <v>1.05778583696858</v>
      </c>
      <c r="C2373" s="0" t="n">
        <f aca="true">MEDIAN(8,16,ROUND(NORMINV(RAND(),Coefficients!$B$20,Coefficients!$B$21),0))</f>
        <v>10</v>
      </c>
      <c r="D2373" s="0" t="n">
        <f aca="true">CRITBINOM($C2373,MIN(0.75,Matchup!$B$39*$B2373),RAND())</f>
        <v>2</v>
      </c>
      <c r="E2373" s="0" t="n">
        <f aca="true">CRITBINOM(D2373,Coefficients!$B$30,RAND())</f>
        <v>0</v>
      </c>
      <c r="F2373" s="0" t="n">
        <f aca="true">CRITBINOM(E2373,Coefficients!$B$31,RAND())</f>
        <v>0</v>
      </c>
      <c r="G2373" s="0" t="n">
        <f aca="true">CRITBINOM(MAX(0,D2373-E2373),1-Coefficients!$B$32,RAND())</f>
        <v>0</v>
      </c>
      <c r="H2373" s="0" t="n">
        <f aca="true">CRITBINOM(MAX(0,$C2373-D2373),MIN(0.6,Matchup!$B$40*SQRT($B2373)/(1-MIN(0.75,Matchup!$B$39*$B2373))),RAND())</f>
        <v>4</v>
      </c>
      <c r="I2373" s="0" t="n">
        <f aca="false">6*D2373+(D2373-E2373-G2373)+2*F2373+3*H2373</f>
        <v>26</v>
      </c>
      <c r="J2373" s="0" t="n">
        <f aca="true">CRITBINOM($C2373,MIN(0.75,Matchup!$C$39*$B2373),RAND())</f>
        <v>5</v>
      </c>
      <c r="K2373" s="0" t="n">
        <f aca="true">CRITBINOM(J2373,Coefficients!$B$30,RAND())</f>
        <v>0</v>
      </c>
      <c r="L2373" s="0" t="n">
        <f aca="true">CRITBINOM(K2373,Coefficients!$B$31,RAND())</f>
        <v>0</v>
      </c>
      <c r="M2373" s="0" t="n">
        <f aca="true">CRITBINOM(MAX(0,J2373-K2373),1-Coefficients!$B$32,RAND())</f>
        <v>0</v>
      </c>
      <c r="N2373" s="0" t="n">
        <f aca="true">CRITBINOM(MAX(0,$C2373-J2373),MIN(0.6,Matchup!$C$40*SQRT($B2373)/(1-MIN(0.75,Matchup!$C$39*$B2373))),RAND())</f>
        <v>2</v>
      </c>
      <c r="O2373" s="0" t="n">
        <f aca="false">6*J2373+(J2373-K2373-M2373)+2*L2373+3*N2373</f>
        <v>41</v>
      </c>
      <c r="P2373" s="0" t="n">
        <f aca="true">RAND()</f>
        <v>0.333485617085886</v>
      </c>
      <c r="Q2373" s="0" t="n">
        <f aca="true">RAND()</f>
        <v>0.922800278109316</v>
      </c>
      <c r="R2373" s="0" t="n">
        <f aca="false">IF($I2373&lt;&gt;$O2373,0,IF(P2373&lt;Matchup!$B$39,7,IF(P2373&lt;Matchup!$B$39+Matchup!$B$40,3,0)))</f>
        <v>0</v>
      </c>
      <c r="S2373" s="0" t="n">
        <f aca="false">IF($I2373&lt;&gt;$O2373,0,IF(Q2373&lt;Matchup!$C$39,7,IF(Q2373&lt;Matchup!$C$39+Matchup!$C$40,3,0)))</f>
        <v>0</v>
      </c>
      <c r="T2373" s="0" t="n">
        <f aca="false">I2373+R2373</f>
        <v>26</v>
      </c>
      <c r="U2373" s="0" t="n">
        <f aca="false">O2373+S2373</f>
        <v>41</v>
      </c>
      <c r="V2373" s="0" t="n">
        <f aca="false">T2373-U2373</f>
        <v>-15</v>
      </c>
      <c r="W2373" s="0" t="n">
        <f aca="false">T2373+U2373</f>
        <v>67</v>
      </c>
    </row>
    <row r="2374" customFormat="false" ht="15" hidden="false" customHeight="false" outlineLevel="0" collapsed="false">
      <c r="A2374" s="0" t="n">
        <v>2371</v>
      </c>
      <c r="B2374" s="0" t="n">
        <f aca="true">NORMINV(RAND(),1,Coefficients!$B$22)</f>
        <v>1.02654788763576</v>
      </c>
      <c r="C2374" s="0" t="n">
        <f aca="true">MEDIAN(8,16,ROUND(NORMINV(RAND(),Coefficients!$B$20,Coefficients!$B$21),0))</f>
        <v>11</v>
      </c>
      <c r="D2374" s="0" t="n">
        <f aca="true">CRITBINOM($C2374,MIN(0.75,Matchup!$B$39*$B2374),RAND())</f>
        <v>2</v>
      </c>
      <c r="E2374" s="0" t="n">
        <f aca="true">CRITBINOM(D2374,Coefficients!$B$30,RAND())</f>
        <v>0</v>
      </c>
      <c r="F2374" s="0" t="n">
        <f aca="true">CRITBINOM(E2374,Coefficients!$B$31,RAND())</f>
        <v>0</v>
      </c>
      <c r="G2374" s="0" t="n">
        <f aca="true">CRITBINOM(MAX(0,D2374-E2374),1-Coefficients!$B$32,RAND())</f>
        <v>0</v>
      </c>
      <c r="H2374" s="0" t="n">
        <f aca="true">CRITBINOM(MAX(0,$C2374-D2374),MIN(0.6,Matchup!$B$40*SQRT($B2374)/(1-MIN(0.75,Matchup!$B$39*$B2374))),RAND())</f>
        <v>1</v>
      </c>
      <c r="I2374" s="0" t="n">
        <f aca="false">6*D2374+(D2374-E2374-G2374)+2*F2374+3*H2374</f>
        <v>17</v>
      </c>
      <c r="J2374" s="0" t="n">
        <f aca="true">CRITBINOM($C2374,MIN(0.75,Matchup!$C$39*$B2374),RAND())</f>
        <v>3</v>
      </c>
      <c r="K2374" s="0" t="n">
        <f aca="true">CRITBINOM(J2374,Coefficients!$B$30,RAND())</f>
        <v>0</v>
      </c>
      <c r="L2374" s="0" t="n">
        <f aca="true">CRITBINOM(K2374,Coefficients!$B$31,RAND())</f>
        <v>0</v>
      </c>
      <c r="M2374" s="0" t="n">
        <f aca="true">CRITBINOM(MAX(0,J2374-K2374),1-Coefficients!$B$32,RAND())</f>
        <v>0</v>
      </c>
      <c r="N2374" s="0" t="n">
        <f aca="true">CRITBINOM(MAX(0,$C2374-J2374),MIN(0.6,Matchup!$C$40*SQRT($B2374)/(1-MIN(0.75,Matchup!$C$39*$B2374))),RAND())</f>
        <v>3</v>
      </c>
      <c r="O2374" s="0" t="n">
        <f aca="false">6*J2374+(J2374-K2374-M2374)+2*L2374+3*N2374</f>
        <v>30</v>
      </c>
      <c r="P2374" s="0" t="n">
        <f aca="true">RAND()</f>
        <v>0.867811198500379</v>
      </c>
      <c r="Q2374" s="0" t="n">
        <f aca="true">RAND()</f>
        <v>0.372580457419608</v>
      </c>
      <c r="R2374" s="0" t="n">
        <f aca="false">IF($I2374&lt;&gt;$O2374,0,IF(P2374&lt;Matchup!$B$39,7,IF(P2374&lt;Matchup!$B$39+Matchup!$B$40,3,0)))</f>
        <v>0</v>
      </c>
      <c r="S2374" s="0" t="n">
        <f aca="false">IF($I2374&lt;&gt;$O2374,0,IF(Q2374&lt;Matchup!$C$39,7,IF(Q2374&lt;Matchup!$C$39+Matchup!$C$40,3,0)))</f>
        <v>0</v>
      </c>
      <c r="T2374" s="0" t="n">
        <f aca="false">I2374+R2374</f>
        <v>17</v>
      </c>
      <c r="U2374" s="0" t="n">
        <f aca="false">O2374+S2374</f>
        <v>30</v>
      </c>
      <c r="V2374" s="0" t="n">
        <f aca="false">T2374-U2374</f>
        <v>-13</v>
      </c>
      <c r="W2374" s="0" t="n">
        <f aca="false">T2374+U2374</f>
        <v>47</v>
      </c>
    </row>
    <row r="2375" customFormat="false" ht="15" hidden="false" customHeight="false" outlineLevel="0" collapsed="false">
      <c r="A2375" s="0" t="n">
        <v>2372</v>
      </c>
      <c r="B2375" s="0" t="n">
        <f aca="true">NORMINV(RAND(),1,Coefficients!$B$22)</f>
        <v>0.912608919469059</v>
      </c>
      <c r="C2375" s="0" t="n">
        <f aca="true">MEDIAN(8,16,ROUND(NORMINV(RAND(),Coefficients!$B$20,Coefficients!$B$21),0))</f>
        <v>12</v>
      </c>
      <c r="D2375" s="0" t="n">
        <f aca="true">CRITBINOM($C2375,MIN(0.75,Matchup!$B$39*$B2375),RAND())</f>
        <v>2</v>
      </c>
      <c r="E2375" s="0" t="n">
        <f aca="true">CRITBINOM(D2375,Coefficients!$B$30,RAND())</f>
        <v>0</v>
      </c>
      <c r="F2375" s="0" t="n">
        <f aca="true">CRITBINOM(E2375,Coefficients!$B$31,RAND())</f>
        <v>0</v>
      </c>
      <c r="G2375" s="0" t="n">
        <f aca="true">CRITBINOM(MAX(0,D2375-E2375),1-Coefficients!$B$32,RAND())</f>
        <v>0</v>
      </c>
      <c r="H2375" s="0" t="n">
        <f aca="true">CRITBINOM(MAX(0,$C2375-D2375),MIN(0.6,Matchup!$B$40*SQRT($B2375)/(1-MIN(0.75,Matchup!$B$39*$B2375))),RAND())</f>
        <v>1</v>
      </c>
      <c r="I2375" s="0" t="n">
        <f aca="false">6*D2375+(D2375-E2375-G2375)+2*F2375+3*H2375</f>
        <v>17</v>
      </c>
      <c r="J2375" s="0" t="n">
        <f aca="true">CRITBINOM($C2375,MIN(0.75,Matchup!$C$39*$B2375),RAND())</f>
        <v>4</v>
      </c>
      <c r="K2375" s="0" t="n">
        <f aca="true">CRITBINOM(J2375,Coefficients!$B$30,RAND())</f>
        <v>0</v>
      </c>
      <c r="L2375" s="0" t="n">
        <f aca="true">CRITBINOM(K2375,Coefficients!$B$31,RAND())</f>
        <v>0</v>
      </c>
      <c r="M2375" s="0" t="n">
        <f aca="true">CRITBINOM(MAX(0,J2375-K2375),1-Coefficients!$B$32,RAND())</f>
        <v>0</v>
      </c>
      <c r="N2375" s="0" t="n">
        <f aca="true">CRITBINOM(MAX(0,$C2375-J2375),MIN(0.6,Matchup!$C$40*SQRT($B2375)/(1-MIN(0.75,Matchup!$C$39*$B2375))),RAND())</f>
        <v>1</v>
      </c>
      <c r="O2375" s="0" t="n">
        <f aca="false">6*J2375+(J2375-K2375-M2375)+2*L2375+3*N2375</f>
        <v>31</v>
      </c>
      <c r="P2375" s="0" t="n">
        <f aca="true">RAND()</f>
        <v>0.771599315259954</v>
      </c>
      <c r="Q2375" s="0" t="n">
        <f aca="true">RAND()</f>
        <v>0.953489224954021</v>
      </c>
      <c r="R2375" s="0" t="n">
        <f aca="false">IF($I2375&lt;&gt;$O2375,0,IF(P2375&lt;Matchup!$B$39,7,IF(P2375&lt;Matchup!$B$39+Matchup!$B$40,3,0)))</f>
        <v>0</v>
      </c>
      <c r="S2375" s="0" t="n">
        <f aca="false">IF($I2375&lt;&gt;$O2375,0,IF(Q2375&lt;Matchup!$C$39,7,IF(Q2375&lt;Matchup!$C$39+Matchup!$C$40,3,0)))</f>
        <v>0</v>
      </c>
      <c r="T2375" s="0" t="n">
        <f aca="false">I2375+R2375</f>
        <v>17</v>
      </c>
      <c r="U2375" s="0" t="n">
        <f aca="false">O2375+S2375</f>
        <v>31</v>
      </c>
      <c r="V2375" s="0" t="n">
        <f aca="false">T2375-U2375</f>
        <v>-14</v>
      </c>
      <c r="W2375" s="0" t="n">
        <f aca="false">T2375+U2375</f>
        <v>48</v>
      </c>
    </row>
    <row r="2376" customFormat="false" ht="15" hidden="false" customHeight="false" outlineLevel="0" collapsed="false">
      <c r="A2376" s="0" t="n">
        <v>2373</v>
      </c>
      <c r="B2376" s="0" t="n">
        <f aca="true">NORMINV(RAND(),1,Coefficients!$B$22)</f>
        <v>0.967642294633529</v>
      </c>
      <c r="C2376" s="0" t="n">
        <f aca="true">MEDIAN(8,16,ROUND(NORMINV(RAND(),Coefficients!$B$20,Coefficients!$B$21),0))</f>
        <v>10</v>
      </c>
      <c r="D2376" s="0" t="n">
        <f aca="true">CRITBINOM($C2376,MIN(0.75,Matchup!$B$39*$B2376),RAND())</f>
        <v>2</v>
      </c>
      <c r="E2376" s="0" t="n">
        <f aca="true">CRITBINOM(D2376,Coefficients!$B$30,RAND())</f>
        <v>0</v>
      </c>
      <c r="F2376" s="0" t="n">
        <f aca="true">CRITBINOM(E2376,Coefficients!$B$31,RAND())</f>
        <v>0</v>
      </c>
      <c r="G2376" s="0" t="n">
        <f aca="true">CRITBINOM(MAX(0,D2376-E2376),1-Coefficients!$B$32,RAND())</f>
        <v>0</v>
      </c>
      <c r="H2376" s="0" t="n">
        <f aca="true">CRITBINOM(MAX(0,$C2376-D2376),MIN(0.6,Matchup!$B$40*SQRT($B2376)/(1-MIN(0.75,Matchup!$B$39*$B2376))),RAND())</f>
        <v>2</v>
      </c>
      <c r="I2376" s="0" t="n">
        <f aca="false">6*D2376+(D2376-E2376-G2376)+2*F2376+3*H2376</f>
        <v>20</v>
      </c>
      <c r="J2376" s="0" t="n">
        <f aca="true">CRITBINOM($C2376,MIN(0.75,Matchup!$C$39*$B2376),RAND())</f>
        <v>2</v>
      </c>
      <c r="K2376" s="0" t="n">
        <f aca="true">CRITBINOM(J2376,Coefficients!$B$30,RAND())</f>
        <v>0</v>
      </c>
      <c r="L2376" s="0" t="n">
        <f aca="true">CRITBINOM(K2376,Coefficients!$B$31,RAND())</f>
        <v>0</v>
      </c>
      <c r="M2376" s="0" t="n">
        <f aca="true">CRITBINOM(MAX(0,J2376-K2376),1-Coefficients!$B$32,RAND())</f>
        <v>0</v>
      </c>
      <c r="N2376" s="0" t="n">
        <f aca="true">CRITBINOM(MAX(0,$C2376-J2376),MIN(0.6,Matchup!$C$40*SQRT($B2376)/(1-MIN(0.75,Matchup!$C$39*$B2376))),RAND())</f>
        <v>2</v>
      </c>
      <c r="O2376" s="0" t="n">
        <f aca="false">6*J2376+(J2376-K2376-M2376)+2*L2376+3*N2376</f>
        <v>20</v>
      </c>
      <c r="P2376" s="0" t="n">
        <f aca="true">RAND()</f>
        <v>0.614635340874927</v>
      </c>
      <c r="Q2376" s="0" t="n">
        <f aca="true">RAND()</f>
        <v>0.198685538813248</v>
      </c>
      <c r="R2376" s="0" t="n">
        <f aca="false">IF($I2376&lt;&gt;$O2376,0,IF(P2376&lt;Matchup!$B$39,7,IF(P2376&lt;Matchup!$B$39+Matchup!$B$40,3,0)))</f>
        <v>0</v>
      </c>
      <c r="S2376" s="0" t="n">
        <f aca="false">IF($I2376&lt;&gt;$O2376,0,IF(Q2376&lt;Matchup!$C$39,7,IF(Q2376&lt;Matchup!$C$39+Matchup!$C$40,3,0)))</f>
        <v>7</v>
      </c>
      <c r="T2376" s="0" t="n">
        <f aca="false">I2376+R2376</f>
        <v>20</v>
      </c>
      <c r="U2376" s="0" t="n">
        <f aca="false">O2376+S2376</f>
        <v>27</v>
      </c>
      <c r="V2376" s="0" t="n">
        <f aca="false">T2376-U2376</f>
        <v>-7</v>
      </c>
      <c r="W2376" s="0" t="n">
        <f aca="false">T2376+U2376</f>
        <v>47</v>
      </c>
    </row>
    <row r="2377" customFormat="false" ht="15" hidden="false" customHeight="false" outlineLevel="0" collapsed="false">
      <c r="A2377" s="0" t="n">
        <v>2374</v>
      </c>
      <c r="B2377" s="0" t="n">
        <f aca="true">NORMINV(RAND(),1,Coefficients!$B$22)</f>
        <v>0.955997404819528</v>
      </c>
      <c r="C2377" s="0" t="n">
        <f aca="true">MEDIAN(8,16,ROUND(NORMINV(RAND(),Coefficients!$B$20,Coefficients!$B$21),0))</f>
        <v>11</v>
      </c>
      <c r="D2377" s="0" t="n">
        <f aca="true">CRITBINOM($C2377,MIN(0.75,Matchup!$B$39*$B2377),RAND())</f>
        <v>3</v>
      </c>
      <c r="E2377" s="0" t="n">
        <f aca="true">CRITBINOM(D2377,Coefficients!$B$30,RAND())</f>
        <v>1</v>
      </c>
      <c r="F2377" s="0" t="n">
        <f aca="true">CRITBINOM(E2377,Coefficients!$B$31,RAND())</f>
        <v>0</v>
      </c>
      <c r="G2377" s="0" t="n">
        <f aca="true">CRITBINOM(MAX(0,D2377-E2377),1-Coefficients!$B$32,RAND())</f>
        <v>0</v>
      </c>
      <c r="H2377" s="0" t="n">
        <f aca="true">CRITBINOM(MAX(0,$C2377-D2377),MIN(0.6,Matchup!$B$40*SQRT($B2377)/(1-MIN(0.75,Matchup!$B$39*$B2377))),RAND())</f>
        <v>1</v>
      </c>
      <c r="I2377" s="0" t="n">
        <f aca="false">6*D2377+(D2377-E2377-G2377)+2*F2377+3*H2377</f>
        <v>23</v>
      </c>
      <c r="J2377" s="0" t="n">
        <f aca="true">CRITBINOM($C2377,MIN(0.75,Matchup!$C$39*$B2377),RAND())</f>
        <v>2</v>
      </c>
      <c r="K2377" s="0" t="n">
        <f aca="true">CRITBINOM(J2377,Coefficients!$B$30,RAND())</f>
        <v>0</v>
      </c>
      <c r="L2377" s="0" t="n">
        <f aca="true">CRITBINOM(K2377,Coefficients!$B$31,RAND())</f>
        <v>0</v>
      </c>
      <c r="M2377" s="0" t="n">
        <f aca="true">CRITBINOM(MAX(0,J2377-K2377),1-Coefficients!$B$32,RAND())</f>
        <v>0</v>
      </c>
      <c r="N2377" s="0" t="n">
        <f aca="true">CRITBINOM(MAX(0,$C2377-J2377),MIN(0.6,Matchup!$C$40*SQRT($B2377)/(1-MIN(0.75,Matchup!$C$39*$B2377))),RAND())</f>
        <v>1</v>
      </c>
      <c r="O2377" s="0" t="n">
        <f aca="false">6*J2377+(J2377-K2377-M2377)+2*L2377+3*N2377</f>
        <v>17</v>
      </c>
      <c r="P2377" s="0" t="n">
        <f aca="true">RAND()</f>
        <v>0.251710147029269</v>
      </c>
      <c r="Q2377" s="0" t="n">
        <f aca="true">RAND()</f>
        <v>0.206777442427926</v>
      </c>
      <c r="R2377" s="0" t="n">
        <f aca="false">IF($I2377&lt;&gt;$O2377,0,IF(P2377&lt;Matchup!$B$39,7,IF(P2377&lt;Matchup!$B$39+Matchup!$B$40,3,0)))</f>
        <v>0</v>
      </c>
      <c r="S2377" s="0" t="n">
        <f aca="false">IF($I2377&lt;&gt;$O2377,0,IF(Q2377&lt;Matchup!$C$39,7,IF(Q2377&lt;Matchup!$C$39+Matchup!$C$40,3,0)))</f>
        <v>0</v>
      </c>
      <c r="T2377" s="0" t="n">
        <f aca="false">I2377+R2377</f>
        <v>23</v>
      </c>
      <c r="U2377" s="0" t="n">
        <f aca="false">O2377+S2377</f>
        <v>17</v>
      </c>
      <c r="V2377" s="0" t="n">
        <f aca="false">T2377-U2377</f>
        <v>6</v>
      </c>
      <c r="W2377" s="0" t="n">
        <f aca="false">T2377+U2377</f>
        <v>40</v>
      </c>
    </row>
    <row r="2378" customFormat="false" ht="15" hidden="false" customHeight="false" outlineLevel="0" collapsed="false">
      <c r="A2378" s="0" t="n">
        <v>2375</v>
      </c>
      <c r="B2378" s="0" t="n">
        <f aca="true">NORMINV(RAND(),1,Coefficients!$B$22)</f>
        <v>1.02604588503062</v>
      </c>
      <c r="C2378" s="0" t="n">
        <f aca="true">MEDIAN(8,16,ROUND(NORMINV(RAND(),Coefficients!$B$20,Coefficients!$B$21),0))</f>
        <v>10</v>
      </c>
      <c r="D2378" s="0" t="n">
        <f aca="true">CRITBINOM($C2378,MIN(0.75,Matchup!$B$39*$B2378),RAND())</f>
        <v>3</v>
      </c>
      <c r="E2378" s="0" t="n">
        <f aca="true">CRITBINOM(D2378,Coefficients!$B$30,RAND())</f>
        <v>1</v>
      </c>
      <c r="F2378" s="0" t="n">
        <f aca="true">CRITBINOM(E2378,Coefficients!$B$31,RAND())</f>
        <v>1</v>
      </c>
      <c r="G2378" s="0" t="n">
        <f aca="true">CRITBINOM(MAX(0,D2378-E2378),1-Coefficients!$B$32,RAND())</f>
        <v>0</v>
      </c>
      <c r="H2378" s="0" t="n">
        <f aca="true">CRITBINOM(MAX(0,$C2378-D2378),MIN(0.6,Matchup!$B$40*SQRT($B2378)/(1-MIN(0.75,Matchup!$B$39*$B2378))),RAND())</f>
        <v>1</v>
      </c>
      <c r="I2378" s="0" t="n">
        <f aca="false">6*D2378+(D2378-E2378-G2378)+2*F2378+3*H2378</f>
        <v>25</v>
      </c>
      <c r="J2378" s="0" t="n">
        <f aca="true">CRITBINOM($C2378,MIN(0.75,Matchup!$C$39*$B2378),RAND())</f>
        <v>4</v>
      </c>
      <c r="K2378" s="0" t="n">
        <f aca="true">CRITBINOM(J2378,Coefficients!$B$30,RAND())</f>
        <v>0</v>
      </c>
      <c r="L2378" s="0" t="n">
        <f aca="true">CRITBINOM(K2378,Coefficients!$B$31,RAND())</f>
        <v>0</v>
      </c>
      <c r="M2378" s="0" t="n">
        <f aca="true">CRITBINOM(MAX(0,J2378-K2378),1-Coefficients!$B$32,RAND())</f>
        <v>0</v>
      </c>
      <c r="N2378" s="0" t="n">
        <f aca="true">CRITBINOM(MAX(0,$C2378-J2378),MIN(0.6,Matchup!$C$40*SQRT($B2378)/(1-MIN(0.75,Matchup!$C$39*$B2378))),RAND())</f>
        <v>0</v>
      </c>
      <c r="O2378" s="0" t="n">
        <f aca="false">6*J2378+(J2378-K2378-M2378)+2*L2378+3*N2378</f>
        <v>28</v>
      </c>
      <c r="P2378" s="0" t="n">
        <f aca="true">RAND()</f>
        <v>0.301962203503944</v>
      </c>
      <c r="Q2378" s="0" t="n">
        <f aca="true">RAND()</f>
        <v>0.75503217871384</v>
      </c>
      <c r="R2378" s="0" t="n">
        <f aca="false">IF($I2378&lt;&gt;$O2378,0,IF(P2378&lt;Matchup!$B$39,7,IF(P2378&lt;Matchup!$B$39+Matchup!$B$40,3,0)))</f>
        <v>0</v>
      </c>
      <c r="S2378" s="0" t="n">
        <f aca="false">IF($I2378&lt;&gt;$O2378,0,IF(Q2378&lt;Matchup!$C$39,7,IF(Q2378&lt;Matchup!$C$39+Matchup!$C$40,3,0)))</f>
        <v>0</v>
      </c>
      <c r="T2378" s="0" t="n">
        <f aca="false">I2378+R2378</f>
        <v>25</v>
      </c>
      <c r="U2378" s="0" t="n">
        <f aca="false">O2378+S2378</f>
        <v>28</v>
      </c>
      <c r="V2378" s="0" t="n">
        <f aca="false">T2378-U2378</f>
        <v>-3</v>
      </c>
      <c r="W2378" s="0" t="n">
        <f aca="false">T2378+U2378</f>
        <v>53</v>
      </c>
    </row>
    <row r="2379" customFormat="false" ht="15" hidden="false" customHeight="false" outlineLevel="0" collapsed="false">
      <c r="A2379" s="0" t="n">
        <v>2376</v>
      </c>
      <c r="B2379" s="0" t="n">
        <f aca="true">NORMINV(RAND(),1,Coefficients!$B$22)</f>
        <v>1.0994010881675</v>
      </c>
      <c r="C2379" s="0" t="n">
        <f aca="true">MEDIAN(8,16,ROUND(NORMINV(RAND(),Coefficients!$B$20,Coefficients!$B$21),0))</f>
        <v>10</v>
      </c>
      <c r="D2379" s="0" t="n">
        <f aca="true">CRITBINOM($C2379,MIN(0.75,Matchup!$B$39*$B2379),RAND())</f>
        <v>3</v>
      </c>
      <c r="E2379" s="0" t="n">
        <f aca="true">CRITBINOM(D2379,Coefficients!$B$30,RAND())</f>
        <v>0</v>
      </c>
      <c r="F2379" s="0" t="n">
        <f aca="true">CRITBINOM(E2379,Coefficients!$B$31,RAND())</f>
        <v>0</v>
      </c>
      <c r="G2379" s="0" t="n">
        <f aca="true">CRITBINOM(MAX(0,D2379-E2379),1-Coefficients!$B$32,RAND())</f>
        <v>1</v>
      </c>
      <c r="H2379" s="0" t="n">
        <f aca="true">CRITBINOM(MAX(0,$C2379-D2379),MIN(0.6,Matchup!$B$40*SQRT($B2379)/(1-MIN(0.75,Matchup!$B$39*$B2379))),RAND())</f>
        <v>4</v>
      </c>
      <c r="I2379" s="0" t="n">
        <f aca="false">6*D2379+(D2379-E2379-G2379)+2*F2379+3*H2379</f>
        <v>32</v>
      </c>
      <c r="J2379" s="0" t="n">
        <f aca="true">CRITBINOM($C2379,MIN(0.75,Matchup!$C$39*$B2379),RAND())</f>
        <v>0</v>
      </c>
      <c r="K2379" s="0" t="n">
        <f aca="true">CRITBINOM(J2379,Coefficients!$B$30,RAND())</f>
        <v>0</v>
      </c>
      <c r="L2379" s="0" t="n">
        <f aca="true">CRITBINOM(K2379,Coefficients!$B$31,RAND())</f>
        <v>0</v>
      </c>
      <c r="M2379" s="0" t="n">
        <f aca="true">CRITBINOM(MAX(0,J2379-K2379),1-Coefficients!$B$32,RAND())</f>
        <v>0</v>
      </c>
      <c r="N2379" s="0" t="n">
        <f aca="true">CRITBINOM(MAX(0,$C2379-J2379),MIN(0.6,Matchup!$C$40*SQRT($B2379)/(1-MIN(0.75,Matchup!$C$39*$B2379))),RAND())</f>
        <v>3</v>
      </c>
      <c r="O2379" s="0" t="n">
        <f aca="false">6*J2379+(J2379-K2379-M2379)+2*L2379+3*N2379</f>
        <v>9</v>
      </c>
      <c r="P2379" s="0" t="n">
        <f aca="true">RAND()</f>
        <v>0.520441796832537</v>
      </c>
      <c r="Q2379" s="0" t="n">
        <f aca="true">RAND()</f>
        <v>0.0428743821872708</v>
      </c>
      <c r="R2379" s="0" t="n">
        <f aca="false">IF($I2379&lt;&gt;$O2379,0,IF(P2379&lt;Matchup!$B$39,7,IF(P2379&lt;Matchup!$B$39+Matchup!$B$40,3,0)))</f>
        <v>0</v>
      </c>
      <c r="S2379" s="0" t="n">
        <f aca="false">IF($I2379&lt;&gt;$O2379,0,IF(Q2379&lt;Matchup!$C$39,7,IF(Q2379&lt;Matchup!$C$39+Matchup!$C$40,3,0)))</f>
        <v>0</v>
      </c>
      <c r="T2379" s="0" t="n">
        <f aca="false">I2379+R2379</f>
        <v>32</v>
      </c>
      <c r="U2379" s="0" t="n">
        <f aca="false">O2379+S2379</f>
        <v>9</v>
      </c>
      <c r="V2379" s="0" t="n">
        <f aca="false">T2379-U2379</f>
        <v>23</v>
      </c>
      <c r="W2379" s="0" t="n">
        <f aca="false">T2379+U2379</f>
        <v>41</v>
      </c>
    </row>
    <row r="2380" customFormat="false" ht="15" hidden="false" customHeight="false" outlineLevel="0" collapsed="false">
      <c r="A2380" s="0" t="n">
        <v>2377</v>
      </c>
      <c r="B2380" s="0" t="n">
        <f aca="true">NORMINV(RAND(),1,Coefficients!$B$22)</f>
        <v>1.006467495788</v>
      </c>
      <c r="C2380" s="0" t="n">
        <f aca="true">MEDIAN(8,16,ROUND(NORMINV(RAND(),Coefficients!$B$20,Coefficients!$B$21),0))</f>
        <v>11</v>
      </c>
      <c r="D2380" s="0" t="n">
        <f aca="true">CRITBINOM($C2380,MIN(0.75,Matchup!$B$39*$B2380),RAND())</f>
        <v>3</v>
      </c>
      <c r="E2380" s="0" t="n">
        <f aca="true">CRITBINOM(D2380,Coefficients!$B$30,RAND())</f>
        <v>1</v>
      </c>
      <c r="F2380" s="0" t="n">
        <f aca="true">CRITBINOM(E2380,Coefficients!$B$31,RAND())</f>
        <v>1</v>
      </c>
      <c r="G2380" s="0" t="n">
        <f aca="true">CRITBINOM(MAX(0,D2380-E2380),1-Coefficients!$B$32,RAND())</f>
        <v>0</v>
      </c>
      <c r="H2380" s="0" t="n">
        <f aca="true">CRITBINOM(MAX(0,$C2380-D2380),MIN(0.6,Matchup!$B$40*SQRT($B2380)/(1-MIN(0.75,Matchup!$B$39*$B2380))),RAND())</f>
        <v>2</v>
      </c>
      <c r="I2380" s="0" t="n">
        <f aca="false">6*D2380+(D2380-E2380-G2380)+2*F2380+3*H2380</f>
        <v>28</v>
      </c>
      <c r="J2380" s="0" t="n">
        <f aca="true">CRITBINOM($C2380,MIN(0.75,Matchup!$C$39*$B2380),RAND())</f>
        <v>6</v>
      </c>
      <c r="K2380" s="0" t="n">
        <f aca="true">CRITBINOM(J2380,Coefficients!$B$30,RAND())</f>
        <v>2</v>
      </c>
      <c r="L2380" s="0" t="n">
        <f aca="true">CRITBINOM(K2380,Coefficients!$B$31,RAND())</f>
        <v>1</v>
      </c>
      <c r="M2380" s="0" t="n">
        <f aca="true">CRITBINOM(MAX(0,J2380-K2380),1-Coefficients!$B$32,RAND())</f>
        <v>0</v>
      </c>
      <c r="N2380" s="0" t="n">
        <f aca="true">CRITBINOM(MAX(0,$C2380-J2380),MIN(0.6,Matchup!$C$40*SQRT($B2380)/(1-MIN(0.75,Matchup!$C$39*$B2380))),RAND())</f>
        <v>0</v>
      </c>
      <c r="O2380" s="0" t="n">
        <f aca="false">6*J2380+(J2380-K2380-M2380)+2*L2380+3*N2380</f>
        <v>42</v>
      </c>
      <c r="P2380" s="0" t="n">
        <f aca="true">RAND()</f>
        <v>0.00941310166158261</v>
      </c>
      <c r="Q2380" s="0" t="n">
        <f aca="true">RAND()</f>
        <v>0.559700287499112</v>
      </c>
      <c r="R2380" s="0" t="n">
        <f aca="false">IF($I2380&lt;&gt;$O2380,0,IF(P2380&lt;Matchup!$B$39,7,IF(P2380&lt;Matchup!$B$39+Matchup!$B$40,3,0)))</f>
        <v>0</v>
      </c>
      <c r="S2380" s="0" t="n">
        <f aca="false">IF($I2380&lt;&gt;$O2380,0,IF(Q2380&lt;Matchup!$C$39,7,IF(Q2380&lt;Matchup!$C$39+Matchup!$C$40,3,0)))</f>
        <v>0</v>
      </c>
      <c r="T2380" s="0" t="n">
        <f aca="false">I2380+R2380</f>
        <v>28</v>
      </c>
      <c r="U2380" s="0" t="n">
        <f aca="false">O2380+S2380</f>
        <v>42</v>
      </c>
      <c r="V2380" s="0" t="n">
        <f aca="false">T2380-U2380</f>
        <v>-14</v>
      </c>
      <c r="W2380" s="0" t="n">
        <f aca="false">T2380+U2380</f>
        <v>70</v>
      </c>
    </row>
    <row r="2381" customFormat="false" ht="15" hidden="false" customHeight="false" outlineLevel="0" collapsed="false">
      <c r="A2381" s="0" t="n">
        <v>2378</v>
      </c>
      <c r="B2381" s="0" t="n">
        <f aca="true">NORMINV(RAND(),1,Coefficients!$B$22)</f>
        <v>1.0089786490195</v>
      </c>
      <c r="C2381" s="0" t="n">
        <f aca="true">MEDIAN(8,16,ROUND(NORMINV(RAND(),Coefficients!$B$20,Coefficients!$B$21),0))</f>
        <v>11</v>
      </c>
      <c r="D2381" s="0" t="n">
        <f aca="true">CRITBINOM($C2381,MIN(0.75,Matchup!$B$39*$B2381),RAND())</f>
        <v>5</v>
      </c>
      <c r="E2381" s="0" t="n">
        <f aca="true">CRITBINOM(D2381,Coefficients!$B$30,RAND())</f>
        <v>1</v>
      </c>
      <c r="F2381" s="0" t="n">
        <f aca="true">CRITBINOM(E2381,Coefficients!$B$31,RAND())</f>
        <v>1</v>
      </c>
      <c r="G2381" s="0" t="n">
        <f aca="true">CRITBINOM(MAX(0,D2381-E2381),1-Coefficients!$B$32,RAND())</f>
        <v>2</v>
      </c>
      <c r="H2381" s="0" t="n">
        <f aca="true">CRITBINOM(MAX(0,$C2381-D2381),MIN(0.6,Matchup!$B$40*SQRT($B2381)/(1-MIN(0.75,Matchup!$B$39*$B2381))),RAND())</f>
        <v>3</v>
      </c>
      <c r="I2381" s="0" t="n">
        <f aca="false">6*D2381+(D2381-E2381-G2381)+2*F2381+3*H2381</f>
        <v>43</v>
      </c>
      <c r="J2381" s="0" t="n">
        <f aca="true">CRITBINOM($C2381,MIN(0.75,Matchup!$C$39*$B2381),RAND())</f>
        <v>4</v>
      </c>
      <c r="K2381" s="0" t="n">
        <f aca="true">CRITBINOM(J2381,Coefficients!$B$30,RAND())</f>
        <v>0</v>
      </c>
      <c r="L2381" s="0" t="n">
        <f aca="true">CRITBINOM(K2381,Coefficients!$B$31,RAND())</f>
        <v>0</v>
      </c>
      <c r="M2381" s="0" t="n">
        <f aca="true">CRITBINOM(MAX(0,J2381-K2381),1-Coefficients!$B$32,RAND())</f>
        <v>0</v>
      </c>
      <c r="N2381" s="0" t="n">
        <f aca="true">CRITBINOM(MAX(0,$C2381-J2381),MIN(0.6,Matchup!$C$40*SQRT($B2381)/(1-MIN(0.75,Matchup!$C$39*$B2381))),RAND())</f>
        <v>0</v>
      </c>
      <c r="O2381" s="0" t="n">
        <f aca="false">6*J2381+(J2381-K2381-M2381)+2*L2381+3*N2381</f>
        <v>28</v>
      </c>
      <c r="P2381" s="0" t="n">
        <f aca="true">RAND()</f>
        <v>0.619835302590652</v>
      </c>
      <c r="Q2381" s="0" t="n">
        <f aca="true">RAND()</f>
        <v>0.900420886393325</v>
      </c>
      <c r="R2381" s="0" t="n">
        <f aca="false">IF($I2381&lt;&gt;$O2381,0,IF(P2381&lt;Matchup!$B$39,7,IF(P2381&lt;Matchup!$B$39+Matchup!$B$40,3,0)))</f>
        <v>0</v>
      </c>
      <c r="S2381" s="0" t="n">
        <f aca="false">IF($I2381&lt;&gt;$O2381,0,IF(Q2381&lt;Matchup!$C$39,7,IF(Q2381&lt;Matchup!$C$39+Matchup!$C$40,3,0)))</f>
        <v>0</v>
      </c>
      <c r="T2381" s="0" t="n">
        <f aca="false">I2381+R2381</f>
        <v>43</v>
      </c>
      <c r="U2381" s="0" t="n">
        <f aca="false">O2381+S2381</f>
        <v>28</v>
      </c>
      <c r="V2381" s="0" t="n">
        <f aca="false">T2381-U2381</f>
        <v>15</v>
      </c>
      <c r="W2381" s="0" t="n">
        <f aca="false">T2381+U2381</f>
        <v>71</v>
      </c>
    </row>
    <row r="2382" customFormat="false" ht="15" hidden="false" customHeight="false" outlineLevel="0" collapsed="false">
      <c r="A2382" s="0" t="n">
        <v>2379</v>
      </c>
      <c r="B2382" s="0" t="n">
        <f aca="true">NORMINV(RAND(),1,Coefficients!$B$22)</f>
        <v>1.10258384659652</v>
      </c>
      <c r="C2382" s="0" t="n">
        <f aca="true">MEDIAN(8,16,ROUND(NORMINV(RAND(),Coefficients!$B$20,Coefficients!$B$21),0))</f>
        <v>11</v>
      </c>
      <c r="D2382" s="0" t="n">
        <f aca="true">CRITBINOM($C2382,MIN(0.75,Matchup!$B$39*$B2382),RAND())</f>
        <v>2</v>
      </c>
      <c r="E2382" s="0" t="n">
        <f aca="true">CRITBINOM(D2382,Coefficients!$B$30,RAND())</f>
        <v>1</v>
      </c>
      <c r="F2382" s="0" t="n">
        <f aca="true">CRITBINOM(E2382,Coefficients!$B$31,RAND())</f>
        <v>1</v>
      </c>
      <c r="G2382" s="0" t="n">
        <f aca="true">CRITBINOM(MAX(0,D2382-E2382),1-Coefficients!$B$32,RAND())</f>
        <v>0</v>
      </c>
      <c r="H2382" s="0" t="n">
        <f aca="true">CRITBINOM(MAX(0,$C2382-D2382),MIN(0.6,Matchup!$B$40*SQRT($B2382)/(1-MIN(0.75,Matchup!$B$39*$B2382))),RAND())</f>
        <v>1</v>
      </c>
      <c r="I2382" s="0" t="n">
        <f aca="false">6*D2382+(D2382-E2382-G2382)+2*F2382+3*H2382</f>
        <v>18</v>
      </c>
      <c r="J2382" s="0" t="n">
        <f aca="true">CRITBINOM($C2382,MIN(0.75,Matchup!$C$39*$B2382),RAND())</f>
        <v>4</v>
      </c>
      <c r="K2382" s="0" t="n">
        <f aca="true">CRITBINOM(J2382,Coefficients!$B$30,RAND())</f>
        <v>0</v>
      </c>
      <c r="L2382" s="0" t="n">
        <f aca="true">CRITBINOM(K2382,Coefficients!$B$31,RAND())</f>
        <v>0</v>
      </c>
      <c r="M2382" s="0" t="n">
        <f aca="true">CRITBINOM(MAX(0,J2382-K2382),1-Coefficients!$B$32,RAND())</f>
        <v>0</v>
      </c>
      <c r="N2382" s="0" t="n">
        <f aca="true">CRITBINOM(MAX(0,$C2382-J2382),MIN(0.6,Matchup!$C$40*SQRT($B2382)/(1-MIN(0.75,Matchup!$C$39*$B2382))),RAND())</f>
        <v>2</v>
      </c>
      <c r="O2382" s="0" t="n">
        <f aca="false">6*J2382+(J2382-K2382-M2382)+2*L2382+3*N2382</f>
        <v>34</v>
      </c>
      <c r="P2382" s="0" t="n">
        <f aca="true">RAND()</f>
        <v>0.31317191184198</v>
      </c>
      <c r="Q2382" s="0" t="n">
        <f aca="true">RAND()</f>
        <v>0.233270078013147</v>
      </c>
      <c r="R2382" s="0" t="n">
        <f aca="false">IF($I2382&lt;&gt;$O2382,0,IF(P2382&lt;Matchup!$B$39,7,IF(P2382&lt;Matchup!$B$39+Matchup!$B$40,3,0)))</f>
        <v>0</v>
      </c>
      <c r="S2382" s="0" t="n">
        <f aca="false">IF($I2382&lt;&gt;$O2382,0,IF(Q2382&lt;Matchup!$C$39,7,IF(Q2382&lt;Matchup!$C$39+Matchup!$C$40,3,0)))</f>
        <v>0</v>
      </c>
      <c r="T2382" s="0" t="n">
        <f aca="false">I2382+R2382</f>
        <v>18</v>
      </c>
      <c r="U2382" s="0" t="n">
        <f aca="false">O2382+S2382</f>
        <v>34</v>
      </c>
      <c r="V2382" s="0" t="n">
        <f aca="false">T2382-U2382</f>
        <v>-16</v>
      </c>
      <c r="W2382" s="0" t="n">
        <f aca="false">T2382+U2382</f>
        <v>52</v>
      </c>
    </row>
    <row r="2383" customFormat="false" ht="15" hidden="false" customHeight="false" outlineLevel="0" collapsed="false">
      <c r="A2383" s="0" t="n">
        <v>2380</v>
      </c>
      <c r="B2383" s="0" t="n">
        <f aca="true">NORMINV(RAND(),1,Coefficients!$B$22)</f>
        <v>0.96169958240857</v>
      </c>
      <c r="C2383" s="0" t="n">
        <f aca="true">MEDIAN(8,16,ROUND(NORMINV(RAND(),Coefficients!$B$20,Coefficients!$B$21),0))</f>
        <v>11</v>
      </c>
      <c r="D2383" s="0" t="n">
        <f aca="true">CRITBINOM($C2383,MIN(0.75,Matchup!$B$39*$B2383),RAND())</f>
        <v>2</v>
      </c>
      <c r="E2383" s="0" t="n">
        <f aca="true">CRITBINOM(D2383,Coefficients!$B$30,RAND())</f>
        <v>0</v>
      </c>
      <c r="F2383" s="0" t="n">
        <f aca="true">CRITBINOM(E2383,Coefficients!$B$31,RAND())</f>
        <v>0</v>
      </c>
      <c r="G2383" s="0" t="n">
        <f aca="true">CRITBINOM(MAX(0,D2383-E2383),1-Coefficients!$B$32,RAND())</f>
        <v>0</v>
      </c>
      <c r="H2383" s="0" t="n">
        <f aca="true">CRITBINOM(MAX(0,$C2383-D2383),MIN(0.6,Matchup!$B$40*SQRT($B2383)/(1-MIN(0.75,Matchup!$B$39*$B2383))),RAND())</f>
        <v>2</v>
      </c>
      <c r="I2383" s="0" t="n">
        <f aca="false">6*D2383+(D2383-E2383-G2383)+2*F2383+3*H2383</f>
        <v>20</v>
      </c>
      <c r="J2383" s="0" t="n">
        <f aca="true">CRITBINOM($C2383,MIN(0.75,Matchup!$C$39*$B2383),RAND())</f>
        <v>1</v>
      </c>
      <c r="K2383" s="0" t="n">
        <f aca="true">CRITBINOM(J2383,Coefficients!$B$30,RAND())</f>
        <v>0</v>
      </c>
      <c r="L2383" s="0" t="n">
        <f aca="true">CRITBINOM(K2383,Coefficients!$B$31,RAND())</f>
        <v>0</v>
      </c>
      <c r="M2383" s="0" t="n">
        <f aca="true">CRITBINOM(MAX(0,J2383-K2383),1-Coefficients!$B$32,RAND())</f>
        <v>0</v>
      </c>
      <c r="N2383" s="0" t="n">
        <f aca="true">CRITBINOM(MAX(0,$C2383-J2383),MIN(0.6,Matchup!$C$40*SQRT($B2383)/(1-MIN(0.75,Matchup!$C$39*$B2383))),RAND())</f>
        <v>3</v>
      </c>
      <c r="O2383" s="0" t="n">
        <f aca="false">6*J2383+(J2383-K2383-M2383)+2*L2383+3*N2383</f>
        <v>16</v>
      </c>
      <c r="P2383" s="0" t="n">
        <f aca="true">RAND()</f>
        <v>0.452310400962915</v>
      </c>
      <c r="Q2383" s="0" t="n">
        <f aca="true">RAND()</f>
        <v>0.892878229621477</v>
      </c>
      <c r="R2383" s="0" t="n">
        <f aca="false">IF($I2383&lt;&gt;$O2383,0,IF(P2383&lt;Matchup!$B$39,7,IF(P2383&lt;Matchup!$B$39+Matchup!$B$40,3,0)))</f>
        <v>0</v>
      </c>
      <c r="S2383" s="0" t="n">
        <f aca="false">IF($I2383&lt;&gt;$O2383,0,IF(Q2383&lt;Matchup!$C$39,7,IF(Q2383&lt;Matchup!$C$39+Matchup!$C$40,3,0)))</f>
        <v>0</v>
      </c>
      <c r="T2383" s="0" t="n">
        <f aca="false">I2383+R2383</f>
        <v>20</v>
      </c>
      <c r="U2383" s="0" t="n">
        <f aca="false">O2383+S2383</f>
        <v>16</v>
      </c>
      <c r="V2383" s="0" t="n">
        <f aca="false">T2383-U2383</f>
        <v>4</v>
      </c>
      <c r="W2383" s="0" t="n">
        <f aca="false">T2383+U2383</f>
        <v>36</v>
      </c>
    </row>
    <row r="2384" customFormat="false" ht="15" hidden="false" customHeight="false" outlineLevel="0" collapsed="false">
      <c r="A2384" s="0" t="n">
        <v>2381</v>
      </c>
      <c r="B2384" s="0" t="n">
        <f aca="true">NORMINV(RAND(),1,Coefficients!$B$22)</f>
        <v>1.0159710078881</v>
      </c>
      <c r="C2384" s="0" t="n">
        <f aca="true">MEDIAN(8,16,ROUND(NORMINV(RAND(),Coefficients!$B$20,Coefficients!$B$21),0))</f>
        <v>10</v>
      </c>
      <c r="D2384" s="0" t="n">
        <f aca="true">CRITBINOM($C2384,MIN(0.75,Matchup!$B$39*$B2384),RAND())</f>
        <v>2</v>
      </c>
      <c r="E2384" s="0" t="n">
        <f aca="true">CRITBINOM(D2384,Coefficients!$B$30,RAND())</f>
        <v>1</v>
      </c>
      <c r="F2384" s="0" t="n">
        <f aca="true">CRITBINOM(E2384,Coefficients!$B$31,RAND())</f>
        <v>1</v>
      </c>
      <c r="G2384" s="0" t="n">
        <f aca="true">CRITBINOM(MAX(0,D2384-E2384),1-Coefficients!$B$32,RAND())</f>
        <v>0</v>
      </c>
      <c r="H2384" s="0" t="n">
        <f aca="true">CRITBINOM(MAX(0,$C2384-D2384),MIN(0.6,Matchup!$B$40*SQRT($B2384)/(1-MIN(0.75,Matchup!$B$39*$B2384))),RAND())</f>
        <v>1</v>
      </c>
      <c r="I2384" s="0" t="n">
        <f aca="false">6*D2384+(D2384-E2384-G2384)+2*F2384+3*H2384</f>
        <v>18</v>
      </c>
      <c r="J2384" s="0" t="n">
        <f aca="true">CRITBINOM($C2384,MIN(0.75,Matchup!$C$39*$B2384),RAND())</f>
        <v>2</v>
      </c>
      <c r="K2384" s="0" t="n">
        <f aca="true">CRITBINOM(J2384,Coefficients!$B$30,RAND())</f>
        <v>0</v>
      </c>
      <c r="L2384" s="0" t="n">
        <f aca="true">CRITBINOM(K2384,Coefficients!$B$31,RAND())</f>
        <v>0</v>
      </c>
      <c r="M2384" s="0" t="n">
        <f aca="true">CRITBINOM(MAX(0,J2384-K2384),1-Coefficients!$B$32,RAND())</f>
        <v>0</v>
      </c>
      <c r="N2384" s="0" t="n">
        <f aca="true">CRITBINOM(MAX(0,$C2384-J2384),MIN(0.6,Matchup!$C$40*SQRT($B2384)/(1-MIN(0.75,Matchup!$C$39*$B2384))),RAND())</f>
        <v>3</v>
      </c>
      <c r="O2384" s="0" t="n">
        <f aca="false">6*J2384+(J2384-K2384-M2384)+2*L2384+3*N2384</f>
        <v>23</v>
      </c>
      <c r="P2384" s="0" t="n">
        <f aca="true">RAND()</f>
        <v>0.55311064016277</v>
      </c>
      <c r="Q2384" s="0" t="n">
        <f aca="true">RAND()</f>
        <v>0.792248772744029</v>
      </c>
      <c r="R2384" s="0" t="n">
        <f aca="false">IF($I2384&lt;&gt;$O2384,0,IF(P2384&lt;Matchup!$B$39,7,IF(P2384&lt;Matchup!$B$39+Matchup!$B$40,3,0)))</f>
        <v>0</v>
      </c>
      <c r="S2384" s="0" t="n">
        <f aca="false">IF($I2384&lt;&gt;$O2384,0,IF(Q2384&lt;Matchup!$C$39,7,IF(Q2384&lt;Matchup!$C$39+Matchup!$C$40,3,0)))</f>
        <v>0</v>
      </c>
      <c r="T2384" s="0" t="n">
        <f aca="false">I2384+R2384</f>
        <v>18</v>
      </c>
      <c r="U2384" s="0" t="n">
        <f aca="false">O2384+S2384</f>
        <v>23</v>
      </c>
      <c r="V2384" s="0" t="n">
        <f aca="false">T2384-U2384</f>
        <v>-5</v>
      </c>
      <c r="W2384" s="0" t="n">
        <f aca="false">T2384+U2384</f>
        <v>41</v>
      </c>
    </row>
    <row r="2385" customFormat="false" ht="15" hidden="false" customHeight="false" outlineLevel="0" collapsed="false">
      <c r="A2385" s="0" t="n">
        <v>2382</v>
      </c>
      <c r="B2385" s="0" t="n">
        <f aca="true">NORMINV(RAND(),1,Coefficients!$B$22)</f>
        <v>0.945093363054966</v>
      </c>
      <c r="C2385" s="0" t="n">
        <f aca="true">MEDIAN(8,16,ROUND(NORMINV(RAND(),Coefficients!$B$20,Coefficients!$B$21),0))</f>
        <v>11</v>
      </c>
      <c r="D2385" s="0" t="n">
        <f aca="true">CRITBINOM($C2385,MIN(0.75,Matchup!$B$39*$B2385),RAND())</f>
        <v>2</v>
      </c>
      <c r="E2385" s="0" t="n">
        <f aca="true">CRITBINOM(D2385,Coefficients!$B$30,RAND())</f>
        <v>0</v>
      </c>
      <c r="F2385" s="0" t="n">
        <f aca="true">CRITBINOM(E2385,Coefficients!$B$31,RAND())</f>
        <v>0</v>
      </c>
      <c r="G2385" s="0" t="n">
        <f aca="true">CRITBINOM(MAX(0,D2385-E2385),1-Coefficients!$B$32,RAND())</f>
        <v>0</v>
      </c>
      <c r="H2385" s="0" t="n">
        <f aca="true">CRITBINOM(MAX(0,$C2385-D2385),MIN(0.6,Matchup!$B$40*SQRT($B2385)/(1-MIN(0.75,Matchup!$B$39*$B2385))),RAND())</f>
        <v>0</v>
      </c>
      <c r="I2385" s="0" t="n">
        <f aca="false">6*D2385+(D2385-E2385-G2385)+2*F2385+3*H2385</f>
        <v>14</v>
      </c>
      <c r="J2385" s="0" t="n">
        <f aca="true">CRITBINOM($C2385,MIN(0.75,Matchup!$C$39*$B2385),RAND())</f>
        <v>2</v>
      </c>
      <c r="K2385" s="0" t="n">
        <f aca="true">CRITBINOM(J2385,Coefficients!$B$30,RAND())</f>
        <v>0</v>
      </c>
      <c r="L2385" s="0" t="n">
        <f aca="true">CRITBINOM(K2385,Coefficients!$B$31,RAND())</f>
        <v>0</v>
      </c>
      <c r="M2385" s="0" t="n">
        <f aca="true">CRITBINOM(MAX(0,J2385-K2385),1-Coefficients!$B$32,RAND())</f>
        <v>0</v>
      </c>
      <c r="N2385" s="0" t="n">
        <f aca="true">CRITBINOM(MAX(0,$C2385-J2385),MIN(0.6,Matchup!$C$40*SQRT($B2385)/(1-MIN(0.75,Matchup!$C$39*$B2385))),RAND())</f>
        <v>0</v>
      </c>
      <c r="O2385" s="0" t="n">
        <f aca="false">6*J2385+(J2385-K2385-M2385)+2*L2385+3*N2385</f>
        <v>14</v>
      </c>
      <c r="P2385" s="0" t="n">
        <f aca="true">RAND()</f>
        <v>0.181158987682739</v>
      </c>
      <c r="Q2385" s="0" t="n">
        <f aca="true">RAND()</f>
        <v>0.605515696575299</v>
      </c>
      <c r="R2385" s="0" t="n">
        <f aca="false">IF($I2385&lt;&gt;$O2385,0,IF(P2385&lt;Matchup!$B$39,7,IF(P2385&lt;Matchup!$B$39+Matchup!$B$40,3,0)))</f>
        <v>7</v>
      </c>
      <c r="S2385" s="0" t="n">
        <f aca="false">IF($I2385&lt;&gt;$O2385,0,IF(Q2385&lt;Matchup!$C$39,7,IF(Q2385&lt;Matchup!$C$39+Matchup!$C$40,3,0)))</f>
        <v>0</v>
      </c>
      <c r="T2385" s="0" t="n">
        <f aca="false">I2385+R2385</f>
        <v>21</v>
      </c>
      <c r="U2385" s="0" t="n">
        <f aca="false">O2385+S2385</f>
        <v>14</v>
      </c>
      <c r="V2385" s="0" t="n">
        <f aca="false">T2385-U2385</f>
        <v>7</v>
      </c>
      <c r="W2385" s="0" t="n">
        <f aca="false">T2385+U2385</f>
        <v>35</v>
      </c>
    </row>
    <row r="2386" customFormat="false" ht="15" hidden="false" customHeight="false" outlineLevel="0" collapsed="false">
      <c r="A2386" s="0" t="n">
        <v>2383</v>
      </c>
      <c r="B2386" s="0" t="n">
        <f aca="true">NORMINV(RAND(),1,Coefficients!$B$22)</f>
        <v>0.801740123624011</v>
      </c>
      <c r="C2386" s="0" t="n">
        <f aca="true">MEDIAN(8,16,ROUND(NORMINV(RAND(),Coefficients!$B$20,Coefficients!$B$21),0))</f>
        <v>11</v>
      </c>
      <c r="D2386" s="0" t="n">
        <f aca="true">CRITBINOM($C2386,MIN(0.75,Matchup!$B$39*$B2386),RAND())</f>
        <v>1</v>
      </c>
      <c r="E2386" s="0" t="n">
        <f aca="true">CRITBINOM(D2386,Coefficients!$B$30,RAND())</f>
        <v>0</v>
      </c>
      <c r="F2386" s="0" t="n">
        <f aca="true">CRITBINOM(E2386,Coefficients!$B$31,RAND())</f>
        <v>0</v>
      </c>
      <c r="G2386" s="0" t="n">
        <f aca="true">CRITBINOM(MAX(0,D2386-E2386),1-Coefficients!$B$32,RAND())</f>
        <v>0</v>
      </c>
      <c r="H2386" s="0" t="n">
        <f aca="true">CRITBINOM(MAX(0,$C2386-D2386),MIN(0.6,Matchup!$B$40*SQRT($B2386)/(1-MIN(0.75,Matchup!$B$39*$B2386))),RAND())</f>
        <v>1</v>
      </c>
      <c r="I2386" s="0" t="n">
        <f aca="false">6*D2386+(D2386-E2386-G2386)+2*F2386+3*H2386</f>
        <v>10</v>
      </c>
      <c r="J2386" s="0" t="n">
        <f aca="true">CRITBINOM($C2386,MIN(0.75,Matchup!$C$39*$B2386),RAND())</f>
        <v>2</v>
      </c>
      <c r="K2386" s="0" t="n">
        <f aca="true">CRITBINOM(J2386,Coefficients!$B$30,RAND())</f>
        <v>0</v>
      </c>
      <c r="L2386" s="0" t="n">
        <f aca="true">CRITBINOM(K2386,Coefficients!$B$31,RAND())</f>
        <v>0</v>
      </c>
      <c r="M2386" s="0" t="n">
        <f aca="true">CRITBINOM(MAX(0,J2386-K2386),1-Coefficients!$B$32,RAND())</f>
        <v>0</v>
      </c>
      <c r="N2386" s="0" t="n">
        <f aca="true">CRITBINOM(MAX(0,$C2386-J2386),MIN(0.6,Matchup!$C$40*SQRT($B2386)/(1-MIN(0.75,Matchup!$C$39*$B2386))),RAND())</f>
        <v>0</v>
      </c>
      <c r="O2386" s="0" t="n">
        <f aca="false">6*J2386+(J2386-K2386-M2386)+2*L2386+3*N2386</f>
        <v>14</v>
      </c>
      <c r="P2386" s="0" t="n">
        <f aca="true">RAND()</f>
        <v>0.626910246310107</v>
      </c>
      <c r="Q2386" s="0" t="n">
        <f aca="true">RAND()</f>
        <v>0.40383732671757</v>
      </c>
      <c r="R2386" s="0" t="n">
        <f aca="false">IF($I2386&lt;&gt;$O2386,0,IF(P2386&lt;Matchup!$B$39,7,IF(P2386&lt;Matchup!$B$39+Matchup!$B$40,3,0)))</f>
        <v>0</v>
      </c>
      <c r="S2386" s="0" t="n">
        <f aca="false">IF($I2386&lt;&gt;$O2386,0,IF(Q2386&lt;Matchup!$C$39,7,IF(Q2386&lt;Matchup!$C$39+Matchup!$C$40,3,0)))</f>
        <v>0</v>
      </c>
      <c r="T2386" s="0" t="n">
        <f aca="false">I2386+R2386</f>
        <v>10</v>
      </c>
      <c r="U2386" s="0" t="n">
        <f aca="false">O2386+S2386</f>
        <v>14</v>
      </c>
      <c r="V2386" s="0" t="n">
        <f aca="false">T2386-U2386</f>
        <v>-4</v>
      </c>
      <c r="W2386" s="0" t="n">
        <f aca="false">T2386+U2386</f>
        <v>24</v>
      </c>
    </row>
    <row r="2387" customFormat="false" ht="15" hidden="false" customHeight="false" outlineLevel="0" collapsed="false">
      <c r="A2387" s="0" t="n">
        <v>2384</v>
      </c>
      <c r="B2387" s="0" t="n">
        <f aca="true">NORMINV(RAND(),1,Coefficients!$B$22)</f>
        <v>1.082877899943</v>
      </c>
      <c r="C2387" s="0" t="n">
        <f aca="true">MEDIAN(8,16,ROUND(NORMINV(RAND(),Coefficients!$B$20,Coefficients!$B$21),0))</f>
        <v>12</v>
      </c>
      <c r="D2387" s="0" t="n">
        <f aca="true">CRITBINOM($C2387,MIN(0.75,Matchup!$B$39*$B2387),RAND())</f>
        <v>6</v>
      </c>
      <c r="E2387" s="0" t="n">
        <f aca="true">CRITBINOM(D2387,Coefficients!$B$30,RAND())</f>
        <v>0</v>
      </c>
      <c r="F2387" s="0" t="n">
        <f aca="true">CRITBINOM(E2387,Coefficients!$B$31,RAND())</f>
        <v>0</v>
      </c>
      <c r="G2387" s="0" t="n">
        <f aca="true">CRITBINOM(MAX(0,D2387-E2387),1-Coefficients!$B$32,RAND())</f>
        <v>1</v>
      </c>
      <c r="H2387" s="0" t="n">
        <f aca="true">CRITBINOM(MAX(0,$C2387-D2387),MIN(0.6,Matchup!$B$40*SQRT($B2387)/(1-MIN(0.75,Matchup!$B$39*$B2387))),RAND())</f>
        <v>0</v>
      </c>
      <c r="I2387" s="0" t="n">
        <f aca="false">6*D2387+(D2387-E2387-G2387)+2*F2387+3*H2387</f>
        <v>41</v>
      </c>
      <c r="J2387" s="0" t="n">
        <f aca="true">CRITBINOM($C2387,MIN(0.75,Matchup!$C$39*$B2387),RAND())</f>
        <v>3</v>
      </c>
      <c r="K2387" s="0" t="n">
        <f aca="true">CRITBINOM(J2387,Coefficients!$B$30,RAND())</f>
        <v>1</v>
      </c>
      <c r="L2387" s="0" t="n">
        <f aca="true">CRITBINOM(K2387,Coefficients!$B$31,RAND())</f>
        <v>0</v>
      </c>
      <c r="M2387" s="0" t="n">
        <f aca="true">CRITBINOM(MAX(0,J2387-K2387),1-Coefficients!$B$32,RAND())</f>
        <v>0</v>
      </c>
      <c r="N2387" s="0" t="n">
        <f aca="true">CRITBINOM(MAX(0,$C2387-J2387),MIN(0.6,Matchup!$C$40*SQRT($B2387)/(1-MIN(0.75,Matchup!$C$39*$B2387))),RAND())</f>
        <v>1</v>
      </c>
      <c r="O2387" s="0" t="n">
        <f aca="false">6*J2387+(J2387-K2387-M2387)+2*L2387+3*N2387</f>
        <v>23</v>
      </c>
      <c r="P2387" s="0" t="n">
        <f aca="true">RAND()</f>
        <v>0.223561679391602</v>
      </c>
      <c r="Q2387" s="0" t="n">
        <f aca="true">RAND()</f>
        <v>0.73679008792611</v>
      </c>
      <c r="R2387" s="0" t="n">
        <f aca="false">IF($I2387&lt;&gt;$O2387,0,IF(P2387&lt;Matchup!$B$39,7,IF(P2387&lt;Matchup!$B$39+Matchup!$B$40,3,0)))</f>
        <v>0</v>
      </c>
      <c r="S2387" s="0" t="n">
        <f aca="false">IF($I2387&lt;&gt;$O2387,0,IF(Q2387&lt;Matchup!$C$39,7,IF(Q2387&lt;Matchup!$C$39+Matchup!$C$40,3,0)))</f>
        <v>0</v>
      </c>
      <c r="T2387" s="0" t="n">
        <f aca="false">I2387+R2387</f>
        <v>41</v>
      </c>
      <c r="U2387" s="0" t="n">
        <f aca="false">O2387+S2387</f>
        <v>23</v>
      </c>
      <c r="V2387" s="0" t="n">
        <f aca="false">T2387-U2387</f>
        <v>18</v>
      </c>
      <c r="W2387" s="0" t="n">
        <f aca="false">T2387+U2387</f>
        <v>64</v>
      </c>
    </row>
    <row r="2388" customFormat="false" ht="15" hidden="false" customHeight="false" outlineLevel="0" collapsed="false">
      <c r="A2388" s="0" t="n">
        <v>2385</v>
      </c>
      <c r="B2388" s="0" t="n">
        <f aca="true">NORMINV(RAND(),1,Coefficients!$B$22)</f>
        <v>0.981322228946008</v>
      </c>
      <c r="C2388" s="0" t="n">
        <f aca="true">MEDIAN(8,16,ROUND(NORMINV(RAND(),Coefficients!$B$20,Coefficients!$B$21),0))</f>
        <v>14</v>
      </c>
      <c r="D2388" s="0" t="n">
        <f aca="true">CRITBINOM($C2388,MIN(0.75,Matchup!$B$39*$B2388),RAND())</f>
        <v>8</v>
      </c>
      <c r="E2388" s="0" t="n">
        <f aca="true">CRITBINOM(D2388,Coefficients!$B$30,RAND())</f>
        <v>1</v>
      </c>
      <c r="F2388" s="0" t="n">
        <f aca="true">CRITBINOM(E2388,Coefficients!$B$31,RAND())</f>
        <v>0</v>
      </c>
      <c r="G2388" s="0" t="n">
        <f aca="true">CRITBINOM(MAX(0,D2388-E2388),1-Coefficients!$B$32,RAND())</f>
        <v>1</v>
      </c>
      <c r="H2388" s="0" t="n">
        <f aca="true">CRITBINOM(MAX(0,$C2388-D2388),MIN(0.6,Matchup!$B$40*SQRT($B2388)/(1-MIN(0.75,Matchup!$B$39*$B2388))),RAND())</f>
        <v>0</v>
      </c>
      <c r="I2388" s="0" t="n">
        <f aca="false">6*D2388+(D2388-E2388-G2388)+2*F2388+3*H2388</f>
        <v>54</v>
      </c>
      <c r="J2388" s="0" t="n">
        <f aca="true">CRITBINOM($C2388,MIN(0.75,Matchup!$C$39*$B2388),RAND())</f>
        <v>2</v>
      </c>
      <c r="K2388" s="0" t="n">
        <f aca="true">CRITBINOM(J2388,Coefficients!$B$30,RAND())</f>
        <v>0</v>
      </c>
      <c r="L2388" s="0" t="n">
        <f aca="true">CRITBINOM(K2388,Coefficients!$B$31,RAND())</f>
        <v>0</v>
      </c>
      <c r="M2388" s="0" t="n">
        <f aca="true">CRITBINOM(MAX(0,J2388-K2388),1-Coefficients!$B$32,RAND())</f>
        <v>0</v>
      </c>
      <c r="N2388" s="0" t="n">
        <f aca="true">CRITBINOM(MAX(0,$C2388-J2388),MIN(0.6,Matchup!$C$40*SQRT($B2388)/(1-MIN(0.75,Matchup!$C$39*$B2388))),RAND())</f>
        <v>2</v>
      </c>
      <c r="O2388" s="0" t="n">
        <f aca="false">6*J2388+(J2388-K2388-M2388)+2*L2388+3*N2388</f>
        <v>20</v>
      </c>
      <c r="P2388" s="0" t="n">
        <f aca="true">RAND()</f>
        <v>0.224256968042995</v>
      </c>
      <c r="Q2388" s="0" t="n">
        <f aca="true">RAND()</f>
        <v>0.90168302845177</v>
      </c>
      <c r="R2388" s="0" t="n">
        <f aca="false">IF($I2388&lt;&gt;$O2388,0,IF(P2388&lt;Matchup!$B$39,7,IF(P2388&lt;Matchup!$B$39+Matchup!$B$40,3,0)))</f>
        <v>0</v>
      </c>
      <c r="S2388" s="0" t="n">
        <f aca="false">IF($I2388&lt;&gt;$O2388,0,IF(Q2388&lt;Matchup!$C$39,7,IF(Q2388&lt;Matchup!$C$39+Matchup!$C$40,3,0)))</f>
        <v>0</v>
      </c>
      <c r="T2388" s="0" t="n">
        <f aca="false">I2388+R2388</f>
        <v>54</v>
      </c>
      <c r="U2388" s="0" t="n">
        <f aca="false">O2388+S2388</f>
        <v>20</v>
      </c>
      <c r="V2388" s="0" t="n">
        <f aca="false">T2388-U2388</f>
        <v>34</v>
      </c>
      <c r="W2388" s="0" t="n">
        <f aca="false">T2388+U2388</f>
        <v>74</v>
      </c>
    </row>
    <row r="2389" customFormat="false" ht="15" hidden="false" customHeight="false" outlineLevel="0" collapsed="false">
      <c r="A2389" s="0" t="n">
        <v>2386</v>
      </c>
      <c r="B2389" s="0" t="n">
        <f aca="true">NORMINV(RAND(),1,Coefficients!$B$22)</f>
        <v>0.976370718733652</v>
      </c>
      <c r="C2389" s="0" t="n">
        <f aca="true">MEDIAN(8,16,ROUND(NORMINV(RAND(),Coefficients!$B$20,Coefficients!$B$21),0))</f>
        <v>12</v>
      </c>
      <c r="D2389" s="0" t="n">
        <f aca="true">CRITBINOM($C2389,MIN(0.75,Matchup!$B$39*$B2389),RAND())</f>
        <v>2</v>
      </c>
      <c r="E2389" s="0" t="n">
        <f aca="true">CRITBINOM(D2389,Coefficients!$B$30,RAND())</f>
        <v>1</v>
      </c>
      <c r="F2389" s="0" t="n">
        <f aca="true">CRITBINOM(E2389,Coefficients!$B$31,RAND())</f>
        <v>0</v>
      </c>
      <c r="G2389" s="0" t="n">
        <f aca="true">CRITBINOM(MAX(0,D2389-E2389),1-Coefficients!$B$32,RAND())</f>
        <v>0</v>
      </c>
      <c r="H2389" s="0" t="n">
        <f aca="true">CRITBINOM(MAX(0,$C2389-D2389),MIN(0.6,Matchup!$B$40*SQRT($B2389)/(1-MIN(0.75,Matchup!$B$39*$B2389))),RAND())</f>
        <v>0</v>
      </c>
      <c r="I2389" s="0" t="n">
        <f aca="false">6*D2389+(D2389-E2389-G2389)+2*F2389+3*H2389</f>
        <v>13</v>
      </c>
      <c r="J2389" s="0" t="n">
        <f aca="true">CRITBINOM($C2389,MIN(0.75,Matchup!$C$39*$B2389),RAND())</f>
        <v>2</v>
      </c>
      <c r="K2389" s="0" t="n">
        <f aca="true">CRITBINOM(J2389,Coefficients!$B$30,RAND())</f>
        <v>0</v>
      </c>
      <c r="L2389" s="0" t="n">
        <f aca="true">CRITBINOM(K2389,Coefficients!$B$31,RAND())</f>
        <v>0</v>
      </c>
      <c r="M2389" s="0" t="n">
        <f aca="true">CRITBINOM(MAX(0,J2389-K2389),1-Coefficients!$B$32,RAND())</f>
        <v>0</v>
      </c>
      <c r="N2389" s="0" t="n">
        <f aca="true">CRITBINOM(MAX(0,$C2389-J2389),MIN(0.6,Matchup!$C$40*SQRT($B2389)/(1-MIN(0.75,Matchup!$C$39*$B2389))),RAND())</f>
        <v>2</v>
      </c>
      <c r="O2389" s="0" t="n">
        <f aca="false">6*J2389+(J2389-K2389-M2389)+2*L2389+3*N2389</f>
        <v>20</v>
      </c>
      <c r="P2389" s="0" t="n">
        <f aca="true">RAND()</f>
        <v>0.461058343900938</v>
      </c>
      <c r="Q2389" s="0" t="n">
        <f aca="true">RAND()</f>
        <v>0.419952781083338</v>
      </c>
      <c r="R2389" s="0" t="n">
        <f aca="false">IF($I2389&lt;&gt;$O2389,0,IF(P2389&lt;Matchup!$B$39,7,IF(P2389&lt;Matchup!$B$39+Matchup!$B$40,3,0)))</f>
        <v>0</v>
      </c>
      <c r="S2389" s="0" t="n">
        <f aca="false">IF($I2389&lt;&gt;$O2389,0,IF(Q2389&lt;Matchup!$C$39,7,IF(Q2389&lt;Matchup!$C$39+Matchup!$C$40,3,0)))</f>
        <v>0</v>
      </c>
      <c r="T2389" s="0" t="n">
        <f aca="false">I2389+R2389</f>
        <v>13</v>
      </c>
      <c r="U2389" s="0" t="n">
        <f aca="false">O2389+S2389</f>
        <v>20</v>
      </c>
      <c r="V2389" s="0" t="n">
        <f aca="false">T2389-U2389</f>
        <v>-7</v>
      </c>
      <c r="W2389" s="0" t="n">
        <f aca="false">T2389+U2389</f>
        <v>33</v>
      </c>
    </row>
    <row r="2390" customFormat="false" ht="15" hidden="false" customHeight="false" outlineLevel="0" collapsed="false">
      <c r="A2390" s="0" t="n">
        <v>2387</v>
      </c>
      <c r="B2390" s="0" t="n">
        <f aca="true">NORMINV(RAND(),1,Coefficients!$B$22)</f>
        <v>1.07920883560104</v>
      </c>
      <c r="C2390" s="0" t="n">
        <f aca="true">MEDIAN(8,16,ROUND(NORMINV(RAND(),Coefficients!$B$20,Coefficients!$B$21),0))</f>
        <v>11</v>
      </c>
      <c r="D2390" s="0" t="n">
        <f aca="true">CRITBINOM($C2390,MIN(0.75,Matchup!$B$39*$B2390),RAND())</f>
        <v>1</v>
      </c>
      <c r="E2390" s="0" t="n">
        <f aca="true">CRITBINOM(D2390,Coefficients!$B$30,RAND())</f>
        <v>0</v>
      </c>
      <c r="F2390" s="0" t="n">
        <f aca="true">CRITBINOM(E2390,Coefficients!$B$31,RAND())</f>
        <v>0</v>
      </c>
      <c r="G2390" s="0" t="n">
        <f aca="true">CRITBINOM(MAX(0,D2390-E2390),1-Coefficients!$B$32,RAND())</f>
        <v>0</v>
      </c>
      <c r="H2390" s="0" t="n">
        <f aca="true">CRITBINOM(MAX(0,$C2390-D2390),MIN(0.6,Matchup!$B$40*SQRT($B2390)/(1-MIN(0.75,Matchup!$B$39*$B2390))),RAND())</f>
        <v>1</v>
      </c>
      <c r="I2390" s="0" t="n">
        <f aca="false">6*D2390+(D2390-E2390-G2390)+2*F2390+3*H2390</f>
        <v>10</v>
      </c>
      <c r="J2390" s="0" t="n">
        <f aca="true">CRITBINOM($C2390,MIN(0.75,Matchup!$C$39*$B2390),RAND())</f>
        <v>4</v>
      </c>
      <c r="K2390" s="0" t="n">
        <f aca="true">CRITBINOM(J2390,Coefficients!$B$30,RAND())</f>
        <v>0</v>
      </c>
      <c r="L2390" s="0" t="n">
        <f aca="true">CRITBINOM(K2390,Coefficients!$B$31,RAND())</f>
        <v>0</v>
      </c>
      <c r="M2390" s="0" t="n">
        <f aca="true">CRITBINOM(MAX(0,J2390-K2390),1-Coefficients!$B$32,RAND())</f>
        <v>0</v>
      </c>
      <c r="N2390" s="0" t="n">
        <f aca="true">CRITBINOM(MAX(0,$C2390-J2390),MIN(0.6,Matchup!$C$40*SQRT($B2390)/(1-MIN(0.75,Matchup!$C$39*$B2390))),RAND())</f>
        <v>1</v>
      </c>
      <c r="O2390" s="0" t="n">
        <f aca="false">6*J2390+(J2390-K2390-M2390)+2*L2390+3*N2390</f>
        <v>31</v>
      </c>
      <c r="P2390" s="0" t="n">
        <f aca="true">RAND()</f>
        <v>0.10012757187409</v>
      </c>
      <c r="Q2390" s="0" t="n">
        <f aca="true">RAND()</f>
        <v>0.294702998779044</v>
      </c>
      <c r="R2390" s="0" t="n">
        <f aca="false">IF($I2390&lt;&gt;$O2390,0,IF(P2390&lt;Matchup!$B$39,7,IF(P2390&lt;Matchup!$B$39+Matchup!$B$40,3,0)))</f>
        <v>0</v>
      </c>
      <c r="S2390" s="0" t="n">
        <f aca="false">IF($I2390&lt;&gt;$O2390,0,IF(Q2390&lt;Matchup!$C$39,7,IF(Q2390&lt;Matchup!$C$39+Matchup!$C$40,3,0)))</f>
        <v>0</v>
      </c>
      <c r="T2390" s="0" t="n">
        <f aca="false">I2390+R2390</f>
        <v>10</v>
      </c>
      <c r="U2390" s="0" t="n">
        <f aca="false">O2390+S2390</f>
        <v>31</v>
      </c>
      <c r="V2390" s="0" t="n">
        <f aca="false">T2390-U2390</f>
        <v>-21</v>
      </c>
      <c r="W2390" s="0" t="n">
        <f aca="false">T2390+U2390</f>
        <v>41</v>
      </c>
    </row>
    <row r="2391" customFormat="false" ht="15" hidden="false" customHeight="false" outlineLevel="0" collapsed="false">
      <c r="A2391" s="0" t="n">
        <v>2388</v>
      </c>
      <c r="B2391" s="0" t="n">
        <f aca="true">NORMINV(RAND(),1,Coefficients!$B$22)</f>
        <v>1.06057056533582</v>
      </c>
      <c r="C2391" s="0" t="n">
        <f aca="true">MEDIAN(8,16,ROUND(NORMINV(RAND(),Coefficients!$B$20,Coefficients!$B$21),0))</f>
        <v>11</v>
      </c>
      <c r="D2391" s="0" t="n">
        <f aca="true">CRITBINOM($C2391,MIN(0.75,Matchup!$B$39*$B2391),RAND())</f>
        <v>4</v>
      </c>
      <c r="E2391" s="0" t="n">
        <f aca="true">CRITBINOM(D2391,Coefficients!$B$30,RAND())</f>
        <v>1</v>
      </c>
      <c r="F2391" s="0" t="n">
        <f aca="true">CRITBINOM(E2391,Coefficients!$B$31,RAND())</f>
        <v>1</v>
      </c>
      <c r="G2391" s="0" t="n">
        <f aca="true">CRITBINOM(MAX(0,D2391-E2391),1-Coefficients!$B$32,RAND())</f>
        <v>0</v>
      </c>
      <c r="H2391" s="0" t="n">
        <f aca="true">CRITBINOM(MAX(0,$C2391-D2391),MIN(0.6,Matchup!$B$40*SQRT($B2391)/(1-MIN(0.75,Matchup!$B$39*$B2391))),RAND())</f>
        <v>1</v>
      </c>
      <c r="I2391" s="0" t="n">
        <f aca="false">6*D2391+(D2391-E2391-G2391)+2*F2391+3*H2391</f>
        <v>32</v>
      </c>
      <c r="J2391" s="0" t="n">
        <f aca="true">CRITBINOM($C2391,MIN(0.75,Matchup!$C$39*$B2391),RAND())</f>
        <v>5</v>
      </c>
      <c r="K2391" s="0" t="n">
        <f aca="true">CRITBINOM(J2391,Coefficients!$B$30,RAND())</f>
        <v>0</v>
      </c>
      <c r="L2391" s="0" t="n">
        <f aca="true">CRITBINOM(K2391,Coefficients!$B$31,RAND())</f>
        <v>0</v>
      </c>
      <c r="M2391" s="0" t="n">
        <f aca="true">CRITBINOM(MAX(0,J2391-K2391),1-Coefficients!$B$32,RAND())</f>
        <v>0</v>
      </c>
      <c r="N2391" s="0" t="n">
        <f aca="true">CRITBINOM(MAX(0,$C2391-J2391),MIN(0.6,Matchup!$C$40*SQRT($B2391)/(1-MIN(0.75,Matchup!$C$39*$B2391))),RAND())</f>
        <v>2</v>
      </c>
      <c r="O2391" s="0" t="n">
        <f aca="false">6*J2391+(J2391-K2391-M2391)+2*L2391+3*N2391</f>
        <v>41</v>
      </c>
      <c r="P2391" s="0" t="n">
        <f aca="true">RAND()</f>
        <v>0.864851802472781</v>
      </c>
      <c r="Q2391" s="0" t="n">
        <f aca="true">RAND()</f>
        <v>0.331623318080655</v>
      </c>
      <c r="R2391" s="0" t="n">
        <f aca="false">IF($I2391&lt;&gt;$O2391,0,IF(P2391&lt;Matchup!$B$39,7,IF(P2391&lt;Matchup!$B$39+Matchup!$B$40,3,0)))</f>
        <v>0</v>
      </c>
      <c r="S2391" s="0" t="n">
        <f aca="false">IF($I2391&lt;&gt;$O2391,0,IF(Q2391&lt;Matchup!$C$39,7,IF(Q2391&lt;Matchup!$C$39+Matchup!$C$40,3,0)))</f>
        <v>0</v>
      </c>
      <c r="T2391" s="0" t="n">
        <f aca="false">I2391+R2391</f>
        <v>32</v>
      </c>
      <c r="U2391" s="0" t="n">
        <f aca="false">O2391+S2391</f>
        <v>41</v>
      </c>
      <c r="V2391" s="0" t="n">
        <f aca="false">T2391-U2391</f>
        <v>-9</v>
      </c>
      <c r="W2391" s="0" t="n">
        <f aca="false">T2391+U2391</f>
        <v>73</v>
      </c>
    </row>
    <row r="2392" customFormat="false" ht="15" hidden="false" customHeight="false" outlineLevel="0" collapsed="false">
      <c r="A2392" s="0" t="n">
        <v>2389</v>
      </c>
      <c r="B2392" s="0" t="n">
        <f aca="true">NORMINV(RAND(),1,Coefficients!$B$22)</f>
        <v>1.07825066707313</v>
      </c>
      <c r="C2392" s="0" t="n">
        <f aca="true">MEDIAN(8,16,ROUND(NORMINV(RAND(),Coefficients!$B$20,Coefficients!$B$21),0))</f>
        <v>12</v>
      </c>
      <c r="D2392" s="0" t="n">
        <f aca="true">CRITBINOM($C2392,MIN(0.75,Matchup!$B$39*$B2392),RAND())</f>
        <v>3</v>
      </c>
      <c r="E2392" s="0" t="n">
        <f aca="true">CRITBINOM(D2392,Coefficients!$B$30,RAND())</f>
        <v>1</v>
      </c>
      <c r="F2392" s="0" t="n">
        <f aca="true">CRITBINOM(E2392,Coefficients!$B$31,RAND())</f>
        <v>0</v>
      </c>
      <c r="G2392" s="0" t="n">
        <f aca="true">CRITBINOM(MAX(0,D2392-E2392),1-Coefficients!$B$32,RAND())</f>
        <v>0</v>
      </c>
      <c r="H2392" s="0" t="n">
        <f aca="true">CRITBINOM(MAX(0,$C2392-D2392),MIN(0.6,Matchup!$B$40*SQRT($B2392)/(1-MIN(0.75,Matchup!$B$39*$B2392))),RAND())</f>
        <v>3</v>
      </c>
      <c r="I2392" s="0" t="n">
        <f aca="false">6*D2392+(D2392-E2392-G2392)+2*F2392+3*H2392</f>
        <v>29</v>
      </c>
      <c r="J2392" s="0" t="n">
        <f aca="true">CRITBINOM($C2392,MIN(0.75,Matchup!$C$39*$B2392),RAND())</f>
        <v>2</v>
      </c>
      <c r="K2392" s="0" t="n">
        <f aca="true">CRITBINOM(J2392,Coefficients!$B$30,RAND())</f>
        <v>1</v>
      </c>
      <c r="L2392" s="0" t="n">
        <f aca="true">CRITBINOM(K2392,Coefficients!$B$31,RAND())</f>
        <v>1</v>
      </c>
      <c r="M2392" s="0" t="n">
        <f aca="true">CRITBINOM(MAX(0,J2392-K2392),1-Coefficients!$B$32,RAND())</f>
        <v>0</v>
      </c>
      <c r="N2392" s="0" t="n">
        <f aca="true">CRITBINOM(MAX(0,$C2392-J2392),MIN(0.6,Matchup!$C$40*SQRT($B2392)/(1-MIN(0.75,Matchup!$C$39*$B2392))),RAND())</f>
        <v>2</v>
      </c>
      <c r="O2392" s="0" t="n">
        <f aca="false">6*J2392+(J2392-K2392-M2392)+2*L2392+3*N2392</f>
        <v>21</v>
      </c>
      <c r="P2392" s="0" t="n">
        <f aca="true">RAND()</f>
        <v>0.66871209481261</v>
      </c>
      <c r="Q2392" s="0" t="n">
        <f aca="true">RAND()</f>
        <v>0.868443386124725</v>
      </c>
      <c r="R2392" s="0" t="n">
        <f aca="false">IF($I2392&lt;&gt;$O2392,0,IF(P2392&lt;Matchup!$B$39,7,IF(P2392&lt;Matchup!$B$39+Matchup!$B$40,3,0)))</f>
        <v>0</v>
      </c>
      <c r="S2392" s="0" t="n">
        <f aca="false">IF($I2392&lt;&gt;$O2392,0,IF(Q2392&lt;Matchup!$C$39,7,IF(Q2392&lt;Matchup!$C$39+Matchup!$C$40,3,0)))</f>
        <v>0</v>
      </c>
      <c r="T2392" s="0" t="n">
        <f aca="false">I2392+R2392</f>
        <v>29</v>
      </c>
      <c r="U2392" s="0" t="n">
        <f aca="false">O2392+S2392</f>
        <v>21</v>
      </c>
      <c r="V2392" s="0" t="n">
        <f aca="false">T2392-U2392</f>
        <v>8</v>
      </c>
      <c r="W2392" s="0" t="n">
        <f aca="false">T2392+U2392</f>
        <v>50</v>
      </c>
    </row>
    <row r="2393" customFormat="false" ht="15" hidden="false" customHeight="false" outlineLevel="0" collapsed="false">
      <c r="A2393" s="0" t="n">
        <v>2390</v>
      </c>
      <c r="B2393" s="0" t="n">
        <f aca="true">NORMINV(RAND(),1,Coefficients!$B$22)</f>
        <v>1.03968202621344</v>
      </c>
      <c r="C2393" s="0" t="n">
        <f aca="true">MEDIAN(8,16,ROUND(NORMINV(RAND(),Coefficients!$B$20,Coefficients!$B$21),0))</f>
        <v>12</v>
      </c>
      <c r="D2393" s="0" t="n">
        <f aca="true">CRITBINOM($C2393,MIN(0.75,Matchup!$B$39*$B2393),RAND())</f>
        <v>3</v>
      </c>
      <c r="E2393" s="0" t="n">
        <f aca="true">CRITBINOM(D2393,Coefficients!$B$30,RAND())</f>
        <v>0</v>
      </c>
      <c r="F2393" s="0" t="n">
        <f aca="true">CRITBINOM(E2393,Coefficients!$B$31,RAND())</f>
        <v>0</v>
      </c>
      <c r="G2393" s="0" t="n">
        <f aca="true">CRITBINOM(MAX(0,D2393-E2393),1-Coefficients!$B$32,RAND())</f>
        <v>0</v>
      </c>
      <c r="H2393" s="0" t="n">
        <f aca="true">CRITBINOM(MAX(0,$C2393-D2393),MIN(0.6,Matchup!$B$40*SQRT($B2393)/(1-MIN(0.75,Matchup!$B$39*$B2393))),RAND())</f>
        <v>1</v>
      </c>
      <c r="I2393" s="0" t="n">
        <f aca="false">6*D2393+(D2393-E2393-G2393)+2*F2393+3*H2393</f>
        <v>24</v>
      </c>
      <c r="J2393" s="0" t="n">
        <f aca="true">CRITBINOM($C2393,MIN(0.75,Matchup!$C$39*$B2393),RAND())</f>
        <v>5</v>
      </c>
      <c r="K2393" s="0" t="n">
        <f aca="true">CRITBINOM(J2393,Coefficients!$B$30,RAND())</f>
        <v>0</v>
      </c>
      <c r="L2393" s="0" t="n">
        <f aca="true">CRITBINOM(K2393,Coefficients!$B$31,RAND())</f>
        <v>0</v>
      </c>
      <c r="M2393" s="0" t="n">
        <f aca="true">CRITBINOM(MAX(0,J2393-K2393),1-Coefficients!$B$32,RAND())</f>
        <v>0</v>
      </c>
      <c r="N2393" s="0" t="n">
        <f aca="true">CRITBINOM(MAX(0,$C2393-J2393),MIN(0.6,Matchup!$C$40*SQRT($B2393)/(1-MIN(0.75,Matchup!$C$39*$B2393))),RAND())</f>
        <v>0</v>
      </c>
      <c r="O2393" s="0" t="n">
        <f aca="false">6*J2393+(J2393-K2393-M2393)+2*L2393+3*N2393</f>
        <v>35</v>
      </c>
      <c r="P2393" s="0" t="n">
        <f aca="true">RAND()</f>
        <v>0.22034948468036</v>
      </c>
      <c r="Q2393" s="0" t="n">
        <f aca="true">RAND()</f>
        <v>0.384304193643694</v>
      </c>
      <c r="R2393" s="0" t="n">
        <f aca="false">IF($I2393&lt;&gt;$O2393,0,IF(P2393&lt;Matchup!$B$39,7,IF(P2393&lt;Matchup!$B$39+Matchup!$B$40,3,0)))</f>
        <v>0</v>
      </c>
      <c r="S2393" s="0" t="n">
        <f aca="false">IF($I2393&lt;&gt;$O2393,0,IF(Q2393&lt;Matchup!$C$39,7,IF(Q2393&lt;Matchup!$C$39+Matchup!$C$40,3,0)))</f>
        <v>0</v>
      </c>
      <c r="T2393" s="0" t="n">
        <f aca="false">I2393+R2393</f>
        <v>24</v>
      </c>
      <c r="U2393" s="0" t="n">
        <f aca="false">O2393+S2393</f>
        <v>35</v>
      </c>
      <c r="V2393" s="0" t="n">
        <f aca="false">T2393-U2393</f>
        <v>-11</v>
      </c>
      <c r="W2393" s="0" t="n">
        <f aca="false">T2393+U2393</f>
        <v>59</v>
      </c>
    </row>
    <row r="2394" customFormat="false" ht="15" hidden="false" customHeight="false" outlineLevel="0" collapsed="false">
      <c r="A2394" s="0" t="n">
        <v>2391</v>
      </c>
      <c r="B2394" s="0" t="n">
        <f aca="true">NORMINV(RAND(),1,Coefficients!$B$22)</f>
        <v>0.999269610964737</v>
      </c>
      <c r="C2394" s="0" t="n">
        <f aca="true">MEDIAN(8,16,ROUND(NORMINV(RAND(),Coefficients!$B$20,Coefficients!$B$21),0))</f>
        <v>13</v>
      </c>
      <c r="D2394" s="0" t="n">
        <f aca="true">CRITBINOM($C2394,MIN(0.75,Matchup!$B$39*$B2394),RAND())</f>
        <v>6</v>
      </c>
      <c r="E2394" s="0" t="n">
        <f aca="true">CRITBINOM(D2394,Coefficients!$B$30,RAND())</f>
        <v>0</v>
      </c>
      <c r="F2394" s="0" t="n">
        <f aca="true">CRITBINOM(E2394,Coefficients!$B$31,RAND())</f>
        <v>0</v>
      </c>
      <c r="G2394" s="0" t="n">
        <f aca="true">CRITBINOM(MAX(0,D2394-E2394),1-Coefficients!$B$32,RAND())</f>
        <v>1</v>
      </c>
      <c r="H2394" s="0" t="n">
        <f aca="true">CRITBINOM(MAX(0,$C2394-D2394),MIN(0.6,Matchup!$B$40*SQRT($B2394)/(1-MIN(0.75,Matchup!$B$39*$B2394))),RAND())</f>
        <v>3</v>
      </c>
      <c r="I2394" s="0" t="n">
        <f aca="false">6*D2394+(D2394-E2394-G2394)+2*F2394+3*H2394</f>
        <v>50</v>
      </c>
      <c r="J2394" s="0" t="n">
        <f aca="true">CRITBINOM($C2394,MIN(0.75,Matchup!$C$39*$B2394),RAND())</f>
        <v>1</v>
      </c>
      <c r="K2394" s="0" t="n">
        <f aca="true">CRITBINOM(J2394,Coefficients!$B$30,RAND())</f>
        <v>0</v>
      </c>
      <c r="L2394" s="0" t="n">
        <f aca="true">CRITBINOM(K2394,Coefficients!$B$31,RAND())</f>
        <v>0</v>
      </c>
      <c r="M2394" s="0" t="n">
        <f aca="true">CRITBINOM(MAX(0,J2394-K2394),1-Coefficients!$B$32,RAND())</f>
        <v>0</v>
      </c>
      <c r="N2394" s="0" t="n">
        <f aca="true">CRITBINOM(MAX(0,$C2394-J2394),MIN(0.6,Matchup!$C$40*SQRT($B2394)/(1-MIN(0.75,Matchup!$C$39*$B2394))),RAND())</f>
        <v>4</v>
      </c>
      <c r="O2394" s="0" t="n">
        <f aca="false">6*J2394+(J2394-K2394-M2394)+2*L2394+3*N2394</f>
        <v>19</v>
      </c>
      <c r="P2394" s="0" t="n">
        <f aca="true">RAND()</f>
        <v>0.173639293955615</v>
      </c>
      <c r="Q2394" s="0" t="n">
        <f aca="true">RAND()</f>
        <v>0.285464574779416</v>
      </c>
      <c r="R2394" s="0" t="n">
        <f aca="false">IF($I2394&lt;&gt;$O2394,0,IF(P2394&lt;Matchup!$B$39,7,IF(P2394&lt;Matchup!$B$39+Matchup!$B$40,3,0)))</f>
        <v>0</v>
      </c>
      <c r="S2394" s="0" t="n">
        <f aca="false">IF($I2394&lt;&gt;$O2394,0,IF(Q2394&lt;Matchup!$C$39,7,IF(Q2394&lt;Matchup!$C$39+Matchup!$C$40,3,0)))</f>
        <v>0</v>
      </c>
      <c r="T2394" s="0" t="n">
        <f aca="false">I2394+R2394</f>
        <v>50</v>
      </c>
      <c r="U2394" s="0" t="n">
        <f aca="false">O2394+S2394</f>
        <v>19</v>
      </c>
      <c r="V2394" s="0" t="n">
        <f aca="false">T2394-U2394</f>
        <v>31</v>
      </c>
      <c r="W2394" s="0" t="n">
        <f aca="false">T2394+U2394</f>
        <v>69</v>
      </c>
    </row>
    <row r="2395" customFormat="false" ht="15" hidden="false" customHeight="false" outlineLevel="0" collapsed="false">
      <c r="A2395" s="0" t="n">
        <v>2392</v>
      </c>
      <c r="B2395" s="0" t="n">
        <f aca="true">NORMINV(RAND(),1,Coefficients!$B$22)</f>
        <v>0.8411821714248</v>
      </c>
      <c r="C2395" s="0" t="n">
        <f aca="true">MEDIAN(8,16,ROUND(NORMINV(RAND(),Coefficients!$B$20,Coefficients!$B$21),0))</f>
        <v>12</v>
      </c>
      <c r="D2395" s="0" t="n">
        <f aca="true">CRITBINOM($C2395,MIN(0.75,Matchup!$B$39*$B2395),RAND())</f>
        <v>2</v>
      </c>
      <c r="E2395" s="0" t="n">
        <f aca="true">CRITBINOM(D2395,Coefficients!$B$30,RAND())</f>
        <v>0</v>
      </c>
      <c r="F2395" s="0" t="n">
        <f aca="true">CRITBINOM(E2395,Coefficients!$B$31,RAND())</f>
        <v>0</v>
      </c>
      <c r="G2395" s="0" t="n">
        <f aca="true">CRITBINOM(MAX(0,D2395-E2395),1-Coefficients!$B$32,RAND())</f>
        <v>0</v>
      </c>
      <c r="H2395" s="0" t="n">
        <f aca="true">CRITBINOM(MAX(0,$C2395-D2395),MIN(0.6,Matchup!$B$40*SQRT($B2395)/(1-MIN(0.75,Matchup!$B$39*$B2395))),RAND())</f>
        <v>2</v>
      </c>
      <c r="I2395" s="0" t="n">
        <f aca="false">6*D2395+(D2395-E2395-G2395)+2*F2395+3*H2395</f>
        <v>20</v>
      </c>
      <c r="J2395" s="0" t="n">
        <f aca="true">CRITBINOM($C2395,MIN(0.75,Matchup!$C$39*$B2395),RAND())</f>
        <v>2</v>
      </c>
      <c r="K2395" s="0" t="n">
        <f aca="true">CRITBINOM(J2395,Coefficients!$B$30,RAND())</f>
        <v>1</v>
      </c>
      <c r="L2395" s="0" t="n">
        <f aca="true">CRITBINOM(K2395,Coefficients!$B$31,RAND())</f>
        <v>0</v>
      </c>
      <c r="M2395" s="0" t="n">
        <f aca="true">CRITBINOM(MAX(0,J2395-K2395),1-Coefficients!$B$32,RAND())</f>
        <v>0</v>
      </c>
      <c r="N2395" s="0" t="n">
        <f aca="true">CRITBINOM(MAX(0,$C2395-J2395),MIN(0.6,Matchup!$C$40*SQRT($B2395)/(1-MIN(0.75,Matchup!$C$39*$B2395))),RAND())</f>
        <v>0</v>
      </c>
      <c r="O2395" s="0" t="n">
        <f aca="false">6*J2395+(J2395-K2395-M2395)+2*L2395+3*N2395</f>
        <v>13</v>
      </c>
      <c r="P2395" s="0" t="n">
        <f aca="true">RAND()</f>
        <v>0.416992769414595</v>
      </c>
      <c r="Q2395" s="0" t="n">
        <f aca="true">RAND()</f>
        <v>0.958882389021797</v>
      </c>
      <c r="R2395" s="0" t="n">
        <f aca="false">IF($I2395&lt;&gt;$O2395,0,IF(P2395&lt;Matchup!$B$39,7,IF(P2395&lt;Matchup!$B$39+Matchup!$B$40,3,0)))</f>
        <v>0</v>
      </c>
      <c r="S2395" s="0" t="n">
        <f aca="false">IF($I2395&lt;&gt;$O2395,0,IF(Q2395&lt;Matchup!$C$39,7,IF(Q2395&lt;Matchup!$C$39+Matchup!$C$40,3,0)))</f>
        <v>0</v>
      </c>
      <c r="T2395" s="0" t="n">
        <f aca="false">I2395+R2395</f>
        <v>20</v>
      </c>
      <c r="U2395" s="0" t="n">
        <f aca="false">O2395+S2395</f>
        <v>13</v>
      </c>
      <c r="V2395" s="0" t="n">
        <f aca="false">T2395-U2395</f>
        <v>7</v>
      </c>
      <c r="W2395" s="0" t="n">
        <f aca="false">T2395+U2395</f>
        <v>33</v>
      </c>
    </row>
    <row r="2396" customFormat="false" ht="15" hidden="false" customHeight="false" outlineLevel="0" collapsed="false">
      <c r="A2396" s="0" t="n">
        <v>2393</v>
      </c>
      <c r="B2396" s="0" t="n">
        <f aca="true">NORMINV(RAND(),1,Coefficients!$B$22)</f>
        <v>0.944990866913246</v>
      </c>
      <c r="C2396" s="0" t="n">
        <f aca="true">MEDIAN(8,16,ROUND(NORMINV(RAND(),Coefficients!$B$20,Coefficients!$B$21),0))</f>
        <v>9</v>
      </c>
      <c r="D2396" s="0" t="n">
        <f aca="true">CRITBINOM($C2396,MIN(0.75,Matchup!$B$39*$B2396),RAND())</f>
        <v>1</v>
      </c>
      <c r="E2396" s="0" t="n">
        <f aca="true">CRITBINOM(D2396,Coefficients!$B$30,RAND())</f>
        <v>0</v>
      </c>
      <c r="F2396" s="0" t="n">
        <f aca="true">CRITBINOM(E2396,Coefficients!$B$31,RAND())</f>
        <v>0</v>
      </c>
      <c r="G2396" s="0" t="n">
        <f aca="true">CRITBINOM(MAX(0,D2396-E2396),1-Coefficients!$B$32,RAND())</f>
        <v>0</v>
      </c>
      <c r="H2396" s="0" t="n">
        <f aca="true">CRITBINOM(MAX(0,$C2396-D2396),MIN(0.6,Matchup!$B$40*SQRT($B2396)/(1-MIN(0.75,Matchup!$B$39*$B2396))),RAND())</f>
        <v>1</v>
      </c>
      <c r="I2396" s="0" t="n">
        <f aca="false">6*D2396+(D2396-E2396-G2396)+2*F2396+3*H2396</f>
        <v>10</v>
      </c>
      <c r="J2396" s="0" t="n">
        <f aca="true">CRITBINOM($C2396,MIN(0.75,Matchup!$C$39*$B2396),RAND())</f>
        <v>0</v>
      </c>
      <c r="K2396" s="0" t="n">
        <f aca="true">CRITBINOM(J2396,Coefficients!$B$30,RAND())</f>
        <v>0</v>
      </c>
      <c r="L2396" s="0" t="n">
        <f aca="true">CRITBINOM(K2396,Coefficients!$B$31,RAND())</f>
        <v>0</v>
      </c>
      <c r="M2396" s="0" t="n">
        <f aca="true">CRITBINOM(MAX(0,J2396-K2396),1-Coefficients!$B$32,RAND())</f>
        <v>0</v>
      </c>
      <c r="N2396" s="0" t="n">
        <f aca="true">CRITBINOM(MAX(0,$C2396-J2396),MIN(0.6,Matchup!$C$40*SQRT($B2396)/(1-MIN(0.75,Matchup!$C$39*$B2396))),RAND())</f>
        <v>0</v>
      </c>
      <c r="O2396" s="0" t="n">
        <f aca="false">6*J2396+(J2396-K2396-M2396)+2*L2396+3*N2396</f>
        <v>0</v>
      </c>
      <c r="P2396" s="0" t="n">
        <f aca="true">RAND()</f>
        <v>0.17332239426912</v>
      </c>
      <c r="Q2396" s="0" t="n">
        <f aca="true">RAND()</f>
        <v>0.226107140505351</v>
      </c>
      <c r="R2396" s="0" t="n">
        <f aca="false">IF($I2396&lt;&gt;$O2396,0,IF(P2396&lt;Matchup!$B$39,7,IF(P2396&lt;Matchup!$B$39+Matchup!$B$40,3,0)))</f>
        <v>0</v>
      </c>
      <c r="S2396" s="0" t="n">
        <f aca="false">IF($I2396&lt;&gt;$O2396,0,IF(Q2396&lt;Matchup!$C$39,7,IF(Q2396&lt;Matchup!$C$39+Matchup!$C$40,3,0)))</f>
        <v>0</v>
      </c>
      <c r="T2396" s="0" t="n">
        <f aca="false">I2396+R2396</f>
        <v>10</v>
      </c>
      <c r="U2396" s="0" t="n">
        <f aca="false">O2396+S2396</f>
        <v>0</v>
      </c>
      <c r="V2396" s="0" t="n">
        <f aca="false">T2396-U2396</f>
        <v>10</v>
      </c>
      <c r="W2396" s="0" t="n">
        <f aca="false">T2396+U2396</f>
        <v>10</v>
      </c>
    </row>
    <row r="2397" customFormat="false" ht="15" hidden="false" customHeight="false" outlineLevel="0" collapsed="false">
      <c r="A2397" s="0" t="n">
        <v>2394</v>
      </c>
      <c r="B2397" s="0" t="n">
        <f aca="true">NORMINV(RAND(),1,Coefficients!$B$22)</f>
        <v>1.10386486555427</v>
      </c>
      <c r="C2397" s="0" t="n">
        <f aca="true">MEDIAN(8,16,ROUND(NORMINV(RAND(),Coefficients!$B$20,Coefficients!$B$21),0))</f>
        <v>11</v>
      </c>
      <c r="D2397" s="0" t="n">
        <f aca="true">CRITBINOM($C2397,MIN(0.75,Matchup!$B$39*$B2397),RAND())</f>
        <v>3</v>
      </c>
      <c r="E2397" s="0" t="n">
        <f aca="true">CRITBINOM(D2397,Coefficients!$B$30,RAND())</f>
        <v>0</v>
      </c>
      <c r="F2397" s="0" t="n">
        <f aca="true">CRITBINOM(E2397,Coefficients!$B$31,RAND())</f>
        <v>0</v>
      </c>
      <c r="G2397" s="0" t="n">
        <f aca="true">CRITBINOM(MAX(0,D2397-E2397),1-Coefficients!$B$32,RAND())</f>
        <v>0</v>
      </c>
      <c r="H2397" s="0" t="n">
        <f aca="true">CRITBINOM(MAX(0,$C2397-D2397),MIN(0.6,Matchup!$B$40*SQRT($B2397)/(1-MIN(0.75,Matchup!$B$39*$B2397))),RAND())</f>
        <v>1</v>
      </c>
      <c r="I2397" s="0" t="n">
        <f aca="false">6*D2397+(D2397-E2397-G2397)+2*F2397+3*H2397</f>
        <v>24</v>
      </c>
      <c r="J2397" s="0" t="n">
        <f aca="true">CRITBINOM($C2397,MIN(0.75,Matchup!$C$39*$B2397),RAND())</f>
        <v>3</v>
      </c>
      <c r="K2397" s="0" t="n">
        <f aca="true">CRITBINOM(J2397,Coefficients!$B$30,RAND())</f>
        <v>0</v>
      </c>
      <c r="L2397" s="0" t="n">
        <f aca="true">CRITBINOM(K2397,Coefficients!$B$31,RAND())</f>
        <v>0</v>
      </c>
      <c r="M2397" s="0" t="n">
        <f aca="true">CRITBINOM(MAX(0,J2397-K2397),1-Coefficients!$B$32,RAND())</f>
        <v>0</v>
      </c>
      <c r="N2397" s="0" t="n">
        <f aca="true">CRITBINOM(MAX(0,$C2397-J2397),MIN(0.6,Matchup!$C$40*SQRT($B2397)/(1-MIN(0.75,Matchup!$C$39*$B2397))),RAND())</f>
        <v>1</v>
      </c>
      <c r="O2397" s="0" t="n">
        <f aca="false">6*J2397+(J2397-K2397-M2397)+2*L2397+3*N2397</f>
        <v>24</v>
      </c>
      <c r="P2397" s="0" t="n">
        <f aca="true">RAND()</f>
        <v>0.19850893265738</v>
      </c>
      <c r="Q2397" s="0" t="n">
        <f aca="true">RAND()</f>
        <v>0.409518441120113</v>
      </c>
      <c r="R2397" s="0" t="n">
        <f aca="false">IF($I2397&lt;&gt;$O2397,0,IF(P2397&lt;Matchup!$B$39,7,IF(P2397&lt;Matchup!$B$39+Matchup!$B$40,3,0)))</f>
        <v>7</v>
      </c>
      <c r="S2397" s="0" t="n">
        <f aca="false">IF($I2397&lt;&gt;$O2397,0,IF(Q2397&lt;Matchup!$C$39,7,IF(Q2397&lt;Matchup!$C$39+Matchup!$C$40,3,0)))</f>
        <v>0</v>
      </c>
      <c r="T2397" s="0" t="n">
        <f aca="false">I2397+R2397</f>
        <v>31</v>
      </c>
      <c r="U2397" s="0" t="n">
        <f aca="false">O2397+S2397</f>
        <v>24</v>
      </c>
      <c r="V2397" s="0" t="n">
        <f aca="false">T2397-U2397</f>
        <v>7</v>
      </c>
      <c r="W2397" s="0" t="n">
        <f aca="false">T2397+U2397</f>
        <v>55</v>
      </c>
    </row>
    <row r="2398" customFormat="false" ht="15" hidden="false" customHeight="false" outlineLevel="0" collapsed="false">
      <c r="A2398" s="0" t="n">
        <v>2395</v>
      </c>
      <c r="B2398" s="0" t="n">
        <f aca="true">NORMINV(RAND(),1,Coefficients!$B$22)</f>
        <v>0.941740419638184</v>
      </c>
      <c r="C2398" s="0" t="n">
        <f aca="true">MEDIAN(8,16,ROUND(NORMINV(RAND(),Coefficients!$B$20,Coefficients!$B$21),0))</f>
        <v>12</v>
      </c>
      <c r="D2398" s="0" t="n">
        <f aca="true">CRITBINOM($C2398,MIN(0.75,Matchup!$B$39*$B2398),RAND())</f>
        <v>1</v>
      </c>
      <c r="E2398" s="0" t="n">
        <f aca="true">CRITBINOM(D2398,Coefficients!$B$30,RAND())</f>
        <v>0</v>
      </c>
      <c r="F2398" s="0" t="n">
        <f aca="true">CRITBINOM(E2398,Coefficients!$B$31,RAND())</f>
        <v>0</v>
      </c>
      <c r="G2398" s="0" t="n">
        <f aca="true">CRITBINOM(MAX(0,D2398-E2398),1-Coefficients!$B$32,RAND())</f>
        <v>0</v>
      </c>
      <c r="H2398" s="0" t="n">
        <f aca="true">CRITBINOM(MAX(0,$C2398-D2398),MIN(0.6,Matchup!$B$40*SQRT($B2398)/(1-MIN(0.75,Matchup!$B$39*$B2398))),RAND())</f>
        <v>1</v>
      </c>
      <c r="I2398" s="0" t="n">
        <f aca="false">6*D2398+(D2398-E2398-G2398)+2*F2398+3*H2398</f>
        <v>10</v>
      </c>
      <c r="J2398" s="0" t="n">
        <f aca="true">CRITBINOM($C2398,MIN(0.75,Matchup!$C$39*$B2398),RAND())</f>
        <v>2</v>
      </c>
      <c r="K2398" s="0" t="n">
        <f aca="true">CRITBINOM(J2398,Coefficients!$B$30,RAND())</f>
        <v>1</v>
      </c>
      <c r="L2398" s="0" t="n">
        <f aca="true">CRITBINOM(K2398,Coefficients!$B$31,RAND())</f>
        <v>0</v>
      </c>
      <c r="M2398" s="0" t="n">
        <f aca="true">CRITBINOM(MAX(0,J2398-K2398),1-Coefficients!$B$32,RAND())</f>
        <v>0</v>
      </c>
      <c r="N2398" s="0" t="n">
        <f aca="true">CRITBINOM(MAX(0,$C2398-J2398),MIN(0.6,Matchup!$C$40*SQRT($B2398)/(1-MIN(0.75,Matchup!$C$39*$B2398))),RAND())</f>
        <v>1</v>
      </c>
      <c r="O2398" s="0" t="n">
        <f aca="false">6*J2398+(J2398-K2398-M2398)+2*L2398+3*N2398</f>
        <v>16</v>
      </c>
      <c r="P2398" s="0" t="n">
        <f aca="true">RAND()</f>
        <v>0.23670316585203</v>
      </c>
      <c r="Q2398" s="0" t="n">
        <f aca="true">RAND()</f>
        <v>0.670685960797361</v>
      </c>
      <c r="R2398" s="0" t="n">
        <f aca="false">IF($I2398&lt;&gt;$O2398,0,IF(P2398&lt;Matchup!$B$39,7,IF(P2398&lt;Matchup!$B$39+Matchup!$B$40,3,0)))</f>
        <v>0</v>
      </c>
      <c r="S2398" s="0" t="n">
        <f aca="false">IF($I2398&lt;&gt;$O2398,0,IF(Q2398&lt;Matchup!$C$39,7,IF(Q2398&lt;Matchup!$C$39+Matchup!$C$40,3,0)))</f>
        <v>0</v>
      </c>
      <c r="T2398" s="0" t="n">
        <f aca="false">I2398+R2398</f>
        <v>10</v>
      </c>
      <c r="U2398" s="0" t="n">
        <f aca="false">O2398+S2398</f>
        <v>16</v>
      </c>
      <c r="V2398" s="0" t="n">
        <f aca="false">T2398-U2398</f>
        <v>-6</v>
      </c>
      <c r="W2398" s="0" t="n">
        <f aca="false">T2398+U2398</f>
        <v>26</v>
      </c>
    </row>
    <row r="2399" customFormat="false" ht="15" hidden="false" customHeight="false" outlineLevel="0" collapsed="false">
      <c r="A2399" s="0" t="n">
        <v>2396</v>
      </c>
      <c r="B2399" s="0" t="n">
        <f aca="true">NORMINV(RAND(),1,Coefficients!$B$22)</f>
        <v>0.980099877924454</v>
      </c>
      <c r="C2399" s="0" t="n">
        <f aca="true">MEDIAN(8,16,ROUND(NORMINV(RAND(),Coefficients!$B$20,Coefficients!$B$21),0))</f>
        <v>11</v>
      </c>
      <c r="D2399" s="0" t="n">
        <f aca="true">CRITBINOM($C2399,MIN(0.75,Matchup!$B$39*$B2399),RAND())</f>
        <v>4</v>
      </c>
      <c r="E2399" s="0" t="n">
        <f aca="true">CRITBINOM(D2399,Coefficients!$B$30,RAND())</f>
        <v>0</v>
      </c>
      <c r="F2399" s="0" t="n">
        <f aca="true">CRITBINOM(E2399,Coefficients!$B$31,RAND())</f>
        <v>0</v>
      </c>
      <c r="G2399" s="0" t="n">
        <f aca="true">CRITBINOM(MAX(0,D2399-E2399),1-Coefficients!$B$32,RAND())</f>
        <v>0</v>
      </c>
      <c r="H2399" s="0" t="n">
        <f aca="true">CRITBINOM(MAX(0,$C2399-D2399),MIN(0.6,Matchup!$B$40*SQRT($B2399)/(1-MIN(0.75,Matchup!$B$39*$B2399))),RAND())</f>
        <v>0</v>
      </c>
      <c r="I2399" s="0" t="n">
        <f aca="false">6*D2399+(D2399-E2399-G2399)+2*F2399+3*H2399</f>
        <v>28</v>
      </c>
      <c r="J2399" s="0" t="n">
        <f aca="true">CRITBINOM($C2399,MIN(0.75,Matchup!$C$39*$B2399),RAND())</f>
        <v>3</v>
      </c>
      <c r="K2399" s="0" t="n">
        <f aca="true">CRITBINOM(J2399,Coefficients!$B$30,RAND())</f>
        <v>0</v>
      </c>
      <c r="L2399" s="0" t="n">
        <f aca="true">CRITBINOM(K2399,Coefficients!$B$31,RAND())</f>
        <v>0</v>
      </c>
      <c r="M2399" s="0" t="n">
        <f aca="true">CRITBINOM(MAX(0,J2399-K2399),1-Coefficients!$B$32,RAND())</f>
        <v>0</v>
      </c>
      <c r="N2399" s="0" t="n">
        <f aca="true">CRITBINOM(MAX(0,$C2399-J2399),MIN(0.6,Matchup!$C$40*SQRT($B2399)/(1-MIN(0.75,Matchup!$C$39*$B2399))),RAND())</f>
        <v>0</v>
      </c>
      <c r="O2399" s="0" t="n">
        <f aca="false">6*J2399+(J2399-K2399-M2399)+2*L2399+3*N2399</f>
        <v>21</v>
      </c>
      <c r="P2399" s="0" t="n">
        <f aca="true">RAND()</f>
        <v>1.33420521318909E-005</v>
      </c>
      <c r="Q2399" s="0" t="n">
        <f aca="true">RAND()</f>
        <v>0.273744977507915</v>
      </c>
      <c r="R2399" s="0" t="n">
        <f aca="false">IF($I2399&lt;&gt;$O2399,0,IF(P2399&lt;Matchup!$B$39,7,IF(P2399&lt;Matchup!$B$39+Matchup!$B$40,3,0)))</f>
        <v>0</v>
      </c>
      <c r="S2399" s="0" t="n">
        <f aca="false">IF($I2399&lt;&gt;$O2399,0,IF(Q2399&lt;Matchup!$C$39,7,IF(Q2399&lt;Matchup!$C$39+Matchup!$C$40,3,0)))</f>
        <v>0</v>
      </c>
      <c r="T2399" s="0" t="n">
        <f aca="false">I2399+R2399</f>
        <v>28</v>
      </c>
      <c r="U2399" s="0" t="n">
        <f aca="false">O2399+S2399</f>
        <v>21</v>
      </c>
      <c r="V2399" s="0" t="n">
        <f aca="false">T2399-U2399</f>
        <v>7</v>
      </c>
      <c r="W2399" s="0" t="n">
        <f aca="false">T2399+U2399</f>
        <v>49</v>
      </c>
    </row>
    <row r="2400" customFormat="false" ht="15" hidden="false" customHeight="false" outlineLevel="0" collapsed="false">
      <c r="A2400" s="0" t="n">
        <v>2397</v>
      </c>
      <c r="B2400" s="0" t="n">
        <f aca="true">NORMINV(RAND(),1,Coefficients!$B$22)</f>
        <v>1.10200433066899</v>
      </c>
      <c r="C2400" s="0" t="n">
        <f aca="true">MEDIAN(8,16,ROUND(NORMINV(RAND(),Coefficients!$B$20,Coefficients!$B$21),0))</f>
        <v>14</v>
      </c>
      <c r="D2400" s="0" t="n">
        <f aca="true">CRITBINOM($C2400,MIN(0.75,Matchup!$B$39*$B2400),RAND())</f>
        <v>3</v>
      </c>
      <c r="E2400" s="0" t="n">
        <f aca="true">CRITBINOM(D2400,Coefficients!$B$30,RAND())</f>
        <v>0</v>
      </c>
      <c r="F2400" s="0" t="n">
        <f aca="true">CRITBINOM(E2400,Coefficients!$B$31,RAND())</f>
        <v>0</v>
      </c>
      <c r="G2400" s="0" t="n">
        <f aca="true">CRITBINOM(MAX(0,D2400-E2400),1-Coefficients!$B$32,RAND())</f>
        <v>0</v>
      </c>
      <c r="H2400" s="0" t="n">
        <f aca="true">CRITBINOM(MAX(0,$C2400-D2400),MIN(0.6,Matchup!$B$40*SQRT($B2400)/(1-MIN(0.75,Matchup!$B$39*$B2400))),RAND())</f>
        <v>6</v>
      </c>
      <c r="I2400" s="0" t="n">
        <f aca="false">6*D2400+(D2400-E2400-G2400)+2*F2400+3*H2400</f>
        <v>39</v>
      </c>
      <c r="J2400" s="0" t="n">
        <f aca="true">CRITBINOM($C2400,MIN(0.75,Matchup!$C$39*$B2400),RAND())</f>
        <v>4</v>
      </c>
      <c r="K2400" s="0" t="n">
        <f aca="true">CRITBINOM(J2400,Coefficients!$B$30,RAND())</f>
        <v>0</v>
      </c>
      <c r="L2400" s="0" t="n">
        <f aca="true">CRITBINOM(K2400,Coefficients!$B$31,RAND())</f>
        <v>0</v>
      </c>
      <c r="M2400" s="0" t="n">
        <f aca="true">CRITBINOM(MAX(0,J2400-K2400),1-Coefficients!$B$32,RAND())</f>
        <v>1</v>
      </c>
      <c r="N2400" s="0" t="n">
        <f aca="true">CRITBINOM(MAX(0,$C2400-J2400),MIN(0.6,Matchup!$C$40*SQRT($B2400)/(1-MIN(0.75,Matchup!$C$39*$B2400))),RAND())</f>
        <v>1</v>
      </c>
      <c r="O2400" s="0" t="n">
        <f aca="false">6*J2400+(J2400-K2400-M2400)+2*L2400+3*N2400</f>
        <v>30</v>
      </c>
      <c r="P2400" s="0" t="n">
        <f aca="true">RAND()</f>
        <v>0.914763512688705</v>
      </c>
      <c r="Q2400" s="0" t="n">
        <f aca="true">RAND()</f>
        <v>0.599960682187228</v>
      </c>
      <c r="R2400" s="0" t="n">
        <f aca="false">IF($I2400&lt;&gt;$O2400,0,IF(P2400&lt;Matchup!$B$39,7,IF(P2400&lt;Matchup!$B$39+Matchup!$B$40,3,0)))</f>
        <v>0</v>
      </c>
      <c r="S2400" s="0" t="n">
        <f aca="false">IF($I2400&lt;&gt;$O2400,0,IF(Q2400&lt;Matchup!$C$39,7,IF(Q2400&lt;Matchup!$C$39+Matchup!$C$40,3,0)))</f>
        <v>0</v>
      </c>
      <c r="T2400" s="0" t="n">
        <f aca="false">I2400+R2400</f>
        <v>39</v>
      </c>
      <c r="U2400" s="0" t="n">
        <f aca="false">O2400+S2400</f>
        <v>30</v>
      </c>
      <c r="V2400" s="0" t="n">
        <f aca="false">T2400-U2400</f>
        <v>9</v>
      </c>
      <c r="W2400" s="0" t="n">
        <f aca="false">T2400+U2400</f>
        <v>69</v>
      </c>
    </row>
    <row r="2401" customFormat="false" ht="15" hidden="false" customHeight="false" outlineLevel="0" collapsed="false">
      <c r="A2401" s="0" t="n">
        <v>2398</v>
      </c>
      <c r="B2401" s="0" t="n">
        <f aca="true">NORMINV(RAND(),1,Coefficients!$B$22)</f>
        <v>1.07594091967602</v>
      </c>
      <c r="C2401" s="0" t="n">
        <f aca="true">MEDIAN(8,16,ROUND(NORMINV(RAND(),Coefficients!$B$20,Coefficients!$B$21),0))</f>
        <v>13</v>
      </c>
      <c r="D2401" s="0" t="n">
        <f aca="true">CRITBINOM($C2401,MIN(0.75,Matchup!$B$39*$B2401),RAND())</f>
        <v>4</v>
      </c>
      <c r="E2401" s="0" t="n">
        <f aca="true">CRITBINOM(D2401,Coefficients!$B$30,RAND())</f>
        <v>0</v>
      </c>
      <c r="F2401" s="0" t="n">
        <f aca="true">CRITBINOM(E2401,Coefficients!$B$31,RAND())</f>
        <v>0</v>
      </c>
      <c r="G2401" s="0" t="n">
        <f aca="true">CRITBINOM(MAX(0,D2401-E2401),1-Coefficients!$B$32,RAND())</f>
        <v>0</v>
      </c>
      <c r="H2401" s="0" t="n">
        <f aca="true">CRITBINOM(MAX(0,$C2401-D2401),MIN(0.6,Matchup!$B$40*SQRT($B2401)/(1-MIN(0.75,Matchup!$B$39*$B2401))),RAND())</f>
        <v>2</v>
      </c>
      <c r="I2401" s="0" t="n">
        <f aca="false">6*D2401+(D2401-E2401-G2401)+2*F2401+3*H2401</f>
        <v>34</v>
      </c>
      <c r="J2401" s="0" t="n">
        <f aca="true">CRITBINOM($C2401,MIN(0.75,Matchup!$C$39*$B2401),RAND())</f>
        <v>4</v>
      </c>
      <c r="K2401" s="0" t="n">
        <f aca="true">CRITBINOM(J2401,Coefficients!$B$30,RAND())</f>
        <v>1</v>
      </c>
      <c r="L2401" s="0" t="n">
        <f aca="true">CRITBINOM(K2401,Coefficients!$B$31,RAND())</f>
        <v>0</v>
      </c>
      <c r="M2401" s="0" t="n">
        <f aca="true">CRITBINOM(MAX(0,J2401-K2401),1-Coefficients!$B$32,RAND())</f>
        <v>0</v>
      </c>
      <c r="N2401" s="0" t="n">
        <f aca="true">CRITBINOM(MAX(0,$C2401-J2401),MIN(0.6,Matchup!$C$40*SQRT($B2401)/(1-MIN(0.75,Matchup!$C$39*$B2401))),RAND())</f>
        <v>3</v>
      </c>
      <c r="O2401" s="0" t="n">
        <f aca="false">6*J2401+(J2401-K2401-M2401)+2*L2401+3*N2401</f>
        <v>36</v>
      </c>
      <c r="P2401" s="0" t="n">
        <f aca="true">RAND()</f>
        <v>0.287805706313683</v>
      </c>
      <c r="Q2401" s="0" t="n">
        <f aca="true">RAND()</f>
        <v>0.293682161934203</v>
      </c>
      <c r="R2401" s="0" t="n">
        <f aca="false">IF($I2401&lt;&gt;$O2401,0,IF(P2401&lt;Matchup!$B$39,7,IF(P2401&lt;Matchup!$B$39+Matchup!$B$40,3,0)))</f>
        <v>0</v>
      </c>
      <c r="S2401" s="0" t="n">
        <f aca="false">IF($I2401&lt;&gt;$O2401,0,IF(Q2401&lt;Matchup!$C$39,7,IF(Q2401&lt;Matchup!$C$39+Matchup!$C$40,3,0)))</f>
        <v>0</v>
      </c>
      <c r="T2401" s="0" t="n">
        <f aca="false">I2401+R2401</f>
        <v>34</v>
      </c>
      <c r="U2401" s="0" t="n">
        <f aca="false">O2401+S2401</f>
        <v>36</v>
      </c>
      <c r="V2401" s="0" t="n">
        <f aca="false">T2401-U2401</f>
        <v>-2</v>
      </c>
      <c r="W2401" s="0" t="n">
        <f aca="false">T2401+U2401</f>
        <v>70</v>
      </c>
    </row>
    <row r="2402" customFormat="false" ht="15" hidden="false" customHeight="false" outlineLevel="0" collapsed="false">
      <c r="A2402" s="0" t="n">
        <v>2399</v>
      </c>
      <c r="B2402" s="0" t="n">
        <f aca="true">NORMINV(RAND(),1,Coefficients!$B$22)</f>
        <v>0.936667815111599</v>
      </c>
      <c r="C2402" s="0" t="n">
        <f aca="true">MEDIAN(8,16,ROUND(NORMINV(RAND(),Coefficients!$B$20,Coefficients!$B$21),0))</f>
        <v>10</v>
      </c>
      <c r="D2402" s="0" t="n">
        <f aca="true">CRITBINOM($C2402,MIN(0.75,Matchup!$B$39*$B2402),RAND())</f>
        <v>3</v>
      </c>
      <c r="E2402" s="0" t="n">
        <f aca="true">CRITBINOM(D2402,Coefficients!$B$30,RAND())</f>
        <v>0</v>
      </c>
      <c r="F2402" s="0" t="n">
        <f aca="true">CRITBINOM(E2402,Coefficients!$B$31,RAND())</f>
        <v>0</v>
      </c>
      <c r="G2402" s="0" t="n">
        <f aca="true">CRITBINOM(MAX(0,D2402-E2402),1-Coefficients!$B$32,RAND())</f>
        <v>0</v>
      </c>
      <c r="H2402" s="0" t="n">
        <f aca="true">CRITBINOM(MAX(0,$C2402-D2402),MIN(0.6,Matchup!$B$40*SQRT($B2402)/(1-MIN(0.75,Matchup!$B$39*$B2402))),RAND())</f>
        <v>0</v>
      </c>
      <c r="I2402" s="0" t="n">
        <f aca="false">6*D2402+(D2402-E2402-G2402)+2*F2402+3*H2402</f>
        <v>21</v>
      </c>
      <c r="J2402" s="0" t="n">
        <f aca="true">CRITBINOM($C2402,MIN(0.75,Matchup!$C$39*$B2402),RAND())</f>
        <v>1</v>
      </c>
      <c r="K2402" s="0" t="n">
        <f aca="true">CRITBINOM(J2402,Coefficients!$B$30,RAND())</f>
        <v>0</v>
      </c>
      <c r="L2402" s="0" t="n">
        <f aca="true">CRITBINOM(K2402,Coefficients!$B$31,RAND())</f>
        <v>0</v>
      </c>
      <c r="M2402" s="0" t="n">
        <f aca="true">CRITBINOM(MAX(0,J2402-K2402),1-Coefficients!$B$32,RAND())</f>
        <v>0</v>
      </c>
      <c r="N2402" s="0" t="n">
        <f aca="true">CRITBINOM(MAX(0,$C2402-J2402),MIN(0.6,Matchup!$C$40*SQRT($B2402)/(1-MIN(0.75,Matchup!$C$39*$B2402))),RAND())</f>
        <v>1</v>
      </c>
      <c r="O2402" s="0" t="n">
        <f aca="false">6*J2402+(J2402-K2402-M2402)+2*L2402+3*N2402</f>
        <v>10</v>
      </c>
      <c r="P2402" s="0" t="n">
        <f aca="true">RAND()</f>
        <v>0.0608099964654685</v>
      </c>
      <c r="Q2402" s="0" t="n">
        <f aca="true">RAND()</f>
        <v>0.389012255815788</v>
      </c>
      <c r="R2402" s="0" t="n">
        <f aca="false">IF($I2402&lt;&gt;$O2402,0,IF(P2402&lt;Matchup!$B$39,7,IF(P2402&lt;Matchup!$B$39+Matchup!$B$40,3,0)))</f>
        <v>0</v>
      </c>
      <c r="S2402" s="0" t="n">
        <f aca="false">IF($I2402&lt;&gt;$O2402,0,IF(Q2402&lt;Matchup!$C$39,7,IF(Q2402&lt;Matchup!$C$39+Matchup!$C$40,3,0)))</f>
        <v>0</v>
      </c>
      <c r="T2402" s="0" t="n">
        <f aca="false">I2402+R2402</f>
        <v>21</v>
      </c>
      <c r="U2402" s="0" t="n">
        <f aca="false">O2402+S2402</f>
        <v>10</v>
      </c>
      <c r="V2402" s="0" t="n">
        <f aca="false">T2402-U2402</f>
        <v>11</v>
      </c>
      <c r="W2402" s="0" t="n">
        <f aca="false">T2402+U2402</f>
        <v>31</v>
      </c>
    </row>
    <row r="2403" customFormat="false" ht="15" hidden="false" customHeight="false" outlineLevel="0" collapsed="false">
      <c r="A2403" s="0" t="n">
        <v>2400</v>
      </c>
      <c r="B2403" s="0" t="n">
        <f aca="true">NORMINV(RAND(),1,Coefficients!$B$22)</f>
        <v>0.994355082679385</v>
      </c>
      <c r="C2403" s="0" t="n">
        <f aca="true">MEDIAN(8,16,ROUND(NORMINV(RAND(),Coefficients!$B$20,Coefficients!$B$21),0))</f>
        <v>13</v>
      </c>
      <c r="D2403" s="0" t="n">
        <f aca="true">CRITBINOM($C2403,MIN(0.75,Matchup!$B$39*$B2403),RAND())</f>
        <v>2</v>
      </c>
      <c r="E2403" s="0" t="n">
        <f aca="true">CRITBINOM(D2403,Coefficients!$B$30,RAND())</f>
        <v>1</v>
      </c>
      <c r="F2403" s="0" t="n">
        <f aca="true">CRITBINOM(E2403,Coefficients!$B$31,RAND())</f>
        <v>0</v>
      </c>
      <c r="G2403" s="0" t="n">
        <f aca="true">CRITBINOM(MAX(0,D2403-E2403),1-Coefficients!$B$32,RAND())</f>
        <v>0</v>
      </c>
      <c r="H2403" s="0" t="n">
        <f aca="true">CRITBINOM(MAX(0,$C2403-D2403),MIN(0.6,Matchup!$B$40*SQRT($B2403)/(1-MIN(0.75,Matchup!$B$39*$B2403))),RAND())</f>
        <v>2</v>
      </c>
      <c r="I2403" s="0" t="n">
        <f aca="false">6*D2403+(D2403-E2403-G2403)+2*F2403+3*H2403</f>
        <v>19</v>
      </c>
      <c r="J2403" s="0" t="n">
        <f aca="true">CRITBINOM($C2403,MIN(0.75,Matchup!$C$39*$B2403),RAND())</f>
        <v>5</v>
      </c>
      <c r="K2403" s="0" t="n">
        <f aca="true">CRITBINOM(J2403,Coefficients!$B$30,RAND())</f>
        <v>1</v>
      </c>
      <c r="L2403" s="0" t="n">
        <f aca="true">CRITBINOM(K2403,Coefficients!$B$31,RAND())</f>
        <v>1</v>
      </c>
      <c r="M2403" s="0" t="n">
        <f aca="true">CRITBINOM(MAX(0,J2403-K2403),1-Coefficients!$B$32,RAND())</f>
        <v>0</v>
      </c>
      <c r="N2403" s="0" t="n">
        <f aca="true">CRITBINOM(MAX(0,$C2403-J2403),MIN(0.6,Matchup!$C$40*SQRT($B2403)/(1-MIN(0.75,Matchup!$C$39*$B2403))),RAND())</f>
        <v>0</v>
      </c>
      <c r="O2403" s="0" t="n">
        <f aca="false">6*J2403+(J2403-K2403-M2403)+2*L2403+3*N2403</f>
        <v>36</v>
      </c>
      <c r="P2403" s="0" t="n">
        <f aca="true">RAND()</f>
        <v>0.603444506477848</v>
      </c>
      <c r="Q2403" s="0" t="n">
        <f aca="true">RAND()</f>
        <v>0.183871103127565</v>
      </c>
      <c r="R2403" s="0" t="n">
        <f aca="false">IF($I2403&lt;&gt;$O2403,0,IF(P2403&lt;Matchup!$B$39,7,IF(P2403&lt;Matchup!$B$39+Matchup!$B$40,3,0)))</f>
        <v>0</v>
      </c>
      <c r="S2403" s="0" t="n">
        <f aca="false">IF($I2403&lt;&gt;$O2403,0,IF(Q2403&lt;Matchup!$C$39,7,IF(Q2403&lt;Matchup!$C$39+Matchup!$C$40,3,0)))</f>
        <v>0</v>
      </c>
      <c r="T2403" s="0" t="n">
        <f aca="false">I2403+R2403</f>
        <v>19</v>
      </c>
      <c r="U2403" s="0" t="n">
        <f aca="false">O2403+S2403</f>
        <v>36</v>
      </c>
      <c r="V2403" s="0" t="n">
        <f aca="false">T2403-U2403</f>
        <v>-17</v>
      </c>
      <c r="W2403" s="0" t="n">
        <f aca="false">T2403+U2403</f>
        <v>55</v>
      </c>
    </row>
    <row r="2404" customFormat="false" ht="15" hidden="false" customHeight="false" outlineLevel="0" collapsed="false">
      <c r="A2404" s="0" t="n">
        <v>2401</v>
      </c>
      <c r="B2404" s="0" t="n">
        <f aca="true">NORMINV(RAND(),1,Coefficients!$B$22)</f>
        <v>1.01922711907666</v>
      </c>
      <c r="C2404" s="0" t="n">
        <f aca="true">MEDIAN(8,16,ROUND(NORMINV(RAND(),Coefficients!$B$20,Coefficients!$B$21),0))</f>
        <v>12</v>
      </c>
      <c r="D2404" s="0" t="n">
        <f aca="true">CRITBINOM($C2404,MIN(0.75,Matchup!$B$39*$B2404),RAND())</f>
        <v>4</v>
      </c>
      <c r="E2404" s="0" t="n">
        <f aca="true">CRITBINOM(D2404,Coefficients!$B$30,RAND())</f>
        <v>0</v>
      </c>
      <c r="F2404" s="0" t="n">
        <f aca="true">CRITBINOM(E2404,Coefficients!$B$31,RAND())</f>
        <v>0</v>
      </c>
      <c r="G2404" s="0" t="n">
        <f aca="true">CRITBINOM(MAX(0,D2404-E2404),1-Coefficients!$B$32,RAND())</f>
        <v>0</v>
      </c>
      <c r="H2404" s="0" t="n">
        <f aca="true">CRITBINOM(MAX(0,$C2404-D2404),MIN(0.6,Matchup!$B$40*SQRT($B2404)/(1-MIN(0.75,Matchup!$B$39*$B2404))),RAND())</f>
        <v>1</v>
      </c>
      <c r="I2404" s="0" t="n">
        <f aca="false">6*D2404+(D2404-E2404-G2404)+2*F2404+3*H2404</f>
        <v>31</v>
      </c>
      <c r="J2404" s="0" t="n">
        <f aca="true">CRITBINOM($C2404,MIN(0.75,Matchup!$C$39*$B2404),RAND())</f>
        <v>5</v>
      </c>
      <c r="K2404" s="0" t="n">
        <f aca="true">CRITBINOM(J2404,Coefficients!$B$30,RAND())</f>
        <v>0</v>
      </c>
      <c r="L2404" s="0" t="n">
        <f aca="true">CRITBINOM(K2404,Coefficients!$B$31,RAND())</f>
        <v>0</v>
      </c>
      <c r="M2404" s="0" t="n">
        <f aca="true">CRITBINOM(MAX(0,J2404-K2404),1-Coefficients!$B$32,RAND())</f>
        <v>0</v>
      </c>
      <c r="N2404" s="0" t="n">
        <f aca="true">CRITBINOM(MAX(0,$C2404-J2404),MIN(0.6,Matchup!$C$40*SQRT($B2404)/(1-MIN(0.75,Matchup!$C$39*$B2404))),RAND())</f>
        <v>0</v>
      </c>
      <c r="O2404" s="0" t="n">
        <f aca="false">6*J2404+(J2404-K2404-M2404)+2*L2404+3*N2404</f>
        <v>35</v>
      </c>
      <c r="P2404" s="0" t="n">
        <f aca="true">RAND()</f>
        <v>0.429934987040265</v>
      </c>
      <c r="Q2404" s="0" t="n">
        <f aca="true">RAND()</f>
        <v>0.742921247572172</v>
      </c>
      <c r="R2404" s="0" t="n">
        <f aca="false">IF($I2404&lt;&gt;$O2404,0,IF(P2404&lt;Matchup!$B$39,7,IF(P2404&lt;Matchup!$B$39+Matchup!$B$40,3,0)))</f>
        <v>0</v>
      </c>
      <c r="S2404" s="0" t="n">
        <f aca="false">IF($I2404&lt;&gt;$O2404,0,IF(Q2404&lt;Matchup!$C$39,7,IF(Q2404&lt;Matchup!$C$39+Matchup!$C$40,3,0)))</f>
        <v>0</v>
      </c>
      <c r="T2404" s="0" t="n">
        <f aca="false">I2404+R2404</f>
        <v>31</v>
      </c>
      <c r="U2404" s="0" t="n">
        <f aca="false">O2404+S2404</f>
        <v>35</v>
      </c>
      <c r="V2404" s="0" t="n">
        <f aca="false">T2404-U2404</f>
        <v>-4</v>
      </c>
      <c r="W2404" s="0" t="n">
        <f aca="false">T2404+U2404</f>
        <v>66</v>
      </c>
    </row>
    <row r="2405" customFormat="false" ht="15" hidden="false" customHeight="false" outlineLevel="0" collapsed="false">
      <c r="A2405" s="0" t="n">
        <v>2402</v>
      </c>
      <c r="B2405" s="0" t="n">
        <f aca="true">NORMINV(RAND(),1,Coefficients!$B$22)</f>
        <v>1.03367214778316</v>
      </c>
      <c r="C2405" s="0" t="n">
        <f aca="true">MEDIAN(8,16,ROUND(NORMINV(RAND(),Coefficients!$B$20,Coefficients!$B$21),0))</f>
        <v>11</v>
      </c>
      <c r="D2405" s="0" t="n">
        <f aca="true">CRITBINOM($C2405,MIN(0.75,Matchup!$B$39*$B2405),RAND())</f>
        <v>3</v>
      </c>
      <c r="E2405" s="0" t="n">
        <f aca="true">CRITBINOM(D2405,Coefficients!$B$30,RAND())</f>
        <v>0</v>
      </c>
      <c r="F2405" s="0" t="n">
        <f aca="true">CRITBINOM(E2405,Coefficients!$B$31,RAND())</f>
        <v>0</v>
      </c>
      <c r="G2405" s="0" t="n">
        <f aca="true">CRITBINOM(MAX(0,D2405-E2405),1-Coefficients!$B$32,RAND())</f>
        <v>0</v>
      </c>
      <c r="H2405" s="0" t="n">
        <f aca="true">CRITBINOM(MAX(0,$C2405-D2405),MIN(0.6,Matchup!$B$40*SQRT($B2405)/(1-MIN(0.75,Matchup!$B$39*$B2405))),RAND())</f>
        <v>2</v>
      </c>
      <c r="I2405" s="0" t="n">
        <f aca="false">6*D2405+(D2405-E2405-G2405)+2*F2405+3*H2405</f>
        <v>27</v>
      </c>
      <c r="J2405" s="0" t="n">
        <f aca="true">CRITBINOM($C2405,MIN(0.75,Matchup!$C$39*$B2405),RAND())</f>
        <v>2</v>
      </c>
      <c r="K2405" s="0" t="n">
        <f aca="true">CRITBINOM(J2405,Coefficients!$B$30,RAND())</f>
        <v>0</v>
      </c>
      <c r="L2405" s="0" t="n">
        <f aca="true">CRITBINOM(K2405,Coefficients!$B$31,RAND())</f>
        <v>0</v>
      </c>
      <c r="M2405" s="0" t="n">
        <f aca="true">CRITBINOM(MAX(0,J2405-K2405),1-Coefficients!$B$32,RAND())</f>
        <v>0</v>
      </c>
      <c r="N2405" s="0" t="n">
        <f aca="true">CRITBINOM(MAX(0,$C2405-J2405),MIN(0.6,Matchup!$C$40*SQRT($B2405)/(1-MIN(0.75,Matchup!$C$39*$B2405))),RAND())</f>
        <v>0</v>
      </c>
      <c r="O2405" s="0" t="n">
        <f aca="false">6*J2405+(J2405-K2405-M2405)+2*L2405+3*N2405</f>
        <v>14</v>
      </c>
      <c r="P2405" s="0" t="n">
        <f aca="true">RAND()</f>
        <v>0.69178259218895</v>
      </c>
      <c r="Q2405" s="0" t="n">
        <f aca="true">RAND()</f>
        <v>0.199083068087943</v>
      </c>
      <c r="R2405" s="0" t="n">
        <f aca="false">IF($I2405&lt;&gt;$O2405,0,IF(P2405&lt;Matchup!$B$39,7,IF(P2405&lt;Matchup!$B$39+Matchup!$B$40,3,0)))</f>
        <v>0</v>
      </c>
      <c r="S2405" s="0" t="n">
        <f aca="false">IF($I2405&lt;&gt;$O2405,0,IF(Q2405&lt;Matchup!$C$39,7,IF(Q2405&lt;Matchup!$C$39+Matchup!$C$40,3,0)))</f>
        <v>0</v>
      </c>
      <c r="T2405" s="0" t="n">
        <f aca="false">I2405+R2405</f>
        <v>27</v>
      </c>
      <c r="U2405" s="0" t="n">
        <f aca="false">O2405+S2405</f>
        <v>14</v>
      </c>
      <c r="V2405" s="0" t="n">
        <f aca="false">T2405-U2405</f>
        <v>13</v>
      </c>
      <c r="W2405" s="0" t="n">
        <f aca="false">T2405+U2405</f>
        <v>41</v>
      </c>
    </row>
    <row r="2406" customFormat="false" ht="15" hidden="false" customHeight="false" outlineLevel="0" collapsed="false">
      <c r="A2406" s="0" t="n">
        <v>2403</v>
      </c>
      <c r="B2406" s="0" t="n">
        <f aca="true">NORMINV(RAND(),1,Coefficients!$B$22)</f>
        <v>0.913601624002473</v>
      </c>
      <c r="C2406" s="0" t="n">
        <f aca="true">MEDIAN(8,16,ROUND(NORMINV(RAND(),Coefficients!$B$20,Coefficients!$B$21),0))</f>
        <v>11</v>
      </c>
      <c r="D2406" s="0" t="n">
        <f aca="true">CRITBINOM($C2406,MIN(0.75,Matchup!$B$39*$B2406),RAND())</f>
        <v>0</v>
      </c>
      <c r="E2406" s="0" t="n">
        <f aca="true">CRITBINOM(D2406,Coefficients!$B$30,RAND())</f>
        <v>0</v>
      </c>
      <c r="F2406" s="0" t="n">
        <f aca="true">CRITBINOM(E2406,Coefficients!$B$31,RAND())</f>
        <v>0</v>
      </c>
      <c r="G2406" s="0" t="n">
        <f aca="true">CRITBINOM(MAX(0,D2406-E2406),1-Coefficients!$B$32,RAND())</f>
        <v>0</v>
      </c>
      <c r="H2406" s="0" t="n">
        <f aca="true">CRITBINOM(MAX(0,$C2406-D2406),MIN(0.6,Matchup!$B$40*SQRT($B2406)/(1-MIN(0.75,Matchup!$B$39*$B2406))),RAND())</f>
        <v>3</v>
      </c>
      <c r="I2406" s="0" t="n">
        <f aca="false">6*D2406+(D2406-E2406-G2406)+2*F2406+3*H2406</f>
        <v>9</v>
      </c>
      <c r="J2406" s="0" t="n">
        <f aca="true">CRITBINOM($C2406,MIN(0.75,Matchup!$C$39*$B2406),RAND())</f>
        <v>3</v>
      </c>
      <c r="K2406" s="0" t="n">
        <f aca="true">CRITBINOM(J2406,Coefficients!$B$30,RAND())</f>
        <v>0</v>
      </c>
      <c r="L2406" s="0" t="n">
        <f aca="true">CRITBINOM(K2406,Coefficients!$B$31,RAND())</f>
        <v>0</v>
      </c>
      <c r="M2406" s="0" t="n">
        <f aca="true">CRITBINOM(MAX(0,J2406-K2406),1-Coefficients!$B$32,RAND())</f>
        <v>0</v>
      </c>
      <c r="N2406" s="0" t="n">
        <f aca="true">CRITBINOM(MAX(0,$C2406-J2406),MIN(0.6,Matchup!$C$40*SQRT($B2406)/(1-MIN(0.75,Matchup!$C$39*$B2406))),RAND())</f>
        <v>2</v>
      </c>
      <c r="O2406" s="0" t="n">
        <f aca="false">6*J2406+(J2406-K2406-M2406)+2*L2406+3*N2406</f>
        <v>27</v>
      </c>
      <c r="P2406" s="0" t="n">
        <f aca="true">RAND()</f>
        <v>0.00145872716027262</v>
      </c>
      <c r="Q2406" s="0" t="n">
        <f aca="true">RAND()</f>
        <v>0.466895324292594</v>
      </c>
      <c r="R2406" s="0" t="n">
        <f aca="false">IF($I2406&lt;&gt;$O2406,0,IF(P2406&lt;Matchup!$B$39,7,IF(P2406&lt;Matchup!$B$39+Matchup!$B$40,3,0)))</f>
        <v>0</v>
      </c>
      <c r="S2406" s="0" t="n">
        <f aca="false">IF($I2406&lt;&gt;$O2406,0,IF(Q2406&lt;Matchup!$C$39,7,IF(Q2406&lt;Matchup!$C$39+Matchup!$C$40,3,0)))</f>
        <v>0</v>
      </c>
      <c r="T2406" s="0" t="n">
        <f aca="false">I2406+R2406</f>
        <v>9</v>
      </c>
      <c r="U2406" s="0" t="n">
        <f aca="false">O2406+S2406</f>
        <v>27</v>
      </c>
      <c r="V2406" s="0" t="n">
        <f aca="false">T2406-U2406</f>
        <v>-18</v>
      </c>
      <c r="W2406" s="0" t="n">
        <f aca="false">T2406+U2406</f>
        <v>36</v>
      </c>
    </row>
    <row r="2407" customFormat="false" ht="15" hidden="false" customHeight="false" outlineLevel="0" collapsed="false">
      <c r="A2407" s="0" t="n">
        <v>2404</v>
      </c>
      <c r="B2407" s="0" t="n">
        <f aca="true">NORMINV(RAND(),1,Coefficients!$B$22)</f>
        <v>0.949736932064682</v>
      </c>
      <c r="C2407" s="0" t="n">
        <f aca="true">MEDIAN(8,16,ROUND(NORMINV(RAND(),Coefficients!$B$20,Coefficients!$B$21),0))</f>
        <v>13</v>
      </c>
      <c r="D2407" s="0" t="n">
        <f aca="true">CRITBINOM($C2407,MIN(0.75,Matchup!$B$39*$B2407),RAND())</f>
        <v>3</v>
      </c>
      <c r="E2407" s="0" t="n">
        <f aca="true">CRITBINOM(D2407,Coefficients!$B$30,RAND())</f>
        <v>1</v>
      </c>
      <c r="F2407" s="0" t="n">
        <f aca="true">CRITBINOM(E2407,Coefficients!$B$31,RAND())</f>
        <v>0</v>
      </c>
      <c r="G2407" s="0" t="n">
        <f aca="true">CRITBINOM(MAX(0,D2407-E2407),1-Coefficients!$B$32,RAND())</f>
        <v>0</v>
      </c>
      <c r="H2407" s="0" t="n">
        <f aca="true">CRITBINOM(MAX(0,$C2407-D2407),MIN(0.6,Matchup!$B$40*SQRT($B2407)/(1-MIN(0.75,Matchup!$B$39*$B2407))),RAND())</f>
        <v>1</v>
      </c>
      <c r="I2407" s="0" t="n">
        <f aca="false">6*D2407+(D2407-E2407-G2407)+2*F2407+3*H2407</f>
        <v>23</v>
      </c>
      <c r="J2407" s="0" t="n">
        <f aca="true">CRITBINOM($C2407,MIN(0.75,Matchup!$C$39*$B2407),RAND())</f>
        <v>3</v>
      </c>
      <c r="K2407" s="0" t="n">
        <f aca="true">CRITBINOM(J2407,Coefficients!$B$30,RAND())</f>
        <v>0</v>
      </c>
      <c r="L2407" s="0" t="n">
        <f aca="true">CRITBINOM(K2407,Coefficients!$B$31,RAND())</f>
        <v>0</v>
      </c>
      <c r="M2407" s="0" t="n">
        <f aca="true">CRITBINOM(MAX(0,J2407-K2407),1-Coefficients!$B$32,RAND())</f>
        <v>1</v>
      </c>
      <c r="N2407" s="0" t="n">
        <f aca="true">CRITBINOM(MAX(0,$C2407-J2407),MIN(0.6,Matchup!$C$40*SQRT($B2407)/(1-MIN(0.75,Matchup!$C$39*$B2407))),RAND())</f>
        <v>2</v>
      </c>
      <c r="O2407" s="0" t="n">
        <f aca="false">6*J2407+(J2407-K2407-M2407)+2*L2407+3*N2407</f>
        <v>26</v>
      </c>
      <c r="P2407" s="0" t="n">
        <f aca="true">RAND()</f>
        <v>0.622040337158649</v>
      </c>
      <c r="Q2407" s="0" t="n">
        <f aca="true">RAND()</f>
        <v>0.549774309002588</v>
      </c>
      <c r="R2407" s="0" t="n">
        <f aca="false">IF($I2407&lt;&gt;$O2407,0,IF(P2407&lt;Matchup!$B$39,7,IF(P2407&lt;Matchup!$B$39+Matchup!$B$40,3,0)))</f>
        <v>0</v>
      </c>
      <c r="S2407" s="0" t="n">
        <f aca="false">IF($I2407&lt;&gt;$O2407,0,IF(Q2407&lt;Matchup!$C$39,7,IF(Q2407&lt;Matchup!$C$39+Matchup!$C$40,3,0)))</f>
        <v>0</v>
      </c>
      <c r="T2407" s="0" t="n">
        <f aca="false">I2407+R2407</f>
        <v>23</v>
      </c>
      <c r="U2407" s="0" t="n">
        <f aca="false">O2407+S2407</f>
        <v>26</v>
      </c>
      <c r="V2407" s="0" t="n">
        <f aca="false">T2407-U2407</f>
        <v>-3</v>
      </c>
      <c r="W2407" s="0" t="n">
        <f aca="false">T2407+U2407</f>
        <v>49</v>
      </c>
    </row>
    <row r="2408" customFormat="false" ht="15" hidden="false" customHeight="false" outlineLevel="0" collapsed="false">
      <c r="A2408" s="0" t="n">
        <v>2405</v>
      </c>
      <c r="B2408" s="0" t="n">
        <f aca="true">NORMINV(RAND(),1,Coefficients!$B$22)</f>
        <v>0.926227176050539</v>
      </c>
      <c r="C2408" s="0" t="n">
        <f aca="true">MEDIAN(8,16,ROUND(NORMINV(RAND(),Coefficients!$B$20,Coefficients!$B$21),0))</f>
        <v>11</v>
      </c>
      <c r="D2408" s="0" t="n">
        <f aca="true">CRITBINOM($C2408,MIN(0.75,Matchup!$B$39*$B2408),RAND())</f>
        <v>2</v>
      </c>
      <c r="E2408" s="0" t="n">
        <f aca="true">CRITBINOM(D2408,Coefficients!$B$30,RAND())</f>
        <v>0</v>
      </c>
      <c r="F2408" s="0" t="n">
        <f aca="true">CRITBINOM(E2408,Coefficients!$B$31,RAND())</f>
        <v>0</v>
      </c>
      <c r="G2408" s="0" t="n">
        <f aca="true">CRITBINOM(MAX(0,D2408-E2408),1-Coefficients!$B$32,RAND())</f>
        <v>0</v>
      </c>
      <c r="H2408" s="0" t="n">
        <f aca="true">CRITBINOM(MAX(0,$C2408-D2408),MIN(0.6,Matchup!$B$40*SQRT($B2408)/(1-MIN(0.75,Matchup!$B$39*$B2408))),RAND())</f>
        <v>1</v>
      </c>
      <c r="I2408" s="0" t="n">
        <f aca="false">6*D2408+(D2408-E2408-G2408)+2*F2408+3*H2408</f>
        <v>17</v>
      </c>
      <c r="J2408" s="0" t="n">
        <f aca="true">CRITBINOM($C2408,MIN(0.75,Matchup!$C$39*$B2408),RAND())</f>
        <v>1</v>
      </c>
      <c r="K2408" s="0" t="n">
        <f aca="true">CRITBINOM(J2408,Coefficients!$B$30,RAND())</f>
        <v>0</v>
      </c>
      <c r="L2408" s="0" t="n">
        <f aca="true">CRITBINOM(K2408,Coefficients!$B$31,RAND())</f>
        <v>0</v>
      </c>
      <c r="M2408" s="0" t="n">
        <f aca="true">CRITBINOM(MAX(0,J2408-K2408),1-Coefficients!$B$32,RAND())</f>
        <v>0</v>
      </c>
      <c r="N2408" s="0" t="n">
        <f aca="true">CRITBINOM(MAX(0,$C2408-J2408),MIN(0.6,Matchup!$C$40*SQRT($B2408)/(1-MIN(0.75,Matchup!$C$39*$B2408))),RAND())</f>
        <v>1</v>
      </c>
      <c r="O2408" s="0" t="n">
        <f aca="false">6*J2408+(J2408-K2408-M2408)+2*L2408+3*N2408</f>
        <v>10</v>
      </c>
      <c r="P2408" s="0" t="n">
        <f aca="true">RAND()</f>
        <v>0.367342210905302</v>
      </c>
      <c r="Q2408" s="0" t="n">
        <f aca="true">RAND()</f>
        <v>0.479584269969992</v>
      </c>
      <c r="R2408" s="0" t="n">
        <f aca="false">IF($I2408&lt;&gt;$O2408,0,IF(P2408&lt;Matchup!$B$39,7,IF(P2408&lt;Matchup!$B$39+Matchup!$B$40,3,0)))</f>
        <v>0</v>
      </c>
      <c r="S2408" s="0" t="n">
        <f aca="false">IF($I2408&lt;&gt;$O2408,0,IF(Q2408&lt;Matchup!$C$39,7,IF(Q2408&lt;Matchup!$C$39+Matchup!$C$40,3,0)))</f>
        <v>0</v>
      </c>
      <c r="T2408" s="0" t="n">
        <f aca="false">I2408+R2408</f>
        <v>17</v>
      </c>
      <c r="U2408" s="0" t="n">
        <f aca="false">O2408+S2408</f>
        <v>10</v>
      </c>
      <c r="V2408" s="0" t="n">
        <f aca="false">T2408-U2408</f>
        <v>7</v>
      </c>
      <c r="W2408" s="0" t="n">
        <f aca="false">T2408+U2408</f>
        <v>27</v>
      </c>
    </row>
    <row r="2409" customFormat="false" ht="15" hidden="false" customHeight="false" outlineLevel="0" collapsed="false">
      <c r="A2409" s="0" t="n">
        <v>2406</v>
      </c>
      <c r="B2409" s="0" t="n">
        <f aca="true">NORMINV(RAND(),1,Coefficients!$B$22)</f>
        <v>0.9522611040911</v>
      </c>
      <c r="C2409" s="0" t="n">
        <f aca="true">MEDIAN(8,16,ROUND(NORMINV(RAND(),Coefficients!$B$20,Coefficients!$B$21),0))</f>
        <v>10</v>
      </c>
      <c r="D2409" s="0" t="n">
        <f aca="true">CRITBINOM($C2409,MIN(0.75,Matchup!$B$39*$B2409),RAND())</f>
        <v>5</v>
      </c>
      <c r="E2409" s="0" t="n">
        <f aca="true">CRITBINOM(D2409,Coefficients!$B$30,RAND())</f>
        <v>0</v>
      </c>
      <c r="F2409" s="0" t="n">
        <f aca="true">CRITBINOM(E2409,Coefficients!$B$31,RAND())</f>
        <v>0</v>
      </c>
      <c r="G2409" s="0" t="n">
        <f aca="true">CRITBINOM(MAX(0,D2409-E2409),1-Coefficients!$B$32,RAND())</f>
        <v>0</v>
      </c>
      <c r="H2409" s="0" t="n">
        <f aca="true">CRITBINOM(MAX(0,$C2409-D2409),MIN(0.6,Matchup!$B$40*SQRT($B2409)/(1-MIN(0.75,Matchup!$B$39*$B2409))),RAND())</f>
        <v>4</v>
      </c>
      <c r="I2409" s="0" t="n">
        <f aca="false">6*D2409+(D2409-E2409-G2409)+2*F2409+3*H2409</f>
        <v>47</v>
      </c>
      <c r="J2409" s="0" t="n">
        <f aca="true">CRITBINOM($C2409,MIN(0.75,Matchup!$C$39*$B2409),RAND())</f>
        <v>3</v>
      </c>
      <c r="K2409" s="0" t="n">
        <f aca="true">CRITBINOM(J2409,Coefficients!$B$30,RAND())</f>
        <v>1</v>
      </c>
      <c r="L2409" s="0" t="n">
        <f aca="true">CRITBINOM(K2409,Coefficients!$B$31,RAND())</f>
        <v>0</v>
      </c>
      <c r="M2409" s="0" t="n">
        <f aca="true">CRITBINOM(MAX(0,J2409-K2409),1-Coefficients!$B$32,RAND())</f>
        <v>0</v>
      </c>
      <c r="N2409" s="0" t="n">
        <f aca="true">CRITBINOM(MAX(0,$C2409-J2409),MIN(0.6,Matchup!$C$40*SQRT($B2409)/(1-MIN(0.75,Matchup!$C$39*$B2409))),RAND())</f>
        <v>1</v>
      </c>
      <c r="O2409" s="0" t="n">
        <f aca="false">6*J2409+(J2409-K2409-M2409)+2*L2409+3*N2409</f>
        <v>23</v>
      </c>
      <c r="P2409" s="0" t="n">
        <f aca="true">RAND()</f>
        <v>0.481640999625573</v>
      </c>
      <c r="Q2409" s="0" t="n">
        <f aca="true">RAND()</f>
        <v>0.538714295173925</v>
      </c>
      <c r="R2409" s="0" t="n">
        <f aca="false">IF($I2409&lt;&gt;$O2409,0,IF(P2409&lt;Matchup!$B$39,7,IF(P2409&lt;Matchup!$B$39+Matchup!$B$40,3,0)))</f>
        <v>0</v>
      </c>
      <c r="S2409" s="0" t="n">
        <f aca="false">IF($I2409&lt;&gt;$O2409,0,IF(Q2409&lt;Matchup!$C$39,7,IF(Q2409&lt;Matchup!$C$39+Matchup!$C$40,3,0)))</f>
        <v>0</v>
      </c>
      <c r="T2409" s="0" t="n">
        <f aca="false">I2409+R2409</f>
        <v>47</v>
      </c>
      <c r="U2409" s="0" t="n">
        <f aca="false">O2409+S2409</f>
        <v>23</v>
      </c>
      <c r="V2409" s="0" t="n">
        <f aca="false">T2409-U2409</f>
        <v>24</v>
      </c>
      <c r="W2409" s="0" t="n">
        <f aca="false">T2409+U2409</f>
        <v>70</v>
      </c>
    </row>
    <row r="2410" customFormat="false" ht="15" hidden="false" customHeight="false" outlineLevel="0" collapsed="false">
      <c r="A2410" s="0" t="n">
        <v>2407</v>
      </c>
      <c r="B2410" s="0" t="n">
        <f aca="true">NORMINV(RAND(),1,Coefficients!$B$22)</f>
        <v>0.9637849677949</v>
      </c>
      <c r="C2410" s="0" t="n">
        <f aca="true">MEDIAN(8,16,ROUND(NORMINV(RAND(),Coefficients!$B$20,Coefficients!$B$21),0))</f>
        <v>12</v>
      </c>
      <c r="D2410" s="0" t="n">
        <f aca="true">CRITBINOM($C2410,MIN(0.75,Matchup!$B$39*$B2410),RAND())</f>
        <v>4</v>
      </c>
      <c r="E2410" s="0" t="n">
        <f aca="true">CRITBINOM(D2410,Coefficients!$B$30,RAND())</f>
        <v>0</v>
      </c>
      <c r="F2410" s="0" t="n">
        <f aca="true">CRITBINOM(E2410,Coefficients!$B$31,RAND())</f>
        <v>0</v>
      </c>
      <c r="G2410" s="0" t="n">
        <f aca="true">CRITBINOM(MAX(0,D2410-E2410),1-Coefficients!$B$32,RAND())</f>
        <v>0</v>
      </c>
      <c r="H2410" s="0" t="n">
        <f aca="true">CRITBINOM(MAX(0,$C2410-D2410),MIN(0.6,Matchup!$B$40*SQRT($B2410)/(1-MIN(0.75,Matchup!$B$39*$B2410))),RAND())</f>
        <v>2</v>
      </c>
      <c r="I2410" s="0" t="n">
        <f aca="false">6*D2410+(D2410-E2410-G2410)+2*F2410+3*H2410</f>
        <v>34</v>
      </c>
      <c r="J2410" s="0" t="n">
        <f aca="true">CRITBINOM($C2410,MIN(0.75,Matchup!$C$39*$B2410),RAND())</f>
        <v>5</v>
      </c>
      <c r="K2410" s="0" t="n">
        <f aca="true">CRITBINOM(J2410,Coefficients!$B$30,RAND())</f>
        <v>0</v>
      </c>
      <c r="L2410" s="0" t="n">
        <f aca="true">CRITBINOM(K2410,Coefficients!$B$31,RAND())</f>
        <v>0</v>
      </c>
      <c r="M2410" s="0" t="n">
        <f aca="true">CRITBINOM(MAX(0,J2410-K2410),1-Coefficients!$B$32,RAND())</f>
        <v>0</v>
      </c>
      <c r="N2410" s="0" t="n">
        <f aca="true">CRITBINOM(MAX(0,$C2410-J2410),MIN(0.6,Matchup!$C$40*SQRT($B2410)/(1-MIN(0.75,Matchup!$C$39*$B2410))),RAND())</f>
        <v>0</v>
      </c>
      <c r="O2410" s="0" t="n">
        <f aca="false">6*J2410+(J2410-K2410-M2410)+2*L2410+3*N2410</f>
        <v>35</v>
      </c>
      <c r="P2410" s="0" t="n">
        <f aca="true">RAND()</f>
        <v>0.815306085417966</v>
      </c>
      <c r="Q2410" s="0" t="n">
        <f aca="true">RAND()</f>
        <v>0.123566390633163</v>
      </c>
      <c r="R2410" s="0" t="n">
        <f aca="false">IF($I2410&lt;&gt;$O2410,0,IF(P2410&lt;Matchup!$B$39,7,IF(P2410&lt;Matchup!$B$39+Matchup!$B$40,3,0)))</f>
        <v>0</v>
      </c>
      <c r="S2410" s="0" t="n">
        <f aca="false">IF($I2410&lt;&gt;$O2410,0,IF(Q2410&lt;Matchup!$C$39,7,IF(Q2410&lt;Matchup!$C$39+Matchup!$C$40,3,0)))</f>
        <v>0</v>
      </c>
      <c r="T2410" s="0" t="n">
        <f aca="false">I2410+R2410</f>
        <v>34</v>
      </c>
      <c r="U2410" s="0" t="n">
        <f aca="false">O2410+S2410</f>
        <v>35</v>
      </c>
      <c r="V2410" s="0" t="n">
        <f aca="false">T2410-U2410</f>
        <v>-1</v>
      </c>
      <c r="W2410" s="0" t="n">
        <f aca="false">T2410+U2410</f>
        <v>69</v>
      </c>
    </row>
    <row r="2411" customFormat="false" ht="15" hidden="false" customHeight="false" outlineLevel="0" collapsed="false">
      <c r="A2411" s="0" t="n">
        <v>2408</v>
      </c>
      <c r="B2411" s="0" t="n">
        <f aca="true">NORMINV(RAND(),1,Coefficients!$B$22)</f>
        <v>1.03041949540038</v>
      </c>
      <c r="C2411" s="0" t="n">
        <f aca="true">MEDIAN(8,16,ROUND(NORMINV(RAND(),Coefficients!$B$20,Coefficients!$B$21),0))</f>
        <v>12</v>
      </c>
      <c r="D2411" s="0" t="n">
        <f aca="true">CRITBINOM($C2411,MIN(0.75,Matchup!$B$39*$B2411),RAND())</f>
        <v>7</v>
      </c>
      <c r="E2411" s="0" t="n">
        <f aca="true">CRITBINOM(D2411,Coefficients!$B$30,RAND())</f>
        <v>0</v>
      </c>
      <c r="F2411" s="0" t="n">
        <f aca="true">CRITBINOM(E2411,Coefficients!$B$31,RAND())</f>
        <v>0</v>
      </c>
      <c r="G2411" s="0" t="n">
        <f aca="true">CRITBINOM(MAX(0,D2411-E2411),1-Coefficients!$B$32,RAND())</f>
        <v>0</v>
      </c>
      <c r="H2411" s="0" t="n">
        <f aca="true">CRITBINOM(MAX(0,$C2411-D2411),MIN(0.6,Matchup!$B$40*SQRT($B2411)/(1-MIN(0.75,Matchup!$B$39*$B2411))),RAND())</f>
        <v>0</v>
      </c>
      <c r="I2411" s="0" t="n">
        <f aca="false">6*D2411+(D2411-E2411-G2411)+2*F2411+3*H2411</f>
        <v>49</v>
      </c>
      <c r="J2411" s="0" t="n">
        <f aca="true">CRITBINOM($C2411,MIN(0.75,Matchup!$C$39*$B2411),RAND())</f>
        <v>4</v>
      </c>
      <c r="K2411" s="0" t="n">
        <f aca="true">CRITBINOM(J2411,Coefficients!$B$30,RAND())</f>
        <v>0</v>
      </c>
      <c r="L2411" s="0" t="n">
        <f aca="true">CRITBINOM(K2411,Coefficients!$B$31,RAND())</f>
        <v>0</v>
      </c>
      <c r="M2411" s="0" t="n">
        <f aca="true">CRITBINOM(MAX(0,J2411-K2411),1-Coefficients!$B$32,RAND())</f>
        <v>0</v>
      </c>
      <c r="N2411" s="0" t="n">
        <f aca="true">CRITBINOM(MAX(0,$C2411-J2411),MIN(0.6,Matchup!$C$40*SQRT($B2411)/(1-MIN(0.75,Matchup!$C$39*$B2411))),RAND())</f>
        <v>2</v>
      </c>
      <c r="O2411" s="0" t="n">
        <f aca="false">6*J2411+(J2411-K2411-M2411)+2*L2411+3*N2411</f>
        <v>34</v>
      </c>
      <c r="P2411" s="0" t="n">
        <f aca="true">RAND()</f>
        <v>0.752043358815184</v>
      </c>
      <c r="Q2411" s="0" t="n">
        <f aca="true">RAND()</f>
        <v>0.64023546826261</v>
      </c>
      <c r="R2411" s="0" t="n">
        <f aca="false">IF($I2411&lt;&gt;$O2411,0,IF(P2411&lt;Matchup!$B$39,7,IF(P2411&lt;Matchup!$B$39+Matchup!$B$40,3,0)))</f>
        <v>0</v>
      </c>
      <c r="S2411" s="0" t="n">
        <f aca="false">IF($I2411&lt;&gt;$O2411,0,IF(Q2411&lt;Matchup!$C$39,7,IF(Q2411&lt;Matchup!$C$39+Matchup!$C$40,3,0)))</f>
        <v>0</v>
      </c>
      <c r="T2411" s="0" t="n">
        <f aca="false">I2411+R2411</f>
        <v>49</v>
      </c>
      <c r="U2411" s="0" t="n">
        <f aca="false">O2411+S2411</f>
        <v>34</v>
      </c>
      <c r="V2411" s="0" t="n">
        <f aca="false">T2411-U2411</f>
        <v>15</v>
      </c>
      <c r="W2411" s="0" t="n">
        <f aca="false">T2411+U2411</f>
        <v>83</v>
      </c>
    </row>
    <row r="2412" customFormat="false" ht="15" hidden="false" customHeight="false" outlineLevel="0" collapsed="false">
      <c r="A2412" s="0" t="n">
        <v>2409</v>
      </c>
      <c r="B2412" s="0" t="n">
        <f aca="true">NORMINV(RAND(),1,Coefficients!$B$22)</f>
        <v>1.17720192937217</v>
      </c>
      <c r="C2412" s="0" t="n">
        <f aca="true">MEDIAN(8,16,ROUND(NORMINV(RAND(),Coefficients!$B$20,Coefficients!$B$21),0))</f>
        <v>11</v>
      </c>
      <c r="D2412" s="0" t="n">
        <f aca="true">CRITBINOM($C2412,MIN(0.75,Matchup!$B$39*$B2412),RAND())</f>
        <v>4</v>
      </c>
      <c r="E2412" s="0" t="n">
        <f aca="true">CRITBINOM(D2412,Coefficients!$B$30,RAND())</f>
        <v>1</v>
      </c>
      <c r="F2412" s="0" t="n">
        <f aca="true">CRITBINOM(E2412,Coefficients!$B$31,RAND())</f>
        <v>1</v>
      </c>
      <c r="G2412" s="0" t="n">
        <f aca="true">CRITBINOM(MAX(0,D2412-E2412),1-Coefficients!$B$32,RAND())</f>
        <v>0</v>
      </c>
      <c r="H2412" s="0" t="n">
        <f aca="true">CRITBINOM(MAX(0,$C2412-D2412),MIN(0.6,Matchup!$B$40*SQRT($B2412)/(1-MIN(0.75,Matchup!$B$39*$B2412))),RAND())</f>
        <v>2</v>
      </c>
      <c r="I2412" s="0" t="n">
        <f aca="false">6*D2412+(D2412-E2412-G2412)+2*F2412+3*H2412</f>
        <v>35</v>
      </c>
      <c r="J2412" s="0" t="n">
        <f aca="true">CRITBINOM($C2412,MIN(0.75,Matchup!$C$39*$B2412),RAND())</f>
        <v>3</v>
      </c>
      <c r="K2412" s="0" t="n">
        <f aca="true">CRITBINOM(J2412,Coefficients!$B$30,RAND())</f>
        <v>0</v>
      </c>
      <c r="L2412" s="0" t="n">
        <f aca="true">CRITBINOM(K2412,Coefficients!$B$31,RAND())</f>
        <v>0</v>
      </c>
      <c r="M2412" s="0" t="n">
        <f aca="true">CRITBINOM(MAX(0,J2412-K2412),1-Coefficients!$B$32,RAND())</f>
        <v>1</v>
      </c>
      <c r="N2412" s="0" t="n">
        <f aca="true">CRITBINOM(MAX(0,$C2412-J2412),MIN(0.6,Matchup!$C$40*SQRT($B2412)/(1-MIN(0.75,Matchup!$C$39*$B2412))),RAND())</f>
        <v>1</v>
      </c>
      <c r="O2412" s="0" t="n">
        <f aca="false">6*J2412+(J2412-K2412-M2412)+2*L2412+3*N2412</f>
        <v>23</v>
      </c>
      <c r="P2412" s="0" t="n">
        <f aca="true">RAND()</f>
        <v>0.900946009529625</v>
      </c>
      <c r="Q2412" s="0" t="n">
        <f aca="true">RAND()</f>
        <v>0.131761872759682</v>
      </c>
      <c r="R2412" s="0" t="n">
        <f aca="false">IF($I2412&lt;&gt;$O2412,0,IF(P2412&lt;Matchup!$B$39,7,IF(P2412&lt;Matchup!$B$39+Matchup!$B$40,3,0)))</f>
        <v>0</v>
      </c>
      <c r="S2412" s="0" t="n">
        <f aca="false">IF($I2412&lt;&gt;$O2412,0,IF(Q2412&lt;Matchup!$C$39,7,IF(Q2412&lt;Matchup!$C$39+Matchup!$C$40,3,0)))</f>
        <v>0</v>
      </c>
      <c r="T2412" s="0" t="n">
        <f aca="false">I2412+R2412</f>
        <v>35</v>
      </c>
      <c r="U2412" s="0" t="n">
        <f aca="false">O2412+S2412</f>
        <v>23</v>
      </c>
      <c r="V2412" s="0" t="n">
        <f aca="false">T2412-U2412</f>
        <v>12</v>
      </c>
      <c r="W2412" s="0" t="n">
        <f aca="false">T2412+U2412</f>
        <v>58</v>
      </c>
    </row>
    <row r="2413" customFormat="false" ht="15" hidden="false" customHeight="false" outlineLevel="0" collapsed="false">
      <c r="A2413" s="0" t="n">
        <v>2410</v>
      </c>
      <c r="B2413" s="0" t="n">
        <f aca="true">NORMINV(RAND(),1,Coefficients!$B$22)</f>
        <v>1.04958722029704</v>
      </c>
      <c r="C2413" s="0" t="n">
        <f aca="true">MEDIAN(8,16,ROUND(NORMINV(RAND(),Coefficients!$B$20,Coefficients!$B$21),0))</f>
        <v>13</v>
      </c>
      <c r="D2413" s="0" t="n">
        <f aca="true">CRITBINOM($C2413,MIN(0.75,Matchup!$B$39*$B2413),RAND())</f>
        <v>0</v>
      </c>
      <c r="E2413" s="0" t="n">
        <f aca="true">CRITBINOM(D2413,Coefficients!$B$30,RAND())</f>
        <v>0</v>
      </c>
      <c r="F2413" s="0" t="n">
        <f aca="true">CRITBINOM(E2413,Coefficients!$B$31,RAND())</f>
        <v>0</v>
      </c>
      <c r="G2413" s="0" t="n">
        <f aca="true">CRITBINOM(MAX(0,D2413-E2413),1-Coefficients!$B$32,RAND())</f>
        <v>0</v>
      </c>
      <c r="H2413" s="0" t="n">
        <f aca="true">CRITBINOM(MAX(0,$C2413-D2413),MIN(0.6,Matchup!$B$40*SQRT($B2413)/(1-MIN(0.75,Matchup!$B$39*$B2413))),RAND())</f>
        <v>4</v>
      </c>
      <c r="I2413" s="0" t="n">
        <f aca="false">6*D2413+(D2413-E2413-G2413)+2*F2413+3*H2413</f>
        <v>12</v>
      </c>
      <c r="J2413" s="0" t="n">
        <f aca="true">CRITBINOM($C2413,MIN(0.75,Matchup!$C$39*$B2413),RAND())</f>
        <v>4</v>
      </c>
      <c r="K2413" s="0" t="n">
        <f aca="true">CRITBINOM(J2413,Coefficients!$B$30,RAND())</f>
        <v>0</v>
      </c>
      <c r="L2413" s="0" t="n">
        <f aca="true">CRITBINOM(K2413,Coefficients!$B$31,RAND())</f>
        <v>0</v>
      </c>
      <c r="M2413" s="0" t="n">
        <f aca="true">CRITBINOM(MAX(0,J2413-K2413),1-Coefficients!$B$32,RAND())</f>
        <v>0</v>
      </c>
      <c r="N2413" s="0" t="n">
        <f aca="true">CRITBINOM(MAX(0,$C2413-J2413),MIN(0.6,Matchup!$C$40*SQRT($B2413)/(1-MIN(0.75,Matchup!$C$39*$B2413))),RAND())</f>
        <v>1</v>
      </c>
      <c r="O2413" s="0" t="n">
        <f aca="false">6*J2413+(J2413-K2413-M2413)+2*L2413+3*N2413</f>
        <v>31</v>
      </c>
      <c r="P2413" s="0" t="n">
        <f aca="true">RAND()</f>
        <v>0.411837152596362</v>
      </c>
      <c r="Q2413" s="0" t="n">
        <f aca="true">RAND()</f>
        <v>0.847709610664179</v>
      </c>
      <c r="R2413" s="0" t="n">
        <f aca="false">IF($I2413&lt;&gt;$O2413,0,IF(P2413&lt;Matchup!$B$39,7,IF(P2413&lt;Matchup!$B$39+Matchup!$B$40,3,0)))</f>
        <v>0</v>
      </c>
      <c r="S2413" s="0" t="n">
        <f aca="false">IF($I2413&lt;&gt;$O2413,0,IF(Q2413&lt;Matchup!$C$39,7,IF(Q2413&lt;Matchup!$C$39+Matchup!$C$40,3,0)))</f>
        <v>0</v>
      </c>
      <c r="T2413" s="0" t="n">
        <f aca="false">I2413+R2413</f>
        <v>12</v>
      </c>
      <c r="U2413" s="0" t="n">
        <f aca="false">O2413+S2413</f>
        <v>31</v>
      </c>
      <c r="V2413" s="0" t="n">
        <f aca="false">T2413-U2413</f>
        <v>-19</v>
      </c>
      <c r="W2413" s="0" t="n">
        <f aca="false">T2413+U2413</f>
        <v>43</v>
      </c>
    </row>
    <row r="2414" customFormat="false" ht="15" hidden="false" customHeight="false" outlineLevel="0" collapsed="false">
      <c r="A2414" s="0" t="n">
        <v>2411</v>
      </c>
      <c r="B2414" s="0" t="n">
        <f aca="true">NORMINV(RAND(),1,Coefficients!$B$22)</f>
        <v>0.988319311160635</v>
      </c>
      <c r="C2414" s="0" t="n">
        <f aca="true">MEDIAN(8,16,ROUND(NORMINV(RAND(),Coefficients!$B$20,Coefficients!$B$21),0))</f>
        <v>10</v>
      </c>
      <c r="D2414" s="0" t="n">
        <f aca="true">CRITBINOM($C2414,MIN(0.75,Matchup!$B$39*$B2414),RAND())</f>
        <v>3</v>
      </c>
      <c r="E2414" s="0" t="n">
        <f aca="true">CRITBINOM(D2414,Coefficients!$B$30,RAND())</f>
        <v>0</v>
      </c>
      <c r="F2414" s="0" t="n">
        <f aca="true">CRITBINOM(E2414,Coefficients!$B$31,RAND())</f>
        <v>0</v>
      </c>
      <c r="G2414" s="0" t="n">
        <f aca="true">CRITBINOM(MAX(0,D2414-E2414),1-Coefficients!$B$32,RAND())</f>
        <v>0</v>
      </c>
      <c r="H2414" s="0" t="n">
        <f aca="true">CRITBINOM(MAX(0,$C2414-D2414),MIN(0.6,Matchup!$B$40*SQRT($B2414)/(1-MIN(0.75,Matchup!$B$39*$B2414))),RAND())</f>
        <v>0</v>
      </c>
      <c r="I2414" s="0" t="n">
        <f aca="false">6*D2414+(D2414-E2414-G2414)+2*F2414+3*H2414</f>
        <v>21</v>
      </c>
      <c r="J2414" s="0" t="n">
        <f aca="true">CRITBINOM($C2414,MIN(0.75,Matchup!$C$39*$B2414),RAND())</f>
        <v>1</v>
      </c>
      <c r="K2414" s="0" t="n">
        <f aca="true">CRITBINOM(J2414,Coefficients!$B$30,RAND())</f>
        <v>0</v>
      </c>
      <c r="L2414" s="0" t="n">
        <f aca="true">CRITBINOM(K2414,Coefficients!$B$31,RAND())</f>
        <v>0</v>
      </c>
      <c r="M2414" s="0" t="n">
        <f aca="true">CRITBINOM(MAX(0,J2414-K2414),1-Coefficients!$B$32,RAND())</f>
        <v>0</v>
      </c>
      <c r="N2414" s="0" t="n">
        <f aca="true">CRITBINOM(MAX(0,$C2414-J2414),MIN(0.6,Matchup!$C$40*SQRT($B2414)/(1-MIN(0.75,Matchup!$C$39*$B2414))),RAND())</f>
        <v>3</v>
      </c>
      <c r="O2414" s="0" t="n">
        <f aca="false">6*J2414+(J2414-K2414-M2414)+2*L2414+3*N2414</f>
        <v>16</v>
      </c>
      <c r="P2414" s="0" t="n">
        <f aca="true">RAND()</f>
        <v>0.183768147200715</v>
      </c>
      <c r="Q2414" s="0" t="n">
        <f aca="true">RAND()</f>
        <v>0.399989733284535</v>
      </c>
      <c r="R2414" s="0" t="n">
        <f aca="false">IF($I2414&lt;&gt;$O2414,0,IF(P2414&lt;Matchup!$B$39,7,IF(P2414&lt;Matchup!$B$39+Matchup!$B$40,3,0)))</f>
        <v>0</v>
      </c>
      <c r="S2414" s="0" t="n">
        <f aca="false">IF($I2414&lt;&gt;$O2414,0,IF(Q2414&lt;Matchup!$C$39,7,IF(Q2414&lt;Matchup!$C$39+Matchup!$C$40,3,0)))</f>
        <v>0</v>
      </c>
      <c r="T2414" s="0" t="n">
        <f aca="false">I2414+R2414</f>
        <v>21</v>
      </c>
      <c r="U2414" s="0" t="n">
        <f aca="false">O2414+S2414</f>
        <v>16</v>
      </c>
      <c r="V2414" s="0" t="n">
        <f aca="false">T2414-U2414</f>
        <v>5</v>
      </c>
      <c r="W2414" s="0" t="n">
        <f aca="false">T2414+U2414</f>
        <v>37</v>
      </c>
    </row>
    <row r="2415" customFormat="false" ht="15" hidden="false" customHeight="false" outlineLevel="0" collapsed="false">
      <c r="A2415" s="0" t="n">
        <v>2412</v>
      </c>
      <c r="B2415" s="0" t="n">
        <f aca="true">NORMINV(RAND(),1,Coefficients!$B$22)</f>
        <v>1.04327785893134</v>
      </c>
      <c r="C2415" s="0" t="n">
        <f aca="true">MEDIAN(8,16,ROUND(NORMINV(RAND(),Coefficients!$B$20,Coefficients!$B$21),0))</f>
        <v>12</v>
      </c>
      <c r="D2415" s="0" t="n">
        <f aca="true">CRITBINOM($C2415,MIN(0.75,Matchup!$B$39*$B2415),RAND())</f>
        <v>4</v>
      </c>
      <c r="E2415" s="0" t="n">
        <f aca="true">CRITBINOM(D2415,Coefficients!$B$30,RAND())</f>
        <v>0</v>
      </c>
      <c r="F2415" s="0" t="n">
        <f aca="true">CRITBINOM(E2415,Coefficients!$B$31,RAND())</f>
        <v>0</v>
      </c>
      <c r="G2415" s="0" t="n">
        <f aca="true">CRITBINOM(MAX(0,D2415-E2415),1-Coefficients!$B$32,RAND())</f>
        <v>0</v>
      </c>
      <c r="H2415" s="0" t="n">
        <f aca="true">CRITBINOM(MAX(0,$C2415-D2415),MIN(0.6,Matchup!$B$40*SQRT($B2415)/(1-MIN(0.75,Matchup!$B$39*$B2415))),RAND())</f>
        <v>1</v>
      </c>
      <c r="I2415" s="0" t="n">
        <f aca="false">6*D2415+(D2415-E2415-G2415)+2*F2415+3*H2415</f>
        <v>31</v>
      </c>
      <c r="J2415" s="0" t="n">
        <f aca="true">CRITBINOM($C2415,MIN(0.75,Matchup!$C$39*$B2415),RAND())</f>
        <v>4</v>
      </c>
      <c r="K2415" s="0" t="n">
        <f aca="true">CRITBINOM(J2415,Coefficients!$B$30,RAND())</f>
        <v>0</v>
      </c>
      <c r="L2415" s="0" t="n">
        <f aca="true">CRITBINOM(K2415,Coefficients!$B$31,RAND())</f>
        <v>0</v>
      </c>
      <c r="M2415" s="0" t="n">
        <f aca="true">CRITBINOM(MAX(0,J2415-K2415),1-Coefficients!$B$32,RAND())</f>
        <v>1</v>
      </c>
      <c r="N2415" s="0" t="n">
        <f aca="true">CRITBINOM(MAX(0,$C2415-J2415),MIN(0.6,Matchup!$C$40*SQRT($B2415)/(1-MIN(0.75,Matchup!$C$39*$B2415))),RAND())</f>
        <v>0</v>
      </c>
      <c r="O2415" s="0" t="n">
        <f aca="false">6*J2415+(J2415-K2415-M2415)+2*L2415+3*N2415</f>
        <v>27</v>
      </c>
      <c r="P2415" s="0" t="n">
        <f aca="true">RAND()</f>
        <v>0.459737000335615</v>
      </c>
      <c r="Q2415" s="0" t="n">
        <f aca="true">RAND()</f>
        <v>0.842902955451454</v>
      </c>
      <c r="R2415" s="0" t="n">
        <f aca="false">IF($I2415&lt;&gt;$O2415,0,IF(P2415&lt;Matchup!$B$39,7,IF(P2415&lt;Matchup!$B$39+Matchup!$B$40,3,0)))</f>
        <v>0</v>
      </c>
      <c r="S2415" s="0" t="n">
        <f aca="false">IF($I2415&lt;&gt;$O2415,0,IF(Q2415&lt;Matchup!$C$39,7,IF(Q2415&lt;Matchup!$C$39+Matchup!$C$40,3,0)))</f>
        <v>0</v>
      </c>
      <c r="T2415" s="0" t="n">
        <f aca="false">I2415+R2415</f>
        <v>31</v>
      </c>
      <c r="U2415" s="0" t="n">
        <f aca="false">O2415+S2415</f>
        <v>27</v>
      </c>
      <c r="V2415" s="0" t="n">
        <f aca="false">T2415-U2415</f>
        <v>4</v>
      </c>
      <c r="W2415" s="0" t="n">
        <f aca="false">T2415+U2415</f>
        <v>58</v>
      </c>
    </row>
    <row r="2416" customFormat="false" ht="15" hidden="false" customHeight="false" outlineLevel="0" collapsed="false">
      <c r="A2416" s="0" t="n">
        <v>2413</v>
      </c>
      <c r="B2416" s="0" t="n">
        <f aca="true">NORMINV(RAND(),1,Coefficients!$B$22)</f>
        <v>0.905078598318085</v>
      </c>
      <c r="C2416" s="0" t="n">
        <f aca="true">MEDIAN(8,16,ROUND(NORMINV(RAND(),Coefficients!$B$20,Coefficients!$B$21),0))</f>
        <v>11</v>
      </c>
      <c r="D2416" s="0" t="n">
        <f aca="true">CRITBINOM($C2416,MIN(0.75,Matchup!$B$39*$B2416),RAND())</f>
        <v>1</v>
      </c>
      <c r="E2416" s="0" t="n">
        <f aca="true">CRITBINOM(D2416,Coefficients!$B$30,RAND())</f>
        <v>0</v>
      </c>
      <c r="F2416" s="0" t="n">
        <f aca="true">CRITBINOM(E2416,Coefficients!$B$31,RAND())</f>
        <v>0</v>
      </c>
      <c r="G2416" s="0" t="n">
        <f aca="true">CRITBINOM(MAX(0,D2416-E2416),1-Coefficients!$B$32,RAND())</f>
        <v>0</v>
      </c>
      <c r="H2416" s="0" t="n">
        <f aca="true">CRITBINOM(MAX(0,$C2416-D2416),MIN(0.6,Matchup!$B$40*SQRT($B2416)/(1-MIN(0.75,Matchup!$B$39*$B2416))),RAND())</f>
        <v>2</v>
      </c>
      <c r="I2416" s="0" t="n">
        <f aca="false">6*D2416+(D2416-E2416-G2416)+2*F2416+3*H2416</f>
        <v>13</v>
      </c>
      <c r="J2416" s="0" t="n">
        <f aca="true">CRITBINOM($C2416,MIN(0.75,Matchup!$C$39*$B2416),RAND())</f>
        <v>2</v>
      </c>
      <c r="K2416" s="0" t="n">
        <f aca="true">CRITBINOM(J2416,Coefficients!$B$30,RAND())</f>
        <v>0</v>
      </c>
      <c r="L2416" s="0" t="n">
        <f aca="true">CRITBINOM(K2416,Coefficients!$B$31,RAND())</f>
        <v>0</v>
      </c>
      <c r="M2416" s="0" t="n">
        <f aca="true">CRITBINOM(MAX(0,J2416-K2416),1-Coefficients!$B$32,RAND())</f>
        <v>0</v>
      </c>
      <c r="N2416" s="0" t="n">
        <f aca="true">CRITBINOM(MAX(0,$C2416-J2416),MIN(0.6,Matchup!$C$40*SQRT($B2416)/(1-MIN(0.75,Matchup!$C$39*$B2416))),RAND())</f>
        <v>1</v>
      </c>
      <c r="O2416" s="0" t="n">
        <f aca="false">6*J2416+(J2416-K2416-M2416)+2*L2416+3*N2416</f>
        <v>17</v>
      </c>
      <c r="P2416" s="0" t="n">
        <f aca="true">RAND()</f>
        <v>0.465553482738988</v>
      </c>
      <c r="Q2416" s="0" t="n">
        <f aca="true">RAND()</f>
        <v>0.56306382584761</v>
      </c>
      <c r="R2416" s="0" t="n">
        <f aca="false">IF($I2416&lt;&gt;$O2416,0,IF(P2416&lt;Matchup!$B$39,7,IF(P2416&lt;Matchup!$B$39+Matchup!$B$40,3,0)))</f>
        <v>0</v>
      </c>
      <c r="S2416" s="0" t="n">
        <f aca="false">IF($I2416&lt;&gt;$O2416,0,IF(Q2416&lt;Matchup!$C$39,7,IF(Q2416&lt;Matchup!$C$39+Matchup!$C$40,3,0)))</f>
        <v>0</v>
      </c>
      <c r="T2416" s="0" t="n">
        <f aca="false">I2416+R2416</f>
        <v>13</v>
      </c>
      <c r="U2416" s="0" t="n">
        <f aca="false">O2416+S2416</f>
        <v>17</v>
      </c>
      <c r="V2416" s="0" t="n">
        <f aca="false">T2416-U2416</f>
        <v>-4</v>
      </c>
      <c r="W2416" s="0" t="n">
        <f aca="false">T2416+U2416</f>
        <v>30</v>
      </c>
    </row>
    <row r="2417" customFormat="false" ht="15" hidden="false" customHeight="false" outlineLevel="0" collapsed="false">
      <c r="A2417" s="0" t="n">
        <v>2414</v>
      </c>
      <c r="B2417" s="0" t="n">
        <f aca="true">NORMINV(RAND(),1,Coefficients!$B$22)</f>
        <v>1.071781366106</v>
      </c>
      <c r="C2417" s="0" t="n">
        <f aca="true">MEDIAN(8,16,ROUND(NORMINV(RAND(),Coefficients!$B$20,Coefficients!$B$21),0))</f>
        <v>12</v>
      </c>
      <c r="D2417" s="0" t="n">
        <f aca="true">CRITBINOM($C2417,MIN(0.75,Matchup!$B$39*$B2417),RAND())</f>
        <v>4</v>
      </c>
      <c r="E2417" s="0" t="n">
        <f aca="true">CRITBINOM(D2417,Coefficients!$B$30,RAND())</f>
        <v>0</v>
      </c>
      <c r="F2417" s="0" t="n">
        <f aca="true">CRITBINOM(E2417,Coefficients!$B$31,RAND())</f>
        <v>0</v>
      </c>
      <c r="G2417" s="0" t="n">
        <f aca="true">CRITBINOM(MAX(0,D2417-E2417),1-Coefficients!$B$32,RAND())</f>
        <v>1</v>
      </c>
      <c r="H2417" s="0" t="n">
        <f aca="true">CRITBINOM(MAX(0,$C2417-D2417),MIN(0.6,Matchup!$B$40*SQRT($B2417)/(1-MIN(0.75,Matchup!$B$39*$B2417))),RAND())</f>
        <v>3</v>
      </c>
      <c r="I2417" s="0" t="n">
        <f aca="false">6*D2417+(D2417-E2417-G2417)+2*F2417+3*H2417</f>
        <v>36</v>
      </c>
      <c r="J2417" s="0" t="n">
        <f aca="true">CRITBINOM($C2417,MIN(0.75,Matchup!$C$39*$B2417),RAND())</f>
        <v>3</v>
      </c>
      <c r="K2417" s="0" t="n">
        <f aca="true">CRITBINOM(J2417,Coefficients!$B$30,RAND())</f>
        <v>2</v>
      </c>
      <c r="L2417" s="0" t="n">
        <f aca="true">CRITBINOM(K2417,Coefficients!$B$31,RAND())</f>
        <v>0</v>
      </c>
      <c r="M2417" s="0" t="n">
        <f aca="true">CRITBINOM(MAX(0,J2417-K2417),1-Coefficients!$B$32,RAND())</f>
        <v>0</v>
      </c>
      <c r="N2417" s="0" t="n">
        <f aca="true">CRITBINOM(MAX(0,$C2417-J2417),MIN(0.6,Matchup!$C$40*SQRT($B2417)/(1-MIN(0.75,Matchup!$C$39*$B2417))),RAND())</f>
        <v>4</v>
      </c>
      <c r="O2417" s="0" t="n">
        <f aca="false">6*J2417+(J2417-K2417-M2417)+2*L2417+3*N2417</f>
        <v>31</v>
      </c>
      <c r="P2417" s="0" t="n">
        <f aca="true">RAND()</f>
        <v>0.773864448906003</v>
      </c>
      <c r="Q2417" s="0" t="n">
        <f aca="true">RAND()</f>
        <v>0.240535934559366</v>
      </c>
      <c r="R2417" s="0" t="n">
        <f aca="false">IF($I2417&lt;&gt;$O2417,0,IF(P2417&lt;Matchup!$B$39,7,IF(P2417&lt;Matchup!$B$39+Matchup!$B$40,3,0)))</f>
        <v>0</v>
      </c>
      <c r="S2417" s="0" t="n">
        <f aca="false">IF($I2417&lt;&gt;$O2417,0,IF(Q2417&lt;Matchup!$C$39,7,IF(Q2417&lt;Matchup!$C$39+Matchup!$C$40,3,0)))</f>
        <v>0</v>
      </c>
      <c r="T2417" s="0" t="n">
        <f aca="false">I2417+R2417</f>
        <v>36</v>
      </c>
      <c r="U2417" s="0" t="n">
        <f aca="false">O2417+S2417</f>
        <v>31</v>
      </c>
      <c r="V2417" s="0" t="n">
        <f aca="false">T2417-U2417</f>
        <v>5</v>
      </c>
      <c r="W2417" s="0" t="n">
        <f aca="false">T2417+U2417</f>
        <v>67</v>
      </c>
    </row>
    <row r="2418" customFormat="false" ht="15" hidden="false" customHeight="false" outlineLevel="0" collapsed="false">
      <c r="A2418" s="0" t="n">
        <v>2415</v>
      </c>
      <c r="B2418" s="0" t="n">
        <f aca="true">NORMINV(RAND(),1,Coefficients!$B$22)</f>
        <v>0.861443235191507</v>
      </c>
      <c r="C2418" s="0" t="n">
        <f aca="true">MEDIAN(8,16,ROUND(NORMINV(RAND(),Coefficients!$B$20,Coefficients!$B$21),0))</f>
        <v>10</v>
      </c>
      <c r="D2418" s="0" t="n">
        <f aca="true">CRITBINOM($C2418,MIN(0.75,Matchup!$B$39*$B2418),RAND())</f>
        <v>2</v>
      </c>
      <c r="E2418" s="0" t="n">
        <f aca="true">CRITBINOM(D2418,Coefficients!$B$30,RAND())</f>
        <v>0</v>
      </c>
      <c r="F2418" s="0" t="n">
        <f aca="true">CRITBINOM(E2418,Coefficients!$B$31,RAND())</f>
        <v>0</v>
      </c>
      <c r="G2418" s="0" t="n">
        <f aca="true">CRITBINOM(MAX(0,D2418-E2418),1-Coefficients!$B$32,RAND())</f>
        <v>0</v>
      </c>
      <c r="H2418" s="0" t="n">
        <f aca="true">CRITBINOM(MAX(0,$C2418-D2418),MIN(0.6,Matchup!$B$40*SQRT($B2418)/(1-MIN(0.75,Matchup!$B$39*$B2418))),RAND())</f>
        <v>2</v>
      </c>
      <c r="I2418" s="0" t="n">
        <f aca="false">6*D2418+(D2418-E2418-G2418)+2*F2418+3*H2418</f>
        <v>20</v>
      </c>
      <c r="J2418" s="0" t="n">
        <f aca="true">CRITBINOM($C2418,MIN(0.75,Matchup!$C$39*$B2418),RAND())</f>
        <v>1</v>
      </c>
      <c r="K2418" s="0" t="n">
        <f aca="true">CRITBINOM(J2418,Coefficients!$B$30,RAND())</f>
        <v>0</v>
      </c>
      <c r="L2418" s="0" t="n">
        <f aca="true">CRITBINOM(K2418,Coefficients!$B$31,RAND())</f>
        <v>0</v>
      </c>
      <c r="M2418" s="0" t="n">
        <f aca="true">CRITBINOM(MAX(0,J2418-K2418),1-Coefficients!$B$32,RAND())</f>
        <v>0</v>
      </c>
      <c r="N2418" s="0" t="n">
        <f aca="true">CRITBINOM(MAX(0,$C2418-J2418),MIN(0.6,Matchup!$C$40*SQRT($B2418)/(1-MIN(0.75,Matchup!$C$39*$B2418))),RAND())</f>
        <v>1</v>
      </c>
      <c r="O2418" s="0" t="n">
        <f aca="false">6*J2418+(J2418-K2418-M2418)+2*L2418+3*N2418</f>
        <v>10</v>
      </c>
      <c r="P2418" s="0" t="n">
        <f aca="true">RAND()</f>
        <v>0.921313237756936</v>
      </c>
      <c r="Q2418" s="0" t="n">
        <f aca="true">RAND()</f>
        <v>0.998746532103217</v>
      </c>
      <c r="R2418" s="0" t="n">
        <f aca="false">IF($I2418&lt;&gt;$O2418,0,IF(P2418&lt;Matchup!$B$39,7,IF(P2418&lt;Matchup!$B$39+Matchup!$B$40,3,0)))</f>
        <v>0</v>
      </c>
      <c r="S2418" s="0" t="n">
        <f aca="false">IF($I2418&lt;&gt;$O2418,0,IF(Q2418&lt;Matchup!$C$39,7,IF(Q2418&lt;Matchup!$C$39+Matchup!$C$40,3,0)))</f>
        <v>0</v>
      </c>
      <c r="T2418" s="0" t="n">
        <f aca="false">I2418+R2418</f>
        <v>20</v>
      </c>
      <c r="U2418" s="0" t="n">
        <f aca="false">O2418+S2418</f>
        <v>10</v>
      </c>
      <c r="V2418" s="0" t="n">
        <f aca="false">T2418-U2418</f>
        <v>10</v>
      </c>
      <c r="W2418" s="0" t="n">
        <f aca="false">T2418+U2418</f>
        <v>30</v>
      </c>
    </row>
    <row r="2419" customFormat="false" ht="15" hidden="false" customHeight="false" outlineLevel="0" collapsed="false">
      <c r="A2419" s="0" t="n">
        <v>2416</v>
      </c>
      <c r="B2419" s="0" t="n">
        <f aca="true">NORMINV(RAND(),1,Coefficients!$B$22)</f>
        <v>1.00053479215566</v>
      </c>
      <c r="C2419" s="0" t="n">
        <f aca="true">MEDIAN(8,16,ROUND(NORMINV(RAND(),Coefficients!$B$20,Coefficients!$B$21),0))</f>
        <v>10</v>
      </c>
      <c r="D2419" s="0" t="n">
        <f aca="true">CRITBINOM($C2419,MIN(0.75,Matchup!$B$39*$B2419),RAND())</f>
        <v>3</v>
      </c>
      <c r="E2419" s="0" t="n">
        <f aca="true">CRITBINOM(D2419,Coefficients!$B$30,RAND())</f>
        <v>0</v>
      </c>
      <c r="F2419" s="0" t="n">
        <f aca="true">CRITBINOM(E2419,Coefficients!$B$31,RAND())</f>
        <v>0</v>
      </c>
      <c r="G2419" s="0" t="n">
        <f aca="true">CRITBINOM(MAX(0,D2419-E2419),1-Coefficients!$B$32,RAND())</f>
        <v>0</v>
      </c>
      <c r="H2419" s="0" t="n">
        <f aca="true">CRITBINOM(MAX(0,$C2419-D2419),MIN(0.6,Matchup!$B$40*SQRT($B2419)/(1-MIN(0.75,Matchup!$B$39*$B2419))),RAND())</f>
        <v>2</v>
      </c>
      <c r="I2419" s="0" t="n">
        <f aca="false">6*D2419+(D2419-E2419-G2419)+2*F2419+3*H2419</f>
        <v>27</v>
      </c>
      <c r="J2419" s="0" t="n">
        <f aca="true">CRITBINOM($C2419,MIN(0.75,Matchup!$C$39*$B2419),RAND())</f>
        <v>3</v>
      </c>
      <c r="K2419" s="0" t="n">
        <f aca="true">CRITBINOM(J2419,Coefficients!$B$30,RAND())</f>
        <v>0</v>
      </c>
      <c r="L2419" s="0" t="n">
        <f aca="true">CRITBINOM(K2419,Coefficients!$B$31,RAND())</f>
        <v>0</v>
      </c>
      <c r="M2419" s="0" t="n">
        <f aca="true">CRITBINOM(MAX(0,J2419-K2419),1-Coefficients!$B$32,RAND())</f>
        <v>0</v>
      </c>
      <c r="N2419" s="0" t="n">
        <f aca="true">CRITBINOM(MAX(0,$C2419-J2419),MIN(0.6,Matchup!$C$40*SQRT($B2419)/(1-MIN(0.75,Matchup!$C$39*$B2419))),RAND())</f>
        <v>3</v>
      </c>
      <c r="O2419" s="0" t="n">
        <f aca="false">6*J2419+(J2419-K2419-M2419)+2*L2419+3*N2419</f>
        <v>30</v>
      </c>
      <c r="P2419" s="0" t="n">
        <f aca="true">RAND()</f>
        <v>0.218355965011113</v>
      </c>
      <c r="Q2419" s="0" t="n">
        <f aca="true">RAND()</f>
        <v>0.991376093818214</v>
      </c>
      <c r="R2419" s="0" t="n">
        <f aca="false">IF($I2419&lt;&gt;$O2419,0,IF(P2419&lt;Matchup!$B$39,7,IF(P2419&lt;Matchup!$B$39+Matchup!$B$40,3,0)))</f>
        <v>0</v>
      </c>
      <c r="S2419" s="0" t="n">
        <f aca="false">IF($I2419&lt;&gt;$O2419,0,IF(Q2419&lt;Matchup!$C$39,7,IF(Q2419&lt;Matchup!$C$39+Matchup!$C$40,3,0)))</f>
        <v>0</v>
      </c>
      <c r="T2419" s="0" t="n">
        <f aca="false">I2419+R2419</f>
        <v>27</v>
      </c>
      <c r="U2419" s="0" t="n">
        <f aca="false">O2419+S2419</f>
        <v>30</v>
      </c>
      <c r="V2419" s="0" t="n">
        <f aca="false">T2419-U2419</f>
        <v>-3</v>
      </c>
      <c r="W2419" s="0" t="n">
        <f aca="false">T2419+U2419</f>
        <v>57</v>
      </c>
    </row>
    <row r="2420" customFormat="false" ht="15" hidden="false" customHeight="false" outlineLevel="0" collapsed="false">
      <c r="A2420" s="0" t="n">
        <v>2417</v>
      </c>
      <c r="B2420" s="0" t="n">
        <f aca="true">NORMINV(RAND(),1,Coefficients!$B$22)</f>
        <v>1.02732590980702</v>
      </c>
      <c r="C2420" s="0" t="n">
        <f aca="true">MEDIAN(8,16,ROUND(NORMINV(RAND(),Coefficients!$B$20,Coefficients!$B$21),0))</f>
        <v>12</v>
      </c>
      <c r="D2420" s="0" t="n">
        <f aca="true">CRITBINOM($C2420,MIN(0.75,Matchup!$B$39*$B2420),RAND())</f>
        <v>3</v>
      </c>
      <c r="E2420" s="0" t="n">
        <f aca="true">CRITBINOM(D2420,Coefficients!$B$30,RAND())</f>
        <v>1</v>
      </c>
      <c r="F2420" s="0" t="n">
        <f aca="true">CRITBINOM(E2420,Coefficients!$B$31,RAND())</f>
        <v>0</v>
      </c>
      <c r="G2420" s="0" t="n">
        <f aca="true">CRITBINOM(MAX(0,D2420-E2420),1-Coefficients!$B$32,RAND())</f>
        <v>0</v>
      </c>
      <c r="H2420" s="0" t="n">
        <f aca="true">CRITBINOM(MAX(0,$C2420-D2420),MIN(0.6,Matchup!$B$40*SQRT($B2420)/(1-MIN(0.75,Matchup!$B$39*$B2420))),RAND())</f>
        <v>1</v>
      </c>
      <c r="I2420" s="0" t="n">
        <f aca="false">6*D2420+(D2420-E2420-G2420)+2*F2420+3*H2420</f>
        <v>23</v>
      </c>
      <c r="J2420" s="0" t="n">
        <f aca="true">CRITBINOM($C2420,MIN(0.75,Matchup!$C$39*$B2420),RAND())</f>
        <v>1</v>
      </c>
      <c r="K2420" s="0" t="n">
        <f aca="true">CRITBINOM(J2420,Coefficients!$B$30,RAND())</f>
        <v>0</v>
      </c>
      <c r="L2420" s="0" t="n">
        <f aca="true">CRITBINOM(K2420,Coefficients!$B$31,RAND())</f>
        <v>0</v>
      </c>
      <c r="M2420" s="0" t="n">
        <f aca="true">CRITBINOM(MAX(0,J2420-K2420),1-Coefficients!$B$32,RAND())</f>
        <v>0</v>
      </c>
      <c r="N2420" s="0" t="n">
        <f aca="true">CRITBINOM(MAX(0,$C2420-J2420),MIN(0.6,Matchup!$C$40*SQRT($B2420)/(1-MIN(0.75,Matchup!$C$39*$B2420))),RAND())</f>
        <v>2</v>
      </c>
      <c r="O2420" s="0" t="n">
        <f aca="false">6*J2420+(J2420-K2420-M2420)+2*L2420+3*N2420</f>
        <v>13</v>
      </c>
      <c r="P2420" s="0" t="n">
        <f aca="true">RAND()</f>
        <v>0.547553398642611</v>
      </c>
      <c r="Q2420" s="0" t="n">
        <f aca="true">RAND()</f>
        <v>0.531242522401473</v>
      </c>
      <c r="R2420" s="0" t="n">
        <f aca="false">IF($I2420&lt;&gt;$O2420,0,IF(P2420&lt;Matchup!$B$39,7,IF(P2420&lt;Matchup!$B$39+Matchup!$B$40,3,0)))</f>
        <v>0</v>
      </c>
      <c r="S2420" s="0" t="n">
        <f aca="false">IF($I2420&lt;&gt;$O2420,0,IF(Q2420&lt;Matchup!$C$39,7,IF(Q2420&lt;Matchup!$C$39+Matchup!$C$40,3,0)))</f>
        <v>0</v>
      </c>
      <c r="T2420" s="0" t="n">
        <f aca="false">I2420+R2420</f>
        <v>23</v>
      </c>
      <c r="U2420" s="0" t="n">
        <f aca="false">O2420+S2420</f>
        <v>13</v>
      </c>
      <c r="V2420" s="0" t="n">
        <f aca="false">T2420-U2420</f>
        <v>10</v>
      </c>
      <c r="W2420" s="0" t="n">
        <f aca="false">T2420+U2420</f>
        <v>36</v>
      </c>
    </row>
    <row r="2421" customFormat="false" ht="15" hidden="false" customHeight="false" outlineLevel="0" collapsed="false">
      <c r="A2421" s="0" t="n">
        <v>2418</v>
      </c>
      <c r="B2421" s="0" t="n">
        <f aca="true">NORMINV(RAND(),1,Coefficients!$B$22)</f>
        <v>0.982823117374724</v>
      </c>
      <c r="C2421" s="0" t="n">
        <f aca="true">MEDIAN(8,16,ROUND(NORMINV(RAND(),Coefficients!$B$20,Coefficients!$B$21),0))</f>
        <v>13</v>
      </c>
      <c r="D2421" s="0" t="n">
        <f aca="true">CRITBINOM($C2421,MIN(0.75,Matchup!$B$39*$B2421),RAND())</f>
        <v>3</v>
      </c>
      <c r="E2421" s="0" t="n">
        <f aca="true">CRITBINOM(D2421,Coefficients!$B$30,RAND())</f>
        <v>0</v>
      </c>
      <c r="F2421" s="0" t="n">
        <f aca="true">CRITBINOM(E2421,Coefficients!$B$31,RAND())</f>
        <v>0</v>
      </c>
      <c r="G2421" s="0" t="n">
        <f aca="true">CRITBINOM(MAX(0,D2421-E2421),1-Coefficients!$B$32,RAND())</f>
        <v>0</v>
      </c>
      <c r="H2421" s="0" t="n">
        <f aca="true">CRITBINOM(MAX(0,$C2421-D2421),MIN(0.6,Matchup!$B$40*SQRT($B2421)/(1-MIN(0.75,Matchup!$B$39*$B2421))),RAND())</f>
        <v>1</v>
      </c>
      <c r="I2421" s="0" t="n">
        <f aca="false">6*D2421+(D2421-E2421-G2421)+2*F2421+3*H2421</f>
        <v>24</v>
      </c>
      <c r="J2421" s="0" t="n">
        <f aca="true">CRITBINOM($C2421,MIN(0.75,Matchup!$C$39*$B2421),RAND())</f>
        <v>0</v>
      </c>
      <c r="K2421" s="0" t="n">
        <f aca="true">CRITBINOM(J2421,Coefficients!$B$30,RAND())</f>
        <v>0</v>
      </c>
      <c r="L2421" s="0" t="n">
        <f aca="true">CRITBINOM(K2421,Coefficients!$B$31,RAND())</f>
        <v>0</v>
      </c>
      <c r="M2421" s="0" t="n">
        <f aca="true">CRITBINOM(MAX(0,J2421-K2421),1-Coefficients!$B$32,RAND())</f>
        <v>0</v>
      </c>
      <c r="N2421" s="0" t="n">
        <f aca="true">CRITBINOM(MAX(0,$C2421-J2421),MIN(0.6,Matchup!$C$40*SQRT($B2421)/(1-MIN(0.75,Matchup!$C$39*$B2421))),RAND())</f>
        <v>1</v>
      </c>
      <c r="O2421" s="0" t="n">
        <f aca="false">6*J2421+(J2421-K2421-M2421)+2*L2421+3*N2421</f>
        <v>3</v>
      </c>
      <c r="P2421" s="0" t="n">
        <f aca="true">RAND()</f>
        <v>0.446676233201843</v>
      </c>
      <c r="Q2421" s="0" t="n">
        <f aca="true">RAND()</f>
        <v>0.100285115821057</v>
      </c>
      <c r="R2421" s="0" t="n">
        <f aca="false">IF($I2421&lt;&gt;$O2421,0,IF(P2421&lt;Matchup!$B$39,7,IF(P2421&lt;Matchup!$B$39+Matchup!$B$40,3,0)))</f>
        <v>0</v>
      </c>
      <c r="S2421" s="0" t="n">
        <f aca="false">IF($I2421&lt;&gt;$O2421,0,IF(Q2421&lt;Matchup!$C$39,7,IF(Q2421&lt;Matchup!$C$39+Matchup!$C$40,3,0)))</f>
        <v>0</v>
      </c>
      <c r="T2421" s="0" t="n">
        <f aca="false">I2421+R2421</f>
        <v>24</v>
      </c>
      <c r="U2421" s="0" t="n">
        <f aca="false">O2421+S2421</f>
        <v>3</v>
      </c>
      <c r="V2421" s="0" t="n">
        <f aca="false">T2421-U2421</f>
        <v>21</v>
      </c>
      <c r="W2421" s="0" t="n">
        <f aca="false">T2421+U2421</f>
        <v>27</v>
      </c>
    </row>
    <row r="2422" customFormat="false" ht="15" hidden="false" customHeight="false" outlineLevel="0" collapsed="false">
      <c r="A2422" s="0" t="n">
        <v>2419</v>
      </c>
      <c r="B2422" s="0" t="n">
        <f aca="true">NORMINV(RAND(),1,Coefficients!$B$22)</f>
        <v>1.05327858830665</v>
      </c>
      <c r="C2422" s="0" t="n">
        <f aca="true">MEDIAN(8,16,ROUND(NORMINV(RAND(),Coefficients!$B$20,Coefficients!$B$21),0))</f>
        <v>11</v>
      </c>
      <c r="D2422" s="0" t="n">
        <f aca="true">CRITBINOM($C2422,MIN(0.75,Matchup!$B$39*$B2422),RAND())</f>
        <v>1</v>
      </c>
      <c r="E2422" s="0" t="n">
        <f aca="true">CRITBINOM(D2422,Coefficients!$B$30,RAND())</f>
        <v>0</v>
      </c>
      <c r="F2422" s="0" t="n">
        <f aca="true">CRITBINOM(E2422,Coefficients!$B$31,RAND())</f>
        <v>0</v>
      </c>
      <c r="G2422" s="0" t="n">
        <f aca="true">CRITBINOM(MAX(0,D2422-E2422),1-Coefficients!$B$32,RAND())</f>
        <v>0</v>
      </c>
      <c r="H2422" s="0" t="n">
        <f aca="true">CRITBINOM(MAX(0,$C2422-D2422),MIN(0.6,Matchup!$B$40*SQRT($B2422)/(1-MIN(0.75,Matchup!$B$39*$B2422))),RAND())</f>
        <v>1</v>
      </c>
      <c r="I2422" s="0" t="n">
        <f aca="false">6*D2422+(D2422-E2422-G2422)+2*F2422+3*H2422</f>
        <v>10</v>
      </c>
      <c r="J2422" s="0" t="n">
        <f aca="true">CRITBINOM($C2422,MIN(0.75,Matchup!$C$39*$B2422),RAND())</f>
        <v>3</v>
      </c>
      <c r="K2422" s="0" t="n">
        <f aca="true">CRITBINOM(J2422,Coefficients!$B$30,RAND())</f>
        <v>1</v>
      </c>
      <c r="L2422" s="0" t="n">
        <f aca="true">CRITBINOM(K2422,Coefficients!$B$31,RAND())</f>
        <v>0</v>
      </c>
      <c r="M2422" s="0" t="n">
        <f aca="true">CRITBINOM(MAX(0,J2422-K2422),1-Coefficients!$B$32,RAND())</f>
        <v>0</v>
      </c>
      <c r="N2422" s="0" t="n">
        <f aca="true">CRITBINOM(MAX(0,$C2422-J2422),MIN(0.6,Matchup!$C$40*SQRT($B2422)/(1-MIN(0.75,Matchup!$C$39*$B2422))),RAND())</f>
        <v>0</v>
      </c>
      <c r="O2422" s="0" t="n">
        <f aca="false">6*J2422+(J2422-K2422-M2422)+2*L2422+3*N2422</f>
        <v>20</v>
      </c>
      <c r="P2422" s="0" t="n">
        <f aca="true">RAND()</f>
        <v>0.865410028851971</v>
      </c>
      <c r="Q2422" s="0" t="n">
        <f aca="true">RAND()</f>
        <v>0.0701156401438747</v>
      </c>
      <c r="R2422" s="0" t="n">
        <f aca="false">IF($I2422&lt;&gt;$O2422,0,IF(P2422&lt;Matchup!$B$39,7,IF(P2422&lt;Matchup!$B$39+Matchup!$B$40,3,0)))</f>
        <v>0</v>
      </c>
      <c r="S2422" s="0" t="n">
        <f aca="false">IF($I2422&lt;&gt;$O2422,0,IF(Q2422&lt;Matchup!$C$39,7,IF(Q2422&lt;Matchup!$C$39+Matchup!$C$40,3,0)))</f>
        <v>0</v>
      </c>
      <c r="T2422" s="0" t="n">
        <f aca="false">I2422+R2422</f>
        <v>10</v>
      </c>
      <c r="U2422" s="0" t="n">
        <f aca="false">O2422+S2422</f>
        <v>20</v>
      </c>
      <c r="V2422" s="0" t="n">
        <f aca="false">T2422-U2422</f>
        <v>-10</v>
      </c>
      <c r="W2422" s="0" t="n">
        <f aca="false">T2422+U2422</f>
        <v>30</v>
      </c>
    </row>
    <row r="2423" customFormat="false" ht="15" hidden="false" customHeight="false" outlineLevel="0" collapsed="false">
      <c r="A2423" s="0" t="n">
        <v>2420</v>
      </c>
      <c r="B2423" s="0" t="n">
        <f aca="true">NORMINV(RAND(),1,Coefficients!$B$22)</f>
        <v>0.975589847730307</v>
      </c>
      <c r="C2423" s="0" t="n">
        <f aca="true">MEDIAN(8,16,ROUND(NORMINV(RAND(),Coefficients!$B$20,Coefficients!$B$21),0))</f>
        <v>10</v>
      </c>
      <c r="D2423" s="0" t="n">
        <f aca="true">CRITBINOM($C2423,MIN(0.75,Matchup!$B$39*$B2423),RAND())</f>
        <v>2</v>
      </c>
      <c r="E2423" s="0" t="n">
        <f aca="true">CRITBINOM(D2423,Coefficients!$B$30,RAND())</f>
        <v>0</v>
      </c>
      <c r="F2423" s="0" t="n">
        <f aca="true">CRITBINOM(E2423,Coefficients!$B$31,RAND())</f>
        <v>0</v>
      </c>
      <c r="G2423" s="0" t="n">
        <f aca="true">CRITBINOM(MAX(0,D2423-E2423),1-Coefficients!$B$32,RAND())</f>
        <v>0</v>
      </c>
      <c r="H2423" s="0" t="n">
        <f aca="true">CRITBINOM(MAX(0,$C2423-D2423),MIN(0.6,Matchup!$B$40*SQRT($B2423)/(1-MIN(0.75,Matchup!$B$39*$B2423))),RAND())</f>
        <v>0</v>
      </c>
      <c r="I2423" s="0" t="n">
        <f aca="false">6*D2423+(D2423-E2423-G2423)+2*F2423+3*H2423</f>
        <v>14</v>
      </c>
      <c r="J2423" s="0" t="n">
        <f aca="true">CRITBINOM($C2423,MIN(0.75,Matchup!$C$39*$B2423),RAND())</f>
        <v>4</v>
      </c>
      <c r="K2423" s="0" t="n">
        <f aca="true">CRITBINOM(J2423,Coefficients!$B$30,RAND())</f>
        <v>1</v>
      </c>
      <c r="L2423" s="0" t="n">
        <f aca="true">CRITBINOM(K2423,Coefficients!$B$31,RAND())</f>
        <v>0</v>
      </c>
      <c r="M2423" s="0" t="n">
        <f aca="true">CRITBINOM(MAX(0,J2423-K2423),1-Coefficients!$B$32,RAND())</f>
        <v>0</v>
      </c>
      <c r="N2423" s="0" t="n">
        <f aca="true">CRITBINOM(MAX(0,$C2423-J2423),MIN(0.6,Matchup!$C$40*SQRT($B2423)/(1-MIN(0.75,Matchup!$C$39*$B2423))),RAND())</f>
        <v>0</v>
      </c>
      <c r="O2423" s="0" t="n">
        <f aca="false">6*J2423+(J2423-K2423-M2423)+2*L2423+3*N2423</f>
        <v>27</v>
      </c>
      <c r="P2423" s="0" t="n">
        <f aca="true">RAND()</f>
        <v>0.337531128675696</v>
      </c>
      <c r="Q2423" s="0" t="n">
        <f aca="true">RAND()</f>
        <v>0.512786885058733</v>
      </c>
      <c r="R2423" s="0" t="n">
        <f aca="false">IF($I2423&lt;&gt;$O2423,0,IF(P2423&lt;Matchup!$B$39,7,IF(P2423&lt;Matchup!$B$39+Matchup!$B$40,3,0)))</f>
        <v>0</v>
      </c>
      <c r="S2423" s="0" t="n">
        <f aca="false">IF($I2423&lt;&gt;$O2423,0,IF(Q2423&lt;Matchup!$C$39,7,IF(Q2423&lt;Matchup!$C$39+Matchup!$C$40,3,0)))</f>
        <v>0</v>
      </c>
      <c r="T2423" s="0" t="n">
        <f aca="false">I2423+R2423</f>
        <v>14</v>
      </c>
      <c r="U2423" s="0" t="n">
        <f aca="false">O2423+S2423</f>
        <v>27</v>
      </c>
      <c r="V2423" s="0" t="n">
        <f aca="false">T2423-U2423</f>
        <v>-13</v>
      </c>
      <c r="W2423" s="0" t="n">
        <f aca="false">T2423+U2423</f>
        <v>41</v>
      </c>
    </row>
    <row r="2424" customFormat="false" ht="15" hidden="false" customHeight="false" outlineLevel="0" collapsed="false">
      <c r="A2424" s="0" t="n">
        <v>2421</v>
      </c>
      <c r="B2424" s="0" t="n">
        <f aca="true">NORMINV(RAND(),1,Coefficients!$B$22)</f>
        <v>0.989616498780107</v>
      </c>
      <c r="C2424" s="0" t="n">
        <f aca="true">MEDIAN(8,16,ROUND(NORMINV(RAND(),Coefficients!$B$20,Coefficients!$B$21),0))</f>
        <v>11</v>
      </c>
      <c r="D2424" s="0" t="n">
        <f aca="true">CRITBINOM($C2424,MIN(0.75,Matchup!$B$39*$B2424),RAND())</f>
        <v>0</v>
      </c>
      <c r="E2424" s="0" t="n">
        <f aca="true">CRITBINOM(D2424,Coefficients!$B$30,RAND())</f>
        <v>0</v>
      </c>
      <c r="F2424" s="0" t="n">
        <f aca="true">CRITBINOM(E2424,Coefficients!$B$31,RAND())</f>
        <v>0</v>
      </c>
      <c r="G2424" s="0" t="n">
        <f aca="true">CRITBINOM(MAX(0,D2424-E2424),1-Coefficients!$B$32,RAND())</f>
        <v>0</v>
      </c>
      <c r="H2424" s="0" t="n">
        <f aca="true">CRITBINOM(MAX(0,$C2424-D2424),MIN(0.6,Matchup!$B$40*SQRT($B2424)/(1-MIN(0.75,Matchup!$B$39*$B2424))),RAND())</f>
        <v>5</v>
      </c>
      <c r="I2424" s="0" t="n">
        <f aca="false">6*D2424+(D2424-E2424-G2424)+2*F2424+3*H2424</f>
        <v>15</v>
      </c>
      <c r="J2424" s="0" t="n">
        <f aca="true">CRITBINOM($C2424,MIN(0.75,Matchup!$C$39*$B2424),RAND())</f>
        <v>3</v>
      </c>
      <c r="K2424" s="0" t="n">
        <f aca="true">CRITBINOM(J2424,Coefficients!$B$30,RAND())</f>
        <v>1</v>
      </c>
      <c r="L2424" s="0" t="n">
        <f aca="true">CRITBINOM(K2424,Coefficients!$B$31,RAND())</f>
        <v>1</v>
      </c>
      <c r="M2424" s="0" t="n">
        <f aca="true">CRITBINOM(MAX(0,J2424-K2424),1-Coefficients!$B$32,RAND())</f>
        <v>0</v>
      </c>
      <c r="N2424" s="0" t="n">
        <f aca="true">CRITBINOM(MAX(0,$C2424-J2424),MIN(0.6,Matchup!$C$40*SQRT($B2424)/(1-MIN(0.75,Matchup!$C$39*$B2424))),RAND())</f>
        <v>2</v>
      </c>
      <c r="O2424" s="0" t="n">
        <f aca="false">6*J2424+(J2424-K2424-M2424)+2*L2424+3*N2424</f>
        <v>28</v>
      </c>
      <c r="P2424" s="0" t="n">
        <f aca="true">RAND()</f>
        <v>0.691701508619256</v>
      </c>
      <c r="Q2424" s="0" t="n">
        <f aca="true">RAND()</f>
        <v>0.947326244487156</v>
      </c>
      <c r="R2424" s="0" t="n">
        <f aca="false">IF($I2424&lt;&gt;$O2424,0,IF(P2424&lt;Matchup!$B$39,7,IF(P2424&lt;Matchup!$B$39+Matchup!$B$40,3,0)))</f>
        <v>0</v>
      </c>
      <c r="S2424" s="0" t="n">
        <f aca="false">IF($I2424&lt;&gt;$O2424,0,IF(Q2424&lt;Matchup!$C$39,7,IF(Q2424&lt;Matchup!$C$39+Matchup!$C$40,3,0)))</f>
        <v>0</v>
      </c>
      <c r="T2424" s="0" t="n">
        <f aca="false">I2424+R2424</f>
        <v>15</v>
      </c>
      <c r="U2424" s="0" t="n">
        <f aca="false">O2424+S2424</f>
        <v>28</v>
      </c>
      <c r="V2424" s="0" t="n">
        <f aca="false">T2424-U2424</f>
        <v>-13</v>
      </c>
      <c r="W2424" s="0" t="n">
        <f aca="false">T2424+U2424</f>
        <v>43</v>
      </c>
    </row>
    <row r="2425" customFormat="false" ht="15" hidden="false" customHeight="false" outlineLevel="0" collapsed="false">
      <c r="A2425" s="0" t="n">
        <v>2422</v>
      </c>
      <c r="B2425" s="0" t="n">
        <f aca="true">NORMINV(RAND(),1,Coefficients!$B$22)</f>
        <v>1.03322171029726</v>
      </c>
      <c r="C2425" s="0" t="n">
        <f aca="true">MEDIAN(8,16,ROUND(NORMINV(RAND(),Coefficients!$B$20,Coefficients!$B$21),0))</f>
        <v>11</v>
      </c>
      <c r="D2425" s="0" t="n">
        <f aca="true">CRITBINOM($C2425,MIN(0.75,Matchup!$B$39*$B2425),RAND())</f>
        <v>3</v>
      </c>
      <c r="E2425" s="0" t="n">
        <f aca="true">CRITBINOM(D2425,Coefficients!$B$30,RAND())</f>
        <v>2</v>
      </c>
      <c r="F2425" s="0" t="n">
        <f aca="true">CRITBINOM(E2425,Coefficients!$B$31,RAND())</f>
        <v>2</v>
      </c>
      <c r="G2425" s="0" t="n">
        <f aca="true">CRITBINOM(MAX(0,D2425-E2425),1-Coefficients!$B$32,RAND())</f>
        <v>0</v>
      </c>
      <c r="H2425" s="0" t="n">
        <f aca="true">CRITBINOM(MAX(0,$C2425-D2425),MIN(0.6,Matchup!$B$40*SQRT($B2425)/(1-MIN(0.75,Matchup!$B$39*$B2425))),RAND())</f>
        <v>2</v>
      </c>
      <c r="I2425" s="0" t="n">
        <f aca="false">6*D2425+(D2425-E2425-G2425)+2*F2425+3*H2425</f>
        <v>29</v>
      </c>
      <c r="J2425" s="0" t="n">
        <f aca="true">CRITBINOM($C2425,MIN(0.75,Matchup!$C$39*$B2425),RAND())</f>
        <v>4</v>
      </c>
      <c r="K2425" s="0" t="n">
        <f aca="true">CRITBINOM(J2425,Coefficients!$B$30,RAND())</f>
        <v>0</v>
      </c>
      <c r="L2425" s="0" t="n">
        <f aca="true">CRITBINOM(K2425,Coefficients!$B$31,RAND())</f>
        <v>0</v>
      </c>
      <c r="M2425" s="0" t="n">
        <f aca="true">CRITBINOM(MAX(0,J2425-K2425),1-Coefficients!$B$32,RAND())</f>
        <v>0</v>
      </c>
      <c r="N2425" s="0" t="n">
        <f aca="true">CRITBINOM(MAX(0,$C2425-J2425),MIN(0.6,Matchup!$C$40*SQRT($B2425)/(1-MIN(0.75,Matchup!$C$39*$B2425))),RAND())</f>
        <v>2</v>
      </c>
      <c r="O2425" s="0" t="n">
        <f aca="false">6*J2425+(J2425-K2425-M2425)+2*L2425+3*N2425</f>
        <v>34</v>
      </c>
      <c r="P2425" s="0" t="n">
        <f aca="true">RAND()</f>
        <v>0.210903594636269</v>
      </c>
      <c r="Q2425" s="0" t="n">
        <f aca="true">RAND()</f>
        <v>0.470205210864979</v>
      </c>
      <c r="R2425" s="0" t="n">
        <f aca="false">IF($I2425&lt;&gt;$O2425,0,IF(P2425&lt;Matchup!$B$39,7,IF(P2425&lt;Matchup!$B$39+Matchup!$B$40,3,0)))</f>
        <v>0</v>
      </c>
      <c r="S2425" s="0" t="n">
        <f aca="false">IF($I2425&lt;&gt;$O2425,0,IF(Q2425&lt;Matchup!$C$39,7,IF(Q2425&lt;Matchup!$C$39+Matchup!$C$40,3,0)))</f>
        <v>0</v>
      </c>
      <c r="T2425" s="0" t="n">
        <f aca="false">I2425+R2425</f>
        <v>29</v>
      </c>
      <c r="U2425" s="0" t="n">
        <f aca="false">O2425+S2425</f>
        <v>34</v>
      </c>
      <c r="V2425" s="0" t="n">
        <f aca="false">T2425-U2425</f>
        <v>-5</v>
      </c>
      <c r="W2425" s="0" t="n">
        <f aca="false">T2425+U2425</f>
        <v>63</v>
      </c>
    </row>
    <row r="2426" customFormat="false" ht="15" hidden="false" customHeight="false" outlineLevel="0" collapsed="false">
      <c r="A2426" s="0" t="n">
        <v>2423</v>
      </c>
      <c r="B2426" s="0" t="n">
        <f aca="true">NORMINV(RAND(),1,Coefficients!$B$22)</f>
        <v>0.838482489825519</v>
      </c>
      <c r="C2426" s="0" t="n">
        <f aca="true">MEDIAN(8,16,ROUND(NORMINV(RAND(),Coefficients!$B$20,Coefficients!$B$21),0))</f>
        <v>11</v>
      </c>
      <c r="D2426" s="0" t="n">
        <f aca="true">CRITBINOM($C2426,MIN(0.75,Matchup!$B$39*$B2426),RAND())</f>
        <v>2</v>
      </c>
      <c r="E2426" s="0" t="n">
        <f aca="true">CRITBINOM(D2426,Coefficients!$B$30,RAND())</f>
        <v>0</v>
      </c>
      <c r="F2426" s="0" t="n">
        <f aca="true">CRITBINOM(E2426,Coefficients!$B$31,RAND())</f>
        <v>0</v>
      </c>
      <c r="G2426" s="0" t="n">
        <f aca="true">CRITBINOM(MAX(0,D2426-E2426),1-Coefficients!$B$32,RAND())</f>
        <v>0</v>
      </c>
      <c r="H2426" s="0" t="n">
        <f aca="true">CRITBINOM(MAX(0,$C2426-D2426),MIN(0.6,Matchup!$B$40*SQRT($B2426)/(1-MIN(0.75,Matchup!$B$39*$B2426))),RAND())</f>
        <v>0</v>
      </c>
      <c r="I2426" s="0" t="n">
        <f aca="false">6*D2426+(D2426-E2426-G2426)+2*F2426+3*H2426</f>
        <v>14</v>
      </c>
      <c r="J2426" s="0" t="n">
        <f aca="true">CRITBINOM($C2426,MIN(0.75,Matchup!$C$39*$B2426),RAND())</f>
        <v>0</v>
      </c>
      <c r="K2426" s="0" t="n">
        <f aca="true">CRITBINOM(J2426,Coefficients!$B$30,RAND())</f>
        <v>0</v>
      </c>
      <c r="L2426" s="0" t="n">
        <f aca="true">CRITBINOM(K2426,Coefficients!$B$31,RAND())</f>
        <v>0</v>
      </c>
      <c r="M2426" s="0" t="n">
        <f aca="true">CRITBINOM(MAX(0,J2426-K2426),1-Coefficients!$B$32,RAND())</f>
        <v>0</v>
      </c>
      <c r="N2426" s="0" t="n">
        <f aca="true">CRITBINOM(MAX(0,$C2426-J2426),MIN(0.6,Matchup!$C$40*SQRT($B2426)/(1-MIN(0.75,Matchup!$C$39*$B2426))),RAND())</f>
        <v>0</v>
      </c>
      <c r="O2426" s="0" t="n">
        <f aca="false">6*J2426+(J2426-K2426-M2426)+2*L2426+3*N2426</f>
        <v>0</v>
      </c>
      <c r="P2426" s="0" t="n">
        <f aca="true">RAND()</f>
        <v>0.519004624961727</v>
      </c>
      <c r="Q2426" s="0" t="n">
        <f aca="true">RAND()</f>
        <v>0.311592529827074</v>
      </c>
      <c r="R2426" s="0" t="n">
        <f aca="false">IF($I2426&lt;&gt;$O2426,0,IF(P2426&lt;Matchup!$B$39,7,IF(P2426&lt;Matchup!$B$39+Matchup!$B$40,3,0)))</f>
        <v>0</v>
      </c>
      <c r="S2426" s="0" t="n">
        <f aca="false">IF($I2426&lt;&gt;$O2426,0,IF(Q2426&lt;Matchup!$C$39,7,IF(Q2426&lt;Matchup!$C$39+Matchup!$C$40,3,0)))</f>
        <v>0</v>
      </c>
      <c r="T2426" s="0" t="n">
        <f aca="false">I2426+R2426</f>
        <v>14</v>
      </c>
      <c r="U2426" s="0" t="n">
        <f aca="false">O2426+S2426</f>
        <v>0</v>
      </c>
      <c r="V2426" s="0" t="n">
        <f aca="false">T2426-U2426</f>
        <v>14</v>
      </c>
      <c r="W2426" s="0" t="n">
        <f aca="false">T2426+U2426</f>
        <v>14</v>
      </c>
    </row>
    <row r="2427" customFormat="false" ht="15" hidden="false" customHeight="false" outlineLevel="0" collapsed="false">
      <c r="A2427" s="0" t="n">
        <v>2424</v>
      </c>
      <c r="B2427" s="0" t="n">
        <f aca="true">NORMINV(RAND(),1,Coefficients!$B$22)</f>
        <v>0.972114219028472</v>
      </c>
      <c r="C2427" s="0" t="n">
        <f aca="true">MEDIAN(8,16,ROUND(NORMINV(RAND(),Coefficients!$B$20,Coefficients!$B$21),0))</f>
        <v>12</v>
      </c>
      <c r="D2427" s="0" t="n">
        <f aca="true">CRITBINOM($C2427,MIN(0.75,Matchup!$B$39*$B2427),RAND())</f>
        <v>3</v>
      </c>
      <c r="E2427" s="0" t="n">
        <f aca="true">CRITBINOM(D2427,Coefficients!$B$30,RAND())</f>
        <v>1</v>
      </c>
      <c r="F2427" s="0" t="n">
        <f aca="true">CRITBINOM(E2427,Coefficients!$B$31,RAND())</f>
        <v>1</v>
      </c>
      <c r="G2427" s="0" t="n">
        <f aca="true">CRITBINOM(MAX(0,D2427-E2427),1-Coefficients!$B$32,RAND())</f>
        <v>0</v>
      </c>
      <c r="H2427" s="0" t="n">
        <f aca="true">CRITBINOM(MAX(0,$C2427-D2427),MIN(0.6,Matchup!$B$40*SQRT($B2427)/(1-MIN(0.75,Matchup!$B$39*$B2427))),RAND())</f>
        <v>2</v>
      </c>
      <c r="I2427" s="0" t="n">
        <f aca="false">6*D2427+(D2427-E2427-G2427)+2*F2427+3*H2427</f>
        <v>28</v>
      </c>
      <c r="J2427" s="0" t="n">
        <f aca="true">CRITBINOM($C2427,MIN(0.75,Matchup!$C$39*$B2427),RAND())</f>
        <v>4</v>
      </c>
      <c r="K2427" s="0" t="n">
        <f aca="true">CRITBINOM(J2427,Coefficients!$B$30,RAND())</f>
        <v>0</v>
      </c>
      <c r="L2427" s="0" t="n">
        <f aca="true">CRITBINOM(K2427,Coefficients!$B$31,RAND())</f>
        <v>0</v>
      </c>
      <c r="M2427" s="0" t="n">
        <f aca="true">CRITBINOM(MAX(0,J2427-K2427),1-Coefficients!$B$32,RAND())</f>
        <v>0</v>
      </c>
      <c r="N2427" s="0" t="n">
        <f aca="true">CRITBINOM(MAX(0,$C2427-J2427),MIN(0.6,Matchup!$C$40*SQRT($B2427)/(1-MIN(0.75,Matchup!$C$39*$B2427))),RAND())</f>
        <v>3</v>
      </c>
      <c r="O2427" s="0" t="n">
        <f aca="false">6*J2427+(J2427-K2427-M2427)+2*L2427+3*N2427</f>
        <v>37</v>
      </c>
      <c r="P2427" s="0" t="n">
        <f aca="true">RAND()</f>
        <v>0.305029700759051</v>
      </c>
      <c r="Q2427" s="0" t="n">
        <f aca="true">RAND()</f>
        <v>0.0842099588669167</v>
      </c>
      <c r="R2427" s="0" t="n">
        <f aca="false">IF($I2427&lt;&gt;$O2427,0,IF(P2427&lt;Matchup!$B$39,7,IF(P2427&lt;Matchup!$B$39+Matchup!$B$40,3,0)))</f>
        <v>0</v>
      </c>
      <c r="S2427" s="0" t="n">
        <f aca="false">IF($I2427&lt;&gt;$O2427,0,IF(Q2427&lt;Matchup!$C$39,7,IF(Q2427&lt;Matchup!$C$39+Matchup!$C$40,3,0)))</f>
        <v>0</v>
      </c>
      <c r="T2427" s="0" t="n">
        <f aca="false">I2427+R2427</f>
        <v>28</v>
      </c>
      <c r="U2427" s="0" t="n">
        <f aca="false">O2427+S2427</f>
        <v>37</v>
      </c>
      <c r="V2427" s="0" t="n">
        <f aca="false">T2427-U2427</f>
        <v>-9</v>
      </c>
      <c r="W2427" s="0" t="n">
        <f aca="false">T2427+U2427</f>
        <v>65</v>
      </c>
    </row>
    <row r="2428" customFormat="false" ht="15" hidden="false" customHeight="false" outlineLevel="0" collapsed="false">
      <c r="A2428" s="0" t="n">
        <v>2425</v>
      </c>
      <c r="B2428" s="0" t="n">
        <f aca="true">NORMINV(RAND(),1,Coefficients!$B$22)</f>
        <v>0.880063564354138</v>
      </c>
      <c r="C2428" s="0" t="n">
        <f aca="true">MEDIAN(8,16,ROUND(NORMINV(RAND(),Coefficients!$B$20,Coefficients!$B$21),0))</f>
        <v>11</v>
      </c>
      <c r="D2428" s="0" t="n">
        <f aca="true">CRITBINOM($C2428,MIN(0.75,Matchup!$B$39*$B2428),RAND())</f>
        <v>5</v>
      </c>
      <c r="E2428" s="0" t="n">
        <f aca="true">CRITBINOM(D2428,Coefficients!$B$30,RAND())</f>
        <v>1</v>
      </c>
      <c r="F2428" s="0" t="n">
        <f aca="true">CRITBINOM(E2428,Coefficients!$B$31,RAND())</f>
        <v>0</v>
      </c>
      <c r="G2428" s="0" t="n">
        <f aca="true">CRITBINOM(MAX(0,D2428-E2428),1-Coefficients!$B$32,RAND())</f>
        <v>0</v>
      </c>
      <c r="H2428" s="0" t="n">
        <f aca="true">CRITBINOM(MAX(0,$C2428-D2428),MIN(0.6,Matchup!$B$40*SQRT($B2428)/(1-MIN(0.75,Matchup!$B$39*$B2428))),RAND())</f>
        <v>2</v>
      </c>
      <c r="I2428" s="0" t="n">
        <f aca="false">6*D2428+(D2428-E2428-G2428)+2*F2428+3*H2428</f>
        <v>40</v>
      </c>
      <c r="J2428" s="0" t="n">
        <f aca="true">CRITBINOM($C2428,MIN(0.75,Matchup!$C$39*$B2428),RAND())</f>
        <v>3</v>
      </c>
      <c r="K2428" s="0" t="n">
        <f aca="true">CRITBINOM(J2428,Coefficients!$B$30,RAND())</f>
        <v>0</v>
      </c>
      <c r="L2428" s="0" t="n">
        <f aca="true">CRITBINOM(K2428,Coefficients!$B$31,RAND())</f>
        <v>0</v>
      </c>
      <c r="M2428" s="0" t="n">
        <f aca="true">CRITBINOM(MAX(0,J2428-K2428),1-Coefficients!$B$32,RAND())</f>
        <v>1</v>
      </c>
      <c r="N2428" s="0" t="n">
        <f aca="true">CRITBINOM(MAX(0,$C2428-J2428),MIN(0.6,Matchup!$C$40*SQRT($B2428)/(1-MIN(0.75,Matchup!$C$39*$B2428))),RAND())</f>
        <v>1</v>
      </c>
      <c r="O2428" s="0" t="n">
        <f aca="false">6*J2428+(J2428-K2428-M2428)+2*L2428+3*N2428</f>
        <v>23</v>
      </c>
      <c r="P2428" s="0" t="n">
        <f aca="true">RAND()</f>
        <v>0.65764127337466</v>
      </c>
      <c r="Q2428" s="0" t="n">
        <f aca="true">RAND()</f>
        <v>0.182103239485036</v>
      </c>
      <c r="R2428" s="0" t="n">
        <f aca="false">IF($I2428&lt;&gt;$O2428,0,IF(P2428&lt;Matchup!$B$39,7,IF(P2428&lt;Matchup!$B$39+Matchup!$B$40,3,0)))</f>
        <v>0</v>
      </c>
      <c r="S2428" s="0" t="n">
        <f aca="false">IF($I2428&lt;&gt;$O2428,0,IF(Q2428&lt;Matchup!$C$39,7,IF(Q2428&lt;Matchup!$C$39+Matchup!$C$40,3,0)))</f>
        <v>0</v>
      </c>
      <c r="T2428" s="0" t="n">
        <f aca="false">I2428+R2428</f>
        <v>40</v>
      </c>
      <c r="U2428" s="0" t="n">
        <f aca="false">O2428+S2428</f>
        <v>23</v>
      </c>
      <c r="V2428" s="0" t="n">
        <f aca="false">T2428-U2428</f>
        <v>17</v>
      </c>
      <c r="W2428" s="0" t="n">
        <f aca="false">T2428+U2428</f>
        <v>63</v>
      </c>
    </row>
    <row r="2429" customFormat="false" ht="15" hidden="false" customHeight="false" outlineLevel="0" collapsed="false">
      <c r="A2429" s="0" t="n">
        <v>2426</v>
      </c>
      <c r="B2429" s="0" t="n">
        <f aca="true">NORMINV(RAND(),1,Coefficients!$B$22)</f>
        <v>1.06843848945455</v>
      </c>
      <c r="C2429" s="0" t="n">
        <f aca="true">MEDIAN(8,16,ROUND(NORMINV(RAND(),Coefficients!$B$20,Coefficients!$B$21),0))</f>
        <v>9</v>
      </c>
      <c r="D2429" s="0" t="n">
        <f aca="true">CRITBINOM($C2429,MIN(0.75,Matchup!$B$39*$B2429),RAND())</f>
        <v>2</v>
      </c>
      <c r="E2429" s="0" t="n">
        <f aca="true">CRITBINOM(D2429,Coefficients!$B$30,RAND())</f>
        <v>0</v>
      </c>
      <c r="F2429" s="0" t="n">
        <f aca="true">CRITBINOM(E2429,Coefficients!$B$31,RAND())</f>
        <v>0</v>
      </c>
      <c r="G2429" s="0" t="n">
        <f aca="true">CRITBINOM(MAX(0,D2429-E2429),1-Coefficients!$B$32,RAND())</f>
        <v>0</v>
      </c>
      <c r="H2429" s="0" t="n">
        <f aca="true">CRITBINOM(MAX(0,$C2429-D2429),MIN(0.6,Matchup!$B$40*SQRT($B2429)/(1-MIN(0.75,Matchup!$B$39*$B2429))),RAND())</f>
        <v>4</v>
      </c>
      <c r="I2429" s="0" t="n">
        <f aca="false">6*D2429+(D2429-E2429-G2429)+2*F2429+3*H2429</f>
        <v>26</v>
      </c>
      <c r="J2429" s="0" t="n">
        <f aca="true">CRITBINOM($C2429,MIN(0.75,Matchup!$C$39*$B2429),RAND())</f>
        <v>1</v>
      </c>
      <c r="K2429" s="0" t="n">
        <f aca="true">CRITBINOM(J2429,Coefficients!$B$30,RAND())</f>
        <v>0</v>
      </c>
      <c r="L2429" s="0" t="n">
        <f aca="true">CRITBINOM(K2429,Coefficients!$B$31,RAND())</f>
        <v>0</v>
      </c>
      <c r="M2429" s="0" t="n">
        <f aca="true">CRITBINOM(MAX(0,J2429-K2429),1-Coefficients!$B$32,RAND())</f>
        <v>0</v>
      </c>
      <c r="N2429" s="0" t="n">
        <f aca="true">CRITBINOM(MAX(0,$C2429-J2429),MIN(0.6,Matchup!$C$40*SQRT($B2429)/(1-MIN(0.75,Matchup!$C$39*$B2429))),RAND())</f>
        <v>1</v>
      </c>
      <c r="O2429" s="0" t="n">
        <f aca="false">6*J2429+(J2429-K2429-M2429)+2*L2429+3*N2429</f>
        <v>10</v>
      </c>
      <c r="P2429" s="0" t="n">
        <f aca="true">RAND()</f>
        <v>0.680158281286766</v>
      </c>
      <c r="Q2429" s="0" t="n">
        <f aca="true">RAND()</f>
        <v>0.668535504127726</v>
      </c>
      <c r="R2429" s="0" t="n">
        <f aca="false">IF($I2429&lt;&gt;$O2429,0,IF(P2429&lt;Matchup!$B$39,7,IF(P2429&lt;Matchup!$B$39+Matchup!$B$40,3,0)))</f>
        <v>0</v>
      </c>
      <c r="S2429" s="0" t="n">
        <f aca="false">IF($I2429&lt;&gt;$O2429,0,IF(Q2429&lt;Matchup!$C$39,7,IF(Q2429&lt;Matchup!$C$39+Matchup!$C$40,3,0)))</f>
        <v>0</v>
      </c>
      <c r="T2429" s="0" t="n">
        <f aca="false">I2429+R2429</f>
        <v>26</v>
      </c>
      <c r="U2429" s="0" t="n">
        <f aca="false">O2429+S2429</f>
        <v>10</v>
      </c>
      <c r="V2429" s="0" t="n">
        <f aca="false">T2429-U2429</f>
        <v>16</v>
      </c>
      <c r="W2429" s="0" t="n">
        <f aca="false">T2429+U2429</f>
        <v>36</v>
      </c>
    </row>
    <row r="2430" customFormat="false" ht="15" hidden="false" customHeight="false" outlineLevel="0" collapsed="false">
      <c r="A2430" s="0" t="n">
        <v>2427</v>
      </c>
      <c r="B2430" s="0" t="n">
        <f aca="true">NORMINV(RAND(),1,Coefficients!$B$22)</f>
        <v>0.933074263630478</v>
      </c>
      <c r="C2430" s="0" t="n">
        <f aca="true">MEDIAN(8,16,ROUND(NORMINV(RAND(),Coefficients!$B$20,Coefficients!$B$21),0))</f>
        <v>11</v>
      </c>
      <c r="D2430" s="0" t="n">
        <f aca="true">CRITBINOM($C2430,MIN(0.75,Matchup!$B$39*$B2430),RAND())</f>
        <v>3</v>
      </c>
      <c r="E2430" s="0" t="n">
        <f aca="true">CRITBINOM(D2430,Coefficients!$B$30,RAND())</f>
        <v>0</v>
      </c>
      <c r="F2430" s="0" t="n">
        <f aca="true">CRITBINOM(E2430,Coefficients!$B$31,RAND())</f>
        <v>0</v>
      </c>
      <c r="G2430" s="0" t="n">
        <f aca="true">CRITBINOM(MAX(0,D2430-E2430),1-Coefficients!$B$32,RAND())</f>
        <v>0</v>
      </c>
      <c r="H2430" s="0" t="n">
        <f aca="true">CRITBINOM(MAX(0,$C2430-D2430),MIN(0.6,Matchup!$B$40*SQRT($B2430)/(1-MIN(0.75,Matchup!$B$39*$B2430))),RAND())</f>
        <v>0</v>
      </c>
      <c r="I2430" s="0" t="n">
        <f aca="false">6*D2430+(D2430-E2430-G2430)+2*F2430+3*H2430</f>
        <v>21</v>
      </c>
      <c r="J2430" s="0" t="n">
        <f aca="true">CRITBINOM($C2430,MIN(0.75,Matchup!$C$39*$B2430),RAND())</f>
        <v>1</v>
      </c>
      <c r="K2430" s="0" t="n">
        <f aca="true">CRITBINOM(J2430,Coefficients!$B$30,RAND())</f>
        <v>0</v>
      </c>
      <c r="L2430" s="0" t="n">
        <f aca="true">CRITBINOM(K2430,Coefficients!$B$31,RAND())</f>
        <v>0</v>
      </c>
      <c r="M2430" s="0" t="n">
        <f aca="true">CRITBINOM(MAX(0,J2430-K2430),1-Coefficients!$B$32,RAND())</f>
        <v>0</v>
      </c>
      <c r="N2430" s="0" t="n">
        <f aca="true">CRITBINOM(MAX(0,$C2430-J2430),MIN(0.6,Matchup!$C$40*SQRT($B2430)/(1-MIN(0.75,Matchup!$C$39*$B2430))),RAND())</f>
        <v>2</v>
      </c>
      <c r="O2430" s="0" t="n">
        <f aca="false">6*J2430+(J2430-K2430-M2430)+2*L2430+3*N2430</f>
        <v>13</v>
      </c>
      <c r="P2430" s="0" t="n">
        <f aca="true">RAND()</f>
        <v>0.466945104057174</v>
      </c>
      <c r="Q2430" s="0" t="n">
        <f aca="true">RAND()</f>
        <v>0.696983279734347</v>
      </c>
      <c r="R2430" s="0" t="n">
        <f aca="false">IF($I2430&lt;&gt;$O2430,0,IF(P2430&lt;Matchup!$B$39,7,IF(P2430&lt;Matchup!$B$39+Matchup!$B$40,3,0)))</f>
        <v>0</v>
      </c>
      <c r="S2430" s="0" t="n">
        <f aca="false">IF($I2430&lt;&gt;$O2430,0,IF(Q2430&lt;Matchup!$C$39,7,IF(Q2430&lt;Matchup!$C$39+Matchup!$C$40,3,0)))</f>
        <v>0</v>
      </c>
      <c r="T2430" s="0" t="n">
        <f aca="false">I2430+R2430</f>
        <v>21</v>
      </c>
      <c r="U2430" s="0" t="n">
        <f aca="false">O2430+S2430</f>
        <v>13</v>
      </c>
      <c r="V2430" s="0" t="n">
        <f aca="false">T2430-U2430</f>
        <v>8</v>
      </c>
      <c r="W2430" s="0" t="n">
        <f aca="false">T2430+U2430</f>
        <v>34</v>
      </c>
    </row>
    <row r="2431" customFormat="false" ht="15" hidden="false" customHeight="false" outlineLevel="0" collapsed="false">
      <c r="A2431" s="0" t="n">
        <v>2428</v>
      </c>
      <c r="B2431" s="0" t="n">
        <f aca="true">NORMINV(RAND(),1,Coefficients!$B$22)</f>
        <v>0.945200824399089</v>
      </c>
      <c r="C2431" s="0" t="n">
        <f aca="true">MEDIAN(8,16,ROUND(NORMINV(RAND(),Coefficients!$B$20,Coefficients!$B$21),0))</f>
        <v>13</v>
      </c>
      <c r="D2431" s="0" t="n">
        <f aca="true">CRITBINOM($C2431,MIN(0.75,Matchup!$B$39*$B2431),RAND())</f>
        <v>3</v>
      </c>
      <c r="E2431" s="0" t="n">
        <f aca="true">CRITBINOM(D2431,Coefficients!$B$30,RAND())</f>
        <v>1</v>
      </c>
      <c r="F2431" s="0" t="n">
        <f aca="true">CRITBINOM(E2431,Coefficients!$B$31,RAND())</f>
        <v>0</v>
      </c>
      <c r="G2431" s="0" t="n">
        <f aca="true">CRITBINOM(MAX(0,D2431-E2431),1-Coefficients!$B$32,RAND())</f>
        <v>1</v>
      </c>
      <c r="H2431" s="0" t="n">
        <f aca="true">CRITBINOM(MAX(0,$C2431-D2431),MIN(0.6,Matchup!$B$40*SQRT($B2431)/(1-MIN(0.75,Matchup!$B$39*$B2431))),RAND())</f>
        <v>2</v>
      </c>
      <c r="I2431" s="0" t="n">
        <f aca="false">6*D2431+(D2431-E2431-G2431)+2*F2431+3*H2431</f>
        <v>25</v>
      </c>
      <c r="J2431" s="0" t="n">
        <f aca="true">CRITBINOM($C2431,MIN(0.75,Matchup!$C$39*$B2431),RAND())</f>
        <v>5</v>
      </c>
      <c r="K2431" s="0" t="n">
        <f aca="true">CRITBINOM(J2431,Coefficients!$B$30,RAND())</f>
        <v>0</v>
      </c>
      <c r="L2431" s="0" t="n">
        <f aca="true">CRITBINOM(K2431,Coefficients!$B$31,RAND())</f>
        <v>0</v>
      </c>
      <c r="M2431" s="0" t="n">
        <f aca="true">CRITBINOM(MAX(0,J2431-K2431),1-Coefficients!$B$32,RAND())</f>
        <v>1</v>
      </c>
      <c r="N2431" s="0" t="n">
        <f aca="true">CRITBINOM(MAX(0,$C2431-J2431),MIN(0.6,Matchup!$C$40*SQRT($B2431)/(1-MIN(0.75,Matchup!$C$39*$B2431))),RAND())</f>
        <v>1</v>
      </c>
      <c r="O2431" s="0" t="n">
        <f aca="false">6*J2431+(J2431-K2431-M2431)+2*L2431+3*N2431</f>
        <v>37</v>
      </c>
      <c r="P2431" s="0" t="n">
        <f aca="true">RAND()</f>
        <v>0.0746512851450215</v>
      </c>
      <c r="Q2431" s="0" t="n">
        <f aca="true">RAND()</f>
        <v>0.240880988385629</v>
      </c>
      <c r="R2431" s="0" t="n">
        <f aca="false">IF($I2431&lt;&gt;$O2431,0,IF(P2431&lt;Matchup!$B$39,7,IF(P2431&lt;Matchup!$B$39+Matchup!$B$40,3,0)))</f>
        <v>0</v>
      </c>
      <c r="S2431" s="0" t="n">
        <f aca="false">IF($I2431&lt;&gt;$O2431,0,IF(Q2431&lt;Matchup!$C$39,7,IF(Q2431&lt;Matchup!$C$39+Matchup!$C$40,3,0)))</f>
        <v>0</v>
      </c>
      <c r="T2431" s="0" t="n">
        <f aca="false">I2431+R2431</f>
        <v>25</v>
      </c>
      <c r="U2431" s="0" t="n">
        <f aca="false">O2431+S2431</f>
        <v>37</v>
      </c>
      <c r="V2431" s="0" t="n">
        <f aca="false">T2431-U2431</f>
        <v>-12</v>
      </c>
      <c r="W2431" s="0" t="n">
        <f aca="false">T2431+U2431</f>
        <v>62</v>
      </c>
    </row>
    <row r="2432" customFormat="false" ht="15" hidden="false" customHeight="false" outlineLevel="0" collapsed="false">
      <c r="A2432" s="0" t="n">
        <v>2429</v>
      </c>
      <c r="B2432" s="0" t="n">
        <f aca="true">NORMINV(RAND(),1,Coefficients!$B$22)</f>
        <v>1.05387976942654</v>
      </c>
      <c r="C2432" s="0" t="n">
        <f aca="true">MEDIAN(8,16,ROUND(NORMINV(RAND(),Coefficients!$B$20,Coefficients!$B$21),0))</f>
        <v>13</v>
      </c>
      <c r="D2432" s="0" t="n">
        <f aca="true">CRITBINOM($C2432,MIN(0.75,Matchup!$B$39*$B2432),RAND())</f>
        <v>5</v>
      </c>
      <c r="E2432" s="0" t="n">
        <f aca="true">CRITBINOM(D2432,Coefficients!$B$30,RAND())</f>
        <v>0</v>
      </c>
      <c r="F2432" s="0" t="n">
        <f aca="true">CRITBINOM(E2432,Coefficients!$B$31,RAND())</f>
        <v>0</v>
      </c>
      <c r="G2432" s="0" t="n">
        <f aca="true">CRITBINOM(MAX(0,D2432-E2432),1-Coefficients!$B$32,RAND())</f>
        <v>0</v>
      </c>
      <c r="H2432" s="0" t="n">
        <f aca="true">CRITBINOM(MAX(0,$C2432-D2432),MIN(0.6,Matchup!$B$40*SQRT($B2432)/(1-MIN(0.75,Matchup!$B$39*$B2432))),RAND())</f>
        <v>1</v>
      </c>
      <c r="I2432" s="0" t="n">
        <f aca="false">6*D2432+(D2432-E2432-G2432)+2*F2432+3*H2432</f>
        <v>38</v>
      </c>
      <c r="J2432" s="0" t="n">
        <f aca="true">CRITBINOM($C2432,MIN(0.75,Matchup!$C$39*$B2432),RAND())</f>
        <v>1</v>
      </c>
      <c r="K2432" s="0" t="n">
        <f aca="true">CRITBINOM(J2432,Coefficients!$B$30,RAND())</f>
        <v>1</v>
      </c>
      <c r="L2432" s="0" t="n">
        <f aca="true">CRITBINOM(K2432,Coefficients!$B$31,RAND())</f>
        <v>1</v>
      </c>
      <c r="M2432" s="0" t="n">
        <f aca="true">CRITBINOM(MAX(0,J2432-K2432),1-Coefficients!$B$32,RAND())</f>
        <v>0</v>
      </c>
      <c r="N2432" s="0" t="n">
        <f aca="true">CRITBINOM(MAX(0,$C2432-J2432),MIN(0.6,Matchup!$C$40*SQRT($B2432)/(1-MIN(0.75,Matchup!$C$39*$B2432))),RAND())</f>
        <v>5</v>
      </c>
      <c r="O2432" s="0" t="n">
        <f aca="false">6*J2432+(J2432-K2432-M2432)+2*L2432+3*N2432</f>
        <v>23</v>
      </c>
      <c r="P2432" s="0" t="n">
        <f aca="true">RAND()</f>
        <v>0.0998729440072951</v>
      </c>
      <c r="Q2432" s="0" t="n">
        <f aca="true">RAND()</f>
        <v>0.909811442880583</v>
      </c>
      <c r="R2432" s="0" t="n">
        <f aca="false">IF($I2432&lt;&gt;$O2432,0,IF(P2432&lt;Matchup!$B$39,7,IF(P2432&lt;Matchup!$B$39+Matchup!$B$40,3,0)))</f>
        <v>0</v>
      </c>
      <c r="S2432" s="0" t="n">
        <f aca="false">IF($I2432&lt;&gt;$O2432,0,IF(Q2432&lt;Matchup!$C$39,7,IF(Q2432&lt;Matchup!$C$39+Matchup!$C$40,3,0)))</f>
        <v>0</v>
      </c>
      <c r="T2432" s="0" t="n">
        <f aca="false">I2432+R2432</f>
        <v>38</v>
      </c>
      <c r="U2432" s="0" t="n">
        <f aca="false">O2432+S2432</f>
        <v>23</v>
      </c>
      <c r="V2432" s="0" t="n">
        <f aca="false">T2432-U2432</f>
        <v>15</v>
      </c>
      <c r="W2432" s="0" t="n">
        <f aca="false">T2432+U2432</f>
        <v>61</v>
      </c>
    </row>
    <row r="2433" customFormat="false" ht="15" hidden="false" customHeight="false" outlineLevel="0" collapsed="false">
      <c r="A2433" s="0" t="n">
        <v>2430</v>
      </c>
      <c r="B2433" s="0" t="n">
        <f aca="true">NORMINV(RAND(),1,Coefficients!$B$22)</f>
        <v>1.20383795431605</v>
      </c>
      <c r="C2433" s="0" t="n">
        <f aca="true">MEDIAN(8,16,ROUND(NORMINV(RAND(),Coefficients!$B$20,Coefficients!$B$21),0))</f>
        <v>13</v>
      </c>
      <c r="D2433" s="0" t="n">
        <f aca="true">CRITBINOM($C2433,MIN(0.75,Matchup!$B$39*$B2433),RAND())</f>
        <v>5</v>
      </c>
      <c r="E2433" s="0" t="n">
        <f aca="true">CRITBINOM(D2433,Coefficients!$B$30,RAND())</f>
        <v>0</v>
      </c>
      <c r="F2433" s="0" t="n">
        <f aca="true">CRITBINOM(E2433,Coefficients!$B$31,RAND())</f>
        <v>0</v>
      </c>
      <c r="G2433" s="0" t="n">
        <f aca="true">CRITBINOM(MAX(0,D2433-E2433),1-Coefficients!$B$32,RAND())</f>
        <v>0</v>
      </c>
      <c r="H2433" s="0" t="n">
        <f aca="true">CRITBINOM(MAX(0,$C2433-D2433),MIN(0.6,Matchup!$B$40*SQRT($B2433)/(1-MIN(0.75,Matchup!$B$39*$B2433))),RAND())</f>
        <v>2</v>
      </c>
      <c r="I2433" s="0" t="n">
        <f aca="false">6*D2433+(D2433-E2433-G2433)+2*F2433+3*H2433</f>
        <v>41</v>
      </c>
      <c r="J2433" s="0" t="n">
        <f aca="true">CRITBINOM($C2433,MIN(0.75,Matchup!$C$39*$B2433),RAND())</f>
        <v>8</v>
      </c>
      <c r="K2433" s="0" t="n">
        <f aca="true">CRITBINOM(J2433,Coefficients!$B$30,RAND())</f>
        <v>3</v>
      </c>
      <c r="L2433" s="0" t="n">
        <f aca="true">CRITBINOM(K2433,Coefficients!$B$31,RAND())</f>
        <v>2</v>
      </c>
      <c r="M2433" s="0" t="n">
        <f aca="true">CRITBINOM(MAX(0,J2433-K2433),1-Coefficients!$B$32,RAND())</f>
        <v>0</v>
      </c>
      <c r="N2433" s="0" t="n">
        <f aca="true">CRITBINOM(MAX(0,$C2433-J2433),MIN(0.6,Matchup!$C$40*SQRT($B2433)/(1-MIN(0.75,Matchup!$C$39*$B2433))),RAND())</f>
        <v>2</v>
      </c>
      <c r="O2433" s="0" t="n">
        <f aca="false">6*J2433+(J2433-K2433-M2433)+2*L2433+3*N2433</f>
        <v>63</v>
      </c>
      <c r="P2433" s="0" t="n">
        <f aca="true">RAND()</f>
        <v>0.0572039416647089</v>
      </c>
      <c r="Q2433" s="0" t="n">
        <f aca="true">RAND()</f>
        <v>0.961886776206759</v>
      </c>
      <c r="R2433" s="0" t="n">
        <f aca="false">IF($I2433&lt;&gt;$O2433,0,IF(P2433&lt;Matchup!$B$39,7,IF(P2433&lt;Matchup!$B$39+Matchup!$B$40,3,0)))</f>
        <v>0</v>
      </c>
      <c r="S2433" s="0" t="n">
        <f aca="false">IF($I2433&lt;&gt;$O2433,0,IF(Q2433&lt;Matchup!$C$39,7,IF(Q2433&lt;Matchup!$C$39+Matchup!$C$40,3,0)))</f>
        <v>0</v>
      </c>
      <c r="T2433" s="0" t="n">
        <f aca="false">I2433+R2433</f>
        <v>41</v>
      </c>
      <c r="U2433" s="0" t="n">
        <f aca="false">O2433+S2433</f>
        <v>63</v>
      </c>
      <c r="V2433" s="0" t="n">
        <f aca="false">T2433-U2433</f>
        <v>-22</v>
      </c>
      <c r="W2433" s="0" t="n">
        <f aca="false">T2433+U2433</f>
        <v>104</v>
      </c>
    </row>
    <row r="2434" customFormat="false" ht="15" hidden="false" customHeight="false" outlineLevel="0" collapsed="false">
      <c r="A2434" s="0" t="n">
        <v>2431</v>
      </c>
      <c r="B2434" s="0" t="n">
        <f aca="true">NORMINV(RAND(),1,Coefficients!$B$22)</f>
        <v>1.09145749918743</v>
      </c>
      <c r="C2434" s="0" t="n">
        <f aca="true">MEDIAN(8,16,ROUND(NORMINV(RAND(),Coefficients!$B$20,Coefficients!$B$21),0))</f>
        <v>11</v>
      </c>
      <c r="D2434" s="0" t="n">
        <f aca="true">CRITBINOM($C2434,MIN(0.75,Matchup!$B$39*$B2434),RAND())</f>
        <v>1</v>
      </c>
      <c r="E2434" s="0" t="n">
        <f aca="true">CRITBINOM(D2434,Coefficients!$B$30,RAND())</f>
        <v>0</v>
      </c>
      <c r="F2434" s="0" t="n">
        <f aca="true">CRITBINOM(E2434,Coefficients!$B$31,RAND())</f>
        <v>0</v>
      </c>
      <c r="G2434" s="0" t="n">
        <f aca="true">CRITBINOM(MAX(0,D2434-E2434),1-Coefficients!$B$32,RAND())</f>
        <v>0</v>
      </c>
      <c r="H2434" s="0" t="n">
        <f aca="true">CRITBINOM(MAX(0,$C2434-D2434),MIN(0.6,Matchup!$B$40*SQRT($B2434)/(1-MIN(0.75,Matchup!$B$39*$B2434))),RAND())</f>
        <v>3</v>
      </c>
      <c r="I2434" s="0" t="n">
        <f aca="false">6*D2434+(D2434-E2434-G2434)+2*F2434+3*H2434</f>
        <v>16</v>
      </c>
      <c r="J2434" s="0" t="n">
        <f aca="true">CRITBINOM($C2434,MIN(0.75,Matchup!$C$39*$B2434),RAND())</f>
        <v>4</v>
      </c>
      <c r="K2434" s="0" t="n">
        <f aca="true">CRITBINOM(J2434,Coefficients!$B$30,RAND())</f>
        <v>0</v>
      </c>
      <c r="L2434" s="0" t="n">
        <f aca="true">CRITBINOM(K2434,Coefficients!$B$31,RAND())</f>
        <v>0</v>
      </c>
      <c r="M2434" s="0" t="n">
        <f aca="true">CRITBINOM(MAX(0,J2434-K2434),1-Coefficients!$B$32,RAND())</f>
        <v>0</v>
      </c>
      <c r="N2434" s="0" t="n">
        <f aca="true">CRITBINOM(MAX(0,$C2434-J2434),MIN(0.6,Matchup!$C$40*SQRT($B2434)/(1-MIN(0.75,Matchup!$C$39*$B2434))),RAND())</f>
        <v>1</v>
      </c>
      <c r="O2434" s="0" t="n">
        <f aca="false">6*J2434+(J2434-K2434-M2434)+2*L2434+3*N2434</f>
        <v>31</v>
      </c>
      <c r="P2434" s="0" t="n">
        <f aca="true">RAND()</f>
        <v>0.765001347144505</v>
      </c>
      <c r="Q2434" s="0" t="n">
        <f aca="true">RAND()</f>
        <v>0.643923495060863</v>
      </c>
      <c r="R2434" s="0" t="n">
        <f aca="false">IF($I2434&lt;&gt;$O2434,0,IF(P2434&lt;Matchup!$B$39,7,IF(P2434&lt;Matchup!$B$39+Matchup!$B$40,3,0)))</f>
        <v>0</v>
      </c>
      <c r="S2434" s="0" t="n">
        <f aca="false">IF($I2434&lt;&gt;$O2434,0,IF(Q2434&lt;Matchup!$C$39,7,IF(Q2434&lt;Matchup!$C$39+Matchup!$C$40,3,0)))</f>
        <v>0</v>
      </c>
      <c r="T2434" s="0" t="n">
        <f aca="false">I2434+R2434</f>
        <v>16</v>
      </c>
      <c r="U2434" s="0" t="n">
        <f aca="false">O2434+S2434</f>
        <v>31</v>
      </c>
      <c r="V2434" s="0" t="n">
        <f aca="false">T2434-U2434</f>
        <v>-15</v>
      </c>
      <c r="W2434" s="0" t="n">
        <f aca="false">T2434+U2434</f>
        <v>47</v>
      </c>
    </row>
    <row r="2435" customFormat="false" ht="15" hidden="false" customHeight="false" outlineLevel="0" collapsed="false">
      <c r="A2435" s="0" t="n">
        <v>2432</v>
      </c>
      <c r="B2435" s="0" t="n">
        <f aca="true">NORMINV(RAND(),1,Coefficients!$B$22)</f>
        <v>1.12003998690144</v>
      </c>
      <c r="C2435" s="0" t="n">
        <f aca="true">MEDIAN(8,16,ROUND(NORMINV(RAND(),Coefficients!$B$20,Coefficients!$B$21),0))</f>
        <v>11</v>
      </c>
      <c r="D2435" s="0" t="n">
        <f aca="true">CRITBINOM($C2435,MIN(0.75,Matchup!$B$39*$B2435),RAND())</f>
        <v>5</v>
      </c>
      <c r="E2435" s="0" t="n">
        <f aca="true">CRITBINOM(D2435,Coefficients!$B$30,RAND())</f>
        <v>1</v>
      </c>
      <c r="F2435" s="0" t="n">
        <f aca="true">CRITBINOM(E2435,Coefficients!$B$31,RAND())</f>
        <v>0</v>
      </c>
      <c r="G2435" s="0" t="n">
        <f aca="true">CRITBINOM(MAX(0,D2435-E2435),1-Coefficients!$B$32,RAND())</f>
        <v>0</v>
      </c>
      <c r="H2435" s="0" t="n">
        <f aca="true">CRITBINOM(MAX(0,$C2435-D2435),MIN(0.6,Matchup!$B$40*SQRT($B2435)/(1-MIN(0.75,Matchup!$B$39*$B2435))),RAND())</f>
        <v>2</v>
      </c>
      <c r="I2435" s="0" t="n">
        <f aca="false">6*D2435+(D2435-E2435-G2435)+2*F2435+3*H2435</f>
        <v>40</v>
      </c>
      <c r="J2435" s="0" t="n">
        <f aca="true">CRITBINOM($C2435,MIN(0.75,Matchup!$C$39*$B2435),RAND())</f>
        <v>2</v>
      </c>
      <c r="K2435" s="0" t="n">
        <f aca="true">CRITBINOM(J2435,Coefficients!$B$30,RAND())</f>
        <v>0</v>
      </c>
      <c r="L2435" s="0" t="n">
        <f aca="true">CRITBINOM(K2435,Coefficients!$B$31,RAND())</f>
        <v>0</v>
      </c>
      <c r="M2435" s="0" t="n">
        <f aca="true">CRITBINOM(MAX(0,J2435-K2435),1-Coefficients!$B$32,RAND())</f>
        <v>0</v>
      </c>
      <c r="N2435" s="0" t="n">
        <f aca="true">CRITBINOM(MAX(0,$C2435-J2435),MIN(0.6,Matchup!$C$40*SQRT($B2435)/(1-MIN(0.75,Matchup!$C$39*$B2435))),RAND())</f>
        <v>2</v>
      </c>
      <c r="O2435" s="0" t="n">
        <f aca="false">6*J2435+(J2435-K2435-M2435)+2*L2435+3*N2435</f>
        <v>20</v>
      </c>
      <c r="P2435" s="0" t="n">
        <f aca="true">RAND()</f>
        <v>0.0697470096402603</v>
      </c>
      <c r="Q2435" s="0" t="n">
        <f aca="true">RAND()</f>
        <v>0.00149065892787308</v>
      </c>
      <c r="R2435" s="0" t="n">
        <f aca="false">IF($I2435&lt;&gt;$O2435,0,IF(P2435&lt;Matchup!$B$39,7,IF(P2435&lt;Matchup!$B$39+Matchup!$B$40,3,0)))</f>
        <v>0</v>
      </c>
      <c r="S2435" s="0" t="n">
        <f aca="false">IF($I2435&lt;&gt;$O2435,0,IF(Q2435&lt;Matchup!$C$39,7,IF(Q2435&lt;Matchup!$C$39+Matchup!$C$40,3,0)))</f>
        <v>0</v>
      </c>
      <c r="T2435" s="0" t="n">
        <f aca="false">I2435+R2435</f>
        <v>40</v>
      </c>
      <c r="U2435" s="0" t="n">
        <f aca="false">O2435+S2435</f>
        <v>20</v>
      </c>
      <c r="V2435" s="0" t="n">
        <f aca="false">T2435-U2435</f>
        <v>20</v>
      </c>
      <c r="W2435" s="0" t="n">
        <f aca="false">T2435+U2435</f>
        <v>60</v>
      </c>
    </row>
    <row r="2436" customFormat="false" ht="15" hidden="false" customHeight="false" outlineLevel="0" collapsed="false">
      <c r="A2436" s="0" t="n">
        <v>2433</v>
      </c>
      <c r="B2436" s="0" t="n">
        <f aca="true">NORMINV(RAND(),1,Coefficients!$B$22)</f>
        <v>1.14558819238839</v>
      </c>
      <c r="C2436" s="0" t="n">
        <f aca="true">MEDIAN(8,16,ROUND(NORMINV(RAND(),Coefficients!$B$20,Coefficients!$B$21),0))</f>
        <v>10</v>
      </c>
      <c r="D2436" s="0" t="n">
        <f aca="true">CRITBINOM($C2436,MIN(0.75,Matchup!$B$39*$B2436),RAND())</f>
        <v>2</v>
      </c>
      <c r="E2436" s="0" t="n">
        <f aca="true">CRITBINOM(D2436,Coefficients!$B$30,RAND())</f>
        <v>0</v>
      </c>
      <c r="F2436" s="0" t="n">
        <f aca="true">CRITBINOM(E2436,Coefficients!$B$31,RAND())</f>
        <v>0</v>
      </c>
      <c r="G2436" s="0" t="n">
        <f aca="true">CRITBINOM(MAX(0,D2436-E2436),1-Coefficients!$B$32,RAND())</f>
        <v>1</v>
      </c>
      <c r="H2436" s="0" t="n">
        <f aca="true">CRITBINOM(MAX(0,$C2436-D2436),MIN(0.6,Matchup!$B$40*SQRT($B2436)/(1-MIN(0.75,Matchup!$B$39*$B2436))),RAND())</f>
        <v>1</v>
      </c>
      <c r="I2436" s="0" t="n">
        <f aca="false">6*D2436+(D2436-E2436-G2436)+2*F2436+3*H2436</f>
        <v>16</v>
      </c>
      <c r="J2436" s="0" t="n">
        <f aca="true">CRITBINOM($C2436,MIN(0.75,Matchup!$C$39*$B2436),RAND())</f>
        <v>2</v>
      </c>
      <c r="K2436" s="0" t="n">
        <f aca="true">CRITBINOM(J2436,Coefficients!$B$30,RAND())</f>
        <v>0</v>
      </c>
      <c r="L2436" s="0" t="n">
        <f aca="true">CRITBINOM(K2436,Coefficients!$B$31,RAND())</f>
        <v>0</v>
      </c>
      <c r="M2436" s="0" t="n">
        <f aca="true">CRITBINOM(MAX(0,J2436-K2436),1-Coefficients!$B$32,RAND())</f>
        <v>0</v>
      </c>
      <c r="N2436" s="0" t="n">
        <f aca="true">CRITBINOM(MAX(0,$C2436-J2436),MIN(0.6,Matchup!$C$40*SQRT($B2436)/(1-MIN(0.75,Matchup!$C$39*$B2436))),RAND())</f>
        <v>1</v>
      </c>
      <c r="O2436" s="0" t="n">
        <f aca="false">6*J2436+(J2436-K2436-M2436)+2*L2436+3*N2436</f>
        <v>17</v>
      </c>
      <c r="P2436" s="0" t="n">
        <f aca="true">RAND()</f>
        <v>0.823399730031995</v>
      </c>
      <c r="Q2436" s="0" t="n">
        <f aca="true">RAND()</f>
        <v>0.65790927482284</v>
      </c>
      <c r="R2436" s="0" t="n">
        <f aca="false">IF($I2436&lt;&gt;$O2436,0,IF(P2436&lt;Matchup!$B$39,7,IF(P2436&lt;Matchup!$B$39+Matchup!$B$40,3,0)))</f>
        <v>0</v>
      </c>
      <c r="S2436" s="0" t="n">
        <f aca="false">IF($I2436&lt;&gt;$O2436,0,IF(Q2436&lt;Matchup!$C$39,7,IF(Q2436&lt;Matchup!$C$39+Matchup!$C$40,3,0)))</f>
        <v>0</v>
      </c>
      <c r="T2436" s="0" t="n">
        <f aca="false">I2436+R2436</f>
        <v>16</v>
      </c>
      <c r="U2436" s="0" t="n">
        <f aca="false">O2436+S2436</f>
        <v>17</v>
      </c>
      <c r="V2436" s="0" t="n">
        <f aca="false">T2436-U2436</f>
        <v>-1</v>
      </c>
      <c r="W2436" s="0" t="n">
        <f aca="false">T2436+U2436</f>
        <v>33</v>
      </c>
    </row>
    <row r="2437" customFormat="false" ht="15" hidden="false" customHeight="false" outlineLevel="0" collapsed="false">
      <c r="A2437" s="0" t="n">
        <v>2434</v>
      </c>
      <c r="B2437" s="0" t="n">
        <f aca="true">NORMINV(RAND(),1,Coefficients!$B$22)</f>
        <v>0.858571941704821</v>
      </c>
      <c r="C2437" s="0" t="n">
        <f aca="true">MEDIAN(8,16,ROUND(NORMINV(RAND(),Coefficients!$B$20,Coefficients!$B$21),0))</f>
        <v>13</v>
      </c>
      <c r="D2437" s="0" t="n">
        <f aca="true">CRITBINOM($C2437,MIN(0.75,Matchup!$B$39*$B2437),RAND())</f>
        <v>1</v>
      </c>
      <c r="E2437" s="0" t="n">
        <f aca="true">CRITBINOM(D2437,Coefficients!$B$30,RAND())</f>
        <v>0</v>
      </c>
      <c r="F2437" s="0" t="n">
        <f aca="true">CRITBINOM(E2437,Coefficients!$B$31,RAND())</f>
        <v>0</v>
      </c>
      <c r="G2437" s="0" t="n">
        <f aca="true">CRITBINOM(MAX(0,D2437-E2437),1-Coefficients!$B$32,RAND())</f>
        <v>0</v>
      </c>
      <c r="H2437" s="0" t="n">
        <f aca="true">CRITBINOM(MAX(0,$C2437-D2437),MIN(0.6,Matchup!$B$40*SQRT($B2437)/(1-MIN(0.75,Matchup!$B$39*$B2437))),RAND())</f>
        <v>6</v>
      </c>
      <c r="I2437" s="0" t="n">
        <f aca="false">6*D2437+(D2437-E2437-G2437)+2*F2437+3*H2437</f>
        <v>25</v>
      </c>
      <c r="J2437" s="0" t="n">
        <f aca="true">CRITBINOM($C2437,MIN(0.75,Matchup!$C$39*$B2437),RAND())</f>
        <v>2</v>
      </c>
      <c r="K2437" s="0" t="n">
        <f aca="true">CRITBINOM(J2437,Coefficients!$B$30,RAND())</f>
        <v>0</v>
      </c>
      <c r="L2437" s="0" t="n">
        <f aca="true">CRITBINOM(K2437,Coefficients!$B$31,RAND())</f>
        <v>0</v>
      </c>
      <c r="M2437" s="0" t="n">
        <f aca="true">CRITBINOM(MAX(0,J2437-K2437),1-Coefficients!$B$32,RAND())</f>
        <v>0</v>
      </c>
      <c r="N2437" s="0" t="n">
        <f aca="true">CRITBINOM(MAX(0,$C2437-J2437),MIN(0.6,Matchup!$C$40*SQRT($B2437)/(1-MIN(0.75,Matchup!$C$39*$B2437))),RAND())</f>
        <v>1</v>
      </c>
      <c r="O2437" s="0" t="n">
        <f aca="false">6*J2437+(J2437-K2437-M2437)+2*L2437+3*N2437</f>
        <v>17</v>
      </c>
      <c r="P2437" s="0" t="n">
        <f aca="true">RAND()</f>
        <v>0.796499111303337</v>
      </c>
      <c r="Q2437" s="0" t="n">
        <f aca="true">RAND()</f>
        <v>0.0365726975870091</v>
      </c>
      <c r="R2437" s="0" t="n">
        <f aca="false">IF($I2437&lt;&gt;$O2437,0,IF(P2437&lt;Matchup!$B$39,7,IF(P2437&lt;Matchup!$B$39+Matchup!$B$40,3,0)))</f>
        <v>0</v>
      </c>
      <c r="S2437" s="0" t="n">
        <f aca="false">IF($I2437&lt;&gt;$O2437,0,IF(Q2437&lt;Matchup!$C$39,7,IF(Q2437&lt;Matchup!$C$39+Matchup!$C$40,3,0)))</f>
        <v>0</v>
      </c>
      <c r="T2437" s="0" t="n">
        <f aca="false">I2437+R2437</f>
        <v>25</v>
      </c>
      <c r="U2437" s="0" t="n">
        <f aca="false">O2437+S2437</f>
        <v>17</v>
      </c>
      <c r="V2437" s="0" t="n">
        <f aca="false">T2437-U2437</f>
        <v>8</v>
      </c>
      <c r="W2437" s="0" t="n">
        <f aca="false">T2437+U2437</f>
        <v>42</v>
      </c>
    </row>
    <row r="2438" customFormat="false" ht="15" hidden="false" customHeight="false" outlineLevel="0" collapsed="false">
      <c r="A2438" s="0" t="n">
        <v>2435</v>
      </c>
      <c r="B2438" s="0" t="n">
        <f aca="true">NORMINV(RAND(),1,Coefficients!$B$22)</f>
        <v>0.84156274696823</v>
      </c>
      <c r="C2438" s="0" t="n">
        <f aca="true">MEDIAN(8,16,ROUND(NORMINV(RAND(),Coefficients!$B$20,Coefficients!$B$21),0))</f>
        <v>11</v>
      </c>
      <c r="D2438" s="0" t="n">
        <f aca="true">CRITBINOM($C2438,MIN(0.75,Matchup!$B$39*$B2438),RAND())</f>
        <v>3</v>
      </c>
      <c r="E2438" s="0" t="n">
        <f aca="true">CRITBINOM(D2438,Coefficients!$B$30,RAND())</f>
        <v>0</v>
      </c>
      <c r="F2438" s="0" t="n">
        <f aca="true">CRITBINOM(E2438,Coefficients!$B$31,RAND())</f>
        <v>0</v>
      </c>
      <c r="G2438" s="0" t="n">
        <f aca="true">CRITBINOM(MAX(0,D2438-E2438),1-Coefficients!$B$32,RAND())</f>
        <v>1</v>
      </c>
      <c r="H2438" s="0" t="n">
        <f aca="true">CRITBINOM(MAX(0,$C2438-D2438),MIN(0.6,Matchup!$B$40*SQRT($B2438)/(1-MIN(0.75,Matchup!$B$39*$B2438))),RAND())</f>
        <v>2</v>
      </c>
      <c r="I2438" s="0" t="n">
        <f aca="false">6*D2438+(D2438-E2438-G2438)+2*F2438+3*H2438</f>
        <v>26</v>
      </c>
      <c r="J2438" s="0" t="n">
        <f aca="true">CRITBINOM($C2438,MIN(0.75,Matchup!$C$39*$B2438),RAND())</f>
        <v>0</v>
      </c>
      <c r="K2438" s="0" t="n">
        <f aca="true">CRITBINOM(J2438,Coefficients!$B$30,RAND())</f>
        <v>0</v>
      </c>
      <c r="L2438" s="0" t="n">
        <f aca="true">CRITBINOM(K2438,Coefficients!$B$31,RAND())</f>
        <v>0</v>
      </c>
      <c r="M2438" s="0" t="n">
        <f aca="true">CRITBINOM(MAX(0,J2438-K2438),1-Coefficients!$B$32,RAND())</f>
        <v>0</v>
      </c>
      <c r="N2438" s="0" t="n">
        <f aca="true">CRITBINOM(MAX(0,$C2438-J2438),MIN(0.6,Matchup!$C$40*SQRT($B2438)/(1-MIN(0.75,Matchup!$C$39*$B2438))),RAND())</f>
        <v>0</v>
      </c>
      <c r="O2438" s="0" t="n">
        <f aca="false">6*J2438+(J2438-K2438-M2438)+2*L2438+3*N2438</f>
        <v>0</v>
      </c>
      <c r="P2438" s="0" t="n">
        <f aca="true">RAND()</f>
        <v>0.183674480743155</v>
      </c>
      <c r="Q2438" s="0" t="n">
        <f aca="true">RAND()</f>
        <v>0.740669481870587</v>
      </c>
      <c r="R2438" s="0" t="n">
        <f aca="false">IF($I2438&lt;&gt;$O2438,0,IF(P2438&lt;Matchup!$B$39,7,IF(P2438&lt;Matchup!$B$39+Matchup!$B$40,3,0)))</f>
        <v>0</v>
      </c>
      <c r="S2438" s="0" t="n">
        <f aca="false">IF($I2438&lt;&gt;$O2438,0,IF(Q2438&lt;Matchup!$C$39,7,IF(Q2438&lt;Matchup!$C$39+Matchup!$C$40,3,0)))</f>
        <v>0</v>
      </c>
      <c r="T2438" s="0" t="n">
        <f aca="false">I2438+R2438</f>
        <v>26</v>
      </c>
      <c r="U2438" s="0" t="n">
        <f aca="false">O2438+S2438</f>
        <v>0</v>
      </c>
      <c r="V2438" s="0" t="n">
        <f aca="false">T2438-U2438</f>
        <v>26</v>
      </c>
      <c r="W2438" s="0" t="n">
        <f aca="false">T2438+U2438</f>
        <v>26</v>
      </c>
    </row>
    <row r="2439" customFormat="false" ht="15" hidden="false" customHeight="false" outlineLevel="0" collapsed="false">
      <c r="A2439" s="0" t="n">
        <v>2436</v>
      </c>
      <c r="B2439" s="0" t="n">
        <f aca="true">NORMINV(RAND(),1,Coefficients!$B$22)</f>
        <v>1.04581471204853</v>
      </c>
      <c r="C2439" s="0" t="n">
        <f aca="true">MEDIAN(8,16,ROUND(NORMINV(RAND(),Coefficients!$B$20,Coefficients!$B$21),0))</f>
        <v>11</v>
      </c>
      <c r="D2439" s="0" t="n">
        <f aca="true">CRITBINOM($C2439,MIN(0.75,Matchup!$B$39*$B2439),RAND())</f>
        <v>3</v>
      </c>
      <c r="E2439" s="0" t="n">
        <f aca="true">CRITBINOM(D2439,Coefficients!$B$30,RAND())</f>
        <v>1</v>
      </c>
      <c r="F2439" s="0" t="n">
        <f aca="true">CRITBINOM(E2439,Coefficients!$B$31,RAND())</f>
        <v>1</v>
      </c>
      <c r="G2439" s="0" t="n">
        <f aca="true">CRITBINOM(MAX(0,D2439-E2439),1-Coefficients!$B$32,RAND())</f>
        <v>0</v>
      </c>
      <c r="H2439" s="0" t="n">
        <f aca="true">CRITBINOM(MAX(0,$C2439-D2439),MIN(0.6,Matchup!$B$40*SQRT($B2439)/(1-MIN(0.75,Matchup!$B$39*$B2439))),RAND())</f>
        <v>1</v>
      </c>
      <c r="I2439" s="0" t="n">
        <f aca="false">6*D2439+(D2439-E2439-G2439)+2*F2439+3*H2439</f>
        <v>25</v>
      </c>
      <c r="J2439" s="0" t="n">
        <f aca="true">CRITBINOM($C2439,MIN(0.75,Matchup!$C$39*$B2439),RAND())</f>
        <v>2</v>
      </c>
      <c r="K2439" s="0" t="n">
        <f aca="true">CRITBINOM(J2439,Coefficients!$B$30,RAND())</f>
        <v>0</v>
      </c>
      <c r="L2439" s="0" t="n">
        <f aca="true">CRITBINOM(K2439,Coefficients!$B$31,RAND())</f>
        <v>0</v>
      </c>
      <c r="M2439" s="0" t="n">
        <f aca="true">CRITBINOM(MAX(0,J2439-K2439),1-Coefficients!$B$32,RAND())</f>
        <v>0</v>
      </c>
      <c r="N2439" s="0" t="n">
        <f aca="true">CRITBINOM(MAX(0,$C2439-J2439),MIN(0.6,Matchup!$C$40*SQRT($B2439)/(1-MIN(0.75,Matchup!$C$39*$B2439))),RAND())</f>
        <v>2</v>
      </c>
      <c r="O2439" s="0" t="n">
        <f aca="false">6*J2439+(J2439-K2439-M2439)+2*L2439+3*N2439</f>
        <v>20</v>
      </c>
      <c r="P2439" s="0" t="n">
        <f aca="true">RAND()</f>
        <v>0.16565491393683</v>
      </c>
      <c r="Q2439" s="0" t="n">
        <f aca="true">RAND()</f>
        <v>0.211198002314022</v>
      </c>
      <c r="R2439" s="0" t="n">
        <f aca="false">IF($I2439&lt;&gt;$O2439,0,IF(P2439&lt;Matchup!$B$39,7,IF(P2439&lt;Matchup!$B$39+Matchup!$B$40,3,0)))</f>
        <v>0</v>
      </c>
      <c r="S2439" s="0" t="n">
        <f aca="false">IF($I2439&lt;&gt;$O2439,0,IF(Q2439&lt;Matchup!$C$39,7,IF(Q2439&lt;Matchup!$C$39+Matchup!$C$40,3,0)))</f>
        <v>0</v>
      </c>
      <c r="T2439" s="0" t="n">
        <f aca="false">I2439+R2439</f>
        <v>25</v>
      </c>
      <c r="U2439" s="0" t="n">
        <f aca="false">O2439+S2439</f>
        <v>20</v>
      </c>
      <c r="V2439" s="0" t="n">
        <f aca="false">T2439-U2439</f>
        <v>5</v>
      </c>
      <c r="W2439" s="0" t="n">
        <f aca="false">T2439+U2439</f>
        <v>45</v>
      </c>
    </row>
    <row r="2440" customFormat="false" ht="15" hidden="false" customHeight="false" outlineLevel="0" collapsed="false">
      <c r="A2440" s="0" t="n">
        <v>2437</v>
      </c>
      <c r="B2440" s="0" t="n">
        <f aca="true">NORMINV(RAND(),1,Coefficients!$B$22)</f>
        <v>0.953431227884778</v>
      </c>
      <c r="C2440" s="0" t="n">
        <f aca="true">MEDIAN(8,16,ROUND(NORMINV(RAND(),Coefficients!$B$20,Coefficients!$B$21),0))</f>
        <v>11</v>
      </c>
      <c r="D2440" s="0" t="n">
        <f aca="true">CRITBINOM($C2440,MIN(0.75,Matchup!$B$39*$B2440),RAND())</f>
        <v>3</v>
      </c>
      <c r="E2440" s="0" t="n">
        <f aca="true">CRITBINOM(D2440,Coefficients!$B$30,RAND())</f>
        <v>1</v>
      </c>
      <c r="F2440" s="0" t="n">
        <f aca="true">CRITBINOM(E2440,Coefficients!$B$31,RAND())</f>
        <v>0</v>
      </c>
      <c r="G2440" s="0" t="n">
        <f aca="true">CRITBINOM(MAX(0,D2440-E2440),1-Coefficients!$B$32,RAND())</f>
        <v>0</v>
      </c>
      <c r="H2440" s="0" t="n">
        <f aca="true">CRITBINOM(MAX(0,$C2440-D2440),MIN(0.6,Matchup!$B$40*SQRT($B2440)/(1-MIN(0.75,Matchup!$B$39*$B2440))),RAND())</f>
        <v>4</v>
      </c>
      <c r="I2440" s="0" t="n">
        <f aca="false">6*D2440+(D2440-E2440-G2440)+2*F2440+3*H2440</f>
        <v>32</v>
      </c>
      <c r="J2440" s="0" t="n">
        <f aca="true">CRITBINOM($C2440,MIN(0.75,Matchup!$C$39*$B2440),RAND())</f>
        <v>4</v>
      </c>
      <c r="K2440" s="0" t="n">
        <f aca="true">CRITBINOM(J2440,Coefficients!$B$30,RAND())</f>
        <v>0</v>
      </c>
      <c r="L2440" s="0" t="n">
        <f aca="true">CRITBINOM(K2440,Coefficients!$B$31,RAND())</f>
        <v>0</v>
      </c>
      <c r="M2440" s="0" t="n">
        <f aca="true">CRITBINOM(MAX(0,J2440-K2440),1-Coefficients!$B$32,RAND())</f>
        <v>0</v>
      </c>
      <c r="N2440" s="0" t="n">
        <f aca="true">CRITBINOM(MAX(0,$C2440-J2440),MIN(0.6,Matchup!$C$40*SQRT($B2440)/(1-MIN(0.75,Matchup!$C$39*$B2440))),RAND())</f>
        <v>1</v>
      </c>
      <c r="O2440" s="0" t="n">
        <f aca="false">6*J2440+(J2440-K2440-M2440)+2*L2440+3*N2440</f>
        <v>31</v>
      </c>
      <c r="P2440" s="0" t="n">
        <f aca="true">RAND()</f>
        <v>0.457893764263993</v>
      </c>
      <c r="Q2440" s="0" t="n">
        <f aca="true">RAND()</f>
        <v>0.208361895919155</v>
      </c>
      <c r="R2440" s="0" t="n">
        <f aca="false">IF($I2440&lt;&gt;$O2440,0,IF(P2440&lt;Matchup!$B$39,7,IF(P2440&lt;Matchup!$B$39+Matchup!$B$40,3,0)))</f>
        <v>0</v>
      </c>
      <c r="S2440" s="0" t="n">
        <f aca="false">IF($I2440&lt;&gt;$O2440,0,IF(Q2440&lt;Matchup!$C$39,7,IF(Q2440&lt;Matchup!$C$39+Matchup!$C$40,3,0)))</f>
        <v>0</v>
      </c>
      <c r="T2440" s="0" t="n">
        <f aca="false">I2440+R2440</f>
        <v>32</v>
      </c>
      <c r="U2440" s="0" t="n">
        <f aca="false">O2440+S2440</f>
        <v>31</v>
      </c>
      <c r="V2440" s="0" t="n">
        <f aca="false">T2440-U2440</f>
        <v>1</v>
      </c>
      <c r="W2440" s="0" t="n">
        <f aca="false">T2440+U2440</f>
        <v>63</v>
      </c>
    </row>
    <row r="2441" customFormat="false" ht="15" hidden="false" customHeight="false" outlineLevel="0" collapsed="false">
      <c r="A2441" s="0" t="n">
        <v>2438</v>
      </c>
      <c r="B2441" s="0" t="n">
        <f aca="true">NORMINV(RAND(),1,Coefficients!$B$22)</f>
        <v>0.95807190563663</v>
      </c>
      <c r="C2441" s="0" t="n">
        <f aca="true">MEDIAN(8,16,ROUND(NORMINV(RAND(),Coefficients!$B$20,Coefficients!$B$21),0))</f>
        <v>12</v>
      </c>
      <c r="D2441" s="0" t="n">
        <f aca="true">CRITBINOM($C2441,MIN(0.75,Matchup!$B$39*$B2441),RAND())</f>
        <v>4</v>
      </c>
      <c r="E2441" s="0" t="n">
        <f aca="true">CRITBINOM(D2441,Coefficients!$B$30,RAND())</f>
        <v>1</v>
      </c>
      <c r="F2441" s="0" t="n">
        <f aca="true">CRITBINOM(E2441,Coefficients!$B$31,RAND())</f>
        <v>0</v>
      </c>
      <c r="G2441" s="0" t="n">
        <f aca="true">CRITBINOM(MAX(0,D2441-E2441),1-Coefficients!$B$32,RAND())</f>
        <v>0</v>
      </c>
      <c r="H2441" s="0" t="n">
        <f aca="true">CRITBINOM(MAX(0,$C2441-D2441),MIN(0.6,Matchup!$B$40*SQRT($B2441)/(1-MIN(0.75,Matchup!$B$39*$B2441))),RAND())</f>
        <v>0</v>
      </c>
      <c r="I2441" s="0" t="n">
        <f aca="false">6*D2441+(D2441-E2441-G2441)+2*F2441+3*H2441</f>
        <v>27</v>
      </c>
      <c r="J2441" s="0" t="n">
        <f aca="true">CRITBINOM($C2441,MIN(0.75,Matchup!$C$39*$B2441),RAND())</f>
        <v>1</v>
      </c>
      <c r="K2441" s="0" t="n">
        <f aca="true">CRITBINOM(J2441,Coefficients!$B$30,RAND())</f>
        <v>0</v>
      </c>
      <c r="L2441" s="0" t="n">
        <f aca="true">CRITBINOM(K2441,Coefficients!$B$31,RAND())</f>
        <v>0</v>
      </c>
      <c r="M2441" s="0" t="n">
        <f aca="true">CRITBINOM(MAX(0,J2441-K2441),1-Coefficients!$B$32,RAND())</f>
        <v>0</v>
      </c>
      <c r="N2441" s="0" t="n">
        <f aca="true">CRITBINOM(MAX(0,$C2441-J2441),MIN(0.6,Matchup!$C$40*SQRT($B2441)/(1-MIN(0.75,Matchup!$C$39*$B2441))),RAND())</f>
        <v>4</v>
      </c>
      <c r="O2441" s="0" t="n">
        <f aca="false">6*J2441+(J2441-K2441-M2441)+2*L2441+3*N2441</f>
        <v>19</v>
      </c>
      <c r="P2441" s="0" t="n">
        <f aca="true">RAND()</f>
        <v>0.83709561050645</v>
      </c>
      <c r="Q2441" s="0" t="n">
        <f aca="true">RAND()</f>
        <v>0.124983629691002</v>
      </c>
      <c r="R2441" s="0" t="n">
        <f aca="false">IF($I2441&lt;&gt;$O2441,0,IF(P2441&lt;Matchup!$B$39,7,IF(P2441&lt;Matchup!$B$39+Matchup!$B$40,3,0)))</f>
        <v>0</v>
      </c>
      <c r="S2441" s="0" t="n">
        <f aca="false">IF($I2441&lt;&gt;$O2441,0,IF(Q2441&lt;Matchup!$C$39,7,IF(Q2441&lt;Matchup!$C$39+Matchup!$C$40,3,0)))</f>
        <v>0</v>
      </c>
      <c r="T2441" s="0" t="n">
        <f aca="false">I2441+R2441</f>
        <v>27</v>
      </c>
      <c r="U2441" s="0" t="n">
        <f aca="false">O2441+S2441</f>
        <v>19</v>
      </c>
      <c r="V2441" s="0" t="n">
        <f aca="false">T2441-U2441</f>
        <v>8</v>
      </c>
      <c r="W2441" s="0" t="n">
        <f aca="false">T2441+U2441</f>
        <v>46</v>
      </c>
    </row>
    <row r="2442" customFormat="false" ht="15" hidden="false" customHeight="false" outlineLevel="0" collapsed="false">
      <c r="A2442" s="0" t="n">
        <v>2439</v>
      </c>
      <c r="B2442" s="0" t="n">
        <f aca="true">NORMINV(RAND(),1,Coefficients!$B$22)</f>
        <v>0.878958268541016</v>
      </c>
      <c r="C2442" s="0" t="n">
        <f aca="true">MEDIAN(8,16,ROUND(NORMINV(RAND(),Coefficients!$B$20,Coefficients!$B$21),0))</f>
        <v>11</v>
      </c>
      <c r="D2442" s="0" t="n">
        <f aca="true">CRITBINOM($C2442,MIN(0.75,Matchup!$B$39*$B2442),RAND())</f>
        <v>3</v>
      </c>
      <c r="E2442" s="0" t="n">
        <f aca="true">CRITBINOM(D2442,Coefficients!$B$30,RAND())</f>
        <v>0</v>
      </c>
      <c r="F2442" s="0" t="n">
        <f aca="true">CRITBINOM(E2442,Coefficients!$B$31,RAND())</f>
        <v>0</v>
      </c>
      <c r="G2442" s="0" t="n">
        <f aca="true">CRITBINOM(MAX(0,D2442-E2442),1-Coefficients!$B$32,RAND())</f>
        <v>0</v>
      </c>
      <c r="H2442" s="0" t="n">
        <f aca="true">CRITBINOM(MAX(0,$C2442-D2442),MIN(0.6,Matchup!$B$40*SQRT($B2442)/(1-MIN(0.75,Matchup!$B$39*$B2442))),RAND())</f>
        <v>3</v>
      </c>
      <c r="I2442" s="0" t="n">
        <f aca="false">6*D2442+(D2442-E2442-G2442)+2*F2442+3*H2442</f>
        <v>30</v>
      </c>
      <c r="J2442" s="0" t="n">
        <f aca="true">CRITBINOM($C2442,MIN(0.75,Matchup!$C$39*$B2442),RAND())</f>
        <v>2</v>
      </c>
      <c r="K2442" s="0" t="n">
        <f aca="true">CRITBINOM(J2442,Coefficients!$B$30,RAND())</f>
        <v>0</v>
      </c>
      <c r="L2442" s="0" t="n">
        <f aca="true">CRITBINOM(K2442,Coefficients!$B$31,RAND())</f>
        <v>0</v>
      </c>
      <c r="M2442" s="0" t="n">
        <f aca="true">CRITBINOM(MAX(0,J2442-K2442),1-Coefficients!$B$32,RAND())</f>
        <v>0</v>
      </c>
      <c r="N2442" s="0" t="n">
        <f aca="true">CRITBINOM(MAX(0,$C2442-J2442),MIN(0.6,Matchup!$C$40*SQRT($B2442)/(1-MIN(0.75,Matchup!$C$39*$B2442))),RAND())</f>
        <v>2</v>
      </c>
      <c r="O2442" s="0" t="n">
        <f aca="false">6*J2442+(J2442-K2442-M2442)+2*L2442+3*N2442</f>
        <v>20</v>
      </c>
      <c r="P2442" s="0" t="n">
        <f aca="true">RAND()</f>
        <v>0.262849488334628</v>
      </c>
      <c r="Q2442" s="0" t="n">
        <f aca="true">RAND()</f>
        <v>0.900474207675902</v>
      </c>
      <c r="R2442" s="0" t="n">
        <f aca="false">IF($I2442&lt;&gt;$O2442,0,IF(P2442&lt;Matchup!$B$39,7,IF(P2442&lt;Matchup!$B$39+Matchup!$B$40,3,0)))</f>
        <v>0</v>
      </c>
      <c r="S2442" s="0" t="n">
        <f aca="false">IF($I2442&lt;&gt;$O2442,0,IF(Q2442&lt;Matchup!$C$39,7,IF(Q2442&lt;Matchup!$C$39+Matchup!$C$40,3,0)))</f>
        <v>0</v>
      </c>
      <c r="T2442" s="0" t="n">
        <f aca="false">I2442+R2442</f>
        <v>30</v>
      </c>
      <c r="U2442" s="0" t="n">
        <f aca="false">O2442+S2442</f>
        <v>20</v>
      </c>
      <c r="V2442" s="0" t="n">
        <f aca="false">T2442-U2442</f>
        <v>10</v>
      </c>
      <c r="W2442" s="0" t="n">
        <f aca="false">T2442+U2442</f>
        <v>50</v>
      </c>
    </row>
    <row r="2443" customFormat="false" ht="15" hidden="false" customHeight="false" outlineLevel="0" collapsed="false">
      <c r="A2443" s="0" t="n">
        <v>2440</v>
      </c>
      <c r="B2443" s="0" t="n">
        <f aca="true">NORMINV(RAND(),1,Coefficients!$B$22)</f>
        <v>1.01676786791944</v>
      </c>
      <c r="C2443" s="0" t="n">
        <f aca="true">MEDIAN(8,16,ROUND(NORMINV(RAND(),Coefficients!$B$20,Coefficients!$B$21),0))</f>
        <v>10</v>
      </c>
      <c r="D2443" s="0" t="n">
        <f aca="true">CRITBINOM($C2443,MIN(0.75,Matchup!$B$39*$B2443),RAND())</f>
        <v>1</v>
      </c>
      <c r="E2443" s="0" t="n">
        <f aca="true">CRITBINOM(D2443,Coefficients!$B$30,RAND())</f>
        <v>0</v>
      </c>
      <c r="F2443" s="0" t="n">
        <f aca="true">CRITBINOM(E2443,Coefficients!$B$31,RAND())</f>
        <v>0</v>
      </c>
      <c r="G2443" s="0" t="n">
        <f aca="true">CRITBINOM(MAX(0,D2443-E2443),1-Coefficients!$B$32,RAND())</f>
        <v>0</v>
      </c>
      <c r="H2443" s="0" t="n">
        <f aca="true">CRITBINOM(MAX(0,$C2443-D2443),MIN(0.6,Matchup!$B$40*SQRT($B2443)/(1-MIN(0.75,Matchup!$B$39*$B2443))),RAND())</f>
        <v>1</v>
      </c>
      <c r="I2443" s="0" t="n">
        <f aca="false">6*D2443+(D2443-E2443-G2443)+2*F2443+3*H2443</f>
        <v>10</v>
      </c>
      <c r="J2443" s="0" t="n">
        <f aca="true">CRITBINOM($C2443,MIN(0.75,Matchup!$C$39*$B2443),RAND())</f>
        <v>3</v>
      </c>
      <c r="K2443" s="0" t="n">
        <f aca="true">CRITBINOM(J2443,Coefficients!$B$30,RAND())</f>
        <v>0</v>
      </c>
      <c r="L2443" s="0" t="n">
        <f aca="true">CRITBINOM(K2443,Coefficients!$B$31,RAND())</f>
        <v>0</v>
      </c>
      <c r="M2443" s="0" t="n">
        <f aca="true">CRITBINOM(MAX(0,J2443-K2443),1-Coefficients!$B$32,RAND())</f>
        <v>1</v>
      </c>
      <c r="N2443" s="0" t="n">
        <f aca="true">CRITBINOM(MAX(0,$C2443-J2443),MIN(0.6,Matchup!$C$40*SQRT($B2443)/(1-MIN(0.75,Matchup!$C$39*$B2443))),RAND())</f>
        <v>0</v>
      </c>
      <c r="O2443" s="0" t="n">
        <f aca="false">6*J2443+(J2443-K2443-M2443)+2*L2443+3*N2443</f>
        <v>20</v>
      </c>
      <c r="P2443" s="0" t="n">
        <f aca="true">RAND()</f>
        <v>0.403575036188597</v>
      </c>
      <c r="Q2443" s="0" t="n">
        <f aca="true">RAND()</f>
        <v>0.616693324475107</v>
      </c>
      <c r="R2443" s="0" t="n">
        <f aca="false">IF($I2443&lt;&gt;$O2443,0,IF(P2443&lt;Matchup!$B$39,7,IF(P2443&lt;Matchup!$B$39+Matchup!$B$40,3,0)))</f>
        <v>0</v>
      </c>
      <c r="S2443" s="0" t="n">
        <f aca="false">IF($I2443&lt;&gt;$O2443,0,IF(Q2443&lt;Matchup!$C$39,7,IF(Q2443&lt;Matchup!$C$39+Matchup!$C$40,3,0)))</f>
        <v>0</v>
      </c>
      <c r="T2443" s="0" t="n">
        <f aca="false">I2443+R2443</f>
        <v>10</v>
      </c>
      <c r="U2443" s="0" t="n">
        <f aca="false">O2443+S2443</f>
        <v>20</v>
      </c>
      <c r="V2443" s="0" t="n">
        <f aca="false">T2443-U2443</f>
        <v>-10</v>
      </c>
      <c r="W2443" s="0" t="n">
        <f aca="false">T2443+U2443</f>
        <v>30</v>
      </c>
    </row>
    <row r="2444" customFormat="false" ht="15" hidden="false" customHeight="false" outlineLevel="0" collapsed="false">
      <c r="A2444" s="0" t="n">
        <v>2441</v>
      </c>
      <c r="B2444" s="0" t="n">
        <f aca="true">NORMINV(RAND(),1,Coefficients!$B$22)</f>
        <v>1.06140670695227</v>
      </c>
      <c r="C2444" s="0" t="n">
        <f aca="true">MEDIAN(8,16,ROUND(NORMINV(RAND(),Coefficients!$B$20,Coefficients!$B$21),0))</f>
        <v>14</v>
      </c>
      <c r="D2444" s="0" t="n">
        <f aca="true">CRITBINOM($C2444,MIN(0.75,Matchup!$B$39*$B2444),RAND())</f>
        <v>3</v>
      </c>
      <c r="E2444" s="0" t="n">
        <f aca="true">CRITBINOM(D2444,Coefficients!$B$30,RAND())</f>
        <v>0</v>
      </c>
      <c r="F2444" s="0" t="n">
        <f aca="true">CRITBINOM(E2444,Coefficients!$B$31,RAND())</f>
        <v>0</v>
      </c>
      <c r="G2444" s="0" t="n">
        <f aca="true">CRITBINOM(MAX(0,D2444-E2444),1-Coefficients!$B$32,RAND())</f>
        <v>0</v>
      </c>
      <c r="H2444" s="0" t="n">
        <f aca="true">CRITBINOM(MAX(0,$C2444-D2444),MIN(0.6,Matchup!$B$40*SQRT($B2444)/(1-MIN(0.75,Matchup!$B$39*$B2444))),RAND())</f>
        <v>2</v>
      </c>
      <c r="I2444" s="0" t="n">
        <f aca="false">6*D2444+(D2444-E2444-G2444)+2*F2444+3*H2444</f>
        <v>27</v>
      </c>
      <c r="J2444" s="0" t="n">
        <f aca="true">CRITBINOM($C2444,MIN(0.75,Matchup!$C$39*$B2444),RAND())</f>
        <v>3</v>
      </c>
      <c r="K2444" s="0" t="n">
        <f aca="true">CRITBINOM(J2444,Coefficients!$B$30,RAND())</f>
        <v>0</v>
      </c>
      <c r="L2444" s="0" t="n">
        <f aca="true">CRITBINOM(K2444,Coefficients!$B$31,RAND())</f>
        <v>0</v>
      </c>
      <c r="M2444" s="0" t="n">
        <f aca="true">CRITBINOM(MAX(0,J2444-K2444),1-Coefficients!$B$32,RAND())</f>
        <v>0</v>
      </c>
      <c r="N2444" s="0" t="n">
        <f aca="true">CRITBINOM(MAX(0,$C2444-J2444),MIN(0.6,Matchup!$C$40*SQRT($B2444)/(1-MIN(0.75,Matchup!$C$39*$B2444))),RAND())</f>
        <v>3</v>
      </c>
      <c r="O2444" s="0" t="n">
        <f aca="false">6*J2444+(J2444-K2444-M2444)+2*L2444+3*N2444</f>
        <v>30</v>
      </c>
      <c r="P2444" s="0" t="n">
        <f aca="true">RAND()</f>
        <v>0.380246384084097</v>
      </c>
      <c r="Q2444" s="0" t="n">
        <f aca="true">RAND()</f>
        <v>0.561753663876224</v>
      </c>
      <c r="R2444" s="0" t="n">
        <f aca="false">IF($I2444&lt;&gt;$O2444,0,IF(P2444&lt;Matchup!$B$39,7,IF(P2444&lt;Matchup!$B$39+Matchup!$B$40,3,0)))</f>
        <v>0</v>
      </c>
      <c r="S2444" s="0" t="n">
        <f aca="false">IF($I2444&lt;&gt;$O2444,0,IF(Q2444&lt;Matchup!$C$39,7,IF(Q2444&lt;Matchup!$C$39+Matchup!$C$40,3,0)))</f>
        <v>0</v>
      </c>
      <c r="T2444" s="0" t="n">
        <f aca="false">I2444+R2444</f>
        <v>27</v>
      </c>
      <c r="U2444" s="0" t="n">
        <f aca="false">O2444+S2444</f>
        <v>30</v>
      </c>
      <c r="V2444" s="0" t="n">
        <f aca="false">T2444-U2444</f>
        <v>-3</v>
      </c>
      <c r="W2444" s="0" t="n">
        <f aca="false">T2444+U2444</f>
        <v>57</v>
      </c>
    </row>
    <row r="2445" customFormat="false" ht="15" hidden="false" customHeight="false" outlineLevel="0" collapsed="false">
      <c r="A2445" s="0" t="n">
        <v>2442</v>
      </c>
      <c r="B2445" s="0" t="n">
        <f aca="true">NORMINV(RAND(),1,Coefficients!$B$22)</f>
        <v>1.00658994644315</v>
      </c>
      <c r="C2445" s="0" t="n">
        <f aca="true">MEDIAN(8,16,ROUND(NORMINV(RAND(),Coefficients!$B$20,Coefficients!$B$21),0))</f>
        <v>12</v>
      </c>
      <c r="D2445" s="0" t="n">
        <f aca="true">CRITBINOM($C2445,MIN(0.75,Matchup!$B$39*$B2445),RAND())</f>
        <v>5</v>
      </c>
      <c r="E2445" s="0" t="n">
        <f aca="true">CRITBINOM(D2445,Coefficients!$B$30,RAND())</f>
        <v>0</v>
      </c>
      <c r="F2445" s="0" t="n">
        <f aca="true">CRITBINOM(E2445,Coefficients!$B$31,RAND())</f>
        <v>0</v>
      </c>
      <c r="G2445" s="0" t="n">
        <f aca="true">CRITBINOM(MAX(0,D2445-E2445),1-Coefficients!$B$32,RAND())</f>
        <v>0</v>
      </c>
      <c r="H2445" s="0" t="n">
        <f aca="true">CRITBINOM(MAX(0,$C2445-D2445),MIN(0.6,Matchup!$B$40*SQRT($B2445)/(1-MIN(0.75,Matchup!$B$39*$B2445))),RAND())</f>
        <v>2</v>
      </c>
      <c r="I2445" s="0" t="n">
        <f aca="false">6*D2445+(D2445-E2445-G2445)+2*F2445+3*H2445</f>
        <v>41</v>
      </c>
      <c r="J2445" s="0" t="n">
        <f aca="true">CRITBINOM($C2445,MIN(0.75,Matchup!$C$39*$B2445),RAND())</f>
        <v>3</v>
      </c>
      <c r="K2445" s="0" t="n">
        <f aca="true">CRITBINOM(J2445,Coefficients!$B$30,RAND())</f>
        <v>1</v>
      </c>
      <c r="L2445" s="0" t="n">
        <f aca="true">CRITBINOM(K2445,Coefficients!$B$31,RAND())</f>
        <v>0</v>
      </c>
      <c r="M2445" s="0" t="n">
        <f aca="true">CRITBINOM(MAX(0,J2445-K2445),1-Coefficients!$B$32,RAND())</f>
        <v>0</v>
      </c>
      <c r="N2445" s="0" t="n">
        <f aca="true">CRITBINOM(MAX(0,$C2445-J2445),MIN(0.6,Matchup!$C$40*SQRT($B2445)/(1-MIN(0.75,Matchup!$C$39*$B2445))),RAND())</f>
        <v>2</v>
      </c>
      <c r="O2445" s="0" t="n">
        <f aca="false">6*J2445+(J2445-K2445-M2445)+2*L2445+3*N2445</f>
        <v>26</v>
      </c>
      <c r="P2445" s="0" t="n">
        <f aca="true">RAND()</f>
        <v>0.265967860157793</v>
      </c>
      <c r="Q2445" s="0" t="n">
        <f aca="true">RAND()</f>
        <v>0.278971275260285</v>
      </c>
      <c r="R2445" s="0" t="n">
        <f aca="false">IF($I2445&lt;&gt;$O2445,0,IF(P2445&lt;Matchup!$B$39,7,IF(P2445&lt;Matchup!$B$39+Matchup!$B$40,3,0)))</f>
        <v>0</v>
      </c>
      <c r="S2445" s="0" t="n">
        <f aca="false">IF($I2445&lt;&gt;$O2445,0,IF(Q2445&lt;Matchup!$C$39,7,IF(Q2445&lt;Matchup!$C$39+Matchup!$C$40,3,0)))</f>
        <v>0</v>
      </c>
      <c r="T2445" s="0" t="n">
        <f aca="false">I2445+R2445</f>
        <v>41</v>
      </c>
      <c r="U2445" s="0" t="n">
        <f aca="false">O2445+S2445</f>
        <v>26</v>
      </c>
      <c r="V2445" s="0" t="n">
        <f aca="false">T2445-U2445</f>
        <v>15</v>
      </c>
      <c r="W2445" s="0" t="n">
        <f aca="false">T2445+U2445</f>
        <v>67</v>
      </c>
    </row>
    <row r="2446" customFormat="false" ht="15" hidden="false" customHeight="false" outlineLevel="0" collapsed="false">
      <c r="A2446" s="0" t="n">
        <v>2443</v>
      </c>
      <c r="B2446" s="0" t="n">
        <f aca="true">NORMINV(RAND(),1,Coefficients!$B$22)</f>
        <v>0.969914322174413</v>
      </c>
      <c r="C2446" s="0" t="n">
        <f aca="true">MEDIAN(8,16,ROUND(NORMINV(RAND(),Coefficients!$B$20,Coefficients!$B$21),0))</f>
        <v>11</v>
      </c>
      <c r="D2446" s="0" t="n">
        <f aca="true">CRITBINOM($C2446,MIN(0.75,Matchup!$B$39*$B2446),RAND())</f>
        <v>6</v>
      </c>
      <c r="E2446" s="0" t="n">
        <f aca="true">CRITBINOM(D2446,Coefficients!$B$30,RAND())</f>
        <v>1</v>
      </c>
      <c r="F2446" s="0" t="n">
        <f aca="true">CRITBINOM(E2446,Coefficients!$B$31,RAND())</f>
        <v>0</v>
      </c>
      <c r="G2446" s="0" t="n">
        <f aca="true">CRITBINOM(MAX(0,D2446-E2446),1-Coefficients!$B$32,RAND())</f>
        <v>0</v>
      </c>
      <c r="H2446" s="0" t="n">
        <f aca="true">CRITBINOM(MAX(0,$C2446-D2446),MIN(0.6,Matchup!$B$40*SQRT($B2446)/(1-MIN(0.75,Matchup!$B$39*$B2446))),RAND())</f>
        <v>1</v>
      </c>
      <c r="I2446" s="0" t="n">
        <f aca="false">6*D2446+(D2446-E2446-G2446)+2*F2446+3*H2446</f>
        <v>44</v>
      </c>
      <c r="J2446" s="0" t="n">
        <f aca="true">CRITBINOM($C2446,MIN(0.75,Matchup!$C$39*$B2446),RAND())</f>
        <v>2</v>
      </c>
      <c r="K2446" s="0" t="n">
        <f aca="true">CRITBINOM(J2446,Coefficients!$B$30,RAND())</f>
        <v>1</v>
      </c>
      <c r="L2446" s="0" t="n">
        <f aca="true">CRITBINOM(K2446,Coefficients!$B$31,RAND())</f>
        <v>1</v>
      </c>
      <c r="M2446" s="0" t="n">
        <f aca="true">CRITBINOM(MAX(0,J2446-K2446),1-Coefficients!$B$32,RAND())</f>
        <v>0</v>
      </c>
      <c r="N2446" s="0" t="n">
        <f aca="true">CRITBINOM(MAX(0,$C2446-J2446),MIN(0.6,Matchup!$C$40*SQRT($B2446)/(1-MIN(0.75,Matchup!$C$39*$B2446))),RAND())</f>
        <v>0</v>
      </c>
      <c r="O2446" s="0" t="n">
        <f aca="false">6*J2446+(J2446-K2446-M2446)+2*L2446+3*N2446</f>
        <v>15</v>
      </c>
      <c r="P2446" s="0" t="n">
        <f aca="true">RAND()</f>
        <v>0.800290522193397</v>
      </c>
      <c r="Q2446" s="0" t="n">
        <f aca="true">RAND()</f>
        <v>0.333972378315819</v>
      </c>
      <c r="R2446" s="0" t="n">
        <f aca="false">IF($I2446&lt;&gt;$O2446,0,IF(P2446&lt;Matchup!$B$39,7,IF(P2446&lt;Matchup!$B$39+Matchup!$B$40,3,0)))</f>
        <v>0</v>
      </c>
      <c r="S2446" s="0" t="n">
        <f aca="false">IF($I2446&lt;&gt;$O2446,0,IF(Q2446&lt;Matchup!$C$39,7,IF(Q2446&lt;Matchup!$C$39+Matchup!$C$40,3,0)))</f>
        <v>0</v>
      </c>
      <c r="T2446" s="0" t="n">
        <f aca="false">I2446+R2446</f>
        <v>44</v>
      </c>
      <c r="U2446" s="0" t="n">
        <f aca="false">O2446+S2446</f>
        <v>15</v>
      </c>
      <c r="V2446" s="0" t="n">
        <f aca="false">T2446-U2446</f>
        <v>29</v>
      </c>
      <c r="W2446" s="0" t="n">
        <f aca="false">T2446+U2446</f>
        <v>59</v>
      </c>
    </row>
    <row r="2447" customFormat="false" ht="15" hidden="false" customHeight="false" outlineLevel="0" collapsed="false">
      <c r="A2447" s="0" t="n">
        <v>2444</v>
      </c>
      <c r="B2447" s="0" t="n">
        <f aca="true">NORMINV(RAND(),1,Coefficients!$B$22)</f>
        <v>0.951130245481508</v>
      </c>
      <c r="C2447" s="0" t="n">
        <f aca="true">MEDIAN(8,16,ROUND(NORMINV(RAND(),Coefficients!$B$20,Coefficients!$B$21),0))</f>
        <v>11</v>
      </c>
      <c r="D2447" s="0" t="n">
        <f aca="true">CRITBINOM($C2447,MIN(0.75,Matchup!$B$39*$B2447),RAND())</f>
        <v>4</v>
      </c>
      <c r="E2447" s="0" t="n">
        <f aca="true">CRITBINOM(D2447,Coefficients!$B$30,RAND())</f>
        <v>0</v>
      </c>
      <c r="F2447" s="0" t="n">
        <f aca="true">CRITBINOM(E2447,Coefficients!$B$31,RAND())</f>
        <v>0</v>
      </c>
      <c r="G2447" s="0" t="n">
        <f aca="true">CRITBINOM(MAX(0,D2447-E2447),1-Coefficients!$B$32,RAND())</f>
        <v>0</v>
      </c>
      <c r="H2447" s="0" t="n">
        <f aca="true">CRITBINOM(MAX(0,$C2447-D2447),MIN(0.6,Matchup!$B$40*SQRT($B2447)/(1-MIN(0.75,Matchup!$B$39*$B2447))),RAND())</f>
        <v>0</v>
      </c>
      <c r="I2447" s="0" t="n">
        <f aca="false">6*D2447+(D2447-E2447-G2447)+2*F2447+3*H2447</f>
        <v>28</v>
      </c>
      <c r="J2447" s="0" t="n">
        <f aca="true">CRITBINOM($C2447,MIN(0.75,Matchup!$C$39*$B2447),RAND())</f>
        <v>2</v>
      </c>
      <c r="K2447" s="0" t="n">
        <f aca="true">CRITBINOM(J2447,Coefficients!$B$30,RAND())</f>
        <v>0</v>
      </c>
      <c r="L2447" s="0" t="n">
        <f aca="true">CRITBINOM(K2447,Coefficients!$B$31,RAND())</f>
        <v>0</v>
      </c>
      <c r="M2447" s="0" t="n">
        <f aca="true">CRITBINOM(MAX(0,J2447-K2447),1-Coefficients!$B$32,RAND())</f>
        <v>0</v>
      </c>
      <c r="N2447" s="0" t="n">
        <f aca="true">CRITBINOM(MAX(0,$C2447-J2447),MIN(0.6,Matchup!$C$40*SQRT($B2447)/(1-MIN(0.75,Matchup!$C$39*$B2447))),RAND())</f>
        <v>0</v>
      </c>
      <c r="O2447" s="0" t="n">
        <f aca="false">6*J2447+(J2447-K2447-M2447)+2*L2447+3*N2447</f>
        <v>14</v>
      </c>
      <c r="P2447" s="0" t="n">
        <f aca="true">RAND()</f>
        <v>0.363463158545518</v>
      </c>
      <c r="Q2447" s="0" t="n">
        <f aca="true">RAND()</f>
        <v>0.936986485411397</v>
      </c>
      <c r="R2447" s="0" t="n">
        <f aca="false">IF($I2447&lt;&gt;$O2447,0,IF(P2447&lt;Matchup!$B$39,7,IF(P2447&lt;Matchup!$B$39+Matchup!$B$40,3,0)))</f>
        <v>0</v>
      </c>
      <c r="S2447" s="0" t="n">
        <f aca="false">IF($I2447&lt;&gt;$O2447,0,IF(Q2447&lt;Matchup!$C$39,7,IF(Q2447&lt;Matchup!$C$39+Matchup!$C$40,3,0)))</f>
        <v>0</v>
      </c>
      <c r="T2447" s="0" t="n">
        <f aca="false">I2447+R2447</f>
        <v>28</v>
      </c>
      <c r="U2447" s="0" t="n">
        <f aca="false">O2447+S2447</f>
        <v>14</v>
      </c>
      <c r="V2447" s="0" t="n">
        <f aca="false">T2447-U2447</f>
        <v>14</v>
      </c>
      <c r="W2447" s="0" t="n">
        <f aca="false">T2447+U2447</f>
        <v>42</v>
      </c>
    </row>
    <row r="2448" customFormat="false" ht="15" hidden="false" customHeight="false" outlineLevel="0" collapsed="false">
      <c r="A2448" s="0" t="n">
        <v>2445</v>
      </c>
      <c r="B2448" s="0" t="n">
        <f aca="true">NORMINV(RAND(),1,Coefficients!$B$22)</f>
        <v>1.02919952451172</v>
      </c>
      <c r="C2448" s="0" t="n">
        <f aca="true">MEDIAN(8,16,ROUND(NORMINV(RAND(),Coefficients!$B$20,Coefficients!$B$21),0))</f>
        <v>9</v>
      </c>
      <c r="D2448" s="0" t="n">
        <f aca="true">CRITBINOM($C2448,MIN(0.75,Matchup!$B$39*$B2448),RAND())</f>
        <v>5</v>
      </c>
      <c r="E2448" s="0" t="n">
        <f aca="true">CRITBINOM(D2448,Coefficients!$B$30,RAND())</f>
        <v>0</v>
      </c>
      <c r="F2448" s="0" t="n">
        <f aca="true">CRITBINOM(E2448,Coefficients!$B$31,RAND())</f>
        <v>0</v>
      </c>
      <c r="G2448" s="0" t="n">
        <f aca="true">CRITBINOM(MAX(0,D2448-E2448),1-Coefficients!$B$32,RAND())</f>
        <v>0</v>
      </c>
      <c r="H2448" s="0" t="n">
        <f aca="true">CRITBINOM(MAX(0,$C2448-D2448),MIN(0.6,Matchup!$B$40*SQRT($B2448)/(1-MIN(0.75,Matchup!$B$39*$B2448))),RAND())</f>
        <v>1</v>
      </c>
      <c r="I2448" s="0" t="n">
        <f aca="false">6*D2448+(D2448-E2448-G2448)+2*F2448+3*H2448</f>
        <v>38</v>
      </c>
      <c r="J2448" s="0" t="n">
        <f aca="true">CRITBINOM($C2448,MIN(0.75,Matchup!$C$39*$B2448),RAND())</f>
        <v>4</v>
      </c>
      <c r="K2448" s="0" t="n">
        <f aca="true">CRITBINOM(J2448,Coefficients!$B$30,RAND())</f>
        <v>0</v>
      </c>
      <c r="L2448" s="0" t="n">
        <f aca="true">CRITBINOM(K2448,Coefficients!$B$31,RAND())</f>
        <v>0</v>
      </c>
      <c r="M2448" s="0" t="n">
        <f aca="true">CRITBINOM(MAX(0,J2448-K2448),1-Coefficients!$B$32,RAND())</f>
        <v>1</v>
      </c>
      <c r="N2448" s="0" t="n">
        <f aca="true">CRITBINOM(MAX(0,$C2448-J2448),MIN(0.6,Matchup!$C$40*SQRT($B2448)/(1-MIN(0.75,Matchup!$C$39*$B2448))),RAND())</f>
        <v>2</v>
      </c>
      <c r="O2448" s="0" t="n">
        <f aca="false">6*J2448+(J2448-K2448-M2448)+2*L2448+3*N2448</f>
        <v>33</v>
      </c>
      <c r="P2448" s="0" t="n">
        <f aca="true">RAND()</f>
        <v>0.042888753854932</v>
      </c>
      <c r="Q2448" s="0" t="n">
        <f aca="true">RAND()</f>
        <v>0.430457502972084</v>
      </c>
      <c r="R2448" s="0" t="n">
        <f aca="false">IF($I2448&lt;&gt;$O2448,0,IF(P2448&lt;Matchup!$B$39,7,IF(P2448&lt;Matchup!$B$39+Matchup!$B$40,3,0)))</f>
        <v>0</v>
      </c>
      <c r="S2448" s="0" t="n">
        <f aca="false">IF($I2448&lt;&gt;$O2448,0,IF(Q2448&lt;Matchup!$C$39,7,IF(Q2448&lt;Matchup!$C$39+Matchup!$C$40,3,0)))</f>
        <v>0</v>
      </c>
      <c r="T2448" s="0" t="n">
        <f aca="false">I2448+R2448</f>
        <v>38</v>
      </c>
      <c r="U2448" s="0" t="n">
        <f aca="false">O2448+S2448</f>
        <v>33</v>
      </c>
      <c r="V2448" s="0" t="n">
        <f aca="false">T2448-U2448</f>
        <v>5</v>
      </c>
      <c r="W2448" s="0" t="n">
        <f aca="false">T2448+U2448</f>
        <v>71</v>
      </c>
    </row>
    <row r="2449" customFormat="false" ht="15" hidden="false" customHeight="false" outlineLevel="0" collapsed="false">
      <c r="A2449" s="0" t="n">
        <v>2446</v>
      </c>
      <c r="B2449" s="0" t="n">
        <f aca="true">NORMINV(RAND(),1,Coefficients!$B$22)</f>
        <v>1.03969334312282</v>
      </c>
      <c r="C2449" s="0" t="n">
        <f aca="true">MEDIAN(8,16,ROUND(NORMINV(RAND(),Coefficients!$B$20,Coefficients!$B$21),0))</f>
        <v>10</v>
      </c>
      <c r="D2449" s="0" t="n">
        <f aca="true">CRITBINOM($C2449,MIN(0.75,Matchup!$B$39*$B2449),RAND())</f>
        <v>2</v>
      </c>
      <c r="E2449" s="0" t="n">
        <f aca="true">CRITBINOM(D2449,Coefficients!$B$30,RAND())</f>
        <v>0</v>
      </c>
      <c r="F2449" s="0" t="n">
        <f aca="true">CRITBINOM(E2449,Coefficients!$B$31,RAND())</f>
        <v>0</v>
      </c>
      <c r="G2449" s="0" t="n">
        <f aca="true">CRITBINOM(MAX(0,D2449-E2449),1-Coefficients!$B$32,RAND())</f>
        <v>0</v>
      </c>
      <c r="H2449" s="0" t="n">
        <f aca="true">CRITBINOM(MAX(0,$C2449-D2449),MIN(0.6,Matchup!$B$40*SQRT($B2449)/(1-MIN(0.75,Matchup!$B$39*$B2449))),RAND())</f>
        <v>1</v>
      </c>
      <c r="I2449" s="0" t="n">
        <f aca="false">6*D2449+(D2449-E2449-G2449)+2*F2449+3*H2449</f>
        <v>17</v>
      </c>
      <c r="J2449" s="0" t="n">
        <f aca="true">CRITBINOM($C2449,MIN(0.75,Matchup!$C$39*$B2449),RAND())</f>
        <v>2</v>
      </c>
      <c r="K2449" s="0" t="n">
        <f aca="true">CRITBINOM(J2449,Coefficients!$B$30,RAND())</f>
        <v>0</v>
      </c>
      <c r="L2449" s="0" t="n">
        <f aca="true">CRITBINOM(K2449,Coefficients!$B$31,RAND())</f>
        <v>0</v>
      </c>
      <c r="M2449" s="0" t="n">
        <f aca="true">CRITBINOM(MAX(0,J2449-K2449),1-Coefficients!$B$32,RAND())</f>
        <v>0</v>
      </c>
      <c r="N2449" s="0" t="n">
        <f aca="true">CRITBINOM(MAX(0,$C2449-J2449),MIN(0.6,Matchup!$C$40*SQRT($B2449)/(1-MIN(0.75,Matchup!$C$39*$B2449))),RAND())</f>
        <v>0</v>
      </c>
      <c r="O2449" s="0" t="n">
        <f aca="false">6*J2449+(J2449-K2449-M2449)+2*L2449+3*N2449</f>
        <v>14</v>
      </c>
      <c r="P2449" s="0" t="n">
        <f aca="true">RAND()</f>
        <v>0.812662707107928</v>
      </c>
      <c r="Q2449" s="0" t="n">
        <f aca="true">RAND()</f>
        <v>0.029732718062144</v>
      </c>
      <c r="R2449" s="0" t="n">
        <f aca="false">IF($I2449&lt;&gt;$O2449,0,IF(P2449&lt;Matchup!$B$39,7,IF(P2449&lt;Matchup!$B$39+Matchup!$B$40,3,0)))</f>
        <v>0</v>
      </c>
      <c r="S2449" s="0" t="n">
        <f aca="false">IF($I2449&lt;&gt;$O2449,0,IF(Q2449&lt;Matchup!$C$39,7,IF(Q2449&lt;Matchup!$C$39+Matchup!$C$40,3,0)))</f>
        <v>0</v>
      </c>
      <c r="T2449" s="0" t="n">
        <f aca="false">I2449+R2449</f>
        <v>17</v>
      </c>
      <c r="U2449" s="0" t="n">
        <f aca="false">O2449+S2449</f>
        <v>14</v>
      </c>
      <c r="V2449" s="0" t="n">
        <f aca="false">T2449-U2449</f>
        <v>3</v>
      </c>
      <c r="W2449" s="0" t="n">
        <f aca="false">T2449+U2449</f>
        <v>31</v>
      </c>
    </row>
    <row r="2450" customFormat="false" ht="15" hidden="false" customHeight="false" outlineLevel="0" collapsed="false">
      <c r="A2450" s="0" t="n">
        <v>2447</v>
      </c>
      <c r="B2450" s="0" t="n">
        <f aca="true">NORMINV(RAND(),1,Coefficients!$B$22)</f>
        <v>1.08061930103126</v>
      </c>
      <c r="C2450" s="0" t="n">
        <f aca="true">MEDIAN(8,16,ROUND(NORMINV(RAND(),Coefficients!$B$20,Coefficients!$B$21),0))</f>
        <v>13</v>
      </c>
      <c r="D2450" s="0" t="n">
        <f aca="true">CRITBINOM($C2450,MIN(0.75,Matchup!$B$39*$B2450),RAND())</f>
        <v>5</v>
      </c>
      <c r="E2450" s="0" t="n">
        <f aca="true">CRITBINOM(D2450,Coefficients!$B$30,RAND())</f>
        <v>1</v>
      </c>
      <c r="F2450" s="0" t="n">
        <f aca="true">CRITBINOM(E2450,Coefficients!$B$31,RAND())</f>
        <v>0</v>
      </c>
      <c r="G2450" s="0" t="n">
        <f aca="true">CRITBINOM(MAX(0,D2450-E2450),1-Coefficients!$B$32,RAND())</f>
        <v>0</v>
      </c>
      <c r="H2450" s="0" t="n">
        <f aca="true">CRITBINOM(MAX(0,$C2450-D2450),MIN(0.6,Matchup!$B$40*SQRT($B2450)/(1-MIN(0.75,Matchup!$B$39*$B2450))),RAND())</f>
        <v>3</v>
      </c>
      <c r="I2450" s="0" t="n">
        <f aca="false">6*D2450+(D2450-E2450-G2450)+2*F2450+3*H2450</f>
        <v>43</v>
      </c>
      <c r="J2450" s="0" t="n">
        <f aca="true">CRITBINOM($C2450,MIN(0.75,Matchup!$C$39*$B2450),RAND())</f>
        <v>5</v>
      </c>
      <c r="K2450" s="0" t="n">
        <f aca="true">CRITBINOM(J2450,Coefficients!$B$30,RAND())</f>
        <v>0</v>
      </c>
      <c r="L2450" s="0" t="n">
        <f aca="true">CRITBINOM(K2450,Coefficients!$B$31,RAND())</f>
        <v>0</v>
      </c>
      <c r="M2450" s="0" t="n">
        <f aca="true">CRITBINOM(MAX(0,J2450-K2450),1-Coefficients!$B$32,RAND())</f>
        <v>1</v>
      </c>
      <c r="N2450" s="0" t="n">
        <f aca="true">CRITBINOM(MAX(0,$C2450-J2450),MIN(0.6,Matchup!$C$40*SQRT($B2450)/(1-MIN(0.75,Matchup!$C$39*$B2450))),RAND())</f>
        <v>1</v>
      </c>
      <c r="O2450" s="0" t="n">
        <f aca="false">6*J2450+(J2450-K2450-M2450)+2*L2450+3*N2450</f>
        <v>37</v>
      </c>
      <c r="P2450" s="0" t="n">
        <f aca="true">RAND()</f>
        <v>0.0811663518958271</v>
      </c>
      <c r="Q2450" s="0" t="n">
        <f aca="true">RAND()</f>
        <v>0.976645127268006</v>
      </c>
      <c r="R2450" s="0" t="n">
        <f aca="false">IF($I2450&lt;&gt;$O2450,0,IF(P2450&lt;Matchup!$B$39,7,IF(P2450&lt;Matchup!$B$39+Matchup!$B$40,3,0)))</f>
        <v>0</v>
      </c>
      <c r="S2450" s="0" t="n">
        <f aca="false">IF($I2450&lt;&gt;$O2450,0,IF(Q2450&lt;Matchup!$C$39,7,IF(Q2450&lt;Matchup!$C$39+Matchup!$C$40,3,0)))</f>
        <v>0</v>
      </c>
      <c r="T2450" s="0" t="n">
        <f aca="false">I2450+R2450</f>
        <v>43</v>
      </c>
      <c r="U2450" s="0" t="n">
        <f aca="false">O2450+S2450</f>
        <v>37</v>
      </c>
      <c r="V2450" s="0" t="n">
        <f aca="false">T2450-U2450</f>
        <v>6</v>
      </c>
      <c r="W2450" s="0" t="n">
        <f aca="false">T2450+U2450</f>
        <v>80</v>
      </c>
    </row>
    <row r="2451" customFormat="false" ht="15" hidden="false" customHeight="false" outlineLevel="0" collapsed="false">
      <c r="A2451" s="0" t="n">
        <v>2448</v>
      </c>
      <c r="B2451" s="0" t="n">
        <f aca="true">NORMINV(RAND(),1,Coefficients!$B$22)</f>
        <v>0.958871162350499</v>
      </c>
      <c r="C2451" s="0" t="n">
        <f aca="true">MEDIAN(8,16,ROUND(NORMINV(RAND(),Coefficients!$B$20,Coefficients!$B$21),0))</f>
        <v>10</v>
      </c>
      <c r="D2451" s="0" t="n">
        <f aca="true">CRITBINOM($C2451,MIN(0.75,Matchup!$B$39*$B2451),RAND())</f>
        <v>2</v>
      </c>
      <c r="E2451" s="0" t="n">
        <f aca="true">CRITBINOM(D2451,Coefficients!$B$30,RAND())</f>
        <v>0</v>
      </c>
      <c r="F2451" s="0" t="n">
        <f aca="true">CRITBINOM(E2451,Coefficients!$B$31,RAND())</f>
        <v>0</v>
      </c>
      <c r="G2451" s="0" t="n">
        <f aca="true">CRITBINOM(MAX(0,D2451-E2451),1-Coefficients!$B$32,RAND())</f>
        <v>0</v>
      </c>
      <c r="H2451" s="0" t="n">
        <f aca="true">CRITBINOM(MAX(0,$C2451-D2451),MIN(0.6,Matchup!$B$40*SQRT($B2451)/(1-MIN(0.75,Matchup!$B$39*$B2451))),RAND())</f>
        <v>4</v>
      </c>
      <c r="I2451" s="0" t="n">
        <f aca="false">6*D2451+(D2451-E2451-G2451)+2*F2451+3*H2451</f>
        <v>26</v>
      </c>
      <c r="J2451" s="0" t="n">
        <f aca="true">CRITBINOM($C2451,MIN(0.75,Matchup!$C$39*$B2451),RAND())</f>
        <v>3</v>
      </c>
      <c r="K2451" s="0" t="n">
        <f aca="true">CRITBINOM(J2451,Coefficients!$B$30,RAND())</f>
        <v>0</v>
      </c>
      <c r="L2451" s="0" t="n">
        <f aca="true">CRITBINOM(K2451,Coefficients!$B$31,RAND())</f>
        <v>0</v>
      </c>
      <c r="M2451" s="0" t="n">
        <f aca="true">CRITBINOM(MAX(0,J2451-K2451),1-Coefficients!$B$32,RAND())</f>
        <v>1</v>
      </c>
      <c r="N2451" s="0" t="n">
        <f aca="true">CRITBINOM(MAX(0,$C2451-J2451),MIN(0.6,Matchup!$C$40*SQRT($B2451)/(1-MIN(0.75,Matchup!$C$39*$B2451))),RAND())</f>
        <v>1</v>
      </c>
      <c r="O2451" s="0" t="n">
        <f aca="false">6*J2451+(J2451-K2451-M2451)+2*L2451+3*N2451</f>
        <v>23</v>
      </c>
      <c r="P2451" s="0" t="n">
        <f aca="true">RAND()</f>
        <v>0.166610208381352</v>
      </c>
      <c r="Q2451" s="0" t="n">
        <f aca="true">RAND()</f>
        <v>0.987886659037199</v>
      </c>
      <c r="R2451" s="0" t="n">
        <f aca="false">IF($I2451&lt;&gt;$O2451,0,IF(P2451&lt;Matchup!$B$39,7,IF(P2451&lt;Matchup!$B$39+Matchup!$B$40,3,0)))</f>
        <v>0</v>
      </c>
      <c r="S2451" s="0" t="n">
        <f aca="false">IF($I2451&lt;&gt;$O2451,0,IF(Q2451&lt;Matchup!$C$39,7,IF(Q2451&lt;Matchup!$C$39+Matchup!$C$40,3,0)))</f>
        <v>0</v>
      </c>
      <c r="T2451" s="0" t="n">
        <f aca="false">I2451+R2451</f>
        <v>26</v>
      </c>
      <c r="U2451" s="0" t="n">
        <f aca="false">O2451+S2451</f>
        <v>23</v>
      </c>
      <c r="V2451" s="0" t="n">
        <f aca="false">T2451-U2451</f>
        <v>3</v>
      </c>
      <c r="W2451" s="0" t="n">
        <f aca="false">T2451+U2451</f>
        <v>49</v>
      </c>
    </row>
    <row r="2452" customFormat="false" ht="15" hidden="false" customHeight="false" outlineLevel="0" collapsed="false">
      <c r="A2452" s="0" t="n">
        <v>2449</v>
      </c>
      <c r="B2452" s="0" t="n">
        <f aca="true">NORMINV(RAND(),1,Coefficients!$B$22)</f>
        <v>0.890738996372643</v>
      </c>
      <c r="C2452" s="0" t="n">
        <f aca="true">MEDIAN(8,16,ROUND(NORMINV(RAND(),Coefficients!$B$20,Coefficients!$B$21),0))</f>
        <v>11</v>
      </c>
      <c r="D2452" s="0" t="n">
        <f aca="true">CRITBINOM($C2452,MIN(0.75,Matchup!$B$39*$B2452),RAND())</f>
        <v>5</v>
      </c>
      <c r="E2452" s="0" t="n">
        <f aca="true">CRITBINOM(D2452,Coefficients!$B$30,RAND())</f>
        <v>3</v>
      </c>
      <c r="F2452" s="0" t="n">
        <f aca="true">CRITBINOM(E2452,Coefficients!$B$31,RAND())</f>
        <v>0</v>
      </c>
      <c r="G2452" s="0" t="n">
        <f aca="true">CRITBINOM(MAX(0,D2452-E2452),1-Coefficients!$B$32,RAND())</f>
        <v>1</v>
      </c>
      <c r="H2452" s="0" t="n">
        <f aca="true">CRITBINOM(MAX(0,$C2452-D2452),MIN(0.6,Matchup!$B$40*SQRT($B2452)/(1-MIN(0.75,Matchup!$B$39*$B2452))),RAND())</f>
        <v>1</v>
      </c>
      <c r="I2452" s="0" t="n">
        <f aca="false">6*D2452+(D2452-E2452-G2452)+2*F2452+3*H2452</f>
        <v>34</v>
      </c>
      <c r="J2452" s="0" t="n">
        <f aca="true">CRITBINOM($C2452,MIN(0.75,Matchup!$C$39*$B2452),RAND())</f>
        <v>0</v>
      </c>
      <c r="K2452" s="0" t="n">
        <f aca="true">CRITBINOM(J2452,Coefficients!$B$30,RAND())</f>
        <v>0</v>
      </c>
      <c r="L2452" s="0" t="n">
        <f aca="true">CRITBINOM(K2452,Coefficients!$B$31,RAND())</f>
        <v>0</v>
      </c>
      <c r="M2452" s="0" t="n">
        <f aca="true">CRITBINOM(MAX(0,J2452-K2452),1-Coefficients!$B$32,RAND())</f>
        <v>0</v>
      </c>
      <c r="N2452" s="0" t="n">
        <f aca="true">CRITBINOM(MAX(0,$C2452-J2452),MIN(0.6,Matchup!$C$40*SQRT($B2452)/(1-MIN(0.75,Matchup!$C$39*$B2452))),RAND())</f>
        <v>1</v>
      </c>
      <c r="O2452" s="0" t="n">
        <f aca="false">6*J2452+(J2452-K2452-M2452)+2*L2452+3*N2452</f>
        <v>3</v>
      </c>
      <c r="P2452" s="0" t="n">
        <f aca="true">RAND()</f>
        <v>0.147601791781365</v>
      </c>
      <c r="Q2452" s="0" t="n">
        <f aca="true">RAND()</f>
        <v>0.486363326710871</v>
      </c>
      <c r="R2452" s="0" t="n">
        <f aca="false">IF($I2452&lt;&gt;$O2452,0,IF(P2452&lt;Matchup!$B$39,7,IF(P2452&lt;Matchup!$B$39+Matchup!$B$40,3,0)))</f>
        <v>0</v>
      </c>
      <c r="S2452" s="0" t="n">
        <f aca="false">IF($I2452&lt;&gt;$O2452,0,IF(Q2452&lt;Matchup!$C$39,7,IF(Q2452&lt;Matchup!$C$39+Matchup!$C$40,3,0)))</f>
        <v>0</v>
      </c>
      <c r="T2452" s="0" t="n">
        <f aca="false">I2452+R2452</f>
        <v>34</v>
      </c>
      <c r="U2452" s="0" t="n">
        <f aca="false">O2452+S2452</f>
        <v>3</v>
      </c>
      <c r="V2452" s="0" t="n">
        <f aca="false">T2452-U2452</f>
        <v>31</v>
      </c>
      <c r="W2452" s="0" t="n">
        <f aca="false">T2452+U2452</f>
        <v>37</v>
      </c>
    </row>
    <row r="2453" customFormat="false" ht="15" hidden="false" customHeight="false" outlineLevel="0" collapsed="false">
      <c r="A2453" s="0" t="n">
        <v>2450</v>
      </c>
      <c r="B2453" s="0" t="n">
        <f aca="true">NORMINV(RAND(),1,Coefficients!$B$22)</f>
        <v>0.900680283401069</v>
      </c>
      <c r="C2453" s="0" t="n">
        <f aca="true">MEDIAN(8,16,ROUND(NORMINV(RAND(),Coefficients!$B$20,Coefficients!$B$21),0))</f>
        <v>12</v>
      </c>
      <c r="D2453" s="0" t="n">
        <f aca="true">CRITBINOM($C2453,MIN(0.75,Matchup!$B$39*$B2453),RAND())</f>
        <v>5</v>
      </c>
      <c r="E2453" s="0" t="n">
        <f aca="true">CRITBINOM(D2453,Coefficients!$B$30,RAND())</f>
        <v>0</v>
      </c>
      <c r="F2453" s="0" t="n">
        <f aca="true">CRITBINOM(E2453,Coefficients!$B$31,RAND())</f>
        <v>0</v>
      </c>
      <c r="G2453" s="0" t="n">
        <f aca="true">CRITBINOM(MAX(0,D2453-E2453),1-Coefficients!$B$32,RAND())</f>
        <v>1</v>
      </c>
      <c r="H2453" s="0" t="n">
        <f aca="true">CRITBINOM(MAX(0,$C2453-D2453),MIN(0.6,Matchup!$B$40*SQRT($B2453)/(1-MIN(0.75,Matchup!$B$39*$B2453))),RAND())</f>
        <v>1</v>
      </c>
      <c r="I2453" s="0" t="n">
        <f aca="false">6*D2453+(D2453-E2453-G2453)+2*F2453+3*H2453</f>
        <v>37</v>
      </c>
      <c r="J2453" s="0" t="n">
        <f aca="true">CRITBINOM($C2453,MIN(0.75,Matchup!$C$39*$B2453),RAND())</f>
        <v>1</v>
      </c>
      <c r="K2453" s="0" t="n">
        <f aca="true">CRITBINOM(J2453,Coefficients!$B$30,RAND())</f>
        <v>0</v>
      </c>
      <c r="L2453" s="0" t="n">
        <f aca="true">CRITBINOM(K2453,Coefficients!$B$31,RAND())</f>
        <v>0</v>
      </c>
      <c r="M2453" s="0" t="n">
        <f aca="true">CRITBINOM(MAX(0,J2453-K2453),1-Coefficients!$B$32,RAND())</f>
        <v>0</v>
      </c>
      <c r="N2453" s="0" t="n">
        <f aca="true">CRITBINOM(MAX(0,$C2453-J2453),MIN(0.6,Matchup!$C$40*SQRT($B2453)/(1-MIN(0.75,Matchup!$C$39*$B2453))),RAND())</f>
        <v>3</v>
      </c>
      <c r="O2453" s="0" t="n">
        <f aca="false">6*J2453+(J2453-K2453-M2453)+2*L2453+3*N2453</f>
        <v>16</v>
      </c>
      <c r="P2453" s="0" t="n">
        <f aca="true">RAND()</f>
        <v>0.387635846965109</v>
      </c>
      <c r="Q2453" s="0" t="n">
        <f aca="true">RAND()</f>
        <v>0.491074797158944</v>
      </c>
      <c r="R2453" s="0" t="n">
        <f aca="false">IF($I2453&lt;&gt;$O2453,0,IF(P2453&lt;Matchup!$B$39,7,IF(P2453&lt;Matchup!$B$39+Matchup!$B$40,3,0)))</f>
        <v>0</v>
      </c>
      <c r="S2453" s="0" t="n">
        <f aca="false">IF($I2453&lt;&gt;$O2453,0,IF(Q2453&lt;Matchup!$C$39,7,IF(Q2453&lt;Matchup!$C$39+Matchup!$C$40,3,0)))</f>
        <v>0</v>
      </c>
      <c r="T2453" s="0" t="n">
        <f aca="false">I2453+R2453</f>
        <v>37</v>
      </c>
      <c r="U2453" s="0" t="n">
        <f aca="false">O2453+S2453</f>
        <v>16</v>
      </c>
      <c r="V2453" s="0" t="n">
        <f aca="false">T2453-U2453</f>
        <v>21</v>
      </c>
      <c r="W2453" s="0" t="n">
        <f aca="false">T2453+U2453</f>
        <v>53</v>
      </c>
    </row>
    <row r="2454" customFormat="false" ht="15" hidden="false" customHeight="false" outlineLevel="0" collapsed="false">
      <c r="A2454" s="0" t="n">
        <v>2451</v>
      </c>
      <c r="B2454" s="0" t="n">
        <f aca="true">NORMINV(RAND(),1,Coefficients!$B$22)</f>
        <v>0.999116822537274</v>
      </c>
      <c r="C2454" s="0" t="n">
        <f aca="true">MEDIAN(8,16,ROUND(NORMINV(RAND(),Coefficients!$B$20,Coefficients!$B$21),0))</f>
        <v>11</v>
      </c>
      <c r="D2454" s="0" t="n">
        <f aca="true">CRITBINOM($C2454,MIN(0.75,Matchup!$B$39*$B2454),RAND())</f>
        <v>2</v>
      </c>
      <c r="E2454" s="0" t="n">
        <f aca="true">CRITBINOM(D2454,Coefficients!$B$30,RAND())</f>
        <v>0</v>
      </c>
      <c r="F2454" s="0" t="n">
        <f aca="true">CRITBINOM(E2454,Coefficients!$B$31,RAND())</f>
        <v>0</v>
      </c>
      <c r="G2454" s="0" t="n">
        <f aca="true">CRITBINOM(MAX(0,D2454-E2454),1-Coefficients!$B$32,RAND())</f>
        <v>0</v>
      </c>
      <c r="H2454" s="0" t="n">
        <f aca="true">CRITBINOM(MAX(0,$C2454-D2454),MIN(0.6,Matchup!$B$40*SQRT($B2454)/(1-MIN(0.75,Matchup!$B$39*$B2454))),RAND())</f>
        <v>4</v>
      </c>
      <c r="I2454" s="0" t="n">
        <f aca="false">6*D2454+(D2454-E2454-G2454)+2*F2454+3*H2454</f>
        <v>26</v>
      </c>
      <c r="J2454" s="0" t="n">
        <f aca="true">CRITBINOM($C2454,MIN(0.75,Matchup!$C$39*$B2454),RAND())</f>
        <v>1</v>
      </c>
      <c r="K2454" s="0" t="n">
        <f aca="true">CRITBINOM(J2454,Coefficients!$B$30,RAND())</f>
        <v>0</v>
      </c>
      <c r="L2454" s="0" t="n">
        <f aca="true">CRITBINOM(K2454,Coefficients!$B$31,RAND())</f>
        <v>0</v>
      </c>
      <c r="M2454" s="0" t="n">
        <f aca="true">CRITBINOM(MAX(0,J2454-K2454),1-Coefficients!$B$32,RAND())</f>
        <v>0</v>
      </c>
      <c r="N2454" s="0" t="n">
        <f aca="true">CRITBINOM(MAX(0,$C2454-J2454),MIN(0.6,Matchup!$C$40*SQRT($B2454)/(1-MIN(0.75,Matchup!$C$39*$B2454))),RAND())</f>
        <v>4</v>
      </c>
      <c r="O2454" s="0" t="n">
        <f aca="false">6*J2454+(J2454-K2454-M2454)+2*L2454+3*N2454</f>
        <v>19</v>
      </c>
      <c r="P2454" s="0" t="n">
        <f aca="true">RAND()</f>
        <v>0.0302570706332626</v>
      </c>
      <c r="Q2454" s="0" t="n">
        <f aca="true">RAND()</f>
        <v>0.113163794832399</v>
      </c>
      <c r="R2454" s="0" t="n">
        <f aca="false">IF($I2454&lt;&gt;$O2454,0,IF(P2454&lt;Matchup!$B$39,7,IF(P2454&lt;Matchup!$B$39+Matchup!$B$40,3,0)))</f>
        <v>0</v>
      </c>
      <c r="S2454" s="0" t="n">
        <f aca="false">IF($I2454&lt;&gt;$O2454,0,IF(Q2454&lt;Matchup!$C$39,7,IF(Q2454&lt;Matchup!$C$39+Matchup!$C$40,3,0)))</f>
        <v>0</v>
      </c>
      <c r="T2454" s="0" t="n">
        <f aca="false">I2454+R2454</f>
        <v>26</v>
      </c>
      <c r="U2454" s="0" t="n">
        <f aca="false">O2454+S2454</f>
        <v>19</v>
      </c>
      <c r="V2454" s="0" t="n">
        <f aca="false">T2454-U2454</f>
        <v>7</v>
      </c>
      <c r="W2454" s="0" t="n">
        <f aca="false">T2454+U2454</f>
        <v>45</v>
      </c>
    </row>
    <row r="2455" customFormat="false" ht="15" hidden="false" customHeight="false" outlineLevel="0" collapsed="false">
      <c r="A2455" s="0" t="n">
        <v>2452</v>
      </c>
      <c r="B2455" s="0" t="n">
        <f aca="true">NORMINV(RAND(),1,Coefficients!$B$22)</f>
        <v>0.88093829691353</v>
      </c>
      <c r="C2455" s="0" t="n">
        <f aca="true">MEDIAN(8,16,ROUND(NORMINV(RAND(),Coefficients!$B$20,Coefficients!$B$21),0))</f>
        <v>10</v>
      </c>
      <c r="D2455" s="0" t="n">
        <f aca="true">CRITBINOM($C2455,MIN(0.75,Matchup!$B$39*$B2455),RAND())</f>
        <v>1</v>
      </c>
      <c r="E2455" s="0" t="n">
        <f aca="true">CRITBINOM(D2455,Coefficients!$B$30,RAND())</f>
        <v>0</v>
      </c>
      <c r="F2455" s="0" t="n">
        <f aca="true">CRITBINOM(E2455,Coefficients!$B$31,RAND())</f>
        <v>0</v>
      </c>
      <c r="G2455" s="0" t="n">
        <f aca="true">CRITBINOM(MAX(0,D2455-E2455),1-Coefficients!$B$32,RAND())</f>
        <v>0</v>
      </c>
      <c r="H2455" s="0" t="n">
        <f aca="true">CRITBINOM(MAX(0,$C2455-D2455),MIN(0.6,Matchup!$B$40*SQRT($B2455)/(1-MIN(0.75,Matchup!$B$39*$B2455))),RAND())</f>
        <v>2</v>
      </c>
      <c r="I2455" s="0" t="n">
        <f aca="false">6*D2455+(D2455-E2455-G2455)+2*F2455+3*H2455</f>
        <v>13</v>
      </c>
      <c r="J2455" s="0" t="n">
        <f aca="true">CRITBINOM($C2455,MIN(0.75,Matchup!$C$39*$B2455),RAND())</f>
        <v>0</v>
      </c>
      <c r="K2455" s="0" t="n">
        <f aca="true">CRITBINOM(J2455,Coefficients!$B$30,RAND())</f>
        <v>0</v>
      </c>
      <c r="L2455" s="0" t="n">
        <f aca="true">CRITBINOM(K2455,Coefficients!$B$31,RAND())</f>
        <v>0</v>
      </c>
      <c r="M2455" s="0" t="n">
        <f aca="true">CRITBINOM(MAX(0,J2455-K2455),1-Coefficients!$B$32,RAND())</f>
        <v>0</v>
      </c>
      <c r="N2455" s="0" t="n">
        <f aca="true">CRITBINOM(MAX(0,$C2455-J2455),MIN(0.6,Matchup!$C$40*SQRT($B2455)/(1-MIN(0.75,Matchup!$C$39*$B2455))),RAND())</f>
        <v>0</v>
      </c>
      <c r="O2455" s="0" t="n">
        <f aca="false">6*J2455+(J2455-K2455-M2455)+2*L2455+3*N2455</f>
        <v>0</v>
      </c>
      <c r="P2455" s="0" t="n">
        <f aca="true">RAND()</f>
        <v>0.760313907609608</v>
      </c>
      <c r="Q2455" s="0" t="n">
        <f aca="true">RAND()</f>
        <v>0.498623380864004</v>
      </c>
      <c r="R2455" s="0" t="n">
        <f aca="false">IF($I2455&lt;&gt;$O2455,0,IF(P2455&lt;Matchup!$B$39,7,IF(P2455&lt;Matchup!$B$39+Matchup!$B$40,3,0)))</f>
        <v>0</v>
      </c>
      <c r="S2455" s="0" t="n">
        <f aca="false">IF($I2455&lt;&gt;$O2455,0,IF(Q2455&lt;Matchup!$C$39,7,IF(Q2455&lt;Matchup!$C$39+Matchup!$C$40,3,0)))</f>
        <v>0</v>
      </c>
      <c r="T2455" s="0" t="n">
        <f aca="false">I2455+R2455</f>
        <v>13</v>
      </c>
      <c r="U2455" s="0" t="n">
        <f aca="false">O2455+S2455</f>
        <v>0</v>
      </c>
      <c r="V2455" s="0" t="n">
        <f aca="false">T2455-U2455</f>
        <v>13</v>
      </c>
      <c r="W2455" s="0" t="n">
        <f aca="false">T2455+U2455</f>
        <v>13</v>
      </c>
    </row>
    <row r="2456" customFormat="false" ht="15" hidden="false" customHeight="false" outlineLevel="0" collapsed="false">
      <c r="A2456" s="0" t="n">
        <v>2453</v>
      </c>
      <c r="B2456" s="0" t="n">
        <f aca="true">NORMINV(RAND(),1,Coefficients!$B$22)</f>
        <v>1.08024057661129</v>
      </c>
      <c r="C2456" s="0" t="n">
        <f aca="true">MEDIAN(8,16,ROUND(NORMINV(RAND(),Coefficients!$B$20,Coefficients!$B$21),0))</f>
        <v>11</v>
      </c>
      <c r="D2456" s="0" t="n">
        <f aca="true">CRITBINOM($C2456,MIN(0.75,Matchup!$B$39*$B2456),RAND())</f>
        <v>3</v>
      </c>
      <c r="E2456" s="0" t="n">
        <f aca="true">CRITBINOM(D2456,Coefficients!$B$30,RAND())</f>
        <v>0</v>
      </c>
      <c r="F2456" s="0" t="n">
        <f aca="true">CRITBINOM(E2456,Coefficients!$B$31,RAND())</f>
        <v>0</v>
      </c>
      <c r="G2456" s="0" t="n">
        <f aca="true">CRITBINOM(MAX(0,D2456-E2456),1-Coefficients!$B$32,RAND())</f>
        <v>0</v>
      </c>
      <c r="H2456" s="0" t="n">
        <f aca="true">CRITBINOM(MAX(0,$C2456-D2456),MIN(0.6,Matchup!$B$40*SQRT($B2456)/(1-MIN(0.75,Matchup!$B$39*$B2456))),RAND())</f>
        <v>0</v>
      </c>
      <c r="I2456" s="0" t="n">
        <f aca="false">6*D2456+(D2456-E2456-G2456)+2*F2456+3*H2456</f>
        <v>21</v>
      </c>
      <c r="J2456" s="0" t="n">
        <f aca="true">CRITBINOM($C2456,MIN(0.75,Matchup!$C$39*$B2456),RAND())</f>
        <v>5</v>
      </c>
      <c r="K2456" s="0" t="n">
        <f aca="true">CRITBINOM(J2456,Coefficients!$B$30,RAND())</f>
        <v>0</v>
      </c>
      <c r="L2456" s="0" t="n">
        <f aca="true">CRITBINOM(K2456,Coefficients!$B$31,RAND())</f>
        <v>0</v>
      </c>
      <c r="M2456" s="0" t="n">
        <f aca="true">CRITBINOM(MAX(0,J2456-K2456),1-Coefficients!$B$32,RAND())</f>
        <v>0</v>
      </c>
      <c r="N2456" s="0" t="n">
        <f aca="true">CRITBINOM(MAX(0,$C2456-J2456),MIN(0.6,Matchup!$C$40*SQRT($B2456)/(1-MIN(0.75,Matchup!$C$39*$B2456))),RAND())</f>
        <v>3</v>
      </c>
      <c r="O2456" s="0" t="n">
        <f aca="false">6*J2456+(J2456-K2456-M2456)+2*L2456+3*N2456</f>
        <v>44</v>
      </c>
      <c r="P2456" s="0" t="n">
        <f aca="true">RAND()</f>
        <v>0.583998035459671</v>
      </c>
      <c r="Q2456" s="0" t="n">
        <f aca="true">RAND()</f>
        <v>0.168904109168447</v>
      </c>
      <c r="R2456" s="0" t="n">
        <f aca="false">IF($I2456&lt;&gt;$O2456,0,IF(P2456&lt;Matchup!$B$39,7,IF(P2456&lt;Matchup!$B$39+Matchup!$B$40,3,0)))</f>
        <v>0</v>
      </c>
      <c r="S2456" s="0" t="n">
        <f aca="false">IF($I2456&lt;&gt;$O2456,0,IF(Q2456&lt;Matchup!$C$39,7,IF(Q2456&lt;Matchup!$C$39+Matchup!$C$40,3,0)))</f>
        <v>0</v>
      </c>
      <c r="T2456" s="0" t="n">
        <f aca="false">I2456+R2456</f>
        <v>21</v>
      </c>
      <c r="U2456" s="0" t="n">
        <f aca="false">O2456+S2456</f>
        <v>44</v>
      </c>
      <c r="V2456" s="0" t="n">
        <f aca="false">T2456-U2456</f>
        <v>-23</v>
      </c>
      <c r="W2456" s="0" t="n">
        <f aca="false">T2456+U2456</f>
        <v>65</v>
      </c>
    </row>
    <row r="2457" customFormat="false" ht="15" hidden="false" customHeight="false" outlineLevel="0" collapsed="false">
      <c r="A2457" s="0" t="n">
        <v>2454</v>
      </c>
      <c r="B2457" s="0" t="n">
        <f aca="true">NORMINV(RAND(),1,Coefficients!$B$22)</f>
        <v>0.946573066304108</v>
      </c>
      <c r="C2457" s="0" t="n">
        <f aca="true">MEDIAN(8,16,ROUND(NORMINV(RAND(),Coefficients!$B$20,Coefficients!$B$21),0))</f>
        <v>10</v>
      </c>
      <c r="D2457" s="0" t="n">
        <f aca="true">CRITBINOM($C2457,MIN(0.75,Matchup!$B$39*$B2457),RAND())</f>
        <v>2</v>
      </c>
      <c r="E2457" s="0" t="n">
        <f aca="true">CRITBINOM(D2457,Coefficients!$B$30,RAND())</f>
        <v>0</v>
      </c>
      <c r="F2457" s="0" t="n">
        <f aca="true">CRITBINOM(E2457,Coefficients!$B$31,RAND())</f>
        <v>0</v>
      </c>
      <c r="G2457" s="0" t="n">
        <f aca="true">CRITBINOM(MAX(0,D2457-E2457),1-Coefficients!$B$32,RAND())</f>
        <v>0</v>
      </c>
      <c r="H2457" s="0" t="n">
        <f aca="true">CRITBINOM(MAX(0,$C2457-D2457),MIN(0.6,Matchup!$B$40*SQRT($B2457)/(1-MIN(0.75,Matchup!$B$39*$B2457))),RAND())</f>
        <v>2</v>
      </c>
      <c r="I2457" s="0" t="n">
        <f aca="false">6*D2457+(D2457-E2457-G2457)+2*F2457+3*H2457</f>
        <v>20</v>
      </c>
      <c r="J2457" s="0" t="n">
        <f aca="true">CRITBINOM($C2457,MIN(0.75,Matchup!$C$39*$B2457),RAND())</f>
        <v>1</v>
      </c>
      <c r="K2457" s="0" t="n">
        <f aca="true">CRITBINOM(J2457,Coefficients!$B$30,RAND())</f>
        <v>0</v>
      </c>
      <c r="L2457" s="0" t="n">
        <f aca="true">CRITBINOM(K2457,Coefficients!$B$31,RAND())</f>
        <v>0</v>
      </c>
      <c r="M2457" s="0" t="n">
        <f aca="true">CRITBINOM(MAX(0,J2457-K2457),1-Coefficients!$B$32,RAND())</f>
        <v>0</v>
      </c>
      <c r="N2457" s="0" t="n">
        <f aca="true">CRITBINOM(MAX(0,$C2457-J2457),MIN(0.6,Matchup!$C$40*SQRT($B2457)/(1-MIN(0.75,Matchup!$C$39*$B2457))),RAND())</f>
        <v>1</v>
      </c>
      <c r="O2457" s="0" t="n">
        <f aca="false">6*J2457+(J2457-K2457-M2457)+2*L2457+3*N2457</f>
        <v>10</v>
      </c>
      <c r="P2457" s="0" t="n">
        <f aca="true">RAND()</f>
        <v>0.439117801399789</v>
      </c>
      <c r="Q2457" s="0" t="n">
        <f aca="true">RAND()</f>
        <v>0.721578542829658</v>
      </c>
      <c r="R2457" s="0" t="n">
        <f aca="false">IF($I2457&lt;&gt;$O2457,0,IF(P2457&lt;Matchup!$B$39,7,IF(P2457&lt;Matchup!$B$39+Matchup!$B$40,3,0)))</f>
        <v>0</v>
      </c>
      <c r="S2457" s="0" t="n">
        <f aca="false">IF($I2457&lt;&gt;$O2457,0,IF(Q2457&lt;Matchup!$C$39,7,IF(Q2457&lt;Matchup!$C$39+Matchup!$C$40,3,0)))</f>
        <v>0</v>
      </c>
      <c r="T2457" s="0" t="n">
        <f aca="false">I2457+R2457</f>
        <v>20</v>
      </c>
      <c r="U2457" s="0" t="n">
        <f aca="false">O2457+S2457</f>
        <v>10</v>
      </c>
      <c r="V2457" s="0" t="n">
        <f aca="false">T2457-U2457</f>
        <v>10</v>
      </c>
      <c r="W2457" s="0" t="n">
        <f aca="false">T2457+U2457</f>
        <v>30</v>
      </c>
    </row>
    <row r="2458" customFormat="false" ht="15" hidden="false" customHeight="false" outlineLevel="0" collapsed="false">
      <c r="A2458" s="0" t="n">
        <v>2455</v>
      </c>
      <c r="B2458" s="0" t="n">
        <f aca="true">NORMINV(RAND(),1,Coefficients!$B$22)</f>
        <v>1.21958970380555</v>
      </c>
      <c r="C2458" s="0" t="n">
        <f aca="true">MEDIAN(8,16,ROUND(NORMINV(RAND(),Coefficients!$B$20,Coefficients!$B$21),0))</f>
        <v>10</v>
      </c>
      <c r="D2458" s="0" t="n">
        <f aca="true">CRITBINOM($C2458,MIN(0.75,Matchup!$B$39*$B2458),RAND())</f>
        <v>5</v>
      </c>
      <c r="E2458" s="0" t="n">
        <f aca="true">CRITBINOM(D2458,Coefficients!$B$30,RAND())</f>
        <v>0</v>
      </c>
      <c r="F2458" s="0" t="n">
        <f aca="true">CRITBINOM(E2458,Coefficients!$B$31,RAND())</f>
        <v>0</v>
      </c>
      <c r="G2458" s="0" t="n">
        <f aca="true">CRITBINOM(MAX(0,D2458-E2458),1-Coefficients!$B$32,RAND())</f>
        <v>0</v>
      </c>
      <c r="H2458" s="0" t="n">
        <f aca="true">CRITBINOM(MAX(0,$C2458-D2458),MIN(0.6,Matchup!$B$40*SQRT($B2458)/(1-MIN(0.75,Matchup!$B$39*$B2458))),RAND())</f>
        <v>1</v>
      </c>
      <c r="I2458" s="0" t="n">
        <f aca="false">6*D2458+(D2458-E2458-G2458)+2*F2458+3*H2458</f>
        <v>38</v>
      </c>
      <c r="J2458" s="0" t="n">
        <f aca="true">CRITBINOM($C2458,MIN(0.75,Matchup!$C$39*$B2458),RAND())</f>
        <v>2</v>
      </c>
      <c r="K2458" s="0" t="n">
        <f aca="true">CRITBINOM(J2458,Coefficients!$B$30,RAND())</f>
        <v>0</v>
      </c>
      <c r="L2458" s="0" t="n">
        <f aca="true">CRITBINOM(K2458,Coefficients!$B$31,RAND())</f>
        <v>0</v>
      </c>
      <c r="M2458" s="0" t="n">
        <f aca="true">CRITBINOM(MAX(0,J2458-K2458),1-Coefficients!$B$32,RAND())</f>
        <v>0</v>
      </c>
      <c r="N2458" s="0" t="n">
        <f aca="true">CRITBINOM(MAX(0,$C2458-J2458),MIN(0.6,Matchup!$C$40*SQRT($B2458)/(1-MIN(0.75,Matchup!$C$39*$B2458))),RAND())</f>
        <v>1</v>
      </c>
      <c r="O2458" s="0" t="n">
        <f aca="false">6*J2458+(J2458-K2458-M2458)+2*L2458+3*N2458</f>
        <v>17</v>
      </c>
      <c r="P2458" s="0" t="n">
        <f aca="true">RAND()</f>
        <v>0.287458563586616</v>
      </c>
      <c r="Q2458" s="0" t="n">
        <f aca="true">RAND()</f>
        <v>0.378875835544694</v>
      </c>
      <c r="R2458" s="0" t="n">
        <f aca="false">IF($I2458&lt;&gt;$O2458,0,IF(P2458&lt;Matchup!$B$39,7,IF(P2458&lt;Matchup!$B$39+Matchup!$B$40,3,0)))</f>
        <v>0</v>
      </c>
      <c r="S2458" s="0" t="n">
        <f aca="false">IF($I2458&lt;&gt;$O2458,0,IF(Q2458&lt;Matchup!$C$39,7,IF(Q2458&lt;Matchup!$C$39+Matchup!$C$40,3,0)))</f>
        <v>0</v>
      </c>
      <c r="T2458" s="0" t="n">
        <f aca="false">I2458+R2458</f>
        <v>38</v>
      </c>
      <c r="U2458" s="0" t="n">
        <f aca="false">O2458+S2458</f>
        <v>17</v>
      </c>
      <c r="V2458" s="0" t="n">
        <f aca="false">T2458-U2458</f>
        <v>21</v>
      </c>
      <c r="W2458" s="0" t="n">
        <f aca="false">T2458+U2458</f>
        <v>55</v>
      </c>
    </row>
    <row r="2459" customFormat="false" ht="15" hidden="false" customHeight="false" outlineLevel="0" collapsed="false">
      <c r="A2459" s="0" t="n">
        <v>2456</v>
      </c>
      <c r="B2459" s="0" t="n">
        <f aca="true">NORMINV(RAND(),1,Coefficients!$B$22)</f>
        <v>0.917613543694167</v>
      </c>
      <c r="C2459" s="0" t="n">
        <f aca="true">MEDIAN(8,16,ROUND(NORMINV(RAND(),Coefficients!$B$20,Coefficients!$B$21),0))</f>
        <v>13</v>
      </c>
      <c r="D2459" s="0" t="n">
        <f aca="true">CRITBINOM($C2459,MIN(0.75,Matchup!$B$39*$B2459),RAND())</f>
        <v>1</v>
      </c>
      <c r="E2459" s="0" t="n">
        <f aca="true">CRITBINOM(D2459,Coefficients!$B$30,RAND())</f>
        <v>0</v>
      </c>
      <c r="F2459" s="0" t="n">
        <f aca="true">CRITBINOM(E2459,Coefficients!$B$31,RAND())</f>
        <v>0</v>
      </c>
      <c r="G2459" s="0" t="n">
        <f aca="true">CRITBINOM(MAX(0,D2459-E2459),1-Coefficients!$B$32,RAND())</f>
        <v>0</v>
      </c>
      <c r="H2459" s="0" t="n">
        <f aca="true">CRITBINOM(MAX(0,$C2459-D2459),MIN(0.6,Matchup!$B$40*SQRT($B2459)/(1-MIN(0.75,Matchup!$B$39*$B2459))),RAND())</f>
        <v>4</v>
      </c>
      <c r="I2459" s="0" t="n">
        <f aca="false">6*D2459+(D2459-E2459-G2459)+2*F2459+3*H2459</f>
        <v>19</v>
      </c>
      <c r="J2459" s="0" t="n">
        <f aca="true">CRITBINOM($C2459,MIN(0.75,Matchup!$C$39*$B2459),RAND())</f>
        <v>4</v>
      </c>
      <c r="K2459" s="0" t="n">
        <f aca="true">CRITBINOM(J2459,Coefficients!$B$30,RAND())</f>
        <v>1</v>
      </c>
      <c r="L2459" s="0" t="n">
        <f aca="true">CRITBINOM(K2459,Coefficients!$B$31,RAND())</f>
        <v>0</v>
      </c>
      <c r="M2459" s="0" t="n">
        <f aca="true">CRITBINOM(MAX(0,J2459-K2459),1-Coefficients!$B$32,RAND())</f>
        <v>0</v>
      </c>
      <c r="N2459" s="0" t="n">
        <f aca="true">CRITBINOM(MAX(0,$C2459-J2459),MIN(0.6,Matchup!$C$40*SQRT($B2459)/(1-MIN(0.75,Matchup!$C$39*$B2459))),RAND())</f>
        <v>2</v>
      </c>
      <c r="O2459" s="0" t="n">
        <f aca="false">6*J2459+(J2459-K2459-M2459)+2*L2459+3*N2459</f>
        <v>33</v>
      </c>
      <c r="P2459" s="0" t="n">
        <f aca="true">RAND()</f>
        <v>0.0261066195514538</v>
      </c>
      <c r="Q2459" s="0" t="n">
        <f aca="true">RAND()</f>
        <v>0.421281481759353</v>
      </c>
      <c r="R2459" s="0" t="n">
        <f aca="false">IF($I2459&lt;&gt;$O2459,0,IF(P2459&lt;Matchup!$B$39,7,IF(P2459&lt;Matchup!$B$39+Matchup!$B$40,3,0)))</f>
        <v>0</v>
      </c>
      <c r="S2459" s="0" t="n">
        <f aca="false">IF($I2459&lt;&gt;$O2459,0,IF(Q2459&lt;Matchup!$C$39,7,IF(Q2459&lt;Matchup!$C$39+Matchup!$C$40,3,0)))</f>
        <v>0</v>
      </c>
      <c r="T2459" s="0" t="n">
        <f aca="false">I2459+R2459</f>
        <v>19</v>
      </c>
      <c r="U2459" s="0" t="n">
        <f aca="false">O2459+S2459</f>
        <v>33</v>
      </c>
      <c r="V2459" s="0" t="n">
        <f aca="false">T2459-U2459</f>
        <v>-14</v>
      </c>
      <c r="W2459" s="0" t="n">
        <f aca="false">T2459+U2459</f>
        <v>52</v>
      </c>
    </row>
    <row r="2460" customFormat="false" ht="15" hidden="false" customHeight="false" outlineLevel="0" collapsed="false">
      <c r="A2460" s="0" t="n">
        <v>2457</v>
      </c>
      <c r="B2460" s="0" t="n">
        <f aca="true">NORMINV(RAND(),1,Coefficients!$B$22)</f>
        <v>1.01273898511145</v>
      </c>
      <c r="C2460" s="0" t="n">
        <f aca="true">MEDIAN(8,16,ROUND(NORMINV(RAND(),Coefficients!$B$20,Coefficients!$B$21),0))</f>
        <v>13</v>
      </c>
      <c r="D2460" s="0" t="n">
        <f aca="true">CRITBINOM($C2460,MIN(0.75,Matchup!$B$39*$B2460),RAND())</f>
        <v>3</v>
      </c>
      <c r="E2460" s="0" t="n">
        <f aca="true">CRITBINOM(D2460,Coefficients!$B$30,RAND())</f>
        <v>1</v>
      </c>
      <c r="F2460" s="0" t="n">
        <f aca="true">CRITBINOM(E2460,Coefficients!$B$31,RAND())</f>
        <v>1</v>
      </c>
      <c r="G2460" s="0" t="n">
        <f aca="true">CRITBINOM(MAX(0,D2460-E2460),1-Coefficients!$B$32,RAND())</f>
        <v>0</v>
      </c>
      <c r="H2460" s="0" t="n">
        <f aca="true">CRITBINOM(MAX(0,$C2460-D2460),MIN(0.6,Matchup!$B$40*SQRT($B2460)/(1-MIN(0.75,Matchup!$B$39*$B2460))),RAND())</f>
        <v>1</v>
      </c>
      <c r="I2460" s="0" t="n">
        <f aca="false">6*D2460+(D2460-E2460-G2460)+2*F2460+3*H2460</f>
        <v>25</v>
      </c>
      <c r="J2460" s="0" t="n">
        <f aca="true">CRITBINOM($C2460,MIN(0.75,Matchup!$C$39*$B2460),RAND())</f>
        <v>2</v>
      </c>
      <c r="K2460" s="0" t="n">
        <f aca="true">CRITBINOM(J2460,Coefficients!$B$30,RAND())</f>
        <v>1</v>
      </c>
      <c r="L2460" s="0" t="n">
        <f aca="true">CRITBINOM(K2460,Coefficients!$B$31,RAND())</f>
        <v>0</v>
      </c>
      <c r="M2460" s="0" t="n">
        <f aca="true">CRITBINOM(MAX(0,J2460-K2460),1-Coefficients!$B$32,RAND())</f>
        <v>0</v>
      </c>
      <c r="N2460" s="0" t="n">
        <f aca="true">CRITBINOM(MAX(0,$C2460-J2460),MIN(0.6,Matchup!$C$40*SQRT($B2460)/(1-MIN(0.75,Matchup!$C$39*$B2460))),RAND())</f>
        <v>1</v>
      </c>
      <c r="O2460" s="0" t="n">
        <f aca="false">6*J2460+(J2460-K2460-M2460)+2*L2460+3*N2460</f>
        <v>16</v>
      </c>
      <c r="P2460" s="0" t="n">
        <f aca="true">RAND()</f>
        <v>0.830759127570005</v>
      </c>
      <c r="Q2460" s="0" t="n">
        <f aca="true">RAND()</f>
        <v>0.455520955005317</v>
      </c>
      <c r="R2460" s="0" t="n">
        <f aca="false">IF($I2460&lt;&gt;$O2460,0,IF(P2460&lt;Matchup!$B$39,7,IF(P2460&lt;Matchup!$B$39+Matchup!$B$40,3,0)))</f>
        <v>0</v>
      </c>
      <c r="S2460" s="0" t="n">
        <f aca="false">IF($I2460&lt;&gt;$O2460,0,IF(Q2460&lt;Matchup!$C$39,7,IF(Q2460&lt;Matchup!$C$39+Matchup!$C$40,3,0)))</f>
        <v>0</v>
      </c>
      <c r="T2460" s="0" t="n">
        <f aca="false">I2460+R2460</f>
        <v>25</v>
      </c>
      <c r="U2460" s="0" t="n">
        <f aca="false">O2460+S2460</f>
        <v>16</v>
      </c>
      <c r="V2460" s="0" t="n">
        <f aca="false">T2460-U2460</f>
        <v>9</v>
      </c>
      <c r="W2460" s="0" t="n">
        <f aca="false">T2460+U2460</f>
        <v>41</v>
      </c>
    </row>
    <row r="2461" customFormat="false" ht="15" hidden="false" customHeight="false" outlineLevel="0" collapsed="false">
      <c r="A2461" s="0" t="n">
        <v>2458</v>
      </c>
      <c r="B2461" s="0" t="n">
        <f aca="true">NORMINV(RAND(),1,Coefficients!$B$22)</f>
        <v>0.948331881750591</v>
      </c>
      <c r="C2461" s="0" t="n">
        <f aca="true">MEDIAN(8,16,ROUND(NORMINV(RAND(),Coefficients!$B$20,Coefficients!$B$21),0))</f>
        <v>10</v>
      </c>
      <c r="D2461" s="0" t="n">
        <f aca="true">CRITBINOM($C2461,MIN(0.75,Matchup!$B$39*$B2461),RAND())</f>
        <v>1</v>
      </c>
      <c r="E2461" s="0" t="n">
        <f aca="true">CRITBINOM(D2461,Coefficients!$B$30,RAND())</f>
        <v>0</v>
      </c>
      <c r="F2461" s="0" t="n">
        <f aca="true">CRITBINOM(E2461,Coefficients!$B$31,RAND())</f>
        <v>0</v>
      </c>
      <c r="G2461" s="0" t="n">
        <f aca="true">CRITBINOM(MAX(0,D2461-E2461),1-Coefficients!$B$32,RAND())</f>
        <v>0</v>
      </c>
      <c r="H2461" s="0" t="n">
        <f aca="true">CRITBINOM(MAX(0,$C2461-D2461),MIN(0.6,Matchup!$B$40*SQRT($B2461)/(1-MIN(0.75,Matchup!$B$39*$B2461))),RAND())</f>
        <v>1</v>
      </c>
      <c r="I2461" s="0" t="n">
        <f aca="false">6*D2461+(D2461-E2461-G2461)+2*F2461+3*H2461</f>
        <v>10</v>
      </c>
      <c r="J2461" s="0" t="n">
        <f aca="true">CRITBINOM($C2461,MIN(0.75,Matchup!$C$39*$B2461),RAND())</f>
        <v>2</v>
      </c>
      <c r="K2461" s="0" t="n">
        <f aca="true">CRITBINOM(J2461,Coefficients!$B$30,RAND())</f>
        <v>0</v>
      </c>
      <c r="L2461" s="0" t="n">
        <f aca="true">CRITBINOM(K2461,Coefficients!$B$31,RAND())</f>
        <v>0</v>
      </c>
      <c r="M2461" s="0" t="n">
        <f aca="true">CRITBINOM(MAX(0,J2461-K2461),1-Coefficients!$B$32,RAND())</f>
        <v>0</v>
      </c>
      <c r="N2461" s="0" t="n">
        <f aca="true">CRITBINOM(MAX(0,$C2461-J2461),MIN(0.6,Matchup!$C$40*SQRT($B2461)/(1-MIN(0.75,Matchup!$C$39*$B2461))),RAND())</f>
        <v>0</v>
      </c>
      <c r="O2461" s="0" t="n">
        <f aca="false">6*J2461+(J2461-K2461-M2461)+2*L2461+3*N2461</f>
        <v>14</v>
      </c>
      <c r="P2461" s="0" t="n">
        <f aca="true">RAND()</f>
        <v>0.999787742884958</v>
      </c>
      <c r="Q2461" s="0" t="n">
        <f aca="true">RAND()</f>
        <v>0.979059038803259</v>
      </c>
      <c r="R2461" s="0" t="n">
        <f aca="false">IF($I2461&lt;&gt;$O2461,0,IF(P2461&lt;Matchup!$B$39,7,IF(P2461&lt;Matchup!$B$39+Matchup!$B$40,3,0)))</f>
        <v>0</v>
      </c>
      <c r="S2461" s="0" t="n">
        <f aca="false">IF($I2461&lt;&gt;$O2461,0,IF(Q2461&lt;Matchup!$C$39,7,IF(Q2461&lt;Matchup!$C$39+Matchup!$C$40,3,0)))</f>
        <v>0</v>
      </c>
      <c r="T2461" s="0" t="n">
        <f aca="false">I2461+R2461</f>
        <v>10</v>
      </c>
      <c r="U2461" s="0" t="n">
        <f aca="false">O2461+S2461</f>
        <v>14</v>
      </c>
      <c r="V2461" s="0" t="n">
        <f aca="false">T2461-U2461</f>
        <v>-4</v>
      </c>
      <c r="W2461" s="0" t="n">
        <f aca="false">T2461+U2461</f>
        <v>24</v>
      </c>
    </row>
    <row r="2462" customFormat="false" ht="15" hidden="false" customHeight="false" outlineLevel="0" collapsed="false">
      <c r="A2462" s="0" t="n">
        <v>2459</v>
      </c>
      <c r="B2462" s="0" t="n">
        <f aca="true">NORMINV(RAND(),1,Coefficients!$B$22)</f>
        <v>0.971224329340396</v>
      </c>
      <c r="C2462" s="0" t="n">
        <f aca="true">MEDIAN(8,16,ROUND(NORMINV(RAND(),Coefficients!$B$20,Coefficients!$B$21),0))</f>
        <v>11</v>
      </c>
      <c r="D2462" s="0" t="n">
        <f aca="true">CRITBINOM($C2462,MIN(0.75,Matchup!$B$39*$B2462),RAND())</f>
        <v>1</v>
      </c>
      <c r="E2462" s="0" t="n">
        <f aca="true">CRITBINOM(D2462,Coefficients!$B$30,RAND())</f>
        <v>0</v>
      </c>
      <c r="F2462" s="0" t="n">
        <f aca="true">CRITBINOM(E2462,Coefficients!$B$31,RAND())</f>
        <v>0</v>
      </c>
      <c r="G2462" s="0" t="n">
        <f aca="true">CRITBINOM(MAX(0,D2462-E2462),1-Coefficients!$B$32,RAND())</f>
        <v>0</v>
      </c>
      <c r="H2462" s="0" t="n">
        <f aca="true">CRITBINOM(MAX(0,$C2462-D2462),MIN(0.6,Matchup!$B$40*SQRT($B2462)/(1-MIN(0.75,Matchup!$B$39*$B2462))),RAND())</f>
        <v>2</v>
      </c>
      <c r="I2462" s="0" t="n">
        <f aca="false">6*D2462+(D2462-E2462-G2462)+2*F2462+3*H2462</f>
        <v>13</v>
      </c>
      <c r="J2462" s="0" t="n">
        <f aca="true">CRITBINOM($C2462,MIN(0.75,Matchup!$C$39*$B2462),RAND())</f>
        <v>4</v>
      </c>
      <c r="K2462" s="0" t="n">
        <f aca="true">CRITBINOM(J2462,Coefficients!$B$30,RAND())</f>
        <v>0</v>
      </c>
      <c r="L2462" s="0" t="n">
        <f aca="true">CRITBINOM(K2462,Coefficients!$B$31,RAND())</f>
        <v>0</v>
      </c>
      <c r="M2462" s="0" t="n">
        <f aca="true">CRITBINOM(MAX(0,J2462-K2462),1-Coefficients!$B$32,RAND())</f>
        <v>0</v>
      </c>
      <c r="N2462" s="0" t="n">
        <f aca="true">CRITBINOM(MAX(0,$C2462-J2462),MIN(0.6,Matchup!$C$40*SQRT($B2462)/(1-MIN(0.75,Matchup!$C$39*$B2462))),RAND())</f>
        <v>0</v>
      </c>
      <c r="O2462" s="0" t="n">
        <f aca="false">6*J2462+(J2462-K2462-M2462)+2*L2462+3*N2462</f>
        <v>28</v>
      </c>
      <c r="P2462" s="0" t="n">
        <f aca="true">RAND()</f>
        <v>0.660942660828151</v>
      </c>
      <c r="Q2462" s="0" t="n">
        <f aca="true">RAND()</f>
        <v>0.259176710187709</v>
      </c>
      <c r="R2462" s="0" t="n">
        <f aca="false">IF($I2462&lt;&gt;$O2462,0,IF(P2462&lt;Matchup!$B$39,7,IF(P2462&lt;Matchup!$B$39+Matchup!$B$40,3,0)))</f>
        <v>0</v>
      </c>
      <c r="S2462" s="0" t="n">
        <f aca="false">IF($I2462&lt;&gt;$O2462,0,IF(Q2462&lt;Matchup!$C$39,7,IF(Q2462&lt;Matchup!$C$39+Matchup!$C$40,3,0)))</f>
        <v>0</v>
      </c>
      <c r="T2462" s="0" t="n">
        <f aca="false">I2462+R2462</f>
        <v>13</v>
      </c>
      <c r="U2462" s="0" t="n">
        <f aca="false">O2462+S2462</f>
        <v>28</v>
      </c>
      <c r="V2462" s="0" t="n">
        <f aca="false">T2462-U2462</f>
        <v>-15</v>
      </c>
      <c r="W2462" s="0" t="n">
        <f aca="false">T2462+U2462</f>
        <v>41</v>
      </c>
    </row>
    <row r="2463" customFormat="false" ht="15" hidden="false" customHeight="false" outlineLevel="0" collapsed="false">
      <c r="A2463" s="0" t="n">
        <v>2460</v>
      </c>
      <c r="B2463" s="0" t="n">
        <f aca="true">NORMINV(RAND(),1,Coefficients!$B$22)</f>
        <v>1.02109340325573</v>
      </c>
      <c r="C2463" s="0" t="n">
        <f aca="true">MEDIAN(8,16,ROUND(NORMINV(RAND(),Coefficients!$B$20,Coefficients!$B$21),0))</f>
        <v>10</v>
      </c>
      <c r="D2463" s="0" t="n">
        <f aca="true">CRITBINOM($C2463,MIN(0.75,Matchup!$B$39*$B2463),RAND())</f>
        <v>3</v>
      </c>
      <c r="E2463" s="0" t="n">
        <f aca="true">CRITBINOM(D2463,Coefficients!$B$30,RAND())</f>
        <v>0</v>
      </c>
      <c r="F2463" s="0" t="n">
        <f aca="true">CRITBINOM(E2463,Coefficients!$B$31,RAND())</f>
        <v>0</v>
      </c>
      <c r="G2463" s="0" t="n">
        <f aca="true">CRITBINOM(MAX(0,D2463-E2463),1-Coefficients!$B$32,RAND())</f>
        <v>0</v>
      </c>
      <c r="H2463" s="0" t="n">
        <f aca="true">CRITBINOM(MAX(0,$C2463-D2463),MIN(0.6,Matchup!$B$40*SQRT($B2463)/(1-MIN(0.75,Matchup!$B$39*$B2463))),RAND())</f>
        <v>0</v>
      </c>
      <c r="I2463" s="0" t="n">
        <f aca="false">6*D2463+(D2463-E2463-G2463)+2*F2463+3*H2463</f>
        <v>21</v>
      </c>
      <c r="J2463" s="0" t="n">
        <f aca="true">CRITBINOM($C2463,MIN(0.75,Matchup!$C$39*$B2463),RAND())</f>
        <v>2</v>
      </c>
      <c r="K2463" s="0" t="n">
        <f aca="true">CRITBINOM(J2463,Coefficients!$B$30,RAND())</f>
        <v>0</v>
      </c>
      <c r="L2463" s="0" t="n">
        <f aca="true">CRITBINOM(K2463,Coefficients!$B$31,RAND())</f>
        <v>0</v>
      </c>
      <c r="M2463" s="0" t="n">
        <f aca="true">CRITBINOM(MAX(0,J2463-K2463),1-Coefficients!$B$32,RAND())</f>
        <v>0</v>
      </c>
      <c r="N2463" s="0" t="n">
        <f aca="true">CRITBINOM(MAX(0,$C2463-J2463),MIN(0.6,Matchup!$C$40*SQRT($B2463)/(1-MIN(0.75,Matchup!$C$39*$B2463))),RAND())</f>
        <v>1</v>
      </c>
      <c r="O2463" s="0" t="n">
        <f aca="false">6*J2463+(J2463-K2463-M2463)+2*L2463+3*N2463</f>
        <v>17</v>
      </c>
      <c r="P2463" s="0" t="n">
        <f aca="true">RAND()</f>
        <v>0.980474707581545</v>
      </c>
      <c r="Q2463" s="0" t="n">
        <f aca="true">RAND()</f>
        <v>0.687587546459592</v>
      </c>
      <c r="R2463" s="0" t="n">
        <f aca="false">IF($I2463&lt;&gt;$O2463,0,IF(P2463&lt;Matchup!$B$39,7,IF(P2463&lt;Matchup!$B$39+Matchup!$B$40,3,0)))</f>
        <v>0</v>
      </c>
      <c r="S2463" s="0" t="n">
        <f aca="false">IF($I2463&lt;&gt;$O2463,0,IF(Q2463&lt;Matchup!$C$39,7,IF(Q2463&lt;Matchup!$C$39+Matchup!$C$40,3,0)))</f>
        <v>0</v>
      </c>
      <c r="T2463" s="0" t="n">
        <f aca="false">I2463+R2463</f>
        <v>21</v>
      </c>
      <c r="U2463" s="0" t="n">
        <f aca="false">O2463+S2463</f>
        <v>17</v>
      </c>
      <c r="V2463" s="0" t="n">
        <f aca="false">T2463-U2463</f>
        <v>4</v>
      </c>
      <c r="W2463" s="0" t="n">
        <f aca="false">T2463+U2463</f>
        <v>38</v>
      </c>
    </row>
    <row r="2464" customFormat="false" ht="15" hidden="false" customHeight="false" outlineLevel="0" collapsed="false">
      <c r="A2464" s="0" t="n">
        <v>2461</v>
      </c>
      <c r="B2464" s="0" t="n">
        <f aca="true">NORMINV(RAND(),1,Coefficients!$B$22)</f>
        <v>1.02005869903497</v>
      </c>
      <c r="C2464" s="0" t="n">
        <f aca="true">MEDIAN(8,16,ROUND(NORMINV(RAND(),Coefficients!$B$20,Coefficients!$B$21),0))</f>
        <v>12</v>
      </c>
      <c r="D2464" s="0" t="n">
        <f aca="true">CRITBINOM($C2464,MIN(0.75,Matchup!$B$39*$B2464),RAND())</f>
        <v>3</v>
      </c>
      <c r="E2464" s="0" t="n">
        <f aca="true">CRITBINOM(D2464,Coefficients!$B$30,RAND())</f>
        <v>2</v>
      </c>
      <c r="F2464" s="0" t="n">
        <f aca="true">CRITBINOM(E2464,Coefficients!$B$31,RAND())</f>
        <v>1</v>
      </c>
      <c r="G2464" s="0" t="n">
        <f aca="true">CRITBINOM(MAX(0,D2464-E2464),1-Coefficients!$B$32,RAND())</f>
        <v>0</v>
      </c>
      <c r="H2464" s="0" t="n">
        <f aca="true">CRITBINOM(MAX(0,$C2464-D2464),MIN(0.6,Matchup!$B$40*SQRT($B2464)/(1-MIN(0.75,Matchup!$B$39*$B2464))),RAND())</f>
        <v>0</v>
      </c>
      <c r="I2464" s="0" t="n">
        <f aca="false">6*D2464+(D2464-E2464-G2464)+2*F2464+3*H2464</f>
        <v>21</v>
      </c>
      <c r="J2464" s="0" t="n">
        <f aca="true">CRITBINOM($C2464,MIN(0.75,Matchup!$C$39*$B2464),RAND())</f>
        <v>4</v>
      </c>
      <c r="K2464" s="0" t="n">
        <f aca="true">CRITBINOM(J2464,Coefficients!$B$30,RAND())</f>
        <v>0</v>
      </c>
      <c r="L2464" s="0" t="n">
        <f aca="true">CRITBINOM(K2464,Coefficients!$B$31,RAND())</f>
        <v>0</v>
      </c>
      <c r="M2464" s="0" t="n">
        <f aca="true">CRITBINOM(MAX(0,J2464-K2464),1-Coefficients!$B$32,RAND())</f>
        <v>1</v>
      </c>
      <c r="N2464" s="0" t="n">
        <f aca="true">CRITBINOM(MAX(0,$C2464-J2464),MIN(0.6,Matchup!$C$40*SQRT($B2464)/(1-MIN(0.75,Matchup!$C$39*$B2464))),RAND())</f>
        <v>2</v>
      </c>
      <c r="O2464" s="0" t="n">
        <f aca="false">6*J2464+(J2464-K2464-M2464)+2*L2464+3*N2464</f>
        <v>33</v>
      </c>
      <c r="P2464" s="0" t="n">
        <f aca="true">RAND()</f>
        <v>0.907898797104294</v>
      </c>
      <c r="Q2464" s="0" t="n">
        <f aca="true">RAND()</f>
        <v>0.723157236797613</v>
      </c>
      <c r="R2464" s="0" t="n">
        <f aca="false">IF($I2464&lt;&gt;$O2464,0,IF(P2464&lt;Matchup!$B$39,7,IF(P2464&lt;Matchup!$B$39+Matchup!$B$40,3,0)))</f>
        <v>0</v>
      </c>
      <c r="S2464" s="0" t="n">
        <f aca="false">IF($I2464&lt;&gt;$O2464,0,IF(Q2464&lt;Matchup!$C$39,7,IF(Q2464&lt;Matchup!$C$39+Matchup!$C$40,3,0)))</f>
        <v>0</v>
      </c>
      <c r="T2464" s="0" t="n">
        <f aca="false">I2464+R2464</f>
        <v>21</v>
      </c>
      <c r="U2464" s="0" t="n">
        <f aca="false">O2464+S2464</f>
        <v>33</v>
      </c>
      <c r="V2464" s="0" t="n">
        <f aca="false">T2464-U2464</f>
        <v>-12</v>
      </c>
      <c r="W2464" s="0" t="n">
        <f aca="false">T2464+U2464</f>
        <v>54</v>
      </c>
    </row>
    <row r="2465" customFormat="false" ht="15" hidden="false" customHeight="false" outlineLevel="0" collapsed="false">
      <c r="A2465" s="0" t="n">
        <v>2462</v>
      </c>
      <c r="B2465" s="0" t="n">
        <f aca="true">NORMINV(RAND(),1,Coefficients!$B$22)</f>
        <v>0.854519789948743</v>
      </c>
      <c r="C2465" s="0" t="n">
        <f aca="true">MEDIAN(8,16,ROUND(NORMINV(RAND(),Coefficients!$B$20,Coefficients!$B$21),0))</f>
        <v>9</v>
      </c>
      <c r="D2465" s="0" t="n">
        <f aca="true">CRITBINOM($C2465,MIN(0.75,Matchup!$B$39*$B2465),RAND())</f>
        <v>4</v>
      </c>
      <c r="E2465" s="0" t="n">
        <f aca="true">CRITBINOM(D2465,Coefficients!$B$30,RAND())</f>
        <v>0</v>
      </c>
      <c r="F2465" s="0" t="n">
        <f aca="true">CRITBINOM(E2465,Coefficients!$B$31,RAND())</f>
        <v>0</v>
      </c>
      <c r="G2465" s="0" t="n">
        <f aca="true">CRITBINOM(MAX(0,D2465-E2465),1-Coefficients!$B$32,RAND())</f>
        <v>0</v>
      </c>
      <c r="H2465" s="0" t="n">
        <f aca="true">CRITBINOM(MAX(0,$C2465-D2465),MIN(0.6,Matchup!$B$40*SQRT($B2465)/(1-MIN(0.75,Matchup!$B$39*$B2465))),RAND())</f>
        <v>0</v>
      </c>
      <c r="I2465" s="0" t="n">
        <f aca="false">6*D2465+(D2465-E2465-G2465)+2*F2465+3*H2465</f>
        <v>28</v>
      </c>
      <c r="J2465" s="0" t="n">
        <f aca="true">CRITBINOM($C2465,MIN(0.75,Matchup!$C$39*$B2465),RAND())</f>
        <v>1</v>
      </c>
      <c r="K2465" s="0" t="n">
        <f aca="true">CRITBINOM(J2465,Coefficients!$B$30,RAND())</f>
        <v>0</v>
      </c>
      <c r="L2465" s="0" t="n">
        <f aca="true">CRITBINOM(K2465,Coefficients!$B$31,RAND())</f>
        <v>0</v>
      </c>
      <c r="M2465" s="0" t="n">
        <f aca="true">CRITBINOM(MAX(0,J2465-K2465),1-Coefficients!$B$32,RAND())</f>
        <v>0</v>
      </c>
      <c r="N2465" s="0" t="n">
        <f aca="true">CRITBINOM(MAX(0,$C2465-J2465),MIN(0.6,Matchup!$C$40*SQRT($B2465)/(1-MIN(0.75,Matchup!$C$39*$B2465))),RAND())</f>
        <v>2</v>
      </c>
      <c r="O2465" s="0" t="n">
        <f aca="false">6*J2465+(J2465-K2465-M2465)+2*L2465+3*N2465</f>
        <v>13</v>
      </c>
      <c r="P2465" s="0" t="n">
        <f aca="true">RAND()</f>
        <v>0.831398359666698</v>
      </c>
      <c r="Q2465" s="0" t="n">
        <f aca="true">RAND()</f>
        <v>0.0960855732999865</v>
      </c>
      <c r="R2465" s="0" t="n">
        <f aca="false">IF($I2465&lt;&gt;$O2465,0,IF(P2465&lt;Matchup!$B$39,7,IF(P2465&lt;Matchup!$B$39+Matchup!$B$40,3,0)))</f>
        <v>0</v>
      </c>
      <c r="S2465" s="0" t="n">
        <f aca="false">IF($I2465&lt;&gt;$O2465,0,IF(Q2465&lt;Matchup!$C$39,7,IF(Q2465&lt;Matchup!$C$39+Matchup!$C$40,3,0)))</f>
        <v>0</v>
      </c>
      <c r="T2465" s="0" t="n">
        <f aca="false">I2465+R2465</f>
        <v>28</v>
      </c>
      <c r="U2465" s="0" t="n">
        <f aca="false">O2465+S2465</f>
        <v>13</v>
      </c>
      <c r="V2465" s="0" t="n">
        <f aca="false">T2465-U2465</f>
        <v>15</v>
      </c>
      <c r="W2465" s="0" t="n">
        <f aca="false">T2465+U2465</f>
        <v>41</v>
      </c>
    </row>
    <row r="2466" customFormat="false" ht="15" hidden="false" customHeight="false" outlineLevel="0" collapsed="false">
      <c r="A2466" s="0" t="n">
        <v>2463</v>
      </c>
      <c r="B2466" s="0" t="n">
        <f aca="true">NORMINV(RAND(),1,Coefficients!$B$22)</f>
        <v>0.881459269940294</v>
      </c>
      <c r="C2466" s="0" t="n">
        <f aca="true">MEDIAN(8,16,ROUND(NORMINV(RAND(),Coefficients!$B$20,Coefficients!$B$21),0))</f>
        <v>12</v>
      </c>
      <c r="D2466" s="0" t="n">
        <f aca="true">CRITBINOM($C2466,MIN(0.75,Matchup!$B$39*$B2466),RAND())</f>
        <v>3</v>
      </c>
      <c r="E2466" s="0" t="n">
        <f aca="true">CRITBINOM(D2466,Coefficients!$B$30,RAND())</f>
        <v>0</v>
      </c>
      <c r="F2466" s="0" t="n">
        <f aca="true">CRITBINOM(E2466,Coefficients!$B$31,RAND())</f>
        <v>0</v>
      </c>
      <c r="G2466" s="0" t="n">
        <f aca="true">CRITBINOM(MAX(0,D2466-E2466),1-Coefficients!$B$32,RAND())</f>
        <v>0</v>
      </c>
      <c r="H2466" s="0" t="n">
        <f aca="true">CRITBINOM(MAX(0,$C2466-D2466),MIN(0.6,Matchup!$B$40*SQRT($B2466)/(1-MIN(0.75,Matchup!$B$39*$B2466))),RAND())</f>
        <v>2</v>
      </c>
      <c r="I2466" s="0" t="n">
        <f aca="false">6*D2466+(D2466-E2466-G2466)+2*F2466+3*H2466</f>
        <v>27</v>
      </c>
      <c r="J2466" s="0" t="n">
        <f aca="true">CRITBINOM($C2466,MIN(0.75,Matchup!$C$39*$B2466),RAND())</f>
        <v>0</v>
      </c>
      <c r="K2466" s="0" t="n">
        <f aca="true">CRITBINOM(J2466,Coefficients!$B$30,RAND())</f>
        <v>0</v>
      </c>
      <c r="L2466" s="0" t="n">
        <f aca="true">CRITBINOM(K2466,Coefficients!$B$31,RAND())</f>
        <v>0</v>
      </c>
      <c r="M2466" s="0" t="n">
        <f aca="true">CRITBINOM(MAX(0,J2466-K2466),1-Coefficients!$B$32,RAND())</f>
        <v>0</v>
      </c>
      <c r="N2466" s="0" t="n">
        <f aca="true">CRITBINOM(MAX(0,$C2466-J2466),MIN(0.6,Matchup!$C$40*SQRT($B2466)/(1-MIN(0.75,Matchup!$C$39*$B2466))),RAND())</f>
        <v>3</v>
      </c>
      <c r="O2466" s="0" t="n">
        <f aca="false">6*J2466+(J2466-K2466-M2466)+2*L2466+3*N2466</f>
        <v>9</v>
      </c>
      <c r="P2466" s="0" t="n">
        <f aca="true">RAND()</f>
        <v>0.967633096433148</v>
      </c>
      <c r="Q2466" s="0" t="n">
        <f aca="true">RAND()</f>
        <v>0.378787473778469</v>
      </c>
      <c r="R2466" s="0" t="n">
        <f aca="false">IF($I2466&lt;&gt;$O2466,0,IF(P2466&lt;Matchup!$B$39,7,IF(P2466&lt;Matchup!$B$39+Matchup!$B$40,3,0)))</f>
        <v>0</v>
      </c>
      <c r="S2466" s="0" t="n">
        <f aca="false">IF($I2466&lt;&gt;$O2466,0,IF(Q2466&lt;Matchup!$C$39,7,IF(Q2466&lt;Matchup!$C$39+Matchup!$C$40,3,0)))</f>
        <v>0</v>
      </c>
      <c r="T2466" s="0" t="n">
        <f aca="false">I2466+R2466</f>
        <v>27</v>
      </c>
      <c r="U2466" s="0" t="n">
        <f aca="false">O2466+S2466</f>
        <v>9</v>
      </c>
      <c r="V2466" s="0" t="n">
        <f aca="false">T2466-U2466</f>
        <v>18</v>
      </c>
      <c r="W2466" s="0" t="n">
        <f aca="false">T2466+U2466</f>
        <v>36</v>
      </c>
    </row>
    <row r="2467" customFormat="false" ht="15" hidden="false" customHeight="false" outlineLevel="0" collapsed="false">
      <c r="A2467" s="0" t="n">
        <v>2464</v>
      </c>
      <c r="B2467" s="0" t="n">
        <f aca="true">NORMINV(RAND(),1,Coefficients!$B$22)</f>
        <v>0.961361264235215</v>
      </c>
      <c r="C2467" s="0" t="n">
        <f aca="true">MEDIAN(8,16,ROUND(NORMINV(RAND(),Coefficients!$B$20,Coefficients!$B$21),0))</f>
        <v>13</v>
      </c>
      <c r="D2467" s="0" t="n">
        <f aca="true">CRITBINOM($C2467,MIN(0.75,Matchup!$B$39*$B2467),RAND())</f>
        <v>1</v>
      </c>
      <c r="E2467" s="0" t="n">
        <f aca="true">CRITBINOM(D2467,Coefficients!$B$30,RAND())</f>
        <v>0</v>
      </c>
      <c r="F2467" s="0" t="n">
        <f aca="true">CRITBINOM(E2467,Coefficients!$B$31,RAND())</f>
        <v>0</v>
      </c>
      <c r="G2467" s="0" t="n">
        <f aca="true">CRITBINOM(MAX(0,D2467-E2467),1-Coefficients!$B$32,RAND())</f>
        <v>0</v>
      </c>
      <c r="H2467" s="0" t="n">
        <f aca="true">CRITBINOM(MAX(0,$C2467-D2467),MIN(0.6,Matchup!$B$40*SQRT($B2467)/(1-MIN(0.75,Matchup!$B$39*$B2467))),RAND())</f>
        <v>1</v>
      </c>
      <c r="I2467" s="0" t="n">
        <f aca="false">6*D2467+(D2467-E2467-G2467)+2*F2467+3*H2467</f>
        <v>10</v>
      </c>
      <c r="J2467" s="0" t="n">
        <f aca="true">CRITBINOM($C2467,MIN(0.75,Matchup!$C$39*$B2467),RAND())</f>
        <v>2</v>
      </c>
      <c r="K2467" s="0" t="n">
        <f aca="true">CRITBINOM(J2467,Coefficients!$B$30,RAND())</f>
        <v>0</v>
      </c>
      <c r="L2467" s="0" t="n">
        <f aca="true">CRITBINOM(K2467,Coefficients!$B$31,RAND())</f>
        <v>0</v>
      </c>
      <c r="M2467" s="0" t="n">
        <f aca="true">CRITBINOM(MAX(0,J2467-K2467),1-Coefficients!$B$32,RAND())</f>
        <v>0</v>
      </c>
      <c r="N2467" s="0" t="n">
        <f aca="true">CRITBINOM(MAX(0,$C2467-J2467),MIN(0.6,Matchup!$C$40*SQRT($B2467)/(1-MIN(0.75,Matchup!$C$39*$B2467))),RAND())</f>
        <v>2</v>
      </c>
      <c r="O2467" s="0" t="n">
        <f aca="false">6*J2467+(J2467-K2467-M2467)+2*L2467+3*N2467</f>
        <v>20</v>
      </c>
      <c r="P2467" s="0" t="n">
        <f aca="true">RAND()</f>
        <v>0.830937409114926</v>
      </c>
      <c r="Q2467" s="0" t="n">
        <f aca="true">RAND()</f>
        <v>0.22669353157792</v>
      </c>
      <c r="R2467" s="0" t="n">
        <f aca="false">IF($I2467&lt;&gt;$O2467,0,IF(P2467&lt;Matchup!$B$39,7,IF(P2467&lt;Matchup!$B$39+Matchup!$B$40,3,0)))</f>
        <v>0</v>
      </c>
      <c r="S2467" s="0" t="n">
        <f aca="false">IF($I2467&lt;&gt;$O2467,0,IF(Q2467&lt;Matchup!$C$39,7,IF(Q2467&lt;Matchup!$C$39+Matchup!$C$40,3,0)))</f>
        <v>0</v>
      </c>
      <c r="T2467" s="0" t="n">
        <f aca="false">I2467+R2467</f>
        <v>10</v>
      </c>
      <c r="U2467" s="0" t="n">
        <f aca="false">O2467+S2467</f>
        <v>20</v>
      </c>
      <c r="V2467" s="0" t="n">
        <f aca="false">T2467-U2467</f>
        <v>-10</v>
      </c>
      <c r="W2467" s="0" t="n">
        <f aca="false">T2467+U2467</f>
        <v>30</v>
      </c>
    </row>
    <row r="2468" customFormat="false" ht="15" hidden="false" customHeight="false" outlineLevel="0" collapsed="false">
      <c r="A2468" s="0" t="n">
        <v>2465</v>
      </c>
      <c r="B2468" s="0" t="n">
        <f aca="true">NORMINV(RAND(),1,Coefficients!$B$22)</f>
        <v>1.02698288709367</v>
      </c>
      <c r="C2468" s="0" t="n">
        <f aca="true">MEDIAN(8,16,ROUND(NORMINV(RAND(),Coefficients!$B$20,Coefficients!$B$21),0))</f>
        <v>12</v>
      </c>
      <c r="D2468" s="0" t="n">
        <f aca="true">CRITBINOM($C2468,MIN(0.75,Matchup!$B$39*$B2468),RAND())</f>
        <v>2</v>
      </c>
      <c r="E2468" s="0" t="n">
        <f aca="true">CRITBINOM(D2468,Coefficients!$B$30,RAND())</f>
        <v>0</v>
      </c>
      <c r="F2468" s="0" t="n">
        <f aca="true">CRITBINOM(E2468,Coefficients!$B$31,RAND())</f>
        <v>0</v>
      </c>
      <c r="G2468" s="0" t="n">
        <f aca="true">CRITBINOM(MAX(0,D2468-E2468),1-Coefficients!$B$32,RAND())</f>
        <v>0</v>
      </c>
      <c r="H2468" s="0" t="n">
        <f aca="true">CRITBINOM(MAX(0,$C2468-D2468),MIN(0.6,Matchup!$B$40*SQRT($B2468)/(1-MIN(0.75,Matchup!$B$39*$B2468))),RAND())</f>
        <v>2</v>
      </c>
      <c r="I2468" s="0" t="n">
        <f aca="false">6*D2468+(D2468-E2468-G2468)+2*F2468+3*H2468</f>
        <v>20</v>
      </c>
      <c r="J2468" s="0" t="n">
        <f aca="true">CRITBINOM($C2468,MIN(0.75,Matchup!$C$39*$B2468),RAND())</f>
        <v>3</v>
      </c>
      <c r="K2468" s="0" t="n">
        <f aca="true">CRITBINOM(J2468,Coefficients!$B$30,RAND())</f>
        <v>0</v>
      </c>
      <c r="L2468" s="0" t="n">
        <f aca="true">CRITBINOM(K2468,Coefficients!$B$31,RAND())</f>
        <v>0</v>
      </c>
      <c r="M2468" s="0" t="n">
        <f aca="true">CRITBINOM(MAX(0,J2468-K2468),1-Coefficients!$B$32,RAND())</f>
        <v>0</v>
      </c>
      <c r="N2468" s="0" t="n">
        <f aca="true">CRITBINOM(MAX(0,$C2468-J2468),MIN(0.6,Matchup!$C$40*SQRT($B2468)/(1-MIN(0.75,Matchup!$C$39*$B2468))),RAND())</f>
        <v>1</v>
      </c>
      <c r="O2468" s="0" t="n">
        <f aca="false">6*J2468+(J2468-K2468-M2468)+2*L2468+3*N2468</f>
        <v>24</v>
      </c>
      <c r="P2468" s="0" t="n">
        <f aca="true">RAND()</f>
        <v>0.0182679113370897</v>
      </c>
      <c r="Q2468" s="0" t="n">
        <f aca="true">RAND()</f>
        <v>0.112977987498547</v>
      </c>
      <c r="R2468" s="0" t="n">
        <f aca="false">IF($I2468&lt;&gt;$O2468,0,IF(P2468&lt;Matchup!$B$39,7,IF(P2468&lt;Matchup!$B$39+Matchup!$B$40,3,0)))</f>
        <v>0</v>
      </c>
      <c r="S2468" s="0" t="n">
        <f aca="false">IF($I2468&lt;&gt;$O2468,0,IF(Q2468&lt;Matchup!$C$39,7,IF(Q2468&lt;Matchup!$C$39+Matchup!$C$40,3,0)))</f>
        <v>0</v>
      </c>
      <c r="T2468" s="0" t="n">
        <f aca="false">I2468+R2468</f>
        <v>20</v>
      </c>
      <c r="U2468" s="0" t="n">
        <f aca="false">O2468+S2468</f>
        <v>24</v>
      </c>
      <c r="V2468" s="0" t="n">
        <f aca="false">T2468-U2468</f>
        <v>-4</v>
      </c>
      <c r="W2468" s="0" t="n">
        <f aca="false">T2468+U2468</f>
        <v>44</v>
      </c>
    </row>
    <row r="2469" customFormat="false" ht="15" hidden="false" customHeight="false" outlineLevel="0" collapsed="false">
      <c r="A2469" s="0" t="n">
        <v>2466</v>
      </c>
      <c r="B2469" s="0" t="n">
        <f aca="true">NORMINV(RAND(),1,Coefficients!$B$22)</f>
        <v>1.0622519611781</v>
      </c>
      <c r="C2469" s="0" t="n">
        <f aca="true">MEDIAN(8,16,ROUND(NORMINV(RAND(),Coefficients!$B$20,Coefficients!$B$21),0))</f>
        <v>9</v>
      </c>
      <c r="D2469" s="0" t="n">
        <f aca="true">CRITBINOM($C2469,MIN(0.75,Matchup!$B$39*$B2469),RAND())</f>
        <v>6</v>
      </c>
      <c r="E2469" s="0" t="n">
        <f aca="true">CRITBINOM(D2469,Coefficients!$B$30,RAND())</f>
        <v>1</v>
      </c>
      <c r="F2469" s="0" t="n">
        <f aca="true">CRITBINOM(E2469,Coefficients!$B$31,RAND())</f>
        <v>1</v>
      </c>
      <c r="G2469" s="0" t="n">
        <f aca="true">CRITBINOM(MAX(0,D2469-E2469),1-Coefficients!$B$32,RAND())</f>
        <v>1</v>
      </c>
      <c r="H2469" s="0" t="n">
        <f aca="true">CRITBINOM(MAX(0,$C2469-D2469),MIN(0.6,Matchup!$B$40*SQRT($B2469)/(1-MIN(0.75,Matchup!$B$39*$B2469))),RAND())</f>
        <v>3</v>
      </c>
      <c r="I2469" s="0" t="n">
        <f aca="false">6*D2469+(D2469-E2469-G2469)+2*F2469+3*H2469</f>
        <v>51</v>
      </c>
      <c r="J2469" s="0" t="n">
        <f aca="true">CRITBINOM($C2469,MIN(0.75,Matchup!$C$39*$B2469),RAND())</f>
        <v>0</v>
      </c>
      <c r="K2469" s="0" t="n">
        <f aca="true">CRITBINOM(J2469,Coefficients!$B$30,RAND())</f>
        <v>0</v>
      </c>
      <c r="L2469" s="0" t="n">
        <f aca="true">CRITBINOM(K2469,Coefficients!$B$31,RAND())</f>
        <v>0</v>
      </c>
      <c r="M2469" s="0" t="n">
        <f aca="true">CRITBINOM(MAX(0,J2469-K2469),1-Coefficients!$B$32,RAND())</f>
        <v>0</v>
      </c>
      <c r="N2469" s="0" t="n">
        <f aca="true">CRITBINOM(MAX(0,$C2469-J2469),MIN(0.6,Matchup!$C$40*SQRT($B2469)/(1-MIN(0.75,Matchup!$C$39*$B2469))),RAND())</f>
        <v>4</v>
      </c>
      <c r="O2469" s="0" t="n">
        <f aca="false">6*J2469+(J2469-K2469-M2469)+2*L2469+3*N2469</f>
        <v>12</v>
      </c>
      <c r="P2469" s="0" t="n">
        <f aca="true">RAND()</f>
        <v>0.970109463123664</v>
      </c>
      <c r="Q2469" s="0" t="n">
        <f aca="true">RAND()</f>
        <v>0.386701999778041</v>
      </c>
      <c r="R2469" s="0" t="n">
        <f aca="false">IF($I2469&lt;&gt;$O2469,0,IF(P2469&lt;Matchup!$B$39,7,IF(P2469&lt;Matchup!$B$39+Matchup!$B$40,3,0)))</f>
        <v>0</v>
      </c>
      <c r="S2469" s="0" t="n">
        <f aca="false">IF($I2469&lt;&gt;$O2469,0,IF(Q2469&lt;Matchup!$C$39,7,IF(Q2469&lt;Matchup!$C$39+Matchup!$C$40,3,0)))</f>
        <v>0</v>
      </c>
      <c r="T2469" s="0" t="n">
        <f aca="false">I2469+R2469</f>
        <v>51</v>
      </c>
      <c r="U2469" s="0" t="n">
        <f aca="false">O2469+S2469</f>
        <v>12</v>
      </c>
      <c r="V2469" s="0" t="n">
        <f aca="false">T2469-U2469</f>
        <v>39</v>
      </c>
      <c r="W2469" s="0" t="n">
        <f aca="false">T2469+U2469</f>
        <v>63</v>
      </c>
    </row>
    <row r="2470" customFormat="false" ht="15" hidden="false" customHeight="false" outlineLevel="0" collapsed="false">
      <c r="A2470" s="0" t="n">
        <v>2467</v>
      </c>
      <c r="B2470" s="0" t="n">
        <f aca="true">NORMINV(RAND(),1,Coefficients!$B$22)</f>
        <v>1.0486235112594</v>
      </c>
      <c r="C2470" s="0" t="n">
        <f aca="true">MEDIAN(8,16,ROUND(NORMINV(RAND(),Coefficients!$B$20,Coefficients!$B$21),0))</f>
        <v>12</v>
      </c>
      <c r="D2470" s="0" t="n">
        <f aca="true">CRITBINOM($C2470,MIN(0.75,Matchup!$B$39*$B2470),RAND())</f>
        <v>2</v>
      </c>
      <c r="E2470" s="0" t="n">
        <f aca="true">CRITBINOM(D2470,Coefficients!$B$30,RAND())</f>
        <v>0</v>
      </c>
      <c r="F2470" s="0" t="n">
        <f aca="true">CRITBINOM(E2470,Coefficients!$B$31,RAND())</f>
        <v>0</v>
      </c>
      <c r="G2470" s="0" t="n">
        <f aca="true">CRITBINOM(MAX(0,D2470-E2470),1-Coefficients!$B$32,RAND())</f>
        <v>0</v>
      </c>
      <c r="H2470" s="0" t="n">
        <f aca="true">CRITBINOM(MAX(0,$C2470-D2470),MIN(0.6,Matchup!$B$40*SQRT($B2470)/(1-MIN(0.75,Matchup!$B$39*$B2470))),RAND())</f>
        <v>1</v>
      </c>
      <c r="I2470" s="0" t="n">
        <f aca="false">6*D2470+(D2470-E2470-G2470)+2*F2470+3*H2470</f>
        <v>17</v>
      </c>
      <c r="J2470" s="0" t="n">
        <f aca="true">CRITBINOM($C2470,MIN(0.75,Matchup!$C$39*$B2470),RAND())</f>
        <v>6</v>
      </c>
      <c r="K2470" s="0" t="n">
        <f aca="true">CRITBINOM(J2470,Coefficients!$B$30,RAND())</f>
        <v>0</v>
      </c>
      <c r="L2470" s="0" t="n">
        <f aca="true">CRITBINOM(K2470,Coefficients!$B$31,RAND())</f>
        <v>0</v>
      </c>
      <c r="M2470" s="0" t="n">
        <f aca="true">CRITBINOM(MAX(0,J2470-K2470),1-Coefficients!$B$32,RAND())</f>
        <v>0</v>
      </c>
      <c r="N2470" s="0" t="n">
        <f aca="true">CRITBINOM(MAX(0,$C2470-J2470),MIN(0.6,Matchup!$C$40*SQRT($B2470)/(1-MIN(0.75,Matchup!$C$39*$B2470))),RAND())</f>
        <v>1</v>
      </c>
      <c r="O2470" s="0" t="n">
        <f aca="false">6*J2470+(J2470-K2470-M2470)+2*L2470+3*N2470</f>
        <v>45</v>
      </c>
      <c r="P2470" s="0" t="n">
        <f aca="true">RAND()</f>
        <v>0.100212430689449</v>
      </c>
      <c r="Q2470" s="0" t="n">
        <f aca="true">RAND()</f>
        <v>0.122006509476762</v>
      </c>
      <c r="R2470" s="0" t="n">
        <f aca="false">IF($I2470&lt;&gt;$O2470,0,IF(P2470&lt;Matchup!$B$39,7,IF(P2470&lt;Matchup!$B$39+Matchup!$B$40,3,0)))</f>
        <v>0</v>
      </c>
      <c r="S2470" s="0" t="n">
        <f aca="false">IF($I2470&lt;&gt;$O2470,0,IF(Q2470&lt;Matchup!$C$39,7,IF(Q2470&lt;Matchup!$C$39+Matchup!$C$40,3,0)))</f>
        <v>0</v>
      </c>
      <c r="T2470" s="0" t="n">
        <f aca="false">I2470+R2470</f>
        <v>17</v>
      </c>
      <c r="U2470" s="0" t="n">
        <f aca="false">O2470+S2470</f>
        <v>45</v>
      </c>
      <c r="V2470" s="0" t="n">
        <f aca="false">T2470-U2470</f>
        <v>-28</v>
      </c>
      <c r="W2470" s="0" t="n">
        <f aca="false">T2470+U2470</f>
        <v>62</v>
      </c>
    </row>
    <row r="2471" customFormat="false" ht="15" hidden="false" customHeight="false" outlineLevel="0" collapsed="false">
      <c r="A2471" s="0" t="n">
        <v>2468</v>
      </c>
      <c r="B2471" s="0" t="n">
        <f aca="true">NORMINV(RAND(),1,Coefficients!$B$22)</f>
        <v>0.779232567226229</v>
      </c>
      <c r="C2471" s="0" t="n">
        <f aca="true">MEDIAN(8,16,ROUND(NORMINV(RAND(),Coefficients!$B$20,Coefficients!$B$21),0))</f>
        <v>12</v>
      </c>
      <c r="D2471" s="0" t="n">
        <f aca="true">CRITBINOM($C2471,MIN(0.75,Matchup!$B$39*$B2471),RAND())</f>
        <v>1</v>
      </c>
      <c r="E2471" s="0" t="n">
        <f aca="true">CRITBINOM(D2471,Coefficients!$B$30,RAND())</f>
        <v>0</v>
      </c>
      <c r="F2471" s="0" t="n">
        <f aca="true">CRITBINOM(E2471,Coefficients!$B$31,RAND())</f>
        <v>0</v>
      </c>
      <c r="G2471" s="0" t="n">
        <f aca="true">CRITBINOM(MAX(0,D2471-E2471),1-Coefficients!$B$32,RAND())</f>
        <v>0</v>
      </c>
      <c r="H2471" s="0" t="n">
        <f aca="true">CRITBINOM(MAX(0,$C2471-D2471),MIN(0.6,Matchup!$B$40*SQRT($B2471)/(1-MIN(0.75,Matchup!$B$39*$B2471))),RAND())</f>
        <v>1</v>
      </c>
      <c r="I2471" s="0" t="n">
        <f aca="false">6*D2471+(D2471-E2471-G2471)+2*F2471+3*H2471</f>
        <v>10</v>
      </c>
      <c r="J2471" s="0" t="n">
        <f aca="true">CRITBINOM($C2471,MIN(0.75,Matchup!$C$39*$B2471),RAND())</f>
        <v>2</v>
      </c>
      <c r="K2471" s="0" t="n">
        <f aca="true">CRITBINOM(J2471,Coefficients!$B$30,RAND())</f>
        <v>0</v>
      </c>
      <c r="L2471" s="0" t="n">
        <f aca="true">CRITBINOM(K2471,Coefficients!$B$31,RAND())</f>
        <v>0</v>
      </c>
      <c r="M2471" s="0" t="n">
        <f aca="true">CRITBINOM(MAX(0,J2471-K2471),1-Coefficients!$B$32,RAND())</f>
        <v>0</v>
      </c>
      <c r="N2471" s="0" t="n">
        <f aca="true">CRITBINOM(MAX(0,$C2471-J2471),MIN(0.6,Matchup!$C$40*SQRT($B2471)/(1-MIN(0.75,Matchup!$C$39*$B2471))),RAND())</f>
        <v>0</v>
      </c>
      <c r="O2471" s="0" t="n">
        <f aca="false">6*J2471+(J2471-K2471-M2471)+2*L2471+3*N2471</f>
        <v>14</v>
      </c>
      <c r="P2471" s="0" t="n">
        <f aca="true">RAND()</f>
        <v>0.970071888081484</v>
      </c>
      <c r="Q2471" s="0" t="n">
        <f aca="true">RAND()</f>
        <v>0.175988282104971</v>
      </c>
      <c r="R2471" s="0" t="n">
        <f aca="false">IF($I2471&lt;&gt;$O2471,0,IF(P2471&lt;Matchup!$B$39,7,IF(P2471&lt;Matchup!$B$39+Matchup!$B$40,3,0)))</f>
        <v>0</v>
      </c>
      <c r="S2471" s="0" t="n">
        <f aca="false">IF($I2471&lt;&gt;$O2471,0,IF(Q2471&lt;Matchup!$C$39,7,IF(Q2471&lt;Matchup!$C$39+Matchup!$C$40,3,0)))</f>
        <v>0</v>
      </c>
      <c r="T2471" s="0" t="n">
        <f aca="false">I2471+R2471</f>
        <v>10</v>
      </c>
      <c r="U2471" s="0" t="n">
        <f aca="false">O2471+S2471</f>
        <v>14</v>
      </c>
      <c r="V2471" s="0" t="n">
        <f aca="false">T2471-U2471</f>
        <v>-4</v>
      </c>
      <c r="W2471" s="0" t="n">
        <f aca="false">T2471+U2471</f>
        <v>24</v>
      </c>
    </row>
    <row r="2472" customFormat="false" ht="15" hidden="false" customHeight="false" outlineLevel="0" collapsed="false">
      <c r="A2472" s="0" t="n">
        <v>2469</v>
      </c>
      <c r="B2472" s="0" t="n">
        <f aca="true">NORMINV(RAND(),1,Coefficients!$B$22)</f>
        <v>1.04372195847589</v>
      </c>
      <c r="C2472" s="0" t="n">
        <f aca="true">MEDIAN(8,16,ROUND(NORMINV(RAND(),Coefficients!$B$20,Coefficients!$B$21),0))</f>
        <v>11</v>
      </c>
      <c r="D2472" s="0" t="n">
        <f aca="true">CRITBINOM($C2472,MIN(0.75,Matchup!$B$39*$B2472),RAND())</f>
        <v>4</v>
      </c>
      <c r="E2472" s="0" t="n">
        <f aca="true">CRITBINOM(D2472,Coefficients!$B$30,RAND())</f>
        <v>1</v>
      </c>
      <c r="F2472" s="0" t="n">
        <f aca="true">CRITBINOM(E2472,Coefficients!$B$31,RAND())</f>
        <v>0</v>
      </c>
      <c r="G2472" s="0" t="n">
        <f aca="true">CRITBINOM(MAX(0,D2472-E2472),1-Coefficients!$B$32,RAND())</f>
        <v>1</v>
      </c>
      <c r="H2472" s="0" t="n">
        <f aca="true">CRITBINOM(MAX(0,$C2472-D2472),MIN(0.6,Matchup!$B$40*SQRT($B2472)/(1-MIN(0.75,Matchup!$B$39*$B2472))),RAND())</f>
        <v>0</v>
      </c>
      <c r="I2472" s="0" t="n">
        <f aca="false">6*D2472+(D2472-E2472-G2472)+2*F2472+3*H2472</f>
        <v>26</v>
      </c>
      <c r="J2472" s="0" t="n">
        <f aca="true">CRITBINOM($C2472,MIN(0.75,Matchup!$C$39*$B2472),RAND())</f>
        <v>3</v>
      </c>
      <c r="K2472" s="0" t="n">
        <f aca="true">CRITBINOM(J2472,Coefficients!$B$30,RAND())</f>
        <v>0</v>
      </c>
      <c r="L2472" s="0" t="n">
        <f aca="true">CRITBINOM(K2472,Coefficients!$B$31,RAND())</f>
        <v>0</v>
      </c>
      <c r="M2472" s="0" t="n">
        <f aca="true">CRITBINOM(MAX(0,J2472-K2472),1-Coefficients!$B$32,RAND())</f>
        <v>0</v>
      </c>
      <c r="N2472" s="0" t="n">
        <f aca="true">CRITBINOM(MAX(0,$C2472-J2472),MIN(0.6,Matchup!$C$40*SQRT($B2472)/(1-MIN(0.75,Matchup!$C$39*$B2472))),RAND())</f>
        <v>0</v>
      </c>
      <c r="O2472" s="0" t="n">
        <f aca="false">6*J2472+(J2472-K2472-M2472)+2*L2472+3*N2472</f>
        <v>21</v>
      </c>
      <c r="P2472" s="0" t="n">
        <f aca="true">RAND()</f>
        <v>0.434263620498848</v>
      </c>
      <c r="Q2472" s="0" t="n">
        <f aca="true">RAND()</f>
        <v>0.481465416002916</v>
      </c>
      <c r="R2472" s="0" t="n">
        <f aca="false">IF($I2472&lt;&gt;$O2472,0,IF(P2472&lt;Matchup!$B$39,7,IF(P2472&lt;Matchup!$B$39+Matchup!$B$40,3,0)))</f>
        <v>0</v>
      </c>
      <c r="S2472" s="0" t="n">
        <f aca="false">IF($I2472&lt;&gt;$O2472,0,IF(Q2472&lt;Matchup!$C$39,7,IF(Q2472&lt;Matchup!$C$39+Matchup!$C$40,3,0)))</f>
        <v>0</v>
      </c>
      <c r="T2472" s="0" t="n">
        <f aca="false">I2472+R2472</f>
        <v>26</v>
      </c>
      <c r="U2472" s="0" t="n">
        <f aca="false">O2472+S2472</f>
        <v>21</v>
      </c>
      <c r="V2472" s="0" t="n">
        <f aca="false">T2472-U2472</f>
        <v>5</v>
      </c>
      <c r="W2472" s="0" t="n">
        <f aca="false">T2472+U2472</f>
        <v>47</v>
      </c>
    </row>
    <row r="2473" customFormat="false" ht="15" hidden="false" customHeight="false" outlineLevel="0" collapsed="false">
      <c r="A2473" s="0" t="n">
        <v>2470</v>
      </c>
      <c r="B2473" s="0" t="n">
        <f aca="true">NORMINV(RAND(),1,Coefficients!$B$22)</f>
        <v>0.945465422360334</v>
      </c>
      <c r="C2473" s="0" t="n">
        <f aca="true">MEDIAN(8,16,ROUND(NORMINV(RAND(),Coefficients!$B$20,Coefficients!$B$21),0))</f>
        <v>11</v>
      </c>
      <c r="D2473" s="0" t="n">
        <f aca="true">CRITBINOM($C2473,MIN(0.75,Matchup!$B$39*$B2473),RAND())</f>
        <v>2</v>
      </c>
      <c r="E2473" s="0" t="n">
        <f aca="true">CRITBINOM(D2473,Coefficients!$B$30,RAND())</f>
        <v>0</v>
      </c>
      <c r="F2473" s="0" t="n">
        <f aca="true">CRITBINOM(E2473,Coefficients!$B$31,RAND())</f>
        <v>0</v>
      </c>
      <c r="G2473" s="0" t="n">
        <f aca="true">CRITBINOM(MAX(0,D2473-E2473),1-Coefficients!$B$32,RAND())</f>
        <v>0</v>
      </c>
      <c r="H2473" s="0" t="n">
        <f aca="true">CRITBINOM(MAX(0,$C2473-D2473),MIN(0.6,Matchup!$B$40*SQRT($B2473)/(1-MIN(0.75,Matchup!$B$39*$B2473))),RAND())</f>
        <v>1</v>
      </c>
      <c r="I2473" s="0" t="n">
        <f aca="false">6*D2473+(D2473-E2473-G2473)+2*F2473+3*H2473</f>
        <v>17</v>
      </c>
      <c r="J2473" s="0" t="n">
        <f aca="true">CRITBINOM($C2473,MIN(0.75,Matchup!$C$39*$B2473),RAND())</f>
        <v>5</v>
      </c>
      <c r="K2473" s="0" t="n">
        <f aca="true">CRITBINOM(J2473,Coefficients!$B$30,RAND())</f>
        <v>0</v>
      </c>
      <c r="L2473" s="0" t="n">
        <f aca="true">CRITBINOM(K2473,Coefficients!$B$31,RAND())</f>
        <v>0</v>
      </c>
      <c r="M2473" s="0" t="n">
        <f aca="true">CRITBINOM(MAX(0,J2473-K2473),1-Coefficients!$B$32,RAND())</f>
        <v>1</v>
      </c>
      <c r="N2473" s="0" t="n">
        <f aca="true">CRITBINOM(MAX(0,$C2473-J2473),MIN(0.6,Matchup!$C$40*SQRT($B2473)/(1-MIN(0.75,Matchup!$C$39*$B2473))),RAND())</f>
        <v>2</v>
      </c>
      <c r="O2473" s="0" t="n">
        <f aca="false">6*J2473+(J2473-K2473-M2473)+2*L2473+3*N2473</f>
        <v>40</v>
      </c>
      <c r="P2473" s="0" t="n">
        <f aca="true">RAND()</f>
        <v>0.233713479732167</v>
      </c>
      <c r="Q2473" s="0" t="n">
        <f aca="true">RAND()</f>
        <v>0.41145747953456</v>
      </c>
      <c r="R2473" s="0" t="n">
        <f aca="false">IF($I2473&lt;&gt;$O2473,0,IF(P2473&lt;Matchup!$B$39,7,IF(P2473&lt;Matchup!$B$39+Matchup!$B$40,3,0)))</f>
        <v>0</v>
      </c>
      <c r="S2473" s="0" t="n">
        <f aca="false">IF($I2473&lt;&gt;$O2473,0,IF(Q2473&lt;Matchup!$C$39,7,IF(Q2473&lt;Matchup!$C$39+Matchup!$C$40,3,0)))</f>
        <v>0</v>
      </c>
      <c r="T2473" s="0" t="n">
        <f aca="false">I2473+R2473</f>
        <v>17</v>
      </c>
      <c r="U2473" s="0" t="n">
        <f aca="false">O2473+S2473</f>
        <v>40</v>
      </c>
      <c r="V2473" s="0" t="n">
        <f aca="false">T2473-U2473</f>
        <v>-23</v>
      </c>
      <c r="W2473" s="0" t="n">
        <f aca="false">T2473+U2473</f>
        <v>57</v>
      </c>
    </row>
    <row r="2474" customFormat="false" ht="15" hidden="false" customHeight="false" outlineLevel="0" collapsed="false">
      <c r="A2474" s="0" t="n">
        <v>2471</v>
      </c>
      <c r="B2474" s="0" t="n">
        <f aca="true">NORMINV(RAND(),1,Coefficients!$B$22)</f>
        <v>0.9285331572631</v>
      </c>
      <c r="C2474" s="0" t="n">
        <f aca="true">MEDIAN(8,16,ROUND(NORMINV(RAND(),Coefficients!$B$20,Coefficients!$B$21),0))</f>
        <v>10</v>
      </c>
      <c r="D2474" s="0" t="n">
        <f aca="true">CRITBINOM($C2474,MIN(0.75,Matchup!$B$39*$B2474),RAND())</f>
        <v>5</v>
      </c>
      <c r="E2474" s="0" t="n">
        <f aca="true">CRITBINOM(D2474,Coefficients!$B$30,RAND())</f>
        <v>0</v>
      </c>
      <c r="F2474" s="0" t="n">
        <f aca="true">CRITBINOM(E2474,Coefficients!$B$31,RAND())</f>
        <v>0</v>
      </c>
      <c r="G2474" s="0" t="n">
        <f aca="true">CRITBINOM(MAX(0,D2474-E2474),1-Coefficients!$B$32,RAND())</f>
        <v>1</v>
      </c>
      <c r="H2474" s="0" t="n">
        <f aca="true">CRITBINOM(MAX(0,$C2474-D2474),MIN(0.6,Matchup!$B$40*SQRT($B2474)/(1-MIN(0.75,Matchup!$B$39*$B2474))),RAND())</f>
        <v>1</v>
      </c>
      <c r="I2474" s="0" t="n">
        <f aca="false">6*D2474+(D2474-E2474-G2474)+2*F2474+3*H2474</f>
        <v>37</v>
      </c>
      <c r="J2474" s="0" t="n">
        <f aca="true">CRITBINOM($C2474,MIN(0.75,Matchup!$C$39*$B2474),RAND())</f>
        <v>4</v>
      </c>
      <c r="K2474" s="0" t="n">
        <f aca="true">CRITBINOM(J2474,Coefficients!$B$30,RAND())</f>
        <v>0</v>
      </c>
      <c r="L2474" s="0" t="n">
        <f aca="true">CRITBINOM(K2474,Coefficients!$B$31,RAND())</f>
        <v>0</v>
      </c>
      <c r="M2474" s="0" t="n">
        <f aca="true">CRITBINOM(MAX(0,J2474-K2474),1-Coefficients!$B$32,RAND())</f>
        <v>1</v>
      </c>
      <c r="N2474" s="0" t="n">
        <f aca="true">CRITBINOM(MAX(0,$C2474-J2474),MIN(0.6,Matchup!$C$40*SQRT($B2474)/(1-MIN(0.75,Matchup!$C$39*$B2474))),RAND())</f>
        <v>2</v>
      </c>
      <c r="O2474" s="0" t="n">
        <f aca="false">6*J2474+(J2474-K2474-M2474)+2*L2474+3*N2474</f>
        <v>33</v>
      </c>
      <c r="P2474" s="0" t="n">
        <f aca="true">RAND()</f>
        <v>0.691145445749819</v>
      </c>
      <c r="Q2474" s="0" t="n">
        <f aca="true">RAND()</f>
        <v>0.619530081869981</v>
      </c>
      <c r="R2474" s="0" t="n">
        <f aca="false">IF($I2474&lt;&gt;$O2474,0,IF(P2474&lt;Matchup!$B$39,7,IF(P2474&lt;Matchup!$B$39+Matchup!$B$40,3,0)))</f>
        <v>0</v>
      </c>
      <c r="S2474" s="0" t="n">
        <f aca="false">IF($I2474&lt;&gt;$O2474,0,IF(Q2474&lt;Matchup!$C$39,7,IF(Q2474&lt;Matchup!$C$39+Matchup!$C$40,3,0)))</f>
        <v>0</v>
      </c>
      <c r="T2474" s="0" t="n">
        <f aca="false">I2474+R2474</f>
        <v>37</v>
      </c>
      <c r="U2474" s="0" t="n">
        <f aca="false">O2474+S2474</f>
        <v>33</v>
      </c>
      <c r="V2474" s="0" t="n">
        <f aca="false">T2474-U2474</f>
        <v>4</v>
      </c>
      <c r="W2474" s="0" t="n">
        <f aca="false">T2474+U2474</f>
        <v>70</v>
      </c>
    </row>
    <row r="2475" customFormat="false" ht="15" hidden="false" customHeight="false" outlineLevel="0" collapsed="false">
      <c r="A2475" s="0" t="n">
        <v>2472</v>
      </c>
      <c r="B2475" s="0" t="n">
        <f aca="true">NORMINV(RAND(),1,Coefficients!$B$22)</f>
        <v>0.941190601792716</v>
      </c>
      <c r="C2475" s="0" t="n">
        <f aca="true">MEDIAN(8,16,ROUND(NORMINV(RAND(),Coefficients!$B$20,Coefficients!$B$21),0))</f>
        <v>10</v>
      </c>
      <c r="D2475" s="0" t="n">
        <f aca="true">CRITBINOM($C2475,MIN(0.75,Matchup!$B$39*$B2475),RAND())</f>
        <v>1</v>
      </c>
      <c r="E2475" s="0" t="n">
        <f aca="true">CRITBINOM(D2475,Coefficients!$B$30,RAND())</f>
        <v>0</v>
      </c>
      <c r="F2475" s="0" t="n">
        <f aca="true">CRITBINOM(E2475,Coefficients!$B$31,RAND())</f>
        <v>0</v>
      </c>
      <c r="G2475" s="0" t="n">
        <f aca="true">CRITBINOM(MAX(0,D2475-E2475),1-Coefficients!$B$32,RAND())</f>
        <v>0</v>
      </c>
      <c r="H2475" s="0" t="n">
        <f aca="true">CRITBINOM(MAX(0,$C2475-D2475),MIN(0.6,Matchup!$B$40*SQRT($B2475)/(1-MIN(0.75,Matchup!$B$39*$B2475))),RAND())</f>
        <v>1</v>
      </c>
      <c r="I2475" s="0" t="n">
        <f aca="false">6*D2475+(D2475-E2475-G2475)+2*F2475+3*H2475</f>
        <v>10</v>
      </c>
      <c r="J2475" s="0" t="n">
        <f aca="true">CRITBINOM($C2475,MIN(0.75,Matchup!$C$39*$B2475),RAND())</f>
        <v>1</v>
      </c>
      <c r="K2475" s="0" t="n">
        <f aca="true">CRITBINOM(J2475,Coefficients!$B$30,RAND())</f>
        <v>0</v>
      </c>
      <c r="L2475" s="0" t="n">
        <f aca="true">CRITBINOM(K2475,Coefficients!$B$31,RAND())</f>
        <v>0</v>
      </c>
      <c r="M2475" s="0" t="n">
        <f aca="true">CRITBINOM(MAX(0,J2475-K2475),1-Coefficients!$B$32,RAND())</f>
        <v>0</v>
      </c>
      <c r="N2475" s="0" t="n">
        <f aca="true">CRITBINOM(MAX(0,$C2475-J2475),MIN(0.6,Matchup!$C$40*SQRT($B2475)/(1-MIN(0.75,Matchup!$C$39*$B2475))),RAND())</f>
        <v>4</v>
      </c>
      <c r="O2475" s="0" t="n">
        <f aca="false">6*J2475+(J2475-K2475-M2475)+2*L2475+3*N2475</f>
        <v>19</v>
      </c>
      <c r="P2475" s="0" t="n">
        <f aca="true">RAND()</f>
        <v>0.320891753758346</v>
      </c>
      <c r="Q2475" s="0" t="n">
        <f aca="true">RAND()</f>
        <v>0.392651763607673</v>
      </c>
      <c r="R2475" s="0" t="n">
        <f aca="false">IF($I2475&lt;&gt;$O2475,0,IF(P2475&lt;Matchup!$B$39,7,IF(P2475&lt;Matchup!$B$39+Matchup!$B$40,3,0)))</f>
        <v>0</v>
      </c>
      <c r="S2475" s="0" t="n">
        <f aca="false">IF($I2475&lt;&gt;$O2475,0,IF(Q2475&lt;Matchup!$C$39,7,IF(Q2475&lt;Matchup!$C$39+Matchup!$C$40,3,0)))</f>
        <v>0</v>
      </c>
      <c r="T2475" s="0" t="n">
        <f aca="false">I2475+R2475</f>
        <v>10</v>
      </c>
      <c r="U2475" s="0" t="n">
        <f aca="false">O2475+S2475</f>
        <v>19</v>
      </c>
      <c r="V2475" s="0" t="n">
        <f aca="false">T2475-U2475</f>
        <v>-9</v>
      </c>
      <c r="W2475" s="0" t="n">
        <f aca="false">T2475+U2475</f>
        <v>29</v>
      </c>
    </row>
    <row r="2476" customFormat="false" ht="15" hidden="false" customHeight="false" outlineLevel="0" collapsed="false">
      <c r="A2476" s="0" t="n">
        <v>2473</v>
      </c>
      <c r="B2476" s="0" t="n">
        <f aca="true">NORMINV(RAND(),1,Coefficients!$B$22)</f>
        <v>0.960589909981409</v>
      </c>
      <c r="C2476" s="0" t="n">
        <f aca="true">MEDIAN(8,16,ROUND(NORMINV(RAND(),Coefficients!$B$20,Coefficients!$B$21),0))</f>
        <v>12</v>
      </c>
      <c r="D2476" s="0" t="n">
        <f aca="true">CRITBINOM($C2476,MIN(0.75,Matchup!$B$39*$B2476),RAND())</f>
        <v>4</v>
      </c>
      <c r="E2476" s="0" t="n">
        <f aca="true">CRITBINOM(D2476,Coefficients!$B$30,RAND())</f>
        <v>0</v>
      </c>
      <c r="F2476" s="0" t="n">
        <f aca="true">CRITBINOM(E2476,Coefficients!$B$31,RAND())</f>
        <v>0</v>
      </c>
      <c r="G2476" s="0" t="n">
        <f aca="true">CRITBINOM(MAX(0,D2476-E2476),1-Coefficients!$B$32,RAND())</f>
        <v>0</v>
      </c>
      <c r="H2476" s="0" t="n">
        <f aca="true">CRITBINOM(MAX(0,$C2476-D2476),MIN(0.6,Matchup!$B$40*SQRT($B2476)/(1-MIN(0.75,Matchup!$B$39*$B2476))),RAND())</f>
        <v>2</v>
      </c>
      <c r="I2476" s="0" t="n">
        <f aca="false">6*D2476+(D2476-E2476-G2476)+2*F2476+3*H2476</f>
        <v>34</v>
      </c>
      <c r="J2476" s="0" t="n">
        <f aca="true">CRITBINOM($C2476,MIN(0.75,Matchup!$C$39*$B2476),RAND())</f>
        <v>1</v>
      </c>
      <c r="K2476" s="0" t="n">
        <f aca="true">CRITBINOM(J2476,Coefficients!$B$30,RAND())</f>
        <v>0</v>
      </c>
      <c r="L2476" s="0" t="n">
        <f aca="true">CRITBINOM(K2476,Coefficients!$B$31,RAND())</f>
        <v>0</v>
      </c>
      <c r="M2476" s="0" t="n">
        <f aca="true">CRITBINOM(MAX(0,J2476-K2476),1-Coefficients!$B$32,RAND())</f>
        <v>0</v>
      </c>
      <c r="N2476" s="0" t="n">
        <f aca="true">CRITBINOM(MAX(0,$C2476-J2476),MIN(0.6,Matchup!$C$40*SQRT($B2476)/(1-MIN(0.75,Matchup!$C$39*$B2476))),RAND())</f>
        <v>1</v>
      </c>
      <c r="O2476" s="0" t="n">
        <f aca="false">6*J2476+(J2476-K2476-M2476)+2*L2476+3*N2476</f>
        <v>10</v>
      </c>
      <c r="P2476" s="0" t="n">
        <f aca="true">RAND()</f>
        <v>0.362617138116555</v>
      </c>
      <c r="Q2476" s="0" t="n">
        <f aca="true">RAND()</f>
        <v>0.958411790762278</v>
      </c>
      <c r="R2476" s="0" t="n">
        <f aca="false">IF($I2476&lt;&gt;$O2476,0,IF(P2476&lt;Matchup!$B$39,7,IF(P2476&lt;Matchup!$B$39+Matchup!$B$40,3,0)))</f>
        <v>0</v>
      </c>
      <c r="S2476" s="0" t="n">
        <f aca="false">IF($I2476&lt;&gt;$O2476,0,IF(Q2476&lt;Matchup!$C$39,7,IF(Q2476&lt;Matchup!$C$39+Matchup!$C$40,3,0)))</f>
        <v>0</v>
      </c>
      <c r="T2476" s="0" t="n">
        <f aca="false">I2476+R2476</f>
        <v>34</v>
      </c>
      <c r="U2476" s="0" t="n">
        <f aca="false">O2476+S2476</f>
        <v>10</v>
      </c>
      <c r="V2476" s="0" t="n">
        <f aca="false">T2476-U2476</f>
        <v>24</v>
      </c>
      <c r="W2476" s="0" t="n">
        <f aca="false">T2476+U2476</f>
        <v>44</v>
      </c>
    </row>
    <row r="2477" customFormat="false" ht="15" hidden="false" customHeight="false" outlineLevel="0" collapsed="false">
      <c r="A2477" s="0" t="n">
        <v>2474</v>
      </c>
      <c r="B2477" s="0" t="n">
        <f aca="true">NORMINV(RAND(),1,Coefficients!$B$22)</f>
        <v>1.05888670925286</v>
      </c>
      <c r="C2477" s="0" t="n">
        <f aca="true">MEDIAN(8,16,ROUND(NORMINV(RAND(),Coefficients!$B$20,Coefficients!$B$21),0))</f>
        <v>13</v>
      </c>
      <c r="D2477" s="0" t="n">
        <f aca="true">CRITBINOM($C2477,MIN(0.75,Matchup!$B$39*$B2477),RAND())</f>
        <v>5</v>
      </c>
      <c r="E2477" s="0" t="n">
        <f aca="true">CRITBINOM(D2477,Coefficients!$B$30,RAND())</f>
        <v>0</v>
      </c>
      <c r="F2477" s="0" t="n">
        <f aca="true">CRITBINOM(E2477,Coefficients!$B$31,RAND())</f>
        <v>0</v>
      </c>
      <c r="G2477" s="0" t="n">
        <f aca="true">CRITBINOM(MAX(0,D2477-E2477),1-Coefficients!$B$32,RAND())</f>
        <v>0</v>
      </c>
      <c r="H2477" s="0" t="n">
        <f aca="true">CRITBINOM(MAX(0,$C2477-D2477),MIN(0.6,Matchup!$B$40*SQRT($B2477)/(1-MIN(0.75,Matchup!$B$39*$B2477))),RAND())</f>
        <v>0</v>
      </c>
      <c r="I2477" s="0" t="n">
        <f aca="false">6*D2477+(D2477-E2477-G2477)+2*F2477+3*H2477</f>
        <v>35</v>
      </c>
      <c r="J2477" s="0" t="n">
        <f aca="true">CRITBINOM($C2477,MIN(0.75,Matchup!$C$39*$B2477),RAND())</f>
        <v>3</v>
      </c>
      <c r="K2477" s="0" t="n">
        <f aca="true">CRITBINOM(J2477,Coefficients!$B$30,RAND())</f>
        <v>0</v>
      </c>
      <c r="L2477" s="0" t="n">
        <f aca="true">CRITBINOM(K2477,Coefficients!$B$31,RAND())</f>
        <v>0</v>
      </c>
      <c r="M2477" s="0" t="n">
        <f aca="true">CRITBINOM(MAX(0,J2477-K2477),1-Coefficients!$B$32,RAND())</f>
        <v>0</v>
      </c>
      <c r="N2477" s="0" t="n">
        <f aca="true">CRITBINOM(MAX(0,$C2477-J2477),MIN(0.6,Matchup!$C$40*SQRT($B2477)/(1-MIN(0.75,Matchup!$C$39*$B2477))),RAND())</f>
        <v>1</v>
      </c>
      <c r="O2477" s="0" t="n">
        <f aca="false">6*J2477+(J2477-K2477-M2477)+2*L2477+3*N2477</f>
        <v>24</v>
      </c>
      <c r="P2477" s="0" t="n">
        <f aca="true">RAND()</f>
        <v>0.493304185372793</v>
      </c>
      <c r="Q2477" s="0" t="n">
        <f aca="true">RAND()</f>
        <v>0.586920859437597</v>
      </c>
      <c r="R2477" s="0" t="n">
        <f aca="false">IF($I2477&lt;&gt;$O2477,0,IF(P2477&lt;Matchup!$B$39,7,IF(P2477&lt;Matchup!$B$39+Matchup!$B$40,3,0)))</f>
        <v>0</v>
      </c>
      <c r="S2477" s="0" t="n">
        <f aca="false">IF($I2477&lt;&gt;$O2477,0,IF(Q2477&lt;Matchup!$C$39,7,IF(Q2477&lt;Matchup!$C$39+Matchup!$C$40,3,0)))</f>
        <v>0</v>
      </c>
      <c r="T2477" s="0" t="n">
        <f aca="false">I2477+R2477</f>
        <v>35</v>
      </c>
      <c r="U2477" s="0" t="n">
        <f aca="false">O2477+S2477</f>
        <v>24</v>
      </c>
      <c r="V2477" s="0" t="n">
        <f aca="false">T2477-U2477</f>
        <v>11</v>
      </c>
      <c r="W2477" s="0" t="n">
        <f aca="false">T2477+U2477</f>
        <v>59</v>
      </c>
    </row>
    <row r="2478" customFormat="false" ht="15" hidden="false" customHeight="false" outlineLevel="0" collapsed="false">
      <c r="A2478" s="0" t="n">
        <v>2475</v>
      </c>
      <c r="B2478" s="0" t="n">
        <f aca="true">NORMINV(RAND(),1,Coefficients!$B$22)</f>
        <v>0.958161161167698</v>
      </c>
      <c r="C2478" s="0" t="n">
        <f aca="true">MEDIAN(8,16,ROUND(NORMINV(RAND(),Coefficients!$B$20,Coefficients!$B$21),0))</f>
        <v>9</v>
      </c>
      <c r="D2478" s="0" t="n">
        <f aca="true">CRITBINOM($C2478,MIN(0.75,Matchup!$B$39*$B2478),RAND())</f>
        <v>1</v>
      </c>
      <c r="E2478" s="0" t="n">
        <f aca="true">CRITBINOM(D2478,Coefficients!$B$30,RAND())</f>
        <v>0</v>
      </c>
      <c r="F2478" s="0" t="n">
        <f aca="true">CRITBINOM(E2478,Coefficients!$B$31,RAND())</f>
        <v>0</v>
      </c>
      <c r="G2478" s="0" t="n">
        <f aca="true">CRITBINOM(MAX(0,D2478-E2478),1-Coefficients!$B$32,RAND())</f>
        <v>0</v>
      </c>
      <c r="H2478" s="0" t="n">
        <f aca="true">CRITBINOM(MAX(0,$C2478-D2478),MIN(0.6,Matchup!$B$40*SQRT($B2478)/(1-MIN(0.75,Matchup!$B$39*$B2478))),RAND())</f>
        <v>1</v>
      </c>
      <c r="I2478" s="0" t="n">
        <f aca="false">6*D2478+(D2478-E2478-G2478)+2*F2478+3*H2478</f>
        <v>10</v>
      </c>
      <c r="J2478" s="0" t="n">
        <f aca="true">CRITBINOM($C2478,MIN(0.75,Matchup!$C$39*$B2478),RAND())</f>
        <v>1</v>
      </c>
      <c r="K2478" s="0" t="n">
        <f aca="true">CRITBINOM(J2478,Coefficients!$B$30,RAND())</f>
        <v>0</v>
      </c>
      <c r="L2478" s="0" t="n">
        <f aca="true">CRITBINOM(K2478,Coefficients!$B$31,RAND())</f>
        <v>0</v>
      </c>
      <c r="M2478" s="0" t="n">
        <f aca="true">CRITBINOM(MAX(0,J2478-K2478),1-Coefficients!$B$32,RAND())</f>
        <v>0</v>
      </c>
      <c r="N2478" s="0" t="n">
        <f aca="true">CRITBINOM(MAX(0,$C2478-J2478),MIN(0.6,Matchup!$C$40*SQRT($B2478)/(1-MIN(0.75,Matchup!$C$39*$B2478))),RAND())</f>
        <v>2</v>
      </c>
      <c r="O2478" s="0" t="n">
        <f aca="false">6*J2478+(J2478-K2478-M2478)+2*L2478+3*N2478</f>
        <v>13</v>
      </c>
      <c r="P2478" s="0" t="n">
        <f aca="true">RAND()</f>
        <v>0.587350332882155</v>
      </c>
      <c r="Q2478" s="0" t="n">
        <f aca="true">RAND()</f>
        <v>0.933977297836991</v>
      </c>
      <c r="R2478" s="0" t="n">
        <f aca="false">IF($I2478&lt;&gt;$O2478,0,IF(P2478&lt;Matchup!$B$39,7,IF(P2478&lt;Matchup!$B$39+Matchup!$B$40,3,0)))</f>
        <v>0</v>
      </c>
      <c r="S2478" s="0" t="n">
        <f aca="false">IF($I2478&lt;&gt;$O2478,0,IF(Q2478&lt;Matchup!$C$39,7,IF(Q2478&lt;Matchup!$C$39+Matchup!$C$40,3,0)))</f>
        <v>0</v>
      </c>
      <c r="T2478" s="0" t="n">
        <f aca="false">I2478+R2478</f>
        <v>10</v>
      </c>
      <c r="U2478" s="0" t="n">
        <f aca="false">O2478+S2478</f>
        <v>13</v>
      </c>
      <c r="V2478" s="0" t="n">
        <f aca="false">T2478-U2478</f>
        <v>-3</v>
      </c>
      <c r="W2478" s="0" t="n">
        <f aca="false">T2478+U2478</f>
        <v>23</v>
      </c>
    </row>
    <row r="2479" customFormat="false" ht="15" hidden="false" customHeight="false" outlineLevel="0" collapsed="false">
      <c r="A2479" s="0" t="n">
        <v>2476</v>
      </c>
      <c r="B2479" s="0" t="n">
        <f aca="true">NORMINV(RAND(),1,Coefficients!$B$22)</f>
        <v>0.841730821738958</v>
      </c>
      <c r="C2479" s="0" t="n">
        <f aca="true">MEDIAN(8,16,ROUND(NORMINV(RAND(),Coefficients!$B$20,Coefficients!$B$21),0))</f>
        <v>11</v>
      </c>
      <c r="D2479" s="0" t="n">
        <f aca="true">CRITBINOM($C2479,MIN(0.75,Matchup!$B$39*$B2479),RAND())</f>
        <v>1</v>
      </c>
      <c r="E2479" s="0" t="n">
        <f aca="true">CRITBINOM(D2479,Coefficients!$B$30,RAND())</f>
        <v>0</v>
      </c>
      <c r="F2479" s="0" t="n">
        <f aca="true">CRITBINOM(E2479,Coefficients!$B$31,RAND())</f>
        <v>0</v>
      </c>
      <c r="G2479" s="0" t="n">
        <f aca="true">CRITBINOM(MAX(0,D2479-E2479),1-Coefficients!$B$32,RAND())</f>
        <v>0</v>
      </c>
      <c r="H2479" s="0" t="n">
        <f aca="true">CRITBINOM(MAX(0,$C2479-D2479),MIN(0.6,Matchup!$B$40*SQRT($B2479)/(1-MIN(0.75,Matchup!$B$39*$B2479))),RAND())</f>
        <v>2</v>
      </c>
      <c r="I2479" s="0" t="n">
        <f aca="false">6*D2479+(D2479-E2479-G2479)+2*F2479+3*H2479</f>
        <v>13</v>
      </c>
      <c r="J2479" s="0" t="n">
        <f aca="true">CRITBINOM($C2479,MIN(0.75,Matchup!$C$39*$B2479),RAND())</f>
        <v>4</v>
      </c>
      <c r="K2479" s="0" t="n">
        <f aca="true">CRITBINOM(J2479,Coefficients!$B$30,RAND())</f>
        <v>0</v>
      </c>
      <c r="L2479" s="0" t="n">
        <f aca="true">CRITBINOM(K2479,Coefficients!$B$31,RAND())</f>
        <v>0</v>
      </c>
      <c r="M2479" s="0" t="n">
        <f aca="true">CRITBINOM(MAX(0,J2479-K2479),1-Coefficients!$B$32,RAND())</f>
        <v>0</v>
      </c>
      <c r="N2479" s="0" t="n">
        <f aca="true">CRITBINOM(MAX(0,$C2479-J2479),MIN(0.6,Matchup!$C$40*SQRT($B2479)/(1-MIN(0.75,Matchup!$C$39*$B2479))),RAND())</f>
        <v>0</v>
      </c>
      <c r="O2479" s="0" t="n">
        <f aca="false">6*J2479+(J2479-K2479-M2479)+2*L2479+3*N2479</f>
        <v>28</v>
      </c>
      <c r="P2479" s="0" t="n">
        <f aca="true">RAND()</f>
        <v>0.310390772676352</v>
      </c>
      <c r="Q2479" s="0" t="n">
        <f aca="true">RAND()</f>
        <v>0.223298324981465</v>
      </c>
      <c r="R2479" s="0" t="n">
        <f aca="false">IF($I2479&lt;&gt;$O2479,0,IF(P2479&lt;Matchup!$B$39,7,IF(P2479&lt;Matchup!$B$39+Matchup!$B$40,3,0)))</f>
        <v>0</v>
      </c>
      <c r="S2479" s="0" t="n">
        <f aca="false">IF($I2479&lt;&gt;$O2479,0,IF(Q2479&lt;Matchup!$C$39,7,IF(Q2479&lt;Matchup!$C$39+Matchup!$C$40,3,0)))</f>
        <v>0</v>
      </c>
      <c r="T2479" s="0" t="n">
        <f aca="false">I2479+R2479</f>
        <v>13</v>
      </c>
      <c r="U2479" s="0" t="n">
        <f aca="false">O2479+S2479</f>
        <v>28</v>
      </c>
      <c r="V2479" s="0" t="n">
        <f aca="false">T2479-U2479</f>
        <v>-15</v>
      </c>
      <c r="W2479" s="0" t="n">
        <f aca="false">T2479+U2479</f>
        <v>41</v>
      </c>
    </row>
    <row r="2480" customFormat="false" ht="15" hidden="false" customHeight="false" outlineLevel="0" collapsed="false">
      <c r="A2480" s="0" t="n">
        <v>2477</v>
      </c>
      <c r="B2480" s="0" t="n">
        <f aca="true">NORMINV(RAND(),1,Coefficients!$B$22)</f>
        <v>1.17710155108923</v>
      </c>
      <c r="C2480" s="0" t="n">
        <f aca="true">MEDIAN(8,16,ROUND(NORMINV(RAND(),Coefficients!$B$20,Coefficients!$B$21),0))</f>
        <v>12</v>
      </c>
      <c r="D2480" s="0" t="n">
        <f aca="true">CRITBINOM($C2480,MIN(0.75,Matchup!$B$39*$B2480),RAND())</f>
        <v>4</v>
      </c>
      <c r="E2480" s="0" t="n">
        <f aca="true">CRITBINOM(D2480,Coefficients!$B$30,RAND())</f>
        <v>0</v>
      </c>
      <c r="F2480" s="0" t="n">
        <f aca="true">CRITBINOM(E2480,Coefficients!$B$31,RAND())</f>
        <v>0</v>
      </c>
      <c r="G2480" s="0" t="n">
        <f aca="true">CRITBINOM(MAX(0,D2480-E2480),1-Coefficients!$B$32,RAND())</f>
        <v>0</v>
      </c>
      <c r="H2480" s="0" t="n">
        <f aca="true">CRITBINOM(MAX(0,$C2480-D2480),MIN(0.6,Matchup!$B$40*SQRT($B2480)/(1-MIN(0.75,Matchup!$B$39*$B2480))),RAND())</f>
        <v>1</v>
      </c>
      <c r="I2480" s="0" t="n">
        <f aca="false">6*D2480+(D2480-E2480-G2480)+2*F2480+3*H2480</f>
        <v>31</v>
      </c>
      <c r="J2480" s="0" t="n">
        <f aca="true">CRITBINOM($C2480,MIN(0.75,Matchup!$C$39*$B2480),RAND())</f>
        <v>4</v>
      </c>
      <c r="K2480" s="0" t="n">
        <f aca="true">CRITBINOM(J2480,Coefficients!$B$30,RAND())</f>
        <v>0</v>
      </c>
      <c r="L2480" s="0" t="n">
        <f aca="true">CRITBINOM(K2480,Coefficients!$B$31,RAND())</f>
        <v>0</v>
      </c>
      <c r="M2480" s="0" t="n">
        <f aca="true">CRITBINOM(MAX(0,J2480-K2480),1-Coefficients!$B$32,RAND())</f>
        <v>0</v>
      </c>
      <c r="N2480" s="0" t="n">
        <f aca="true">CRITBINOM(MAX(0,$C2480-J2480),MIN(0.6,Matchup!$C$40*SQRT($B2480)/(1-MIN(0.75,Matchup!$C$39*$B2480))),RAND())</f>
        <v>1</v>
      </c>
      <c r="O2480" s="0" t="n">
        <f aca="false">6*J2480+(J2480-K2480-M2480)+2*L2480+3*N2480</f>
        <v>31</v>
      </c>
      <c r="P2480" s="0" t="n">
        <f aca="true">RAND()</f>
        <v>0.611862025737293</v>
      </c>
      <c r="Q2480" s="0" t="n">
        <f aca="true">RAND()</f>
        <v>0.590974024694291</v>
      </c>
      <c r="R2480" s="0" t="n">
        <f aca="false">IF($I2480&lt;&gt;$O2480,0,IF(P2480&lt;Matchup!$B$39,7,IF(P2480&lt;Matchup!$B$39+Matchup!$B$40,3,0)))</f>
        <v>0</v>
      </c>
      <c r="S2480" s="0" t="n">
        <f aca="false">IF($I2480&lt;&gt;$O2480,0,IF(Q2480&lt;Matchup!$C$39,7,IF(Q2480&lt;Matchup!$C$39+Matchup!$C$40,3,0)))</f>
        <v>0</v>
      </c>
      <c r="T2480" s="0" t="n">
        <f aca="false">I2480+R2480</f>
        <v>31</v>
      </c>
      <c r="U2480" s="0" t="n">
        <f aca="false">O2480+S2480</f>
        <v>31</v>
      </c>
      <c r="V2480" s="0" t="n">
        <f aca="false">T2480-U2480</f>
        <v>0</v>
      </c>
      <c r="W2480" s="0" t="n">
        <f aca="false">T2480+U2480</f>
        <v>62</v>
      </c>
    </row>
    <row r="2481" customFormat="false" ht="15" hidden="false" customHeight="false" outlineLevel="0" collapsed="false">
      <c r="A2481" s="0" t="n">
        <v>2478</v>
      </c>
      <c r="B2481" s="0" t="n">
        <f aca="true">NORMINV(RAND(),1,Coefficients!$B$22)</f>
        <v>0.984776665324535</v>
      </c>
      <c r="C2481" s="0" t="n">
        <f aca="true">MEDIAN(8,16,ROUND(NORMINV(RAND(),Coefficients!$B$20,Coefficients!$B$21),0))</f>
        <v>13</v>
      </c>
      <c r="D2481" s="0" t="n">
        <f aca="true">CRITBINOM($C2481,MIN(0.75,Matchup!$B$39*$B2481),RAND())</f>
        <v>2</v>
      </c>
      <c r="E2481" s="0" t="n">
        <f aca="true">CRITBINOM(D2481,Coefficients!$B$30,RAND())</f>
        <v>0</v>
      </c>
      <c r="F2481" s="0" t="n">
        <f aca="true">CRITBINOM(E2481,Coefficients!$B$31,RAND())</f>
        <v>0</v>
      </c>
      <c r="G2481" s="0" t="n">
        <f aca="true">CRITBINOM(MAX(0,D2481-E2481),1-Coefficients!$B$32,RAND())</f>
        <v>0</v>
      </c>
      <c r="H2481" s="0" t="n">
        <f aca="true">CRITBINOM(MAX(0,$C2481-D2481),MIN(0.6,Matchup!$B$40*SQRT($B2481)/(1-MIN(0.75,Matchup!$B$39*$B2481))),RAND())</f>
        <v>2</v>
      </c>
      <c r="I2481" s="0" t="n">
        <f aca="false">6*D2481+(D2481-E2481-G2481)+2*F2481+3*H2481</f>
        <v>20</v>
      </c>
      <c r="J2481" s="0" t="n">
        <f aca="true">CRITBINOM($C2481,MIN(0.75,Matchup!$C$39*$B2481),RAND())</f>
        <v>1</v>
      </c>
      <c r="K2481" s="0" t="n">
        <f aca="true">CRITBINOM(J2481,Coefficients!$B$30,RAND())</f>
        <v>0</v>
      </c>
      <c r="L2481" s="0" t="n">
        <f aca="true">CRITBINOM(K2481,Coefficients!$B$31,RAND())</f>
        <v>0</v>
      </c>
      <c r="M2481" s="0" t="n">
        <f aca="true">CRITBINOM(MAX(0,J2481-K2481),1-Coefficients!$B$32,RAND())</f>
        <v>0</v>
      </c>
      <c r="N2481" s="0" t="n">
        <f aca="true">CRITBINOM(MAX(0,$C2481-J2481),MIN(0.6,Matchup!$C$40*SQRT($B2481)/(1-MIN(0.75,Matchup!$C$39*$B2481))),RAND())</f>
        <v>1</v>
      </c>
      <c r="O2481" s="0" t="n">
        <f aca="false">6*J2481+(J2481-K2481-M2481)+2*L2481+3*N2481</f>
        <v>10</v>
      </c>
      <c r="P2481" s="0" t="n">
        <f aca="true">RAND()</f>
        <v>0.515145993569615</v>
      </c>
      <c r="Q2481" s="0" t="n">
        <f aca="true">RAND()</f>
        <v>0.858773540061076</v>
      </c>
      <c r="R2481" s="0" t="n">
        <f aca="false">IF($I2481&lt;&gt;$O2481,0,IF(P2481&lt;Matchup!$B$39,7,IF(P2481&lt;Matchup!$B$39+Matchup!$B$40,3,0)))</f>
        <v>0</v>
      </c>
      <c r="S2481" s="0" t="n">
        <f aca="false">IF($I2481&lt;&gt;$O2481,0,IF(Q2481&lt;Matchup!$C$39,7,IF(Q2481&lt;Matchup!$C$39+Matchup!$C$40,3,0)))</f>
        <v>0</v>
      </c>
      <c r="T2481" s="0" t="n">
        <f aca="false">I2481+R2481</f>
        <v>20</v>
      </c>
      <c r="U2481" s="0" t="n">
        <f aca="false">O2481+S2481</f>
        <v>10</v>
      </c>
      <c r="V2481" s="0" t="n">
        <f aca="false">T2481-U2481</f>
        <v>10</v>
      </c>
      <c r="W2481" s="0" t="n">
        <f aca="false">T2481+U2481</f>
        <v>30</v>
      </c>
    </row>
    <row r="2482" customFormat="false" ht="15" hidden="false" customHeight="false" outlineLevel="0" collapsed="false">
      <c r="A2482" s="0" t="n">
        <v>2479</v>
      </c>
      <c r="B2482" s="0" t="n">
        <f aca="true">NORMINV(RAND(),1,Coefficients!$B$22)</f>
        <v>0.968719102387493</v>
      </c>
      <c r="C2482" s="0" t="n">
        <f aca="true">MEDIAN(8,16,ROUND(NORMINV(RAND(),Coefficients!$B$20,Coefficients!$B$21),0))</f>
        <v>10</v>
      </c>
      <c r="D2482" s="0" t="n">
        <f aca="true">CRITBINOM($C2482,MIN(0.75,Matchup!$B$39*$B2482),RAND())</f>
        <v>1</v>
      </c>
      <c r="E2482" s="0" t="n">
        <f aca="true">CRITBINOM(D2482,Coefficients!$B$30,RAND())</f>
        <v>0</v>
      </c>
      <c r="F2482" s="0" t="n">
        <f aca="true">CRITBINOM(E2482,Coefficients!$B$31,RAND())</f>
        <v>0</v>
      </c>
      <c r="G2482" s="0" t="n">
        <f aca="true">CRITBINOM(MAX(0,D2482-E2482),1-Coefficients!$B$32,RAND())</f>
        <v>0</v>
      </c>
      <c r="H2482" s="0" t="n">
        <f aca="true">CRITBINOM(MAX(0,$C2482-D2482),MIN(0.6,Matchup!$B$40*SQRT($B2482)/(1-MIN(0.75,Matchup!$B$39*$B2482))),RAND())</f>
        <v>0</v>
      </c>
      <c r="I2482" s="0" t="n">
        <f aca="false">6*D2482+(D2482-E2482-G2482)+2*F2482+3*H2482</f>
        <v>7</v>
      </c>
      <c r="J2482" s="0" t="n">
        <f aca="true">CRITBINOM($C2482,MIN(0.75,Matchup!$C$39*$B2482),RAND())</f>
        <v>2</v>
      </c>
      <c r="K2482" s="0" t="n">
        <f aca="true">CRITBINOM(J2482,Coefficients!$B$30,RAND())</f>
        <v>0</v>
      </c>
      <c r="L2482" s="0" t="n">
        <f aca="true">CRITBINOM(K2482,Coefficients!$B$31,RAND())</f>
        <v>0</v>
      </c>
      <c r="M2482" s="0" t="n">
        <f aca="true">CRITBINOM(MAX(0,J2482-K2482),1-Coefficients!$B$32,RAND())</f>
        <v>0</v>
      </c>
      <c r="N2482" s="0" t="n">
        <f aca="true">CRITBINOM(MAX(0,$C2482-J2482),MIN(0.6,Matchup!$C$40*SQRT($B2482)/(1-MIN(0.75,Matchup!$C$39*$B2482))),RAND())</f>
        <v>0</v>
      </c>
      <c r="O2482" s="0" t="n">
        <f aca="false">6*J2482+(J2482-K2482-M2482)+2*L2482+3*N2482</f>
        <v>14</v>
      </c>
      <c r="P2482" s="0" t="n">
        <f aca="true">RAND()</f>
        <v>0.779501975122881</v>
      </c>
      <c r="Q2482" s="0" t="n">
        <f aca="true">RAND()</f>
        <v>0.867031511374002</v>
      </c>
      <c r="R2482" s="0" t="n">
        <f aca="false">IF($I2482&lt;&gt;$O2482,0,IF(P2482&lt;Matchup!$B$39,7,IF(P2482&lt;Matchup!$B$39+Matchup!$B$40,3,0)))</f>
        <v>0</v>
      </c>
      <c r="S2482" s="0" t="n">
        <f aca="false">IF($I2482&lt;&gt;$O2482,0,IF(Q2482&lt;Matchup!$C$39,7,IF(Q2482&lt;Matchup!$C$39+Matchup!$C$40,3,0)))</f>
        <v>0</v>
      </c>
      <c r="T2482" s="0" t="n">
        <f aca="false">I2482+R2482</f>
        <v>7</v>
      </c>
      <c r="U2482" s="0" t="n">
        <f aca="false">O2482+S2482</f>
        <v>14</v>
      </c>
      <c r="V2482" s="0" t="n">
        <f aca="false">T2482-U2482</f>
        <v>-7</v>
      </c>
      <c r="W2482" s="0" t="n">
        <f aca="false">T2482+U2482</f>
        <v>21</v>
      </c>
    </row>
    <row r="2483" customFormat="false" ht="15" hidden="false" customHeight="false" outlineLevel="0" collapsed="false">
      <c r="A2483" s="0" t="n">
        <v>2480</v>
      </c>
      <c r="B2483" s="0" t="n">
        <f aca="true">NORMINV(RAND(),1,Coefficients!$B$22)</f>
        <v>1.02815829514679</v>
      </c>
      <c r="C2483" s="0" t="n">
        <f aca="true">MEDIAN(8,16,ROUND(NORMINV(RAND(),Coefficients!$B$20,Coefficients!$B$21),0))</f>
        <v>13</v>
      </c>
      <c r="D2483" s="0" t="n">
        <f aca="true">CRITBINOM($C2483,MIN(0.75,Matchup!$B$39*$B2483),RAND())</f>
        <v>6</v>
      </c>
      <c r="E2483" s="0" t="n">
        <f aca="true">CRITBINOM(D2483,Coefficients!$B$30,RAND())</f>
        <v>0</v>
      </c>
      <c r="F2483" s="0" t="n">
        <f aca="true">CRITBINOM(E2483,Coefficients!$B$31,RAND())</f>
        <v>0</v>
      </c>
      <c r="G2483" s="0" t="n">
        <f aca="true">CRITBINOM(MAX(0,D2483-E2483),1-Coefficients!$B$32,RAND())</f>
        <v>0</v>
      </c>
      <c r="H2483" s="0" t="n">
        <f aca="true">CRITBINOM(MAX(0,$C2483-D2483),MIN(0.6,Matchup!$B$40*SQRT($B2483)/(1-MIN(0.75,Matchup!$B$39*$B2483))),RAND())</f>
        <v>3</v>
      </c>
      <c r="I2483" s="0" t="n">
        <f aca="false">6*D2483+(D2483-E2483-G2483)+2*F2483+3*H2483</f>
        <v>51</v>
      </c>
      <c r="J2483" s="0" t="n">
        <f aca="true">CRITBINOM($C2483,MIN(0.75,Matchup!$C$39*$B2483),RAND())</f>
        <v>4</v>
      </c>
      <c r="K2483" s="0" t="n">
        <f aca="true">CRITBINOM(J2483,Coefficients!$B$30,RAND())</f>
        <v>0</v>
      </c>
      <c r="L2483" s="0" t="n">
        <f aca="true">CRITBINOM(K2483,Coefficients!$B$31,RAND())</f>
        <v>0</v>
      </c>
      <c r="M2483" s="0" t="n">
        <f aca="true">CRITBINOM(MAX(0,J2483-K2483),1-Coefficients!$B$32,RAND())</f>
        <v>0</v>
      </c>
      <c r="N2483" s="0" t="n">
        <f aca="true">CRITBINOM(MAX(0,$C2483-J2483),MIN(0.6,Matchup!$C$40*SQRT($B2483)/(1-MIN(0.75,Matchup!$C$39*$B2483))),RAND())</f>
        <v>2</v>
      </c>
      <c r="O2483" s="0" t="n">
        <f aca="false">6*J2483+(J2483-K2483-M2483)+2*L2483+3*N2483</f>
        <v>34</v>
      </c>
      <c r="P2483" s="0" t="n">
        <f aca="true">RAND()</f>
        <v>0.736983882594291</v>
      </c>
      <c r="Q2483" s="0" t="n">
        <f aca="true">RAND()</f>
        <v>0.195843546124345</v>
      </c>
      <c r="R2483" s="0" t="n">
        <f aca="false">IF($I2483&lt;&gt;$O2483,0,IF(P2483&lt;Matchup!$B$39,7,IF(P2483&lt;Matchup!$B$39+Matchup!$B$40,3,0)))</f>
        <v>0</v>
      </c>
      <c r="S2483" s="0" t="n">
        <f aca="false">IF($I2483&lt;&gt;$O2483,0,IF(Q2483&lt;Matchup!$C$39,7,IF(Q2483&lt;Matchup!$C$39+Matchup!$C$40,3,0)))</f>
        <v>0</v>
      </c>
      <c r="T2483" s="0" t="n">
        <f aca="false">I2483+R2483</f>
        <v>51</v>
      </c>
      <c r="U2483" s="0" t="n">
        <f aca="false">O2483+S2483</f>
        <v>34</v>
      </c>
      <c r="V2483" s="0" t="n">
        <f aca="false">T2483-U2483</f>
        <v>17</v>
      </c>
      <c r="W2483" s="0" t="n">
        <f aca="false">T2483+U2483</f>
        <v>85</v>
      </c>
    </row>
    <row r="2484" customFormat="false" ht="15" hidden="false" customHeight="false" outlineLevel="0" collapsed="false">
      <c r="A2484" s="0" t="n">
        <v>2481</v>
      </c>
      <c r="B2484" s="0" t="n">
        <f aca="true">NORMINV(RAND(),1,Coefficients!$B$22)</f>
        <v>1.1050498669315</v>
      </c>
      <c r="C2484" s="0" t="n">
        <f aca="true">MEDIAN(8,16,ROUND(NORMINV(RAND(),Coefficients!$B$20,Coefficients!$B$21),0))</f>
        <v>10</v>
      </c>
      <c r="D2484" s="0" t="n">
        <f aca="true">CRITBINOM($C2484,MIN(0.75,Matchup!$B$39*$B2484),RAND())</f>
        <v>1</v>
      </c>
      <c r="E2484" s="0" t="n">
        <f aca="true">CRITBINOM(D2484,Coefficients!$B$30,RAND())</f>
        <v>0</v>
      </c>
      <c r="F2484" s="0" t="n">
        <f aca="true">CRITBINOM(E2484,Coefficients!$B$31,RAND())</f>
        <v>0</v>
      </c>
      <c r="G2484" s="0" t="n">
        <f aca="true">CRITBINOM(MAX(0,D2484-E2484),1-Coefficients!$B$32,RAND())</f>
        <v>0</v>
      </c>
      <c r="H2484" s="0" t="n">
        <f aca="true">CRITBINOM(MAX(0,$C2484-D2484),MIN(0.6,Matchup!$B$40*SQRT($B2484)/(1-MIN(0.75,Matchup!$B$39*$B2484))),RAND())</f>
        <v>2</v>
      </c>
      <c r="I2484" s="0" t="n">
        <f aca="false">6*D2484+(D2484-E2484-G2484)+2*F2484+3*H2484</f>
        <v>13</v>
      </c>
      <c r="J2484" s="0" t="n">
        <f aca="true">CRITBINOM($C2484,MIN(0.75,Matchup!$C$39*$B2484),RAND())</f>
        <v>4</v>
      </c>
      <c r="K2484" s="0" t="n">
        <f aca="true">CRITBINOM(J2484,Coefficients!$B$30,RAND())</f>
        <v>0</v>
      </c>
      <c r="L2484" s="0" t="n">
        <f aca="true">CRITBINOM(K2484,Coefficients!$B$31,RAND())</f>
        <v>0</v>
      </c>
      <c r="M2484" s="0" t="n">
        <f aca="true">CRITBINOM(MAX(0,J2484-K2484),1-Coefficients!$B$32,RAND())</f>
        <v>0</v>
      </c>
      <c r="N2484" s="0" t="n">
        <f aca="true">CRITBINOM(MAX(0,$C2484-J2484),MIN(0.6,Matchup!$C$40*SQRT($B2484)/(1-MIN(0.75,Matchup!$C$39*$B2484))),RAND())</f>
        <v>0</v>
      </c>
      <c r="O2484" s="0" t="n">
        <f aca="false">6*J2484+(J2484-K2484-M2484)+2*L2484+3*N2484</f>
        <v>28</v>
      </c>
      <c r="P2484" s="0" t="n">
        <f aca="true">RAND()</f>
        <v>0.938238011041424</v>
      </c>
      <c r="Q2484" s="0" t="n">
        <f aca="true">RAND()</f>
        <v>0.703813312575433</v>
      </c>
      <c r="R2484" s="0" t="n">
        <f aca="false">IF($I2484&lt;&gt;$O2484,0,IF(P2484&lt;Matchup!$B$39,7,IF(P2484&lt;Matchup!$B$39+Matchup!$B$40,3,0)))</f>
        <v>0</v>
      </c>
      <c r="S2484" s="0" t="n">
        <f aca="false">IF($I2484&lt;&gt;$O2484,0,IF(Q2484&lt;Matchup!$C$39,7,IF(Q2484&lt;Matchup!$C$39+Matchup!$C$40,3,0)))</f>
        <v>0</v>
      </c>
      <c r="T2484" s="0" t="n">
        <f aca="false">I2484+R2484</f>
        <v>13</v>
      </c>
      <c r="U2484" s="0" t="n">
        <f aca="false">O2484+S2484</f>
        <v>28</v>
      </c>
      <c r="V2484" s="0" t="n">
        <f aca="false">T2484-U2484</f>
        <v>-15</v>
      </c>
      <c r="W2484" s="0" t="n">
        <f aca="false">T2484+U2484</f>
        <v>41</v>
      </c>
    </row>
    <row r="2485" customFormat="false" ht="15" hidden="false" customHeight="false" outlineLevel="0" collapsed="false">
      <c r="A2485" s="0" t="n">
        <v>2482</v>
      </c>
      <c r="B2485" s="0" t="n">
        <f aca="true">NORMINV(RAND(),1,Coefficients!$B$22)</f>
        <v>1.03325188519727</v>
      </c>
      <c r="C2485" s="0" t="n">
        <f aca="true">MEDIAN(8,16,ROUND(NORMINV(RAND(),Coefficients!$B$20,Coefficients!$B$21),0))</f>
        <v>11</v>
      </c>
      <c r="D2485" s="0" t="n">
        <f aca="true">CRITBINOM($C2485,MIN(0.75,Matchup!$B$39*$B2485),RAND())</f>
        <v>0</v>
      </c>
      <c r="E2485" s="0" t="n">
        <f aca="true">CRITBINOM(D2485,Coefficients!$B$30,RAND())</f>
        <v>0</v>
      </c>
      <c r="F2485" s="0" t="n">
        <f aca="true">CRITBINOM(E2485,Coefficients!$B$31,RAND())</f>
        <v>0</v>
      </c>
      <c r="G2485" s="0" t="n">
        <f aca="true">CRITBINOM(MAX(0,D2485-E2485),1-Coefficients!$B$32,RAND())</f>
        <v>0</v>
      </c>
      <c r="H2485" s="0" t="n">
        <f aca="true">CRITBINOM(MAX(0,$C2485-D2485),MIN(0.6,Matchup!$B$40*SQRT($B2485)/(1-MIN(0.75,Matchup!$B$39*$B2485))),RAND())</f>
        <v>3</v>
      </c>
      <c r="I2485" s="0" t="n">
        <f aca="false">6*D2485+(D2485-E2485-G2485)+2*F2485+3*H2485</f>
        <v>9</v>
      </c>
      <c r="J2485" s="0" t="n">
        <f aca="true">CRITBINOM($C2485,MIN(0.75,Matchup!$C$39*$B2485),RAND())</f>
        <v>2</v>
      </c>
      <c r="K2485" s="0" t="n">
        <f aca="true">CRITBINOM(J2485,Coefficients!$B$30,RAND())</f>
        <v>0</v>
      </c>
      <c r="L2485" s="0" t="n">
        <f aca="true">CRITBINOM(K2485,Coefficients!$B$31,RAND())</f>
        <v>0</v>
      </c>
      <c r="M2485" s="0" t="n">
        <f aca="true">CRITBINOM(MAX(0,J2485-K2485),1-Coefficients!$B$32,RAND())</f>
        <v>0</v>
      </c>
      <c r="N2485" s="0" t="n">
        <f aca="true">CRITBINOM(MAX(0,$C2485-J2485),MIN(0.6,Matchup!$C$40*SQRT($B2485)/(1-MIN(0.75,Matchup!$C$39*$B2485))),RAND())</f>
        <v>1</v>
      </c>
      <c r="O2485" s="0" t="n">
        <f aca="false">6*J2485+(J2485-K2485-M2485)+2*L2485+3*N2485</f>
        <v>17</v>
      </c>
      <c r="P2485" s="0" t="n">
        <f aca="true">RAND()</f>
        <v>0.961633425696254</v>
      </c>
      <c r="Q2485" s="0" t="n">
        <f aca="true">RAND()</f>
        <v>0.325473184538437</v>
      </c>
      <c r="R2485" s="0" t="n">
        <f aca="false">IF($I2485&lt;&gt;$O2485,0,IF(P2485&lt;Matchup!$B$39,7,IF(P2485&lt;Matchup!$B$39+Matchup!$B$40,3,0)))</f>
        <v>0</v>
      </c>
      <c r="S2485" s="0" t="n">
        <f aca="false">IF($I2485&lt;&gt;$O2485,0,IF(Q2485&lt;Matchup!$C$39,7,IF(Q2485&lt;Matchup!$C$39+Matchup!$C$40,3,0)))</f>
        <v>0</v>
      </c>
      <c r="T2485" s="0" t="n">
        <f aca="false">I2485+R2485</f>
        <v>9</v>
      </c>
      <c r="U2485" s="0" t="n">
        <f aca="false">O2485+S2485</f>
        <v>17</v>
      </c>
      <c r="V2485" s="0" t="n">
        <f aca="false">T2485-U2485</f>
        <v>-8</v>
      </c>
      <c r="W2485" s="0" t="n">
        <f aca="false">T2485+U2485</f>
        <v>26</v>
      </c>
    </row>
    <row r="2486" customFormat="false" ht="15" hidden="false" customHeight="false" outlineLevel="0" collapsed="false">
      <c r="A2486" s="0" t="n">
        <v>2483</v>
      </c>
      <c r="B2486" s="0" t="n">
        <f aca="true">NORMINV(RAND(),1,Coefficients!$B$22)</f>
        <v>0.931415929251136</v>
      </c>
      <c r="C2486" s="0" t="n">
        <f aca="true">MEDIAN(8,16,ROUND(NORMINV(RAND(),Coefficients!$B$20,Coefficients!$B$21),0))</f>
        <v>10</v>
      </c>
      <c r="D2486" s="0" t="n">
        <f aca="true">CRITBINOM($C2486,MIN(0.75,Matchup!$B$39*$B2486),RAND())</f>
        <v>3</v>
      </c>
      <c r="E2486" s="0" t="n">
        <f aca="true">CRITBINOM(D2486,Coefficients!$B$30,RAND())</f>
        <v>1</v>
      </c>
      <c r="F2486" s="0" t="n">
        <f aca="true">CRITBINOM(E2486,Coefficients!$B$31,RAND())</f>
        <v>1</v>
      </c>
      <c r="G2486" s="0" t="n">
        <f aca="true">CRITBINOM(MAX(0,D2486-E2486),1-Coefficients!$B$32,RAND())</f>
        <v>0</v>
      </c>
      <c r="H2486" s="0" t="n">
        <f aca="true">CRITBINOM(MAX(0,$C2486-D2486),MIN(0.6,Matchup!$B$40*SQRT($B2486)/(1-MIN(0.75,Matchup!$B$39*$B2486))),RAND())</f>
        <v>2</v>
      </c>
      <c r="I2486" s="0" t="n">
        <f aca="false">6*D2486+(D2486-E2486-G2486)+2*F2486+3*H2486</f>
        <v>28</v>
      </c>
      <c r="J2486" s="0" t="n">
        <f aca="true">CRITBINOM($C2486,MIN(0.75,Matchup!$C$39*$B2486),RAND())</f>
        <v>0</v>
      </c>
      <c r="K2486" s="0" t="n">
        <f aca="true">CRITBINOM(J2486,Coefficients!$B$30,RAND())</f>
        <v>0</v>
      </c>
      <c r="L2486" s="0" t="n">
        <f aca="true">CRITBINOM(K2486,Coefficients!$B$31,RAND())</f>
        <v>0</v>
      </c>
      <c r="M2486" s="0" t="n">
        <f aca="true">CRITBINOM(MAX(0,J2486-K2486),1-Coefficients!$B$32,RAND())</f>
        <v>0</v>
      </c>
      <c r="N2486" s="0" t="n">
        <f aca="true">CRITBINOM(MAX(0,$C2486-J2486),MIN(0.6,Matchup!$C$40*SQRT($B2486)/(1-MIN(0.75,Matchup!$C$39*$B2486))),RAND())</f>
        <v>1</v>
      </c>
      <c r="O2486" s="0" t="n">
        <f aca="false">6*J2486+(J2486-K2486-M2486)+2*L2486+3*N2486</f>
        <v>3</v>
      </c>
      <c r="P2486" s="0" t="n">
        <f aca="true">RAND()</f>
        <v>0.14364393958323</v>
      </c>
      <c r="Q2486" s="0" t="n">
        <f aca="true">RAND()</f>
        <v>0.662291302280292</v>
      </c>
      <c r="R2486" s="0" t="n">
        <f aca="false">IF($I2486&lt;&gt;$O2486,0,IF(P2486&lt;Matchup!$B$39,7,IF(P2486&lt;Matchup!$B$39+Matchup!$B$40,3,0)))</f>
        <v>0</v>
      </c>
      <c r="S2486" s="0" t="n">
        <f aca="false">IF($I2486&lt;&gt;$O2486,0,IF(Q2486&lt;Matchup!$C$39,7,IF(Q2486&lt;Matchup!$C$39+Matchup!$C$40,3,0)))</f>
        <v>0</v>
      </c>
      <c r="T2486" s="0" t="n">
        <f aca="false">I2486+R2486</f>
        <v>28</v>
      </c>
      <c r="U2486" s="0" t="n">
        <f aca="false">O2486+S2486</f>
        <v>3</v>
      </c>
      <c r="V2486" s="0" t="n">
        <f aca="false">T2486-U2486</f>
        <v>25</v>
      </c>
      <c r="W2486" s="0" t="n">
        <f aca="false">T2486+U2486</f>
        <v>31</v>
      </c>
    </row>
    <row r="2487" customFormat="false" ht="15" hidden="false" customHeight="false" outlineLevel="0" collapsed="false">
      <c r="A2487" s="0" t="n">
        <v>2484</v>
      </c>
      <c r="B2487" s="0" t="n">
        <f aca="true">NORMINV(RAND(),1,Coefficients!$B$22)</f>
        <v>1.07532432746225</v>
      </c>
      <c r="C2487" s="0" t="n">
        <f aca="true">MEDIAN(8,16,ROUND(NORMINV(RAND(),Coefficients!$B$20,Coefficients!$B$21),0))</f>
        <v>10</v>
      </c>
      <c r="D2487" s="0" t="n">
        <f aca="true">CRITBINOM($C2487,MIN(0.75,Matchup!$B$39*$B2487),RAND())</f>
        <v>4</v>
      </c>
      <c r="E2487" s="0" t="n">
        <f aca="true">CRITBINOM(D2487,Coefficients!$B$30,RAND())</f>
        <v>0</v>
      </c>
      <c r="F2487" s="0" t="n">
        <f aca="true">CRITBINOM(E2487,Coefficients!$B$31,RAND())</f>
        <v>0</v>
      </c>
      <c r="G2487" s="0" t="n">
        <f aca="true">CRITBINOM(MAX(0,D2487-E2487),1-Coefficients!$B$32,RAND())</f>
        <v>0</v>
      </c>
      <c r="H2487" s="0" t="n">
        <f aca="true">CRITBINOM(MAX(0,$C2487-D2487),MIN(0.6,Matchup!$B$40*SQRT($B2487)/(1-MIN(0.75,Matchup!$B$39*$B2487))),RAND())</f>
        <v>0</v>
      </c>
      <c r="I2487" s="0" t="n">
        <f aca="false">6*D2487+(D2487-E2487-G2487)+2*F2487+3*H2487</f>
        <v>28</v>
      </c>
      <c r="J2487" s="0" t="n">
        <f aca="true">CRITBINOM($C2487,MIN(0.75,Matchup!$C$39*$B2487),RAND())</f>
        <v>0</v>
      </c>
      <c r="K2487" s="0" t="n">
        <f aca="true">CRITBINOM(J2487,Coefficients!$B$30,RAND())</f>
        <v>0</v>
      </c>
      <c r="L2487" s="0" t="n">
        <f aca="true">CRITBINOM(K2487,Coefficients!$B$31,RAND())</f>
        <v>0</v>
      </c>
      <c r="M2487" s="0" t="n">
        <f aca="true">CRITBINOM(MAX(0,J2487-K2487),1-Coefficients!$B$32,RAND())</f>
        <v>0</v>
      </c>
      <c r="N2487" s="0" t="n">
        <f aca="true">CRITBINOM(MAX(0,$C2487-J2487),MIN(0.6,Matchup!$C$40*SQRT($B2487)/(1-MIN(0.75,Matchup!$C$39*$B2487))),RAND())</f>
        <v>6</v>
      </c>
      <c r="O2487" s="0" t="n">
        <f aca="false">6*J2487+(J2487-K2487-M2487)+2*L2487+3*N2487</f>
        <v>18</v>
      </c>
      <c r="P2487" s="0" t="n">
        <f aca="true">RAND()</f>
        <v>0.903694483039902</v>
      </c>
      <c r="Q2487" s="0" t="n">
        <f aca="true">RAND()</f>
        <v>0.992977397764727</v>
      </c>
      <c r="R2487" s="0" t="n">
        <f aca="false">IF($I2487&lt;&gt;$O2487,0,IF(P2487&lt;Matchup!$B$39,7,IF(P2487&lt;Matchup!$B$39+Matchup!$B$40,3,0)))</f>
        <v>0</v>
      </c>
      <c r="S2487" s="0" t="n">
        <f aca="false">IF($I2487&lt;&gt;$O2487,0,IF(Q2487&lt;Matchup!$C$39,7,IF(Q2487&lt;Matchup!$C$39+Matchup!$C$40,3,0)))</f>
        <v>0</v>
      </c>
      <c r="T2487" s="0" t="n">
        <f aca="false">I2487+R2487</f>
        <v>28</v>
      </c>
      <c r="U2487" s="0" t="n">
        <f aca="false">O2487+S2487</f>
        <v>18</v>
      </c>
      <c r="V2487" s="0" t="n">
        <f aca="false">T2487-U2487</f>
        <v>10</v>
      </c>
      <c r="W2487" s="0" t="n">
        <f aca="false">T2487+U2487</f>
        <v>46</v>
      </c>
    </row>
    <row r="2488" customFormat="false" ht="15" hidden="false" customHeight="false" outlineLevel="0" collapsed="false">
      <c r="A2488" s="0" t="n">
        <v>2485</v>
      </c>
      <c r="B2488" s="0" t="n">
        <f aca="true">NORMINV(RAND(),1,Coefficients!$B$22)</f>
        <v>0.973415234446985</v>
      </c>
      <c r="C2488" s="0" t="n">
        <f aca="true">MEDIAN(8,16,ROUND(NORMINV(RAND(),Coefficients!$B$20,Coefficients!$B$21),0))</f>
        <v>12</v>
      </c>
      <c r="D2488" s="0" t="n">
        <f aca="true">CRITBINOM($C2488,MIN(0.75,Matchup!$B$39*$B2488),RAND())</f>
        <v>3</v>
      </c>
      <c r="E2488" s="0" t="n">
        <f aca="true">CRITBINOM(D2488,Coefficients!$B$30,RAND())</f>
        <v>0</v>
      </c>
      <c r="F2488" s="0" t="n">
        <f aca="true">CRITBINOM(E2488,Coefficients!$B$31,RAND())</f>
        <v>0</v>
      </c>
      <c r="G2488" s="0" t="n">
        <f aca="true">CRITBINOM(MAX(0,D2488-E2488),1-Coefficients!$B$32,RAND())</f>
        <v>0</v>
      </c>
      <c r="H2488" s="0" t="n">
        <f aca="true">CRITBINOM(MAX(0,$C2488-D2488),MIN(0.6,Matchup!$B$40*SQRT($B2488)/(1-MIN(0.75,Matchup!$B$39*$B2488))),RAND())</f>
        <v>3</v>
      </c>
      <c r="I2488" s="0" t="n">
        <f aca="false">6*D2488+(D2488-E2488-G2488)+2*F2488+3*H2488</f>
        <v>30</v>
      </c>
      <c r="J2488" s="0" t="n">
        <f aca="true">CRITBINOM($C2488,MIN(0.75,Matchup!$C$39*$B2488),RAND())</f>
        <v>3</v>
      </c>
      <c r="K2488" s="0" t="n">
        <f aca="true">CRITBINOM(J2488,Coefficients!$B$30,RAND())</f>
        <v>1</v>
      </c>
      <c r="L2488" s="0" t="n">
        <f aca="true">CRITBINOM(K2488,Coefficients!$B$31,RAND())</f>
        <v>1</v>
      </c>
      <c r="M2488" s="0" t="n">
        <f aca="true">CRITBINOM(MAX(0,J2488-K2488),1-Coefficients!$B$32,RAND())</f>
        <v>0</v>
      </c>
      <c r="N2488" s="0" t="n">
        <f aca="true">CRITBINOM(MAX(0,$C2488-J2488),MIN(0.6,Matchup!$C$40*SQRT($B2488)/(1-MIN(0.75,Matchup!$C$39*$B2488))),RAND())</f>
        <v>1</v>
      </c>
      <c r="O2488" s="0" t="n">
        <f aca="false">6*J2488+(J2488-K2488-M2488)+2*L2488+3*N2488</f>
        <v>25</v>
      </c>
      <c r="P2488" s="0" t="n">
        <f aca="true">RAND()</f>
        <v>0.283228941308971</v>
      </c>
      <c r="Q2488" s="0" t="n">
        <f aca="true">RAND()</f>
        <v>0.553856387965788</v>
      </c>
      <c r="R2488" s="0" t="n">
        <f aca="false">IF($I2488&lt;&gt;$O2488,0,IF(P2488&lt;Matchup!$B$39,7,IF(P2488&lt;Matchup!$B$39+Matchup!$B$40,3,0)))</f>
        <v>0</v>
      </c>
      <c r="S2488" s="0" t="n">
        <f aca="false">IF($I2488&lt;&gt;$O2488,0,IF(Q2488&lt;Matchup!$C$39,7,IF(Q2488&lt;Matchup!$C$39+Matchup!$C$40,3,0)))</f>
        <v>0</v>
      </c>
      <c r="T2488" s="0" t="n">
        <f aca="false">I2488+R2488</f>
        <v>30</v>
      </c>
      <c r="U2488" s="0" t="n">
        <f aca="false">O2488+S2488</f>
        <v>25</v>
      </c>
      <c r="V2488" s="0" t="n">
        <f aca="false">T2488-U2488</f>
        <v>5</v>
      </c>
      <c r="W2488" s="0" t="n">
        <f aca="false">T2488+U2488</f>
        <v>55</v>
      </c>
    </row>
    <row r="2489" customFormat="false" ht="15" hidden="false" customHeight="false" outlineLevel="0" collapsed="false">
      <c r="A2489" s="0" t="n">
        <v>2486</v>
      </c>
      <c r="B2489" s="0" t="n">
        <f aca="true">NORMINV(RAND(),1,Coefficients!$B$22)</f>
        <v>1.04630887263361</v>
      </c>
      <c r="C2489" s="0" t="n">
        <f aca="true">MEDIAN(8,16,ROUND(NORMINV(RAND(),Coefficients!$B$20,Coefficients!$B$21),0))</f>
        <v>13</v>
      </c>
      <c r="D2489" s="0" t="n">
        <f aca="true">CRITBINOM($C2489,MIN(0.75,Matchup!$B$39*$B2489),RAND())</f>
        <v>0</v>
      </c>
      <c r="E2489" s="0" t="n">
        <f aca="true">CRITBINOM(D2489,Coefficients!$B$30,RAND())</f>
        <v>0</v>
      </c>
      <c r="F2489" s="0" t="n">
        <f aca="true">CRITBINOM(E2489,Coefficients!$B$31,RAND())</f>
        <v>0</v>
      </c>
      <c r="G2489" s="0" t="n">
        <f aca="true">CRITBINOM(MAX(0,D2489-E2489),1-Coefficients!$B$32,RAND())</f>
        <v>0</v>
      </c>
      <c r="H2489" s="0" t="n">
        <f aca="true">CRITBINOM(MAX(0,$C2489-D2489),MIN(0.6,Matchup!$B$40*SQRT($B2489)/(1-MIN(0.75,Matchup!$B$39*$B2489))),RAND())</f>
        <v>3</v>
      </c>
      <c r="I2489" s="0" t="n">
        <f aca="false">6*D2489+(D2489-E2489-G2489)+2*F2489+3*H2489</f>
        <v>9</v>
      </c>
      <c r="J2489" s="0" t="n">
        <f aca="true">CRITBINOM($C2489,MIN(0.75,Matchup!$C$39*$B2489),RAND())</f>
        <v>4</v>
      </c>
      <c r="K2489" s="0" t="n">
        <f aca="true">CRITBINOM(J2489,Coefficients!$B$30,RAND())</f>
        <v>0</v>
      </c>
      <c r="L2489" s="0" t="n">
        <f aca="true">CRITBINOM(K2489,Coefficients!$B$31,RAND())</f>
        <v>0</v>
      </c>
      <c r="M2489" s="0" t="n">
        <f aca="true">CRITBINOM(MAX(0,J2489-K2489),1-Coefficients!$B$32,RAND())</f>
        <v>0</v>
      </c>
      <c r="N2489" s="0" t="n">
        <f aca="true">CRITBINOM(MAX(0,$C2489-J2489),MIN(0.6,Matchup!$C$40*SQRT($B2489)/(1-MIN(0.75,Matchup!$C$39*$B2489))),RAND())</f>
        <v>2</v>
      </c>
      <c r="O2489" s="0" t="n">
        <f aca="false">6*J2489+(J2489-K2489-M2489)+2*L2489+3*N2489</f>
        <v>34</v>
      </c>
      <c r="P2489" s="0" t="n">
        <f aca="true">RAND()</f>
        <v>0.808077198257427</v>
      </c>
      <c r="Q2489" s="0" t="n">
        <f aca="true">RAND()</f>
        <v>0.258321091548059</v>
      </c>
      <c r="R2489" s="0" t="n">
        <f aca="false">IF($I2489&lt;&gt;$O2489,0,IF(P2489&lt;Matchup!$B$39,7,IF(P2489&lt;Matchup!$B$39+Matchup!$B$40,3,0)))</f>
        <v>0</v>
      </c>
      <c r="S2489" s="0" t="n">
        <f aca="false">IF($I2489&lt;&gt;$O2489,0,IF(Q2489&lt;Matchup!$C$39,7,IF(Q2489&lt;Matchup!$C$39+Matchup!$C$40,3,0)))</f>
        <v>0</v>
      </c>
      <c r="T2489" s="0" t="n">
        <f aca="false">I2489+R2489</f>
        <v>9</v>
      </c>
      <c r="U2489" s="0" t="n">
        <f aca="false">O2489+S2489</f>
        <v>34</v>
      </c>
      <c r="V2489" s="0" t="n">
        <f aca="false">T2489-U2489</f>
        <v>-25</v>
      </c>
      <c r="W2489" s="0" t="n">
        <f aca="false">T2489+U2489</f>
        <v>43</v>
      </c>
    </row>
    <row r="2490" customFormat="false" ht="15" hidden="false" customHeight="false" outlineLevel="0" collapsed="false">
      <c r="A2490" s="0" t="n">
        <v>2487</v>
      </c>
      <c r="B2490" s="0" t="n">
        <f aca="true">NORMINV(RAND(),1,Coefficients!$B$22)</f>
        <v>0.926702716056403</v>
      </c>
      <c r="C2490" s="0" t="n">
        <f aca="true">MEDIAN(8,16,ROUND(NORMINV(RAND(),Coefficients!$B$20,Coefficients!$B$21),0))</f>
        <v>12</v>
      </c>
      <c r="D2490" s="0" t="n">
        <f aca="true">CRITBINOM($C2490,MIN(0.75,Matchup!$B$39*$B2490),RAND())</f>
        <v>5</v>
      </c>
      <c r="E2490" s="0" t="n">
        <f aca="true">CRITBINOM(D2490,Coefficients!$B$30,RAND())</f>
        <v>1</v>
      </c>
      <c r="F2490" s="0" t="n">
        <f aca="true">CRITBINOM(E2490,Coefficients!$B$31,RAND())</f>
        <v>1</v>
      </c>
      <c r="G2490" s="0" t="n">
        <f aca="true">CRITBINOM(MAX(0,D2490-E2490),1-Coefficients!$B$32,RAND())</f>
        <v>0</v>
      </c>
      <c r="H2490" s="0" t="n">
        <f aca="true">CRITBINOM(MAX(0,$C2490-D2490),MIN(0.6,Matchup!$B$40*SQRT($B2490)/(1-MIN(0.75,Matchup!$B$39*$B2490))),RAND())</f>
        <v>1</v>
      </c>
      <c r="I2490" s="0" t="n">
        <f aca="false">6*D2490+(D2490-E2490-G2490)+2*F2490+3*H2490</f>
        <v>39</v>
      </c>
      <c r="J2490" s="0" t="n">
        <f aca="true">CRITBINOM($C2490,MIN(0.75,Matchup!$C$39*$B2490),RAND())</f>
        <v>4</v>
      </c>
      <c r="K2490" s="0" t="n">
        <f aca="true">CRITBINOM(J2490,Coefficients!$B$30,RAND())</f>
        <v>0</v>
      </c>
      <c r="L2490" s="0" t="n">
        <f aca="true">CRITBINOM(K2490,Coefficients!$B$31,RAND())</f>
        <v>0</v>
      </c>
      <c r="M2490" s="0" t="n">
        <f aca="true">CRITBINOM(MAX(0,J2490-K2490),1-Coefficients!$B$32,RAND())</f>
        <v>0</v>
      </c>
      <c r="N2490" s="0" t="n">
        <f aca="true">CRITBINOM(MAX(0,$C2490-J2490),MIN(0.6,Matchup!$C$40*SQRT($B2490)/(1-MIN(0.75,Matchup!$C$39*$B2490))),RAND())</f>
        <v>1</v>
      </c>
      <c r="O2490" s="0" t="n">
        <f aca="false">6*J2490+(J2490-K2490-M2490)+2*L2490+3*N2490</f>
        <v>31</v>
      </c>
      <c r="P2490" s="0" t="n">
        <f aca="true">RAND()</f>
        <v>0.053728733800456</v>
      </c>
      <c r="Q2490" s="0" t="n">
        <f aca="true">RAND()</f>
        <v>0.90067758578479</v>
      </c>
      <c r="R2490" s="0" t="n">
        <f aca="false">IF($I2490&lt;&gt;$O2490,0,IF(P2490&lt;Matchup!$B$39,7,IF(P2490&lt;Matchup!$B$39+Matchup!$B$40,3,0)))</f>
        <v>0</v>
      </c>
      <c r="S2490" s="0" t="n">
        <f aca="false">IF($I2490&lt;&gt;$O2490,0,IF(Q2490&lt;Matchup!$C$39,7,IF(Q2490&lt;Matchup!$C$39+Matchup!$C$40,3,0)))</f>
        <v>0</v>
      </c>
      <c r="T2490" s="0" t="n">
        <f aca="false">I2490+R2490</f>
        <v>39</v>
      </c>
      <c r="U2490" s="0" t="n">
        <f aca="false">O2490+S2490</f>
        <v>31</v>
      </c>
      <c r="V2490" s="0" t="n">
        <f aca="false">T2490-U2490</f>
        <v>8</v>
      </c>
      <c r="W2490" s="0" t="n">
        <f aca="false">T2490+U2490</f>
        <v>70</v>
      </c>
    </row>
    <row r="2491" customFormat="false" ht="15" hidden="false" customHeight="false" outlineLevel="0" collapsed="false">
      <c r="A2491" s="0" t="n">
        <v>2488</v>
      </c>
      <c r="B2491" s="0" t="n">
        <f aca="true">NORMINV(RAND(),1,Coefficients!$B$22)</f>
        <v>0.987017727706268</v>
      </c>
      <c r="C2491" s="0" t="n">
        <f aca="true">MEDIAN(8,16,ROUND(NORMINV(RAND(),Coefficients!$B$20,Coefficients!$B$21),0))</f>
        <v>11</v>
      </c>
      <c r="D2491" s="0" t="n">
        <f aca="true">CRITBINOM($C2491,MIN(0.75,Matchup!$B$39*$B2491),RAND())</f>
        <v>3</v>
      </c>
      <c r="E2491" s="0" t="n">
        <f aca="true">CRITBINOM(D2491,Coefficients!$B$30,RAND())</f>
        <v>0</v>
      </c>
      <c r="F2491" s="0" t="n">
        <f aca="true">CRITBINOM(E2491,Coefficients!$B$31,RAND())</f>
        <v>0</v>
      </c>
      <c r="G2491" s="0" t="n">
        <f aca="true">CRITBINOM(MAX(0,D2491-E2491),1-Coefficients!$B$32,RAND())</f>
        <v>0</v>
      </c>
      <c r="H2491" s="0" t="n">
        <f aca="true">CRITBINOM(MAX(0,$C2491-D2491),MIN(0.6,Matchup!$B$40*SQRT($B2491)/(1-MIN(0.75,Matchup!$B$39*$B2491))),RAND())</f>
        <v>2</v>
      </c>
      <c r="I2491" s="0" t="n">
        <f aca="false">6*D2491+(D2491-E2491-G2491)+2*F2491+3*H2491</f>
        <v>27</v>
      </c>
      <c r="J2491" s="0" t="n">
        <f aca="true">CRITBINOM($C2491,MIN(0.75,Matchup!$C$39*$B2491),RAND())</f>
        <v>3</v>
      </c>
      <c r="K2491" s="0" t="n">
        <f aca="true">CRITBINOM(J2491,Coefficients!$B$30,RAND())</f>
        <v>0</v>
      </c>
      <c r="L2491" s="0" t="n">
        <f aca="true">CRITBINOM(K2491,Coefficients!$B$31,RAND())</f>
        <v>0</v>
      </c>
      <c r="M2491" s="0" t="n">
        <f aca="true">CRITBINOM(MAX(0,J2491-K2491),1-Coefficients!$B$32,RAND())</f>
        <v>0</v>
      </c>
      <c r="N2491" s="0" t="n">
        <f aca="true">CRITBINOM(MAX(0,$C2491-J2491),MIN(0.6,Matchup!$C$40*SQRT($B2491)/(1-MIN(0.75,Matchup!$C$39*$B2491))),RAND())</f>
        <v>2</v>
      </c>
      <c r="O2491" s="0" t="n">
        <f aca="false">6*J2491+(J2491-K2491-M2491)+2*L2491+3*N2491</f>
        <v>27</v>
      </c>
      <c r="P2491" s="0" t="n">
        <f aca="true">RAND()</f>
        <v>0.0955244149455434</v>
      </c>
      <c r="Q2491" s="0" t="n">
        <f aca="true">RAND()</f>
        <v>0.41395736694188</v>
      </c>
      <c r="R2491" s="0" t="n">
        <f aca="false">IF($I2491&lt;&gt;$O2491,0,IF(P2491&lt;Matchup!$B$39,7,IF(P2491&lt;Matchup!$B$39+Matchup!$B$40,3,0)))</f>
        <v>7</v>
      </c>
      <c r="S2491" s="0" t="n">
        <f aca="false">IF($I2491&lt;&gt;$O2491,0,IF(Q2491&lt;Matchup!$C$39,7,IF(Q2491&lt;Matchup!$C$39+Matchup!$C$40,3,0)))</f>
        <v>0</v>
      </c>
      <c r="T2491" s="0" t="n">
        <f aca="false">I2491+R2491</f>
        <v>34</v>
      </c>
      <c r="U2491" s="0" t="n">
        <f aca="false">O2491+S2491</f>
        <v>27</v>
      </c>
      <c r="V2491" s="0" t="n">
        <f aca="false">T2491-U2491</f>
        <v>7</v>
      </c>
      <c r="W2491" s="0" t="n">
        <f aca="false">T2491+U2491</f>
        <v>61</v>
      </c>
    </row>
    <row r="2492" customFormat="false" ht="15" hidden="false" customHeight="false" outlineLevel="0" collapsed="false">
      <c r="A2492" s="0" t="n">
        <v>2489</v>
      </c>
      <c r="B2492" s="0" t="n">
        <f aca="true">NORMINV(RAND(),1,Coefficients!$B$22)</f>
        <v>0.875563278652124</v>
      </c>
      <c r="C2492" s="0" t="n">
        <f aca="true">MEDIAN(8,16,ROUND(NORMINV(RAND(),Coefficients!$B$20,Coefficients!$B$21),0))</f>
        <v>10</v>
      </c>
      <c r="D2492" s="0" t="n">
        <f aca="true">CRITBINOM($C2492,MIN(0.75,Matchup!$B$39*$B2492),RAND())</f>
        <v>5</v>
      </c>
      <c r="E2492" s="0" t="n">
        <f aca="true">CRITBINOM(D2492,Coefficients!$B$30,RAND())</f>
        <v>0</v>
      </c>
      <c r="F2492" s="0" t="n">
        <f aca="true">CRITBINOM(E2492,Coefficients!$B$31,RAND())</f>
        <v>0</v>
      </c>
      <c r="G2492" s="0" t="n">
        <f aca="true">CRITBINOM(MAX(0,D2492-E2492),1-Coefficients!$B$32,RAND())</f>
        <v>0</v>
      </c>
      <c r="H2492" s="0" t="n">
        <f aca="true">CRITBINOM(MAX(0,$C2492-D2492),MIN(0.6,Matchup!$B$40*SQRT($B2492)/(1-MIN(0.75,Matchup!$B$39*$B2492))),RAND())</f>
        <v>1</v>
      </c>
      <c r="I2492" s="0" t="n">
        <f aca="false">6*D2492+(D2492-E2492-G2492)+2*F2492+3*H2492</f>
        <v>38</v>
      </c>
      <c r="J2492" s="0" t="n">
        <f aca="true">CRITBINOM($C2492,MIN(0.75,Matchup!$C$39*$B2492),RAND())</f>
        <v>1</v>
      </c>
      <c r="K2492" s="0" t="n">
        <f aca="true">CRITBINOM(J2492,Coefficients!$B$30,RAND())</f>
        <v>0</v>
      </c>
      <c r="L2492" s="0" t="n">
        <f aca="true">CRITBINOM(K2492,Coefficients!$B$31,RAND())</f>
        <v>0</v>
      </c>
      <c r="M2492" s="0" t="n">
        <f aca="true">CRITBINOM(MAX(0,J2492-K2492),1-Coefficients!$B$32,RAND())</f>
        <v>0</v>
      </c>
      <c r="N2492" s="0" t="n">
        <f aca="true">CRITBINOM(MAX(0,$C2492-J2492),MIN(0.6,Matchup!$C$40*SQRT($B2492)/(1-MIN(0.75,Matchup!$C$39*$B2492))),RAND())</f>
        <v>1</v>
      </c>
      <c r="O2492" s="0" t="n">
        <f aca="false">6*J2492+(J2492-K2492-M2492)+2*L2492+3*N2492</f>
        <v>10</v>
      </c>
      <c r="P2492" s="0" t="n">
        <f aca="true">RAND()</f>
        <v>0.0879393576000958</v>
      </c>
      <c r="Q2492" s="0" t="n">
        <f aca="true">RAND()</f>
        <v>0.867932342215217</v>
      </c>
      <c r="R2492" s="0" t="n">
        <f aca="false">IF($I2492&lt;&gt;$O2492,0,IF(P2492&lt;Matchup!$B$39,7,IF(P2492&lt;Matchup!$B$39+Matchup!$B$40,3,0)))</f>
        <v>0</v>
      </c>
      <c r="S2492" s="0" t="n">
        <f aca="false">IF($I2492&lt;&gt;$O2492,0,IF(Q2492&lt;Matchup!$C$39,7,IF(Q2492&lt;Matchup!$C$39+Matchup!$C$40,3,0)))</f>
        <v>0</v>
      </c>
      <c r="T2492" s="0" t="n">
        <f aca="false">I2492+R2492</f>
        <v>38</v>
      </c>
      <c r="U2492" s="0" t="n">
        <f aca="false">O2492+S2492</f>
        <v>10</v>
      </c>
      <c r="V2492" s="0" t="n">
        <f aca="false">T2492-U2492</f>
        <v>28</v>
      </c>
      <c r="W2492" s="0" t="n">
        <f aca="false">T2492+U2492</f>
        <v>48</v>
      </c>
    </row>
    <row r="2493" customFormat="false" ht="15" hidden="false" customHeight="false" outlineLevel="0" collapsed="false">
      <c r="A2493" s="0" t="n">
        <v>2490</v>
      </c>
      <c r="B2493" s="0" t="n">
        <f aca="true">NORMINV(RAND(),1,Coefficients!$B$22)</f>
        <v>1.00159674476194</v>
      </c>
      <c r="C2493" s="0" t="n">
        <f aca="true">MEDIAN(8,16,ROUND(NORMINV(RAND(),Coefficients!$B$20,Coefficients!$B$21),0))</f>
        <v>10</v>
      </c>
      <c r="D2493" s="0" t="n">
        <f aca="true">CRITBINOM($C2493,MIN(0.75,Matchup!$B$39*$B2493),RAND())</f>
        <v>2</v>
      </c>
      <c r="E2493" s="0" t="n">
        <f aca="true">CRITBINOM(D2493,Coefficients!$B$30,RAND())</f>
        <v>0</v>
      </c>
      <c r="F2493" s="0" t="n">
        <f aca="true">CRITBINOM(E2493,Coefficients!$B$31,RAND())</f>
        <v>0</v>
      </c>
      <c r="G2493" s="0" t="n">
        <f aca="true">CRITBINOM(MAX(0,D2493-E2493),1-Coefficients!$B$32,RAND())</f>
        <v>0</v>
      </c>
      <c r="H2493" s="0" t="n">
        <f aca="true">CRITBINOM(MAX(0,$C2493-D2493),MIN(0.6,Matchup!$B$40*SQRT($B2493)/(1-MIN(0.75,Matchup!$B$39*$B2493))),RAND())</f>
        <v>3</v>
      </c>
      <c r="I2493" s="0" t="n">
        <f aca="false">6*D2493+(D2493-E2493-G2493)+2*F2493+3*H2493</f>
        <v>23</v>
      </c>
      <c r="J2493" s="0" t="n">
        <f aca="true">CRITBINOM($C2493,MIN(0.75,Matchup!$C$39*$B2493),RAND())</f>
        <v>1</v>
      </c>
      <c r="K2493" s="0" t="n">
        <f aca="true">CRITBINOM(J2493,Coefficients!$B$30,RAND())</f>
        <v>1</v>
      </c>
      <c r="L2493" s="0" t="n">
        <f aca="true">CRITBINOM(K2493,Coefficients!$B$31,RAND())</f>
        <v>0</v>
      </c>
      <c r="M2493" s="0" t="n">
        <f aca="true">CRITBINOM(MAX(0,J2493-K2493),1-Coefficients!$B$32,RAND())</f>
        <v>0</v>
      </c>
      <c r="N2493" s="0" t="n">
        <f aca="true">CRITBINOM(MAX(0,$C2493-J2493),MIN(0.6,Matchup!$C$40*SQRT($B2493)/(1-MIN(0.75,Matchup!$C$39*$B2493))),RAND())</f>
        <v>3</v>
      </c>
      <c r="O2493" s="0" t="n">
        <f aca="false">6*J2493+(J2493-K2493-M2493)+2*L2493+3*N2493</f>
        <v>15</v>
      </c>
      <c r="P2493" s="0" t="n">
        <f aca="true">RAND()</f>
        <v>0.927677743639581</v>
      </c>
      <c r="Q2493" s="0" t="n">
        <f aca="true">RAND()</f>
        <v>0.996922195794891</v>
      </c>
      <c r="R2493" s="0" t="n">
        <f aca="false">IF($I2493&lt;&gt;$O2493,0,IF(P2493&lt;Matchup!$B$39,7,IF(P2493&lt;Matchup!$B$39+Matchup!$B$40,3,0)))</f>
        <v>0</v>
      </c>
      <c r="S2493" s="0" t="n">
        <f aca="false">IF($I2493&lt;&gt;$O2493,0,IF(Q2493&lt;Matchup!$C$39,7,IF(Q2493&lt;Matchup!$C$39+Matchup!$C$40,3,0)))</f>
        <v>0</v>
      </c>
      <c r="T2493" s="0" t="n">
        <f aca="false">I2493+R2493</f>
        <v>23</v>
      </c>
      <c r="U2493" s="0" t="n">
        <f aca="false">O2493+S2493</f>
        <v>15</v>
      </c>
      <c r="V2493" s="0" t="n">
        <f aca="false">T2493-U2493</f>
        <v>8</v>
      </c>
      <c r="W2493" s="0" t="n">
        <f aca="false">T2493+U2493</f>
        <v>38</v>
      </c>
    </row>
    <row r="2494" customFormat="false" ht="15" hidden="false" customHeight="false" outlineLevel="0" collapsed="false">
      <c r="A2494" s="0" t="n">
        <v>2491</v>
      </c>
      <c r="B2494" s="0" t="n">
        <f aca="true">NORMINV(RAND(),1,Coefficients!$B$22)</f>
        <v>0.910039197330919</v>
      </c>
      <c r="C2494" s="0" t="n">
        <f aca="true">MEDIAN(8,16,ROUND(NORMINV(RAND(),Coefficients!$B$20,Coefficients!$B$21),0))</f>
        <v>12</v>
      </c>
      <c r="D2494" s="0" t="n">
        <f aca="true">CRITBINOM($C2494,MIN(0.75,Matchup!$B$39*$B2494),RAND())</f>
        <v>2</v>
      </c>
      <c r="E2494" s="0" t="n">
        <f aca="true">CRITBINOM(D2494,Coefficients!$B$30,RAND())</f>
        <v>0</v>
      </c>
      <c r="F2494" s="0" t="n">
        <f aca="true">CRITBINOM(E2494,Coefficients!$B$31,RAND())</f>
        <v>0</v>
      </c>
      <c r="G2494" s="0" t="n">
        <f aca="true">CRITBINOM(MAX(0,D2494-E2494),1-Coefficients!$B$32,RAND())</f>
        <v>1</v>
      </c>
      <c r="H2494" s="0" t="n">
        <f aca="true">CRITBINOM(MAX(0,$C2494-D2494),MIN(0.6,Matchup!$B$40*SQRT($B2494)/(1-MIN(0.75,Matchup!$B$39*$B2494))),RAND())</f>
        <v>2</v>
      </c>
      <c r="I2494" s="0" t="n">
        <f aca="false">6*D2494+(D2494-E2494-G2494)+2*F2494+3*H2494</f>
        <v>19</v>
      </c>
      <c r="J2494" s="0" t="n">
        <f aca="true">CRITBINOM($C2494,MIN(0.75,Matchup!$C$39*$B2494),RAND())</f>
        <v>3</v>
      </c>
      <c r="K2494" s="0" t="n">
        <f aca="true">CRITBINOM(J2494,Coefficients!$B$30,RAND())</f>
        <v>1</v>
      </c>
      <c r="L2494" s="0" t="n">
        <f aca="true">CRITBINOM(K2494,Coefficients!$B$31,RAND())</f>
        <v>1</v>
      </c>
      <c r="M2494" s="0" t="n">
        <f aca="true">CRITBINOM(MAX(0,J2494-K2494),1-Coefficients!$B$32,RAND())</f>
        <v>0</v>
      </c>
      <c r="N2494" s="0" t="n">
        <f aca="true">CRITBINOM(MAX(0,$C2494-J2494),MIN(0.6,Matchup!$C$40*SQRT($B2494)/(1-MIN(0.75,Matchup!$C$39*$B2494))),RAND())</f>
        <v>1</v>
      </c>
      <c r="O2494" s="0" t="n">
        <f aca="false">6*J2494+(J2494-K2494-M2494)+2*L2494+3*N2494</f>
        <v>25</v>
      </c>
      <c r="P2494" s="0" t="n">
        <f aca="true">RAND()</f>
        <v>0.861620663062445</v>
      </c>
      <c r="Q2494" s="0" t="n">
        <f aca="true">RAND()</f>
        <v>0.658999746923045</v>
      </c>
      <c r="R2494" s="0" t="n">
        <f aca="false">IF($I2494&lt;&gt;$O2494,0,IF(P2494&lt;Matchup!$B$39,7,IF(P2494&lt;Matchup!$B$39+Matchup!$B$40,3,0)))</f>
        <v>0</v>
      </c>
      <c r="S2494" s="0" t="n">
        <f aca="false">IF($I2494&lt;&gt;$O2494,0,IF(Q2494&lt;Matchup!$C$39,7,IF(Q2494&lt;Matchup!$C$39+Matchup!$C$40,3,0)))</f>
        <v>0</v>
      </c>
      <c r="T2494" s="0" t="n">
        <f aca="false">I2494+R2494</f>
        <v>19</v>
      </c>
      <c r="U2494" s="0" t="n">
        <f aca="false">O2494+S2494</f>
        <v>25</v>
      </c>
      <c r="V2494" s="0" t="n">
        <f aca="false">T2494-U2494</f>
        <v>-6</v>
      </c>
      <c r="W2494" s="0" t="n">
        <f aca="false">T2494+U2494</f>
        <v>44</v>
      </c>
    </row>
    <row r="2495" customFormat="false" ht="15" hidden="false" customHeight="false" outlineLevel="0" collapsed="false">
      <c r="A2495" s="0" t="n">
        <v>2492</v>
      </c>
      <c r="B2495" s="0" t="n">
        <f aca="true">NORMINV(RAND(),1,Coefficients!$B$22)</f>
        <v>1.14649839842796</v>
      </c>
      <c r="C2495" s="0" t="n">
        <f aca="true">MEDIAN(8,16,ROUND(NORMINV(RAND(),Coefficients!$B$20,Coefficients!$B$21),0))</f>
        <v>11</v>
      </c>
      <c r="D2495" s="0" t="n">
        <f aca="true">CRITBINOM($C2495,MIN(0.75,Matchup!$B$39*$B2495),RAND())</f>
        <v>2</v>
      </c>
      <c r="E2495" s="0" t="n">
        <f aca="true">CRITBINOM(D2495,Coefficients!$B$30,RAND())</f>
        <v>0</v>
      </c>
      <c r="F2495" s="0" t="n">
        <f aca="true">CRITBINOM(E2495,Coefficients!$B$31,RAND())</f>
        <v>0</v>
      </c>
      <c r="G2495" s="0" t="n">
        <f aca="true">CRITBINOM(MAX(0,D2495-E2495),1-Coefficients!$B$32,RAND())</f>
        <v>0</v>
      </c>
      <c r="H2495" s="0" t="n">
        <f aca="true">CRITBINOM(MAX(0,$C2495-D2495),MIN(0.6,Matchup!$B$40*SQRT($B2495)/(1-MIN(0.75,Matchup!$B$39*$B2495))),RAND())</f>
        <v>4</v>
      </c>
      <c r="I2495" s="0" t="n">
        <f aca="false">6*D2495+(D2495-E2495-G2495)+2*F2495+3*H2495</f>
        <v>26</v>
      </c>
      <c r="J2495" s="0" t="n">
        <f aca="true">CRITBINOM($C2495,MIN(0.75,Matchup!$C$39*$B2495),RAND())</f>
        <v>3</v>
      </c>
      <c r="K2495" s="0" t="n">
        <f aca="true">CRITBINOM(J2495,Coefficients!$B$30,RAND())</f>
        <v>0</v>
      </c>
      <c r="L2495" s="0" t="n">
        <f aca="true">CRITBINOM(K2495,Coefficients!$B$31,RAND())</f>
        <v>0</v>
      </c>
      <c r="M2495" s="0" t="n">
        <f aca="true">CRITBINOM(MAX(0,J2495-K2495),1-Coefficients!$B$32,RAND())</f>
        <v>1</v>
      </c>
      <c r="N2495" s="0" t="n">
        <f aca="true">CRITBINOM(MAX(0,$C2495-J2495),MIN(0.6,Matchup!$C$40*SQRT($B2495)/(1-MIN(0.75,Matchup!$C$39*$B2495))),RAND())</f>
        <v>2</v>
      </c>
      <c r="O2495" s="0" t="n">
        <f aca="false">6*J2495+(J2495-K2495-M2495)+2*L2495+3*N2495</f>
        <v>26</v>
      </c>
      <c r="P2495" s="0" t="n">
        <f aca="true">RAND()</f>
        <v>0.0967856777321888</v>
      </c>
      <c r="Q2495" s="0" t="n">
        <f aca="true">RAND()</f>
        <v>0.446705331891007</v>
      </c>
      <c r="R2495" s="0" t="n">
        <f aca="false">IF($I2495&lt;&gt;$O2495,0,IF(P2495&lt;Matchup!$B$39,7,IF(P2495&lt;Matchup!$B$39+Matchup!$B$40,3,0)))</f>
        <v>7</v>
      </c>
      <c r="S2495" s="0" t="n">
        <f aca="false">IF($I2495&lt;&gt;$O2495,0,IF(Q2495&lt;Matchup!$C$39,7,IF(Q2495&lt;Matchup!$C$39+Matchup!$C$40,3,0)))</f>
        <v>0</v>
      </c>
      <c r="T2495" s="0" t="n">
        <f aca="false">I2495+R2495</f>
        <v>33</v>
      </c>
      <c r="U2495" s="0" t="n">
        <f aca="false">O2495+S2495</f>
        <v>26</v>
      </c>
      <c r="V2495" s="0" t="n">
        <f aca="false">T2495-U2495</f>
        <v>7</v>
      </c>
      <c r="W2495" s="0" t="n">
        <f aca="false">T2495+U2495</f>
        <v>59</v>
      </c>
    </row>
    <row r="2496" customFormat="false" ht="15" hidden="false" customHeight="false" outlineLevel="0" collapsed="false">
      <c r="A2496" s="0" t="n">
        <v>2493</v>
      </c>
      <c r="B2496" s="0" t="n">
        <f aca="true">NORMINV(RAND(),1,Coefficients!$B$22)</f>
        <v>1.06307673022119</v>
      </c>
      <c r="C2496" s="0" t="n">
        <f aca="true">MEDIAN(8,16,ROUND(NORMINV(RAND(),Coefficients!$B$20,Coefficients!$B$21),0))</f>
        <v>12</v>
      </c>
      <c r="D2496" s="0" t="n">
        <f aca="true">CRITBINOM($C2496,MIN(0.75,Matchup!$B$39*$B2496),RAND())</f>
        <v>6</v>
      </c>
      <c r="E2496" s="0" t="n">
        <f aca="true">CRITBINOM(D2496,Coefficients!$B$30,RAND())</f>
        <v>0</v>
      </c>
      <c r="F2496" s="0" t="n">
        <f aca="true">CRITBINOM(E2496,Coefficients!$B$31,RAND())</f>
        <v>0</v>
      </c>
      <c r="G2496" s="0" t="n">
        <f aca="true">CRITBINOM(MAX(0,D2496-E2496),1-Coefficients!$B$32,RAND())</f>
        <v>0</v>
      </c>
      <c r="H2496" s="0" t="n">
        <f aca="true">CRITBINOM(MAX(0,$C2496-D2496),MIN(0.6,Matchup!$B$40*SQRT($B2496)/(1-MIN(0.75,Matchup!$B$39*$B2496))),RAND())</f>
        <v>0</v>
      </c>
      <c r="I2496" s="0" t="n">
        <f aca="false">6*D2496+(D2496-E2496-G2496)+2*F2496+3*H2496</f>
        <v>42</v>
      </c>
      <c r="J2496" s="0" t="n">
        <f aca="true">CRITBINOM($C2496,MIN(0.75,Matchup!$C$39*$B2496),RAND())</f>
        <v>1</v>
      </c>
      <c r="K2496" s="0" t="n">
        <f aca="true">CRITBINOM(J2496,Coefficients!$B$30,RAND())</f>
        <v>0</v>
      </c>
      <c r="L2496" s="0" t="n">
        <f aca="true">CRITBINOM(K2496,Coefficients!$B$31,RAND())</f>
        <v>0</v>
      </c>
      <c r="M2496" s="0" t="n">
        <f aca="true">CRITBINOM(MAX(0,J2496-K2496),1-Coefficients!$B$32,RAND())</f>
        <v>0</v>
      </c>
      <c r="N2496" s="0" t="n">
        <f aca="true">CRITBINOM(MAX(0,$C2496-J2496),MIN(0.6,Matchup!$C$40*SQRT($B2496)/(1-MIN(0.75,Matchup!$C$39*$B2496))),RAND())</f>
        <v>1</v>
      </c>
      <c r="O2496" s="0" t="n">
        <f aca="false">6*J2496+(J2496-K2496-M2496)+2*L2496+3*N2496</f>
        <v>10</v>
      </c>
      <c r="P2496" s="0" t="n">
        <f aca="true">RAND()</f>
        <v>0.877681930212313</v>
      </c>
      <c r="Q2496" s="0" t="n">
        <f aca="true">RAND()</f>
        <v>0.924946318471009</v>
      </c>
      <c r="R2496" s="0" t="n">
        <f aca="false">IF($I2496&lt;&gt;$O2496,0,IF(P2496&lt;Matchup!$B$39,7,IF(P2496&lt;Matchup!$B$39+Matchup!$B$40,3,0)))</f>
        <v>0</v>
      </c>
      <c r="S2496" s="0" t="n">
        <f aca="false">IF($I2496&lt;&gt;$O2496,0,IF(Q2496&lt;Matchup!$C$39,7,IF(Q2496&lt;Matchup!$C$39+Matchup!$C$40,3,0)))</f>
        <v>0</v>
      </c>
      <c r="T2496" s="0" t="n">
        <f aca="false">I2496+R2496</f>
        <v>42</v>
      </c>
      <c r="U2496" s="0" t="n">
        <f aca="false">O2496+S2496</f>
        <v>10</v>
      </c>
      <c r="V2496" s="0" t="n">
        <f aca="false">T2496-U2496</f>
        <v>32</v>
      </c>
      <c r="W2496" s="0" t="n">
        <f aca="false">T2496+U2496</f>
        <v>52</v>
      </c>
    </row>
    <row r="2497" customFormat="false" ht="15" hidden="false" customHeight="false" outlineLevel="0" collapsed="false">
      <c r="A2497" s="0" t="n">
        <v>2494</v>
      </c>
      <c r="B2497" s="0" t="n">
        <f aca="true">NORMINV(RAND(),1,Coefficients!$B$22)</f>
        <v>0.907600106010061</v>
      </c>
      <c r="C2497" s="0" t="n">
        <f aca="true">MEDIAN(8,16,ROUND(NORMINV(RAND(),Coefficients!$B$20,Coefficients!$B$21),0))</f>
        <v>12</v>
      </c>
      <c r="D2497" s="0" t="n">
        <f aca="true">CRITBINOM($C2497,MIN(0.75,Matchup!$B$39*$B2497),RAND())</f>
        <v>2</v>
      </c>
      <c r="E2497" s="0" t="n">
        <f aca="true">CRITBINOM(D2497,Coefficients!$B$30,RAND())</f>
        <v>0</v>
      </c>
      <c r="F2497" s="0" t="n">
        <f aca="true">CRITBINOM(E2497,Coefficients!$B$31,RAND())</f>
        <v>0</v>
      </c>
      <c r="G2497" s="0" t="n">
        <f aca="true">CRITBINOM(MAX(0,D2497-E2497),1-Coefficients!$B$32,RAND())</f>
        <v>0</v>
      </c>
      <c r="H2497" s="0" t="n">
        <f aca="true">CRITBINOM(MAX(0,$C2497-D2497),MIN(0.6,Matchup!$B$40*SQRT($B2497)/(1-MIN(0.75,Matchup!$B$39*$B2497))),RAND())</f>
        <v>3</v>
      </c>
      <c r="I2497" s="0" t="n">
        <f aca="false">6*D2497+(D2497-E2497-G2497)+2*F2497+3*H2497</f>
        <v>23</v>
      </c>
      <c r="J2497" s="0" t="n">
        <f aca="true">CRITBINOM($C2497,MIN(0.75,Matchup!$C$39*$B2497),RAND())</f>
        <v>2</v>
      </c>
      <c r="K2497" s="0" t="n">
        <f aca="true">CRITBINOM(J2497,Coefficients!$B$30,RAND())</f>
        <v>0</v>
      </c>
      <c r="L2497" s="0" t="n">
        <f aca="true">CRITBINOM(K2497,Coefficients!$B$31,RAND())</f>
        <v>0</v>
      </c>
      <c r="M2497" s="0" t="n">
        <f aca="true">CRITBINOM(MAX(0,J2497-K2497),1-Coefficients!$B$32,RAND())</f>
        <v>0</v>
      </c>
      <c r="N2497" s="0" t="n">
        <f aca="true">CRITBINOM(MAX(0,$C2497-J2497),MIN(0.6,Matchup!$C$40*SQRT($B2497)/(1-MIN(0.75,Matchup!$C$39*$B2497))),RAND())</f>
        <v>2</v>
      </c>
      <c r="O2497" s="0" t="n">
        <f aca="false">6*J2497+(J2497-K2497-M2497)+2*L2497+3*N2497</f>
        <v>20</v>
      </c>
      <c r="P2497" s="0" t="n">
        <f aca="true">RAND()</f>
        <v>0.44201752646065</v>
      </c>
      <c r="Q2497" s="0" t="n">
        <f aca="true">RAND()</f>
        <v>0.402195369418748</v>
      </c>
      <c r="R2497" s="0" t="n">
        <f aca="false">IF($I2497&lt;&gt;$O2497,0,IF(P2497&lt;Matchup!$B$39,7,IF(P2497&lt;Matchup!$B$39+Matchup!$B$40,3,0)))</f>
        <v>0</v>
      </c>
      <c r="S2497" s="0" t="n">
        <f aca="false">IF($I2497&lt;&gt;$O2497,0,IF(Q2497&lt;Matchup!$C$39,7,IF(Q2497&lt;Matchup!$C$39+Matchup!$C$40,3,0)))</f>
        <v>0</v>
      </c>
      <c r="T2497" s="0" t="n">
        <f aca="false">I2497+R2497</f>
        <v>23</v>
      </c>
      <c r="U2497" s="0" t="n">
        <f aca="false">O2497+S2497</f>
        <v>20</v>
      </c>
      <c r="V2497" s="0" t="n">
        <f aca="false">T2497-U2497</f>
        <v>3</v>
      </c>
      <c r="W2497" s="0" t="n">
        <f aca="false">T2497+U2497</f>
        <v>43</v>
      </c>
    </row>
    <row r="2498" customFormat="false" ht="15" hidden="false" customHeight="false" outlineLevel="0" collapsed="false">
      <c r="A2498" s="0" t="n">
        <v>2495</v>
      </c>
      <c r="B2498" s="0" t="n">
        <f aca="true">NORMINV(RAND(),1,Coefficients!$B$22)</f>
        <v>0.965489185002502</v>
      </c>
      <c r="C2498" s="0" t="n">
        <f aca="true">MEDIAN(8,16,ROUND(NORMINV(RAND(),Coefficients!$B$20,Coefficients!$B$21),0))</f>
        <v>10</v>
      </c>
      <c r="D2498" s="0" t="n">
        <f aca="true">CRITBINOM($C2498,MIN(0.75,Matchup!$B$39*$B2498),RAND())</f>
        <v>2</v>
      </c>
      <c r="E2498" s="0" t="n">
        <f aca="true">CRITBINOM(D2498,Coefficients!$B$30,RAND())</f>
        <v>0</v>
      </c>
      <c r="F2498" s="0" t="n">
        <f aca="true">CRITBINOM(E2498,Coefficients!$B$31,RAND())</f>
        <v>0</v>
      </c>
      <c r="G2498" s="0" t="n">
        <f aca="true">CRITBINOM(MAX(0,D2498-E2498),1-Coefficients!$B$32,RAND())</f>
        <v>0</v>
      </c>
      <c r="H2498" s="0" t="n">
        <f aca="true">CRITBINOM(MAX(0,$C2498-D2498),MIN(0.6,Matchup!$B$40*SQRT($B2498)/(1-MIN(0.75,Matchup!$B$39*$B2498))),RAND())</f>
        <v>1</v>
      </c>
      <c r="I2498" s="0" t="n">
        <f aca="false">6*D2498+(D2498-E2498-G2498)+2*F2498+3*H2498</f>
        <v>17</v>
      </c>
      <c r="J2498" s="0" t="n">
        <f aca="true">CRITBINOM($C2498,MIN(0.75,Matchup!$C$39*$B2498),RAND())</f>
        <v>2</v>
      </c>
      <c r="K2498" s="0" t="n">
        <f aca="true">CRITBINOM(J2498,Coefficients!$B$30,RAND())</f>
        <v>0</v>
      </c>
      <c r="L2498" s="0" t="n">
        <f aca="true">CRITBINOM(K2498,Coefficients!$B$31,RAND())</f>
        <v>0</v>
      </c>
      <c r="M2498" s="0" t="n">
        <f aca="true">CRITBINOM(MAX(0,J2498-K2498),1-Coefficients!$B$32,RAND())</f>
        <v>0</v>
      </c>
      <c r="N2498" s="0" t="n">
        <f aca="true">CRITBINOM(MAX(0,$C2498-J2498),MIN(0.6,Matchup!$C$40*SQRT($B2498)/(1-MIN(0.75,Matchup!$C$39*$B2498))),RAND())</f>
        <v>1</v>
      </c>
      <c r="O2498" s="0" t="n">
        <f aca="false">6*J2498+(J2498-K2498-M2498)+2*L2498+3*N2498</f>
        <v>17</v>
      </c>
      <c r="P2498" s="0" t="n">
        <f aca="true">RAND()</f>
        <v>0.771900645051237</v>
      </c>
      <c r="Q2498" s="0" t="n">
        <f aca="true">RAND()</f>
        <v>0.0369275551315785</v>
      </c>
      <c r="R2498" s="0" t="n">
        <f aca="false">IF($I2498&lt;&gt;$O2498,0,IF(P2498&lt;Matchup!$B$39,7,IF(P2498&lt;Matchup!$B$39+Matchup!$B$40,3,0)))</f>
        <v>0</v>
      </c>
      <c r="S2498" s="0" t="n">
        <f aca="false">IF($I2498&lt;&gt;$O2498,0,IF(Q2498&lt;Matchup!$C$39,7,IF(Q2498&lt;Matchup!$C$39+Matchup!$C$40,3,0)))</f>
        <v>7</v>
      </c>
      <c r="T2498" s="0" t="n">
        <f aca="false">I2498+R2498</f>
        <v>17</v>
      </c>
      <c r="U2498" s="0" t="n">
        <f aca="false">O2498+S2498</f>
        <v>24</v>
      </c>
      <c r="V2498" s="0" t="n">
        <f aca="false">T2498-U2498</f>
        <v>-7</v>
      </c>
      <c r="W2498" s="0" t="n">
        <f aca="false">T2498+U2498</f>
        <v>41</v>
      </c>
    </row>
    <row r="2499" customFormat="false" ht="15" hidden="false" customHeight="false" outlineLevel="0" collapsed="false">
      <c r="A2499" s="0" t="n">
        <v>2496</v>
      </c>
      <c r="B2499" s="0" t="n">
        <f aca="true">NORMINV(RAND(),1,Coefficients!$B$22)</f>
        <v>0.979399523696774</v>
      </c>
      <c r="C2499" s="0" t="n">
        <f aca="true">MEDIAN(8,16,ROUND(NORMINV(RAND(),Coefficients!$B$20,Coefficients!$B$21),0))</f>
        <v>10</v>
      </c>
      <c r="D2499" s="0" t="n">
        <f aca="true">CRITBINOM($C2499,MIN(0.75,Matchup!$B$39*$B2499),RAND())</f>
        <v>2</v>
      </c>
      <c r="E2499" s="0" t="n">
        <f aca="true">CRITBINOM(D2499,Coefficients!$B$30,RAND())</f>
        <v>1</v>
      </c>
      <c r="F2499" s="0" t="n">
        <f aca="true">CRITBINOM(E2499,Coefficients!$B$31,RAND())</f>
        <v>1</v>
      </c>
      <c r="G2499" s="0" t="n">
        <f aca="true">CRITBINOM(MAX(0,D2499-E2499),1-Coefficients!$B$32,RAND())</f>
        <v>0</v>
      </c>
      <c r="H2499" s="0" t="n">
        <f aca="true">CRITBINOM(MAX(0,$C2499-D2499),MIN(0.6,Matchup!$B$40*SQRT($B2499)/(1-MIN(0.75,Matchup!$B$39*$B2499))),RAND())</f>
        <v>0</v>
      </c>
      <c r="I2499" s="0" t="n">
        <f aca="false">6*D2499+(D2499-E2499-G2499)+2*F2499+3*H2499</f>
        <v>15</v>
      </c>
      <c r="J2499" s="0" t="n">
        <f aca="true">CRITBINOM($C2499,MIN(0.75,Matchup!$C$39*$B2499),RAND())</f>
        <v>5</v>
      </c>
      <c r="K2499" s="0" t="n">
        <f aca="true">CRITBINOM(J2499,Coefficients!$B$30,RAND())</f>
        <v>1</v>
      </c>
      <c r="L2499" s="0" t="n">
        <f aca="true">CRITBINOM(K2499,Coefficients!$B$31,RAND())</f>
        <v>0</v>
      </c>
      <c r="M2499" s="0" t="n">
        <f aca="true">CRITBINOM(MAX(0,J2499-K2499),1-Coefficients!$B$32,RAND())</f>
        <v>0</v>
      </c>
      <c r="N2499" s="0" t="n">
        <f aca="true">CRITBINOM(MAX(0,$C2499-J2499),MIN(0.6,Matchup!$C$40*SQRT($B2499)/(1-MIN(0.75,Matchup!$C$39*$B2499))),RAND())</f>
        <v>2</v>
      </c>
      <c r="O2499" s="0" t="n">
        <f aca="false">6*J2499+(J2499-K2499-M2499)+2*L2499+3*N2499</f>
        <v>40</v>
      </c>
      <c r="P2499" s="0" t="n">
        <f aca="true">RAND()</f>
        <v>0.791876580650074</v>
      </c>
      <c r="Q2499" s="0" t="n">
        <f aca="true">RAND()</f>
        <v>0.578628540631698</v>
      </c>
      <c r="R2499" s="0" t="n">
        <f aca="false">IF($I2499&lt;&gt;$O2499,0,IF(P2499&lt;Matchup!$B$39,7,IF(P2499&lt;Matchup!$B$39+Matchup!$B$40,3,0)))</f>
        <v>0</v>
      </c>
      <c r="S2499" s="0" t="n">
        <f aca="false">IF($I2499&lt;&gt;$O2499,0,IF(Q2499&lt;Matchup!$C$39,7,IF(Q2499&lt;Matchup!$C$39+Matchup!$C$40,3,0)))</f>
        <v>0</v>
      </c>
      <c r="T2499" s="0" t="n">
        <f aca="false">I2499+R2499</f>
        <v>15</v>
      </c>
      <c r="U2499" s="0" t="n">
        <f aca="false">O2499+S2499</f>
        <v>40</v>
      </c>
      <c r="V2499" s="0" t="n">
        <f aca="false">T2499-U2499</f>
        <v>-25</v>
      </c>
      <c r="W2499" s="0" t="n">
        <f aca="false">T2499+U2499</f>
        <v>55</v>
      </c>
    </row>
    <row r="2500" customFormat="false" ht="15" hidden="false" customHeight="false" outlineLevel="0" collapsed="false">
      <c r="A2500" s="0" t="n">
        <v>2497</v>
      </c>
      <c r="B2500" s="0" t="n">
        <f aca="true">NORMINV(RAND(),1,Coefficients!$B$22)</f>
        <v>0.974623211543927</v>
      </c>
      <c r="C2500" s="0" t="n">
        <f aca="true">MEDIAN(8,16,ROUND(NORMINV(RAND(),Coefficients!$B$20,Coefficients!$B$21),0))</f>
        <v>13</v>
      </c>
      <c r="D2500" s="0" t="n">
        <f aca="true">CRITBINOM($C2500,MIN(0.75,Matchup!$B$39*$B2500),RAND())</f>
        <v>2</v>
      </c>
      <c r="E2500" s="0" t="n">
        <f aca="true">CRITBINOM(D2500,Coefficients!$B$30,RAND())</f>
        <v>1</v>
      </c>
      <c r="F2500" s="0" t="n">
        <f aca="true">CRITBINOM(E2500,Coefficients!$B$31,RAND())</f>
        <v>1</v>
      </c>
      <c r="G2500" s="0" t="n">
        <f aca="true">CRITBINOM(MAX(0,D2500-E2500),1-Coefficients!$B$32,RAND())</f>
        <v>0</v>
      </c>
      <c r="H2500" s="0" t="n">
        <f aca="true">CRITBINOM(MAX(0,$C2500-D2500),MIN(0.6,Matchup!$B$40*SQRT($B2500)/(1-MIN(0.75,Matchup!$B$39*$B2500))),RAND())</f>
        <v>0</v>
      </c>
      <c r="I2500" s="0" t="n">
        <f aca="false">6*D2500+(D2500-E2500-G2500)+2*F2500+3*H2500</f>
        <v>15</v>
      </c>
      <c r="J2500" s="0" t="n">
        <f aca="true">CRITBINOM($C2500,MIN(0.75,Matchup!$C$39*$B2500),RAND())</f>
        <v>3</v>
      </c>
      <c r="K2500" s="0" t="n">
        <f aca="true">CRITBINOM(J2500,Coefficients!$B$30,RAND())</f>
        <v>0</v>
      </c>
      <c r="L2500" s="0" t="n">
        <f aca="true">CRITBINOM(K2500,Coefficients!$B$31,RAND())</f>
        <v>0</v>
      </c>
      <c r="M2500" s="0" t="n">
        <f aca="true">CRITBINOM(MAX(0,J2500-K2500),1-Coefficients!$B$32,RAND())</f>
        <v>0</v>
      </c>
      <c r="N2500" s="0" t="n">
        <f aca="true">CRITBINOM(MAX(0,$C2500-J2500),MIN(0.6,Matchup!$C$40*SQRT($B2500)/(1-MIN(0.75,Matchup!$C$39*$B2500))),RAND())</f>
        <v>3</v>
      </c>
      <c r="O2500" s="0" t="n">
        <f aca="false">6*J2500+(J2500-K2500-M2500)+2*L2500+3*N2500</f>
        <v>30</v>
      </c>
      <c r="P2500" s="0" t="n">
        <f aca="true">RAND()</f>
        <v>0.0805493346571742</v>
      </c>
      <c r="Q2500" s="0" t="n">
        <f aca="true">RAND()</f>
        <v>0.100153339326684</v>
      </c>
      <c r="R2500" s="0" t="n">
        <f aca="false">IF($I2500&lt;&gt;$O2500,0,IF(P2500&lt;Matchup!$B$39,7,IF(P2500&lt;Matchup!$B$39+Matchup!$B$40,3,0)))</f>
        <v>0</v>
      </c>
      <c r="S2500" s="0" t="n">
        <f aca="false">IF($I2500&lt;&gt;$O2500,0,IF(Q2500&lt;Matchup!$C$39,7,IF(Q2500&lt;Matchup!$C$39+Matchup!$C$40,3,0)))</f>
        <v>0</v>
      </c>
      <c r="T2500" s="0" t="n">
        <f aca="false">I2500+R2500</f>
        <v>15</v>
      </c>
      <c r="U2500" s="0" t="n">
        <f aca="false">O2500+S2500</f>
        <v>30</v>
      </c>
      <c r="V2500" s="0" t="n">
        <f aca="false">T2500-U2500</f>
        <v>-15</v>
      </c>
      <c r="W2500" s="0" t="n">
        <f aca="false">T2500+U2500</f>
        <v>45</v>
      </c>
    </row>
    <row r="2501" customFormat="false" ht="15" hidden="false" customHeight="false" outlineLevel="0" collapsed="false">
      <c r="A2501" s="0" t="n">
        <v>2498</v>
      </c>
      <c r="B2501" s="0" t="n">
        <f aca="true">NORMINV(RAND(),1,Coefficients!$B$22)</f>
        <v>0.906644972825363</v>
      </c>
      <c r="C2501" s="0" t="n">
        <f aca="true">MEDIAN(8,16,ROUND(NORMINV(RAND(),Coefficients!$B$20,Coefficients!$B$21),0))</f>
        <v>10</v>
      </c>
      <c r="D2501" s="0" t="n">
        <f aca="true">CRITBINOM($C2501,MIN(0.75,Matchup!$B$39*$B2501),RAND())</f>
        <v>1</v>
      </c>
      <c r="E2501" s="0" t="n">
        <f aca="true">CRITBINOM(D2501,Coefficients!$B$30,RAND())</f>
        <v>0</v>
      </c>
      <c r="F2501" s="0" t="n">
        <f aca="true">CRITBINOM(E2501,Coefficients!$B$31,RAND())</f>
        <v>0</v>
      </c>
      <c r="G2501" s="0" t="n">
        <f aca="true">CRITBINOM(MAX(0,D2501-E2501),1-Coefficients!$B$32,RAND())</f>
        <v>0</v>
      </c>
      <c r="H2501" s="0" t="n">
        <f aca="true">CRITBINOM(MAX(0,$C2501-D2501),MIN(0.6,Matchup!$B$40*SQRT($B2501)/(1-MIN(0.75,Matchup!$B$39*$B2501))),RAND())</f>
        <v>1</v>
      </c>
      <c r="I2501" s="0" t="n">
        <f aca="false">6*D2501+(D2501-E2501-G2501)+2*F2501+3*H2501</f>
        <v>10</v>
      </c>
      <c r="J2501" s="0" t="n">
        <f aca="true">CRITBINOM($C2501,MIN(0.75,Matchup!$C$39*$B2501),RAND())</f>
        <v>1</v>
      </c>
      <c r="K2501" s="0" t="n">
        <f aca="true">CRITBINOM(J2501,Coefficients!$B$30,RAND())</f>
        <v>0</v>
      </c>
      <c r="L2501" s="0" t="n">
        <f aca="true">CRITBINOM(K2501,Coefficients!$B$31,RAND())</f>
        <v>0</v>
      </c>
      <c r="M2501" s="0" t="n">
        <f aca="true">CRITBINOM(MAX(0,J2501-K2501),1-Coefficients!$B$32,RAND())</f>
        <v>0</v>
      </c>
      <c r="N2501" s="0" t="n">
        <f aca="true">CRITBINOM(MAX(0,$C2501-J2501),MIN(0.6,Matchup!$C$40*SQRT($B2501)/(1-MIN(0.75,Matchup!$C$39*$B2501))),RAND())</f>
        <v>0</v>
      </c>
      <c r="O2501" s="0" t="n">
        <f aca="false">6*J2501+(J2501-K2501-M2501)+2*L2501+3*N2501</f>
        <v>7</v>
      </c>
      <c r="P2501" s="0" t="n">
        <f aca="true">RAND()</f>
        <v>0.404179926135451</v>
      </c>
      <c r="Q2501" s="0" t="n">
        <f aca="true">RAND()</f>
        <v>0.306702597072323</v>
      </c>
      <c r="R2501" s="0" t="n">
        <f aca="false">IF($I2501&lt;&gt;$O2501,0,IF(P2501&lt;Matchup!$B$39,7,IF(P2501&lt;Matchup!$B$39+Matchup!$B$40,3,0)))</f>
        <v>0</v>
      </c>
      <c r="S2501" s="0" t="n">
        <f aca="false">IF($I2501&lt;&gt;$O2501,0,IF(Q2501&lt;Matchup!$C$39,7,IF(Q2501&lt;Matchup!$C$39+Matchup!$C$40,3,0)))</f>
        <v>0</v>
      </c>
      <c r="T2501" s="0" t="n">
        <f aca="false">I2501+R2501</f>
        <v>10</v>
      </c>
      <c r="U2501" s="0" t="n">
        <f aca="false">O2501+S2501</f>
        <v>7</v>
      </c>
      <c r="V2501" s="0" t="n">
        <f aca="false">T2501-U2501</f>
        <v>3</v>
      </c>
      <c r="W2501" s="0" t="n">
        <f aca="false">T2501+U2501</f>
        <v>17</v>
      </c>
    </row>
    <row r="2502" customFormat="false" ht="15" hidden="false" customHeight="false" outlineLevel="0" collapsed="false">
      <c r="A2502" s="0" t="n">
        <v>2499</v>
      </c>
      <c r="B2502" s="0" t="n">
        <f aca="true">NORMINV(RAND(),1,Coefficients!$B$22)</f>
        <v>0.914209867030142</v>
      </c>
      <c r="C2502" s="0" t="n">
        <f aca="true">MEDIAN(8,16,ROUND(NORMINV(RAND(),Coefficients!$B$20,Coefficients!$B$21),0))</f>
        <v>12</v>
      </c>
      <c r="D2502" s="0" t="n">
        <f aca="true">CRITBINOM($C2502,MIN(0.75,Matchup!$B$39*$B2502),RAND())</f>
        <v>4</v>
      </c>
      <c r="E2502" s="0" t="n">
        <f aca="true">CRITBINOM(D2502,Coefficients!$B$30,RAND())</f>
        <v>0</v>
      </c>
      <c r="F2502" s="0" t="n">
        <f aca="true">CRITBINOM(E2502,Coefficients!$B$31,RAND())</f>
        <v>0</v>
      </c>
      <c r="G2502" s="0" t="n">
        <f aca="true">CRITBINOM(MAX(0,D2502-E2502),1-Coefficients!$B$32,RAND())</f>
        <v>0</v>
      </c>
      <c r="H2502" s="0" t="n">
        <f aca="true">CRITBINOM(MAX(0,$C2502-D2502),MIN(0.6,Matchup!$B$40*SQRT($B2502)/(1-MIN(0.75,Matchup!$B$39*$B2502))),RAND())</f>
        <v>4</v>
      </c>
      <c r="I2502" s="0" t="n">
        <f aca="false">6*D2502+(D2502-E2502-G2502)+2*F2502+3*H2502</f>
        <v>40</v>
      </c>
      <c r="J2502" s="0" t="n">
        <f aca="true">CRITBINOM($C2502,MIN(0.75,Matchup!$C$39*$B2502),RAND())</f>
        <v>1</v>
      </c>
      <c r="K2502" s="0" t="n">
        <f aca="true">CRITBINOM(J2502,Coefficients!$B$30,RAND())</f>
        <v>0</v>
      </c>
      <c r="L2502" s="0" t="n">
        <f aca="true">CRITBINOM(K2502,Coefficients!$B$31,RAND())</f>
        <v>0</v>
      </c>
      <c r="M2502" s="0" t="n">
        <f aca="true">CRITBINOM(MAX(0,J2502-K2502),1-Coefficients!$B$32,RAND())</f>
        <v>0</v>
      </c>
      <c r="N2502" s="0" t="n">
        <f aca="true">CRITBINOM(MAX(0,$C2502-J2502),MIN(0.6,Matchup!$C$40*SQRT($B2502)/(1-MIN(0.75,Matchup!$C$39*$B2502))),RAND())</f>
        <v>0</v>
      </c>
      <c r="O2502" s="0" t="n">
        <f aca="false">6*J2502+(J2502-K2502-M2502)+2*L2502+3*N2502</f>
        <v>7</v>
      </c>
      <c r="P2502" s="0" t="n">
        <f aca="true">RAND()</f>
        <v>0.0227006697019606</v>
      </c>
      <c r="Q2502" s="0" t="n">
        <f aca="true">RAND()</f>
        <v>0.142084393381528</v>
      </c>
      <c r="R2502" s="0" t="n">
        <f aca="false">IF($I2502&lt;&gt;$O2502,0,IF(P2502&lt;Matchup!$B$39,7,IF(P2502&lt;Matchup!$B$39+Matchup!$B$40,3,0)))</f>
        <v>0</v>
      </c>
      <c r="S2502" s="0" t="n">
        <f aca="false">IF($I2502&lt;&gt;$O2502,0,IF(Q2502&lt;Matchup!$C$39,7,IF(Q2502&lt;Matchup!$C$39+Matchup!$C$40,3,0)))</f>
        <v>0</v>
      </c>
      <c r="T2502" s="0" t="n">
        <f aca="false">I2502+R2502</f>
        <v>40</v>
      </c>
      <c r="U2502" s="0" t="n">
        <f aca="false">O2502+S2502</f>
        <v>7</v>
      </c>
      <c r="V2502" s="0" t="n">
        <f aca="false">T2502-U2502</f>
        <v>33</v>
      </c>
      <c r="W2502" s="0" t="n">
        <f aca="false">T2502+U2502</f>
        <v>47</v>
      </c>
    </row>
    <row r="2503" customFormat="false" ht="15" hidden="false" customHeight="false" outlineLevel="0" collapsed="false">
      <c r="A2503" s="0" t="n">
        <v>2500</v>
      </c>
      <c r="B2503" s="0" t="n">
        <f aca="true">NORMINV(RAND(),1,Coefficients!$B$22)</f>
        <v>0.878630757033202</v>
      </c>
      <c r="C2503" s="0" t="n">
        <f aca="true">MEDIAN(8,16,ROUND(NORMINV(RAND(),Coefficients!$B$20,Coefficients!$B$21),0))</f>
        <v>12</v>
      </c>
      <c r="D2503" s="0" t="n">
        <f aca="true">CRITBINOM($C2503,MIN(0.75,Matchup!$B$39*$B2503),RAND())</f>
        <v>3</v>
      </c>
      <c r="E2503" s="0" t="n">
        <f aca="true">CRITBINOM(D2503,Coefficients!$B$30,RAND())</f>
        <v>0</v>
      </c>
      <c r="F2503" s="0" t="n">
        <f aca="true">CRITBINOM(E2503,Coefficients!$B$31,RAND())</f>
        <v>0</v>
      </c>
      <c r="G2503" s="0" t="n">
        <f aca="true">CRITBINOM(MAX(0,D2503-E2503),1-Coefficients!$B$32,RAND())</f>
        <v>0</v>
      </c>
      <c r="H2503" s="0" t="n">
        <f aca="true">CRITBINOM(MAX(0,$C2503-D2503),MIN(0.6,Matchup!$B$40*SQRT($B2503)/(1-MIN(0.75,Matchup!$B$39*$B2503))),RAND())</f>
        <v>1</v>
      </c>
      <c r="I2503" s="0" t="n">
        <f aca="false">6*D2503+(D2503-E2503-G2503)+2*F2503+3*H2503</f>
        <v>24</v>
      </c>
      <c r="J2503" s="0" t="n">
        <f aca="true">CRITBINOM($C2503,MIN(0.75,Matchup!$C$39*$B2503),RAND())</f>
        <v>2</v>
      </c>
      <c r="K2503" s="0" t="n">
        <f aca="true">CRITBINOM(J2503,Coefficients!$B$30,RAND())</f>
        <v>0</v>
      </c>
      <c r="L2503" s="0" t="n">
        <f aca="true">CRITBINOM(K2503,Coefficients!$B$31,RAND())</f>
        <v>0</v>
      </c>
      <c r="M2503" s="0" t="n">
        <f aca="true">CRITBINOM(MAX(0,J2503-K2503),1-Coefficients!$B$32,RAND())</f>
        <v>0</v>
      </c>
      <c r="N2503" s="0" t="n">
        <f aca="true">CRITBINOM(MAX(0,$C2503-J2503),MIN(0.6,Matchup!$C$40*SQRT($B2503)/(1-MIN(0.75,Matchup!$C$39*$B2503))),RAND())</f>
        <v>3</v>
      </c>
      <c r="O2503" s="0" t="n">
        <f aca="false">6*J2503+(J2503-K2503-M2503)+2*L2503+3*N2503</f>
        <v>23</v>
      </c>
      <c r="P2503" s="0" t="n">
        <f aca="true">RAND()</f>
        <v>0.878728590748215</v>
      </c>
      <c r="Q2503" s="0" t="n">
        <f aca="true">RAND()</f>
        <v>0.59150641632768</v>
      </c>
      <c r="R2503" s="0" t="n">
        <f aca="false">IF($I2503&lt;&gt;$O2503,0,IF(P2503&lt;Matchup!$B$39,7,IF(P2503&lt;Matchup!$B$39+Matchup!$B$40,3,0)))</f>
        <v>0</v>
      </c>
      <c r="S2503" s="0" t="n">
        <f aca="false">IF($I2503&lt;&gt;$O2503,0,IF(Q2503&lt;Matchup!$C$39,7,IF(Q2503&lt;Matchup!$C$39+Matchup!$C$40,3,0)))</f>
        <v>0</v>
      </c>
      <c r="T2503" s="0" t="n">
        <f aca="false">I2503+R2503</f>
        <v>24</v>
      </c>
      <c r="U2503" s="0" t="n">
        <f aca="false">O2503+S2503</f>
        <v>23</v>
      </c>
      <c r="V2503" s="0" t="n">
        <f aca="false">T2503-U2503</f>
        <v>1</v>
      </c>
      <c r="W2503" s="0" t="n">
        <f aca="false">T2503+U2503</f>
        <v>47</v>
      </c>
    </row>
    <row r="2504" customFormat="false" ht="15" hidden="false" customHeight="false" outlineLevel="0" collapsed="false">
      <c r="A2504" s="0" t="n">
        <v>2501</v>
      </c>
      <c r="B2504" s="0" t="n">
        <f aca="true">NORMINV(RAND(),1,Coefficients!$B$22)</f>
        <v>0.939201252700708</v>
      </c>
      <c r="C2504" s="0" t="n">
        <f aca="true">MEDIAN(8,16,ROUND(NORMINV(RAND(),Coefficients!$B$20,Coefficients!$B$21),0))</f>
        <v>12</v>
      </c>
      <c r="D2504" s="0" t="n">
        <f aca="true">CRITBINOM($C2504,MIN(0.75,Matchup!$B$39*$B2504),RAND())</f>
        <v>1</v>
      </c>
      <c r="E2504" s="0" t="n">
        <f aca="true">CRITBINOM(D2504,Coefficients!$B$30,RAND())</f>
        <v>0</v>
      </c>
      <c r="F2504" s="0" t="n">
        <f aca="true">CRITBINOM(E2504,Coefficients!$B$31,RAND())</f>
        <v>0</v>
      </c>
      <c r="G2504" s="0" t="n">
        <f aca="true">CRITBINOM(MAX(0,D2504-E2504),1-Coefficients!$B$32,RAND())</f>
        <v>0</v>
      </c>
      <c r="H2504" s="0" t="n">
        <f aca="true">CRITBINOM(MAX(0,$C2504-D2504),MIN(0.6,Matchup!$B$40*SQRT($B2504)/(1-MIN(0.75,Matchup!$B$39*$B2504))),RAND())</f>
        <v>2</v>
      </c>
      <c r="I2504" s="0" t="n">
        <f aca="false">6*D2504+(D2504-E2504-G2504)+2*F2504+3*H2504</f>
        <v>13</v>
      </c>
      <c r="J2504" s="0" t="n">
        <f aca="true">CRITBINOM($C2504,MIN(0.75,Matchup!$C$39*$B2504),RAND())</f>
        <v>0</v>
      </c>
      <c r="K2504" s="0" t="n">
        <f aca="true">CRITBINOM(J2504,Coefficients!$B$30,RAND())</f>
        <v>0</v>
      </c>
      <c r="L2504" s="0" t="n">
        <f aca="true">CRITBINOM(K2504,Coefficients!$B$31,RAND())</f>
        <v>0</v>
      </c>
      <c r="M2504" s="0" t="n">
        <f aca="true">CRITBINOM(MAX(0,J2504-K2504),1-Coefficients!$B$32,RAND())</f>
        <v>0</v>
      </c>
      <c r="N2504" s="0" t="n">
        <f aca="true">CRITBINOM(MAX(0,$C2504-J2504),MIN(0.6,Matchup!$C$40*SQRT($B2504)/(1-MIN(0.75,Matchup!$C$39*$B2504))),RAND())</f>
        <v>3</v>
      </c>
      <c r="O2504" s="0" t="n">
        <f aca="false">6*J2504+(J2504-K2504-M2504)+2*L2504+3*N2504</f>
        <v>9</v>
      </c>
      <c r="P2504" s="0" t="n">
        <f aca="true">RAND()</f>
        <v>0.895812708697837</v>
      </c>
      <c r="Q2504" s="0" t="n">
        <f aca="true">RAND()</f>
        <v>0.773926480034697</v>
      </c>
      <c r="R2504" s="0" t="n">
        <f aca="false">IF($I2504&lt;&gt;$O2504,0,IF(P2504&lt;Matchup!$B$39,7,IF(P2504&lt;Matchup!$B$39+Matchup!$B$40,3,0)))</f>
        <v>0</v>
      </c>
      <c r="S2504" s="0" t="n">
        <f aca="false">IF($I2504&lt;&gt;$O2504,0,IF(Q2504&lt;Matchup!$C$39,7,IF(Q2504&lt;Matchup!$C$39+Matchup!$C$40,3,0)))</f>
        <v>0</v>
      </c>
      <c r="T2504" s="0" t="n">
        <f aca="false">I2504+R2504</f>
        <v>13</v>
      </c>
      <c r="U2504" s="0" t="n">
        <f aca="false">O2504+S2504</f>
        <v>9</v>
      </c>
      <c r="V2504" s="0" t="n">
        <f aca="false">T2504-U2504</f>
        <v>4</v>
      </c>
      <c r="W2504" s="0" t="n">
        <f aca="false">T2504+U2504</f>
        <v>22</v>
      </c>
    </row>
    <row r="2505" customFormat="false" ht="15" hidden="false" customHeight="false" outlineLevel="0" collapsed="false">
      <c r="A2505" s="0" t="n">
        <v>2502</v>
      </c>
      <c r="B2505" s="0" t="n">
        <f aca="true">NORMINV(RAND(),1,Coefficients!$B$22)</f>
        <v>1.03662351203942</v>
      </c>
      <c r="C2505" s="0" t="n">
        <f aca="true">MEDIAN(8,16,ROUND(NORMINV(RAND(),Coefficients!$B$20,Coefficients!$B$21),0))</f>
        <v>12</v>
      </c>
      <c r="D2505" s="0" t="n">
        <f aca="true">CRITBINOM($C2505,MIN(0.75,Matchup!$B$39*$B2505),RAND())</f>
        <v>2</v>
      </c>
      <c r="E2505" s="0" t="n">
        <f aca="true">CRITBINOM(D2505,Coefficients!$B$30,RAND())</f>
        <v>0</v>
      </c>
      <c r="F2505" s="0" t="n">
        <f aca="true">CRITBINOM(E2505,Coefficients!$B$31,RAND())</f>
        <v>0</v>
      </c>
      <c r="G2505" s="0" t="n">
        <f aca="true">CRITBINOM(MAX(0,D2505-E2505),1-Coefficients!$B$32,RAND())</f>
        <v>0</v>
      </c>
      <c r="H2505" s="0" t="n">
        <f aca="true">CRITBINOM(MAX(0,$C2505-D2505),MIN(0.6,Matchup!$B$40*SQRT($B2505)/(1-MIN(0.75,Matchup!$B$39*$B2505))),RAND())</f>
        <v>1</v>
      </c>
      <c r="I2505" s="0" t="n">
        <f aca="false">6*D2505+(D2505-E2505-G2505)+2*F2505+3*H2505</f>
        <v>17</v>
      </c>
      <c r="J2505" s="0" t="n">
        <f aca="true">CRITBINOM($C2505,MIN(0.75,Matchup!$C$39*$B2505),RAND())</f>
        <v>2</v>
      </c>
      <c r="K2505" s="0" t="n">
        <f aca="true">CRITBINOM(J2505,Coefficients!$B$30,RAND())</f>
        <v>1</v>
      </c>
      <c r="L2505" s="0" t="n">
        <f aca="true">CRITBINOM(K2505,Coefficients!$B$31,RAND())</f>
        <v>1</v>
      </c>
      <c r="M2505" s="0" t="n">
        <f aca="true">CRITBINOM(MAX(0,J2505-K2505),1-Coefficients!$B$32,RAND())</f>
        <v>0</v>
      </c>
      <c r="N2505" s="0" t="n">
        <f aca="true">CRITBINOM(MAX(0,$C2505-J2505),MIN(0.6,Matchup!$C$40*SQRT($B2505)/(1-MIN(0.75,Matchup!$C$39*$B2505))),RAND())</f>
        <v>2</v>
      </c>
      <c r="O2505" s="0" t="n">
        <f aca="false">6*J2505+(J2505-K2505-M2505)+2*L2505+3*N2505</f>
        <v>21</v>
      </c>
      <c r="P2505" s="0" t="n">
        <f aca="true">RAND()</f>
        <v>0.194312886606224</v>
      </c>
      <c r="Q2505" s="0" t="n">
        <f aca="true">RAND()</f>
        <v>0.582025678530303</v>
      </c>
      <c r="R2505" s="0" t="n">
        <f aca="false">IF($I2505&lt;&gt;$O2505,0,IF(P2505&lt;Matchup!$B$39,7,IF(P2505&lt;Matchup!$B$39+Matchup!$B$40,3,0)))</f>
        <v>0</v>
      </c>
      <c r="S2505" s="0" t="n">
        <f aca="false">IF($I2505&lt;&gt;$O2505,0,IF(Q2505&lt;Matchup!$C$39,7,IF(Q2505&lt;Matchup!$C$39+Matchup!$C$40,3,0)))</f>
        <v>0</v>
      </c>
      <c r="T2505" s="0" t="n">
        <f aca="false">I2505+R2505</f>
        <v>17</v>
      </c>
      <c r="U2505" s="0" t="n">
        <f aca="false">O2505+S2505</f>
        <v>21</v>
      </c>
      <c r="V2505" s="0" t="n">
        <f aca="false">T2505-U2505</f>
        <v>-4</v>
      </c>
      <c r="W2505" s="0" t="n">
        <f aca="false">T2505+U2505</f>
        <v>38</v>
      </c>
    </row>
    <row r="2506" customFormat="false" ht="15" hidden="false" customHeight="false" outlineLevel="0" collapsed="false">
      <c r="A2506" s="0" t="n">
        <v>2503</v>
      </c>
      <c r="B2506" s="0" t="n">
        <f aca="true">NORMINV(RAND(),1,Coefficients!$B$22)</f>
        <v>0.945809219443028</v>
      </c>
      <c r="C2506" s="0" t="n">
        <f aca="true">MEDIAN(8,16,ROUND(NORMINV(RAND(),Coefficients!$B$20,Coefficients!$B$21),0))</f>
        <v>12</v>
      </c>
      <c r="D2506" s="0" t="n">
        <f aca="true">CRITBINOM($C2506,MIN(0.75,Matchup!$B$39*$B2506),RAND())</f>
        <v>2</v>
      </c>
      <c r="E2506" s="0" t="n">
        <f aca="true">CRITBINOM(D2506,Coefficients!$B$30,RAND())</f>
        <v>0</v>
      </c>
      <c r="F2506" s="0" t="n">
        <f aca="true">CRITBINOM(E2506,Coefficients!$B$31,RAND())</f>
        <v>0</v>
      </c>
      <c r="G2506" s="0" t="n">
        <f aca="true">CRITBINOM(MAX(0,D2506-E2506),1-Coefficients!$B$32,RAND())</f>
        <v>0</v>
      </c>
      <c r="H2506" s="0" t="n">
        <f aca="true">CRITBINOM(MAX(0,$C2506-D2506),MIN(0.6,Matchup!$B$40*SQRT($B2506)/(1-MIN(0.75,Matchup!$B$39*$B2506))),RAND())</f>
        <v>5</v>
      </c>
      <c r="I2506" s="0" t="n">
        <f aca="false">6*D2506+(D2506-E2506-G2506)+2*F2506+3*H2506</f>
        <v>29</v>
      </c>
      <c r="J2506" s="0" t="n">
        <f aca="true">CRITBINOM($C2506,MIN(0.75,Matchup!$C$39*$B2506),RAND())</f>
        <v>4</v>
      </c>
      <c r="K2506" s="0" t="n">
        <f aca="true">CRITBINOM(J2506,Coefficients!$B$30,RAND())</f>
        <v>0</v>
      </c>
      <c r="L2506" s="0" t="n">
        <f aca="true">CRITBINOM(K2506,Coefficients!$B$31,RAND())</f>
        <v>0</v>
      </c>
      <c r="M2506" s="0" t="n">
        <f aca="true">CRITBINOM(MAX(0,J2506-K2506),1-Coefficients!$B$32,RAND())</f>
        <v>0</v>
      </c>
      <c r="N2506" s="0" t="n">
        <f aca="true">CRITBINOM(MAX(0,$C2506-J2506),MIN(0.6,Matchup!$C$40*SQRT($B2506)/(1-MIN(0.75,Matchup!$C$39*$B2506))),RAND())</f>
        <v>3</v>
      </c>
      <c r="O2506" s="0" t="n">
        <f aca="false">6*J2506+(J2506-K2506-M2506)+2*L2506+3*N2506</f>
        <v>37</v>
      </c>
      <c r="P2506" s="0" t="n">
        <f aca="true">RAND()</f>
        <v>0.0525060297219801</v>
      </c>
      <c r="Q2506" s="0" t="n">
        <f aca="true">RAND()</f>
        <v>0.211000713397049</v>
      </c>
      <c r="R2506" s="0" t="n">
        <f aca="false">IF($I2506&lt;&gt;$O2506,0,IF(P2506&lt;Matchup!$B$39,7,IF(P2506&lt;Matchup!$B$39+Matchup!$B$40,3,0)))</f>
        <v>0</v>
      </c>
      <c r="S2506" s="0" t="n">
        <f aca="false">IF($I2506&lt;&gt;$O2506,0,IF(Q2506&lt;Matchup!$C$39,7,IF(Q2506&lt;Matchup!$C$39+Matchup!$C$40,3,0)))</f>
        <v>0</v>
      </c>
      <c r="T2506" s="0" t="n">
        <f aca="false">I2506+R2506</f>
        <v>29</v>
      </c>
      <c r="U2506" s="0" t="n">
        <f aca="false">O2506+S2506</f>
        <v>37</v>
      </c>
      <c r="V2506" s="0" t="n">
        <f aca="false">T2506-U2506</f>
        <v>-8</v>
      </c>
      <c r="W2506" s="0" t="n">
        <f aca="false">T2506+U2506</f>
        <v>66</v>
      </c>
    </row>
    <row r="2507" customFormat="false" ht="15" hidden="false" customHeight="false" outlineLevel="0" collapsed="false">
      <c r="A2507" s="0" t="n">
        <v>2504</v>
      </c>
      <c r="B2507" s="0" t="n">
        <f aca="true">NORMINV(RAND(),1,Coefficients!$B$22)</f>
        <v>0.978734269140105</v>
      </c>
      <c r="C2507" s="0" t="n">
        <f aca="true">MEDIAN(8,16,ROUND(NORMINV(RAND(),Coefficients!$B$20,Coefficients!$B$21),0))</f>
        <v>12</v>
      </c>
      <c r="D2507" s="0" t="n">
        <f aca="true">CRITBINOM($C2507,MIN(0.75,Matchup!$B$39*$B2507),RAND())</f>
        <v>4</v>
      </c>
      <c r="E2507" s="0" t="n">
        <f aca="true">CRITBINOM(D2507,Coefficients!$B$30,RAND())</f>
        <v>1</v>
      </c>
      <c r="F2507" s="0" t="n">
        <f aca="true">CRITBINOM(E2507,Coefficients!$B$31,RAND())</f>
        <v>0</v>
      </c>
      <c r="G2507" s="0" t="n">
        <f aca="true">CRITBINOM(MAX(0,D2507-E2507),1-Coefficients!$B$32,RAND())</f>
        <v>1</v>
      </c>
      <c r="H2507" s="0" t="n">
        <f aca="true">CRITBINOM(MAX(0,$C2507-D2507),MIN(0.6,Matchup!$B$40*SQRT($B2507)/(1-MIN(0.75,Matchup!$B$39*$B2507))),RAND())</f>
        <v>3</v>
      </c>
      <c r="I2507" s="0" t="n">
        <f aca="false">6*D2507+(D2507-E2507-G2507)+2*F2507+3*H2507</f>
        <v>35</v>
      </c>
      <c r="J2507" s="0" t="n">
        <f aca="true">CRITBINOM($C2507,MIN(0.75,Matchup!$C$39*$B2507),RAND())</f>
        <v>2</v>
      </c>
      <c r="K2507" s="0" t="n">
        <f aca="true">CRITBINOM(J2507,Coefficients!$B$30,RAND())</f>
        <v>0</v>
      </c>
      <c r="L2507" s="0" t="n">
        <f aca="true">CRITBINOM(K2507,Coefficients!$B$31,RAND())</f>
        <v>0</v>
      </c>
      <c r="M2507" s="0" t="n">
        <f aca="true">CRITBINOM(MAX(0,J2507-K2507),1-Coefficients!$B$32,RAND())</f>
        <v>1</v>
      </c>
      <c r="N2507" s="0" t="n">
        <f aca="true">CRITBINOM(MAX(0,$C2507-J2507),MIN(0.6,Matchup!$C$40*SQRT($B2507)/(1-MIN(0.75,Matchup!$C$39*$B2507))),RAND())</f>
        <v>1</v>
      </c>
      <c r="O2507" s="0" t="n">
        <f aca="false">6*J2507+(J2507-K2507-M2507)+2*L2507+3*N2507</f>
        <v>16</v>
      </c>
      <c r="P2507" s="0" t="n">
        <f aca="true">RAND()</f>
        <v>0.889994691388697</v>
      </c>
      <c r="Q2507" s="0" t="n">
        <f aca="true">RAND()</f>
        <v>0.546963754929215</v>
      </c>
      <c r="R2507" s="0" t="n">
        <f aca="false">IF($I2507&lt;&gt;$O2507,0,IF(P2507&lt;Matchup!$B$39,7,IF(P2507&lt;Matchup!$B$39+Matchup!$B$40,3,0)))</f>
        <v>0</v>
      </c>
      <c r="S2507" s="0" t="n">
        <f aca="false">IF($I2507&lt;&gt;$O2507,0,IF(Q2507&lt;Matchup!$C$39,7,IF(Q2507&lt;Matchup!$C$39+Matchup!$C$40,3,0)))</f>
        <v>0</v>
      </c>
      <c r="T2507" s="0" t="n">
        <f aca="false">I2507+R2507</f>
        <v>35</v>
      </c>
      <c r="U2507" s="0" t="n">
        <f aca="false">O2507+S2507</f>
        <v>16</v>
      </c>
      <c r="V2507" s="0" t="n">
        <f aca="false">T2507-U2507</f>
        <v>19</v>
      </c>
      <c r="W2507" s="0" t="n">
        <f aca="false">T2507+U2507</f>
        <v>51</v>
      </c>
    </row>
    <row r="2508" customFormat="false" ht="15" hidden="false" customHeight="false" outlineLevel="0" collapsed="false">
      <c r="A2508" s="0" t="n">
        <v>2505</v>
      </c>
      <c r="B2508" s="0" t="n">
        <f aca="true">NORMINV(RAND(),1,Coefficients!$B$22)</f>
        <v>0.96703401536266</v>
      </c>
      <c r="C2508" s="0" t="n">
        <f aca="true">MEDIAN(8,16,ROUND(NORMINV(RAND(),Coefficients!$B$20,Coefficients!$B$21),0))</f>
        <v>11</v>
      </c>
      <c r="D2508" s="0" t="n">
        <f aca="true">CRITBINOM($C2508,MIN(0.75,Matchup!$B$39*$B2508),RAND())</f>
        <v>2</v>
      </c>
      <c r="E2508" s="0" t="n">
        <f aca="true">CRITBINOM(D2508,Coefficients!$B$30,RAND())</f>
        <v>0</v>
      </c>
      <c r="F2508" s="0" t="n">
        <f aca="true">CRITBINOM(E2508,Coefficients!$B$31,RAND())</f>
        <v>0</v>
      </c>
      <c r="G2508" s="0" t="n">
        <f aca="true">CRITBINOM(MAX(0,D2508-E2508),1-Coefficients!$B$32,RAND())</f>
        <v>0</v>
      </c>
      <c r="H2508" s="0" t="n">
        <f aca="true">CRITBINOM(MAX(0,$C2508-D2508),MIN(0.6,Matchup!$B$40*SQRT($B2508)/(1-MIN(0.75,Matchup!$B$39*$B2508))),RAND())</f>
        <v>1</v>
      </c>
      <c r="I2508" s="0" t="n">
        <f aca="false">6*D2508+(D2508-E2508-G2508)+2*F2508+3*H2508</f>
        <v>17</v>
      </c>
      <c r="J2508" s="0" t="n">
        <f aca="true">CRITBINOM($C2508,MIN(0.75,Matchup!$C$39*$B2508),RAND())</f>
        <v>3</v>
      </c>
      <c r="K2508" s="0" t="n">
        <f aca="true">CRITBINOM(J2508,Coefficients!$B$30,RAND())</f>
        <v>2</v>
      </c>
      <c r="L2508" s="0" t="n">
        <f aca="true">CRITBINOM(K2508,Coefficients!$B$31,RAND())</f>
        <v>2</v>
      </c>
      <c r="M2508" s="0" t="n">
        <f aca="true">CRITBINOM(MAX(0,J2508-K2508),1-Coefficients!$B$32,RAND())</f>
        <v>0</v>
      </c>
      <c r="N2508" s="0" t="n">
        <f aca="true">CRITBINOM(MAX(0,$C2508-J2508),MIN(0.6,Matchup!$C$40*SQRT($B2508)/(1-MIN(0.75,Matchup!$C$39*$B2508))),RAND())</f>
        <v>1</v>
      </c>
      <c r="O2508" s="0" t="n">
        <f aca="false">6*J2508+(J2508-K2508-M2508)+2*L2508+3*N2508</f>
        <v>26</v>
      </c>
      <c r="P2508" s="0" t="n">
        <f aca="true">RAND()</f>
        <v>0.0778791229879526</v>
      </c>
      <c r="Q2508" s="0" t="n">
        <f aca="true">RAND()</f>
        <v>0.135839631546792</v>
      </c>
      <c r="R2508" s="0" t="n">
        <f aca="false">IF($I2508&lt;&gt;$O2508,0,IF(P2508&lt;Matchup!$B$39,7,IF(P2508&lt;Matchup!$B$39+Matchup!$B$40,3,0)))</f>
        <v>0</v>
      </c>
      <c r="S2508" s="0" t="n">
        <f aca="false">IF($I2508&lt;&gt;$O2508,0,IF(Q2508&lt;Matchup!$C$39,7,IF(Q2508&lt;Matchup!$C$39+Matchup!$C$40,3,0)))</f>
        <v>0</v>
      </c>
      <c r="T2508" s="0" t="n">
        <f aca="false">I2508+R2508</f>
        <v>17</v>
      </c>
      <c r="U2508" s="0" t="n">
        <f aca="false">O2508+S2508</f>
        <v>26</v>
      </c>
      <c r="V2508" s="0" t="n">
        <f aca="false">T2508-U2508</f>
        <v>-9</v>
      </c>
      <c r="W2508" s="0" t="n">
        <f aca="false">T2508+U2508</f>
        <v>43</v>
      </c>
    </row>
    <row r="2509" customFormat="false" ht="15" hidden="false" customHeight="false" outlineLevel="0" collapsed="false">
      <c r="A2509" s="0" t="n">
        <v>2506</v>
      </c>
      <c r="B2509" s="0" t="n">
        <f aca="true">NORMINV(RAND(),1,Coefficients!$B$22)</f>
        <v>1.16072141532348</v>
      </c>
      <c r="C2509" s="0" t="n">
        <f aca="true">MEDIAN(8,16,ROUND(NORMINV(RAND(),Coefficients!$B$20,Coefficients!$B$21),0))</f>
        <v>12</v>
      </c>
      <c r="D2509" s="0" t="n">
        <f aca="true">CRITBINOM($C2509,MIN(0.75,Matchup!$B$39*$B2509),RAND())</f>
        <v>3</v>
      </c>
      <c r="E2509" s="0" t="n">
        <f aca="true">CRITBINOM(D2509,Coefficients!$B$30,RAND())</f>
        <v>0</v>
      </c>
      <c r="F2509" s="0" t="n">
        <f aca="true">CRITBINOM(E2509,Coefficients!$B$31,RAND())</f>
        <v>0</v>
      </c>
      <c r="G2509" s="0" t="n">
        <f aca="true">CRITBINOM(MAX(0,D2509-E2509),1-Coefficients!$B$32,RAND())</f>
        <v>0</v>
      </c>
      <c r="H2509" s="0" t="n">
        <f aca="true">CRITBINOM(MAX(0,$C2509-D2509),MIN(0.6,Matchup!$B$40*SQRT($B2509)/(1-MIN(0.75,Matchup!$B$39*$B2509))),RAND())</f>
        <v>2</v>
      </c>
      <c r="I2509" s="0" t="n">
        <f aca="false">6*D2509+(D2509-E2509-G2509)+2*F2509+3*H2509</f>
        <v>27</v>
      </c>
      <c r="J2509" s="0" t="n">
        <f aca="true">CRITBINOM($C2509,MIN(0.75,Matchup!$C$39*$B2509),RAND())</f>
        <v>3</v>
      </c>
      <c r="K2509" s="0" t="n">
        <f aca="true">CRITBINOM(J2509,Coefficients!$B$30,RAND())</f>
        <v>0</v>
      </c>
      <c r="L2509" s="0" t="n">
        <f aca="true">CRITBINOM(K2509,Coefficients!$B$31,RAND())</f>
        <v>0</v>
      </c>
      <c r="M2509" s="0" t="n">
        <f aca="true">CRITBINOM(MAX(0,J2509-K2509),1-Coefficients!$B$32,RAND())</f>
        <v>1</v>
      </c>
      <c r="N2509" s="0" t="n">
        <f aca="true">CRITBINOM(MAX(0,$C2509-J2509),MIN(0.6,Matchup!$C$40*SQRT($B2509)/(1-MIN(0.75,Matchup!$C$39*$B2509))),RAND())</f>
        <v>2</v>
      </c>
      <c r="O2509" s="0" t="n">
        <f aca="false">6*J2509+(J2509-K2509-M2509)+2*L2509+3*N2509</f>
        <v>26</v>
      </c>
      <c r="P2509" s="0" t="n">
        <f aca="true">RAND()</f>
        <v>0.975500997143751</v>
      </c>
      <c r="Q2509" s="0" t="n">
        <f aca="true">RAND()</f>
        <v>0.251891841788562</v>
      </c>
      <c r="R2509" s="0" t="n">
        <f aca="false">IF($I2509&lt;&gt;$O2509,0,IF(P2509&lt;Matchup!$B$39,7,IF(P2509&lt;Matchup!$B$39+Matchup!$B$40,3,0)))</f>
        <v>0</v>
      </c>
      <c r="S2509" s="0" t="n">
        <f aca="false">IF($I2509&lt;&gt;$O2509,0,IF(Q2509&lt;Matchup!$C$39,7,IF(Q2509&lt;Matchup!$C$39+Matchup!$C$40,3,0)))</f>
        <v>0</v>
      </c>
      <c r="T2509" s="0" t="n">
        <f aca="false">I2509+R2509</f>
        <v>27</v>
      </c>
      <c r="U2509" s="0" t="n">
        <f aca="false">O2509+S2509</f>
        <v>26</v>
      </c>
      <c r="V2509" s="0" t="n">
        <f aca="false">T2509-U2509</f>
        <v>1</v>
      </c>
      <c r="W2509" s="0" t="n">
        <f aca="false">T2509+U2509</f>
        <v>53</v>
      </c>
    </row>
    <row r="2510" customFormat="false" ht="15" hidden="false" customHeight="false" outlineLevel="0" collapsed="false">
      <c r="A2510" s="0" t="n">
        <v>2507</v>
      </c>
      <c r="B2510" s="0" t="n">
        <f aca="true">NORMINV(RAND(),1,Coefficients!$B$22)</f>
        <v>0.986915289642231</v>
      </c>
      <c r="C2510" s="0" t="n">
        <f aca="true">MEDIAN(8,16,ROUND(NORMINV(RAND(),Coefficients!$B$20,Coefficients!$B$21),0))</f>
        <v>12</v>
      </c>
      <c r="D2510" s="0" t="n">
        <f aca="true">CRITBINOM($C2510,MIN(0.75,Matchup!$B$39*$B2510),RAND())</f>
        <v>3</v>
      </c>
      <c r="E2510" s="0" t="n">
        <f aca="true">CRITBINOM(D2510,Coefficients!$B$30,RAND())</f>
        <v>0</v>
      </c>
      <c r="F2510" s="0" t="n">
        <f aca="true">CRITBINOM(E2510,Coefficients!$B$31,RAND())</f>
        <v>0</v>
      </c>
      <c r="G2510" s="0" t="n">
        <f aca="true">CRITBINOM(MAX(0,D2510-E2510),1-Coefficients!$B$32,RAND())</f>
        <v>0</v>
      </c>
      <c r="H2510" s="0" t="n">
        <f aca="true">CRITBINOM(MAX(0,$C2510-D2510),MIN(0.6,Matchup!$B$40*SQRT($B2510)/(1-MIN(0.75,Matchup!$B$39*$B2510))),RAND())</f>
        <v>0</v>
      </c>
      <c r="I2510" s="0" t="n">
        <f aca="false">6*D2510+(D2510-E2510-G2510)+2*F2510+3*H2510</f>
        <v>21</v>
      </c>
      <c r="J2510" s="0" t="n">
        <f aca="true">CRITBINOM($C2510,MIN(0.75,Matchup!$C$39*$B2510),RAND())</f>
        <v>2</v>
      </c>
      <c r="K2510" s="0" t="n">
        <f aca="true">CRITBINOM(J2510,Coefficients!$B$30,RAND())</f>
        <v>0</v>
      </c>
      <c r="L2510" s="0" t="n">
        <f aca="true">CRITBINOM(K2510,Coefficients!$B$31,RAND())</f>
        <v>0</v>
      </c>
      <c r="M2510" s="0" t="n">
        <f aca="true">CRITBINOM(MAX(0,J2510-K2510),1-Coefficients!$B$32,RAND())</f>
        <v>0</v>
      </c>
      <c r="N2510" s="0" t="n">
        <f aca="true">CRITBINOM(MAX(0,$C2510-J2510),MIN(0.6,Matchup!$C$40*SQRT($B2510)/(1-MIN(0.75,Matchup!$C$39*$B2510))),RAND())</f>
        <v>1</v>
      </c>
      <c r="O2510" s="0" t="n">
        <f aca="false">6*J2510+(J2510-K2510-M2510)+2*L2510+3*N2510</f>
        <v>17</v>
      </c>
      <c r="P2510" s="0" t="n">
        <f aca="true">RAND()</f>
        <v>0.332910976012971</v>
      </c>
      <c r="Q2510" s="0" t="n">
        <f aca="true">RAND()</f>
        <v>0.417772816114486</v>
      </c>
      <c r="R2510" s="0" t="n">
        <f aca="false">IF($I2510&lt;&gt;$O2510,0,IF(P2510&lt;Matchup!$B$39,7,IF(P2510&lt;Matchup!$B$39+Matchup!$B$40,3,0)))</f>
        <v>0</v>
      </c>
      <c r="S2510" s="0" t="n">
        <f aca="false">IF($I2510&lt;&gt;$O2510,0,IF(Q2510&lt;Matchup!$C$39,7,IF(Q2510&lt;Matchup!$C$39+Matchup!$C$40,3,0)))</f>
        <v>0</v>
      </c>
      <c r="T2510" s="0" t="n">
        <f aca="false">I2510+R2510</f>
        <v>21</v>
      </c>
      <c r="U2510" s="0" t="n">
        <f aca="false">O2510+S2510</f>
        <v>17</v>
      </c>
      <c r="V2510" s="0" t="n">
        <f aca="false">T2510-U2510</f>
        <v>4</v>
      </c>
      <c r="W2510" s="0" t="n">
        <f aca="false">T2510+U2510</f>
        <v>38</v>
      </c>
    </row>
    <row r="2511" customFormat="false" ht="15" hidden="false" customHeight="false" outlineLevel="0" collapsed="false">
      <c r="A2511" s="0" t="n">
        <v>2508</v>
      </c>
      <c r="B2511" s="0" t="n">
        <f aca="true">NORMINV(RAND(),1,Coefficients!$B$22)</f>
        <v>0.966335902432686</v>
      </c>
      <c r="C2511" s="0" t="n">
        <f aca="true">MEDIAN(8,16,ROUND(NORMINV(RAND(),Coefficients!$B$20,Coefficients!$B$21),0))</f>
        <v>10</v>
      </c>
      <c r="D2511" s="0" t="n">
        <f aca="true">CRITBINOM($C2511,MIN(0.75,Matchup!$B$39*$B2511),RAND())</f>
        <v>1</v>
      </c>
      <c r="E2511" s="0" t="n">
        <f aca="true">CRITBINOM(D2511,Coefficients!$B$30,RAND())</f>
        <v>1</v>
      </c>
      <c r="F2511" s="0" t="n">
        <f aca="true">CRITBINOM(E2511,Coefficients!$B$31,RAND())</f>
        <v>1</v>
      </c>
      <c r="G2511" s="0" t="n">
        <f aca="true">CRITBINOM(MAX(0,D2511-E2511),1-Coefficients!$B$32,RAND())</f>
        <v>0</v>
      </c>
      <c r="H2511" s="0" t="n">
        <f aca="true">CRITBINOM(MAX(0,$C2511-D2511),MIN(0.6,Matchup!$B$40*SQRT($B2511)/(1-MIN(0.75,Matchup!$B$39*$B2511))),RAND())</f>
        <v>0</v>
      </c>
      <c r="I2511" s="0" t="n">
        <f aca="false">6*D2511+(D2511-E2511-G2511)+2*F2511+3*H2511</f>
        <v>8</v>
      </c>
      <c r="J2511" s="0" t="n">
        <f aca="true">CRITBINOM($C2511,MIN(0.75,Matchup!$C$39*$B2511),RAND())</f>
        <v>2</v>
      </c>
      <c r="K2511" s="0" t="n">
        <f aca="true">CRITBINOM(J2511,Coefficients!$B$30,RAND())</f>
        <v>1</v>
      </c>
      <c r="L2511" s="0" t="n">
        <f aca="true">CRITBINOM(K2511,Coefficients!$B$31,RAND())</f>
        <v>0</v>
      </c>
      <c r="M2511" s="0" t="n">
        <f aca="true">CRITBINOM(MAX(0,J2511-K2511),1-Coefficients!$B$32,RAND())</f>
        <v>0</v>
      </c>
      <c r="N2511" s="0" t="n">
        <f aca="true">CRITBINOM(MAX(0,$C2511-J2511),MIN(0.6,Matchup!$C$40*SQRT($B2511)/(1-MIN(0.75,Matchup!$C$39*$B2511))),RAND())</f>
        <v>3</v>
      </c>
      <c r="O2511" s="0" t="n">
        <f aca="false">6*J2511+(J2511-K2511-M2511)+2*L2511+3*N2511</f>
        <v>22</v>
      </c>
      <c r="P2511" s="0" t="n">
        <f aca="true">RAND()</f>
        <v>0.0686582157071262</v>
      </c>
      <c r="Q2511" s="0" t="n">
        <f aca="true">RAND()</f>
        <v>0.273504736976621</v>
      </c>
      <c r="R2511" s="0" t="n">
        <f aca="false">IF($I2511&lt;&gt;$O2511,0,IF(P2511&lt;Matchup!$B$39,7,IF(P2511&lt;Matchup!$B$39+Matchup!$B$40,3,0)))</f>
        <v>0</v>
      </c>
      <c r="S2511" s="0" t="n">
        <f aca="false">IF($I2511&lt;&gt;$O2511,0,IF(Q2511&lt;Matchup!$C$39,7,IF(Q2511&lt;Matchup!$C$39+Matchup!$C$40,3,0)))</f>
        <v>0</v>
      </c>
      <c r="T2511" s="0" t="n">
        <f aca="false">I2511+R2511</f>
        <v>8</v>
      </c>
      <c r="U2511" s="0" t="n">
        <f aca="false">O2511+S2511</f>
        <v>22</v>
      </c>
      <c r="V2511" s="0" t="n">
        <f aca="false">T2511-U2511</f>
        <v>-14</v>
      </c>
      <c r="W2511" s="0" t="n">
        <f aca="false">T2511+U2511</f>
        <v>30</v>
      </c>
    </row>
    <row r="2512" customFormat="false" ht="15" hidden="false" customHeight="false" outlineLevel="0" collapsed="false">
      <c r="A2512" s="0" t="n">
        <v>2509</v>
      </c>
      <c r="B2512" s="0" t="n">
        <f aca="true">NORMINV(RAND(),1,Coefficients!$B$22)</f>
        <v>0.938609878477808</v>
      </c>
      <c r="C2512" s="0" t="n">
        <f aca="true">MEDIAN(8,16,ROUND(NORMINV(RAND(),Coefficients!$B$20,Coefficients!$B$21),0))</f>
        <v>9</v>
      </c>
      <c r="D2512" s="0" t="n">
        <f aca="true">CRITBINOM($C2512,MIN(0.75,Matchup!$B$39*$B2512),RAND())</f>
        <v>4</v>
      </c>
      <c r="E2512" s="0" t="n">
        <f aca="true">CRITBINOM(D2512,Coefficients!$B$30,RAND())</f>
        <v>1</v>
      </c>
      <c r="F2512" s="0" t="n">
        <f aca="true">CRITBINOM(E2512,Coefficients!$B$31,RAND())</f>
        <v>1</v>
      </c>
      <c r="G2512" s="0" t="n">
        <f aca="true">CRITBINOM(MAX(0,D2512-E2512),1-Coefficients!$B$32,RAND())</f>
        <v>0</v>
      </c>
      <c r="H2512" s="0" t="n">
        <f aca="true">CRITBINOM(MAX(0,$C2512-D2512),MIN(0.6,Matchup!$B$40*SQRT($B2512)/(1-MIN(0.75,Matchup!$B$39*$B2512))),RAND())</f>
        <v>1</v>
      </c>
      <c r="I2512" s="0" t="n">
        <f aca="false">6*D2512+(D2512-E2512-G2512)+2*F2512+3*H2512</f>
        <v>32</v>
      </c>
      <c r="J2512" s="0" t="n">
        <f aca="true">CRITBINOM($C2512,MIN(0.75,Matchup!$C$39*$B2512),RAND())</f>
        <v>2</v>
      </c>
      <c r="K2512" s="0" t="n">
        <f aca="true">CRITBINOM(J2512,Coefficients!$B$30,RAND())</f>
        <v>0</v>
      </c>
      <c r="L2512" s="0" t="n">
        <f aca="true">CRITBINOM(K2512,Coefficients!$B$31,RAND())</f>
        <v>0</v>
      </c>
      <c r="M2512" s="0" t="n">
        <f aca="true">CRITBINOM(MAX(0,J2512-K2512),1-Coefficients!$B$32,RAND())</f>
        <v>0</v>
      </c>
      <c r="N2512" s="0" t="n">
        <f aca="true">CRITBINOM(MAX(0,$C2512-J2512),MIN(0.6,Matchup!$C$40*SQRT($B2512)/(1-MIN(0.75,Matchup!$C$39*$B2512))),RAND())</f>
        <v>1</v>
      </c>
      <c r="O2512" s="0" t="n">
        <f aca="false">6*J2512+(J2512-K2512-M2512)+2*L2512+3*N2512</f>
        <v>17</v>
      </c>
      <c r="P2512" s="0" t="n">
        <f aca="true">RAND()</f>
        <v>0.559058477602867</v>
      </c>
      <c r="Q2512" s="0" t="n">
        <f aca="true">RAND()</f>
        <v>0.957697161567986</v>
      </c>
      <c r="R2512" s="0" t="n">
        <f aca="false">IF($I2512&lt;&gt;$O2512,0,IF(P2512&lt;Matchup!$B$39,7,IF(P2512&lt;Matchup!$B$39+Matchup!$B$40,3,0)))</f>
        <v>0</v>
      </c>
      <c r="S2512" s="0" t="n">
        <f aca="false">IF($I2512&lt;&gt;$O2512,0,IF(Q2512&lt;Matchup!$C$39,7,IF(Q2512&lt;Matchup!$C$39+Matchup!$C$40,3,0)))</f>
        <v>0</v>
      </c>
      <c r="T2512" s="0" t="n">
        <f aca="false">I2512+R2512</f>
        <v>32</v>
      </c>
      <c r="U2512" s="0" t="n">
        <f aca="false">O2512+S2512</f>
        <v>17</v>
      </c>
      <c r="V2512" s="0" t="n">
        <f aca="false">T2512-U2512</f>
        <v>15</v>
      </c>
      <c r="W2512" s="0" t="n">
        <f aca="false">T2512+U2512</f>
        <v>49</v>
      </c>
    </row>
    <row r="2513" customFormat="false" ht="15" hidden="false" customHeight="false" outlineLevel="0" collapsed="false">
      <c r="A2513" s="0" t="n">
        <v>2510</v>
      </c>
      <c r="B2513" s="0" t="n">
        <f aca="true">NORMINV(RAND(),1,Coefficients!$B$22)</f>
        <v>0.982572003303685</v>
      </c>
      <c r="C2513" s="0" t="n">
        <f aca="true">MEDIAN(8,16,ROUND(NORMINV(RAND(),Coefficients!$B$20,Coefficients!$B$21),0))</f>
        <v>11</v>
      </c>
      <c r="D2513" s="0" t="n">
        <f aca="true">CRITBINOM($C2513,MIN(0.75,Matchup!$B$39*$B2513),RAND())</f>
        <v>1</v>
      </c>
      <c r="E2513" s="0" t="n">
        <f aca="true">CRITBINOM(D2513,Coefficients!$B$30,RAND())</f>
        <v>0</v>
      </c>
      <c r="F2513" s="0" t="n">
        <f aca="true">CRITBINOM(E2513,Coefficients!$B$31,RAND())</f>
        <v>0</v>
      </c>
      <c r="G2513" s="0" t="n">
        <f aca="true">CRITBINOM(MAX(0,D2513-E2513),1-Coefficients!$B$32,RAND())</f>
        <v>0</v>
      </c>
      <c r="H2513" s="0" t="n">
        <f aca="true">CRITBINOM(MAX(0,$C2513-D2513),MIN(0.6,Matchup!$B$40*SQRT($B2513)/(1-MIN(0.75,Matchup!$B$39*$B2513))),RAND())</f>
        <v>2</v>
      </c>
      <c r="I2513" s="0" t="n">
        <f aca="false">6*D2513+(D2513-E2513-G2513)+2*F2513+3*H2513</f>
        <v>13</v>
      </c>
      <c r="J2513" s="0" t="n">
        <f aca="true">CRITBINOM($C2513,MIN(0.75,Matchup!$C$39*$B2513),RAND())</f>
        <v>3</v>
      </c>
      <c r="K2513" s="0" t="n">
        <f aca="true">CRITBINOM(J2513,Coefficients!$B$30,RAND())</f>
        <v>0</v>
      </c>
      <c r="L2513" s="0" t="n">
        <f aca="true">CRITBINOM(K2513,Coefficients!$B$31,RAND())</f>
        <v>0</v>
      </c>
      <c r="M2513" s="0" t="n">
        <f aca="true">CRITBINOM(MAX(0,J2513-K2513),1-Coefficients!$B$32,RAND())</f>
        <v>0</v>
      </c>
      <c r="N2513" s="0" t="n">
        <f aca="true">CRITBINOM(MAX(0,$C2513-J2513),MIN(0.6,Matchup!$C$40*SQRT($B2513)/(1-MIN(0.75,Matchup!$C$39*$B2513))),RAND())</f>
        <v>0</v>
      </c>
      <c r="O2513" s="0" t="n">
        <f aca="false">6*J2513+(J2513-K2513-M2513)+2*L2513+3*N2513</f>
        <v>21</v>
      </c>
      <c r="P2513" s="0" t="n">
        <f aca="true">RAND()</f>
        <v>0.671530014300856</v>
      </c>
      <c r="Q2513" s="0" t="n">
        <f aca="true">RAND()</f>
        <v>0.409443587737159</v>
      </c>
      <c r="R2513" s="0" t="n">
        <f aca="false">IF($I2513&lt;&gt;$O2513,0,IF(P2513&lt;Matchup!$B$39,7,IF(P2513&lt;Matchup!$B$39+Matchup!$B$40,3,0)))</f>
        <v>0</v>
      </c>
      <c r="S2513" s="0" t="n">
        <f aca="false">IF($I2513&lt;&gt;$O2513,0,IF(Q2513&lt;Matchup!$C$39,7,IF(Q2513&lt;Matchup!$C$39+Matchup!$C$40,3,0)))</f>
        <v>0</v>
      </c>
      <c r="T2513" s="0" t="n">
        <f aca="false">I2513+R2513</f>
        <v>13</v>
      </c>
      <c r="U2513" s="0" t="n">
        <f aca="false">O2513+S2513</f>
        <v>21</v>
      </c>
      <c r="V2513" s="0" t="n">
        <f aca="false">T2513-U2513</f>
        <v>-8</v>
      </c>
      <c r="W2513" s="0" t="n">
        <f aca="false">T2513+U2513</f>
        <v>34</v>
      </c>
    </row>
    <row r="2514" customFormat="false" ht="15" hidden="false" customHeight="false" outlineLevel="0" collapsed="false">
      <c r="A2514" s="0" t="n">
        <v>2511</v>
      </c>
      <c r="B2514" s="0" t="n">
        <f aca="true">NORMINV(RAND(),1,Coefficients!$B$22)</f>
        <v>0.886070144128923</v>
      </c>
      <c r="C2514" s="0" t="n">
        <f aca="true">MEDIAN(8,16,ROUND(NORMINV(RAND(),Coefficients!$B$20,Coefficients!$B$21),0))</f>
        <v>11</v>
      </c>
      <c r="D2514" s="0" t="n">
        <f aca="true">CRITBINOM($C2514,MIN(0.75,Matchup!$B$39*$B2514),RAND())</f>
        <v>1</v>
      </c>
      <c r="E2514" s="0" t="n">
        <f aca="true">CRITBINOM(D2514,Coefficients!$B$30,RAND())</f>
        <v>0</v>
      </c>
      <c r="F2514" s="0" t="n">
        <f aca="true">CRITBINOM(E2514,Coefficients!$B$31,RAND())</f>
        <v>0</v>
      </c>
      <c r="G2514" s="0" t="n">
        <f aca="true">CRITBINOM(MAX(0,D2514-E2514),1-Coefficients!$B$32,RAND())</f>
        <v>0</v>
      </c>
      <c r="H2514" s="0" t="n">
        <f aca="true">CRITBINOM(MAX(0,$C2514-D2514),MIN(0.6,Matchup!$B$40*SQRT($B2514)/(1-MIN(0.75,Matchup!$B$39*$B2514))),RAND())</f>
        <v>2</v>
      </c>
      <c r="I2514" s="0" t="n">
        <f aca="false">6*D2514+(D2514-E2514-G2514)+2*F2514+3*H2514</f>
        <v>13</v>
      </c>
      <c r="J2514" s="0" t="n">
        <f aca="true">CRITBINOM($C2514,MIN(0.75,Matchup!$C$39*$B2514),RAND())</f>
        <v>3</v>
      </c>
      <c r="K2514" s="0" t="n">
        <f aca="true">CRITBINOM(J2514,Coefficients!$B$30,RAND())</f>
        <v>0</v>
      </c>
      <c r="L2514" s="0" t="n">
        <f aca="true">CRITBINOM(K2514,Coefficients!$B$31,RAND())</f>
        <v>0</v>
      </c>
      <c r="M2514" s="0" t="n">
        <f aca="true">CRITBINOM(MAX(0,J2514-K2514),1-Coefficients!$B$32,RAND())</f>
        <v>0</v>
      </c>
      <c r="N2514" s="0" t="n">
        <f aca="true">CRITBINOM(MAX(0,$C2514-J2514),MIN(0.6,Matchup!$C$40*SQRT($B2514)/(1-MIN(0.75,Matchup!$C$39*$B2514))),RAND())</f>
        <v>1</v>
      </c>
      <c r="O2514" s="0" t="n">
        <f aca="false">6*J2514+(J2514-K2514-M2514)+2*L2514+3*N2514</f>
        <v>24</v>
      </c>
      <c r="P2514" s="0" t="n">
        <f aca="true">RAND()</f>
        <v>0.687393739884823</v>
      </c>
      <c r="Q2514" s="0" t="n">
        <f aca="true">RAND()</f>
        <v>0.639438233876747</v>
      </c>
      <c r="R2514" s="0" t="n">
        <f aca="false">IF($I2514&lt;&gt;$O2514,0,IF(P2514&lt;Matchup!$B$39,7,IF(P2514&lt;Matchup!$B$39+Matchup!$B$40,3,0)))</f>
        <v>0</v>
      </c>
      <c r="S2514" s="0" t="n">
        <f aca="false">IF($I2514&lt;&gt;$O2514,0,IF(Q2514&lt;Matchup!$C$39,7,IF(Q2514&lt;Matchup!$C$39+Matchup!$C$40,3,0)))</f>
        <v>0</v>
      </c>
      <c r="T2514" s="0" t="n">
        <f aca="false">I2514+R2514</f>
        <v>13</v>
      </c>
      <c r="U2514" s="0" t="n">
        <f aca="false">O2514+S2514</f>
        <v>24</v>
      </c>
      <c r="V2514" s="0" t="n">
        <f aca="false">T2514-U2514</f>
        <v>-11</v>
      </c>
      <c r="W2514" s="0" t="n">
        <f aca="false">T2514+U2514</f>
        <v>37</v>
      </c>
    </row>
    <row r="2515" customFormat="false" ht="15" hidden="false" customHeight="false" outlineLevel="0" collapsed="false">
      <c r="A2515" s="0" t="n">
        <v>2512</v>
      </c>
      <c r="B2515" s="0" t="n">
        <f aca="true">NORMINV(RAND(),1,Coefficients!$B$22)</f>
        <v>1.00157827968121</v>
      </c>
      <c r="C2515" s="0" t="n">
        <f aca="true">MEDIAN(8,16,ROUND(NORMINV(RAND(),Coefficients!$B$20,Coefficients!$B$21),0))</f>
        <v>10</v>
      </c>
      <c r="D2515" s="0" t="n">
        <f aca="true">CRITBINOM($C2515,MIN(0.75,Matchup!$B$39*$B2515),RAND())</f>
        <v>1</v>
      </c>
      <c r="E2515" s="0" t="n">
        <f aca="true">CRITBINOM(D2515,Coefficients!$B$30,RAND())</f>
        <v>0</v>
      </c>
      <c r="F2515" s="0" t="n">
        <f aca="true">CRITBINOM(E2515,Coefficients!$B$31,RAND())</f>
        <v>0</v>
      </c>
      <c r="G2515" s="0" t="n">
        <f aca="true">CRITBINOM(MAX(0,D2515-E2515),1-Coefficients!$B$32,RAND())</f>
        <v>0</v>
      </c>
      <c r="H2515" s="0" t="n">
        <f aca="true">CRITBINOM(MAX(0,$C2515-D2515),MIN(0.6,Matchup!$B$40*SQRT($B2515)/(1-MIN(0.75,Matchup!$B$39*$B2515))),RAND())</f>
        <v>1</v>
      </c>
      <c r="I2515" s="0" t="n">
        <f aca="false">6*D2515+(D2515-E2515-G2515)+2*F2515+3*H2515</f>
        <v>10</v>
      </c>
      <c r="J2515" s="0" t="n">
        <f aca="true">CRITBINOM($C2515,MIN(0.75,Matchup!$C$39*$B2515),RAND())</f>
        <v>1</v>
      </c>
      <c r="K2515" s="0" t="n">
        <f aca="true">CRITBINOM(J2515,Coefficients!$B$30,RAND())</f>
        <v>0</v>
      </c>
      <c r="L2515" s="0" t="n">
        <f aca="true">CRITBINOM(K2515,Coefficients!$B$31,RAND())</f>
        <v>0</v>
      </c>
      <c r="M2515" s="0" t="n">
        <f aca="true">CRITBINOM(MAX(0,J2515-K2515),1-Coefficients!$B$32,RAND())</f>
        <v>0</v>
      </c>
      <c r="N2515" s="0" t="n">
        <f aca="true">CRITBINOM(MAX(0,$C2515-J2515),MIN(0.6,Matchup!$C$40*SQRT($B2515)/(1-MIN(0.75,Matchup!$C$39*$B2515))),RAND())</f>
        <v>3</v>
      </c>
      <c r="O2515" s="0" t="n">
        <f aca="false">6*J2515+(J2515-K2515-M2515)+2*L2515+3*N2515</f>
        <v>16</v>
      </c>
      <c r="P2515" s="0" t="n">
        <f aca="true">RAND()</f>
        <v>0.431030007302265</v>
      </c>
      <c r="Q2515" s="0" t="n">
        <f aca="true">RAND()</f>
        <v>0.390159810414246</v>
      </c>
      <c r="R2515" s="0" t="n">
        <f aca="false">IF($I2515&lt;&gt;$O2515,0,IF(P2515&lt;Matchup!$B$39,7,IF(P2515&lt;Matchup!$B$39+Matchup!$B$40,3,0)))</f>
        <v>0</v>
      </c>
      <c r="S2515" s="0" t="n">
        <f aca="false">IF($I2515&lt;&gt;$O2515,0,IF(Q2515&lt;Matchup!$C$39,7,IF(Q2515&lt;Matchup!$C$39+Matchup!$C$40,3,0)))</f>
        <v>0</v>
      </c>
      <c r="T2515" s="0" t="n">
        <f aca="false">I2515+R2515</f>
        <v>10</v>
      </c>
      <c r="U2515" s="0" t="n">
        <f aca="false">O2515+S2515</f>
        <v>16</v>
      </c>
      <c r="V2515" s="0" t="n">
        <f aca="false">T2515-U2515</f>
        <v>-6</v>
      </c>
      <c r="W2515" s="0" t="n">
        <f aca="false">T2515+U2515</f>
        <v>26</v>
      </c>
    </row>
    <row r="2516" customFormat="false" ht="15" hidden="false" customHeight="false" outlineLevel="0" collapsed="false">
      <c r="A2516" s="0" t="n">
        <v>2513</v>
      </c>
      <c r="B2516" s="0" t="n">
        <f aca="true">NORMINV(RAND(),1,Coefficients!$B$22)</f>
        <v>1.07867755146352</v>
      </c>
      <c r="C2516" s="0" t="n">
        <f aca="true">MEDIAN(8,16,ROUND(NORMINV(RAND(),Coefficients!$B$20,Coefficients!$B$21),0))</f>
        <v>12</v>
      </c>
      <c r="D2516" s="0" t="n">
        <f aca="true">CRITBINOM($C2516,MIN(0.75,Matchup!$B$39*$B2516),RAND())</f>
        <v>2</v>
      </c>
      <c r="E2516" s="0" t="n">
        <f aca="true">CRITBINOM(D2516,Coefficients!$B$30,RAND())</f>
        <v>1</v>
      </c>
      <c r="F2516" s="0" t="n">
        <f aca="true">CRITBINOM(E2516,Coefficients!$B$31,RAND())</f>
        <v>0</v>
      </c>
      <c r="G2516" s="0" t="n">
        <f aca="true">CRITBINOM(MAX(0,D2516-E2516),1-Coefficients!$B$32,RAND())</f>
        <v>0</v>
      </c>
      <c r="H2516" s="0" t="n">
        <f aca="true">CRITBINOM(MAX(0,$C2516-D2516),MIN(0.6,Matchup!$B$40*SQRT($B2516)/(1-MIN(0.75,Matchup!$B$39*$B2516))),RAND())</f>
        <v>6</v>
      </c>
      <c r="I2516" s="0" t="n">
        <f aca="false">6*D2516+(D2516-E2516-G2516)+2*F2516+3*H2516</f>
        <v>31</v>
      </c>
      <c r="J2516" s="0" t="n">
        <f aca="true">CRITBINOM($C2516,MIN(0.75,Matchup!$C$39*$B2516),RAND())</f>
        <v>1</v>
      </c>
      <c r="K2516" s="0" t="n">
        <f aca="true">CRITBINOM(J2516,Coefficients!$B$30,RAND())</f>
        <v>0</v>
      </c>
      <c r="L2516" s="0" t="n">
        <f aca="true">CRITBINOM(K2516,Coefficients!$B$31,RAND())</f>
        <v>0</v>
      </c>
      <c r="M2516" s="0" t="n">
        <f aca="true">CRITBINOM(MAX(0,J2516-K2516),1-Coefficients!$B$32,RAND())</f>
        <v>0</v>
      </c>
      <c r="N2516" s="0" t="n">
        <f aca="true">CRITBINOM(MAX(0,$C2516-J2516),MIN(0.6,Matchup!$C$40*SQRT($B2516)/(1-MIN(0.75,Matchup!$C$39*$B2516))),RAND())</f>
        <v>1</v>
      </c>
      <c r="O2516" s="0" t="n">
        <f aca="false">6*J2516+(J2516-K2516-M2516)+2*L2516+3*N2516</f>
        <v>10</v>
      </c>
      <c r="P2516" s="0" t="n">
        <f aca="true">RAND()</f>
        <v>0.324683127555277</v>
      </c>
      <c r="Q2516" s="0" t="n">
        <f aca="true">RAND()</f>
        <v>0.0123401360669447</v>
      </c>
      <c r="R2516" s="0" t="n">
        <f aca="false">IF($I2516&lt;&gt;$O2516,0,IF(P2516&lt;Matchup!$B$39,7,IF(P2516&lt;Matchup!$B$39+Matchup!$B$40,3,0)))</f>
        <v>0</v>
      </c>
      <c r="S2516" s="0" t="n">
        <f aca="false">IF($I2516&lt;&gt;$O2516,0,IF(Q2516&lt;Matchup!$C$39,7,IF(Q2516&lt;Matchup!$C$39+Matchup!$C$40,3,0)))</f>
        <v>0</v>
      </c>
      <c r="T2516" s="0" t="n">
        <f aca="false">I2516+R2516</f>
        <v>31</v>
      </c>
      <c r="U2516" s="0" t="n">
        <f aca="false">O2516+S2516</f>
        <v>10</v>
      </c>
      <c r="V2516" s="0" t="n">
        <f aca="false">T2516-U2516</f>
        <v>21</v>
      </c>
      <c r="W2516" s="0" t="n">
        <f aca="false">T2516+U2516</f>
        <v>41</v>
      </c>
    </row>
    <row r="2517" customFormat="false" ht="15" hidden="false" customHeight="false" outlineLevel="0" collapsed="false">
      <c r="A2517" s="0" t="n">
        <v>2514</v>
      </c>
      <c r="B2517" s="0" t="n">
        <f aca="true">NORMINV(RAND(),1,Coefficients!$B$22)</f>
        <v>1.03134109228517</v>
      </c>
      <c r="C2517" s="0" t="n">
        <f aca="true">MEDIAN(8,16,ROUND(NORMINV(RAND(),Coefficients!$B$20,Coefficients!$B$21),0))</f>
        <v>12</v>
      </c>
      <c r="D2517" s="0" t="n">
        <f aca="true">CRITBINOM($C2517,MIN(0.75,Matchup!$B$39*$B2517),RAND())</f>
        <v>1</v>
      </c>
      <c r="E2517" s="0" t="n">
        <f aca="true">CRITBINOM(D2517,Coefficients!$B$30,RAND())</f>
        <v>0</v>
      </c>
      <c r="F2517" s="0" t="n">
        <f aca="true">CRITBINOM(E2517,Coefficients!$B$31,RAND())</f>
        <v>0</v>
      </c>
      <c r="G2517" s="0" t="n">
        <f aca="true">CRITBINOM(MAX(0,D2517-E2517),1-Coefficients!$B$32,RAND())</f>
        <v>0</v>
      </c>
      <c r="H2517" s="0" t="n">
        <f aca="true">CRITBINOM(MAX(0,$C2517-D2517),MIN(0.6,Matchup!$B$40*SQRT($B2517)/(1-MIN(0.75,Matchup!$B$39*$B2517))),RAND())</f>
        <v>0</v>
      </c>
      <c r="I2517" s="0" t="n">
        <f aca="false">6*D2517+(D2517-E2517-G2517)+2*F2517+3*H2517</f>
        <v>7</v>
      </c>
      <c r="J2517" s="0" t="n">
        <f aca="true">CRITBINOM($C2517,MIN(0.75,Matchup!$C$39*$B2517),RAND())</f>
        <v>1</v>
      </c>
      <c r="K2517" s="0" t="n">
        <f aca="true">CRITBINOM(J2517,Coefficients!$B$30,RAND())</f>
        <v>0</v>
      </c>
      <c r="L2517" s="0" t="n">
        <f aca="true">CRITBINOM(K2517,Coefficients!$B$31,RAND())</f>
        <v>0</v>
      </c>
      <c r="M2517" s="0" t="n">
        <f aca="true">CRITBINOM(MAX(0,J2517-K2517),1-Coefficients!$B$32,RAND())</f>
        <v>0</v>
      </c>
      <c r="N2517" s="0" t="n">
        <f aca="true">CRITBINOM(MAX(0,$C2517-J2517),MIN(0.6,Matchup!$C$40*SQRT($B2517)/(1-MIN(0.75,Matchup!$C$39*$B2517))),RAND())</f>
        <v>3</v>
      </c>
      <c r="O2517" s="0" t="n">
        <f aca="false">6*J2517+(J2517-K2517-M2517)+2*L2517+3*N2517</f>
        <v>16</v>
      </c>
      <c r="P2517" s="0" t="n">
        <f aca="true">RAND()</f>
        <v>0.199531680855773</v>
      </c>
      <c r="Q2517" s="0" t="n">
        <f aca="true">RAND()</f>
        <v>0.640545186249435</v>
      </c>
      <c r="R2517" s="0" t="n">
        <f aca="false">IF($I2517&lt;&gt;$O2517,0,IF(P2517&lt;Matchup!$B$39,7,IF(P2517&lt;Matchup!$B$39+Matchup!$B$40,3,0)))</f>
        <v>0</v>
      </c>
      <c r="S2517" s="0" t="n">
        <f aca="false">IF($I2517&lt;&gt;$O2517,0,IF(Q2517&lt;Matchup!$C$39,7,IF(Q2517&lt;Matchup!$C$39+Matchup!$C$40,3,0)))</f>
        <v>0</v>
      </c>
      <c r="T2517" s="0" t="n">
        <f aca="false">I2517+R2517</f>
        <v>7</v>
      </c>
      <c r="U2517" s="0" t="n">
        <f aca="false">O2517+S2517</f>
        <v>16</v>
      </c>
      <c r="V2517" s="0" t="n">
        <f aca="false">T2517-U2517</f>
        <v>-9</v>
      </c>
      <c r="W2517" s="0" t="n">
        <f aca="false">T2517+U2517</f>
        <v>23</v>
      </c>
    </row>
    <row r="2518" customFormat="false" ht="15" hidden="false" customHeight="false" outlineLevel="0" collapsed="false">
      <c r="A2518" s="0" t="n">
        <v>2515</v>
      </c>
      <c r="B2518" s="0" t="n">
        <f aca="true">NORMINV(RAND(),1,Coefficients!$B$22)</f>
        <v>1.04863016488425</v>
      </c>
      <c r="C2518" s="0" t="n">
        <f aca="true">MEDIAN(8,16,ROUND(NORMINV(RAND(),Coefficients!$B$20,Coefficients!$B$21),0))</f>
        <v>11</v>
      </c>
      <c r="D2518" s="0" t="n">
        <f aca="true">CRITBINOM($C2518,MIN(0.75,Matchup!$B$39*$B2518),RAND())</f>
        <v>2</v>
      </c>
      <c r="E2518" s="0" t="n">
        <f aca="true">CRITBINOM(D2518,Coefficients!$B$30,RAND())</f>
        <v>0</v>
      </c>
      <c r="F2518" s="0" t="n">
        <f aca="true">CRITBINOM(E2518,Coefficients!$B$31,RAND())</f>
        <v>0</v>
      </c>
      <c r="G2518" s="0" t="n">
        <f aca="true">CRITBINOM(MAX(0,D2518-E2518),1-Coefficients!$B$32,RAND())</f>
        <v>0</v>
      </c>
      <c r="H2518" s="0" t="n">
        <f aca="true">CRITBINOM(MAX(0,$C2518-D2518),MIN(0.6,Matchup!$B$40*SQRT($B2518)/(1-MIN(0.75,Matchup!$B$39*$B2518))),RAND())</f>
        <v>1</v>
      </c>
      <c r="I2518" s="0" t="n">
        <f aca="false">6*D2518+(D2518-E2518-G2518)+2*F2518+3*H2518</f>
        <v>17</v>
      </c>
      <c r="J2518" s="0" t="n">
        <f aca="true">CRITBINOM($C2518,MIN(0.75,Matchup!$C$39*$B2518),RAND())</f>
        <v>5</v>
      </c>
      <c r="K2518" s="0" t="n">
        <f aca="true">CRITBINOM(J2518,Coefficients!$B$30,RAND())</f>
        <v>0</v>
      </c>
      <c r="L2518" s="0" t="n">
        <f aca="true">CRITBINOM(K2518,Coefficients!$B$31,RAND())</f>
        <v>0</v>
      </c>
      <c r="M2518" s="0" t="n">
        <f aca="true">CRITBINOM(MAX(0,J2518-K2518),1-Coefficients!$B$32,RAND())</f>
        <v>0</v>
      </c>
      <c r="N2518" s="0" t="n">
        <f aca="true">CRITBINOM(MAX(0,$C2518-J2518),MIN(0.6,Matchup!$C$40*SQRT($B2518)/(1-MIN(0.75,Matchup!$C$39*$B2518))),RAND())</f>
        <v>0</v>
      </c>
      <c r="O2518" s="0" t="n">
        <f aca="false">6*J2518+(J2518-K2518-M2518)+2*L2518+3*N2518</f>
        <v>35</v>
      </c>
      <c r="P2518" s="0" t="n">
        <f aca="true">RAND()</f>
        <v>0.478977916807113</v>
      </c>
      <c r="Q2518" s="0" t="n">
        <f aca="true">RAND()</f>
        <v>0.401057914067402</v>
      </c>
      <c r="R2518" s="0" t="n">
        <f aca="false">IF($I2518&lt;&gt;$O2518,0,IF(P2518&lt;Matchup!$B$39,7,IF(P2518&lt;Matchup!$B$39+Matchup!$B$40,3,0)))</f>
        <v>0</v>
      </c>
      <c r="S2518" s="0" t="n">
        <f aca="false">IF($I2518&lt;&gt;$O2518,0,IF(Q2518&lt;Matchup!$C$39,7,IF(Q2518&lt;Matchup!$C$39+Matchup!$C$40,3,0)))</f>
        <v>0</v>
      </c>
      <c r="T2518" s="0" t="n">
        <f aca="false">I2518+R2518</f>
        <v>17</v>
      </c>
      <c r="U2518" s="0" t="n">
        <f aca="false">O2518+S2518</f>
        <v>35</v>
      </c>
      <c r="V2518" s="0" t="n">
        <f aca="false">T2518-U2518</f>
        <v>-18</v>
      </c>
      <c r="W2518" s="0" t="n">
        <f aca="false">T2518+U2518</f>
        <v>52</v>
      </c>
    </row>
    <row r="2519" customFormat="false" ht="15" hidden="false" customHeight="false" outlineLevel="0" collapsed="false">
      <c r="A2519" s="0" t="n">
        <v>2516</v>
      </c>
      <c r="B2519" s="0" t="n">
        <f aca="true">NORMINV(RAND(),1,Coefficients!$B$22)</f>
        <v>1.01896202173162</v>
      </c>
      <c r="C2519" s="0" t="n">
        <f aca="true">MEDIAN(8,16,ROUND(NORMINV(RAND(),Coefficients!$B$20,Coefficients!$B$21),0))</f>
        <v>10</v>
      </c>
      <c r="D2519" s="0" t="n">
        <f aca="true">CRITBINOM($C2519,MIN(0.75,Matchup!$B$39*$B2519),RAND())</f>
        <v>2</v>
      </c>
      <c r="E2519" s="0" t="n">
        <f aca="true">CRITBINOM(D2519,Coefficients!$B$30,RAND())</f>
        <v>0</v>
      </c>
      <c r="F2519" s="0" t="n">
        <f aca="true">CRITBINOM(E2519,Coefficients!$B$31,RAND())</f>
        <v>0</v>
      </c>
      <c r="G2519" s="0" t="n">
        <f aca="true">CRITBINOM(MAX(0,D2519-E2519),1-Coefficients!$B$32,RAND())</f>
        <v>0</v>
      </c>
      <c r="H2519" s="0" t="n">
        <f aca="true">CRITBINOM(MAX(0,$C2519-D2519),MIN(0.6,Matchup!$B$40*SQRT($B2519)/(1-MIN(0.75,Matchup!$B$39*$B2519))),RAND())</f>
        <v>2</v>
      </c>
      <c r="I2519" s="0" t="n">
        <f aca="false">6*D2519+(D2519-E2519-G2519)+2*F2519+3*H2519</f>
        <v>20</v>
      </c>
      <c r="J2519" s="0" t="n">
        <f aca="true">CRITBINOM($C2519,MIN(0.75,Matchup!$C$39*$B2519),RAND())</f>
        <v>2</v>
      </c>
      <c r="K2519" s="0" t="n">
        <f aca="true">CRITBINOM(J2519,Coefficients!$B$30,RAND())</f>
        <v>0</v>
      </c>
      <c r="L2519" s="0" t="n">
        <f aca="true">CRITBINOM(K2519,Coefficients!$B$31,RAND())</f>
        <v>0</v>
      </c>
      <c r="M2519" s="0" t="n">
        <f aca="true">CRITBINOM(MAX(0,J2519-K2519),1-Coefficients!$B$32,RAND())</f>
        <v>0</v>
      </c>
      <c r="N2519" s="0" t="n">
        <f aca="true">CRITBINOM(MAX(0,$C2519-J2519),MIN(0.6,Matchup!$C$40*SQRT($B2519)/(1-MIN(0.75,Matchup!$C$39*$B2519))),RAND())</f>
        <v>2</v>
      </c>
      <c r="O2519" s="0" t="n">
        <f aca="false">6*J2519+(J2519-K2519-M2519)+2*L2519+3*N2519</f>
        <v>20</v>
      </c>
      <c r="P2519" s="0" t="n">
        <f aca="true">RAND()</f>
        <v>0.124816997983805</v>
      </c>
      <c r="Q2519" s="0" t="n">
        <f aca="true">RAND()</f>
        <v>0.753106404552452</v>
      </c>
      <c r="R2519" s="0" t="n">
        <f aca="false">IF($I2519&lt;&gt;$O2519,0,IF(P2519&lt;Matchup!$B$39,7,IF(P2519&lt;Matchup!$B$39+Matchup!$B$40,3,0)))</f>
        <v>7</v>
      </c>
      <c r="S2519" s="0" t="n">
        <f aca="false">IF($I2519&lt;&gt;$O2519,0,IF(Q2519&lt;Matchup!$C$39,7,IF(Q2519&lt;Matchup!$C$39+Matchup!$C$40,3,0)))</f>
        <v>0</v>
      </c>
      <c r="T2519" s="0" t="n">
        <f aca="false">I2519+R2519</f>
        <v>27</v>
      </c>
      <c r="U2519" s="0" t="n">
        <f aca="false">O2519+S2519</f>
        <v>20</v>
      </c>
      <c r="V2519" s="0" t="n">
        <f aca="false">T2519-U2519</f>
        <v>7</v>
      </c>
      <c r="W2519" s="0" t="n">
        <f aca="false">T2519+U2519</f>
        <v>47</v>
      </c>
    </row>
    <row r="2520" customFormat="false" ht="15" hidden="false" customHeight="false" outlineLevel="0" collapsed="false">
      <c r="A2520" s="0" t="n">
        <v>2517</v>
      </c>
      <c r="B2520" s="0" t="n">
        <f aca="true">NORMINV(RAND(),1,Coefficients!$B$22)</f>
        <v>0.941874738033465</v>
      </c>
      <c r="C2520" s="0" t="n">
        <f aca="true">MEDIAN(8,16,ROUND(NORMINV(RAND(),Coefficients!$B$20,Coefficients!$B$21),0))</f>
        <v>12</v>
      </c>
      <c r="D2520" s="0" t="n">
        <f aca="true">CRITBINOM($C2520,MIN(0.75,Matchup!$B$39*$B2520),RAND())</f>
        <v>2</v>
      </c>
      <c r="E2520" s="0" t="n">
        <f aca="true">CRITBINOM(D2520,Coefficients!$B$30,RAND())</f>
        <v>0</v>
      </c>
      <c r="F2520" s="0" t="n">
        <f aca="true">CRITBINOM(E2520,Coefficients!$B$31,RAND())</f>
        <v>0</v>
      </c>
      <c r="G2520" s="0" t="n">
        <f aca="true">CRITBINOM(MAX(0,D2520-E2520),1-Coefficients!$B$32,RAND())</f>
        <v>0</v>
      </c>
      <c r="H2520" s="0" t="n">
        <f aca="true">CRITBINOM(MAX(0,$C2520-D2520),MIN(0.6,Matchup!$B$40*SQRT($B2520)/(1-MIN(0.75,Matchup!$B$39*$B2520))),RAND())</f>
        <v>0</v>
      </c>
      <c r="I2520" s="0" t="n">
        <f aca="false">6*D2520+(D2520-E2520-G2520)+2*F2520+3*H2520</f>
        <v>14</v>
      </c>
      <c r="J2520" s="0" t="n">
        <f aca="true">CRITBINOM($C2520,MIN(0.75,Matchup!$C$39*$B2520),RAND())</f>
        <v>2</v>
      </c>
      <c r="K2520" s="0" t="n">
        <f aca="true">CRITBINOM(J2520,Coefficients!$B$30,RAND())</f>
        <v>1</v>
      </c>
      <c r="L2520" s="0" t="n">
        <f aca="true">CRITBINOM(K2520,Coefficients!$B$31,RAND())</f>
        <v>0</v>
      </c>
      <c r="M2520" s="0" t="n">
        <f aca="true">CRITBINOM(MAX(0,J2520-K2520),1-Coefficients!$B$32,RAND())</f>
        <v>0</v>
      </c>
      <c r="N2520" s="0" t="n">
        <f aca="true">CRITBINOM(MAX(0,$C2520-J2520),MIN(0.6,Matchup!$C$40*SQRT($B2520)/(1-MIN(0.75,Matchup!$C$39*$B2520))),RAND())</f>
        <v>1</v>
      </c>
      <c r="O2520" s="0" t="n">
        <f aca="false">6*J2520+(J2520-K2520-M2520)+2*L2520+3*N2520</f>
        <v>16</v>
      </c>
      <c r="P2520" s="0" t="n">
        <f aca="true">RAND()</f>
        <v>0.439894665925642</v>
      </c>
      <c r="Q2520" s="0" t="n">
        <f aca="true">RAND()</f>
        <v>0.495738879925454</v>
      </c>
      <c r="R2520" s="0" t="n">
        <f aca="false">IF($I2520&lt;&gt;$O2520,0,IF(P2520&lt;Matchup!$B$39,7,IF(P2520&lt;Matchup!$B$39+Matchup!$B$40,3,0)))</f>
        <v>0</v>
      </c>
      <c r="S2520" s="0" t="n">
        <f aca="false">IF($I2520&lt;&gt;$O2520,0,IF(Q2520&lt;Matchup!$C$39,7,IF(Q2520&lt;Matchup!$C$39+Matchup!$C$40,3,0)))</f>
        <v>0</v>
      </c>
      <c r="T2520" s="0" t="n">
        <f aca="false">I2520+R2520</f>
        <v>14</v>
      </c>
      <c r="U2520" s="0" t="n">
        <f aca="false">O2520+S2520</f>
        <v>16</v>
      </c>
      <c r="V2520" s="0" t="n">
        <f aca="false">T2520-U2520</f>
        <v>-2</v>
      </c>
      <c r="W2520" s="0" t="n">
        <f aca="false">T2520+U2520</f>
        <v>30</v>
      </c>
    </row>
    <row r="2521" customFormat="false" ht="15" hidden="false" customHeight="false" outlineLevel="0" collapsed="false">
      <c r="A2521" s="0" t="n">
        <v>2518</v>
      </c>
      <c r="B2521" s="0" t="n">
        <f aca="true">NORMINV(RAND(),1,Coefficients!$B$22)</f>
        <v>0.904457033069924</v>
      </c>
      <c r="C2521" s="0" t="n">
        <f aca="true">MEDIAN(8,16,ROUND(NORMINV(RAND(),Coefficients!$B$20,Coefficients!$B$21),0))</f>
        <v>11</v>
      </c>
      <c r="D2521" s="0" t="n">
        <f aca="true">CRITBINOM($C2521,MIN(0.75,Matchup!$B$39*$B2521),RAND())</f>
        <v>4</v>
      </c>
      <c r="E2521" s="0" t="n">
        <f aca="true">CRITBINOM(D2521,Coefficients!$B$30,RAND())</f>
        <v>0</v>
      </c>
      <c r="F2521" s="0" t="n">
        <f aca="true">CRITBINOM(E2521,Coefficients!$B$31,RAND())</f>
        <v>0</v>
      </c>
      <c r="G2521" s="0" t="n">
        <f aca="true">CRITBINOM(MAX(0,D2521-E2521),1-Coefficients!$B$32,RAND())</f>
        <v>0</v>
      </c>
      <c r="H2521" s="0" t="n">
        <f aca="true">CRITBINOM(MAX(0,$C2521-D2521),MIN(0.6,Matchup!$B$40*SQRT($B2521)/(1-MIN(0.75,Matchup!$B$39*$B2521))),RAND())</f>
        <v>3</v>
      </c>
      <c r="I2521" s="0" t="n">
        <f aca="false">6*D2521+(D2521-E2521-G2521)+2*F2521+3*H2521</f>
        <v>37</v>
      </c>
      <c r="J2521" s="0" t="n">
        <f aca="true">CRITBINOM($C2521,MIN(0.75,Matchup!$C$39*$B2521),RAND())</f>
        <v>4</v>
      </c>
      <c r="K2521" s="0" t="n">
        <f aca="true">CRITBINOM(J2521,Coefficients!$B$30,RAND())</f>
        <v>0</v>
      </c>
      <c r="L2521" s="0" t="n">
        <f aca="true">CRITBINOM(K2521,Coefficients!$B$31,RAND())</f>
        <v>0</v>
      </c>
      <c r="M2521" s="0" t="n">
        <f aca="true">CRITBINOM(MAX(0,J2521-K2521),1-Coefficients!$B$32,RAND())</f>
        <v>0</v>
      </c>
      <c r="N2521" s="0" t="n">
        <f aca="true">CRITBINOM(MAX(0,$C2521-J2521),MIN(0.6,Matchup!$C$40*SQRT($B2521)/(1-MIN(0.75,Matchup!$C$39*$B2521))),RAND())</f>
        <v>1</v>
      </c>
      <c r="O2521" s="0" t="n">
        <f aca="false">6*J2521+(J2521-K2521-M2521)+2*L2521+3*N2521</f>
        <v>31</v>
      </c>
      <c r="P2521" s="0" t="n">
        <f aca="true">RAND()</f>
        <v>0.560845058348059</v>
      </c>
      <c r="Q2521" s="0" t="n">
        <f aca="true">RAND()</f>
        <v>0.332089243420224</v>
      </c>
      <c r="R2521" s="0" t="n">
        <f aca="false">IF($I2521&lt;&gt;$O2521,0,IF(P2521&lt;Matchup!$B$39,7,IF(P2521&lt;Matchup!$B$39+Matchup!$B$40,3,0)))</f>
        <v>0</v>
      </c>
      <c r="S2521" s="0" t="n">
        <f aca="false">IF($I2521&lt;&gt;$O2521,0,IF(Q2521&lt;Matchup!$C$39,7,IF(Q2521&lt;Matchup!$C$39+Matchup!$C$40,3,0)))</f>
        <v>0</v>
      </c>
      <c r="T2521" s="0" t="n">
        <f aca="false">I2521+R2521</f>
        <v>37</v>
      </c>
      <c r="U2521" s="0" t="n">
        <f aca="false">O2521+S2521</f>
        <v>31</v>
      </c>
      <c r="V2521" s="0" t="n">
        <f aca="false">T2521-U2521</f>
        <v>6</v>
      </c>
      <c r="W2521" s="0" t="n">
        <f aca="false">T2521+U2521</f>
        <v>68</v>
      </c>
    </row>
    <row r="2522" customFormat="false" ht="15" hidden="false" customHeight="false" outlineLevel="0" collapsed="false">
      <c r="A2522" s="0" t="n">
        <v>2519</v>
      </c>
      <c r="B2522" s="0" t="n">
        <f aca="true">NORMINV(RAND(),1,Coefficients!$B$22)</f>
        <v>1.16562200621119</v>
      </c>
      <c r="C2522" s="0" t="n">
        <f aca="true">MEDIAN(8,16,ROUND(NORMINV(RAND(),Coefficients!$B$20,Coefficients!$B$21),0))</f>
        <v>11</v>
      </c>
      <c r="D2522" s="0" t="n">
        <f aca="true">CRITBINOM($C2522,MIN(0.75,Matchup!$B$39*$B2522),RAND())</f>
        <v>2</v>
      </c>
      <c r="E2522" s="0" t="n">
        <f aca="true">CRITBINOM(D2522,Coefficients!$B$30,RAND())</f>
        <v>0</v>
      </c>
      <c r="F2522" s="0" t="n">
        <f aca="true">CRITBINOM(E2522,Coefficients!$B$31,RAND())</f>
        <v>0</v>
      </c>
      <c r="G2522" s="0" t="n">
        <f aca="true">CRITBINOM(MAX(0,D2522-E2522),1-Coefficients!$B$32,RAND())</f>
        <v>0</v>
      </c>
      <c r="H2522" s="0" t="n">
        <f aca="true">CRITBINOM(MAX(0,$C2522-D2522),MIN(0.6,Matchup!$B$40*SQRT($B2522)/(1-MIN(0.75,Matchup!$B$39*$B2522))),RAND())</f>
        <v>3</v>
      </c>
      <c r="I2522" s="0" t="n">
        <f aca="false">6*D2522+(D2522-E2522-G2522)+2*F2522+3*H2522</f>
        <v>23</v>
      </c>
      <c r="J2522" s="0" t="n">
        <f aca="true">CRITBINOM($C2522,MIN(0.75,Matchup!$C$39*$B2522),RAND())</f>
        <v>2</v>
      </c>
      <c r="K2522" s="0" t="n">
        <f aca="true">CRITBINOM(J2522,Coefficients!$B$30,RAND())</f>
        <v>0</v>
      </c>
      <c r="L2522" s="0" t="n">
        <f aca="true">CRITBINOM(K2522,Coefficients!$B$31,RAND())</f>
        <v>0</v>
      </c>
      <c r="M2522" s="0" t="n">
        <f aca="true">CRITBINOM(MAX(0,J2522-K2522),1-Coefficients!$B$32,RAND())</f>
        <v>0</v>
      </c>
      <c r="N2522" s="0" t="n">
        <f aca="true">CRITBINOM(MAX(0,$C2522-J2522),MIN(0.6,Matchup!$C$40*SQRT($B2522)/(1-MIN(0.75,Matchup!$C$39*$B2522))),RAND())</f>
        <v>1</v>
      </c>
      <c r="O2522" s="0" t="n">
        <f aca="false">6*J2522+(J2522-K2522-M2522)+2*L2522+3*N2522</f>
        <v>17</v>
      </c>
      <c r="P2522" s="0" t="n">
        <f aca="true">RAND()</f>
        <v>0.739165587666968</v>
      </c>
      <c r="Q2522" s="0" t="n">
        <f aca="true">RAND()</f>
        <v>0.987993847321157</v>
      </c>
      <c r="R2522" s="0" t="n">
        <f aca="false">IF($I2522&lt;&gt;$O2522,0,IF(P2522&lt;Matchup!$B$39,7,IF(P2522&lt;Matchup!$B$39+Matchup!$B$40,3,0)))</f>
        <v>0</v>
      </c>
      <c r="S2522" s="0" t="n">
        <f aca="false">IF($I2522&lt;&gt;$O2522,0,IF(Q2522&lt;Matchup!$C$39,7,IF(Q2522&lt;Matchup!$C$39+Matchup!$C$40,3,0)))</f>
        <v>0</v>
      </c>
      <c r="T2522" s="0" t="n">
        <f aca="false">I2522+R2522</f>
        <v>23</v>
      </c>
      <c r="U2522" s="0" t="n">
        <f aca="false">O2522+S2522</f>
        <v>17</v>
      </c>
      <c r="V2522" s="0" t="n">
        <f aca="false">T2522-U2522</f>
        <v>6</v>
      </c>
      <c r="W2522" s="0" t="n">
        <f aca="false">T2522+U2522</f>
        <v>40</v>
      </c>
    </row>
    <row r="2523" customFormat="false" ht="15" hidden="false" customHeight="false" outlineLevel="0" collapsed="false">
      <c r="A2523" s="0" t="n">
        <v>2520</v>
      </c>
      <c r="B2523" s="0" t="n">
        <f aca="true">NORMINV(RAND(),1,Coefficients!$B$22)</f>
        <v>0.872301265661082</v>
      </c>
      <c r="C2523" s="0" t="n">
        <f aca="true">MEDIAN(8,16,ROUND(NORMINV(RAND(),Coefficients!$B$20,Coefficients!$B$21),0))</f>
        <v>11</v>
      </c>
      <c r="D2523" s="0" t="n">
        <f aca="true">CRITBINOM($C2523,MIN(0.75,Matchup!$B$39*$B2523),RAND())</f>
        <v>1</v>
      </c>
      <c r="E2523" s="0" t="n">
        <f aca="true">CRITBINOM(D2523,Coefficients!$B$30,RAND())</f>
        <v>0</v>
      </c>
      <c r="F2523" s="0" t="n">
        <f aca="true">CRITBINOM(E2523,Coefficients!$B$31,RAND())</f>
        <v>0</v>
      </c>
      <c r="G2523" s="0" t="n">
        <f aca="true">CRITBINOM(MAX(0,D2523-E2523),1-Coefficients!$B$32,RAND())</f>
        <v>0</v>
      </c>
      <c r="H2523" s="0" t="n">
        <f aca="true">CRITBINOM(MAX(0,$C2523-D2523),MIN(0.6,Matchup!$B$40*SQRT($B2523)/(1-MIN(0.75,Matchup!$B$39*$B2523))),RAND())</f>
        <v>1</v>
      </c>
      <c r="I2523" s="0" t="n">
        <f aca="false">6*D2523+(D2523-E2523-G2523)+2*F2523+3*H2523</f>
        <v>10</v>
      </c>
      <c r="J2523" s="0" t="n">
        <f aca="true">CRITBINOM($C2523,MIN(0.75,Matchup!$C$39*$B2523),RAND())</f>
        <v>3</v>
      </c>
      <c r="K2523" s="0" t="n">
        <f aca="true">CRITBINOM(J2523,Coefficients!$B$30,RAND())</f>
        <v>1</v>
      </c>
      <c r="L2523" s="0" t="n">
        <f aca="true">CRITBINOM(K2523,Coefficients!$B$31,RAND())</f>
        <v>1</v>
      </c>
      <c r="M2523" s="0" t="n">
        <f aca="true">CRITBINOM(MAX(0,J2523-K2523),1-Coefficients!$B$32,RAND())</f>
        <v>0</v>
      </c>
      <c r="N2523" s="0" t="n">
        <f aca="true">CRITBINOM(MAX(0,$C2523-J2523),MIN(0.6,Matchup!$C$40*SQRT($B2523)/(1-MIN(0.75,Matchup!$C$39*$B2523))),RAND())</f>
        <v>2</v>
      </c>
      <c r="O2523" s="0" t="n">
        <f aca="false">6*J2523+(J2523-K2523-M2523)+2*L2523+3*N2523</f>
        <v>28</v>
      </c>
      <c r="P2523" s="0" t="n">
        <f aca="true">RAND()</f>
        <v>0.377337290970113</v>
      </c>
      <c r="Q2523" s="0" t="n">
        <f aca="true">RAND()</f>
        <v>0.996263363218808</v>
      </c>
      <c r="R2523" s="0" t="n">
        <f aca="false">IF($I2523&lt;&gt;$O2523,0,IF(P2523&lt;Matchup!$B$39,7,IF(P2523&lt;Matchup!$B$39+Matchup!$B$40,3,0)))</f>
        <v>0</v>
      </c>
      <c r="S2523" s="0" t="n">
        <f aca="false">IF($I2523&lt;&gt;$O2523,0,IF(Q2523&lt;Matchup!$C$39,7,IF(Q2523&lt;Matchup!$C$39+Matchup!$C$40,3,0)))</f>
        <v>0</v>
      </c>
      <c r="T2523" s="0" t="n">
        <f aca="false">I2523+R2523</f>
        <v>10</v>
      </c>
      <c r="U2523" s="0" t="n">
        <f aca="false">O2523+S2523</f>
        <v>28</v>
      </c>
      <c r="V2523" s="0" t="n">
        <f aca="false">T2523-U2523</f>
        <v>-18</v>
      </c>
      <c r="W2523" s="0" t="n">
        <f aca="false">T2523+U2523</f>
        <v>38</v>
      </c>
    </row>
    <row r="2524" customFormat="false" ht="15" hidden="false" customHeight="false" outlineLevel="0" collapsed="false">
      <c r="A2524" s="0" t="n">
        <v>2521</v>
      </c>
      <c r="B2524" s="0" t="n">
        <f aca="true">NORMINV(RAND(),1,Coefficients!$B$22)</f>
        <v>1.07278464408113</v>
      </c>
      <c r="C2524" s="0" t="n">
        <f aca="true">MEDIAN(8,16,ROUND(NORMINV(RAND(),Coefficients!$B$20,Coefficients!$B$21),0))</f>
        <v>9</v>
      </c>
      <c r="D2524" s="0" t="n">
        <f aca="true">CRITBINOM($C2524,MIN(0.75,Matchup!$B$39*$B2524),RAND())</f>
        <v>4</v>
      </c>
      <c r="E2524" s="0" t="n">
        <f aca="true">CRITBINOM(D2524,Coefficients!$B$30,RAND())</f>
        <v>0</v>
      </c>
      <c r="F2524" s="0" t="n">
        <f aca="true">CRITBINOM(E2524,Coefficients!$B$31,RAND())</f>
        <v>0</v>
      </c>
      <c r="G2524" s="0" t="n">
        <f aca="true">CRITBINOM(MAX(0,D2524-E2524),1-Coefficients!$B$32,RAND())</f>
        <v>1</v>
      </c>
      <c r="H2524" s="0" t="n">
        <f aca="true">CRITBINOM(MAX(0,$C2524-D2524),MIN(0.6,Matchup!$B$40*SQRT($B2524)/(1-MIN(0.75,Matchup!$B$39*$B2524))),RAND())</f>
        <v>1</v>
      </c>
      <c r="I2524" s="0" t="n">
        <f aca="false">6*D2524+(D2524-E2524-G2524)+2*F2524+3*H2524</f>
        <v>30</v>
      </c>
      <c r="J2524" s="0" t="n">
        <f aca="true">CRITBINOM($C2524,MIN(0.75,Matchup!$C$39*$B2524),RAND())</f>
        <v>2</v>
      </c>
      <c r="K2524" s="0" t="n">
        <f aca="true">CRITBINOM(J2524,Coefficients!$B$30,RAND())</f>
        <v>0</v>
      </c>
      <c r="L2524" s="0" t="n">
        <f aca="true">CRITBINOM(K2524,Coefficients!$B$31,RAND())</f>
        <v>0</v>
      </c>
      <c r="M2524" s="0" t="n">
        <f aca="true">CRITBINOM(MAX(0,J2524-K2524),1-Coefficients!$B$32,RAND())</f>
        <v>0</v>
      </c>
      <c r="N2524" s="0" t="n">
        <f aca="true">CRITBINOM(MAX(0,$C2524-J2524),MIN(0.6,Matchup!$C$40*SQRT($B2524)/(1-MIN(0.75,Matchup!$C$39*$B2524))),RAND())</f>
        <v>3</v>
      </c>
      <c r="O2524" s="0" t="n">
        <f aca="false">6*J2524+(J2524-K2524-M2524)+2*L2524+3*N2524</f>
        <v>23</v>
      </c>
      <c r="P2524" s="0" t="n">
        <f aca="true">RAND()</f>
        <v>0.374121938465806</v>
      </c>
      <c r="Q2524" s="0" t="n">
        <f aca="true">RAND()</f>
        <v>0.462981730040992</v>
      </c>
      <c r="R2524" s="0" t="n">
        <f aca="false">IF($I2524&lt;&gt;$O2524,0,IF(P2524&lt;Matchup!$B$39,7,IF(P2524&lt;Matchup!$B$39+Matchup!$B$40,3,0)))</f>
        <v>0</v>
      </c>
      <c r="S2524" s="0" t="n">
        <f aca="false">IF($I2524&lt;&gt;$O2524,0,IF(Q2524&lt;Matchup!$C$39,7,IF(Q2524&lt;Matchup!$C$39+Matchup!$C$40,3,0)))</f>
        <v>0</v>
      </c>
      <c r="T2524" s="0" t="n">
        <f aca="false">I2524+R2524</f>
        <v>30</v>
      </c>
      <c r="U2524" s="0" t="n">
        <f aca="false">O2524+S2524</f>
        <v>23</v>
      </c>
      <c r="V2524" s="0" t="n">
        <f aca="false">T2524-U2524</f>
        <v>7</v>
      </c>
      <c r="W2524" s="0" t="n">
        <f aca="false">T2524+U2524</f>
        <v>53</v>
      </c>
    </row>
    <row r="2525" customFormat="false" ht="15" hidden="false" customHeight="false" outlineLevel="0" collapsed="false">
      <c r="A2525" s="0" t="n">
        <v>2522</v>
      </c>
      <c r="B2525" s="0" t="n">
        <f aca="true">NORMINV(RAND(),1,Coefficients!$B$22)</f>
        <v>1.05776173070825</v>
      </c>
      <c r="C2525" s="0" t="n">
        <f aca="true">MEDIAN(8,16,ROUND(NORMINV(RAND(),Coefficients!$B$20,Coefficients!$B$21),0))</f>
        <v>12</v>
      </c>
      <c r="D2525" s="0" t="n">
        <f aca="true">CRITBINOM($C2525,MIN(0.75,Matchup!$B$39*$B2525),RAND())</f>
        <v>3</v>
      </c>
      <c r="E2525" s="0" t="n">
        <f aca="true">CRITBINOM(D2525,Coefficients!$B$30,RAND())</f>
        <v>0</v>
      </c>
      <c r="F2525" s="0" t="n">
        <f aca="true">CRITBINOM(E2525,Coefficients!$B$31,RAND())</f>
        <v>0</v>
      </c>
      <c r="G2525" s="0" t="n">
        <f aca="true">CRITBINOM(MAX(0,D2525-E2525),1-Coefficients!$B$32,RAND())</f>
        <v>0</v>
      </c>
      <c r="H2525" s="0" t="n">
        <f aca="true">CRITBINOM(MAX(0,$C2525-D2525),MIN(0.6,Matchup!$B$40*SQRT($B2525)/(1-MIN(0.75,Matchup!$B$39*$B2525))),RAND())</f>
        <v>1</v>
      </c>
      <c r="I2525" s="0" t="n">
        <f aca="false">6*D2525+(D2525-E2525-G2525)+2*F2525+3*H2525</f>
        <v>24</v>
      </c>
      <c r="J2525" s="0" t="n">
        <f aca="true">CRITBINOM($C2525,MIN(0.75,Matchup!$C$39*$B2525),RAND())</f>
        <v>4</v>
      </c>
      <c r="K2525" s="0" t="n">
        <f aca="true">CRITBINOM(J2525,Coefficients!$B$30,RAND())</f>
        <v>0</v>
      </c>
      <c r="L2525" s="0" t="n">
        <f aca="true">CRITBINOM(K2525,Coefficients!$B$31,RAND())</f>
        <v>0</v>
      </c>
      <c r="M2525" s="0" t="n">
        <f aca="true">CRITBINOM(MAX(0,J2525-K2525),1-Coefficients!$B$32,RAND())</f>
        <v>0</v>
      </c>
      <c r="N2525" s="0" t="n">
        <f aca="true">CRITBINOM(MAX(0,$C2525-J2525),MIN(0.6,Matchup!$C$40*SQRT($B2525)/(1-MIN(0.75,Matchup!$C$39*$B2525))),RAND())</f>
        <v>0</v>
      </c>
      <c r="O2525" s="0" t="n">
        <f aca="false">6*J2525+(J2525-K2525-M2525)+2*L2525+3*N2525</f>
        <v>28</v>
      </c>
      <c r="P2525" s="0" t="n">
        <f aca="true">RAND()</f>
        <v>0.810738758607932</v>
      </c>
      <c r="Q2525" s="0" t="n">
        <f aca="true">RAND()</f>
        <v>0.0634551355277378</v>
      </c>
      <c r="R2525" s="0" t="n">
        <f aca="false">IF($I2525&lt;&gt;$O2525,0,IF(P2525&lt;Matchup!$B$39,7,IF(P2525&lt;Matchup!$B$39+Matchup!$B$40,3,0)))</f>
        <v>0</v>
      </c>
      <c r="S2525" s="0" t="n">
        <f aca="false">IF($I2525&lt;&gt;$O2525,0,IF(Q2525&lt;Matchup!$C$39,7,IF(Q2525&lt;Matchup!$C$39+Matchup!$C$40,3,0)))</f>
        <v>0</v>
      </c>
      <c r="T2525" s="0" t="n">
        <f aca="false">I2525+R2525</f>
        <v>24</v>
      </c>
      <c r="U2525" s="0" t="n">
        <f aca="false">O2525+S2525</f>
        <v>28</v>
      </c>
      <c r="V2525" s="0" t="n">
        <f aca="false">T2525-U2525</f>
        <v>-4</v>
      </c>
      <c r="W2525" s="0" t="n">
        <f aca="false">T2525+U2525</f>
        <v>52</v>
      </c>
    </row>
    <row r="2526" customFormat="false" ht="15" hidden="false" customHeight="false" outlineLevel="0" collapsed="false">
      <c r="A2526" s="0" t="n">
        <v>2523</v>
      </c>
      <c r="B2526" s="0" t="n">
        <f aca="true">NORMINV(RAND(),1,Coefficients!$B$22)</f>
        <v>0.983954589398954</v>
      </c>
      <c r="C2526" s="0" t="n">
        <f aca="true">MEDIAN(8,16,ROUND(NORMINV(RAND(),Coefficients!$B$20,Coefficients!$B$21),0))</f>
        <v>12</v>
      </c>
      <c r="D2526" s="0" t="n">
        <f aca="true">CRITBINOM($C2526,MIN(0.75,Matchup!$B$39*$B2526),RAND())</f>
        <v>3</v>
      </c>
      <c r="E2526" s="0" t="n">
        <f aca="true">CRITBINOM(D2526,Coefficients!$B$30,RAND())</f>
        <v>0</v>
      </c>
      <c r="F2526" s="0" t="n">
        <f aca="true">CRITBINOM(E2526,Coefficients!$B$31,RAND())</f>
        <v>0</v>
      </c>
      <c r="G2526" s="0" t="n">
        <f aca="true">CRITBINOM(MAX(0,D2526-E2526),1-Coefficients!$B$32,RAND())</f>
        <v>0</v>
      </c>
      <c r="H2526" s="0" t="n">
        <f aca="true">CRITBINOM(MAX(0,$C2526-D2526),MIN(0.6,Matchup!$B$40*SQRT($B2526)/(1-MIN(0.75,Matchup!$B$39*$B2526))),RAND())</f>
        <v>3</v>
      </c>
      <c r="I2526" s="0" t="n">
        <f aca="false">6*D2526+(D2526-E2526-G2526)+2*F2526+3*H2526</f>
        <v>30</v>
      </c>
      <c r="J2526" s="0" t="n">
        <f aca="true">CRITBINOM($C2526,MIN(0.75,Matchup!$C$39*$B2526),RAND())</f>
        <v>3</v>
      </c>
      <c r="K2526" s="0" t="n">
        <f aca="true">CRITBINOM(J2526,Coefficients!$B$30,RAND())</f>
        <v>0</v>
      </c>
      <c r="L2526" s="0" t="n">
        <f aca="true">CRITBINOM(K2526,Coefficients!$B$31,RAND())</f>
        <v>0</v>
      </c>
      <c r="M2526" s="0" t="n">
        <f aca="true">CRITBINOM(MAX(0,J2526-K2526),1-Coefficients!$B$32,RAND())</f>
        <v>0</v>
      </c>
      <c r="N2526" s="0" t="n">
        <f aca="true">CRITBINOM(MAX(0,$C2526-J2526),MIN(0.6,Matchup!$C$40*SQRT($B2526)/(1-MIN(0.75,Matchup!$C$39*$B2526))),RAND())</f>
        <v>1</v>
      </c>
      <c r="O2526" s="0" t="n">
        <f aca="false">6*J2526+(J2526-K2526-M2526)+2*L2526+3*N2526</f>
        <v>24</v>
      </c>
      <c r="P2526" s="0" t="n">
        <f aca="true">RAND()</f>
        <v>0.0115642881311695</v>
      </c>
      <c r="Q2526" s="0" t="n">
        <f aca="true">RAND()</f>
        <v>0.0728183677688426</v>
      </c>
      <c r="R2526" s="0" t="n">
        <f aca="false">IF($I2526&lt;&gt;$O2526,0,IF(P2526&lt;Matchup!$B$39,7,IF(P2526&lt;Matchup!$B$39+Matchup!$B$40,3,0)))</f>
        <v>0</v>
      </c>
      <c r="S2526" s="0" t="n">
        <f aca="false">IF($I2526&lt;&gt;$O2526,0,IF(Q2526&lt;Matchup!$C$39,7,IF(Q2526&lt;Matchup!$C$39+Matchup!$C$40,3,0)))</f>
        <v>0</v>
      </c>
      <c r="T2526" s="0" t="n">
        <f aca="false">I2526+R2526</f>
        <v>30</v>
      </c>
      <c r="U2526" s="0" t="n">
        <f aca="false">O2526+S2526</f>
        <v>24</v>
      </c>
      <c r="V2526" s="0" t="n">
        <f aca="false">T2526-U2526</f>
        <v>6</v>
      </c>
      <c r="W2526" s="0" t="n">
        <f aca="false">T2526+U2526</f>
        <v>54</v>
      </c>
    </row>
    <row r="2527" customFormat="false" ht="15" hidden="false" customHeight="false" outlineLevel="0" collapsed="false">
      <c r="A2527" s="0" t="n">
        <v>2524</v>
      </c>
      <c r="B2527" s="0" t="n">
        <f aca="true">NORMINV(RAND(),1,Coefficients!$B$22)</f>
        <v>1.03576438470207</v>
      </c>
      <c r="C2527" s="0" t="n">
        <f aca="true">MEDIAN(8,16,ROUND(NORMINV(RAND(),Coefficients!$B$20,Coefficients!$B$21),0))</f>
        <v>13</v>
      </c>
      <c r="D2527" s="0" t="n">
        <f aca="true">CRITBINOM($C2527,MIN(0.75,Matchup!$B$39*$B2527),RAND())</f>
        <v>4</v>
      </c>
      <c r="E2527" s="0" t="n">
        <f aca="true">CRITBINOM(D2527,Coefficients!$B$30,RAND())</f>
        <v>0</v>
      </c>
      <c r="F2527" s="0" t="n">
        <f aca="true">CRITBINOM(E2527,Coefficients!$B$31,RAND())</f>
        <v>0</v>
      </c>
      <c r="G2527" s="0" t="n">
        <f aca="true">CRITBINOM(MAX(0,D2527-E2527),1-Coefficients!$B$32,RAND())</f>
        <v>0</v>
      </c>
      <c r="H2527" s="0" t="n">
        <f aca="true">CRITBINOM(MAX(0,$C2527-D2527),MIN(0.6,Matchup!$B$40*SQRT($B2527)/(1-MIN(0.75,Matchup!$B$39*$B2527))),RAND())</f>
        <v>1</v>
      </c>
      <c r="I2527" s="0" t="n">
        <f aca="false">6*D2527+(D2527-E2527-G2527)+2*F2527+3*H2527</f>
        <v>31</v>
      </c>
      <c r="J2527" s="0" t="n">
        <f aca="true">CRITBINOM($C2527,MIN(0.75,Matchup!$C$39*$B2527),RAND())</f>
        <v>5</v>
      </c>
      <c r="K2527" s="0" t="n">
        <f aca="true">CRITBINOM(J2527,Coefficients!$B$30,RAND())</f>
        <v>0</v>
      </c>
      <c r="L2527" s="0" t="n">
        <f aca="true">CRITBINOM(K2527,Coefficients!$B$31,RAND())</f>
        <v>0</v>
      </c>
      <c r="M2527" s="0" t="n">
        <f aca="true">CRITBINOM(MAX(0,J2527-K2527),1-Coefficients!$B$32,RAND())</f>
        <v>0</v>
      </c>
      <c r="N2527" s="0" t="n">
        <f aca="true">CRITBINOM(MAX(0,$C2527-J2527),MIN(0.6,Matchup!$C$40*SQRT($B2527)/(1-MIN(0.75,Matchup!$C$39*$B2527))),RAND())</f>
        <v>1</v>
      </c>
      <c r="O2527" s="0" t="n">
        <f aca="false">6*J2527+(J2527-K2527-M2527)+2*L2527+3*N2527</f>
        <v>38</v>
      </c>
      <c r="P2527" s="0" t="n">
        <f aca="true">RAND()</f>
        <v>0.479511110172072</v>
      </c>
      <c r="Q2527" s="0" t="n">
        <f aca="true">RAND()</f>
        <v>0.410931557774937</v>
      </c>
      <c r="R2527" s="0" t="n">
        <f aca="false">IF($I2527&lt;&gt;$O2527,0,IF(P2527&lt;Matchup!$B$39,7,IF(P2527&lt;Matchup!$B$39+Matchup!$B$40,3,0)))</f>
        <v>0</v>
      </c>
      <c r="S2527" s="0" t="n">
        <f aca="false">IF($I2527&lt;&gt;$O2527,0,IF(Q2527&lt;Matchup!$C$39,7,IF(Q2527&lt;Matchup!$C$39+Matchup!$C$40,3,0)))</f>
        <v>0</v>
      </c>
      <c r="T2527" s="0" t="n">
        <f aca="false">I2527+R2527</f>
        <v>31</v>
      </c>
      <c r="U2527" s="0" t="n">
        <f aca="false">O2527+S2527</f>
        <v>38</v>
      </c>
      <c r="V2527" s="0" t="n">
        <f aca="false">T2527-U2527</f>
        <v>-7</v>
      </c>
      <c r="W2527" s="0" t="n">
        <f aca="false">T2527+U2527</f>
        <v>69</v>
      </c>
    </row>
    <row r="2528" customFormat="false" ht="15" hidden="false" customHeight="false" outlineLevel="0" collapsed="false">
      <c r="A2528" s="0" t="n">
        <v>2525</v>
      </c>
      <c r="B2528" s="0" t="n">
        <f aca="true">NORMINV(RAND(),1,Coefficients!$B$22)</f>
        <v>1.00211313565697</v>
      </c>
      <c r="C2528" s="0" t="n">
        <f aca="true">MEDIAN(8,16,ROUND(NORMINV(RAND(),Coefficients!$B$20,Coefficients!$B$21),0))</f>
        <v>13</v>
      </c>
      <c r="D2528" s="0" t="n">
        <f aca="true">CRITBINOM($C2528,MIN(0.75,Matchup!$B$39*$B2528),RAND())</f>
        <v>3</v>
      </c>
      <c r="E2528" s="0" t="n">
        <f aca="true">CRITBINOM(D2528,Coefficients!$B$30,RAND())</f>
        <v>0</v>
      </c>
      <c r="F2528" s="0" t="n">
        <f aca="true">CRITBINOM(E2528,Coefficients!$B$31,RAND())</f>
        <v>0</v>
      </c>
      <c r="G2528" s="0" t="n">
        <f aca="true">CRITBINOM(MAX(0,D2528-E2528),1-Coefficients!$B$32,RAND())</f>
        <v>1</v>
      </c>
      <c r="H2528" s="0" t="n">
        <f aca="true">CRITBINOM(MAX(0,$C2528-D2528),MIN(0.6,Matchup!$B$40*SQRT($B2528)/(1-MIN(0.75,Matchup!$B$39*$B2528))),RAND())</f>
        <v>1</v>
      </c>
      <c r="I2528" s="0" t="n">
        <f aca="false">6*D2528+(D2528-E2528-G2528)+2*F2528+3*H2528</f>
        <v>23</v>
      </c>
      <c r="J2528" s="0" t="n">
        <f aca="true">CRITBINOM($C2528,MIN(0.75,Matchup!$C$39*$B2528),RAND())</f>
        <v>2</v>
      </c>
      <c r="K2528" s="0" t="n">
        <f aca="true">CRITBINOM(J2528,Coefficients!$B$30,RAND())</f>
        <v>0</v>
      </c>
      <c r="L2528" s="0" t="n">
        <f aca="true">CRITBINOM(K2528,Coefficients!$B$31,RAND())</f>
        <v>0</v>
      </c>
      <c r="M2528" s="0" t="n">
        <f aca="true">CRITBINOM(MAX(0,J2528-K2528),1-Coefficients!$B$32,RAND())</f>
        <v>0</v>
      </c>
      <c r="N2528" s="0" t="n">
        <f aca="true">CRITBINOM(MAX(0,$C2528-J2528),MIN(0.6,Matchup!$C$40*SQRT($B2528)/(1-MIN(0.75,Matchup!$C$39*$B2528))),RAND())</f>
        <v>1</v>
      </c>
      <c r="O2528" s="0" t="n">
        <f aca="false">6*J2528+(J2528-K2528-M2528)+2*L2528+3*N2528</f>
        <v>17</v>
      </c>
      <c r="P2528" s="0" t="n">
        <f aca="true">RAND()</f>
        <v>0.993903325274665</v>
      </c>
      <c r="Q2528" s="0" t="n">
        <f aca="true">RAND()</f>
        <v>0.405876179625203</v>
      </c>
      <c r="R2528" s="0" t="n">
        <f aca="false">IF($I2528&lt;&gt;$O2528,0,IF(P2528&lt;Matchup!$B$39,7,IF(P2528&lt;Matchup!$B$39+Matchup!$B$40,3,0)))</f>
        <v>0</v>
      </c>
      <c r="S2528" s="0" t="n">
        <f aca="false">IF($I2528&lt;&gt;$O2528,0,IF(Q2528&lt;Matchup!$C$39,7,IF(Q2528&lt;Matchup!$C$39+Matchup!$C$40,3,0)))</f>
        <v>0</v>
      </c>
      <c r="T2528" s="0" t="n">
        <f aca="false">I2528+R2528</f>
        <v>23</v>
      </c>
      <c r="U2528" s="0" t="n">
        <f aca="false">O2528+S2528</f>
        <v>17</v>
      </c>
      <c r="V2528" s="0" t="n">
        <f aca="false">T2528-U2528</f>
        <v>6</v>
      </c>
      <c r="W2528" s="0" t="n">
        <f aca="false">T2528+U2528</f>
        <v>40</v>
      </c>
    </row>
    <row r="2529" customFormat="false" ht="15" hidden="false" customHeight="false" outlineLevel="0" collapsed="false">
      <c r="A2529" s="0" t="n">
        <v>2526</v>
      </c>
      <c r="B2529" s="0" t="n">
        <f aca="true">NORMINV(RAND(),1,Coefficients!$B$22)</f>
        <v>1.0975955966803</v>
      </c>
      <c r="C2529" s="0" t="n">
        <f aca="true">MEDIAN(8,16,ROUND(NORMINV(RAND(),Coefficients!$B$20,Coefficients!$B$21),0))</f>
        <v>11</v>
      </c>
      <c r="D2529" s="0" t="n">
        <f aca="true">CRITBINOM($C2529,MIN(0.75,Matchup!$B$39*$B2529),RAND())</f>
        <v>2</v>
      </c>
      <c r="E2529" s="0" t="n">
        <f aca="true">CRITBINOM(D2529,Coefficients!$B$30,RAND())</f>
        <v>0</v>
      </c>
      <c r="F2529" s="0" t="n">
        <f aca="true">CRITBINOM(E2529,Coefficients!$B$31,RAND())</f>
        <v>0</v>
      </c>
      <c r="G2529" s="0" t="n">
        <f aca="true">CRITBINOM(MAX(0,D2529-E2529),1-Coefficients!$B$32,RAND())</f>
        <v>0</v>
      </c>
      <c r="H2529" s="0" t="n">
        <f aca="true">CRITBINOM(MAX(0,$C2529-D2529),MIN(0.6,Matchup!$B$40*SQRT($B2529)/(1-MIN(0.75,Matchup!$B$39*$B2529))),RAND())</f>
        <v>3</v>
      </c>
      <c r="I2529" s="0" t="n">
        <f aca="false">6*D2529+(D2529-E2529-G2529)+2*F2529+3*H2529</f>
        <v>23</v>
      </c>
      <c r="J2529" s="0" t="n">
        <f aca="true">CRITBINOM($C2529,MIN(0.75,Matchup!$C$39*$B2529),RAND())</f>
        <v>2</v>
      </c>
      <c r="K2529" s="0" t="n">
        <f aca="true">CRITBINOM(J2529,Coefficients!$B$30,RAND())</f>
        <v>0</v>
      </c>
      <c r="L2529" s="0" t="n">
        <f aca="true">CRITBINOM(K2529,Coefficients!$B$31,RAND())</f>
        <v>0</v>
      </c>
      <c r="M2529" s="0" t="n">
        <f aca="true">CRITBINOM(MAX(0,J2529-K2529),1-Coefficients!$B$32,RAND())</f>
        <v>0</v>
      </c>
      <c r="N2529" s="0" t="n">
        <f aca="true">CRITBINOM(MAX(0,$C2529-J2529),MIN(0.6,Matchup!$C$40*SQRT($B2529)/(1-MIN(0.75,Matchup!$C$39*$B2529))),RAND())</f>
        <v>1</v>
      </c>
      <c r="O2529" s="0" t="n">
        <f aca="false">6*J2529+(J2529-K2529-M2529)+2*L2529+3*N2529</f>
        <v>17</v>
      </c>
      <c r="P2529" s="0" t="n">
        <f aca="true">RAND()</f>
        <v>0.179090673582638</v>
      </c>
      <c r="Q2529" s="0" t="n">
        <f aca="true">RAND()</f>
        <v>0.748337681394068</v>
      </c>
      <c r="R2529" s="0" t="n">
        <f aca="false">IF($I2529&lt;&gt;$O2529,0,IF(P2529&lt;Matchup!$B$39,7,IF(P2529&lt;Matchup!$B$39+Matchup!$B$40,3,0)))</f>
        <v>0</v>
      </c>
      <c r="S2529" s="0" t="n">
        <f aca="false">IF($I2529&lt;&gt;$O2529,0,IF(Q2529&lt;Matchup!$C$39,7,IF(Q2529&lt;Matchup!$C$39+Matchup!$C$40,3,0)))</f>
        <v>0</v>
      </c>
      <c r="T2529" s="0" t="n">
        <f aca="false">I2529+R2529</f>
        <v>23</v>
      </c>
      <c r="U2529" s="0" t="n">
        <f aca="false">O2529+S2529</f>
        <v>17</v>
      </c>
      <c r="V2529" s="0" t="n">
        <f aca="false">T2529-U2529</f>
        <v>6</v>
      </c>
      <c r="W2529" s="0" t="n">
        <f aca="false">T2529+U2529</f>
        <v>40</v>
      </c>
    </row>
    <row r="2530" customFormat="false" ht="15" hidden="false" customHeight="false" outlineLevel="0" collapsed="false">
      <c r="A2530" s="0" t="n">
        <v>2527</v>
      </c>
      <c r="B2530" s="0" t="n">
        <f aca="true">NORMINV(RAND(),1,Coefficients!$B$22)</f>
        <v>0.954409686556759</v>
      </c>
      <c r="C2530" s="0" t="n">
        <f aca="true">MEDIAN(8,16,ROUND(NORMINV(RAND(),Coefficients!$B$20,Coefficients!$B$21),0))</f>
        <v>11</v>
      </c>
      <c r="D2530" s="0" t="n">
        <f aca="true">CRITBINOM($C2530,MIN(0.75,Matchup!$B$39*$B2530),RAND())</f>
        <v>1</v>
      </c>
      <c r="E2530" s="0" t="n">
        <f aca="true">CRITBINOM(D2530,Coefficients!$B$30,RAND())</f>
        <v>0</v>
      </c>
      <c r="F2530" s="0" t="n">
        <f aca="true">CRITBINOM(E2530,Coefficients!$B$31,RAND())</f>
        <v>0</v>
      </c>
      <c r="G2530" s="0" t="n">
        <f aca="true">CRITBINOM(MAX(0,D2530-E2530),1-Coefficients!$B$32,RAND())</f>
        <v>0</v>
      </c>
      <c r="H2530" s="0" t="n">
        <f aca="true">CRITBINOM(MAX(0,$C2530-D2530),MIN(0.6,Matchup!$B$40*SQRT($B2530)/(1-MIN(0.75,Matchup!$B$39*$B2530))),RAND())</f>
        <v>3</v>
      </c>
      <c r="I2530" s="0" t="n">
        <f aca="false">6*D2530+(D2530-E2530-G2530)+2*F2530+3*H2530</f>
        <v>16</v>
      </c>
      <c r="J2530" s="0" t="n">
        <f aca="true">CRITBINOM($C2530,MIN(0.75,Matchup!$C$39*$B2530),RAND())</f>
        <v>1</v>
      </c>
      <c r="K2530" s="0" t="n">
        <f aca="true">CRITBINOM(J2530,Coefficients!$B$30,RAND())</f>
        <v>1</v>
      </c>
      <c r="L2530" s="0" t="n">
        <f aca="true">CRITBINOM(K2530,Coefficients!$B$31,RAND())</f>
        <v>0</v>
      </c>
      <c r="M2530" s="0" t="n">
        <f aca="true">CRITBINOM(MAX(0,J2530-K2530),1-Coefficients!$B$32,RAND())</f>
        <v>0</v>
      </c>
      <c r="N2530" s="0" t="n">
        <f aca="true">CRITBINOM(MAX(0,$C2530-J2530),MIN(0.6,Matchup!$C$40*SQRT($B2530)/(1-MIN(0.75,Matchup!$C$39*$B2530))),RAND())</f>
        <v>0</v>
      </c>
      <c r="O2530" s="0" t="n">
        <f aca="false">6*J2530+(J2530-K2530-M2530)+2*L2530+3*N2530</f>
        <v>6</v>
      </c>
      <c r="P2530" s="0" t="n">
        <f aca="true">RAND()</f>
        <v>0.321224021425408</v>
      </c>
      <c r="Q2530" s="0" t="n">
        <f aca="true">RAND()</f>
        <v>0.235963616825354</v>
      </c>
      <c r="R2530" s="0" t="n">
        <f aca="false">IF($I2530&lt;&gt;$O2530,0,IF(P2530&lt;Matchup!$B$39,7,IF(P2530&lt;Matchup!$B$39+Matchup!$B$40,3,0)))</f>
        <v>0</v>
      </c>
      <c r="S2530" s="0" t="n">
        <f aca="false">IF($I2530&lt;&gt;$O2530,0,IF(Q2530&lt;Matchup!$C$39,7,IF(Q2530&lt;Matchup!$C$39+Matchup!$C$40,3,0)))</f>
        <v>0</v>
      </c>
      <c r="T2530" s="0" t="n">
        <f aca="false">I2530+R2530</f>
        <v>16</v>
      </c>
      <c r="U2530" s="0" t="n">
        <f aca="false">O2530+S2530</f>
        <v>6</v>
      </c>
      <c r="V2530" s="0" t="n">
        <f aca="false">T2530-U2530</f>
        <v>10</v>
      </c>
      <c r="W2530" s="0" t="n">
        <f aca="false">T2530+U2530</f>
        <v>22</v>
      </c>
    </row>
    <row r="2531" customFormat="false" ht="15" hidden="false" customHeight="false" outlineLevel="0" collapsed="false">
      <c r="A2531" s="0" t="n">
        <v>2528</v>
      </c>
      <c r="B2531" s="0" t="n">
        <f aca="true">NORMINV(RAND(),1,Coefficients!$B$22)</f>
        <v>1.08986426229825</v>
      </c>
      <c r="C2531" s="0" t="n">
        <f aca="true">MEDIAN(8,16,ROUND(NORMINV(RAND(),Coefficients!$B$20,Coefficients!$B$21),0))</f>
        <v>10</v>
      </c>
      <c r="D2531" s="0" t="n">
        <f aca="true">CRITBINOM($C2531,MIN(0.75,Matchup!$B$39*$B2531),RAND())</f>
        <v>2</v>
      </c>
      <c r="E2531" s="0" t="n">
        <f aca="true">CRITBINOM(D2531,Coefficients!$B$30,RAND())</f>
        <v>0</v>
      </c>
      <c r="F2531" s="0" t="n">
        <f aca="true">CRITBINOM(E2531,Coefficients!$B$31,RAND())</f>
        <v>0</v>
      </c>
      <c r="G2531" s="0" t="n">
        <f aca="true">CRITBINOM(MAX(0,D2531-E2531),1-Coefficients!$B$32,RAND())</f>
        <v>0</v>
      </c>
      <c r="H2531" s="0" t="n">
        <f aca="true">CRITBINOM(MAX(0,$C2531-D2531),MIN(0.6,Matchup!$B$40*SQRT($B2531)/(1-MIN(0.75,Matchup!$B$39*$B2531))),RAND())</f>
        <v>3</v>
      </c>
      <c r="I2531" s="0" t="n">
        <f aca="false">6*D2531+(D2531-E2531-G2531)+2*F2531+3*H2531</f>
        <v>23</v>
      </c>
      <c r="J2531" s="0" t="n">
        <f aca="true">CRITBINOM($C2531,MIN(0.75,Matchup!$C$39*$B2531),RAND())</f>
        <v>2</v>
      </c>
      <c r="K2531" s="0" t="n">
        <f aca="true">CRITBINOM(J2531,Coefficients!$B$30,RAND())</f>
        <v>0</v>
      </c>
      <c r="L2531" s="0" t="n">
        <f aca="true">CRITBINOM(K2531,Coefficients!$B$31,RAND())</f>
        <v>0</v>
      </c>
      <c r="M2531" s="0" t="n">
        <f aca="true">CRITBINOM(MAX(0,J2531-K2531),1-Coefficients!$B$32,RAND())</f>
        <v>0</v>
      </c>
      <c r="N2531" s="0" t="n">
        <f aca="true">CRITBINOM(MAX(0,$C2531-J2531),MIN(0.6,Matchup!$C$40*SQRT($B2531)/(1-MIN(0.75,Matchup!$C$39*$B2531))),RAND())</f>
        <v>0</v>
      </c>
      <c r="O2531" s="0" t="n">
        <f aca="false">6*J2531+(J2531-K2531-M2531)+2*L2531+3*N2531</f>
        <v>14</v>
      </c>
      <c r="P2531" s="0" t="n">
        <f aca="true">RAND()</f>
        <v>0.117257861814147</v>
      </c>
      <c r="Q2531" s="0" t="n">
        <f aca="true">RAND()</f>
        <v>0.188170558984645</v>
      </c>
      <c r="R2531" s="0" t="n">
        <f aca="false">IF($I2531&lt;&gt;$O2531,0,IF(P2531&lt;Matchup!$B$39,7,IF(P2531&lt;Matchup!$B$39+Matchup!$B$40,3,0)))</f>
        <v>0</v>
      </c>
      <c r="S2531" s="0" t="n">
        <f aca="false">IF($I2531&lt;&gt;$O2531,0,IF(Q2531&lt;Matchup!$C$39,7,IF(Q2531&lt;Matchup!$C$39+Matchup!$C$40,3,0)))</f>
        <v>0</v>
      </c>
      <c r="T2531" s="0" t="n">
        <f aca="false">I2531+R2531</f>
        <v>23</v>
      </c>
      <c r="U2531" s="0" t="n">
        <f aca="false">O2531+S2531</f>
        <v>14</v>
      </c>
      <c r="V2531" s="0" t="n">
        <f aca="false">T2531-U2531</f>
        <v>9</v>
      </c>
      <c r="W2531" s="0" t="n">
        <f aca="false">T2531+U2531</f>
        <v>37</v>
      </c>
    </row>
    <row r="2532" customFormat="false" ht="15" hidden="false" customHeight="false" outlineLevel="0" collapsed="false">
      <c r="A2532" s="0" t="n">
        <v>2529</v>
      </c>
      <c r="B2532" s="0" t="n">
        <f aca="true">NORMINV(RAND(),1,Coefficients!$B$22)</f>
        <v>0.972918468718135</v>
      </c>
      <c r="C2532" s="0" t="n">
        <f aca="true">MEDIAN(8,16,ROUND(NORMINV(RAND(),Coefficients!$B$20,Coefficients!$B$21),0))</f>
        <v>9</v>
      </c>
      <c r="D2532" s="0" t="n">
        <f aca="true">CRITBINOM($C2532,MIN(0.75,Matchup!$B$39*$B2532),RAND())</f>
        <v>1</v>
      </c>
      <c r="E2532" s="0" t="n">
        <f aca="true">CRITBINOM(D2532,Coefficients!$B$30,RAND())</f>
        <v>0</v>
      </c>
      <c r="F2532" s="0" t="n">
        <f aca="true">CRITBINOM(E2532,Coefficients!$B$31,RAND())</f>
        <v>0</v>
      </c>
      <c r="G2532" s="0" t="n">
        <f aca="true">CRITBINOM(MAX(0,D2532-E2532),1-Coefficients!$B$32,RAND())</f>
        <v>0</v>
      </c>
      <c r="H2532" s="0" t="n">
        <f aca="true">CRITBINOM(MAX(0,$C2532-D2532),MIN(0.6,Matchup!$B$40*SQRT($B2532)/(1-MIN(0.75,Matchup!$B$39*$B2532))),RAND())</f>
        <v>1</v>
      </c>
      <c r="I2532" s="0" t="n">
        <f aca="false">6*D2532+(D2532-E2532-G2532)+2*F2532+3*H2532</f>
        <v>10</v>
      </c>
      <c r="J2532" s="0" t="n">
        <f aca="true">CRITBINOM($C2532,MIN(0.75,Matchup!$C$39*$B2532),RAND())</f>
        <v>3</v>
      </c>
      <c r="K2532" s="0" t="n">
        <f aca="true">CRITBINOM(J2532,Coefficients!$B$30,RAND())</f>
        <v>0</v>
      </c>
      <c r="L2532" s="0" t="n">
        <f aca="true">CRITBINOM(K2532,Coefficients!$B$31,RAND())</f>
        <v>0</v>
      </c>
      <c r="M2532" s="0" t="n">
        <f aca="true">CRITBINOM(MAX(0,J2532-K2532),1-Coefficients!$B$32,RAND())</f>
        <v>1</v>
      </c>
      <c r="N2532" s="0" t="n">
        <f aca="true">CRITBINOM(MAX(0,$C2532-J2532),MIN(0.6,Matchup!$C$40*SQRT($B2532)/(1-MIN(0.75,Matchup!$C$39*$B2532))),RAND())</f>
        <v>1</v>
      </c>
      <c r="O2532" s="0" t="n">
        <f aca="false">6*J2532+(J2532-K2532-M2532)+2*L2532+3*N2532</f>
        <v>23</v>
      </c>
      <c r="P2532" s="0" t="n">
        <f aca="true">RAND()</f>
        <v>0.416278843095348</v>
      </c>
      <c r="Q2532" s="0" t="n">
        <f aca="true">RAND()</f>
        <v>0.939192380854028</v>
      </c>
      <c r="R2532" s="0" t="n">
        <f aca="false">IF($I2532&lt;&gt;$O2532,0,IF(P2532&lt;Matchup!$B$39,7,IF(P2532&lt;Matchup!$B$39+Matchup!$B$40,3,0)))</f>
        <v>0</v>
      </c>
      <c r="S2532" s="0" t="n">
        <f aca="false">IF($I2532&lt;&gt;$O2532,0,IF(Q2532&lt;Matchup!$C$39,7,IF(Q2532&lt;Matchup!$C$39+Matchup!$C$40,3,0)))</f>
        <v>0</v>
      </c>
      <c r="T2532" s="0" t="n">
        <f aca="false">I2532+R2532</f>
        <v>10</v>
      </c>
      <c r="U2532" s="0" t="n">
        <f aca="false">O2532+S2532</f>
        <v>23</v>
      </c>
      <c r="V2532" s="0" t="n">
        <f aca="false">T2532-U2532</f>
        <v>-13</v>
      </c>
      <c r="W2532" s="0" t="n">
        <f aca="false">T2532+U2532</f>
        <v>33</v>
      </c>
    </row>
    <row r="2533" customFormat="false" ht="15" hidden="false" customHeight="false" outlineLevel="0" collapsed="false">
      <c r="A2533" s="0" t="n">
        <v>2530</v>
      </c>
      <c r="B2533" s="0" t="n">
        <f aca="true">NORMINV(RAND(),1,Coefficients!$B$22)</f>
        <v>0.959712262909997</v>
      </c>
      <c r="C2533" s="0" t="n">
        <f aca="true">MEDIAN(8,16,ROUND(NORMINV(RAND(),Coefficients!$B$20,Coefficients!$B$21),0))</f>
        <v>10</v>
      </c>
      <c r="D2533" s="0" t="n">
        <f aca="true">CRITBINOM($C2533,MIN(0.75,Matchup!$B$39*$B2533),RAND())</f>
        <v>4</v>
      </c>
      <c r="E2533" s="0" t="n">
        <f aca="true">CRITBINOM(D2533,Coefficients!$B$30,RAND())</f>
        <v>0</v>
      </c>
      <c r="F2533" s="0" t="n">
        <f aca="true">CRITBINOM(E2533,Coefficients!$B$31,RAND())</f>
        <v>0</v>
      </c>
      <c r="G2533" s="0" t="n">
        <f aca="true">CRITBINOM(MAX(0,D2533-E2533),1-Coefficients!$B$32,RAND())</f>
        <v>0</v>
      </c>
      <c r="H2533" s="0" t="n">
        <f aca="true">CRITBINOM(MAX(0,$C2533-D2533),MIN(0.6,Matchup!$B$40*SQRT($B2533)/(1-MIN(0.75,Matchup!$B$39*$B2533))),RAND())</f>
        <v>1</v>
      </c>
      <c r="I2533" s="0" t="n">
        <f aca="false">6*D2533+(D2533-E2533-G2533)+2*F2533+3*H2533</f>
        <v>31</v>
      </c>
      <c r="J2533" s="0" t="n">
        <f aca="true">CRITBINOM($C2533,MIN(0.75,Matchup!$C$39*$B2533),RAND())</f>
        <v>6</v>
      </c>
      <c r="K2533" s="0" t="n">
        <f aca="true">CRITBINOM(J2533,Coefficients!$B$30,RAND())</f>
        <v>0</v>
      </c>
      <c r="L2533" s="0" t="n">
        <f aca="true">CRITBINOM(K2533,Coefficients!$B$31,RAND())</f>
        <v>0</v>
      </c>
      <c r="M2533" s="0" t="n">
        <f aca="true">CRITBINOM(MAX(0,J2533-K2533),1-Coefficients!$B$32,RAND())</f>
        <v>0</v>
      </c>
      <c r="N2533" s="0" t="n">
        <f aca="true">CRITBINOM(MAX(0,$C2533-J2533),MIN(0.6,Matchup!$C$40*SQRT($B2533)/(1-MIN(0.75,Matchup!$C$39*$B2533))),RAND())</f>
        <v>1</v>
      </c>
      <c r="O2533" s="0" t="n">
        <f aca="false">6*J2533+(J2533-K2533-M2533)+2*L2533+3*N2533</f>
        <v>45</v>
      </c>
      <c r="P2533" s="0" t="n">
        <f aca="true">RAND()</f>
        <v>0.320572928965656</v>
      </c>
      <c r="Q2533" s="0" t="n">
        <f aca="true">RAND()</f>
        <v>0.832650847663521</v>
      </c>
      <c r="R2533" s="0" t="n">
        <f aca="false">IF($I2533&lt;&gt;$O2533,0,IF(P2533&lt;Matchup!$B$39,7,IF(P2533&lt;Matchup!$B$39+Matchup!$B$40,3,0)))</f>
        <v>0</v>
      </c>
      <c r="S2533" s="0" t="n">
        <f aca="false">IF($I2533&lt;&gt;$O2533,0,IF(Q2533&lt;Matchup!$C$39,7,IF(Q2533&lt;Matchup!$C$39+Matchup!$C$40,3,0)))</f>
        <v>0</v>
      </c>
      <c r="T2533" s="0" t="n">
        <f aca="false">I2533+R2533</f>
        <v>31</v>
      </c>
      <c r="U2533" s="0" t="n">
        <f aca="false">O2533+S2533</f>
        <v>45</v>
      </c>
      <c r="V2533" s="0" t="n">
        <f aca="false">T2533-U2533</f>
        <v>-14</v>
      </c>
      <c r="W2533" s="0" t="n">
        <f aca="false">T2533+U2533</f>
        <v>76</v>
      </c>
    </row>
    <row r="2534" customFormat="false" ht="15" hidden="false" customHeight="false" outlineLevel="0" collapsed="false">
      <c r="A2534" s="0" t="n">
        <v>2531</v>
      </c>
      <c r="B2534" s="0" t="n">
        <f aca="true">NORMINV(RAND(),1,Coefficients!$B$22)</f>
        <v>1.13302531614277</v>
      </c>
      <c r="C2534" s="0" t="n">
        <f aca="true">MEDIAN(8,16,ROUND(NORMINV(RAND(),Coefficients!$B$20,Coefficients!$B$21),0))</f>
        <v>12</v>
      </c>
      <c r="D2534" s="0" t="n">
        <f aca="true">CRITBINOM($C2534,MIN(0.75,Matchup!$B$39*$B2534),RAND())</f>
        <v>4</v>
      </c>
      <c r="E2534" s="0" t="n">
        <f aca="true">CRITBINOM(D2534,Coefficients!$B$30,RAND())</f>
        <v>0</v>
      </c>
      <c r="F2534" s="0" t="n">
        <f aca="true">CRITBINOM(E2534,Coefficients!$B$31,RAND())</f>
        <v>0</v>
      </c>
      <c r="G2534" s="0" t="n">
        <f aca="true">CRITBINOM(MAX(0,D2534-E2534),1-Coefficients!$B$32,RAND())</f>
        <v>0</v>
      </c>
      <c r="H2534" s="0" t="n">
        <f aca="true">CRITBINOM(MAX(0,$C2534-D2534),MIN(0.6,Matchup!$B$40*SQRT($B2534)/(1-MIN(0.75,Matchup!$B$39*$B2534))),RAND())</f>
        <v>2</v>
      </c>
      <c r="I2534" s="0" t="n">
        <f aca="false">6*D2534+(D2534-E2534-G2534)+2*F2534+3*H2534</f>
        <v>34</v>
      </c>
      <c r="J2534" s="0" t="n">
        <f aca="true">CRITBINOM($C2534,MIN(0.75,Matchup!$C$39*$B2534),RAND())</f>
        <v>3</v>
      </c>
      <c r="K2534" s="0" t="n">
        <f aca="true">CRITBINOM(J2534,Coefficients!$B$30,RAND())</f>
        <v>0</v>
      </c>
      <c r="L2534" s="0" t="n">
        <f aca="true">CRITBINOM(K2534,Coefficients!$B$31,RAND())</f>
        <v>0</v>
      </c>
      <c r="M2534" s="0" t="n">
        <f aca="true">CRITBINOM(MAX(0,J2534-K2534),1-Coefficients!$B$32,RAND())</f>
        <v>0</v>
      </c>
      <c r="N2534" s="0" t="n">
        <f aca="true">CRITBINOM(MAX(0,$C2534-J2534),MIN(0.6,Matchup!$C$40*SQRT($B2534)/(1-MIN(0.75,Matchup!$C$39*$B2534))),RAND())</f>
        <v>1</v>
      </c>
      <c r="O2534" s="0" t="n">
        <f aca="false">6*J2534+(J2534-K2534-M2534)+2*L2534+3*N2534</f>
        <v>24</v>
      </c>
      <c r="P2534" s="0" t="n">
        <f aca="true">RAND()</f>
        <v>0.0416590574479143</v>
      </c>
      <c r="Q2534" s="0" t="n">
        <f aca="true">RAND()</f>
        <v>0.266136578702605</v>
      </c>
      <c r="R2534" s="0" t="n">
        <f aca="false">IF($I2534&lt;&gt;$O2534,0,IF(P2534&lt;Matchup!$B$39,7,IF(P2534&lt;Matchup!$B$39+Matchup!$B$40,3,0)))</f>
        <v>0</v>
      </c>
      <c r="S2534" s="0" t="n">
        <f aca="false">IF($I2534&lt;&gt;$O2534,0,IF(Q2534&lt;Matchup!$C$39,7,IF(Q2534&lt;Matchup!$C$39+Matchup!$C$40,3,0)))</f>
        <v>0</v>
      </c>
      <c r="T2534" s="0" t="n">
        <f aca="false">I2534+R2534</f>
        <v>34</v>
      </c>
      <c r="U2534" s="0" t="n">
        <f aca="false">O2534+S2534</f>
        <v>24</v>
      </c>
      <c r="V2534" s="0" t="n">
        <f aca="false">T2534-U2534</f>
        <v>10</v>
      </c>
      <c r="W2534" s="0" t="n">
        <f aca="false">T2534+U2534</f>
        <v>58</v>
      </c>
    </row>
    <row r="2535" customFormat="false" ht="15" hidden="false" customHeight="false" outlineLevel="0" collapsed="false">
      <c r="A2535" s="0" t="n">
        <v>2532</v>
      </c>
      <c r="B2535" s="0" t="n">
        <f aca="true">NORMINV(RAND(),1,Coefficients!$B$22)</f>
        <v>1.0100989241041</v>
      </c>
      <c r="C2535" s="0" t="n">
        <f aca="true">MEDIAN(8,16,ROUND(NORMINV(RAND(),Coefficients!$B$20,Coefficients!$B$21),0))</f>
        <v>14</v>
      </c>
      <c r="D2535" s="0" t="n">
        <f aca="true">CRITBINOM($C2535,MIN(0.75,Matchup!$B$39*$B2535),RAND())</f>
        <v>4</v>
      </c>
      <c r="E2535" s="0" t="n">
        <f aca="true">CRITBINOM(D2535,Coefficients!$B$30,RAND())</f>
        <v>0</v>
      </c>
      <c r="F2535" s="0" t="n">
        <f aca="true">CRITBINOM(E2535,Coefficients!$B$31,RAND())</f>
        <v>0</v>
      </c>
      <c r="G2535" s="0" t="n">
        <f aca="true">CRITBINOM(MAX(0,D2535-E2535),1-Coefficients!$B$32,RAND())</f>
        <v>0</v>
      </c>
      <c r="H2535" s="0" t="n">
        <f aca="true">CRITBINOM(MAX(0,$C2535-D2535),MIN(0.6,Matchup!$B$40*SQRT($B2535)/(1-MIN(0.75,Matchup!$B$39*$B2535))),RAND())</f>
        <v>2</v>
      </c>
      <c r="I2535" s="0" t="n">
        <f aca="false">6*D2535+(D2535-E2535-G2535)+2*F2535+3*H2535</f>
        <v>34</v>
      </c>
      <c r="J2535" s="0" t="n">
        <f aca="true">CRITBINOM($C2535,MIN(0.75,Matchup!$C$39*$B2535),RAND())</f>
        <v>2</v>
      </c>
      <c r="K2535" s="0" t="n">
        <f aca="true">CRITBINOM(J2535,Coefficients!$B$30,RAND())</f>
        <v>0</v>
      </c>
      <c r="L2535" s="0" t="n">
        <f aca="true">CRITBINOM(K2535,Coefficients!$B$31,RAND())</f>
        <v>0</v>
      </c>
      <c r="M2535" s="0" t="n">
        <f aca="true">CRITBINOM(MAX(0,J2535-K2535),1-Coefficients!$B$32,RAND())</f>
        <v>1</v>
      </c>
      <c r="N2535" s="0" t="n">
        <f aca="true">CRITBINOM(MAX(0,$C2535-J2535),MIN(0.6,Matchup!$C$40*SQRT($B2535)/(1-MIN(0.75,Matchup!$C$39*$B2535))),RAND())</f>
        <v>3</v>
      </c>
      <c r="O2535" s="0" t="n">
        <f aca="false">6*J2535+(J2535-K2535-M2535)+2*L2535+3*N2535</f>
        <v>22</v>
      </c>
      <c r="P2535" s="0" t="n">
        <f aca="true">RAND()</f>
        <v>0.257047754791259</v>
      </c>
      <c r="Q2535" s="0" t="n">
        <f aca="true">RAND()</f>
        <v>0.317310474311348</v>
      </c>
      <c r="R2535" s="0" t="n">
        <f aca="false">IF($I2535&lt;&gt;$O2535,0,IF(P2535&lt;Matchup!$B$39,7,IF(P2535&lt;Matchup!$B$39+Matchup!$B$40,3,0)))</f>
        <v>0</v>
      </c>
      <c r="S2535" s="0" t="n">
        <f aca="false">IF($I2535&lt;&gt;$O2535,0,IF(Q2535&lt;Matchup!$C$39,7,IF(Q2535&lt;Matchup!$C$39+Matchup!$C$40,3,0)))</f>
        <v>0</v>
      </c>
      <c r="T2535" s="0" t="n">
        <f aca="false">I2535+R2535</f>
        <v>34</v>
      </c>
      <c r="U2535" s="0" t="n">
        <f aca="false">O2535+S2535</f>
        <v>22</v>
      </c>
      <c r="V2535" s="0" t="n">
        <f aca="false">T2535-U2535</f>
        <v>12</v>
      </c>
      <c r="W2535" s="0" t="n">
        <f aca="false">T2535+U2535</f>
        <v>56</v>
      </c>
    </row>
    <row r="2536" customFormat="false" ht="15" hidden="false" customHeight="false" outlineLevel="0" collapsed="false">
      <c r="A2536" s="0" t="n">
        <v>2533</v>
      </c>
      <c r="B2536" s="0" t="n">
        <f aca="true">NORMINV(RAND(),1,Coefficients!$B$22)</f>
        <v>1.05327185803596</v>
      </c>
      <c r="C2536" s="0" t="n">
        <f aca="true">MEDIAN(8,16,ROUND(NORMINV(RAND(),Coefficients!$B$20,Coefficients!$B$21),0))</f>
        <v>12</v>
      </c>
      <c r="D2536" s="0" t="n">
        <f aca="true">CRITBINOM($C2536,MIN(0.75,Matchup!$B$39*$B2536),RAND())</f>
        <v>5</v>
      </c>
      <c r="E2536" s="0" t="n">
        <f aca="true">CRITBINOM(D2536,Coefficients!$B$30,RAND())</f>
        <v>0</v>
      </c>
      <c r="F2536" s="0" t="n">
        <f aca="true">CRITBINOM(E2536,Coefficients!$B$31,RAND())</f>
        <v>0</v>
      </c>
      <c r="G2536" s="0" t="n">
        <f aca="true">CRITBINOM(MAX(0,D2536-E2536),1-Coefficients!$B$32,RAND())</f>
        <v>0</v>
      </c>
      <c r="H2536" s="0" t="n">
        <f aca="true">CRITBINOM(MAX(0,$C2536-D2536),MIN(0.6,Matchup!$B$40*SQRT($B2536)/(1-MIN(0.75,Matchup!$B$39*$B2536))),RAND())</f>
        <v>1</v>
      </c>
      <c r="I2536" s="0" t="n">
        <f aca="false">6*D2536+(D2536-E2536-G2536)+2*F2536+3*H2536</f>
        <v>38</v>
      </c>
      <c r="J2536" s="0" t="n">
        <f aca="true">CRITBINOM($C2536,MIN(0.75,Matchup!$C$39*$B2536),RAND())</f>
        <v>4</v>
      </c>
      <c r="K2536" s="0" t="n">
        <f aca="true">CRITBINOM(J2536,Coefficients!$B$30,RAND())</f>
        <v>0</v>
      </c>
      <c r="L2536" s="0" t="n">
        <f aca="true">CRITBINOM(K2536,Coefficients!$B$31,RAND())</f>
        <v>0</v>
      </c>
      <c r="M2536" s="0" t="n">
        <f aca="true">CRITBINOM(MAX(0,J2536-K2536),1-Coefficients!$B$32,RAND())</f>
        <v>0</v>
      </c>
      <c r="N2536" s="0" t="n">
        <f aca="true">CRITBINOM(MAX(0,$C2536-J2536),MIN(0.6,Matchup!$C$40*SQRT($B2536)/(1-MIN(0.75,Matchup!$C$39*$B2536))),RAND())</f>
        <v>2</v>
      </c>
      <c r="O2536" s="0" t="n">
        <f aca="false">6*J2536+(J2536-K2536-M2536)+2*L2536+3*N2536</f>
        <v>34</v>
      </c>
      <c r="P2536" s="0" t="n">
        <f aca="true">RAND()</f>
        <v>0.796140939876473</v>
      </c>
      <c r="Q2536" s="0" t="n">
        <f aca="true">RAND()</f>
        <v>0.222777695708028</v>
      </c>
      <c r="R2536" s="0" t="n">
        <f aca="false">IF($I2536&lt;&gt;$O2536,0,IF(P2536&lt;Matchup!$B$39,7,IF(P2536&lt;Matchup!$B$39+Matchup!$B$40,3,0)))</f>
        <v>0</v>
      </c>
      <c r="S2536" s="0" t="n">
        <f aca="false">IF($I2536&lt;&gt;$O2536,0,IF(Q2536&lt;Matchup!$C$39,7,IF(Q2536&lt;Matchup!$C$39+Matchup!$C$40,3,0)))</f>
        <v>0</v>
      </c>
      <c r="T2536" s="0" t="n">
        <f aca="false">I2536+R2536</f>
        <v>38</v>
      </c>
      <c r="U2536" s="0" t="n">
        <f aca="false">O2536+S2536</f>
        <v>34</v>
      </c>
      <c r="V2536" s="0" t="n">
        <f aca="false">T2536-U2536</f>
        <v>4</v>
      </c>
      <c r="W2536" s="0" t="n">
        <f aca="false">T2536+U2536</f>
        <v>72</v>
      </c>
    </row>
    <row r="2537" customFormat="false" ht="15" hidden="false" customHeight="false" outlineLevel="0" collapsed="false">
      <c r="A2537" s="0" t="n">
        <v>2534</v>
      </c>
      <c r="B2537" s="0" t="n">
        <f aca="true">NORMINV(RAND(),1,Coefficients!$B$22)</f>
        <v>1.01896150146919</v>
      </c>
      <c r="C2537" s="0" t="n">
        <f aca="true">MEDIAN(8,16,ROUND(NORMINV(RAND(),Coefficients!$B$20,Coefficients!$B$21),0))</f>
        <v>13</v>
      </c>
      <c r="D2537" s="0" t="n">
        <f aca="true">CRITBINOM($C2537,MIN(0.75,Matchup!$B$39*$B2537),RAND())</f>
        <v>1</v>
      </c>
      <c r="E2537" s="0" t="n">
        <f aca="true">CRITBINOM(D2537,Coefficients!$B$30,RAND())</f>
        <v>0</v>
      </c>
      <c r="F2537" s="0" t="n">
        <f aca="true">CRITBINOM(E2537,Coefficients!$B$31,RAND())</f>
        <v>0</v>
      </c>
      <c r="G2537" s="0" t="n">
        <f aca="true">CRITBINOM(MAX(0,D2537-E2537),1-Coefficients!$B$32,RAND())</f>
        <v>0</v>
      </c>
      <c r="H2537" s="0" t="n">
        <f aca="true">CRITBINOM(MAX(0,$C2537-D2537),MIN(0.6,Matchup!$B$40*SQRT($B2537)/(1-MIN(0.75,Matchup!$B$39*$B2537))),RAND())</f>
        <v>3</v>
      </c>
      <c r="I2537" s="0" t="n">
        <f aca="false">6*D2537+(D2537-E2537-G2537)+2*F2537+3*H2537</f>
        <v>16</v>
      </c>
      <c r="J2537" s="0" t="n">
        <f aca="true">CRITBINOM($C2537,MIN(0.75,Matchup!$C$39*$B2537),RAND())</f>
        <v>2</v>
      </c>
      <c r="K2537" s="0" t="n">
        <f aca="true">CRITBINOM(J2537,Coefficients!$B$30,RAND())</f>
        <v>1</v>
      </c>
      <c r="L2537" s="0" t="n">
        <f aca="true">CRITBINOM(K2537,Coefficients!$B$31,RAND())</f>
        <v>0</v>
      </c>
      <c r="M2537" s="0" t="n">
        <f aca="true">CRITBINOM(MAX(0,J2537-K2537),1-Coefficients!$B$32,RAND())</f>
        <v>0</v>
      </c>
      <c r="N2537" s="0" t="n">
        <f aca="true">CRITBINOM(MAX(0,$C2537-J2537),MIN(0.6,Matchup!$C$40*SQRT($B2537)/(1-MIN(0.75,Matchup!$C$39*$B2537))),RAND())</f>
        <v>0</v>
      </c>
      <c r="O2537" s="0" t="n">
        <f aca="false">6*J2537+(J2537-K2537-M2537)+2*L2537+3*N2537</f>
        <v>13</v>
      </c>
      <c r="P2537" s="0" t="n">
        <f aca="true">RAND()</f>
        <v>0.091372539445197</v>
      </c>
      <c r="Q2537" s="0" t="n">
        <f aca="true">RAND()</f>
        <v>0.131583681188686</v>
      </c>
      <c r="R2537" s="0" t="n">
        <f aca="false">IF($I2537&lt;&gt;$O2537,0,IF(P2537&lt;Matchup!$B$39,7,IF(P2537&lt;Matchup!$B$39+Matchup!$B$40,3,0)))</f>
        <v>0</v>
      </c>
      <c r="S2537" s="0" t="n">
        <f aca="false">IF($I2537&lt;&gt;$O2537,0,IF(Q2537&lt;Matchup!$C$39,7,IF(Q2537&lt;Matchup!$C$39+Matchup!$C$40,3,0)))</f>
        <v>0</v>
      </c>
      <c r="T2537" s="0" t="n">
        <f aca="false">I2537+R2537</f>
        <v>16</v>
      </c>
      <c r="U2537" s="0" t="n">
        <f aca="false">O2537+S2537</f>
        <v>13</v>
      </c>
      <c r="V2537" s="0" t="n">
        <f aca="false">T2537-U2537</f>
        <v>3</v>
      </c>
      <c r="W2537" s="0" t="n">
        <f aca="false">T2537+U2537</f>
        <v>29</v>
      </c>
    </row>
    <row r="2538" customFormat="false" ht="15" hidden="false" customHeight="false" outlineLevel="0" collapsed="false">
      <c r="A2538" s="0" t="n">
        <v>2535</v>
      </c>
      <c r="B2538" s="0" t="n">
        <f aca="true">NORMINV(RAND(),1,Coefficients!$B$22)</f>
        <v>0.95044115925045</v>
      </c>
      <c r="C2538" s="0" t="n">
        <f aca="true">MEDIAN(8,16,ROUND(NORMINV(RAND(),Coefficients!$B$20,Coefficients!$B$21),0))</f>
        <v>14</v>
      </c>
      <c r="D2538" s="0" t="n">
        <f aca="true">CRITBINOM($C2538,MIN(0.75,Matchup!$B$39*$B2538),RAND())</f>
        <v>2</v>
      </c>
      <c r="E2538" s="0" t="n">
        <f aca="true">CRITBINOM(D2538,Coefficients!$B$30,RAND())</f>
        <v>0</v>
      </c>
      <c r="F2538" s="0" t="n">
        <f aca="true">CRITBINOM(E2538,Coefficients!$B$31,RAND())</f>
        <v>0</v>
      </c>
      <c r="G2538" s="0" t="n">
        <f aca="true">CRITBINOM(MAX(0,D2538-E2538),1-Coefficients!$B$32,RAND())</f>
        <v>0</v>
      </c>
      <c r="H2538" s="0" t="n">
        <f aca="true">CRITBINOM(MAX(0,$C2538-D2538),MIN(0.6,Matchup!$B$40*SQRT($B2538)/(1-MIN(0.75,Matchup!$B$39*$B2538))),RAND())</f>
        <v>2</v>
      </c>
      <c r="I2538" s="0" t="n">
        <f aca="false">6*D2538+(D2538-E2538-G2538)+2*F2538+3*H2538</f>
        <v>20</v>
      </c>
      <c r="J2538" s="0" t="n">
        <f aca="true">CRITBINOM($C2538,MIN(0.75,Matchup!$C$39*$B2538),RAND())</f>
        <v>5</v>
      </c>
      <c r="K2538" s="0" t="n">
        <f aca="true">CRITBINOM(J2538,Coefficients!$B$30,RAND())</f>
        <v>1</v>
      </c>
      <c r="L2538" s="0" t="n">
        <f aca="true">CRITBINOM(K2538,Coefficients!$B$31,RAND())</f>
        <v>1</v>
      </c>
      <c r="M2538" s="0" t="n">
        <f aca="true">CRITBINOM(MAX(0,J2538-K2538),1-Coefficients!$B$32,RAND())</f>
        <v>0</v>
      </c>
      <c r="N2538" s="0" t="n">
        <f aca="true">CRITBINOM(MAX(0,$C2538-J2538),MIN(0.6,Matchup!$C$40*SQRT($B2538)/(1-MIN(0.75,Matchup!$C$39*$B2538))),RAND())</f>
        <v>1</v>
      </c>
      <c r="O2538" s="0" t="n">
        <f aca="false">6*J2538+(J2538-K2538-M2538)+2*L2538+3*N2538</f>
        <v>39</v>
      </c>
      <c r="P2538" s="0" t="n">
        <f aca="true">RAND()</f>
        <v>0.526263402359376</v>
      </c>
      <c r="Q2538" s="0" t="n">
        <f aca="true">RAND()</f>
        <v>0.891414807125397</v>
      </c>
      <c r="R2538" s="0" t="n">
        <f aca="false">IF($I2538&lt;&gt;$O2538,0,IF(P2538&lt;Matchup!$B$39,7,IF(P2538&lt;Matchup!$B$39+Matchup!$B$40,3,0)))</f>
        <v>0</v>
      </c>
      <c r="S2538" s="0" t="n">
        <f aca="false">IF($I2538&lt;&gt;$O2538,0,IF(Q2538&lt;Matchup!$C$39,7,IF(Q2538&lt;Matchup!$C$39+Matchup!$C$40,3,0)))</f>
        <v>0</v>
      </c>
      <c r="T2538" s="0" t="n">
        <f aca="false">I2538+R2538</f>
        <v>20</v>
      </c>
      <c r="U2538" s="0" t="n">
        <f aca="false">O2538+S2538</f>
        <v>39</v>
      </c>
      <c r="V2538" s="0" t="n">
        <f aca="false">T2538-U2538</f>
        <v>-19</v>
      </c>
      <c r="W2538" s="0" t="n">
        <f aca="false">T2538+U2538</f>
        <v>59</v>
      </c>
    </row>
    <row r="2539" customFormat="false" ht="15" hidden="false" customHeight="false" outlineLevel="0" collapsed="false">
      <c r="A2539" s="0" t="n">
        <v>2536</v>
      </c>
      <c r="B2539" s="0" t="n">
        <f aca="true">NORMINV(RAND(),1,Coefficients!$B$22)</f>
        <v>0.989529561548642</v>
      </c>
      <c r="C2539" s="0" t="n">
        <f aca="true">MEDIAN(8,16,ROUND(NORMINV(RAND(),Coefficients!$B$20,Coefficients!$B$21),0))</f>
        <v>11</v>
      </c>
      <c r="D2539" s="0" t="n">
        <f aca="true">CRITBINOM($C2539,MIN(0.75,Matchup!$B$39*$B2539),RAND())</f>
        <v>1</v>
      </c>
      <c r="E2539" s="0" t="n">
        <f aca="true">CRITBINOM(D2539,Coefficients!$B$30,RAND())</f>
        <v>0</v>
      </c>
      <c r="F2539" s="0" t="n">
        <f aca="true">CRITBINOM(E2539,Coefficients!$B$31,RAND())</f>
        <v>0</v>
      </c>
      <c r="G2539" s="0" t="n">
        <f aca="true">CRITBINOM(MAX(0,D2539-E2539),1-Coefficients!$B$32,RAND())</f>
        <v>0</v>
      </c>
      <c r="H2539" s="0" t="n">
        <f aca="true">CRITBINOM(MAX(0,$C2539-D2539),MIN(0.6,Matchup!$B$40*SQRT($B2539)/(1-MIN(0.75,Matchup!$B$39*$B2539))),RAND())</f>
        <v>4</v>
      </c>
      <c r="I2539" s="0" t="n">
        <f aca="false">6*D2539+(D2539-E2539-G2539)+2*F2539+3*H2539</f>
        <v>19</v>
      </c>
      <c r="J2539" s="0" t="n">
        <f aca="true">CRITBINOM($C2539,MIN(0.75,Matchup!$C$39*$B2539),RAND())</f>
        <v>3</v>
      </c>
      <c r="K2539" s="0" t="n">
        <f aca="true">CRITBINOM(J2539,Coefficients!$B$30,RAND())</f>
        <v>0</v>
      </c>
      <c r="L2539" s="0" t="n">
        <f aca="true">CRITBINOM(K2539,Coefficients!$B$31,RAND())</f>
        <v>0</v>
      </c>
      <c r="M2539" s="0" t="n">
        <f aca="true">CRITBINOM(MAX(0,J2539-K2539),1-Coefficients!$B$32,RAND())</f>
        <v>0</v>
      </c>
      <c r="N2539" s="0" t="n">
        <f aca="true">CRITBINOM(MAX(0,$C2539-J2539),MIN(0.6,Matchup!$C$40*SQRT($B2539)/(1-MIN(0.75,Matchup!$C$39*$B2539))),RAND())</f>
        <v>3</v>
      </c>
      <c r="O2539" s="0" t="n">
        <f aca="false">6*J2539+(J2539-K2539-M2539)+2*L2539+3*N2539</f>
        <v>30</v>
      </c>
      <c r="P2539" s="0" t="n">
        <f aca="true">RAND()</f>
        <v>0.766587535975885</v>
      </c>
      <c r="Q2539" s="0" t="n">
        <f aca="true">RAND()</f>
        <v>0.733322664458459</v>
      </c>
      <c r="R2539" s="0" t="n">
        <f aca="false">IF($I2539&lt;&gt;$O2539,0,IF(P2539&lt;Matchup!$B$39,7,IF(P2539&lt;Matchup!$B$39+Matchup!$B$40,3,0)))</f>
        <v>0</v>
      </c>
      <c r="S2539" s="0" t="n">
        <f aca="false">IF($I2539&lt;&gt;$O2539,0,IF(Q2539&lt;Matchup!$C$39,7,IF(Q2539&lt;Matchup!$C$39+Matchup!$C$40,3,0)))</f>
        <v>0</v>
      </c>
      <c r="T2539" s="0" t="n">
        <f aca="false">I2539+R2539</f>
        <v>19</v>
      </c>
      <c r="U2539" s="0" t="n">
        <f aca="false">O2539+S2539</f>
        <v>30</v>
      </c>
      <c r="V2539" s="0" t="n">
        <f aca="false">T2539-U2539</f>
        <v>-11</v>
      </c>
      <c r="W2539" s="0" t="n">
        <f aca="false">T2539+U2539</f>
        <v>49</v>
      </c>
    </row>
    <row r="2540" customFormat="false" ht="15" hidden="false" customHeight="false" outlineLevel="0" collapsed="false">
      <c r="A2540" s="0" t="n">
        <v>2537</v>
      </c>
      <c r="B2540" s="0" t="n">
        <f aca="true">NORMINV(RAND(),1,Coefficients!$B$22)</f>
        <v>0.981516593209804</v>
      </c>
      <c r="C2540" s="0" t="n">
        <f aca="true">MEDIAN(8,16,ROUND(NORMINV(RAND(),Coefficients!$B$20,Coefficients!$B$21),0))</f>
        <v>11</v>
      </c>
      <c r="D2540" s="0" t="n">
        <f aca="true">CRITBINOM($C2540,MIN(0.75,Matchup!$B$39*$B2540),RAND())</f>
        <v>2</v>
      </c>
      <c r="E2540" s="0" t="n">
        <f aca="true">CRITBINOM(D2540,Coefficients!$B$30,RAND())</f>
        <v>0</v>
      </c>
      <c r="F2540" s="0" t="n">
        <f aca="true">CRITBINOM(E2540,Coefficients!$B$31,RAND())</f>
        <v>0</v>
      </c>
      <c r="G2540" s="0" t="n">
        <f aca="true">CRITBINOM(MAX(0,D2540-E2540),1-Coefficients!$B$32,RAND())</f>
        <v>0</v>
      </c>
      <c r="H2540" s="0" t="n">
        <f aca="true">CRITBINOM(MAX(0,$C2540-D2540),MIN(0.6,Matchup!$B$40*SQRT($B2540)/(1-MIN(0.75,Matchup!$B$39*$B2540))),RAND())</f>
        <v>1</v>
      </c>
      <c r="I2540" s="0" t="n">
        <f aca="false">6*D2540+(D2540-E2540-G2540)+2*F2540+3*H2540</f>
        <v>17</v>
      </c>
      <c r="J2540" s="0" t="n">
        <f aca="true">CRITBINOM($C2540,MIN(0.75,Matchup!$C$39*$B2540),RAND())</f>
        <v>0</v>
      </c>
      <c r="K2540" s="0" t="n">
        <f aca="true">CRITBINOM(J2540,Coefficients!$B$30,RAND())</f>
        <v>0</v>
      </c>
      <c r="L2540" s="0" t="n">
        <f aca="true">CRITBINOM(K2540,Coefficients!$B$31,RAND())</f>
        <v>0</v>
      </c>
      <c r="M2540" s="0" t="n">
        <f aca="true">CRITBINOM(MAX(0,J2540-K2540),1-Coefficients!$B$32,RAND())</f>
        <v>0</v>
      </c>
      <c r="N2540" s="0" t="n">
        <f aca="true">CRITBINOM(MAX(0,$C2540-J2540),MIN(0.6,Matchup!$C$40*SQRT($B2540)/(1-MIN(0.75,Matchup!$C$39*$B2540))),RAND())</f>
        <v>1</v>
      </c>
      <c r="O2540" s="0" t="n">
        <f aca="false">6*J2540+(J2540-K2540-M2540)+2*L2540+3*N2540</f>
        <v>3</v>
      </c>
      <c r="P2540" s="0" t="n">
        <f aca="true">RAND()</f>
        <v>0.0853804107937391</v>
      </c>
      <c r="Q2540" s="0" t="n">
        <f aca="true">RAND()</f>
        <v>0.522376697087253</v>
      </c>
      <c r="R2540" s="0" t="n">
        <f aca="false">IF($I2540&lt;&gt;$O2540,0,IF(P2540&lt;Matchup!$B$39,7,IF(P2540&lt;Matchup!$B$39+Matchup!$B$40,3,0)))</f>
        <v>0</v>
      </c>
      <c r="S2540" s="0" t="n">
        <f aca="false">IF($I2540&lt;&gt;$O2540,0,IF(Q2540&lt;Matchup!$C$39,7,IF(Q2540&lt;Matchup!$C$39+Matchup!$C$40,3,0)))</f>
        <v>0</v>
      </c>
      <c r="T2540" s="0" t="n">
        <f aca="false">I2540+R2540</f>
        <v>17</v>
      </c>
      <c r="U2540" s="0" t="n">
        <f aca="false">O2540+S2540</f>
        <v>3</v>
      </c>
      <c r="V2540" s="0" t="n">
        <f aca="false">T2540-U2540</f>
        <v>14</v>
      </c>
      <c r="W2540" s="0" t="n">
        <f aca="false">T2540+U2540</f>
        <v>20</v>
      </c>
    </row>
    <row r="2541" customFormat="false" ht="15" hidden="false" customHeight="false" outlineLevel="0" collapsed="false">
      <c r="A2541" s="0" t="n">
        <v>2538</v>
      </c>
      <c r="B2541" s="0" t="n">
        <f aca="true">NORMINV(RAND(),1,Coefficients!$B$22)</f>
        <v>1.02859628531781</v>
      </c>
      <c r="C2541" s="0" t="n">
        <f aca="true">MEDIAN(8,16,ROUND(NORMINV(RAND(),Coefficients!$B$20,Coefficients!$B$21),0))</f>
        <v>12</v>
      </c>
      <c r="D2541" s="0" t="n">
        <f aca="true">CRITBINOM($C2541,MIN(0.75,Matchup!$B$39*$B2541),RAND())</f>
        <v>5</v>
      </c>
      <c r="E2541" s="0" t="n">
        <f aca="true">CRITBINOM(D2541,Coefficients!$B$30,RAND())</f>
        <v>0</v>
      </c>
      <c r="F2541" s="0" t="n">
        <f aca="true">CRITBINOM(E2541,Coefficients!$B$31,RAND())</f>
        <v>0</v>
      </c>
      <c r="G2541" s="0" t="n">
        <f aca="true">CRITBINOM(MAX(0,D2541-E2541),1-Coefficients!$B$32,RAND())</f>
        <v>0</v>
      </c>
      <c r="H2541" s="0" t="n">
        <f aca="true">CRITBINOM(MAX(0,$C2541-D2541),MIN(0.6,Matchup!$B$40*SQRT($B2541)/(1-MIN(0.75,Matchup!$B$39*$B2541))),RAND())</f>
        <v>3</v>
      </c>
      <c r="I2541" s="0" t="n">
        <f aca="false">6*D2541+(D2541-E2541-G2541)+2*F2541+3*H2541</f>
        <v>44</v>
      </c>
      <c r="J2541" s="0" t="n">
        <f aca="true">CRITBINOM($C2541,MIN(0.75,Matchup!$C$39*$B2541),RAND())</f>
        <v>4</v>
      </c>
      <c r="K2541" s="0" t="n">
        <f aca="true">CRITBINOM(J2541,Coefficients!$B$30,RAND())</f>
        <v>2</v>
      </c>
      <c r="L2541" s="0" t="n">
        <f aca="true">CRITBINOM(K2541,Coefficients!$B$31,RAND())</f>
        <v>2</v>
      </c>
      <c r="M2541" s="0" t="n">
        <f aca="true">CRITBINOM(MAX(0,J2541-K2541),1-Coefficients!$B$32,RAND())</f>
        <v>0</v>
      </c>
      <c r="N2541" s="0" t="n">
        <f aca="true">CRITBINOM(MAX(0,$C2541-J2541),MIN(0.6,Matchup!$C$40*SQRT($B2541)/(1-MIN(0.75,Matchup!$C$39*$B2541))),RAND())</f>
        <v>0</v>
      </c>
      <c r="O2541" s="0" t="n">
        <f aca="false">6*J2541+(J2541-K2541-M2541)+2*L2541+3*N2541</f>
        <v>30</v>
      </c>
      <c r="P2541" s="0" t="n">
        <f aca="true">RAND()</f>
        <v>0.0624649178857614</v>
      </c>
      <c r="Q2541" s="0" t="n">
        <f aca="true">RAND()</f>
        <v>0.113283143465703</v>
      </c>
      <c r="R2541" s="0" t="n">
        <f aca="false">IF($I2541&lt;&gt;$O2541,0,IF(P2541&lt;Matchup!$B$39,7,IF(P2541&lt;Matchup!$B$39+Matchup!$B$40,3,0)))</f>
        <v>0</v>
      </c>
      <c r="S2541" s="0" t="n">
        <f aca="false">IF($I2541&lt;&gt;$O2541,0,IF(Q2541&lt;Matchup!$C$39,7,IF(Q2541&lt;Matchup!$C$39+Matchup!$C$40,3,0)))</f>
        <v>0</v>
      </c>
      <c r="T2541" s="0" t="n">
        <f aca="false">I2541+R2541</f>
        <v>44</v>
      </c>
      <c r="U2541" s="0" t="n">
        <f aca="false">O2541+S2541</f>
        <v>30</v>
      </c>
      <c r="V2541" s="0" t="n">
        <f aca="false">T2541-U2541</f>
        <v>14</v>
      </c>
      <c r="W2541" s="0" t="n">
        <f aca="false">T2541+U2541</f>
        <v>74</v>
      </c>
    </row>
    <row r="2542" customFormat="false" ht="15" hidden="false" customHeight="false" outlineLevel="0" collapsed="false">
      <c r="A2542" s="0" t="n">
        <v>2539</v>
      </c>
      <c r="B2542" s="0" t="n">
        <f aca="true">NORMINV(RAND(),1,Coefficients!$B$22)</f>
        <v>1.02754483421946</v>
      </c>
      <c r="C2542" s="0" t="n">
        <f aca="true">MEDIAN(8,16,ROUND(NORMINV(RAND(),Coefficients!$B$20,Coefficients!$B$21),0))</f>
        <v>11</v>
      </c>
      <c r="D2542" s="0" t="n">
        <f aca="true">CRITBINOM($C2542,MIN(0.75,Matchup!$B$39*$B2542),RAND())</f>
        <v>4</v>
      </c>
      <c r="E2542" s="0" t="n">
        <f aca="true">CRITBINOM(D2542,Coefficients!$B$30,RAND())</f>
        <v>0</v>
      </c>
      <c r="F2542" s="0" t="n">
        <f aca="true">CRITBINOM(E2542,Coefficients!$B$31,RAND())</f>
        <v>0</v>
      </c>
      <c r="G2542" s="0" t="n">
        <f aca="true">CRITBINOM(MAX(0,D2542-E2542),1-Coefficients!$B$32,RAND())</f>
        <v>0</v>
      </c>
      <c r="H2542" s="0" t="n">
        <f aca="true">CRITBINOM(MAX(0,$C2542-D2542),MIN(0.6,Matchup!$B$40*SQRT($B2542)/(1-MIN(0.75,Matchup!$B$39*$B2542))),RAND())</f>
        <v>2</v>
      </c>
      <c r="I2542" s="0" t="n">
        <f aca="false">6*D2542+(D2542-E2542-G2542)+2*F2542+3*H2542</f>
        <v>34</v>
      </c>
      <c r="J2542" s="0" t="n">
        <f aca="true">CRITBINOM($C2542,MIN(0.75,Matchup!$C$39*$B2542),RAND())</f>
        <v>3</v>
      </c>
      <c r="K2542" s="0" t="n">
        <f aca="true">CRITBINOM(J2542,Coefficients!$B$30,RAND())</f>
        <v>0</v>
      </c>
      <c r="L2542" s="0" t="n">
        <f aca="true">CRITBINOM(K2542,Coefficients!$B$31,RAND())</f>
        <v>0</v>
      </c>
      <c r="M2542" s="0" t="n">
        <f aca="true">CRITBINOM(MAX(0,J2542-K2542),1-Coefficients!$B$32,RAND())</f>
        <v>0</v>
      </c>
      <c r="N2542" s="0" t="n">
        <f aca="true">CRITBINOM(MAX(0,$C2542-J2542),MIN(0.6,Matchup!$C$40*SQRT($B2542)/(1-MIN(0.75,Matchup!$C$39*$B2542))),RAND())</f>
        <v>1</v>
      </c>
      <c r="O2542" s="0" t="n">
        <f aca="false">6*J2542+(J2542-K2542-M2542)+2*L2542+3*N2542</f>
        <v>24</v>
      </c>
      <c r="P2542" s="0" t="n">
        <f aca="true">RAND()</f>
        <v>0.276022848289032</v>
      </c>
      <c r="Q2542" s="0" t="n">
        <f aca="true">RAND()</f>
        <v>0.117587114120096</v>
      </c>
      <c r="R2542" s="0" t="n">
        <f aca="false">IF($I2542&lt;&gt;$O2542,0,IF(P2542&lt;Matchup!$B$39,7,IF(P2542&lt;Matchup!$B$39+Matchup!$B$40,3,0)))</f>
        <v>0</v>
      </c>
      <c r="S2542" s="0" t="n">
        <f aca="false">IF($I2542&lt;&gt;$O2542,0,IF(Q2542&lt;Matchup!$C$39,7,IF(Q2542&lt;Matchup!$C$39+Matchup!$C$40,3,0)))</f>
        <v>0</v>
      </c>
      <c r="T2542" s="0" t="n">
        <f aca="false">I2542+R2542</f>
        <v>34</v>
      </c>
      <c r="U2542" s="0" t="n">
        <f aca="false">O2542+S2542</f>
        <v>24</v>
      </c>
      <c r="V2542" s="0" t="n">
        <f aca="false">T2542-U2542</f>
        <v>10</v>
      </c>
      <c r="W2542" s="0" t="n">
        <f aca="false">T2542+U2542</f>
        <v>58</v>
      </c>
    </row>
    <row r="2543" customFormat="false" ht="15" hidden="false" customHeight="false" outlineLevel="0" collapsed="false">
      <c r="A2543" s="0" t="n">
        <v>2540</v>
      </c>
      <c r="B2543" s="0" t="n">
        <f aca="true">NORMINV(RAND(),1,Coefficients!$B$22)</f>
        <v>0.984187026558627</v>
      </c>
      <c r="C2543" s="0" t="n">
        <f aca="true">MEDIAN(8,16,ROUND(NORMINV(RAND(),Coefficients!$B$20,Coefficients!$B$21),0))</f>
        <v>11</v>
      </c>
      <c r="D2543" s="0" t="n">
        <f aca="true">CRITBINOM($C2543,MIN(0.75,Matchup!$B$39*$B2543),RAND())</f>
        <v>3</v>
      </c>
      <c r="E2543" s="0" t="n">
        <f aca="true">CRITBINOM(D2543,Coefficients!$B$30,RAND())</f>
        <v>0</v>
      </c>
      <c r="F2543" s="0" t="n">
        <f aca="true">CRITBINOM(E2543,Coefficients!$B$31,RAND())</f>
        <v>0</v>
      </c>
      <c r="G2543" s="0" t="n">
        <f aca="true">CRITBINOM(MAX(0,D2543-E2543),1-Coefficients!$B$32,RAND())</f>
        <v>0</v>
      </c>
      <c r="H2543" s="0" t="n">
        <f aca="true">CRITBINOM(MAX(0,$C2543-D2543),MIN(0.6,Matchup!$B$40*SQRT($B2543)/(1-MIN(0.75,Matchup!$B$39*$B2543))),RAND())</f>
        <v>2</v>
      </c>
      <c r="I2543" s="0" t="n">
        <f aca="false">6*D2543+(D2543-E2543-G2543)+2*F2543+3*H2543</f>
        <v>27</v>
      </c>
      <c r="J2543" s="0" t="n">
        <f aca="true">CRITBINOM($C2543,MIN(0.75,Matchup!$C$39*$B2543),RAND())</f>
        <v>2</v>
      </c>
      <c r="K2543" s="0" t="n">
        <f aca="true">CRITBINOM(J2543,Coefficients!$B$30,RAND())</f>
        <v>0</v>
      </c>
      <c r="L2543" s="0" t="n">
        <f aca="true">CRITBINOM(K2543,Coefficients!$B$31,RAND())</f>
        <v>0</v>
      </c>
      <c r="M2543" s="0" t="n">
        <f aca="true">CRITBINOM(MAX(0,J2543-K2543),1-Coefficients!$B$32,RAND())</f>
        <v>0</v>
      </c>
      <c r="N2543" s="0" t="n">
        <f aca="true">CRITBINOM(MAX(0,$C2543-J2543),MIN(0.6,Matchup!$C$40*SQRT($B2543)/(1-MIN(0.75,Matchup!$C$39*$B2543))),RAND())</f>
        <v>3</v>
      </c>
      <c r="O2543" s="0" t="n">
        <f aca="false">6*J2543+(J2543-K2543-M2543)+2*L2543+3*N2543</f>
        <v>23</v>
      </c>
      <c r="P2543" s="0" t="n">
        <f aca="true">RAND()</f>
        <v>0.248797011523784</v>
      </c>
      <c r="Q2543" s="0" t="n">
        <f aca="true">RAND()</f>
        <v>0.151994523959368</v>
      </c>
      <c r="R2543" s="0" t="n">
        <f aca="false">IF($I2543&lt;&gt;$O2543,0,IF(P2543&lt;Matchup!$B$39,7,IF(P2543&lt;Matchup!$B$39+Matchup!$B$40,3,0)))</f>
        <v>0</v>
      </c>
      <c r="S2543" s="0" t="n">
        <f aca="false">IF($I2543&lt;&gt;$O2543,0,IF(Q2543&lt;Matchup!$C$39,7,IF(Q2543&lt;Matchup!$C$39+Matchup!$C$40,3,0)))</f>
        <v>0</v>
      </c>
      <c r="T2543" s="0" t="n">
        <f aca="false">I2543+R2543</f>
        <v>27</v>
      </c>
      <c r="U2543" s="0" t="n">
        <f aca="false">O2543+S2543</f>
        <v>23</v>
      </c>
      <c r="V2543" s="0" t="n">
        <f aca="false">T2543-U2543</f>
        <v>4</v>
      </c>
      <c r="W2543" s="0" t="n">
        <f aca="false">T2543+U2543</f>
        <v>50</v>
      </c>
    </row>
    <row r="2544" customFormat="false" ht="15" hidden="false" customHeight="false" outlineLevel="0" collapsed="false">
      <c r="A2544" s="0" t="n">
        <v>2541</v>
      </c>
      <c r="B2544" s="0" t="n">
        <f aca="true">NORMINV(RAND(),1,Coefficients!$B$22)</f>
        <v>0.999588741015591</v>
      </c>
      <c r="C2544" s="0" t="n">
        <f aca="true">MEDIAN(8,16,ROUND(NORMINV(RAND(),Coefficients!$B$20,Coefficients!$B$21),0))</f>
        <v>12</v>
      </c>
      <c r="D2544" s="0" t="n">
        <f aca="true">CRITBINOM($C2544,MIN(0.75,Matchup!$B$39*$B2544),RAND())</f>
        <v>6</v>
      </c>
      <c r="E2544" s="0" t="n">
        <f aca="true">CRITBINOM(D2544,Coefficients!$B$30,RAND())</f>
        <v>0</v>
      </c>
      <c r="F2544" s="0" t="n">
        <f aca="true">CRITBINOM(E2544,Coefficients!$B$31,RAND())</f>
        <v>0</v>
      </c>
      <c r="G2544" s="0" t="n">
        <f aca="true">CRITBINOM(MAX(0,D2544-E2544),1-Coefficients!$B$32,RAND())</f>
        <v>0</v>
      </c>
      <c r="H2544" s="0" t="n">
        <f aca="true">CRITBINOM(MAX(0,$C2544-D2544),MIN(0.6,Matchup!$B$40*SQRT($B2544)/(1-MIN(0.75,Matchup!$B$39*$B2544))),RAND())</f>
        <v>1</v>
      </c>
      <c r="I2544" s="0" t="n">
        <f aca="false">6*D2544+(D2544-E2544-G2544)+2*F2544+3*H2544</f>
        <v>45</v>
      </c>
      <c r="J2544" s="0" t="n">
        <f aca="true">CRITBINOM($C2544,MIN(0.75,Matchup!$C$39*$B2544),RAND())</f>
        <v>3</v>
      </c>
      <c r="K2544" s="0" t="n">
        <f aca="true">CRITBINOM(J2544,Coefficients!$B$30,RAND())</f>
        <v>0</v>
      </c>
      <c r="L2544" s="0" t="n">
        <f aca="true">CRITBINOM(K2544,Coefficients!$B$31,RAND())</f>
        <v>0</v>
      </c>
      <c r="M2544" s="0" t="n">
        <f aca="true">CRITBINOM(MAX(0,J2544-K2544),1-Coefficients!$B$32,RAND())</f>
        <v>0</v>
      </c>
      <c r="N2544" s="0" t="n">
        <f aca="true">CRITBINOM(MAX(0,$C2544-J2544),MIN(0.6,Matchup!$C$40*SQRT($B2544)/(1-MIN(0.75,Matchup!$C$39*$B2544))),RAND())</f>
        <v>1</v>
      </c>
      <c r="O2544" s="0" t="n">
        <f aca="false">6*J2544+(J2544-K2544-M2544)+2*L2544+3*N2544</f>
        <v>24</v>
      </c>
      <c r="P2544" s="0" t="n">
        <f aca="true">RAND()</f>
        <v>0.892575842123161</v>
      </c>
      <c r="Q2544" s="0" t="n">
        <f aca="true">RAND()</f>
        <v>0.738273734803644</v>
      </c>
      <c r="R2544" s="0" t="n">
        <f aca="false">IF($I2544&lt;&gt;$O2544,0,IF(P2544&lt;Matchup!$B$39,7,IF(P2544&lt;Matchup!$B$39+Matchup!$B$40,3,0)))</f>
        <v>0</v>
      </c>
      <c r="S2544" s="0" t="n">
        <f aca="false">IF($I2544&lt;&gt;$O2544,0,IF(Q2544&lt;Matchup!$C$39,7,IF(Q2544&lt;Matchup!$C$39+Matchup!$C$40,3,0)))</f>
        <v>0</v>
      </c>
      <c r="T2544" s="0" t="n">
        <f aca="false">I2544+R2544</f>
        <v>45</v>
      </c>
      <c r="U2544" s="0" t="n">
        <f aca="false">O2544+S2544</f>
        <v>24</v>
      </c>
      <c r="V2544" s="0" t="n">
        <f aca="false">T2544-U2544</f>
        <v>21</v>
      </c>
      <c r="W2544" s="0" t="n">
        <f aca="false">T2544+U2544</f>
        <v>69</v>
      </c>
    </row>
    <row r="2545" customFormat="false" ht="15" hidden="false" customHeight="false" outlineLevel="0" collapsed="false">
      <c r="A2545" s="0" t="n">
        <v>2542</v>
      </c>
      <c r="B2545" s="0" t="n">
        <f aca="true">NORMINV(RAND(),1,Coefficients!$B$22)</f>
        <v>1.05503317936236</v>
      </c>
      <c r="C2545" s="0" t="n">
        <f aca="true">MEDIAN(8,16,ROUND(NORMINV(RAND(),Coefficients!$B$20,Coefficients!$B$21),0))</f>
        <v>10</v>
      </c>
      <c r="D2545" s="0" t="n">
        <f aca="true">CRITBINOM($C2545,MIN(0.75,Matchup!$B$39*$B2545),RAND())</f>
        <v>2</v>
      </c>
      <c r="E2545" s="0" t="n">
        <f aca="true">CRITBINOM(D2545,Coefficients!$B$30,RAND())</f>
        <v>0</v>
      </c>
      <c r="F2545" s="0" t="n">
        <f aca="true">CRITBINOM(E2545,Coefficients!$B$31,RAND())</f>
        <v>0</v>
      </c>
      <c r="G2545" s="0" t="n">
        <f aca="true">CRITBINOM(MAX(0,D2545-E2545),1-Coefficients!$B$32,RAND())</f>
        <v>0</v>
      </c>
      <c r="H2545" s="0" t="n">
        <f aca="true">CRITBINOM(MAX(0,$C2545-D2545),MIN(0.6,Matchup!$B$40*SQRT($B2545)/(1-MIN(0.75,Matchup!$B$39*$B2545))),RAND())</f>
        <v>2</v>
      </c>
      <c r="I2545" s="0" t="n">
        <f aca="false">6*D2545+(D2545-E2545-G2545)+2*F2545+3*H2545</f>
        <v>20</v>
      </c>
      <c r="J2545" s="0" t="n">
        <f aca="true">CRITBINOM($C2545,MIN(0.75,Matchup!$C$39*$B2545),RAND())</f>
        <v>1</v>
      </c>
      <c r="K2545" s="0" t="n">
        <f aca="true">CRITBINOM(J2545,Coefficients!$B$30,RAND())</f>
        <v>0</v>
      </c>
      <c r="L2545" s="0" t="n">
        <f aca="true">CRITBINOM(K2545,Coefficients!$B$31,RAND())</f>
        <v>0</v>
      </c>
      <c r="M2545" s="0" t="n">
        <f aca="true">CRITBINOM(MAX(0,J2545-K2545),1-Coefficients!$B$32,RAND())</f>
        <v>0</v>
      </c>
      <c r="N2545" s="0" t="n">
        <f aca="true">CRITBINOM(MAX(0,$C2545-J2545),MIN(0.6,Matchup!$C$40*SQRT($B2545)/(1-MIN(0.75,Matchup!$C$39*$B2545))),RAND())</f>
        <v>5</v>
      </c>
      <c r="O2545" s="0" t="n">
        <f aca="false">6*J2545+(J2545-K2545-M2545)+2*L2545+3*N2545</f>
        <v>22</v>
      </c>
      <c r="P2545" s="0" t="n">
        <f aca="true">RAND()</f>
        <v>0.668177522594715</v>
      </c>
      <c r="Q2545" s="0" t="n">
        <f aca="true">RAND()</f>
        <v>0.954086660072731</v>
      </c>
      <c r="R2545" s="0" t="n">
        <f aca="false">IF($I2545&lt;&gt;$O2545,0,IF(P2545&lt;Matchup!$B$39,7,IF(P2545&lt;Matchup!$B$39+Matchup!$B$40,3,0)))</f>
        <v>0</v>
      </c>
      <c r="S2545" s="0" t="n">
        <f aca="false">IF($I2545&lt;&gt;$O2545,0,IF(Q2545&lt;Matchup!$C$39,7,IF(Q2545&lt;Matchup!$C$39+Matchup!$C$40,3,0)))</f>
        <v>0</v>
      </c>
      <c r="T2545" s="0" t="n">
        <f aca="false">I2545+R2545</f>
        <v>20</v>
      </c>
      <c r="U2545" s="0" t="n">
        <f aca="false">O2545+S2545</f>
        <v>22</v>
      </c>
      <c r="V2545" s="0" t="n">
        <f aca="false">T2545-U2545</f>
        <v>-2</v>
      </c>
      <c r="W2545" s="0" t="n">
        <f aca="false">T2545+U2545</f>
        <v>42</v>
      </c>
    </row>
    <row r="2546" customFormat="false" ht="15" hidden="false" customHeight="false" outlineLevel="0" collapsed="false">
      <c r="A2546" s="0" t="n">
        <v>2543</v>
      </c>
      <c r="B2546" s="0" t="n">
        <f aca="true">NORMINV(RAND(),1,Coefficients!$B$22)</f>
        <v>0.898088360502336</v>
      </c>
      <c r="C2546" s="0" t="n">
        <f aca="true">MEDIAN(8,16,ROUND(NORMINV(RAND(),Coefficients!$B$20,Coefficients!$B$21),0))</f>
        <v>11</v>
      </c>
      <c r="D2546" s="0" t="n">
        <f aca="true">CRITBINOM($C2546,MIN(0.75,Matchup!$B$39*$B2546),RAND())</f>
        <v>4</v>
      </c>
      <c r="E2546" s="0" t="n">
        <f aca="true">CRITBINOM(D2546,Coefficients!$B$30,RAND())</f>
        <v>1</v>
      </c>
      <c r="F2546" s="0" t="n">
        <f aca="true">CRITBINOM(E2546,Coefficients!$B$31,RAND())</f>
        <v>1</v>
      </c>
      <c r="G2546" s="0" t="n">
        <f aca="true">CRITBINOM(MAX(0,D2546-E2546),1-Coefficients!$B$32,RAND())</f>
        <v>0</v>
      </c>
      <c r="H2546" s="0" t="n">
        <f aca="true">CRITBINOM(MAX(0,$C2546-D2546),MIN(0.6,Matchup!$B$40*SQRT($B2546)/(1-MIN(0.75,Matchup!$B$39*$B2546))),RAND())</f>
        <v>1</v>
      </c>
      <c r="I2546" s="0" t="n">
        <f aca="false">6*D2546+(D2546-E2546-G2546)+2*F2546+3*H2546</f>
        <v>32</v>
      </c>
      <c r="J2546" s="0" t="n">
        <f aca="true">CRITBINOM($C2546,MIN(0.75,Matchup!$C$39*$B2546),RAND())</f>
        <v>4</v>
      </c>
      <c r="K2546" s="0" t="n">
        <f aca="true">CRITBINOM(J2546,Coefficients!$B$30,RAND())</f>
        <v>2</v>
      </c>
      <c r="L2546" s="0" t="n">
        <f aca="true">CRITBINOM(K2546,Coefficients!$B$31,RAND())</f>
        <v>0</v>
      </c>
      <c r="M2546" s="0" t="n">
        <f aca="true">CRITBINOM(MAX(0,J2546-K2546),1-Coefficients!$B$32,RAND())</f>
        <v>0</v>
      </c>
      <c r="N2546" s="0" t="n">
        <f aca="true">CRITBINOM(MAX(0,$C2546-J2546),MIN(0.6,Matchup!$C$40*SQRT($B2546)/(1-MIN(0.75,Matchup!$C$39*$B2546))),RAND())</f>
        <v>2</v>
      </c>
      <c r="O2546" s="0" t="n">
        <f aca="false">6*J2546+(J2546-K2546-M2546)+2*L2546+3*N2546</f>
        <v>32</v>
      </c>
      <c r="P2546" s="0" t="n">
        <f aca="true">RAND()</f>
        <v>0.38950675592457</v>
      </c>
      <c r="Q2546" s="0" t="n">
        <f aca="true">RAND()</f>
        <v>0.755654732232095</v>
      </c>
      <c r="R2546" s="0" t="n">
        <f aca="false">IF($I2546&lt;&gt;$O2546,0,IF(P2546&lt;Matchup!$B$39,7,IF(P2546&lt;Matchup!$B$39+Matchup!$B$40,3,0)))</f>
        <v>3</v>
      </c>
      <c r="S2546" s="0" t="n">
        <f aca="false">IF($I2546&lt;&gt;$O2546,0,IF(Q2546&lt;Matchup!$C$39,7,IF(Q2546&lt;Matchup!$C$39+Matchup!$C$40,3,0)))</f>
        <v>0</v>
      </c>
      <c r="T2546" s="0" t="n">
        <f aca="false">I2546+R2546</f>
        <v>35</v>
      </c>
      <c r="U2546" s="0" t="n">
        <f aca="false">O2546+S2546</f>
        <v>32</v>
      </c>
      <c r="V2546" s="0" t="n">
        <f aca="false">T2546-U2546</f>
        <v>3</v>
      </c>
      <c r="W2546" s="0" t="n">
        <f aca="false">T2546+U2546</f>
        <v>67</v>
      </c>
    </row>
    <row r="2547" customFormat="false" ht="15" hidden="false" customHeight="false" outlineLevel="0" collapsed="false">
      <c r="A2547" s="0" t="n">
        <v>2544</v>
      </c>
      <c r="B2547" s="0" t="n">
        <f aca="true">NORMINV(RAND(),1,Coefficients!$B$22)</f>
        <v>1.03119801289878</v>
      </c>
      <c r="C2547" s="0" t="n">
        <f aca="true">MEDIAN(8,16,ROUND(NORMINV(RAND(),Coefficients!$B$20,Coefficients!$B$21),0))</f>
        <v>10</v>
      </c>
      <c r="D2547" s="0" t="n">
        <f aca="true">CRITBINOM($C2547,MIN(0.75,Matchup!$B$39*$B2547),RAND())</f>
        <v>3</v>
      </c>
      <c r="E2547" s="0" t="n">
        <f aca="true">CRITBINOM(D2547,Coefficients!$B$30,RAND())</f>
        <v>0</v>
      </c>
      <c r="F2547" s="0" t="n">
        <f aca="true">CRITBINOM(E2547,Coefficients!$B$31,RAND())</f>
        <v>0</v>
      </c>
      <c r="G2547" s="0" t="n">
        <f aca="true">CRITBINOM(MAX(0,D2547-E2547),1-Coefficients!$B$32,RAND())</f>
        <v>0</v>
      </c>
      <c r="H2547" s="0" t="n">
        <f aca="true">CRITBINOM(MAX(0,$C2547-D2547),MIN(0.6,Matchup!$B$40*SQRT($B2547)/(1-MIN(0.75,Matchup!$B$39*$B2547))),RAND())</f>
        <v>2</v>
      </c>
      <c r="I2547" s="0" t="n">
        <f aca="false">6*D2547+(D2547-E2547-G2547)+2*F2547+3*H2547</f>
        <v>27</v>
      </c>
      <c r="J2547" s="0" t="n">
        <f aca="true">CRITBINOM($C2547,MIN(0.75,Matchup!$C$39*$B2547),RAND())</f>
        <v>4</v>
      </c>
      <c r="K2547" s="0" t="n">
        <f aca="true">CRITBINOM(J2547,Coefficients!$B$30,RAND())</f>
        <v>0</v>
      </c>
      <c r="L2547" s="0" t="n">
        <f aca="true">CRITBINOM(K2547,Coefficients!$B$31,RAND())</f>
        <v>0</v>
      </c>
      <c r="M2547" s="0" t="n">
        <f aca="true">CRITBINOM(MAX(0,J2547-K2547),1-Coefficients!$B$32,RAND())</f>
        <v>0</v>
      </c>
      <c r="N2547" s="0" t="n">
        <f aca="true">CRITBINOM(MAX(0,$C2547-J2547),MIN(0.6,Matchup!$C$40*SQRT($B2547)/(1-MIN(0.75,Matchup!$C$39*$B2547))),RAND())</f>
        <v>1</v>
      </c>
      <c r="O2547" s="0" t="n">
        <f aca="false">6*J2547+(J2547-K2547-M2547)+2*L2547+3*N2547</f>
        <v>31</v>
      </c>
      <c r="P2547" s="0" t="n">
        <f aca="true">RAND()</f>
        <v>0.521466233716326</v>
      </c>
      <c r="Q2547" s="0" t="n">
        <f aca="true">RAND()</f>
        <v>0.479855552436329</v>
      </c>
      <c r="R2547" s="0" t="n">
        <f aca="false">IF($I2547&lt;&gt;$O2547,0,IF(P2547&lt;Matchup!$B$39,7,IF(P2547&lt;Matchup!$B$39+Matchup!$B$40,3,0)))</f>
        <v>0</v>
      </c>
      <c r="S2547" s="0" t="n">
        <f aca="false">IF($I2547&lt;&gt;$O2547,0,IF(Q2547&lt;Matchup!$C$39,7,IF(Q2547&lt;Matchup!$C$39+Matchup!$C$40,3,0)))</f>
        <v>0</v>
      </c>
      <c r="T2547" s="0" t="n">
        <f aca="false">I2547+R2547</f>
        <v>27</v>
      </c>
      <c r="U2547" s="0" t="n">
        <f aca="false">O2547+S2547</f>
        <v>31</v>
      </c>
      <c r="V2547" s="0" t="n">
        <f aca="false">T2547-U2547</f>
        <v>-4</v>
      </c>
      <c r="W2547" s="0" t="n">
        <f aca="false">T2547+U2547</f>
        <v>58</v>
      </c>
    </row>
    <row r="2548" customFormat="false" ht="15" hidden="false" customHeight="false" outlineLevel="0" collapsed="false">
      <c r="A2548" s="0" t="n">
        <v>2545</v>
      </c>
      <c r="B2548" s="0" t="n">
        <f aca="true">NORMINV(RAND(),1,Coefficients!$B$22)</f>
        <v>1.0916405567282</v>
      </c>
      <c r="C2548" s="0" t="n">
        <f aca="true">MEDIAN(8,16,ROUND(NORMINV(RAND(),Coefficients!$B$20,Coefficients!$B$21),0))</f>
        <v>9</v>
      </c>
      <c r="D2548" s="0" t="n">
        <f aca="true">CRITBINOM($C2548,MIN(0.75,Matchup!$B$39*$B2548),RAND())</f>
        <v>2</v>
      </c>
      <c r="E2548" s="0" t="n">
        <f aca="true">CRITBINOM(D2548,Coefficients!$B$30,RAND())</f>
        <v>0</v>
      </c>
      <c r="F2548" s="0" t="n">
        <f aca="true">CRITBINOM(E2548,Coefficients!$B$31,RAND())</f>
        <v>0</v>
      </c>
      <c r="G2548" s="0" t="n">
        <f aca="true">CRITBINOM(MAX(0,D2548-E2548),1-Coefficients!$B$32,RAND())</f>
        <v>0</v>
      </c>
      <c r="H2548" s="0" t="n">
        <f aca="true">CRITBINOM(MAX(0,$C2548-D2548),MIN(0.6,Matchup!$B$40*SQRT($B2548)/(1-MIN(0.75,Matchup!$B$39*$B2548))),RAND())</f>
        <v>3</v>
      </c>
      <c r="I2548" s="0" t="n">
        <f aca="false">6*D2548+(D2548-E2548-G2548)+2*F2548+3*H2548</f>
        <v>23</v>
      </c>
      <c r="J2548" s="0" t="n">
        <f aca="true">CRITBINOM($C2548,MIN(0.75,Matchup!$C$39*$B2548),RAND())</f>
        <v>1</v>
      </c>
      <c r="K2548" s="0" t="n">
        <f aca="true">CRITBINOM(J2548,Coefficients!$B$30,RAND())</f>
        <v>0</v>
      </c>
      <c r="L2548" s="0" t="n">
        <f aca="true">CRITBINOM(K2548,Coefficients!$B$31,RAND())</f>
        <v>0</v>
      </c>
      <c r="M2548" s="0" t="n">
        <f aca="true">CRITBINOM(MAX(0,J2548-K2548),1-Coefficients!$B$32,RAND())</f>
        <v>0</v>
      </c>
      <c r="N2548" s="0" t="n">
        <f aca="true">CRITBINOM(MAX(0,$C2548-J2548),MIN(0.6,Matchup!$C$40*SQRT($B2548)/(1-MIN(0.75,Matchup!$C$39*$B2548))),RAND())</f>
        <v>0</v>
      </c>
      <c r="O2548" s="0" t="n">
        <f aca="false">6*J2548+(J2548-K2548-M2548)+2*L2548+3*N2548</f>
        <v>7</v>
      </c>
      <c r="P2548" s="0" t="n">
        <f aca="true">RAND()</f>
        <v>0.943458015044076</v>
      </c>
      <c r="Q2548" s="0" t="n">
        <f aca="true">RAND()</f>
        <v>0.571229333449142</v>
      </c>
      <c r="R2548" s="0" t="n">
        <f aca="false">IF($I2548&lt;&gt;$O2548,0,IF(P2548&lt;Matchup!$B$39,7,IF(P2548&lt;Matchup!$B$39+Matchup!$B$40,3,0)))</f>
        <v>0</v>
      </c>
      <c r="S2548" s="0" t="n">
        <f aca="false">IF($I2548&lt;&gt;$O2548,0,IF(Q2548&lt;Matchup!$C$39,7,IF(Q2548&lt;Matchup!$C$39+Matchup!$C$40,3,0)))</f>
        <v>0</v>
      </c>
      <c r="T2548" s="0" t="n">
        <f aca="false">I2548+R2548</f>
        <v>23</v>
      </c>
      <c r="U2548" s="0" t="n">
        <f aca="false">O2548+S2548</f>
        <v>7</v>
      </c>
      <c r="V2548" s="0" t="n">
        <f aca="false">T2548-U2548</f>
        <v>16</v>
      </c>
      <c r="W2548" s="0" t="n">
        <f aca="false">T2548+U2548</f>
        <v>30</v>
      </c>
    </row>
    <row r="2549" customFormat="false" ht="15" hidden="false" customHeight="false" outlineLevel="0" collapsed="false">
      <c r="A2549" s="0" t="n">
        <v>2546</v>
      </c>
      <c r="B2549" s="0" t="n">
        <f aca="true">NORMINV(RAND(),1,Coefficients!$B$22)</f>
        <v>0.849761907995983</v>
      </c>
      <c r="C2549" s="0" t="n">
        <f aca="true">MEDIAN(8,16,ROUND(NORMINV(RAND(),Coefficients!$B$20,Coefficients!$B$21),0))</f>
        <v>10</v>
      </c>
      <c r="D2549" s="0" t="n">
        <f aca="true">CRITBINOM($C2549,MIN(0.75,Matchup!$B$39*$B2549),RAND())</f>
        <v>3</v>
      </c>
      <c r="E2549" s="0" t="n">
        <f aca="true">CRITBINOM(D2549,Coefficients!$B$30,RAND())</f>
        <v>0</v>
      </c>
      <c r="F2549" s="0" t="n">
        <f aca="true">CRITBINOM(E2549,Coefficients!$B$31,RAND())</f>
        <v>0</v>
      </c>
      <c r="G2549" s="0" t="n">
        <f aca="true">CRITBINOM(MAX(0,D2549-E2549),1-Coefficients!$B$32,RAND())</f>
        <v>0</v>
      </c>
      <c r="H2549" s="0" t="n">
        <f aca="true">CRITBINOM(MAX(0,$C2549-D2549),MIN(0.6,Matchup!$B$40*SQRT($B2549)/(1-MIN(0.75,Matchup!$B$39*$B2549))),RAND())</f>
        <v>1</v>
      </c>
      <c r="I2549" s="0" t="n">
        <f aca="false">6*D2549+(D2549-E2549-G2549)+2*F2549+3*H2549</f>
        <v>24</v>
      </c>
      <c r="J2549" s="0" t="n">
        <f aca="true">CRITBINOM($C2549,MIN(0.75,Matchup!$C$39*$B2549),RAND())</f>
        <v>1</v>
      </c>
      <c r="K2549" s="0" t="n">
        <f aca="true">CRITBINOM(J2549,Coefficients!$B$30,RAND())</f>
        <v>0</v>
      </c>
      <c r="L2549" s="0" t="n">
        <f aca="true">CRITBINOM(K2549,Coefficients!$B$31,RAND())</f>
        <v>0</v>
      </c>
      <c r="M2549" s="0" t="n">
        <f aca="true">CRITBINOM(MAX(0,J2549-K2549),1-Coefficients!$B$32,RAND())</f>
        <v>0</v>
      </c>
      <c r="N2549" s="0" t="n">
        <f aca="true">CRITBINOM(MAX(0,$C2549-J2549),MIN(0.6,Matchup!$C$40*SQRT($B2549)/(1-MIN(0.75,Matchup!$C$39*$B2549))),RAND())</f>
        <v>1</v>
      </c>
      <c r="O2549" s="0" t="n">
        <f aca="false">6*J2549+(J2549-K2549-M2549)+2*L2549+3*N2549</f>
        <v>10</v>
      </c>
      <c r="P2549" s="0" t="n">
        <f aca="true">RAND()</f>
        <v>0.0451644545398651</v>
      </c>
      <c r="Q2549" s="0" t="n">
        <f aca="true">RAND()</f>
        <v>0.403205551549148</v>
      </c>
      <c r="R2549" s="0" t="n">
        <f aca="false">IF($I2549&lt;&gt;$O2549,0,IF(P2549&lt;Matchup!$B$39,7,IF(P2549&lt;Matchup!$B$39+Matchup!$B$40,3,0)))</f>
        <v>0</v>
      </c>
      <c r="S2549" s="0" t="n">
        <f aca="false">IF($I2549&lt;&gt;$O2549,0,IF(Q2549&lt;Matchup!$C$39,7,IF(Q2549&lt;Matchup!$C$39+Matchup!$C$40,3,0)))</f>
        <v>0</v>
      </c>
      <c r="T2549" s="0" t="n">
        <f aca="false">I2549+R2549</f>
        <v>24</v>
      </c>
      <c r="U2549" s="0" t="n">
        <f aca="false">O2549+S2549</f>
        <v>10</v>
      </c>
      <c r="V2549" s="0" t="n">
        <f aca="false">T2549-U2549</f>
        <v>14</v>
      </c>
      <c r="W2549" s="0" t="n">
        <f aca="false">T2549+U2549</f>
        <v>34</v>
      </c>
    </row>
    <row r="2550" customFormat="false" ht="15" hidden="false" customHeight="false" outlineLevel="0" collapsed="false">
      <c r="A2550" s="0" t="n">
        <v>2547</v>
      </c>
      <c r="B2550" s="0" t="n">
        <f aca="true">NORMINV(RAND(),1,Coefficients!$B$22)</f>
        <v>1.09221531397505</v>
      </c>
      <c r="C2550" s="0" t="n">
        <f aca="true">MEDIAN(8,16,ROUND(NORMINV(RAND(),Coefficients!$B$20,Coefficients!$B$21),0))</f>
        <v>12</v>
      </c>
      <c r="D2550" s="0" t="n">
        <f aca="true">CRITBINOM($C2550,MIN(0.75,Matchup!$B$39*$B2550),RAND())</f>
        <v>3</v>
      </c>
      <c r="E2550" s="0" t="n">
        <f aca="true">CRITBINOM(D2550,Coefficients!$B$30,RAND())</f>
        <v>1</v>
      </c>
      <c r="F2550" s="0" t="n">
        <f aca="true">CRITBINOM(E2550,Coefficients!$B$31,RAND())</f>
        <v>1</v>
      </c>
      <c r="G2550" s="0" t="n">
        <f aca="true">CRITBINOM(MAX(0,D2550-E2550),1-Coefficients!$B$32,RAND())</f>
        <v>0</v>
      </c>
      <c r="H2550" s="0" t="n">
        <f aca="true">CRITBINOM(MAX(0,$C2550-D2550),MIN(0.6,Matchup!$B$40*SQRT($B2550)/(1-MIN(0.75,Matchup!$B$39*$B2550))),RAND())</f>
        <v>1</v>
      </c>
      <c r="I2550" s="0" t="n">
        <f aca="false">6*D2550+(D2550-E2550-G2550)+2*F2550+3*H2550</f>
        <v>25</v>
      </c>
      <c r="J2550" s="0" t="n">
        <f aca="true">CRITBINOM($C2550,MIN(0.75,Matchup!$C$39*$B2550),RAND())</f>
        <v>2</v>
      </c>
      <c r="K2550" s="0" t="n">
        <f aca="true">CRITBINOM(J2550,Coefficients!$B$30,RAND())</f>
        <v>0</v>
      </c>
      <c r="L2550" s="0" t="n">
        <f aca="true">CRITBINOM(K2550,Coefficients!$B$31,RAND())</f>
        <v>0</v>
      </c>
      <c r="M2550" s="0" t="n">
        <f aca="true">CRITBINOM(MAX(0,J2550-K2550),1-Coefficients!$B$32,RAND())</f>
        <v>0</v>
      </c>
      <c r="N2550" s="0" t="n">
        <f aca="true">CRITBINOM(MAX(0,$C2550-J2550),MIN(0.6,Matchup!$C$40*SQRT($B2550)/(1-MIN(0.75,Matchup!$C$39*$B2550))),RAND())</f>
        <v>2</v>
      </c>
      <c r="O2550" s="0" t="n">
        <f aca="false">6*J2550+(J2550-K2550-M2550)+2*L2550+3*N2550</f>
        <v>20</v>
      </c>
      <c r="P2550" s="0" t="n">
        <f aca="true">RAND()</f>
        <v>0.150520868132179</v>
      </c>
      <c r="Q2550" s="0" t="n">
        <f aca="true">RAND()</f>
        <v>0.0236072857642103</v>
      </c>
      <c r="R2550" s="0" t="n">
        <f aca="false">IF($I2550&lt;&gt;$O2550,0,IF(P2550&lt;Matchup!$B$39,7,IF(P2550&lt;Matchup!$B$39+Matchup!$B$40,3,0)))</f>
        <v>0</v>
      </c>
      <c r="S2550" s="0" t="n">
        <f aca="false">IF($I2550&lt;&gt;$O2550,0,IF(Q2550&lt;Matchup!$C$39,7,IF(Q2550&lt;Matchup!$C$39+Matchup!$C$40,3,0)))</f>
        <v>0</v>
      </c>
      <c r="T2550" s="0" t="n">
        <f aca="false">I2550+R2550</f>
        <v>25</v>
      </c>
      <c r="U2550" s="0" t="n">
        <f aca="false">O2550+S2550</f>
        <v>20</v>
      </c>
      <c r="V2550" s="0" t="n">
        <f aca="false">T2550-U2550</f>
        <v>5</v>
      </c>
      <c r="W2550" s="0" t="n">
        <f aca="false">T2550+U2550</f>
        <v>45</v>
      </c>
    </row>
    <row r="2551" customFormat="false" ht="15" hidden="false" customHeight="false" outlineLevel="0" collapsed="false">
      <c r="A2551" s="0" t="n">
        <v>2548</v>
      </c>
      <c r="B2551" s="0" t="n">
        <f aca="true">NORMINV(RAND(),1,Coefficients!$B$22)</f>
        <v>1.04887347680056</v>
      </c>
      <c r="C2551" s="0" t="n">
        <f aca="true">MEDIAN(8,16,ROUND(NORMINV(RAND(),Coefficients!$B$20,Coefficients!$B$21),0))</f>
        <v>11</v>
      </c>
      <c r="D2551" s="0" t="n">
        <f aca="true">CRITBINOM($C2551,MIN(0.75,Matchup!$B$39*$B2551),RAND())</f>
        <v>4</v>
      </c>
      <c r="E2551" s="0" t="n">
        <f aca="true">CRITBINOM(D2551,Coefficients!$B$30,RAND())</f>
        <v>0</v>
      </c>
      <c r="F2551" s="0" t="n">
        <f aca="true">CRITBINOM(E2551,Coefficients!$B$31,RAND())</f>
        <v>0</v>
      </c>
      <c r="G2551" s="0" t="n">
        <f aca="true">CRITBINOM(MAX(0,D2551-E2551),1-Coefficients!$B$32,RAND())</f>
        <v>0</v>
      </c>
      <c r="H2551" s="0" t="n">
        <f aca="true">CRITBINOM(MAX(0,$C2551-D2551),MIN(0.6,Matchup!$B$40*SQRT($B2551)/(1-MIN(0.75,Matchup!$B$39*$B2551))),RAND())</f>
        <v>3</v>
      </c>
      <c r="I2551" s="0" t="n">
        <f aca="false">6*D2551+(D2551-E2551-G2551)+2*F2551+3*H2551</f>
        <v>37</v>
      </c>
      <c r="J2551" s="0" t="n">
        <f aca="true">CRITBINOM($C2551,MIN(0.75,Matchup!$C$39*$B2551),RAND())</f>
        <v>3</v>
      </c>
      <c r="K2551" s="0" t="n">
        <f aca="true">CRITBINOM(J2551,Coefficients!$B$30,RAND())</f>
        <v>0</v>
      </c>
      <c r="L2551" s="0" t="n">
        <f aca="true">CRITBINOM(K2551,Coefficients!$B$31,RAND())</f>
        <v>0</v>
      </c>
      <c r="M2551" s="0" t="n">
        <f aca="true">CRITBINOM(MAX(0,J2551-K2551),1-Coefficients!$B$32,RAND())</f>
        <v>0</v>
      </c>
      <c r="N2551" s="0" t="n">
        <f aca="true">CRITBINOM(MAX(0,$C2551-J2551),MIN(0.6,Matchup!$C$40*SQRT($B2551)/(1-MIN(0.75,Matchup!$C$39*$B2551))),RAND())</f>
        <v>0</v>
      </c>
      <c r="O2551" s="0" t="n">
        <f aca="false">6*J2551+(J2551-K2551-M2551)+2*L2551+3*N2551</f>
        <v>21</v>
      </c>
      <c r="P2551" s="0" t="n">
        <f aca="true">RAND()</f>
        <v>0.539636164707411</v>
      </c>
      <c r="Q2551" s="0" t="n">
        <f aca="true">RAND()</f>
        <v>0.472699087649102</v>
      </c>
      <c r="R2551" s="0" t="n">
        <f aca="false">IF($I2551&lt;&gt;$O2551,0,IF(P2551&lt;Matchup!$B$39,7,IF(P2551&lt;Matchup!$B$39+Matchup!$B$40,3,0)))</f>
        <v>0</v>
      </c>
      <c r="S2551" s="0" t="n">
        <f aca="false">IF($I2551&lt;&gt;$O2551,0,IF(Q2551&lt;Matchup!$C$39,7,IF(Q2551&lt;Matchup!$C$39+Matchup!$C$40,3,0)))</f>
        <v>0</v>
      </c>
      <c r="T2551" s="0" t="n">
        <f aca="false">I2551+R2551</f>
        <v>37</v>
      </c>
      <c r="U2551" s="0" t="n">
        <f aca="false">O2551+S2551</f>
        <v>21</v>
      </c>
      <c r="V2551" s="0" t="n">
        <f aca="false">T2551-U2551</f>
        <v>16</v>
      </c>
      <c r="W2551" s="0" t="n">
        <f aca="false">T2551+U2551</f>
        <v>58</v>
      </c>
    </row>
    <row r="2552" customFormat="false" ht="15" hidden="false" customHeight="false" outlineLevel="0" collapsed="false">
      <c r="A2552" s="0" t="n">
        <v>2549</v>
      </c>
      <c r="B2552" s="0" t="n">
        <f aca="true">NORMINV(RAND(),1,Coefficients!$B$22)</f>
        <v>1.0112613689962</v>
      </c>
      <c r="C2552" s="0" t="n">
        <f aca="true">MEDIAN(8,16,ROUND(NORMINV(RAND(),Coefficients!$B$20,Coefficients!$B$21),0))</f>
        <v>11</v>
      </c>
      <c r="D2552" s="0" t="n">
        <f aca="true">CRITBINOM($C2552,MIN(0.75,Matchup!$B$39*$B2552),RAND())</f>
        <v>3</v>
      </c>
      <c r="E2552" s="0" t="n">
        <f aca="true">CRITBINOM(D2552,Coefficients!$B$30,RAND())</f>
        <v>0</v>
      </c>
      <c r="F2552" s="0" t="n">
        <f aca="true">CRITBINOM(E2552,Coefficients!$B$31,RAND())</f>
        <v>0</v>
      </c>
      <c r="G2552" s="0" t="n">
        <f aca="true">CRITBINOM(MAX(0,D2552-E2552),1-Coefficients!$B$32,RAND())</f>
        <v>1</v>
      </c>
      <c r="H2552" s="0" t="n">
        <f aca="true">CRITBINOM(MAX(0,$C2552-D2552),MIN(0.6,Matchup!$B$40*SQRT($B2552)/(1-MIN(0.75,Matchup!$B$39*$B2552))),RAND())</f>
        <v>1</v>
      </c>
      <c r="I2552" s="0" t="n">
        <f aca="false">6*D2552+(D2552-E2552-G2552)+2*F2552+3*H2552</f>
        <v>23</v>
      </c>
      <c r="J2552" s="0" t="n">
        <f aca="true">CRITBINOM($C2552,MIN(0.75,Matchup!$C$39*$B2552),RAND())</f>
        <v>1</v>
      </c>
      <c r="K2552" s="0" t="n">
        <f aca="true">CRITBINOM(J2552,Coefficients!$B$30,RAND())</f>
        <v>0</v>
      </c>
      <c r="L2552" s="0" t="n">
        <f aca="true">CRITBINOM(K2552,Coefficients!$B$31,RAND())</f>
        <v>0</v>
      </c>
      <c r="M2552" s="0" t="n">
        <f aca="true">CRITBINOM(MAX(0,J2552-K2552),1-Coefficients!$B$32,RAND())</f>
        <v>0</v>
      </c>
      <c r="N2552" s="0" t="n">
        <f aca="true">CRITBINOM(MAX(0,$C2552-J2552),MIN(0.6,Matchup!$C$40*SQRT($B2552)/(1-MIN(0.75,Matchup!$C$39*$B2552))),RAND())</f>
        <v>1</v>
      </c>
      <c r="O2552" s="0" t="n">
        <f aca="false">6*J2552+(J2552-K2552-M2552)+2*L2552+3*N2552</f>
        <v>10</v>
      </c>
      <c r="P2552" s="0" t="n">
        <f aca="true">RAND()</f>
        <v>0.817215460277407</v>
      </c>
      <c r="Q2552" s="0" t="n">
        <f aca="true">RAND()</f>
        <v>0.868545444060111</v>
      </c>
      <c r="R2552" s="0" t="n">
        <f aca="false">IF($I2552&lt;&gt;$O2552,0,IF(P2552&lt;Matchup!$B$39,7,IF(P2552&lt;Matchup!$B$39+Matchup!$B$40,3,0)))</f>
        <v>0</v>
      </c>
      <c r="S2552" s="0" t="n">
        <f aca="false">IF($I2552&lt;&gt;$O2552,0,IF(Q2552&lt;Matchup!$C$39,7,IF(Q2552&lt;Matchup!$C$39+Matchup!$C$40,3,0)))</f>
        <v>0</v>
      </c>
      <c r="T2552" s="0" t="n">
        <f aca="false">I2552+R2552</f>
        <v>23</v>
      </c>
      <c r="U2552" s="0" t="n">
        <f aca="false">O2552+S2552</f>
        <v>10</v>
      </c>
      <c r="V2552" s="0" t="n">
        <f aca="false">T2552-U2552</f>
        <v>13</v>
      </c>
      <c r="W2552" s="0" t="n">
        <f aca="false">T2552+U2552</f>
        <v>33</v>
      </c>
    </row>
    <row r="2553" customFormat="false" ht="15" hidden="false" customHeight="false" outlineLevel="0" collapsed="false">
      <c r="A2553" s="0" t="n">
        <v>2550</v>
      </c>
      <c r="B2553" s="0" t="n">
        <f aca="true">NORMINV(RAND(),1,Coefficients!$B$22)</f>
        <v>1.02986237876829</v>
      </c>
      <c r="C2553" s="0" t="n">
        <f aca="true">MEDIAN(8,16,ROUND(NORMINV(RAND(),Coefficients!$B$20,Coefficients!$B$21),0))</f>
        <v>11</v>
      </c>
      <c r="D2553" s="0" t="n">
        <f aca="true">CRITBINOM($C2553,MIN(0.75,Matchup!$B$39*$B2553),RAND())</f>
        <v>2</v>
      </c>
      <c r="E2553" s="0" t="n">
        <f aca="true">CRITBINOM(D2553,Coefficients!$B$30,RAND())</f>
        <v>0</v>
      </c>
      <c r="F2553" s="0" t="n">
        <f aca="true">CRITBINOM(E2553,Coefficients!$B$31,RAND())</f>
        <v>0</v>
      </c>
      <c r="G2553" s="0" t="n">
        <f aca="true">CRITBINOM(MAX(0,D2553-E2553),1-Coefficients!$B$32,RAND())</f>
        <v>0</v>
      </c>
      <c r="H2553" s="0" t="n">
        <f aca="true">CRITBINOM(MAX(0,$C2553-D2553),MIN(0.6,Matchup!$B$40*SQRT($B2553)/(1-MIN(0.75,Matchup!$B$39*$B2553))),RAND())</f>
        <v>2</v>
      </c>
      <c r="I2553" s="0" t="n">
        <f aca="false">6*D2553+(D2553-E2553-G2553)+2*F2553+3*H2553</f>
        <v>20</v>
      </c>
      <c r="J2553" s="0" t="n">
        <f aca="true">CRITBINOM($C2553,MIN(0.75,Matchup!$C$39*$B2553),RAND())</f>
        <v>1</v>
      </c>
      <c r="K2553" s="0" t="n">
        <f aca="true">CRITBINOM(J2553,Coefficients!$B$30,RAND())</f>
        <v>0</v>
      </c>
      <c r="L2553" s="0" t="n">
        <f aca="true">CRITBINOM(K2553,Coefficients!$B$31,RAND())</f>
        <v>0</v>
      </c>
      <c r="M2553" s="0" t="n">
        <f aca="true">CRITBINOM(MAX(0,J2553-K2553),1-Coefficients!$B$32,RAND())</f>
        <v>0</v>
      </c>
      <c r="N2553" s="0" t="n">
        <f aca="true">CRITBINOM(MAX(0,$C2553-J2553),MIN(0.6,Matchup!$C$40*SQRT($B2553)/(1-MIN(0.75,Matchup!$C$39*$B2553))),RAND())</f>
        <v>1</v>
      </c>
      <c r="O2553" s="0" t="n">
        <f aca="false">6*J2553+(J2553-K2553-M2553)+2*L2553+3*N2553</f>
        <v>10</v>
      </c>
      <c r="P2553" s="0" t="n">
        <f aca="true">RAND()</f>
        <v>0.0877885140299099</v>
      </c>
      <c r="Q2553" s="0" t="n">
        <f aca="true">RAND()</f>
        <v>0.672241482933863</v>
      </c>
      <c r="R2553" s="0" t="n">
        <f aca="false">IF($I2553&lt;&gt;$O2553,0,IF(P2553&lt;Matchup!$B$39,7,IF(P2553&lt;Matchup!$B$39+Matchup!$B$40,3,0)))</f>
        <v>0</v>
      </c>
      <c r="S2553" s="0" t="n">
        <f aca="false">IF($I2553&lt;&gt;$O2553,0,IF(Q2553&lt;Matchup!$C$39,7,IF(Q2553&lt;Matchup!$C$39+Matchup!$C$40,3,0)))</f>
        <v>0</v>
      </c>
      <c r="T2553" s="0" t="n">
        <f aca="false">I2553+R2553</f>
        <v>20</v>
      </c>
      <c r="U2553" s="0" t="n">
        <f aca="false">O2553+S2553</f>
        <v>10</v>
      </c>
      <c r="V2553" s="0" t="n">
        <f aca="false">T2553-U2553</f>
        <v>10</v>
      </c>
      <c r="W2553" s="0" t="n">
        <f aca="false">T2553+U2553</f>
        <v>30</v>
      </c>
    </row>
    <row r="2554" customFormat="false" ht="15" hidden="false" customHeight="false" outlineLevel="0" collapsed="false">
      <c r="A2554" s="0" t="n">
        <v>2551</v>
      </c>
      <c r="B2554" s="0" t="n">
        <f aca="true">NORMINV(RAND(),1,Coefficients!$B$22)</f>
        <v>0.939058621044351</v>
      </c>
      <c r="C2554" s="0" t="n">
        <f aca="true">MEDIAN(8,16,ROUND(NORMINV(RAND(),Coefficients!$B$20,Coefficients!$B$21),0))</f>
        <v>11</v>
      </c>
      <c r="D2554" s="0" t="n">
        <f aca="true">CRITBINOM($C2554,MIN(0.75,Matchup!$B$39*$B2554),RAND())</f>
        <v>1</v>
      </c>
      <c r="E2554" s="0" t="n">
        <f aca="true">CRITBINOM(D2554,Coefficients!$B$30,RAND())</f>
        <v>0</v>
      </c>
      <c r="F2554" s="0" t="n">
        <f aca="true">CRITBINOM(E2554,Coefficients!$B$31,RAND())</f>
        <v>0</v>
      </c>
      <c r="G2554" s="0" t="n">
        <f aca="true">CRITBINOM(MAX(0,D2554-E2554),1-Coefficients!$B$32,RAND())</f>
        <v>0</v>
      </c>
      <c r="H2554" s="0" t="n">
        <f aca="true">CRITBINOM(MAX(0,$C2554-D2554),MIN(0.6,Matchup!$B$40*SQRT($B2554)/(1-MIN(0.75,Matchup!$B$39*$B2554))),RAND())</f>
        <v>1</v>
      </c>
      <c r="I2554" s="0" t="n">
        <f aca="false">6*D2554+(D2554-E2554-G2554)+2*F2554+3*H2554</f>
        <v>10</v>
      </c>
      <c r="J2554" s="0" t="n">
        <f aca="true">CRITBINOM($C2554,MIN(0.75,Matchup!$C$39*$B2554),RAND())</f>
        <v>1</v>
      </c>
      <c r="K2554" s="0" t="n">
        <f aca="true">CRITBINOM(J2554,Coefficients!$B$30,RAND())</f>
        <v>0</v>
      </c>
      <c r="L2554" s="0" t="n">
        <f aca="true">CRITBINOM(K2554,Coefficients!$B$31,RAND())</f>
        <v>0</v>
      </c>
      <c r="M2554" s="0" t="n">
        <f aca="true">CRITBINOM(MAX(0,J2554-K2554),1-Coefficients!$B$32,RAND())</f>
        <v>0</v>
      </c>
      <c r="N2554" s="0" t="n">
        <f aca="true">CRITBINOM(MAX(0,$C2554-J2554),MIN(0.6,Matchup!$C$40*SQRT($B2554)/(1-MIN(0.75,Matchup!$C$39*$B2554))),RAND())</f>
        <v>1</v>
      </c>
      <c r="O2554" s="0" t="n">
        <f aca="false">6*J2554+(J2554-K2554-M2554)+2*L2554+3*N2554</f>
        <v>10</v>
      </c>
      <c r="P2554" s="0" t="n">
        <f aca="true">RAND()</f>
        <v>0.283152704799835</v>
      </c>
      <c r="Q2554" s="0" t="n">
        <f aca="true">RAND()</f>
        <v>0.723304101639183</v>
      </c>
      <c r="R2554" s="0" t="n">
        <f aca="false">IF($I2554&lt;&gt;$O2554,0,IF(P2554&lt;Matchup!$B$39,7,IF(P2554&lt;Matchup!$B$39+Matchup!$B$40,3,0)))</f>
        <v>3</v>
      </c>
      <c r="S2554" s="0" t="n">
        <f aca="false">IF($I2554&lt;&gt;$O2554,0,IF(Q2554&lt;Matchup!$C$39,7,IF(Q2554&lt;Matchup!$C$39+Matchup!$C$40,3,0)))</f>
        <v>0</v>
      </c>
      <c r="T2554" s="0" t="n">
        <f aca="false">I2554+R2554</f>
        <v>13</v>
      </c>
      <c r="U2554" s="0" t="n">
        <f aca="false">O2554+S2554</f>
        <v>10</v>
      </c>
      <c r="V2554" s="0" t="n">
        <f aca="false">T2554-U2554</f>
        <v>3</v>
      </c>
      <c r="W2554" s="0" t="n">
        <f aca="false">T2554+U2554</f>
        <v>23</v>
      </c>
    </row>
    <row r="2555" customFormat="false" ht="15" hidden="false" customHeight="false" outlineLevel="0" collapsed="false">
      <c r="A2555" s="0" t="n">
        <v>2552</v>
      </c>
      <c r="B2555" s="0" t="n">
        <f aca="true">NORMINV(RAND(),1,Coefficients!$B$22)</f>
        <v>1.08893730972574</v>
      </c>
      <c r="C2555" s="0" t="n">
        <f aca="true">MEDIAN(8,16,ROUND(NORMINV(RAND(),Coefficients!$B$20,Coefficients!$B$21),0))</f>
        <v>9</v>
      </c>
      <c r="D2555" s="0" t="n">
        <f aca="true">CRITBINOM($C2555,MIN(0.75,Matchup!$B$39*$B2555),RAND())</f>
        <v>2</v>
      </c>
      <c r="E2555" s="0" t="n">
        <f aca="true">CRITBINOM(D2555,Coefficients!$B$30,RAND())</f>
        <v>0</v>
      </c>
      <c r="F2555" s="0" t="n">
        <f aca="true">CRITBINOM(E2555,Coefficients!$B$31,RAND())</f>
        <v>0</v>
      </c>
      <c r="G2555" s="0" t="n">
        <f aca="true">CRITBINOM(MAX(0,D2555-E2555),1-Coefficients!$B$32,RAND())</f>
        <v>0</v>
      </c>
      <c r="H2555" s="0" t="n">
        <f aca="true">CRITBINOM(MAX(0,$C2555-D2555),MIN(0.6,Matchup!$B$40*SQRT($B2555)/(1-MIN(0.75,Matchup!$B$39*$B2555))),RAND())</f>
        <v>2</v>
      </c>
      <c r="I2555" s="0" t="n">
        <f aca="false">6*D2555+(D2555-E2555-G2555)+2*F2555+3*H2555</f>
        <v>20</v>
      </c>
      <c r="J2555" s="0" t="n">
        <f aca="true">CRITBINOM($C2555,MIN(0.75,Matchup!$C$39*$B2555),RAND())</f>
        <v>4</v>
      </c>
      <c r="K2555" s="0" t="n">
        <f aca="true">CRITBINOM(J2555,Coefficients!$B$30,RAND())</f>
        <v>0</v>
      </c>
      <c r="L2555" s="0" t="n">
        <f aca="true">CRITBINOM(K2555,Coefficients!$B$31,RAND())</f>
        <v>0</v>
      </c>
      <c r="M2555" s="0" t="n">
        <f aca="true">CRITBINOM(MAX(0,J2555-K2555),1-Coefficients!$B$32,RAND())</f>
        <v>1</v>
      </c>
      <c r="N2555" s="0" t="n">
        <f aca="true">CRITBINOM(MAX(0,$C2555-J2555),MIN(0.6,Matchup!$C$40*SQRT($B2555)/(1-MIN(0.75,Matchup!$C$39*$B2555))),RAND())</f>
        <v>1</v>
      </c>
      <c r="O2555" s="0" t="n">
        <f aca="false">6*J2555+(J2555-K2555-M2555)+2*L2555+3*N2555</f>
        <v>30</v>
      </c>
      <c r="P2555" s="0" t="n">
        <f aca="true">RAND()</f>
        <v>0.677977125240032</v>
      </c>
      <c r="Q2555" s="0" t="n">
        <f aca="true">RAND()</f>
        <v>0.639857315205248</v>
      </c>
      <c r="R2555" s="0" t="n">
        <f aca="false">IF($I2555&lt;&gt;$O2555,0,IF(P2555&lt;Matchup!$B$39,7,IF(P2555&lt;Matchup!$B$39+Matchup!$B$40,3,0)))</f>
        <v>0</v>
      </c>
      <c r="S2555" s="0" t="n">
        <f aca="false">IF($I2555&lt;&gt;$O2555,0,IF(Q2555&lt;Matchup!$C$39,7,IF(Q2555&lt;Matchup!$C$39+Matchup!$C$40,3,0)))</f>
        <v>0</v>
      </c>
      <c r="T2555" s="0" t="n">
        <f aca="false">I2555+R2555</f>
        <v>20</v>
      </c>
      <c r="U2555" s="0" t="n">
        <f aca="false">O2555+S2555</f>
        <v>30</v>
      </c>
      <c r="V2555" s="0" t="n">
        <f aca="false">T2555-U2555</f>
        <v>-10</v>
      </c>
      <c r="W2555" s="0" t="n">
        <f aca="false">T2555+U2555</f>
        <v>50</v>
      </c>
    </row>
    <row r="2556" customFormat="false" ht="15" hidden="false" customHeight="false" outlineLevel="0" collapsed="false">
      <c r="A2556" s="0" t="n">
        <v>2553</v>
      </c>
      <c r="B2556" s="0" t="n">
        <f aca="true">NORMINV(RAND(),1,Coefficients!$B$22)</f>
        <v>1.04087827999397</v>
      </c>
      <c r="C2556" s="0" t="n">
        <f aca="true">MEDIAN(8,16,ROUND(NORMINV(RAND(),Coefficients!$B$20,Coefficients!$B$21),0))</f>
        <v>10</v>
      </c>
      <c r="D2556" s="0" t="n">
        <f aca="true">CRITBINOM($C2556,MIN(0.75,Matchup!$B$39*$B2556),RAND())</f>
        <v>1</v>
      </c>
      <c r="E2556" s="0" t="n">
        <f aca="true">CRITBINOM(D2556,Coefficients!$B$30,RAND())</f>
        <v>0</v>
      </c>
      <c r="F2556" s="0" t="n">
        <f aca="true">CRITBINOM(E2556,Coefficients!$B$31,RAND())</f>
        <v>0</v>
      </c>
      <c r="G2556" s="0" t="n">
        <f aca="true">CRITBINOM(MAX(0,D2556-E2556),1-Coefficients!$B$32,RAND())</f>
        <v>0</v>
      </c>
      <c r="H2556" s="0" t="n">
        <f aca="true">CRITBINOM(MAX(0,$C2556-D2556),MIN(0.6,Matchup!$B$40*SQRT($B2556)/(1-MIN(0.75,Matchup!$B$39*$B2556))),RAND())</f>
        <v>2</v>
      </c>
      <c r="I2556" s="0" t="n">
        <f aca="false">6*D2556+(D2556-E2556-G2556)+2*F2556+3*H2556</f>
        <v>13</v>
      </c>
      <c r="J2556" s="0" t="n">
        <f aca="true">CRITBINOM($C2556,MIN(0.75,Matchup!$C$39*$B2556),RAND())</f>
        <v>2</v>
      </c>
      <c r="K2556" s="0" t="n">
        <f aca="true">CRITBINOM(J2556,Coefficients!$B$30,RAND())</f>
        <v>0</v>
      </c>
      <c r="L2556" s="0" t="n">
        <f aca="true">CRITBINOM(K2556,Coefficients!$B$31,RAND())</f>
        <v>0</v>
      </c>
      <c r="M2556" s="0" t="n">
        <f aca="true">CRITBINOM(MAX(0,J2556-K2556),1-Coefficients!$B$32,RAND())</f>
        <v>0</v>
      </c>
      <c r="N2556" s="0" t="n">
        <f aca="true">CRITBINOM(MAX(0,$C2556-J2556),MIN(0.6,Matchup!$C$40*SQRT($B2556)/(1-MIN(0.75,Matchup!$C$39*$B2556))),RAND())</f>
        <v>1</v>
      </c>
      <c r="O2556" s="0" t="n">
        <f aca="false">6*J2556+(J2556-K2556-M2556)+2*L2556+3*N2556</f>
        <v>17</v>
      </c>
      <c r="P2556" s="0" t="n">
        <f aca="true">RAND()</f>
        <v>0.401528722938236</v>
      </c>
      <c r="Q2556" s="0" t="n">
        <f aca="true">RAND()</f>
        <v>0.61444821747382</v>
      </c>
      <c r="R2556" s="0" t="n">
        <f aca="false">IF($I2556&lt;&gt;$O2556,0,IF(P2556&lt;Matchup!$B$39,7,IF(P2556&lt;Matchup!$B$39+Matchup!$B$40,3,0)))</f>
        <v>0</v>
      </c>
      <c r="S2556" s="0" t="n">
        <f aca="false">IF($I2556&lt;&gt;$O2556,0,IF(Q2556&lt;Matchup!$C$39,7,IF(Q2556&lt;Matchup!$C$39+Matchup!$C$40,3,0)))</f>
        <v>0</v>
      </c>
      <c r="T2556" s="0" t="n">
        <f aca="false">I2556+R2556</f>
        <v>13</v>
      </c>
      <c r="U2556" s="0" t="n">
        <f aca="false">O2556+S2556</f>
        <v>17</v>
      </c>
      <c r="V2556" s="0" t="n">
        <f aca="false">T2556-U2556</f>
        <v>-4</v>
      </c>
      <c r="W2556" s="0" t="n">
        <f aca="false">T2556+U2556</f>
        <v>30</v>
      </c>
    </row>
    <row r="2557" customFormat="false" ht="15" hidden="false" customHeight="false" outlineLevel="0" collapsed="false">
      <c r="A2557" s="0" t="n">
        <v>2554</v>
      </c>
      <c r="B2557" s="0" t="n">
        <f aca="true">NORMINV(RAND(),1,Coefficients!$B$22)</f>
        <v>1.02789779766807</v>
      </c>
      <c r="C2557" s="0" t="n">
        <f aca="true">MEDIAN(8,16,ROUND(NORMINV(RAND(),Coefficients!$B$20,Coefficients!$B$21),0))</f>
        <v>10</v>
      </c>
      <c r="D2557" s="0" t="n">
        <f aca="true">CRITBINOM($C2557,MIN(0.75,Matchup!$B$39*$B2557),RAND())</f>
        <v>3</v>
      </c>
      <c r="E2557" s="0" t="n">
        <f aca="true">CRITBINOM(D2557,Coefficients!$B$30,RAND())</f>
        <v>0</v>
      </c>
      <c r="F2557" s="0" t="n">
        <f aca="true">CRITBINOM(E2557,Coefficients!$B$31,RAND())</f>
        <v>0</v>
      </c>
      <c r="G2557" s="0" t="n">
        <f aca="true">CRITBINOM(MAX(0,D2557-E2557),1-Coefficients!$B$32,RAND())</f>
        <v>0</v>
      </c>
      <c r="H2557" s="0" t="n">
        <f aca="true">CRITBINOM(MAX(0,$C2557-D2557),MIN(0.6,Matchup!$B$40*SQRT($B2557)/(1-MIN(0.75,Matchup!$B$39*$B2557))),RAND())</f>
        <v>1</v>
      </c>
      <c r="I2557" s="0" t="n">
        <f aca="false">6*D2557+(D2557-E2557-G2557)+2*F2557+3*H2557</f>
        <v>24</v>
      </c>
      <c r="J2557" s="0" t="n">
        <f aca="true">CRITBINOM($C2557,MIN(0.75,Matchup!$C$39*$B2557),RAND())</f>
        <v>2</v>
      </c>
      <c r="K2557" s="0" t="n">
        <f aca="true">CRITBINOM(J2557,Coefficients!$B$30,RAND())</f>
        <v>0</v>
      </c>
      <c r="L2557" s="0" t="n">
        <f aca="true">CRITBINOM(K2557,Coefficients!$B$31,RAND())</f>
        <v>0</v>
      </c>
      <c r="M2557" s="0" t="n">
        <f aca="true">CRITBINOM(MAX(0,J2557-K2557),1-Coefficients!$B$32,RAND())</f>
        <v>0</v>
      </c>
      <c r="N2557" s="0" t="n">
        <f aca="true">CRITBINOM(MAX(0,$C2557-J2557),MIN(0.6,Matchup!$C$40*SQRT($B2557)/(1-MIN(0.75,Matchup!$C$39*$B2557))),RAND())</f>
        <v>3</v>
      </c>
      <c r="O2557" s="0" t="n">
        <f aca="false">6*J2557+(J2557-K2557-M2557)+2*L2557+3*N2557</f>
        <v>23</v>
      </c>
      <c r="P2557" s="0" t="n">
        <f aca="true">RAND()</f>
        <v>0.63085017783008</v>
      </c>
      <c r="Q2557" s="0" t="n">
        <f aca="true">RAND()</f>
        <v>0.276447096328687</v>
      </c>
      <c r="R2557" s="0" t="n">
        <f aca="false">IF($I2557&lt;&gt;$O2557,0,IF(P2557&lt;Matchup!$B$39,7,IF(P2557&lt;Matchup!$B$39+Matchup!$B$40,3,0)))</f>
        <v>0</v>
      </c>
      <c r="S2557" s="0" t="n">
        <f aca="false">IF($I2557&lt;&gt;$O2557,0,IF(Q2557&lt;Matchup!$C$39,7,IF(Q2557&lt;Matchup!$C$39+Matchup!$C$40,3,0)))</f>
        <v>0</v>
      </c>
      <c r="T2557" s="0" t="n">
        <f aca="false">I2557+R2557</f>
        <v>24</v>
      </c>
      <c r="U2557" s="0" t="n">
        <f aca="false">O2557+S2557</f>
        <v>23</v>
      </c>
      <c r="V2557" s="0" t="n">
        <f aca="false">T2557-U2557</f>
        <v>1</v>
      </c>
      <c r="W2557" s="0" t="n">
        <f aca="false">T2557+U2557</f>
        <v>47</v>
      </c>
    </row>
    <row r="2558" customFormat="false" ht="15" hidden="false" customHeight="false" outlineLevel="0" collapsed="false">
      <c r="A2558" s="0" t="n">
        <v>2555</v>
      </c>
      <c r="B2558" s="0" t="n">
        <f aca="true">NORMINV(RAND(),1,Coefficients!$B$22)</f>
        <v>1.15894928096851</v>
      </c>
      <c r="C2558" s="0" t="n">
        <f aca="true">MEDIAN(8,16,ROUND(NORMINV(RAND(),Coefficients!$B$20,Coefficients!$B$21),0))</f>
        <v>11</v>
      </c>
      <c r="D2558" s="0" t="n">
        <f aca="true">CRITBINOM($C2558,MIN(0.75,Matchup!$B$39*$B2558),RAND())</f>
        <v>5</v>
      </c>
      <c r="E2558" s="0" t="n">
        <f aca="true">CRITBINOM(D2558,Coefficients!$B$30,RAND())</f>
        <v>0</v>
      </c>
      <c r="F2558" s="0" t="n">
        <f aca="true">CRITBINOM(E2558,Coefficients!$B$31,RAND())</f>
        <v>0</v>
      </c>
      <c r="G2558" s="0" t="n">
        <f aca="true">CRITBINOM(MAX(0,D2558-E2558),1-Coefficients!$B$32,RAND())</f>
        <v>0</v>
      </c>
      <c r="H2558" s="0" t="n">
        <f aca="true">CRITBINOM(MAX(0,$C2558-D2558),MIN(0.6,Matchup!$B$40*SQRT($B2558)/(1-MIN(0.75,Matchup!$B$39*$B2558))),RAND())</f>
        <v>0</v>
      </c>
      <c r="I2558" s="0" t="n">
        <f aca="false">6*D2558+(D2558-E2558-G2558)+2*F2558+3*H2558</f>
        <v>35</v>
      </c>
      <c r="J2558" s="0" t="n">
        <f aca="true">CRITBINOM($C2558,MIN(0.75,Matchup!$C$39*$B2558),RAND())</f>
        <v>4</v>
      </c>
      <c r="K2558" s="0" t="n">
        <f aca="true">CRITBINOM(J2558,Coefficients!$B$30,RAND())</f>
        <v>0</v>
      </c>
      <c r="L2558" s="0" t="n">
        <f aca="true">CRITBINOM(K2558,Coefficients!$B$31,RAND())</f>
        <v>0</v>
      </c>
      <c r="M2558" s="0" t="n">
        <f aca="true">CRITBINOM(MAX(0,J2558-K2558),1-Coefficients!$B$32,RAND())</f>
        <v>0</v>
      </c>
      <c r="N2558" s="0" t="n">
        <f aca="true">CRITBINOM(MAX(0,$C2558-J2558),MIN(0.6,Matchup!$C$40*SQRT($B2558)/(1-MIN(0.75,Matchup!$C$39*$B2558))),RAND())</f>
        <v>1</v>
      </c>
      <c r="O2558" s="0" t="n">
        <f aca="false">6*J2558+(J2558-K2558-M2558)+2*L2558+3*N2558</f>
        <v>31</v>
      </c>
      <c r="P2558" s="0" t="n">
        <f aca="true">RAND()</f>
        <v>0.715462471284476</v>
      </c>
      <c r="Q2558" s="0" t="n">
        <f aca="true">RAND()</f>
        <v>0.324784652540721</v>
      </c>
      <c r="R2558" s="0" t="n">
        <f aca="false">IF($I2558&lt;&gt;$O2558,0,IF(P2558&lt;Matchup!$B$39,7,IF(P2558&lt;Matchup!$B$39+Matchup!$B$40,3,0)))</f>
        <v>0</v>
      </c>
      <c r="S2558" s="0" t="n">
        <f aca="false">IF($I2558&lt;&gt;$O2558,0,IF(Q2558&lt;Matchup!$C$39,7,IF(Q2558&lt;Matchup!$C$39+Matchup!$C$40,3,0)))</f>
        <v>0</v>
      </c>
      <c r="T2558" s="0" t="n">
        <f aca="false">I2558+R2558</f>
        <v>35</v>
      </c>
      <c r="U2558" s="0" t="n">
        <f aca="false">O2558+S2558</f>
        <v>31</v>
      </c>
      <c r="V2558" s="0" t="n">
        <f aca="false">T2558-U2558</f>
        <v>4</v>
      </c>
      <c r="W2558" s="0" t="n">
        <f aca="false">T2558+U2558</f>
        <v>66</v>
      </c>
    </row>
    <row r="2559" customFormat="false" ht="15" hidden="false" customHeight="false" outlineLevel="0" collapsed="false">
      <c r="A2559" s="0" t="n">
        <v>2556</v>
      </c>
      <c r="B2559" s="0" t="n">
        <f aca="true">NORMINV(RAND(),1,Coefficients!$B$22)</f>
        <v>0.94176579149137</v>
      </c>
      <c r="C2559" s="0" t="n">
        <f aca="true">MEDIAN(8,16,ROUND(NORMINV(RAND(),Coefficients!$B$20,Coefficients!$B$21),0))</f>
        <v>10</v>
      </c>
      <c r="D2559" s="0" t="n">
        <f aca="true">CRITBINOM($C2559,MIN(0.75,Matchup!$B$39*$B2559),RAND())</f>
        <v>5</v>
      </c>
      <c r="E2559" s="0" t="n">
        <f aca="true">CRITBINOM(D2559,Coefficients!$B$30,RAND())</f>
        <v>1</v>
      </c>
      <c r="F2559" s="0" t="n">
        <f aca="true">CRITBINOM(E2559,Coefficients!$B$31,RAND())</f>
        <v>1</v>
      </c>
      <c r="G2559" s="0" t="n">
        <f aca="true">CRITBINOM(MAX(0,D2559-E2559),1-Coefficients!$B$32,RAND())</f>
        <v>0</v>
      </c>
      <c r="H2559" s="0" t="n">
        <f aca="true">CRITBINOM(MAX(0,$C2559-D2559),MIN(0.6,Matchup!$B$40*SQRT($B2559)/(1-MIN(0.75,Matchup!$B$39*$B2559))),RAND())</f>
        <v>2</v>
      </c>
      <c r="I2559" s="0" t="n">
        <f aca="false">6*D2559+(D2559-E2559-G2559)+2*F2559+3*H2559</f>
        <v>42</v>
      </c>
      <c r="J2559" s="0" t="n">
        <f aca="true">CRITBINOM($C2559,MIN(0.75,Matchup!$C$39*$B2559),RAND())</f>
        <v>4</v>
      </c>
      <c r="K2559" s="0" t="n">
        <f aca="true">CRITBINOM(J2559,Coefficients!$B$30,RAND())</f>
        <v>0</v>
      </c>
      <c r="L2559" s="0" t="n">
        <f aca="true">CRITBINOM(K2559,Coefficients!$B$31,RAND())</f>
        <v>0</v>
      </c>
      <c r="M2559" s="0" t="n">
        <f aca="true">CRITBINOM(MAX(0,J2559-K2559),1-Coefficients!$B$32,RAND())</f>
        <v>1</v>
      </c>
      <c r="N2559" s="0" t="n">
        <f aca="true">CRITBINOM(MAX(0,$C2559-J2559),MIN(0.6,Matchup!$C$40*SQRT($B2559)/(1-MIN(0.75,Matchup!$C$39*$B2559))),RAND())</f>
        <v>0</v>
      </c>
      <c r="O2559" s="0" t="n">
        <f aca="false">6*J2559+(J2559-K2559-M2559)+2*L2559+3*N2559</f>
        <v>27</v>
      </c>
      <c r="P2559" s="0" t="n">
        <f aca="true">RAND()</f>
        <v>0.693577113703821</v>
      </c>
      <c r="Q2559" s="0" t="n">
        <f aca="true">RAND()</f>
        <v>0.403601615332578</v>
      </c>
      <c r="R2559" s="0" t="n">
        <f aca="false">IF($I2559&lt;&gt;$O2559,0,IF(P2559&lt;Matchup!$B$39,7,IF(P2559&lt;Matchup!$B$39+Matchup!$B$40,3,0)))</f>
        <v>0</v>
      </c>
      <c r="S2559" s="0" t="n">
        <f aca="false">IF($I2559&lt;&gt;$O2559,0,IF(Q2559&lt;Matchup!$C$39,7,IF(Q2559&lt;Matchup!$C$39+Matchup!$C$40,3,0)))</f>
        <v>0</v>
      </c>
      <c r="T2559" s="0" t="n">
        <f aca="false">I2559+R2559</f>
        <v>42</v>
      </c>
      <c r="U2559" s="0" t="n">
        <f aca="false">O2559+S2559</f>
        <v>27</v>
      </c>
      <c r="V2559" s="0" t="n">
        <f aca="false">T2559-U2559</f>
        <v>15</v>
      </c>
      <c r="W2559" s="0" t="n">
        <f aca="false">T2559+U2559</f>
        <v>69</v>
      </c>
    </row>
    <row r="2560" customFormat="false" ht="15" hidden="false" customHeight="false" outlineLevel="0" collapsed="false">
      <c r="A2560" s="0" t="n">
        <v>2557</v>
      </c>
      <c r="B2560" s="0" t="n">
        <f aca="true">NORMINV(RAND(),1,Coefficients!$B$22)</f>
        <v>0.958711753402753</v>
      </c>
      <c r="C2560" s="0" t="n">
        <f aca="true">MEDIAN(8,16,ROUND(NORMINV(RAND(),Coefficients!$B$20,Coefficients!$B$21),0))</f>
        <v>12</v>
      </c>
      <c r="D2560" s="0" t="n">
        <f aca="true">CRITBINOM($C2560,MIN(0.75,Matchup!$B$39*$B2560),RAND())</f>
        <v>3</v>
      </c>
      <c r="E2560" s="0" t="n">
        <f aca="true">CRITBINOM(D2560,Coefficients!$B$30,RAND())</f>
        <v>0</v>
      </c>
      <c r="F2560" s="0" t="n">
        <f aca="true">CRITBINOM(E2560,Coefficients!$B$31,RAND())</f>
        <v>0</v>
      </c>
      <c r="G2560" s="0" t="n">
        <f aca="true">CRITBINOM(MAX(0,D2560-E2560),1-Coefficients!$B$32,RAND())</f>
        <v>0</v>
      </c>
      <c r="H2560" s="0" t="n">
        <f aca="true">CRITBINOM(MAX(0,$C2560-D2560),MIN(0.6,Matchup!$B$40*SQRT($B2560)/(1-MIN(0.75,Matchup!$B$39*$B2560))),RAND())</f>
        <v>2</v>
      </c>
      <c r="I2560" s="0" t="n">
        <f aca="false">6*D2560+(D2560-E2560-G2560)+2*F2560+3*H2560</f>
        <v>27</v>
      </c>
      <c r="J2560" s="0" t="n">
        <f aca="true">CRITBINOM($C2560,MIN(0.75,Matchup!$C$39*$B2560),RAND())</f>
        <v>2</v>
      </c>
      <c r="K2560" s="0" t="n">
        <f aca="true">CRITBINOM(J2560,Coefficients!$B$30,RAND())</f>
        <v>0</v>
      </c>
      <c r="L2560" s="0" t="n">
        <f aca="true">CRITBINOM(K2560,Coefficients!$B$31,RAND())</f>
        <v>0</v>
      </c>
      <c r="M2560" s="0" t="n">
        <f aca="true">CRITBINOM(MAX(0,J2560-K2560),1-Coefficients!$B$32,RAND())</f>
        <v>1</v>
      </c>
      <c r="N2560" s="0" t="n">
        <f aca="true">CRITBINOM(MAX(0,$C2560-J2560),MIN(0.6,Matchup!$C$40*SQRT($B2560)/(1-MIN(0.75,Matchup!$C$39*$B2560))),RAND())</f>
        <v>1</v>
      </c>
      <c r="O2560" s="0" t="n">
        <f aca="false">6*J2560+(J2560-K2560-M2560)+2*L2560+3*N2560</f>
        <v>16</v>
      </c>
      <c r="P2560" s="0" t="n">
        <f aca="true">RAND()</f>
        <v>0.433423548098887</v>
      </c>
      <c r="Q2560" s="0" t="n">
        <f aca="true">RAND()</f>
        <v>0.486157452634082</v>
      </c>
      <c r="R2560" s="0" t="n">
        <f aca="false">IF($I2560&lt;&gt;$O2560,0,IF(P2560&lt;Matchup!$B$39,7,IF(P2560&lt;Matchup!$B$39+Matchup!$B$40,3,0)))</f>
        <v>0</v>
      </c>
      <c r="S2560" s="0" t="n">
        <f aca="false">IF($I2560&lt;&gt;$O2560,0,IF(Q2560&lt;Matchup!$C$39,7,IF(Q2560&lt;Matchup!$C$39+Matchup!$C$40,3,0)))</f>
        <v>0</v>
      </c>
      <c r="T2560" s="0" t="n">
        <f aca="false">I2560+R2560</f>
        <v>27</v>
      </c>
      <c r="U2560" s="0" t="n">
        <f aca="false">O2560+S2560</f>
        <v>16</v>
      </c>
      <c r="V2560" s="0" t="n">
        <f aca="false">T2560-U2560</f>
        <v>11</v>
      </c>
      <c r="W2560" s="0" t="n">
        <f aca="false">T2560+U2560</f>
        <v>43</v>
      </c>
    </row>
    <row r="2561" customFormat="false" ht="15" hidden="false" customHeight="false" outlineLevel="0" collapsed="false">
      <c r="A2561" s="0" t="n">
        <v>2558</v>
      </c>
      <c r="B2561" s="0" t="n">
        <f aca="true">NORMINV(RAND(),1,Coefficients!$B$22)</f>
        <v>0.973966517610092</v>
      </c>
      <c r="C2561" s="0" t="n">
        <f aca="true">MEDIAN(8,16,ROUND(NORMINV(RAND(),Coefficients!$B$20,Coefficients!$B$21),0))</f>
        <v>11</v>
      </c>
      <c r="D2561" s="0" t="n">
        <f aca="true">CRITBINOM($C2561,MIN(0.75,Matchup!$B$39*$B2561),RAND())</f>
        <v>3</v>
      </c>
      <c r="E2561" s="0" t="n">
        <f aca="true">CRITBINOM(D2561,Coefficients!$B$30,RAND())</f>
        <v>0</v>
      </c>
      <c r="F2561" s="0" t="n">
        <f aca="true">CRITBINOM(E2561,Coefficients!$B$31,RAND())</f>
        <v>0</v>
      </c>
      <c r="G2561" s="0" t="n">
        <f aca="true">CRITBINOM(MAX(0,D2561-E2561),1-Coefficients!$B$32,RAND())</f>
        <v>0</v>
      </c>
      <c r="H2561" s="0" t="n">
        <f aca="true">CRITBINOM(MAX(0,$C2561-D2561),MIN(0.6,Matchup!$B$40*SQRT($B2561)/(1-MIN(0.75,Matchup!$B$39*$B2561))),RAND())</f>
        <v>0</v>
      </c>
      <c r="I2561" s="0" t="n">
        <f aca="false">6*D2561+(D2561-E2561-G2561)+2*F2561+3*H2561</f>
        <v>21</v>
      </c>
      <c r="J2561" s="0" t="n">
        <f aca="true">CRITBINOM($C2561,MIN(0.75,Matchup!$C$39*$B2561),RAND())</f>
        <v>5</v>
      </c>
      <c r="K2561" s="0" t="n">
        <f aca="true">CRITBINOM(J2561,Coefficients!$B$30,RAND())</f>
        <v>0</v>
      </c>
      <c r="L2561" s="0" t="n">
        <f aca="true">CRITBINOM(K2561,Coefficients!$B$31,RAND())</f>
        <v>0</v>
      </c>
      <c r="M2561" s="0" t="n">
        <f aca="true">CRITBINOM(MAX(0,J2561-K2561),1-Coefficients!$B$32,RAND())</f>
        <v>0</v>
      </c>
      <c r="N2561" s="0" t="n">
        <f aca="true">CRITBINOM(MAX(0,$C2561-J2561),MIN(0.6,Matchup!$C$40*SQRT($B2561)/(1-MIN(0.75,Matchup!$C$39*$B2561))),RAND())</f>
        <v>2</v>
      </c>
      <c r="O2561" s="0" t="n">
        <f aca="false">6*J2561+(J2561-K2561-M2561)+2*L2561+3*N2561</f>
        <v>41</v>
      </c>
      <c r="P2561" s="0" t="n">
        <f aca="true">RAND()</f>
        <v>0.906787499623041</v>
      </c>
      <c r="Q2561" s="0" t="n">
        <f aca="true">RAND()</f>
        <v>0.766829471174065</v>
      </c>
      <c r="R2561" s="0" t="n">
        <f aca="false">IF($I2561&lt;&gt;$O2561,0,IF(P2561&lt;Matchup!$B$39,7,IF(P2561&lt;Matchup!$B$39+Matchup!$B$40,3,0)))</f>
        <v>0</v>
      </c>
      <c r="S2561" s="0" t="n">
        <f aca="false">IF($I2561&lt;&gt;$O2561,0,IF(Q2561&lt;Matchup!$C$39,7,IF(Q2561&lt;Matchup!$C$39+Matchup!$C$40,3,0)))</f>
        <v>0</v>
      </c>
      <c r="T2561" s="0" t="n">
        <f aca="false">I2561+R2561</f>
        <v>21</v>
      </c>
      <c r="U2561" s="0" t="n">
        <f aca="false">O2561+S2561</f>
        <v>41</v>
      </c>
      <c r="V2561" s="0" t="n">
        <f aca="false">T2561-U2561</f>
        <v>-20</v>
      </c>
      <c r="W2561" s="0" t="n">
        <f aca="false">T2561+U2561</f>
        <v>62</v>
      </c>
    </row>
    <row r="2562" customFormat="false" ht="15" hidden="false" customHeight="false" outlineLevel="0" collapsed="false">
      <c r="A2562" s="0" t="n">
        <v>2559</v>
      </c>
      <c r="B2562" s="0" t="n">
        <f aca="true">NORMINV(RAND(),1,Coefficients!$B$22)</f>
        <v>1.00760956500568</v>
      </c>
      <c r="C2562" s="0" t="n">
        <f aca="true">MEDIAN(8,16,ROUND(NORMINV(RAND(),Coefficients!$B$20,Coefficients!$B$21),0))</f>
        <v>11</v>
      </c>
      <c r="D2562" s="0" t="n">
        <f aca="true">CRITBINOM($C2562,MIN(0.75,Matchup!$B$39*$B2562),RAND())</f>
        <v>3</v>
      </c>
      <c r="E2562" s="0" t="n">
        <f aca="true">CRITBINOM(D2562,Coefficients!$B$30,RAND())</f>
        <v>0</v>
      </c>
      <c r="F2562" s="0" t="n">
        <f aca="true">CRITBINOM(E2562,Coefficients!$B$31,RAND())</f>
        <v>0</v>
      </c>
      <c r="G2562" s="0" t="n">
        <f aca="true">CRITBINOM(MAX(0,D2562-E2562),1-Coefficients!$B$32,RAND())</f>
        <v>0</v>
      </c>
      <c r="H2562" s="0" t="n">
        <f aca="true">CRITBINOM(MAX(0,$C2562-D2562),MIN(0.6,Matchup!$B$40*SQRT($B2562)/(1-MIN(0.75,Matchup!$B$39*$B2562))),RAND())</f>
        <v>0</v>
      </c>
      <c r="I2562" s="0" t="n">
        <f aca="false">6*D2562+(D2562-E2562-G2562)+2*F2562+3*H2562</f>
        <v>21</v>
      </c>
      <c r="J2562" s="0" t="n">
        <f aca="true">CRITBINOM($C2562,MIN(0.75,Matchup!$C$39*$B2562),RAND())</f>
        <v>2</v>
      </c>
      <c r="K2562" s="0" t="n">
        <f aca="true">CRITBINOM(J2562,Coefficients!$B$30,RAND())</f>
        <v>0</v>
      </c>
      <c r="L2562" s="0" t="n">
        <f aca="true">CRITBINOM(K2562,Coefficients!$B$31,RAND())</f>
        <v>0</v>
      </c>
      <c r="M2562" s="0" t="n">
        <f aca="true">CRITBINOM(MAX(0,J2562-K2562),1-Coefficients!$B$32,RAND())</f>
        <v>1</v>
      </c>
      <c r="N2562" s="0" t="n">
        <f aca="true">CRITBINOM(MAX(0,$C2562-J2562),MIN(0.6,Matchup!$C$40*SQRT($B2562)/(1-MIN(0.75,Matchup!$C$39*$B2562))),RAND())</f>
        <v>0</v>
      </c>
      <c r="O2562" s="0" t="n">
        <f aca="false">6*J2562+(J2562-K2562-M2562)+2*L2562+3*N2562</f>
        <v>13</v>
      </c>
      <c r="P2562" s="0" t="n">
        <f aca="true">RAND()</f>
        <v>0.752751593895627</v>
      </c>
      <c r="Q2562" s="0" t="n">
        <f aca="true">RAND()</f>
        <v>0.335859964410507</v>
      </c>
      <c r="R2562" s="0" t="n">
        <f aca="false">IF($I2562&lt;&gt;$O2562,0,IF(P2562&lt;Matchup!$B$39,7,IF(P2562&lt;Matchup!$B$39+Matchup!$B$40,3,0)))</f>
        <v>0</v>
      </c>
      <c r="S2562" s="0" t="n">
        <f aca="false">IF($I2562&lt;&gt;$O2562,0,IF(Q2562&lt;Matchup!$C$39,7,IF(Q2562&lt;Matchup!$C$39+Matchup!$C$40,3,0)))</f>
        <v>0</v>
      </c>
      <c r="T2562" s="0" t="n">
        <f aca="false">I2562+R2562</f>
        <v>21</v>
      </c>
      <c r="U2562" s="0" t="n">
        <f aca="false">O2562+S2562</f>
        <v>13</v>
      </c>
      <c r="V2562" s="0" t="n">
        <f aca="false">T2562-U2562</f>
        <v>8</v>
      </c>
      <c r="W2562" s="0" t="n">
        <f aca="false">T2562+U2562</f>
        <v>34</v>
      </c>
    </row>
    <row r="2563" customFormat="false" ht="15" hidden="false" customHeight="false" outlineLevel="0" collapsed="false">
      <c r="A2563" s="0" t="n">
        <v>2560</v>
      </c>
      <c r="B2563" s="0" t="n">
        <f aca="true">NORMINV(RAND(),1,Coefficients!$B$22)</f>
        <v>1.18438558690251</v>
      </c>
      <c r="C2563" s="0" t="n">
        <f aca="true">MEDIAN(8,16,ROUND(NORMINV(RAND(),Coefficients!$B$20,Coefficients!$B$21),0))</f>
        <v>12</v>
      </c>
      <c r="D2563" s="0" t="n">
        <f aca="true">CRITBINOM($C2563,MIN(0.75,Matchup!$B$39*$B2563),RAND())</f>
        <v>4</v>
      </c>
      <c r="E2563" s="0" t="n">
        <f aca="true">CRITBINOM(D2563,Coefficients!$B$30,RAND())</f>
        <v>0</v>
      </c>
      <c r="F2563" s="0" t="n">
        <f aca="true">CRITBINOM(E2563,Coefficients!$B$31,RAND())</f>
        <v>0</v>
      </c>
      <c r="G2563" s="0" t="n">
        <f aca="true">CRITBINOM(MAX(0,D2563-E2563),1-Coefficients!$B$32,RAND())</f>
        <v>1</v>
      </c>
      <c r="H2563" s="0" t="n">
        <f aca="true">CRITBINOM(MAX(0,$C2563-D2563),MIN(0.6,Matchup!$B$40*SQRT($B2563)/(1-MIN(0.75,Matchup!$B$39*$B2563))),RAND())</f>
        <v>0</v>
      </c>
      <c r="I2563" s="0" t="n">
        <f aca="false">6*D2563+(D2563-E2563-G2563)+2*F2563+3*H2563</f>
        <v>27</v>
      </c>
      <c r="J2563" s="0" t="n">
        <f aca="true">CRITBINOM($C2563,MIN(0.75,Matchup!$C$39*$B2563),RAND())</f>
        <v>6</v>
      </c>
      <c r="K2563" s="0" t="n">
        <f aca="true">CRITBINOM(J2563,Coefficients!$B$30,RAND())</f>
        <v>0</v>
      </c>
      <c r="L2563" s="0" t="n">
        <f aca="true">CRITBINOM(K2563,Coefficients!$B$31,RAND())</f>
        <v>0</v>
      </c>
      <c r="M2563" s="0" t="n">
        <f aca="true">CRITBINOM(MAX(0,J2563-K2563),1-Coefficients!$B$32,RAND())</f>
        <v>0</v>
      </c>
      <c r="N2563" s="0" t="n">
        <f aca="true">CRITBINOM(MAX(0,$C2563-J2563),MIN(0.6,Matchup!$C$40*SQRT($B2563)/(1-MIN(0.75,Matchup!$C$39*$B2563))),RAND())</f>
        <v>1</v>
      </c>
      <c r="O2563" s="0" t="n">
        <f aca="false">6*J2563+(J2563-K2563-M2563)+2*L2563+3*N2563</f>
        <v>45</v>
      </c>
      <c r="P2563" s="0" t="n">
        <f aca="true">RAND()</f>
        <v>0.589139608893321</v>
      </c>
      <c r="Q2563" s="0" t="n">
        <f aca="true">RAND()</f>
        <v>0.149004718812751</v>
      </c>
      <c r="R2563" s="0" t="n">
        <f aca="false">IF($I2563&lt;&gt;$O2563,0,IF(P2563&lt;Matchup!$B$39,7,IF(P2563&lt;Matchup!$B$39+Matchup!$B$40,3,0)))</f>
        <v>0</v>
      </c>
      <c r="S2563" s="0" t="n">
        <f aca="false">IF($I2563&lt;&gt;$O2563,0,IF(Q2563&lt;Matchup!$C$39,7,IF(Q2563&lt;Matchup!$C$39+Matchup!$C$40,3,0)))</f>
        <v>0</v>
      </c>
      <c r="T2563" s="0" t="n">
        <f aca="false">I2563+R2563</f>
        <v>27</v>
      </c>
      <c r="U2563" s="0" t="n">
        <f aca="false">O2563+S2563</f>
        <v>45</v>
      </c>
      <c r="V2563" s="0" t="n">
        <f aca="false">T2563-U2563</f>
        <v>-18</v>
      </c>
      <c r="W2563" s="0" t="n">
        <f aca="false">T2563+U2563</f>
        <v>72</v>
      </c>
    </row>
    <row r="2564" customFormat="false" ht="15" hidden="false" customHeight="false" outlineLevel="0" collapsed="false">
      <c r="A2564" s="0" t="n">
        <v>2561</v>
      </c>
      <c r="B2564" s="0" t="n">
        <f aca="true">NORMINV(RAND(),1,Coefficients!$B$22)</f>
        <v>0.902241241344603</v>
      </c>
      <c r="C2564" s="0" t="n">
        <f aca="true">MEDIAN(8,16,ROUND(NORMINV(RAND(),Coefficients!$B$20,Coefficients!$B$21),0))</f>
        <v>12</v>
      </c>
      <c r="D2564" s="0" t="n">
        <f aca="true">CRITBINOM($C2564,MIN(0.75,Matchup!$B$39*$B2564),RAND())</f>
        <v>2</v>
      </c>
      <c r="E2564" s="0" t="n">
        <f aca="true">CRITBINOM(D2564,Coefficients!$B$30,RAND())</f>
        <v>0</v>
      </c>
      <c r="F2564" s="0" t="n">
        <f aca="true">CRITBINOM(E2564,Coefficients!$B$31,RAND())</f>
        <v>0</v>
      </c>
      <c r="G2564" s="0" t="n">
        <f aca="true">CRITBINOM(MAX(0,D2564-E2564),1-Coefficients!$B$32,RAND())</f>
        <v>0</v>
      </c>
      <c r="H2564" s="0" t="n">
        <f aca="true">CRITBINOM(MAX(0,$C2564-D2564),MIN(0.6,Matchup!$B$40*SQRT($B2564)/(1-MIN(0.75,Matchup!$B$39*$B2564))),RAND())</f>
        <v>0</v>
      </c>
      <c r="I2564" s="0" t="n">
        <f aca="false">6*D2564+(D2564-E2564-G2564)+2*F2564+3*H2564</f>
        <v>14</v>
      </c>
      <c r="J2564" s="0" t="n">
        <f aca="true">CRITBINOM($C2564,MIN(0.75,Matchup!$C$39*$B2564),RAND())</f>
        <v>2</v>
      </c>
      <c r="K2564" s="0" t="n">
        <f aca="true">CRITBINOM(J2564,Coefficients!$B$30,RAND())</f>
        <v>1</v>
      </c>
      <c r="L2564" s="0" t="n">
        <f aca="true">CRITBINOM(K2564,Coefficients!$B$31,RAND())</f>
        <v>1</v>
      </c>
      <c r="M2564" s="0" t="n">
        <f aca="true">CRITBINOM(MAX(0,J2564-K2564),1-Coefficients!$B$32,RAND())</f>
        <v>0</v>
      </c>
      <c r="N2564" s="0" t="n">
        <f aca="true">CRITBINOM(MAX(0,$C2564-J2564),MIN(0.6,Matchup!$C$40*SQRT($B2564)/(1-MIN(0.75,Matchup!$C$39*$B2564))),RAND())</f>
        <v>3</v>
      </c>
      <c r="O2564" s="0" t="n">
        <f aca="false">6*J2564+(J2564-K2564-M2564)+2*L2564+3*N2564</f>
        <v>24</v>
      </c>
      <c r="P2564" s="0" t="n">
        <f aca="true">RAND()</f>
        <v>0.659402845243461</v>
      </c>
      <c r="Q2564" s="0" t="n">
        <f aca="true">RAND()</f>
        <v>0.437532948120689</v>
      </c>
      <c r="R2564" s="0" t="n">
        <f aca="false">IF($I2564&lt;&gt;$O2564,0,IF(P2564&lt;Matchup!$B$39,7,IF(P2564&lt;Matchup!$B$39+Matchup!$B$40,3,0)))</f>
        <v>0</v>
      </c>
      <c r="S2564" s="0" t="n">
        <f aca="false">IF($I2564&lt;&gt;$O2564,0,IF(Q2564&lt;Matchup!$C$39,7,IF(Q2564&lt;Matchup!$C$39+Matchup!$C$40,3,0)))</f>
        <v>0</v>
      </c>
      <c r="T2564" s="0" t="n">
        <f aca="false">I2564+R2564</f>
        <v>14</v>
      </c>
      <c r="U2564" s="0" t="n">
        <f aca="false">O2564+S2564</f>
        <v>24</v>
      </c>
      <c r="V2564" s="0" t="n">
        <f aca="false">T2564-U2564</f>
        <v>-10</v>
      </c>
      <c r="W2564" s="0" t="n">
        <f aca="false">T2564+U2564</f>
        <v>38</v>
      </c>
    </row>
    <row r="2565" customFormat="false" ht="15" hidden="false" customHeight="false" outlineLevel="0" collapsed="false">
      <c r="A2565" s="0" t="n">
        <v>2562</v>
      </c>
      <c r="B2565" s="0" t="n">
        <f aca="true">NORMINV(RAND(),1,Coefficients!$B$22)</f>
        <v>0.843405185304596</v>
      </c>
      <c r="C2565" s="0" t="n">
        <f aca="true">MEDIAN(8,16,ROUND(NORMINV(RAND(),Coefficients!$B$20,Coefficients!$B$21),0))</f>
        <v>11</v>
      </c>
      <c r="D2565" s="0" t="n">
        <f aca="true">CRITBINOM($C2565,MIN(0.75,Matchup!$B$39*$B2565),RAND())</f>
        <v>2</v>
      </c>
      <c r="E2565" s="0" t="n">
        <f aca="true">CRITBINOM(D2565,Coefficients!$B$30,RAND())</f>
        <v>0</v>
      </c>
      <c r="F2565" s="0" t="n">
        <f aca="true">CRITBINOM(E2565,Coefficients!$B$31,RAND())</f>
        <v>0</v>
      </c>
      <c r="G2565" s="0" t="n">
        <f aca="true">CRITBINOM(MAX(0,D2565-E2565),1-Coefficients!$B$32,RAND())</f>
        <v>0</v>
      </c>
      <c r="H2565" s="0" t="n">
        <f aca="true">CRITBINOM(MAX(0,$C2565-D2565),MIN(0.6,Matchup!$B$40*SQRT($B2565)/(1-MIN(0.75,Matchup!$B$39*$B2565))),RAND())</f>
        <v>3</v>
      </c>
      <c r="I2565" s="0" t="n">
        <f aca="false">6*D2565+(D2565-E2565-G2565)+2*F2565+3*H2565</f>
        <v>23</v>
      </c>
      <c r="J2565" s="0" t="n">
        <f aca="true">CRITBINOM($C2565,MIN(0.75,Matchup!$C$39*$B2565),RAND())</f>
        <v>3</v>
      </c>
      <c r="K2565" s="0" t="n">
        <f aca="true">CRITBINOM(J2565,Coefficients!$B$30,RAND())</f>
        <v>1</v>
      </c>
      <c r="L2565" s="0" t="n">
        <f aca="true">CRITBINOM(K2565,Coefficients!$B$31,RAND())</f>
        <v>1</v>
      </c>
      <c r="M2565" s="0" t="n">
        <f aca="true">CRITBINOM(MAX(0,J2565-K2565),1-Coefficients!$B$32,RAND())</f>
        <v>1</v>
      </c>
      <c r="N2565" s="0" t="n">
        <f aca="true">CRITBINOM(MAX(0,$C2565-J2565),MIN(0.6,Matchup!$C$40*SQRT($B2565)/(1-MIN(0.75,Matchup!$C$39*$B2565))),RAND())</f>
        <v>0</v>
      </c>
      <c r="O2565" s="0" t="n">
        <f aca="false">6*J2565+(J2565-K2565-M2565)+2*L2565+3*N2565</f>
        <v>21</v>
      </c>
      <c r="P2565" s="0" t="n">
        <f aca="true">RAND()</f>
        <v>0.857795644325767</v>
      </c>
      <c r="Q2565" s="0" t="n">
        <f aca="true">RAND()</f>
        <v>0.209536335942383</v>
      </c>
      <c r="R2565" s="0" t="n">
        <f aca="false">IF($I2565&lt;&gt;$O2565,0,IF(P2565&lt;Matchup!$B$39,7,IF(P2565&lt;Matchup!$B$39+Matchup!$B$40,3,0)))</f>
        <v>0</v>
      </c>
      <c r="S2565" s="0" t="n">
        <f aca="false">IF($I2565&lt;&gt;$O2565,0,IF(Q2565&lt;Matchup!$C$39,7,IF(Q2565&lt;Matchup!$C$39+Matchup!$C$40,3,0)))</f>
        <v>0</v>
      </c>
      <c r="T2565" s="0" t="n">
        <f aca="false">I2565+R2565</f>
        <v>23</v>
      </c>
      <c r="U2565" s="0" t="n">
        <f aca="false">O2565+S2565</f>
        <v>21</v>
      </c>
      <c r="V2565" s="0" t="n">
        <f aca="false">T2565-U2565</f>
        <v>2</v>
      </c>
      <c r="W2565" s="0" t="n">
        <f aca="false">T2565+U2565</f>
        <v>44</v>
      </c>
    </row>
    <row r="2566" customFormat="false" ht="15" hidden="false" customHeight="false" outlineLevel="0" collapsed="false">
      <c r="A2566" s="0" t="n">
        <v>2563</v>
      </c>
      <c r="B2566" s="0" t="n">
        <f aca="true">NORMINV(RAND(),1,Coefficients!$B$22)</f>
        <v>0.944638649360945</v>
      </c>
      <c r="C2566" s="0" t="n">
        <f aca="true">MEDIAN(8,16,ROUND(NORMINV(RAND(),Coefficients!$B$20,Coefficients!$B$21),0))</f>
        <v>12</v>
      </c>
      <c r="D2566" s="0" t="n">
        <f aca="true">CRITBINOM($C2566,MIN(0.75,Matchup!$B$39*$B2566),RAND())</f>
        <v>2</v>
      </c>
      <c r="E2566" s="0" t="n">
        <f aca="true">CRITBINOM(D2566,Coefficients!$B$30,RAND())</f>
        <v>0</v>
      </c>
      <c r="F2566" s="0" t="n">
        <f aca="true">CRITBINOM(E2566,Coefficients!$B$31,RAND())</f>
        <v>0</v>
      </c>
      <c r="G2566" s="0" t="n">
        <f aca="true">CRITBINOM(MAX(0,D2566-E2566),1-Coefficients!$B$32,RAND())</f>
        <v>0</v>
      </c>
      <c r="H2566" s="0" t="n">
        <f aca="true">CRITBINOM(MAX(0,$C2566-D2566),MIN(0.6,Matchup!$B$40*SQRT($B2566)/(1-MIN(0.75,Matchup!$B$39*$B2566))),RAND())</f>
        <v>3</v>
      </c>
      <c r="I2566" s="0" t="n">
        <f aca="false">6*D2566+(D2566-E2566-G2566)+2*F2566+3*H2566</f>
        <v>23</v>
      </c>
      <c r="J2566" s="0" t="n">
        <f aca="true">CRITBINOM($C2566,MIN(0.75,Matchup!$C$39*$B2566),RAND())</f>
        <v>4</v>
      </c>
      <c r="K2566" s="0" t="n">
        <f aca="true">CRITBINOM(J2566,Coefficients!$B$30,RAND())</f>
        <v>0</v>
      </c>
      <c r="L2566" s="0" t="n">
        <f aca="true">CRITBINOM(K2566,Coefficients!$B$31,RAND())</f>
        <v>0</v>
      </c>
      <c r="M2566" s="0" t="n">
        <f aca="true">CRITBINOM(MAX(0,J2566-K2566),1-Coefficients!$B$32,RAND())</f>
        <v>0</v>
      </c>
      <c r="N2566" s="0" t="n">
        <f aca="true">CRITBINOM(MAX(0,$C2566-J2566),MIN(0.6,Matchup!$C$40*SQRT($B2566)/(1-MIN(0.75,Matchup!$C$39*$B2566))),RAND())</f>
        <v>1</v>
      </c>
      <c r="O2566" s="0" t="n">
        <f aca="false">6*J2566+(J2566-K2566-M2566)+2*L2566+3*N2566</f>
        <v>31</v>
      </c>
      <c r="P2566" s="0" t="n">
        <f aca="true">RAND()</f>
        <v>0.464821370593636</v>
      </c>
      <c r="Q2566" s="0" t="n">
        <f aca="true">RAND()</f>
        <v>0.303712309328934</v>
      </c>
      <c r="R2566" s="0" t="n">
        <f aca="false">IF($I2566&lt;&gt;$O2566,0,IF(P2566&lt;Matchup!$B$39,7,IF(P2566&lt;Matchup!$B$39+Matchup!$B$40,3,0)))</f>
        <v>0</v>
      </c>
      <c r="S2566" s="0" t="n">
        <f aca="false">IF($I2566&lt;&gt;$O2566,0,IF(Q2566&lt;Matchup!$C$39,7,IF(Q2566&lt;Matchup!$C$39+Matchup!$C$40,3,0)))</f>
        <v>0</v>
      </c>
      <c r="T2566" s="0" t="n">
        <f aca="false">I2566+R2566</f>
        <v>23</v>
      </c>
      <c r="U2566" s="0" t="n">
        <f aca="false">O2566+S2566</f>
        <v>31</v>
      </c>
      <c r="V2566" s="0" t="n">
        <f aca="false">T2566-U2566</f>
        <v>-8</v>
      </c>
      <c r="W2566" s="0" t="n">
        <f aca="false">T2566+U2566</f>
        <v>54</v>
      </c>
    </row>
    <row r="2567" customFormat="false" ht="15" hidden="false" customHeight="false" outlineLevel="0" collapsed="false">
      <c r="A2567" s="0" t="n">
        <v>2564</v>
      </c>
      <c r="B2567" s="0" t="n">
        <f aca="true">NORMINV(RAND(),1,Coefficients!$B$22)</f>
        <v>1.03937939542006</v>
      </c>
      <c r="C2567" s="0" t="n">
        <f aca="true">MEDIAN(8,16,ROUND(NORMINV(RAND(),Coefficients!$B$20,Coefficients!$B$21),0))</f>
        <v>12</v>
      </c>
      <c r="D2567" s="0" t="n">
        <f aca="true">CRITBINOM($C2567,MIN(0.75,Matchup!$B$39*$B2567),RAND())</f>
        <v>0</v>
      </c>
      <c r="E2567" s="0" t="n">
        <f aca="true">CRITBINOM(D2567,Coefficients!$B$30,RAND())</f>
        <v>0</v>
      </c>
      <c r="F2567" s="0" t="n">
        <f aca="true">CRITBINOM(E2567,Coefficients!$B$31,RAND())</f>
        <v>0</v>
      </c>
      <c r="G2567" s="0" t="n">
        <f aca="true">CRITBINOM(MAX(0,D2567-E2567),1-Coefficients!$B$32,RAND())</f>
        <v>0</v>
      </c>
      <c r="H2567" s="0" t="n">
        <f aca="true">CRITBINOM(MAX(0,$C2567-D2567),MIN(0.6,Matchup!$B$40*SQRT($B2567)/(1-MIN(0.75,Matchup!$B$39*$B2567))),RAND())</f>
        <v>2</v>
      </c>
      <c r="I2567" s="0" t="n">
        <f aca="false">6*D2567+(D2567-E2567-G2567)+2*F2567+3*H2567</f>
        <v>6</v>
      </c>
      <c r="J2567" s="0" t="n">
        <f aca="true">CRITBINOM($C2567,MIN(0.75,Matchup!$C$39*$B2567),RAND())</f>
        <v>5</v>
      </c>
      <c r="K2567" s="0" t="n">
        <f aca="true">CRITBINOM(J2567,Coefficients!$B$30,RAND())</f>
        <v>0</v>
      </c>
      <c r="L2567" s="0" t="n">
        <f aca="true">CRITBINOM(K2567,Coefficients!$B$31,RAND())</f>
        <v>0</v>
      </c>
      <c r="M2567" s="0" t="n">
        <f aca="true">CRITBINOM(MAX(0,J2567-K2567),1-Coefficients!$B$32,RAND())</f>
        <v>0</v>
      </c>
      <c r="N2567" s="0" t="n">
        <f aca="true">CRITBINOM(MAX(0,$C2567-J2567),MIN(0.6,Matchup!$C$40*SQRT($B2567)/(1-MIN(0.75,Matchup!$C$39*$B2567))),RAND())</f>
        <v>1</v>
      </c>
      <c r="O2567" s="0" t="n">
        <f aca="false">6*J2567+(J2567-K2567-M2567)+2*L2567+3*N2567</f>
        <v>38</v>
      </c>
      <c r="P2567" s="0" t="n">
        <f aca="true">RAND()</f>
        <v>0.659110611216273</v>
      </c>
      <c r="Q2567" s="0" t="n">
        <f aca="true">RAND()</f>
        <v>0.366891436508245</v>
      </c>
      <c r="R2567" s="0" t="n">
        <f aca="false">IF($I2567&lt;&gt;$O2567,0,IF(P2567&lt;Matchup!$B$39,7,IF(P2567&lt;Matchup!$B$39+Matchup!$B$40,3,0)))</f>
        <v>0</v>
      </c>
      <c r="S2567" s="0" t="n">
        <f aca="false">IF($I2567&lt;&gt;$O2567,0,IF(Q2567&lt;Matchup!$C$39,7,IF(Q2567&lt;Matchup!$C$39+Matchup!$C$40,3,0)))</f>
        <v>0</v>
      </c>
      <c r="T2567" s="0" t="n">
        <f aca="false">I2567+R2567</f>
        <v>6</v>
      </c>
      <c r="U2567" s="0" t="n">
        <f aca="false">O2567+S2567</f>
        <v>38</v>
      </c>
      <c r="V2567" s="0" t="n">
        <f aca="false">T2567-U2567</f>
        <v>-32</v>
      </c>
      <c r="W2567" s="0" t="n">
        <f aca="false">T2567+U2567</f>
        <v>44</v>
      </c>
    </row>
    <row r="2568" customFormat="false" ht="15" hidden="false" customHeight="false" outlineLevel="0" collapsed="false">
      <c r="A2568" s="0" t="n">
        <v>2565</v>
      </c>
      <c r="B2568" s="0" t="n">
        <f aca="true">NORMINV(RAND(),1,Coefficients!$B$22)</f>
        <v>0.881553828795595</v>
      </c>
      <c r="C2568" s="0" t="n">
        <f aca="true">MEDIAN(8,16,ROUND(NORMINV(RAND(),Coefficients!$B$20,Coefficients!$B$21),0))</f>
        <v>11</v>
      </c>
      <c r="D2568" s="0" t="n">
        <f aca="true">CRITBINOM($C2568,MIN(0.75,Matchup!$B$39*$B2568),RAND())</f>
        <v>1</v>
      </c>
      <c r="E2568" s="0" t="n">
        <f aca="true">CRITBINOM(D2568,Coefficients!$B$30,RAND())</f>
        <v>0</v>
      </c>
      <c r="F2568" s="0" t="n">
        <f aca="true">CRITBINOM(E2568,Coefficients!$B$31,RAND())</f>
        <v>0</v>
      </c>
      <c r="G2568" s="0" t="n">
        <f aca="true">CRITBINOM(MAX(0,D2568-E2568),1-Coefficients!$B$32,RAND())</f>
        <v>0</v>
      </c>
      <c r="H2568" s="0" t="n">
        <f aca="true">CRITBINOM(MAX(0,$C2568-D2568),MIN(0.6,Matchup!$B$40*SQRT($B2568)/(1-MIN(0.75,Matchup!$B$39*$B2568))),RAND())</f>
        <v>0</v>
      </c>
      <c r="I2568" s="0" t="n">
        <f aca="false">6*D2568+(D2568-E2568-G2568)+2*F2568+3*H2568</f>
        <v>7</v>
      </c>
      <c r="J2568" s="0" t="n">
        <f aca="true">CRITBINOM($C2568,MIN(0.75,Matchup!$C$39*$B2568),RAND())</f>
        <v>5</v>
      </c>
      <c r="K2568" s="0" t="n">
        <f aca="true">CRITBINOM(J2568,Coefficients!$B$30,RAND())</f>
        <v>1</v>
      </c>
      <c r="L2568" s="0" t="n">
        <f aca="true">CRITBINOM(K2568,Coefficients!$B$31,RAND())</f>
        <v>1</v>
      </c>
      <c r="M2568" s="0" t="n">
        <f aca="true">CRITBINOM(MAX(0,J2568-K2568),1-Coefficients!$B$32,RAND())</f>
        <v>0</v>
      </c>
      <c r="N2568" s="0" t="n">
        <f aca="true">CRITBINOM(MAX(0,$C2568-J2568),MIN(0.6,Matchup!$C$40*SQRT($B2568)/(1-MIN(0.75,Matchup!$C$39*$B2568))),RAND())</f>
        <v>0</v>
      </c>
      <c r="O2568" s="0" t="n">
        <f aca="false">6*J2568+(J2568-K2568-M2568)+2*L2568+3*N2568</f>
        <v>36</v>
      </c>
      <c r="P2568" s="0" t="n">
        <f aca="true">RAND()</f>
        <v>0.166609184620868</v>
      </c>
      <c r="Q2568" s="0" t="n">
        <f aca="true">RAND()</f>
        <v>0.445424195066198</v>
      </c>
      <c r="R2568" s="0" t="n">
        <f aca="false">IF($I2568&lt;&gt;$O2568,0,IF(P2568&lt;Matchup!$B$39,7,IF(P2568&lt;Matchup!$B$39+Matchup!$B$40,3,0)))</f>
        <v>0</v>
      </c>
      <c r="S2568" s="0" t="n">
        <f aca="false">IF($I2568&lt;&gt;$O2568,0,IF(Q2568&lt;Matchup!$C$39,7,IF(Q2568&lt;Matchup!$C$39+Matchup!$C$40,3,0)))</f>
        <v>0</v>
      </c>
      <c r="T2568" s="0" t="n">
        <f aca="false">I2568+R2568</f>
        <v>7</v>
      </c>
      <c r="U2568" s="0" t="n">
        <f aca="false">O2568+S2568</f>
        <v>36</v>
      </c>
      <c r="V2568" s="0" t="n">
        <f aca="false">T2568-U2568</f>
        <v>-29</v>
      </c>
      <c r="W2568" s="0" t="n">
        <f aca="false">T2568+U2568</f>
        <v>43</v>
      </c>
    </row>
    <row r="2569" customFormat="false" ht="15" hidden="false" customHeight="false" outlineLevel="0" collapsed="false">
      <c r="A2569" s="0" t="n">
        <v>2566</v>
      </c>
      <c r="B2569" s="0" t="n">
        <f aca="true">NORMINV(RAND(),1,Coefficients!$B$22)</f>
        <v>1.12285576093727</v>
      </c>
      <c r="C2569" s="0" t="n">
        <f aca="true">MEDIAN(8,16,ROUND(NORMINV(RAND(),Coefficients!$B$20,Coefficients!$B$21),0))</f>
        <v>10</v>
      </c>
      <c r="D2569" s="0" t="n">
        <f aca="true">CRITBINOM($C2569,MIN(0.75,Matchup!$B$39*$B2569),RAND())</f>
        <v>5</v>
      </c>
      <c r="E2569" s="0" t="n">
        <f aca="true">CRITBINOM(D2569,Coefficients!$B$30,RAND())</f>
        <v>1</v>
      </c>
      <c r="F2569" s="0" t="n">
        <f aca="true">CRITBINOM(E2569,Coefficients!$B$31,RAND())</f>
        <v>0</v>
      </c>
      <c r="G2569" s="0" t="n">
        <f aca="true">CRITBINOM(MAX(0,D2569-E2569),1-Coefficients!$B$32,RAND())</f>
        <v>0</v>
      </c>
      <c r="H2569" s="0" t="n">
        <f aca="true">CRITBINOM(MAX(0,$C2569-D2569),MIN(0.6,Matchup!$B$40*SQRT($B2569)/(1-MIN(0.75,Matchup!$B$39*$B2569))),RAND())</f>
        <v>0</v>
      </c>
      <c r="I2569" s="0" t="n">
        <f aca="false">6*D2569+(D2569-E2569-G2569)+2*F2569+3*H2569</f>
        <v>34</v>
      </c>
      <c r="J2569" s="0" t="n">
        <f aca="true">CRITBINOM($C2569,MIN(0.75,Matchup!$C$39*$B2569),RAND())</f>
        <v>2</v>
      </c>
      <c r="K2569" s="0" t="n">
        <f aca="true">CRITBINOM(J2569,Coefficients!$B$30,RAND())</f>
        <v>0</v>
      </c>
      <c r="L2569" s="0" t="n">
        <f aca="true">CRITBINOM(K2569,Coefficients!$B$31,RAND())</f>
        <v>0</v>
      </c>
      <c r="M2569" s="0" t="n">
        <f aca="true">CRITBINOM(MAX(0,J2569-K2569),1-Coefficients!$B$32,RAND())</f>
        <v>1</v>
      </c>
      <c r="N2569" s="0" t="n">
        <f aca="true">CRITBINOM(MAX(0,$C2569-J2569),MIN(0.6,Matchup!$C$40*SQRT($B2569)/(1-MIN(0.75,Matchup!$C$39*$B2569))),RAND())</f>
        <v>2</v>
      </c>
      <c r="O2569" s="0" t="n">
        <f aca="false">6*J2569+(J2569-K2569-M2569)+2*L2569+3*N2569</f>
        <v>19</v>
      </c>
      <c r="P2569" s="0" t="n">
        <f aca="true">RAND()</f>
        <v>0.691170511413725</v>
      </c>
      <c r="Q2569" s="0" t="n">
        <f aca="true">RAND()</f>
        <v>0.270547752396539</v>
      </c>
      <c r="R2569" s="0" t="n">
        <f aca="false">IF($I2569&lt;&gt;$O2569,0,IF(P2569&lt;Matchup!$B$39,7,IF(P2569&lt;Matchup!$B$39+Matchup!$B$40,3,0)))</f>
        <v>0</v>
      </c>
      <c r="S2569" s="0" t="n">
        <f aca="false">IF($I2569&lt;&gt;$O2569,0,IF(Q2569&lt;Matchup!$C$39,7,IF(Q2569&lt;Matchup!$C$39+Matchup!$C$40,3,0)))</f>
        <v>0</v>
      </c>
      <c r="T2569" s="0" t="n">
        <f aca="false">I2569+R2569</f>
        <v>34</v>
      </c>
      <c r="U2569" s="0" t="n">
        <f aca="false">O2569+S2569</f>
        <v>19</v>
      </c>
      <c r="V2569" s="0" t="n">
        <f aca="false">T2569-U2569</f>
        <v>15</v>
      </c>
      <c r="W2569" s="0" t="n">
        <f aca="false">T2569+U2569</f>
        <v>53</v>
      </c>
    </row>
    <row r="2570" customFormat="false" ht="15" hidden="false" customHeight="false" outlineLevel="0" collapsed="false">
      <c r="A2570" s="0" t="n">
        <v>2567</v>
      </c>
      <c r="B2570" s="0" t="n">
        <f aca="true">NORMINV(RAND(),1,Coefficients!$B$22)</f>
        <v>0.86104999397065</v>
      </c>
      <c r="C2570" s="0" t="n">
        <f aca="true">MEDIAN(8,16,ROUND(NORMINV(RAND(),Coefficients!$B$20,Coefficients!$B$21),0))</f>
        <v>10</v>
      </c>
      <c r="D2570" s="0" t="n">
        <f aca="true">CRITBINOM($C2570,MIN(0.75,Matchup!$B$39*$B2570),RAND())</f>
        <v>2</v>
      </c>
      <c r="E2570" s="0" t="n">
        <f aca="true">CRITBINOM(D2570,Coefficients!$B$30,RAND())</f>
        <v>0</v>
      </c>
      <c r="F2570" s="0" t="n">
        <f aca="true">CRITBINOM(E2570,Coefficients!$B$31,RAND())</f>
        <v>0</v>
      </c>
      <c r="G2570" s="0" t="n">
        <f aca="true">CRITBINOM(MAX(0,D2570-E2570),1-Coefficients!$B$32,RAND())</f>
        <v>0</v>
      </c>
      <c r="H2570" s="0" t="n">
        <f aca="true">CRITBINOM(MAX(0,$C2570-D2570),MIN(0.6,Matchup!$B$40*SQRT($B2570)/(1-MIN(0.75,Matchup!$B$39*$B2570))),RAND())</f>
        <v>1</v>
      </c>
      <c r="I2570" s="0" t="n">
        <f aca="false">6*D2570+(D2570-E2570-G2570)+2*F2570+3*H2570</f>
        <v>17</v>
      </c>
      <c r="J2570" s="0" t="n">
        <f aca="true">CRITBINOM($C2570,MIN(0.75,Matchup!$C$39*$B2570),RAND())</f>
        <v>4</v>
      </c>
      <c r="K2570" s="0" t="n">
        <f aca="true">CRITBINOM(J2570,Coefficients!$B$30,RAND())</f>
        <v>0</v>
      </c>
      <c r="L2570" s="0" t="n">
        <f aca="true">CRITBINOM(K2570,Coefficients!$B$31,RAND())</f>
        <v>0</v>
      </c>
      <c r="M2570" s="0" t="n">
        <f aca="true">CRITBINOM(MAX(0,J2570-K2570),1-Coefficients!$B$32,RAND())</f>
        <v>0</v>
      </c>
      <c r="N2570" s="0" t="n">
        <f aca="true">CRITBINOM(MAX(0,$C2570-J2570),MIN(0.6,Matchup!$C$40*SQRT($B2570)/(1-MIN(0.75,Matchup!$C$39*$B2570))),RAND())</f>
        <v>0</v>
      </c>
      <c r="O2570" s="0" t="n">
        <f aca="false">6*J2570+(J2570-K2570-M2570)+2*L2570+3*N2570</f>
        <v>28</v>
      </c>
      <c r="P2570" s="0" t="n">
        <f aca="true">RAND()</f>
        <v>0.674954510473482</v>
      </c>
      <c r="Q2570" s="0" t="n">
        <f aca="true">RAND()</f>
        <v>0.297231367200927</v>
      </c>
      <c r="R2570" s="0" t="n">
        <f aca="false">IF($I2570&lt;&gt;$O2570,0,IF(P2570&lt;Matchup!$B$39,7,IF(P2570&lt;Matchup!$B$39+Matchup!$B$40,3,0)))</f>
        <v>0</v>
      </c>
      <c r="S2570" s="0" t="n">
        <f aca="false">IF($I2570&lt;&gt;$O2570,0,IF(Q2570&lt;Matchup!$C$39,7,IF(Q2570&lt;Matchup!$C$39+Matchup!$C$40,3,0)))</f>
        <v>0</v>
      </c>
      <c r="T2570" s="0" t="n">
        <f aca="false">I2570+R2570</f>
        <v>17</v>
      </c>
      <c r="U2570" s="0" t="n">
        <f aca="false">O2570+S2570</f>
        <v>28</v>
      </c>
      <c r="V2570" s="0" t="n">
        <f aca="false">T2570-U2570</f>
        <v>-11</v>
      </c>
      <c r="W2570" s="0" t="n">
        <f aca="false">T2570+U2570</f>
        <v>45</v>
      </c>
    </row>
    <row r="2571" customFormat="false" ht="15" hidden="false" customHeight="false" outlineLevel="0" collapsed="false">
      <c r="A2571" s="0" t="n">
        <v>2568</v>
      </c>
      <c r="B2571" s="0" t="n">
        <f aca="true">NORMINV(RAND(),1,Coefficients!$B$22)</f>
        <v>1.01124550983694</v>
      </c>
      <c r="C2571" s="0" t="n">
        <f aca="true">MEDIAN(8,16,ROUND(NORMINV(RAND(),Coefficients!$B$20,Coefficients!$B$21),0))</f>
        <v>10</v>
      </c>
      <c r="D2571" s="0" t="n">
        <f aca="true">CRITBINOM($C2571,MIN(0.75,Matchup!$B$39*$B2571),RAND())</f>
        <v>2</v>
      </c>
      <c r="E2571" s="0" t="n">
        <f aca="true">CRITBINOM(D2571,Coefficients!$B$30,RAND())</f>
        <v>0</v>
      </c>
      <c r="F2571" s="0" t="n">
        <f aca="true">CRITBINOM(E2571,Coefficients!$B$31,RAND())</f>
        <v>0</v>
      </c>
      <c r="G2571" s="0" t="n">
        <f aca="true">CRITBINOM(MAX(0,D2571-E2571),1-Coefficients!$B$32,RAND())</f>
        <v>0</v>
      </c>
      <c r="H2571" s="0" t="n">
        <f aca="true">CRITBINOM(MAX(0,$C2571-D2571),MIN(0.6,Matchup!$B$40*SQRT($B2571)/(1-MIN(0.75,Matchup!$B$39*$B2571))),RAND())</f>
        <v>2</v>
      </c>
      <c r="I2571" s="0" t="n">
        <f aca="false">6*D2571+(D2571-E2571-G2571)+2*F2571+3*H2571</f>
        <v>20</v>
      </c>
      <c r="J2571" s="0" t="n">
        <f aca="true">CRITBINOM($C2571,MIN(0.75,Matchup!$C$39*$B2571),RAND())</f>
        <v>0</v>
      </c>
      <c r="K2571" s="0" t="n">
        <f aca="true">CRITBINOM(J2571,Coefficients!$B$30,RAND())</f>
        <v>0</v>
      </c>
      <c r="L2571" s="0" t="n">
        <f aca="true">CRITBINOM(K2571,Coefficients!$B$31,RAND())</f>
        <v>0</v>
      </c>
      <c r="M2571" s="0" t="n">
        <f aca="true">CRITBINOM(MAX(0,J2571-K2571),1-Coefficients!$B$32,RAND())</f>
        <v>0</v>
      </c>
      <c r="N2571" s="0" t="n">
        <f aca="true">CRITBINOM(MAX(0,$C2571-J2571),MIN(0.6,Matchup!$C$40*SQRT($B2571)/(1-MIN(0.75,Matchup!$C$39*$B2571))),RAND())</f>
        <v>1</v>
      </c>
      <c r="O2571" s="0" t="n">
        <f aca="false">6*J2571+(J2571-K2571-M2571)+2*L2571+3*N2571</f>
        <v>3</v>
      </c>
      <c r="P2571" s="0" t="n">
        <f aca="true">RAND()</f>
        <v>0.50387507666853</v>
      </c>
      <c r="Q2571" s="0" t="n">
        <f aca="true">RAND()</f>
        <v>0.0917529597409232</v>
      </c>
      <c r="R2571" s="0" t="n">
        <f aca="false">IF($I2571&lt;&gt;$O2571,0,IF(P2571&lt;Matchup!$B$39,7,IF(P2571&lt;Matchup!$B$39+Matchup!$B$40,3,0)))</f>
        <v>0</v>
      </c>
      <c r="S2571" s="0" t="n">
        <f aca="false">IF($I2571&lt;&gt;$O2571,0,IF(Q2571&lt;Matchup!$C$39,7,IF(Q2571&lt;Matchup!$C$39+Matchup!$C$40,3,0)))</f>
        <v>0</v>
      </c>
      <c r="T2571" s="0" t="n">
        <f aca="false">I2571+R2571</f>
        <v>20</v>
      </c>
      <c r="U2571" s="0" t="n">
        <f aca="false">O2571+S2571</f>
        <v>3</v>
      </c>
      <c r="V2571" s="0" t="n">
        <f aca="false">T2571-U2571</f>
        <v>17</v>
      </c>
      <c r="W2571" s="0" t="n">
        <f aca="false">T2571+U2571</f>
        <v>23</v>
      </c>
    </row>
    <row r="2572" customFormat="false" ht="15" hidden="false" customHeight="false" outlineLevel="0" collapsed="false">
      <c r="A2572" s="0" t="n">
        <v>2569</v>
      </c>
      <c r="B2572" s="0" t="n">
        <f aca="true">NORMINV(RAND(),1,Coefficients!$B$22)</f>
        <v>1.02869788470726</v>
      </c>
      <c r="C2572" s="0" t="n">
        <f aca="true">MEDIAN(8,16,ROUND(NORMINV(RAND(),Coefficients!$B$20,Coefficients!$B$21),0))</f>
        <v>12</v>
      </c>
      <c r="D2572" s="0" t="n">
        <f aca="true">CRITBINOM($C2572,MIN(0.75,Matchup!$B$39*$B2572),RAND())</f>
        <v>4</v>
      </c>
      <c r="E2572" s="0" t="n">
        <f aca="true">CRITBINOM(D2572,Coefficients!$B$30,RAND())</f>
        <v>1</v>
      </c>
      <c r="F2572" s="0" t="n">
        <f aca="true">CRITBINOM(E2572,Coefficients!$B$31,RAND())</f>
        <v>1</v>
      </c>
      <c r="G2572" s="0" t="n">
        <f aca="true">CRITBINOM(MAX(0,D2572-E2572),1-Coefficients!$B$32,RAND())</f>
        <v>0</v>
      </c>
      <c r="H2572" s="0" t="n">
        <f aca="true">CRITBINOM(MAX(0,$C2572-D2572),MIN(0.6,Matchup!$B$40*SQRT($B2572)/(1-MIN(0.75,Matchup!$B$39*$B2572))),RAND())</f>
        <v>2</v>
      </c>
      <c r="I2572" s="0" t="n">
        <f aca="false">6*D2572+(D2572-E2572-G2572)+2*F2572+3*H2572</f>
        <v>35</v>
      </c>
      <c r="J2572" s="0" t="n">
        <f aca="true">CRITBINOM($C2572,MIN(0.75,Matchup!$C$39*$B2572),RAND())</f>
        <v>3</v>
      </c>
      <c r="K2572" s="0" t="n">
        <f aca="true">CRITBINOM(J2572,Coefficients!$B$30,RAND())</f>
        <v>0</v>
      </c>
      <c r="L2572" s="0" t="n">
        <f aca="true">CRITBINOM(K2572,Coefficients!$B$31,RAND())</f>
        <v>0</v>
      </c>
      <c r="M2572" s="0" t="n">
        <f aca="true">CRITBINOM(MAX(0,J2572-K2572),1-Coefficients!$B$32,RAND())</f>
        <v>0</v>
      </c>
      <c r="N2572" s="0" t="n">
        <f aca="true">CRITBINOM(MAX(0,$C2572-J2572),MIN(0.6,Matchup!$C$40*SQRT($B2572)/(1-MIN(0.75,Matchup!$C$39*$B2572))),RAND())</f>
        <v>3</v>
      </c>
      <c r="O2572" s="0" t="n">
        <f aca="false">6*J2572+(J2572-K2572-M2572)+2*L2572+3*N2572</f>
        <v>30</v>
      </c>
      <c r="P2572" s="0" t="n">
        <f aca="true">RAND()</f>
        <v>0.357122643416383</v>
      </c>
      <c r="Q2572" s="0" t="n">
        <f aca="true">RAND()</f>
        <v>0.234750446697759</v>
      </c>
      <c r="R2572" s="0" t="n">
        <f aca="false">IF($I2572&lt;&gt;$O2572,0,IF(P2572&lt;Matchup!$B$39,7,IF(P2572&lt;Matchup!$B$39+Matchup!$B$40,3,0)))</f>
        <v>0</v>
      </c>
      <c r="S2572" s="0" t="n">
        <f aca="false">IF($I2572&lt;&gt;$O2572,0,IF(Q2572&lt;Matchup!$C$39,7,IF(Q2572&lt;Matchup!$C$39+Matchup!$C$40,3,0)))</f>
        <v>0</v>
      </c>
      <c r="T2572" s="0" t="n">
        <f aca="false">I2572+R2572</f>
        <v>35</v>
      </c>
      <c r="U2572" s="0" t="n">
        <f aca="false">O2572+S2572</f>
        <v>30</v>
      </c>
      <c r="V2572" s="0" t="n">
        <f aca="false">T2572-U2572</f>
        <v>5</v>
      </c>
      <c r="W2572" s="0" t="n">
        <f aca="false">T2572+U2572</f>
        <v>65</v>
      </c>
    </row>
    <row r="2573" customFormat="false" ht="15" hidden="false" customHeight="false" outlineLevel="0" collapsed="false">
      <c r="A2573" s="0" t="n">
        <v>2570</v>
      </c>
      <c r="B2573" s="0" t="n">
        <f aca="true">NORMINV(RAND(),1,Coefficients!$B$22)</f>
        <v>0.959569017526587</v>
      </c>
      <c r="C2573" s="0" t="n">
        <f aca="true">MEDIAN(8,16,ROUND(NORMINV(RAND(),Coefficients!$B$20,Coefficients!$B$21),0))</f>
        <v>11</v>
      </c>
      <c r="D2573" s="0" t="n">
        <f aca="true">CRITBINOM($C2573,MIN(0.75,Matchup!$B$39*$B2573),RAND())</f>
        <v>1</v>
      </c>
      <c r="E2573" s="0" t="n">
        <f aca="true">CRITBINOM(D2573,Coefficients!$B$30,RAND())</f>
        <v>0</v>
      </c>
      <c r="F2573" s="0" t="n">
        <f aca="true">CRITBINOM(E2573,Coefficients!$B$31,RAND())</f>
        <v>0</v>
      </c>
      <c r="G2573" s="0" t="n">
        <f aca="true">CRITBINOM(MAX(0,D2573-E2573),1-Coefficients!$B$32,RAND())</f>
        <v>0</v>
      </c>
      <c r="H2573" s="0" t="n">
        <f aca="true">CRITBINOM(MAX(0,$C2573-D2573),MIN(0.6,Matchup!$B$40*SQRT($B2573)/(1-MIN(0.75,Matchup!$B$39*$B2573))),RAND())</f>
        <v>1</v>
      </c>
      <c r="I2573" s="0" t="n">
        <f aca="false">6*D2573+(D2573-E2573-G2573)+2*F2573+3*H2573</f>
        <v>10</v>
      </c>
      <c r="J2573" s="0" t="n">
        <f aca="true">CRITBINOM($C2573,MIN(0.75,Matchup!$C$39*$B2573),RAND())</f>
        <v>5</v>
      </c>
      <c r="K2573" s="0" t="n">
        <f aca="true">CRITBINOM(J2573,Coefficients!$B$30,RAND())</f>
        <v>1</v>
      </c>
      <c r="L2573" s="0" t="n">
        <f aca="true">CRITBINOM(K2573,Coefficients!$B$31,RAND())</f>
        <v>0</v>
      </c>
      <c r="M2573" s="0" t="n">
        <f aca="true">CRITBINOM(MAX(0,J2573-K2573),1-Coefficients!$B$32,RAND())</f>
        <v>0</v>
      </c>
      <c r="N2573" s="0" t="n">
        <f aca="true">CRITBINOM(MAX(0,$C2573-J2573),MIN(0.6,Matchup!$C$40*SQRT($B2573)/(1-MIN(0.75,Matchup!$C$39*$B2573))),RAND())</f>
        <v>2</v>
      </c>
      <c r="O2573" s="0" t="n">
        <f aca="false">6*J2573+(J2573-K2573-M2573)+2*L2573+3*N2573</f>
        <v>40</v>
      </c>
      <c r="P2573" s="0" t="n">
        <f aca="true">RAND()</f>
        <v>0.341235336452726</v>
      </c>
      <c r="Q2573" s="0" t="n">
        <f aca="true">RAND()</f>
        <v>0.142992496317398</v>
      </c>
      <c r="R2573" s="0" t="n">
        <f aca="false">IF($I2573&lt;&gt;$O2573,0,IF(P2573&lt;Matchup!$B$39,7,IF(P2573&lt;Matchup!$B$39+Matchup!$B$40,3,0)))</f>
        <v>0</v>
      </c>
      <c r="S2573" s="0" t="n">
        <f aca="false">IF($I2573&lt;&gt;$O2573,0,IF(Q2573&lt;Matchup!$C$39,7,IF(Q2573&lt;Matchup!$C$39+Matchup!$C$40,3,0)))</f>
        <v>0</v>
      </c>
      <c r="T2573" s="0" t="n">
        <f aca="false">I2573+R2573</f>
        <v>10</v>
      </c>
      <c r="U2573" s="0" t="n">
        <f aca="false">O2573+S2573</f>
        <v>40</v>
      </c>
      <c r="V2573" s="0" t="n">
        <f aca="false">T2573-U2573</f>
        <v>-30</v>
      </c>
      <c r="W2573" s="0" t="n">
        <f aca="false">T2573+U2573</f>
        <v>50</v>
      </c>
    </row>
    <row r="2574" customFormat="false" ht="15" hidden="false" customHeight="false" outlineLevel="0" collapsed="false">
      <c r="A2574" s="0" t="n">
        <v>2571</v>
      </c>
      <c r="B2574" s="0" t="n">
        <f aca="true">NORMINV(RAND(),1,Coefficients!$B$22)</f>
        <v>0.965342264839584</v>
      </c>
      <c r="C2574" s="0" t="n">
        <f aca="true">MEDIAN(8,16,ROUND(NORMINV(RAND(),Coefficients!$B$20,Coefficients!$B$21),0))</f>
        <v>10</v>
      </c>
      <c r="D2574" s="0" t="n">
        <f aca="true">CRITBINOM($C2574,MIN(0.75,Matchup!$B$39*$B2574),RAND())</f>
        <v>3</v>
      </c>
      <c r="E2574" s="0" t="n">
        <f aca="true">CRITBINOM(D2574,Coefficients!$B$30,RAND())</f>
        <v>0</v>
      </c>
      <c r="F2574" s="0" t="n">
        <f aca="true">CRITBINOM(E2574,Coefficients!$B$31,RAND())</f>
        <v>0</v>
      </c>
      <c r="G2574" s="0" t="n">
        <f aca="true">CRITBINOM(MAX(0,D2574-E2574),1-Coefficients!$B$32,RAND())</f>
        <v>0</v>
      </c>
      <c r="H2574" s="0" t="n">
        <f aca="true">CRITBINOM(MAX(0,$C2574-D2574),MIN(0.6,Matchup!$B$40*SQRT($B2574)/(1-MIN(0.75,Matchup!$B$39*$B2574))),RAND())</f>
        <v>1</v>
      </c>
      <c r="I2574" s="0" t="n">
        <f aca="false">6*D2574+(D2574-E2574-G2574)+2*F2574+3*H2574</f>
        <v>24</v>
      </c>
      <c r="J2574" s="0" t="n">
        <f aca="true">CRITBINOM($C2574,MIN(0.75,Matchup!$C$39*$B2574),RAND())</f>
        <v>4</v>
      </c>
      <c r="K2574" s="0" t="n">
        <f aca="true">CRITBINOM(J2574,Coefficients!$B$30,RAND())</f>
        <v>2</v>
      </c>
      <c r="L2574" s="0" t="n">
        <f aca="true">CRITBINOM(K2574,Coefficients!$B$31,RAND())</f>
        <v>1</v>
      </c>
      <c r="M2574" s="0" t="n">
        <f aca="true">CRITBINOM(MAX(0,J2574-K2574),1-Coefficients!$B$32,RAND())</f>
        <v>1</v>
      </c>
      <c r="N2574" s="0" t="n">
        <f aca="true">CRITBINOM(MAX(0,$C2574-J2574),MIN(0.6,Matchup!$C$40*SQRT($B2574)/(1-MIN(0.75,Matchup!$C$39*$B2574))),RAND())</f>
        <v>2</v>
      </c>
      <c r="O2574" s="0" t="n">
        <f aca="false">6*J2574+(J2574-K2574-M2574)+2*L2574+3*N2574</f>
        <v>33</v>
      </c>
      <c r="P2574" s="0" t="n">
        <f aca="true">RAND()</f>
        <v>0.734121897986761</v>
      </c>
      <c r="Q2574" s="0" t="n">
        <f aca="true">RAND()</f>
        <v>0.830041193056902</v>
      </c>
      <c r="R2574" s="0" t="n">
        <f aca="false">IF($I2574&lt;&gt;$O2574,0,IF(P2574&lt;Matchup!$B$39,7,IF(P2574&lt;Matchup!$B$39+Matchup!$B$40,3,0)))</f>
        <v>0</v>
      </c>
      <c r="S2574" s="0" t="n">
        <f aca="false">IF($I2574&lt;&gt;$O2574,0,IF(Q2574&lt;Matchup!$C$39,7,IF(Q2574&lt;Matchup!$C$39+Matchup!$C$40,3,0)))</f>
        <v>0</v>
      </c>
      <c r="T2574" s="0" t="n">
        <f aca="false">I2574+R2574</f>
        <v>24</v>
      </c>
      <c r="U2574" s="0" t="n">
        <f aca="false">O2574+S2574</f>
        <v>33</v>
      </c>
      <c r="V2574" s="0" t="n">
        <f aca="false">T2574-U2574</f>
        <v>-9</v>
      </c>
      <c r="W2574" s="0" t="n">
        <f aca="false">T2574+U2574</f>
        <v>57</v>
      </c>
    </row>
    <row r="2575" customFormat="false" ht="15" hidden="false" customHeight="false" outlineLevel="0" collapsed="false">
      <c r="A2575" s="0" t="n">
        <v>2572</v>
      </c>
      <c r="B2575" s="0" t="n">
        <f aca="true">NORMINV(RAND(),1,Coefficients!$B$22)</f>
        <v>1.0428776126801</v>
      </c>
      <c r="C2575" s="0" t="n">
        <f aca="true">MEDIAN(8,16,ROUND(NORMINV(RAND(),Coefficients!$B$20,Coefficients!$B$21),0))</f>
        <v>12</v>
      </c>
      <c r="D2575" s="0" t="n">
        <f aca="true">CRITBINOM($C2575,MIN(0.75,Matchup!$B$39*$B2575),RAND())</f>
        <v>2</v>
      </c>
      <c r="E2575" s="0" t="n">
        <f aca="true">CRITBINOM(D2575,Coefficients!$B$30,RAND())</f>
        <v>0</v>
      </c>
      <c r="F2575" s="0" t="n">
        <f aca="true">CRITBINOM(E2575,Coefficients!$B$31,RAND())</f>
        <v>0</v>
      </c>
      <c r="G2575" s="0" t="n">
        <f aca="true">CRITBINOM(MAX(0,D2575-E2575),1-Coefficients!$B$32,RAND())</f>
        <v>0</v>
      </c>
      <c r="H2575" s="0" t="n">
        <f aca="true">CRITBINOM(MAX(0,$C2575-D2575),MIN(0.6,Matchup!$B$40*SQRT($B2575)/(1-MIN(0.75,Matchup!$B$39*$B2575))),RAND())</f>
        <v>0</v>
      </c>
      <c r="I2575" s="0" t="n">
        <f aca="false">6*D2575+(D2575-E2575-G2575)+2*F2575+3*H2575</f>
        <v>14</v>
      </c>
      <c r="J2575" s="0" t="n">
        <f aca="true">CRITBINOM($C2575,MIN(0.75,Matchup!$C$39*$B2575),RAND())</f>
        <v>1</v>
      </c>
      <c r="K2575" s="0" t="n">
        <f aca="true">CRITBINOM(J2575,Coefficients!$B$30,RAND())</f>
        <v>0</v>
      </c>
      <c r="L2575" s="0" t="n">
        <f aca="true">CRITBINOM(K2575,Coefficients!$B$31,RAND())</f>
        <v>0</v>
      </c>
      <c r="M2575" s="0" t="n">
        <f aca="true">CRITBINOM(MAX(0,J2575-K2575),1-Coefficients!$B$32,RAND())</f>
        <v>0</v>
      </c>
      <c r="N2575" s="0" t="n">
        <f aca="true">CRITBINOM(MAX(0,$C2575-J2575),MIN(0.6,Matchup!$C$40*SQRT($B2575)/(1-MIN(0.75,Matchup!$C$39*$B2575))),RAND())</f>
        <v>3</v>
      </c>
      <c r="O2575" s="0" t="n">
        <f aca="false">6*J2575+(J2575-K2575-M2575)+2*L2575+3*N2575</f>
        <v>16</v>
      </c>
      <c r="P2575" s="0" t="n">
        <f aca="true">RAND()</f>
        <v>0.16353109757426</v>
      </c>
      <c r="Q2575" s="0" t="n">
        <f aca="true">RAND()</f>
        <v>0.450330406814364</v>
      </c>
      <c r="R2575" s="0" t="n">
        <f aca="false">IF($I2575&lt;&gt;$O2575,0,IF(P2575&lt;Matchup!$B$39,7,IF(P2575&lt;Matchup!$B$39+Matchup!$B$40,3,0)))</f>
        <v>0</v>
      </c>
      <c r="S2575" s="0" t="n">
        <f aca="false">IF($I2575&lt;&gt;$O2575,0,IF(Q2575&lt;Matchup!$C$39,7,IF(Q2575&lt;Matchup!$C$39+Matchup!$C$40,3,0)))</f>
        <v>0</v>
      </c>
      <c r="T2575" s="0" t="n">
        <f aca="false">I2575+R2575</f>
        <v>14</v>
      </c>
      <c r="U2575" s="0" t="n">
        <f aca="false">O2575+S2575</f>
        <v>16</v>
      </c>
      <c r="V2575" s="0" t="n">
        <f aca="false">T2575-U2575</f>
        <v>-2</v>
      </c>
      <c r="W2575" s="0" t="n">
        <f aca="false">T2575+U2575</f>
        <v>30</v>
      </c>
    </row>
    <row r="2576" customFormat="false" ht="15" hidden="false" customHeight="false" outlineLevel="0" collapsed="false">
      <c r="A2576" s="0" t="n">
        <v>2573</v>
      </c>
      <c r="B2576" s="0" t="n">
        <f aca="true">NORMINV(RAND(),1,Coefficients!$B$22)</f>
        <v>0.896360807418197</v>
      </c>
      <c r="C2576" s="0" t="n">
        <f aca="true">MEDIAN(8,16,ROUND(NORMINV(RAND(),Coefficients!$B$20,Coefficients!$B$21),0))</f>
        <v>11</v>
      </c>
      <c r="D2576" s="0" t="n">
        <f aca="true">CRITBINOM($C2576,MIN(0.75,Matchup!$B$39*$B2576),RAND())</f>
        <v>3</v>
      </c>
      <c r="E2576" s="0" t="n">
        <f aca="true">CRITBINOM(D2576,Coefficients!$B$30,RAND())</f>
        <v>0</v>
      </c>
      <c r="F2576" s="0" t="n">
        <f aca="true">CRITBINOM(E2576,Coefficients!$B$31,RAND())</f>
        <v>0</v>
      </c>
      <c r="G2576" s="0" t="n">
        <f aca="true">CRITBINOM(MAX(0,D2576-E2576),1-Coefficients!$B$32,RAND())</f>
        <v>0</v>
      </c>
      <c r="H2576" s="0" t="n">
        <f aca="true">CRITBINOM(MAX(0,$C2576-D2576),MIN(0.6,Matchup!$B$40*SQRT($B2576)/(1-MIN(0.75,Matchup!$B$39*$B2576))),RAND())</f>
        <v>3</v>
      </c>
      <c r="I2576" s="0" t="n">
        <f aca="false">6*D2576+(D2576-E2576-G2576)+2*F2576+3*H2576</f>
        <v>30</v>
      </c>
      <c r="J2576" s="0" t="n">
        <f aca="true">CRITBINOM($C2576,MIN(0.75,Matchup!$C$39*$B2576),RAND())</f>
        <v>3</v>
      </c>
      <c r="K2576" s="0" t="n">
        <f aca="true">CRITBINOM(J2576,Coefficients!$B$30,RAND())</f>
        <v>0</v>
      </c>
      <c r="L2576" s="0" t="n">
        <f aca="true">CRITBINOM(K2576,Coefficients!$B$31,RAND())</f>
        <v>0</v>
      </c>
      <c r="M2576" s="0" t="n">
        <f aca="true">CRITBINOM(MAX(0,J2576-K2576),1-Coefficients!$B$32,RAND())</f>
        <v>0</v>
      </c>
      <c r="N2576" s="0" t="n">
        <f aca="true">CRITBINOM(MAX(0,$C2576-J2576),MIN(0.6,Matchup!$C$40*SQRT($B2576)/(1-MIN(0.75,Matchup!$C$39*$B2576))),RAND())</f>
        <v>2</v>
      </c>
      <c r="O2576" s="0" t="n">
        <f aca="false">6*J2576+(J2576-K2576-M2576)+2*L2576+3*N2576</f>
        <v>27</v>
      </c>
      <c r="P2576" s="0" t="n">
        <f aca="true">RAND()</f>
        <v>0.285490106552554</v>
      </c>
      <c r="Q2576" s="0" t="n">
        <f aca="true">RAND()</f>
        <v>0.0606751645380822</v>
      </c>
      <c r="R2576" s="0" t="n">
        <f aca="false">IF($I2576&lt;&gt;$O2576,0,IF(P2576&lt;Matchup!$B$39,7,IF(P2576&lt;Matchup!$B$39+Matchup!$B$40,3,0)))</f>
        <v>0</v>
      </c>
      <c r="S2576" s="0" t="n">
        <f aca="false">IF($I2576&lt;&gt;$O2576,0,IF(Q2576&lt;Matchup!$C$39,7,IF(Q2576&lt;Matchup!$C$39+Matchup!$C$40,3,0)))</f>
        <v>0</v>
      </c>
      <c r="T2576" s="0" t="n">
        <f aca="false">I2576+R2576</f>
        <v>30</v>
      </c>
      <c r="U2576" s="0" t="n">
        <f aca="false">O2576+S2576</f>
        <v>27</v>
      </c>
      <c r="V2576" s="0" t="n">
        <f aca="false">T2576-U2576</f>
        <v>3</v>
      </c>
      <c r="W2576" s="0" t="n">
        <f aca="false">T2576+U2576</f>
        <v>57</v>
      </c>
    </row>
    <row r="2577" customFormat="false" ht="15" hidden="false" customHeight="false" outlineLevel="0" collapsed="false">
      <c r="A2577" s="0" t="n">
        <v>2574</v>
      </c>
      <c r="B2577" s="0" t="n">
        <f aca="true">NORMINV(RAND(),1,Coefficients!$B$22)</f>
        <v>0.976327535255411</v>
      </c>
      <c r="C2577" s="0" t="n">
        <f aca="true">MEDIAN(8,16,ROUND(NORMINV(RAND(),Coefficients!$B$20,Coefficients!$B$21),0))</f>
        <v>12</v>
      </c>
      <c r="D2577" s="0" t="n">
        <f aca="true">CRITBINOM($C2577,MIN(0.75,Matchup!$B$39*$B2577),RAND())</f>
        <v>3</v>
      </c>
      <c r="E2577" s="0" t="n">
        <f aca="true">CRITBINOM(D2577,Coefficients!$B$30,RAND())</f>
        <v>0</v>
      </c>
      <c r="F2577" s="0" t="n">
        <f aca="true">CRITBINOM(E2577,Coefficients!$B$31,RAND())</f>
        <v>0</v>
      </c>
      <c r="G2577" s="0" t="n">
        <f aca="true">CRITBINOM(MAX(0,D2577-E2577),1-Coefficients!$B$32,RAND())</f>
        <v>0</v>
      </c>
      <c r="H2577" s="0" t="n">
        <f aca="true">CRITBINOM(MAX(0,$C2577-D2577),MIN(0.6,Matchup!$B$40*SQRT($B2577)/(1-MIN(0.75,Matchup!$B$39*$B2577))),RAND())</f>
        <v>2</v>
      </c>
      <c r="I2577" s="0" t="n">
        <f aca="false">6*D2577+(D2577-E2577-G2577)+2*F2577+3*H2577</f>
        <v>27</v>
      </c>
      <c r="J2577" s="0" t="n">
        <f aca="true">CRITBINOM($C2577,MIN(0.75,Matchup!$C$39*$B2577),RAND())</f>
        <v>3</v>
      </c>
      <c r="K2577" s="0" t="n">
        <f aca="true">CRITBINOM(J2577,Coefficients!$B$30,RAND())</f>
        <v>0</v>
      </c>
      <c r="L2577" s="0" t="n">
        <f aca="true">CRITBINOM(K2577,Coefficients!$B$31,RAND())</f>
        <v>0</v>
      </c>
      <c r="M2577" s="0" t="n">
        <f aca="true">CRITBINOM(MAX(0,J2577-K2577),1-Coefficients!$B$32,RAND())</f>
        <v>0</v>
      </c>
      <c r="N2577" s="0" t="n">
        <f aca="true">CRITBINOM(MAX(0,$C2577-J2577),MIN(0.6,Matchup!$C$40*SQRT($B2577)/(1-MIN(0.75,Matchup!$C$39*$B2577))),RAND())</f>
        <v>0</v>
      </c>
      <c r="O2577" s="0" t="n">
        <f aca="false">6*J2577+(J2577-K2577-M2577)+2*L2577+3*N2577</f>
        <v>21</v>
      </c>
      <c r="P2577" s="0" t="n">
        <f aca="true">RAND()</f>
        <v>0.0900323843551929</v>
      </c>
      <c r="Q2577" s="0" t="n">
        <f aca="true">RAND()</f>
        <v>0.148757522710585</v>
      </c>
      <c r="R2577" s="0" t="n">
        <f aca="false">IF($I2577&lt;&gt;$O2577,0,IF(P2577&lt;Matchup!$B$39,7,IF(P2577&lt;Matchup!$B$39+Matchup!$B$40,3,0)))</f>
        <v>0</v>
      </c>
      <c r="S2577" s="0" t="n">
        <f aca="false">IF($I2577&lt;&gt;$O2577,0,IF(Q2577&lt;Matchup!$C$39,7,IF(Q2577&lt;Matchup!$C$39+Matchup!$C$40,3,0)))</f>
        <v>0</v>
      </c>
      <c r="T2577" s="0" t="n">
        <f aca="false">I2577+R2577</f>
        <v>27</v>
      </c>
      <c r="U2577" s="0" t="n">
        <f aca="false">O2577+S2577</f>
        <v>21</v>
      </c>
      <c r="V2577" s="0" t="n">
        <f aca="false">T2577-U2577</f>
        <v>6</v>
      </c>
      <c r="W2577" s="0" t="n">
        <f aca="false">T2577+U2577</f>
        <v>48</v>
      </c>
    </row>
    <row r="2578" customFormat="false" ht="15" hidden="false" customHeight="false" outlineLevel="0" collapsed="false">
      <c r="A2578" s="0" t="n">
        <v>2575</v>
      </c>
      <c r="B2578" s="0" t="n">
        <f aca="true">NORMINV(RAND(),1,Coefficients!$B$22)</f>
        <v>0.98794004442866</v>
      </c>
      <c r="C2578" s="0" t="n">
        <f aca="true">MEDIAN(8,16,ROUND(NORMINV(RAND(),Coefficients!$B$20,Coefficients!$B$21),0))</f>
        <v>14</v>
      </c>
      <c r="D2578" s="0" t="n">
        <f aca="true">CRITBINOM($C2578,MIN(0.75,Matchup!$B$39*$B2578),RAND())</f>
        <v>6</v>
      </c>
      <c r="E2578" s="0" t="n">
        <f aca="true">CRITBINOM(D2578,Coefficients!$B$30,RAND())</f>
        <v>0</v>
      </c>
      <c r="F2578" s="0" t="n">
        <f aca="true">CRITBINOM(E2578,Coefficients!$B$31,RAND())</f>
        <v>0</v>
      </c>
      <c r="G2578" s="0" t="n">
        <f aca="true">CRITBINOM(MAX(0,D2578-E2578),1-Coefficients!$B$32,RAND())</f>
        <v>1</v>
      </c>
      <c r="H2578" s="0" t="n">
        <f aca="true">CRITBINOM(MAX(0,$C2578-D2578),MIN(0.6,Matchup!$B$40*SQRT($B2578)/(1-MIN(0.75,Matchup!$B$39*$B2578))),RAND())</f>
        <v>3</v>
      </c>
      <c r="I2578" s="0" t="n">
        <f aca="false">6*D2578+(D2578-E2578-G2578)+2*F2578+3*H2578</f>
        <v>50</v>
      </c>
      <c r="J2578" s="0" t="n">
        <f aca="true">CRITBINOM($C2578,MIN(0.75,Matchup!$C$39*$B2578),RAND())</f>
        <v>5</v>
      </c>
      <c r="K2578" s="0" t="n">
        <f aca="true">CRITBINOM(J2578,Coefficients!$B$30,RAND())</f>
        <v>1</v>
      </c>
      <c r="L2578" s="0" t="n">
        <f aca="true">CRITBINOM(K2578,Coefficients!$B$31,RAND())</f>
        <v>1</v>
      </c>
      <c r="M2578" s="0" t="n">
        <f aca="true">CRITBINOM(MAX(0,J2578-K2578),1-Coefficients!$B$32,RAND())</f>
        <v>1</v>
      </c>
      <c r="N2578" s="0" t="n">
        <f aca="true">CRITBINOM(MAX(0,$C2578-J2578),MIN(0.6,Matchup!$C$40*SQRT($B2578)/(1-MIN(0.75,Matchup!$C$39*$B2578))),RAND())</f>
        <v>1</v>
      </c>
      <c r="O2578" s="0" t="n">
        <f aca="false">6*J2578+(J2578-K2578-M2578)+2*L2578+3*N2578</f>
        <v>38</v>
      </c>
      <c r="P2578" s="0" t="n">
        <f aca="true">RAND()</f>
        <v>0.889869693440372</v>
      </c>
      <c r="Q2578" s="0" t="n">
        <f aca="true">RAND()</f>
        <v>0.674274263855365</v>
      </c>
      <c r="R2578" s="0" t="n">
        <f aca="false">IF($I2578&lt;&gt;$O2578,0,IF(P2578&lt;Matchup!$B$39,7,IF(P2578&lt;Matchup!$B$39+Matchup!$B$40,3,0)))</f>
        <v>0</v>
      </c>
      <c r="S2578" s="0" t="n">
        <f aca="false">IF($I2578&lt;&gt;$O2578,0,IF(Q2578&lt;Matchup!$C$39,7,IF(Q2578&lt;Matchup!$C$39+Matchup!$C$40,3,0)))</f>
        <v>0</v>
      </c>
      <c r="T2578" s="0" t="n">
        <f aca="false">I2578+R2578</f>
        <v>50</v>
      </c>
      <c r="U2578" s="0" t="n">
        <f aca="false">O2578+S2578</f>
        <v>38</v>
      </c>
      <c r="V2578" s="0" t="n">
        <f aca="false">T2578-U2578</f>
        <v>12</v>
      </c>
      <c r="W2578" s="0" t="n">
        <f aca="false">T2578+U2578</f>
        <v>88</v>
      </c>
    </row>
    <row r="2579" customFormat="false" ht="15" hidden="false" customHeight="false" outlineLevel="0" collapsed="false">
      <c r="A2579" s="0" t="n">
        <v>2576</v>
      </c>
      <c r="B2579" s="0" t="n">
        <f aca="true">NORMINV(RAND(),1,Coefficients!$B$22)</f>
        <v>0.890864082161867</v>
      </c>
      <c r="C2579" s="0" t="n">
        <f aca="true">MEDIAN(8,16,ROUND(NORMINV(RAND(),Coefficients!$B$20,Coefficients!$B$21),0))</f>
        <v>10</v>
      </c>
      <c r="D2579" s="0" t="n">
        <f aca="true">CRITBINOM($C2579,MIN(0.75,Matchup!$B$39*$B2579),RAND())</f>
        <v>3</v>
      </c>
      <c r="E2579" s="0" t="n">
        <f aca="true">CRITBINOM(D2579,Coefficients!$B$30,RAND())</f>
        <v>1</v>
      </c>
      <c r="F2579" s="0" t="n">
        <f aca="true">CRITBINOM(E2579,Coefficients!$B$31,RAND())</f>
        <v>1</v>
      </c>
      <c r="G2579" s="0" t="n">
        <f aca="true">CRITBINOM(MAX(0,D2579-E2579),1-Coefficients!$B$32,RAND())</f>
        <v>0</v>
      </c>
      <c r="H2579" s="0" t="n">
        <f aca="true">CRITBINOM(MAX(0,$C2579-D2579),MIN(0.6,Matchup!$B$40*SQRT($B2579)/(1-MIN(0.75,Matchup!$B$39*$B2579))),RAND())</f>
        <v>2</v>
      </c>
      <c r="I2579" s="0" t="n">
        <f aca="false">6*D2579+(D2579-E2579-G2579)+2*F2579+3*H2579</f>
        <v>28</v>
      </c>
      <c r="J2579" s="0" t="n">
        <f aca="true">CRITBINOM($C2579,MIN(0.75,Matchup!$C$39*$B2579),RAND())</f>
        <v>0</v>
      </c>
      <c r="K2579" s="0" t="n">
        <f aca="true">CRITBINOM(J2579,Coefficients!$B$30,RAND())</f>
        <v>0</v>
      </c>
      <c r="L2579" s="0" t="n">
        <f aca="true">CRITBINOM(K2579,Coefficients!$B$31,RAND())</f>
        <v>0</v>
      </c>
      <c r="M2579" s="0" t="n">
        <f aca="true">CRITBINOM(MAX(0,J2579-K2579),1-Coefficients!$B$32,RAND())</f>
        <v>0</v>
      </c>
      <c r="N2579" s="0" t="n">
        <f aca="true">CRITBINOM(MAX(0,$C2579-J2579),MIN(0.6,Matchup!$C$40*SQRT($B2579)/(1-MIN(0.75,Matchup!$C$39*$B2579))),RAND())</f>
        <v>4</v>
      </c>
      <c r="O2579" s="0" t="n">
        <f aca="false">6*J2579+(J2579-K2579-M2579)+2*L2579+3*N2579</f>
        <v>12</v>
      </c>
      <c r="P2579" s="0" t="n">
        <f aca="true">RAND()</f>
        <v>0.955547085568724</v>
      </c>
      <c r="Q2579" s="0" t="n">
        <f aca="true">RAND()</f>
        <v>0.574679268030521</v>
      </c>
      <c r="R2579" s="0" t="n">
        <f aca="false">IF($I2579&lt;&gt;$O2579,0,IF(P2579&lt;Matchup!$B$39,7,IF(P2579&lt;Matchup!$B$39+Matchup!$B$40,3,0)))</f>
        <v>0</v>
      </c>
      <c r="S2579" s="0" t="n">
        <f aca="false">IF($I2579&lt;&gt;$O2579,0,IF(Q2579&lt;Matchup!$C$39,7,IF(Q2579&lt;Matchup!$C$39+Matchup!$C$40,3,0)))</f>
        <v>0</v>
      </c>
      <c r="T2579" s="0" t="n">
        <f aca="false">I2579+R2579</f>
        <v>28</v>
      </c>
      <c r="U2579" s="0" t="n">
        <f aca="false">O2579+S2579</f>
        <v>12</v>
      </c>
      <c r="V2579" s="0" t="n">
        <f aca="false">T2579-U2579</f>
        <v>16</v>
      </c>
      <c r="W2579" s="0" t="n">
        <f aca="false">T2579+U2579</f>
        <v>40</v>
      </c>
    </row>
    <row r="2580" customFormat="false" ht="15" hidden="false" customHeight="false" outlineLevel="0" collapsed="false">
      <c r="A2580" s="0" t="n">
        <v>2577</v>
      </c>
      <c r="B2580" s="0" t="n">
        <f aca="true">NORMINV(RAND(),1,Coefficients!$B$22)</f>
        <v>0.994992551086255</v>
      </c>
      <c r="C2580" s="0" t="n">
        <f aca="true">MEDIAN(8,16,ROUND(NORMINV(RAND(),Coefficients!$B$20,Coefficients!$B$21),0))</f>
        <v>10</v>
      </c>
      <c r="D2580" s="0" t="n">
        <f aca="true">CRITBINOM($C2580,MIN(0.75,Matchup!$B$39*$B2580),RAND())</f>
        <v>2</v>
      </c>
      <c r="E2580" s="0" t="n">
        <f aca="true">CRITBINOM(D2580,Coefficients!$B$30,RAND())</f>
        <v>0</v>
      </c>
      <c r="F2580" s="0" t="n">
        <f aca="true">CRITBINOM(E2580,Coefficients!$B$31,RAND())</f>
        <v>0</v>
      </c>
      <c r="G2580" s="0" t="n">
        <f aca="true">CRITBINOM(MAX(0,D2580-E2580),1-Coefficients!$B$32,RAND())</f>
        <v>0</v>
      </c>
      <c r="H2580" s="0" t="n">
        <f aca="true">CRITBINOM(MAX(0,$C2580-D2580),MIN(0.6,Matchup!$B$40*SQRT($B2580)/(1-MIN(0.75,Matchup!$B$39*$B2580))),RAND())</f>
        <v>2</v>
      </c>
      <c r="I2580" s="0" t="n">
        <f aca="false">6*D2580+(D2580-E2580-G2580)+2*F2580+3*H2580</f>
        <v>20</v>
      </c>
      <c r="J2580" s="0" t="n">
        <f aca="true">CRITBINOM($C2580,MIN(0.75,Matchup!$C$39*$B2580),RAND())</f>
        <v>1</v>
      </c>
      <c r="K2580" s="0" t="n">
        <f aca="true">CRITBINOM(J2580,Coefficients!$B$30,RAND())</f>
        <v>1</v>
      </c>
      <c r="L2580" s="0" t="n">
        <f aca="true">CRITBINOM(K2580,Coefficients!$B$31,RAND())</f>
        <v>1</v>
      </c>
      <c r="M2580" s="0" t="n">
        <f aca="true">CRITBINOM(MAX(0,J2580-K2580),1-Coefficients!$B$32,RAND())</f>
        <v>0</v>
      </c>
      <c r="N2580" s="0" t="n">
        <f aca="true">CRITBINOM(MAX(0,$C2580-J2580),MIN(0.6,Matchup!$C$40*SQRT($B2580)/(1-MIN(0.75,Matchup!$C$39*$B2580))),RAND())</f>
        <v>2</v>
      </c>
      <c r="O2580" s="0" t="n">
        <f aca="false">6*J2580+(J2580-K2580-M2580)+2*L2580+3*N2580</f>
        <v>14</v>
      </c>
      <c r="P2580" s="0" t="n">
        <f aca="true">RAND()</f>
        <v>0.705709892733745</v>
      </c>
      <c r="Q2580" s="0" t="n">
        <f aca="true">RAND()</f>
        <v>0.942062276031689</v>
      </c>
      <c r="R2580" s="0" t="n">
        <f aca="false">IF($I2580&lt;&gt;$O2580,0,IF(P2580&lt;Matchup!$B$39,7,IF(P2580&lt;Matchup!$B$39+Matchup!$B$40,3,0)))</f>
        <v>0</v>
      </c>
      <c r="S2580" s="0" t="n">
        <f aca="false">IF($I2580&lt;&gt;$O2580,0,IF(Q2580&lt;Matchup!$C$39,7,IF(Q2580&lt;Matchup!$C$39+Matchup!$C$40,3,0)))</f>
        <v>0</v>
      </c>
      <c r="T2580" s="0" t="n">
        <f aca="false">I2580+R2580</f>
        <v>20</v>
      </c>
      <c r="U2580" s="0" t="n">
        <f aca="false">O2580+S2580</f>
        <v>14</v>
      </c>
      <c r="V2580" s="0" t="n">
        <f aca="false">T2580-U2580</f>
        <v>6</v>
      </c>
      <c r="W2580" s="0" t="n">
        <f aca="false">T2580+U2580</f>
        <v>34</v>
      </c>
    </row>
    <row r="2581" customFormat="false" ht="15" hidden="false" customHeight="false" outlineLevel="0" collapsed="false">
      <c r="A2581" s="0" t="n">
        <v>2578</v>
      </c>
      <c r="B2581" s="0" t="n">
        <f aca="true">NORMINV(RAND(),1,Coefficients!$B$22)</f>
        <v>1.07719643278036</v>
      </c>
      <c r="C2581" s="0" t="n">
        <f aca="true">MEDIAN(8,16,ROUND(NORMINV(RAND(),Coefficients!$B$20,Coefficients!$B$21),0))</f>
        <v>11</v>
      </c>
      <c r="D2581" s="0" t="n">
        <f aca="true">CRITBINOM($C2581,MIN(0.75,Matchup!$B$39*$B2581),RAND())</f>
        <v>4</v>
      </c>
      <c r="E2581" s="0" t="n">
        <f aca="true">CRITBINOM(D2581,Coefficients!$B$30,RAND())</f>
        <v>0</v>
      </c>
      <c r="F2581" s="0" t="n">
        <f aca="true">CRITBINOM(E2581,Coefficients!$B$31,RAND())</f>
        <v>0</v>
      </c>
      <c r="G2581" s="0" t="n">
        <f aca="true">CRITBINOM(MAX(0,D2581-E2581),1-Coefficients!$B$32,RAND())</f>
        <v>0</v>
      </c>
      <c r="H2581" s="0" t="n">
        <f aca="true">CRITBINOM(MAX(0,$C2581-D2581),MIN(0.6,Matchup!$B$40*SQRT($B2581)/(1-MIN(0.75,Matchup!$B$39*$B2581))),RAND())</f>
        <v>0</v>
      </c>
      <c r="I2581" s="0" t="n">
        <f aca="false">6*D2581+(D2581-E2581-G2581)+2*F2581+3*H2581</f>
        <v>28</v>
      </c>
      <c r="J2581" s="0" t="n">
        <f aca="true">CRITBINOM($C2581,MIN(0.75,Matchup!$C$39*$B2581),RAND())</f>
        <v>3</v>
      </c>
      <c r="K2581" s="0" t="n">
        <f aca="true">CRITBINOM(J2581,Coefficients!$B$30,RAND())</f>
        <v>0</v>
      </c>
      <c r="L2581" s="0" t="n">
        <f aca="true">CRITBINOM(K2581,Coefficients!$B$31,RAND())</f>
        <v>0</v>
      </c>
      <c r="M2581" s="0" t="n">
        <f aca="true">CRITBINOM(MAX(0,J2581-K2581),1-Coefficients!$B$32,RAND())</f>
        <v>0</v>
      </c>
      <c r="N2581" s="0" t="n">
        <f aca="true">CRITBINOM(MAX(0,$C2581-J2581),MIN(0.6,Matchup!$C$40*SQRT($B2581)/(1-MIN(0.75,Matchup!$C$39*$B2581))),RAND())</f>
        <v>0</v>
      </c>
      <c r="O2581" s="0" t="n">
        <f aca="false">6*J2581+(J2581-K2581-M2581)+2*L2581+3*N2581</f>
        <v>21</v>
      </c>
      <c r="P2581" s="0" t="n">
        <f aca="true">RAND()</f>
        <v>0.977008839500349</v>
      </c>
      <c r="Q2581" s="0" t="n">
        <f aca="true">RAND()</f>
        <v>0.600057184175664</v>
      </c>
      <c r="R2581" s="0" t="n">
        <f aca="false">IF($I2581&lt;&gt;$O2581,0,IF(P2581&lt;Matchup!$B$39,7,IF(P2581&lt;Matchup!$B$39+Matchup!$B$40,3,0)))</f>
        <v>0</v>
      </c>
      <c r="S2581" s="0" t="n">
        <f aca="false">IF($I2581&lt;&gt;$O2581,0,IF(Q2581&lt;Matchup!$C$39,7,IF(Q2581&lt;Matchup!$C$39+Matchup!$C$40,3,0)))</f>
        <v>0</v>
      </c>
      <c r="T2581" s="0" t="n">
        <f aca="false">I2581+R2581</f>
        <v>28</v>
      </c>
      <c r="U2581" s="0" t="n">
        <f aca="false">O2581+S2581</f>
        <v>21</v>
      </c>
      <c r="V2581" s="0" t="n">
        <f aca="false">T2581-U2581</f>
        <v>7</v>
      </c>
      <c r="W2581" s="0" t="n">
        <f aca="false">T2581+U2581</f>
        <v>49</v>
      </c>
    </row>
    <row r="2582" customFormat="false" ht="15" hidden="false" customHeight="false" outlineLevel="0" collapsed="false">
      <c r="A2582" s="0" t="n">
        <v>2579</v>
      </c>
      <c r="B2582" s="0" t="n">
        <f aca="true">NORMINV(RAND(),1,Coefficients!$B$22)</f>
        <v>1.04461615859255</v>
      </c>
      <c r="C2582" s="0" t="n">
        <f aca="true">MEDIAN(8,16,ROUND(NORMINV(RAND(),Coefficients!$B$20,Coefficients!$B$21),0))</f>
        <v>12</v>
      </c>
      <c r="D2582" s="0" t="n">
        <f aca="true">CRITBINOM($C2582,MIN(0.75,Matchup!$B$39*$B2582),RAND())</f>
        <v>1</v>
      </c>
      <c r="E2582" s="0" t="n">
        <f aca="true">CRITBINOM(D2582,Coefficients!$B$30,RAND())</f>
        <v>1</v>
      </c>
      <c r="F2582" s="0" t="n">
        <f aca="true">CRITBINOM(E2582,Coefficients!$B$31,RAND())</f>
        <v>0</v>
      </c>
      <c r="G2582" s="0" t="n">
        <f aca="true">CRITBINOM(MAX(0,D2582-E2582),1-Coefficients!$B$32,RAND())</f>
        <v>0</v>
      </c>
      <c r="H2582" s="0" t="n">
        <f aca="true">CRITBINOM(MAX(0,$C2582-D2582),MIN(0.6,Matchup!$B$40*SQRT($B2582)/(1-MIN(0.75,Matchup!$B$39*$B2582))),RAND())</f>
        <v>4</v>
      </c>
      <c r="I2582" s="0" t="n">
        <f aca="false">6*D2582+(D2582-E2582-G2582)+2*F2582+3*H2582</f>
        <v>18</v>
      </c>
      <c r="J2582" s="0" t="n">
        <f aca="true">CRITBINOM($C2582,MIN(0.75,Matchup!$C$39*$B2582),RAND())</f>
        <v>2</v>
      </c>
      <c r="K2582" s="0" t="n">
        <f aca="true">CRITBINOM(J2582,Coefficients!$B$30,RAND())</f>
        <v>1</v>
      </c>
      <c r="L2582" s="0" t="n">
        <f aca="true">CRITBINOM(K2582,Coefficients!$B$31,RAND())</f>
        <v>1</v>
      </c>
      <c r="M2582" s="0" t="n">
        <f aca="true">CRITBINOM(MAX(0,J2582-K2582),1-Coefficients!$B$32,RAND())</f>
        <v>0</v>
      </c>
      <c r="N2582" s="0" t="n">
        <f aca="true">CRITBINOM(MAX(0,$C2582-J2582),MIN(0.6,Matchup!$C$40*SQRT($B2582)/(1-MIN(0.75,Matchup!$C$39*$B2582))),RAND())</f>
        <v>3</v>
      </c>
      <c r="O2582" s="0" t="n">
        <f aca="false">6*J2582+(J2582-K2582-M2582)+2*L2582+3*N2582</f>
        <v>24</v>
      </c>
      <c r="P2582" s="0" t="n">
        <f aca="true">RAND()</f>
        <v>0.602810364158755</v>
      </c>
      <c r="Q2582" s="0" t="n">
        <f aca="true">RAND()</f>
        <v>0.836888734068675</v>
      </c>
      <c r="R2582" s="0" t="n">
        <f aca="false">IF($I2582&lt;&gt;$O2582,0,IF(P2582&lt;Matchup!$B$39,7,IF(P2582&lt;Matchup!$B$39+Matchup!$B$40,3,0)))</f>
        <v>0</v>
      </c>
      <c r="S2582" s="0" t="n">
        <f aca="false">IF($I2582&lt;&gt;$O2582,0,IF(Q2582&lt;Matchup!$C$39,7,IF(Q2582&lt;Matchup!$C$39+Matchup!$C$40,3,0)))</f>
        <v>0</v>
      </c>
      <c r="T2582" s="0" t="n">
        <f aca="false">I2582+R2582</f>
        <v>18</v>
      </c>
      <c r="U2582" s="0" t="n">
        <f aca="false">O2582+S2582</f>
        <v>24</v>
      </c>
      <c r="V2582" s="0" t="n">
        <f aca="false">T2582-U2582</f>
        <v>-6</v>
      </c>
      <c r="W2582" s="0" t="n">
        <f aca="false">T2582+U2582</f>
        <v>42</v>
      </c>
    </row>
    <row r="2583" customFormat="false" ht="15" hidden="false" customHeight="false" outlineLevel="0" collapsed="false">
      <c r="A2583" s="0" t="n">
        <v>2580</v>
      </c>
      <c r="B2583" s="0" t="n">
        <f aca="true">NORMINV(RAND(),1,Coefficients!$B$22)</f>
        <v>0.947220878946942</v>
      </c>
      <c r="C2583" s="0" t="n">
        <f aca="true">MEDIAN(8,16,ROUND(NORMINV(RAND(),Coefficients!$B$20,Coefficients!$B$21),0))</f>
        <v>10</v>
      </c>
      <c r="D2583" s="0" t="n">
        <f aca="true">CRITBINOM($C2583,MIN(0.75,Matchup!$B$39*$B2583),RAND())</f>
        <v>2</v>
      </c>
      <c r="E2583" s="0" t="n">
        <f aca="true">CRITBINOM(D2583,Coefficients!$B$30,RAND())</f>
        <v>0</v>
      </c>
      <c r="F2583" s="0" t="n">
        <f aca="true">CRITBINOM(E2583,Coefficients!$B$31,RAND())</f>
        <v>0</v>
      </c>
      <c r="G2583" s="0" t="n">
        <f aca="true">CRITBINOM(MAX(0,D2583-E2583),1-Coefficients!$B$32,RAND())</f>
        <v>0</v>
      </c>
      <c r="H2583" s="0" t="n">
        <f aca="true">CRITBINOM(MAX(0,$C2583-D2583),MIN(0.6,Matchup!$B$40*SQRT($B2583)/(1-MIN(0.75,Matchup!$B$39*$B2583))),RAND())</f>
        <v>1</v>
      </c>
      <c r="I2583" s="0" t="n">
        <f aca="false">6*D2583+(D2583-E2583-G2583)+2*F2583+3*H2583</f>
        <v>17</v>
      </c>
      <c r="J2583" s="0" t="n">
        <f aca="true">CRITBINOM($C2583,MIN(0.75,Matchup!$C$39*$B2583),RAND())</f>
        <v>1</v>
      </c>
      <c r="K2583" s="0" t="n">
        <f aca="true">CRITBINOM(J2583,Coefficients!$B$30,RAND())</f>
        <v>0</v>
      </c>
      <c r="L2583" s="0" t="n">
        <f aca="true">CRITBINOM(K2583,Coefficients!$B$31,RAND())</f>
        <v>0</v>
      </c>
      <c r="M2583" s="0" t="n">
        <f aca="true">CRITBINOM(MAX(0,J2583-K2583),1-Coefficients!$B$32,RAND())</f>
        <v>0</v>
      </c>
      <c r="N2583" s="0" t="n">
        <f aca="true">CRITBINOM(MAX(0,$C2583-J2583),MIN(0.6,Matchup!$C$40*SQRT($B2583)/(1-MIN(0.75,Matchup!$C$39*$B2583))),RAND())</f>
        <v>3</v>
      </c>
      <c r="O2583" s="0" t="n">
        <f aca="false">6*J2583+(J2583-K2583-M2583)+2*L2583+3*N2583</f>
        <v>16</v>
      </c>
      <c r="P2583" s="0" t="n">
        <f aca="true">RAND()</f>
        <v>0.699114253039347</v>
      </c>
      <c r="Q2583" s="0" t="n">
        <f aca="true">RAND()</f>
        <v>0.377152820813144</v>
      </c>
      <c r="R2583" s="0" t="n">
        <f aca="false">IF($I2583&lt;&gt;$O2583,0,IF(P2583&lt;Matchup!$B$39,7,IF(P2583&lt;Matchup!$B$39+Matchup!$B$40,3,0)))</f>
        <v>0</v>
      </c>
      <c r="S2583" s="0" t="n">
        <f aca="false">IF($I2583&lt;&gt;$O2583,0,IF(Q2583&lt;Matchup!$C$39,7,IF(Q2583&lt;Matchup!$C$39+Matchup!$C$40,3,0)))</f>
        <v>0</v>
      </c>
      <c r="T2583" s="0" t="n">
        <f aca="false">I2583+R2583</f>
        <v>17</v>
      </c>
      <c r="U2583" s="0" t="n">
        <f aca="false">O2583+S2583</f>
        <v>16</v>
      </c>
      <c r="V2583" s="0" t="n">
        <f aca="false">T2583-U2583</f>
        <v>1</v>
      </c>
      <c r="W2583" s="0" t="n">
        <f aca="false">T2583+U2583</f>
        <v>33</v>
      </c>
    </row>
    <row r="2584" customFormat="false" ht="15" hidden="false" customHeight="false" outlineLevel="0" collapsed="false">
      <c r="A2584" s="0" t="n">
        <v>2581</v>
      </c>
      <c r="B2584" s="0" t="n">
        <f aca="true">NORMINV(RAND(),1,Coefficients!$B$22)</f>
        <v>0.955125552550748</v>
      </c>
      <c r="C2584" s="0" t="n">
        <f aca="true">MEDIAN(8,16,ROUND(NORMINV(RAND(),Coefficients!$B$20,Coefficients!$B$21),0))</f>
        <v>11</v>
      </c>
      <c r="D2584" s="0" t="n">
        <f aca="true">CRITBINOM($C2584,MIN(0.75,Matchup!$B$39*$B2584),RAND())</f>
        <v>5</v>
      </c>
      <c r="E2584" s="0" t="n">
        <f aca="true">CRITBINOM(D2584,Coefficients!$B$30,RAND())</f>
        <v>0</v>
      </c>
      <c r="F2584" s="0" t="n">
        <f aca="true">CRITBINOM(E2584,Coefficients!$B$31,RAND())</f>
        <v>0</v>
      </c>
      <c r="G2584" s="0" t="n">
        <f aca="true">CRITBINOM(MAX(0,D2584-E2584),1-Coefficients!$B$32,RAND())</f>
        <v>0</v>
      </c>
      <c r="H2584" s="0" t="n">
        <f aca="true">CRITBINOM(MAX(0,$C2584-D2584),MIN(0.6,Matchup!$B$40*SQRT($B2584)/(1-MIN(0.75,Matchup!$B$39*$B2584))),RAND())</f>
        <v>0</v>
      </c>
      <c r="I2584" s="0" t="n">
        <f aca="false">6*D2584+(D2584-E2584-G2584)+2*F2584+3*H2584</f>
        <v>35</v>
      </c>
      <c r="J2584" s="0" t="n">
        <f aca="true">CRITBINOM($C2584,MIN(0.75,Matchup!$C$39*$B2584),RAND())</f>
        <v>3</v>
      </c>
      <c r="K2584" s="0" t="n">
        <f aca="true">CRITBINOM(J2584,Coefficients!$B$30,RAND())</f>
        <v>0</v>
      </c>
      <c r="L2584" s="0" t="n">
        <f aca="true">CRITBINOM(K2584,Coefficients!$B$31,RAND())</f>
        <v>0</v>
      </c>
      <c r="M2584" s="0" t="n">
        <f aca="true">CRITBINOM(MAX(0,J2584-K2584),1-Coefficients!$B$32,RAND())</f>
        <v>0</v>
      </c>
      <c r="N2584" s="0" t="n">
        <f aca="true">CRITBINOM(MAX(0,$C2584-J2584),MIN(0.6,Matchup!$C$40*SQRT($B2584)/(1-MIN(0.75,Matchup!$C$39*$B2584))),RAND())</f>
        <v>3</v>
      </c>
      <c r="O2584" s="0" t="n">
        <f aca="false">6*J2584+(J2584-K2584-M2584)+2*L2584+3*N2584</f>
        <v>30</v>
      </c>
      <c r="P2584" s="0" t="n">
        <f aca="true">RAND()</f>
        <v>0.374654284769354</v>
      </c>
      <c r="Q2584" s="0" t="n">
        <f aca="true">RAND()</f>
        <v>0.0986722363711531</v>
      </c>
      <c r="R2584" s="0" t="n">
        <f aca="false">IF($I2584&lt;&gt;$O2584,0,IF(P2584&lt;Matchup!$B$39,7,IF(P2584&lt;Matchup!$B$39+Matchup!$B$40,3,0)))</f>
        <v>0</v>
      </c>
      <c r="S2584" s="0" t="n">
        <f aca="false">IF($I2584&lt;&gt;$O2584,0,IF(Q2584&lt;Matchup!$C$39,7,IF(Q2584&lt;Matchup!$C$39+Matchup!$C$40,3,0)))</f>
        <v>0</v>
      </c>
      <c r="T2584" s="0" t="n">
        <f aca="false">I2584+R2584</f>
        <v>35</v>
      </c>
      <c r="U2584" s="0" t="n">
        <f aca="false">O2584+S2584</f>
        <v>30</v>
      </c>
      <c r="V2584" s="0" t="n">
        <f aca="false">T2584-U2584</f>
        <v>5</v>
      </c>
      <c r="W2584" s="0" t="n">
        <f aca="false">T2584+U2584</f>
        <v>65</v>
      </c>
    </row>
    <row r="2585" customFormat="false" ht="15" hidden="false" customHeight="false" outlineLevel="0" collapsed="false">
      <c r="A2585" s="0" t="n">
        <v>2582</v>
      </c>
      <c r="B2585" s="0" t="n">
        <f aca="true">NORMINV(RAND(),1,Coefficients!$B$22)</f>
        <v>0.857712197648598</v>
      </c>
      <c r="C2585" s="0" t="n">
        <f aca="true">MEDIAN(8,16,ROUND(NORMINV(RAND(),Coefficients!$B$20,Coefficients!$B$21),0))</f>
        <v>10</v>
      </c>
      <c r="D2585" s="0" t="n">
        <f aca="true">CRITBINOM($C2585,MIN(0.75,Matchup!$B$39*$B2585),RAND())</f>
        <v>4</v>
      </c>
      <c r="E2585" s="0" t="n">
        <f aca="true">CRITBINOM(D2585,Coefficients!$B$30,RAND())</f>
        <v>1</v>
      </c>
      <c r="F2585" s="0" t="n">
        <f aca="true">CRITBINOM(E2585,Coefficients!$B$31,RAND())</f>
        <v>0</v>
      </c>
      <c r="G2585" s="0" t="n">
        <f aca="true">CRITBINOM(MAX(0,D2585-E2585),1-Coefficients!$B$32,RAND())</f>
        <v>0</v>
      </c>
      <c r="H2585" s="0" t="n">
        <f aca="true">CRITBINOM(MAX(0,$C2585-D2585),MIN(0.6,Matchup!$B$40*SQRT($B2585)/(1-MIN(0.75,Matchup!$B$39*$B2585))),RAND())</f>
        <v>1</v>
      </c>
      <c r="I2585" s="0" t="n">
        <f aca="false">6*D2585+(D2585-E2585-G2585)+2*F2585+3*H2585</f>
        <v>30</v>
      </c>
      <c r="J2585" s="0" t="n">
        <f aca="true">CRITBINOM($C2585,MIN(0.75,Matchup!$C$39*$B2585),RAND())</f>
        <v>0</v>
      </c>
      <c r="K2585" s="0" t="n">
        <f aca="true">CRITBINOM(J2585,Coefficients!$B$30,RAND())</f>
        <v>0</v>
      </c>
      <c r="L2585" s="0" t="n">
        <f aca="true">CRITBINOM(K2585,Coefficients!$B$31,RAND())</f>
        <v>0</v>
      </c>
      <c r="M2585" s="0" t="n">
        <f aca="true">CRITBINOM(MAX(0,J2585-K2585),1-Coefficients!$B$32,RAND())</f>
        <v>0</v>
      </c>
      <c r="N2585" s="0" t="n">
        <f aca="true">CRITBINOM(MAX(0,$C2585-J2585),MIN(0.6,Matchup!$C$40*SQRT($B2585)/(1-MIN(0.75,Matchup!$C$39*$B2585))),RAND())</f>
        <v>2</v>
      </c>
      <c r="O2585" s="0" t="n">
        <f aca="false">6*J2585+(J2585-K2585-M2585)+2*L2585+3*N2585</f>
        <v>6</v>
      </c>
      <c r="P2585" s="0" t="n">
        <f aca="true">RAND()</f>
        <v>0.961131827761599</v>
      </c>
      <c r="Q2585" s="0" t="n">
        <f aca="true">RAND()</f>
        <v>0.666912495275666</v>
      </c>
      <c r="R2585" s="0" t="n">
        <f aca="false">IF($I2585&lt;&gt;$O2585,0,IF(P2585&lt;Matchup!$B$39,7,IF(P2585&lt;Matchup!$B$39+Matchup!$B$40,3,0)))</f>
        <v>0</v>
      </c>
      <c r="S2585" s="0" t="n">
        <f aca="false">IF($I2585&lt;&gt;$O2585,0,IF(Q2585&lt;Matchup!$C$39,7,IF(Q2585&lt;Matchup!$C$39+Matchup!$C$40,3,0)))</f>
        <v>0</v>
      </c>
      <c r="T2585" s="0" t="n">
        <f aca="false">I2585+R2585</f>
        <v>30</v>
      </c>
      <c r="U2585" s="0" t="n">
        <f aca="false">O2585+S2585</f>
        <v>6</v>
      </c>
      <c r="V2585" s="0" t="n">
        <f aca="false">T2585-U2585</f>
        <v>24</v>
      </c>
      <c r="W2585" s="0" t="n">
        <f aca="false">T2585+U2585</f>
        <v>36</v>
      </c>
    </row>
    <row r="2586" customFormat="false" ht="15" hidden="false" customHeight="false" outlineLevel="0" collapsed="false">
      <c r="A2586" s="0" t="n">
        <v>2583</v>
      </c>
      <c r="B2586" s="0" t="n">
        <f aca="true">NORMINV(RAND(),1,Coefficients!$B$22)</f>
        <v>1.00145395715477</v>
      </c>
      <c r="C2586" s="0" t="n">
        <f aca="true">MEDIAN(8,16,ROUND(NORMINV(RAND(),Coefficients!$B$20,Coefficients!$B$21),0))</f>
        <v>13</v>
      </c>
      <c r="D2586" s="0" t="n">
        <f aca="true">CRITBINOM($C2586,MIN(0.75,Matchup!$B$39*$B2586),RAND())</f>
        <v>5</v>
      </c>
      <c r="E2586" s="0" t="n">
        <f aca="true">CRITBINOM(D2586,Coefficients!$B$30,RAND())</f>
        <v>2</v>
      </c>
      <c r="F2586" s="0" t="n">
        <f aca="true">CRITBINOM(E2586,Coefficients!$B$31,RAND())</f>
        <v>1</v>
      </c>
      <c r="G2586" s="0" t="n">
        <f aca="true">CRITBINOM(MAX(0,D2586-E2586),1-Coefficients!$B$32,RAND())</f>
        <v>1</v>
      </c>
      <c r="H2586" s="0" t="n">
        <f aca="true">CRITBINOM(MAX(0,$C2586-D2586),MIN(0.6,Matchup!$B$40*SQRT($B2586)/(1-MIN(0.75,Matchup!$B$39*$B2586))),RAND())</f>
        <v>0</v>
      </c>
      <c r="I2586" s="0" t="n">
        <f aca="false">6*D2586+(D2586-E2586-G2586)+2*F2586+3*H2586</f>
        <v>34</v>
      </c>
      <c r="J2586" s="0" t="n">
        <f aca="true">CRITBINOM($C2586,MIN(0.75,Matchup!$C$39*$B2586),RAND())</f>
        <v>3</v>
      </c>
      <c r="K2586" s="0" t="n">
        <f aca="true">CRITBINOM(J2586,Coefficients!$B$30,RAND())</f>
        <v>0</v>
      </c>
      <c r="L2586" s="0" t="n">
        <f aca="true">CRITBINOM(K2586,Coefficients!$B$31,RAND())</f>
        <v>0</v>
      </c>
      <c r="M2586" s="0" t="n">
        <f aca="true">CRITBINOM(MAX(0,J2586-K2586),1-Coefficients!$B$32,RAND())</f>
        <v>0</v>
      </c>
      <c r="N2586" s="0" t="n">
        <f aca="true">CRITBINOM(MAX(0,$C2586-J2586),MIN(0.6,Matchup!$C$40*SQRT($B2586)/(1-MIN(0.75,Matchup!$C$39*$B2586))),RAND())</f>
        <v>2</v>
      </c>
      <c r="O2586" s="0" t="n">
        <f aca="false">6*J2586+(J2586-K2586-M2586)+2*L2586+3*N2586</f>
        <v>27</v>
      </c>
      <c r="P2586" s="0" t="n">
        <f aca="true">RAND()</f>
        <v>0.596389762824185</v>
      </c>
      <c r="Q2586" s="0" t="n">
        <f aca="true">RAND()</f>
        <v>0.00663356602417072</v>
      </c>
      <c r="R2586" s="0" t="n">
        <f aca="false">IF($I2586&lt;&gt;$O2586,0,IF(P2586&lt;Matchup!$B$39,7,IF(P2586&lt;Matchup!$B$39+Matchup!$B$40,3,0)))</f>
        <v>0</v>
      </c>
      <c r="S2586" s="0" t="n">
        <f aca="false">IF($I2586&lt;&gt;$O2586,0,IF(Q2586&lt;Matchup!$C$39,7,IF(Q2586&lt;Matchup!$C$39+Matchup!$C$40,3,0)))</f>
        <v>0</v>
      </c>
      <c r="T2586" s="0" t="n">
        <f aca="false">I2586+R2586</f>
        <v>34</v>
      </c>
      <c r="U2586" s="0" t="n">
        <f aca="false">O2586+S2586</f>
        <v>27</v>
      </c>
      <c r="V2586" s="0" t="n">
        <f aca="false">T2586-U2586</f>
        <v>7</v>
      </c>
      <c r="W2586" s="0" t="n">
        <f aca="false">T2586+U2586</f>
        <v>61</v>
      </c>
    </row>
    <row r="2587" customFormat="false" ht="15" hidden="false" customHeight="false" outlineLevel="0" collapsed="false">
      <c r="A2587" s="0" t="n">
        <v>2584</v>
      </c>
      <c r="B2587" s="0" t="n">
        <f aca="true">NORMINV(RAND(),1,Coefficients!$B$22)</f>
        <v>1.04341461509106</v>
      </c>
      <c r="C2587" s="0" t="n">
        <f aca="true">MEDIAN(8,16,ROUND(NORMINV(RAND(),Coefficients!$B$20,Coefficients!$B$21),0))</f>
        <v>10</v>
      </c>
      <c r="D2587" s="0" t="n">
        <f aca="true">CRITBINOM($C2587,MIN(0.75,Matchup!$B$39*$B2587),RAND())</f>
        <v>3</v>
      </c>
      <c r="E2587" s="0" t="n">
        <f aca="true">CRITBINOM(D2587,Coefficients!$B$30,RAND())</f>
        <v>0</v>
      </c>
      <c r="F2587" s="0" t="n">
        <f aca="true">CRITBINOM(E2587,Coefficients!$B$31,RAND())</f>
        <v>0</v>
      </c>
      <c r="G2587" s="0" t="n">
        <f aca="true">CRITBINOM(MAX(0,D2587-E2587),1-Coefficients!$B$32,RAND())</f>
        <v>2</v>
      </c>
      <c r="H2587" s="0" t="n">
        <f aca="true">CRITBINOM(MAX(0,$C2587-D2587),MIN(0.6,Matchup!$B$40*SQRT($B2587)/(1-MIN(0.75,Matchup!$B$39*$B2587))),RAND())</f>
        <v>2</v>
      </c>
      <c r="I2587" s="0" t="n">
        <f aca="false">6*D2587+(D2587-E2587-G2587)+2*F2587+3*H2587</f>
        <v>25</v>
      </c>
      <c r="J2587" s="0" t="n">
        <f aca="true">CRITBINOM($C2587,MIN(0.75,Matchup!$C$39*$B2587),RAND())</f>
        <v>0</v>
      </c>
      <c r="K2587" s="0" t="n">
        <f aca="true">CRITBINOM(J2587,Coefficients!$B$30,RAND())</f>
        <v>0</v>
      </c>
      <c r="L2587" s="0" t="n">
        <f aca="true">CRITBINOM(K2587,Coefficients!$B$31,RAND())</f>
        <v>0</v>
      </c>
      <c r="M2587" s="0" t="n">
        <f aca="true">CRITBINOM(MAX(0,J2587-K2587),1-Coefficients!$B$32,RAND())</f>
        <v>0</v>
      </c>
      <c r="N2587" s="0" t="n">
        <f aca="true">CRITBINOM(MAX(0,$C2587-J2587),MIN(0.6,Matchup!$C$40*SQRT($B2587)/(1-MIN(0.75,Matchup!$C$39*$B2587))),RAND())</f>
        <v>4</v>
      </c>
      <c r="O2587" s="0" t="n">
        <f aca="false">6*J2587+(J2587-K2587-M2587)+2*L2587+3*N2587</f>
        <v>12</v>
      </c>
      <c r="P2587" s="0" t="n">
        <f aca="true">RAND()</f>
        <v>0.54700237877913</v>
      </c>
      <c r="Q2587" s="0" t="n">
        <f aca="true">RAND()</f>
        <v>0.283278357970561</v>
      </c>
      <c r="R2587" s="0" t="n">
        <f aca="false">IF($I2587&lt;&gt;$O2587,0,IF(P2587&lt;Matchup!$B$39,7,IF(P2587&lt;Matchup!$B$39+Matchup!$B$40,3,0)))</f>
        <v>0</v>
      </c>
      <c r="S2587" s="0" t="n">
        <f aca="false">IF($I2587&lt;&gt;$O2587,0,IF(Q2587&lt;Matchup!$C$39,7,IF(Q2587&lt;Matchup!$C$39+Matchup!$C$40,3,0)))</f>
        <v>0</v>
      </c>
      <c r="T2587" s="0" t="n">
        <f aca="false">I2587+R2587</f>
        <v>25</v>
      </c>
      <c r="U2587" s="0" t="n">
        <f aca="false">O2587+S2587</f>
        <v>12</v>
      </c>
      <c r="V2587" s="0" t="n">
        <f aca="false">T2587-U2587</f>
        <v>13</v>
      </c>
      <c r="W2587" s="0" t="n">
        <f aca="false">T2587+U2587</f>
        <v>37</v>
      </c>
    </row>
    <row r="2588" customFormat="false" ht="15" hidden="false" customHeight="false" outlineLevel="0" collapsed="false">
      <c r="A2588" s="0" t="n">
        <v>2585</v>
      </c>
      <c r="B2588" s="0" t="n">
        <f aca="true">NORMINV(RAND(),1,Coefficients!$B$22)</f>
        <v>0.838811512072232</v>
      </c>
      <c r="C2588" s="0" t="n">
        <f aca="true">MEDIAN(8,16,ROUND(NORMINV(RAND(),Coefficients!$B$20,Coefficients!$B$21),0))</f>
        <v>11</v>
      </c>
      <c r="D2588" s="0" t="n">
        <f aca="true">CRITBINOM($C2588,MIN(0.75,Matchup!$B$39*$B2588),RAND())</f>
        <v>2</v>
      </c>
      <c r="E2588" s="0" t="n">
        <f aca="true">CRITBINOM(D2588,Coefficients!$B$30,RAND())</f>
        <v>0</v>
      </c>
      <c r="F2588" s="0" t="n">
        <f aca="true">CRITBINOM(E2588,Coefficients!$B$31,RAND())</f>
        <v>0</v>
      </c>
      <c r="G2588" s="0" t="n">
        <f aca="true">CRITBINOM(MAX(0,D2588-E2588),1-Coefficients!$B$32,RAND())</f>
        <v>0</v>
      </c>
      <c r="H2588" s="0" t="n">
        <f aca="true">CRITBINOM(MAX(0,$C2588-D2588),MIN(0.6,Matchup!$B$40*SQRT($B2588)/(1-MIN(0.75,Matchup!$B$39*$B2588))),RAND())</f>
        <v>3</v>
      </c>
      <c r="I2588" s="0" t="n">
        <f aca="false">6*D2588+(D2588-E2588-G2588)+2*F2588+3*H2588</f>
        <v>23</v>
      </c>
      <c r="J2588" s="0" t="n">
        <f aca="true">CRITBINOM($C2588,MIN(0.75,Matchup!$C$39*$B2588),RAND())</f>
        <v>1</v>
      </c>
      <c r="K2588" s="0" t="n">
        <f aca="true">CRITBINOM(J2588,Coefficients!$B$30,RAND())</f>
        <v>1</v>
      </c>
      <c r="L2588" s="0" t="n">
        <f aca="true">CRITBINOM(K2588,Coefficients!$B$31,RAND())</f>
        <v>1</v>
      </c>
      <c r="M2588" s="0" t="n">
        <f aca="true">CRITBINOM(MAX(0,J2588-K2588),1-Coefficients!$B$32,RAND())</f>
        <v>0</v>
      </c>
      <c r="N2588" s="0" t="n">
        <f aca="true">CRITBINOM(MAX(0,$C2588-J2588),MIN(0.6,Matchup!$C$40*SQRT($B2588)/(1-MIN(0.75,Matchup!$C$39*$B2588))),RAND())</f>
        <v>0</v>
      </c>
      <c r="O2588" s="0" t="n">
        <f aca="false">6*J2588+(J2588-K2588-M2588)+2*L2588+3*N2588</f>
        <v>8</v>
      </c>
      <c r="P2588" s="0" t="n">
        <f aca="true">RAND()</f>
        <v>0.645215556839437</v>
      </c>
      <c r="Q2588" s="0" t="n">
        <f aca="true">RAND()</f>
        <v>0.365095605650693</v>
      </c>
      <c r="R2588" s="0" t="n">
        <f aca="false">IF($I2588&lt;&gt;$O2588,0,IF(P2588&lt;Matchup!$B$39,7,IF(P2588&lt;Matchup!$B$39+Matchup!$B$40,3,0)))</f>
        <v>0</v>
      </c>
      <c r="S2588" s="0" t="n">
        <f aca="false">IF($I2588&lt;&gt;$O2588,0,IF(Q2588&lt;Matchup!$C$39,7,IF(Q2588&lt;Matchup!$C$39+Matchup!$C$40,3,0)))</f>
        <v>0</v>
      </c>
      <c r="T2588" s="0" t="n">
        <f aca="false">I2588+R2588</f>
        <v>23</v>
      </c>
      <c r="U2588" s="0" t="n">
        <f aca="false">O2588+S2588</f>
        <v>8</v>
      </c>
      <c r="V2588" s="0" t="n">
        <f aca="false">T2588-U2588</f>
        <v>15</v>
      </c>
      <c r="W2588" s="0" t="n">
        <f aca="false">T2588+U2588</f>
        <v>31</v>
      </c>
    </row>
    <row r="2589" customFormat="false" ht="15" hidden="false" customHeight="false" outlineLevel="0" collapsed="false">
      <c r="A2589" s="0" t="n">
        <v>2586</v>
      </c>
      <c r="B2589" s="0" t="n">
        <f aca="true">NORMINV(RAND(),1,Coefficients!$B$22)</f>
        <v>0.956694914216582</v>
      </c>
      <c r="C2589" s="0" t="n">
        <f aca="true">MEDIAN(8,16,ROUND(NORMINV(RAND(),Coefficients!$B$20,Coefficients!$B$21),0))</f>
        <v>12</v>
      </c>
      <c r="D2589" s="0" t="n">
        <f aca="true">CRITBINOM($C2589,MIN(0.75,Matchup!$B$39*$B2589),RAND())</f>
        <v>4</v>
      </c>
      <c r="E2589" s="0" t="n">
        <f aca="true">CRITBINOM(D2589,Coefficients!$B$30,RAND())</f>
        <v>0</v>
      </c>
      <c r="F2589" s="0" t="n">
        <f aca="true">CRITBINOM(E2589,Coefficients!$B$31,RAND())</f>
        <v>0</v>
      </c>
      <c r="G2589" s="0" t="n">
        <f aca="true">CRITBINOM(MAX(0,D2589-E2589),1-Coefficients!$B$32,RAND())</f>
        <v>0</v>
      </c>
      <c r="H2589" s="0" t="n">
        <f aca="true">CRITBINOM(MAX(0,$C2589-D2589),MIN(0.6,Matchup!$B$40*SQRT($B2589)/(1-MIN(0.75,Matchup!$B$39*$B2589))),RAND())</f>
        <v>1</v>
      </c>
      <c r="I2589" s="0" t="n">
        <f aca="false">6*D2589+(D2589-E2589-G2589)+2*F2589+3*H2589</f>
        <v>31</v>
      </c>
      <c r="J2589" s="0" t="n">
        <f aca="true">CRITBINOM($C2589,MIN(0.75,Matchup!$C$39*$B2589),RAND())</f>
        <v>3</v>
      </c>
      <c r="K2589" s="0" t="n">
        <f aca="true">CRITBINOM(J2589,Coefficients!$B$30,RAND())</f>
        <v>0</v>
      </c>
      <c r="L2589" s="0" t="n">
        <f aca="true">CRITBINOM(K2589,Coefficients!$B$31,RAND())</f>
        <v>0</v>
      </c>
      <c r="M2589" s="0" t="n">
        <f aca="true">CRITBINOM(MAX(0,J2589-K2589),1-Coefficients!$B$32,RAND())</f>
        <v>0</v>
      </c>
      <c r="N2589" s="0" t="n">
        <f aca="true">CRITBINOM(MAX(0,$C2589-J2589),MIN(0.6,Matchup!$C$40*SQRT($B2589)/(1-MIN(0.75,Matchup!$C$39*$B2589))),RAND())</f>
        <v>2</v>
      </c>
      <c r="O2589" s="0" t="n">
        <f aca="false">6*J2589+(J2589-K2589-M2589)+2*L2589+3*N2589</f>
        <v>27</v>
      </c>
      <c r="P2589" s="0" t="n">
        <f aca="true">RAND()</f>
        <v>0.51065510379259</v>
      </c>
      <c r="Q2589" s="0" t="n">
        <f aca="true">RAND()</f>
        <v>0.941754493529211</v>
      </c>
      <c r="R2589" s="0" t="n">
        <f aca="false">IF($I2589&lt;&gt;$O2589,0,IF(P2589&lt;Matchup!$B$39,7,IF(P2589&lt;Matchup!$B$39+Matchup!$B$40,3,0)))</f>
        <v>0</v>
      </c>
      <c r="S2589" s="0" t="n">
        <f aca="false">IF($I2589&lt;&gt;$O2589,0,IF(Q2589&lt;Matchup!$C$39,7,IF(Q2589&lt;Matchup!$C$39+Matchup!$C$40,3,0)))</f>
        <v>0</v>
      </c>
      <c r="T2589" s="0" t="n">
        <f aca="false">I2589+R2589</f>
        <v>31</v>
      </c>
      <c r="U2589" s="0" t="n">
        <f aca="false">O2589+S2589</f>
        <v>27</v>
      </c>
      <c r="V2589" s="0" t="n">
        <f aca="false">T2589-U2589</f>
        <v>4</v>
      </c>
      <c r="W2589" s="0" t="n">
        <f aca="false">T2589+U2589</f>
        <v>58</v>
      </c>
    </row>
    <row r="2590" customFormat="false" ht="15" hidden="false" customHeight="false" outlineLevel="0" collapsed="false">
      <c r="A2590" s="0" t="n">
        <v>2587</v>
      </c>
      <c r="B2590" s="0" t="n">
        <f aca="true">NORMINV(RAND(),1,Coefficients!$B$22)</f>
        <v>0.710024927291292</v>
      </c>
      <c r="C2590" s="0" t="n">
        <f aca="true">MEDIAN(8,16,ROUND(NORMINV(RAND(),Coefficients!$B$20,Coefficients!$B$21),0))</f>
        <v>11</v>
      </c>
      <c r="D2590" s="0" t="n">
        <f aca="true">CRITBINOM($C2590,MIN(0.75,Matchup!$B$39*$B2590),RAND())</f>
        <v>3</v>
      </c>
      <c r="E2590" s="0" t="n">
        <f aca="true">CRITBINOM(D2590,Coefficients!$B$30,RAND())</f>
        <v>0</v>
      </c>
      <c r="F2590" s="0" t="n">
        <f aca="true">CRITBINOM(E2590,Coefficients!$B$31,RAND())</f>
        <v>0</v>
      </c>
      <c r="G2590" s="0" t="n">
        <f aca="true">CRITBINOM(MAX(0,D2590-E2590),1-Coefficients!$B$32,RAND())</f>
        <v>1</v>
      </c>
      <c r="H2590" s="0" t="n">
        <f aca="true">CRITBINOM(MAX(0,$C2590-D2590),MIN(0.6,Matchup!$B$40*SQRT($B2590)/(1-MIN(0.75,Matchup!$B$39*$B2590))),RAND())</f>
        <v>0</v>
      </c>
      <c r="I2590" s="0" t="n">
        <f aca="false">6*D2590+(D2590-E2590-G2590)+2*F2590+3*H2590</f>
        <v>20</v>
      </c>
      <c r="J2590" s="0" t="n">
        <f aca="true">CRITBINOM($C2590,MIN(0.75,Matchup!$C$39*$B2590),RAND())</f>
        <v>1</v>
      </c>
      <c r="K2590" s="0" t="n">
        <f aca="true">CRITBINOM(J2590,Coefficients!$B$30,RAND())</f>
        <v>1</v>
      </c>
      <c r="L2590" s="0" t="n">
        <f aca="true">CRITBINOM(K2590,Coefficients!$B$31,RAND())</f>
        <v>0</v>
      </c>
      <c r="M2590" s="0" t="n">
        <f aca="true">CRITBINOM(MAX(0,J2590-K2590),1-Coefficients!$B$32,RAND())</f>
        <v>0</v>
      </c>
      <c r="N2590" s="0" t="n">
        <f aca="true">CRITBINOM(MAX(0,$C2590-J2590),MIN(0.6,Matchup!$C$40*SQRT($B2590)/(1-MIN(0.75,Matchup!$C$39*$B2590))),RAND())</f>
        <v>2</v>
      </c>
      <c r="O2590" s="0" t="n">
        <f aca="false">6*J2590+(J2590-K2590-M2590)+2*L2590+3*N2590</f>
        <v>12</v>
      </c>
      <c r="P2590" s="0" t="n">
        <f aca="true">RAND()</f>
        <v>0.97681413332521</v>
      </c>
      <c r="Q2590" s="0" t="n">
        <f aca="true">RAND()</f>
        <v>0.267326034136981</v>
      </c>
      <c r="R2590" s="0" t="n">
        <f aca="false">IF($I2590&lt;&gt;$O2590,0,IF(P2590&lt;Matchup!$B$39,7,IF(P2590&lt;Matchup!$B$39+Matchup!$B$40,3,0)))</f>
        <v>0</v>
      </c>
      <c r="S2590" s="0" t="n">
        <f aca="false">IF($I2590&lt;&gt;$O2590,0,IF(Q2590&lt;Matchup!$C$39,7,IF(Q2590&lt;Matchup!$C$39+Matchup!$C$40,3,0)))</f>
        <v>0</v>
      </c>
      <c r="T2590" s="0" t="n">
        <f aca="false">I2590+R2590</f>
        <v>20</v>
      </c>
      <c r="U2590" s="0" t="n">
        <f aca="false">O2590+S2590</f>
        <v>12</v>
      </c>
      <c r="V2590" s="0" t="n">
        <f aca="false">T2590-U2590</f>
        <v>8</v>
      </c>
      <c r="W2590" s="0" t="n">
        <f aca="false">T2590+U2590</f>
        <v>32</v>
      </c>
    </row>
    <row r="2591" customFormat="false" ht="15" hidden="false" customHeight="false" outlineLevel="0" collapsed="false">
      <c r="A2591" s="0" t="n">
        <v>2588</v>
      </c>
      <c r="B2591" s="0" t="n">
        <f aca="true">NORMINV(RAND(),1,Coefficients!$B$22)</f>
        <v>1.00968263140868</v>
      </c>
      <c r="C2591" s="0" t="n">
        <f aca="true">MEDIAN(8,16,ROUND(NORMINV(RAND(),Coefficients!$B$20,Coefficients!$B$21),0))</f>
        <v>12</v>
      </c>
      <c r="D2591" s="0" t="n">
        <f aca="true">CRITBINOM($C2591,MIN(0.75,Matchup!$B$39*$B2591),RAND())</f>
        <v>4</v>
      </c>
      <c r="E2591" s="0" t="n">
        <f aca="true">CRITBINOM(D2591,Coefficients!$B$30,RAND())</f>
        <v>0</v>
      </c>
      <c r="F2591" s="0" t="n">
        <f aca="true">CRITBINOM(E2591,Coefficients!$B$31,RAND())</f>
        <v>0</v>
      </c>
      <c r="G2591" s="0" t="n">
        <f aca="true">CRITBINOM(MAX(0,D2591-E2591),1-Coefficients!$B$32,RAND())</f>
        <v>0</v>
      </c>
      <c r="H2591" s="0" t="n">
        <f aca="true">CRITBINOM(MAX(0,$C2591-D2591),MIN(0.6,Matchup!$B$40*SQRT($B2591)/(1-MIN(0.75,Matchup!$B$39*$B2591))),RAND())</f>
        <v>2</v>
      </c>
      <c r="I2591" s="0" t="n">
        <f aca="false">6*D2591+(D2591-E2591-G2591)+2*F2591+3*H2591</f>
        <v>34</v>
      </c>
      <c r="J2591" s="0" t="n">
        <f aca="true">CRITBINOM($C2591,MIN(0.75,Matchup!$C$39*$B2591),RAND())</f>
        <v>3</v>
      </c>
      <c r="K2591" s="0" t="n">
        <f aca="true">CRITBINOM(J2591,Coefficients!$B$30,RAND())</f>
        <v>1</v>
      </c>
      <c r="L2591" s="0" t="n">
        <f aca="true">CRITBINOM(K2591,Coefficients!$B$31,RAND())</f>
        <v>0</v>
      </c>
      <c r="M2591" s="0" t="n">
        <f aca="true">CRITBINOM(MAX(0,J2591-K2591),1-Coefficients!$B$32,RAND())</f>
        <v>0</v>
      </c>
      <c r="N2591" s="0" t="n">
        <f aca="true">CRITBINOM(MAX(0,$C2591-J2591),MIN(0.6,Matchup!$C$40*SQRT($B2591)/(1-MIN(0.75,Matchup!$C$39*$B2591))),RAND())</f>
        <v>3</v>
      </c>
      <c r="O2591" s="0" t="n">
        <f aca="false">6*J2591+(J2591-K2591-M2591)+2*L2591+3*N2591</f>
        <v>29</v>
      </c>
      <c r="P2591" s="0" t="n">
        <f aca="true">RAND()</f>
        <v>0.834495220389806</v>
      </c>
      <c r="Q2591" s="0" t="n">
        <f aca="true">RAND()</f>
        <v>0.258854715000523</v>
      </c>
      <c r="R2591" s="0" t="n">
        <f aca="false">IF($I2591&lt;&gt;$O2591,0,IF(P2591&lt;Matchup!$B$39,7,IF(P2591&lt;Matchup!$B$39+Matchup!$B$40,3,0)))</f>
        <v>0</v>
      </c>
      <c r="S2591" s="0" t="n">
        <f aca="false">IF($I2591&lt;&gt;$O2591,0,IF(Q2591&lt;Matchup!$C$39,7,IF(Q2591&lt;Matchup!$C$39+Matchup!$C$40,3,0)))</f>
        <v>0</v>
      </c>
      <c r="T2591" s="0" t="n">
        <f aca="false">I2591+R2591</f>
        <v>34</v>
      </c>
      <c r="U2591" s="0" t="n">
        <f aca="false">O2591+S2591</f>
        <v>29</v>
      </c>
      <c r="V2591" s="0" t="n">
        <f aca="false">T2591-U2591</f>
        <v>5</v>
      </c>
      <c r="W2591" s="0" t="n">
        <f aca="false">T2591+U2591</f>
        <v>63</v>
      </c>
    </row>
    <row r="2592" customFormat="false" ht="15" hidden="false" customHeight="false" outlineLevel="0" collapsed="false">
      <c r="A2592" s="0" t="n">
        <v>2589</v>
      </c>
      <c r="B2592" s="0" t="n">
        <f aca="true">NORMINV(RAND(),1,Coefficients!$B$22)</f>
        <v>0.952109740736434</v>
      </c>
      <c r="C2592" s="0" t="n">
        <f aca="true">MEDIAN(8,16,ROUND(NORMINV(RAND(),Coefficients!$B$20,Coefficients!$B$21),0))</f>
        <v>13</v>
      </c>
      <c r="D2592" s="0" t="n">
        <f aca="true">CRITBINOM($C2592,MIN(0.75,Matchup!$B$39*$B2592),RAND())</f>
        <v>3</v>
      </c>
      <c r="E2592" s="0" t="n">
        <f aca="true">CRITBINOM(D2592,Coefficients!$B$30,RAND())</f>
        <v>1</v>
      </c>
      <c r="F2592" s="0" t="n">
        <f aca="true">CRITBINOM(E2592,Coefficients!$B$31,RAND())</f>
        <v>0</v>
      </c>
      <c r="G2592" s="0" t="n">
        <f aca="true">CRITBINOM(MAX(0,D2592-E2592),1-Coefficients!$B$32,RAND())</f>
        <v>0</v>
      </c>
      <c r="H2592" s="0" t="n">
        <f aca="true">CRITBINOM(MAX(0,$C2592-D2592),MIN(0.6,Matchup!$B$40*SQRT($B2592)/(1-MIN(0.75,Matchup!$B$39*$B2592))),RAND())</f>
        <v>2</v>
      </c>
      <c r="I2592" s="0" t="n">
        <f aca="false">6*D2592+(D2592-E2592-G2592)+2*F2592+3*H2592</f>
        <v>26</v>
      </c>
      <c r="J2592" s="0" t="n">
        <f aca="true">CRITBINOM($C2592,MIN(0.75,Matchup!$C$39*$B2592),RAND())</f>
        <v>3</v>
      </c>
      <c r="K2592" s="0" t="n">
        <f aca="true">CRITBINOM(J2592,Coefficients!$B$30,RAND())</f>
        <v>0</v>
      </c>
      <c r="L2592" s="0" t="n">
        <f aca="true">CRITBINOM(K2592,Coefficients!$B$31,RAND())</f>
        <v>0</v>
      </c>
      <c r="M2592" s="0" t="n">
        <f aca="true">CRITBINOM(MAX(0,J2592-K2592),1-Coefficients!$B$32,RAND())</f>
        <v>0</v>
      </c>
      <c r="N2592" s="0" t="n">
        <f aca="true">CRITBINOM(MAX(0,$C2592-J2592),MIN(0.6,Matchup!$C$40*SQRT($B2592)/(1-MIN(0.75,Matchup!$C$39*$B2592))),RAND())</f>
        <v>1</v>
      </c>
      <c r="O2592" s="0" t="n">
        <f aca="false">6*J2592+(J2592-K2592-M2592)+2*L2592+3*N2592</f>
        <v>24</v>
      </c>
      <c r="P2592" s="0" t="n">
        <f aca="true">RAND()</f>
        <v>0.677998409230672</v>
      </c>
      <c r="Q2592" s="0" t="n">
        <f aca="true">RAND()</f>
        <v>0.782228175365573</v>
      </c>
      <c r="R2592" s="0" t="n">
        <f aca="false">IF($I2592&lt;&gt;$O2592,0,IF(P2592&lt;Matchup!$B$39,7,IF(P2592&lt;Matchup!$B$39+Matchup!$B$40,3,0)))</f>
        <v>0</v>
      </c>
      <c r="S2592" s="0" t="n">
        <f aca="false">IF($I2592&lt;&gt;$O2592,0,IF(Q2592&lt;Matchup!$C$39,7,IF(Q2592&lt;Matchup!$C$39+Matchup!$C$40,3,0)))</f>
        <v>0</v>
      </c>
      <c r="T2592" s="0" t="n">
        <f aca="false">I2592+R2592</f>
        <v>26</v>
      </c>
      <c r="U2592" s="0" t="n">
        <f aca="false">O2592+S2592</f>
        <v>24</v>
      </c>
      <c r="V2592" s="0" t="n">
        <f aca="false">T2592-U2592</f>
        <v>2</v>
      </c>
      <c r="W2592" s="0" t="n">
        <f aca="false">T2592+U2592</f>
        <v>50</v>
      </c>
    </row>
    <row r="2593" customFormat="false" ht="15" hidden="false" customHeight="false" outlineLevel="0" collapsed="false">
      <c r="A2593" s="0" t="n">
        <v>2590</v>
      </c>
      <c r="B2593" s="0" t="n">
        <f aca="true">NORMINV(RAND(),1,Coefficients!$B$22)</f>
        <v>1.11556381432927</v>
      </c>
      <c r="C2593" s="0" t="n">
        <f aca="true">MEDIAN(8,16,ROUND(NORMINV(RAND(),Coefficients!$B$20,Coefficients!$B$21),0))</f>
        <v>11</v>
      </c>
      <c r="D2593" s="0" t="n">
        <f aca="true">CRITBINOM($C2593,MIN(0.75,Matchup!$B$39*$B2593),RAND())</f>
        <v>1</v>
      </c>
      <c r="E2593" s="0" t="n">
        <f aca="true">CRITBINOM(D2593,Coefficients!$B$30,RAND())</f>
        <v>0</v>
      </c>
      <c r="F2593" s="0" t="n">
        <f aca="true">CRITBINOM(E2593,Coefficients!$B$31,RAND())</f>
        <v>0</v>
      </c>
      <c r="G2593" s="0" t="n">
        <f aca="true">CRITBINOM(MAX(0,D2593-E2593),1-Coefficients!$B$32,RAND())</f>
        <v>0</v>
      </c>
      <c r="H2593" s="0" t="n">
        <f aca="true">CRITBINOM(MAX(0,$C2593-D2593),MIN(0.6,Matchup!$B$40*SQRT($B2593)/(1-MIN(0.75,Matchup!$B$39*$B2593))),RAND())</f>
        <v>2</v>
      </c>
      <c r="I2593" s="0" t="n">
        <f aca="false">6*D2593+(D2593-E2593-G2593)+2*F2593+3*H2593</f>
        <v>13</v>
      </c>
      <c r="J2593" s="0" t="n">
        <f aca="true">CRITBINOM($C2593,MIN(0.75,Matchup!$C$39*$B2593),RAND())</f>
        <v>3</v>
      </c>
      <c r="K2593" s="0" t="n">
        <f aca="true">CRITBINOM(J2593,Coefficients!$B$30,RAND())</f>
        <v>0</v>
      </c>
      <c r="L2593" s="0" t="n">
        <f aca="true">CRITBINOM(K2593,Coefficients!$B$31,RAND())</f>
        <v>0</v>
      </c>
      <c r="M2593" s="0" t="n">
        <f aca="true">CRITBINOM(MAX(0,J2593-K2593),1-Coefficients!$B$32,RAND())</f>
        <v>1</v>
      </c>
      <c r="N2593" s="0" t="n">
        <f aca="true">CRITBINOM(MAX(0,$C2593-J2593),MIN(0.6,Matchup!$C$40*SQRT($B2593)/(1-MIN(0.75,Matchup!$C$39*$B2593))),RAND())</f>
        <v>2</v>
      </c>
      <c r="O2593" s="0" t="n">
        <f aca="false">6*J2593+(J2593-K2593-M2593)+2*L2593+3*N2593</f>
        <v>26</v>
      </c>
      <c r="P2593" s="0" t="n">
        <f aca="true">RAND()</f>
        <v>0.523299660082432</v>
      </c>
      <c r="Q2593" s="0" t="n">
        <f aca="true">RAND()</f>
        <v>0.707514995903457</v>
      </c>
      <c r="R2593" s="0" t="n">
        <f aca="false">IF($I2593&lt;&gt;$O2593,0,IF(P2593&lt;Matchup!$B$39,7,IF(P2593&lt;Matchup!$B$39+Matchup!$B$40,3,0)))</f>
        <v>0</v>
      </c>
      <c r="S2593" s="0" t="n">
        <f aca="false">IF($I2593&lt;&gt;$O2593,0,IF(Q2593&lt;Matchup!$C$39,7,IF(Q2593&lt;Matchup!$C$39+Matchup!$C$40,3,0)))</f>
        <v>0</v>
      </c>
      <c r="T2593" s="0" t="n">
        <f aca="false">I2593+R2593</f>
        <v>13</v>
      </c>
      <c r="U2593" s="0" t="n">
        <f aca="false">O2593+S2593</f>
        <v>26</v>
      </c>
      <c r="V2593" s="0" t="n">
        <f aca="false">T2593-U2593</f>
        <v>-13</v>
      </c>
      <c r="W2593" s="0" t="n">
        <f aca="false">T2593+U2593</f>
        <v>39</v>
      </c>
    </row>
    <row r="2594" customFormat="false" ht="15" hidden="false" customHeight="false" outlineLevel="0" collapsed="false">
      <c r="A2594" s="0" t="n">
        <v>2591</v>
      </c>
      <c r="B2594" s="0" t="n">
        <f aca="true">NORMINV(RAND(),1,Coefficients!$B$22)</f>
        <v>0.957564821598302</v>
      </c>
      <c r="C2594" s="0" t="n">
        <f aca="true">MEDIAN(8,16,ROUND(NORMINV(RAND(),Coefficients!$B$20,Coefficients!$B$21),0))</f>
        <v>11</v>
      </c>
      <c r="D2594" s="0" t="n">
        <f aca="true">CRITBINOM($C2594,MIN(0.75,Matchup!$B$39*$B2594),RAND())</f>
        <v>6</v>
      </c>
      <c r="E2594" s="0" t="n">
        <f aca="true">CRITBINOM(D2594,Coefficients!$B$30,RAND())</f>
        <v>0</v>
      </c>
      <c r="F2594" s="0" t="n">
        <f aca="true">CRITBINOM(E2594,Coefficients!$B$31,RAND())</f>
        <v>0</v>
      </c>
      <c r="G2594" s="0" t="n">
        <f aca="true">CRITBINOM(MAX(0,D2594-E2594),1-Coefficients!$B$32,RAND())</f>
        <v>0</v>
      </c>
      <c r="H2594" s="0" t="n">
        <f aca="true">CRITBINOM(MAX(0,$C2594-D2594),MIN(0.6,Matchup!$B$40*SQRT($B2594)/(1-MIN(0.75,Matchup!$B$39*$B2594))),RAND())</f>
        <v>1</v>
      </c>
      <c r="I2594" s="0" t="n">
        <f aca="false">6*D2594+(D2594-E2594-G2594)+2*F2594+3*H2594</f>
        <v>45</v>
      </c>
      <c r="J2594" s="0" t="n">
        <f aca="true">CRITBINOM($C2594,MIN(0.75,Matchup!$C$39*$B2594),RAND())</f>
        <v>5</v>
      </c>
      <c r="K2594" s="0" t="n">
        <f aca="true">CRITBINOM(J2594,Coefficients!$B$30,RAND())</f>
        <v>1</v>
      </c>
      <c r="L2594" s="0" t="n">
        <f aca="true">CRITBINOM(K2594,Coefficients!$B$31,RAND())</f>
        <v>0</v>
      </c>
      <c r="M2594" s="0" t="n">
        <f aca="true">CRITBINOM(MAX(0,J2594-K2594),1-Coefficients!$B$32,RAND())</f>
        <v>1</v>
      </c>
      <c r="N2594" s="0" t="n">
        <f aca="true">CRITBINOM(MAX(0,$C2594-J2594),MIN(0.6,Matchup!$C$40*SQRT($B2594)/(1-MIN(0.75,Matchup!$C$39*$B2594))),RAND())</f>
        <v>1</v>
      </c>
      <c r="O2594" s="0" t="n">
        <f aca="false">6*J2594+(J2594-K2594-M2594)+2*L2594+3*N2594</f>
        <v>36</v>
      </c>
      <c r="P2594" s="0" t="n">
        <f aca="true">RAND()</f>
        <v>0.896804766812953</v>
      </c>
      <c r="Q2594" s="0" t="n">
        <f aca="true">RAND()</f>
        <v>0.480111275197254</v>
      </c>
      <c r="R2594" s="0" t="n">
        <f aca="false">IF($I2594&lt;&gt;$O2594,0,IF(P2594&lt;Matchup!$B$39,7,IF(P2594&lt;Matchup!$B$39+Matchup!$B$40,3,0)))</f>
        <v>0</v>
      </c>
      <c r="S2594" s="0" t="n">
        <f aca="false">IF($I2594&lt;&gt;$O2594,0,IF(Q2594&lt;Matchup!$C$39,7,IF(Q2594&lt;Matchup!$C$39+Matchup!$C$40,3,0)))</f>
        <v>0</v>
      </c>
      <c r="T2594" s="0" t="n">
        <f aca="false">I2594+R2594</f>
        <v>45</v>
      </c>
      <c r="U2594" s="0" t="n">
        <f aca="false">O2594+S2594</f>
        <v>36</v>
      </c>
      <c r="V2594" s="0" t="n">
        <f aca="false">T2594-U2594</f>
        <v>9</v>
      </c>
      <c r="W2594" s="0" t="n">
        <f aca="false">T2594+U2594</f>
        <v>81</v>
      </c>
    </row>
    <row r="2595" customFormat="false" ht="15" hidden="false" customHeight="false" outlineLevel="0" collapsed="false">
      <c r="A2595" s="0" t="n">
        <v>2592</v>
      </c>
      <c r="B2595" s="0" t="n">
        <f aca="true">NORMINV(RAND(),1,Coefficients!$B$22)</f>
        <v>1.02848096246197</v>
      </c>
      <c r="C2595" s="0" t="n">
        <f aca="true">MEDIAN(8,16,ROUND(NORMINV(RAND(),Coefficients!$B$20,Coefficients!$B$21),0))</f>
        <v>12</v>
      </c>
      <c r="D2595" s="0" t="n">
        <f aca="true">CRITBINOM($C2595,MIN(0.75,Matchup!$B$39*$B2595),RAND())</f>
        <v>2</v>
      </c>
      <c r="E2595" s="0" t="n">
        <f aca="true">CRITBINOM(D2595,Coefficients!$B$30,RAND())</f>
        <v>0</v>
      </c>
      <c r="F2595" s="0" t="n">
        <f aca="true">CRITBINOM(E2595,Coefficients!$B$31,RAND())</f>
        <v>0</v>
      </c>
      <c r="G2595" s="0" t="n">
        <f aca="true">CRITBINOM(MAX(0,D2595-E2595),1-Coefficients!$B$32,RAND())</f>
        <v>1</v>
      </c>
      <c r="H2595" s="0" t="n">
        <f aca="true">CRITBINOM(MAX(0,$C2595-D2595),MIN(0.6,Matchup!$B$40*SQRT($B2595)/(1-MIN(0.75,Matchup!$B$39*$B2595))),RAND())</f>
        <v>2</v>
      </c>
      <c r="I2595" s="0" t="n">
        <f aca="false">6*D2595+(D2595-E2595-G2595)+2*F2595+3*H2595</f>
        <v>19</v>
      </c>
      <c r="J2595" s="0" t="n">
        <f aca="true">CRITBINOM($C2595,MIN(0.75,Matchup!$C$39*$B2595),RAND())</f>
        <v>3</v>
      </c>
      <c r="K2595" s="0" t="n">
        <f aca="true">CRITBINOM(J2595,Coefficients!$B$30,RAND())</f>
        <v>0</v>
      </c>
      <c r="L2595" s="0" t="n">
        <f aca="true">CRITBINOM(K2595,Coefficients!$B$31,RAND())</f>
        <v>0</v>
      </c>
      <c r="M2595" s="0" t="n">
        <f aca="true">CRITBINOM(MAX(0,J2595-K2595),1-Coefficients!$B$32,RAND())</f>
        <v>0</v>
      </c>
      <c r="N2595" s="0" t="n">
        <f aca="true">CRITBINOM(MAX(0,$C2595-J2595),MIN(0.6,Matchup!$C$40*SQRT($B2595)/(1-MIN(0.75,Matchup!$C$39*$B2595))),RAND())</f>
        <v>1</v>
      </c>
      <c r="O2595" s="0" t="n">
        <f aca="false">6*J2595+(J2595-K2595-M2595)+2*L2595+3*N2595</f>
        <v>24</v>
      </c>
      <c r="P2595" s="0" t="n">
        <f aca="true">RAND()</f>
        <v>0.559472195132973</v>
      </c>
      <c r="Q2595" s="0" t="n">
        <f aca="true">RAND()</f>
        <v>0.500870739462262</v>
      </c>
      <c r="R2595" s="0" t="n">
        <f aca="false">IF($I2595&lt;&gt;$O2595,0,IF(P2595&lt;Matchup!$B$39,7,IF(P2595&lt;Matchup!$B$39+Matchup!$B$40,3,0)))</f>
        <v>0</v>
      </c>
      <c r="S2595" s="0" t="n">
        <f aca="false">IF($I2595&lt;&gt;$O2595,0,IF(Q2595&lt;Matchup!$C$39,7,IF(Q2595&lt;Matchup!$C$39+Matchup!$C$40,3,0)))</f>
        <v>0</v>
      </c>
      <c r="T2595" s="0" t="n">
        <f aca="false">I2595+R2595</f>
        <v>19</v>
      </c>
      <c r="U2595" s="0" t="n">
        <f aca="false">O2595+S2595</f>
        <v>24</v>
      </c>
      <c r="V2595" s="0" t="n">
        <f aca="false">T2595-U2595</f>
        <v>-5</v>
      </c>
      <c r="W2595" s="0" t="n">
        <f aca="false">T2595+U2595</f>
        <v>43</v>
      </c>
    </row>
    <row r="2596" customFormat="false" ht="15" hidden="false" customHeight="false" outlineLevel="0" collapsed="false">
      <c r="A2596" s="0" t="n">
        <v>2593</v>
      </c>
      <c r="B2596" s="0" t="n">
        <f aca="true">NORMINV(RAND(),1,Coefficients!$B$22)</f>
        <v>0.870909338812091</v>
      </c>
      <c r="C2596" s="0" t="n">
        <f aca="true">MEDIAN(8,16,ROUND(NORMINV(RAND(),Coefficients!$B$20,Coefficients!$B$21),0))</f>
        <v>12</v>
      </c>
      <c r="D2596" s="0" t="n">
        <f aca="true">CRITBINOM($C2596,MIN(0.75,Matchup!$B$39*$B2596),RAND())</f>
        <v>3</v>
      </c>
      <c r="E2596" s="0" t="n">
        <f aca="true">CRITBINOM(D2596,Coefficients!$B$30,RAND())</f>
        <v>0</v>
      </c>
      <c r="F2596" s="0" t="n">
        <f aca="true">CRITBINOM(E2596,Coefficients!$B$31,RAND())</f>
        <v>0</v>
      </c>
      <c r="G2596" s="0" t="n">
        <f aca="true">CRITBINOM(MAX(0,D2596-E2596),1-Coefficients!$B$32,RAND())</f>
        <v>0</v>
      </c>
      <c r="H2596" s="0" t="n">
        <f aca="true">CRITBINOM(MAX(0,$C2596-D2596),MIN(0.6,Matchup!$B$40*SQRT($B2596)/(1-MIN(0.75,Matchup!$B$39*$B2596))),RAND())</f>
        <v>1</v>
      </c>
      <c r="I2596" s="0" t="n">
        <f aca="false">6*D2596+(D2596-E2596-G2596)+2*F2596+3*H2596</f>
        <v>24</v>
      </c>
      <c r="J2596" s="0" t="n">
        <f aca="true">CRITBINOM($C2596,MIN(0.75,Matchup!$C$39*$B2596),RAND())</f>
        <v>4</v>
      </c>
      <c r="K2596" s="0" t="n">
        <f aca="true">CRITBINOM(J2596,Coefficients!$B$30,RAND())</f>
        <v>0</v>
      </c>
      <c r="L2596" s="0" t="n">
        <f aca="true">CRITBINOM(K2596,Coefficients!$B$31,RAND())</f>
        <v>0</v>
      </c>
      <c r="M2596" s="0" t="n">
        <f aca="true">CRITBINOM(MAX(0,J2596-K2596),1-Coefficients!$B$32,RAND())</f>
        <v>0</v>
      </c>
      <c r="N2596" s="0" t="n">
        <f aca="true">CRITBINOM(MAX(0,$C2596-J2596),MIN(0.6,Matchup!$C$40*SQRT($B2596)/(1-MIN(0.75,Matchup!$C$39*$B2596))),RAND())</f>
        <v>2</v>
      </c>
      <c r="O2596" s="0" t="n">
        <f aca="false">6*J2596+(J2596-K2596-M2596)+2*L2596+3*N2596</f>
        <v>34</v>
      </c>
      <c r="P2596" s="0" t="n">
        <f aca="true">RAND()</f>
        <v>0.823710303235642</v>
      </c>
      <c r="Q2596" s="0" t="n">
        <f aca="true">RAND()</f>
        <v>0.79874431203329</v>
      </c>
      <c r="R2596" s="0" t="n">
        <f aca="false">IF($I2596&lt;&gt;$O2596,0,IF(P2596&lt;Matchup!$B$39,7,IF(P2596&lt;Matchup!$B$39+Matchup!$B$40,3,0)))</f>
        <v>0</v>
      </c>
      <c r="S2596" s="0" t="n">
        <f aca="false">IF($I2596&lt;&gt;$O2596,0,IF(Q2596&lt;Matchup!$C$39,7,IF(Q2596&lt;Matchup!$C$39+Matchup!$C$40,3,0)))</f>
        <v>0</v>
      </c>
      <c r="T2596" s="0" t="n">
        <f aca="false">I2596+R2596</f>
        <v>24</v>
      </c>
      <c r="U2596" s="0" t="n">
        <f aca="false">O2596+S2596</f>
        <v>34</v>
      </c>
      <c r="V2596" s="0" t="n">
        <f aca="false">T2596-U2596</f>
        <v>-10</v>
      </c>
      <c r="W2596" s="0" t="n">
        <f aca="false">T2596+U2596</f>
        <v>58</v>
      </c>
    </row>
    <row r="2597" customFormat="false" ht="15" hidden="false" customHeight="false" outlineLevel="0" collapsed="false">
      <c r="A2597" s="0" t="n">
        <v>2594</v>
      </c>
      <c r="B2597" s="0" t="n">
        <f aca="true">NORMINV(RAND(),1,Coefficients!$B$22)</f>
        <v>1.02368703430119</v>
      </c>
      <c r="C2597" s="0" t="n">
        <f aca="true">MEDIAN(8,16,ROUND(NORMINV(RAND(),Coefficients!$B$20,Coefficients!$B$21),0))</f>
        <v>12</v>
      </c>
      <c r="D2597" s="0" t="n">
        <f aca="true">CRITBINOM($C2597,MIN(0.75,Matchup!$B$39*$B2597),RAND())</f>
        <v>5</v>
      </c>
      <c r="E2597" s="0" t="n">
        <f aca="true">CRITBINOM(D2597,Coefficients!$B$30,RAND())</f>
        <v>0</v>
      </c>
      <c r="F2597" s="0" t="n">
        <f aca="true">CRITBINOM(E2597,Coefficients!$B$31,RAND())</f>
        <v>0</v>
      </c>
      <c r="G2597" s="0" t="n">
        <f aca="true">CRITBINOM(MAX(0,D2597-E2597),1-Coefficients!$B$32,RAND())</f>
        <v>0</v>
      </c>
      <c r="H2597" s="0" t="n">
        <f aca="true">CRITBINOM(MAX(0,$C2597-D2597),MIN(0.6,Matchup!$B$40*SQRT($B2597)/(1-MIN(0.75,Matchup!$B$39*$B2597))),RAND())</f>
        <v>1</v>
      </c>
      <c r="I2597" s="0" t="n">
        <f aca="false">6*D2597+(D2597-E2597-G2597)+2*F2597+3*H2597</f>
        <v>38</v>
      </c>
      <c r="J2597" s="0" t="n">
        <f aca="true">CRITBINOM($C2597,MIN(0.75,Matchup!$C$39*$B2597),RAND())</f>
        <v>2</v>
      </c>
      <c r="K2597" s="0" t="n">
        <f aca="true">CRITBINOM(J2597,Coefficients!$B$30,RAND())</f>
        <v>0</v>
      </c>
      <c r="L2597" s="0" t="n">
        <f aca="true">CRITBINOM(K2597,Coefficients!$B$31,RAND())</f>
        <v>0</v>
      </c>
      <c r="M2597" s="0" t="n">
        <f aca="true">CRITBINOM(MAX(0,J2597-K2597),1-Coefficients!$B$32,RAND())</f>
        <v>0</v>
      </c>
      <c r="N2597" s="0" t="n">
        <f aca="true">CRITBINOM(MAX(0,$C2597-J2597),MIN(0.6,Matchup!$C$40*SQRT($B2597)/(1-MIN(0.75,Matchup!$C$39*$B2597))),RAND())</f>
        <v>2</v>
      </c>
      <c r="O2597" s="0" t="n">
        <f aca="false">6*J2597+(J2597-K2597-M2597)+2*L2597+3*N2597</f>
        <v>20</v>
      </c>
      <c r="P2597" s="0" t="n">
        <f aca="true">RAND()</f>
        <v>0.259981480867283</v>
      </c>
      <c r="Q2597" s="0" t="n">
        <f aca="true">RAND()</f>
        <v>0.89196271345291</v>
      </c>
      <c r="R2597" s="0" t="n">
        <f aca="false">IF($I2597&lt;&gt;$O2597,0,IF(P2597&lt;Matchup!$B$39,7,IF(P2597&lt;Matchup!$B$39+Matchup!$B$40,3,0)))</f>
        <v>0</v>
      </c>
      <c r="S2597" s="0" t="n">
        <f aca="false">IF($I2597&lt;&gt;$O2597,0,IF(Q2597&lt;Matchup!$C$39,7,IF(Q2597&lt;Matchup!$C$39+Matchup!$C$40,3,0)))</f>
        <v>0</v>
      </c>
      <c r="T2597" s="0" t="n">
        <f aca="false">I2597+R2597</f>
        <v>38</v>
      </c>
      <c r="U2597" s="0" t="n">
        <f aca="false">O2597+S2597</f>
        <v>20</v>
      </c>
      <c r="V2597" s="0" t="n">
        <f aca="false">T2597-U2597</f>
        <v>18</v>
      </c>
      <c r="W2597" s="0" t="n">
        <f aca="false">T2597+U2597</f>
        <v>58</v>
      </c>
    </row>
    <row r="2598" customFormat="false" ht="15" hidden="false" customHeight="false" outlineLevel="0" collapsed="false">
      <c r="A2598" s="0" t="n">
        <v>2595</v>
      </c>
      <c r="B2598" s="0" t="n">
        <f aca="true">NORMINV(RAND(),1,Coefficients!$B$22)</f>
        <v>1.04078734745821</v>
      </c>
      <c r="C2598" s="0" t="n">
        <f aca="true">MEDIAN(8,16,ROUND(NORMINV(RAND(),Coefficients!$B$20,Coefficients!$B$21),0))</f>
        <v>10</v>
      </c>
      <c r="D2598" s="0" t="n">
        <f aca="true">CRITBINOM($C2598,MIN(0.75,Matchup!$B$39*$B2598),RAND())</f>
        <v>2</v>
      </c>
      <c r="E2598" s="0" t="n">
        <f aca="true">CRITBINOM(D2598,Coefficients!$B$30,RAND())</f>
        <v>0</v>
      </c>
      <c r="F2598" s="0" t="n">
        <f aca="true">CRITBINOM(E2598,Coefficients!$B$31,RAND())</f>
        <v>0</v>
      </c>
      <c r="G2598" s="0" t="n">
        <f aca="true">CRITBINOM(MAX(0,D2598-E2598),1-Coefficients!$B$32,RAND())</f>
        <v>0</v>
      </c>
      <c r="H2598" s="0" t="n">
        <f aca="true">CRITBINOM(MAX(0,$C2598-D2598),MIN(0.6,Matchup!$B$40*SQRT($B2598)/(1-MIN(0.75,Matchup!$B$39*$B2598))),RAND())</f>
        <v>1</v>
      </c>
      <c r="I2598" s="0" t="n">
        <f aca="false">6*D2598+(D2598-E2598-G2598)+2*F2598+3*H2598</f>
        <v>17</v>
      </c>
      <c r="J2598" s="0" t="n">
        <f aca="true">CRITBINOM($C2598,MIN(0.75,Matchup!$C$39*$B2598),RAND())</f>
        <v>1</v>
      </c>
      <c r="K2598" s="0" t="n">
        <f aca="true">CRITBINOM(J2598,Coefficients!$B$30,RAND())</f>
        <v>0</v>
      </c>
      <c r="L2598" s="0" t="n">
        <f aca="true">CRITBINOM(K2598,Coefficients!$B$31,RAND())</f>
        <v>0</v>
      </c>
      <c r="M2598" s="0" t="n">
        <f aca="true">CRITBINOM(MAX(0,J2598-K2598),1-Coefficients!$B$32,RAND())</f>
        <v>0</v>
      </c>
      <c r="N2598" s="0" t="n">
        <f aca="true">CRITBINOM(MAX(0,$C2598-J2598),MIN(0.6,Matchup!$C$40*SQRT($B2598)/(1-MIN(0.75,Matchup!$C$39*$B2598))),RAND())</f>
        <v>2</v>
      </c>
      <c r="O2598" s="0" t="n">
        <f aca="false">6*J2598+(J2598-K2598-M2598)+2*L2598+3*N2598</f>
        <v>13</v>
      </c>
      <c r="P2598" s="0" t="n">
        <f aca="true">RAND()</f>
        <v>0.216693214146199</v>
      </c>
      <c r="Q2598" s="0" t="n">
        <f aca="true">RAND()</f>
        <v>0.587196581821069</v>
      </c>
      <c r="R2598" s="0" t="n">
        <f aca="false">IF($I2598&lt;&gt;$O2598,0,IF(P2598&lt;Matchup!$B$39,7,IF(P2598&lt;Matchup!$B$39+Matchup!$B$40,3,0)))</f>
        <v>0</v>
      </c>
      <c r="S2598" s="0" t="n">
        <f aca="false">IF($I2598&lt;&gt;$O2598,0,IF(Q2598&lt;Matchup!$C$39,7,IF(Q2598&lt;Matchup!$C$39+Matchup!$C$40,3,0)))</f>
        <v>0</v>
      </c>
      <c r="T2598" s="0" t="n">
        <f aca="false">I2598+R2598</f>
        <v>17</v>
      </c>
      <c r="U2598" s="0" t="n">
        <f aca="false">O2598+S2598</f>
        <v>13</v>
      </c>
      <c r="V2598" s="0" t="n">
        <f aca="false">T2598-U2598</f>
        <v>4</v>
      </c>
      <c r="W2598" s="0" t="n">
        <f aca="false">T2598+U2598</f>
        <v>30</v>
      </c>
    </row>
    <row r="2599" customFormat="false" ht="15" hidden="false" customHeight="false" outlineLevel="0" collapsed="false">
      <c r="A2599" s="0" t="n">
        <v>2596</v>
      </c>
      <c r="B2599" s="0" t="n">
        <f aca="true">NORMINV(RAND(),1,Coefficients!$B$22)</f>
        <v>1.04299635174974</v>
      </c>
      <c r="C2599" s="0" t="n">
        <f aca="true">MEDIAN(8,16,ROUND(NORMINV(RAND(),Coefficients!$B$20,Coefficients!$B$21),0))</f>
        <v>14</v>
      </c>
      <c r="D2599" s="0" t="n">
        <f aca="true">CRITBINOM($C2599,MIN(0.75,Matchup!$B$39*$B2599),RAND())</f>
        <v>4</v>
      </c>
      <c r="E2599" s="0" t="n">
        <f aca="true">CRITBINOM(D2599,Coefficients!$B$30,RAND())</f>
        <v>0</v>
      </c>
      <c r="F2599" s="0" t="n">
        <f aca="true">CRITBINOM(E2599,Coefficients!$B$31,RAND())</f>
        <v>0</v>
      </c>
      <c r="G2599" s="0" t="n">
        <f aca="true">CRITBINOM(MAX(0,D2599-E2599),1-Coefficients!$B$32,RAND())</f>
        <v>2</v>
      </c>
      <c r="H2599" s="0" t="n">
        <f aca="true">CRITBINOM(MAX(0,$C2599-D2599),MIN(0.6,Matchup!$B$40*SQRT($B2599)/(1-MIN(0.75,Matchup!$B$39*$B2599))),RAND())</f>
        <v>2</v>
      </c>
      <c r="I2599" s="0" t="n">
        <f aca="false">6*D2599+(D2599-E2599-G2599)+2*F2599+3*H2599</f>
        <v>32</v>
      </c>
      <c r="J2599" s="0" t="n">
        <f aca="true">CRITBINOM($C2599,MIN(0.75,Matchup!$C$39*$B2599),RAND())</f>
        <v>4</v>
      </c>
      <c r="K2599" s="0" t="n">
        <f aca="true">CRITBINOM(J2599,Coefficients!$B$30,RAND())</f>
        <v>0</v>
      </c>
      <c r="L2599" s="0" t="n">
        <f aca="true">CRITBINOM(K2599,Coefficients!$B$31,RAND())</f>
        <v>0</v>
      </c>
      <c r="M2599" s="0" t="n">
        <f aca="true">CRITBINOM(MAX(0,J2599-K2599),1-Coefficients!$B$32,RAND())</f>
        <v>0</v>
      </c>
      <c r="N2599" s="0" t="n">
        <f aca="true">CRITBINOM(MAX(0,$C2599-J2599),MIN(0.6,Matchup!$C$40*SQRT($B2599)/(1-MIN(0.75,Matchup!$C$39*$B2599))),RAND())</f>
        <v>1</v>
      </c>
      <c r="O2599" s="0" t="n">
        <f aca="false">6*J2599+(J2599-K2599-M2599)+2*L2599+3*N2599</f>
        <v>31</v>
      </c>
      <c r="P2599" s="0" t="n">
        <f aca="true">RAND()</f>
        <v>0.103413630509309</v>
      </c>
      <c r="Q2599" s="0" t="n">
        <f aca="true">RAND()</f>
        <v>0.911158675443134</v>
      </c>
      <c r="R2599" s="0" t="n">
        <f aca="false">IF($I2599&lt;&gt;$O2599,0,IF(P2599&lt;Matchup!$B$39,7,IF(P2599&lt;Matchup!$B$39+Matchup!$B$40,3,0)))</f>
        <v>0</v>
      </c>
      <c r="S2599" s="0" t="n">
        <f aca="false">IF($I2599&lt;&gt;$O2599,0,IF(Q2599&lt;Matchup!$C$39,7,IF(Q2599&lt;Matchup!$C$39+Matchup!$C$40,3,0)))</f>
        <v>0</v>
      </c>
      <c r="T2599" s="0" t="n">
        <f aca="false">I2599+R2599</f>
        <v>32</v>
      </c>
      <c r="U2599" s="0" t="n">
        <f aca="false">O2599+S2599</f>
        <v>31</v>
      </c>
      <c r="V2599" s="0" t="n">
        <f aca="false">T2599-U2599</f>
        <v>1</v>
      </c>
      <c r="W2599" s="0" t="n">
        <f aca="false">T2599+U2599</f>
        <v>63</v>
      </c>
    </row>
    <row r="2600" customFormat="false" ht="15" hidden="false" customHeight="false" outlineLevel="0" collapsed="false">
      <c r="A2600" s="0" t="n">
        <v>2597</v>
      </c>
      <c r="B2600" s="0" t="n">
        <f aca="true">NORMINV(RAND(),1,Coefficients!$B$22)</f>
        <v>1.08723776043899</v>
      </c>
      <c r="C2600" s="0" t="n">
        <f aca="true">MEDIAN(8,16,ROUND(NORMINV(RAND(),Coefficients!$B$20,Coefficients!$B$21),0))</f>
        <v>12</v>
      </c>
      <c r="D2600" s="0" t="n">
        <f aca="true">CRITBINOM($C2600,MIN(0.75,Matchup!$B$39*$B2600),RAND())</f>
        <v>3</v>
      </c>
      <c r="E2600" s="0" t="n">
        <f aca="true">CRITBINOM(D2600,Coefficients!$B$30,RAND())</f>
        <v>0</v>
      </c>
      <c r="F2600" s="0" t="n">
        <f aca="true">CRITBINOM(E2600,Coefficients!$B$31,RAND())</f>
        <v>0</v>
      </c>
      <c r="G2600" s="0" t="n">
        <f aca="true">CRITBINOM(MAX(0,D2600-E2600),1-Coefficients!$B$32,RAND())</f>
        <v>0</v>
      </c>
      <c r="H2600" s="0" t="n">
        <f aca="true">CRITBINOM(MAX(0,$C2600-D2600),MIN(0.6,Matchup!$B$40*SQRT($B2600)/(1-MIN(0.75,Matchup!$B$39*$B2600))),RAND())</f>
        <v>1</v>
      </c>
      <c r="I2600" s="0" t="n">
        <f aca="false">6*D2600+(D2600-E2600-G2600)+2*F2600+3*H2600</f>
        <v>24</v>
      </c>
      <c r="J2600" s="0" t="n">
        <f aca="true">CRITBINOM($C2600,MIN(0.75,Matchup!$C$39*$B2600),RAND())</f>
        <v>3</v>
      </c>
      <c r="K2600" s="0" t="n">
        <f aca="true">CRITBINOM(J2600,Coefficients!$B$30,RAND())</f>
        <v>0</v>
      </c>
      <c r="L2600" s="0" t="n">
        <f aca="true">CRITBINOM(K2600,Coefficients!$B$31,RAND())</f>
        <v>0</v>
      </c>
      <c r="M2600" s="0" t="n">
        <f aca="true">CRITBINOM(MAX(0,J2600-K2600),1-Coefficients!$B$32,RAND())</f>
        <v>0</v>
      </c>
      <c r="N2600" s="0" t="n">
        <f aca="true">CRITBINOM(MAX(0,$C2600-J2600),MIN(0.6,Matchup!$C$40*SQRT($B2600)/(1-MIN(0.75,Matchup!$C$39*$B2600))),RAND())</f>
        <v>1</v>
      </c>
      <c r="O2600" s="0" t="n">
        <f aca="false">6*J2600+(J2600-K2600-M2600)+2*L2600+3*N2600</f>
        <v>24</v>
      </c>
      <c r="P2600" s="0" t="n">
        <f aca="true">RAND()</f>
        <v>0.800202635473869</v>
      </c>
      <c r="Q2600" s="0" t="n">
        <f aca="true">RAND()</f>
        <v>0.181180796833901</v>
      </c>
      <c r="R2600" s="0" t="n">
        <f aca="false">IF($I2600&lt;&gt;$O2600,0,IF(P2600&lt;Matchup!$B$39,7,IF(P2600&lt;Matchup!$B$39+Matchup!$B$40,3,0)))</f>
        <v>0</v>
      </c>
      <c r="S2600" s="0" t="n">
        <f aca="false">IF($I2600&lt;&gt;$O2600,0,IF(Q2600&lt;Matchup!$C$39,7,IF(Q2600&lt;Matchup!$C$39+Matchup!$C$40,3,0)))</f>
        <v>7</v>
      </c>
      <c r="T2600" s="0" t="n">
        <f aca="false">I2600+R2600</f>
        <v>24</v>
      </c>
      <c r="U2600" s="0" t="n">
        <f aca="false">O2600+S2600</f>
        <v>31</v>
      </c>
      <c r="V2600" s="0" t="n">
        <f aca="false">T2600-U2600</f>
        <v>-7</v>
      </c>
      <c r="W2600" s="0" t="n">
        <f aca="false">T2600+U2600</f>
        <v>55</v>
      </c>
    </row>
    <row r="2601" customFormat="false" ht="15" hidden="false" customHeight="false" outlineLevel="0" collapsed="false">
      <c r="A2601" s="0" t="n">
        <v>2598</v>
      </c>
      <c r="B2601" s="0" t="n">
        <f aca="true">NORMINV(RAND(),1,Coefficients!$B$22)</f>
        <v>0.940038615965002</v>
      </c>
      <c r="C2601" s="0" t="n">
        <f aca="true">MEDIAN(8,16,ROUND(NORMINV(RAND(),Coefficients!$B$20,Coefficients!$B$21),0))</f>
        <v>9</v>
      </c>
      <c r="D2601" s="0" t="n">
        <f aca="true">CRITBINOM($C2601,MIN(0.75,Matchup!$B$39*$B2601),RAND())</f>
        <v>3</v>
      </c>
      <c r="E2601" s="0" t="n">
        <f aca="true">CRITBINOM(D2601,Coefficients!$B$30,RAND())</f>
        <v>1</v>
      </c>
      <c r="F2601" s="0" t="n">
        <f aca="true">CRITBINOM(E2601,Coefficients!$B$31,RAND())</f>
        <v>1</v>
      </c>
      <c r="G2601" s="0" t="n">
        <f aca="true">CRITBINOM(MAX(0,D2601-E2601),1-Coefficients!$B$32,RAND())</f>
        <v>0</v>
      </c>
      <c r="H2601" s="0" t="n">
        <f aca="true">CRITBINOM(MAX(0,$C2601-D2601),MIN(0.6,Matchup!$B$40*SQRT($B2601)/(1-MIN(0.75,Matchup!$B$39*$B2601))),RAND())</f>
        <v>0</v>
      </c>
      <c r="I2601" s="0" t="n">
        <f aca="false">6*D2601+(D2601-E2601-G2601)+2*F2601+3*H2601</f>
        <v>22</v>
      </c>
      <c r="J2601" s="0" t="n">
        <f aca="true">CRITBINOM($C2601,MIN(0.75,Matchup!$C$39*$B2601),RAND())</f>
        <v>3</v>
      </c>
      <c r="K2601" s="0" t="n">
        <f aca="true">CRITBINOM(J2601,Coefficients!$B$30,RAND())</f>
        <v>0</v>
      </c>
      <c r="L2601" s="0" t="n">
        <f aca="true">CRITBINOM(K2601,Coefficients!$B$31,RAND())</f>
        <v>0</v>
      </c>
      <c r="M2601" s="0" t="n">
        <f aca="true">CRITBINOM(MAX(0,J2601-K2601),1-Coefficients!$B$32,RAND())</f>
        <v>1</v>
      </c>
      <c r="N2601" s="0" t="n">
        <f aca="true">CRITBINOM(MAX(0,$C2601-J2601),MIN(0.6,Matchup!$C$40*SQRT($B2601)/(1-MIN(0.75,Matchup!$C$39*$B2601))),RAND())</f>
        <v>1</v>
      </c>
      <c r="O2601" s="0" t="n">
        <f aca="false">6*J2601+(J2601-K2601-M2601)+2*L2601+3*N2601</f>
        <v>23</v>
      </c>
      <c r="P2601" s="0" t="n">
        <f aca="true">RAND()</f>
        <v>0.420680543687387</v>
      </c>
      <c r="Q2601" s="0" t="n">
        <f aca="true">RAND()</f>
        <v>0.237855103731832</v>
      </c>
      <c r="R2601" s="0" t="n">
        <f aca="false">IF($I2601&lt;&gt;$O2601,0,IF(P2601&lt;Matchup!$B$39,7,IF(P2601&lt;Matchup!$B$39+Matchup!$B$40,3,0)))</f>
        <v>0</v>
      </c>
      <c r="S2601" s="0" t="n">
        <f aca="false">IF($I2601&lt;&gt;$O2601,0,IF(Q2601&lt;Matchup!$C$39,7,IF(Q2601&lt;Matchup!$C$39+Matchup!$C$40,3,0)))</f>
        <v>0</v>
      </c>
      <c r="T2601" s="0" t="n">
        <f aca="false">I2601+R2601</f>
        <v>22</v>
      </c>
      <c r="U2601" s="0" t="n">
        <f aca="false">O2601+S2601</f>
        <v>23</v>
      </c>
      <c r="V2601" s="0" t="n">
        <f aca="false">T2601-U2601</f>
        <v>-1</v>
      </c>
      <c r="W2601" s="0" t="n">
        <f aca="false">T2601+U2601</f>
        <v>45</v>
      </c>
    </row>
    <row r="2602" customFormat="false" ht="15" hidden="false" customHeight="false" outlineLevel="0" collapsed="false">
      <c r="A2602" s="0" t="n">
        <v>2599</v>
      </c>
      <c r="B2602" s="0" t="n">
        <f aca="true">NORMINV(RAND(),1,Coefficients!$B$22)</f>
        <v>0.980759235396799</v>
      </c>
      <c r="C2602" s="0" t="n">
        <f aca="true">MEDIAN(8,16,ROUND(NORMINV(RAND(),Coefficients!$B$20,Coefficients!$B$21),0))</f>
        <v>13</v>
      </c>
      <c r="D2602" s="0" t="n">
        <f aca="true">CRITBINOM($C2602,MIN(0.75,Matchup!$B$39*$B2602),RAND())</f>
        <v>7</v>
      </c>
      <c r="E2602" s="0" t="n">
        <f aca="true">CRITBINOM(D2602,Coefficients!$B$30,RAND())</f>
        <v>1</v>
      </c>
      <c r="F2602" s="0" t="n">
        <f aca="true">CRITBINOM(E2602,Coefficients!$B$31,RAND())</f>
        <v>0</v>
      </c>
      <c r="G2602" s="0" t="n">
        <f aca="true">CRITBINOM(MAX(0,D2602-E2602),1-Coefficients!$B$32,RAND())</f>
        <v>0</v>
      </c>
      <c r="H2602" s="0" t="n">
        <f aca="true">CRITBINOM(MAX(0,$C2602-D2602),MIN(0.6,Matchup!$B$40*SQRT($B2602)/(1-MIN(0.75,Matchup!$B$39*$B2602))),RAND())</f>
        <v>1</v>
      </c>
      <c r="I2602" s="0" t="n">
        <f aca="false">6*D2602+(D2602-E2602-G2602)+2*F2602+3*H2602</f>
        <v>51</v>
      </c>
      <c r="J2602" s="0" t="n">
        <f aca="true">CRITBINOM($C2602,MIN(0.75,Matchup!$C$39*$B2602),RAND())</f>
        <v>2</v>
      </c>
      <c r="K2602" s="0" t="n">
        <f aca="true">CRITBINOM(J2602,Coefficients!$B$30,RAND())</f>
        <v>0</v>
      </c>
      <c r="L2602" s="0" t="n">
        <f aca="true">CRITBINOM(K2602,Coefficients!$B$31,RAND())</f>
        <v>0</v>
      </c>
      <c r="M2602" s="0" t="n">
        <f aca="true">CRITBINOM(MAX(0,J2602-K2602),1-Coefficients!$B$32,RAND())</f>
        <v>0</v>
      </c>
      <c r="N2602" s="0" t="n">
        <f aca="true">CRITBINOM(MAX(0,$C2602-J2602),MIN(0.6,Matchup!$C$40*SQRT($B2602)/(1-MIN(0.75,Matchup!$C$39*$B2602))),RAND())</f>
        <v>1</v>
      </c>
      <c r="O2602" s="0" t="n">
        <f aca="false">6*J2602+(J2602-K2602-M2602)+2*L2602+3*N2602</f>
        <v>17</v>
      </c>
      <c r="P2602" s="0" t="n">
        <f aca="true">RAND()</f>
        <v>0.626777702612402</v>
      </c>
      <c r="Q2602" s="0" t="n">
        <f aca="true">RAND()</f>
        <v>0.27175639241077</v>
      </c>
      <c r="R2602" s="0" t="n">
        <f aca="false">IF($I2602&lt;&gt;$O2602,0,IF(P2602&lt;Matchup!$B$39,7,IF(P2602&lt;Matchup!$B$39+Matchup!$B$40,3,0)))</f>
        <v>0</v>
      </c>
      <c r="S2602" s="0" t="n">
        <f aca="false">IF($I2602&lt;&gt;$O2602,0,IF(Q2602&lt;Matchup!$C$39,7,IF(Q2602&lt;Matchup!$C$39+Matchup!$C$40,3,0)))</f>
        <v>0</v>
      </c>
      <c r="T2602" s="0" t="n">
        <f aca="false">I2602+R2602</f>
        <v>51</v>
      </c>
      <c r="U2602" s="0" t="n">
        <f aca="false">O2602+S2602</f>
        <v>17</v>
      </c>
      <c r="V2602" s="0" t="n">
        <f aca="false">T2602-U2602</f>
        <v>34</v>
      </c>
      <c r="W2602" s="0" t="n">
        <f aca="false">T2602+U2602</f>
        <v>68</v>
      </c>
    </row>
    <row r="2603" customFormat="false" ht="15" hidden="false" customHeight="false" outlineLevel="0" collapsed="false">
      <c r="A2603" s="0" t="n">
        <v>2600</v>
      </c>
      <c r="B2603" s="0" t="n">
        <f aca="true">NORMINV(RAND(),1,Coefficients!$B$22)</f>
        <v>1.05769350347805</v>
      </c>
      <c r="C2603" s="0" t="n">
        <f aca="true">MEDIAN(8,16,ROUND(NORMINV(RAND(),Coefficients!$B$20,Coefficients!$B$21),0))</f>
        <v>12</v>
      </c>
      <c r="D2603" s="0" t="n">
        <f aca="true">CRITBINOM($C2603,MIN(0.75,Matchup!$B$39*$B2603),RAND())</f>
        <v>4</v>
      </c>
      <c r="E2603" s="0" t="n">
        <f aca="true">CRITBINOM(D2603,Coefficients!$B$30,RAND())</f>
        <v>0</v>
      </c>
      <c r="F2603" s="0" t="n">
        <f aca="true">CRITBINOM(E2603,Coefficients!$B$31,RAND())</f>
        <v>0</v>
      </c>
      <c r="G2603" s="0" t="n">
        <f aca="true">CRITBINOM(MAX(0,D2603-E2603),1-Coefficients!$B$32,RAND())</f>
        <v>0</v>
      </c>
      <c r="H2603" s="0" t="n">
        <f aca="true">CRITBINOM(MAX(0,$C2603-D2603),MIN(0.6,Matchup!$B$40*SQRT($B2603)/(1-MIN(0.75,Matchup!$B$39*$B2603))),RAND())</f>
        <v>2</v>
      </c>
      <c r="I2603" s="0" t="n">
        <f aca="false">6*D2603+(D2603-E2603-G2603)+2*F2603+3*H2603</f>
        <v>34</v>
      </c>
      <c r="J2603" s="0" t="n">
        <f aca="true">CRITBINOM($C2603,MIN(0.75,Matchup!$C$39*$B2603),RAND())</f>
        <v>5</v>
      </c>
      <c r="K2603" s="0" t="n">
        <f aca="true">CRITBINOM(J2603,Coefficients!$B$30,RAND())</f>
        <v>0</v>
      </c>
      <c r="L2603" s="0" t="n">
        <f aca="true">CRITBINOM(K2603,Coefficients!$B$31,RAND())</f>
        <v>0</v>
      </c>
      <c r="M2603" s="0" t="n">
        <f aca="true">CRITBINOM(MAX(0,J2603-K2603),1-Coefficients!$B$32,RAND())</f>
        <v>0</v>
      </c>
      <c r="N2603" s="0" t="n">
        <f aca="true">CRITBINOM(MAX(0,$C2603-J2603),MIN(0.6,Matchup!$C$40*SQRT($B2603)/(1-MIN(0.75,Matchup!$C$39*$B2603))),RAND())</f>
        <v>1</v>
      </c>
      <c r="O2603" s="0" t="n">
        <f aca="false">6*J2603+(J2603-K2603-M2603)+2*L2603+3*N2603</f>
        <v>38</v>
      </c>
      <c r="P2603" s="0" t="n">
        <f aca="true">RAND()</f>
        <v>0.33364955896259</v>
      </c>
      <c r="Q2603" s="0" t="n">
        <f aca="true">RAND()</f>
        <v>0.0605027667039827</v>
      </c>
      <c r="R2603" s="0" t="n">
        <f aca="false">IF($I2603&lt;&gt;$O2603,0,IF(P2603&lt;Matchup!$B$39,7,IF(P2603&lt;Matchup!$B$39+Matchup!$B$40,3,0)))</f>
        <v>0</v>
      </c>
      <c r="S2603" s="0" t="n">
        <f aca="false">IF($I2603&lt;&gt;$O2603,0,IF(Q2603&lt;Matchup!$C$39,7,IF(Q2603&lt;Matchup!$C$39+Matchup!$C$40,3,0)))</f>
        <v>0</v>
      </c>
      <c r="T2603" s="0" t="n">
        <f aca="false">I2603+R2603</f>
        <v>34</v>
      </c>
      <c r="U2603" s="0" t="n">
        <f aca="false">O2603+S2603</f>
        <v>38</v>
      </c>
      <c r="V2603" s="0" t="n">
        <f aca="false">T2603-U2603</f>
        <v>-4</v>
      </c>
      <c r="W2603" s="0" t="n">
        <f aca="false">T2603+U2603</f>
        <v>72</v>
      </c>
    </row>
    <row r="2604" customFormat="false" ht="15" hidden="false" customHeight="false" outlineLevel="0" collapsed="false">
      <c r="A2604" s="0" t="n">
        <v>2601</v>
      </c>
      <c r="B2604" s="0" t="n">
        <f aca="true">NORMINV(RAND(),1,Coefficients!$B$22)</f>
        <v>1.20079105046775</v>
      </c>
      <c r="C2604" s="0" t="n">
        <f aca="true">MEDIAN(8,16,ROUND(NORMINV(RAND(),Coefficients!$B$20,Coefficients!$B$21),0))</f>
        <v>9</v>
      </c>
      <c r="D2604" s="0" t="n">
        <f aca="true">CRITBINOM($C2604,MIN(0.75,Matchup!$B$39*$B2604),RAND())</f>
        <v>0</v>
      </c>
      <c r="E2604" s="0" t="n">
        <f aca="true">CRITBINOM(D2604,Coefficients!$B$30,RAND())</f>
        <v>0</v>
      </c>
      <c r="F2604" s="0" t="n">
        <f aca="true">CRITBINOM(E2604,Coefficients!$B$31,RAND())</f>
        <v>0</v>
      </c>
      <c r="G2604" s="0" t="n">
        <f aca="true">CRITBINOM(MAX(0,D2604-E2604),1-Coefficients!$B$32,RAND())</f>
        <v>0</v>
      </c>
      <c r="H2604" s="0" t="n">
        <f aca="true">CRITBINOM(MAX(0,$C2604-D2604),MIN(0.6,Matchup!$B$40*SQRT($B2604)/(1-MIN(0.75,Matchup!$B$39*$B2604))),RAND())</f>
        <v>1</v>
      </c>
      <c r="I2604" s="0" t="n">
        <f aca="false">6*D2604+(D2604-E2604-G2604)+2*F2604+3*H2604</f>
        <v>3</v>
      </c>
      <c r="J2604" s="0" t="n">
        <f aca="true">CRITBINOM($C2604,MIN(0.75,Matchup!$C$39*$B2604),RAND())</f>
        <v>2</v>
      </c>
      <c r="K2604" s="0" t="n">
        <f aca="true">CRITBINOM(J2604,Coefficients!$B$30,RAND())</f>
        <v>1</v>
      </c>
      <c r="L2604" s="0" t="n">
        <f aca="true">CRITBINOM(K2604,Coefficients!$B$31,RAND())</f>
        <v>1</v>
      </c>
      <c r="M2604" s="0" t="n">
        <f aca="true">CRITBINOM(MAX(0,J2604-K2604),1-Coefficients!$B$32,RAND())</f>
        <v>0</v>
      </c>
      <c r="N2604" s="0" t="n">
        <f aca="true">CRITBINOM(MAX(0,$C2604-J2604),MIN(0.6,Matchup!$C$40*SQRT($B2604)/(1-MIN(0.75,Matchup!$C$39*$B2604))),RAND())</f>
        <v>1</v>
      </c>
      <c r="O2604" s="0" t="n">
        <f aca="false">6*J2604+(J2604-K2604-M2604)+2*L2604+3*N2604</f>
        <v>18</v>
      </c>
      <c r="P2604" s="0" t="n">
        <f aca="true">RAND()</f>
        <v>0.287203507849839</v>
      </c>
      <c r="Q2604" s="0" t="n">
        <f aca="true">RAND()</f>
        <v>0.112786529586217</v>
      </c>
      <c r="R2604" s="0" t="n">
        <f aca="false">IF($I2604&lt;&gt;$O2604,0,IF(P2604&lt;Matchup!$B$39,7,IF(P2604&lt;Matchup!$B$39+Matchup!$B$40,3,0)))</f>
        <v>0</v>
      </c>
      <c r="S2604" s="0" t="n">
        <f aca="false">IF($I2604&lt;&gt;$O2604,0,IF(Q2604&lt;Matchup!$C$39,7,IF(Q2604&lt;Matchup!$C$39+Matchup!$C$40,3,0)))</f>
        <v>0</v>
      </c>
      <c r="T2604" s="0" t="n">
        <f aca="false">I2604+R2604</f>
        <v>3</v>
      </c>
      <c r="U2604" s="0" t="n">
        <f aca="false">O2604+S2604</f>
        <v>18</v>
      </c>
      <c r="V2604" s="0" t="n">
        <f aca="false">T2604-U2604</f>
        <v>-15</v>
      </c>
      <c r="W2604" s="0" t="n">
        <f aca="false">T2604+U2604</f>
        <v>21</v>
      </c>
    </row>
    <row r="2605" customFormat="false" ht="15" hidden="false" customHeight="false" outlineLevel="0" collapsed="false">
      <c r="A2605" s="0" t="n">
        <v>2602</v>
      </c>
      <c r="B2605" s="0" t="n">
        <f aca="true">NORMINV(RAND(),1,Coefficients!$B$22)</f>
        <v>0.999542332134248</v>
      </c>
      <c r="C2605" s="0" t="n">
        <f aca="true">MEDIAN(8,16,ROUND(NORMINV(RAND(),Coefficients!$B$20,Coefficients!$B$21),0))</f>
        <v>11</v>
      </c>
      <c r="D2605" s="0" t="n">
        <f aca="true">CRITBINOM($C2605,MIN(0.75,Matchup!$B$39*$B2605),RAND())</f>
        <v>2</v>
      </c>
      <c r="E2605" s="0" t="n">
        <f aca="true">CRITBINOM(D2605,Coefficients!$B$30,RAND())</f>
        <v>1</v>
      </c>
      <c r="F2605" s="0" t="n">
        <f aca="true">CRITBINOM(E2605,Coefficients!$B$31,RAND())</f>
        <v>1</v>
      </c>
      <c r="G2605" s="0" t="n">
        <f aca="true">CRITBINOM(MAX(0,D2605-E2605),1-Coefficients!$B$32,RAND())</f>
        <v>0</v>
      </c>
      <c r="H2605" s="0" t="n">
        <f aca="true">CRITBINOM(MAX(0,$C2605-D2605),MIN(0.6,Matchup!$B$40*SQRT($B2605)/(1-MIN(0.75,Matchup!$B$39*$B2605))),RAND())</f>
        <v>3</v>
      </c>
      <c r="I2605" s="0" t="n">
        <f aca="false">6*D2605+(D2605-E2605-G2605)+2*F2605+3*H2605</f>
        <v>24</v>
      </c>
      <c r="J2605" s="0" t="n">
        <f aca="true">CRITBINOM($C2605,MIN(0.75,Matchup!$C$39*$B2605),RAND())</f>
        <v>0</v>
      </c>
      <c r="K2605" s="0" t="n">
        <f aca="true">CRITBINOM(J2605,Coefficients!$B$30,RAND())</f>
        <v>0</v>
      </c>
      <c r="L2605" s="0" t="n">
        <f aca="true">CRITBINOM(K2605,Coefficients!$B$31,RAND())</f>
        <v>0</v>
      </c>
      <c r="M2605" s="0" t="n">
        <f aca="true">CRITBINOM(MAX(0,J2605-K2605),1-Coefficients!$B$32,RAND())</f>
        <v>0</v>
      </c>
      <c r="N2605" s="0" t="n">
        <f aca="true">CRITBINOM(MAX(0,$C2605-J2605),MIN(0.6,Matchup!$C$40*SQRT($B2605)/(1-MIN(0.75,Matchup!$C$39*$B2605))),RAND())</f>
        <v>2</v>
      </c>
      <c r="O2605" s="0" t="n">
        <f aca="false">6*J2605+(J2605-K2605-M2605)+2*L2605+3*N2605</f>
        <v>6</v>
      </c>
      <c r="P2605" s="0" t="n">
        <f aca="true">RAND()</f>
        <v>0.0858561980302964</v>
      </c>
      <c r="Q2605" s="0" t="n">
        <f aca="true">RAND()</f>
        <v>0.637882248385032</v>
      </c>
      <c r="R2605" s="0" t="n">
        <f aca="false">IF($I2605&lt;&gt;$O2605,0,IF(P2605&lt;Matchup!$B$39,7,IF(P2605&lt;Matchup!$B$39+Matchup!$B$40,3,0)))</f>
        <v>0</v>
      </c>
      <c r="S2605" s="0" t="n">
        <f aca="false">IF($I2605&lt;&gt;$O2605,0,IF(Q2605&lt;Matchup!$C$39,7,IF(Q2605&lt;Matchup!$C$39+Matchup!$C$40,3,0)))</f>
        <v>0</v>
      </c>
      <c r="T2605" s="0" t="n">
        <f aca="false">I2605+R2605</f>
        <v>24</v>
      </c>
      <c r="U2605" s="0" t="n">
        <f aca="false">O2605+S2605</f>
        <v>6</v>
      </c>
      <c r="V2605" s="0" t="n">
        <f aca="false">T2605-U2605</f>
        <v>18</v>
      </c>
      <c r="W2605" s="0" t="n">
        <f aca="false">T2605+U2605</f>
        <v>30</v>
      </c>
    </row>
    <row r="2606" customFormat="false" ht="15" hidden="false" customHeight="false" outlineLevel="0" collapsed="false">
      <c r="A2606" s="0" t="n">
        <v>2603</v>
      </c>
      <c r="B2606" s="0" t="n">
        <f aca="true">NORMINV(RAND(),1,Coefficients!$B$22)</f>
        <v>1.0163600861201</v>
      </c>
      <c r="C2606" s="0" t="n">
        <f aca="true">MEDIAN(8,16,ROUND(NORMINV(RAND(),Coefficients!$B$20,Coefficients!$B$21),0))</f>
        <v>10</v>
      </c>
      <c r="D2606" s="0" t="n">
        <f aca="true">CRITBINOM($C2606,MIN(0.75,Matchup!$B$39*$B2606),RAND())</f>
        <v>2</v>
      </c>
      <c r="E2606" s="0" t="n">
        <f aca="true">CRITBINOM(D2606,Coefficients!$B$30,RAND())</f>
        <v>0</v>
      </c>
      <c r="F2606" s="0" t="n">
        <f aca="true">CRITBINOM(E2606,Coefficients!$B$31,RAND())</f>
        <v>0</v>
      </c>
      <c r="G2606" s="0" t="n">
        <f aca="true">CRITBINOM(MAX(0,D2606-E2606),1-Coefficients!$B$32,RAND())</f>
        <v>0</v>
      </c>
      <c r="H2606" s="0" t="n">
        <f aca="true">CRITBINOM(MAX(0,$C2606-D2606),MIN(0.6,Matchup!$B$40*SQRT($B2606)/(1-MIN(0.75,Matchup!$B$39*$B2606))),RAND())</f>
        <v>2</v>
      </c>
      <c r="I2606" s="0" t="n">
        <f aca="false">6*D2606+(D2606-E2606-G2606)+2*F2606+3*H2606</f>
        <v>20</v>
      </c>
      <c r="J2606" s="0" t="n">
        <f aca="true">CRITBINOM($C2606,MIN(0.75,Matchup!$C$39*$B2606),RAND())</f>
        <v>3</v>
      </c>
      <c r="K2606" s="0" t="n">
        <f aca="true">CRITBINOM(J2606,Coefficients!$B$30,RAND())</f>
        <v>0</v>
      </c>
      <c r="L2606" s="0" t="n">
        <f aca="true">CRITBINOM(K2606,Coefficients!$B$31,RAND())</f>
        <v>0</v>
      </c>
      <c r="M2606" s="0" t="n">
        <f aca="true">CRITBINOM(MAX(0,J2606-K2606),1-Coefficients!$B$32,RAND())</f>
        <v>0</v>
      </c>
      <c r="N2606" s="0" t="n">
        <f aca="true">CRITBINOM(MAX(0,$C2606-J2606),MIN(0.6,Matchup!$C$40*SQRT($B2606)/(1-MIN(0.75,Matchup!$C$39*$B2606))),RAND())</f>
        <v>0</v>
      </c>
      <c r="O2606" s="0" t="n">
        <f aca="false">6*J2606+(J2606-K2606-M2606)+2*L2606+3*N2606</f>
        <v>21</v>
      </c>
      <c r="P2606" s="0" t="n">
        <f aca="true">RAND()</f>
        <v>0.292579848588654</v>
      </c>
      <c r="Q2606" s="0" t="n">
        <f aca="true">RAND()</f>
        <v>0.632644639386712</v>
      </c>
      <c r="R2606" s="0" t="n">
        <f aca="false">IF($I2606&lt;&gt;$O2606,0,IF(P2606&lt;Matchup!$B$39,7,IF(P2606&lt;Matchup!$B$39+Matchup!$B$40,3,0)))</f>
        <v>0</v>
      </c>
      <c r="S2606" s="0" t="n">
        <f aca="false">IF($I2606&lt;&gt;$O2606,0,IF(Q2606&lt;Matchup!$C$39,7,IF(Q2606&lt;Matchup!$C$39+Matchup!$C$40,3,0)))</f>
        <v>0</v>
      </c>
      <c r="T2606" s="0" t="n">
        <f aca="false">I2606+R2606</f>
        <v>20</v>
      </c>
      <c r="U2606" s="0" t="n">
        <f aca="false">O2606+S2606</f>
        <v>21</v>
      </c>
      <c r="V2606" s="0" t="n">
        <f aca="false">T2606-U2606</f>
        <v>-1</v>
      </c>
      <c r="W2606" s="0" t="n">
        <f aca="false">T2606+U2606</f>
        <v>41</v>
      </c>
    </row>
    <row r="2607" customFormat="false" ht="15" hidden="false" customHeight="false" outlineLevel="0" collapsed="false">
      <c r="A2607" s="0" t="n">
        <v>2604</v>
      </c>
      <c r="B2607" s="0" t="n">
        <f aca="true">NORMINV(RAND(),1,Coefficients!$B$22)</f>
        <v>1.13906981956056</v>
      </c>
      <c r="C2607" s="0" t="n">
        <f aca="true">MEDIAN(8,16,ROUND(NORMINV(RAND(),Coefficients!$B$20,Coefficients!$B$21),0))</f>
        <v>12</v>
      </c>
      <c r="D2607" s="0" t="n">
        <f aca="true">CRITBINOM($C2607,MIN(0.75,Matchup!$B$39*$B2607),RAND())</f>
        <v>5</v>
      </c>
      <c r="E2607" s="0" t="n">
        <f aca="true">CRITBINOM(D2607,Coefficients!$B$30,RAND())</f>
        <v>0</v>
      </c>
      <c r="F2607" s="0" t="n">
        <f aca="true">CRITBINOM(E2607,Coefficients!$B$31,RAND())</f>
        <v>0</v>
      </c>
      <c r="G2607" s="0" t="n">
        <f aca="true">CRITBINOM(MAX(0,D2607-E2607),1-Coefficients!$B$32,RAND())</f>
        <v>0</v>
      </c>
      <c r="H2607" s="0" t="n">
        <f aca="true">CRITBINOM(MAX(0,$C2607-D2607),MIN(0.6,Matchup!$B$40*SQRT($B2607)/(1-MIN(0.75,Matchup!$B$39*$B2607))),RAND())</f>
        <v>1</v>
      </c>
      <c r="I2607" s="0" t="n">
        <f aca="false">6*D2607+(D2607-E2607-G2607)+2*F2607+3*H2607</f>
        <v>38</v>
      </c>
      <c r="J2607" s="0" t="n">
        <f aca="true">CRITBINOM($C2607,MIN(0.75,Matchup!$C$39*$B2607),RAND())</f>
        <v>2</v>
      </c>
      <c r="K2607" s="0" t="n">
        <f aca="true">CRITBINOM(J2607,Coefficients!$B$30,RAND())</f>
        <v>1</v>
      </c>
      <c r="L2607" s="0" t="n">
        <f aca="true">CRITBINOM(K2607,Coefficients!$B$31,RAND())</f>
        <v>1</v>
      </c>
      <c r="M2607" s="0" t="n">
        <f aca="true">CRITBINOM(MAX(0,J2607-K2607),1-Coefficients!$B$32,RAND())</f>
        <v>0</v>
      </c>
      <c r="N2607" s="0" t="n">
        <f aca="true">CRITBINOM(MAX(0,$C2607-J2607),MIN(0.6,Matchup!$C$40*SQRT($B2607)/(1-MIN(0.75,Matchup!$C$39*$B2607))),RAND())</f>
        <v>1</v>
      </c>
      <c r="O2607" s="0" t="n">
        <f aca="false">6*J2607+(J2607-K2607-M2607)+2*L2607+3*N2607</f>
        <v>18</v>
      </c>
      <c r="P2607" s="0" t="n">
        <f aca="true">RAND()</f>
        <v>0.501961087043163</v>
      </c>
      <c r="Q2607" s="0" t="n">
        <f aca="true">RAND()</f>
        <v>0.218042093074493</v>
      </c>
      <c r="R2607" s="0" t="n">
        <f aca="false">IF($I2607&lt;&gt;$O2607,0,IF(P2607&lt;Matchup!$B$39,7,IF(P2607&lt;Matchup!$B$39+Matchup!$B$40,3,0)))</f>
        <v>0</v>
      </c>
      <c r="S2607" s="0" t="n">
        <f aca="false">IF($I2607&lt;&gt;$O2607,0,IF(Q2607&lt;Matchup!$C$39,7,IF(Q2607&lt;Matchup!$C$39+Matchup!$C$40,3,0)))</f>
        <v>0</v>
      </c>
      <c r="T2607" s="0" t="n">
        <f aca="false">I2607+R2607</f>
        <v>38</v>
      </c>
      <c r="U2607" s="0" t="n">
        <f aca="false">O2607+S2607</f>
        <v>18</v>
      </c>
      <c r="V2607" s="0" t="n">
        <f aca="false">T2607-U2607</f>
        <v>20</v>
      </c>
      <c r="W2607" s="0" t="n">
        <f aca="false">T2607+U2607</f>
        <v>56</v>
      </c>
    </row>
    <row r="2608" customFormat="false" ht="15" hidden="false" customHeight="false" outlineLevel="0" collapsed="false">
      <c r="A2608" s="0" t="n">
        <v>2605</v>
      </c>
      <c r="B2608" s="0" t="n">
        <f aca="true">NORMINV(RAND(),1,Coefficients!$B$22)</f>
        <v>1.05310266307095</v>
      </c>
      <c r="C2608" s="0" t="n">
        <f aca="true">MEDIAN(8,16,ROUND(NORMINV(RAND(),Coefficients!$B$20,Coefficients!$B$21),0))</f>
        <v>12</v>
      </c>
      <c r="D2608" s="0" t="n">
        <f aca="true">CRITBINOM($C2608,MIN(0.75,Matchup!$B$39*$B2608),RAND())</f>
        <v>4</v>
      </c>
      <c r="E2608" s="0" t="n">
        <f aca="true">CRITBINOM(D2608,Coefficients!$B$30,RAND())</f>
        <v>0</v>
      </c>
      <c r="F2608" s="0" t="n">
        <f aca="true">CRITBINOM(E2608,Coefficients!$B$31,RAND())</f>
        <v>0</v>
      </c>
      <c r="G2608" s="0" t="n">
        <f aca="true">CRITBINOM(MAX(0,D2608-E2608),1-Coefficients!$B$32,RAND())</f>
        <v>0</v>
      </c>
      <c r="H2608" s="0" t="n">
        <f aca="true">CRITBINOM(MAX(0,$C2608-D2608),MIN(0.6,Matchup!$B$40*SQRT($B2608)/(1-MIN(0.75,Matchup!$B$39*$B2608))),RAND())</f>
        <v>2</v>
      </c>
      <c r="I2608" s="0" t="n">
        <f aca="false">6*D2608+(D2608-E2608-G2608)+2*F2608+3*H2608</f>
        <v>34</v>
      </c>
      <c r="J2608" s="0" t="n">
        <f aca="true">CRITBINOM($C2608,MIN(0.75,Matchup!$C$39*$B2608),RAND())</f>
        <v>4</v>
      </c>
      <c r="K2608" s="0" t="n">
        <f aca="true">CRITBINOM(J2608,Coefficients!$B$30,RAND())</f>
        <v>0</v>
      </c>
      <c r="L2608" s="0" t="n">
        <f aca="true">CRITBINOM(K2608,Coefficients!$B$31,RAND())</f>
        <v>0</v>
      </c>
      <c r="M2608" s="0" t="n">
        <f aca="true">CRITBINOM(MAX(0,J2608-K2608),1-Coefficients!$B$32,RAND())</f>
        <v>0</v>
      </c>
      <c r="N2608" s="0" t="n">
        <f aca="true">CRITBINOM(MAX(0,$C2608-J2608),MIN(0.6,Matchup!$C$40*SQRT($B2608)/(1-MIN(0.75,Matchup!$C$39*$B2608))),RAND())</f>
        <v>2</v>
      </c>
      <c r="O2608" s="0" t="n">
        <f aca="false">6*J2608+(J2608-K2608-M2608)+2*L2608+3*N2608</f>
        <v>34</v>
      </c>
      <c r="P2608" s="0" t="n">
        <f aca="true">RAND()</f>
        <v>0.581908134263433</v>
      </c>
      <c r="Q2608" s="0" t="n">
        <f aca="true">RAND()</f>
        <v>0.930111952159321</v>
      </c>
      <c r="R2608" s="0" t="n">
        <f aca="false">IF($I2608&lt;&gt;$O2608,0,IF(P2608&lt;Matchup!$B$39,7,IF(P2608&lt;Matchup!$B$39+Matchup!$B$40,3,0)))</f>
        <v>0</v>
      </c>
      <c r="S2608" s="0" t="n">
        <f aca="false">IF($I2608&lt;&gt;$O2608,0,IF(Q2608&lt;Matchup!$C$39,7,IF(Q2608&lt;Matchup!$C$39+Matchup!$C$40,3,0)))</f>
        <v>0</v>
      </c>
      <c r="T2608" s="0" t="n">
        <f aca="false">I2608+R2608</f>
        <v>34</v>
      </c>
      <c r="U2608" s="0" t="n">
        <f aca="false">O2608+S2608</f>
        <v>34</v>
      </c>
      <c r="V2608" s="0" t="n">
        <f aca="false">T2608-U2608</f>
        <v>0</v>
      </c>
      <c r="W2608" s="0" t="n">
        <f aca="false">T2608+U2608</f>
        <v>68</v>
      </c>
    </row>
    <row r="2609" customFormat="false" ht="15" hidden="false" customHeight="false" outlineLevel="0" collapsed="false">
      <c r="A2609" s="0" t="n">
        <v>2606</v>
      </c>
      <c r="B2609" s="0" t="n">
        <f aca="true">NORMINV(RAND(),1,Coefficients!$B$22)</f>
        <v>1.08445655834301</v>
      </c>
      <c r="C2609" s="0" t="n">
        <f aca="true">MEDIAN(8,16,ROUND(NORMINV(RAND(),Coefficients!$B$20,Coefficients!$B$21),0))</f>
        <v>11</v>
      </c>
      <c r="D2609" s="0" t="n">
        <f aca="true">CRITBINOM($C2609,MIN(0.75,Matchup!$B$39*$B2609),RAND())</f>
        <v>4</v>
      </c>
      <c r="E2609" s="0" t="n">
        <f aca="true">CRITBINOM(D2609,Coefficients!$B$30,RAND())</f>
        <v>0</v>
      </c>
      <c r="F2609" s="0" t="n">
        <f aca="true">CRITBINOM(E2609,Coefficients!$B$31,RAND())</f>
        <v>0</v>
      </c>
      <c r="G2609" s="0" t="n">
        <f aca="true">CRITBINOM(MAX(0,D2609-E2609),1-Coefficients!$B$32,RAND())</f>
        <v>0</v>
      </c>
      <c r="H2609" s="0" t="n">
        <f aca="true">CRITBINOM(MAX(0,$C2609-D2609),MIN(0.6,Matchup!$B$40*SQRT($B2609)/(1-MIN(0.75,Matchup!$B$39*$B2609))),RAND())</f>
        <v>1</v>
      </c>
      <c r="I2609" s="0" t="n">
        <f aca="false">6*D2609+(D2609-E2609-G2609)+2*F2609+3*H2609</f>
        <v>31</v>
      </c>
      <c r="J2609" s="0" t="n">
        <f aca="true">CRITBINOM($C2609,MIN(0.75,Matchup!$C$39*$B2609),RAND())</f>
        <v>1</v>
      </c>
      <c r="K2609" s="0" t="n">
        <f aca="true">CRITBINOM(J2609,Coefficients!$B$30,RAND())</f>
        <v>0</v>
      </c>
      <c r="L2609" s="0" t="n">
        <f aca="true">CRITBINOM(K2609,Coefficients!$B$31,RAND())</f>
        <v>0</v>
      </c>
      <c r="M2609" s="0" t="n">
        <f aca="true">CRITBINOM(MAX(0,J2609-K2609),1-Coefficients!$B$32,RAND())</f>
        <v>0</v>
      </c>
      <c r="N2609" s="0" t="n">
        <f aca="true">CRITBINOM(MAX(0,$C2609-J2609),MIN(0.6,Matchup!$C$40*SQRT($B2609)/(1-MIN(0.75,Matchup!$C$39*$B2609))),RAND())</f>
        <v>2</v>
      </c>
      <c r="O2609" s="0" t="n">
        <f aca="false">6*J2609+(J2609-K2609-M2609)+2*L2609+3*N2609</f>
        <v>13</v>
      </c>
      <c r="P2609" s="0" t="n">
        <f aca="true">RAND()</f>
        <v>0.00915474843921292</v>
      </c>
      <c r="Q2609" s="0" t="n">
        <f aca="true">RAND()</f>
        <v>0.246910143646859</v>
      </c>
      <c r="R2609" s="0" t="n">
        <f aca="false">IF($I2609&lt;&gt;$O2609,0,IF(P2609&lt;Matchup!$B$39,7,IF(P2609&lt;Matchup!$B$39+Matchup!$B$40,3,0)))</f>
        <v>0</v>
      </c>
      <c r="S2609" s="0" t="n">
        <f aca="false">IF($I2609&lt;&gt;$O2609,0,IF(Q2609&lt;Matchup!$C$39,7,IF(Q2609&lt;Matchup!$C$39+Matchup!$C$40,3,0)))</f>
        <v>0</v>
      </c>
      <c r="T2609" s="0" t="n">
        <f aca="false">I2609+R2609</f>
        <v>31</v>
      </c>
      <c r="U2609" s="0" t="n">
        <f aca="false">O2609+S2609</f>
        <v>13</v>
      </c>
      <c r="V2609" s="0" t="n">
        <f aca="false">T2609-U2609</f>
        <v>18</v>
      </c>
      <c r="W2609" s="0" t="n">
        <f aca="false">T2609+U2609</f>
        <v>44</v>
      </c>
    </row>
    <row r="2610" customFormat="false" ht="15" hidden="false" customHeight="false" outlineLevel="0" collapsed="false">
      <c r="A2610" s="0" t="n">
        <v>2607</v>
      </c>
      <c r="B2610" s="0" t="n">
        <f aca="true">NORMINV(RAND(),1,Coefficients!$B$22)</f>
        <v>0.978929715824136</v>
      </c>
      <c r="C2610" s="0" t="n">
        <f aca="true">MEDIAN(8,16,ROUND(NORMINV(RAND(),Coefficients!$B$20,Coefficients!$B$21),0))</f>
        <v>11</v>
      </c>
      <c r="D2610" s="0" t="n">
        <f aca="true">CRITBINOM($C2610,MIN(0.75,Matchup!$B$39*$B2610),RAND())</f>
        <v>4</v>
      </c>
      <c r="E2610" s="0" t="n">
        <f aca="true">CRITBINOM(D2610,Coefficients!$B$30,RAND())</f>
        <v>2</v>
      </c>
      <c r="F2610" s="0" t="n">
        <f aca="true">CRITBINOM(E2610,Coefficients!$B$31,RAND())</f>
        <v>0</v>
      </c>
      <c r="G2610" s="0" t="n">
        <f aca="true">CRITBINOM(MAX(0,D2610-E2610),1-Coefficients!$B$32,RAND())</f>
        <v>0</v>
      </c>
      <c r="H2610" s="0" t="n">
        <f aca="true">CRITBINOM(MAX(0,$C2610-D2610),MIN(0.6,Matchup!$B$40*SQRT($B2610)/(1-MIN(0.75,Matchup!$B$39*$B2610))),RAND())</f>
        <v>3</v>
      </c>
      <c r="I2610" s="0" t="n">
        <f aca="false">6*D2610+(D2610-E2610-G2610)+2*F2610+3*H2610</f>
        <v>35</v>
      </c>
      <c r="J2610" s="0" t="n">
        <f aca="true">CRITBINOM($C2610,MIN(0.75,Matchup!$C$39*$B2610),RAND())</f>
        <v>1</v>
      </c>
      <c r="K2610" s="0" t="n">
        <f aca="true">CRITBINOM(J2610,Coefficients!$B$30,RAND())</f>
        <v>0</v>
      </c>
      <c r="L2610" s="0" t="n">
        <f aca="true">CRITBINOM(K2610,Coefficients!$B$31,RAND())</f>
        <v>0</v>
      </c>
      <c r="M2610" s="0" t="n">
        <f aca="true">CRITBINOM(MAX(0,J2610-K2610),1-Coefficients!$B$32,RAND())</f>
        <v>0</v>
      </c>
      <c r="N2610" s="0" t="n">
        <f aca="true">CRITBINOM(MAX(0,$C2610-J2610),MIN(0.6,Matchup!$C$40*SQRT($B2610)/(1-MIN(0.75,Matchup!$C$39*$B2610))),RAND())</f>
        <v>2</v>
      </c>
      <c r="O2610" s="0" t="n">
        <f aca="false">6*J2610+(J2610-K2610-M2610)+2*L2610+3*N2610</f>
        <v>13</v>
      </c>
      <c r="P2610" s="0" t="n">
        <f aca="true">RAND()</f>
        <v>0.63782893615</v>
      </c>
      <c r="Q2610" s="0" t="n">
        <f aca="true">RAND()</f>
        <v>0.808110471841345</v>
      </c>
      <c r="R2610" s="0" t="n">
        <f aca="false">IF($I2610&lt;&gt;$O2610,0,IF(P2610&lt;Matchup!$B$39,7,IF(P2610&lt;Matchup!$B$39+Matchup!$B$40,3,0)))</f>
        <v>0</v>
      </c>
      <c r="S2610" s="0" t="n">
        <f aca="false">IF($I2610&lt;&gt;$O2610,0,IF(Q2610&lt;Matchup!$C$39,7,IF(Q2610&lt;Matchup!$C$39+Matchup!$C$40,3,0)))</f>
        <v>0</v>
      </c>
      <c r="T2610" s="0" t="n">
        <f aca="false">I2610+R2610</f>
        <v>35</v>
      </c>
      <c r="U2610" s="0" t="n">
        <f aca="false">O2610+S2610</f>
        <v>13</v>
      </c>
      <c r="V2610" s="0" t="n">
        <f aca="false">T2610-U2610</f>
        <v>22</v>
      </c>
      <c r="W2610" s="0" t="n">
        <f aca="false">T2610+U2610</f>
        <v>48</v>
      </c>
    </row>
    <row r="2611" customFormat="false" ht="15" hidden="false" customHeight="false" outlineLevel="0" collapsed="false">
      <c r="A2611" s="0" t="n">
        <v>2608</v>
      </c>
      <c r="B2611" s="0" t="n">
        <f aca="true">NORMINV(RAND(),1,Coefficients!$B$22)</f>
        <v>1.03326147959881</v>
      </c>
      <c r="C2611" s="0" t="n">
        <f aca="true">MEDIAN(8,16,ROUND(NORMINV(RAND(),Coefficients!$B$20,Coefficients!$B$21),0))</f>
        <v>12</v>
      </c>
      <c r="D2611" s="0" t="n">
        <f aca="true">CRITBINOM($C2611,MIN(0.75,Matchup!$B$39*$B2611),RAND())</f>
        <v>3</v>
      </c>
      <c r="E2611" s="0" t="n">
        <f aca="true">CRITBINOM(D2611,Coefficients!$B$30,RAND())</f>
        <v>0</v>
      </c>
      <c r="F2611" s="0" t="n">
        <f aca="true">CRITBINOM(E2611,Coefficients!$B$31,RAND())</f>
        <v>0</v>
      </c>
      <c r="G2611" s="0" t="n">
        <f aca="true">CRITBINOM(MAX(0,D2611-E2611),1-Coefficients!$B$32,RAND())</f>
        <v>0</v>
      </c>
      <c r="H2611" s="0" t="n">
        <f aca="true">CRITBINOM(MAX(0,$C2611-D2611),MIN(0.6,Matchup!$B$40*SQRT($B2611)/(1-MIN(0.75,Matchup!$B$39*$B2611))),RAND())</f>
        <v>1</v>
      </c>
      <c r="I2611" s="0" t="n">
        <f aca="false">6*D2611+(D2611-E2611-G2611)+2*F2611+3*H2611</f>
        <v>24</v>
      </c>
      <c r="J2611" s="0" t="n">
        <f aca="true">CRITBINOM($C2611,MIN(0.75,Matchup!$C$39*$B2611),RAND())</f>
        <v>4</v>
      </c>
      <c r="K2611" s="0" t="n">
        <f aca="true">CRITBINOM(J2611,Coefficients!$B$30,RAND())</f>
        <v>0</v>
      </c>
      <c r="L2611" s="0" t="n">
        <f aca="true">CRITBINOM(K2611,Coefficients!$B$31,RAND())</f>
        <v>0</v>
      </c>
      <c r="M2611" s="0" t="n">
        <f aca="true">CRITBINOM(MAX(0,J2611-K2611),1-Coefficients!$B$32,RAND())</f>
        <v>0</v>
      </c>
      <c r="N2611" s="0" t="n">
        <f aca="true">CRITBINOM(MAX(0,$C2611-J2611),MIN(0.6,Matchup!$C$40*SQRT($B2611)/(1-MIN(0.75,Matchup!$C$39*$B2611))),RAND())</f>
        <v>0</v>
      </c>
      <c r="O2611" s="0" t="n">
        <f aca="false">6*J2611+(J2611-K2611-M2611)+2*L2611+3*N2611</f>
        <v>28</v>
      </c>
      <c r="P2611" s="0" t="n">
        <f aca="true">RAND()</f>
        <v>0.1526290323466</v>
      </c>
      <c r="Q2611" s="0" t="n">
        <f aca="true">RAND()</f>
        <v>0.585225538362027</v>
      </c>
      <c r="R2611" s="0" t="n">
        <f aca="false">IF($I2611&lt;&gt;$O2611,0,IF(P2611&lt;Matchup!$B$39,7,IF(P2611&lt;Matchup!$B$39+Matchup!$B$40,3,0)))</f>
        <v>0</v>
      </c>
      <c r="S2611" s="0" t="n">
        <f aca="false">IF($I2611&lt;&gt;$O2611,0,IF(Q2611&lt;Matchup!$C$39,7,IF(Q2611&lt;Matchup!$C$39+Matchup!$C$40,3,0)))</f>
        <v>0</v>
      </c>
      <c r="T2611" s="0" t="n">
        <f aca="false">I2611+R2611</f>
        <v>24</v>
      </c>
      <c r="U2611" s="0" t="n">
        <f aca="false">O2611+S2611</f>
        <v>28</v>
      </c>
      <c r="V2611" s="0" t="n">
        <f aca="false">T2611-U2611</f>
        <v>-4</v>
      </c>
      <c r="W2611" s="0" t="n">
        <f aca="false">T2611+U2611</f>
        <v>52</v>
      </c>
    </row>
    <row r="2612" customFormat="false" ht="15" hidden="false" customHeight="false" outlineLevel="0" collapsed="false">
      <c r="A2612" s="0" t="n">
        <v>2609</v>
      </c>
      <c r="B2612" s="0" t="n">
        <f aca="true">NORMINV(RAND(),1,Coefficients!$B$22)</f>
        <v>1.05800456256626</v>
      </c>
      <c r="C2612" s="0" t="n">
        <f aca="true">MEDIAN(8,16,ROUND(NORMINV(RAND(),Coefficients!$B$20,Coefficients!$B$21),0))</f>
        <v>11</v>
      </c>
      <c r="D2612" s="0" t="n">
        <f aca="true">CRITBINOM($C2612,MIN(0.75,Matchup!$B$39*$B2612),RAND())</f>
        <v>2</v>
      </c>
      <c r="E2612" s="0" t="n">
        <f aca="true">CRITBINOM(D2612,Coefficients!$B$30,RAND())</f>
        <v>0</v>
      </c>
      <c r="F2612" s="0" t="n">
        <f aca="true">CRITBINOM(E2612,Coefficients!$B$31,RAND())</f>
        <v>0</v>
      </c>
      <c r="G2612" s="0" t="n">
        <f aca="true">CRITBINOM(MAX(0,D2612-E2612),1-Coefficients!$B$32,RAND())</f>
        <v>0</v>
      </c>
      <c r="H2612" s="0" t="n">
        <f aca="true">CRITBINOM(MAX(0,$C2612-D2612),MIN(0.6,Matchup!$B$40*SQRT($B2612)/(1-MIN(0.75,Matchup!$B$39*$B2612))),RAND())</f>
        <v>0</v>
      </c>
      <c r="I2612" s="0" t="n">
        <f aca="false">6*D2612+(D2612-E2612-G2612)+2*F2612+3*H2612</f>
        <v>14</v>
      </c>
      <c r="J2612" s="0" t="n">
        <f aca="true">CRITBINOM($C2612,MIN(0.75,Matchup!$C$39*$B2612),RAND())</f>
        <v>3</v>
      </c>
      <c r="K2612" s="0" t="n">
        <f aca="true">CRITBINOM(J2612,Coefficients!$B$30,RAND())</f>
        <v>0</v>
      </c>
      <c r="L2612" s="0" t="n">
        <f aca="true">CRITBINOM(K2612,Coefficients!$B$31,RAND())</f>
        <v>0</v>
      </c>
      <c r="M2612" s="0" t="n">
        <f aca="true">CRITBINOM(MAX(0,J2612-K2612),1-Coefficients!$B$32,RAND())</f>
        <v>0</v>
      </c>
      <c r="N2612" s="0" t="n">
        <f aca="true">CRITBINOM(MAX(0,$C2612-J2612),MIN(0.6,Matchup!$C$40*SQRT($B2612)/(1-MIN(0.75,Matchup!$C$39*$B2612))),RAND())</f>
        <v>3</v>
      </c>
      <c r="O2612" s="0" t="n">
        <f aca="false">6*J2612+(J2612-K2612-M2612)+2*L2612+3*N2612</f>
        <v>30</v>
      </c>
      <c r="P2612" s="0" t="n">
        <f aca="true">RAND()</f>
        <v>0.186066810716216</v>
      </c>
      <c r="Q2612" s="0" t="n">
        <f aca="true">RAND()</f>
        <v>0.39738746640922</v>
      </c>
      <c r="R2612" s="0" t="n">
        <f aca="false">IF($I2612&lt;&gt;$O2612,0,IF(P2612&lt;Matchup!$B$39,7,IF(P2612&lt;Matchup!$B$39+Matchup!$B$40,3,0)))</f>
        <v>0</v>
      </c>
      <c r="S2612" s="0" t="n">
        <f aca="false">IF($I2612&lt;&gt;$O2612,0,IF(Q2612&lt;Matchup!$C$39,7,IF(Q2612&lt;Matchup!$C$39+Matchup!$C$40,3,0)))</f>
        <v>0</v>
      </c>
      <c r="T2612" s="0" t="n">
        <f aca="false">I2612+R2612</f>
        <v>14</v>
      </c>
      <c r="U2612" s="0" t="n">
        <f aca="false">O2612+S2612</f>
        <v>30</v>
      </c>
      <c r="V2612" s="0" t="n">
        <f aca="false">T2612-U2612</f>
        <v>-16</v>
      </c>
      <c r="W2612" s="0" t="n">
        <f aca="false">T2612+U2612</f>
        <v>44</v>
      </c>
    </row>
    <row r="2613" customFormat="false" ht="15" hidden="false" customHeight="false" outlineLevel="0" collapsed="false">
      <c r="A2613" s="0" t="n">
        <v>2610</v>
      </c>
      <c r="B2613" s="0" t="n">
        <f aca="true">NORMINV(RAND(),1,Coefficients!$B$22)</f>
        <v>1.15263342212023</v>
      </c>
      <c r="C2613" s="0" t="n">
        <f aca="true">MEDIAN(8,16,ROUND(NORMINV(RAND(),Coefficients!$B$20,Coefficients!$B$21),0))</f>
        <v>11</v>
      </c>
      <c r="D2613" s="0" t="n">
        <f aca="true">CRITBINOM($C2613,MIN(0.75,Matchup!$B$39*$B2613),RAND())</f>
        <v>2</v>
      </c>
      <c r="E2613" s="0" t="n">
        <f aca="true">CRITBINOM(D2613,Coefficients!$B$30,RAND())</f>
        <v>0</v>
      </c>
      <c r="F2613" s="0" t="n">
        <f aca="true">CRITBINOM(E2613,Coefficients!$B$31,RAND())</f>
        <v>0</v>
      </c>
      <c r="G2613" s="0" t="n">
        <f aca="true">CRITBINOM(MAX(0,D2613-E2613),1-Coefficients!$B$32,RAND())</f>
        <v>0</v>
      </c>
      <c r="H2613" s="0" t="n">
        <f aca="true">CRITBINOM(MAX(0,$C2613-D2613),MIN(0.6,Matchup!$B$40*SQRT($B2613)/(1-MIN(0.75,Matchup!$B$39*$B2613))),RAND())</f>
        <v>1</v>
      </c>
      <c r="I2613" s="0" t="n">
        <f aca="false">6*D2613+(D2613-E2613-G2613)+2*F2613+3*H2613</f>
        <v>17</v>
      </c>
      <c r="J2613" s="0" t="n">
        <f aca="true">CRITBINOM($C2613,MIN(0.75,Matchup!$C$39*$B2613),RAND())</f>
        <v>4</v>
      </c>
      <c r="K2613" s="0" t="n">
        <f aca="true">CRITBINOM(J2613,Coefficients!$B$30,RAND())</f>
        <v>0</v>
      </c>
      <c r="L2613" s="0" t="n">
        <f aca="true">CRITBINOM(K2613,Coefficients!$B$31,RAND())</f>
        <v>0</v>
      </c>
      <c r="M2613" s="0" t="n">
        <f aca="true">CRITBINOM(MAX(0,J2613-K2613),1-Coefficients!$B$32,RAND())</f>
        <v>0</v>
      </c>
      <c r="N2613" s="0" t="n">
        <f aca="true">CRITBINOM(MAX(0,$C2613-J2613),MIN(0.6,Matchup!$C$40*SQRT($B2613)/(1-MIN(0.75,Matchup!$C$39*$B2613))),RAND())</f>
        <v>0</v>
      </c>
      <c r="O2613" s="0" t="n">
        <f aca="false">6*J2613+(J2613-K2613-M2613)+2*L2613+3*N2613</f>
        <v>28</v>
      </c>
      <c r="P2613" s="0" t="n">
        <f aca="true">RAND()</f>
        <v>0.86289975644073</v>
      </c>
      <c r="Q2613" s="0" t="n">
        <f aca="true">RAND()</f>
        <v>0.637228179258755</v>
      </c>
      <c r="R2613" s="0" t="n">
        <f aca="false">IF($I2613&lt;&gt;$O2613,0,IF(P2613&lt;Matchup!$B$39,7,IF(P2613&lt;Matchup!$B$39+Matchup!$B$40,3,0)))</f>
        <v>0</v>
      </c>
      <c r="S2613" s="0" t="n">
        <f aca="false">IF($I2613&lt;&gt;$O2613,0,IF(Q2613&lt;Matchup!$C$39,7,IF(Q2613&lt;Matchup!$C$39+Matchup!$C$40,3,0)))</f>
        <v>0</v>
      </c>
      <c r="T2613" s="0" t="n">
        <f aca="false">I2613+R2613</f>
        <v>17</v>
      </c>
      <c r="U2613" s="0" t="n">
        <f aca="false">O2613+S2613</f>
        <v>28</v>
      </c>
      <c r="V2613" s="0" t="n">
        <f aca="false">T2613-U2613</f>
        <v>-11</v>
      </c>
      <c r="W2613" s="0" t="n">
        <f aca="false">T2613+U2613</f>
        <v>45</v>
      </c>
    </row>
    <row r="2614" customFormat="false" ht="15" hidden="false" customHeight="false" outlineLevel="0" collapsed="false">
      <c r="A2614" s="0" t="n">
        <v>2611</v>
      </c>
      <c r="B2614" s="0" t="n">
        <f aca="true">NORMINV(RAND(),1,Coefficients!$B$22)</f>
        <v>1.07874818656012</v>
      </c>
      <c r="C2614" s="0" t="n">
        <f aca="true">MEDIAN(8,16,ROUND(NORMINV(RAND(),Coefficients!$B$20,Coefficients!$B$21),0))</f>
        <v>10</v>
      </c>
      <c r="D2614" s="0" t="n">
        <f aca="true">CRITBINOM($C2614,MIN(0.75,Matchup!$B$39*$B2614),RAND())</f>
        <v>3</v>
      </c>
      <c r="E2614" s="0" t="n">
        <f aca="true">CRITBINOM(D2614,Coefficients!$B$30,RAND())</f>
        <v>1</v>
      </c>
      <c r="F2614" s="0" t="n">
        <f aca="true">CRITBINOM(E2614,Coefficients!$B$31,RAND())</f>
        <v>0</v>
      </c>
      <c r="G2614" s="0" t="n">
        <f aca="true">CRITBINOM(MAX(0,D2614-E2614),1-Coefficients!$B$32,RAND())</f>
        <v>0</v>
      </c>
      <c r="H2614" s="0" t="n">
        <f aca="true">CRITBINOM(MAX(0,$C2614-D2614),MIN(0.6,Matchup!$B$40*SQRT($B2614)/(1-MIN(0.75,Matchup!$B$39*$B2614))),RAND())</f>
        <v>2</v>
      </c>
      <c r="I2614" s="0" t="n">
        <f aca="false">6*D2614+(D2614-E2614-G2614)+2*F2614+3*H2614</f>
        <v>26</v>
      </c>
      <c r="J2614" s="0" t="n">
        <f aca="true">CRITBINOM($C2614,MIN(0.75,Matchup!$C$39*$B2614),RAND())</f>
        <v>4</v>
      </c>
      <c r="K2614" s="0" t="n">
        <f aca="true">CRITBINOM(J2614,Coefficients!$B$30,RAND())</f>
        <v>0</v>
      </c>
      <c r="L2614" s="0" t="n">
        <f aca="true">CRITBINOM(K2614,Coefficients!$B$31,RAND())</f>
        <v>0</v>
      </c>
      <c r="M2614" s="0" t="n">
        <f aca="true">CRITBINOM(MAX(0,J2614-K2614),1-Coefficients!$B$32,RAND())</f>
        <v>0</v>
      </c>
      <c r="N2614" s="0" t="n">
        <f aca="true">CRITBINOM(MAX(0,$C2614-J2614),MIN(0.6,Matchup!$C$40*SQRT($B2614)/(1-MIN(0.75,Matchup!$C$39*$B2614))),RAND())</f>
        <v>2</v>
      </c>
      <c r="O2614" s="0" t="n">
        <f aca="false">6*J2614+(J2614-K2614-M2614)+2*L2614+3*N2614</f>
        <v>34</v>
      </c>
      <c r="P2614" s="0" t="n">
        <f aca="true">RAND()</f>
        <v>0.404640931158435</v>
      </c>
      <c r="Q2614" s="0" t="n">
        <f aca="true">RAND()</f>
        <v>0.365052793038616</v>
      </c>
      <c r="R2614" s="0" t="n">
        <f aca="false">IF($I2614&lt;&gt;$O2614,0,IF(P2614&lt;Matchup!$B$39,7,IF(P2614&lt;Matchup!$B$39+Matchup!$B$40,3,0)))</f>
        <v>0</v>
      </c>
      <c r="S2614" s="0" t="n">
        <f aca="false">IF($I2614&lt;&gt;$O2614,0,IF(Q2614&lt;Matchup!$C$39,7,IF(Q2614&lt;Matchup!$C$39+Matchup!$C$40,3,0)))</f>
        <v>0</v>
      </c>
      <c r="T2614" s="0" t="n">
        <f aca="false">I2614+R2614</f>
        <v>26</v>
      </c>
      <c r="U2614" s="0" t="n">
        <f aca="false">O2614+S2614</f>
        <v>34</v>
      </c>
      <c r="V2614" s="0" t="n">
        <f aca="false">T2614-U2614</f>
        <v>-8</v>
      </c>
      <c r="W2614" s="0" t="n">
        <f aca="false">T2614+U2614</f>
        <v>60</v>
      </c>
    </row>
    <row r="2615" customFormat="false" ht="15" hidden="false" customHeight="false" outlineLevel="0" collapsed="false">
      <c r="A2615" s="0" t="n">
        <v>2612</v>
      </c>
      <c r="B2615" s="0" t="n">
        <f aca="true">NORMINV(RAND(),1,Coefficients!$B$22)</f>
        <v>1.05789391435084</v>
      </c>
      <c r="C2615" s="0" t="n">
        <f aca="true">MEDIAN(8,16,ROUND(NORMINV(RAND(),Coefficients!$B$20,Coefficients!$B$21),0))</f>
        <v>11</v>
      </c>
      <c r="D2615" s="0" t="n">
        <f aca="true">CRITBINOM($C2615,MIN(0.75,Matchup!$B$39*$B2615),RAND())</f>
        <v>5</v>
      </c>
      <c r="E2615" s="0" t="n">
        <f aca="true">CRITBINOM(D2615,Coefficients!$B$30,RAND())</f>
        <v>0</v>
      </c>
      <c r="F2615" s="0" t="n">
        <f aca="true">CRITBINOM(E2615,Coefficients!$B$31,RAND())</f>
        <v>0</v>
      </c>
      <c r="G2615" s="0" t="n">
        <f aca="true">CRITBINOM(MAX(0,D2615-E2615),1-Coefficients!$B$32,RAND())</f>
        <v>0</v>
      </c>
      <c r="H2615" s="0" t="n">
        <f aca="true">CRITBINOM(MAX(0,$C2615-D2615),MIN(0.6,Matchup!$B$40*SQRT($B2615)/(1-MIN(0.75,Matchup!$B$39*$B2615))),RAND())</f>
        <v>1</v>
      </c>
      <c r="I2615" s="0" t="n">
        <f aca="false">6*D2615+(D2615-E2615-G2615)+2*F2615+3*H2615</f>
        <v>38</v>
      </c>
      <c r="J2615" s="0" t="n">
        <f aca="true">CRITBINOM($C2615,MIN(0.75,Matchup!$C$39*$B2615),RAND())</f>
        <v>2</v>
      </c>
      <c r="K2615" s="0" t="n">
        <f aca="true">CRITBINOM(J2615,Coefficients!$B$30,RAND())</f>
        <v>0</v>
      </c>
      <c r="L2615" s="0" t="n">
        <f aca="true">CRITBINOM(K2615,Coefficients!$B$31,RAND())</f>
        <v>0</v>
      </c>
      <c r="M2615" s="0" t="n">
        <f aca="true">CRITBINOM(MAX(0,J2615-K2615),1-Coefficients!$B$32,RAND())</f>
        <v>1</v>
      </c>
      <c r="N2615" s="0" t="n">
        <f aca="true">CRITBINOM(MAX(0,$C2615-J2615),MIN(0.6,Matchup!$C$40*SQRT($B2615)/(1-MIN(0.75,Matchup!$C$39*$B2615))),RAND())</f>
        <v>3</v>
      </c>
      <c r="O2615" s="0" t="n">
        <f aca="false">6*J2615+(J2615-K2615-M2615)+2*L2615+3*N2615</f>
        <v>22</v>
      </c>
      <c r="P2615" s="0" t="n">
        <f aca="true">RAND()</f>
        <v>0.21770819148551</v>
      </c>
      <c r="Q2615" s="0" t="n">
        <f aca="true">RAND()</f>
        <v>0.00728973382344584</v>
      </c>
      <c r="R2615" s="0" t="n">
        <f aca="false">IF($I2615&lt;&gt;$O2615,0,IF(P2615&lt;Matchup!$B$39,7,IF(P2615&lt;Matchup!$B$39+Matchup!$B$40,3,0)))</f>
        <v>0</v>
      </c>
      <c r="S2615" s="0" t="n">
        <f aca="false">IF($I2615&lt;&gt;$O2615,0,IF(Q2615&lt;Matchup!$C$39,7,IF(Q2615&lt;Matchup!$C$39+Matchup!$C$40,3,0)))</f>
        <v>0</v>
      </c>
      <c r="T2615" s="0" t="n">
        <f aca="false">I2615+R2615</f>
        <v>38</v>
      </c>
      <c r="U2615" s="0" t="n">
        <f aca="false">O2615+S2615</f>
        <v>22</v>
      </c>
      <c r="V2615" s="0" t="n">
        <f aca="false">T2615-U2615</f>
        <v>16</v>
      </c>
      <c r="W2615" s="0" t="n">
        <f aca="false">T2615+U2615</f>
        <v>60</v>
      </c>
    </row>
    <row r="2616" customFormat="false" ht="15" hidden="false" customHeight="false" outlineLevel="0" collapsed="false">
      <c r="A2616" s="0" t="n">
        <v>2613</v>
      </c>
      <c r="B2616" s="0" t="n">
        <f aca="true">NORMINV(RAND(),1,Coefficients!$B$22)</f>
        <v>1.02437069443296</v>
      </c>
      <c r="C2616" s="0" t="n">
        <f aca="true">MEDIAN(8,16,ROUND(NORMINV(RAND(),Coefficients!$B$20,Coefficients!$B$21),0))</f>
        <v>12</v>
      </c>
      <c r="D2616" s="0" t="n">
        <f aca="true">CRITBINOM($C2616,MIN(0.75,Matchup!$B$39*$B2616),RAND())</f>
        <v>2</v>
      </c>
      <c r="E2616" s="0" t="n">
        <f aca="true">CRITBINOM(D2616,Coefficients!$B$30,RAND())</f>
        <v>0</v>
      </c>
      <c r="F2616" s="0" t="n">
        <f aca="true">CRITBINOM(E2616,Coefficients!$B$31,RAND())</f>
        <v>0</v>
      </c>
      <c r="G2616" s="0" t="n">
        <f aca="true">CRITBINOM(MAX(0,D2616-E2616),1-Coefficients!$B$32,RAND())</f>
        <v>1</v>
      </c>
      <c r="H2616" s="0" t="n">
        <f aca="true">CRITBINOM(MAX(0,$C2616-D2616),MIN(0.6,Matchup!$B$40*SQRT($B2616)/(1-MIN(0.75,Matchup!$B$39*$B2616))),RAND())</f>
        <v>2</v>
      </c>
      <c r="I2616" s="0" t="n">
        <f aca="false">6*D2616+(D2616-E2616-G2616)+2*F2616+3*H2616</f>
        <v>19</v>
      </c>
      <c r="J2616" s="0" t="n">
        <f aca="true">CRITBINOM($C2616,MIN(0.75,Matchup!$C$39*$B2616),RAND())</f>
        <v>5</v>
      </c>
      <c r="K2616" s="0" t="n">
        <f aca="true">CRITBINOM(J2616,Coefficients!$B$30,RAND())</f>
        <v>0</v>
      </c>
      <c r="L2616" s="0" t="n">
        <f aca="true">CRITBINOM(K2616,Coefficients!$B$31,RAND())</f>
        <v>0</v>
      </c>
      <c r="M2616" s="0" t="n">
        <f aca="true">CRITBINOM(MAX(0,J2616-K2616),1-Coefficients!$B$32,RAND())</f>
        <v>0</v>
      </c>
      <c r="N2616" s="0" t="n">
        <f aca="true">CRITBINOM(MAX(0,$C2616-J2616),MIN(0.6,Matchup!$C$40*SQRT($B2616)/(1-MIN(0.75,Matchup!$C$39*$B2616))),RAND())</f>
        <v>0</v>
      </c>
      <c r="O2616" s="0" t="n">
        <f aca="false">6*J2616+(J2616-K2616-M2616)+2*L2616+3*N2616</f>
        <v>35</v>
      </c>
      <c r="P2616" s="0" t="n">
        <f aca="true">RAND()</f>
        <v>0.837386408739758</v>
      </c>
      <c r="Q2616" s="0" t="n">
        <f aca="true">RAND()</f>
        <v>0.147692386295046</v>
      </c>
      <c r="R2616" s="0" t="n">
        <f aca="false">IF($I2616&lt;&gt;$O2616,0,IF(P2616&lt;Matchup!$B$39,7,IF(P2616&lt;Matchup!$B$39+Matchup!$B$40,3,0)))</f>
        <v>0</v>
      </c>
      <c r="S2616" s="0" t="n">
        <f aca="false">IF($I2616&lt;&gt;$O2616,0,IF(Q2616&lt;Matchup!$C$39,7,IF(Q2616&lt;Matchup!$C$39+Matchup!$C$40,3,0)))</f>
        <v>0</v>
      </c>
      <c r="T2616" s="0" t="n">
        <f aca="false">I2616+R2616</f>
        <v>19</v>
      </c>
      <c r="U2616" s="0" t="n">
        <f aca="false">O2616+S2616</f>
        <v>35</v>
      </c>
      <c r="V2616" s="0" t="n">
        <f aca="false">T2616-U2616</f>
        <v>-16</v>
      </c>
      <c r="W2616" s="0" t="n">
        <f aca="false">T2616+U2616</f>
        <v>54</v>
      </c>
    </row>
    <row r="2617" customFormat="false" ht="15" hidden="false" customHeight="false" outlineLevel="0" collapsed="false">
      <c r="A2617" s="0" t="n">
        <v>2614</v>
      </c>
      <c r="B2617" s="0" t="n">
        <f aca="true">NORMINV(RAND(),1,Coefficients!$B$22)</f>
        <v>1.07364854735104</v>
      </c>
      <c r="C2617" s="0" t="n">
        <f aca="true">MEDIAN(8,16,ROUND(NORMINV(RAND(),Coefficients!$B$20,Coefficients!$B$21),0))</f>
        <v>11</v>
      </c>
      <c r="D2617" s="0" t="n">
        <f aca="true">CRITBINOM($C2617,MIN(0.75,Matchup!$B$39*$B2617),RAND())</f>
        <v>4</v>
      </c>
      <c r="E2617" s="0" t="n">
        <f aca="true">CRITBINOM(D2617,Coefficients!$B$30,RAND())</f>
        <v>0</v>
      </c>
      <c r="F2617" s="0" t="n">
        <f aca="true">CRITBINOM(E2617,Coefficients!$B$31,RAND())</f>
        <v>0</v>
      </c>
      <c r="G2617" s="0" t="n">
        <f aca="true">CRITBINOM(MAX(0,D2617-E2617),1-Coefficients!$B$32,RAND())</f>
        <v>0</v>
      </c>
      <c r="H2617" s="0" t="n">
        <f aca="true">CRITBINOM(MAX(0,$C2617-D2617),MIN(0.6,Matchup!$B$40*SQRT($B2617)/(1-MIN(0.75,Matchup!$B$39*$B2617))),RAND())</f>
        <v>0</v>
      </c>
      <c r="I2617" s="0" t="n">
        <f aca="false">6*D2617+(D2617-E2617-G2617)+2*F2617+3*H2617</f>
        <v>28</v>
      </c>
      <c r="J2617" s="0" t="n">
        <f aca="true">CRITBINOM($C2617,MIN(0.75,Matchup!$C$39*$B2617),RAND())</f>
        <v>1</v>
      </c>
      <c r="K2617" s="0" t="n">
        <f aca="true">CRITBINOM(J2617,Coefficients!$B$30,RAND())</f>
        <v>0</v>
      </c>
      <c r="L2617" s="0" t="n">
        <f aca="true">CRITBINOM(K2617,Coefficients!$B$31,RAND())</f>
        <v>0</v>
      </c>
      <c r="M2617" s="0" t="n">
        <f aca="true">CRITBINOM(MAX(0,J2617-K2617),1-Coefficients!$B$32,RAND())</f>
        <v>0</v>
      </c>
      <c r="N2617" s="0" t="n">
        <f aca="true">CRITBINOM(MAX(0,$C2617-J2617),MIN(0.6,Matchup!$C$40*SQRT($B2617)/(1-MIN(0.75,Matchup!$C$39*$B2617))),RAND())</f>
        <v>2</v>
      </c>
      <c r="O2617" s="0" t="n">
        <f aca="false">6*J2617+(J2617-K2617-M2617)+2*L2617+3*N2617</f>
        <v>13</v>
      </c>
      <c r="P2617" s="0" t="n">
        <f aca="true">RAND()</f>
        <v>0.558991939118291</v>
      </c>
      <c r="Q2617" s="0" t="n">
        <f aca="true">RAND()</f>
        <v>0.686870283335561</v>
      </c>
      <c r="R2617" s="0" t="n">
        <f aca="false">IF($I2617&lt;&gt;$O2617,0,IF(P2617&lt;Matchup!$B$39,7,IF(P2617&lt;Matchup!$B$39+Matchup!$B$40,3,0)))</f>
        <v>0</v>
      </c>
      <c r="S2617" s="0" t="n">
        <f aca="false">IF($I2617&lt;&gt;$O2617,0,IF(Q2617&lt;Matchup!$C$39,7,IF(Q2617&lt;Matchup!$C$39+Matchup!$C$40,3,0)))</f>
        <v>0</v>
      </c>
      <c r="T2617" s="0" t="n">
        <f aca="false">I2617+R2617</f>
        <v>28</v>
      </c>
      <c r="U2617" s="0" t="n">
        <f aca="false">O2617+S2617</f>
        <v>13</v>
      </c>
      <c r="V2617" s="0" t="n">
        <f aca="false">T2617-U2617</f>
        <v>15</v>
      </c>
      <c r="W2617" s="0" t="n">
        <f aca="false">T2617+U2617</f>
        <v>41</v>
      </c>
    </row>
    <row r="2618" customFormat="false" ht="15" hidden="false" customHeight="false" outlineLevel="0" collapsed="false">
      <c r="A2618" s="0" t="n">
        <v>2615</v>
      </c>
      <c r="B2618" s="0" t="n">
        <f aca="true">NORMINV(RAND(),1,Coefficients!$B$22)</f>
        <v>0.973294223164125</v>
      </c>
      <c r="C2618" s="0" t="n">
        <f aca="true">MEDIAN(8,16,ROUND(NORMINV(RAND(),Coefficients!$B$20,Coefficients!$B$21),0))</f>
        <v>12</v>
      </c>
      <c r="D2618" s="0" t="n">
        <f aca="true">CRITBINOM($C2618,MIN(0.75,Matchup!$B$39*$B2618),RAND())</f>
        <v>4</v>
      </c>
      <c r="E2618" s="0" t="n">
        <f aca="true">CRITBINOM(D2618,Coefficients!$B$30,RAND())</f>
        <v>0</v>
      </c>
      <c r="F2618" s="0" t="n">
        <f aca="true">CRITBINOM(E2618,Coefficients!$B$31,RAND())</f>
        <v>0</v>
      </c>
      <c r="G2618" s="0" t="n">
        <f aca="true">CRITBINOM(MAX(0,D2618-E2618),1-Coefficients!$B$32,RAND())</f>
        <v>0</v>
      </c>
      <c r="H2618" s="0" t="n">
        <f aca="true">CRITBINOM(MAX(0,$C2618-D2618),MIN(0.6,Matchup!$B$40*SQRT($B2618)/(1-MIN(0.75,Matchup!$B$39*$B2618))),RAND())</f>
        <v>1</v>
      </c>
      <c r="I2618" s="0" t="n">
        <f aca="false">6*D2618+(D2618-E2618-G2618)+2*F2618+3*H2618</f>
        <v>31</v>
      </c>
      <c r="J2618" s="0" t="n">
        <f aca="true">CRITBINOM($C2618,MIN(0.75,Matchup!$C$39*$B2618),RAND())</f>
        <v>2</v>
      </c>
      <c r="K2618" s="0" t="n">
        <f aca="true">CRITBINOM(J2618,Coefficients!$B$30,RAND())</f>
        <v>1</v>
      </c>
      <c r="L2618" s="0" t="n">
        <f aca="true">CRITBINOM(K2618,Coefficients!$B$31,RAND())</f>
        <v>1</v>
      </c>
      <c r="M2618" s="0" t="n">
        <f aca="true">CRITBINOM(MAX(0,J2618-K2618),1-Coefficients!$B$32,RAND())</f>
        <v>0</v>
      </c>
      <c r="N2618" s="0" t="n">
        <f aca="true">CRITBINOM(MAX(0,$C2618-J2618),MIN(0.6,Matchup!$C$40*SQRT($B2618)/(1-MIN(0.75,Matchup!$C$39*$B2618))),RAND())</f>
        <v>4</v>
      </c>
      <c r="O2618" s="0" t="n">
        <f aca="false">6*J2618+(J2618-K2618-M2618)+2*L2618+3*N2618</f>
        <v>27</v>
      </c>
      <c r="P2618" s="0" t="n">
        <f aca="true">RAND()</f>
        <v>0.670308225807533</v>
      </c>
      <c r="Q2618" s="0" t="n">
        <f aca="true">RAND()</f>
        <v>0.509073990765175</v>
      </c>
      <c r="R2618" s="0" t="n">
        <f aca="false">IF($I2618&lt;&gt;$O2618,0,IF(P2618&lt;Matchup!$B$39,7,IF(P2618&lt;Matchup!$B$39+Matchup!$B$40,3,0)))</f>
        <v>0</v>
      </c>
      <c r="S2618" s="0" t="n">
        <f aca="false">IF($I2618&lt;&gt;$O2618,0,IF(Q2618&lt;Matchup!$C$39,7,IF(Q2618&lt;Matchup!$C$39+Matchup!$C$40,3,0)))</f>
        <v>0</v>
      </c>
      <c r="T2618" s="0" t="n">
        <f aca="false">I2618+R2618</f>
        <v>31</v>
      </c>
      <c r="U2618" s="0" t="n">
        <f aca="false">O2618+S2618</f>
        <v>27</v>
      </c>
      <c r="V2618" s="0" t="n">
        <f aca="false">T2618-U2618</f>
        <v>4</v>
      </c>
      <c r="W2618" s="0" t="n">
        <f aca="false">T2618+U2618</f>
        <v>58</v>
      </c>
    </row>
    <row r="2619" customFormat="false" ht="15" hidden="false" customHeight="false" outlineLevel="0" collapsed="false">
      <c r="A2619" s="0" t="n">
        <v>2616</v>
      </c>
      <c r="B2619" s="0" t="n">
        <f aca="true">NORMINV(RAND(),1,Coefficients!$B$22)</f>
        <v>0.97690056638612</v>
      </c>
      <c r="C2619" s="0" t="n">
        <f aca="true">MEDIAN(8,16,ROUND(NORMINV(RAND(),Coefficients!$B$20,Coefficients!$B$21),0))</f>
        <v>13</v>
      </c>
      <c r="D2619" s="0" t="n">
        <f aca="true">CRITBINOM($C2619,MIN(0.75,Matchup!$B$39*$B2619),RAND())</f>
        <v>2</v>
      </c>
      <c r="E2619" s="0" t="n">
        <f aca="true">CRITBINOM(D2619,Coefficients!$B$30,RAND())</f>
        <v>0</v>
      </c>
      <c r="F2619" s="0" t="n">
        <f aca="true">CRITBINOM(E2619,Coefficients!$B$31,RAND())</f>
        <v>0</v>
      </c>
      <c r="G2619" s="0" t="n">
        <f aca="true">CRITBINOM(MAX(0,D2619-E2619),1-Coefficients!$B$32,RAND())</f>
        <v>0</v>
      </c>
      <c r="H2619" s="0" t="n">
        <f aca="true">CRITBINOM(MAX(0,$C2619-D2619),MIN(0.6,Matchup!$B$40*SQRT($B2619)/(1-MIN(0.75,Matchup!$B$39*$B2619))),RAND())</f>
        <v>0</v>
      </c>
      <c r="I2619" s="0" t="n">
        <f aca="false">6*D2619+(D2619-E2619-G2619)+2*F2619+3*H2619</f>
        <v>14</v>
      </c>
      <c r="J2619" s="0" t="n">
        <f aca="true">CRITBINOM($C2619,MIN(0.75,Matchup!$C$39*$B2619),RAND())</f>
        <v>2</v>
      </c>
      <c r="K2619" s="0" t="n">
        <f aca="true">CRITBINOM(J2619,Coefficients!$B$30,RAND())</f>
        <v>0</v>
      </c>
      <c r="L2619" s="0" t="n">
        <f aca="true">CRITBINOM(K2619,Coefficients!$B$31,RAND())</f>
        <v>0</v>
      </c>
      <c r="M2619" s="0" t="n">
        <f aca="true">CRITBINOM(MAX(0,J2619-K2619),1-Coefficients!$B$32,RAND())</f>
        <v>0</v>
      </c>
      <c r="N2619" s="0" t="n">
        <f aca="true">CRITBINOM(MAX(0,$C2619-J2619),MIN(0.6,Matchup!$C$40*SQRT($B2619)/(1-MIN(0.75,Matchup!$C$39*$B2619))),RAND())</f>
        <v>3</v>
      </c>
      <c r="O2619" s="0" t="n">
        <f aca="false">6*J2619+(J2619-K2619-M2619)+2*L2619+3*N2619</f>
        <v>23</v>
      </c>
      <c r="P2619" s="0" t="n">
        <f aca="true">RAND()</f>
        <v>0.0242085337073451</v>
      </c>
      <c r="Q2619" s="0" t="n">
        <f aca="true">RAND()</f>
        <v>0.28186847002222</v>
      </c>
      <c r="R2619" s="0" t="n">
        <f aca="false">IF($I2619&lt;&gt;$O2619,0,IF(P2619&lt;Matchup!$B$39,7,IF(P2619&lt;Matchup!$B$39+Matchup!$B$40,3,0)))</f>
        <v>0</v>
      </c>
      <c r="S2619" s="0" t="n">
        <f aca="false">IF($I2619&lt;&gt;$O2619,0,IF(Q2619&lt;Matchup!$C$39,7,IF(Q2619&lt;Matchup!$C$39+Matchup!$C$40,3,0)))</f>
        <v>0</v>
      </c>
      <c r="T2619" s="0" t="n">
        <f aca="false">I2619+R2619</f>
        <v>14</v>
      </c>
      <c r="U2619" s="0" t="n">
        <f aca="false">O2619+S2619</f>
        <v>23</v>
      </c>
      <c r="V2619" s="0" t="n">
        <f aca="false">T2619-U2619</f>
        <v>-9</v>
      </c>
      <c r="W2619" s="0" t="n">
        <f aca="false">T2619+U2619</f>
        <v>37</v>
      </c>
    </row>
    <row r="2620" customFormat="false" ht="15" hidden="false" customHeight="false" outlineLevel="0" collapsed="false">
      <c r="A2620" s="0" t="n">
        <v>2617</v>
      </c>
      <c r="B2620" s="0" t="n">
        <f aca="true">NORMINV(RAND(),1,Coefficients!$B$22)</f>
        <v>0.880341216687547</v>
      </c>
      <c r="C2620" s="0" t="n">
        <f aca="true">MEDIAN(8,16,ROUND(NORMINV(RAND(),Coefficients!$B$20,Coefficients!$B$21),0))</f>
        <v>14</v>
      </c>
      <c r="D2620" s="0" t="n">
        <f aca="true">CRITBINOM($C2620,MIN(0.75,Matchup!$B$39*$B2620),RAND())</f>
        <v>4</v>
      </c>
      <c r="E2620" s="0" t="n">
        <f aca="true">CRITBINOM(D2620,Coefficients!$B$30,RAND())</f>
        <v>0</v>
      </c>
      <c r="F2620" s="0" t="n">
        <f aca="true">CRITBINOM(E2620,Coefficients!$B$31,RAND())</f>
        <v>0</v>
      </c>
      <c r="G2620" s="0" t="n">
        <f aca="true">CRITBINOM(MAX(0,D2620-E2620),1-Coefficients!$B$32,RAND())</f>
        <v>0</v>
      </c>
      <c r="H2620" s="0" t="n">
        <f aca="true">CRITBINOM(MAX(0,$C2620-D2620),MIN(0.6,Matchup!$B$40*SQRT($B2620)/(1-MIN(0.75,Matchup!$B$39*$B2620))),RAND())</f>
        <v>0</v>
      </c>
      <c r="I2620" s="0" t="n">
        <f aca="false">6*D2620+(D2620-E2620-G2620)+2*F2620+3*H2620</f>
        <v>28</v>
      </c>
      <c r="J2620" s="0" t="n">
        <f aca="true">CRITBINOM($C2620,MIN(0.75,Matchup!$C$39*$B2620),RAND())</f>
        <v>2</v>
      </c>
      <c r="K2620" s="0" t="n">
        <f aca="true">CRITBINOM(J2620,Coefficients!$B$30,RAND())</f>
        <v>0</v>
      </c>
      <c r="L2620" s="0" t="n">
        <f aca="true">CRITBINOM(K2620,Coefficients!$B$31,RAND())</f>
        <v>0</v>
      </c>
      <c r="M2620" s="0" t="n">
        <f aca="true">CRITBINOM(MAX(0,J2620-K2620),1-Coefficients!$B$32,RAND())</f>
        <v>0</v>
      </c>
      <c r="N2620" s="0" t="n">
        <f aca="true">CRITBINOM(MAX(0,$C2620-J2620),MIN(0.6,Matchup!$C$40*SQRT($B2620)/(1-MIN(0.75,Matchup!$C$39*$B2620))),RAND())</f>
        <v>2</v>
      </c>
      <c r="O2620" s="0" t="n">
        <f aca="false">6*J2620+(J2620-K2620-M2620)+2*L2620+3*N2620</f>
        <v>20</v>
      </c>
      <c r="P2620" s="0" t="n">
        <f aca="true">RAND()</f>
        <v>0.658838903666656</v>
      </c>
      <c r="Q2620" s="0" t="n">
        <f aca="true">RAND()</f>
        <v>0.0371693025893367</v>
      </c>
      <c r="R2620" s="0" t="n">
        <f aca="false">IF($I2620&lt;&gt;$O2620,0,IF(P2620&lt;Matchup!$B$39,7,IF(P2620&lt;Matchup!$B$39+Matchup!$B$40,3,0)))</f>
        <v>0</v>
      </c>
      <c r="S2620" s="0" t="n">
        <f aca="false">IF($I2620&lt;&gt;$O2620,0,IF(Q2620&lt;Matchup!$C$39,7,IF(Q2620&lt;Matchup!$C$39+Matchup!$C$40,3,0)))</f>
        <v>0</v>
      </c>
      <c r="T2620" s="0" t="n">
        <f aca="false">I2620+R2620</f>
        <v>28</v>
      </c>
      <c r="U2620" s="0" t="n">
        <f aca="false">O2620+S2620</f>
        <v>20</v>
      </c>
      <c r="V2620" s="0" t="n">
        <f aca="false">T2620-U2620</f>
        <v>8</v>
      </c>
      <c r="W2620" s="0" t="n">
        <f aca="false">T2620+U2620</f>
        <v>48</v>
      </c>
    </row>
    <row r="2621" customFormat="false" ht="15" hidden="false" customHeight="false" outlineLevel="0" collapsed="false">
      <c r="A2621" s="0" t="n">
        <v>2618</v>
      </c>
      <c r="B2621" s="0" t="n">
        <f aca="true">NORMINV(RAND(),1,Coefficients!$B$22)</f>
        <v>0.970798208733452</v>
      </c>
      <c r="C2621" s="0" t="n">
        <f aca="true">MEDIAN(8,16,ROUND(NORMINV(RAND(),Coefficients!$B$20,Coefficients!$B$21),0))</f>
        <v>11</v>
      </c>
      <c r="D2621" s="0" t="n">
        <f aca="true">CRITBINOM($C2621,MIN(0.75,Matchup!$B$39*$B2621),RAND())</f>
        <v>3</v>
      </c>
      <c r="E2621" s="0" t="n">
        <f aca="true">CRITBINOM(D2621,Coefficients!$B$30,RAND())</f>
        <v>0</v>
      </c>
      <c r="F2621" s="0" t="n">
        <f aca="true">CRITBINOM(E2621,Coefficients!$B$31,RAND())</f>
        <v>0</v>
      </c>
      <c r="G2621" s="0" t="n">
        <f aca="true">CRITBINOM(MAX(0,D2621-E2621),1-Coefficients!$B$32,RAND())</f>
        <v>0</v>
      </c>
      <c r="H2621" s="0" t="n">
        <f aca="true">CRITBINOM(MAX(0,$C2621-D2621),MIN(0.6,Matchup!$B$40*SQRT($B2621)/(1-MIN(0.75,Matchup!$B$39*$B2621))),RAND())</f>
        <v>1</v>
      </c>
      <c r="I2621" s="0" t="n">
        <f aca="false">6*D2621+(D2621-E2621-G2621)+2*F2621+3*H2621</f>
        <v>24</v>
      </c>
      <c r="J2621" s="0" t="n">
        <f aca="true">CRITBINOM($C2621,MIN(0.75,Matchup!$C$39*$B2621),RAND())</f>
        <v>1</v>
      </c>
      <c r="K2621" s="0" t="n">
        <f aca="true">CRITBINOM(J2621,Coefficients!$B$30,RAND())</f>
        <v>0</v>
      </c>
      <c r="L2621" s="0" t="n">
        <f aca="true">CRITBINOM(K2621,Coefficients!$B$31,RAND())</f>
        <v>0</v>
      </c>
      <c r="M2621" s="0" t="n">
        <f aca="true">CRITBINOM(MAX(0,J2621-K2621),1-Coefficients!$B$32,RAND())</f>
        <v>0</v>
      </c>
      <c r="N2621" s="0" t="n">
        <f aca="true">CRITBINOM(MAX(0,$C2621-J2621),MIN(0.6,Matchup!$C$40*SQRT($B2621)/(1-MIN(0.75,Matchup!$C$39*$B2621))),RAND())</f>
        <v>4</v>
      </c>
      <c r="O2621" s="0" t="n">
        <f aca="false">6*J2621+(J2621-K2621-M2621)+2*L2621+3*N2621</f>
        <v>19</v>
      </c>
      <c r="P2621" s="0" t="n">
        <f aca="true">RAND()</f>
        <v>0.867975024908552</v>
      </c>
      <c r="Q2621" s="0" t="n">
        <f aca="true">RAND()</f>
        <v>0.389591563279003</v>
      </c>
      <c r="R2621" s="0" t="n">
        <f aca="false">IF($I2621&lt;&gt;$O2621,0,IF(P2621&lt;Matchup!$B$39,7,IF(P2621&lt;Matchup!$B$39+Matchup!$B$40,3,0)))</f>
        <v>0</v>
      </c>
      <c r="S2621" s="0" t="n">
        <f aca="false">IF($I2621&lt;&gt;$O2621,0,IF(Q2621&lt;Matchup!$C$39,7,IF(Q2621&lt;Matchup!$C$39+Matchup!$C$40,3,0)))</f>
        <v>0</v>
      </c>
      <c r="T2621" s="0" t="n">
        <f aca="false">I2621+R2621</f>
        <v>24</v>
      </c>
      <c r="U2621" s="0" t="n">
        <f aca="false">O2621+S2621</f>
        <v>19</v>
      </c>
      <c r="V2621" s="0" t="n">
        <f aca="false">T2621-U2621</f>
        <v>5</v>
      </c>
      <c r="W2621" s="0" t="n">
        <f aca="false">T2621+U2621</f>
        <v>43</v>
      </c>
    </row>
    <row r="2622" customFormat="false" ht="15" hidden="false" customHeight="false" outlineLevel="0" collapsed="false">
      <c r="A2622" s="0" t="n">
        <v>2619</v>
      </c>
      <c r="B2622" s="0" t="n">
        <f aca="true">NORMINV(RAND(),1,Coefficients!$B$22)</f>
        <v>1.00565498681605</v>
      </c>
      <c r="C2622" s="0" t="n">
        <f aca="true">MEDIAN(8,16,ROUND(NORMINV(RAND(),Coefficients!$B$20,Coefficients!$B$21),0))</f>
        <v>11</v>
      </c>
      <c r="D2622" s="0" t="n">
        <f aca="true">CRITBINOM($C2622,MIN(0.75,Matchup!$B$39*$B2622),RAND())</f>
        <v>2</v>
      </c>
      <c r="E2622" s="0" t="n">
        <f aca="true">CRITBINOM(D2622,Coefficients!$B$30,RAND())</f>
        <v>0</v>
      </c>
      <c r="F2622" s="0" t="n">
        <f aca="true">CRITBINOM(E2622,Coefficients!$B$31,RAND())</f>
        <v>0</v>
      </c>
      <c r="G2622" s="0" t="n">
        <f aca="true">CRITBINOM(MAX(0,D2622-E2622),1-Coefficients!$B$32,RAND())</f>
        <v>0</v>
      </c>
      <c r="H2622" s="0" t="n">
        <f aca="true">CRITBINOM(MAX(0,$C2622-D2622),MIN(0.6,Matchup!$B$40*SQRT($B2622)/(1-MIN(0.75,Matchup!$B$39*$B2622))),RAND())</f>
        <v>1</v>
      </c>
      <c r="I2622" s="0" t="n">
        <f aca="false">6*D2622+(D2622-E2622-G2622)+2*F2622+3*H2622</f>
        <v>17</v>
      </c>
      <c r="J2622" s="0" t="n">
        <f aca="true">CRITBINOM($C2622,MIN(0.75,Matchup!$C$39*$B2622),RAND())</f>
        <v>3</v>
      </c>
      <c r="K2622" s="0" t="n">
        <f aca="true">CRITBINOM(J2622,Coefficients!$B$30,RAND())</f>
        <v>0</v>
      </c>
      <c r="L2622" s="0" t="n">
        <f aca="true">CRITBINOM(K2622,Coefficients!$B$31,RAND())</f>
        <v>0</v>
      </c>
      <c r="M2622" s="0" t="n">
        <f aca="true">CRITBINOM(MAX(0,J2622-K2622),1-Coefficients!$B$32,RAND())</f>
        <v>0</v>
      </c>
      <c r="N2622" s="0" t="n">
        <f aca="true">CRITBINOM(MAX(0,$C2622-J2622),MIN(0.6,Matchup!$C$40*SQRT($B2622)/(1-MIN(0.75,Matchup!$C$39*$B2622))),RAND())</f>
        <v>0</v>
      </c>
      <c r="O2622" s="0" t="n">
        <f aca="false">6*J2622+(J2622-K2622-M2622)+2*L2622+3*N2622</f>
        <v>21</v>
      </c>
      <c r="P2622" s="0" t="n">
        <f aca="true">RAND()</f>
        <v>0.290251123666813</v>
      </c>
      <c r="Q2622" s="0" t="n">
        <f aca="true">RAND()</f>
        <v>0.944823907043758</v>
      </c>
      <c r="R2622" s="0" t="n">
        <f aca="false">IF($I2622&lt;&gt;$O2622,0,IF(P2622&lt;Matchup!$B$39,7,IF(P2622&lt;Matchup!$B$39+Matchup!$B$40,3,0)))</f>
        <v>0</v>
      </c>
      <c r="S2622" s="0" t="n">
        <f aca="false">IF($I2622&lt;&gt;$O2622,0,IF(Q2622&lt;Matchup!$C$39,7,IF(Q2622&lt;Matchup!$C$39+Matchup!$C$40,3,0)))</f>
        <v>0</v>
      </c>
      <c r="T2622" s="0" t="n">
        <f aca="false">I2622+R2622</f>
        <v>17</v>
      </c>
      <c r="U2622" s="0" t="n">
        <f aca="false">O2622+S2622</f>
        <v>21</v>
      </c>
      <c r="V2622" s="0" t="n">
        <f aca="false">T2622-U2622</f>
        <v>-4</v>
      </c>
      <c r="W2622" s="0" t="n">
        <f aca="false">T2622+U2622</f>
        <v>38</v>
      </c>
    </row>
    <row r="2623" customFormat="false" ht="15" hidden="false" customHeight="false" outlineLevel="0" collapsed="false">
      <c r="A2623" s="0" t="n">
        <v>2620</v>
      </c>
      <c r="B2623" s="0" t="n">
        <f aca="true">NORMINV(RAND(),1,Coefficients!$B$22)</f>
        <v>1.00744513370292</v>
      </c>
      <c r="C2623" s="0" t="n">
        <f aca="true">MEDIAN(8,16,ROUND(NORMINV(RAND(),Coefficients!$B$20,Coefficients!$B$21),0))</f>
        <v>13</v>
      </c>
      <c r="D2623" s="0" t="n">
        <f aca="true">CRITBINOM($C2623,MIN(0.75,Matchup!$B$39*$B2623),RAND())</f>
        <v>3</v>
      </c>
      <c r="E2623" s="0" t="n">
        <f aca="true">CRITBINOM(D2623,Coefficients!$B$30,RAND())</f>
        <v>0</v>
      </c>
      <c r="F2623" s="0" t="n">
        <f aca="true">CRITBINOM(E2623,Coefficients!$B$31,RAND())</f>
        <v>0</v>
      </c>
      <c r="G2623" s="0" t="n">
        <f aca="true">CRITBINOM(MAX(0,D2623-E2623),1-Coefficients!$B$32,RAND())</f>
        <v>1</v>
      </c>
      <c r="H2623" s="0" t="n">
        <f aca="true">CRITBINOM(MAX(0,$C2623-D2623),MIN(0.6,Matchup!$B$40*SQRT($B2623)/(1-MIN(0.75,Matchup!$B$39*$B2623))),RAND())</f>
        <v>0</v>
      </c>
      <c r="I2623" s="0" t="n">
        <f aca="false">6*D2623+(D2623-E2623-G2623)+2*F2623+3*H2623</f>
        <v>20</v>
      </c>
      <c r="J2623" s="0" t="n">
        <f aca="true">CRITBINOM($C2623,MIN(0.75,Matchup!$C$39*$B2623),RAND())</f>
        <v>3</v>
      </c>
      <c r="K2623" s="0" t="n">
        <f aca="true">CRITBINOM(J2623,Coefficients!$B$30,RAND())</f>
        <v>0</v>
      </c>
      <c r="L2623" s="0" t="n">
        <f aca="true">CRITBINOM(K2623,Coefficients!$B$31,RAND())</f>
        <v>0</v>
      </c>
      <c r="M2623" s="0" t="n">
        <f aca="true">CRITBINOM(MAX(0,J2623-K2623),1-Coefficients!$B$32,RAND())</f>
        <v>0</v>
      </c>
      <c r="N2623" s="0" t="n">
        <f aca="true">CRITBINOM(MAX(0,$C2623-J2623),MIN(0.6,Matchup!$C$40*SQRT($B2623)/(1-MIN(0.75,Matchup!$C$39*$B2623))),RAND())</f>
        <v>1</v>
      </c>
      <c r="O2623" s="0" t="n">
        <f aca="false">6*J2623+(J2623-K2623-M2623)+2*L2623+3*N2623</f>
        <v>24</v>
      </c>
      <c r="P2623" s="0" t="n">
        <f aca="true">RAND()</f>
        <v>0.883752826592305</v>
      </c>
      <c r="Q2623" s="0" t="n">
        <f aca="true">RAND()</f>
        <v>0.653249336176528</v>
      </c>
      <c r="R2623" s="0" t="n">
        <f aca="false">IF($I2623&lt;&gt;$O2623,0,IF(P2623&lt;Matchup!$B$39,7,IF(P2623&lt;Matchup!$B$39+Matchup!$B$40,3,0)))</f>
        <v>0</v>
      </c>
      <c r="S2623" s="0" t="n">
        <f aca="false">IF($I2623&lt;&gt;$O2623,0,IF(Q2623&lt;Matchup!$C$39,7,IF(Q2623&lt;Matchup!$C$39+Matchup!$C$40,3,0)))</f>
        <v>0</v>
      </c>
      <c r="T2623" s="0" t="n">
        <f aca="false">I2623+R2623</f>
        <v>20</v>
      </c>
      <c r="U2623" s="0" t="n">
        <f aca="false">O2623+S2623</f>
        <v>24</v>
      </c>
      <c r="V2623" s="0" t="n">
        <f aca="false">T2623-U2623</f>
        <v>-4</v>
      </c>
      <c r="W2623" s="0" t="n">
        <f aca="false">T2623+U2623</f>
        <v>44</v>
      </c>
    </row>
    <row r="2624" customFormat="false" ht="15" hidden="false" customHeight="false" outlineLevel="0" collapsed="false">
      <c r="A2624" s="0" t="n">
        <v>2621</v>
      </c>
      <c r="B2624" s="0" t="n">
        <f aca="true">NORMINV(RAND(),1,Coefficients!$B$22)</f>
        <v>1.07504742272678</v>
      </c>
      <c r="C2624" s="0" t="n">
        <f aca="true">MEDIAN(8,16,ROUND(NORMINV(RAND(),Coefficients!$B$20,Coefficients!$B$21),0))</f>
        <v>11</v>
      </c>
      <c r="D2624" s="0" t="n">
        <f aca="true">CRITBINOM($C2624,MIN(0.75,Matchup!$B$39*$B2624),RAND())</f>
        <v>4</v>
      </c>
      <c r="E2624" s="0" t="n">
        <f aca="true">CRITBINOM(D2624,Coefficients!$B$30,RAND())</f>
        <v>0</v>
      </c>
      <c r="F2624" s="0" t="n">
        <f aca="true">CRITBINOM(E2624,Coefficients!$B$31,RAND())</f>
        <v>0</v>
      </c>
      <c r="G2624" s="0" t="n">
        <f aca="true">CRITBINOM(MAX(0,D2624-E2624),1-Coefficients!$B$32,RAND())</f>
        <v>0</v>
      </c>
      <c r="H2624" s="0" t="n">
        <f aca="true">CRITBINOM(MAX(0,$C2624-D2624),MIN(0.6,Matchup!$B$40*SQRT($B2624)/(1-MIN(0.75,Matchup!$B$39*$B2624))),RAND())</f>
        <v>2</v>
      </c>
      <c r="I2624" s="0" t="n">
        <f aca="false">6*D2624+(D2624-E2624-G2624)+2*F2624+3*H2624</f>
        <v>34</v>
      </c>
      <c r="J2624" s="0" t="n">
        <f aca="true">CRITBINOM($C2624,MIN(0.75,Matchup!$C$39*$B2624),RAND())</f>
        <v>1</v>
      </c>
      <c r="K2624" s="0" t="n">
        <f aca="true">CRITBINOM(J2624,Coefficients!$B$30,RAND())</f>
        <v>1</v>
      </c>
      <c r="L2624" s="0" t="n">
        <f aca="true">CRITBINOM(K2624,Coefficients!$B$31,RAND())</f>
        <v>1</v>
      </c>
      <c r="M2624" s="0" t="n">
        <f aca="true">CRITBINOM(MAX(0,J2624-K2624),1-Coefficients!$B$32,RAND())</f>
        <v>0</v>
      </c>
      <c r="N2624" s="0" t="n">
        <f aca="true">CRITBINOM(MAX(0,$C2624-J2624),MIN(0.6,Matchup!$C$40*SQRT($B2624)/(1-MIN(0.75,Matchup!$C$39*$B2624))),RAND())</f>
        <v>1</v>
      </c>
      <c r="O2624" s="0" t="n">
        <f aca="false">6*J2624+(J2624-K2624-M2624)+2*L2624+3*N2624</f>
        <v>11</v>
      </c>
      <c r="P2624" s="0" t="n">
        <f aca="true">RAND()</f>
        <v>0.00753650155277334</v>
      </c>
      <c r="Q2624" s="0" t="n">
        <f aca="true">RAND()</f>
        <v>0.844324665730261</v>
      </c>
      <c r="R2624" s="0" t="n">
        <f aca="false">IF($I2624&lt;&gt;$O2624,0,IF(P2624&lt;Matchup!$B$39,7,IF(P2624&lt;Matchup!$B$39+Matchup!$B$40,3,0)))</f>
        <v>0</v>
      </c>
      <c r="S2624" s="0" t="n">
        <f aca="false">IF($I2624&lt;&gt;$O2624,0,IF(Q2624&lt;Matchup!$C$39,7,IF(Q2624&lt;Matchup!$C$39+Matchup!$C$40,3,0)))</f>
        <v>0</v>
      </c>
      <c r="T2624" s="0" t="n">
        <f aca="false">I2624+R2624</f>
        <v>34</v>
      </c>
      <c r="U2624" s="0" t="n">
        <f aca="false">O2624+S2624</f>
        <v>11</v>
      </c>
      <c r="V2624" s="0" t="n">
        <f aca="false">T2624-U2624</f>
        <v>23</v>
      </c>
      <c r="W2624" s="0" t="n">
        <f aca="false">T2624+U2624</f>
        <v>45</v>
      </c>
    </row>
    <row r="2625" customFormat="false" ht="15" hidden="false" customHeight="false" outlineLevel="0" collapsed="false">
      <c r="A2625" s="0" t="n">
        <v>2622</v>
      </c>
      <c r="B2625" s="0" t="n">
        <f aca="true">NORMINV(RAND(),1,Coefficients!$B$22)</f>
        <v>0.955403972332895</v>
      </c>
      <c r="C2625" s="0" t="n">
        <f aca="true">MEDIAN(8,16,ROUND(NORMINV(RAND(),Coefficients!$B$20,Coefficients!$B$21),0))</f>
        <v>12</v>
      </c>
      <c r="D2625" s="0" t="n">
        <f aca="true">CRITBINOM($C2625,MIN(0.75,Matchup!$B$39*$B2625),RAND())</f>
        <v>0</v>
      </c>
      <c r="E2625" s="0" t="n">
        <f aca="true">CRITBINOM(D2625,Coefficients!$B$30,RAND())</f>
        <v>0</v>
      </c>
      <c r="F2625" s="0" t="n">
        <f aca="true">CRITBINOM(E2625,Coefficients!$B$31,RAND())</f>
        <v>0</v>
      </c>
      <c r="G2625" s="0" t="n">
        <f aca="true">CRITBINOM(MAX(0,D2625-E2625),1-Coefficients!$B$32,RAND())</f>
        <v>0</v>
      </c>
      <c r="H2625" s="0" t="n">
        <f aca="true">CRITBINOM(MAX(0,$C2625-D2625),MIN(0.6,Matchup!$B$40*SQRT($B2625)/(1-MIN(0.75,Matchup!$B$39*$B2625))),RAND())</f>
        <v>4</v>
      </c>
      <c r="I2625" s="0" t="n">
        <f aca="false">6*D2625+(D2625-E2625-G2625)+2*F2625+3*H2625</f>
        <v>12</v>
      </c>
      <c r="J2625" s="0" t="n">
        <f aca="true">CRITBINOM($C2625,MIN(0.75,Matchup!$C$39*$B2625),RAND())</f>
        <v>3</v>
      </c>
      <c r="K2625" s="0" t="n">
        <f aca="true">CRITBINOM(J2625,Coefficients!$B$30,RAND())</f>
        <v>1</v>
      </c>
      <c r="L2625" s="0" t="n">
        <f aca="true">CRITBINOM(K2625,Coefficients!$B$31,RAND())</f>
        <v>1</v>
      </c>
      <c r="M2625" s="0" t="n">
        <f aca="true">CRITBINOM(MAX(0,J2625-K2625),1-Coefficients!$B$32,RAND())</f>
        <v>0</v>
      </c>
      <c r="N2625" s="0" t="n">
        <f aca="true">CRITBINOM(MAX(0,$C2625-J2625),MIN(0.6,Matchup!$C$40*SQRT($B2625)/(1-MIN(0.75,Matchup!$C$39*$B2625))),RAND())</f>
        <v>1</v>
      </c>
      <c r="O2625" s="0" t="n">
        <f aca="false">6*J2625+(J2625-K2625-M2625)+2*L2625+3*N2625</f>
        <v>25</v>
      </c>
      <c r="P2625" s="0" t="n">
        <f aca="true">RAND()</f>
        <v>0.653735737518466</v>
      </c>
      <c r="Q2625" s="0" t="n">
        <f aca="true">RAND()</f>
        <v>0.884176977833055</v>
      </c>
      <c r="R2625" s="0" t="n">
        <f aca="false">IF($I2625&lt;&gt;$O2625,0,IF(P2625&lt;Matchup!$B$39,7,IF(P2625&lt;Matchup!$B$39+Matchup!$B$40,3,0)))</f>
        <v>0</v>
      </c>
      <c r="S2625" s="0" t="n">
        <f aca="false">IF($I2625&lt;&gt;$O2625,0,IF(Q2625&lt;Matchup!$C$39,7,IF(Q2625&lt;Matchup!$C$39+Matchup!$C$40,3,0)))</f>
        <v>0</v>
      </c>
      <c r="T2625" s="0" t="n">
        <f aca="false">I2625+R2625</f>
        <v>12</v>
      </c>
      <c r="U2625" s="0" t="n">
        <f aca="false">O2625+S2625</f>
        <v>25</v>
      </c>
      <c r="V2625" s="0" t="n">
        <f aca="false">T2625-U2625</f>
        <v>-13</v>
      </c>
      <c r="W2625" s="0" t="n">
        <f aca="false">T2625+U2625</f>
        <v>37</v>
      </c>
    </row>
    <row r="2626" customFormat="false" ht="15" hidden="false" customHeight="false" outlineLevel="0" collapsed="false">
      <c r="A2626" s="0" t="n">
        <v>2623</v>
      </c>
      <c r="B2626" s="0" t="n">
        <f aca="true">NORMINV(RAND(),1,Coefficients!$B$22)</f>
        <v>1.02414040562382</v>
      </c>
      <c r="C2626" s="0" t="n">
        <f aca="true">MEDIAN(8,16,ROUND(NORMINV(RAND(),Coefficients!$B$20,Coefficients!$B$21),0))</f>
        <v>12</v>
      </c>
      <c r="D2626" s="0" t="n">
        <f aca="true">CRITBINOM($C2626,MIN(0.75,Matchup!$B$39*$B2626),RAND())</f>
        <v>3</v>
      </c>
      <c r="E2626" s="0" t="n">
        <f aca="true">CRITBINOM(D2626,Coefficients!$B$30,RAND())</f>
        <v>1</v>
      </c>
      <c r="F2626" s="0" t="n">
        <f aca="true">CRITBINOM(E2626,Coefficients!$B$31,RAND())</f>
        <v>0</v>
      </c>
      <c r="G2626" s="0" t="n">
        <f aca="true">CRITBINOM(MAX(0,D2626-E2626),1-Coefficients!$B$32,RAND())</f>
        <v>0</v>
      </c>
      <c r="H2626" s="0" t="n">
        <f aca="true">CRITBINOM(MAX(0,$C2626-D2626),MIN(0.6,Matchup!$B$40*SQRT($B2626)/(1-MIN(0.75,Matchup!$B$39*$B2626))),RAND())</f>
        <v>1</v>
      </c>
      <c r="I2626" s="0" t="n">
        <f aca="false">6*D2626+(D2626-E2626-G2626)+2*F2626+3*H2626</f>
        <v>23</v>
      </c>
      <c r="J2626" s="0" t="n">
        <f aca="true">CRITBINOM($C2626,MIN(0.75,Matchup!$C$39*$B2626),RAND())</f>
        <v>3</v>
      </c>
      <c r="K2626" s="0" t="n">
        <f aca="true">CRITBINOM(J2626,Coefficients!$B$30,RAND())</f>
        <v>0</v>
      </c>
      <c r="L2626" s="0" t="n">
        <f aca="true">CRITBINOM(K2626,Coefficients!$B$31,RAND())</f>
        <v>0</v>
      </c>
      <c r="M2626" s="0" t="n">
        <f aca="true">CRITBINOM(MAX(0,J2626-K2626),1-Coefficients!$B$32,RAND())</f>
        <v>1</v>
      </c>
      <c r="N2626" s="0" t="n">
        <f aca="true">CRITBINOM(MAX(0,$C2626-J2626),MIN(0.6,Matchup!$C$40*SQRT($B2626)/(1-MIN(0.75,Matchup!$C$39*$B2626))),RAND())</f>
        <v>1</v>
      </c>
      <c r="O2626" s="0" t="n">
        <f aca="false">6*J2626+(J2626-K2626-M2626)+2*L2626+3*N2626</f>
        <v>23</v>
      </c>
      <c r="P2626" s="0" t="n">
        <f aca="true">RAND()</f>
        <v>0.0730494096514281</v>
      </c>
      <c r="Q2626" s="0" t="n">
        <f aca="true">RAND()</f>
        <v>0.435913317567049</v>
      </c>
      <c r="R2626" s="0" t="n">
        <f aca="false">IF($I2626&lt;&gt;$O2626,0,IF(P2626&lt;Matchup!$B$39,7,IF(P2626&lt;Matchup!$B$39+Matchup!$B$40,3,0)))</f>
        <v>7</v>
      </c>
      <c r="S2626" s="0" t="n">
        <f aca="false">IF($I2626&lt;&gt;$O2626,0,IF(Q2626&lt;Matchup!$C$39,7,IF(Q2626&lt;Matchup!$C$39+Matchup!$C$40,3,0)))</f>
        <v>0</v>
      </c>
      <c r="T2626" s="0" t="n">
        <f aca="false">I2626+R2626</f>
        <v>30</v>
      </c>
      <c r="U2626" s="0" t="n">
        <f aca="false">O2626+S2626</f>
        <v>23</v>
      </c>
      <c r="V2626" s="0" t="n">
        <f aca="false">T2626-U2626</f>
        <v>7</v>
      </c>
      <c r="W2626" s="0" t="n">
        <f aca="false">T2626+U2626</f>
        <v>53</v>
      </c>
    </row>
    <row r="2627" customFormat="false" ht="15" hidden="false" customHeight="false" outlineLevel="0" collapsed="false">
      <c r="A2627" s="0" t="n">
        <v>2624</v>
      </c>
      <c r="B2627" s="0" t="n">
        <f aca="true">NORMINV(RAND(),1,Coefficients!$B$22)</f>
        <v>0.98601826940283</v>
      </c>
      <c r="C2627" s="0" t="n">
        <f aca="true">MEDIAN(8,16,ROUND(NORMINV(RAND(),Coefficients!$B$20,Coefficients!$B$21),0))</f>
        <v>12</v>
      </c>
      <c r="D2627" s="0" t="n">
        <f aca="true">CRITBINOM($C2627,MIN(0.75,Matchup!$B$39*$B2627),RAND())</f>
        <v>2</v>
      </c>
      <c r="E2627" s="0" t="n">
        <f aca="true">CRITBINOM(D2627,Coefficients!$B$30,RAND())</f>
        <v>0</v>
      </c>
      <c r="F2627" s="0" t="n">
        <f aca="true">CRITBINOM(E2627,Coefficients!$B$31,RAND())</f>
        <v>0</v>
      </c>
      <c r="G2627" s="0" t="n">
        <f aca="true">CRITBINOM(MAX(0,D2627-E2627),1-Coefficients!$B$32,RAND())</f>
        <v>0</v>
      </c>
      <c r="H2627" s="0" t="n">
        <f aca="true">CRITBINOM(MAX(0,$C2627-D2627),MIN(0.6,Matchup!$B$40*SQRT($B2627)/(1-MIN(0.75,Matchup!$B$39*$B2627))),RAND())</f>
        <v>0</v>
      </c>
      <c r="I2627" s="0" t="n">
        <f aca="false">6*D2627+(D2627-E2627-G2627)+2*F2627+3*H2627</f>
        <v>14</v>
      </c>
      <c r="J2627" s="0" t="n">
        <f aca="true">CRITBINOM($C2627,MIN(0.75,Matchup!$C$39*$B2627),RAND())</f>
        <v>2</v>
      </c>
      <c r="K2627" s="0" t="n">
        <f aca="true">CRITBINOM(J2627,Coefficients!$B$30,RAND())</f>
        <v>0</v>
      </c>
      <c r="L2627" s="0" t="n">
        <f aca="true">CRITBINOM(K2627,Coefficients!$B$31,RAND())</f>
        <v>0</v>
      </c>
      <c r="M2627" s="0" t="n">
        <f aca="true">CRITBINOM(MAX(0,J2627-K2627),1-Coefficients!$B$32,RAND())</f>
        <v>0</v>
      </c>
      <c r="N2627" s="0" t="n">
        <f aca="true">CRITBINOM(MAX(0,$C2627-J2627),MIN(0.6,Matchup!$C$40*SQRT($B2627)/(1-MIN(0.75,Matchup!$C$39*$B2627))),RAND())</f>
        <v>2</v>
      </c>
      <c r="O2627" s="0" t="n">
        <f aca="false">6*J2627+(J2627-K2627-M2627)+2*L2627+3*N2627</f>
        <v>20</v>
      </c>
      <c r="P2627" s="0" t="n">
        <f aca="true">RAND()</f>
        <v>0.761984455537851</v>
      </c>
      <c r="Q2627" s="0" t="n">
        <f aca="true">RAND()</f>
        <v>0.164901549780695</v>
      </c>
      <c r="R2627" s="0" t="n">
        <f aca="false">IF($I2627&lt;&gt;$O2627,0,IF(P2627&lt;Matchup!$B$39,7,IF(P2627&lt;Matchup!$B$39+Matchup!$B$40,3,0)))</f>
        <v>0</v>
      </c>
      <c r="S2627" s="0" t="n">
        <f aca="false">IF($I2627&lt;&gt;$O2627,0,IF(Q2627&lt;Matchup!$C$39,7,IF(Q2627&lt;Matchup!$C$39+Matchup!$C$40,3,0)))</f>
        <v>0</v>
      </c>
      <c r="T2627" s="0" t="n">
        <f aca="false">I2627+R2627</f>
        <v>14</v>
      </c>
      <c r="U2627" s="0" t="n">
        <f aca="false">O2627+S2627</f>
        <v>20</v>
      </c>
      <c r="V2627" s="0" t="n">
        <f aca="false">T2627-U2627</f>
        <v>-6</v>
      </c>
      <c r="W2627" s="0" t="n">
        <f aca="false">T2627+U2627</f>
        <v>34</v>
      </c>
    </row>
    <row r="2628" customFormat="false" ht="15" hidden="false" customHeight="false" outlineLevel="0" collapsed="false">
      <c r="A2628" s="0" t="n">
        <v>2625</v>
      </c>
      <c r="B2628" s="0" t="n">
        <f aca="true">NORMINV(RAND(),1,Coefficients!$B$22)</f>
        <v>1.08830310936779</v>
      </c>
      <c r="C2628" s="0" t="n">
        <f aca="true">MEDIAN(8,16,ROUND(NORMINV(RAND(),Coefficients!$B$20,Coefficients!$B$21),0))</f>
        <v>12</v>
      </c>
      <c r="D2628" s="0" t="n">
        <f aca="true">CRITBINOM($C2628,MIN(0.75,Matchup!$B$39*$B2628),RAND())</f>
        <v>3</v>
      </c>
      <c r="E2628" s="0" t="n">
        <f aca="true">CRITBINOM(D2628,Coefficients!$B$30,RAND())</f>
        <v>0</v>
      </c>
      <c r="F2628" s="0" t="n">
        <f aca="true">CRITBINOM(E2628,Coefficients!$B$31,RAND())</f>
        <v>0</v>
      </c>
      <c r="G2628" s="0" t="n">
        <f aca="true">CRITBINOM(MAX(0,D2628-E2628),1-Coefficients!$B$32,RAND())</f>
        <v>0</v>
      </c>
      <c r="H2628" s="0" t="n">
        <f aca="true">CRITBINOM(MAX(0,$C2628-D2628),MIN(0.6,Matchup!$B$40*SQRT($B2628)/(1-MIN(0.75,Matchup!$B$39*$B2628))),RAND())</f>
        <v>1</v>
      </c>
      <c r="I2628" s="0" t="n">
        <f aca="false">6*D2628+(D2628-E2628-G2628)+2*F2628+3*H2628</f>
        <v>24</v>
      </c>
      <c r="J2628" s="0" t="n">
        <f aca="true">CRITBINOM($C2628,MIN(0.75,Matchup!$C$39*$B2628),RAND())</f>
        <v>4</v>
      </c>
      <c r="K2628" s="0" t="n">
        <f aca="true">CRITBINOM(J2628,Coefficients!$B$30,RAND())</f>
        <v>1</v>
      </c>
      <c r="L2628" s="0" t="n">
        <f aca="true">CRITBINOM(K2628,Coefficients!$B$31,RAND())</f>
        <v>0</v>
      </c>
      <c r="M2628" s="0" t="n">
        <f aca="true">CRITBINOM(MAX(0,J2628-K2628),1-Coefficients!$B$32,RAND())</f>
        <v>0</v>
      </c>
      <c r="N2628" s="0" t="n">
        <f aca="true">CRITBINOM(MAX(0,$C2628-J2628),MIN(0.6,Matchup!$C$40*SQRT($B2628)/(1-MIN(0.75,Matchup!$C$39*$B2628))),RAND())</f>
        <v>1</v>
      </c>
      <c r="O2628" s="0" t="n">
        <f aca="false">6*J2628+(J2628-K2628-M2628)+2*L2628+3*N2628</f>
        <v>30</v>
      </c>
      <c r="P2628" s="0" t="n">
        <f aca="true">RAND()</f>
        <v>0.129316498958669</v>
      </c>
      <c r="Q2628" s="0" t="n">
        <f aca="true">RAND()</f>
        <v>0.464261279958663</v>
      </c>
      <c r="R2628" s="0" t="n">
        <f aca="false">IF($I2628&lt;&gt;$O2628,0,IF(P2628&lt;Matchup!$B$39,7,IF(P2628&lt;Matchup!$B$39+Matchup!$B$40,3,0)))</f>
        <v>0</v>
      </c>
      <c r="S2628" s="0" t="n">
        <f aca="false">IF($I2628&lt;&gt;$O2628,0,IF(Q2628&lt;Matchup!$C$39,7,IF(Q2628&lt;Matchup!$C$39+Matchup!$C$40,3,0)))</f>
        <v>0</v>
      </c>
      <c r="T2628" s="0" t="n">
        <f aca="false">I2628+R2628</f>
        <v>24</v>
      </c>
      <c r="U2628" s="0" t="n">
        <f aca="false">O2628+S2628</f>
        <v>30</v>
      </c>
      <c r="V2628" s="0" t="n">
        <f aca="false">T2628-U2628</f>
        <v>-6</v>
      </c>
      <c r="W2628" s="0" t="n">
        <f aca="false">T2628+U2628</f>
        <v>54</v>
      </c>
    </row>
    <row r="2629" customFormat="false" ht="15" hidden="false" customHeight="false" outlineLevel="0" collapsed="false">
      <c r="A2629" s="0" t="n">
        <v>2626</v>
      </c>
      <c r="B2629" s="0" t="n">
        <f aca="true">NORMINV(RAND(),1,Coefficients!$B$22)</f>
        <v>0.895467624552373</v>
      </c>
      <c r="C2629" s="0" t="n">
        <f aca="true">MEDIAN(8,16,ROUND(NORMINV(RAND(),Coefficients!$B$20,Coefficients!$B$21),0))</f>
        <v>11</v>
      </c>
      <c r="D2629" s="0" t="n">
        <f aca="true">CRITBINOM($C2629,MIN(0.75,Matchup!$B$39*$B2629),RAND())</f>
        <v>3</v>
      </c>
      <c r="E2629" s="0" t="n">
        <f aca="true">CRITBINOM(D2629,Coefficients!$B$30,RAND())</f>
        <v>0</v>
      </c>
      <c r="F2629" s="0" t="n">
        <f aca="true">CRITBINOM(E2629,Coefficients!$B$31,RAND())</f>
        <v>0</v>
      </c>
      <c r="G2629" s="0" t="n">
        <f aca="true">CRITBINOM(MAX(0,D2629-E2629),1-Coefficients!$B$32,RAND())</f>
        <v>0</v>
      </c>
      <c r="H2629" s="0" t="n">
        <f aca="true">CRITBINOM(MAX(0,$C2629-D2629),MIN(0.6,Matchup!$B$40*SQRT($B2629)/(1-MIN(0.75,Matchup!$B$39*$B2629))),RAND())</f>
        <v>2</v>
      </c>
      <c r="I2629" s="0" t="n">
        <f aca="false">6*D2629+(D2629-E2629-G2629)+2*F2629+3*H2629</f>
        <v>27</v>
      </c>
      <c r="J2629" s="0" t="n">
        <f aca="true">CRITBINOM($C2629,MIN(0.75,Matchup!$C$39*$B2629),RAND())</f>
        <v>2</v>
      </c>
      <c r="K2629" s="0" t="n">
        <f aca="true">CRITBINOM(J2629,Coefficients!$B$30,RAND())</f>
        <v>0</v>
      </c>
      <c r="L2629" s="0" t="n">
        <f aca="true">CRITBINOM(K2629,Coefficients!$B$31,RAND())</f>
        <v>0</v>
      </c>
      <c r="M2629" s="0" t="n">
        <f aca="true">CRITBINOM(MAX(0,J2629-K2629),1-Coefficients!$B$32,RAND())</f>
        <v>1</v>
      </c>
      <c r="N2629" s="0" t="n">
        <f aca="true">CRITBINOM(MAX(0,$C2629-J2629),MIN(0.6,Matchup!$C$40*SQRT($B2629)/(1-MIN(0.75,Matchup!$C$39*$B2629))),RAND())</f>
        <v>2</v>
      </c>
      <c r="O2629" s="0" t="n">
        <f aca="false">6*J2629+(J2629-K2629-M2629)+2*L2629+3*N2629</f>
        <v>19</v>
      </c>
      <c r="P2629" s="0" t="n">
        <f aca="true">RAND()</f>
        <v>0.846530865917688</v>
      </c>
      <c r="Q2629" s="0" t="n">
        <f aca="true">RAND()</f>
        <v>0.123958502933852</v>
      </c>
      <c r="R2629" s="0" t="n">
        <f aca="false">IF($I2629&lt;&gt;$O2629,0,IF(P2629&lt;Matchup!$B$39,7,IF(P2629&lt;Matchup!$B$39+Matchup!$B$40,3,0)))</f>
        <v>0</v>
      </c>
      <c r="S2629" s="0" t="n">
        <f aca="false">IF($I2629&lt;&gt;$O2629,0,IF(Q2629&lt;Matchup!$C$39,7,IF(Q2629&lt;Matchup!$C$39+Matchup!$C$40,3,0)))</f>
        <v>0</v>
      </c>
      <c r="T2629" s="0" t="n">
        <f aca="false">I2629+R2629</f>
        <v>27</v>
      </c>
      <c r="U2629" s="0" t="n">
        <f aca="false">O2629+S2629</f>
        <v>19</v>
      </c>
      <c r="V2629" s="0" t="n">
        <f aca="false">T2629-U2629</f>
        <v>8</v>
      </c>
      <c r="W2629" s="0" t="n">
        <f aca="false">T2629+U2629</f>
        <v>46</v>
      </c>
    </row>
    <row r="2630" customFormat="false" ht="15" hidden="false" customHeight="false" outlineLevel="0" collapsed="false">
      <c r="A2630" s="0" t="n">
        <v>2627</v>
      </c>
      <c r="B2630" s="0" t="n">
        <f aca="true">NORMINV(RAND(),1,Coefficients!$B$22)</f>
        <v>0.964472951444388</v>
      </c>
      <c r="C2630" s="0" t="n">
        <f aca="true">MEDIAN(8,16,ROUND(NORMINV(RAND(),Coefficients!$B$20,Coefficients!$B$21),0))</f>
        <v>11</v>
      </c>
      <c r="D2630" s="0" t="n">
        <f aca="true">CRITBINOM($C2630,MIN(0.75,Matchup!$B$39*$B2630),RAND())</f>
        <v>3</v>
      </c>
      <c r="E2630" s="0" t="n">
        <f aca="true">CRITBINOM(D2630,Coefficients!$B$30,RAND())</f>
        <v>1</v>
      </c>
      <c r="F2630" s="0" t="n">
        <f aca="true">CRITBINOM(E2630,Coefficients!$B$31,RAND())</f>
        <v>0</v>
      </c>
      <c r="G2630" s="0" t="n">
        <f aca="true">CRITBINOM(MAX(0,D2630-E2630),1-Coefficients!$B$32,RAND())</f>
        <v>0</v>
      </c>
      <c r="H2630" s="0" t="n">
        <f aca="true">CRITBINOM(MAX(0,$C2630-D2630),MIN(0.6,Matchup!$B$40*SQRT($B2630)/(1-MIN(0.75,Matchup!$B$39*$B2630))),RAND())</f>
        <v>0</v>
      </c>
      <c r="I2630" s="0" t="n">
        <f aca="false">6*D2630+(D2630-E2630-G2630)+2*F2630+3*H2630</f>
        <v>20</v>
      </c>
      <c r="J2630" s="0" t="n">
        <f aca="true">CRITBINOM($C2630,MIN(0.75,Matchup!$C$39*$B2630),RAND())</f>
        <v>3</v>
      </c>
      <c r="K2630" s="0" t="n">
        <f aca="true">CRITBINOM(J2630,Coefficients!$B$30,RAND())</f>
        <v>0</v>
      </c>
      <c r="L2630" s="0" t="n">
        <f aca="true">CRITBINOM(K2630,Coefficients!$B$31,RAND())</f>
        <v>0</v>
      </c>
      <c r="M2630" s="0" t="n">
        <f aca="true">CRITBINOM(MAX(0,J2630-K2630),1-Coefficients!$B$32,RAND())</f>
        <v>0</v>
      </c>
      <c r="N2630" s="0" t="n">
        <f aca="true">CRITBINOM(MAX(0,$C2630-J2630),MIN(0.6,Matchup!$C$40*SQRT($B2630)/(1-MIN(0.75,Matchup!$C$39*$B2630))),RAND())</f>
        <v>1</v>
      </c>
      <c r="O2630" s="0" t="n">
        <f aca="false">6*J2630+(J2630-K2630-M2630)+2*L2630+3*N2630</f>
        <v>24</v>
      </c>
      <c r="P2630" s="0" t="n">
        <f aca="true">RAND()</f>
        <v>0.184480376332963</v>
      </c>
      <c r="Q2630" s="0" t="n">
        <f aca="true">RAND()</f>
        <v>0.392739844161363</v>
      </c>
      <c r="R2630" s="0" t="n">
        <f aca="false">IF($I2630&lt;&gt;$O2630,0,IF(P2630&lt;Matchup!$B$39,7,IF(P2630&lt;Matchup!$B$39+Matchup!$B$40,3,0)))</f>
        <v>0</v>
      </c>
      <c r="S2630" s="0" t="n">
        <f aca="false">IF($I2630&lt;&gt;$O2630,0,IF(Q2630&lt;Matchup!$C$39,7,IF(Q2630&lt;Matchup!$C$39+Matchup!$C$40,3,0)))</f>
        <v>0</v>
      </c>
      <c r="T2630" s="0" t="n">
        <f aca="false">I2630+R2630</f>
        <v>20</v>
      </c>
      <c r="U2630" s="0" t="n">
        <f aca="false">O2630+S2630</f>
        <v>24</v>
      </c>
      <c r="V2630" s="0" t="n">
        <f aca="false">T2630-U2630</f>
        <v>-4</v>
      </c>
      <c r="W2630" s="0" t="n">
        <f aca="false">T2630+U2630</f>
        <v>44</v>
      </c>
    </row>
    <row r="2631" customFormat="false" ht="15" hidden="false" customHeight="false" outlineLevel="0" collapsed="false">
      <c r="A2631" s="0" t="n">
        <v>2628</v>
      </c>
      <c r="B2631" s="0" t="n">
        <f aca="true">NORMINV(RAND(),1,Coefficients!$B$22)</f>
        <v>0.896551073888573</v>
      </c>
      <c r="C2631" s="0" t="n">
        <f aca="true">MEDIAN(8,16,ROUND(NORMINV(RAND(),Coefficients!$B$20,Coefficients!$B$21),0))</f>
        <v>12</v>
      </c>
      <c r="D2631" s="0" t="n">
        <f aca="true">CRITBINOM($C2631,MIN(0.75,Matchup!$B$39*$B2631),RAND())</f>
        <v>3</v>
      </c>
      <c r="E2631" s="0" t="n">
        <f aca="true">CRITBINOM(D2631,Coefficients!$B$30,RAND())</f>
        <v>0</v>
      </c>
      <c r="F2631" s="0" t="n">
        <f aca="true">CRITBINOM(E2631,Coefficients!$B$31,RAND())</f>
        <v>0</v>
      </c>
      <c r="G2631" s="0" t="n">
        <f aca="true">CRITBINOM(MAX(0,D2631-E2631),1-Coefficients!$B$32,RAND())</f>
        <v>0</v>
      </c>
      <c r="H2631" s="0" t="n">
        <f aca="true">CRITBINOM(MAX(0,$C2631-D2631),MIN(0.6,Matchup!$B$40*SQRT($B2631)/(1-MIN(0.75,Matchup!$B$39*$B2631))),RAND())</f>
        <v>2</v>
      </c>
      <c r="I2631" s="0" t="n">
        <f aca="false">6*D2631+(D2631-E2631-G2631)+2*F2631+3*H2631</f>
        <v>27</v>
      </c>
      <c r="J2631" s="0" t="n">
        <f aca="true">CRITBINOM($C2631,MIN(0.75,Matchup!$C$39*$B2631),RAND())</f>
        <v>2</v>
      </c>
      <c r="K2631" s="0" t="n">
        <f aca="true">CRITBINOM(J2631,Coefficients!$B$30,RAND())</f>
        <v>1</v>
      </c>
      <c r="L2631" s="0" t="n">
        <f aca="true">CRITBINOM(K2631,Coefficients!$B$31,RAND())</f>
        <v>0</v>
      </c>
      <c r="M2631" s="0" t="n">
        <f aca="true">CRITBINOM(MAX(0,J2631-K2631),1-Coefficients!$B$32,RAND())</f>
        <v>0</v>
      </c>
      <c r="N2631" s="0" t="n">
        <f aca="true">CRITBINOM(MAX(0,$C2631-J2631),MIN(0.6,Matchup!$C$40*SQRT($B2631)/(1-MIN(0.75,Matchup!$C$39*$B2631))),RAND())</f>
        <v>2</v>
      </c>
      <c r="O2631" s="0" t="n">
        <f aca="false">6*J2631+(J2631-K2631-M2631)+2*L2631+3*N2631</f>
        <v>19</v>
      </c>
      <c r="P2631" s="0" t="n">
        <f aca="true">RAND()</f>
        <v>0.780784386555371</v>
      </c>
      <c r="Q2631" s="0" t="n">
        <f aca="true">RAND()</f>
        <v>0.407783334120321</v>
      </c>
      <c r="R2631" s="0" t="n">
        <f aca="false">IF($I2631&lt;&gt;$O2631,0,IF(P2631&lt;Matchup!$B$39,7,IF(P2631&lt;Matchup!$B$39+Matchup!$B$40,3,0)))</f>
        <v>0</v>
      </c>
      <c r="S2631" s="0" t="n">
        <f aca="false">IF($I2631&lt;&gt;$O2631,0,IF(Q2631&lt;Matchup!$C$39,7,IF(Q2631&lt;Matchup!$C$39+Matchup!$C$40,3,0)))</f>
        <v>0</v>
      </c>
      <c r="T2631" s="0" t="n">
        <f aca="false">I2631+R2631</f>
        <v>27</v>
      </c>
      <c r="U2631" s="0" t="n">
        <f aca="false">O2631+S2631</f>
        <v>19</v>
      </c>
      <c r="V2631" s="0" t="n">
        <f aca="false">T2631-U2631</f>
        <v>8</v>
      </c>
      <c r="W2631" s="0" t="n">
        <f aca="false">T2631+U2631</f>
        <v>46</v>
      </c>
    </row>
    <row r="2632" customFormat="false" ht="15" hidden="false" customHeight="false" outlineLevel="0" collapsed="false">
      <c r="A2632" s="0" t="n">
        <v>2629</v>
      </c>
      <c r="B2632" s="0" t="n">
        <f aca="true">NORMINV(RAND(),1,Coefficients!$B$22)</f>
        <v>1.06531499362666</v>
      </c>
      <c r="C2632" s="0" t="n">
        <f aca="true">MEDIAN(8,16,ROUND(NORMINV(RAND(),Coefficients!$B$20,Coefficients!$B$21),0))</f>
        <v>11</v>
      </c>
      <c r="D2632" s="0" t="n">
        <f aca="true">CRITBINOM($C2632,MIN(0.75,Matchup!$B$39*$B2632),RAND())</f>
        <v>1</v>
      </c>
      <c r="E2632" s="0" t="n">
        <f aca="true">CRITBINOM(D2632,Coefficients!$B$30,RAND())</f>
        <v>0</v>
      </c>
      <c r="F2632" s="0" t="n">
        <f aca="true">CRITBINOM(E2632,Coefficients!$B$31,RAND())</f>
        <v>0</v>
      </c>
      <c r="G2632" s="0" t="n">
        <f aca="true">CRITBINOM(MAX(0,D2632-E2632),1-Coefficients!$B$32,RAND())</f>
        <v>0</v>
      </c>
      <c r="H2632" s="0" t="n">
        <f aca="true">CRITBINOM(MAX(0,$C2632-D2632),MIN(0.6,Matchup!$B$40*SQRT($B2632)/(1-MIN(0.75,Matchup!$B$39*$B2632))),RAND())</f>
        <v>2</v>
      </c>
      <c r="I2632" s="0" t="n">
        <f aca="false">6*D2632+(D2632-E2632-G2632)+2*F2632+3*H2632</f>
        <v>13</v>
      </c>
      <c r="J2632" s="0" t="n">
        <f aca="true">CRITBINOM($C2632,MIN(0.75,Matchup!$C$39*$B2632),RAND())</f>
        <v>2</v>
      </c>
      <c r="K2632" s="0" t="n">
        <f aca="true">CRITBINOM(J2632,Coefficients!$B$30,RAND())</f>
        <v>0</v>
      </c>
      <c r="L2632" s="0" t="n">
        <f aca="true">CRITBINOM(K2632,Coefficients!$B$31,RAND())</f>
        <v>0</v>
      </c>
      <c r="M2632" s="0" t="n">
        <f aca="true">CRITBINOM(MAX(0,J2632-K2632),1-Coefficients!$B$32,RAND())</f>
        <v>0</v>
      </c>
      <c r="N2632" s="0" t="n">
        <f aca="true">CRITBINOM(MAX(0,$C2632-J2632),MIN(0.6,Matchup!$C$40*SQRT($B2632)/(1-MIN(0.75,Matchup!$C$39*$B2632))),RAND())</f>
        <v>1</v>
      </c>
      <c r="O2632" s="0" t="n">
        <f aca="false">6*J2632+(J2632-K2632-M2632)+2*L2632+3*N2632</f>
        <v>17</v>
      </c>
      <c r="P2632" s="0" t="n">
        <f aca="true">RAND()</f>
        <v>0.607904946528946</v>
      </c>
      <c r="Q2632" s="0" t="n">
        <f aca="true">RAND()</f>
        <v>0.535497022110573</v>
      </c>
      <c r="R2632" s="0" t="n">
        <f aca="false">IF($I2632&lt;&gt;$O2632,0,IF(P2632&lt;Matchup!$B$39,7,IF(P2632&lt;Matchup!$B$39+Matchup!$B$40,3,0)))</f>
        <v>0</v>
      </c>
      <c r="S2632" s="0" t="n">
        <f aca="false">IF($I2632&lt;&gt;$O2632,0,IF(Q2632&lt;Matchup!$C$39,7,IF(Q2632&lt;Matchup!$C$39+Matchup!$C$40,3,0)))</f>
        <v>0</v>
      </c>
      <c r="T2632" s="0" t="n">
        <f aca="false">I2632+R2632</f>
        <v>13</v>
      </c>
      <c r="U2632" s="0" t="n">
        <f aca="false">O2632+S2632</f>
        <v>17</v>
      </c>
      <c r="V2632" s="0" t="n">
        <f aca="false">T2632-U2632</f>
        <v>-4</v>
      </c>
      <c r="W2632" s="0" t="n">
        <f aca="false">T2632+U2632</f>
        <v>30</v>
      </c>
    </row>
    <row r="2633" customFormat="false" ht="15" hidden="false" customHeight="false" outlineLevel="0" collapsed="false">
      <c r="A2633" s="0" t="n">
        <v>2630</v>
      </c>
      <c r="B2633" s="0" t="n">
        <f aca="true">NORMINV(RAND(),1,Coefficients!$B$22)</f>
        <v>1.02983843506432</v>
      </c>
      <c r="C2633" s="0" t="n">
        <f aca="true">MEDIAN(8,16,ROUND(NORMINV(RAND(),Coefficients!$B$20,Coefficients!$B$21),0))</f>
        <v>10</v>
      </c>
      <c r="D2633" s="0" t="n">
        <f aca="true">CRITBINOM($C2633,MIN(0.75,Matchup!$B$39*$B2633),RAND())</f>
        <v>5</v>
      </c>
      <c r="E2633" s="0" t="n">
        <f aca="true">CRITBINOM(D2633,Coefficients!$B$30,RAND())</f>
        <v>0</v>
      </c>
      <c r="F2633" s="0" t="n">
        <f aca="true">CRITBINOM(E2633,Coefficients!$B$31,RAND())</f>
        <v>0</v>
      </c>
      <c r="G2633" s="0" t="n">
        <f aca="true">CRITBINOM(MAX(0,D2633-E2633),1-Coefficients!$B$32,RAND())</f>
        <v>0</v>
      </c>
      <c r="H2633" s="0" t="n">
        <f aca="true">CRITBINOM(MAX(0,$C2633-D2633),MIN(0.6,Matchup!$B$40*SQRT($B2633)/(1-MIN(0.75,Matchup!$B$39*$B2633))),RAND())</f>
        <v>2</v>
      </c>
      <c r="I2633" s="0" t="n">
        <f aca="false">6*D2633+(D2633-E2633-G2633)+2*F2633+3*H2633</f>
        <v>41</v>
      </c>
      <c r="J2633" s="0" t="n">
        <f aca="true">CRITBINOM($C2633,MIN(0.75,Matchup!$C$39*$B2633),RAND())</f>
        <v>2</v>
      </c>
      <c r="K2633" s="0" t="n">
        <f aca="true">CRITBINOM(J2633,Coefficients!$B$30,RAND())</f>
        <v>0</v>
      </c>
      <c r="L2633" s="0" t="n">
        <f aca="true">CRITBINOM(K2633,Coefficients!$B$31,RAND())</f>
        <v>0</v>
      </c>
      <c r="M2633" s="0" t="n">
        <f aca="true">CRITBINOM(MAX(0,J2633-K2633),1-Coefficients!$B$32,RAND())</f>
        <v>1</v>
      </c>
      <c r="N2633" s="0" t="n">
        <f aca="true">CRITBINOM(MAX(0,$C2633-J2633),MIN(0.6,Matchup!$C$40*SQRT($B2633)/(1-MIN(0.75,Matchup!$C$39*$B2633))),RAND())</f>
        <v>0</v>
      </c>
      <c r="O2633" s="0" t="n">
        <f aca="false">6*J2633+(J2633-K2633-M2633)+2*L2633+3*N2633</f>
        <v>13</v>
      </c>
      <c r="P2633" s="0" t="n">
        <f aca="true">RAND()</f>
        <v>0.743124660566138</v>
      </c>
      <c r="Q2633" s="0" t="n">
        <f aca="true">RAND()</f>
        <v>0.410315806581513</v>
      </c>
      <c r="R2633" s="0" t="n">
        <f aca="false">IF($I2633&lt;&gt;$O2633,0,IF(P2633&lt;Matchup!$B$39,7,IF(P2633&lt;Matchup!$B$39+Matchup!$B$40,3,0)))</f>
        <v>0</v>
      </c>
      <c r="S2633" s="0" t="n">
        <f aca="false">IF($I2633&lt;&gt;$O2633,0,IF(Q2633&lt;Matchup!$C$39,7,IF(Q2633&lt;Matchup!$C$39+Matchup!$C$40,3,0)))</f>
        <v>0</v>
      </c>
      <c r="T2633" s="0" t="n">
        <f aca="false">I2633+R2633</f>
        <v>41</v>
      </c>
      <c r="U2633" s="0" t="n">
        <f aca="false">O2633+S2633</f>
        <v>13</v>
      </c>
      <c r="V2633" s="0" t="n">
        <f aca="false">T2633-U2633</f>
        <v>28</v>
      </c>
      <c r="W2633" s="0" t="n">
        <f aca="false">T2633+U2633</f>
        <v>54</v>
      </c>
    </row>
    <row r="2634" customFormat="false" ht="15" hidden="false" customHeight="false" outlineLevel="0" collapsed="false">
      <c r="A2634" s="0" t="n">
        <v>2631</v>
      </c>
      <c r="B2634" s="0" t="n">
        <f aca="true">NORMINV(RAND(),1,Coefficients!$B$22)</f>
        <v>1.02939427852011</v>
      </c>
      <c r="C2634" s="0" t="n">
        <f aca="true">MEDIAN(8,16,ROUND(NORMINV(RAND(),Coefficients!$B$20,Coefficients!$B$21),0))</f>
        <v>13</v>
      </c>
      <c r="D2634" s="0" t="n">
        <f aca="true">CRITBINOM($C2634,MIN(0.75,Matchup!$B$39*$B2634),RAND())</f>
        <v>4</v>
      </c>
      <c r="E2634" s="0" t="n">
        <f aca="true">CRITBINOM(D2634,Coefficients!$B$30,RAND())</f>
        <v>0</v>
      </c>
      <c r="F2634" s="0" t="n">
        <f aca="true">CRITBINOM(E2634,Coefficients!$B$31,RAND())</f>
        <v>0</v>
      </c>
      <c r="G2634" s="0" t="n">
        <f aca="true">CRITBINOM(MAX(0,D2634-E2634),1-Coefficients!$B$32,RAND())</f>
        <v>0</v>
      </c>
      <c r="H2634" s="0" t="n">
        <f aca="true">CRITBINOM(MAX(0,$C2634-D2634),MIN(0.6,Matchup!$B$40*SQRT($B2634)/(1-MIN(0.75,Matchup!$B$39*$B2634))),RAND())</f>
        <v>1</v>
      </c>
      <c r="I2634" s="0" t="n">
        <f aca="false">6*D2634+(D2634-E2634-G2634)+2*F2634+3*H2634</f>
        <v>31</v>
      </c>
      <c r="J2634" s="0" t="n">
        <f aca="true">CRITBINOM($C2634,MIN(0.75,Matchup!$C$39*$B2634),RAND())</f>
        <v>3</v>
      </c>
      <c r="K2634" s="0" t="n">
        <f aca="true">CRITBINOM(J2634,Coefficients!$B$30,RAND())</f>
        <v>0</v>
      </c>
      <c r="L2634" s="0" t="n">
        <f aca="true">CRITBINOM(K2634,Coefficients!$B$31,RAND())</f>
        <v>0</v>
      </c>
      <c r="M2634" s="0" t="n">
        <f aca="true">CRITBINOM(MAX(0,J2634-K2634),1-Coefficients!$B$32,RAND())</f>
        <v>0</v>
      </c>
      <c r="N2634" s="0" t="n">
        <f aca="true">CRITBINOM(MAX(0,$C2634-J2634),MIN(0.6,Matchup!$C$40*SQRT($B2634)/(1-MIN(0.75,Matchup!$C$39*$B2634))),RAND())</f>
        <v>1</v>
      </c>
      <c r="O2634" s="0" t="n">
        <f aca="false">6*J2634+(J2634-K2634-M2634)+2*L2634+3*N2634</f>
        <v>24</v>
      </c>
      <c r="P2634" s="0" t="n">
        <f aca="true">RAND()</f>
        <v>0.56060631870744</v>
      </c>
      <c r="Q2634" s="0" t="n">
        <f aca="true">RAND()</f>
        <v>0.969667622090004</v>
      </c>
      <c r="R2634" s="0" t="n">
        <f aca="false">IF($I2634&lt;&gt;$O2634,0,IF(P2634&lt;Matchup!$B$39,7,IF(P2634&lt;Matchup!$B$39+Matchup!$B$40,3,0)))</f>
        <v>0</v>
      </c>
      <c r="S2634" s="0" t="n">
        <f aca="false">IF($I2634&lt;&gt;$O2634,0,IF(Q2634&lt;Matchup!$C$39,7,IF(Q2634&lt;Matchup!$C$39+Matchup!$C$40,3,0)))</f>
        <v>0</v>
      </c>
      <c r="T2634" s="0" t="n">
        <f aca="false">I2634+R2634</f>
        <v>31</v>
      </c>
      <c r="U2634" s="0" t="n">
        <f aca="false">O2634+S2634</f>
        <v>24</v>
      </c>
      <c r="V2634" s="0" t="n">
        <f aca="false">T2634-U2634</f>
        <v>7</v>
      </c>
      <c r="W2634" s="0" t="n">
        <f aca="false">T2634+U2634</f>
        <v>55</v>
      </c>
    </row>
    <row r="2635" customFormat="false" ht="15" hidden="false" customHeight="false" outlineLevel="0" collapsed="false">
      <c r="A2635" s="0" t="n">
        <v>2632</v>
      </c>
      <c r="B2635" s="0" t="n">
        <f aca="true">NORMINV(RAND(),1,Coefficients!$B$22)</f>
        <v>1.05417028947058</v>
      </c>
      <c r="C2635" s="0" t="n">
        <f aca="true">MEDIAN(8,16,ROUND(NORMINV(RAND(),Coefficients!$B$20,Coefficients!$B$21),0))</f>
        <v>11</v>
      </c>
      <c r="D2635" s="0" t="n">
        <f aca="true">CRITBINOM($C2635,MIN(0.75,Matchup!$B$39*$B2635),RAND())</f>
        <v>2</v>
      </c>
      <c r="E2635" s="0" t="n">
        <f aca="true">CRITBINOM(D2635,Coefficients!$B$30,RAND())</f>
        <v>0</v>
      </c>
      <c r="F2635" s="0" t="n">
        <f aca="true">CRITBINOM(E2635,Coefficients!$B$31,RAND())</f>
        <v>0</v>
      </c>
      <c r="G2635" s="0" t="n">
        <f aca="true">CRITBINOM(MAX(0,D2635-E2635),1-Coefficients!$B$32,RAND())</f>
        <v>0</v>
      </c>
      <c r="H2635" s="0" t="n">
        <f aca="true">CRITBINOM(MAX(0,$C2635-D2635),MIN(0.6,Matchup!$B$40*SQRT($B2635)/(1-MIN(0.75,Matchup!$B$39*$B2635))),RAND())</f>
        <v>4</v>
      </c>
      <c r="I2635" s="0" t="n">
        <f aca="false">6*D2635+(D2635-E2635-G2635)+2*F2635+3*H2635</f>
        <v>26</v>
      </c>
      <c r="J2635" s="0" t="n">
        <f aca="true">CRITBINOM($C2635,MIN(0.75,Matchup!$C$39*$B2635),RAND())</f>
        <v>2</v>
      </c>
      <c r="K2635" s="0" t="n">
        <f aca="true">CRITBINOM(J2635,Coefficients!$B$30,RAND())</f>
        <v>1</v>
      </c>
      <c r="L2635" s="0" t="n">
        <f aca="true">CRITBINOM(K2635,Coefficients!$B$31,RAND())</f>
        <v>0</v>
      </c>
      <c r="M2635" s="0" t="n">
        <f aca="true">CRITBINOM(MAX(0,J2635-K2635),1-Coefficients!$B$32,RAND())</f>
        <v>0</v>
      </c>
      <c r="N2635" s="0" t="n">
        <f aca="true">CRITBINOM(MAX(0,$C2635-J2635),MIN(0.6,Matchup!$C$40*SQRT($B2635)/(1-MIN(0.75,Matchup!$C$39*$B2635))),RAND())</f>
        <v>1</v>
      </c>
      <c r="O2635" s="0" t="n">
        <f aca="false">6*J2635+(J2635-K2635-M2635)+2*L2635+3*N2635</f>
        <v>16</v>
      </c>
      <c r="P2635" s="0" t="n">
        <f aca="true">RAND()</f>
        <v>0.909297330873451</v>
      </c>
      <c r="Q2635" s="0" t="n">
        <f aca="true">RAND()</f>
        <v>0.111555303661045</v>
      </c>
      <c r="R2635" s="0" t="n">
        <f aca="false">IF($I2635&lt;&gt;$O2635,0,IF(P2635&lt;Matchup!$B$39,7,IF(P2635&lt;Matchup!$B$39+Matchup!$B$40,3,0)))</f>
        <v>0</v>
      </c>
      <c r="S2635" s="0" t="n">
        <f aca="false">IF($I2635&lt;&gt;$O2635,0,IF(Q2635&lt;Matchup!$C$39,7,IF(Q2635&lt;Matchup!$C$39+Matchup!$C$40,3,0)))</f>
        <v>0</v>
      </c>
      <c r="T2635" s="0" t="n">
        <f aca="false">I2635+R2635</f>
        <v>26</v>
      </c>
      <c r="U2635" s="0" t="n">
        <f aca="false">O2635+S2635</f>
        <v>16</v>
      </c>
      <c r="V2635" s="0" t="n">
        <f aca="false">T2635-U2635</f>
        <v>10</v>
      </c>
      <c r="W2635" s="0" t="n">
        <f aca="false">T2635+U2635</f>
        <v>42</v>
      </c>
    </row>
    <row r="2636" customFormat="false" ht="15" hidden="false" customHeight="false" outlineLevel="0" collapsed="false">
      <c r="A2636" s="0" t="n">
        <v>2633</v>
      </c>
      <c r="B2636" s="0" t="n">
        <f aca="true">NORMINV(RAND(),1,Coefficients!$B$22)</f>
        <v>0.993822316201361</v>
      </c>
      <c r="C2636" s="0" t="n">
        <f aca="true">MEDIAN(8,16,ROUND(NORMINV(RAND(),Coefficients!$B$20,Coefficients!$B$21),0))</f>
        <v>11</v>
      </c>
      <c r="D2636" s="0" t="n">
        <f aca="true">CRITBINOM($C2636,MIN(0.75,Matchup!$B$39*$B2636),RAND())</f>
        <v>2</v>
      </c>
      <c r="E2636" s="0" t="n">
        <f aca="true">CRITBINOM(D2636,Coefficients!$B$30,RAND())</f>
        <v>0</v>
      </c>
      <c r="F2636" s="0" t="n">
        <f aca="true">CRITBINOM(E2636,Coefficients!$B$31,RAND())</f>
        <v>0</v>
      </c>
      <c r="G2636" s="0" t="n">
        <f aca="true">CRITBINOM(MAX(0,D2636-E2636),1-Coefficients!$B$32,RAND())</f>
        <v>0</v>
      </c>
      <c r="H2636" s="0" t="n">
        <f aca="true">CRITBINOM(MAX(0,$C2636-D2636),MIN(0.6,Matchup!$B$40*SQRT($B2636)/(1-MIN(0.75,Matchup!$B$39*$B2636))),RAND())</f>
        <v>1</v>
      </c>
      <c r="I2636" s="0" t="n">
        <f aca="false">6*D2636+(D2636-E2636-G2636)+2*F2636+3*H2636</f>
        <v>17</v>
      </c>
      <c r="J2636" s="0" t="n">
        <f aca="true">CRITBINOM($C2636,MIN(0.75,Matchup!$C$39*$B2636),RAND())</f>
        <v>0</v>
      </c>
      <c r="K2636" s="0" t="n">
        <f aca="true">CRITBINOM(J2636,Coefficients!$B$30,RAND())</f>
        <v>0</v>
      </c>
      <c r="L2636" s="0" t="n">
        <f aca="true">CRITBINOM(K2636,Coefficients!$B$31,RAND())</f>
        <v>0</v>
      </c>
      <c r="M2636" s="0" t="n">
        <f aca="true">CRITBINOM(MAX(0,J2636-K2636),1-Coefficients!$B$32,RAND())</f>
        <v>0</v>
      </c>
      <c r="N2636" s="0" t="n">
        <f aca="true">CRITBINOM(MAX(0,$C2636-J2636),MIN(0.6,Matchup!$C$40*SQRT($B2636)/(1-MIN(0.75,Matchup!$C$39*$B2636))),RAND())</f>
        <v>1</v>
      </c>
      <c r="O2636" s="0" t="n">
        <f aca="false">6*J2636+(J2636-K2636-M2636)+2*L2636+3*N2636</f>
        <v>3</v>
      </c>
      <c r="P2636" s="0" t="n">
        <f aca="true">RAND()</f>
        <v>0.742692413486882</v>
      </c>
      <c r="Q2636" s="0" t="n">
        <f aca="true">RAND()</f>
        <v>0.119597442969593</v>
      </c>
      <c r="R2636" s="0" t="n">
        <f aca="false">IF($I2636&lt;&gt;$O2636,0,IF(P2636&lt;Matchup!$B$39,7,IF(P2636&lt;Matchup!$B$39+Matchup!$B$40,3,0)))</f>
        <v>0</v>
      </c>
      <c r="S2636" s="0" t="n">
        <f aca="false">IF($I2636&lt;&gt;$O2636,0,IF(Q2636&lt;Matchup!$C$39,7,IF(Q2636&lt;Matchup!$C$39+Matchup!$C$40,3,0)))</f>
        <v>0</v>
      </c>
      <c r="T2636" s="0" t="n">
        <f aca="false">I2636+R2636</f>
        <v>17</v>
      </c>
      <c r="U2636" s="0" t="n">
        <f aca="false">O2636+S2636</f>
        <v>3</v>
      </c>
      <c r="V2636" s="0" t="n">
        <f aca="false">T2636-U2636</f>
        <v>14</v>
      </c>
      <c r="W2636" s="0" t="n">
        <f aca="false">T2636+U2636</f>
        <v>20</v>
      </c>
    </row>
    <row r="2637" customFormat="false" ht="15" hidden="false" customHeight="false" outlineLevel="0" collapsed="false">
      <c r="A2637" s="0" t="n">
        <v>2634</v>
      </c>
      <c r="B2637" s="0" t="n">
        <f aca="true">NORMINV(RAND(),1,Coefficients!$B$22)</f>
        <v>0.959341680133725</v>
      </c>
      <c r="C2637" s="0" t="n">
        <f aca="true">MEDIAN(8,16,ROUND(NORMINV(RAND(),Coefficients!$B$20,Coefficients!$B$21),0))</f>
        <v>11</v>
      </c>
      <c r="D2637" s="0" t="n">
        <f aca="true">CRITBINOM($C2637,MIN(0.75,Matchup!$B$39*$B2637),RAND())</f>
        <v>3</v>
      </c>
      <c r="E2637" s="0" t="n">
        <f aca="true">CRITBINOM(D2637,Coefficients!$B$30,RAND())</f>
        <v>0</v>
      </c>
      <c r="F2637" s="0" t="n">
        <f aca="true">CRITBINOM(E2637,Coefficients!$B$31,RAND())</f>
        <v>0</v>
      </c>
      <c r="G2637" s="0" t="n">
        <f aca="true">CRITBINOM(MAX(0,D2637-E2637),1-Coefficients!$B$32,RAND())</f>
        <v>1</v>
      </c>
      <c r="H2637" s="0" t="n">
        <f aca="true">CRITBINOM(MAX(0,$C2637-D2637),MIN(0.6,Matchup!$B$40*SQRT($B2637)/(1-MIN(0.75,Matchup!$B$39*$B2637))),RAND())</f>
        <v>2</v>
      </c>
      <c r="I2637" s="0" t="n">
        <f aca="false">6*D2637+(D2637-E2637-G2637)+2*F2637+3*H2637</f>
        <v>26</v>
      </c>
      <c r="J2637" s="0" t="n">
        <f aca="true">CRITBINOM($C2637,MIN(0.75,Matchup!$C$39*$B2637),RAND())</f>
        <v>4</v>
      </c>
      <c r="K2637" s="0" t="n">
        <f aca="true">CRITBINOM(J2637,Coefficients!$B$30,RAND())</f>
        <v>1</v>
      </c>
      <c r="L2637" s="0" t="n">
        <f aca="true">CRITBINOM(K2637,Coefficients!$B$31,RAND())</f>
        <v>1</v>
      </c>
      <c r="M2637" s="0" t="n">
        <f aca="true">CRITBINOM(MAX(0,J2637-K2637),1-Coefficients!$B$32,RAND())</f>
        <v>0</v>
      </c>
      <c r="N2637" s="0" t="n">
        <f aca="true">CRITBINOM(MAX(0,$C2637-J2637),MIN(0.6,Matchup!$C$40*SQRT($B2637)/(1-MIN(0.75,Matchup!$C$39*$B2637))),RAND())</f>
        <v>0</v>
      </c>
      <c r="O2637" s="0" t="n">
        <f aca="false">6*J2637+(J2637-K2637-M2637)+2*L2637+3*N2637</f>
        <v>29</v>
      </c>
      <c r="P2637" s="0" t="n">
        <f aca="true">RAND()</f>
        <v>0.474251162447653</v>
      </c>
      <c r="Q2637" s="0" t="n">
        <f aca="true">RAND()</f>
        <v>0.799258519091321</v>
      </c>
      <c r="R2637" s="0" t="n">
        <f aca="false">IF($I2637&lt;&gt;$O2637,0,IF(P2637&lt;Matchup!$B$39,7,IF(P2637&lt;Matchup!$B$39+Matchup!$B$40,3,0)))</f>
        <v>0</v>
      </c>
      <c r="S2637" s="0" t="n">
        <f aca="false">IF($I2637&lt;&gt;$O2637,0,IF(Q2637&lt;Matchup!$C$39,7,IF(Q2637&lt;Matchup!$C$39+Matchup!$C$40,3,0)))</f>
        <v>0</v>
      </c>
      <c r="T2637" s="0" t="n">
        <f aca="false">I2637+R2637</f>
        <v>26</v>
      </c>
      <c r="U2637" s="0" t="n">
        <f aca="false">O2637+S2637</f>
        <v>29</v>
      </c>
      <c r="V2637" s="0" t="n">
        <f aca="false">T2637-U2637</f>
        <v>-3</v>
      </c>
      <c r="W2637" s="0" t="n">
        <f aca="false">T2637+U2637</f>
        <v>55</v>
      </c>
    </row>
    <row r="2638" customFormat="false" ht="15" hidden="false" customHeight="false" outlineLevel="0" collapsed="false">
      <c r="A2638" s="0" t="n">
        <v>2635</v>
      </c>
      <c r="B2638" s="0" t="n">
        <f aca="true">NORMINV(RAND(),1,Coefficients!$B$22)</f>
        <v>1.04356899101856</v>
      </c>
      <c r="C2638" s="0" t="n">
        <f aca="true">MEDIAN(8,16,ROUND(NORMINV(RAND(),Coefficients!$B$20,Coefficients!$B$21),0))</f>
        <v>13</v>
      </c>
      <c r="D2638" s="0" t="n">
        <f aca="true">CRITBINOM($C2638,MIN(0.75,Matchup!$B$39*$B2638),RAND())</f>
        <v>1</v>
      </c>
      <c r="E2638" s="0" t="n">
        <f aca="true">CRITBINOM(D2638,Coefficients!$B$30,RAND())</f>
        <v>0</v>
      </c>
      <c r="F2638" s="0" t="n">
        <f aca="true">CRITBINOM(E2638,Coefficients!$B$31,RAND())</f>
        <v>0</v>
      </c>
      <c r="G2638" s="0" t="n">
        <f aca="true">CRITBINOM(MAX(0,D2638-E2638),1-Coefficients!$B$32,RAND())</f>
        <v>0</v>
      </c>
      <c r="H2638" s="0" t="n">
        <f aca="true">CRITBINOM(MAX(0,$C2638-D2638),MIN(0.6,Matchup!$B$40*SQRT($B2638)/(1-MIN(0.75,Matchup!$B$39*$B2638))),RAND())</f>
        <v>2</v>
      </c>
      <c r="I2638" s="0" t="n">
        <f aca="false">6*D2638+(D2638-E2638-G2638)+2*F2638+3*H2638</f>
        <v>13</v>
      </c>
      <c r="J2638" s="0" t="n">
        <f aca="true">CRITBINOM($C2638,MIN(0.75,Matchup!$C$39*$B2638),RAND())</f>
        <v>4</v>
      </c>
      <c r="K2638" s="0" t="n">
        <f aca="true">CRITBINOM(J2638,Coefficients!$B$30,RAND())</f>
        <v>0</v>
      </c>
      <c r="L2638" s="0" t="n">
        <f aca="true">CRITBINOM(K2638,Coefficients!$B$31,RAND())</f>
        <v>0</v>
      </c>
      <c r="M2638" s="0" t="n">
        <f aca="true">CRITBINOM(MAX(0,J2638-K2638),1-Coefficients!$B$32,RAND())</f>
        <v>0</v>
      </c>
      <c r="N2638" s="0" t="n">
        <f aca="true">CRITBINOM(MAX(0,$C2638-J2638),MIN(0.6,Matchup!$C$40*SQRT($B2638)/(1-MIN(0.75,Matchup!$C$39*$B2638))),RAND())</f>
        <v>2</v>
      </c>
      <c r="O2638" s="0" t="n">
        <f aca="false">6*J2638+(J2638-K2638-M2638)+2*L2638+3*N2638</f>
        <v>34</v>
      </c>
      <c r="P2638" s="0" t="n">
        <f aca="true">RAND()</f>
        <v>0.205597671495881</v>
      </c>
      <c r="Q2638" s="0" t="n">
        <f aca="true">RAND()</f>
        <v>0.983705713407514</v>
      </c>
      <c r="R2638" s="0" t="n">
        <f aca="false">IF($I2638&lt;&gt;$O2638,0,IF(P2638&lt;Matchup!$B$39,7,IF(P2638&lt;Matchup!$B$39+Matchup!$B$40,3,0)))</f>
        <v>0</v>
      </c>
      <c r="S2638" s="0" t="n">
        <f aca="false">IF($I2638&lt;&gt;$O2638,0,IF(Q2638&lt;Matchup!$C$39,7,IF(Q2638&lt;Matchup!$C$39+Matchup!$C$40,3,0)))</f>
        <v>0</v>
      </c>
      <c r="T2638" s="0" t="n">
        <f aca="false">I2638+R2638</f>
        <v>13</v>
      </c>
      <c r="U2638" s="0" t="n">
        <f aca="false">O2638+S2638</f>
        <v>34</v>
      </c>
      <c r="V2638" s="0" t="n">
        <f aca="false">T2638-U2638</f>
        <v>-21</v>
      </c>
      <c r="W2638" s="0" t="n">
        <f aca="false">T2638+U2638</f>
        <v>47</v>
      </c>
    </row>
    <row r="2639" customFormat="false" ht="15" hidden="false" customHeight="false" outlineLevel="0" collapsed="false">
      <c r="A2639" s="0" t="n">
        <v>2636</v>
      </c>
      <c r="B2639" s="0" t="n">
        <f aca="true">NORMINV(RAND(),1,Coefficients!$B$22)</f>
        <v>1.07857889902907</v>
      </c>
      <c r="C2639" s="0" t="n">
        <f aca="true">MEDIAN(8,16,ROUND(NORMINV(RAND(),Coefficients!$B$20,Coefficients!$B$21),0))</f>
        <v>10</v>
      </c>
      <c r="D2639" s="0" t="n">
        <f aca="true">CRITBINOM($C2639,MIN(0.75,Matchup!$B$39*$B2639),RAND())</f>
        <v>4</v>
      </c>
      <c r="E2639" s="0" t="n">
        <f aca="true">CRITBINOM(D2639,Coefficients!$B$30,RAND())</f>
        <v>0</v>
      </c>
      <c r="F2639" s="0" t="n">
        <f aca="true">CRITBINOM(E2639,Coefficients!$B$31,RAND())</f>
        <v>0</v>
      </c>
      <c r="G2639" s="0" t="n">
        <f aca="true">CRITBINOM(MAX(0,D2639-E2639),1-Coefficients!$B$32,RAND())</f>
        <v>0</v>
      </c>
      <c r="H2639" s="0" t="n">
        <f aca="true">CRITBINOM(MAX(0,$C2639-D2639),MIN(0.6,Matchup!$B$40*SQRT($B2639)/(1-MIN(0.75,Matchup!$B$39*$B2639))),RAND())</f>
        <v>2</v>
      </c>
      <c r="I2639" s="0" t="n">
        <f aca="false">6*D2639+(D2639-E2639-G2639)+2*F2639+3*H2639</f>
        <v>34</v>
      </c>
      <c r="J2639" s="0" t="n">
        <f aca="true">CRITBINOM($C2639,MIN(0.75,Matchup!$C$39*$B2639),RAND())</f>
        <v>3</v>
      </c>
      <c r="K2639" s="0" t="n">
        <f aca="true">CRITBINOM(J2639,Coefficients!$B$30,RAND())</f>
        <v>0</v>
      </c>
      <c r="L2639" s="0" t="n">
        <f aca="true">CRITBINOM(K2639,Coefficients!$B$31,RAND())</f>
        <v>0</v>
      </c>
      <c r="M2639" s="0" t="n">
        <f aca="true">CRITBINOM(MAX(0,J2639-K2639),1-Coefficients!$B$32,RAND())</f>
        <v>0</v>
      </c>
      <c r="N2639" s="0" t="n">
        <f aca="true">CRITBINOM(MAX(0,$C2639-J2639),MIN(0.6,Matchup!$C$40*SQRT($B2639)/(1-MIN(0.75,Matchup!$C$39*$B2639))),RAND())</f>
        <v>3</v>
      </c>
      <c r="O2639" s="0" t="n">
        <f aca="false">6*J2639+(J2639-K2639-M2639)+2*L2639+3*N2639</f>
        <v>30</v>
      </c>
      <c r="P2639" s="0" t="n">
        <f aca="true">RAND()</f>
        <v>0.357498148883043</v>
      </c>
      <c r="Q2639" s="0" t="n">
        <f aca="true">RAND()</f>
        <v>0.753991407031228</v>
      </c>
      <c r="R2639" s="0" t="n">
        <f aca="false">IF($I2639&lt;&gt;$O2639,0,IF(P2639&lt;Matchup!$B$39,7,IF(P2639&lt;Matchup!$B$39+Matchup!$B$40,3,0)))</f>
        <v>0</v>
      </c>
      <c r="S2639" s="0" t="n">
        <f aca="false">IF($I2639&lt;&gt;$O2639,0,IF(Q2639&lt;Matchup!$C$39,7,IF(Q2639&lt;Matchup!$C$39+Matchup!$C$40,3,0)))</f>
        <v>0</v>
      </c>
      <c r="T2639" s="0" t="n">
        <f aca="false">I2639+R2639</f>
        <v>34</v>
      </c>
      <c r="U2639" s="0" t="n">
        <f aca="false">O2639+S2639</f>
        <v>30</v>
      </c>
      <c r="V2639" s="0" t="n">
        <f aca="false">T2639-U2639</f>
        <v>4</v>
      </c>
      <c r="W2639" s="0" t="n">
        <f aca="false">T2639+U2639</f>
        <v>64</v>
      </c>
    </row>
    <row r="2640" customFormat="false" ht="15" hidden="false" customHeight="false" outlineLevel="0" collapsed="false">
      <c r="A2640" s="0" t="n">
        <v>2637</v>
      </c>
      <c r="B2640" s="0" t="n">
        <f aca="true">NORMINV(RAND(),1,Coefficients!$B$22)</f>
        <v>0.868566166001551</v>
      </c>
      <c r="C2640" s="0" t="n">
        <f aca="true">MEDIAN(8,16,ROUND(NORMINV(RAND(),Coefficients!$B$20,Coefficients!$B$21),0))</f>
        <v>11</v>
      </c>
      <c r="D2640" s="0" t="n">
        <f aca="true">CRITBINOM($C2640,MIN(0.75,Matchup!$B$39*$B2640),RAND())</f>
        <v>2</v>
      </c>
      <c r="E2640" s="0" t="n">
        <f aca="true">CRITBINOM(D2640,Coefficients!$B$30,RAND())</f>
        <v>0</v>
      </c>
      <c r="F2640" s="0" t="n">
        <f aca="true">CRITBINOM(E2640,Coefficients!$B$31,RAND())</f>
        <v>0</v>
      </c>
      <c r="G2640" s="0" t="n">
        <f aca="true">CRITBINOM(MAX(0,D2640-E2640),1-Coefficients!$B$32,RAND())</f>
        <v>0</v>
      </c>
      <c r="H2640" s="0" t="n">
        <f aca="true">CRITBINOM(MAX(0,$C2640-D2640),MIN(0.6,Matchup!$B$40*SQRT($B2640)/(1-MIN(0.75,Matchup!$B$39*$B2640))),RAND())</f>
        <v>0</v>
      </c>
      <c r="I2640" s="0" t="n">
        <f aca="false">6*D2640+(D2640-E2640-G2640)+2*F2640+3*H2640</f>
        <v>14</v>
      </c>
      <c r="J2640" s="0" t="n">
        <f aca="true">CRITBINOM($C2640,MIN(0.75,Matchup!$C$39*$B2640),RAND())</f>
        <v>1</v>
      </c>
      <c r="K2640" s="0" t="n">
        <f aca="true">CRITBINOM(J2640,Coefficients!$B$30,RAND())</f>
        <v>0</v>
      </c>
      <c r="L2640" s="0" t="n">
        <f aca="true">CRITBINOM(K2640,Coefficients!$B$31,RAND())</f>
        <v>0</v>
      </c>
      <c r="M2640" s="0" t="n">
        <f aca="true">CRITBINOM(MAX(0,J2640-K2640),1-Coefficients!$B$32,RAND())</f>
        <v>0</v>
      </c>
      <c r="N2640" s="0" t="n">
        <f aca="true">CRITBINOM(MAX(0,$C2640-J2640),MIN(0.6,Matchup!$C$40*SQRT($B2640)/(1-MIN(0.75,Matchup!$C$39*$B2640))),RAND())</f>
        <v>0</v>
      </c>
      <c r="O2640" s="0" t="n">
        <f aca="false">6*J2640+(J2640-K2640-M2640)+2*L2640+3*N2640</f>
        <v>7</v>
      </c>
      <c r="P2640" s="0" t="n">
        <f aca="true">RAND()</f>
        <v>0.245993414120043</v>
      </c>
      <c r="Q2640" s="0" t="n">
        <f aca="true">RAND()</f>
        <v>0.0739268703651053</v>
      </c>
      <c r="R2640" s="0" t="n">
        <f aca="false">IF($I2640&lt;&gt;$O2640,0,IF(P2640&lt;Matchup!$B$39,7,IF(P2640&lt;Matchup!$B$39+Matchup!$B$40,3,0)))</f>
        <v>0</v>
      </c>
      <c r="S2640" s="0" t="n">
        <f aca="false">IF($I2640&lt;&gt;$O2640,0,IF(Q2640&lt;Matchup!$C$39,7,IF(Q2640&lt;Matchup!$C$39+Matchup!$C$40,3,0)))</f>
        <v>0</v>
      </c>
      <c r="T2640" s="0" t="n">
        <f aca="false">I2640+R2640</f>
        <v>14</v>
      </c>
      <c r="U2640" s="0" t="n">
        <f aca="false">O2640+S2640</f>
        <v>7</v>
      </c>
      <c r="V2640" s="0" t="n">
        <f aca="false">T2640-U2640</f>
        <v>7</v>
      </c>
      <c r="W2640" s="0" t="n">
        <f aca="false">T2640+U2640</f>
        <v>21</v>
      </c>
    </row>
    <row r="2641" customFormat="false" ht="15" hidden="false" customHeight="false" outlineLevel="0" collapsed="false">
      <c r="A2641" s="0" t="n">
        <v>2638</v>
      </c>
      <c r="B2641" s="0" t="n">
        <f aca="true">NORMINV(RAND(),1,Coefficients!$B$22)</f>
        <v>1.01464099227975</v>
      </c>
      <c r="C2641" s="0" t="n">
        <f aca="true">MEDIAN(8,16,ROUND(NORMINV(RAND(),Coefficients!$B$20,Coefficients!$B$21),0))</f>
        <v>11</v>
      </c>
      <c r="D2641" s="0" t="n">
        <f aca="true">CRITBINOM($C2641,MIN(0.75,Matchup!$B$39*$B2641),RAND())</f>
        <v>3</v>
      </c>
      <c r="E2641" s="0" t="n">
        <f aca="true">CRITBINOM(D2641,Coefficients!$B$30,RAND())</f>
        <v>0</v>
      </c>
      <c r="F2641" s="0" t="n">
        <f aca="true">CRITBINOM(E2641,Coefficients!$B$31,RAND())</f>
        <v>0</v>
      </c>
      <c r="G2641" s="0" t="n">
        <f aca="true">CRITBINOM(MAX(0,D2641-E2641),1-Coefficients!$B$32,RAND())</f>
        <v>0</v>
      </c>
      <c r="H2641" s="0" t="n">
        <f aca="true">CRITBINOM(MAX(0,$C2641-D2641),MIN(0.6,Matchup!$B$40*SQRT($B2641)/(1-MIN(0.75,Matchup!$B$39*$B2641))),RAND())</f>
        <v>0</v>
      </c>
      <c r="I2641" s="0" t="n">
        <f aca="false">6*D2641+(D2641-E2641-G2641)+2*F2641+3*H2641</f>
        <v>21</v>
      </c>
      <c r="J2641" s="0" t="n">
        <f aca="true">CRITBINOM($C2641,MIN(0.75,Matchup!$C$39*$B2641),RAND())</f>
        <v>0</v>
      </c>
      <c r="K2641" s="0" t="n">
        <f aca="true">CRITBINOM(J2641,Coefficients!$B$30,RAND())</f>
        <v>0</v>
      </c>
      <c r="L2641" s="0" t="n">
        <f aca="true">CRITBINOM(K2641,Coefficients!$B$31,RAND())</f>
        <v>0</v>
      </c>
      <c r="M2641" s="0" t="n">
        <f aca="true">CRITBINOM(MAX(0,J2641-K2641),1-Coefficients!$B$32,RAND())</f>
        <v>0</v>
      </c>
      <c r="N2641" s="0" t="n">
        <f aca="true">CRITBINOM(MAX(0,$C2641-J2641),MIN(0.6,Matchup!$C$40*SQRT($B2641)/(1-MIN(0.75,Matchup!$C$39*$B2641))),RAND())</f>
        <v>0</v>
      </c>
      <c r="O2641" s="0" t="n">
        <f aca="false">6*J2641+(J2641-K2641-M2641)+2*L2641+3*N2641</f>
        <v>0</v>
      </c>
      <c r="P2641" s="0" t="n">
        <f aca="true">RAND()</f>
        <v>0.276544429481719</v>
      </c>
      <c r="Q2641" s="0" t="n">
        <f aca="true">RAND()</f>
        <v>0.00366745117115181</v>
      </c>
      <c r="R2641" s="0" t="n">
        <f aca="false">IF($I2641&lt;&gt;$O2641,0,IF(P2641&lt;Matchup!$B$39,7,IF(P2641&lt;Matchup!$B$39+Matchup!$B$40,3,0)))</f>
        <v>0</v>
      </c>
      <c r="S2641" s="0" t="n">
        <f aca="false">IF($I2641&lt;&gt;$O2641,0,IF(Q2641&lt;Matchup!$C$39,7,IF(Q2641&lt;Matchup!$C$39+Matchup!$C$40,3,0)))</f>
        <v>0</v>
      </c>
      <c r="T2641" s="0" t="n">
        <f aca="false">I2641+R2641</f>
        <v>21</v>
      </c>
      <c r="U2641" s="0" t="n">
        <f aca="false">O2641+S2641</f>
        <v>0</v>
      </c>
      <c r="V2641" s="0" t="n">
        <f aca="false">T2641-U2641</f>
        <v>21</v>
      </c>
      <c r="W2641" s="0" t="n">
        <f aca="false">T2641+U2641</f>
        <v>21</v>
      </c>
    </row>
    <row r="2642" customFormat="false" ht="15" hidden="false" customHeight="false" outlineLevel="0" collapsed="false">
      <c r="A2642" s="0" t="n">
        <v>2639</v>
      </c>
      <c r="B2642" s="0" t="n">
        <f aca="true">NORMINV(RAND(),1,Coefficients!$B$22)</f>
        <v>0.999044891073194</v>
      </c>
      <c r="C2642" s="0" t="n">
        <f aca="true">MEDIAN(8,16,ROUND(NORMINV(RAND(),Coefficients!$B$20,Coefficients!$B$21),0))</f>
        <v>10</v>
      </c>
      <c r="D2642" s="0" t="n">
        <f aca="true">CRITBINOM($C2642,MIN(0.75,Matchup!$B$39*$B2642),RAND())</f>
        <v>2</v>
      </c>
      <c r="E2642" s="0" t="n">
        <f aca="true">CRITBINOM(D2642,Coefficients!$B$30,RAND())</f>
        <v>0</v>
      </c>
      <c r="F2642" s="0" t="n">
        <f aca="true">CRITBINOM(E2642,Coefficients!$B$31,RAND())</f>
        <v>0</v>
      </c>
      <c r="G2642" s="0" t="n">
        <f aca="true">CRITBINOM(MAX(0,D2642-E2642),1-Coefficients!$B$32,RAND())</f>
        <v>0</v>
      </c>
      <c r="H2642" s="0" t="n">
        <f aca="true">CRITBINOM(MAX(0,$C2642-D2642),MIN(0.6,Matchup!$B$40*SQRT($B2642)/(1-MIN(0.75,Matchup!$B$39*$B2642))),RAND())</f>
        <v>2</v>
      </c>
      <c r="I2642" s="0" t="n">
        <f aca="false">6*D2642+(D2642-E2642-G2642)+2*F2642+3*H2642</f>
        <v>20</v>
      </c>
      <c r="J2642" s="0" t="n">
        <f aca="true">CRITBINOM($C2642,MIN(0.75,Matchup!$C$39*$B2642),RAND())</f>
        <v>4</v>
      </c>
      <c r="K2642" s="0" t="n">
        <f aca="true">CRITBINOM(J2642,Coefficients!$B$30,RAND())</f>
        <v>0</v>
      </c>
      <c r="L2642" s="0" t="n">
        <f aca="true">CRITBINOM(K2642,Coefficients!$B$31,RAND())</f>
        <v>0</v>
      </c>
      <c r="M2642" s="0" t="n">
        <f aca="true">CRITBINOM(MAX(0,J2642-K2642),1-Coefficients!$B$32,RAND())</f>
        <v>0</v>
      </c>
      <c r="N2642" s="0" t="n">
        <f aca="true">CRITBINOM(MAX(0,$C2642-J2642),MIN(0.6,Matchup!$C$40*SQRT($B2642)/(1-MIN(0.75,Matchup!$C$39*$B2642))),RAND())</f>
        <v>1</v>
      </c>
      <c r="O2642" s="0" t="n">
        <f aca="false">6*J2642+(J2642-K2642-M2642)+2*L2642+3*N2642</f>
        <v>31</v>
      </c>
      <c r="P2642" s="0" t="n">
        <f aca="true">RAND()</f>
        <v>0.809857286908717</v>
      </c>
      <c r="Q2642" s="0" t="n">
        <f aca="true">RAND()</f>
        <v>0.879445424121239</v>
      </c>
      <c r="R2642" s="0" t="n">
        <f aca="false">IF($I2642&lt;&gt;$O2642,0,IF(P2642&lt;Matchup!$B$39,7,IF(P2642&lt;Matchup!$B$39+Matchup!$B$40,3,0)))</f>
        <v>0</v>
      </c>
      <c r="S2642" s="0" t="n">
        <f aca="false">IF($I2642&lt;&gt;$O2642,0,IF(Q2642&lt;Matchup!$C$39,7,IF(Q2642&lt;Matchup!$C$39+Matchup!$C$40,3,0)))</f>
        <v>0</v>
      </c>
      <c r="T2642" s="0" t="n">
        <f aca="false">I2642+R2642</f>
        <v>20</v>
      </c>
      <c r="U2642" s="0" t="n">
        <f aca="false">O2642+S2642</f>
        <v>31</v>
      </c>
      <c r="V2642" s="0" t="n">
        <f aca="false">T2642-U2642</f>
        <v>-11</v>
      </c>
      <c r="W2642" s="0" t="n">
        <f aca="false">T2642+U2642</f>
        <v>51</v>
      </c>
    </row>
    <row r="2643" customFormat="false" ht="15" hidden="false" customHeight="false" outlineLevel="0" collapsed="false">
      <c r="A2643" s="0" t="n">
        <v>2640</v>
      </c>
      <c r="B2643" s="0" t="n">
        <f aca="true">NORMINV(RAND(),1,Coefficients!$B$22)</f>
        <v>1.17391836396533</v>
      </c>
      <c r="C2643" s="0" t="n">
        <f aca="true">MEDIAN(8,16,ROUND(NORMINV(RAND(),Coefficients!$B$20,Coefficients!$B$21),0))</f>
        <v>12</v>
      </c>
      <c r="D2643" s="0" t="n">
        <f aca="true">CRITBINOM($C2643,MIN(0.75,Matchup!$B$39*$B2643),RAND())</f>
        <v>4</v>
      </c>
      <c r="E2643" s="0" t="n">
        <f aca="true">CRITBINOM(D2643,Coefficients!$B$30,RAND())</f>
        <v>0</v>
      </c>
      <c r="F2643" s="0" t="n">
        <f aca="true">CRITBINOM(E2643,Coefficients!$B$31,RAND())</f>
        <v>0</v>
      </c>
      <c r="G2643" s="0" t="n">
        <f aca="true">CRITBINOM(MAX(0,D2643-E2643),1-Coefficients!$B$32,RAND())</f>
        <v>0</v>
      </c>
      <c r="H2643" s="0" t="n">
        <f aca="true">CRITBINOM(MAX(0,$C2643-D2643),MIN(0.6,Matchup!$B$40*SQRT($B2643)/(1-MIN(0.75,Matchup!$B$39*$B2643))),RAND())</f>
        <v>1</v>
      </c>
      <c r="I2643" s="0" t="n">
        <f aca="false">6*D2643+(D2643-E2643-G2643)+2*F2643+3*H2643</f>
        <v>31</v>
      </c>
      <c r="J2643" s="0" t="n">
        <f aca="true">CRITBINOM($C2643,MIN(0.75,Matchup!$C$39*$B2643),RAND())</f>
        <v>4</v>
      </c>
      <c r="K2643" s="0" t="n">
        <f aca="true">CRITBINOM(J2643,Coefficients!$B$30,RAND())</f>
        <v>0</v>
      </c>
      <c r="L2643" s="0" t="n">
        <f aca="true">CRITBINOM(K2643,Coefficients!$B$31,RAND())</f>
        <v>0</v>
      </c>
      <c r="M2643" s="0" t="n">
        <f aca="true">CRITBINOM(MAX(0,J2643-K2643),1-Coefficients!$B$32,RAND())</f>
        <v>0</v>
      </c>
      <c r="N2643" s="0" t="n">
        <f aca="true">CRITBINOM(MAX(0,$C2643-J2643),MIN(0.6,Matchup!$C$40*SQRT($B2643)/(1-MIN(0.75,Matchup!$C$39*$B2643))),RAND())</f>
        <v>1</v>
      </c>
      <c r="O2643" s="0" t="n">
        <f aca="false">6*J2643+(J2643-K2643-M2643)+2*L2643+3*N2643</f>
        <v>31</v>
      </c>
      <c r="P2643" s="0" t="n">
        <f aca="true">RAND()</f>
        <v>0.0964645370155171</v>
      </c>
      <c r="Q2643" s="0" t="n">
        <f aca="true">RAND()</f>
        <v>0.525002128627841</v>
      </c>
      <c r="R2643" s="0" t="n">
        <f aca="false">IF($I2643&lt;&gt;$O2643,0,IF(P2643&lt;Matchup!$B$39,7,IF(P2643&lt;Matchup!$B$39+Matchup!$B$40,3,0)))</f>
        <v>7</v>
      </c>
      <c r="S2643" s="0" t="n">
        <f aca="false">IF($I2643&lt;&gt;$O2643,0,IF(Q2643&lt;Matchup!$C$39,7,IF(Q2643&lt;Matchup!$C$39+Matchup!$C$40,3,0)))</f>
        <v>0</v>
      </c>
      <c r="T2643" s="0" t="n">
        <f aca="false">I2643+R2643</f>
        <v>38</v>
      </c>
      <c r="U2643" s="0" t="n">
        <f aca="false">O2643+S2643</f>
        <v>31</v>
      </c>
      <c r="V2643" s="0" t="n">
        <f aca="false">T2643-U2643</f>
        <v>7</v>
      </c>
      <c r="W2643" s="0" t="n">
        <f aca="false">T2643+U2643</f>
        <v>69</v>
      </c>
    </row>
    <row r="2644" customFormat="false" ht="15" hidden="false" customHeight="false" outlineLevel="0" collapsed="false">
      <c r="A2644" s="0" t="n">
        <v>2641</v>
      </c>
      <c r="B2644" s="0" t="n">
        <f aca="true">NORMINV(RAND(),1,Coefficients!$B$22)</f>
        <v>0.895880758691519</v>
      </c>
      <c r="C2644" s="0" t="n">
        <f aca="true">MEDIAN(8,16,ROUND(NORMINV(RAND(),Coefficients!$B$20,Coefficients!$B$21),0))</f>
        <v>12</v>
      </c>
      <c r="D2644" s="0" t="n">
        <f aca="true">CRITBINOM($C2644,MIN(0.75,Matchup!$B$39*$B2644),RAND())</f>
        <v>0</v>
      </c>
      <c r="E2644" s="0" t="n">
        <f aca="true">CRITBINOM(D2644,Coefficients!$B$30,RAND())</f>
        <v>0</v>
      </c>
      <c r="F2644" s="0" t="n">
        <f aca="true">CRITBINOM(E2644,Coefficients!$B$31,RAND())</f>
        <v>0</v>
      </c>
      <c r="G2644" s="0" t="n">
        <f aca="true">CRITBINOM(MAX(0,D2644-E2644),1-Coefficients!$B$32,RAND())</f>
        <v>0</v>
      </c>
      <c r="H2644" s="0" t="n">
        <f aca="true">CRITBINOM(MAX(0,$C2644-D2644),MIN(0.6,Matchup!$B$40*SQRT($B2644)/(1-MIN(0.75,Matchup!$B$39*$B2644))),RAND())</f>
        <v>4</v>
      </c>
      <c r="I2644" s="0" t="n">
        <f aca="false">6*D2644+(D2644-E2644-G2644)+2*F2644+3*H2644</f>
        <v>12</v>
      </c>
      <c r="J2644" s="0" t="n">
        <f aca="true">CRITBINOM($C2644,MIN(0.75,Matchup!$C$39*$B2644),RAND())</f>
        <v>2</v>
      </c>
      <c r="K2644" s="0" t="n">
        <f aca="true">CRITBINOM(J2644,Coefficients!$B$30,RAND())</f>
        <v>0</v>
      </c>
      <c r="L2644" s="0" t="n">
        <f aca="true">CRITBINOM(K2644,Coefficients!$B$31,RAND())</f>
        <v>0</v>
      </c>
      <c r="M2644" s="0" t="n">
        <f aca="true">CRITBINOM(MAX(0,J2644-K2644),1-Coefficients!$B$32,RAND())</f>
        <v>0</v>
      </c>
      <c r="N2644" s="0" t="n">
        <f aca="true">CRITBINOM(MAX(0,$C2644-J2644),MIN(0.6,Matchup!$C$40*SQRT($B2644)/(1-MIN(0.75,Matchup!$C$39*$B2644))),RAND())</f>
        <v>0</v>
      </c>
      <c r="O2644" s="0" t="n">
        <f aca="false">6*J2644+(J2644-K2644-M2644)+2*L2644+3*N2644</f>
        <v>14</v>
      </c>
      <c r="P2644" s="0" t="n">
        <f aca="true">RAND()</f>
        <v>0.436378856060106</v>
      </c>
      <c r="Q2644" s="0" t="n">
        <f aca="true">RAND()</f>
        <v>0.75360719159685</v>
      </c>
      <c r="R2644" s="0" t="n">
        <f aca="false">IF($I2644&lt;&gt;$O2644,0,IF(P2644&lt;Matchup!$B$39,7,IF(P2644&lt;Matchup!$B$39+Matchup!$B$40,3,0)))</f>
        <v>0</v>
      </c>
      <c r="S2644" s="0" t="n">
        <f aca="false">IF($I2644&lt;&gt;$O2644,0,IF(Q2644&lt;Matchup!$C$39,7,IF(Q2644&lt;Matchup!$C$39+Matchup!$C$40,3,0)))</f>
        <v>0</v>
      </c>
      <c r="T2644" s="0" t="n">
        <f aca="false">I2644+R2644</f>
        <v>12</v>
      </c>
      <c r="U2644" s="0" t="n">
        <f aca="false">O2644+S2644</f>
        <v>14</v>
      </c>
      <c r="V2644" s="0" t="n">
        <f aca="false">T2644-U2644</f>
        <v>-2</v>
      </c>
      <c r="W2644" s="0" t="n">
        <f aca="false">T2644+U2644</f>
        <v>26</v>
      </c>
    </row>
    <row r="2645" customFormat="false" ht="15" hidden="false" customHeight="false" outlineLevel="0" collapsed="false">
      <c r="A2645" s="0" t="n">
        <v>2642</v>
      </c>
      <c r="B2645" s="0" t="n">
        <f aca="true">NORMINV(RAND(),1,Coefficients!$B$22)</f>
        <v>1.1189534930746</v>
      </c>
      <c r="C2645" s="0" t="n">
        <f aca="true">MEDIAN(8,16,ROUND(NORMINV(RAND(),Coefficients!$B$20,Coefficients!$B$21),0))</f>
        <v>12</v>
      </c>
      <c r="D2645" s="0" t="n">
        <f aca="true">CRITBINOM($C2645,MIN(0.75,Matchup!$B$39*$B2645),RAND())</f>
        <v>2</v>
      </c>
      <c r="E2645" s="0" t="n">
        <f aca="true">CRITBINOM(D2645,Coefficients!$B$30,RAND())</f>
        <v>1</v>
      </c>
      <c r="F2645" s="0" t="n">
        <f aca="true">CRITBINOM(E2645,Coefficients!$B$31,RAND())</f>
        <v>1</v>
      </c>
      <c r="G2645" s="0" t="n">
        <f aca="true">CRITBINOM(MAX(0,D2645-E2645),1-Coefficients!$B$32,RAND())</f>
        <v>0</v>
      </c>
      <c r="H2645" s="0" t="n">
        <f aca="true">CRITBINOM(MAX(0,$C2645-D2645),MIN(0.6,Matchup!$B$40*SQRT($B2645)/(1-MIN(0.75,Matchup!$B$39*$B2645))),RAND())</f>
        <v>1</v>
      </c>
      <c r="I2645" s="0" t="n">
        <f aca="false">6*D2645+(D2645-E2645-G2645)+2*F2645+3*H2645</f>
        <v>18</v>
      </c>
      <c r="J2645" s="0" t="n">
        <f aca="true">CRITBINOM($C2645,MIN(0.75,Matchup!$C$39*$B2645),RAND())</f>
        <v>2</v>
      </c>
      <c r="K2645" s="0" t="n">
        <f aca="true">CRITBINOM(J2645,Coefficients!$B$30,RAND())</f>
        <v>0</v>
      </c>
      <c r="L2645" s="0" t="n">
        <f aca="true">CRITBINOM(K2645,Coefficients!$B$31,RAND())</f>
        <v>0</v>
      </c>
      <c r="M2645" s="0" t="n">
        <f aca="true">CRITBINOM(MAX(0,J2645-K2645),1-Coefficients!$B$32,RAND())</f>
        <v>0</v>
      </c>
      <c r="N2645" s="0" t="n">
        <f aca="true">CRITBINOM(MAX(0,$C2645-J2645),MIN(0.6,Matchup!$C$40*SQRT($B2645)/(1-MIN(0.75,Matchup!$C$39*$B2645))),RAND())</f>
        <v>2</v>
      </c>
      <c r="O2645" s="0" t="n">
        <f aca="false">6*J2645+(J2645-K2645-M2645)+2*L2645+3*N2645</f>
        <v>20</v>
      </c>
      <c r="P2645" s="0" t="n">
        <f aca="true">RAND()</f>
        <v>0.582578174095947</v>
      </c>
      <c r="Q2645" s="0" t="n">
        <f aca="true">RAND()</f>
        <v>0.644467657696391</v>
      </c>
      <c r="R2645" s="0" t="n">
        <f aca="false">IF($I2645&lt;&gt;$O2645,0,IF(P2645&lt;Matchup!$B$39,7,IF(P2645&lt;Matchup!$B$39+Matchup!$B$40,3,0)))</f>
        <v>0</v>
      </c>
      <c r="S2645" s="0" t="n">
        <f aca="false">IF($I2645&lt;&gt;$O2645,0,IF(Q2645&lt;Matchup!$C$39,7,IF(Q2645&lt;Matchup!$C$39+Matchup!$C$40,3,0)))</f>
        <v>0</v>
      </c>
      <c r="T2645" s="0" t="n">
        <f aca="false">I2645+R2645</f>
        <v>18</v>
      </c>
      <c r="U2645" s="0" t="n">
        <f aca="false">O2645+S2645</f>
        <v>20</v>
      </c>
      <c r="V2645" s="0" t="n">
        <f aca="false">T2645-U2645</f>
        <v>-2</v>
      </c>
      <c r="W2645" s="0" t="n">
        <f aca="false">T2645+U2645</f>
        <v>38</v>
      </c>
    </row>
    <row r="2646" customFormat="false" ht="15" hidden="false" customHeight="false" outlineLevel="0" collapsed="false">
      <c r="A2646" s="0" t="n">
        <v>2643</v>
      </c>
      <c r="B2646" s="0" t="n">
        <f aca="true">NORMINV(RAND(),1,Coefficients!$B$22)</f>
        <v>1.09629455964654</v>
      </c>
      <c r="C2646" s="0" t="n">
        <f aca="true">MEDIAN(8,16,ROUND(NORMINV(RAND(),Coefficients!$B$20,Coefficients!$B$21),0))</f>
        <v>13</v>
      </c>
      <c r="D2646" s="0" t="n">
        <f aca="true">CRITBINOM($C2646,MIN(0.75,Matchup!$B$39*$B2646),RAND())</f>
        <v>2</v>
      </c>
      <c r="E2646" s="0" t="n">
        <f aca="true">CRITBINOM(D2646,Coefficients!$B$30,RAND())</f>
        <v>0</v>
      </c>
      <c r="F2646" s="0" t="n">
        <f aca="true">CRITBINOM(E2646,Coefficients!$B$31,RAND())</f>
        <v>0</v>
      </c>
      <c r="G2646" s="0" t="n">
        <f aca="true">CRITBINOM(MAX(0,D2646-E2646),1-Coefficients!$B$32,RAND())</f>
        <v>0</v>
      </c>
      <c r="H2646" s="0" t="n">
        <f aca="true">CRITBINOM(MAX(0,$C2646-D2646),MIN(0.6,Matchup!$B$40*SQRT($B2646)/(1-MIN(0.75,Matchup!$B$39*$B2646))),RAND())</f>
        <v>2</v>
      </c>
      <c r="I2646" s="0" t="n">
        <f aca="false">6*D2646+(D2646-E2646-G2646)+2*F2646+3*H2646</f>
        <v>20</v>
      </c>
      <c r="J2646" s="0" t="n">
        <f aca="true">CRITBINOM($C2646,MIN(0.75,Matchup!$C$39*$B2646),RAND())</f>
        <v>2</v>
      </c>
      <c r="K2646" s="0" t="n">
        <f aca="true">CRITBINOM(J2646,Coefficients!$B$30,RAND())</f>
        <v>0</v>
      </c>
      <c r="L2646" s="0" t="n">
        <f aca="true">CRITBINOM(K2646,Coefficients!$B$31,RAND())</f>
        <v>0</v>
      </c>
      <c r="M2646" s="0" t="n">
        <f aca="true">CRITBINOM(MAX(0,J2646-K2646),1-Coefficients!$B$32,RAND())</f>
        <v>0</v>
      </c>
      <c r="N2646" s="0" t="n">
        <f aca="true">CRITBINOM(MAX(0,$C2646-J2646),MIN(0.6,Matchup!$C$40*SQRT($B2646)/(1-MIN(0.75,Matchup!$C$39*$B2646))),RAND())</f>
        <v>1</v>
      </c>
      <c r="O2646" s="0" t="n">
        <f aca="false">6*J2646+(J2646-K2646-M2646)+2*L2646+3*N2646</f>
        <v>17</v>
      </c>
      <c r="P2646" s="0" t="n">
        <f aca="true">RAND()</f>
        <v>0.272478181211409</v>
      </c>
      <c r="Q2646" s="0" t="n">
        <f aca="true">RAND()</f>
        <v>0.268674416202152</v>
      </c>
      <c r="R2646" s="0" t="n">
        <f aca="false">IF($I2646&lt;&gt;$O2646,0,IF(P2646&lt;Matchup!$B$39,7,IF(P2646&lt;Matchup!$B$39+Matchup!$B$40,3,0)))</f>
        <v>0</v>
      </c>
      <c r="S2646" s="0" t="n">
        <f aca="false">IF($I2646&lt;&gt;$O2646,0,IF(Q2646&lt;Matchup!$C$39,7,IF(Q2646&lt;Matchup!$C$39+Matchup!$C$40,3,0)))</f>
        <v>0</v>
      </c>
      <c r="T2646" s="0" t="n">
        <f aca="false">I2646+R2646</f>
        <v>20</v>
      </c>
      <c r="U2646" s="0" t="n">
        <f aca="false">O2646+S2646</f>
        <v>17</v>
      </c>
      <c r="V2646" s="0" t="n">
        <f aca="false">T2646-U2646</f>
        <v>3</v>
      </c>
      <c r="W2646" s="0" t="n">
        <f aca="false">T2646+U2646</f>
        <v>37</v>
      </c>
    </row>
    <row r="2647" customFormat="false" ht="15" hidden="false" customHeight="false" outlineLevel="0" collapsed="false">
      <c r="A2647" s="0" t="n">
        <v>2644</v>
      </c>
      <c r="B2647" s="0" t="n">
        <f aca="true">NORMINV(RAND(),1,Coefficients!$B$22)</f>
        <v>0.957733261283419</v>
      </c>
      <c r="C2647" s="0" t="n">
        <f aca="true">MEDIAN(8,16,ROUND(NORMINV(RAND(),Coefficients!$B$20,Coefficients!$B$21),0))</f>
        <v>11</v>
      </c>
      <c r="D2647" s="0" t="n">
        <f aca="true">CRITBINOM($C2647,MIN(0.75,Matchup!$B$39*$B2647),RAND())</f>
        <v>1</v>
      </c>
      <c r="E2647" s="0" t="n">
        <f aca="true">CRITBINOM(D2647,Coefficients!$B$30,RAND())</f>
        <v>0</v>
      </c>
      <c r="F2647" s="0" t="n">
        <f aca="true">CRITBINOM(E2647,Coefficients!$B$31,RAND())</f>
        <v>0</v>
      </c>
      <c r="G2647" s="0" t="n">
        <f aca="true">CRITBINOM(MAX(0,D2647-E2647),1-Coefficients!$B$32,RAND())</f>
        <v>0</v>
      </c>
      <c r="H2647" s="0" t="n">
        <f aca="true">CRITBINOM(MAX(0,$C2647-D2647),MIN(0.6,Matchup!$B$40*SQRT($B2647)/(1-MIN(0.75,Matchup!$B$39*$B2647))),RAND())</f>
        <v>0</v>
      </c>
      <c r="I2647" s="0" t="n">
        <f aca="false">6*D2647+(D2647-E2647-G2647)+2*F2647+3*H2647</f>
        <v>7</v>
      </c>
      <c r="J2647" s="0" t="n">
        <f aca="true">CRITBINOM($C2647,MIN(0.75,Matchup!$C$39*$B2647),RAND())</f>
        <v>1</v>
      </c>
      <c r="K2647" s="0" t="n">
        <f aca="true">CRITBINOM(J2647,Coefficients!$B$30,RAND())</f>
        <v>0</v>
      </c>
      <c r="L2647" s="0" t="n">
        <f aca="true">CRITBINOM(K2647,Coefficients!$B$31,RAND())</f>
        <v>0</v>
      </c>
      <c r="M2647" s="0" t="n">
        <f aca="true">CRITBINOM(MAX(0,J2647-K2647),1-Coefficients!$B$32,RAND())</f>
        <v>0</v>
      </c>
      <c r="N2647" s="0" t="n">
        <f aca="true">CRITBINOM(MAX(0,$C2647-J2647),MIN(0.6,Matchup!$C$40*SQRT($B2647)/(1-MIN(0.75,Matchup!$C$39*$B2647))),RAND())</f>
        <v>3</v>
      </c>
      <c r="O2647" s="0" t="n">
        <f aca="false">6*J2647+(J2647-K2647-M2647)+2*L2647+3*N2647</f>
        <v>16</v>
      </c>
      <c r="P2647" s="0" t="n">
        <f aca="true">RAND()</f>
        <v>0.673124001098451</v>
      </c>
      <c r="Q2647" s="0" t="n">
        <f aca="true">RAND()</f>
        <v>0.823432990451812</v>
      </c>
      <c r="R2647" s="0" t="n">
        <f aca="false">IF($I2647&lt;&gt;$O2647,0,IF(P2647&lt;Matchup!$B$39,7,IF(P2647&lt;Matchup!$B$39+Matchup!$B$40,3,0)))</f>
        <v>0</v>
      </c>
      <c r="S2647" s="0" t="n">
        <f aca="false">IF($I2647&lt;&gt;$O2647,0,IF(Q2647&lt;Matchup!$C$39,7,IF(Q2647&lt;Matchup!$C$39+Matchup!$C$40,3,0)))</f>
        <v>0</v>
      </c>
      <c r="T2647" s="0" t="n">
        <f aca="false">I2647+R2647</f>
        <v>7</v>
      </c>
      <c r="U2647" s="0" t="n">
        <f aca="false">O2647+S2647</f>
        <v>16</v>
      </c>
      <c r="V2647" s="0" t="n">
        <f aca="false">T2647-U2647</f>
        <v>-9</v>
      </c>
      <c r="W2647" s="0" t="n">
        <f aca="false">T2647+U2647</f>
        <v>23</v>
      </c>
    </row>
    <row r="2648" customFormat="false" ht="15" hidden="false" customHeight="false" outlineLevel="0" collapsed="false">
      <c r="A2648" s="0" t="n">
        <v>2645</v>
      </c>
      <c r="B2648" s="0" t="n">
        <f aca="true">NORMINV(RAND(),1,Coefficients!$B$22)</f>
        <v>1.02460495263792</v>
      </c>
      <c r="C2648" s="0" t="n">
        <f aca="true">MEDIAN(8,16,ROUND(NORMINV(RAND(),Coefficients!$B$20,Coefficients!$B$21),0))</f>
        <v>11</v>
      </c>
      <c r="D2648" s="0" t="n">
        <f aca="true">CRITBINOM($C2648,MIN(0.75,Matchup!$B$39*$B2648),RAND())</f>
        <v>1</v>
      </c>
      <c r="E2648" s="0" t="n">
        <f aca="true">CRITBINOM(D2648,Coefficients!$B$30,RAND())</f>
        <v>0</v>
      </c>
      <c r="F2648" s="0" t="n">
        <f aca="true">CRITBINOM(E2648,Coefficients!$B$31,RAND())</f>
        <v>0</v>
      </c>
      <c r="G2648" s="0" t="n">
        <f aca="true">CRITBINOM(MAX(0,D2648-E2648),1-Coefficients!$B$32,RAND())</f>
        <v>0</v>
      </c>
      <c r="H2648" s="0" t="n">
        <f aca="true">CRITBINOM(MAX(0,$C2648-D2648),MIN(0.6,Matchup!$B$40*SQRT($B2648)/(1-MIN(0.75,Matchup!$B$39*$B2648))),RAND())</f>
        <v>1</v>
      </c>
      <c r="I2648" s="0" t="n">
        <f aca="false">6*D2648+(D2648-E2648-G2648)+2*F2648+3*H2648</f>
        <v>10</v>
      </c>
      <c r="J2648" s="0" t="n">
        <f aca="true">CRITBINOM($C2648,MIN(0.75,Matchup!$C$39*$B2648),RAND())</f>
        <v>3</v>
      </c>
      <c r="K2648" s="0" t="n">
        <f aca="true">CRITBINOM(J2648,Coefficients!$B$30,RAND())</f>
        <v>0</v>
      </c>
      <c r="L2648" s="0" t="n">
        <f aca="true">CRITBINOM(K2648,Coefficients!$B$31,RAND())</f>
        <v>0</v>
      </c>
      <c r="M2648" s="0" t="n">
        <f aca="true">CRITBINOM(MAX(0,J2648-K2648),1-Coefficients!$B$32,RAND())</f>
        <v>0</v>
      </c>
      <c r="N2648" s="0" t="n">
        <f aca="true">CRITBINOM(MAX(0,$C2648-J2648),MIN(0.6,Matchup!$C$40*SQRT($B2648)/(1-MIN(0.75,Matchup!$C$39*$B2648))),RAND())</f>
        <v>4</v>
      </c>
      <c r="O2648" s="0" t="n">
        <f aca="false">6*J2648+(J2648-K2648-M2648)+2*L2648+3*N2648</f>
        <v>33</v>
      </c>
      <c r="P2648" s="0" t="n">
        <f aca="true">RAND()</f>
        <v>0.762352496785918</v>
      </c>
      <c r="Q2648" s="0" t="n">
        <f aca="true">RAND()</f>
        <v>0.772801327716704</v>
      </c>
      <c r="R2648" s="0" t="n">
        <f aca="false">IF($I2648&lt;&gt;$O2648,0,IF(P2648&lt;Matchup!$B$39,7,IF(P2648&lt;Matchup!$B$39+Matchup!$B$40,3,0)))</f>
        <v>0</v>
      </c>
      <c r="S2648" s="0" t="n">
        <f aca="false">IF($I2648&lt;&gt;$O2648,0,IF(Q2648&lt;Matchup!$C$39,7,IF(Q2648&lt;Matchup!$C$39+Matchup!$C$40,3,0)))</f>
        <v>0</v>
      </c>
      <c r="T2648" s="0" t="n">
        <f aca="false">I2648+R2648</f>
        <v>10</v>
      </c>
      <c r="U2648" s="0" t="n">
        <f aca="false">O2648+S2648</f>
        <v>33</v>
      </c>
      <c r="V2648" s="0" t="n">
        <f aca="false">T2648-U2648</f>
        <v>-23</v>
      </c>
      <c r="W2648" s="0" t="n">
        <f aca="false">T2648+U2648</f>
        <v>43</v>
      </c>
    </row>
    <row r="2649" customFormat="false" ht="15" hidden="false" customHeight="false" outlineLevel="0" collapsed="false">
      <c r="A2649" s="0" t="n">
        <v>2646</v>
      </c>
      <c r="B2649" s="0" t="n">
        <f aca="true">NORMINV(RAND(),1,Coefficients!$B$22)</f>
        <v>0.983075784366971</v>
      </c>
      <c r="C2649" s="0" t="n">
        <f aca="true">MEDIAN(8,16,ROUND(NORMINV(RAND(),Coefficients!$B$20,Coefficients!$B$21),0))</f>
        <v>12</v>
      </c>
      <c r="D2649" s="0" t="n">
        <f aca="true">CRITBINOM($C2649,MIN(0.75,Matchup!$B$39*$B2649),RAND())</f>
        <v>2</v>
      </c>
      <c r="E2649" s="0" t="n">
        <f aca="true">CRITBINOM(D2649,Coefficients!$B$30,RAND())</f>
        <v>0</v>
      </c>
      <c r="F2649" s="0" t="n">
        <f aca="true">CRITBINOM(E2649,Coefficients!$B$31,RAND())</f>
        <v>0</v>
      </c>
      <c r="G2649" s="0" t="n">
        <f aca="true">CRITBINOM(MAX(0,D2649-E2649),1-Coefficients!$B$32,RAND())</f>
        <v>0</v>
      </c>
      <c r="H2649" s="0" t="n">
        <f aca="true">CRITBINOM(MAX(0,$C2649-D2649),MIN(0.6,Matchup!$B$40*SQRT($B2649)/(1-MIN(0.75,Matchup!$B$39*$B2649))),RAND())</f>
        <v>3</v>
      </c>
      <c r="I2649" s="0" t="n">
        <f aca="false">6*D2649+(D2649-E2649-G2649)+2*F2649+3*H2649</f>
        <v>23</v>
      </c>
      <c r="J2649" s="0" t="n">
        <f aca="true">CRITBINOM($C2649,MIN(0.75,Matchup!$C$39*$B2649),RAND())</f>
        <v>3</v>
      </c>
      <c r="K2649" s="0" t="n">
        <f aca="true">CRITBINOM(J2649,Coefficients!$B$30,RAND())</f>
        <v>0</v>
      </c>
      <c r="L2649" s="0" t="n">
        <f aca="true">CRITBINOM(K2649,Coefficients!$B$31,RAND())</f>
        <v>0</v>
      </c>
      <c r="M2649" s="0" t="n">
        <f aca="true">CRITBINOM(MAX(0,J2649-K2649),1-Coefficients!$B$32,RAND())</f>
        <v>0</v>
      </c>
      <c r="N2649" s="0" t="n">
        <f aca="true">CRITBINOM(MAX(0,$C2649-J2649),MIN(0.6,Matchup!$C$40*SQRT($B2649)/(1-MIN(0.75,Matchup!$C$39*$B2649))),RAND())</f>
        <v>5</v>
      </c>
      <c r="O2649" s="0" t="n">
        <f aca="false">6*J2649+(J2649-K2649-M2649)+2*L2649+3*N2649</f>
        <v>36</v>
      </c>
      <c r="P2649" s="0" t="n">
        <f aca="true">RAND()</f>
        <v>0.564429498064297</v>
      </c>
      <c r="Q2649" s="0" t="n">
        <f aca="true">RAND()</f>
        <v>0.229861702905124</v>
      </c>
      <c r="R2649" s="0" t="n">
        <f aca="false">IF($I2649&lt;&gt;$O2649,0,IF(P2649&lt;Matchup!$B$39,7,IF(P2649&lt;Matchup!$B$39+Matchup!$B$40,3,0)))</f>
        <v>0</v>
      </c>
      <c r="S2649" s="0" t="n">
        <f aca="false">IF($I2649&lt;&gt;$O2649,0,IF(Q2649&lt;Matchup!$C$39,7,IF(Q2649&lt;Matchup!$C$39+Matchup!$C$40,3,0)))</f>
        <v>0</v>
      </c>
      <c r="T2649" s="0" t="n">
        <f aca="false">I2649+R2649</f>
        <v>23</v>
      </c>
      <c r="U2649" s="0" t="n">
        <f aca="false">O2649+S2649</f>
        <v>36</v>
      </c>
      <c r="V2649" s="0" t="n">
        <f aca="false">T2649-U2649</f>
        <v>-13</v>
      </c>
      <c r="W2649" s="0" t="n">
        <f aca="false">T2649+U2649</f>
        <v>59</v>
      </c>
    </row>
    <row r="2650" customFormat="false" ht="15" hidden="false" customHeight="false" outlineLevel="0" collapsed="false">
      <c r="A2650" s="0" t="n">
        <v>2647</v>
      </c>
      <c r="B2650" s="0" t="n">
        <f aca="true">NORMINV(RAND(),1,Coefficients!$B$22)</f>
        <v>1.04419442490242</v>
      </c>
      <c r="C2650" s="0" t="n">
        <f aca="true">MEDIAN(8,16,ROUND(NORMINV(RAND(),Coefficients!$B$20,Coefficients!$B$21),0))</f>
        <v>12</v>
      </c>
      <c r="D2650" s="0" t="n">
        <f aca="true">CRITBINOM($C2650,MIN(0.75,Matchup!$B$39*$B2650),RAND())</f>
        <v>4</v>
      </c>
      <c r="E2650" s="0" t="n">
        <f aca="true">CRITBINOM(D2650,Coefficients!$B$30,RAND())</f>
        <v>0</v>
      </c>
      <c r="F2650" s="0" t="n">
        <f aca="true">CRITBINOM(E2650,Coefficients!$B$31,RAND())</f>
        <v>0</v>
      </c>
      <c r="G2650" s="0" t="n">
        <f aca="true">CRITBINOM(MAX(0,D2650-E2650),1-Coefficients!$B$32,RAND())</f>
        <v>0</v>
      </c>
      <c r="H2650" s="0" t="n">
        <f aca="true">CRITBINOM(MAX(0,$C2650-D2650),MIN(0.6,Matchup!$B$40*SQRT($B2650)/(1-MIN(0.75,Matchup!$B$39*$B2650))),RAND())</f>
        <v>1</v>
      </c>
      <c r="I2650" s="0" t="n">
        <f aca="false">6*D2650+(D2650-E2650-G2650)+2*F2650+3*H2650</f>
        <v>31</v>
      </c>
      <c r="J2650" s="0" t="n">
        <f aca="true">CRITBINOM($C2650,MIN(0.75,Matchup!$C$39*$B2650),RAND())</f>
        <v>2</v>
      </c>
      <c r="K2650" s="0" t="n">
        <f aca="true">CRITBINOM(J2650,Coefficients!$B$30,RAND())</f>
        <v>0</v>
      </c>
      <c r="L2650" s="0" t="n">
        <f aca="true">CRITBINOM(K2650,Coefficients!$B$31,RAND())</f>
        <v>0</v>
      </c>
      <c r="M2650" s="0" t="n">
        <f aca="true">CRITBINOM(MAX(0,J2650-K2650),1-Coefficients!$B$32,RAND())</f>
        <v>0</v>
      </c>
      <c r="N2650" s="0" t="n">
        <f aca="true">CRITBINOM(MAX(0,$C2650-J2650),MIN(0.6,Matchup!$C$40*SQRT($B2650)/(1-MIN(0.75,Matchup!$C$39*$B2650))),RAND())</f>
        <v>0</v>
      </c>
      <c r="O2650" s="0" t="n">
        <f aca="false">6*J2650+(J2650-K2650-M2650)+2*L2650+3*N2650</f>
        <v>14</v>
      </c>
      <c r="P2650" s="0" t="n">
        <f aca="true">RAND()</f>
        <v>0.850444002946089</v>
      </c>
      <c r="Q2650" s="0" t="n">
        <f aca="true">RAND()</f>
        <v>0.317881019289365</v>
      </c>
      <c r="R2650" s="0" t="n">
        <f aca="false">IF($I2650&lt;&gt;$O2650,0,IF(P2650&lt;Matchup!$B$39,7,IF(P2650&lt;Matchup!$B$39+Matchup!$B$40,3,0)))</f>
        <v>0</v>
      </c>
      <c r="S2650" s="0" t="n">
        <f aca="false">IF($I2650&lt;&gt;$O2650,0,IF(Q2650&lt;Matchup!$C$39,7,IF(Q2650&lt;Matchup!$C$39+Matchup!$C$40,3,0)))</f>
        <v>0</v>
      </c>
      <c r="T2650" s="0" t="n">
        <f aca="false">I2650+R2650</f>
        <v>31</v>
      </c>
      <c r="U2650" s="0" t="n">
        <f aca="false">O2650+S2650</f>
        <v>14</v>
      </c>
      <c r="V2650" s="0" t="n">
        <f aca="false">T2650-U2650</f>
        <v>17</v>
      </c>
      <c r="W2650" s="0" t="n">
        <f aca="false">T2650+U2650</f>
        <v>45</v>
      </c>
    </row>
    <row r="2651" customFormat="false" ht="15" hidden="false" customHeight="false" outlineLevel="0" collapsed="false">
      <c r="A2651" s="0" t="n">
        <v>2648</v>
      </c>
      <c r="B2651" s="0" t="n">
        <f aca="true">NORMINV(RAND(),1,Coefficients!$B$22)</f>
        <v>0.987209216183829</v>
      </c>
      <c r="C2651" s="0" t="n">
        <f aca="true">MEDIAN(8,16,ROUND(NORMINV(RAND(),Coefficients!$B$20,Coefficients!$B$21),0))</f>
        <v>11</v>
      </c>
      <c r="D2651" s="0" t="n">
        <f aca="true">CRITBINOM($C2651,MIN(0.75,Matchup!$B$39*$B2651),RAND())</f>
        <v>3</v>
      </c>
      <c r="E2651" s="0" t="n">
        <f aca="true">CRITBINOM(D2651,Coefficients!$B$30,RAND())</f>
        <v>0</v>
      </c>
      <c r="F2651" s="0" t="n">
        <f aca="true">CRITBINOM(E2651,Coefficients!$B$31,RAND())</f>
        <v>0</v>
      </c>
      <c r="G2651" s="0" t="n">
        <f aca="true">CRITBINOM(MAX(0,D2651-E2651),1-Coefficients!$B$32,RAND())</f>
        <v>0</v>
      </c>
      <c r="H2651" s="0" t="n">
        <f aca="true">CRITBINOM(MAX(0,$C2651-D2651),MIN(0.6,Matchup!$B$40*SQRT($B2651)/(1-MIN(0.75,Matchup!$B$39*$B2651))),RAND())</f>
        <v>1</v>
      </c>
      <c r="I2651" s="0" t="n">
        <f aca="false">6*D2651+(D2651-E2651-G2651)+2*F2651+3*H2651</f>
        <v>24</v>
      </c>
      <c r="J2651" s="0" t="n">
        <f aca="true">CRITBINOM($C2651,MIN(0.75,Matchup!$C$39*$B2651),RAND())</f>
        <v>4</v>
      </c>
      <c r="K2651" s="0" t="n">
        <f aca="true">CRITBINOM(J2651,Coefficients!$B$30,RAND())</f>
        <v>0</v>
      </c>
      <c r="L2651" s="0" t="n">
        <f aca="true">CRITBINOM(K2651,Coefficients!$B$31,RAND())</f>
        <v>0</v>
      </c>
      <c r="M2651" s="0" t="n">
        <f aca="true">CRITBINOM(MAX(0,J2651-K2651),1-Coefficients!$B$32,RAND())</f>
        <v>0</v>
      </c>
      <c r="N2651" s="0" t="n">
        <f aca="true">CRITBINOM(MAX(0,$C2651-J2651),MIN(0.6,Matchup!$C$40*SQRT($B2651)/(1-MIN(0.75,Matchup!$C$39*$B2651))),RAND())</f>
        <v>1</v>
      </c>
      <c r="O2651" s="0" t="n">
        <f aca="false">6*J2651+(J2651-K2651-M2651)+2*L2651+3*N2651</f>
        <v>31</v>
      </c>
      <c r="P2651" s="0" t="n">
        <f aca="true">RAND()</f>
        <v>0.63351770827745</v>
      </c>
      <c r="Q2651" s="0" t="n">
        <f aca="true">RAND()</f>
        <v>0.120728320129394</v>
      </c>
      <c r="R2651" s="0" t="n">
        <f aca="false">IF($I2651&lt;&gt;$O2651,0,IF(P2651&lt;Matchup!$B$39,7,IF(P2651&lt;Matchup!$B$39+Matchup!$B$40,3,0)))</f>
        <v>0</v>
      </c>
      <c r="S2651" s="0" t="n">
        <f aca="false">IF($I2651&lt;&gt;$O2651,0,IF(Q2651&lt;Matchup!$C$39,7,IF(Q2651&lt;Matchup!$C$39+Matchup!$C$40,3,0)))</f>
        <v>0</v>
      </c>
      <c r="T2651" s="0" t="n">
        <f aca="false">I2651+R2651</f>
        <v>24</v>
      </c>
      <c r="U2651" s="0" t="n">
        <f aca="false">O2651+S2651</f>
        <v>31</v>
      </c>
      <c r="V2651" s="0" t="n">
        <f aca="false">T2651-U2651</f>
        <v>-7</v>
      </c>
      <c r="W2651" s="0" t="n">
        <f aca="false">T2651+U2651</f>
        <v>55</v>
      </c>
    </row>
    <row r="2652" customFormat="false" ht="15" hidden="false" customHeight="false" outlineLevel="0" collapsed="false">
      <c r="A2652" s="0" t="n">
        <v>2649</v>
      </c>
      <c r="B2652" s="0" t="n">
        <f aca="true">NORMINV(RAND(),1,Coefficients!$B$22)</f>
        <v>0.904299801804255</v>
      </c>
      <c r="C2652" s="0" t="n">
        <f aca="true">MEDIAN(8,16,ROUND(NORMINV(RAND(),Coefficients!$B$20,Coefficients!$B$21),0))</f>
        <v>12</v>
      </c>
      <c r="D2652" s="0" t="n">
        <f aca="true">CRITBINOM($C2652,MIN(0.75,Matchup!$B$39*$B2652),RAND())</f>
        <v>3</v>
      </c>
      <c r="E2652" s="0" t="n">
        <f aca="true">CRITBINOM(D2652,Coefficients!$B$30,RAND())</f>
        <v>0</v>
      </c>
      <c r="F2652" s="0" t="n">
        <f aca="true">CRITBINOM(E2652,Coefficients!$B$31,RAND())</f>
        <v>0</v>
      </c>
      <c r="G2652" s="0" t="n">
        <f aca="true">CRITBINOM(MAX(0,D2652-E2652),1-Coefficients!$B$32,RAND())</f>
        <v>1</v>
      </c>
      <c r="H2652" s="0" t="n">
        <f aca="true">CRITBINOM(MAX(0,$C2652-D2652),MIN(0.6,Matchup!$B$40*SQRT($B2652)/(1-MIN(0.75,Matchup!$B$39*$B2652))),RAND())</f>
        <v>0</v>
      </c>
      <c r="I2652" s="0" t="n">
        <f aca="false">6*D2652+(D2652-E2652-G2652)+2*F2652+3*H2652</f>
        <v>20</v>
      </c>
      <c r="J2652" s="0" t="n">
        <f aca="true">CRITBINOM($C2652,MIN(0.75,Matchup!$C$39*$B2652),RAND())</f>
        <v>0</v>
      </c>
      <c r="K2652" s="0" t="n">
        <f aca="true">CRITBINOM(J2652,Coefficients!$B$30,RAND())</f>
        <v>0</v>
      </c>
      <c r="L2652" s="0" t="n">
        <f aca="true">CRITBINOM(K2652,Coefficients!$B$31,RAND())</f>
        <v>0</v>
      </c>
      <c r="M2652" s="0" t="n">
        <f aca="true">CRITBINOM(MAX(0,J2652-K2652),1-Coefficients!$B$32,RAND())</f>
        <v>0</v>
      </c>
      <c r="N2652" s="0" t="n">
        <f aca="true">CRITBINOM(MAX(0,$C2652-J2652),MIN(0.6,Matchup!$C$40*SQRT($B2652)/(1-MIN(0.75,Matchup!$C$39*$B2652))),RAND())</f>
        <v>2</v>
      </c>
      <c r="O2652" s="0" t="n">
        <f aca="false">6*J2652+(J2652-K2652-M2652)+2*L2652+3*N2652</f>
        <v>6</v>
      </c>
      <c r="P2652" s="0" t="n">
        <f aca="true">RAND()</f>
        <v>0.302126164733703</v>
      </c>
      <c r="Q2652" s="0" t="n">
        <f aca="true">RAND()</f>
        <v>0.971962309207286</v>
      </c>
      <c r="R2652" s="0" t="n">
        <f aca="false">IF($I2652&lt;&gt;$O2652,0,IF(P2652&lt;Matchup!$B$39,7,IF(P2652&lt;Matchup!$B$39+Matchup!$B$40,3,0)))</f>
        <v>0</v>
      </c>
      <c r="S2652" s="0" t="n">
        <f aca="false">IF($I2652&lt;&gt;$O2652,0,IF(Q2652&lt;Matchup!$C$39,7,IF(Q2652&lt;Matchup!$C$39+Matchup!$C$40,3,0)))</f>
        <v>0</v>
      </c>
      <c r="T2652" s="0" t="n">
        <f aca="false">I2652+R2652</f>
        <v>20</v>
      </c>
      <c r="U2652" s="0" t="n">
        <f aca="false">O2652+S2652</f>
        <v>6</v>
      </c>
      <c r="V2652" s="0" t="n">
        <f aca="false">T2652-U2652</f>
        <v>14</v>
      </c>
      <c r="W2652" s="0" t="n">
        <f aca="false">T2652+U2652</f>
        <v>26</v>
      </c>
    </row>
    <row r="2653" customFormat="false" ht="15" hidden="false" customHeight="false" outlineLevel="0" collapsed="false">
      <c r="A2653" s="0" t="n">
        <v>2650</v>
      </c>
      <c r="B2653" s="0" t="n">
        <f aca="true">NORMINV(RAND(),1,Coefficients!$B$22)</f>
        <v>1.06012967498413</v>
      </c>
      <c r="C2653" s="0" t="n">
        <f aca="true">MEDIAN(8,16,ROUND(NORMINV(RAND(),Coefficients!$B$20,Coefficients!$B$21),0))</f>
        <v>11</v>
      </c>
      <c r="D2653" s="0" t="n">
        <f aca="true">CRITBINOM($C2653,MIN(0.75,Matchup!$B$39*$B2653),RAND())</f>
        <v>3</v>
      </c>
      <c r="E2653" s="0" t="n">
        <f aca="true">CRITBINOM(D2653,Coefficients!$B$30,RAND())</f>
        <v>0</v>
      </c>
      <c r="F2653" s="0" t="n">
        <f aca="true">CRITBINOM(E2653,Coefficients!$B$31,RAND())</f>
        <v>0</v>
      </c>
      <c r="G2653" s="0" t="n">
        <f aca="true">CRITBINOM(MAX(0,D2653-E2653),1-Coefficients!$B$32,RAND())</f>
        <v>0</v>
      </c>
      <c r="H2653" s="0" t="n">
        <f aca="true">CRITBINOM(MAX(0,$C2653-D2653),MIN(0.6,Matchup!$B$40*SQRT($B2653)/(1-MIN(0.75,Matchup!$B$39*$B2653))),RAND())</f>
        <v>2</v>
      </c>
      <c r="I2653" s="0" t="n">
        <f aca="false">6*D2653+(D2653-E2653-G2653)+2*F2653+3*H2653</f>
        <v>27</v>
      </c>
      <c r="J2653" s="0" t="n">
        <f aca="true">CRITBINOM($C2653,MIN(0.75,Matchup!$C$39*$B2653),RAND())</f>
        <v>3</v>
      </c>
      <c r="K2653" s="0" t="n">
        <f aca="true">CRITBINOM(J2653,Coefficients!$B$30,RAND())</f>
        <v>1</v>
      </c>
      <c r="L2653" s="0" t="n">
        <f aca="true">CRITBINOM(K2653,Coefficients!$B$31,RAND())</f>
        <v>0</v>
      </c>
      <c r="M2653" s="0" t="n">
        <f aca="true">CRITBINOM(MAX(0,J2653-K2653),1-Coefficients!$B$32,RAND())</f>
        <v>0</v>
      </c>
      <c r="N2653" s="0" t="n">
        <f aca="true">CRITBINOM(MAX(0,$C2653-J2653),MIN(0.6,Matchup!$C$40*SQRT($B2653)/(1-MIN(0.75,Matchup!$C$39*$B2653))),RAND())</f>
        <v>1</v>
      </c>
      <c r="O2653" s="0" t="n">
        <f aca="false">6*J2653+(J2653-K2653-M2653)+2*L2653+3*N2653</f>
        <v>23</v>
      </c>
      <c r="P2653" s="0" t="n">
        <f aca="true">RAND()</f>
        <v>0.711885309488615</v>
      </c>
      <c r="Q2653" s="0" t="n">
        <f aca="true">RAND()</f>
        <v>0.116041552315836</v>
      </c>
      <c r="R2653" s="0" t="n">
        <f aca="false">IF($I2653&lt;&gt;$O2653,0,IF(P2653&lt;Matchup!$B$39,7,IF(P2653&lt;Matchup!$B$39+Matchup!$B$40,3,0)))</f>
        <v>0</v>
      </c>
      <c r="S2653" s="0" t="n">
        <f aca="false">IF($I2653&lt;&gt;$O2653,0,IF(Q2653&lt;Matchup!$C$39,7,IF(Q2653&lt;Matchup!$C$39+Matchup!$C$40,3,0)))</f>
        <v>0</v>
      </c>
      <c r="T2653" s="0" t="n">
        <f aca="false">I2653+R2653</f>
        <v>27</v>
      </c>
      <c r="U2653" s="0" t="n">
        <f aca="false">O2653+S2653</f>
        <v>23</v>
      </c>
      <c r="V2653" s="0" t="n">
        <f aca="false">T2653-U2653</f>
        <v>4</v>
      </c>
      <c r="W2653" s="0" t="n">
        <f aca="false">T2653+U2653</f>
        <v>50</v>
      </c>
    </row>
    <row r="2654" customFormat="false" ht="15" hidden="false" customHeight="false" outlineLevel="0" collapsed="false">
      <c r="A2654" s="0" t="n">
        <v>2651</v>
      </c>
      <c r="B2654" s="0" t="n">
        <f aca="true">NORMINV(RAND(),1,Coefficients!$B$22)</f>
        <v>0.856143921942378</v>
      </c>
      <c r="C2654" s="0" t="n">
        <f aca="true">MEDIAN(8,16,ROUND(NORMINV(RAND(),Coefficients!$B$20,Coefficients!$B$21),0))</f>
        <v>10</v>
      </c>
      <c r="D2654" s="0" t="n">
        <f aca="true">CRITBINOM($C2654,MIN(0.75,Matchup!$B$39*$B2654),RAND())</f>
        <v>1</v>
      </c>
      <c r="E2654" s="0" t="n">
        <f aca="true">CRITBINOM(D2654,Coefficients!$B$30,RAND())</f>
        <v>0</v>
      </c>
      <c r="F2654" s="0" t="n">
        <f aca="true">CRITBINOM(E2654,Coefficients!$B$31,RAND())</f>
        <v>0</v>
      </c>
      <c r="G2654" s="0" t="n">
        <f aca="true">CRITBINOM(MAX(0,D2654-E2654),1-Coefficients!$B$32,RAND())</f>
        <v>0</v>
      </c>
      <c r="H2654" s="0" t="n">
        <f aca="true">CRITBINOM(MAX(0,$C2654-D2654),MIN(0.6,Matchup!$B$40*SQRT($B2654)/(1-MIN(0.75,Matchup!$B$39*$B2654))),RAND())</f>
        <v>2</v>
      </c>
      <c r="I2654" s="0" t="n">
        <f aca="false">6*D2654+(D2654-E2654-G2654)+2*F2654+3*H2654</f>
        <v>13</v>
      </c>
      <c r="J2654" s="0" t="n">
        <f aca="true">CRITBINOM($C2654,MIN(0.75,Matchup!$C$39*$B2654),RAND())</f>
        <v>1</v>
      </c>
      <c r="K2654" s="0" t="n">
        <f aca="true">CRITBINOM(J2654,Coefficients!$B$30,RAND())</f>
        <v>0</v>
      </c>
      <c r="L2654" s="0" t="n">
        <f aca="true">CRITBINOM(K2654,Coefficients!$B$31,RAND())</f>
        <v>0</v>
      </c>
      <c r="M2654" s="0" t="n">
        <f aca="true">CRITBINOM(MAX(0,J2654-K2654),1-Coefficients!$B$32,RAND())</f>
        <v>0</v>
      </c>
      <c r="N2654" s="0" t="n">
        <f aca="true">CRITBINOM(MAX(0,$C2654-J2654),MIN(0.6,Matchup!$C$40*SQRT($B2654)/(1-MIN(0.75,Matchup!$C$39*$B2654))),RAND())</f>
        <v>0</v>
      </c>
      <c r="O2654" s="0" t="n">
        <f aca="false">6*J2654+(J2654-K2654-M2654)+2*L2654+3*N2654</f>
        <v>7</v>
      </c>
      <c r="P2654" s="0" t="n">
        <f aca="true">RAND()</f>
        <v>0.781236953109384</v>
      </c>
      <c r="Q2654" s="0" t="n">
        <f aca="true">RAND()</f>
        <v>0.466302818051296</v>
      </c>
      <c r="R2654" s="0" t="n">
        <f aca="false">IF($I2654&lt;&gt;$O2654,0,IF(P2654&lt;Matchup!$B$39,7,IF(P2654&lt;Matchup!$B$39+Matchup!$B$40,3,0)))</f>
        <v>0</v>
      </c>
      <c r="S2654" s="0" t="n">
        <f aca="false">IF($I2654&lt;&gt;$O2654,0,IF(Q2654&lt;Matchup!$C$39,7,IF(Q2654&lt;Matchup!$C$39+Matchup!$C$40,3,0)))</f>
        <v>0</v>
      </c>
      <c r="T2654" s="0" t="n">
        <f aca="false">I2654+R2654</f>
        <v>13</v>
      </c>
      <c r="U2654" s="0" t="n">
        <f aca="false">O2654+S2654</f>
        <v>7</v>
      </c>
      <c r="V2654" s="0" t="n">
        <f aca="false">T2654-U2654</f>
        <v>6</v>
      </c>
      <c r="W2654" s="0" t="n">
        <f aca="false">T2654+U2654</f>
        <v>20</v>
      </c>
    </row>
    <row r="2655" customFormat="false" ht="15" hidden="false" customHeight="false" outlineLevel="0" collapsed="false">
      <c r="A2655" s="0" t="n">
        <v>2652</v>
      </c>
      <c r="B2655" s="0" t="n">
        <f aca="true">NORMINV(RAND(),1,Coefficients!$B$22)</f>
        <v>0.952891522865962</v>
      </c>
      <c r="C2655" s="0" t="n">
        <f aca="true">MEDIAN(8,16,ROUND(NORMINV(RAND(),Coefficients!$B$20,Coefficients!$B$21),0))</f>
        <v>9</v>
      </c>
      <c r="D2655" s="0" t="n">
        <f aca="true">CRITBINOM($C2655,MIN(0.75,Matchup!$B$39*$B2655),RAND())</f>
        <v>2</v>
      </c>
      <c r="E2655" s="0" t="n">
        <f aca="true">CRITBINOM(D2655,Coefficients!$B$30,RAND())</f>
        <v>0</v>
      </c>
      <c r="F2655" s="0" t="n">
        <f aca="true">CRITBINOM(E2655,Coefficients!$B$31,RAND())</f>
        <v>0</v>
      </c>
      <c r="G2655" s="0" t="n">
        <f aca="true">CRITBINOM(MAX(0,D2655-E2655),1-Coefficients!$B$32,RAND())</f>
        <v>0</v>
      </c>
      <c r="H2655" s="0" t="n">
        <f aca="true">CRITBINOM(MAX(0,$C2655-D2655),MIN(0.6,Matchup!$B$40*SQRT($B2655)/(1-MIN(0.75,Matchup!$B$39*$B2655))),RAND())</f>
        <v>0</v>
      </c>
      <c r="I2655" s="0" t="n">
        <f aca="false">6*D2655+(D2655-E2655-G2655)+2*F2655+3*H2655</f>
        <v>14</v>
      </c>
      <c r="J2655" s="0" t="n">
        <f aca="true">CRITBINOM($C2655,MIN(0.75,Matchup!$C$39*$B2655),RAND())</f>
        <v>2</v>
      </c>
      <c r="K2655" s="0" t="n">
        <f aca="true">CRITBINOM(J2655,Coefficients!$B$30,RAND())</f>
        <v>0</v>
      </c>
      <c r="L2655" s="0" t="n">
        <f aca="true">CRITBINOM(K2655,Coefficients!$B$31,RAND())</f>
        <v>0</v>
      </c>
      <c r="M2655" s="0" t="n">
        <f aca="true">CRITBINOM(MAX(0,J2655-K2655),1-Coefficients!$B$32,RAND())</f>
        <v>0</v>
      </c>
      <c r="N2655" s="0" t="n">
        <f aca="true">CRITBINOM(MAX(0,$C2655-J2655),MIN(0.6,Matchup!$C$40*SQRT($B2655)/(1-MIN(0.75,Matchup!$C$39*$B2655))),RAND())</f>
        <v>2</v>
      </c>
      <c r="O2655" s="0" t="n">
        <f aca="false">6*J2655+(J2655-K2655-M2655)+2*L2655+3*N2655</f>
        <v>20</v>
      </c>
      <c r="P2655" s="0" t="n">
        <f aca="true">RAND()</f>
        <v>0.23608882075323</v>
      </c>
      <c r="Q2655" s="0" t="n">
        <f aca="true">RAND()</f>
        <v>0.869624896618458</v>
      </c>
      <c r="R2655" s="0" t="n">
        <f aca="false">IF($I2655&lt;&gt;$O2655,0,IF(P2655&lt;Matchup!$B$39,7,IF(P2655&lt;Matchup!$B$39+Matchup!$B$40,3,0)))</f>
        <v>0</v>
      </c>
      <c r="S2655" s="0" t="n">
        <f aca="false">IF($I2655&lt;&gt;$O2655,0,IF(Q2655&lt;Matchup!$C$39,7,IF(Q2655&lt;Matchup!$C$39+Matchup!$C$40,3,0)))</f>
        <v>0</v>
      </c>
      <c r="T2655" s="0" t="n">
        <f aca="false">I2655+R2655</f>
        <v>14</v>
      </c>
      <c r="U2655" s="0" t="n">
        <f aca="false">O2655+S2655</f>
        <v>20</v>
      </c>
      <c r="V2655" s="0" t="n">
        <f aca="false">T2655-U2655</f>
        <v>-6</v>
      </c>
      <c r="W2655" s="0" t="n">
        <f aca="false">T2655+U2655</f>
        <v>34</v>
      </c>
    </row>
    <row r="2656" customFormat="false" ht="15" hidden="false" customHeight="false" outlineLevel="0" collapsed="false">
      <c r="A2656" s="0" t="n">
        <v>2653</v>
      </c>
      <c r="B2656" s="0" t="n">
        <f aca="true">NORMINV(RAND(),1,Coefficients!$B$22)</f>
        <v>0.96814486037052</v>
      </c>
      <c r="C2656" s="0" t="n">
        <f aca="true">MEDIAN(8,16,ROUND(NORMINV(RAND(),Coefficients!$B$20,Coefficients!$B$21),0))</f>
        <v>10</v>
      </c>
      <c r="D2656" s="0" t="n">
        <f aca="true">CRITBINOM($C2656,MIN(0.75,Matchup!$B$39*$B2656),RAND())</f>
        <v>1</v>
      </c>
      <c r="E2656" s="0" t="n">
        <f aca="true">CRITBINOM(D2656,Coefficients!$B$30,RAND())</f>
        <v>0</v>
      </c>
      <c r="F2656" s="0" t="n">
        <f aca="true">CRITBINOM(E2656,Coefficients!$B$31,RAND())</f>
        <v>0</v>
      </c>
      <c r="G2656" s="0" t="n">
        <f aca="true">CRITBINOM(MAX(0,D2656-E2656),1-Coefficients!$B$32,RAND())</f>
        <v>0</v>
      </c>
      <c r="H2656" s="0" t="n">
        <f aca="true">CRITBINOM(MAX(0,$C2656-D2656),MIN(0.6,Matchup!$B$40*SQRT($B2656)/(1-MIN(0.75,Matchup!$B$39*$B2656))),RAND())</f>
        <v>0</v>
      </c>
      <c r="I2656" s="0" t="n">
        <f aca="false">6*D2656+(D2656-E2656-G2656)+2*F2656+3*H2656</f>
        <v>7</v>
      </c>
      <c r="J2656" s="0" t="n">
        <f aca="true">CRITBINOM($C2656,MIN(0.75,Matchup!$C$39*$B2656),RAND())</f>
        <v>3</v>
      </c>
      <c r="K2656" s="0" t="n">
        <f aca="true">CRITBINOM(J2656,Coefficients!$B$30,RAND())</f>
        <v>0</v>
      </c>
      <c r="L2656" s="0" t="n">
        <f aca="true">CRITBINOM(K2656,Coefficients!$B$31,RAND())</f>
        <v>0</v>
      </c>
      <c r="M2656" s="0" t="n">
        <f aca="true">CRITBINOM(MAX(0,J2656-K2656),1-Coefficients!$B$32,RAND())</f>
        <v>0</v>
      </c>
      <c r="N2656" s="0" t="n">
        <f aca="true">CRITBINOM(MAX(0,$C2656-J2656),MIN(0.6,Matchup!$C$40*SQRT($B2656)/(1-MIN(0.75,Matchup!$C$39*$B2656))),RAND())</f>
        <v>3</v>
      </c>
      <c r="O2656" s="0" t="n">
        <f aca="false">6*J2656+(J2656-K2656-M2656)+2*L2656+3*N2656</f>
        <v>30</v>
      </c>
      <c r="P2656" s="0" t="n">
        <f aca="true">RAND()</f>
        <v>0.459917343086949</v>
      </c>
      <c r="Q2656" s="0" t="n">
        <f aca="true">RAND()</f>
        <v>0.76334542374668</v>
      </c>
      <c r="R2656" s="0" t="n">
        <f aca="false">IF($I2656&lt;&gt;$O2656,0,IF(P2656&lt;Matchup!$B$39,7,IF(P2656&lt;Matchup!$B$39+Matchup!$B$40,3,0)))</f>
        <v>0</v>
      </c>
      <c r="S2656" s="0" t="n">
        <f aca="false">IF($I2656&lt;&gt;$O2656,0,IF(Q2656&lt;Matchup!$C$39,7,IF(Q2656&lt;Matchup!$C$39+Matchup!$C$40,3,0)))</f>
        <v>0</v>
      </c>
      <c r="T2656" s="0" t="n">
        <f aca="false">I2656+R2656</f>
        <v>7</v>
      </c>
      <c r="U2656" s="0" t="n">
        <f aca="false">O2656+S2656</f>
        <v>30</v>
      </c>
      <c r="V2656" s="0" t="n">
        <f aca="false">T2656-U2656</f>
        <v>-23</v>
      </c>
      <c r="W2656" s="0" t="n">
        <f aca="false">T2656+U2656</f>
        <v>37</v>
      </c>
    </row>
    <row r="2657" customFormat="false" ht="15" hidden="false" customHeight="false" outlineLevel="0" collapsed="false">
      <c r="A2657" s="0" t="n">
        <v>2654</v>
      </c>
      <c r="B2657" s="0" t="n">
        <f aca="true">NORMINV(RAND(),1,Coefficients!$B$22)</f>
        <v>1.11821263161146</v>
      </c>
      <c r="C2657" s="0" t="n">
        <f aca="true">MEDIAN(8,16,ROUND(NORMINV(RAND(),Coefficients!$B$20,Coefficients!$B$21),0))</f>
        <v>11</v>
      </c>
      <c r="D2657" s="0" t="n">
        <f aca="true">CRITBINOM($C2657,MIN(0.75,Matchup!$B$39*$B2657),RAND())</f>
        <v>4</v>
      </c>
      <c r="E2657" s="0" t="n">
        <f aca="true">CRITBINOM(D2657,Coefficients!$B$30,RAND())</f>
        <v>1</v>
      </c>
      <c r="F2657" s="0" t="n">
        <f aca="true">CRITBINOM(E2657,Coefficients!$B$31,RAND())</f>
        <v>1</v>
      </c>
      <c r="G2657" s="0" t="n">
        <f aca="true">CRITBINOM(MAX(0,D2657-E2657),1-Coefficients!$B$32,RAND())</f>
        <v>0</v>
      </c>
      <c r="H2657" s="0" t="n">
        <f aca="true">CRITBINOM(MAX(0,$C2657-D2657),MIN(0.6,Matchup!$B$40*SQRT($B2657)/(1-MIN(0.75,Matchup!$B$39*$B2657))),RAND())</f>
        <v>2</v>
      </c>
      <c r="I2657" s="0" t="n">
        <f aca="false">6*D2657+(D2657-E2657-G2657)+2*F2657+3*H2657</f>
        <v>35</v>
      </c>
      <c r="J2657" s="0" t="n">
        <f aca="true">CRITBINOM($C2657,MIN(0.75,Matchup!$C$39*$B2657),RAND())</f>
        <v>1</v>
      </c>
      <c r="K2657" s="0" t="n">
        <f aca="true">CRITBINOM(J2657,Coefficients!$B$30,RAND())</f>
        <v>0</v>
      </c>
      <c r="L2657" s="0" t="n">
        <f aca="true">CRITBINOM(K2657,Coefficients!$B$31,RAND())</f>
        <v>0</v>
      </c>
      <c r="M2657" s="0" t="n">
        <f aca="true">CRITBINOM(MAX(0,J2657-K2657),1-Coefficients!$B$32,RAND())</f>
        <v>0</v>
      </c>
      <c r="N2657" s="0" t="n">
        <f aca="true">CRITBINOM(MAX(0,$C2657-J2657),MIN(0.6,Matchup!$C$40*SQRT($B2657)/(1-MIN(0.75,Matchup!$C$39*$B2657))),RAND())</f>
        <v>4</v>
      </c>
      <c r="O2657" s="0" t="n">
        <f aca="false">6*J2657+(J2657-K2657-M2657)+2*L2657+3*N2657</f>
        <v>19</v>
      </c>
      <c r="P2657" s="0" t="n">
        <f aca="true">RAND()</f>
        <v>0.927341279471615</v>
      </c>
      <c r="Q2657" s="0" t="n">
        <f aca="true">RAND()</f>
        <v>0.320647519252999</v>
      </c>
      <c r="R2657" s="0" t="n">
        <f aca="false">IF($I2657&lt;&gt;$O2657,0,IF(P2657&lt;Matchup!$B$39,7,IF(P2657&lt;Matchup!$B$39+Matchup!$B$40,3,0)))</f>
        <v>0</v>
      </c>
      <c r="S2657" s="0" t="n">
        <f aca="false">IF($I2657&lt;&gt;$O2657,0,IF(Q2657&lt;Matchup!$C$39,7,IF(Q2657&lt;Matchup!$C$39+Matchup!$C$40,3,0)))</f>
        <v>0</v>
      </c>
      <c r="T2657" s="0" t="n">
        <f aca="false">I2657+R2657</f>
        <v>35</v>
      </c>
      <c r="U2657" s="0" t="n">
        <f aca="false">O2657+S2657</f>
        <v>19</v>
      </c>
      <c r="V2657" s="0" t="n">
        <f aca="false">T2657-U2657</f>
        <v>16</v>
      </c>
      <c r="W2657" s="0" t="n">
        <f aca="false">T2657+U2657</f>
        <v>54</v>
      </c>
    </row>
    <row r="2658" customFormat="false" ht="15" hidden="false" customHeight="false" outlineLevel="0" collapsed="false">
      <c r="A2658" s="0" t="n">
        <v>2655</v>
      </c>
      <c r="B2658" s="0" t="n">
        <f aca="true">NORMINV(RAND(),1,Coefficients!$B$22)</f>
        <v>1.02767594388765</v>
      </c>
      <c r="C2658" s="0" t="n">
        <f aca="true">MEDIAN(8,16,ROUND(NORMINV(RAND(),Coefficients!$B$20,Coefficients!$B$21),0))</f>
        <v>9</v>
      </c>
      <c r="D2658" s="0" t="n">
        <f aca="true">CRITBINOM($C2658,MIN(0.75,Matchup!$B$39*$B2658),RAND())</f>
        <v>5</v>
      </c>
      <c r="E2658" s="0" t="n">
        <f aca="true">CRITBINOM(D2658,Coefficients!$B$30,RAND())</f>
        <v>0</v>
      </c>
      <c r="F2658" s="0" t="n">
        <f aca="true">CRITBINOM(E2658,Coefficients!$B$31,RAND())</f>
        <v>0</v>
      </c>
      <c r="G2658" s="0" t="n">
        <f aca="true">CRITBINOM(MAX(0,D2658-E2658),1-Coefficients!$B$32,RAND())</f>
        <v>0</v>
      </c>
      <c r="H2658" s="0" t="n">
        <f aca="true">CRITBINOM(MAX(0,$C2658-D2658),MIN(0.6,Matchup!$B$40*SQRT($B2658)/(1-MIN(0.75,Matchup!$B$39*$B2658))),RAND())</f>
        <v>1</v>
      </c>
      <c r="I2658" s="0" t="n">
        <f aca="false">6*D2658+(D2658-E2658-G2658)+2*F2658+3*H2658</f>
        <v>38</v>
      </c>
      <c r="J2658" s="0" t="n">
        <f aca="true">CRITBINOM($C2658,MIN(0.75,Matchup!$C$39*$B2658),RAND())</f>
        <v>4</v>
      </c>
      <c r="K2658" s="0" t="n">
        <f aca="true">CRITBINOM(J2658,Coefficients!$B$30,RAND())</f>
        <v>0</v>
      </c>
      <c r="L2658" s="0" t="n">
        <f aca="true">CRITBINOM(K2658,Coefficients!$B$31,RAND())</f>
        <v>0</v>
      </c>
      <c r="M2658" s="0" t="n">
        <f aca="true">CRITBINOM(MAX(0,J2658-K2658),1-Coefficients!$B$32,RAND())</f>
        <v>0</v>
      </c>
      <c r="N2658" s="0" t="n">
        <f aca="true">CRITBINOM(MAX(0,$C2658-J2658),MIN(0.6,Matchup!$C$40*SQRT($B2658)/(1-MIN(0.75,Matchup!$C$39*$B2658))),RAND())</f>
        <v>0</v>
      </c>
      <c r="O2658" s="0" t="n">
        <f aca="false">6*J2658+(J2658-K2658-M2658)+2*L2658+3*N2658</f>
        <v>28</v>
      </c>
      <c r="P2658" s="0" t="n">
        <f aca="true">RAND()</f>
        <v>0.939861813462075</v>
      </c>
      <c r="Q2658" s="0" t="n">
        <f aca="true">RAND()</f>
        <v>0.999222883636684</v>
      </c>
      <c r="R2658" s="0" t="n">
        <f aca="false">IF($I2658&lt;&gt;$O2658,0,IF(P2658&lt;Matchup!$B$39,7,IF(P2658&lt;Matchup!$B$39+Matchup!$B$40,3,0)))</f>
        <v>0</v>
      </c>
      <c r="S2658" s="0" t="n">
        <f aca="false">IF($I2658&lt;&gt;$O2658,0,IF(Q2658&lt;Matchup!$C$39,7,IF(Q2658&lt;Matchup!$C$39+Matchup!$C$40,3,0)))</f>
        <v>0</v>
      </c>
      <c r="T2658" s="0" t="n">
        <f aca="false">I2658+R2658</f>
        <v>38</v>
      </c>
      <c r="U2658" s="0" t="n">
        <f aca="false">O2658+S2658</f>
        <v>28</v>
      </c>
      <c r="V2658" s="0" t="n">
        <f aca="false">T2658-U2658</f>
        <v>10</v>
      </c>
      <c r="W2658" s="0" t="n">
        <f aca="false">T2658+U2658</f>
        <v>66</v>
      </c>
    </row>
    <row r="2659" customFormat="false" ht="15" hidden="false" customHeight="false" outlineLevel="0" collapsed="false">
      <c r="A2659" s="0" t="n">
        <v>2656</v>
      </c>
      <c r="B2659" s="0" t="n">
        <f aca="true">NORMINV(RAND(),1,Coefficients!$B$22)</f>
        <v>1.0804889306309</v>
      </c>
      <c r="C2659" s="0" t="n">
        <f aca="true">MEDIAN(8,16,ROUND(NORMINV(RAND(),Coefficients!$B$20,Coefficients!$B$21),0))</f>
        <v>11</v>
      </c>
      <c r="D2659" s="0" t="n">
        <f aca="true">CRITBINOM($C2659,MIN(0.75,Matchup!$B$39*$B2659),RAND())</f>
        <v>4</v>
      </c>
      <c r="E2659" s="0" t="n">
        <f aca="true">CRITBINOM(D2659,Coefficients!$B$30,RAND())</f>
        <v>0</v>
      </c>
      <c r="F2659" s="0" t="n">
        <f aca="true">CRITBINOM(E2659,Coefficients!$B$31,RAND())</f>
        <v>0</v>
      </c>
      <c r="G2659" s="0" t="n">
        <f aca="true">CRITBINOM(MAX(0,D2659-E2659),1-Coefficients!$B$32,RAND())</f>
        <v>0</v>
      </c>
      <c r="H2659" s="0" t="n">
        <f aca="true">CRITBINOM(MAX(0,$C2659-D2659),MIN(0.6,Matchup!$B$40*SQRT($B2659)/(1-MIN(0.75,Matchup!$B$39*$B2659))),RAND())</f>
        <v>1</v>
      </c>
      <c r="I2659" s="0" t="n">
        <f aca="false">6*D2659+(D2659-E2659-G2659)+2*F2659+3*H2659</f>
        <v>31</v>
      </c>
      <c r="J2659" s="0" t="n">
        <f aca="true">CRITBINOM($C2659,MIN(0.75,Matchup!$C$39*$B2659),RAND())</f>
        <v>2</v>
      </c>
      <c r="K2659" s="0" t="n">
        <f aca="true">CRITBINOM(J2659,Coefficients!$B$30,RAND())</f>
        <v>0</v>
      </c>
      <c r="L2659" s="0" t="n">
        <f aca="true">CRITBINOM(K2659,Coefficients!$B$31,RAND())</f>
        <v>0</v>
      </c>
      <c r="M2659" s="0" t="n">
        <f aca="true">CRITBINOM(MAX(0,J2659-K2659),1-Coefficients!$B$32,RAND())</f>
        <v>0</v>
      </c>
      <c r="N2659" s="0" t="n">
        <f aca="true">CRITBINOM(MAX(0,$C2659-J2659),MIN(0.6,Matchup!$C$40*SQRT($B2659)/(1-MIN(0.75,Matchup!$C$39*$B2659))),RAND())</f>
        <v>1</v>
      </c>
      <c r="O2659" s="0" t="n">
        <f aca="false">6*J2659+(J2659-K2659-M2659)+2*L2659+3*N2659</f>
        <v>17</v>
      </c>
      <c r="P2659" s="0" t="n">
        <f aca="true">RAND()</f>
        <v>0.888196158579819</v>
      </c>
      <c r="Q2659" s="0" t="n">
        <f aca="true">RAND()</f>
        <v>0.444150553179367</v>
      </c>
      <c r="R2659" s="0" t="n">
        <f aca="false">IF($I2659&lt;&gt;$O2659,0,IF(P2659&lt;Matchup!$B$39,7,IF(P2659&lt;Matchup!$B$39+Matchup!$B$40,3,0)))</f>
        <v>0</v>
      </c>
      <c r="S2659" s="0" t="n">
        <f aca="false">IF($I2659&lt;&gt;$O2659,0,IF(Q2659&lt;Matchup!$C$39,7,IF(Q2659&lt;Matchup!$C$39+Matchup!$C$40,3,0)))</f>
        <v>0</v>
      </c>
      <c r="T2659" s="0" t="n">
        <f aca="false">I2659+R2659</f>
        <v>31</v>
      </c>
      <c r="U2659" s="0" t="n">
        <f aca="false">O2659+S2659</f>
        <v>17</v>
      </c>
      <c r="V2659" s="0" t="n">
        <f aca="false">T2659-U2659</f>
        <v>14</v>
      </c>
      <c r="W2659" s="0" t="n">
        <f aca="false">T2659+U2659</f>
        <v>48</v>
      </c>
    </row>
    <row r="2660" customFormat="false" ht="15" hidden="false" customHeight="false" outlineLevel="0" collapsed="false">
      <c r="A2660" s="0" t="n">
        <v>2657</v>
      </c>
      <c r="B2660" s="0" t="n">
        <f aca="true">NORMINV(RAND(),1,Coefficients!$B$22)</f>
        <v>0.99672512454296</v>
      </c>
      <c r="C2660" s="0" t="n">
        <f aca="true">MEDIAN(8,16,ROUND(NORMINV(RAND(),Coefficients!$B$20,Coefficients!$B$21),0))</f>
        <v>12</v>
      </c>
      <c r="D2660" s="0" t="n">
        <f aca="true">CRITBINOM($C2660,MIN(0.75,Matchup!$B$39*$B2660),RAND())</f>
        <v>2</v>
      </c>
      <c r="E2660" s="0" t="n">
        <f aca="true">CRITBINOM(D2660,Coefficients!$B$30,RAND())</f>
        <v>0</v>
      </c>
      <c r="F2660" s="0" t="n">
        <f aca="true">CRITBINOM(E2660,Coefficients!$B$31,RAND())</f>
        <v>0</v>
      </c>
      <c r="G2660" s="0" t="n">
        <f aca="true">CRITBINOM(MAX(0,D2660-E2660),1-Coefficients!$B$32,RAND())</f>
        <v>0</v>
      </c>
      <c r="H2660" s="0" t="n">
        <f aca="true">CRITBINOM(MAX(0,$C2660-D2660),MIN(0.6,Matchup!$B$40*SQRT($B2660)/(1-MIN(0.75,Matchup!$B$39*$B2660))),RAND())</f>
        <v>3</v>
      </c>
      <c r="I2660" s="0" t="n">
        <f aca="false">6*D2660+(D2660-E2660-G2660)+2*F2660+3*H2660</f>
        <v>23</v>
      </c>
      <c r="J2660" s="0" t="n">
        <f aca="true">CRITBINOM($C2660,MIN(0.75,Matchup!$C$39*$B2660),RAND())</f>
        <v>1</v>
      </c>
      <c r="K2660" s="0" t="n">
        <f aca="true">CRITBINOM(J2660,Coefficients!$B$30,RAND())</f>
        <v>0</v>
      </c>
      <c r="L2660" s="0" t="n">
        <f aca="true">CRITBINOM(K2660,Coefficients!$B$31,RAND())</f>
        <v>0</v>
      </c>
      <c r="M2660" s="0" t="n">
        <f aca="true">CRITBINOM(MAX(0,J2660-K2660),1-Coefficients!$B$32,RAND())</f>
        <v>0</v>
      </c>
      <c r="N2660" s="0" t="n">
        <f aca="true">CRITBINOM(MAX(0,$C2660-J2660),MIN(0.6,Matchup!$C$40*SQRT($B2660)/(1-MIN(0.75,Matchup!$C$39*$B2660))),RAND())</f>
        <v>5</v>
      </c>
      <c r="O2660" s="0" t="n">
        <f aca="false">6*J2660+(J2660-K2660-M2660)+2*L2660+3*N2660</f>
        <v>22</v>
      </c>
      <c r="P2660" s="0" t="n">
        <f aca="true">RAND()</f>
        <v>0.356198513149999</v>
      </c>
      <c r="Q2660" s="0" t="n">
        <f aca="true">RAND()</f>
        <v>0.938836302237404</v>
      </c>
      <c r="R2660" s="0" t="n">
        <f aca="false">IF($I2660&lt;&gt;$O2660,0,IF(P2660&lt;Matchup!$B$39,7,IF(P2660&lt;Matchup!$B$39+Matchup!$B$40,3,0)))</f>
        <v>0</v>
      </c>
      <c r="S2660" s="0" t="n">
        <f aca="false">IF($I2660&lt;&gt;$O2660,0,IF(Q2660&lt;Matchup!$C$39,7,IF(Q2660&lt;Matchup!$C$39+Matchup!$C$40,3,0)))</f>
        <v>0</v>
      </c>
      <c r="T2660" s="0" t="n">
        <f aca="false">I2660+R2660</f>
        <v>23</v>
      </c>
      <c r="U2660" s="0" t="n">
        <f aca="false">O2660+S2660</f>
        <v>22</v>
      </c>
      <c r="V2660" s="0" t="n">
        <f aca="false">T2660-U2660</f>
        <v>1</v>
      </c>
      <c r="W2660" s="0" t="n">
        <f aca="false">T2660+U2660</f>
        <v>45</v>
      </c>
    </row>
    <row r="2661" customFormat="false" ht="15" hidden="false" customHeight="false" outlineLevel="0" collapsed="false">
      <c r="A2661" s="0" t="n">
        <v>2658</v>
      </c>
      <c r="B2661" s="0" t="n">
        <f aca="true">NORMINV(RAND(),1,Coefficients!$B$22)</f>
        <v>0.985989941617873</v>
      </c>
      <c r="C2661" s="0" t="n">
        <f aca="true">MEDIAN(8,16,ROUND(NORMINV(RAND(),Coefficients!$B$20,Coefficients!$B$21),0))</f>
        <v>12</v>
      </c>
      <c r="D2661" s="0" t="n">
        <f aca="true">CRITBINOM($C2661,MIN(0.75,Matchup!$B$39*$B2661),RAND())</f>
        <v>4</v>
      </c>
      <c r="E2661" s="0" t="n">
        <f aca="true">CRITBINOM(D2661,Coefficients!$B$30,RAND())</f>
        <v>0</v>
      </c>
      <c r="F2661" s="0" t="n">
        <f aca="true">CRITBINOM(E2661,Coefficients!$B$31,RAND())</f>
        <v>0</v>
      </c>
      <c r="G2661" s="0" t="n">
        <f aca="true">CRITBINOM(MAX(0,D2661-E2661),1-Coefficients!$B$32,RAND())</f>
        <v>0</v>
      </c>
      <c r="H2661" s="0" t="n">
        <f aca="true">CRITBINOM(MAX(0,$C2661-D2661),MIN(0.6,Matchup!$B$40*SQRT($B2661)/(1-MIN(0.75,Matchup!$B$39*$B2661))),RAND())</f>
        <v>1</v>
      </c>
      <c r="I2661" s="0" t="n">
        <f aca="false">6*D2661+(D2661-E2661-G2661)+2*F2661+3*H2661</f>
        <v>31</v>
      </c>
      <c r="J2661" s="0" t="n">
        <f aca="true">CRITBINOM($C2661,MIN(0.75,Matchup!$C$39*$B2661),RAND())</f>
        <v>3</v>
      </c>
      <c r="K2661" s="0" t="n">
        <f aca="true">CRITBINOM(J2661,Coefficients!$B$30,RAND())</f>
        <v>0</v>
      </c>
      <c r="L2661" s="0" t="n">
        <f aca="true">CRITBINOM(K2661,Coefficients!$B$31,RAND())</f>
        <v>0</v>
      </c>
      <c r="M2661" s="0" t="n">
        <f aca="true">CRITBINOM(MAX(0,J2661-K2661),1-Coefficients!$B$32,RAND())</f>
        <v>0</v>
      </c>
      <c r="N2661" s="0" t="n">
        <f aca="true">CRITBINOM(MAX(0,$C2661-J2661),MIN(0.6,Matchup!$C$40*SQRT($B2661)/(1-MIN(0.75,Matchup!$C$39*$B2661))),RAND())</f>
        <v>0</v>
      </c>
      <c r="O2661" s="0" t="n">
        <f aca="false">6*J2661+(J2661-K2661-M2661)+2*L2661+3*N2661</f>
        <v>21</v>
      </c>
      <c r="P2661" s="0" t="n">
        <f aca="true">RAND()</f>
        <v>0.94540487754037</v>
      </c>
      <c r="Q2661" s="0" t="n">
        <f aca="true">RAND()</f>
        <v>0.210782119251777</v>
      </c>
      <c r="R2661" s="0" t="n">
        <f aca="false">IF($I2661&lt;&gt;$O2661,0,IF(P2661&lt;Matchup!$B$39,7,IF(P2661&lt;Matchup!$B$39+Matchup!$B$40,3,0)))</f>
        <v>0</v>
      </c>
      <c r="S2661" s="0" t="n">
        <f aca="false">IF($I2661&lt;&gt;$O2661,0,IF(Q2661&lt;Matchup!$C$39,7,IF(Q2661&lt;Matchup!$C$39+Matchup!$C$40,3,0)))</f>
        <v>0</v>
      </c>
      <c r="T2661" s="0" t="n">
        <f aca="false">I2661+R2661</f>
        <v>31</v>
      </c>
      <c r="U2661" s="0" t="n">
        <f aca="false">O2661+S2661</f>
        <v>21</v>
      </c>
      <c r="V2661" s="0" t="n">
        <f aca="false">T2661-U2661</f>
        <v>10</v>
      </c>
      <c r="W2661" s="0" t="n">
        <f aca="false">T2661+U2661</f>
        <v>52</v>
      </c>
    </row>
    <row r="2662" customFormat="false" ht="15" hidden="false" customHeight="false" outlineLevel="0" collapsed="false">
      <c r="A2662" s="0" t="n">
        <v>2659</v>
      </c>
      <c r="B2662" s="0" t="n">
        <f aca="true">NORMINV(RAND(),1,Coefficients!$B$22)</f>
        <v>1.01958576898406</v>
      </c>
      <c r="C2662" s="0" t="n">
        <f aca="true">MEDIAN(8,16,ROUND(NORMINV(RAND(),Coefficients!$B$20,Coefficients!$B$21),0))</f>
        <v>10</v>
      </c>
      <c r="D2662" s="0" t="n">
        <f aca="true">CRITBINOM($C2662,MIN(0.75,Matchup!$B$39*$B2662),RAND())</f>
        <v>2</v>
      </c>
      <c r="E2662" s="0" t="n">
        <f aca="true">CRITBINOM(D2662,Coefficients!$B$30,RAND())</f>
        <v>0</v>
      </c>
      <c r="F2662" s="0" t="n">
        <f aca="true">CRITBINOM(E2662,Coefficients!$B$31,RAND())</f>
        <v>0</v>
      </c>
      <c r="G2662" s="0" t="n">
        <f aca="true">CRITBINOM(MAX(0,D2662-E2662),1-Coefficients!$B$32,RAND())</f>
        <v>0</v>
      </c>
      <c r="H2662" s="0" t="n">
        <f aca="true">CRITBINOM(MAX(0,$C2662-D2662),MIN(0.6,Matchup!$B$40*SQRT($B2662)/(1-MIN(0.75,Matchup!$B$39*$B2662))),RAND())</f>
        <v>1</v>
      </c>
      <c r="I2662" s="0" t="n">
        <f aca="false">6*D2662+(D2662-E2662-G2662)+2*F2662+3*H2662</f>
        <v>17</v>
      </c>
      <c r="J2662" s="0" t="n">
        <f aca="true">CRITBINOM($C2662,MIN(0.75,Matchup!$C$39*$B2662),RAND())</f>
        <v>3</v>
      </c>
      <c r="K2662" s="0" t="n">
        <f aca="true">CRITBINOM(J2662,Coefficients!$B$30,RAND())</f>
        <v>0</v>
      </c>
      <c r="L2662" s="0" t="n">
        <f aca="true">CRITBINOM(K2662,Coefficients!$B$31,RAND())</f>
        <v>0</v>
      </c>
      <c r="M2662" s="0" t="n">
        <f aca="true">CRITBINOM(MAX(0,J2662-K2662),1-Coefficients!$B$32,RAND())</f>
        <v>0</v>
      </c>
      <c r="N2662" s="0" t="n">
        <f aca="true">CRITBINOM(MAX(0,$C2662-J2662),MIN(0.6,Matchup!$C$40*SQRT($B2662)/(1-MIN(0.75,Matchup!$C$39*$B2662))),RAND())</f>
        <v>2</v>
      </c>
      <c r="O2662" s="0" t="n">
        <f aca="false">6*J2662+(J2662-K2662-M2662)+2*L2662+3*N2662</f>
        <v>27</v>
      </c>
      <c r="P2662" s="0" t="n">
        <f aca="true">RAND()</f>
        <v>0.639859615329509</v>
      </c>
      <c r="Q2662" s="0" t="n">
        <f aca="true">RAND()</f>
        <v>0.952677736643723</v>
      </c>
      <c r="R2662" s="0" t="n">
        <f aca="false">IF($I2662&lt;&gt;$O2662,0,IF(P2662&lt;Matchup!$B$39,7,IF(P2662&lt;Matchup!$B$39+Matchup!$B$40,3,0)))</f>
        <v>0</v>
      </c>
      <c r="S2662" s="0" t="n">
        <f aca="false">IF($I2662&lt;&gt;$O2662,0,IF(Q2662&lt;Matchup!$C$39,7,IF(Q2662&lt;Matchup!$C$39+Matchup!$C$40,3,0)))</f>
        <v>0</v>
      </c>
      <c r="T2662" s="0" t="n">
        <f aca="false">I2662+R2662</f>
        <v>17</v>
      </c>
      <c r="U2662" s="0" t="n">
        <f aca="false">O2662+S2662</f>
        <v>27</v>
      </c>
      <c r="V2662" s="0" t="n">
        <f aca="false">T2662-U2662</f>
        <v>-10</v>
      </c>
      <c r="W2662" s="0" t="n">
        <f aca="false">T2662+U2662</f>
        <v>44</v>
      </c>
    </row>
    <row r="2663" customFormat="false" ht="15" hidden="false" customHeight="false" outlineLevel="0" collapsed="false">
      <c r="A2663" s="0" t="n">
        <v>2660</v>
      </c>
      <c r="B2663" s="0" t="n">
        <f aca="true">NORMINV(RAND(),1,Coefficients!$B$22)</f>
        <v>0.989337634952413</v>
      </c>
      <c r="C2663" s="0" t="n">
        <f aca="true">MEDIAN(8,16,ROUND(NORMINV(RAND(),Coefficients!$B$20,Coefficients!$B$21),0))</f>
        <v>11</v>
      </c>
      <c r="D2663" s="0" t="n">
        <f aca="true">CRITBINOM($C2663,MIN(0.75,Matchup!$B$39*$B2663),RAND())</f>
        <v>3</v>
      </c>
      <c r="E2663" s="0" t="n">
        <f aca="true">CRITBINOM(D2663,Coefficients!$B$30,RAND())</f>
        <v>0</v>
      </c>
      <c r="F2663" s="0" t="n">
        <f aca="true">CRITBINOM(E2663,Coefficients!$B$31,RAND())</f>
        <v>0</v>
      </c>
      <c r="G2663" s="0" t="n">
        <f aca="true">CRITBINOM(MAX(0,D2663-E2663),1-Coefficients!$B$32,RAND())</f>
        <v>0</v>
      </c>
      <c r="H2663" s="0" t="n">
        <f aca="true">CRITBINOM(MAX(0,$C2663-D2663),MIN(0.6,Matchup!$B$40*SQRT($B2663)/(1-MIN(0.75,Matchup!$B$39*$B2663))),RAND())</f>
        <v>4</v>
      </c>
      <c r="I2663" s="0" t="n">
        <f aca="false">6*D2663+(D2663-E2663-G2663)+2*F2663+3*H2663</f>
        <v>33</v>
      </c>
      <c r="J2663" s="0" t="n">
        <f aca="true">CRITBINOM($C2663,MIN(0.75,Matchup!$C$39*$B2663),RAND())</f>
        <v>4</v>
      </c>
      <c r="K2663" s="0" t="n">
        <f aca="true">CRITBINOM(J2663,Coefficients!$B$30,RAND())</f>
        <v>0</v>
      </c>
      <c r="L2663" s="0" t="n">
        <f aca="true">CRITBINOM(K2663,Coefficients!$B$31,RAND())</f>
        <v>0</v>
      </c>
      <c r="M2663" s="0" t="n">
        <f aca="true">CRITBINOM(MAX(0,J2663-K2663),1-Coefficients!$B$32,RAND())</f>
        <v>0</v>
      </c>
      <c r="N2663" s="0" t="n">
        <f aca="true">CRITBINOM(MAX(0,$C2663-J2663),MIN(0.6,Matchup!$C$40*SQRT($B2663)/(1-MIN(0.75,Matchup!$C$39*$B2663))),RAND())</f>
        <v>0</v>
      </c>
      <c r="O2663" s="0" t="n">
        <f aca="false">6*J2663+(J2663-K2663-M2663)+2*L2663+3*N2663</f>
        <v>28</v>
      </c>
      <c r="P2663" s="0" t="n">
        <f aca="true">RAND()</f>
        <v>0.684842822057088</v>
      </c>
      <c r="Q2663" s="0" t="n">
        <f aca="true">RAND()</f>
        <v>0.451954030875094</v>
      </c>
      <c r="R2663" s="0" t="n">
        <f aca="false">IF($I2663&lt;&gt;$O2663,0,IF(P2663&lt;Matchup!$B$39,7,IF(P2663&lt;Matchup!$B$39+Matchup!$B$40,3,0)))</f>
        <v>0</v>
      </c>
      <c r="S2663" s="0" t="n">
        <f aca="false">IF($I2663&lt;&gt;$O2663,0,IF(Q2663&lt;Matchup!$C$39,7,IF(Q2663&lt;Matchup!$C$39+Matchup!$C$40,3,0)))</f>
        <v>0</v>
      </c>
      <c r="T2663" s="0" t="n">
        <f aca="false">I2663+R2663</f>
        <v>33</v>
      </c>
      <c r="U2663" s="0" t="n">
        <f aca="false">O2663+S2663</f>
        <v>28</v>
      </c>
      <c r="V2663" s="0" t="n">
        <f aca="false">T2663-U2663</f>
        <v>5</v>
      </c>
      <c r="W2663" s="0" t="n">
        <f aca="false">T2663+U2663</f>
        <v>61</v>
      </c>
    </row>
    <row r="2664" customFormat="false" ht="15" hidden="false" customHeight="false" outlineLevel="0" collapsed="false">
      <c r="A2664" s="0" t="n">
        <v>2661</v>
      </c>
      <c r="B2664" s="0" t="n">
        <f aca="true">NORMINV(RAND(),1,Coefficients!$B$22)</f>
        <v>1.02744757680131</v>
      </c>
      <c r="C2664" s="0" t="n">
        <f aca="true">MEDIAN(8,16,ROUND(NORMINV(RAND(),Coefficients!$B$20,Coefficients!$B$21),0))</f>
        <v>12</v>
      </c>
      <c r="D2664" s="0" t="n">
        <f aca="true">CRITBINOM($C2664,MIN(0.75,Matchup!$B$39*$B2664),RAND())</f>
        <v>4</v>
      </c>
      <c r="E2664" s="0" t="n">
        <f aca="true">CRITBINOM(D2664,Coefficients!$B$30,RAND())</f>
        <v>1</v>
      </c>
      <c r="F2664" s="0" t="n">
        <f aca="true">CRITBINOM(E2664,Coefficients!$B$31,RAND())</f>
        <v>1</v>
      </c>
      <c r="G2664" s="0" t="n">
        <f aca="true">CRITBINOM(MAX(0,D2664-E2664),1-Coefficients!$B$32,RAND())</f>
        <v>0</v>
      </c>
      <c r="H2664" s="0" t="n">
        <f aca="true">CRITBINOM(MAX(0,$C2664-D2664),MIN(0.6,Matchup!$B$40*SQRT($B2664)/(1-MIN(0.75,Matchup!$B$39*$B2664))),RAND())</f>
        <v>2</v>
      </c>
      <c r="I2664" s="0" t="n">
        <f aca="false">6*D2664+(D2664-E2664-G2664)+2*F2664+3*H2664</f>
        <v>35</v>
      </c>
      <c r="J2664" s="0" t="n">
        <f aca="true">CRITBINOM($C2664,MIN(0.75,Matchup!$C$39*$B2664),RAND())</f>
        <v>2</v>
      </c>
      <c r="K2664" s="0" t="n">
        <f aca="true">CRITBINOM(J2664,Coefficients!$B$30,RAND())</f>
        <v>0</v>
      </c>
      <c r="L2664" s="0" t="n">
        <f aca="true">CRITBINOM(K2664,Coefficients!$B$31,RAND())</f>
        <v>0</v>
      </c>
      <c r="M2664" s="0" t="n">
        <f aca="true">CRITBINOM(MAX(0,J2664-K2664),1-Coefficients!$B$32,RAND())</f>
        <v>0</v>
      </c>
      <c r="N2664" s="0" t="n">
        <f aca="true">CRITBINOM(MAX(0,$C2664-J2664),MIN(0.6,Matchup!$C$40*SQRT($B2664)/(1-MIN(0.75,Matchup!$C$39*$B2664))),RAND())</f>
        <v>1</v>
      </c>
      <c r="O2664" s="0" t="n">
        <f aca="false">6*J2664+(J2664-K2664-M2664)+2*L2664+3*N2664</f>
        <v>17</v>
      </c>
      <c r="P2664" s="0" t="n">
        <f aca="true">RAND()</f>
        <v>0.474284525796922</v>
      </c>
      <c r="Q2664" s="0" t="n">
        <f aca="true">RAND()</f>
        <v>0.28845528802185</v>
      </c>
      <c r="R2664" s="0" t="n">
        <f aca="false">IF($I2664&lt;&gt;$O2664,0,IF(P2664&lt;Matchup!$B$39,7,IF(P2664&lt;Matchup!$B$39+Matchup!$B$40,3,0)))</f>
        <v>0</v>
      </c>
      <c r="S2664" s="0" t="n">
        <f aca="false">IF($I2664&lt;&gt;$O2664,0,IF(Q2664&lt;Matchup!$C$39,7,IF(Q2664&lt;Matchup!$C$39+Matchup!$C$40,3,0)))</f>
        <v>0</v>
      </c>
      <c r="T2664" s="0" t="n">
        <f aca="false">I2664+R2664</f>
        <v>35</v>
      </c>
      <c r="U2664" s="0" t="n">
        <f aca="false">O2664+S2664</f>
        <v>17</v>
      </c>
      <c r="V2664" s="0" t="n">
        <f aca="false">T2664-U2664</f>
        <v>18</v>
      </c>
      <c r="W2664" s="0" t="n">
        <f aca="false">T2664+U2664</f>
        <v>52</v>
      </c>
    </row>
    <row r="2665" customFormat="false" ht="15" hidden="false" customHeight="false" outlineLevel="0" collapsed="false">
      <c r="A2665" s="0" t="n">
        <v>2662</v>
      </c>
      <c r="B2665" s="0" t="n">
        <f aca="true">NORMINV(RAND(),1,Coefficients!$B$22)</f>
        <v>1.13647918690494</v>
      </c>
      <c r="C2665" s="0" t="n">
        <f aca="true">MEDIAN(8,16,ROUND(NORMINV(RAND(),Coefficients!$B$20,Coefficients!$B$21),0))</f>
        <v>12</v>
      </c>
      <c r="D2665" s="0" t="n">
        <f aca="true">CRITBINOM($C2665,MIN(0.75,Matchup!$B$39*$B2665),RAND())</f>
        <v>4</v>
      </c>
      <c r="E2665" s="0" t="n">
        <f aca="true">CRITBINOM(D2665,Coefficients!$B$30,RAND())</f>
        <v>0</v>
      </c>
      <c r="F2665" s="0" t="n">
        <f aca="true">CRITBINOM(E2665,Coefficients!$B$31,RAND())</f>
        <v>0</v>
      </c>
      <c r="G2665" s="0" t="n">
        <f aca="true">CRITBINOM(MAX(0,D2665-E2665),1-Coefficients!$B$32,RAND())</f>
        <v>0</v>
      </c>
      <c r="H2665" s="0" t="n">
        <f aca="true">CRITBINOM(MAX(0,$C2665-D2665),MIN(0.6,Matchup!$B$40*SQRT($B2665)/(1-MIN(0.75,Matchup!$B$39*$B2665))),RAND())</f>
        <v>0</v>
      </c>
      <c r="I2665" s="0" t="n">
        <f aca="false">6*D2665+(D2665-E2665-G2665)+2*F2665+3*H2665</f>
        <v>28</v>
      </c>
      <c r="J2665" s="0" t="n">
        <f aca="true">CRITBINOM($C2665,MIN(0.75,Matchup!$C$39*$B2665),RAND())</f>
        <v>6</v>
      </c>
      <c r="K2665" s="0" t="n">
        <f aca="true">CRITBINOM(J2665,Coefficients!$B$30,RAND())</f>
        <v>0</v>
      </c>
      <c r="L2665" s="0" t="n">
        <f aca="true">CRITBINOM(K2665,Coefficients!$B$31,RAND())</f>
        <v>0</v>
      </c>
      <c r="M2665" s="0" t="n">
        <f aca="true">CRITBINOM(MAX(0,J2665-K2665),1-Coefficients!$B$32,RAND())</f>
        <v>0</v>
      </c>
      <c r="N2665" s="0" t="n">
        <f aca="true">CRITBINOM(MAX(0,$C2665-J2665),MIN(0.6,Matchup!$C$40*SQRT($B2665)/(1-MIN(0.75,Matchup!$C$39*$B2665))),RAND())</f>
        <v>2</v>
      </c>
      <c r="O2665" s="0" t="n">
        <f aca="false">6*J2665+(J2665-K2665-M2665)+2*L2665+3*N2665</f>
        <v>48</v>
      </c>
      <c r="P2665" s="0" t="n">
        <f aca="true">RAND()</f>
        <v>0.790474938366016</v>
      </c>
      <c r="Q2665" s="0" t="n">
        <f aca="true">RAND()</f>
        <v>0.468476156406159</v>
      </c>
      <c r="R2665" s="0" t="n">
        <f aca="false">IF($I2665&lt;&gt;$O2665,0,IF(P2665&lt;Matchup!$B$39,7,IF(P2665&lt;Matchup!$B$39+Matchup!$B$40,3,0)))</f>
        <v>0</v>
      </c>
      <c r="S2665" s="0" t="n">
        <f aca="false">IF($I2665&lt;&gt;$O2665,0,IF(Q2665&lt;Matchup!$C$39,7,IF(Q2665&lt;Matchup!$C$39+Matchup!$C$40,3,0)))</f>
        <v>0</v>
      </c>
      <c r="T2665" s="0" t="n">
        <f aca="false">I2665+R2665</f>
        <v>28</v>
      </c>
      <c r="U2665" s="0" t="n">
        <f aca="false">O2665+S2665</f>
        <v>48</v>
      </c>
      <c r="V2665" s="0" t="n">
        <f aca="false">T2665-U2665</f>
        <v>-20</v>
      </c>
      <c r="W2665" s="0" t="n">
        <f aca="false">T2665+U2665</f>
        <v>76</v>
      </c>
    </row>
    <row r="2666" customFormat="false" ht="15" hidden="false" customHeight="false" outlineLevel="0" collapsed="false">
      <c r="A2666" s="0" t="n">
        <v>2663</v>
      </c>
      <c r="B2666" s="0" t="n">
        <f aca="true">NORMINV(RAND(),1,Coefficients!$B$22)</f>
        <v>0.95229828977303</v>
      </c>
      <c r="C2666" s="0" t="n">
        <f aca="true">MEDIAN(8,16,ROUND(NORMINV(RAND(),Coefficients!$B$20,Coefficients!$B$21),0))</f>
        <v>11</v>
      </c>
      <c r="D2666" s="0" t="n">
        <f aca="true">CRITBINOM($C2666,MIN(0.75,Matchup!$B$39*$B2666),RAND())</f>
        <v>3</v>
      </c>
      <c r="E2666" s="0" t="n">
        <f aca="true">CRITBINOM(D2666,Coefficients!$B$30,RAND())</f>
        <v>0</v>
      </c>
      <c r="F2666" s="0" t="n">
        <f aca="true">CRITBINOM(E2666,Coefficients!$B$31,RAND())</f>
        <v>0</v>
      </c>
      <c r="G2666" s="0" t="n">
        <f aca="true">CRITBINOM(MAX(0,D2666-E2666),1-Coefficients!$B$32,RAND())</f>
        <v>1</v>
      </c>
      <c r="H2666" s="0" t="n">
        <f aca="true">CRITBINOM(MAX(0,$C2666-D2666),MIN(0.6,Matchup!$B$40*SQRT($B2666)/(1-MIN(0.75,Matchup!$B$39*$B2666))),RAND())</f>
        <v>0</v>
      </c>
      <c r="I2666" s="0" t="n">
        <f aca="false">6*D2666+(D2666-E2666-G2666)+2*F2666+3*H2666</f>
        <v>20</v>
      </c>
      <c r="J2666" s="0" t="n">
        <f aca="true">CRITBINOM($C2666,MIN(0.75,Matchup!$C$39*$B2666),RAND())</f>
        <v>7</v>
      </c>
      <c r="K2666" s="0" t="n">
        <f aca="true">CRITBINOM(J2666,Coefficients!$B$30,RAND())</f>
        <v>0</v>
      </c>
      <c r="L2666" s="0" t="n">
        <f aca="true">CRITBINOM(K2666,Coefficients!$B$31,RAND())</f>
        <v>0</v>
      </c>
      <c r="M2666" s="0" t="n">
        <f aca="true">CRITBINOM(MAX(0,J2666-K2666),1-Coefficients!$B$32,RAND())</f>
        <v>0</v>
      </c>
      <c r="N2666" s="0" t="n">
        <f aca="true">CRITBINOM(MAX(0,$C2666-J2666),MIN(0.6,Matchup!$C$40*SQRT($B2666)/(1-MIN(0.75,Matchup!$C$39*$B2666))),RAND())</f>
        <v>2</v>
      </c>
      <c r="O2666" s="0" t="n">
        <f aca="false">6*J2666+(J2666-K2666-M2666)+2*L2666+3*N2666</f>
        <v>55</v>
      </c>
      <c r="P2666" s="0" t="n">
        <f aca="true">RAND()</f>
        <v>0.470377186511938</v>
      </c>
      <c r="Q2666" s="0" t="n">
        <f aca="true">RAND()</f>
        <v>0.981546239771762</v>
      </c>
      <c r="R2666" s="0" t="n">
        <f aca="false">IF($I2666&lt;&gt;$O2666,0,IF(P2666&lt;Matchup!$B$39,7,IF(P2666&lt;Matchup!$B$39+Matchup!$B$40,3,0)))</f>
        <v>0</v>
      </c>
      <c r="S2666" s="0" t="n">
        <f aca="false">IF($I2666&lt;&gt;$O2666,0,IF(Q2666&lt;Matchup!$C$39,7,IF(Q2666&lt;Matchup!$C$39+Matchup!$C$40,3,0)))</f>
        <v>0</v>
      </c>
      <c r="T2666" s="0" t="n">
        <f aca="false">I2666+R2666</f>
        <v>20</v>
      </c>
      <c r="U2666" s="0" t="n">
        <f aca="false">O2666+S2666</f>
        <v>55</v>
      </c>
      <c r="V2666" s="0" t="n">
        <f aca="false">T2666-U2666</f>
        <v>-35</v>
      </c>
      <c r="W2666" s="0" t="n">
        <f aca="false">T2666+U2666</f>
        <v>75</v>
      </c>
    </row>
    <row r="2667" customFormat="false" ht="15" hidden="false" customHeight="false" outlineLevel="0" collapsed="false">
      <c r="A2667" s="0" t="n">
        <v>2664</v>
      </c>
      <c r="B2667" s="0" t="n">
        <f aca="true">NORMINV(RAND(),1,Coefficients!$B$22)</f>
        <v>0.902634361823177</v>
      </c>
      <c r="C2667" s="0" t="n">
        <f aca="true">MEDIAN(8,16,ROUND(NORMINV(RAND(),Coefficients!$B$20,Coefficients!$B$21),0))</f>
        <v>11</v>
      </c>
      <c r="D2667" s="0" t="n">
        <f aca="true">CRITBINOM($C2667,MIN(0.75,Matchup!$B$39*$B2667),RAND())</f>
        <v>1</v>
      </c>
      <c r="E2667" s="0" t="n">
        <f aca="true">CRITBINOM(D2667,Coefficients!$B$30,RAND())</f>
        <v>0</v>
      </c>
      <c r="F2667" s="0" t="n">
        <f aca="true">CRITBINOM(E2667,Coefficients!$B$31,RAND())</f>
        <v>0</v>
      </c>
      <c r="G2667" s="0" t="n">
        <f aca="true">CRITBINOM(MAX(0,D2667-E2667),1-Coefficients!$B$32,RAND())</f>
        <v>0</v>
      </c>
      <c r="H2667" s="0" t="n">
        <f aca="true">CRITBINOM(MAX(0,$C2667-D2667),MIN(0.6,Matchup!$B$40*SQRT($B2667)/(1-MIN(0.75,Matchup!$B$39*$B2667))),RAND())</f>
        <v>4</v>
      </c>
      <c r="I2667" s="0" t="n">
        <f aca="false">6*D2667+(D2667-E2667-G2667)+2*F2667+3*H2667</f>
        <v>19</v>
      </c>
      <c r="J2667" s="0" t="n">
        <f aca="true">CRITBINOM($C2667,MIN(0.75,Matchup!$C$39*$B2667),RAND())</f>
        <v>2</v>
      </c>
      <c r="K2667" s="0" t="n">
        <f aca="true">CRITBINOM(J2667,Coefficients!$B$30,RAND())</f>
        <v>0</v>
      </c>
      <c r="L2667" s="0" t="n">
        <f aca="true">CRITBINOM(K2667,Coefficients!$B$31,RAND())</f>
        <v>0</v>
      </c>
      <c r="M2667" s="0" t="n">
        <f aca="true">CRITBINOM(MAX(0,J2667-K2667),1-Coefficients!$B$32,RAND())</f>
        <v>0</v>
      </c>
      <c r="N2667" s="0" t="n">
        <f aca="true">CRITBINOM(MAX(0,$C2667-J2667),MIN(0.6,Matchup!$C$40*SQRT($B2667)/(1-MIN(0.75,Matchup!$C$39*$B2667))),RAND())</f>
        <v>1</v>
      </c>
      <c r="O2667" s="0" t="n">
        <f aca="false">6*J2667+(J2667-K2667-M2667)+2*L2667+3*N2667</f>
        <v>17</v>
      </c>
      <c r="P2667" s="0" t="n">
        <f aca="true">RAND()</f>
        <v>0.629638775875103</v>
      </c>
      <c r="Q2667" s="0" t="n">
        <f aca="true">RAND()</f>
        <v>0.681025996767056</v>
      </c>
      <c r="R2667" s="0" t="n">
        <f aca="false">IF($I2667&lt;&gt;$O2667,0,IF(P2667&lt;Matchup!$B$39,7,IF(P2667&lt;Matchup!$B$39+Matchup!$B$40,3,0)))</f>
        <v>0</v>
      </c>
      <c r="S2667" s="0" t="n">
        <f aca="false">IF($I2667&lt;&gt;$O2667,0,IF(Q2667&lt;Matchup!$C$39,7,IF(Q2667&lt;Matchup!$C$39+Matchup!$C$40,3,0)))</f>
        <v>0</v>
      </c>
      <c r="T2667" s="0" t="n">
        <f aca="false">I2667+R2667</f>
        <v>19</v>
      </c>
      <c r="U2667" s="0" t="n">
        <f aca="false">O2667+S2667</f>
        <v>17</v>
      </c>
      <c r="V2667" s="0" t="n">
        <f aca="false">T2667-U2667</f>
        <v>2</v>
      </c>
      <c r="W2667" s="0" t="n">
        <f aca="false">T2667+U2667</f>
        <v>36</v>
      </c>
    </row>
    <row r="2668" customFormat="false" ht="15" hidden="false" customHeight="false" outlineLevel="0" collapsed="false">
      <c r="A2668" s="0" t="n">
        <v>2665</v>
      </c>
      <c r="B2668" s="0" t="n">
        <f aca="true">NORMINV(RAND(),1,Coefficients!$B$22)</f>
        <v>0.819758902319146</v>
      </c>
      <c r="C2668" s="0" t="n">
        <f aca="true">MEDIAN(8,16,ROUND(NORMINV(RAND(),Coefficients!$B$20,Coefficients!$B$21),0))</f>
        <v>13</v>
      </c>
      <c r="D2668" s="0" t="n">
        <f aca="true">CRITBINOM($C2668,MIN(0.75,Matchup!$B$39*$B2668),RAND())</f>
        <v>1</v>
      </c>
      <c r="E2668" s="0" t="n">
        <f aca="true">CRITBINOM(D2668,Coefficients!$B$30,RAND())</f>
        <v>0</v>
      </c>
      <c r="F2668" s="0" t="n">
        <f aca="true">CRITBINOM(E2668,Coefficients!$B$31,RAND())</f>
        <v>0</v>
      </c>
      <c r="G2668" s="0" t="n">
        <f aca="true">CRITBINOM(MAX(0,D2668-E2668),1-Coefficients!$B$32,RAND())</f>
        <v>0</v>
      </c>
      <c r="H2668" s="0" t="n">
        <f aca="true">CRITBINOM(MAX(0,$C2668-D2668),MIN(0.6,Matchup!$B$40*SQRT($B2668)/(1-MIN(0.75,Matchup!$B$39*$B2668))),RAND())</f>
        <v>2</v>
      </c>
      <c r="I2668" s="0" t="n">
        <f aca="false">6*D2668+(D2668-E2668-G2668)+2*F2668+3*H2668</f>
        <v>13</v>
      </c>
      <c r="J2668" s="0" t="n">
        <f aca="true">CRITBINOM($C2668,MIN(0.75,Matchup!$C$39*$B2668),RAND())</f>
        <v>3</v>
      </c>
      <c r="K2668" s="0" t="n">
        <f aca="true">CRITBINOM(J2668,Coefficients!$B$30,RAND())</f>
        <v>0</v>
      </c>
      <c r="L2668" s="0" t="n">
        <f aca="true">CRITBINOM(K2668,Coefficients!$B$31,RAND())</f>
        <v>0</v>
      </c>
      <c r="M2668" s="0" t="n">
        <f aca="true">CRITBINOM(MAX(0,J2668-K2668),1-Coefficients!$B$32,RAND())</f>
        <v>0</v>
      </c>
      <c r="N2668" s="0" t="n">
        <f aca="true">CRITBINOM(MAX(0,$C2668-J2668),MIN(0.6,Matchup!$C$40*SQRT($B2668)/(1-MIN(0.75,Matchup!$C$39*$B2668))),RAND())</f>
        <v>0</v>
      </c>
      <c r="O2668" s="0" t="n">
        <f aca="false">6*J2668+(J2668-K2668-M2668)+2*L2668+3*N2668</f>
        <v>21</v>
      </c>
      <c r="P2668" s="0" t="n">
        <f aca="true">RAND()</f>
        <v>0.977403836637539</v>
      </c>
      <c r="Q2668" s="0" t="n">
        <f aca="true">RAND()</f>
        <v>0.553642756095472</v>
      </c>
      <c r="R2668" s="0" t="n">
        <f aca="false">IF($I2668&lt;&gt;$O2668,0,IF(P2668&lt;Matchup!$B$39,7,IF(P2668&lt;Matchup!$B$39+Matchup!$B$40,3,0)))</f>
        <v>0</v>
      </c>
      <c r="S2668" s="0" t="n">
        <f aca="false">IF($I2668&lt;&gt;$O2668,0,IF(Q2668&lt;Matchup!$C$39,7,IF(Q2668&lt;Matchup!$C$39+Matchup!$C$40,3,0)))</f>
        <v>0</v>
      </c>
      <c r="T2668" s="0" t="n">
        <f aca="false">I2668+R2668</f>
        <v>13</v>
      </c>
      <c r="U2668" s="0" t="n">
        <f aca="false">O2668+S2668</f>
        <v>21</v>
      </c>
      <c r="V2668" s="0" t="n">
        <f aca="false">T2668-U2668</f>
        <v>-8</v>
      </c>
      <c r="W2668" s="0" t="n">
        <f aca="false">T2668+U2668</f>
        <v>34</v>
      </c>
    </row>
    <row r="2669" customFormat="false" ht="15" hidden="false" customHeight="false" outlineLevel="0" collapsed="false">
      <c r="A2669" s="0" t="n">
        <v>2666</v>
      </c>
      <c r="B2669" s="0" t="n">
        <f aca="true">NORMINV(RAND(),1,Coefficients!$B$22)</f>
        <v>1.08746899201937</v>
      </c>
      <c r="C2669" s="0" t="n">
        <f aca="true">MEDIAN(8,16,ROUND(NORMINV(RAND(),Coefficients!$B$20,Coefficients!$B$21),0))</f>
        <v>11</v>
      </c>
      <c r="D2669" s="0" t="n">
        <f aca="true">CRITBINOM($C2669,MIN(0.75,Matchup!$B$39*$B2669),RAND())</f>
        <v>4</v>
      </c>
      <c r="E2669" s="0" t="n">
        <f aca="true">CRITBINOM(D2669,Coefficients!$B$30,RAND())</f>
        <v>0</v>
      </c>
      <c r="F2669" s="0" t="n">
        <f aca="true">CRITBINOM(E2669,Coefficients!$B$31,RAND())</f>
        <v>0</v>
      </c>
      <c r="G2669" s="0" t="n">
        <f aca="true">CRITBINOM(MAX(0,D2669-E2669),1-Coefficients!$B$32,RAND())</f>
        <v>0</v>
      </c>
      <c r="H2669" s="0" t="n">
        <f aca="true">CRITBINOM(MAX(0,$C2669-D2669),MIN(0.6,Matchup!$B$40*SQRT($B2669)/(1-MIN(0.75,Matchup!$B$39*$B2669))),RAND())</f>
        <v>4</v>
      </c>
      <c r="I2669" s="0" t="n">
        <f aca="false">6*D2669+(D2669-E2669-G2669)+2*F2669+3*H2669</f>
        <v>40</v>
      </c>
      <c r="J2669" s="0" t="n">
        <f aca="true">CRITBINOM($C2669,MIN(0.75,Matchup!$C$39*$B2669),RAND())</f>
        <v>3</v>
      </c>
      <c r="K2669" s="0" t="n">
        <f aca="true">CRITBINOM(J2669,Coefficients!$B$30,RAND())</f>
        <v>0</v>
      </c>
      <c r="L2669" s="0" t="n">
        <f aca="true">CRITBINOM(K2669,Coefficients!$B$31,RAND())</f>
        <v>0</v>
      </c>
      <c r="M2669" s="0" t="n">
        <f aca="true">CRITBINOM(MAX(0,J2669-K2669),1-Coefficients!$B$32,RAND())</f>
        <v>0</v>
      </c>
      <c r="N2669" s="0" t="n">
        <f aca="true">CRITBINOM(MAX(0,$C2669-J2669),MIN(0.6,Matchup!$C$40*SQRT($B2669)/(1-MIN(0.75,Matchup!$C$39*$B2669))),RAND())</f>
        <v>1</v>
      </c>
      <c r="O2669" s="0" t="n">
        <f aca="false">6*J2669+(J2669-K2669-M2669)+2*L2669+3*N2669</f>
        <v>24</v>
      </c>
      <c r="P2669" s="0" t="n">
        <f aca="true">RAND()</f>
        <v>0.979085424026375</v>
      </c>
      <c r="Q2669" s="0" t="n">
        <f aca="true">RAND()</f>
        <v>0.438572991179324</v>
      </c>
      <c r="R2669" s="0" t="n">
        <f aca="false">IF($I2669&lt;&gt;$O2669,0,IF(P2669&lt;Matchup!$B$39,7,IF(P2669&lt;Matchup!$B$39+Matchup!$B$40,3,0)))</f>
        <v>0</v>
      </c>
      <c r="S2669" s="0" t="n">
        <f aca="false">IF($I2669&lt;&gt;$O2669,0,IF(Q2669&lt;Matchup!$C$39,7,IF(Q2669&lt;Matchup!$C$39+Matchup!$C$40,3,0)))</f>
        <v>0</v>
      </c>
      <c r="T2669" s="0" t="n">
        <f aca="false">I2669+R2669</f>
        <v>40</v>
      </c>
      <c r="U2669" s="0" t="n">
        <f aca="false">O2669+S2669</f>
        <v>24</v>
      </c>
      <c r="V2669" s="0" t="n">
        <f aca="false">T2669-U2669</f>
        <v>16</v>
      </c>
      <c r="W2669" s="0" t="n">
        <f aca="false">T2669+U2669</f>
        <v>64</v>
      </c>
    </row>
    <row r="2670" customFormat="false" ht="15" hidden="false" customHeight="false" outlineLevel="0" collapsed="false">
      <c r="A2670" s="0" t="n">
        <v>2667</v>
      </c>
      <c r="B2670" s="0" t="n">
        <f aca="true">NORMINV(RAND(),1,Coefficients!$B$22)</f>
        <v>1.03134203026927</v>
      </c>
      <c r="C2670" s="0" t="n">
        <f aca="true">MEDIAN(8,16,ROUND(NORMINV(RAND(),Coefficients!$B$20,Coefficients!$B$21),0))</f>
        <v>12</v>
      </c>
      <c r="D2670" s="0" t="n">
        <f aca="true">CRITBINOM($C2670,MIN(0.75,Matchup!$B$39*$B2670),RAND())</f>
        <v>3</v>
      </c>
      <c r="E2670" s="0" t="n">
        <f aca="true">CRITBINOM(D2670,Coefficients!$B$30,RAND())</f>
        <v>1</v>
      </c>
      <c r="F2670" s="0" t="n">
        <f aca="true">CRITBINOM(E2670,Coefficients!$B$31,RAND())</f>
        <v>1</v>
      </c>
      <c r="G2670" s="0" t="n">
        <f aca="true">CRITBINOM(MAX(0,D2670-E2670),1-Coefficients!$B$32,RAND())</f>
        <v>1</v>
      </c>
      <c r="H2670" s="0" t="n">
        <f aca="true">CRITBINOM(MAX(0,$C2670-D2670),MIN(0.6,Matchup!$B$40*SQRT($B2670)/(1-MIN(0.75,Matchup!$B$39*$B2670))),RAND())</f>
        <v>3</v>
      </c>
      <c r="I2670" s="0" t="n">
        <f aca="false">6*D2670+(D2670-E2670-G2670)+2*F2670+3*H2670</f>
        <v>30</v>
      </c>
      <c r="J2670" s="0" t="n">
        <f aca="true">CRITBINOM($C2670,MIN(0.75,Matchup!$C$39*$B2670),RAND())</f>
        <v>4</v>
      </c>
      <c r="K2670" s="0" t="n">
        <f aca="true">CRITBINOM(J2670,Coefficients!$B$30,RAND())</f>
        <v>1</v>
      </c>
      <c r="L2670" s="0" t="n">
        <f aca="true">CRITBINOM(K2670,Coefficients!$B$31,RAND())</f>
        <v>1</v>
      </c>
      <c r="M2670" s="0" t="n">
        <f aca="true">CRITBINOM(MAX(0,J2670-K2670),1-Coefficients!$B$32,RAND())</f>
        <v>0</v>
      </c>
      <c r="N2670" s="0" t="n">
        <f aca="true">CRITBINOM(MAX(0,$C2670-J2670),MIN(0.6,Matchup!$C$40*SQRT($B2670)/(1-MIN(0.75,Matchup!$C$39*$B2670))),RAND())</f>
        <v>1</v>
      </c>
      <c r="O2670" s="0" t="n">
        <f aca="false">6*J2670+(J2670-K2670-M2670)+2*L2670+3*N2670</f>
        <v>32</v>
      </c>
      <c r="P2670" s="0" t="n">
        <f aca="true">RAND()</f>
        <v>0.338821202545951</v>
      </c>
      <c r="Q2670" s="0" t="n">
        <f aca="true">RAND()</f>
        <v>0.118850617988153</v>
      </c>
      <c r="R2670" s="0" t="n">
        <f aca="false">IF($I2670&lt;&gt;$O2670,0,IF(P2670&lt;Matchup!$B$39,7,IF(P2670&lt;Matchup!$B$39+Matchup!$B$40,3,0)))</f>
        <v>0</v>
      </c>
      <c r="S2670" s="0" t="n">
        <f aca="false">IF($I2670&lt;&gt;$O2670,0,IF(Q2670&lt;Matchup!$C$39,7,IF(Q2670&lt;Matchup!$C$39+Matchup!$C$40,3,0)))</f>
        <v>0</v>
      </c>
      <c r="T2670" s="0" t="n">
        <f aca="false">I2670+R2670</f>
        <v>30</v>
      </c>
      <c r="U2670" s="0" t="n">
        <f aca="false">O2670+S2670</f>
        <v>32</v>
      </c>
      <c r="V2670" s="0" t="n">
        <f aca="false">T2670-U2670</f>
        <v>-2</v>
      </c>
      <c r="W2670" s="0" t="n">
        <f aca="false">T2670+U2670</f>
        <v>62</v>
      </c>
    </row>
    <row r="2671" customFormat="false" ht="15" hidden="false" customHeight="false" outlineLevel="0" collapsed="false">
      <c r="A2671" s="0" t="n">
        <v>2668</v>
      </c>
      <c r="B2671" s="0" t="n">
        <f aca="true">NORMINV(RAND(),1,Coefficients!$B$22)</f>
        <v>1.08084834652171</v>
      </c>
      <c r="C2671" s="0" t="n">
        <f aca="true">MEDIAN(8,16,ROUND(NORMINV(RAND(),Coefficients!$B$20,Coefficients!$B$21),0))</f>
        <v>11</v>
      </c>
      <c r="D2671" s="0" t="n">
        <f aca="true">CRITBINOM($C2671,MIN(0.75,Matchup!$B$39*$B2671),RAND())</f>
        <v>2</v>
      </c>
      <c r="E2671" s="0" t="n">
        <f aca="true">CRITBINOM(D2671,Coefficients!$B$30,RAND())</f>
        <v>0</v>
      </c>
      <c r="F2671" s="0" t="n">
        <f aca="true">CRITBINOM(E2671,Coefficients!$B$31,RAND())</f>
        <v>0</v>
      </c>
      <c r="G2671" s="0" t="n">
        <f aca="true">CRITBINOM(MAX(0,D2671-E2671),1-Coefficients!$B$32,RAND())</f>
        <v>0</v>
      </c>
      <c r="H2671" s="0" t="n">
        <f aca="true">CRITBINOM(MAX(0,$C2671-D2671),MIN(0.6,Matchup!$B$40*SQRT($B2671)/(1-MIN(0.75,Matchup!$B$39*$B2671))),RAND())</f>
        <v>2</v>
      </c>
      <c r="I2671" s="0" t="n">
        <f aca="false">6*D2671+(D2671-E2671-G2671)+2*F2671+3*H2671</f>
        <v>20</v>
      </c>
      <c r="J2671" s="0" t="n">
        <f aca="true">CRITBINOM($C2671,MIN(0.75,Matchup!$C$39*$B2671),RAND())</f>
        <v>2</v>
      </c>
      <c r="K2671" s="0" t="n">
        <f aca="true">CRITBINOM(J2671,Coefficients!$B$30,RAND())</f>
        <v>0</v>
      </c>
      <c r="L2671" s="0" t="n">
        <f aca="true">CRITBINOM(K2671,Coefficients!$B$31,RAND())</f>
        <v>0</v>
      </c>
      <c r="M2671" s="0" t="n">
        <f aca="true">CRITBINOM(MAX(0,J2671-K2671),1-Coefficients!$B$32,RAND())</f>
        <v>0</v>
      </c>
      <c r="N2671" s="0" t="n">
        <f aca="true">CRITBINOM(MAX(0,$C2671-J2671),MIN(0.6,Matchup!$C$40*SQRT($B2671)/(1-MIN(0.75,Matchup!$C$39*$B2671))),RAND())</f>
        <v>2</v>
      </c>
      <c r="O2671" s="0" t="n">
        <f aca="false">6*J2671+(J2671-K2671-M2671)+2*L2671+3*N2671</f>
        <v>20</v>
      </c>
      <c r="P2671" s="0" t="n">
        <f aca="true">RAND()</f>
        <v>0.58529704704509</v>
      </c>
      <c r="Q2671" s="0" t="n">
        <f aca="true">RAND()</f>
        <v>0.10886569081541</v>
      </c>
      <c r="R2671" s="0" t="n">
        <f aca="false">IF($I2671&lt;&gt;$O2671,0,IF(P2671&lt;Matchup!$B$39,7,IF(P2671&lt;Matchup!$B$39+Matchup!$B$40,3,0)))</f>
        <v>0</v>
      </c>
      <c r="S2671" s="0" t="n">
        <f aca="false">IF($I2671&lt;&gt;$O2671,0,IF(Q2671&lt;Matchup!$C$39,7,IF(Q2671&lt;Matchup!$C$39+Matchup!$C$40,3,0)))</f>
        <v>7</v>
      </c>
      <c r="T2671" s="0" t="n">
        <f aca="false">I2671+R2671</f>
        <v>20</v>
      </c>
      <c r="U2671" s="0" t="n">
        <f aca="false">O2671+S2671</f>
        <v>27</v>
      </c>
      <c r="V2671" s="0" t="n">
        <f aca="false">T2671-U2671</f>
        <v>-7</v>
      </c>
      <c r="W2671" s="0" t="n">
        <f aca="false">T2671+U2671</f>
        <v>47</v>
      </c>
    </row>
    <row r="2672" customFormat="false" ht="15" hidden="false" customHeight="false" outlineLevel="0" collapsed="false">
      <c r="A2672" s="0" t="n">
        <v>2669</v>
      </c>
      <c r="B2672" s="0" t="n">
        <f aca="true">NORMINV(RAND(),1,Coefficients!$B$22)</f>
        <v>1.01690859739954</v>
      </c>
      <c r="C2672" s="0" t="n">
        <f aca="true">MEDIAN(8,16,ROUND(NORMINV(RAND(),Coefficients!$B$20,Coefficients!$B$21),0))</f>
        <v>12</v>
      </c>
      <c r="D2672" s="0" t="n">
        <f aca="true">CRITBINOM($C2672,MIN(0.75,Matchup!$B$39*$B2672),RAND())</f>
        <v>4</v>
      </c>
      <c r="E2672" s="0" t="n">
        <f aca="true">CRITBINOM(D2672,Coefficients!$B$30,RAND())</f>
        <v>0</v>
      </c>
      <c r="F2672" s="0" t="n">
        <f aca="true">CRITBINOM(E2672,Coefficients!$B$31,RAND())</f>
        <v>0</v>
      </c>
      <c r="G2672" s="0" t="n">
        <f aca="true">CRITBINOM(MAX(0,D2672-E2672),1-Coefficients!$B$32,RAND())</f>
        <v>0</v>
      </c>
      <c r="H2672" s="0" t="n">
        <f aca="true">CRITBINOM(MAX(0,$C2672-D2672),MIN(0.6,Matchup!$B$40*SQRT($B2672)/(1-MIN(0.75,Matchup!$B$39*$B2672))),RAND())</f>
        <v>1</v>
      </c>
      <c r="I2672" s="0" t="n">
        <f aca="false">6*D2672+(D2672-E2672-G2672)+2*F2672+3*H2672</f>
        <v>31</v>
      </c>
      <c r="J2672" s="0" t="n">
        <f aca="true">CRITBINOM($C2672,MIN(0.75,Matchup!$C$39*$B2672),RAND())</f>
        <v>4</v>
      </c>
      <c r="K2672" s="0" t="n">
        <f aca="true">CRITBINOM(J2672,Coefficients!$B$30,RAND())</f>
        <v>0</v>
      </c>
      <c r="L2672" s="0" t="n">
        <f aca="true">CRITBINOM(K2672,Coefficients!$B$31,RAND())</f>
        <v>0</v>
      </c>
      <c r="M2672" s="0" t="n">
        <f aca="true">CRITBINOM(MAX(0,J2672-K2672),1-Coefficients!$B$32,RAND())</f>
        <v>0</v>
      </c>
      <c r="N2672" s="0" t="n">
        <f aca="true">CRITBINOM(MAX(0,$C2672-J2672),MIN(0.6,Matchup!$C$40*SQRT($B2672)/(1-MIN(0.75,Matchup!$C$39*$B2672))),RAND())</f>
        <v>2</v>
      </c>
      <c r="O2672" s="0" t="n">
        <f aca="false">6*J2672+(J2672-K2672-M2672)+2*L2672+3*N2672</f>
        <v>34</v>
      </c>
      <c r="P2672" s="0" t="n">
        <f aca="true">RAND()</f>
        <v>0.153801816687792</v>
      </c>
      <c r="Q2672" s="0" t="n">
        <f aca="true">RAND()</f>
        <v>0.665678422872097</v>
      </c>
      <c r="R2672" s="0" t="n">
        <f aca="false">IF($I2672&lt;&gt;$O2672,0,IF(P2672&lt;Matchup!$B$39,7,IF(P2672&lt;Matchup!$B$39+Matchup!$B$40,3,0)))</f>
        <v>0</v>
      </c>
      <c r="S2672" s="0" t="n">
        <f aca="false">IF($I2672&lt;&gt;$O2672,0,IF(Q2672&lt;Matchup!$C$39,7,IF(Q2672&lt;Matchup!$C$39+Matchup!$C$40,3,0)))</f>
        <v>0</v>
      </c>
      <c r="T2672" s="0" t="n">
        <f aca="false">I2672+R2672</f>
        <v>31</v>
      </c>
      <c r="U2672" s="0" t="n">
        <f aca="false">O2672+S2672</f>
        <v>34</v>
      </c>
      <c r="V2672" s="0" t="n">
        <f aca="false">T2672-U2672</f>
        <v>-3</v>
      </c>
      <c r="W2672" s="0" t="n">
        <f aca="false">T2672+U2672</f>
        <v>65</v>
      </c>
    </row>
    <row r="2673" customFormat="false" ht="15" hidden="false" customHeight="false" outlineLevel="0" collapsed="false">
      <c r="A2673" s="0" t="n">
        <v>2670</v>
      </c>
      <c r="B2673" s="0" t="n">
        <f aca="true">NORMINV(RAND(),1,Coefficients!$B$22)</f>
        <v>0.859794481186184</v>
      </c>
      <c r="C2673" s="0" t="n">
        <f aca="true">MEDIAN(8,16,ROUND(NORMINV(RAND(),Coefficients!$B$20,Coefficients!$B$21),0))</f>
        <v>12</v>
      </c>
      <c r="D2673" s="0" t="n">
        <f aca="true">CRITBINOM($C2673,MIN(0.75,Matchup!$B$39*$B2673),RAND())</f>
        <v>2</v>
      </c>
      <c r="E2673" s="0" t="n">
        <f aca="true">CRITBINOM(D2673,Coefficients!$B$30,RAND())</f>
        <v>0</v>
      </c>
      <c r="F2673" s="0" t="n">
        <f aca="true">CRITBINOM(E2673,Coefficients!$B$31,RAND())</f>
        <v>0</v>
      </c>
      <c r="G2673" s="0" t="n">
        <f aca="true">CRITBINOM(MAX(0,D2673-E2673),1-Coefficients!$B$32,RAND())</f>
        <v>0</v>
      </c>
      <c r="H2673" s="0" t="n">
        <f aca="true">CRITBINOM(MAX(0,$C2673-D2673),MIN(0.6,Matchup!$B$40*SQRT($B2673)/(1-MIN(0.75,Matchup!$B$39*$B2673))),RAND())</f>
        <v>1</v>
      </c>
      <c r="I2673" s="0" t="n">
        <f aca="false">6*D2673+(D2673-E2673-G2673)+2*F2673+3*H2673</f>
        <v>17</v>
      </c>
      <c r="J2673" s="0" t="n">
        <f aca="true">CRITBINOM($C2673,MIN(0.75,Matchup!$C$39*$B2673),RAND())</f>
        <v>2</v>
      </c>
      <c r="K2673" s="0" t="n">
        <f aca="true">CRITBINOM(J2673,Coefficients!$B$30,RAND())</f>
        <v>0</v>
      </c>
      <c r="L2673" s="0" t="n">
        <f aca="true">CRITBINOM(K2673,Coefficients!$B$31,RAND())</f>
        <v>0</v>
      </c>
      <c r="M2673" s="0" t="n">
        <f aca="true">CRITBINOM(MAX(0,J2673-K2673),1-Coefficients!$B$32,RAND())</f>
        <v>0</v>
      </c>
      <c r="N2673" s="0" t="n">
        <f aca="true">CRITBINOM(MAX(0,$C2673-J2673),MIN(0.6,Matchup!$C$40*SQRT($B2673)/(1-MIN(0.75,Matchup!$C$39*$B2673))),RAND())</f>
        <v>1</v>
      </c>
      <c r="O2673" s="0" t="n">
        <f aca="false">6*J2673+(J2673-K2673-M2673)+2*L2673+3*N2673</f>
        <v>17</v>
      </c>
      <c r="P2673" s="0" t="n">
        <f aca="true">RAND()</f>
        <v>0.784778264175463</v>
      </c>
      <c r="Q2673" s="0" t="n">
        <f aca="true">RAND()</f>
        <v>0.578347112356769</v>
      </c>
      <c r="R2673" s="0" t="n">
        <f aca="false">IF($I2673&lt;&gt;$O2673,0,IF(P2673&lt;Matchup!$B$39,7,IF(P2673&lt;Matchup!$B$39+Matchup!$B$40,3,0)))</f>
        <v>0</v>
      </c>
      <c r="S2673" s="0" t="n">
        <f aca="false">IF($I2673&lt;&gt;$O2673,0,IF(Q2673&lt;Matchup!$C$39,7,IF(Q2673&lt;Matchup!$C$39+Matchup!$C$40,3,0)))</f>
        <v>0</v>
      </c>
      <c r="T2673" s="0" t="n">
        <f aca="false">I2673+R2673</f>
        <v>17</v>
      </c>
      <c r="U2673" s="0" t="n">
        <f aca="false">O2673+S2673</f>
        <v>17</v>
      </c>
      <c r="V2673" s="0" t="n">
        <f aca="false">T2673-U2673</f>
        <v>0</v>
      </c>
      <c r="W2673" s="0" t="n">
        <f aca="false">T2673+U2673</f>
        <v>34</v>
      </c>
    </row>
    <row r="2674" customFormat="false" ht="15" hidden="false" customHeight="false" outlineLevel="0" collapsed="false">
      <c r="A2674" s="0" t="n">
        <v>2671</v>
      </c>
      <c r="B2674" s="0" t="n">
        <f aca="true">NORMINV(RAND(),1,Coefficients!$B$22)</f>
        <v>1.13196010717892</v>
      </c>
      <c r="C2674" s="0" t="n">
        <f aca="true">MEDIAN(8,16,ROUND(NORMINV(RAND(),Coefficients!$B$20,Coefficients!$B$21),0))</f>
        <v>12</v>
      </c>
      <c r="D2674" s="0" t="n">
        <f aca="true">CRITBINOM($C2674,MIN(0.75,Matchup!$B$39*$B2674),RAND())</f>
        <v>2</v>
      </c>
      <c r="E2674" s="0" t="n">
        <f aca="true">CRITBINOM(D2674,Coefficients!$B$30,RAND())</f>
        <v>0</v>
      </c>
      <c r="F2674" s="0" t="n">
        <f aca="true">CRITBINOM(E2674,Coefficients!$B$31,RAND())</f>
        <v>0</v>
      </c>
      <c r="G2674" s="0" t="n">
        <f aca="true">CRITBINOM(MAX(0,D2674-E2674),1-Coefficients!$B$32,RAND())</f>
        <v>0</v>
      </c>
      <c r="H2674" s="0" t="n">
        <f aca="true">CRITBINOM(MAX(0,$C2674-D2674),MIN(0.6,Matchup!$B$40*SQRT($B2674)/(1-MIN(0.75,Matchup!$B$39*$B2674))),RAND())</f>
        <v>0</v>
      </c>
      <c r="I2674" s="0" t="n">
        <f aca="false">6*D2674+(D2674-E2674-G2674)+2*F2674+3*H2674</f>
        <v>14</v>
      </c>
      <c r="J2674" s="0" t="n">
        <f aca="true">CRITBINOM($C2674,MIN(0.75,Matchup!$C$39*$B2674),RAND())</f>
        <v>3</v>
      </c>
      <c r="K2674" s="0" t="n">
        <f aca="true">CRITBINOM(J2674,Coefficients!$B$30,RAND())</f>
        <v>0</v>
      </c>
      <c r="L2674" s="0" t="n">
        <f aca="true">CRITBINOM(K2674,Coefficients!$B$31,RAND())</f>
        <v>0</v>
      </c>
      <c r="M2674" s="0" t="n">
        <f aca="true">CRITBINOM(MAX(0,J2674-K2674),1-Coefficients!$B$32,RAND())</f>
        <v>0</v>
      </c>
      <c r="N2674" s="0" t="n">
        <f aca="true">CRITBINOM(MAX(0,$C2674-J2674),MIN(0.6,Matchup!$C$40*SQRT($B2674)/(1-MIN(0.75,Matchup!$C$39*$B2674))),RAND())</f>
        <v>2</v>
      </c>
      <c r="O2674" s="0" t="n">
        <f aca="false">6*J2674+(J2674-K2674-M2674)+2*L2674+3*N2674</f>
        <v>27</v>
      </c>
      <c r="P2674" s="0" t="n">
        <f aca="true">RAND()</f>
        <v>0.628311787767854</v>
      </c>
      <c r="Q2674" s="0" t="n">
        <f aca="true">RAND()</f>
        <v>0.750599030821991</v>
      </c>
      <c r="R2674" s="0" t="n">
        <f aca="false">IF($I2674&lt;&gt;$O2674,0,IF(P2674&lt;Matchup!$B$39,7,IF(P2674&lt;Matchup!$B$39+Matchup!$B$40,3,0)))</f>
        <v>0</v>
      </c>
      <c r="S2674" s="0" t="n">
        <f aca="false">IF($I2674&lt;&gt;$O2674,0,IF(Q2674&lt;Matchup!$C$39,7,IF(Q2674&lt;Matchup!$C$39+Matchup!$C$40,3,0)))</f>
        <v>0</v>
      </c>
      <c r="T2674" s="0" t="n">
        <f aca="false">I2674+R2674</f>
        <v>14</v>
      </c>
      <c r="U2674" s="0" t="n">
        <f aca="false">O2674+S2674</f>
        <v>27</v>
      </c>
      <c r="V2674" s="0" t="n">
        <f aca="false">T2674-U2674</f>
        <v>-13</v>
      </c>
      <c r="W2674" s="0" t="n">
        <f aca="false">T2674+U2674</f>
        <v>41</v>
      </c>
    </row>
    <row r="2675" customFormat="false" ht="15" hidden="false" customHeight="false" outlineLevel="0" collapsed="false">
      <c r="A2675" s="0" t="n">
        <v>2672</v>
      </c>
      <c r="B2675" s="0" t="n">
        <f aca="true">NORMINV(RAND(),1,Coefficients!$B$22)</f>
        <v>0.904853503154392</v>
      </c>
      <c r="C2675" s="0" t="n">
        <f aca="true">MEDIAN(8,16,ROUND(NORMINV(RAND(),Coefficients!$B$20,Coefficients!$B$21),0))</f>
        <v>10</v>
      </c>
      <c r="D2675" s="0" t="n">
        <f aca="true">CRITBINOM($C2675,MIN(0.75,Matchup!$B$39*$B2675),RAND())</f>
        <v>3</v>
      </c>
      <c r="E2675" s="0" t="n">
        <f aca="true">CRITBINOM(D2675,Coefficients!$B$30,RAND())</f>
        <v>0</v>
      </c>
      <c r="F2675" s="0" t="n">
        <f aca="true">CRITBINOM(E2675,Coefficients!$B$31,RAND())</f>
        <v>0</v>
      </c>
      <c r="G2675" s="0" t="n">
        <f aca="true">CRITBINOM(MAX(0,D2675-E2675),1-Coefficients!$B$32,RAND())</f>
        <v>0</v>
      </c>
      <c r="H2675" s="0" t="n">
        <f aca="true">CRITBINOM(MAX(0,$C2675-D2675),MIN(0.6,Matchup!$B$40*SQRT($B2675)/(1-MIN(0.75,Matchup!$B$39*$B2675))),RAND())</f>
        <v>0</v>
      </c>
      <c r="I2675" s="0" t="n">
        <f aca="false">6*D2675+(D2675-E2675-G2675)+2*F2675+3*H2675</f>
        <v>21</v>
      </c>
      <c r="J2675" s="0" t="n">
        <f aca="true">CRITBINOM($C2675,MIN(0.75,Matchup!$C$39*$B2675),RAND())</f>
        <v>1</v>
      </c>
      <c r="K2675" s="0" t="n">
        <f aca="true">CRITBINOM(J2675,Coefficients!$B$30,RAND())</f>
        <v>0</v>
      </c>
      <c r="L2675" s="0" t="n">
        <f aca="true">CRITBINOM(K2675,Coefficients!$B$31,RAND())</f>
        <v>0</v>
      </c>
      <c r="M2675" s="0" t="n">
        <f aca="true">CRITBINOM(MAX(0,J2675-K2675),1-Coefficients!$B$32,RAND())</f>
        <v>0</v>
      </c>
      <c r="N2675" s="0" t="n">
        <f aca="true">CRITBINOM(MAX(0,$C2675-J2675),MIN(0.6,Matchup!$C$40*SQRT($B2675)/(1-MIN(0.75,Matchup!$C$39*$B2675))),RAND())</f>
        <v>1</v>
      </c>
      <c r="O2675" s="0" t="n">
        <f aca="false">6*J2675+(J2675-K2675-M2675)+2*L2675+3*N2675</f>
        <v>10</v>
      </c>
      <c r="P2675" s="0" t="n">
        <f aca="true">RAND()</f>
        <v>0.0793490875567356</v>
      </c>
      <c r="Q2675" s="0" t="n">
        <f aca="true">RAND()</f>
        <v>0.484453823416648</v>
      </c>
      <c r="R2675" s="0" t="n">
        <f aca="false">IF($I2675&lt;&gt;$O2675,0,IF(P2675&lt;Matchup!$B$39,7,IF(P2675&lt;Matchup!$B$39+Matchup!$B$40,3,0)))</f>
        <v>0</v>
      </c>
      <c r="S2675" s="0" t="n">
        <f aca="false">IF($I2675&lt;&gt;$O2675,0,IF(Q2675&lt;Matchup!$C$39,7,IF(Q2675&lt;Matchup!$C$39+Matchup!$C$40,3,0)))</f>
        <v>0</v>
      </c>
      <c r="T2675" s="0" t="n">
        <f aca="false">I2675+R2675</f>
        <v>21</v>
      </c>
      <c r="U2675" s="0" t="n">
        <f aca="false">O2675+S2675</f>
        <v>10</v>
      </c>
      <c r="V2675" s="0" t="n">
        <f aca="false">T2675-U2675</f>
        <v>11</v>
      </c>
      <c r="W2675" s="0" t="n">
        <f aca="false">T2675+U2675</f>
        <v>31</v>
      </c>
    </row>
    <row r="2676" customFormat="false" ht="15" hidden="false" customHeight="false" outlineLevel="0" collapsed="false">
      <c r="A2676" s="0" t="n">
        <v>2673</v>
      </c>
      <c r="B2676" s="0" t="n">
        <f aca="true">NORMINV(RAND(),1,Coefficients!$B$22)</f>
        <v>1.03783404496132</v>
      </c>
      <c r="C2676" s="0" t="n">
        <f aca="true">MEDIAN(8,16,ROUND(NORMINV(RAND(),Coefficients!$B$20,Coefficients!$B$21),0))</f>
        <v>11</v>
      </c>
      <c r="D2676" s="0" t="n">
        <f aca="true">CRITBINOM($C2676,MIN(0.75,Matchup!$B$39*$B2676),RAND())</f>
        <v>3</v>
      </c>
      <c r="E2676" s="0" t="n">
        <f aca="true">CRITBINOM(D2676,Coefficients!$B$30,RAND())</f>
        <v>0</v>
      </c>
      <c r="F2676" s="0" t="n">
        <f aca="true">CRITBINOM(E2676,Coefficients!$B$31,RAND())</f>
        <v>0</v>
      </c>
      <c r="G2676" s="0" t="n">
        <f aca="true">CRITBINOM(MAX(0,D2676-E2676),1-Coefficients!$B$32,RAND())</f>
        <v>1</v>
      </c>
      <c r="H2676" s="0" t="n">
        <f aca="true">CRITBINOM(MAX(0,$C2676-D2676),MIN(0.6,Matchup!$B$40*SQRT($B2676)/(1-MIN(0.75,Matchup!$B$39*$B2676))),RAND())</f>
        <v>0</v>
      </c>
      <c r="I2676" s="0" t="n">
        <f aca="false">6*D2676+(D2676-E2676-G2676)+2*F2676+3*H2676</f>
        <v>20</v>
      </c>
      <c r="J2676" s="0" t="n">
        <f aca="true">CRITBINOM($C2676,MIN(0.75,Matchup!$C$39*$B2676),RAND())</f>
        <v>1</v>
      </c>
      <c r="K2676" s="0" t="n">
        <f aca="true">CRITBINOM(J2676,Coefficients!$B$30,RAND())</f>
        <v>0</v>
      </c>
      <c r="L2676" s="0" t="n">
        <f aca="true">CRITBINOM(K2676,Coefficients!$B$31,RAND())</f>
        <v>0</v>
      </c>
      <c r="M2676" s="0" t="n">
        <f aca="true">CRITBINOM(MAX(0,J2676-K2676),1-Coefficients!$B$32,RAND())</f>
        <v>0</v>
      </c>
      <c r="N2676" s="0" t="n">
        <f aca="true">CRITBINOM(MAX(0,$C2676-J2676),MIN(0.6,Matchup!$C$40*SQRT($B2676)/(1-MIN(0.75,Matchup!$C$39*$B2676))),RAND())</f>
        <v>2</v>
      </c>
      <c r="O2676" s="0" t="n">
        <f aca="false">6*J2676+(J2676-K2676-M2676)+2*L2676+3*N2676</f>
        <v>13</v>
      </c>
      <c r="P2676" s="0" t="n">
        <f aca="true">RAND()</f>
        <v>0.542998340201175</v>
      </c>
      <c r="Q2676" s="0" t="n">
        <f aca="true">RAND()</f>
        <v>0.735854490873857</v>
      </c>
      <c r="R2676" s="0" t="n">
        <f aca="false">IF($I2676&lt;&gt;$O2676,0,IF(P2676&lt;Matchup!$B$39,7,IF(P2676&lt;Matchup!$B$39+Matchup!$B$40,3,0)))</f>
        <v>0</v>
      </c>
      <c r="S2676" s="0" t="n">
        <f aca="false">IF($I2676&lt;&gt;$O2676,0,IF(Q2676&lt;Matchup!$C$39,7,IF(Q2676&lt;Matchup!$C$39+Matchup!$C$40,3,0)))</f>
        <v>0</v>
      </c>
      <c r="T2676" s="0" t="n">
        <f aca="false">I2676+R2676</f>
        <v>20</v>
      </c>
      <c r="U2676" s="0" t="n">
        <f aca="false">O2676+S2676</f>
        <v>13</v>
      </c>
      <c r="V2676" s="0" t="n">
        <f aca="false">T2676-U2676</f>
        <v>7</v>
      </c>
      <c r="W2676" s="0" t="n">
        <f aca="false">T2676+U2676</f>
        <v>33</v>
      </c>
    </row>
    <row r="2677" customFormat="false" ht="15" hidden="false" customHeight="false" outlineLevel="0" collapsed="false">
      <c r="A2677" s="0" t="n">
        <v>2674</v>
      </c>
      <c r="B2677" s="0" t="n">
        <f aca="true">NORMINV(RAND(),1,Coefficients!$B$22)</f>
        <v>0.805704789395403</v>
      </c>
      <c r="C2677" s="0" t="n">
        <f aca="true">MEDIAN(8,16,ROUND(NORMINV(RAND(),Coefficients!$B$20,Coefficients!$B$21),0))</f>
        <v>11</v>
      </c>
      <c r="D2677" s="0" t="n">
        <f aca="true">CRITBINOM($C2677,MIN(0.75,Matchup!$B$39*$B2677),RAND())</f>
        <v>1</v>
      </c>
      <c r="E2677" s="0" t="n">
        <f aca="true">CRITBINOM(D2677,Coefficients!$B$30,RAND())</f>
        <v>0</v>
      </c>
      <c r="F2677" s="0" t="n">
        <f aca="true">CRITBINOM(E2677,Coefficients!$B$31,RAND())</f>
        <v>0</v>
      </c>
      <c r="G2677" s="0" t="n">
        <f aca="true">CRITBINOM(MAX(0,D2677-E2677),1-Coefficients!$B$32,RAND())</f>
        <v>0</v>
      </c>
      <c r="H2677" s="0" t="n">
        <f aca="true">CRITBINOM(MAX(0,$C2677-D2677),MIN(0.6,Matchup!$B$40*SQRT($B2677)/(1-MIN(0.75,Matchup!$B$39*$B2677))),RAND())</f>
        <v>1</v>
      </c>
      <c r="I2677" s="0" t="n">
        <f aca="false">6*D2677+(D2677-E2677-G2677)+2*F2677+3*H2677</f>
        <v>10</v>
      </c>
      <c r="J2677" s="0" t="n">
        <f aca="true">CRITBINOM($C2677,MIN(0.75,Matchup!$C$39*$B2677),RAND())</f>
        <v>0</v>
      </c>
      <c r="K2677" s="0" t="n">
        <f aca="true">CRITBINOM(J2677,Coefficients!$B$30,RAND())</f>
        <v>0</v>
      </c>
      <c r="L2677" s="0" t="n">
        <f aca="true">CRITBINOM(K2677,Coefficients!$B$31,RAND())</f>
        <v>0</v>
      </c>
      <c r="M2677" s="0" t="n">
        <f aca="true">CRITBINOM(MAX(0,J2677-K2677),1-Coefficients!$B$32,RAND())</f>
        <v>0</v>
      </c>
      <c r="N2677" s="0" t="n">
        <f aca="true">CRITBINOM(MAX(0,$C2677-J2677),MIN(0.6,Matchup!$C$40*SQRT($B2677)/(1-MIN(0.75,Matchup!$C$39*$B2677))),RAND())</f>
        <v>1</v>
      </c>
      <c r="O2677" s="0" t="n">
        <f aca="false">6*J2677+(J2677-K2677-M2677)+2*L2677+3*N2677</f>
        <v>3</v>
      </c>
      <c r="P2677" s="0" t="n">
        <f aca="true">RAND()</f>
        <v>0.928986510655532</v>
      </c>
      <c r="Q2677" s="0" t="n">
        <f aca="true">RAND()</f>
        <v>0.243098085796096</v>
      </c>
      <c r="R2677" s="0" t="n">
        <f aca="false">IF($I2677&lt;&gt;$O2677,0,IF(P2677&lt;Matchup!$B$39,7,IF(P2677&lt;Matchup!$B$39+Matchup!$B$40,3,0)))</f>
        <v>0</v>
      </c>
      <c r="S2677" s="0" t="n">
        <f aca="false">IF($I2677&lt;&gt;$O2677,0,IF(Q2677&lt;Matchup!$C$39,7,IF(Q2677&lt;Matchup!$C$39+Matchup!$C$40,3,0)))</f>
        <v>0</v>
      </c>
      <c r="T2677" s="0" t="n">
        <f aca="false">I2677+R2677</f>
        <v>10</v>
      </c>
      <c r="U2677" s="0" t="n">
        <f aca="false">O2677+S2677</f>
        <v>3</v>
      </c>
      <c r="V2677" s="0" t="n">
        <f aca="false">T2677-U2677</f>
        <v>7</v>
      </c>
      <c r="W2677" s="0" t="n">
        <f aca="false">T2677+U2677</f>
        <v>13</v>
      </c>
    </row>
    <row r="2678" customFormat="false" ht="15" hidden="false" customHeight="false" outlineLevel="0" collapsed="false">
      <c r="A2678" s="0" t="n">
        <v>2675</v>
      </c>
      <c r="B2678" s="0" t="n">
        <f aca="true">NORMINV(RAND(),1,Coefficients!$B$22)</f>
        <v>1.05041199349221</v>
      </c>
      <c r="C2678" s="0" t="n">
        <f aca="true">MEDIAN(8,16,ROUND(NORMINV(RAND(),Coefficients!$B$20,Coefficients!$B$21),0))</f>
        <v>11</v>
      </c>
      <c r="D2678" s="0" t="n">
        <f aca="true">CRITBINOM($C2678,MIN(0.75,Matchup!$B$39*$B2678),RAND())</f>
        <v>3</v>
      </c>
      <c r="E2678" s="0" t="n">
        <f aca="true">CRITBINOM(D2678,Coefficients!$B$30,RAND())</f>
        <v>0</v>
      </c>
      <c r="F2678" s="0" t="n">
        <f aca="true">CRITBINOM(E2678,Coefficients!$B$31,RAND())</f>
        <v>0</v>
      </c>
      <c r="G2678" s="0" t="n">
        <f aca="true">CRITBINOM(MAX(0,D2678-E2678),1-Coefficients!$B$32,RAND())</f>
        <v>0</v>
      </c>
      <c r="H2678" s="0" t="n">
        <f aca="true">CRITBINOM(MAX(0,$C2678-D2678),MIN(0.6,Matchup!$B$40*SQRT($B2678)/(1-MIN(0.75,Matchup!$B$39*$B2678))),RAND())</f>
        <v>2</v>
      </c>
      <c r="I2678" s="0" t="n">
        <f aca="false">6*D2678+(D2678-E2678-G2678)+2*F2678+3*H2678</f>
        <v>27</v>
      </c>
      <c r="J2678" s="0" t="n">
        <f aca="true">CRITBINOM($C2678,MIN(0.75,Matchup!$C$39*$B2678),RAND())</f>
        <v>2</v>
      </c>
      <c r="K2678" s="0" t="n">
        <f aca="true">CRITBINOM(J2678,Coefficients!$B$30,RAND())</f>
        <v>0</v>
      </c>
      <c r="L2678" s="0" t="n">
        <f aca="true">CRITBINOM(K2678,Coefficients!$B$31,RAND())</f>
        <v>0</v>
      </c>
      <c r="M2678" s="0" t="n">
        <f aca="true">CRITBINOM(MAX(0,J2678-K2678),1-Coefficients!$B$32,RAND())</f>
        <v>0</v>
      </c>
      <c r="N2678" s="0" t="n">
        <f aca="true">CRITBINOM(MAX(0,$C2678-J2678),MIN(0.6,Matchup!$C$40*SQRT($B2678)/(1-MIN(0.75,Matchup!$C$39*$B2678))),RAND())</f>
        <v>1</v>
      </c>
      <c r="O2678" s="0" t="n">
        <f aca="false">6*J2678+(J2678-K2678-M2678)+2*L2678+3*N2678</f>
        <v>17</v>
      </c>
      <c r="P2678" s="0" t="n">
        <f aca="true">RAND()</f>
        <v>0.412783147760428</v>
      </c>
      <c r="Q2678" s="0" t="n">
        <f aca="true">RAND()</f>
        <v>0.0992511876871156</v>
      </c>
      <c r="R2678" s="0" t="n">
        <f aca="false">IF($I2678&lt;&gt;$O2678,0,IF(P2678&lt;Matchup!$B$39,7,IF(P2678&lt;Matchup!$B$39+Matchup!$B$40,3,0)))</f>
        <v>0</v>
      </c>
      <c r="S2678" s="0" t="n">
        <f aca="false">IF($I2678&lt;&gt;$O2678,0,IF(Q2678&lt;Matchup!$C$39,7,IF(Q2678&lt;Matchup!$C$39+Matchup!$C$40,3,0)))</f>
        <v>0</v>
      </c>
      <c r="T2678" s="0" t="n">
        <f aca="false">I2678+R2678</f>
        <v>27</v>
      </c>
      <c r="U2678" s="0" t="n">
        <f aca="false">O2678+S2678</f>
        <v>17</v>
      </c>
      <c r="V2678" s="0" t="n">
        <f aca="false">T2678-U2678</f>
        <v>10</v>
      </c>
      <c r="W2678" s="0" t="n">
        <f aca="false">T2678+U2678</f>
        <v>44</v>
      </c>
    </row>
    <row r="2679" customFormat="false" ht="15" hidden="false" customHeight="false" outlineLevel="0" collapsed="false">
      <c r="A2679" s="0" t="n">
        <v>2676</v>
      </c>
      <c r="B2679" s="0" t="n">
        <f aca="true">NORMINV(RAND(),1,Coefficients!$B$22)</f>
        <v>0.824062380146974</v>
      </c>
      <c r="C2679" s="0" t="n">
        <f aca="true">MEDIAN(8,16,ROUND(NORMINV(RAND(),Coefficients!$B$20,Coefficients!$B$21),0))</f>
        <v>13</v>
      </c>
      <c r="D2679" s="0" t="n">
        <f aca="true">CRITBINOM($C2679,MIN(0.75,Matchup!$B$39*$B2679),RAND())</f>
        <v>4</v>
      </c>
      <c r="E2679" s="0" t="n">
        <f aca="true">CRITBINOM(D2679,Coefficients!$B$30,RAND())</f>
        <v>0</v>
      </c>
      <c r="F2679" s="0" t="n">
        <f aca="true">CRITBINOM(E2679,Coefficients!$B$31,RAND())</f>
        <v>0</v>
      </c>
      <c r="G2679" s="0" t="n">
        <f aca="true">CRITBINOM(MAX(0,D2679-E2679),1-Coefficients!$B$32,RAND())</f>
        <v>0</v>
      </c>
      <c r="H2679" s="0" t="n">
        <f aca="true">CRITBINOM(MAX(0,$C2679-D2679),MIN(0.6,Matchup!$B$40*SQRT($B2679)/(1-MIN(0.75,Matchup!$B$39*$B2679))),RAND())</f>
        <v>0</v>
      </c>
      <c r="I2679" s="0" t="n">
        <f aca="false">6*D2679+(D2679-E2679-G2679)+2*F2679+3*H2679</f>
        <v>28</v>
      </c>
      <c r="J2679" s="0" t="n">
        <f aca="true">CRITBINOM($C2679,MIN(0.75,Matchup!$C$39*$B2679),RAND())</f>
        <v>2</v>
      </c>
      <c r="K2679" s="0" t="n">
        <f aca="true">CRITBINOM(J2679,Coefficients!$B$30,RAND())</f>
        <v>0</v>
      </c>
      <c r="L2679" s="0" t="n">
        <f aca="true">CRITBINOM(K2679,Coefficients!$B$31,RAND())</f>
        <v>0</v>
      </c>
      <c r="M2679" s="0" t="n">
        <f aca="true">CRITBINOM(MAX(0,J2679-K2679),1-Coefficients!$B$32,RAND())</f>
        <v>0</v>
      </c>
      <c r="N2679" s="0" t="n">
        <f aca="true">CRITBINOM(MAX(0,$C2679-J2679),MIN(0.6,Matchup!$C$40*SQRT($B2679)/(1-MIN(0.75,Matchup!$C$39*$B2679))),RAND())</f>
        <v>1</v>
      </c>
      <c r="O2679" s="0" t="n">
        <f aca="false">6*J2679+(J2679-K2679-M2679)+2*L2679+3*N2679</f>
        <v>17</v>
      </c>
      <c r="P2679" s="0" t="n">
        <f aca="true">RAND()</f>
        <v>0.989645430688791</v>
      </c>
      <c r="Q2679" s="0" t="n">
        <f aca="true">RAND()</f>
        <v>0.161924494211284</v>
      </c>
      <c r="R2679" s="0" t="n">
        <f aca="false">IF($I2679&lt;&gt;$O2679,0,IF(P2679&lt;Matchup!$B$39,7,IF(P2679&lt;Matchup!$B$39+Matchup!$B$40,3,0)))</f>
        <v>0</v>
      </c>
      <c r="S2679" s="0" t="n">
        <f aca="false">IF($I2679&lt;&gt;$O2679,0,IF(Q2679&lt;Matchup!$C$39,7,IF(Q2679&lt;Matchup!$C$39+Matchup!$C$40,3,0)))</f>
        <v>0</v>
      </c>
      <c r="T2679" s="0" t="n">
        <f aca="false">I2679+R2679</f>
        <v>28</v>
      </c>
      <c r="U2679" s="0" t="n">
        <f aca="false">O2679+S2679</f>
        <v>17</v>
      </c>
      <c r="V2679" s="0" t="n">
        <f aca="false">T2679-U2679</f>
        <v>11</v>
      </c>
      <c r="W2679" s="0" t="n">
        <f aca="false">T2679+U2679</f>
        <v>45</v>
      </c>
    </row>
    <row r="2680" customFormat="false" ht="15" hidden="false" customHeight="false" outlineLevel="0" collapsed="false">
      <c r="A2680" s="0" t="n">
        <v>2677</v>
      </c>
      <c r="B2680" s="0" t="n">
        <f aca="true">NORMINV(RAND(),1,Coefficients!$B$22)</f>
        <v>0.958820018504436</v>
      </c>
      <c r="C2680" s="0" t="n">
        <f aca="true">MEDIAN(8,16,ROUND(NORMINV(RAND(),Coefficients!$B$20,Coefficients!$B$21),0))</f>
        <v>11</v>
      </c>
      <c r="D2680" s="0" t="n">
        <f aca="true">CRITBINOM($C2680,MIN(0.75,Matchup!$B$39*$B2680),RAND())</f>
        <v>1</v>
      </c>
      <c r="E2680" s="0" t="n">
        <f aca="true">CRITBINOM(D2680,Coefficients!$B$30,RAND())</f>
        <v>0</v>
      </c>
      <c r="F2680" s="0" t="n">
        <f aca="true">CRITBINOM(E2680,Coefficients!$B$31,RAND())</f>
        <v>0</v>
      </c>
      <c r="G2680" s="0" t="n">
        <f aca="true">CRITBINOM(MAX(0,D2680-E2680),1-Coefficients!$B$32,RAND())</f>
        <v>0</v>
      </c>
      <c r="H2680" s="0" t="n">
        <f aca="true">CRITBINOM(MAX(0,$C2680-D2680),MIN(0.6,Matchup!$B$40*SQRT($B2680)/(1-MIN(0.75,Matchup!$B$39*$B2680))),RAND())</f>
        <v>0</v>
      </c>
      <c r="I2680" s="0" t="n">
        <f aca="false">6*D2680+(D2680-E2680-G2680)+2*F2680+3*H2680</f>
        <v>7</v>
      </c>
      <c r="J2680" s="0" t="n">
        <f aca="true">CRITBINOM($C2680,MIN(0.75,Matchup!$C$39*$B2680),RAND())</f>
        <v>3</v>
      </c>
      <c r="K2680" s="0" t="n">
        <f aca="true">CRITBINOM(J2680,Coefficients!$B$30,RAND())</f>
        <v>0</v>
      </c>
      <c r="L2680" s="0" t="n">
        <f aca="true">CRITBINOM(K2680,Coefficients!$B$31,RAND())</f>
        <v>0</v>
      </c>
      <c r="M2680" s="0" t="n">
        <f aca="true">CRITBINOM(MAX(0,J2680-K2680),1-Coefficients!$B$32,RAND())</f>
        <v>0</v>
      </c>
      <c r="N2680" s="0" t="n">
        <f aca="true">CRITBINOM(MAX(0,$C2680-J2680),MIN(0.6,Matchup!$C$40*SQRT($B2680)/(1-MIN(0.75,Matchup!$C$39*$B2680))),RAND())</f>
        <v>2</v>
      </c>
      <c r="O2680" s="0" t="n">
        <f aca="false">6*J2680+(J2680-K2680-M2680)+2*L2680+3*N2680</f>
        <v>27</v>
      </c>
      <c r="P2680" s="0" t="n">
        <f aca="true">RAND()</f>
        <v>0.311122646146091</v>
      </c>
      <c r="Q2680" s="0" t="n">
        <f aca="true">RAND()</f>
        <v>0.575678481507817</v>
      </c>
      <c r="R2680" s="0" t="n">
        <f aca="false">IF($I2680&lt;&gt;$O2680,0,IF(P2680&lt;Matchup!$B$39,7,IF(P2680&lt;Matchup!$B$39+Matchup!$B$40,3,0)))</f>
        <v>0</v>
      </c>
      <c r="S2680" s="0" t="n">
        <f aca="false">IF($I2680&lt;&gt;$O2680,0,IF(Q2680&lt;Matchup!$C$39,7,IF(Q2680&lt;Matchup!$C$39+Matchup!$C$40,3,0)))</f>
        <v>0</v>
      </c>
      <c r="T2680" s="0" t="n">
        <f aca="false">I2680+R2680</f>
        <v>7</v>
      </c>
      <c r="U2680" s="0" t="n">
        <f aca="false">O2680+S2680</f>
        <v>27</v>
      </c>
      <c r="V2680" s="0" t="n">
        <f aca="false">T2680-U2680</f>
        <v>-20</v>
      </c>
      <c r="W2680" s="0" t="n">
        <f aca="false">T2680+U2680</f>
        <v>34</v>
      </c>
    </row>
    <row r="2681" customFormat="false" ht="15" hidden="false" customHeight="false" outlineLevel="0" collapsed="false">
      <c r="A2681" s="0" t="n">
        <v>2678</v>
      </c>
      <c r="B2681" s="0" t="n">
        <f aca="true">NORMINV(RAND(),1,Coefficients!$B$22)</f>
        <v>1.08492887880083</v>
      </c>
      <c r="C2681" s="0" t="n">
        <f aca="true">MEDIAN(8,16,ROUND(NORMINV(RAND(),Coefficients!$B$20,Coefficients!$B$21),0))</f>
        <v>11</v>
      </c>
      <c r="D2681" s="0" t="n">
        <f aca="true">CRITBINOM($C2681,MIN(0.75,Matchup!$B$39*$B2681),RAND())</f>
        <v>3</v>
      </c>
      <c r="E2681" s="0" t="n">
        <f aca="true">CRITBINOM(D2681,Coefficients!$B$30,RAND())</f>
        <v>0</v>
      </c>
      <c r="F2681" s="0" t="n">
        <f aca="true">CRITBINOM(E2681,Coefficients!$B$31,RAND())</f>
        <v>0</v>
      </c>
      <c r="G2681" s="0" t="n">
        <f aca="true">CRITBINOM(MAX(0,D2681-E2681),1-Coefficients!$B$32,RAND())</f>
        <v>0</v>
      </c>
      <c r="H2681" s="0" t="n">
        <f aca="true">CRITBINOM(MAX(0,$C2681-D2681),MIN(0.6,Matchup!$B$40*SQRT($B2681)/(1-MIN(0.75,Matchup!$B$39*$B2681))),RAND())</f>
        <v>1</v>
      </c>
      <c r="I2681" s="0" t="n">
        <f aca="false">6*D2681+(D2681-E2681-G2681)+2*F2681+3*H2681</f>
        <v>24</v>
      </c>
      <c r="J2681" s="0" t="n">
        <f aca="true">CRITBINOM($C2681,MIN(0.75,Matchup!$C$39*$B2681),RAND())</f>
        <v>4</v>
      </c>
      <c r="K2681" s="0" t="n">
        <f aca="true">CRITBINOM(J2681,Coefficients!$B$30,RAND())</f>
        <v>0</v>
      </c>
      <c r="L2681" s="0" t="n">
        <f aca="true">CRITBINOM(K2681,Coefficients!$B$31,RAND())</f>
        <v>0</v>
      </c>
      <c r="M2681" s="0" t="n">
        <f aca="true">CRITBINOM(MAX(0,J2681-K2681),1-Coefficients!$B$32,RAND())</f>
        <v>0</v>
      </c>
      <c r="N2681" s="0" t="n">
        <f aca="true">CRITBINOM(MAX(0,$C2681-J2681),MIN(0.6,Matchup!$C$40*SQRT($B2681)/(1-MIN(0.75,Matchup!$C$39*$B2681))),RAND())</f>
        <v>1</v>
      </c>
      <c r="O2681" s="0" t="n">
        <f aca="false">6*J2681+(J2681-K2681-M2681)+2*L2681+3*N2681</f>
        <v>31</v>
      </c>
      <c r="P2681" s="0" t="n">
        <f aca="true">RAND()</f>
        <v>0.561832344691362</v>
      </c>
      <c r="Q2681" s="0" t="n">
        <f aca="true">RAND()</f>
        <v>0.223431087418277</v>
      </c>
      <c r="R2681" s="0" t="n">
        <f aca="false">IF($I2681&lt;&gt;$O2681,0,IF(P2681&lt;Matchup!$B$39,7,IF(P2681&lt;Matchup!$B$39+Matchup!$B$40,3,0)))</f>
        <v>0</v>
      </c>
      <c r="S2681" s="0" t="n">
        <f aca="false">IF($I2681&lt;&gt;$O2681,0,IF(Q2681&lt;Matchup!$C$39,7,IF(Q2681&lt;Matchup!$C$39+Matchup!$C$40,3,0)))</f>
        <v>0</v>
      </c>
      <c r="T2681" s="0" t="n">
        <f aca="false">I2681+R2681</f>
        <v>24</v>
      </c>
      <c r="U2681" s="0" t="n">
        <f aca="false">O2681+S2681</f>
        <v>31</v>
      </c>
      <c r="V2681" s="0" t="n">
        <f aca="false">T2681-U2681</f>
        <v>-7</v>
      </c>
      <c r="W2681" s="0" t="n">
        <f aca="false">T2681+U2681</f>
        <v>55</v>
      </c>
    </row>
    <row r="2682" customFormat="false" ht="15" hidden="false" customHeight="false" outlineLevel="0" collapsed="false">
      <c r="A2682" s="0" t="n">
        <v>2679</v>
      </c>
      <c r="B2682" s="0" t="n">
        <f aca="true">NORMINV(RAND(),1,Coefficients!$B$22)</f>
        <v>0.955082890191301</v>
      </c>
      <c r="C2682" s="0" t="n">
        <f aca="true">MEDIAN(8,16,ROUND(NORMINV(RAND(),Coefficients!$B$20,Coefficients!$B$21),0))</f>
        <v>12</v>
      </c>
      <c r="D2682" s="0" t="n">
        <f aca="true">CRITBINOM($C2682,MIN(0.75,Matchup!$B$39*$B2682),RAND())</f>
        <v>3</v>
      </c>
      <c r="E2682" s="0" t="n">
        <f aca="true">CRITBINOM(D2682,Coefficients!$B$30,RAND())</f>
        <v>1</v>
      </c>
      <c r="F2682" s="0" t="n">
        <f aca="true">CRITBINOM(E2682,Coefficients!$B$31,RAND())</f>
        <v>1</v>
      </c>
      <c r="G2682" s="0" t="n">
        <f aca="true">CRITBINOM(MAX(0,D2682-E2682),1-Coefficients!$B$32,RAND())</f>
        <v>0</v>
      </c>
      <c r="H2682" s="0" t="n">
        <f aca="true">CRITBINOM(MAX(0,$C2682-D2682),MIN(0.6,Matchup!$B$40*SQRT($B2682)/(1-MIN(0.75,Matchup!$B$39*$B2682))),RAND())</f>
        <v>0</v>
      </c>
      <c r="I2682" s="0" t="n">
        <f aca="false">6*D2682+(D2682-E2682-G2682)+2*F2682+3*H2682</f>
        <v>22</v>
      </c>
      <c r="J2682" s="0" t="n">
        <f aca="true">CRITBINOM($C2682,MIN(0.75,Matchup!$C$39*$B2682),RAND())</f>
        <v>2</v>
      </c>
      <c r="K2682" s="0" t="n">
        <f aca="true">CRITBINOM(J2682,Coefficients!$B$30,RAND())</f>
        <v>0</v>
      </c>
      <c r="L2682" s="0" t="n">
        <f aca="true">CRITBINOM(K2682,Coefficients!$B$31,RAND())</f>
        <v>0</v>
      </c>
      <c r="M2682" s="0" t="n">
        <f aca="true">CRITBINOM(MAX(0,J2682-K2682),1-Coefficients!$B$32,RAND())</f>
        <v>0</v>
      </c>
      <c r="N2682" s="0" t="n">
        <f aca="true">CRITBINOM(MAX(0,$C2682-J2682),MIN(0.6,Matchup!$C$40*SQRT($B2682)/(1-MIN(0.75,Matchup!$C$39*$B2682))),RAND())</f>
        <v>1</v>
      </c>
      <c r="O2682" s="0" t="n">
        <f aca="false">6*J2682+(J2682-K2682-M2682)+2*L2682+3*N2682</f>
        <v>17</v>
      </c>
      <c r="P2682" s="0" t="n">
        <f aca="true">RAND()</f>
        <v>0.648778765148672</v>
      </c>
      <c r="Q2682" s="0" t="n">
        <f aca="true">RAND()</f>
        <v>0.314070725867196</v>
      </c>
      <c r="R2682" s="0" t="n">
        <f aca="false">IF($I2682&lt;&gt;$O2682,0,IF(P2682&lt;Matchup!$B$39,7,IF(P2682&lt;Matchup!$B$39+Matchup!$B$40,3,0)))</f>
        <v>0</v>
      </c>
      <c r="S2682" s="0" t="n">
        <f aca="false">IF($I2682&lt;&gt;$O2682,0,IF(Q2682&lt;Matchup!$C$39,7,IF(Q2682&lt;Matchup!$C$39+Matchup!$C$40,3,0)))</f>
        <v>0</v>
      </c>
      <c r="T2682" s="0" t="n">
        <f aca="false">I2682+R2682</f>
        <v>22</v>
      </c>
      <c r="U2682" s="0" t="n">
        <f aca="false">O2682+S2682</f>
        <v>17</v>
      </c>
      <c r="V2682" s="0" t="n">
        <f aca="false">T2682-U2682</f>
        <v>5</v>
      </c>
      <c r="W2682" s="0" t="n">
        <f aca="false">T2682+U2682</f>
        <v>39</v>
      </c>
    </row>
    <row r="2683" customFormat="false" ht="15" hidden="false" customHeight="false" outlineLevel="0" collapsed="false">
      <c r="A2683" s="0" t="n">
        <v>2680</v>
      </c>
      <c r="B2683" s="0" t="n">
        <f aca="true">NORMINV(RAND(),1,Coefficients!$B$22)</f>
        <v>1.02743914784332</v>
      </c>
      <c r="C2683" s="0" t="n">
        <f aca="true">MEDIAN(8,16,ROUND(NORMINV(RAND(),Coefficients!$B$20,Coefficients!$B$21),0))</f>
        <v>12</v>
      </c>
      <c r="D2683" s="0" t="n">
        <f aca="true">CRITBINOM($C2683,MIN(0.75,Matchup!$B$39*$B2683),RAND())</f>
        <v>3</v>
      </c>
      <c r="E2683" s="0" t="n">
        <f aca="true">CRITBINOM(D2683,Coefficients!$B$30,RAND())</f>
        <v>1</v>
      </c>
      <c r="F2683" s="0" t="n">
        <f aca="true">CRITBINOM(E2683,Coefficients!$B$31,RAND())</f>
        <v>0</v>
      </c>
      <c r="G2683" s="0" t="n">
        <f aca="true">CRITBINOM(MAX(0,D2683-E2683),1-Coefficients!$B$32,RAND())</f>
        <v>0</v>
      </c>
      <c r="H2683" s="0" t="n">
        <f aca="true">CRITBINOM(MAX(0,$C2683-D2683),MIN(0.6,Matchup!$B$40*SQRT($B2683)/(1-MIN(0.75,Matchup!$B$39*$B2683))),RAND())</f>
        <v>2</v>
      </c>
      <c r="I2683" s="0" t="n">
        <f aca="false">6*D2683+(D2683-E2683-G2683)+2*F2683+3*H2683</f>
        <v>26</v>
      </c>
      <c r="J2683" s="0" t="n">
        <f aca="true">CRITBINOM($C2683,MIN(0.75,Matchup!$C$39*$B2683),RAND())</f>
        <v>3</v>
      </c>
      <c r="K2683" s="0" t="n">
        <f aca="true">CRITBINOM(J2683,Coefficients!$B$30,RAND())</f>
        <v>0</v>
      </c>
      <c r="L2683" s="0" t="n">
        <f aca="true">CRITBINOM(K2683,Coefficients!$B$31,RAND())</f>
        <v>0</v>
      </c>
      <c r="M2683" s="0" t="n">
        <f aca="true">CRITBINOM(MAX(0,J2683-K2683),1-Coefficients!$B$32,RAND())</f>
        <v>0</v>
      </c>
      <c r="N2683" s="0" t="n">
        <f aca="true">CRITBINOM(MAX(0,$C2683-J2683),MIN(0.6,Matchup!$C$40*SQRT($B2683)/(1-MIN(0.75,Matchup!$C$39*$B2683))),RAND())</f>
        <v>2</v>
      </c>
      <c r="O2683" s="0" t="n">
        <f aca="false">6*J2683+(J2683-K2683-M2683)+2*L2683+3*N2683</f>
        <v>27</v>
      </c>
      <c r="P2683" s="0" t="n">
        <f aca="true">RAND()</f>
        <v>0.273034495855999</v>
      </c>
      <c r="Q2683" s="0" t="n">
        <f aca="true">RAND()</f>
        <v>0.590882872267626</v>
      </c>
      <c r="R2683" s="0" t="n">
        <f aca="false">IF($I2683&lt;&gt;$O2683,0,IF(P2683&lt;Matchup!$B$39,7,IF(P2683&lt;Matchup!$B$39+Matchup!$B$40,3,0)))</f>
        <v>0</v>
      </c>
      <c r="S2683" s="0" t="n">
        <f aca="false">IF($I2683&lt;&gt;$O2683,0,IF(Q2683&lt;Matchup!$C$39,7,IF(Q2683&lt;Matchup!$C$39+Matchup!$C$40,3,0)))</f>
        <v>0</v>
      </c>
      <c r="T2683" s="0" t="n">
        <f aca="false">I2683+R2683</f>
        <v>26</v>
      </c>
      <c r="U2683" s="0" t="n">
        <f aca="false">O2683+S2683</f>
        <v>27</v>
      </c>
      <c r="V2683" s="0" t="n">
        <f aca="false">T2683-U2683</f>
        <v>-1</v>
      </c>
      <c r="W2683" s="0" t="n">
        <f aca="false">T2683+U2683</f>
        <v>53</v>
      </c>
    </row>
    <row r="2684" customFormat="false" ht="15" hidden="false" customHeight="false" outlineLevel="0" collapsed="false">
      <c r="A2684" s="0" t="n">
        <v>2681</v>
      </c>
      <c r="B2684" s="0" t="n">
        <f aca="true">NORMINV(RAND(),1,Coefficients!$B$22)</f>
        <v>1.03887270522002</v>
      </c>
      <c r="C2684" s="0" t="n">
        <f aca="true">MEDIAN(8,16,ROUND(NORMINV(RAND(),Coefficients!$B$20,Coefficients!$B$21),0))</f>
        <v>10</v>
      </c>
      <c r="D2684" s="0" t="n">
        <f aca="true">CRITBINOM($C2684,MIN(0.75,Matchup!$B$39*$B2684),RAND())</f>
        <v>4</v>
      </c>
      <c r="E2684" s="0" t="n">
        <f aca="true">CRITBINOM(D2684,Coefficients!$B$30,RAND())</f>
        <v>0</v>
      </c>
      <c r="F2684" s="0" t="n">
        <f aca="true">CRITBINOM(E2684,Coefficients!$B$31,RAND())</f>
        <v>0</v>
      </c>
      <c r="G2684" s="0" t="n">
        <f aca="true">CRITBINOM(MAX(0,D2684-E2684),1-Coefficients!$B$32,RAND())</f>
        <v>1</v>
      </c>
      <c r="H2684" s="0" t="n">
        <f aca="true">CRITBINOM(MAX(0,$C2684-D2684),MIN(0.6,Matchup!$B$40*SQRT($B2684)/(1-MIN(0.75,Matchup!$B$39*$B2684))),RAND())</f>
        <v>1</v>
      </c>
      <c r="I2684" s="0" t="n">
        <f aca="false">6*D2684+(D2684-E2684-G2684)+2*F2684+3*H2684</f>
        <v>30</v>
      </c>
      <c r="J2684" s="0" t="n">
        <f aca="true">CRITBINOM($C2684,MIN(0.75,Matchup!$C$39*$B2684),RAND())</f>
        <v>4</v>
      </c>
      <c r="K2684" s="0" t="n">
        <f aca="true">CRITBINOM(J2684,Coefficients!$B$30,RAND())</f>
        <v>0</v>
      </c>
      <c r="L2684" s="0" t="n">
        <f aca="true">CRITBINOM(K2684,Coefficients!$B$31,RAND())</f>
        <v>0</v>
      </c>
      <c r="M2684" s="0" t="n">
        <f aca="true">CRITBINOM(MAX(0,J2684-K2684),1-Coefficients!$B$32,RAND())</f>
        <v>1</v>
      </c>
      <c r="N2684" s="0" t="n">
        <f aca="true">CRITBINOM(MAX(0,$C2684-J2684),MIN(0.6,Matchup!$C$40*SQRT($B2684)/(1-MIN(0.75,Matchup!$C$39*$B2684))),RAND())</f>
        <v>1</v>
      </c>
      <c r="O2684" s="0" t="n">
        <f aca="false">6*J2684+(J2684-K2684-M2684)+2*L2684+3*N2684</f>
        <v>30</v>
      </c>
      <c r="P2684" s="0" t="n">
        <f aca="true">RAND()</f>
        <v>0.999898797545688</v>
      </c>
      <c r="Q2684" s="0" t="n">
        <f aca="true">RAND()</f>
        <v>0.279121973068481</v>
      </c>
      <c r="R2684" s="0" t="n">
        <f aca="false">IF($I2684&lt;&gt;$O2684,0,IF(P2684&lt;Matchup!$B$39,7,IF(P2684&lt;Matchup!$B$39+Matchup!$B$40,3,0)))</f>
        <v>0</v>
      </c>
      <c r="S2684" s="0" t="n">
        <f aca="false">IF($I2684&lt;&gt;$O2684,0,IF(Q2684&lt;Matchup!$C$39,7,IF(Q2684&lt;Matchup!$C$39+Matchup!$C$40,3,0)))</f>
        <v>3</v>
      </c>
      <c r="T2684" s="0" t="n">
        <f aca="false">I2684+R2684</f>
        <v>30</v>
      </c>
      <c r="U2684" s="0" t="n">
        <f aca="false">O2684+S2684</f>
        <v>33</v>
      </c>
      <c r="V2684" s="0" t="n">
        <f aca="false">T2684-U2684</f>
        <v>-3</v>
      </c>
      <c r="W2684" s="0" t="n">
        <f aca="false">T2684+U2684</f>
        <v>63</v>
      </c>
    </row>
    <row r="2685" customFormat="false" ht="15" hidden="false" customHeight="false" outlineLevel="0" collapsed="false">
      <c r="A2685" s="0" t="n">
        <v>2682</v>
      </c>
      <c r="B2685" s="0" t="n">
        <f aca="true">NORMINV(RAND(),1,Coefficients!$B$22)</f>
        <v>0.949856847788724</v>
      </c>
      <c r="C2685" s="0" t="n">
        <f aca="true">MEDIAN(8,16,ROUND(NORMINV(RAND(),Coefficients!$B$20,Coefficients!$B$21),0))</f>
        <v>10</v>
      </c>
      <c r="D2685" s="0" t="n">
        <f aca="true">CRITBINOM($C2685,MIN(0.75,Matchup!$B$39*$B2685),RAND())</f>
        <v>1</v>
      </c>
      <c r="E2685" s="0" t="n">
        <f aca="true">CRITBINOM(D2685,Coefficients!$B$30,RAND())</f>
        <v>0</v>
      </c>
      <c r="F2685" s="0" t="n">
        <f aca="true">CRITBINOM(E2685,Coefficients!$B$31,RAND())</f>
        <v>0</v>
      </c>
      <c r="G2685" s="0" t="n">
        <f aca="true">CRITBINOM(MAX(0,D2685-E2685),1-Coefficients!$B$32,RAND())</f>
        <v>0</v>
      </c>
      <c r="H2685" s="0" t="n">
        <f aca="true">CRITBINOM(MAX(0,$C2685-D2685),MIN(0.6,Matchup!$B$40*SQRT($B2685)/(1-MIN(0.75,Matchup!$B$39*$B2685))),RAND())</f>
        <v>0</v>
      </c>
      <c r="I2685" s="0" t="n">
        <f aca="false">6*D2685+(D2685-E2685-G2685)+2*F2685+3*H2685</f>
        <v>7</v>
      </c>
      <c r="J2685" s="0" t="n">
        <f aca="true">CRITBINOM($C2685,MIN(0.75,Matchup!$C$39*$B2685),RAND())</f>
        <v>2</v>
      </c>
      <c r="K2685" s="0" t="n">
        <f aca="true">CRITBINOM(J2685,Coefficients!$B$30,RAND())</f>
        <v>0</v>
      </c>
      <c r="L2685" s="0" t="n">
        <f aca="true">CRITBINOM(K2685,Coefficients!$B$31,RAND())</f>
        <v>0</v>
      </c>
      <c r="M2685" s="0" t="n">
        <f aca="true">CRITBINOM(MAX(0,J2685-K2685),1-Coefficients!$B$32,RAND())</f>
        <v>0</v>
      </c>
      <c r="N2685" s="0" t="n">
        <f aca="true">CRITBINOM(MAX(0,$C2685-J2685),MIN(0.6,Matchup!$C$40*SQRT($B2685)/(1-MIN(0.75,Matchup!$C$39*$B2685))),RAND())</f>
        <v>0</v>
      </c>
      <c r="O2685" s="0" t="n">
        <f aca="false">6*J2685+(J2685-K2685-M2685)+2*L2685+3*N2685</f>
        <v>14</v>
      </c>
      <c r="P2685" s="0" t="n">
        <f aca="true">RAND()</f>
        <v>0.871642014877881</v>
      </c>
      <c r="Q2685" s="0" t="n">
        <f aca="true">RAND()</f>
        <v>0.172295208837104</v>
      </c>
      <c r="R2685" s="0" t="n">
        <f aca="false">IF($I2685&lt;&gt;$O2685,0,IF(P2685&lt;Matchup!$B$39,7,IF(P2685&lt;Matchup!$B$39+Matchup!$B$40,3,0)))</f>
        <v>0</v>
      </c>
      <c r="S2685" s="0" t="n">
        <f aca="false">IF($I2685&lt;&gt;$O2685,0,IF(Q2685&lt;Matchup!$C$39,7,IF(Q2685&lt;Matchup!$C$39+Matchup!$C$40,3,0)))</f>
        <v>0</v>
      </c>
      <c r="T2685" s="0" t="n">
        <f aca="false">I2685+R2685</f>
        <v>7</v>
      </c>
      <c r="U2685" s="0" t="n">
        <f aca="false">O2685+S2685</f>
        <v>14</v>
      </c>
      <c r="V2685" s="0" t="n">
        <f aca="false">T2685-U2685</f>
        <v>-7</v>
      </c>
      <c r="W2685" s="0" t="n">
        <f aca="false">T2685+U2685</f>
        <v>21</v>
      </c>
    </row>
    <row r="2686" customFormat="false" ht="15" hidden="false" customHeight="false" outlineLevel="0" collapsed="false">
      <c r="A2686" s="0" t="n">
        <v>2683</v>
      </c>
      <c r="B2686" s="0" t="n">
        <f aca="true">NORMINV(RAND(),1,Coefficients!$B$22)</f>
        <v>0.898122770023154</v>
      </c>
      <c r="C2686" s="0" t="n">
        <f aca="true">MEDIAN(8,16,ROUND(NORMINV(RAND(),Coefficients!$B$20,Coefficients!$B$21),0))</f>
        <v>11</v>
      </c>
      <c r="D2686" s="0" t="n">
        <f aca="true">CRITBINOM($C2686,MIN(0.75,Matchup!$B$39*$B2686),RAND())</f>
        <v>1</v>
      </c>
      <c r="E2686" s="0" t="n">
        <f aca="true">CRITBINOM(D2686,Coefficients!$B$30,RAND())</f>
        <v>0</v>
      </c>
      <c r="F2686" s="0" t="n">
        <f aca="true">CRITBINOM(E2686,Coefficients!$B$31,RAND())</f>
        <v>0</v>
      </c>
      <c r="G2686" s="0" t="n">
        <f aca="true">CRITBINOM(MAX(0,D2686-E2686),1-Coefficients!$B$32,RAND())</f>
        <v>0</v>
      </c>
      <c r="H2686" s="0" t="n">
        <f aca="true">CRITBINOM(MAX(0,$C2686-D2686),MIN(0.6,Matchup!$B$40*SQRT($B2686)/(1-MIN(0.75,Matchup!$B$39*$B2686))),RAND())</f>
        <v>2</v>
      </c>
      <c r="I2686" s="0" t="n">
        <f aca="false">6*D2686+(D2686-E2686-G2686)+2*F2686+3*H2686</f>
        <v>13</v>
      </c>
      <c r="J2686" s="0" t="n">
        <f aca="true">CRITBINOM($C2686,MIN(0.75,Matchup!$C$39*$B2686),RAND())</f>
        <v>2</v>
      </c>
      <c r="K2686" s="0" t="n">
        <f aca="true">CRITBINOM(J2686,Coefficients!$B$30,RAND())</f>
        <v>0</v>
      </c>
      <c r="L2686" s="0" t="n">
        <f aca="true">CRITBINOM(K2686,Coefficients!$B$31,RAND())</f>
        <v>0</v>
      </c>
      <c r="M2686" s="0" t="n">
        <f aca="true">CRITBINOM(MAX(0,J2686-K2686),1-Coefficients!$B$32,RAND())</f>
        <v>0</v>
      </c>
      <c r="N2686" s="0" t="n">
        <f aca="true">CRITBINOM(MAX(0,$C2686-J2686),MIN(0.6,Matchup!$C$40*SQRT($B2686)/(1-MIN(0.75,Matchup!$C$39*$B2686))),RAND())</f>
        <v>0</v>
      </c>
      <c r="O2686" s="0" t="n">
        <f aca="false">6*J2686+(J2686-K2686-M2686)+2*L2686+3*N2686</f>
        <v>14</v>
      </c>
      <c r="P2686" s="0" t="n">
        <f aca="true">RAND()</f>
        <v>0.627264019246997</v>
      </c>
      <c r="Q2686" s="0" t="n">
        <f aca="true">RAND()</f>
        <v>0.0709240082109682</v>
      </c>
      <c r="R2686" s="0" t="n">
        <f aca="false">IF($I2686&lt;&gt;$O2686,0,IF(P2686&lt;Matchup!$B$39,7,IF(P2686&lt;Matchup!$B$39+Matchup!$B$40,3,0)))</f>
        <v>0</v>
      </c>
      <c r="S2686" s="0" t="n">
        <f aca="false">IF($I2686&lt;&gt;$O2686,0,IF(Q2686&lt;Matchup!$C$39,7,IF(Q2686&lt;Matchup!$C$39+Matchup!$C$40,3,0)))</f>
        <v>0</v>
      </c>
      <c r="T2686" s="0" t="n">
        <f aca="false">I2686+R2686</f>
        <v>13</v>
      </c>
      <c r="U2686" s="0" t="n">
        <f aca="false">O2686+S2686</f>
        <v>14</v>
      </c>
      <c r="V2686" s="0" t="n">
        <f aca="false">T2686-U2686</f>
        <v>-1</v>
      </c>
      <c r="W2686" s="0" t="n">
        <f aca="false">T2686+U2686</f>
        <v>27</v>
      </c>
    </row>
    <row r="2687" customFormat="false" ht="15" hidden="false" customHeight="false" outlineLevel="0" collapsed="false">
      <c r="A2687" s="0" t="n">
        <v>2684</v>
      </c>
      <c r="B2687" s="0" t="n">
        <f aca="true">NORMINV(RAND(),1,Coefficients!$B$22)</f>
        <v>1.04755584614475</v>
      </c>
      <c r="C2687" s="0" t="n">
        <f aca="true">MEDIAN(8,16,ROUND(NORMINV(RAND(),Coefficients!$B$20,Coefficients!$B$21),0))</f>
        <v>11</v>
      </c>
      <c r="D2687" s="0" t="n">
        <f aca="true">CRITBINOM($C2687,MIN(0.75,Matchup!$B$39*$B2687),RAND())</f>
        <v>0</v>
      </c>
      <c r="E2687" s="0" t="n">
        <f aca="true">CRITBINOM(D2687,Coefficients!$B$30,RAND())</f>
        <v>0</v>
      </c>
      <c r="F2687" s="0" t="n">
        <f aca="true">CRITBINOM(E2687,Coefficients!$B$31,RAND())</f>
        <v>0</v>
      </c>
      <c r="G2687" s="0" t="n">
        <f aca="true">CRITBINOM(MAX(0,D2687-E2687),1-Coefficients!$B$32,RAND())</f>
        <v>0</v>
      </c>
      <c r="H2687" s="0" t="n">
        <f aca="true">CRITBINOM(MAX(0,$C2687-D2687),MIN(0.6,Matchup!$B$40*SQRT($B2687)/(1-MIN(0.75,Matchup!$B$39*$B2687))),RAND())</f>
        <v>1</v>
      </c>
      <c r="I2687" s="0" t="n">
        <f aca="false">6*D2687+(D2687-E2687-G2687)+2*F2687+3*H2687</f>
        <v>3</v>
      </c>
      <c r="J2687" s="0" t="n">
        <f aca="true">CRITBINOM($C2687,MIN(0.75,Matchup!$C$39*$B2687),RAND())</f>
        <v>5</v>
      </c>
      <c r="K2687" s="0" t="n">
        <f aca="true">CRITBINOM(J2687,Coefficients!$B$30,RAND())</f>
        <v>0</v>
      </c>
      <c r="L2687" s="0" t="n">
        <f aca="true">CRITBINOM(K2687,Coefficients!$B$31,RAND())</f>
        <v>0</v>
      </c>
      <c r="M2687" s="0" t="n">
        <f aca="true">CRITBINOM(MAX(0,J2687-K2687),1-Coefficients!$B$32,RAND())</f>
        <v>0</v>
      </c>
      <c r="N2687" s="0" t="n">
        <f aca="true">CRITBINOM(MAX(0,$C2687-J2687),MIN(0.6,Matchup!$C$40*SQRT($B2687)/(1-MIN(0.75,Matchup!$C$39*$B2687))),RAND())</f>
        <v>2</v>
      </c>
      <c r="O2687" s="0" t="n">
        <f aca="false">6*J2687+(J2687-K2687-M2687)+2*L2687+3*N2687</f>
        <v>41</v>
      </c>
      <c r="P2687" s="0" t="n">
        <f aca="true">RAND()</f>
        <v>0.304368244916229</v>
      </c>
      <c r="Q2687" s="0" t="n">
        <f aca="true">RAND()</f>
        <v>0.82289594102281</v>
      </c>
      <c r="R2687" s="0" t="n">
        <f aca="false">IF($I2687&lt;&gt;$O2687,0,IF(P2687&lt;Matchup!$B$39,7,IF(P2687&lt;Matchup!$B$39+Matchup!$B$40,3,0)))</f>
        <v>0</v>
      </c>
      <c r="S2687" s="0" t="n">
        <f aca="false">IF($I2687&lt;&gt;$O2687,0,IF(Q2687&lt;Matchup!$C$39,7,IF(Q2687&lt;Matchup!$C$39+Matchup!$C$40,3,0)))</f>
        <v>0</v>
      </c>
      <c r="T2687" s="0" t="n">
        <f aca="false">I2687+R2687</f>
        <v>3</v>
      </c>
      <c r="U2687" s="0" t="n">
        <f aca="false">O2687+S2687</f>
        <v>41</v>
      </c>
      <c r="V2687" s="0" t="n">
        <f aca="false">T2687-U2687</f>
        <v>-38</v>
      </c>
      <c r="W2687" s="0" t="n">
        <f aca="false">T2687+U2687</f>
        <v>44</v>
      </c>
    </row>
    <row r="2688" customFormat="false" ht="15" hidden="false" customHeight="false" outlineLevel="0" collapsed="false">
      <c r="A2688" s="0" t="n">
        <v>2685</v>
      </c>
      <c r="B2688" s="0" t="n">
        <f aca="true">NORMINV(RAND(),1,Coefficients!$B$22)</f>
        <v>1.14876585877992</v>
      </c>
      <c r="C2688" s="0" t="n">
        <f aca="true">MEDIAN(8,16,ROUND(NORMINV(RAND(),Coefficients!$B$20,Coefficients!$B$21),0))</f>
        <v>11</v>
      </c>
      <c r="D2688" s="0" t="n">
        <f aca="true">CRITBINOM($C2688,MIN(0.75,Matchup!$B$39*$B2688),RAND())</f>
        <v>2</v>
      </c>
      <c r="E2688" s="0" t="n">
        <f aca="true">CRITBINOM(D2688,Coefficients!$B$30,RAND())</f>
        <v>0</v>
      </c>
      <c r="F2688" s="0" t="n">
        <f aca="true">CRITBINOM(E2688,Coefficients!$B$31,RAND())</f>
        <v>0</v>
      </c>
      <c r="G2688" s="0" t="n">
        <f aca="true">CRITBINOM(MAX(0,D2688-E2688),1-Coefficients!$B$32,RAND())</f>
        <v>0</v>
      </c>
      <c r="H2688" s="0" t="n">
        <f aca="true">CRITBINOM(MAX(0,$C2688-D2688),MIN(0.6,Matchup!$B$40*SQRT($B2688)/(1-MIN(0.75,Matchup!$B$39*$B2688))),RAND())</f>
        <v>1</v>
      </c>
      <c r="I2688" s="0" t="n">
        <f aca="false">6*D2688+(D2688-E2688-G2688)+2*F2688+3*H2688</f>
        <v>17</v>
      </c>
      <c r="J2688" s="0" t="n">
        <f aca="true">CRITBINOM($C2688,MIN(0.75,Matchup!$C$39*$B2688),RAND())</f>
        <v>4</v>
      </c>
      <c r="K2688" s="0" t="n">
        <f aca="true">CRITBINOM(J2688,Coefficients!$B$30,RAND())</f>
        <v>0</v>
      </c>
      <c r="L2688" s="0" t="n">
        <f aca="true">CRITBINOM(K2688,Coefficients!$B$31,RAND())</f>
        <v>0</v>
      </c>
      <c r="M2688" s="0" t="n">
        <f aca="true">CRITBINOM(MAX(0,J2688-K2688),1-Coefficients!$B$32,RAND())</f>
        <v>1</v>
      </c>
      <c r="N2688" s="0" t="n">
        <f aca="true">CRITBINOM(MAX(0,$C2688-J2688),MIN(0.6,Matchup!$C$40*SQRT($B2688)/(1-MIN(0.75,Matchup!$C$39*$B2688))),RAND())</f>
        <v>1</v>
      </c>
      <c r="O2688" s="0" t="n">
        <f aca="false">6*J2688+(J2688-K2688-M2688)+2*L2688+3*N2688</f>
        <v>30</v>
      </c>
      <c r="P2688" s="0" t="n">
        <f aca="true">RAND()</f>
        <v>0.761838878692756</v>
      </c>
      <c r="Q2688" s="0" t="n">
        <f aca="true">RAND()</f>
        <v>0.112864262146226</v>
      </c>
      <c r="R2688" s="0" t="n">
        <f aca="false">IF($I2688&lt;&gt;$O2688,0,IF(P2688&lt;Matchup!$B$39,7,IF(P2688&lt;Matchup!$B$39+Matchup!$B$40,3,0)))</f>
        <v>0</v>
      </c>
      <c r="S2688" s="0" t="n">
        <f aca="false">IF($I2688&lt;&gt;$O2688,0,IF(Q2688&lt;Matchup!$C$39,7,IF(Q2688&lt;Matchup!$C$39+Matchup!$C$40,3,0)))</f>
        <v>0</v>
      </c>
      <c r="T2688" s="0" t="n">
        <f aca="false">I2688+R2688</f>
        <v>17</v>
      </c>
      <c r="U2688" s="0" t="n">
        <f aca="false">O2688+S2688</f>
        <v>30</v>
      </c>
      <c r="V2688" s="0" t="n">
        <f aca="false">T2688-U2688</f>
        <v>-13</v>
      </c>
      <c r="W2688" s="0" t="n">
        <f aca="false">T2688+U2688</f>
        <v>47</v>
      </c>
    </row>
    <row r="2689" customFormat="false" ht="15" hidden="false" customHeight="false" outlineLevel="0" collapsed="false">
      <c r="A2689" s="0" t="n">
        <v>2686</v>
      </c>
      <c r="B2689" s="0" t="n">
        <f aca="true">NORMINV(RAND(),1,Coefficients!$B$22)</f>
        <v>1.04106290313262</v>
      </c>
      <c r="C2689" s="0" t="n">
        <f aca="true">MEDIAN(8,16,ROUND(NORMINV(RAND(),Coefficients!$B$20,Coefficients!$B$21),0))</f>
        <v>11</v>
      </c>
      <c r="D2689" s="0" t="n">
        <f aca="true">CRITBINOM($C2689,MIN(0.75,Matchup!$B$39*$B2689),RAND())</f>
        <v>3</v>
      </c>
      <c r="E2689" s="0" t="n">
        <f aca="true">CRITBINOM(D2689,Coefficients!$B$30,RAND())</f>
        <v>1</v>
      </c>
      <c r="F2689" s="0" t="n">
        <f aca="true">CRITBINOM(E2689,Coefficients!$B$31,RAND())</f>
        <v>1</v>
      </c>
      <c r="G2689" s="0" t="n">
        <f aca="true">CRITBINOM(MAX(0,D2689-E2689),1-Coefficients!$B$32,RAND())</f>
        <v>0</v>
      </c>
      <c r="H2689" s="0" t="n">
        <f aca="true">CRITBINOM(MAX(0,$C2689-D2689),MIN(0.6,Matchup!$B$40*SQRT($B2689)/(1-MIN(0.75,Matchup!$B$39*$B2689))),RAND())</f>
        <v>2</v>
      </c>
      <c r="I2689" s="0" t="n">
        <f aca="false">6*D2689+(D2689-E2689-G2689)+2*F2689+3*H2689</f>
        <v>28</v>
      </c>
      <c r="J2689" s="0" t="n">
        <f aca="true">CRITBINOM($C2689,MIN(0.75,Matchup!$C$39*$B2689),RAND())</f>
        <v>4</v>
      </c>
      <c r="K2689" s="0" t="n">
        <f aca="true">CRITBINOM(J2689,Coefficients!$B$30,RAND())</f>
        <v>0</v>
      </c>
      <c r="L2689" s="0" t="n">
        <f aca="true">CRITBINOM(K2689,Coefficients!$B$31,RAND())</f>
        <v>0</v>
      </c>
      <c r="M2689" s="0" t="n">
        <f aca="true">CRITBINOM(MAX(0,J2689-K2689),1-Coefficients!$B$32,RAND())</f>
        <v>0</v>
      </c>
      <c r="N2689" s="0" t="n">
        <f aca="true">CRITBINOM(MAX(0,$C2689-J2689),MIN(0.6,Matchup!$C$40*SQRT($B2689)/(1-MIN(0.75,Matchup!$C$39*$B2689))),RAND())</f>
        <v>1</v>
      </c>
      <c r="O2689" s="0" t="n">
        <f aca="false">6*J2689+(J2689-K2689-M2689)+2*L2689+3*N2689</f>
        <v>31</v>
      </c>
      <c r="P2689" s="0" t="n">
        <f aca="true">RAND()</f>
        <v>0.105350750513366</v>
      </c>
      <c r="Q2689" s="0" t="n">
        <f aca="true">RAND()</f>
        <v>0.262902867759581</v>
      </c>
      <c r="R2689" s="0" t="n">
        <f aca="false">IF($I2689&lt;&gt;$O2689,0,IF(P2689&lt;Matchup!$B$39,7,IF(P2689&lt;Matchup!$B$39+Matchup!$B$40,3,0)))</f>
        <v>0</v>
      </c>
      <c r="S2689" s="0" t="n">
        <f aca="false">IF($I2689&lt;&gt;$O2689,0,IF(Q2689&lt;Matchup!$C$39,7,IF(Q2689&lt;Matchup!$C$39+Matchup!$C$40,3,0)))</f>
        <v>0</v>
      </c>
      <c r="T2689" s="0" t="n">
        <f aca="false">I2689+R2689</f>
        <v>28</v>
      </c>
      <c r="U2689" s="0" t="n">
        <f aca="false">O2689+S2689</f>
        <v>31</v>
      </c>
      <c r="V2689" s="0" t="n">
        <f aca="false">T2689-U2689</f>
        <v>-3</v>
      </c>
      <c r="W2689" s="0" t="n">
        <f aca="false">T2689+U2689</f>
        <v>59</v>
      </c>
    </row>
    <row r="2690" customFormat="false" ht="15" hidden="false" customHeight="false" outlineLevel="0" collapsed="false">
      <c r="A2690" s="0" t="n">
        <v>2687</v>
      </c>
      <c r="B2690" s="0" t="n">
        <f aca="true">NORMINV(RAND(),1,Coefficients!$B$22)</f>
        <v>0.899156579000105</v>
      </c>
      <c r="C2690" s="0" t="n">
        <f aca="true">MEDIAN(8,16,ROUND(NORMINV(RAND(),Coefficients!$B$20,Coefficients!$B$21),0))</f>
        <v>10</v>
      </c>
      <c r="D2690" s="0" t="n">
        <f aca="true">CRITBINOM($C2690,MIN(0.75,Matchup!$B$39*$B2690),RAND())</f>
        <v>1</v>
      </c>
      <c r="E2690" s="0" t="n">
        <f aca="true">CRITBINOM(D2690,Coefficients!$B$30,RAND())</f>
        <v>0</v>
      </c>
      <c r="F2690" s="0" t="n">
        <f aca="true">CRITBINOM(E2690,Coefficients!$B$31,RAND())</f>
        <v>0</v>
      </c>
      <c r="G2690" s="0" t="n">
        <f aca="true">CRITBINOM(MAX(0,D2690-E2690),1-Coefficients!$B$32,RAND())</f>
        <v>0</v>
      </c>
      <c r="H2690" s="0" t="n">
        <f aca="true">CRITBINOM(MAX(0,$C2690-D2690),MIN(0.6,Matchup!$B$40*SQRT($B2690)/(1-MIN(0.75,Matchup!$B$39*$B2690))),RAND())</f>
        <v>2</v>
      </c>
      <c r="I2690" s="0" t="n">
        <f aca="false">6*D2690+(D2690-E2690-G2690)+2*F2690+3*H2690</f>
        <v>13</v>
      </c>
      <c r="J2690" s="0" t="n">
        <f aca="true">CRITBINOM($C2690,MIN(0.75,Matchup!$C$39*$B2690),RAND())</f>
        <v>2</v>
      </c>
      <c r="K2690" s="0" t="n">
        <f aca="true">CRITBINOM(J2690,Coefficients!$B$30,RAND())</f>
        <v>0</v>
      </c>
      <c r="L2690" s="0" t="n">
        <f aca="true">CRITBINOM(K2690,Coefficients!$B$31,RAND())</f>
        <v>0</v>
      </c>
      <c r="M2690" s="0" t="n">
        <f aca="true">CRITBINOM(MAX(0,J2690-K2690),1-Coefficients!$B$32,RAND())</f>
        <v>0</v>
      </c>
      <c r="N2690" s="0" t="n">
        <f aca="true">CRITBINOM(MAX(0,$C2690-J2690),MIN(0.6,Matchup!$C$40*SQRT($B2690)/(1-MIN(0.75,Matchup!$C$39*$B2690))),RAND())</f>
        <v>3</v>
      </c>
      <c r="O2690" s="0" t="n">
        <f aca="false">6*J2690+(J2690-K2690-M2690)+2*L2690+3*N2690</f>
        <v>23</v>
      </c>
      <c r="P2690" s="0" t="n">
        <f aca="true">RAND()</f>
        <v>0.33781408033972</v>
      </c>
      <c r="Q2690" s="0" t="n">
        <f aca="true">RAND()</f>
        <v>0.982495596708982</v>
      </c>
      <c r="R2690" s="0" t="n">
        <f aca="false">IF($I2690&lt;&gt;$O2690,0,IF(P2690&lt;Matchup!$B$39,7,IF(P2690&lt;Matchup!$B$39+Matchup!$B$40,3,0)))</f>
        <v>0</v>
      </c>
      <c r="S2690" s="0" t="n">
        <f aca="false">IF($I2690&lt;&gt;$O2690,0,IF(Q2690&lt;Matchup!$C$39,7,IF(Q2690&lt;Matchup!$C$39+Matchup!$C$40,3,0)))</f>
        <v>0</v>
      </c>
      <c r="T2690" s="0" t="n">
        <f aca="false">I2690+R2690</f>
        <v>13</v>
      </c>
      <c r="U2690" s="0" t="n">
        <f aca="false">O2690+S2690</f>
        <v>23</v>
      </c>
      <c r="V2690" s="0" t="n">
        <f aca="false">T2690-U2690</f>
        <v>-10</v>
      </c>
      <c r="W2690" s="0" t="n">
        <f aca="false">T2690+U2690</f>
        <v>36</v>
      </c>
    </row>
    <row r="2691" customFormat="false" ht="15" hidden="false" customHeight="false" outlineLevel="0" collapsed="false">
      <c r="A2691" s="0" t="n">
        <v>2688</v>
      </c>
      <c r="B2691" s="0" t="n">
        <f aca="true">NORMINV(RAND(),1,Coefficients!$B$22)</f>
        <v>1.0359994191736</v>
      </c>
      <c r="C2691" s="0" t="n">
        <f aca="true">MEDIAN(8,16,ROUND(NORMINV(RAND(),Coefficients!$B$20,Coefficients!$B$21),0))</f>
        <v>12</v>
      </c>
      <c r="D2691" s="0" t="n">
        <f aca="true">CRITBINOM($C2691,MIN(0.75,Matchup!$B$39*$B2691),RAND())</f>
        <v>2</v>
      </c>
      <c r="E2691" s="0" t="n">
        <f aca="true">CRITBINOM(D2691,Coefficients!$B$30,RAND())</f>
        <v>0</v>
      </c>
      <c r="F2691" s="0" t="n">
        <f aca="true">CRITBINOM(E2691,Coefficients!$B$31,RAND())</f>
        <v>0</v>
      </c>
      <c r="G2691" s="0" t="n">
        <f aca="true">CRITBINOM(MAX(0,D2691-E2691),1-Coefficients!$B$32,RAND())</f>
        <v>0</v>
      </c>
      <c r="H2691" s="0" t="n">
        <f aca="true">CRITBINOM(MAX(0,$C2691-D2691),MIN(0.6,Matchup!$B$40*SQRT($B2691)/(1-MIN(0.75,Matchup!$B$39*$B2691))),RAND())</f>
        <v>2</v>
      </c>
      <c r="I2691" s="0" t="n">
        <f aca="false">6*D2691+(D2691-E2691-G2691)+2*F2691+3*H2691</f>
        <v>20</v>
      </c>
      <c r="J2691" s="0" t="n">
        <f aca="true">CRITBINOM($C2691,MIN(0.75,Matchup!$C$39*$B2691),RAND())</f>
        <v>0</v>
      </c>
      <c r="K2691" s="0" t="n">
        <f aca="true">CRITBINOM(J2691,Coefficients!$B$30,RAND())</f>
        <v>0</v>
      </c>
      <c r="L2691" s="0" t="n">
        <f aca="true">CRITBINOM(K2691,Coefficients!$B$31,RAND())</f>
        <v>0</v>
      </c>
      <c r="M2691" s="0" t="n">
        <f aca="true">CRITBINOM(MAX(0,J2691-K2691),1-Coefficients!$B$32,RAND())</f>
        <v>0</v>
      </c>
      <c r="N2691" s="0" t="n">
        <f aca="true">CRITBINOM(MAX(0,$C2691-J2691),MIN(0.6,Matchup!$C$40*SQRT($B2691)/(1-MIN(0.75,Matchup!$C$39*$B2691))),RAND())</f>
        <v>1</v>
      </c>
      <c r="O2691" s="0" t="n">
        <f aca="false">6*J2691+(J2691-K2691-M2691)+2*L2691+3*N2691</f>
        <v>3</v>
      </c>
      <c r="P2691" s="0" t="n">
        <f aca="true">RAND()</f>
        <v>0.803118819379879</v>
      </c>
      <c r="Q2691" s="0" t="n">
        <f aca="true">RAND()</f>
        <v>0.127125172859494</v>
      </c>
      <c r="R2691" s="0" t="n">
        <f aca="false">IF($I2691&lt;&gt;$O2691,0,IF(P2691&lt;Matchup!$B$39,7,IF(P2691&lt;Matchup!$B$39+Matchup!$B$40,3,0)))</f>
        <v>0</v>
      </c>
      <c r="S2691" s="0" t="n">
        <f aca="false">IF($I2691&lt;&gt;$O2691,0,IF(Q2691&lt;Matchup!$C$39,7,IF(Q2691&lt;Matchup!$C$39+Matchup!$C$40,3,0)))</f>
        <v>0</v>
      </c>
      <c r="T2691" s="0" t="n">
        <f aca="false">I2691+R2691</f>
        <v>20</v>
      </c>
      <c r="U2691" s="0" t="n">
        <f aca="false">O2691+S2691</f>
        <v>3</v>
      </c>
      <c r="V2691" s="0" t="n">
        <f aca="false">T2691-U2691</f>
        <v>17</v>
      </c>
      <c r="W2691" s="0" t="n">
        <f aca="false">T2691+U2691</f>
        <v>23</v>
      </c>
    </row>
    <row r="2692" customFormat="false" ht="15" hidden="false" customHeight="false" outlineLevel="0" collapsed="false">
      <c r="A2692" s="0" t="n">
        <v>2689</v>
      </c>
      <c r="B2692" s="0" t="n">
        <f aca="true">NORMINV(RAND(),1,Coefficients!$B$22)</f>
        <v>1.03006220152114</v>
      </c>
      <c r="C2692" s="0" t="n">
        <f aca="true">MEDIAN(8,16,ROUND(NORMINV(RAND(),Coefficients!$B$20,Coefficients!$B$21),0))</f>
        <v>10</v>
      </c>
      <c r="D2692" s="0" t="n">
        <f aca="true">CRITBINOM($C2692,MIN(0.75,Matchup!$B$39*$B2692),RAND())</f>
        <v>2</v>
      </c>
      <c r="E2692" s="0" t="n">
        <f aca="true">CRITBINOM(D2692,Coefficients!$B$30,RAND())</f>
        <v>0</v>
      </c>
      <c r="F2692" s="0" t="n">
        <f aca="true">CRITBINOM(E2692,Coefficients!$B$31,RAND())</f>
        <v>0</v>
      </c>
      <c r="G2692" s="0" t="n">
        <f aca="true">CRITBINOM(MAX(0,D2692-E2692),1-Coefficients!$B$32,RAND())</f>
        <v>0</v>
      </c>
      <c r="H2692" s="0" t="n">
        <f aca="true">CRITBINOM(MAX(0,$C2692-D2692),MIN(0.6,Matchup!$B$40*SQRT($B2692)/(1-MIN(0.75,Matchup!$B$39*$B2692))),RAND())</f>
        <v>1</v>
      </c>
      <c r="I2692" s="0" t="n">
        <f aca="false">6*D2692+(D2692-E2692-G2692)+2*F2692+3*H2692</f>
        <v>17</v>
      </c>
      <c r="J2692" s="0" t="n">
        <f aca="true">CRITBINOM($C2692,MIN(0.75,Matchup!$C$39*$B2692),RAND())</f>
        <v>1</v>
      </c>
      <c r="K2692" s="0" t="n">
        <f aca="true">CRITBINOM(J2692,Coefficients!$B$30,RAND())</f>
        <v>0</v>
      </c>
      <c r="L2692" s="0" t="n">
        <f aca="true">CRITBINOM(K2692,Coefficients!$B$31,RAND())</f>
        <v>0</v>
      </c>
      <c r="M2692" s="0" t="n">
        <f aca="true">CRITBINOM(MAX(0,J2692-K2692),1-Coefficients!$B$32,RAND())</f>
        <v>0</v>
      </c>
      <c r="N2692" s="0" t="n">
        <f aca="true">CRITBINOM(MAX(0,$C2692-J2692),MIN(0.6,Matchup!$C$40*SQRT($B2692)/(1-MIN(0.75,Matchup!$C$39*$B2692))),RAND())</f>
        <v>1</v>
      </c>
      <c r="O2692" s="0" t="n">
        <f aca="false">6*J2692+(J2692-K2692-M2692)+2*L2692+3*N2692</f>
        <v>10</v>
      </c>
      <c r="P2692" s="0" t="n">
        <f aca="true">RAND()</f>
        <v>0.208147294773733</v>
      </c>
      <c r="Q2692" s="0" t="n">
        <f aca="true">RAND()</f>
        <v>0.679141585397303</v>
      </c>
      <c r="R2692" s="0" t="n">
        <f aca="false">IF($I2692&lt;&gt;$O2692,0,IF(P2692&lt;Matchup!$B$39,7,IF(P2692&lt;Matchup!$B$39+Matchup!$B$40,3,0)))</f>
        <v>0</v>
      </c>
      <c r="S2692" s="0" t="n">
        <f aca="false">IF($I2692&lt;&gt;$O2692,0,IF(Q2692&lt;Matchup!$C$39,7,IF(Q2692&lt;Matchup!$C$39+Matchup!$C$40,3,0)))</f>
        <v>0</v>
      </c>
      <c r="T2692" s="0" t="n">
        <f aca="false">I2692+R2692</f>
        <v>17</v>
      </c>
      <c r="U2692" s="0" t="n">
        <f aca="false">O2692+S2692</f>
        <v>10</v>
      </c>
      <c r="V2692" s="0" t="n">
        <f aca="false">T2692-U2692</f>
        <v>7</v>
      </c>
      <c r="W2692" s="0" t="n">
        <f aca="false">T2692+U2692</f>
        <v>27</v>
      </c>
    </row>
    <row r="2693" customFormat="false" ht="15" hidden="false" customHeight="false" outlineLevel="0" collapsed="false">
      <c r="A2693" s="0" t="n">
        <v>2690</v>
      </c>
      <c r="B2693" s="0" t="n">
        <f aca="true">NORMINV(RAND(),1,Coefficients!$B$22)</f>
        <v>0.964220660913442</v>
      </c>
      <c r="C2693" s="0" t="n">
        <f aca="true">MEDIAN(8,16,ROUND(NORMINV(RAND(),Coefficients!$B$20,Coefficients!$B$21),0))</f>
        <v>12</v>
      </c>
      <c r="D2693" s="0" t="n">
        <f aca="true">CRITBINOM($C2693,MIN(0.75,Matchup!$B$39*$B2693),RAND())</f>
        <v>2</v>
      </c>
      <c r="E2693" s="0" t="n">
        <f aca="true">CRITBINOM(D2693,Coefficients!$B$30,RAND())</f>
        <v>0</v>
      </c>
      <c r="F2693" s="0" t="n">
        <f aca="true">CRITBINOM(E2693,Coefficients!$B$31,RAND())</f>
        <v>0</v>
      </c>
      <c r="G2693" s="0" t="n">
        <f aca="true">CRITBINOM(MAX(0,D2693-E2693),1-Coefficients!$B$32,RAND())</f>
        <v>0</v>
      </c>
      <c r="H2693" s="0" t="n">
        <f aca="true">CRITBINOM(MAX(0,$C2693-D2693),MIN(0.6,Matchup!$B$40*SQRT($B2693)/(1-MIN(0.75,Matchup!$B$39*$B2693))),RAND())</f>
        <v>0</v>
      </c>
      <c r="I2693" s="0" t="n">
        <f aca="false">6*D2693+(D2693-E2693-G2693)+2*F2693+3*H2693</f>
        <v>14</v>
      </c>
      <c r="J2693" s="0" t="n">
        <f aca="true">CRITBINOM($C2693,MIN(0.75,Matchup!$C$39*$B2693),RAND())</f>
        <v>1</v>
      </c>
      <c r="K2693" s="0" t="n">
        <f aca="true">CRITBINOM(J2693,Coefficients!$B$30,RAND())</f>
        <v>0</v>
      </c>
      <c r="L2693" s="0" t="n">
        <f aca="true">CRITBINOM(K2693,Coefficients!$B$31,RAND())</f>
        <v>0</v>
      </c>
      <c r="M2693" s="0" t="n">
        <f aca="true">CRITBINOM(MAX(0,J2693-K2693),1-Coefficients!$B$32,RAND())</f>
        <v>0</v>
      </c>
      <c r="N2693" s="0" t="n">
        <f aca="true">CRITBINOM(MAX(0,$C2693-J2693),MIN(0.6,Matchup!$C$40*SQRT($B2693)/(1-MIN(0.75,Matchup!$C$39*$B2693))),RAND())</f>
        <v>1</v>
      </c>
      <c r="O2693" s="0" t="n">
        <f aca="false">6*J2693+(J2693-K2693-M2693)+2*L2693+3*N2693</f>
        <v>10</v>
      </c>
      <c r="P2693" s="0" t="n">
        <f aca="true">RAND()</f>
        <v>0.955201542499367</v>
      </c>
      <c r="Q2693" s="0" t="n">
        <f aca="true">RAND()</f>
        <v>0.457013065352517</v>
      </c>
      <c r="R2693" s="0" t="n">
        <f aca="false">IF($I2693&lt;&gt;$O2693,0,IF(P2693&lt;Matchup!$B$39,7,IF(P2693&lt;Matchup!$B$39+Matchup!$B$40,3,0)))</f>
        <v>0</v>
      </c>
      <c r="S2693" s="0" t="n">
        <f aca="false">IF($I2693&lt;&gt;$O2693,0,IF(Q2693&lt;Matchup!$C$39,7,IF(Q2693&lt;Matchup!$C$39+Matchup!$C$40,3,0)))</f>
        <v>0</v>
      </c>
      <c r="T2693" s="0" t="n">
        <f aca="false">I2693+R2693</f>
        <v>14</v>
      </c>
      <c r="U2693" s="0" t="n">
        <f aca="false">O2693+S2693</f>
        <v>10</v>
      </c>
      <c r="V2693" s="0" t="n">
        <f aca="false">T2693-U2693</f>
        <v>4</v>
      </c>
      <c r="W2693" s="0" t="n">
        <f aca="false">T2693+U2693</f>
        <v>24</v>
      </c>
    </row>
    <row r="2694" customFormat="false" ht="15" hidden="false" customHeight="false" outlineLevel="0" collapsed="false">
      <c r="A2694" s="0" t="n">
        <v>2691</v>
      </c>
      <c r="B2694" s="0" t="n">
        <f aca="true">NORMINV(RAND(),1,Coefficients!$B$22)</f>
        <v>1.12951572147184</v>
      </c>
      <c r="C2694" s="0" t="n">
        <f aca="true">MEDIAN(8,16,ROUND(NORMINV(RAND(),Coefficients!$B$20,Coefficients!$B$21),0))</f>
        <v>11</v>
      </c>
      <c r="D2694" s="0" t="n">
        <f aca="true">CRITBINOM($C2694,MIN(0.75,Matchup!$B$39*$B2694),RAND())</f>
        <v>3</v>
      </c>
      <c r="E2694" s="0" t="n">
        <f aca="true">CRITBINOM(D2694,Coefficients!$B$30,RAND())</f>
        <v>0</v>
      </c>
      <c r="F2694" s="0" t="n">
        <f aca="true">CRITBINOM(E2694,Coefficients!$B$31,RAND())</f>
        <v>0</v>
      </c>
      <c r="G2694" s="0" t="n">
        <f aca="true">CRITBINOM(MAX(0,D2694-E2694),1-Coefficients!$B$32,RAND())</f>
        <v>1</v>
      </c>
      <c r="H2694" s="0" t="n">
        <f aca="true">CRITBINOM(MAX(0,$C2694-D2694),MIN(0.6,Matchup!$B$40*SQRT($B2694)/(1-MIN(0.75,Matchup!$B$39*$B2694))),RAND())</f>
        <v>1</v>
      </c>
      <c r="I2694" s="0" t="n">
        <f aca="false">6*D2694+(D2694-E2694-G2694)+2*F2694+3*H2694</f>
        <v>23</v>
      </c>
      <c r="J2694" s="0" t="n">
        <f aca="true">CRITBINOM($C2694,MIN(0.75,Matchup!$C$39*$B2694),RAND())</f>
        <v>3</v>
      </c>
      <c r="K2694" s="0" t="n">
        <f aca="true">CRITBINOM(J2694,Coefficients!$B$30,RAND())</f>
        <v>0</v>
      </c>
      <c r="L2694" s="0" t="n">
        <f aca="true">CRITBINOM(K2694,Coefficients!$B$31,RAND())</f>
        <v>0</v>
      </c>
      <c r="M2694" s="0" t="n">
        <f aca="true">CRITBINOM(MAX(0,J2694-K2694),1-Coefficients!$B$32,RAND())</f>
        <v>1</v>
      </c>
      <c r="N2694" s="0" t="n">
        <f aca="true">CRITBINOM(MAX(0,$C2694-J2694),MIN(0.6,Matchup!$C$40*SQRT($B2694)/(1-MIN(0.75,Matchup!$C$39*$B2694))),RAND())</f>
        <v>1</v>
      </c>
      <c r="O2694" s="0" t="n">
        <f aca="false">6*J2694+(J2694-K2694-M2694)+2*L2694+3*N2694</f>
        <v>23</v>
      </c>
      <c r="P2694" s="0" t="n">
        <f aca="true">RAND()</f>
        <v>0.999004599755169</v>
      </c>
      <c r="Q2694" s="0" t="n">
        <f aca="true">RAND()</f>
        <v>0.214338885390024</v>
      </c>
      <c r="R2694" s="0" t="n">
        <f aca="false">IF($I2694&lt;&gt;$O2694,0,IF(P2694&lt;Matchup!$B$39,7,IF(P2694&lt;Matchup!$B$39+Matchup!$B$40,3,0)))</f>
        <v>0</v>
      </c>
      <c r="S2694" s="0" t="n">
        <f aca="false">IF($I2694&lt;&gt;$O2694,0,IF(Q2694&lt;Matchup!$C$39,7,IF(Q2694&lt;Matchup!$C$39+Matchup!$C$40,3,0)))</f>
        <v>7</v>
      </c>
      <c r="T2694" s="0" t="n">
        <f aca="false">I2694+R2694</f>
        <v>23</v>
      </c>
      <c r="U2694" s="0" t="n">
        <f aca="false">O2694+S2694</f>
        <v>30</v>
      </c>
      <c r="V2694" s="0" t="n">
        <f aca="false">T2694-U2694</f>
        <v>-7</v>
      </c>
      <c r="W2694" s="0" t="n">
        <f aca="false">T2694+U2694</f>
        <v>53</v>
      </c>
    </row>
    <row r="2695" customFormat="false" ht="15" hidden="false" customHeight="false" outlineLevel="0" collapsed="false">
      <c r="A2695" s="0" t="n">
        <v>2692</v>
      </c>
      <c r="B2695" s="0" t="n">
        <f aca="true">NORMINV(RAND(),1,Coefficients!$B$22)</f>
        <v>0.976827711375778</v>
      </c>
      <c r="C2695" s="0" t="n">
        <f aca="true">MEDIAN(8,16,ROUND(NORMINV(RAND(),Coefficients!$B$20,Coefficients!$B$21),0))</f>
        <v>11</v>
      </c>
      <c r="D2695" s="0" t="n">
        <f aca="true">CRITBINOM($C2695,MIN(0.75,Matchup!$B$39*$B2695),RAND())</f>
        <v>2</v>
      </c>
      <c r="E2695" s="0" t="n">
        <f aca="true">CRITBINOM(D2695,Coefficients!$B$30,RAND())</f>
        <v>0</v>
      </c>
      <c r="F2695" s="0" t="n">
        <f aca="true">CRITBINOM(E2695,Coefficients!$B$31,RAND())</f>
        <v>0</v>
      </c>
      <c r="G2695" s="0" t="n">
        <f aca="true">CRITBINOM(MAX(0,D2695-E2695),1-Coefficients!$B$32,RAND())</f>
        <v>0</v>
      </c>
      <c r="H2695" s="0" t="n">
        <f aca="true">CRITBINOM(MAX(0,$C2695-D2695),MIN(0.6,Matchup!$B$40*SQRT($B2695)/(1-MIN(0.75,Matchup!$B$39*$B2695))),RAND())</f>
        <v>2</v>
      </c>
      <c r="I2695" s="0" t="n">
        <f aca="false">6*D2695+(D2695-E2695-G2695)+2*F2695+3*H2695</f>
        <v>20</v>
      </c>
      <c r="J2695" s="0" t="n">
        <f aca="true">CRITBINOM($C2695,MIN(0.75,Matchup!$C$39*$B2695),RAND())</f>
        <v>2</v>
      </c>
      <c r="K2695" s="0" t="n">
        <f aca="true">CRITBINOM(J2695,Coefficients!$B$30,RAND())</f>
        <v>0</v>
      </c>
      <c r="L2695" s="0" t="n">
        <f aca="true">CRITBINOM(K2695,Coefficients!$B$31,RAND())</f>
        <v>0</v>
      </c>
      <c r="M2695" s="0" t="n">
        <f aca="true">CRITBINOM(MAX(0,J2695-K2695),1-Coefficients!$B$32,RAND())</f>
        <v>0</v>
      </c>
      <c r="N2695" s="0" t="n">
        <f aca="true">CRITBINOM(MAX(0,$C2695-J2695),MIN(0.6,Matchup!$C$40*SQRT($B2695)/(1-MIN(0.75,Matchup!$C$39*$B2695))),RAND())</f>
        <v>2</v>
      </c>
      <c r="O2695" s="0" t="n">
        <f aca="false">6*J2695+(J2695-K2695-M2695)+2*L2695+3*N2695</f>
        <v>20</v>
      </c>
      <c r="P2695" s="0" t="n">
        <f aca="true">RAND()</f>
        <v>0.252699195260802</v>
      </c>
      <c r="Q2695" s="0" t="n">
        <f aca="true">RAND()</f>
        <v>0.611196951606039</v>
      </c>
      <c r="R2695" s="0" t="n">
        <f aca="false">IF($I2695&lt;&gt;$O2695,0,IF(P2695&lt;Matchup!$B$39,7,IF(P2695&lt;Matchup!$B$39+Matchup!$B$40,3,0)))</f>
        <v>7</v>
      </c>
      <c r="S2695" s="0" t="n">
        <f aca="false">IF($I2695&lt;&gt;$O2695,0,IF(Q2695&lt;Matchup!$C$39,7,IF(Q2695&lt;Matchup!$C$39+Matchup!$C$40,3,0)))</f>
        <v>0</v>
      </c>
      <c r="T2695" s="0" t="n">
        <f aca="false">I2695+R2695</f>
        <v>27</v>
      </c>
      <c r="U2695" s="0" t="n">
        <f aca="false">O2695+S2695</f>
        <v>20</v>
      </c>
      <c r="V2695" s="0" t="n">
        <f aca="false">T2695-U2695</f>
        <v>7</v>
      </c>
      <c r="W2695" s="0" t="n">
        <f aca="false">T2695+U2695</f>
        <v>47</v>
      </c>
    </row>
    <row r="2696" customFormat="false" ht="15" hidden="false" customHeight="false" outlineLevel="0" collapsed="false">
      <c r="A2696" s="0" t="n">
        <v>2693</v>
      </c>
      <c r="B2696" s="0" t="n">
        <f aca="true">NORMINV(RAND(),1,Coefficients!$B$22)</f>
        <v>1.07430265675551</v>
      </c>
      <c r="C2696" s="0" t="n">
        <f aca="true">MEDIAN(8,16,ROUND(NORMINV(RAND(),Coefficients!$B$20,Coefficients!$B$21),0))</f>
        <v>12</v>
      </c>
      <c r="D2696" s="0" t="n">
        <f aca="true">CRITBINOM($C2696,MIN(0.75,Matchup!$B$39*$B2696),RAND())</f>
        <v>2</v>
      </c>
      <c r="E2696" s="0" t="n">
        <f aca="true">CRITBINOM(D2696,Coefficients!$B$30,RAND())</f>
        <v>0</v>
      </c>
      <c r="F2696" s="0" t="n">
        <f aca="true">CRITBINOM(E2696,Coefficients!$B$31,RAND())</f>
        <v>0</v>
      </c>
      <c r="G2696" s="0" t="n">
        <f aca="true">CRITBINOM(MAX(0,D2696-E2696),1-Coefficients!$B$32,RAND())</f>
        <v>0</v>
      </c>
      <c r="H2696" s="0" t="n">
        <f aca="true">CRITBINOM(MAX(0,$C2696-D2696),MIN(0.6,Matchup!$B$40*SQRT($B2696)/(1-MIN(0.75,Matchup!$B$39*$B2696))),RAND())</f>
        <v>4</v>
      </c>
      <c r="I2696" s="0" t="n">
        <f aca="false">6*D2696+(D2696-E2696-G2696)+2*F2696+3*H2696</f>
        <v>26</v>
      </c>
      <c r="J2696" s="0" t="n">
        <f aca="true">CRITBINOM($C2696,MIN(0.75,Matchup!$C$39*$B2696),RAND())</f>
        <v>5</v>
      </c>
      <c r="K2696" s="0" t="n">
        <f aca="true">CRITBINOM(J2696,Coefficients!$B$30,RAND())</f>
        <v>2</v>
      </c>
      <c r="L2696" s="0" t="n">
        <f aca="true">CRITBINOM(K2696,Coefficients!$B$31,RAND())</f>
        <v>1</v>
      </c>
      <c r="M2696" s="0" t="n">
        <f aca="true">CRITBINOM(MAX(0,J2696-K2696),1-Coefficients!$B$32,RAND())</f>
        <v>0</v>
      </c>
      <c r="N2696" s="0" t="n">
        <f aca="true">CRITBINOM(MAX(0,$C2696-J2696),MIN(0.6,Matchup!$C$40*SQRT($B2696)/(1-MIN(0.75,Matchup!$C$39*$B2696))),RAND())</f>
        <v>3</v>
      </c>
      <c r="O2696" s="0" t="n">
        <f aca="false">6*J2696+(J2696-K2696-M2696)+2*L2696+3*N2696</f>
        <v>44</v>
      </c>
      <c r="P2696" s="0" t="n">
        <f aca="true">RAND()</f>
        <v>0.746071908832675</v>
      </c>
      <c r="Q2696" s="0" t="n">
        <f aca="true">RAND()</f>
        <v>0.992114741342857</v>
      </c>
      <c r="R2696" s="0" t="n">
        <f aca="false">IF($I2696&lt;&gt;$O2696,0,IF(P2696&lt;Matchup!$B$39,7,IF(P2696&lt;Matchup!$B$39+Matchup!$B$40,3,0)))</f>
        <v>0</v>
      </c>
      <c r="S2696" s="0" t="n">
        <f aca="false">IF($I2696&lt;&gt;$O2696,0,IF(Q2696&lt;Matchup!$C$39,7,IF(Q2696&lt;Matchup!$C$39+Matchup!$C$40,3,0)))</f>
        <v>0</v>
      </c>
      <c r="T2696" s="0" t="n">
        <f aca="false">I2696+R2696</f>
        <v>26</v>
      </c>
      <c r="U2696" s="0" t="n">
        <f aca="false">O2696+S2696</f>
        <v>44</v>
      </c>
      <c r="V2696" s="0" t="n">
        <f aca="false">T2696-U2696</f>
        <v>-18</v>
      </c>
      <c r="W2696" s="0" t="n">
        <f aca="false">T2696+U2696</f>
        <v>70</v>
      </c>
    </row>
    <row r="2697" customFormat="false" ht="15" hidden="false" customHeight="false" outlineLevel="0" collapsed="false">
      <c r="A2697" s="0" t="n">
        <v>2694</v>
      </c>
      <c r="B2697" s="0" t="n">
        <f aca="true">NORMINV(RAND(),1,Coefficients!$B$22)</f>
        <v>1.06550063541004</v>
      </c>
      <c r="C2697" s="0" t="n">
        <f aca="true">MEDIAN(8,16,ROUND(NORMINV(RAND(),Coefficients!$B$20,Coefficients!$B$21),0))</f>
        <v>12</v>
      </c>
      <c r="D2697" s="0" t="n">
        <f aca="true">CRITBINOM($C2697,MIN(0.75,Matchup!$B$39*$B2697),RAND())</f>
        <v>3</v>
      </c>
      <c r="E2697" s="0" t="n">
        <f aca="true">CRITBINOM(D2697,Coefficients!$B$30,RAND())</f>
        <v>0</v>
      </c>
      <c r="F2697" s="0" t="n">
        <f aca="true">CRITBINOM(E2697,Coefficients!$B$31,RAND())</f>
        <v>0</v>
      </c>
      <c r="G2697" s="0" t="n">
        <f aca="true">CRITBINOM(MAX(0,D2697-E2697),1-Coefficients!$B$32,RAND())</f>
        <v>0</v>
      </c>
      <c r="H2697" s="0" t="n">
        <f aca="true">CRITBINOM(MAX(0,$C2697-D2697),MIN(0.6,Matchup!$B$40*SQRT($B2697)/(1-MIN(0.75,Matchup!$B$39*$B2697))),RAND())</f>
        <v>4</v>
      </c>
      <c r="I2697" s="0" t="n">
        <f aca="false">6*D2697+(D2697-E2697-G2697)+2*F2697+3*H2697</f>
        <v>33</v>
      </c>
      <c r="J2697" s="0" t="n">
        <f aca="true">CRITBINOM($C2697,MIN(0.75,Matchup!$C$39*$B2697),RAND())</f>
        <v>2</v>
      </c>
      <c r="K2697" s="0" t="n">
        <f aca="true">CRITBINOM(J2697,Coefficients!$B$30,RAND())</f>
        <v>0</v>
      </c>
      <c r="L2697" s="0" t="n">
        <f aca="true">CRITBINOM(K2697,Coefficients!$B$31,RAND())</f>
        <v>0</v>
      </c>
      <c r="M2697" s="0" t="n">
        <f aca="true">CRITBINOM(MAX(0,J2697-K2697),1-Coefficients!$B$32,RAND())</f>
        <v>0</v>
      </c>
      <c r="N2697" s="0" t="n">
        <f aca="true">CRITBINOM(MAX(0,$C2697-J2697),MIN(0.6,Matchup!$C$40*SQRT($B2697)/(1-MIN(0.75,Matchup!$C$39*$B2697))),RAND())</f>
        <v>1</v>
      </c>
      <c r="O2697" s="0" t="n">
        <f aca="false">6*J2697+(J2697-K2697-M2697)+2*L2697+3*N2697</f>
        <v>17</v>
      </c>
      <c r="P2697" s="0" t="n">
        <f aca="true">RAND()</f>
        <v>0.674627754786513</v>
      </c>
      <c r="Q2697" s="0" t="n">
        <f aca="true">RAND()</f>
        <v>0.748090752820463</v>
      </c>
      <c r="R2697" s="0" t="n">
        <f aca="false">IF($I2697&lt;&gt;$O2697,0,IF(P2697&lt;Matchup!$B$39,7,IF(P2697&lt;Matchup!$B$39+Matchup!$B$40,3,0)))</f>
        <v>0</v>
      </c>
      <c r="S2697" s="0" t="n">
        <f aca="false">IF($I2697&lt;&gt;$O2697,0,IF(Q2697&lt;Matchup!$C$39,7,IF(Q2697&lt;Matchup!$C$39+Matchup!$C$40,3,0)))</f>
        <v>0</v>
      </c>
      <c r="T2697" s="0" t="n">
        <f aca="false">I2697+R2697</f>
        <v>33</v>
      </c>
      <c r="U2697" s="0" t="n">
        <f aca="false">O2697+S2697</f>
        <v>17</v>
      </c>
      <c r="V2697" s="0" t="n">
        <f aca="false">T2697-U2697</f>
        <v>16</v>
      </c>
      <c r="W2697" s="0" t="n">
        <f aca="false">T2697+U2697</f>
        <v>50</v>
      </c>
    </row>
    <row r="2698" customFormat="false" ht="15" hidden="false" customHeight="false" outlineLevel="0" collapsed="false">
      <c r="A2698" s="0" t="n">
        <v>2695</v>
      </c>
      <c r="B2698" s="0" t="n">
        <f aca="true">NORMINV(RAND(),1,Coefficients!$B$22)</f>
        <v>0.951948798820688</v>
      </c>
      <c r="C2698" s="0" t="n">
        <f aca="true">MEDIAN(8,16,ROUND(NORMINV(RAND(),Coefficients!$B$20,Coefficients!$B$21),0))</f>
        <v>10</v>
      </c>
      <c r="D2698" s="0" t="n">
        <f aca="true">CRITBINOM($C2698,MIN(0.75,Matchup!$B$39*$B2698),RAND())</f>
        <v>3</v>
      </c>
      <c r="E2698" s="0" t="n">
        <f aca="true">CRITBINOM(D2698,Coefficients!$B$30,RAND())</f>
        <v>0</v>
      </c>
      <c r="F2698" s="0" t="n">
        <f aca="true">CRITBINOM(E2698,Coefficients!$B$31,RAND())</f>
        <v>0</v>
      </c>
      <c r="G2698" s="0" t="n">
        <f aca="true">CRITBINOM(MAX(0,D2698-E2698),1-Coefficients!$B$32,RAND())</f>
        <v>0</v>
      </c>
      <c r="H2698" s="0" t="n">
        <f aca="true">CRITBINOM(MAX(0,$C2698-D2698),MIN(0.6,Matchup!$B$40*SQRT($B2698)/(1-MIN(0.75,Matchup!$B$39*$B2698))),RAND())</f>
        <v>1</v>
      </c>
      <c r="I2698" s="0" t="n">
        <f aca="false">6*D2698+(D2698-E2698-G2698)+2*F2698+3*H2698</f>
        <v>24</v>
      </c>
      <c r="J2698" s="0" t="n">
        <f aca="true">CRITBINOM($C2698,MIN(0.75,Matchup!$C$39*$B2698),RAND())</f>
        <v>1</v>
      </c>
      <c r="K2698" s="0" t="n">
        <f aca="true">CRITBINOM(J2698,Coefficients!$B$30,RAND())</f>
        <v>0</v>
      </c>
      <c r="L2698" s="0" t="n">
        <f aca="true">CRITBINOM(K2698,Coefficients!$B$31,RAND())</f>
        <v>0</v>
      </c>
      <c r="M2698" s="0" t="n">
        <f aca="true">CRITBINOM(MAX(0,J2698-K2698),1-Coefficients!$B$32,RAND())</f>
        <v>0</v>
      </c>
      <c r="N2698" s="0" t="n">
        <f aca="true">CRITBINOM(MAX(0,$C2698-J2698),MIN(0.6,Matchup!$C$40*SQRT($B2698)/(1-MIN(0.75,Matchup!$C$39*$B2698))),RAND())</f>
        <v>0</v>
      </c>
      <c r="O2698" s="0" t="n">
        <f aca="false">6*J2698+(J2698-K2698-M2698)+2*L2698+3*N2698</f>
        <v>7</v>
      </c>
      <c r="P2698" s="0" t="n">
        <f aca="true">RAND()</f>
        <v>0.292481829631647</v>
      </c>
      <c r="Q2698" s="0" t="n">
        <f aca="true">RAND()</f>
        <v>0.840236986783244</v>
      </c>
      <c r="R2698" s="0" t="n">
        <f aca="false">IF($I2698&lt;&gt;$O2698,0,IF(P2698&lt;Matchup!$B$39,7,IF(P2698&lt;Matchup!$B$39+Matchup!$B$40,3,0)))</f>
        <v>0</v>
      </c>
      <c r="S2698" s="0" t="n">
        <f aca="false">IF($I2698&lt;&gt;$O2698,0,IF(Q2698&lt;Matchup!$C$39,7,IF(Q2698&lt;Matchup!$C$39+Matchup!$C$40,3,0)))</f>
        <v>0</v>
      </c>
      <c r="T2698" s="0" t="n">
        <f aca="false">I2698+R2698</f>
        <v>24</v>
      </c>
      <c r="U2698" s="0" t="n">
        <f aca="false">O2698+S2698</f>
        <v>7</v>
      </c>
      <c r="V2698" s="0" t="n">
        <f aca="false">T2698-U2698</f>
        <v>17</v>
      </c>
      <c r="W2698" s="0" t="n">
        <f aca="false">T2698+U2698</f>
        <v>31</v>
      </c>
    </row>
    <row r="2699" customFormat="false" ht="15" hidden="false" customHeight="false" outlineLevel="0" collapsed="false">
      <c r="A2699" s="0" t="n">
        <v>2696</v>
      </c>
      <c r="B2699" s="0" t="n">
        <f aca="true">NORMINV(RAND(),1,Coefficients!$B$22)</f>
        <v>1.02191193093657</v>
      </c>
      <c r="C2699" s="0" t="n">
        <f aca="true">MEDIAN(8,16,ROUND(NORMINV(RAND(),Coefficients!$B$20,Coefficients!$B$21),0))</f>
        <v>12</v>
      </c>
      <c r="D2699" s="0" t="n">
        <f aca="true">CRITBINOM($C2699,MIN(0.75,Matchup!$B$39*$B2699),RAND())</f>
        <v>3</v>
      </c>
      <c r="E2699" s="0" t="n">
        <f aca="true">CRITBINOM(D2699,Coefficients!$B$30,RAND())</f>
        <v>0</v>
      </c>
      <c r="F2699" s="0" t="n">
        <f aca="true">CRITBINOM(E2699,Coefficients!$B$31,RAND())</f>
        <v>0</v>
      </c>
      <c r="G2699" s="0" t="n">
        <f aca="true">CRITBINOM(MAX(0,D2699-E2699),1-Coefficients!$B$32,RAND())</f>
        <v>0</v>
      </c>
      <c r="H2699" s="0" t="n">
        <f aca="true">CRITBINOM(MAX(0,$C2699-D2699),MIN(0.6,Matchup!$B$40*SQRT($B2699)/(1-MIN(0.75,Matchup!$B$39*$B2699))),RAND())</f>
        <v>1</v>
      </c>
      <c r="I2699" s="0" t="n">
        <f aca="false">6*D2699+(D2699-E2699-G2699)+2*F2699+3*H2699</f>
        <v>24</v>
      </c>
      <c r="J2699" s="0" t="n">
        <f aca="true">CRITBINOM($C2699,MIN(0.75,Matchup!$C$39*$B2699),RAND())</f>
        <v>6</v>
      </c>
      <c r="K2699" s="0" t="n">
        <f aca="true">CRITBINOM(J2699,Coefficients!$B$30,RAND())</f>
        <v>1</v>
      </c>
      <c r="L2699" s="0" t="n">
        <f aca="true">CRITBINOM(K2699,Coefficients!$B$31,RAND())</f>
        <v>0</v>
      </c>
      <c r="M2699" s="0" t="n">
        <f aca="true">CRITBINOM(MAX(0,J2699-K2699),1-Coefficients!$B$32,RAND())</f>
        <v>0</v>
      </c>
      <c r="N2699" s="0" t="n">
        <f aca="true">CRITBINOM(MAX(0,$C2699-J2699),MIN(0.6,Matchup!$C$40*SQRT($B2699)/(1-MIN(0.75,Matchup!$C$39*$B2699))),RAND())</f>
        <v>2</v>
      </c>
      <c r="O2699" s="0" t="n">
        <f aca="false">6*J2699+(J2699-K2699-M2699)+2*L2699+3*N2699</f>
        <v>47</v>
      </c>
      <c r="P2699" s="0" t="n">
        <f aca="true">RAND()</f>
        <v>0.822873701486006</v>
      </c>
      <c r="Q2699" s="0" t="n">
        <f aca="true">RAND()</f>
        <v>0.328769578713907</v>
      </c>
      <c r="R2699" s="0" t="n">
        <f aca="false">IF($I2699&lt;&gt;$O2699,0,IF(P2699&lt;Matchup!$B$39,7,IF(P2699&lt;Matchup!$B$39+Matchup!$B$40,3,0)))</f>
        <v>0</v>
      </c>
      <c r="S2699" s="0" t="n">
        <f aca="false">IF($I2699&lt;&gt;$O2699,0,IF(Q2699&lt;Matchup!$C$39,7,IF(Q2699&lt;Matchup!$C$39+Matchup!$C$40,3,0)))</f>
        <v>0</v>
      </c>
      <c r="T2699" s="0" t="n">
        <f aca="false">I2699+R2699</f>
        <v>24</v>
      </c>
      <c r="U2699" s="0" t="n">
        <f aca="false">O2699+S2699</f>
        <v>47</v>
      </c>
      <c r="V2699" s="0" t="n">
        <f aca="false">T2699-U2699</f>
        <v>-23</v>
      </c>
      <c r="W2699" s="0" t="n">
        <f aca="false">T2699+U2699</f>
        <v>71</v>
      </c>
    </row>
    <row r="2700" customFormat="false" ht="15" hidden="false" customHeight="false" outlineLevel="0" collapsed="false">
      <c r="A2700" s="0" t="n">
        <v>2697</v>
      </c>
      <c r="B2700" s="0" t="n">
        <f aca="true">NORMINV(RAND(),1,Coefficients!$B$22)</f>
        <v>0.883585601338082</v>
      </c>
      <c r="C2700" s="0" t="n">
        <f aca="true">MEDIAN(8,16,ROUND(NORMINV(RAND(),Coefficients!$B$20,Coefficients!$B$21),0))</f>
        <v>9</v>
      </c>
      <c r="D2700" s="0" t="n">
        <f aca="true">CRITBINOM($C2700,MIN(0.75,Matchup!$B$39*$B2700),RAND())</f>
        <v>1</v>
      </c>
      <c r="E2700" s="0" t="n">
        <f aca="true">CRITBINOM(D2700,Coefficients!$B$30,RAND())</f>
        <v>0</v>
      </c>
      <c r="F2700" s="0" t="n">
        <f aca="true">CRITBINOM(E2700,Coefficients!$B$31,RAND())</f>
        <v>0</v>
      </c>
      <c r="G2700" s="0" t="n">
        <f aca="true">CRITBINOM(MAX(0,D2700-E2700),1-Coefficients!$B$32,RAND())</f>
        <v>0</v>
      </c>
      <c r="H2700" s="0" t="n">
        <f aca="true">CRITBINOM(MAX(0,$C2700-D2700),MIN(0.6,Matchup!$B$40*SQRT($B2700)/(1-MIN(0.75,Matchup!$B$39*$B2700))),RAND())</f>
        <v>1</v>
      </c>
      <c r="I2700" s="0" t="n">
        <f aca="false">6*D2700+(D2700-E2700-G2700)+2*F2700+3*H2700</f>
        <v>10</v>
      </c>
      <c r="J2700" s="0" t="n">
        <f aca="true">CRITBINOM($C2700,MIN(0.75,Matchup!$C$39*$B2700),RAND())</f>
        <v>1</v>
      </c>
      <c r="K2700" s="0" t="n">
        <f aca="true">CRITBINOM(J2700,Coefficients!$B$30,RAND())</f>
        <v>0</v>
      </c>
      <c r="L2700" s="0" t="n">
        <f aca="true">CRITBINOM(K2700,Coefficients!$B$31,RAND())</f>
        <v>0</v>
      </c>
      <c r="M2700" s="0" t="n">
        <f aca="true">CRITBINOM(MAX(0,J2700-K2700),1-Coefficients!$B$32,RAND())</f>
        <v>0</v>
      </c>
      <c r="N2700" s="0" t="n">
        <f aca="true">CRITBINOM(MAX(0,$C2700-J2700),MIN(0.6,Matchup!$C$40*SQRT($B2700)/(1-MIN(0.75,Matchup!$C$39*$B2700))),RAND())</f>
        <v>0</v>
      </c>
      <c r="O2700" s="0" t="n">
        <f aca="false">6*J2700+(J2700-K2700-M2700)+2*L2700+3*N2700</f>
        <v>7</v>
      </c>
      <c r="P2700" s="0" t="n">
        <f aca="true">RAND()</f>
        <v>0.37107810615818</v>
      </c>
      <c r="Q2700" s="0" t="n">
        <f aca="true">RAND()</f>
        <v>0.908900296191154</v>
      </c>
      <c r="R2700" s="0" t="n">
        <f aca="false">IF($I2700&lt;&gt;$O2700,0,IF(P2700&lt;Matchup!$B$39,7,IF(P2700&lt;Matchup!$B$39+Matchup!$B$40,3,0)))</f>
        <v>0</v>
      </c>
      <c r="S2700" s="0" t="n">
        <f aca="false">IF($I2700&lt;&gt;$O2700,0,IF(Q2700&lt;Matchup!$C$39,7,IF(Q2700&lt;Matchup!$C$39+Matchup!$C$40,3,0)))</f>
        <v>0</v>
      </c>
      <c r="T2700" s="0" t="n">
        <f aca="false">I2700+R2700</f>
        <v>10</v>
      </c>
      <c r="U2700" s="0" t="n">
        <f aca="false">O2700+S2700</f>
        <v>7</v>
      </c>
      <c r="V2700" s="0" t="n">
        <f aca="false">T2700-U2700</f>
        <v>3</v>
      </c>
      <c r="W2700" s="0" t="n">
        <f aca="false">T2700+U2700</f>
        <v>17</v>
      </c>
    </row>
    <row r="2701" customFormat="false" ht="15" hidden="false" customHeight="false" outlineLevel="0" collapsed="false">
      <c r="A2701" s="0" t="n">
        <v>2698</v>
      </c>
      <c r="B2701" s="0" t="n">
        <f aca="true">NORMINV(RAND(),1,Coefficients!$B$22)</f>
        <v>0.924115489075207</v>
      </c>
      <c r="C2701" s="0" t="n">
        <f aca="true">MEDIAN(8,16,ROUND(NORMINV(RAND(),Coefficients!$B$20,Coefficients!$B$21),0))</f>
        <v>12</v>
      </c>
      <c r="D2701" s="0" t="n">
        <f aca="true">CRITBINOM($C2701,MIN(0.75,Matchup!$B$39*$B2701),RAND())</f>
        <v>1</v>
      </c>
      <c r="E2701" s="0" t="n">
        <f aca="true">CRITBINOM(D2701,Coefficients!$B$30,RAND())</f>
        <v>0</v>
      </c>
      <c r="F2701" s="0" t="n">
        <f aca="true">CRITBINOM(E2701,Coefficients!$B$31,RAND())</f>
        <v>0</v>
      </c>
      <c r="G2701" s="0" t="n">
        <f aca="true">CRITBINOM(MAX(0,D2701-E2701),1-Coefficients!$B$32,RAND())</f>
        <v>0</v>
      </c>
      <c r="H2701" s="0" t="n">
        <f aca="true">CRITBINOM(MAX(0,$C2701-D2701),MIN(0.6,Matchup!$B$40*SQRT($B2701)/(1-MIN(0.75,Matchup!$B$39*$B2701))),RAND())</f>
        <v>1</v>
      </c>
      <c r="I2701" s="0" t="n">
        <f aca="false">6*D2701+(D2701-E2701-G2701)+2*F2701+3*H2701</f>
        <v>10</v>
      </c>
      <c r="J2701" s="0" t="n">
        <f aca="true">CRITBINOM($C2701,MIN(0.75,Matchup!$C$39*$B2701),RAND())</f>
        <v>2</v>
      </c>
      <c r="K2701" s="0" t="n">
        <f aca="true">CRITBINOM(J2701,Coefficients!$B$30,RAND())</f>
        <v>0</v>
      </c>
      <c r="L2701" s="0" t="n">
        <f aca="true">CRITBINOM(K2701,Coefficients!$B$31,RAND())</f>
        <v>0</v>
      </c>
      <c r="M2701" s="0" t="n">
        <f aca="true">CRITBINOM(MAX(0,J2701-K2701),1-Coefficients!$B$32,RAND())</f>
        <v>0</v>
      </c>
      <c r="N2701" s="0" t="n">
        <f aca="true">CRITBINOM(MAX(0,$C2701-J2701),MIN(0.6,Matchup!$C$40*SQRT($B2701)/(1-MIN(0.75,Matchup!$C$39*$B2701))),RAND())</f>
        <v>3</v>
      </c>
      <c r="O2701" s="0" t="n">
        <f aca="false">6*J2701+(J2701-K2701-M2701)+2*L2701+3*N2701</f>
        <v>23</v>
      </c>
      <c r="P2701" s="0" t="n">
        <f aca="true">RAND()</f>
        <v>0.993716684337055</v>
      </c>
      <c r="Q2701" s="0" t="n">
        <f aca="true">RAND()</f>
        <v>0.228121042377414</v>
      </c>
      <c r="R2701" s="0" t="n">
        <f aca="false">IF($I2701&lt;&gt;$O2701,0,IF(P2701&lt;Matchup!$B$39,7,IF(P2701&lt;Matchup!$B$39+Matchup!$B$40,3,0)))</f>
        <v>0</v>
      </c>
      <c r="S2701" s="0" t="n">
        <f aca="false">IF($I2701&lt;&gt;$O2701,0,IF(Q2701&lt;Matchup!$C$39,7,IF(Q2701&lt;Matchup!$C$39+Matchup!$C$40,3,0)))</f>
        <v>0</v>
      </c>
      <c r="T2701" s="0" t="n">
        <f aca="false">I2701+R2701</f>
        <v>10</v>
      </c>
      <c r="U2701" s="0" t="n">
        <f aca="false">O2701+S2701</f>
        <v>23</v>
      </c>
      <c r="V2701" s="0" t="n">
        <f aca="false">T2701-U2701</f>
        <v>-13</v>
      </c>
      <c r="W2701" s="0" t="n">
        <f aca="false">T2701+U2701</f>
        <v>33</v>
      </c>
    </row>
    <row r="2702" customFormat="false" ht="15" hidden="false" customHeight="false" outlineLevel="0" collapsed="false">
      <c r="A2702" s="0" t="n">
        <v>2699</v>
      </c>
      <c r="B2702" s="0" t="n">
        <f aca="true">NORMINV(RAND(),1,Coefficients!$B$22)</f>
        <v>1.07272616028378</v>
      </c>
      <c r="C2702" s="0" t="n">
        <f aca="true">MEDIAN(8,16,ROUND(NORMINV(RAND(),Coefficients!$B$20,Coefficients!$B$21),0))</f>
        <v>10</v>
      </c>
      <c r="D2702" s="0" t="n">
        <f aca="true">CRITBINOM($C2702,MIN(0.75,Matchup!$B$39*$B2702),RAND())</f>
        <v>6</v>
      </c>
      <c r="E2702" s="0" t="n">
        <f aca="true">CRITBINOM(D2702,Coefficients!$B$30,RAND())</f>
        <v>0</v>
      </c>
      <c r="F2702" s="0" t="n">
        <f aca="true">CRITBINOM(E2702,Coefficients!$B$31,RAND())</f>
        <v>0</v>
      </c>
      <c r="G2702" s="0" t="n">
        <f aca="true">CRITBINOM(MAX(0,D2702-E2702),1-Coefficients!$B$32,RAND())</f>
        <v>1</v>
      </c>
      <c r="H2702" s="0" t="n">
        <f aca="true">CRITBINOM(MAX(0,$C2702-D2702),MIN(0.6,Matchup!$B$40*SQRT($B2702)/(1-MIN(0.75,Matchup!$B$39*$B2702))),RAND())</f>
        <v>0</v>
      </c>
      <c r="I2702" s="0" t="n">
        <f aca="false">6*D2702+(D2702-E2702-G2702)+2*F2702+3*H2702</f>
        <v>41</v>
      </c>
      <c r="J2702" s="0" t="n">
        <f aca="true">CRITBINOM($C2702,MIN(0.75,Matchup!$C$39*$B2702),RAND())</f>
        <v>3</v>
      </c>
      <c r="K2702" s="0" t="n">
        <f aca="true">CRITBINOM(J2702,Coefficients!$B$30,RAND())</f>
        <v>0</v>
      </c>
      <c r="L2702" s="0" t="n">
        <f aca="true">CRITBINOM(K2702,Coefficients!$B$31,RAND())</f>
        <v>0</v>
      </c>
      <c r="M2702" s="0" t="n">
        <f aca="true">CRITBINOM(MAX(0,J2702-K2702),1-Coefficients!$B$32,RAND())</f>
        <v>0</v>
      </c>
      <c r="N2702" s="0" t="n">
        <f aca="true">CRITBINOM(MAX(0,$C2702-J2702),MIN(0.6,Matchup!$C$40*SQRT($B2702)/(1-MIN(0.75,Matchup!$C$39*$B2702))),RAND())</f>
        <v>1</v>
      </c>
      <c r="O2702" s="0" t="n">
        <f aca="false">6*J2702+(J2702-K2702-M2702)+2*L2702+3*N2702</f>
        <v>24</v>
      </c>
      <c r="P2702" s="0" t="n">
        <f aca="true">RAND()</f>
        <v>0.407956994597194</v>
      </c>
      <c r="Q2702" s="0" t="n">
        <f aca="true">RAND()</f>
        <v>0.814295031365839</v>
      </c>
      <c r="R2702" s="0" t="n">
        <f aca="false">IF($I2702&lt;&gt;$O2702,0,IF(P2702&lt;Matchup!$B$39,7,IF(P2702&lt;Matchup!$B$39+Matchup!$B$40,3,0)))</f>
        <v>0</v>
      </c>
      <c r="S2702" s="0" t="n">
        <f aca="false">IF($I2702&lt;&gt;$O2702,0,IF(Q2702&lt;Matchup!$C$39,7,IF(Q2702&lt;Matchup!$C$39+Matchup!$C$40,3,0)))</f>
        <v>0</v>
      </c>
      <c r="T2702" s="0" t="n">
        <f aca="false">I2702+R2702</f>
        <v>41</v>
      </c>
      <c r="U2702" s="0" t="n">
        <f aca="false">O2702+S2702</f>
        <v>24</v>
      </c>
      <c r="V2702" s="0" t="n">
        <f aca="false">T2702-U2702</f>
        <v>17</v>
      </c>
      <c r="W2702" s="0" t="n">
        <f aca="false">T2702+U2702</f>
        <v>65</v>
      </c>
    </row>
    <row r="2703" customFormat="false" ht="15" hidden="false" customHeight="false" outlineLevel="0" collapsed="false">
      <c r="A2703" s="0" t="n">
        <v>2700</v>
      </c>
      <c r="B2703" s="0" t="n">
        <f aca="true">NORMINV(RAND(),1,Coefficients!$B$22)</f>
        <v>0.982628797261319</v>
      </c>
      <c r="C2703" s="0" t="n">
        <f aca="true">MEDIAN(8,16,ROUND(NORMINV(RAND(),Coefficients!$B$20,Coefficients!$B$21),0))</f>
        <v>8</v>
      </c>
      <c r="D2703" s="0" t="n">
        <f aca="true">CRITBINOM($C2703,MIN(0.75,Matchup!$B$39*$B2703),RAND())</f>
        <v>1</v>
      </c>
      <c r="E2703" s="0" t="n">
        <f aca="true">CRITBINOM(D2703,Coefficients!$B$30,RAND())</f>
        <v>0</v>
      </c>
      <c r="F2703" s="0" t="n">
        <f aca="true">CRITBINOM(E2703,Coefficients!$B$31,RAND())</f>
        <v>0</v>
      </c>
      <c r="G2703" s="0" t="n">
        <f aca="true">CRITBINOM(MAX(0,D2703-E2703),1-Coefficients!$B$32,RAND())</f>
        <v>0</v>
      </c>
      <c r="H2703" s="0" t="n">
        <f aca="true">CRITBINOM(MAX(0,$C2703-D2703),MIN(0.6,Matchup!$B$40*SQRT($B2703)/(1-MIN(0.75,Matchup!$B$39*$B2703))),RAND())</f>
        <v>1</v>
      </c>
      <c r="I2703" s="0" t="n">
        <f aca="false">6*D2703+(D2703-E2703-G2703)+2*F2703+3*H2703</f>
        <v>10</v>
      </c>
      <c r="J2703" s="0" t="n">
        <f aca="true">CRITBINOM($C2703,MIN(0.75,Matchup!$C$39*$B2703),RAND())</f>
        <v>1</v>
      </c>
      <c r="K2703" s="0" t="n">
        <f aca="true">CRITBINOM(J2703,Coefficients!$B$30,RAND())</f>
        <v>0</v>
      </c>
      <c r="L2703" s="0" t="n">
        <f aca="true">CRITBINOM(K2703,Coefficients!$B$31,RAND())</f>
        <v>0</v>
      </c>
      <c r="M2703" s="0" t="n">
        <f aca="true">CRITBINOM(MAX(0,J2703-K2703),1-Coefficients!$B$32,RAND())</f>
        <v>0</v>
      </c>
      <c r="N2703" s="0" t="n">
        <f aca="true">CRITBINOM(MAX(0,$C2703-J2703),MIN(0.6,Matchup!$C$40*SQRT($B2703)/(1-MIN(0.75,Matchup!$C$39*$B2703))),RAND())</f>
        <v>0</v>
      </c>
      <c r="O2703" s="0" t="n">
        <f aca="false">6*J2703+(J2703-K2703-M2703)+2*L2703+3*N2703</f>
        <v>7</v>
      </c>
      <c r="P2703" s="0" t="n">
        <f aca="true">RAND()</f>
        <v>0.918404359294933</v>
      </c>
      <c r="Q2703" s="0" t="n">
        <f aca="true">RAND()</f>
        <v>0.307769905312767</v>
      </c>
      <c r="R2703" s="0" t="n">
        <f aca="false">IF($I2703&lt;&gt;$O2703,0,IF(P2703&lt;Matchup!$B$39,7,IF(P2703&lt;Matchup!$B$39+Matchup!$B$40,3,0)))</f>
        <v>0</v>
      </c>
      <c r="S2703" s="0" t="n">
        <f aca="false">IF($I2703&lt;&gt;$O2703,0,IF(Q2703&lt;Matchup!$C$39,7,IF(Q2703&lt;Matchup!$C$39+Matchup!$C$40,3,0)))</f>
        <v>0</v>
      </c>
      <c r="T2703" s="0" t="n">
        <f aca="false">I2703+R2703</f>
        <v>10</v>
      </c>
      <c r="U2703" s="0" t="n">
        <f aca="false">O2703+S2703</f>
        <v>7</v>
      </c>
      <c r="V2703" s="0" t="n">
        <f aca="false">T2703-U2703</f>
        <v>3</v>
      </c>
      <c r="W2703" s="0" t="n">
        <f aca="false">T2703+U2703</f>
        <v>17</v>
      </c>
    </row>
    <row r="2704" customFormat="false" ht="15" hidden="false" customHeight="false" outlineLevel="0" collapsed="false">
      <c r="A2704" s="0" t="n">
        <v>2701</v>
      </c>
      <c r="B2704" s="0" t="n">
        <f aca="true">NORMINV(RAND(),1,Coefficients!$B$22)</f>
        <v>1.03833718308776</v>
      </c>
      <c r="C2704" s="0" t="n">
        <f aca="true">MEDIAN(8,16,ROUND(NORMINV(RAND(),Coefficients!$B$20,Coefficients!$B$21),0))</f>
        <v>12</v>
      </c>
      <c r="D2704" s="0" t="n">
        <f aca="true">CRITBINOM($C2704,MIN(0.75,Matchup!$B$39*$B2704),RAND())</f>
        <v>6</v>
      </c>
      <c r="E2704" s="0" t="n">
        <f aca="true">CRITBINOM(D2704,Coefficients!$B$30,RAND())</f>
        <v>0</v>
      </c>
      <c r="F2704" s="0" t="n">
        <f aca="true">CRITBINOM(E2704,Coefficients!$B$31,RAND())</f>
        <v>0</v>
      </c>
      <c r="G2704" s="0" t="n">
        <f aca="true">CRITBINOM(MAX(0,D2704-E2704),1-Coefficients!$B$32,RAND())</f>
        <v>0</v>
      </c>
      <c r="H2704" s="0" t="n">
        <f aca="true">CRITBINOM(MAX(0,$C2704-D2704),MIN(0.6,Matchup!$B$40*SQRT($B2704)/(1-MIN(0.75,Matchup!$B$39*$B2704))),RAND())</f>
        <v>0</v>
      </c>
      <c r="I2704" s="0" t="n">
        <f aca="false">6*D2704+(D2704-E2704-G2704)+2*F2704+3*H2704</f>
        <v>42</v>
      </c>
      <c r="J2704" s="0" t="n">
        <f aca="true">CRITBINOM($C2704,MIN(0.75,Matchup!$C$39*$B2704),RAND())</f>
        <v>2</v>
      </c>
      <c r="K2704" s="0" t="n">
        <f aca="true">CRITBINOM(J2704,Coefficients!$B$30,RAND())</f>
        <v>1</v>
      </c>
      <c r="L2704" s="0" t="n">
        <f aca="true">CRITBINOM(K2704,Coefficients!$B$31,RAND())</f>
        <v>0</v>
      </c>
      <c r="M2704" s="0" t="n">
        <f aca="true">CRITBINOM(MAX(0,J2704-K2704),1-Coefficients!$B$32,RAND())</f>
        <v>0</v>
      </c>
      <c r="N2704" s="0" t="n">
        <f aca="true">CRITBINOM(MAX(0,$C2704-J2704),MIN(0.6,Matchup!$C$40*SQRT($B2704)/(1-MIN(0.75,Matchup!$C$39*$B2704))),RAND())</f>
        <v>1</v>
      </c>
      <c r="O2704" s="0" t="n">
        <f aca="false">6*J2704+(J2704-K2704-M2704)+2*L2704+3*N2704</f>
        <v>16</v>
      </c>
      <c r="P2704" s="0" t="n">
        <f aca="true">RAND()</f>
        <v>0.524091327714887</v>
      </c>
      <c r="Q2704" s="0" t="n">
        <f aca="true">RAND()</f>
        <v>0.426720225102116</v>
      </c>
      <c r="R2704" s="0" t="n">
        <f aca="false">IF($I2704&lt;&gt;$O2704,0,IF(P2704&lt;Matchup!$B$39,7,IF(P2704&lt;Matchup!$B$39+Matchup!$B$40,3,0)))</f>
        <v>0</v>
      </c>
      <c r="S2704" s="0" t="n">
        <f aca="false">IF($I2704&lt;&gt;$O2704,0,IF(Q2704&lt;Matchup!$C$39,7,IF(Q2704&lt;Matchup!$C$39+Matchup!$C$40,3,0)))</f>
        <v>0</v>
      </c>
      <c r="T2704" s="0" t="n">
        <f aca="false">I2704+R2704</f>
        <v>42</v>
      </c>
      <c r="U2704" s="0" t="n">
        <f aca="false">O2704+S2704</f>
        <v>16</v>
      </c>
      <c r="V2704" s="0" t="n">
        <f aca="false">T2704-U2704</f>
        <v>26</v>
      </c>
      <c r="W2704" s="0" t="n">
        <f aca="false">T2704+U2704</f>
        <v>58</v>
      </c>
    </row>
    <row r="2705" customFormat="false" ht="15" hidden="false" customHeight="false" outlineLevel="0" collapsed="false">
      <c r="A2705" s="0" t="n">
        <v>2702</v>
      </c>
      <c r="B2705" s="0" t="n">
        <f aca="true">NORMINV(RAND(),1,Coefficients!$B$22)</f>
        <v>0.962762462227167</v>
      </c>
      <c r="C2705" s="0" t="n">
        <f aca="true">MEDIAN(8,16,ROUND(NORMINV(RAND(),Coefficients!$B$20,Coefficients!$B$21),0))</f>
        <v>12</v>
      </c>
      <c r="D2705" s="0" t="n">
        <f aca="true">CRITBINOM($C2705,MIN(0.75,Matchup!$B$39*$B2705),RAND())</f>
        <v>3</v>
      </c>
      <c r="E2705" s="0" t="n">
        <f aca="true">CRITBINOM(D2705,Coefficients!$B$30,RAND())</f>
        <v>2</v>
      </c>
      <c r="F2705" s="0" t="n">
        <f aca="true">CRITBINOM(E2705,Coefficients!$B$31,RAND())</f>
        <v>2</v>
      </c>
      <c r="G2705" s="0" t="n">
        <f aca="true">CRITBINOM(MAX(0,D2705-E2705),1-Coefficients!$B$32,RAND())</f>
        <v>0</v>
      </c>
      <c r="H2705" s="0" t="n">
        <f aca="true">CRITBINOM(MAX(0,$C2705-D2705),MIN(0.6,Matchup!$B$40*SQRT($B2705)/(1-MIN(0.75,Matchup!$B$39*$B2705))),RAND())</f>
        <v>4</v>
      </c>
      <c r="I2705" s="0" t="n">
        <f aca="false">6*D2705+(D2705-E2705-G2705)+2*F2705+3*H2705</f>
        <v>35</v>
      </c>
      <c r="J2705" s="0" t="n">
        <f aca="true">CRITBINOM($C2705,MIN(0.75,Matchup!$C$39*$B2705),RAND())</f>
        <v>1</v>
      </c>
      <c r="K2705" s="0" t="n">
        <f aca="true">CRITBINOM(J2705,Coefficients!$B$30,RAND())</f>
        <v>0</v>
      </c>
      <c r="L2705" s="0" t="n">
        <f aca="true">CRITBINOM(K2705,Coefficients!$B$31,RAND())</f>
        <v>0</v>
      </c>
      <c r="M2705" s="0" t="n">
        <f aca="true">CRITBINOM(MAX(0,J2705-K2705),1-Coefficients!$B$32,RAND())</f>
        <v>0</v>
      </c>
      <c r="N2705" s="0" t="n">
        <f aca="true">CRITBINOM(MAX(0,$C2705-J2705),MIN(0.6,Matchup!$C$40*SQRT($B2705)/(1-MIN(0.75,Matchup!$C$39*$B2705))),RAND())</f>
        <v>3</v>
      </c>
      <c r="O2705" s="0" t="n">
        <f aca="false">6*J2705+(J2705-K2705-M2705)+2*L2705+3*N2705</f>
        <v>16</v>
      </c>
      <c r="P2705" s="0" t="n">
        <f aca="true">RAND()</f>
        <v>0.2078895275909</v>
      </c>
      <c r="Q2705" s="0" t="n">
        <f aca="true">RAND()</f>
        <v>0.846202422205521</v>
      </c>
      <c r="R2705" s="0" t="n">
        <f aca="false">IF($I2705&lt;&gt;$O2705,0,IF(P2705&lt;Matchup!$B$39,7,IF(P2705&lt;Matchup!$B$39+Matchup!$B$40,3,0)))</f>
        <v>0</v>
      </c>
      <c r="S2705" s="0" t="n">
        <f aca="false">IF($I2705&lt;&gt;$O2705,0,IF(Q2705&lt;Matchup!$C$39,7,IF(Q2705&lt;Matchup!$C$39+Matchup!$C$40,3,0)))</f>
        <v>0</v>
      </c>
      <c r="T2705" s="0" t="n">
        <f aca="false">I2705+R2705</f>
        <v>35</v>
      </c>
      <c r="U2705" s="0" t="n">
        <f aca="false">O2705+S2705</f>
        <v>16</v>
      </c>
      <c r="V2705" s="0" t="n">
        <f aca="false">T2705-U2705</f>
        <v>19</v>
      </c>
      <c r="W2705" s="0" t="n">
        <f aca="false">T2705+U2705</f>
        <v>51</v>
      </c>
    </row>
    <row r="2706" customFormat="false" ht="15" hidden="false" customHeight="false" outlineLevel="0" collapsed="false">
      <c r="A2706" s="0" t="n">
        <v>2703</v>
      </c>
      <c r="B2706" s="0" t="n">
        <f aca="true">NORMINV(RAND(),1,Coefficients!$B$22)</f>
        <v>1.09081380011745</v>
      </c>
      <c r="C2706" s="0" t="n">
        <f aca="true">MEDIAN(8,16,ROUND(NORMINV(RAND(),Coefficients!$B$20,Coefficients!$B$21),0))</f>
        <v>11</v>
      </c>
      <c r="D2706" s="0" t="n">
        <f aca="true">CRITBINOM($C2706,MIN(0.75,Matchup!$B$39*$B2706),RAND())</f>
        <v>2</v>
      </c>
      <c r="E2706" s="0" t="n">
        <f aca="true">CRITBINOM(D2706,Coefficients!$B$30,RAND())</f>
        <v>0</v>
      </c>
      <c r="F2706" s="0" t="n">
        <f aca="true">CRITBINOM(E2706,Coefficients!$B$31,RAND())</f>
        <v>0</v>
      </c>
      <c r="G2706" s="0" t="n">
        <f aca="true">CRITBINOM(MAX(0,D2706-E2706),1-Coefficients!$B$32,RAND())</f>
        <v>0</v>
      </c>
      <c r="H2706" s="0" t="n">
        <f aca="true">CRITBINOM(MAX(0,$C2706-D2706),MIN(0.6,Matchup!$B$40*SQRT($B2706)/(1-MIN(0.75,Matchup!$B$39*$B2706))),RAND())</f>
        <v>1</v>
      </c>
      <c r="I2706" s="0" t="n">
        <f aca="false">6*D2706+(D2706-E2706-G2706)+2*F2706+3*H2706</f>
        <v>17</v>
      </c>
      <c r="J2706" s="0" t="n">
        <f aca="true">CRITBINOM($C2706,MIN(0.75,Matchup!$C$39*$B2706),RAND())</f>
        <v>2</v>
      </c>
      <c r="K2706" s="0" t="n">
        <f aca="true">CRITBINOM(J2706,Coefficients!$B$30,RAND())</f>
        <v>0</v>
      </c>
      <c r="L2706" s="0" t="n">
        <f aca="true">CRITBINOM(K2706,Coefficients!$B$31,RAND())</f>
        <v>0</v>
      </c>
      <c r="M2706" s="0" t="n">
        <f aca="true">CRITBINOM(MAX(0,J2706-K2706),1-Coefficients!$B$32,RAND())</f>
        <v>0</v>
      </c>
      <c r="N2706" s="0" t="n">
        <f aca="true">CRITBINOM(MAX(0,$C2706-J2706),MIN(0.6,Matchup!$C$40*SQRT($B2706)/(1-MIN(0.75,Matchup!$C$39*$B2706))),RAND())</f>
        <v>1</v>
      </c>
      <c r="O2706" s="0" t="n">
        <f aca="false">6*J2706+(J2706-K2706-M2706)+2*L2706+3*N2706</f>
        <v>17</v>
      </c>
      <c r="P2706" s="0" t="n">
        <f aca="true">RAND()</f>
        <v>0.201111514170611</v>
      </c>
      <c r="Q2706" s="0" t="n">
        <f aca="true">RAND()</f>
        <v>0.560943600597874</v>
      </c>
      <c r="R2706" s="0" t="n">
        <f aca="false">IF($I2706&lt;&gt;$O2706,0,IF(P2706&lt;Matchup!$B$39,7,IF(P2706&lt;Matchup!$B$39+Matchup!$B$40,3,0)))</f>
        <v>7</v>
      </c>
      <c r="S2706" s="0" t="n">
        <f aca="false">IF($I2706&lt;&gt;$O2706,0,IF(Q2706&lt;Matchup!$C$39,7,IF(Q2706&lt;Matchup!$C$39+Matchup!$C$40,3,0)))</f>
        <v>0</v>
      </c>
      <c r="T2706" s="0" t="n">
        <f aca="false">I2706+R2706</f>
        <v>24</v>
      </c>
      <c r="U2706" s="0" t="n">
        <f aca="false">O2706+S2706</f>
        <v>17</v>
      </c>
      <c r="V2706" s="0" t="n">
        <f aca="false">T2706-U2706</f>
        <v>7</v>
      </c>
      <c r="W2706" s="0" t="n">
        <f aca="false">T2706+U2706</f>
        <v>41</v>
      </c>
    </row>
    <row r="2707" customFormat="false" ht="15" hidden="false" customHeight="false" outlineLevel="0" collapsed="false">
      <c r="A2707" s="0" t="n">
        <v>2704</v>
      </c>
      <c r="B2707" s="0" t="n">
        <f aca="true">NORMINV(RAND(),1,Coefficients!$B$22)</f>
        <v>0.937148298167884</v>
      </c>
      <c r="C2707" s="0" t="n">
        <f aca="true">MEDIAN(8,16,ROUND(NORMINV(RAND(),Coefficients!$B$20,Coefficients!$B$21),0))</f>
        <v>10</v>
      </c>
      <c r="D2707" s="0" t="n">
        <f aca="true">CRITBINOM($C2707,MIN(0.75,Matchup!$B$39*$B2707),RAND())</f>
        <v>2</v>
      </c>
      <c r="E2707" s="0" t="n">
        <f aca="true">CRITBINOM(D2707,Coefficients!$B$30,RAND())</f>
        <v>0</v>
      </c>
      <c r="F2707" s="0" t="n">
        <f aca="true">CRITBINOM(E2707,Coefficients!$B$31,RAND())</f>
        <v>0</v>
      </c>
      <c r="G2707" s="0" t="n">
        <f aca="true">CRITBINOM(MAX(0,D2707-E2707),1-Coefficients!$B$32,RAND())</f>
        <v>0</v>
      </c>
      <c r="H2707" s="0" t="n">
        <f aca="true">CRITBINOM(MAX(0,$C2707-D2707),MIN(0.6,Matchup!$B$40*SQRT($B2707)/(1-MIN(0.75,Matchup!$B$39*$B2707))),RAND())</f>
        <v>1</v>
      </c>
      <c r="I2707" s="0" t="n">
        <f aca="false">6*D2707+(D2707-E2707-G2707)+2*F2707+3*H2707</f>
        <v>17</v>
      </c>
      <c r="J2707" s="0" t="n">
        <f aca="true">CRITBINOM($C2707,MIN(0.75,Matchup!$C$39*$B2707),RAND())</f>
        <v>2</v>
      </c>
      <c r="K2707" s="0" t="n">
        <f aca="true">CRITBINOM(J2707,Coefficients!$B$30,RAND())</f>
        <v>0</v>
      </c>
      <c r="L2707" s="0" t="n">
        <f aca="true">CRITBINOM(K2707,Coefficients!$B$31,RAND())</f>
        <v>0</v>
      </c>
      <c r="M2707" s="0" t="n">
        <f aca="true">CRITBINOM(MAX(0,J2707-K2707),1-Coefficients!$B$32,RAND())</f>
        <v>0</v>
      </c>
      <c r="N2707" s="0" t="n">
        <f aca="true">CRITBINOM(MAX(0,$C2707-J2707),MIN(0.6,Matchup!$C$40*SQRT($B2707)/(1-MIN(0.75,Matchup!$C$39*$B2707))),RAND())</f>
        <v>1</v>
      </c>
      <c r="O2707" s="0" t="n">
        <f aca="false">6*J2707+(J2707-K2707-M2707)+2*L2707+3*N2707</f>
        <v>17</v>
      </c>
      <c r="P2707" s="0" t="n">
        <f aca="true">RAND()</f>
        <v>0.136399767138566</v>
      </c>
      <c r="Q2707" s="0" t="n">
        <f aca="true">RAND()</f>
        <v>0.790549506775113</v>
      </c>
      <c r="R2707" s="0" t="n">
        <f aca="false">IF($I2707&lt;&gt;$O2707,0,IF(P2707&lt;Matchup!$B$39,7,IF(P2707&lt;Matchup!$B$39+Matchup!$B$40,3,0)))</f>
        <v>7</v>
      </c>
      <c r="S2707" s="0" t="n">
        <f aca="false">IF($I2707&lt;&gt;$O2707,0,IF(Q2707&lt;Matchup!$C$39,7,IF(Q2707&lt;Matchup!$C$39+Matchup!$C$40,3,0)))</f>
        <v>0</v>
      </c>
      <c r="T2707" s="0" t="n">
        <f aca="false">I2707+R2707</f>
        <v>24</v>
      </c>
      <c r="U2707" s="0" t="n">
        <f aca="false">O2707+S2707</f>
        <v>17</v>
      </c>
      <c r="V2707" s="0" t="n">
        <f aca="false">T2707-U2707</f>
        <v>7</v>
      </c>
      <c r="W2707" s="0" t="n">
        <f aca="false">T2707+U2707</f>
        <v>41</v>
      </c>
    </row>
    <row r="2708" customFormat="false" ht="15" hidden="false" customHeight="false" outlineLevel="0" collapsed="false">
      <c r="A2708" s="0" t="n">
        <v>2705</v>
      </c>
      <c r="B2708" s="0" t="n">
        <f aca="true">NORMINV(RAND(),1,Coefficients!$B$22)</f>
        <v>1.04437328210055</v>
      </c>
      <c r="C2708" s="0" t="n">
        <f aca="true">MEDIAN(8,16,ROUND(NORMINV(RAND(),Coefficients!$B$20,Coefficients!$B$21),0))</f>
        <v>10</v>
      </c>
      <c r="D2708" s="0" t="n">
        <f aca="true">CRITBINOM($C2708,MIN(0.75,Matchup!$B$39*$B2708),RAND())</f>
        <v>1</v>
      </c>
      <c r="E2708" s="0" t="n">
        <f aca="true">CRITBINOM(D2708,Coefficients!$B$30,RAND())</f>
        <v>0</v>
      </c>
      <c r="F2708" s="0" t="n">
        <f aca="true">CRITBINOM(E2708,Coefficients!$B$31,RAND())</f>
        <v>0</v>
      </c>
      <c r="G2708" s="0" t="n">
        <f aca="true">CRITBINOM(MAX(0,D2708-E2708),1-Coefficients!$B$32,RAND())</f>
        <v>0</v>
      </c>
      <c r="H2708" s="0" t="n">
        <f aca="true">CRITBINOM(MAX(0,$C2708-D2708),MIN(0.6,Matchup!$B$40*SQRT($B2708)/(1-MIN(0.75,Matchup!$B$39*$B2708))),RAND())</f>
        <v>2</v>
      </c>
      <c r="I2708" s="0" t="n">
        <f aca="false">6*D2708+(D2708-E2708-G2708)+2*F2708+3*H2708</f>
        <v>13</v>
      </c>
      <c r="J2708" s="0" t="n">
        <f aca="true">CRITBINOM($C2708,MIN(0.75,Matchup!$C$39*$B2708),RAND())</f>
        <v>3</v>
      </c>
      <c r="K2708" s="0" t="n">
        <f aca="true">CRITBINOM(J2708,Coefficients!$B$30,RAND())</f>
        <v>0</v>
      </c>
      <c r="L2708" s="0" t="n">
        <f aca="true">CRITBINOM(K2708,Coefficients!$B$31,RAND())</f>
        <v>0</v>
      </c>
      <c r="M2708" s="0" t="n">
        <f aca="true">CRITBINOM(MAX(0,J2708-K2708),1-Coefficients!$B$32,RAND())</f>
        <v>0</v>
      </c>
      <c r="N2708" s="0" t="n">
        <f aca="true">CRITBINOM(MAX(0,$C2708-J2708),MIN(0.6,Matchup!$C$40*SQRT($B2708)/(1-MIN(0.75,Matchup!$C$39*$B2708))),RAND())</f>
        <v>1</v>
      </c>
      <c r="O2708" s="0" t="n">
        <f aca="false">6*J2708+(J2708-K2708-M2708)+2*L2708+3*N2708</f>
        <v>24</v>
      </c>
      <c r="P2708" s="0" t="n">
        <f aca="true">RAND()</f>
        <v>0.826997708659819</v>
      </c>
      <c r="Q2708" s="0" t="n">
        <f aca="true">RAND()</f>
        <v>0.557877553100783</v>
      </c>
      <c r="R2708" s="0" t="n">
        <f aca="false">IF($I2708&lt;&gt;$O2708,0,IF(P2708&lt;Matchup!$B$39,7,IF(P2708&lt;Matchup!$B$39+Matchup!$B$40,3,0)))</f>
        <v>0</v>
      </c>
      <c r="S2708" s="0" t="n">
        <f aca="false">IF($I2708&lt;&gt;$O2708,0,IF(Q2708&lt;Matchup!$C$39,7,IF(Q2708&lt;Matchup!$C$39+Matchup!$C$40,3,0)))</f>
        <v>0</v>
      </c>
      <c r="T2708" s="0" t="n">
        <f aca="false">I2708+R2708</f>
        <v>13</v>
      </c>
      <c r="U2708" s="0" t="n">
        <f aca="false">O2708+S2708</f>
        <v>24</v>
      </c>
      <c r="V2708" s="0" t="n">
        <f aca="false">T2708-U2708</f>
        <v>-11</v>
      </c>
      <c r="W2708" s="0" t="n">
        <f aca="false">T2708+U2708</f>
        <v>37</v>
      </c>
    </row>
    <row r="2709" customFormat="false" ht="15" hidden="false" customHeight="false" outlineLevel="0" collapsed="false">
      <c r="A2709" s="0" t="n">
        <v>2706</v>
      </c>
      <c r="B2709" s="0" t="n">
        <f aca="true">NORMINV(RAND(),1,Coefficients!$B$22)</f>
        <v>0.908298267434244</v>
      </c>
      <c r="C2709" s="0" t="n">
        <f aca="true">MEDIAN(8,16,ROUND(NORMINV(RAND(),Coefficients!$B$20,Coefficients!$B$21),0))</f>
        <v>13</v>
      </c>
      <c r="D2709" s="0" t="n">
        <f aca="true">CRITBINOM($C2709,MIN(0.75,Matchup!$B$39*$B2709),RAND())</f>
        <v>3</v>
      </c>
      <c r="E2709" s="0" t="n">
        <f aca="true">CRITBINOM(D2709,Coefficients!$B$30,RAND())</f>
        <v>0</v>
      </c>
      <c r="F2709" s="0" t="n">
        <f aca="true">CRITBINOM(E2709,Coefficients!$B$31,RAND())</f>
        <v>0</v>
      </c>
      <c r="G2709" s="0" t="n">
        <f aca="true">CRITBINOM(MAX(0,D2709-E2709),1-Coefficients!$B$32,RAND())</f>
        <v>0</v>
      </c>
      <c r="H2709" s="0" t="n">
        <f aca="true">CRITBINOM(MAX(0,$C2709-D2709),MIN(0.6,Matchup!$B$40*SQRT($B2709)/(1-MIN(0.75,Matchup!$B$39*$B2709))),RAND())</f>
        <v>2</v>
      </c>
      <c r="I2709" s="0" t="n">
        <f aca="false">6*D2709+(D2709-E2709-G2709)+2*F2709+3*H2709</f>
        <v>27</v>
      </c>
      <c r="J2709" s="0" t="n">
        <f aca="true">CRITBINOM($C2709,MIN(0.75,Matchup!$C$39*$B2709),RAND())</f>
        <v>4</v>
      </c>
      <c r="K2709" s="0" t="n">
        <f aca="true">CRITBINOM(J2709,Coefficients!$B$30,RAND())</f>
        <v>1</v>
      </c>
      <c r="L2709" s="0" t="n">
        <f aca="true">CRITBINOM(K2709,Coefficients!$B$31,RAND())</f>
        <v>0</v>
      </c>
      <c r="M2709" s="0" t="n">
        <f aca="true">CRITBINOM(MAX(0,J2709-K2709),1-Coefficients!$B$32,RAND())</f>
        <v>0</v>
      </c>
      <c r="N2709" s="0" t="n">
        <f aca="true">CRITBINOM(MAX(0,$C2709-J2709),MIN(0.6,Matchup!$C$40*SQRT($B2709)/(1-MIN(0.75,Matchup!$C$39*$B2709))),RAND())</f>
        <v>1</v>
      </c>
      <c r="O2709" s="0" t="n">
        <f aca="false">6*J2709+(J2709-K2709-M2709)+2*L2709+3*N2709</f>
        <v>30</v>
      </c>
      <c r="P2709" s="0" t="n">
        <f aca="true">RAND()</f>
        <v>0.209611913036463</v>
      </c>
      <c r="Q2709" s="0" t="n">
        <f aca="true">RAND()</f>
        <v>0.320635983260731</v>
      </c>
      <c r="R2709" s="0" t="n">
        <f aca="false">IF($I2709&lt;&gt;$O2709,0,IF(P2709&lt;Matchup!$B$39,7,IF(P2709&lt;Matchup!$B$39+Matchup!$B$40,3,0)))</f>
        <v>0</v>
      </c>
      <c r="S2709" s="0" t="n">
        <f aca="false">IF($I2709&lt;&gt;$O2709,0,IF(Q2709&lt;Matchup!$C$39,7,IF(Q2709&lt;Matchup!$C$39+Matchup!$C$40,3,0)))</f>
        <v>0</v>
      </c>
      <c r="T2709" s="0" t="n">
        <f aca="false">I2709+R2709</f>
        <v>27</v>
      </c>
      <c r="U2709" s="0" t="n">
        <f aca="false">O2709+S2709</f>
        <v>30</v>
      </c>
      <c r="V2709" s="0" t="n">
        <f aca="false">T2709-U2709</f>
        <v>-3</v>
      </c>
      <c r="W2709" s="0" t="n">
        <f aca="false">T2709+U2709</f>
        <v>57</v>
      </c>
    </row>
    <row r="2710" customFormat="false" ht="15" hidden="false" customHeight="false" outlineLevel="0" collapsed="false">
      <c r="A2710" s="0" t="n">
        <v>2707</v>
      </c>
      <c r="B2710" s="0" t="n">
        <f aca="true">NORMINV(RAND(),1,Coefficients!$B$22)</f>
        <v>1.13310374368537</v>
      </c>
      <c r="C2710" s="0" t="n">
        <f aca="true">MEDIAN(8,16,ROUND(NORMINV(RAND(),Coefficients!$B$20,Coefficients!$B$21),0))</f>
        <v>10</v>
      </c>
      <c r="D2710" s="0" t="n">
        <f aca="true">CRITBINOM($C2710,MIN(0.75,Matchup!$B$39*$B2710),RAND())</f>
        <v>4</v>
      </c>
      <c r="E2710" s="0" t="n">
        <f aca="true">CRITBINOM(D2710,Coefficients!$B$30,RAND())</f>
        <v>0</v>
      </c>
      <c r="F2710" s="0" t="n">
        <f aca="true">CRITBINOM(E2710,Coefficients!$B$31,RAND())</f>
        <v>0</v>
      </c>
      <c r="G2710" s="0" t="n">
        <f aca="true">CRITBINOM(MAX(0,D2710-E2710),1-Coefficients!$B$32,RAND())</f>
        <v>0</v>
      </c>
      <c r="H2710" s="0" t="n">
        <f aca="true">CRITBINOM(MAX(0,$C2710-D2710),MIN(0.6,Matchup!$B$40*SQRT($B2710)/(1-MIN(0.75,Matchup!$B$39*$B2710))),RAND())</f>
        <v>4</v>
      </c>
      <c r="I2710" s="0" t="n">
        <f aca="false">6*D2710+(D2710-E2710-G2710)+2*F2710+3*H2710</f>
        <v>40</v>
      </c>
      <c r="J2710" s="0" t="n">
        <f aca="true">CRITBINOM($C2710,MIN(0.75,Matchup!$C$39*$B2710),RAND())</f>
        <v>3</v>
      </c>
      <c r="K2710" s="0" t="n">
        <f aca="true">CRITBINOM(J2710,Coefficients!$B$30,RAND())</f>
        <v>0</v>
      </c>
      <c r="L2710" s="0" t="n">
        <f aca="true">CRITBINOM(K2710,Coefficients!$B$31,RAND())</f>
        <v>0</v>
      </c>
      <c r="M2710" s="0" t="n">
        <f aca="true">CRITBINOM(MAX(0,J2710-K2710),1-Coefficients!$B$32,RAND())</f>
        <v>0</v>
      </c>
      <c r="N2710" s="0" t="n">
        <f aca="true">CRITBINOM(MAX(0,$C2710-J2710),MIN(0.6,Matchup!$C$40*SQRT($B2710)/(1-MIN(0.75,Matchup!$C$39*$B2710))),RAND())</f>
        <v>3</v>
      </c>
      <c r="O2710" s="0" t="n">
        <f aca="false">6*J2710+(J2710-K2710-M2710)+2*L2710+3*N2710</f>
        <v>30</v>
      </c>
      <c r="P2710" s="0" t="n">
        <f aca="true">RAND()</f>
        <v>0.335079164265548</v>
      </c>
      <c r="Q2710" s="0" t="n">
        <f aca="true">RAND()</f>
        <v>0.864721579614393</v>
      </c>
      <c r="R2710" s="0" t="n">
        <f aca="false">IF($I2710&lt;&gt;$O2710,0,IF(P2710&lt;Matchup!$B$39,7,IF(P2710&lt;Matchup!$B$39+Matchup!$B$40,3,0)))</f>
        <v>0</v>
      </c>
      <c r="S2710" s="0" t="n">
        <f aca="false">IF($I2710&lt;&gt;$O2710,0,IF(Q2710&lt;Matchup!$C$39,7,IF(Q2710&lt;Matchup!$C$39+Matchup!$C$40,3,0)))</f>
        <v>0</v>
      </c>
      <c r="T2710" s="0" t="n">
        <f aca="false">I2710+R2710</f>
        <v>40</v>
      </c>
      <c r="U2710" s="0" t="n">
        <f aca="false">O2710+S2710</f>
        <v>30</v>
      </c>
      <c r="V2710" s="0" t="n">
        <f aca="false">T2710-U2710</f>
        <v>10</v>
      </c>
      <c r="W2710" s="0" t="n">
        <f aca="false">T2710+U2710</f>
        <v>70</v>
      </c>
    </row>
    <row r="2711" customFormat="false" ht="15" hidden="false" customHeight="false" outlineLevel="0" collapsed="false">
      <c r="A2711" s="0" t="n">
        <v>2708</v>
      </c>
      <c r="B2711" s="0" t="n">
        <f aca="true">NORMINV(RAND(),1,Coefficients!$B$22)</f>
        <v>0.938264949983416</v>
      </c>
      <c r="C2711" s="0" t="n">
        <f aca="true">MEDIAN(8,16,ROUND(NORMINV(RAND(),Coefficients!$B$20,Coefficients!$B$21),0))</f>
        <v>13</v>
      </c>
      <c r="D2711" s="0" t="n">
        <f aca="true">CRITBINOM($C2711,MIN(0.75,Matchup!$B$39*$B2711),RAND())</f>
        <v>2</v>
      </c>
      <c r="E2711" s="0" t="n">
        <f aca="true">CRITBINOM(D2711,Coefficients!$B$30,RAND())</f>
        <v>1</v>
      </c>
      <c r="F2711" s="0" t="n">
        <f aca="true">CRITBINOM(E2711,Coefficients!$B$31,RAND())</f>
        <v>1</v>
      </c>
      <c r="G2711" s="0" t="n">
        <f aca="true">CRITBINOM(MAX(0,D2711-E2711),1-Coefficients!$B$32,RAND())</f>
        <v>0</v>
      </c>
      <c r="H2711" s="0" t="n">
        <f aca="true">CRITBINOM(MAX(0,$C2711-D2711),MIN(0.6,Matchup!$B$40*SQRT($B2711)/(1-MIN(0.75,Matchup!$B$39*$B2711))),RAND())</f>
        <v>1</v>
      </c>
      <c r="I2711" s="0" t="n">
        <f aca="false">6*D2711+(D2711-E2711-G2711)+2*F2711+3*H2711</f>
        <v>18</v>
      </c>
      <c r="J2711" s="0" t="n">
        <f aca="true">CRITBINOM($C2711,MIN(0.75,Matchup!$C$39*$B2711),RAND())</f>
        <v>3</v>
      </c>
      <c r="K2711" s="0" t="n">
        <f aca="true">CRITBINOM(J2711,Coefficients!$B$30,RAND())</f>
        <v>0</v>
      </c>
      <c r="L2711" s="0" t="n">
        <f aca="true">CRITBINOM(K2711,Coefficients!$B$31,RAND())</f>
        <v>0</v>
      </c>
      <c r="M2711" s="0" t="n">
        <f aca="true">CRITBINOM(MAX(0,J2711-K2711),1-Coefficients!$B$32,RAND())</f>
        <v>0</v>
      </c>
      <c r="N2711" s="0" t="n">
        <f aca="true">CRITBINOM(MAX(0,$C2711-J2711),MIN(0.6,Matchup!$C$40*SQRT($B2711)/(1-MIN(0.75,Matchup!$C$39*$B2711))),RAND())</f>
        <v>3</v>
      </c>
      <c r="O2711" s="0" t="n">
        <f aca="false">6*J2711+(J2711-K2711-M2711)+2*L2711+3*N2711</f>
        <v>30</v>
      </c>
      <c r="P2711" s="0" t="n">
        <f aca="true">RAND()</f>
        <v>0.0816128248855212</v>
      </c>
      <c r="Q2711" s="0" t="n">
        <f aca="true">RAND()</f>
        <v>0.326036328842129</v>
      </c>
      <c r="R2711" s="0" t="n">
        <f aca="false">IF($I2711&lt;&gt;$O2711,0,IF(P2711&lt;Matchup!$B$39,7,IF(P2711&lt;Matchup!$B$39+Matchup!$B$40,3,0)))</f>
        <v>0</v>
      </c>
      <c r="S2711" s="0" t="n">
        <f aca="false">IF($I2711&lt;&gt;$O2711,0,IF(Q2711&lt;Matchup!$C$39,7,IF(Q2711&lt;Matchup!$C$39+Matchup!$C$40,3,0)))</f>
        <v>0</v>
      </c>
      <c r="T2711" s="0" t="n">
        <f aca="false">I2711+R2711</f>
        <v>18</v>
      </c>
      <c r="U2711" s="0" t="n">
        <f aca="false">O2711+S2711</f>
        <v>30</v>
      </c>
      <c r="V2711" s="0" t="n">
        <f aca="false">T2711-U2711</f>
        <v>-12</v>
      </c>
      <c r="W2711" s="0" t="n">
        <f aca="false">T2711+U2711</f>
        <v>48</v>
      </c>
    </row>
    <row r="2712" customFormat="false" ht="15" hidden="false" customHeight="false" outlineLevel="0" collapsed="false">
      <c r="A2712" s="0" t="n">
        <v>2709</v>
      </c>
      <c r="B2712" s="0" t="n">
        <f aca="true">NORMINV(RAND(),1,Coefficients!$B$22)</f>
        <v>1.05973158011976</v>
      </c>
      <c r="C2712" s="0" t="n">
        <f aca="true">MEDIAN(8,16,ROUND(NORMINV(RAND(),Coefficients!$B$20,Coefficients!$B$21),0))</f>
        <v>10</v>
      </c>
      <c r="D2712" s="0" t="n">
        <f aca="true">CRITBINOM($C2712,MIN(0.75,Matchup!$B$39*$B2712),RAND())</f>
        <v>2</v>
      </c>
      <c r="E2712" s="0" t="n">
        <f aca="true">CRITBINOM(D2712,Coefficients!$B$30,RAND())</f>
        <v>0</v>
      </c>
      <c r="F2712" s="0" t="n">
        <f aca="true">CRITBINOM(E2712,Coefficients!$B$31,RAND())</f>
        <v>0</v>
      </c>
      <c r="G2712" s="0" t="n">
        <f aca="true">CRITBINOM(MAX(0,D2712-E2712),1-Coefficients!$B$32,RAND())</f>
        <v>0</v>
      </c>
      <c r="H2712" s="0" t="n">
        <f aca="true">CRITBINOM(MAX(0,$C2712-D2712),MIN(0.6,Matchup!$B$40*SQRT($B2712)/(1-MIN(0.75,Matchup!$B$39*$B2712))),RAND())</f>
        <v>5</v>
      </c>
      <c r="I2712" s="0" t="n">
        <f aca="false">6*D2712+(D2712-E2712-G2712)+2*F2712+3*H2712</f>
        <v>29</v>
      </c>
      <c r="J2712" s="0" t="n">
        <f aca="true">CRITBINOM($C2712,MIN(0.75,Matchup!$C$39*$B2712),RAND())</f>
        <v>1</v>
      </c>
      <c r="K2712" s="0" t="n">
        <f aca="true">CRITBINOM(J2712,Coefficients!$B$30,RAND())</f>
        <v>0</v>
      </c>
      <c r="L2712" s="0" t="n">
        <f aca="true">CRITBINOM(K2712,Coefficients!$B$31,RAND())</f>
        <v>0</v>
      </c>
      <c r="M2712" s="0" t="n">
        <f aca="true">CRITBINOM(MAX(0,J2712-K2712),1-Coefficients!$B$32,RAND())</f>
        <v>0</v>
      </c>
      <c r="N2712" s="0" t="n">
        <f aca="true">CRITBINOM(MAX(0,$C2712-J2712),MIN(0.6,Matchup!$C$40*SQRT($B2712)/(1-MIN(0.75,Matchup!$C$39*$B2712))),RAND())</f>
        <v>3</v>
      </c>
      <c r="O2712" s="0" t="n">
        <f aca="false">6*J2712+(J2712-K2712-M2712)+2*L2712+3*N2712</f>
        <v>16</v>
      </c>
      <c r="P2712" s="0" t="n">
        <f aca="true">RAND()</f>
        <v>0.544787858000669</v>
      </c>
      <c r="Q2712" s="0" t="n">
        <f aca="true">RAND()</f>
        <v>0.536856476775247</v>
      </c>
      <c r="R2712" s="0" t="n">
        <f aca="false">IF($I2712&lt;&gt;$O2712,0,IF(P2712&lt;Matchup!$B$39,7,IF(P2712&lt;Matchup!$B$39+Matchup!$B$40,3,0)))</f>
        <v>0</v>
      </c>
      <c r="S2712" s="0" t="n">
        <f aca="false">IF($I2712&lt;&gt;$O2712,0,IF(Q2712&lt;Matchup!$C$39,7,IF(Q2712&lt;Matchup!$C$39+Matchup!$C$40,3,0)))</f>
        <v>0</v>
      </c>
      <c r="T2712" s="0" t="n">
        <f aca="false">I2712+R2712</f>
        <v>29</v>
      </c>
      <c r="U2712" s="0" t="n">
        <f aca="false">O2712+S2712</f>
        <v>16</v>
      </c>
      <c r="V2712" s="0" t="n">
        <f aca="false">T2712-U2712</f>
        <v>13</v>
      </c>
      <c r="W2712" s="0" t="n">
        <f aca="false">T2712+U2712</f>
        <v>45</v>
      </c>
    </row>
    <row r="2713" customFormat="false" ht="15" hidden="false" customHeight="false" outlineLevel="0" collapsed="false">
      <c r="A2713" s="0" t="n">
        <v>2710</v>
      </c>
      <c r="B2713" s="0" t="n">
        <f aca="true">NORMINV(RAND(),1,Coefficients!$B$22)</f>
        <v>0.979639436593933</v>
      </c>
      <c r="C2713" s="0" t="n">
        <f aca="true">MEDIAN(8,16,ROUND(NORMINV(RAND(),Coefficients!$B$20,Coefficients!$B$21),0))</f>
        <v>9</v>
      </c>
      <c r="D2713" s="0" t="n">
        <f aca="true">CRITBINOM($C2713,MIN(0.75,Matchup!$B$39*$B2713),RAND())</f>
        <v>2</v>
      </c>
      <c r="E2713" s="0" t="n">
        <f aca="true">CRITBINOM(D2713,Coefficients!$B$30,RAND())</f>
        <v>1</v>
      </c>
      <c r="F2713" s="0" t="n">
        <f aca="true">CRITBINOM(E2713,Coefficients!$B$31,RAND())</f>
        <v>0</v>
      </c>
      <c r="G2713" s="0" t="n">
        <f aca="true">CRITBINOM(MAX(0,D2713-E2713),1-Coefficients!$B$32,RAND())</f>
        <v>0</v>
      </c>
      <c r="H2713" s="0" t="n">
        <f aca="true">CRITBINOM(MAX(0,$C2713-D2713),MIN(0.6,Matchup!$B$40*SQRT($B2713)/(1-MIN(0.75,Matchup!$B$39*$B2713))),RAND())</f>
        <v>1</v>
      </c>
      <c r="I2713" s="0" t="n">
        <f aca="false">6*D2713+(D2713-E2713-G2713)+2*F2713+3*H2713</f>
        <v>16</v>
      </c>
      <c r="J2713" s="0" t="n">
        <f aca="true">CRITBINOM($C2713,MIN(0.75,Matchup!$C$39*$B2713),RAND())</f>
        <v>1</v>
      </c>
      <c r="K2713" s="0" t="n">
        <f aca="true">CRITBINOM(J2713,Coefficients!$B$30,RAND())</f>
        <v>0</v>
      </c>
      <c r="L2713" s="0" t="n">
        <f aca="true">CRITBINOM(K2713,Coefficients!$B$31,RAND())</f>
        <v>0</v>
      </c>
      <c r="M2713" s="0" t="n">
        <f aca="true">CRITBINOM(MAX(0,J2713-K2713),1-Coefficients!$B$32,RAND())</f>
        <v>0</v>
      </c>
      <c r="N2713" s="0" t="n">
        <f aca="true">CRITBINOM(MAX(0,$C2713-J2713),MIN(0.6,Matchup!$C$40*SQRT($B2713)/(1-MIN(0.75,Matchup!$C$39*$B2713))),RAND())</f>
        <v>1</v>
      </c>
      <c r="O2713" s="0" t="n">
        <f aca="false">6*J2713+(J2713-K2713-M2713)+2*L2713+3*N2713</f>
        <v>10</v>
      </c>
      <c r="P2713" s="0" t="n">
        <f aca="true">RAND()</f>
        <v>0.131939162773902</v>
      </c>
      <c r="Q2713" s="0" t="n">
        <f aca="true">RAND()</f>
        <v>0.796544500366546</v>
      </c>
      <c r="R2713" s="0" t="n">
        <f aca="false">IF($I2713&lt;&gt;$O2713,0,IF(P2713&lt;Matchup!$B$39,7,IF(P2713&lt;Matchup!$B$39+Matchup!$B$40,3,0)))</f>
        <v>0</v>
      </c>
      <c r="S2713" s="0" t="n">
        <f aca="false">IF($I2713&lt;&gt;$O2713,0,IF(Q2713&lt;Matchup!$C$39,7,IF(Q2713&lt;Matchup!$C$39+Matchup!$C$40,3,0)))</f>
        <v>0</v>
      </c>
      <c r="T2713" s="0" t="n">
        <f aca="false">I2713+R2713</f>
        <v>16</v>
      </c>
      <c r="U2713" s="0" t="n">
        <f aca="false">O2713+S2713</f>
        <v>10</v>
      </c>
      <c r="V2713" s="0" t="n">
        <f aca="false">T2713-U2713</f>
        <v>6</v>
      </c>
      <c r="W2713" s="0" t="n">
        <f aca="false">T2713+U2713</f>
        <v>26</v>
      </c>
    </row>
    <row r="2714" customFormat="false" ht="15" hidden="false" customHeight="false" outlineLevel="0" collapsed="false">
      <c r="A2714" s="0" t="n">
        <v>2711</v>
      </c>
      <c r="B2714" s="0" t="n">
        <f aca="true">NORMINV(RAND(),1,Coefficients!$B$22)</f>
        <v>0.914721047889778</v>
      </c>
      <c r="C2714" s="0" t="n">
        <f aca="true">MEDIAN(8,16,ROUND(NORMINV(RAND(),Coefficients!$B$20,Coefficients!$B$21),0))</f>
        <v>12</v>
      </c>
      <c r="D2714" s="0" t="n">
        <f aca="true">CRITBINOM($C2714,MIN(0.75,Matchup!$B$39*$B2714),RAND())</f>
        <v>5</v>
      </c>
      <c r="E2714" s="0" t="n">
        <f aca="true">CRITBINOM(D2714,Coefficients!$B$30,RAND())</f>
        <v>3</v>
      </c>
      <c r="F2714" s="0" t="n">
        <f aca="true">CRITBINOM(E2714,Coefficients!$B$31,RAND())</f>
        <v>1</v>
      </c>
      <c r="G2714" s="0" t="n">
        <f aca="true">CRITBINOM(MAX(0,D2714-E2714),1-Coefficients!$B$32,RAND())</f>
        <v>0</v>
      </c>
      <c r="H2714" s="0" t="n">
        <f aca="true">CRITBINOM(MAX(0,$C2714-D2714),MIN(0.6,Matchup!$B$40*SQRT($B2714)/(1-MIN(0.75,Matchup!$B$39*$B2714))),RAND())</f>
        <v>2</v>
      </c>
      <c r="I2714" s="0" t="n">
        <f aca="false">6*D2714+(D2714-E2714-G2714)+2*F2714+3*H2714</f>
        <v>40</v>
      </c>
      <c r="J2714" s="0" t="n">
        <f aca="true">CRITBINOM($C2714,MIN(0.75,Matchup!$C$39*$B2714),RAND())</f>
        <v>4</v>
      </c>
      <c r="K2714" s="0" t="n">
        <f aca="true">CRITBINOM(J2714,Coefficients!$B$30,RAND())</f>
        <v>2</v>
      </c>
      <c r="L2714" s="0" t="n">
        <f aca="true">CRITBINOM(K2714,Coefficients!$B$31,RAND())</f>
        <v>1</v>
      </c>
      <c r="M2714" s="0" t="n">
        <f aca="true">CRITBINOM(MAX(0,J2714-K2714),1-Coefficients!$B$32,RAND())</f>
        <v>0</v>
      </c>
      <c r="N2714" s="0" t="n">
        <f aca="true">CRITBINOM(MAX(0,$C2714-J2714),MIN(0.6,Matchup!$C$40*SQRT($B2714)/(1-MIN(0.75,Matchup!$C$39*$B2714))),RAND())</f>
        <v>5</v>
      </c>
      <c r="O2714" s="0" t="n">
        <f aca="false">6*J2714+(J2714-K2714-M2714)+2*L2714+3*N2714</f>
        <v>43</v>
      </c>
      <c r="P2714" s="0" t="n">
        <f aca="true">RAND()</f>
        <v>0.388006111423599</v>
      </c>
      <c r="Q2714" s="0" t="n">
        <f aca="true">RAND()</f>
        <v>0.000970773219468011</v>
      </c>
      <c r="R2714" s="0" t="n">
        <f aca="false">IF($I2714&lt;&gt;$O2714,0,IF(P2714&lt;Matchup!$B$39,7,IF(P2714&lt;Matchup!$B$39+Matchup!$B$40,3,0)))</f>
        <v>0</v>
      </c>
      <c r="S2714" s="0" t="n">
        <f aca="false">IF($I2714&lt;&gt;$O2714,0,IF(Q2714&lt;Matchup!$C$39,7,IF(Q2714&lt;Matchup!$C$39+Matchup!$C$40,3,0)))</f>
        <v>0</v>
      </c>
      <c r="T2714" s="0" t="n">
        <f aca="false">I2714+R2714</f>
        <v>40</v>
      </c>
      <c r="U2714" s="0" t="n">
        <f aca="false">O2714+S2714</f>
        <v>43</v>
      </c>
      <c r="V2714" s="0" t="n">
        <f aca="false">T2714-U2714</f>
        <v>-3</v>
      </c>
      <c r="W2714" s="0" t="n">
        <f aca="false">T2714+U2714</f>
        <v>83</v>
      </c>
    </row>
    <row r="2715" customFormat="false" ht="15" hidden="false" customHeight="false" outlineLevel="0" collapsed="false">
      <c r="A2715" s="0" t="n">
        <v>2712</v>
      </c>
      <c r="B2715" s="0" t="n">
        <f aca="true">NORMINV(RAND(),1,Coefficients!$B$22)</f>
        <v>0.938098157333224</v>
      </c>
      <c r="C2715" s="0" t="n">
        <f aca="true">MEDIAN(8,16,ROUND(NORMINV(RAND(),Coefficients!$B$20,Coefficients!$B$21),0))</f>
        <v>11</v>
      </c>
      <c r="D2715" s="0" t="n">
        <f aca="true">CRITBINOM($C2715,MIN(0.75,Matchup!$B$39*$B2715),RAND())</f>
        <v>3</v>
      </c>
      <c r="E2715" s="0" t="n">
        <f aca="true">CRITBINOM(D2715,Coefficients!$B$30,RAND())</f>
        <v>0</v>
      </c>
      <c r="F2715" s="0" t="n">
        <f aca="true">CRITBINOM(E2715,Coefficients!$B$31,RAND())</f>
        <v>0</v>
      </c>
      <c r="G2715" s="0" t="n">
        <f aca="true">CRITBINOM(MAX(0,D2715-E2715),1-Coefficients!$B$32,RAND())</f>
        <v>1</v>
      </c>
      <c r="H2715" s="0" t="n">
        <f aca="true">CRITBINOM(MAX(0,$C2715-D2715),MIN(0.6,Matchup!$B$40*SQRT($B2715)/(1-MIN(0.75,Matchup!$B$39*$B2715))),RAND())</f>
        <v>2</v>
      </c>
      <c r="I2715" s="0" t="n">
        <f aca="false">6*D2715+(D2715-E2715-G2715)+2*F2715+3*H2715</f>
        <v>26</v>
      </c>
      <c r="J2715" s="0" t="n">
        <f aca="true">CRITBINOM($C2715,MIN(0.75,Matchup!$C$39*$B2715),RAND())</f>
        <v>4</v>
      </c>
      <c r="K2715" s="0" t="n">
        <f aca="true">CRITBINOM(J2715,Coefficients!$B$30,RAND())</f>
        <v>0</v>
      </c>
      <c r="L2715" s="0" t="n">
        <f aca="true">CRITBINOM(K2715,Coefficients!$B$31,RAND())</f>
        <v>0</v>
      </c>
      <c r="M2715" s="0" t="n">
        <f aca="true">CRITBINOM(MAX(0,J2715-K2715),1-Coefficients!$B$32,RAND())</f>
        <v>0</v>
      </c>
      <c r="N2715" s="0" t="n">
        <f aca="true">CRITBINOM(MAX(0,$C2715-J2715),MIN(0.6,Matchup!$C$40*SQRT($B2715)/(1-MIN(0.75,Matchup!$C$39*$B2715))),RAND())</f>
        <v>3</v>
      </c>
      <c r="O2715" s="0" t="n">
        <f aca="false">6*J2715+(J2715-K2715-M2715)+2*L2715+3*N2715</f>
        <v>37</v>
      </c>
      <c r="P2715" s="0" t="n">
        <f aca="true">RAND()</f>
        <v>0.727627582289429</v>
      </c>
      <c r="Q2715" s="0" t="n">
        <f aca="true">RAND()</f>
        <v>0.423257853665799</v>
      </c>
      <c r="R2715" s="0" t="n">
        <f aca="false">IF($I2715&lt;&gt;$O2715,0,IF(P2715&lt;Matchup!$B$39,7,IF(P2715&lt;Matchup!$B$39+Matchup!$B$40,3,0)))</f>
        <v>0</v>
      </c>
      <c r="S2715" s="0" t="n">
        <f aca="false">IF($I2715&lt;&gt;$O2715,0,IF(Q2715&lt;Matchup!$C$39,7,IF(Q2715&lt;Matchup!$C$39+Matchup!$C$40,3,0)))</f>
        <v>0</v>
      </c>
      <c r="T2715" s="0" t="n">
        <f aca="false">I2715+R2715</f>
        <v>26</v>
      </c>
      <c r="U2715" s="0" t="n">
        <f aca="false">O2715+S2715</f>
        <v>37</v>
      </c>
      <c r="V2715" s="0" t="n">
        <f aca="false">T2715-U2715</f>
        <v>-11</v>
      </c>
      <c r="W2715" s="0" t="n">
        <f aca="false">T2715+U2715</f>
        <v>63</v>
      </c>
    </row>
    <row r="2716" customFormat="false" ht="15" hidden="false" customHeight="false" outlineLevel="0" collapsed="false">
      <c r="A2716" s="0" t="n">
        <v>2713</v>
      </c>
      <c r="B2716" s="0" t="n">
        <f aca="true">NORMINV(RAND(),1,Coefficients!$B$22)</f>
        <v>1.09912087223133</v>
      </c>
      <c r="C2716" s="0" t="n">
        <f aca="true">MEDIAN(8,16,ROUND(NORMINV(RAND(),Coefficients!$B$20,Coefficients!$B$21),0))</f>
        <v>13</v>
      </c>
      <c r="D2716" s="0" t="n">
        <f aca="true">CRITBINOM($C2716,MIN(0.75,Matchup!$B$39*$B2716),RAND())</f>
        <v>6</v>
      </c>
      <c r="E2716" s="0" t="n">
        <f aca="true">CRITBINOM(D2716,Coefficients!$B$30,RAND())</f>
        <v>1</v>
      </c>
      <c r="F2716" s="0" t="n">
        <f aca="true">CRITBINOM(E2716,Coefficients!$B$31,RAND())</f>
        <v>0</v>
      </c>
      <c r="G2716" s="0" t="n">
        <f aca="true">CRITBINOM(MAX(0,D2716-E2716),1-Coefficients!$B$32,RAND())</f>
        <v>0</v>
      </c>
      <c r="H2716" s="0" t="n">
        <f aca="true">CRITBINOM(MAX(0,$C2716-D2716),MIN(0.6,Matchup!$B$40*SQRT($B2716)/(1-MIN(0.75,Matchup!$B$39*$B2716))),RAND())</f>
        <v>1</v>
      </c>
      <c r="I2716" s="0" t="n">
        <f aca="false">6*D2716+(D2716-E2716-G2716)+2*F2716+3*H2716</f>
        <v>44</v>
      </c>
      <c r="J2716" s="0" t="n">
        <f aca="true">CRITBINOM($C2716,MIN(0.75,Matchup!$C$39*$B2716),RAND())</f>
        <v>3</v>
      </c>
      <c r="K2716" s="0" t="n">
        <f aca="true">CRITBINOM(J2716,Coefficients!$B$30,RAND())</f>
        <v>1</v>
      </c>
      <c r="L2716" s="0" t="n">
        <f aca="true">CRITBINOM(K2716,Coefficients!$B$31,RAND())</f>
        <v>0</v>
      </c>
      <c r="M2716" s="0" t="n">
        <f aca="true">CRITBINOM(MAX(0,J2716-K2716),1-Coefficients!$B$32,RAND())</f>
        <v>0</v>
      </c>
      <c r="N2716" s="0" t="n">
        <f aca="true">CRITBINOM(MAX(0,$C2716-J2716),MIN(0.6,Matchup!$C$40*SQRT($B2716)/(1-MIN(0.75,Matchup!$C$39*$B2716))),RAND())</f>
        <v>3</v>
      </c>
      <c r="O2716" s="0" t="n">
        <f aca="false">6*J2716+(J2716-K2716-M2716)+2*L2716+3*N2716</f>
        <v>29</v>
      </c>
      <c r="P2716" s="0" t="n">
        <f aca="true">RAND()</f>
        <v>0.599777841380114</v>
      </c>
      <c r="Q2716" s="0" t="n">
        <f aca="true">RAND()</f>
        <v>0.675140267732076</v>
      </c>
      <c r="R2716" s="0" t="n">
        <f aca="false">IF($I2716&lt;&gt;$O2716,0,IF(P2716&lt;Matchup!$B$39,7,IF(P2716&lt;Matchup!$B$39+Matchup!$B$40,3,0)))</f>
        <v>0</v>
      </c>
      <c r="S2716" s="0" t="n">
        <f aca="false">IF($I2716&lt;&gt;$O2716,0,IF(Q2716&lt;Matchup!$C$39,7,IF(Q2716&lt;Matchup!$C$39+Matchup!$C$40,3,0)))</f>
        <v>0</v>
      </c>
      <c r="T2716" s="0" t="n">
        <f aca="false">I2716+R2716</f>
        <v>44</v>
      </c>
      <c r="U2716" s="0" t="n">
        <f aca="false">O2716+S2716</f>
        <v>29</v>
      </c>
      <c r="V2716" s="0" t="n">
        <f aca="false">T2716-U2716</f>
        <v>15</v>
      </c>
      <c r="W2716" s="0" t="n">
        <f aca="false">T2716+U2716</f>
        <v>73</v>
      </c>
    </row>
    <row r="2717" customFormat="false" ht="15" hidden="false" customHeight="false" outlineLevel="0" collapsed="false">
      <c r="A2717" s="0" t="n">
        <v>2714</v>
      </c>
      <c r="B2717" s="0" t="n">
        <f aca="true">NORMINV(RAND(),1,Coefficients!$B$22)</f>
        <v>0.989452926101435</v>
      </c>
      <c r="C2717" s="0" t="n">
        <f aca="true">MEDIAN(8,16,ROUND(NORMINV(RAND(),Coefficients!$B$20,Coefficients!$B$21),0))</f>
        <v>10</v>
      </c>
      <c r="D2717" s="0" t="n">
        <f aca="true">CRITBINOM($C2717,MIN(0.75,Matchup!$B$39*$B2717),RAND())</f>
        <v>0</v>
      </c>
      <c r="E2717" s="0" t="n">
        <f aca="true">CRITBINOM(D2717,Coefficients!$B$30,RAND())</f>
        <v>0</v>
      </c>
      <c r="F2717" s="0" t="n">
        <f aca="true">CRITBINOM(E2717,Coefficients!$B$31,RAND())</f>
        <v>0</v>
      </c>
      <c r="G2717" s="0" t="n">
        <f aca="true">CRITBINOM(MAX(0,D2717-E2717),1-Coefficients!$B$32,RAND())</f>
        <v>0</v>
      </c>
      <c r="H2717" s="0" t="n">
        <f aca="true">CRITBINOM(MAX(0,$C2717-D2717),MIN(0.6,Matchup!$B$40*SQRT($B2717)/(1-MIN(0.75,Matchup!$B$39*$B2717))),RAND())</f>
        <v>2</v>
      </c>
      <c r="I2717" s="0" t="n">
        <f aca="false">6*D2717+(D2717-E2717-G2717)+2*F2717+3*H2717</f>
        <v>6</v>
      </c>
      <c r="J2717" s="0" t="n">
        <f aca="true">CRITBINOM($C2717,MIN(0.75,Matchup!$C$39*$B2717),RAND())</f>
        <v>0</v>
      </c>
      <c r="K2717" s="0" t="n">
        <f aca="true">CRITBINOM(J2717,Coefficients!$B$30,RAND())</f>
        <v>0</v>
      </c>
      <c r="L2717" s="0" t="n">
        <f aca="true">CRITBINOM(K2717,Coefficients!$B$31,RAND())</f>
        <v>0</v>
      </c>
      <c r="M2717" s="0" t="n">
        <f aca="true">CRITBINOM(MAX(0,J2717-K2717),1-Coefficients!$B$32,RAND())</f>
        <v>0</v>
      </c>
      <c r="N2717" s="0" t="n">
        <f aca="true">CRITBINOM(MAX(0,$C2717-J2717),MIN(0.6,Matchup!$C$40*SQRT($B2717)/(1-MIN(0.75,Matchup!$C$39*$B2717))),RAND())</f>
        <v>3</v>
      </c>
      <c r="O2717" s="0" t="n">
        <f aca="false">6*J2717+(J2717-K2717-M2717)+2*L2717+3*N2717</f>
        <v>9</v>
      </c>
      <c r="P2717" s="0" t="n">
        <f aca="true">RAND()</f>
        <v>0.400686457169894</v>
      </c>
      <c r="Q2717" s="0" t="n">
        <f aca="true">RAND()</f>
        <v>0.451959050990681</v>
      </c>
      <c r="R2717" s="0" t="n">
        <f aca="false">IF($I2717&lt;&gt;$O2717,0,IF(P2717&lt;Matchup!$B$39,7,IF(P2717&lt;Matchup!$B$39+Matchup!$B$40,3,0)))</f>
        <v>0</v>
      </c>
      <c r="S2717" s="0" t="n">
        <f aca="false">IF($I2717&lt;&gt;$O2717,0,IF(Q2717&lt;Matchup!$C$39,7,IF(Q2717&lt;Matchup!$C$39+Matchup!$C$40,3,0)))</f>
        <v>0</v>
      </c>
      <c r="T2717" s="0" t="n">
        <f aca="false">I2717+R2717</f>
        <v>6</v>
      </c>
      <c r="U2717" s="0" t="n">
        <f aca="false">O2717+S2717</f>
        <v>9</v>
      </c>
      <c r="V2717" s="0" t="n">
        <f aca="false">T2717-U2717</f>
        <v>-3</v>
      </c>
      <c r="W2717" s="0" t="n">
        <f aca="false">T2717+U2717</f>
        <v>15</v>
      </c>
    </row>
    <row r="2718" customFormat="false" ht="15" hidden="false" customHeight="false" outlineLevel="0" collapsed="false">
      <c r="A2718" s="0" t="n">
        <v>2715</v>
      </c>
      <c r="B2718" s="0" t="n">
        <f aca="true">NORMINV(RAND(),1,Coefficients!$B$22)</f>
        <v>0.980463598303481</v>
      </c>
      <c r="C2718" s="0" t="n">
        <f aca="true">MEDIAN(8,16,ROUND(NORMINV(RAND(),Coefficients!$B$20,Coefficients!$B$21),0))</f>
        <v>11</v>
      </c>
      <c r="D2718" s="0" t="n">
        <f aca="true">CRITBINOM($C2718,MIN(0.75,Matchup!$B$39*$B2718),RAND())</f>
        <v>3</v>
      </c>
      <c r="E2718" s="0" t="n">
        <f aca="true">CRITBINOM(D2718,Coefficients!$B$30,RAND())</f>
        <v>0</v>
      </c>
      <c r="F2718" s="0" t="n">
        <f aca="true">CRITBINOM(E2718,Coefficients!$B$31,RAND())</f>
        <v>0</v>
      </c>
      <c r="G2718" s="0" t="n">
        <f aca="true">CRITBINOM(MAX(0,D2718-E2718),1-Coefficients!$B$32,RAND())</f>
        <v>0</v>
      </c>
      <c r="H2718" s="0" t="n">
        <f aca="true">CRITBINOM(MAX(0,$C2718-D2718),MIN(0.6,Matchup!$B$40*SQRT($B2718)/(1-MIN(0.75,Matchup!$B$39*$B2718))),RAND())</f>
        <v>1</v>
      </c>
      <c r="I2718" s="0" t="n">
        <f aca="false">6*D2718+(D2718-E2718-G2718)+2*F2718+3*H2718</f>
        <v>24</v>
      </c>
      <c r="J2718" s="0" t="n">
        <f aca="true">CRITBINOM($C2718,MIN(0.75,Matchup!$C$39*$B2718),RAND())</f>
        <v>3</v>
      </c>
      <c r="K2718" s="0" t="n">
        <f aca="true">CRITBINOM(J2718,Coefficients!$B$30,RAND())</f>
        <v>0</v>
      </c>
      <c r="L2718" s="0" t="n">
        <f aca="true">CRITBINOM(K2718,Coefficients!$B$31,RAND())</f>
        <v>0</v>
      </c>
      <c r="M2718" s="0" t="n">
        <f aca="true">CRITBINOM(MAX(0,J2718-K2718),1-Coefficients!$B$32,RAND())</f>
        <v>0</v>
      </c>
      <c r="N2718" s="0" t="n">
        <f aca="true">CRITBINOM(MAX(0,$C2718-J2718),MIN(0.6,Matchup!$C$40*SQRT($B2718)/(1-MIN(0.75,Matchup!$C$39*$B2718))),RAND())</f>
        <v>2</v>
      </c>
      <c r="O2718" s="0" t="n">
        <f aca="false">6*J2718+(J2718-K2718-M2718)+2*L2718+3*N2718</f>
        <v>27</v>
      </c>
      <c r="P2718" s="0" t="n">
        <f aca="true">RAND()</f>
        <v>0.544993534325211</v>
      </c>
      <c r="Q2718" s="0" t="n">
        <f aca="true">RAND()</f>
        <v>0.768180617412851</v>
      </c>
      <c r="R2718" s="0" t="n">
        <f aca="false">IF($I2718&lt;&gt;$O2718,0,IF(P2718&lt;Matchup!$B$39,7,IF(P2718&lt;Matchup!$B$39+Matchup!$B$40,3,0)))</f>
        <v>0</v>
      </c>
      <c r="S2718" s="0" t="n">
        <f aca="false">IF($I2718&lt;&gt;$O2718,0,IF(Q2718&lt;Matchup!$C$39,7,IF(Q2718&lt;Matchup!$C$39+Matchup!$C$40,3,0)))</f>
        <v>0</v>
      </c>
      <c r="T2718" s="0" t="n">
        <f aca="false">I2718+R2718</f>
        <v>24</v>
      </c>
      <c r="U2718" s="0" t="n">
        <f aca="false">O2718+S2718</f>
        <v>27</v>
      </c>
      <c r="V2718" s="0" t="n">
        <f aca="false">T2718-U2718</f>
        <v>-3</v>
      </c>
      <c r="W2718" s="0" t="n">
        <f aca="false">T2718+U2718</f>
        <v>51</v>
      </c>
    </row>
    <row r="2719" customFormat="false" ht="15" hidden="false" customHeight="false" outlineLevel="0" collapsed="false">
      <c r="A2719" s="0" t="n">
        <v>2716</v>
      </c>
      <c r="B2719" s="0" t="n">
        <f aca="true">NORMINV(RAND(),1,Coefficients!$B$22)</f>
        <v>1.25996762855901</v>
      </c>
      <c r="C2719" s="0" t="n">
        <f aca="true">MEDIAN(8,16,ROUND(NORMINV(RAND(),Coefficients!$B$20,Coefficients!$B$21),0))</f>
        <v>11</v>
      </c>
      <c r="D2719" s="0" t="n">
        <f aca="true">CRITBINOM($C2719,MIN(0.75,Matchup!$B$39*$B2719),RAND())</f>
        <v>6</v>
      </c>
      <c r="E2719" s="0" t="n">
        <f aca="true">CRITBINOM(D2719,Coefficients!$B$30,RAND())</f>
        <v>0</v>
      </c>
      <c r="F2719" s="0" t="n">
        <f aca="true">CRITBINOM(E2719,Coefficients!$B$31,RAND())</f>
        <v>0</v>
      </c>
      <c r="G2719" s="0" t="n">
        <f aca="true">CRITBINOM(MAX(0,D2719-E2719),1-Coefficients!$B$32,RAND())</f>
        <v>2</v>
      </c>
      <c r="H2719" s="0" t="n">
        <f aca="true">CRITBINOM(MAX(0,$C2719-D2719),MIN(0.6,Matchup!$B$40*SQRT($B2719)/(1-MIN(0.75,Matchup!$B$39*$B2719))),RAND())</f>
        <v>2</v>
      </c>
      <c r="I2719" s="0" t="n">
        <f aca="false">6*D2719+(D2719-E2719-G2719)+2*F2719+3*H2719</f>
        <v>46</v>
      </c>
      <c r="J2719" s="0" t="n">
        <f aca="true">CRITBINOM($C2719,MIN(0.75,Matchup!$C$39*$B2719),RAND())</f>
        <v>5</v>
      </c>
      <c r="K2719" s="0" t="n">
        <f aca="true">CRITBINOM(J2719,Coefficients!$B$30,RAND())</f>
        <v>1</v>
      </c>
      <c r="L2719" s="0" t="n">
        <f aca="true">CRITBINOM(K2719,Coefficients!$B$31,RAND())</f>
        <v>1</v>
      </c>
      <c r="M2719" s="0" t="n">
        <f aca="true">CRITBINOM(MAX(0,J2719-K2719),1-Coefficients!$B$32,RAND())</f>
        <v>0</v>
      </c>
      <c r="N2719" s="0" t="n">
        <f aca="true">CRITBINOM(MAX(0,$C2719-J2719),MIN(0.6,Matchup!$C$40*SQRT($B2719)/(1-MIN(0.75,Matchup!$C$39*$B2719))),RAND())</f>
        <v>1</v>
      </c>
      <c r="O2719" s="0" t="n">
        <f aca="false">6*J2719+(J2719-K2719-M2719)+2*L2719+3*N2719</f>
        <v>39</v>
      </c>
      <c r="P2719" s="0" t="n">
        <f aca="true">RAND()</f>
        <v>0.693805179722508</v>
      </c>
      <c r="Q2719" s="0" t="n">
        <f aca="true">RAND()</f>
        <v>0.879724045287614</v>
      </c>
      <c r="R2719" s="0" t="n">
        <f aca="false">IF($I2719&lt;&gt;$O2719,0,IF(P2719&lt;Matchup!$B$39,7,IF(P2719&lt;Matchup!$B$39+Matchup!$B$40,3,0)))</f>
        <v>0</v>
      </c>
      <c r="S2719" s="0" t="n">
        <f aca="false">IF($I2719&lt;&gt;$O2719,0,IF(Q2719&lt;Matchup!$C$39,7,IF(Q2719&lt;Matchup!$C$39+Matchup!$C$40,3,0)))</f>
        <v>0</v>
      </c>
      <c r="T2719" s="0" t="n">
        <f aca="false">I2719+R2719</f>
        <v>46</v>
      </c>
      <c r="U2719" s="0" t="n">
        <f aca="false">O2719+S2719</f>
        <v>39</v>
      </c>
      <c r="V2719" s="0" t="n">
        <f aca="false">T2719-U2719</f>
        <v>7</v>
      </c>
      <c r="W2719" s="0" t="n">
        <f aca="false">T2719+U2719</f>
        <v>85</v>
      </c>
    </row>
    <row r="2720" customFormat="false" ht="15" hidden="false" customHeight="false" outlineLevel="0" collapsed="false">
      <c r="A2720" s="0" t="n">
        <v>2717</v>
      </c>
      <c r="B2720" s="0" t="n">
        <f aca="true">NORMINV(RAND(),1,Coefficients!$B$22)</f>
        <v>0.982164885732628</v>
      </c>
      <c r="C2720" s="0" t="n">
        <f aca="true">MEDIAN(8,16,ROUND(NORMINV(RAND(),Coefficients!$B$20,Coefficients!$B$21),0))</f>
        <v>12</v>
      </c>
      <c r="D2720" s="0" t="n">
        <f aca="true">CRITBINOM($C2720,MIN(0.75,Matchup!$B$39*$B2720),RAND())</f>
        <v>3</v>
      </c>
      <c r="E2720" s="0" t="n">
        <f aca="true">CRITBINOM(D2720,Coefficients!$B$30,RAND())</f>
        <v>0</v>
      </c>
      <c r="F2720" s="0" t="n">
        <f aca="true">CRITBINOM(E2720,Coefficients!$B$31,RAND())</f>
        <v>0</v>
      </c>
      <c r="G2720" s="0" t="n">
        <f aca="true">CRITBINOM(MAX(0,D2720-E2720),1-Coefficients!$B$32,RAND())</f>
        <v>0</v>
      </c>
      <c r="H2720" s="0" t="n">
        <f aca="true">CRITBINOM(MAX(0,$C2720-D2720),MIN(0.6,Matchup!$B$40*SQRT($B2720)/(1-MIN(0.75,Matchup!$B$39*$B2720))),RAND())</f>
        <v>1</v>
      </c>
      <c r="I2720" s="0" t="n">
        <f aca="false">6*D2720+(D2720-E2720-G2720)+2*F2720+3*H2720</f>
        <v>24</v>
      </c>
      <c r="J2720" s="0" t="n">
        <f aca="true">CRITBINOM($C2720,MIN(0.75,Matchup!$C$39*$B2720),RAND())</f>
        <v>4</v>
      </c>
      <c r="K2720" s="0" t="n">
        <f aca="true">CRITBINOM(J2720,Coefficients!$B$30,RAND())</f>
        <v>0</v>
      </c>
      <c r="L2720" s="0" t="n">
        <f aca="true">CRITBINOM(K2720,Coefficients!$B$31,RAND())</f>
        <v>0</v>
      </c>
      <c r="M2720" s="0" t="n">
        <f aca="true">CRITBINOM(MAX(0,J2720-K2720),1-Coefficients!$B$32,RAND())</f>
        <v>0</v>
      </c>
      <c r="N2720" s="0" t="n">
        <f aca="true">CRITBINOM(MAX(0,$C2720-J2720),MIN(0.6,Matchup!$C$40*SQRT($B2720)/(1-MIN(0.75,Matchup!$C$39*$B2720))),RAND())</f>
        <v>1</v>
      </c>
      <c r="O2720" s="0" t="n">
        <f aca="false">6*J2720+(J2720-K2720-M2720)+2*L2720+3*N2720</f>
        <v>31</v>
      </c>
      <c r="P2720" s="0" t="n">
        <f aca="true">RAND()</f>
        <v>0.870517637153535</v>
      </c>
      <c r="Q2720" s="0" t="n">
        <f aca="true">RAND()</f>
        <v>0.788637080404258</v>
      </c>
      <c r="R2720" s="0" t="n">
        <f aca="false">IF($I2720&lt;&gt;$O2720,0,IF(P2720&lt;Matchup!$B$39,7,IF(P2720&lt;Matchup!$B$39+Matchup!$B$40,3,0)))</f>
        <v>0</v>
      </c>
      <c r="S2720" s="0" t="n">
        <f aca="false">IF($I2720&lt;&gt;$O2720,0,IF(Q2720&lt;Matchup!$C$39,7,IF(Q2720&lt;Matchup!$C$39+Matchup!$C$40,3,0)))</f>
        <v>0</v>
      </c>
      <c r="T2720" s="0" t="n">
        <f aca="false">I2720+R2720</f>
        <v>24</v>
      </c>
      <c r="U2720" s="0" t="n">
        <f aca="false">O2720+S2720</f>
        <v>31</v>
      </c>
      <c r="V2720" s="0" t="n">
        <f aca="false">T2720-U2720</f>
        <v>-7</v>
      </c>
      <c r="W2720" s="0" t="n">
        <f aca="false">T2720+U2720</f>
        <v>55</v>
      </c>
    </row>
    <row r="2721" customFormat="false" ht="15" hidden="false" customHeight="false" outlineLevel="0" collapsed="false">
      <c r="A2721" s="0" t="n">
        <v>2718</v>
      </c>
      <c r="B2721" s="0" t="n">
        <f aca="true">NORMINV(RAND(),1,Coefficients!$B$22)</f>
        <v>1.06715604911267</v>
      </c>
      <c r="C2721" s="0" t="n">
        <f aca="true">MEDIAN(8,16,ROUND(NORMINV(RAND(),Coefficients!$B$20,Coefficients!$B$21),0))</f>
        <v>12</v>
      </c>
      <c r="D2721" s="0" t="n">
        <f aca="true">CRITBINOM($C2721,MIN(0.75,Matchup!$B$39*$B2721),RAND())</f>
        <v>2</v>
      </c>
      <c r="E2721" s="0" t="n">
        <f aca="true">CRITBINOM(D2721,Coefficients!$B$30,RAND())</f>
        <v>0</v>
      </c>
      <c r="F2721" s="0" t="n">
        <f aca="true">CRITBINOM(E2721,Coefficients!$B$31,RAND())</f>
        <v>0</v>
      </c>
      <c r="G2721" s="0" t="n">
        <f aca="true">CRITBINOM(MAX(0,D2721-E2721),1-Coefficients!$B$32,RAND())</f>
        <v>0</v>
      </c>
      <c r="H2721" s="0" t="n">
        <f aca="true">CRITBINOM(MAX(0,$C2721-D2721),MIN(0.6,Matchup!$B$40*SQRT($B2721)/(1-MIN(0.75,Matchup!$B$39*$B2721))),RAND())</f>
        <v>4</v>
      </c>
      <c r="I2721" s="0" t="n">
        <f aca="false">6*D2721+(D2721-E2721-G2721)+2*F2721+3*H2721</f>
        <v>26</v>
      </c>
      <c r="J2721" s="0" t="n">
        <f aca="true">CRITBINOM($C2721,MIN(0.75,Matchup!$C$39*$B2721),RAND())</f>
        <v>4</v>
      </c>
      <c r="K2721" s="0" t="n">
        <f aca="true">CRITBINOM(J2721,Coefficients!$B$30,RAND())</f>
        <v>0</v>
      </c>
      <c r="L2721" s="0" t="n">
        <f aca="true">CRITBINOM(K2721,Coefficients!$B$31,RAND())</f>
        <v>0</v>
      </c>
      <c r="M2721" s="0" t="n">
        <f aca="true">CRITBINOM(MAX(0,J2721-K2721),1-Coefficients!$B$32,RAND())</f>
        <v>0</v>
      </c>
      <c r="N2721" s="0" t="n">
        <f aca="true">CRITBINOM(MAX(0,$C2721-J2721),MIN(0.6,Matchup!$C$40*SQRT($B2721)/(1-MIN(0.75,Matchup!$C$39*$B2721))),RAND())</f>
        <v>1</v>
      </c>
      <c r="O2721" s="0" t="n">
        <f aca="false">6*J2721+(J2721-K2721-M2721)+2*L2721+3*N2721</f>
        <v>31</v>
      </c>
      <c r="P2721" s="0" t="n">
        <f aca="true">RAND()</f>
        <v>0.958312092056056</v>
      </c>
      <c r="Q2721" s="0" t="n">
        <f aca="true">RAND()</f>
        <v>0.449737626089394</v>
      </c>
      <c r="R2721" s="0" t="n">
        <f aca="false">IF($I2721&lt;&gt;$O2721,0,IF(P2721&lt;Matchup!$B$39,7,IF(P2721&lt;Matchup!$B$39+Matchup!$B$40,3,0)))</f>
        <v>0</v>
      </c>
      <c r="S2721" s="0" t="n">
        <f aca="false">IF($I2721&lt;&gt;$O2721,0,IF(Q2721&lt;Matchup!$C$39,7,IF(Q2721&lt;Matchup!$C$39+Matchup!$C$40,3,0)))</f>
        <v>0</v>
      </c>
      <c r="T2721" s="0" t="n">
        <f aca="false">I2721+R2721</f>
        <v>26</v>
      </c>
      <c r="U2721" s="0" t="n">
        <f aca="false">O2721+S2721</f>
        <v>31</v>
      </c>
      <c r="V2721" s="0" t="n">
        <f aca="false">T2721-U2721</f>
        <v>-5</v>
      </c>
      <c r="W2721" s="0" t="n">
        <f aca="false">T2721+U2721</f>
        <v>57</v>
      </c>
    </row>
    <row r="2722" customFormat="false" ht="15" hidden="false" customHeight="false" outlineLevel="0" collapsed="false">
      <c r="A2722" s="0" t="n">
        <v>2719</v>
      </c>
      <c r="B2722" s="0" t="n">
        <f aca="true">NORMINV(RAND(),1,Coefficients!$B$22)</f>
        <v>1.05388683122067</v>
      </c>
      <c r="C2722" s="0" t="n">
        <f aca="true">MEDIAN(8,16,ROUND(NORMINV(RAND(),Coefficients!$B$20,Coefficients!$B$21),0))</f>
        <v>10</v>
      </c>
      <c r="D2722" s="0" t="n">
        <f aca="true">CRITBINOM($C2722,MIN(0.75,Matchup!$B$39*$B2722),RAND())</f>
        <v>1</v>
      </c>
      <c r="E2722" s="0" t="n">
        <f aca="true">CRITBINOM(D2722,Coefficients!$B$30,RAND())</f>
        <v>0</v>
      </c>
      <c r="F2722" s="0" t="n">
        <f aca="true">CRITBINOM(E2722,Coefficients!$B$31,RAND())</f>
        <v>0</v>
      </c>
      <c r="G2722" s="0" t="n">
        <f aca="true">CRITBINOM(MAX(0,D2722-E2722),1-Coefficients!$B$32,RAND())</f>
        <v>0</v>
      </c>
      <c r="H2722" s="0" t="n">
        <f aca="true">CRITBINOM(MAX(0,$C2722-D2722),MIN(0.6,Matchup!$B$40*SQRT($B2722)/(1-MIN(0.75,Matchup!$B$39*$B2722))),RAND())</f>
        <v>2</v>
      </c>
      <c r="I2722" s="0" t="n">
        <f aca="false">6*D2722+(D2722-E2722-G2722)+2*F2722+3*H2722</f>
        <v>13</v>
      </c>
      <c r="J2722" s="0" t="n">
        <f aca="true">CRITBINOM($C2722,MIN(0.75,Matchup!$C$39*$B2722),RAND())</f>
        <v>3</v>
      </c>
      <c r="K2722" s="0" t="n">
        <f aca="true">CRITBINOM(J2722,Coefficients!$B$30,RAND())</f>
        <v>1</v>
      </c>
      <c r="L2722" s="0" t="n">
        <f aca="true">CRITBINOM(K2722,Coefficients!$B$31,RAND())</f>
        <v>1</v>
      </c>
      <c r="M2722" s="0" t="n">
        <f aca="true">CRITBINOM(MAX(0,J2722-K2722),1-Coefficients!$B$32,RAND())</f>
        <v>0</v>
      </c>
      <c r="N2722" s="0" t="n">
        <f aca="true">CRITBINOM(MAX(0,$C2722-J2722),MIN(0.6,Matchup!$C$40*SQRT($B2722)/(1-MIN(0.75,Matchup!$C$39*$B2722))),RAND())</f>
        <v>3</v>
      </c>
      <c r="O2722" s="0" t="n">
        <f aca="false">6*J2722+(J2722-K2722-M2722)+2*L2722+3*N2722</f>
        <v>31</v>
      </c>
      <c r="P2722" s="0" t="n">
        <f aca="true">RAND()</f>
        <v>0.0294105609365123</v>
      </c>
      <c r="Q2722" s="0" t="n">
        <f aca="true">RAND()</f>
        <v>0.989165431378927</v>
      </c>
      <c r="R2722" s="0" t="n">
        <f aca="false">IF($I2722&lt;&gt;$O2722,0,IF(P2722&lt;Matchup!$B$39,7,IF(P2722&lt;Matchup!$B$39+Matchup!$B$40,3,0)))</f>
        <v>0</v>
      </c>
      <c r="S2722" s="0" t="n">
        <f aca="false">IF($I2722&lt;&gt;$O2722,0,IF(Q2722&lt;Matchup!$C$39,7,IF(Q2722&lt;Matchup!$C$39+Matchup!$C$40,3,0)))</f>
        <v>0</v>
      </c>
      <c r="T2722" s="0" t="n">
        <f aca="false">I2722+R2722</f>
        <v>13</v>
      </c>
      <c r="U2722" s="0" t="n">
        <f aca="false">O2722+S2722</f>
        <v>31</v>
      </c>
      <c r="V2722" s="0" t="n">
        <f aca="false">T2722-U2722</f>
        <v>-18</v>
      </c>
      <c r="W2722" s="0" t="n">
        <f aca="false">T2722+U2722</f>
        <v>44</v>
      </c>
    </row>
    <row r="2723" customFormat="false" ht="15" hidden="false" customHeight="false" outlineLevel="0" collapsed="false">
      <c r="A2723" s="0" t="n">
        <v>2720</v>
      </c>
      <c r="B2723" s="0" t="n">
        <f aca="true">NORMINV(RAND(),1,Coefficients!$B$22)</f>
        <v>1.03552473330056</v>
      </c>
      <c r="C2723" s="0" t="n">
        <f aca="true">MEDIAN(8,16,ROUND(NORMINV(RAND(),Coefficients!$B$20,Coefficients!$B$21),0))</f>
        <v>11</v>
      </c>
      <c r="D2723" s="0" t="n">
        <f aca="true">CRITBINOM($C2723,MIN(0.75,Matchup!$B$39*$B2723),RAND())</f>
        <v>2</v>
      </c>
      <c r="E2723" s="0" t="n">
        <f aca="true">CRITBINOM(D2723,Coefficients!$B$30,RAND())</f>
        <v>0</v>
      </c>
      <c r="F2723" s="0" t="n">
        <f aca="true">CRITBINOM(E2723,Coefficients!$B$31,RAND())</f>
        <v>0</v>
      </c>
      <c r="G2723" s="0" t="n">
        <f aca="true">CRITBINOM(MAX(0,D2723-E2723),1-Coefficients!$B$32,RAND())</f>
        <v>0</v>
      </c>
      <c r="H2723" s="0" t="n">
        <f aca="true">CRITBINOM(MAX(0,$C2723-D2723),MIN(0.6,Matchup!$B$40*SQRT($B2723)/(1-MIN(0.75,Matchup!$B$39*$B2723))),RAND())</f>
        <v>2</v>
      </c>
      <c r="I2723" s="0" t="n">
        <f aca="false">6*D2723+(D2723-E2723-G2723)+2*F2723+3*H2723</f>
        <v>20</v>
      </c>
      <c r="J2723" s="0" t="n">
        <f aca="true">CRITBINOM($C2723,MIN(0.75,Matchup!$C$39*$B2723),RAND())</f>
        <v>5</v>
      </c>
      <c r="K2723" s="0" t="n">
        <f aca="true">CRITBINOM(J2723,Coefficients!$B$30,RAND())</f>
        <v>0</v>
      </c>
      <c r="L2723" s="0" t="n">
        <f aca="true">CRITBINOM(K2723,Coefficients!$B$31,RAND())</f>
        <v>0</v>
      </c>
      <c r="M2723" s="0" t="n">
        <f aca="true">CRITBINOM(MAX(0,J2723-K2723),1-Coefficients!$B$32,RAND())</f>
        <v>0</v>
      </c>
      <c r="N2723" s="0" t="n">
        <f aca="true">CRITBINOM(MAX(0,$C2723-J2723),MIN(0.6,Matchup!$C$40*SQRT($B2723)/(1-MIN(0.75,Matchup!$C$39*$B2723))),RAND())</f>
        <v>1</v>
      </c>
      <c r="O2723" s="0" t="n">
        <f aca="false">6*J2723+(J2723-K2723-M2723)+2*L2723+3*N2723</f>
        <v>38</v>
      </c>
      <c r="P2723" s="0" t="n">
        <f aca="true">RAND()</f>
        <v>0.488490906727159</v>
      </c>
      <c r="Q2723" s="0" t="n">
        <f aca="true">RAND()</f>
        <v>0.838977067814769</v>
      </c>
      <c r="R2723" s="0" t="n">
        <f aca="false">IF($I2723&lt;&gt;$O2723,0,IF(P2723&lt;Matchup!$B$39,7,IF(P2723&lt;Matchup!$B$39+Matchup!$B$40,3,0)))</f>
        <v>0</v>
      </c>
      <c r="S2723" s="0" t="n">
        <f aca="false">IF($I2723&lt;&gt;$O2723,0,IF(Q2723&lt;Matchup!$C$39,7,IF(Q2723&lt;Matchup!$C$39+Matchup!$C$40,3,0)))</f>
        <v>0</v>
      </c>
      <c r="T2723" s="0" t="n">
        <f aca="false">I2723+R2723</f>
        <v>20</v>
      </c>
      <c r="U2723" s="0" t="n">
        <f aca="false">O2723+S2723</f>
        <v>38</v>
      </c>
      <c r="V2723" s="0" t="n">
        <f aca="false">T2723-U2723</f>
        <v>-18</v>
      </c>
      <c r="W2723" s="0" t="n">
        <f aca="false">T2723+U2723</f>
        <v>58</v>
      </c>
    </row>
    <row r="2724" customFormat="false" ht="15" hidden="false" customHeight="false" outlineLevel="0" collapsed="false">
      <c r="A2724" s="0" t="n">
        <v>2721</v>
      </c>
      <c r="B2724" s="0" t="n">
        <f aca="true">NORMINV(RAND(),1,Coefficients!$B$22)</f>
        <v>1.0283926752233</v>
      </c>
      <c r="C2724" s="0" t="n">
        <f aca="true">MEDIAN(8,16,ROUND(NORMINV(RAND(),Coefficients!$B$20,Coefficients!$B$21),0))</f>
        <v>11</v>
      </c>
      <c r="D2724" s="0" t="n">
        <f aca="true">CRITBINOM($C2724,MIN(0.75,Matchup!$B$39*$B2724),RAND())</f>
        <v>3</v>
      </c>
      <c r="E2724" s="0" t="n">
        <f aca="true">CRITBINOM(D2724,Coefficients!$B$30,RAND())</f>
        <v>0</v>
      </c>
      <c r="F2724" s="0" t="n">
        <f aca="true">CRITBINOM(E2724,Coefficients!$B$31,RAND())</f>
        <v>0</v>
      </c>
      <c r="G2724" s="0" t="n">
        <f aca="true">CRITBINOM(MAX(0,D2724-E2724),1-Coefficients!$B$32,RAND())</f>
        <v>0</v>
      </c>
      <c r="H2724" s="0" t="n">
        <f aca="true">CRITBINOM(MAX(0,$C2724-D2724),MIN(0.6,Matchup!$B$40*SQRT($B2724)/(1-MIN(0.75,Matchup!$B$39*$B2724))),RAND())</f>
        <v>1</v>
      </c>
      <c r="I2724" s="0" t="n">
        <f aca="false">6*D2724+(D2724-E2724-G2724)+2*F2724+3*H2724</f>
        <v>24</v>
      </c>
      <c r="J2724" s="0" t="n">
        <f aca="true">CRITBINOM($C2724,MIN(0.75,Matchup!$C$39*$B2724),RAND())</f>
        <v>5</v>
      </c>
      <c r="K2724" s="0" t="n">
        <f aca="true">CRITBINOM(J2724,Coefficients!$B$30,RAND())</f>
        <v>0</v>
      </c>
      <c r="L2724" s="0" t="n">
        <f aca="true">CRITBINOM(K2724,Coefficients!$B$31,RAND())</f>
        <v>0</v>
      </c>
      <c r="M2724" s="0" t="n">
        <f aca="true">CRITBINOM(MAX(0,J2724-K2724),1-Coefficients!$B$32,RAND())</f>
        <v>1</v>
      </c>
      <c r="N2724" s="0" t="n">
        <f aca="true">CRITBINOM(MAX(0,$C2724-J2724),MIN(0.6,Matchup!$C$40*SQRT($B2724)/(1-MIN(0.75,Matchup!$C$39*$B2724))),RAND())</f>
        <v>1</v>
      </c>
      <c r="O2724" s="0" t="n">
        <f aca="false">6*J2724+(J2724-K2724-M2724)+2*L2724+3*N2724</f>
        <v>37</v>
      </c>
      <c r="P2724" s="0" t="n">
        <f aca="true">RAND()</f>
        <v>0.63746196084714</v>
      </c>
      <c r="Q2724" s="0" t="n">
        <f aca="true">RAND()</f>
        <v>0.261865349324724</v>
      </c>
      <c r="R2724" s="0" t="n">
        <f aca="false">IF($I2724&lt;&gt;$O2724,0,IF(P2724&lt;Matchup!$B$39,7,IF(P2724&lt;Matchup!$B$39+Matchup!$B$40,3,0)))</f>
        <v>0</v>
      </c>
      <c r="S2724" s="0" t="n">
        <f aca="false">IF($I2724&lt;&gt;$O2724,0,IF(Q2724&lt;Matchup!$C$39,7,IF(Q2724&lt;Matchup!$C$39+Matchup!$C$40,3,0)))</f>
        <v>0</v>
      </c>
      <c r="T2724" s="0" t="n">
        <f aca="false">I2724+R2724</f>
        <v>24</v>
      </c>
      <c r="U2724" s="0" t="n">
        <f aca="false">O2724+S2724</f>
        <v>37</v>
      </c>
      <c r="V2724" s="0" t="n">
        <f aca="false">T2724-U2724</f>
        <v>-13</v>
      </c>
      <c r="W2724" s="0" t="n">
        <f aca="false">T2724+U2724</f>
        <v>61</v>
      </c>
    </row>
    <row r="2725" customFormat="false" ht="15" hidden="false" customHeight="false" outlineLevel="0" collapsed="false">
      <c r="A2725" s="0" t="n">
        <v>2722</v>
      </c>
      <c r="B2725" s="0" t="n">
        <f aca="true">NORMINV(RAND(),1,Coefficients!$B$22)</f>
        <v>1.10691011133618</v>
      </c>
      <c r="C2725" s="0" t="n">
        <f aca="true">MEDIAN(8,16,ROUND(NORMINV(RAND(),Coefficients!$B$20,Coefficients!$B$21),0))</f>
        <v>12</v>
      </c>
      <c r="D2725" s="0" t="n">
        <f aca="true">CRITBINOM($C2725,MIN(0.75,Matchup!$B$39*$B2725),RAND())</f>
        <v>2</v>
      </c>
      <c r="E2725" s="0" t="n">
        <f aca="true">CRITBINOM(D2725,Coefficients!$B$30,RAND())</f>
        <v>0</v>
      </c>
      <c r="F2725" s="0" t="n">
        <f aca="true">CRITBINOM(E2725,Coefficients!$B$31,RAND())</f>
        <v>0</v>
      </c>
      <c r="G2725" s="0" t="n">
        <f aca="true">CRITBINOM(MAX(0,D2725-E2725),1-Coefficients!$B$32,RAND())</f>
        <v>0</v>
      </c>
      <c r="H2725" s="0" t="n">
        <f aca="true">CRITBINOM(MAX(0,$C2725-D2725),MIN(0.6,Matchup!$B$40*SQRT($B2725)/(1-MIN(0.75,Matchup!$B$39*$B2725))),RAND())</f>
        <v>1</v>
      </c>
      <c r="I2725" s="0" t="n">
        <f aca="false">6*D2725+(D2725-E2725-G2725)+2*F2725+3*H2725</f>
        <v>17</v>
      </c>
      <c r="J2725" s="0" t="n">
        <f aca="true">CRITBINOM($C2725,MIN(0.75,Matchup!$C$39*$B2725),RAND())</f>
        <v>3</v>
      </c>
      <c r="K2725" s="0" t="n">
        <f aca="true">CRITBINOM(J2725,Coefficients!$B$30,RAND())</f>
        <v>0</v>
      </c>
      <c r="L2725" s="0" t="n">
        <f aca="true">CRITBINOM(K2725,Coefficients!$B$31,RAND())</f>
        <v>0</v>
      </c>
      <c r="M2725" s="0" t="n">
        <f aca="true">CRITBINOM(MAX(0,J2725-K2725),1-Coefficients!$B$32,RAND())</f>
        <v>0</v>
      </c>
      <c r="N2725" s="0" t="n">
        <f aca="true">CRITBINOM(MAX(0,$C2725-J2725),MIN(0.6,Matchup!$C$40*SQRT($B2725)/(1-MIN(0.75,Matchup!$C$39*$B2725))),RAND())</f>
        <v>3</v>
      </c>
      <c r="O2725" s="0" t="n">
        <f aca="false">6*J2725+(J2725-K2725-M2725)+2*L2725+3*N2725</f>
        <v>30</v>
      </c>
      <c r="P2725" s="0" t="n">
        <f aca="true">RAND()</f>
        <v>0.12434694382897</v>
      </c>
      <c r="Q2725" s="0" t="n">
        <f aca="true">RAND()</f>
        <v>0.778240983431801</v>
      </c>
      <c r="R2725" s="0" t="n">
        <f aca="false">IF($I2725&lt;&gt;$O2725,0,IF(P2725&lt;Matchup!$B$39,7,IF(P2725&lt;Matchup!$B$39+Matchup!$B$40,3,0)))</f>
        <v>0</v>
      </c>
      <c r="S2725" s="0" t="n">
        <f aca="false">IF($I2725&lt;&gt;$O2725,0,IF(Q2725&lt;Matchup!$C$39,7,IF(Q2725&lt;Matchup!$C$39+Matchup!$C$40,3,0)))</f>
        <v>0</v>
      </c>
      <c r="T2725" s="0" t="n">
        <f aca="false">I2725+R2725</f>
        <v>17</v>
      </c>
      <c r="U2725" s="0" t="n">
        <f aca="false">O2725+S2725</f>
        <v>30</v>
      </c>
      <c r="V2725" s="0" t="n">
        <f aca="false">T2725-U2725</f>
        <v>-13</v>
      </c>
      <c r="W2725" s="0" t="n">
        <f aca="false">T2725+U2725</f>
        <v>47</v>
      </c>
    </row>
    <row r="2726" customFormat="false" ht="15" hidden="false" customHeight="false" outlineLevel="0" collapsed="false">
      <c r="A2726" s="0" t="n">
        <v>2723</v>
      </c>
      <c r="B2726" s="0" t="n">
        <f aca="true">NORMINV(RAND(),1,Coefficients!$B$22)</f>
        <v>0.87641639427932</v>
      </c>
      <c r="C2726" s="0" t="n">
        <f aca="true">MEDIAN(8,16,ROUND(NORMINV(RAND(),Coefficients!$B$20,Coefficients!$B$21),0))</f>
        <v>12</v>
      </c>
      <c r="D2726" s="0" t="n">
        <f aca="true">CRITBINOM($C2726,MIN(0.75,Matchup!$B$39*$B2726),RAND())</f>
        <v>3</v>
      </c>
      <c r="E2726" s="0" t="n">
        <f aca="true">CRITBINOM(D2726,Coefficients!$B$30,RAND())</f>
        <v>0</v>
      </c>
      <c r="F2726" s="0" t="n">
        <f aca="true">CRITBINOM(E2726,Coefficients!$B$31,RAND())</f>
        <v>0</v>
      </c>
      <c r="G2726" s="0" t="n">
        <f aca="true">CRITBINOM(MAX(0,D2726-E2726),1-Coefficients!$B$32,RAND())</f>
        <v>0</v>
      </c>
      <c r="H2726" s="0" t="n">
        <f aca="true">CRITBINOM(MAX(0,$C2726-D2726),MIN(0.6,Matchup!$B$40*SQRT($B2726)/(1-MIN(0.75,Matchup!$B$39*$B2726))),RAND())</f>
        <v>1</v>
      </c>
      <c r="I2726" s="0" t="n">
        <f aca="false">6*D2726+(D2726-E2726-G2726)+2*F2726+3*H2726</f>
        <v>24</v>
      </c>
      <c r="J2726" s="0" t="n">
        <f aca="true">CRITBINOM($C2726,MIN(0.75,Matchup!$C$39*$B2726),RAND())</f>
        <v>3</v>
      </c>
      <c r="K2726" s="0" t="n">
        <f aca="true">CRITBINOM(J2726,Coefficients!$B$30,RAND())</f>
        <v>1</v>
      </c>
      <c r="L2726" s="0" t="n">
        <f aca="true">CRITBINOM(K2726,Coefficients!$B$31,RAND())</f>
        <v>1</v>
      </c>
      <c r="M2726" s="0" t="n">
        <f aca="true">CRITBINOM(MAX(0,J2726-K2726),1-Coefficients!$B$32,RAND())</f>
        <v>0</v>
      </c>
      <c r="N2726" s="0" t="n">
        <f aca="true">CRITBINOM(MAX(0,$C2726-J2726),MIN(0.6,Matchup!$C$40*SQRT($B2726)/(1-MIN(0.75,Matchup!$C$39*$B2726))),RAND())</f>
        <v>0</v>
      </c>
      <c r="O2726" s="0" t="n">
        <f aca="false">6*J2726+(J2726-K2726-M2726)+2*L2726+3*N2726</f>
        <v>22</v>
      </c>
      <c r="P2726" s="0" t="n">
        <f aca="true">RAND()</f>
        <v>0.412232331033688</v>
      </c>
      <c r="Q2726" s="0" t="n">
        <f aca="true">RAND()</f>
        <v>0.319391212072178</v>
      </c>
      <c r="R2726" s="0" t="n">
        <f aca="false">IF($I2726&lt;&gt;$O2726,0,IF(P2726&lt;Matchup!$B$39,7,IF(P2726&lt;Matchup!$B$39+Matchup!$B$40,3,0)))</f>
        <v>0</v>
      </c>
      <c r="S2726" s="0" t="n">
        <f aca="false">IF($I2726&lt;&gt;$O2726,0,IF(Q2726&lt;Matchup!$C$39,7,IF(Q2726&lt;Matchup!$C$39+Matchup!$C$40,3,0)))</f>
        <v>0</v>
      </c>
      <c r="T2726" s="0" t="n">
        <f aca="false">I2726+R2726</f>
        <v>24</v>
      </c>
      <c r="U2726" s="0" t="n">
        <f aca="false">O2726+S2726</f>
        <v>22</v>
      </c>
      <c r="V2726" s="0" t="n">
        <f aca="false">T2726-U2726</f>
        <v>2</v>
      </c>
      <c r="W2726" s="0" t="n">
        <f aca="false">T2726+U2726</f>
        <v>46</v>
      </c>
    </row>
    <row r="2727" customFormat="false" ht="15" hidden="false" customHeight="false" outlineLevel="0" collapsed="false">
      <c r="A2727" s="0" t="n">
        <v>2724</v>
      </c>
      <c r="B2727" s="0" t="n">
        <f aca="true">NORMINV(RAND(),1,Coefficients!$B$22)</f>
        <v>0.987477707090505</v>
      </c>
      <c r="C2727" s="0" t="n">
        <f aca="true">MEDIAN(8,16,ROUND(NORMINV(RAND(),Coefficients!$B$20,Coefficients!$B$21),0))</f>
        <v>12</v>
      </c>
      <c r="D2727" s="0" t="n">
        <f aca="true">CRITBINOM($C2727,MIN(0.75,Matchup!$B$39*$B2727),RAND())</f>
        <v>6</v>
      </c>
      <c r="E2727" s="0" t="n">
        <f aca="true">CRITBINOM(D2727,Coefficients!$B$30,RAND())</f>
        <v>1</v>
      </c>
      <c r="F2727" s="0" t="n">
        <f aca="true">CRITBINOM(E2727,Coefficients!$B$31,RAND())</f>
        <v>0</v>
      </c>
      <c r="G2727" s="0" t="n">
        <f aca="true">CRITBINOM(MAX(0,D2727-E2727),1-Coefficients!$B$32,RAND())</f>
        <v>0</v>
      </c>
      <c r="H2727" s="0" t="n">
        <f aca="true">CRITBINOM(MAX(0,$C2727-D2727),MIN(0.6,Matchup!$B$40*SQRT($B2727)/(1-MIN(0.75,Matchup!$B$39*$B2727))),RAND())</f>
        <v>1</v>
      </c>
      <c r="I2727" s="0" t="n">
        <f aca="false">6*D2727+(D2727-E2727-G2727)+2*F2727+3*H2727</f>
        <v>44</v>
      </c>
      <c r="J2727" s="0" t="n">
        <f aca="true">CRITBINOM($C2727,MIN(0.75,Matchup!$C$39*$B2727),RAND())</f>
        <v>5</v>
      </c>
      <c r="K2727" s="0" t="n">
        <f aca="true">CRITBINOM(J2727,Coefficients!$B$30,RAND())</f>
        <v>1</v>
      </c>
      <c r="L2727" s="0" t="n">
        <f aca="true">CRITBINOM(K2727,Coefficients!$B$31,RAND())</f>
        <v>0</v>
      </c>
      <c r="M2727" s="0" t="n">
        <f aca="true">CRITBINOM(MAX(0,J2727-K2727),1-Coefficients!$B$32,RAND())</f>
        <v>0</v>
      </c>
      <c r="N2727" s="0" t="n">
        <f aca="true">CRITBINOM(MAX(0,$C2727-J2727),MIN(0.6,Matchup!$C$40*SQRT($B2727)/(1-MIN(0.75,Matchup!$C$39*$B2727))),RAND())</f>
        <v>0</v>
      </c>
      <c r="O2727" s="0" t="n">
        <f aca="false">6*J2727+(J2727-K2727-M2727)+2*L2727+3*N2727</f>
        <v>34</v>
      </c>
      <c r="P2727" s="0" t="n">
        <f aca="true">RAND()</f>
        <v>0.185895799828926</v>
      </c>
      <c r="Q2727" s="0" t="n">
        <f aca="true">RAND()</f>
        <v>0.524916155923453</v>
      </c>
      <c r="R2727" s="0" t="n">
        <f aca="false">IF($I2727&lt;&gt;$O2727,0,IF(P2727&lt;Matchup!$B$39,7,IF(P2727&lt;Matchup!$B$39+Matchup!$B$40,3,0)))</f>
        <v>0</v>
      </c>
      <c r="S2727" s="0" t="n">
        <f aca="false">IF($I2727&lt;&gt;$O2727,0,IF(Q2727&lt;Matchup!$C$39,7,IF(Q2727&lt;Matchup!$C$39+Matchup!$C$40,3,0)))</f>
        <v>0</v>
      </c>
      <c r="T2727" s="0" t="n">
        <f aca="false">I2727+R2727</f>
        <v>44</v>
      </c>
      <c r="U2727" s="0" t="n">
        <f aca="false">O2727+S2727</f>
        <v>34</v>
      </c>
      <c r="V2727" s="0" t="n">
        <f aca="false">T2727-U2727</f>
        <v>10</v>
      </c>
      <c r="W2727" s="0" t="n">
        <f aca="false">T2727+U2727</f>
        <v>78</v>
      </c>
    </row>
    <row r="2728" customFormat="false" ht="15" hidden="false" customHeight="false" outlineLevel="0" collapsed="false">
      <c r="A2728" s="0" t="n">
        <v>2725</v>
      </c>
      <c r="B2728" s="0" t="n">
        <f aca="true">NORMINV(RAND(),1,Coefficients!$B$22)</f>
        <v>0.934458348356408</v>
      </c>
      <c r="C2728" s="0" t="n">
        <f aca="true">MEDIAN(8,16,ROUND(NORMINV(RAND(),Coefficients!$B$20,Coefficients!$B$21),0))</f>
        <v>9</v>
      </c>
      <c r="D2728" s="0" t="n">
        <f aca="true">CRITBINOM($C2728,MIN(0.75,Matchup!$B$39*$B2728),RAND())</f>
        <v>2</v>
      </c>
      <c r="E2728" s="0" t="n">
        <f aca="true">CRITBINOM(D2728,Coefficients!$B$30,RAND())</f>
        <v>0</v>
      </c>
      <c r="F2728" s="0" t="n">
        <f aca="true">CRITBINOM(E2728,Coefficients!$B$31,RAND())</f>
        <v>0</v>
      </c>
      <c r="G2728" s="0" t="n">
        <f aca="true">CRITBINOM(MAX(0,D2728-E2728),1-Coefficients!$B$32,RAND())</f>
        <v>0</v>
      </c>
      <c r="H2728" s="0" t="n">
        <f aca="true">CRITBINOM(MAX(0,$C2728-D2728),MIN(0.6,Matchup!$B$40*SQRT($B2728)/(1-MIN(0.75,Matchup!$B$39*$B2728))),RAND())</f>
        <v>1</v>
      </c>
      <c r="I2728" s="0" t="n">
        <f aca="false">6*D2728+(D2728-E2728-G2728)+2*F2728+3*H2728</f>
        <v>17</v>
      </c>
      <c r="J2728" s="0" t="n">
        <f aca="true">CRITBINOM($C2728,MIN(0.75,Matchup!$C$39*$B2728),RAND())</f>
        <v>3</v>
      </c>
      <c r="K2728" s="0" t="n">
        <f aca="true">CRITBINOM(J2728,Coefficients!$B$30,RAND())</f>
        <v>0</v>
      </c>
      <c r="L2728" s="0" t="n">
        <f aca="true">CRITBINOM(K2728,Coefficients!$B$31,RAND())</f>
        <v>0</v>
      </c>
      <c r="M2728" s="0" t="n">
        <f aca="true">CRITBINOM(MAX(0,J2728-K2728),1-Coefficients!$B$32,RAND())</f>
        <v>0</v>
      </c>
      <c r="N2728" s="0" t="n">
        <f aca="true">CRITBINOM(MAX(0,$C2728-J2728),MIN(0.6,Matchup!$C$40*SQRT($B2728)/(1-MIN(0.75,Matchup!$C$39*$B2728))),RAND())</f>
        <v>0</v>
      </c>
      <c r="O2728" s="0" t="n">
        <f aca="false">6*J2728+(J2728-K2728-M2728)+2*L2728+3*N2728</f>
        <v>21</v>
      </c>
      <c r="P2728" s="0" t="n">
        <f aca="true">RAND()</f>
        <v>0.0663859678180115</v>
      </c>
      <c r="Q2728" s="0" t="n">
        <f aca="true">RAND()</f>
        <v>0.8467495527951</v>
      </c>
      <c r="R2728" s="0" t="n">
        <f aca="false">IF($I2728&lt;&gt;$O2728,0,IF(P2728&lt;Matchup!$B$39,7,IF(P2728&lt;Matchup!$B$39+Matchup!$B$40,3,0)))</f>
        <v>0</v>
      </c>
      <c r="S2728" s="0" t="n">
        <f aca="false">IF($I2728&lt;&gt;$O2728,0,IF(Q2728&lt;Matchup!$C$39,7,IF(Q2728&lt;Matchup!$C$39+Matchup!$C$40,3,0)))</f>
        <v>0</v>
      </c>
      <c r="T2728" s="0" t="n">
        <f aca="false">I2728+R2728</f>
        <v>17</v>
      </c>
      <c r="U2728" s="0" t="n">
        <f aca="false">O2728+S2728</f>
        <v>21</v>
      </c>
      <c r="V2728" s="0" t="n">
        <f aca="false">T2728-U2728</f>
        <v>-4</v>
      </c>
      <c r="W2728" s="0" t="n">
        <f aca="false">T2728+U2728</f>
        <v>38</v>
      </c>
    </row>
    <row r="2729" customFormat="false" ht="15" hidden="false" customHeight="false" outlineLevel="0" collapsed="false">
      <c r="A2729" s="0" t="n">
        <v>2726</v>
      </c>
      <c r="B2729" s="0" t="n">
        <f aca="true">NORMINV(RAND(),1,Coefficients!$B$22)</f>
        <v>0.961171194777212</v>
      </c>
      <c r="C2729" s="0" t="n">
        <f aca="true">MEDIAN(8,16,ROUND(NORMINV(RAND(),Coefficients!$B$20,Coefficients!$B$21),0))</f>
        <v>10</v>
      </c>
      <c r="D2729" s="0" t="n">
        <f aca="true">CRITBINOM($C2729,MIN(0.75,Matchup!$B$39*$B2729),RAND())</f>
        <v>2</v>
      </c>
      <c r="E2729" s="0" t="n">
        <f aca="true">CRITBINOM(D2729,Coefficients!$B$30,RAND())</f>
        <v>0</v>
      </c>
      <c r="F2729" s="0" t="n">
        <f aca="true">CRITBINOM(E2729,Coefficients!$B$31,RAND())</f>
        <v>0</v>
      </c>
      <c r="G2729" s="0" t="n">
        <f aca="true">CRITBINOM(MAX(0,D2729-E2729),1-Coefficients!$B$32,RAND())</f>
        <v>0</v>
      </c>
      <c r="H2729" s="0" t="n">
        <f aca="true">CRITBINOM(MAX(0,$C2729-D2729),MIN(0.6,Matchup!$B$40*SQRT($B2729)/(1-MIN(0.75,Matchup!$B$39*$B2729))),RAND())</f>
        <v>1</v>
      </c>
      <c r="I2729" s="0" t="n">
        <f aca="false">6*D2729+(D2729-E2729-G2729)+2*F2729+3*H2729</f>
        <v>17</v>
      </c>
      <c r="J2729" s="0" t="n">
        <f aca="true">CRITBINOM($C2729,MIN(0.75,Matchup!$C$39*$B2729),RAND())</f>
        <v>1</v>
      </c>
      <c r="K2729" s="0" t="n">
        <f aca="true">CRITBINOM(J2729,Coefficients!$B$30,RAND())</f>
        <v>0</v>
      </c>
      <c r="L2729" s="0" t="n">
        <f aca="true">CRITBINOM(K2729,Coefficients!$B$31,RAND())</f>
        <v>0</v>
      </c>
      <c r="M2729" s="0" t="n">
        <f aca="true">CRITBINOM(MAX(0,J2729-K2729),1-Coefficients!$B$32,RAND())</f>
        <v>0</v>
      </c>
      <c r="N2729" s="0" t="n">
        <f aca="true">CRITBINOM(MAX(0,$C2729-J2729),MIN(0.6,Matchup!$C$40*SQRT($B2729)/(1-MIN(0.75,Matchup!$C$39*$B2729))),RAND())</f>
        <v>2</v>
      </c>
      <c r="O2729" s="0" t="n">
        <f aca="false">6*J2729+(J2729-K2729-M2729)+2*L2729+3*N2729</f>
        <v>13</v>
      </c>
      <c r="P2729" s="0" t="n">
        <f aca="true">RAND()</f>
        <v>0.0771888933174503</v>
      </c>
      <c r="Q2729" s="0" t="n">
        <f aca="true">RAND()</f>
        <v>0.594159906020841</v>
      </c>
      <c r="R2729" s="0" t="n">
        <f aca="false">IF($I2729&lt;&gt;$O2729,0,IF(P2729&lt;Matchup!$B$39,7,IF(P2729&lt;Matchup!$B$39+Matchup!$B$40,3,0)))</f>
        <v>0</v>
      </c>
      <c r="S2729" s="0" t="n">
        <f aca="false">IF($I2729&lt;&gt;$O2729,0,IF(Q2729&lt;Matchup!$C$39,7,IF(Q2729&lt;Matchup!$C$39+Matchup!$C$40,3,0)))</f>
        <v>0</v>
      </c>
      <c r="T2729" s="0" t="n">
        <f aca="false">I2729+R2729</f>
        <v>17</v>
      </c>
      <c r="U2729" s="0" t="n">
        <f aca="false">O2729+S2729</f>
        <v>13</v>
      </c>
      <c r="V2729" s="0" t="n">
        <f aca="false">T2729-U2729</f>
        <v>4</v>
      </c>
      <c r="W2729" s="0" t="n">
        <f aca="false">T2729+U2729</f>
        <v>30</v>
      </c>
    </row>
    <row r="2730" customFormat="false" ht="15" hidden="false" customHeight="false" outlineLevel="0" collapsed="false">
      <c r="A2730" s="0" t="n">
        <v>2727</v>
      </c>
      <c r="B2730" s="0" t="n">
        <f aca="true">NORMINV(RAND(),1,Coefficients!$B$22)</f>
        <v>0.967002840957968</v>
      </c>
      <c r="C2730" s="0" t="n">
        <f aca="true">MEDIAN(8,16,ROUND(NORMINV(RAND(),Coefficients!$B$20,Coefficients!$B$21),0))</f>
        <v>11</v>
      </c>
      <c r="D2730" s="0" t="n">
        <f aca="true">CRITBINOM($C2730,MIN(0.75,Matchup!$B$39*$B2730),RAND())</f>
        <v>5</v>
      </c>
      <c r="E2730" s="0" t="n">
        <f aca="true">CRITBINOM(D2730,Coefficients!$B$30,RAND())</f>
        <v>2</v>
      </c>
      <c r="F2730" s="0" t="n">
        <f aca="true">CRITBINOM(E2730,Coefficients!$B$31,RAND())</f>
        <v>0</v>
      </c>
      <c r="G2730" s="0" t="n">
        <f aca="true">CRITBINOM(MAX(0,D2730-E2730),1-Coefficients!$B$32,RAND())</f>
        <v>0</v>
      </c>
      <c r="H2730" s="0" t="n">
        <f aca="true">CRITBINOM(MAX(0,$C2730-D2730),MIN(0.6,Matchup!$B$40*SQRT($B2730)/(1-MIN(0.75,Matchup!$B$39*$B2730))),RAND())</f>
        <v>1</v>
      </c>
      <c r="I2730" s="0" t="n">
        <f aca="false">6*D2730+(D2730-E2730-G2730)+2*F2730+3*H2730</f>
        <v>36</v>
      </c>
      <c r="J2730" s="0" t="n">
        <f aca="true">CRITBINOM($C2730,MIN(0.75,Matchup!$C$39*$B2730),RAND())</f>
        <v>3</v>
      </c>
      <c r="K2730" s="0" t="n">
        <f aca="true">CRITBINOM(J2730,Coefficients!$B$30,RAND())</f>
        <v>1</v>
      </c>
      <c r="L2730" s="0" t="n">
        <f aca="true">CRITBINOM(K2730,Coefficients!$B$31,RAND())</f>
        <v>1</v>
      </c>
      <c r="M2730" s="0" t="n">
        <f aca="true">CRITBINOM(MAX(0,J2730-K2730),1-Coefficients!$B$32,RAND())</f>
        <v>0</v>
      </c>
      <c r="N2730" s="0" t="n">
        <f aca="true">CRITBINOM(MAX(0,$C2730-J2730),MIN(0.6,Matchup!$C$40*SQRT($B2730)/(1-MIN(0.75,Matchup!$C$39*$B2730))),RAND())</f>
        <v>0</v>
      </c>
      <c r="O2730" s="0" t="n">
        <f aca="false">6*J2730+(J2730-K2730-M2730)+2*L2730+3*N2730</f>
        <v>22</v>
      </c>
      <c r="P2730" s="0" t="n">
        <f aca="true">RAND()</f>
        <v>0.282356014524132</v>
      </c>
      <c r="Q2730" s="0" t="n">
        <f aca="true">RAND()</f>
        <v>0.190257375819103</v>
      </c>
      <c r="R2730" s="0" t="n">
        <f aca="false">IF($I2730&lt;&gt;$O2730,0,IF(P2730&lt;Matchup!$B$39,7,IF(P2730&lt;Matchup!$B$39+Matchup!$B$40,3,0)))</f>
        <v>0</v>
      </c>
      <c r="S2730" s="0" t="n">
        <f aca="false">IF($I2730&lt;&gt;$O2730,0,IF(Q2730&lt;Matchup!$C$39,7,IF(Q2730&lt;Matchup!$C$39+Matchup!$C$40,3,0)))</f>
        <v>0</v>
      </c>
      <c r="T2730" s="0" t="n">
        <f aca="false">I2730+R2730</f>
        <v>36</v>
      </c>
      <c r="U2730" s="0" t="n">
        <f aca="false">O2730+S2730</f>
        <v>22</v>
      </c>
      <c r="V2730" s="0" t="n">
        <f aca="false">T2730-U2730</f>
        <v>14</v>
      </c>
      <c r="W2730" s="0" t="n">
        <f aca="false">T2730+U2730</f>
        <v>58</v>
      </c>
    </row>
    <row r="2731" customFormat="false" ht="15" hidden="false" customHeight="false" outlineLevel="0" collapsed="false">
      <c r="A2731" s="0" t="n">
        <v>2728</v>
      </c>
      <c r="B2731" s="0" t="n">
        <f aca="true">NORMINV(RAND(),1,Coefficients!$B$22)</f>
        <v>0.906020545848995</v>
      </c>
      <c r="C2731" s="0" t="n">
        <f aca="true">MEDIAN(8,16,ROUND(NORMINV(RAND(),Coefficients!$B$20,Coefficients!$B$21),0))</f>
        <v>11</v>
      </c>
      <c r="D2731" s="0" t="n">
        <f aca="true">CRITBINOM($C2731,MIN(0.75,Matchup!$B$39*$B2731),RAND())</f>
        <v>4</v>
      </c>
      <c r="E2731" s="0" t="n">
        <f aca="true">CRITBINOM(D2731,Coefficients!$B$30,RAND())</f>
        <v>0</v>
      </c>
      <c r="F2731" s="0" t="n">
        <f aca="true">CRITBINOM(E2731,Coefficients!$B$31,RAND())</f>
        <v>0</v>
      </c>
      <c r="G2731" s="0" t="n">
        <f aca="true">CRITBINOM(MAX(0,D2731-E2731),1-Coefficients!$B$32,RAND())</f>
        <v>2</v>
      </c>
      <c r="H2731" s="0" t="n">
        <f aca="true">CRITBINOM(MAX(0,$C2731-D2731),MIN(0.6,Matchup!$B$40*SQRT($B2731)/(1-MIN(0.75,Matchup!$B$39*$B2731))),RAND())</f>
        <v>0</v>
      </c>
      <c r="I2731" s="0" t="n">
        <f aca="false">6*D2731+(D2731-E2731-G2731)+2*F2731+3*H2731</f>
        <v>26</v>
      </c>
      <c r="J2731" s="0" t="n">
        <f aca="true">CRITBINOM($C2731,MIN(0.75,Matchup!$C$39*$B2731),RAND())</f>
        <v>1</v>
      </c>
      <c r="K2731" s="0" t="n">
        <f aca="true">CRITBINOM(J2731,Coefficients!$B$30,RAND())</f>
        <v>1</v>
      </c>
      <c r="L2731" s="0" t="n">
        <f aca="true">CRITBINOM(K2731,Coefficients!$B$31,RAND())</f>
        <v>1</v>
      </c>
      <c r="M2731" s="0" t="n">
        <f aca="true">CRITBINOM(MAX(0,J2731-K2731),1-Coefficients!$B$32,RAND())</f>
        <v>0</v>
      </c>
      <c r="N2731" s="0" t="n">
        <f aca="true">CRITBINOM(MAX(0,$C2731-J2731),MIN(0.6,Matchup!$C$40*SQRT($B2731)/(1-MIN(0.75,Matchup!$C$39*$B2731))),RAND())</f>
        <v>0</v>
      </c>
      <c r="O2731" s="0" t="n">
        <f aca="false">6*J2731+(J2731-K2731-M2731)+2*L2731+3*N2731</f>
        <v>8</v>
      </c>
      <c r="P2731" s="0" t="n">
        <f aca="true">RAND()</f>
        <v>0.0129923890771085</v>
      </c>
      <c r="Q2731" s="0" t="n">
        <f aca="true">RAND()</f>
        <v>0.884902407141849</v>
      </c>
      <c r="R2731" s="0" t="n">
        <f aca="false">IF($I2731&lt;&gt;$O2731,0,IF(P2731&lt;Matchup!$B$39,7,IF(P2731&lt;Matchup!$B$39+Matchup!$B$40,3,0)))</f>
        <v>0</v>
      </c>
      <c r="S2731" s="0" t="n">
        <f aca="false">IF($I2731&lt;&gt;$O2731,0,IF(Q2731&lt;Matchup!$C$39,7,IF(Q2731&lt;Matchup!$C$39+Matchup!$C$40,3,0)))</f>
        <v>0</v>
      </c>
      <c r="T2731" s="0" t="n">
        <f aca="false">I2731+R2731</f>
        <v>26</v>
      </c>
      <c r="U2731" s="0" t="n">
        <f aca="false">O2731+S2731</f>
        <v>8</v>
      </c>
      <c r="V2731" s="0" t="n">
        <f aca="false">T2731-U2731</f>
        <v>18</v>
      </c>
      <c r="W2731" s="0" t="n">
        <f aca="false">T2731+U2731</f>
        <v>34</v>
      </c>
    </row>
    <row r="2732" customFormat="false" ht="15" hidden="false" customHeight="false" outlineLevel="0" collapsed="false">
      <c r="A2732" s="0" t="n">
        <v>2729</v>
      </c>
      <c r="B2732" s="0" t="n">
        <f aca="true">NORMINV(RAND(),1,Coefficients!$B$22)</f>
        <v>1.02051068798227</v>
      </c>
      <c r="C2732" s="0" t="n">
        <f aca="true">MEDIAN(8,16,ROUND(NORMINV(RAND(),Coefficients!$B$20,Coefficients!$B$21),0))</f>
        <v>8</v>
      </c>
      <c r="D2732" s="0" t="n">
        <f aca="true">CRITBINOM($C2732,MIN(0.75,Matchup!$B$39*$B2732),RAND())</f>
        <v>2</v>
      </c>
      <c r="E2732" s="0" t="n">
        <f aca="true">CRITBINOM(D2732,Coefficients!$B$30,RAND())</f>
        <v>0</v>
      </c>
      <c r="F2732" s="0" t="n">
        <f aca="true">CRITBINOM(E2732,Coefficients!$B$31,RAND())</f>
        <v>0</v>
      </c>
      <c r="G2732" s="0" t="n">
        <f aca="true">CRITBINOM(MAX(0,D2732-E2732),1-Coefficients!$B$32,RAND())</f>
        <v>1</v>
      </c>
      <c r="H2732" s="0" t="n">
        <f aca="true">CRITBINOM(MAX(0,$C2732-D2732),MIN(0.6,Matchup!$B$40*SQRT($B2732)/(1-MIN(0.75,Matchup!$B$39*$B2732))),RAND())</f>
        <v>2</v>
      </c>
      <c r="I2732" s="0" t="n">
        <f aca="false">6*D2732+(D2732-E2732-G2732)+2*F2732+3*H2732</f>
        <v>19</v>
      </c>
      <c r="J2732" s="0" t="n">
        <f aca="true">CRITBINOM($C2732,MIN(0.75,Matchup!$C$39*$B2732),RAND())</f>
        <v>3</v>
      </c>
      <c r="K2732" s="0" t="n">
        <f aca="true">CRITBINOM(J2732,Coefficients!$B$30,RAND())</f>
        <v>0</v>
      </c>
      <c r="L2732" s="0" t="n">
        <f aca="true">CRITBINOM(K2732,Coefficients!$B$31,RAND())</f>
        <v>0</v>
      </c>
      <c r="M2732" s="0" t="n">
        <f aca="true">CRITBINOM(MAX(0,J2732-K2732),1-Coefficients!$B$32,RAND())</f>
        <v>0</v>
      </c>
      <c r="N2732" s="0" t="n">
        <f aca="true">CRITBINOM(MAX(0,$C2732-J2732),MIN(0.6,Matchup!$C$40*SQRT($B2732)/(1-MIN(0.75,Matchup!$C$39*$B2732))),RAND())</f>
        <v>0</v>
      </c>
      <c r="O2732" s="0" t="n">
        <f aca="false">6*J2732+(J2732-K2732-M2732)+2*L2732+3*N2732</f>
        <v>21</v>
      </c>
      <c r="P2732" s="0" t="n">
        <f aca="true">RAND()</f>
        <v>0.710545449416886</v>
      </c>
      <c r="Q2732" s="0" t="n">
        <f aca="true">RAND()</f>
        <v>0.110517047066082</v>
      </c>
      <c r="R2732" s="0" t="n">
        <f aca="false">IF($I2732&lt;&gt;$O2732,0,IF(P2732&lt;Matchup!$B$39,7,IF(P2732&lt;Matchup!$B$39+Matchup!$B$40,3,0)))</f>
        <v>0</v>
      </c>
      <c r="S2732" s="0" t="n">
        <f aca="false">IF($I2732&lt;&gt;$O2732,0,IF(Q2732&lt;Matchup!$C$39,7,IF(Q2732&lt;Matchup!$C$39+Matchup!$C$40,3,0)))</f>
        <v>0</v>
      </c>
      <c r="T2732" s="0" t="n">
        <f aca="false">I2732+R2732</f>
        <v>19</v>
      </c>
      <c r="U2732" s="0" t="n">
        <f aca="false">O2732+S2732</f>
        <v>21</v>
      </c>
      <c r="V2732" s="0" t="n">
        <f aca="false">T2732-U2732</f>
        <v>-2</v>
      </c>
      <c r="W2732" s="0" t="n">
        <f aca="false">T2732+U2732</f>
        <v>40</v>
      </c>
    </row>
    <row r="2733" customFormat="false" ht="15" hidden="false" customHeight="false" outlineLevel="0" collapsed="false">
      <c r="A2733" s="0" t="n">
        <v>2730</v>
      </c>
      <c r="B2733" s="0" t="n">
        <f aca="true">NORMINV(RAND(),1,Coefficients!$B$22)</f>
        <v>0.892760548582558</v>
      </c>
      <c r="C2733" s="0" t="n">
        <f aca="true">MEDIAN(8,16,ROUND(NORMINV(RAND(),Coefficients!$B$20,Coefficients!$B$21),0))</f>
        <v>11</v>
      </c>
      <c r="D2733" s="0" t="n">
        <f aca="true">CRITBINOM($C2733,MIN(0.75,Matchup!$B$39*$B2733),RAND())</f>
        <v>3</v>
      </c>
      <c r="E2733" s="0" t="n">
        <f aca="true">CRITBINOM(D2733,Coefficients!$B$30,RAND())</f>
        <v>0</v>
      </c>
      <c r="F2733" s="0" t="n">
        <f aca="true">CRITBINOM(E2733,Coefficients!$B$31,RAND())</f>
        <v>0</v>
      </c>
      <c r="G2733" s="0" t="n">
        <f aca="true">CRITBINOM(MAX(0,D2733-E2733),1-Coefficients!$B$32,RAND())</f>
        <v>0</v>
      </c>
      <c r="H2733" s="0" t="n">
        <f aca="true">CRITBINOM(MAX(0,$C2733-D2733),MIN(0.6,Matchup!$B$40*SQRT($B2733)/(1-MIN(0.75,Matchup!$B$39*$B2733))),RAND())</f>
        <v>1</v>
      </c>
      <c r="I2733" s="0" t="n">
        <f aca="false">6*D2733+(D2733-E2733-G2733)+2*F2733+3*H2733</f>
        <v>24</v>
      </c>
      <c r="J2733" s="0" t="n">
        <f aca="true">CRITBINOM($C2733,MIN(0.75,Matchup!$C$39*$B2733),RAND())</f>
        <v>4</v>
      </c>
      <c r="K2733" s="0" t="n">
        <f aca="true">CRITBINOM(J2733,Coefficients!$B$30,RAND())</f>
        <v>0</v>
      </c>
      <c r="L2733" s="0" t="n">
        <f aca="true">CRITBINOM(K2733,Coefficients!$B$31,RAND())</f>
        <v>0</v>
      </c>
      <c r="M2733" s="0" t="n">
        <f aca="true">CRITBINOM(MAX(0,J2733-K2733),1-Coefficients!$B$32,RAND())</f>
        <v>0</v>
      </c>
      <c r="N2733" s="0" t="n">
        <f aca="true">CRITBINOM(MAX(0,$C2733-J2733),MIN(0.6,Matchup!$C$40*SQRT($B2733)/(1-MIN(0.75,Matchup!$C$39*$B2733))),RAND())</f>
        <v>2</v>
      </c>
      <c r="O2733" s="0" t="n">
        <f aca="false">6*J2733+(J2733-K2733-M2733)+2*L2733+3*N2733</f>
        <v>34</v>
      </c>
      <c r="P2733" s="0" t="n">
        <f aca="true">RAND()</f>
        <v>0.265778171329069</v>
      </c>
      <c r="Q2733" s="0" t="n">
        <f aca="true">RAND()</f>
        <v>0.240970015872072</v>
      </c>
      <c r="R2733" s="0" t="n">
        <f aca="false">IF($I2733&lt;&gt;$O2733,0,IF(P2733&lt;Matchup!$B$39,7,IF(P2733&lt;Matchup!$B$39+Matchup!$B$40,3,0)))</f>
        <v>0</v>
      </c>
      <c r="S2733" s="0" t="n">
        <f aca="false">IF($I2733&lt;&gt;$O2733,0,IF(Q2733&lt;Matchup!$C$39,7,IF(Q2733&lt;Matchup!$C$39+Matchup!$C$40,3,0)))</f>
        <v>0</v>
      </c>
      <c r="T2733" s="0" t="n">
        <f aca="false">I2733+R2733</f>
        <v>24</v>
      </c>
      <c r="U2733" s="0" t="n">
        <f aca="false">O2733+S2733</f>
        <v>34</v>
      </c>
      <c r="V2733" s="0" t="n">
        <f aca="false">T2733-U2733</f>
        <v>-10</v>
      </c>
      <c r="W2733" s="0" t="n">
        <f aca="false">T2733+U2733</f>
        <v>58</v>
      </c>
    </row>
    <row r="2734" customFormat="false" ht="15" hidden="false" customHeight="false" outlineLevel="0" collapsed="false">
      <c r="A2734" s="0" t="n">
        <v>2731</v>
      </c>
      <c r="B2734" s="0" t="n">
        <f aca="true">NORMINV(RAND(),1,Coefficients!$B$22)</f>
        <v>0.892470975235024</v>
      </c>
      <c r="C2734" s="0" t="n">
        <f aca="true">MEDIAN(8,16,ROUND(NORMINV(RAND(),Coefficients!$B$20,Coefficients!$B$21),0))</f>
        <v>11</v>
      </c>
      <c r="D2734" s="0" t="n">
        <f aca="true">CRITBINOM($C2734,MIN(0.75,Matchup!$B$39*$B2734),RAND())</f>
        <v>3</v>
      </c>
      <c r="E2734" s="0" t="n">
        <f aca="true">CRITBINOM(D2734,Coefficients!$B$30,RAND())</f>
        <v>0</v>
      </c>
      <c r="F2734" s="0" t="n">
        <f aca="true">CRITBINOM(E2734,Coefficients!$B$31,RAND())</f>
        <v>0</v>
      </c>
      <c r="G2734" s="0" t="n">
        <f aca="true">CRITBINOM(MAX(0,D2734-E2734),1-Coefficients!$B$32,RAND())</f>
        <v>0</v>
      </c>
      <c r="H2734" s="0" t="n">
        <f aca="true">CRITBINOM(MAX(0,$C2734-D2734),MIN(0.6,Matchup!$B$40*SQRT($B2734)/(1-MIN(0.75,Matchup!$B$39*$B2734))),RAND())</f>
        <v>2</v>
      </c>
      <c r="I2734" s="0" t="n">
        <f aca="false">6*D2734+(D2734-E2734-G2734)+2*F2734+3*H2734</f>
        <v>27</v>
      </c>
      <c r="J2734" s="0" t="n">
        <f aca="true">CRITBINOM($C2734,MIN(0.75,Matchup!$C$39*$B2734),RAND())</f>
        <v>1</v>
      </c>
      <c r="K2734" s="0" t="n">
        <f aca="true">CRITBINOM(J2734,Coefficients!$B$30,RAND())</f>
        <v>0</v>
      </c>
      <c r="L2734" s="0" t="n">
        <f aca="true">CRITBINOM(K2734,Coefficients!$B$31,RAND())</f>
        <v>0</v>
      </c>
      <c r="M2734" s="0" t="n">
        <f aca="true">CRITBINOM(MAX(0,J2734-K2734),1-Coefficients!$B$32,RAND())</f>
        <v>0</v>
      </c>
      <c r="N2734" s="0" t="n">
        <f aca="true">CRITBINOM(MAX(0,$C2734-J2734),MIN(0.6,Matchup!$C$40*SQRT($B2734)/(1-MIN(0.75,Matchup!$C$39*$B2734))),RAND())</f>
        <v>0</v>
      </c>
      <c r="O2734" s="0" t="n">
        <f aca="false">6*J2734+(J2734-K2734-M2734)+2*L2734+3*N2734</f>
        <v>7</v>
      </c>
      <c r="P2734" s="0" t="n">
        <f aca="true">RAND()</f>
        <v>0.434757571603684</v>
      </c>
      <c r="Q2734" s="0" t="n">
        <f aca="true">RAND()</f>
        <v>0.895991881262006</v>
      </c>
      <c r="R2734" s="0" t="n">
        <f aca="false">IF($I2734&lt;&gt;$O2734,0,IF(P2734&lt;Matchup!$B$39,7,IF(P2734&lt;Matchup!$B$39+Matchup!$B$40,3,0)))</f>
        <v>0</v>
      </c>
      <c r="S2734" s="0" t="n">
        <f aca="false">IF($I2734&lt;&gt;$O2734,0,IF(Q2734&lt;Matchup!$C$39,7,IF(Q2734&lt;Matchup!$C$39+Matchup!$C$40,3,0)))</f>
        <v>0</v>
      </c>
      <c r="T2734" s="0" t="n">
        <f aca="false">I2734+R2734</f>
        <v>27</v>
      </c>
      <c r="U2734" s="0" t="n">
        <f aca="false">O2734+S2734</f>
        <v>7</v>
      </c>
      <c r="V2734" s="0" t="n">
        <f aca="false">T2734-U2734</f>
        <v>20</v>
      </c>
      <c r="W2734" s="0" t="n">
        <f aca="false">T2734+U2734</f>
        <v>34</v>
      </c>
    </row>
    <row r="2735" customFormat="false" ht="15" hidden="false" customHeight="false" outlineLevel="0" collapsed="false">
      <c r="A2735" s="0" t="n">
        <v>2732</v>
      </c>
      <c r="B2735" s="0" t="n">
        <f aca="true">NORMINV(RAND(),1,Coefficients!$B$22)</f>
        <v>1.02017994158866</v>
      </c>
      <c r="C2735" s="0" t="n">
        <f aca="true">MEDIAN(8,16,ROUND(NORMINV(RAND(),Coefficients!$B$20,Coefficients!$B$21),0))</f>
        <v>11</v>
      </c>
      <c r="D2735" s="0" t="n">
        <f aca="true">CRITBINOM($C2735,MIN(0.75,Matchup!$B$39*$B2735),RAND())</f>
        <v>5</v>
      </c>
      <c r="E2735" s="0" t="n">
        <f aca="true">CRITBINOM(D2735,Coefficients!$B$30,RAND())</f>
        <v>0</v>
      </c>
      <c r="F2735" s="0" t="n">
        <f aca="true">CRITBINOM(E2735,Coefficients!$B$31,RAND())</f>
        <v>0</v>
      </c>
      <c r="G2735" s="0" t="n">
        <f aca="true">CRITBINOM(MAX(0,D2735-E2735),1-Coefficients!$B$32,RAND())</f>
        <v>1</v>
      </c>
      <c r="H2735" s="0" t="n">
        <f aca="true">CRITBINOM(MAX(0,$C2735-D2735),MIN(0.6,Matchup!$B$40*SQRT($B2735)/(1-MIN(0.75,Matchup!$B$39*$B2735))),RAND())</f>
        <v>0</v>
      </c>
      <c r="I2735" s="0" t="n">
        <f aca="false">6*D2735+(D2735-E2735-G2735)+2*F2735+3*H2735</f>
        <v>34</v>
      </c>
      <c r="J2735" s="0" t="n">
        <f aca="true">CRITBINOM($C2735,MIN(0.75,Matchup!$C$39*$B2735),RAND())</f>
        <v>2</v>
      </c>
      <c r="K2735" s="0" t="n">
        <f aca="true">CRITBINOM(J2735,Coefficients!$B$30,RAND())</f>
        <v>0</v>
      </c>
      <c r="L2735" s="0" t="n">
        <f aca="true">CRITBINOM(K2735,Coefficients!$B$31,RAND())</f>
        <v>0</v>
      </c>
      <c r="M2735" s="0" t="n">
        <f aca="true">CRITBINOM(MAX(0,J2735-K2735),1-Coefficients!$B$32,RAND())</f>
        <v>0</v>
      </c>
      <c r="N2735" s="0" t="n">
        <f aca="true">CRITBINOM(MAX(0,$C2735-J2735),MIN(0.6,Matchup!$C$40*SQRT($B2735)/(1-MIN(0.75,Matchup!$C$39*$B2735))),RAND())</f>
        <v>1</v>
      </c>
      <c r="O2735" s="0" t="n">
        <f aca="false">6*J2735+(J2735-K2735-M2735)+2*L2735+3*N2735</f>
        <v>17</v>
      </c>
      <c r="P2735" s="0" t="n">
        <f aca="true">RAND()</f>
        <v>0.605432058071539</v>
      </c>
      <c r="Q2735" s="0" t="n">
        <f aca="true">RAND()</f>
        <v>0.633237847985293</v>
      </c>
      <c r="R2735" s="0" t="n">
        <f aca="false">IF($I2735&lt;&gt;$O2735,0,IF(P2735&lt;Matchup!$B$39,7,IF(P2735&lt;Matchup!$B$39+Matchup!$B$40,3,0)))</f>
        <v>0</v>
      </c>
      <c r="S2735" s="0" t="n">
        <f aca="false">IF($I2735&lt;&gt;$O2735,0,IF(Q2735&lt;Matchup!$C$39,7,IF(Q2735&lt;Matchup!$C$39+Matchup!$C$40,3,0)))</f>
        <v>0</v>
      </c>
      <c r="T2735" s="0" t="n">
        <f aca="false">I2735+R2735</f>
        <v>34</v>
      </c>
      <c r="U2735" s="0" t="n">
        <f aca="false">O2735+S2735</f>
        <v>17</v>
      </c>
      <c r="V2735" s="0" t="n">
        <f aca="false">T2735-U2735</f>
        <v>17</v>
      </c>
      <c r="W2735" s="0" t="n">
        <f aca="false">T2735+U2735</f>
        <v>51</v>
      </c>
    </row>
    <row r="2736" customFormat="false" ht="15" hidden="false" customHeight="false" outlineLevel="0" collapsed="false">
      <c r="A2736" s="0" t="n">
        <v>2733</v>
      </c>
      <c r="B2736" s="0" t="n">
        <f aca="true">NORMINV(RAND(),1,Coefficients!$B$22)</f>
        <v>0.950249230327615</v>
      </c>
      <c r="C2736" s="0" t="n">
        <f aca="true">MEDIAN(8,16,ROUND(NORMINV(RAND(),Coefficients!$B$20,Coefficients!$B$21),0))</f>
        <v>12</v>
      </c>
      <c r="D2736" s="0" t="n">
        <f aca="true">CRITBINOM($C2736,MIN(0.75,Matchup!$B$39*$B2736),RAND())</f>
        <v>4</v>
      </c>
      <c r="E2736" s="0" t="n">
        <f aca="true">CRITBINOM(D2736,Coefficients!$B$30,RAND())</f>
        <v>0</v>
      </c>
      <c r="F2736" s="0" t="n">
        <f aca="true">CRITBINOM(E2736,Coefficients!$B$31,RAND())</f>
        <v>0</v>
      </c>
      <c r="G2736" s="0" t="n">
        <f aca="true">CRITBINOM(MAX(0,D2736-E2736),1-Coefficients!$B$32,RAND())</f>
        <v>0</v>
      </c>
      <c r="H2736" s="0" t="n">
        <f aca="true">CRITBINOM(MAX(0,$C2736-D2736),MIN(0.6,Matchup!$B$40*SQRT($B2736)/(1-MIN(0.75,Matchup!$B$39*$B2736))),RAND())</f>
        <v>0</v>
      </c>
      <c r="I2736" s="0" t="n">
        <f aca="false">6*D2736+(D2736-E2736-G2736)+2*F2736+3*H2736</f>
        <v>28</v>
      </c>
      <c r="J2736" s="0" t="n">
        <f aca="true">CRITBINOM($C2736,MIN(0.75,Matchup!$C$39*$B2736),RAND())</f>
        <v>4</v>
      </c>
      <c r="K2736" s="0" t="n">
        <f aca="true">CRITBINOM(J2736,Coefficients!$B$30,RAND())</f>
        <v>2</v>
      </c>
      <c r="L2736" s="0" t="n">
        <f aca="true">CRITBINOM(K2736,Coefficients!$B$31,RAND())</f>
        <v>0</v>
      </c>
      <c r="M2736" s="0" t="n">
        <f aca="true">CRITBINOM(MAX(0,J2736-K2736),1-Coefficients!$B$32,RAND())</f>
        <v>0</v>
      </c>
      <c r="N2736" s="0" t="n">
        <f aca="true">CRITBINOM(MAX(0,$C2736-J2736),MIN(0.6,Matchup!$C$40*SQRT($B2736)/(1-MIN(0.75,Matchup!$C$39*$B2736))),RAND())</f>
        <v>3</v>
      </c>
      <c r="O2736" s="0" t="n">
        <f aca="false">6*J2736+(J2736-K2736-M2736)+2*L2736+3*N2736</f>
        <v>35</v>
      </c>
      <c r="P2736" s="0" t="n">
        <f aca="true">RAND()</f>
        <v>0.130810847925886</v>
      </c>
      <c r="Q2736" s="0" t="n">
        <f aca="true">RAND()</f>
        <v>0.0802284933349733</v>
      </c>
      <c r="R2736" s="0" t="n">
        <f aca="false">IF($I2736&lt;&gt;$O2736,0,IF(P2736&lt;Matchup!$B$39,7,IF(P2736&lt;Matchup!$B$39+Matchup!$B$40,3,0)))</f>
        <v>0</v>
      </c>
      <c r="S2736" s="0" t="n">
        <f aca="false">IF($I2736&lt;&gt;$O2736,0,IF(Q2736&lt;Matchup!$C$39,7,IF(Q2736&lt;Matchup!$C$39+Matchup!$C$40,3,0)))</f>
        <v>0</v>
      </c>
      <c r="T2736" s="0" t="n">
        <f aca="false">I2736+R2736</f>
        <v>28</v>
      </c>
      <c r="U2736" s="0" t="n">
        <f aca="false">O2736+S2736</f>
        <v>35</v>
      </c>
      <c r="V2736" s="0" t="n">
        <f aca="false">T2736-U2736</f>
        <v>-7</v>
      </c>
      <c r="W2736" s="0" t="n">
        <f aca="false">T2736+U2736</f>
        <v>63</v>
      </c>
    </row>
    <row r="2737" customFormat="false" ht="15" hidden="false" customHeight="false" outlineLevel="0" collapsed="false">
      <c r="A2737" s="0" t="n">
        <v>2734</v>
      </c>
      <c r="B2737" s="0" t="n">
        <f aca="true">NORMINV(RAND(),1,Coefficients!$B$22)</f>
        <v>0.952650678523789</v>
      </c>
      <c r="C2737" s="0" t="n">
        <f aca="true">MEDIAN(8,16,ROUND(NORMINV(RAND(),Coefficients!$B$20,Coefficients!$B$21),0))</f>
        <v>11</v>
      </c>
      <c r="D2737" s="0" t="n">
        <f aca="true">CRITBINOM($C2737,MIN(0.75,Matchup!$B$39*$B2737),RAND())</f>
        <v>4</v>
      </c>
      <c r="E2737" s="0" t="n">
        <f aca="true">CRITBINOM(D2737,Coefficients!$B$30,RAND())</f>
        <v>0</v>
      </c>
      <c r="F2737" s="0" t="n">
        <f aca="true">CRITBINOM(E2737,Coefficients!$B$31,RAND())</f>
        <v>0</v>
      </c>
      <c r="G2737" s="0" t="n">
        <f aca="true">CRITBINOM(MAX(0,D2737-E2737),1-Coefficients!$B$32,RAND())</f>
        <v>0</v>
      </c>
      <c r="H2737" s="0" t="n">
        <f aca="true">CRITBINOM(MAX(0,$C2737-D2737),MIN(0.6,Matchup!$B$40*SQRT($B2737)/(1-MIN(0.75,Matchup!$B$39*$B2737))),RAND())</f>
        <v>3</v>
      </c>
      <c r="I2737" s="0" t="n">
        <f aca="false">6*D2737+(D2737-E2737-G2737)+2*F2737+3*H2737</f>
        <v>37</v>
      </c>
      <c r="J2737" s="0" t="n">
        <f aca="true">CRITBINOM($C2737,MIN(0.75,Matchup!$C$39*$B2737),RAND())</f>
        <v>5</v>
      </c>
      <c r="K2737" s="0" t="n">
        <f aca="true">CRITBINOM(J2737,Coefficients!$B$30,RAND())</f>
        <v>1</v>
      </c>
      <c r="L2737" s="0" t="n">
        <f aca="true">CRITBINOM(K2737,Coefficients!$B$31,RAND())</f>
        <v>0</v>
      </c>
      <c r="M2737" s="0" t="n">
        <f aca="true">CRITBINOM(MAX(0,J2737-K2737),1-Coefficients!$B$32,RAND())</f>
        <v>0</v>
      </c>
      <c r="N2737" s="0" t="n">
        <f aca="true">CRITBINOM(MAX(0,$C2737-J2737),MIN(0.6,Matchup!$C$40*SQRT($B2737)/(1-MIN(0.75,Matchup!$C$39*$B2737))),RAND())</f>
        <v>1</v>
      </c>
      <c r="O2737" s="0" t="n">
        <f aca="false">6*J2737+(J2737-K2737-M2737)+2*L2737+3*N2737</f>
        <v>37</v>
      </c>
      <c r="P2737" s="0" t="n">
        <f aca="true">RAND()</f>
        <v>0.247982438698004</v>
      </c>
      <c r="Q2737" s="0" t="n">
        <f aca="true">RAND()</f>
        <v>0.279809433775988</v>
      </c>
      <c r="R2737" s="0" t="n">
        <f aca="false">IF($I2737&lt;&gt;$O2737,0,IF(P2737&lt;Matchup!$B$39,7,IF(P2737&lt;Matchup!$B$39+Matchup!$B$40,3,0)))</f>
        <v>7</v>
      </c>
      <c r="S2737" s="0" t="n">
        <f aca="false">IF($I2737&lt;&gt;$O2737,0,IF(Q2737&lt;Matchup!$C$39,7,IF(Q2737&lt;Matchup!$C$39+Matchup!$C$40,3,0)))</f>
        <v>3</v>
      </c>
      <c r="T2737" s="0" t="n">
        <f aca="false">I2737+R2737</f>
        <v>44</v>
      </c>
      <c r="U2737" s="0" t="n">
        <f aca="false">O2737+S2737</f>
        <v>40</v>
      </c>
      <c r="V2737" s="0" t="n">
        <f aca="false">T2737-U2737</f>
        <v>4</v>
      </c>
      <c r="W2737" s="0" t="n">
        <f aca="false">T2737+U2737</f>
        <v>84</v>
      </c>
    </row>
    <row r="2738" customFormat="false" ht="15" hidden="false" customHeight="false" outlineLevel="0" collapsed="false">
      <c r="A2738" s="0" t="n">
        <v>2735</v>
      </c>
      <c r="B2738" s="0" t="n">
        <f aca="true">NORMINV(RAND(),1,Coefficients!$B$22)</f>
        <v>1.05177222764003</v>
      </c>
      <c r="C2738" s="0" t="n">
        <f aca="true">MEDIAN(8,16,ROUND(NORMINV(RAND(),Coefficients!$B$20,Coefficients!$B$21),0))</f>
        <v>11</v>
      </c>
      <c r="D2738" s="0" t="n">
        <f aca="true">CRITBINOM($C2738,MIN(0.75,Matchup!$B$39*$B2738),RAND())</f>
        <v>4</v>
      </c>
      <c r="E2738" s="0" t="n">
        <f aca="true">CRITBINOM(D2738,Coefficients!$B$30,RAND())</f>
        <v>0</v>
      </c>
      <c r="F2738" s="0" t="n">
        <f aca="true">CRITBINOM(E2738,Coefficients!$B$31,RAND())</f>
        <v>0</v>
      </c>
      <c r="G2738" s="0" t="n">
        <f aca="true">CRITBINOM(MAX(0,D2738-E2738),1-Coefficients!$B$32,RAND())</f>
        <v>0</v>
      </c>
      <c r="H2738" s="0" t="n">
        <f aca="true">CRITBINOM(MAX(0,$C2738-D2738),MIN(0.6,Matchup!$B$40*SQRT($B2738)/(1-MIN(0.75,Matchup!$B$39*$B2738))),RAND())</f>
        <v>0</v>
      </c>
      <c r="I2738" s="0" t="n">
        <f aca="false">6*D2738+(D2738-E2738-G2738)+2*F2738+3*H2738</f>
        <v>28</v>
      </c>
      <c r="J2738" s="0" t="n">
        <f aca="true">CRITBINOM($C2738,MIN(0.75,Matchup!$C$39*$B2738),RAND())</f>
        <v>7</v>
      </c>
      <c r="K2738" s="0" t="n">
        <f aca="true">CRITBINOM(J2738,Coefficients!$B$30,RAND())</f>
        <v>1</v>
      </c>
      <c r="L2738" s="0" t="n">
        <f aca="true">CRITBINOM(K2738,Coefficients!$B$31,RAND())</f>
        <v>0</v>
      </c>
      <c r="M2738" s="0" t="n">
        <f aca="true">CRITBINOM(MAX(0,J2738-K2738),1-Coefficients!$B$32,RAND())</f>
        <v>0</v>
      </c>
      <c r="N2738" s="0" t="n">
        <f aca="true">CRITBINOM(MAX(0,$C2738-J2738),MIN(0.6,Matchup!$C$40*SQRT($B2738)/(1-MIN(0.75,Matchup!$C$39*$B2738))),RAND())</f>
        <v>1</v>
      </c>
      <c r="O2738" s="0" t="n">
        <f aca="false">6*J2738+(J2738-K2738-M2738)+2*L2738+3*N2738</f>
        <v>51</v>
      </c>
      <c r="P2738" s="0" t="n">
        <f aca="true">RAND()</f>
        <v>0.00351932446184871</v>
      </c>
      <c r="Q2738" s="0" t="n">
        <f aca="true">RAND()</f>
        <v>0.533876367022298</v>
      </c>
      <c r="R2738" s="0" t="n">
        <f aca="false">IF($I2738&lt;&gt;$O2738,0,IF(P2738&lt;Matchup!$B$39,7,IF(P2738&lt;Matchup!$B$39+Matchup!$B$40,3,0)))</f>
        <v>0</v>
      </c>
      <c r="S2738" s="0" t="n">
        <f aca="false">IF($I2738&lt;&gt;$O2738,0,IF(Q2738&lt;Matchup!$C$39,7,IF(Q2738&lt;Matchup!$C$39+Matchup!$C$40,3,0)))</f>
        <v>0</v>
      </c>
      <c r="T2738" s="0" t="n">
        <f aca="false">I2738+R2738</f>
        <v>28</v>
      </c>
      <c r="U2738" s="0" t="n">
        <f aca="false">O2738+S2738</f>
        <v>51</v>
      </c>
      <c r="V2738" s="0" t="n">
        <f aca="false">T2738-U2738</f>
        <v>-23</v>
      </c>
      <c r="W2738" s="0" t="n">
        <f aca="false">T2738+U2738</f>
        <v>79</v>
      </c>
    </row>
    <row r="2739" customFormat="false" ht="15" hidden="false" customHeight="false" outlineLevel="0" collapsed="false">
      <c r="A2739" s="0" t="n">
        <v>2736</v>
      </c>
      <c r="B2739" s="0" t="n">
        <f aca="true">NORMINV(RAND(),1,Coefficients!$B$22)</f>
        <v>1.00910331456646</v>
      </c>
      <c r="C2739" s="0" t="n">
        <f aca="true">MEDIAN(8,16,ROUND(NORMINV(RAND(),Coefficients!$B$20,Coefficients!$B$21),0))</f>
        <v>12</v>
      </c>
      <c r="D2739" s="0" t="n">
        <f aca="true">CRITBINOM($C2739,MIN(0.75,Matchup!$B$39*$B2739),RAND())</f>
        <v>4</v>
      </c>
      <c r="E2739" s="0" t="n">
        <f aca="true">CRITBINOM(D2739,Coefficients!$B$30,RAND())</f>
        <v>0</v>
      </c>
      <c r="F2739" s="0" t="n">
        <f aca="true">CRITBINOM(E2739,Coefficients!$B$31,RAND())</f>
        <v>0</v>
      </c>
      <c r="G2739" s="0" t="n">
        <f aca="true">CRITBINOM(MAX(0,D2739-E2739),1-Coefficients!$B$32,RAND())</f>
        <v>0</v>
      </c>
      <c r="H2739" s="0" t="n">
        <f aca="true">CRITBINOM(MAX(0,$C2739-D2739),MIN(0.6,Matchup!$B$40*SQRT($B2739)/(1-MIN(0.75,Matchup!$B$39*$B2739))),RAND())</f>
        <v>1</v>
      </c>
      <c r="I2739" s="0" t="n">
        <f aca="false">6*D2739+(D2739-E2739-G2739)+2*F2739+3*H2739</f>
        <v>31</v>
      </c>
      <c r="J2739" s="0" t="n">
        <f aca="true">CRITBINOM($C2739,MIN(0.75,Matchup!$C$39*$B2739),RAND())</f>
        <v>0</v>
      </c>
      <c r="K2739" s="0" t="n">
        <f aca="true">CRITBINOM(J2739,Coefficients!$B$30,RAND())</f>
        <v>0</v>
      </c>
      <c r="L2739" s="0" t="n">
        <f aca="true">CRITBINOM(K2739,Coefficients!$B$31,RAND())</f>
        <v>0</v>
      </c>
      <c r="M2739" s="0" t="n">
        <f aca="true">CRITBINOM(MAX(0,J2739-K2739),1-Coefficients!$B$32,RAND())</f>
        <v>0</v>
      </c>
      <c r="N2739" s="0" t="n">
        <f aca="true">CRITBINOM(MAX(0,$C2739-J2739),MIN(0.6,Matchup!$C$40*SQRT($B2739)/(1-MIN(0.75,Matchup!$C$39*$B2739))),RAND())</f>
        <v>4</v>
      </c>
      <c r="O2739" s="0" t="n">
        <f aca="false">6*J2739+(J2739-K2739-M2739)+2*L2739+3*N2739</f>
        <v>12</v>
      </c>
      <c r="P2739" s="0" t="n">
        <f aca="true">RAND()</f>
        <v>0.750425552550901</v>
      </c>
      <c r="Q2739" s="0" t="n">
        <f aca="true">RAND()</f>
        <v>0.786583495270962</v>
      </c>
      <c r="R2739" s="0" t="n">
        <f aca="false">IF($I2739&lt;&gt;$O2739,0,IF(P2739&lt;Matchup!$B$39,7,IF(P2739&lt;Matchup!$B$39+Matchup!$B$40,3,0)))</f>
        <v>0</v>
      </c>
      <c r="S2739" s="0" t="n">
        <f aca="false">IF($I2739&lt;&gt;$O2739,0,IF(Q2739&lt;Matchup!$C$39,7,IF(Q2739&lt;Matchup!$C$39+Matchup!$C$40,3,0)))</f>
        <v>0</v>
      </c>
      <c r="T2739" s="0" t="n">
        <f aca="false">I2739+R2739</f>
        <v>31</v>
      </c>
      <c r="U2739" s="0" t="n">
        <f aca="false">O2739+S2739</f>
        <v>12</v>
      </c>
      <c r="V2739" s="0" t="n">
        <f aca="false">T2739-U2739</f>
        <v>19</v>
      </c>
      <c r="W2739" s="0" t="n">
        <f aca="false">T2739+U2739</f>
        <v>43</v>
      </c>
    </row>
    <row r="2740" customFormat="false" ht="15" hidden="false" customHeight="false" outlineLevel="0" collapsed="false">
      <c r="A2740" s="0" t="n">
        <v>2737</v>
      </c>
      <c r="B2740" s="0" t="n">
        <f aca="true">NORMINV(RAND(),1,Coefficients!$B$22)</f>
        <v>0.98427037479174</v>
      </c>
      <c r="C2740" s="0" t="n">
        <f aca="true">MEDIAN(8,16,ROUND(NORMINV(RAND(),Coefficients!$B$20,Coefficients!$B$21),0))</f>
        <v>12</v>
      </c>
      <c r="D2740" s="0" t="n">
        <f aca="true">CRITBINOM($C2740,MIN(0.75,Matchup!$B$39*$B2740),RAND())</f>
        <v>2</v>
      </c>
      <c r="E2740" s="0" t="n">
        <f aca="true">CRITBINOM(D2740,Coefficients!$B$30,RAND())</f>
        <v>0</v>
      </c>
      <c r="F2740" s="0" t="n">
        <f aca="true">CRITBINOM(E2740,Coefficients!$B$31,RAND())</f>
        <v>0</v>
      </c>
      <c r="G2740" s="0" t="n">
        <f aca="true">CRITBINOM(MAX(0,D2740-E2740),1-Coefficients!$B$32,RAND())</f>
        <v>1</v>
      </c>
      <c r="H2740" s="0" t="n">
        <f aca="true">CRITBINOM(MAX(0,$C2740-D2740),MIN(0.6,Matchup!$B$40*SQRT($B2740)/(1-MIN(0.75,Matchup!$B$39*$B2740))),RAND())</f>
        <v>0</v>
      </c>
      <c r="I2740" s="0" t="n">
        <f aca="false">6*D2740+(D2740-E2740-G2740)+2*F2740+3*H2740</f>
        <v>13</v>
      </c>
      <c r="J2740" s="0" t="n">
        <f aca="true">CRITBINOM($C2740,MIN(0.75,Matchup!$C$39*$B2740),RAND())</f>
        <v>4</v>
      </c>
      <c r="K2740" s="0" t="n">
        <f aca="true">CRITBINOM(J2740,Coefficients!$B$30,RAND())</f>
        <v>1</v>
      </c>
      <c r="L2740" s="0" t="n">
        <f aca="true">CRITBINOM(K2740,Coefficients!$B$31,RAND())</f>
        <v>0</v>
      </c>
      <c r="M2740" s="0" t="n">
        <f aca="true">CRITBINOM(MAX(0,J2740-K2740),1-Coefficients!$B$32,RAND())</f>
        <v>0</v>
      </c>
      <c r="N2740" s="0" t="n">
        <f aca="true">CRITBINOM(MAX(0,$C2740-J2740),MIN(0.6,Matchup!$C$40*SQRT($B2740)/(1-MIN(0.75,Matchup!$C$39*$B2740))),RAND())</f>
        <v>3</v>
      </c>
      <c r="O2740" s="0" t="n">
        <f aca="false">6*J2740+(J2740-K2740-M2740)+2*L2740+3*N2740</f>
        <v>36</v>
      </c>
      <c r="P2740" s="0" t="n">
        <f aca="true">RAND()</f>
        <v>0.619171463441377</v>
      </c>
      <c r="Q2740" s="0" t="n">
        <f aca="true">RAND()</f>
        <v>0.192414263506165</v>
      </c>
      <c r="R2740" s="0" t="n">
        <f aca="false">IF($I2740&lt;&gt;$O2740,0,IF(P2740&lt;Matchup!$B$39,7,IF(P2740&lt;Matchup!$B$39+Matchup!$B$40,3,0)))</f>
        <v>0</v>
      </c>
      <c r="S2740" s="0" t="n">
        <f aca="false">IF($I2740&lt;&gt;$O2740,0,IF(Q2740&lt;Matchup!$C$39,7,IF(Q2740&lt;Matchup!$C$39+Matchup!$C$40,3,0)))</f>
        <v>0</v>
      </c>
      <c r="T2740" s="0" t="n">
        <f aca="false">I2740+R2740</f>
        <v>13</v>
      </c>
      <c r="U2740" s="0" t="n">
        <f aca="false">O2740+S2740</f>
        <v>36</v>
      </c>
      <c r="V2740" s="0" t="n">
        <f aca="false">T2740-U2740</f>
        <v>-23</v>
      </c>
      <c r="W2740" s="0" t="n">
        <f aca="false">T2740+U2740</f>
        <v>49</v>
      </c>
    </row>
    <row r="2741" customFormat="false" ht="15" hidden="false" customHeight="false" outlineLevel="0" collapsed="false">
      <c r="A2741" s="0" t="n">
        <v>2738</v>
      </c>
      <c r="B2741" s="0" t="n">
        <f aca="true">NORMINV(RAND(),1,Coefficients!$B$22)</f>
        <v>1.05414451867663</v>
      </c>
      <c r="C2741" s="0" t="n">
        <f aca="true">MEDIAN(8,16,ROUND(NORMINV(RAND(),Coefficients!$B$20,Coefficients!$B$21),0))</f>
        <v>11</v>
      </c>
      <c r="D2741" s="0" t="n">
        <f aca="true">CRITBINOM($C2741,MIN(0.75,Matchup!$B$39*$B2741),RAND())</f>
        <v>2</v>
      </c>
      <c r="E2741" s="0" t="n">
        <f aca="true">CRITBINOM(D2741,Coefficients!$B$30,RAND())</f>
        <v>0</v>
      </c>
      <c r="F2741" s="0" t="n">
        <f aca="true">CRITBINOM(E2741,Coefficients!$B$31,RAND())</f>
        <v>0</v>
      </c>
      <c r="G2741" s="0" t="n">
        <f aca="true">CRITBINOM(MAX(0,D2741-E2741),1-Coefficients!$B$32,RAND())</f>
        <v>0</v>
      </c>
      <c r="H2741" s="0" t="n">
        <f aca="true">CRITBINOM(MAX(0,$C2741-D2741),MIN(0.6,Matchup!$B$40*SQRT($B2741)/(1-MIN(0.75,Matchup!$B$39*$B2741))),RAND())</f>
        <v>1</v>
      </c>
      <c r="I2741" s="0" t="n">
        <f aca="false">6*D2741+(D2741-E2741-G2741)+2*F2741+3*H2741</f>
        <v>17</v>
      </c>
      <c r="J2741" s="0" t="n">
        <f aca="true">CRITBINOM($C2741,MIN(0.75,Matchup!$C$39*$B2741),RAND())</f>
        <v>3</v>
      </c>
      <c r="K2741" s="0" t="n">
        <f aca="true">CRITBINOM(J2741,Coefficients!$B$30,RAND())</f>
        <v>0</v>
      </c>
      <c r="L2741" s="0" t="n">
        <f aca="true">CRITBINOM(K2741,Coefficients!$B$31,RAND())</f>
        <v>0</v>
      </c>
      <c r="M2741" s="0" t="n">
        <f aca="true">CRITBINOM(MAX(0,J2741-K2741),1-Coefficients!$B$32,RAND())</f>
        <v>0</v>
      </c>
      <c r="N2741" s="0" t="n">
        <f aca="true">CRITBINOM(MAX(0,$C2741-J2741),MIN(0.6,Matchup!$C$40*SQRT($B2741)/(1-MIN(0.75,Matchup!$C$39*$B2741))),RAND())</f>
        <v>1</v>
      </c>
      <c r="O2741" s="0" t="n">
        <f aca="false">6*J2741+(J2741-K2741-M2741)+2*L2741+3*N2741</f>
        <v>24</v>
      </c>
      <c r="P2741" s="0" t="n">
        <f aca="true">RAND()</f>
        <v>0.610053329717197</v>
      </c>
      <c r="Q2741" s="0" t="n">
        <f aca="true">RAND()</f>
        <v>0.769234898667461</v>
      </c>
      <c r="R2741" s="0" t="n">
        <f aca="false">IF($I2741&lt;&gt;$O2741,0,IF(P2741&lt;Matchup!$B$39,7,IF(P2741&lt;Matchup!$B$39+Matchup!$B$40,3,0)))</f>
        <v>0</v>
      </c>
      <c r="S2741" s="0" t="n">
        <f aca="false">IF($I2741&lt;&gt;$O2741,0,IF(Q2741&lt;Matchup!$C$39,7,IF(Q2741&lt;Matchup!$C$39+Matchup!$C$40,3,0)))</f>
        <v>0</v>
      </c>
      <c r="T2741" s="0" t="n">
        <f aca="false">I2741+R2741</f>
        <v>17</v>
      </c>
      <c r="U2741" s="0" t="n">
        <f aca="false">O2741+S2741</f>
        <v>24</v>
      </c>
      <c r="V2741" s="0" t="n">
        <f aca="false">T2741-U2741</f>
        <v>-7</v>
      </c>
      <c r="W2741" s="0" t="n">
        <f aca="false">T2741+U2741</f>
        <v>41</v>
      </c>
    </row>
    <row r="2742" customFormat="false" ht="15" hidden="false" customHeight="false" outlineLevel="0" collapsed="false">
      <c r="A2742" s="0" t="n">
        <v>2739</v>
      </c>
      <c r="B2742" s="0" t="n">
        <f aca="true">NORMINV(RAND(),1,Coefficients!$B$22)</f>
        <v>0.997239083294719</v>
      </c>
      <c r="C2742" s="0" t="n">
        <f aca="true">MEDIAN(8,16,ROUND(NORMINV(RAND(),Coefficients!$B$20,Coefficients!$B$21),0))</f>
        <v>11</v>
      </c>
      <c r="D2742" s="0" t="n">
        <f aca="true">CRITBINOM($C2742,MIN(0.75,Matchup!$B$39*$B2742),RAND())</f>
        <v>2</v>
      </c>
      <c r="E2742" s="0" t="n">
        <f aca="true">CRITBINOM(D2742,Coefficients!$B$30,RAND())</f>
        <v>0</v>
      </c>
      <c r="F2742" s="0" t="n">
        <f aca="true">CRITBINOM(E2742,Coefficients!$B$31,RAND())</f>
        <v>0</v>
      </c>
      <c r="G2742" s="0" t="n">
        <f aca="true">CRITBINOM(MAX(0,D2742-E2742),1-Coefficients!$B$32,RAND())</f>
        <v>0</v>
      </c>
      <c r="H2742" s="0" t="n">
        <f aca="true">CRITBINOM(MAX(0,$C2742-D2742),MIN(0.6,Matchup!$B$40*SQRT($B2742)/(1-MIN(0.75,Matchup!$B$39*$B2742))),RAND())</f>
        <v>1</v>
      </c>
      <c r="I2742" s="0" t="n">
        <f aca="false">6*D2742+(D2742-E2742-G2742)+2*F2742+3*H2742</f>
        <v>17</v>
      </c>
      <c r="J2742" s="0" t="n">
        <f aca="true">CRITBINOM($C2742,MIN(0.75,Matchup!$C$39*$B2742),RAND())</f>
        <v>4</v>
      </c>
      <c r="K2742" s="0" t="n">
        <f aca="true">CRITBINOM(J2742,Coefficients!$B$30,RAND())</f>
        <v>0</v>
      </c>
      <c r="L2742" s="0" t="n">
        <f aca="true">CRITBINOM(K2742,Coefficients!$B$31,RAND())</f>
        <v>0</v>
      </c>
      <c r="M2742" s="0" t="n">
        <f aca="true">CRITBINOM(MAX(0,J2742-K2742),1-Coefficients!$B$32,RAND())</f>
        <v>0</v>
      </c>
      <c r="N2742" s="0" t="n">
        <f aca="true">CRITBINOM(MAX(0,$C2742-J2742),MIN(0.6,Matchup!$C$40*SQRT($B2742)/(1-MIN(0.75,Matchup!$C$39*$B2742))),RAND())</f>
        <v>1</v>
      </c>
      <c r="O2742" s="0" t="n">
        <f aca="false">6*J2742+(J2742-K2742-M2742)+2*L2742+3*N2742</f>
        <v>31</v>
      </c>
      <c r="P2742" s="0" t="n">
        <f aca="true">RAND()</f>
        <v>0.505017677215074</v>
      </c>
      <c r="Q2742" s="0" t="n">
        <f aca="true">RAND()</f>
        <v>0.258189753427406</v>
      </c>
      <c r="R2742" s="0" t="n">
        <f aca="false">IF($I2742&lt;&gt;$O2742,0,IF(P2742&lt;Matchup!$B$39,7,IF(P2742&lt;Matchup!$B$39+Matchup!$B$40,3,0)))</f>
        <v>0</v>
      </c>
      <c r="S2742" s="0" t="n">
        <f aca="false">IF($I2742&lt;&gt;$O2742,0,IF(Q2742&lt;Matchup!$C$39,7,IF(Q2742&lt;Matchup!$C$39+Matchup!$C$40,3,0)))</f>
        <v>0</v>
      </c>
      <c r="T2742" s="0" t="n">
        <f aca="false">I2742+R2742</f>
        <v>17</v>
      </c>
      <c r="U2742" s="0" t="n">
        <f aca="false">O2742+S2742</f>
        <v>31</v>
      </c>
      <c r="V2742" s="0" t="n">
        <f aca="false">T2742-U2742</f>
        <v>-14</v>
      </c>
      <c r="W2742" s="0" t="n">
        <f aca="false">T2742+U2742</f>
        <v>48</v>
      </c>
    </row>
    <row r="2743" customFormat="false" ht="15" hidden="false" customHeight="false" outlineLevel="0" collapsed="false">
      <c r="A2743" s="0" t="n">
        <v>2740</v>
      </c>
      <c r="B2743" s="0" t="n">
        <f aca="true">NORMINV(RAND(),1,Coefficients!$B$22)</f>
        <v>0.921548172195344</v>
      </c>
      <c r="C2743" s="0" t="n">
        <f aca="true">MEDIAN(8,16,ROUND(NORMINV(RAND(),Coefficients!$B$20,Coefficients!$B$21),0))</f>
        <v>14</v>
      </c>
      <c r="D2743" s="0" t="n">
        <f aca="true">CRITBINOM($C2743,MIN(0.75,Matchup!$B$39*$B2743),RAND())</f>
        <v>4</v>
      </c>
      <c r="E2743" s="0" t="n">
        <f aca="true">CRITBINOM(D2743,Coefficients!$B$30,RAND())</f>
        <v>0</v>
      </c>
      <c r="F2743" s="0" t="n">
        <f aca="true">CRITBINOM(E2743,Coefficients!$B$31,RAND())</f>
        <v>0</v>
      </c>
      <c r="G2743" s="0" t="n">
        <f aca="true">CRITBINOM(MAX(0,D2743-E2743),1-Coefficients!$B$32,RAND())</f>
        <v>0</v>
      </c>
      <c r="H2743" s="0" t="n">
        <f aca="true">CRITBINOM(MAX(0,$C2743-D2743),MIN(0.6,Matchup!$B$40*SQRT($B2743)/(1-MIN(0.75,Matchup!$B$39*$B2743))),RAND())</f>
        <v>2</v>
      </c>
      <c r="I2743" s="0" t="n">
        <f aca="false">6*D2743+(D2743-E2743-G2743)+2*F2743+3*H2743</f>
        <v>34</v>
      </c>
      <c r="J2743" s="0" t="n">
        <f aca="true">CRITBINOM($C2743,MIN(0.75,Matchup!$C$39*$B2743),RAND())</f>
        <v>3</v>
      </c>
      <c r="K2743" s="0" t="n">
        <f aca="true">CRITBINOM(J2743,Coefficients!$B$30,RAND())</f>
        <v>0</v>
      </c>
      <c r="L2743" s="0" t="n">
        <f aca="true">CRITBINOM(K2743,Coefficients!$B$31,RAND())</f>
        <v>0</v>
      </c>
      <c r="M2743" s="0" t="n">
        <f aca="true">CRITBINOM(MAX(0,J2743-K2743),1-Coefficients!$B$32,RAND())</f>
        <v>0</v>
      </c>
      <c r="N2743" s="0" t="n">
        <f aca="true">CRITBINOM(MAX(0,$C2743-J2743),MIN(0.6,Matchup!$C$40*SQRT($B2743)/(1-MIN(0.75,Matchup!$C$39*$B2743))),RAND())</f>
        <v>2</v>
      </c>
      <c r="O2743" s="0" t="n">
        <f aca="false">6*J2743+(J2743-K2743-M2743)+2*L2743+3*N2743</f>
        <v>27</v>
      </c>
      <c r="P2743" s="0" t="n">
        <f aca="true">RAND()</f>
        <v>0.190420708335716</v>
      </c>
      <c r="Q2743" s="0" t="n">
        <f aca="true">RAND()</f>
        <v>0.2280750760682</v>
      </c>
      <c r="R2743" s="0" t="n">
        <f aca="false">IF($I2743&lt;&gt;$O2743,0,IF(P2743&lt;Matchup!$B$39,7,IF(P2743&lt;Matchup!$B$39+Matchup!$B$40,3,0)))</f>
        <v>0</v>
      </c>
      <c r="S2743" s="0" t="n">
        <f aca="false">IF($I2743&lt;&gt;$O2743,0,IF(Q2743&lt;Matchup!$C$39,7,IF(Q2743&lt;Matchup!$C$39+Matchup!$C$40,3,0)))</f>
        <v>0</v>
      </c>
      <c r="T2743" s="0" t="n">
        <f aca="false">I2743+R2743</f>
        <v>34</v>
      </c>
      <c r="U2743" s="0" t="n">
        <f aca="false">O2743+S2743</f>
        <v>27</v>
      </c>
      <c r="V2743" s="0" t="n">
        <f aca="false">T2743-U2743</f>
        <v>7</v>
      </c>
      <c r="W2743" s="0" t="n">
        <f aca="false">T2743+U2743</f>
        <v>61</v>
      </c>
    </row>
    <row r="2744" customFormat="false" ht="15" hidden="false" customHeight="false" outlineLevel="0" collapsed="false">
      <c r="A2744" s="0" t="n">
        <v>2741</v>
      </c>
      <c r="B2744" s="0" t="n">
        <f aca="true">NORMINV(RAND(),1,Coefficients!$B$22)</f>
        <v>1.0550866779043</v>
      </c>
      <c r="C2744" s="0" t="n">
        <f aca="true">MEDIAN(8,16,ROUND(NORMINV(RAND(),Coefficients!$B$20,Coefficients!$B$21),0))</f>
        <v>12</v>
      </c>
      <c r="D2744" s="0" t="n">
        <f aca="true">CRITBINOM($C2744,MIN(0.75,Matchup!$B$39*$B2744),RAND())</f>
        <v>5</v>
      </c>
      <c r="E2744" s="0" t="n">
        <f aca="true">CRITBINOM(D2744,Coefficients!$B$30,RAND())</f>
        <v>0</v>
      </c>
      <c r="F2744" s="0" t="n">
        <f aca="true">CRITBINOM(E2744,Coefficients!$B$31,RAND())</f>
        <v>0</v>
      </c>
      <c r="G2744" s="0" t="n">
        <f aca="true">CRITBINOM(MAX(0,D2744-E2744),1-Coefficients!$B$32,RAND())</f>
        <v>2</v>
      </c>
      <c r="H2744" s="0" t="n">
        <f aca="true">CRITBINOM(MAX(0,$C2744-D2744),MIN(0.6,Matchup!$B$40*SQRT($B2744)/(1-MIN(0.75,Matchup!$B$39*$B2744))),RAND())</f>
        <v>1</v>
      </c>
      <c r="I2744" s="0" t="n">
        <f aca="false">6*D2744+(D2744-E2744-G2744)+2*F2744+3*H2744</f>
        <v>36</v>
      </c>
      <c r="J2744" s="0" t="n">
        <f aca="true">CRITBINOM($C2744,MIN(0.75,Matchup!$C$39*$B2744),RAND())</f>
        <v>1</v>
      </c>
      <c r="K2744" s="0" t="n">
        <f aca="true">CRITBINOM(J2744,Coefficients!$B$30,RAND())</f>
        <v>0</v>
      </c>
      <c r="L2744" s="0" t="n">
        <f aca="true">CRITBINOM(K2744,Coefficients!$B$31,RAND())</f>
        <v>0</v>
      </c>
      <c r="M2744" s="0" t="n">
        <f aca="true">CRITBINOM(MAX(0,J2744-K2744),1-Coefficients!$B$32,RAND())</f>
        <v>0</v>
      </c>
      <c r="N2744" s="0" t="n">
        <f aca="true">CRITBINOM(MAX(0,$C2744-J2744),MIN(0.6,Matchup!$C$40*SQRT($B2744)/(1-MIN(0.75,Matchup!$C$39*$B2744))),RAND())</f>
        <v>1</v>
      </c>
      <c r="O2744" s="0" t="n">
        <f aca="false">6*J2744+(J2744-K2744-M2744)+2*L2744+3*N2744</f>
        <v>10</v>
      </c>
      <c r="P2744" s="0" t="n">
        <f aca="true">RAND()</f>
        <v>0.69898060616038</v>
      </c>
      <c r="Q2744" s="0" t="n">
        <f aca="true">RAND()</f>
        <v>0.524220056122105</v>
      </c>
      <c r="R2744" s="0" t="n">
        <f aca="false">IF($I2744&lt;&gt;$O2744,0,IF(P2744&lt;Matchup!$B$39,7,IF(P2744&lt;Matchup!$B$39+Matchup!$B$40,3,0)))</f>
        <v>0</v>
      </c>
      <c r="S2744" s="0" t="n">
        <f aca="false">IF($I2744&lt;&gt;$O2744,0,IF(Q2744&lt;Matchup!$C$39,7,IF(Q2744&lt;Matchup!$C$39+Matchup!$C$40,3,0)))</f>
        <v>0</v>
      </c>
      <c r="T2744" s="0" t="n">
        <f aca="false">I2744+R2744</f>
        <v>36</v>
      </c>
      <c r="U2744" s="0" t="n">
        <f aca="false">O2744+S2744</f>
        <v>10</v>
      </c>
      <c r="V2744" s="0" t="n">
        <f aca="false">T2744-U2744</f>
        <v>26</v>
      </c>
      <c r="W2744" s="0" t="n">
        <f aca="false">T2744+U2744</f>
        <v>46</v>
      </c>
    </row>
    <row r="2745" customFormat="false" ht="15" hidden="false" customHeight="false" outlineLevel="0" collapsed="false">
      <c r="A2745" s="0" t="n">
        <v>2742</v>
      </c>
      <c r="B2745" s="0" t="n">
        <f aca="true">NORMINV(RAND(),1,Coefficients!$B$22)</f>
        <v>0.846454487456755</v>
      </c>
      <c r="C2745" s="0" t="n">
        <f aca="true">MEDIAN(8,16,ROUND(NORMINV(RAND(),Coefficients!$B$20,Coefficients!$B$21),0))</f>
        <v>11</v>
      </c>
      <c r="D2745" s="0" t="n">
        <f aca="true">CRITBINOM($C2745,MIN(0.75,Matchup!$B$39*$B2745),RAND())</f>
        <v>8</v>
      </c>
      <c r="E2745" s="0" t="n">
        <f aca="true">CRITBINOM(D2745,Coefficients!$B$30,RAND())</f>
        <v>0</v>
      </c>
      <c r="F2745" s="0" t="n">
        <f aca="true">CRITBINOM(E2745,Coefficients!$B$31,RAND())</f>
        <v>0</v>
      </c>
      <c r="G2745" s="0" t="n">
        <f aca="true">CRITBINOM(MAX(0,D2745-E2745),1-Coefficients!$B$32,RAND())</f>
        <v>0</v>
      </c>
      <c r="H2745" s="0" t="n">
        <f aca="true">CRITBINOM(MAX(0,$C2745-D2745),MIN(0.6,Matchup!$B$40*SQRT($B2745)/(1-MIN(0.75,Matchup!$B$39*$B2745))),RAND())</f>
        <v>0</v>
      </c>
      <c r="I2745" s="0" t="n">
        <f aca="false">6*D2745+(D2745-E2745-G2745)+2*F2745+3*H2745</f>
        <v>56</v>
      </c>
      <c r="J2745" s="0" t="n">
        <f aca="true">CRITBINOM($C2745,MIN(0.75,Matchup!$C$39*$B2745),RAND())</f>
        <v>1</v>
      </c>
      <c r="K2745" s="0" t="n">
        <f aca="true">CRITBINOM(J2745,Coefficients!$B$30,RAND())</f>
        <v>1</v>
      </c>
      <c r="L2745" s="0" t="n">
        <f aca="true">CRITBINOM(K2745,Coefficients!$B$31,RAND())</f>
        <v>0</v>
      </c>
      <c r="M2745" s="0" t="n">
        <f aca="true">CRITBINOM(MAX(0,J2745-K2745),1-Coefficients!$B$32,RAND())</f>
        <v>0</v>
      </c>
      <c r="N2745" s="0" t="n">
        <f aca="true">CRITBINOM(MAX(0,$C2745-J2745),MIN(0.6,Matchup!$C$40*SQRT($B2745)/(1-MIN(0.75,Matchup!$C$39*$B2745))),RAND())</f>
        <v>2</v>
      </c>
      <c r="O2745" s="0" t="n">
        <f aca="false">6*J2745+(J2745-K2745-M2745)+2*L2745+3*N2745</f>
        <v>12</v>
      </c>
      <c r="P2745" s="0" t="n">
        <f aca="true">RAND()</f>
        <v>0.125583240167406</v>
      </c>
      <c r="Q2745" s="0" t="n">
        <f aca="true">RAND()</f>
        <v>0.898825066828333</v>
      </c>
      <c r="R2745" s="0" t="n">
        <f aca="false">IF($I2745&lt;&gt;$O2745,0,IF(P2745&lt;Matchup!$B$39,7,IF(P2745&lt;Matchup!$B$39+Matchup!$B$40,3,0)))</f>
        <v>0</v>
      </c>
      <c r="S2745" s="0" t="n">
        <f aca="false">IF($I2745&lt;&gt;$O2745,0,IF(Q2745&lt;Matchup!$C$39,7,IF(Q2745&lt;Matchup!$C$39+Matchup!$C$40,3,0)))</f>
        <v>0</v>
      </c>
      <c r="T2745" s="0" t="n">
        <f aca="false">I2745+R2745</f>
        <v>56</v>
      </c>
      <c r="U2745" s="0" t="n">
        <f aca="false">O2745+S2745</f>
        <v>12</v>
      </c>
      <c r="V2745" s="0" t="n">
        <f aca="false">T2745-U2745</f>
        <v>44</v>
      </c>
      <c r="W2745" s="0" t="n">
        <f aca="false">T2745+U2745</f>
        <v>68</v>
      </c>
    </row>
    <row r="2746" customFormat="false" ht="15" hidden="false" customHeight="false" outlineLevel="0" collapsed="false">
      <c r="A2746" s="0" t="n">
        <v>2743</v>
      </c>
      <c r="B2746" s="0" t="n">
        <f aca="true">NORMINV(RAND(),1,Coefficients!$B$22)</f>
        <v>1.12012325749703</v>
      </c>
      <c r="C2746" s="0" t="n">
        <f aca="true">MEDIAN(8,16,ROUND(NORMINV(RAND(),Coefficients!$B$20,Coefficients!$B$21),0))</f>
        <v>12</v>
      </c>
      <c r="D2746" s="0" t="n">
        <f aca="true">CRITBINOM($C2746,MIN(0.75,Matchup!$B$39*$B2746),RAND())</f>
        <v>5</v>
      </c>
      <c r="E2746" s="0" t="n">
        <f aca="true">CRITBINOM(D2746,Coefficients!$B$30,RAND())</f>
        <v>1</v>
      </c>
      <c r="F2746" s="0" t="n">
        <f aca="true">CRITBINOM(E2746,Coefficients!$B$31,RAND())</f>
        <v>1</v>
      </c>
      <c r="G2746" s="0" t="n">
        <f aca="true">CRITBINOM(MAX(0,D2746-E2746),1-Coefficients!$B$32,RAND())</f>
        <v>0</v>
      </c>
      <c r="H2746" s="0" t="n">
        <f aca="true">CRITBINOM(MAX(0,$C2746-D2746),MIN(0.6,Matchup!$B$40*SQRT($B2746)/(1-MIN(0.75,Matchup!$B$39*$B2746))),RAND())</f>
        <v>2</v>
      </c>
      <c r="I2746" s="0" t="n">
        <f aca="false">6*D2746+(D2746-E2746-G2746)+2*F2746+3*H2746</f>
        <v>42</v>
      </c>
      <c r="J2746" s="0" t="n">
        <f aca="true">CRITBINOM($C2746,MIN(0.75,Matchup!$C$39*$B2746),RAND())</f>
        <v>3</v>
      </c>
      <c r="K2746" s="0" t="n">
        <f aca="true">CRITBINOM(J2746,Coefficients!$B$30,RAND())</f>
        <v>0</v>
      </c>
      <c r="L2746" s="0" t="n">
        <f aca="true">CRITBINOM(K2746,Coefficients!$B$31,RAND())</f>
        <v>0</v>
      </c>
      <c r="M2746" s="0" t="n">
        <f aca="true">CRITBINOM(MAX(0,J2746-K2746),1-Coefficients!$B$32,RAND())</f>
        <v>0</v>
      </c>
      <c r="N2746" s="0" t="n">
        <f aca="true">CRITBINOM(MAX(0,$C2746-J2746),MIN(0.6,Matchup!$C$40*SQRT($B2746)/(1-MIN(0.75,Matchup!$C$39*$B2746))),RAND())</f>
        <v>2</v>
      </c>
      <c r="O2746" s="0" t="n">
        <f aca="false">6*J2746+(J2746-K2746-M2746)+2*L2746+3*N2746</f>
        <v>27</v>
      </c>
      <c r="P2746" s="0" t="n">
        <f aca="true">RAND()</f>
        <v>0.345315797502863</v>
      </c>
      <c r="Q2746" s="0" t="n">
        <f aca="true">RAND()</f>
        <v>0.5558690450553</v>
      </c>
      <c r="R2746" s="0" t="n">
        <f aca="false">IF($I2746&lt;&gt;$O2746,0,IF(P2746&lt;Matchup!$B$39,7,IF(P2746&lt;Matchup!$B$39+Matchup!$B$40,3,0)))</f>
        <v>0</v>
      </c>
      <c r="S2746" s="0" t="n">
        <f aca="false">IF($I2746&lt;&gt;$O2746,0,IF(Q2746&lt;Matchup!$C$39,7,IF(Q2746&lt;Matchup!$C$39+Matchup!$C$40,3,0)))</f>
        <v>0</v>
      </c>
      <c r="T2746" s="0" t="n">
        <f aca="false">I2746+R2746</f>
        <v>42</v>
      </c>
      <c r="U2746" s="0" t="n">
        <f aca="false">O2746+S2746</f>
        <v>27</v>
      </c>
      <c r="V2746" s="0" t="n">
        <f aca="false">T2746-U2746</f>
        <v>15</v>
      </c>
      <c r="W2746" s="0" t="n">
        <f aca="false">T2746+U2746</f>
        <v>69</v>
      </c>
    </row>
    <row r="2747" customFormat="false" ht="15" hidden="false" customHeight="false" outlineLevel="0" collapsed="false">
      <c r="A2747" s="0" t="n">
        <v>2744</v>
      </c>
      <c r="B2747" s="0" t="n">
        <f aca="true">NORMINV(RAND(),1,Coefficients!$B$22)</f>
        <v>0.894142117816797</v>
      </c>
      <c r="C2747" s="0" t="n">
        <f aca="true">MEDIAN(8,16,ROUND(NORMINV(RAND(),Coefficients!$B$20,Coefficients!$B$21),0))</f>
        <v>11</v>
      </c>
      <c r="D2747" s="0" t="n">
        <f aca="true">CRITBINOM($C2747,MIN(0.75,Matchup!$B$39*$B2747),RAND())</f>
        <v>3</v>
      </c>
      <c r="E2747" s="0" t="n">
        <f aca="true">CRITBINOM(D2747,Coefficients!$B$30,RAND())</f>
        <v>0</v>
      </c>
      <c r="F2747" s="0" t="n">
        <f aca="true">CRITBINOM(E2747,Coefficients!$B$31,RAND())</f>
        <v>0</v>
      </c>
      <c r="G2747" s="0" t="n">
        <f aca="true">CRITBINOM(MAX(0,D2747-E2747),1-Coefficients!$B$32,RAND())</f>
        <v>0</v>
      </c>
      <c r="H2747" s="0" t="n">
        <f aca="true">CRITBINOM(MAX(0,$C2747-D2747),MIN(0.6,Matchup!$B$40*SQRT($B2747)/(1-MIN(0.75,Matchup!$B$39*$B2747))),RAND())</f>
        <v>2</v>
      </c>
      <c r="I2747" s="0" t="n">
        <f aca="false">6*D2747+(D2747-E2747-G2747)+2*F2747+3*H2747</f>
        <v>27</v>
      </c>
      <c r="J2747" s="0" t="n">
        <f aca="true">CRITBINOM($C2747,MIN(0.75,Matchup!$C$39*$B2747),RAND())</f>
        <v>2</v>
      </c>
      <c r="K2747" s="0" t="n">
        <f aca="true">CRITBINOM(J2747,Coefficients!$B$30,RAND())</f>
        <v>0</v>
      </c>
      <c r="L2747" s="0" t="n">
        <f aca="true">CRITBINOM(K2747,Coefficients!$B$31,RAND())</f>
        <v>0</v>
      </c>
      <c r="M2747" s="0" t="n">
        <f aca="true">CRITBINOM(MAX(0,J2747-K2747),1-Coefficients!$B$32,RAND())</f>
        <v>0</v>
      </c>
      <c r="N2747" s="0" t="n">
        <f aca="true">CRITBINOM(MAX(0,$C2747-J2747),MIN(0.6,Matchup!$C$40*SQRT($B2747)/(1-MIN(0.75,Matchup!$C$39*$B2747))),RAND())</f>
        <v>0</v>
      </c>
      <c r="O2747" s="0" t="n">
        <f aca="false">6*J2747+(J2747-K2747-M2747)+2*L2747+3*N2747</f>
        <v>14</v>
      </c>
      <c r="P2747" s="0" t="n">
        <f aca="true">RAND()</f>
        <v>0.363822782672813</v>
      </c>
      <c r="Q2747" s="0" t="n">
        <f aca="true">RAND()</f>
        <v>0.873603691833789</v>
      </c>
      <c r="R2747" s="0" t="n">
        <f aca="false">IF($I2747&lt;&gt;$O2747,0,IF(P2747&lt;Matchup!$B$39,7,IF(P2747&lt;Matchup!$B$39+Matchup!$B$40,3,0)))</f>
        <v>0</v>
      </c>
      <c r="S2747" s="0" t="n">
        <f aca="false">IF($I2747&lt;&gt;$O2747,0,IF(Q2747&lt;Matchup!$C$39,7,IF(Q2747&lt;Matchup!$C$39+Matchup!$C$40,3,0)))</f>
        <v>0</v>
      </c>
      <c r="T2747" s="0" t="n">
        <f aca="false">I2747+R2747</f>
        <v>27</v>
      </c>
      <c r="U2747" s="0" t="n">
        <f aca="false">O2747+S2747</f>
        <v>14</v>
      </c>
      <c r="V2747" s="0" t="n">
        <f aca="false">T2747-U2747</f>
        <v>13</v>
      </c>
      <c r="W2747" s="0" t="n">
        <f aca="false">T2747+U2747</f>
        <v>41</v>
      </c>
    </row>
    <row r="2748" customFormat="false" ht="15" hidden="false" customHeight="false" outlineLevel="0" collapsed="false">
      <c r="A2748" s="0" t="n">
        <v>2745</v>
      </c>
      <c r="B2748" s="0" t="n">
        <f aca="true">NORMINV(RAND(),1,Coefficients!$B$22)</f>
        <v>0.94073732954452</v>
      </c>
      <c r="C2748" s="0" t="n">
        <f aca="true">MEDIAN(8,16,ROUND(NORMINV(RAND(),Coefficients!$B$20,Coefficients!$B$21),0))</f>
        <v>14</v>
      </c>
      <c r="D2748" s="0" t="n">
        <f aca="true">CRITBINOM($C2748,MIN(0.75,Matchup!$B$39*$B2748),RAND())</f>
        <v>5</v>
      </c>
      <c r="E2748" s="0" t="n">
        <f aca="true">CRITBINOM(D2748,Coefficients!$B$30,RAND())</f>
        <v>0</v>
      </c>
      <c r="F2748" s="0" t="n">
        <f aca="true">CRITBINOM(E2748,Coefficients!$B$31,RAND())</f>
        <v>0</v>
      </c>
      <c r="G2748" s="0" t="n">
        <f aca="true">CRITBINOM(MAX(0,D2748-E2748),1-Coefficients!$B$32,RAND())</f>
        <v>0</v>
      </c>
      <c r="H2748" s="0" t="n">
        <f aca="true">CRITBINOM(MAX(0,$C2748-D2748),MIN(0.6,Matchup!$B$40*SQRT($B2748)/(1-MIN(0.75,Matchup!$B$39*$B2748))),RAND())</f>
        <v>1</v>
      </c>
      <c r="I2748" s="0" t="n">
        <f aca="false">6*D2748+(D2748-E2748-G2748)+2*F2748+3*H2748</f>
        <v>38</v>
      </c>
      <c r="J2748" s="0" t="n">
        <f aca="true">CRITBINOM($C2748,MIN(0.75,Matchup!$C$39*$B2748),RAND())</f>
        <v>1</v>
      </c>
      <c r="K2748" s="0" t="n">
        <f aca="true">CRITBINOM(J2748,Coefficients!$B$30,RAND())</f>
        <v>1</v>
      </c>
      <c r="L2748" s="0" t="n">
        <f aca="true">CRITBINOM(K2748,Coefficients!$B$31,RAND())</f>
        <v>0</v>
      </c>
      <c r="M2748" s="0" t="n">
        <f aca="true">CRITBINOM(MAX(0,J2748-K2748),1-Coefficients!$B$32,RAND())</f>
        <v>0</v>
      </c>
      <c r="N2748" s="0" t="n">
        <f aca="true">CRITBINOM(MAX(0,$C2748-J2748),MIN(0.6,Matchup!$C$40*SQRT($B2748)/(1-MIN(0.75,Matchup!$C$39*$B2748))),RAND())</f>
        <v>4</v>
      </c>
      <c r="O2748" s="0" t="n">
        <f aca="false">6*J2748+(J2748-K2748-M2748)+2*L2748+3*N2748</f>
        <v>18</v>
      </c>
      <c r="P2748" s="0" t="n">
        <f aca="true">RAND()</f>
        <v>0.772411872718331</v>
      </c>
      <c r="Q2748" s="0" t="n">
        <f aca="true">RAND()</f>
        <v>0.224959341518775</v>
      </c>
      <c r="R2748" s="0" t="n">
        <f aca="false">IF($I2748&lt;&gt;$O2748,0,IF(P2748&lt;Matchup!$B$39,7,IF(P2748&lt;Matchup!$B$39+Matchup!$B$40,3,0)))</f>
        <v>0</v>
      </c>
      <c r="S2748" s="0" t="n">
        <f aca="false">IF($I2748&lt;&gt;$O2748,0,IF(Q2748&lt;Matchup!$C$39,7,IF(Q2748&lt;Matchup!$C$39+Matchup!$C$40,3,0)))</f>
        <v>0</v>
      </c>
      <c r="T2748" s="0" t="n">
        <f aca="false">I2748+R2748</f>
        <v>38</v>
      </c>
      <c r="U2748" s="0" t="n">
        <f aca="false">O2748+S2748</f>
        <v>18</v>
      </c>
      <c r="V2748" s="0" t="n">
        <f aca="false">T2748-U2748</f>
        <v>20</v>
      </c>
      <c r="W2748" s="0" t="n">
        <f aca="false">T2748+U2748</f>
        <v>56</v>
      </c>
    </row>
    <row r="2749" customFormat="false" ht="15" hidden="false" customHeight="false" outlineLevel="0" collapsed="false">
      <c r="A2749" s="0" t="n">
        <v>2746</v>
      </c>
      <c r="B2749" s="0" t="n">
        <f aca="true">NORMINV(RAND(),1,Coefficients!$B$22)</f>
        <v>1.03387890047855</v>
      </c>
      <c r="C2749" s="0" t="n">
        <f aca="true">MEDIAN(8,16,ROUND(NORMINV(RAND(),Coefficients!$B$20,Coefficients!$B$21),0))</f>
        <v>11</v>
      </c>
      <c r="D2749" s="0" t="n">
        <f aca="true">CRITBINOM($C2749,MIN(0.75,Matchup!$B$39*$B2749),RAND())</f>
        <v>3</v>
      </c>
      <c r="E2749" s="0" t="n">
        <f aca="true">CRITBINOM(D2749,Coefficients!$B$30,RAND())</f>
        <v>0</v>
      </c>
      <c r="F2749" s="0" t="n">
        <f aca="true">CRITBINOM(E2749,Coefficients!$B$31,RAND())</f>
        <v>0</v>
      </c>
      <c r="G2749" s="0" t="n">
        <f aca="true">CRITBINOM(MAX(0,D2749-E2749),1-Coefficients!$B$32,RAND())</f>
        <v>0</v>
      </c>
      <c r="H2749" s="0" t="n">
        <f aca="true">CRITBINOM(MAX(0,$C2749-D2749),MIN(0.6,Matchup!$B$40*SQRT($B2749)/(1-MIN(0.75,Matchup!$B$39*$B2749))),RAND())</f>
        <v>1</v>
      </c>
      <c r="I2749" s="0" t="n">
        <f aca="false">6*D2749+(D2749-E2749-G2749)+2*F2749+3*H2749</f>
        <v>24</v>
      </c>
      <c r="J2749" s="0" t="n">
        <f aca="true">CRITBINOM($C2749,MIN(0.75,Matchup!$C$39*$B2749),RAND())</f>
        <v>4</v>
      </c>
      <c r="K2749" s="0" t="n">
        <f aca="true">CRITBINOM(J2749,Coefficients!$B$30,RAND())</f>
        <v>2</v>
      </c>
      <c r="L2749" s="0" t="n">
        <f aca="true">CRITBINOM(K2749,Coefficients!$B$31,RAND())</f>
        <v>2</v>
      </c>
      <c r="M2749" s="0" t="n">
        <f aca="true">CRITBINOM(MAX(0,J2749-K2749),1-Coefficients!$B$32,RAND())</f>
        <v>0</v>
      </c>
      <c r="N2749" s="0" t="n">
        <f aca="true">CRITBINOM(MAX(0,$C2749-J2749),MIN(0.6,Matchup!$C$40*SQRT($B2749)/(1-MIN(0.75,Matchup!$C$39*$B2749))),RAND())</f>
        <v>1</v>
      </c>
      <c r="O2749" s="0" t="n">
        <f aca="false">6*J2749+(J2749-K2749-M2749)+2*L2749+3*N2749</f>
        <v>33</v>
      </c>
      <c r="P2749" s="0" t="n">
        <f aca="true">RAND()</f>
        <v>0.72756542325117</v>
      </c>
      <c r="Q2749" s="0" t="n">
        <f aca="true">RAND()</f>
        <v>0.436078032673594</v>
      </c>
      <c r="R2749" s="0" t="n">
        <f aca="false">IF($I2749&lt;&gt;$O2749,0,IF(P2749&lt;Matchup!$B$39,7,IF(P2749&lt;Matchup!$B$39+Matchup!$B$40,3,0)))</f>
        <v>0</v>
      </c>
      <c r="S2749" s="0" t="n">
        <f aca="false">IF($I2749&lt;&gt;$O2749,0,IF(Q2749&lt;Matchup!$C$39,7,IF(Q2749&lt;Matchup!$C$39+Matchup!$C$40,3,0)))</f>
        <v>0</v>
      </c>
      <c r="T2749" s="0" t="n">
        <f aca="false">I2749+R2749</f>
        <v>24</v>
      </c>
      <c r="U2749" s="0" t="n">
        <f aca="false">O2749+S2749</f>
        <v>33</v>
      </c>
      <c r="V2749" s="0" t="n">
        <f aca="false">T2749-U2749</f>
        <v>-9</v>
      </c>
      <c r="W2749" s="0" t="n">
        <f aca="false">T2749+U2749</f>
        <v>57</v>
      </c>
    </row>
    <row r="2750" customFormat="false" ht="15" hidden="false" customHeight="false" outlineLevel="0" collapsed="false">
      <c r="A2750" s="0" t="n">
        <v>2747</v>
      </c>
      <c r="B2750" s="0" t="n">
        <f aca="true">NORMINV(RAND(),1,Coefficients!$B$22)</f>
        <v>0.922235427540136</v>
      </c>
      <c r="C2750" s="0" t="n">
        <f aca="true">MEDIAN(8,16,ROUND(NORMINV(RAND(),Coefficients!$B$20,Coefficients!$B$21),0))</f>
        <v>10</v>
      </c>
      <c r="D2750" s="0" t="n">
        <f aca="true">CRITBINOM($C2750,MIN(0.75,Matchup!$B$39*$B2750),RAND())</f>
        <v>3</v>
      </c>
      <c r="E2750" s="0" t="n">
        <f aca="true">CRITBINOM(D2750,Coefficients!$B$30,RAND())</f>
        <v>0</v>
      </c>
      <c r="F2750" s="0" t="n">
        <f aca="true">CRITBINOM(E2750,Coefficients!$B$31,RAND())</f>
        <v>0</v>
      </c>
      <c r="G2750" s="0" t="n">
        <f aca="true">CRITBINOM(MAX(0,D2750-E2750),1-Coefficients!$B$32,RAND())</f>
        <v>0</v>
      </c>
      <c r="H2750" s="0" t="n">
        <f aca="true">CRITBINOM(MAX(0,$C2750-D2750),MIN(0.6,Matchup!$B$40*SQRT($B2750)/(1-MIN(0.75,Matchup!$B$39*$B2750))),RAND())</f>
        <v>2</v>
      </c>
      <c r="I2750" s="0" t="n">
        <f aca="false">6*D2750+(D2750-E2750-G2750)+2*F2750+3*H2750</f>
        <v>27</v>
      </c>
      <c r="J2750" s="0" t="n">
        <f aca="true">CRITBINOM($C2750,MIN(0.75,Matchup!$C$39*$B2750),RAND())</f>
        <v>3</v>
      </c>
      <c r="K2750" s="0" t="n">
        <f aca="true">CRITBINOM(J2750,Coefficients!$B$30,RAND())</f>
        <v>0</v>
      </c>
      <c r="L2750" s="0" t="n">
        <f aca="true">CRITBINOM(K2750,Coefficients!$B$31,RAND())</f>
        <v>0</v>
      </c>
      <c r="M2750" s="0" t="n">
        <f aca="true">CRITBINOM(MAX(0,J2750-K2750),1-Coefficients!$B$32,RAND())</f>
        <v>0</v>
      </c>
      <c r="N2750" s="0" t="n">
        <f aca="true">CRITBINOM(MAX(0,$C2750-J2750),MIN(0.6,Matchup!$C$40*SQRT($B2750)/(1-MIN(0.75,Matchup!$C$39*$B2750))),RAND())</f>
        <v>1</v>
      </c>
      <c r="O2750" s="0" t="n">
        <f aca="false">6*J2750+(J2750-K2750-M2750)+2*L2750+3*N2750</f>
        <v>24</v>
      </c>
      <c r="P2750" s="0" t="n">
        <f aca="true">RAND()</f>
        <v>0.203289357117076</v>
      </c>
      <c r="Q2750" s="0" t="n">
        <f aca="true">RAND()</f>
        <v>0.573120657614711</v>
      </c>
      <c r="R2750" s="0" t="n">
        <f aca="false">IF($I2750&lt;&gt;$O2750,0,IF(P2750&lt;Matchup!$B$39,7,IF(P2750&lt;Matchup!$B$39+Matchup!$B$40,3,0)))</f>
        <v>0</v>
      </c>
      <c r="S2750" s="0" t="n">
        <f aca="false">IF($I2750&lt;&gt;$O2750,0,IF(Q2750&lt;Matchup!$C$39,7,IF(Q2750&lt;Matchup!$C$39+Matchup!$C$40,3,0)))</f>
        <v>0</v>
      </c>
      <c r="T2750" s="0" t="n">
        <f aca="false">I2750+R2750</f>
        <v>27</v>
      </c>
      <c r="U2750" s="0" t="n">
        <f aca="false">O2750+S2750</f>
        <v>24</v>
      </c>
      <c r="V2750" s="0" t="n">
        <f aca="false">T2750-U2750</f>
        <v>3</v>
      </c>
      <c r="W2750" s="0" t="n">
        <f aca="false">T2750+U2750</f>
        <v>51</v>
      </c>
    </row>
    <row r="2751" customFormat="false" ht="15" hidden="false" customHeight="false" outlineLevel="0" collapsed="false">
      <c r="A2751" s="0" t="n">
        <v>2748</v>
      </c>
      <c r="B2751" s="0" t="n">
        <f aca="true">NORMINV(RAND(),1,Coefficients!$B$22)</f>
        <v>0.973509492806072</v>
      </c>
      <c r="C2751" s="0" t="n">
        <f aca="true">MEDIAN(8,16,ROUND(NORMINV(RAND(),Coefficients!$B$20,Coefficients!$B$21),0))</f>
        <v>11</v>
      </c>
      <c r="D2751" s="0" t="n">
        <f aca="true">CRITBINOM($C2751,MIN(0.75,Matchup!$B$39*$B2751),RAND())</f>
        <v>3</v>
      </c>
      <c r="E2751" s="0" t="n">
        <f aca="true">CRITBINOM(D2751,Coefficients!$B$30,RAND())</f>
        <v>0</v>
      </c>
      <c r="F2751" s="0" t="n">
        <f aca="true">CRITBINOM(E2751,Coefficients!$B$31,RAND())</f>
        <v>0</v>
      </c>
      <c r="G2751" s="0" t="n">
        <f aca="true">CRITBINOM(MAX(0,D2751-E2751),1-Coefficients!$B$32,RAND())</f>
        <v>0</v>
      </c>
      <c r="H2751" s="0" t="n">
        <f aca="true">CRITBINOM(MAX(0,$C2751-D2751),MIN(0.6,Matchup!$B$40*SQRT($B2751)/(1-MIN(0.75,Matchup!$B$39*$B2751))),RAND())</f>
        <v>0</v>
      </c>
      <c r="I2751" s="0" t="n">
        <f aca="false">6*D2751+(D2751-E2751-G2751)+2*F2751+3*H2751</f>
        <v>21</v>
      </c>
      <c r="J2751" s="0" t="n">
        <f aca="true">CRITBINOM($C2751,MIN(0.75,Matchup!$C$39*$B2751),RAND())</f>
        <v>5</v>
      </c>
      <c r="K2751" s="0" t="n">
        <f aca="true">CRITBINOM(J2751,Coefficients!$B$30,RAND())</f>
        <v>0</v>
      </c>
      <c r="L2751" s="0" t="n">
        <f aca="true">CRITBINOM(K2751,Coefficients!$B$31,RAND())</f>
        <v>0</v>
      </c>
      <c r="M2751" s="0" t="n">
        <f aca="true">CRITBINOM(MAX(0,J2751-K2751),1-Coefficients!$B$32,RAND())</f>
        <v>0</v>
      </c>
      <c r="N2751" s="0" t="n">
        <f aca="true">CRITBINOM(MAX(0,$C2751-J2751),MIN(0.6,Matchup!$C$40*SQRT($B2751)/(1-MIN(0.75,Matchup!$C$39*$B2751))),RAND())</f>
        <v>1</v>
      </c>
      <c r="O2751" s="0" t="n">
        <f aca="false">6*J2751+(J2751-K2751-M2751)+2*L2751+3*N2751</f>
        <v>38</v>
      </c>
      <c r="P2751" s="0" t="n">
        <f aca="true">RAND()</f>
        <v>0.537299488276142</v>
      </c>
      <c r="Q2751" s="0" t="n">
        <f aca="true">RAND()</f>
        <v>0.134402802572368</v>
      </c>
      <c r="R2751" s="0" t="n">
        <f aca="false">IF($I2751&lt;&gt;$O2751,0,IF(P2751&lt;Matchup!$B$39,7,IF(P2751&lt;Matchup!$B$39+Matchup!$B$40,3,0)))</f>
        <v>0</v>
      </c>
      <c r="S2751" s="0" t="n">
        <f aca="false">IF($I2751&lt;&gt;$O2751,0,IF(Q2751&lt;Matchup!$C$39,7,IF(Q2751&lt;Matchup!$C$39+Matchup!$C$40,3,0)))</f>
        <v>0</v>
      </c>
      <c r="T2751" s="0" t="n">
        <f aca="false">I2751+R2751</f>
        <v>21</v>
      </c>
      <c r="U2751" s="0" t="n">
        <f aca="false">O2751+S2751</f>
        <v>38</v>
      </c>
      <c r="V2751" s="0" t="n">
        <f aca="false">T2751-U2751</f>
        <v>-17</v>
      </c>
      <c r="W2751" s="0" t="n">
        <f aca="false">T2751+U2751</f>
        <v>59</v>
      </c>
    </row>
    <row r="2752" customFormat="false" ht="15" hidden="false" customHeight="false" outlineLevel="0" collapsed="false">
      <c r="A2752" s="0" t="n">
        <v>2749</v>
      </c>
      <c r="B2752" s="0" t="n">
        <f aca="true">NORMINV(RAND(),1,Coefficients!$B$22)</f>
        <v>0.91976724907454</v>
      </c>
      <c r="C2752" s="0" t="n">
        <f aca="true">MEDIAN(8,16,ROUND(NORMINV(RAND(),Coefficients!$B$20,Coefficients!$B$21),0))</f>
        <v>11</v>
      </c>
      <c r="D2752" s="0" t="n">
        <f aca="true">CRITBINOM($C2752,MIN(0.75,Matchup!$B$39*$B2752),RAND())</f>
        <v>3</v>
      </c>
      <c r="E2752" s="0" t="n">
        <f aca="true">CRITBINOM(D2752,Coefficients!$B$30,RAND())</f>
        <v>0</v>
      </c>
      <c r="F2752" s="0" t="n">
        <f aca="true">CRITBINOM(E2752,Coefficients!$B$31,RAND())</f>
        <v>0</v>
      </c>
      <c r="G2752" s="0" t="n">
        <f aca="true">CRITBINOM(MAX(0,D2752-E2752),1-Coefficients!$B$32,RAND())</f>
        <v>0</v>
      </c>
      <c r="H2752" s="0" t="n">
        <f aca="true">CRITBINOM(MAX(0,$C2752-D2752),MIN(0.6,Matchup!$B$40*SQRT($B2752)/(1-MIN(0.75,Matchup!$B$39*$B2752))),RAND())</f>
        <v>2</v>
      </c>
      <c r="I2752" s="0" t="n">
        <f aca="false">6*D2752+(D2752-E2752-G2752)+2*F2752+3*H2752</f>
        <v>27</v>
      </c>
      <c r="J2752" s="0" t="n">
        <f aca="true">CRITBINOM($C2752,MIN(0.75,Matchup!$C$39*$B2752),RAND())</f>
        <v>1</v>
      </c>
      <c r="K2752" s="0" t="n">
        <f aca="true">CRITBINOM(J2752,Coefficients!$B$30,RAND())</f>
        <v>0</v>
      </c>
      <c r="L2752" s="0" t="n">
        <f aca="true">CRITBINOM(K2752,Coefficients!$B$31,RAND())</f>
        <v>0</v>
      </c>
      <c r="M2752" s="0" t="n">
        <f aca="true">CRITBINOM(MAX(0,J2752-K2752),1-Coefficients!$B$32,RAND())</f>
        <v>0</v>
      </c>
      <c r="N2752" s="0" t="n">
        <f aca="true">CRITBINOM(MAX(0,$C2752-J2752),MIN(0.6,Matchup!$C$40*SQRT($B2752)/(1-MIN(0.75,Matchup!$C$39*$B2752))),RAND())</f>
        <v>1</v>
      </c>
      <c r="O2752" s="0" t="n">
        <f aca="false">6*J2752+(J2752-K2752-M2752)+2*L2752+3*N2752</f>
        <v>10</v>
      </c>
      <c r="P2752" s="0" t="n">
        <f aca="true">RAND()</f>
        <v>0.476594328050965</v>
      </c>
      <c r="Q2752" s="0" t="n">
        <f aca="true">RAND()</f>
        <v>0.6620164503118</v>
      </c>
      <c r="R2752" s="0" t="n">
        <f aca="false">IF($I2752&lt;&gt;$O2752,0,IF(P2752&lt;Matchup!$B$39,7,IF(P2752&lt;Matchup!$B$39+Matchup!$B$40,3,0)))</f>
        <v>0</v>
      </c>
      <c r="S2752" s="0" t="n">
        <f aca="false">IF($I2752&lt;&gt;$O2752,0,IF(Q2752&lt;Matchup!$C$39,7,IF(Q2752&lt;Matchup!$C$39+Matchup!$C$40,3,0)))</f>
        <v>0</v>
      </c>
      <c r="T2752" s="0" t="n">
        <f aca="false">I2752+R2752</f>
        <v>27</v>
      </c>
      <c r="U2752" s="0" t="n">
        <f aca="false">O2752+S2752</f>
        <v>10</v>
      </c>
      <c r="V2752" s="0" t="n">
        <f aca="false">T2752-U2752</f>
        <v>17</v>
      </c>
      <c r="W2752" s="0" t="n">
        <f aca="false">T2752+U2752</f>
        <v>37</v>
      </c>
    </row>
    <row r="2753" customFormat="false" ht="15" hidden="false" customHeight="false" outlineLevel="0" collapsed="false">
      <c r="A2753" s="0" t="n">
        <v>2750</v>
      </c>
      <c r="B2753" s="0" t="n">
        <f aca="true">NORMINV(RAND(),1,Coefficients!$B$22)</f>
        <v>0.889192708650578</v>
      </c>
      <c r="C2753" s="0" t="n">
        <f aca="true">MEDIAN(8,16,ROUND(NORMINV(RAND(),Coefficients!$B$20,Coefficients!$B$21),0))</f>
        <v>12</v>
      </c>
      <c r="D2753" s="0" t="n">
        <f aca="true">CRITBINOM($C2753,MIN(0.75,Matchup!$B$39*$B2753),RAND())</f>
        <v>1</v>
      </c>
      <c r="E2753" s="0" t="n">
        <f aca="true">CRITBINOM(D2753,Coefficients!$B$30,RAND())</f>
        <v>0</v>
      </c>
      <c r="F2753" s="0" t="n">
        <f aca="true">CRITBINOM(E2753,Coefficients!$B$31,RAND())</f>
        <v>0</v>
      </c>
      <c r="G2753" s="0" t="n">
        <f aca="true">CRITBINOM(MAX(0,D2753-E2753),1-Coefficients!$B$32,RAND())</f>
        <v>0</v>
      </c>
      <c r="H2753" s="0" t="n">
        <f aca="true">CRITBINOM(MAX(0,$C2753-D2753),MIN(0.6,Matchup!$B$40*SQRT($B2753)/(1-MIN(0.75,Matchup!$B$39*$B2753))),RAND())</f>
        <v>0</v>
      </c>
      <c r="I2753" s="0" t="n">
        <f aca="false">6*D2753+(D2753-E2753-G2753)+2*F2753+3*H2753</f>
        <v>7</v>
      </c>
      <c r="J2753" s="0" t="n">
        <f aca="true">CRITBINOM($C2753,MIN(0.75,Matchup!$C$39*$B2753),RAND())</f>
        <v>1</v>
      </c>
      <c r="K2753" s="0" t="n">
        <f aca="true">CRITBINOM(J2753,Coefficients!$B$30,RAND())</f>
        <v>1</v>
      </c>
      <c r="L2753" s="0" t="n">
        <f aca="true">CRITBINOM(K2753,Coefficients!$B$31,RAND())</f>
        <v>0</v>
      </c>
      <c r="M2753" s="0" t="n">
        <f aca="true">CRITBINOM(MAX(0,J2753-K2753),1-Coefficients!$B$32,RAND())</f>
        <v>0</v>
      </c>
      <c r="N2753" s="0" t="n">
        <f aca="true">CRITBINOM(MAX(0,$C2753-J2753),MIN(0.6,Matchup!$C$40*SQRT($B2753)/(1-MIN(0.75,Matchup!$C$39*$B2753))),RAND())</f>
        <v>2</v>
      </c>
      <c r="O2753" s="0" t="n">
        <f aca="false">6*J2753+(J2753-K2753-M2753)+2*L2753+3*N2753</f>
        <v>12</v>
      </c>
      <c r="P2753" s="0" t="n">
        <f aca="true">RAND()</f>
        <v>0.729934533890201</v>
      </c>
      <c r="Q2753" s="0" t="n">
        <f aca="true">RAND()</f>
        <v>0.302597048068839</v>
      </c>
      <c r="R2753" s="0" t="n">
        <f aca="false">IF($I2753&lt;&gt;$O2753,0,IF(P2753&lt;Matchup!$B$39,7,IF(P2753&lt;Matchup!$B$39+Matchup!$B$40,3,0)))</f>
        <v>0</v>
      </c>
      <c r="S2753" s="0" t="n">
        <f aca="false">IF($I2753&lt;&gt;$O2753,0,IF(Q2753&lt;Matchup!$C$39,7,IF(Q2753&lt;Matchup!$C$39+Matchup!$C$40,3,0)))</f>
        <v>0</v>
      </c>
      <c r="T2753" s="0" t="n">
        <f aca="false">I2753+R2753</f>
        <v>7</v>
      </c>
      <c r="U2753" s="0" t="n">
        <f aca="false">O2753+S2753</f>
        <v>12</v>
      </c>
      <c r="V2753" s="0" t="n">
        <f aca="false">T2753-U2753</f>
        <v>-5</v>
      </c>
      <c r="W2753" s="0" t="n">
        <f aca="false">T2753+U2753</f>
        <v>19</v>
      </c>
    </row>
    <row r="2754" customFormat="false" ht="15" hidden="false" customHeight="false" outlineLevel="0" collapsed="false">
      <c r="A2754" s="0" t="n">
        <v>2751</v>
      </c>
      <c r="B2754" s="0" t="n">
        <f aca="true">NORMINV(RAND(),1,Coefficients!$B$22)</f>
        <v>0.88912457274159</v>
      </c>
      <c r="C2754" s="0" t="n">
        <f aca="true">MEDIAN(8,16,ROUND(NORMINV(RAND(),Coefficients!$B$20,Coefficients!$B$21),0))</f>
        <v>12</v>
      </c>
      <c r="D2754" s="0" t="n">
        <f aca="true">CRITBINOM($C2754,MIN(0.75,Matchup!$B$39*$B2754),RAND())</f>
        <v>4</v>
      </c>
      <c r="E2754" s="0" t="n">
        <f aca="true">CRITBINOM(D2754,Coefficients!$B$30,RAND())</f>
        <v>1</v>
      </c>
      <c r="F2754" s="0" t="n">
        <f aca="true">CRITBINOM(E2754,Coefficients!$B$31,RAND())</f>
        <v>1</v>
      </c>
      <c r="G2754" s="0" t="n">
        <f aca="true">CRITBINOM(MAX(0,D2754-E2754),1-Coefficients!$B$32,RAND())</f>
        <v>1</v>
      </c>
      <c r="H2754" s="0" t="n">
        <f aca="true">CRITBINOM(MAX(0,$C2754-D2754),MIN(0.6,Matchup!$B$40*SQRT($B2754)/(1-MIN(0.75,Matchup!$B$39*$B2754))),RAND())</f>
        <v>1</v>
      </c>
      <c r="I2754" s="0" t="n">
        <f aca="false">6*D2754+(D2754-E2754-G2754)+2*F2754+3*H2754</f>
        <v>31</v>
      </c>
      <c r="J2754" s="0" t="n">
        <f aca="true">CRITBINOM($C2754,MIN(0.75,Matchup!$C$39*$B2754),RAND())</f>
        <v>4</v>
      </c>
      <c r="K2754" s="0" t="n">
        <f aca="true">CRITBINOM(J2754,Coefficients!$B$30,RAND())</f>
        <v>0</v>
      </c>
      <c r="L2754" s="0" t="n">
        <f aca="true">CRITBINOM(K2754,Coefficients!$B$31,RAND())</f>
        <v>0</v>
      </c>
      <c r="M2754" s="0" t="n">
        <f aca="true">CRITBINOM(MAX(0,J2754-K2754),1-Coefficients!$B$32,RAND())</f>
        <v>0</v>
      </c>
      <c r="N2754" s="0" t="n">
        <f aca="true">CRITBINOM(MAX(0,$C2754-J2754),MIN(0.6,Matchup!$C$40*SQRT($B2754)/(1-MIN(0.75,Matchup!$C$39*$B2754))),RAND())</f>
        <v>0</v>
      </c>
      <c r="O2754" s="0" t="n">
        <f aca="false">6*J2754+(J2754-K2754-M2754)+2*L2754+3*N2754</f>
        <v>28</v>
      </c>
      <c r="P2754" s="0" t="n">
        <f aca="true">RAND()</f>
        <v>0.0605267313081703</v>
      </c>
      <c r="Q2754" s="0" t="n">
        <f aca="true">RAND()</f>
        <v>0.624502303496762</v>
      </c>
      <c r="R2754" s="0" t="n">
        <f aca="false">IF($I2754&lt;&gt;$O2754,0,IF(P2754&lt;Matchup!$B$39,7,IF(P2754&lt;Matchup!$B$39+Matchup!$B$40,3,0)))</f>
        <v>0</v>
      </c>
      <c r="S2754" s="0" t="n">
        <f aca="false">IF($I2754&lt;&gt;$O2754,0,IF(Q2754&lt;Matchup!$C$39,7,IF(Q2754&lt;Matchup!$C$39+Matchup!$C$40,3,0)))</f>
        <v>0</v>
      </c>
      <c r="T2754" s="0" t="n">
        <f aca="false">I2754+R2754</f>
        <v>31</v>
      </c>
      <c r="U2754" s="0" t="n">
        <f aca="false">O2754+S2754</f>
        <v>28</v>
      </c>
      <c r="V2754" s="0" t="n">
        <f aca="false">T2754-U2754</f>
        <v>3</v>
      </c>
      <c r="W2754" s="0" t="n">
        <f aca="false">T2754+U2754</f>
        <v>59</v>
      </c>
    </row>
    <row r="2755" customFormat="false" ht="15" hidden="false" customHeight="false" outlineLevel="0" collapsed="false">
      <c r="A2755" s="0" t="n">
        <v>2752</v>
      </c>
      <c r="B2755" s="0" t="n">
        <f aca="true">NORMINV(RAND(),1,Coefficients!$B$22)</f>
        <v>1.00735262683949</v>
      </c>
      <c r="C2755" s="0" t="n">
        <f aca="true">MEDIAN(8,16,ROUND(NORMINV(RAND(),Coefficients!$B$20,Coefficients!$B$21),0))</f>
        <v>12</v>
      </c>
      <c r="D2755" s="0" t="n">
        <f aca="true">CRITBINOM($C2755,MIN(0.75,Matchup!$B$39*$B2755),RAND())</f>
        <v>3</v>
      </c>
      <c r="E2755" s="0" t="n">
        <f aca="true">CRITBINOM(D2755,Coefficients!$B$30,RAND())</f>
        <v>2</v>
      </c>
      <c r="F2755" s="0" t="n">
        <f aca="true">CRITBINOM(E2755,Coefficients!$B$31,RAND())</f>
        <v>2</v>
      </c>
      <c r="G2755" s="0" t="n">
        <f aca="true">CRITBINOM(MAX(0,D2755-E2755),1-Coefficients!$B$32,RAND())</f>
        <v>0</v>
      </c>
      <c r="H2755" s="0" t="n">
        <f aca="true">CRITBINOM(MAX(0,$C2755-D2755),MIN(0.6,Matchup!$B$40*SQRT($B2755)/(1-MIN(0.75,Matchup!$B$39*$B2755))),RAND())</f>
        <v>3</v>
      </c>
      <c r="I2755" s="0" t="n">
        <f aca="false">6*D2755+(D2755-E2755-G2755)+2*F2755+3*H2755</f>
        <v>32</v>
      </c>
      <c r="J2755" s="0" t="n">
        <f aca="true">CRITBINOM($C2755,MIN(0.75,Matchup!$C$39*$B2755),RAND())</f>
        <v>4</v>
      </c>
      <c r="K2755" s="0" t="n">
        <f aca="true">CRITBINOM(J2755,Coefficients!$B$30,RAND())</f>
        <v>0</v>
      </c>
      <c r="L2755" s="0" t="n">
        <f aca="true">CRITBINOM(K2755,Coefficients!$B$31,RAND())</f>
        <v>0</v>
      </c>
      <c r="M2755" s="0" t="n">
        <f aca="true">CRITBINOM(MAX(0,J2755-K2755),1-Coefficients!$B$32,RAND())</f>
        <v>0</v>
      </c>
      <c r="N2755" s="0" t="n">
        <f aca="true">CRITBINOM(MAX(0,$C2755-J2755),MIN(0.6,Matchup!$C$40*SQRT($B2755)/(1-MIN(0.75,Matchup!$C$39*$B2755))),RAND())</f>
        <v>1</v>
      </c>
      <c r="O2755" s="0" t="n">
        <f aca="false">6*J2755+(J2755-K2755-M2755)+2*L2755+3*N2755</f>
        <v>31</v>
      </c>
      <c r="P2755" s="0" t="n">
        <f aca="true">RAND()</f>
        <v>0.021453027927955</v>
      </c>
      <c r="Q2755" s="0" t="n">
        <f aca="true">RAND()</f>
        <v>0.429103597161381</v>
      </c>
      <c r="R2755" s="0" t="n">
        <f aca="false">IF($I2755&lt;&gt;$O2755,0,IF(P2755&lt;Matchup!$B$39,7,IF(P2755&lt;Matchup!$B$39+Matchup!$B$40,3,0)))</f>
        <v>0</v>
      </c>
      <c r="S2755" s="0" t="n">
        <f aca="false">IF($I2755&lt;&gt;$O2755,0,IF(Q2755&lt;Matchup!$C$39,7,IF(Q2755&lt;Matchup!$C$39+Matchup!$C$40,3,0)))</f>
        <v>0</v>
      </c>
      <c r="T2755" s="0" t="n">
        <f aca="false">I2755+R2755</f>
        <v>32</v>
      </c>
      <c r="U2755" s="0" t="n">
        <f aca="false">O2755+S2755</f>
        <v>31</v>
      </c>
      <c r="V2755" s="0" t="n">
        <f aca="false">T2755-U2755</f>
        <v>1</v>
      </c>
      <c r="W2755" s="0" t="n">
        <f aca="false">T2755+U2755</f>
        <v>63</v>
      </c>
    </row>
    <row r="2756" customFormat="false" ht="15" hidden="false" customHeight="false" outlineLevel="0" collapsed="false">
      <c r="A2756" s="0" t="n">
        <v>2753</v>
      </c>
      <c r="B2756" s="0" t="n">
        <f aca="true">NORMINV(RAND(),1,Coefficients!$B$22)</f>
        <v>0.977228668389618</v>
      </c>
      <c r="C2756" s="0" t="n">
        <f aca="true">MEDIAN(8,16,ROUND(NORMINV(RAND(),Coefficients!$B$20,Coefficients!$B$21),0))</f>
        <v>9</v>
      </c>
      <c r="D2756" s="0" t="n">
        <f aca="true">CRITBINOM($C2756,MIN(0.75,Matchup!$B$39*$B2756),RAND())</f>
        <v>1</v>
      </c>
      <c r="E2756" s="0" t="n">
        <f aca="true">CRITBINOM(D2756,Coefficients!$B$30,RAND())</f>
        <v>0</v>
      </c>
      <c r="F2756" s="0" t="n">
        <f aca="true">CRITBINOM(E2756,Coefficients!$B$31,RAND())</f>
        <v>0</v>
      </c>
      <c r="G2756" s="0" t="n">
        <f aca="true">CRITBINOM(MAX(0,D2756-E2756),1-Coefficients!$B$32,RAND())</f>
        <v>0</v>
      </c>
      <c r="H2756" s="0" t="n">
        <f aca="true">CRITBINOM(MAX(0,$C2756-D2756),MIN(0.6,Matchup!$B$40*SQRT($B2756)/(1-MIN(0.75,Matchup!$B$39*$B2756))),RAND())</f>
        <v>2</v>
      </c>
      <c r="I2756" s="0" t="n">
        <f aca="false">6*D2756+(D2756-E2756-G2756)+2*F2756+3*H2756</f>
        <v>13</v>
      </c>
      <c r="J2756" s="0" t="n">
        <f aca="true">CRITBINOM($C2756,MIN(0.75,Matchup!$C$39*$B2756),RAND())</f>
        <v>5</v>
      </c>
      <c r="K2756" s="0" t="n">
        <f aca="true">CRITBINOM(J2756,Coefficients!$B$30,RAND())</f>
        <v>2</v>
      </c>
      <c r="L2756" s="0" t="n">
        <f aca="true">CRITBINOM(K2756,Coefficients!$B$31,RAND())</f>
        <v>0</v>
      </c>
      <c r="M2756" s="0" t="n">
        <f aca="true">CRITBINOM(MAX(0,J2756-K2756),1-Coefficients!$B$32,RAND())</f>
        <v>0</v>
      </c>
      <c r="N2756" s="0" t="n">
        <f aca="true">CRITBINOM(MAX(0,$C2756-J2756),MIN(0.6,Matchup!$C$40*SQRT($B2756)/(1-MIN(0.75,Matchup!$C$39*$B2756))),RAND())</f>
        <v>1</v>
      </c>
      <c r="O2756" s="0" t="n">
        <f aca="false">6*J2756+(J2756-K2756-M2756)+2*L2756+3*N2756</f>
        <v>36</v>
      </c>
      <c r="P2756" s="0" t="n">
        <f aca="true">RAND()</f>
        <v>0.899437963384466</v>
      </c>
      <c r="Q2756" s="0" t="n">
        <f aca="true">RAND()</f>
        <v>0.705584472414848</v>
      </c>
      <c r="R2756" s="0" t="n">
        <f aca="false">IF($I2756&lt;&gt;$O2756,0,IF(P2756&lt;Matchup!$B$39,7,IF(P2756&lt;Matchup!$B$39+Matchup!$B$40,3,0)))</f>
        <v>0</v>
      </c>
      <c r="S2756" s="0" t="n">
        <f aca="false">IF($I2756&lt;&gt;$O2756,0,IF(Q2756&lt;Matchup!$C$39,7,IF(Q2756&lt;Matchup!$C$39+Matchup!$C$40,3,0)))</f>
        <v>0</v>
      </c>
      <c r="T2756" s="0" t="n">
        <f aca="false">I2756+R2756</f>
        <v>13</v>
      </c>
      <c r="U2756" s="0" t="n">
        <f aca="false">O2756+S2756</f>
        <v>36</v>
      </c>
      <c r="V2756" s="0" t="n">
        <f aca="false">T2756-U2756</f>
        <v>-23</v>
      </c>
      <c r="W2756" s="0" t="n">
        <f aca="false">T2756+U2756</f>
        <v>49</v>
      </c>
    </row>
    <row r="2757" customFormat="false" ht="15" hidden="false" customHeight="false" outlineLevel="0" collapsed="false">
      <c r="A2757" s="0" t="n">
        <v>2754</v>
      </c>
      <c r="B2757" s="0" t="n">
        <f aca="true">NORMINV(RAND(),1,Coefficients!$B$22)</f>
        <v>0.910980873615975</v>
      </c>
      <c r="C2757" s="0" t="n">
        <f aca="true">MEDIAN(8,16,ROUND(NORMINV(RAND(),Coefficients!$B$20,Coefficients!$B$21),0))</f>
        <v>13</v>
      </c>
      <c r="D2757" s="0" t="n">
        <f aca="true">CRITBINOM($C2757,MIN(0.75,Matchup!$B$39*$B2757),RAND())</f>
        <v>1</v>
      </c>
      <c r="E2757" s="0" t="n">
        <f aca="true">CRITBINOM(D2757,Coefficients!$B$30,RAND())</f>
        <v>1</v>
      </c>
      <c r="F2757" s="0" t="n">
        <f aca="true">CRITBINOM(E2757,Coefficients!$B$31,RAND())</f>
        <v>1</v>
      </c>
      <c r="G2757" s="0" t="n">
        <f aca="true">CRITBINOM(MAX(0,D2757-E2757),1-Coefficients!$B$32,RAND())</f>
        <v>0</v>
      </c>
      <c r="H2757" s="0" t="n">
        <f aca="true">CRITBINOM(MAX(0,$C2757-D2757),MIN(0.6,Matchup!$B$40*SQRT($B2757)/(1-MIN(0.75,Matchup!$B$39*$B2757))),RAND())</f>
        <v>3</v>
      </c>
      <c r="I2757" s="0" t="n">
        <f aca="false">6*D2757+(D2757-E2757-G2757)+2*F2757+3*H2757</f>
        <v>17</v>
      </c>
      <c r="J2757" s="0" t="n">
        <f aca="true">CRITBINOM($C2757,MIN(0.75,Matchup!$C$39*$B2757),RAND())</f>
        <v>5</v>
      </c>
      <c r="K2757" s="0" t="n">
        <f aca="true">CRITBINOM(J2757,Coefficients!$B$30,RAND())</f>
        <v>0</v>
      </c>
      <c r="L2757" s="0" t="n">
        <f aca="true">CRITBINOM(K2757,Coefficients!$B$31,RAND())</f>
        <v>0</v>
      </c>
      <c r="M2757" s="0" t="n">
        <f aca="true">CRITBINOM(MAX(0,J2757-K2757),1-Coefficients!$B$32,RAND())</f>
        <v>0</v>
      </c>
      <c r="N2757" s="0" t="n">
        <f aca="true">CRITBINOM(MAX(0,$C2757-J2757),MIN(0.6,Matchup!$C$40*SQRT($B2757)/(1-MIN(0.75,Matchup!$C$39*$B2757))),RAND())</f>
        <v>1</v>
      </c>
      <c r="O2757" s="0" t="n">
        <f aca="false">6*J2757+(J2757-K2757-M2757)+2*L2757+3*N2757</f>
        <v>38</v>
      </c>
      <c r="P2757" s="0" t="n">
        <f aca="true">RAND()</f>
        <v>0.544865716534059</v>
      </c>
      <c r="Q2757" s="0" t="n">
        <f aca="true">RAND()</f>
        <v>0.20485574948302</v>
      </c>
      <c r="R2757" s="0" t="n">
        <f aca="false">IF($I2757&lt;&gt;$O2757,0,IF(P2757&lt;Matchup!$B$39,7,IF(P2757&lt;Matchup!$B$39+Matchup!$B$40,3,0)))</f>
        <v>0</v>
      </c>
      <c r="S2757" s="0" t="n">
        <f aca="false">IF($I2757&lt;&gt;$O2757,0,IF(Q2757&lt;Matchup!$C$39,7,IF(Q2757&lt;Matchup!$C$39+Matchup!$C$40,3,0)))</f>
        <v>0</v>
      </c>
      <c r="T2757" s="0" t="n">
        <f aca="false">I2757+R2757</f>
        <v>17</v>
      </c>
      <c r="U2757" s="0" t="n">
        <f aca="false">O2757+S2757</f>
        <v>38</v>
      </c>
      <c r="V2757" s="0" t="n">
        <f aca="false">T2757-U2757</f>
        <v>-21</v>
      </c>
      <c r="W2757" s="0" t="n">
        <f aca="false">T2757+U2757</f>
        <v>55</v>
      </c>
    </row>
    <row r="2758" customFormat="false" ht="15" hidden="false" customHeight="false" outlineLevel="0" collapsed="false">
      <c r="A2758" s="0" t="n">
        <v>2755</v>
      </c>
      <c r="B2758" s="0" t="n">
        <f aca="true">NORMINV(RAND(),1,Coefficients!$B$22)</f>
        <v>1.06073187351048</v>
      </c>
      <c r="C2758" s="0" t="n">
        <f aca="true">MEDIAN(8,16,ROUND(NORMINV(RAND(),Coefficients!$B$20,Coefficients!$B$21),0))</f>
        <v>11</v>
      </c>
      <c r="D2758" s="0" t="n">
        <f aca="true">CRITBINOM($C2758,MIN(0.75,Matchup!$B$39*$B2758),RAND())</f>
        <v>5</v>
      </c>
      <c r="E2758" s="0" t="n">
        <f aca="true">CRITBINOM(D2758,Coefficients!$B$30,RAND())</f>
        <v>1</v>
      </c>
      <c r="F2758" s="0" t="n">
        <f aca="true">CRITBINOM(E2758,Coefficients!$B$31,RAND())</f>
        <v>0</v>
      </c>
      <c r="G2758" s="0" t="n">
        <f aca="true">CRITBINOM(MAX(0,D2758-E2758),1-Coefficients!$B$32,RAND())</f>
        <v>0</v>
      </c>
      <c r="H2758" s="0" t="n">
        <f aca="true">CRITBINOM(MAX(0,$C2758-D2758),MIN(0.6,Matchup!$B$40*SQRT($B2758)/(1-MIN(0.75,Matchup!$B$39*$B2758))),RAND())</f>
        <v>0</v>
      </c>
      <c r="I2758" s="0" t="n">
        <f aca="false">6*D2758+(D2758-E2758-G2758)+2*F2758+3*H2758</f>
        <v>34</v>
      </c>
      <c r="J2758" s="0" t="n">
        <f aca="true">CRITBINOM($C2758,MIN(0.75,Matchup!$C$39*$B2758),RAND())</f>
        <v>1</v>
      </c>
      <c r="K2758" s="0" t="n">
        <f aca="true">CRITBINOM(J2758,Coefficients!$B$30,RAND())</f>
        <v>0</v>
      </c>
      <c r="L2758" s="0" t="n">
        <f aca="true">CRITBINOM(K2758,Coefficients!$B$31,RAND())</f>
        <v>0</v>
      </c>
      <c r="M2758" s="0" t="n">
        <f aca="true">CRITBINOM(MAX(0,J2758-K2758),1-Coefficients!$B$32,RAND())</f>
        <v>0</v>
      </c>
      <c r="N2758" s="0" t="n">
        <f aca="true">CRITBINOM(MAX(0,$C2758-J2758),MIN(0.6,Matchup!$C$40*SQRT($B2758)/(1-MIN(0.75,Matchup!$C$39*$B2758))),RAND())</f>
        <v>2</v>
      </c>
      <c r="O2758" s="0" t="n">
        <f aca="false">6*J2758+(J2758-K2758-M2758)+2*L2758+3*N2758</f>
        <v>13</v>
      </c>
      <c r="P2758" s="0" t="n">
        <f aca="true">RAND()</f>
        <v>0.742288116075197</v>
      </c>
      <c r="Q2758" s="0" t="n">
        <f aca="true">RAND()</f>
        <v>0.0829811823072549</v>
      </c>
      <c r="R2758" s="0" t="n">
        <f aca="false">IF($I2758&lt;&gt;$O2758,0,IF(P2758&lt;Matchup!$B$39,7,IF(P2758&lt;Matchup!$B$39+Matchup!$B$40,3,0)))</f>
        <v>0</v>
      </c>
      <c r="S2758" s="0" t="n">
        <f aca="false">IF($I2758&lt;&gt;$O2758,0,IF(Q2758&lt;Matchup!$C$39,7,IF(Q2758&lt;Matchup!$C$39+Matchup!$C$40,3,0)))</f>
        <v>0</v>
      </c>
      <c r="T2758" s="0" t="n">
        <f aca="false">I2758+R2758</f>
        <v>34</v>
      </c>
      <c r="U2758" s="0" t="n">
        <f aca="false">O2758+S2758</f>
        <v>13</v>
      </c>
      <c r="V2758" s="0" t="n">
        <f aca="false">T2758-U2758</f>
        <v>21</v>
      </c>
      <c r="W2758" s="0" t="n">
        <f aca="false">T2758+U2758</f>
        <v>47</v>
      </c>
    </row>
    <row r="2759" customFormat="false" ht="15" hidden="false" customHeight="false" outlineLevel="0" collapsed="false">
      <c r="A2759" s="0" t="n">
        <v>2756</v>
      </c>
      <c r="B2759" s="0" t="n">
        <f aca="true">NORMINV(RAND(),1,Coefficients!$B$22)</f>
        <v>1.11746857068485</v>
      </c>
      <c r="C2759" s="0" t="n">
        <f aca="true">MEDIAN(8,16,ROUND(NORMINV(RAND(),Coefficients!$B$20,Coefficients!$B$21),0))</f>
        <v>9</v>
      </c>
      <c r="D2759" s="0" t="n">
        <f aca="true">CRITBINOM($C2759,MIN(0.75,Matchup!$B$39*$B2759),RAND())</f>
        <v>4</v>
      </c>
      <c r="E2759" s="0" t="n">
        <f aca="true">CRITBINOM(D2759,Coefficients!$B$30,RAND())</f>
        <v>1</v>
      </c>
      <c r="F2759" s="0" t="n">
        <f aca="true">CRITBINOM(E2759,Coefficients!$B$31,RAND())</f>
        <v>0</v>
      </c>
      <c r="G2759" s="0" t="n">
        <f aca="true">CRITBINOM(MAX(0,D2759-E2759),1-Coefficients!$B$32,RAND())</f>
        <v>0</v>
      </c>
      <c r="H2759" s="0" t="n">
        <f aca="true">CRITBINOM(MAX(0,$C2759-D2759),MIN(0.6,Matchup!$B$40*SQRT($B2759)/(1-MIN(0.75,Matchup!$B$39*$B2759))),RAND())</f>
        <v>1</v>
      </c>
      <c r="I2759" s="0" t="n">
        <f aca="false">6*D2759+(D2759-E2759-G2759)+2*F2759+3*H2759</f>
        <v>30</v>
      </c>
      <c r="J2759" s="0" t="n">
        <f aca="true">CRITBINOM($C2759,MIN(0.75,Matchup!$C$39*$B2759),RAND())</f>
        <v>2</v>
      </c>
      <c r="K2759" s="0" t="n">
        <f aca="true">CRITBINOM(J2759,Coefficients!$B$30,RAND())</f>
        <v>0</v>
      </c>
      <c r="L2759" s="0" t="n">
        <f aca="true">CRITBINOM(K2759,Coefficients!$B$31,RAND())</f>
        <v>0</v>
      </c>
      <c r="M2759" s="0" t="n">
        <f aca="true">CRITBINOM(MAX(0,J2759-K2759),1-Coefficients!$B$32,RAND())</f>
        <v>0</v>
      </c>
      <c r="N2759" s="0" t="n">
        <f aca="true">CRITBINOM(MAX(0,$C2759-J2759),MIN(0.6,Matchup!$C$40*SQRT($B2759)/(1-MIN(0.75,Matchup!$C$39*$B2759))),RAND())</f>
        <v>2</v>
      </c>
      <c r="O2759" s="0" t="n">
        <f aca="false">6*J2759+(J2759-K2759-M2759)+2*L2759+3*N2759</f>
        <v>20</v>
      </c>
      <c r="P2759" s="0" t="n">
        <f aca="true">RAND()</f>
        <v>0.181239620563829</v>
      </c>
      <c r="Q2759" s="0" t="n">
        <f aca="true">RAND()</f>
        <v>0.927273566841987</v>
      </c>
      <c r="R2759" s="0" t="n">
        <f aca="false">IF($I2759&lt;&gt;$O2759,0,IF(P2759&lt;Matchup!$B$39,7,IF(P2759&lt;Matchup!$B$39+Matchup!$B$40,3,0)))</f>
        <v>0</v>
      </c>
      <c r="S2759" s="0" t="n">
        <f aca="false">IF($I2759&lt;&gt;$O2759,0,IF(Q2759&lt;Matchup!$C$39,7,IF(Q2759&lt;Matchup!$C$39+Matchup!$C$40,3,0)))</f>
        <v>0</v>
      </c>
      <c r="T2759" s="0" t="n">
        <f aca="false">I2759+R2759</f>
        <v>30</v>
      </c>
      <c r="U2759" s="0" t="n">
        <f aca="false">O2759+S2759</f>
        <v>20</v>
      </c>
      <c r="V2759" s="0" t="n">
        <f aca="false">T2759-U2759</f>
        <v>10</v>
      </c>
      <c r="W2759" s="0" t="n">
        <f aca="false">T2759+U2759</f>
        <v>50</v>
      </c>
    </row>
    <row r="2760" customFormat="false" ht="15" hidden="false" customHeight="false" outlineLevel="0" collapsed="false">
      <c r="A2760" s="0" t="n">
        <v>2757</v>
      </c>
      <c r="B2760" s="0" t="n">
        <f aca="true">NORMINV(RAND(),1,Coefficients!$B$22)</f>
        <v>0.958355020462941</v>
      </c>
      <c r="C2760" s="0" t="n">
        <f aca="true">MEDIAN(8,16,ROUND(NORMINV(RAND(),Coefficients!$B$20,Coefficients!$B$21),0))</f>
        <v>11</v>
      </c>
      <c r="D2760" s="0" t="n">
        <f aca="true">CRITBINOM($C2760,MIN(0.75,Matchup!$B$39*$B2760),RAND())</f>
        <v>3</v>
      </c>
      <c r="E2760" s="0" t="n">
        <f aca="true">CRITBINOM(D2760,Coefficients!$B$30,RAND())</f>
        <v>0</v>
      </c>
      <c r="F2760" s="0" t="n">
        <f aca="true">CRITBINOM(E2760,Coefficients!$B$31,RAND())</f>
        <v>0</v>
      </c>
      <c r="G2760" s="0" t="n">
        <f aca="true">CRITBINOM(MAX(0,D2760-E2760),1-Coefficients!$B$32,RAND())</f>
        <v>1</v>
      </c>
      <c r="H2760" s="0" t="n">
        <f aca="true">CRITBINOM(MAX(0,$C2760-D2760),MIN(0.6,Matchup!$B$40*SQRT($B2760)/(1-MIN(0.75,Matchup!$B$39*$B2760))),RAND())</f>
        <v>1</v>
      </c>
      <c r="I2760" s="0" t="n">
        <f aca="false">6*D2760+(D2760-E2760-G2760)+2*F2760+3*H2760</f>
        <v>23</v>
      </c>
      <c r="J2760" s="0" t="n">
        <f aca="true">CRITBINOM($C2760,MIN(0.75,Matchup!$C$39*$B2760),RAND())</f>
        <v>3</v>
      </c>
      <c r="K2760" s="0" t="n">
        <f aca="true">CRITBINOM(J2760,Coefficients!$B$30,RAND())</f>
        <v>0</v>
      </c>
      <c r="L2760" s="0" t="n">
        <f aca="true">CRITBINOM(K2760,Coefficients!$B$31,RAND())</f>
        <v>0</v>
      </c>
      <c r="M2760" s="0" t="n">
        <f aca="true">CRITBINOM(MAX(0,J2760-K2760),1-Coefficients!$B$32,RAND())</f>
        <v>0</v>
      </c>
      <c r="N2760" s="0" t="n">
        <f aca="true">CRITBINOM(MAX(0,$C2760-J2760),MIN(0.6,Matchup!$C$40*SQRT($B2760)/(1-MIN(0.75,Matchup!$C$39*$B2760))),RAND())</f>
        <v>1</v>
      </c>
      <c r="O2760" s="0" t="n">
        <f aca="false">6*J2760+(J2760-K2760-M2760)+2*L2760+3*N2760</f>
        <v>24</v>
      </c>
      <c r="P2760" s="0" t="n">
        <f aca="true">RAND()</f>
        <v>0.186188223521701</v>
      </c>
      <c r="Q2760" s="0" t="n">
        <f aca="true">RAND()</f>
        <v>0.41234594241117</v>
      </c>
      <c r="R2760" s="0" t="n">
        <f aca="false">IF($I2760&lt;&gt;$O2760,0,IF(P2760&lt;Matchup!$B$39,7,IF(P2760&lt;Matchup!$B$39+Matchup!$B$40,3,0)))</f>
        <v>0</v>
      </c>
      <c r="S2760" s="0" t="n">
        <f aca="false">IF($I2760&lt;&gt;$O2760,0,IF(Q2760&lt;Matchup!$C$39,7,IF(Q2760&lt;Matchup!$C$39+Matchup!$C$40,3,0)))</f>
        <v>0</v>
      </c>
      <c r="T2760" s="0" t="n">
        <f aca="false">I2760+R2760</f>
        <v>23</v>
      </c>
      <c r="U2760" s="0" t="n">
        <f aca="false">O2760+S2760</f>
        <v>24</v>
      </c>
      <c r="V2760" s="0" t="n">
        <f aca="false">T2760-U2760</f>
        <v>-1</v>
      </c>
      <c r="W2760" s="0" t="n">
        <f aca="false">T2760+U2760</f>
        <v>47</v>
      </c>
    </row>
    <row r="2761" customFormat="false" ht="15" hidden="false" customHeight="false" outlineLevel="0" collapsed="false">
      <c r="A2761" s="0" t="n">
        <v>2758</v>
      </c>
      <c r="B2761" s="0" t="n">
        <f aca="true">NORMINV(RAND(),1,Coefficients!$B$22)</f>
        <v>1.03025506004154</v>
      </c>
      <c r="C2761" s="0" t="n">
        <f aca="true">MEDIAN(8,16,ROUND(NORMINV(RAND(),Coefficients!$B$20,Coefficients!$B$21),0))</f>
        <v>12</v>
      </c>
      <c r="D2761" s="0" t="n">
        <f aca="true">CRITBINOM($C2761,MIN(0.75,Matchup!$B$39*$B2761),RAND())</f>
        <v>4</v>
      </c>
      <c r="E2761" s="0" t="n">
        <f aca="true">CRITBINOM(D2761,Coefficients!$B$30,RAND())</f>
        <v>1</v>
      </c>
      <c r="F2761" s="0" t="n">
        <f aca="true">CRITBINOM(E2761,Coefficients!$B$31,RAND())</f>
        <v>0</v>
      </c>
      <c r="G2761" s="0" t="n">
        <f aca="true">CRITBINOM(MAX(0,D2761-E2761),1-Coefficients!$B$32,RAND())</f>
        <v>0</v>
      </c>
      <c r="H2761" s="0" t="n">
        <f aca="true">CRITBINOM(MAX(0,$C2761-D2761),MIN(0.6,Matchup!$B$40*SQRT($B2761)/(1-MIN(0.75,Matchup!$B$39*$B2761))),RAND())</f>
        <v>4</v>
      </c>
      <c r="I2761" s="0" t="n">
        <f aca="false">6*D2761+(D2761-E2761-G2761)+2*F2761+3*H2761</f>
        <v>39</v>
      </c>
      <c r="J2761" s="0" t="n">
        <f aca="true">CRITBINOM($C2761,MIN(0.75,Matchup!$C$39*$B2761),RAND())</f>
        <v>0</v>
      </c>
      <c r="K2761" s="0" t="n">
        <f aca="true">CRITBINOM(J2761,Coefficients!$B$30,RAND())</f>
        <v>0</v>
      </c>
      <c r="L2761" s="0" t="n">
        <f aca="true">CRITBINOM(K2761,Coefficients!$B$31,RAND())</f>
        <v>0</v>
      </c>
      <c r="M2761" s="0" t="n">
        <f aca="true">CRITBINOM(MAX(0,J2761-K2761),1-Coefficients!$B$32,RAND())</f>
        <v>0</v>
      </c>
      <c r="N2761" s="0" t="n">
        <f aca="true">CRITBINOM(MAX(0,$C2761-J2761),MIN(0.6,Matchup!$C$40*SQRT($B2761)/(1-MIN(0.75,Matchup!$C$39*$B2761))),RAND())</f>
        <v>4</v>
      </c>
      <c r="O2761" s="0" t="n">
        <f aca="false">6*J2761+(J2761-K2761-M2761)+2*L2761+3*N2761</f>
        <v>12</v>
      </c>
      <c r="P2761" s="0" t="n">
        <f aca="true">RAND()</f>
        <v>0.816465013375847</v>
      </c>
      <c r="Q2761" s="0" t="n">
        <f aca="true">RAND()</f>
        <v>0.686537655089979</v>
      </c>
      <c r="R2761" s="0" t="n">
        <f aca="false">IF($I2761&lt;&gt;$O2761,0,IF(P2761&lt;Matchup!$B$39,7,IF(P2761&lt;Matchup!$B$39+Matchup!$B$40,3,0)))</f>
        <v>0</v>
      </c>
      <c r="S2761" s="0" t="n">
        <f aca="false">IF($I2761&lt;&gt;$O2761,0,IF(Q2761&lt;Matchup!$C$39,7,IF(Q2761&lt;Matchup!$C$39+Matchup!$C$40,3,0)))</f>
        <v>0</v>
      </c>
      <c r="T2761" s="0" t="n">
        <f aca="false">I2761+R2761</f>
        <v>39</v>
      </c>
      <c r="U2761" s="0" t="n">
        <f aca="false">O2761+S2761</f>
        <v>12</v>
      </c>
      <c r="V2761" s="0" t="n">
        <f aca="false">T2761-U2761</f>
        <v>27</v>
      </c>
      <c r="W2761" s="0" t="n">
        <f aca="false">T2761+U2761</f>
        <v>51</v>
      </c>
    </row>
    <row r="2762" customFormat="false" ht="15" hidden="false" customHeight="false" outlineLevel="0" collapsed="false">
      <c r="A2762" s="0" t="n">
        <v>2759</v>
      </c>
      <c r="B2762" s="0" t="n">
        <f aca="true">NORMINV(RAND(),1,Coefficients!$B$22)</f>
        <v>0.95232313618704</v>
      </c>
      <c r="C2762" s="0" t="n">
        <f aca="true">MEDIAN(8,16,ROUND(NORMINV(RAND(),Coefficients!$B$20,Coefficients!$B$21),0))</f>
        <v>11</v>
      </c>
      <c r="D2762" s="0" t="n">
        <f aca="true">CRITBINOM($C2762,MIN(0.75,Matchup!$B$39*$B2762),RAND())</f>
        <v>1</v>
      </c>
      <c r="E2762" s="0" t="n">
        <f aca="true">CRITBINOM(D2762,Coefficients!$B$30,RAND())</f>
        <v>1</v>
      </c>
      <c r="F2762" s="0" t="n">
        <f aca="true">CRITBINOM(E2762,Coefficients!$B$31,RAND())</f>
        <v>0</v>
      </c>
      <c r="G2762" s="0" t="n">
        <f aca="true">CRITBINOM(MAX(0,D2762-E2762),1-Coefficients!$B$32,RAND())</f>
        <v>0</v>
      </c>
      <c r="H2762" s="0" t="n">
        <f aca="true">CRITBINOM(MAX(0,$C2762-D2762),MIN(0.6,Matchup!$B$40*SQRT($B2762)/(1-MIN(0.75,Matchup!$B$39*$B2762))),RAND())</f>
        <v>2</v>
      </c>
      <c r="I2762" s="0" t="n">
        <f aca="false">6*D2762+(D2762-E2762-G2762)+2*F2762+3*H2762</f>
        <v>12</v>
      </c>
      <c r="J2762" s="0" t="n">
        <f aca="true">CRITBINOM($C2762,MIN(0.75,Matchup!$C$39*$B2762),RAND())</f>
        <v>5</v>
      </c>
      <c r="K2762" s="0" t="n">
        <f aca="true">CRITBINOM(J2762,Coefficients!$B$30,RAND())</f>
        <v>0</v>
      </c>
      <c r="L2762" s="0" t="n">
        <f aca="true">CRITBINOM(K2762,Coefficients!$B$31,RAND())</f>
        <v>0</v>
      </c>
      <c r="M2762" s="0" t="n">
        <f aca="true">CRITBINOM(MAX(0,J2762-K2762),1-Coefficients!$B$32,RAND())</f>
        <v>0</v>
      </c>
      <c r="N2762" s="0" t="n">
        <f aca="true">CRITBINOM(MAX(0,$C2762-J2762),MIN(0.6,Matchup!$C$40*SQRT($B2762)/(1-MIN(0.75,Matchup!$C$39*$B2762))),RAND())</f>
        <v>3</v>
      </c>
      <c r="O2762" s="0" t="n">
        <f aca="false">6*J2762+(J2762-K2762-M2762)+2*L2762+3*N2762</f>
        <v>44</v>
      </c>
      <c r="P2762" s="0" t="n">
        <f aca="true">RAND()</f>
        <v>0.195802280098683</v>
      </c>
      <c r="Q2762" s="0" t="n">
        <f aca="true">RAND()</f>
        <v>0.10137204297406</v>
      </c>
      <c r="R2762" s="0" t="n">
        <f aca="false">IF($I2762&lt;&gt;$O2762,0,IF(P2762&lt;Matchup!$B$39,7,IF(P2762&lt;Matchup!$B$39+Matchup!$B$40,3,0)))</f>
        <v>0</v>
      </c>
      <c r="S2762" s="0" t="n">
        <f aca="false">IF($I2762&lt;&gt;$O2762,0,IF(Q2762&lt;Matchup!$C$39,7,IF(Q2762&lt;Matchup!$C$39+Matchup!$C$40,3,0)))</f>
        <v>0</v>
      </c>
      <c r="T2762" s="0" t="n">
        <f aca="false">I2762+R2762</f>
        <v>12</v>
      </c>
      <c r="U2762" s="0" t="n">
        <f aca="false">O2762+S2762</f>
        <v>44</v>
      </c>
      <c r="V2762" s="0" t="n">
        <f aca="false">T2762-U2762</f>
        <v>-32</v>
      </c>
      <c r="W2762" s="0" t="n">
        <f aca="false">T2762+U2762</f>
        <v>56</v>
      </c>
    </row>
    <row r="2763" customFormat="false" ht="15" hidden="false" customHeight="false" outlineLevel="0" collapsed="false">
      <c r="A2763" s="0" t="n">
        <v>2760</v>
      </c>
      <c r="B2763" s="0" t="n">
        <f aca="true">NORMINV(RAND(),1,Coefficients!$B$22)</f>
        <v>1.15171542618741</v>
      </c>
      <c r="C2763" s="0" t="n">
        <f aca="true">MEDIAN(8,16,ROUND(NORMINV(RAND(),Coefficients!$B$20,Coefficients!$B$21),0))</f>
        <v>11</v>
      </c>
      <c r="D2763" s="0" t="n">
        <f aca="true">CRITBINOM($C2763,MIN(0.75,Matchup!$B$39*$B2763),RAND())</f>
        <v>5</v>
      </c>
      <c r="E2763" s="0" t="n">
        <f aca="true">CRITBINOM(D2763,Coefficients!$B$30,RAND())</f>
        <v>1</v>
      </c>
      <c r="F2763" s="0" t="n">
        <f aca="true">CRITBINOM(E2763,Coefficients!$B$31,RAND())</f>
        <v>0</v>
      </c>
      <c r="G2763" s="0" t="n">
        <f aca="true">CRITBINOM(MAX(0,D2763-E2763),1-Coefficients!$B$32,RAND())</f>
        <v>1</v>
      </c>
      <c r="H2763" s="0" t="n">
        <f aca="true">CRITBINOM(MAX(0,$C2763-D2763),MIN(0.6,Matchup!$B$40*SQRT($B2763)/(1-MIN(0.75,Matchup!$B$39*$B2763))),RAND())</f>
        <v>1</v>
      </c>
      <c r="I2763" s="0" t="n">
        <f aca="false">6*D2763+(D2763-E2763-G2763)+2*F2763+3*H2763</f>
        <v>36</v>
      </c>
      <c r="J2763" s="0" t="n">
        <f aca="true">CRITBINOM($C2763,MIN(0.75,Matchup!$C$39*$B2763),RAND())</f>
        <v>0</v>
      </c>
      <c r="K2763" s="0" t="n">
        <f aca="true">CRITBINOM(J2763,Coefficients!$B$30,RAND())</f>
        <v>0</v>
      </c>
      <c r="L2763" s="0" t="n">
        <f aca="true">CRITBINOM(K2763,Coefficients!$B$31,RAND())</f>
        <v>0</v>
      </c>
      <c r="M2763" s="0" t="n">
        <f aca="true">CRITBINOM(MAX(0,J2763-K2763),1-Coefficients!$B$32,RAND())</f>
        <v>0</v>
      </c>
      <c r="N2763" s="0" t="n">
        <f aca="true">CRITBINOM(MAX(0,$C2763-J2763),MIN(0.6,Matchup!$C$40*SQRT($B2763)/(1-MIN(0.75,Matchup!$C$39*$B2763))),RAND())</f>
        <v>3</v>
      </c>
      <c r="O2763" s="0" t="n">
        <f aca="false">6*J2763+(J2763-K2763-M2763)+2*L2763+3*N2763</f>
        <v>9</v>
      </c>
      <c r="P2763" s="0" t="n">
        <f aca="true">RAND()</f>
        <v>0.260179737897622</v>
      </c>
      <c r="Q2763" s="0" t="n">
        <f aca="true">RAND()</f>
        <v>0.258889612690865</v>
      </c>
      <c r="R2763" s="0" t="n">
        <f aca="false">IF($I2763&lt;&gt;$O2763,0,IF(P2763&lt;Matchup!$B$39,7,IF(P2763&lt;Matchup!$B$39+Matchup!$B$40,3,0)))</f>
        <v>0</v>
      </c>
      <c r="S2763" s="0" t="n">
        <f aca="false">IF($I2763&lt;&gt;$O2763,0,IF(Q2763&lt;Matchup!$C$39,7,IF(Q2763&lt;Matchup!$C$39+Matchup!$C$40,3,0)))</f>
        <v>0</v>
      </c>
      <c r="T2763" s="0" t="n">
        <f aca="false">I2763+R2763</f>
        <v>36</v>
      </c>
      <c r="U2763" s="0" t="n">
        <f aca="false">O2763+S2763</f>
        <v>9</v>
      </c>
      <c r="V2763" s="0" t="n">
        <f aca="false">T2763-U2763</f>
        <v>27</v>
      </c>
      <c r="W2763" s="0" t="n">
        <f aca="false">T2763+U2763</f>
        <v>45</v>
      </c>
    </row>
    <row r="2764" customFormat="false" ht="15" hidden="false" customHeight="false" outlineLevel="0" collapsed="false">
      <c r="A2764" s="0" t="n">
        <v>2761</v>
      </c>
      <c r="B2764" s="0" t="n">
        <f aca="true">NORMINV(RAND(),1,Coefficients!$B$22)</f>
        <v>1.02869325976902</v>
      </c>
      <c r="C2764" s="0" t="n">
        <f aca="true">MEDIAN(8,16,ROUND(NORMINV(RAND(),Coefficients!$B$20,Coefficients!$B$21),0))</f>
        <v>12</v>
      </c>
      <c r="D2764" s="0" t="n">
        <f aca="true">CRITBINOM($C2764,MIN(0.75,Matchup!$B$39*$B2764),RAND())</f>
        <v>3</v>
      </c>
      <c r="E2764" s="0" t="n">
        <f aca="true">CRITBINOM(D2764,Coefficients!$B$30,RAND())</f>
        <v>0</v>
      </c>
      <c r="F2764" s="0" t="n">
        <f aca="true">CRITBINOM(E2764,Coefficients!$B$31,RAND())</f>
        <v>0</v>
      </c>
      <c r="G2764" s="0" t="n">
        <f aca="true">CRITBINOM(MAX(0,D2764-E2764),1-Coefficients!$B$32,RAND())</f>
        <v>0</v>
      </c>
      <c r="H2764" s="0" t="n">
        <f aca="true">CRITBINOM(MAX(0,$C2764-D2764),MIN(0.6,Matchup!$B$40*SQRT($B2764)/(1-MIN(0.75,Matchup!$B$39*$B2764))),RAND())</f>
        <v>2</v>
      </c>
      <c r="I2764" s="0" t="n">
        <f aca="false">6*D2764+(D2764-E2764-G2764)+2*F2764+3*H2764</f>
        <v>27</v>
      </c>
      <c r="J2764" s="0" t="n">
        <f aca="true">CRITBINOM($C2764,MIN(0.75,Matchup!$C$39*$B2764),RAND())</f>
        <v>7</v>
      </c>
      <c r="K2764" s="0" t="n">
        <f aca="true">CRITBINOM(J2764,Coefficients!$B$30,RAND())</f>
        <v>2</v>
      </c>
      <c r="L2764" s="0" t="n">
        <f aca="true">CRITBINOM(K2764,Coefficients!$B$31,RAND())</f>
        <v>0</v>
      </c>
      <c r="M2764" s="0" t="n">
        <f aca="true">CRITBINOM(MAX(0,J2764-K2764),1-Coefficients!$B$32,RAND())</f>
        <v>1</v>
      </c>
      <c r="N2764" s="0" t="n">
        <f aca="true">CRITBINOM(MAX(0,$C2764-J2764),MIN(0.6,Matchup!$C$40*SQRT($B2764)/(1-MIN(0.75,Matchup!$C$39*$B2764))),RAND())</f>
        <v>0</v>
      </c>
      <c r="O2764" s="0" t="n">
        <f aca="false">6*J2764+(J2764-K2764-M2764)+2*L2764+3*N2764</f>
        <v>46</v>
      </c>
      <c r="P2764" s="0" t="n">
        <f aca="true">RAND()</f>
        <v>0.28649006146907</v>
      </c>
      <c r="Q2764" s="0" t="n">
        <f aca="true">RAND()</f>
        <v>0.588071619792867</v>
      </c>
      <c r="R2764" s="0" t="n">
        <f aca="false">IF($I2764&lt;&gt;$O2764,0,IF(P2764&lt;Matchup!$B$39,7,IF(P2764&lt;Matchup!$B$39+Matchup!$B$40,3,0)))</f>
        <v>0</v>
      </c>
      <c r="S2764" s="0" t="n">
        <f aca="false">IF($I2764&lt;&gt;$O2764,0,IF(Q2764&lt;Matchup!$C$39,7,IF(Q2764&lt;Matchup!$C$39+Matchup!$C$40,3,0)))</f>
        <v>0</v>
      </c>
      <c r="T2764" s="0" t="n">
        <f aca="false">I2764+R2764</f>
        <v>27</v>
      </c>
      <c r="U2764" s="0" t="n">
        <f aca="false">O2764+S2764</f>
        <v>46</v>
      </c>
      <c r="V2764" s="0" t="n">
        <f aca="false">T2764-U2764</f>
        <v>-19</v>
      </c>
      <c r="W2764" s="0" t="n">
        <f aca="false">T2764+U2764</f>
        <v>73</v>
      </c>
    </row>
    <row r="2765" customFormat="false" ht="15" hidden="false" customHeight="false" outlineLevel="0" collapsed="false">
      <c r="A2765" s="0" t="n">
        <v>2762</v>
      </c>
      <c r="B2765" s="0" t="n">
        <f aca="true">NORMINV(RAND(),1,Coefficients!$B$22)</f>
        <v>0.973873518184105</v>
      </c>
      <c r="C2765" s="0" t="n">
        <f aca="true">MEDIAN(8,16,ROUND(NORMINV(RAND(),Coefficients!$B$20,Coefficients!$B$21),0))</f>
        <v>10</v>
      </c>
      <c r="D2765" s="0" t="n">
        <f aca="true">CRITBINOM($C2765,MIN(0.75,Matchup!$B$39*$B2765),RAND())</f>
        <v>1</v>
      </c>
      <c r="E2765" s="0" t="n">
        <f aca="true">CRITBINOM(D2765,Coefficients!$B$30,RAND())</f>
        <v>0</v>
      </c>
      <c r="F2765" s="0" t="n">
        <f aca="true">CRITBINOM(E2765,Coefficients!$B$31,RAND())</f>
        <v>0</v>
      </c>
      <c r="G2765" s="0" t="n">
        <f aca="true">CRITBINOM(MAX(0,D2765-E2765),1-Coefficients!$B$32,RAND())</f>
        <v>0</v>
      </c>
      <c r="H2765" s="0" t="n">
        <f aca="true">CRITBINOM(MAX(0,$C2765-D2765),MIN(0.6,Matchup!$B$40*SQRT($B2765)/(1-MIN(0.75,Matchup!$B$39*$B2765))),RAND())</f>
        <v>3</v>
      </c>
      <c r="I2765" s="0" t="n">
        <f aca="false">6*D2765+(D2765-E2765-G2765)+2*F2765+3*H2765</f>
        <v>16</v>
      </c>
      <c r="J2765" s="0" t="n">
        <f aca="true">CRITBINOM($C2765,MIN(0.75,Matchup!$C$39*$B2765),RAND())</f>
        <v>3</v>
      </c>
      <c r="K2765" s="0" t="n">
        <f aca="true">CRITBINOM(J2765,Coefficients!$B$30,RAND())</f>
        <v>0</v>
      </c>
      <c r="L2765" s="0" t="n">
        <f aca="true">CRITBINOM(K2765,Coefficients!$B$31,RAND())</f>
        <v>0</v>
      </c>
      <c r="M2765" s="0" t="n">
        <f aca="true">CRITBINOM(MAX(0,J2765-K2765),1-Coefficients!$B$32,RAND())</f>
        <v>0</v>
      </c>
      <c r="N2765" s="0" t="n">
        <f aca="true">CRITBINOM(MAX(0,$C2765-J2765),MIN(0.6,Matchup!$C$40*SQRT($B2765)/(1-MIN(0.75,Matchup!$C$39*$B2765))),RAND())</f>
        <v>1</v>
      </c>
      <c r="O2765" s="0" t="n">
        <f aca="false">6*J2765+(J2765-K2765-M2765)+2*L2765+3*N2765</f>
        <v>24</v>
      </c>
      <c r="P2765" s="0" t="n">
        <f aca="true">RAND()</f>
        <v>0.270287651038742</v>
      </c>
      <c r="Q2765" s="0" t="n">
        <f aca="true">RAND()</f>
        <v>0.0990431082241675</v>
      </c>
      <c r="R2765" s="0" t="n">
        <f aca="false">IF($I2765&lt;&gt;$O2765,0,IF(P2765&lt;Matchup!$B$39,7,IF(P2765&lt;Matchup!$B$39+Matchup!$B$40,3,0)))</f>
        <v>0</v>
      </c>
      <c r="S2765" s="0" t="n">
        <f aca="false">IF($I2765&lt;&gt;$O2765,0,IF(Q2765&lt;Matchup!$C$39,7,IF(Q2765&lt;Matchup!$C$39+Matchup!$C$40,3,0)))</f>
        <v>0</v>
      </c>
      <c r="T2765" s="0" t="n">
        <f aca="false">I2765+R2765</f>
        <v>16</v>
      </c>
      <c r="U2765" s="0" t="n">
        <f aca="false">O2765+S2765</f>
        <v>24</v>
      </c>
      <c r="V2765" s="0" t="n">
        <f aca="false">T2765-U2765</f>
        <v>-8</v>
      </c>
      <c r="W2765" s="0" t="n">
        <f aca="false">T2765+U2765</f>
        <v>40</v>
      </c>
    </row>
    <row r="2766" customFormat="false" ht="15" hidden="false" customHeight="false" outlineLevel="0" collapsed="false">
      <c r="A2766" s="0" t="n">
        <v>2763</v>
      </c>
      <c r="B2766" s="0" t="n">
        <f aca="true">NORMINV(RAND(),1,Coefficients!$B$22)</f>
        <v>0.955715010117007</v>
      </c>
      <c r="C2766" s="0" t="n">
        <f aca="true">MEDIAN(8,16,ROUND(NORMINV(RAND(),Coefficients!$B$20,Coefficients!$B$21),0))</f>
        <v>11</v>
      </c>
      <c r="D2766" s="0" t="n">
        <f aca="true">CRITBINOM($C2766,MIN(0.75,Matchup!$B$39*$B2766),RAND())</f>
        <v>1</v>
      </c>
      <c r="E2766" s="0" t="n">
        <f aca="true">CRITBINOM(D2766,Coefficients!$B$30,RAND())</f>
        <v>0</v>
      </c>
      <c r="F2766" s="0" t="n">
        <f aca="true">CRITBINOM(E2766,Coefficients!$B$31,RAND())</f>
        <v>0</v>
      </c>
      <c r="G2766" s="0" t="n">
        <f aca="true">CRITBINOM(MAX(0,D2766-E2766),1-Coefficients!$B$32,RAND())</f>
        <v>0</v>
      </c>
      <c r="H2766" s="0" t="n">
        <f aca="true">CRITBINOM(MAX(0,$C2766-D2766),MIN(0.6,Matchup!$B$40*SQRT($B2766)/(1-MIN(0.75,Matchup!$B$39*$B2766))),RAND())</f>
        <v>2</v>
      </c>
      <c r="I2766" s="0" t="n">
        <f aca="false">6*D2766+(D2766-E2766-G2766)+2*F2766+3*H2766</f>
        <v>13</v>
      </c>
      <c r="J2766" s="0" t="n">
        <f aca="true">CRITBINOM($C2766,MIN(0.75,Matchup!$C$39*$B2766),RAND())</f>
        <v>1</v>
      </c>
      <c r="K2766" s="0" t="n">
        <f aca="true">CRITBINOM(J2766,Coefficients!$B$30,RAND())</f>
        <v>0</v>
      </c>
      <c r="L2766" s="0" t="n">
        <f aca="true">CRITBINOM(K2766,Coefficients!$B$31,RAND())</f>
        <v>0</v>
      </c>
      <c r="M2766" s="0" t="n">
        <f aca="true">CRITBINOM(MAX(0,J2766-K2766),1-Coefficients!$B$32,RAND())</f>
        <v>0</v>
      </c>
      <c r="N2766" s="0" t="n">
        <f aca="true">CRITBINOM(MAX(0,$C2766-J2766),MIN(0.6,Matchup!$C$40*SQRT($B2766)/(1-MIN(0.75,Matchup!$C$39*$B2766))),RAND())</f>
        <v>2</v>
      </c>
      <c r="O2766" s="0" t="n">
        <f aca="false">6*J2766+(J2766-K2766-M2766)+2*L2766+3*N2766</f>
        <v>13</v>
      </c>
      <c r="P2766" s="0" t="n">
        <f aca="true">RAND()</f>
        <v>0.89772927475748</v>
      </c>
      <c r="Q2766" s="0" t="n">
        <f aca="true">RAND()</f>
        <v>0.159437995641808</v>
      </c>
      <c r="R2766" s="0" t="n">
        <f aca="false">IF($I2766&lt;&gt;$O2766,0,IF(P2766&lt;Matchup!$B$39,7,IF(P2766&lt;Matchup!$B$39+Matchup!$B$40,3,0)))</f>
        <v>0</v>
      </c>
      <c r="S2766" s="0" t="n">
        <f aca="false">IF($I2766&lt;&gt;$O2766,0,IF(Q2766&lt;Matchup!$C$39,7,IF(Q2766&lt;Matchup!$C$39+Matchup!$C$40,3,0)))</f>
        <v>7</v>
      </c>
      <c r="T2766" s="0" t="n">
        <f aca="false">I2766+R2766</f>
        <v>13</v>
      </c>
      <c r="U2766" s="0" t="n">
        <f aca="false">O2766+S2766</f>
        <v>20</v>
      </c>
      <c r="V2766" s="0" t="n">
        <f aca="false">T2766-U2766</f>
        <v>-7</v>
      </c>
      <c r="W2766" s="0" t="n">
        <f aca="false">T2766+U2766</f>
        <v>33</v>
      </c>
    </row>
    <row r="2767" customFormat="false" ht="15" hidden="false" customHeight="false" outlineLevel="0" collapsed="false">
      <c r="A2767" s="0" t="n">
        <v>2764</v>
      </c>
      <c r="B2767" s="0" t="n">
        <f aca="true">NORMINV(RAND(),1,Coefficients!$B$22)</f>
        <v>1.08015005585769</v>
      </c>
      <c r="C2767" s="0" t="n">
        <f aca="true">MEDIAN(8,16,ROUND(NORMINV(RAND(),Coefficients!$B$20,Coefficients!$B$21),0))</f>
        <v>10</v>
      </c>
      <c r="D2767" s="0" t="n">
        <f aca="true">CRITBINOM($C2767,MIN(0.75,Matchup!$B$39*$B2767),RAND())</f>
        <v>4</v>
      </c>
      <c r="E2767" s="0" t="n">
        <f aca="true">CRITBINOM(D2767,Coefficients!$B$30,RAND())</f>
        <v>0</v>
      </c>
      <c r="F2767" s="0" t="n">
        <f aca="true">CRITBINOM(E2767,Coefficients!$B$31,RAND())</f>
        <v>0</v>
      </c>
      <c r="G2767" s="0" t="n">
        <f aca="true">CRITBINOM(MAX(0,D2767-E2767),1-Coefficients!$B$32,RAND())</f>
        <v>0</v>
      </c>
      <c r="H2767" s="0" t="n">
        <f aca="true">CRITBINOM(MAX(0,$C2767-D2767),MIN(0.6,Matchup!$B$40*SQRT($B2767)/(1-MIN(0.75,Matchup!$B$39*$B2767))),RAND())</f>
        <v>1</v>
      </c>
      <c r="I2767" s="0" t="n">
        <f aca="false">6*D2767+(D2767-E2767-G2767)+2*F2767+3*H2767</f>
        <v>31</v>
      </c>
      <c r="J2767" s="0" t="n">
        <f aca="true">CRITBINOM($C2767,MIN(0.75,Matchup!$C$39*$B2767),RAND())</f>
        <v>3</v>
      </c>
      <c r="K2767" s="0" t="n">
        <f aca="true">CRITBINOM(J2767,Coefficients!$B$30,RAND())</f>
        <v>0</v>
      </c>
      <c r="L2767" s="0" t="n">
        <f aca="true">CRITBINOM(K2767,Coefficients!$B$31,RAND())</f>
        <v>0</v>
      </c>
      <c r="M2767" s="0" t="n">
        <f aca="true">CRITBINOM(MAX(0,J2767-K2767),1-Coefficients!$B$32,RAND())</f>
        <v>0</v>
      </c>
      <c r="N2767" s="0" t="n">
        <f aca="true">CRITBINOM(MAX(0,$C2767-J2767),MIN(0.6,Matchup!$C$40*SQRT($B2767)/(1-MIN(0.75,Matchup!$C$39*$B2767))),RAND())</f>
        <v>0</v>
      </c>
      <c r="O2767" s="0" t="n">
        <f aca="false">6*J2767+(J2767-K2767-M2767)+2*L2767+3*N2767</f>
        <v>21</v>
      </c>
      <c r="P2767" s="0" t="n">
        <f aca="true">RAND()</f>
        <v>0.279006184898708</v>
      </c>
      <c r="Q2767" s="0" t="n">
        <f aca="true">RAND()</f>
        <v>0.00661435303476868</v>
      </c>
      <c r="R2767" s="0" t="n">
        <f aca="false">IF($I2767&lt;&gt;$O2767,0,IF(P2767&lt;Matchup!$B$39,7,IF(P2767&lt;Matchup!$B$39+Matchup!$B$40,3,0)))</f>
        <v>0</v>
      </c>
      <c r="S2767" s="0" t="n">
        <f aca="false">IF($I2767&lt;&gt;$O2767,0,IF(Q2767&lt;Matchup!$C$39,7,IF(Q2767&lt;Matchup!$C$39+Matchup!$C$40,3,0)))</f>
        <v>0</v>
      </c>
      <c r="T2767" s="0" t="n">
        <f aca="false">I2767+R2767</f>
        <v>31</v>
      </c>
      <c r="U2767" s="0" t="n">
        <f aca="false">O2767+S2767</f>
        <v>21</v>
      </c>
      <c r="V2767" s="0" t="n">
        <f aca="false">T2767-U2767</f>
        <v>10</v>
      </c>
      <c r="W2767" s="0" t="n">
        <f aca="false">T2767+U2767</f>
        <v>52</v>
      </c>
    </row>
    <row r="2768" customFormat="false" ht="15" hidden="false" customHeight="false" outlineLevel="0" collapsed="false">
      <c r="A2768" s="0" t="n">
        <v>2765</v>
      </c>
      <c r="B2768" s="0" t="n">
        <f aca="true">NORMINV(RAND(),1,Coefficients!$B$22)</f>
        <v>0.941336579488449</v>
      </c>
      <c r="C2768" s="0" t="n">
        <f aca="true">MEDIAN(8,16,ROUND(NORMINV(RAND(),Coefficients!$B$20,Coefficients!$B$21),0))</f>
        <v>11</v>
      </c>
      <c r="D2768" s="0" t="n">
        <f aca="true">CRITBINOM($C2768,MIN(0.75,Matchup!$B$39*$B2768),RAND())</f>
        <v>6</v>
      </c>
      <c r="E2768" s="0" t="n">
        <f aca="true">CRITBINOM(D2768,Coefficients!$B$30,RAND())</f>
        <v>1</v>
      </c>
      <c r="F2768" s="0" t="n">
        <f aca="true">CRITBINOM(E2768,Coefficients!$B$31,RAND())</f>
        <v>0</v>
      </c>
      <c r="G2768" s="0" t="n">
        <f aca="true">CRITBINOM(MAX(0,D2768-E2768),1-Coefficients!$B$32,RAND())</f>
        <v>0</v>
      </c>
      <c r="H2768" s="0" t="n">
        <f aca="true">CRITBINOM(MAX(0,$C2768-D2768),MIN(0.6,Matchup!$B$40*SQRT($B2768)/(1-MIN(0.75,Matchup!$B$39*$B2768))),RAND())</f>
        <v>1</v>
      </c>
      <c r="I2768" s="0" t="n">
        <f aca="false">6*D2768+(D2768-E2768-G2768)+2*F2768+3*H2768</f>
        <v>44</v>
      </c>
      <c r="J2768" s="0" t="n">
        <f aca="true">CRITBINOM($C2768,MIN(0.75,Matchup!$C$39*$B2768),RAND())</f>
        <v>3</v>
      </c>
      <c r="K2768" s="0" t="n">
        <f aca="true">CRITBINOM(J2768,Coefficients!$B$30,RAND())</f>
        <v>0</v>
      </c>
      <c r="L2768" s="0" t="n">
        <f aca="true">CRITBINOM(K2768,Coefficients!$B$31,RAND())</f>
        <v>0</v>
      </c>
      <c r="M2768" s="0" t="n">
        <f aca="true">CRITBINOM(MAX(0,J2768-K2768),1-Coefficients!$B$32,RAND())</f>
        <v>0</v>
      </c>
      <c r="N2768" s="0" t="n">
        <f aca="true">CRITBINOM(MAX(0,$C2768-J2768),MIN(0.6,Matchup!$C$40*SQRT($B2768)/(1-MIN(0.75,Matchup!$C$39*$B2768))),RAND())</f>
        <v>2</v>
      </c>
      <c r="O2768" s="0" t="n">
        <f aca="false">6*J2768+(J2768-K2768-M2768)+2*L2768+3*N2768</f>
        <v>27</v>
      </c>
      <c r="P2768" s="0" t="n">
        <f aca="true">RAND()</f>
        <v>0.0647802990668313</v>
      </c>
      <c r="Q2768" s="0" t="n">
        <f aca="true">RAND()</f>
        <v>0.670385744416862</v>
      </c>
      <c r="R2768" s="0" t="n">
        <f aca="false">IF($I2768&lt;&gt;$O2768,0,IF(P2768&lt;Matchup!$B$39,7,IF(P2768&lt;Matchup!$B$39+Matchup!$B$40,3,0)))</f>
        <v>0</v>
      </c>
      <c r="S2768" s="0" t="n">
        <f aca="false">IF($I2768&lt;&gt;$O2768,0,IF(Q2768&lt;Matchup!$C$39,7,IF(Q2768&lt;Matchup!$C$39+Matchup!$C$40,3,0)))</f>
        <v>0</v>
      </c>
      <c r="T2768" s="0" t="n">
        <f aca="false">I2768+R2768</f>
        <v>44</v>
      </c>
      <c r="U2768" s="0" t="n">
        <f aca="false">O2768+S2768</f>
        <v>27</v>
      </c>
      <c r="V2768" s="0" t="n">
        <f aca="false">T2768-U2768</f>
        <v>17</v>
      </c>
      <c r="W2768" s="0" t="n">
        <f aca="false">T2768+U2768</f>
        <v>71</v>
      </c>
    </row>
    <row r="2769" customFormat="false" ht="15" hidden="false" customHeight="false" outlineLevel="0" collapsed="false">
      <c r="A2769" s="0" t="n">
        <v>2766</v>
      </c>
      <c r="B2769" s="0" t="n">
        <f aca="true">NORMINV(RAND(),1,Coefficients!$B$22)</f>
        <v>0.93989867525929</v>
      </c>
      <c r="C2769" s="0" t="n">
        <f aca="true">MEDIAN(8,16,ROUND(NORMINV(RAND(),Coefficients!$B$20,Coefficients!$B$21),0))</f>
        <v>11</v>
      </c>
      <c r="D2769" s="0" t="n">
        <f aca="true">CRITBINOM($C2769,MIN(0.75,Matchup!$B$39*$B2769),RAND())</f>
        <v>1</v>
      </c>
      <c r="E2769" s="0" t="n">
        <f aca="true">CRITBINOM(D2769,Coefficients!$B$30,RAND())</f>
        <v>0</v>
      </c>
      <c r="F2769" s="0" t="n">
        <f aca="true">CRITBINOM(E2769,Coefficients!$B$31,RAND())</f>
        <v>0</v>
      </c>
      <c r="G2769" s="0" t="n">
        <f aca="true">CRITBINOM(MAX(0,D2769-E2769),1-Coefficients!$B$32,RAND())</f>
        <v>1</v>
      </c>
      <c r="H2769" s="0" t="n">
        <f aca="true">CRITBINOM(MAX(0,$C2769-D2769),MIN(0.6,Matchup!$B$40*SQRT($B2769)/(1-MIN(0.75,Matchup!$B$39*$B2769))),RAND())</f>
        <v>0</v>
      </c>
      <c r="I2769" s="0" t="n">
        <f aca="false">6*D2769+(D2769-E2769-G2769)+2*F2769+3*H2769</f>
        <v>6</v>
      </c>
      <c r="J2769" s="0" t="n">
        <f aca="true">CRITBINOM($C2769,MIN(0.75,Matchup!$C$39*$B2769),RAND())</f>
        <v>2</v>
      </c>
      <c r="K2769" s="0" t="n">
        <f aca="true">CRITBINOM(J2769,Coefficients!$B$30,RAND())</f>
        <v>0</v>
      </c>
      <c r="L2769" s="0" t="n">
        <f aca="true">CRITBINOM(K2769,Coefficients!$B$31,RAND())</f>
        <v>0</v>
      </c>
      <c r="M2769" s="0" t="n">
        <f aca="true">CRITBINOM(MAX(0,J2769-K2769),1-Coefficients!$B$32,RAND())</f>
        <v>0</v>
      </c>
      <c r="N2769" s="0" t="n">
        <f aca="true">CRITBINOM(MAX(0,$C2769-J2769),MIN(0.6,Matchup!$C$40*SQRT($B2769)/(1-MIN(0.75,Matchup!$C$39*$B2769))),RAND())</f>
        <v>2</v>
      </c>
      <c r="O2769" s="0" t="n">
        <f aca="false">6*J2769+(J2769-K2769-M2769)+2*L2769+3*N2769</f>
        <v>20</v>
      </c>
      <c r="P2769" s="0" t="n">
        <f aca="true">RAND()</f>
        <v>0.585234849734257</v>
      </c>
      <c r="Q2769" s="0" t="n">
        <f aca="true">RAND()</f>
        <v>0.676557425758682</v>
      </c>
      <c r="R2769" s="0" t="n">
        <f aca="false">IF($I2769&lt;&gt;$O2769,0,IF(P2769&lt;Matchup!$B$39,7,IF(P2769&lt;Matchup!$B$39+Matchup!$B$40,3,0)))</f>
        <v>0</v>
      </c>
      <c r="S2769" s="0" t="n">
        <f aca="false">IF($I2769&lt;&gt;$O2769,0,IF(Q2769&lt;Matchup!$C$39,7,IF(Q2769&lt;Matchup!$C$39+Matchup!$C$40,3,0)))</f>
        <v>0</v>
      </c>
      <c r="T2769" s="0" t="n">
        <f aca="false">I2769+R2769</f>
        <v>6</v>
      </c>
      <c r="U2769" s="0" t="n">
        <f aca="false">O2769+S2769</f>
        <v>20</v>
      </c>
      <c r="V2769" s="0" t="n">
        <f aca="false">T2769-U2769</f>
        <v>-14</v>
      </c>
      <c r="W2769" s="0" t="n">
        <f aca="false">T2769+U2769</f>
        <v>26</v>
      </c>
    </row>
    <row r="2770" customFormat="false" ht="15" hidden="false" customHeight="false" outlineLevel="0" collapsed="false">
      <c r="A2770" s="0" t="n">
        <v>2767</v>
      </c>
      <c r="B2770" s="0" t="n">
        <f aca="true">NORMINV(RAND(),1,Coefficients!$B$22)</f>
        <v>1.1944524908278</v>
      </c>
      <c r="C2770" s="0" t="n">
        <f aca="true">MEDIAN(8,16,ROUND(NORMINV(RAND(),Coefficients!$B$20,Coefficients!$B$21),0))</f>
        <v>11</v>
      </c>
      <c r="D2770" s="0" t="n">
        <f aca="true">CRITBINOM($C2770,MIN(0.75,Matchup!$B$39*$B2770),RAND())</f>
        <v>5</v>
      </c>
      <c r="E2770" s="0" t="n">
        <f aca="true">CRITBINOM(D2770,Coefficients!$B$30,RAND())</f>
        <v>1</v>
      </c>
      <c r="F2770" s="0" t="n">
        <f aca="true">CRITBINOM(E2770,Coefficients!$B$31,RAND())</f>
        <v>1</v>
      </c>
      <c r="G2770" s="0" t="n">
        <f aca="true">CRITBINOM(MAX(0,D2770-E2770),1-Coefficients!$B$32,RAND())</f>
        <v>1</v>
      </c>
      <c r="H2770" s="0" t="n">
        <f aca="true">CRITBINOM(MAX(0,$C2770-D2770),MIN(0.6,Matchup!$B$40*SQRT($B2770)/(1-MIN(0.75,Matchup!$B$39*$B2770))),RAND())</f>
        <v>1</v>
      </c>
      <c r="I2770" s="0" t="n">
        <f aca="false">6*D2770+(D2770-E2770-G2770)+2*F2770+3*H2770</f>
        <v>38</v>
      </c>
      <c r="J2770" s="0" t="n">
        <f aca="true">CRITBINOM($C2770,MIN(0.75,Matchup!$C$39*$B2770),RAND())</f>
        <v>3</v>
      </c>
      <c r="K2770" s="0" t="n">
        <f aca="true">CRITBINOM(J2770,Coefficients!$B$30,RAND())</f>
        <v>0</v>
      </c>
      <c r="L2770" s="0" t="n">
        <f aca="true">CRITBINOM(K2770,Coefficients!$B$31,RAND())</f>
        <v>0</v>
      </c>
      <c r="M2770" s="0" t="n">
        <f aca="true">CRITBINOM(MAX(0,J2770-K2770),1-Coefficients!$B$32,RAND())</f>
        <v>0</v>
      </c>
      <c r="N2770" s="0" t="n">
        <f aca="true">CRITBINOM(MAX(0,$C2770-J2770),MIN(0.6,Matchup!$C$40*SQRT($B2770)/(1-MIN(0.75,Matchup!$C$39*$B2770))),RAND())</f>
        <v>1</v>
      </c>
      <c r="O2770" s="0" t="n">
        <f aca="false">6*J2770+(J2770-K2770-M2770)+2*L2770+3*N2770</f>
        <v>24</v>
      </c>
      <c r="P2770" s="0" t="n">
        <f aca="true">RAND()</f>
        <v>0.654177103668016</v>
      </c>
      <c r="Q2770" s="0" t="n">
        <f aca="true">RAND()</f>
        <v>0.469558722011921</v>
      </c>
      <c r="R2770" s="0" t="n">
        <f aca="false">IF($I2770&lt;&gt;$O2770,0,IF(P2770&lt;Matchup!$B$39,7,IF(P2770&lt;Matchup!$B$39+Matchup!$B$40,3,0)))</f>
        <v>0</v>
      </c>
      <c r="S2770" s="0" t="n">
        <f aca="false">IF($I2770&lt;&gt;$O2770,0,IF(Q2770&lt;Matchup!$C$39,7,IF(Q2770&lt;Matchup!$C$39+Matchup!$C$40,3,0)))</f>
        <v>0</v>
      </c>
      <c r="T2770" s="0" t="n">
        <f aca="false">I2770+R2770</f>
        <v>38</v>
      </c>
      <c r="U2770" s="0" t="n">
        <f aca="false">O2770+S2770</f>
        <v>24</v>
      </c>
      <c r="V2770" s="0" t="n">
        <f aca="false">T2770-U2770</f>
        <v>14</v>
      </c>
      <c r="W2770" s="0" t="n">
        <f aca="false">T2770+U2770</f>
        <v>62</v>
      </c>
    </row>
    <row r="2771" customFormat="false" ht="15" hidden="false" customHeight="false" outlineLevel="0" collapsed="false">
      <c r="A2771" s="0" t="n">
        <v>2768</v>
      </c>
      <c r="B2771" s="0" t="n">
        <f aca="true">NORMINV(RAND(),1,Coefficients!$B$22)</f>
        <v>1.04751989292026</v>
      </c>
      <c r="C2771" s="0" t="n">
        <f aca="true">MEDIAN(8,16,ROUND(NORMINV(RAND(),Coefficients!$B$20,Coefficients!$B$21),0))</f>
        <v>13</v>
      </c>
      <c r="D2771" s="0" t="n">
        <f aca="true">CRITBINOM($C2771,MIN(0.75,Matchup!$B$39*$B2771),RAND())</f>
        <v>1</v>
      </c>
      <c r="E2771" s="0" t="n">
        <f aca="true">CRITBINOM(D2771,Coefficients!$B$30,RAND())</f>
        <v>0</v>
      </c>
      <c r="F2771" s="0" t="n">
        <f aca="true">CRITBINOM(E2771,Coefficients!$B$31,RAND())</f>
        <v>0</v>
      </c>
      <c r="G2771" s="0" t="n">
        <f aca="true">CRITBINOM(MAX(0,D2771-E2771),1-Coefficients!$B$32,RAND())</f>
        <v>0</v>
      </c>
      <c r="H2771" s="0" t="n">
        <f aca="true">CRITBINOM(MAX(0,$C2771-D2771),MIN(0.6,Matchup!$B$40*SQRT($B2771)/(1-MIN(0.75,Matchup!$B$39*$B2771))),RAND())</f>
        <v>4</v>
      </c>
      <c r="I2771" s="0" t="n">
        <f aca="false">6*D2771+(D2771-E2771-G2771)+2*F2771+3*H2771</f>
        <v>19</v>
      </c>
      <c r="J2771" s="0" t="n">
        <f aca="true">CRITBINOM($C2771,MIN(0.75,Matchup!$C$39*$B2771),RAND())</f>
        <v>3</v>
      </c>
      <c r="K2771" s="0" t="n">
        <f aca="true">CRITBINOM(J2771,Coefficients!$B$30,RAND())</f>
        <v>1</v>
      </c>
      <c r="L2771" s="0" t="n">
        <f aca="true">CRITBINOM(K2771,Coefficients!$B$31,RAND())</f>
        <v>1</v>
      </c>
      <c r="M2771" s="0" t="n">
        <f aca="true">CRITBINOM(MAX(0,J2771-K2771),1-Coefficients!$B$32,RAND())</f>
        <v>0</v>
      </c>
      <c r="N2771" s="0" t="n">
        <f aca="true">CRITBINOM(MAX(0,$C2771-J2771),MIN(0.6,Matchup!$C$40*SQRT($B2771)/(1-MIN(0.75,Matchup!$C$39*$B2771))),RAND())</f>
        <v>2</v>
      </c>
      <c r="O2771" s="0" t="n">
        <f aca="false">6*J2771+(J2771-K2771-M2771)+2*L2771+3*N2771</f>
        <v>28</v>
      </c>
      <c r="P2771" s="0" t="n">
        <f aca="true">RAND()</f>
        <v>0.826979430114059</v>
      </c>
      <c r="Q2771" s="0" t="n">
        <f aca="true">RAND()</f>
        <v>0.511653548200046</v>
      </c>
      <c r="R2771" s="0" t="n">
        <f aca="false">IF($I2771&lt;&gt;$O2771,0,IF(P2771&lt;Matchup!$B$39,7,IF(P2771&lt;Matchup!$B$39+Matchup!$B$40,3,0)))</f>
        <v>0</v>
      </c>
      <c r="S2771" s="0" t="n">
        <f aca="false">IF($I2771&lt;&gt;$O2771,0,IF(Q2771&lt;Matchup!$C$39,7,IF(Q2771&lt;Matchup!$C$39+Matchup!$C$40,3,0)))</f>
        <v>0</v>
      </c>
      <c r="T2771" s="0" t="n">
        <f aca="false">I2771+R2771</f>
        <v>19</v>
      </c>
      <c r="U2771" s="0" t="n">
        <f aca="false">O2771+S2771</f>
        <v>28</v>
      </c>
      <c r="V2771" s="0" t="n">
        <f aca="false">T2771-U2771</f>
        <v>-9</v>
      </c>
      <c r="W2771" s="0" t="n">
        <f aca="false">T2771+U2771</f>
        <v>47</v>
      </c>
    </row>
    <row r="2772" customFormat="false" ht="15" hidden="false" customHeight="false" outlineLevel="0" collapsed="false">
      <c r="A2772" s="0" t="n">
        <v>2769</v>
      </c>
      <c r="B2772" s="0" t="n">
        <f aca="true">NORMINV(RAND(),1,Coefficients!$B$22)</f>
        <v>0.909031158318988</v>
      </c>
      <c r="C2772" s="0" t="n">
        <f aca="true">MEDIAN(8,16,ROUND(NORMINV(RAND(),Coefficients!$B$20,Coefficients!$B$21),0))</f>
        <v>11</v>
      </c>
      <c r="D2772" s="0" t="n">
        <f aca="true">CRITBINOM($C2772,MIN(0.75,Matchup!$B$39*$B2772),RAND())</f>
        <v>2</v>
      </c>
      <c r="E2772" s="0" t="n">
        <f aca="true">CRITBINOM(D2772,Coefficients!$B$30,RAND())</f>
        <v>0</v>
      </c>
      <c r="F2772" s="0" t="n">
        <f aca="true">CRITBINOM(E2772,Coefficients!$B$31,RAND())</f>
        <v>0</v>
      </c>
      <c r="G2772" s="0" t="n">
        <f aca="true">CRITBINOM(MAX(0,D2772-E2772),1-Coefficients!$B$32,RAND())</f>
        <v>0</v>
      </c>
      <c r="H2772" s="0" t="n">
        <f aca="true">CRITBINOM(MAX(0,$C2772-D2772),MIN(0.6,Matchup!$B$40*SQRT($B2772)/(1-MIN(0.75,Matchup!$B$39*$B2772))),RAND())</f>
        <v>3</v>
      </c>
      <c r="I2772" s="0" t="n">
        <f aca="false">6*D2772+(D2772-E2772-G2772)+2*F2772+3*H2772</f>
        <v>23</v>
      </c>
      <c r="J2772" s="0" t="n">
        <f aca="true">CRITBINOM($C2772,MIN(0.75,Matchup!$C$39*$B2772),RAND())</f>
        <v>4</v>
      </c>
      <c r="K2772" s="0" t="n">
        <f aca="true">CRITBINOM(J2772,Coefficients!$B$30,RAND())</f>
        <v>0</v>
      </c>
      <c r="L2772" s="0" t="n">
        <f aca="true">CRITBINOM(K2772,Coefficients!$B$31,RAND())</f>
        <v>0</v>
      </c>
      <c r="M2772" s="0" t="n">
        <f aca="true">CRITBINOM(MAX(0,J2772-K2772),1-Coefficients!$B$32,RAND())</f>
        <v>0</v>
      </c>
      <c r="N2772" s="0" t="n">
        <f aca="true">CRITBINOM(MAX(0,$C2772-J2772),MIN(0.6,Matchup!$C$40*SQRT($B2772)/(1-MIN(0.75,Matchup!$C$39*$B2772))),RAND())</f>
        <v>2</v>
      </c>
      <c r="O2772" s="0" t="n">
        <f aca="false">6*J2772+(J2772-K2772-M2772)+2*L2772+3*N2772</f>
        <v>34</v>
      </c>
      <c r="P2772" s="0" t="n">
        <f aca="true">RAND()</f>
        <v>0.0788142882109949</v>
      </c>
      <c r="Q2772" s="0" t="n">
        <f aca="true">RAND()</f>
        <v>0.501881606833044</v>
      </c>
      <c r="R2772" s="0" t="n">
        <f aca="false">IF($I2772&lt;&gt;$O2772,0,IF(P2772&lt;Matchup!$B$39,7,IF(P2772&lt;Matchup!$B$39+Matchup!$B$40,3,0)))</f>
        <v>0</v>
      </c>
      <c r="S2772" s="0" t="n">
        <f aca="false">IF($I2772&lt;&gt;$O2772,0,IF(Q2772&lt;Matchup!$C$39,7,IF(Q2772&lt;Matchup!$C$39+Matchup!$C$40,3,0)))</f>
        <v>0</v>
      </c>
      <c r="T2772" s="0" t="n">
        <f aca="false">I2772+R2772</f>
        <v>23</v>
      </c>
      <c r="U2772" s="0" t="n">
        <f aca="false">O2772+S2772</f>
        <v>34</v>
      </c>
      <c r="V2772" s="0" t="n">
        <f aca="false">T2772-U2772</f>
        <v>-11</v>
      </c>
      <c r="W2772" s="0" t="n">
        <f aca="false">T2772+U2772</f>
        <v>57</v>
      </c>
    </row>
    <row r="2773" customFormat="false" ht="15" hidden="false" customHeight="false" outlineLevel="0" collapsed="false">
      <c r="A2773" s="0" t="n">
        <v>2770</v>
      </c>
      <c r="B2773" s="0" t="n">
        <f aca="true">NORMINV(RAND(),1,Coefficients!$B$22)</f>
        <v>0.942512213418085</v>
      </c>
      <c r="C2773" s="0" t="n">
        <f aca="true">MEDIAN(8,16,ROUND(NORMINV(RAND(),Coefficients!$B$20,Coefficients!$B$21),0))</f>
        <v>12</v>
      </c>
      <c r="D2773" s="0" t="n">
        <f aca="true">CRITBINOM($C2773,MIN(0.75,Matchup!$B$39*$B2773),RAND())</f>
        <v>4</v>
      </c>
      <c r="E2773" s="0" t="n">
        <f aca="true">CRITBINOM(D2773,Coefficients!$B$30,RAND())</f>
        <v>0</v>
      </c>
      <c r="F2773" s="0" t="n">
        <f aca="true">CRITBINOM(E2773,Coefficients!$B$31,RAND())</f>
        <v>0</v>
      </c>
      <c r="G2773" s="0" t="n">
        <f aca="true">CRITBINOM(MAX(0,D2773-E2773),1-Coefficients!$B$32,RAND())</f>
        <v>0</v>
      </c>
      <c r="H2773" s="0" t="n">
        <f aca="true">CRITBINOM(MAX(0,$C2773-D2773),MIN(0.6,Matchup!$B$40*SQRT($B2773)/(1-MIN(0.75,Matchup!$B$39*$B2773))),RAND())</f>
        <v>4</v>
      </c>
      <c r="I2773" s="0" t="n">
        <f aca="false">6*D2773+(D2773-E2773-G2773)+2*F2773+3*H2773</f>
        <v>40</v>
      </c>
      <c r="J2773" s="0" t="n">
        <f aca="true">CRITBINOM($C2773,MIN(0.75,Matchup!$C$39*$B2773),RAND())</f>
        <v>0</v>
      </c>
      <c r="K2773" s="0" t="n">
        <f aca="true">CRITBINOM(J2773,Coefficients!$B$30,RAND())</f>
        <v>0</v>
      </c>
      <c r="L2773" s="0" t="n">
        <f aca="true">CRITBINOM(K2773,Coefficients!$B$31,RAND())</f>
        <v>0</v>
      </c>
      <c r="M2773" s="0" t="n">
        <f aca="true">CRITBINOM(MAX(0,J2773-K2773),1-Coefficients!$B$32,RAND())</f>
        <v>0</v>
      </c>
      <c r="N2773" s="0" t="n">
        <f aca="true">CRITBINOM(MAX(0,$C2773-J2773),MIN(0.6,Matchup!$C$40*SQRT($B2773)/(1-MIN(0.75,Matchup!$C$39*$B2773))),RAND())</f>
        <v>1</v>
      </c>
      <c r="O2773" s="0" t="n">
        <f aca="false">6*J2773+(J2773-K2773-M2773)+2*L2773+3*N2773</f>
        <v>3</v>
      </c>
      <c r="P2773" s="0" t="n">
        <f aca="true">RAND()</f>
        <v>0.504618430371318</v>
      </c>
      <c r="Q2773" s="0" t="n">
        <f aca="true">RAND()</f>
        <v>0.215736151453079</v>
      </c>
      <c r="R2773" s="0" t="n">
        <f aca="false">IF($I2773&lt;&gt;$O2773,0,IF(P2773&lt;Matchup!$B$39,7,IF(P2773&lt;Matchup!$B$39+Matchup!$B$40,3,0)))</f>
        <v>0</v>
      </c>
      <c r="S2773" s="0" t="n">
        <f aca="false">IF($I2773&lt;&gt;$O2773,0,IF(Q2773&lt;Matchup!$C$39,7,IF(Q2773&lt;Matchup!$C$39+Matchup!$C$40,3,0)))</f>
        <v>0</v>
      </c>
      <c r="T2773" s="0" t="n">
        <f aca="false">I2773+R2773</f>
        <v>40</v>
      </c>
      <c r="U2773" s="0" t="n">
        <f aca="false">O2773+S2773</f>
        <v>3</v>
      </c>
      <c r="V2773" s="0" t="n">
        <f aca="false">T2773-U2773</f>
        <v>37</v>
      </c>
      <c r="W2773" s="0" t="n">
        <f aca="false">T2773+U2773</f>
        <v>43</v>
      </c>
    </row>
    <row r="2774" customFormat="false" ht="15" hidden="false" customHeight="false" outlineLevel="0" collapsed="false">
      <c r="A2774" s="0" t="n">
        <v>2771</v>
      </c>
      <c r="B2774" s="0" t="n">
        <f aca="true">NORMINV(RAND(),1,Coefficients!$B$22)</f>
        <v>1.01522210352746</v>
      </c>
      <c r="C2774" s="0" t="n">
        <f aca="true">MEDIAN(8,16,ROUND(NORMINV(RAND(),Coefficients!$B$20,Coefficients!$B$21),0))</f>
        <v>11</v>
      </c>
      <c r="D2774" s="0" t="n">
        <f aca="true">CRITBINOM($C2774,MIN(0.75,Matchup!$B$39*$B2774),RAND())</f>
        <v>2</v>
      </c>
      <c r="E2774" s="0" t="n">
        <f aca="true">CRITBINOM(D2774,Coefficients!$B$30,RAND())</f>
        <v>0</v>
      </c>
      <c r="F2774" s="0" t="n">
        <f aca="true">CRITBINOM(E2774,Coefficients!$B$31,RAND())</f>
        <v>0</v>
      </c>
      <c r="G2774" s="0" t="n">
        <f aca="true">CRITBINOM(MAX(0,D2774-E2774),1-Coefficients!$B$32,RAND())</f>
        <v>0</v>
      </c>
      <c r="H2774" s="0" t="n">
        <f aca="true">CRITBINOM(MAX(0,$C2774-D2774),MIN(0.6,Matchup!$B$40*SQRT($B2774)/(1-MIN(0.75,Matchup!$B$39*$B2774))),RAND())</f>
        <v>2</v>
      </c>
      <c r="I2774" s="0" t="n">
        <f aca="false">6*D2774+(D2774-E2774-G2774)+2*F2774+3*H2774</f>
        <v>20</v>
      </c>
      <c r="J2774" s="0" t="n">
        <f aca="true">CRITBINOM($C2774,MIN(0.75,Matchup!$C$39*$B2774),RAND())</f>
        <v>3</v>
      </c>
      <c r="K2774" s="0" t="n">
        <f aca="true">CRITBINOM(J2774,Coefficients!$B$30,RAND())</f>
        <v>0</v>
      </c>
      <c r="L2774" s="0" t="n">
        <f aca="true">CRITBINOM(K2774,Coefficients!$B$31,RAND())</f>
        <v>0</v>
      </c>
      <c r="M2774" s="0" t="n">
        <f aca="true">CRITBINOM(MAX(0,J2774-K2774),1-Coefficients!$B$32,RAND())</f>
        <v>0</v>
      </c>
      <c r="N2774" s="0" t="n">
        <f aca="true">CRITBINOM(MAX(0,$C2774-J2774),MIN(0.6,Matchup!$C$40*SQRT($B2774)/(1-MIN(0.75,Matchup!$C$39*$B2774))),RAND())</f>
        <v>0</v>
      </c>
      <c r="O2774" s="0" t="n">
        <f aca="false">6*J2774+(J2774-K2774-M2774)+2*L2774+3*N2774</f>
        <v>21</v>
      </c>
      <c r="P2774" s="0" t="n">
        <f aca="true">RAND()</f>
        <v>0.405968141227023</v>
      </c>
      <c r="Q2774" s="0" t="n">
        <f aca="true">RAND()</f>
        <v>0.31724354887041</v>
      </c>
      <c r="R2774" s="0" t="n">
        <f aca="false">IF($I2774&lt;&gt;$O2774,0,IF(P2774&lt;Matchup!$B$39,7,IF(P2774&lt;Matchup!$B$39+Matchup!$B$40,3,0)))</f>
        <v>0</v>
      </c>
      <c r="S2774" s="0" t="n">
        <f aca="false">IF($I2774&lt;&gt;$O2774,0,IF(Q2774&lt;Matchup!$C$39,7,IF(Q2774&lt;Matchup!$C$39+Matchup!$C$40,3,0)))</f>
        <v>0</v>
      </c>
      <c r="T2774" s="0" t="n">
        <f aca="false">I2774+R2774</f>
        <v>20</v>
      </c>
      <c r="U2774" s="0" t="n">
        <f aca="false">O2774+S2774</f>
        <v>21</v>
      </c>
      <c r="V2774" s="0" t="n">
        <f aca="false">T2774-U2774</f>
        <v>-1</v>
      </c>
      <c r="W2774" s="0" t="n">
        <f aca="false">T2774+U2774</f>
        <v>41</v>
      </c>
    </row>
    <row r="2775" customFormat="false" ht="15" hidden="false" customHeight="false" outlineLevel="0" collapsed="false">
      <c r="A2775" s="0" t="n">
        <v>2772</v>
      </c>
      <c r="B2775" s="0" t="n">
        <f aca="true">NORMINV(RAND(),1,Coefficients!$B$22)</f>
        <v>1.00397023351954</v>
      </c>
      <c r="C2775" s="0" t="n">
        <f aca="true">MEDIAN(8,16,ROUND(NORMINV(RAND(),Coefficients!$B$20,Coefficients!$B$21),0))</f>
        <v>11</v>
      </c>
      <c r="D2775" s="0" t="n">
        <f aca="true">CRITBINOM($C2775,MIN(0.75,Matchup!$B$39*$B2775),RAND())</f>
        <v>3</v>
      </c>
      <c r="E2775" s="0" t="n">
        <f aca="true">CRITBINOM(D2775,Coefficients!$B$30,RAND())</f>
        <v>1</v>
      </c>
      <c r="F2775" s="0" t="n">
        <f aca="true">CRITBINOM(E2775,Coefficients!$B$31,RAND())</f>
        <v>0</v>
      </c>
      <c r="G2775" s="0" t="n">
        <f aca="true">CRITBINOM(MAX(0,D2775-E2775),1-Coefficients!$B$32,RAND())</f>
        <v>0</v>
      </c>
      <c r="H2775" s="0" t="n">
        <f aca="true">CRITBINOM(MAX(0,$C2775-D2775),MIN(0.6,Matchup!$B$40*SQRT($B2775)/(1-MIN(0.75,Matchup!$B$39*$B2775))),RAND())</f>
        <v>1</v>
      </c>
      <c r="I2775" s="0" t="n">
        <f aca="false">6*D2775+(D2775-E2775-G2775)+2*F2775+3*H2775</f>
        <v>23</v>
      </c>
      <c r="J2775" s="0" t="n">
        <f aca="true">CRITBINOM($C2775,MIN(0.75,Matchup!$C$39*$B2775),RAND())</f>
        <v>1</v>
      </c>
      <c r="K2775" s="0" t="n">
        <f aca="true">CRITBINOM(J2775,Coefficients!$B$30,RAND())</f>
        <v>0</v>
      </c>
      <c r="L2775" s="0" t="n">
        <f aca="true">CRITBINOM(K2775,Coefficients!$B$31,RAND())</f>
        <v>0</v>
      </c>
      <c r="M2775" s="0" t="n">
        <f aca="true">CRITBINOM(MAX(0,J2775-K2775),1-Coefficients!$B$32,RAND())</f>
        <v>0</v>
      </c>
      <c r="N2775" s="0" t="n">
        <f aca="true">CRITBINOM(MAX(0,$C2775-J2775),MIN(0.6,Matchup!$C$40*SQRT($B2775)/(1-MIN(0.75,Matchup!$C$39*$B2775))),RAND())</f>
        <v>0</v>
      </c>
      <c r="O2775" s="0" t="n">
        <f aca="false">6*J2775+(J2775-K2775-M2775)+2*L2775+3*N2775</f>
        <v>7</v>
      </c>
      <c r="P2775" s="0" t="n">
        <f aca="true">RAND()</f>
        <v>0.379346011378205</v>
      </c>
      <c r="Q2775" s="0" t="n">
        <f aca="true">RAND()</f>
        <v>0.688053716564755</v>
      </c>
      <c r="R2775" s="0" t="n">
        <f aca="false">IF($I2775&lt;&gt;$O2775,0,IF(P2775&lt;Matchup!$B$39,7,IF(P2775&lt;Matchup!$B$39+Matchup!$B$40,3,0)))</f>
        <v>0</v>
      </c>
      <c r="S2775" s="0" t="n">
        <f aca="false">IF($I2775&lt;&gt;$O2775,0,IF(Q2775&lt;Matchup!$C$39,7,IF(Q2775&lt;Matchup!$C$39+Matchup!$C$40,3,0)))</f>
        <v>0</v>
      </c>
      <c r="T2775" s="0" t="n">
        <f aca="false">I2775+R2775</f>
        <v>23</v>
      </c>
      <c r="U2775" s="0" t="n">
        <f aca="false">O2775+S2775</f>
        <v>7</v>
      </c>
      <c r="V2775" s="0" t="n">
        <f aca="false">T2775-U2775</f>
        <v>16</v>
      </c>
      <c r="W2775" s="0" t="n">
        <f aca="false">T2775+U2775</f>
        <v>30</v>
      </c>
    </row>
    <row r="2776" customFormat="false" ht="15" hidden="false" customHeight="false" outlineLevel="0" collapsed="false">
      <c r="A2776" s="0" t="n">
        <v>2773</v>
      </c>
      <c r="B2776" s="0" t="n">
        <f aca="true">NORMINV(RAND(),1,Coefficients!$B$22)</f>
        <v>1.14158154940476</v>
      </c>
      <c r="C2776" s="0" t="n">
        <f aca="true">MEDIAN(8,16,ROUND(NORMINV(RAND(),Coefficients!$B$20,Coefficients!$B$21),0))</f>
        <v>12</v>
      </c>
      <c r="D2776" s="0" t="n">
        <f aca="true">CRITBINOM($C2776,MIN(0.75,Matchup!$B$39*$B2776),RAND())</f>
        <v>2</v>
      </c>
      <c r="E2776" s="0" t="n">
        <f aca="true">CRITBINOM(D2776,Coefficients!$B$30,RAND())</f>
        <v>1</v>
      </c>
      <c r="F2776" s="0" t="n">
        <f aca="true">CRITBINOM(E2776,Coefficients!$B$31,RAND())</f>
        <v>1</v>
      </c>
      <c r="G2776" s="0" t="n">
        <f aca="true">CRITBINOM(MAX(0,D2776-E2776),1-Coefficients!$B$32,RAND())</f>
        <v>0</v>
      </c>
      <c r="H2776" s="0" t="n">
        <f aca="true">CRITBINOM(MAX(0,$C2776-D2776),MIN(0.6,Matchup!$B$40*SQRT($B2776)/(1-MIN(0.75,Matchup!$B$39*$B2776))),RAND())</f>
        <v>2</v>
      </c>
      <c r="I2776" s="0" t="n">
        <f aca="false">6*D2776+(D2776-E2776-G2776)+2*F2776+3*H2776</f>
        <v>21</v>
      </c>
      <c r="J2776" s="0" t="n">
        <f aca="true">CRITBINOM($C2776,MIN(0.75,Matchup!$C$39*$B2776),RAND())</f>
        <v>3</v>
      </c>
      <c r="K2776" s="0" t="n">
        <f aca="true">CRITBINOM(J2776,Coefficients!$B$30,RAND())</f>
        <v>0</v>
      </c>
      <c r="L2776" s="0" t="n">
        <f aca="true">CRITBINOM(K2776,Coefficients!$B$31,RAND())</f>
        <v>0</v>
      </c>
      <c r="M2776" s="0" t="n">
        <f aca="true">CRITBINOM(MAX(0,J2776-K2776),1-Coefficients!$B$32,RAND())</f>
        <v>0</v>
      </c>
      <c r="N2776" s="0" t="n">
        <f aca="true">CRITBINOM(MAX(0,$C2776-J2776),MIN(0.6,Matchup!$C$40*SQRT($B2776)/(1-MIN(0.75,Matchup!$C$39*$B2776))),RAND())</f>
        <v>2</v>
      </c>
      <c r="O2776" s="0" t="n">
        <f aca="false">6*J2776+(J2776-K2776-M2776)+2*L2776+3*N2776</f>
        <v>27</v>
      </c>
      <c r="P2776" s="0" t="n">
        <f aca="true">RAND()</f>
        <v>0.788203601479992</v>
      </c>
      <c r="Q2776" s="0" t="n">
        <f aca="true">RAND()</f>
        <v>0.0946107629227722</v>
      </c>
      <c r="R2776" s="0" t="n">
        <f aca="false">IF($I2776&lt;&gt;$O2776,0,IF(P2776&lt;Matchup!$B$39,7,IF(P2776&lt;Matchup!$B$39+Matchup!$B$40,3,0)))</f>
        <v>0</v>
      </c>
      <c r="S2776" s="0" t="n">
        <f aca="false">IF($I2776&lt;&gt;$O2776,0,IF(Q2776&lt;Matchup!$C$39,7,IF(Q2776&lt;Matchup!$C$39+Matchup!$C$40,3,0)))</f>
        <v>0</v>
      </c>
      <c r="T2776" s="0" t="n">
        <f aca="false">I2776+R2776</f>
        <v>21</v>
      </c>
      <c r="U2776" s="0" t="n">
        <f aca="false">O2776+S2776</f>
        <v>27</v>
      </c>
      <c r="V2776" s="0" t="n">
        <f aca="false">T2776-U2776</f>
        <v>-6</v>
      </c>
      <c r="W2776" s="0" t="n">
        <f aca="false">T2776+U2776</f>
        <v>48</v>
      </c>
    </row>
    <row r="2777" customFormat="false" ht="15" hidden="false" customHeight="false" outlineLevel="0" collapsed="false">
      <c r="A2777" s="0" t="n">
        <v>2774</v>
      </c>
      <c r="B2777" s="0" t="n">
        <f aca="true">NORMINV(RAND(),1,Coefficients!$B$22)</f>
        <v>0.998226039624246</v>
      </c>
      <c r="C2777" s="0" t="n">
        <f aca="true">MEDIAN(8,16,ROUND(NORMINV(RAND(),Coefficients!$B$20,Coefficients!$B$21),0))</f>
        <v>11</v>
      </c>
      <c r="D2777" s="0" t="n">
        <f aca="true">CRITBINOM($C2777,MIN(0.75,Matchup!$B$39*$B2777),RAND())</f>
        <v>3</v>
      </c>
      <c r="E2777" s="0" t="n">
        <f aca="true">CRITBINOM(D2777,Coefficients!$B$30,RAND())</f>
        <v>0</v>
      </c>
      <c r="F2777" s="0" t="n">
        <f aca="true">CRITBINOM(E2777,Coefficients!$B$31,RAND())</f>
        <v>0</v>
      </c>
      <c r="G2777" s="0" t="n">
        <f aca="true">CRITBINOM(MAX(0,D2777-E2777),1-Coefficients!$B$32,RAND())</f>
        <v>0</v>
      </c>
      <c r="H2777" s="0" t="n">
        <f aca="true">CRITBINOM(MAX(0,$C2777-D2777),MIN(0.6,Matchup!$B$40*SQRT($B2777)/(1-MIN(0.75,Matchup!$B$39*$B2777))),RAND())</f>
        <v>2</v>
      </c>
      <c r="I2777" s="0" t="n">
        <f aca="false">6*D2777+(D2777-E2777-G2777)+2*F2777+3*H2777</f>
        <v>27</v>
      </c>
      <c r="J2777" s="0" t="n">
        <f aca="true">CRITBINOM($C2777,MIN(0.75,Matchup!$C$39*$B2777),RAND())</f>
        <v>2</v>
      </c>
      <c r="K2777" s="0" t="n">
        <f aca="true">CRITBINOM(J2777,Coefficients!$B$30,RAND())</f>
        <v>1</v>
      </c>
      <c r="L2777" s="0" t="n">
        <f aca="true">CRITBINOM(K2777,Coefficients!$B$31,RAND())</f>
        <v>0</v>
      </c>
      <c r="M2777" s="0" t="n">
        <f aca="true">CRITBINOM(MAX(0,J2777-K2777),1-Coefficients!$B$32,RAND())</f>
        <v>0</v>
      </c>
      <c r="N2777" s="0" t="n">
        <f aca="true">CRITBINOM(MAX(0,$C2777-J2777),MIN(0.6,Matchup!$C$40*SQRT($B2777)/(1-MIN(0.75,Matchup!$C$39*$B2777))),RAND())</f>
        <v>1</v>
      </c>
      <c r="O2777" s="0" t="n">
        <f aca="false">6*J2777+(J2777-K2777-M2777)+2*L2777+3*N2777</f>
        <v>16</v>
      </c>
      <c r="P2777" s="0" t="n">
        <f aca="true">RAND()</f>
        <v>0.461599352070285</v>
      </c>
      <c r="Q2777" s="0" t="n">
        <f aca="true">RAND()</f>
        <v>0.62928264529091</v>
      </c>
      <c r="R2777" s="0" t="n">
        <f aca="false">IF($I2777&lt;&gt;$O2777,0,IF(P2777&lt;Matchup!$B$39,7,IF(P2777&lt;Matchup!$B$39+Matchup!$B$40,3,0)))</f>
        <v>0</v>
      </c>
      <c r="S2777" s="0" t="n">
        <f aca="false">IF($I2777&lt;&gt;$O2777,0,IF(Q2777&lt;Matchup!$C$39,7,IF(Q2777&lt;Matchup!$C$39+Matchup!$C$40,3,0)))</f>
        <v>0</v>
      </c>
      <c r="T2777" s="0" t="n">
        <f aca="false">I2777+R2777</f>
        <v>27</v>
      </c>
      <c r="U2777" s="0" t="n">
        <f aca="false">O2777+S2777</f>
        <v>16</v>
      </c>
      <c r="V2777" s="0" t="n">
        <f aca="false">T2777-U2777</f>
        <v>11</v>
      </c>
      <c r="W2777" s="0" t="n">
        <f aca="false">T2777+U2777</f>
        <v>43</v>
      </c>
    </row>
    <row r="2778" customFormat="false" ht="15" hidden="false" customHeight="false" outlineLevel="0" collapsed="false">
      <c r="A2778" s="0" t="n">
        <v>2775</v>
      </c>
      <c r="B2778" s="0" t="n">
        <f aca="true">NORMINV(RAND(),1,Coefficients!$B$22)</f>
        <v>0.899403074546509</v>
      </c>
      <c r="C2778" s="0" t="n">
        <f aca="true">MEDIAN(8,16,ROUND(NORMINV(RAND(),Coefficients!$B$20,Coefficients!$B$21),0))</f>
        <v>12</v>
      </c>
      <c r="D2778" s="0" t="n">
        <f aca="true">CRITBINOM($C2778,MIN(0.75,Matchup!$B$39*$B2778),RAND())</f>
        <v>2</v>
      </c>
      <c r="E2778" s="0" t="n">
        <f aca="true">CRITBINOM(D2778,Coefficients!$B$30,RAND())</f>
        <v>0</v>
      </c>
      <c r="F2778" s="0" t="n">
        <f aca="true">CRITBINOM(E2778,Coefficients!$B$31,RAND())</f>
        <v>0</v>
      </c>
      <c r="G2778" s="0" t="n">
        <f aca="true">CRITBINOM(MAX(0,D2778-E2778),1-Coefficients!$B$32,RAND())</f>
        <v>0</v>
      </c>
      <c r="H2778" s="0" t="n">
        <f aca="true">CRITBINOM(MAX(0,$C2778-D2778),MIN(0.6,Matchup!$B$40*SQRT($B2778)/(1-MIN(0.75,Matchup!$B$39*$B2778))),RAND())</f>
        <v>3</v>
      </c>
      <c r="I2778" s="0" t="n">
        <f aca="false">6*D2778+(D2778-E2778-G2778)+2*F2778+3*H2778</f>
        <v>23</v>
      </c>
      <c r="J2778" s="0" t="n">
        <f aca="true">CRITBINOM($C2778,MIN(0.75,Matchup!$C$39*$B2778),RAND())</f>
        <v>4</v>
      </c>
      <c r="K2778" s="0" t="n">
        <f aca="true">CRITBINOM(J2778,Coefficients!$B$30,RAND())</f>
        <v>1</v>
      </c>
      <c r="L2778" s="0" t="n">
        <f aca="true">CRITBINOM(K2778,Coefficients!$B$31,RAND())</f>
        <v>1</v>
      </c>
      <c r="M2778" s="0" t="n">
        <f aca="true">CRITBINOM(MAX(0,J2778-K2778),1-Coefficients!$B$32,RAND())</f>
        <v>0</v>
      </c>
      <c r="N2778" s="0" t="n">
        <f aca="true">CRITBINOM(MAX(0,$C2778-J2778),MIN(0.6,Matchup!$C$40*SQRT($B2778)/(1-MIN(0.75,Matchup!$C$39*$B2778))),RAND())</f>
        <v>1</v>
      </c>
      <c r="O2778" s="0" t="n">
        <f aca="false">6*J2778+(J2778-K2778-M2778)+2*L2778+3*N2778</f>
        <v>32</v>
      </c>
      <c r="P2778" s="0" t="n">
        <f aca="true">RAND()</f>
        <v>0.356965971402055</v>
      </c>
      <c r="Q2778" s="0" t="n">
        <f aca="true">RAND()</f>
        <v>0.884813668802886</v>
      </c>
      <c r="R2778" s="0" t="n">
        <f aca="false">IF($I2778&lt;&gt;$O2778,0,IF(P2778&lt;Matchup!$B$39,7,IF(P2778&lt;Matchup!$B$39+Matchup!$B$40,3,0)))</f>
        <v>0</v>
      </c>
      <c r="S2778" s="0" t="n">
        <f aca="false">IF($I2778&lt;&gt;$O2778,0,IF(Q2778&lt;Matchup!$C$39,7,IF(Q2778&lt;Matchup!$C$39+Matchup!$C$40,3,0)))</f>
        <v>0</v>
      </c>
      <c r="T2778" s="0" t="n">
        <f aca="false">I2778+R2778</f>
        <v>23</v>
      </c>
      <c r="U2778" s="0" t="n">
        <f aca="false">O2778+S2778</f>
        <v>32</v>
      </c>
      <c r="V2778" s="0" t="n">
        <f aca="false">T2778-U2778</f>
        <v>-9</v>
      </c>
      <c r="W2778" s="0" t="n">
        <f aca="false">T2778+U2778</f>
        <v>55</v>
      </c>
    </row>
    <row r="2779" customFormat="false" ht="15" hidden="false" customHeight="false" outlineLevel="0" collapsed="false">
      <c r="A2779" s="0" t="n">
        <v>2776</v>
      </c>
      <c r="B2779" s="0" t="n">
        <f aca="true">NORMINV(RAND(),1,Coefficients!$B$22)</f>
        <v>1.05851673326232</v>
      </c>
      <c r="C2779" s="0" t="n">
        <f aca="true">MEDIAN(8,16,ROUND(NORMINV(RAND(),Coefficients!$B$20,Coefficients!$B$21),0))</f>
        <v>12</v>
      </c>
      <c r="D2779" s="0" t="n">
        <f aca="true">CRITBINOM($C2779,MIN(0.75,Matchup!$B$39*$B2779),RAND())</f>
        <v>2</v>
      </c>
      <c r="E2779" s="0" t="n">
        <f aca="true">CRITBINOM(D2779,Coefficients!$B$30,RAND())</f>
        <v>0</v>
      </c>
      <c r="F2779" s="0" t="n">
        <f aca="true">CRITBINOM(E2779,Coefficients!$B$31,RAND())</f>
        <v>0</v>
      </c>
      <c r="G2779" s="0" t="n">
        <f aca="true">CRITBINOM(MAX(0,D2779-E2779),1-Coefficients!$B$32,RAND())</f>
        <v>0</v>
      </c>
      <c r="H2779" s="0" t="n">
        <f aca="true">CRITBINOM(MAX(0,$C2779-D2779),MIN(0.6,Matchup!$B$40*SQRT($B2779)/(1-MIN(0.75,Matchup!$B$39*$B2779))),RAND())</f>
        <v>2</v>
      </c>
      <c r="I2779" s="0" t="n">
        <f aca="false">6*D2779+(D2779-E2779-G2779)+2*F2779+3*H2779</f>
        <v>20</v>
      </c>
      <c r="J2779" s="0" t="n">
        <f aca="true">CRITBINOM($C2779,MIN(0.75,Matchup!$C$39*$B2779),RAND())</f>
        <v>2</v>
      </c>
      <c r="K2779" s="0" t="n">
        <f aca="true">CRITBINOM(J2779,Coefficients!$B$30,RAND())</f>
        <v>1</v>
      </c>
      <c r="L2779" s="0" t="n">
        <f aca="true">CRITBINOM(K2779,Coefficients!$B$31,RAND())</f>
        <v>0</v>
      </c>
      <c r="M2779" s="0" t="n">
        <f aca="true">CRITBINOM(MAX(0,J2779-K2779),1-Coefficients!$B$32,RAND())</f>
        <v>0</v>
      </c>
      <c r="N2779" s="0" t="n">
        <f aca="true">CRITBINOM(MAX(0,$C2779-J2779),MIN(0.6,Matchup!$C$40*SQRT($B2779)/(1-MIN(0.75,Matchup!$C$39*$B2779))),RAND())</f>
        <v>2</v>
      </c>
      <c r="O2779" s="0" t="n">
        <f aca="false">6*J2779+(J2779-K2779-M2779)+2*L2779+3*N2779</f>
        <v>19</v>
      </c>
      <c r="P2779" s="0" t="n">
        <f aca="true">RAND()</f>
        <v>0.811250028882452</v>
      </c>
      <c r="Q2779" s="0" t="n">
        <f aca="true">RAND()</f>
        <v>0.16496597852229</v>
      </c>
      <c r="R2779" s="0" t="n">
        <f aca="false">IF($I2779&lt;&gt;$O2779,0,IF(P2779&lt;Matchup!$B$39,7,IF(P2779&lt;Matchup!$B$39+Matchup!$B$40,3,0)))</f>
        <v>0</v>
      </c>
      <c r="S2779" s="0" t="n">
        <f aca="false">IF($I2779&lt;&gt;$O2779,0,IF(Q2779&lt;Matchup!$C$39,7,IF(Q2779&lt;Matchup!$C$39+Matchup!$C$40,3,0)))</f>
        <v>0</v>
      </c>
      <c r="T2779" s="0" t="n">
        <f aca="false">I2779+R2779</f>
        <v>20</v>
      </c>
      <c r="U2779" s="0" t="n">
        <f aca="false">O2779+S2779</f>
        <v>19</v>
      </c>
      <c r="V2779" s="0" t="n">
        <f aca="false">T2779-U2779</f>
        <v>1</v>
      </c>
      <c r="W2779" s="0" t="n">
        <f aca="false">T2779+U2779</f>
        <v>39</v>
      </c>
    </row>
    <row r="2780" customFormat="false" ht="15" hidden="false" customHeight="false" outlineLevel="0" collapsed="false">
      <c r="A2780" s="0" t="n">
        <v>2777</v>
      </c>
      <c r="B2780" s="0" t="n">
        <f aca="true">NORMINV(RAND(),1,Coefficients!$B$22)</f>
        <v>0.981204643658135</v>
      </c>
      <c r="C2780" s="0" t="n">
        <f aca="true">MEDIAN(8,16,ROUND(NORMINV(RAND(),Coefficients!$B$20,Coefficients!$B$21),0))</f>
        <v>11</v>
      </c>
      <c r="D2780" s="0" t="n">
        <f aca="true">CRITBINOM($C2780,MIN(0.75,Matchup!$B$39*$B2780),RAND())</f>
        <v>2</v>
      </c>
      <c r="E2780" s="0" t="n">
        <f aca="true">CRITBINOM(D2780,Coefficients!$B$30,RAND())</f>
        <v>1</v>
      </c>
      <c r="F2780" s="0" t="n">
        <f aca="true">CRITBINOM(E2780,Coefficients!$B$31,RAND())</f>
        <v>1</v>
      </c>
      <c r="G2780" s="0" t="n">
        <f aca="true">CRITBINOM(MAX(0,D2780-E2780),1-Coefficients!$B$32,RAND())</f>
        <v>0</v>
      </c>
      <c r="H2780" s="0" t="n">
        <f aca="true">CRITBINOM(MAX(0,$C2780-D2780),MIN(0.6,Matchup!$B$40*SQRT($B2780)/(1-MIN(0.75,Matchup!$B$39*$B2780))),RAND())</f>
        <v>2</v>
      </c>
      <c r="I2780" s="0" t="n">
        <f aca="false">6*D2780+(D2780-E2780-G2780)+2*F2780+3*H2780</f>
        <v>21</v>
      </c>
      <c r="J2780" s="0" t="n">
        <f aca="true">CRITBINOM($C2780,MIN(0.75,Matchup!$C$39*$B2780),RAND())</f>
        <v>2</v>
      </c>
      <c r="K2780" s="0" t="n">
        <f aca="true">CRITBINOM(J2780,Coefficients!$B$30,RAND())</f>
        <v>0</v>
      </c>
      <c r="L2780" s="0" t="n">
        <f aca="true">CRITBINOM(K2780,Coefficients!$B$31,RAND())</f>
        <v>0</v>
      </c>
      <c r="M2780" s="0" t="n">
        <f aca="true">CRITBINOM(MAX(0,J2780-K2780),1-Coefficients!$B$32,RAND())</f>
        <v>0</v>
      </c>
      <c r="N2780" s="0" t="n">
        <f aca="true">CRITBINOM(MAX(0,$C2780-J2780),MIN(0.6,Matchup!$C$40*SQRT($B2780)/(1-MIN(0.75,Matchup!$C$39*$B2780))),RAND())</f>
        <v>0</v>
      </c>
      <c r="O2780" s="0" t="n">
        <f aca="false">6*J2780+(J2780-K2780-M2780)+2*L2780+3*N2780</f>
        <v>14</v>
      </c>
      <c r="P2780" s="0" t="n">
        <f aca="true">RAND()</f>
        <v>0.558389585755178</v>
      </c>
      <c r="Q2780" s="0" t="n">
        <f aca="true">RAND()</f>
        <v>0.771966984254444</v>
      </c>
      <c r="R2780" s="0" t="n">
        <f aca="false">IF($I2780&lt;&gt;$O2780,0,IF(P2780&lt;Matchup!$B$39,7,IF(P2780&lt;Matchup!$B$39+Matchup!$B$40,3,0)))</f>
        <v>0</v>
      </c>
      <c r="S2780" s="0" t="n">
        <f aca="false">IF($I2780&lt;&gt;$O2780,0,IF(Q2780&lt;Matchup!$C$39,7,IF(Q2780&lt;Matchup!$C$39+Matchup!$C$40,3,0)))</f>
        <v>0</v>
      </c>
      <c r="T2780" s="0" t="n">
        <f aca="false">I2780+R2780</f>
        <v>21</v>
      </c>
      <c r="U2780" s="0" t="n">
        <f aca="false">O2780+S2780</f>
        <v>14</v>
      </c>
      <c r="V2780" s="0" t="n">
        <f aca="false">T2780-U2780</f>
        <v>7</v>
      </c>
      <c r="W2780" s="0" t="n">
        <f aca="false">T2780+U2780</f>
        <v>35</v>
      </c>
    </row>
    <row r="2781" customFormat="false" ht="15" hidden="false" customHeight="false" outlineLevel="0" collapsed="false">
      <c r="A2781" s="0" t="n">
        <v>2778</v>
      </c>
      <c r="B2781" s="0" t="n">
        <f aca="true">NORMINV(RAND(),1,Coefficients!$B$22)</f>
        <v>1.10032334440829</v>
      </c>
      <c r="C2781" s="0" t="n">
        <f aca="true">MEDIAN(8,16,ROUND(NORMINV(RAND(),Coefficients!$B$20,Coefficients!$B$21),0))</f>
        <v>10</v>
      </c>
      <c r="D2781" s="0" t="n">
        <f aca="true">CRITBINOM($C2781,MIN(0.75,Matchup!$B$39*$B2781),RAND())</f>
        <v>3</v>
      </c>
      <c r="E2781" s="0" t="n">
        <f aca="true">CRITBINOM(D2781,Coefficients!$B$30,RAND())</f>
        <v>1</v>
      </c>
      <c r="F2781" s="0" t="n">
        <f aca="true">CRITBINOM(E2781,Coefficients!$B$31,RAND())</f>
        <v>0</v>
      </c>
      <c r="G2781" s="0" t="n">
        <f aca="true">CRITBINOM(MAX(0,D2781-E2781),1-Coefficients!$B$32,RAND())</f>
        <v>0</v>
      </c>
      <c r="H2781" s="0" t="n">
        <f aca="true">CRITBINOM(MAX(0,$C2781-D2781),MIN(0.6,Matchup!$B$40*SQRT($B2781)/(1-MIN(0.75,Matchup!$B$39*$B2781))),RAND())</f>
        <v>1</v>
      </c>
      <c r="I2781" s="0" t="n">
        <f aca="false">6*D2781+(D2781-E2781-G2781)+2*F2781+3*H2781</f>
        <v>23</v>
      </c>
      <c r="J2781" s="0" t="n">
        <f aca="true">CRITBINOM($C2781,MIN(0.75,Matchup!$C$39*$B2781),RAND())</f>
        <v>0</v>
      </c>
      <c r="K2781" s="0" t="n">
        <f aca="true">CRITBINOM(J2781,Coefficients!$B$30,RAND())</f>
        <v>0</v>
      </c>
      <c r="L2781" s="0" t="n">
        <f aca="true">CRITBINOM(K2781,Coefficients!$B$31,RAND())</f>
        <v>0</v>
      </c>
      <c r="M2781" s="0" t="n">
        <f aca="true">CRITBINOM(MAX(0,J2781-K2781),1-Coefficients!$B$32,RAND())</f>
        <v>0</v>
      </c>
      <c r="N2781" s="0" t="n">
        <f aca="true">CRITBINOM(MAX(0,$C2781-J2781),MIN(0.6,Matchup!$C$40*SQRT($B2781)/(1-MIN(0.75,Matchup!$C$39*$B2781))),RAND())</f>
        <v>0</v>
      </c>
      <c r="O2781" s="0" t="n">
        <f aca="false">6*J2781+(J2781-K2781-M2781)+2*L2781+3*N2781</f>
        <v>0</v>
      </c>
      <c r="P2781" s="0" t="n">
        <f aca="true">RAND()</f>
        <v>0.197598342264661</v>
      </c>
      <c r="Q2781" s="0" t="n">
        <f aca="true">RAND()</f>
        <v>0.000761100586785812</v>
      </c>
      <c r="R2781" s="0" t="n">
        <f aca="false">IF($I2781&lt;&gt;$O2781,0,IF(P2781&lt;Matchup!$B$39,7,IF(P2781&lt;Matchup!$B$39+Matchup!$B$40,3,0)))</f>
        <v>0</v>
      </c>
      <c r="S2781" s="0" t="n">
        <f aca="false">IF($I2781&lt;&gt;$O2781,0,IF(Q2781&lt;Matchup!$C$39,7,IF(Q2781&lt;Matchup!$C$39+Matchup!$C$40,3,0)))</f>
        <v>0</v>
      </c>
      <c r="T2781" s="0" t="n">
        <f aca="false">I2781+R2781</f>
        <v>23</v>
      </c>
      <c r="U2781" s="0" t="n">
        <f aca="false">O2781+S2781</f>
        <v>0</v>
      </c>
      <c r="V2781" s="0" t="n">
        <f aca="false">T2781-U2781</f>
        <v>23</v>
      </c>
      <c r="W2781" s="0" t="n">
        <f aca="false">T2781+U2781</f>
        <v>23</v>
      </c>
    </row>
    <row r="2782" customFormat="false" ht="15" hidden="false" customHeight="false" outlineLevel="0" collapsed="false">
      <c r="A2782" s="0" t="n">
        <v>2779</v>
      </c>
      <c r="B2782" s="0" t="n">
        <f aca="true">NORMINV(RAND(),1,Coefficients!$B$22)</f>
        <v>0.807030181105156</v>
      </c>
      <c r="C2782" s="0" t="n">
        <f aca="true">MEDIAN(8,16,ROUND(NORMINV(RAND(),Coefficients!$B$20,Coefficients!$B$21),0))</f>
        <v>10</v>
      </c>
      <c r="D2782" s="0" t="n">
        <f aca="true">CRITBINOM($C2782,MIN(0.75,Matchup!$B$39*$B2782),RAND())</f>
        <v>2</v>
      </c>
      <c r="E2782" s="0" t="n">
        <f aca="true">CRITBINOM(D2782,Coefficients!$B$30,RAND())</f>
        <v>0</v>
      </c>
      <c r="F2782" s="0" t="n">
        <f aca="true">CRITBINOM(E2782,Coefficients!$B$31,RAND())</f>
        <v>0</v>
      </c>
      <c r="G2782" s="0" t="n">
        <f aca="true">CRITBINOM(MAX(0,D2782-E2782),1-Coefficients!$B$32,RAND())</f>
        <v>0</v>
      </c>
      <c r="H2782" s="0" t="n">
        <f aca="true">CRITBINOM(MAX(0,$C2782-D2782),MIN(0.6,Matchup!$B$40*SQRT($B2782)/(1-MIN(0.75,Matchup!$B$39*$B2782))),RAND())</f>
        <v>2</v>
      </c>
      <c r="I2782" s="0" t="n">
        <f aca="false">6*D2782+(D2782-E2782-G2782)+2*F2782+3*H2782</f>
        <v>20</v>
      </c>
      <c r="J2782" s="0" t="n">
        <f aca="true">CRITBINOM($C2782,MIN(0.75,Matchup!$C$39*$B2782),RAND())</f>
        <v>4</v>
      </c>
      <c r="K2782" s="0" t="n">
        <f aca="true">CRITBINOM(J2782,Coefficients!$B$30,RAND())</f>
        <v>1</v>
      </c>
      <c r="L2782" s="0" t="n">
        <f aca="true">CRITBINOM(K2782,Coefficients!$B$31,RAND())</f>
        <v>0</v>
      </c>
      <c r="M2782" s="0" t="n">
        <f aca="true">CRITBINOM(MAX(0,J2782-K2782),1-Coefficients!$B$32,RAND())</f>
        <v>0</v>
      </c>
      <c r="N2782" s="0" t="n">
        <f aca="true">CRITBINOM(MAX(0,$C2782-J2782),MIN(0.6,Matchup!$C$40*SQRT($B2782)/(1-MIN(0.75,Matchup!$C$39*$B2782))),RAND())</f>
        <v>1</v>
      </c>
      <c r="O2782" s="0" t="n">
        <f aca="false">6*J2782+(J2782-K2782-M2782)+2*L2782+3*N2782</f>
        <v>30</v>
      </c>
      <c r="P2782" s="0" t="n">
        <f aca="true">RAND()</f>
        <v>0.761492611214097</v>
      </c>
      <c r="Q2782" s="0" t="n">
        <f aca="true">RAND()</f>
        <v>0.148971698852461</v>
      </c>
      <c r="R2782" s="0" t="n">
        <f aca="false">IF($I2782&lt;&gt;$O2782,0,IF(P2782&lt;Matchup!$B$39,7,IF(P2782&lt;Matchup!$B$39+Matchup!$B$40,3,0)))</f>
        <v>0</v>
      </c>
      <c r="S2782" s="0" t="n">
        <f aca="false">IF($I2782&lt;&gt;$O2782,0,IF(Q2782&lt;Matchup!$C$39,7,IF(Q2782&lt;Matchup!$C$39+Matchup!$C$40,3,0)))</f>
        <v>0</v>
      </c>
      <c r="T2782" s="0" t="n">
        <f aca="false">I2782+R2782</f>
        <v>20</v>
      </c>
      <c r="U2782" s="0" t="n">
        <f aca="false">O2782+S2782</f>
        <v>30</v>
      </c>
      <c r="V2782" s="0" t="n">
        <f aca="false">T2782-U2782</f>
        <v>-10</v>
      </c>
      <c r="W2782" s="0" t="n">
        <f aca="false">T2782+U2782</f>
        <v>50</v>
      </c>
    </row>
    <row r="2783" customFormat="false" ht="15" hidden="false" customHeight="false" outlineLevel="0" collapsed="false">
      <c r="A2783" s="0" t="n">
        <v>2780</v>
      </c>
      <c r="B2783" s="0" t="n">
        <f aca="true">NORMINV(RAND(),1,Coefficients!$B$22)</f>
        <v>0.998727116847309</v>
      </c>
      <c r="C2783" s="0" t="n">
        <f aca="true">MEDIAN(8,16,ROUND(NORMINV(RAND(),Coefficients!$B$20,Coefficients!$B$21),0))</f>
        <v>10</v>
      </c>
      <c r="D2783" s="0" t="n">
        <f aca="true">CRITBINOM($C2783,MIN(0.75,Matchup!$B$39*$B2783),RAND())</f>
        <v>2</v>
      </c>
      <c r="E2783" s="0" t="n">
        <f aca="true">CRITBINOM(D2783,Coefficients!$B$30,RAND())</f>
        <v>0</v>
      </c>
      <c r="F2783" s="0" t="n">
        <f aca="true">CRITBINOM(E2783,Coefficients!$B$31,RAND())</f>
        <v>0</v>
      </c>
      <c r="G2783" s="0" t="n">
        <f aca="true">CRITBINOM(MAX(0,D2783-E2783),1-Coefficients!$B$32,RAND())</f>
        <v>0</v>
      </c>
      <c r="H2783" s="0" t="n">
        <f aca="true">CRITBINOM(MAX(0,$C2783-D2783),MIN(0.6,Matchup!$B$40*SQRT($B2783)/(1-MIN(0.75,Matchup!$B$39*$B2783))),RAND())</f>
        <v>0</v>
      </c>
      <c r="I2783" s="0" t="n">
        <f aca="false">6*D2783+(D2783-E2783-G2783)+2*F2783+3*H2783</f>
        <v>14</v>
      </c>
      <c r="J2783" s="0" t="n">
        <f aca="true">CRITBINOM($C2783,MIN(0.75,Matchup!$C$39*$B2783),RAND())</f>
        <v>1</v>
      </c>
      <c r="K2783" s="0" t="n">
        <f aca="true">CRITBINOM(J2783,Coefficients!$B$30,RAND())</f>
        <v>0</v>
      </c>
      <c r="L2783" s="0" t="n">
        <f aca="true">CRITBINOM(K2783,Coefficients!$B$31,RAND())</f>
        <v>0</v>
      </c>
      <c r="M2783" s="0" t="n">
        <f aca="true">CRITBINOM(MAX(0,J2783-K2783),1-Coefficients!$B$32,RAND())</f>
        <v>0</v>
      </c>
      <c r="N2783" s="0" t="n">
        <f aca="true">CRITBINOM(MAX(0,$C2783-J2783),MIN(0.6,Matchup!$C$40*SQRT($B2783)/(1-MIN(0.75,Matchup!$C$39*$B2783))),RAND())</f>
        <v>2</v>
      </c>
      <c r="O2783" s="0" t="n">
        <f aca="false">6*J2783+(J2783-K2783-M2783)+2*L2783+3*N2783</f>
        <v>13</v>
      </c>
      <c r="P2783" s="0" t="n">
        <f aca="true">RAND()</f>
        <v>0.484516085450471</v>
      </c>
      <c r="Q2783" s="0" t="n">
        <f aca="true">RAND()</f>
        <v>0.831449738214117</v>
      </c>
      <c r="R2783" s="0" t="n">
        <f aca="false">IF($I2783&lt;&gt;$O2783,0,IF(P2783&lt;Matchup!$B$39,7,IF(P2783&lt;Matchup!$B$39+Matchup!$B$40,3,0)))</f>
        <v>0</v>
      </c>
      <c r="S2783" s="0" t="n">
        <f aca="false">IF($I2783&lt;&gt;$O2783,0,IF(Q2783&lt;Matchup!$C$39,7,IF(Q2783&lt;Matchup!$C$39+Matchup!$C$40,3,0)))</f>
        <v>0</v>
      </c>
      <c r="T2783" s="0" t="n">
        <f aca="false">I2783+R2783</f>
        <v>14</v>
      </c>
      <c r="U2783" s="0" t="n">
        <f aca="false">O2783+S2783</f>
        <v>13</v>
      </c>
      <c r="V2783" s="0" t="n">
        <f aca="false">T2783-U2783</f>
        <v>1</v>
      </c>
      <c r="W2783" s="0" t="n">
        <f aca="false">T2783+U2783</f>
        <v>27</v>
      </c>
    </row>
    <row r="2784" customFormat="false" ht="15" hidden="false" customHeight="false" outlineLevel="0" collapsed="false">
      <c r="A2784" s="0" t="n">
        <v>2781</v>
      </c>
      <c r="B2784" s="0" t="n">
        <f aca="true">NORMINV(RAND(),1,Coefficients!$B$22)</f>
        <v>1.08994910442223</v>
      </c>
      <c r="C2784" s="0" t="n">
        <f aca="true">MEDIAN(8,16,ROUND(NORMINV(RAND(),Coefficients!$B$20,Coefficients!$B$21),0))</f>
        <v>12</v>
      </c>
      <c r="D2784" s="0" t="n">
        <f aca="true">CRITBINOM($C2784,MIN(0.75,Matchup!$B$39*$B2784),RAND())</f>
        <v>6</v>
      </c>
      <c r="E2784" s="0" t="n">
        <f aca="true">CRITBINOM(D2784,Coefficients!$B$30,RAND())</f>
        <v>0</v>
      </c>
      <c r="F2784" s="0" t="n">
        <f aca="true">CRITBINOM(E2784,Coefficients!$B$31,RAND())</f>
        <v>0</v>
      </c>
      <c r="G2784" s="0" t="n">
        <f aca="true">CRITBINOM(MAX(0,D2784-E2784),1-Coefficients!$B$32,RAND())</f>
        <v>0</v>
      </c>
      <c r="H2784" s="0" t="n">
        <f aca="true">CRITBINOM(MAX(0,$C2784-D2784),MIN(0.6,Matchup!$B$40*SQRT($B2784)/(1-MIN(0.75,Matchup!$B$39*$B2784))),RAND())</f>
        <v>2</v>
      </c>
      <c r="I2784" s="0" t="n">
        <f aca="false">6*D2784+(D2784-E2784-G2784)+2*F2784+3*H2784</f>
        <v>48</v>
      </c>
      <c r="J2784" s="0" t="n">
        <f aca="true">CRITBINOM($C2784,MIN(0.75,Matchup!$C$39*$B2784),RAND())</f>
        <v>4</v>
      </c>
      <c r="K2784" s="0" t="n">
        <f aca="true">CRITBINOM(J2784,Coefficients!$B$30,RAND())</f>
        <v>0</v>
      </c>
      <c r="L2784" s="0" t="n">
        <f aca="true">CRITBINOM(K2784,Coefficients!$B$31,RAND())</f>
        <v>0</v>
      </c>
      <c r="M2784" s="0" t="n">
        <f aca="true">CRITBINOM(MAX(0,J2784-K2784),1-Coefficients!$B$32,RAND())</f>
        <v>0</v>
      </c>
      <c r="N2784" s="0" t="n">
        <f aca="true">CRITBINOM(MAX(0,$C2784-J2784),MIN(0.6,Matchup!$C$40*SQRT($B2784)/(1-MIN(0.75,Matchup!$C$39*$B2784))),RAND())</f>
        <v>1</v>
      </c>
      <c r="O2784" s="0" t="n">
        <f aca="false">6*J2784+(J2784-K2784-M2784)+2*L2784+3*N2784</f>
        <v>31</v>
      </c>
      <c r="P2784" s="0" t="n">
        <f aca="true">RAND()</f>
        <v>0.283736300964429</v>
      </c>
      <c r="Q2784" s="0" t="n">
        <f aca="true">RAND()</f>
        <v>0.918780490247383</v>
      </c>
      <c r="R2784" s="0" t="n">
        <f aca="false">IF($I2784&lt;&gt;$O2784,0,IF(P2784&lt;Matchup!$B$39,7,IF(P2784&lt;Matchup!$B$39+Matchup!$B$40,3,0)))</f>
        <v>0</v>
      </c>
      <c r="S2784" s="0" t="n">
        <f aca="false">IF($I2784&lt;&gt;$O2784,0,IF(Q2784&lt;Matchup!$C$39,7,IF(Q2784&lt;Matchup!$C$39+Matchup!$C$40,3,0)))</f>
        <v>0</v>
      </c>
      <c r="T2784" s="0" t="n">
        <f aca="false">I2784+R2784</f>
        <v>48</v>
      </c>
      <c r="U2784" s="0" t="n">
        <f aca="false">O2784+S2784</f>
        <v>31</v>
      </c>
      <c r="V2784" s="0" t="n">
        <f aca="false">T2784-U2784</f>
        <v>17</v>
      </c>
      <c r="W2784" s="0" t="n">
        <f aca="false">T2784+U2784</f>
        <v>79</v>
      </c>
    </row>
    <row r="2785" customFormat="false" ht="15" hidden="false" customHeight="false" outlineLevel="0" collapsed="false">
      <c r="A2785" s="0" t="n">
        <v>2782</v>
      </c>
      <c r="B2785" s="0" t="n">
        <f aca="true">NORMINV(RAND(),1,Coefficients!$B$22)</f>
        <v>0.920687020278555</v>
      </c>
      <c r="C2785" s="0" t="n">
        <f aca="true">MEDIAN(8,16,ROUND(NORMINV(RAND(),Coefficients!$B$20,Coefficients!$B$21),0))</f>
        <v>10</v>
      </c>
      <c r="D2785" s="0" t="n">
        <f aca="true">CRITBINOM($C2785,MIN(0.75,Matchup!$B$39*$B2785),RAND())</f>
        <v>0</v>
      </c>
      <c r="E2785" s="0" t="n">
        <f aca="true">CRITBINOM(D2785,Coefficients!$B$30,RAND())</f>
        <v>0</v>
      </c>
      <c r="F2785" s="0" t="n">
        <f aca="true">CRITBINOM(E2785,Coefficients!$B$31,RAND())</f>
        <v>0</v>
      </c>
      <c r="G2785" s="0" t="n">
        <f aca="true">CRITBINOM(MAX(0,D2785-E2785),1-Coefficients!$B$32,RAND())</f>
        <v>0</v>
      </c>
      <c r="H2785" s="0" t="n">
        <f aca="true">CRITBINOM(MAX(0,$C2785-D2785),MIN(0.6,Matchup!$B$40*SQRT($B2785)/(1-MIN(0.75,Matchup!$B$39*$B2785))),RAND())</f>
        <v>0</v>
      </c>
      <c r="I2785" s="0" t="n">
        <f aca="false">6*D2785+(D2785-E2785-G2785)+2*F2785+3*H2785</f>
        <v>0</v>
      </c>
      <c r="J2785" s="0" t="n">
        <f aca="true">CRITBINOM($C2785,MIN(0.75,Matchup!$C$39*$B2785),RAND())</f>
        <v>3</v>
      </c>
      <c r="K2785" s="0" t="n">
        <f aca="true">CRITBINOM(J2785,Coefficients!$B$30,RAND())</f>
        <v>0</v>
      </c>
      <c r="L2785" s="0" t="n">
        <f aca="true">CRITBINOM(K2785,Coefficients!$B$31,RAND())</f>
        <v>0</v>
      </c>
      <c r="M2785" s="0" t="n">
        <f aca="true">CRITBINOM(MAX(0,J2785-K2785),1-Coefficients!$B$32,RAND())</f>
        <v>0</v>
      </c>
      <c r="N2785" s="0" t="n">
        <f aca="true">CRITBINOM(MAX(0,$C2785-J2785),MIN(0.6,Matchup!$C$40*SQRT($B2785)/(1-MIN(0.75,Matchup!$C$39*$B2785))),RAND())</f>
        <v>1</v>
      </c>
      <c r="O2785" s="0" t="n">
        <f aca="false">6*J2785+(J2785-K2785-M2785)+2*L2785+3*N2785</f>
        <v>24</v>
      </c>
      <c r="P2785" s="0" t="n">
        <f aca="true">RAND()</f>
        <v>0.342647745106308</v>
      </c>
      <c r="Q2785" s="0" t="n">
        <f aca="true">RAND()</f>
        <v>0.360859226607931</v>
      </c>
      <c r="R2785" s="0" t="n">
        <f aca="false">IF($I2785&lt;&gt;$O2785,0,IF(P2785&lt;Matchup!$B$39,7,IF(P2785&lt;Matchup!$B$39+Matchup!$B$40,3,0)))</f>
        <v>0</v>
      </c>
      <c r="S2785" s="0" t="n">
        <f aca="false">IF($I2785&lt;&gt;$O2785,0,IF(Q2785&lt;Matchup!$C$39,7,IF(Q2785&lt;Matchup!$C$39+Matchup!$C$40,3,0)))</f>
        <v>0</v>
      </c>
      <c r="T2785" s="0" t="n">
        <f aca="false">I2785+R2785</f>
        <v>0</v>
      </c>
      <c r="U2785" s="0" t="n">
        <f aca="false">O2785+S2785</f>
        <v>24</v>
      </c>
      <c r="V2785" s="0" t="n">
        <f aca="false">T2785-U2785</f>
        <v>-24</v>
      </c>
      <c r="W2785" s="0" t="n">
        <f aca="false">T2785+U2785</f>
        <v>24</v>
      </c>
    </row>
    <row r="2786" customFormat="false" ht="15" hidden="false" customHeight="false" outlineLevel="0" collapsed="false">
      <c r="A2786" s="0" t="n">
        <v>2783</v>
      </c>
      <c r="B2786" s="0" t="n">
        <f aca="true">NORMINV(RAND(),1,Coefficients!$B$22)</f>
        <v>0.943942377769464</v>
      </c>
      <c r="C2786" s="0" t="n">
        <f aca="true">MEDIAN(8,16,ROUND(NORMINV(RAND(),Coefficients!$B$20,Coefficients!$B$21),0))</f>
        <v>12</v>
      </c>
      <c r="D2786" s="0" t="n">
        <f aca="true">CRITBINOM($C2786,MIN(0.75,Matchup!$B$39*$B2786),RAND())</f>
        <v>3</v>
      </c>
      <c r="E2786" s="0" t="n">
        <f aca="true">CRITBINOM(D2786,Coefficients!$B$30,RAND())</f>
        <v>0</v>
      </c>
      <c r="F2786" s="0" t="n">
        <f aca="true">CRITBINOM(E2786,Coefficients!$B$31,RAND())</f>
        <v>0</v>
      </c>
      <c r="G2786" s="0" t="n">
        <f aca="true">CRITBINOM(MAX(0,D2786-E2786),1-Coefficients!$B$32,RAND())</f>
        <v>0</v>
      </c>
      <c r="H2786" s="0" t="n">
        <f aca="true">CRITBINOM(MAX(0,$C2786-D2786),MIN(0.6,Matchup!$B$40*SQRT($B2786)/(1-MIN(0.75,Matchup!$B$39*$B2786))),RAND())</f>
        <v>1</v>
      </c>
      <c r="I2786" s="0" t="n">
        <f aca="false">6*D2786+(D2786-E2786-G2786)+2*F2786+3*H2786</f>
        <v>24</v>
      </c>
      <c r="J2786" s="0" t="n">
        <f aca="true">CRITBINOM($C2786,MIN(0.75,Matchup!$C$39*$B2786),RAND())</f>
        <v>3</v>
      </c>
      <c r="K2786" s="0" t="n">
        <f aca="true">CRITBINOM(J2786,Coefficients!$B$30,RAND())</f>
        <v>1</v>
      </c>
      <c r="L2786" s="0" t="n">
        <f aca="true">CRITBINOM(K2786,Coefficients!$B$31,RAND())</f>
        <v>1</v>
      </c>
      <c r="M2786" s="0" t="n">
        <f aca="true">CRITBINOM(MAX(0,J2786-K2786),1-Coefficients!$B$32,RAND())</f>
        <v>0</v>
      </c>
      <c r="N2786" s="0" t="n">
        <f aca="true">CRITBINOM(MAX(0,$C2786-J2786),MIN(0.6,Matchup!$C$40*SQRT($B2786)/(1-MIN(0.75,Matchup!$C$39*$B2786))),RAND())</f>
        <v>0</v>
      </c>
      <c r="O2786" s="0" t="n">
        <f aca="false">6*J2786+(J2786-K2786-M2786)+2*L2786+3*N2786</f>
        <v>22</v>
      </c>
      <c r="P2786" s="0" t="n">
        <f aca="true">RAND()</f>
        <v>0.956834693896375</v>
      </c>
      <c r="Q2786" s="0" t="n">
        <f aca="true">RAND()</f>
        <v>0.912252260171853</v>
      </c>
      <c r="R2786" s="0" t="n">
        <f aca="false">IF($I2786&lt;&gt;$O2786,0,IF(P2786&lt;Matchup!$B$39,7,IF(P2786&lt;Matchup!$B$39+Matchup!$B$40,3,0)))</f>
        <v>0</v>
      </c>
      <c r="S2786" s="0" t="n">
        <f aca="false">IF($I2786&lt;&gt;$O2786,0,IF(Q2786&lt;Matchup!$C$39,7,IF(Q2786&lt;Matchup!$C$39+Matchup!$C$40,3,0)))</f>
        <v>0</v>
      </c>
      <c r="T2786" s="0" t="n">
        <f aca="false">I2786+R2786</f>
        <v>24</v>
      </c>
      <c r="U2786" s="0" t="n">
        <f aca="false">O2786+S2786</f>
        <v>22</v>
      </c>
      <c r="V2786" s="0" t="n">
        <f aca="false">T2786-U2786</f>
        <v>2</v>
      </c>
      <c r="W2786" s="0" t="n">
        <f aca="false">T2786+U2786</f>
        <v>46</v>
      </c>
    </row>
    <row r="2787" customFormat="false" ht="15" hidden="false" customHeight="false" outlineLevel="0" collapsed="false">
      <c r="A2787" s="0" t="n">
        <v>2784</v>
      </c>
      <c r="B2787" s="0" t="n">
        <f aca="true">NORMINV(RAND(),1,Coefficients!$B$22)</f>
        <v>1.01349782616079</v>
      </c>
      <c r="C2787" s="0" t="n">
        <f aca="true">MEDIAN(8,16,ROUND(NORMINV(RAND(),Coefficients!$B$20,Coefficients!$B$21),0))</f>
        <v>9</v>
      </c>
      <c r="D2787" s="0" t="n">
        <f aca="true">CRITBINOM($C2787,MIN(0.75,Matchup!$B$39*$B2787),RAND())</f>
        <v>1</v>
      </c>
      <c r="E2787" s="0" t="n">
        <f aca="true">CRITBINOM(D2787,Coefficients!$B$30,RAND())</f>
        <v>0</v>
      </c>
      <c r="F2787" s="0" t="n">
        <f aca="true">CRITBINOM(E2787,Coefficients!$B$31,RAND())</f>
        <v>0</v>
      </c>
      <c r="G2787" s="0" t="n">
        <f aca="true">CRITBINOM(MAX(0,D2787-E2787),1-Coefficients!$B$32,RAND())</f>
        <v>0</v>
      </c>
      <c r="H2787" s="0" t="n">
        <f aca="true">CRITBINOM(MAX(0,$C2787-D2787),MIN(0.6,Matchup!$B$40*SQRT($B2787)/(1-MIN(0.75,Matchup!$B$39*$B2787))),RAND())</f>
        <v>3</v>
      </c>
      <c r="I2787" s="0" t="n">
        <f aca="false">6*D2787+(D2787-E2787-G2787)+2*F2787+3*H2787</f>
        <v>16</v>
      </c>
      <c r="J2787" s="0" t="n">
        <f aca="true">CRITBINOM($C2787,MIN(0.75,Matchup!$C$39*$B2787),RAND())</f>
        <v>3</v>
      </c>
      <c r="K2787" s="0" t="n">
        <f aca="true">CRITBINOM(J2787,Coefficients!$B$30,RAND())</f>
        <v>0</v>
      </c>
      <c r="L2787" s="0" t="n">
        <f aca="true">CRITBINOM(K2787,Coefficients!$B$31,RAND())</f>
        <v>0</v>
      </c>
      <c r="M2787" s="0" t="n">
        <f aca="true">CRITBINOM(MAX(0,J2787-K2787),1-Coefficients!$B$32,RAND())</f>
        <v>0</v>
      </c>
      <c r="N2787" s="0" t="n">
        <f aca="true">CRITBINOM(MAX(0,$C2787-J2787),MIN(0.6,Matchup!$C$40*SQRT($B2787)/(1-MIN(0.75,Matchup!$C$39*$B2787))),RAND())</f>
        <v>0</v>
      </c>
      <c r="O2787" s="0" t="n">
        <f aca="false">6*J2787+(J2787-K2787-M2787)+2*L2787+3*N2787</f>
        <v>21</v>
      </c>
      <c r="P2787" s="0" t="n">
        <f aca="true">RAND()</f>
        <v>0.00234990540699502</v>
      </c>
      <c r="Q2787" s="0" t="n">
        <f aca="true">RAND()</f>
        <v>0.368718405551267</v>
      </c>
      <c r="R2787" s="0" t="n">
        <f aca="false">IF($I2787&lt;&gt;$O2787,0,IF(P2787&lt;Matchup!$B$39,7,IF(P2787&lt;Matchup!$B$39+Matchup!$B$40,3,0)))</f>
        <v>0</v>
      </c>
      <c r="S2787" s="0" t="n">
        <f aca="false">IF($I2787&lt;&gt;$O2787,0,IF(Q2787&lt;Matchup!$C$39,7,IF(Q2787&lt;Matchup!$C$39+Matchup!$C$40,3,0)))</f>
        <v>0</v>
      </c>
      <c r="T2787" s="0" t="n">
        <f aca="false">I2787+R2787</f>
        <v>16</v>
      </c>
      <c r="U2787" s="0" t="n">
        <f aca="false">O2787+S2787</f>
        <v>21</v>
      </c>
      <c r="V2787" s="0" t="n">
        <f aca="false">T2787-U2787</f>
        <v>-5</v>
      </c>
      <c r="W2787" s="0" t="n">
        <f aca="false">T2787+U2787</f>
        <v>37</v>
      </c>
    </row>
    <row r="2788" customFormat="false" ht="15" hidden="false" customHeight="false" outlineLevel="0" collapsed="false">
      <c r="A2788" s="0" t="n">
        <v>2785</v>
      </c>
      <c r="B2788" s="0" t="n">
        <f aca="true">NORMINV(RAND(),1,Coefficients!$B$22)</f>
        <v>1.03668809217835</v>
      </c>
      <c r="C2788" s="0" t="n">
        <f aca="true">MEDIAN(8,16,ROUND(NORMINV(RAND(),Coefficients!$B$20,Coefficients!$B$21),0))</f>
        <v>11</v>
      </c>
      <c r="D2788" s="0" t="n">
        <f aca="true">CRITBINOM($C2788,MIN(0.75,Matchup!$B$39*$B2788),RAND())</f>
        <v>3</v>
      </c>
      <c r="E2788" s="0" t="n">
        <f aca="true">CRITBINOM(D2788,Coefficients!$B$30,RAND())</f>
        <v>0</v>
      </c>
      <c r="F2788" s="0" t="n">
        <f aca="true">CRITBINOM(E2788,Coefficients!$B$31,RAND())</f>
        <v>0</v>
      </c>
      <c r="G2788" s="0" t="n">
        <f aca="true">CRITBINOM(MAX(0,D2788-E2788),1-Coefficients!$B$32,RAND())</f>
        <v>0</v>
      </c>
      <c r="H2788" s="0" t="n">
        <f aca="true">CRITBINOM(MAX(0,$C2788-D2788),MIN(0.6,Matchup!$B$40*SQRT($B2788)/(1-MIN(0.75,Matchup!$B$39*$B2788))),RAND())</f>
        <v>3</v>
      </c>
      <c r="I2788" s="0" t="n">
        <f aca="false">6*D2788+(D2788-E2788-G2788)+2*F2788+3*H2788</f>
        <v>30</v>
      </c>
      <c r="J2788" s="0" t="n">
        <f aca="true">CRITBINOM($C2788,MIN(0.75,Matchup!$C$39*$B2788),RAND())</f>
        <v>3</v>
      </c>
      <c r="K2788" s="0" t="n">
        <f aca="true">CRITBINOM(J2788,Coefficients!$B$30,RAND())</f>
        <v>0</v>
      </c>
      <c r="L2788" s="0" t="n">
        <f aca="true">CRITBINOM(K2788,Coefficients!$B$31,RAND())</f>
        <v>0</v>
      </c>
      <c r="M2788" s="0" t="n">
        <f aca="true">CRITBINOM(MAX(0,J2788-K2788),1-Coefficients!$B$32,RAND())</f>
        <v>0</v>
      </c>
      <c r="N2788" s="0" t="n">
        <f aca="true">CRITBINOM(MAX(0,$C2788-J2788),MIN(0.6,Matchup!$C$40*SQRT($B2788)/(1-MIN(0.75,Matchup!$C$39*$B2788))),RAND())</f>
        <v>1</v>
      </c>
      <c r="O2788" s="0" t="n">
        <f aca="false">6*J2788+(J2788-K2788-M2788)+2*L2788+3*N2788</f>
        <v>24</v>
      </c>
      <c r="P2788" s="0" t="n">
        <f aca="true">RAND()</f>
        <v>0.218444273606726</v>
      </c>
      <c r="Q2788" s="0" t="n">
        <f aca="true">RAND()</f>
        <v>0.316301192996352</v>
      </c>
      <c r="R2788" s="0" t="n">
        <f aca="false">IF($I2788&lt;&gt;$O2788,0,IF(P2788&lt;Matchup!$B$39,7,IF(P2788&lt;Matchup!$B$39+Matchup!$B$40,3,0)))</f>
        <v>0</v>
      </c>
      <c r="S2788" s="0" t="n">
        <f aca="false">IF($I2788&lt;&gt;$O2788,0,IF(Q2788&lt;Matchup!$C$39,7,IF(Q2788&lt;Matchup!$C$39+Matchup!$C$40,3,0)))</f>
        <v>0</v>
      </c>
      <c r="T2788" s="0" t="n">
        <f aca="false">I2788+R2788</f>
        <v>30</v>
      </c>
      <c r="U2788" s="0" t="n">
        <f aca="false">O2788+S2788</f>
        <v>24</v>
      </c>
      <c r="V2788" s="0" t="n">
        <f aca="false">T2788-U2788</f>
        <v>6</v>
      </c>
      <c r="W2788" s="0" t="n">
        <f aca="false">T2788+U2788</f>
        <v>54</v>
      </c>
    </row>
    <row r="2789" customFormat="false" ht="15" hidden="false" customHeight="false" outlineLevel="0" collapsed="false">
      <c r="A2789" s="0" t="n">
        <v>2786</v>
      </c>
      <c r="B2789" s="0" t="n">
        <f aca="true">NORMINV(RAND(),1,Coefficients!$B$22)</f>
        <v>1.00730785249734</v>
      </c>
      <c r="C2789" s="0" t="n">
        <f aca="true">MEDIAN(8,16,ROUND(NORMINV(RAND(),Coefficients!$B$20,Coefficients!$B$21),0))</f>
        <v>12</v>
      </c>
      <c r="D2789" s="0" t="n">
        <f aca="true">CRITBINOM($C2789,MIN(0.75,Matchup!$B$39*$B2789),RAND())</f>
        <v>4</v>
      </c>
      <c r="E2789" s="0" t="n">
        <f aca="true">CRITBINOM(D2789,Coefficients!$B$30,RAND())</f>
        <v>0</v>
      </c>
      <c r="F2789" s="0" t="n">
        <f aca="true">CRITBINOM(E2789,Coefficients!$B$31,RAND())</f>
        <v>0</v>
      </c>
      <c r="G2789" s="0" t="n">
        <f aca="true">CRITBINOM(MAX(0,D2789-E2789),1-Coefficients!$B$32,RAND())</f>
        <v>0</v>
      </c>
      <c r="H2789" s="0" t="n">
        <f aca="true">CRITBINOM(MAX(0,$C2789-D2789),MIN(0.6,Matchup!$B$40*SQRT($B2789)/(1-MIN(0.75,Matchup!$B$39*$B2789))),RAND())</f>
        <v>2</v>
      </c>
      <c r="I2789" s="0" t="n">
        <f aca="false">6*D2789+(D2789-E2789-G2789)+2*F2789+3*H2789</f>
        <v>34</v>
      </c>
      <c r="J2789" s="0" t="n">
        <f aca="true">CRITBINOM($C2789,MIN(0.75,Matchup!$C$39*$B2789),RAND())</f>
        <v>3</v>
      </c>
      <c r="K2789" s="0" t="n">
        <f aca="true">CRITBINOM(J2789,Coefficients!$B$30,RAND())</f>
        <v>0</v>
      </c>
      <c r="L2789" s="0" t="n">
        <f aca="true">CRITBINOM(K2789,Coefficients!$B$31,RAND())</f>
        <v>0</v>
      </c>
      <c r="M2789" s="0" t="n">
        <f aca="true">CRITBINOM(MAX(0,J2789-K2789),1-Coefficients!$B$32,RAND())</f>
        <v>0</v>
      </c>
      <c r="N2789" s="0" t="n">
        <f aca="true">CRITBINOM(MAX(0,$C2789-J2789),MIN(0.6,Matchup!$C$40*SQRT($B2789)/(1-MIN(0.75,Matchup!$C$39*$B2789))),RAND())</f>
        <v>1</v>
      </c>
      <c r="O2789" s="0" t="n">
        <f aca="false">6*J2789+(J2789-K2789-M2789)+2*L2789+3*N2789</f>
        <v>24</v>
      </c>
      <c r="P2789" s="0" t="n">
        <f aca="true">RAND()</f>
        <v>0.474378067849492</v>
      </c>
      <c r="Q2789" s="0" t="n">
        <f aca="true">RAND()</f>
        <v>0.543277598220845</v>
      </c>
      <c r="R2789" s="0" t="n">
        <f aca="false">IF($I2789&lt;&gt;$O2789,0,IF(P2789&lt;Matchup!$B$39,7,IF(P2789&lt;Matchup!$B$39+Matchup!$B$40,3,0)))</f>
        <v>0</v>
      </c>
      <c r="S2789" s="0" t="n">
        <f aca="false">IF($I2789&lt;&gt;$O2789,0,IF(Q2789&lt;Matchup!$C$39,7,IF(Q2789&lt;Matchup!$C$39+Matchup!$C$40,3,0)))</f>
        <v>0</v>
      </c>
      <c r="T2789" s="0" t="n">
        <f aca="false">I2789+R2789</f>
        <v>34</v>
      </c>
      <c r="U2789" s="0" t="n">
        <f aca="false">O2789+S2789</f>
        <v>24</v>
      </c>
      <c r="V2789" s="0" t="n">
        <f aca="false">T2789-U2789</f>
        <v>10</v>
      </c>
      <c r="W2789" s="0" t="n">
        <f aca="false">T2789+U2789</f>
        <v>58</v>
      </c>
    </row>
    <row r="2790" customFormat="false" ht="15" hidden="false" customHeight="false" outlineLevel="0" collapsed="false">
      <c r="A2790" s="0" t="n">
        <v>2787</v>
      </c>
      <c r="B2790" s="0" t="n">
        <f aca="true">NORMINV(RAND(),1,Coefficients!$B$22)</f>
        <v>1.09891301155877</v>
      </c>
      <c r="C2790" s="0" t="n">
        <f aca="true">MEDIAN(8,16,ROUND(NORMINV(RAND(),Coefficients!$B$20,Coefficients!$B$21),0))</f>
        <v>10</v>
      </c>
      <c r="D2790" s="0" t="n">
        <f aca="true">CRITBINOM($C2790,MIN(0.75,Matchup!$B$39*$B2790),RAND())</f>
        <v>3</v>
      </c>
      <c r="E2790" s="0" t="n">
        <f aca="true">CRITBINOM(D2790,Coefficients!$B$30,RAND())</f>
        <v>0</v>
      </c>
      <c r="F2790" s="0" t="n">
        <f aca="true">CRITBINOM(E2790,Coefficients!$B$31,RAND())</f>
        <v>0</v>
      </c>
      <c r="G2790" s="0" t="n">
        <f aca="true">CRITBINOM(MAX(0,D2790-E2790),1-Coefficients!$B$32,RAND())</f>
        <v>0</v>
      </c>
      <c r="H2790" s="0" t="n">
        <f aca="true">CRITBINOM(MAX(0,$C2790-D2790),MIN(0.6,Matchup!$B$40*SQRT($B2790)/(1-MIN(0.75,Matchup!$B$39*$B2790))),RAND())</f>
        <v>0</v>
      </c>
      <c r="I2790" s="0" t="n">
        <f aca="false">6*D2790+(D2790-E2790-G2790)+2*F2790+3*H2790</f>
        <v>21</v>
      </c>
      <c r="J2790" s="0" t="n">
        <f aca="true">CRITBINOM($C2790,MIN(0.75,Matchup!$C$39*$B2790),RAND())</f>
        <v>2</v>
      </c>
      <c r="K2790" s="0" t="n">
        <f aca="true">CRITBINOM(J2790,Coefficients!$B$30,RAND())</f>
        <v>2</v>
      </c>
      <c r="L2790" s="0" t="n">
        <f aca="true">CRITBINOM(K2790,Coefficients!$B$31,RAND())</f>
        <v>0</v>
      </c>
      <c r="M2790" s="0" t="n">
        <f aca="true">CRITBINOM(MAX(0,J2790-K2790),1-Coefficients!$B$32,RAND())</f>
        <v>0</v>
      </c>
      <c r="N2790" s="0" t="n">
        <f aca="true">CRITBINOM(MAX(0,$C2790-J2790),MIN(0.6,Matchup!$C$40*SQRT($B2790)/(1-MIN(0.75,Matchup!$C$39*$B2790))),RAND())</f>
        <v>3</v>
      </c>
      <c r="O2790" s="0" t="n">
        <f aca="false">6*J2790+(J2790-K2790-M2790)+2*L2790+3*N2790</f>
        <v>21</v>
      </c>
      <c r="P2790" s="0" t="n">
        <f aca="true">RAND()</f>
        <v>0.756178112294249</v>
      </c>
      <c r="Q2790" s="0" t="n">
        <f aca="true">RAND()</f>
        <v>0.282842371650738</v>
      </c>
      <c r="R2790" s="0" t="n">
        <f aca="false">IF($I2790&lt;&gt;$O2790,0,IF(P2790&lt;Matchup!$B$39,7,IF(P2790&lt;Matchup!$B$39+Matchup!$B$40,3,0)))</f>
        <v>0</v>
      </c>
      <c r="S2790" s="0" t="n">
        <f aca="false">IF($I2790&lt;&gt;$O2790,0,IF(Q2790&lt;Matchup!$C$39,7,IF(Q2790&lt;Matchup!$C$39+Matchup!$C$40,3,0)))</f>
        <v>3</v>
      </c>
      <c r="T2790" s="0" t="n">
        <f aca="false">I2790+R2790</f>
        <v>21</v>
      </c>
      <c r="U2790" s="0" t="n">
        <f aca="false">O2790+S2790</f>
        <v>24</v>
      </c>
      <c r="V2790" s="0" t="n">
        <f aca="false">T2790-U2790</f>
        <v>-3</v>
      </c>
      <c r="W2790" s="0" t="n">
        <f aca="false">T2790+U2790</f>
        <v>45</v>
      </c>
    </row>
    <row r="2791" customFormat="false" ht="15" hidden="false" customHeight="false" outlineLevel="0" collapsed="false">
      <c r="A2791" s="0" t="n">
        <v>2788</v>
      </c>
      <c r="B2791" s="0" t="n">
        <f aca="true">NORMINV(RAND(),1,Coefficients!$B$22)</f>
        <v>0.973884836733322</v>
      </c>
      <c r="C2791" s="0" t="n">
        <f aca="true">MEDIAN(8,16,ROUND(NORMINV(RAND(),Coefficients!$B$20,Coefficients!$B$21),0))</f>
        <v>12</v>
      </c>
      <c r="D2791" s="0" t="n">
        <f aca="true">CRITBINOM($C2791,MIN(0.75,Matchup!$B$39*$B2791),RAND())</f>
        <v>5</v>
      </c>
      <c r="E2791" s="0" t="n">
        <f aca="true">CRITBINOM(D2791,Coefficients!$B$30,RAND())</f>
        <v>0</v>
      </c>
      <c r="F2791" s="0" t="n">
        <f aca="true">CRITBINOM(E2791,Coefficients!$B$31,RAND())</f>
        <v>0</v>
      </c>
      <c r="G2791" s="0" t="n">
        <f aca="true">CRITBINOM(MAX(0,D2791-E2791),1-Coefficients!$B$32,RAND())</f>
        <v>0</v>
      </c>
      <c r="H2791" s="0" t="n">
        <f aca="true">CRITBINOM(MAX(0,$C2791-D2791),MIN(0.6,Matchup!$B$40*SQRT($B2791)/(1-MIN(0.75,Matchup!$B$39*$B2791))),RAND())</f>
        <v>2</v>
      </c>
      <c r="I2791" s="0" t="n">
        <f aca="false">6*D2791+(D2791-E2791-G2791)+2*F2791+3*H2791</f>
        <v>41</v>
      </c>
      <c r="J2791" s="0" t="n">
        <f aca="true">CRITBINOM($C2791,MIN(0.75,Matchup!$C$39*$B2791),RAND())</f>
        <v>4</v>
      </c>
      <c r="K2791" s="0" t="n">
        <f aca="true">CRITBINOM(J2791,Coefficients!$B$30,RAND())</f>
        <v>2</v>
      </c>
      <c r="L2791" s="0" t="n">
        <f aca="true">CRITBINOM(K2791,Coefficients!$B$31,RAND())</f>
        <v>0</v>
      </c>
      <c r="M2791" s="0" t="n">
        <f aca="true">CRITBINOM(MAX(0,J2791-K2791),1-Coefficients!$B$32,RAND())</f>
        <v>0</v>
      </c>
      <c r="N2791" s="0" t="n">
        <f aca="true">CRITBINOM(MAX(0,$C2791-J2791),MIN(0.6,Matchup!$C$40*SQRT($B2791)/(1-MIN(0.75,Matchup!$C$39*$B2791))),RAND())</f>
        <v>1</v>
      </c>
      <c r="O2791" s="0" t="n">
        <f aca="false">6*J2791+(J2791-K2791-M2791)+2*L2791+3*N2791</f>
        <v>29</v>
      </c>
      <c r="P2791" s="0" t="n">
        <f aca="true">RAND()</f>
        <v>0.162004560715495</v>
      </c>
      <c r="Q2791" s="0" t="n">
        <f aca="true">RAND()</f>
        <v>0.215655409017219</v>
      </c>
      <c r="R2791" s="0" t="n">
        <f aca="false">IF($I2791&lt;&gt;$O2791,0,IF(P2791&lt;Matchup!$B$39,7,IF(P2791&lt;Matchup!$B$39+Matchup!$B$40,3,0)))</f>
        <v>0</v>
      </c>
      <c r="S2791" s="0" t="n">
        <f aca="false">IF($I2791&lt;&gt;$O2791,0,IF(Q2791&lt;Matchup!$C$39,7,IF(Q2791&lt;Matchup!$C$39+Matchup!$C$40,3,0)))</f>
        <v>0</v>
      </c>
      <c r="T2791" s="0" t="n">
        <f aca="false">I2791+R2791</f>
        <v>41</v>
      </c>
      <c r="U2791" s="0" t="n">
        <f aca="false">O2791+S2791</f>
        <v>29</v>
      </c>
      <c r="V2791" s="0" t="n">
        <f aca="false">T2791-U2791</f>
        <v>12</v>
      </c>
      <c r="W2791" s="0" t="n">
        <f aca="false">T2791+U2791</f>
        <v>70</v>
      </c>
    </row>
    <row r="2792" customFormat="false" ht="15" hidden="false" customHeight="false" outlineLevel="0" collapsed="false">
      <c r="A2792" s="0" t="n">
        <v>2789</v>
      </c>
      <c r="B2792" s="0" t="n">
        <f aca="true">NORMINV(RAND(),1,Coefficients!$B$22)</f>
        <v>0.872754192442256</v>
      </c>
      <c r="C2792" s="0" t="n">
        <f aca="true">MEDIAN(8,16,ROUND(NORMINV(RAND(),Coefficients!$B$20,Coefficients!$B$21),0))</f>
        <v>12</v>
      </c>
      <c r="D2792" s="0" t="n">
        <f aca="true">CRITBINOM($C2792,MIN(0.75,Matchup!$B$39*$B2792),RAND())</f>
        <v>5</v>
      </c>
      <c r="E2792" s="0" t="n">
        <f aca="true">CRITBINOM(D2792,Coefficients!$B$30,RAND())</f>
        <v>0</v>
      </c>
      <c r="F2792" s="0" t="n">
        <f aca="true">CRITBINOM(E2792,Coefficients!$B$31,RAND())</f>
        <v>0</v>
      </c>
      <c r="G2792" s="0" t="n">
        <f aca="true">CRITBINOM(MAX(0,D2792-E2792),1-Coefficients!$B$32,RAND())</f>
        <v>0</v>
      </c>
      <c r="H2792" s="0" t="n">
        <f aca="true">CRITBINOM(MAX(0,$C2792-D2792),MIN(0.6,Matchup!$B$40*SQRT($B2792)/(1-MIN(0.75,Matchup!$B$39*$B2792))),RAND())</f>
        <v>1</v>
      </c>
      <c r="I2792" s="0" t="n">
        <f aca="false">6*D2792+(D2792-E2792-G2792)+2*F2792+3*H2792</f>
        <v>38</v>
      </c>
      <c r="J2792" s="0" t="n">
        <f aca="true">CRITBINOM($C2792,MIN(0.75,Matchup!$C$39*$B2792),RAND())</f>
        <v>3</v>
      </c>
      <c r="K2792" s="0" t="n">
        <f aca="true">CRITBINOM(J2792,Coefficients!$B$30,RAND())</f>
        <v>0</v>
      </c>
      <c r="L2792" s="0" t="n">
        <f aca="true">CRITBINOM(K2792,Coefficients!$B$31,RAND())</f>
        <v>0</v>
      </c>
      <c r="M2792" s="0" t="n">
        <f aca="true">CRITBINOM(MAX(0,J2792-K2792),1-Coefficients!$B$32,RAND())</f>
        <v>0</v>
      </c>
      <c r="N2792" s="0" t="n">
        <f aca="true">CRITBINOM(MAX(0,$C2792-J2792),MIN(0.6,Matchup!$C$40*SQRT($B2792)/(1-MIN(0.75,Matchup!$C$39*$B2792))),RAND())</f>
        <v>0</v>
      </c>
      <c r="O2792" s="0" t="n">
        <f aca="false">6*J2792+(J2792-K2792-M2792)+2*L2792+3*N2792</f>
        <v>21</v>
      </c>
      <c r="P2792" s="0" t="n">
        <f aca="true">RAND()</f>
        <v>0.128897959721704</v>
      </c>
      <c r="Q2792" s="0" t="n">
        <f aca="true">RAND()</f>
        <v>0.713857756419753</v>
      </c>
      <c r="R2792" s="0" t="n">
        <f aca="false">IF($I2792&lt;&gt;$O2792,0,IF(P2792&lt;Matchup!$B$39,7,IF(P2792&lt;Matchup!$B$39+Matchup!$B$40,3,0)))</f>
        <v>0</v>
      </c>
      <c r="S2792" s="0" t="n">
        <f aca="false">IF($I2792&lt;&gt;$O2792,0,IF(Q2792&lt;Matchup!$C$39,7,IF(Q2792&lt;Matchup!$C$39+Matchup!$C$40,3,0)))</f>
        <v>0</v>
      </c>
      <c r="T2792" s="0" t="n">
        <f aca="false">I2792+R2792</f>
        <v>38</v>
      </c>
      <c r="U2792" s="0" t="n">
        <f aca="false">O2792+S2792</f>
        <v>21</v>
      </c>
      <c r="V2792" s="0" t="n">
        <f aca="false">T2792-U2792</f>
        <v>17</v>
      </c>
      <c r="W2792" s="0" t="n">
        <f aca="false">T2792+U2792</f>
        <v>59</v>
      </c>
    </row>
    <row r="2793" customFormat="false" ht="15" hidden="false" customHeight="false" outlineLevel="0" collapsed="false">
      <c r="A2793" s="0" t="n">
        <v>2790</v>
      </c>
      <c r="B2793" s="0" t="n">
        <f aca="true">NORMINV(RAND(),1,Coefficients!$B$22)</f>
        <v>1.02244801733575</v>
      </c>
      <c r="C2793" s="0" t="n">
        <f aca="true">MEDIAN(8,16,ROUND(NORMINV(RAND(),Coefficients!$B$20,Coefficients!$B$21),0))</f>
        <v>12</v>
      </c>
      <c r="D2793" s="0" t="n">
        <f aca="true">CRITBINOM($C2793,MIN(0.75,Matchup!$B$39*$B2793),RAND())</f>
        <v>5</v>
      </c>
      <c r="E2793" s="0" t="n">
        <f aca="true">CRITBINOM(D2793,Coefficients!$B$30,RAND())</f>
        <v>0</v>
      </c>
      <c r="F2793" s="0" t="n">
        <f aca="true">CRITBINOM(E2793,Coefficients!$B$31,RAND())</f>
        <v>0</v>
      </c>
      <c r="G2793" s="0" t="n">
        <f aca="true">CRITBINOM(MAX(0,D2793-E2793),1-Coefficients!$B$32,RAND())</f>
        <v>0</v>
      </c>
      <c r="H2793" s="0" t="n">
        <f aca="true">CRITBINOM(MAX(0,$C2793-D2793),MIN(0.6,Matchup!$B$40*SQRT($B2793)/(1-MIN(0.75,Matchup!$B$39*$B2793))),RAND())</f>
        <v>2</v>
      </c>
      <c r="I2793" s="0" t="n">
        <f aca="false">6*D2793+(D2793-E2793-G2793)+2*F2793+3*H2793</f>
        <v>41</v>
      </c>
      <c r="J2793" s="0" t="n">
        <f aca="true">CRITBINOM($C2793,MIN(0.75,Matchup!$C$39*$B2793),RAND())</f>
        <v>2</v>
      </c>
      <c r="K2793" s="0" t="n">
        <f aca="true">CRITBINOM(J2793,Coefficients!$B$30,RAND())</f>
        <v>1</v>
      </c>
      <c r="L2793" s="0" t="n">
        <f aca="true">CRITBINOM(K2793,Coefficients!$B$31,RAND())</f>
        <v>0</v>
      </c>
      <c r="M2793" s="0" t="n">
        <f aca="true">CRITBINOM(MAX(0,J2793-K2793),1-Coefficients!$B$32,RAND())</f>
        <v>0</v>
      </c>
      <c r="N2793" s="0" t="n">
        <f aca="true">CRITBINOM(MAX(0,$C2793-J2793),MIN(0.6,Matchup!$C$40*SQRT($B2793)/(1-MIN(0.75,Matchup!$C$39*$B2793))),RAND())</f>
        <v>4</v>
      </c>
      <c r="O2793" s="0" t="n">
        <f aca="false">6*J2793+(J2793-K2793-M2793)+2*L2793+3*N2793</f>
        <v>25</v>
      </c>
      <c r="P2793" s="0" t="n">
        <f aca="true">RAND()</f>
        <v>0.342323794425555</v>
      </c>
      <c r="Q2793" s="0" t="n">
        <f aca="true">RAND()</f>
        <v>0.671509661332764</v>
      </c>
      <c r="R2793" s="0" t="n">
        <f aca="false">IF($I2793&lt;&gt;$O2793,0,IF(P2793&lt;Matchup!$B$39,7,IF(P2793&lt;Matchup!$B$39+Matchup!$B$40,3,0)))</f>
        <v>0</v>
      </c>
      <c r="S2793" s="0" t="n">
        <f aca="false">IF($I2793&lt;&gt;$O2793,0,IF(Q2793&lt;Matchup!$C$39,7,IF(Q2793&lt;Matchup!$C$39+Matchup!$C$40,3,0)))</f>
        <v>0</v>
      </c>
      <c r="T2793" s="0" t="n">
        <f aca="false">I2793+R2793</f>
        <v>41</v>
      </c>
      <c r="U2793" s="0" t="n">
        <f aca="false">O2793+S2793</f>
        <v>25</v>
      </c>
      <c r="V2793" s="0" t="n">
        <f aca="false">T2793-U2793</f>
        <v>16</v>
      </c>
      <c r="W2793" s="0" t="n">
        <f aca="false">T2793+U2793</f>
        <v>66</v>
      </c>
    </row>
    <row r="2794" customFormat="false" ht="15" hidden="false" customHeight="false" outlineLevel="0" collapsed="false">
      <c r="A2794" s="0" t="n">
        <v>2791</v>
      </c>
      <c r="B2794" s="0" t="n">
        <f aca="true">NORMINV(RAND(),1,Coefficients!$B$22)</f>
        <v>1.1055502939884</v>
      </c>
      <c r="C2794" s="0" t="n">
        <f aca="true">MEDIAN(8,16,ROUND(NORMINV(RAND(),Coefficients!$B$20,Coefficients!$B$21),0))</f>
        <v>11</v>
      </c>
      <c r="D2794" s="0" t="n">
        <f aca="true">CRITBINOM($C2794,MIN(0.75,Matchup!$B$39*$B2794),RAND())</f>
        <v>2</v>
      </c>
      <c r="E2794" s="0" t="n">
        <f aca="true">CRITBINOM(D2794,Coefficients!$B$30,RAND())</f>
        <v>0</v>
      </c>
      <c r="F2794" s="0" t="n">
        <f aca="true">CRITBINOM(E2794,Coefficients!$B$31,RAND())</f>
        <v>0</v>
      </c>
      <c r="G2794" s="0" t="n">
        <f aca="true">CRITBINOM(MAX(0,D2794-E2794),1-Coefficients!$B$32,RAND())</f>
        <v>0</v>
      </c>
      <c r="H2794" s="0" t="n">
        <f aca="true">CRITBINOM(MAX(0,$C2794-D2794),MIN(0.6,Matchup!$B$40*SQRT($B2794)/(1-MIN(0.75,Matchup!$B$39*$B2794))),RAND())</f>
        <v>1</v>
      </c>
      <c r="I2794" s="0" t="n">
        <f aca="false">6*D2794+(D2794-E2794-G2794)+2*F2794+3*H2794</f>
        <v>17</v>
      </c>
      <c r="J2794" s="0" t="n">
        <f aca="true">CRITBINOM($C2794,MIN(0.75,Matchup!$C$39*$B2794),RAND())</f>
        <v>3</v>
      </c>
      <c r="K2794" s="0" t="n">
        <f aca="true">CRITBINOM(J2794,Coefficients!$B$30,RAND())</f>
        <v>0</v>
      </c>
      <c r="L2794" s="0" t="n">
        <f aca="true">CRITBINOM(K2794,Coefficients!$B$31,RAND())</f>
        <v>0</v>
      </c>
      <c r="M2794" s="0" t="n">
        <f aca="true">CRITBINOM(MAX(0,J2794-K2794),1-Coefficients!$B$32,RAND())</f>
        <v>0</v>
      </c>
      <c r="N2794" s="0" t="n">
        <f aca="true">CRITBINOM(MAX(0,$C2794-J2794),MIN(0.6,Matchup!$C$40*SQRT($B2794)/(1-MIN(0.75,Matchup!$C$39*$B2794))),RAND())</f>
        <v>1</v>
      </c>
      <c r="O2794" s="0" t="n">
        <f aca="false">6*J2794+(J2794-K2794-M2794)+2*L2794+3*N2794</f>
        <v>24</v>
      </c>
      <c r="P2794" s="0" t="n">
        <f aca="true">RAND()</f>
        <v>0.524435668923002</v>
      </c>
      <c r="Q2794" s="0" t="n">
        <f aca="true">RAND()</f>
        <v>0.874634618175734</v>
      </c>
      <c r="R2794" s="0" t="n">
        <f aca="false">IF($I2794&lt;&gt;$O2794,0,IF(P2794&lt;Matchup!$B$39,7,IF(P2794&lt;Matchup!$B$39+Matchup!$B$40,3,0)))</f>
        <v>0</v>
      </c>
      <c r="S2794" s="0" t="n">
        <f aca="false">IF($I2794&lt;&gt;$O2794,0,IF(Q2794&lt;Matchup!$C$39,7,IF(Q2794&lt;Matchup!$C$39+Matchup!$C$40,3,0)))</f>
        <v>0</v>
      </c>
      <c r="T2794" s="0" t="n">
        <f aca="false">I2794+R2794</f>
        <v>17</v>
      </c>
      <c r="U2794" s="0" t="n">
        <f aca="false">O2794+S2794</f>
        <v>24</v>
      </c>
      <c r="V2794" s="0" t="n">
        <f aca="false">T2794-U2794</f>
        <v>-7</v>
      </c>
      <c r="W2794" s="0" t="n">
        <f aca="false">T2794+U2794</f>
        <v>41</v>
      </c>
    </row>
    <row r="2795" customFormat="false" ht="15" hidden="false" customHeight="false" outlineLevel="0" collapsed="false">
      <c r="A2795" s="0" t="n">
        <v>2792</v>
      </c>
      <c r="B2795" s="0" t="n">
        <f aca="true">NORMINV(RAND(),1,Coefficients!$B$22)</f>
        <v>1.05787193441667</v>
      </c>
      <c r="C2795" s="0" t="n">
        <f aca="true">MEDIAN(8,16,ROUND(NORMINV(RAND(),Coefficients!$B$20,Coefficients!$B$21),0))</f>
        <v>10</v>
      </c>
      <c r="D2795" s="0" t="n">
        <f aca="true">CRITBINOM($C2795,MIN(0.75,Matchup!$B$39*$B2795),RAND())</f>
        <v>3</v>
      </c>
      <c r="E2795" s="0" t="n">
        <f aca="true">CRITBINOM(D2795,Coefficients!$B$30,RAND())</f>
        <v>1</v>
      </c>
      <c r="F2795" s="0" t="n">
        <f aca="true">CRITBINOM(E2795,Coefficients!$B$31,RAND())</f>
        <v>0</v>
      </c>
      <c r="G2795" s="0" t="n">
        <f aca="true">CRITBINOM(MAX(0,D2795-E2795),1-Coefficients!$B$32,RAND())</f>
        <v>0</v>
      </c>
      <c r="H2795" s="0" t="n">
        <f aca="true">CRITBINOM(MAX(0,$C2795-D2795),MIN(0.6,Matchup!$B$40*SQRT($B2795)/(1-MIN(0.75,Matchup!$B$39*$B2795))),RAND())</f>
        <v>1</v>
      </c>
      <c r="I2795" s="0" t="n">
        <f aca="false">6*D2795+(D2795-E2795-G2795)+2*F2795+3*H2795</f>
        <v>23</v>
      </c>
      <c r="J2795" s="0" t="n">
        <f aca="true">CRITBINOM($C2795,MIN(0.75,Matchup!$C$39*$B2795),RAND())</f>
        <v>4</v>
      </c>
      <c r="K2795" s="0" t="n">
        <f aca="true">CRITBINOM(J2795,Coefficients!$B$30,RAND())</f>
        <v>1</v>
      </c>
      <c r="L2795" s="0" t="n">
        <f aca="true">CRITBINOM(K2795,Coefficients!$B$31,RAND())</f>
        <v>0</v>
      </c>
      <c r="M2795" s="0" t="n">
        <f aca="true">CRITBINOM(MAX(0,J2795-K2795),1-Coefficients!$B$32,RAND())</f>
        <v>0</v>
      </c>
      <c r="N2795" s="0" t="n">
        <f aca="true">CRITBINOM(MAX(0,$C2795-J2795),MIN(0.6,Matchup!$C$40*SQRT($B2795)/(1-MIN(0.75,Matchup!$C$39*$B2795))),RAND())</f>
        <v>0</v>
      </c>
      <c r="O2795" s="0" t="n">
        <f aca="false">6*J2795+(J2795-K2795-M2795)+2*L2795+3*N2795</f>
        <v>27</v>
      </c>
      <c r="P2795" s="0" t="n">
        <f aca="true">RAND()</f>
        <v>0.47944053003386</v>
      </c>
      <c r="Q2795" s="0" t="n">
        <f aca="true">RAND()</f>
        <v>0.560948352399208</v>
      </c>
      <c r="R2795" s="0" t="n">
        <f aca="false">IF($I2795&lt;&gt;$O2795,0,IF(P2795&lt;Matchup!$B$39,7,IF(P2795&lt;Matchup!$B$39+Matchup!$B$40,3,0)))</f>
        <v>0</v>
      </c>
      <c r="S2795" s="0" t="n">
        <f aca="false">IF($I2795&lt;&gt;$O2795,0,IF(Q2795&lt;Matchup!$C$39,7,IF(Q2795&lt;Matchup!$C$39+Matchup!$C$40,3,0)))</f>
        <v>0</v>
      </c>
      <c r="T2795" s="0" t="n">
        <f aca="false">I2795+R2795</f>
        <v>23</v>
      </c>
      <c r="U2795" s="0" t="n">
        <f aca="false">O2795+S2795</f>
        <v>27</v>
      </c>
      <c r="V2795" s="0" t="n">
        <f aca="false">T2795-U2795</f>
        <v>-4</v>
      </c>
      <c r="W2795" s="0" t="n">
        <f aca="false">T2795+U2795</f>
        <v>50</v>
      </c>
    </row>
    <row r="2796" customFormat="false" ht="15" hidden="false" customHeight="false" outlineLevel="0" collapsed="false">
      <c r="A2796" s="0" t="n">
        <v>2793</v>
      </c>
      <c r="B2796" s="0" t="n">
        <f aca="true">NORMINV(RAND(),1,Coefficients!$B$22)</f>
        <v>1.03926349585877</v>
      </c>
      <c r="C2796" s="0" t="n">
        <f aca="true">MEDIAN(8,16,ROUND(NORMINV(RAND(),Coefficients!$B$20,Coefficients!$B$21),0))</f>
        <v>12</v>
      </c>
      <c r="D2796" s="0" t="n">
        <f aca="true">CRITBINOM($C2796,MIN(0.75,Matchup!$B$39*$B2796),RAND())</f>
        <v>4</v>
      </c>
      <c r="E2796" s="0" t="n">
        <f aca="true">CRITBINOM(D2796,Coefficients!$B$30,RAND())</f>
        <v>0</v>
      </c>
      <c r="F2796" s="0" t="n">
        <f aca="true">CRITBINOM(E2796,Coefficients!$B$31,RAND())</f>
        <v>0</v>
      </c>
      <c r="G2796" s="0" t="n">
        <f aca="true">CRITBINOM(MAX(0,D2796-E2796),1-Coefficients!$B$32,RAND())</f>
        <v>0</v>
      </c>
      <c r="H2796" s="0" t="n">
        <f aca="true">CRITBINOM(MAX(0,$C2796-D2796),MIN(0.6,Matchup!$B$40*SQRT($B2796)/(1-MIN(0.75,Matchup!$B$39*$B2796))),RAND())</f>
        <v>5</v>
      </c>
      <c r="I2796" s="0" t="n">
        <f aca="false">6*D2796+(D2796-E2796-G2796)+2*F2796+3*H2796</f>
        <v>43</v>
      </c>
      <c r="J2796" s="0" t="n">
        <f aca="true">CRITBINOM($C2796,MIN(0.75,Matchup!$C$39*$B2796),RAND())</f>
        <v>0</v>
      </c>
      <c r="K2796" s="0" t="n">
        <f aca="true">CRITBINOM(J2796,Coefficients!$B$30,RAND())</f>
        <v>0</v>
      </c>
      <c r="L2796" s="0" t="n">
        <f aca="true">CRITBINOM(K2796,Coefficients!$B$31,RAND())</f>
        <v>0</v>
      </c>
      <c r="M2796" s="0" t="n">
        <f aca="true">CRITBINOM(MAX(0,J2796-K2796),1-Coefficients!$B$32,RAND())</f>
        <v>0</v>
      </c>
      <c r="N2796" s="0" t="n">
        <f aca="true">CRITBINOM(MAX(0,$C2796-J2796),MIN(0.6,Matchup!$C$40*SQRT($B2796)/(1-MIN(0.75,Matchup!$C$39*$B2796))),RAND())</f>
        <v>2</v>
      </c>
      <c r="O2796" s="0" t="n">
        <f aca="false">6*J2796+(J2796-K2796-M2796)+2*L2796+3*N2796</f>
        <v>6</v>
      </c>
      <c r="P2796" s="0" t="n">
        <f aca="true">RAND()</f>
        <v>0.631411242996557</v>
      </c>
      <c r="Q2796" s="0" t="n">
        <f aca="true">RAND()</f>
        <v>0.325242595655326</v>
      </c>
      <c r="R2796" s="0" t="n">
        <f aca="false">IF($I2796&lt;&gt;$O2796,0,IF(P2796&lt;Matchup!$B$39,7,IF(P2796&lt;Matchup!$B$39+Matchup!$B$40,3,0)))</f>
        <v>0</v>
      </c>
      <c r="S2796" s="0" t="n">
        <f aca="false">IF($I2796&lt;&gt;$O2796,0,IF(Q2796&lt;Matchup!$C$39,7,IF(Q2796&lt;Matchup!$C$39+Matchup!$C$40,3,0)))</f>
        <v>0</v>
      </c>
      <c r="T2796" s="0" t="n">
        <f aca="false">I2796+R2796</f>
        <v>43</v>
      </c>
      <c r="U2796" s="0" t="n">
        <f aca="false">O2796+S2796</f>
        <v>6</v>
      </c>
      <c r="V2796" s="0" t="n">
        <f aca="false">T2796-U2796</f>
        <v>37</v>
      </c>
      <c r="W2796" s="0" t="n">
        <f aca="false">T2796+U2796</f>
        <v>49</v>
      </c>
    </row>
    <row r="2797" customFormat="false" ht="15" hidden="false" customHeight="false" outlineLevel="0" collapsed="false">
      <c r="A2797" s="0" t="n">
        <v>2794</v>
      </c>
      <c r="B2797" s="0" t="n">
        <f aca="true">NORMINV(RAND(),1,Coefficients!$B$22)</f>
        <v>1.02029070154905</v>
      </c>
      <c r="C2797" s="0" t="n">
        <f aca="true">MEDIAN(8,16,ROUND(NORMINV(RAND(),Coefficients!$B$20,Coefficients!$B$21),0))</f>
        <v>12</v>
      </c>
      <c r="D2797" s="0" t="n">
        <f aca="true">CRITBINOM($C2797,MIN(0.75,Matchup!$B$39*$B2797),RAND())</f>
        <v>1</v>
      </c>
      <c r="E2797" s="0" t="n">
        <f aca="true">CRITBINOM(D2797,Coefficients!$B$30,RAND())</f>
        <v>0</v>
      </c>
      <c r="F2797" s="0" t="n">
        <f aca="true">CRITBINOM(E2797,Coefficients!$B$31,RAND())</f>
        <v>0</v>
      </c>
      <c r="G2797" s="0" t="n">
        <f aca="true">CRITBINOM(MAX(0,D2797-E2797),1-Coefficients!$B$32,RAND())</f>
        <v>0</v>
      </c>
      <c r="H2797" s="0" t="n">
        <f aca="true">CRITBINOM(MAX(0,$C2797-D2797),MIN(0.6,Matchup!$B$40*SQRT($B2797)/(1-MIN(0.75,Matchup!$B$39*$B2797))),RAND())</f>
        <v>3</v>
      </c>
      <c r="I2797" s="0" t="n">
        <f aca="false">6*D2797+(D2797-E2797-G2797)+2*F2797+3*H2797</f>
        <v>16</v>
      </c>
      <c r="J2797" s="0" t="n">
        <f aca="true">CRITBINOM($C2797,MIN(0.75,Matchup!$C$39*$B2797),RAND())</f>
        <v>2</v>
      </c>
      <c r="K2797" s="0" t="n">
        <f aca="true">CRITBINOM(J2797,Coefficients!$B$30,RAND())</f>
        <v>0</v>
      </c>
      <c r="L2797" s="0" t="n">
        <f aca="true">CRITBINOM(K2797,Coefficients!$B$31,RAND())</f>
        <v>0</v>
      </c>
      <c r="M2797" s="0" t="n">
        <f aca="true">CRITBINOM(MAX(0,J2797-K2797),1-Coefficients!$B$32,RAND())</f>
        <v>0</v>
      </c>
      <c r="N2797" s="0" t="n">
        <f aca="true">CRITBINOM(MAX(0,$C2797-J2797),MIN(0.6,Matchup!$C$40*SQRT($B2797)/(1-MIN(0.75,Matchup!$C$39*$B2797))),RAND())</f>
        <v>2</v>
      </c>
      <c r="O2797" s="0" t="n">
        <f aca="false">6*J2797+(J2797-K2797-M2797)+2*L2797+3*N2797</f>
        <v>20</v>
      </c>
      <c r="P2797" s="0" t="n">
        <f aca="true">RAND()</f>
        <v>0.812451996737169</v>
      </c>
      <c r="Q2797" s="0" t="n">
        <f aca="true">RAND()</f>
        <v>0.249512669636915</v>
      </c>
      <c r="R2797" s="0" t="n">
        <f aca="false">IF($I2797&lt;&gt;$O2797,0,IF(P2797&lt;Matchup!$B$39,7,IF(P2797&lt;Matchup!$B$39+Matchup!$B$40,3,0)))</f>
        <v>0</v>
      </c>
      <c r="S2797" s="0" t="n">
        <f aca="false">IF($I2797&lt;&gt;$O2797,0,IF(Q2797&lt;Matchup!$C$39,7,IF(Q2797&lt;Matchup!$C$39+Matchup!$C$40,3,0)))</f>
        <v>0</v>
      </c>
      <c r="T2797" s="0" t="n">
        <f aca="false">I2797+R2797</f>
        <v>16</v>
      </c>
      <c r="U2797" s="0" t="n">
        <f aca="false">O2797+S2797</f>
        <v>20</v>
      </c>
      <c r="V2797" s="0" t="n">
        <f aca="false">T2797-U2797</f>
        <v>-4</v>
      </c>
      <c r="W2797" s="0" t="n">
        <f aca="false">T2797+U2797</f>
        <v>36</v>
      </c>
    </row>
    <row r="2798" customFormat="false" ht="15" hidden="false" customHeight="false" outlineLevel="0" collapsed="false">
      <c r="A2798" s="0" t="n">
        <v>2795</v>
      </c>
      <c r="B2798" s="0" t="n">
        <f aca="true">NORMINV(RAND(),1,Coefficients!$B$22)</f>
        <v>1.06481428729686</v>
      </c>
      <c r="C2798" s="0" t="n">
        <f aca="true">MEDIAN(8,16,ROUND(NORMINV(RAND(),Coefficients!$B$20,Coefficients!$B$21),0))</f>
        <v>13</v>
      </c>
      <c r="D2798" s="0" t="n">
        <f aca="true">CRITBINOM($C2798,MIN(0.75,Matchup!$B$39*$B2798),RAND())</f>
        <v>3</v>
      </c>
      <c r="E2798" s="0" t="n">
        <f aca="true">CRITBINOM(D2798,Coefficients!$B$30,RAND())</f>
        <v>0</v>
      </c>
      <c r="F2798" s="0" t="n">
        <f aca="true">CRITBINOM(E2798,Coefficients!$B$31,RAND())</f>
        <v>0</v>
      </c>
      <c r="G2798" s="0" t="n">
        <f aca="true">CRITBINOM(MAX(0,D2798-E2798),1-Coefficients!$B$32,RAND())</f>
        <v>0</v>
      </c>
      <c r="H2798" s="0" t="n">
        <f aca="true">CRITBINOM(MAX(0,$C2798-D2798),MIN(0.6,Matchup!$B$40*SQRT($B2798)/(1-MIN(0.75,Matchup!$B$39*$B2798))),RAND())</f>
        <v>1</v>
      </c>
      <c r="I2798" s="0" t="n">
        <f aca="false">6*D2798+(D2798-E2798-G2798)+2*F2798+3*H2798</f>
        <v>24</v>
      </c>
      <c r="J2798" s="0" t="n">
        <f aca="true">CRITBINOM($C2798,MIN(0.75,Matchup!$C$39*$B2798),RAND())</f>
        <v>1</v>
      </c>
      <c r="K2798" s="0" t="n">
        <f aca="true">CRITBINOM(J2798,Coefficients!$B$30,RAND())</f>
        <v>0</v>
      </c>
      <c r="L2798" s="0" t="n">
        <f aca="true">CRITBINOM(K2798,Coefficients!$B$31,RAND())</f>
        <v>0</v>
      </c>
      <c r="M2798" s="0" t="n">
        <f aca="true">CRITBINOM(MAX(0,J2798-K2798),1-Coefficients!$B$32,RAND())</f>
        <v>0</v>
      </c>
      <c r="N2798" s="0" t="n">
        <f aca="true">CRITBINOM(MAX(0,$C2798-J2798),MIN(0.6,Matchup!$C$40*SQRT($B2798)/(1-MIN(0.75,Matchup!$C$39*$B2798))),RAND())</f>
        <v>3</v>
      </c>
      <c r="O2798" s="0" t="n">
        <f aca="false">6*J2798+(J2798-K2798-M2798)+2*L2798+3*N2798</f>
        <v>16</v>
      </c>
      <c r="P2798" s="0" t="n">
        <f aca="true">RAND()</f>
        <v>0.7212454034352</v>
      </c>
      <c r="Q2798" s="0" t="n">
        <f aca="true">RAND()</f>
        <v>0.923468386918567</v>
      </c>
      <c r="R2798" s="0" t="n">
        <f aca="false">IF($I2798&lt;&gt;$O2798,0,IF(P2798&lt;Matchup!$B$39,7,IF(P2798&lt;Matchup!$B$39+Matchup!$B$40,3,0)))</f>
        <v>0</v>
      </c>
      <c r="S2798" s="0" t="n">
        <f aca="false">IF($I2798&lt;&gt;$O2798,0,IF(Q2798&lt;Matchup!$C$39,7,IF(Q2798&lt;Matchup!$C$39+Matchup!$C$40,3,0)))</f>
        <v>0</v>
      </c>
      <c r="T2798" s="0" t="n">
        <f aca="false">I2798+R2798</f>
        <v>24</v>
      </c>
      <c r="U2798" s="0" t="n">
        <f aca="false">O2798+S2798</f>
        <v>16</v>
      </c>
      <c r="V2798" s="0" t="n">
        <f aca="false">T2798-U2798</f>
        <v>8</v>
      </c>
      <c r="W2798" s="0" t="n">
        <f aca="false">T2798+U2798</f>
        <v>40</v>
      </c>
    </row>
    <row r="2799" customFormat="false" ht="15" hidden="false" customHeight="false" outlineLevel="0" collapsed="false">
      <c r="A2799" s="0" t="n">
        <v>2796</v>
      </c>
      <c r="B2799" s="0" t="n">
        <f aca="true">NORMINV(RAND(),1,Coefficients!$B$22)</f>
        <v>0.999760761739647</v>
      </c>
      <c r="C2799" s="0" t="n">
        <f aca="true">MEDIAN(8,16,ROUND(NORMINV(RAND(),Coefficients!$B$20,Coefficients!$B$21),0))</f>
        <v>11</v>
      </c>
      <c r="D2799" s="0" t="n">
        <f aca="true">CRITBINOM($C2799,MIN(0.75,Matchup!$B$39*$B2799),RAND())</f>
        <v>3</v>
      </c>
      <c r="E2799" s="0" t="n">
        <f aca="true">CRITBINOM(D2799,Coefficients!$B$30,RAND())</f>
        <v>0</v>
      </c>
      <c r="F2799" s="0" t="n">
        <f aca="true">CRITBINOM(E2799,Coefficients!$B$31,RAND())</f>
        <v>0</v>
      </c>
      <c r="G2799" s="0" t="n">
        <f aca="true">CRITBINOM(MAX(0,D2799-E2799),1-Coefficients!$B$32,RAND())</f>
        <v>0</v>
      </c>
      <c r="H2799" s="0" t="n">
        <f aca="true">CRITBINOM(MAX(0,$C2799-D2799),MIN(0.6,Matchup!$B$40*SQRT($B2799)/(1-MIN(0.75,Matchup!$B$39*$B2799))),RAND())</f>
        <v>1</v>
      </c>
      <c r="I2799" s="0" t="n">
        <f aca="false">6*D2799+(D2799-E2799-G2799)+2*F2799+3*H2799</f>
        <v>24</v>
      </c>
      <c r="J2799" s="0" t="n">
        <f aca="true">CRITBINOM($C2799,MIN(0.75,Matchup!$C$39*$B2799),RAND())</f>
        <v>2</v>
      </c>
      <c r="K2799" s="0" t="n">
        <f aca="true">CRITBINOM(J2799,Coefficients!$B$30,RAND())</f>
        <v>0</v>
      </c>
      <c r="L2799" s="0" t="n">
        <f aca="true">CRITBINOM(K2799,Coefficients!$B$31,RAND())</f>
        <v>0</v>
      </c>
      <c r="M2799" s="0" t="n">
        <f aca="true">CRITBINOM(MAX(0,J2799-K2799),1-Coefficients!$B$32,RAND())</f>
        <v>0</v>
      </c>
      <c r="N2799" s="0" t="n">
        <f aca="true">CRITBINOM(MAX(0,$C2799-J2799),MIN(0.6,Matchup!$C$40*SQRT($B2799)/(1-MIN(0.75,Matchup!$C$39*$B2799))),RAND())</f>
        <v>3</v>
      </c>
      <c r="O2799" s="0" t="n">
        <f aca="false">6*J2799+(J2799-K2799-M2799)+2*L2799+3*N2799</f>
        <v>23</v>
      </c>
      <c r="P2799" s="0" t="n">
        <f aca="true">RAND()</f>
        <v>0.478725737305157</v>
      </c>
      <c r="Q2799" s="0" t="n">
        <f aca="true">RAND()</f>
        <v>0.233117909474511</v>
      </c>
      <c r="R2799" s="0" t="n">
        <f aca="false">IF($I2799&lt;&gt;$O2799,0,IF(P2799&lt;Matchup!$B$39,7,IF(P2799&lt;Matchup!$B$39+Matchup!$B$40,3,0)))</f>
        <v>0</v>
      </c>
      <c r="S2799" s="0" t="n">
        <f aca="false">IF($I2799&lt;&gt;$O2799,0,IF(Q2799&lt;Matchup!$C$39,7,IF(Q2799&lt;Matchup!$C$39+Matchup!$C$40,3,0)))</f>
        <v>0</v>
      </c>
      <c r="T2799" s="0" t="n">
        <f aca="false">I2799+R2799</f>
        <v>24</v>
      </c>
      <c r="U2799" s="0" t="n">
        <f aca="false">O2799+S2799</f>
        <v>23</v>
      </c>
      <c r="V2799" s="0" t="n">
        <f aca="false">T2799-U2799</f>
        <v>1</v>
      </c>
      <c r="W2799" s="0" t="n">
        <f aca="false">T2799+U2799</f>
        <v>47</v>
      </c>
    </row>
    <row r="2800" customFormat="false" ht="15" hidden="false" customHeight="false" outlineLevel="0" collapsed="false">
      <c r="A2800" s="0" t="n">
        <v>2797</v>
      </c>
      <c r="B2800" s="0" t="n">
        <f aca="true">NORMINV(RAND(),1,Coefficients!$B$22)</f>
        <v>0.996187982367486</v>
      </c>
      <c r="C2800" s="0" t="n">
        <f aca="true">MEDIAN(8,16,ROUND(NORMINV(RAND(),Coefficients!$B$20,Coefficients!$B$21),0))</f>
        <v>10</v>
      </c>
      <c r="D2800" s="0" t="n">
        <f aca="true">CRITBINOM($C2800,MIN(0.75,Matchup!$B$39*$B2800),RAND())</f>
        <v>2</v>
      </c>
      <c r="E2800" s="0" t="n">
        <f aca="true">CRITBINOM(D2800,Coefficients!$B$30,RAND())</f>
        <v>1</v>
      </c>
      <c r="F2800" s="0" t="n">
        <f aca="true">CRITBINOM(E2800,Coefficients!$B$31,RAND())</f>
        <v>1</v>
      </c>
      <c r="G2800" s="0" t="n">
        <f aca="true">CRITBINOM(MAX(0,D2800-E2800),1-Coefficients!$B$32,RAND())</f>
        <v>0</v>
      </c>
      <c r="H2800" s="0" t="n">
        <f aca="true">CRITBINOM(MAX(0,$C2800-D2800),MIN(0.6,Matchup!$B$40*SQRT($B2800)/(1-MIN(0.75,Matchup!$B$39*$B2800))),RAND())</f>
        <v>3</v>
      </c>
      <c r="I2800" s="0" t="n">
        <f aca="false">6*D2800+(D2800-E2800-G2800)+2*F2800+3*H2800</f>
        <v>24</v>
      </c>
      <c r="J2800" s="0" t="n">
        <f aca="true">CRITBINOM($C2800,MIN(0.75,Matchup!$C$39*$B2800),RAND())</f>
        <v>2</v>
      </c>
      <c r="K2800" s="0" t="n">
        <f aca="true">CRITBINOM(J2800,Coefficients!$B$30,RAND())</f>
        <v>1</v>
      </c>
      <c r="L2800" s="0" t="n">
        <f aca="true">CRITBINOM(K2800,Coefficients!$B$31,RAND())</f>
        <v>1</v>
      </c>
      <c r="M2800" s="0" t="n">
        <f aca="true">CRITBINOM(MAX(0,J2800-K2800),1-Coefficients!$B$32,RAND())</f>
        <v>0</v>
      </c>
      <c r="N2800" s="0" t="n">
        <f aca="true">CRITBINOM(MAX(0,$C2800-J2800),MIN(0.6,Matchup!$C$40*SQRT($B2800)/(1-MIN(0.75,Matchup!$C$39*$B2800))),RAND())</f>
        <v>1</v>
      </c>
      <c r="O2800" s="0" t="n">
        <f aca="false">6*J2800+(J2800-K2800-M2800)+2*L2800+3*N2800</f>
        <v>18</v>
      </c>
      <c r="P2800" s="0" t="n">
        <f aca="true">RAND()</f>
        <v>0.0800332841290472</v>
      </c>
      <c r="Q2800" s="0" t="n">
        <f aca="true">RAND()</f>
        <v>0.84409191213093</v>
      </c>
      <c r="R2800" s="0" t="n">
        <f aca="false">IF($I2800&lt;&gt;$O2800,0,IF(P2800&lt;Matchup!$B$39,7,IF(P2800&lt;Matchup!$B$39+Matchup!$B$40,3,0)))</f>
        <v>0</v>
      </c>
      <c r="S2800" s="0" t="n">
        <f aca="false">IF($I2800&lt;&gt;$O2800,0,IF(Q2800&lt;Matchup!$C$39,7,IF(Q2800&lt;Matchup!$C$39+Matchup!$C$40,3,0)))</f>
        <v>0</v>
      </c>
      <c r="T2800" s="0" t="n">
        <f aca="false">I2800+R2800</f>
        <v>24</v>
      </c>
      <c r="U2800" s="0" t="n">
        <f aca="false">O2800+S2800</f>
        <v>18</v>
      </c>
      <c r="V2800" s="0" t="n">
        <f aca="false">T2800-U2800</f>
        <v>6</v>
      </c>
      <c r="W2800" s="0" t="n">
        <f aca="false">T2800+U2800</f>
        <v>42</v>
      </c>
    </row>
    <row r="2801" customFormat="false" ht="15" hidden="false" customHeight="false" outlineLevel="0" collapsed="false">
      <c r="A2801" s="0" t="n">
        <v>2798</v>
      </c>
      <c r="B2801" s="0" t="n">
        <f aca="true">NORMINV(RAND(),1,Coefficients!$B$22)</f>
        <v>0.955801623487558</v>
      </c>
      <c r="C2801" s="0" t="n">
        <f aca="true">MEDIAN(8,16,ROUND(NORMINV(RAND(),Coefficients!$B$20,Coefficients!$B$21),0))</f>
        <v>9</v>
      </c>
      <c r="D2801" s="0" t="n">
        <f aca="true">CRITBINOM($C2801,MIN(0.75,Matchup!$B$39*$B2801),RAND())</f>
        <v>2</v>
      </c>
      <c r="E2801" s="0" t="n">
        <f aca="true">CRITBINOM(D2801,Coefficients!$B$30,RAND())</f>
        <v>1</v>
      </c>
      <c r="F2801" s="0" t="n">
        <f aca="true">CRITBINOM(E2801,Coefficients!$B$31,RAND())</f>
        <v>0</v>
      </c>
      <c r="G2801" s="0" t="n">
        <f aca="true">CRITBINOM(MAX(0,D2801-E2801),1-Coefficients!$B$32,RAND())</f>
        <v>0</v>
      </c>
      <c r="H2801" s="0" t="n">
        <f aca="true">CRITBINOM(MAX(0,$C2801-D2801),MIN(0.6,Matchup!$B$40*SQRT($B2801)/(1-MIN(0.75,Matchup!$B$39*$B2801))),RAND())</f>
        <v>2</v>
      </c>
      <c r="I2801" s="0" t="n">
        <f aca="false">6*D2801+(D2801-E2801-G2801)+2*F2801+3*H2801</f>
        <v>19</v>
      </c>
      <c r="J2801" s="0" t="n">
        <f aca="true">CRITBINOM($C2801,MIN(0.75,Matchup!$C$39*$B2801),RAND())</f>
        <v>3</v>
      </c>
      <c r="K2801" s="0" t="n">
        <f aca="true">CRITBINOM(J2801,Coefficients!$B$30,RAND())</f>
        <v>0</v>
      </c>
      <c r="L2801" s="0" t="n">
        <f aca="true">CRITBINOM(K2801,Coefficients!$B$31,RAND())</f>
        <v>0</v>
      </c>
      <c r="M2801" s="0" t="n">
        <f aca="true">CRITBINOM(MAX(0,J2801-K2801),1-Coefficients!$B$32,RAND())</f>
        <v>0</v>
      </c>
      <c r="N2801" s="0" t="n">
        <f aca="true">CRITBINOM(MAX(0,$C2801-J2801),MIN(0.6,Matchup!$C$40*SQRT($B2801)/(1-MIN(0.75,Matchup!$C$39*$B2801))),RAND())</f>
        <v>0</v>
      </c>
      <c r="O2801" s="0" t="n">
        <f aca="false">6*J2801+(J2801-K2801-M2801)+2*L2801+3*N2801</f>
        <v>21</v>
      </c>
      <c r="P2801" s="0" t="n">
        <f aca="true">RAND()</f>
        <v>0.159196678670536</v>
      </c>
      <c r="Q2801" s="0" t="n">
        <f aca="true">RAND()</f>
        <v>0.844114294201638</v>
      </c>
      <c r="R2801" s="0" t="n">
        <f aca="false">IF($I2801&lt;&gt;$O2801,0,IF(P2801&lt;Matchup!$B$39,7,IF(P2801&lt;Matchup!$B$39+Matchup!$B$40,3,0)))</f>
        <v>0</v>
      </c>
      <c r="S2801" s="0" t="n">
        <f aca="false">IF($I2801&lt;&gt;$O2801,0,IF(Q2801&lt;Matchup!$C$39,7,IF(Q2801&lt;Matchup!$C$39+Matchup!$C$40,3,0)))</f>
        <v>0</v>
      </c>
      <c r="T2801" s="0" t="n">
        <f aca="false">I2801+R2801</f>
        <v>19</v>
      </c>
      <c r="U2801" s="0" t="n">
        <f aca="false">O2801+S2801</f>
        <v>21</v>
      </c>
      <c r="V2801" s="0" t="n">
        <f aca="false">T2801-U2801</f>
        <v>-2</v>
      </c>
      <c r="W2801" s="0" t="n">
        <f aca="false">T2801+U2801</f>
        <v>40</v>
      </c>
    </row>
    <row r="2802" customFormat="false" ht="15" hidden="false" customHeight="false" outlineLevel="0" collapsed="false">
      <c r="A2802" s="0" t="n">
        <v>2799</v>
      </c>
      <c r="B2802" s="0" t="n">
        <f aca="true">NORMINV(RAND(),1,Coefficients!$B$22)</f>
        <v>1.02539334746588</v>
      </c>
      <c r="C2802" s="0" t="n">
        <f aca="true">MEDIAN(8,16,ROUND(NORMINV(RAND(),Coefficients!$B$20,Coefficients!$B$21),0))</f>
        <v>11</v>
      </c>
      <c r="D2802" s="0" t="n">
        <f aca="true">CRITBINOM($C2802,MIN(0.75,Matchup!$B$39*$B2802),RAND())</f>
        <v>0</v>
      </c>
      <c r="E2802" s="0" t="n">
        <f aca="true">CRITBINOM(D2802,Coefficients!$B$30,RAND())</f>
        <v>0</v>
      </c>
      <c r="F2802" s="0" t="n">
        <f aca="true">CRITBINOM(E2802,Coefficients!$B$31,RAND())</f>
        <v>0</v>
      </c>
      <c r="G2802" s="0" t="n">
        <f aca="true">CRITBINOM(MAX(0,D2802-E2802),1-Coefficients!$B$32,RAND())</f>
        <v>0</v>
      </c>
      <c r="H2802" s="0" t="n">
        <f aca="true">CRITBINOM(MAX(0,$C2802-D2802),MIN(0.6,Matchup!$B$40*SQRT($B2802)/(1-MIN(0.75,Matchup!$B$39*$B2802))),RAND())</f>
        <v>2</v>
      </c>
      <c r="I2802" s="0" t="n">
        <f aca="false">6*D2802+(D2802-E2802-G2802)+2*F2802+3*H2802</f>
        <v>6</v>
      </c>
      <c r="J2802" s="0" t="n">
        <f aca="true">CRITBINOM($C2802,MIN(0.75,Matchup!$C$39*$B2802),RAND())</f>
        <v>2</v>
      </c>
      <c r="K2802" s="0" t="n">
        <f aca="true">CRITBINOM(J2802,Coefficients!$B$30,RAND())</f>
        <v>0</v>
      </c>
      <c r="L2802" s="0" t="n">
        <f aca="true">CRITBINOM(K2802,Coefficients!$B$31,RAND())</f>
        <v>0</v>
      </c>
      <c r="M2802" s="0" t="n">
        <f aca="true">CRITBINOM(MAX(0,J2802-K2802),1-Coefficients!$B$32,RAND())</f>
        <v>0</v>
      </c>
      <c r="N2802" s="0" t="n">
        <f aca="true">CRITBINOM(MAX(0,$C2802-J2802),MIN(0.6,Matchup!$C$40*SQRT($B2802)/(1-MIN(0.75,Matchup!$C$39*$B2802))),RAND())</f>
        <v>0</v>
      </c>
      <c r="O2802" s="0" t="n">
        <f aca="false">6*J2802+(J2802-K2802-M2802)+2*L2802+3*N2802</f>
        <v>14</v>
      </c>
      <c r="P2802" s="0" t="n">
        <f aca="true">RAND()</f>
        <v>0.0967242448496491</v>
      </c>
      <c r="Q2802" s="0" t="n">
        <f aca="true">RAND()</f>
        <v>0.0401360997470508</v>
      </c>
      <c r="R2802" s="0" t="n">
        <f aca="false">IF($I2802&lt;&gt;$O2802,0,IF(P2802&lt;Matchup!$B$39,7,IF(P2802&lt;Matchup!$B$39+Matchup!$B$40,3,0)))</f>
        <v>0</v>
      </c>
      <c r="S2802" s="0" t="n">
        <f aca="false">IF($I2802&lt;&gt;$O2802,0,IF(Q2802&lt;Matchup!$C$39,7,IF(Q2802&lt;Matchup!$C$39+Matchup!$C$40,3,0)))</f>
        <v>0</v>
      </c>
      <c r="T2802" s="0" t="n">
        <f aca="false">I2802+R2802</f>
        <v>6</v>
      </c>
      <c r="U2802" s="0" t="n">
        <f aca="false">O2802+S2802</f>
        <v>14</v>
      </c>
      <c r="V2802" s="0" t="n">
        <f aca="false">T2802-U2802</f>
        <v>-8</v>
      </c>
      <c r="W2802" s="0" t="n">
        <f aca="false">T2802+U2802</f>
        <v>20</v>
      </c>
    </row>
    <row r="2803" customFormat="false" ht="15" hidden="false" customHeight="false" outlineLevel="0" collapsed="false">
      <c r="A2803" s="0" t="n">
        <v>2800</v>
      </c>
      <c r="B2803" s="0" t="n">
        <f aca="true">NORMINV(RAND(),1,Coefficients!$B$22)</f>
        <v>0.827073457325194</v>
      </c>
      <c r="C2803" s="0" t="n">
        <f aca="true">MEDIAN(8,16,ROUND(NORMINV(RAND(),Coefficients!$B$20,Coefficients!$B$21),0))</f>
        <v>11</v>
      </c>
      <c r="D2803" s="0" t="n">
        <f aca="true">CRITBINOM($C2803,MIN(0.75,Matchup!$B$39*$B2803),RAND())</f>
        <v>2</v>
      </c>
      <c r="E2803" s="0" t="n">
        <f aca="true">CRITBINOM(D2803,Coefficients!$B$30,RAND())</f>
        <v>0</v>
      </c>
      <c r="F2803" s="0" t="n">
        <f aca="true">CRITBINOM(E2803,Coefficients!$B$31,RAND())</f>
        <v>0</v>
      </c>
      <c r="G2803" s="0" t="n">
        <f aca="true">CRITBINOM(MAX(0,D2803-E2803),1-Coefficients!$B$32,RAND())</f>
        <v>0</v>
      </c>
      <c r="H2803" s="0" t="n">
        <f aca="true">CRITBINOM(MAX(0,$C2803-D2803),MIN(0.6,Matchup!$B$40*SQRT($B2803)/(1-MIN(0.75,Matchup!$B$39*$B2803))),RAND())</f>
        <v>0</v>
      </c>
      <c r="I2803" s="0" t="n">
        <f aca="false">6*D2803+(D2803-E2803-G2803)+2*F2803+3*H2803</f>
        <v>14</v>
      </c>
      <c r="J2803" s="0" t="n">
        <f aca="true">CRITBINOM($C2803,MIN(0.75,Matchup!$C$39*$B2803),RAND())</f>
        <v>2</v>
      </c>
      <c r="K2803" s="0" t="n">
        <f aca="true">CRITBINOM(J2803,Coefficients!$B$30,RAND())</f>
        <v>0</v>
      </c>
      <c r="L2803" s="0" t="n">
        <f aca="true">CRITBINOM(K2803,Coefficients!$B$31,RAND())</f>
        <v>0</v>
      </c>
      <c r="M2803" s="0" t="n">
        <f aca="true">CRITBINOM(MAX(0,J2803-K2803),1-Coefficients!$B$32,RAND())</f>
        <v>0</v>
      </c>
      <c r="N2803" s="0" t="n">
        <f aca="true">CRITBINOM(MAX(0,$C2803-J2803),MIN(0.6,Matchup!$C$40*SQRT($B2803)/(1-MIN(0.75,Matchup!$C$39*$B2803))),RAND())</f>
        <v>1</v>
      </c>
      <c r="O2803" s="0" t="n">
        <f aca="false">6*J2803+(J2803-K2803-M2803)+2*L2803+3*N2803</f>
        <v>17</v>
      </c>
      <c r="P2803" s="0" t="n">
        <f aca="true">RAND()</f>
        <v>0.372211508369873</v>
      </c>
      <c r="Q2803" s="0" t="n">
        <f aca="true">RAND()</f>
        <v>0.970867321085635</v>
      </c>
      <c r="R2803" s="0" t="n">
        <f aca="false">IF($I2803&lt;&gt;$O2803,0,IF(P2803&lt;Matchup!$B$39,7,IF(P2803&lt;Matchup!$B$39+Matchup!$B$40,3,0)))</f>
        <v>0</v>
      </c>
      <c r="S2803" s="0" t="n">
        <f aca="false">IF($I2803&lt;&gt;$O2803,0,IF(Q2803&lt;Matchup!$C$39,7,IF(Q2803&lt;Matchup!$C$39+Matchup!$C$40,3,0)))</f>
        <v>0</v>
      </c>
      <c r="T2803" s="0" t="n">
        <f aca="false">I2803+R2803</f>
        <v>14</v>
      </c>
      <c r="U2803" s="0" t="n">
        <f aca="false">O2803+S2803</f>
        <v>17</v>
      </c>
      <c r="V2803" s="0" t="n">
        <f aca="false">T2803-U2803</f>
        <v>-3</v>
      </c>
      <c r="W2803" s="0" t="n">
        <f aca="false">T2803+U2803</f>
        <v>31</v>
      </c>
    </row>
    <row r="2804" customFormat="false" ht="15" hidden="false" customHeight="false" outlineLevel="0" collapsed="false">
      <c r="A2804" s="0" t="n">
        <v>2801</v>
      </c>
      <c r="B2804" s="0" t="n">
        <f aca="true">NORMINV(RAND(),1,Coefficients!$B$22)</f>
        <v>0.994644963342013</v>
      </c>
      <c r="C2804" s="0" t="n">
        <f aca="true">MEDIAN(8,16,ROUND(NORMINV(RAND(),Coefficients!$B$20,Coefficients!$B$21),0))</f>
        <v>12</v>
      </c>
      <c r="D2804" s="0" t="n">
        <f aca="true">CRITBINOM($C2804,MIN(0.75,Matchup!$B$39*$B2804),RAND())</f>
        <v>5</v>
      </c>
      <c r="E2804" s="0" t="n">
        <f aca="true">CRITBINOM(D2804,Coefficients!$B$30,RAND())</f>
        <v>0</v>
      </c>
      <c r="F2804" s="0" t="n">
        <f aca="true">CRITBINOM(E2804,Coefficients!$B$31,RAND())</f>
        <v>0</v>
      </c>
      <c r="G2804" s="0" t="n">
        <f aca="true">CRITBINOM(MAX(0,D2804-E2804),1-Coefficients!$B$32,RAND())</f>
        <v>0</v>
      </c>
      <c r="H2804" s="0" t="n">
        <f aca="true">CRITBINOM(MAX(0,$C2804-D2804),MIN(0.6,Matchup!$B$40*SQRT($B2804)/(1-MIN(0.75,Matchup!$B$39*$B2804))),RAND())</f>
        <v>2</v>
      </c>
      <c r="I2804" s="0" t="n">
        <f aca="false">6*D2804+(D2804-E2804-G2804)+2*F2804+3*H2804</f>
        <v>41</v>
      </c>
      <c r="J2804" s="0" t="n">
        <f aca="true">CRITBINOM($C2804,MIN(0.75,Matchup!$C$39*$B2804),RAND())</f>
        <v>1</v>
      </c>
      <c r="K2804" s="0" t="n">
        <f aca="true">CRITBINOM(J2804,Coefficients!$B$30,RAND())</f>
        <v>1</v>
      </c>
      <c r="L2804" s="0" t="n">
        <f aca="true">CRITBINOM(K2804,Coefficients!$B$31,RAND())</f>
        <v>1</v>
      </c>
      <c r="M2804" s="0" t="n">
        <f aca="true">CRITBINOM(MAX(0,J2804-K2804),1-Coefficients!$B$32,RAND())</f>
        <v>0</v>
      </c>
      <c r="N2804" s="0" t="n">
        <f aca="true">CRITBINOM(MAX(0,$C2804-J2804),MIN(0.6,Matchup!$C$40*SQRT($B2804)/(1-MIN(0.75,Matchup!$C$39*$B2804))),RAND())</f>
        <v>1</v>
      </c>
      <c r="O2804" s="0" t="n">
        <f aca="false">6*J2804+(J2804-K2804-M2804)+2*L2804+3*N2804</f>
        <v>11</v>
      </c>
      <c r="P2804" s="0" t="n">
        <f aca="true">RAND()</f>
        <v>0.793700583241614</v>
      </c>
      <c r="Q2804" s="0" t="n">
        <f aca="true">RAND()</f>
        <v>0.530670691871855</v>
      </c>
      <c r="R2804" s="0" t="n">
        <f aca="false">IF($I2804&lt;&gt;$O2804,0,IF(P2804&lt;Matchup!$B$39,7,IF(P2804&lt;Matchup!$B$39+Matchup!$B$40,3,0)))</f>
        <v>0</v>
      </c>
      <c r="S2804" s="0" t="n">
        <f aca="false">IF($I2804&lt;&gt;$O2804,0,IF(Q2804&lt;Matchup!$C$39,7,IF(Q2804&lt;Matchup!$C$39+Matchup!$C$40,3,0)))</f>
        <v>0</v>
      </c>
      <c r="T2804" s="0" t="n">
        <f aca="false">I2804+R2804</f>
        <v>41</v>
      </c>
      <c r="U2804" s="0" t="n">
        <f aca="false">O2804+S2804</f>
        <v>11</v>
      </c>
      <c r="V2804" s="0" t="n">
        <f aca="false">T2804-U2804</f>
        <v>30</v>
      </c>
      <c r="W2804" s="0" t="n">
        <f aca="false">T2804+U2804</f>
        <v>52</v>
      </c>
    </row>
    <row r="2805" customFormat="false" ht="15" hidden="false" customHeight="false" outlineLevel="0" collapsed="false">
      <c r="A2805" s="0" t="n">
        <v>2802</v>
      </c>
      <c r="B2805" s="0" t="n">
        <f aca="true">NORMINV(RAND(),1,Coefficients!$B$22)</f>
        <v>0.826643145881602</v>
      </c>
      <c r="C2805" s="0" t="n">
        <f aca="true">MEDIAN(8,16,ROUND(NORMINV(RAND(),Coefficients!$B$20,Coefficients!$B$21),0))</f>
        <v>12</v>
      </c>
      <c r="D2805" s="0" t="n">
        <f aca="true">CRITBINOM($C2805,MIN(0.75,Matchup!$B$39*$B2805),RAND())</f>
        <v>4</v>
      </c>
      <c r="E2805" s="0" t="n">
        <f aca="true">CRITBINOM(D2805,Coefficients!$B$30,RAND())</f>
        <v>1</v>
      </c>
      <c r="F2805" s="0" t="n">
        <f aca="true">CRITBINOM(E2805,Coefficients!$B$31,RAND())</f>
        <v>0</v>
      </c>
      <c r="G2805" s="0" t="n">
        <f aca="true">CRITBINOM(MAX(0,D2805-E2805),1-Coefficients!$B$32,RAND())</f>
        <v>0</v>
      </c>
      <c r="H2805" s="0" t="n">
        <f aca="true">CRITBINOM(MAX(0,$C2805-D2805),MIN(0.6,Matchup!$B$40*SQRT($B2805)/(1-MIN(0.75,Matchup!$B$39*$B2805))),RAND())</f>
        <v>2</v>
      </c>
      <c r="I2805" s="0" t="n">
        <f aca="false">6*D2805+(D2805-E2805-G2805)+2*F2805+3*H2805</f>
        <v>33</v>
      </c>
      <c r="J2805" s="0" t="n">
        <f aca="true">CRITBINOM($C2805,MIN(0.75,Matchup!$C$39*$B2805),RAND())</f>
        <v>2</v>
      </c>
      <c r="K2805" s="0" t="n">
        <f aca="true">CRITBINOM(J2805,Coefficients!$B$30,RAND())</f>
        <v>0</v>
      </c>
      <c r="L2805" s="0" t="n">
        <f aca="true">CRITBINOM(K2805,Coefficients!$B$31,RAND())</f>
        <v>0</v>
      </c>
      <c r="M2805" s="0" t="n">
        <f aca="true">CRITBINOM(MAX(0,J2805-K2805),1-Coefficients!$B$32,RAND())</f>
        <v>1</v>
      </c>
      <c r="N2805" s="0" t="n">
        <f aca="true">CRITBINOM(MAX(0,$C2805-J2805),MIN(0.6,Matchup!$C$40*SQRT($B2805)/(1-MIN(0.75,Matchup!$C$39*$B2805))),RAND())</f>
        <v>2</v>
      </c>
      <c r="O2805" s="0" t="n">
        <f aca="false">6*J2805+(J2805-K2805-M2805)+2*L2805+3*N2805</f>
        <v>19</v>
      </c>
      <c r="P2805" s="0" t="n">
        <f aca="true">RAND()</f>
        <v>0.622011762717697</v>
      </c>
      <c r="Q2805" s="0" t="n">
        <f aca="true">RAND()</f>
        <v>0.389822338681763</v>
      </c>
      <c r="R2805" s="0" t="n">
        <f aca="false">IF($I2805&lt;&gt;$O2805,0,IF(P2805&lt;Matchup!$B$39,7,IF(P2805&lt;Matchup!$B$39+Matchup!$B$40,3,0)))</f>
        <v>0</v>
      </c>
      <c r="S2805" s="0" t="n">
        <f aca="false">IF($I2805&lt;&gt;$O2805,0,IF(Q2805&lt;Matchup!$C$39,7,IF(Q2805&lt;Matchup!$C$39+Matchup!$C$40,3,0)))</f>
        <v>0</v>
      </c>
      <c r="T2805" s="0" t="n">
        <f aca="false">I2805+R2805</f>
        <v>33</v>
      </c>
      <c r="U2805" s="0" t="n">
        <f aca="false">O2805+S2805</f>
        <v>19</v>
      </c>
      <c r="V2805" s="0" t="n">
        <f aca="false">T2805-U2805</f>
        <v>14</v>
      </c>
      <c r="W2805" s="0" t="n">
        <f aca="false">T2805+U2805</f>
        <v>52</v>
      </c>
    </row>
    <row r="2806" customFormat="false" ht="15" hidden="false" customHeight="false" outlineLevel="0" collapsed="false">
      <c r="A2806" s="0" t="n">
        <v>2803</v>
      </c>
      <c r="B2806" s="0" t="n">
        <f aca="true">NORMINV(RAND(),1,Coefficients!$B$22)</f>
        <v>1.04202257077095</v>
      </c>
      <c r="C2806" s="0" t="n">
        <f aca="true">MEDIAN(8,16,ROUND(NORMINV(RAND(),Coefficients!$B$20,Coefficients!$B$21),0))</f>
        <v>12</v>
      </c>
      <c r="D2806" s="0" t="n">
        <f aca="true">CRITBINOM($C2806,MIN(0.75,Matchup!$B$39*$B2806),RAND())</f>
        <v>4</v>
      </c>
      <c r="E2806" s="0" t="n">
        <f aca="true">CRITBINOM(D2806,Coefficients!$B$30,RAND())</f>
        <v>1</v>
      </c>
      <c r="F2806" s="0" t="n">
        <f aca="true">CRITBINOM(E2806,Coefficients!$B$31,RAND())</f>
        <v>0</v>
      </c>
      <c r="G2806" s="0" t="n">
        <f aca="true">CRITBINOM(MAX(0,D2806-E2806),1-Coefficients!$B$32,RAND())</f>
        <v>0</v>
      </c>
      <c r="H2806" s="0" t="n">
        <f aca="true">CRITBINOM(MAX(0,$C2806-D2806),MIN(0.6,Matchup!$B$40*SQRT($B2806)/(1-MIN(0.75,Matchup!$B$39*$B2806))),RAND())</f>
        <v>2</v>
      </c>
      <c r="I2806" s="0" t="n">
        <f aca="false">6*D2806+(D2806-E2806-G2806)+2*F2806+3*H2806</f>
        <v>33</v>
      </c>
      <c r="J2806" s="0" t="n">
        <f aca="true">CRITBINOM($C2806,MIN(0.75,Matchup!$C$39*$B2806),RAND())</f>
        <v>3</v>
      </c>
      <c r="K2806" s="0" t="n">
        <f aca="true">CRITBINOM(J2806,Coefficients!$B$30,RAND())</f>
        <v>1</v>
      </c>
      <c r="L2806" s="0" t="n">
        <f aca="true">CRITBINOM(K2806,Coefficients!$B$31,RAND())</f>
        <v>1</v>
      </c>
      <c r="M2806" s="0" t="n">
        <f aca="true">CRITBINOM(MAX(0,J2806-K2806),1-Coefficients!$B$32,RAND())</f>
        <v>0</v>
      </c>
      <c r="N2806" s="0" t="n">
        <f aca="true">CRITBINOM(MAX(0,$C2806-J2806),MIN(0.6,Matchup!$C$40*SQRT($B2806)/(1-MIN(0.75,Matchup!$C$39*$B2806))),RAND())</f>
        <v>5</v>
      </c>
      <c r="O2806" s="0" t="n">
        <f aca="false">6*J2806+(J2806-K2806-M2806)+2*L2806+3*N2806</f>
        <v>37</v>
      </c>
      <c r="P2806" s="0" t="n">
        <f aca="true">RAND()</f>
        <v>0.134828950334112</v>
      </c>
      <c r="Q2806" s="0" t="n">
        <f aca="true">RAND()</f>
        <v>0.221308803215914</v>
      </c>
      <c r="R2806" s="0" t="n">
        <f aca="false">IF($I2806&lt;&gt;$O2806,0,IF(P2806&lt;Matchup!$B$39,7,IF(P2806&lt;Matchup!$B$39+Matchup!$B$40,3,0)))</f>
        <v>0</v>
      </c>
      <c r="S2806" s="0" t="n">
        <f aca="false">IF($I2806&lt;&gt;$O2806,0,IF(Q2806&lt;Matchup!$C$39,7,IF(Q2806&lt;Matchup!$C$39+Matchup!$C$40,3,0)))</f>
        <v>0</v>
      </c>
      <c r="T2806" s="0" t="n">
        <f aca="false">I2806+R2806</f>
        <v>33</v>
      </c>
      <c r="U2806" s="0" t="n">
        <f aca="false">O2806+S2806</f>
        <v>37</v>
      </c>
      <c r="V2806" s="0" t="n">
        <f aca="false">T2806-U2806</f>
        <v>-4</v>
      </c>
      <c r="W2806" s="0" t="n">
        <f aca="false">T2806+U2806</f>
        <v>70</v>
      </c>
    </row>
    <row r="2807" customFormat="false" ht="15" hidden="false" customHeight="false" outlineLevel="0" collapsed="false">
      <c r="A2807" s="0" t="n">
        <v>2804</v>
      </c>
      <c r="B2807" s="0" t="n">
        <f aca="true">NORMINV(RAND(),1,Coefficients!$B$22)</f>
        <v>1.0162386178277</v>
      </c>
      <c r="C2807" s="0" t="n">
        <f aca="true">MEDIAN(8,16,ROUND(NORMINV(RAND(),Coefficients!$B$20,Coefficients!$B$21),0))</f>
        <v>10</v>
      </c>
      <c r="D2807" s="0" t="n">
        <f aca="true">CRITBINOM($C2807,MIN(0.75,Matchup!$B$39*$B2807),RAND())</f>
        <v>2</v>
      </c>
      <c r="E2807" s="0" t="n">
        <f aca="true">CRITBINOM(D2807,Coefficients!$B$30,RAND())</f>
        <v>0</v>
      </c>
      <c r="F2807" s="0" t="n">
        <f aca="true">CRITBINOM(E2807,Coefficients!$B$31,RAND())</f>
        <v>0</v>
      </c>
      <c r="G2807" s="0" t="n">
        <f aca="true">CRITBINOM(MAX(0,D2807-E2807),1-Coefficients!$B$32,RAND())</f>
        <v>0</v>
      </c>
      <c r="H2807" s="0" t="n">
        <f aca="true">CRITBINOM(MAX(0,$C2807-D2807),MIN(0.6,Matchup!$B$40*SQRT($B2807)/(1-MIN(0.75,Matchup!$B$39*$B2807))),RAND())</f>
        <v>3</v>
      </c>
      <c r="I2807" s="0" t="n">
        <f aca="false">6*D2807+(D2807-E2807-G2807)+2*F2807+3*H2807</f>
        <v>23</v>
      </c>
      <c r="J2807" s="0" t="n">
        <f aca="true">CRITBINOM($C2807,MIN(0.75,Matchup!$C$39*$B2807),RAND())</f>
        <v>2</v>
      </c>
      <c r="K2807" s="0" t="n">
        <f aca="true">CRITBINOM(J2807,Coefficients!$B$30,RAND())</f>
        <v>0</v>
      </c>
      <c r="L2807" s="0" t="n">
        <f aca="true">CRITBINOM(K2807,Coefficients!$B$31,RAND())</f>
        <v>0</v>
      </c>
      <c r="M2807" s="0" t="n">
        <f aca="true">CRITBINOM(MAX(0,J2807-K2807),1-Coefficients!$B$32,RAND())</f>
        <v>0</v>
      </c>
      <c r="N2807" s="0" t="n">
        <f aca="true">CRITBINOM(MAX(0,$C2807-J2807),MIN(0.6,Matchup!$C$40*SQRT($B2807)/(1-MIN(0.75,Matchup!$C$39*$B2807))),RAND())</f>
        <v>4</v>
      </c>
      <c r="O2807" s="0" t="n">
        <f aca="false">6*J2807+(J2807-K2807-M2807)+2*L2807+3*N2807</f>
        <v>26</v>
      </c>
      <c r="P2807" s="0" t="n">
        <f aca="true">RAND()</f>
        <v>0.543196082975795</v>
      </c>
      <c r="Q2807" s="0" t="n">
        <f aca="true">RAND()</f>
        <v>0.818855658841865</v>
      </c>
      <c r="R2807" s="0" t="n">
        <f aca="false">IF($I2807&lt;&gt;$O2807,0,IF(P2807&lt;Matchup!$B$39,7,IF(P2807&lt;Matchup!$B$39+Matchup!$B$40,3,0)))</f>
        <v>0</v>
      </c>
      <c r="S2807" s="0" t="n">
        <f aca="false">IF($I2807&lt;&gt;$O2807,0,IF(Q2807&lt;Matchup!$C$39,7,IF(Q2807&lt;Matchup!$C$39+Matchup!$C$40,3,0)))</f>
        <v>0</v>
      </c>
      <c r="T2807" s="0" t="n">
        <f aca="false">I2807+R2807</f>
        <v>23</v>
      </c>
      <c r="U2807" s="0" t="n">
        <f aca="false">O2807+S2807</f>
        <v>26</v>
      </c>
      <c r="V2807" s="0" t="n">
        <f aca="false">T2807-U2807</f>
        <v>-3</v>
      </c>
      <c r="W2807" s="0" t="n">
        <f aca="false">T2807+U2807</f>
        <v>49</v>
      </c>
    </row>
    <row r="2808" customFormat="false" ht="15" hidden="false" customHeight="false" outlineLevel="0" collapsed="false">
      <c r="A2808" s="0" t="n">
        <v>2805</v>
      </c>
      <c r="B2808" s="0" t="n">
        <f aca="true">NORMINV(RAND(),1,Coefficients!$B$22)</f>
        <v>0.856465407764627</v>
      </c>
      <c r="C2808" s="0" t="n">
        <f aca="true">MEDIAN(8,16,ROUND(NORMINV(RAND(),Coefficients!$B$20,Coefficients!$B$21),0))</f>
        <v>11</v>
      </c>
      <c r="D2808" s="0" t="n">
        <f aca="true">CRITBINOM($C2808,MIN(0.75,Matchup!$B$39*$B2808),RAND())</f>
        <v>5</v>
      </c>
      <c r="E2808" s="0" t="n">
        <f aca="true">CRITBINOM(D2808,Coefficients!$B$30,RAND())</f>
        <v>0</v>
      </c>
      <c r="F2808" s="0" t="n">
        <f aca="true">CRITBINOM(E2808,Coefficients!$B$31,RAND())</f>
        <v>0</v>
      </c>
      <c r="G2808" s="0" t="n">
        <f aca="true">CRITBINOM(MAX(0,D2808-E2808),1-Coefficients!$B$32,RAND())</f>
        <v>1</v>
      </c>
      <c r="H2808" s="0" t="n">
        <f aca="true">CRITBINOM(MAX(0,$C2808-D2808),MIN(0.6,Matchup!$B$40*SQRT($B2808)/(1-MIN(0.75,Matchup!$B$39*$B2808))),RAND())</f>
        <v>2</v>
      </c>
      <c r="I2808" s="0" t="n">
        <f aca="false">6*D2808+(D2808-E2808-G2808)+2*F2808+3*H2808</f>
        <v>40</v>
      </c>
      <c r="J2808" s="0" t="n">
        <f aca="true">CRITBINOM($C2808,MIN(0.75,Matchup!$C$39*$B2808),RAND())</f>
        <v>2</v>
      </c>
      <c r="K2808" s="0" t="n">
        <f aca="true">CRITBINOM(J2808,Coefficients!$B$30,RAND())</f>
        <v>0</v>
      </c>
      <c r="L2808" s="0" t="n">
        <f aca="true">CRITBINOM(K2808,Coefficients!$B$31,RAND())</f>
        <v>0</v>
      </c>
      <c r="M2808" s="0" t="n">
        <f aca="true">CRITBINOM(MAX(0,J2808-K2808),1-Coefficients!$B$32,RAND())</f>
        <v>0</v>
      </c>
      <c r="N2808" s="0" t="n">
        <f aca="true">CRITBINOM(MAX(0,$C2808-J2808),MIN(0.6,Matchup!$C$40*SQRT($B2808)/(1-MIN(0.75,Matchup!$C$39*$B2808))),RAND())</f>
        <v>3</v>
      </c>
      <c r="O2808" s="0" t="n">
        <f aca="false">6*J2808+(J2808-K2808-M2808)+2*L2808+3*N2808</f>
        <v>23</v>
      </c>
      <c r="P2808" s="0" t="n">
        <f aca="true">RAND()</f>
        <v>0.646547056150948</v>
      </c>
      <c r="Q2808" s="0" t="n">
        <f aca="true">RAND()</f>
        <v>0.0539391621291289</v>
      </c>
      <c r="R2808" s="0" t="n">
        <f aca="false">IF($I2808&lt;&gt;$O2808,0,IF(P2808&lt;Matchup!$B$39,7,IF(P2808&lt;Matchup!$B$39+Matchup!$B$40,3,0)))</f>
        <v>0</v>
      </c>
      <c r="S2808" s="0" t="n">
        <f aca="false">IF($I2808&lt;&gt;$O2808,0,IF(Q2808&lt;Matchup!$C$39,7,IF(Q2808&lt;Matchup!$C$39+Matchup!$C$40,3,0)))</f>
        <v>0</v>
      </c>
      <c r="T2808" s="0" t="n">
        <f aca="false">I2808+R2808</f>
        <v>40</v>
      </c>
      <c r="U2808" s="0" t="n">
        <f aca="false">O2808+S2808</f>
        <v>23</v>
      </c>
      <c r="V2808" s="0" t="n">
        <f aca="false">T2808-U2808</f>
        <v>17</v>
      </c>
      <c r="W2808" s="0" t="n">
        <f aca="false">T2808+U2808</f>
        <v>63</v>
      </c>
    </row>
    <row r="2809" customFormat="false" ht="15" hidden="false" customHeight="false" outlineLevel="0" collapsed="false">
      <c r="A2809" s="0" t="n">
        <v>2806</v>
      </c>
      <c r="B2809" s="0" t="n">
        <f aca="true">NORMINV(RAND(),1,Coefficients!$B$22)</f>
        <v>1.04397598996862</v>
      </c>
      <c r="C2809" s="0" t="n">
        <f aca="true">MEDIAN(8,16,ROUND(NORMINV(RAND(),Coefficients!$B$20,Coefficients!$B$21),0))</f>
        <v>11</v>
      </c>
      <c r="D2809" s="0" t="n">
        <f aca="true">CRITBINOM($C2809,MIN(0.75,Matchup!$B$39*$B2809),RAND())</f>
        <v>5</v>
      </c>
      <c r="E2809" s="0" t="n">
        <f aca="true">CRITBINOM(D2809,Coefficients!$B$30,RAND())</f>
        <v>0</v>
      </c>
      <c r="F2809" s="0" t="n">
        <f aca="true">CRITBINOM(E2809,Coefficients!$B$31,RAND())</f>
        <v>0</v>
      </c>
      <c r="G2809" s="0" t="n">
        <f aca="true">CRITBINOM(MAX(0,D2809-E2809),1-Coefficients!$B$32,RAND())</f>
        <v>0</v>
      </c>
      <c r="H2809" s="0" t="n">
        <f aca="true">CRITBINOM(MAX(0,$C2809-D2809),MIN(0.6,Matchup!$B$40*SQRT($B2809)/(1-MIN(0.75,Matchup!$B$39*$B2809))),RAND())</f>
        <v>2</v>
      </c>
      <c r="I2809" s="0" t="n">
        <f aca="false">6*D2809+(D2809-E2809-G2809)+2*F2809+3*H2809</f>
        <v>41</v>
      </c>
      <c r="J2809" s="0" t="n">
        <f aca="true">CRITBINOM($C2809,MIN(0.75,Matchup!$C$39*$B2809),RAND())</f>
        <v>0</v>
      </c>
      <c r="K2809" s="0" t="n">
        <f aca="true">CRITBINOM(J2809,Coefficients!$B$30,RAND())</f>
        <v>0</v>
      </c>
      <c r="L2809" s="0" t="n">
        <f aca="true">CRITBINOM(K2809,Coefficients!$B$31,RAND())</f>
        <v>0</v>
      </c>
      <c r="M2809" s="0" t="n">
        <f aca="true">CRITBINOM(MAX(0,J2809-K2809),1-Coefficients!$B$32,RAND())</f>
        <v>0</v>
      </c>
      <c r="N2809" s="0" t="n">
        <f aca="true">CRITBINOM(MAX(0,$C2809-J2809),MIN(0.6,Matchup!$C$40*SQRT($B2809)/(1-MIN(0.75,Matchup!$C$39*$B2809))),RAND())</f>
        <v>1</v>
      </c>
      <c r="O2809" s="0" t="n">
        <f aca="false">6*J2809+(J2809-K2809-M2809)+2*L2809+3*N2809</f>
        <v>3</v>
      </c>
      <c r="P2809" s="0" t="n">
        <f aca="true">RAND()</f>
        <v>0.329321432447423</v>
      </c>
      <c r="Q2809" s="0" t="n">
        <f aca="true">RAND()</f>
        <v>0.463186757799413</v>
      </c>
      <c r="R2809" s="0" t="n">
        <f aca="false">IF($I2809&lt;&gt;$O2809,0,IF(P2809&lt;Matchup!$B$39,7,IF(P2809&lt;Matchup!$B$39+Matchup!$B$40,3,0)))</f>
        <v>0</v>
      </c>
      <c r="S2809" s="0" t="n">
        <f aca="false">IF($I2809&lt;&gt;$O2809,0,IF(Q2809&lt;Matchup!$C$39,7,IF(Q2809&lt;Matchup!$C$39+Matchup!$C$40,3,0)))</f>
        <v>0</v>
      </c>
      <c r="T2809" s="0" t="n">
        <f aca="false">I2809+R2809</f>
        <v>41</v>
      </c>
      <c r="U2809" s="0" t="n">
        <f aca="false">O2809+S2809</f>
        <v>3</v>
      </c>
      <c r="V2809" s="0" t="n">
        <f aca="false">T2809-U2809</f>
        <v>38</v>
      </c>
      <c r="W2809" s="0" t="n">
        <f aca="false">T2809+U2809</f>
        <v>44</v>
      </c>
    </row>
    <row r="2810" customFormat="false" ht="15" hidden="false" customHeight="false" outlineLevel="0" collapsed="false">
      <c r="A2810" s="0" t="n">
        <v>2807</v>
      </c>
      <c r="B2810" s="0" t="n">
        <f aca="true">NORMINV(RAND(),1,Coefficients!$B$22)</f>
        <v>1.08536733955791</v>
      </c>
      <c r="C2810" s="0" t="n">
        <f aca="true">MEDIAN(8,16,ROUND(NORMINV(RAND(),Coefficients!$B$20,Coefficients!$B$21),0))</f>
        <v>11</v>
      </c>
      <c r="D2810" s="0" t="n">
        <f aca="true">CRITBINOM($C2810,MIN(0.75,Matchup!$B$39*$B2810),RAND())</f>
        <v>1</v>
      </c>
      <c r="E2810" s="0" t="n">
        <f aca="true">CRITBINOM(D2810,Coefficients!$B$30,RAND())</f>
        <v>0</v>
      </c>
      <c r="F2810" s="0" t="n">
        <f aca="true">CRITBINOM(E2810,Coefficients!$B$31,RAND())</f>
        <v>0</v>
      </c>
      <c r="G2810" s="0" t="n">
        <f aca="true">CRITBINOM(MAX(0,D2810-E2810),1-Coefficients!$B$32,RAND())</f>
        <v>1</v>
      </c>
      <c r="H2810" s="0" t="n">
        <f aca="true">CRITBINOM(MAX(0,$C2810-D2810),MIN(0.6,Matchup!$B$40*SQRT($B2810)/(1-MIN(0.75,Matchup!$B$39*$B2810))),RAND())</f>
        <v>3</v>
      </c>
      <c r="I2810" s="0" t="n">
        <f aca="false">6*D2810+(D2810-E2810-G2810)+2*F2810+3*H2810</f>
        <v>15</v>
      </c>
      <c r="J2810" s="0" t="n">
        <f aca="true">CRITBINOM($C2810,MIN(0.75,Matchup!$C$39*$B2810),RAND())</f>
        <v>2</v>
      </c>
      <c r="K2810" s="0" t="n">
        <f aca="true">CRITBINOM(J2810,Coefficients!$B$30,RAND())</f>
        <v>1</v>
      </c>
      <c r="L2810" s="0" t="n">
        <f aca="true">CRITBINOM(K2810,Coefficients!$B$31,RAND())</f>
        <v>1</v>
      </c>
      <c r="M2810" s="0" t="n">
        <f aca="true">CRITBINOM(MAX(0,J2810-K2810),1-Coefficients!$B$32,RAND())</f>
        <v>0</v>
      </c>
      <c r="N2810" s="0" t="n">
        <f aca="true">CRITBINOM(MAX(0,$C2810-J2810),MIN(0.6,Matchup!$C$40*SQRT($B2810)/(1-MIN(0.75,Matchup!$C$39*$B2810))),RAND())</f>
        <v>2</v>
      </c>
      <c r="O2810" s="0" t="n">
        <f aca="false">6*J2810+(J2810-K2810-M2810)+2*L2810+3*N2810</f>
        <v>21</v>
      </c>
      <c r="P2810" s="0" t="n">
        <f aca="true">RAND()</f>
        <v>0.149739899886305</v>
      </c>
      <c r="Q2810" s="0" t="n">
        <f aca="true">RAND()</f>
        <v>0.288076268177464</v>
      </c>
      <c r="R2810" s="0" t="n">
        <f aca="false">IF($I2810&lt;&gt;$O2810,0,IF(P2810&lt;Matchup!$B$39,7,IF(P2810&lt;Matchup!$B$39+Matchup!$B$40,3,0)))</f>
        <v>0</v>
      </c>
      <c r="S2810" s="0" t="n">
        <f aca="false">IF($I2810&lt;&gt;$O2810,0,IF(Q2810&lt;Matchup!$C$39,7,IF(Q2810&lt;Matchup!$C$39+Matchup!$C$40,3,0)))</f>
        <v>0</v>
      </c>
      <c r="T2810" s="0" t="n">
        <f aca="false">I2810+R2810</f>
        <v>15</v>
      </c>
      <c r="U2810" s="0" t="n">
        <f aca="false">O2810+S2810</f>
        <v>21</v>
      </c>
      <c r="V2810" s="0" t="n">
        <f aca="false">T2810-U2810</f>
        <v>-6</v>
      </c>
      <c r="W2810" s="0" t="n">
        <f aca="false">T2810+U2810</f>
        <v>36</v>
      </c>
    </row>
    <row r="2811" customFormat="false" ht="15" hidden="false" customHeight="false" outlineLevel="0" collapsed="false">
      <c r="A2811" s="0" t="n">
        <v>2808</v>
      </c>
      <c r="B2811" s="0" t="n">
        <f aca="true">NORMINV(RAND(),1,Coefficients!$B$22)</f>
        <v>1.04130474444139</v>
      </c>
      <c r="C2811" s="0" t="n">
        <f aca="true">MEDIAN(8,16,ROUND(NORMINV(RAND(),Coefficients!$B$20,Coefficients!$B$21),0))</f>
        <v>10</v>
      </c>
      <c r="D2811" s="0" t="n">
        <f aca="true">CRITBINOM($C2811,MIN(0.75,Matchup!$B$39*$B2811),RAND())</f>
        <v>2</v>
      </c>
      <c r="E2811" s="0" t="n">
        <f aca="true">CRITBINOM(D2811,Coefficients!$B$30,RAND())</f>
        <v>0</v>
      </c>
      <c r="F2811" s="0" t="n">
        <f aca="true">CRITBINOM(E2811,Coefficients!$B$31,RAND())</f>
        <v>0</v>
      </c>
      <c r="G2811" s="0" t="n">
        <f aca="true">CRITBINOM(MAX(0,D2811-E2811),1-Coefficients!$B$32,RAND())</f>
        <v>0</v>
      </c>
      <c r="H2811" s="0" t="n">
        <f aca="true">CRITBINOM(MAX(0,$C2811-D2811),MIN(0.6,Matchup!$B$40*SQRT($B2811)/(1-MIN(0.75,Matchup!$B$39*$B2811))),RAND())</f>
        <v>1</v>
      </c>
      <c r="I2811" s="0" t="n">
        <f aca="false">6*D2811+(D2811-E2811-G2811)+2*F2811+3*H2811</f>
        <v>17</v>
      </c>
      <c r="J2811" s="0" t="n">
        <f aca="true">CRITBINOM($C2811,MIN(0.75,Matchup!$C$39*$B2811),RAND())</f>
        <v>2</v>
      </c>
      <c r="K2811" s="0" t="n">
        <f aca="true">CRITBINOM(J2811,Coefficients!$B$30,RAND())</f>
        <v>0</v>
      </c>
      <c r="L2811" s="0" t="n">
        <f aca="true">CRITBINOM(K2811,Coefficients!$B$31,RAND())</f>
        <v>0</v>
      </c>
      <c r="M2811" s="0" t="n">
        <f aca="true">CRITBINOM(MAX(0,J2811-K2811),1-Coefficients!$B$32,RAND())</f>
        <v>0</v>
      </c>
      <c r="N2811" s="0" t="n">
        <f aca="true">CRITBINOM(MAX(0,$C2811-J2811),MIN(0.6,Matchup!$C$40*SQRT($B2811)/(1-MIN(0.75,Matchup!$C$39*$B2811))),RAND())</f>
        <v>1</v>
      </c>
      <c r="O2811" s="0" t="n">
        <f aca="false">6*J2811+(J2811-K2811-M2811)+2*L2811+3*N2811</f>
        <v>17</v>
      </c>
      <c r="P2811" s="0" t="n">
        <f aca="true">RAND()</f>
        <v>0.246757454245679</v>
      </c>
      <c r="Q2811" s="0" t="n">
        <f aca="true">RAND()</f>
        <v>0.891918249047059</v>
      </c>
      <c r="R2811" s="0" t="n">
        <f aca="false">IF($I2811&lt;&gt;$O2811,0,IF(P2811&lt;Matchup!$B$39,7,IF(P2811&lt;Matchup!$B$39+Matchup!$B$40,3,0)))</f>
        <v>7</v>
      </c>
      <c r="S2811" s="0" t="n">
        <f aca="false">IF($I2811&lt;&gt;$O2811,0,IF(Q2811&lt;Matchup!$C$39,7,IF(Q2811&lt;Matchup!$C$39+Matchup!$C$40,3,0)))</f>
        <v>0</v>
      </c>
      <c r="T2811" s="0" t="n">
        <f aca="false">I2811+R2811</f>
        <v>24</v>
      </c>
      <c r="U2811" s="0" t="n">
        <f aca="false">O2811+S2811</f>
        <v>17</v>
      </c>
      <c r="V2811" s="0" t="n">
        <f aca="false">T2811-U2811</f>
        <v>7</v>
      </c>
      <c r="W2811" s="0" t="n">
        <f aca="false">T2811+U2811</f>
        <v>41</v>
      </c>
    </row>
    <row r="2812" customFormat="false" ht="15" hidden="false" customHeight="false" outlineLevel="0" collapsed="false">
      <c r="A2812" s="0" t="n">
        <v>2809</v>
      </c>
      <c r="B2812" s="0" t="n">
        <f aca="true">NORMINV(RAND(),1,Coefficients!$B$22)</f>
        <v>1.06204222641163</v>
      </c>
      <c r="C2812" s="0" t="n">
        <f aca="true">MEDIAN(8,16,ROUND(NORMINV(RAND(),Coefficients!$B$20,Coefficients!$B$21),0))</f>
        <v>10</v>
      </c>
      <c r="D2812" s="0" t="n">
        <f aca="true">CRITBINOM($C2812,MIN(0.75,Matchup!$B$39*$B2812),RAND())</f>
        <v>0</v>
      </c>
      <c r="E2812" s="0" t="n">
        <f aca="true">CRITBINOM(D2812,Coefficients!$B$30,RAND())</f>
        <v>0</v>
      </c>
      <c r="F2812" s="0" t="n">
        <f aca="true">CRITBINOM(E2812,Coefficients!$B$31,RAND())</f>
        <v>0</v>
      </c>
      <c r="G2812" s="0" t="n">
        <f aca="true">CRITBINOM(MAX(0,D2812-E2812),1-Coefficients!$B$32,RAND())</f>
        <v>0</v>
      </c>
      <c r="H2812" s="0" t="n">
        <f aca="true">CRITBINOM(MAX(0,$C2812-D2812),MIN(0.6,Matchup!$B$40*SQRT($B2812)/(1-MIN(0.75,Matchup!$B$39*$B2812))),RAND())</f>
        <v>4</v>
      </c>
      <c r="I2812" s="0" t="n">
        <f aca="false">6*D2812+(D2812-E2812-G2812)+2*F2812+3*H2812</f>
        <v>12</v>
      </c>
      <c r="J2812" s="0" t="n">
        <f aca="true">CRITBINOM($C2812,MIN(0.75,Matchup!$C$39*$B2812),RAND())</f>
        <v>0</v>
      </c>
      <c r="K2812" s="0" t="n">
        <f aca="true">CRITBINOM(J2812,Coefficients!$B$30,RAND())</f>
        <v>0</v>
      </c>
      <c r="L2812" s="0" t="n">
        <f aca="true">CRITBINOM(K2812,Coefficients!$B$31,RAND())</f>
        <v>0</v>
      </c>
      <c r="M2812" s="0" t="n">
        <f aca="true">CRITBINOM(MAX(0,J2812-K2812),1-Coefficients!$B$32,RAND())</f>
        <v>0</v>
      </c>
      <c r="N2812" s="0" t="n">
        <f aca="true">CRITBINOM(MAX(0,$C2812-J2812),MIN(0.6,Matchup!$C$40*SQRT($B2812)/(1-MIN(0.75,Matchup!$C$39*$B2812))),RAND())</f>
        <v>3</v>
      </c>
      <c r="O2812" s="0" t="n">
        <f aca="false">6*J2812+(J2812-K2812-M2812)+2*L2812+3*N2812</f>
        <v>9</v>
      </c>
      <c r="P2812" s="0" t="n">
        <f aca="true">RAND()</f>
        <v>0.475609358646762</v>
      </c>
      <c r="Q2812" s="0" t="n">
        <f aca="true">RAND()</f>
        <v>0.864720147070717</v>
      </c>
      <c r="R2812" s="0" t="n">
        <f aca="false">IF($I2812&lt;&gt;$O2812,0,IF(P2812&lt;Matchup!$B$39,7,IF(P2812&lt;Matchup!$B$39+Matchup!$B$40,3,0)))</f>
        <v>0</v>
      </c>
      <c r="S2812" s="0" t="n">
        <f aca="false">IF($I2812&lt;&gt;$O2812,0,IF(Q2812&lt;Matchup!$C$39,7,IF(Q2812&lt;Matchup!$C$39+Matchup!$C$40,3,0)))</f>
        <v>0</v>
      </c>
      <c r="T2812" s="0" t="n">
        <f aca="false">I2812+R2812</f>
        <v>12</v>
      </c>
      <c r="U2812" s="0" t="n">
        <f aca="false">O2812+S2812</f>
        <v>9</v>
      </c>
      <c r="V2812" s="0" t="n">
        <f aca="false">T2812-U2812</f>
        <v>3</v>
      </c>
      <c r="W2812" s="0" t="n">
        <f aca="false">T2812+U2812</f>
        <v>21</v>
      </c>
    </row>
    <row r="2813" customFormat="false" ht="15" hidden="false" customHeight="false" outlineLevel="0" collapsed="false">
      <c r="A2813" s="0" t="n">
        <v>2810</v>
      </c>
      <c r="B2813" s="0" t="n">
        <f aca="true">NORMINV(RAND(),1,Coefficients!$B$22)</f>
        <v>0.958323009537261</v>
      </c>
      <c r="C2813" s="0" t="n">
        <f aca="true">MEDIAN(8,16,ROUND(NORMINV(RAND(),Coefficients!$B$20,Coefficients!$B$21),0))</f>
        <v>11</v>
      </c>
      <c r="D2813" s="0" t="n">
        <f aca="true">CRITBINOM($C2813,MIN(0.75,Matchup!$B$39*$B2813),RAND())</f>
        <v>3</v>
      </c>
      <c r="E2813" s="0" t="n">
        <f aca="true">CRITBINOM(D2813,Coefficients!$B$30,RAND())</f>
        <v>0</v>
      </c>
      <c r="F2813" s="0" t="n">
        <f aca="true">CRITBINOM(E2813,Coefficients!$B$31,RAND())</f>
        <v>0</v>
      </c>
      <c r="G2813" s="0" t="n">
        <f aca="true">CRITBINOM(MAX(0,D2813-E2813),1-Coefficients!$B$32,RAND())</f>
        <v>0</v>
      </c>
      <c r="H2813" s="0" t="n">
        <f aca="true">CRITBINOM(MAX(0,$C2813-D2813),MIN(0.6,Matchup!$B$40*SQRT($B2813)/(1-MIN(0.75,Matchup!$B$39*$B2813))),RAND())</f>
        <v>1</v>
      </c>
      <c r="I2813" s="0" t="n">
        <f aca="false">6*D2813+(D2813-E2813-G2813)+2*F2813+3*H2813</f>
        <v>24</v>
      </c>
      <c r="J2813" s="0" t="n">
        <f aca="true">CRITBINOM($C2813,MIN(0.75,Matchup!$C$39*$B2813),RAND())</f>
        <v>3</v>
      </c>
      <c r="K2813" s="0" t="n">
        <f aca="true">CRITBINOM(J2813,Coefficients!$B$30,RAND())</f>
        <v>1</v>
      </c>
      <c r="L2813" s="0" t="n">
        <f aca="true">CRITBINOM(K2813,Coefficients!$B$31,RAND())</f>
        <v>0</v>
      </c>
      <c r="M2813" s="0" t="n">
        <f aca="true">CRITBINOM(MAX(0,J2813-K2813),1-Coefficients!$B$32,RAND())</f>
        <v>0</v>
      </c>
      <c r="N2813" s="0" t="n">
        <f aca="true">CRITBINOM(MAX(0,$C2813-J2813),MIN(0.6,Matchup!$C$40*SQRT($B2813)/(1-MIN(0.75,Matchup!$C$39*$B2813))),RAND())</f>
        <v>2</v>
      </c>
      <c r="O2813" s="0" t="n">
        <f aca="false">6*J2813+(J2813-K2813-M2813)+2*L2813+3*N2813</f>
        <v>26</v>
      </c>
      <c r="P2813" s="0" t="n">
        <f aca="true">RAND()</f>
        <v>0.409651400494361</v>
      </c>
      <c r="Q2813" s="0" t="n">
        <f aca="true">RAND()</f>
        <v>0.618619065548465</v>
      </c>
      <c r="R2813" s="0" t="n">
        <f aca="false">IF($I2813&lt;&gt;$O2813,0,IF(P2813&lt;Matchup!$B$39,7,IF(P2813&lt;Matchup!$B$39+Matchup!$B$40,3,0)))</f>
        <v>0</v>
      </c>
      <c r="S2813" s="0" t="n">
        <f aca="false">IF($I2813&lt;&gt;$O2813,0,IF(Q2813&lt;Matchup!$C$39,7,IF(Q2813&lt;Matchup!$C$39+Matchup!$C$40,3,0)))</f>
        <v>0</v>
      </c>
      <c r="T2813" s="0" t="n">
        <f aca="false">I2813+R2813</f>
        <v>24</v>
      </c>
      <c r="U2813" s="0" t="n">
        <f aca="false">O2813+S2813</f>
        <v>26</v>
      </c>
      <c r="V2813" s="0" t="n">
        <f aca="false">T2813-U2813</f>
        <v>-2</v>
      </c>
      <c r="W2813" s="0" t="n">
        <f aca="false">T2813+U2813</f>
        <v>50</v>
      </c>
    </row>
    <row r="2814" customFormat="false" ht="15" hidden="false" customHeight="false" outlineLevel="0" collapsed="false">
      <c r="A2814" s="0" t="n">
        <v>2811</v>
      </c>
      <c r="B2814" s="0" t="n">
        <f aca="true">NORMINV(RAND(),1,Coefficients!$B$22)</f>
        <v>1.09455193046011</v>
      </c>
      <c r="C2814" s="0" t="n">
        <f aca="true">MEDIAN(8,16,ROUND(NORMINV(RAND(),Coefficients!$B$20,Coefficients!$B$21),0))</f>
        <v>10</v>
      </c>
      <c r="D2814" s="0" t="n">
        <f aca="true">CRITBINOM($C2814,MIN(0.75,Matchup!$B$39*$B2814),RAND())</f>
        <v>3</v>
      </c>
      <c r="E2814" s="0" t="n">
        <f aca="true">CRITBINOM(D2814,Coefficients!$B$30,RAND())</f>
        <v>0</v>
      </c>
      <c r="F2814" s="0" t="n">
        <f aca="true">CRITBINOM(E2814,Coefficients!$B$31,RAND())</f>
        <v>0</v>
      </c>
      <c r="G2814" s="0" t="n">
        <f aca="true">CRITBINOM(MAX(0,D2814-E2814),1-Coefficients!$B$32,RAND())</f>
        <v>0</v>
      </c>
      <c r="H2814" s="0" t="n">
        <f aca="true">CRITBINOM(MAX(0,$C2814-D2814),MIN(0.6,Matchup!$B$40*SQRT($B2814)/(1-MIN(0.75,Matchup!$B$39*$B2814))),RAND())</f>
        <v>3</v>
      </c>
      <c r="I2814" s="0" t="n">
        <f aca="false">6*D2814+(D2814-E2814-G2814)+2*F2814+3*H2814</f>
        <v>30</v>
      </c>
      <c r="J2814" s="0" t="n">
        <f aca="true">CRITBINOM($C2814,MIN(0.75,Matchup!$C$39*$B2814),RAND())</f>
        <v>3</v>
      </c>
      <c r="K2814" s="0" t="n">
        <f aca="true">CRITBINOM(J2814,Coefficients!$B$30,RAND())</f>
        <v>1</v>
      </c>
      <c r="L2814" s="0" t="n">
        <f aca="true">CRITBINOM(K2814,Coefficients!$B$31,RAND())</f>
        <v>1</v>
      </c>
      <c r="M2814" s="0" t="n">
        <f aca="true">CRITBINOM(MAX(0,J2814-K2814),1-Coefficients!$B$32,RAND())</f>
        <v>0</v>
      </c>
      <c r="N2814" s="0" t="n">
        <f aca="true">CRITBINOM(MAX(0,$C2814-J2814),MIN(0.6,Matchup!$C$40*SQRT($B2814)/(1-MIN(0.75,Matchup!$C$39*$B2814))),RAND())</f>
        <v>1</v>
      </c>
      <c r="O2814" s="0" t="n">
        <f aca="false">6*J2814+(J2814-K2814-M2814)+2*L2814+3*N2814</f>
        <v>25</v>
      </c>
      <c r="P2814" s="0" t="n">
        <f aca="true">RAND()</f>
        <v>0.292376375657492</v>
      </c>
      <c r="Q2814" s="0" t="n">
        <f aca="true">RAND()</f>
        <v>0.36379472272806</v>
      </c>
      <c r="R2814" s="0" t="n">
        <f aca="false">IF($I2814&lt;&gt;$O2814,0,IF(P2814&lt;Matchup!$B$39,7,IF(P2814&lt;Matchup!$B$39+Matchup!$B$40,3,0)))</f>
        <v>0</v>
      </c>
      <c r="S2814" s="0" t="n">
        <f aca="false">IF($I2814&lt;&gt;$O2814,0,IF(Q2814&lt;Matchup!$C$39,7,IF(Q2814&lt;Matchup!$C$39+Matchup!$C$40,3,0)))</f>
        <v>0</v>
      </c>
      <c r="T2814" s="0" t="n">
        <f aca="false">I2814+R2814</f>
        <v>30</v>
      </c>
      <c r="U2814" s="0" t="n">
        <f aca="false">O2814+S2814</f>
        <v>25</v>
      </c>
      <c r="V2814" s="0" t="n">
        <f aca="false">T2814-U2814</f>
        <v>5</v>
      </c>
      <c r="W2814" s="0" t="n">
        <f aca="false">T2814+U2814</f>
        <v>55</v>
      </c>
    </row>
    <row r="2815" customFormat="false" ht="15" hidden="false" customHeight="false" outlineLevel="0" collapsed="false">
      <c r="A2815" s="0" t="n">
        <v>2812</v>
      </c>
      <c r="B2815" s="0" t="n">
        <f aca="true">NORMINV(RAND(),1,Coefficients!$B$22)</f>
        <v>0.97863353456583</v>
      </c>
      <c r="C2815" s="0" t="n">
        <f aca="true">MEDIAN(8,16,ROUND(NORMINV(RAND(),Coefficients!$B$20,Coefficients!$B$21),0))</f>
        <v>13</v>
      </c>
      <c r="D2815" s="0" t="n">
        <f aca="true">CRITBINOM($C2815,MIN(0.75,Matchup!$B$39*$B2815),RAND())</f>
        <v>3</v>
      </c>
      <c r="E2815" s="0" t="n">
        <f aca="true">CRITBINOM(D2815,Coefficients!$B$30,RAND())</f>
        <v>0</v>
      </c>
      <c r="F2815" s="0" t="n">
        <f aca="true">CRITBINOM(E2815,Coefficients!$B$31,RAND())</f>
        <v>0</v>
      </c>
      <c r="G2815" s="0" t="n">
        <f aca="true">CRITBINOM(MAX(0,D2815-E2815),1-Coefficients!$B$32,RAND())</f>
        <v>0</v>
      </c>
      <c r="H2815" s="0" t="n">
        <f aca="true">CRITBINOM(MAX(0,$C2815-D2815),MIN(0.6,Matchup!$B$40*SQRT($B2815)/(1-MIN(0.75,Matchup!$B$39*$B2815))),RAND())</f>
        <v>1</v>
      </c>
      <c r="I2815" s="0" t="n">
        <f aca="false">6*D2815+(D2815-E2815-G2815)+2*F2815+3*H2815</f>
        <v>24</v>
      </c>
      <c r="J2815" s="0" t="n">
        <f aca="true">CRITBINOM($C2815,MIN(0.75,Matchup!$C$39*$B2815),RAND())</f>
        <v>1</v>
      </c>
      <c r="K2815" s="0" t="n">
        <f aca="true">CRITBINOM(J2815,Coefficients!$B$30,RAND())</f>
        <v>0</v>
      </c>
      <c r="L2815" s="0" t="n">
        <f aca="true">CRITBINOM(K2815,Coefficients!$B$31,RAND())</f>
        <v>0</v>
      </c>
      <c r="M2815" s="0" t="n">
        <f aca="true">CRITBINOM(MAX(0,J2815-K2815),1-Coefficients!$B$32,RAND())</f>
        <v>0</v>
      </c>
      <c r="N2815" s="0" t="n">
        <f aca="true">CRITBINOM(MAX(0,$C2815-J2815),MIN(0.6,Matchup!$C$40*SQRT($B2815)/(1-MIN(0.75,Matchup!$C$39*$B2815))),RAND())</f>
        <v>4</v>
      </c>
      <c r="O2815" s="0" t="n">
        <f aca="false">6*J2815+(J2815-K2815-M2815)+2*L2815+3*N2815</f>
        <v>19</v>
      </c>
      <c r="P2815" s="0" t="n">
        <f aca="true">RAND()</f>
        <v>0.425700616811645</v>
      </c>
      <c r="Q2815" s="0" t="n">
        <f aca="true">RAND()</f>
        <v>0.513574792809052</v>
      </c>
      <c r="R2815" s="0" t="n">
        <f aca="false">IF($I2815&lt;&gt;$O2815,0,IF(P2815&lt;Matchup!$B$39,7,IF(P2815&lt;Matchup!$B$39+Matchup!$B$40,3,0)))</f>
        <v>0</v>
      </c>
      <c r="S2815" s="0" t="n">
        <f aca="false">IF($I2815&lt;&gt;$O2815,0,IF(Q2815&lt;Matchup!$C$39,7,IF(Q2815&lt;Matchup!$C$39+Matchup!$C$40,3,0)))</f>
        <v>0</v>
      </c>
      <c r="T2815" s="0" t="n">
        <f aca="false">I2815+R2815</f>
        <v>24</v>
      </c>
      <c r="U2815" s="0" t="n">
        <f aca="false">O2815+S2815</f>
        <v>19</v>
      </c>
      <c r="V2815" s="0" t="n">
        <f aca="false">T2815-U2815</f>
        <v>5</v>
      </c>
      <c r="W2815" s="0" t="n">
        <f aca="false">T2815+U2815</f>
        <v>43</v>
      </c>
    </row>
    <row r="2816" customFormat="false" ht="15" hidden="false" customHeight="false" outlineLevel="0" collapsed="false">
      <c r="A2816" s="0" t="n">
        <v>2813</v>
      </c>
      <c r="B2816" s="0" t="n">
        <f aca="true">NORMINV(RAND(),1,Coefficients!$B$22)</f>
        <v>0.887192973644213</v>
      </c>
      <c r="C2816" s="0" t="n">
        <f aca="true">MEDIAN(8,16,ROUND(NORMINV(RAND(),Coefficients!$B$20,Coefficients!$B$21),0))</f>
        <v>13</v>
      </c>
      <c r="D2816" s="0" t="n">
        <f aca="true">CRITBINOM($C2816,MIN(0.75,Matchup!$B$39*$B2816),RAND())</f>
        <v>4</v>
      </c>
      <c r="E2816" s="0" t="n">
        <f aca="true">CRITBINOM(D2816,Coefficients!$B$30,RAND())</f>
        <v>0</v>
      </c>
      <c r="F2816" s="0" t="n">
        <f aca="true">CRITBINOM(E2816,Coefficients!$B$31,RAND())</f>
        <v>0</v>
      </c>
      <c r="G2816" s="0" t="n">
        <f aca="true">CRITBINOM(MAX(0,D2816-E2816),1-Coefficients!$B$32,RAND())</f>
        <v>0</v>
      </c>
      <c r="H2816" s="0" t="n">
        <f aca="true">CRITBINOM(MAX(0,$C2816-D2816),MIN(0.6,Matchup!$B$40*SQRT($B2816)/(1-MIN(0.75,Matchup!$B$39*$B2816))),RAND())</f>
        <v>1</v>
      </c>
      <c r="I2816" s="0" t="n">
        <f aca="false">6*D2816+(D2816-E2816-G2816)+2*F2816+3*H2816</f>
        <v>31</v>
      </c>
      <c r="J2816" s="0" t="n">
        <f aca="true">CRITBINOM($C2816,MIN(0.75,Matchup!$C$39*$B2816),RAND())</f>
        <v>3</v>
      </c>
      <c r="K2816" s="0" t="n">
        <f aca="true">CRITBINOM(J2816,Coefficients!$B$30,RAND())</f>
        <v>1</v>
      </c>
      <c r="L2816" s="0" t="n">
        <f aca="true">CRITBINOM(K2816,Coefficients!$B$31,RAND())</f>
        <v>1</v>
      </c>
      <c r="M2816" s="0" t="n">
        <f aca="true">CRITBINOM(MAX(0,J2816-K2816),1-Coefficients!$B$32,RAND())</f>
        <v>0</v>
      </c>
      <c r="N2816" s="0" t="n">
        <f aca="true">CRITBINOM(MAX(0,$C2816-J2816),MIN(0.6,Matchup!$C$40*SQRT($B2816)/(1-MIN(0.75,Matchup!$C$39*$B2816))),RAND())</f>
        <v>2</v>
      </c>
      <c r="O2816" s="0" t="n">
        <f aca="false">6*J2816+(J2816-K2816-M2816)+2*L2816+3*N2816</f>
        <v>28</v>
      </c>
      <c r="P2816" s="0" t="n">
        <f aca="true">RAND()</f>
        <v>0.226921532213205</v>
      </c>
      <c r="Q2816" s="0" t="n">
        <f aca="true">RAND()</f>
        <v>0.851916056472404</v>
      </c>
      <c r="R2816" s="0" t="n">
        <f aca="false">IF($I2816&lt;&gt;$O2816,0,IF(P2816&lt;Matchup!$B$39,7,IF(P2816&lt;Matchup!$B$39+Matchup!$B$40,3,0)))</f>
        <v>0</v>
      </c>
      <c r="S2816" s="0" t="n">
        <f aca="false">IF($I2816&lt;&gt;$O2816,0,IF(Q2816&lt;Matchup!$C$39,7,IF(Q2816&lt;Matchup!$C$39+Matchup!$C$40,3,0)))</f>
        <v>0</v>
      </c>
      <c r="T2816" s="0" t="n">
        <f aca="false">I2816+R2816</f>
        <v>31</v>
      </c>
      <c r="U2816" s="0" t="n">
        <f aca="false">O2816+S2816</f>
        <v>28</v>
      </c>
      <c r="V2816" s="0" t="n">
        <f aca="false">T2816-U2816</f>
        <v>3</v>
      </c>
      <c r="W2816" s="0" t="n">
        <f aca="false">T2816+U2816</f>
        <v>59</v>
      </c>
    </row>
    <row r="2817" customFormat="false" ht="15" hidden="false" customHeight="false" outlineLevel="0" collapsed="false">
      <c r="A2817" s="0" t="n">
        <v>2814</v>
      </c>
      <c r="B2817" s="0" t="n">
        <f aca="true">NORMINV(RAND(),1,Coefficients!$B$22)</f>
        <v>1.00413866530301</v>
      </c>
      <c r="C2817" s="0" t="n">
        <f aca="true">MEDIAN(8,16,ROUND(NORMINV(RAND(),Coefficients!$B$20,Coefficients!$B$21),0))</f>
        <v>12</v>
      </c>
      <c r="D2817" s="0" t="n">
        <f aca="true">CRITBINOM($C2817,MIN(0.75,Matchup!$B$39*$B2817),RAND())</f>
        <v>4</v>
      </c>
      <c r="E2817" s="0" t="n">
        <f aca="true">CRITBINOM(D2817,Coefficients!$B$30,RAND())</f>
        <v>0</v>
      </c>
      <c r="F2817" s="0" t="n">
        <f aca="true">CRITBINOM(E2817,Coefficients!$B$31,RAND())</f>
        <v>0</v>
      </c>
      <c r="G2817" s="0" t="n">
        <f aca="true">CRITBINOM(MAX(0,D2817-E2817),1-Coefficients!$B$32,RAND())</f>
        <v>1</v>
      </c>
      <c r="H2817" s="0" t="n">
        <f aca="true">CRITBINOM(MAX(0,$C2817-D2817),MIN(0.6,Matchup!$B$40*SQRT($B2817)/(1-MIN(0.75,Matchup!$B$39*$B2817))),RAND())</f>
        <v>0</v>
      </c>
      <c r="I2817" s="0" t="n">
        <f aca="false">6*D2817+(D2817-E2817-G2817)+2*F2817+3*H2817</f>
        <v>27</v>
      </c>
      <c r="J2817" s="0" t="n">
        <f aca="true">CRITBINOM($C2817,MIN(0.75,Matchup!$C$39*$B2817),RAND())</f>
        <v>3</v>
      </c>
      <c r="K2817" s="0" t="n">
        <f aca="true">CRITBINOM(J2817,Coefficients!$B$30,RAND())</f>
        <v>0</v>
      </c>
      <c r="L2817" s="0" t="n">
        <f aca="true">CRITBINOM(K2817,Coefficients!$B$31,RAND())</f>
        <v>0</v>
      </c>
      <c r="M2817" s="0" t="n">
        <f aca="true">CRITBINOM(MAX(0,J2817-K2817),1-Coefficients!$B$32,RAND())</f>
        <v>0</v>
      </c>
      <c r="N2817" s="0" t="n">
        <f aca="true">CRITBINOM(MAX(0,$C2817-J2817),MIN(0.6,Matchup!$C$40*SQRT($B2817)/(1-MIN(0.75,Matchup!$C$39*$B2817))),RAND())</f>
        <v>2</v>
      </c>
      <c r="O2817" s="0" t="n">
        <f aca="false">6*J2817+(J2817-K2817-M2817)+2*L2817+3*N2817</f>
        <v>27</v>
      </c>
      <c r="P2817" s="0" t="n">
        <f aca="true">RAND()</f>
        <v>0.093254303335086</v>
      </c>
      <c r="Q2817" s="0" t="n">
        <f aca="true">RAND()</f>
        <v>0.0826380648328726</v>
      </c>
      <c r="R2817" s="0" t="n">
        <f aca="false">IF($I2817&lt;&gt;$O2817,0,IF(P2817&lt;Matchup!$B$39,7,IF(P2817&lt;Matchup!$B$39+Matchup!$B$40,3,0)))</f>
        <v>7</v>
      </c>
      <c r="S2817" s="0" t="n">
        <f aca="false">IF($I2817&lt;&gt;$O2817,0,IF(Q2817&lt;Matchup!$C$39,7,IF(Q2817&lt;Matchup!$C$39+Matchup!$C$40,3,0)))</f>
        <v>7</v>
      </c>
      <c r="T2817" s="0" t="n">
        <f aca="false">I2817+R2817</f>
        <v>34</v>
      </c>
      <c r="U2817" s="0" t="n">
        <f aca="false">O2817+S2817</f>
        <v>34</v>
      </c>
      <c r="V2817" s="0" t="n">
        <f aca="false">T2817-U2817</f>
        <v>0</v>
      </c>
      <c r="W2817" s="0" t="n">
        <f aca="false">T2817+U2817</f>
        <v>68</v>
      </c>
    </row>
    <row r="2818" customFormat="false" ht="15" hidden="false" customHeight="false" outlineLevel="0" collapsed="false">
      <c r="A2818" s="0" t="n">
        <v>2815</v>
      </c>
      <c r="B2818" s="0" t="n">
        <f aca="true">NORMINV(RAND(),1,Coefficients!$B$22)</f>
        <v>0.972484977475449</v>
      </c>
      <c r="C2818" s="0" t="n">
        <f aca="true">MEDIAN(8,16,ROUND(NORMINV(RAND(),Coefficients!$B$20,Coefficients!$B$21),0))</f>
        <v>12</v>
      </c>
      <c r="D2818" s="0" t="n">
        <f aca="true">CRITBINOM($C2818,MIN(0.75,Matchup!$B$39*$B2818),RAND())</f>
        <v>5</v>
      </c>
      <c r="E2818" s="0" t="n">
        <f aca="true">CRITBINOM(D2818,Coefficients!$B$30,RAND())</f>
        <v>0</v>
      </c>
      <c r="F2818" s="0" t="n">
        <f aca="true">CRITBINOM(E2818,Coefficients!$B$31,RAND())</f>
        <v>0</v>
      </c>
      <c r="G2818" s="0" t="n">
        <f aca="true">CRITBINOM(MAX(0,D2818-E2818),1-Coefficients!$B$32,RAND())</f>
        <v>0</v>
      </c>
      <c r="H2818" s="0" t="n">
        <f aca="true">CRITBINOM(MAX(0,$C2818-D2818),MIN(0.6,Matchup!$B$40*SQRT($B2818)/(1-MIN(0.75,Matchup!$B$39*$B2818))),RAND())</f>
        <v>1</v>
      </c>
      <c r="I2818" s="0" t="n">
        <f aca="false">6*D2818+(D2818-E2818-G2818)+2*F2818+3*H2818</f>
        <v>38</v>
      </c>
      <c r="J2818" s="0" t="n">
        <f aca="true">CRITBINOM($C2818,MIN(0.75,Matchup!$C$39*$B2818),RAND())</f>
        <v>3</v>
      </c>
      <c r="K2818" s="0" t="n">
        <f aca="true">CRITBINOM(J2818,Coefficients!$B$30,RAND())</f>
        <v>0</v>
      </c>
      <c r="L2818" s="0" t="n">
        <f aca="true">CRITBINOM(K2818,Coefficients!$B$31,RAND())</f>
        <v>0</v>
      </c>
      <c r="M2818" s="0" t="n">
        <f aca="true">CRITBINOM(MAX(0,J2818-K2818),1-Coefficients!$B$32,RAND())</f>
        <v>0</v>
      </c>
      <c r="N2818" s="0" t="n">
        <f aca="true">CRITBINOM(MAX(0,$C2818-J2818),MIN(0.6,Matchup!$C$40*SQRT($B2818)/(1-MIN(0.75,Matchup!$C$39*$B2818))),RAND())</f>
        <v>0</v>
      </c>
      <c r="O2818" s="0" t="n">
        <f aca="false">6*J2818+(J2818-K2818-M2818)+2*L2818+3*N2818</f>
        <v>21</v>
      </c>
      <c r="P2818" s="0" t="n">
        <f aca="true">RAND()</f>
        <v>0.70717950819982</v>
      </c>
      <c r="Q2818" s="0" t="n">
        <f aca="true">RAND()</f>
        <v>0.179259048401868</v>
      </c>
      <c r="R2818" s="0" t="n">
        <f aca="false">IF($I2818&lt;&gt;$O2818,0,IF(P2818&lt;Matchup!$B$39,7,IF(P2818&lt;Matchup!$B$39+Matchup!$B$40,3,0)))</f>
        <v>0</v>
      </c>
      <c r="S2818" s="0" t="n">
        <f aca="false">IF($I2818&lt;&gt;$O2818,0,IF(Q2818&lt;Matchup!$C$39,7,IF(Q2818&lt;Matchup!$C$39+Matchup!$C$40,3,0)))</f>
        <v>0</v>
      </c>
      <c r="T2818" s="0" t="n">
        <f aca="false">I2818+R2818</f>
        <v>38</v>
      </c>
      <c r="U2818" s="0" t="n">
        <f aca="false">O2818+S2818</f>
        <v>21</v>
      </c>
      <c r="V2818" s="0" t="n">
        <f aca="false">T2818-U2818</f>
        <v>17</v>
      </c>
      <c r="W2818" s="0" t="n">
        <f aca="false">T2818+U2818</f>
        <v>59</v>
      </c>
    </row>
    <row r="2819" customFormat="false" ht="15" hidden="false" customHeight="false" outlineLevel="0" collapsed="false">
      <c r="A2819" s="0" t="n">
        <v>2816</v>
      </c>
      <c r="B2819" s="0" t="n">
        <f aca="true">NORMINV(RAND(),1,Coefficients!$B$22)</f>
        <v>1.02808149318063</v>
      </c>
      <c r="C2819" s="0" t="n">
        <f aca="true">MEDIAN(8,16,ROUND(NORMINV(RAND(),Coefficients!$B$20,Coefficients!$B$21),0))</f>
        <v>12</v>
      </c>
      <c r="D2819" s="0" t="n">
        <f aca="true">CRITBINOM($C2819,MIN(0.75,Matchup!$B$39*$B2819),RAND())</f>
        <v>3</v>
      </c>
      <c r="E2819" s="0" t="n">
        <f aca="true">CRITBINOM(D2819,Coefficients!$B$30,RAND())</f>
        <v>1</v>
      </c>
      <c r="F2819" s="0" t="n">
        <f aca="true">CRITBINOM(E2819,Coefficients!$B$31,RAND())</f>
        <v>0</v>
      </c>
      <c r="G2819" s="0" t="n">
        <f aca="true">CRITBINOM(MAX(0,D2819-E2819),1-Coefficients!$B$32,RAND())</f>
        <v>0</v>
      </c>
      <c r="H2819" s="0" t="n">
        <f aca="true">CRITBINOM(MAX(0,$C2819-D2819),MIN(0.6,Matchup!$B$40*SQRT($B2819)/(1-MIN(0.75,Matchup!$B$39*$B2819))),RAND())</f>
        <v>0</v>
      </c>
      <c r="I2819" s="0" t="n">
        <f aca="false">6*D2819+(D2819-E2819-G2819)+2*F2819+3*H2819</f>
        <v>20</v>
      </c>
      <c r="J2819" s="0" t="n">
        <f aca="true">CRITBINOM($C2819,MIN(0.75,Matchup!$C$39*$B2819),RAND())</f>
        <v>3</v>
      </c>
      <c r="K2819" s="0" t="n">
        <f aca="true">CRITBINOM(J2819,Coefficients!$B$30,RAND())</f>
        <v>1</v>
      </c>
      <c r="L2819" s="0" t="n">
        <f aca="true">CRITBINOM(K2819,Coefficients!$B$31,RAND())</f>
        <v>0</v>
      </c>
      <c r="M2819" s="0" t="n">
        <f aca="true">CRITBINOM(MAX(0,J2819-K2819),1-Coefficients!$B$32,RAND())</f>
        <v>0</v>
      </c>
      <c r="N2819" s="0" t="n">
        <f aca="true">CRITBINOM(MAX(0,$C2819-J2819),MIN(0.6,Matchup!$C$40*SQRT($B2819)/(1-MIN(0.75,Matchup!$C$39*$B2819))),RAND())</f>
        <v>0</v>
      </c>
      <c r="O2819" s="0" t="n">
        <f aca="false">6*J2819+(J2819-K2819-M2819)+2*L2819+3*N2819</f>
        <v>20</v>
      </c>
      <c r="P2819" s="0" t="n">
        <f aca="true">RAND()</f>
        <v>0.00712912310138929</v>
      </c>
      <c r="Q2819" s="0" t="n">
        <f aca="true">RAND()</f>
        <v>0.151976562342368</v>
      </c>
      <c r="R2819" s="0" t="n">
        <f aca="false">IF($I2819&lt;&gt;$O2819,0,IF(P2819&lt;Matchup!$B$39,7,IF(P2819&lt;Matchup!$B$39+Matchup!$B$40,3,0)))</f>
        <v>7</v>
      </c>
      <c r="S2819" s="0" t="n">
        <f aca="false">IF($I2819&lt;&gt;$O2819,0,IF(Q2819&lt;Matchup!$C$39,7,IF(Q2819&lt;Matchup!$C$39+Matchup!$C$40,3,0)))</f>
        <v>7</v>
      </c>
      <c r="T2819" s="0" t="n">
        <f aca="false">I2819+R2819</f>
        <v>27</v>
      </c>
      <c r="U2819" s="0" t="n">
        <f aca="false">O2819+S2819</f>
        <v>27</v>
      </c>
      <c r="V2819" s="0" t="n">
        <f aca="false">T2819-U2819</f>
        <v>0</v>
      </c>
      <c r="W2819" s="0" t="n">
        <f aca="false">T2819+U2819</f>
        <v>54</v>
      </c>
    </row>
    <row r="2820" customFormat="false" ht="15" hidden="false" customHeight="false" outlineLevel="0" collapsed="false">
      <c r="A2820" s="0" t="n">
        <v>2817</v>
      </c>
      <c r="B2820" s="0" t="n">
        <f aca="true">NORMINV(RAND(),1,Coefficients!$B$22)</f>
        <v>1.10662694118049</v>
      </c>
      <c r="C2820" s="0" t="n">
        <f aca="true">MEDIAN(8,16,ROUND(NORMINV(RAND(),Coefficients!$B$20,Coefficients!$B$21),0))</f>
        <v>12</v>
      </c>
      <c r="D2820" s="0" t="n">
        <f aca="true">CRITBINOM($C2820,MIN(0.75,Matchup!$B$39*$B2820),RAND())</f>
        <v>4</v>
      </c>
      <c r="E2820" s="0" t="n">
        <f aca="true">CRITBINOM(D2820,Coefficients!$B$30,RAND())</f>
        <v>0</v>
      </c>
      <c r="F2820" s="0" t="n">
        <f aca="true">CRITBINOM(E2820,Coefficients!$B$31,RAND())</f>
        <v>0</v>
      </c>
      <c r="G2820" s="0" t="n">
        <f aca="true">CRITBINOM(MAX(0,D2820-E2820),1-Coefficients!$B$32,RAND())</f>
        <v>0</v>
      </c>
      <c r="H2820" s="0" t="n">
        <f aca="true">CRITBINOM(MAX(0,$C2820-D2820),MIN(0.6,Matchup!$B$40*SQRT($B2820)/(1-MIN(0.75,Matchup!$B$39*$B2820))),RAND())</f>
        <v>3</v>
      </c>
      <c r="I2820" s="0" t="n">
        <f aca="false">6*D2820+(D2820-E2820-G2820)+2*F2820+3*H2820</f>
        <v>37</v>
      </c>
      <c r="J2820" s="0" t="n">
        <f aca="true">CRITBINOM($C2820,MIN(0.75,Matchup!$C$39*$B2820),RAND())</f>
        <v>2</v>
      </c>
      <c r="K2820" s="0" t="n">
        <f aca="true">CRITBINOM(J2820,Coefficients!$B$30,RAND())</f>
        <v>0</v>
      </c>
      <c r="L2820" s="0" t="n">
        <f aca="true">CRITBINOM(K2820,Coefficients!$B$31,RAND())</f>
        <v>0</v>
      </c>
      <c r="M2820" s="0" t="n">
        <f aca="true">CRITBINOM(MAX(0,J2820-K2820),1-Coefficients!$B$32,RAND())</f>
        <v>0</v>
      </c>
      <c r="N2820" s="0" t="n">
        <f aca="true">CRITBINOM(MAX(0,$C2820-J2820),MIN(0.6,Matchup!$C$40*SQRT($B2820)/(1-MIN(0.75,Matchup!$C$39*$B2820))),RAND())</f>
        <v>2</v>
      </c>
      <c r="O2820" s="0" t="n">
        <f aca="false">6*J2820+(J2820-K2820-M2820)+2*L2820+3*N2820</f>
        <v>20</v>
      </c>
      <c r="P2820" s="0" t="n">
        <f aca="true">RAND()</f>
        <v>0.297585002949897</v>
      </c>
      <c r="Q2820" s="0" t="n">
        <f aca="true">RAND()</f>
        <v>0.740404956248931</v>
      </c>
      <c r="R2820" s="0" t="n">
        <f aca="false">IF($I2820&lt;&gt;$O2820,0,IF(P2820&lt;Matchup!$B$39,7,IF(P2820&lt;Matchup!$B$39+Matchup!$B$40,3,0)))</f>
        <v>0</v>
      </c>
      <c r="S2820" s="0" t="n">
        <f aca="false">IF($I2820&lt;&gt;$O2820,0,IF(Q2820&lt;Matchup!$C$39,7,IF(Q2820&lt;Matchup!$C$39+Matchup!$C$40,3,0)))</f>
        <v>0</v>
      </c>
      <c r="T2820" s="0" t="n">
        <f aca="false">I2820+R2820</f>
        <v>37</v>
      </c>
      <c r="U2820" s="0" t="n">
        <f aca="false">O2820+S2820</f>
        <v>20</v>
      </c>
      <c r="V2820" s="0" t="n">
        <f aca="false">T2820-U2820</f>
        <v>17</v>
      </c>
      <c r="W2820" s="0" t="n">
        <f aca="false">T2820+U2820</f>
        <v>57</v>
      </c>
    </row>
    <row r="2821" customFormat="false" ht="15" hidden="false" customHeight="false" outlineLevel="0" collapsed="false">
      <c r="A2821" s="0" t="n">
        <v>2818</v>
      </c>
      <c r="B2821" s="0" t="n">
        <f aca="true">NORMINV(RAND(),1,Coefficients!$B$22)</f>
        <v>1.06095499394667</v>
      </c>
      <c r="C2821" s="0" t="n">
        <f aca="true">MEDIAN(8,16,ROUND(NORMINV(RAND(),Coefficients!$B$20,Coefficients!$B$21),0))</f>
        <v>11</v>
      </c>
      <c r="D2821" s="0" t="n">
        <f aca="true">CRITBINOM($C2821,MIN(0.75,Matchup!$B$39*$B2821),RAND())</f>
        <v>1</v>
      </c>
      <c r="E2821" s="0" t="n">
        <f aca="true">CRITBINOM(D2821,Coefficients!$B$30,RAND())</f>
        <v>0</v>
      </c>
      <c r="F2821" s="0" t="n">
        <f aca="true">CRITBINOM(E2821,Coefficients!$B$31,RAND())</f>
        <v>0</v>
      </c>
      <c r="G2821" s="0" t="n">
        <f aca="true">CRITBINOM(MAX(0,D2821-E2821),1-Coefficients!$B$32,RAND())</f>
        <v>0</v>
      </c>
      <c r="H2821" s="0" t="n">
        <f aca="true">CRITBINOM(MAX(0,$C2821-D2821),MIN(0.6,Matchup!$B$40*SQRT($B2821)/(1-MIN(0.75,Matchup!$B$39*$B2821))),RAND())</f>
        <v>0</v>
      </c>
      <c r="I2821" s="0" t="n">
        <f aca="false">6*D2821+(D2821-E2821-G2821)+2*F2821+3*H2821</f>
        <v>7</v>
      </c>
      <c r="J2821" s="0" t="n">
        <f aca="true">CRITBINOM($C2821,MIN(0.75,Matchup!$C$39*$B2821),RAND())</f>
        <v>2</v>
      </c>
      <c r="K2821" s="0" t="n">
        <f aca="true">CRITBINOM(J2821,Coefficients!$B$30,RAND())</f>
        <v>0</v>
      </c>
      <c r="L2821" s="0" t="n">
        <f aca="true">CRITBINOM(K2821,Coefficients!$B$31,RAND())</f>
        <v>0</v>
      </c>
      <c r="M2821" s="0" t="n">
        <f aca="true">CRITBINOM(MAX(0,J2821-K2821),1-Coefficients!$B$32,RAND())</f>
        <v>0</v>
      </c>
      <c r="N2821" s="0" t="n">
        <f aca="true">CRITBINOM(MAX(0,$C2821-J2821),MIN(0.6,Matchup!$C$40*SQRT($B2821)/(1-MIN(0.75,Matchup!$C$39*$B2821))),RAND())</f>
        <v>4</v>
      </c>
      <c r="O2821" s="0" t="n">
        <f aca="false">6*J2821+(J2821-K2821-M2821)+2*L2821+3*N2821</f>
        <v>26</v>
      </c>
      <c r="P2821" s="0" t="n">
        <f aca="true">RAND()</f>
        <v>0.563338494829189</v>
      </c>
      <c r="Q2821" s="0" t="n">
        <f aca="true">RAND()</f>
        <v>0.593171430491826</v>
      </c>
      <c r="R2821" s="0" t="n">
        <f aca="false">IF($I2821&lt;&gt;$O2821,0,IF(P2821&lt;Matchup!$B$39,7,IF(P2821&lt;Matchup!$B$39+Matchup!$B$40,3,0)))</f>
        <v>0</v>
      </c>
      <c r="S2821" s="0" t="n">
        <f aca="false">IF($I2821&lt;&gt;$O2821,0,IF(Q2821&lt;Matchup!$C$39,7,IF(Q2821&lt;Matchup!$C$39+Matchup!$C$40,3,0)))</f>
        <v>0</v>
      </c>
      <c r="T2821" s="0" t="n">
        <f aca="false">I2821+R2821</f>
        <v>7</v>
      </c>
      <c r="U2821" s="0" t="n">
        <f aca="false">O2821+S2821</f>
        <v>26</v>
      </c>
      <c r="V2821" s="0" t="n">
        <f aca="false">T2821-U2821</f>
        <v>-19</v>
      </c>
      <c r="W2821" s="0" t="n">
        <f aca="false">T2821+U2821</f>
        <v>33</v>
      </c>
    </row>
    <row r="2822" customFormat="false" ht="15" hidden="false" customHeight="false" outlineLevel="0" collapsed="false">
      <c r="A2822" s="0" t="n">
        <v>2819</v>
      </c>
      <c r="B2822" s="0" t="n">
        <f aca="true">NORMINV(RAND(),1,Coefficients!$B$22)</f>
        <v>0.971557140862023</v>
      </c>
      <c r="C2822" s="0" t="n">
        <f aca="true">MEDIAN(8,16,ROUND(NORMINV(RAND(),Coefficients!$B$20,Coefficients!$B$21),0))</f>
        <v>11</v>
      </c>
      <c r="D2822" s="0" t="n">
        <f aca="true">CRITBINOM($C2822,MIN(0.75,Matchup!$B$39*$B2822),RAND())</f>
        <v>2</v>
      </c>
      <c r="E2822" s="0" t="n">
        <f aca="true">CRITBINOM(D2822,Coefficients!$B$30,RAND())</f>
        <v>0</v>
      </c>
      <c r="F2822" s="0" t="n">
        <f aca="true">CRITBINOM(E2822,Coefficients!$B$31,RAND())</f>
        <v>0</v>
      </c>
      <c r="G2822" s="0" t="n">
        <f aca="true">CRITBINOM(MAX(0,D2822-E2822),1-Coefficients!$B$32,RAND())</f>
        <v>0</v>
      </c>
      <c r="H2822" s="0" t="n">
        <f aca="true">CRITBINOM(MAX(0,$C2822-D2822),MIN(0.6,Matchup!$B$40*SQRT($B2822)/(1-MIN(0.75,Matchup!$B$39*$B2822))),RAND())</f>
        <v>2</v>
      </c>
      <c r="I2822" s="0" t="n">
        <f aca="false">6*D2822+(D2822-E2822-G2822)+2*F2822+3*H2822</f>
        <v>20</v>
      </c>
      <c r="J2822" s="0" t="n">
        <f aca="true">CRITBINOM($C2822,MIN(0.75,Matchup!$C$39*$B2822),RAND())</f>
        <v>3</v>
      </c>
      <c r="K2822" s="0" t="n">
        <f aca="true">CRITBINOM(J2822,Coefficients!$B$30,RAND())</f>
        <v>1</v>
      </c>
      <c r="L2822" s="0" t="n">
        <f aca="true">CRITBINOM(K2822,Coefficients!$B$31,RAND())</f>
        <v>1</v>
      </c>
      <c r="M2822" s="0" t="n">
        <f aca="true">CRITBINOM(MAX(0,J2822-K2822),1-Coefficients!$B$32,RAND())</f>
        <v>0</v>
      </c>
      <c r="N2822" s="0" t="n">
        <f aca="true">CRITBINOM(MAX(0,$C2822-J2822),MIN(0.6,Matchup!$C$40*SQRT($B2822)/(1-MIN(0.75,Matchup!$C$39*$B2822))),RAND())</f>
        <v>0</v>
      </c>
      <c r="O2822" s="0" t="n">
        <f aca="false">6*J2822+(J2822-K2822-M2822)+2*L2822+3*N2822</f>
        <v>22</v>
      </c>
      <c r="P2822" s="0" t="n">
        <f aca="true">RAND()</f>
        <v>0.351986036977052</v>
      </c>
      <c r="Q2822" s="0" t="n">
        <f aca="true">RAND()</f>
        <v>0.202003758654411</v>
      </c>
      <c r="R2822" s="0" t="n">
        <f aca="false">IF($I2822&lt;&gt;$O2822,0,IF(P2822&lt;Matchup!$B$39,7,IF(P2822&lt;Matchup!$B$39+Matchup!$B$40,3,0)))</f>
        <v>0</v>
      </c>
      <c r="S2822" s="0" t="n">
        <f aca="false">IF($I2822&lt;&gt;$O2822,0,IF(Q2822&lt;Matchup!$C$39,7,IF(Q2822&lt;Matchup!$C$39+Matchup!$C$40,3,0)))</f>
        <v>0</v>
      </c>
      <c r="T2822" s="0" t="n">
        <f aca="false">I2822+R2822</f>
        <v>20</v>
      </c>
      <c r="U2822" s="0" t="n">
        <f aca="false">O2822+S2822</f>
        <v>22</v>
      </c>
      <c r="V2822" s="0" t="n">
        <f aca="false">T2822-U2822</f>
        <v>-2</v>
      </c>
      <c r="W2822" s="0" t="n">
        <f aca="false">T2822+U2822</f>
        <v>42</v>
      </c>
    </row>
    <row r="2823" customFormat="false" ht="15" hidden="false" customHeight="false" outlineLevel="0" collapsed="false">
      <c r="A2823" s="0" t="n">
        <v>2820</v>
      </c>
      <c r="B2823" s="0" t="n">
        <f aca="true">NORMINV(RAND(),1,Coefficients!$B$22)</f>
        <v>0.749526162550045</v>
      </c>
      <c r="C2823" s="0" t="n">
        <f aca="true">MEDIAN(8,16,ROUND(NORMINV(RAND(),Coefficients!$B$20,Coefficients!$B$21),0))</f>
        <v>12</v>
      </c>
      <c r="D2823" s="0" t="n">
        <f aca="true">CRITBINOM($C2823,MIN(0.75,Matchup!$B$39*$B2823),RAND())</f>
        <v>2</v>
      </c>
      <c r="E2823" s="0" t="n">
        <f aca="true">CRITBINOM(D2823,Coefficients!$B$30,RAND())</f>
        <v>0</v>
      </c>
      <c r="F2823" s="0" t="n">
        <f aca="true">CRITBINOM(E2823,Coefficients!$B$31,RAND())</f>
        <v>0</v>
      </c>
      <c r="G2823" s="0" t="n">
        <f aca="true">CRITBINOM(MAX(0,D2823-E2823),1-Coefficients!$B$32,RAND())</f>
        <v>0</v>
      </c>
      <c r="H2823" s="0" t="n">
        <f aca="true">CRITBINOM(MAX(0,$C2823-D2823),MIN(0.6,Matchup!$B$40*SQRT($B2823)/(1-MIN(0.75,Matchup!$B$39*$B2823))),RAND())</f>
        <v>3</v>
      </c>
      <c r="I2823" s="0" t="n">
        <f aca="false">6*D2823+(D2823-E2823-G2823)+2*F2823+3*H2823</f>
        <v>23</v>
      </c>
      <c r="J2823" s="0" t="n">
        <f aca="true">CRITBINOM($C2823,MIN(0.75,Matchup!$C$39*$B2823),RAND())</f>
        <v>3</v>
      </c>
      <c r="K2823" s="0" t="n">
        <f aca="true">CRITBINOM(J2823,Coefficients!$B$30,RAND())</f>
        <v>0</v>
      </c>
      <c r="L2823" s="0" t="n">
        <f aca="true">CRITBINOM(K2823,Coefficients!$B$31,RAND())</f>
        <v>0</v>
      </c>
      <c r="M2823" s="0" t="n">
        <f aca="true">CRITBINOM(MAX(0,J2823-K2823),1-Coefficients!$B$32,RAND())</f>
        <v>0</v>
      </c>
      <c r="N2823" s="0" t="n">
        <f aca="true">CRITBINOM(MAX(0,$C2823-J2823),MIN(0.6,Matchup!$C$40*SQRT($B2823)/(1-MIN(0.75,Matchup!$C$39*$B2823))),RAND())</f>
        <v>1</v>
      </c>
      <c r="O2823" s="0" t="n">
        <f aca="false">6*J2823+(J2823-K2823-M2823)+2*L2823+3*N2823</f>
        <v>24</v>
      </c>
      <c r="P2823" s="0" t="n">
        <f aca="true">RAND()</f>
        <v>0.0730590186446296</v>
      </c>
      <c r="Q2823" s="0" t="n">
        <f aca="true">RAND()</f>
        <v>0.860968077763331</v>
      </c>
      <c r="R2823" s="0" t="n">
        <f aca="false">IF($I2823&lt;&gt;$O2823,0,IF(P2823&lt;Matchup!$B$39,7,IF(P2823&lt;Matchup!$B$39+Matchup!$B$40,3,0)))</f>
        <v>0</v>
      </c>
      <c r="S2823" s="0" t="n">
        <f aca="false">IF($I2823&lt;&gt;$O2823,0,IF(Q2823&lt;Matchup!$C$39,7,IF(Q2823&lt;Matchup!$C$39+Matchup!$C$40,3,0)))</f>
        <v>0</v>
      </c>
      <c r="T2823" s="0" t="n">
        <f aca="false">I2823+R2823</f>
        <v>23</v>
      </c>
      <c r="U2823" s="0" t="n">
        <f aca="false">O2823+S2823</f>
        <v>24</v>
      </c>
      <c r="V2823" s="0" t="n">
        <f aca="false">T2823-U2823</f>
        <v>-1</v>
      </c>
      <c r="W2823" s="0" t="n">
        <f aca="false">T2823+U2823</f>
        <v>47</v>
      </c>
    </row>
    <row r="2824" customFormat="false" ht="15" hidden="false" customHeight="false" outlineLevel="0" collapsed="false">
      <c r="A2824" s="0" t="n">
        <v>2821</v>
      </c>
      <c r="B2824" s="0" t="n">
        <f aca="true">NORMINV(RAND(),1,Coefficients!$B$22)</f>
        <v>0.960778557917961</v>
      </c>
      <c r="C2824" s="0" t="n">
        <f aca="true">MEDIAN(8,16,ROUND(NORMINV(RAND(),Coefficients!$B$20,Coefficients!$B$21),0))</f>
        <v>11</v>
      </c>
      <c r="D2824" s="0" t="n">
        <f aca="true">CRITBINOM($C2824,MIN(0.75,Matchup!$B$39*$B2824),RAND())</f>
        <v>2</v>
      </c>
      <c r="E2824" s="0" t="n">
        <f aca="true">CRITBINOM(D2824,Coefficients!$B$30,RAND())</f>
        <v>0</v>
      </c>
      <c r="F2824" s="0" t="n">
        <f aca="true">CRITBINOM(E2824,Coefficients!$B$31,RAND())</f>
        <v>0</v>
      </c>
      <c r="G2824" s="0" t="n">
        <f aca="true">CRITBINOM(MAX(0,D2824-E2824),1-Coefficients!$B$32,RAND())</f>
        <v>0</v>
      </c>
      <c r="H2824" s="0" t="n">
        <f aca="true">CRITBINOM(MAX(0,$C2824-D2824),MIN(0.6,Matchup!$B$40*SQRT($B2824)/(1-MIN(0.75,Matchup!$B$39*$B2824))),RAND())</f>
        <v>1</v>
      </c>
      <c r="I2824" s="0" t="n">
        <f aca="false">6*D2824+(D2824-E2824-G2824)+2*F2824+3*H2824</f>
        <v>17</v>
      </c>
      <c r="J2824" s="0" t="n">
        <f aca="true">CRITBINOM($C2824,MIN(0.75,Matchup!$C$39*$B2824),RAND())</f>
        <v>2</v>
      </c>
      <c r="K2824" s="0" t="n">
        <f aca="true">CRITBINOM(J2824,Coefficients!$B$30,RAND())</f>
        <v>0</v>
      </c>
      <c r="L2824" s="0" t="n">
        <f aca="true">CRITBINOM(K2824,Coefficients!$B$31,RAND())</f>
        <v>0</v>
      </c>
      <c r="M2824" s="0" t="n">
        <f aca="true">CRITBINOM(MAX(0,J2824-K2824),1-Coefficients!$B$32,RAND())</f>
        <v>0</v>
      </c>
      <c r="N2824" s="0" t="n">
        <f aca="true">CRITBINOM(MAX(0,$C2824-J2824),MIN(0.6,Matchup!$C$40*SQRT($B2824)/(1-MIN(0.75,Matchup!$C$39*$B2824))),RAND())</f>
        <v>0</v>
      </c>
      <c r="O2824" s="0" t="n">
        <f aca="false">6*J2824+(J2824-K2824-M2824)+2*L2824+3*N2824</f>
        <v>14</v>
      </c>
      <c r="P2824" s="0" t="n">
        <f aca="true">RAND()</f>
        <v>0.329219061620837</v>
      </c>
      <c r="Q2824" s="0" t="n">
        <f aca="true">RAND()</f>
        <v>0.288572049983256</v>
      </c>
      <c r="R2824" s="0" t="n">
        <f aca="false">IF($I2824&lt;&gt;$O2824,0,IF(P2824&lt;Matchup!$B$39,7,IF(P2824&lt;Matchup!$B$39+Matchup!$B$40,3,0)))</f>
        <v>0</v>
      </c>
      <c r="S2824" s="0" t="n">
        <f aca="false">IF($I2824&lt;&gt;$O2824,0,IF(Q2824&lt;Matchup!$C$39,7,IF(Q2824&lt;Matchup!$C$39+Matchup!$C$40,3,0)))</f>
        <v>0</v>
      </c>
      <c r="T2824" s="0" t="n">
        <f aca="false">I2824+R2824</f>
        <v>17</v>
      </c>
      <c r="U2824" s="0" t="n">
        <f aca="false">O2824+S2824</f>
        <v>14</v>
      </c>
      <c r="V2824" s="0" t="n">
        <f aca="false">T2824-U2824</f>
        <v>3</v>
      </c>
      <c r="W2824" s="0" t="n">
        <f aca="false">T2824+U2824</f>
        <v>31</v>
      </c>
    </row>
    <row r="2825" customFormat="false" ht="15" hidden="false" customHeight="false" outlineLevel="0" collapsed="false">
      <c r="A2825" s="0" t="n">
        <v>2822</v>
      </c>
      <c r="B2825" s="0" t="n">
        <f aca="true">NORMINV(RAND(),1,Coefficients!$B$22)</f>
        <v>0.930448457223599</v>
      </c>
      <c r="C2825" s="0" t="n">
        <f aca="true">MEDIAN(8,16,ROUND(NORMINV(RAND(),Coefficients!$B$20,Coefficients!$B$21),0))</f>
        <v>10</v>
      </c>
      <c r="D2825" s="0" t="n">
        <f aca="true">CRITBINOM($C2825,MIN(0.75,Matchup!$B$39*$B2825),RAND())</f>
        <v>0</v>
      </c>
      <c r="E2825" s="0" t="n">
        <f aca="true">CRITBINOM(D2825,Coefficients!$B$30,RAND())</f>
        <v>0</v>
      </c>
      <c r="F2825" s="0" t="n">
        <f aca="true">CRITBINOM(E2825,Coefficients!$B$31,RAND())</f>
        <v>0</v>
      </c>
      <c r="G2825" s="0" t="n">
        <f aca="true">CRITBINOM(MAX(0,D2825-E2825),1-Coefficients!$B$32,RAND())</f>
        <v>0</v>
      </c>
      <c r="H2825" s="0" t="n">
        <f aca="true">CRITBINOM(MAX(0,$C2825-D2825),MIN(0.6,Matchup!$B$40*SQRT($B2825)/(1-MIN(0.75,Matchup!$B$39*$B2825))),RAND())</f>
        <v>2</v>
      </c>
      <c r="I2825" s="0" t="n">
        <f aca="false">6*D2825+(D2825-E2825-G2825)+2*F2825+3*H2825</f>
        <v>6</v>
      </c>
      <c r="J2825" s="0" t="n">
        <f aca="true">CRITBINOM($C2825,MIN(0.75,Matchup!$C$39*$B2825),RAND())</f>
        <v>1</v>
      </c>
      <c r="K2825" s="0" t="n">
        <f aca="true">CRITBINOM(J2825,Coefficients!$B$30,RAND())</f>
        <v>0</v>
      </c>
      <c r="L2825" s="0" t="n">
        <f aca="true">CRITBINOM(K2825,Coefficients!$B$31,RAND())</f>
        <v>0</v>
      </c>
      <c r="M2825" s="0" t="n">
        <f aca="true">CRITBINOM(MAX(0,J2825-K2825),1-Coefficients!$B$32,RAND())</f>
        <v>0</v>
      </c>
      <c r="N2825" s="0" t="n">
        <f aca="true">CRITBINOM(MAX(0,$C2825-J2825),MIN(0.6,Matchup!$C$40*SQRT($B2825)/(1-MIN(0.75,Matchup!$C$39*$B2825))),RAND())</f>
        <v>0</v>
      </c>
      <c r="O2825" s="0" t="n">
        <f aca="false">6*J2825+(J2825-K2825-M2825)+2*L2825+3*N2825</f>
        <v>7</v>
      </c>
      <c r="P2825" s="0" t="n">
        <f aca="true">RAND()</f>
        <v>0.733196876328642</v>
      </c>
      <c r="Q2825" s="0" t="n">
        <f aca="true">RAND()</f>
        <v>0.426134669819912</v>
      </c>
      <c r="R2825" s="0" t="n">
        <f aca="false">IF($I2825&lt;&gt;$O2825,0,IF(P2825&lt;Matchup!$B$39,7,IF(P2825&lt;Matchup!$B$39+Matchup!$B$40,3,0)))</f>
        <v>0</v>
      </c>
      <c r="S2825" s="0" t="n">
        <f aca="false">IF($I2825&lt;&gt;$O2825,0,IF(Q2825&lt;Matchup!$C$39,7,IF(Q2825&lt;Matchup!$C$39+Matchup!$C$40,3,0)))</f>
        <v>0</v>
      </c>
      <c r="T2825" s="0" t="n">
        <f aca="false">I2825+R2825</f>
        <v>6</v>
      </c>
      <c r="U2825" s="0" t="n">
        <f aca="false">O2825+S2825</f>
        <v>7</v>
      </c>
      <c r="V2825" s="0" t="n">
        <f aca="false">T2825-U2825</f>
        <v>-1</v>
      </c>
      <c r="W2825" s="0" t="n">
        <f aca="false">T2825+U2825</f>
        <v>13</v>
      </c>
    </row>
    <row r="2826" customFormat="false" ht="15" hidden="false" customHeight="false" outlineLevel="0" collapsed="false">
      <c r="A2826" s="0" t="n">
        <v>2823</v>
      </c>
      <c r="B2826" s="0" t="n">
        <f aca="true">NORMINV(RAND(),1,Coefficients!$B$22)</f>
        <v>0.993508271675526</v>
      </c>
      <c r="C2826" s="0" t="n">
        <f aca="true">MEDIAN(8,16,ROUND(NORMINV(RAND(),Coefficients!$B$20,Coefficients!$B$21),0))</f>
        <v>12</v>
      </c>
      <c r="D2826" s="0" t="n">
        <f aca="true">CRITBINOM($C2826,MIN(0.75,Matchup!$B$39*$B2826),RAND())</f>
        <v>1</v>
      </c>
      <c r="E2826" s="0" t="n">
        <f aca="true">CRITBINOM(D2826,Coefficients!$B$30,RAND())</f>
        <v>0</v>
      </c>
      <c r="F2826" s="0" t="n">
        <f aca="true">CRITBINOM(E2826,Coefficients!$B$31,RAND())</f>
        <v>0</v>
      </c>
      <c r="G2826" s="0" t="n">
        <f aca="true">CRITBINOM(MAX(0,D2826-E2826),1-Coefficients!$B$32,RAND())</f>
        <v>0</v>
      </c>
      <c r="H2826" s="0" t="n">
        <f aca="true">CRITBINOM(MAX(0,$C2826-D2826),MIN(0.6,Matchup!$B$40*SQRT($B2826)/(1-MIN(0.75,Matchup!$B$39*$B2826))),RAND())</f>
        <v>5</v>
      </c>
      <c r="I2826" s="0" t="n">
        <f aca="false">6*D2826+(D2826-E2826-G2826)+2*F2826+3*H2826</f>
        <v>22</v>
      </c>
      <c r="J2826" s="0" t="n">
        <f aca="true">CRITBINOM($C2826,MIN(0.75,Matchup!$C$39*$B2826),RAND())</f>
        <v>2</v>
      </c>
      <c r="K2826" s="0" t="n">
        <f aca="true">CRITBINOM(J2826,Coefficients!$B$30,RAND())</f>
        <v>0</v>
      </c>
      <c r="L2826" s="0" t="n">
        <f aca="true">CRITBINOM(K2826,Coefficients!$B$31,RAND())</f>
        <v>0</v>
      </c>
      <c r="M2826" s="0" t="n">
        <f aca="true">CRITBINOM(MAX(0,J2826-K2826),1-Coefficients!$B$32,RAND())</f>
        <v>0</v>
      </c>
      <c r="N2826" s="0" t="n">
        <f aca="true">CRITBINOM(MAX(0,$C2826-J2826),MIN(0.6,Matchup!$C$40*SQRT($B2826)/(1-MIN(0.75,Matchup!$C$39*$B2826))),RAND())</f>
        <v>3</v>
      </c>
      <c r="O2826" s="0" t="n">
        <f aca="false">6*J2826+(J2826-K2826-M2826)+2*L2826+3*N2826</f>
        <v>23</v>
      </c>
      <c r="P2826" s="0" t="n">
        <f aca="true">RAND()</f>
        <v>0.776656044610713</v>
      </c>
      <c r="Q2826" s="0" t="n">
        <f aca="true">RAND()</f>
        <v>0.636009734837749</v>
      </c>
      <c r="R2826" s="0" t="n">
        <f aca="false">IF($I2826&lt;&gt;$O2826,0,IF(P2826&lt;Matchup!$B$39,7,IF(P2826&lt;Matchup!$B$39+Matchup!$B$40,3,0)))</f>
        <v>0</v>
      </c>
      <c r="S2826" s="0" t="n">
        <f aca="false">IF($I2826&lt;&gt;$O2826,0,IF(Q2826&lt;Matchup!$C$39,7,IF(Q2826&lt;Matchup!$C$39+Matchup!$C$40,3,0)))</f>
        <v>0</v>
      </c>
      <c r="T2826" s="0" t="n">
        <f aca="false">I2826+R2826</f>
        <v>22</v>
      </c>
      <c r="U2826" s="0" t="n">
        <f aca="false">O2826+S2826</f>
        <v>23</v>
      </c>
      <c r="V2826" s="0" t="n">
        <f aca="false">T2826-U2826</f>
        <v>-1</v>
      </c>
      <c r="W2826" s="0" t="n">
        <f aca="false">T2826+U2826</f>
        <v>45</v>
      </c>
    </row>
    <row r="2827" customFormat="false" ht="15" hidden="false" customHeight="false" outlineLevel="0" collapsed="false">
      <c r="A2827" s="0" t="n">
        <v>2824</v>
      </c>
      <c r="B2827" s="0" t="n">
        <f aca="true">NORMINV(RAND(),1,Coefficients!$B$22)</f>
        <v>0.873074838570142</v>
      </c>
      <c r="C2827" s="0" t="n">
        <f aca="true">MEDIAN(8,16,ROUND(NORMINV(RAND(),Coefficients!$B$20,Coefficients!$B$21),0))</f>
        <v>11</v>
      </c>
      <c r="D2827" s="0" t="n">
        <f aca="true">CRITBINOM($C2827,MIN(0.75,Matchup!$B$39*$B2827),RAND())</f>
        <v>4</v>
      </c>
      <c r="E2827" s="0" t="n">
        <f aca="true">CRITBINOM(D2827,Coefficients!$B$30,RAND())</f>
        <v>1</v>
      </c>
      <c r="F2827" s="0" t="n">
        <f aca="true">CRITBINOM(E2827,Coefficients!$B$31,RAND())</f>
        <v>1</v>
      </c>
      <c r="G2827" s="0" t="n">
        <f aca="true">CRITBINOM(MAX(0,D2827-E2827),1-Coefficients!$B$32,RAND())</f>
        <v>0</v>
      </c>
      <c r="H2827" s="0" t="n">
        <f aca="true">CRITBINOM(MAX(0,$C2827-D2827),MIN(0.6,Matchup!$B$40*SQRT($B2827)/(1-MIN(0.75,Matchup!$B$39*$B2827))),RAND())</f>
        <v>0</v>
      </c>
      <c r="I2827" s="0" t="n">
        <f aca="false">6*D2827+(D2827-E2827-G2827)+2*F2827+3*H2827</f>
        <v>29</v>
      </c>
      <c r="J2827" s="0" t="n">
        <f aca="true">CRITBINOM($C2827,MIN(0.75,Matchup!$C$39*$B2827),RAND())</f>
        <v>3</v>
      </c>
      <c r="K2827" s="0" t="n">
        <f aca="true">CRITBINOM(J2827,Coefficients!$B$30,RAND())</f>
        <v>0</v>
      </c>
      <c r="L2827" s="0" t="n">
        <f aca="true">CRITBINOM(K2827,Coefficients!$B$31,RAND())</f>
        <v>0</v>
      </c>
      <c r="M2827" s="0" t="n">
        <f aca="true">CRITBINOM(MAX(0,J2827-K2827),1-Coefficients!$B$32,RAND())</f>
        <v>0</v>
      </c>
      <c r="N2827" s="0" t="n">
        <f aca="true">CRITBINOM(MAX(0,$C2827-J2827),MIN(0.6,Matchup!$C$40*SQRT($B2827)/(1-MIN(0.75,Matchup!$C$39*$B2827))),RAND())</f>
        <v>0</v>
      </c>
      <c r="O2827" s="0" t="n">
        <f aca="false">6*J2827+(J2827-K2827-M2827)+2*L2827+3*N2827</f>
        <v>21</v>
      </c>
      <c r="P2827" s="0" t="n">
        <f aca="true">RAND()</f>
        <v>0.141271076129016</v>
      </c>
      <c r="Q2827" s="0" t="n">
        <f aca="true">RAND()</f>
        <v>0.951936769382076</v>
      </c>
      <c r="R2827" s="0" t="n">
        <f aca="false">IF($I2827&lt;&gt;$O2827,0,IF(P2827&lt;Matchup!$B$39,7,IF(P2827&lt;Matchup!$B$39+Matchup!$B$40,3,0)))</f>
        <v>0</v>
      </c>
      <c r="S2827" s="0" t="n">
        <f aca="false">IF($I2827&lt;&gt;$O2827,0,IF(Q2827&lt;Matchup!$C$39,7,IF(Q2827&lt;Matchup!$C$39+Matchup!$C$40,3,0)))</f>
        <v>0</v>
      </c>
      <c r="T2827" s="0" t="n">
        <f aca="false">I2827+R2827</f>
        <v>29</v>
      </c>
      <c r="U2827" s="0" t="n">
        <f aca="false">O2827+S2827</f>
        <v>21</v>
      </c>
      <c r="V2827" s="0" t="n">
        <f aca="false">T2827-U2827</f>
        <v>8</v>
      </c>
      <c r="W2827" s="0" t="n">
        <f aca="false">T2827+U2827</f>
        <v>50</v>
      </c>
    </row>
    <row r="2828" customFormat="false" ht="15" hidden="false" customHeight="false" outlineLevel="0" collapsed="false">
      <c r="A2828" s="0" t="n">
        <v>2825</v>
      </c>
      <c r="B2828" s="0" t="n">
        <f aca="true">NORMINV(RAND(),1,Coefficients!$B$22)</f>
        <v>0.998105732046604</v>
      </c>
      <c r="C2828" s="0" t="n">
        <f aca="true">MEDIAN(8,16,ROUND(NORMINV(RAND(),Coefficients!$B$20,Coefficients!$B$21),0))</f>
        <v>12</v>
      </c>
      <c r="D2828" s="0" t="n">
        <f aca="true">CRITBINOM($C2828,MIN(0.75,Matchup!$B$39*$B2828),RAND())</f>
        <v>2</v>
      </c>
      <c r="E2828" s="0" t="n">
        <f aca="true">CRITBINOM(D2828,Coefficients!$B$30,RAND())</f>
        <v>0</v>
      </c>
      <c r="F2828" s="0" t="n">
        <f aca="true">CRITBINOM(E2828,Coefficients!$B$31,RAND())</f>
        <v>0</v>
      </c>
      <c r="G2828" s="0" t="n">
        <f aca="true">CRITBINOM(MAX(0,D2828-E2828),1-Coefficients!$B$32,RAND())</f>
        <v>0</v>
      </c>
      <c r="H2828" s="0" t="n">
        <f aca="true">CRITBINOM(MAX(0,$C2828-D2828),MIN(0.6,Matchup!$B$40*SQRT($B2828)/(1-MIN(0.75,Matchup!$B$39*$B2828))),RAND())</f>
        <v>2</v>
      </c>
      <c r="I2828" s="0" t="n">
        <f aca="false">6*D2828+(D2828-E2828-G2828)+2*F2828+3*H2828</f>
        <v>20</v>
      </c>
      <c r="J2828" s="0" t="n">
        <f aca="true">CRITBINOM($C2828,MIN(0.75,Matchup!$C$39*$B2828),RAND())</f>
        <v>5</v>
      </c>
      <c r="K2828" s="0" t="n">
        <f aca="true">CRITBINOM(J2828,Coefficients!$B$30,RAND())</f>
        <v>1</v>
      </c>
      <c r="L2828" s="0" t="n">
        <f aca="true">CRITBINOM(K2828,Coefficients!$B$31,RAND())</f>
        <v>1</v>
      </c>
      <c r="M2828" s="0" t="n">
        <f aca="true">CRITBINOM(MAX(0,J2828-K2828),1-Coefficients!$B$32,RAND())</f>
        <v>0</v>
      </c>
      <c r="N2828" s="0" t="n">
        <f aca="true">CRITBINOM(MAX(0,$C2828-J2828),MIN(0.6,Matchup!$C$40*SQRT($B2828)/(1-MIN(0.75,Matchup!$C$39*$B2828))),RAND())</f>
        <v>1</v>
      </c>
      <c r="O2828" s="0" t="n">
        <f aca="false">6*J2828+(J2828-K2828-M2828)+2*L2828+3*N2828</f>
        <v>39</v>
      </c>
      <c r="P2828" s="0" t="n">
        <f aca="true">RAND()</f>
        <v>0.491890587220373</v>
      </c>
      <c r="Q2828" s="0" t="n">
        <f aca="true">RAND()</f>
        <v>0.601983871474636</v>
      </c>
      <c r="R2828" s="0" t="n">
        <f aca="false">IF($I2828&lt;&gt;$O2828,0,IF(P2828&lt;Matchup!$B$39,7,IF(P2828&lt;Matchup!$B$39+Matchup!$B$40,3,0)))</f>
        <v>0</v>
      </c>
      <c r="S2828" s="0" t="n">
        <f aca="false">IF($I2828&lt;&gt;$O2828,0,IF(Q2828&lt;Matchup!$C$39,7,IF(Q2828&lt;Matchup!$C$39+Matchup!$C$40,3,0)))</f>
        <v>0</v>
      </c>
      <c r="T2828" s="0" t="n">
        <f aca="false">I2828+R2828</f>
        <v>20</v>
      </c>
      <c r="U2828" s="0" t="n">
        <f aca="false">O2828+S2828</f>
        <v>39</v>
      </c>
      <c r="V2828" s="0" t="n">
        <f aca="false">T2828-U2828</f>
        <v>-19</v>
      </c>
      <c r="W2828" s="0" t="n">
        <f aca="false">T2828+U2828</f>
        <v>59</v>
      </c>
    </row>
    <row r="2829" customFormat="false" ht="15" hidden="false" customHeight="false" outlineLevel="0" collapsed="false">
      <c r="A2829" s="0" t="n">
        <v>2826</v>
      </c>
      <c r="B2829" s="0" t="n">
        <f aca="true">NORMINV(RAND(),1,Coefficients!$B$22)</f>
        <v>1.04443747293473</v>
      </c>
      <c r="C2829" s="0" t="n">
        <f aca="true">MEDIAN(8,16,ROUND(NORMINV(RAND(),Coefficients!$B$20,Coefficients!$B$21),0))</f>
        <v>12</v>
      </c>
      <c r="D2829" s="0" t="n">
        <f aca="true">CRITBINOM($C2829,MIN(0.75,Matchup!$B$39*$B2829),RAND())</f>
        <v>4</v>
      </c>
      <c r="E2829" s="0" t="n">
        <f aca="true">CRITBINOM(D2829,Coefficients!$B$30,RAND())</f>
        <v>0</v>
      </c>
      <c r="F2829" s="0" t="n">
        <f aca="true">CRITBINOM(E2829,Coefficients!$B$31,RAND())</f>
        <v>0</v>
      </c>
      <c r="G2829" s="0" t="n">
        <f aca="true">CRITBINOM(MAX(0,D2829-E2829),1-Coefficients!$B$32,RAND())</f>
        <v>0</v>
      </c>
      <c r="H2829" s="0" t="n">
        <f aca="true">CRITBINOM(MAX(0,$C2829-D2829),MIN(0.6,Matchup!$B$40*SQRT($B2829)/(1-MIN(0.75,Matchup!$B$39*$B2829))),RAND())</f>
        <v>3</v>
      </c>
      <c r="I2829" s="0" t="n">
        <f aca="false">6*D2829+(D2829-E2829-G2829)+2*F2829+3*H2829</f>
        <v>37</v>
      </c>
      <c r="J2829" s="0" t="n">
        <f aca="true">CRITBINOM($C2829,MIN(0.75,Matchup!$C$39*$B2829),RAND())</f>
        <v>3</v>
      </c>
      <c r="K2829" s="0" t="n">
        <f aca="true">CRITBINOM(J2829,Coefficients!$B$30,RAND())</f>
        <v>0</v>
      </c>
      <c r="L2829" s="0" t="n">
        <f aca="true">CRITBINOM(K2829,Coefficients!$B$31,RAND())</f>
        <v>0</v>
      </c>
      <c r="M2829" s="0" t="n">
        <f aca="true">CRITBINOM(MAX(0,J2829-K2829),1-Coefficients!$B$32,RAND())</f>
        <v>0</v>
      </c>
      <c r="N2829" s="0" t="n">
        <f aca="true">CRITBINOM(MAX(0,$C2829-J2829),MIN(0.6,Matchup!$C$40*SQRT($B2829)/(1-MIN(0.75,Matchup!$C$39*$B2829))),RAND())</f>
        <v>2</v>
      </c>
      <c r="O2829" s="0" t="n">
        <f aca="false">6*J2829+(J2829-K2829-M2829)+2*L2829+3*N2829</f>
        <v>27</v>
      </c>
      <c r="P2829" s="0" t="n">
        <f aca="true">RAND()</f>
        <v>0.146570142701054</v>
      </c>
      <c r="Q2829" s="0" t="n">
        <f aca="true">RAND()</f>
        <v>0.978142124181505</v>
      </c>
      <c r="R2829" s="0" t="n">
        <f aca="false">IF($I2829&lt;&gt;$O2829,0,IF(P2829&lt;Matchup!$B$39,7,IF(P2829&lt;Matchup!$B$39+Matchup!$B$40,3,0)))</f>
        <v>0</v>
      </c>
      <c r="S2829" s="0" t="n">
        <f aca="false">IF($I2829&lt;&gt;$O2829,0,IF(Q2829&lt;Matchup!$C$39,7,IF(Q2829&lt;Matchup!$C$39+Matchup!$C$40,3,0)))</f>
        <v>0</v>
      </c>
      <c r="T2829" s="0" t="n">
        <f aca="false">I2829+R2829</f>
        <v>37</v>
      </c>
      <c r="U2829" s="0" t="n">
        <f aca="false">O2829+S2829</f>
        <v>27</v>
      </c>
      <c r="V2829" s="0" t="n">
        <f aca="false">T2829-U2829</f>
        <v>10</v>
      </c>
      <c r="W2829" s="0" t="n">
        <f aca="false">T2829+U2829</f>
        <v>64</v>
      </c>
    </row>
    <row r="2830" customFormat="false" ht="15" hidden="false" customHeight="false" outlineLevel="0" collapsed="false">
      <c r="A2830" s="0" t="n">
        <v>2827</v>
      </c>
      <c r="B2830" s="0" t="n">
        <f aca="true">NORMINV(RAND(),1,Coefficients!$B$22)</f>
        <v>0.993136725261372</v>
      </c>
      <c r="C2830" s="0" t="n">
        <f aca="true">MEDIAN(8,16,ROUND(NORMINV(RAND(),Coefficients!$B$20,Coefficients!$B$21),0))</f>
        <v>13</v>
      </c>
      <c r="D2830" s="0" t="n">
        <f aca="true">CRITBINOM($C2830,MIN(0.75,Matchup!$B$39*$B2830),RAND())</f>
        <v>1</v>
      </c>
      <c r="E2830" s="0" t="n">
        <f aca="true">CRITBINOM(D2830,Coefficients!$B$30,RAND())</f>
        <v>0</v>
      </c>
      <c r="F2830" s="0" t="n">
        <f aca="true">CRITBINOM(E2830,Coefficients!$B$31,RAND())</f>
        <v>0</v>
      </c>
      <c r="G2830" s="0" t="n">
        <f aca="true">CRITBINOM(MAX(0,D2830-E2830),1-Coefficients!$B$32,RAND())</f>
        <v>0</v>
      </c>
      <c r="H2830" s="0" t="n">
        <f aca="true">CRITBINOM(MAX(0,$C2830-D2830),MIN(0.6,Matchup!$B$40*SQRT($B2830)/(1-MIN(0.75,Matchup!$B$39*$B2830))),RAND())</f>
        <v>3</v>
      </c>
      <c r="I2830" s="0" t="n">
        <f aca="false">6*D2830+(D2830-E2830-G2830)+2*F2830+3*H2830</f>
        <v>16</v>
      </c>
      <c r="J2830" s="0" t="n">
        <f aca="true">CRITBINOM($C2830,MIN(0.75,Matchup!$C$39*$B2830),RAND())</f>
        <v>1</v>
      </c>
      <c r="K2830" s="0" t="n">
        <f aca="true">CRITBINOM(J2830,Coefficients!$B$30,RAND())</f>
        <v>0</v>
      </c>
      <c r="L2830" s="0" t="n">
        <f aca="true">CRITBINOM(K2830,Coefficients!$B$31,RAND())</f>
        <v>0</v>
      </c>
      <c r="M2830" s="0" t="n">
        <f aca="true">CRITBINOM(MAX(0,J2830-K2830),1-Coefficients!$B$32,RAND())</f>
        <v>0</v>
      </c>
      <c r="N2830" s="0" t="n">
        <f aca="true">CRITBINOM(MAX(0,$C2830-J2830),MIN(0.6,Matchup!$C$40*SQRT($B2830)/(1-MIN(0.75,Matchup!$C$39*$B2830))),RAND())</f>
        <v>1</v>
      </c>
      <c r="O2830" s="0" t="n">
        <f aca="false">6*J2830+(J2830-K2830-M2830)+2*L2830+3*N2830</f>
        <v>10</v>
      </c>
      <c r="P2830" s="0" t="n">
        <f aca="true">RAND()</f>
        <v>0.520490095052646</v>
      </c>
      <c r="Q2830" s="0" t="n">
        <f aca="true">RAND()</f>
        <v>0.119758530160482</v>
      </c>
      <c r="R2830" s="0" t="n">
        <f aca="false">IF($I2830&lt;&gt;$O2830,0,IF(P2830&lt;Matchup!$B$39,7,IF(P2830&lt;Matchup!$B$39+Matchup!$B$40,3,0)))</f>
        <v>0</v>
      </c>
      <c r="S2830" s="0" t="n">
        <f aca="false">IF($I2830&lt;&gt;$O2830,0,IF(Q2830&lt;Matchup!$C$39,7,IF(Q2830&lt;Matchup!$C$39+Matchup!$C$40,3,0)))</f>
        <v>0</v>
      </c>
      <c r="T2830" s="0" t="n">
        <f aca="false">I2830+R2830</f>
        <v>16</v>
      </c>
      <c r="U2830" s="0" t="n">
        <f aca="false">O2830+S2830</f>
        <v>10</v>
      </c>
      <c r="V2830" s="0" t="n">
        <f aca="false">T2830-U2830</f>
        <v>6</v>
      </c>
      <c r="W2830" s="0" t="n">
        <f aca="false">T2830+U2830</f>
        <v>26</v>
      </c>
    </row>
    <row r="2831" customFormat="false" ht="15" hidden="false" customHeight="false" outlineLevel="0" collapsed="false">
      <c r="A2831" s="0" t="n">
        <v>2828</v>
      </c>
      <c r="B2831" s="0" t="n">
        <f aca="true">NORMINV(RAND(),1,Coefficients!$B$22)</f>
        <v>0.94766583805755</v>
      </c>
      <c r="C2831" s="0" t="n">
        <f aca="true">MEDIAN(8,16,ROUND(NORMINV(RAND(),Coefficients!$B$20,Coefficients!$B$21),0))</f>
        <v>10</v>
      </c>
      <c r="D2831" s="0" t="n">
        <f aca="true">CRITBINOM($C2831,MIN(0.75,Matchup!$B$39*$B2831),RAND())</f>
        <v>2</v>
      </c>
      <c r="E2831" s="0" t="n">
        <f aca="true">CRITBINOM(D2831,Coefficients!$B$30,RAND())</f>
        <v>0</v>
      </c>
      <c r="F2831" s="0" t="n">
        <f aca="true">CRITBINOM(E2831,Coefficients!$B$31,RAND())</f>
        <v>0</v>
      </c>
      <c r="G2831" s="0" t="n">
        <f aca="true">CRITBINOM(MAX(0,D2831-E2831),1-Coefficients!$B$32,RAND())</f>
        <v>0</v>
      </c>
      <c r="H2831" s="0" t="n">
        <f aca="true">CRITBINOM(MAX(0,$C2831-D2831),MIN(0.6,Matchup!$B$40*SQRT($B2831)/(1-MIN(0.75,Matchup!$B$39*$B2831))),RAND())</f>
        <v>0</v>
      </c>
      <c r="I2831" s="0" t="n">
        <f aca="false">6*D2831+(D2831-E2831-G2831)+2*F2831+3*H2831</f>
        <v>14</v>
      </c>
      <c r="J2831" s="0" t="n">
        <f aca="true">CRITBINOM($C2831,MIN(0.75,Matchup!$C$39*$B2831),RAND())</f>
        <v>1</v>
      </c>
      <c r="K2831" s="0" t="n">
        <f aca="true">CRITBINOM(J2831,Coefficients!$B$30,RAND())</f>
        <v>0</v>
      </c>
      <c r="L2831" s="0" t="n">
        <f aca="true">CRITBINOM(K2831,Coefficients!$B$31,RAND())</f>
        <v>0</v>
      </c>
      <c r="M2831" s="0" t="n">
        <f aca="true">CRITBINOM(MAX(0,J2831-K2831),1-Coefficients!$B$32,RAND())</f>
        <v>0</v>
      </c>
      <c r="N2831" s="0" t="n">
        <f aca="true">CRITBINOM(MAX(0,$C2831-J2831),MIN(0.6,Matchup!$C$40*SQRT($B2831)/(1-MIN(0.75,Matchup!$C$39*$B2831))),RAND())</f>
        <v>1</v>
      </c>
      <c r="O2831" s="0" t="n">
        <f aca="false">6*J2831+(J2831-K2831-M2831)+2*L2831+3*N2831</f>
        <v>10</v>
      </c>
      <c r="P2831" s="0" t="n">
        <f aca="true">RAND()</f>
        <v>0.690999793867779</v>
      </c>
      <c r="Q2831" s="0" t="n">
        <f aca="true">RAND()</f>
        <v>0.165257056863573</v>
      </c>
      <c r="R2831" s="0" t="n">
        <f aca="false">IF($I2831&lt;&gt;$O2831,0,IF(P2831&lt;Matchup!$B$39,7,IF(P2831&lt;Matchup!$B$39+Matchup!$B$40,3,0)))</f>
        <v>0</v>
      </c>
      <c r="S2831" s="0" t="n">
        <f aca="false">IF($I2831&lt;&gt;$O2831,0,IF(Q2831&lt;Matchup!$C$39,7,IF(Q2831&lt;Matchup!$C$39+Matchup!$C$40,3,0)))</f>
        <v>0</v>
      </c>
      <c r="T2831" s="0" t="n">
        <f aca="false">I2831+R2831</f>
        <v>14</v>
      </c>
      <c r="U2831" s="0" t="n">
        <f aca="false">O2831+S2831</f>
        <v>10</v>
      </c>
      <c r="V2831" s="0" t="n">
        <f aca="false">T2831-U2831</f>
        <v>4</v>
      </c>
      <c r="W2831" s="0" t="n">
        <f aca="false">T2831+U2831</f>
        <v>24</v>
      </c>
    </row>
    <row r="2832" customFormat="false" ht="15" hidden="false" customHeight="false" outlineLevel="0" collapsed="false">
      <c r="A2832" s="0" t="n">
        <v>2829</v>
      </c>
      <c r="B2832" s="0" t="n">
        <f aca="true">NORMINV(RAND(),1,Coefficients!$B$22)</f>
        <v>1.03361062262938</v>
      </c>
      <c r="C2832" s="0" t="n">
        <f aca="true">MEDIAN(8,16,ROUND(NORMINV(RAND(),Coefficients!$B$20,Coefficients!$B$21),0))</f>
        <v>11</v>
      </c>
      <c r="D2832" s="0" t="n">
        <f aca="true">CRITBINOM($C2832,MIN(0.75,Matchup!$B$39*$B2832),RAND())</f>
        <v>2</v>
      </c>
      <c r="E2832" s="0" t="n">
        <f aca="true">CRITBINOM(D2832,Coefficients!$B$30,RAND())</f>
        <v>0</v>
      </c>
      <c r="F2832" s="0" t="n">
        <f aca="true">CRITBINOM(E2832,Coefficients!$B$31,RAND())</f>
        <v>0</v>
      </c>
      <c r="G2832" s="0" t="n">
        <f aca="true">CRITBINOM(MAX(0,D2832-E2832),1-Coefficients!$B$32,RAND())</f>
        <v>0</v>
      </c>
      <c r="H2832" s="0" t="n">
        <f aca="true">CRITBINOM(MAX(0,$C2832-D2832),MIN(0.6,Matchup!$B$40*SQRT($B2832)/(1-MIN(0.75,Matchup!$B$39*$B2832))),RAND())</f>
        <v>1</v>
      </c>
      <c r="I2832" s="0" t="n">
        <f aca="false">6*D2832+(D2832-E2832-G2832)+2*F2832+3*H2832</f>
        <v>17</v>
      </c>
      <c r="J2832" s="0" t="n">
        <f aca="true">CRITBINOM($C2832,MIN(0.75,Matchup!$C$39*$B2832),RAND())</f>
        <v>5</v>
      </c>
      <c r="K2832" s="0" t="n">
        <f aca="true">CRITBINOM(J2832,Coefficients!$B$30,RAND())</f>
        <v>1</v>
      </c>
      <c r="L2832" s="0" t="n">
        <f aca="true">CRITBINOM(K2832,Coefficients!$B$31,RAND())</f>
        <v>1</v>
      </c>
      <c r="M2832" s="0" t="n">
        <f aca="true">CRITBINOM(MAX(0,J2832-K2832),1-Coefficients!$B$32,RAND())</f>
        <v>0</v>
      </c>
      <c r="N2832" s="0" t="n">
        <f aca="true">CRITBINOM(MAX(0,$C2832-J2832),MIN(0.6,Matchup!$C$40*SQRT($B2832)/(1-MIN(0.75,Matchup!$C$39*$B2832))),RAND())</f>
        <v>0</v>
      </c>
      <c r="O2832" s="0" t="n">
        <f aca="false">6*J2832+(J2832-K2832-M2832)+2*L2832+3*N2832</f>
        <v>36</v>
      </c>
      <c r="P2832" s="0" t="n">
        <f aca="true">RAND()</f>
        <v>0.187171306905215</v>
      </c>
      <c r="Q2832" s="0" t="n">
        <f aca="true">RAND()</f>
        <v>0.780533081583167</v>
      </c>
      <c r="R2832" s="0" t="n">
        <f aca="false">IF($I2832&lt;&gt;$O2832,0,IF(P2832&lt;Matchup!$B$39,7,IF(P2832&lt;Matchup!$B$39+Matchup!$B$40,3,0)))</f>
        <v>0</v>
      </c>
      <c r="S2832" s="0" t="n">
        <f aca="false">IF($I2832&lt;&gt;$O2832,0,IF(Q2832&lt;Matchup!$C$39,7,IF(Q2832&lt;Matchup!$C$39+Matchup!$C$40,3,0)))</f>
        <v>0</v>
      </c>
      <c r="T2832" s="0" t="n">
        <f aca="false">I2832+R2832</f>
        <v>17</v>
      </c>
      <c r="U2832" s="0" t="n">
        <f aca="false">O2832+S2832</f>
        <v>36</v>
      </c>
      <c r="V2832" s="0" t="n">
        <f aca="false">T2832-U2832</f>
        <v>-19</v>
      </c>
      <c r="W2832" s="0" t="n">
        <f aca="false">T2832+U2832</f>
        <v>53</v>
      </c>
    </row>
    <row r="2833" customFormat="false" ht="15" hidden="false" customHeight="false" outlineLevel="0" collapsed="false">
      <c r="A2833" s="0" t="n">
        <v>2830</v>
      </c>
      <c r="B2833" s="0" t="n">
        <f aca="true">NORMINV(RAND(),1,Coefficients!$B$22)</f>
        <v>0.840382978683399</v>
      </c>
      <c r="C2833" s="0" t="n">
        <f aca="true">MEDIAN(8,16,ROUND(NORMINV(RAND(),Coefficients!$B$20,Coefficients!$B$21),0))</f>
        <v>11</v>
      </c>
      <c r="D2833" s="0" t="n">
        <f aca="true">CRITBINOM($C2833,MIN(0.75,Matchup!$B$39*$B2833),RAND())</f>
        <v>0</v>
      </c>
      <c r="E2833" s="0" t="n">
        <f aca="true">CRITBINOM(D2833,Coefficients!$B$30,RAND())</f>
        <v>0</v>
      </c>
      <c r="F2833" s="0" t="n">
        <f aca="true">CRITBINOM(E2833,Coefficients!$B$31,RAND())</f>
        <v>0</v>
      </c>
      <c r="G2833" s="0" t="n">
        <f aca="true">CRITBINOM(MAX(0,D2833-E2833),1-Coefficients!$B$32,RAND())</f>
        <v>0</v>
      </c>
      <c r="H2833" s="0" t="n">
        <f aca="true">CRITBINOM(MAX(0,$C2833-D2833),MIN(0.6,Matchup!$B$40*SQRT($B2833)/(1-MIN(0.75,Matchup!$B$39*$B2833))),RAND())</f>
        <v>4</v>
      </c>
      <c r="I2833" s="0" t="n">
        <f aca="false">6*D2833+(D2833-E2833-G2833)+2*F2833+3*H2833</f>
        <v>12</v>
      </c>
      <c r="J2833" s="0" t="n">
        <f aca="true">CRITBINOM($C2833,MIN(0.75,Matchup!$C$39*$B2833),RAND())</f>
        <v>2</v>
      </c>
      <c r="K2833" s="0" t="n">
        <f aca="true">CRITBINOM(J2833,Coefficients!$B$30,RAND())</f>
        <v>1</v>
      </c>
      <c r="L2833" s="0" t="n">
        <f aca="true">CRITBINOM(K2833,Coefficients!$B$31,RAND())</f>
        <v>1</v>
      </c>
      <c r="M2833" s="0" t="n">
        <f aca="true">CRITBINOM(MAX(0,J2833-K2833),1-Coefficients!$B$32,RAND())</f>
        <v>1</v>
      </c>
      <c r="N2833" s="0" t="n">
        <f aca="true">CRITBINOM(MAX(0,$C2833-J2833),MIN(0.6,Matchup!$C$40*SQRT($B2833)/(1-MIN(0.75,Matchup!$C$39*$B2833))),RAND())</f>
        <v>1</v>
      </c>
      <c r="O2833" s="0" t="n">
        <f aca="false">6*J2833+(J2833-K2833-M2833)+2*L2833+3*N2833</f>
        <v>17</v>
      </c>
      <c r="P2833" s="0" t="n">
        <f aca="true">RAND()</f>
        <v>0.756900006805746</v>
      </c>
      <c r="Q2833" s="0" t="n">
        <f aca="true">RAND()</f>
        <v>0.216574001201439</v>
      </c>
      <c r="R2833" s="0" t="n">
        <f aca="false">IF($I2833&lt;&gt;$O2833,0,IF(P2833&lt;Matchup!$B$39,7,IF(P2833&lt;Matchup!$B$39+Matchup!$B$40,3,0)))</f>
        <v>0</v>
      </c>
      <c r="S2833" s="0" t="n">
        <f aca="false">IF($I2833&lt;&gt;$O2833,0,IF(Q2833&lt;Matchup!$C$39,7,IF(Q2833&lt;Matchup!$C$39+Matchup!$C$40,3,0)))</f>
        <v>0</v>
      </c>
      <c r="T2833" s="0" t="n">
        <f aca="false">I2833+R2833</f>
        <v>12</v>
      </c>
      <c r="U2833" s="0" t="n">
        <f aca="false">O2833+S2833</f>
        <v>17</v>
      </c>
      <c r="V2833" s="0" t="n">
        <f aca="false">T2833-U2833</f>
        <v>-5</v>
      </c>
      <c r="W2833" s="0" t="n">
        <f aca="false">T2833+U2833</f>
        <v>29</v>
      </c>
    </row>
    <row r="2834" customFormat="false" ht="15" hidden="false" customHeight="false" outlineLevel="0" collapsed="false">
      <c r="A2834" s="0" t="n">
        <v>2831</v>
      </c>
      <c r="B2834" s="0" t="n">
        <f aca="true">NORMINV(RAND(),1,Coefficients!$B$22)</f>
        <v>1.060740757806</v>
      </c>
      <c r="C2834" s="0" t="n">
        <f aca="true">MEDIAN(8,16,ROUND(NORMINV(RAND(),Coefficients!$B$20,Coefficients!$B$21),0))</f>
        <v>9</v>
      </c>
      <c r="D2834" s="0" t="n">
        <f aca="true">CRITBINOM($C2834,MIN(0.75,Matchup!$B$39*$B2834),RAND())</f>
        <v>2</v>
      </c>
      <c r="E2834" s="0" t="n">
        <f aca="true">CRITBINOM(D2834,Coefficients!$B$30,RAND())</f>
        <v>0</v>
      </c>
      <c r="F2834" s="0" t="n">
        <f aca="true">CRITBINOM(E2834,Coefficients!$B$31,RAND())</f>
        <v>0</v>
      </c>
      <c r="G2834" s="0" t="n">
        <f aca="true">CRITBINOM(MAX(0,D2834-E2834),1-Coefficients!$B$32,RAND())</f>
        <v>0</v>
      </c>
      <c r="H2834" s="0" t="n">
        <f aca="true">CRITBINOM(MAX(0,$C2834-D2834),MIN(0.6,Matchup!$B$40*SQRT($B2834)/(1-MIN(0.75,Matchup!$B$39*$B2834))),RAND())</f>
        <v>1</v>
      </c>
      <c r="I2834" s="0" t="n">
        <f aca="false">6*D2834+(D2834-E2834-G2834)+2*F2834+3*H2834</f>
        <v>17</v>
      </c>
      <c r="J2834" s="0" t="n">
        <f aca="true">CRITBINOM($C2834,MIN(0.75,Matchup!$C$39*$B2834),RAND())</f>
        <v>3</v>
      </c>
      <c r="K2834" s="0" t="n">
        <f aca="true">CRITBINOM(J2834,Coefficients!$B$30,RAND())</f>
        <v>0</v>
      </c>
      <c r="L2834" s="0" t="n">
        <f aca="true">CRITBINOM(K2834,Coefficients!$B$31,RAND())</f>
        <v>0</v>
      </c>
      <c r="M2834" s="0" t="n">
        <f aca="true">CRITBINOM(MAX(0,J2834-K2834),1-Coefficients!$B$32,RAND())</f>
        <v>0</v>
      </c>
      <c r="N2834" s="0" t="n">
        <f aca="true">CRITBINOM(MAX(0,$C2834-J2834),MIN(0.6,Matchup!$C$40*SQRT($B2834)/(1-MIN(0.75,Matchup!$C$39*$B2834))),RAND())</f>
        <v>1</v>
      </c>
      <c r="O2834" s="0" t="n">
        <f aca="false">6*J2834+(J2834-K2834-M2834)+2*L2834+3*N2834</f>
        <v>24</v>
      </c>
      <c r="P2834" s="0" t="n">
        <f aca="true">RAND()</f>
        <v>0.791612181481036</v>
      </c>
      <c r="Q2834" s="0" t="n">
        <f aca="true">RAND()</f>
        <v>0.559184718295512</v>
      </c>
      <c r="R2834" s="0" t="n">
        <f aca="false">IF($I2834&lt;&gt;$O2834,0,IF(P2834&lt;Matchup!$B$39,7,IF(P2834&lt;Matchup!$B$39+Matchup!$B$40,3,0)))</f>
        <v>0</v>
      </c>
      <c r="S2834" s="0" t="n">
        <f aca="false">IF($I2834&lt;&gt;$O2834,0,IF(Q2834&lt;Matchup!$C$39,7,IF(Q2834&lt;Matchup!$C$39+Matchup!$C$40,3,0)))</f>
        <v>0</v>
      </c>
      <c r="T2834" s="0" t="n">
        <f aca="false">I2834+R2834</f>
        <v>17</v>
      </c>
      <c r="U2834" s="0" t="n">
        <f aca="false">O2834+S2834</f>
        <v>24</v>
      </c>
      <c r="V2834" s="0" t="n">
        <f aca="false">T2834-U2834</f>
        <v>-7</v>
      </c>
      <c r="W2834" s="0" t="n">
        <f aca="false">T2834+U2834</f>
        <v>41</v>
      </c>
    </row>
    <row r="2835" customFormat="false" ht="15" hidden="false" customHeight="false" outlineLevel="0" collapsed="false">
      <c r="A2835" s="0" t="n">
        <v>2832</v>
      </c>
      <c r="B2835" s="0" t="n">
        <f aca="true">NORMINV(RAND(),1,Coefficients!$B$22)</f>
        <v>0.999631011679427</v>
      </c>
      <c r="C2835" s="0" t="n">
        <f aca="true">MEDIAN(8,16,ROUND(NORMINV(RAND(),Coefficients!$B$20,Coefficients!$B$21),0))</f>
        <v>12</v>
      </c>
      <c r="D2835" s="0" t="n">
        <f aca="true">CRITBINOM($C2835,MIN(0.75,Matchup!$B$39*$B2835),RAND())</f>
        <v>0</v>
      </c>
      <c r="E2835" s="0" t="n">
        <f aca="true">CRITBINOM(D2835,Coefficients!$B$30,RAND())</f>
        <v>0</v>
      </c>
      <c r="F2835" s="0" t="n">
        <f aca="true">CRITBINOM(E2835,Coefficients!$B$31,RAND())</f>
        <v>0</v>
      </c>
      <c r="G2835" s="0" t="n">
        <f aca="true">CRITBINOM(MAX(0,D2835-E2835),1-Coefficients!$B$32,RAND())</f>
        <v>0</v>
      </c>
      <c r="H2835" s="0" t="n">
        <f aca="true">CRITBINOM(MAX(0,$C2835-D2835),MIN(0.6,Matchup!$B$40*SQRT($B2835)/(1-MIN(0.75,Matchup!$B$39*$B2835))),RAND())</f>
        <v>1</v>
      </c>
      <c r="I2835" s="0" t="n">
        <f aca="false">6*D2835+(D2835-E2835-G2835)+2*F2835+3*H2835</f>
        <v>3</v>
      </c>
      <c r="J2835" s="0" t="n">
        <f aca="true">CRITBINOM($C2835,MIN(0.75,Matchup!$C$39*$B2835),RAND())</f>
        <v>4</v>
      </c>
      <c r="K2835" s="0" t="n">
        <f aca="true">CRITBINOM(J2835,Coefficients!$B$30,RAND())</f>
        <v>0</v>
      </c>
      <c r="L2835" s="0" t="n">
        <f aca="true">CRITBINOM(K2835,Coefficients!$B$31,RAND())</f>
        <v>0</v>
      </c>
      <c r="M2835" s="0" t="n">
        <f aca="true">CRITBINOM(MAX(0,J2835-K2835),1-Coefficients!$B$32,RAND())</f>
        <v>0</v>
      </c>
      <c r="N2835" s="0" t="n">
        <f aca="true">CRITBINOM(MAX(0,$C2835-J2835),MIN(0.6,Matchup!$C$40*SQRT($B2835)/(1-MIN(0.75,Matchup!$C$39*$B2835))),RAND())</f>
        <v>4</v>
      </c>
      <c r="O2835" s="0" t="n">
        <f aca="false">6*J2835+(J2835-K2835-M2835)+2*L2835+3*N2835</f>
        <v>40</v>
      </c>
      <c r="P2835" s="0" t="n">
        <f aca="true">RAND()</f>
        <v>0.265665983648727</v>
      </c>
      <c r="Q2835" s="0" t="n">
        <f aca="true">RAND()</f>
        <v>0.0904696520216543</v>
      </c>
      <c r="R2835" s="0" t="n">
        <f aca="false">IF($I2835&lt;&gt;$O2835,0,IF(P2835&lt;Matchup!$B$39,7,IF(P2835&lt;Matchup!$B$39+Matchup!$B$40,3,0)))</f>
        <v>0</v>
      </c>
      <c r="S2835" s="0" t="n">
        <f aca="false">IF($I2835&lt;&gt;$O2835,0,IF(Q2835&lt;Matchup!$C$39,7,IF(Q2835&lt;Matchup!$C$39+Matchup!$C$40,3,0)))</f>
        <v>0</v>
      </c>
      <c r="T2835" s="0" t="n">
        <f aca="false">I2835+R2835</f>
        <v>3</v>
      </c>
      <c r="U2835" s="0" t="n">
        <f aca="false">O2835+S2835</f>
        <v>40</v>
      </c>
      <c r="V2835" s="0" t="n">
        <f aca="false">T2835-U2835</f>
        <v>-37</v>
      </c>
      <c r="W2835" s="0" t="n">
        <f aca="false">T2835+U2835</f>
        <v>43</v>
      </c>
    </row>
    <row r="2836" customFormat="false" ht="15" hidden="false" customHeight="false" outlineLevel="0" collapsed="false">
      <c r="A2836" s="0" t="n">
        <v>2833</v>
      </c>
      <c r="B2836" s="0" t="n">
        <f aca="true">NORMINV(RAND(),1,Coefficients!$B$22)</f>
        <v>1.03697705041939</v>
      </c>
      <c r="C2836" s="0" t="n">
        <f aca="true">MEDIAN(8,16,ROUND(NORMINV(RAND(),Coefficients!$B$20,Coefficients!$B$21),0))</f>
        <v>11</v>
      </c>
      <c r="D2836" s="0" t="n">
        <f aca="true">CRITBINOM($C2836,MIN(0.75,Matchup!$B$39*$B2836),RAND())</f>
        <v>6</v>
      </c>
      <c r="E2836" s="0" t="n">
        <f aca="true">CRITBINOM(D2836,Coefficients!$B$30,RAND())</f>
        <v>1</v>
      </c>
      <c r="F2836" s="0" t="n">
        <f aca="true">CRITBINOM(E2836,Coefficients!$B$31,RAND())</f>
        <v>1</v>
      </c>
      <c r="G2836" s="0" t="n">
        <f aca="true">CRITBINOM(MAX(0,D2836-E2836),1-Coefficients!$B$32,RAND())</f>
        <v>0</v>
      </c>
      <c r="H2836" s="0" t="n">
        <f aca="true">CRITBINOM(MAX(0,$C2836-D2836),MIN(0.6,Matchup!$B$40*SQRT($B2836)/(1-MIN(0.75,Matchup!$B$39*$B2836))),RAND())</f>
        <v>0</v>
      </c>
      <c r="I2836" s="0" t="n">
        <f aca="false">6*D2836+(D2836-E2836-G2836)+2*F2836+3*H2836</f>
        <v>43</v>
      </c>
      <c r="J2836" s="0" t="n">
        <f aca="true">CRITBINOM($C2836,MIN(0.75,Matchup!$C$39*$B2836),RAND())</f>
        <v>2</v>
      </c>
      <c r="K2836" s="0" t="n">
        <f aca="true">CRITBINOM(J2836,Coefficients!$B$30,RAND())</f>
        <v>0</v>
      </c>
      <c r="L2836" s="0" t="n">
        <f aca="true">CRITBINOM(K2836,Coefficients!$B$31,RAND())</f>
        <v>0</v>
      </c>
      <c r="M2836" s="0" t="n">
        <f aca="true">CRITBINOM(MAX(0,J2836-K2836),1-Coefficients!$B$32,RAND())</f>
        <v>0</v>
      </c>
      <c r="N2836" s="0" t="n">
        <f aca="true">CRITBINOM(MAX(0,$C2836-J2836),MIN(0.6,Matchup!$C$40*SQRT($B2836)/(1-MIN(0.75,Matchup!$C$39*$B2836))),RAND())</f>
        <v>0</v>
      </c>
      <c r="O2836" s="0" t="n">
        <f aca="false">6*J2836+(J2836-K2836-M2836)+2*L2836+3*N2836</f>
        <v>14</v>
      </c>
      <c r="P2836" s="0" t="n">
        <f aca="true">RAND()</f>
        <v>0.734317519479775</v>
      </c>
      <c r="Q2836" s="0" t="n">
        <f aca="true">RAND()</f>
        <v>0.278297006817303</v>
      </c>
      <c r="R2836" s="0" t="n">
        <f aca="false">IF($I2836&lt;&gt;$O2836,0,IF(P2836&lt;Matchup!$B$39,7,IF(P2836&lt;Matchup!$B$39+Matchup!$B$40,3,0)))</f>
        <v>0</v>
      </c>
      <c r="S2836" s="0" t="n">
        <f aca="false">IF($I2836&lt;&gt;$O2836,0,IF(Q2836&lt;Matchup!$C$39,7,IF(Q2836&lt;Matchup!$C$39+Matchup!$C$40,3,0)))</f>
        <v>0</v>
      </c>
      <c r="T2836" s="0" t="n">
        <f aca="false">I2836+R2836</f>
        <v>43</v>
      </c>
      <c r="U2836" s="0" t="n">
        <f aca="false">O2836+S2836</f>
        <v>14</v>
      </c>
      <c r="V2836" s="0" t="n">
        <f aca="false">T2836-U2836</f>
        <v>29</v>
      </c>
      <c r="W2836" s="0" t="n">
        <f aca="false">T2836+U2836</f>
        <v>57</v>
      </c>
    </row>
    <row r="2837" customFormat="false" ht="15" hidden="false" customHeight="false" outlineLevel="0" collapsed="false">
      <c r="A2837" s="0" t="n">
        <v>2834</v>
      </c>
      <c r="B2837" s="0" t="n">
        <f aca="true">NORMINV(RAND(),1,Coefficients!$B$22)</f>
        <v>1.13975793687543</v>
      </c>
      <c r="C2837" s="0" t="n">
        <f aca="true">MEDIAN(8,16,ROUND(NORMINV(RAND(),Coefficients!$B$20,Coefficients!$B$21),0))</f>
        <v>11</v>
      </c>
      <c r="D2837" s="0" t="n">
        <f aca="true">CRITBINOM($C2837,MIN(0.75,Matchup!$B$39*$B2837),RAND())</f>
        <v>0</v>
      </c>
      <c r="E2837" s="0" t="n">
        <f aca="true">CRITBINOM(D2837,Coefficients!$B$30,RAND())</f>
        <v>0</v>
      </c>
      <c r="F2837" s="0" t="n">
        <f aca="true">CRITBINOM(E2837,Coefficients!$B$31,RAND())</f>
        <v>0</v>
      </c>
      <c r="G2837" s="0" t="n">
        <f aca="true">CRITBINOM(MAX(0,D2837-E2837),1-Coefficients!$B$32,RAND())</f>
        <v>0</v>
      </c>
      <c r="H2837" s="0" t="n">
        <f aca="true">CRITBINOM(MAX(0,$C2837-D2837),MIN(0.6,Matchup!$B$40*SQRT($B2837)/(1-MIN(0.75,Matchup!$B$39*$B2837))),RAND())</f>
        <v>0</v>
      </c>
      <c r="I2837" s="0" t="n">
        <f aca="false">6*D2837+(D2837-E2837-G2837)+2*F2837+3*H2837</f>
        <v>0</v>
      </c>
      <c r="J2837" s="0" t="n">
        <f aca="true">CRITBINOM($C2837,MIN(0.75,Matchup!$C$39*$B2837),RAND())</f>
        <v>2</v>
      </c>
      <c r="K2837" s="0" t="n">
        <f aca="true">CRITBINOM(J2837,Coefficients!$B$30,RAND())</f>
        <v>0</v>
      </c>
      <c r="L2837" s="0" t="n">
        <f aca="true">CRITBINOM(K2837,Coefficients!$B$31,RAND())</f>
        <v>0</v>
      </c>
      <c r="M2837" s="0" t="n">
        <f aca="true">CRITBINOM(MAX(0,J2837-K2837),1-Coefficients!$B$32,RAND())</f>
        <v>0</v>
      </c>
      <c r="N2837" s="0" t="n">
        <f aca="true">CRITBINOM(MAX(0,$C2837-J2837),MIN(0.6,Matchup!$C$40*SQRT($B2837)/(1-MIN(0.75,Matchup!$C$39*$B2837))),RAND())</f>
        <v>4</v>
      </c>
      <c r="O2837" s="0" t="n">
        <f aca="false">6*J2837+(J2837-K2837-M2837)+2*L2837+3*N2837</f>
        <v>26</v>
      </c>
      <c r="P2837" s="0" t="n">
        <f aca="true">RAND()</f>
        <v>0.439230282730069</v>
      </c>
      <c r="Q2837" s="0" t="n">
        <f aca="true">RAND()</f>
        <v>0.0218305541304866</v>
      </c>
      <c r="R2837" s="0" t="n">
        <f aca="false">IF($I2837&lt;&gt;$O2837,0,IF(P2837&lt;Matchup!$B$39,7,IF(P2837&lt;Matchup!$B$39+Matchup!$B$40,3,0)))</f>
        <v>0</v>
      </c>
      <c r="S2837" s="0" t="n">
        <f aca="false">IF($I2837&lt;&gt;$O2837,0,IF(Q2837&lt;Matchup!$C$39,7,IF(Q2837&lt;Matchup!$C$39+Matchup!$C$40,3,0)))</f>
        <v>0</v>
      </c>
      <c r="T2837" s="0" t="n">
        <f aca="false">I2837+R2837</f>
        <v>0</v>
      </c>
      <c r="U2837" s="0" t="n">
        <f aca="false">O2837+S2837</f>
        <v>26</v>
      </c>
      <c r="V2837" s="0" t="n">
        <f aca="false">T2837-U2837</f>
        <v>-26</v>
      </c>
      <c r="W2837" s="0" t="n">
        <f aca="false">T2837+U2837</f>
        <v>26</v>
      </c>
    </row>
    <row r="2838" customFormat="false" ht="15" hidden="false" customHeight="false" outlineLevel="0" collapsed="false">
      <c r="A2838" s="0" t="n">
        <v>2835</v>
      </c>
      <c r="B2838" s="0" t="n">
        <f aca="true">NORMINV(RAND(),1,Coefficients!$B$22)</f>
        <v>1.07707741872415</v>
      </c>
      <c r="C2838" s="0" t="n">
        <f aca="true">MEDIAN(8,16,ROUND(NORMINV(RAND(),Coefficients!$B$20,Coefficients!$B$21),0))</f>
        <v>12</v>
      </c>
      <c r="D2838" s="0" t="n">
        <f aca="true">CRITBINOM($C2838,MIN(0.75,Matchup!$B$39*$B2838),RAND())</f>
        <v>7</v>
      </c>
      <c r="E2838" s="0" t="n">
        <f aca="true">CRITBINOM(D2838,Coefficients!$B$30,RAND())</f>
        <v>0</v>
      </c>
      <c r="F2838" s="0" t="n">
        <f aca="true">CRITBINOM(E2838,Coefficients!$B$31,RAND())</f>
        <v>0</v>
      </c>
      <c r="G2838" s="0" t="n">
        <f aca="true">CRITBINOM(MAX(0,D2838-E2838),1-Coefficients!$B$32,RAND())</f>
        <v>0</v>
      </c>
      <c r="H2838" s="0" t="n">
        <f aca="true">CRITBINOM(MAX(0,$C2838-D2838),MIN(0.6,Matchup!$B$40*SQRT($B2838)/(1-MIN(0.75,Matchup!$B$39*$B2838))),RAND())</f>
        <v>1</v>
      </c>
      <c r="I2838" s="0" t="n">
        <f aca="false">6*D2838+(D2838-E2838-G2838)+2*F2838+3*H2838</f>
        <v>52</v>
      </c>
      <c r="J2838" s="0" t="n">
        <f aca="true">CRITBINOM($C2838,MIN(0.75,Matchup!$C$39*$B2838),RAND())</f>
        <v>2</v>
      </c>
      <c r="K2838" s="0" t="n">
        <f aca="true">CRITBINOM(J2838,Coefficients!$B$30,RAND())</f>
        <v>0</v>
      </c>
      <c r="L2838" s="0" t="n">
        <f aca="true">CRITBINOM(K2838,Coefficients!$B$31,RAND())</f>
        <v>0</v>
      </c>
      <c r="M2838" s="0" t="n">
        <f aca="true">CRITBINOM(MAX(0,J2838-K2838),1-Coefficients!$B$32,RAND())</f>
        <v>0</v>
      </c>
      <c r="N2838" s="0" t="n">
        <f aca="true">CRITBINOM(MAX(0,$C2838-J2838),MIN(0.6,Matchup!$C$40*SQRT($B2838)/(1-MIN(0.75,Matchup!$C$39*$B2838))),RAND())</f>
        <v>3</v>
      </c>
      <c r="O2838" s="0" t="n">
        <f aca="false">6*J2838+(J2838-K2838-M2838)+2*L2838+3*N2838</f>
        <v>23</v>
      </c>
      <c r="P2838" s="0" t="n">
        <f aca="true">RAND()</f>
        <v>0.401746891163958</v>
      </c>
      <c r="Q2838" s="0" t="n">
        <f aca="true">RAND()</f>
        <v>0.832064692164675</v>
      </c>
      <c r="R2838" s="0" t="n">
        <f aca="false">IF($I2838&lt;&gt;$O2838,0,IF(P2838&lt;Matchup!$B$39,7,IF(P2838&lt;Matchup!$B$39+Matchup!$B$40,3,0)))</f>
        <v>0</v>
      </c>
      <c r="S2838" s="0" t="n">
        <f aca="false">IF($I2838&lt;&gt;$O2838,0,IF(Q2838&lt;Matchup!$C$39,7,IF(Q2838&lt;Matchup!$C$39+Matchup!$C$40,3,0)))</f>
        <v>0</v>
      </c>
      <c r="T2838" s="0" t="n">
        <f aca="false">I2838+R2838</f>
        <v>52</v>
      </c>
      <c r="U2838" s="0" t="n">
        <f aca="false">O2838+S2838</f>
        <v>23</v>
      </c>
      <c r="V2838" s="0" t="n">
        <f aca="false">T2838-U2838</f>
        <v>29</v>
      </c>
      <c r="W2838" s="0" t="n">
        <f aca="false">T2838+U2838</f>
        <v>75</v>
      </c>
    </row>
    <row r="2839" customFormat="false" ht="15" hidden="false" customHeight="false" outlineLevel="0" collapsed="false">
      <c r="A2839" s="0" t="n">
        <v>2836</v>
      </c>
      <c r="B2839" s="0" t="n">
        <f aca="true">NORMINV(RAND(),1,Coefficients!$B$22)</f>
        <v>0.97227707378444</v>
      </c>
      <c r="C2839" s="0" t="n">
        <f aca="true">MEDIAN(8,16,ROUND(NORMINV(RAND(),Coefficients!$B$20,Coefficients!$B$21),0))</f>
        <v>12</v>
      </c>
      <c r="D2839" s="0" t="n">
        <f aca="true">CRITBINOM($C2839,MIN(0.75,Matchup!$B$39*$B2839),RAND())</f>
        <v>2</v>
      </c>
      <c r="E2839" s="0" t="n">
        <f aca="true">CRITBINOM(D2839,Coefficients!$B$30,RAND())</f>
        <v>1</v>
      </c>
      <c r="F2839" s="0" t="n">
        <f aca="true">CRITBINOM(E2839,Coefficients!$B$31,RAND())</f>
        <v>1</v>
      </c>
      <c r="G2839" s="0" t="n">
        <f aca="true">CRITBINOM(MAX(0,D2839-E2839),1-Coefficients!$B$32,RAND())</f>
        <v>0</v>
      </c>
      <c r="H2839" s="0" t="n">
        <f aca="true">CRITBINOM(MAX(0,$C2839-D2839),MIN(0.6,Matchup!$B$40*SQRT($B2839)/(1-MIN(0.75,Matchup!$B$39*$B2839))),RAND())</f>
        <v>0</v>
      </c>
      <c r="I2839" s="0" t="n">
        <f aca="false">6*D2839+(D2839-E2839-G2839)+2*F2839+3*H2839</f>
        <v>15</v>
      </c>
      <c r="J2839" s="0" t="n">
        <f aca="true">CRITBINOM($C2839,MIN(0.75,Matchup!$C$39*$B2839),RAND())</f>
        <v>3</v>
      </c>
      <c r="K2839" s="0" t="n">
        <f aca="true">CRITBINOM(J2839,Coefficients!$B$30,RAND())</f>
        <v>0</v>
      </c>
      <c r="L2839" s="0" t="n">
        <f aca="true">CRITBINOM(K2839,Coefficients!$B$31,RAND())</f>
        <v>0</v>
      </c>
      <c r="M2839" s="0" t="n">
        <f aca="true">CRITBINOM(MAX(0,J2839-K2839),1-Coefficients!$B$32,RAND())</f>
        <v>0</v>
      </c>
      <c r="N2839" s="0" t="n">
        <f aca="true">CRITBINOM(MAX(0,$C2839-J2839),MIN(0.6,Matchup!$C$40*SQRT($B2839)/(1-MIN(0.75,Matchup!$C$39*$B2839))),RAND())</f>
        <v>1</v>
      </c>
      <c r="O2839" s="0" t="n">
        <f aca="false">6*J2839+(J2839-K2839-M2839)+2*L2839+3*N2839</f>
        <v>24</v>
      </c>
      <c r="P2839" s="0" t="n">
        <f aca="true">RAND()</f>
        <v>0.447939343408073</v>
      </c>
      <c r="Q2839" s="0" t="n">
        <f aca="true">RAND()</f>
        <v>0.259572661969467</v>
      </c>
      <c r="R2839" s="0" t="n">
        <f aca="false">IF($I2839&lt;&gt;$O2839,0,IF(P2839&lt;Matchup!$B$39,7,IF(P2839&lt;Matchup!$B$39+Matchup!$B$40,3,0)))</f>
        <v>0</v>
      </c>
      <c r="S2839" s="0" t="n">
        <f aca="false">IF($I2839&lt;&gt;$O2839,0,IF(Q2839&lt;Matchup!$C$39,7,IF(Q2839&lt;Matchup!$C$39+Matchup!$C$40,3,0)))</f>
        <v>0</v>
      </c>
      <c r="T2839" s="0" t="n">
        <f aca="false">I2839+R2839</f>
        <v>15</v>
      </c>
      <c r="U2839" s="0" t="n">
        <f aca="false">O2839+S2839</f>
        <v>24</v>
      </c>
      <c r="V2839" s="0" t="n">
        <f aca="false">T2839-U2839</f>
        <v>-9</v>
      </c>
      <c r="W2839" s="0" t="n">
        <f aca="false">T2839+U2839</f>
        <v>39</v>
      </c>
    </row>
    <row r="2840" customFormat="false" ht="15" hidden="false" customHeight="false" outlineLevel="0" collapsed="false">
      <c r="A2840" s="0" t="n">
        <v>2837</v>
      </c>
      <c r="B2840" s="0" t="n">
        <f aca="true">NORMINV(RAND(),1,Coefficients!$B$22)</f>
        <v>1.00387165170793</v>
      </c>
      <c r="C2840" s="0" t="n">
        <f aca="true">MEDIAN(8,16,ROUND(NORMINV(RAND(),Coefficients!$B$20,Coefficients!$B$21),0))</f>
        <v>11</v>
      </c>
      <c r="D2840" s="0" t="n">
        <f aca="true">CRITBINOM($C2840,MIN(0.75,Matchup!$B$39*$B2840),RAND())</f>
        <v>1</v>
      </c>
      <c r="E2840" s="0" t="n">
        <f aca="true">CRITBINOM(D2840,Coefficients!$B$30,RAND())</f>
        <v>0</v>
      </c>
      <c r="F2840" s="0" t="n">
        <f aca="true">CRITBINOM(E2840,Coefficients!$B$31,RAND())</f>
        <v>0</v>
      </c>
      <c r="G2840" s="0" t="n">
        <f aca="true">CRITBINOM(MAX(0,D2840-E2840),1-Coefficients!$B$32,RAND())</f>
        <v>0</v>
      </c>
      <c r="H2840" s="0" t="n">
        <f aca="true">CRITBINOM(MAX(0,$C2840-D2840),MIN(0.6,Matchup!$B$40*SQRT($B2840)/(1-MIN(0.75,Matchup!$B$39*$B2840))),RAND())</f>
        <v>2</v>
      </c>
      <c r="I2840" s="0" t="n">
        <f aca="false">6*D2840+(D2840-E2840-G2840)+2*F2840+3*H2840</f>
        <v>13</v>
      </c>
      <c r="J2840" s="0" t="n">
        <f aca="true">CRITBINOM($C2840,MIN(0.75,Matchup!$C$39*$B2840),RAND())</f>
        <v>5</v>
      </c>
      <c r="K2840" s="0" t="n">
        <f aca="true">CRITBINOM(J2840,Coefficients!$B$30,RAND())</f>
        <v>0</v>
      </c>
      <c r="L2840" s="0" t="n">
        <f aca="true">CRITBINOM(K2840,Coefficients!$B$31,RAND())</f>
        <v>0</v>
      </c>
      <c r="M2840" s="0" t="n">
        <f aca="true">CRITBINOM(MAX(0,J2840-K2840),1-Coefficients!$B$32,RAND())</f>
        <v>0</v>
      </c>
      <c r="N2840" s="0" t="n">
        <f aca="true">CRITBINOM(MAX(0,$C2840-J2840),MIN(0.6,Matchup!$C$40*SQRT($B2840)/(1-MIN(0.75,Matchup!$C$39*$B2840))),RAND())</f>
        <v>2</v>
      </c>
      <c r="O2840" s="0" t="n">
        <f aca="false">6*J2840+(J2840-K2840-M2840)+2*L2840+3*N2840</f>
        <v>41</v>
      </c>
      <c r="P2840" s="0" t="n">
        <f aca="true">RAND()</f>
        <v>0.703539718064497</v>
      </c>
      <c r="Q2840" s="0" t="n">
        <f aca="true">RAND()</f>
        <v>0.395852723269133</v>
      </c>
      <c r="R2840" s="0" t="n">
        <f aca="false">IF($I2840&lt;&gt;$O2840,0,IF(P2840&lt;Matchup!$B$39,7,IF(P2840&lt;Matchup!$B$39+Matchup!$B$40,3,0)))</f>
        <v>0</v>
      </c>
      <c r="S2840" s="0" t="n">
        <f aca="false">IF($I2840&lt;&gt;$O2840,0,IF(Q2840&lt;Matchup!$C$39,7,IF(Q2840&lt;Matchup!$C$39+Matchup!$C$40,3,0)))</f>
        <v>0</v>
      </c>
      <c r="T2840" s="0" t="n">
        <f aca="false">I2840+R2840</f>
        <v>13</v>
      </c>
      <c r="U2840" s="0" t="n">
        <f aca="false">O2840+S2840</f>
        <v>41</v>
      </c>
      <c r="V2840" s="0" t="n">
        <f aca="false">T2840-U2840</f>
        <v>-28</v>
      </c>
      <c r="W2840" s="0" t="n">
        <f aca="false">T2840+U2840</f>
        <v>54</v>
      </c>
    </row>
    <row r="2841" customFormat="false" ht="15" hidden="false" customHeight="false" outlineLevel="0" collapsed="false">
      <c r="A2841" s="0" t="n">
        <v>2838</v>
      </c>
      <c r="B2841" s="0" t="n">
        <f aca="true">NORMINV(RAND(),1,Coefficients!$B$22)</f>
        <v>0.843924565552127</v>
      </c>
      <c r="C2841" s="0" t="n">
        <f aca="true">MEDIAN(8,16,ROUND(NORMINV(RAND(),Coefficients!$B$20,Coefficients!$B$21),0))</f>
        <v>12</v>
      </c>
      <c r="D2841" s="0" t="n">
        <f aca="true">CRITBINOM($C2841,MIN(0.75,Matchup!$B$39*$B2841),RAND())</f>
        <v>3</v>
      </c>
      <c r="E2841" s="0" t="n">
        <f aca="true">CRITBINOM(D2841,Coefficients!$B$30,RAND())</f>
        <v>0</v>
      </c>
      <c r="F2841" s="0" t="n">
        <f aca="true">CRITBINOM(E2841,Coefficients!$B$31,RAND())</f>
        <v>0</v>
      </c>
      <c r="G2841" s="0" t="n">
        <f aca="true">CRITBINOM(MAX(0,D2841-E2841),1-Coefficients!$B$32,RAND())</f>
        <v>1</v>
      </c>
      <c r="H2841" s="0" t="n">
        <f aca="true">CRITBINOM(MAX(0,$C2841-D2841),MIN(0.6,Matchup!$B$40*SQRT($B2841)/(1-MIN(0.75,Matchup!$B$39*$B2841))),RAND())</f>
        <v>2</v>
      </c>
      <c r="I2841" s="0" t="n">
        <f aca="false">6*D2841+(D2841-E2841-G2841)+2*F2841+3*H2841</f>
        <v>26</v>
      </c>
      <c r="J2841" s="0" t="n">
        <f aca="true">CRITBINOM($C2841,MIN(0.75,Matchup!$C$39*$B2841),RAND())</f>
        <v>1</v>
      </c>
      <c r="K2841" s="0" t="n">
        <f aca="true">CRITBINOM(J2841,Coefficients!$B$30,RAND())</f>
        <v>0</v>
      </c>
      <c r="L2841" s="0" t="n">
        <f aca="true">CRITBINOM(K2841,Coefficients!$B$31,RAND())</f>
        <v>0</v>
      </c>
      <c r="M2841" s="0" t="n">
        <f aca="true">CRITBINOM(MAX(0,J2841-K2841),1-Coefficients!$B$32,RAND())</f>
        <v>0</v>
      </c>
      <c r="N2841" s="0" t="n">
        <f aca="true">CRITBINOM(MAX(0,$C2841-J2841),MIN(0.6,Matchup!$C$40*SQRT($B2841)/(1-MIN(0.75,Matchup!$C$39*$B2841))),RAND())</f>
        <v>0</v>
      </c>
      <c r="O2841" s="0" t="n">
        <f aca="false">6*J2841+(J2841-K2841-M2841)+2*L2841+3*N2841</f>
        <v>7</v>
      </c>
      <c r="P2841" s="0" t="n">
        <f aca="true">RAND()</f>
        <v>0.417035492657228</v>
      </c>
      <c r="Q2841" s="0" t="n">
        <f aca="true">RAND()</f>
        <v>0.0186447048426421</v>
      </c>
      <c r="R2841" s="0" t="n">
        <f aca="false">IF($I2841&lt;&gt;$O2841,0,IF(P2841&lt;Matchup!$B$39,7,IF(P2841&lt;Matchup!$B$39+Matchup!$B$40,3,0)))</f>
        <v>0</v>
      </c>
      <c r="S2841" s="0" t="n">
        <f aca="false">IF($I2841&lt;&gt;$O2841,0,IF(Q2841&lt;Matchup!$C$39,7,IF(Q2841&lt;Matchup!$C$39+Matchup!$C$40,3,0)))</f>
        <v>0</v>
      </c>
      <c r="T2841" s="0" t="n">
        <f aca="false">I2841+R2841</f>
        <v>26</v>
      </c>
      <c r="U2841" s="0" t="n">
        <f aca="false">O2841+S2841</f>
        <v>7</v>
      </c>
      <c r="V2841" s="0" t="n">
        <f aca="false">T2841-U2841</f>
        <v>19</v>
      </c>
      <c r="W2841" s="0" t="n">
        <f aca="false">T2841+U2841</f>
        <v>33</v>
      </c>
    </row>
    <row r="2842" customFormat="false" ht="15" hidden="false" customHeight="false" outlineLevel="0" collapsed="false">
      <c r="A2842" s="0" t="n">
        <v>2839</v>
      </c>
      <c r="B2842" s="0" t="n">
        <f aca="true">NORMINV(RAND(),1,Coefficients!$B$22)</f>
        <v>1.13284915452472</v>
      </c>
      <c r="C2842" s="0" t="n">
        <f aca="true">MEDIAN(8,16,ROUND(NORMINV(RAND(),Coefficients!$B$20,Coefficients!$B$21),0))</f>
        <v>11</v>
      </c>
      <c r="D2842" s="0" t="n">
        <f aca="true">CRITBINOM($C2842,MIN(0.75,Matchup!$B$39*$B2842),RAND())</f>
        <v>3</v>
      </c>
      <c r="E2842" s="0" t="n">
        <f aca="true">CRITBINOM(D2842,Coefficients!$B$30,RAND())</f>
        <v>0</v>
      </c>
      <c r="F2842" s="0" t="n">
        <f aca="true">CRITBINOM(E2842,Coefficients!$B$31,RAND())</f>
        <v>0</v>
      </c>
      <c r="G2842" s="0" t="n">
        <f aca="true">CRITBINOM(MAX(0,D2842-E2842),1-Coefficients!$B$32,RAND())</f>
        <v>0</v>
      </c>
      <c r="H2842" s="0" t="n">
        <f aca="true">CRITBINOM(MAX(0,$C2842-D2842),MIN(0.6,Matchup!$B$40*SQRT($B2842)/(1-MIN(0.75,Matchup!$B$39*$B2842))),RAND())</f>
        <v>2</v>
      </c>
      <c r="I2842" s="0" t="n">
        <f aca="false">6*D2842+(D2842-E2842-G2842)+2*F2842+3*H2842</f>
        <v>27</v>
      </c>
      <c r="J2842" s="0" t="n">
        <f aca="true">CRITBINOM($C2842,MIN(0.75,Matchup!$C$39*$B2842),RAND())</f>
        <v>4</v>
      </c>
      <c r="K2842" s="0" t="n">
        <f aca="true">CRITBINOM(J2842,Coefficients!$B$30,RAND())</f>
        <v>1</v>
      </c>
      <c r="L2842" s="0" t="n">
        <f aca="true">CRITBINOM(K2842,Coefficients!$B$31,RAND())</f>
        <v>0</v>
      </c>
      <c r="M2842" s="0" t="n">
        <f aca="true">CRITBINOM(MAX(0,J2842-K2842),1-Coefficients!$B$32,RAND())</f>
        <v>0</v>
      </c>
      <c r="N2842" s="0" t="n">
        <f aca="true">CRITBINOM(MAX(0,$C2842-J2842),MIN(0.6,Matchup!$C$40*SQRT($B2842)/(1-MIN(0.75,Matchup!$C$39*$B2842))),RAND())</f>
        <v>1</v>
      </c>
      <c r="O2842" s="0" t="n">
        <f aca="false">6*J2842+(J2842-K2842-M2842)+2*L2842+3*N2842</f>
        <v>30</v>
      </c>
      <c r="P2842" s="0" t="n">
        <f aca="true">RAND()</f>
        <v>0.582257196136992</v>
      </c>
      <c r="Q2842" s="0" t="n">
        <f aca="true">RAND()</f>
        <v>0.927191405117864</v>
      </c>
      <c r="R2842" s="0" t="n">
        <f aca="false">IF($I2842&lt;&gt;$O2842,0,IF(P2842&lt;Matchup!$B$39,7,IF(P2842&lt;Matchup!$B$39+Matchup!$B$40,3,0)))</f>
        <v>0</v>
      </c>
      <c r="S2842" s="0" t="n">
        <f aca="false">IF($I2842&lt;&gt;$O2842,0,IF(Q2842&lt;Matchup!$C$39,7,IF(Q2842&lt;Matchup!$C$39+Matchup!$C$40,3,0)))</f>
        <v>0</v>
      </c>
      <c r="T2842" s="0" t="n">
        <f aca="false">I2842+R2842</f>
        <v>27</v>
      </c>
      <c r="U2842" s="0" t="n">
        <f aca="false">O2842+S2842</f>
        <v>30</v>
      </c>
      <c r="V2842" s="0" t="n">
        <f aca="false">T2842-U2842</f>
        <v>-3</v>
      </c>
      <c r="W2842" s="0" t="n">
        <f aca="false">T2842+U2842</f>
        <v>57</v>
      </c>
    </row>
    <row r="2843" customFormat="false" ht="15" hidden="false" customHeight="false" outlineLevel="0" collapsed="false">
      <c r="A2843" s="0" t="n">
        <v>2840</v>
      </c>
      <c r="B2843" s="0" t="n">
        <f aca="true">NORMINV(RAND(),1,Coefficients!$B$22)</f>
        <v>1.00641626339486</v>
      </c>
      <c r="C2843" s="0" t="n">
        <f aca="true">MEDIAN(8,16,ROUND(NORMINV(RAND(),Coefficients!$B$20,Coefficients!$B$21),0))</f>
        <v>10</v>
      </c>
      <c r="D2843" s="0" t="n">
        <f aca="true">CRITBINOM($C2843,MIN(0.75,Matchup!$B$39*$B2843),RAND())</f>
        <v>5</v>
      </c>
      <c r="E2843" s="0" t="n">
        <f aca="true">CRITBINOM(D2843,Coefficients!$B$30,RAND())</f>
        <v>0</v>
      </c>
      <c r="F2843" s="0" t="n">
        <f aca="true">CRITBINOM(E2843,Coefficients!$B$31,RAND())</f>
        <v>0</v>
      </c>
      <c r="G2843" s="0" t="n">
        <f aca="true">CRITBINOM(MAX(0,D2843-E2843),1-Coefficients!$B$32,RAND())</f>
        <v>0</v>
      </c>
      <c r="H2843" s="0" t="n">
        <f aca="true">CRITBINOM(MAX(0,$C2843-D2843),MIN(0.6,Matchup!$B$40*SQRT($B2843)/(1-MIN(0.75,Matchup!$B$39*$B2843))),RAND())</f>
        <v>1</v>
      </c>
      <c r="I2843" s="0" t="n">
        <f aca="false">6*D2843+(D2843-E2843-G2843)+2*F2843+3*H2843</f>
        <v>38</v>
      </c>
      <c r="J2843" s="0" t="n">
        <f aca="true">CRITBINOM($C2843,MIN(0.75,Matchup!$C$39*$B2843),RAND())</f>
        <v>3</v>
      </c>
      <c r="K2843" s="0" t="n">
        <f aca="true">CRITBINOM(J2843,Coefficients!$B$30,RAND())</f>
        <v>2</v>
      </c>
      <c r="L2843" s="0" t="n">
        <f aca="true">CRITBINOM(K2843,Coefficients!$B$31,RAND())</f>
        <v>0</v>
      </c>
      <c r="M2843" s="0" t="n">
        <f aca="true">CRITBINOM(MAX(0,J2843-K2843),1-Coefficients!$B$32,RAND())</f>
        <v>0</v>
      </c>
      <c r="N2843" s="0" t="n">
        <f aca="true">CRITBINOM(MAX(0,$C2843-J2843),MIN(0.6,Matchup!$C$40*SQRT($B2843)/(1-MIN(0.75,Matchup!$C$39*$B2843))),RAND())</f>
        <v>0</v>
      </c>
      <c r="O2843" s="0" t="n">
        <f aca="false">6*J2843+(J2843-K2843-M2843)+2*L2843+3*N2843</f>
        <v>19</v>
      </c>
      <c r="P2843" s="0" t="n">
        <f aca="true">RAND()</f>
        <v>0.0347656592856493</v>
      </c>
      <c r="Q2843" s="0" t="n">
        <f aca="true">RAND()</f>
        <v>0.323804941411623</v>
      </c>
      <c r="R2843" s="0" t="n">
        <f aca="false">IF($I2843&lt;&gt;$O2843,0,IF(P2843&lt;Matchup!$B$39,7,IF(P2843&lt;Matchup!$B$39+Matchup!$B$40,3,0)))</f>
        <v>0</v>
      </c>
      <c r="S2843" s="0" t="n">
        <f aca="false">IF($I2843&lt;&gt;$O2843,0,IF(Q2843&lt;Matchup!$C$39,7,IF(Q2843&lt;Matchup!$C$39+Matchup!$C$40,3,0)))</f>
        <v>0</v>
      </c>
      <c r="T2843" s="0" t="n">
        <f aca="false">I2843+R2843</f>
        <v>38</v>
      </c>
      <c r="U2843" s="0" t="n">
        <f aca="false">O2843+S2843</f>
        <v>19</v>
      </c>
      <c r="V2843" s="0" t="n">
        <f aca="false">T2843-U2843</f>
        <v>19</v>
      </c>
      <c r="W2843" s="0" t="n">
        <f aca="false">T2843+U2843</f>
        <v>57</v>
      </c>
    </row>
    <row r="2844" customFormat="false" ht="15" hidden="false" customHeight="false" outlineLevel="0" collapsed="false">
      <c r="A2844" s="0" t="n">
        <v>2841</v>
      </c>
      <c r="B2844" s="0" t="n">
        <f aca="true">NORMINV(RAND(),1,Coefficients!$B$22)</f>
        <v>1.17285438293001</v>
      </c>
      <c r="C2844" s="0" t="n">
        <f aca="true">MEDIAN(8,16,ROUND(NORMINV(RAND(),Coefficients!$B$20,Coefficients!$B$21),0))</f>
        <v>9</v>
      </c>
      <c r="D2844" s="0" t="n">
        <f aca="true">CRITBINOM($C2844,MIN(0.75,Matchup!$B$39*$B2844),RAND())</f>
        <v>2</v>
      </c>
      <c r="E2844" s="0" t="n">
        <f aca="true">CRITBINOM(D2844,Coefficients!$B$30,RAND())</f>
        <v>0</v>
      </c>
      <c r="F2844" s="0" t="n">
        <f aca="true">CRITBINOM(E2844,Coefficients!$B$31,RAND())</f>
        <v>0</v>
      </c>
      <c r="G2844" s="0" t="n">
        <f aca="true">CRITBINOM(MAX(0,D2844-E2844),1-Coefficients!$B$32,RAND())</f>
        <v>0</v>
      </c>
      <c r="H2844" s="0" t="n">
        <f aca="true">CRITBINOM(MAX(0,$C2844-D2844),MIN(0.6,Matchup!$B$40*SQRT($B2844)/(1-MIN(0.75,Matchup!$B$39*$B2844))),RAND())</f>
        <v>4</v>
      </c>
      <c r="I2844" s="0" t="n">
        <f aca="false">6*D2844+(D2844-E2844-G2844)+2*F2844+3*H2844</f>
        <v>26</v>
      </c>
      <c r="J2844" s="0" t="n">
        <f aca="true">CRITBINOM($C2844,MIN(0.75,Matchup!$C$39*$B2844),RAND())</f>
        <v>1</v>
      </c>
      <c r="K2844" s="0" t="n">
        <f aca="true">CRITBINOM(J2844,Coefficients!$B$30,RAND())</f>
        <v>0</v>
      </c>
      <c r="L2844" s="0" t="n">
        <f aca="true">CRITBINOM(K2844,Coefficients!$B$31,RAND())</f>
        <v>0</v>
      </c>
      <c r="M2844" s="0" t="n">
        <f aca="true">CRITBINOM(MAX(0,J2844-K2844),1-Coefficients!$B$32,RAND())</f>
        <v>0</v>
      </c>
      <c r="N2844" s="0" t="n">
        <f aca="true">CRITBINOM(MAX(0,$C2844-J2844),MIN(0.6,Matchup!$C$40*SQRT($B2844)/(1-MIN(0.75,Matchup!$C$39*$B2844))),RAND())</f>
        <v>0</v>
      </c>
      <c r="O2844" s="0" t="n">
        <f aca="false">6*J2844+(J2844-K2844-M2844)+2*L2844+3*N2844</f>
        <v>7</v>
      </c>
      <c r="P2844" s="0" t="n">
        <f aca="true">RAND()</f>
        <v>0.122757472971586</v>
      </c>
      <c r="Q2844" s="0" t="n">
        <f aca="true">RAND()</f>
        <v>0.476702517220857</v>
      </c>
      <c r="R2844" s="0" t="n">
        <f aca="false">IF($I2844&lt;&gt;$O2844,0,IF(P2844&lt;Matchup!$B$39,7,IF(P2844&lt;Matchup!$B$39+Matchup!$B$40,3,0)))</f>
        <v>0</v>
      </c>
      <c r="S2844" s="0" t="n">
        <f aca="false">IF($I2844&lt;&gt;$O2844,0,IF(Q2844&lt;Matchup!$C$39,7,IF(Q2844&lt;Matchup!$C$39+Matchup!$C$40,3,0)))</f>
        <v>0</v>
      </c>
      <c r="T2844" s="0" t="n">
        <f aca="false">I2844+R2844</f>
        <v>26</v>
      </c>
      <c r="U2844" s="0" t="n">
        <f aca="false">O2844+S2844</f>
        <v>7</v>
      </c>
      <c r="V2844" s="0" t="n">
        <f aca="false">T2844-U2844</f>
        <v>19</v>
      </c>
      <c r="W2844" s="0" t="n">
        <f aca="false">T2844+U2844</f>
        <v>33</v>
      </c>
    </row>
    <row r="2845" customFormat="false" ht="15" hidden="false" customHeight="false" outlineLevel="0" collapsed="false">
      <c r="A2845" s="0" t="n">
        <v>2842</v>
      </c>
      <c r="B2845" s="0" t="n">
        <f aca="true">NORMINV(RAND(),1,Coefficients!$B$22)</f>
        <v>0.9914626008697</v>
      </c>
      <c r="C2845" s="0" t="n">
        <f aca="true">MEDIAN(8,16,ROUND(NORMINV(RAND(),Coefficients!$B$20,Coefficients!$B$21),0))</f>
        <v>10</v>
      </c>
      <c r="D2845" s="0" t="n">
        <f aca="true">CRITBINOM($C2845,MIN(0.75,Matchup!$B$39*$B2845),RAND())</f>
        <v>2</v>
      </c>
      <c r="E2845" s="0" t="n">
        <f aca="true">CRITBINOM(D2845,Coefficients!$B$30,RAND())</f>
        <v>0</v>
      </c>
      <c r="F2845" s="0" t="n">
        <f aca="true">CRITBINOM(E2845,Coefficients!$B$31,RAND())</f>
        <v>0</v>
      </c>
      <c r="G2845" s="0" t="n">
        <f aca="true">CRITBINOM(MAX(0,D2845-E2845),1-Coefficients!$B$32,RAND())</f>
        <v>0</v>
      </c>
      <c r="H2845" s="0" t="n">
        <f aca="true">CRITBINOM(MAX(0,$C2845-D2845),MIN(0.6,Matchup!$B$40*SQRT($B2845)/(1-MIN(0.75,Matchup!$B$39*$B2845))),RAND())</f>
        <v>2</v>
      </c>
      <c r="I2845" s="0" t="n">
        <f aca="false">6*D2845+(D2845-E2845-G2845)+2*F2845+3*H2845</f>
        <v>20</v>
      </c>
      <c r="J2845" s="0" t="n">
        <f aca="true">CRITBINOM($C2845,MIN(0.75,Matchup!$C$39*$B2845),RAND())</f>
        <v>2</v>
      </c>
      <c r="K2845" s="0" t="n">
        <f aca="true">CRITBINOM(J2845,Coefficients!$B$30,RAND())</f>
        <v>0</v>
      </c>
      <c r="L2845" s="0" t="n">
        <f aca="true">CRITBINOM(K2845,Coefficients!$B$31,RAND())</f>
        <v>0</v>
      </c>
      <c r="M2845" s="0" t="n">
        <f aca="true">CRITBINOM(MAX(0,J2845-K2845),1-Coefficients!$B$32,RAND())</f>
        <v>0</v>
      </c>
      <c r="N2845" s="0" t="n">
        <f aca="true">CRITBINOM(MAX(0,$C2845-J2845),MIN(0.6,Matchup!$C$40*SQRT($B2845)/(1-MIN(0.75,Matchup!$C$39*$B2845))),RAND())</f>
        <v>1</v>
      </c>
      <c r="O2845" s="0" t="n">
        <f aca="false">6*J2845+(J2845-K2845-M2845)+2*L2845+3*N2845</f>
        <v>17</v>
      </c>
      <c r="P2845" s="0" t="n">
        <f aca="true">RAND()</f>
        <v>0.833824425952556</v>
      </c>
      <c r="Q2845" s="0" t="n">
        <f aca="true">RAND()</f>
        <v>0.798211023572703</v>
      </c>
      <c r="R2845" s="0" t="n">
        <f aca="false">IF($I2845&lt;&gt;$O2845,0,IF(P2845&lt;Matchup!$B$39,7,IF(P2845&lt;Matchup!$B$39+Matchup!$B$40,3,0)))</f>
        <v>0</v>
      </c>
      <c r="S2845" s="0" t="n">
        <f aca="false">IF($I2845&lt;&gt;$O2845,0,IF(Q2845&lt;Matchup!$C$39,7,IF(Q2845&lt;Matchup!$C$39+Matchup!$C$40,3,0)))</f>
        <v>0</v>
      </c>
      <c r="T2845" s="0" t="n">
        <f aca="false">I2845+R2845</f>
        <v>20</v>
      </c>
      <c r="U2845" s="0" t="n">
        <f aca="false">O2845+S2845</f>
        <v>17</v>
      </c>
      <c r="V2845" s="0" t="n">
        <f aca="false">T2845-U2845</f>
        <v>3</v>
      </c>
      <c r="W2845" s="0" t="n">
        <f aca="false">T2845+U2845</f>
        <v>37</v>
      </c>
    </row>
    <row r="2846" customFormat="false" ht="15" hidden="false" customHeight="false" outlineLevel="0" collapsed="false">
      <c r="A2846" s="0" t="n">
        <v>2843</v>
      </c>
      <c r="B2846" s="0" t="n">
        <f aca="true">NORMINV(RAND(),1,Coefficients!$B$22)</f>
        <v>0.92492115386719</v>
      </c>
      <c r="C2846" s="0" t="n">
        <f aca="true">MEDIAN(8,16,ROUND(NORMINV(RAND(),Coefficients!$B$20,Coefficients!$B$21),0))</f>
        <v>14</v>
      </c>
      <c r="D2846" s="0" t="n">
        <f aca="true">CRITBINOM($C2846,MIN(0.75,Matchup!$B$39*$B2846),RAND())</f>
        <v>5</v>
      </c>
      <c r="E2846" s="0" t="n">
        <f aca="true">CRITBINOM(D2846,Coefficients!$B$30,RAND())</f>
        <v>0</v>
      </c>
      <c r="F2846" s="0" t="n">
        <f aca="true">CRITBINOM(E2846,Coefficients!$B$31,RAND())</f>
        <v>0</v>
      </c>
      <c r="G2846" s="0" t="n">
        <f aca="true">CRITBINOM(MAX(0,D2846-E2846),1-Coefficients!$B$32,RAND())</f>
        <v>0</v>
      </c>
      <c r="H2846" s="0" t="n">
        <f aca="true">CRITBINOM(MAX(0,$C2846-D2846),MIN(0.6,Matchup!$B$40*SQRT($B2846)/(1-MIN(0.75,Matchup!$B$39*$B2846))),RAND())</f>
        <v>2</v>
      </c>
      <c r="I2846" s="0" t="n">
        <f aca="false">6*D2846+(D2846-E2846-G2846)+2*F2846+3*H2846</f>
        <v>41</v>
      </c>
      <c r="J2846" s="0" t="n">
        <f aca="true">CRITBINOM($C2846,MIN(0.75,Matchup!$C$39*$B2846),RAND())</f>
        <v>1</v>
      </c>
      <c r="K2846" s="0" t="n">
        <f aca="true">CRITBINOM(J2846,Coefficients!$B$30,RAND())</f>
        <v>0</v>
      </c>
      <c r="L2846" s="0" t="n">
        <f aca="true">CRITBINOM(K2846,Coefficients!$B$31,RAND())</f>
        <v>0</v>
      </c>
      <c r="M2846" s="0" t="n">
        <f aca="true">CRITBINOM(MAX(0,J2846-K2846),1-Coefficients!$B$32,RAND())</f>
        <v>0</v>
      </c>
      <c r="N2846" s="0" t="n">
        <f aca="true">CRITBINOM(MAX(0,$C2846-J2846),MIN(0.6,Matchup!$C$40*SQRT($B2846)/(1-MIN(0.75,Matchup!$C$39*$B2846))),RAND())</f>
        <v>2</v>
      </c>
      <c r="O2846" s="0" t="n">
        <f aca="false">6*J2846+(J2846-K2846-M2846)+2*L2846+3*N2846</f>
        <v>13</v>
      </c>
      <c r="P2846" s="0" t="n">
        <f aca="true">RAND()</f>
        <v>0.219747464684413</v>
      </c>
      <c r="Q2846" s="0" t="n">
        <f aca="true">RAND()</f>
        <v>0.0281454923154998</v>
      </c>
      <c r="R2846" s="0" t="n">
        <f aca="false">IF($I2846&lt;&gt;$O2846,0,IF(P2846&lt;Matchup!$B$39,7,IF(P2846&lt;Matchup!$B$39+Matchup!$B$40,3,0)))</f>
        <v>0</v>
      </c>
      <c r="S2846" s="0" t="n">
        <f aca="false">IF($I2846&lt;&gt;$O2846,0,IF(Q2846&lt;Matchup!$C$39,7,IF(Q2846&lt;Matchup!$C$39+Matchup!$C$40,3,0)))</f>
        <v>0</v>
      </c>
      <c r="T2846" s="0" t="n">
        <f aca="false">I2846+R2846</f>
        <v>41</v>
      </c>
      <c r="U2846" s="0" t="n">
        <f aca="false">O2846+S2846</f>
        <v>13</v>
      </c>
      <c r="V2846" s="0" t="n">
        <f aca="false">T2846-U2846</f>
        <v>28</v>
      </c>
      <c r="W2846" s="0" t="n">
        <f aca="false">T2846+U2846</f>
        <v>54</v>
      </c>
    </row>
    <row r="2847" customFormat="false" ht="15" hidden="false" customHeight="false" outlineLevel="0" collapsed="false">
      <c r="A2847" s="0" t="n">
        <v>2844</v>
      </c>
      <c r="B2847" s="0" t="n">
        <f aca="true">NORMINV(RAND(),1,Coefficients!$B$22)</f>
        <v>1.0304830033103</v>
      </c>
      <c r="C2847" s="0" t="n">
        <f aca="true">MEDIAN(8,16,ROUND(NORMINV(RAND(),Coefficients!$B$20,Coefficients!$B$21),0))</f>
        <v>10</v>
      </c>
      <c r="D2847" s="0" t="n">
        <f aca="true">CRITBINOM($C2847,MIN(0.75,Matchup!$B$39*$B2847),RAND())</f>
        <v>0</v>
      </c>
      <c r="E2847" s="0" t="n">
        <f aca="true">CRITBINOM(D2847,Coefficients!$B$30,RAND())</f>
        <v>0</v>
      </c>
      <c r="F2847" s="0" t="n">
        <f aca="true">CRITBINOM(E2847,Coefficients!$B$31,RAND())</f>
        <v>0</v>
      </c>
      <c r="G2847" s="0" t="n">
        <f aca="true">CRITBINOM(MAX(0,D2847-E2847),1-Coefficients!$B$32,RAND())</f>
        <v>0</v>
      </c>
      <c r="H2847" s="0" t="n">
        <f aca="true">CRITBINOM(MAX(0,$C2847-D2847),MIN(0.6,Matchup!$B$40*SQRT($B2847)/(1-MIN(0.75,Matchup!$B$39*$B2847))),RAND())</f>
        <v>0</v>
      </c>
      <c r="I2847" s="0" t="n">
        <f aca="false">6*D2847+(D2847-E2847-G2847)+2*F2847+3*H2847</f>
        <v>0</v>
      </c>
      <c r="J2847" s="0" t="n">
        <f aca="true">CRITBINOM($C2847,MIN(0.75,Matchup!$C$39*$B2847),RAND())</f>
        <v>3</v>
      </c>
      <c r="K2847" s="0" t="n">
        <f aca="true">CRITBINOM(J2847,Coefficients!$B$30,RAND())</f>
        <v>0</v>
      </c>
      <c r="L2847" s="0" t="n">
        <f aca="true">CRITBINOM(K2847,Coefficients!$B$31,RAND())</f>
        <v>0</v>
      </c>
      <c r="M2847" s="0" t="n">
        <f aca="true">CRITBINOM(MAX(0,J2847-K2847),1-Coefficients!$B$32,RAND())</f>
        <v>0</v>
      </c>
      <c r="N2847" s="0" t="n">
        <f aca="true">CRITBINOM(MAX(0,$C2847-J2847),MIN(0.6,Matchup!$C$40*SQRT($B2847)/(1-MIN(0.75,Matchup!$C$39*$B2847))),RAND())</f>
        <v>2</v>
      </c>
      <c r="O2847" s="0" t="n">
        <f aca="false">6*J2847+(J2847-K2847-M2847)+2*L2847+3*N2847</f>
        <v>27</v>
      </c>
      <c r="P2847" s="0" t="n">
        <f aca="true">RAND()</f>
        <v>0.857317523371543</v>
      </c>
      <c r="Q2847" s="0" t="n">
        <f aca="true">RAND()</f>
        <v>0.617033389860319</v>
      </c>
      <c r="R2847" s="0" t="n">
        <f aca="false">IF($I2847&lt;&gt;$O2847,0,IF(P2847&lt;Matchup!$B$39,7,IF(P2847&lt;Matchup!$B$39+Matchup!$B$40,3,0)))</f>
        <v>0</v>
      </c>
      <c r="S2847" s="0" t="n">
        <f aca="false">IF($I2847&lt;&gt;$O2847,0,IF(Q2847&lt;Matchup!$C$39,7,IF(Q2847&lt;Matchup!$C$39+Matchup!$C$40,3,0)))</f>
        <v>0</v>
      </c>
      <c r="T2847" s="0" t="n">
        <f aca="false">I2847+R2847</f>
        <v>0</v>
      </c>
      <c r="U2847" s="0" t="n">
        <f aca="false">O2847+S2847</f>
        <v>27</v>
      </c>
      <c r="V2847" s="0" t="n">
        <f aca="false">T2847-U2847</f>
        <v>-27</v>
      </c>
      <c r="W2847" s="0" t="n">
        <f aca="false">T2847+U2847</f>
        <v>27</v>
      </c>
    </row>
    <row r="2848" customFormat="false" ht="15" hidden="false" customHeight="false" outlineLevel="0" collapsed="false">
      <c r="A2848" s="0" t="n">
        <v>2845</v>
      </c>
      <c r="B2848" s="0" t="n">
        <f aca="true">NORMINV(RAND(),1,Coefficients!$B$22)</f>
        <v>1.13281568105254</v>
      </c>
      <c r="C2848" s="0" t="n">
        <f aca="true">MEDIAN(8,16,ROUND(NORMINV(RAND(),Coefficients!$B$20,Coefficients!$B$21),0))</f>
        <v>12</v>
      </c>
      <c r="D2848" s="0" t="n">
        <f aca="true">CRITBINOM($C2848,MIN(0.75,Matchup!$B$39*$B2848),RAND())</f>
        <v>1</v>
      </c>
      <c r="E2848" s="0" t="n">
        <f aca="true">CRITBINOM(D2848,Coefficients!$B$30,RAND())</f>
        <v>1</v>
      </c>
      <c r="F2848" s="0" t="n">
        <f aca="true">CRITBINOM(E2848,Coefficients!$B$31,RAND())</f>
        <v>1</v>
      </c>
      <c r="G2848" s="0" t="n">
        <f aca="true">CRITBINOM(MAX(0,D2848-E2848),1-Coefficients!$B$32,RAND())</f>
        <v>0</v>
      </c>
      <c r="H2848" s="0" t="n">
        <f aca="true">CRITBINOM(MAX(0,$C2848-D2848),MIN(0.6,Matchup!$B$40*SQRT($B2848)/(1-MIN(0.75,Matchup!$B$39*$B2848))),RAND())</f>
        <v>4</v>
      </c>
      <c r="I2848" s="0" t="n">
        <f aca="false">6*D2848+(D2848-E2848-G2848)+2*F2848+3*H2848</f>
        <v>20</v>
      </c>
      <c r="J2848" s="0" t="n">
        <f aca="true">CRITBINOM($C2848,MIN(0.75,Matchup!$C$39*$B2848),RAND())</f>
        <v>2</v>
      </c>
      <c r="K2848" s="0" t="n">
        <f aca="true">CRITBINOM(J2848,Coefficients!$B$30,RAND())</f>
        <v>0</v>
      </c>
      <c r="L2848" s="0" t="n">
        <f aca="true">CRITBINOM(K2848,Coefficients!$B$31,RAND())</f>
        <v>0</v>
      </c>
      <c r="M2848" s="0" t="n">
        <f aca="true">CRITBINOM(MAX(0,J2848-K2848),1-Coefficients!$B$32,RAND())</f>
        <v>2</v>
      </c>
      <c r="N2848" s="0" t="n">
        <f aca="true">CRITBINOM(MAX(0,$C2848-J2848),MIN(0.6,Matchup!$C$40*SQRT($B2848)/(1-MIN(0.75,Matchup!$C$39*$B2848))),RAND())</f>
        <v>3</v>
      </c>
      <c r="O2848" s="0" t="n">
        <f aca="false">6*J2848+(J2848-K2848-M2848)+2*L2848+3*N2848</f>
        <v>21</v>
      </c>
      <c r="P2848" s="0" t="n">
        <f aca="true">RAND()</f>
        <v>0.311758689169013</v>
      </c>
      <c r="Q2848" s="0" t="n">
        <f aca="true">RAND()</f>
        <v>0.46825274886157</v>
      </c>
      <c r="R2848" s="0" t="n">
        <f aca="false">IF($I2848&lt;&gt;$O2848,0,IF(P2848&lt;Matchup!$B$39,7,IF(P2848&lt;Matchup!$B$39+Matchup!$B$40,3,0)))</f>
        <v>0</v>
      </c>
      <c r="S2848" s="0" t="n">
        <f aca="false">IF($I2848&lt;&gt;$O2848,0,IF(Q2848&lt;Matchup!$C$39,7,IF(Q2848&lt;Matchup!$C$39+Matchup!$C$40,3,0)))</f>
        <v>0</v>
      </c>
      <c r="T2848" s="0" t="n">
        <f aca="false">I2848+R2848</f>
        <v>20</v>
      </c>
      <c r="U2848" s="0" t="n">
        <f aca="false">O2848+S2848</f>
        <v>21</v>
      </c>
      <c r="V2848" s="0" t="n">
        <f aca="false">T2848-U2848</f>
        <v>-1</v>
      </c>
      <c r="W2848" s="0" t="n">
        <f aca="false">T2848+U2848</f>
        <v>41</v>
      </c>
    </row>
    <row r="2849" customFormat="false" ht="15" hidden="false" customHeight="false" outlineLevel="0" collapsed="false">
      <c r="A2849" s="0" t="n">
        <v>2846</v>
      </c>
      <c r="B2849" s="0" t="n">
        <f aca="true">NORMINV(RAND(),1,Coefficients!$B$22)</f>
        <v>0.882739305841097</v>
      </c>
      <c r="C2849" s="0" t="n">
        <f aca="true">MEDIAN(8,16,ROUND(NORMINV(RAND(),Coefficients!$B$20,Coefficients!$B$21),0))</f>
        <v>11</v>
      </c>
      <c r="D2849" s="0" t="n">
        <f aca="true">CRITBINOM($C2849,MIN(0.75,Matchup!$B$39*$B2849),RAND())</f>
        <v>4</v>
      </c>
      <c r="E2849" s="0" t="n">
        <f aca="true">CRITBINOM(D2849,Coefficients!$B$30,RAND())</f>
        <v>0</v>
      </c>
      <c r="F2849" s="0" t="n">
        <f aca="true">CRITBINOM(E2849,Coefficients!$B$31,RAND())</f>
        <v>0</v>
      </c>
      <c r="G2849" s="0" t="n">
        <f aca="true">CRITBINOM(MAX(0,D2849-E2849),1-Coefficients!$B$32,RAND())</f>
        <v>0</v>
      </c>
      <c r="H2849" s="0" t="n">
        <f aca="true">CRITBINOM(MAX(0,$C2849-D2849),MIN(0.6,Matchup!$B$40*SQRT($B2849)/(1-MIN(0.75,Matchup!$B$39*$B2849))),RAND())</f>
        <v>2</v>
      </c>
      <c r="I2849" s="0" t="n">
        <f aca="false">6*D2849+(D2849-E2849-G2849)+2*F2849+3*H2849</f>
        <v>34</v>
      </c>
      <c r="J2849" s="0" t="n">
        <f aca="true">CRITBINOM($C2849,MIN(0.75,Matchup!$C$39*$B2849),RAND())</f>
        <v>2</v>
      </c>
      <c r="K2849" s="0" t="n">
        <f aca="true">CRITBINOM(J2849,Coefficients!$B$30,RAND())</f>
        <v>0</v>
      </c>
      <c r="L2849" s="0" t="n">
        <f aca="true">CRITBINOM(K2849,Coefficients!$B$31,RAND())</f>
        <v>0</v>
      </c>
      <c r="M2849" s="0" t="n">
        <f aca="true">CRITBINOM(MAX(0,J2849-K2849),1-Coefficients!$B$32,RAND())</f>
        <v>0</v>
      </c>
      <c r="N2849" s="0" t="n">
        <f aca="true">CRITBINOM(MAX(0,$C2849-J2849),MIN(0.6,Matchup!$C$40*SQRT($B2849)/(1-MIN(0.75,Matchup!$C$39*$B2849))),RAND())</f>
        <v>3</v>
      </c>
      <c r="O2849" s="0" t="n">
        <f aca="false">6*J2849+(J2849-K2849-M2849)+2*L2849+3*N2849</f>
        <v>23</v>
      </c>
      <c r="P2849" s="0" t="n">
        <f aca="true">RAND()</f>
        <v>0.990028502288051</v>
      </c>
      <c r="Q2849" s="0" t="n">
        <f aca="true">RAND()</f>
        <v>0.63588470060439</v>
      </c>
      <c r="R2849" s="0" t="n">
        <f aca="false">IF($I2849&lt;&gt;$O2849,0,IF(P2849&lt;Matchup!$B$39,7,IF(P2849&lt;Matchup!$B$39+Matchup!$B$40,3,0)))</f>
        <v>0</v>
      </c>
      <c r="S2849" s="0" t="n">
        <f aca="false">IF($I2849&lt;&gt;$O2849,0,IF(Q2849&lt;Matchup!$C$39,7,IF(Q2849&lt;Matchup!$C$39+Matchup!$C$40,3,0)))</f>
        <v>0</v>
      </c>
      <c r="T2849" s="0" t="n">
        <f aca="false">I2849+R2849</f>
        <v>34</v>
      </c>
      <c r="U2849" s="0" t="n">
        <f aca="false">O2849+S2849</f>
        <v>23</v>
      </c>
      <c r="V2849" s="0" t="n">
        <f aca="false">T2849-U2849</f>
        <v>11</v>
      </c>
      <c r="W2849" s="0" t="n">
        <f aca="false">T2849+U2849</f>
        <v>57</v>
      </c>
    </row>
    <row r="2850" customFormat="false" ht="15" hidden="false" customHeight="false" outlineLevel="0" collapsed="false">
      <c r="A2850" s="0" t="n">
        <v>2847</v>
      </c>
      <c r="B2850" s="0" t="n">
        <f aca="true">NORMINV(RAND(),1,Coefficients!$B$22)</f>
        <v>0.945088455042779</v>
      </c>
      <c r="C2850" s="0" t="n">
        <f aca="true">MEDIAN(8,16,ROUND(NORMINV(RAND(),Coefficients!$B$20,Coefficients!$B$21),0))</f>
        <v>11</v>
      </c>
      <c r="D2850" s="0" t="n">
        <f aca="true">CRITBINOM($C2850,MIN(0.75,Matchup!$B$39*$B2850),RAND())</f>
        <v>2</v>
      </c>
      <c r="E2850" s="0" t="n">
        <f aca="true">CRITBINOM(D2850,Coefficients!$B$30,RAND())</f>
        <v>0</v>
      </c>
      <c r="F2850" s="0" t="n">
        <f aca="true">CRITBINOM(E2850,Coefficients!$B$31,RAND())</f>
        <v>0</v>
      </c>
      <c r="G2850" s="0" t="n">
        <f aca="true">CRITBINOM(MAX(0,D2850-E2850),1-Coefficients!$B$32,RAND())</f>
        <v>0</v>
      </c>
      <c r="H2850" s="0" t="n">
        <f aca="true">CRITBINOM(MAX(0,$C2850-D2850),MIN(0.6,Matchup!$B$40*SQRT($B2850)/(1-MIN(0.75,Matchup!$B$39*$B2850))),RAND())</f>
        <v>1</v>
      </c>
      <c r="I2850" s="0" t="n">
        <f aca="false">6*D2850+(D2850-E2850-G2850)+2*F2850+3*H2850</f>
        <v>17</v>
      </c>
      <c r="J2850" s="0" t="n">
        <f aca="true">CRITBINOM($C2850,MIN(0.75,Matchup!$C$39*$B2850),RAND())</f>
        <v>2</v>
      </c>
      <c r="K2850" s="0" t="n">
        <f aca="true">CRITBINOM(J2850,Coefficients!$B$30,RAND())</f>
        <v>0</v>
      </c>
      <c r="L2850" s="0" t="n">
        <f aca="true">CRITBINOM(K2850,Coefficients!$B$31,RAND())</f>
        <v>0</v>
      </c>
      <c r="M2850" s="0" t="n">
        <f aca="true">CRITBINOM(MAX(0,J2850-K2850),1-Coefficients!$B$32,RAND())</f>
        <v>0</v>
      </c>
      <c r="N2850" s="0" t="n">
        <f aca="true">CRITBINOM(MAX(0,$C2850-J2850),MIN(0.6,Matchup!$C$40*SQRT($B2850)/(1-MIN(0.75,Matchup!$C$39*$B2850))),RAND())</f>
        <v>1</v>
      </c>
      <c r="O2850" s="0" t="n">
        <f aca="false">6*J2850+(J2850-K2850-M2850)+2*L2850+3*N2850</f>
        <v>17</v>
      </c>
      <c r="P2850" s="0" t="n">
        <f aca="true">RAND()</f>
        <v>0.367859029394055</v>
      </c>
      <c r="Q2850" s="0" t="n">
        <f aca="true">RAND()</f>
        <v>0.489399172826653</v>
      </c>
      <c r="R2850" s="0" t="n">
        <f aca="false">IF($I2850&lt;&gt;$O2850,0,IF(P2850&lt;Matchup!$B$39,7,IF(P2850&lt;Matchup!$B$39+Matchup!$B$40,3,0)))</f>
        <v>3</v>
      </c>
      <c r="S2850" s="0" t="n">
        <f aca="false">IF($I2850&lt;&gt;$O2850,0,IF(Q2850&lt;Matchup!$C$39,7,IF(Q2850&lt;Matchup!$C$39+Matchup!$C$40,3,0)))</f>
        <v>0</v>
      </c>
      <c r="T2850" s="0" t="n">
        <f aca="false">I2850+R2850</f>
        <v>20</v>
      </c>
      <c r="U2850" s="0" t="n">
        <f aca="false">O2850+S2850</f>
        <v>17</v>
      </c>
      <c r="V2850" s="0" t="n">
        <f aca="false">T2850-U2850</f>
        <v>3</v>
      </c>
      <c r="W2850" s="0" t="n">
        <f aca="false">T2850+U2850</f>
        <v>37</v>
      </c>
    </row>
    <row r="2851" customFormat="false" ht="15" hidden="false" customHeight="false" outlineLevel="0" collapsed="false">
      <c r="A2851" s="0" t="n">
        <v>2848</v>
      </c>
      <c r="B2851" s="0" t="n">
        <f aca="true">NORMINV(RAND(),1,Coefficients!$B$22)</f>
        <v>0.948293607032628</v>
      </c>
      <c r="C2851" s="0" t="n">
        <f aca="true">MEDIAN(8,16,ROUND(NORMINV(RAND(),Coefficients!$B$20,Coefficients!$B$21),0))</f>
        <v>9</v>
      </c>
      <c r="D2851" s="0" t="n">
        <f aca="true">CRITBINOM($C2851,MIN(0.75,Matchup!$B$39*$B2851),RAND())</f>
        <v>2</v>
      </c>
      <c r="E2851" s="0" t="n">
        <f aca="true">CRITBINOM(D2851,Coefficients!$B$30,RAND())</f>
        <v>0</v>
      </c>
      <c r="F2851" s="0" t="n">
        <f aca="true">CRITBINOM(E2851,Coefficients!$B$31,RAND())</f>
        <v>0</v>
      </c>
      <c r="G2851" s="0" t="n">
        <f aca="true">CRITBINOM(MAX(0,D2851-E2851),1-Coefficients!$B$32,RAND())</f>
        <v>0</v>
      </c>
      <c r="H2851" s="0" t="n">
        <f aca="true">CRITBINOM(MAX(0,$C2851-D2851),MIN(0.6,Matchup!$B$40*SQRT($B2851)/(1-MIN(0.75,Matchup!$B$39*$B2851))),RAND())</f>
        <v>1</v>
      </c>
      <c r="I2851" s="0" t="n">
        <f aca="false">6*D2851+(D2851-E2851-G2851)+2*F2851+3*H2851</f>
        <v>17</v>
      </c>
      <c r="J2851" s="0" t="n">
        <f aca="true">CRITBINOM($C2851,MIN(0.75,Matchup!$C$39*$B2851),RAND())</f>
        <v>2</v>
      </c>
      <c r="K2851" s="0" t="n">
        <f aca="true">CRITBINOM(J2851,Coefficients!$B$30,RAND())</f>
        <v>0</v>
      </c>
      <c r="L2851" s="0" t="n">
        <f aca="true">CRITBINOM(K2851,Coefficients!$B$31,RAND())</f>
        <v>0</v>
      </c>
      <c r="M2851" s="0" t="n">
        <f aca="true">CRITBINOM(MAX(0,J2851-K2851),1-Coefficients!$B$32,RAND())</f>
        <v>0</v>
      </c>
      <c r="N2851" s="0" t="n">
        <f aca="true">CRITBINOM(MAX(0,$C2851-J2851),MIN(0.6,Matchup!$C$40*SQRT($B2851)/(1-MIN(0.75,Matchup!$C$39*$B2851))),RAND())</f>
        <v>0</v>
      </c>
      <c r="O2851" s="0" t="n">
        <f aca="false">6*J2851+(J2851-K2851-M2851)+2*L2851+3*N2851</f>
        <v>14</v>
      </c>
      <c r="P2851" s="0" t="n">
        <f aca="true">RAND()</f>
        <v>0.924893491992876</v>
      </c>
      <c r="Q2851" s="0" t="n">
        <f aca="true">RAND()</f>
        <v>0.978350173016423</v>
      </c>
      <c r="R2851" s="0" t="n">
        <f aca="false">IF($I2851&lt;&gt;$O2851,0,IF(P2851&lt;Matchup!$B$39,7,IF(P2851&lt;Matchup!$B$39+Matchup!$B$40,3,0)))</f>
        <v>0</v>
      </c>
      <c r="S2851" s="0" t="n">
        <f aca="false">IF($I2851&lt;&gt;$O2851,0,IF(Q2851&lt;Matchup!$C$39,7,IF(Q2851&lt;Matchup!$C$39+Matchup!$C$40,3,0)))</f>
        <v>0</v>
      </c>
      <c r="T2851" s="0" t="n">
        <f aca="false">I2851+R2851</f>
        <v>17</v>
      </c>
      <c r="U2851" s="0" t="n">
        <f aca="false">O2851+S2851</f>
        <v>14</v>
      </c>
      <c r="V2851" s="0" t="n">
        <f aca="false">T2851-U2851</f>
        <v>3</v>
      </c>
      <c r="W2851" s="0" t="n">
        <f aca="false">T2851+U2851</f>
        <v>31</v>
      </c>
    </row>
    <row r="2852" customFormat="false" ht="15" hidden="false" customHeight="false" outlineLevel="0" collapsed="false">
      <c r="A2852" s="0" t="n">
        <v>2849</v>
      </c>
      <c r="B2852" s="0" t="n">
        <f aca="true">NORMINV(RAND(),1,Coefficients!$B$22)</f>
        <v>0.990431209151038</v>
      </c>
      <c r="C2852" s="0" t="n">
        <f aca="true">MEDIAN(8,16,ROUND(NORMINV(RAND(),Coefficients!$B$20,Coefficients!$B$21),0))</f>
        <v>10</v>
      </c>
      <c r="D2852" s="0" t="n">
        <f aca="true">CRITBINOM($C2852,MIN(0.75,Matchup!$B$39*$B2852),RAND())</f>
        <v>1</v>
      </c>
      <c r="E2852" s="0" t="n">
        <f aca="true">CRITBINOM(D2852,Coefficients!$B$30,RAND())</f>
        <v>0</v>
      </c>
      <c r="F2852" s="0" t="n">
        <f aca="true">CRITBINOM(E2852,Coefficients!$B$31,RAND())</f>
        <v>0</v>
      </c>
      <c r="G2852" s="0" t="n">
        <f aca="true">CRITBINOM(MAX(0,D2852-E2852),1-Coefficients!$B$32,RAND())</f>
        <v>0</v>
      </c>
      <c r="H2852" s="0" t="n">
        <f aca="true">CRITBINOM(MAX(0,$C2852-D2852),MIN(0.6,Matchup!$B$40*SQRT($B2852)/(1-MIN(0.75,Matchup!$B$39*$B2852))),RAND())</f>
        <v>2</v>
      </c>
      <c r="I2852" s="0" t="n">
        <f aca="false">6*D2852+(D2852-E2852-G2852)+2*F2852+3*H2852</f>
        <v>13</v>
      </c>
      <c r="J2852" s="0" t="n">
        <f aca="true">CRITBINOM($C2852,MIN(0.75,Matchup!$C$39*$B2852),RAND())</f>
        <v>1</v>
      </c>
      <c r="K2852" s="0" t="n">
        <f aca="true">CRITBINOM(J2852,Coefficients!$B$30,RAND())</f>
        <v>0</v>
      </c>
      <c r="L2852" s="0" t="n">
        <f aca="true">CRITBINOM(K2852,Coefficients!$B$31,RAND())</f>
        <v>0</v>
      </c>
      <c r="M2852" s="0" t="n">
        <f aca="true">CRITBINOM(MAX(0,J2852-K2852),1-Coefficients!$B$32,RAND())</f>
        <v>0</v>
      </c>
      <c r="N2852" s="0" t="n">
        <f aca="true">CRITBINOM(MAX(0,$C2852-J2852),MIN(0.6,Matchup!$C$40*SQRT($B2852)/(1-MIN(0.75,Matchup!$C$39*$B2852))),RAND())</f>
        <v>2</v>
      </c>
      <c r="O2852" s="0" t="n">
        <f aca="false">6*J2852+(J2852-K2852-M2852)+2*L2852+3*N2852</f>
        <v>13</v>
      </c>
      <c r="P2852" s="0" t="n">
        <f aca="true">RAND()</f>
        <v>0.899878704198726</v>
      </c>
      <c r="Q2852" s="0" t="n">
        <f aca="true">RAND()</f>
        <v>0.445375873506988</v>
      </c>
      <c r="R2852" s="0" t="n">
        <f aca="false">IF($I2852&lt;&gt;$O2852,0,IF(P2852&lt;Matchup!$B$39,7,IF(P2852&lt;Matchup!$B$39+Matchup!$B$40,3,0)))</f>
        <v>0</v>
      </c>
      <c r="S2852" s="0" t="n">
        <f aca="false">IF($I2852&lt;&gt;$O2852,0,IF(Q2852&lt;Matchup!$C$39,7,IF(Q2852&lt;Matchup!$C$39+Matchup!$C$40,3,0)))</f>
        <v>0</v>
      </c>
      <c r="T2852" s="0" t="n">
        <f aca="false">I2852+R2852</f>
        <v>13</v>
      </c>
      <c r="U2852" s="0" t="n">
        <f aca="false">O2852+S2852</f>
        <v>13</v>
      </c>
      <c r="V2852" s="0" t="n">
        <f aca="false">T2852-U2852</f>
        <v>0</v>
      </c>
      <c r="W2852" s="0" t="n">
        <f aca="false">T2852+U2852</f>
        <v>26</v>
      </c>
    </row>
    <row r="2853" customFormat="false" ht="15" hidden="false" customHeight="false" outlineLevel="0" collapsed="false">
      <c r="A2853" s="0" t="n">
        <v>2850</v>
      </c>
      <c r="B2853" s="0" t="n">
        <f aca="true">NORMINV(RAND(),1,Coefficients!$B$22)</f>
        <v>0.965441083334983</v>
      </c>
      <c r="C2853" s="0" t="n">
        <f aca="true">MEDIAN(8,16,ROUND(NORMINV(RAND(),Coefficients!$B$20,Coefficients!$B$21),0))</f>
        <v>11</v>
      </c>
      <c r="D2853" s="0" t="n">
        <f aca="true">CRITBINOM($C2853,MIN(0.75,Matchup!$B$39*$B2853),RAND())</f>
        <v>3</v>
      </c>
      <c r="E2853" s="0" t="n">
        <f aca="true">CRITBINOM(D2853,Coefficients!$B$30,RAND())</f>
        <v>0</v>
      </c>
      <c r="F2853" s="0" t="n">
        <f aca="true">CRITBINOM(E2853,Coefficients!$B$31,RAND())</f>
        <v>0</v>
      </c>
      <c r="G2853" s="0" t="n">
        <f aca="true">CRITBINOM(MAX(0,D2853-E2853),1-Coefficients!$B$32,RAND())</f>
        <v>0</v>
      </c>
      <c r="H2853" s="0" t="n">
        <f aca="true">CRITBINOM(MAX(0,$C2853-D2853),MIN(0.6,Matchup!$B$40*SQRT($B2853)/(1-MIN(0.75,Matchup!$B$39*$B2853))),RAND())</f>
        <v>3</v>
      </c>
      <c r="I2853" s="0" t="n">
        <f aca="false">6*D2853+(D2853-E2853-G2853)+2*F2853+3*H2853</f>
        <v>30</v>
      </c>
      <c r="J2853" s="0" t="n">
        <f aca="true">CRITBINOM($C2853,MIN(0.75,Matchup!$C$39*$B2853),RAND())</f>
        <v>2</v>
      </c>
      <c r="K2853" s="0" t="n">
        <f aca="true">CRITBINOM(J2853,Coefficients!$B$30,RAND())</f>
        <v>0</v>
      </c>
      <c r="L2853" s="0" t="n">
        <f aca="true">CRITBINOM(K2853,Coefficients!$B$31,RAND())</f>
        <v>0</v>
      </c>
      <c r="M2853" s="0" t="n">
        <f aca="true">CRITBINOM(MAX(0,J2853-K2853),1-Coefficients!$B$32,RAND())</f>
        <v>0</v>
      </c>
      <c r="N2853" s="0" t="n">
        <f aca="true">CRITBINOM(MAX(0,$C2853-J2853),MIN(0.6,Matchup!$C$40*SQRT($B2853)/(1-MIN(0.75,Matchup!$C$39*$B2853))),RAND())</f>
        <v>2</v>
      </c>
      <c r="O2853" s="0" t="n">
        <f aca="false">6*J2853+(J2853-K2853-M2853)+2*L2853+3*N2853</f>
        <v>20</v>
      </c>
      <c r="P2853" s="0" t="n">
        <f aca="true">RAND()</f>
        <v>0.589045416051676</v>
      </c>
      <c r="Q2853" s="0" t="n">
        <f aca="true">RAND()</f>
        <v>0.146373073352971</v>
      </c>
      <c r="R2853" s="0" t="n">
        <f aca="false">IF($I2853&lt;&gt;$O2853,0,IF(P2853&lt;Matchup!$B$39,7,IF(P2853&lt;Matchup!$B$39+Matchup!$B$40,3,0)))</f>
        <v>0</v>
      </c>
      <c r="S2853" s="0" t="n">
        <f aca="false">IF($I2853&lt;&gt;$O2853,0,IF(Q2853&lt;Matchup!$C$39,7,IF(Q2853&lt;Matchup!$C$39+Matchup!$C$40,3,0)))</f>
        <v>0</v>
      </c>
      <c r="T2853" s="0" t="n">
        <f aca="false">I2853+R2853</f>
        <v>30</v>
      </c>
      <c r="U2853" s="0" t="n">
        <f aca="false">O2853+S2853</f>
        <v>20</v>
      </c>
      <c r="V2853" s="0" t="n">
        <f aca="false">T2853-U2853</f>
        <v>10</v>
      </c>
      <c r="W2853" s="0" t="n">
        <f aca="false">T2853+U2853</f>
        <v>50</v>
      </c>
    </row>
    <row r="2854" customFormat="false" ht="15" hidden="false" customHeight="false" outlineLevel="0" collapsed="false">
      <c r="A2854" s="0" t="n">
        <v>2851</v>
      </c>
      <c r="B2854" s="0" t="n">
        <f aca="true">NORMINV(RAND(),1,Coefficients!$B$22)</f>
        <v>0.961229840946386</v>
      </c>
      <c r="C2854" s="0" t="n">
        <f aca="true">MEDIAN(8,16,ROUND(NORMINV(RAND(),Coefficients!$B$20,Coefficients!$B$21),0))</f>
        <v>11</v>
      </c>
      <c r="D2854" s="0" t="n">
        <f aca="true">CRITBINOM($C2854,MIN(0.75,Matchup!$B$39*$B2854),RAND())</f>
        <v>2</v>
      </c>
      <c r="E2854" s="0" t="n">
        <f aca="true">CRITBINOM(D2854,Coefficients!$B$30,RAND())</f>
        <v>1</v>
      </c>
      <c r="F2854" s="0" t="n">
        <f aca="true">CRITBINOM(E2854,Coefficients!$B$31,RAND())</f>
        <v>1</v>
      </c>
      <c r="G2854" s="0" t="n">
        <f aca="true">CRITBINOM(MAX(0,D2854-E2854),1-Coefficients!$B$32,RAND())</f>
        <v>0</v>
      </c>
      <c r="H2854" s="0" t="n">
        <f aca="true">CRITBINOM(MAX(0,$C2854-D2854),MIN(0.6,Matchup!$B$40*SQRT($B2854)/(1-MIN(0.75,Matchup!$B$39*$B2854))),RAND())</f>
        <v>3</v>
      </c>
      <c r="I2854" s="0" t="n">
        <f aca="false">6*D2854+(D2854-E2854-G2854)+2*F2854+3*H2854</f>
        <v>24</v>
      </c>
      <c r="J2854" s="0" t="n">
        <f aca="true">CRITBINOM($C2854,MIN(0.75,Matchup!$C$39*$B2854),RAND())</f>
        <v>0</v>
      </c>
      <c r="K2854" s="0" t="n">
        <f aca="true">CRITBINOM(J2854,Coefficients!$B$30,RAND())</f>
        <v>0</v>
      </c>
      <c r="L2854" s="0" t="n">
        <f aca="true">CRITBINOM(K2854,Coefficients!$B$31,RAND())</f>
        <v>0</v>
      </c>
      <c r="M2854" s="0" t="n">
        <f aca="true">CRITBINOM(MAX(0,J2854-K2854),1-Coefficients!$B$32,RAND())</f>
        <v>0</v>
      </c>
      <c r="N2854" s="0" t="n">
        <f aca="true">CRITBINOM(MAX(0,$C2854-J2854),MIN(0.6,Matchup!$C$40*SQRT($B2854)/(1-MIN(0.75,Matchup!$C$39*$B2854))),RAND())</f>
        <v>2</v>
      </c>
      <c r="O2854" s="0" t="n">
        <f aca="false">6*J2854+(J2854-K2854-M2854)+2*L2854+3*N2854</f>
        <v>6</v>
      </c>
      <c r="P2854" s="0" t="n">
        <f aca="true">RAND()</f>
        <v>0.287083271997599</v>
      </c>
      <c r="Q2854" s="0" t="n">
        <f aca="true">RAND()</f>
        <v>0.601663975810561</v>
      </c>
      <c r="R2854" s="0" t="n">
        <f aca="false">IF($I2854&lt;&gt;$O2854,0,IF(P2854&lt;Matchup!$B$39,7,IF(P2854&lt;Matchup!$B$39+Matchup!$B$40,3,0)))</f>
        <v>0</v>
      </c>
      <c r="S2854" s="0" t="n">
        <f aca="false">IF($I2854&lt;&gt;$O2854,0,IF(Q2854&lt;Matchup!$C$39,7,IF(Q2854&lt;Matchup!$C$39+Matchup!$C$40,3,0)))</f>
        <v>0</v>
      </c>
      <c r="T2854" s="0" t="n">
        <f aca="false">I2854+R2854</f>
        <v>24</v>
      </c>
      <c r="U2854" s="0" t="n">
        <f aca="false">O2854+S2854</f>
        <v>6</v>
      </c>
      <c r="V2854" s="0" t="n">
        <f aca="false">T2854-U2854</f>
        <v>18</v>
      </c>
      <c r="W2854" s="0" t="n">
        <f aca="false">T2854+U2854</f>
        <v>30</v>
      </c>
    </row>
    <row r="2855" customFormat="false" ht="15" hidden="false" customHeight="false" outlineLevel="0" collapsed="false">
      <c r="A2855" s="0" t="n">
        <v>2852</v>
      </c>
      <c r="B2855" s="0" t="n">
        <f aca="true">NORMINV(RAND(),1,Coefficients!$B$22)</f>
        <v>0.859229616167195</v>
      </c>
      <c r="C2855" s="0" t="n">
        <f aca="true">MEDIAN(8,16,ROUND(NORMINV(RAND(),Coefficients!$B$20,Coefficients!$B$21),0))</f>
        <v>11</v>
      </c>
      <c r="D2855" s="0" t="n">
        <f aca="true">CRITBINOM($C2855,MIN(0.75,Matchup!$B$39*$B2855),RAND())</f>
        <v>1</v>
      </c>
      <c r="E2855" s="0" t="n">
        <f aca="true">CRITBINOM(D2855,Coefficients!$B$30,RAND())</f>
        <v>0</v>
      </c>
      <c r="F2855" s="0" t="n">
        <f aca="true">CRITBINOM(E2855,Coefficients!$B$31,RAND())</f>
        <v>0</v>
      </c>
      <c r="G2855" s="0" t="n">
        <f aca="true">CRITBINOM(MAX(0,D2855-E2855),1-Coefficients!$B$32,RAND())</f>
        <v>0</v>
      </c>
      <c r="H2855" s="0" t="n">
        <f aca="true">CRITBINOM(MAX(0,$C2855-D2855),MIN(0.6,Matchup!$B$40*SQRT($B2855)/(1-MIN(0.75,Matchup!$B$39*$B2855))),RAND())</f>
        <v>3</v>
      </c>
      <c r="I2855" s="0" t="n">
        <f aca="false">6*D2855+(D2855-E2855-G2855)+2*F2855+3*H2855</f>
        <v>16</v>
      </c>
      <c r="J2855" s="0" t="n">
        <f aca="true">CRITBINOM($C2855,MIN(0.75,Matchup!$C$39*$B2855),RAND())</f>
        <v>1</v>
      </c>
      <c r="K2855" s="0" t="n">
        <f aca="true">CRITBINOM(J2855,Coefficients!$B$30,RAND())</f>
        <v>0</v>
      </c>
      <c r="L2855" s="0" t="n">
        <f aca="true">CRITBINOM(K2855,Coefficients!$B$31,RAND())</f>
        <v>0</v>
      </c>
      <c r="M2855" s="0" t="n">
        <f aca="true">CRITBINOM(MAX(0,J2855-K2855),1-Coefficients!$B$32,RAND())</f>
        <v>0</v>
      </c>
      <c r="N2855" s="0" t="n">
        <f aca="true">CRITBINOM(MAX(0,$C2855-J2855),MIN(0.6,Matchup!$C$40*SQRT($B2855)/(1-MIN(0.75,Matchup!$C$39*$B2855))),RAND())</f>
        <v>2</v>
      </c>
      <c r="O2855" s="0" t="n">
        <f aca="false">6*J2855+(J2855-K2855-M2855)+2*L2855+3*N2855</f>
        <v>13</v>
      </c>
      <c r="P2855" s="0" t="n">
        <f aca="true">RAND()</f>
        <v>0.595513912635006</v>
      </c>
      <c r="Q2855" s="0" t="n">
        <f aca="true">RAND()</f>
        <v>0.26417888262839</v>
      </c>
      <c r="R2855" s="0" t="n">
        <f aca="false">IF($I2855&lt;&gt;$O2855,0,IF(P2855&lt;Matchup!$B$39,7,IF(P2855&lt;Matchup!$B$39+Matchup!$B$40,3,0)))</f>
        <v>0</v>
      </c>
      <c r="S2855" s="0" t="n">
        <f aca="false">IF($I2855&lt;&gt;$O2855,0,IF(Q2855&lt;Matchup!$C$39,7,IF(Q2855&lt;Matchup!$C$39+Matchup!$C$40,3,0)))</f>
        <v>0</v>
      </c>
      <c r="T2855" s="0" t="n">
        <f aca="false">I2855+R2855</f>
        <v>16</v>
      </c>
      <c r="U2855" s="0" t="n">
        <f aca="false">O2855+S2855</f>
        <v>13</v>
      </c>
      <c r="V2855" s="0" t="n">
        <f aca="false">T2855-U2855</f>
        <v>3</v>
      </c>
      <c r="W2855" s="0" t="n">
        <f aca="false">T2855+U2855</f>
        <v>29</v>
      </c>
    </row>
    <row r="2856" customFormat="false" ht="15" hidden="false" customHeight="false" outlineLevel="0" collapsed="false">
      <c r="A2856" s="0" t="n">
        <v>2853</v>
      </c>
      <c r="B2856" s="0" t="n">
        <f aca="true">NORMINV(RAND(),1,Coefficients!$B$22)</f>
        <v>1.08386262822563</v>
      </c>
      <c r="C2856" s="0" t="n">
        <f aca="true">MEDIAN(8,16,ROUND(NORMINV(RAND(),Coefficients!$B$20,Coefficients!$B$21),0))</f>
        <v>11</v>
      </c>
      <c r="D2856" s="0" t="n">
        <f aca="true">CRITBINOM($C2856,MIN(0.75,Matchup!$B$39*$B2856),RAND())</f>
        <v>3</v>
      </c>
      <c r="E2856" s="0" t="n">
        <f aca="true">CRITBINOM(D2856,Coefficients!$B$30,RAND())</f>
        <v>0</v>
      </c>
      <c r="F2856" s="0" t="n">
        <f aca="true">CRITBINOM(E2856,Coefficients!$B$31,RAND())</f>
        <v>0</v>
      </c>
      <c r="G2856" s="0" t="n">
        <f aca="true">CRITBINOM(MAX(0,D2856-E2856),1-Coefficients!$B$32,RAND())</f>
        <v>0</v>
      </c>
      <c r="H2856" s="0" t="n">
        <f aca="true">CRITBINOM(MAX(0,$C2856-D2856),MIN(0.6,Matchup!$B$40*SQRT($B2856)/(1-MIN(0.75,Matchup!$B$39*$B2856))),RAND())</f>
        <v>2</v>
      </c>
      <c r="I2856" s="0" t="n">
        <f aca="false">6*D2856+(D2856-E2856-G2856)+2*F2856+3*H2856</f>
        <v>27</v>
      </c>
      <c r="J2856" s="0" t="n">
        <f aca="true">CRITBINOM($C2856,MIN(0.75,Matchup!$C$39*$B2856),RAND())</f>
        <v>4</v>
      </c>
      <c r="K2856" s="0" t="n">
        <f aca="true">CRITBINOM(J2856,Coefficients!$B$30,RAND())</f>
        <v>1</v>
      </c>
      <c r="L2856" s="0" t="n">
        <f aca="true">CRITBINOM(K2856,Coefficients!$B$31,RAND())</f>
        <v>0</v>
      </c>
      <c r="M2856" s="0" t="n">
        <f aca="true">CRITBINOM(MAX(0,J2856-K2856),1-Coefficients!$B$32,RAND())</f>
        <v>0</v>
      </c>
      <c r="N2856" s="0" t="n">
        <f aca="true">CRITBINOM(MAX(0,$C2856-J2856),MIN(0.6,Matchup!$C$40*SQRT($B2856)/(1-MIN(0.75,Matchup!$C$39*$B2856))),RAND())</f>
        <v>1</v>
      </c>
      <c r="O2856" s="0" t="n">
        <f aca="false">6*J2856+(J2856-K2856-M2856)+2*L2856+3*N2856</f>
        <v>30</v>
      </c>
      <c r="P2856" s="0" t="n">
        <f aca="true">RAND()</f>
        <v>0.952532525563548</v>
      </c>
      <c r="Q2856" s="0" t="n">
        <f aca="true">RAND()</f>
        <v>0.814253215413289</v>
      </c>
      <c r="R2856" s="0" t="n">
        <f aca="false">IF($I2856&lt;&gt;$O2856,0,IF(P2856&lt;Matchup!$B$39,7,IF(P2856&lt;Matchup!$B$39+Matchup!$B$40,3,0)))</f>
        <v>0</v>
      </c>
      <c r="S2856" s="0" t="n">
        <f aca="false">IF($I2856&lt;&gt;$O2856,0,IF(Q2856&lt;Matchup!$C$39,7,IF(Q2856&lt;Matchup!$C$39+Matchup!$C$40,3,0)))</f>
        <v>0</v>
      </c>
      <c r="T2856" s="0" t="n">
        <f aca="false">I2856+R2856</f>
        <v>27</v>
      </c>
      <c r="U2856" s="0" t="n">
        <f aca="false">O2856+S2856</f>
        <v>30</v>
      </c>
      <c r="V2856" s="0" t="n">
        <f aca="false">T2856-U2856</f>
        <v>-3</v>
      </c>
      <c r="W2856" s="0" t="n">
        <f aca="false">T2856+U2856</f>
        <v>57</v>
      </c>
    </row>
    <row r="2857" customFormat="false" ht="15" hidden="false" customHeight="false" outlineLevel="0" collapsed="false">
      <c r="A2857" s="0" t="n">
        <v>2854</v>
      </c>
      <c r="B2857" s="0" t="n">
        <f aca="true">NORMINV(RAND(),1,Coefficients!$B$22)</f>
        <v>1.07634765801332</v>
      </c>
      <c r="C2857" s="0" t="n">
        <f aca="true">MEDIAN(8,16,ROUND(NORMINV(RAND(),Coefficients!$B$20,Coefficients!$B$21),0))</f>
        <v>9</v>
      </c>
      <c r="D2857" s="0" t="n">
        <f aca="true">CRITBINOM($C2857,MIN(0.75,Matchup!$B$39*$B2857),RAND())</f>
        <v>4</v>
      </c>
      <c r="E2857" s="0" t="n">
        <f aca="true">CRITBINOM(D2857,Coefficients!$B$30,RAND())</f>
        <v>0</v>
      </c>
      <c r="F2857" s="0" t="n">
        <f aca="true">CRITBINOM(E2857,Coefficients!$B$31,RAND())</f>
        <v>0</v>
      </c>
      <c r="G2857" s="0" t="n">
        <f aca="true">CRITBINOM(MAX(0,D2857-E2857),1-Coefficients!$B$32,RAND())</f>
        <v>0</v>
      </c>
      <c r="H2857" s="0" t="n">
        <f aca="true">CRITBINOM(MAX(0,$C2857-D2857),MIN(0.6,Matchup!$B$40*SQRT($B2857)/(1-MIN(0.75,Matchup!$B$39*$B2857))),RAND())</f>
        <v>0</v>
      </c>
      <c r="I2857" s="0" t="n">
        <f aca="false">6*D2857+(D2857-E2857-G2857)+2*F2857+3*H2857</f>
        <v>28</v>
      </c>
      <c r="J2857" s="0" t="n">
        <f aca="true">CRITBINOM($C2857,MIN(0.75,Matchup!$C$39*$B2857),RAND())</f>
        <v>1</v>
      </c>
      <c r="K2857" s="0" t="n">
        <f aca="true">CRITBINOM(J2857,Coefficients!$B$30,RAND())</f>
        <v>0</v>
      </c>
      <c r="L2857" s="0" t="n">
        <f aca="true">CRITBINOM(K2857,Coefficients!$B$31,RAND())</f>
        <v>0</v>
      </c>
      <c r="M2857" s="0" t="n">
        <f aca="true">CRITBINOM(MAX(0,J2857-K2857),1-Coefficients!$B$32,RAND())</f>
        <v>0</v>
      </c>
      <c r="N2857" s="0" t="n">
        <f aca="true">CRITBINOM(MAX(0,$C2857-J2857),MIN(0.6,Matchup!$C$40*SQRT($B2857)/(1-MIN(0.75,Matchup!$C$39*$B2857))),RAND())</f>
        <v>3</v>
      </c>
      <c r="O2857" s="0" t="n">
        <f aca="false">6*J2857+(J2857-K2857-M2857)+2*L2857+3*N2857</f>
        <v>16</v>
      </c>
      <c r="P2857" s="0" t="n">
        <f aca="true">RAND()</f>
        <v>0.593697711808192</v>
      </c>
      <c r="Q2857" s="0" t="n">
        <f aca="true">RAND()</f>
        <v>0.452718628958125</v>
      </c>
      <c r="R2857" s="0" t="n">
        <f aca="false">IF($I2857&lt;&gt;$O2857,0,IF(P2857&lt;Matchup!$B$39,7,IF(P2857&lt;Matchup!$B$39+Matchup!$B$40,3,0)))</f>
        <v>0</v>
      </c>
      <c r="S2857" s="0" t="n">
        <f aca="false">IF($I2857&lt;&gt;$O2857,0,IF(Q2857&lt;Matchup!$C$39,7,IF(Q2857&lt;Matchup!$C$39+Matchup!$C$40,3,0)))</f>
        <v>0</v>
      </c>
      <c r="T2857" s="0" t="n">
        <f aca="false">I2857+R2857</f>
        <v>28</v>
      </c>
      <c r="U2857" s="0" t="n">
        <f aca="false">O2857+S2857</f>
        <v>16</v>
      </c>
      <c r="V2857" s="0" t="n">
        <f aca="false">T2857-U2857</f>
        <v>12</v>
      </c>
      <c r="W2857" s="0" t="n">
        <f aca="false">T2857+U2857</f>
        <v>44</v>
      </c>
    </row>
    <row r="2858" customFormat="false" ht="15" hidden="false" customHeight="false" outlineLevel="0" collapsed="false">
      <c r="A2858" s="0" t="n">
        <v>2855</v>
      </c>
      <c r="B2858" s="0" t="n">
        <f aca="true">NORMINV(RAND(),1,Coefficients!$B$22)</f>
        <v>1.10997540041448</v>
      </c>
      <c r="C2858" s="0" t="n">
        <f aca="true">MEDIAN(8,16,ROUND(NORMINV(RAND(),Coefficients!$B$20,Coefficients!$B$21),0))</f>
        <v>13</v>
      </c>
      <c r="D2858" s="0" t="n">
        <f aca="true">CRITBINOM($C2858,MIN(0.75,Matchup!$B$39*$B2858),RAND())</f>
        <v>3</v>
      </c>
      <c r="E2858" s="0" t="n">
        <f aca="true">CRITBINOM(D2858,Coefficients!$B$30,RAND())</f>
        <v>0</v>
      </c>
      <c r="F2858" s="0" t="n">
        <f aca="true">CRITBINOM(E2858,Coefficients!$B$31,RAND())</f>
        <v>0</v>
      </c>
      <c r="G2858" s="0" t="n">
        <f aca="true">CRITBINOM(MAX(0,D2858-E2858),1-Coefficients!$B$32,RAND())</f>
        <v>0</v>
      </c>
      <c r="H2858" s="0" t="n">
        <f aca="true">CRITBINOM(MAX(0,$C2858-D2858),MIN(0.6,Matchup!$B$40*SQRT($B2858)/(1-MIN(0.75,Matchup!$B$39*$B2858))),RAND())</f>
        <v>3</v>
      </c>
      <c r="I2858" s="0" t="n">
        <f aca="false">6*D2858+(D2858-E2858-G2858)+2*F2858+3*H2858</f>
        <v>30</v>
      </c>
      <c r="J2858" s="0" t="n">
        <f aca="true">CRITBINOM($C2858,MIN(0.75,Matchup!$C$39*$B2858),RAND())</f>
        <v>5</v>
      </c>
      <c r="K2858" s="0" t="n">
        <f aca="true">CRITBINOM(J2858,Coefficients!$B$30,RAND())</f>
        <v>0</v>
      </c>
      <c r="L2858" s="0" t="n">
        <f aca="true">CRITBINOM(K2858,Coefficients!$B$31,RAND())</f>
        <v>0</v>
      </c>
      <c r="M2858" s="0" t="n">
        <f aca="true">CRITBINOM(MAX(0,J2858-K2858),1-Coefficients!$B$32,RAND())</f>
        <v>0</v>
      </c>
      <c r="N2858" s="0" t="n">
        <f aca="true">CRITBINOM(MAX(0,$C2858-J2858),MIN(0.6,Matchup!$C$40*SQRT($B2858)/(1-MIN(0.75,Matchup!$C$39*$B2858))),RAND())</f>
        <v>2</v>
      </c>
      <c r="O2858" s="0" t="n">
        <f aca="false">6*J2858+(J2858-K2858-M2858)+2*L2858+3*N2858</f>
        <v>41</v>
      </c>
      <c r="P2858" s="0" t="n">
        <f aca="true">RAND()</f>
        <v>0.537213874236713</v>
      </c>
      <c r="Q2858" s="0" t="n">
        <f aca="true">RAND()</f>
        <v>0.041087774594754</v>
      </c>
      <c r="R2858" s="0" t="n">
        <f aca="false">IF($I2858&lt;&gt;$O2858,0,IF(P2858&lt;Matchup!$B$39,7,IF(P2858&lt;Matchup!$B$39+Matchup!$B$40,3,0)))</f>
        <v>0</v>
      </c>
      <c r="S2858" s="0" t="n">
        <f aca="false">IF($I2858&lt;&gt;$O2858,0,IF(Q2858&lt;Matchup!$C$39,7,IF(Q2858&lt;Matchup!$C$39+Matchup!$C$40,3,0)))</f>
        <v>0</v>
      </c>
      <c r="T2858" s="0" t="n">
        <f aca="false">I2858+R2858</f>
        <v>30</v>
      </c>
      <c r="U2858" s="0" t="n">
        <f aca="false">O2858+S2858</f>
        <v>41</v>
      </c>
      <c r="V2858" s="0" t="n">
        <f aca="false">T2858-U2858</f>
        <v>-11</v>
      </c>
      <c r="W2858" s="0" t="n">
        <f aca="false">T2858+U2858</f>
        <v>71</v>
      </c>
    </row>
    <row r="2859" customFormat="false" ht="15" hidden="false" customHeight="false" outlineLevel="0" collapsed="false">
      <c r="A2859" s="0" t="n">
        <v>2856</v>
      </c>
      <c r="B2859" s="0" t="n">
        <f aca="true">NORMINV(RAND(),1,Coefficients!$B$22)</f>
        <v>0.944117404796091</v>
      </c>
      <c r="C2859" s="0" t="n">
        <f aca="true">MEDIAN(8,16,ROUND(NORMINV(RAND(),Coefficients!$B$20,Coefficients!$B$21),0))</f>
        <v>10</v>
      </c>
      <c r="D2859" s="0" t="n">
        <f aca="true">CRITBINOM($C2859,MIN(0.75,Matchup!$B$39*$B2859),RAND())</f>
        <v>0</v>
      </c>
      <c r="E2859" s="0" t="n">
        <f aca="true">CRITBINOM(D2859,Coefficients!$B$30,RAND())</f>
        <v>0</v>
      </c>
      <c r="F2859" s="0" t="n">
        <f aca="true">CRITBINOM(E2859,Coefficients!$B$31,RAND())</f>
        <v>0</v>
      </c>
      <c r="G2859" s="0" t="n">
        <f aca="true">CRITBINOM(MAX(0,D2859-E2859),1-Coefficients!$B$32,RAND())</f>
        <v>0</v>
      </c>
      <c r="H2859" s="0" t="n">
        <f aca="true">CRITBINOM(MAX(0,$C2859-D2859),MIN(0.6,Matchup!$B$40*SQRT($B2859)/(1-MIN(0.75,Matchup!$B$39*$B2859))),RAND())</f>
        <v>2</v>
      </c>
      <c r="I2859" s="0" t="n">
        <f aca="false">6*D2859+(D2859-E2859-G2859)+2*F2859+3*H2859</f>
        <v>6</v>
      </c>
      <c r="J2859" s="0" t="n">
        <f aca="true">CRITBINOM($C2859,MIN(0.75,Matchup!$C$39*$B2859),RAND())</f>
        <v>1</v>
      </c>
      <c r="K2859" s="0" t="n">
        <f aca="true">CRITBINOM(J2859,Coefficients!$B$30,RAND())</f>
        <v>0</v>
      </c>
      <c r="L2859" s="0" t="n">
        <f aca="true">CRITBINOM(K2859,Coefficients!$B$31,RAND())</f>
        <v>0</v>
      </c>
      <c r="M2859" s="0" t="n">
        <f aca="true">CRITBINOM(MAX(0,J2859-K2859),1-Coefficients!$B$32,RAND())</f>
        <v>0</v>
      </c>
      <c r="N2859" s="0" t="n">
        <f aca="true">CRITBINOM(MAX(0,$C2859-J2859),MIN(0.6,Matchup!$C$40*SQRT($B2859)/(1-MIN(0.75,Matchup!$C$39*$B2859))),RAND())</f>
        <v>2</v>
      </c>
      <c r="O2859" s="0" t="n">
        <f aca="false">6*J2859+(J2859-K2859-M2859)+2*L2859+3*N2859</f>
        <v>13</v>
      </c>
      <c r="P2859" s="0" t="n">
        <f aca="true">RAND()</f>
        <v>0.813699983070825</v>
      </c>
      <c r="Q2859" s="0" t="n">
        <f aca="true">RAND()</f>
        <v>0.977698036182053</v>
      </c>
      <c r="R2859" s="0" t="n">
        <f aca="false">IF($I2859&lt;&gt;$O2859,0,IF(P2859&lt;Matchup!$B$39,7,IF(P2859&lt;Matchup!$B$39+Matchup!$B$40,3,0)))</f>
        <v>0</v>
      </c>
      <c r="S2859" s="0" t="n">
        <f aca="false">IF($I2859&lt;&gt;$O2859,0,IF(Q2859&lt;Matchup!$C$39,7,IF(Q2859&lt;Matchup!$C$39+Matchup!$C$40,3,0)))</f>
        <v>0</v>
      </c>
      <c r="T2859" s="0" t="n">
        <f aca="false">I2859+R2859</f>
        <v>6</v>
      </c>
      <c r="U2859" s="0" t="n">
        <f aca="false">O2859+S2859</f>
        <v>13</v>
      </c>
      <c r="V2859" s="0" t="n">
        <f aca="false">T2859-U2859</f>
        <v>-7</v>
      </c>
      <c r="W2859" s="0" t="n">
        <f aca="false">T2859+U2859</f>
        <v>19</v>
      </c>
    </row>
    <row r="2860" customFormat="false" ht="15" hidden="false" customHeight="false" outlineLevel="0" collapsed="false">
      <c r="A2860" s="0" t="n">
        <v>2857</v>
      </c>
      <c r="B2860" s="0" t="n">
        <f aca="true">NORMINV(RAND(),1,Coefficients!$B$22)</f>
        <v>0.930624475358327</v>
      </c>
      <c r="C2860" s="0" t="n">
        <f aca="true">MEDIAN(8,16,ROUND(NORMINV(RAND(),Coefficients!$B$20,Coefficients!$B$21),0))</f>
        <v>12</v>
      </c>
      <c r="D2860" s="0" t="n">
        <f aca="true">CRITBINOM($C2860,MIN(0.75,Matchup!$B$39*$B2860),RAND())</f>
        <v>3</v>
      </c>
      <c r="E2860" s="0" t="n">
        <f aca="true">CRITBINOM(D2860,Coefficients!$B$30,RAND())</f>
        <v>0</v>
      </c>
      <c r="F2860" s="0" t="n">
        <f aca="true">CRITBINOM(E2860,Coefficients!$B$31,RAND())</f>
        <v>0</v>
      </c>
      <c r="G2860" s="0" t="n">
        <f aca="true">CRITBINOM(MAX(0,D2860-E2860),1-Coefficients!$B$32,RAND())</f>
        <v>1</v>
      </c>
      <c r="H2860" s="0" t="n">
        <f aca="true">CRITBINOM(MAX(0,$C2860-D2860),MIN(0.6,Matchup!$B$40*SQRT($B2860)/(1-MIN(0.75,Matchup!$B$39*$B2860))),RAND())</f>
        <v>2</v>
      </c>
      <c r="I2860" s="0" t="n">
        <f aca="false">6*D2860+(D2860-E2860-G2860)+2*F2860+3*H2860</f>
        <v>26</v>
      </c>
      <c r="J2860" s="0" t="n">
        <f aca="true">CRITBINOM($C2860,MIN(0.75,Matchup!$C$39*$B2860),RAND())</f>
        <v>4</v>
      </c>
      <c r="K2860" s="0" t="n">
        <f aca="true">CRITBINOM(J2860,Coefficients!$B$30,RAND())</f>
        <v>0</v>
      </c>
      <c r="L2860" s="0" t="n">
        <f aca="true">CRITBINOM(K2860,Coefficients!$B$31,RAND())</f>
        <v>0</v>
      </c>
      <c r="M2860" s="0" t="n">
        <f aca="true">CRITBINOM(MAX(0,J2860-K2860),1-Coefficients!$B$32,RAND())</f>
        <v>0</v>
      </c>
      <c r="N2860" s="0" t="n">
        <f aca="true">CRITBINOM(MAX(0,$C2860-J2860),MIN(0.6,Matchup!$C$40*SQRT($B2860)/(1-MIN(0.75,Matchup!$C$39*$B2860))),RAND())</f>
        <v>2</v>
      </c>
      <c r="O2860" s="0" t="n">
        <f aca="false">6*J2860+(J2860-K2860-M2860)+2*L2860+3*N2860</f>
        <v>34</v>
      </c>
      <c r="P2860" s="0" t="n">
        <f aca="true">RAND()</f>
        <v>0.250363072409778</v>
      </c>
      <c r="Q2860" s="0" t="n">
        <f aca="true">RAND()</f>
        <v>0.353979835726997</v>
      </c>
      <c r="R2860" s="0" t="n">
        <f aca="false">IF($I2860&lt;&gt;$O2860,0,IF(P2860&lt;Matchup!$B$39,7,IF(P2860&lt;Matchup!$B$39+Matchup!$B$40,3,0)))</f>
        <v>0</v>
      </c>
      <c r="S2860" s="0" t="n">
        <f aca="false">IF($I2860&lt;&gt;$O2860,0,IF(Q2860&lt;Matchup!$C$39,7,IF(Q2860&lt;Matchup!$C$39+Matchup!$C$40,3,0)))</f>
        <v>0</v>
      </c>
      <c r="T2860" s="0" t="n">
        <f aca="false">I2860+R2860</f>
        <v>26</v>
      </c>
      <c r="U2860" s="0" t="n">
        <f aca="false">O2860+S2860</f>
        <v>34</v>
      </c>
      <c r="V2860" s="0" t="n">
        <f aca="false">T2860-U2860</f>
        <v>-8</v>
      </c>
      <c r="W2860" s="0" t="n">
        <f aca="false">T2860+U2860</f>
        <v>60</v>
      </c>
    </row>
    <row r="2861" customFormat="false" ht="15" hidden="false" customHeight="false" outlineLevel="0" collapsed="false">
      <c r="A2861" s="0" t="n">
        <v>2858</v>
      </c>
      <c r="B2861" s="0" t="n">
        <f aca="true">NORMINV(RAND(),1,Coefficients!$B$22)</f>
        <v>0.969509451057971</v>
      </c>
      <c r="C2861" s="0" t="n">
        <f aca="true">MEDIAN(8,16,ROUND(NORMINV(RAND(),Coefficients!$B$20,Coefficients!$B$21),0))</f>
        <v>13</v>
      </c>
      <c r="D2861" s="0" t="n">
        <f aca="true">CRITBINOM($C2861,MIN(0.75,Matchup!$B$39*$B2861),RAND())</f>
        <v>7</v>
      </c>
      <c r="E2861" s="0" t="n">
        <f aca="true">CRITBINOM(D2861,Coefficients!$B$30,RAND())</f>
        <v>2</v>
      </c>
      <c r="F2861" s="0" t="n">
        <f aca="true">CRITBINOM(E2861,Coefficients!$B$31,RAND())</f>
        <v>1</v>
      </c>
      <c r="G2861" s="0" t="n">
        <f aca="true">CRITBINOM(MAX(0,D2861-E2861),1-Coefficients!$B$32,RAND())</f>
        <v>0</v>
      </c>
      <c r="H2861" s="0" t="n">
        <f aca="true">CRITBINOM(MAX(0,$C2861-D2861),MIN(0.6,Matchup!$B$40*SQRT($B2861)/(1-MIN(0.75,Matchup!$B$39*$B2861))),RAND())</f>
        <v>0</v>
      </c>
      <c r="I2861" s="0" t="n">
        <f aca="false">6*D2861+(D2861-E2861-G2861)+2*F2861+3*H2861</f>
        <v>49</v>
      </c>
      <c r="J2861" s="0" t="n">
        <f aca="true">CRITBINOM($C2861,MIN(0.75,Matchup!$C$39*$B2861),RAND())</f>
        <v>3</v>
      </c>
      <c r="K2861" s="0" t="n">
        <f aca="true">CRITBINOM(J2861,Coefficients!$B$30,RAND())</f>
        <v>1</v>
      </c>
      <c r="L2861" s="0" t="n">
        <f aca="true">CRITBINOM(K2861,Coefficients!$B$31,RAND())</f>
        <v>1</v>
      </c>
      <c r="M2861" s="0" t="n">
        <f aca="true">CRITBINOM(MAX(0,J2861-K2861),1-Coefficients!$B$32,RAND())</f>
        <v>0</v>
      </c>
      <c r="N2861" s="0" t="n">
        <f aca="true">CRITBINOM(MAX(0,$C2861-J2861),MIN(0.6,Matchup!$C$40*SQRT($B2861)/(1-MIN(0.75,Matchup!$C$39*$B2861))),RAND())</f>
        <v>2</v>
      </c>
      <c r="O2861" s="0" t="n">
        <f aca="false">6*J2861+(J2861-K2861-M2861)+2*L2861+3*N2861</f>
        <v>28</v>
      </c>
      <c r="P2861" s="0" t="n">
        <f aca="true">RAND()</f>
        <v>0.164412043086791</v>
      </c>
      <c r="Q2861" s="0" t="n">
        <f aca="true">RAND()</f>
        <v>0.595896906252104</v>
      </c>
      <c r="R2861" s="0" t="n">
        <f aca="false">IF($I2861&lt;&gt;$O2861,0,IF(P2861&lt;Matchup!$B$39,7,IF(P2861&lt;Matchup!$B$39+Matchup!$B$40,3,0)))</f>
        <v>0</v>
      </c>
      <c r="S2861" s="0" t="n">
        <f aca="false">IF($I2861&lt;&gt;$O2861,0,IF(Q2861&lt;Matchup!$C$39,7,IF(Q2861&lt;Matchup!$C$39+Matchup!$C$40,3,0)))</f>
        <v>0</v>
      </c>
      <c r="T2861" s="0" t="n">
        <f aca="false">I2861+R2861</f>
        <v>49</v>
      </c>
      <c r="U2861" s="0" t="n">
        <f aca="false">O2861+S2861</f>
        <v>28</v>
      </c>
      <c r="V2861" s="0" t="n">
        <f aca="false">T2861-U2861</f>
        <v>21</v>
      </c>
      <c r="W2861" s="0" t="n">
        <f aca="false">T2861+U2861</f>
        <v>77</v>
      </c>
    </row>
    <row r="2862" customFormat="false" ht="15" hidden="false" customHeight="false" outlineLevel="0" collapsed="false">
      <c r="A2862" s="0" t="n">
        <v>2859</v>
      </c>
      <c r="B2862" s="0" t="n">
        <f aca="true">NORMINV(RAND(),1,Coefficients!$B$22)</f>
        <v>1.06539949807326</v>
      </c>
      <c r="C2862" s="0" t="n">
        <f aca="true">MEDIAN(8,16,ROUND(NORMINV(RAND(),Coefficients!$B$20,Coefficients!$B$21),0))</f>
        <v>12</v>
      </c>
      <c r="D2862" s="0" t="n">
        <f aca="true">CRITBINOM($C2862,MIN(0.75,Matchup!$B$39*$B2862),RAND())</f>
        <v>2</v>
      </c>
      <c r="E2862" s="0" t="n">
        <f aca="true">CRITBINOM(D2862,Coefficients!$B$30,RAND())</f>
        <v>1</v>
      </c>
      <c r="F2862" s="0" t="n">
        <f aca="true">CRITBINOM(E2862,Coefficients!$B$31,RAND())</f>
        <v>1</v>
      </c>
      <c r="G2862" s="0" t="n">
        <f aca="true">CRITBINOM(MAX(0,D2862-E2862),1-Coefficients!$B$32,RAND())</f>
        <v>0</v>
      </c>
      <c r="H2862" s="0" t="n">
        <f aca="true">CRITBINOM(MAX(0,$C2862-D2862),MIN(0.6,Matchup!$B$40*SQRT($B2862)/(1-MIN(0.75,Matchup!$B$39*$B2862))),RAND())</f>
        <v>1</v>
      </c>
      <c r="I2862" s="0" t="n">
        <f aca="false">6*D2862+(D2862-E2862-G2862)+2*F2862+3*H2862</f>
        <v>18</v>
      </c>
      <c r="J2862" s="0" t="n">
        <f aca="true">CRITBINOM($C2862,MIN(0.75,Matchup!$C$39*$B2862),RAND())</f>
        <v>2</v>
      </c>
      <c r="K2862" s="0" t="n">
        <f aca="true">CRITBINOM(J2862,Coefficients!$B$30,RAND())</f>
        <v>0</v>
      </c>
      <c r="L2862" s="0" t="n">
        <f aca="true">CRITBINOM(K2862,Coefficients!$B$31,RAND())</f>
        <v>0</v>
      </c>
      <c r="M2862" s="0" t="n">
        <f aca="true">CRITBINOM(MAX(0,J2862-K2862),1-Coefficients!$B$32,RAND())</f>
        <v>0</v>
      </c>
      <c r="N2862" s="0" t="n">
        <f aca="true">CRITBINOM(MAX(0,$C2862-J2862),MIN(0.6,Matchup!$C$40*SQRT($B2862)/(1-MIN(0.75,Matchup!$C$39*$B2862))),RAND())</f>
        <v>4</v>
      </c>
      <c r="O2862" s="0" t="n">
        <f aca="false">6*J2862+(J2862-K2862-M2862)+2*L2862+3*N2862</f>
        <v>26</v>
      </c>
      <c r="P2862" s="0" t="n">
        <f aca="true">RAND()</f>
        <v>0.168355988751236</v>
      </c>
      <c r="Q2862" s="0" t="n">
        <f aca="true">RAND()</f>
        <v>0.986369900890463</v>
      </c>
      <c r="R2862" s="0" t="n">
        <f aca="false">IF($I2862&lt;&gt;$O2862,0,IF(P2862&lt;Matchup!$B$39,7,IF(P2862&lt;Matchup!$B$39+Matchup!$B$40,3,0)))</f>
        <v>0</v>
      </c>
      <c r="S2862" s="0" t="n">
        <f aca="false">IF($I2862&lt;&gt;$O2862,0,IF(Q2862&lt;Matchup!$C$39,7,IF(Q2862&lt;Matchup!$C$39+Matchup!$C$40,3,0)))</f>
        <v>0</v>
      </c>
      <c r="T2862" s="0" t="n">
        <f aca="false">I2862+R2862</f>
        <v>18</v>
      </c>
      <c r="U2862" s="0" t="n">
        <f aca="false">O2862+S2862</f>
        <v>26</v>
      </c>
      <c r="V2862" s="0" t="n">
        <f aca="false">T2862-U2862</f>
        <v>-8</v>
      </c>
      <c r="W2862" s="0" t="n">
        <f aca="false">T2862+U2862</f>
        <v>44</v>
      </c>
    </row>
    <row r="2863" customFormat="false" ht="15" hidden="false" customHeight="false" outlineLevel="0" collapsed="false">
      <c r="A2863" s="0" t="n">
        <v>2860</v>
      </c>
      <c r="B2863" s="0" t="n">
        <f aca="true">NORMINV(RAND(),1,Coefficients!$B$22)</f>
        <v>0.973835353719846</v>
      </c>
      <c r="C2863" s="0" t="n">
        <f aca="true">MEDIAN(8,16,ROUND(NORMINV(RAND(),Coefficients!$B$20,Coefficients!$B$21),0))</f>
        <v>12</v>
      </c>
      <c r="D2863" s="0" t="n">
        <f aca="true">CRITBINOM($C2863,MIN(0.75,Matchup!$B$39*$B2863),RAND())</f>
        <v>3</v>
      </c>
      <c r="E2863" s="0" t="n">
        <f aca="true">CRITBINOM(D2863,Coefficients!$B$30,RAND())</f>
        <v>0</v>
      </c>
      <c r="F2863" s="0" t="n">
        <f aca="true">CRITBINOM(E2863,Coefficients!$B$31,RAND())</f>
        <v>0</v>
      </c>
      <c r="G2863" s="0" t="n">
        <f aca="true">CRITBINOM(MAX(0,D2863-E2863),1-Coefficients!$B$32,RAND())</f>
        <v>0</v>
      </c>
      <c r="H2863" s="0" t="n">
        <f aca="true">CRITBINOM(MAX(0,$C2863-D2863),MIN(0.6,Matchup!$B$40*SQRT($B2863)/(1-MIN(0.75,Matchup!$B$39*$B2863))),RAND())</f>
        <v>3</v>
      </c>
      <c r="I2863" s="0" t="n">
        <f aca="false">6*D2863+(D2863-E2863-G2863)+2*F2863+3*H2863</f>
        <v>30</v>
      </c>
      <c r="J2863" s="0" t="n">
        <f aca="true">CRITBINOM($C2863,MIN(0.75,Matchup!$C$39*$B2863),RAND())</f>
        <v>2</v>
      </c>
      <c r="K2863" s="0" t="n">
        <f aca="true">CRITBINOM(J2863,Coefficients!$B$30,RAND())</f>
        <v>0</v>
      </c>
      <c r="L2863" s="0" t="n">
        <f aca="true">CRITBINOM(K2863,Coefficients!$B$31,RAND())</f>
        <v>0</v>
      </c>
      <c r="M2863" s="0" t="n">
        <f aca="true">CRITBINOM(MAX(0,J2863-K2863),1-Coefficients!$B$32,RAND())</f>
        <v>0</v>
      </c>
      <c r="N2863" s="0" t="n">
        <f aca="true">CRITBINOM(MAX(0,$C2863-J2863),MIN(0.6,Matchup!$C$40*SQRT($B2863)/(1-MIN(0.75,Matchup!$C$39*$B2863))),RAND())</f>
        <v>1</v>
      </c>
      <c r="O2863" s="0" t="n">
        <f aca="false">6*J2863+(J2863-K2863-M2863)+2*L2863+3*N2863</f>
        <v>17</v>
      </c>
      <c r="P2863" s="0" t="n">
        <f aca="true">RAND()</f>
        <v>0.904938700766267</v>
      </c>
      <c r="Q2863" s="0" t="n">
        <f aca="true">RAND()</f>
        <v>0.873813817775444</v>
      </c>
      <c r="R2863" s="0" t="n">
        <f aca="false">IF($I2863&lt;&gt;$O2863,0,IF(P2863&lt;Matchup!$B$39,7,IF(P2863&lt;Matchup!$B$39+Matchup!$B$40,3,0)))</f>
        <v>0</v>
      </c>
      <c r="S2863" s="0" t="n">
        <f aca="false">IF($I2863&lt;&gt;$O2863,0,IF(Q2863&lt;Matchup!$C$39,7,IF(Q2863&lt;Matchup!$C$39+Matchup!$C$40,3,0)))</f>
        <v>0</v>
      </c>
      <c r="T2863" s="0" t="n">
        <f aca="false">I2863+R2863</f>
        <v>30</v>
      </c>
      <c r="U2863" s="0" t="n">
        <f aca="false">O2863+S2863</f>
        <v>17</v>
      </c>
      <c r="V2863" s="0" t="n">
        <f aca="false">T2863-U2863</f>
        <v>13</v>
      </c>
      <c r="W2863" s="0" t="n">
        <f aca="false">T2863+U2863</f>
        <v>47</v>
      </c>
    </row>
    <row r="2864" customFormat="false" ht="15" hidden="false" customHeight="false" outlineLevel="0" collapsed="false">
      <c r="A2864" s="0" t="n">
        <v>2861</v>
      </c>
      <c r="B2864" s="0" t="n">
        <f aca="true">NORMINV(RAND(),1,Coefficients!$B$22)</f>
        <v>1.01997047207601</v>
      </c>
      <c r="C2864" s="0" t="n">
        <f aca="true">MEDIAN(8,16,ROUND(NORMINV(RAND(),Coefficients!$B$20,Coefficients!$B$21),0))</f>
        <v>12</v>
      </c>
      <c r="D2864" s="0" t="n">
        <f aca="true">CRITBINOM($C2864,MIN(0.75,Matchup!$B$39*$B2864),RAND())</f>
        <v>3</v>
      </c>
      <c r="E2864" s="0" t="n">
        <f aca="true">CRITBINOM(D2864,Coefficients!$B$30,RAND())</f>
        <v>0</v>
      </c>
      <c r="F2864" s="0" t="n">
        <f aca="true">CRITBINOM(E2864,Coefficients!$B$31,RAND())</f>
        <v>0</v>
      </c>
      <c r="G2864" s="0" t="n">
        <f aca="true">CRITBINOM(MAX(0,D2864-E2864),1-Coefficients!$B$32,RAND())</f>
        <v>0</v>
      </c>
      <c r="H2864" s="0" t="n">
        <f aca="true">CRITBINOM(MAX(0,$C2864-D2864),MIN(0.6,Matchup!$B$40*SQRT($B2864)/(1-MIN(0.75,Matchup!$B$39*$B2864))),RAND())</f>
        <v>1</v>
      </c>
      <c r="I2864" s="0" t="n">
        <f aca="false">6*D2864+(D2864-E2864-G2864)+2*F2864+3*H2864</f>
        <v>24</v>
      </c>
      <c r="J2864" s="0" t="n">
        <f aca="true">CRITBINOM($C2864,MIN(0.75,Matchup!$C$39*$B2864),RAND())</f>
        <v>2</v>
      </c>
      <c r="K2864" s="0" t="n">
        <f aca="true">CRITBINOM(J2864,Coefficients!$B$30,RAND())</f>
        <v>0</v>
      </c>
      <c r="L2864" s="0" t="n">
        <f aca="true">CRITBINOM(K2864,Coefficients!$B$31,RAND())</f>
        <v>0</v>
      </c>
      <c r="M2864" s="0" t="n">
        <f aca="true">CRITBINOM(MAX(0,J2864-K2864),1-Coefficients!$B$32,RAND())</f>
        <v>0</v>
      </c>
      <c r="N2864" s="0" t="n">
        <f aca="true">CRITBINOM(MAX(0,$C2864-J2864),MIN(0.6,Matchup!$C$40*SQRT($B2864)/(1-MIN(0.75,Matchup!$C$39*$B2864))),RAND())</f>
        <v>1</v>
      </c>
      <c r="O2864" s="0" t="n">
        <f aca="false">6*J2864+(J2864-K2864-M2864)+2*L2864+3*N2864</f>
        <v>17</v>
      </c>
      <c r="P2864" s="0" t="n">
        <f aca="true">RAND()</f>
        <v>0.605066872354927</v>
      </c>
      <c r="Q2864" s="0" t="n">
        <f aca="true">RAND()</f>
        <v>0.30165251219514</v>
      </c>
      <c r="R2864" s="0" t="n">
        <f aca="false">IF($I2864&lt;&gt;$O2864,0,IF(P2864&lt;Matchup!$B$39,7,IF(P2864&lt;Matchup!$B$39+Matchup!$B$40,3,0)))</f>
        <v>0</v>
      </c>
      <c r="S2864" s="0" t="n">
        <f aca="false">IF($I2864&lt;&gt;$O2864,0,IF(Q2864&lt;Matchup!$C$39,7,IF(Q2864&lt;Matchup!$C$39+Matchup!$C$40,3,0)))</f>
        <v>0</v>
      </c>
      <c r="T2864" s="0" t="n">
        <f aca="false">I2864+R2864</f>
        <v>24</v>
      </c>
      <c r="U2864" s="0" t="n">
        <f aca="false">O2864+S2864</f>
        <v>17</v>
      </c>
      <c r="V2864" s="0" t="n">
        <f aca="false">T2864-U2864</f>
        <v>7</v>
      </c>
      <c r="W2864" s="0" t="n">
        <f aca="false">T2864+U2864</f>
        <v>41</v>
      </c>
    </row>
    <row r="2865" customFormat="false" ht="15" hidden="false" customHeight="false" outlineLevel="0" collapsed="false">
      <c r="A2865" s="0" t="n">
        <v>2862</v>
      </c>
      <c r="B2865" s="0" t="n">
        <f aca="true">NORMINV(RAND(),1,Coefficients!$B$22)</f>
        <v>0.831042926817816</v>
      </c>
      <c r="C2865" s="0" t="n">
        <f aca="true">MEDIAN(8,16,ROUND(NORMINV(RAND(),Coefficients!$B$20,Coefficients!$B$21),0))</f>
        <v>10</v>
      </c>
      <c r="D2865" s="0" t="n">
        <f aca="true">CRITBINOM($C2865,MIN(0.75,Matchup!$B$39*$B2865),RAND())</f>
        <v>2</v>
      </c>
      <c r="E2865" s="0" t="n">
        <f aca="true">CRITBINOM(D2865,Coefficients!$B$30,RAND())</f>
        <v>0</v>
      </c>
      <c r="F2865" s="0" t="n">
        <f aca="true">CRITBINOM(E2865,Coefficients!$B$31,RAND())</f>
        <v>0</v>
      </c>
      <c r="G2865" s="0" t="n">
        <f aca="true">CRITBINOM(MAX(0,D2865-E2865),1-Coefficients!$B$32,RAND())</f>
        <v>0</v>
      </c>
      <c r="H2865" s="0" t="n">
        <f aca="true">CRITBINOM(MAX(0,$C2865-D2865),MIN(0.6,Matchup!$B$40*SQRT($B2865)/(1-MIN(0.75,Matchup!$B$39*$B2865))),RAND())</f>
        <v>2</v>
      </c>
      <c r="I2865" s="0" t="n">
        <f aca="false">6*D2865+(D2865-E2865-G2865)+2*F2865+3*H2865</f>
        <v>20</v>
      </c>
      <c r="J2865" s="0" t="n">
        <f aca="true">CRITBINOM($C2865,MIN(0.75,Matchup!$C$39*$B2865),RAND())</f>
        <v>2</v>
      </c>
      <c r="K2865" s="0" t="n">
        <f aca="true">CRITBINOM(J2865,Coefficients!$B$30,RAND())</f>
        <v>0</v>
      </c>
      <c r="L2865" s="0" t="n">
        <f aca="true">CRITBINOM(K2865,Coefficients!$B$31,RAND())</f>
        <v>0</v>
      </c>
      <c r="M2865" s="0" t="n">
        <f aca="true">CRITBINOM(MAX(0,J2865-K2865),1-Coefficients!$B$32,RAND())</f>
        <v>0</v>
      </c>
      <c r="N2865" s="0" t="n">
        <f aca="true">CRITBINOM(MAX(0,$C2865-J2865),MIN(0.6,Matchup!$C$40*SQRT($B2865)/(1-MIN(0.75,Matchup!$C$39*$B2865))),RAND())</f>
        <v>2</v>
      </c>
      <c r="O2865" s="0" t="n">
        <f aca="false">6*J2865+(J2865-K2865-M2865)+2*L2865+3*N2865</f>
        <v>20</v>
      </c>
      <c r="P2865" s="0" t="n">
        <f aca="true">RAND()</f>
        <v>0.839192369117778</v>
      </c>
      <c r="Q2865" s="0" t="n">
        <f aca="true">RAND()</f>
        <v>0.607230812319426</v>
      </c>
      <c r="R2865" s="0" t="n">
        <f aca="false">IF($I2865&lt;&gt;$O2865,0,IF(P2865&lt;Matchup!$B$39,7,IF(P2865&lt;Matchup!$B$39+Matchup!$B$40,3,0)))</f>
        <v>0</v>
      </c>
      <c r="S2865" s="0" t="n">
        <f aca="false">IF($I2865&lt;&gt;$O2865,0,IF(Q2865&lt;Matchup!$C$39,7,IF(Q2865&lt;Matchup!$C$39+Matchup!$C$40,3,0)))</f>
        <v>0</v>
      </c>
      <c r="T2865" s="0" t="n">
        <f aca="false">I2865+R2865</f>
        <v>20</v>
      </c>
      <c r="U2865" s="0" t="n">
        <f aca="false">O2865+S2865</f>
        <v>20</v>
      </c>
      <c r="V2865" s="0" t="n">
        <f aca="false">T2865-U2865</f>
        <v>0</v>
      </c>
      <c r="W2865" s="0" t="n">
        <f aca="false">T2865+U2865</f>
        <v>40</v>
      </c>
    </row>
    <row r="2866" customFormat="false" ht="15" hidden="false" customHeight="false" outlineLevel="0" collapsed="false">
      <c r="A2866" s="0" t="n">
        <v>2863</v>
      </c>
      <c r="B2866" s="0" t="n">
        <f aca="true">NORMINV(RAND(),1,Coefficients!$B$22)</f>
        <v>0.88595977002028</v>
      </c>
      <c r="C2866" s="0" t="n">
        <f aca="true">MEDIAN(8,16,ROUND(NORMINV(RAND(),Coefficients!$B$20,Coefficients!$B$21),0))</f>
        <v>12</v>
      </c>
      <c r="D2866" s="0" t="n">
        <f aca="true">CRITBINOM($C2866,MIN(0.75,Matchup!$B$39*$B2866),RAND())</f>
        <v>3</v>
      </c>
      <c r="E2866" s="0" t="n">
        <f aca="true">CRITBINOM(D2866,Coefficients!$B$30,RAND())</f>
        <v>0</v>
      </c>
      <c r="F2866" s="0" t="n">
        <f aca="true">CRITBINOM(E2866,Coefficients!$B$31,RAND())</f>
        <v>0</v>
      </c>
      <c r="G2866" s="0" t="n">
        <f aca="true">CRITBINOM(MAX(0,D2866-E2866),1-Coefficients!$B$32,RAND())</f>
        <v>0</v>
      </c>
      <c r="H2866" s="0" t="n">
        <f aca="true">CRITBINOM(MAX(0,$C2866-D2866),MIN(0.6,Matchup!$B$40*SQRT($B2866)/(1-MIN(0.75,Matchup!$B$39*$B2866))),RAND())</f>
        <v>1</v>
      </c>
      <c r="I2866" s="0" t="n">
        <f aca="false">6*D2866+(D2866-E2866-G2866)+2*F2866+3*H2866</f>
        <v>24</v>
      </c>
      <c r="J2866" s="0" t="n">
        <f aca="true">CRITBINOM($C2866,MIN(0.75,Matchup!$C$39*$B2866),RAND())</f>
        <v>0</v>
      </c>
      <c r="K2866" s="0" t="n">
        <f aca="true">CRITBINOM(J2866,Coefficients!$B$30,RAND())</f>
        <v>0</v>
      </c>
      <c r="L2866" s="0" t="n">
        <f aca="true">CRITBINOM(K2866,Coefficients!$B$31,RAND())</f>
        <v>0</v>
      </c>
      <c r="M2866" s="0" t="n">
        <f aca="true">CRITBINOM(MAX(0,J2866-K2866),1-Coefficients!$B$32,RAND())</f>
        <v>0</v>
      </c>
      <c r="N2866" s="0" t="n">
        <f aca="true">CRITBINOM(MAX(0,$C2866-J2866),MIN(0.6,Matchup!$C$40*SQRT($B2866)/(1-MIN(0.75,Matchup!$C$39*$B2866))),RAND())</f>
        <v>5</v>
      </c>
      <c r="O2866" s="0" t="n">
        <f aca="false">6*J2866+(J2866-K2866-M2866)+2*L2866+3*N2866</f>
        <v>15</v>
      </c>
      <c r="P2866" s="0" t="n">
        <f aca="true">RAND()</f>
        <v>0.262842390748135</v>
      </c>
      <c r="Q2866" s="0" t="n">
        <f aca="true">RAND()</f>
        <v>0.406638819909118</v>
      </c>
      <c r="R2866" s="0" t="n">
        <f aca="false">IF($I2866&lt;&gt;$O2866,0,IF(P2866&lt;Matchup!$B$39,7,IF(P2866&lt;Matchup!$B$39+Matchup!$B$40,3,0)))</f>
        <v>0</v>
      </c>
      <c r="S2866" s="0" t="n">
        <f aca="false">IF($I2866&lt;&gt;$O2866,0,IF(Q2866&lt;Matchup!$C$39,7,IF(Q2866&lt;Matchup!$C$39+Matchup!$C$40,3,0)))</f>
        <v>0</v>
      </c>
      <c r="T2866" s="0" t="n">
        <f aca="false">I2866+R2866</f>
        <v>24</v>
      </c>
      <c r="U2866" s="0" t="n">
        <f aca="false">O2866+S2866</f>
        <v>15</v>
      </c>
      <c r="V2866" s="0" t="n">
        <f aca="false">T2866-U2866</f>
        <v>9</v>
      </c>
      <c r="W2866" s="0" t="n">
        <f aca="false">T2866+U2866</f>
        <v>39</v>
      </c>
    </row>
    <row r="2867" customFormat="false" ht="15" hidden="false" customHeight="false" outlineLevel="0" collapsed="false">
      <c r="A2867" s="0" t="n">
        <v>2864</v>
      </c>
      <c r="B2867" s="0" t="n">
        <f aca="true">NORMINV(RAND(),1,Coefficients!$B$22)</f>
        <v>0.912704935964868</v>
      </c>
      <c r="C2867" s="0" t="n">
        <f aca="true">MEDIAN(8,16,ROUND(NORMINV(RAND(),Coefficients!$B$20,Coefficients!$B$21),0))</f>
        <v>11</v>
      </c>
      <c r="D2867" s="0" t="n">
        <f aca="true">CRITBINOM($C2867,MIN(0.75,Matchup!$B$39*$B2867),RAND())</f>
        <v>2</v>
      </c>
      <c r="E2867" s="0" t="n">
        <f aca="true">CRITBINOM(D2867,Coefficients!$B$30,RAND())</f>
        <v>0</v>
      </c>
      <c r="F2867" s="0" t="n">
        <f aca="true">CRITBINOM(E2867,Coefficients!$B$31,RAND())</f>
        <v>0</v>
      </c>
      <c r="G2867" s="0" t="n">
        <f aca="true">CRITBINOM(MAX(0,D2867-E2867),1-Coefficients!$B$32,RAND())</f>
        <v>0</v>
      </c>
      <c r="H2867" s="0" t="n">
        <f aca="true">CRITBINOM(MAX(0,$C2867-D2867),MIN(0.6,Matchup!$B$40*SQRT($B2867)/(1-MIN(0.75,Matchup!$B$39*$B2867))),RAND())</f>
        <v>1</v>
      </c>
      <c r="I2867" s="0" t="n">
        <f aca="false">6*D2867+(D2867-E2867-G2867)+2*F2867+3*H2867</f>
        <v>17</v>
      </c>
      <c r="J2867" s="0" t="n">
        <f aca="true">CRITBINOM($C2867,MIN(0.75,Matchup!$C$39*$B2867),RAND())</f>
        <v>2</v>
      </c>
      <c r="K2867" s="0" t="n">
        <f aca="true">CRITBINOM(J2867,Coefficients!$B$30,RAND())</f>
        <v>0</v>
      </c>
      <c r="L2867" s="0" t="n">
        <f aca="true">CRITBINOM(K2867,Coefficients!$B$31,RAND())</f>
        <v>0</v>
      </c>
      <c r="M2867" s="0" t="n">
        <f aca="true">CRITBINOM(MAX(0,J2867-K2867),1-Coefficients!$B$32,RAND())</f>
        <v>0</v>
      </c>
      <c r="N2867" s="0" t="n">
        <f aca="true">CRITBINOM(MAX(0,$C2867-J2867),MIN(0.6,Matchup!$C$40*SQRT($B2867)/(1-MIN(0.75,Matchup!$C$39*$B2867))),RAND())</f>
        <v>1</v>
      </c>
      <c r="O2867" s="0" t="n">
        <f aca="false">6*J2867+(J2867-K2867-M2867)+2*L2867+3*N2867</f>
        <v>17</v>
      </c>
      <c r="P2867" s="0" t="n">
        <f aca="true">RAND()</f>
        <v>0.482323828566942</v>
      </c>
      <c r="Q2867" s="0" t="n">
        <f aca="true">RAND()</f>
        <v>0.990218632995152</v>
      </c>
      <c r="R2867" s="0" t="n">
        <f aca="false">IF($I2867&lt;&gt;$O2867,0,IF(P2867&lt;Matchup!$B$39,7,IF(P2867&lt;Matchup!$B$39+Matchup!$B$40,3,0)))</f>
        <v>0</v>
      </c>
      <c r="S2867" s="0" t="n">
        <f aca="false">IF($I2867&lt;&gt;$O2867,0,IF(Q2867&lt;Matchup!$C$39,7,IF(Q2867&lt;Matchup!$C$39+Matchup!$C$40,3,0)))</f>
        <v>0</v>
      </c>
      <c r="T2867" s="0" t="n">
        <f aca="false">I2867+R2867</f>
        <v>17</v>
      </c>
      <c r="U2867" s="0" t="n">
        <f aca="false">O2867+S2867</f>
        <v>17</v>
      </c>
      <c r="V2867" s="0" t="n">
        <f aca="false">T2867-U2867</f>
        <v>0</v>
      </c>
      <c r="W2867" s="0" t="n">
        <f aca="false">T2867+U2867</f>
        <v>34</v>
      </c>
    </row>
    <row r="2868" customFormat="false" ht="15" hidden="false" customHeight="false" outlineLevel="0" collapsed="false">
      <c r="A2868" s="0" t="n">
        <v>2865</v>
      </c>
      <c r="B2868" s="0" t="n">
        <f aca="true">NORMINV(RAND(),1,Coefficients!$B$22)</f>
        <v>1.03029923643087</v>
      </c>
      <c r="C2868" s="0" t="n">
        <f aca="true">MEDIAN(8,16,ROUND(NORMINV(RAND(),Coefficients!$B$20,Coefficients!$B$21),0))</f>
        <v>12</v>
      </c>
      <c r="D2868" s="0" t="n">
        <f aca="true">CRITBINOM($C2868,MIN(0.75,Matchup!$B$39*$B2868),RAND())</f>
        <v>5</v>
      </c>
      <c r="E2868" s="0" t="n">
        <f aca="true">CRITBINOM(D2868,Coefficients!$B$30,RAND())</f>
        <v>0</v>
      </c>
      <c r="F2868" s="0" t="n">
        <f aca="true">CRITBINOM(E2868,Coefficients!$B$31,RAND())</f>
        <v>0</v>
      </c>
      <c r="G2868" s="0" t="n">
        <f aca="true">CRITBINOM(MAX(0,D2868-E2868),1-Coefficients!$B$32,RAND())</f>
        <v>0</v>
      </c>
      <c r="H2868" s="0" t="n">
        <f aca="true">CRITBINOM(MAX(0,$C2868-D2868),MIN(0.6,Matchup!$B$40*SQRT($B2868)/(1-MIN(0.75,Matchup!$B$39*$B2868))),RAND())</f>
        <v>2</v>
      </c>
      <c r="I2868" s="0" t="n">
        <f aca="false">6*D2868+(D2868-E2868-G2868)+2*F2868+3*H2868</f>
        <v>41</v>
      </c>
      <c r="J2868" s="0" t="n">
        <f aca="true">CRITBINOM($C2868,MIN(0.75,Matchup!$C$39*$B2868),RAND())</f>
        <v>3</v>
      </c>
      <c r="K2868" s="0" t="n">
        <f aca="true">CRITBINOM(J2868,Coefficients!$B$30,RAND())</f>
        <v>0</v>
      </c>
      <c r="L2868" s="0" t="n">
        <f aca="true">CRITBINOM(K2868,Coefficients!$B$31,RAND())</f>
        <v>0</v>
      </c>
      <c r="M2868" s="0" t="n">
        <f aca="true">CRITBINOM(MAX(0,J2868-K2868),1-Coefficients!$B$32,RAND())</f>
        <v>0</v>
      </c>
      <c r="N2868" s="0" t="n">
        <f aca="true">CRITBINOM(MAX(0,$C2868-J2868),MIN(0.6,Matchup!$C$40*SQRT($B2868)/(1-MIN(0.75,Matchup!$C$39*$B2868))),RAND())</f>
        <v>4</v>
      </c>
      <c r="O2868" s="0" t="n">
        <f aca="false">6*J2868+(J2868-K2868-M2868)+2*L2868+3*N2868</f>
        <v>33</v>
      </c>
      <c r="P2868" s="0" t="n">
        <f aca="true">RAND()</f>
        <v>0.715657751567792</v>
      </c>
      <c r="Q2868" s="0" t="n">
        <f aca="true">RAND()</f>
        <v>0.74152341035677</v>
      </c>
      <c r="R2868" s="0" t="n">
        <f aca="false">IF($I2868&lt;&gt;$O2868,0,IF(P2868&lt;Matchup!$B$39,7,IF(P2868&lt;Matchup!$B$39+Matchup!$B$40,3,0)))</f>
        <v>0</v>
      </c>
      <c r="S2868" s="0" t="n">
        <f aca="false">IF($I2868&lt;&gt;$O2868,0,IF(Q2868&lt;Matchup!$C$39,7,IF(Q2868&lt;Matchup!$C$39+Matchup!$C$40,3,0)))</f>
        <v>0</v>
      </c>
      <c r="T2868" s="0" t="n">
        <f aca="false">I2868+R2868</f>
        <v>41</v>
      </c>
      <c r="U2868" s="0" t="n">
        <f aca="false">O2868+S2868</f>
        <v>33</v>
      </c>
      <c r="V2868" s="0" t="n">
        <f aca="false">T2868-U2868</f>
        <v>8</v>
      </c>
      <c r="W2868" s="0" t="n">
        <f aca="false">T2868+U2868</f>
        <v>74</v>
      </c>
    </row>
    <row r="2869" customFormat="false" ht="15" hidden="false" customHeight="false" outlineLevel="0" collapsed="false">
      <c r="A2869" s="0" t="n">
        <v>2866</v>
      </c>
      <c r="B2869" s="0" t="n">
        <f aca="true">NORMINV(RAND(),1,Coefficients!$B$22)</f>
        <v>1.0011809103431</v>
      </c>
      <c r="C2869" s="0" t="n">
        <f aca="true">MEDIAN(8,16,ROUND(NORMINV(RAND(),Coefficients!$B$20,Coefficients!$B$21),0))</f>
        <v>11</v>
      </c>
      <c r="D2869" s="0" t="n">
        <f aca="true">CRITBINOM($C2869,MIN(0.75,Matchup!$B$39*$B2869),RAND())</f>
        <v>3</v>
      </c>
      <c r="E2869" s="0" t="n">
        <f aca="true">CRITBINOM(D2869,Coefficients!$B$30,RAND())</f>
        <v>0</v>
      </c>
      <c r="F2869" s="0" t="n">
        <f aca="true">CRITBINOM(E2869,Coefficients!$B$31,RAND())</f>
        <v>0</v>
      </c>
      <c r="G2869" s="0" t="n">
        <f aca="true">CRITBINOM(MAX(0,D2869-E2869),1-Coefficients!$B$32,RAND())</f>
        <v>0</v>
      </c>
      <c r="H2869" s="0" t="n">
        <f aca="true">CRITBINOM(MAX(0,$C2869-D2869),MIN(0.6,Matchup!$B$40*SQRT($B2869)/(1-MIN(0.75,Matchup!$B$39*$B2869))),RAND())</f>
        <v>0</v>
      </c>
      <c r="I2869" s="0" t="n">
        <f aca="false">6*D2869+(D2869-E2869-G2869)+2*F2869+3*H2869</f>
        <v>21</v>
      </c>
      <c r="J2869" s="0" t="n">
        <f aca="true">CRITBINOM($C2869,MIN(0.75,Matchup!$C$39*$B2869),RAND())</f>
        <v>1</v>
      </c>
      <c r="K2869" s="0" t="n">
        <f aca="true">CRITBINOM(J2869,Coefficients!$B$30,RAND())</f>
        <v>0</v>
      </c>
      <c r="L2869" s="0" t="n">
        <f aca="true">CRITBINOM(K2869,Coefficients!$B$31,RAND())</f>
        <v>0</v>
      </c>
      <c r="M2869" s="0" t="n">
        <f aca="true">CRITBINOM(MAX(0,J2869-K2869),1-Coefficients!$B$32,RAND())</f>
        <v>0</v>
      </c>
      <c r="N2869" s="0" t="n">
        <f aca="true">CRITBINOM(MAX(0,$C2869-J2869),MIN(0.6,Matchup!$C$40*SQRT($B2869)/(1-MIN(0.75,Matchup!$C$39*$B2869))),RAND())</f>
        <v>3</v>
      </c>
      <c r="O2869" s="0" t="n">
        <f aca="false">6*J2869+(J2869-K2869-M2869)+2*L2869+3*N2869</f>
        <v>16</v>
      </c>
      <c r="P2869" s="0" t="n">
        <f aca="true">RAND()</f>
        <v>0.276311462432606</v>
      </c>
      <c r="Q2869" s="0" t="n">
        <f aca="true">RAND()</f>
        <v>0.661102213417267</v>
      </c>
      <c r="R2869" s="0" t="n">
        <f aca="false">IF($I2869&lt;&gt;$O2869,0,IF(P2869&lt;Matchup!$B$39,7,IF(P2869&lt;Matchup!$B$39+Matchup!$B$40,3,0)))</f>
        <v>0</v>
      </c>
      <c r="S2869" s="0" t="n">
        <f aca="false">IF($I2869&lt;&gt;$O2869,0,IF(Q2869&lt;Matchup!$C$39,7,IF(Q2869&lt;Matchup!$C$39+Matchup!$C$40,3,0)))</f>
        <v>0</v>
      </c>
      <c r="T2869" s="0" t="n">
        <f aca="false">I2869+R2869</f>
        <v>21</v>
      </c>
      <c r="U2869" s="0" t="n">
        <f aca="false">O2869+S2869</f>
        <v>16</v>
      </c>
      <c r="V2869" s="0" t="n">
        <f aca="false">T2869-U2869</f>
        <v>5</v>
      </c>
      <c r="W2869" s="0" t="n">
        <f aca="false">T2869+U2869</f>
        <v>37</v>
      </c>
    </row>
    <row r="2870" customFormat="false" ht="15" hidden="false" customHeight="false" outlineLevel="0" collapsed="false">
      <c r="A2870" s="0" t="n">
        <v>2867</v>
      </c>
      <c r="B2870" s="0" t="n">
        <f aca="true">NORMINV(RAND(),1,Coefficients!$B$22)</f>
        <v>1.03665767604493</v>
      </c>
      <c r="C2870" s="0" t="n">
        <f aca="true">MEDIAN(8,16,ROUND(NORMINV(RAND(),Coefficients!$B$20,Coefficients!$B$21),0))</f>
        <v>12</v>
      </c>
      <c r="D2870" s="0" t="n">
        <f aca="true">CRITBINOM($C2870,MIN(0.75,Matchup!$B$39*$B2870),RAND())</f>
        <v>1</v>
      </c>
      <c r="E2870" s="0" t="n">
        <f aca="true">CRITBINOM(D2870,Coefficients!$B$30,RAND())</f>
        <v>0</v>
      </c>
      <c r="F2870" s="0" t="n">
        <f aca="true">CRITBINOM(E2870,Coefficients!$B$31,RAND())</f>
        <v>0</v>
      </c>
      <c r="G2870" s="0" t="n">
        <f aca="true">CRITBINOM(MAX(0,D2870-E2870),1-Coefficients!$B$32,RAND())</f>
        <v>0</v>
      </c>
      <c r="H2870" s="0" t="n">
        <f aca="true">CRITBINOM(MAX(0,$C2870-D2870),MIN(0.6,Matchup!$B$40*SQRT($B2870)/(1-MIN(0.75,Matchup!$B$39*$B2870))),RAND())</f>
        <v>5</v>
      </c>
      <c r="I2870" s="0" t="n">
        <f aca="false">6*D2870+(D2870-E2870-G2870)+2*F2870+3*H2870</f>
        <v>22</v>
      </c>
      <c r="J2870" s="0" t="n">
        <f aca="true">CRITBINOM($C2870,MIN(0.75,Matchup!$C$39*$B2870),RAND())</f>
        <v>3</v>
      </c>
      <c r="K2870" s="0" t="n">
        <f aca="true">CRITBINOM(J2870,Coefficients!$B$30,RAND())</f>
        <v>1</v>
      </c>
      <c r="L2870" s="0" t="n">
        <f aca="true">CRITBINOM(K2870,Coefficients!$B$31,RAND())</f>
        <v>0</v>
      </c>
      <c r="M2870" s="0" t="n">
        <f aca="true">CRITBINOM(MAX(0,J2870-K2870),1-Coefficients!$B$32,RAND())</f>
        <v>0</v>
      </c>
      <c r="N2870" s="0" t="n">
        <f aca="true">CRITBINOM(MAX(0,$C2870-J2870),MIN(0.6,Matchup!$C$40*SQRT($B2870)/(1-MIN(0.75,Matchup!$C$39*$B2870))),RAND())</f>
        <v>2</v>
      </c>
      <c r="O2870" s="0" t="n">
        <f aca="false">6*J2870+(J2870-K2870-M2870)+2*L2870+3*N2870</f>
        <v>26</v>
      </c>
      <c r="P2870" s="0" t="n">
        <f aca="true">RAND()</f>
        <v>0.926008665008189</v>
      </c>
      <c r="Q2870" s="0" t="n">
        <f aca="true">RAND()</f>
        <v>0.563846236747007</v>
      </c>
      <c r="R2870" s="0" t="n">
        <f aca="false">IF($I2870&lt;&gt;$O2870,0,IF(P2870&lt;Matchup!$B$39,7,IF(P2870&lt;Matchup!$B$39+Matchup!$B$40,3,0)))</f>
        <v>0</v>
      </c>
      <c r="S2870" s="0" t="n">
        <f aca="false">IF($I2870&lt;&gt;$O2870,0,IF(Q2870&lt;Matchup!$C$39,7,IF(Q2870&lt;Matchup!$C$39+Matchup!$C$40,3,0)))</f>
        <v>0</v>
      </c>
      <c r="T2870" s="0" t="n">
        <f aca="false">I2870+R2870</f>
        <v>22</v>
      </c>
      <c r="U2870" s="0" t="n">
        <f aca="false">O2870+S2870</f>
        <v>26</v>
      </c>
      <c r="V2870" s="0" t="n">
        <f aca="false">T2870-U2870</f>
        <v>-4</v>
      </c>
      <c r="W2870" s="0" t="n">
        <f aca="false">T2870+U2870</f>
        <v>48</v>
      </c>
    </row>
    <row r="2871" customFormat="false" ht="15" hidden="false" customHeight="false" outlineLevel="0" collapsed="false">
      <c r="A2871" s="0" t="n">
        <v>2868</v>
      </c>
      <c r="B2871" s="0" t="n">
        <f aca="true">NORMINV(RAND(),1,Coefficients!$B$22)</f>
        <v>1.10449145245505</v>
      </c>
      <c r="C2871" s="0" t="n">
        <f aca="true">MEDIAN(8,16,ROUND(NORMINV(RAND(),Coefficients!$B$20,Coefficients!$B$21),0))</f>
        <v>11</v>
      </c>
      <c r="D2871" s="0" t="n">
        <f aca="true">CRITBINOM($C2871,MIN(0.75,Matchup!$B$39*$B2871),RAND())</f>
        <v>6</v>
      </c>
      <c r="E2871" s="0" t="n">
        <f aca="true">CRITBINOM(D2871,Coefficients!$B$30,RAND())</f>
        <v>1</v>
      </c>
      <c r="F2871" s="0" t="n">
        <f aca="true">CRITBINOM(E2871,Coefficients!$B$31,RAND())</f>
        <v>0</v>
      </c>
      <c r="G2871" s="0" t="n">
        <f aca="true">CRITBINOM(MAX(0,D2871-E2871),1-Coefficients!$B$32,RAND())</f>
        <v>0</v>
      </c>
      <c r="H2871" s="0" t="n">
        <f aca="true">CRITBINOM(MAX(0,$C2871-D2871),MIN(0.6,Matchup!$B$40*SQRT($B2871)/(1-MIN(0.75,Matchup!$B$39*$B2871))),RAND())</f>
        <v>3</v>
      </c>
      <c r="I2871" s="0" t="n">
        <f aca="false">6*D2871+(D2871-E2871-G2871)+2*F2871+3*H2871</f>
        <v>50</v>
      </c>
      <c r="J2871" s="0" t="n">
        <f aca="true">CRITBINOM($C2871,MIN(0.75,Matchup!$C$39*$B2871),RAND())</f>
        <v>1</v>
      </c>
      <c r="K2871" s="0" t="n">
        <f aca="true">CRITBINOM(J2871,Coefficients!$B$30,RAND())</f>
        <v>0</v>
      </c>
      <c r="L2871" s="0" t="n">
        <f aca="true">CRITBINOM(K2871,Coefficients!$B$31,RAND())</f>
        <v>0</v>
      </c>
      <c r="M2871" s="0" t="n">
        <f aca="true">CRITBINOM(MAX(0,J2871-K2871),1-Coefficients!$B$32,RAND())</f>
        <v>0</v>
      </c>
      <c r="N2871" s="0" t="n">
        <f aca="true">CRITBINOM(MAX(0,$C2871-J2871),MIN(0.6,Matchup!$C$40*SQRT($B2871)/(1-MIN(0.75,Matchup!$C$39*$B2871))),RAND())</f>
        <v>4</v>
      </c>
      <c r="O2871" s="0" t="n">
        <f aca="false">6*J2871+(J2871-K2871-M2871)+2*L2871+3*N2871</f>
        <v>19</v>
      </c>
      <c r="P2871" s="0" t="n">
        <f aca="true">RAND()</f>
        <v>0.830117997631931</v>
      </c>
      <c r="Q2871" s="0" t="n">
        <f aca="true">RAND()</f>
        <v>0.572211253014933</v>
      </c>
      <c r="R2871" s="0" t="n">
        <f aca="false">IF($I2871&lt;&gt;$O2871,0,IF(P2871&lt;Matchup!$B$39,7,IF(P2871&lt;Matchup!$B$39+Matchup!$B$40,3,0)))</f>
        <v>0</v>
      </c>
      <c r="S2871" s="0" t="n">
        <f aca="false">IF($I2871&lt;&gt;$O2871,0,IF(Q2871&lt;Matchup!$C$39,7,IF(Q2871&lt;Matchup!$C$39+Matchup!$C$40,3,0)))</f>
        <v>0</v>
      </c>
      <c r="T2871" s="0" t="n">
        <f aca="false">I2871+R2871</f>
        <v>50</v>
      </c>
      <c r="U2871" s="0" t="n">
        <f aca="false">O2871+S2871</f>
        <v>19</v>
      </c>
      <c r="V2871" s="0" t="n">
        <f aca="false">T2871-U2871</f>
        <v>31</v>
      </c>
      <c r="W2871" s="0" t="n">
        <f aca="false">T2871+U2871</f>
        <v>69</v>
      </c>
    </row>
    <row r="2872" customFormat="false" ht="15" hidden="false" customHeight="false" outlineLevel="0" collapsed="false">
      <c r="A2872" s="0" t="n">
        <v>2869</v>
      </c>
      <c r="B2872" s="0" t="n">
        <f aca="true">NORMINV(RAND(),1,Coefficients!$B$22)</f>
        <v>0.900056454246174</v>
      </c>
      <c r="C2872" s="0" t="n">
        <f aca="true">MEDIAN(8,16,ROUND(NORMINV(RAND(),Coefficients!$B$20,Coefficients!$B$21),0))</f>
        <v>11</v>
      </c>
      <c r="D2872" s="0" t="n">
        <f aca="true">CRITBINOM($C2872,MIN(0.75,Matchup!$B$39*$B2872),RAND())</f>
        <v>0</v>
      </c>
      <c r="E2872" s="0" t="n">
        <f aca="true">CRITBINOM(D2872,Coefficients!$B$30,RAND())</f>
        <v>0</v>
      </c>
      <c r="F2872" s="0" t="n">
        <f aca="true">CRITBINOM(E2872,Coefficients!$B$31,RAND())</f>
        <v>0</v>
      </c>
      <c r="G2872" s="0" t="n">
        <f aca="true">CRITBINOM(MAX(0,D2872-E2872),1-Coefficients!$B$32,RAND())</f>
        <v>0</v>
      </c>
      <c r="H2872" s="0" t="n">
        <f aca="true">CRITBINOM(MAX(0,$C2872-D2872),MIN(0.6,Matchup!$B$40*SQRT($B2872)/(1-MIN(0.75,Matchup!$B$39*$B2872))),RAND())</f>
        <v>2</v>
      </c>
      <c r="I2872" s="0" t="n">
        <f aca="false">6*D2872+(D2872-E2872-G2872)+2*F2872+3*H2872</f>
        <v>6</v>
      </c>
      <c r="J2872" s="0" t="n">
        <f aca="true">CRITBINOM($C2872,MIN(0.75,Matchup!$C$39*$B2872),RAND())</f>
        <v>6</v>
      </c>
      <c r="K2872" s="0" t="n">
        <f aca="true">CRITBINOM(J2872,Coefficients!$B$30,RAND())</f>
        <v>1</v>
      </c>
      <c r="L2872" s="0" t="n">
        <f aca="true">CRITBINOM(K2872,Coefficients!$B$31,RAND())</f>
        <v>1</v>
      </c>
      <c r="M2872" s="0" t="n">
        <f aca="true">CRITBINOM(MAX(0,J2872-K2872),1-Coefficients!$B$32,RAND())</f>
        <v>1</v>
      </c>
      <c r="N2872" s="0" t="n">
        <f aca="true">CRITBINOM(MAX(0,$C2872-J2872),MIN(0.6,Matchup!$C$40*SQRT($B2872)/(1-MIN(0.75,Matchup!$C$39*$B2872))),RAND())</f>
        <v>1</v>
      </c>
      <c r="O2872" s="0" t="n">
        <f aca="false">6*J2872+(J2872-K2872-M2872)+2*L2872+3*N2872</f>
        <v>45</v>
      </c>
      <c r="P2872" s="0" t="n">
        <f aca="true">RAND()</f>
        <v>0.33893727640587</v>
      </c>
      <c r="Q2872" s="0" t="n">
        <f aca="true">RAND()</f>
        <v>0.272968871319625</v>
      </c>
      <c r="R2872" s="0" t="n">
        <f aca="false">IF($I2872&lt;&gt;$O2872,0,IF(P2872&lt;Matchup!$B$39,7,IF(P2872&lt;Matchup!$B$39+Matchup!$B$40,3,0)))</f>
        <v>0</v>
      </c>
      <c r="S2872" s="0" t="n">
        <f aca="false">IF($I2872&lt;&gt;$O2872,0,IF(Q2872&lt;Matchup!$C$39,7,IF(Q2872&lt;Matchup!$C$39+Matchup!$C$40,3,0)))</f>
        <v>0</v>
      </c>
      <c r="T2872" s="0" t="n">
        <f aca="false">I2872+R2872</f>
        <v>6</v>
      </c>
      <c r="U2872" s="0" t="n">
        <f aca="false">O2872+S2872</f>
        <v>45</v>
      </c>
      <c r="V2872" s="0" t="n">
        <f aca="false">T2872-U2872</f>
        <v>-39</v>
      </c>
      <c r="W2872" s="0" t="n">
        <f aca="false">T2872+U2872</f>
        <v>51</v>
      </c>
    </row>
    <row r="2873" customFormat="false" ht="15" hidden="false" customHeight="false" outlineLevel="0" collapsed="false">
      <c r="A2873" s="0" t="n">
        <v>2870</v>
      </c>
      <c r="B2873" s="0" t="n">
        <f aca="true">NORMINV(RAND(),1,Coefficients!$B$22)</f>
        <v>1.08248786996747</v>
      </c>
      <c r="C2873" s="0" t="n">
        <f aca="true">MEDIAN(8,16,ROUND(NORMINV(RAND(),Coefficients!$B$20,Coefficients!$B$21),0))</f>
        <v>10</v>
      </c>
      <c r="D2873" s="0" t="n">
        <f aca="true">CRITBINOM($C2873,MIN(0.75,Matchup!$B$39*$B2873),RAND())</f>
        <v>1</v>
      </c>
      <c r="E2873" s="0" t="n">
        <f aca="true">CRITBINOM(D2873,Coefficients!$B$30,RAND())</f>
        <v>0</v>
      </c>
      <c r="F2873" s="0" t="n">
        <f aca="true">CRITBINOM(E2873,Coefficients!$B$31,RAND())</f>
        <v>0</v>
      </c>
      <c r="G2873" s="0" t="n">
        <f aca="true">CRITBINOM(MAX(0,D2873-E2873),1-Coefficients!$B$32,RAND())</f>
        <v>0</v>
      </c>
      <c r="H2873" s="0" t="n">
        <f aca="true">CRITBINOM(MAX(0,$C2873-D2873),MIN(0.6,Matchup!$B$40*SQRT($B2873)/(1-MIN(0.75,Matchup!$B$39*$B2873))),RAND())</f>
        <v>2</v>
      </c>
      <c r="I2873" s="0" t="n">
        <f aca="false">6*D2873+(D2873-E2873-G2873)+2*F2873+3*H2873</f>
        <v>13</v>
      </c>
      <c r="J2873" s="0" t="n">
        <f aca="true">CRITBINOM($C2873,MIN(0.75,Matchup!$C$39*$B2873),RAND())</f>
        <v>2</v>
      </c>
      <c r="K2873" s="0" t="n">
        <f aca="true">CRITBINOM(J2873,Coefficients!$B$30,RAND())</f>
        <v>0</v>
      </c>
      <c r="L2873" s="0" t="n">
        <f aca="true">CRITBINOM(K2873,Coefficients!$B$31,RAND())</f>
        <v>0</v>
      </c>
      <c r="M2873" s="0" t="n">
        <f aca="true">CRITBINOM(MAX(0,J2873-K2873),1-Coefficients!$B$32,RAND())</f>
        <v>0</v>
      </c>
      <c r="N2873" s="0" t="n">
        <f aca="true">CRITBINOM(MAX(0,$C2873-J2873),MIN(0.6,Matchup!$C$40*SQRT($B2873)/(1-MIN(0.75,Matchup!$C$39*$B2873))),RAND())</f>
        <v>3</v>
      </c>
      <c r="O2873" s="0" t="n">
        <f aca="false">6*J2873+(J2873-K2873-M2873)+2*L2873+3*N2873</f>
        <v>23</v>
      </c>
      <c r="P2873" s="0" t="n">
        <f aca="true">RAND()</f>
        <v>0.53410939160185</v>
      </c>
      <c r="Q2873" s="0" t="n">
        <f aca="true">RAND()</f>
        <v>0.340647764764617</v>
      </c>
      <c r="R2873" s="0" t="n">
        <f aca="false">IF($I2873&lt;&gt;$O2873,0,IF(P2873&lt;Matchup!$B$39,7,IF(P2873&lt;Matchup!$B$39+Matchup!$B$40,3,0)))</f>
        <v>0</v>
      </c>
      <c r="S2873" s="0" t="n">
        <f aca="false">IF($I2873&lt;&gt;$O2873,0,IF(Q2873&lt;Matchup!$C$39,7,IF(Q2873&lt;Matchup!$C$39+Matchup!$C$40,3,0)))</f>
        <v>0</v>
      </c>
      <c r="T2873" s="0" t="n">
        <f aca="false">I2873+R2873</f>
        <v>13</v>
      </c>
      <c r="U2873" s="0" t="n">
        <f aca="false">O2873+S2873</f>
        <v>23</v>
      </c>
      <c r="V2873" s="0" t="n">
        <f aca="false">T2873-U2873</f>
        <v>-10</v>
      </c>
      <c r="W2873" s="0" t="n">
        <f aca="false">T2873+U2873</f>
        <v>36</v>
      </c>
    </row>
    <row r="2874" customFormat="false" ht="15" hidden="false" customHeight="false" outlineLevel="0" collapsed="false">
      <c r="A2874" s="0" t="n">
        <v>2871</v>
      </c>
      <c r="B2874" s="0" t="n">
        <f aca="true">NORMINV(RAND(),1,Coefficients!$B$22)</f>
        <v>1.04756094490581</v>
      </c>
      <c r="C2874" s="0" t="n">
        <f aca="true">MEDIAN(8,16,ROUND(NORMINV(RAND(),Coefficients!$B$20,Coefficients!$B$21),0))</f>
        <v>9</v>
      </c>
      <c r="D2874" s="0" t="n">
        <f aca="true">CRITBINOM($C2874,MIN(0.75,Matchup!$B$39*$B2874),RAND())</f>
        <v>2</v>
      </c>
      <c r="E2874" s="0" t="n">
        <f aca="true">CRITBINOM(D2874,Coefficients!$B$30,RAND())</f>
        <v>1</v>
      </c>
      <c r="F2874" s="0" t="n">
        <f aca="true">CRITBINOM(E2874,Coefficients!$B$31,RAND())</f>
        <v>1</v>
      </c>
      <c r="G2874" s="0" t="n">
        <f aca="true">CRITBINOM(MAX(0,D2874-E2874),1-Coefficients!$B$32,RAND())</f>
        <v>0</v>
      </c>
      <c r="H2874" s="0" t="n">
        <f aca="true">CRITBINOM(MAX(0,$C2874-D2874),MIN(0.6,Matchup!$B$40*SQRT($B2874)/(1-MIN(0.75,Matchup!$B$39*$B2874))),RAND())</f>
        <v>0</v>
      </c>
      <c r="I2874" s="0" t="n">
        <f aca="false">6*D2874+(D2874-E2874-G2874)+2*F2874+3*H2874</f>
        <v>15</v>
      </c>
      <c r="J2874" s="0" t="n">
        <f aca="true">CRITBINOM($C2874,MIN(0.75,Matchup!$C$39*$B2874),RAND())</f>
        <v>2</v>
      </c>
      <c r="K2874" s="0" t="n">
        <f aca="true">CRITBINOM(J2874,Coefficients!$B$30,RAND())</f>
        <v>0</v>
      </c>
      <c r="L2874" s="0" t="n">
        <f aca="true">CRITBINOM(K2874,Coefficients!$B$31,RAND())</f>
        <v>0</v>
      </c>
      <c r="M2874" s="0" t="n">
        <f aca="true">CRITBINOM(MAX(0,J2874-K2874),1-Coefficients!$B$32,RAND())</f>
        <v>0</v>
      </c>
      <c r="N2874" s="0" t="n">
        <f aca="true">CRITBINOM(MAX(0,$C2874-J2874),MIN(0.6,Matchup!$C$40*SQRT($B2874)/(1-MIN(0.75,Matchup!$C$39*$B2874))),RAND())</f>
        <v>1</v>
      </c>
      <c r="O2874" s="0" t="n">
        <f aca="false">6*J2874+(J2874-K2874-M2874)+2*L2874+3*N2874</f>
        <v>17</v>
      </c>
      <c r="P2874" s="0" t="n">
        <f aca="true">RAND()</f>
        <v>0.584937033847283</v>
      </c>
      <c r="Q2874" s="0" t="n">
        <f aca="true">RAND()</f>
        <v>0.493876933464215</v>
      </c>
      <c r="R2874" s="0" t="n">
        <f aca="false">IF($I2874&lt;&gt;$O2874,0,IF(P2874&lt;Matchup!$B$39,7,IF(P2874&lt;Matchup!$B$39+Matchup!$B$40,3,0)))</f>
        <v>0</v>
      </c>
      <c r="S2874" s="0" t="n">
        <f aca="false">IF($I2874&lt;&gt;$O2874,0,IF(Q2874&lt;Matchup!$C$39,7,IF(Q2874&lt;Matchup!$C$39+Matchup!$C$40,3,0)))</f>
        <v>0</v>
      </c>
      <c r="T2874" s="0" t="n">
        <f aca="false">I2874+R2874</f>
        <v>15</v>
      </c>
      <c r="U2874" s="0" t="n">
        <f aca="false">O2874+S2874</f>
        <v>17</v>
      </c>
      <c r="V2874" s="0" t="n">
        <f aca="false">T2874-U2874</f>
        <v>-2</v>
      </c>
      <c r="W2874" s="0" t="n">
        <f aca="false">T2874+U2874</f>
        <v>32</v>
      </c>
    </row>
    <row r="2875" customFormat="false" ht="15" hidden="false" customHeight="false" outlineLevel="0" collapsed="false">
      <c r="A2875" s="0" t="n">
        <v>2872</v>
      </c>
      <c r="B2875" s="0" t="n">
        <f aca="true">NORMINV(RAND(),1,Coefficients!$B$22)</f>
        <v>1.17940087212968</v>
      </c>
      <c r="C2875" s="0" t="n">
        <f aca="true">MEDIAN(8,16,ROUND(NORMINV(RAND(),Coefficients!$B$20,Coefficients!$B$21),0))</f>
        <v>10</v>
      </c>
      <c r="D2875" s="0" t="n">
        <f aca="true">CRITBINOM($C2875,MIN(0.75,Matchup!$B$39*$B2875),RAND())</f>
        <v>2</v>
      </c>
      <c r="E2875" s="0" t="n">
        <f aca="true">CRITBINOM(D2875,Coefficients!$B$30,RAND())</f>
        <v>0</v>
      </c>
      <c r="F2875" s="0" t="n">
        <f aca="true">CRITBINOM(E2875,Coefficients!$B$31,RAND())</f>
        <v>0</v>
      </c>
      <c r="G2875" s="0" t="n">
        <f aca="true">CRITBINOM(MAX(0,D2875-E2875),1-Coefficients!$B$32,RAND())</f>
        <v>0</v>
      </c>
      <c r="H2875" s="0" t="n">
        <f aca="true">CRITBINOM(MAX(0,$C2875-D2875),MIN(0.6,Matchup!$B$40*SQRT($B2875)/(1-MIN(0.75,Matchup!$B$39*$B2875))),RAND())</f>
        <v>3</v>
      </c>
      <c r="I2875" s="0" t="n">
        <f aca="false">6*D2875+(D2875-E2875-G2875)+2*F2875+3*H2875</f>
        <v>23</v>
      </c>
      <c r="J2875" s="0" t="n">
        <f aca="true">CRITBINOM($C2875,MIN(0.75,Matchup!$C$39*$B2875),RAND())</f>
        <v>5</v>
      </c>
      <c r="K2875" s="0" t="n">
        <f aca="true">CRITBINOM(J2875,Coefficients!$B$30,RAND())</f>
        <v>1</v>
      </c>
      <c r="L2875" s="0" t="n">
        <f aca="true">CRITBINOM(K2875,Coefficients!$B$31,RAND())</f>
        <v>1</v>
      </c>
      <c r="M2875" s="0" t="n">
        <f aca="true">CRITBINOM(MAX(0,J2875-K2875),1-Coefficients!$B$32,RAND())</f>
        <v>0</v>
      </c>
      <c r="N2875" s="0" t="n">
        <f aca="true">CRITBINOM(MAX(0,$C2875-J2875),MIN(0.6,Matchup!$C$40*SQRT($B2875)/(1-MIN(0.75,Matchup!$C$39*$B2875))),RAND())</f>
        <v>0</v>
      </c>
      <c r="O2875" s="0" t="n">
        <f aca="false">6*J2875+(J2875-K2875-M2875)+2*L2875+3*N2875</f>
        <v>36</v>
      </c>
      <c r="P2875" s="0" t="n">
        <f aca="true">RAND()</f>
        <v>0.687978089749747</v>
      </c>
      <c r="Q2875" s="0" t="n">
        <f aca="true">RAND()</f>
        <v>0.663591876811289</v>
      </c>
      <c r="R2875" s="0" t="n">
        <f aca="false">IF($I2875&lt;&gt;$O2875,0,IF(P2875&lt;Matchup!$B$39,7,IF(P2875&lt;Matchup!$B$39+Matchup!$B$40,3,0)))</f>
        <v>0</v>
      </c>
      <c r="S2875" s="0" t="n">
        <f aca="false">IF($I2875&lt;&gt;$O2875,0,IF(Q2875&lt;Matchup!$C$39,7,IF(Q2875&lt;Matchup!$C$39+Matchup!$C$40,3,0)))</f>
        <v>0</v>
      </c>
      <c r="T2875" s="0" t="n">
        <f aca="false">I2875+R2875</f>
        <v>23</v>
      </c>
      <c r="U2875" s="0" t="n">
        <f aca="false">O2875+S2875</f>
        <v>36</v>
      </c>
      <c r="V2875" s="0" t="n">
        <f aca="false">T2875-U2875</f>
        <v>-13</v>
      </c>
      <c r="W2875" s="0" t="n">
        <f aca="false">T2875+U2875</f>
        <v>59</v>
      </c>
    </row>
    <row r="2876" customFormat="false" ht="15" hidden="false" customHeight="false" outlineLevel="0" collapsed="false">
      <c r="A2876" s="0" t="n">
        <v>2873</v>
      </c>
      <c r="B2876" s="0" t="n">
        <f aca="true">NORMINV(RAND(),1,Coefficients!$B$22)</f>
        <v>0.979213507145607</v>
      </c>
      <c r="C2876" s="0" t="n">
        <f aca="true">MEDIAN(8,16,ROUND(NORMINV(RAND(),Coefficients!$B$20,Coefficients!$B$21),0))</f>
        <v>10</v>
      </c>
      <c r="D2876" s="0" t="n">
        <f aca="true">CRITBINOM($C2876,MIN(0.75,Matchup!$B$39*$B2876),RAND())</f>
        <v>1</v>
      </c>
      <c r="E2876" s="0" t="n">
        <f aca="true">CRITBINOM(D2876,Coefficients!$B$30,RAND())</f>
        <v>0</v>
      </c>
      <c r="F2876" s="0" t="n">
        <f aca="true">CRITBINOM(E2876,Coefficients!$B$31,RAND())</f>
        <v>0</v>
      </c>
      <c r="G2876" s="0" t="n">
        <f aca="true">CRITBINOM(MAX(0,D2876-E2876),1-Coefficients!$B$32,RAND())</f>
        <v>0</v>
      </c>
      <c r="H2876" s="0" t="n">
        <f aca="true">CRITBINOM(MAX(0,$C2876-D2876),MIN(0.6,Matchup!$B$40*SQRT($B2876)/(1-MIN(0.75,Matchup!$B$39*$B2876))),RAND())</f>
        <v>1</v>
      </c>
      <c r="I2876" s="0" t="n">
        <f aca="false">6*D2876+(D2876-E2876-G2876)+2*F2876+3*H2876</f>
        <v>10</v>
      </c>
      <c r="J2876" s="0" t="n">
        <f aca="true">CRITBINOM($C2876,MIN(0.75,Matchup!$C$39*$B2876),RAND())</f>
        <v>2</v>
      </c>
      <c r="K2876" s="0" t="n">
        <f aca="true">CRITBINOM(J2876,Coefficients!$B$30,RAND())</f>
        <v>0</v>
      </c>
      <c r="L2876" s="0" t="n">
        <f aca="true">CRITBINOM(K2876,Coefficients!$B$31,RAND())</f>
        <v>0</v>
      </c>
      <c r="M2876" s="0" t="n">
        <f aca="true">CRITBINOM(MAX(0,J2876-K2876),1-Coefficients!$B$32,RAND())</f>
        <v>0</v>
      </c>
      <c r="N2876" s="0" t="n">
        <f aca="true">CRITBINOM(MAX(0,$C2876-J2876),MIN(0.6,Matchup!$C$40*SQRT($B2876)/(1-MIN(0.75,Matchup!$C$39*$B2876))),RAND())</f>
        <v>1</v>
      </c>
      <c r="O2876" s="0" t="n">
        <f aca="false">6*J2876+(J2876-K2876-M2876)+2*L2876+3*N2876</f>
        <v>17</v>
      </c>
      <c r="P2876" s="0" t="n">
        <f aca="true">RAND()</f>
        <v>0.345802234900354</v>
      </c>
      <c r="Q2876" s="0" t="n">
        <f aca="true">RAND()</f>
        <v>0.889134453073992</v>
      </c>
      <c r="R2876" s="0" t="n">
        <f aca="false">IF($I2876&lt;&gt;$O2876,0,IF(P2876&lt;Matchup!$B$39,7,IF(P2876&lt;Matchup!$B$39+Matchup!$B$40,3,0)))</f>
        <v>0</v>
      </c>
      <c r="S2876" s="0" t="n">
        <f aca="false">IF($I2876&lt;&gt;$O2876,0,IF(Q2876&lt;Matchup!$C$39,7,IF(Q2876&lt;Matchup!$C$39+Matchup!$C$40,3,0)))</f>
        <v>0</v>
      </c>
      <c r="T2876" s="0" t="n">
        <f aca="false">I2876+R2876</f>
        <v>10</v>
      </c>
      <c r="U2876" s="0" t="n">
        <f aca="false">O2876+S2876</f>
        <v>17</v>
      </c>
      <c r="V2876" s="0" t="n">
        <f aca="false">T2876-U2876</f>
        <v>-7</v>
      </c>
      <c r="W2876" s="0" t="n">
        <f aca="false">T2876+U2876</f>
        <v>27</v>
      </c>
    </row>
    <row r="2877" customFormat="false" ht="15" hidden="false" customHeight="false" outlineLevel="0" collapsed="false">
      <c r="A2877" s="0" t="n">
        <v>2874</v>
      </c>
      <c r="B2877" s="0" t="n">
        <f aca="true">NORMINV(RAND(),1,Coefficients!$B$22)</f>
        <v>0.905051266476233</v>
      </c>
      <c r="C2877" s="0" t="n">
        <f aca="true">MEDIAN(8,16,ROUND(NORMINV(RAND(),Coefficients!$B$20,Coefficients!$B$21),0))</f>
        <v>12</v>
      </c>
      <c r="D2877" s="0" t="n">
        <f aca="true">CRITBINOM($C2877,MIN(0.75,Matchup!$B$39*$B2877),RAND())</f>
        <v>1</v>
      </c>
      <c r="E2877" s="0" t="n">
        <f aca="true">CRITBINOM(D2877,Coefficients!$B$30,RAND())</f>
        <v>0</v>
      </c>
      <c r="F2877" s="0" t="n">
        <f aca="true">CRITBINOM(E2877,Coefficients!$B$31,RAND())</f>
        <v>0</v>
      </c>
      <c r="G2877" s="0" t="n">
        <f aca="true">CRITBINOM(MAX(0,D2877-E2877),1-Coefficients!$B$32,RAND())</f>
        <v>0</v>
      </c>
      <c r="H2877" s="0" t="n">
        <f aca="true">CRITBINOM(MAX(0,$C2877-D2877),MIN(0.6,Matchup!$B$40*SQRT($B2877)/(1-MIN(0.75,Matchup!$B$39*$B2877))),RAND())</f>
        <v>1</v>
      </c>
      <c r="I2877" s="0" t="n">
        <f aca="false">6*D2877+(D2877-E2877-G2877)+2*F2877+3*H2877</f>
        <v>10</v>
      </c>
      <c r="J2877" s="0" t="n">
        <f aca="true">CRITBINOM($C2877,MIN(0.75,Matchup!$C$39*$B2877),RAND())</f>
        <v>3</v>
      </c>
      <c r="K2877" s="0" t="n">
        <f aca="true">CRITBINOM(J2877,Coefficients!$B$30,RAND())</f>
        <v>0</v>
      </c>
      <c r="L2877" s="0" t="n">
        <f aca="true">CRITBINOM(K2877,Coefficients!$B$31,RAND())</f>
        <v>0</v>
      </c>
      <c r="M2877" s="0" t="n">
        <f aca="true">CRITBINOM(MAX(0,J2877-K2877),1-Coefficients!$B$32,RAND())</f>
        <v>1</v>
      </c>
      <c r="N2877" s="0" t="n">
        <f aca="true">CRITBINOM(MAX(0,$C2877-J2877),MIN(0.6,Matchup!$C$40*SQRT($B2877)/(1-MIN(0.75,Matchup!$C$39*$B2877))),RAND())</f>
        <v>1</v>
      </c>
      <c r="O2877" s="0" t="n">
        <f aca="false">6*J2877+(J2877-K2877-M2877)+2*L2877+3*N2877</f>
        <v>23</v>
      </c>
      <c r="P2877" s="0" t="n">
        <f aca="true">RAND()</f>
        <v>0.513442194030507</v>
      </c>
      <c r="Q2877" s="0" t="n">
        <f aca="true">RAND()</f>
        <v>0.276652083804344</v>
      </c>
      <c r="R2877" s="0" t="n">
        <f aca="false">IF($I2877&lt;&gt;$O2877,0,IF(P2877&lt;Matchup!$B$39,7,IF(P2877&lt;Matchup!$B$39+Matchup!$B$40,3,0)))</f>
        <v>0</v>
      </c>
      <c r="S2877" s="0" t="n">
        <f aca="false">IF($I2877&lt;&gt;$O2877,0,IF(Q2877&lt;Matchup!$C$39,7,IF(Q2877&lt;Matchup!$C$39+Matchup!$C$40,3,0)))</f>
        <v>0</v>
      </c>
      <c r="T2877" s="0" t="n">
        <f aca="false">I2877+R2877</f>
        <v>10</v>
      </c>
      <c r="U2877" s="0" t="n">
        <f aca="false">O2877+S2877</f>
        <v>23</v>
      </c>
      <c r="V2877" s="0" t="n">
        <f aca="false">T2877-U2877</f>
        <v>-13</v>
      </c>
      <c r="W2877" s="0" t="n">
        <f aca="false">T2877+U2877</f>
        <v>33</v>
      </c>
    </row>
    <row r="2878" customFormat="false" ht="15" hidden="false" customHeight="false" outlineLevel="0" collapsed="false">
      <c r="A2878" s="0" t="n">
        <v>2875</v>
      </c>
      <c r="B2878" s="0" t="n">
        <f aca="true">NORMINV(RAND(),1,Coefficients!$B$22)</f>
        <v>1.04561914632916</v>
      </c>
      <c r="C2878" s="0" t="n">
        <f aca="true">MEDIAN(8,16,ROUND(NORMINV(RAND(),Coefficients!$B$20,Coefficients!$B$21),0))</f>
        <v>11</v>
      </c>
      <c r="D2878" s="0" t="n">
        <f aca="true">CRITBINOM($C2878,MIN(0.75,Matchup!$B$39*$B2878),RAND())</f>
        <v>3</v>
      </c>
      <c r="E2878" s="0" t="n">
        <f aca="true">CRITBINOM(D2878,Coefficients!$B$30,RAND())</f>
        <v>1</v>
      </c>
      <c r="F2878" s="0" t="n">
        <f aca="true">CRITBINOM(E2878,Coefficients!$B$31,RAND())</f>
        <v>0</v>
      </c>
      <c r="G2878" s="0" t="n">
        <f aca="true">CRITBINOM(MAX(0,D2878-E2878),1-Coefficients!$B$32,RAND())</f>
        <v>0</v>
      </c>
      <c r="H2878" s="0" t="n">
        <f aca="true">CRITBINOM(MAX(0,$C2878-D2878),MIN(0.6,Matchup!$B$40*SQRT($B2878)/(1-MIN(0.75,Matchup!$B$39*$B2878))),RAND())</f>
        <v>4</v>
      </c>
      <c r="I2878" s="0" t="n">
        <f aca="false">6*D2878+(D2878-E2878-G2878)+2*F2878+3*H2878</f>
        <v>32</v>
      </c>
      <c r="J2878" s="0" t="n">
        <f aca="true">CRITBINOM($C2878,MIN(0.75,Matchup!$C$39*$B2878),RAND())</f>
        <v>4</v>
      </c>
      <c r="K2878" s="0" t="n">
        <f aca="true">CRITBINOM(J2878,Coefficients!$B$30,RAND())</f>
        <v>1</v>
      </c>
      <c r="L2878" s="0" t="n">
        <f aca="true">CRITBINOM(K2878,Coefficients!$B$31,RAND())</f>
        <v>1</v>
      </c>
      <c r="M2878" s="0" t="n">
        <f aca="true">CRITBINOM(MAX(0,J2878-K2878),1-Coefficients!$B$32,RAND())</f>
        <v>1</v>
      </c>
      <c r="N2878" s="0" t="n">
        <f aca="true">CRITBINOM(MAX(0,$C2878-J2878),MIN(0.6,Matchup!$C$40*SQRT($B2878)/(1-MIN(0.75,Matchup!$C$39*$B2878))),RAND())</f>
        <v>3</v>
      </c>
      <c r="O2878" s="0" t="n">
        <f aca="false">6*J2878+(J2878-K2878-M2878)+2*L2878+3*N2878</f>
        <v>37</v>
      </c>
      <c r="P2878" s="0" t="n">
        <f aca="true">RAND()</f>
        <v>0.127436059695677</v>
      </c>
      <c r="Q2878" s="0" t="n">
        <f aca="true">RAND()</f>
        <v>0.489911578228429</v>
      </c>
      <c r="R2878" s="0" t="n">
        <f aca="false">IF($I2878&lt;&gt;$O2878,0,IF(P2878&lt;Matchup!$B$39,7,IF(P2878&lt;Matchup!$B$39+Matchup!$B$40,3,0)))</f>
        <v>0</v>
      </c>
      <c r="S2878" s="0" t="n">
        <f aca="false">IF($I2878&lt;&gt;$O2878,0,IF(Q2878&lt;Matchup!$C$39,7,IF(Q2878&lt;Matchup!$C$39+Matchup!$C$40,3,0)))</f>
        <v>0</v>
      </c>
      <c r="T2878" s="0" t="n">
        <f aca="false">I2878+R2878</f>
        <v>32</v>
      </c>
      <c r="U2878" s="0" t="n">
        <f aca="false">O2878+S2878</f>
        <v>37</v>
      </c>
      <c r="V2878" s="0" t="n">
        <f aca="false">T2878-U2878</f>
        <v>-5</v>
      </c>
      <c r="W2878" s="0" t="n">
        <f aca="false">T2878+U2878</f>
        <v>69</v>
      </c>
    </row>
    <row r="2879" customFormat="false" ht="15" hidden="false" customHeight="false" outlineLevel="0" collapsed="false">
      <c r="A2879" s="0" t="n">
        <v>2876</v>
      </c>
      <c r="B2879" s="0" t="n">
        <f aca="true">NORMINV(RAND(),1,Coefficients!$B$22)</f>
        <v>0.993760316038508</v>
      </c>
      <c r="C2879" s="0" t="n">
        <f aca="true">MEDIAN(8,16,ROUND(NORMINV(RAND(),Coefficients!$B$20,Coefficients!$B$21),0))</f>
        <v>12</v>
      </c>
      <c r="D2879" s="0" t="n">
        <f aca="true">CRITBINOM($C2879,MIN(0.75,Matchup!$B$39*$B2879),RAND())</f>
        <v>6</v>
      </c>
      <c r="E2879" s="0" t="n">
        <f aca="true">CRITBINOM(D2879,Coefficients!$B$30,RAND())</f>
        <v>0</v>
      </c>
      <c r="F2879" s="0" t="n">
        <f aca="true">CRITBINOM(E2879,Coefficients!$B$31,RAND())</f>
        <v>0</v>
      </c>
      <c r="G2879" s="0" t="n">
        <f aca="true">CRITBINOM(MAX(0,D2879-E2879),1-Coefficients!$B$32,RAND())</f>
        <v>0</v>
      </c>
      <c r="H2879" s="0" t="n">
        <f aca="true">CRITBINOM(MAX(0,$C2879-D2879),MIN(0.6,Matchup!$B$40*SQRT($B2879)/(1-MIN(0.75,Matchup!$B$39*$B2879))),RAND())</f>
        <v>0</v>
      </c>
      <c r="I2879" s="0" t="n">
        <f aca="false">6*D2879+(D2879-E2879-G2879)+2*F2879+3*H2879</f>
        <v>42</v>
      </c>
      <c r="J2879" s="0" t="n">
        <f aca="true">CRITBINOM($C2879,MIN(0.75,Matchup!$C$39*$B2879),RAND())</f>
        <v>2</v>
      </c>
      <c r="K2879" s="0" t="n">
        <f aca="true">CRITBINOM(J2879,Coefficients!$B$30,RAND())</f>
        <v>0</v>
      </c>
      <c r="L2879" s="0" t="n">
        <f aca="true">CRITBINOM(K2879,Coefficients!$B$31,RAND())</f>
        <v>0</v>
      </c>
      <c r="M2879" s="0" t="n">
        <f aca="true">CRITBINOM(MAX(0,J2879-K2879),1-Coefficients!$B$32,RAND())</f>
        <v>0</v>
      </c>
      <c r="N2879" s="0" t="n">
        <f aca="true">CRITBINOM(MAX(0,$C2879-J2879),MIN(0.6,Matchup!$C$40*SQRT($B2879)/(1-MIN(0.75,Matchup!$C$39*$B2879))),RAND())</f>
        <v>2</v>
      </c>
      <c r="O2879" s="0" t="n">
        <f aca="false">6*J2879+(J2879-K2879-M2879)+2*L2879+3*N2879</f>
        <v>20</v>
      </c>
      <c r="P2879" s="0" t="n">
        <f aca="true">RAND()</f>
        <v>0.663156267748916</v>
      </c>
      <c r="Q2879" s="0" t="n">
        <f aca="true">RAND()</f>
        <v>0.881605838151596</v>
      </c>
      <c r="R2879" s="0" t="n">
        <f aca="false">IF($I2879&lt;&gt;$O2879,0,IF(P2879&lt;Matchup!$B$39,7,IF(P2879&lt;Matchup!$B$39+Matchup!$B$40,3,0)))</f>
        <v>0</v>
      </c>
      <c r="S2879" s="0" t="n">
        <f aca="false">IF($I2879&lt;&gt;$O2879,0,IF(Q2879&lt;Matchup!$C$39,7,IF(Q2879&lt;Matchup!$C$39+Matchup!$C$40,3,0)))</f>
        <v>0</v>
      </c>
      <c r="T2879" s="0" t="n">
        <f aca="false">I2879+R2879</f>
        <v>42</v>
      </c>
      <c r="U2879" s="0" t="n">
        <f aca="false">O2879+S2879</f>
        <v>20</v>
      </c>
      <c r="V2879" s="0" t="n">
        <f aca="false">T2879-U2879</f>
        <v>22</v>
      </c>
      <c r="W2879" s="0" t="n">
        <f aca="false">T2879+U2879</f>
        <v>62</v>
      </c>
    </row>
    <row r="2880" customFormat="false" ht="15" hidden="false" customHeight="false" outlineLevel="0" collapsed="false">
      <c r="A2880" s="0" t="n">
        <v>2877</v>
      </c>
      <c r="B2880" s="0" t="n">
        <f aca="true">NORMINV(RAND(),1,Coefficients!$B$22)</f>
        <v>0.857598819691159</v>
      </c>
      <c r="C2880" s="0" t="n">
        <f aca="true">MEDIAN(8,16,ROUND(NORMINV(RAND(),Coefficients!$B$20,Coefficients!$B$21),0))</f>
        <v>11</v>
      </c>
      <c r="D2880" s="0" t="n">
        <f aca="true">CRITBINOM($C2880,MIN(0.75,Matchup!$B$39*$B2880),RAND())</f>
        <v>2</v>
      </c>
      <c r="E2880" s="0" t="n">
        <f aca="true">CRITBINOM(D2880,Coefficients!$B$30,RAND())</f>
        <v>1</v>
      </c>
      <c r="F2880" s="0" t="n">
        <f aca="true">CRITBINOM(E2880,Coefficients!$B$31,RAND())</f>
        <v>1</v>
      </c>
      <c r="G2880" s="0" t="n">
        <f aca="true">CRITBINOM(MAX(0,D2880-E2880),1-Coefficients!$B$32,RAND())</f>
        <v>0</v>
      </c>
      <c r="H2880" s="0" t="n">
        <f aca="true">CRITBINOM(MAX(0,$C2880-D2880),MIN(0.6,Matchup!$B$40*SQRT($B2880)/(1-MIN(0.75,Matchup!$B$39*$B2880))),RAND())</f>
        <v>1</v>
      </c>
      <c r="I2880" s="0" t="n">
        <f aca="false">6*D2880+(D2880-E2880-G2880)+2*F2880+3*H2880</f>
        <v>18</v>
      </c>
      <c r="J2880" s="0" t="n">
        <f aca="true">CRITBINOM($C2880,MIN(0.75,Matchup!$C$39*$B2880),RAND())</f>
        <v>2</v>
      </c>
      <c r="K2880" s="0" t="n">
        <f aca="true">CRITBINOM(J2880,Coefficients!$B$30,RAND())</f>
        <v>0</v>
      </c>
      <c r="L2880" s="0" t="n">
        <f aca="true">CRITBINOM(K2880,Coefficients!$B$31,RAND())</f>
        <v>0</v>
      </c>
      <c r="M2880" s="0" t="n">
        <f aca="true">CRITBINOM(MAX(0,J2880-K2880),1-Coefficients!$B$32,RAND())</f>
        <v>0</v>
      </c>
      <c r="N2880" s="0" t="n">
        <f aca="true">CRITBINOM(MAX(0,$C2880-J2880),MIN(0.6,Matchup!$C$40*SQRT($B2880)/(1-MIN(0.75,Matchup!$C$39*$B2880))),RAND())</f>
        <v>2</v>
      </c>
      <c r="O2880" s="0" t="n">
        <f aca="false">6*J2880+(J2880-K2880-M2880)+2*L2880+3*N2880</f>
        <v>20</v>
      </c>
      <c r="P2880" s="0" t="n">
        <f aca="true">RAND()</f>
        <v>0.0859191340162007</v>
      </c>
      <c r="Q2880" s="0" t="n">
        <f aca="true">RAND()</f>
        <v>0.577010027927912</v>
      </c>
      <c r="R2880" s="0" t="n">
        <f aca="false">IF($I2880&lt;&gt;$O2880,0,IF(P2880&lt;Matchup!$B$39,7,IF(P2880&lt;Matchup!$B$39+Matchup!$B$40,3,0)))</f>
        <v>0</v>
      </c>
      <c r="S2880" s="0" t="n">
        <f aca="false">IF($I2880&lt;&gt;$O2880,0,IF(Q2880&lt;Matchup!$C$39,7,IF(Q2880&lt;Matchup!$C$39+Matchup!$C$40,3,0)))</f>
        <v>0</v>
      </c>
      <c r="T2880" s="0" t="n">
        <f aca="false">I2880+R2880</f>
        <v>18</v>
      </c>
      <c r="U2880" s="0" t="n">
        <f aca="false">O2880+S2880</f>
        <v>20</v>
      </c>
      <c r="V2880" s="0" t="n">
        <f aca="false">T2880-U2880</f>
        <v>-2</v>
      </c>
      <c r="W2880" s="0" t="n">
        <f aca="false">T2880+U2880</f>
        <v>38</v>
      </c>
    </row>
    <row r="2881" customFormat="false" ht="15" hidden="false" customHeight="false" outlineLevel="0" collapsed="false">
      <c r="A2881" s="0" t="n">
        <v>2878</v>
      </c>
      <c r="B2881" s="0" t="n">
        <f aca="true">NORMINV(RAND(),1,Coefficients!$B$22)</f>
        <v>0.912692968069487</v>
      </c>
      <c r="C2881" s="0" t="n">
        <f aca="true">MEDIAN(8,16,ROUND(NORMINV(RAND(),Coefficients!$B$20,Coefficients!$B$21),0))</f>
        <v>12</v>
      </c>
      <c r="D2881" s="0" t="n">
        <f aca="true">CRITBINOM($C2881,MIN(0.75,Matchup!$B$39*$B2881),RAND())</f>
        <v>2</v>
      </c>
      <c r="E2881" s="0" t="n">
        <f aca="true">CRITBINOM(D2881,Coefficients!$B$30,RAND())</f>
        <v>0</v>
      </c>
      <c r="F2881" s="0" t="n">
        <f aca="true">CRITBINOM(E2881,Coefficients!$B$31,RAND())</f>
        <v>0</v>
      </c>
      <c r="G2881" s="0" t="n">
        <f aca="true">CRITBINOM(MAX(0,D2881-E2881),1-Coefficients!$B$32,RAND())</f>
        <v>0</v>
      </c>
      <c r="H2881" s="0" t="n">
        <f aca="true">CRITBINOM(MAX(0,$C2881-D2881),MIN(0.6,Matchup!$B$40*SQRT($B2881)/(1-MIN(0.75,Matchup!$B$39*$B2881))),RAND())</f>
        <v>2</v>
      </c>
      <c r="I2881" s="0" t="n">
        <f aca="false">6*D2881+(D2881-E2881-G2881)+2*F2881+3*H2881</f>
        <v>20</v>
      </c>
      <c r="J2881" s="0" t="n">
        <f aca="true">CRITBINOM($C2881,MIN(0.75,Matchup!$C$39*$B2881),RAND())</f>
        <v>1</v>
      </c>
      <c r="K2881" s="0" t="n">
        <f aca="true">CRITBINOM(J2881,Coefficients!$B$30,RAND())</f>
        <v>1</v>
      </c>
      <c r="L2881" s="0" t="n">
        <f aca="true">CRITBINOM(K2881,Coefficients!$B$31,RAND())</f>
        <v>1</v>
      </c>
      <c r="M2881" s="0" t="n">
        <f aca="true">CRITBINOM(MAX(0,J2881-K2881),1-Coefficients!$B$32,RAND())</f>
        <v>0</v>
      </c>
      <c r="N2881" s="0" t="n">
        <f aca="true">CRITBINOM(MAX(0,$C2881-J2881),MIN(0.6,Matchup!$C$40*SQRT($B2881)/(1-MIN(0.75,Matchup!$C$39*$B2881))),RAND())</f>
        <v>1</v>
      </c>
      <c r="O2881" s="0" t="n">
        <f aca="false">6*J2881+(J2881-K2881-M2881)+2*L2881+3*N2881</f>
        <v>11</v>
      </c>
      <c r="P2881" s="0" t="n">
        <f aca="true">RAND()</f>
        <v>0.819341088028767</v>
      </c>
      <c r="Q2881" s="0" t="n">
        <f aca="true">RAND()</f>
        <v>0.834838963316299</v>
      </c>
      <c r="R2881" s="0" t="n">
        <f aca="false">IF($I2881&lt;&gt;$O2881,0,IF(P2881&lt;Matchup!$B$39,7,IF(P2881&lt;Matchup!$B$39+Matchup!$B$40,3,0)))</f>
        <v>0</v>
      </c>
      <c r="S2881" s="0" t="n">
        <f aca="false">IF($I2881&lt;&gt;$O2881,0,IF(Q2881&lt;Matchup!$C$39,7,IF(Q2881&lt;Matchup!$C$39+Matchup!$C$40,3,0)))</f>
        <v>0</v>
      </c>
      <c r="T2881" s="0" t="n">
        <f aca="false">I2881+R2881</f>
        <v>20</v>
      </c>
      <c r="U2881" s="0" t="n">
        <f aca="false">O2881+S2881</f>
        <v>11</v>
      </c>
      <c r="V2881" s="0" t="n">
        <f aca="false">T2881-U2881</f>
        <v>9</v>
      </c>
      <c r="W2881" s="0" t="n">
        <f aca="false">T2881+U2881</f>
        <v>31</v>
      </c>
    </row>
    <row r="2882" customFormat="false" ht="15" hidden="false" customHeight="false" outlineLevel="0" collapsed="false">
      <c r="A2882" s="0" t="n">
        <v>2879</v>
      </c>
      <c r="B2882" s="0" t="n">
        <f aca="true">NORMINV(RAND(),1,Coefficients!$B$22)</f>
        <v>1.10267191533976</v>
      </c>
      <c r="C2882" s="0" t="n">
        <f aca="true">MEDIAN(8,16,ROUND(NORMINV(RAND(),Coefficients!$B$20,Coefficients!$B$21),0))</f>
        <v>11</v>
      </c>
      <c r="D2882" s="0" t="n">
        <f aca="true">CRITBINOM($C2882,MIN(0.75,Matchup!$B$39*$B2882),RAND())</f>
        <v>4</v>
      </c>
      <c r="E2882" s="0" t="n">
        <f aca="true">CRITBINOM(D2882,Coefficients!$B$30,RAND())</f>
        <v>0</v>
      </c>
      <c r="F2882" s="0" t="n">
        <f aca="true">CRITBINOM(E2882,Coefficients!$B$31,RAND())</f>
        <v>0</v>
      </c>
      <c r="G2882" s="0" t="n">
        <f aca="true">CRITBINOM(MAX(0,D2882-E2882),1-Coefficients!$B$32,RAND())</f>
        <v>0</v>
      </c>
      <c r="H2882" s="0" t="n">
        <f aca="true">CRITBINOM(MAX(0,$C2882-D2882),MIN(0.6,Matchup!$B$40*SQRT($B2882)/(1-MIN(0.75,Matchup!$B$39*$B2882))),RAND())</f>
        <v>0</v>
      </c>
      <c r="I2882" s="0" t="n">
        <f aca="false">6*D2882+(D2882-E2882-G2882)+2*F2882+3*H2882</f>
        <v>28</v>
      </c>
      <c r="J2882" s="0" t="n">
        <f aca="true">CRITBINOM($C2882,MIN(0.75,Matchup!$C$39*$B2882),RAND())</f>
        <v>2</v>
      </c>
      <c r="K2882" s="0" t="n">
        <f aca="true">CRITBINOM(J2882,Coefficients!$B$30,RAND())</f>
        <v>0</v>
      </c>
      <c r="L2882" s="0" t="n">
        <f aca="true">CRITBINOM(K2882,Coefficients!$B$31,RAND())</f>
        <v>0</v>
      </c>
      <c r="M2882" s="0" t="n">
        <f aca="true">CRITBINOM(MAX(0,J2882-K2882),1-Coefficients!$B$32,RAND())</f>
        <v>0</v>
      </c>
      <c r="N2882" s="0" t="n">
        <f aca="true">CRITBINOM(MAX(0,$C2882-J2882),MIN(0.6,Matchup!$C$40*SQRT($B2882)/(1-MIN(0.75,Matchup!$C$39*$B2882))),RAND())</f>
        <v>0</v>
      </c>
      <c r="O2882" s="0" t="n">
        <f aca="false">6*J2882+(J2882-K2882-M2882)+2*L2882+3*N2882</f>
        <v>14</v>
      </c>
      <c r="P2882" s="0" t="n">
        <f aca="true">RAND()</f>
        <v>0.635779775946665</v>
      </c>
      <c r="Q2882" s="0" t="n">
        <f aca="true">RAND()</f>
        <v>0.398324541898726</v>
      </c>
      <c r="R2882" s="0" t="n">
        <f aca="false">IF($I2882&lt;&gt;$O2882,0,IF(P2882&lt;Matchup!$B$39,7,IF(P2882&lt;Matchup!$B$39+Matchup!$B$40,3,0)))</f>
        <v>0</v>
      </c>
      <c r="S2882" s="0" t="n">
        <f aca="false">IF($I2882&lt;&gt;$O2882,0,IF(Q2882&lt;Matchup!$C$39,7,IF(Q2882&lt;Matchup!$C$39+Matchup!$C$40,3,0)))</f>
        <v>0</v>
      </c>
      <c r="T2882" s="0" t="n">
        <f aca="false">I2882+R2882</f>
        <v>28</v>
      </c>
      <c r="U2882" s="0" t="n">
        <f aca="false">O2882+S2882</f>
        <v>14</v>
      </c>
      <c r="V2882" s="0" t="n">
        <f aca="false">T2882-U2882</f>
        <v>14</v>
      </c>
      <c r="W2882" s="0" t="n">
        <f aca="false">T2882+U2882</f>
        <v>42</v>
      </c>
    </row>
    <row r="2883" customFormat="false" ht="15" hidden="false" customHeight="false" outlineLevel="0" collapsed="false">
      <c r="A2883" s="0" t="n">
        <v>2880</v>
      </c>
      <c r="B2883" s="0" t="n">
        <f aca="true">NORMINV(RAND(),1,Coefficients!$B$22)</f>
        <v>0.830295767513828</v>
      </c>
      <c r="C2883" s="0" t="n">
        <f aca="true">MEDIAN(8,16,ROUND(NORMINV(RAND(),Coefficients!$B$20,Coefficients!$B$21),0))</f>
        <v>9</v>
      </c>
      <c r="D2883" s="0" t="n">
        <f aca="true">CRITBINOM($C2883,MIN(0.75,Matchup!$B$39*$B2883),RAND())</f>
        <v>1</v>
      </c>
      <c r="E2883" s="0" t="n">
        <f aca="true">CRITBINOM(D2883,Coefficients!$B$30,RAND())</f>
        <v>0</v>
      </c>
      <c r="F2883" s="0" t="n">
        <f aca="true">CRITBINOM(E2883,Coefficients!$B$31,RAND())</f>
        <v>0</v>
      </c>
      <c r="G2883" s="0" t="n">
        <f aca="true">CRITBINOM(MAX(0,D2883-E2883),1-Coefficients!$B$32,RAND())</f>
        <v>0</v>
      </c>
      <c r="H2883" s="0" t="n">
        <f aca="true">CRITBINOM(MAX(0,$C2883-D2883),MIN(0.6,Matchup!$B$40*SQRT($B2883)/(1-MIN(0.75,Matchup!$B$39*$B2883))),RAND())</f>
        <v>1</v>
      </c>
      <c r="I2883" s="0" t="n">
        <f aca="false">6*D2883+(D2883-E2883-G2883)+2*F2883+3*H2883</f>
        <v>10</v>
      </c>
      <c r="J2883" s="0" t="n">
        <f aca="true">CRITBINOM($C2883,MIN(0.75,Matchup!$C$39*$B2883),RAND())</f>
        <v>2</v>
      </c>
      <c r="K2883" s="0" t="n">
        <f aca="true">CRITBINOM(J2883,Coefficients!$B$30,RAND())</f>
        <v>0</v>
      </c>
      <c r="L2883" s="0" t="n">
        <f aca="true">CRITBINOM(K2883,Coefficients!$B$31,RAND())</f>
        <v>0</v>
      </c>
      <c r="M2883" s="0" t="n">
        <f aca="true">CRITBINOM(MAX(0,J2883-K2883),1-Coefficients!$B$32,RAND())</f>
        <v>0</v>
      </c>
      <c r="N2883" s="0" t="n">
        <f aca="true">CRITBINOM(MAX(0,$C2883-J2883),MIN(0.6,Matchup!$C$40*SQRT($B2883)/(1-MIN(0.75,Matchup!$C$39*$B2883))),RAND())</f>
        <v>0</v>
      </c>
      <c r="O2883" s="0" t="n">
        <f aca="false">6*J2883+(J2883-K2883-M2883)+2*L2883+3*N2883</f>
        <v>14</v>
      </c>
      <c r="P2883" s="0" t="n">
        <f aca="true">RAND()</f>
        <v>0.92834008555715</v>
      </c>
      <c r="Q2883" s="0" t="n">
        <f aca="true">RAND()</f>
        <v>0.0276457714666112</v>
      </c>
      <c r="R2883" s="0" t="n">
        <f aca="false">IF($I2883&lt;&gt;$O2883,0,IF(P2883&lt;Matchup!$B$39,7,IF(P2883&lt;Matchup!$B$39+Matchup!$B$40,3,0)))</f>
        <v>0</v>
      </c>
      <c r="S2883" s="0" t="n">
        <f aca="false">IF($I2883&lt;&gt;$O2883,0,IF(Q2883&lt;Matchup!$C$39,7,IF(Q2883&lt;Matchup!$C$39+Matchup!$C$40,3,0)))</f>
        <v>0</v>
      </c>
      <c r="T2883" s="0" t="n">
        <f aca="false">I2883+R2883</f>
        <v>10</v>
      </c>
      <c r="U2883" s="0" t="n">
        <f aca="false">O2883+S2883</f>
        <v>14</v>
      </c>
      <c r="V2883" s="0" t="n">
        <f aca="false">T2883-U2883</f>
        <v>-4</v>
      </c>
      <c r="W2883" s="0" t="n">
        <f aca="false">T2883+U2883</f>
        <v>24</v>
      </c>
    </row>
    <row r="2884" customFormat="false" ht="15" hidden="false" customHeight="false" outlineLevel="0" collapsed="false">
      <c r="A2884" s="0" t="n">
        <v>2881</v>
      </c>
      <c r="B2884" s="0" t="n">
        <f aca="true">NORMINV(RAND(),1,Coefficients!$B$22)</f>
        <v>0.694699337235697</v>
      </c>
      <c r="C2884" s="0" t="n">
        <f aca="true">MEDIAN(8,16,ROUND(NORMINV(RAND(),Coefficients!$B$20,Coefficients!$B$21),0))</f>
        <v>11</v>
      </c>
      <c r="D2884" s="0" t="n">
        <f aca="true">CRITBINOM($C2884,MIN(0.75,Matchup!$B$39*$B2884),RAND())</f>
        <v>0</v>
      </c>
      <c r="E2884" s="0" t="n">
        <f aca="true">CRITBINOM(D2884,Coefficients!$B$30,RAND())</f>
        <v>0</v>
      </c>
      <c r="F2884" s="0" t="n">
        <f aca="true">CRITBINOM(E2884,Coefficients!$B$31,RAND())</f>
        <v>0</v>
      </c>
      <c r="G2884" s="0" t="n">
        <f aca="true">CRITBINOM(MAX(0,D2884-E2884),1-Coefficients!$B$32,RAND())</f>
        <v>0</v>
      </c>
      <c r="H2884" s="0" t="n">
        <f aca="true">CRITBINOM(MAX(0,$C2884-D2884),MIN(0.6,Matchup!$B$40*SQRT($B2884)/(1-MIN(0.75,Matchup!$B$39*$B2884))),RAND())</f>
        <v>1</v>
      </c>
      <c r="I2884" s="0" t="n">
        <f aca="false">6*D2884+(D2884-E2884-G2884)+2*F2884+3*H2884</f>
        <v>3</v>
      </c>
      <c r="J2884" s="0" t="n">
        <f aca="true">CRITBINOM($C2884,MIN(0.75,Matchup!$C$39*$B2884),RAND())</f>
        <v>1</v>
      </c>
      <c r="K2884" s="0" t="n">
        <f aca="true">CRITBINOM(J2884,Coefficients!$B$30,RAND())</f>
        <v>0</v>
      </c>
      <c r="L2884" s="0" t="n">
        <f aca="true">CRITBINOM(K2884,Coefficients!$B$31,RAND())</f>
        <v>0</v>
      </c>
      <c r="M2884" s="0" t="n">
        <f aca="true">CRITBINOM(MAX(0,J2884-K2884),1-Coefficients!$B$32,RAND())</f>
        <v>0</v>
      </c>
      <c r="N2884" s="0" t="n">
        <f aca="true">CRITBINOM(MAX(0,$C2884-J2884),MIN(0.6,Matchup!$C$40*SQRT($B2884)/(1-MIN(0.75,Matchup!$C$39*$B2884))),RAND())</f>
        <v>2</v>
      </c>
      <c r="O2884" s="0" t="n">
        <f aca="false">6*J2884+(J2884-K2884-M2884)+2*L2884+3*N2884</f>
        <v>13</v>
      </c>
      <c r="P2884" s="0" t="n">
        <f aca="true">RAND()</f>
        <v>0.512927748479138</v>
      </c>
      <c r="Q2884" s="0" t="n">
        <f aca="true">RAND()</f>
        <v>0.817685377171259</v>
      </c>
      <c r="R2884" s="0" t="n">
        <f aca="false">IF($I2884&lt;&gt;$O2884,0,IF(P2884&lt;Matchup!$B$39,7,IF(P2884&lt;Matchup!$B$39+Matchup!$B$40,3,0)))</f>
        <v>0</v>
      </c>
      <c r="S2884" s="0" t="n">
        <f aca="false">IF($I2884&lt;&gt;$O2884,0,IF(Q2884&lt;Matchup!$C$39,7,IF(Q2884&lt;Matchup!$C$39+Matchup!$C$40,3,0)))</f>
        <v>0</v>
      </c>
      <c r="T2884" s="0" t="n">
        <f aca="false">I2884+R2884</f>
        <v>3</v>
      </c>
      <c r="U2884" s="0" t="n">
        <f aca="false">O2884+S2884</f>
        <v>13</v>
      </c>
      <c r="V2884" s="0" t="n">
        <f aca="false">T2884-U2884</f>
        <v>-10</v>
      </c>
      <c r="W2884" s="0" t="n">
        <f aca="false">T2884+U2884</f>
        <v>16</v>
      </c>
    </row>
    <row r="2885" customFormat="false" ht="15" hidden="false" customHeight="false" outlineLevel="0" collapsed="false">
      <c r="A2885" s="0" t="n">
        <v>2882</v>
      </c>
      <c r="B2885" s="0" t="n">
        <f aca="true">NORMINV(RAND(),1,Coefficients!$B$22)</f>
        <v>1.15819868887511</v>
      </c>
      <c r="C2885" s="0" t="n">
        <f aca="true">MEDIAN(8,16,ROUND(NORMINV(RAND(),Coefficients!$B$20,Coefficients!$B$21),0))</f>
        <v>12</v>
      </c>
      <c r="D2885" s="0" t="n">
        <f aca="true">CRITBINOM($C2885,MIN(0.75,Matchup!$B$39*$B2885),RAND())</f>
        <v>3</v>
      </c>
      <c r="E2885" s="0" t="n">
        <f aca="true">CRITBINOM(D2885,Coefficients!$B$30,RAND())</f>
        <v>1</v>
      </c>
      <c r="F2885" s="0" t="n">
        <f aca="true">CRITBINOM(E2885,Coefficients!$B$31,RAND())</f>
        <v>0</v>
      </c>
      <c r="G2885" s="0" t="n">
        <f aca="true">CRITBINOM(MAX(0,D2885-E2885),1-Coefficients!$B$32,RAND())</f>
        <v>0</v>
      </c>
      <c r="H2885" s="0" t="n">
        <f aca="true">CRITBINOM(MAX(0,$C2885-D2885),MIN(0.6,Matchup!$B$40*SQRT($B2885)/(1-MIN(0.75,Matchup!$B$39*$B2885))),RAND())</f>
        <v>1</v>
      </c>
      <c r="I2885" s="0" t="n">
        <f aca="false">6*D2885+(D2885-E2885-G2885)+2*F2885+3*H2885</f>
        <v>23</v>
      </c>
      <c r="J2885" s="0" t="n">
        <f aca="true">CRITBINOM($C2885,MIN(0.75,Matchup!$C$39*$B2885),RAND())</f>
        <v>2</v>
      </c>
      <c r="K2885" s="0" t="n">
        <f aca="true">CRITBINOM(J2885,Coefficients!$B$30,RAND())</f>
        <v>0</v>
      </c>
      <c r="L2885" s="0" t="n">
        <f aca="true">CRITBINOM(K2885,Coefficients!$B$31,RAND())</f>
        <v>0</v>
      </c>
      <c r="M2885" s="0" t="n">
        <f aca="true">CRITBINOM(MAX(0,J2885-K2885),1-Coefficients!$B$32,RAND())</f>
        <v>0</v>
      </c>
      <c r="N2885" s="0" t="n">
        <f aca="true">CRITBINOM(MAX(0,$C2885-J2885),MIN(0.6,Matchup!$C$40*SQRT($B2885)/(1-MIN(0.75,Matchup!$C$39*$B2885))),RAND())</f>
        <v>3</v>
      </c>
      <c r="O2885" s="0" t="n">
        <f aca="false">6*J2885+(J2885-K2885-M2885)+2*L2885+3*N2885</f>
        <v>23</v>
      </c>
      <c r="P2885" s="0" t="n">
        <f aca="true">RAND()</f>
        <v>0.450488601631178</v>
      </c>
      <c r="Q2885" s="0" t="n">
        <f aca="true">RAND()</f>
        <v>0.768727463956139</v>
      </c>
      <c r="R2885" s="0" t="n">
        <f aca="false">IF($I2885&lt;&gt;$O2885,0,IF(P2885&lt;Matchup!$B$39,7,IF(P2885&lt;Matchup!$B$39+Matchup!$B$40,3,0)))</f>
        <v>0</v>
      </c>
      <c r="S2885" s="0" t="n">
        <f aca="false">IF($I2885&lt;&gt;$O2885,0,IF(Q2885&lt;Matchup!$C$39,7,IF(Q2885&lt;Matchup!$C$39+Matchup!$C$40,3,0)))</f>
        <v>0</v>
      </c>
      <c r="T2885" s="0" t="n">
        <f aca="false">I2885+R2885</f>
        <v>23</v>
      </c>
      <c r="U2885" s="0" t="n">
        <f aca="false">O2885+S2885</f>
        <v>23</v>
      </c>
      <c r="V2885" s="0" t="n">
        <f aca="false">T2885-U2885</f>
        <v>0</v>
      </c>
      <c r="W2885" s="0" t="n">
        <f aca="false">T2885+U2885</f>
        <v>46</v>
      </c>
    </row>
    <row r="2886" customFormat="false" ht="15" hidden="false" customHeight="false" outlineLevel="0" collapsed="false">
      <c r="A2886" s="0" t="n">
        <v>2883</v>
      </c>
      <c r="B2886" s="0" t="n">
        <f aca="true">NORMINV(RAND(),1,Coefficients!$B$22)</f>
        <v>0.997272070161829</v>
      </c>
      <c r="C2886" s="0" t="n">
        <f aca="true">MEDIAN(8,16,ROUND(NORMINV(RAND(),Coefficients!$B$20,Coefficients!$B$21),0))</f>
        <v>14</v>
      </c>
      <c r="D2886" s="0" t="n">
        <f aca="true">CRITBINOM($C2886,MIN(0.75,Matchup!$B$39*$B2886),RAND())</f>
        <v>6</v>
      </c>
      <c r="E2886" s="0" t="n">
        <f aca="true">CRITBINOM(D2886,Coefficients!$B$30,RAND())</f>
        <v>0</v>
      </c>
      <c r="F2886" s="0" t="n">
        <f aca="true">CRITBINOM(E2886,Coefficients!$B$31,RAND())</f>
        <v>0</v>
      </c>
      <c r="G2886" s="0" t="n">
        <f aca="true">CRITBINOM(MAX(0,D2886-E2886),1-Coefficients!$B$32,RAND())</f>
        <v>0</v>
      </c>
      <c r="H2886" s="0" t="n">
        <f aca="true">CRITBINOM(MAX(0,$C2886-D2886),MIN(0.6,Matchup!$B$40*SQRT($B2886)/(1-MIN(0.75,Matchup!$B$39*$B2886))),RAND())</f>
        <v>0</v>
      </c>
      <c r="I2886" s="0" t="n">
        <f aca="false">6*D2886+(D2886-E2886-G2886)+2*F2886+3*H2886</f>
        <v>42</v>
      </c>
      <c r="J2886" s="0" t="n">
        <f aca="true">CRITBINOM($C2886,MIN(0.75,Matchup!$C$39*$B2886),RAND())</f>
        <v>3</v>
      </c>
      <c r="K2886" s="0" t="n">
        <f aca="true">CRITBINOM(J2886,Coefficients!$B$30,RAND())</f>
        <v>0</v>
      </c>
      <c r="L2886" s="0" t="n">
        <f aca="true">CRITBINOM(K2886,Coefficients!$B$31,RAND())</f>
        <v>0</v>
      </c>
      <c r="M2886" s="0" t="n">
        <f aca="true">CRITBINOM(MAX(0,J2886-K2886),1-Coefficients!$B$32,RAND())</f>
        <v>0</v>
      </c>
      <c r="N2886" s="0" t="n">
        <f aca="true">CRITBINOM(MAX(0,$C2886-J2886),MIN(0.6,Matchup!$C$40*SQRT($B2886)/(1-MIN(0.75,Matchup!$C$39*$B2886))),RAND())</f>
        <v>2</v>
      </c>
      <c r="O2886" s="0" t="n">
        <f aca="false">6*J2886+(J2886-K2886-M2886)+2*L2886+3*N2886</f>
        <v>27</v>
      </c>
      <c r="P2886" s="0" t="n">
        <f aca="true">RAND()</f>
        <v>0.51936979164006</v>
      </c>
      <c r="Q2886" s="0" t="n">
        <f aca="true">RAND()</f>
        <v>0.699050594379944</v>
      </c>
      <c r="R2886" s="0" t="n">
        <f aca="false">IF($I2886&lt;&gt;$O2886,0,IF(P2886&lt;Matchup!$B$39,7,IF(P2886&lt;Matchup!$B$39+Matchup!$B$40,3,0)))</f>
        <v>0</v>
      </c>
      <c r="S2886" s="0" t="n">
        <f aca="false">IF($I2886&lt;&gt;$O2886,0,IF(Q2886&lt;Matchup!$C$39,7,IF(Q2886&lt;Matchup!$C$39+Matchup!$C$40,3,0)))</f>
        <v>0</v>
      </c>
      <c r="T2886" s="0" t="n">
        <f aca="false">I2886+R2886</f>
        <v>42</v>
      </c>
      <c r="U2886" s="0" t="n">
        <f aca="false">O2886+S2886</f>
        <v>27</v>
      </c>
      <c r="V2886" s="0" t="n">
        <f aca="false">T2886-U2886</f>
        <v>15</v>
      </c>
      <c r="W2886" s="0" t="n">
        <f aca="false">T2886+U2886</f>
        <v>69</v>
      </c>
    </row>
    <row r="2887" customFormat="false" ht="15" hidden="false" customHeight="false" outlineLevel="0" collapsed="false">
      <c r="A2887" s="0" t="n">
        <v>2884</v>
      </c>
      <c r="B2887" s="0" t="n">
        <f aca="true">NORMINV(RAND(),1,Coefficients!$B$22)</f>
        <v>0.957536760585685</v>
      </c>
      <c r="C2887" s="0" t="n">
        <f aca="true">MEDIAN(8,16,ROUND(NORMINV(RAND(),Coefficients!$B$20,Coefficients!$B$21),0))</f>
        <v>10</v>
      </c>
      <c r="D2887" s="0" t="n">
        <f aca="true">CRITBINOM($C2887,MIN(0.75,Matchup!$B$39*$B2887),RAND())</f>
        <v>2</v>
      </c>
      <c r="E2887" s="0" t="n">
        <f aca="true">CRITBINOM(D2887,Coefficients!$B$30,RAND())</f>
        <v>1</v>
      </c>
      <c r="F2887" s="0" t="n">
        <f aca="true">CRITBINOM(E2887,Coefficients!$B$31,RAND())</f>
        <v>1</v>
      </c>
      <c r="G2887" s="0" t="n">
        <f aca="true">CRITBINOM(MAX(0,D2887-E2887),1-Coefficients!$B$32,RAND())</f>
        <v>0</v>
      </c>
      <c r="H2887" s="0" t="n">
        <f aca="true">CRITBINOM(MAX(0,$C2887-D2887),MIN(0.6,Matchup!$B$40*SQRT($B2887)/(1-MIN(0.75,Matchup!$B$39*$B2887))),RAND())</f>
        <v>0</v>
      </c>
      <c r="I2887" s="0" t="n">
        <f aca="false">6*D2887+(D2887-E2887-G2887)+2*F2887+3*H2887</f>
        <v>15</v>
      </c>
      <c r="J2887" s="0" t="n">
        <f aca="true">CRITBINOM($C2887,MIN(0.75,Matchup!$C$39*$B2887),RAND())</f>
        <v>4</v>
      </c>
      <c r="K2887" s="0" t="n">
        <f aca="true">CRITBINOM(J2887,Coefficients!$B$30,RAND())</f>
        <v>0</v>
      </c>
      <c r="L2887" s="0" t="n">
        <f aca="true">CRITBINOM(K2887,Coefficients!$B$31,RAND())</f>
        <v>0</v>
      </c>
      <c r="M2887" s="0" t="n">
        <f aca="true">CRITBINOM(MAX(0,J2887-K2887),1-Coefficients!$B$32,RAND())</f>
        <v>0</v>
      </c>
      <c r="N2887" s="0" t="n">
        <f aca="true">CRITBINOM(MAX(0,$C2887-J2887),MIN(0.6,Matchup!$C$40*SQRT($B2887)/(1-MIN(0.75,Matchup!$C$39*$B2887))),RAND())</f>
        <v>3</v>
      </c>
      <c r="O2887" s="0" t="n">
        <f aca="false">6*J2887+(J2887-K2887-M2887)+2*L2887+3*N2887</f>
        <v>37</v>
      </c>
      <c r="P2887" s="0" t="n">
        <f aca="true">RAND()</f>
        <v>0.921719132362302</v>
      </c>
      <c r="Q2887" s="0" t="n">
        <f aca="true">RAND()</f>
        <v>0.788203497710989</v>
      </c>
      <c r="R2887" s="0" t="n">
        <f aca="false">IF($I2887&lt;&gt;$O2887,0,IF(P2887&lt;Matchup!$B$39,7,IF(P2887&lt;Matchup!$B$39+Matchup!$B$40,3,0)))</f>
        <v>0</v>
      </c>
      <c r="S2887" s="0" t="n">
        <f aca="false">IF($I2887&lt;&gt;$O2887,0,IF(Q2887&lt;Matchup!$C$39,7,IF(Q2887&lt;Matchup!$C$39+Matchup!$C$40,3,0)))</f>
        <v>0</v>
      </c>
      <c r="T2887" s="0" t="n">
        <f aca="false">I2887+R2887</f>
        <v>15</v>
      </c>
      <c r="U2887" s="0" t="n">
        <f aca="false">O2887+S2887</f>
        <v>37</v>
      </c>
      <c r="V2887" s="0" t="n">
        <f aca="false">T2887-U2887</f>
        <v>-22</v>
      </c>
      <c r="W2887" s="0" t="n">
        <f aca="false">T2887+U2887</f>
        <v>52</v>
      </c>
    </row>
    <row r="2888" customFormat="false" ht="15" hidden="false" customHeight="false" outlineLevel="0" collapsed="false">
      <c r="A2888" s="0" t="n">
        <v>2885</v>
      </c>
      <c r="B2888" s="0" t="n">
        <f aca="true">NORMINV(RAND(),1,Coefficients!$B$22)</f>
        <v>0.941135542904795</v>
      </c>
      <c r="C2888" s="0" t="n">
        <f aca="true">MEDIAN(8,16,ROUND(NORMINV(RAND(),Coefficients!$B$20,Coefficients!$B$21),0))</f>
        <v>11</v>
      </c>
      <c r="D2888" s="0" t="n">
        <f aca="true">CRITBINOM($C2888,MIN(0.75,Matchup!$B$39*$B2888),RAND())</f>
        <v>3</v>
      </c>
      <c r="E2888" s="0" t="n">
        <f aca="true">CRITBINOM(D2888,Coefficients!$B$30,RAND())</f>
        <v>0</v>
      </c>
      <c r="F2888" s="0" t="n">
        <f aca="true">CRITBINOM(E2888,Coefficients!$B$31,RAND())</f>
        <v>0</v>
      </c>
      <c r="G2888" s="0" t="n">
        <f aca="true">CRITBINOM(MAX(0,D2888-E2888),1-Coefficients!$B$32,RAND())</f>
        <v>0</v>
      </c>
      <c r="H2888" s="0" t="n">
        <f aca="true">CRITBINOM(MAX(0,$C2888-D2888),MIN(0.6,Matchup!$B$40*SQRT($B2888)/(1-MIN(0.75,Matchup!$B$39*$B2888))),RAND())</f>
        <v>3</v>
      </c>
      <c r="I2888" s="0" t="n">
        <f aca="false">6*D2888+(D2888-E2888-G2888)+2*F2888+3*H2888</f>
        <v>30</v>
      </c>
      <c r="J2888" s="0" t="n">
        <f aca="true">CRITBINOM($C2888,MIN(0.75,Matchup!$C$39*$B2888),RAND())</f>
        <v>2</v>
      </c>
      <c r="K2888" s="0" t="n">
        <f aca="true">CRITBINOM(J2888,Coefficients!$B$30,RAND())</f>
        <v>0</v>
      </c>
      <c r="L2888" s="0" t="n">
        <f aca="true">CRITBINOM(K2888,Coefficients!$B$31,RAND())</f>
        <v>0</v>
      </c>
      <c r="M2888" s="0" t="n">
        <f aca="true">CRITBINOM(MAX(0,J2888-K2888),1-Coefficients!$B$32,RAND())</f>
        <v>1</v>
      </c>
      <c r="N2888" s="0" t="n">
        <f aca="true">CRITBINOM(MAX(0,$C2888-J2888),MIN(0.6,Matchup!$C$40*SQRT($B2888)/(1-MIN(0.75,Matchup!$C$39*$B2888))),RAND())</f>
        <v>0</v>
      </c>
      <c r="O2888" s="0" t="n">
        <f aca="false">6*J2888+(J2888-K2888-M2888)+2*L2888+3*N2888</f>
        <v>13</v>
      </c>
      <c r="P2888" s="0" t="n">
        <f aca="true">RAND()</f>
        <v>0.245345654324044</v>
      </c>
      <c r="Q2888" s="0" t="n">
        <f aca="true">RAND()</f>
        <v>0.187627431124676</v>
      </c>
      <c r="R2888" s="0" t="n">
        <f aca="false">IF($I2888&lt;&gt;$O2888,0,IF(P2888&lt;Matchup!$B$39,7,IF(P2888&lt;Matchup!$B$39+Matchup!$B$40,3,0)))</f>
        <v>0</v>
      </c>
      <c r="S2888" s="0" t="n">
        <f aca="false">IF($I2888&lt;&gt;$O2888,0,IF(Q2888&lt;Matchup!$C$39,7,IF(Q2888&lt;Matchup!$C$39+Matchup!$C$40,3,0)))</f>
        <v>0</v>
      </c>
      <c r="T2888" s="0" t="n">
        <f aca="false">I2888+R2888</f>
        <v>30</v>
      </c>
      <c r="U2888" s="0" t="n">
        <f aca="false">O2888+S2888</f>
        <v>13</v>
      </c>
      <c r="V2888" s="0" t="n">
        <f aca="false">T2888-U2888</f>
        <v>17</v>
      </c>
      <c r="W2888" s="0" t="n">
        <f aca="false">T2888+U2888</f>
        <v>43</v>
      </c>
    </row>
    <row r="2889" customFormat="false" ht="15" hidden="false" customHeight="false" outlineLevel="0" collapsed="false">
      <c r="A2889" s="0" t="n">
        <v>2886</v>
      </c>
      <c r="B2889" s="0" t="n">
        <f aca="true">NORMINV(RAND(),1,Coefficients!$B$22)</f>
        <v>0.966623723187555</v>
      </c>
      <c r="C2889" s="0" t="n">
        <f aca="true">MEDIAN(8,16,ROUND(NORMINV(RAND(),Coefficients!$B$20,Coefficients!$B$21),0))</f>
        <v>14</v>
      </c>
      <c r="D2889" s="0" t="n">
        <f aca="true">CRITBINOM($C2889,MIN(0.75,Matchup!$B$39*$B2889),RAND())</f>
        <v>5</v>
      </c>
      <c r="E2889" s="0" t="n">
        <f aca="true">CRITBINOM(D2889,Coefficients!$B$30,RAND())</f>
        <v>1</v>
      </c>
      <c r="F2889" s="0" t="n">
        <f aca="true">CRITBINOM(E2889,Coefficients!$B$31,RAND())</f>
        <v>1</v>
      </c>
      <c r="G2889" s="0" t="n">
        <f aca="true">CRITBINOM(MAX(0,D2889-E2889),1-Coefficients!$B$32,RAND())</f>
        <v>1</v>
      </c>
      <c r="H2889" s="0" t="n">
        <f aca="true">CRITBINOM(MAX(0,$C2889-D2889),MIN(0.6,Matchup!$B$40*SQRT($B2889)/(1-MIN(0.75,Matchup!$B$39*$B2889))),RAND())</f>
        <v>1</v>
      </c>
      <c r="I2889" s="0" t="n">
        <f aca="false">6*D2889+(D2889-E2889-G2889)+2*F2889+3*H2889</f>
        <v>38</v>
      </c>
      <c r="J2889" s="0" t="n">
        <f aca="true">CRITBINOM($C2889,MIN(0.75,Matchup!$C$39*$B2889),RAND())</f>
        <v>1</v>
      </c>
      <c r="K2889" s="0" t="n">
        <f aca="true">CRITBINOM(J2889,Coefficients!$B$30,RAND())</f>
        <v>0</v>
      </c>
      <c r="L2889" s="0" t="n">
        <f aca="true">CRITBINOM(K2889,Coefficients!$B$31,RAND())</f>
        <v>0</v>
      </c>
      <c r="M2889" s="0" t="n">
        <f aca="true">CRITBINOM(MAX(0,J2889-K2889),1-Coefficients!$B$32,RAND())</f>
        <v>0</v>
      </c>
      <c r="N2889" s="0" t="n">
        <f aca="true">CRITBINOM(MAX(0,$C2889-J2889),MIN(0.6,Matchup!$C$40*SQRT($B2889)/(1-MIN(0.75,Matchup!$C$39*$B2889))),RAND())</f>
        <v>1</v>
      </c>
      <c r="O2889" s="0" t="n">
        <f aca="false">6*J2889+(J2889-K2889-M2889)+2*L2889+3*N2889</f>
        <v>10</v>
      </c>
      <c r="P2889" s="0" t="n">
        <f aca="true">RAND()</f>
        <v>0.855529468181518</v>
      </c>
      <c r="Q2889" s="0" t="n">
        <f aca="true">RAND()</f>
        <v>0.808701730992616</v>
      </c>
      <c r="R2889" s="0" t="n">
        <f aca="false">IF($I2889&lt;&gt;$O2889,0,IF(P2889&lt;Matchup!$B$39,7,IF(P2889&lt;Matchup!$B$39+Matchup!$B$40,3,0)))</f>
        <v>0</v>
      </c>
      <c r="S2889" s="0" t="n">
        <f aca="false">IF($I2889&lt;&gt;$O2889,0,IF(Q2889&lt;Matchup!$C$39,7,IF(Q2889&lt;Matchup!$C$39+Matchup!$C$40,3,0)))</f>
        <v>0</v>
      </c>
      <c r="T2889" s="0" t="n">
        <f aca="false">I2889+R2889</f>
        <v>38</v>
      </c>
      <c r="U2889" s="0" t="n">
        <f aca="false">O2889+S2889</f>
        <v>10</v>
      </c>
      <c r="V2889" s="0" t="n">
        <f aca="false">T2889-U2889</f>
        <v>28</v>
      </c>
      <c r="W2889" s="0" t="n">
        <f aca="false">T2889+U2889</f>
        <v>48</v>
      </c>
    </row>
    <row r="2890" customFormat="false" ht="15" hidden="false" customHeight="false" outlineLevel="0" collapsed="false">
      <c r="A2890" s="0" t="n">
        <v>2887</v>
      </c>
      <c r="B2890" s="0" t="n">
        <f aca="true">NORMINV(RAND(),1,Coefficients!$B$22)</f>
        <v>0.997842159713345</v>
      </c>
      <c r="C2890" s="0" t="n">
        <f aca="true">MEDIAN(8,16,ROUND(NORMINV(RAND(),Coefficients!$B$20,Coefficients!$B$21),0))</f>
        <v>11</v>
      </c>
      <c r="D2890" s="0" t="n">
        <f aca="true">CRITBINOM($C2890,MIN(0.75,Matchup!$B$39*$B2890),RAND())</f>
        <v>2</v>
      </c>
      <c r="E2890" s="0" t="n">
        <f aca="true">CRITBINOM(D2890,Coefficients!$B$30,RAND())</f>
        <v>0</v>
      </c>
      <c r="F2890" s="0" t="n">
        <f aca="true">CRITBINOM(E2890,Coefficients!$B$31,RAND())</f>
        <v>0</v>
      </c>
      <c r="G2890" s="0" t="n">
        <f aca="true">CRITBINOM(MAX(0,D2890-E2890),1-Coefficients!$B$32,RAND())</f>
        <v>0</v>
      </c>
      <c r="H2890" s="0" t="n">
        <f aca="true">CRITBINOM(MAX(0,$C2890-D2890),MIN(0.6,Matchup!$B$40*SQRT($B2890)/(1-MIN(0.75,Matchup!$B$39*$B2890))),RAND())</f>
        <v>1</v>
      </c>
      <c r="I2890" s="0" t="n">
        <f aca="false">6*D2890+(D2890-E2890-G2890)+2*F2890+3*H2890</f>
        <v>17</v>
      </c>
      <c r="J2890" s="0" t="n">
        <f aca="true">CRITBINOM($C2890,MIN(0.75,Matchup!$C$39*$B2890),RAND())</f>
        <v>5</v>
      </c>
      <c r="K2890" s="0" t="n">
        <f aca="true">CRITBINOM(J2890,Coefficients!$B$30,RAND())</f>
        <v>0</v>
      </c>
      <c r="L2890" s="0" t="n">
        <f aca="true">CRITBINOM(K2890,Coefficients!$B$31,RAND())</f>
        <v>0</v>
      </c>
      <c r="M2890" s="0" t="n">
        <f aca="true">CRITBINOM(MAX(0,J2890-K2890),1-Coefficients!$B$32,RAND())</f>
        <v>0</v>
      </c>
      <c r="N2890" s="0" t="n">
        <f aca="true">CRITBINOM(MAX(0,$C2890-J2890),MIN(0.6,Matchup!$C$40*SQRT($B2890)/(1-MIN(0.75,Matchup!$C$39*$B2890))),RAND())</f>
        <v>0</v>
      </c>
      <c r="O2890" s="0" t="n">
        <f aca="false">6*J2890+(J2890-K2890-M2890)+2*L2890+3*N2890</f>
        <v>35</v>
      </c>
      <c r="P2890" s="0" t="n">
        <f aca="true">RAND()</f>
        <v>0.577098708951923</v>
      </c>
      <c r="Q2890" s="0" t="n">
        <f aca="true">RAND()</f>
        <v>0.617593537386559</v>
      </c>
      <c r="R2890" s="0" t="n">
        <f aca="false">IF($I2890&lt;&gt;$O2890,0,IF(P2890&lt;Matchup!$B$39,7,IF(P2890&lt;Matchup!$B$39+Matchup!$B$40,3,0)))</f>
        <v>0</v>
      </c>
      <c r="S2890" s="0" t="n">
        <f aca="false">IF($I2890&lt;&gt;$O2890,0,IF(Q2890&lt;Matchup!$C$39,7,IF(Q2890&lt;Matchup!$C$39+Matchup!$C$40,3,0)))</f>
        <v>0</v>
      </c>
      <c r="T2890" s="0" t="n">
        <f aca="false">I2890+R2890</f>
        <v>17</v>
      </c>
      <c r="U2890" s="0" t="n">
        <f aca="false">O2890+S2890</f>
        <v>35</v>
      </c>
      <c r="V2890" s="0" t="n">
        <f aca="false">T2890-U2890</f>
        <v>-18</v>
      </c>
      <c r="W2890" s="0" t="n">
        <f aca="false">T2890+U2890</f>
        <v>52</v>
      </c>
    </row>
    <row r="2891" customFormat="false" ht="15" hidden="false" customHeight="false" outlineLevel="0" collapsed="false">
      <c r="A2891" s="0" t="n">
        <v>2888</v>
      </c>
      <c r="B2891" s="0" t="n">
        <f aca="true">NORMINV(RAND(),1,Coefficients!$B$22)</f>
        <v>0.898963340532141</v>
      </c>
      <c r="C2891" s="0" t="n">
        <f aca="true">MEDIAN(8,16,ROUND(NORMINV(RAND(),Coefficients!$B$20,Coefficients!$B$21),0))</f>
        <v>12</v>
      </c>
      <c r="D2891" s="0" t="n">
        <f aca="true">CRITBINOM($C2891,MIN(0.75,Matchup!$B$39*$B2891),RAND())</f>
        <v>1</v>
      </c>
      <c r="E2891" s="0" t="n">
        <f aca="true">CRITBINOM(D2891,Coefficients!$B$30,RAND())</f>
        <v>0</v>
      </c>
      <c r="F2891" s="0" t="n">
        <f aca="true">CRITBINOM(E2891,Coefficients!$B$31,RAND())</f>
        <v>0</v>
      </c>
      <c r="G2891" s="0" t="n">
        <f aca="true">CRITBINOM(MAX(0,D2891-E2891),1-Coefficients!$B$32,RAND())</f>
        <v>0</v>
      </c>
      <c r="H2891" s="0" t="n">
        <f aca="true">CRITBINOM(MAX(0,$C2891-D2891),MIN(0.6,Matchup!$B$40*SQRT($B2891)/(1-MIN(0.75,Matchup!$B$39*$B2891))),RAND())</f>
        <v>3</v>
      </c>
      <c r="I2891" s="0" t="n">
        <f aca="false">6*D2891+(D2891-E2891-G2891)+2*F2891+3*H2891</f>
        <v>16</v>
      </c>
      <c r="J2891" s="0" t="n">
        <f aca="true">CRITBINOM($C2891,MIN(0.75,Matchup!$C$39*$B2891),RAND())</f>
        <v>3</v>
      </c>
      <c r="K2891" s="0" t="n">
        <f aca="true">CRITBINOM(J2891,Coefficients!$B$30,RAND())</f>
        <v>0</v>
      </c>
      <c r="L2891" s="0" t="n">
        <f aca="true">CRITBINOM(K2891,Coefficients!$B$31,RAND())</f>
        <v>0</v>
      </c>
      <c r="M2891" s="0" t="n">
        <f aca="true">CRITBINOM(MAX(0,J2891-K2891),1-Coefficients!$B$32,RAND())</f>
        <v>1</v>
      </c>
      <c r="N2891" s="0" t="n">
        <f aca="true">CRITBINOM(MAX(0,$C2891-J2891),MIN(0.6,Matchup!$C$40*SQRT($B2891)/(1-MIN(0.75,Matchup!$C$39*$B2891))),RAND())</f>
        <v>1</v>
      </c>
      <c r="O2891" s="0" t="n">
        <f aca="false">6*J2891+(J2891-K2891-M2891)+2*L2891+3*N2891</f>
        <v>23</v>
      </c>
      <c r="P2891" s="0" t="n">
        <f aca="true">RAND()</f>
        <v>0.33893137584062</v>
      </c>
      <c r="Q2891" s="0" t="n">
        <f aca="true">RAND()</f>
        <v>0.739858016537602</v>
      </c>
      <c r="R2891" s="0" t="n">
        <f aca="false">IF($I2891&lt;&gt;$O2891,0,IF(P2891&lt;Matchup!$B$39,7,IF(P2891&lt;Matchup!$B$39+Matchup!$B$40,3,0)))</f>
        <v>0</v>
      </c>
      <c r="S2891" s="0" t="n">
        <f aca="false">IF($I2891&lt;&gt;$O2891,0,IF(Q2891&lt;Matchup!$C$39,7,IF(Q2891&lt;Matchup!$C$39+Matchup!$C$40,3,0)))</f>
        <v>0</v>
      </c>
      <c r="T2891" s="0" t="n">
        <f aca="false">I2891+R2891</f>
        <v>16</v>
      </c>
      <c r="U2891" s="0" t="n">
        <f aca="false">O2891+S2891</f>
        <v>23</v>
      </c>
      <c r="V2891" s="0" t="n">
        <f aca="false">T2891-U2891</f>
        <v>-7</v>
      </c>
      <c r="W2891" s="0" t="n">
        <f aca="false">T2891+U2891</f>
        <v>39</v>
      </c>
    </row>
    <row r="2892" customFormat="false" ht="15" hidden="false" customHeight="false" outlineLevel="0" collapsed="false">
      <c r="A2892" s="0" t="n">
        <v>2889</v>
      </c>
      <c r="B2892" s="0" t="n">
        <f aca="true">NORMINV(RAND(),1,Coefficients!$B$22)</f>
        <v>1.02403221548164</v>
      </c>
      <c r="C2892" s="0" t="n">
        <f aca="true">MEDIAN(8,16,ROUND(NORMINV(RAND(),Coefficients!$B$20,Coefficients!$B$21),0))</f>
        <v>13</v>
      </c>
      <c r="D2892" s="0" t="n">
        <f aca="true">CRITBINOM($C2892,MIN(0.75,Matchup!$B$39*$B2892),RAND())</f>
        <v>5</v>
      </c>
      <c r="E2892" s="0" t="n">
        <f aca="true">CRITBINOM(D2892,Coefficients!$B$30,RAND())</f>
        <v>0</v>
      </c>
      <c r="F2892" s="0" t="n">
        <f aca="true">CRITBINOM(E2892,Coefficients!$B$31,RAND())</f>
        <v>0</v>
      </c>
      <c r="G2892" s="0" t="n">
        <f aca="true">CRITBINOM(MAX(0,D2892-E2892),1-Coefficients!$B$32,RAND())</f>
        <v>0</v>
      </c>
      <c r="H2892" s="0" t="n">
        <f aca="true">CRITBINOM(MAX(0,$C2892-D2892),MIN(0.6,Matchup!$B$40*SQRT($B2892)/(1-MIN(0.75,Matchup!$B$39*$B2892))),RAND())</f>
        <v>2</v>
      </c>
      <c r="I2892" s="0" t="n">
        <f aca="false">6*D2892+(D2892-E2892-G2892)+2*F2892+3*H2892</f>
        <v>41</v>
      </c>
      <c r="J2892" s="0" t="n">
        <f aca="true">CRITBINOM($C2892,MIN(0.75,Matchup!$C$39*$B2892),RAND())</f>
        <v>2</v>
      </c>
      <c r="K2892" s="0" t="n">
        <f aca="true">CRITBINOM(J2892,Coefficients!$B$30,RAND())</f>
        <v>0</v>
      </c>
      <c r="L2892" s="0" t="n">
        <f aca="true">CRITBINOM(K2892,Coefficients!$B$31,RAND())</f>
        <v>0</v>
      </c>
      <c r="M2892" s="0" t="n">
        <f aca="true">CRITBINOM(MAX(0,J2892-K2892),1-Coefficients!$B$32,RAND())</f>
        <v>0</v>
      </c>
      <c r="N2892" s="0" t="n">
        <f aca="true">CRITBINOM(MAX(0,$C2892-J2892),MIN(0.6,Matchup!$C$40*SQRT($B2892)/(1-MIN(0.75,Matchup!$C$39*$B2892))),RAND())</f>
        <v>2</v>
      </c>
      <c r="O2892" s="0" t="n">
        <f aca="false">6*J2892+(J2892-K2892-M2892)+2*L2892+3*N2892</f>
        <v>20</v>
      </c>
      <c r="P2892" s="0" t="n">
        <f aca="true">RAND()</f>
        <v>0.131117719600715</v>
      </c>
      <c r="Q2892" s="0" t="n">
        <f aca="true">RAND()</f>
        <v>0.0973853424772475</v>
      </c>
      <c r="R2892" s="0" t="n">
        <f aca="false">IF($I2892&lt;&gt;$O2892,0,IF(P2892&lt;Matchup!$B$39,7,IF(P2892&lt;Matchup!$B$39+Matchup!$B$40,3,0)))</f>
        <v>0</v>
      </c>
      <c r="S2892" s="0" t="n">
        <f aca="false">IF($I2892&lt;&gt;$O2892,0,IF(Q2892&lt;Matchup!$C$39,7,IF(Q2892&lt;Matchup!$C$39+Matchup!$C$40,3,0)))</f>
        <v>0</v>
      </c>
      <c r="T2892" s="0" t="n">
        <f aca="false">I2892+R2892</f>
        <v>41</v>
      </c>
      <c r="U2892" s="0" t="n">
        <f aca="false">O2892+S2892</f>
        <v>20</v>
      </c>
      <c r="V2892" s="0" t="n">
        <f aca="false">T2892-U2892</f>
        <v>21</v>
      </c>
      <c r="W2892" s="0" t="n">
        <f aca="false">T2892+U2892</f>
        <v>61</v>
      </c>
    </row>
    <row r="2893" customFormat="false" ht="15" hidden="false" customHeight="false" outlineLevel="0" collapsed="false">
      <c r="A2893" s="0" t="n">
        <v>2890</v>
      </c>
      <c r="B2893" s="0" t="n">
        <f aca="true">NORMINV(RAND(),1,Coefficients!$B$22)</f>
        <v>1.04826544313439</v>
      </c>
      <c r="C2893" s="0" t="n">
        <f aca="true">MEDIAN(8,16,ROUND(NORMINV(RAND(),Coefficients!$B$20,Coefficients!$B$21),0))</f>
        <v>11</v>
      </c>
      <c r="D2893" s="0" t="n">
        <f aca="true">CRITBINOM($C2893,MIN(0.75,Matchup!$B$39*$B2893),RAND())</f>
        <v>4</v>
      </c>
      <c r="E2893" s="0" t="n">
        <f aca="true">CRITBINOM(D2893,Coefficients!$B$30,RAND())</f>
        <v>0</v>
      </c>
      <c r="F2893" s="0" t="n">
        <f aca="true">CRITBINOM(E2893,Coefficients!$B$31,RAND())</f>
        <v>0</v>
      </c>
      <c r="G2893" s="0" t="n">
        <f aca="true">CRITBINOM(MAX(0,D2893-E2893),1-Coefficients!$B$32,RAND())</f>
        <v>0</v>
      </c>
      <c r="H2893" s="0" t="n">
        <f aca="true">CRITBINOM(MAX(0,$C2893-D2893),MIN(0.6,Matchup!$B$40*SQRT($B2893)/(1-MIN(0.75,Matchup!$B$39*$B2893))),RAND())</f>
        <v>1</v>
      </c>
      <c r="I2893" s="0" t="n">
        <f aca="false">6*D2893+(D2893-E2893-G2893)+2*F2893+3*H2893</f>
        <v>31</v>
      </c>
      <c r="J2893" s="0" t="n">
        <f aca="true">CRITBINOM($C2893,MIN(0.75,Matchup!$C$39*$B2893),RAND())</f>
        <v>4</v>
      </c>
      <c r="K2893" s="0" t="n">
        <f aca="true">CRITBINOM(J2893,Coefficients!$B$30,RAND())</f>
        <v>1</v>
      </c>
      <c r="L2893" s="0" t="n">
        <f aca="true">CRITBINOM(K2893,Coefficients!$B$31,RAND())</f>
        <v>0</v>
      </c>
      <c r="M2893" s="0" t="n">
        <f aca="true">CRITBINOM(MAX(0,J2893-K2893),1-Coefficients!$B$32,RAND())</f>
        <v>0</v>
      </c>
      <c r="N2893" s="0" t="n">
        <f aca="true">CRITBINOM(MAX(0,$C2893-J2893),MIN(0.6,Matchup!$C$40*SQRT($B2893)/(1-MIN(0.75,Matchup!$C$39*$B2893))),RAND())</f>
        <v>2</v>
      </c>
      <c r="O2893" s="0" t="n">
        <f aca="false">6*J2893+(J2893-K2893-M2893)+2*L2893+3*N2893</f>
        <v>33</v>
      </c>
      <c r="P2893" s="0" t="n">
        <f aca="true">RAND()</f>
        <v>0.520621119518916</v>
      </c>
      <c r="Q2893" s="0" t="n">
        <f aca="true">RAND()</f>
        <v>0.187652444621177</v>
      </c>
      <c r="R2893" s="0" t="n">
        <f aca="false">IF($I2893&lt;&gt;$O2893,0,IF(P2893&lt;Matchup!$B$39,7,IF(P2893&lt;Matchup!$B$39+Matchup!$B$40,3,0)))</f>
        <v>0</v>
      </c>
      <c r="S2893" s="0" t="n">
        <f aca="false">IF($I2893&lt;&gt;$O2893,0,IF(Q2893&lt;Matchup!$C$39,7,IF(Q2893&lt;Matchup!$C$39+Matchup!$C$40,3,0)))</f>
        <v>0</v>
      </c>
      <c r="T2893" s="0" t="n">
        <f aca="false">I2893+R2893</f>
        <v>31</v>
      </c>
      <c r="U2893" s="0" t="n">
        <f aca="false">O2893+S2893</f>
        <v>33</v>
      </c>
      <c r="V2893" s="0" t="n">
        <f aca="false">T2893-U2893</f>
        <v>-2</v>
      </c>
      <c r="W2893" s="0" t="n">
        <f aca="false">T2893+U2893</f>
        <v>64</v>
      </c>
    </row>
    <row r="2894" customFormat="false" ht="15" hidden="false" customHeight="false" outlineLevel="0" collapsed="false">
      <c r="A2894" s="0" t="n">
        <v>2891</v>
      </c>
      <c r="B2894" s="0" t="n">
        <f aca="true">NORMINV(RAND(),1,Coefficients!$B$22)</f>
        <v>0.989796369185524</v>
      </c>
      <c r="C2894" s="0" t="n">
        <f aca="true">MEDIAN(8,16,ROUND(NORMINV(RAND(),Coefficients!$B$20,Coefficients!$B$21),0))</f>
        <v>10</v>
      </c>
      <c r="D2894" s="0" t="n">
        <f aca="true">CRITBINOM($C2894,MIN(0.75,Matchup!$B$39*$B2894),RAND())</f>
        <v>2</v>
      </c>
      <c r="E2894" s="0" t="n">
        <f aca="true">CRITBINOM(D2894,Coefficients!$B$30,RAND())</f>
        <v>0</v>
      </c>
      <c r="F2894" s="0" t="n">
        <f aca="true">CRITBINOM(E2894,Coefficients!$B$31,RAND())</f>
        <v>0</v>
      </c>
      <c r="G2894" s="0" t="n">
        <f aca="true">CRITBINOM(MAX(0,D2894-E2894),1-Coefficients!$B$32,RAND())</f>
        <v>1</v>
      </c>
      <c r="H2894" s="0" t="n">
        <f aca="true">CRITBINOM(MAX(0,$C2894-D2894),MIN(0.6,Matchup!$B$40*SQRT($B2894)/(1-MIN(0.75,Matchup!$B$39*$B2894))),RAND())</f>
        <v>1</v>
      </c>
      <c r="I2894" s="0" t="n">
        <f aca="false">6*D2894+(D2894-E2894-G2894)+2*F2894+3*H2894</f>
        <v>16</v>
      </c>
      <c r="J2894" s="0" t="n">
        <f aca="true">CRITBINOM($C2894,MIN(0.75,Matchup!$C$39*$B2894),RAND())</f>
        <v>3</v>
      </c>
      <c r="K2894" s="0" t="n">
        <f aca="true">CRITBINOM(J2894,Coefficients!$B$30,RAND())</f>
        <v>0</v>
      </c>
      <c r="L2894" s="0" t="n">
        <f aca="true">CRITBINOM(K2894,Coefficients!$B$31,RAND())</f>
        <v>0</v>
      </c>
      <c r="M2894" s="0" t="n">
        <f aca="true">CRITBINOM(MAX(0,J2894-K2894),1-Coefficients!$B$32,RAND())</f>
        <v>1</v>
      </c>
      <c r="N2894" s="0" t="n">
        <f aca="true">CRITBINOM(MAX(0,$C2894-J2894),MIN(0.6,Matchup!$C$40*SQRT($B2894)/(1-MIN(0.75,Matchup!$C$39*$B2894))),RAND())</f>
        <v>1</v>
      </c>
      <c r="O2894" s="0" t="n">
        <f aca="false">6*J2894+(J2894-K2894-M2894)+2*L2894+3*N2894</f>
        <v>23</v>
      </c>
      <c r="P2894" s="0" t="n">
        <f aca="true">RAND()</f>
        <v>0.897794608593096</v>
      </c>
      <c r="Q2894" s="0" t="n">
        <f aca="true">RAND()</f>
        <v>0.838537407423925</v>
      </c>
      <c r="R2894" s="0" t="n">
        <f aca="false">IF($I2894&lt;&gt;$O2894,0,IF(P2894&lt;Matchup!$B$39,7,IF(P2894&lt;Matchup!$B$39+Matchup!$B$40,3,0)))</f>
        <v>0</v>
      </c>
      <c r="S2894" s="0" t="n">
        <f aca="false">IF($I2894&lt;&gt;$O2894,0,IF(Q2894&lt;Matchup!$C$39,7,IF(Q2894&lt;Matchup!$C$39+Matchup!$C$40,3,0)))</f>
        <v>0</v>
      </c>
      <c r="T2894" s="0" t="n">
        <f aca="false">I2894+R2894</f>
        <v>16</v>
      </c>
      <c r="U2894" s="0" t="n">
        <f aca="false">O2894+S2894</f>
        <v>23</v>
      </c>
      <c r="V2894" s="0" t="n">
        <f aca="false">T2894-U2894</f>
        <v>-7</v>
      </c>
      <c r="W2894" s="0" t="n">
        <f aca="false">T2894+U2894</f>
        <v>39</v>
      </c>
    </row>
    <row r="2895" customFormat="false" ht="15" hidden="false" customHeight="false" outlineLevel="0" collapsed="false">
      <c r="A2895" s="0" t="n">
        <v>2892</v>
      </c>
      <c r="B2895" s="0" t="n">
        <f aca="true">NORMINV(RAND(),1,Coefficients!$B$22)</f>
        <v>1.12415914399658</v>
      </c>
      <c r="C2895" s="0" t="n">
        <f aca="true">MEDIAN(8,16,ROUND(NORMINV(RAND(),Coefficients!$B$20,Coefficients!$B$21),0))</f>
        <v>11</v>
      </c>
      <c r="D2895" s="0" t="n">
        <f aca="true">CRITBINOM($C2895,MIN(0.75,Matchup!$B$39*$B2895),RAND())</f>
        <v>3</v>
      </c>
      <c r="E2895" s="0" t="n">
        <f aca="true">CRITBINOM(D2895,Coefficients!$B$30,RAND())</f>
        <v>0</v>
      </c>
      <c r="F2895" s="0" t="n">
        <f aca="true">CRITBINOM(E2895,Coefficients!$B$31,RAND())</f>
        <v>0</v>
      </c>
      <c r="G2895" s="0" t="n">
        <f aca="true">CRITBINOM(MAX(0,D2895-E2895),1-Coefficients!$B$32,RAND())</f>
        <v>1</v>
      </c>
      <c r="H2895" s="0" t="n">
        <f aca="true">CRITBINOM(MAX(0,$C2895-D2895),MIN(0.6,Matchup!$B$40*SQRT($B2895)/(1-MIN(0.75,Matchup!$B$39*$B2895))),RAND())</f>
        <v>3</v>
      </c>
      <c r="I2895" s="0" t="n">
        <f aca="false">6*D2895+(D2895-E2895-G2895)+2*F2895+3*H2895</f>
        <v>29</v>
      </c>
      <c r="J2895" s="0" t="n">
        <f aca="true">CRITBINOM($C2895,MIN(0.75,Matchup!$C$39*$B2895),RAND())</f>
        <v>2</v>
      </c>
      <c r="K2895" s="0" t="n">
        <f aca="true">CRITBINOM(J2895,Coefficients!$B$30,RAND())</f>
        <v>1</v>
      </c>
      <c r="L2895" s="0" t="n">
        <f aca="true">CRITBINOM(K2895,Coefficients!$B$31,RAND())</f>
        <v>0</v>
      </c>
      <c r="M2895" s="0" t="n">
        <f aca="true">CRITBINOM(MAX(0,J2895-K2895),1-Coefficients!$B$32,RAND())</f>
        <v>0</v>
      </c>
      <c r="N2895" s="0" t="n">
        <f aca="true">CRITBINOM(MAX(0,$C2895-J2895),MIN(0.6,Matchup!$C$40*SQRT($B2895)/(1-MIN(0.75,Matchup!$C$39*$B2895))),RAND())</f>
        <v>2</v>
      </c>
      <c r="O2895" s="0" t="n">
        <f aca="false">6*J2895+(J2895-K2895-M2895)+2*L2895+3*N2895</f>
        <v>19</v>
      </c>
      <c r="P2895" s="0" t="n">
        <f aca="true">RAND()</f>
        <v>0.686730053908532</v>
      </c>
      <c r="Q2895" s="0" t="n">
        <f aca="true">RAND()</f>
        <v>0.942572276164698</v>
      </c>
      <c r="R2895" s="0" t="n">
        <f aca="false">IF($I2895&lt;&gt;$O2895,0,IF(P2895&lt;Matchup!$B$39,7,IF(P2895&lt;Matchup!$B$39+Matchup!$B$40,3,0)))</f>
        <v>0</v>
      </c>
      <c r="S2895" s="0" t="n">
        <f aca="false">IF($I2895&lt;&gt;$O2895,0,IF(Q2895&lt;Matchup!$C$39,7,IF(Q2895&lt;Matchup!$C$39+Matchup!$C$40,3,0)))</f>
        <v>0</v>
      </c>
      <c r="T2895" s="0" t="n">
        <f aca="false">I2895+R2895</f>
        <v>29</v>
      </c>
      <c r="U2895" s="0" t="n">
        <f aca="false">O2895+S2895</f>
        <v>19</v>
      </c>
      <c r="V2895" s="0" t="n">
        <f aca="false">T2895-U2895</f>
        <v>10</v>
      </c>
      <c r="W2895" s="0" t="n">
        <f aca="false">T2895+U2895</f>
        <v>48</v>
      </c>
    </row>
    <row r="2896" customFormat="false" ht="15" hidden="false" customHeight="false" outlineLevel="0" collapsed="false">
      <c r="A2896" s="0" t="n">
        <v>2893</v>
      </c>
      <c r="B2896" s="0" t="n">
        <f aca="true">NORMINV(RAND(),1,Coefficients!$B$22)</f>
        <v>0.936274719663007</v>
      </c>
      <c r="C2896" s="0" t="n">
        <f aca="true">MEDIAN(8,16,ROUND(NORMINV(RAND(),Coefficients!$B$20,Coefficients!$B$21),0))</f>
        <v>12</v>
      </c>
      <c r="D2896" s="0" t="n">
        <f aca="true">CRITBINOM($C2896,MIN(0.75,Matchup!$B$39*$B2896),RAND())</f>
        <v>2</v>
      </c>
      <c r="E2896" s="0" t="n">
        <f aca="true">CRITBINOM(D2896,Coefficients!$B$30,RAND())</f>
        <v>0</v>
      </c>
      <c r="F2896" s="0" t="n">
        <f aca="true">CRITBINOM(E2896,Coefficients!$B$31,RAND())</f>
        <v>0</v>
      </c>
      <c r="G2896" s="0" t="n">
        <f aca="true">CRITBINOM(MAX(0,D2896-E2896),1-Coefficients!$B$32,RAND())</f>
        <v>0</v>
      </c>
      <c r="H2896" s="0" t="n">
        <f aca="true">CRITBINOM(MAX(0,$C2896-D2896),MIN(0.6,Matchup!$B$40*SQRT($B2896)/(1-MIN(0.75,Matchup!$B$39*$B2896))),RAND())</f>
        <v>0</v>
      </c>
      <c r="I2896" s="0" t="n">
        <f aca="false">6*D2896+(D2896-E2896-G2896)+2*F2896+3*H2896</f>
        <v>14</v>
      </c>
      <c r="J2896" s="0" t="n">
        <f aca="true">CRITBINOM($C2896,MIN(0.75,Matchup!$C$39*$B2896),RAND())</f>
        <v>2</v>
      </c>
      <c r="K2896" s="0" t="n">
        <f aca="true">CRITBINOM(J2896,Coefficients!$B$30,RAND())</f>
        <v>1</v>
      </c>
      <c r="L2896" s="0" t="n">
        <f aca="true">CRITBINOM(K2896,Coefficients!$B$31,RAND())</f>
        <v>0</v>
      </c>
      <c r="M2896" s="0" t="n">
        <f aca="true">CRITBINOM(MAX(0,J2896-K2896),1-Coefficients!$B$32,RAND())</f>
        <v>0</v>
      </c>
      <c r="N2896" s="0" t="n">
        <f aca="true">CRITBINOM(MAX(0,$C2896-J2896),MIN(0.6,Matchup!$C$40*SQRT($B2896)/(1-MIN(0.75,Matchup!$C$39*$B2896))),RAND())</f>
        <v>3</v>
      </c>
      <c r="O2896" s="0" t="n">
        <f aca="false">6*J2896+(J2896-K2896-M2896)+2*L2896+3*N2896</f>
        <v>22</v>
      </c>
      <c r="P2896" s="0" t="n">
        <f aca="true">RAND()</f>
        <v>0.873058616205311</v>
      </c>
      <c r="Q2896" s="0" t="n">
        <f aca="true">RAND()</f>
        <v>0.869322026821183</v>
      </c>
      <c r="R2896" s="0" t="n">
        <f aca="false">IF($I2896&lt;&gt;$O2896,0,IF(P2896&lt;Matchup!$B$39,7,IF(P2896&lt;Matchup!$B$39+Matchup!$B$40,3,0)))</f>
        <v>0</v>
      </c>
      <c r="S2896" s="0" t="n">
        <f aca="false">IF($I2896&lt;&gt;$O2896,0,IF(Q2896&lt;Matchup!$C$39,7,IF(Q2896&lt;Matchup!$C$39+Matchup!$C$40,3,0)))</f>
        <v>0</v>
      </c>
      <c r="T2896" s="0" t="n">
        <f aca="false">I2896+R2896</f>
        <v>14</v>
      </c>
      <c r="U2896" s="0" t="n">
        <f aca="false">O2896+S2896</f>
        <v>22</v>
      </c>
      <c r="V2896" s="0" t="n">
        <f aca="false">T2896-U2896</f>
        <v>-8</v>
      </c>
      <c r="W2896" s="0" t="n">
        <f aca="false">T2896+U2896</f>
        <v>36</v>
      </c>
    </row>
    <row r="2897" customFormat="false" ht="15" hidden="false" customHeight="false" outlineLevel="0" collapsed="false">
      <c r="A2897" s="0" t="n">
        <v>2894</v>
      </c>
      <c r="B2897" s="0" t="n">
        <f aca="true">NORMINV(RAND(),1,Coefficients!$B$22)</f>
        <v>0.924593703707224</v>
      </c>
      <c r="C2897" s="0" t="n">
        <f aca="true">MEDIAN(8,16,ROUND(NORMINV(RAND(),Coefficients!$B$20,Coefficients!$B$21),0))</f>
        <v>11</v>
      </c>
      <c r="D2897" s="0" t="n">
        <f aca="true">CRITBINOM($C2897,MIN(0.75,Matchup!$B$39*$B2897),RAND())</f>
        <v>2</v>
      </c>
      <c r="E2897" s="0" t="n">
        <f aca="true">CRITBINOM(D2897,Coefficients!$B$30,RAND())</f>
        <v>1</v>
      </c>
      <c r="F2897" s="0" t="n">
        <f aca="true">CRITBINOM(E2897,Coefficients!$B$31,RAND())</f>
        <v>1</v>
      </c>
      <c r="G2897" s="0" t="n">
        <f aca="true">CRITBINOM(MAX(0,D2897-E2897),1-Coefficients!$B$32,RAND())</f>
        <v>0</v>
      </c>
      <c r="H2897" s="0" t="n">
        <f aca="true">CRITBINOM(MAX(0,$C2897-D2897),MIN(0.6,Matchup!$B$40*SQRT($B2897)/(1-MIN(0.75,Matchup!$B$39*$B2897))),RAND())</f>
        <v>1</v>
      </c>
      <c r="I2897" s="0" t="n">
        <f aca="false">6*D2897+(D2897-E2897-G2897)+2*F2897+3*H2897</f>
        <v>18</v>
      </c>
      <c r="J2897" s="0" t="n">
        <f aca="true">CRITBINOM($C2897,MIN(0.75,Matchup!$C$39*$B2897),RAND())</f>
        <v>3</v>
      </c>
      <c r="K2897" s="0" t="n">
        <f aca="true">CRITBINOM(J2897,Coefficients!$B$30,RAND())</f>
        <v>1</v>
      </c>
      <c r="L2897" s="0" t="n">
        <f aca="true">CRITBINOM(K2897,Coefficients!$B$31,RAND())</f>
        <v>0</v>
      </c>
      <c r="M2897" s="0" t="n">
        <f aca="true">CRITBINOM(MAX(0,J2897-K2897),1-Coefficients!$B$32,RAND())</f>
        <v>0</v>
      </c>
      <c r="N2897" s="0" t="n">
        <f aca="true">CRITBINOM(MAX(0,$C2897-J2897),MIN(0.6,Matchup!$C$40*SQRT($B2897)/(1-MIN(0.75,Matchup!$C$39*$B2897))),RAND())</f>
        <v>0</v>
      </c>
      <c r="O2897" s="0" t="n">
        <f aca="false">6*J2897+(J2897-K2897-M2897)+2*L2897+3*N2897</f>
        <v>20</v>
      </c>
      <c r="P2897" s="0" t="n">
        <f aca="true">RAND()</f>
        <v>0.166029691411047</v>
      </c>
      <c r="Q2897" s="0" t="n">
        <f aca="true">RAND()</f>
        <v>0.0127210640156554</v>
      </c>
      <c r="R2897" s="0" t="n">
        <f aca="false">IF($I2897&lt;&gt;$O2897,0,IF(P2897&lt;Matchup!$B$39,7,IF(P2897&lt;Matchup!$B$39+Matchup!$B$40,3,0)))</f>
        <v>0</v>
      </c>
      <c r="S2897" s="0" t="n">
        <f aca="false">IF($I2897&lt;&gt;$O2897,0,IF(Q2897&lt;Matchup!$C$39,7,IF(Q2897&lt;Matchup!$C$39+Matchup!$C$40,3,0)))</f>
        <v>0</v>
      </c>
      <c r="T2897" s="0" t="n">
        <f aca="false">I2897+R2897</f>
        <v>18</v>
      </c>
      <c r="U2897" s="0" t="n">
        <f aca="false">O2897+S2897</f>
        <v>20</v>
      </c>
      <c r="V2897" s="0" t="n">
        <f aca="false">T2897-U2897</f>
        <v>-2</v>
      </c>
      <c r="W2897" s="0" t="n">
        <f aca="false">T2897+U2897</f>
        <v>38</v>
      </c>
    </row>
    <row r="2898" customFormat="false" ht="15" hidden="false" customHeight="false" outlineLevel="0" collapsed="false">
      <c r="A2898" s="0" t="n">
        <v>2895</v>
      </c>
      <c r="B2898" s="0" t="n">
        <f aca="true">NORMINV(RAND(),1,Coefficients!$B$22)</f>
        <v>0.928099362093271</v>
      </c>
      <c r="C2898" s="0" t="n">
        <f aca="true">MEDIAN(8,16,ROUND(NORMINV(RAND(),Coefficients!$B$20,Coefficients!$B$21),0))</f>
        <v>13</v>
      </c>
      <c r="D2898" s="0" t="n">
        <f aca="true">CRITBINOM($C2898,MIN(0.75,Matchup!$B$39*$B2898),RAND())</f>
        <v>4</v>
      </c>
      <c r="E2898" s="0" t="n">
        <f aca="true">CRITBINOM(D2898,Coefficients!$B$30,RAND())</f>
        <v>0</v>
      </c>
      <c r="F2898" s="0" t="n">
        <f aca="true">CRITBINOM(E2898,Coefficients!$B$31,RAND())</f>
        <v>0</v>
      </c>
      <c r="G2898" s="0" t="n">
        <f aca="true">CRITBINOM(MAX(0,D2898-E2898),1-Coefficients!$B$32,RAND())</f>
        <v>0</v>
      </c>
      <c r="H2898" s="0" t="n">
        <f aca="true">CRITBINOM(MAX(0,$C2898-D2898),MIN(0.6,Matchup!$B$40*SQRT($B2898)/(1-MIN(0.75,Matchup!$B$39*$B2898))),RAND())</f>
        <v>0</v>
      </c>
      <c r="I2898" s="0" t="n">
        <f aca="false">6*D2898+(D2898-E2898-G2898)+2*F2898+3*H2898</f>
        <v>28</v>
      </c>
      <c r="J2898" s="0" t="n">
        <f aca="true">CRITBINOM($C2898,MIN(0.75,Matchup!$C$39*$B2898),RAND())</f>
        <v>2</v>
      </c>
      <c r="K2898" s="0" t="n">
        <f aca="true">CRITBINOM(J2898,Coefficients!$B$30,RAND())</f>
        <v>1</v>
      </c>
      <c r="L2898" s="0" t="n">
        <f aca="true">CRITBINOM(K2898,Coefficients!$B$31,RAND())</f>
        <v>0</v>
      </c>
      <c r="M2898" s="0" t="n">
        <f aca="true">CRITBINOM(MAX(0,J2898-K2898),1-Coefficients!$B$32,RAND())</f>
        <v>0</v>
      </c>
      <c r="N2898" s="0" t="n">
        <f aca="true">CRITBINOM(MAX(0,$C2898-J2898),MIN(0.6,Matchup!$C$40*SQRT($B2898)/(1-MIN(0.75,Matchup!$C$39*$B2898))),RAND())</f>
        <v>2</v>
      </c>
      <c r="O2898" s="0" t="n">
        <f aca="false">6*J2898+(J2898-K2898-M2898)+2*L2898+3*N2898</f>
        <v>19</v>
      </c>
      <c r="P2898" s="0" t="n">
        <f aca="true">RAND()</f>
        <v>0.557594247004531</v>
      </c>
      <c r="Q2898" s="0" t="n">
        <f aca="true">RAND()</f>
        <v>0.712748480271278</v>
      </c>
      <c r="R2898" s="0" t="n">
        <f aca="false">IF($I2898&lt;&gt;$O2898,0,IF(P2898&lt;Matchup!$B$39,7,IF(P2898&lt;Matchup!$B$39+Matchup!$B$40,3,0)))</f>
        <v>0</v>
      </c>
      <c r="S2898" s="0" t="n">
        <f aca="false">IF($I2898&lt;&gt;$O2898,0,IF(Q2898&lt;Matchup!$C$39,7,IF(Q2898&lt;Matchup!$C$39+Matchup!$C$40,3,0)))</f>
        <v>0</v>
      </c>
      <c r="T2898" s="0" t="n">
        <f aca="false">I2898+R2898</f>
        <v>28</v>
      </c>
      <c r="U2898" s="0" t="n">
        <f aca="false">O2898+S2898</f>
        <v>19</v>
      </c>
      <c r="V2898" s="0" t="n">
        <f aca="false">T2898-U2898</f>
        <v>9</v>
      </c>
      <c r="W2898" s="0" t="n">
        <f aca="false">T2898+U2898</f>
        <v>47</v>
      </c>
    </row>
    <row r="2899" customFormat="false" ht="15" hidden="false" customHeight="false" outlineLevel="0" collapsed="false">
      <c r="A2899" s="0" t="n">
        <v>2896</v>
      </c>
      <c r="B2899" s="0" t="n">
        <f aca="true">NORMINV(RAND(),1,Coefficients!$B$22)</f>
        <v>0.914003898802263</v>
      </c>
      <c r="C2899" s="0" t="n">
        <f aca="true">MEDIAN(8,16,ROUND(NORMINV(RAND(),Coefficients!$B$20,Coefficients!$B$21),0))</f>
        <v>11</v>
      </c>
      <c r="D2899" s="0" t="n">
        <f aca="true">CRITBINOM($C2899,MIN(0.75,Matchup!$B$39*$B2899),RAND())</f>
        <v>3</v>
      </c>
      <c r="E2899" s="0" t="n">
        <f aca="true">CRITBINOM(D2899,Coefficients!$B$30,RAND())</f>
        <v>0</v>
      </c>
      <c r="F2899" s="0" t="n">
        <f aca="true">CRITBINOM(E2899,Coefficients!$B$31,RAND())</f>
        <v>0</v>
      </c>
      <c r="G2899" s="0" t="n">
        <f aca="true">CRITBINOM(MAX(0,D2899-E2899),1-Coefficients!$B$32,RAND())</f>
        <v>0</v>
      </c>
      <c r="H2899" s="0" t="n">
        <f aca="true">CRITBINOM(MAX(0,$C2899-D2899),MIN(0.6,Matchup!$B$40*SQRT($B2899)/(1-MIN(0.75,Matchup!$B$39*$B2899))),RAND())</f>
        <v>1</v>
      </c>
      <c r="I2899" s="0" t="n">
        <f aca="false">6*D2899+(D2899-E2899-G2899)+2*F2899+3*H2899</f>
        <v>24</v>
      </c>
      <c r="J2899" s="0" t="n">
        <f aca="true">CRITBINOM($C2899,MIN(0.75,Matchup!$C$39*$B2899),RAND())</f>
        <v>2</v>
      </c>
      <c r="K2899" s="0" t="n">
        <f aca="true">CRITBINOM(J2899,Coefficients!$B$30,RAND())</f>
        <v>0</v>
      </c>
      <c r="L2899" s="0" t="n">
        <f aca="true">CRITBINOM(K2899,Coefficients!$B$31,RAND())</f>
        <v>0</v>
      </c>
      <c r="M2899" s="0" t="n">
        <f aca="true">CRITBINOM(MAX(0,J2899-K2899),1-Coefficients!$B$32,RAND())</f>
        <v>0</v>
      </c>
      <c r="N2899" s="0" t="n">
        <f aca="true">CRITBINOM(MAX(0,$C2899-J2899),MIN(0.6,Matchup!$C$40*SQRT($B2899)/(1-MIN(0.75,Matchup!$C$39*$B2899))),RAND())</f>
        <v>2</v>
      </c>
      <c r="O2899" s="0" t="n">
        <f aca="false">6*J2899+(J2899-K2899-M2899)+2*L2899+3*N2899</f>
        <v>20</v>
      </c>
      <c r="P2899" s="0" t="n">
        <f aca="true">RAND()</f>
        <v>0.327170372429183</v>
      </c>
      <c r="Q2899" s="0" t="n">
        <f aca="true">RAND()</f>
        <v>0.274399959044597</v>
      </c>
      <c r="R2899" s="0" t="n">
        <f aca="false">IF($I2899&lt;&gt;$O2899,0,IF(P2899&lt;Matchup!$B$39,7,IF(P2899&lt;Matchup!$B$39+Matchup!$B$40,3,0)))</f>
        <v>0</v>
      </c>
      <c r="S2899" s="0" t="n">
        <f aca="false">IF($I2899&lt;&gt;$O2899,0,IF(Q2899&lt;Matchup!$C$39,7,IF(Q2899&lt;Matchup!$C$39+Matchup!$C$40,3,0)))</f>
        <v>0</v>
      </c>
      <c r="T2899" s="0" t="n">
        <f aca="false">I2899+R2899</f>
        <v>24</v>
      </c>
      <c r="U2899" s="0" t="n">
        <f aca="false">O2899+S2899</f>
        <v>20</v>
      </c>
      <c r="V2899" s="0" t="n">
        <f aca="false">T2899-U2899</f>
        <v>4</v>
      </c>
      <c r="W2899" s="0" t="n">
        <f aca="false">T2899+U2899</f>
        <v>44</v>
      </c>
    </row>
    <row r="2900" customFormat="false" ht="15" hidden="false" customHeight="false" outlineLevel="0" collapsed="false">
      <c r="A2900" s="0" t="n">
        <v>2897</v>
      </c>
      <c r="B2900" s="0" t="n">
        <f aca="true">NORMINV(RAND(),1,Coefficients!$B$22)</f>
        <v>1.02139039852006</v>
      </c>
      <c r="C2900" s="0" t="n">
        <f aca="true">MEDIAN(8,16,ROUND(NORMINV(RAND(),Coefficients!$B$20,Coefficients!$B$21),0))</f>
        <v>12</v>
      </c>
      <c r="D2900" s="0" t="n">
        <f aca="true">CRITBINOM($C2900,MIN(0.75,Matchup!$B$39*$B2900),RAND())</f>
        <v>4</v>
      </c>
      <c r="E2900" s="0" t="n">
        <f aca="true">CRITBINOM(D2900,Coefficients!$B$30,RAND())</f>
        <v>0</v>
      </c>
      <c r="F2900" s="0" t="n">
        <f aca="true">CRITBINOM(E2900,Coefficients!$B$31,RAND())</f>
        <v>0</v>
      </c>
      <c r="G2900" s="0" t="n">
        <f aca="true">CRITBINOM(MAX(0,D2900-E2900),1-Coefficients!$B$32,RAND())</f>
        <v>0</v>
      </c>
      <c r="H2900" s="0" t="n">
        <f aca="true">CRITBINOM(MAX(0,$C2900-D2900),MIN(0.6,Matchup!$B$40*SQRT($B2900)/(1-MIN(0.75,Matchup!$B$39*$B2900))),RAND())</f>
        <v>1</v>
      </c>
      <c r="I2900" s="0" t="n">
        <f aca="false">6*D2900+(D2900-E2900-G2900)+2*F2900+3*H2900</f>
        <v>31</v>
      </c>
      <c r="J2900" s="0" t="n">
        <f aca="true">CRITBINOM($C2900,MIN(0.75,Matchup!$C$39*$B2900),RAND())</f>
        <v>3</v>
      </c>
      <c r="K2900" s="0" t="n">
        <f aca="true">CRITBINOM(J2900,Coefficients!$B$30,RAND())</f>
        <v>0</v>
      </c>
      <c r="L2900" s="0" t="n">
        <f aca="true">CRITBINOM(K2900,Coefficients!$B$31,RAND())</f>
        <v>0</v>
      </c>
      <c r="M2900" s="0" t="n">
        <f aca="true">CRITBINOM(MAX(0,J2900-K2900),1-Coefficients!$B$32,RAND())</f>
        <v>1</v>
      </c>
      <c r="N2900" s="0" t="n">
        <f aca="true">CRITBINOM(MAX(0,$C2900-J2900),MIN(0.6,Matchup!$C$40*SQRT($B2900)/(1-MIN(0.75,Matchup!$C$39*$B2900))),RAND())</f>
        <v>1</v>
      </c>
      <c r="O2900" s="0" t="n">
        <f aca="false">6*J2900+(J2900-K2900-M2900)+2*L2900+3*N2900</f>
        <v>23</v>
      </c>
      <c r="P2900" s="0" t="n">
        <f aca="true">RAND()</f>
        <v>0.708020864160925</v>
      </c>
      <c r="Q2900" s="0" t="n">
        <f aca="true">RAND()</f>
        <v>0.211163850417044</v>
      </c>
      <c r="R2900" s="0" t="n">
        <f aca="false">IF($I2900&lt;&gt;$O2900,0,IF(P2900&lt;Matchup!$B$39,7,IF(P2900&lt;Matchup!$B$39+Matchup!$B$40,3,0)))</f>
        <v>0</v>
      </c>
      <c r="S2900" s="0" t="n">
        <f aca="false">IF($I2900&lt;&gt;$O2900,0,IF(Q2900&lt;Matchup!$C$39,7,IF(Q2900&lt;Matchup!$C$39+Matchup!$C$40,3,0)))</f>
        <v>0</v>
      </c>
      <c r="T2900" s="0" t="n">
        <f aca="false">I2900+R2900</f>
        <v>31</v>
      </c>
      <c r="U2900" s="0" t="n">
        <f aca="false">O2900+S2900</f>
        <v>23</v>
      </c>
      <c r="V2900" s="0" t="n">
        <f aca="false">T2900-U2900</f>
        <v>8</v>
      </c>
      <c r="W2900" s="0" t="n">
        <f aca="false">T2900+U2900</f>
        <v>54</v>
      </c>
    </row>
    <row r="2901" customFormat="false" ht="15" hidden="false" customHeight="false" outlineLevel="0" collapsed="false">
      <c r="A2901" s="0" t="n">
        <v>2898</v>
      </c>
      <c r="B2901" s="0" t="n">
        <f aca="true">NORMINV(RAND(),1,Coefficients!$B$22)</f>
        <v>0.918362636788717</v>
      </c>
      <c r="C2901" s="0" t="n">
        <f aca="true">MEDIAN(8,16,ROUND(NORMINV(RAND(),Coefficients!$B$20,Coefficients!$B$21),0))</f>
        <v>12</v>
      </c>
      <c r="D2901" s="0" t="n">
        <f aca="true">CRITBINOM($C2901,MIN(0.75,Matchup!$B$39*$B2901),RAND())</f>
        <v>1</v>
      </c>
      <c r="E2901" s="0" t="n">
        <f aca="true">CRITBINOM(D2901,Coefficients!$B$30,RAND())</f>
        <v>0</v>
      </c>
      <c r="F2901" s="0" t="n">
        <f aca="true">CRITBINOM(E2901,Coefficients!$B$31,RAND())</f>
        <v>0</v>
      </c>
      <c r="G2901" s="0" t="n">
        <f aca="true">CRITBINOM(MAX(0,D2901-E2901),1-Coefficients!$B$32,RAND())</f>
        <v>0</v>
      </c>
      <c r="H2901" s="0" t="n">
        <f aca="true">CRITBINOM(MAX(0,$C2901-D2901),MIN(0.6,Matchup!$B$40*SQRT($B2901)/(1-MIN(0.75,Matchup!$B$39*$B2901))),RAND())</f>
        <v>1</v>
      </c>
      <c r="I2901" s="0" t="n">
        <f aca="false">6*D2901+(D2901-E2901-G2901)+2*F2901+3*H2901</f>
        <v>10</v>
      </c>
      <c r="J2901" s="0" t="n">
        <f aca="true">CRITBINOM($C2901,MIN(0.75,Matchup!$C$39*$B2901),RAND())</f>
        <v>6</v>
      </c>
      <c r="K2901" s="0" t="n">
        <f aca="true">CRITBINOM(J2901,Coefficients!$B$30,RAND())</f>
        <v>0</v>
      </c>
      <c r="L2901" s="0" t="n">
        <f aca="true">CRITBINOM(K2901,Coefficients!$B$31,RAND())</f>
        <v>0</v>
      </c>
      <c r="M2901" s="0" t="n">
        <f aca="true">CRITBINOM(MAX(0,J2901-K2901),1-Coefficients!$B$32,RAND())</f>
        <v>0</v>
      </c>
      <c r="N2901" s="0" t="n">
        <f aca="true">CRITBINOM(MAX(0,$C2901-J2901),MIN(0.6,Matchup!$C$40*SQRT($B2901)/(1-MIN(0.75,Matchup!$C$39*$B2901))),RAND())</f>
        <v>0</v>
      </c>
      <c r="O2901" s="0" t="n">
        <f aca="false">6*J2901+(J2901-K2901-M2901)+2*L2901+3*N2901</f>
        <v>42</v>
      </c>
      <c r="P2901" s="0" t="n">
        <f aca="true">RAND()</f>
        <v>0.314390591617467</v>
      </c>
      <c r="Q2901" s="0" t="n">
        <f aca="true">RAND()</f>
        <v>0.744045767436243</v>
      </c>
      <c r="R2901" s="0" t="n">
        <f aca="false">IF($I2901&lt;&gt;$O2901,0,IF(P2901&lt;Matchup!$B$39,7,IF(P2901&lt;Matchup!$B$39+Matchup!$B$40,3,0)))</f>
        <v>0</v>
      </c>
      <c r="S2901" s="0" t="n">
        <f aca="false">IF($I2901&lt;&gt;$O2901,0,IF(Q2901&lt;Matchup!$C$39,7,IF(Q2901&lt;Matchup!$C$39+Matchup!$C$40,3,0)))</f>
        <v>0</v>
      </c>
      <c r="T2901" s="0" t="n">
        <f aca="false">I2901+R2901</f>
        <v>10</v>
      </c>
      <c r="U2901" s="0" t="n">
        <f aca="false">O2901+S2901</f>
        <v>42</v>
      </c>
      <c r="V2901" s="0" t="n">
        <f aca="false">T2901-U2901</f>
        <v>-32</v>
      </c>
      <c r="W2901" s="0" t="n">
        <f aca="false">T2901+U2901</f>
        <v>52</v>
      </c>
    </row>
    <row r="2902" customFormat="false" ht="15" hidden="false" customHeight="false" outlineLevel="0" collapsed="false">
      <c r="A2902" s="0" t="n">
        <v>2899</v>
      </c>
      <c r="B2902" s="0" t="n">
        <f aca="true">NORMINV(RAND(),1,Coefficients!$B$22)</f>
        <v>1.04415254070553</v>
      </c>
      <c r="C2902" s="0" t="n">
        <f aca="true">MEDIAN(8,16,ROUND(NORMINV(RAND(),Coefficients!$B$20,Coefficients!$B$21),0))</f>
        <v>11</v>
      </c>
      <c r="D2902" s="0" t="n">
        <f aca="true">CRITBINOM($C2902,MIN(0.75,Matchup!$B$39*$B2902),RAND())</f>
        <v>3</v>
      </c>
      <c r="E2902" s="0" t="n">
        <f aca="true">CRITBINOM(D2902,Coefficients!$B$30,RAND())</f>
        <v>0</v>
      </c>
      <c r="F2902" s="0" t="n">
        <f aca="true">CRITBINOM(E2902,Coefficients!$B$31,RAND())</f>
        <v>0</v>
      </c>
      <c r="G2902" s="0" t="n">
        <f aca="true">CRITBINOM(MAX(0,D2902-E2902),1-Coefficients!$B$32,RAND())</f>
        <v>0</v>
      </c>
      <c r="H2902" s="0" t="n">
        <f aca="true">CRITBINOM(MAX(0,$C2902-D2902),MIN(0.6,Matchup!$B$40*SQRT($B2902)/(1-MIN(0.75,Matchup!$B$39*$B2902))),RAND())</f>
        <v>1</v>
      </c>
      <c r="I2902" s="0" t="n">
        <f aca="false">6*D2902+(D2902-E2902-G2902)+2*F2902+3*H2902</f>
        <v>24</v>
      </c>
      <c r="J2902" s="0" t="n">
        <f aca="true">CRITBINOM($C2902,MIN(0.75,Matchup!$C$39*$B2902),RAND())</f>
        <v>2</v>
      </c>
      <c r="K2902" s="0" t="n">
        <f aca="true">CRITBINOM(J2902,Coefficients!$B$30,RAND())</f>
        <v>0</v>
      </c>
      <c r="L2902" s="0" t="n">
        <f aca="true">CRITBINOM(K2902,Coefficients!$B$31,RAND())</f>
        <v>0</v>
      </c>
      <c r="M2902" s="0" t="n">
        <f aca="true">CRITBINOM(MAX(0,J2902-K2902),1-Coefficients!$B$32,RAND())</f>
        <v>0</v>
      </c>
      <c r="N2902" s="0" t="n">
        <f aca="true">CRITBINOM(MAX(0,$C2902-J2902),MIN(0.6,Matchup!$C$40*SQRT($B2902)/(1-MIN(0.75,Matchup!$C$39*$B2902))),RAND())</f>
        <v>2</v>
      </c>
      <c r="O2902" s="0" t="n">
        <f aca="false">6*J2902+(J2902-K2902-M2902)+2*L2902+3*N2902</f>
        <v>20</v>
      </c>
      <c r="P2902" s="0" t="n">
        <f aca="true">RAND()</f>
        <v>0.994639933104735</v>
      </c>
      <c r="Q2902" s="0" t="n">
        <f aca="true">RAND()</f>
        <v>0.705597031092773</v>
      </c>
      <c r="R2902" s="0" t="n">
        <f aca="false">IF($I2902&lt;&gt;$O2902,0,IF(P2902&lt;Matchup!$B$39,7,IF(P2902&lt;Matchup!$B$39+Matchup!$B$40,3,0)))</f>
        <v>0</v>
      </c>
      <c r="S2902" s="0" t="n">
        <f aca="false">IF($I2902&lt;&gt;$O2902,0,IF(Q2902&lt;Matchup!$C$39,7,IF(Q2902&lt;Matchup!$C$39+Matchup!$C$40,3,0)))</f>
        <v>0</v>
      </c>
      <c r="T2902" s="0" t="n">
        <f aca="false">I2902+R2902</f>
        <v>24</v>
      </c>
      <c r="U2902" s="0" t="n">
        <f aca="false">O2902+S2902</f>
        <v>20</v>
      </c>
      <c r="V2902" s="0" t="n">
        <f aca="false">T2902-U2902</f>
        <v>4</v>
      </c>
      <c r="W2902" s="0" t="n">
        <f aca="false">T2902+U2902</f>
        <v>44</v>
      </c>
    </row>
    <row r="2903" customFormat="false" ht="15" hidden="false" customHeight="false" outlineLevel="0" collapsed="false">
      <c r="A2903" s="0" t="n">
        <v>2900</v>
      </c>
      <c r="B2903" s="0" t="n">
        <f aca="true">NORMINV(RAND(),1,Coefficients!$B$22)</f>
        <v>1.00070176221524</v>
      </c>
      <c r="C2903" s="0" t="n">
        <f aca="true">MEDIAN(8,16,ROUND(NORMINV(RAND(),Coefficients!$B$20,Coefficients!$B$21),0))</f>
        <v>11</v>
      </c>
      <c r="D2903" s="0" t="n">
        <f aca="true">CRITBINOM($C2903,MIN(0.75,Matchup!$B$39*$B2903),RAND())</f>
        <v>5</v>
      </c>
      <c r="E2903" s="0" t="n">
        <f aca="true">CRITBINOM(D2903,Coefficients!$B$30,RAND())</f>
        <v>1</v>
      </c>
      <c r="F2903" s="0" t="n">
        <f aca="true">CRITBINOM(E2903,Coefficients!$B$31,RAND())</f>
        <v>1</v>
      </c>
      <c r="G2903" s="0" t="n">
        <f aca="true">CRITBINOM(MAX(0,D2903-E2903),1-Coefficients!$B$32,RAND())</f>
        <v>1</v>
      </c>
      <c r="H2903" s="0" t="n">
        <f aca="true">CRITBINOM(MAX(0,$C2903-D2903),MIN(0.6,Matchup!$B$40*SQRT($B2903)/(1-MIN(0.75,Matchup!$B$39*$B2903))),RAND())</f>
        <v>2</v>
      </c>
      <c r="I2903" s="0" t="n">
        <f aca="false">6*D2903+(D2903-E2903-G2903)+2*F2903+3*H2903</f>
        <v>41</v>
      </c>
      <c r="J2903" s="0" t="n">
        <f aca="true">CRITBINOM($C2903,MIN(0.75,Matchup!$C$39*$B2903),RAND())</f>
        <v>4</v>
      </c>
      <c r="K2903" s="0" t="n">
        <f aca="true">CRITBINOM(J2903,Coefficients!$B$30,RAND())</f>
        <v>0</v>
      </c>
      <c r="L2903" s="0" t="n">
        <f aca="true">CRITBINOM(K2903,Coefficients!$B$31,RAND())</f>
        <v>0</v>
      </c>
      <c r="M2903" s="0" t="n">
        <f aca="true">CRITBINOM(MAX(0,J2903-K2903),1-Coefficients!$B$32,RAND())</f>
        <v>0</v>
      </c>
      <c r="N2903" s="0" t="n">
        <f aca="true">CRITBINOM(MAX(0,$C2903-J2903),MIN(0.6,Matchup!$C$40*SQRT($B2903)/(1-MIN(0.75,Matchup!$C$39*$B2903))),RAND())</f>
        <v>0</v>
      </c>
      <c r="O2903" s="0" t="n">
        <f aca="false">6*J2903+(J2903-K2903-M2903)+2*L2903+3*N2903</f>
        <v>28</v>
      </c>
      <c r="P2903" s="0" t="n">
        <f aca="true">RAND()</f>
        <v>0.818432656523805</v>
      </c>
      <c r="Q2903" s="0" t="n">
        <f aca="true">RAND()</f>
        <v>0.59383423647959</v>
      </c>
      <c r="R2903" s="0" t="n">
        <f aca="false">IF($I2903&lt;&gt;$O2903,0,IF(P2903&lt;Matchup!$B$39,7,IF(P2903&lt;Matchup!$B$39+Matchup!$B$40,3,0)))</f>
        <v>0</v>
      </c>
      <c r="S2903" s="0" t="n">
        <f aca="false">IF($I2903&lt;&gt;$O2903,0,IF(Q2903&lt;Matchup!$C$39,7,IF(Q2903&lt;Matchup!$C$39+Matchup!$C$40,3,0)))</f>
        <v>0</v>
      </c>
      <c r="T2903" s="0" t="n">
        <f aca="false">I2903+R2903</f>
        <v>41</v>
      </c>
      <c r="U2903" s="0" t="n">
        <f aca="false">O2903+S2903</f>
        <v>28</v>
      </c>
      <c r="V2903" s="0" t="n">
        <f aca="false">T2903-U2903</f>
        <v>13</v>
      </c>
      <c r="W2903" s="0" t="n">
        <f aca="false">T2903+U2903</f>
        <v>69</v>
      </c>
    </row>
    <row r="2904" customFormat="false" ht="15" hidden="false" customHeight="false" outlineLevel="0" collapsed="false">
      <c r="A2904" s="0" t="n">
        <v>2901</v>
      </c>
      <c r="B2904" s="0" t="n">
        <f aca="true">NORMINV(RAND(),1,Coefficients!$B$22)</f>
        <v>1.0371186151534</v>
      </c>
      <c r="C2904" s="0" t="n">
        <f aca="true">MEDIAN(8,16,ROUND(NORMINV(RAND(),Coefficients!$B$20,Coefficients!$B$21),0))</f>
        <v>13</v>
      </c>
      <c r="D2904" s="0" t="n">
        <f aca="true">CRITBINOM($C2904,MIN(0.75,Matchup!$B$39*$B2904),RAND())</f>
        <v>0</v>
      </c>
      <c r="E2904" s="0" t="n">
        <f aca="true">CRITBINOM(D2904,Coefficients!$B$30,RAND())</f>
        <v>0</v>
      </c>
      <c r="F2904" s="0" t="n">
        <f aca="true">CRITBINOM(E2904,Coefficients!$B$31,RAND())</f>
        <v>0</v>
      </c>
      <c r="G2904" s="0" t="n">
        <f aca="true">CRITBINOM(MAX(0,D2904-E2904),1-Coefficients!$B$32,RAND())</f>
        <v>0</v>
      </c>
      <c r="H2904" s="0" t="n">
        <f aca="true">CRITBINOM(MAX(0,$C2904-D2904),MIN(0.6,Matchup!$B$40*SQRT($B2904)/(1-MIN(0.75,Matchup!$B$39*$B2904))),RAND())</f>
        <v>3</v>
      </c>
      <c r="I2904" s="0" t="n">
        <f aca="false">6*D2904+(D2904-E2904-G2904)+2*F2904+3*H2904</f>
        <v>9</v>
      </c>
      <c r="J2904" s="0" t="n">
        <f aca="true">CRITBINOM($C2904,MIN(0.75,Matchup!$C$39*$B2904),RAND())</f>
        <v>3</v>
      </c>
      <c r="K2904" s="0" t="n">
        <f aca="true">CRITBINOM(J2904,Coefficients!$B$30,RAND())</f>
        <v>0</v>
      </c>
      <c r="L2904" s="0" t="n">
        <f aca="true">CRITBINOM(K2904,Coefficients!$B$31,RAND())</f>
        <v>0</v>
      </c>
      <c r="M2904" s="0" t="n">
        <f aca="true">CRITBINOM(MAX(0,J2904-K2904),1-Coefficients!$B$32,RAND())</f>
        <v>1</v>
      </c>
      <c r="N2904" s="0" t="n">
        <f aca="true">CRITBINOM(MAX(0,$C2904-J2904),MIN(0.6,Matchup!$C$40*SQRT($B2904)/(1-MIN(0.75,Matchup!$C$39*$B2904))),RAND())</f>
        <v>1</v>
      </c>
      <c r="O2904" s="0" t="n">
        <f aca="false">6*J2904+(J2904-K2904-M2904)+2*L2904+3*N2904</f>
        <v>23</v>
      </c>
      <c r="P2904" s="0" t="n">
        <f aca="true">RAND()</f>
        <v>0.878491425278904</v>
      </c>
      <c r="Q2904" s="0" t="n">
        <f aca="true">RAND()</f>
        <v>0.84406643207743</v>
      </c>
      <c r="R2904" s="0" t="n">
        <f aca="false">IF($I2904&lt;&gt;$O2904,0,IF(P2904&lt;Matchup!$B$39,7,IF(P2904&lt;Matchup!$B$39+Matchup!$B$40,3,0)))</f>
        <v>0</v>
      </c>
      <c r="S2904" s="0" t="n">
        <f aca="false">IF($I2904&lt;&gt;$O2904,0,IF(Q2904&lt;Matchup!$C$39,7,IF(Q2904&lt;Matchup!$C$39+Matchup!$C$40,3,0)))</f>
        <v>0</v>
      </c>
      <c r="T2904" s="0" t="n">
        <f aca="false">I2904+R2904</f>
        <v>9</v>
      </c>
      <c r="U2904" s="0" t="n">
        <f aca="false">O2904+S2904</f>
        <v>23</v>
      </c>
      <c r="V2904" s="0" t="n">
        <f aca="false">T2904-U2904</f>
        <v>-14</v>
      </c>
      <c r="W2904" s="0" t="n">
        <f aca="false">T2904+U2904</f>
        <v>32</v>
      </c>
    </row>
    <row r="2905" customFormat="false" ht="15" hidden="false" customHeight="false" outlineLevel="0" collapsed="false">
      <c r="A2905" s="0" t="n">
        <v>2902</v>
      </c>
      <c r="B2905" s="0" t="n">
        <f aca="true">NORMINV(RAND(),1,Coefficients!$B$22)</f>
        <v>0.886374473679104</v>
      </c>
      <c r="C2905" s="0" t="n">
        <f aca="true">MEDIAN(8,16,ROUND(NORMINV(RAND(),Coefficients!$B$20,Coefficients!$B$21),0))</f>
        <v>12</v>
      </c>
      <c r="D2905" s="0" t="n">
        <f aca="true">CRITBINOM($C2905,MIN(0.75,Matchup!$B$39*$B2905),RAND())</f>
        <v>1</v>
      </c>
      <c r="E2905" s="0" t="n">
        <f aca="true">CRITBINOM(D2905,Coefficients!$B$30,RAND())</f>
        <v>0</v>
      </c>
      <c r="F2905" s="0" t="n">
        <f aca="true">CRITBINOM(E2905,Coefficients!$B$31,RAND())</f>
        <v>0</v>
      </c>
      <c r="G2905" s="0" t="n">
        <f aca="true">CRITBINOM(MAX(0,D2905-E2905),1-Coefficients!$B$32,RAND())</f>
        <v>0</v>
      </c>
      <c r="H2905" s="0" t="n">
        <f aca="true">CRITBINOM(MAX(0,$C2905-D2905),MIN(0.6,Matchup!$B$40*SQRT($B2905)/(1-MIN(0.75,Matchup!$B$39*$B2905))),RAND())</f>
        <v>0</v>
      </c>
      <c r="I2905" s="0" t="n">
        <f aca="false">6*D2905+(D2905-E2905-G2905)+2*F2905+3*H2905</f>
        <v>7</v>
      </c>
      <c r="J2905" s="0" t="n">
        <f aca="true">CRITBINOM($C2905,MIN(0.75,Matchup!$C$39*$B2905),RAND())</f>
        <v>4</v>
      </c>
      <c r="K2905" s="0" t="n">
        <f aca="true">CRITBINOM(J2905,Coefficients!$B$30,RAND())</f>
        <v>1</v>
      </c>
      <c r="L2905" s="0" t="n">
        <f aca="true">CRITBINOM(K2905,Coefficients!$B$31,RAND())</f>
        <v>0</v>
      </c>
      <c r="M2905" s="0" t="n">
        <f aca="true">CRITBINOM(MAX(0,J2905-K2905),1-Coefficients!$B$32,RAND())</f>
        <v>0</v>
      </c>
      <c r="N2905" s="0" t="n">
        <f aca="true">CRITBINOM(MAX(0,$C2905-J2905),MIN(0.6,Matchup!$C$40*SQRT($B2905)/(1-MIN(0.75,Matchup!$C$39*$B2905))),RAND())</f>
        <v>2</v>
      </c>
      <c r="O2905" s="0" t="n">
        <f aca="false">6*J2905+(J2905-K2905-M2905)+2*L2905+3*N2905</f>
        <v>33</v>
      </c>
      <c r="P2905" s="0" t="n">
        <f aca="true">RAND()</f>
        <v>0.156152894588042</v>
      </c>
      <c r="Q2905" s="0" t="n">
        <f aca="true">RAND()</f>
        <v>0.960302158317881</v>
      </c>
      <c r="R2905" s="0" t="n">
        <f aca="false">IF($I2905&lt;&gt;$O2905,0,IF(P2905&lt;Matchup!$B$39,7,IF(P2905&lt;Matchup!$B$39+Matchup!$B$40,3,0)))</f>
        <v>0</v>
      </c>
      <c r="S2905" s="0" t="n">
        <f aca="false">IF($I2905&lt;&gt;$O2905,0,IF(Q2905&lt;Matchup!$C$39,7,IF(Q2905&lt;Matchup!$C$39+Matchup!$C$40,3,0)))</f>
        <v>0</v>
      </c>
      <c r="T2905" s="0" t="n">
        <f aca="false">I2905+R2905</f>
        <v>7</v>
      </c>
      <c r="U2905" s="0" t="n">
        <f aca="false">O2905+S2905</f>
        <v>33</v>
      </c>
      <c r="V2905" s="0" t="n">
        <f aca="false">T2905-U2905</f>
        <v>-26</v>
      </c>
      <c r="W2905" s="0" t="n">
        <f aca="false">T2905+U2905</f>
        <v>40</v>
      </c>
    </row>
    <row r="2906" customFormat="false" ht="15" hidden="false" customHeight="false" outlineLevel="0" collapsed="false">
      <c r="A2906" s="0" t="n">
        <v>2903</v>
      </c>
      <c r="B2906" s="0" t="n">
        <f aca="true">NORMINV(RAND(),1,Coefficients!$B$22)</f>
        <v>0.933568059769458</v>
      </c>
      <c r="C2906" s="0" t="n">
        <f aca="true">MEDIAN(8,16,ROUND(NORMINV(RAND(),Coefficients!$B$20,Coefficients!$B$21),0))</f>
        <v>9</v>
      </c>
      <c r="D2906" s="0" t="n">
        <f aca="true">CRITBINOM($C2906,MIN(0.75,Matchup!$B$39*$B2906),RAND())</f>
        <v>3</v>
      </c>
      <c r="E2906" s="0" t="n">
        <f aca="true">CRITBINOM(D2906,Coefficients!$B$30,RAND())</f>
        <v>1</v>
      </c>
      <c r="F2906" s="0" t="n">
        <f aca="true">CRITBINOM(E2906,Coefficients!$B$31,RAND())</f>
        <v>1</v>
      </c>
      <c r="G2906" s="0" t="n">
        <f aca="true">CRITBINOM(MAX(0,D2906-E2906),1-Coefficients!$B$32,RAND())</f>
        <v>1</v>
      </c>
      <c r="H2906" s="0" t="n">
        <f aca="true">CRITBINOM(MAX(0,$C2906-D2906),MIN(0.6,Matchup!$B$40*SQRT($B2906)/(1-MIN(0.75,Matchup!$B$39*$B2906))),RAND())</f>
        <v>0</v>
      </c>
      <c r="I2906" s="0" t="n">
        <f aca="false">6*D2906+(D2906-E2906-G2906)+2*F2906+3*H2906</f>
        <v>21</v>
      </c>
      <c r="J2906" s="0" t="n">
        <f aca="true">CRITBINOM($C2906,MIN(0.75,Matchup!$C$39*$B2906),RAND())</f>
        <v>1</v>
      </c>
      <c r="K2906" s="0" t="n">
        <f aca="true">CRITBINOM(J2906,Coefficients!$B$30,RAND())</f>
        <v>0</v>
      </c>
      <c r="L2906" s="0" t="n">
        <f aca="true">CRITBINOM(K2906,Coefficients!$B$31,RAND())</f>
        <v>0</v>
      </c>
      <c r="M2906" s="0" t="n">
        <f aca="true">CRITBINOM(MAX(0,J2906-K2906),1-Coefficients!$B$32,RAND())</f>
        <v>0</v>
      </c>
      <c r="N2906" s="0" t="n">
        <f aca="true">CRITBINOM(MAX(0,$C2906-J2906),MIN(0.6,Matchup!$C$40*SQRT($B2906)/(1-MIN(0.75,Matchup!$C$39*$B2906))),RAND())</f>
        <v>2</v>
      </c>
      <c r="O2906" s="0" t="n">
        <f aca="false">6*J2906+(J2906-K2906-M2906)+2*L2906+3*N2906</f>
        <v>13</v>
      </c>
      <c r="P2906" s="0" t="n">
        <f aca="true">RAND()</f>
        <v>0.360557375649065</v>
      </c>
      <c r="Q2906" s="0" t="n">
        <f aca="true">RAND()</f>
        <v>0.309189741355279</v>
      </c>
      <c r="R2906" s="0" t="n">
        <f aca="false">IF($I2906&lt;&gt;$O2906,0,IF(P2906&lt;Matchup!$B$39,7,IF(P2906&lt;Matchup!$B$39+Matchup!$B$40,3,0)))</f>
        <v>0</v>
      </c>
      <c r="S2906" s="0" t="n">
        <f aca="false">IF($I2906&lt;&gt;$O2906,0,IF(Q2906&lt;Matchup!$C$39,7,IF(Q2906&lt;Matchup!$C$39+Matchup!$C$40,3,0)))</f>
        <v>0</v>
      </c>
      <c r="T2906" s="0" t="n">
        <f aca="false">I2906+R2906</f>
        <v>21</v>
      </c>
      <c r="U2906" s="0" t="n">
        <f aca="false">O2906+S2906</f>
        <v>13</v>
      </c>
      <c r="V2906" s="0" t="n">
        <f aca="false">T2906-U2906</f>
        <v>8</v>
      </c>
      <c r="W2906" s="0" t="n">
        <f aca="false">T2906+U2906</f>
        <v>34</v>
      </c>
    </row>
    <row r="2907" customFormat="false" ht="15" hidden="false" customHeight="false" outlineLevel="0" collapsed="false">
      <c r="A2907" s="0" t="n">
        <v>2904</v>
      </c>
      <c r="B2907" s="0" t="n">
        <f aca="true">NORMINV(RAND(),1,Coefficients!$B$22)</f>
        <v>0.978632753740731</v>
      </c>
      <c r="C2907" s="0" t="n">
        <f aca="true">MEDIAN(8,16,ROUND(NORMINV(RAND(),Coefficients!$B$20,Coefficients!$B$21),0))</f>
        <v>12</v>
      </c>
      <c r="D2907" s="0" t="n">
        <f aca="true">CRITBINOM($C2907,MIN(0.75,Matchup!$B$39*$B2907),RAND())</f>
        <v>5</v>
      </c>
      <c r="E2907" s="0" t="n">
        <f aca="true">CRITBINOM(D2907,Coefficients!$B$30,RAND())</f>
        <v>0</v>
      </c>
      <c r="F2907" s="0" t="n">
        <f aca="true">CRITBINOM(E2907,Coefficients!$B$31,RAND())</f>
        <v>0</v>
      </c>
      <c r="G2907" s="0" t="n">
        <f aca="true">CRITBINOM(MAX(0,D2907-E2907),1-Coefficients!$B$32,RAND())</f>
        <v>0</v>
      </c>
      <c r="H2907" s="0" t="n">
        <f aca="true">CRITBINOM(MAX(0,$C2907-D2907),MIN(0.6,Matchup!$B$40*SQRT($B2907)/(1-MIN(0.75,Matchup!$B$39*$B2907))),RAND())</f>
        <v>3</v>
      </c>
      <c r="I2907" s="0" t="n">
        <f aca="false">6*D2907+(D2907-E2907-G2907)+2*F2907+3*H2907</f>
        <v>44</v>
      </c>
      <c r="J2907" s="0" t="n">
        <f aca="true">CRITBINOM($C2907,MIN(0.75,Matchup!$C$39*$B2907),RAND())</f>
        <v>2</v>
      </c>
      <c r="K2907" s="0" t="n">
        <f aca="true">CRITBINOM(J2907,Coefficients!$B$30,RAND())</f>
        <v>0</v>
      </c>
      <c r="L2907" s="0" t="n">
        <f aca="true">CRITBINOM(K2907,Coefficients!$B$31,RAND())</f>
        <v>0</v>
      </c>
      <c r="M2907" s="0" t="n">
        <f aca="true">CRITBINOM(MAX(0,J2907-K2907),1-Coefficients!$B$32,RAND())</f>
        <v>0</v>
      </c>
      <c r="N2907" s="0" t="n">
        <f aca="true">CRITBINOM(MAX(0,$C2907-J2907),MIN(0.6,Matchup!$C$40*SQRT($B2907)/(1-MIN(0.75,Matchup!$C$39*$B2907))),RAND())</f>
        <v>1</v>
      </c>
      <c r="O2907" s="0" t="n">
        <f aca="false">6*J2907+(J2907-K2907-M2907)+2*L2907+3*N2907</f>
        <v>17</v>
      </c>
      <c r="P2907" s="0" t="n">
        <f aca="true">RAND()</f>
        <v>0.927142446021057</v>
      </c>
      <c r="Q2907" s="0" t="n">
        <f aca="true">RAND()</f>
        <v>0.321358596426395</v>
      </c>
      <c r="R2907" s="0" t="n">
        <f aca="false">IF($I2907&lt;&gt;$O2907,0,IF(P2907&lt;Matchup!$B$39,7,IF(P2907&lt;Matchup!$B$39+Matchup!$B$40,3,0)))</f>
        <v>0</v>
      </c>
      <c r="S2907" s="0" t="n">
        <f aca="false">IF($I2907&lt;&gt;$O2907,0,IF(Q2907&lt;Matchup!$C$39,7,IF(Q2907&lt;Matchup!$C$39+Matchup!$C$40,3,0)))</f>
        <v>0</v>
      </c>
      <c r="T2907" s="0" t="n">
        <f aca="false">I2907+R2907</f>
        <v>44</v>
      </c>
      <c r="U2907" s="0" t="n">
        <f aca="false">O2907+S2907</f>
        <v>17</v>
      </c>
      <c r="V2907" s="0" t="n">
        <f aca="false">T2907-U2907</f>
        <v>27</v>
      </c>
      <c r="W2907" s="0" t="n">
        <f aca="false">T2907+U2907</f>
        <v>61</v>
      </c>
    </row>
    <row r="2908" customFormat="false" ht="15" hidden="false" customHeight="false" outlineLevel="0" collapsed="false">
      <c r="A2908" s="0" t="n">
        <v>2905</v>
      </c>
      <c r="B2908" s="0" t="n">
        <f aca="true">NORMINV(RAND(),1,Coefficients!$B$22)</f>
        <v>1.01543882730742</v>
      </c>
      <c r="C2908" s="0" t="n">
        <f aca="true">MEDIAN(8,16,ROUND(NORMINV(RAND(),Coefficients!$B$20,Coefficients!$B$21),0))</f>
        <v>12</v>
      </c>
      <c r="D2908" s="0" t="n">
        <f aca="true">CRITBINOM($C2908,MIN(0.75,Matchup!$B$39*$B2908),RAND())</f>
        <v>2</v>
      </c>
      <c r="E2908" s="0" t="n">
        <f aca="true">CRITBINOM(D2908,Coefficients!$B$30,RAND())</f>
        <v>0</v>
      </c>
      <c r="F2908" s="0" t="n">
        <f aca="true">CRITBINOM(E2908,Coefficients!$B$31,RAND())</f>
        <v>0</v>
      </c>
      <c r="G2908" s="0" t="n">
        <f aca="true">CRITBINOM(MAX(0,D2908-E2908),1-Coefficients!$B$32,RAND())</f>
        <v>0</v>
      </c>
      <c r="H2908" s="0" t="n">
        <f aca="true">CRITBINOM(MAX(0,$C2908-D2908),MIN(0.6,Matchup!$B$40*SQRT($B2908)/(1-MIN(0.75,Matchup!$B$39*$B2908))),RAND())</f>
        <v>3</v>
      </c>
      <c r="I2908" s="0" t="n">
        <f aca="false">6*D2908+(D2908-E2908-G2908)+2*F2908+3*H2908</f>
        <v>23</v>
      </c>
      <c r="J2908" s="0" t="n">
        <f aca="true">CRITBINOM($C2908,MIN(0.75,Matchup!$C$39*$B2908),RAND())</f>
        <v>2</v>
      </c>
      <c r="K2908" s="0" t="n">
        <f aca="true">CRITBINOM(J2908,Coefficients!$B$30,RAND())</f>
        <v>0</v>
      </c>
      <c r="L2908" s="0" t="n">
        <f aca="true">CRITBINOM(K2908,Coefficients!$B$31,RAND())</f>
        <v>0</v>
      </c>
      <c r="M2908" s="0" t="n">
        <f aca="true">CRITBINOM(MAX(0,J2908-K2908),1-Coefficients!$B$32,RAND())</f>
        <v>0</v>
      </c>
      <c r="N2908" s="0" t="n">
        <f aca="true">CRITBINOM(MAX(0,$C2908-J2908),MIN(0.6,Matchup!$C$40*SQRT($B2908)/(1-MIN(0.75,Matchup!$C$39*$B2908))),RAND())</f>
        <v>2</v>
      </c>
      <c r="O2908" s="0" t="n">
        <f aca="false">6*J2908+(J2908-K2908-M2908)+2*L2908+3*N2908</f>
        <v>20</v>
      </c>
      <c r="P2908" s="0" t="n">
        <f aca="true">RAND()</f>
        <v>0.911046167745356</v>
      </c>
      <c r="Q2908" s="0" t="n">
        <f aca="true">RAND()</f>
        <v>0.882766289808631</v>
      </c>
      <c r="R2908" s="0" t="n">
        <f aca="false">IF($I2908&lt;&gt;$O2908,0,IF(P2908&lt;Matchup!$B$39,7,IF(P2908&lt;Matchup!$B$39+Matchup!$B$40,3,0)))</f>
        <v>0</v>
      </c>
      <c r="S2908" s="0" t="n">
        <f aca="false">IF($I2908&lt;&gt;$O2908,0,IF(Q2908&lt;Matchup!$C$39,7,IF(Q2908&lt;Matchup!$C$39+Matchup!$C$40,3,0)))</f>
        <v>0</v>
      </c>
      <c r="T2908" s="0" t="n">
        <f aca="false">I2908+R2908</f>
        <v>23</v>
      </c>
      <c r="U2908" s="0" t="n">
        <f aca="false">O2908+S2908</f>
        <v>20</v>
      </c>
      <c r="V2908" s="0" t="n">
        <f aca="false">T2908-U2908</f>
        <v>3</v>
      </c>
      <c r="W2908" s="0" t="n">
        <f aca="false">T2908+U2908</f>
        <v>43</v>
      </c>
    </row>
    <row r="2909" customFormat="false" ht="15" hidden="false" customHeight="false" outlineLevel="0" collapsed="false">
      <c r="A2909" s="0" t="n">
        <v>2906</v>
      </c>
      <c r="B2909" s="0" t="n">
        <f aca="true">NORMINV(RAND(),1,Coefficients!$B$22)</f>
        <v>0.944038083300314</v>
      </c>
      <c r="C2909" s="0" t="n">
        <f aca="true">MEDIAN(8,16,ROUND(NORMINV(RAND(),Coefficients!$B$20,Coefficients!$B$21),0))</f>
        <v>13</v>
      </c>
      <c r="D2909" s="0" t="n">
        <f aca="true">CRITBINOM($C2909,MIN(0.75,Matchup!$B$39*$B2909),RAND())</f>
        <v>2</v>
      </c>
      <c r="E2909" s="0" t="n">
        <f aca="true">CRITBINOM(D2909,Coefficients!$B$30,RAND())</f>
        <v>0</v>
      </c>
      <c r="F2909" s="0" t="n">
        <f aca="true">CRITBINOM(E2909,Coefficients!$B$31,RAND())</f>
        <v>0</v>
      </c>
      <c r="G2909" s="0" t="n">
        <f aca="true">CRITBINOM(MAX(0,D2909-E2909),1-Coefficients!$B$32,RAND())</f>
        <v>0</v>
      </c>
      <c r="H2909" s="0" t="n">
        <f aca="true">CRITBINOM(MAX(0,$C2909-D2909),MIN(0.6,Matchup!$B$40*SQRT($B2909)/(1-MIN(0.75,Matchup!$B$39*$B2909))),RAND())</f>
        <v>2</v>
      </c>
      <c r="I2909" s="0" t="n">
        <f aca="false">6*D2909+(D2909-E2909-G2909)+2*F2909+3*H2909</f>
        <v>20</v>
      </c>
      <c r="J2909" s="0" t="n">
        <f aca="true">CRITBINOM($C2909,MIN(0.75,Matchup!$C$39*$B2909),RAND())</f>
        <v>4</v>
      </c>
      <c r="K2909" s="0" t="n">
        <f aca="true">CRITBINOM(J2909,Coefficients!$B$30,RAND())</f>
        <v>0</v>
      </c>
      <c r="L2909" s="0" t="n">
        <f aca="true">CRITBINOM(K2909,Coefficients!$B$31,RAND())</f>
        <v>0</v>
      </c>
      <c r="M2909" s="0" t="n">
        <f aca="true">CRITBINOM(MAX(0,J2909-K2909),1-Coefficients!$B$32,RAND())</f>
        <v>0</v>
      </c>
      <c r="N2909" s="0" t="n">
        <f aca="true">CRITBINOM(MAX(0,$C2909-J2909),MIN(0.6,Matchup!$C$40*SQRT($B2909)/(1-MIN(0.75,Matchup!$C$39*$B2909))),RAND())</f>
        <v>2</v>
      </c>
      <c r="O2909" s="0" t="n">
        <f aca="false">6*J2909+(J2909-K2909-M2909)+2*L2909+3*N2909</f>
        <v>34</v>
      </c>
      <c r="P2909" s="0" t="n">
        <f aca="true">RAND()</f>
        <v>0.283144326606451</v>
      </c>
      <c r="Q2909" s="0" t="n">
        <f aca="true">RAND()</f>
        <v>0.718804605845234</v>
      </c>
      <c r="R2909" s="0" t="n">
        <f aca="false">IF($I2909&lt;&gt;$O2909,0,IF(P2909&lt;Matchup!$B$39,7,IF(P2909&lt;Matchup!$B$39+Matchup!$B$40,3,0)))</f>
        <v>0</v>
      </c>
      <c r="S2909" s="0" t="n">
        <f aca="false">IF($I2909&lt;&gt;$O2909,0,IF(Q2909&lt;Matchup!$C$39,7,IF(Q2909&lt;Matchup!$C$39+Matchup!$C$40,3,0)))</f>
        <v>0</v>
      </c>
      <c r="T2909" s="0" t="n">
        <f aca="false">I2909+R2909</f>
        <v>20</v>
      </c>
      <c r="U2909" s="0" t="n">
        <f aca="false">O2909+S2909</f>
        <v>34</v>
      </c>
      <c r="V2909" s="0" t="n">
        <f aca="false">T2909-U2909</f>
        <v>-14</v>
      </c>
      <c r="W2909" s="0" t="n">
        <f aca="false">T2909+U2909</f>
        <v>54</v>
      </c>
    </row>
    <row r="2910" customFormat="false" ht="15" hidden="false" customHeight="false" outlineLevel="0" collapsed="false">
      <c r="A2910" s="0" t="n">
        <v>2907</v>
      </c>
      <c r="B2910" s="0" t="n">
        <f aca="true">NORMINV(RAND(),1,Coefficients!$B$22)</f>
        <v>1.02374966701882</v>
      </c>
      <c r="C2910" s="0" t="n">
        <f aca="true">MEDIAN(8,16,ROUND(NORMINV(RAND(),Coefficients!$B$20,Coefficients!$B$21),0))</f>
        <v>13</v>
      </c>
      <c r="D2910" s="0" t="n">
        <f aca="true">CRITBINOM($C2910,MIN(0.75,Matchup!$B$39*$B2910),RAND())</f>
        <v>1</v>
      </c>
      <c r="E2910" s="0" t="n">
        <f aca="true">CRITBINOM(D2910,Coefficients!$B$30,RAND())</f>
        <v>0</v>
      </c>
      <c r="F2910" s="0" t="n">
        <f aca="true">CRITBINOM(E2910,Coefficients!$B$31,RAND())</f>
        <v>0</v>
      </c>
      <c r="G2910" s="0" t="n">
        <f aca="true">CRITBINOM(MAX(0,D2910-E2910),1-Coefficients!$B$32,RAND())</f>
        <v>0</v>
      </c>
      <c r="H2910" s="0" t="n">
        <f aca="true">CRITBINOM(MAX(0,$C2910-D2910),MIN(0.6,Matchup!$B$40*SQRT($B2910)/(1-MIN(0.75,Matchup!$B$39*$B2910))),RAND())</f>
        <v>0</v>
      </c>
      <c r="I2910" s="0" t="n">
        <f aca="false">6*D2910+(D2910-E2910-G2910)+2*F2910+3*H2910</f>
        <v>7</v>
      </c>
      <c r="J2910" s="0" t="n">
        <f aca="true">CRITBINOM($C2910,MIN(0.75,Matchup!$C$39*$B2910),RAND())</f>
        <v>6</v>
      </c>
      <c r="K2910" s="0" t="n">
        <f aca="true">CRITBINOM(J2910,Coefficients!$B$30,RAND())</f>
        <v>2</v>
      </c>
      <c r="L2910" s="0" t="n">
        <f aca="true">CRITBINOM(K2910,Coefficients!$B$31,RAND())</f>
        <v>1</v>
      </c>
      <c r="M2910" s="0" t="n">
        <f aca="true">CRITBINOM(MAX(0,J2910-K2910),1-Coefficients!$B$32,RAND())</f>
        <v>0</v>
      </c>
      <c r="N2910" s="0" t="n">
        <f aca="true">CRITBINOM(MAX(0,$C2910-J2910),MIN(0.6,Matchup!$C$40*SQRT($B2910)/(1-MIN(0.75,Matchup!$C$39*$B2910))),RAND())</f>
        <v>1</v>
      </c>
      <c r="O2910" s="0" t="n">
        <f aca="false">6*J2910+(J2910-K2910-M2910)+2*L2910+3*N2910</f>
        <v>45</v>
      </c>
      <c r="P2910" s="0" t="n">
        <f aca="true">RAND()</f>
        <v>0.828864802845924</v>
      </c>
      <c r="Q2910" s="0" t="n">
        <f aca="true">RAND()</f>
        <v>0.554992911879365</v>
      </c>
      <c r="R2910" s="0" t="n">
        <f aca="false">IF($I2910&lt;&gt;$O2910,0,IF(P2910&lt;Matchup!$B$39,7,IF(P2910&lt;Matchup!$B$39+Matchup!$B$40,3,0)))</f>
        <v>0</v>
      </c>
      <c r="S2910" s="0" t="n">
        <f aca="false">IF($I2910&lt;&gt;$O2910,0,IF(Q2910&lt;Matchup!$C$39,7,IF(Q2910&lt;Matchup!$C$39+Matchup!$C$40,3,0)))</f>
        <v>0</v>
      </c>
      <c r="T2910" s="0" t="n">
        <f aca="false">I2910+R2910</f>
        <v>7</v>
      </c>
      <c r="U2910" s="0" t="n">
        <f aca="false">O2910+S2910</f>
        <v>45</v>
      </c>
      <c r="V2910" s="0" t="n">
        <f aca="false">T2910-U2910</f>
        <v>-38</v>
      </c>
      <c r="W2910" s="0" t="n">
        <f aca="false">T2910+U2910</f>
        <v>52</v>
      </c>
    </row>
    <row r="2911" customFormat="false" ht="15" hidden="false" customHeight="false" outlineLevel="0" collapsed="false">
      <c r="A2911" s="0" t="n">
        <v>2908</v>
      </c>
      <c r="B2911" s="0" t="n">
        <f aca="true">NORMINV(RAND(),1,Coefficients!$B$22)</f>
        <v>0.901031551842766</v>
      </c>
      <c r="C2911" s="0" t="n">
        <f aca="true">MEDIAN(8,16,ROUND(NORMINV(RAND(),Coefficients!$B$20,Coefficients!$B$21),0))</f>
        <v>13</v>
      </c>
      <c r="D2911" s="0" t="n">
        <f aca="true">CRITBINOM($C2911,MIN(0.75,Matchup!$B$39*$B2911),RAND())</f>
        <v>3</v>
      </c>
      <c r="E2911" s="0" t="n">
        <f aca="true">CRITBINOM(D2911,Coefficients!$B$30,RAND())</f>
        <v>0</v>
      </c>
      <c r="F2911" s="0" t="n">
        <f aca="true">CRITBINOM(E2911,Coefficients!$B$31,RAND())</f>
        <v>0</v>
      </c>
      <c r="G2911" s="0" t="n">
        <f aca="true">CRITBINOM(MAX(0,D2911-E2911),1-Coefficients!$B$32,RAND())</f>
        <v>0</v>
      </c>
      <c r="H2911" s="0" t="n">
        <f aca="true">CRITBINOM(MAX(0,$C2911-D2911),MIN(0.6,Matchup!$B$40*SQRT($B2911)/(1-MIN(0.75,Matchup!$B$39*$B2911))),RAND())</f>
        <v>2</v>
      </c>
      <c r="I2911" s="0" t="n">
        <f aca="false">6*D2911+(D2911-E2911-G2911)+2*F2911+3*H2911</f>
        <v>27</v>
      </c>
      <c r="J2911" s="0" t="n">
        <f aca="true">CRITBINOM($C2911,MIN(0.75,Matchup!$C$39*$B2911),RAND())</f>
        <v>5</v>
      </c>
      <c r="K2911" s="0" t="n">
        <f aca="true">CRITBINOM(J2911,Coefficients!$B$30,RAND())</f>
        <v>0</v>
      </c>
      <c r="L2911" s="0" t="n">
        <f aca="true">CRITBINOM(K2911,Coefficients!$B$31,RAND())</f>
        <v>0</v>
      </c>
      <c r="M2911" s="0" t="n">
        <f aca="true">CRITBINOM(MAX(0,J2911-K2911),1-Coefficients!$B$32,RAND())</f>
        <v>1</v>
      </c>
      <c r="N2911" s="0" t="n">
        <f aca="true">CRITBINOM(MAX(0,$C2911-J2911),MIN(0.6,Matchup!$C$40*SQRT($B2911)/(1-MIN(0.75,Matchup!$C$39*$B2911))),RAND())</f>
        <v>3</v>
      </c>
      <c r="O2911" s="0" t="n">
        <f aca="false">6*J2911+(J2911-K2911-M2911)+2*L2911+3*N2911</f>
        <v>43</v>
      </c>
      <c r="P2911" s="0" t="n">
        <f aca="true">RAND()</f>
        <v>0.853587216451213</v>
      </c>
      <c r="Q2911" s="0" t="n">
        <f aca="true">RAND()</f>
        <v>0.821339880310721</v>
      </c>
      <c r="R2911" s="0" t="n">
        <f aca="false">IF($I2911&lt;&gt;$O2911,0,IF(P2911&lt;Matchup!$B$39,7,IF(P2911&lt;Matchup!$B$39+Matchup!$B$40,3,0)))</f>
        <v>0</v>
      </c>
      <c r="S2911" s="0" t="n">
        <f aca="false">IF($I2911&lt;&gt;$O2911,0,IF(Q2911&lt;Matchup!$C$39,7,IF(Q2911&lt;Matchup!$C$39+Matchup!$C$40,3,0)))</f>
        <v>0</v>
      </c>
      <c r="T2911" s="0" t="n">
        <f aca="false">I2911+R2911</f>
        <v>27</v>
      </c>
      <c r="U2911" s="0" t="n">
        <f aca="false">O2911+S2911</f>
        <v>43</v>
      </c>
      <c r="V2911" s="0" t="n">
        <f aca="false">T2911-U2911</f>
        <v>-16</v>
      </c>
      <c r="W2911" s="0" t="n">
        <f aca="false">T2911+U2911</f>
        <v>70</v>
      </c>
    </row>
    <row r="2912" customFormat="false" ht="15" hidden="false" customHeight="false" outlineLevel="0" collapsed="false">
      <c r="A2912" s="0" t="n">
        <v>2909</v>
      </c>
      <c r="B2912" s="0" t="n">
        <f aca="true">NORMINV(RAND(),1,Coefficients!$B$22)</f>
        <v>1.00339268961228</v>
      </c>
      <c r="C2912" s="0" t="n">
        <f aca="true">MEDIAN(8,16,ROUND(NORMINV(RAND(),Coefficients!$B$20,Coefficients!$B$21),0))</f>
        <v>11</v>
      </c>
      <c r="D2912" s="0" t="n">
        <f aca="true">CRITBINOM($C2912,MIN(0.75,Matchup!$B$39*$B2912),RAND())</f>
        <v>2</v>
      </c>
      <c r="E2912" s="0" t="n">
        <f aca="true">CRITBINOM(D2912,Coefficients!$B$30,RAND())</f>
        <v>0</v>
      </c>
      <c r="F2912" s="0" t="n">
        <f aca="true">CRITBINOM(E2912,Coefficients!$B$31,RAND())</f>
        <v>0</v>
      </c>
      <c r="G2912" s="0" t="n">
        <f aca="true">CRITBINOM(MAX(0,D2912-E2912),1-Coefficients!$B$32,RAND())</f>
        <v>0</v>
      </c>
      <c r="H2912" s="0" t="n">
        <f aca="true">CRITBINOM(MAX(0,$C2912-D2912),MIN(0.6,Matchup!$B$40*SQRT($B2912)/(1-MIN(0.75,Matchup!$B$39*$B2912))),RAND())</f>
        <v>1</v>
      </c>
      <c r="I2912" s="0" t="n">
        <f aca="false">6*D2912+(D2912-E2912-G2912)+2*F2912+3*H2912</f>
        <v>17</v>
      </c>
      <c r="J2912" s="0" t="n">
        <f aca="true">CRITBINOM($C2912,MIN(0.75,Matchup!$C$39*$B2912),RAND())</f>
        <v>1</v>
      </c>
      <c r="K2912" s="0" t="n">
        <f aca="true">CRITBINOM(J2912,Coefficients!$B$30,RAND())</f>
        <v>0</v>
      </c>
      <c r="L2912" s="0" t="n">
        <f aca="true">CRITBINOM(K2912,Coefficients!$B$31,RAND())</f>
        <v>0</v>
      </c>
      <c r="M2912" s="0" t="n">
        <f aca="true">CRITBINOM(MAX(0,J2912-K2912),1-Coefficients!$B$32,RAND())</f>
        <v>0</v>
      </c>
      <c r="N2912" s="0" t="n">
        <f aca="true">CRITBINOM(MAX(0,$C2912-J2912),MIN(0.6,Matchup!$C$40*SQRT($B2912)/(1-MIN(0.75,Matchup!$C$39*$B2912))),RAND())</f>
        <v>0</v>
      </c>
      <c r="O2912" s="0" t="n">
        <f aca="false">6*J2912+(J2912-K2912-M2912)+2*L2912+3*N2912</f>
        <v>7</v>
      </c>
      <c r="P2912" s="0" t="n">
        <f aca="true">RAND()</f>
        <v>0.0735929530711663</v>
      </c>
      <c r="Q2912" s="0" t="n">
        <f aca="true">RAND()</f>
        <v>0.490009108238036</v>
      </c>
      <c r="R2912" s="0" t="n">
        <f aca="false">IF($I2912&lt;&gt;$O2912,0,IF(P2912&lt;Matchup!$B$39,7,IF(P2912&lt;Matchup!$B$39+Matchup!$B$40,3,0)))</f>
        <v>0</v>
      </c>
      <c r="S2912" s="0" t="n">
        <f aca="false">IF($I2912&lt;&gt;$O2912,0,IF(Q2912&lt;Matchup!$C$39,7,IF(Q2912&lt;Matchup!$C$39+Matchup!$C$40,3,0)))</f>
        <v>0</v>
      </c>
      <c r="T2912" s="0" t="n">
        <f aca="false">I2912+R2912</f>
        <v>17</v>
      </c>
      <c r="U2912" s="0" t="n">
        <f aca="false">O2912+S2912</f>
        <v>7</v>
      </c>
      <c r="V2912" s="0" t="n">
        <f aca="false">T2912-U2912</f>
        <v>10</v>
      </c>
      <c r="W2912" s="0" t="n">
        <f aca="false">T2912+U2912</f>
        <v>24</v>
      </c>
    </row>
    <row r="2913" customFormat="false" ht="15" hidden="false" customHeight="false" outlineLevel="0" collapsed="false">
      <c r="A2913" s="0" t="n">
        <v>2910</v>
      </c>
      <c r="B2913" s="0" t="n">
        <f aca="true">NORMINV(RAND(),1,Coefficients!$B$22)</f>
        <v>0.914870743187372</v>
      </c>
      <c r="C2913" s="0" t="n">
        <f aca="true">MEDIAN(8,16,ROUND(NORMINV(RAND(),Coefficients!$B$20,Coefficients!$B$21),0))</f>
        <v>11</v>
      </c>
      <c r="D2913" s="0" t="n">
        <f aca="true">CRITBINOM($C2913,MIN(0.75,Matchup!$B$39*$B2913),RAND())</f>
        <v>5</v>
      </c>
      <c r="E2913" s="0" t="n">
        <f aca="true">CRITBINOM(D2913,Coefficients!$B$30,RAND())</f>
        <v>2</v>
      </c>
      <c r="F2913" s="0" t="n">
        <f aca="true">CRITBINOM(E2913,Coefficients!$B$31,RAND())</f>
        <v>0</v>
      </c>
      <c r="G2913" s="0" t="n">
        <f aca="true">CRITBINOM(MAX(0,D2913-E2913),1-Coefficients!$B$32,RAND())</f>
        <v>1</v>
      </c>
      <c r="H2913" s="0" t="n">
        <f aca="true">CRITBINOM(MAX(0,$C2913-D2913),MIN(0.6,Matchup!$B$40*SQRT($B2913)/(1-MIN(0.75,Matchup!$B$39*$B2913))),RAND())</f>
        <v>0</v>
      </c>
      <c r="I2913" s="0" t="n">
        <f aca="false">6*D2913+(D2913-E2913-G2913)+2*F2913+3*H2913</f>
        <v>32</v>
      </c>
      <c r="J2913" s="0" t="n">
        <f aca="true">CRITBINOM($C2913,MIN(0.75,Matchup!$C$39*$B2913),RAND())</f>
        <v>2</v>
      </c>
      <c r="K2913" s="0" t="n">
        <f aca="true">CRITBINOM(J2913,Coefficients!$B$30,RAND())</f>
        <v>0</v>
      </c>
      <c r="L2913" s="0" t="n">
        <f aca="true">CRITBINOM(K2913,Coefficients!$B$31,RAND())</f>
        <v>0</v>
      </c>
      <c r="M2913" s="0" t="n">
        <f aca="true">CRITBINOM(MAX(0,J2913-K2913),1-Coefficients!$B$32,RAND())</f>
        <v>0</v>
      </c>
      <c r="N2913" s="0" t="n">
        <f aca="true">CRITBINOM(MAX(0,$C2913-J2913),MIN(0.6,Matchup!$C$40*SQRT($B2913)/(1-MIN(0.75,Matchup!$C$39*$B2913))),RAND())</f>
        <v>2</v>
      </c>
      <c r="O2913" s="0" t="n">
        <f aca="false">6*J2913+(J2913-K2913-M2913)+2*L2913+3*N2913</f>
        <v>20</v>
      </c>
      <c r="P2913" s="0" t="n">
        <f aca="true">RAND()</f>
        <v>0.151325918347823</v>
      </c>
      <c r="Q2913" s="0" t="n">
        <f aca="true">RAND()</f>
        <v>0.623520029209054</v>
      </c>
      <c r="R2913" s="0" t="n">
        <f aca="false">IF($I2913&lt;&gt;$O2913,0,IF(P2913&lt;Matchup!$B$39,7,IF(P2913&lt;Matchup!$B$39+Matchup!$B$40,3,0)))</f>
        <v>0</v>
      </c>
      <c r="S2913" s="0" t="n">
        <f aca="false">IF($I2913&lt;&gt;$O2913,0,IF(Q2913&lt;Matchup!$C$39,7,IF(Q2913&lt;Matchup!$C$39+Matchup!$C$40,3,0)))</f>
        <v>0</v>
      </c>
      <c r="T2913" s="0" t="n">
        <f aca="false">I2913+R2913</f>
        <v>32</v>
      </c>
      <c r="U2913" s="0" t="n">
        <f aca="false">O2913+S2913</f>
        <v>20</v>
      </c>
      <c r="V2913" s="0" t="n">
        <f aca="false">T2913-U2913</f>
        <v>12</v>
      </c>
      <c r="W2913" s="0" t="n">
        <f aca="false">T2913+U2913</f>
        <v>52</v>
      </c>
    </row>
    <row r="2914" customFormat="false" ht="15" hidden="false" customHeight="false" outlineLevel="0" collapsed="false">
      <c r="A2914" s="0" t="n">
        <v>2911</v>
      </c>
      <c r="B2914" s="0" t="n">
        <f aca="true">NORMINV(RAND(),1,Coefficients!$B$22)</f>
        <v>0.937280142762162</v>
      </c>
      <c r="C2914" s="0" t="n">
        <f aca="true">MEDIAN(8,16,ROUND(NORMINV(RAND(),Coefficients!$B$20,Coefficients!$B$21),0))</f>
        <v>13</v>
      </c>
      <c r="D2914" s="0" t="n">
        <f aca="true">CRITBINOM($C2914,MIN(0.75,Matchup!$B$39*$B2914),RAND())</f>
        <v>1</v>
      </c>
      <c r="E2914" s="0" t="n">
        <f aca="true">CRITBINOM(D2914,Coefficients!$B$30,RAND())</f>
        <v>0</v>
      </c>
      <c r="F2914" s="0" t="n">
        <f aca="true">CRITBINOM(E2914,Coefficients!$B$31,RAND())</f>
        <v>0</v>
      </c>
      <c r="G2914" s="0" t="n">
        <f aca="true">CRITBINOM(MAX(0,D2914-E2914),1-Coefficients!$B$32,RAND())</f>
        <v>0</v>
      </c>
      <c r="H2914" s="0" t="n">
        <f aca="true">CRITBINOM(MAX(0,$C2914-D2914),MIN(0.6,Matchup!$B$40*SQRT($B2914)/(1-MIN(0.75,Matchup!$B$39*$B2914))),RAND())</f>
        <v>1</v>
      </c>
      <c r="I2914" s="0" t="n">
        <f aca="false">6*D2914+(D2914-E2914-G2914)+2*F2914+3*H2914</f>
        <v>10</v>
      </c>
      <c r="J2914" s="0" t="n">
        <f aca="true">CRITBINOM($C2914,MIN(0.75,Matchup!$C$39*$B2914),RAND())</f>
        <v>1</v>
      </c>
      <c r="K2914" s="0" t="n">
        <f aca="true">CRITBINOM(J2914,Coefficients!$B$30,RAND())</f>
        <v>0</v>
      </c>
      <c r="L2914" s="0" t="n">
        <f aca="true">CRITBINOM(K2914,Coefficients!$B$31,RAND())</f>
        <v>0</v>
      </c>
      <c r="M2914" s="0" t="n">
        <f aca="true">CRITBINOM(MAX(0,J2914-K2914),1-Coefficients!$B$32,RAND())</f>
        <v>0</v>
      </c>
      <c r="N2914" s="0" t="n">
        <f aca="true">CRITBINOM(MAX(0,$C2914-J2914),MIN(0.6,Matchup!$C$40*SQRT($B2914)/(1-MIN(0.75,Matchup!$C$39*$B2914))),RAND())</f>
        <v>3</v>
      </c>
      <c r="O2914" s="0" t="n">
        <f aca="false">6*J2914+(J2914-K2914-M2914)+2*L2914+3*N2914</f>
        <v>16</v>
      </c>
      <c r="P2914" s="0" t="n">
        <f aca="true">RAND()</f>
        <v>0.67063051654353</v>
      </c>
      <c r="Q2914" s="0" t="n">
        <f aca="true">RAND()</f>
        <v>0.244932783408116</v>
      </c>
      <c r="R2914" s="0" t="n">
        <f aca="false">IF($I2914&lt;&gt;$O2914,0,IF(P2914&lt;Matchup!$B$39,7,IF(P2914&lt;Matchup!$B$39+Matchup!$B$40,3,0)))</f>
        <v>0</v>
      </c>
      <c r="S2914" s="0" t="n">
        <f aca="false">IF($I2914&lt;&gt;$O2914,0,IF(Q2914&lt;Matchup!$C$39,7,IF(Q2914&lt;Matchup!$C$39+Matchup!$C$40,3,0)))</f>
        <v>0</v>
      </c>
      <c r="T2914" s="0" t="n">
        <f aca="false">I2914+R2914</f>
        <v>10</v>
      </c>
      <c r="U2914" s="0" t="n">
        <f aca="false">O2914+S2914</f>
        <v>16</v>
      </c>
      <c r="V2914" s="0" t="n">
        <f aca="false">T2914-U2914</f>
        <v>-6</v>
      </c>
      <c r="W2914" s="0" t="n">
        <f aca="false">T2914+U2914</f>
        <v>26</v>
      </c>
    </row>
    <row r="2915" customFormat="false" ht="15" hidden="false" customHeight="false" outlineLevel="0" collapsed="false">
      <c r="A2915" s="0" t="n">
        <v>2912</v>
      </c>
      <c r="B2915" s="0" t="n">
        <f aca="true">NORMINV(RAND(),1,Coefficients!$B$22)</f>
        <v>1.05132098116109</v>
      </c>
      <c r="C2915" s="0" t="n">
        <f aca="true">MEDIAN(8,16,ROUND(NORMINV(RAND(),Coefficients!$B$20,Coefficients!$B$21),0))</f>
        <v>13</v>
      </c>
      <c r="D2915" s="0" t="n">
        <f aca="true">CRITBINOM($C2915,MIN(0.75,Matchup!$B$39*$B2915),RAND())</f>
        <v>3</v>
      </c>
      <c r="E2915" s="0" t="n">
        <f aca="true">CRITBINOM(D2915,Coefficients!$B$30,RAND())</f>
        <v>1</v>
      </c>
      <c r="F2915" s="0" t="n">
        <f aca="true">CRITBINOM(E2915,Coefficients!$B$31,RAND())</f>
        <v>1</v>
      </c>
      <c r="G2915" s="0" t="n">
        <f aca="true">CRITBINOM(MAX(0,D2915-E2915),1-Coefficients!$B$32,RAND())</f>
        <v>0</v>
      </c>
      <c r="H2915" s="0" t="n">
        <f aca="true">CRITBINOM(MAX(0,$C2915-D2915),MIN(0.6,Matchup!$B$40*SQRT($B2915)/(1-MIN(0.75,Matchup!$B$39*$B2915))),RAND())</f>
        <v>1</v>
      </c>
      <c r="I2915" s="0" t="n">
        <f aca="false">6*D2915+(D2915-E2915-G2915)+2*F2915+3*H2915</f>
        <v>25</v>
      </c>
      <c r="J2915" s="0" t="n">
        <f aca="true">CRITBINOM($C2915,MIN(0.75,Matchup!$C$39*$B2915),RAND())</f>
        <v>2</v>
      </c>
      <c r="K2915" s="0" t="n">
        <f aca="true">CRITBINOM(J2915,Coefficients!$B$30,RAND())</f>
        <v>0</v>
      </c>
      <c r="L2915" s="0" t="n">
        <f aca="true">CRITBINOM(K2915,Coefficients!$B$31,RAND())</f>
        <v>0</v>
      </c>
      <c r="M2915" s="0" t="n">
        <f aca="true">CRITBINOM(MAX(0,J2915-K2915),1-Coefficients!$B$32,RAND())</f>
        <v>0</v>
      </c>
      <c r="N2915" s="0" t="n">
        <f aca="true">CRITBINOM(MAX(0,$C2915-J2915),MIN(0.6,Matchup!$C$40*SQRT($B2915)/(1-MIN(0.75,Matchup!$C$39*$B2915))),RAND())</f>
        <v>2</v>
      </c>
      <c r="O2915" s="0" t="n">
        <f aca="false">6*J2915+(J2915-K2915-M2915)+2*L2915+3*N2915</f>
        <v>20</v>
      </c>
      <c r="P2915" s="0" t="n">
        <f aca="true">RAND()</f>
        <v>0.82677395271009</v>
      </c>
      <c r="Q2915" s="0" t="n">
        <f aca="true">RAND()</f>
        <v>0.702901618780219</v>
      </c>
      <c r="R2915" s="0" t="n">
        <f aca="false">IF($I2915&lt;&gt;$O2915,0,IF(P2915&lt;Matchup!$B$39,7,IF(P2915&lt;Matchup!$B$39+Matchup!$B$40,3,0)))</f>
        <v>0</v>
      </c>
      <c r="S2915" s="0" t="n">
        <f aca="false">IF($I2915&lt;&gt;$O2915,0,IF(Q2915&lt;Matchup!$C$39,7,IF(Q2915&lt;Matchup!$C$39+Matchup!$C$40,3,0)))</f>
        <v>0</v>
      </c>
      <c r="T2915" s="0" t="n">
        <f aca="false">I2915+R2915</f>
        <v>25</v>
      </c>
      <c r="U2915" s="0" t="n">
        <f aca="false">O2915+S2915</f>
        <v>20</v>
      </c>
      <c r="V2915" s="0" t="n">
        <f aca="false">T2915-U2915</f>
        <v>5</v>
      </c>
      <c r="W2915" s="0" t="n">
        <f aca="false">T2915+U2915</f>
        <v>45</v>
      </c>
    </row>
    <row r="2916" customFormat="false" ht="15" hidden="false" customHeight="false" outlineLevel="0" collapsed="false">
      <c r="A2916" s="0" t="n">
        <v>2913</v>
      </c>
      <c r="B2916" s="0" t="n">
        <f aca="true">NORMINV(RAND(),1,Coefficients!$B$22)</f>
        <v>0.974027879455544</v>
      </c>
      <c r="C2916" s="0" t="n">
        <f aca="true">MEDIAN(8,16,ROUND(NORMINV(RAND(),Coefficients!$B$20,Coefficients!$B$21),0))</f>
        <v>11</v>
      </c>
      <c r="D2916" s="0" t="n">
        <f aca="true">CRITBINOM($C2916,MIN(0.75,Matchup!$B$39*$B2916),RAND())</f>
        <v>3</v>
      </c>
      <c r="E2916" s="0" t="n">
        <f aca="true">CRITBINOM(D2916,Coefficients!$B$30,RAND())</f>
        <v>1</v>
      </c>
      <c r="F2916" s="0" t="n">
        <f aca="true">CRITBINOM(E2916,Coefficients!$B$31,RAND())</f>
        <v>1</v>
      </c>
      <c r="G2916" s="0" t="n">
        <f aca="true">CRITBINOM(MAX(0,D2916-E2916),1-Coefficients!$B$32,RAND())</f>
        <v>0</v>
      </c>
      <c r="H2916" s="0" t="n">
        <f aca="true">CRITBINOM(MAX(0,$C2916-D2916),MIN(0.6,Matchup!$B$40*SQRT($B2916)/(1-MIN(0.75,Matchup!$B$39*$B2916))),RAND())</f>
        <v>1</v>
      </c>
      <c r="I2916" s="0" t="n">
        <f aca="false">6*D2916+(D2916-E2916-G2916)+2*F2916+3*H2916</f>
        <v>25</v>
      </c>
      <c r="J2916" s="0" t="n">
        <f aca="true">CRITBINOM($C2916,MIN(0.75,Matchup!$C$39*$B2916),RAND())</f>
        <v>2</v>
      </c>
      <c r="K2916" s="0" t="n">
        <f aca="true">CRITBINOM(J2916,Coefficients!$B$30,RAND())</f>
        <v>0</v>
      </c>
      <c r="L2916" s="0" t="n">
        <f aca="true">CRITBINOM(K2916,Coefficients!$B$31,RAND())</f>
        <v>0</v>
      </c>
      <c r="M2916" s="0" t="n">
        <f aca="true">CRITBINOM(MAX(0,J2916-K2916),1-Coefficients!$B$32,RAND())</f>
        <v>0</v>
      </c>
      <c r="N2916" s="0" t="n">
        <f aca="true">CRITBINOM(MAX(0,$C2916-J2916),MIN(0.6,Matchup!$C$40*SQRT($B2916)/(1-MIN(0.75,Matchup!$C$39*$B2916))),RAND())</f>
        <v>2</v>
      </c>
      <c r="O2916" s="0" t="n">
        <f aca="false">6*J2916+(J2916-K2916-M2916)+2*L2916+3*N2916</f>
        <v>20</v>
      </c>
      <c r="P2916" s="0" t="n">
        <f aca="true">RAND()</f>
        <v>0.860104736212706</v>
      </c>
      <c r="Q2916" s="0" t="n">
        <f aca="true">RAND()</f>
        <v>0.23924242273142</v>
      </c>
      <c r="R2916" s="0" t="n">
        <f aca="false">IF($I2916&lt;&gt;$O2916,0,IF(P2916&lt;Matchup!$B$39,7,IF(P2916&lt;Matchup!$B$39+Matchup!$B$40,3,0)))</f>
        <v>0</v>
      </c>
      <c r="S2916" s="0" t="n">
        <f aca="false">IF($I2916&lt;&gt;$O2916,0,IF(Q2916&lt;Matchup!$C$39,7,IF(Q2916&lt;Matchup!$C$39+Matchup!$C$40,3,0)))</f>
        <v>0</v>
      </c>
      <c r="T2916" s="0" t="n">
        <f aca="false">I2916+R2916</f>
        <v>25</v>
      </c>
      <c r="U2916" s="0" t="n">
        <f aca="false">O2916+S2916</f>
        <v>20</v>
      </c>
      <c r="V2916" s="0" t="n">
        <f aca="false">T2916-U2916</f>
        <v>5</v>
      </c>
      <c r="W2916" s="0" t="n">
        <f aca="false">T2916+U2916</f>
        <v>45</v>
      </c>
    </row>
    <row r="2917" customFormat="false" ht="15" hidden="false" customHeight="false" outlineLevel="0" collapsed="false">
      <c r="A2917" s="0" t="n">
        <v>2914</v>
      </c>
      <c r="B2917" s="0" t="n">
        <f aca="true">NORMINV(RAND(),1,Coefficients!$B$22)</f>
        <v>0.862173513742981</v>
      </c>
      <c r="C2917" s="0" t="n">
        <f aca="true">MEDIAN(8,16,ROUND(NORMINV(RAND(),Coefficients!$B$20,Coefficients!$B$21),0))</f>
        <v>12</v>
      </c>
      <c r="D2917" s="0" t="n">
        <f aca="true">CRITBINOM($C2917,MIN(0.75,Matchup!$B$39*$B2917),RAND())</f>
        <v>2</v>
      </c>
      <c r="E2917" s="0" t="n">
        <f aca="true">CRITBINOM(D2917,Coefficients!$B$30,RAND())</f>
        <v>0</v>
      </c>
      <c r="F2917" s="0" t="n">
        <f aca="true">CRITBINOM(E2917,Coefficients!$B$31,RAND())</f>
        <v>0</v>
      </c>
      <c r="G2917" s="0" t="n">
        <f aca="true">CRITBINOM(MAX(0,D2917-E2917),1-Coefficients!$B$32,RAND())</f>
        <v>0</v>
      </c>
      <c r="H2917" s="0" t="n">
        <f aca="true">CRITBINOM(MAX(0,$C2917-D2917),MIN(0.6,Matchup!$B$40*SQRT($B2917)/(1-MIN(0.75,Matchup!$B$39*$B2917))),RAND())</f>
        <v>1</v>
      </c>
      <c r="I2917" s="0" t="n">
        <f aca="false">6*D2917+(D2917-E2917-G2917)+2*F2917+3*H2917</f>
        <v>17</v>
      </c>
      <c r="J2917" s="0" t="n">
        <f aca="true">CRITBINOM($C2917,MIN(0.75,Matchup!$C$39*$B2917),RAND())</f>
        <v>1</v>
      </c>
      <c r="K2917" s="0" t="n">
        <f aca="true">CRITBINOM(J2917,Coefficients!$B$30,RAND())</f>
        <v>0</v>
      </c>
      <c r="L2917" s="0" t="n">
        <f aca="true">CRITBINOM(K2917,Coefficients!$B$31,RAND())</f>
        <v>0</v>
      </c>
      <c r="M2917" s="0" t="n">
        <f aca="true">CRITBINOM(MAX(0,J2917-K2917),1-Coefficients!$B$32,RAND())</f>
        <v>0</v>
      </c>
      <c r="N2917" s="0" t="n">
        <f aca="true">CRITBINOM(MAX(0,$C2917-J2917),MIN(0.6,Matchup!$C$40*SQRT($B2917)/(1-MIN(0.75,Matchup!$C$39*$B2917))),RAND())</f>
        <v>4</v>
      </c>
      <c r="O2917" s="0" t="n">
        <f aca="false">6*J2917+(J2917-K2917-M2917)+2*L2917+3*N2917</f>
        <v>19</v>
      </c>
      <c r="P2917" s="0" t="n">
        <f aca="true">RAND()</f>
        <v>0.0765342277924821</v>
      </c>
      <c r="Q2917" s="0" t="n">
        <f aca="true">RAND()</f>
        <v>0.523409347467908</v>
      </c>
      <c r="R2917" s="0" t="n">
        <f aca="false">IF($I2917&lt;&gt;$O2917,0,IF(P2917&lt;Matchup!$B$39,7,IF(P2917&lt;Matchup!$B$39+Matchup!$B$40,3,0)))</f>
        <v>0</v>
      </c>
      <c r="S2917" s="0" t="n">
        <f aca="false">IF($I2917&lt;&gt;$O2917,0,IF(Q2917&lt;Matchup!$C$39,7,IF(Q2917&lt;Matchup!$C$39+Matchup!$C$40,3,0)))</f>
        <v>0</v>
      </c>
      <c r="T2917" s="0" t="n">
        <f aca="false">I2917+R2917</f>
        <v>17</v>
      </c>
      <c r="U2917" s="0" t="n">
        <f aca="false">O2917+S2917</f>
        <v>19</v>
      </c>
      <c r="V2917" s="0" t="n">
        <f aca="false">T2917-U2917</f>
        <v>-2</v>
      </c>
      <c r="W2917" s="0" t="n">
        <f aca="false">T2917+U2917</f>
        <v>36</v>
      </c>
    </row>
    <row r="2918" customFormat="false" ht="15" hidden="false" customHeight="false" outlineLevel="0" collapsed="false">
      <c r="A2918" s="0" t="n">
        <v>2915</v>
      </c>
      <c r="B2918" s="0" t="n">
        <f aca="true">NORMINV(RAND(),1,Coefficients!$B$22)</f>
        <v>1.00955933325876</v>
      </c>
      <c r="C2918" s="0" t="n">
        <f aca="true">MEDIAN(8,16,ROUND(NORMINV(RAND(),Coefficients!$B$20,Coefficients!$B$21),0))</f>
        <v>12</v>
      </c>
      <c r="D2918" s="0" t="n">
        <f aca="true">CRITBINOM($C2918,MIN(0.75,Matchup!$B$39*$B2918),RAND())</f>
        <v>3</v>
      </c>
      <c r="E2918" s="0" t="n">
        <f aca="true">CRITBINOM(D2918,Coefficients!$B$30,RAND())</f>
        <v>1</v>
      </c>
      <c r="F2918" s="0" t="n">
        <f aca="true">CRITBINOM(E2918,Coefficients!$B$31,RAND())</f>
        <v>1</v>
      </c>
      <c r="G2918" s="0" t="n">
        <f aca="true">CRITBINOM(MAX(0,D2918-E2918),1-Coefficients!$B$32,RAND())</f>
        <v>0</v>
      </c>
      <c r="H2918" s="0" t="n">
        <f aca="true">CRITBINOM(MAX(0,$C2918-D2918),MIN(0.6,Matchup!$B$40*SQRT($B2918)/(1-MIN(0.75,Matchup!$B$39*$B2918))),RAND())</f>
        <v>2</v>
      </c>
      <c r="I2918" s="0" t="n">
        <f aca="false">6*D2918+(D2918-E2918-G2918)+2*F2918+3*H2918</f>
        <v>28</v>
      </c>
      <c r="J2918" s="0" t="n">
        <f aca="true">CRITBINOM($C2918,MIN(0.75,Matchup!$C$39*$B2918),RAND())</f>
        <v>3</v>
      </c>
      <c r="K2918" s="0" t="n">
        <f aca="true">CRITBINOM(J2918,Coefficients!$B$30,RAND())</f>
        <v>0</v>
      </c>
      <c r="L2918" s="0" t="n">
        <f aca="true">CRITBINOM(K2918,Coefficients!$B$31,RAND())</f>
        <v>0</v>
      </c>
      <c r="M2918" s="0" t="n">
        <f aca="true">CRITBINOM(MAX(0,J2918-K2918),1-Coefficients!$B$32,RAND())</f>
        <v>0</v>
      </c>
      <c r="N2918" s="0" t="n">
        <f aca="true">CRITBINOM(MAX(0,$C2918-J2918),MIN(0.6,Matchup!$C$40*SQRT($B2918)/(1-MIN(0.75,Matchup!$C$39*$B2918))),RAND())</f>
        <v>2</v>
      </c>
      <c r="O2918" s="0" t="n">
        <f aca="false">6*J2918+(J2918-K2918-M2918)+2*L2918+3*N2918</f>
        <v>27</v>
      </c>
      <c r="P2918" s="0" t="n">
        <f aca="true">RAND()</f>
        <v>0.768595865348107</v>
      </c>
      <c r="Q2918" s="0" t="n">
        <f aca="true">RAND()</f>
        <v>0.384433966562639</v>
      </c>
      <c r="R2918" s="0" t="n">
        <f aca="false">IF($I2918&lt;&gt;$O2918,0,IF(P2918&lt;Matchup!$B$39,7,IF(P2918&lt;Matchup!$B$39+Matchup!$B$40,3,0)))</f>
        <v>0</v>
      </c>
      <c r="S2918" s="0" t="n">
        <f aca="false">IF($I2918&lt;&gt;$O2918,0,IF(Q2918&lt;Matchup!$C$39,7,IF(Q2918&lt;Matchup!$C$39+Matchup!$C$40,3,0)))</f>
        <v>0</v>
      </c>
      <c r="T2918" s="0" t="n">
        <f aca="false">I2918+R2918</f>
        <v>28</v>
      </c>
      <c r="U2918" s="0" t="n">
        <f aca="false">O2918+S2918</f>
        <v>27</v>
      </c>
      <c r="V2918" s="0" t="n">
        <f aca="false">T2918-U2918</f>
        <v>1</v>
      </c>
      <c r="W2918" s="0" t="n">
        <f aca="false">T2918+U2918</f>
        <v>55</v>
      </c>
    </row>
    <row r="2919" customFormat="false" ht="15" hidden="false" customHeight="false" outlineLevel="0" collapsed="false">
      <c r="A2919" s="0" t="n">
        <v>2916</v>
      </c>
      <c r="B2919" s="0" t="n">
        <f aca="true">NORMINV(RAND(),1,Coefficients!$B$22)</f>
        <v>1.01104677227045</v>
      </c>
      <c r="C2919" s="0" t="n">
        <f aca="true">MEDIAN(8,16,ROUND(NORMINV(RAND(),Coefficients!$B$20,Coefficients!$B$21),0))</f>
        <v>9</v>
      </c>
      <c r="D2919" s="0" t="n">
        <f aca="true">CRITBINOM($C2919,MIN(0.75,Matchup!$B$39*$B2919),RAND())</f>
        <v>2</v>
      </c>
      <c r="E2919" s="0" t="n">
        <f aca="true">CRITBINOM(D2919,Coefficients!$B$30,RAND())</f>
        <v>0</v>
      </c>
      <c r="F2919" s="0" t="n">
        <f aca="true">CRITBINOM(E2919,Coefficients!$B$31,RAND())</f>
        <v>0</v>
      </c>
      <c r="G2919" s="0" t="n">
        <f aca="true">CRITBINOM(MAX(0,D2919-E2919),1-Coefficients!$B$32,RAND())</f>
        <v>1</v>
      </c>
      <c r="H2919" s="0" t="n">
        <f aca="true">CRITBINOM(MAX(0,$C2919-D2919),MIN(0.6,Matchup!$B$40*SQRT($B2919)/(1-MIN(0.75,Matchup!$B$39*$B2919))),RAND())</f>
        <v>1</v>
      </c>
      <c r="I2919" s="0" t="n">
        <f aca="false">6*D2919+(D2919-E2919-G2919)+2*F2919+3*H2919</f>
        <v>16</v>
      </c>
      <c r="J2919" s="0" t="n">
        <f aca="true">CRITBINOM($C2919,MIN(0.75,Matchup!$C$39*$B2919),RAND())</f>
        <v>2</v>
      </c>
      <c r="K2919" s="0" t="n">
        <f aca="true">CRITBINOM(J2919,Coefficients!$B$30,RAND())</f>
        <v>0</v>
      </c>
      <c r="L2919" s="0" t="n">
        <f aca="true">CRITBINOM(K2919,Coefficients!$B$31,RAND())</f>
        <v>0</v>
      </c>
      <c r="M2919" s="0" t="n">
        <f aca="true">CRITBINOM(MAX(0,J2919-K2919),1-Coefficients!$B$32,RAND())</f>
        <v>0</v>
      </c>
      <c r="N2919" s="0" t="n">
        <f aca="true">CRITBINOM(MAX(0,$C2919-J2919),MIN(0.6,Matchup!$C$40*SQRT($B2919)/(1-MIN(0.75,Matchup!$C$39*$B2919))),RAND())</f>
        <v>1</v>
      </c>
      <c r="O2919" s="0" t="n">
        <f aca="false">6*J2919+(J2919-K2919-M2919)+2*L2919+3*N2919</f>
        <v>17</v>
      </c>
      <c r="P2919" s="0" t="n">
        <f aca="true">RAND()</f>
        <v>0.874717998636665</v>
      </c>
      <c r="Q2919" s="0" t="n">
        <f aca="true">RAND()</f>
        <v>0.200420892094821</v>
      </c>
      <c r="R2919" s="0" t="n">
        <f aca="false">IF($I2919&lt;&gt;$O2919,0,IF(P2919&lt;Matchup!$B$39,7,IF(P2919&lt;Matchup!$B$39+Matchup!$B$40,3,0)))</f>
        <v>0</v>
      </c>
      <c r="S2919" s="0" t="n">
        <f aca="false">IF($I2919&lt;&gt;$O2919,0,IF(Q2919&lt;Matchup!$C$39,7,IF(Q2919&lt;Matchup!$C$39+Matchup!$C$40,3,0)))</f>
        <v>0</v>
      </c>
      <c r="T2919" s="0" t="n">
        <f aca="false">I2919+R2919</f>
        <v>16</v>
      </c>
      <c r="U2919" s="0" t="n">
        <f aca="false">O2919+S2919</f>
        <v>17</v>
      </c>
      <c r="V2919" s="0" t="n">
        <f aca="false">T2919-U2919</f>
        <v>-1</v>
      </c>
      <c r="W2919" s="0" t="n">
        <f aca="false">T2919+U2919</f>
        <v>33</v>
      </c>
    </row>
    <row r="2920" customFormat="false" ht="15" hidden="false" customHeight="false" outlineLevel="0" collapsed="false">
      <c r="A2920" s="0" t="n">
        <v>2917</v>
      </c>
      <c r="B2920" s="0" t="n">
        <f aca="true">NORMINV(RAND(),1,Coefficients!$B$22)</f>
        <v>1.03989387066444</v>
      </c>
      <c r="C2920" s="0" t="n">
        <f aca="true">MEDIAN(8,16,ROUND(NORMINV(RAND(),Coefficients!$B$20,Coefficients!$B$21),0))</f>
        <v>12</v>
      </c>
      <c r="D2920" s="0" t="n">
        <f aca="true">CRITBINOM($C2920,MIN(0.75,Matchup!$B$39*$B2920),RAND())</f>
        <v>6</v>
      </c>
      <c r="E2920" s="0" t="n">
        <f aca="true">CRITBINOM(D2920,Coefficients!$B$30,RAND())</f>
        <v>0</v>
      </c>
      <c r="F2920" s="0" t="n">
        <f aca="true">CRITBINOM(E2920,Coefficients!$B$31,RAND())</f>
        <v>0</v>
      </c>
      <c r="G2920" s="0" t="n">
        <f aca="true">CRITBINOM(MAX(0,D2920-E2920),1-Coefficients!$B$32,RAND())</f>
        <v>0</v>
      </c>
      <c r="H2920" s="0" t="n">
        <f aca="true">CRITBINOM(MAX(0,$C2920-D2920),MIN(0.6,Matchup!$B$40*SQRT($B2920)/(1-MIN(0.75,Matchup!$B$39*$B2920))),RAND())</f>
        <v>3</v>
      </c>
      <c r="I2920" s="0" t="n">
        <f aca="false">6*D2920+(D2920-E2920-G2920)+2*F2920+3*H2920</f>
        <v>51</v>
      </c>
      <c r="J2920" s="0" t="n">
        <f aca="true">CRITBINOM($C2920,MIN(0.75,Matchup!$C$39*$B2920),RAND())</f>
        <v>1</v>
      </c>
      <c r="K2920" s="0" t="n">
        <f aca="true">CRITBINOM(J2920,Coefficients!$B$30,RAND())</f>
        <v>0</v>
      </c>
      <c r="L2920" s="0" t="n">
        <f aca="true">CRITBINOM(K2920,Coefficients!$B$31,RAND())</f>
        <v>0</v>
      </c>
      <c r="M2920" s="0" t="n">
        <f aca="true">CRITBINOM(MAX(0,J2920-K2920),1-Coefficients!$B$32,RAND())</f>
        <v>0</v>
      </c>
      <c r="N2920" s="0" t="n">
        <f aca="true">CRITBINOM(MAX(0,$C2920-J2920),MIN(0.6,Matchup!$C$40*SQRT($B2920)/(1-MIN(0.75,Matchup!$C$39*$B2920))),RAND())</f>
        <v>0</v>
      </c>
      <c r="O2920" s="0" t="n">
        <f aca="false">6*J2920+(J2920-K2920-M2920)+2*L2920+3*N2920</f>
        <v>7</v>
      </c>
      <c r="P2920" s="0" t="n">
        <f aca="true">RAND()</f>
        <v>0.971768477874596</v>
      </c>
      <c r="Q2920" s="0" t="n">
        <f aca="true">RAND()</f>
        <v>0.265311295579896</v>
      </c>
      <c r="R2920" s="0" t="n">
        <f aca="false">IF($I2920&lt;&gt;$O2920,0,IF(P2920&lt;Matchup!$B$39,7,IF(P2920&lt;Matchup!$B$39+Matchup!$B$40,3,0)))</f>
        <v>0</v>
      </c>
      <c r="S2920" s="0" t="n">
        <f aca="false">IF($I2920&lt;&gt;$O2920,0,IF(Q2920&lt;Matchup!$C$39,7,IF(Q2920&lt;Matchup!$C$39+Matchup!$C$40,3,0)))</f>
        <v>0</v>
      </c>
      <c r="T2920" s="0" t="n">
        <f aca="false">I2920+R2920</f>
        <v>51</v>
      </c>
      <c r="U2920" s="0" t="n">
        <f aca="false">O2920+S2920</f>
        <v>7</v>
      </c>
      <c r="V2920" s="0" t="n">
        <f aca="false">T2920-U2920</f>
        <v>44</v>
      </c>
      <c r="W2920" s="0" t="n">
        <f aca="false">T2920+U2920</f>
        <v>58</v>
      </c>
    </row>
    <row r="2921" customFormat="false" ht="15" hidden="false" customHeight="false" outlineLevel="0" collapsed="false">
      <c r="A2921" s="0" t="n">
        <v>2918</v>
      </c>
      <c r="B2921" s="0" t="n">
        <f aca="true">NORMINV(RAND(),1,Coefficients!$B$22)</f>
        <v>0.956761609020552</v>
      </c>
      <c r="C2921" s="0" t="n">
        <f aca="true">MEDIAN(8,16,ROUND(NORMINV(RAND(),Coefficients!$B$20,Coefficients!$B$21),0))</f>
        <v>12</v>
      </c>
      <c r="D2921" s="0" t="n">
        <f aca="true">CRITBINOM($C2921,MIN(0.75,Matchup!$B$39*$B2921),RAND())</f>
        <v>4</v>
      </c>
      <c r="E2921" s="0" t="n">
        <f aca="true">CRITBINOM(D2921,Coefficients!$B$30,RAND())</f>
        <v>0</v>
      </c>
      <c r="F2921" s="0" t="n">
        <f aca="true">CRITBINOM(E2921,Coefficients!$B$31,RAND())</f>
        <v>0</v>
      </c>
      <c r="G2921" s="0" t="n">
        <f aca="true">CRITBINOM(MAX(0,D2921-E2921),1-Coefficients!$B$32,RAND())</f>
        <v>0</v>
      </c>
      <c r="H2921" s="0" t="n">
        <f aca="true">CRITBINOM(MAX(0,$C2921-D2921),MIN(0.6,Matchup!$B$40*SQRT($B2921)/(1-MIN(0.75,Matchup!$B$39*$B2921))),RAND())</f>
        <v>1</v>
      </c>
      <c r="I2921" s="0" t="n">
        <f aca="false">6*D2921+(D2921-E2921-G2921)+2*F2921+3*H2921</f>
        <v>31</v>
      </c>
      <c r="J2921" s="0" t="n">
        <f aca="true">CRITBINOM($C2921,MIN(0.75,Matchup!$C$39*$B2921),RAND())</f>
        <v>2</v>
      </c>
      <c r="K2921" s="0" t="n">
        <f aca="true">CRITBINOM(J2921,Coefficients!$B$30,RAND())</f>
        <v>0</v>
      </c>
      <c r="L2921" s="0" t="n">
        <f aca="true">CRITBINOM(K2921,Coefficients!$B$31,RAND())</f>
        <v>0</v>
      </c>
      <c r="M2921" s="0" t="n">
        <f aca="true">CRITBINOM(MAX(0,J2921-K2921),1-Coefficients!$B$32,RAND())</f>
        <v>0</v>
      </c>
      <c r="N2921" s="0" t="n">
        <f aca="true">CRITBINOM(MAX(0,$C2921-J2921),MIN(0.6,Matchup!$C$40*SQRT($B2921)/(1-MIN(0.75,Matchup!$C$39*$B2921))),RAND())</f>
        <v>2</v>
      </c>
      <c r="O2921" s="0" t="n">
        <f aca="false">6*J2921+(J2921-K2921-M2921)+2*L2921+3*N2921</f>
        <v>20</v>
      </c>
      <c r="P2921" s="0" t="n">
        <f aca="true">RAND()</f>
        <v>0.496784136157361</v>
      </c>
      <c r="Q2921" s="0" t="n">
        <f aca="true">RAND()</f>
        <v>0.613327178035451</v>
      </c>
      <c r="R2921" s="0" t="n">
        <f aca="false">IF($I2921&lt;&gt;$O2921,0,IF(P2921&lt;Matchup!$B$39,7,IF(P2921&lt;Matchup!$B$39+Matchup!$B$40,3,0)))</f>
        <v>0</v>
      </c>
      <c r="S2921" s="0" t="n">
        <f aca="false">IF($I2921&lt;&gt;$O2921,0,IF(Q2921&lt;Matchup!$C$39,7,IF(Q2921&lt;Matchup!$C$39+Matchup!$C$40,3,0)))</f>
        <v>0</v>
      </c>
      <c r="T2921" s="0" t="n">
        <f aca="false">I2921+R2921</f>
        <v>31</v>
      </c>
      <c r="U2921" s="0" t="n">
        <f aca="false">O2921+S2921</f>
        <v>20</v>
      </c>
      <c r="V2921" s="0" t="n">
        <f aca="false">T2921-U2921</f>
        <v>11</v>
      </c>
      <c r="W2921" s="0" t="n">
        <f aca="false">T2921+U2921</f>
        <v>51</v>
      </c>
    </row>
    <row r="2922" customFormat="false" ht="15" hidden="false" customHeight="false" outlineLevel="0" collapsed="false">
      <c r="A2922" s="0" t="n">
        <v>2919</v>
      </c>
      <c r="B2922" s="0" t="n">
        <f aca="true">NORMINV(RAND(),1,Coefficients!$B$22)</f>
        <v>0.987413941781201</v>
      </c>
      <c r="C2922" s="0" t="n">
        <f aca="true">MEDIAN(8,16,ROUND(NORMINV(RAND(),Coefficients!$B$20,Coefficients!$B$21),0))</f>
        <v>12</v>
      </c>
      <c r="D2922" s="0" t="n">
        <f aca="true">CRITBINOM($C2922,MIN(0.75,Matchup!$B$39*$B2922),RAND())</f>
        <v>2</v>
      </c>
      <c r="E2922" s="0" t="n">
        <f aca="true">CRITBINOM(D2922,Coefficients!$B$30,RAND())</f>
        <v>0</v>
      </c>
      <c r="F2922" s="0" t="n">
        <f aca="true">CRITBINOM(E2922,Coefficients!$B$31,RAND())</f>
        <v>0</v>
      </c>
      <c r="G2922" s="0" t="n">
        <f aca="true">CRITBINOM(MAX(0,D2922-E2922),1-Coefficients!$B$32,RAND())</f>
        <v>0</v>
      </c>
      <c r="H2922" s="0" t="n">
        <f aca="true">CRITBINOM(MAX(0,$C2922-D2922),MIN(0.6,Matchup!$B$40*SQRT($B2922)/(1-MIN(0.75,Matchup!$B$39*$B2922))),RAND())</f>
        <v>2</v>
      </c>
      <c r="I2922" s="0" t="n">
        <f aca="false">6*D2922+(D2922-E2922-G2922)+2*F2922+3*H2922</f>
        <v>20</v>
      </c>
      <c r="J2922" s="0" t="n">
        <f aca="true">CRITBINOM($C2922,MIN(0.75,Matchup!$C$39*$B2922),RAND())</f>
        <v>1</v>
      </c>
      <c r="K2922" s="0" t="n">
        <f aca="true">CRITBINOM(J2922,Coefficients!$B$30,RAND())</f>
        <v>0</v>
      </c>
      <c r="L2922" s="0" t="n">
        <f aca="true">CRITBINOM(K2922,Coefficients!$B$31,RAND())</f>
        <v>0</v>
      </c>
      <c r="M2922" s="0" t="n">
        <f aca="true">CRITBINOM(MAX(0,J2922-K2922),1-Coefficients!$B$32,RAND())</f>
        <v>0</v>
      </c>
      <c r="N2922" s="0" t="n">
        <f aca="true">CRITBINOM(MAX(0,$C2922-J2922),MIN(0.6,Matchup!$C$40*SQRT($B2922)/(1-MIN(0.75,Matchup!$C$39*$B2922))),RAND())</f>
        <v>1</v>
      </c>
      <c r="O2922" s="0" t="n">
        <f aca="false">6*J2922+(J2922-K2922-M2922)+2*L2922+3*N2922</f>
        <v>10</v>
      </c>
      <c r="P2922" s="0" t="n">
        <f aca="true">RAND()</f>
        <v>0.656763727341843</v>
      </c>
      <c r="Q2922" s="0" t="n">
        <f aca="true">RAND()</f>
        <v>0.450050510485372</v>
      </c>
      <c r="R2922" s="0" t="n">
        <f aca="false">IF($I2922&lt;&gt;$O2922,0,IF(P2922&lt;Matchup!$B$39,7,IF(P2922&lt;Matchup!$B$39+Matchup!$B$40,3,0)))</f>
        <v>0</v>
      </c>
      <c r="S2922" s="0" t="n">
        <f aca="false">IF($I2922&lt;&gt;$O2922,0,IF(Q2922&lt;Matchup!$C$39,7,IF(Q2922&lt;Matchup!$C$39+Matchup!$C$40,3,0)))</f>
        <v>0</v>
      </c>
      <c r="T2922" s="0" t="n">
        <f aca="false">I2922+R2922</f>
        <v>20</v>
      </c>
      <c r="U2922" s="0" t="n">
        <f aca="false">O2922+S2922</f>
        <v>10</v>
      </c>
      <c r="V2922" s="0" t="n">
        <f aca="false">T2922-U2922</f>
        <v>10</v>
      </c>
      <c r="W2922" s="0" t="n">
        <f aca="false">T2922+U2922</f>
        <v>30</v>
      </c>
    </row>
    <row r="2923" customFormat="false" ht="15" hidden="false" customHeight="false" outlineLevel="0" collapsed="false">
      <c r="A2923" s="0" t="n">
        <v>2920</v>
      </c>
      <c r="B2923" s="0" t="n">
        <f aca="true">NORMINV(RAND(),1,Coefficients!$B$22)</f>
        <v>1.08289825096843</v>
      </c>
      <c r="C2923" s="0" t="n">
        <f aca="true">MEDIAN(8,16,ROUND(NORMINV(RAND(),Coefficients!$B$20,Coefficients!$B$21),0))</f>
        <v>11</v>
      </c>
      <c r="D2923" s="0" t="n">
        <f aca="true">CRITBINOM($C2923,MIN(0.75,Matchup!$B$39*$B2923),RAND())</f>
        <v>4</v>
      </c>
      <c r="E2923" s="0" t="n">
        <f aca="true">CRITBINOM(D2923,Coefficients!$B$30,RAND())</f>
        <v>1</v>
      </c>
      <c r="F2923" s="0" t="n">
        <f aca="true">CRITBINOM(E2923,Coefficients!$B$31,RAND())</f>
        <v>0</v>
      </c>
      <c r="G2923" s="0" t="n">
        <f aca="true">CRITBINOM(MAX(0,D2923-E2923),1-Coefficients!$B$32,RAND())</f>
        <v>0</v>
      </c>
      <c r="H2923" s="0" t="n">
        <f aca="true">CRITBINOM(MAX(0,$C2923-D2923),MIN(0.6,Matchup!$B$40*SQRT($B2923)/(1-MIN(0.75,Matchup!$B$39*$B2923))),RAND())</f>
        <v>0</v>
      </c>
      <c r="I2923" s="0" t="n">
        <f aca="false">6*D2923+(D2923-E2923-G2923)+2*F2923+3*H2923</f>
        <v>27</v>
      </c>
      <c r="J2923" s="0" t="n">
        <f aca="true">CRITBINOM($C2923,MIN(0.75,Matchup!$C$39*$B2923),RAND())</f>
        <v>1</v>
      </c>
      <c r="K2923" s="0" t="n">
        <f aca="true">CRITBINOM(J2923,Coefficients!$B$30,RAND())</f>
        <v>0</v>
      </c>
      <c r="L2923" s="0" t="n">
        <f aca="true">CRITBINOM(K2923,Coefficients!$B$31,RAND())</f>
        <v>0</v>
      </c>
      <c r="M2923" s="0" t="n">
        <f aca="true">CRITBINOM(MAX(0,J2923-K2923),1-Coefficients!$B$32,RAND())</f>
        <v>0</v>
      </c>
      <c r="N2923" s="0" t="n">
        <f aca="true">CRITBINOM(MAX(0,$C2923-J2923),MIN(0.6,Matchup!$C$40*SQRT($B2923)/(1-MIN(0.75,Matchup!$C$39*$B2923))),RAND())</f>
        <v>1</v>
      </c>
      <c r="O2923" s="0" t="n">
        <f aca="false">6*J2923+(J2923-K2923-M2923)+2*L2923+3*N2923</f>
        <v>10</v>
      </c>
      <c r="P2923" s="0" t="n">
        <f aca="true">RAND()</f>
        <v>0.572382463186931</v>
      </c>
      <c r="Q2923" s="0" t="n">
        <f aca="true">RAND()</f>
        <v>0.475248928833879</v>
      </c>
      <c r="R2923" s="0" t="n">
        <f aca="false">IF($I2923&lt;&gt;$O2923,0,IF(P2923&lt;Matchup!$B$39,7,IF(P2923&lt;Matchup!$B$39+Matchup!$B$40,3,0)))</f>
        <v>0</v>
      </c>
      <c r="S2923" s="0" t="n">
        <f aca="false">IF($I2923&lt;&gt;$O2923,0,IF(Q2923&lt;Matchup!$C$39,7,IF(Q2923&lt;Matchup!$C$39+Matchup!$C$40,3,0)))</f>
        <v>0</v>
      </c>
      <c r="T2923" s="0" t="n">
        <f aca="false">I2923+R2923</f>
        <v>27</v>
      </c>
      <c r="U2923" s="0" t="n">
        <f aca="false">O2923+S2923</f>
        <v>10</v>
      </c>
      <c r="V2923" s="0" t="n">
        <f aca="false">T2923-U2923</f>
        <v>17</v>
      </c>
      <c r="W2923" s="0" t="n">
        <f aca="false">T2923+U2923</f>
        <v>37</v>
      </c>
    </row>
    <row r="2924" customFormat="false" ht="15" hidden="false" customHeight="false" outlineLevel="0" collapsed="false">
      <c r="A2924" s="0" t="n">
        <v>2921</v>
      </c>
      <c r="B2924" s="0" t="n">
        <f aca="true">NORMINV(RAND(),1,Coefficients!$B$22)</f>
        <v>0.925609366409264</v>
      </c>
      <c r="C2924" s="0" t="n">
        <f aca="true">MEDIAN(8,16,ROUND(NORMINV(RAND(),Coefficients!$B$20,Coefficients!$B$21),0))</f>
        <v>13</v>
      </c>
      <c r="D2924" s="0" t="n">
        <f aca="true">CRITBINOM($C2924,MIN(0.75,Matchup!$B$39*$B2924),RAND())</f>
        <v>2</v>
      </c>
      <c r="E2924" s="0" t="n">
        <f aca="true">CRITBINOM(D2924,Coefficients!$B$30,RAND())</f>
        <v>0</v>
      </c>
      <c r="F2924" s="0" t="n">
        <f aca="true">CRITBINOM(E2924,Coefficients!$B$31,RAND())</f>
        <v>0</v>
      </c>
      <c r="G2924" s="0" t="n">
        <f aca="true">CRITBINOM(MAX(0,D2924-E2924),1-Coefficients!$B$32,RAND())</f>
        <v>1</v>
      </c>
      <c r="H2924" s="0" t="n">
        <f aca="true">CRITBINOM(MAX(0,$C2924-D2924),MIN(0.6,Matchup!$B$40*SQRT($B2924)/(1-MIN(0.75,Matchup!$B$39*$B2924))),RAND())</f>
        <v>3</v>
      </c>
      <c r="I2924" s="0" t="n">
        <f aca="false">6*D2924+(D2924-E2924-G2924)+2*F2924+3*H2924</f>
        <v>22</v>
      </c>
      <c r="J2924" s="0" t="n">
        <f aca="true">CRITBINOM($C2924,MIN(0.75,Matchup!$C$39*$B2924),RAND())</f>
        <v>4</v>
      </c>
      <c r="K2924" s="0" t="n">
        <f aca="true">CRITBINOM(J2924,Coefficients!$B$30,RAND())</f>
        <v>0</v>
      </c>
      <c r="L2924" s="0" t="n">
        <f aca="true">CRITBINOM(K2924,Coefficients!$B$31,RAND())</f>
        <v>0</v>
      </c>
      <c r="M2924" s="0" t="n">
        <f aca="true">CRITBINOM(MAX(0,J2924-K2924),1-Coefficients!$B$32,RAND())</f>
        <v>0</v>
      </c>
      <c r="N2924" s="0" t="n">
        <f aca="true">CRITBINOM(MAX(0,$C2924-J2924),MIN(0.6,Matchup!$C$40*SQRT($B2924)/(1-MIN(0.75,Matchup!$C$39*$B2924))),RAND())</f>
        <v>3</v>
      </c>
      <c r="O2924" s="0" t="n">
        <f aca="false">6*J2924+(J2924-K2924-M2924)+2*L2924+3*N2924</f>
        <v>37</v>
      </c>
      <c r="P2924" s="0" t="n">
        <f aca="true">RAND()</f>
        <v>0.457117096851542</v>
      </c>
      <c r="Q2924" s="0" t="n">
        <f aca="true">RAND()</f>
        <v>0.00278887326171702</v>
      </c>
      <c r="R2924" s="0" t="n">
        <f aca="false">IF($I2924&lt;&gt;$O2924,0,IF(P2924&lt;Matchup!$B$39,7,IF(P2924&lt;Matchup!$B$39+Matchup!$B$40,3,0)))</f>
        <v>0</v>
      </c>
      <c r="S2924" s="0" t="n">
        <f aca="false">IF($I2924&lt;&gt;$O2924,0,IF(Q2924&lt;Matchup!$C$39,7,IF(Q2924&lt;Matchup!$C$39+Matchup!$C$40,3,0)))</f>
        <v>0</v>
      </c>
      <c r="T2924" s="0" t="n">
        <f aca="false">I2924+R2924</f>
        <v>22</v>
      </c>
      <c r="U2924" s="0" t="n">
        <f aca="false">O2924+S2924</f>
        <v>37</v>
      </c>
      <c r="V2924" s="0" t="n">
        <f aca="false">T2924-U2924</f>
        <v>-15</v>
      </c>
      <c r="W2924" s="0" t="n">
        <f aca="false">T2924+U2924</f>
        <v>59</v>
      </c>
    </row>
    <row r="2925" customFormat="false" ht="15" hidden="false" customHeight="false" outlineLevel="0" collapsed="false">
      <c r="A2925" s="0" t="n">
        <v>2922</v>
      </c>
      <c r="B2925" s="0" t="n">
        <f aca="true">NORMINV(RAND(),1,Coefficients!$B$22)</f>
        <v>0.968194305433282</v>
      </c>
      <c r="C2925" s="0" t="n">
        <f aca="true">MEDIAN(8,16,ROUND(NORMINV(RAND(),Coefficients!$B$20,Coefficients!$B$21),0))</f>
        <v>12</v>
      </c>
      <c r="D2925" s="0" t="n">
        <f aca="true">CRITBINOM($C2925,MIN(0.75,Matchup!$B$39*$B2925),RAND())</f>
        <v>5</v>
      </c>
      <c r="E2925" s="0" t="n">
        <f aca="true">CRITBINOM(D2925,Coefficients!$B$30,RAND())</f>
        <v>0</v>
      </c>
      <c r="F2925" s="0" t="n">
        <f aca="true">CRITBINOM(E2925,Coefficients!$B$31,RAND())</f>
        <v>0</v>
      </c>
      <c r="G2925" s="0" t="n">
        <f aca="true">CRITBINOM(MAX(0,D2925-E2925),1-Coefficients!$B$32,RAND())</f>
        <v>0</v>
      </c>
      <c r="H2925" s="0" t="n">
        <f aca="true">CRITBINOM(MAX(0,$C2925-D2925),MIN(0.6,Matchup!$B$40*SQRT($B2925)/(1-MIN(0.75,Matchup!$B$39*$B2925))),RAND())</f>
        <v>3</v>
      </c>
      <c r="I2925" s="0" t="n">
        <f aca="false">6*D2925+(D2925-E2925-G2925)+2*F2925+3*H2925</f>
        <v>44</v>
      </c>
      <c r="J2925" s="0" t="n">
        <f aca="true">CRITBINOM($C2925,MIN(0.75,Matchup!$C$39*$B2925),RAND())</f>
        <v>3</v>
      </c>
      <c r="K2925" s="0" t="n">
        <f aca="true">CRITBINOM(J2925,Coefficients!$B$30,RAND())</f>
        <v>0</v>
      </c>
      <c r="L2925" s="0" t="n">
        <f aca="true">CRITBINOM(K2925,Coefficients!$B$31,RAND())</f>
        <v>0</v>
      </c>
      <c r="M2925" s="0" t="n">
        <f aca="true">CRITBINOM(MAX(0,J2925-K2925),1-Coefficients!$B$32,RAND())</f>
        <v>0</v>
      </c>
      <c r="N2925" s="0" t="n">
        <f aca="true">CRITBINOM(MAX(0,$C2925-J2925),MIN(0.6,Matchup!$C$40*SQRT($B2925)/(1-MIN(0.75,Matchup!$C$39*$B2925))),RAND())</f>
        <v>1</v>
      </c>
      <c r="O2925" s="0" t="n">
        <f aca="false">6*J2925+(J2925-K2925-M2925)+2*L2925+3*N2925</f>
        <v>24</v>
      </c>
      <c r="P2925" s="0" t="n">
        <f aca="true">RAND()</f>
        <v>0.70945857196903</v>
      </c>
      <c r="Q2925" s="0" t="n">
        <f aca="true">RAND()</f>
        <v>0.831524882722081</v>
      </c>
      <c r="R2925" s="0" t="n">
        <f aca="false">IF($I2925&lt;&gt;$O2925,0,IF(P2925&lt;Matchup!$B$39,7,IF(P2925&lt;Matchup!$B$39+Matchup!$B$40,3,0)))</f>
        <v>0</v>
      </c>
      <c r="S2925" s="0" t="n">
        <f aca="false">IF($I2925&lt;&gt;$O2925,0,IF(Q2925&lt;Matchup!$C$39,7,IF(Q2925&lt;Matchup!$C$39+Matchup!$C$40,3,0)))</f>
        <v>0</v>
      </c>
      <c r="T2925" s="0" t="n">
        <f aca="false">I2925+R2925</f>
        <v>44</v>
      </c>
      <c r="U2925" s="0" t="n">
        <f aca="false">O2925+S2925</f>
        <v>24</v>
      </c>
      <c r="V2925" s="0" t="n">
        <f aca="false">T2925-U2925</f>
        <v>20</v>
      </c>
      <c r="W2925" s="0" t="n">
        <f aca="false">T2925+U2925</f>
        <v>68</v>
      </c>
    </row>
    <row r="2926" customFormat="false" ht="15" hidden="false" customHeight="false" outlineLevel="0" collapsed="false">
      <c r="A2926" s="0" t="n">
        <v>2923</v>
      </c>
      <c r="B2926" s="0" t="n">
        <f aca="true">NORMINV(RAND(),1,Coefficients!$B$22)</f>
        <v>0.908449651291323</v>
      </c>
      <c r="C2926" s="0" t="n">
        <f aca="true">MEDIAN(8,16,ROUND(NORMINV(RAND(),Coefficients!$B$20,Coefficients!$B$21),0))</f>
        <v>10</v>
      </c>
      <c r="D2926" s="0" t="n">
        <f aca="true">CRITBINOM($C2926,MIN(0.75,Matchup!$B$39*$B2926),RAND())</f>
        <v>2</v>
      </c>
      <c r="E2926" s="0" t="n">
        <f aca="true">CRITBINOM(D2926,Coefficients!$B$30,RAND())</f>
        <v>1</v>
      </c>
      <c r="F2926" s="0" t="n">
        <f aca="true">CRITBINOM(E2926,Coefficients!$B$31,RAND())</f>
        <v>0</v>
      </c>
      <c r="G2926" s="0" t="n">
        <f aca="true">CRITBINOM(MAX(0,D2926-E2926),1-Coefficients!$B$32,RAND())</f>
        <v>1</v>
      </c>
      <c r="H2926" s="0" t="n">
        <f aca="true">CRITBINOM(MAX(0,$C2926-D2926),MIN(0.6,Matchup!$B$40*SQRT($B2926)/(1-MIN(0.75,Matchup!$B$39*$B2926))),RAND())</f>
        <v>3</v>
      </c>
      <c r="I2926" s="0" t="n">
        <f aca="false">6*D2926+(D2926-E2926-G2926)+2*F2926+3*H2926</f>
        <v>21</v>
      </c>
      <c r="J2926" s="0" t="n">
        <f aca="true">CRITBINOM($C2926,MIN(0.75,Matchup!$C$39*$B2926),RAND())</f>
        <v>1</v>
      </c>
      <c r="K2926" s="0" t="n">
        <f aca="true">CRITBINOM(J2926,Coefficients!$B$30,RAND())</f>
        <v>0</v>
      </c>
      <c r="L2926" s="0" t="n">
        <f aca="true">CRITBINOM(K2926,Coefficients!$B$31,RAND())</f>
        <v>0</v>
      </c>
      <c r="M2926" s="0" t="n">
        <f aca="true">CRITBINOM(MAX(0,J2926-K2926),1-Coefficients!$B$32,RAND())</f>
        <v>0</v>
      </c>
      <c r="N2926" s="0" t="n">
        <f aca="true">CRITBINOM(MAX(0,$C2926-J2926),MIN(0.6,Matchup!$C$40*SQRT($B2926)/(1-MIN(0.75,Matchup!$C$39*$B2926))),RAND())</f>
        <v>1</v>
      </c>
      <c r="O2926" s="0" t="n">
        <f aca="false">6*J2926+(J2926-K2926-M2926)+2*L2926+3*N2926</f>
        <v>10</v>
      </c>
      <c r="P2926" s="0" t="n">
        <f aca="true">RAND()</f>
        <v>0.126833566697362</v>
      </c>
      <c r="Q2926" s="0" t="n">
        <f aca="true">RAND()</f>
        <v>0.502078553373443</v>
      </c>
      <c r="R2926" s="0" t="n">
        <f aca="false">IF($I2926&lt;&gt;$O2926,0,IF(P2926&lt;Matchup!$B$39,7,IF(P2926&lt;Matchup!$B$39+Matchup!$B$40,3,0)))</f>
        <v>0</v>
      </c>
      <c r="S2926" s="0" t="n">
        <f aca="false">IF($I2926&lt;&gt;$O2926,0,IF(Q2926&lt;Matchup!$C$39,7,IF(Q2926&lt;Matchup!$C$39+Matchup!$C$40,3,0)))</f>
        <v>0</v>
      </c>
      <c r="T2926" s="0" t="n">
        <f aca="false">I2926+R2926</f>
        <v>21</v>
      </c>
      <c r="U2926" s="0" t="n">
        <f aca="false">O2926+S2926</f>
        <v>10</v>
      </c>
      <c r="V2926" s="0" t="n">
        <f aca="false">T2926-U2926</f>
        <v>11</v>
      </c>
      <c r="W2926" s="0" t="n">
        <f aca="false">T2926+U2926</f>
        <v>31</v>
      </c>
    </row>
    <row r="2927" customFormat="false" ht="15" hidden="false" customHeight="false" outlineLevel="0" collapsed="false">
      <c r="A2927" s="0" t="n">
        <v>2924</v>
      </c>
      <c r="B2927" s="0" t="n">
        <f aca="true">NORMINV(RAND(),1,Coefficients!$B$22)</f>
        <v>1.00991593394129</v>
      </c>
      <c r="C2927" s="0" t="n">
        <f aca="true">MEDIAN(8,16,ROUND(NORMINV(RAND(),Coefficients!$B$20,Coefficients!$B$21),0))</f>
        <v>13</v>
      </c>
      <c r="D2927" s="0" t="n">
        <f aca="true">CRITBINOM($C2927,MIN(0.75,Matchup!$B$39*$B2927),RAND())</f>
        <v>4</v>
      </c>
      <c r="E2927" s="0" t="n">
        <f aca="true">CRITBINOM(D2927,Coefficients!$B$30,RAND())</f>
        <v>2</v>
      </c>
      <c r="F2927" s="0" t="n">
        <f aca="true">CRITBINOM(E2927,Coefficients!$B$31,RAND())</f>
        <v>2</v>
      </c>
      <c r="G2927" s="0" t="n">
        <f aca="true">CRITBINOM(MAX(0,D2927-E2927),1-Coefficients!$B$32,RAND())</f>
        <v>0</v>
      </c>
      <c r="H2927" s="0" t="n">
        <f aca="true">CRITBINOM(MAX(0,$C2927-D2927),MIN(0.6,Matchup!$B$40*SQRT($B2927)/(1-MIN(0.75,Matchup!$B$39*$B2927))),RAND())</f>
        <v>1</v>
      </c>
      <c r="I2927" s="0" t="n">
        <f aca="false">6*D2927+(D2927-E2927-G2927)+2*F2927+3*H2927</f>
        <v>33</v>
      </c>
      <c r="J2927" s="0" t="n">
        <f aca="true">CRITBINOM($C2927,MIN(0.75,Matchup!$C$39*$B2927),RAND())</f>
        <v>2</v>
      </c>
      <c r="K2927" s="0" t="n">
        <f aca="true">CRITBINOM(J2927,Coefficients!$B$30,RAND())</f>
        <v>0</v>
      </c>
      <c r="L2927" s="0" t="n">
        <f aca="true">CRITBINOM(K2927,Coefficients!$B$31,RAND())</f>
        <v>0</v>
      </c>
      <c r="M2927" s="0" t="n">
        <f aca="true">CRITBINOM(MAX(0,J2927-K2927),1-Coefficients!$B$32,RAND())</f>
        <v>0</v>
      </c>
      <c r="N2927" s="0" t="n">
        <f aca="true">CRITBINOM(MAX(0,$C2927-J2927),MIN(0.6,Matchup!$C$40*SQRT($B2927)/(1-MIN(0.75,Matchup!$C$39*$B2927))),RAND())</f>
        <v>3</v>
      </c>
      <c r="O2927" s="0" t="n">
        <f aca="false">6*J2927+(J2927-K2927-M2927)+2*L2927+3*N2927</f>
        <v>23</v>
      </c>
      <c r="P2927" s="0" t="n">
        <f aca="true">RAND()</f>
        <v>0.307344169546049</v>
      </c>
      <c r="Q2927" s="0" t="n">
        <f aca="true">RAND()</f>
        <v>0.487082851898206</v>
      </c>
      <c r="R2927" s="0" t="n">
        <f aca="false">IF($I2927&lt;&gt;$O2927,0,IF(P2927&lt;Matchup!$B$39,7,IF(P2927&lt;Matchup!$B$39+Matchup!$B$40,3,0)))</f>
        <v>0</v>
      </c>
      <c r="S2927" s="0" t="n">
        <f aca="false">IF($I2927&lt;&gt;$O2927,0,IF(Q2927&lt;Matchup!$C$39,7,IF(Q2927&lt;Matchup!$C$39+Matchup!$C$40,3,0)))</f>
        <v>0</v>
      </c>
      <c r="T2927" s="0" t="n">
        <f aca="false">I2927+R2927</f>
        <v>33</v>
      </c>
      <c r="U2927" s="0" t="n">
        <f aca="false">O2927+S2927</f>
        <v>23</v>
      </c>
      <c r="V2927" s="0" t="n">
        <f aca="false">T2927-U2927</f>
        <v>10</v>
      </c>
      <c r="W2927" s="0" t="n">
        <f aca="false">T2927+U2927</f>
        <v>56</v>
      </c>
    </row>
    <row r="2928" customFormat="false" ht="15" hidden="false" customHeight="false" outlineLevel="0" collapsed="false">
      <c r="A2928" s="0" t="n">
        <v>2925</v>
      </c>
      <c r="B2928" s="0" t="n">
        <f aca="true">NORMINV(RAND(),1,Coefficients!$B$22)</f>
        <v>0.919132294018232</v>
      </c>
      <c r="C2928" s="0" t="n">
        <f aca="true">MEDIAN(8,16,ROUND(NORMINV(RAND(),Coefficients!$B$20,Coefficients!$B$21),0))</f>
        <v>10</v>
      </c>
      <c r="D2928" s="0" t="n">
        <f aca="true">CRITBINOM($C2928,MIN(0.75,Matchup!$B$39*$B2928),RAND())</f>
        <v>0</v>
      </c>
      <c r="E2928" s="0" t="n">
        <f aca="true">CRITBINOM(D2928,Coefficients!$B$30,RAND())</f>
        <v>0</v>
      </c>
      <c r="F2928" s="0" t="n">
        <f aca="true">CRITBINOM(E2928,Coefficients!$B$31,RAND())</f>
        <v>0</v>
      </c>
      <c r="G2928" s="0" t="n">
        <f aca="true">CRITBINOM(MAX(0,D2928-E2928),1-Coefficients!$B$32,RAND())</f>
        <v>0</v>
      </c>
      <c r="H2928" s="0" t="n">
        <f aca="true">CRITBINOM(MAX(0,$C2928-D2928),MIN(0.6,Matchup!$B$40*SQRT($B2928)/(1-MIN(0.75,Matchup!$B$39*$B2928))),RAND())</f>
        <v>1</v>
      </c>
      <c r="I2928" s="0" t="n">
        <f aca="false">6*D2928+(D2928-E2928-G2928)+2*F2928+3*H2928</f>
        <v>3</v>
      </c>
      <c r="J2928" s="0" t="n">
        <f aca="true">CRITBINOM($C2928,MIN(0.75,Matchup!$C$39*$B2928),RAND())</f>
        <v>4</v>
      </c>
      <c r="K2928" s="0" t="n">
        <f aca="true">CRITBINOM(J2928,Coefficients!$B$30,RAND())</f>
        <v>1</v>
      </c>
      <c r="L2928" s="0" t="n">
        <f aca="true">CRITBINOM(K2928,Coefficients!$B$31,RAND())</f>
        <v>1</v>
      </c>
      <c r="M2928" s="0" t="n">
        <f aca="true">CRITBINOM(MAX(0,J2928-K2928),1-Coefficients!$B$32,RAND())</f>
        <v>0</v>
      </c>
      <c r="N2928" s="0" t="n">
        <f aca="true">CRITBINOM(MAX(0,$C2928-J2928),MIN(0.6,Matchup!$C$40*SQRT($B2928)/(1-MIN(0.75,Matchup!$C$39*$B2928))),RAND())</f>
        <v>1</v>
      </c>
      <c r="O2928" s="0" t="n">
        <f aca="false">6*J2928+(J2928-K2928-M2928)+2*L2928+3*N2928</f>
        <v>32</v>
      </c>
      <c r="P2928" s="0" t="n">
        <f aca="true">RAND()</f>
        <v>0.406773151826989</v>
      </c>
      <c r="Q2928" s="0" t="n">
        <f aca="true">RAND()</f>
        <v>0.377305647620751</v>
      </c>
      <c r="R2928" s="0" t="n">
        <f aca="false">IF($I2928&lt;&gt;$O2928,0,IF(P2928&lt;Matchup!$B$39,7,IF(P2928&lt;Matchup!$B$39+Matchup!$B$40,3,0)))</f>
        <v>0</v>
      </c>
      <c r="S2928" s="0" t="n">
        <f aca="false">IF($I2928&lt;&gt;$O2928,0,IF(Q2928&lt;Matchup!$C$39,7,IF(Q2928&lt;Matchup!$C$39+Matchup!$C$40,3,0)))</f>
        <v>0</v>
      </c>
      <c r="T2928" s="0" t="n">
        <f aca="false">I2928+R2928</f>
        <v>3</v>
      </c>
      <c r="U2928" s="0" t="n">
        <f aca="false">O2928+S2928</f>
        <v>32</v>
      </c>
      <c r="V2928" s="0" t="n">
        <f aca="false">T2928-U2928</f>
        <v>-29</v>
      </c>
      <c r="W2928" s="0" t="n">
        <f aca="false">T2928+U2928</f>
        <v>35</v>
      </c>
    </row>
    <row r="2929" customFormat="false" ht="15" hidden="false" customHeight="false" outlineLevel="0" collapsed="false">
      <c r="A2929" s="0" t="n">
        <v>2926</v>
      </c>
      <c r="B2929" s="0" t="n">
        <f aca="true">NORMINV(RAND(),1,Coefficients!$B$22)</f>
        <v>1.06470997846109</v>
      </c>
      <c r="C2929" s="0" t="n">
        <f aca="true">MEDIAN(8,16,ROUND(NORMINV(RAND(),Coefficients!$B$20,Coefficients!$B$21),0))</f>
        <v>9</v>
      </c>
      <c r="D2929" s="0" t="n">
        <f aca="true">CRITBINOM($C2929,MIN(0.75,Matchup!$B$39*$B2929),RAND())</f>
        <v>2</v>
      </c>
      <c r="E2929" s="0" t="n">
        <f aca="true">CRITBINOM(D2929,Coefficients!$B$30,RAND())</f>
        <v>0</v>
      </c>
      <c r="F2929" s="0" t="n">
        <f aca="true">CRITBINOM(E2929,Coefficients!$B$31,RAND())</f>
        <v>0</v>
      </c>
      <c r="G2929" s="0" t="n">
        <f aca="true">CRITBINOM(MAX(0,D2929-E2929),1-Coefficients!$B$32,RAND())</f>
        <v>0</v>
      </c>
      <c r="H2929" s="0" t="n">
        <f aca="true">CRITBINOM(MAX(0,$C2929-D2929),MIN(0.6,Matchup!$B$40*SQRT($B2929)/(1-MIN(0.75,Matchup!$B$39*$B2929))),RAND())</f>
        <v>3</v>
      </c>
      <c r="I2929" s="0" t="n">
        <f aca="false">6*D2929+(D2929-E2929-G2929)+2*F2929+3*H2929</f>
        <v>23</v>
      </c>
      <c r="J2929" s="0" t="n">
        <f aca="true">CRITBINOM($C2929,MIN(0.75,Matchup!$C$39*$B2929),RAND())</f>
        <v>1</v>
      </c>
      <c r="K2929" s="0" t="n">
        <f aca="true">CRITBINOM(J2929,Coefficients!$B$30,RAND())</f>
        <v>1</v>
      </c>
      <c r="L2929" s="0" t="n">
        <f aca="true">CRITBINOM(K2929,Coefficients!$B$31,RAND())</f>
        <v>1</v>
      </c>
      <c r="M2929" s="0" t="n">
        <f aca="true">CRITBINOM(MAX(0,J2929-K2929),1-Coefficients!$B$32,RAND())</f>
        <v>0</v>
      </c>
      <c r="N2929" s="0" t="n">
        <f aca="true">CRITBINOM(MAX(0,$C2929-J2929),MIN(0.6,Matchup!$C$40*SQRT($B2929)/(1-MIN(0.75,Matchup!$C$39*$B2929))),RAND())</f>
        <v>1</v>
      </c>
      <c r="O2929" s="0" t="n">
        <f aca="false">6*J2929+(J2929-K2929-M2929)+2*L2929+3*N2929</f>
        <v>11</v>
      </c>
      <c r="P2929" s="0" t="n">
        <f aca="true">RAND()</f>
        <v>0.501107038823352</v>
      </c>
      <c r="Q2929" s="0" t="n">
        <f aca="true">RAND()</f>
        <v>0.911140685690285</v>
      </c>
      <c r="R2929" s="0" t="n">
        <f aca="false">IF($I2929&lt;&gt;$O2929,0,IF(P2929&lt;Matchup!$B$39,7,IF(P2929&lt;Matchup!$B$39+Matchup!$B$40,3,0)))</f>
        <v>0</v>
      </c>
      <c r="S2929" s="0" t="n">
        <f aca="false">IF($I2929&lt;&gt;$O2929,0,IF(Q2929&lt;Matchup!$C$39,7,IF(Q2929&lt;Matchup!$C$39+Matchup!$C$40,3,0)))</f>
        <v>0</v>
      </c>
      <c r="T2929" s="0" t="n">
        <f aca="false">I2929+R2929</f>
        <v>23</v>
      </c>
      <c r="U2929" s="0" t="n">
        <f aca="false">O2929+S2929</f>
        <v>11</v>
      </c>
      <c r="V2929" s="0" t="n">
        <f aca="false">T2929-U2929</f>
        <v>12</v>
      </c>
      <c r="W2929" s="0" t="n">
        <f aca="false">T2929+U2929</f>
        <v>34</v>
      </c>
    </row>
    <row r="2930" customFormat="false" ht="15" hidden="false" customHeight="false" outlineLevel="0" collapsed="false">
      <c r="A2930" s="0" t="n">
        <v>2927</v>
      </c>
      <c r="B2930" s="0" t="n">
        <f aca="true">NORMINV(RAND(),1,Coefficients!$B$22)</f>
        <v>1.141219462266</v>
      </c>
      <c r="C2930" s="0" t="n">
        <f aca="true">MEDIAN(8,16,ROUND(NORMINV(RAND(),Coefficients!$B$20,Coefficients!$B$21),0))</f>
        <v>12</v>
      </c>
      <c r="D2930" s="0" t="n">
        <f aca="true">CRITBINOM($C2930,MIN(0.75,Matchup!$B$39*$B2930),RAND())</f>
        <v>5</v>
      </c>
      <c r="E2930" s="0" t="n">
        <f aca="true">CRITBINOM(D2930,Coefficients!$B$30,RAND())</f>
        <v>0</v>
      </c>
      <c r="F2930" s="0" t="n">
        <f aca="true">CRITBINOM(E2930,Coefficients!$B$31,RAND())</f>
        <v>0</v>
      </c>
      <c r="G2930" s="0" t="n">
        <f aca="true">CRITBINOM(MAX(0,D2930-E2930),1-Coefficients!$B$32,RAND())</f>
        <v>0</v>
      </c>
      <c r="H2930" s="0" t="n">
        <f aca="true">CRITBINOM(MAX(0,$C2930-D2930),MIN(0.6,Matchup!$B$40*SQRT($B2930)/(1-MIN(0.75,Matchup!$B$39*$B2930))),RAND())</f>
        <v>0</v>
      </c>
      <c r="I2930" s="0" t="n">
        <f aca="false">6*D2930+(D2930-E2930-G2930)+2*F2930+3*H2930</f>
        <v>35</v>
      </c>
      <c r="J2930" s="0" t="n">
        <f aca="true">CRITBINOM($C2930,MIN(0.75,Matchup!$C$39*$B2930),RAND())</f>
        <v>2</v>
      </c>
      <c r="K2930" s="0" t="n">
        <f aca="true">CRITBINOM(J2930,Coefficients!$B$30,RAND())</f>
        <v>0</v>
      </c>
      <c r="L2930" s="0" t="n">
        <f aca="true">CRITBINOM(K2930,Coefficients!$B$31,RAND())</f>
        <v>0</v>
      </c>
      <c r="M2930" s="0" t="n">
        <f aca="true">CRITBINOM(MAX(0,J2930-K2930),1-Coefficients!$B$32,RAND())</f>
        <v>0</v>
      </c>
      <c r="N2930" s="0" t="n">
        <f aca="true">CRITBINOM(MAX(0,$C2930-J2930),MIN(0.6,Matchup!$C$40*SQRT($B2930)/(1-MIN(0.75,Matchup!$C$39*$B2930))),RAND())</f>
        <v>2</v>
      </c>
      <c r="O2930" s="0" t="n">
        <f aca="false">6*J2930+(J2930-K2930-M2930)+2*L2930+3*N2930</f>
        <v>20</v>
      </c>
      <c r="P2930" s="0" t="n">
        <f aca="true">RAND()</f>
        <v>0.883483990132016</v>
      </c>
      <c r="Q2930" s="0" t="n">
        <f aca="true">RAND()</f>
        <v>0.125486344584432</v>
      </c>
      <c r="R2930" s="0" t="n">
        <f aca="false">IF($I2930&lt;&gt;$O2930,0,IF(P2930&lt;Matchup!$B$39,7,IF(P2930&lt;Matchup!$B$39+Matchup!$B$40,3,0)))</f>
        <v>0</v>
      </c>
      <c r="S2930" s="0" t="n">
        <f aca="false">IF($I2930&lt;&gt;$O2930,0,IF(Q2930&lt;Matchup!$C$39,7,IF(Q2930&lt;Matchup!$C$39+Matchup!$C$40,3,0)))</f>
        <v>0</v>
      </c>
      <c r="T2930" s="0" t="n">
        <f aca="false">I2930+R2930</f>
        <v>35</v>
      </c>
      <c r="U2930" s="0" t="n">
        <f aca="false">O2930+S2930</f>
        <v>20</v>
      </c>
      <c r="V2930" s="0" t="n">
        <f aca="false">T2930-U2930</f>
        <v>15</v>
      </c>
      <c r="W2930" s="0" t="n">
        <f aca="false">T2930+U2930</f>
        <v>55</v>
      </c>
    </row>
    <row r="2931" customFormat="false" ht="15" hidden="false" customHeight="false" outlineLevel="0" collapsed="false">
      <c r="A2931" s="0" t="n">
        <v>2928</v>
      </c>
      <c r="B2931" s="0" t="n">
        <f aca="true">NORMINV(RAND(),1,Coefficients!$B$22)</f>
        <v>0.936380399159565</v>
      </c>
      <c r="C2931" s="0" t="n">
        <f aca="true">MEDIAN(8,16,ROUND(NORMINV(RAND(),Coefficients!$B$20,Coefficients!$B$21),0))</f>
        <v>10</v>
      </c>
      <c r="D2931" s="0" t="n">
        <f aca="true">CRITBINOM($C2931,MIN(0.75,Matchup!$B$39*$B2931),RAND())</f>
        <v>5</v>
      </c>
      <c r="E2931" s="0" t="n">
        <f aca="true">CRITBINOM(D2931,Coefficients!$B$30,RAND())</f>
        <v>0</v>
      </c>
      <c r="F2931" s="0" t="n">
        <f aca="true">CRITBINOM(E2931,Coefficients!$B$31,RAND())</f>
        <v>0</v>
      </c>
      <c r="G2931" s="0" t="n">
        <f aca="true">CRITBINOM(MAX(0,D2931-E2931),1-Coefficients!$B$32,RAND())</f>
        <v>0</v>
      </c>
      <c r="H2931" s="0" t="n">
        <f aca="true">CRITBINOM(MAX(0,$C2931-D2931),MIN(0.6,Matchup!$B$40*SQRT($B2931)/(1-MIN(0.75,Matchup!$B$39*$B2931))),RAND())</f>
        <v>0</v>
      </c>
      <c r="I2931" s="0" t="n">
        <f aca="false">6*D2931+(D2931-E2931-G2931)+2*F2931+3*H2931</f>
        <v>35</v>
      </c>
      <c r="J2931" s="0" t="n">
        <f aca="true">CRITBINOM($C2931,MIN(0.75,Matchup!$C$39*$B2931),RAND())</f>
        <v>3</v>
      </c>
      <c r="K2931" s="0" t="n">
        <f aca="true">CRITBINOM(J2931,Coefficients!$B$30,RAND())</f>
        <v>0</v>
      </c>
      <c r="L2931" s="0" t="n">
        <f aca="true">CRITBINOM(K2931,Coefficients!$B$31,RAND())</f>
        <v>0</v>
      </c>
      <c r="M2931" s="0" t="n">
        <f aca="true">CRITBINOM(MAX(0,J2931-K2931),1-Coefficients!$B$32,RAND())</f>
        <v>0</v>
      </c>
      <c r="N2931" s="0" t="n">
        <f aca="true">CRITBINOM(MAX(0,$C2931-J2931),MIN(0.6,Matchup!$C$40*SQRT($B2931)/(1-MIN(0.75,Matchup!$C$39*$B2931))),RAND())</f>
        <v>0</v>
      </c>
      <c r="O2931" s="0" t="n">
        <f aca="false">6*J2931+(J2931-K2931-M2931)+2*L2931+3*N2931</f>
        <v>21</v>
      </c>
      <c r="P2931" s="0" t="n">
        <f aca="true">RAND()</f>
        <v>0.554843790505767</v>
      </c>
      <c r="Q2931" s="0" t="n">
        <f aca="true">RAND()</f>
        <v>0.344727559084061</v>
      </c>
      <c r="R2931" s="0" t="n">
        <f aca="false">IF($I2931&lt;&gt;$O2931,0,IF(P2931&lt;Matchup!$B$39,7,IF(P2931&lt;Matchup!$B$39+Matchup!$B$40,3,0)))</f>
        <v>0</v>
      </c>
      <c r="S2931" s="0" t="n">
        <f aca="false">IF($I2931&lt;&gt;$O2931,0,IF(Q2931&lt;Matchup!$C$39,7,IF(Q2931&lt;Matchup!$C$39+Matchup!$C$40,3,0)))</f>
        <v>0</v>
      </c>
      <c r="T2931" s="0" t="n">
        <f aca="false">I2931+R2931</f>
        <v>35</v>
      </c>
      <c r="U2931" s="0" t="n">
        <f aca="false">O2931+S2931</f>
        <v>21</v>
      </c>
      <c r="V2931" s="0" t="n">
        <f aca="false">T2931-U2931</f>
        <v>14</v>
      </c>
      <c r="W2931" s="0" t="n">
        <f aca="false">T2931+U2931</f>
        <v>56</v>
      </c>
    </row>
    <row r="2932" customFormat="false" ht="15" hidden="false" customHeight="false" outlineLevel="0" collapsed="false">
      <c r="A2932" s="0" t="n">
        <v>2929</v>
      </c>
      <c r="B2932" s="0" t="n">
        <f aca="true">NORMINV(RAND(),1,Coefficients!$B$22)</f>
        <v>0.947112370093942</v>
      </c>
      <c r="C2932" s="0" t="n">
        <f aca="true">MEDIAN(8,16,ROUND(NORMINV(RAND(),Coefficients!$B$20,Coefficients!$B$21),0))</f>
        <v>11</v>
      </c>
      <c r="D2932" s="0" t="n">
        <f aca="true">CRITBINOM($C2932,MIN(0.75,Matchup!$B$39*$B2932),RAND())</f>
        <v>3</v>
      </c>
      <c r="E2932" s="0" t="n">
        <f aca="true">CRITBINOM(D2932,Coefficients!$B$30,RAND())</f>
        <v>0</v>
      </c>
      <c r="F2932" s="0" t="n">
        <f aca="true">CRITBINOM(E2932,Coefficients!$B$31,RAND())</f>
        <v>0</v>
      </c>
      <c r="G2932" s="0" t="n">
        <f aca="true">CRITBINOM(MAX(0,D2932-E2932),1-Coefficients!$B$32,RAND())</f>
        <v>0</v>
      </c>
      <c r="H2932" s="0" t="n">
        <f aca="true">CRITBINOM(MAX(0,$C2932-D2932),MIN(0.6,Matchup!$B$40*SQRT($B2932)/(1-MIN(0.75,Matchup!$B$39*$B2932))),RAND())</f>
        <v>0</v>
      </c>
      <c r="I2932" s="0" t="n">
        <f aca="false">6*D2932+(D2932-E2932-G2932)+2*F2932+3*H2932</f>
        <v>21</v>
      </c>
      <c r="J2932" s="0" t="n">
        <f aca="true">CRITBINOM($C2932,MIN(0.75,Matchup!$C$39*$B2932),RAND())</f>
        <v>3</v>
      </c>
      <c r="K2932" s="0" t="n">
        <f aca="true">CRITBINOM(J2932,Coefficients!$B$30,RAND())</f>
        <v>0</v>
      </c>
      <c r="L2932" s="0" t="n">
        <f aca="true">CRITBINOM(K2932,Coefficients!$B$31,RAND())</f>
        <v>0</v>
      </c>
      <c r="M2932" s="0" t="n">
        <f aca="true">CRITBINOM(MAX(0,J2932-K2932),1-Coefficients!$B$32,RAND())</f>
        <v>1</v>
      </c>
      <c r="N2932" s="0" t="n">
        <f aca="true">CRITBINOM(MAX(0,$C2932-J2932),MIN(0.6,Matchup!$C$40*SQRT($B2932)/(1-MIN(0.75,Matchup!$C$39*$B2932))),RAND())</f>
        <v>0</v>
      </c>
      <c r="O2932" s="0" t="n">
        <f aca="false">6*J2932+(J2932-K2932-M2932)+2*L2932+3*N2932</f>
        <v>20</v>
      </c>
      <c r="P2932" s="0" t="n">
        <f aca="true">RAND()</f>
        <v>0.228177225691633</v>
      </c>
      <c r="Q2932" s="0" t="n">
        <f aca="true">RAND()</f>
        <v>0.203816324081147</v>
      </c>
      <c r="R2932" s="0" t="n">
        <f aca="false">IF($I2932&lt;&gt;$O2932,0,IF(P2932&lt;Matchup!$B$39,7,IF(P2932&lt;Matchup!$B$39+Matchup!$B$40,3,0)))</f>
        <v>0</v>
      </c>
      <c r="S2932" s="0" t="n">
        <f aca="false">IF($I2932&lt;&gt;$O2932,0,IF(Q2932&lt;Matchup!$C$39,7,IF(Q2932&lt;Matchup!$C$39+Matchup!$C$40,3,0)))</f>
        <v>0</v>
      </c>
      <c r="T2932" s="0" t="n">
        <f aca="false">I2932+R2932</f>
        <v>21</v>
      </c>
      <c r="U2932" s="0" t="n">
        <f aca="false">O2932+S2932</f>
        <v>20</v>
      </c>
      <c r="V2932" s="0" t="n">
        <f aca="false">T2932-U2932</f>
        <v>1</v>
      </c>
      <c r="W2932" s="0" t="n">
        <f aca="false">T2932+U2932</f>
        <v>41</v>
      </c>
    </row>
    <row r="2933" customFormat="false" ht="15" hidden="false" customHeight="false" outlineLevel="0" collapsed="false">
      <c r="A2933" s="0" t="n">
        <v>2930</v>
      </c>
      <c r="B2933" s="0" t="n">
        <f aca="true">NORMINV(RAND(),1,Coefficients!$B$22)</f>
        <v>1.06982264253241</v>
      </c>
      <c r="C2933" s="0" t="n">
        <f aca="true">MEDIAN(8,16,ROUND(NORMINV(RAND(),Coefficients!$B$20,Coefficients!$B$21),0))</f>
        <v>10</v>
      </c>
      <c r="D2933" s="0" t="n">
        <f aca="true">CRITBINOM($C2933,MIN(0.75,Matchup!$B$39*$B2933),RAND())</f>
        <v>3</v>
      </c>
      <c r="E2933" s="0" t="n">
        <f aca="true">CRITBINOM(D2933,Coefficients!$B$30,RAND())</f>
        <v>1</v>
      </c>
      <c r="F2933" s="0" t="n">
        <f aca="true">CRITBINOM(E2933,Coefficients!$B$31,RAND())</f>
        <v>0</v>
      </c>
      <c r="G2933" s="0" t="n">
        <f aca="true">CRITBINOM(MAX(0,D2933-E2933),1-Coefficients!$B$32,RAND())</f>
        <v>0</v>
      </c>
      <c r="H2933" s="0" t="n">
        <f aca="true">CRITBINOM(MAX(0,$C2933-D2933),MIN(0.6,Matchup!$B$40*SQRT($B2933)/(1-MIN(0.75,Matchup!$B$39*$B2933))),RAND())</f>
        <v>1</v>
      </c>
      <c r="I2933" s="0" t="n">
        <f aca="false">6*D2933+(D2933-E2933-G2933)+2*F2933+3*H2933</f>
        <v>23</v>
      </c>
      <c r="J2933" s="0" t="n">
        <f aca="true">CRITBINOM($C2933,MIN(0.75,Matchup!$C$39*$B2933),RAND())</f>
        <v>4</v>
      </c>
      <c r="K2933" s="0" t="n">
        <f aca="true">CRITBINOM(J2933,Coefficients!$B$30,RAND())</f>
        <v>0</v>
      </c>
      <c r="L2933" s="0" t="n">
        <f aca="true">CRITBINOM(K2933,Coefficients!$B$31,RAND())</f>
        <v>0</v>
      </c>
      <c r="M2933" s="0" t="n">
        <f aca="true">CRITBINOM(MAX(0,J2933-K2933),1-Coefficients!$B$32,RAND())</f>
        <v>0</v>
      </c>
      <c r="N2933" s="0" t="n">
        <f aca="true">CRITBINOM(MAX(0,$C2933-J2933),MIN(0.6,Matchup!$C$40*SQRT($B2933)/(1-MIN(0.75,Matchup!$C$39*$B2933))),RAND())</f>
        <v>0</v>
      </c>
      <c r="O2933" s="0" t="n">
        <f aca="false">6*J2933+(J2933-K2933-M2933)+2*L2933+3*N2933</f>
        <v>28</v>
      </c>
      <c r="P2933" s="0" t="n">
        <f aca="true">RAND()</f>
        <v>0.24912673773529</v>
      </c>
      <c r="Q2933" s="0" t="n">
        <f aca="true">RAND()</f>
        <v>0.599518116708838</v>
      </c>
      <c r="R2933" s="0" t="n">
        <f aca="false">IF($I2933&lt;&gt;$O2933,0,IF(P2933&lt;Matchup!$B$39,7,IF(P2933&lt;Matchup!$B$39+Matchup!$B$40,3,0)))</f>
        <v>0</v>
      </c>
      <c r="S2933" s="0" t="n">
        <f aca="false">IF($I2933&lt;&gt;$O2933,0,IF(Q2933&lt;Matchup!$C$39,7,IF(Q2933&lt;Matchup!$C$39+Matchup!$C$40,3,0)))</f>
        <v>0</v>
      </c>
      <c r="T2933" s="0" t="n">
        <f aca="false">I2933+R2933</f>
        <v>23</v>
      </c>
      <c r="U2933" s="0" t="n">
        <f aca="false">O2933+S2933</f>
        <v>28</v>
      </c>
      <c r="V2933" s="0" t="n">
        <f aca="false">T2933-U2933</f>
        <v>-5</v>
      </c>
      <c r="W2933" s="0" t="n">
        <f aca="false">T2933+U2933</f>
        <v>51</v>
      </c>
    </row>
    <row r="2934" customFormat="false" ht="15" hidden="false" customHeight="false" outlineLevel="0" collapsed="false">
      <c r="A2934" s="0" t="n">
        <v>2931</v>
      </c>
      <c r="B2934" s="0" t="n">
        <f aca="true">NORMINV(RAND(),1,Coefficients!$B$22)</f>
        <v>0.917082141056238</v>
      </c>
      <c r="C2934" s="0" t="n">
        <f aca="true">MEDIAN(8,16,ROUND(NORMINV(RAND(),Coefficients!$B$20,Coefficients!$B$21),0))</f>
        <v>10</v>
      </c>
      <c r="D2934" s="0" t="n">
        <f aca="true">CRITBINOM($C2934,MIN(0.75,Matchup!$B$39*$B2934),RAND())</f>
        <v>5</v>
      </c>
      <c r="E2934" s="0" t="n">
        <f aca="true">CRITBINOM(D2934,Coefficients!$B$30,RAND())</f>
        <v>0</v>
      </c>
      <c r="F2934" s="0" t="n">
        <f aca="true">CRITBINOM(E2934,Coefficients!$B$31,RAND())</f>
        <v>0</v>
      </c>
      <c r="G2934" s="0" t="n">
        <f aca="true">CRITBINOM(MAX(0,D2934-E2934),1-Coefficients!$B$32,RAND())</f>
        <v>0</v>
      </c>
      <c r="H2934" s="0" t="n">
        <f aca="true">CRITBINOM(MAX(0,$C2934-D2934),MIN(0.6,Matchup!$B$40*SQRT($B2934)/(1-MIN(0.75,Matchup!$B$39*$B2934))),RAND())</f>
        <v>0</v>
      </c>
      <c r="I2934" s="0" t="n">
        <f aca="false">6*D2934+(D2934-E2934-G2934)+2*F2934+3*H2934</f>
        <v>35</v>
      </c>
      <c r="J2934" s="0" t="n">
        <f aca="true">CRITBINOM($C2934,MIN(0.75,Matchup!$C$39*$B2934),RAND())</f>
        <v>2</v>
      </c>
      <c r="K2934" s="0" t="n">
        <f aca="true">CRITBINOM(J2934,Coefficients!$B$30,RAND())</f>
        <v>1</v>
      </c>
      <c r="L2934" s="0" t="n">
        <f aca="true">CRITBINOM(K2934,Coefficients!$B$31,RAND())</f>
        <v>1</v>
      </c>
      <c r="M2934" s="0" t="n">
        <f aca="true">CRITBINOM(MAX(0,J2934-K2934),1-Coefficients!$B$32,RAND())</f>
        <v>0</v>
      </c>
      <c r="N2934" s="0" t="n">
        <f aca="true">CRITBINOM(MAX(0,$C2934-J2934),MIN(0.6,Matchup!$C$40*SQRT($B2934)/(1-MIN(0.75,Matchup!$C$39*$B2934))),RAND())</f>
        <v>1</v>
      </c>
      <c r="O2934" s="0" t="n">
        <f aca="false">6*J2934+(J2934-K2934-M2934)+2*L2934+3*N2934</f>
        <v>18</v>
      </c>
      <c r="P2934" s="0" t="n">
        <f aca="true">RAND()</f>
        <v>0.898651775428916</v>
      </c>
      <c r="Q2934" s="0" t="n">
        <f aca="true">RAND()</f>
        <v>0.773872879063365</v>
      </c>
      <c r="R2934" s="0" t="n">
        <f aca="false">IF($I2934&lt;&gt;$O2934,0,IF(P2934&lt;Matchup!$B$39,7,IF(P2934&lt;Matchup!$B$39+Matchup!$B$40,3,0)))</f>
        <v>0</v>
      </c>
      <c r="S2934" s="0" t="n">
        <f aca="false">IF($I2934&lt;&gt;$O2934,0,IF(Q2934&lt;Matchup!$C$39,7,IF(Q2934&lt;Matchup!$C$39+Matchup!$C$40,3,0)))</f>
        <v>0</v>
      </c>
      <c r="T2934" s="0" t="n">
        <f aca="false">I2934+R2934</f>
        <v>35</v>
      </c>
      <c r="U2934" s="0" t="n">
        <f aca="false">O2934+S2934</f>
        <v>18</v>
      </c>
      <c r="V2934" s="0" t="n">
        <f aca="false">T2934-U2934</f>
        <v>17</v>
      </c>
      <c r="W2934" s="0" t="n">
        <f aca="false">T2934+U2934</f>
        <v>53</v>
      </c>
    </row>
    <row r="2935" customFormat="false" ht="15" hidden="false" customHeight="false" outlineLevel="0" collapsed="false">
      <c r="A2935" s="0" t="n">
        <v>2932</v>
      </c>
      <c r="B2935" s="0" t="n">
        <f aca="true">NORMINV(RAND(),1,Coefficients!$B$22)</f>
        <v>1.0089082923478</v>
      </c>
      <c r="C2935" s="0" t="n">
        <f aca="true">MEDIAN(8,16,ROUND(NORMINV(RAND(),Coefficients!$B$20,Coefficients!$B$21),0))</f>
        <v>9</v>
      </c>
      <c r="D2935" s="0" t="n">
        <f aca="true">CRITBINOM($C2935,MIN(0.75,Matchup!$B$39*$B2935),RAND())</f>
        <v>3</v>
      </c>
      <c r="E2935" s="0" t="n">
        <f aca="true">CRITBINOM(D2935,Coefficients!$B$30,RAND())</f>
        <v>0</v>
      </c>
      <c r="F2935" s="0" t="n">
        <f aca="true">CRITBINOM(E2935,Coefficients!$B$31,RAND())</f>
        <v>0</v>
      </c>
      <c r="G2935" s="0" t="n">
        <f aca="true">CRITBINOM(MAX(0,D2935-E2935),1-Coefficients!$B$32,RAND())</f>
        <v>0</v>
      </c>
      <c r="H2935" s="0" t="n">
        <f aca="true">CRITBINOM(MAX(0,$C2935-D2935),MIN(0.6,Matchup!$B$40*SQRT($B2935)/(1-MIN(0.75,Matchup!$B$39*$B2935))),RAND())</f>
        <v>1</v>
      </c>
      <c r="I2935" s="0" t="n">
        <f aca="false">6*D2935+(D2935-E2935-G2935)+2*F2935+3*H2935</f>
        <v>24</v>
      </c>
      <c r="J2935" s="0" t="n">
        <f aca="true">CRITBINOM($C2935,MIN(0.75,Matchup!$C$39*$B2935),RAND())</f>
        <v>2</v>
      </c>
      <c r="K2935" s="0" t="n">
        <f aca="true">CRITBINOM(J2935,Coefficients!$B$30,RAND())</f>
        <v>0</v>
      </c>
      <c r="L2935" s="0" t="n">
        <f aca="true">CRITBINOM(K2935,Coefficients!$B$31,RAND())</f>
        <v>0</v>
      </c>
      <c r="M2935" s="0" t="n">
        <f aca="true">CRITBINOM(MAX(0,J2935-K2935),1-Coefficients!$B$32,RAND())</f>
        <v>0</v>
      </c>
      <c r="N2935" s="0" t="n">
        <f aca="true">CRITBINOM(MAX(0,$C2935-J2935),MIN(0.6,Matchup!$C$40*SQRT($B2935)/(1-MIN(0.75,Matchup!$C$39*$B2935))),RAND())</f>
        <v>1</v>
      </c>
      <c r="O2935" s="0" t="n">
        <f aca="false">6*J2935+(J2935-K2935-M2935)+2*L2935+3*N2935</f>
        <v>17</v>
      </c>
      <c r="P2935" s="0" t="n">
        <f aca="true">RAND()</f>
        <v>0.602422368350042</v>
      </c>
      <c r="Q2935" s="0" t="n">
        <f aca="true">RAND()</f>
        <v>0.897170298854646</v>
      </c>
      <c r="R2935" s="0" t="n">
        <f aca="false">IF($I2935&lt;&gt;$O2935,0,IF(P2935&lt;Matchup!$B$39,7,IF(P2935&lt;Matchup!$B$39+Matchup!$B$40,3,0)))</f>
        <v>0</v>
      </c>
      <c r="S2935" s="0" t="n">
        <f aca="false">IF($I2935&lt;&gt;$O2935,0,IF(Q2935&lt;Matchup!$C$39,7,IF(Q2935&lt;Matchup!$C$39+Matchup!$C$40,3,0)))</f>
        <v>0</v>
      </c>
      <c r="T2935" s="0" t="n">
        <f aca="false">I2935+R2935</f>
        <v>24</v>
      </c>
      <c r="U2935" s="0" t="n">
        <f aca="false">O2935+S2935</f>
        <v>17</v>
      </c>
      <c r="V2935" s="0" t="n">
        <f aca="false">T2935-U2935</f>
        <v>7</v>
      </c>
      <c r="W2935" s="0" t="n">
        <f aca="false">T2935+U2935</f>
        <v>41</v>
      </c>
    </row>
    <row r="2936" customFormat="false" ht="15" hidden="false" customHeight="false" outlineLevel="0" collapsed="false">
      <c r="A2936" s="0" t="n">
        <v>2933</v>
      </c>
      <c r="B2936" s="0" t="n">
        <f aca="true">NORMINV(RAND(),1,Coefficients!$B$22)</f>
        <v>0.979970929710192</v>
      </c>
      <c r="C2936" s="0" t="n">
        <f aca="true">MEDIAN(8,16,ROUND(NORMINV(RAND(),Coefficients!$B$20,Coefficients!$B$21),0))</f>
        <v>12</v>
      </c>
      <c r="D2936" s="0" t="n">
        <f aca="true">CRITBINOM($C2936,MIN(0.75,Matchup!$B$39*$B2936),RAND())</f>
        <v>4</v>
      </c>
      <c r="E2936" s="0" t="n">
        <f aca="true">CRITBINOM(D2936,Coefficients!$B$30,RAND())</f>
        <v>1</v>
      </c>
      <c r="F2936" s="0" t="n">
        <f aca="true">CRITBINOM(E2936,Coefficients!$B$31,RAND())</f>
        <v>0</v>
      </c>
      <c r="G2936" s="0" t="n">
        <f aca="true">CRITBINOM(MAX(0,D2936-E2936),1-Coefficients!$B$32,RAND())</f>
        <v>1</v>
      </c>
      <c r="H2936" s="0" t="n">
        <f aca="true">CRITBINOM(MAX(0,$C2936-D2936),MIN(0.6,Matchup!$B$40*SQRT($B2936)/(1-MIN(0.75,Matchup!$B$39*$B2936))),RAND())</f>
        <v>0</v>
      </c>
      <c r="I2936" s="0" t="n">
        <f aca="false">6*D2936+(D2936-E2936-G2936)+2*F2936+3*H2936</f>
        <v>26</v>
      </c>
      <c r="J2936" s="0" t="n">
        <f aca="true">CRITBINOM($C2936,MIN(0.75,Matchup!$C$39*$B2936),RAND())</f>
        <v>4</v>
      </c>
      <c r="K2936" s="0" t="n">
        <f aca="true">CRITBINOM(J2936,Coefficients!$B$30,RAND())</f>
        <v>1</v>
      </c>
      <c r="L2936" s="0" t="n">
        <f aca="true">CRITBINOM(K2936,Coefficients!$B$31,RAND())</f>
        <v>1</v>
      </c>
      <c r="M2936" s="0" t="n">
        <f aca="true">CRITBINOM(MAX(0,J2936-K2936),1-Coefficients!$B$32,RAND())</f>
        <v>0</v>
      </c>
      <c r="N2936" s="0" t="n">
        <f aca="true">CRITBINOM(MAX(0,$C2936-J2936),MIN(0.6,Matchup!$C$40*SQRT($B2936)/(1-MIN(0.75,Matchup!$C$39*$B2936))),RAND())</f>
        <v>1</v>
      </c>
      <c r="O2936" s="0" t="n">
        <f aca="false">6*J2936+(J2936-K2936-M2936)+2*L2936+3*N2936</f>
        <v>32</v>
      </c>
      <c r="P2936" s="0" t="n">
        <f aca="true">RAND()</f>
        <v>0.166022512322757</v>
      </c>
      <c r="Q2936" s="0" t="n">
        <f aca="true">RAND()</f>
        <v>0.481903275640285</v>
      </c>
      <c r="R2936" s="0" t="n">
        <f aca="false">IF($I2936&lt;&gt;$O2936,0,IF(P2936&lt;Matchup!$B$39,7,IF(P2936&lt;Matchup!$B$39+Matchup!$B$40,3,0)))</f>
        <v>0</v>
      </c>
      <c r="S2936" s="0" t="n">
        <f aca="false">IF($I2936&lt;&gt;$O2936,0,IF(Q2936&lt;Matchup!$C$39,7,IF(Q2936&lt;Matchup!$C$39+Matchup!$C$40,3,0)))</f>
        <v>0</v>
      </c>
      <c r="T2936" s="0" t="n">
        <f aca="false">I2936+R2936</f>
        <v>26</v>
      </c>
      <c r="U2936" s="0" t="n">
        <f aca="false">O2936+S2936</f>
        <v>32</v>
      </c>
      <c r="V2936" s="0" t="n">
        <f aca="false">T2936-U2936</f>
        <v>-6</v>
      </c>
      <c r="W2936" s="0" t="n">
        <f aca="false">T2936+U2936</f>
        <v>58</v>
      </c>
    </row>
    <row r="2937" customFormat="false" ht="15" hidden="false" customHeight="false" outlineLevel="0" collapsed="false">
      <c r="A2937" s="0" t="n">
        <v>2934</v>
      </c>
      <c r="B2937" s="0" t="n">
        <f aca="true">NORMINV(RAND(),1,Coefficients!$B$22)</f>
        <v>1.0143385113611</v>
      </c>
      <c r="C2937" s="0" t="n">
        <f aca="true">MEDIAN(8,16,ROUND(NORMINV(RAND(),Coefficients!$B$20,Coefficients!$B$21),0))</f>
        <v>11</v>
      </c>
      <c r="D2937" s="0" t="n">
        <f aca="true">CRITBINOM($C2937,MIN(0.75,Matchup!$B$39*$B2937),RAND())</f>
        <v>2</v>
      </c>
      <c r="E2937" s="0" t="n">
        <f aca="true">CRITBINOM(D2937,Coefficients!$B$30,RAND())</f>
        <v>0</v>
      </c>
      <c r="F2937" s="0" t="n">
        <f aca="true">CRITBINOM(E2937,Coefficients!$B$31,RAND())</f>
        <v>0</v>
      </c>
      <c r="G2937" s="0" t="n">
        <f aca="true">CRITBINOM(MAX(0,D2937-E2937),1-Coefficients!$B$32,RAND())</f>
        <v>0</v>
      </c>
      <c r="H2937" s="0" t="n">
        <f aca="true">CRITBINOM(MAX(0,$C2937-D2937),MIN(0.6,Matchup!$B$40*SQRT($B2937)/(1-MIN(0.75,Matchup!$B$39*$B2937))),RAND())</f>
        <v>1</v>
      </c>
      <c r="I2937" s="0" t="n">
        <f aca="false">6*D2937+(D2937-E2937-G2937)+2*F2937+3*H2937</f>
        <v>17</v>
      </c>
      <c r="J2937" s="0" t="n">
        <f aca="true">CRITBINOM($C2937,MIN(0.75,Matchup!$C$39*$B2937),RAND())</f>
        <v>1</v>
      </c>
      <c r="K2937" s="0" t="n">
        <f aca="true">CRITBINOM(J2937,Coefficients!$B$30,RAND())</f>
        <v>0</v>
      </c>
      <c r="L2937" s="0" t="n">
        <f aca="true">CRITBINOM(K2937,Coefficients!$B$31,RAND())</f>
        <v>0</v>
      </c>
      <c r="M2937" s="0" t="n">
        <f aca="true">CRITBINOM(MAX(0,J2937-K2937),1-Coefficients!$B$32,RAND())</f>
        <v>0</v>
      </c>
      <c r="N2937" s="0" t="n">
        <f aca="true">CRITBINOM(MAX(0,$C2937-J2937),MIN(0.6,Matchup!$C$40*SQRT($B2937)/(1-MIN(0.75,Matchup!$C$39*$B2937))),RAND())</f>
        <v>4</v>
      </c>
      <c r="O2937" s="0" t="n">
        <f aca="false">6*J2937+(J2937-K2937-M2937)+2*L2937+3*N2937</f>
        <v>19</v>
      </c>
      <c r="P2937" s="0" t="n">
        <f aca="true">RAND()</f>
        <v>0.491561425764578</v>
      </c>
      <c r="Q2937" s="0" t="n">
        <f aca="true">RAND()</f>
        <v>0.987304823829525</v>
      </c>
      <c r="R2937" s="0" t="n">
        <f aca="false">IF($I2937&lt;&gt;$O2937,0,IF(P2937&lt;Matchup!$B$39,7,IF(P2937&lt;Matchup!$B$39+Matchup!$B$40,3,0)))</f>
        <v>0</v>
      </c>
      <c r="S2937" s="0" t="n">
        <f aca="false">IF($I2937&lt;&gt;$O2937,0,IF(Q2937&lt;Matchup!$C$39,7,IF(Q2937&lt;Matchup!$C$39+Matchup!$C$40,3,0)))</f>
        <v>0</v>
      </c>
      <c r="T2937" s="0" t="n">
        <f aca="false">I2937+R2937</f>
        <v>17</v>
      </c>
      <c r="U2937" s="0" t="n">
        <f aca="false">O2937+S2937</f>
        <v>19</v>
      </c>
      <c r="V2937" s="0" t="n">
        <f aca="false">T2937-U2937</f>
        <v>-2</v>
      </c>
      <c r="W2937" s="0" t="n">
        <f aca="false">T2937+U2937</f>
        <v>36</v>
      </c>
    </row>
    <row r="2938" customFormat="false" ht="15" hidden="false" customHeight="false" outlineLevel="0" collapsed="false">
      <c r="A2938" s="0" t="n">
        <v>2935</v>
      </c>
      <c r="B2938" s="0" t="n">
        <f aca="true">NORMINV(RAND(),1,Coefficients!$B$22)</f>
        <v>1.03653109643576</v>
      </c>
      <c r="C2938" s="0" t="n">
        <f aca="true">MEDIAN(8,16,ROUND(NORMINV(RAND(),Coefficients!$B$20,Coefficients!$B$21),0))</f>
        <v>11</v>
      </c>
      <c r="D2938" s="0" t="n">
        <f aca="true">CRITBINOM($C2938,MIN(0.75,Matchup!$B$39*$B2938),RAND())</f>
        <v>0</v>
      </c>
      <c r="E2938" s="0" t="n">
        <f aca="true">CRITBINOM(D2938,Coefficients!$B$30,RAND())</f>
        <v>0</v>
      </c>
      <c r="F2938" s="0" t="n">
        <f aca="true">CRITBINOM(E2938,Coefficients!$B$31,RAND())</f>
        <v>0</v>
      </c>
      <c r="G2938" s="0" t="n">
        <f aca="true">CRITBINOM(MAX(0,D2938-E2938),1-Coefficients!$B$32,RAND())</f>
        <v>0</v>
      </c>
      <c r="H2938" s="0" t="n">
        <f aca="true">CRITBINOM(MAX(0,$C2938-D2938),MIN(0.6,Matchup!$B$40*SQRT($B2938)/(1-MIN(0.75,Matchup!$B$39*$B2938))),RAND())</f>
        <v>2</v>
      </c>
      <c r="I2938" s="0" t="n">
        <f aca="false">6*D2938+(D2938-E2938-G2938)+2*F2938+3*H2938</f>
        <v>6</v>
      </c>
      <c r="J2938" s="0" t="n">
        <f aca="true">CRITBINOM($C2938,MIN(0.75,Matchup!$C$39*$B2938),RAND())</f>
        <v>2</v>
      </c>
      <c r="K2938" s="0" t="n">
        <f aca="true">CRITBINOM(J2938,Coefficients!$B$30,RAND())</f>
        <v>0</v>
      </c>
      <c r="L2938" s="0" t="n">
        <f aca="true">CRITBINOM(K2938,Coefficients!$B$31,RAND())</f>
        <v>0</v>
      </c>
      <c r="M2938" s="0" t="n">
        <f aca="true">CRITBINOM(MAX(0,J2938-K2938),1-Coefficients!$B$32,RAND())</f>
        <v>0</v>
      </c>
      <c r="N2938" s="0" t="n">
        <f aca="true">CRITBINOM(MAX(0,$C2938-J2938),MIN(0.6,Matchup!$C$40*SQRT($B2938)/(1-MIN(0.75,Matchup!$C$39*$B2938))),RAND())</f>
        <v>1</v>
      </c>
      <c r="O2938" s="0" t="n">
        <f aca="false">6*J2938+(J2938-K2938-M2938)+2*L2938+3*N2938</f>
        <v>17</v>
      </c>
      <c r="P2938" s="0" t="n">
        <f aca="true">RAND()</f>
        <v>0.636308742840417</v>
      </c>
      <c r="Q2938" s="0" t="n">
        <f aca="true">RAND()</f>
        <v>0.869434067864429</v>
      </c>
      <c r="R2938" s="0" t="n">
        <f aca="false">IF($I2938&lt;&gt;$O2938,0,IF(P2938&lt;Matchup!$B$39,7,IF(P2938&lt;Matchup!$B$39+Matchup!$B$40,3,0)))</f>
        <v>0</v>
      </c>
      <c r="S2938" s="0" t="n">
        <f aca="false">IF($I2938&lt;&gt;$O2938,0,IF(Q2938&lt;Matchup!$C$39,7,IF(Q2938&lt;Matchup!$C$39+Matchup!$C$40,3,0)))</f>
        <v>0</v>
      </c>
      <c r="T2938" s="0" t="n">
        <f aca="false">I2938+R2938</f>
        <v>6</v>
      </c>
      <c r="U2938" s="0" t="n">
        <f aca="false">O2938+S2938</f>
        <v>17</v>
      </c>
      <c r="V2938" s="0" t="n">
        <f aca="false">T2938-U2938</f>
        <v>-11</v>
      </c>
      <c r="W2938" s="0" t="n">
        <f aca="false">T2938+U2938</f>
        <v>23</v>
      </c>
    </row>
    <row r="2939" customFormat="false" ht="15" hidden="false" customHeight="false" outlineLevel="0" collapsed="false">
      <c r="A2939" s="0" t="n">
        <v>2936</v>
      </c>
      <c r="B2939" s="0" t="n">
        <f aca="true">NORMINV(RAND(),1,Coefficients!$B$22)</f>
        <v>0.954034513059241</v>
      </c>
      <c r="C2939" s="0" t="n">
        <f aca="true">MEDIAN(8,16,ROUND(NORMINV(RAND(),Coefficients!$B$20,Coefficients!$B$21),0))</f>
        <v>12</v>
      </c>
      <c r="D2939" s="0" t="n">
        <f aca="true">CRITBINOM($C2939,MIN(0.75,Matchup!$B$39*$B2939),RAND())</f>
        <v>1</v>
      </c>
      <c r="E2939" s="0" t="n">
        <f aca="true">CRITBINOM(D2939,Coefficients!$B$30,RAND())</f>
        <v>0</v>
      </c>
      <c r="F2939" s="0" t="n">
        <f aca="true">CRITBINOM(E2939,Coefficients!$B$31,RAND())</f>
        <v>0</v>
      </c>
      <c r="G2939" s="0" t="n">
        <f aca="true">CRITBINOM(MAX(0,D2939-E2939),1-Coefficients!$B$32,RAND())</f>
        <v>0</v>
      </c>
      <c r="H2939" s="0" t="n">
        <f aca="true">CRITBINOM(MAX(0,$C2939-D2939),MIN(0.6,Matchup!$B$40*SQRT($B2939)/(1-MIN(0.75,Matchup!$B$39*$B2939))),RAND())</f>
        <v>2</v>
      </c>
      <c r="I2939" s="0" t="n">
        <f aca="false">6*D2939+(D2939-E2939-G2939)+2*F2939+3*H2939</f>
        <v>13</v>
      </c>
      <c r="J2939" s="0" t="n">
        <f aca="true">CRITBINOM($C2939,MIN(0.75,Matchup!$C$39*$B2939),RAND())</f>
        <v>3</v>
      </c>
      <c r="K2939" s="0" t="n">
        <f aca="true">CRITBINOM(J2939,Coefficients!$B$30,RAND())</f>
        <v>1</v>
      </c>
      <c r="L2939" s="0" t="n">
        <f aca="true">CRITBINOM(K2939,Coefficients!$B$31,RAND())</f>
        <v>1</v>
      </c>
      <c r="M2939" s="0" t="n">
        <f aca="true">CRITBINOM(MAX(0,J2939-K2939),1-Coefficients!$B$32,RAND())</f>
        <v>0</v>
      </c>
      <c r="N2939" s="0" t="n">
        <f aca="true">CRITBINOM(MAX(0,$C2939-J2939),MIN(0.6,Matchup!$C$40*SQRT($B2939)/(1-MIN(0.75,Matchup!$C$39*$B2939))),RAND())</f>
        <v>0</v>
      </c>
      <c r="O2939" s="0" t="n">
        <f aca="false">6*J2939+(J2939-K2939-M2939)+2*L2939+3*N2939</f>
        <v>22</v>
      </c>
      <c r="P2939" s="0" t="n">
        <f aca="true">RAND()</f>
        <v>0.535545678942725</v>
      </c>
      <c r="Q2939" s="0" t="n">
        <f aca="true">RAND()</f>
        <v>0.284983538598643</v>
      </c>
      <c r="R2939" s="0" t="n">
        <f aca="false">IF($I2939&lt;&gt;$O2939,0,IF(P2939&lt;Matchup!$B$39,7,IF(P2939&lt;Matchup!$B$39+Matchup!$B$40,3,0)))</f>
        <v>0</v>
      </c>
      <c r="S2939" s="0" t="n">
        <f aca="false">IF($I2939&lt;&gt;$O2939,0,IF(Q2939&lt;Matchup!$C$39,7,IF(Q2939&lt;Matchup!$C$39+Matchup!$C$40,3,0)))</f>
        <v>0</v>
      </c>
      <c r="T2939" s="0" t="n">
        <f aca="false">I2939+R2939</f>
        <v>13</v>
      </c>
      <c r="U2939" s="0" t="n">
        <f aca="false">O2939+S2939</f>
        <v>22</v>
      </c>
      <c r="V2939" s="0" t="n">
        <f aca="false">T2939-U2939</f>
        <v>-9</v>
      </c>
      <c r="W2939" s="0" t="n">
        <f aca="false">T2939+U2939</f>
        <v>35</v>
      </c>
    </row>
    <row r="2940" customFormat="false" ht="15" hidden="false" customHeight="false" outlineLevel="0" collapsed="false">
      <c r="A2940" s="0" t="n">
        <v>2937</v>
      </c>
      <c r="B2940" s="0" t="n">
        <f aca="true">NORMINV(RAND(),1,Coefficients!$B$22)</f>
        <v>0.94543666336806</v>
      </c>
      <c r="C2940" s="0" t="n">
        <f aca="true">MEDIAN(8,16,ROUND(NORMINV(RAND(),Coefficients!$B$20,Coefficients!$B$21),0))</f>
        <v>12</v>
      </c>
      <c r="D2940" s="0" t="n">
        <f aca="true">CRITBINOM($C2940,MIN(0.75,Matchup!$B$39*$B2940),RAND())</f>
        <v>5</v>
      </c>
      <c r="E2940" s="0" t="n">
        <f aca="true">CRITBINOM(D2940,Coefficients!$B$30,RAND())</f>
        <v>0</v>
      </c>
      <c r="F2940" s="0" t="n">
        <f aca="true">CRITBINOM(E2940,Coefficients!$B$31,RAND())</f>
        <v>0</v>
      </c>
      <c r="G2940" s="0" t="n">
        <f aca="true">CRITBINOM(MAX(0,D2940-E2940),1-Coefficients!$B$32,RAND())</f>
        <v>0</v>
      </c>
      <c r="H2940" s="0" t="n">
        <f aca="true">CRITBINOM(MAX(0,$C2940-D2940),MIN(0.6,Matchup!$B$40*SQRT($B2940)/(1-MIN(0.75,Matchup!$B$39*$B2940))),RAND())</f>
        <v>3</v>
      </c>
      <c r="I2940" s="0" t="n">
        <f aca="false">6*D2940+(D2940-E2940-G2940)+2*F2940+3*H2940</f>
        <v>44</v>
      </c>
      <c r="J2940" s="0" t="n">
        <f aca="true">CRITBINOM($C2940,MIN(0.75,Matchup!$C$39*$B2940),RAND())</f>
        <v>2</v>
      </c>
      <c r="K2940" s="0" t="n">
        <f aca="true">CRITBINOM(J2940,Coefficients!$B$30,RAND())</f>
        <v>0</v>
      </c>
      <c r="L2940" s="0" t="n">
        <f aca="true">CRITBINOM(K2940,Coefficients!$B$31,RAND())</f>
        <v>0</v>
      </c>
      <c r="M2940" s="0" t="n">
        <f aca="true">CRITBINOM(MAX(0,J2940-K2940),1-Coefficients!$B$32,RAND())</f>
        <v>0</v>
      </c>
      <c r="N2940" s="0" t="n">
        <f aca="true">CRITBINOM(MAX(0,$C2940-J2940),MIN(0.6,Matchup!$C$40*SQRT($B2940)/(1-MIN(0.75,Matchup!$C$39*$B2940))),RAND())</f>
        <v>3</v>
      </c>
      <c r="O2940" s="0" t="n">
        <f aca="false">6*J2940+(J2940-K2940-M2940)+2*L2940+3*N2940</f>
        <v>23</v>
      </c>
      <c r="P2940" s="0" t="n">
        <f aca="true">RAND()</f>
        <v>0.945550154113442</v>
      </c>
      <c r="Q2940" s="0" t="n">
        <f aca="true">RAND()</f>
        <v>0.813715226848684</v>
      </c>
      <c r="R2940" s="0" t="n">
        <f aca="false">IF($I2940&lt;&gt;$O2940,0,IF(P2940&lt;Matchup!$B$39,7,IF(P2940&lt;Matchup!$B$39+Matchup!$B$40,3,0)))</f>
        <v>0</v>
      </c>
      <c r="S2940" s="0" t="n">
        <f aca="false">IF($I2940&lt;&gt;$O2940,0,IF(Q2940&lt;Matchup!$C$39,7,IF(Q2940&lt;Matchup!$C$39+Matchup!$C$40,3,0)))</f>
        <v>0</v>
      </c>
      <c r="T2940" s="0" t="n">
        <f aca="false">I2940+R2940</f>
        <v>44</v>
      </c>
      <c r="U2940" s="0" t="n">
        <f aca="false">O2940+S2940</f>
        <v>23</v>
      </c>
      <c r="V2940" s="0" t="n">
        <f aca="false">T2940-U2940</f>
        <v>21</v>
      </c>
      <c r="W2940" s="0" t="n">
        <f aca="false">T2940+U2940</f>
        <v>67</v>
      </c>
    </row>
    <row r="2941" customFormat="false" ht="15" hidden="false" customHeight="false" outlineLevel="0" collapsed="false">
      <c r="A2941" s="0" t="n">
        <v>2938</v>
      </c>
      <c r="B2941" s="0" t="n">
        <f aca="true">NORMINV(RAND(),1,Coefficients!$B$22)</f>
        <v>0.918893096658245</v>
      </c>
      <c r="C2941" s="0" t="n">
        <f aca="true">MEDIAN(8,16,ROUND(NORMINV(RAND(),Coefficients!$B$20,Coefficients!$B$21),0))</f>
        <v>9</v>
      </c>
      <c r="D2941" s="0" t="n">
        <f aca="true">CRITBINOM($C2941,MIN(0.75,Matchup!$B$39*$B2941),RAND())</f>
        <v>1</v>
      </c>
      <c r="E2941" s="0" t="n">
        <f aca="true">CRITBINOM(D2941,Coefficients!$B$30,RAND())</f>
        <v>0</v>
      </c>
      <c r="F2941" s="0" t="n">
        <f aca="true">CRITBINOM(E2941,Coefficients!$B$31,RAND())</f>
        <v>0</v>
      </c>
      <c r="G2941" s="0" t="n">
        <f aca="true">CRITBINOM(MAX(0,D2941-E2941),1-Coefficients!$B$32,RAND())</f>
        <v>0</v>
      </c>
      <c r="H2941" s="0" t="n">
        <f aca="true">CRITBINOM(MAX(0,$C2941-D2941),MIN(0.6,Matchup!$B$40*SQRT($B2941)/(1-MIN(0.75,Matchup!$B$39*$B2941))),RAND())</f>
        <v>2</v>
      </c>
      <c r="I2941" s="0" t="n">
        <f aca="false">6*D2941+(D2941-E2941-G2941)+2*F2941+3*H2941</f>
        <v>13</v>
      </c>
      <c r="J2941" s="0" t="n">
        <f aca="true">CRITBINOM($C2941,MIN(0.75,Matchup!$C$39*$B2941),RAND())</f>
        <v>4</v>
      </c>
      <c r="K2941" s="0" t="n">
        <f aca="true">CRITBINOM(J2941,Coefficients!$B$30,RAND())</f>
        <v>1</v>
      </c>
      <c r="L2941" s="0" t="n">
        <f aca="true">CRITBINOM(K2941,Coefficients!$B$31,RAND())</f>
        <v>0</v>
      </c>
      <c r="M2941" s="0" t="n">
        <f aca="true">CRITBINOM(MAX(0,J2941-K2941),1-Coefficients!$B$32,RAND())</f>
        <v>0</v>
      </c>
      <c r="N2941" s="0" t="n">
        <f aca="true">CRITBINOM(MAX(0,$C2941-J2941),MIN(0.6,Matchup!$C$40*SQRT($B2941)/(1-MIN(0.75,Matchup!$C$39*$B2941))),RAND())</f>
        <v>1</v>
      </c>
      <c r="O2941" s="0" t="n">
        <f aca="false">6*J2941+(J2941-K2941-M2941)+2*L2941+3*N2941</f>
        <v>30</v>
      </c>
      <c r="P2941" s="0" t="n">
        <f aca="true">RAND()</f>
        <v>0.162130096326927</v>
      </c>
      <c r="Q2941" s="0" t="n">
        <f aca="true">RAND()</f>
        <v>0.0137398816060221</v>
      </c>
      <c r="R2941" s="0" t="n">
        <f aca="false">IF($I2941&lt;&gt;$O2941,0,IF(P2941&lt;Matchup!$B$39,7,IF(P2941&lt;Matchup!$B$39+Matchup!$B$40,3,0)))</f>
        <v>0</v>
      </c>
      <c r="S2941" s="0" t="n">
        <f aca="false">IF($I2941&lt;&gt;$O2941,0,IF(Q2941&lt;Matchup!$C$39,7,IF(Q2941&lt;Matchup!$C$39+Matchup!$C$40,3,0)))</f>
        <v>0</v>
      </c>
      <c r="T2941" s="0" t="n">
        <f aca="false">I2941+R2941</f>
        <v>13</v>
      </c>
      <c r="U2941" s="0" t="n">
        <f aca="false">O2941+S2941</f>
        <v>30</v>
      </c>
      <c r="V2941" s="0" t="n">
        <f aca="false">T2941-U2941</f>
        <v>-17</v>
      </c>
      <c r="W2941" s="0" t="n">
        <f aca="false">T2941+U2941</f>
        <v>43</v>
      </c>
    </row>
    <row r="2942" customFormat="false" ht="15" hidden="false" customHeight="false" outlineLevel="0" collapsed="false">
      <c r="A2942" s="0" t="n">
        <v>2939</v>
      </c>
      <c r="B2942" s="0" t="n">
        <f aca="true">NORMINV(RAND(),1,Coefficients!$B$22)</f>
        <v>0.976578483456177</v>
      </c>
      <c r="C2942" s="0" t="n">
        <f aca="true">MEDIAN(8,16,ROUND(NORMINV(RAND(),Coefficients!$B$20,Coefficients!$B$21),0))</f>
        <v>11</v>
      </c>
      <c r="D2942" s="0" t="n">
        <f aca="true">CRITBINOM($C2942,MIN(0.75,Matchup!$B$39*$B2942),RAND())</f>
        <v>4</v>
      </c>
      <c r="E2942" s="0" t="n">
        <f aca="true">CRITBINOM(D2942,Coefficients!$B$30,RAND())</f>
        <v>0</v>
      </c>
      <c r="F2942" s="0" t="n">
        <f aca="true">CRITBINOM(E2942,Coefficients!$B$31,RAND())</f>
        <v>0</v>
      </c>
      <c r="G2942" s="0" t="n">
        <f aca="true">CRITBINOM(MAX(0,D2942-E2942),1-Coefficients!$B$32,RAND())</f>
        <v>0</v>
      </c>
      <c r="H2942" s="0" t="n">
        <f aca="true">CRITBINOM(MAX(0,$C2942-D2942),MIN(0.6,Matchup!$B$40*SQRT($B2942)/(1-MIN(0.75,Matchup!$B$39*$B2942))),RAND())</f>
        <v>1</v>
      </c>
      <c r="I2942" s="0" t="n">
        <f aca="false">6*D2942+(D2942-E2942-G2942)+2*F2942+3*H2942</f>
        <v>31</v>
      </c>
      <c r="J2942" s="0" t="n">
        <f aca="true">CRITBINOM($C2942,MIN(0.75,Matchup!$C$39*$B2942),RAND())</f>
        <v>1</v>
      </c>
      <c r="K2942" s="0" t="n">
        <f aca="true">CRITBINOM(J2942,Coefficients!$B$30,RAND())</f>
        <v>0</v>
      </c>
      <c r="L2942" s="0" t="n">
        <f aca="true">CRITBINOM(K2942,Coefficients!$B$31,RAND())</f>
        <v>0</v>
      </c>
      <c r="M2942" s="0" t="n">
        <f aca="true">CRITBINOM(MAX(0,J2942-K2942),1-Coefficients!$B$32,RAND())</f>
        <v>0</v>
      </c>
      <c r="N2942" s="0" t="n">
        <f aca="true">CRITBINOM(MAX(0,$C2942-J2942),MIN(0.6,Matchup!$C$40*SQRT($B2942)/(1-MIN(0.75,Matchup!$C$39*$B2942))),RAND())</f>
        <v>5</v>
      </c>
      <c r="O2942" s="0" t="n">
        <f aca="false">6*J2942+(J2942-K2942-M2942)+2*L2942+3*N2942</f>
        <v>22</v>
      </c>
      <c r="P2942" s="0" t="n">
        <f aca="true">RAND()</f>
        <v>0.110963884145198</v>
      </c>
      <c r="Q2942" s="0" t="n">
        <f aca="true">RAND()</f>
        <v>0.613361192031316</v>
      </c>
      <c r="R2942" s="0" t="n">
        <f aca="false">IF($I2942&lt;&gt;$O2942,0,IF(P2942&lt;Matchup!$B$39,7,IF(P2942&lt;Matchup!$B$39+Matchup!$B$40,3,0)))</f>
        <v>0</v>
      </c>
      <c r="S2942" s="0" t="n">
        <f aca="false">IF($I2942&lt;&gt;$O2942,0,IF(Q2942&lt;Matchup!$C$39,7,IF(Q2942&lt;Matchup!$C$39+Matchup!$C$40,3,0)))</f>
        <v>0</v>
      </c>
      <c r="T2942" s="0" t="n">
        <f aca="false">I2942+R2942</f>
        <v>31</v>
      </c>
      <c r="U2942" s="0" t="n">
        <f aca="false">O2942+S2942</f>
        <v>22</v>
      </c>
      <c r="V2942" s="0" t="n">
        <f aca="false">T2942-U2942</f>
        <v>9</v>
      </c>
      <c r="W2942" s="0" t="n">
        <f aca="false">T2942+U2942</f>
        <v>53</v>
      </c>
    </row>
    <row r="2943" customFormat="false" ht="15" hidden="false" customHeight="false" outlineLevel="0" collapsed="false">
      <c r="A2943" s="0" t="n">
        <v>2940</v>
      </c>
      <c r="B2943" s="0" t="n">
        <f aca="true">NORMINV(RAND(),1,Coefficients!$B$22)</f>
        <v>1.064171442183</v>
      </c>
      <c r="C2943" s="0" t="n">
        <f aca="true">MEDIAN(8,16,ROUND(NORMINV(RAND(),Coefficients!$B$20,Coefficients!$B$21),0))</f>
        <v>13</v>
      </c>
      <c r="D2943" s="0" t="n">
        <f aca="true">CRITBINOM($C2943,MIN(0.75,Matchup!$B$39*$B2943),RAND())</f>
        <v>3</v>
      </c>
      <c r="E2943" s="0" t="n">
        <f aca="true">CRITBINOM(D2943,Coefficients!$B$30,RAND())</f>
        <v>0</v>
      </c>
      <c r="F2943" s="0" t="n">
        <f aca="true">CRITBINOM(E2943,Coefficients!$B$31,RAND())</f>
        <v>0</v>
      </c>
      <c r="G2943" s="0" t="n">
        <f aca="true">CRITBINOM(MAX(0,D2943-E2943),1-Coefficients!$B$32,RAND())</f>
        <v>1</v>
      </c>
      <c r="H2943" s="0" t="n">
        <f aca="true">CRITBINOM(MAX(0,$C2943-D2943),MIN(0.6,Matchup!$B$40*SQRT($B2943)/(1-MIN(0.75,Matchup!$B$39*$B2943))),RAND())</f>
        <v>0</v>
      </c>
      <c r="I2943" s="0" t="n">
        <f aca="false">6*D2943+(D2943-E2943-G2943)+2*F2943+3*H2943</f>
        <v>20</v>
      </c>
      <c r="J2943" s="0" t="n">
        <f aca="true">CRITBINOM($C2943,MIN(0.75,Matchup!$C$39*$B2943),RAND())</f>
        <v>4</v>
      </c>
      <c r="K2943" s="0" t="n">
        <f aca="true">CRITBINOM(J2943,Coefficients!$B$30,RAND())</f>
        <v>0</v>
      </c>
      <c r="L2943" s="0" t="n">
        <f aca="true">CRITBINOM(K2943,Coefficients!$B$31,RAND())</f>
        <v>0</v>
      </c>
      <c r="M2943" s="0" t="n">
        <f aca="true">CRITBINOM(MAX(0,J2943-K2943),1-Coefficients!$B$32,RAND())</f>
        <v>0</v>
      </c>
      <c r="N2943" s="0" t="n">
        <f aca="true">CRITBINOM(MAX(0,$C2943-J2943),MIN(0.6,Matchup!$C$40*SQRT($B2943)/(1-MIN(0.75,Matchup!$C$39*$B2943))),RAND())</f>
        <v>1</v>
      </c>
      <c r="O2943" s="0" t="n">
        <f aca="false">6*J2943+(J2943-K2943-M2943)+2*L2943+3*N2943</f>
        <v>31</v>
      </c>
      <c r="P2943" s="0" t="n">
        <f aca="true">RAND()</f>
        <v>0.334646119670006</v>
      </c>
      <c r="Q2943" s="0" t="n">
        <f aca="true">RAND()</f>
        <v>0.656690787488153</v>
      </c>
      <c r="R2943" s="0" t="n">
        <f aca="false">IF($I2943&lt;&gt;$O2943,0,IF(P2943&lt;Matchup!$B$39,7,IF(P2943&lt;Matchup!$B$39+Matchup!$B$40,3,0)))</f>
        <v>0</v>
      </c>
      <c r="S2943" s="0" t="n">
        <f aca="false">IF($I2943&lt;&gt;$O2943,0,IF(Q2943&lt;Matchup!$C$39,7,IF(Q2943&lt;Matchup!$C$39+Matchup!$C$40,3,0)))</f>
        <v>0</v>
      </c>
      <c r="T2943" s="0" t="n">
        <f aca="false">I2943+R2943</f>
        <v>20</v>
      </c>
      <c r="U2943" s="0" t="n">
        <f aca="false">O2943+S2943</f>
        <v>31</v>
      </c>
      <c r="V2943" s="0" t="n">
        <f aca="false">T2943-U2943</f>
        <v>-11</v>
      </c>
      <c r="W2943" s="0" t="n">
        <f aca="false">T2943+U2943</f>
        <v>51</v>
      </c>
    </row>
    <row r="2944" customFormat="false" ht="15" hidden="false" customHeight="false" outlineLevel="0" collapsed="false">
      <c r="A2944" s="0" t="n">
        <v>2941</v>
      </c>
      <c r="B2944" s="0" t="n">
        <f aca="true">NORMINV(RAND(),1,Coefficients!$B$22)</f>
        <v>1.05135606033472</v>
      </c>
      <c r="C2944" s="0" t="n">
        <f aca="true">MEDIAN(8,16,ROUND(NORMINV(RAND(),Coefficients!$B$20,Coefficients!$B$21),0))</f>
        <v>12</v>
      </c>
      <c r="D2944" s="0" t="n">
        <f aca="true">CRITBINOM($C2944,MIN(0.75,Matchup!$B$39*$B2944),RAND())</f>
        <v>5</v>
      </c>
      <c r="E2944" s="0" t="n">
        <f aca="true">CRITBINOM(D2944,Coefficients!$B$30,RAND())</f>
        <v>1</v>
      </c>
      <c r="F2944" s="0" t="n">
        <f aca="true">CRITBINOM(E2944,Coefficients!$B$31,RAND())</f>
        <v>1</v>
      </c>
      <c r="G2944" s="0" t="n">
        <f aca="true">CRITBINOM(MAX(0,D2944-E2944),1-Coefficients!$B$32,RAND())</f>
        <v>0</v>
      </c>
      <c r="H2944" s="0" t="n">
        <f aca="true">CRITBINOM(MAX(0,$C2944-D2944),MIN(0.6,Matchup!$B$40*SQRT($B2944)/(1-MIN(0.75,Matchup!$B$39*$B2944))),RAND())</f>
        <v>1</v>
      </c>
      <c r="I2944" s="0" t="n">
        <f aca="false">6*D2944+(D2944-E2944-G2944)+2*F2944+3*H2944</f>
        <v>39</v>
      </c>
      <c r="J2944" s="0" t="n">
        <f aca="true">CRITBINOM($C2944,MIN(0.75,Matchup!$C$39*$B2944),RAND())</f>
        <v>4</v>
      </c>
      <c r="K2944" s="0" t="n">
        <f aca="true">CRITBINOM(J2944,Coefficients!$B$30,RAND())</f>
        <v>1</v>
      </c>
      <c r="L2944" s="0" t="n">
        <f aca="true">CRITBINOM(K2944,Coefficients!$B$31,RAND())</f>
        <v>1</v>
      </c>
      <c r="M2944" s="0" t="n">
        <f aca="true">CRITBINOM(MAX(0,J2944-K2944),1-Coefficients!$B$32,RAND())</f>
        <v>0</v>
      </c>
      <c r="N2944" s="0" t="n">
        <f aca="true">CRITBINOM(MAX(0,$C2944-J2944),MIN(0.6,Matchup!$C$40*SQRT($B2944)/(1-MIN(0.75,Matchup!$C$39*$B2944))),RAND())</f>
        <v>1</v>
      </c>
      <c r="O2944" s="0" t="n">
        <f aca="false">6*J2944+(J2944-K2944-M2944)+2*L2944+3*N2944</f>
        <v>32</v>
      </c>
      <c r="P2944" s="0" t="n">
        <f aca="true">RAND()</f>
        <v>0.410170760419555</v>
      </c>
      <c r="Q2944" s="0" t="n">
        <f aca="true">RAND()</f>
        <v>0.0838110528836718</v>
      </c>
      <c r="R2944" s="0" t="n">
        <f aca="false">IF($I2944&lt;&gt;$O2944,0,IF(P2944&lt;Matchup!$B$39,7,IF(P2944&lt;Matchup!$B$39+Matchup!$B$40,3,0)))</f>
        <v>0</v>
      </c>
      <c r="S2944" s="0" t="n">
        <f aca="false">IF($I2944&lt;&gt;$O2944,0,IF(Q2944&lt;Matchup!$C$39,7,IF(Q2944&lt;Matchup!$C$39+Matchup!$C$40,3,0)))</f>
        <v>0</v>
      </c>
      <c r="T2944" s="0" t="n">
        <f aca="false">I2944+R2944</f>
        <v>39</v>
      </c>
      <c r="U2944" s="0" t="n">
        <f aca="false">O2944+S2944</f>
        <v>32</v>
      </c>
      <c r="V2944" s="0" t="n">
        <f aca="false">T2944-U2944</f>
        <v>7</v>
      </c>
      <c r="W2944" s="0" t="n">
        <f aca="false">T2944+U2944</f>
        <v>71</v>
      </c>
    </row>
    <row r="2945" customFormat="false" ht="15" hidden="false" customHeight="false" outlineLevel="0" collapsed="false">
      <c r="A2945" s="0" t="n">
        <v>2942</v>
      </c>
      <c r="B2945" s="0" t="n">
        <f aca="true">NORMINV(RAND(),1,Coefficients!$B$22)</f>
        <v>0.993530629757368</v>
      </c>
      <c r="C2945" s="0" t="n">
        <f aca="true">MEDIAN(8,16,ROUND(NORMINV(RAND(),Coefficients!$B$20,Coefficients!$B$21),0))</f>
        <v>11</v>
      </c>
      <c r="D2945" s="0" t="n">
        <f aca="true">CRITBINOM($C2945,MIN(0.75,Matchup!$B$39*$B2945),RAND())</f>
        <v>1</v>
      </c>
      <c r="E2945" s="0" t="n">
        <f aca="true">CRITBINOM(D2945,Coefficients!$B$30,RAND())</f>
        <v>0</v>
      </c>
      <c r="F2945" s="0" t="n">
        <f aca="true">CRITBINOM(E2945,Coefficients!$B$31,RAND())</f>
        <v>0</v>
      </c>
      <c r="G2945" s="0" t="n">
        <f aca="true">CRITBINOM(MAX(0,D2945-E2945),1-Coefficients!$B$32,RAND())</f>
        <v>0</v>
      </c>
      <c r="H2945" s="0" t="n">
        <f aca="true">CRITBINOM(MAX(0,$C2945-D2945),MIN(0.6,Matchup!$B$40*SQRT($B2945)/(1-MIN(0.75,Matchup!$B$39*$B2945))),RAND())</f>
        <v>1</v>
      </c>
      <c r="I2945" s="0" t="n">
        <f aca="false">6*D2945+(D2945-E2945-G2945)+2*F2945+3*H2945</f>
        <v>10</v>
      </c>
      <c r="J2945" s="0" t="n">
        <f aca="true">CRITBINOM($C2945,MIN(0.75,Matchup!$C$39*$B2945),RAND())</f>
        <v>1</v>
      </c>
      <c r="K2945" s="0" t="n">
        <f aca="true">CRITBINOM(J2945,Coefficients!$B$30,RAND())</f>
        <v>0</v>
      </c>
      <c r="L2945" s="0" t="n">
        <f aca="true">CRITBINOM(K2945,Coefficients!$B$31,RAND())</f>
        <v>0</v>
      </c>
      <c r="M2945" s="0" t="n">
        <f aca="true">CRITBINOM(MAX(0,J2945-K2945),1-Coefficients!$B$32,RAND())</f>
        <v>0</v>
      </c>
      <c r="N2945" s="0" t="n">
        <f aca="true">CRITBINOM(MAX(0,$C2945-J2945),MIN(0.6,Matchup!$C$40*SQRT($B2945)/(1-MIN(0.75,Matchup!$C$39*$B2945))),RAND())</f>
        <v>1</v>
      </c>
      <c r="O2945" s="0" t="n">
        <f aca="false">6*J2945+(J2945-K2945-M2945)+2*L2945+3*N2945</f>
        <v>10</v>
      </c>
      <c r="P2945" s="0" t="n">
        <f aca="true">RAND()</f>
        <v>0.744631638129841</v>
      </c>
      <c r="Q2945" s="0" t="n">
        <f aca="true">RAND()</f>
        <v>0.173358625985576</v>
      </c>
      <c r="R2945" s="0" t="n">
        <f aca="false">IF($I2945&lt;&gt;$O2945,0,IF(P2945&lt;Matchup!$B$39,7,IF(P2945&lt;Matchup!$B$39+Matchup!$B$40,3,0)))</f>
        <v>0</v>
      </c>
      <c r="S2945" s="0" t="n">
        <f aca="false">IF($I2945&lt;&gt;$O2945,0,IF(Q2945&lt;Matchup!$C$39,7,IF(Q2945&lt;Matchup!$C$39+Matchup!$C$40,3,0)))</f>
        <v>7</v>
      </c>
      <c r="T2945" s="0" t="n">
        <f aca="false">I2945+R2945</f>
        <v>10</v>
      </c>
      <c r="U2945" s="0" t="n">
        <f aca="false">O2945+S2945</f>
        <v>17</v>
      </c>
      <c r="V2945" s="0" t="n">
        <f aca="false">T2945-U2945</f>
        <v>-7</v>
      </c>
      <c r="W2945" s="0" t="n">
        <f aca="false">T2945+U2945</f>
        <v>27</v>
      </c>
    </row>
    <row r="2946" customFormat="false" ht="15" hidden="false" customHeight="false" outlineLevel="0" collapsed="false">
      <c r="A2946" s="0" t="n">
        <v>2943</v>
      </c>
      <c r="B2946" s="0" t="n">
        <f aca="true">NORMINV(RAND(),1,Coefficients!$B$22)</f>
        <v>1.01044844083743</v>
      </c>
      <c r="C2946" s="0" t="n">
        <f aca="true">MEDIAN(8,16,ROUND(NORMINV(RAND(),Coefficients!$B$20,Coefficients!$B$21),0))</f>
        <v>11</v>
      </c>
      <c r="D2946" s="0" t="n">
        <f aca="true">CRITBINOM($C2946,MIN(0.75,Matchup!$B$39*$B2946),RAND())</f>
        <v>2</v>
      </c>
      <c r="E2946" s="0" t="n">
        <f aca="true">CRITBINOM(D2946,Coefficients!$B$30,RAND())</f>
        <v>0</v>
      </c>
      <c r="F2946" s="0" t="n">
        <f aca="true">CRITBINOM(E2946,Coefficients!$B$31,RAND())</f>
        <v>0</v>
      </c>
      <c r="G2946" s="0" t="n">
        <f aca="true">CRITBINOM(MAX(0,D2946-E2946),1-Coefficients!$B$32,RAND())</f>
        <v>0</v>
      </c>
      <c r="H2946" s="0" t="n">
        <f aca="true">CRITBINOM(MAX(0,$C2946-D2946),MIN(0.6,Matchup!$B$40*SQRT($B2946)/(1-MIN(0.75,Matchup!$B$39*$B2946))),RAND())</f>
        <v>3</v>
      </c>
      <c r="I2946" s="0" t="n">
        <f aca="false">6*D2946+(D2946-E2946-G2946)+2*F2946+3*H2946</f>
        <v>23</v>
      </c>
      <c r="J2946" s="0" t="n">
        <f aca="true">CRITBINOM($C2946,MIN(0.75,Matchup!$C$39*$B2946),RAND())</f>
        <v>1</v>
      </c>
      <c r="K2946" s="0" t="n">
        <f aca="true">CRITBINOM(J2946,Coefficients!$B$30,RAND())</f>
        <v>0</v>
      </c>
      <c r="L2946" s="0" t="n">
        <f aca="true">CRITBINOM(K2946,Coefficients!$B$31,RAND())</f>
        <v>0</v>
      </c>
      <c r="M2946" s="0" t="n">
        <f aca="true">CRITBINOM(MAX(0,J2946-K2946),1-Coefficients!$B$32,RAND())</f>
        <v>0</v>
      </c>
      <c r="N2946" s="0" t="n">
        <f aca="true">CRITBINOM(MAX(0,$C2946-J2946),MIN(0.6,Matchup!$C$40*SQRT($B2946)/(1-MIN(0.75,Matchup!$C$39*$B2946))),RAND())</f>
        <v>2</v>
      </c>
      <c r="O2946" s="0" t="n">
        <f aca="false">6*J2946+(J2946-K2946-M2946)+2*L2946+3*N2946</f>
        <v>13</v>
      </c>
      <c r="P2946" s="0" t="n">
        <f aca="true">RAND()</f>
        <v>0.372166359696384</v>
      </c>
      <c r="Q2946" s="0" t="n">
        <f aca="true">RAND()</f>
        <v>0.822195759589325</v>
      </c>
      <c r="R2946" s="0" t="n">
        <f aca="false">IF($I2946&lt;&gt;$O2946,0,IF(P2946&lt;Matchup!$B$39,7,IF(P2946&lt;Matchup!$B$39+Matchup!$B$40,3,0)))</f>
        <v>0</v>
      </c>
      <c r="S2946" s="0" t="n">
        <f aca="false">IF($I2946&lt;&gt;$O2946,0,IF(Q2946&lt;Matchup!$C$39,7,IF(Q2946&lt;Matchup!$C$39+Matchup!$C$40,3,0)))</f>
        <v>0</v>
      </c>
      <c r="T2946" s="0" t="n">
        <f aca="false">I2946+R2946</f>
        <v>23</v>
      </c>
      <c r="U2946" s="0" t="n">
        <f aca="false">O2946+S2946</f>
        <v>13</v>
      </c>
      <c r="V2946" s="0" t="n">
        <f aca="false">T2946-U2946</f>
        <v>10</v>
      </c>
      <c r="W2946" s="0" t="n">
        <f aca="false">T2946+U2946</f>
        <v>36</v>
      </c>
    </row>
    <row r="2947" customFormat="false" ht="15" hidden="false" customHeight="false" outlineLevel="0" collapsed="false">
      <c r="A2947" s="0" t="n">
        <v>2944</v>
      </c>
      <c r="B2947" s="0" t="n">
        <f aca="true">NORMINV(RAND(),1,Coefficients!$B$22)</f>
        <v>1.00468223780043</v>
      </c>
      <c r="C2947" s="0" t="n">
        <f aca="true">MEDIAN(8,16,ROUND(NORMINV(RAND(),Coefficients!$B$20,Coefficients!$B$21),0))</f>
        <v>11</v>
      </c>
      <c r="D2947" s="0" t="n">
        <f aca="true">CRITBINOM($C2947,MIN(0.75,Matchup!$B$39*$B2947),RAND())</f>
        <v>4</v>
      </c>
      <c r="E2947" s="0" t="n">
        <f aca="true">CRITBINOM(D2947,Coefficients!$B$30,RAND())</f>
        <v>1</v>
      </c>
      <c r="F2947" s="0" t="n">
        <f aca="true">CRITBINOM(E2947,Coefficients!$B$31,RAND())</f>
        <v>1</v>
      </c>
      <c r="G2947" s="0" t="n">
        <f aca="true">CRITBINOM(MAX(0,D2947-E2947),1-Coefficients!$B$32,RAND())</f>
        <v>0</v>
      </c>
      <c r="H2947" s="0" t="n">
        <f aca="true">CRITBINOM(MAX(0,$C2947-D2947),MIN(0.6,Matchup!$B$40*SQRT($B2947)/(1-MIN(0.75,Matchup!$B$39*$B2947))),RAND())</f>
        <v>1</v>
      </c>
      <c r="I2947" s="0" t="n">
        <f aca="false">6*D2947+(D2947-E2947-G2947)+2*F2947+3*H2947</f>
        <v>32</v>
      </c>
      <c r="J2947" s="0" t="n">
        <f aca="true">CRITBINOM($C2947,MIN(0.75,Matchup!$C$39*$B2947),RAND())</f>
        <v>2</v>
      </c>
      <c r="K2947" s="0" t="n">
        <f aca="true">CRITBINOM(J2947,Coefficients!$B$30,RAND())</f>
        <v>0</v>
      </c>
      <c r="L2947" s="0" t="n">
        <f aca="true">CRITBINOM(K2947,Coefficients!$B$31,RAND())</f>
        <v>0</v>
      </c>
      <c r="M2947" s="0" t="n">
        <f aca="true">CRITBINOM(MAX(0,J2947-K2947),1-Coefficients!$B$32,RAND())</f>
        <v>0</v>
      </c>
      <c r="N2947" s="0" t="n">
        <f aca="true">CRITBINOM(MAX(0,$C2947-J2947),MIN(0.6,Matchup!$C$40*SQRT($B2947)/(1-MIN(0.75,Matchup!$C$39*$B2947))),RAND())</f>
        <v>3</v>
      </c>
      <c r="O2947" s="0" t="n">
        <f aca="false">6*J2947+(J2947-K2947-M2947)+2*L2947+3*N2947</f>
        <v>23</v>
      </c>
      <c r="P2947" s="0" t="n">
        <f aca="true">RAND()</f>
        <v>0.826247971872724</v>
      </c>
      <c r="Q2947" s="0" t="n">
        <f aca="true">RAND()</f>
        <v>0.827032870628731</v>
      </c>
      <c r="R2947" s="0" t="n">
        <f aca="false">IF($I2947&lt;&gt;$O2947,0,IF(P2947&lt;Matchup!$B$39,7,IF(P2947&lt;Matchup!$B$39+Matchup!$B$40,3,0)))</f>
        <v>0</v>
      </c>
      <c r="S2947" s="0" t="n">
        <f aca="false">IF($I2947&lt;&gt;$O2947,0,IF(Q2947&lt;Matchup!$C$39,7,IF(Q2947&lt;Matchup!$C$39+Matchup!$C$40,3,0)))</f>
        <v>0</v>
      </c>
      <c r="T2947" s="0" t="n">
        <f aca="false">I2947+R2947</f>
        <v>32</v>
      </c>
      <c r="U2947" s="0" t="n">
        <f aca="false">O2947+S2947</f>
        <v>23</v>
      </c>
      <c r="V2947" s="0" t="n">
        <f aca="false">T2947-U2947</f>
        <v>9</v>
      </c>
      <c r="W2947" s="0" t="n">
        <f aca="false">T2947+U2947</f>
        <v>55</v>
      </c>
    </row>
    <row r="2948" customFormat="false" ht="15" hidden="false" customHeight="false" outlineLevel="0" collapsed="false">
      <c r="A2948" s="0" t="n">
        <v>2945</v>
      </c>
      <c r="B2948" s="0" t="n">
        <f aca="true">NORMINV(RAND(),1,Coefficients!$B$22)</f>
        <v>0.929809800764994</v>
      </c>
      <c r="C2948" s="0" t="n">
        <f aca="true">MEDIAN(8,16,ROUND(NORMINV(RAND(),Coefficients!$B$20,Coefficients!$B$21),0))</f>
        <v>12</v>
      </c>
      <c r="D2948" s="0" t="n">
        <f aca="true">CRITBINOM($C2948,MIN(0.75,Matchup!$B$39*$B2948),RAND())</f>
        <v>2</v>
      </c>
      <c r="E2948" s="0" t="n">
        <f aca="true">CRITBINOM(D2948,Coefficients!$B$30,RAND())</f>
        <v>0</v>
      </c>
      <c r="F2948" s="0" t="n">
        <f aca="true">CRITBINOM(E2948,Coefficients!$B$31,RAND())</f>
        <v>0</v>
      </c>
      <c r="G2948" s="0" t="n">
        <f aca="true">CRITBINOM(MAX(0,D2948-E2948),1-Coefficients!$B$32,RAND())</f>
        <v>0</v>
      </c>
      <c r="H2948" s="0" t="n">
        <f aca="true">CRITBINOM(MAX(0,$C2948-D2948),MIN(0.6,Matchup!$B$40*SQRT($B2948)/(1-MIN(0.75,Matchup!$B$39*$B2948))),RAND())</f>
        <v>2</v>
      </c>
      <c r="I2948" s="0" t="n">
        <f aca="false">6*D2948+(D2948-E2948-G2948)+2*F2948+3*H2948</f>
        <v>20</v>
      </c>
      <c r="J2948" s="0" t="n">
        <f aca="true">CRITBINOM($C2948,MIN(0.75,Matchup!$C$39*$B2948),RAND())</f>
        <v>1</v>
      </c>
      <c r="K2948" s="0" t="n">
        <f aca="true">CRITBINOM(J2948,Coefficients!$B$30,RAND())</f>
        <v>0</v>
      </c>
      <c r="L2948" s="0" t="n">
        <f aca="true">CRITBINOM(K2948,Coefficients!$B$31,RAND())</f>
        <v>0</v>
      </c>
      <c r="M2948" s="0" t="n">
        <f aca="true">CRITBINOM(MAX(0,J2948-K2948),1-Coefficients!$B$32,RAND())</f>
        <v>0</v>
      </c>
      <c r="N2948" s="0" t="n">
        <f aca="true">CRITBINOM(MAX(0,$C2948-J2948),MIN(0.6,Matchup!$C$40*SQRT($B2948)/(1-MIN(0.75,Matchup!$C$39*$B2948))),RAND())</f>
        <v>2</v>
      </c>
      <c r="O2948" s="0" t="n">
        <f aca="false">6*J2948+(J2948-K2948-M2948)+2*L2948+3*N2948</f>
        <v>13</v>
      </c>
      <c r="P2948" s="0" t="n">
        <f aca="true">RAND()</f>
        <v>0.143867550718616</v>
      </c>
      <c r="Q2948" s="0" t="n">
        <f aca="true">RAND()</f>
        <v>0.847446995886888</v>
      </c>
      <c r="R2948" s="0" t="n">
        <f aca="false">IF($I2948&lt;&gt;$O2948,0,IF(P2948&lt;Matchup!$B$39,7,IF(P2948&lt;Matchup!$B$39+Matchup!$B$40,3,0)))</f>
        <v>0</v>
      </c>
      <c r="S2948" s="0" t="n">
        <f aca="false">IF($I2948&lt;&gt;$O2948,0,IF(Q2948&lt;Matchup!$C$39,7,IF(Q2948&lt;Matchup!$C$39+Matchup!$C$40,3,0)))</f>
        <v>0</v>
      </c>
      <c r="T2948" s="0" t="n">
        <f aca="false">I2948+R2948</f>
        <v>20</v>
      </c>
      <c r="U2948" s="0" t="n">
        <f aca="false">O2948+S2948</f>
        <v>13</v>
      </c>
      <c r="V2948" s="0" t="n">
        <f aca="false">T2948-U2948</f>
        <v>7</v>
      </c>
      <c r="W2948" s="0" t="n">
        <f aca="false">T2948+U2948</f>
        <v>33</v>
      </c>
    </row>
    <row r="2949" customFormat="false" ht="15" hidden="false" customHeight="false" outlineLevel="0" collapsed="false">
      <c r="A2949" s="0" t="n">
        <v>2946</v>
      </c>
      <c r="B2949" s="0" t="n">
        <f aca="true">NORMINV(RAND(),1,Coefficients!$B$22)</f>
        <v>1.01743559028326</v>
      </c>
      <c r="C2949" s="0" t="n">
        <f aca="true">MEDIAN(8,16,ROUND(NORMINV(RAND(),Coefficients!$B$20,Coefficients!$B$21),0))</f>
        <v>13</v>
      </c>
      <c r="D2949" s="0" t="n">
        <f aca="true">CRITBINOM($C2949,MIN(0.75,Matchup!$B$39*$B2949),RAND())</f>
        <v>3</v>
      </c>
      <c r="E2949" s="0" t="n">
        <f aca="true">CRITBINOM(D2949,Coefficients!$B$30,RAND())</f>
        <v>0</v>
      </c>
      <c r="F2949" s="0" t="n">
        <f aca="true">CRITBINOM(E2949,Coefficients!$B$31,RAND())</f>
        <v>0</v>
      </c>
      <c r="G2949" s="0" t="n">
        <f aca="true">CRITBINOM(MAX(0,D2949-E2949),1-Coefficients!$B$32,RAND())</f>
        <v>0</v>
      </c>
      <c r="H2949" s="0" t="n">
        <f aca="true">CRITBINOM(MAX(0,$C2949-D2949),MIN(0.6,Matchup!$B$40*SQRT($B2949)/(1-MIN(0.75,Matchup!$B$39*$B2949))),RAND())</f>
        <v>1</v>
      </c>
      <c r="I2949" s="0" t="n">
        <f aca="false">6*D2949+(D2949-E2949-G2949)+2*F2949+3*H2949</f>
        <v>24</v>
      </c>
      <c r="J2949" s="0" t="n">
        <f aca="true">CRITBINOM($C2949,MIN(0.75,Matchup!$C$39*$B2949),RAND())</f>
        <v>6</v>
      </c>
      <c r="K2949" s="0" t="n">
        <f aca="true">CRITBINOM(J2949,Coefficients!$B$30,RAND())</f>
        <v>1</v>
      </c>
      <c r="L2949" s="0" t="n">
        <f aca="true">CRITBINOM(K2949,Coefficients!$B$31,RAND())</f>
        <v>1</v>
      </c>
      <c r="M2949" s="0" t="n">
        <f aca="true">CRITBINOM(MAX(0,J2949-K2949),1-Coefficients!$B$32,RAND())</f>
        <v>0</v>
      </c>
      <c r="N2949" s="0" t="n">
        <f aca="true">CRITBINOM(MAX(0,$C2949-J2949),MIN(0.6,Matchup!$C$40*SQRT($B2949)/(1-MIN(0.75,Matchup!$C$39*$B2949))),RAND())</f>
        <v>2</v>
      </c>
      <c r="O2949" s="0" t="n">
        <f aca="false">6*J2949+(J2949-K2949-M2949)+2*L2949+3*N2949</f>
        <v>49</v>
      </c>
      <c r="P2949" s="0" t="n">
        <f aca="true">RAND()</f>
        <v>0.656172853285955</v>
      </c>
      <c r="Q2949" s="0" t="n">
        <f aca="true">RAND()</f>
        <v>0.257330374630336</v>
      </c>
      <c r="R2949" s="0" t="n">
        <f aca="false">IF($I2949&lt;&gt;$O2949,0,IF(P2949&lt;Matchup!$B$39,7,IF(P2949&lt;Matchup!$B$39+Matchup!$B$40,3,0)))</f>
        <v>0</v>
      </c>
      <c r="S2949" s="0" t="n">
        <f aca="false">IF($I2949&lt;&gt;$O2949,0,IF(Q2949&lt;Matchup!$C$39,7,IF(Q2949&lt;Matchup!$C$39+Matchup!$C$40,3,0)))</f>
        <v>0</v>
      </c>
      <c r="T2949" s="0" t="n">
        <f aca="false">I2949+R2949</f>
        <v>24</v>
      </c>
      <c r="U2949" s="0" t="n">
        <f aca="false">O2949+S2949</f>
        <v>49</v>
      </c>
      <c r="V2949" s="0" t="n">
        <f aca="false">T2949-U2949</f>
        <v>-25</v>
      </c>
      <c r="W2949" s="0" t="n">
        <f aca="false">T2949+U2949</f>
        <v>73</v>
      </c>
    </row>
    <row r="2950" customFormat="false" ht="15" hidden="false" customHeight="false" outlineLevel="0" collapsed="false">
      <c r="A2950" s="0" t="n">
        <v>2947</v>
      </c>
      <c r="B2950" s="0" t="n">
        <f aca="true">NORMINV(RAND(),1,Coefficients!$B$22)</f>
        <v>0.903399293916377</v>
      </c>
      <c r="C2950" s="0" t="n">
        <f aca="true">MEDIAN(8,16,ROUND(NORMINV(RAND(),Coefficients!$B$20,Coefficients!$B$21),0))</f>
        <v>11</v>
      </c>
      <c r="D2950" s="0" t="n">
        <f aca="true">CRITBINOM($C2950,MIN(0.75,Matchup!$B$39*$B2950),RAND())</f>
        <v>2</v>
      </c>
      <c r="E2950" s="0" t="n">
        <f aca="true">CRITBINOM(D2950,Coefficients!$B$30,RAND())</f>
        <v>1</v>
      </c>
      <c r="F2950" s="0" t="n">
        <f aca="true">CRITBINOM(E2950,Coefficients!$B$31,RAND())</f>
        <v>1</v>
      </c>
      <c r="G2950" s="0" t="n">
        <f aca="true">CRITBINOM(MAX(0,D2950-E2950),1-Coefficients!$B$32,RAND())</f>
        <v>0</v>
      </c>
      <c r="H2950" s="0" t="n">
        <f aca="true">CRITBINOM(MAX(0,$C2950-D2950),MIN(0.6,Matchup!$B$40*SQRT($B2950)/(1-MIN(0.75,Matchup!$B$39*$B2950))),RAND())</f>
        <v>0</v>
      </c>
      <c r="I2950" s="0" t="n">
        <f aca="false">6*D2950+(D2950-E2950-G2950)+2*F2950+3*H2950</f>
        <v>15</v>
      </c>
      <c r="J2950" s="0" t="n">
        <f aca="true">CRITBINOM($C2950,MIN(0.75,Matchup!$C$39*$B2950),RAND())</f>
        <v>1</v>
      </c>
      <c r="K2950" s="0" t="n">
        <f aca="true">CRITBINOM(J2950,Coefficients!$B$30,RAND())</f>
        <v>0</v>
      </c>
      <c r="L2950" s="0" t="n">
        <f aca="true">CRITBINOM(K2950,Coefficients!$B$31,RAND())</f>
        <v>0</v>
      </c>
      <c r="M2950" s="0" t="n">
        <f aca="true">CRITBINOM(MAX(0,J2950-K2950),1-Coefficients!$B$32,RAND())</f>
        <v>0</v>
      </c>
      <c r="N2950" s="0" t="n">
        <f aca="true">CRITBINOM(MAX(0,$C2950-J2950),MIN(0.6,Matchup!$C$40*SQRT($B2950)/(1-MIN(0.75,Matchup!$C$39*$B2950))),RAND())</f>
        <v>0</v>
      </c>
      <c r="O2950" s="0" t="n">
        <f aca="false">6*J2950+(J2950-K2950-M2950)+2*L2950+3*N2950</f>
        <v>7</v>
      </c>
      <c r="P2950" s="0" t="n">
        <f aca="true">RAND()</f>
        <v>0.687224645014159</v>
      </c>
      <c r="Q2950" s="0" t="n">
        <f aca="true">RAND()</f>
        <v>0.765442046143309</v>
      </c>
      <c r="R2950" s="0" t="n">
        <f aca="false">IF($I2950&lt;&gt;$O2950,0,IF(P2950&lt;Matchup!$B$39,7,IF(P2950&lt;Matchup!$B$39+Matchup!$B$40,3,0)))</f>
        <v>0</v>
      </c>
      <c r="S2950" s="0" t="n">
        <f aca="false">IF($I2950&lt;&gt;$O2950,0,IF(Q2950&lt;Matchup!$C$39,7,IF(Q2950&lt;Matchup!$C$39+Matchup!$C$40,3,0)))</f>
        <v>0</v>
      </c>
      <c r="T2950" s="0" t="n">
        <f aca="false">I2950+R2950</f>
        <v>15</v>
      </c>
      <c r="U2950" s="0" t="n">
        <f aca="false">O2950+S2950</f>
        <v>7</v>
      </c>
      <c r="V2950" s="0" t="n">
        <f aca="false">T2950-U2950</f>
        <v>8</v>
      </c>
      <c r="W2950" s="0" t="n">
        <f aca="false">T2950+U2950</f>
        <v>22</v>
      </c>
    </row>
    <row r="2951" customFormat="false" ht="15" hidden="false" customHeight="false" outlineLevel="0" collapsed="false">
      <c r="A2951" s="0" t="n">
        <v>2948</v>
      </c>
      <c r="B2951" s="0" t="n">
        <f aca="true">NORMINV(RAND(),1,Coefficients!$B$22)</f>
        <v>0.920240955658135</v>
      </c>
      <c r="C2951" s="0" t="n">
        <f aca="true">MEDIAN(8,16,ROUND(NORMINV(RAND(),Coefficients!$B$20,Coefficients!$B$21),0))</f>
        <v>13</v>
      </c>
      <c r="D2951" s="0" t="n">
        <f aca="true">CRITBINOM($C2951,MIN(0.75,Matchup!$B$39*$B2951),RAND())</f>
        <v>3</v>
      </c>
      <c r="E2951" s="0" t="n">
        <f aca="true">CRITBINOM(D2951,Coefficients!$B$30,RAND())</f>
        <v>0</v>
      </c>
      <c r="F2951" s="0" t="n">
        <f aca="true">CRITBINOM(E2951,Coefficients!$B$31,RAND())</f>
        <v>0</v>
      </c>
      <c r="G2951" s="0" t="n">
        <f aca="true">CRITBINOM(MAX(0,D2951-E2951),1-Coefficients!$B$32,RAND())</f>
        <v>0</v>
      </c>
      <c r="H2951" s="0" t="n">
        <f aca="true">CRITBINOM(MAX(0,$C2951-D2951),MIN(0.6,Matchup!$B$40*SQRT($B2951)/(1-MIN(0.75,Matchup!$B$39*$B2951))),RAND())</f>
        <v>1</v>
      </c>
      <c r="I2951" s="0" t="n">
        <f aca="false">6*D2951+(D2951-E2951-G2951)+2*F2951+3*H2951</f>
        <v>24</v>
      </c>
      <c r="J2951" s="0" t="n">
        <f aca="true">CRITBINOM($C2951,MIN(0.75,Matchup!$C$39*$B2951),RAND())</f>
        <v>4</v>
      </c>
      <c r="K2951" s="0" t="n">
        <f aca="true">CRITBINOM(J2951,Coefficients!$B$30,RAND())</f>
        <v>1</v>
      </c>
      <c r="L2951" s="0" t="n">
        <f aca="true">CRITBINOM(K2951,Coefficients!$B$31,RAND())</f>
        <v>0</v>
      </c>
      <c r="M2951" s="0" t="n">
        <f aca="true">CRITBINOM(MAX(0,J2951-K2951),1-Coefficients!$B$32,RAND())</f>
        <v>0</v>
      </c>
      <c r="N2951" s="0" t="n">
        <f aca="true">CRITBINOM(MAX(0,$C2951-J2951),MIN(0.6,Matchup!$C$40*SQRT($B2951)/(1-MIN(0.75,Matchup!$C$39*$B2951))),RAND())</f>
        <v>2</v>
      </c>
      <c r="O2951" s="0" t="n">
        <f aca="false">6*J2951+(J2951-K2951-M2951)+2*L2951+3*N2951</f>
        <v>33</v>
      </c>
      <c r="P2951" s="0" t="n">
        <f aca="true">RAND()</f>
        <v>0.514157860094281</v>
      </c>
      <c r="Q2951" s="0" t="n">
        <f aca="true">RAND()</f>
        <v>0.2808743943354</v>
      </c>
      <c r="R2951" s="0" t="n">
        <f aca="false">IF($I2951&lt;&gt;$O2951,0,IF(P2951&lt;Matchup!$B$39,7,IF(P2951&lt;Matchup!$B$39+Matchup!$B$40,3,0)))</f>
        <v>0</v>
      </c>
      <c r="S2951" s="0" t="n">
        <f aca="false">IF($I2951&lt;&gt;$O2951,0,IF(Q2951&lt;Matchup!$C$39,7,IF(Q2951&lt;Matchup!$C$39+Matchup!$C$40,3,0)))</f>
        <v>0</v>
      </c>
      <c r="T2951" s="0" t="n">
        <f aca="false">I2951+R2951</f>
        <v>24</v>
      </c>
      <c r="U2951" s="0" t="n">
        <f aca="false">O2951+S2951</f>
        <v>33</v>
      </c>
      <c r="V2951" s="0" t="n">
        <f aca="false">T2951-U2951</f>
        <v>-9</v>
      </c>
      <c r="W2951" s="0" t="n">
        <f aca="false">T2951+U2951</f>
        <v>57</v>
      </c>
    </row>
    <row r="2952" customFormat="false" ht="15" hidden="false" customHeight="false" outlineLevel="0" collapsed="false">
      <c r="A2952" s="0" t="n">
        <v>2949</v>
      </c>
      <c r="B2952" s="0" t="n">
        <f aca="true">NORMINV(RAND(),1,Coefficients!$B$22)</f>
        <v>0.933741262333524</v>
      </c>
      <c r="C2952" s="0" t="n">
        <f aca="true">MEDIAN(8,16,ROUND(NORMINV(RAND(),Coefficients!$B$20,Coefficients!$B$21),0))</f>
        <v>13</v>
      </c>
      <c r="D2952" s="0" t="n">
        <f aca="true">CRITBINOM($C2952,MIN(0.75,Matchup!$B$39*$B2952),RAND())</f>
        <v>3</v>
      </c>
      <c r="E2952" s="0" t="n">
        <f aca="true">CRITBINOM(D2952,Coefficients!$B$30,RAND())</f>
        <v>1</v>
      </c>
      <c r="F2952" s="0" t="n">
        <f aca="true">CRITBINOM(E2952,Coefficients!$B$31,RAND())</f>
        <v>1</v>
      </c>
      <c r="G2952" s="0" t="n">
        <f aca="true">CRITBINOM(MAX(0,D2952-E2952),1-Coefficients!$B$32,RAND())</f>
        <v>0</v>
      </c>
      <c r="H2952" s="0" t="n">
        <f aca="true">CRITBINOM(MAX(0,$C2952-D2952),MIN(0.6,Matchup!$B$40*SQRT($B2952)/(1-MIN(0.75,Matchup!$B$39*$B2952))),RAND())</f>
        <v>4</v>
      </c>
      <c r="I2952" s="0" t="n">
        <f aca="false">6*D2952+(D2952-E2952-G2952)+2*F2952+3*H2952</f>
        <v>34</v>
      </c>
      <c r="J2952" s="0" t="n">
        <f aca="true">CRITBINOM($C2952,MIN(0.75,Matchup!$C$39*$B2952),RAND())</f>
        <v>3</v>
      </c>
      <c r="K2952" s="0" t="n">
        <f aca="true">CRITBINOM(J2952,Coefficients!$B$30,RAND())</f>
        <v>0</v>
      </c>
      <c r="L2952" s="0" t="n">
        <f aca="true">CRITBINOM(K2952,Coefficients!$B$31,RAND())</f>
        <v>0</v>
      </c>
      <c r="M2952" s="0" t="n">
        <f aca="true">CRITBINOM(MAX(0,J2952-K2952),1-Coefficients!$B$32,RAND())</f>
        <v>0</v>
      </c>
      <c r="N2952" s="0" t="n">
        <f aca="true">CRITBINOM(MAX(0,$C2952-J2952),MIN(0.6,Matchup!$C$40*SQRT($B2952)/(1-MIN(0.75,Matchup!$C$39*$B2952))),RAND())</f>
        <v>0</v>
      </c>
      <c r="O2952" s="0" t="n">
        <f aca="false">6*J2952+(J2952-K2952-M2952)+2*L2952+3*N2952</f>
        <v>21</v>
      </c>
      <c r="P2952" s="0" t="n">
        <f aca="true">RAND()</f>
        <v>0.661635361184749</v>
      </c>
      <c r="Q2952" s="0" t="n">
        <f aca="true">RAND()</f>
        <v>0.549562304149213</v>
      </c>
      <c r="R2952" s="0" t="n">
        <f aca="false">IF($I2952&lt;&gt;$O2952,0,IF(P2952&lt;Matchup!$B$39,7,IF(P2952&lt;Matchup!$B$39+Matchup!$B$40,3,0)))</f>
        <v>0</v>
      </c>
      <c r="S2952" s="0" t="n">
        <f aca="false">IF($I2952&lt;&gt;$O2952,0,IF(Q2952&lt;Matchup!$C$39,7,IF(Q2952&lt;Matchup!$C$39+Matchup!$C$40,3,0)))</f>
        <v>0</v>
      </c>
      <c r="T2952" s="0" t="n">
        <f aca="false">I2952+R2952</f>
        <v>34</v>
      </c>
      <c r="U2952" s="0" t="n">
        <f aca="false">O2952+S2952</f>
        <v>21</v>
      </c>
      <c r="V2952" s="0" t="n">
        <f aca="false">T2952-U2952</f>
        <v>13</v>
      </c>
      <c r="W2952" s="0" t="n">
        <f aca="false">T2952+U2952</f>
        <v>55</v>
      </c>
    </row>
    <row r="2953" customFormat="false" ht="15" hidden="false" customHeight="false" outlineLevel="0" collapsed="false">
      <c r="A2953" s="0" t="n">
        <v>2950</v>
      </c>
      <c r="B2953" s="0" t="n">
        <f aca="true">NORMINV(RAND(),1,Coefficients!$B$22)</f>
        <v>1.07186095804116</v>
      </c>
      <c r="C2953" s="0" t="n">
        <f aca="true">MEDIAN(8,16,ROUND(NORMINV(RAND(),Coefficients!$B$20,Coefficients!$B$21),0))</f>
        <v>11</v>
      </c>
      <c r="D2953" s="0" t="n">
        <f aca="true">CRITBINOM($C2953,MIN(0.75,Matchup!$B$39*$B2953),RAND())</f>
        <v>3</v>
      </c>
      <c r="E2953" s="0" t="n">
        <f aca="true">CRITBINOM(D2953,Coefficients!$B$30,RAND())</f>
        <v>1</v>
      </c>
      <c r="F2953" s="0" t="n">
        <f aca="true">CRITBINOM(E2953,Coefficients!$B$31,RAND())</f>
        <v>1</v>
      </c>
      <c r="G2953" s="0" t="n">
        <f aca="true">CRITBINOM(MAX(0,D2953-E2953),1-Coefficients!$B$32,RAND())</f>
        <v>0</v>
      </c>
      <c r="H2953" s="0" t="n">
        <f aca="true">CRITBINOM(MAX(0,$C2953-D2953),MIN(0.6,Matchup!$B$40*SQRT($B2953)/(1-MIN(0.75,Matchup!$B$39*$B2953))),RAND())</f>
        <v>0</v>
      </c>
      <c r="I2953" s="0" t="n">
        <f aca="false">6*D2953+(D2953-E2953-G2953)+2*F2953+3*H2953</f>
        <v>22</v>
      </c>
      <c r="J2953" s="0" t="n">
        <f aca="true">CRITBINOM($C2953,MIN(0.75,Matchup!$C$39*$B2953),RAND())</f>
        <v>2</v>
      </c>
      <c r="K2953" s="0" t="n">
        <f aca="true">CRITBINOM(J2953,Coefficients!$B$30,RAND())</f>
        <v>0</v>
      </c>
      <c r="L2953" s="0" t="n">
        <f aca="true">CRITBINOM(K2953,Coefficients!$B$31,RAND())</f>
        <v>0</v>
      </c>
      <c r="M2953" s="0" t="n">
        <f aca="true">CRITBINOM(MAX(0,J2953-K2953),1-Coefficients!$B$32,RAND())</f>
        <v>0</v>
      </c>
      <c r="N2953" s="0" t="n">
        <f aca="true">CRITBINOM(MAX(0,$C2953-J2953),MIN(0.6,Matchup!$C$40*SQRT($B2953)/(1-MIN(0.75,Matchup!$C$39*$B2953))),RAND())</f>
        <v>3</v>
      </c>
      <c r="O2953" s="0" t="n">
        <f aca="false">6*J2953+(J2953-K2953-M2953)+2*L2953+3*N2953</f>
        <v>23</v>
      </c>
      <c r="P2953" s="0" t="n">
        <f aca="true">RAND()</f>
        <v>0.164504423854111</v>
      </c>
      <c r="Q2953" s="0" t="n">
        <f aca="true">RAND()</f>
        <v>0.514531348724628</v>
      </c>
      <c r="R2953" s="0" t="n">
        <f aca="false">IF($I2953&lt;&gt;$O2953,0,IF(P2953&lt;Matchup!$B$39,7,IF(P2953&lt;Matchup!$B$39+Matchup!$B$40,3,0)))</f>
        <v>0</v>
      </c>
      <c r="S2953" s="0" t="n">
        <f aca="false">IF($I2953&lt;&gt;$O2953,0,IF(Q2953&lt;Matchup!$C$39,7,IF(Q2953&lt;Matchup!$C$39+Matchup!$C$40,3,0)))</f>
        <v>0</v>
      </c>
      <c r="T2953" s="0" t="n">
        <f aca="false">I2953+R2953</f>
        <v>22</v>
      </c>
      <c r="U2953" s="0" t="n">
        <f aca="false">O2953+S2953</f>
        <v>23</v>
      </c>
      <c r="V2953" s="0" t="n">
        <f aca="false">T2953-U2953</f>
        <v>-1</v>
      </c>
      <c r="W2953" s="0" t="n">
        <f aca="false">T2953+U2953</f>
        <v>45</v>
      </c>
    </row>
    <row r="2954" customFormat="false" ht="15" hidden="false" customHeight="false" outlineLevel="0" collapsed="false">
      <c r="A2954" s="0" t="n">
        <v>2951</v>
      </c>
      <c r="B2954" s="0" t="n">
        <f aca="true">NORMINV(RAND(),1,Coefficients!$B$22)</f>
        <v>0.988525547053602</v>
      </c>
      <c r="C2954" s="0" t="n">
        <f aca="true">MEDIAN(8,16,ROUND(NORMINV(RAND(),Coefficients!$B$20,Coefficients!$B$21),0))</f>
        <v>11</v>
      </c>
      <c r="D2954" s="0" t="n">
        <f aca="true">CRITBINOM($C2954,MIN(0.75,Matchup!$B$39*$B2954),RAND())</f>
        <v>3</v>
      </c>
      <c r="E2954" s="0" t="n">
        <f aca="true">CRITBINOM(D2954,Coefficients!$B$30,RAND())</f>
        <v>0</v>
      </c>
      <c r="F2954" s="0" t="n">
        <f aca="true">CRITBINOM(E2954,Coefficients!$B$31,RAND())</f>
        <v>0</v>
      </c>
      <c r="G2954" s="0" t="n">
        <f aca="true">CRITBINOM(MAX(0,D2954-E2954),1-Coefficients!$B$32,RAND())</f>
        <v>0</v>
      </c>
      <c r="H2954" s="0" t="n">
        <f aca="true">CRITBINOM(MAX(0,$C2954-D2954),MIN(0.6,Matchup!$B$40*SQRT($B2954)/(1-MIN(0.75,Matchup!$B$39*$B2954))),RAND())</f>
        <v>2</v>
      </c>
      <c r="I2954" s="0" t="n">
        <f aca="false">6*D2954+(D2954-E2954-G2954)+2*F2954+3*H2954</f>
        <v>27</v>
      </c>
      <c r="J2954" s="0" t="n">
        <f aca="true">CRITBINOM($C2954,MIN(0.75,Matchup!$C$39*$B2954),RAND())</f>
        <v>2</v>
      </c>
      <c r="K2954" s="0" t="n">
        <f aca="true">CRITBINOM(J2954,Coefficients!$B$30,RAND())</f>
        <v>0</v>
      </c>
      <c r="L2954" s="0" t="n">
        <f aca="true">CRITBINOM(K2954,Coefficients!$B$31,RAND())</f>
        <v>0</v>
      </c>
      <c r="M2954" s="0" t="n">
        <f aca="true">CRITBINOM(MAX(0,J2954-K2954),1-Coefficients!$B$32,RAND())</f>
        <v>0</v>
      </c>
      <c r="N2954" s="0" t="n">
        <f aca="true">CRITBINOM(MAX(0,$C2954-J2954),MIN(0.6,Matchup!$C$40*SQRT($B2954)/(1-MIN(0.75,Matchup!$C$39*$B2954))),RAND())</f>
        <v>0</v>
      </c>
      <c r="O2954" s="0" t="n">
        <f aca="false">6*J2954+(J2954-K2954-M2954)+2*L2954+3*N2954</f>
        <v>14</v>
      </c>
      <c r="P2954" s="0" t="n">
        <f aca="true">RAND()</f>
        <v>0.246143530656393</v>
      </c>
      <c r="Q2954" s="0" t="n">
        <f aca="true">RAND()</f>
        <v>0.367015693571089</v>
      </c>
      <c r="R2954" s="0" t="n">
        <f aca="false">IF($I2954&lt;&gt;$O2954,0,IF(P2954&lt;Matchup!$B$39,7,IF(P2954&lt;Matchup!$B$39+Matchup!$B$40,3,0)))</f>
        <v>0</v>
      </c>
      <c r="S2954" s="0" t="n">
        <f aca="false">IF($I2954&lt;&gt;$O2954,0,IF(Q2954&lt;Matchup!$C$39,7,IF(Q2954&lt;Matchup!$C$39+Matchup!$C$40,3,0)))</f>
        <v>0</v>
      </c>
      <c r="T2954" s="0" t="n">
        <f aca="false">I2954+R2954</f>
        <v>27</v>
      </c>
      <c r="U2954" s="0" t="n">
        <f aca="false">O2954+S2954</f>
        <v>14</v>
      </c>
      <c r="V2954" s="0" t="n">
        <f aca="false">T2954-U2954</f>
        <v>13</v>
      </c>
      <c r="W2954" s="0" t="n">
        <f aca="false">T2954+U2954</f>
        <v>41</v>
      </c>
    </row>
    <row r="2955" customFormat="false" ht="15" hidden="false" customHeight="false" outlineLevel="0" collapsed="false">
      <c r="A2955" s="0" t="n">
        <v>2952</v>
      </c>
      <c r="B2955" s="0" t="n">
        <f aca="true">NORMINV(RAND(),1,Coefficients!$B$22)</f>
        <v>1.06799483537784</v>
      </c>
      <c r="C2955" s="0" t="n">
        <f aca="true">MEDIAN(8,16,ROUND(NORMINV(RAND(),Coefficients!$B$20,Coefficients!$B$21),0))</f>
        <v>12</v>
      </c>
      <c r="D2955" s="0" t="n">
        <f aca="true">CRITBINOM($C2955,MIN(0.75,Matchup!$B$39*$B2955),RAND())</f>
        <v>7</v>
      </c>
      <c r="E2955" s="0" t="n">
        <f aca="true">CRITBINOM(D2955,Coefficients!$B$30,RAND())</f>
        <v>0</v>
      </c>
      <c r="F2955" s="0" t="n">
        <f aca="true">CRITBINOM(E2955,Coefficients!$B$31,RAND())</f>
        <v>0</v>
      </c>
      <c r="G2955" s="0" t="n">
        <f aca="true">CRITBINOM(MAX(0,D2955-E2955),1-Coefficients!$B$32,RAND())</f>
        <v>0</v>
      </c>
      <c r="H2955" s="0" t="n">
        <f aca="true">CRITBINOM(MAX(0,$C2955-D2955),MIN(0.6,Matchup!$B$40*SQRT($B2955)/(1-MIN(0.75,Matchup!$B$39*$B2955))),RAND())</f>
        <v>0</v>
      </c>
      <c r="I2955" s="0" t="n">
        <f aca="false">6*D2955+(D2955-E2955-G2955)+2*F2955+3*H2955</f>
        <v>49</v>
      </c>
      <c r="J2955" s="0" t="n">
        <f aca="true">CRITBINOM($C2955,MIN(0.75,Matchup!$C$39*$B2955),RAND())</f>
        <v>2</v>
      </c>
      <c r="K2955" s="0" t="n">
        <f aca="true">CRITBINOM(J2955,Coefficients!$B$30,RAND())</f>
        <v>0</v>
      </c>
      <c r="L2955" s="0" t="n">
        <f aca="true">CRITBINOM(K2955,Coefficients!$B$31,RAND())</f>
        <v>0</v>
      </c>
      <c r="M2955" s="0" t="n">
        <f aca="true">CRITBINOM(MAX(0,J2955-K2955),1-Coefficients!$B$32,RAND())</f>
        <v>0</v>
      </c>
      <c r="N2955" s="0" t="n">
        <f aca="true">CRITBINOM(MAX(0,$C2955-J2955),MIN(0.6,Matchup!$C$40*SQRT($B2955)/(1-MIN(0.75,Matchup!$C$39*$B2955))),RAND())</f>
        <v>2</v>
      </c>
      <c r="O2955" s="0" t="n">
        <f aca="false">6*J2955+(J2955-K2955-M2955)+2*L2955+3*N2955</f>
        <v>20</v>
      </c>
      <c r="P2955" s="0" t="n">
        <f aca="true">RAND()</f>
        <v>0.651422763891254</v>
      </c>
      <c r="Q2955" s="0" t="n">
        <f aca="true">RAND()</f>
        <v>0.493434051265886</v>
      </c>
      <c r="R2955" s="0" t="n">
        <f aca="false">IF($I2955&lt;&gt;$O2955,0,IF(P2955&lt;Matchup!$B$39,7,IF(P2955&lt;Matchup!$B$39+Matchup!$B$40,3,0)))</f>
        <v>0</v>
      </c>
      <c r="S2955" s="0" t="n">
        <f aca="false">IF($I2955&lt;&gt;$O2955,0,IF(Q2955&lt;Matchup!$C$39,7,IF(Q2955&lt;Matchup!$C$39+Matchup!$C$40,3,0)))</f>
        <v>0</v>
      </c>
      <c r="T2955" s="0" t="n">
        <f aca="false">I2955+R2955</f>
        <v>49</v>
      </c>
      <c r="U2955" s="0" t="n">
        <f aca="false">O2955+S2955</f>
        <v>20</v>
      </c>
      <c r="V2955" s="0" t="n">
        <f aca="false">T2955-U2955</f>
        <v>29</v>
      </c>
      <c r="W2955" s="0" t="n">
        <f aca="false">T2955+U2955</f>
        <v>69</v>
      </c>
    </row>
    <row r="2956" customFormat="false" ht="15" hidden="false" customHeight="false" outlineLevel="0" collapsed="false">
      <c r="A2956" s="0" t="n">
        <v>2953</v>
      </c>
      <c r="B2956" s="0" t="n">
        <f aca="true">NORMINV(RAND(),1,Coefficients!$B$22)</f>
        <v>1.14591215137114</v>
      </c>
      <c r="C2956" s="0" t="n">
        <f aca="true">MEDIAN(8,16,ROUND(NORMINV(RAND(),Coefficients!$B$20,Coefficients!$B$21),0))</f>
        <v>12</v>
      </c>
      <c r="D2956" s="0" t="n">
        <f aca="true">CRITBINOM($C2956,MIN(0.75,Matchup!$B$39*$B2956),RAND())</f>
        <v>5</v>
      </c>
      <c r="E2956" s="0" t="n">
        <f aca="true">CRITBINOM(D2956,Coefficients!$B$30,RAND())</f>
        <v>0</v>
      </c>
      <c r="F2956" s="0" t="n">
        <f aca="true">CRITBINOM(E2956,Coefficients!$B$31,RAND())</f>
        <v>0</v>
      </c>
      <c r="G2956" s="0" t="n">
        <f aca="true">CRITBINOM(MAX(0,D2956-E2956),1-Coefficients!$B$32,RAND())</f>
        <v>0</v>
      </c>
      <c r="H2956" s="0" t="n">
        <f aca="true">CRITBINOM(MAX(0,$C2956-D2956),MIN(0.6,Matchup!$B$40*SQRT($B2956)/(1-MIN(0.75,Matchup!$B$39*$B2956))),RAND())</f>
        <v>0</v>
      </c>
      <c r="I2956" s="0" t="n">
        <f aca="false">6*D2956+(D2956-E2956-G2956)+2*F2956+3*H2956</f>
        <v>35</v>
      </c>
      <c r="J2956" s="0" t="n">
        <f aca="true">CRITBINOM($C2956,MIN(0.75,Matchup!$C$39*$B2956),RAND())</f>
        <v>2</v>
      </c>
      <c r="K2956" s="0" t="n">
        <f aca="true">CRITBINOM(J2956,Coefficients!$B$30,RAND())</f>
        <v>0</v>
      </c>
      <c r="L2956" s="0" t="n">
        <f aca="true">CRITBINOM(K2956,Coefficients!$B$31,RAND())</f>
        <v>0</v>
      </c>
      <c r="M2956" s="0" t="n">
        <f aca="true">CRITBINOM(MAX(0,J2956-K2956),1-Coefficients!$B$32,RAND())</f>
        <v>0</v>
      </c>
      <c r="N2956" s="0" t="n">
        <f aca="true">CRITBINOM(MAX(0,$C2956-J2956),MIN(0.6,Matchup!$C$40*SQRT($B2956)/(1-MIN(0.75,Matchup!$C$39*$B2956))),RAND())</f>
        <v>2</v>
      </c>
      <c r="O2956" s="0" t="n">
        <f aca="false">6*J2956+(J2956-K2956-M2956)+2*L2956+3*N2956</f>
        <v>20</v>
      </c>
      <c r="P2956" s="0" t="n">
        <f aca="true">RAND()</f>
        <v>0.854536917021516</v>
      </c>
      <c r="Q2956" s="0" t="n">
        <f aca="true">RAND()</f>
        <v>0.449723056775178</v>
      </c>
      <c r="R2956" s="0" t="n">
        <f aca="false">IF($I2956&lt;&gt;$O2956,0,IF(P2956&lt;Matchup!$B$39,7,IF(P2956&lt;Matchup!$B$39+Matchup!$B$40,3,0)))</f>
        <v>0</v>
      </c>
      <c r="S2956" s="0" t="n">
        <f aca="false">IF($I2956&lt;&gt;$O2956,0,IF(Q2956&lt;Matchup!$C$39,7,IF(Q2956&lt;Matchup!$C$39+Matchup!$C$40,3,0)))</f>
        <v>0</v>
      </c>
      <c r="T2956" s="0" t="n">
        <f aca="false">I2956+R2956</f>
        <v>35</v>
      </c>
      <c r="U2956" s="0" t="n">
        <f aca="false">O2956+S2956</f>
        <v>20</v>
      </c>
      <c r="V2956" s="0" t="n">
        <f aca="false">T2956-U2956</f>
        <v>15</v>
      </c>
      <c r="W2956" s="0" t="n">
        <f aca="false">T2956+U2956</f>
        <v>55</v>
      </c>
    </row>
    <row r="2957" customFormat="false" ht="15" hidden="false" customHeight="false" outlineLevel="0" collapsed="false">
      <c r="A2957" s="0" t="n">
        <v>2954</v>
      </c>
      <c r="B2957" s="0" t="n">
        <f aca="true">NORMINV(RAND(),1,Coefficients!$B$22)</f>
        <v>0.968333751358885</v>
      </c>
      <c r="C2957" s="0" t="n">
        <f aca="true">MEDIAN(8,16,ROUND(NORMINV(RAND(),Coefficients!$B$20,Coefficients!$B$21),0))</f>
        <v>9</v>
      </c>
      <c r="D2957" s="0" t="n">
        <f aca="true">CRITBINOM($C2957,MIN(0.75,Matchup!$B$39*$B2957),RAND())</f>
        <v>2</v>
      </c>
      <c r="E2957" s="0" t="n">
        <f aca="true">CRITBINOM(D2957,Coefficients!$B$30,RAND())</f>
        <v>0</v>
      </c>
      <c r="F2957" s="0" t="n">
        <f aca="true">CRITBINOM(E2957,Coefficients!$B$31,RAND())</f>
        <v>0</v>
      </c>
      <c r="G2957" s="0" t="n">
        <f aca="true">CRITBINOM(MAX(0,D2957-E2957),1-Coefficients!$B$32,RAND())</f>
        <v>0</v>
      </c>
      <c r="H2957" s="0" t="n">
        <f aca="true">CRITBINOM(MAX(0,$C2957-D2957),MIN(0.6,Matchup!$B$40*SQRT($B2957)/(1-MIN(0.75,Matchup!$B$39*$B2957))),RAND())</f>
        <v>1</v>
      </c>
      <c r="I2957" s="0" t="n">
        <f aca="false">6*D2957+(D2957-E2957-G2957)+2*F2957+3*H2957</f>
        <v>17</v>
      </c>
      <c r="J2957" s="0" t="n">
        <f aca="true">CRITBINOM($C2957,MIN(0.75,Matchup!$C$39*$B2957),RAND())</f>
        <v>0</v>
      </c>
      <c r="K2957" s="0" t="n">
        <f aca="true">CRITBINOM(J2957,Coefficients!$B$30,RAND())</f>
        <v>0</v>
      </c>
      <c r="L2957" s="0" t="n">
        <f aca="true">CRITBINOM(K2957,Coefficients!$B$31,RAND())</f>
        <v>0</v>
      </c>
      <c r="M2957" s="0" t="n">
        <f aca="true">CRITBINOM(MAX(0,J2957-K2957),1-Coefficients!$B$32,RAND())</f>
        <v>0</v>
      </c>
      <c r="N2957" s="0" t="n">
        <f aca="true">CRITBINOM(MAX(0,$C2957-J2957),MIN(0.6,Matchup!$C$40*SQRT($B2957)/(1-MIN(0.75,Matchup!$C$39*$B2957))),RAND())</f>
        <v>3</v>
      </c>
      <c r="O2957" s="0" t="n">
        <f aca="false">6*J2957+(J2957-K2957-M2957)+2*L2957+3*N2957</f>
        <v>9</v>
      </c>
      <c r="P2957" s="0" t="n">
        <f aca="true">RAND()</f>
        <v>0.186567379695513</v>
      </c>
      <c r="Q2957" s="0" t="n">
        <f aca="true">RAND()</f>
        <v>0.979289603988853</v>
      </c>
      <c r="R2957" s="0" t="n">
        <f aca="false">IF($I2957&lt;&gt;$O2957,0,IF(P2957&lt;Matchup!$B$39,7,IF(P2957&lt;Matchup!$B$39+Matchup!$B$40,3,0)))</f>
        <v>0</v>
      </c>
      <c r="S2957" s="0" t="n">
        <f aca="false">IF($I2957&lt;&gt;$O2957,0,IF(Q2957&lt;Matchup!$C$39,7,IF(Q2957&lt;Matchup!$C$39+Matchup!$C$40,3,0)))</f>
        <v>0</v>
      </c>
      <c r="T2957" s="0" t="n">
        <f aca="false">I2957+R2957</f>
        <v>17</v>
      </c>
      <c r="U2957" s="0" t="n">
        <f aca="false">O2957+S2957</f>
        <v>9</v>
      </c>
      <c r="V2957" s="0" t="n">
        <f aca="false">T2957-U2957</f>
        <v>8</v>
      </c>
      <c r="W2957" s="0" t="n">
        <f aca="false">T2957+U2957</f>
        <v>26</v>
      </c>
    </row>
    <row r="2958" customFormat="false" ht="15" hidden="false" customHeight="false" outlineLevel="0" collapsed="false">
      <c r="A2958" s="0" t="n">
        <v>2955</v>
      </c>
      <c r="B2958" s="0" t="n">
        <f aca="true">NORMINV(RAND(),1,Coefficients!$B$22)</f>
        <v>0.958030921790638</v>
      </c>
      <c r="C2958" s="0" t="n">
        <f aca="true">MEDIAN(8,16,ROUND(NORMINV(RAND(),Coefficients!$B$20,Coefficients!$B$21),0))</f>
        <v>12</v>
      </c>
      <c r="D2958" s="0" t="n">
        <f aca="true">CRITBINOM($C2958,MIN(0.75,Matchup!$B$39*$B2958),RAND())</f>
        <v>2</v>
      </c>
      <c r="E2958" s="0" t="n">
        <f aca="true">CRITBINOM(D2958,Coefficients!$B$30,RAND())</f>
        <v>0</v>
      </c>
      <c r="F2958" s="0" t="n">
        <f aca="true">CRITBINOM(E2958,Coefficients!$B$31,RAND())</f>
        <v>0</v>
      </c>
      <c r="G2958" s="0" t="n">
        <f aca="true">CRITBINOM(MAX(0,D2958-E2958),1-Coefficients!$B$32,RAND())</f>
        <v>0</v>
      </c>
      <c r="H2958" s="0" t="n">
        <f aca="true">CRITBINOM(MAX(0,$C2958-D2958),MIN(0.6,Matchup!$B$40*SQRT($B2958)/(1-MIN(0.75,Matchup!$B$39*$B2958))),RAND())</f>
        <v>2</v>
      </c>
      <c r="I2958" s="0" t="n">
        <f aca="false">6*D2958+(D2958-E2958-G2958)+2*F2958+3*H2958</f>
        <v>20</v>
      </c>
      <c r="J2958" s="0" t="n">
        <f aca="true">CRITBINOM($C2958,MIN(0.75,Matchup!$C$39*$B2958),RAND())</f>
        <v>4</v>
      </c>
      <c r="K2958" s="0" t="n">
        <f aca="true">CRITBINOM(J2958,Coefficients!$B$30,RAND())</f>
        <v>0</v>
      </c>
      <c r="L2958" s="0" t="n">
        <f aca="true">CRITBINOM(K2958,Coefficients!$B$31,RAND())</f>
        <v>0</v>
      </c>
      <c r="M2958" s="0" t="n">
        <f aca="true">CRITBINOM(MAX(0,J2958-K2958),1-Coefficients!$B$32,RAND())</f>
        <v>1</v>
      </c>
      <c r="N2958" s="0" t="n">
        <f aca="true">CRITBINOM(MAX(0,$C2958-J2958),MIN(0.6,Matchup!$C$40*SQRT($B2958)/(1-MIN(0.75,Matchup!$C$39*$B2958))),RAND())</f>
        <v>1</v>
      </c>
      <c r="O2958" s="0" t="n">
        <f aca="false">6*J2958+(J2958-K2958-M2958)+2*L2958+3*N2958</f>
        <v>30</v>
      </c>
      <c r="P2958" s="0" t="n">
        <f aca="true">RAND()</f>
        <v>0.464747212742227</v>
      </c>
      <c r="Q2958" s="0" t="n">
        <f aca="true">RAND()</f>
        <v>0.275781138662501</v>
      </c>
      <c r="R2958" s="0" t="n">
        <f aca="false">IF($I2958&lt;&gt;$O2958,0,IF(P2958&lt;Matchup!$B$39,7,IF(P2958&lt;Matchup!$B$39+Matchup!$B$40,3,0)))</f>
        <v>0</v>
      </c>
      <c r="S2958" s="0" t="n">
        <f aca="false">IF($I2958&lt;&gt;$O2958,0,IF(Q2958&lt;Matchup!$C$39,7,IF(Q2958&lt;Matchup!$C$39+Matchup!$C$40,3,0)))</f>
        <v>0</v>
      </c>
      <c r="T2958" s="0" t="n">
        <f aca="false">I2958+R2958</f>
        <v>20</v>
      </c>
      <c r="U2958" s="0" t="n">
        <f aca="false">O2958+S2958</f>
        <v>30</v>
      </c>
      <c r="V2958" s="0" t="n">
        <f aca="false">T2958-U2958</f>
        <v>-10</v>
      </c>
      <c r="W2958" s="0" t="n">
        <f aca="false">T2958+U2958</f>
        <v>50</v>
      </c>
    </row>
    <row r="2959" customFormat="false" ht="15" hidden="false" customHeight="false" outlineLevel="0" collapsed="false">
      <c r="A2959" s="0" t="n">
        <v>2956</v>
      </c>
      <c r="B2959" s="0" t="n">
        <f aca="true">NORMINV(RAND(),1,Coefficients!$B$22)</f>
        <v>1.14486344861195</v>
      </c>
      <c r="C2959" s="0" t="n">
        <f aca="true">MEDIAN(8,16,ROUND(NORMINV(RAND(),Coefficients!$B$20,Coefficients!$B$21),0))</f>
        <v>12</v>
      </c>
      <c r="D2959" s="0" t="n">
        <f aca="true">CRITBINOM($C2959,MIN(0.75,Matchup!$B$39*$B2959),RAND())</f>
        <v>3</v>
      </c>
      <c r="E2959" s="0" t="n">
        <f aca="true">CRITBINOM(D2959,Coefficients!$B$30,RAND())</f>
        <v>1</v>
      </c>
      <c r="F2959" s="0" t="n">
        <f aca="true">CRITBINOM(E2959,Coefficients!$B$31,RAND())</f>
        <v>1</v>
      </c>
      <c r="G2959" s="0" t="n">
        <f aca="true">CRITBINOM(MAX(0,D2959-E2959),1-Coefficients!$B$32,RAND())</f>
        <v>0</v>
      </c>
      <c r="H2959" s="0" t="n">
        <f aca="true">CRITBINOM(MAX(0,$C2959-D2959),MIN(0.6,Matchup!$B$40*SQRT($B2959)/(1-MIN(0.75,Matchup!$B$39*$B2959))),RAND())</f>
        <v>0</v>
      </c>
      <c r="I2959" s="0" t="n">
        <f aca="false">6*D2959+(D2959-E2959-G2959)+2*F2959+3*H2959</f>
        <v>22</v>
      </c>
      <c r="J2959" s="0" t="n">
        <f aca="true">CRITBINOM($C2959,MIN(0.75,Matchup!$C$39*$B2959),RAND())</f>
        <v>2</v>
      </c>
      <c r="K2959" s="0" t="n">
        <f aca="true">CRITBINOM(J2959,Coefficients!$B$30,RAND())</f>
        <v>0</v>
      </c>
      <c r="L2959" s="0" t="n">
        <f aca="true">CRITBINOM(K2959,Coefficients!$B$31,RAND())</f>
        <v>0</v>
      </c>
      <c r="M2959" s="0" t="n">
        <f aca="true">CRITBINOM(MAX(0,J2959-K2959),1-Coefficients!$B$32,RAND())</f>
        <v>0</v>
      </c>
      <c r="N2959" s="0" t="n">
        <f aca="true">CRITBINOM(MAX(0,$C2959-J2959),MIN(0.6,Matchup!$C$40*SQRT($B2959)/(1-MIN(0.75,Matchup!$C$39*$B2959))),RAND())</f>
        <v>2</v>
      </c>
      <c r="O2959" s="0" t="n">
        <f aca="false">6*J2959+(J2959-K2959-M2959)+2*L2959+3*N2959</f>
        <v>20</v>
      </c>
      <c r="P2959" s="0" t="n">
        <f aca="true">RAND()</f>
        <v>0.422524789220063</v>
      </c>
      <c r="Q2959" s="0" t="n">
        <f aca="true">RAND()</f>
        <v>0.769617951635991</v>
      </c>
      <c r="R2959" s="0" t="n">
        <f aca="false">IF($I2959&lt;&gt;$O2959,0,IF(P2959&lt;Matchup!$B$39,7,IF(P2959&lt;Matchup!$B$39+Matchup!$B$40,3,0)))</f>
        <v>0</v>
      </c>
      <c r="S2959" s="0" t="n">
        <f aca="false">IF($I2959&lt;&gt;$O2959,0,IF(Q2959&lt;Matchup!$C$39,7,IF(Q2959&lt;Matchup!$C$39+Matchup!$C$40,3,0)))</f>
        <v>0</v>
      </c>
      <c r="T2959" s="0" t="n">
        <f aca="false">I2959+R2959</f>
        <v>22</v>
      </c>
      <c r="U2959" s="0" t="n">
        <f aca="false">O2959+S2959</f>
        <v>20</v>
      </c>
      <c r="V2959" s="0" t="n">
        <f aca="false">T2959-U2959</f>
        <v>2</v>
      </c>
      <c r="W2959" s="0" t="n">
        <f aca="false">T2959+U2959</f>
        <v>42</v>
      </c>
    </row>
    <row r="2960" customFormat="false" ht="15" hidden="false" customHeight="false" outlineLevel="0" collapsed="false">
      <c r="A2960" s="0" t="n">
        <v>2957</v>
      </c>
      <c r="B2960" s="0" t="n">
        <f aca="true">NORMINV(RAND(),1,Coefficients!$B$22)</f>
        <v>0.978916520937157</v>
      </c>
      <c r="C2960" s="0" t="n">
        <f aca="true">MEDIAN(8,16,ROUND(NORMINV(RAND(),Coefficients!$B$20,Coefficients!$B$21),0))</f>
        <v>11</v>
      </c>
      <c r="D2960" s="0" t="n">
        <f aca="true">CRITBINOM($C2960,MIN(0.75,Matchup!$B$39*$B2960),RAND())</f>
        <v>3</v>
      </c>
      <c r="E2960" s="0" t="n">
        <f aca="true">CRITBINOM(D2960,Coefficients!$B$30,RAND())</f>
        <v>0</v>
      </c>
      <c r="F2960" s="0" t="n">
        <f aca="true">CRITBINOM(E2960,Coefficients!$B$31,RAND())</f>
        <v>0</v>
      </c>
      <c r="G2960" s="0" t="n">
        <f aca="true">CRITBINOM(MAX(0,D2960-E2960),1-Coefficients!$B$32,RAND())</f>
        <v>0</v>
      </c>
      <c r="H2960" s="0" t="n">
        <f aca="true">CRITBINOM(MAX(0,$C2960-D2960),MIN(0.6,Matchup!$B$40*SQRT($B2960)/(1-MIN(0.75,Matchup!$B$39*$B2960))),RAND())</f>
        <v>3</v>
      </c>
      <c r="I2960" s="0" t="n">
        <f aca="false">6*D2960+(D2960-E2960-G2960)+2*F2960+3*H2960</f>
        <v>30</v>
      </c>
      <c r="J2960" s="0" t="n">
        <f aca="true">CRITBINOM($C2960,MIN(0.75,Matchup!$C$39*$B2960),RAND())</f>
        <v>4</v>
      </c>
      <c r="K2960" s="0" t="n">
        <f aca="true">CRITBINOM(J2960,Coefficients!$B$30,RAND())</f>
        <v>0</v>
      </c>
      <c r="L2960" s="0" t="n">
        <f aca="true">CRITBINOM(K2960,Coefficients!$B$31,RAND())</f>
        <v>0</v>
      </c>
      <c r="M2960" s="0" t="n">
        <f aca="true">CRITBINOM(MAX(0,J2960-K2960),1-Coefficients!$B$32,RAND())</f>
        <v>0</v>
      </c>
      <c r="N2960" s="0" t="n">
        <f aca="true">CRITBINOM(MAX(0,$C2960-J2960),MIN(0.6,Matchup!$C$40*SQRT($B2960)/(1-MIN(0.75,Matchup!$C$39*$B2960))),RAND())</f>
        <v>1</v>
      </c>
      <c r="O2960" s="0" t="n">
        <f aca="false">6*J2960+(J2960-K2960-M2960)+2*L2960+3*N2960</f>
        <v>31</v>
      </c>
      <c r="P2960" s="0" t="n">
        <f aca="true">RAND()</f>
        <v>0.987264752822425</v>
      </c>
      <c r="Q2960" s="0" t="n">
        <f aca="true">RAND()</f>
        <v>0.0497278825154197</v>
      </c>
      <c r="R2960" s="0" t="n">
        <f aca="false">IF($I2960&lt;&gt;$O2960,0,IF(P2960&lt;Matchup!$B$39,7,IF(P2960&lt;Matchup!$B$39+Matchup!$B$40,3,0)))</f>
        <v>0</v>
      </c>
      <c r="S2960" s="0" t="n">
        <f aca="false">IF($I2960&lt;&gt;$O2960,0,IF(Q2960&lt;Matchup!$C$39,7,IF(Q2960&lt;Matchup!$C$39+Matchup!$C$40,3,0)))</f>
        <v>0</v>
      </c>
      <c r="T2960" s="0" t="n">
        <f aca="false">I2960+R2960</f>
        <v>30</v>
      </c>
      <c r="U2960" s="0" t="n">
        <f aca="false">O2960+S2960</f>
        <v>31</v>
      </c>
      <c r="V2960" s="0" t="n">
        <f aca="false">T2960-U2960</f>
        <v>-1</v>
      </c>
      <c r="W2960" s="0" t="n">
        <f aca="false">T2960+U2960</f>
        <v>61</v>
      </c>
    </row>
    <row r="2961" customFormat="false" ht="15" hidden="false" customHeight="false" outlineLevel="0" collapsed="false">
      <c r="A2961" s="0" t="n">
        <v>2958</v>
      </c>
      <c r="B2961" s="0" t="n">
        <f aca="true">NORMINV(RAND(),1,Coefficients!$B$22)</f>
        <v>1.01715197101946</v>
      </c>
      <c r="C2961" s="0" t="n">
        <f aca="true">MEDIAN(8,16,ROUND(NORMINV(RAND(),Coefficients!$B$20,Coefficients!$B$21),0))</f>
        <v>13</v>
      </c>
      <c r="D2961" s="0" t="n">
        <f aca="true">CRITBINOM($C2961,MIN(0.75,Matchup!$B$39*$B2961),RAND())</f>
        <v>3</v>
      </c>
      <c r="E2961" s="0" t="n">
        <f aca="true">CRITBINOM(D2961,Coefficients!$B$30,RAND())</f>
        <v>0</v>
      </c>
      <c r="F2961" s="0" t="n">
        <f aca="true">CRITBINOM(E2961,Coefficients!$B$31,RAND())</f>
        <v>0</v>
      </c>
      <c r="G2961" s="0" t="n">
        <f aca="true">CRITBINOM(MAX(0,D2961-E2961),1-Coefficients!$B$32,RAND())</f>
        <v>0</v>
      </c>
      <c r="H2961" s="0" t="n">
        <f aca="true">CRITBINOM(MAX(0,$C2961-D2961),MIN(0.6,Matchup!$B$40*SQRT($B2961)/(1-MIN(0.75,Matchup!$B$39*$B2961))),RAND())</f>
        <v>0</v>
      </c>
      <c r="I2961" s="0" t="n">
        <f aca="false">6*D2961+(D2961-E2961-G2961)+2*F2961+3*H2961</f>
        <v>21</v>
      </c>
      <c r="J2961" s="0" t="n">
        <f aca="true">CRITBINOM($C2961,MIN(0.75,Matchup!$C$39*$B2961),RAND())</f>
        <v>5</v>
      </c>
      <c r="K2961" s="0" t="n">
        <f aca="true">CRITBINOM(J2961,Coefficients!$B$30,RAND())</f>
        <v>2</v>
      </c>
      <c r="L2961" s="0" t="n">
        <f aca="true">CRITBINOM(K2961,Coefficients!$B$31,RAND())</f>
        <v>1</v>
      </c>
      <c r="M2961" s="0" t="n">
        <f aca="true">CRITBINOM(MAX(0,J2961-K2961),1-Coefficients!$B$32,RAND())</f>
        <v>0</v>
      </c>
      <c r="N2961" s="0" t="n">
        <f aca="true">CRITBINOM(MAX(0,$C2961-J2961),MIN(0.6,Matchup!$C$40*SQRT($B2961)/(1-MIN(0.75,Matchup!$C$39*$B2961))),RAND())</f>
        <v>0</v>
      </c>
      <c r="O2961" s="0" t="n">
        <f aca="false">6*J2961+(J2961-K2961-M2961)+2*L2961+3*N2961</f>
        <v>35</v>
      </c>
      <c r="P2961" s="0" t="n">
        <f aca="true">RAND()</f>
        <v>0.207812608953586</v>
      </c>
      <c r="Q2961" s="0" t="n">
        <f aca="true">RAND()</f>
        <v>0.76332621796927</v>
      </c>
      <c r="R2961" s="0" t="n">
        <f aca="false">IF($I2961&lt;&gt;$O2961,0,IF(P2961&lt;Matchup!$B$39,7,IF(P2961&lt;Matchup!$B$39+Matchup!$B$40,3,0)))</f>
        <v>0</v>
      </c>
      <c r="S2961" s="0" t="n">
        <f aca="false">IF($I2961&lt;&gt;$O2961,0,IF(Q2961&lt;Matchup!$C$39,7,IF(Q2961&lt;Matchup!$C$39+Matchup!$C$40,3,0)))</f>
        <v>0</v>
      </c>
      <c r="T2961" s="0" t="n">
        <f aca="false">I2961+R2961</f>
        <v>21</v>
      </c>
      <c r="U2961" s="0" t="n">
        <f aca="false">O2961+S2961</f>
        <v>35</v>
      </c>
      <c r="V2961" s="0" t="n">
        <f aca="false">T2961-U2961</f>
        <v>-14</v>
      </c>
      <c r="W2961" s="0" t="n">
        <f aca="false">T2961+U2961</f>
        <v>56</v>
      </c>
    </row>
    <row r="2962" customFormat="false" ht="15" hidden="false" customHeight="false" outlineLevel="0" collapsed="false">
      <c r="A2962" s="0" t="n">
        <v>2959</v>
      </c>
      <c r="B2962" s="0" t="n">
        <f aca="true">NORMINV(RAND(),1,Coefficients!$B$22)</f>
        <v>0.947345732526062</v>
      </c>
      <c r="C2962" s="0" t="n">
        <f aca="true">MEDIAN(8,16,ROUND(NORMINV(RAND(),Coefficients!$B$20,Coefficients!$B$21),0))</f>
        <v>10</v>
      </c>
      <c r="D2962" s="0" t="n">
        <f aca="true">CRITBINOM($C2962,MIN(0.75,Matchup!$B$39*$B2962),RAND())</f>
        <v>5</v>
      </c>
      <c r="E2962" s="0" t="n">
        <f aca="true">CRITBINOM(D2962,Coefficients!$B$30,RAND())</f>
        <v>1</v>
      </c>
      <c r="F2962" s="0" t="n">
        <f aca="true">CRITBINOM(E2962,Coefficients!$B$31,RAND())</f>
        <v>0</v>
      </c>
      <c r="G2962" s="0" t="n">
        <f aca="true">CRITBINOM(MAX(0,D2962-E2962),1-Coefficients!$B$32,RAND())</f>
        <v>0</v>
      </c>
      <c r="H2962" s="0" t="n">
        <f aca="true">CRITBINOM(MAX(0,$C2962-D2962),MIN(0.6,Matchup!$B$40*SQRT($B2962)/(1-MIN(0.75,Matchup!$B$39*$B2962))),RAND())</f>
        <v>0</v>
      </c>
      <c r="I2962" s="0" t="n">
        <f aca="false">6*D2962+(D2962-E2962-G2962)+2*F2962+3*H2962</f>
        <v>34</v>
      </c>
      <c r="J2962" s="0" t="n">
        <f aca="true">CRITBINOM($C2962,MIN(0.75,Matchup!$C$39*$B2962),RAND())</f>
        <v>2</v>
      </c>
      <c r="K2962" s="0" t="n">
        <f aca="true">CRITBINOM(J2962,Coefficients!$B$30,RAND())</f>
        <v>0</v>
      </c>
      <c r="L2962" s="0" t="n">
        <f aca="true">CRITBINOM(K2962,Coefficients!$B$31,RAND())</f>
        <v>0</v>
      </c>
      <c r="M2962" s="0" t="n">
        <f aca="true">CRITBINOM(MAX(0,J2962-K2962),1-Coefficients!$B$32,RAND())</f>
        <v>0</v>
      </c>
      <c r="N2962" s="0" t="n">
        <f aca="true">CRITBINOM(MAX(0,$C2962-J2962),MIN(0.6,Matchup!$C$40*SQRT($B2962)/(1-MIN(0.75,Matchup!$C$39*$B2962))),RAND())</f>
        <v>0</v>
      </c>
      <c r="O2962" s="0" t="n">
        <f aca="false">6*J2962+(J2962-K2962-M2962)+2*L2962+3*N2962</f>
        <v>14</v>
      </c>
      <c r="P2962" s="0" t="n">
        <f aca="true">RAND()</f>
        <v>0.362578269853084</v>
      </c>
      <c r="Q2962" s="0" t="n">
        <f aca="true">RAND()</f>
        <v>0.130821461822954</v>
      </c>
      <c r="R2962" s="0" t="n">
        <f aca="false">IF($I2962&lt;&gt;$O2962,0,IF(P2962&lt;Matchup!$B$39,7,IF(P2962&lt;Matchup!$B$39+Matchup!$B$40,3,0)))</f>
        <v>0</v>
      </c>
      <c r="S2962" s="0" t="n">
        <f aca="false">IF($I2962&lt;&gt;$O2962,0,IF(Q2962&lt;Matchup!$C$39,7,IF(Q2962&lt;Matchup!$C$39+Matchup!$C$40,3,0)))</f>
        <v>0</v>
      </c>
      <c r="T2962" s="0" t="n">
        <f aca="false">I2962+R2962</f>
        <v>34</v>
      </c>
      <c r="U2962" s="0" t="n">
        <f aca="false">O2962+S2962</f>
        <v>14</v>
      </c>
      <c r="V2962" s="0" t="n">
        <f aca="false">T2962-U2962</f>
        <v>20</v>
      </c>
      <c r="W2962" s="0" t="n">
        <f aca="false">T2962+U2962</f>
        <v>48</v>
      </c>
    </row>
    <row r="2963" customFormat="false" ht="15" hidden="false" customHeight="false" outlineLevel="0" collapsed="false">
      <c r="A2963" s="0" t="n">
        <v>2960</v>
      </c>
      <c r="B2963" s="0" t="n">
        <f aca="true">NORMINV(RAND(),1,Coefficients!$B$22)</f>
        <v>0.900039303618188</v>
      </c>
      <c r="C2963" s="0" t="n">
        <f aca="true">MEDIAN(8,16,ROUND(NORMINV(RAND(),Coefficients!$B$20,Coefficients!$B$21),0))</f>
        <v>14</v>
      </c>
      <c r="D2963" s="0" t="n">
        <f aca="true">CRITBINOM($C2963,MIN(0.75,Matchup!$B$39*$B2963),RAND())</f>
        <v>4</v>
      </c>
      <c r="E2963" s="0" t="n">
        <f aca="true">CRITBINOM(D2963,Coefficients!$B$30,RAND())</f>
        <v>1</v>
      </c>
      <c r="F2963" s="0" t="n">
        <f aca="true">CRITBINOM(E2963,Coefficients!$B$31,RAND())</f>
        <v>0</v>
      </c>
      <c r="G2963" s="0" t="n">
        <f aca="true">CRITBINOM(MAX(0,D2963-E2963),1-Coefficients!$B$32,RAND())</f>
        <v>0</v>
      </c>
      <c r="H2963" s="0" t="n">
        <f aca="true">CRITBINOM(MAX(0,$C2963-D2963),MIN(0.6,Matchup!$B$40*SQRT($B2963)/(1-MIN(0.75,Matchup!$B$39*$B2963))),RAND())</f>
        <v>2</v>
      </c>
      <c r="I2963" s="0" t="n">
        <f aca="false">6*D2963+(D2963-E2963-G2963)+2*F2963+3*H2963</f>
        <v>33</v>
      </c>
      <c r="J2963" s="0" t="n">
        <f aca="true">CRITBINOM($C2963,MIN(0.75,Matchup!$C$39*$B2963),RAND())</f>
        <v>0</v>
      </c>
      <c r="K2963" s="0" t="n">
        <f aca="true">CRITBINOM(J2963,Coefficients!$B$30,RAND())</f>
        <v>0</v>
      </c>
      <c r="L2963" s="0" t="n">
        <f aca="true">CRITBINOM(K2963,Coefficients!$B$31,RAND())</f>
        <v>0</v>
      </c>
      <c r="M2963" s="0" t="n">
        <f aca="true">CRITBINOM(MAX(0,J2963-K2963),1-Coefficients!$B$32,RAND())</f>
        <v>0</v>
      </c>
      <c r="N2963" s="0" t="n">
        <f aca="true">CRITBINOM(MAX(0,$C2963-J2963),MIN(0.6,Matchup!$C$40*SQRT($B2963)/(1-MIN(0.75,Matchup!$C$39*$B2963))),RAND())</f>
        <v>1</v>
      </c>
      <c r="O2963" s="0" t="n">
        <f aca="false">6*J2963+(J2963-K2963-M2963)+2*L2963+3*N2963</f>
        <v>3</v>
      </c>
      <c r="P2963" s="0" t="n">
        <f aca="true">RAND()</f>
        <v>0.0391485040093796</v>
      </c>
      <c r="Q2963" s="0" t="n">
        <f aca="true">RAND()</f>
        <v>0.211180177420916</v>
      </c>
      <c r="R2963" s="0" t="n">
        <f aca="false">IF($I2963&lt;&gt;$O2963,0,IF(P2963&lt;Matchup!$B$39,7,IF(P2963&lt;Matchup!$B$39+Matchup!$B$40,3,0)))</f>
        <v>0</v>
      </c>
      <c r="S2963" s="0" t="n">
        <f aca="false">IF($I2963&lt;&gt;$O2963,0,IF(Q2963&lt;Matchup!$C$39,7,IF(Q2963&lt;Matchup!$C$39+Matchup!$C$40,3,0)))</f>
        <v>0</v>
      </c>
      <c r="T2963" s="0" t="n">
        <f aca="false">I2963+R2963</f>
        <v>33</v>
      </c>
      <c r="U2963" s="0" t="n">
        <f aca="false">O2963+S2963</f>
        <v>3</v>
      </c>
      <c r="V2963" s="0" t="n">
        <f aca="false">T2963-U2963</f>
        <v>30</v>
      </c>
      <c r="W2963" s="0" t="n">
        <f aca="false">T2963+U2963</f>
        <v>36</v>
      </c>
    </row>
    <row r="2964" customFormat="false" ht="15" hidden="false" customHeight="false" outlineLevel="0" collapsed="false">
      <c r="A2964" s="0" t="n">
        <v>2961</v>
      </c>
      <c r="B2964" s="0" t="n">
        <f aca="true">NORMINV(RAND(),1,Coefficients!$B$22)</f>
        <v>1.06126047586676</v>
      </c>
      <c r="C2964" s="0" t="n">
        <f aca="true">MEDIAN(8,16,ROUND(NORMINV(RAND(),Coefficients!$B$20,Coefficients!$B$21),0))</f>
        <v>10</v>
      </c>
      <c r="D2964" s="0" t="n">
        <f aca="true">CRITBINOM($C2964,MIN(0.75,Matchup!$B$39*$B2964),RAND())</f>
        <v>0</v>
      </c>
      <c r="E2964" s="0" t="n">
        <f aca="true">CRITBINOM(D2964,Coefficients!$B$30,RAND())</f>
        <v>0</v>
      </c>
      <c r="F2964" s="0" t="n">
        <f aca="true">CRITBINOM(E2964,Coefficients!$B$31,RAND())</f>
        <v>0</v>
      </c>
      <c r="G2964" s="0" t="n">
        <f aca="true">CRITBINOM(MAX(0,D2964-E2964),1-Coefficients!$B$32,RAND())</f>
        <v>0</v>
      </c>
      <c r="H2964" s="0" t="n">
        <f aca="true">CRITBINOM(MAX(0,$C2964-D2964),MIN(0.6,Matchup!$B$40*SQRT($B2964)/(1-MIN(0.75,Matchup!$B$39*$B2964))),RAND())</f>
        <v>3</v>
      </c>
      <c r="I2964" s="0" t="n">
        <f aca="false">6*D2964+(D2964-E2964-G2964)+2*F2964+3*H2964</f>
        <v>9</v>
      </c>
      <c r="J2964" s="0" t="n">
        <f aca="true">CRITBINOM($C2964,MIN(0.75,Matchup!$C$39*$B2964),RAND())</f>
        <v>2</v>
      </c>
      <c r="K2964" s="0" t="n">
        <f aca="true">CRITBINOM(J2964,Coefficients!$B$30,RAND())</f>
        <v>1</v>
      </c>
      <c r="L2964" s="0" t="n">
        <f aca="true">CRITBINOM(K2964,Coefficients!$B$31,RAND())</f>
        <v>0</v>
      </c>
      <c r="M2964" s="0" t="n">
        <f aca="true">CRITBINOM(MAX(0,J2964-K2964),1-Coefficients!$B$32,RAND())</f>
        <v>0</v>
      </c>
      <c r="N2964" s="0" t="n">
        <f aca="true">CRITBINOM(MAX(0,$C2964-J2964),MIN(0.6,Matchup!$C$40*SQRT($B2964)/(1-MIN(0.75,Matchup!$C$39*$B2964))),RAND())</f>
        <v>3</v>
      </c>
      <c r="O2964" s="0" t="n">
        <f aca="false">6*J2964+(J2964-K2964-M2964)+2*L2964+3*N2964</f>
        <v>22</v>
      </c>
      <c r="P2964" s="0" t="n">
        <f aca="true">RAND()</f>
        <v>0.0502624544806031</v>
      </c>
      <c r="Q2964" s="0" t="n">
        <f aca="true">RAND()</f>
        <v>0.36636458653395</v>
      </c>
      <c r="R2964" s="0" t="n">
        <f aca="false">IF($I2964&lt;&gt;$O2964,0,IF(P2964&lt;Matchup!$B$39,7,IF(P2964&lt;Matchup!$B$39+Matchup!$B$40,3,0)))</f>
        <v>0</v>
      </c>
      <c r="S2964" s="0" t="n">
        <f aca="false">IF($I2964&lt;&gt;$O2964,0,IF(Q2964&lt;Matchup!$C$39,7,IF(Q2964&lt;Matchup!$C$39+Matchup!$C$40,3,0)))</f>
        <v>0</v>
      </c>
      <c r="T2964" s="0" t="n">
        <f aca="false">I2964+R2964</f>
        <v>9</v>
      </c>
      <c r="U2964" s="0" t="n">
        <f aca="false">O2964+S2964</f>
        <v>22</v>
      </c>
      <c r="V2964" s="0" t="n">
        <f aca="false">T2964-U2964</f>
        <v>-13</v>
      </c>
      <c r="W2964" s="0" t="n">
        <f aca="false">T2964+U2964</f>
        <v>31</v>
      </c>
    </row>
    <row r="2965" customFormat="false" ht="15" hidden="false" customHeight="false" outlineLevel="0" collapsed="false">
      <c r="A2965" s="0" t="n">
        <v>2962</v>
      </c>
      <c r="B2965" s="0" t="n">
        <f aca="true">NORMINV(RAND(),1,Coefficients!$B$22)</f>
        <v>1.10274908854605</v>
      </c>
      <c r="C2965" s="0" t="n">
        <f aca="true">MEDIAN(8,16,ROUND(NORMINV(RAND(),Coefficients!$B$20,Coefficients!$B$21),0))</f>
        <v>11</v>
      </c>
      <c r="D2965" s="0" t="n">
        <f aca="true">CRITBINOM($C2965,MIN(0.75,Matchup!$B$39*$B2965),RAND())</f>
        <v>0</v>
      </c>
      <c r="E2965" s="0" t="n">
        <f aca="true">CRITBINOM(D2965,Coefficients!$B$30,RAND())</f>
        <v>0</v>
      </c>
      <c r="F2965" s="0" t="n">
        <f aca="true">CRITBINOM(E2965,Coefficients!$B$31,RAND())</f>
        <v>0</v>
      </c>
      <c r="G2965" s="0" t="n">
        <f aca="true">CRITBINOM(MAX(0,D2965-E2965),1-Coefficients!$B$32,RAND())</f>
        <v>0</v>
      </c>
      <c r="H2965" s="0" t="n">
        <f aca="true">CRITBINOM(MAX(0,$C2965-D2965),MIN(0.6,Matchup!$B$40*SQRT($B2965)/(1-MIN(0.75,Matchup!$B$39*$B2965))),RAND())</f>
        <v>1</v>
      </c>
      <c r="I2965" s="0" t="n">
        <f aca="false">6*D2965+(D2965-E2965-G2965)+2*F2965+3*H2965</f>
        <v>3</v>
      </c>
      <c r="J2965" s="0" t="n">
        <f aca="true">CRITBINOM($C2965,MIN(0.75,Matchup!$C$39*$B2965),RAND())</f>
        <v>3</v>
      </c>
      <c r="K2965" s="0" t="n">
        <f aca="true">CRITBINOM(J2965,Coefficients!$B$30,RAND())</f>
        <v>1</v>
      </c>
      <c r="L2965" s="0" t="n">
        <f aca="true">CRITBINOM(K2965,Coefficients!$B$31,RAND())</f>
        <v>0</v>
      </c>
      <c r="M2965" s="0" t="n">
        <f aca="true">CRITBINOM(MAX(0,J2965-K2965),1-Coefficients!$B$32,RAND())</f>
        <v>0</v>
      </c>
      <c r="N2965" s="0" t="n">
        <f aca="true">CRITBINOM(MAX(0,$C2965-J2965),MIN(0.6,Matchup!$C$40*SQRT($B2965)/(1-MIN(0.75,Matchup!$C$39*$B2965))),RAND())</f>
        <v>1</v>
      </c>
      <c r="O2965" s="0" t="n">
        <f aca="false">6*J2965+(J2965-K2965-M2965)+2*L2965+3*N2965</f>
        <v>23</v>
      </c>
      <c r="P2965" s="0" t="n">
        <f aca="true">RAND()</f>
        <v>0.986988014020256</v>
      </c>
      <c r="Q2965" s="0" t="n">
        <f aca="true">RAND()</f>
        <v>0.07217904482615</v>
      </c>
      <c r="R2965" s="0" t="n">
        <f aca="false">IF($I2965&lt;&gt;$O2965,0,IF(P2965&lt;Matchup!$B$39,7,IF(P2965&lt;Matchup!$B$39+Matchup!$B$40,3,0)))</f>
        <v>0</v>
      </c>
      <c r="S2965" s="0" t="n">
        <f aca="false">IF($I2965&lt;&gt;$O2965,0,IF(Q2965&lt;Matchup!$C$39,7,IF(Q2965&lt;Matchup!$C$39+Matchup!$C$40,3,0)))</f>
        <v>0</v>
      </c>
      <c r="T2965" s="0" t="n">
        <f aca="false">I2965+R2965</f>
        <v>3</v>
      </c>
      <c r="U2965" s="0" t="n">
        <f aca="false">O2965+S2965</f>
        <v>23</v>
      </c>
      <c r="V2965" s="0" t="n">
        <f aca="false">T2965-U2965</f>
        <v>-20</v>
      </c>
      <c r="W2965" s="0" t="n">
        <f aca="false">T2965+U2965</f>
        <v>26</v>
      </c>
    </row>
    <row r="2966" customFormat="false" ht="15" hidden="false" customHeight="false" outlineLevel="0" collapsed="false">
      <c r="A2966" s="0" t="n">
        <v>2963</v>
      </c>
      <c r="B2966" s="0" t="n">
        <f aca="true">NORMINV(RAND(),1,Coefficients!$B$22)</f>
        <v>1.13623956401087</v>
      </c>
      <c r="C2966" s="0" t="n">
        <f aca="true">MEDIAN(8,16,ROUND(NORMINV(RAND(),Coefficients!$B$20,Coefficients!$B$21),0))</f>
        <v>12</v>
      </c>
      <c r="D2966" s="0" t="n">
        <f aca="true">CRITBINOM($C2966,MIN(0.75,Matchup!$B$39*$B2966),RAND())</f>
        <v>5</v>
      </c>
      <c r="E2966" s="0" t="n">
        <f aca="true">CRITBINOM(D2966,Coefficients!$B$30,RAND())</f>
        <v>0</v>
      </c>
      <c r="F2966" s="0" t="n">
        <f aca="true">CRITBINOM(E2966,Coefficients!$B$31,RAND())</f>
        <v>0</v>
      </c>
      <c r="G2966" s="0" t="n">
        <f aca="true">CRITBINOM(MAX(0,D2966-E2966),1-Coefficients!$B$32,RAND())</f>
        <v>0</v>
      </c>
      <c r="H2966" s="0" t="n">
        <f aca="true">CRITBINOM(MAX(0,$C2966-D2966),MIN(0.6,Matchup!$B$40*SQRT($B2966)/(1-MIN(0.75,Matchup!$B$39*$B2966))),RAND())</f>
        <v>1</v>
      </c>
      <c r="I2966" s="0" t="n">
        <f aca="false">6*D2966+(D2966-E2966-G2966)+2*F2966+3*H2966</f>
        <v>38</v>
      </c>
      <c r="J2966" s="0" t="n">
        <f aca="true">CRITBINOM($C2966,MIN(0.75,Matchup!$C$39*$B2966),RAND())</f>
        <v>4</v>
      </c>
      <c r="K2966" s="0" t="n">
        <f aca="true">CRITBINOM(J2966,Coefficients!$B$30,RAND())</f>
        <v>1</v>
      </c>
      <c r="L2966" s="0" t="n">
        <f aca="true">CRITBINOM(K2966,Coefficients!$B$31,RAND())</f>
        <v>1</v>
      </c>
      <c r="M2966" s="0" t="n">
        <f aca="true">CRITBINOM(MAX(0,J2966-K2966),1-Coefficients!$B$32,RAND())</f>
        <v>0</v>
      </c>
      <c r="N2966" s="0" t="n">
        <f aca="true">CRITBINOM(MAX(0,$C2966-J2966),MIN(0.6,Matchup!$C$40*SQRT($B2966)/(1-MIN(0.75,Matchup!$C$39*$B2966))),RAND())</f>
        <v>2</v>
      </c>
      <c r="O2966" s="0" t="n">
        <f aca="false">6*J2966+(J2966-K2966-M2966)+2*L2966+3*N2966</f>
        <v>35</v>
      </c>
      <c r="P2966" s="0" t="n">
        <f aca="true">RAND()</f>
        <v>0.138987492526973</v>
      </c>
      <c r="Q2966" s="0" t="n">
        <f aca="true">RAND()</f>
        <v>0.62123336794998</v>
      </c>
      <c r="R2966" s="0" t="n">
        <f aca="false">IF($I2966&lt;&gt;$O2966,0,IF(P2966&lt;Matchup!$B$39,7,IF(P2966&lt;Matchup!$B$39+Matchup!$B$40,3,0)))</f>
        <v>0</v>
      </c>
      <c r="S2966" s="0" t="n">
        <f aca="false">IF($I2966&lt;&gt;$O2966,0,IF(Q2966&lt;Matchup!$C$39,7,IF(Q2966&lt;Matchup!$C$39+Matchup!$C$40,3,0)))</f>
        <v>0</v>
      </c>
      <c r="T2966" s="0" t="n">
        <f aca="false">I2966+R2966</f>
        <v>38</v>
      </c>
      <c r="U2966" s="0" t="n">
        <f aca="false">O2966+S2966</f>
        <v>35</v>
      </c>
      <c r="V2966" s="0" t="n">
        <f aca="false">T2966-U2966</f>
        <v>3</v>
      </c>
      <c r="W2966" s="0" t="n">
        <f aca="false">T2966+U2966</f>
        <v>73</v>
      </c>
    </row>
    <row r="2967" customFormat="false" ht="15" hidden="false" customHeight="false" outlineLevel="0" collapsed="false">
      <c r="A2967" s="0" t="n">
        <v>2964</v>
      </c>
      <c r="B2967" s="0" t="n">
        <f aca="true">NORMINV(RAND(),1,Coefficients!$B$22)</f>
        <v>1.12771355940655</v>
      </c>
      <c r="C2967" s="0" t="n">
        <f aca="true">MEDIAN(8,16,ROUND(NORMINV(RAND(),Coefficients!$B$20,Coefficients!$B$21),0))</f>
        <v>12</v>
      </c>
      <c r="D2967" s="0" t="n">
        <f aca="true">CRITBINOM($C2967,MIN(0.75,Matchup!$B$39*$B2967),RAND())</f>
        <v>1</v>
      </c>
      <c r="E2967" s="0" t="n">
        <f aca="true">CRITBINOM(D2967,Coefficients!$B$30,RAND())</f>
        <v>1</v>
      </c>
      <c r="F2967" s="0" t="n">
        <f aca="true">CRITBINOM(E2967,Coefficients!$B$31,RAND())</f>
        <v>0</v>
      </c>
      <c r="G2967" s="0" t="n">
        <f aca="true">CRITBINOM(MAX(0,D2967-E2967),1-Coefficients!$B$32,RAND())</f>
        <v>0</v>
      </c>
      <c r="H2967" s="0" t="n">
        <f aca="true">CRITBINOM(MAX(0,$C2967-D2967),MIN(0.6,Matchup!$B$40*SQRT($B2967)/(1-MIN(0.75,Matchup!$B$39*$B2967))),RAND())</f>
        <v>0</v>
      </c>
      <c r="I2967" s="0" t="n">
        <f aca="false">6*D2967+(D2967-E2967-G2967)+2*F2967+3*H2967</f>
        <v>6</v>
      </c>
      <c r="J2967" s="0" t="n">
        <f aca="true">CRITBINOM($C2967,MIN(0.75,Matchup!$C$39*$B2967),RAND())</f>
        <v>3</v>
      </c>
      <c r="K2967" s="0" t="n">
        <f aca="true">CRITBINOM(J2967,Coefficients!$B$30,RAND())</f>
        <v>0</v>
      </c>
      <c r="L2967" s="0" t="n">
        <f aca="true">CRITBINOM(K2967,Coefficients!$B$31,RAND())</f>
        <v>0</v>
      </c>
      <c r="M2967" s="0" t="n">
        <f aca="true">CRITBINOM(MAX(0,J2967-K2967),1-Coefficients!$B$32,RAND())</f>
        <v>0</v>
      </c>
      <c r="N2967" s="0" t="n">
        <f aca="true">CRITBINOM(MAX(0,$C2967-J2967),MIN(0.6,Matchup!$C$40*SQRT($B2967)/(1-MIN(0.75,Matchup!$C$39*$B2967))),RAND())</f>
        <v>1</v>
      </c>
      <c r="O2967" s="0" t="n">
        <f aca="false">6*J2967+(J2967-K2967-M2967)+2*L2967+3*N2967</f>
        <v>24</v>
      </c>
      <c r="P2967" s="0" t="n">
        <f aca="true">RAND()</f>
        <v>0.452448352715627</v>
      </c>
      <c r="Q2967" s="0" t="n">
        <f aca="true">RAND()</f>
        <v>0.0605507764662442</v>
      </c>
      <c r="R2967" s="0" t="n">
        <f aca="false">IF($I2967&lt;&gt;$O2967,0,IF(P2967&lt;Matchup!$B$39,7,IF(P2967&lt;Matchup!$B$39+Matchup!$B$40,3,0)))</f>
        <v>0</v>
      </c>
      <c r="S2967" s="0" t="n">
        <f aca="false">IF($I2967&lt;&gt;$O2967,0,IF(Q2967&lt;Matchup!$C$39,7,IF(Q2967&lt;Matchup!$C$39+Matchup!$C$40,3,0)))</f>
        <v>0</v>
      </c>
      <c r="T2967" s="0" t="n">
        <f aca="false">I2967+R2967</f>
        <v>6</v>
      </c>
      <c r="U2967" s="0" t="n">
        <f aca="false">O2967+S2967</f>
        <v>24</v>
      </c>
      <c r="V2967" s="0" t="n">
        <f aca="false">T2967-U2967</f>
        <v>-18</v>
      </c>
      <c r="W2967" s="0" t="n">
        <f aca="false">T2967+U2967</f>
        <v>30</v>
      </c>
    </row>
    <row r="2968" customFormat="false" ht="15" hidden="false" customHeight="false" outlineLevel="0" collapsed="false">
      <c r="A2968" s="0" t="n">
        <v>2965</v>
      </c>
      <c r="B2968" s="0" t="n">
        <f aca="true">NORMINV(RAND(),1,Coefficients!$B$22)</f>
        <v>0.986883391621327</v>
      </c>
      <c r="C2968" s="0" t="n">
        <f aca="true">MEDIAN(8,16,ROUND(NORMINV(RAND(),Coefficients!$B$20,Coefficients!$B$21),0))</f>
        <v>12</v>
      </c>
      <c r="D2968" s="0" t="n">
        <f aca="true">CRITBINOM($C2968,MIN(0.75,Matchup!$B$39*$B2968),RAND())</f>
        <v>4</v>
      </c>
      <c r="E2968" s="0" t="n">
        <f aca="true">CRITBINOM(D2968,Coefficients!$B$30,RAND())</f>
        <v>0</v>
      </c>
      <c r="F2968" s="0" t="n">
        <f aca="true">CRITBINOM(E2968,Coefficients!$B$31,RAND())</f>
        <v>0</v>
      </c>
      <c r="G2968" s="0" t="n">
        <f aca="true">CRITBINOM(MAX(0,D2968-E2968),1-Coefficients!$B$32,RAND())</f>
        <v>1</v>
      </c>
      <c r="H2968" s="0" t="n">
        <f aca="true">CRITBINOM(MAX(0,$C2968-D2968),MIN(0.6,Matchup!$B$40*SQRT($B2968)/(1-MIN(0.75,Matchup!$B$39*$B2968))),RAND())</f>
        <v>1</v>
      </c>
      <c r="I2968" s="0" t="n">
        <f aca="false">6*D2968+(D2968-E2968-G2968)+2*F2968+3*H2968</f>
        <v>30</v>
      </c>
      <c r="J2968" s="0" t="n">
        <f aca="true">CRITBINOM($C2968,MIN(0.75,Matchup!$C$39*$B2968),RAND())</f>
        <v>1</v>
      </c>
      <c r="K2968" s="0" t="n">
        <f aca="true">CRITBINOM(J2968,Coefficients!$B$30,RAND())</f>
        <v>1</v>
      </c>
      <c r="L2968" s="0" t="n">
        <f aca="true">CRITBINOM(K2968,Coefficients!$B$31,RAND())</f>
        <v>1</v>
      </c>
      <c r="M2968" s="0" t="n">
        <f aca="true">CRITBINOM(MAX(0,J2968-K2968),1-Coefficients!$B$32,RAND())</f>
        <v>0</v>
      </c>
      <c r="N2968" s="0" t="n">
        <f aca="true">CRITBINOM(MAX(0,$C2968-J2968),MIN(0.6,Matchup!$C$40*SQRT($B2968)/(1-MIN(0.75,Matchup!$C$39*$B2968))),RAND())</f>
        <v>3</v>
      </c>
      <c r="O2968" s="0" t="n">
        <f aca="false">6*J2968+(J2968-K2968-M2968)+2*L2968+3*N2968</f>
        <v>17</v>
      </c>
      <c r="P2968" s="0" t="n">
        <f aca="true">RAND()</f>
        <v>0.455227351463348</v>
      </c>
      <c r="Q2968" s="0" t="n">
        <f aca="true">RAND()</f>
        <v>0.854833412654171</v>
      </c>
      <c r="R2968" s="0" t="n">
        <f aca="false">IF($I2968&lt;&gt;$O2968,0,IF(P2968&lt;Matchup!$B$39,7,IF(P2968&lt;Matchup!$B$39+Matchup!$B$40,3,0)))</f>
        <v>0</v>
      </c>
      <c r="S2968" s="0" t="n">
        <f aca="false">IF($I2968&lt;&gt;$O2968,0,IF(Q2968&lt;Matchup!$C$39,7,IF(Q2968&lt;Matchup!$C$39+Matchup!$C$40,3,0)))</f>
        <v>0</v>
      </c>
      <c r="T2968" s="0" t="n">
        <f aca="false">I2968+R2968</f>
        <v>30</v>
      </c>
      <c r="U2968" s="0" t="n">
        <f aca="false">O2968+S2968</f>
        <v>17</v>
      </c>
      <c r="V2968" s="0" t="n">
        <f aca="false">T2968-U2968</f>
        <v>13</v>
      </c>
      <c r="W2968" s="0" t="n">
        <f aca="false">T2968+U2968</f>
        <v>47</v>
      </c>
    </row>
    <row r="2969" customFormat="false" ht="15" hidden="false" customHeight="false" outlineLevel="0" collapsed="false">
      <c r="A2969" s="0" t="n">
        <v>2966</v>
      </c>
      <c r="B2969" s="0" t="n">
        <f aca="true">NORMINV(RAND(),1,Coefficients!$B$22)</f>
        <v>0.87829268100535</v>
      </c>
      <c r="C2969" s="0" t="n">
        <f aca="true">MEDIAN(8,16,ROUND(NORMINV(RAND(),Coefficients!$B$20,Coefficients!$B$21),0))</f>
        <v>13</v>
      </c>
      <c r="D2969" s="0" t="n">
        <f aca="true">CRITBINOM($C2969,MIN(0.75,Matchup!$B$39*$B2969),RAND())</f>
        <v>2</v>
      </c>
      <c r="E2969" s="0" t="n">
        <f aca="true">CRITBINOM(D2969,Coefficients!$B$30,RAND())</f>
        <v>0</v>
      </c>
      <c r="F2969" s="0" t="n">
        <f aca="true">CRITBINOM(E2969,Coefficients!$B$31,RAND())</f>
        <v>0</v>
      </c>
      <c r="G2969" s="0" t="n">
        <f aca="true">CRITBINOM(MAX(0,D2969-E2969),1-Coefficients!$B$32,RAND())</f>
        <v>0</v>
      </c>
      <c r="H2969" s="0" t="n">
        <f aca="true">CRITBINOM(MAX(0,$C2969-D2969),MIN(0.6,Matchup!$B$40*SQRT($B2969)/(1-MIN(0.75,Matchup!$B$39*$B2969))),RAND())</f>
        <v>1</v>
      </c>
      <c r="I2969" s="0" t="n">
        <f aca="false">6*D2969+(D2969-E2969-G2969)+2*F2969+3*H2969</f>
        <v>17</v>
      </c>
      <c r="J2969" s="0" t="n">
        <f aca="true">CRITBINOM($C2969,MIN(0.75,Matchup!$C$39*$B2969),RAND())</f>
        <v>1</v>
      </c>
      <c r="K2969" s="0" t="n">
        <f aca="true">CRITBINOM(J2969,Coefficients!$B$30,RAND())</f>
        <v>0</v>
      </c>
      <c r="L2969" s="0" t="n">
        <f aca="true">CRITBINOM(K2969,Coefficients!$B$31,RAND())</f>
        <v>0</v>
      </c>
      <c r="M2969" s="0" t="n">
        <f aca="true">CRITBINOM(MAX(0,J2969-K2969),1-Coefficients!$B$32,RAND())</f>
        <v>0</v>
      </c>
      <c r="N2969" s="0" t="n">
        <f aca="true">CRITBINOM(MAX(0,$C2969-J2969),MIN(0.6,Matchup!$C$40*SQRT($B2969)/(1-MIN(0.75,Matchup!$C$39*$B2969))),RAND())</f>
        <v>1</v>
      </c>
      <c r="O2969" s="0" t="n">
        <f aca="false">6*J2969+(J2969-K2969-M2969)+2*L2969+3*N2969</f>
        <v>10</v>
      </c>
      <c r="P2969" s="0" t="n">
        <f aca="true">RAND()</f>
        <v>0.530691731612197</v>
      </c>
      <c r="Q2969" s="0" t="n">
        <f aca="true">RAND()</f>
        <v>0.954149667123662</v>
      </c>
      <c r="R2969" s="0" t="n">
        <f aca="false">IF($I2969&lt;&gt;$O2969,0,IF(P2969&lt;Matchup!$B$39,7,IF(P2969&lt;Matchup!$B$39+Matchup!$B$40,3,0)))</f>
        <v>0</v>
      </c>
      <c r="S2969" s="0" t="n">
        <f aca="false">IF($I2969&lt;&gt;$O2969,0,IF(Q2969&lt;Matchup!$C$39,7,IF(Q2969&lt;Matchup!$C$39+Matchup!$C$40,3,0)))</f>
        <v>0</v>
      </c>
      <c r="T2969" s="0" t="n">
        <f aca="false">I2969+R2969</f>
        <v>17</v>
      </c>
      <c r="U2969" s="0" t="n">
        <f aca="false">O2969+S2969</f>
        <v>10</v>
      </c>
      <c r="V2969" s="0" t="n">
        <f aca="false">T2969-U2969</f>
        <v>7</v>
      </c>
      <c r="W2969" s="0" t="n">
        <f aca="false">T2969+U2969</f>
        <v>27</v>
      </c>
    </row>
    <row r="2970" customFormat="false" ht="15" hidden="false" customHeight="false" outlineLevel="0" collapsed="false">
      <c r="A2970" s="0" t="n">
        <v>2967</v>
      </c>
      <c r="B2970" s="0" t="n">
        <f aca="true">NORMINV(RAND(),1,Coefficients!$B$22)</f>
        <v>0.880780452255979</v>
      </c>
      <c r="C2970" s="0" t="n">
        <f aca="true">MEDIAN(8,16,ROUND(NORMINV(RAND(),Coefficients!$B$20,Coefficients!$B$21),0))</f>
        <v>12</v>
      </c>
      <c r="D2970" s="0" t="n">
        <f aca="true">CRITBINOM($C2970,MIN(0.75,Matchup!$B$39*$B2970),RAND())</f>
        <v>2</v>
      </c>
      <c r="E2970" s="0" t="n">
        <f aca="true">CRITBINOM(D2970,Coefficients!$B$30,RAND())</f>
        <v>0</v>
      </c>
      <c r="F2970" s="0" t="n">
        <f aca="true">CRITBINOM(E2970,Coefficients!$B$31,RAND())</f>
        <v>0</v>
      </c>
      <c r="G2970" s="0" t="n">
        <f aca="true">CRITBINOM(MAX(0,D2970-E2970),1-Coefficients!$B$32,RAND())</f>
        <v>0</v>
      </c>
      <c r="H2970" s="0" t="n">
        <f aca="true">CRITBINOM(MAX(0,$C2970-D2970),MIN(0.6,Matchup!$B$40*SQRT($B2970)/(1-MIN(0.75,Matchup!$B$39*$B2970))),RAND())</f>
        <v>3</v>
      </c>
      <c r="I2970" s="0" t="n">
        <f aca="false">6*D2970+(D2970-E2970-G2970)+2*F2970+3*H2970</f>
        <v>23</v>
      </c>
      <c r="J2970" s="0" t="n">
        <f aca="true">CRITBINOM($C2970,MIN(0.75,Matchup!$C$39*$B2970),RAND())</f>
        <v>1</v>
      </c>
      <c r="K2970" s="0" t="n">
        <f aca="true">CRITBINOM(J2970,Coefficients!$B$30,RAND())</f>
        <v>0</v>
      </c>
      <c r="L2970" s="0" t="n">
        <f aca="true">CRITBINOM(K2970,Coefficients!$B$31,RAND())</f>
        <v>0</v>
      </c>
      <c r="M2970" s="0" t="n">
        <f aca="true">CRITBINOM(MAX(0,J2970-K2970),1-Coefficients!$B$32,RAND())</f>
        <v>0</v>
      </c>
      <c r="N2970" s="0" t="n">
        <f aca="true">CRITBINOM(MAX(0,$C2970-J2970),MIN(0.6,Matchup!$C$40*SQRT($B2970)/(1-MIN(0.75,Matchup!$C$39*$B2970))),RAND())</f>
        <v>3</v>
      </c>
      <c r="O2970" s="0" t="n">
        <f aca="false">6*J2970+(J2970-K2970-M2970)+2*L2970+3*N2970</f>
        <v>16</v>
      </c>
      <c r="P2970" s="0" t="n">
        <f aca="true">RAND()</f>
        <v>0.646643138202351</v>
      </c>
      <c r="Q2970" s="0" t="n">
        <f aca="true">RAND()</f>
        <v>0.758117589935591</v>
      </c>
      <c r="R2970" s="0" t="n">
        <f aca="false">IF($I2970&lt;&gt;$O2970,0,IF(P2970&lt;Matchup!$B$39,7,IF(P2970&lt;Matchup!$B$39+Matchup!$B$40,3,0)))</f>
        <v>0</v>
      </c>
      <c r="S2970" s="0" t="n">
        <f aca="false">IF($I2970&lt;&gt;$O2970,0,IF(Q2970&lt;Matchup!$C$39,7,IF(Q2970&lt;Matchup!$C$39+Matchup!$C$40,3,0)))</f>
        <v>0</v>
      </c>
      <c r="T2970" s="0" t="n">
        <f aca="false">I2970+R2970</f>
        <v>23</v>
      </c>
      <c r="U2970" s="0" t="n">
        <f aca="false">O2970+S2970</f>
        <v>16</v>
      </c>
      <c r="V2970" s="0" t="n">
        <f aca="false">T2970-U2970</f>
        <v>7</v>
      </c>
      <c r="W2970" s="0" t="n">
        <f aca="false">T2970+U2970</f>
        <v>39</v>
      </c>
    </row>
    <row r="2971" customFormat="false" ht="15" hidden="false" customHeight="false" outlineLevel="0" collapsed="false">
      <c r="A2971" s="0" t="n">
        <v>2968</v>
      </c>
      <c r="B2971" s="0" t="n">
        <f aca="true">NORMINV(RAND(),1,Coefficients!$B$22)</f>
        <v>1.00394559532852</v>
      </c>
      <c r="C2971" s="0" t="n">
        <f aca="true">MEDIAN(8,16,ROUND(NORMINV(RAND(),Coefficients!$B$20,Coefficients!$B$21),0))</f>
        <v>11</v>
      </c>
      <c r="D2971" s="0" t="n">
        <f aca="true">CRITBINOM($C2971,MIN(0.75,Matchup!$B$39*$B2971),RAND())</f>
        <v>1</v>
      </c>
      <c r="E2971" s="0" t="n">
        <f aca="true">CRITBINOM(D2971,Coefficients!$B$30,RAND())</f>
        <v>0</v>
      </c>
      <c r="F2971" s="0" t="n">
        <f aca="true">CRITBINOM(E2971,Coefficients!$B$31,RAND())</f>
        <v>0</v>
      </c>
      <c r="G2971" s="0" t="n">
        <f aca="true">CRITBINOM(MAX(0,D2971-E2971),1-Coefficients!$B$32,RAND())</f>
        <v>0</v>
      </c>
      <c r="H2971" s="0" t="n">
        <f aca="true">CRITBINOM(MAX(0,$C2971-D2971),MIN(0.6,Matchup!$B$40*SQRT($B2971)/(1-MIN(0.75,Matchup!$B$39*$B2971))),RAND())</f>
        <v>3</v>
      </c>
      <c r="I2971" s="0" t="n">
        <f aca="false">6*D2971+(D2971-E2971-G2971)+2*F2971+3*H2971</f>
        <v>16</v>
      </c>
      <c r="J2971" s="0" t="n">
        <f aca="true">CRITBINOM($C2971,MIN(0.75,Matchup!$C$39*$B2971),RAND())</f>
        <v>0</v>
      </c>
      <c r="K2971" s="0" t="n">
        <f aca="true">CRITBINOM(J2971,Coefficients!$B$30,RAND())</f>
        <v>0</v>
      </c>
      <c r="L2971" s="0" t="n">
        <f aca="true">CRITBINOM(K2971,Coefficients!$B$31,RAND())</f>
        <v>0</v>
      </c>
      <c r="M2971" s="0" t="n">
        <f aca="true">CRITBINOM(MAX(0,J2971-K2971),1-Coefficients!$B$32,RAND())</f>
        <v>0</v>
      </c>
      <c r="N2971" s="0" t="n">
        <f aca="true">CRITBINOM(MAX(0,$C2971-J2971),MIN(0.6,Matchup!$C$40*SQRT($B2971)/(1-MIN(0.75,Matchup!$C$39*$B2971))),RAND())</f>
        <v>4</v>
      </c>
      <c r="O2971" s="0" t="n">
        <f aca="false">6*J2971+(J2971-K2971-M2971)+2*L2971+3*N2971</f>
        <v>12</v>
      </c>
      <c r="P2971" s="0" t="n">
        <f aca="true">RAND()</f>
        <v>0.465698743315401</v>
      </c>
      <c r="Q2971" s="0" t="n">
        <f aca="true">RAND()</f>
        <v>0.957416409992374</v>
      </c>
      <c r="R2971" s="0" t="n">
        <f aca="false">IF($I2971&lt;&gt;$O2971,0,IF(P2971&lt;Matchup!$B$39,7,IF(P2971&lt;Matchup!$B$39+Matchup!$B$40,3,0)))</f>
        <v>0</v>
      </c>
      <c r="S2971" s="0" t="n">
        <f aca="false">IF($I2971&lt;&gt;$O2971,0,IF(Q2971&lt;Matchup!$C$39,7,IF(Q2971&lt;Matchup!$C$39+Matchup!$C$40,3,0)))</f>
        <v>0</v>
      </c>
      <c r="T2971" s="0" t="n">
        <f aca="false">I2971+R2971</f>
        <v>16</v>
      </c>
      <c r="U2971" s="0" t="n">
        <f aca="false">O2971+S2971</f>
        <v>12</v>
      </c>
      <c r="V2971" s="0" t="n">
        <f aca="false">T2971-U2971</f>
        <v>4</v>
      </c>
      <c r="W2971" s="0" t="n">
        <f aca="false">T2971+U2971</f>
        <v>28</v>
      </c>
    </row>
    <row r="2972" customFormat="false" ht="15" hidden="false" customHeight="false" outlineLevel="0" collapsed="false">
      <c r="A2972" s="0" t="n">
        <v>2969</v>
      </c>
      <c r="B2972" s="0" t="n">
        <f aca="true">NORMINV(RAND(),1,Coefficients!$B$22)</f>
        <v>0.995998776303443</v>
      </c>
      <c r="C2972" s="0" t="n">
        <f aca="true">MEDIAN(8,16,ROUND(NORMINV(RAND(),Coefficients!$B$20,Coefficients!$B$21),0))</f>
        <v>12</v>
      </c>
      <c r="D2972" s="0" t="n">
        <f aca="true">CRITBINOM($C2972,MIN(0.75,Matchup!$B$39*$B2972),RAND())</f>
        <v>3</v>
      </c>
      <c r="E2972" s="0" t="n">
        <f aca="true">CRITBINOM(D2972,Coefficients!$B$30,RAND())</f>
        <v>0</v>
      </c>
      <c r="F2972" s="0" t="n">
        <f aca="true">CRITBINOM(E2972,Coefficients!$B$31,RAND())</f>
        <v>0</v>
      </c>
      <c r="G2972" s="0" t="n">
        <f aca="true">CRITBINOM(MAX(0,D2972-E2972),1-Coefficients!$B$32,RAND())</f>
        <v>0</v>
      </c>
      <c r="H2972" s="0" t="n">
        <f aca="true">CRITBINOM(MAX(0,$C2972-D2972),MIN(0.6,Matchup!$B$40*SQRT($B2972)/(1-MIN(0.75,Matchup!$B$39*$B2972))),RAND())</f>
        <v>2</v>
      </c>
      <c r="I2972" s="0" t="n">
        <f aca="false">6*D2972+(D2972-E2972-G2972)+2*F2972+3*H2972</f>
        <v>27</v>
      </c>
      <c r="J2972" s="0" t="n">
        <f aca="true">CRITBINOM($C2972,MIN(0.75,Matchup!$C$39*$B2972),RAND())</f>
        <v>4</v>
      </c>
      <c r="K2972" s="0" t="n">
        <f aca="true">CRITBINOM(J2972,Coefficients!$B$30,RAND())</f>
        <v>1</v>
      </c>
      <c r="L2972" s="0" t="n">
        <f aca="true">CRITBINOM(K2972,Coefficients!$B$31,RAND())</f>
        <v>0</v>
      </c>
      <c r="M2972" s="0" t="n">
        <f aca="true">CRITBINOM(MAX(0,J2972-K2972),1-Coefficients!$B$32,RAND())</f>
        <v>0</v>
      </c>
      <c r="N2972" s="0" t="n">
        <f aca="true">CRITBINOM(MAX(0,$C2972-J2972),MIN(0.6,Matchup!$C$40*SQRT($B2972)/(1-MIN(0.75,Matchup!$C$39*$B2972))),RAND())</f>
        <v>1</v>
      </c>
      <c r="O2972" s="0" t="n">
        <f aca="false">6*J2972+(J2972-K2972-M2972)+2*L2972+3*N2972</f>
        <v>30</v>
      </c>
      <c r="P2972" s="0" t="n">
        <f aca="true">RAND()</f>
        <v>0.0245314684041505</v>
      </c>
      <c r="Q2972" s="0" t="n">
        <f aca="true">RAND()</f>
        <v>0.487118105169255</v>
      </c>
      <c r="R2972" s="0" t="n">
        <f aca="false">IF($I2972&lt;&gt;$O2972,0,IF(P2972&lt;Matchup!$B$39,7,IF(P2972&lt;Matchup!$B$39+Matchup!$B$40,3,0)))</f>
        <v>0</v>
      </c>
      <c r="S2972" s="0" t="n">
        <f aca="false">IF($I2972&lt;&gt;$O2972,0,IF(Q2972&lt;Matchup!$C$39,7,IF(Q2972&lt;Matchup!$C$39+Matchup!$C$40,3,0)))</f>
        <v>0</v>
      </c>
      <c r="T2972" s="0" t="n">
        <f aca="false">I2972+R2972</f>
        <v>27</v>
      </c>
      <c r="U2972" s="0" t="n">
        <f aca="false">O2972+S2972</f>
        <v>30</v>
      </c>
      <c r="V2972" s="0" t="n">
        <f aca="false">T2972-U2972</f>
        <v>-3</v>
      </c>
      <c r="W2972" s="0" t="n">
        <f aca="false">T2972+U2972</f>
        <v>57</v>
      </c>
    </row>
    <row r="2973" customFormat="false" ht="15" hidden="false" customHeight="false" outlineLevel="0" collapsed="false">
      <c r="A2973" s="0" t="n">
        <v>2970</v>
      </c>
      <c r="B2973" s="0" t="n">
        <f aca="true">NORMINV(RAND(),1,Coefficients!$B$22)</f>
        <v>0.979482393965569</v>
      </c>
      <c r="C2973" s="0" t="n">
        <f aca="true">MEDIAN(8,16,ROUND(NORMINV(RAND(),Coefficients!$B$20,Coefficients!$B$21),0))</f>
        <v>11</v>
      </c>
      <c r="D2973" s="0" t="n">
        <f aca="true">CRITBINOM($C2973,MIN(0.75,Matchup!$B$39*$B2973),RAND())</f>
        <v>2</v>
      </c>
      <c r="E2973" s="0" t="n">
        <f aca="true">CRITBINOM(D2973,Coefficients!$B$30,RAND())</f>
        <v>1</v>
      </c>
      <c r="F2973" s="0" t="n">
        <f aca="true">CRITBINOM(E2973,Coefficients!$B$31,RAND())</f>
        <v>1</v>
      </c>
      <c r="G2973" s="0" t="n">
        <f aca="true">CRITBINOM(MAX(0,D2973-E2973),1-Coefficients!$B$32,RAND())</f>
        <v>0</v>
      </c>
      <c r="H2973" s="0" t="n">
        <f aca="true">CRITBINOM(MAX(0,$C2973-D2973),MIN(0.6,Matchup!$B$40*SQRT($B2973)/(1-MIN(0.75,Matchup!$B$39*$B2973))),RAND())</f>
        <v>1</v>
      </c>
      <c r="I2973" s="0" t="n">
        <f aca="false">6*D2973+(D2973-E2973-G2973)+2*F2973+3*H2973</f>
        <v>18</v>
      </c>
      <c r="J2973" s="0" t="n">
        <f aca="true">CRITBINOM($C2973,MIN(0.75,Matchup!$C$39*$B2973),RAND())</f>
        <v>3</v>
      </c>
      <c r="K2973" s="0" t="n">
        <f aca="true">CRITBINOM(J2973,Coefficients!$B$30,RAND())</f>
        <v>1</v>
      </c>
      <c r="L2973" s="0" t="n">
        <f aca="true">CRITBINOM(K2973,Coefficients!$B$31,RAND())</f>
        <v>1</v>
      </c>
      <c r="M2973" s="0" t="n">
        <f aca="true">CRITBINOM(MAX(0,J2973-K2973),1-Coefficients!$B$32,RAND())</f>
        <v>0</v>
      </c>
      <c r="N2973" s="0" t="n">
        <f aca="true">CRITBINOM(MAX(0,$C2973-J2973),MIN(0.6,Matchup!$C$40*SQRT($B2973)/(1-MIN(0.75,Matchup!$C$39*$B2973))),RAND())</f>
        <v>0</v>
      </c>
      <c r="O2973" s="0" t="n">
        <f aca="false">6*J2973+(J2973-K2973-M2973)+2*L2973+3*N2973</f>
        <v>22</v>
      </c>
      <c r="P2973" s="0" t="n">
        <f aca="true">RAND()</f>
        <v>0.599935651918767</v>
      </c>
      <c r="Q2973" s="0" t="n">
        <f aca="true">RAND()</f>
        <v>0.311086772903769</v>
      </c>
      <c r="R2973" s="0" t="n">
        <f aca="false">IF($I2973&lt;&gt;$O2973,0,IF(P2973&lt;Matchup!$B$39,7,IF(P2973&lt;Matchup!$B$39+Matchup!$B$40,3,0)))</f>
        <v>0</v>
      </c>
      <c r="S2973" s="0" t="n">
        <f aca="false">IF($I2973&lt;&gt;$O2973,0,IF(Q2973&lt;Matchup!$C$39,7,IF(Q2973&lt;Matchup!$C$39+Matchup!$C$40,3,0)))</f>
        <v>0</v>
      </c>
      <c r="T2973" s="0" t="n">
        <f aca="false">I2973+R2973</f>
        <v>18</v>
      </c>
      <c r="U2973" s="0" t="n">
        <f aca="false">O2973+S2973</f>
        <v>22</v>
      </c>
      <c r="V2973" s="0" t="n">
        <f aca="false">T2973-U2973</f>
        <v>-4</v>
      </c>
      <c r="W2973" s="0" t="n">
        <f aca="false">T2973+U2973</f>
        <v>40</v>
      </c>
    </row>
    <row r="2974" customFormat="false" ht="15" hidden="false" customHeight="false" outlineLevel="0" collapsed="false">
      <c r="A2974" s="0" t="n">
        <v>2971</v>
      </c>
      <c r="B2974" s="0" t="n">
        <f aca="true">NORMINV(RAND(),1,Coefficients!$B$22)</f>
        <v>1.06990679716776</v>
      </c>
      <c r="C2974" s="0" t="n">
        <f aca="true">MEDIAN(8,16,ROUND(NORMINV(RAND(),Coefficients!$B$20,Coefficients!$B$21),0))</f>
        <v>9</v>
      </c>
      <c r="D2974" s="0" t="n">
        <f aca="true">CRITBINOM($C2974,MIN(0.75,Matchup!$B$39*$B2974),RAND())</f>
        <v>2</v>
      </c>
      <c r="E2974" s="0" t="n">
        <f aca="true">CRITBINOM(D2974,Coefficients!$B$30,RAND())</f>
        <v>0</v>
      </c>
      <c r="F2974" s="0" t="n">
        <f aca="true">CRITBINOM(E2974,Coefficients!$B$31,RAND())</f>
        <v>0</v>
      </c>
      <c r="G2974" s="0" t="n">
        <f aca="true">CRITBINOM(MAX(0,D2974-E2974),1-Coefficients!$B$32,RAND())</f>
        <v>0</v>
      </c>
      <c r="H2974" s="0" t="n">
        <f aca="true">CRITBINOM(MAX(0,$C2974-D2974),MIN(0.6,Matchup!$B$40*SQRT($B2974)/(1-MIN(0.75,Matchup!$B$39*$B2974))),RAND())</f>
        <v>1</v>
      </c>
      <c r="I2974" s="0" t="n">
        <f aca="false">6*D2974+(D2974-E2974-G2974)+2*F2974+3*H2974</f>
        <v>17</v>
      </c>
      <c r="J2974" s="0" t="n">
        <f aca="true">CRITBINOM($C2974,MIN(0.75,Matchup!$C$39*$B2974),RAND())</f>
        <v>2</v>
      </c>
      <c r="K2974" s="0" t="n">
        <f aca="true">CRITBINOM(J2974,Coefficients!$B$30,RAND())</f>
        <v>0</v>
      </c>
      <c r="L2974" s="0" t="n">
        <f aca="true">CRITBINOM(K2974,Coefficients!$B$31,RAND())</f>
        <v>0</v>
      </c>
      <c r="M2974" s="0" t="n">
        <f aca="true">CRITBINOM(MAX(0,J2974-K2974),1-Coefficients!$B$32,RAND())</f>
        <v>0</v>
      </c>
      <c r="N2974" s="0" t="n">
        <f aca="true">CRITBINOM(MAX(0,$C2974-J2974),MIN(0.6,Matchup!$C$40*SQRT($B2974)/(1-MIN(0.75,Matchup!$C$39*$B2974))),RAND())</f>
        <v>0</v>
      </c>
      <c r="O2974" s="0" t="n">
        <f aca="false">6*J2974+(J2974-K2974-M2974)+2*L2974+3*N2974</f>
        <v>14</v>
      </c>
      <c r="P2974" s="0" t="n">
        <f aca="true">RAND()</f>
        <v>0.76672813281449</v>
      </c>
      <c r="Q2974" s="0" t="n">
        <f aca="true">RAND()</f>
        <v>0.342693403441611</v>
      </c>
      <c r="R2974" s="0" t="n">
        <f aca="false">IF($I2974&lt;&gt;$O2974,0,IF(P2974&lt;Matchup!$B$39,7,IF(P2974&lt;Matchup!$B$39+Matchup!$B$40,3,0)))</f>
        <v>0</v>
      </c>
      <c r="S2974" s="0" t="n">
        <f aca="false">IF($I2974&lt;&gt;$O2974,0,IF(Q2974&lt;Matchup!$C$39,7,IF(Q2974&lt;Matchup!$C$39+Matchup!$C$40,3,0)))</f>
        <v>0</v>
      </c>
      <c r="T2974" s="0" t="n">
        <f aca="false">I2974+R2974</f>
        <v>17</v>
      </c>
      <c r="U2974" s="0" t="n">
        <f aca="false">O2974+S2974</f>
        <v>14</v>
      </c>
      <c r="V2974" s="0" t="n">
        <f aca="false">T2974-U2974</f>
        <v>3</v>
      </c>
      <c r="W2974" s="0" t="n">
        <f aca="false">T2974+U2974</f>
        <v>31</v>
      </c>
    </row>
    <row r="2975" customFormat="false" ht="15" hidden="false" customHeight="false" outlineLevel="0" collapsed="false">
      <c r="A2975" s="0" t="n">
        <v>2972</v>
      </c>
      <c r="B2975" s="0" t="n">
        <f aca="true">NORMINV(RAND(),1,Coefficients!$B$22)</f>
        <v>0.901704119291671</v>
      </c>
      <c r="C2975" s="0" t="n">
        <f aca="true">MEDIAN(8,16,ROUND(NORMINV(RAND(),Coefficients!$B$20,Coefficients!$B$21),0))</f>
        <v>14</v>
      </c>
      <c r="D2975" s="0" t="n">
        <f aca="true">CRITBINOM($C2975,MIN(0.75,Matchup!$B$39*$B2975),RAND())</f>
        <v>5</v>
      </c>
      <c r="E2975" s="0" t="n">
        <f aca="true">CRITBINOM(D2975,Coefficients!$B$30,RAND())</f>
        <v>0</v>
      </c>
      <c r="F2975" s="0" t="n">
        <f aca="true">CRITBINOM(E2975,Coefficients!$B$31,RAND())</f>
        <v>0</v>
      </c>
      <c r="G2975" s="0" t="n">
        <f aca="true">CRITBINOM(MAX(0,D2975-E2975),1-Coefficients!$B$32,RAND())</f>
        <v>0</v>
      </c>
      <c r="H2975" s="0" t="n">
        <f aca="true">CRITBINOM(MAX(0,$C2975-D2975),MIN(0.6,Matchup!$B$40*SQRT($B2975)/(1-MIN(0.75,Matchup!$B$39*$B2975))),RAND())</f>
        <v>1</v>
      </c>
      <c r="I2975" s="0" t="n">
        <f aca="false">6*D2975+(D2975-E2975-G2975)+2*F2975+3*H2975</f>
        <v>38</v>
      </c>
      <c r="J2975" s="0" t="n">
        <f aca="true">CRITBINOM($C2975,MIN(0.75,Matchup!$C$39*$B2975),RAND())</f>
        <v>1</v>
      </c>
      <c r="K2975" s="0" t="n">
        <f aca="true">CRITBINOM(J2975,Coefficients!$B$30,RAND())</f>
        <v>0</v>
      </c>
      <c r="L2975" s="0" t="n">
        <f aca="true">CRITBINOM(K2975,Coefficients!$B$31,RAND())</f>
        <v>0</v>
      </c>
      <c r="M2975" s="0" t="n">
        <f aca="true">CRITBINOM(MAX(0,J2975-K2975),1-Coefficients!$B$32,RAND())</f>
        <v>0</v>
      </c>
      <c r="N2975" s="0" t="n">
        <f aca="true">CRITBINOM(MAX(0,$C2975-J2975),MIN(0.6,Matchup!$C$40*SQRT($B2975)/(1-MIN(0.75,Matchup!$C$39*$B2975))),RAND())</f>
        <v>1</v>
      </c>
      <c r="O2975" s="0" t="n">
        <f aca="false">6*J2975+(J2975-K2975-M2975)+2*L2975+3*N2975</f>
        <v>10</v>
      </c>
      <c r="P2975" s="0" t="n">
        <f aca="true">RAND()</f>
        <v>0.330855295111062</v>
      </c>
      <c r="Q2975" s="0" t="n">
        <f aca="true">RAND()</f>
        <v>0.77762847291655</v>
      </c>
      <c r="R2975" s="0" t="n">
        <f aca="false">IF($I2975&lt;&gt;$O2975,0,IF(P2975&lt;Matchup!$B$39,7,IF(P2975&lt;Matchup!$B$39+Matchup!$B$40,3,0)))</f>
        <v>0</v>
      </c>
      <c r="S2975" s="0" t="n">
        <f aca="false">IF($I2975&lt;&gt;$O2975,0,IF(Q2975&lt;Matchup!$C$39,7,IF(Q2975&lt;Matchup!$C$39+Matchup!$C$40,3,0)))</f>
        <v>0</v>
      </c>
      <c r="T2975" s="0" t="n">
        <f aca="false">I2975+R2975</f>
        <v>38</v>
      </c>
      <c r="U2975" s="0" t="n">
        <f aca="false">O2975+S2975</f>
        <v>10</v>
      </c>
      <c r="V2975" s="0" t="n">
        <f aca="false">T2975-U2975</f>
        <v>28</v>
      </c>
      <c r="W2975" s="0" t="n">
        <f aca="false">T2975+U2975</f>
        <v>48</v>
      </c>
    </row>
    <row r="2976" customFormat="false" ht="15" hidden="false" customHeight="false" outlineLevel="0" collapsed="false">
      <c r="A2976" s="0" t="n">
        <v>2973</v>
      </c>
      <c r="B2976" s="0" t="n">
        <f aca="true">NORMINV(RAND(),1,Coefficients!$B$22)</f>
        <v>0.966701543142959</v>
      </c>
      <c r="C2976" s="0" t="n">
        <f aca="true">MEDIAN(8,16,ROUND(NORMINV(RAND(),Coefficients!$B$20,Coefficients!$B$21),0))</f>
        <v>9</v>
      </c>
      <c r="D2976" s="0" t="n">
        <f aca="true">CRITBINOM($C2976,MIN(0.75,Matchup!$B$39*$B2976),RAND())</f>
        <v>4</v>
      </c>
      <c r="E2976" s="0" t="n">
        <f aca="true">CRITBINOM(D2976,Coefficients!$B$30,RAND())</f>
        <v>0</v>
      </c>
      <c r="F2976" s="0" t="n">
        <f aca="true">CRITBINOM(E2976,Coefficients!$B$31,RAND())</f>
        <v>0</v>
      </c>
      <c r="G2976" s="0" t="n">
        <f aca="true">CRITBINOM(MAX(0,D2976-E2976),1-Coefficients!$B$32,RAND())</f>
        <v>0</v>
      </c>
      <c r="H2976" s="0" t="n">
        <f aca="true">CRITBINOM(MAX(0,$C2976-D2976),MIN(0.6,Matchup!$B$40*SQRT($B2976)/(1-MIN(0.75,Matchup!$B$39*$B2976))),RAND())</f>
        <v>0</v>
      </c>
      <c r="I2976" s="0" t="n">
        <f aca="false">6*D2976+(D2976-E2976-G2976)+2*F2976+3*H2976</f>
        <v>28</v>
      </c>
      <c r="J2976" s="0" t="n">
        <f aca="true">CRITBINOM($C2976,MIN(0.75,Matchup!$C$39*$B2976),RAND())</f>
        <v>5</v>
      </c>
      <c r="K2976" s="0" t="n">
        <f aca="true">CRITBINOM(J2976,Coefficients!$B$30,RAND())</f>
        <v>1</v>
      </c>
      <c r="L2976" s="0" t="n">
        <f aca="true">CRITBINOM(K2976,Coefficients!$B$31,RAND())</f>
        <v>1</v>
      </c>
      <c r="M2976" s="0" t="n">
        <f aca="true">CRITBINOM(MAX(0,J2976-K2976),1-Coefficients!$B$32,RAND())</f>
        <v>0</v>
      </c>
      <c r="N2976" s="0" t="n">
        <f aca="true">CRITBINOM(MAX(0,$C2976-J2976),MIN(0.6,Matchup!$C$40*SQRT($B2976)/(1-MIN(0.75,Matchup!$C$39*$B2976))),RAND())</f>
        <v>0</v>
      </c>
      <c r="O2976" s="0" t="n">
        <f aca="false">6*J2976+(J2976-K2976-M2976)+2*L2976+3*N2976</f>
        <v>36</v>
      </c>
      <c r="P2976" s="0" t="n">
        <f aca="true">RAND()</f>
        <v>0.715352105726323</v>
      </c>
      <c r="Q2976" s="0" t="n">
        <f aca="true">RAND()</f>
        <v>0.793816499904191</v>
      </c>
      <c r="R2976" s="0" t="n">
        <f aca="false">IF($I2976&lt;&gt;$O2976,0,IF(P2976&lt;Matchup!$B$39,7,IF(P2976&lt;Matchup!$B$39+Matchup!$B$40,3,0)))</f>
        <v>0</v>
      </c>
      <c r="S2976" s="0" t="n">
        <f aca="false">IF($I2976&lt;&gt;$O2976,0,IF(Q2976&lt;Matchup!$C$39,7,IF(Q2976&lt;Matchup!$C$39+Matchup!$C$40,3,0)))</f>
        <v>0</v>
      </c>
      <c r="T2976" s="0" t="n">
        <f aca="false">I2976+R2976</f>
        <v>28</v>
      </c>
      <c r="U2976" s="0" t="n">
        <f aca="false">O2976+S2976</f>
        <v>36</v>
      </c>
      <c r="V2976" s="0" t="n">
        <f aca="false">T2976-U2976</f>
        <v>-8</v>
      </c>
      <c r="W2976" s="0" t="n">
        <f aca="false">T2976+U2976</f>
        <v>64</v>
      </c>
    </row>
    <row r="2977" customFormat="false" ht="15" hidden="false" customHeight="false" outlineLevel="0" collapsed="false">
      <c r="A2977" s="0" t="n">
        <v>2974</v>
      </c>
      <c r="B2977" s="0" t="n">
        <f aca="true">NORMINV(RAND(),1,Coefficients!$B$22)</f>
        <v>1.08623081704511</v>
      </c>
      <c r="C2977" s="0" t="n">
        <f aca="true">MEDIAN(8,16,ROUND(NORMINV(RAND(),Coefficients!$B$20,Coefficients!$B$21),0))</f>
        <v>11</v>
      </c>
      <c r="D2977" s="0" t="n">
        <f aca="true">CRITBINOM($C2977,MIN(0.75,Matchup!$B$39*$B2977),RAND())</f>
        <v>2</v>
      </c>
      <c r="E2977" s="0" t="n">
        <f aca="true">CRITBINOM(D2977,Coefficients!$B$30,RAND())</f>
        <v>0</v>
      </c>
      <c r="F2977" s="0" t="n">
        <f aca="true">CRITBINOM(E2977,Coefficients!$B$31,RAND())</f>
        <v>0</v>
      </c>
      <c r="G2977" s="0" t="n">
        <f aca="true">CRITBINOM(MAX(0,D2977-E2977),1-Coefficients!$B$32,RAND())</f>
        <v>0</v>
      </c>
      <c r="H2977" s="0" t="n">
        <f aca="true">CRITBINOM(MAX(0,$C2977-D2977),MIN(0.6,Matchup!$B$40*SQRT($B2977)/(1-MIN(0.75,Matchup!$B$39*$B2977))),RAND())</f>
        <v>2</v>
      </c>
      <c r="I2977" s="0" t="n">
        <f aca="false">6*D2977+(D2977-E2977-G2977)+2*F2977+3*H2977</f>
        <v>20</v>
      </c>
      <c r="J2977" s="0" t="n">
        <f aca="true">CRITBINOM($C2977,MIN(0.75,Matchup!$C$39*$B2977),RAND())</f>
        <v>3</v>
      </c>
      <c r="K2977" s="0" t="n">
        <f aca="true">CRITBINOM(J2977,Coefficients!$B$30,RAND())</f>
        <v>0</v>
      </c>
      <c r="L2977" s="0" t="n">
        <f aca="true">CRITBINOM(K2977,Coefficients!$B$31,RAND())</f>
        <v>0</v>
      </c>
      <c r="M2977" s="0" t="n">
        <f aca="true">CRITBINOM(MAX(0,J2977-K2977),1-Coefficients!$B$32,RAND())</f>
        <v>0</v>
      </c>
      <c r="N2977" s="0" t="n">
        <f aca="true">CRITBINOM(MAX(0,$C2977-J2977),MIN(0.6,Matchup!$C$40*SQRT($B2977)/(1-MIN(0.75,Matchup!$C$39*$B2977))),RAND())</f>
        <v>2</v>
      </c>
      <c r="O2977" s="0" t="n">
        <f aca="false">6*J2977+(J2977-K2977-M2977)+2*L2977+3*N2977</f>
        <v>27</v>
      </c>
      <c r="P2977" s="0" t="n">
        <f aca="true">RAND()</f>
        <v>0.251065576117048</v>
      </c>
      <c r="Q2977" s="0" t="n">
        <f aca="true">RAND()</f>
        <v>0.216505790998644</v>
      </c>
      <c r="R2977" s="0" t="n">
        <f aca="false">IF($I2977&lt;&gt;$O2977,0,IF(P2977&lt;Matchup!$B$39,7,IF(P2977&lt;Matchup!$B$39+Matchup!$B$40,3,0)))</f>
        <v>0</v>
      </c>
      <c r="S2977" s="0" t="n">
        <f aca="false">IF($I2977&lt;&gt;$O2977,0,IF(Q2977&lt;Matchup!$C$39,7,IF(Q2977&lt;Matchup!$C$39+Matchup!$C$40,3,0)))</f>
        <v>0</v>
      </c>
      <c r="T2977" s="0" t="n">
        <f aca="false">I2977+R2977</f>
        <v>20</v>
      </c>
      <c r="U2977" s="0" t="n">
        <f aca="false">O2977+S2977</f>
        <v>27</v>
      </c>
      <c r="V2977" s="0" t="n">
        <f aca="false">T2977-U2977</f>
        <v>-7</v>
      </c>
      <c r="W2977" s="0" t="n">
        <f aca="false">T2977+U2977</f>
        <v>47</v>
      </c>
    </row>
    <row r="2978" customFormat="false" ht="15" hidden="false" customHeight="false" outlineLevel="0" collapsed="false">
      <c r="A2978" s="0" t="n">
        <v>2975</v>
      </c>
      <c r="B2978" s="0" t="n">
        <f aca="true">NORMINV(RAND(),1,Coefficients!$B$22)</f>
        <v>1.07773796814002</v>
      </c>
      <c r="C2978" s="0" t="n">
        <f aca="true">MEDIAN(8,16,ROUND(NORMINV(RAND(),Coefficients!$B$20,Coefficients!$B$21),0))</f>
        <v>10</v>
      </c>
      <c r="D2978" s="0" t="n">
        <f aca="true">CRITBINOM($C2978,MIN(0.75,Matchup!$B$39*$B2978),RAND())</f>
        <v>4</v>
      </c>
      <c r="E2978" s="0" t="n">
        <f aca="true">CRITBINOM(D2978,Coefficients!$B$30,RAND())</f>
        <v>0</v>
      </c>
      <c r="F2978" s="0" t="n">
        <f aca="true">CRITBINOM(E2978,Coefficients!$B$31,RAND())</f>
        <v>0</v>
      </c>
      <c r="G2978" s="0" t="n">
        <f aca="true">CRITBINOM(MAX(0,D2978-E2978),1-Coefficients!$B$32,RAND())</f>
        <v>1</v>
      </c>
      <c r="H2978" s="0" t="n">
        <f aca="true">CRITBINOM(MAX(0,$C2978-D2978),MIN(0.6,Matchup!$B$40*SQRT($B2978)/(1-MIN(0.75,Matchup!$B$39*$B2978))),RAND())</f>
        <v>0</v>
      </c>
      <c r="I2978" s="0" t="n">
        <f aca="false">6*D2978+(D2978-E2978-G2978)+2*F2978+3*H2978</f>
        <v>27</v>
      </c>
      <c r="J2978" s="0" t="n">
        <f aca="true">CRITBINOM($C2978,MIN(0.75,Matchup!$C$39*$B2978),RAND())</f>
        <v>1</v>
      </c>
      <c r="K2978" s="0" t="n">
        <f aca="true">CRITBINOM(J2978,Coefficients!$B$30,RAND())</f>
        <v>0</v>
      </c>
      <c r="L2978" s="0" t="n">
        <f aca="true">CRITBINOM(K2978,Coefficients!$B$31,RAND())</f>
        <v>0</v>
      </c>
      <c r="M2978" s="0" t="n">
        <f aca="true">CRITBINOM(MAX(0,J2978-K2978),1-Coefficients!$B$32,RAND())</f>
        <v>0</v>
      </c>
      <c r="N2978" s="0" t="n">
        <f aca="true">CRITBINOM(MAX(0,$C2978-J2978),MIN(0.6,Matchup!$C$40*SQRT($B2978)/(1-MIN(0.75,Matchup!$C$39*$B2978))),RAND())</f>
        <v>3</v>
      </c>
      <c r="O2978" s="0" t="n">
        <f aca="false">6*J2978+(J2978-K2978-M2978)+2*L2978+3*N2978</f>
        <v>16</v>
      </c>
      <c r="P2978" s="0" t="n">
        <f aca="true">RAND()</f>
        <v>0.921893221840582</v>
      </c>
      <c r="Q2978" s="0" t="n">
        <f aca="true">RAND()</f>
        <v>0.289962913050911</v>
      </c>
      <c r="R2978" s="0" t="n">
        <f aca="false">IF($I2978&lt;&gt;$O2978,0,IF(P2978&lt;Matchup!$B$39,7,IF(P2978&lt;Matchup!$B$39+Matchup!$B$40,3,0)))</f>
        <v>0</v>
      </c>
      <c r="S2978" s="0" t="n">
        <f aca="false">IF($I2978&lt;&gt;$O2978,0,IF(Q2978&lt;Matchup!$C$39,7,IF(Q2978&lt;Matchup!$C$39+Matchup!$C$40,3,0)))</f>
        <v>0</v>
      </c>
      <c r="T2978" s="0" t="n">
        <f aca="false">I2978+R2978</f>
        <v>27</v>
      </c>
      <c r="U2978" s="0" t="n">
        <f aca="false">O2978+S2978</f>
        <v>16</v>
      </c>
      <c r="V2978" s="0" t="n">
        <f aca="false">T2978-U2978</f>
        <v>11</v>
      </c>
      <c r="W2978" s="0" t="n">
        <f aca="false">T2978+U2978</f>
        <v>43</v>
      </c>
    </row>
    <row r="2979" customFormat="false" ht="15" hidden="false" customHeight="false" outlineLevel="0" collapsed="false">
      <c r="A2979" s="0" t="n">
        <v>2976</v>
      </c>
      <c r="B2979" s="0" t="n">
        <f aca="true">NORMINV(RAND(),1,Coefficients!$B$22)</f>
        <v>0.945477546732502</v>
      </c>
      <c r="C2979" s="0" t="n">
        <f aca="true">MEDIAN(8,16,ROUND(NORMINV(RAND(),Coefficients!$B$20,Coefficients!$B$21),0))</f>
        <v>12</v>
      </c>
      <c r="D2979" s="0" t="n">
        <f aca="true">CRITBINOM($C2979,MIN(0.75,Matchup!$B$39*$B2979),RAND())</f>
        <v>5</v>
      </c>
      <c r="E2979" s="0" t="n">
        <f aca="true">CRITBINOM(D2979,Coefficients!$B$30,RAND())</f>
        <v>1</v>
      </c>
      <c r="F2979" s="0" t="n">
        <f aca="true">CRITBINOM(E2979,Coefficients!$B$31,RAND())</f>
        <v>0</v>
      </c>
      <c r="G2979" s="0" t="n">
        <f aca="true">CRITBINOM(MAX(0,D2979-E2979),1-Coefficients!$B$32,RAND())</f>
        <v>0</v>
      </c>
      <c r="H2979" s="0" t="n">
        <f aca="true">CRITBINOM(MAX(0,$C2979-D2979),MIN(0.6,Matchup!$B$40*SQRT($B2979)/(1-MIN(0.75,Matchup!$B$39*$B2979))),RAND())</f>
        <v>1</v>
      </c>
      <c r="I2979" s="0" t="n">
        <f aca="false">6*D2979+(D2979-E2979-G2979)+2*F2979+3*H2979</f>
        <v>37</v>
      </c>
      <c r="J2979" s="0" t="n">
        <f aca="true">CRITBINOM($C2979,MIN(0.75,Matchup!$C$39*$B2979),RAND())</f>
        <v>0</v>
      </c>
      <c r="K2979" s="0" t="n">
        <f aca="true">CRITBINOM(J2979,Coefficients!$B$30,RAND())</f>
        <v>0</v>
      </c>
      <c r="L2979" s="0" t="n">
        <f aca="true">CRITBINOM(K2979,Coefficients!$B$31,RAND())</f>
        <v>0</v>
      </c>
      <c r="M2979" s="0" t="n">
        <f aca="true">CRITBINOM(MAX(0,J2979-K2979),1-Coefficients!$B$32,RAND())</f>
        <v>0</v>
      </c>
      <c r="N2979" s="0" t="n">
        <f aca="true">CRITBINOM(MAX(0,$C2979-J2979),MIN(0.6,Matchup!$C$40*SQRT($B2979)/(1-MIN(0.75,Matchup!$C$39*$B2979))),RAND())</f>
        <v>3</v>
      </c>
      <c r="O2979" s="0" t="n">
        <f aca="false">6*J2979+(J2979-K2979-M2979)+2*L2979+3*N2979</f>
        <v>9</v>
      </c>
      <c r="P2979" s="0" t="n">
        <f aca="true">RAND()</f>
        <v>0.624888660141733</v>
      </c>
      <c r="Q2979" s="0" t="n">
        <f aca="true">RAND()</f>
        <v>0.894589167943653</v>
      </c>
      <c r="R2979" s="0" t="n">
        <f aca="false">IF($I2979&lt;&gt;$O2979,0,IF(P2979&lt;Matchup!$B$39,7,IF(P2979&lt;Matchup!$B$39+Matchup!$B$40,3,0)))</f>
        <v>0</v>
      </c>
      <c r="S2979" s="0" t="n">
        <f aca="false">IF($I2979&lt;&gt;$O2979,0,IF(Q2979&lt;Matchup!$C$39,7,IF(Q2979&lt;Matchup!$C$39+Matchup!$C$40,3,0)))</f>
        <v>0</v>
      </c>
      <c r="T2979" s="0" t="n">
        <f aca="false">I2979+R2979</f>
        <v>37</v>
      </c>
      <c r="U2979" s="0" t="n">
        <f aca="false">O2979+S2979</f>
        <v>9</v>
      </c>
      <c r="V2979" s="0" t="n">
        <f aca="false">T2979-U2979</f>
        <v>28</v>
      </c>
      <c r="W2979" s="0" t="n">
        <f aca="false">T2979+U2979</f>
        <v>46</v>
      </c>
    </row>
    <row r="2980" customFormat="false" ht="15" hidden="false" customHeight="false" outlineLevel="0" collapsed="false">
      <c r="A2980" s="0" t="n">
        <v>2977</v>
      </c>
      <c r="B2980" s="0" t="n">
        <f aca="true">NORMINV(RAND(),1,Coefficients!$B$22)</f>
        <v>1.11109708027479</v>
      </c>
      <c r="C2980" s="0" t="n">
        <f aca="true">MEDIAN(8,16,ROUND(NORMINV(RAND(),Coefficients!$B$20,Coefficients!$B$21),0))</f>
        <v>13</v>
      </c>
      <c r="D2980" s="0" t="n">
        <f aca="true">CRITBINOM($C2980,MIN(0.75,Matchup!$B$39*$B2980),RAND())</f>
        <v>2</v>
      </c>
      <c r="E2980" s="0" t="n">
        <f aca="true">CRITBINOM(D2980,Coefficients!$B$30,RAND())</f>
        <v>0</v>
      </c>
      <c r="F2980" s="0" t="n">
        <f aca="true">CRITBINOM(E2980,Coefficients!$B$31,RAND())</f>
        <v>0</v>
      </c>
      <c r="G2980" s="0" t="n">
        <f aca="true">CRITBINOM(MAX(0,D2980-E2980),1-Coefficients!$B$32,RAND())</f>
        <v>0</v>
      </c>
      <c r="H2980" s="0" t="n">
        <f aca="true">CRITBINOM(MAX(0,$C2980-D2980),MIN(0.6,Matchup!$B$40*SQRT($B2980)/(1-MIN(0.75,Matchup!$B$39*$B2980))),RAND())</f>
        <v>3</v>
      </c>
      <c r="I2980" s="0" t="n">
        <f aca="false">6*D2980+(D2980-E2980-G2980)+2*F2980+3*H2980</f>
        <v>23</v>
      </c>
      <c r="J2980" s="0" t="n">
        <f aca="true">CRITBINOM($C2980,MIN(0.75,Matchup!$C$39*$B2980),RAND())</f>
        <v>4</v>
      </c>
      <c r="K2980" s="0" t="n">
        <f aca="true">CRITBINOM(J2980,Coefficients!$B$30,RAND())</f>
        <v>1</v>
      </c>
      <c r="L2980" s="0" t="n">
        <f aca="true">CRITBINOM(K2980,Coefficients!$B$31,RAND())</f>
        <v>0</v>
      </c>
      <c r="M2980" s="0" t="n">
        <f aca="true">CRITBINOM(MAX(0,J2980-K2980),1-Coefficients!$B$32,RAND())</f>
        <v>0</v>
      </c>
      <c r="N2980" s="0" t="n">
        <f aca="true">CRITBINOM(MAX(0,$C2980-J2980),MIN(0.6,Matchup!$C$40*SQRT($B2980)/(1-MIN(0.75,Matchup!$C$39*$B2980))),RAND())</f>
        <v>2</v>
      </c>
      <c r="O2980" s="0" t="n">
        <f aca="false">6*J2980+(J2980-K2980-M2980)+2*L2980+3*N2980</f>
        <v>33</v>
      </c>
      <c r="P2980" s="0" t="n">
        <f aca="true">RAND()</f>
        <v>0.585230330242557</v>
      </c>
      <c r="Q2980" s="0" t="n">
        <f aca="true">RAND()</f>
        <v>0.711224037231189</v>
      </c>
      <c r="R2980" s="0" t="n">
        <f aca="false">IF($I2980&lt;&gt;$O2980,0,IF(P2980&lt;Matchup!$B$39,7,IF(P2980&lt;Matchup!$B$39+Matchup!$B$40,3,0)))</f>
        <v>0</v>
      </c>
      <c r="S2980" s="0" t="n">
        <f aca="false">IF($I2980&lt;&gt;$O2980,0,IF(Q2980&lt;Matchup!$C$39,7,IF(Q2980&lt;Matchup!$C$39+Matchup!$C$40,3,0)))</f>
        <v>0</v>
      </c>
      <c r="T2980" s="0" t="n">
        <f aca="false">I2980+R2980</f>
        <v>23</v>
      </c>
      <c r="U2980" s="0" t="n">
        <f aca="false">O2980+S2980</f>
        <v>33</v>
      </c>
      <c r="V2980" s="0" t="n">
        <f aca="false">T2980-U2980</f>
        <v>-10</v>
      </c>
      <c r="W2980" s="0" t="n">
        <f aca="false">T2980+U2980</f>
        <v>56</v>
      </c>
    </row>
    <row r="2981" customFormat="false" ht="15" hidden="false" customHeight="false" outlineLevel="0" collapsed="false">
      <c r="A2981" s="0" t="n">
        <v>2978</v>
      </c>
      <c r="B2981" s="0" t="n">
        <f aca="true">NORMINV(RAND(),1,Coefficients!$B$22)</f>
        <v>0.943110641226177</v>
      </c>
      <c r="C2981" s="0" t="n">
        <f aca="true">MEDIAN(8,16,ROUND(NORMINV(RAND(),Coefficients!$B$20,Coefficients!$B$21),0))</f>
        <v>12</v>
      </c>
      <c r="D2981" s="0" t="n">
        <f aca="true">CRITBINOM($C2981,MIN(0.75,Matchup!$B$39*$B2981),RAND())</f>
        <v>3</v>
      </c>
      <c r="E2981" s="0" t="n">
        <f aca="true">CRITBINOM(D2981,Coefficients!$B$30,RAND())</f>
        <v>0</v>
      </c>
      <c r="F2981" s="0" t="n">
        <f aca="true">CRITBINOM(E2981,Coefficients!$B$31,RAND())</f>
        <v>0</v>
      </c>
      <c r="G2981" s="0" t="n">
        <f aca="true">CRITBINOM(MAX(0,D2981-E2981),1-Coefficients!$B$32,RAND())</f>
        <v>0</v>
      </c>
      <c r="H2981" s="0" t="n">
        <f aca="true">CRITBINOM(MAX(0,$C2981-D2981),MIN(0.6,Matchup!$B$40*SQRT($B2981)/(1-MIN(0.75,Matchup!$B$39*$B2981))),RAND())</f>
        <v>2</v>
      </c>
      <c r="I2981" s="0" t="n">
        <f aca="false">6*D2981+(D2981-E2981-G2981)+2*F2981+3*H2981</f>
        <v>27</v>
      </c>
      <c r="J2981" s="0" t="n">
        <f aca="true">CRITBINOM($C2981,MIN(0.75,Matchup!$C$39*$B2981),RAND())</f>
        <v>0</v>
      </c>
      <c r="K2981" s="0" t="n">
        <f aca="true">CRITBINOM(J2981,Coefficients!$B$30,RAND())</f>
        <v>0</v>
      </c>
      <c r="L2981" s="0" t="n">
        <f aca="true">CRITBINOM(K2981,Coefficients!$B$31,RAND())</f>
        <v>0</v>
      </c>
      <c r="M2981" s="0" t="n">
        <f aca="true">CRITBINOM(MAX(0,J2981-K2981),1-Coefficients!$B$32,RAND())</f>
        <v>0</v>
      </c>
      <c r="N2981" s="0" t="n">
        <f aca="true">CRITBINOM(MAX(0,$C2981-J2981),MIN(0.6,Matchup!$C$40*SQRT($B2981)/(1-MIN(0.75,Matchup!$C$39*$B2981))),RAND())</f>
        <v>1</v>
      </c>
      <c r="O2981" s="0" t="n">
        <f aca="false">6*J2981+(J2981-K2981-M2981)+2*L2981+3*N2981</f>
        <v>3</v>
      </c>
      <c r="P2981" s="0" t="n">
        <f aca="true">RAND()</f>
        <v>0.484659021137419</v>
      </c>
      <c r="Q2981" s="0" t="n">
        <f aca="true">RAND()</f>
        <v>0.241531595935764</v>
      </c>
      <c r="R2981" s="0" t="n">
        <f aca="false">IF($I2981&lt;&gt;$O2981,0,IF(P2981&lt;Matchup!$B$39,7,IF(P2981&lt;Matchup!$B$39+Matchup!$B$40,3,0)))</f>
        <v>0</v>
      </c>
      <c r="S2981" s="0" t="n">
        <f aca="false">IF($I2981&lt;&gt;$O2981,0,IF(Q2981&lt;Matchup!$C$39,7,IF(Q2981&lt;Matchup!$C$39+Matchup!$C$40,3,0)))</f>
        <v>0</v>
      </c>
      <c r="T2981" s="0" t="n">
        <f aca="false">I2981+R2981</f>
        <v>27</v>
      </c>
      <c r="U2981" s="0" t="n">
        <f aca="false">O2981+S2981</f>
        <v>3</v>
      </c>
      <c r="V2981" s="0" t="n">
        <f aca="false">T2981-U2981</f>
        <v>24</v>
      </c>
      <c r="W2981" s="0" t="n">
        <f aca="false">T2981+U2981</f>
        <v>30</v>
      </c>
    </row>
    <row r="2982" customFormat="false" ht="15" hidden="false" customHeight="false" outlineLevel="0" collapsed="false">
      <c r="A2982" s="0" t="n">
        <v>2979</v>
      </c>
      <c r="B2982" s="0" t="n">
        <f aca="true">NORMINV(RAND(),1,Coefficients!$B$22)</f>
        <v>1.00722647299501</v>
      </c>
      <c r="C2982" s="0" t="n">
        <f aca="true">MEDIAN(8,16,ROUND(NORMINV(RAND(),Coefficients!$B$20,Coefficients!$B$21),0))</f>
        <v>10</v>
      </c>
      <c r="D2982" s="0" t="n">
        <f aca="true">CRITBINOM($C2982,MIN(0.75,Matchup!$B$39*$B2982),RAND())</f>
        <v>4</v>
      </c>
      <c r="E2982" s="0" t="n">
        <f aca="true">CRITBINOM(D2982,Coefficients!$B$30,RAND())</f>
        <v>0</v>
      </c>
      <c r="F2982" s="0" t="n">
        <f aca="true">CRITBINOM(E2982,Coefficients!$B$31,RAND())</f>
        <v>0</v>
      </c>
      <c r="G2982" s="0" t="n">
        <f aca="true">CRITBINOM(MAX(0,D2982-E2982),1-Coefficients!$B$32,RAND())</f>
        <v>0</v>
      </c>
      <c r="H2982" s="0" t="n">
        <f aca="true">CRITBINOM(MAX(0,$C2982-D2982),MIN(0.6,Matchup!$B$40*SQRT($B2982)/(1-MIN(0.75,Matchup!$B$39*$B2982))),RAND())</f>
        <v>0</v>
      </c>
      <c r="I2982" s="0" t="n">
        <f aca="false">6*D2982+(D2982-E2982-G2982)+2*F2982+3*H2982</f>
        <v>28</v>
      </c>
      <c r="J2982" s="0" t="n">
        <f aca="true">CRITBINOM($C2982,MIN(0.75,Matchup!$C$39*$B2982),RAND())</f>
        <v>3</v>
      </c>
      <c r="K2982" s="0" t="n">
        <f aca="true">CRITBINOM(J2982,Coefficients!$B$30,RAND())</f>
        <v>1</v>
      </c>
      <c r="L2982" s="0" t="n">
        <f aca="true">CRITBINOM(K2982,Coefficients!$B$31,RAND())</f>
        <v>0</v>
      </c>
      <c r="M2982" s="0" t="n">
        <f aca="true">CRITBINOM(MAX(0,J2982-K2982),1-Coefficients!$B$32,RAND())</f>
        <v>0</v>
      </c>
      <c r="N2982" s="0" t="n">
        <f aca="true">CRITBINOM(MAX(0,$C2982-J2982),MIN(0.6,Matchup!$C$40*SQRT($B2982)/(1-MIN(0.75,Matchup!$C$39*$B2982))),RAND())</f>
        <v>3</v>
      </c>
      <c r="O2982" s="0" t="n">
        <f aca="false">6*J2982+(J2982-K2982-M2982)+2*L2982+3*N2982</f>
        <v>29</v>
      </c>
      <c r="P2982" s="0" t="n">
        <f aca="true">RAND()</f>
        <v>0.996081771300852</v>
      </c>
      <c r="Q2982" s="0" t="n">
        <f aca="true">RAND()</f>
        <v>0.877328869241177</v>
      </c>
      <c r="R2982" s="0" t="n">
        <f aca="false">IF($I2982&lt;&gt;$O2982,0,IF(P2982&lt;Matchup!$B$39,7,IF(P2982&lt;Matchup!$B$39+Matchup!$B$40,3,0)))</f>
        <v>0</v>
      </c>
      <c r="S2982" s="0" t="n">
        <f aca="false">IF($I2982&lt;&gt;$O2982,0,IF(Q2982&lt;Matchup!$C$39,7,IF(Q2982&lt;Matchup!$C$39+Matchup!$C$40,3,0)))</f>
        <v>0</v>
      </c>
      <c r="T2982" s="0" t="n">
        <f aca="false">I2982+R2982</f>
        <v>28</v>
      </c>
      <c r="U2982" s="0" t="n">
        <f aca="false">O2982+S2982</f>
        <v>29</v>
      </c>
      <c r="V2982" s="0" t="n">
        <f aca="false">T2982-U2982</f>
        <v>-1</v>
      </c>
      <c r="W2982" s="0" t="n">
        <f aca="false">T2982+U2982</f>
        <v>57</v>
      </c>
    </row>
    <row r="2983" customFormat="false" ht="15" hidden="false" customHeight="false" outlineLevel="0" collapsed="false">
      <c r="A2983" s="0" t="n">
        <v>2980</v>
      </c>
      <c r="B2983" s="0" t="n">
        <f aca="true">NORMINV(RAND(),1,Coefficients!$B$22)</f>
        <v>0.963714830068462</v>
      </c>
      <c r="C2983" s="0" t="n">
        <f aca="true">MEDIAN(8,16,ROUND(NORMINV(RAND(),Coefficients!$B$20,Coefficients!$B$21),0))</f>
        <v>11</v>
      </c>
      <c r="D2983" s="0" t="n">
        <f aca="true">CRITBINOM($C2983,MIN(0.75,Matchup!$B$39*$B2983),RAND())</f>
        <v>2</v>
      </c>
      <c r="E2983" s="0" t="n">
        <f aca="true">CRITBINOM(D2983,Coefficients!$B$30,RAND())</f>
        <v>0</v>
      </c>
      <c r="F2983" s="0" t="n">
        <f aca="true">CRITBINOM(E2983,Coefficients!$B$31,RAND())</f>
        <v>0</v>
      </c>
      <c r="G2983" s="0" t="n">
        <f aca="true">CRITBINOM(MAX(0,D2983-E2983),1-Coefficients!$B$32,RAND())</f>
        <v>0</v>
      </c>
      <c r="H2983" s="0" t="n">
        <f aca="true">CRITBINOM(MAX(0,$C2983-D2983),MIN(0.6,Matchup!$B$40*SQRT($B2983)/(1-MIN(0.75,Matchup!$B$39*$B2983))),RAND())</f>
        <v>2</v>
      </c>
      <c r="I2983" s="0" t="n">
        <f aca="false">6*D2983+(D2983-E2983-G2983)+2*F2983+3*H2983</f>
        <v>20</v>
      </c>
      <c r="J2983" s="0" t="n">
        <f aca="true">CRITBINOM($C2983,MIN(0.75,Matchup!$C$39*$B2983),RAND())</f>
        <v>2</v>
      </c>
      <c r="K2983" s="0" t="n">
        <f aca="true">CRITBINOM(J2983,Coefficients!$B$30,RAND())</f>
        <v>1</v>
      </c>
      <c r="L2983" s="0" t="n">
        <f aca="true">CRITBINOM(K2983,Coefficients!$B$31,RAND())</f>
        <v>0</v>
      </c>
      <c r="M2983" s="0" t="n">
        <f aca="true">CRITBINOM(MAX(0,J2983-K2983),1-Coefficients!$B$32,RAND())</f>
        <v>0</v>
      </c>
      <c r="N2983" s="0" t="n">
        <f aca="true">CRITBINOM(MAX(0,$C2983-J2983),MIN(0.6,Matchup!$C$40*SQRT($B2983)/(1-MIN(0.75,Matchup!$C$39*$B2983))),RAND())</f>
        <v>2</v>
      </c>
      <c r="O2983" s="0" t="n">
        <f aca="false">6*J2983+(J2983-K2983-M2983)+2*L2983+3*N2983</f>
        <v>19</v>
      </c>
      <c r="P2983" s="0" t="n">
        <f aca="true">RAND()</f>
        <v>0.363752917707324</v>
      </c>
      <c r="Q2983" s="0" t="n">
        <f aca="true">RAND()</f>
        <v>0.833811630544571</v>
      </c>
      <c r="R2983" s="0" t="n">
        <f aca="false">IF($I2983&lt;&gt;$O2983,0,IF(P2983&lt;Matchup!$B$39,7,IF(P2983&lt;Matchup!$B$39+Matchup!$B$40,3,0)))</f>
        <v>0</v>
      </c>
      <c r="S2983" s="0" t="n">
        <f aca="false">IF($I2983&lt;&gt;$O2983,0,IF(Q2983&lt;Matchup!$C$39,7,IF(Q2983&lt;Matchup!$C$39+Matchup!$C$40,3,0)))</f>
        <v>0</v>
      </c>
      <c r="T2983" s="0" t="n">
        <f aca="false">I2983+R2983</f>
        <v>20</v>
      </c>
      <c r="U2983" s="0" t="n">
        <f aca="false">O2983+S2983</f>
        <v>19</v>
      </c>
      <c r="V2983" s="0" t="n">
        <f aca="false">T2983-U2983</f>
        <v>1</v>
      </c>
      <c r="W2983" s="0" t="n">
        <f aca="false">T2983+U2983</f>
        <v>39</v>
      </c>
    </row>
    <row r="2984" customFormat="false" ht="15" hidden="false" customHeight="false" outlineLevel="0" collapsed="false">
      <c r="A2984" s="0" t="n">
        <v>2981</v>
      </c>
      <c r="B2984" s="0" t="n">
        <f aca="true">NORMINV(RAND(),1,Coefficients!$B$22)</f>
        <v>0.976325629840872</v>
      </c>
      <c r="C2984" s="0" t="n">
        <f aca="true">MEDIAN(8,16,ROUND(NORMINV(RAND(),Coefficients!$B$20,Coefficients!$B$21),0))</f>
        <v>11</v>
      </c>
      <c r="D2984" s="0" t="n">
        <f aca="true">CRITBINOM($C2984,MIN(0.75,Matchup!$B$39*$B2984),RAND())</f>
        <v>3</v>
      </c>
      <c r="E2984" s="0" t="n">
        <f aca="true">CRITBINOM(D2984,Coefficients!$B$30,RAND())</f>
        <v>0</v>
      </c>
      <c r="F2984" s="0" t="n">
        <f aca="true">CRITBINOM(E2984,Coefficients!$B$31,RAND())</f>
        <v>0</v>
      </c>
      <c r="G2984" s="0" t="n">
        <f aca="true">CRITBINOM(MAX(0,D2984-E2984),1-Coefficients!$B$32,RAND())</f>
        <v>0</v>
      </c>
      <c r="H2984" s="0" t="n">
        <f aca="true">CRITBINOM(MAX(0,$C2984-D2984),MIN(0.6,Matchup!$B$40*SQRT($B2984)/(1-MIN(0.75,Matchup!$B$39*$B2984))),RAND())</f>
        <v>0</v>
      </c>
      <c r="I2984" s="0" t="n">
        <f aca="false">6*D2984+(D2984-E2984-G2984)+2*F2984+3*H2984</f>
        <v>21</v>
      </c>
      <c r="J2984" s="0" t="n">
        <f aca="true">CRITBINOM($C2984,MIN(0.75,Matchup!$C$39*$B2984),RAND())</f>
        <v>1</v>
      </c>
      <c r="K2984" s="0" t="n">
        <f aca="true">CRITBINOM(J2984,Coefficients!$B$30,RAND())</f>
        <v>0</v>
      </c>
      <c r="L2984" s="0" t="n">
        <f aca="true">CRITBINOM(K2984,Coefficients!$B$31,RAND())</f>
        <v>0</v>
      </c>
      <c r="M2984" s="0" t="n">
        <f aca="true">CRITBINOM(MAX(0,J2984-K2984),1-Coefficients!$B$32,RAND())</f>
        <v>0</v>
      </c>
      <c r="N2984" s="0" t="n">
        <f aca="true">CRITBINOM(MAX(0,$C2984-J2984),MIN(0.6,Matchup!$C$40*SQRT($B2984)/(1-MIN(0.75,Matchup!$C$39*$B2984))),RAND())</f>
        <v>1</v>
      </c>
      <c r="O2984" s="0" t="n">
        <f aca="false">6*J2984+(J2984-K2984-M2984)+2*L2984+3*N2984</f>
        <v>10</v>
      </c>
      <c r="P2984" s="0" t="n">
        <f aca="true">RAND()</f>
        <v>0.968912322922715</v>
      </c>
      <c r="Q2984" s="0" t="n">
        <f aca="true">RAND()</f>
        <v>0.542067668335975</v>
      </c>
      <c r="R2984" s="0" t="n">
        <f aca="false">IF($I2984&lt;&gt;$O2984,0,IF(P2984&lt;Matchup!$B$39,7,IF(P2984&lt;Matchup!$B$39+Matchup!$B$40,3,0)))</f>
        <v>0</v>
      </c>
      <c r="S2984" s="0" t="n">
        <f aca="false">IF($I2984&lt;&gt;$O2984,0,IF(Q2984&lt;Matchup!$C$39,7,IF(Q2984&lt;Matchup!$C$39+Matchup!$C$40,3,0)))</f>
        <v>0</v>
      </c>
      <c r="T2984" s="0" t="n">
        <f aca="false">I2984+R2984</f>
        <v>21</v>
      </c>
      <c r="U2984" s="0" t="n">
        <f aca="false">O2984+S2984</f>
        <v>10</v>
      </c>
      <c r="V2984" s="0" t="n">
        <f aca="false">T2984-U2984</f>
        <v>11</v>
      </c>
      <c r="W2984" s="0" t="n">
        <f aca="false">T2984+U2984</f>
        <v>31</v>
      </c>
    </row>
    <row r="2985" customFormat="false" ht="15" hidden="false" customHeight="false" outlineLevel="0" collapsed="false">
      <c r="A2985" s="0" t="n">
        <v>2982</v>
      </c>
      <c r="B2985" s="0" t="n">
        <f aca="true">NORMINV(RAND(),1,Coefficients!$B$22)</f>
        <v>0.91163739791972</v>
      </c>
      <c r="C2985" s="0" t="n">
        <f aca="true">MEDIAN(8,16,ROUND(NORMINV(RAND(),Coefficients!$B$20,Coefficients!$B$21),0))</f>
        <v>11</v>
      </c>
      <c r="D2985" s="0" t="n">
        <f aca="true">CRITBINOM($C2985,MIN(0.75,Matchup!$B$39*$B2985),RAND())</f>
        <v>5</v>
      </c>
      <c r="E2985" s="0" t="n">
        <f aca="true">CRITBINOM(D2985,Coefficients!$B$30,RAND())</f>
        <v>0</v>
      </c>
      <c r="F2985" s="0" t="n">
        <f aca="true">CRITBINOM(E2985,Coefficients!$B$31,RAND())</f>
        <v>0</v>
      </c>
      <c r="G2985" s="0" t="n">
        <f aca="true">CRITBINOM(MAX(0,D2985-E2985),1-Coefficients!$B$32,RAND())</f>
        <v>1</v>
      </c>
      <c r="H2985" s="0" t="n">
        <f aca="true">CRITBINOM(MAX(0,$C2985-D2985),MIN(0.6,Matchup!$B$40*SQRT($B2985)/(1-MIN(0.75,Matchup!$B$39*$B2985))),RAND())</f>
        <v>0</v>
      </c>
      <c r="I2985" s="0" t="n">
        <f aca="false">6*D2985+(D2985-E2985-G2985)+2*F2985+3*H2985</f>
        <v>34</v>
      </c>
      <c r="J2985" s="0" t="n">
        <f aca="true">CRITBINOM($C2985,MIN(0.75,Matchup!$C$39*$B2985),RAND())</f>
        <v>3</v>
      </c>
      <c r="K2985" s="0" t="n">
        <f aca="true">CRITBINOM(J2985,Coefficients!$B$30,RAND())</f>
        <v>0</v>
      </c>
      <c r="L2985" s="0" t="n">
        <f aca="true">CRITBINOM(K2985,Coefficients!$B$31,RAND())</f>
        <v>0</v>
      </c>
      <c r="M2985" s="0" t="n">
        <f aca="true">CRITBINOM(MAX(0,J2985-K2985),1-Coefficients!$B$32,RAND())</f>
        <v>0</v>
      </c>
      <c r="N2985" s="0" t="n">
        <f aca="true">CRITBINOM(MAX(0,$C2985-J2985),MIN(0.6,Matchup!$C$40*SQRT($B2985)/(1-MIN(0.75,Matchup!$C$39*$B2985))),RAND())</f>
        <v>1</v>
      </c>
      <c r="O2985" s="0" t="n">
        <f aca="false">6*J2985+(J2985-K2985-M2985)+2*L2985+3*N2985</f>
        <v>24</v>
      </c>
      <c r="P2985" s="0" t="n">
        <f aca="true">RAND()</f>
        <v>0.36092266677336</v>
      </c>
      <c r="Q2985" s="0" t="n">
        <f aca="true">RAND()</f>
        <v>0.755285606725975</v>
      </c>
      <c r="R2985" s="0" t="n">
        <f aca="false">IF($I2985&lt;&gt;$O2985,0,IF(P2985&lt;Matchup!$B$39,7,IF(P2985&lt;Matchup!$B$39+Matchup!$B$40,3,0)))</f>
        <v>0</v>
      </c>
      <c r="S2985" s="0" t="n">
        <f aca="false">IF($I2985&lt;&gt;$O2985,0,IF(Q2985&lt;Matchup!$C$39,7,IF(Q2985&lt;Matchup!$C$39+Matchup!$C$40,3,0)))</f>
        <v>0</v>
      </c>
      <c r="T2985" s="0" t="n">
        <f aca="false">I2985+R2985</f>
        <v>34</v>
      </c>
      <c r="U2985" s="0" t="n">
        <f aca="false">O2985+S2985</f>
        <v>24</v>
      </c>
      <c r="V2985" s="0" t="n">
        <f aca="false">T2985-U2985</f>
        <v>10</v>
      </c>
      <c r="W2985" s="0" t="n">
        <f aca="false">T2985+U2985</f>
        <v>58</v>
      </c>
    </row>
    <row r="2986" customFormat="false" ht="15" hidden="false" customHeight="false" outlineLevel="0" collapsed="false">
      <c r="A2986" s="0" t="n">
        <v>2983</v>
      </c>
      <c r="B2986" s="0" t="n">
        <f aca="true">NORMINV(RAND(),1,Coefficients!$B$22)</f>
        <v>1.05418581765884</v>
      </c>
      <c r="C2986" s="0" t="n">
        <f aca="true">MEDIAN(8,16,ROUND(NORMINV(RAND(),Coefficients!$B$20,Coefficients!$B$21),0))</f>
        <v>12</v>
      </c>
      <c r="D2986" s="0" t="n">
        <f aca="true">CRITBINOM($C2986,MIN(0.75,Matchup!$B$39*$B2986),RAND())</f>
        <v>4</v>
      </c>
      <c r="E2986" s="0" t="n">
        <f aca="true">CRITBINOM(D2986,Coefficients!$B$30,RAND())</f>
        <v>0</v>
      </c>
      <c r="F2986" s="0" t="n">
        <f aca="true">CRITBINOM(E2986,Coefficients!$B$31,RAND())</f>
        <v>0</v>
      </c>
      <c r="G2986" s="0" t="n">
        <f aca="true">CRITBINOM(MAX(0,D2986-E2986),1-Coefficients!$B$32,RAND())</f>
        <v>0</v>
      </c>
      <c r="H2986" s="0" t="n">
        <f aca="true">CRITBINOM(MAX(0,$C2986-D2986),MIN(0.6,Matchup!$B$40*SQRT($B2986)/(1-MIN(0.75,Matchup!$B$39*$B2986))),RAND())</f>
        <v>0</v>
      </c>
      <c r="I2986" s="0" t="n">
        <f aca="false">6*D2986+(D2986-E2986-G2986)+2*F2986+3*H2986</f>
        <v>28</v>
      </c>
      <c r="J2986" s="0" t="n">
        <f aca="true">CRITBINOM($C2986,MIN(0.75,Matchup!$C$39*$B2986),RAND())</f>
        <v>2</v>
      </c>
      <c r="K2986" s="0" t="n">
        <f aca="true">CRITBINOM(J2986,Coefficients!$B$30,RAND())</f>
        <v>0</v>
      </c>
      <c r="L2986" s="0" t="n">
        <f aca="true">CRITBINOM(K2986,Coefficients!$B$31,RAND())</f>
        <v>0</v>
      </c>
      <c r="M2986" s="0" t="n">
        <f aca="true">CRITBINOM(MAX(0,J2986-K2986),1-Coefficients!$B$32,RAND())</f>
        <v>0</v>
      </c>
      <c r="N2986" s="0" t="n">
        <f aca="true">CRITBINOM(MAX(0,$C2986-J2986),MIN(0.6,Matchup!$C$40*SQRT($B2986)/(1-MIN(0.75,Matchup!$C$39*$B2986))),RAND())</f>
        <v>2</v>
      </c>
      <c r="O2986" s="0" t="n">
        <f aca="false">6*J2986+(J2986-K2986-M2986)+2*L2986+3*N2986</f>
        <v>20</v>
      </c>
      <c r="P2986" s="0" t="n">
        <f aca="true">RAND()</f>
        <v>0.336515061159674</v>
      </c>
      <c r="Q2986" s="0" t="n">
        <f aca="true">RAND()</f>
        <v>0.765722964185808</v>
      </c>
      <c r="R2986" s="0" t="n">
        <f aca="false">IF($I2986&lt;&gt;$O2986,0,IF(P2986&lt;Matchup!$B$39,7,IF(P2986&lt;Matchup!$B$39+Matchup!$B$40,3,0)))</f>
        <v>0</v>
      </c>
      <c r="S2986" s="0" t="n">
        <f aca="false">IF($I2986&lt;&gt;$O2986,0,IF(Q2986&lt;Matchup!$C$39,7,IF(Q2986&lt;Matchup!$C$39+Matchup!$C$40,3,0)))</f>
        <v>0</v>
      </c>
      <c r="T2986" s="0" t="n">
        <f aca="false">I2986+R2986</f>
        <v>28</v>
      </c>
      <c r="U2986" s="0" t="n">
        <f aca="false">O2986+S2986</f>
        <v>20</v>
      </c>
      <c r="V2986" s="0" t="n">
        <f aca="false">T2986-U2986</f>
        <v>8</v>
      </c>
      <c r="W2986" s="0" t="n">
        <f aca="false">T2986+U2986</f>
        <v>48</v>
      </c>
    </row>
    <row r="2987" customFormat="false" ht="15" hidden="false" customHeight="false" outlineLevel="0" collapsed="false">
      <c r="A2987" s="0" t="n">
        <v>2984</v>
      </c>
      <c r="B2987" s="0" t="n">
        <f aca="true">NORMINV(RAND(),1,Coefficients!$B$22)</f>
        <v>0.88150679587974</v>
      </c>
      <c r="C2987" s="0" t="n">
        <f aca="true">MEDIAN(8,16,ROUND(NORMINV(RAND(),Coefficients!$B$20,Coefficients!$B$21),0))</f>
        <v>12</v>
      </c>
      <c r="D2987" s="0" t="n">
        <f aca="true">CRITBINOM($C2987,MIN(0.75,Matchup!$B$39*$B2987),RAND())</f>
        <v>4</v>
      </c>
      <c r="E2987" s="0" t="n">
        <f aca="true">CRITBINOM(D2987,Coefficients!$B$30,RAND())</f>
        <v>0</v>
      </c>
      <c r="F2987" s="0" t="n">
        <f aca="true">CRITBINOM(E2987,Coefficients!$B$31,RAND())</f>
        <v>0</v>
      </c>
      <c r="G2987" s="0" t="n">
        <f aca="true">CRITBINOM(MAX(0,D2987-E2987),1-Coefficients!$B$32,RAND())</f>
        <v>0</v>
      </c>
      <c r="H2987" s="0" t="n">
        <f aca="true">CRITBINOM(MAX(0,$C2987-D2987),MIN(0.6,Matchup!$B$40*SQRT($B2987)/(1-MIN(0.75,Matchup!$B$39*$B2987))),RAND())</f>
        <v>1</v>
      </c>
      <c r="I2987" s="0" t="n">
        <f aca="false">6*D2987+(D2987-E2987-G2987)+2*F2987+3*H2987</f>
        <v>31</v>
      </c>
      <c r="J2987" s="0" t="n">
        <f aca="true">CRITBINOM($C2987,MIN(0.75,Matchup!$C$39*$B2987),RAND())</f>
        <v>2</v>
      </c>
      <c r="K2987" s="0" t="n">
        <f aca="true">CRITBINOM(J2987,Coefficients!$B$30,RAND())</f>
        <v>0</v>
      </c>
      <c r="L2987" s="0" t="n">
        <f aca="true">CRITBINOM(K2987,Coefficients!$B$31,RAND())</f>
        <v>0</v>
      </c>
      <c r="M2987" s="0" t="n">
        <f aca="true">CRITBINOM(MAX(0,J2987-K2987),1-Coefficients!$B$32,RAND())</f>
        <v>0</v>
      </c>
      <c r="N2987" s="0" t="n">
        <f aca="true">CRITBINOM(MAX(0,$C2987-J2987),MIN(0.6,Matchup!$C$40*SQRT($B2987)/(1-MIN(0.75,Matchup!$C$39*$B2987))),RAND())</f>
        <v>3</v>
      </c>
      <c r="O2987" s="0" t="n">
        <f aca="false">6*J2987+(J2987-K2987-M2987)+2*L2987+3*N2987</f>
        <v>23</v>
      </c>
      <c r="P2987" s="0" t="n">
        <f aca="true">RAND()</f>
        <v>0.510401127885629</v>
      </c>
      <c r="Q2987" s="0" t="n">
        <f aca="true">RAND()</f>
        <v>0.402206423006189</v>
      </c>
      <c r="R2987" s="0" t="n">
        <f aca="false">IF($I2987&lt;&gt;$O2987,0,IF(P2987&lt;Matchup!$B$39,7,IF(P2987&lt;Matchup!$B$39+Matchup!$B$40,3,0)))</f>
        <v>0</v>
      </c>
      <c r="S2987" s="0" t="n">
        <f aca="false">IF($I2987&lt;&gt;$O2987,0,IF(Q2987&lt;Matchup!$C$39,7,IF(Q2987&lt;Matchup!$C$39+Matchup!$C$40,3,0)))</f>
        <v>0</v>
      </c>
      <c r="T2987" s="0" t="n">
        <f aca="false">I2987+R2987</f>
        <v>31</v>
      </c>
      <c r="U2987" s="0" t="n">
        <f aca="false">O2987+S2987</f>
        <v>23</v>
      </c>
      <c r="V2987" s="0" t="n">
        <f aca="false">T2987-U2987</f>
        <v>8</v>
      </c>
      <c r="W2987" s="0" t="n">
        <f aca="false">T2987+U2987</f>
        <v>54</v>
      </c>
    </row>
    <row r="2988" customFormat="false" ht="15" hidden="false" customHeight="false" outlineLevel="0" collapsed="false">
      <c r="A2988" s="0" t="n">
        <v>2985</v>
      </c>
      <c r="B2988" s="0" t="n">
        <f aca="true">NORMINV(RAND(),1,Coefficients!$B$22)</f>
        <v>0.834191580458465</v>
      </c>
      <c r="C2988" s="0" t="n">
        <f aca="true">MEDIAN(8,16,ROUND(NORMINV(RAND(),Coefficients!$B$20,Coefficients!$B$21),0))</f>
        <v>10</v>
      </c>
      <c r="D2988" s="0" t="n">
        <f aca="true">CRITBINOM($C2988,MIN(0.75,Matchup!$B$39*$B2988),RAND())</f>
        <v>1</v>
      </c>
      <c r="E2988" s="0" t="n">
        <f aca="true">CRITBINOM(D2988,Coefficients!$B$30,RAND())</f>
        <v>0</v>
      </c>
      <c r="F2988" s="0" t="n">
        <f aca="true">CRITBINOM(E2988,Coefficients!$B$31,RAND())</f>
        <v>0</v>
      </c>
      <c r="G2988" s="0" t="n">
        <f aca="true">CRITBINOM(MAX(0,D2988-E2988),1-Coefficients!$B$32,RAND())</f>
        <v>0</v>
      </c>
      <c r="H2988" s="0" t="n">
        <f aca="true">CRITBINOM(MAX(0,$C2988-D2988),MIN(0.6,Matchup!$B$40*SQRT($B2988)/(1-MIN(0.75,Matchup!$B$39*$B2988))),RAND())</f>
        <v>2</v>
      </c>
      <c r="I2988" s="0" t="n">
        <f aca="false">6*D2988+(D2988-E2988-G2988)+2*F2988+3*H2988</f>
        <v>13</v>
      </c>
      <c r="J2988" s="0" t="n">
        <f aca="true">CRITBINOM($C2988,MIN(0.75,Matchup!$C$39*$B2988),RAND())</f>
        <v>2</v>
      </c>
      <c r="K2988" s="0" t="n">
        <f aca="true">CRITBINOM(J2988,Coefficients!$B$30,RAND())</f>
        <v>0</v>
      </c>
      <c r="L2988" s="0" t="n">
        <f aca="true">CRITBINOM(K2988,Coefficients!$B$31,RAND())</f>
        <v>0</v>
      </c>
      <c r="M2988" s="0" t="n">
        <f aca="true">CRITBINOM(MAX(0,J2988-K2988),1-Coefficients!$B$32,RAND())</f>
        <v>0</v>
      </c>
      <c r="N2988" s="0" t="n">
        <f aca="true">CRITBINOM(MAX(0,$C2988-J2988),MIN(0.6,Matchup!$C$40*SQRT($B2988)/(1-MIN(0.75,Matchup!$C$39*$B2988))),RAND())</f>
        <v>1</v>
      </c>
      <c r="O2988" s="0" t="n">
        <f aca="false">6*J2988+(J2988-K2988-M2988)+2*L2988+3*N2988</f>
        <v>17</v>
      </c>
      <c r="P2988" s="0" t="n">
        <f aca="true">RAND()</f>
        <v>0.0432922586156983</v>
      </c>
      <c r="Q2988" s="0" t="n">
        <f aca="true">RAND()</f>
        <v>0.566820829888237</v>
      </c>
      <c r="R2988" s="0" t="n">
        <f aca="false">IF($I2988&lt;&gt;$O2988,0,IF(P2988&lt;Matchup!$B$39,7,IF(P2988&lt;Matchup!$B$39+Matchup!$B$40,3,0)))</f>
        <v>0</v>
      </c>
      <c r="S2988" s="0" t="n">
        <f aca="false">IF($I2988&lt;&gt;$O2988,0,IF(Q2988&lt;Matchup!$C$39,7,IF(Q2988&lt;Matchup!$C$39+Matchup!$C$40,3,0)))</f>
        <v>0</v>
      </c>
      <c r="T2988" s="0" t="n">
        <f aca="false">I2988+R2988</f>
        <v>13</v>
      </c>
      <c r="U2988" s="0" t="n">
        <f aca="false">O2988+S2988</f>
        <v>17</v>
      </c>
      <c r="V2988" s="0" t="n">
        <f aca="false">T2988-U2988</f>
        <v>-4</v>
      </c>
      <c r="W2988" s="0" t="n">
        <f aca="false">T2988+U2988</f>
        <v>30</v>
      </c>
    </row>
    <row r="2989" customFormat="false" ht="15" hidden="false" customHeight="false" outlineLevel="0" collapsed="false">
      <c r="A2989" s="0" t="n">
        <v>2986</v>
      </c>
      <c r="B2989" s="0" t="n">
        <f aca="true">NORMINV(RAND(),1,Coefficients!$B$22)</f>
        <v>0.972646254238193</v>
      </c>
      <c r="C2989" s="0" t="n">
        <f aca="true">MEDIAN(8,16,ROUND(NORMINV(RAND(),Coefficients!$B$20,Coefficients!$B$21),0))</f>
        <v>9</v>
      </c>
      <c r="D2989" s="0" t="n">
        <f aca="true">CRITBINOM($C2989,MIN(0.75,Matchup!$B$39*$B2989),RAND())</f>
        <v>1</v>
      </c>
      <c r="E2989" s="0" t="n">
        <f aca="true">CRITBINOM(D2989,Coefficients!$B$30,RAND())</f>
        <v>0</v>
      </c>
      <c r="F2989" s="0" t="n">
        <f aca="true">CRITBINOM(E2989,Coefficients!$B$31,RAND())</f>
        <v>0</v>
      </c>
      <c r="G2989" s="0" t="n">
        <f aca="true">CRITBINOM(MAX(0,D2989-E2989),1-Coefficients!$B$32,RAND())</f>
        <v>0</v>
      </c>
      <c r="H2989" s="0" t="n">
        <f aca="true">CRITBINOM(MAX(0,$C2989-D2989),MIN(0.6,Matchup!$B$40*SQRT($B2989)/(1-MIN(0.75,Matchup!$B$39*$B2989))),RAND())</f>
        <v>3</v>
      </c>
      <c r="I2989" s="0" t="n">
        <f aca="false">6*D2989+(D2989-E2989-G2989)+2*F2989+3*H2989</f>
        <v>16</v>
      </c>
      <c r="J2989" s="0" t="n">
        <f aca="true">CRITBINOM($C2989,MIN(0.75,Matchup!$C$39*$B2989),RAND())</f>
        <v>2</v>
      </c>
      <c r="K2989" s="0" t="n">
        <f aca="true">CRITBINOM(J2989,Coefficients!$B$30,RAND())</f>
        <v>0</v>
      </c>
      <c r="L2989" s="0" t="n">
        <f aca="true">CRITBINOM(K2989,Coefficients!$B$31,RAND())</f>
        <v>0</v>
      </c>
      <c r="M2989" s="0" t="n">
        <f aca="true">CRITBINOM(MAX(0,J2989-K2989),1-Coefficients!$B$32,RAND())</f>
        <v>0</v>
      </c>
      <c r="N2989" s="0" t="n">
        <f aca="true">CRITBINOM(MAX(0,$C2989-J2989),MIN(0.6,Matchup!$C$40*SQRT($B2989)/(1-MIN(0.75,Matchup!$C$39*$B2989))),RAND())</f>
        <v>1</v>
      </c>
      <c r="O2989" s="0" t="n">
        <f aca="false">6*J2989+(J2989-K2989-M2989)+2*L2989+3*N2989</f>
        <v>17</v>
      </c>
      <c r="P2989" s="0" t="n">
        <f aca="true">RAND()</f>
        <v>0.981771687536307</v>
      </c>
      <c r="Q2989" s="0" t="n">
        <f aca="true">RAND()</f>
        <v>0.528071953348182</v>
      </c>
      <c r="R2989" s="0" t="n">
        <f aca="false">IF($I2989&lt;&gt;$O2989,0,IF(P2989&lt;Matchup!$B$39,7,IF(P2989&lt;Matchup!$B$39+Matchup!$B$40,3,0)))</f>
        <v>0</v>
      </c>
      <c r="S2989" s="0" t="n">
        <f aca="false">IF($I2989&lt;&gt;$O2989,0,IF(Q2989&lt;Matchup!$C$39,7,IF(Q2989&lt;Matchup!$C$39+Matchup!$C$40,3,0)))</f>
        <v>0</v>
      </c>
      <c r="T2989" s="0" t="n">
        <f aca="false">I2989+R2989</f>
        <v>16</v>
      </c>
      <c r="U2989" s="0" t="n">
        <f aca="false">O2989+S2989</f>
        <v>17</v>
      </c>
      <c r="V2989" s="0" t="n">
        <f aca="false">T2989-U2989</f>
        <v>-1</v>
      </c>
      <c r="W2989" s="0" t="n">
        <f aca="false">T2989+U2989</f>
        <v>33</v>
      </c>
    </row>
    <row r="2990" customFormat="false" ht="15" hidden="false" customHeight="false" outlineLevel="0" collapsed="false">
      <c r="A2990" s="0" t="n">
        <v>2987</v>
      </c>
      <c r="B2990" s="0" t="n">
        <f aca="true">NORMINV(RAND(),1,Coefficients!$B$22)</f>
        <v>1.00750708836606</v>
      </c>
      <c r="C2990" s="0" t="n">
        <f aca="true">MEDIAN(8,16,ROUND(NORMINV(RAND(),Coefficients!$B$20,Coefficients!$B$21),0))</f>
        <v>9</v>
      </c>
      <c r="D2990" s="0" t="n">
        <f aca="true">CRITBINOM($C2990,MIN(0.75,Matchup!$B$39*$B2990),RAND())</f>
        <v>0</v>
      </c>
      <c r="E2990" s="0" t="n">
        <f aca="true">CRITBINOM(D2990,Coefficients!$B$30,RAND())</f>
        <v>0</v>
      </c>
      <c r="F2990" s="0" t="n">
        <f aca="true">CRITBINOM(E2990,Coefficients!$B$31,RAND())</f>
        <v>0</v>
      </c>
      <c r="G2990" s="0" t="n">
        <f aca="true">CRITBINOM(MAX(0,D2990-E2990),1-Coefficients!$B$32,RAND())</f>
        <v>0</v>
      </c>
      <c r="H2990" s="0" t="n">
        <f aca="true">CRITBINOM(MAX(0,$C2990-D2990),MIN(0.6,Matchup!$B$40*SQRT($B2990)/(1-MIN(0.75,Matchup!$B$39*$B2990))),RAND())</f>
        <v>1</v>
      </c>
      <c r="I2990" s="0" t="n">
        <f aca="false">6*D2990+(D2990-E2990-G2990)+2*F2990+3*H2990</f>
        <v>3</v>
      </c>
      <c r="J2990" s="0" t="n">
        <f aca="true">CRITBINOM($C2990,MIN(0.75,Matchup!$C$39*$B2990),RAND())</f>
        <v>1</v>
      </c>
      <c r="K2990" s="0" t="n">
        <f aca="true">CRITBINOM(J2990,Coefficients!$B$30,RAND())</f>
        <v>0</v>
      </c>
      <c r="L2990" s="0" t="n">
        <f aca="true">CRITBINOM(K2990,Coefficients!$B$31,RAND())</f>
        <v>0</v>
      </c>
      <c r="M2990" s="0" t="n">
        <f aca="true">CRITBINOM(MAX(0,J2990-K2990),1-Coefficients!$B$32,RAND())</f>
        <v>0</v>
      </c>
      <c r="N2990" s="0" t="n">
        <f aca="true">CRITBINOM(MAX(0,$C2990-J2990),MIN(0.6,Matchup!$C$40*SQRT($B2990)/(1-MIN(0.75,Matchup!$C$39*$B2990))),RAND())</f>
        <v>2</v>
      </c>
      <c r="O2990" s="0" t="n">
        <f aca="false">6*J2990+(J2990-K2990-M2990)+2*L2990+3*N2990</f>
        <v>13</v>
      </c>
      <c r="P2990" s="0" t="n">
        <f aca="true">RAND()</f>
        <v>0.174019663578581</v>
      </c>
      <c r="Q2990" s="0" t="n">
        <f aca="true">RAND()</f>
        <v>0.154643887795817</v>
      </c>
      <c r="R2990" s="0" t="n">
        <f aca="false">IF($I2990&lt;&gt;$O2990,0,IF(P2990&lt;Matchup!$B$39,7,IF(P2990&lt;Matchup!$B$39+Matchup!$B$40,3,0)))</f>
        <v>0</v>
      </c>
      <c r="S2990" s="0" t="n">
        <f aca="false">IF($I2990&lt;&gt;$O2990,0,IF(Q2990&lt;Matchup!$C$39,7,IF(Q2990&lt;Matchup!$C$39+Matchup!$C$40,3,0)))</f>
        <v>0</v>
      </c>
      <c r="T2990" s="0" t="n">
        <f aca="false">I2990+R2990</f>
        <v>3</v>
      </c>
      <c r="U2990" s="0" t="n">
        <f aca="false">O2990+S2990</f>
        <v>13</v>
      </c>
      <c r="V2990" s="0" t="n">
        <f aca="false">T2990-U2990</f>
        <v>-10</v>
      </c>
      <c r="W2990" s="0" t="n">
        <f aca="false">T2990+U2990</f>
        <v>16</v>
      </c>
    </row>
    <row r="2991" customFormat="false" ht="15" hidden="false" customHeight="false" outlineLevel="0" collapsed="false">
      <c r="A2991" s="0" t="n">
        <v>2988</v>
      </c>
      <c r="B2991" s="0" t="n">
        <f aca="true">NORMINV(RAND(),1,Coefficients!$B$22)</f>
        <v>0.955965230862016</v>
      </c>
      <c r="C2991" s="0" t="n">
        <f aca="true">MEDIAN(8,16,ROUND(NORMINV(RAND(),Coefficients!$B$20,Coefficients!$B$21),0))</f>
        <v>10</v>
      </c>
      <c r="D2991" s="0" t="n">
        <f aca="true">CRITBINOM($C2991,MIN(0.75,Matchup!$B$39*$B2991),RAND())</f>
        <v>4</v>
      </c>
      <c r="E2991" s="0" t="n">
        <f aca="true">CRITBINOM(D2991,Coefficients!$B$30,RAND())</f>
        <v>1</v>
      </c>
      <c r="F2991" s="0" t="n">
        <f aca="true">CRITBINOM(E2991,Coefficients!$B$31,RAND())</f>
        <v>0</v>
      </c>
      <c r="G2991" s="0" t="n">
        <f aca="true">CRITBINOM(MAX(0,D2991-E2991),1-Coefficients!$B$32,RAND())</f>
        <v>0</v>
      </c>
      <c r="H2991" s="0" t="n">
        <f aca="true">CRITBINOM(MAX(0,$C2991-D2991),MIN(0.6,Matchup!$B$40*SQRT($B2991)/(1-MIN(0.75,Matchup!$B$39*$B2991))),RAND())</f>
        <v>1</v>
      </c>
      <c r="I2991" s="0" t="n">
        <f aca="false">6*D2991+(D2991-E2991-G2991)+2*F2991+3*H2991</f>
        <v>30</v>
      </c>
      <c r="J2991" s="0" t="n">
        <f aca="true">CRITBINOM($C2991,MIN(0.75,Matchup!$C$39*$B2991),RAND())</f>
        <v>2</v>
      </c>
      <c r="K2991" s="0" t="n">
        <f aca="true">CRITBINOM(J2991,Coefficients!$B$30,RAND())</f>
        <v>0</v>
      </c>
      <c r="L2991" s="0" t="n">
        <f aca="true">CRITBINOM(K2991,Coefficients!$B$31,RAND())</f>
        <v>0</v>
      </c>
      <c r="M2991" s="0" t="n">
        <f aca="true">CRITBINOM(MAX(0,J2991-K2991),1-Coefficients!$B$32,RAND())</f>
        <v>0</v>
      </c>
      <c r="N2991" s="0" t="n">
        <f aca="true">CRITBINOM(MAX(0,$C2991-J2991),MIN(0.6,Matchup!$C$40*SQRT($B2991)/(1-MIN(0.75,Matchup!$C$39*$B2991))),RAND())</f>
        <v>0</v>
      </c>
      <c r="O2991" s="0" t="n">
        <f aca="false">6*J2991+(J2991-K2991-M2991)+2*L2991+3*N2991</f>
        <v>14</v>
      </c>
      <c r="P2991" s="0" t="n">
        <f aca="true">RAND()</f>
        <v>0.561631395258038</v>
      </c>
      <c r="Q2991" s="0" t="n">
        <f aca="true">RAND()</f>
        <v>0.612105514255854</v>
      </c>
      <c r="R2991" s="0" t="n">
        <f aca="false">IF($I2991&lt;&gt;$O2991,0,IF(P2991&lt;Matchup!$B$39,7,IF(P2991&lt;Matchup!$B$39+Matchup!$B$40,3,0)))</f>
        <v>0</v>
      </c>
      <c r="S2991" s="0" t="n">
        <f aca="false">IF($I2991&lt;&gt;$O2991,0,IF(Q2991&lt;Matchup!$C$39,7,IF(Q2991&lt;Matchup!$C$39+Matchup!$C$40,3,0)))</f>
        <v>0</v>
      </c>
      <c r="T2991" s="0" t="n">
        <f aca="false">I2991+R2991</f>
        <v>30</v>
      </c>
      <c r="U2991" s="0" t="n">
        <f aca="false">O2991+S2991</f>
        <v>14</v>
      </c>
      <c r="V2991" s="0" t="n">
        <f aca="false">T2991-U2991</f>
        <v>16</v>
      </c>
      <c r="W2991" s="0" t="n">
        <f aca="false">T2991+U2991</f>
        <v>44</v>
      </c>
    </row>
    <row r="2992" customFormat="false" ht="15" hidden="false" customHeight="false" outlineLevel="0" collapsed="false">
      <c r="A2992" s="0" t="n">
        <v>2989</v>
      </c>
      <c r="B2992" s="0" t="n">
        <f aca="true">NORMINV(RAND(),1,Coefficients!$B$22)</f>
        <v>1.03159356419186</v>
      </c>
      <c r="C2992" s="0" t="n">
        <f aca="true">MEDIAN(8,16,ROUND(NORMINV(RAND(),Coefficients!$B$20,Coefficients!$B$21),0))</f>
        <v>13</v>
      </c>
      <c r="D2992" s="0" t="n">
        <f aca="true">CRITBINOM($C2992,MIN(0.75,Matchup!$B$39*$B2992),RAND())</f>
        <v>6</v>
      </c>
      <c r="E2992" s="0" t="n">
        <f aca="true">CRITBINOM(D2992,Coefficients!$B$30,RAND())</f>
        <v>0</v>
      </c>
      <c r="F2992" s="0" t="n">
        <f aca="true">CRITBINOM(E2992,Coefficients!$B$31,RAND())</f>
        <v>0</v>
      </c>
      <c r="G2992" s="0" t="n">
        <f aca="true">CRITBINOM(MAX(0,D2992-E2992),1-Coefficients!$B$32,RAND())</f>
        <v>0</v>
      </c>
      <c r="H2992" s="0" t="n">
        <f aca="true">CRITBINOM(MAX(0,$C2992-D2992),MIN(0.6,Matchup!$B$40*SQRT($B2992)/(1-MIN(0.75,Matchup!$B$39*$B2992))),RAND())</f>
        <v>1</v>
      </c>
      <c r="I2992" s="0" t="n">
        <f aca="false">6*D2992+(D2992-E2992-G2992)+2*F2992+3*H2992</f>
        <v>45</v>
      </c>
      <c r="J2992" s="0" t="n">
        <f aca="true">CRITBINOM($C2992,MIN(0.75,Matchup!$C$39*$B2992),RAND())</f>
        <v>3</v>
      </c>
      <c r="K2992" s="0" t="n">
        <f aca="true">CRITBINOM(J2992,Coefficients!$B$30,RAND())</f>
        <v>0</v>
      </c>
      <c r="L2992" s="0" t="n">
        <f aca="true">CRITBINOM(K2992,Coefficients!$B$31,RAND())</f>
        <v>0</v>
      </c>
      <c r="M2992" s="0" t="n">
        <f aca="true">CRITBINOM(MAX(0,J2992-K2992),1-Coefficients!$B$32,RAND())</f>
        <v>0</v>
      </c>
      <c r="N2992" s="0" t="n">
        <f aca="true">CRITBINOM(MAX(0,$C2992-J2992),MIN(0.6,Matchup!$C$40*SQRT($B2992)/(1-MIN(0.75,Matchup!$C$39*$B2992))),RAND())</f>
        <v>4</v>
      </c>
      <c r="O2992" s="0" t="n">
        <f aca="false">6*J2992+(J2992-K2992-M2992)+2*L2992+3*N2992</f>
        <v>33</v>
      </c>
      <c r="P2992" s="0" t="n">
        <f aca="true">RAND()</f>
        <v>0.256408120110998</v>
      </c>
      <c r="Q2992" s="0" t="n">
        <f aca="true">RAND()</f>
        <v>0.15974851919217</v>
      </c>
      <c r="R2992" s="0" t="n">
        <f aca="false">IF($I2992&lt;&gt;$O2992,0,IF(P2992&lt;Matchup!$B$39,7,IF(P2992&lt;Matchup!$B$39+Matchup!$B$40,3,0)))</f>
        <v>0</v>
      </c>
      <c r="S2992" s="0" t="n">
        <f aca="false">IF($I2992&lt;&gt;$O2992,0,IF(Q2992&lt;Matchup!$C$39,7,IF(Q2992&lt;Matchup!$C$39+Matchup!$C$40,3,0)))</f>
        <v>0</v>
      </c>
      <c r="T2992" s="0" t="n">
        <f aca="false">I2992+R2992</f>
        <v>45</v>
      </c>
      <c r="U2992" s="0" t="n">
        <f aca="false">O2992+S2992</f>
        <v>33</v>
      </c>
      <c r="V2992" s="0" t="n">
        <f aca="false">T2992-U2992</f>
        <v>12</v>
      </c>
      <c r="W2992" s="0" t="n">
        <f aca="false">T2992+U2992</f>
        <v>78</v>
      </c>
    </row>
    <row r="2993" customFormat="false" ht="15" hidden="false" customHeight="false" outlineLevel="0" collapsed="false">
      <c r="A2993" s="0" t="n">
        <v>2990</v>
      </c>
      <c r="B2993" s="0" t="n">
        <f aca="true">NORMINV(RAND(),1,Coefficients!$B$22)</f>
        <v>1.04400693391141</v>
      </c>
      <c r="C2993" s="0" t="n">
        <f aca="true">MEDIAN(8,16,ROUND(NORMINV(RAND(),Coefficients!$B$20,Coefficients!$B$21),0))</f>
        <v>11</v>
      </c>
      <c r="D2993" s="0" t="n">
        <f aca="true">CRITBINOM($C2993,MIN(0.75,Matchup!$B$39*$B2993),RAND())</f>
        <v>2</v>
      </c>
      <c r="E2993" s="0" t="n">
        <f aca="true">CRITBINOM(D2993,Coefficients!$B$30,RAND())</f>
        <v>0</v>
      </c>
      <c r="F2993" s="0" t="n">
        <f aca="true">CRITBINOM(E2993,Coefficients!$B$31,RAND())</f>
        <v>0</v>
      </c>
      <c r="G2993" s="0" t="n">
        <f aca="true">CRITBINOM(MAX(0,D2993-E2993),1-Coefficients!$B$32,RAND())</f>
        <v>0</v>
      </c>
      <c r="H2993" s="0" t="n">
        <f aca="true">CRITBINOM(MAX(0,$C2993-D2993),MIN(0.6,Matchup!$B$40*SQRT($B2993)/(1-MIN(0.75,Matchup!$B$39*$B2993))),RAND())</f>
        <v>2</v>
      </c>
      <c r="I2993" s="0" t="n">
        <f aca="false">6*D2993+(D2993-E2993-G2993)+2*F2993+3*H2993</f>
        <v>20</v>
      </c>
      <c r="J2993" s="0" t="n">
        <f aca="true">CRITBINOM($C2993,MIN(0.75,Matchup!$C$39*$B2993),RAND())</f>
        <v>4</v>
      </c>
      <c r="K2993" s="0" t="n">
        <f aca="true">CRITBINOM(J2993,Coefficients!$B$30,RAND())</f>
        <v>0</v>
      </c>
      <c r="L2993" s="0" t="n">
        <f aca="true">CRITBINOM(K2993,Coefficients!$B$31,RAND())</f>
        <v>0</v>
      </c>
      <c r="M2993" s="0" t="n">
        <f aca="true">CRITBINOM(MAX(0,J2993-K2993),1-Coefficients!$B$32,RAND())</f>
        <v>0</v>
      </c>
      <c r="N2993" s="0" t="n">
        <f aca="true">CRITBINOM(MAX(0,$C2993-J2993),MIN(0.6,Matchup!$C$40*SQRT($B2993)/(1-MIN(0.75,Matchup!$C$39*$B2993))),RAND())</f>
        <v>2</v>
      </c>
      <c r="O2993" s="0" t="n">
        <f aca="false">6*J2993+(J2993-K2993-M2993)+2*L2993+3*N2993</f>
        <v>34</v>
      </c>
      <c r="P2993" s="0" t="n">
        <f aca="true">RAND()</f>
        <v>0.232988158686461</v>
      </c>
      <c r="Q2993" s="0" t="n">
        <f aca="true">RAND()</f>
        <v>0.296084746234669</v>
      </c>
      <c r="R2993" s="0" t="n">
        <f aca="false">IF($I2993&lt;&gt;$O2993,0,IF(P2993&lt;Matchup!$B$39,7,IF(P2993&lt;Matchup!$B$39+Matchup!$B$40,3,0)))</f>
        <v>0</v>
      </c>
      <c r="S2993" s="0" t="n">
        <f aca="false">IF($I2993&lt;&gt;$O2993,0,IF(Q2993&lt;Matchup!$C$39,7,IF(Q2993&lt;Matchup!$C$39+Matchup!$C$40,3,0)))</f>
        <v>0</v>
      </c>
      <c r="T2993" s="0" t="n">
        <f aca="false">I2993+R2993</f>
        <v>20</v>
      </c>
      <c r="U2993" s="0" t="n">
        <f aca="false">O2993+S2993</f>
        <v>34</v>
      </c>
      <c r="V2993" s="0" t="n">
        <f aca="false">T2993-U2993</f>
        <v>-14</v>
      </c>
      <c r="W2993" s="0" t="n">
        <f aca="false">T2993+U2993</f>
        <v>54</v>
      </c>
    </row>
    <row r="2994" customFormat="false" ht="15" hidden="false" customHeight="false" outlineLevel="0" collapsed="false">
      <c r="A2994" s="0" t="n">
        <v>2991</v>
      </c>
      <c r="B2994" s="0" t="n">
        <f aca="true">NORMINV(RAND(),1,Coefficients!$B$22)</f>
        <v>0.901448576838313</v>
      </c>
      <c r="C2994" s="0" t="n">
        <f aca="true">MEDIAN(8,16,ROUND(NORMINV(RAND(),Coefficients!$B$20,Coefficients!$B$21),0))</f>
        <v>11</v>
      </c>
      <c r="D2994" s="0" t="n">
        <f aca="true">CRITBINOM($C2994,MIN(0.75,Matchup!$B$39*$B2994),RAND())</f>
        <v>3</v>
      </c>
      <c r="E2994" s="0" t="n">
        <f aca="true">CRITBINOM(D2994,Coefficients!$B$30,RAND())</f>
        <v>0</v>
      </c>
      <c r="F2994" s="0" t="n">
        <f aca="true">CRITBINOM(E2994,Coefficients!$B$31,RAND())</f>
        <v>0</v>
      </c>
      <c r="G2994" s="0" t="n">
        <f aca="true">CRITBINOM(MAX(0,D2994-E2994),1-Coefficients!$B$32,RAND())</f>
        <v>0</v>
      </c>
      <c r="H2994" s="0" t="n">
        <f aca="true">CRITBINOM(MAX(0,$C2994-D2994),MIN(0.6,Matchup!$B$40*SQRT($B2994)/(1-MIN(0.75,Matchup!$B$39*$B2994))),RAND())</f>
        <v>1</v>
      </c>
      <c r="I2994" s="0" t="n">
        <f aca="false">6*D2994+(D2994-E2994-G2994)+2*F2994+3*H2994</f>
        <v>24</v>
      </c>
      <c r="J2994" s="0" t="n">
        <f aca="true">CRITBINOM($C2994,MIN(0.75,Matchup!$C$39*$B2994),RAND())</f>
        <v>1</v>
      </c>
      <c r="K2994" s="0" t="n">
        <f aca="true">CRITBINOM(J2994,Coefficients!$B$30,RAND())</f>
        <v>0</v>
      </c>
      <c r="L2994" s="0" t="n">
        <f aca="true">CRITBINOM(K2994,Coefficients!$B$31,RAND())</f>
        <v>0</v>
      </c>
      <c r="M2994" s="0" t="n">
        <f aca="true">CRITBINOM(MAX(0,J2994-K2994),1-Coefficients!$B$32,RAND())</f>
        <v>0</v>
      </c>
      <c r="N2994" s="0" t="n">
        <f aca="true">CRITBINOM(MAX(0,$C2994-J2994),MIN(0.6,Matchup!$C$40*SQRT($B2994)/(1-MIN(0.75,Matchup!$C$39*$B2994))),RAND())</f>
        <v>2</v>
      </c>
      <c r="O2994" s="0" t="n">
        <f aca="false">6*J2994+(J2994-K2994-M2994)+2*L2994+3*N2994</f>
        <v>13</v>
      </c>
      <c r="P2994" s="0" t="n">
        <f aca="true">RAND()</f>
        <v>0.590957463078698</v>
      </c>
      <c r="Q2994" s="0" t="n">
        <f aca="true">RAND()</f>
        <v>0.101612533441005</v>
      </c>
      <c r="R2994" s="0" t="n">
        <f aca="false">IF($I2994&lt;&gt;$O2994,0,IF(P2994&lt;Matchup!$B$39,7,IF(P2994&lt;Matchup!$B$39+Matchup!$B$40,3,0)))</f>
        <v>0</v>
      </c>
      <c r="S2994" s="0" t="n">
        <f aca="false">IF($I2994&lt;&gt;$O2994,0,IF(Q2994&lt;Matchup!$C$39,7,IF(Q2994&lt;Matchup!$C$39+Matchup!$C$40,3,0)))</f>
        <v>0</v>
      </c>
      <c r="T2994" s="0" t="n">
        <f aca="false">I2994+R2994</f>
        <v>24</v>
      </c>
      <c r="U2994" s="0" t="n">
        <f aca="false">O2994+S2994</f>
        <v>13</v>
      </c>
      <c r="V2994" s="0" t="n">
        <f aca="false">T2994-U2994</f>
        <v>11</v>
      </c>
      <c r="W2994" s="0" t="n">
        <f aca="false">T2994+U2994</f>
        <v>37</v>
      </c>
    </row>
    <row r="2995" customFormat="false" ht="15" hidden="false" customHeight="false" outlineLevel="0" collapsed="false">
      <c r="A2995" s="0" t="n">
        <v>2992</v>
      </c>
      <c r="B2995" s="0" t="n">
        <f aca="true">NORMINV(RAND(),1,Coefficients!$B$22)</f>
        <v>0.994449761753407</v>
      </c>
      <c r="C2995" s="0" t="n">
        <f aca="true">MEDIAN(8,16,ROUND(NORMINV(RAND(),Coefficients!$B$20,Coefficients!$B$21),0))</f>
        <v>10</v>
      </c>
      <c r="D2995" s="0" t="n">
        <f aca="true">CRITBINOM($C2995,MIN(0.75,Matchup!$B$39*$B2995),RAND())</f>
        <v>3</v>
      </c>
      <c r="E2995" s="0" t="n">
        <f aca="true">CRITBINOM(D2995,Coefficients!$B$30,RAND())</f>
        <v>0</v>
      </c>
      <c r="F2995" s="0" t="n">
        <f aca="true">CRITBINOM(E2995,Coefficients!$B$31,RAND())</f>
        <v>0</v>
      </c>
      <c r="G2995" s="0" t="n">
        <f aca="true">CRITBINOM(MAX(0,D2995-E2995),1-Coefficients!$B$32,RAND())</f>
        <v>0</v>
      </c>
      <c r="H2995" s="0" t="n">
        <f aca="true">CRITBINOM(MAX(0,$C2995-D2995),MIN(0.6,Matchup!$B$40*SQRT($B2995)/(1-MIN(0.75,Matchup!$B$39*$B2995))),RAND())</f>
        <v>1</v>
      </c>
      <c r="I2995" s="0" t="n">
        <f aca="false">6*D2995+(D2995-E2995-G2995)+2*F2995+3*H2995</f>
        <v>24</v>
      </c>
      <c r="J2995" s="0" t="n">
        <f aca="true">CRITBINOM($C2995,MIN(0.75,Matchup!$C$39*$B2995),RAND())</f>
        <v>1</v>
      </c>
      <c r="K2995" s="0" t="n">
        <f aca="true">CRITBINOM(J2995,Coefficients!$B$30,RAND())</f>
        <v>0</v>
      </c>
      <c r="L2995" s="0" t="n">
        <f aca="true">CRITBINOM(K2995,Coefficients!$B$31,RAND())</f>
        <v>0</v>
      </c>
      <c r="M2995" s="0" t="n">
        <f aca="true">CRITBINOM(MAX(0,J2995-K2995),1-Coefficients!$B$32,RAND())</f>
        <v>0</v>
      </c>
      <c r="N2995" s="0" t="n">
        <f aca="true">CRITBINOM(MAX(0,$C2995-J2995),MIN(0.6,Matchup!$C$40*SQRT($B2995)/(1-MIN(0.75,Matchup!$C$39*$B2995))),RAND())</f>
        <v>1</v>
      </c>
      <c r="O2995" s="0" t="n">
        <f aca="false">6*J2995+(J2995-K2995-M2995)+2*L2995+3*N2995</f>
        <v>10</v>
      </c>
      <c r="P2995" s="0" t="n">
        <f aca="true">RAND()</f>
        <v>0.690461261927269</v>
      </c>
      <c r="Q2995" s="0" t="n">
        <f aca="true">RAND()</f>
        <v>0.25852290213751</v>
      </c>
      <c r="R2995" s="0" t="n">
        <f aca="false">IF($I2995&lt;&gt;$O2995,0,IF(P2995&lt;Matchup!$B$39,7,IF(P2995&lt;Matchup!$B$39+Matchup!$B$40,3,0)))</f>
        <v>0</v>
      </c>
      <c r="S2995" s="0" t="n">
        <f aca="false">IF($I2995&lt;&gt;$O2995,0,IF(Q2995&lt;Matchup!$C$39,7,IF(Q2995&lt;Matchup!$C$39+Matchup!$C$40,3,0)))</f>
        <v>0</v>
      </c>
      <c r="T2995" s="0" t="n">
        <f aca="false">I2995+R2995</f>
        <v>24</v>
      </c>
      <c r="U2995" s="0" t="n">
        <f aca="false">O2995+S2995</f>
        <v>10</v>
      </c>
      <c r="V2995" s="0" t="n">
        <f aca="false">T2995-U2995</f>
        <v>14</v>
      </c>
      <c r="W2995" s="0" t="n">
        <f aca="false">T2995+U2995</f>
        <v>34</v>
      </c>
    </row>
    <row r="2996" customFormat="false" ht="15" hidden="false" customHeight="false" outlineLevel="0" collapsed="false">
      <c r="A2996" s="0" t="n">
        <v>2993</v>
      </c>
      <c r="B2996" s="0" t="n">
        <f aca="true">NORMINV(RAND(),1,Coefficients!$B$22)</f>
        <v>1.10453406955169</v>
      </c>
      <c r="C2996" s="0" t="n">
        <f aca="true">MEDIAN(8,16,ROUND(NORMINV(RAND(),Coefficients!$B$20,Coefficients!$B$21),0))</f>
        <v>10</v>
      </c>
      <c r="D2996" s="0" t="n">
        <f aca="true">CRITBINOM($C2996,MIN(0.75,Matchup!$B$39*$B2996),RAND())</f>
        <v>2</v>
      </c>
      <c r="E2996" s="0" t="n">
        <f aca="true">CRITBINOM(D2996,Coefficients!$B$30,RAND())</f>
        <v>0</v>
      </c>
      <c r="F2996" s="0" t="n">
        <f aca="true">CRITBINOM(E2996,Coefficients!$B$31,RAND())</f>
        <v>0</v>
      </c>
      <c r="G2996" s="0" t="n">
        <f aca="true">CRITBINOM(MAX(0,D2996-E2996),1-Coefficients!$B$32,RAND())</f>
        <v>0</v>
      </c>
      <c r="H2996" s="0" t="n">
        <f aca="true">CRITBINOM(MAX(0,$C2996-D2996),MIN(0.6,Matchup!$B$40*SQRT($B2996)/(1-MIN(0.75,Matchup!$B$39*$B2996))),RAND())</f>
        <v>2</v>
      </c>
      <c r="I2996" s="0" t="n">
        <f aca="false">6*D2996+(D2996-E2996-G2996)+2*F2996+3*H2996</f>
        <v>20</v>
      </c>
      <c r="J2996" s="0" t="n">
        <f aca="true">CRITBINOM($C2996,MIN(0.75,Matchup!$C$39*$B2996),RAND())</f>
        <v>3</v>
      </c>
      <c r="K2996" s="0" t="n">
        <f aca="true">CRITBINOM(J2996,Coefficients!$B$30,RAND())</f>
        <v>0</v>
      </c>
      <c r="L2996" s="0" t="n">
        <f aca="true">CRITBINOM(K2996,Coefficients!$B$31,RAND())</f>
        <v>0</v>
      </c>
      <c r="M2996" s="0" t="n">
        <f aca="true">CRITBINOM(MAX(0,J2996-K2996),1-Coefficients!$B$32,RAND())</f>
        <v>1</v>
      </c>
      <c r="N2996" s="0" t="n">
        <f aca="true">CRITBINOM(MAX(0,$C2996-J2996),MIN(0.6,Matchup!$C$40*SQRT($B2996)/(1-MIN(0.75,Matchup!$C$39*$B2996))),RAND())</f>
        <v>0</v>
      </c>
      <c r="O2996" s="0" t="n">
        <f aca="false">6*J2996+(J2996-K2996-M2996)+2*L2996+3*N2996</f>
        <v>20</v>
      </c>
      <c r="P2996" s="0" t="n">
        <f aca="true">RAND()</f>
        <v>0.380822279004035</v>
      </c>
      <c r="Q2996" s="0" t="n">
        <f aca="true">RAND()</f>
        <v>0.590669691356588</v>
      </c>
      <c r="R2996" s="0" t="n">
        <f aca="false">IF($I2996&lt;&gt;$O2996,0,IF(P2996&lt;Matchup!$B$39,7,IF(P2996&lt;Matchup!$B$39+Matchup!$B$40,3,0)))</f>
        <v>3</v>
      </c>
      <c r="S2996" s="0" t="n">
        <f aca="false">IF($I2996&lt;&gt;$O2996,0,IF(Q2996&lt;Matchup!$C$39,7,IF(Q2996&lt;Matchup!$C$39+Matchup!$C$40,3,0)))</f>
        <v>0</v>
      </c>
      <c r="T2996" s="0" t="n">
        <f aca="false">I2996+R2996</f>
        <v>23</v>
      </c>
      <c r="U2996" s="0" t="n">
        <f aca="false">O2996+S2996</f>
        <v>20</v>
      </c>
      <c r="V2996" s="0" t="n">
        <f aca="false">T2996-U2996</f>
        <v>3</v>
      </c>
      <c r="W2996" s="0" t="n">
        <f aca="false">T2996+U2996</f>
        <v>43</v>
      </c>
    </row>
    <row r="2997" customFormat="false" ht="15" hidden="false" customHeight="false" outlineLevel="0" collapsed="false">
      <c r="A2997" s="0" t="n">
        <v>2994</v>
      </c>
      <c r="B2997" s="0" t="n">
        <f aca="true">NORMINV(RAND(),1,Coefficients!$B$22)</f>
        <v>1.03183987546185</v>
      </c>
      <c r="C2997" s="0" t="n">
        <f aca="true">MEDIAN(8,16,ROUND(NORMINV(RAND(),Coefficients!$B$20,Coefficients!$B$21),0))</f>
        <v>12</v>
      </c>
      <c r="D2997" s="0" t="n">
        <f aca="true">CRITBINOM($C2997,MIN(0.75,Matchup!$B$39*$B2997),RAND())</f>
        <v>5</v>
      </c>
      <c r="E2997" s="0" t="n">
        <f aca="true">CRITBINOM(D2997,Coefficients!$B$30,RAND())</f>
        <v>2</v>
      </c>
      <c r="F2997" s="0" t="n">
        <f aca="true">CRITBINOM(E2997,Coefficients!$B$31,RAND())</f>
        <v>1</v>
      </c>
      <c r="G2997" s="0" t="n">
        <f aca="true">CRITBINOM(MAX(0,D2997-E2997),1-Coefficients!$B$32,RAND())</f>
        <v>0</v>
      </c>
      <c r="H2997" s="0" t="n">
        <f aca="true">CRITBINOM(MAX(0,$C2997-D2997),MIN(0.6,Matchup!$B$40*SQRT($B2997)/(1-MIN(0.75,Matchup!$B$39*$B2997))),RAND())</f>
        <v>0</v>
      </c>
      <c r="I2997" s="0" t="n">
        <f aca="false">6*D2997+(D2997-E2997-G2997)+2*F2997+3*H2997</f>
        <v>35</v>
      </c>
      <c r="J2997" s="0" t="n">
        <f aca="true">CRITBINOM($C2997,MIN(0.75,Matchup!$C$39*$B2997),RAND())</f>
        <v>2</v>
      </c>
      <c r="K2997" s="0" t="n">
        <f aca="true">CRITBINOM(J2997,Coefficients!$B$30,RAND())</f>
        <v>0</v>
      </c>
      <c r="L2997" s="0" t="n">
        <f aca="true">CRITBINOM(K2997,Coefficients!$B$31,RAND())</f>
        <v>0</v>
      </c>
      <c r="M2997" s="0" t="n">
        <f aca="true">CRITBINOM(MAX(0,J2997-K2997),1-Coefficients!$B$32,RAND())</f>
        <v>0</v>
      </c>
      <c r="N2997" s="0" t="n">
        <f aca="true">CRITBINOM(MAX(0,$C2997-J2997),MIN(0.6,Matchup!$C$40*SQRT($B2997)/(1-MIN(0.75,Matchup!$C$39*$B2997))),RAND())</f>
        <v>0</v>
      </c>
      <c r="O2997" s="0" t="n">
        <f aca="false">6*J2997+(J2997-K2997-M2997)+2*L2997+3*N2997</f>
        <v>14</v>
      </c>
      <c r="P2997" s="0" t="n">
        <f aca="true">RAND()</f>
        <v>0.249232592782846</v>
      </c>
      <c r="Q2997" s="0" t="n">
        <f aca="true">RAND()</f>
        <v>0.590869741231096</v>
      </c>
      <c r="R2997" s="0" t="n">
        <f aca="false">IF($I2997&lt;&gt;$O2997,0,IF(P2997&lt;Matchup!$B$39,7,IF(P2997&lt;Matchup!$B$39+Matchup!$B$40,3,0)))</f>
        <v>0</v>
      </c>
      <c r="S2997" s="0" t="n">
        <f aca="false">IF($I2997&lt;&gt;$O2997,0,IF(Q2997&lt;Matchup!$C$39,7,IF(Q2997&lt;Matchup!$C$39+Matchup!$C$40,3,0)))</f>
        <v>0</v>
      </c>
      <c r="T2997" s="0" t="n">
        <f aca="false">I2997+R2997</f>
        <v>35</v>
      </c>
      <c r="U2997" s="0" t="n">
        <f aca="false">O2997+S2997</f>
        <v>14</v>
      </c>
      <c r="V2997" s="0" t="n">
        <f aca="false">T2997-U2997</f>
        <v>21</v>
      </c>
      <c r="W2997" s="0" t="n">
        <f aca="false">T2997+U2997</f>
        <v>49</v>
      </c>
    </row>
    <row r="2998" customFormat="false" ht="15" hidden="false" customHeight="false" outlineLevel="0" collapsed="false">
      <c r="A2998" s="0" t="n">
        <v>2995</v>
      </c>
      <c r="B2998" s="0" t="n">
        <f aca="true">NORMINV(RAND(),1,Coefficients!$B$22)</f>
        <v>1.05683241155037</v>
      </c>
      <c r="C2998" s="0" t="n">
        <f aca="true">MEDIAN(8,16,ROUND(NORMINV(RAND(),Coefficients!$B$20,Coefficients!$B$21),0))</f>
        <v>8</v>
      </c>
      <c r="D2998" s="0" t="n">
        <f aca="true">CRITBINOM($C2998,MIN(0.75,Matchup!$B$39*$B2998),RAND())</f>
        <v>0</v>
      </c>
      <c r="E2998" s="0" t="n">
        <f aca="true">CRITBINOM(D2998,Coefficients!$B$30,RAND())</f>
        <v>0</v>
      </c>
      <c r="F2998" s="0" t="n">
        <f aca="true">CRITBINOM(E2998,Coefficients!$B$31,RAND())</f>
        <v>0</v>
      </c>
      <c r="G2998" s="0" t="n">
        <f aca="true">CRITBINOM(MAX(0,D2998-E2998),1-Coefficients!$B$32,RAND())</f>
        <v>0</v>
      </c>
      <c r="H2998" s="0" t="n">
        <f aca="true">CRITBINOM(MAX(0,$C2998-D2998),MIN(0.6,Matchup!$B$40*SQRT($B2998)/(1-MIN(0.75,Matchup!$B$39*$B2998))),RAND())</f>
        <v>2</v>
      </c>
      <c r="I2998" s="0" t="n">
        <f aca="false">6*D2998+(D2998-E2998-G2998)+2*F2998+3*H2998</f>
        <v>6</v>
      </c>
      <c r="J2998" s="0" t="n">
        <f aca="true">CRITBINOM($C2998,MIN(0.75,Matchup!$C$39*$B2998),RAND())</f>
        <v>2</v>
      </c>
      <c r="K2998" s="0" t="n">
        <f aca="true">CRITBINOM(J2998,Coefficients!$B$30,RAND())</f>
        <v>0</v>
      </c>
      <c r="L2998" s="0" t="n">
        <f aca="true">CRITBINOM(K2998,Coefficients!$B$31,RAND())</f>
        <v>0</v>
      </c>
      <c r="M2998" s="0" t="n">
        <f aca="true">CRITBINOM(MAX(0,J2998-K2998),1-Coefficients!$B$32,RAND())</f>
        <v>0</v>
      </c>
      <c r="N2998" s="0" t="n">
        <f aca="true">CRITBINOM(MAX(0,$C2998-J2998),MIN(0.6,Matchup!$C$40*SQRT($B2998)/(1-MIN(0.75,Matchup!$C$39*$B2998))),RAND())</f>
        <v>0</v>
      </c>
      <c r="O2998" s="0" t="n">
        <f aca="false">6*J2998+(J2998-K2998-M2998)+2*L2998+3*N2998</f>
        <v>14</v>
      </c>
      <c r="P2998" s="0" t="n">
        <f aca="true">RAND()</f>
        <v>0.906278208529501</v>
      </c>
      <c r="Q2998" s="0" t="n">
        <f aca="true">RAND()</f>
        <v>0.0615075701856777</v>
      </c>
      <c r="R2998" s="0" t="n">
        <f aca="false">IF($I2998&lt;&gt;$O2998,0,IF(P2998&lt;Matchup!$B$39,7,IF(P2998&lt;Matchup!$B$39+Matchup!$B$40,3,0)))</f>
        <v>0</v>
      </c>
      <c r="S2998" s="0" t="n">
        <f aca="false">IF($I2998&lt;&gt;$O2998,0,IF(Q2998&lt;Matchup!$C$39,7,IF(Q2998&lt;Matchup!$C$39+Matchup!$C$40,3,0)))</f>
        <v>0</v>
      </c>
      <c r="T2998" s="0" t="n">
        <f aca="false">I2998+R2998</f>
        <v>6</v>
      </c>
      <c r="U2998" s="0" t="n">
        <f aca="false">O2998+S2998</f>
        <v>14</v>
      </c>
      <c r="V2998" s="0" t="n">
        <f aca="false">T2998-U2998</f>
        <v>-8</v>
      </c>
      <c r="W2998" s="0" t="n">
        <f aca="false">T2998+U2998</f>
        <v>20</v>
      </c>
    </row>
    <row r="2999" customFormat="false" ht="15" hidden="false" customHeight="false" outlineLevel="0" collapsed="false">
      <c r="A2999" s="0" t="n">
        <v>2996</v>
      </c>
      <c r="B2999" s="0" t="n">
        <f aca="true">NORMINV(RAND(),1,Coefficients!$B$22)</f>
        <v>0.959734592535351</v>
      </c>
      <c r="C2999" s="0" t="n">
        <f aca="true">MEDIAN(8,16,ROUND(NORMINV(RAND(),Coefficients!$B$20,Coefficients!$B$21),0))</f>
        <v>10</v>
      </c>
      <c r="D2999" s="0" t="n">
        <f aca="true">CRITBINOM($C2999,MIN(0.75,Matchup!$B$39*$B2999),RAND())</f>
        <v>1</v>
      </c>
      <c r="E2999" s="0" t="n">
        <f aca="true">CRITBINOM(D2999,Coefficients!$B$30,RAND())</f>
        <v>0</v>
      </c>
      <c r="F2999" s="0" t="n">
        <f aca="true">CRITBINOM(E2999,Coefficients!$B$31,RAND())</f>
        <v>0</v>
      </c>
      <c r="G2999" s="0" t="n">
        <f aca="true">CRITBINOM(MAX(0,D2999-E2999),1-Coefficients!$B$32,RAND())</f>
        <v>0</v>
      </c>
      <c r="H2999" s="0" t="n">
        <f aca="true">CRITBINOM(MAX(0,$C2999-D2999),MIN(0.6,Matchup!$B$40*SQRT($B2999)/(1-MIN(0.75,Matchup!$B$39*$B2999))),RAND())</f>
        <v>5</v>
      </c>
      <c r="I2999" s="0" t="n">
        <f aca="false">6*D2999+(D2999-E2999-G2999)+2*F2999+3*H2999</f>
        <v>22</v>
      </c>
      <c r="J2999" s="0" t="n">
        <f aca="true">CRITBINOM($C2999,MIN(0.75,Matchup!$C$39*$B2999),RAND())</f>
        <v>3</v>
      </c>
      <c r="K2999" s="0" t="n">
        <f aca="true">CRITBINOM(J2999,Coefficients!$B$30,RAND())</f>
        <v>0</v>
      </c>
      <c r="L2999" s="0" t="n">
        <f aca="true">CRITBINOM(K2999,Coefficients!$B$31,RAND())</f>
        <v>0</v>
      </c>
      <c r="M2999" s="0" t="n">
        <f aca="true">CRITBINOM(MAX(0,J2999-K2999),1-Coefficients!$B$32,RAND())</f>
        <v>0</v>
      </c>
      <c r="N2999" s="0" t="n">
        <f aca="true">CRITBINOM(MAX(0,$C2999-J2999),MIN(0.6,Matchup!$C$40*SQRT($B2999)/(1-MIN(0.75,Matchup!$C$39*$B2999))),RAND())</f>
        <v>0</v>
      </c>
      <c r="O2999" s="0" t="n">
        <f aca="false">6*J2999+(J2999-K2999-M2999)+2*L2999+3*N2999</f>
        <v>21</v>
      </c>
      <c r="P2999" s="0" t="n">
        <f aca="true">RAND()</f>
        <v>0.77257003755752</v>
      </c>
      <c r="Q2999" s="0" t="n">
        <f aca="true">RAND()</f>
        <v>0.125662677805928</v>
      </c>
      <c r="R2999" s="0" t="n">
        <f aca="false">IF($I2999&lt;&gt;$O2999,0,IF(P2999&lt;Matchup!$B$39,7,IF(P2999&lt;Matchup!$B$39+Matchup!$B$40,3,0)))</f>
        <v>0</v>
      </c>
      <c r="S2999" s="0" t="n">
        <f aca="false">IF($I2999&lt;&gt;$O2999,0,IF(Q2999&lt;Matchup!$C$39,7,IF(Q2999&lt;Matchup!$C$39+Matchup!$C$40,3,0)))</f>
        <v>0</v>
      </c>
      <c r="T2999" s="0" t="n">
        <f aca="false">I2999+R2999</f>
        <v>22</v>
      </c>
      <c r="U2999" s="0" t="n">
        <f aca="false">O2999+S2999</f>
        <v>21</v>
      </c>
      <c r="V2999" s="0" t="n">
        <f aca="false">T2999-U2999</f>
        <v>1</v>
      </c>
      <c r="W2999" s="0" t="n">
        <f aca="false">T2999+U2999</f>
        <v>43</v>
      </c>
    </row>
    <row r="3000" customFormat="false" ht="15" hidden="false" customHeight="false" outlineLevel="0" collapsed="false">
      <c r="A3000" s="0" t="n">
        <v>2997</v>
      </c>
      <c r="B3000" s="0" t="n">
        <f aca="true">NORMINV(RAND(),1,Coefficients!$B$22)</f>
        <v>1.1386773553857</v>
      </c>
      <c r="C3000" s="0" t="n">
        <f aca="true">MEDIAN(8,16,ROUND(NORMINV(RAND(),Coefficients!$B$20,Coefficients!$B$21),0))</f>
        <v>13</v>
      </c>
      <c r="D3000" s="0" t="n">
        <f aca="true">CRITBINOM($C3000,MIN(0.75,Matchup!$B$39*$B3000),RAND())</f>
        <v>2</v>
      </c>
      <c r="E3000" s="0" t="n">
        <f aca="true">CRITBINOM(D3000,Coefficients!$B$30,RAND())</f>
        <v>0</v>
      </c>
      <c r="F3000" s="0" t="n">
        <f aca="true">CRITBINOM(E3000,Coefficients!$B$31,RAND())</f>
        <v>0</v>
      </c>
      <c r="G3000" s="0" t="n">
        <f aca="true">CRITBINOM(MAX(0,D3000-E3000),1-Coefficients!$B$32,RAND())</f>
        <v>0</v>
      </c>
      <c r="H3000" s="0" t="n">
        <f aca="true">CRITBINOM(MAX(0,$C3000-D3000),MIN(0.6,Matchup!$B$40*SQRT($B3000)/(1-MIN(0.75,Matchup!$B$39*$B3000))),RAND())</f>
        <v>2</v>
      </c>
      <c r="I3000" s="0" t="n">
        <f aca="false">6*D3000+(D3000-E3000-G3000)+2*F3000+3*H3000</f>
        <v>20</v>
      </c>
      <c r="J3000" s="0" t="n">
        <f aca="true">CRITBINOM($C3000,MIN(0.75,Matchup!$C$39*$B3000),RAND())</f>
        <v>2</v>
      </c>
      <c r="K3000" s="0" t="n">
        <f aca="true">CRITBINOM(J3000,Coefficients!$B$30,RAND())</f>
        <v>0</v>
      </c>
      <c r="L3000" s="0" t="n">
        <f aca="true">CRITBINOM(K3000,Coefficients!$B$31,RAND())</f>
        <v>0</v>
      </c>
      <c r="M3000" s="0" t="n">
        <f aca="true">CRITBINOM(MAX(0,J3000-K3000),1-Coefficients!$B$32,RAND())</f>
        <v>0</v>
      </c>
      <c r="N3000" s="0" t="n">
        <f aca="true">CRITBINOM(MAX(0,$C3000-J3000),MIN(0.6,Matchup!$C$40*SQRT($B3000)/(1-MIN(0.75,Matchup!$C$39*$B3000))),RAND())</f>
        <v>4</v>
      </c>
      <c r="O3000" s="0" t="n">
        <f aca="false">6*J3000+(J3000-K3000-M3000)+2*L3000+3*N3000</f>
        <v>26</v>
      </c>
      <c r="P3000" s="0" t="n">
        <f aca="true">RAND()</f>
        <v>0.903055952032852</v>
      </c>
      <c r="Q3000" s="0" t="n">
        <f aca="true">RAND()</f>
        <v>0.334060556077401</v>
      </c>
      <c r="R3000" s="0" t="n">
        <f aca="false">IF($I3000&lt;&gt;$O3000,0,IF(P3000&lt;Matchup!$B$39,7,IF(P3000&lt;Matchup!$B$39+Matchup!$B$40,3,0)))</f>
        <v>0</v>
      </c>
      <c r="S3000" s="0" t="n">
        <f aca="false">IF($I3000&lt;&gt;$O3000,0,IF(Q3000&lt;Matchup!$C$39,7,IF(Q3000&lt;Matchup!$C$39+Matchup!$C$40,3,0)))</f>
        <v>0</v>
      </c>
      <c r="T3000" s="0" t="n">
        <f aca="false">I3000+R3000</f>
        <v>20</v>
      </c>
      <c r="U3000" s="0" t="n">
        <f aca="false">O3000+S3000</f>
        <v>26</v>
      </c>
      <c r="V3000" s="0" t="n">
        <f aca="false">T3000-U3000</f>
        <v>-6</v>
      </c>
      <c r="W3000" s="0" t="n">
        <f aca="false">T3000+U3000</f>
        <v>46</v>
      </c>
    </row>
    <row r="3001" customFormat="false" ht="15" hidden="false" customHeight="false" outlineLevel="0" collapsed="false">
      <c r="A3001" s="0" t="n">
        <v>2998</v>
      </c>
      <c r="B3001" s="0" t="n">
        <f aca="true">NORMINV(RAND(),1,Coefficients!$B$22)</f>
        <v>0.931630107117563</v>
      </c>
      <c r="C3001" s="0" t="n">
        <f aca="true">MEDIAN(8,16,ROUND(NORMINV(RAND(),Coefficients!$B$20,Coefficients!$B$21),0))</f>
        <v>12</v>
      </c>
      <c r="D3001" s="0" t="n">
        <f aca="true">CRITBINOM($C3001,MIN(0.75,Matchup!$B$39*$B3001),RAND())</f>
        <v>2</v>
      </c>
      <c r="E3001" s="0" t="n">
        <f aca="true">CRITBINOM(D3001,Coefficients!$B$30,RAND())</f>
        <v>0</v>
      </c>
      <c r="F3001" s="0" t="n">
        <f aca="true">CRITBINOM(E3001,Coefficients!$B$31,RAND())</f>
        <v>0</v>
      </c>
      <c r="G3001" s="0" t="n">
        <f aca="true">CRITBINOM(MAX(0,D3001-E3001),1-Coefficients!$B$32,RAND())</f>
        <v>0</v>
      </c>
      <c r="H3001" s="0" t="n">
        <f aca="true">CRITBINOM(MAX(0,$C3001-D3001),MIN(0.6,Matchup!$B$40*SQRT($B3001)/(1-MIN(0.75,Matchup!$B$39*$B3001))),RAND())</f>
        <v>3</v>
      </c>
      <c r="I3001" s="0" t="n">
        <f aca="false">6*D3001+(D3001-E3001-G3001)+2*F3001+3*H3001</f>
        <v>23</v>
      </c>
      <c r="J3001" s="0" t="n">
        <f aca="true">CRITBINOM($C3001,MIN(0.75,Matchup!$C$39*$B3001),RAND())</f>
        <v>3</v>
      </c>
      <c r="K3001" s="0" t="n">
        <f aca="true">CRITBINOM(J3001,Coefficients!$B$30,RAND())</f>
        <v>0</v>
      </c>
      <c r="L3001" s="0" t="n">
        <f aca="true">CRITBINOM(K3001,Coefficients!$B$31,RAND())</f>
        <v>0</v>
      </c>
      <c r="M3001" s="0" t="n">
        <f aca="true">CRITBINOM(MAX(0,J3001-K3001),1-Coefficients!$B$32,RAND())</f>
        <v>1</v>
      </c>
      <c r="N3001" s="0" t="n">
        <f aca="true">CRITBINOM(MAX(0,$C3001-J3001),MIN(0.6,Matchup!$C$40*SQRT($B3001)/(1-MIN(0.75,Matchup!$C$39*$B3001))),RAND())</f>
        <v>2</v>
      </c>
      <c r="O3001" s="0" t="n">
        <f aca="false">6*J3001+(J3001-K3001-M3001)+2*L3001+3*N3001</f>
        <v>26</v>
      </c>
      <c r="P3001" s="0" t="n">
        <f aca="true">RAND()</f>
        <v>0.595114018587018</v>
      </c>
      <c r="Q3001" s="0" t="n">
        <f aca="true">RAND()</f>
        <v>0.374732448860316</v>
      </c>
      <c r="R3001" s="0" t="n">
        <f aca="false">IF($I3001&lt;&gt;$O3001,0,IF(P3001&lt;Matchup!$B$39,7,IF(P3001&lt;Matchup!$B$39+Matchup!$B$40,3,0)))</f>
        <v>0</v>
      </c>
      <c r="S3001" s="0" t="n">
        <f aca="false">IF($I3001&lt;&gt;$O3001,0,IF(Q3001&lt;Matchup!$C$39,7,IF(Q3001&lt;Matchup!$C$39+Matchup!$C$40,3,0)))</f>
        <v>0</v>
      </c>
      <c r="T3001" s="0" t="n">
        <f aca="false">I3001+R3001</f>
        <v>23</v>
      </c>
      <c r="U3001" s="0" t="n">
        <f aca="false">O3001+S3001</f>
        <v>26</v>
      </c>
      <c r="V3001" s="0" t="n">
        <f aca="false">T3001-U3001</f>
        <v>-3</v>
      </c>
      <c r="W3001" s="0" t="n">
        <f aca="false">T3001+U3001</f>
        <v>49</v>
      </c>
    </row>
    <row r="3002" customFormat="false" ht="15" hidden="false" customHeight="false" outlineLevel="0" collapsed="false">
      <c r="A3002" s="0" t="n">
        <v>2999</v>
      </c>
      <c r="B3002" s="0" t="n">
        <f aca="true">NORMINV(RAND(),1,Coefficients!$B$22)</f>
        <v>0.980598587928263</v>
      </c>
      <c r="C3002" s="0" t="n">
        <f aca="true">MEDIAN(8,16,ROUND(NORMINV(RAND(),Coefficients!$B$20,Coefficients!$B$21),0))</f>
        <v>11</v>
      </c>
      <c r="D3002" s="0" t="n">
        <f aca="true">CRITBINOM($C3002,MIN(0.75,Matchup!$B$39*$B3002),RAND())</f>
        <v>2</v>
      </c>
      <c r="E3002" s="0" t="n">
        <f aca="true">CRITBINOM(D3002,Coefficients!$B$30,RAND())</f>
        <v>0</v>
      </c>
      <c r="F3002" s="0" t="n">
        <f aca="true">CRITBINOM(E3002,Coefficients!$B$31,RAND())</f>
        <v>0</v>
      </c>
      <c r="G3002" s="0" t="n">
        <f aca="true">CRITBINOM(MAX(0,D3002-E3002),1-Coefficients!$B$32,RAND())</f>
        <v>0</v>
      </c>
      <c r="H3002" s="0" t="n">
        <f aca="true">CRITBINOM(MAX(0,$C3002-D3002),MIN(0.6,Matchup!$B$40*SQRT($B3002)/(1-MIN(0.75,Matchup!$B$39*$B3002))),RAND())</f>
        <v>2</v>
      </c>
      <c r="I3002" s="0" t="n">
        <f aca="false">6*D3002+(D3002-E3002-G3002)+2*F3002+3*H3002</f>
        <v>20</v>
      </c>
      <c r="J3002" s="0" t="n">
        <f aca="true">CRITBINOM($C3002,MIN(0.75,Matchup!$C$39*$B3002),RAND())</f>
        <v>3</v>
      </c>
      <c r="K3002" s="0" t="n">
        <f aca="true">CRITBINOM(J3002,Coefficients!$B$30,RAND())</f>
        <v>0</v>
      </c>
      <c r="L3002" s="0" t="n">
        <f aca="true">CRITBINOM(K3002,Coefficients!$B$31,RAND())</f>
        <v>0</v>
      </c>
      <c r="M3002" s="0" t="n">
        <f aca="true">CRITBINOM(MAX(0,J3002-K3002),1-Coefficients!$B$32,RAND())</f>
        <v>0</v>
      </c>
      <c r="N3002" s="0" t="n">
        <f aca="true">CRITBINOM(MAX(0,$C3002-J3002),MIN(0.6,Matchup!$C$40*SQRT($B3002)/(1-MIN(0.75,Matchup!$C$39*$B3002))),RAND())</f>
        <v>1</v>
      </c>
      <c r="O3002" s="0" t="n">
        <f aca="false">6*J3002+(J3002-K3002-M3002)+2*L3002+3*N3002</f>
        <v>24</v>
      </c>
      <c r="P3002" s="0" t="n">
        <f aca="true">RAND()</f>
        <v>0.633565640232331</v>
      </c>
      <c r="Q3002" s="0" t="n">
        <f aca="true">RAND()</f>
        <v>0.989096472229805</v>
      </c>
      <c r="R3002" s="0" t="n">
        <f aca="false">IF($I3002&lt;&gt;$O3002,0,IF(P3002&lt;Matchup!$B$39,7,IF(P3002&lt;Matchup!$B$39+Matchup!$B$40,3,0)))</f>
        <v>0</v>
      </c>
      <c r="S3002" s="0" t="n">
        <f aca="false">IF($I3002&lt;&gt;$O3002,0,IF(Q3002&lt;Matchup!$C$39,7,IF(Q3002&lt;Matchup!$C$39+Matchup!$C$40,3,0)))</f>
        <v>0</v>
      </c>
      <c r="T3002" s="0" t="n">
        <f aca="false">I3002+R3002</f>
        <v>20</v>
      </c>
      <c r="U3002" s="0" t="n">
        <f aca="false">O3002+S3002</f>
        <v>24</v>
      </c>
      <c r="V3002" s="0" t="n">
        <f aca="false">T3002-U3002</f>
        <v>-4</v>
      </c>
      <c r="W3002" s="0" t="n">
        <f aca="false">T3002+U3002</f>
        <v>44</v>
      </c>
    </row>
    <row r="3003" customFormat="false" ht="15" hidden="false" customHeight="false" outlineLevel="0" collapsed="false">
      <c r="A3003" s="0" t="n">
        <v>3000</v>
      </c>
      <c r="B3003" s="0" t="n">
        <f aca="true">NORMINV(RAND(),1,Coefficients!$B$22)</f>
        <v>0.915517029213563</v>
      </c>
      <c r="C3003" s="0" t="n">
        <f aca="true">MEDIAN(8,16,ROUND(NORMINV(RAND(),Coefficients!$B$20,Coefficients!$B$21),0))</f>
        <v>9</v>
      </c>
      <c r="D3003" s="0" t="n">
        <f aca="true">CRITBINOM($C3003,MIN(0.75,Matchup!$B$39*$B3003),RAND())</f>
        <v>2</v>
      </c>
      <c r="E3003" s="0" t="n">
        <f aca="true">CRITBINOM(D3003,Coefficients!$B$30,RAND())</f>
        <v>0</v>
      </c>
      <c r="F3003" s="0" t="n">
        <f aca="true">CRITBINOM(E3003,Coefficients!$B$31,RAND())</f>
        <v>0</v>
      </c>
      <c r="G3003" s="0" t="n">
        <f aca="true">CRITBINOM(MAX(0,D3003-E3003),1-Coefficients!$B$32,RAND())</f>
        <v>0</v>
      </c>
      <c r="H3003" s="0" t="n">
        <f aca="true">CRITBINOM(MAX(0,$C3003-D3003),MIN(0.6,Matchup!$B$40*SQRT($B3003)/(1-MIN(0.75,Matchup!$B$39*$B3003))),RAND())</f>
        <v>2</v>
      </c>
      <c r="I3003" s="0" t="n">
        <f aca="false">6*D3003+(D3003-E3003-G3003)+2*F3003+3*H3003</f>
        <v>20</v>
      </c>
      <c r="J3003" s="0" t="n">
        <f aca="true">CRITBINOM($C3003,MIN(0.75,Matchup!$C$39*$B3003),RAND())</f>
        <v>2</v>
      </c>
      <c r="K3003" s="0" t="n">
        <f aca="true">CRITBINOM(J3003,Coefficients!$B$30,RAND())</f>
        <v>0</v>
      </c>
      <c r="L3003" s="0" t="n">
        <f aca="true">CRITBINOM(K3003,Coefficients!$B$31,RAND())</f>
        <v>0</v>
      </c>
      <c r="M3003" s="0" t="n">
        <f aca="true">CRITBINOM(MAX(0,J3003-K3003),1-Coefficients!$B$32,RAND())</f>
        <v>0</v>
      </c>
      <c r="N3003" s="0" t="n">
        <f aca="true">CRITBINOM(MAX(0,$C3003-J3003),MIN(0.6,Matchup!$C$40*SQRT($B3003)/(1-MIN(0.75,Matchup!$C$39*$B3003))),RAND())</f>
        <v>2</v>
      </c>
      <c r="O3003" s="0" t="n">
        <f aca="false">6*J3003+(J3003-K3003-M3003)+2*L3003+3*N3003</f>
        <v>20</v>
      </c>
      <c r="P3003" s="0" t="n">
        <f aca="true">RAND()</f>
        <v>0.00373448078256029</v>
      </c>
      <c r="Q3003" s="0" t="n">
        <f aca="true">RAND()</f>
        <v>0.21448235016196</v>
      </c>
      <c r="R3003" s="0" t="n">
        <f aca="false">IF($I3003&lt;&gt;$O3003,0,IF(P3003&lt;Matchup!$B$39,7,IF(P3003&lt;Matchup!$B$39+Matchup!$B$40,3,0)))</f>
        <v>7</v>
      </c>
      <c r="S3003" s="0" t="n">
        <f aca="false">IF($I3003&lt;&gt;$O3003,0,IF(Q3003&lt;Matchup!$C$39,7,IF(Q3003&lt;Matchup!$C$39+Matchup!$C$40,3,0)))</f>
        <v>7</v>
      </c>
      <c r="T3003" s="0" t="n">
        <f aca="false">I3003+R3003</f>
        <v>27</v>
      </c>
      <c r="U3003" s="0" t="n">
        <f aca="false">O3003+S3003</f>
        <v>27</v>
      </c>
      <c r="V3003" s="0" t="n">
        <f aca="false">T3003-U3003</f>
        <v>0</v>
      </c>
      <c r="W3003" s="0" t="n">
        <f aca="false">T3003+U3003</f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5"/>
    <col collapsed="false" customWidth="true" hidden="false" outlineLevel="0" max="9" min="9" style="0" width="52"/>
  </cols>
  <sheetData>
    <row r="1" customFormat="false" ht="24" hidden="false" customHeight="true" outlineLevel="0" collapsed="false">
      <c r="A1" s="1" t="s">
        <v>244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5" t="s">
        <v>245</v>
      </c>
    </row>
    <row r="3" customFormat="false" ht="15" hidden="false" customHeight="false" outlineLevel="0" collapsed="false">
      <c r="A3" s="14" t="s">
        <v>246</v>
      </c>
      <c r="B3" s="15"/>
      <c r="C3" s="15"/>
      <c r="D3" s="15"/>
      <c r="E3" s="15"/>
      <c r="F3" s="15"/>
      <c r="G3" s="15"/>
      <c r="H3" s="15"/>
      <c r="I3" s="15"/>
    </row>
    <row r="4" customFormat="false" ht="15" hidden="false" customHeight="false" outlineLevel="0" collapsed="false">
      <c r="A4" s="6" t="s">
        <v>247</v>
      </c>
      <c r="B4" s="6" t="s">
        <v>248</v>
      </c>
      <c r="C4" s="6" t="s">
        <v>249</v>
      </c>
      <c r="D4" s="6" t="s">
        <v>250</v>
      </c>
      <c r="E4" s="6" t="s">
        <v>251</v>
      </c>
      <c r="F4" s="6" t="s">
        <v>252</v>
      </c>
      <c r="G4" s="6" t="s">
        <v>253</v>
      </c>
      <c r="H4" s="6" t="s">
        <v>254</v>
      </c>
    </row>
    <row r="5" customFormat="false" ht="15" hidden="false" customHeight="false" outlineLevel="0" collapsed="false">
      <c r="A5" s="4" t="s">
        <v>255</v>
      </c>
      <c r="B5" s="36" t="n">
        <v>-125</v>
      </c>
      <c r="C5" s="36" t="n">
        <v>105</v>
      </c>
      <c r="D5" s="37" t="n">
        <f aca="false">IF(B5&lt;0,-B5/(-B5+100),100/(B5+100))/(IF(B5&lt;0,-B5/(-B5+100),100/(B5+100))+IF(C5&lt;0,-C5/(-C5+100),100/(C5+100)))</f>
        <v>0.532467532467533</v>
      </c>
      <c r="E5" s="38" t="n">
        <f aca="false">Matchup!$B$43</f>
        <v>0.551166666666667</v>
      </c>
      <c r="F5" s="35" t="n">
        <f aca="false">E5-D5</f>
        <v>0.0186991341991342</v>
      </c>
      <c r="G5" s="39" t="n">
        <f aca="false">E5*IF(B5&lt;0,100/-B5,B5/100)-(1-E5)</f>
        <v>-0.00789999999999991</v>
      </c>
      <c r="H5" s="40" t="n">
        <f aca="false">IF(AND(F5&gt;=Coefficients!$B$39,G5&gt;0),MIN(Coefficients!$B$38,Coefficients!$B$37*G5/IF(B5&lt;0,100/-B5,B5/100))*Coefficients!$B$40,0)</f>
        <v>0</v>
      </c>
      <c r="I5" s="5" t="str">
        <f aca="false">IF(H5&gt;0,"BET","pass - no edge worth the variance")</f>
        <v>pass - no edge worth the variance</v>
      </c>
    </row>
    <row r="6" customFormat="false" ht="15" hidden="false" customHeight="false" outlineLevel="0" collapsed="false">
      <c r="A6" s="4" t="s">
        <v>256</v>
      </c>
      <c r="B6" s="36" t="n">
        <v>105</v>
      </c>
      <c r="C6" s="36" t="n">
        <v>-125</v>
      </c>
      <c r="D6" s="37" t="n">
        <f aca="false">IF(B6&lt;0,-B6/(-B6+100),100/(B6+100))/(IF(B6&lt;0,-B6/(-B6+100),100/(B6+100))+IF(C6&lt;0,-C6/(-C6+100),100/(C6+100)))</f>
        <v>0.467532467532468</v>
      </c>
      <c r="E6" s="38" t="n">
        <f aca="false">Matchup!$B$44</f>
        <v>0.448833333333333</v>
      </c>
      <c r="F6" s="35" t="n">
        <f aca="false">E6-D6</f>
        <v>-0.0186991341991342</v>
      </c>
      <c r="G6" s="39" t="n">
        <f aca="false">E6*IF(B6&lt;0,100/-B6,B6/100)-(1-E6)</f>
        <v>-0.0798916666666667</v>
      </c>
      <c r="H6" s="40" t="n">
        <f aca="false">IF(AND(F6&gt;=Coefficients!$B$39,G6&gt;0),MIN(Coefficients!$B$38,Coefficients!$B$37*G6/IF(B6&lt;0,100/-B6,B6/100))*Coefficients!$B$40,0)</f>
        <v>0</v>
      </c>
      <c r="I6" s="5" t="str">
        <f aca="false">IF(H6&gt;0,"BET","pass - no edge worth the variance")</f>
        <v>pass - no edge worth the variance</v>
      </c>
    </row>
    <row r="7" customFormat="false" ht="15" hidden="false" customHeight="false" outlineLevel="0" collapsed="false">
      <c r="A7" s="4" t="s">
        <v>257</v>
      </c>
      <c r="B7" s="36" t="n">
        <v>-110</v>
      </c>
      <c r="C7" s="36" t="n">
        <v>-110</v>
      </c>
      <c r="D7" s="37" t="n">
        <f aca="false">IF(B7&lt;0,-B7/(-B7+100),100/(B7+100))/(IF(B7&lt;0,-B7/(-B7+100),100/(B7+100))+IF(C7&lt;0,-C7/(-C7+100),100/(C7+100)))</f>
        <v>0.5</v>
      </c>
      <c r="E7" s="38" t="n">
        <f aca="false">COUNTIF(Simulations!$V$4:$V$3003,"&gt;"&amp;-$B$11)/(COUNT(Simulations!$V$4:$V$3003)-COUNTIF(Simulations!$V$4:$V$3003,-$B$11))</f>
        <v>0.506105834464043</v>
      </c>
      <c r="F7" s="35" t="n">
        <f aca="false">E7-D7</f>
        <v>0.00610583446404345</v>
      </c>
      <c r="G7" s="39" t="n">
        <f aca="false">E7*IF(B7&lt;0,100/-B7,B7/100)-(1-E7)</f>
        <v>-0.0337979523868262</v>
      </c>
      <c r="H7" s="40" t="n">
        <f aca="false">IF(AND(F7&gt;=Coefficients!$B$39,G7&gt;0),MIN(Coefficients!$B$38,Coefficients!$B$37*G7/IF(B7&lt;0,100/-B7,B7/100))*Coefficients!$B$40,0)</f>
        <v>0</v>
      </c>
      <c r="I7" s="5" t="str">
        <f aca="false">IF(H7&gt;0,"BET","pass - no edge worth the variance")</f>
        <v>pass - no edge worth the variance</v>
      </c>
    </row>
    <row r="8" customFormat="false" ht="15" hidden="false" customHeight="false" outlineLevel="0" collapsed="false">
      <c r="A8" s="4" t="s">
        <v>258</v>
      </c>
      <c r="B8" s="36" t="n">
        <v>-110</v>
      </c>
      <c r="C8" s="36" t="n">
        <v>-110</v>
      </c>
      <c r="D8" s="37" t="n">
        <f aca="false">IF(B8&lt;0,-B8/(-B8+100),100/(B8+100))/(IF(B8&lt;0,-B8/(-B8+100),100/(B8+100))+IF(C8&lt;0,-C8/(-C8+100),100/(C8+100)))</f>
        <v>0.5</v>
      </c>
      <c r="E8" s="38" t="n">
        <f aca="false">COUNTIF(Simulations!$V$4:$V$3003,"&lt;"&amp;-$B$11)/(COUNT(Simulations!$V$4:$V$3003)-COUNTIF(Simulations!$V$4:$V$3003,-$B$11))</f>
        <v>0.493894165535957</v>
      </c>
      <c r="F8" s="35" t="n">
        <f aca="false">E8-D8</f>
        <v>-0.00610583446404345</v>
      </c>
      <c r="G8" s="39" t="n">
        <f aca="false">E8*IF(B8&lt;0,100/-B8,B8/100)-(1-E8)</f>
        <v>-0.0571111385222648</v>
      </c>
      <c r="H8" s="40" t="n">
        <f aca="false">IF(AND(F8&gt;=Coefficients!$B$39,G8&gt;0),MIN(Coefficients!$B$38,Coefficients!$B$37*G8/IF(B8&lt;0,100/-B8,B8/100))*Coefficients!$B$40,0)</f>
        <v>0</v>
      </c>
      <c r="I8" s="5" t="str">
        <f aca="false">IF(H8&gt;0,"BET","pass - no edge worth the variance")</f>
        <v>pass - no edge worth the variance</v>
      </c>
    </row>
    <row r="9" customFormat="false" ht="15" hidden="false" customHeight="false" outlineLevel="0" collapsed="false">
      <c r="A9" s="4" t="s">
        <v>259</v>
      </c>
      <c r="B9" s="36" t="n">
        <v>-110</v>
      </c>
      <c r="C9" s="36" t="n">
        <v>-110</v>
      </c>
      <c r="D9" s="37" t="n">
        <f aca="false">IF(B9&lt;0,-B9/(-B9+100),100/(B9+100))/(IF(B9&lt;0,-B9/(-B9+100),100/(B9+100))+IF(C9&lt;0,-C9/(-C9+100),100/(C9+100)))</f>
        <v>0.5</v>
      </c>
      <c r="E9" s="38" t="n">
        <f aca="false">COUNTIF(Simulations!$W$4:$W$3003,"&gt;"&amp;$B$12)/(COUNT(Simulations!$W$4:$W$3003)-COUNTIF(Simulations!$W$4:$W$3003,$B$12))</f>
        <v>0.53</v>
      </c>
      <c r="F9" s="35" t="n">
        <f aca="false">E9-D9</f>
        <v>0.03</v>
      </c>
      <c r="G9" s="39" t="n">
        <f aca="false">E9*IF(B9&lt;0,100/-B9,B9/100)-(1-E9)</f>
        <v>0.0118181818181818</v>
      </c>
      <c r="H9" s="40" t="n">
        <f aca="false">IF(AND(F9&gt;=Coefficients!$B$39,G9&gt;0),MIN(Coefficients!$B$38,Coefficients!$B$37*G9/IF(B9&lt;0,100/-B9,B9/100))*Coefficients!$B$40,0)</f>
        <v>3.25000000000001</v>
      </c>
      <c r="I9" s="5" t="str">
        <f aca="false">IF(H9&gt;0,"BET","pass - no edge worth the variance")</f>
        <v>BET</v>
      </c>
    </row>
    <row r="10" customFormat="false" ht="15" hidden="false" customHeight="false" outlineLevel="0" collapsed="false">
      <c r="A10" s="4" t="s">
        <v>260</v>
      </c>
      <c r="B10" s="36" t="n">
        <v>-110</v>
      </c>
      <c r="C10" s="36" t="n">
        <v>-110</v>
      </c>
      <c r="D10" s="37" t="n">
        <f aca="false">IF(B10&lt;0,-B10/(-B10+100),100/(B10+100))/(IF(B10&lt;0,-B10/(-B10+100),100/(B10+100))+IF(C10&lt;0,-C10/(-C10+100),100/(C10+100)))</f>
        <v>0.5</v>
      </c>
      <c r="E10" s="38" t="n">
        <f aca="false">COUNTIF(Simulations!$W$4:$W$3003,"&lt;"&amp;$B$12)/(COUNT(Simulations!$W$4:$W$3003)-COUNTIF(Simulations!$W$4:$W$3003,$B$12))</f>
        <v>0.47</v>
      </c>
      <c r="F10" s="35" t="n">
        <f aca="false">E10-D10</f>
        <v>-0.03</v>
      </c>
      <c r="G10" s="39" t="n">
        <f aca="false">E10*IF(B10&lt;0,100/-B10,B10/100)-(1-E10)</f>
        <v>-0.102727272727273</v>
      </c>
      <c r="H10" s="40" t="n">
        <f aca="false">IF(AND(F10&gt;=Coefficients!$B$39,G10&gt;0),MIN(Coefficients!$B$38,Coefficients!$B$37*G10/IF(B10&lt;0,100/-B10,B10/100))*Coefficients!$B$40,0)</f>
        <v>0</v>
      </c>
      <c r="I10" s="5" t="str">
        <f aca="false">IF(H10&gt;0,"BET","pass - no edge worth the variance")</f>
        <v>pass - no edge worth the variance</v>
      </c>
    </row>
    <row r="11" customFormat="false" ht="15" hidden="false" customHeight="false" outlineLevel="0" collapsed="false">
      <c r="A11" s="4" t="s">
        <v>261</v>
      </c>
      <c r="B11" s="41" t="n">
        <v>-2</v>
      </c>
    </row>
    <row r="12" customFormat="false" ht="15" hidden="false" customHeight="false" outlineLevel="0" collapsed="false">
      <c r="A12" s="4" t="s">
        <v>262</v>
      </c>
      <c r="B12" s="9" t="n">
        <v>44.5</v>
      </c>
    </row>
    <row r="14" customFormat="false" ht="15" hidden="false" customHeight="false" outlineLevel="0" collapsed="false">
      <c r="A14" s="5" t="s">
        <v>263</v>
      </c>
    </row>
    <row r="15" customFormat="false" ht="15" hidden="false" customHeight="false" outlineLevel="0" collapsed="false">
      <c r="A15" s="5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3"/>
  </cols>
  <sheetData>
    <row r="1" customFormat="false" ht="24" hidden="false" customHeight="true" outlineLevel="0" collapsed="false">
      <c r="A1" s="1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5" t="s">
        <v>266</v>
      </c>
    </row>
    <row r="3" customFormat="false" ht="15" hidden="false" customHeight="false" outlineLevel="0" collapsed="false">
      <c r="A3" s="6" t="s">
        <v>267</v>
      </c>
      <c r="B3" s="6" t="s">
        <v>268</v>
      </c>
      <c r="C3" s="6" t="s">
        <v>269</v>
      </c>
      <c r="D3" s="6" t="s">
        <v>247</v>
      </c>
      <c r="E3" s="6" t="s">
        <v>270</v>
      </c>
      <c r="F3" s="6" t="s">
        <v>271</v>
      </c>
      <c r="G3" s="6" t="s">
        <v>254</v>
      </c>
      <c r="H3" s="6" t="s">
        <v>272</v>
      </c>
      <c r="I3" s="6" t="s">
        <v>273</v>
      </c>
      <c r="J3" s="6" t="s">
        <v>274</v>
      </c>
      <c r="K3" s="6" t="s">
        <v>275</v>
      </c>
      <c r="L3" s="6" t="s">
        <v>276</v>
      </c>
    </row>
    <row r="4" customFormat="false" ht="15" hidden="false" customHeight="false" outlineLevel="0" collapsed="false">
      <c r="A4" s="21" t="s">
        <v>277</v>
      </c>
      <c r="B4" s="21" t="n">
        <v>1</v>
      </c>
      <c r="C4" s="21" t="s">
        <v>278</v>
      </c>
      <c r="D4" s="21" t="s">
        <v>279</v>
      </c>
      <c r="E4" s="21" t="s">
        <v>280</v>
      </c>
      <c r="F4" s="21" t="n">
        <v>-110</v>
      </c>
      <c r="G4" s="21" t="n">
        <v>25</v>
      </c>
      <c r="H4" s="21" t="n">
        <v>-125</v>
      </c>
      <c r="I4" s="21" t="s">
        <v>281</v>
      </c>
      <c r="J4" s="42" t="n">
        <f aca="false">IF(I4="","",IF(I4="P",0,IF(I4="W",G4*IF(F4&lt;0,100/-F4,F4/100),-G4)))</f>
        <v>22.7272727272727</v>
      </c>
      <c r="K4" s="43" t="n">
        <f aca="false">IF(OR(F4="",H4=""),"",IF(F4&lt;0,-F4/(-F4+100),100/(F4+100))*-1+IF(H4&lt;0,-H4/(-H4+100),100/(H4+100)))</f>
        <v>0.0317460317460317</v>
      </c>
      <c r="L4" s="42" t="n">
        <f aca="false">IF(J4="","",SUM($J$4:J4))</f>
        <v>22.7272727272727</v>
      </c>
    </row>
    <row r="5" customFormat="false" ht="15" hidden="false" customHeight="false" outlineLevel="0" collapsed="false">
      <c r="A5" s="21"/>
      <c r="B5" s="21"/>
      <c r="C5" s="21"/>
      <c r="D5" s="21"/>
      <c r="E5" s="21"/>
      <c r="F5" s="21"/>
      <c r="G5" s="21"/>
      <c r="H5" s="21"/>
      <c r="I5" s="21"/>
      <c r="J5" s="42" t="str">
        <f aca="false">IF(I5="","",IF(I5="P",0,IF(I5="W",G5*IF(F5&lt;0,100/-F5,F5/100),-G5)))</f>
        <v/>
      </c>
      <c r="K5" s="43" t="str">
        <f aca="false">IF(OR(F5="",H5=""),"",IF(F5&lt;0,-F5/(-F5+100),100/(F5+100))*-1+IF(H5&lt;0,-H5/(-H5+100),100/(H5+100)))</f>
        <v/>
      </c>
      <c r="L5" s="42" t="str">
        <f aca="false">IF(J5="","",SUM($J$4:J5))</f>
        <v/>
      </c>
    </row>
    <row r="6" customFormat="false" ht="15" hidden="false" customHeight="false" outlineLevel="0" collapsed="false">
      <c r="A6" s="21"/>
      <c r="B6" s="21"/>
      <c r="C6" s="21"/>
      <c r="D6" s="21"/>
      <c r="E6" s="21"/>
      <c r="F6" s="21"/>
      <c r="G6" s="21"/>
      <c r="H6" s="21"/>
      <c r="I6" s="21"/>
      <c r="J6" s="42" t="str">
        <f aca="false">IF(I6="","",IF(I6="P",0,IF(I6="W",G6*IF(F6&lt;0,100/-F6,F6/100),-G6)))</f>
        <v/>
      </c>
      <c r="K6" s="43" t="str">
        <f aca="false">IF(OR(F6="",H6=""),"",IF(F6&lt;0,-F6/(-F6+100),100/(F6+100))*-1+IF(H6&lt;0,-H6/(-H6+100),100/(H6+100)))</f>
        <v/>
      </c>
      <c r="L6" s="42" t="str">
        <f aca="false">IF(J6="","",SUM($J$4:J6))</f>
        <v/>
      </c>
    </row>
    <row r="7" customFormat="false" ht="15" hidden="false" customHeight="false" outlineLevel="0" collapsed="false">
      <c r="A7" s="21"/>
      <c r="B7" s="21"/>
      <c r="C7" s="21"/>
      <c r="D7" s="21"/>
      <c r="E7" s="21"/>
      <c r="F7" s="21"/>
      <c r="G7" s="21"/>
      <c r="H7" s="21"/>
      <c r="I7" s="21"/>
      <c r="J7" s="42" t="str">
        <f aca="false">IF(I7="","",IF(I7="P",0,IF(I7="W",G7*IF(F7&lt;0,100/-F7,F7/100),-G7)))</f>
        <v/>
      </c>
      <c r="K7" s="43" t="str">
        <f aca="false">IF(OR(F7="",H7=""),"",IF(F7&lt;0,-F7/(-F7+100),100/(F7+100))*-1+IF(H7&lt;0,-H7/(-H7+100),100/(H7+100)))</f>
        <v/>
      </c>
      <c r="L7" s="42" t="str">
        <f aca="false">IF(J7="","",SUM($J$4:J7))</f>
        <v/>
      </c>
    </row>
    <row r="8" customFormat="false" ht="15" hidden="false" customHeight="false" outlineLevel="0" collapsed="false">
      <c r="A8" s="21"/>
      <c r="B8" s="21"/>
      <c r="C8" s="21"/>
      <c r="D8" s="21"/>
      <c r="E8" s="21"/>
      <c r="F8" s="21"/>
      <c r="G8" s="21"/>
      <c r="H8" s="21"/>
      <c r="I8" s="21"/>
      <c r="J8" s="42" t="str">
        <f aca="false">IF(I8="","",IF(I8="P",0,IF(I8="W",G8*IF(F8&lt;0,100/-F8,F8/100),-G8)))</f>
        <v/>
      </c>
      <c r="K8" s="43" t="str">
        <f aca="false">IF(OR(F8="",H8=""),"",IF(F8&lt;0,-F8/(-F8+100),100/(F8+100))*-1+IF(H8&lt;0,-H8/(-H8+100),100/(H8+100)))</f>
        <v/>
      </c>
      <c r="L8" s="42" t="str">
        <f aca="false">IF(J8="","",SUM($J$4:J8))</f>
        <v/>
      </c>
    </row>
    <row r="9" customFormat="false" ht="15" hidden="false" customHeight="fals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42" t="str">
        <f aca="false">IF(I9="","",IF(I9="P",0,IF(I9="W",G9*IF(F9&lt;0,100/-F9,F9/100),-G9)))</f>
        <v/>
      </c>
      <c r="K9" s="43" t="str">
        <f aca="false">IF(OR(F9="",H9=""),"",IF(F9&lt;0,-F9/(-F9+100),100/(F9+100))*-1+IF(H9&lt;0,-H9/(-H9+100),100/(H9+100)))</f>
        <v/>
      </c>
      <c r="L9" s="42" t="str">
        <f aca="false">IF(J9="","",SUM($J$4:J9))</f>
        <v/>
      </c>
    </row>
    <row r="10" customFormat="false" ht="15" hidden="false" customHeight="false" outlineLevel="0" collapsed="false">
      <c r="A10" s="21"/>
      <c r="B10" s="21"/>
      <c r="C10" s="21"/>
      <c r="D10" s="21"/>
      <c r="E10" s="21"/>
      <c r="F10" s="21"/>
      <c r="G10" s="21"/>
      <c r="H10" s="21"/>
      <c r="I10" s="21"/>
      <c r="J10" s="42" t="str">
        <f aca="false">IF(I10="","",IF(I10="P",0,IF(I10="W",G10*IF(F10&lt;0,100/-F10,F10/100),-G10)))</f>
        <v/>
      </c>
      <c r="K10" s="43" t="str">
        <f aca="false">IF(OR(F10="",H10=""),"",IF(F10&lt;0,-F10/(-F10+100),100/(F10+100))*-1+IF(H10&lt;0,-H10/(-H10+100),100/(H10+100)))</f>
        <v/>
      </c>
      <c r="L10" s="42" t="str">
        <f aca="false">IF(J10="","",SUM($J$4:J10))</f>
        <v/>
      </c>
    </row>
    <row r="11" customFormat="false" ht="15" hidden="false" customHeight="fals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42" t="str">
        <f aca="false">IF(I11="","",IF(I11="P",0,IF(I11="W",G11*IF(F11&lt;0,100/-F11,F11/100),-G11)))</f>
        <v/>
      </c>
      <c r="K11" s="43" t="str">
        <f aca="false">IF(OR(F11="",H11=""),"",IF(F11&lt;0,-F11/(-F11+100),100/(F11+100))*-1+IF(H11&lt;0,-H11/(-H11+100),100/(H11+100)))</f>
        <v/>
      </c>
      <c r="L11" s="42" t="str">
        <f aca="false">IF(J11="","",SUM($J$4:J11))</f>
        <v/>
      </c>
    </row>
    <row r="12" customFormat="false" ht="15" hidden="false" customHeight="false" outlineLevel="0" collapsed="false">
      <c r="A12" s="21"/>
      <c r="B12" s="21"/>
      <c r="C12" s="21"/>
      <c r="D12" s="21"/>
      <c r="E12" s="21"/>
      <c r="F12" s="21"/>
      <c r="G12" s="21"/>
      <c r="H12" s="21"/>
      <c r="I12" s="21"/>
      <c r="J12" s="42" t="str">
        <f aca="false">IF(I12="","",IF(I12="P",0,IF(I12="W",G12*IF(F12&lt;0,100/-F12,F12/100),-G12)))</f>
        <v/>
      </c>
      <c r="K12" s="43" t="str">
        <f aca="false">IF(OR(F12="",H12=""),"",IF(F12&lt;0,-F12/(-F12+100),100/(F12+100))*-1+IF(H12&lt;0,-H12/(-H12+100),100/(H12+100)))</f>
        <v/>
      </c>
      <c r="L12" s="42" t="str">
        <f aca="false">IF(J12="","",SUM($J$4:J12))</f>
        <v/>
      </c>
    </row>
    <row r="13" customFormat="false" ht="15" hidden="false" customHeight="false" outlineLevel="0" collapsed="false">
      <c r="A13" s="21"/>
      <c r="B13" s="21"/>
      <c r="C13" s="21"/>
      <c r="D13" s="21"/>
      <c r="E13" s="21"/>
      <c r="F13" s="21"/>
      <c r="G13" s="21"/>
      <c r="H13" s="21"/>
      <c r="I13" s="21"/>
      <c r="J13" s="42" t="str">
        <f aca="false">IF(I13="","",IF(I13="P",0,IF(I13="W",G13*IF(F13&lt;0,100/-F13,F13/100),-G13)))</f>
        <v/>
      </c>
      <c r="K13" s="43" t="str">
        <f aca="false">IF(OR(F13="",H13=""),"",IF(F13&lt;0,-F13/(-F13+100),100/(F13+100))*-1+IF(H13&lt;0,-H13/(-H13+100),100/(H13+100)))</f>
        <v/>
      </c>
      <c r="L13" s="42" t="str">
        <f aca="false">IF(J13="","",SUM($J$4:J13))</f>
        <v/>
      </c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1"/>
      <c r="G14" s="21"/>
      <c r="H14" s="21"/>
      <c r="I14" s="21"/>
      <c r="J14" s="42" t="str">
        <f aca="false">IF(I14="","",IF(I14="P",0,IF(I14="W",G14*IF(F14&lt;0,100/-F14,F14/100),-G14)))</f>
        <v/>
      </c>
      <c r="K14" s="43" t="str">
        <f aca="false">IF(OR(F14="",H14=""),"",IF(F14&lt;0,-F14/(-F14+100),100/(F14+100))*-1+IF(H14&lt;0,-H14/(-H14+100),100/(H14+100)))</f>
        <v/>
      </c>
      <c r="L14" s="42" t="str">
        <f aca="false">IF(J14="","",SUM($J$4:J14))</f>
        <v/>
      </c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42" t="str">
        <f aca="false">IF(I15="","",IF(I15="P",0,IF(I15="W",G15*IF(F15&lt;0,100/-F15,F15/100),-G15)))</f>
        <v/>
      </c>
      <c r="K15" s="43" t="str">
        <f aca="false">IF(OR(F15="",H15=""),"",IF(F15&lt;0,-F15/(-F15+100),100/(F15+100))*-1+IF(H15&lt;0,-H15/(-H15+100),100/(H15+100)))</f>
        <v/>
      </c>
      <c r="L15" s="42" t="str">
        <f aca="false">IF(J15="","",SUM($J$4:J15))</f>
        <v/>
      </c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1"/>
      <c r="G16" s="21"/>
      <c r="H16" s="21"/>
      <c r="I16" s="21"/>
      <c r="J16" s="42" t="str">
        <f aca="false">IF(I16="","",IF(I16="P",0,IF(I16="W",G16*IF(F16&lt;0,100/-F16,F16/100),-G16)))</f>
        <v/>
      </c>
      <c r="K16" s="43" t="str">
        <f aca="false">IF(OR(F16="",H16=""),"",IF(F16&lt;0,-F16/(-F16+100),100/(F16+100))*-1+IF(H16&lt;0,-H16/(-H16+100),100/(H16+100)))</f>
        <v/>
      </c>
      <c r="L16" s="42" t="str">
        <f aca="false">IF(J16="","",SUM($J$4:J16))</f>
        <v/>
      </c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42" t="str">
        <f aca="false">IF(I17="","",IF(I17="P",0,IF(I17="W",G17*IF(F17&lt;0,100/-F17,F17/100),-G17)))</f>
        <v/>
      </c>
      <c r="K17" s="43" t="str">
        <f aca="false">IF(OR(F17="",H17=""),"",IF(F17&lt;0,-F17/(-F17+100),100/(F17+100))*-1+IF(H17&lt;0,-H17/(-H17+100),100/(H17+100)))</f>
        <v/>
      </c>
      <c r="L17" s="42" t="str">
        <f aca="false">IF(J17="","",SUM($J$4:J17))</f>
        <v/>
      </c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42" t="str">
        <f aca="false">IF(I18="","",IF(I18="P",0,IF(I18="W",G18*IF(F18&lt;0,100/-F18,F18/100),-G18)))</f>
        <v/>
      </c>
      <c r="K18" s="43" t="str">
        <f aca="false">IF(OR(F18="",H18=""),"",IF(F18&lt;0,-F18/(-F18+100),100/(F18+100))*-1+IF(H18&lt;0,-H18/(-H18+100),100/(H18+100)))</f>
        <v/>
      </c>
      <c r="L18" s="42" t="str">
        <f aca="false">IF(J18="","",SUM($J$4:J18))</f>
        <v/>
      </c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42" t="str">
        <f aca="false">IF(I19="","",IF(I19="P",0,IF(I19="W",G19*IF(F19&lt;0,100/-F19,F19/100),-G19)))</f>
        <v/>
      </c>
      <c r="K19" s="43" t="str">
        <f aca="false">IF(OR(F19="",H19=""),"",IF(F19&lt;0,-F19/(-F19+100),100/(F19+100))*-1+IF(H19&lt;0,-H19/(-H19+100),100/(H19+100)))</f>
        <v/>
      </c>
      <c r="L19" s="42" t="str">
        <f aca="false">IF(J19="","",SUM($J$4:J19))</f>
        <v/>
      </c>
    </row>
    <row r="20" customFormat="false" ht="15" hidden="false" customHeight="false" outlineLevel="0" collapsed="false">
      <c r="A20" s="21"/>
      <c r="B20" s="21"/>
      <c r="C20" s="21"/>
      <c r="D20" s="21"/>
      <c r="E20" s="21"/>
      <c r="F20" s="21"/>
      <c r="G20" s="21"/>
      <c r="H20" s="21"/>
      <c r="I20" s="21"/>
      <c r="J20" s="42" t="str">
        <f aca="false">IF(I20="","",IF(I20="P",0,IF(I20="W",G20*IF(F20&lt;0,100/-F20,F20/100),-G20)))</f>
        <v/>
      </c>
      <c r="K20" s="43" t="str">
        <f aca="false">IF(OR(F20="",H20=""),"",IF(F20&lt;0,-F20/(-F20+100),100/(F20+100))*-1+IF(H20&lt;0,-H20/(-H20+100),100/(H20+100)))</f>
        <v/>
      </c>
      <c r="L20" s="42" t="str">
        <f aca="false">IF(J20="","",SUM($J$4:J20))</f>
        <v/>
      </c>
    </row>
    <row r="21" customFormat="false" ht="15" hidden="false" customHeight="fals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42" t="str">
        <f aca="false">IF(I21="","",IF(I21="P",0,IF(I21="W",G21*IF(F21&lt;0,100/-F21,F21/100),-G21)))</f>
        <v/>
      </c>
      <c r="K21" s="43" t="str">
        <f aca="false">IF(OR(F21="",H21=""),"",IF(F21&lt;0,-F21/(-F21+100),100/(F21+100))*-1+IF(H21&lt;0,-H21/(-H21+100),100/(H21+100)))</f>
        <v/>
      </c>
      <c r="L21" s="42" t="str">
        <f aca="false">IF(J21="","",SUM($J$4:J21))</f>
        <v/>
      </c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1"/>
      <c r="G22" s="21"/>
      <c r="H22" s="21"/>
      <c r="I22" s="21"/>
      <c r="J22" s="42" t="str">
        <f aca="false">IF(I22="","",IF(I22="P",0,IF(I22="W",G22*IF(F22&lt;0,100/-F22,F22/100),-G22)))</f>
        <v/>
      </c>
      <c r="K22" s="43" t="str">
        <f aca="false">IF(OR(F22="",H22=""),"",IF(F22&lt;0,-F22/(-F22+100),100/(F22+100))*-1+IF(H22&lt;0,-H22/(-H22+100),100/(H22+100)))</f>
        <v/>
      </c>
      <c r="L22" s="42" t="str">
        <f aca="false">IF(J22="","",SUM($J$4:J22))</f>
        <v/>
      </c>
    </row>
    <row r="23" customFormat="false" ht="15" hidden="false" customHeight="fals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42" t="str">
        <f aca="false">IF(I23="","",IF(I23="P",0,IF(I23="W",G23*IF(F23&lt;0,100/-F23,F23/100),-G23)))</f>
        <v/>
      </c>
      <c r="K23" s="43" t="str">
        <f aca="false">IF(OR(F23="",H23=""),"",IF(F23&lt;0,-F23/(-F23+100),100/(F23+100))*-1+IF(H23&lt;0,-H23/(-H23+100),100/(H23+100)))</f>
        <v/>
      </c>
      <c r="L23" s="42" t="str">
        <f aca="false">IF(J23="","",SUM($J$4:J23))</f>
        <v/>
      </c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1"/>
      <c r="G24" s="21"/>
      <c r="H24" s="21"/>
      <c r="I24" s="21"/>
      <c r="J24" s="42" t="str">
        <f aca="false">IF(I24="","",IF(I24="P",0,IF(I24="W",G24*IF(F24&lt;0,100/-F24,F24/100),-G24)))</f>
        <v/>
      </c>
      <c r="K24" s="43" t="str">
        <f aca="false">IF(OR(F24="",H24=""),"",IF(F24&lt;0,-F24/(-F24+100),100/(F24+100))*-1+IF(H24&lt;0,-H24/(-H24+100),100/(H24+100)))</f>
        <v/>
      </c>
      <c r="L24" s="42" t="str">
        <f aca="false">IF(J24="","",SUM($J$4:J24))</f>
        <v/>
      </c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42" t="str">
        <f aca="false">IF(I25="","",IF(I25="P",0,IF(I25="W",G25*IF(F25&lt;0,100/-F25,F25/100),-G25)))</f>
        <v/>
      </c>
      <c r="K25" s="43" t="str">
        <f aca="false">IF(OR(F25="",H25=""),"",IF(F25&lt;0,-F25/(-F25+100),100/(F25+100))*-1+IF(H25&lt;0,-H25/(-H25+100),100/(H25+100)))</f>
        <v/>
      </c>
      <c r="L25" s="42" t="str">
        <f aca="false">IF(J25="","",SUM($J$4:J25))</f>
        <v/>
      </c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21"/>
      <c r="H26" s="21"/>
      <c r="I26" s="21"/>
      <c r="J26" s="42" t="str">
        <f aca="false">IF(I26="","",IF(I26="P",0,IF(I26="W",G26*IF(F26&lt;0,100/-F26,F26/100),-G26)))</f>
        <v/>
      </c>
      <c r="K26" s="43" t="str">
        <f aca="false">IF(OR(F26="",H26=""),"",IF(F26&lt;0,-F26/(-F26+100),100/(F26+100))*-1+IF(H26&lt;0,-H26/(-H26+100),100/(H26+100)))</f>
        <v/>
      </c>
      <c r="L26" s="42" t="str">
        <f aca="false">IF(J26="","",SUM($J$4:J26))</f>
        <v/>
      </c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42" t="str">
        <f aca="false">IF(I27="","",IF(I27="P",0,IF(I27="W",G27*IF(F27&lt;0,100/-F27,F27/100),-G27)))</f>
        <v/>
      </c>
      <c r="K27" s="43" t="str">
        <f aca="false">IF(OR(F27="",H27=""),"",IF(F27&lt;0,-F27/(-F27+100),100/(F27+100))*-1+IF(H27&lt;0,-H27/(-H27+100),100/(H27+100)))</f>
        <v/>
      </c>
      <c r="L27" s="42" t="str">
        <f aca="false">IF(J27="","",SUM($J$4:J27))</f>
        <v/>
      </c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1"/>
      <c r="G28" s="21"/>
      <c r="H28" s="21"/>
      <c r="I28" s="21"/>
      <c r="J28" s="42" t="str">
        <f aca="false">IF(I28="","",IF(I28="P",0,IF(I28="W",G28*IF(F28&lt;0,100/-F28,F28/100),-G28)))</f>
        <v/>
      </c>
      <c r="K28" s="43" t="str">
        <f aca="false">IF(OR(F28="",H28=""),"",IF(F28&lt;0,-F28/(-F28+100),100/(F28+100))*-1+IF(H28&lt;0,-H28/(-H28+100),100/(H28+100)))</f>
        <v/>
      </c>
      <c r="L28" s="42" t="str">
        <f aca="false">IF(J28="","",SUM($J$4:J28))</f>
        <v/>
      </c>
    </row>
    <row r="29" customFormat="false" ht="15" hidden="false" customHeight="fals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42" t="str">
        <f aca="false">IF(I29="","",IF(I29="P",0,IF(I29="W",G29*IF(F29&lt;0,100/-F29,F29/100),-G29)))</f>
        <v/>
      </c>
      <c r="K29" s="43" t="str">
        <f aca="false">IF(OR(F29="",H29=""),"",IF(F29&lt;0,-F29/(-F29+100),100/(F29+100))*-1+IF(H29&lt;0,-H29/(-H29+100),100/(H29+100)))</f>
        <v/>
      </c>
      <c r="L29" s="42" t="str">
        <f aca="false">IF(J29="","",SUM($J$4:J29))</f>
        <v/>
      </c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1"/>
      <c r="G30" s="21"/>
      <c r="H30" s="21"/>
      <c r="I30" s="21"/>
      <c r="J30" s="42" t="str">
        <f aca="false">IF(I30="","",IF(I30="P",0,IF(I30="W",G30*IF(F30&lt;0,100/-F30,F30/100),-G30)))</f>
        <v/>
      </c>
      <c r="K30" s="43" t="str">
        <f aca="false">IF(OR(F30="",H30=""),"",IF(F30&lt;0,-F30/(-F30+100),100/(F30+100))*-1+IF(H30&lt;0,-H30/(-H30+100),100/(H30+100)))</f>
        <v/>
      </c>
      <c r="L30" s="42" t="str">
        <f aca="false">IF(J30="","",SUM($J$4:J30))</f>
        <v/>
      </c>
    </row>
    <row r="31" customFormat="false" ht="15" hidden="false" customHeight="fals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42" t="str">
        <f aca="false">IF(I31="","",IF(I31="P",0,IF(I31="W",G31*IF(F31&lt;0,100/-F31,F31/100),-G31)))</f>
        <v/>
      </c>
      <c r="K31" s="43" t="str">
        <f aca="false">IF(OR(F31="",H31=""),"",IF(F31&lt;0,-F31/(-F31+100),100/(F31+100))*-1+IF(H31&lt;0,-H31/(-H31+100),100/(H31+100)))</f>
        <v/>
      </c>
      <c r="L31" s="42" t="str">
        <f aca="false">IF(J31="","",SUM($J$4:J31))</f>
        <v/>
      </c>
    </row>
    <row r="32" customFormat="false" ht="15" hidden="false" customHeight="false" outlineLevel="0" collapsed="false">
      <c r="A32" s="21"/>
      <c r="B32" s="21"/>
      <c r="C32" s="21"/>
      <c r="D32" s="21"/>
      <c r="E32" s="21"/>
      <c r="F32" s="21"/>
      <c r="G32" s="21"/>
      <c r="H32" s="21"/>
      <c r="I32" s="21"/>
      <c r="J32" s="42" t="str">
        <f aca="false">IF(I32="","",IF(I32="P",0,IF(I32="W",G32*IF(F32&lt;0,100/-F32,F32/100),-G32)))</f>
        <v/>
      </c>
      <c r="K32" s="43" t="str">
        <f aca="false">IF(OR(F32="",H32=""),"",IF(F32&lt;0,-F32/(-F32+100),100/(F32+100))*-1+IF(H32&lt;0,-H32/(-H32+100),100/(H32+100)))</f>
        <v/>
      </c>
      <c r="L32" s="42" t="str">
        <f aca="false">IF(J32="","",SUM($J$4:J32))</f>
        <v/>
      </c>
    </row>
    <row r="33" customFormat="false" ht="15" hidden="false" customHeight="fals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42" t="str">
        <f aca="false">IF(I33="","",IF(I33="P",0,IF(I33="W",G33*IF(F33&lt;0,100/-F33,F33/100),-G33)))</f>
        <v/>
      </c>
      <c r="K33" s="43" t="str">
        <f aca="false">IF(OR(F33="",H33=""),"",IF(F33&lt;0,-F33/(-F33+100),100/(F33+100))*-1+IF(H33&lt;0,-H33/(-H33+100),100/(H33+100)))</f>
        <v/>
      </c>
      <c r="L33" s="42" t="str">
        <f aca="false">IF(J33="","",SUM($J$4:J33))</f>
        <v/>
      </c>
    </row>
    <row r="34" customFormat="false" ht="15" hidden="false" customHeight="false" outlineLevel="0" collapsed="false">
      <c r="A34" s="21"/>
      <c r="B34" s="21"/>
      <c r="C34" s="21"/>
      <c r="D34" s="21"/>
      <c r="E34" s="21"/>
      <c r="F34" s="21"/>
      <c r="G34" s="21"/>
      <c r="H34" s="21"/>
      <c r="I34" s="21"/>
      <c r="J34" s="42" t="str">
        <f aca="false">IF(I34="","",IF(I34="P",0,IF(I34="W",G34*IF(F34&lt;0,100/-F34,F34/100),-G34)))</f>
        <v/>
      </c>
      <c r="K34" s="43" t="str">
        <f aca="false">IF(OR(F34="",H34=""),"",IF(F34&lt;0,-F34/(-F34+100),100/(F34+100))*-1+IF(H34&lt;0,-H34/(-H34+100),100/(H34+100)))</f>
        <v/>
      </c>
      <c r="L34" s="42" t="str">
        <f aca="false">IF(J34="","",SUM($J$4:J34))</f>
        <v/>
      </c>
    </row>
    <row r="35" customFormat="false" ht="15" hidden="false" customHeight="fals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42" t="str">
        <f aca="false">IF(I35="","",IF(I35="P",0,IF(I35="W",G35*IF(F35&lt;0,100/-F35,F35/100),-G35)))</f>
        <v/>
      </c>
      <c r="K35" s="43" t="str">
        <f aca="false">IF(OR(F35="",H35=""),"",IF(F35&lt;0,-F35/(-F35+100),100/(F35+100))*-1+IF(H35&lt;0,-H35/(-H35+100),100/(H35+100)))</f>
        <v/>
      </c>
      <c r="L35" s="42" t="str">
        <f aca="false">IF(J35="","",SUM($J$4:J35))</f>
        <v/>
      </c>
    </row>
    <row r="36" customFormat="false" ht="15" hidden="false" customHeight="false" outlineLevel="0" collapsed="false">
      <c r="A36" s="21"/>
      <c r="B36" s="21"/>
      <c r="C36" s="21"/>
      <c r="D36" s="21"/>
      <c r="E36" s="21"/>
      <c r="F36" s="21"/>
      <c r="G36" s="21"/>
      <c r="H36" s="21"/>
      <c r="I36" s="21"/>
      <c r="J36" s="42" t="str">
        <f aca="false">IF(I36="","",IF(I36="P",0,IF(I36="W",G36*IF(F36&lt;0,100/-F36,F36/100),-G36)))</f>
        <v/>
      </c>
      <c r="K36" s="43" t="str">
        <f aca="false">IF(OR(F36="",H36=""),"",IF(F36&lt;0,-F36/(-F36+100),100/(F36+100))*-1+IF(H36&lt;0,-H36/(-H36+100),100/(H36+100)))</f>
        <v/>
      </c>
      <c r="L36" s="42" t="str">
        <f aca="false">IF(J36="","",SUM($J$4:J36))</f>
        <v/>
      </c>
    </row>
    <row r="37" customFormat="false" ht="15" hidden="false" customHeight="fals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42" t="str">
        <f aca="false">IF(I37="","",IF(I37="P",0,IF(I37="W",G37*IF(F37&lt;0,100/-F37,F37/100),-G37)))</f>
        <v/>
      </c>
      <c r="K37" s="43" t="str">
        <f aca="false">IF(OR(F37="",H37=""),"",IF(F37&lt;0,-F37/(-F37+100),100/(F37+100))*-1+IF(H37&lt;0,-H37/(-H37+100),100/(H37+100)))</f>
        <v/>
      </c>
      <c r="L37" s="42" t="str">
        <f aca="false">IF(J37="","",SUM($J$4:J37))</f>
        <v/>
      </c>
    </row>
    <row r="38" customFormat="false" ht="15" hidden="false" customHeight="false" outlineLevel="0" collapsed="false">
      <c r="A38" s="21"/>
      <c r="B38" s="21"/>
      <c r="C38" s="21"/>
      <c r="D38" s="21"/>
      <c r="E38" s="21"/>
      <c r="F38" s="21"/>
      <c r="G38" s="21"/>
      <c r="H38" s="21"/>
      <c r="I38" s="21"/>
      <c r="J38" s="42" t="str">
        <f aca="false">IF(I38="","",IF(I38="P",0,IF(I38="W",G38*IF(F38&lt;0,100/-F38,F38/100),-G38)))</f>
        <v/>
      </c>
      <c r="K38" s="43" t="str">
        <f aca="false">IF(OR(F38="",H38=""),"",IF(F38&lt;0,-F38/(-F38+100),100/(F38+100))*-1+IF(H38&lt;0,-H38/(-H38+100),100/(H38+100)))</f>
        <v/>
      </c>
      <c r="L38" s="42" t="str">
        <f aca="false">IF(J38="","",SUM($J$4:J38))</f>
        <v/>
      </c>
    </row>
    <row r="39" customFormat="false" ht="15" hidden="false" customHeight="fals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42" t="str">
        <f aca="false">IF(I39="","",IF(I39="P",0,IF(I39="W",G39*IF(F39&lt;0,100/-F39,F39/100),-G39)))</f>
        <v/>
      </c>
      <c r="K39" s="43" t="str">
        <f aca="false">IF(OR(F39="",H39=""),"",IF(F39&lt;0,-F39/(-F39+100),100/(F39+100))*-1+IF(H39&lt;0,-H39/(-H39+100),100/(H39+100)))</f>
        <v/>
      </c>
      <c r="L39" s="42" t="str">
        <f aca="false">IF(J39="","",SUM($J$4:J39))</f>
        <v/>
      </c>
    </row>
    <row r="40" customFormat="false" ht="15" hidden="false" customHeight="false" outlineLevel="0" collapsed="false">
      <c r="A40" s="21"/>
      <c r="B40" s="21"/>
      <c r="C40" s="21"/>
      <c r="D40" s="21"/>
      <c r="E40" s="21"/>
      <c r="F40" s="21"/>
      <c r="G40" s="21"/>
      <c r="H40" s="21"/>
      <c r="I40" s="21"/>
      <c r="J40" s="42" t="str">
        <f aca="false">IF(I40="","",IF(I40="P",0,IF(I40="W",G40*IF(F40&lt;0,100/-F40,F40/100),-G40)))</f>
        <v/>
      </c>
      <c r="K40" s="43" t="str">
        <f aca="false">IF(OR(F40="",H40=""),"",IF(F40&lt;0,-F40/(-F40+100),100/(F40+100))*-1+IF(H40&lt;0,-H40/(-H40+100),100/(H40+100)))</f>
        <v/>
      </c>
      <c r="L40" s="42" t="str">
        <f aca="false">IF(J40="","",SUM($J$4:J40))</f>
        <v/>
      </c>
    </row>
    <row r="41" customFormat="false" ht="15" hidden="false" customHeight="fals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42" t="str">
        <f aca="false">IF(I41="","",IF(I41="P",0,IF(I41="W",G41*IF(F41&lt;0,100/-F41,F41/100),-G41)))</f>
        <v/>
      </c>
      <c r="K41" s="43" t="str">
        <f aca="false">IF(OR(F41="",H41=""),"",IF(F41&lt;0,-F41/(-F41+100),100/(F41+100))*-1+IF(H41&lt;0,-H41/(-H41+100),100/(H41+100)))</f>
        <v/>
      </c>
      <c r="L41" s="42" t="str">
        <f aca="false">IF(J41="","",SUM($J$4:J41))</f>
        <v/>
      </c>
    </row>
    <row r="42" customFormat="false" ht="15" hidden="false" customHeight="false" outlineLevel="0" collapsed="false">
      <c r="A42" s="21"/>
      <c r="B42" s="21"/>
      <c r="C42" s="21"/>
      <c r="D42" s="21"/>
      <c r="E42" s="21"/>
      <c r="F42" s="21"/>
      <c r="G42" s="21"/>
      <c r="H42" s="21"/>
      <c r="I42" s="21"/>
      <c r="J42" s="42" t="str">
        <f aca="false">IF(I42="","",IF(I42="P",0,IF(I42="W",G42*IF(F42&lt;0,100/-F42,F42/100),-G42)))</f>
        <v/>
      </c>
      <c r="K42" s="43" t="str">
        <f aca="false">IF(OR(F42="",H42=""),"",IF(F42&lt;0,-F42/(-F42+100),100/(F42+100))*-1+IF(H42&lt;0,-H42/(-H42+100),100/(H42+100)))</f>
        <v/>
      </c>
      <c r="L42" s="42" t="str">
        <f aca="false">IF(J42="","",SUM($J$4:J42))</f>
        <v/>
      </c>
    </row>
    <row r="43" customFormat="false" ht="15" hidden="false" customHeight="fals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42" t="str">
        <f aca="false">IF(I43="","",IF(I43="P",0,IF(I43="W",G43*IF(F43&lt;0,100/-F43,F43/100),-G43)))</f>
        <v/>
      </c>
      <c r="K43" s="43" t="str">
        <f aca="false">IF(OR(F43="",H43=""),"",IF(F43&lt;0,-F43/(-F43+100),100/(F43+100))*-1+IF(H43&lt;0,-H43/(-H43+100),100/(H43+100)))</f>
        <v/>
      </c>
      <c r="L43" s="42" t="str">
        <f aca="false">IF(J43="","",SUM($J$4:J43))</f>
        <v/>
      </c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1"/>
      <c r="G44" s="21"/>
      <c r="H44" s="21"/>
      <c r="I44" s="21"/>
      <c r="J44" s="42" t="str">
        <f aca="false">IF(I44="","",IF(I44="P",0,IF(I44="W",G44*IF(F44&lt;0,100/-F44,F44/100),-G44)))</f>
        <v/>
      </c>
      <c r="K44" s="43" t="str">
        <f aca="false">IF(OR(F44="",H44=""),"",IF(F44&lt;0,-F44/(-F44+100),100/(F44+100))*-1+IF(H44&lt;0,-H44/(-H44+100),100/(H44+100)))</f>
        <v/>
      </c>
      <c r="L44" s="42" t="str">
        <f aca="false">IF(J44="","",SUM($J$4:J44))</f>
        <v/>
      </c>
    </row>
    <row r="45" customFormat="false" ht="15" hidden="false" customHeight="fals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42" t="str">
        <f aca="false">IF(I45="","",IF(I45="P",0,IF(I45="W",G45*IF(F45&lt;0,100/-F45,F45/100),-G45)))</f>
        <v/>
      </c>
      <c r="K45" s="43" t="str">
        <f aca="false">IF(OR(F45="",H45=""),"",IF(F45&lt;0,-F45/(-F45+100),100/(F45+100))*-1+IF(H45&lt;0,-H45/(-H45+100),100/(H45+100)))</f>
        <v/>
      </c>
      <c r="L45" s="42" t="str">
        <f aca="false">IF(J45="","",SUM($J$4:J45))</f>
        <v/>
      </c>
    </row>
    <row r="46" customFormat="false" ht="15" hidden="false" customHeight="false" outlineLevel="0" collapsed="false">
      <c r="A46" s="21"/>
      <c r="B46" s="21"/>
      <c r="C46" s="21"/>
      <c r="D46" s="21"/>
      <c r="E46" s="21"/>
      <c r="F46" s="21"/>
      <c r="G46" s="21"/>
      <c r="H46" s="21"/>
      <c r="I46" s="21"/>
      <c r="J46" s="42" t="str">
        <f aca="false">IF(I46="","",IF(I46="P",0,IF(I46="W",G46*IF(F46&lt;0,100/-F46,F46/100),-G46)))</f>
        <v/>
      </c>
      <c r="K46" s="43" t="str">
        <f aca="false">IF(OR(F46="",H46=""),"",IF(F46&lt;0,-F46/(-F46+100),100/(F46+100))*-1+IF(H46&lt;0,-H46/(-H46+100),100/(H46+100)))</f>
        <v/>
      </c>
      <c r="L46" s="42" t="str">
        <f aca="false">IF(J46="","",SUM($J$4:J46))</f>
        <v/>
      </c>
    </row>
    <row r="47" customFormat="false" ht="15" hidden="false" customHeight="fals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42" t="str">
        <f aca="false">IF(I47="","",IF(I47="P",0,IF(I47="W",G47*IF(F47&lt;0,100/-F47,F47/100),-G47)))</f>
        <v/>
      </c>
      <c r="K47" s="43" t="str">
        <f aca="false">IF(OR(F47="",H47=""),"",IF(F47&lt;0,-F47/(-F47+100),100/(F47+100))*-1+IF(H47&lt;0,-H47/(-H47+100),100/(H47+100)))</f>
        <v/>
      </c>
      <c r="L47" s="42" t="str">
        <f aca="false">IF(J47="","",SUM($J$4:J47))</f>
        <v/>
      </c>
    </row>
    <row r="48" customFormat="false" ht="15" hidden="false" customHeight="fals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42" t="str">
        <f aca="false">IF(I48="","",IF(I48="P",0,IF(I48="W",G48*IF(F48&lt;0,100/-F48,F48/100),-G48)))</f>
        <v/>
      </c>
      <c r="K48" s="43" t="str">
        <f aca="false">IF(OR(F48="",H48=""),"",IF(F48&lt;0,-F48/(-F48+100),100/(F48+100))*-1+IF(H48&lt;0,-H48/(-H48+100),100/(H48+100)))</f>
        <v/>
      </c>
      <c r="L48" s="42" t="str">
        <f aca="false">IF(J48="","",SUM($J$4:J48))</f>
        <v/>
      </c>
    </row>
    <row r="49" customFormat="false" ht="15" hidden="false" customHeight="fals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42" t="str">
        <f aca="false">IF(I49="","",IF(I49="P",0,IF(I49="W",G49*IF(F49&lt;0,100/-F49,F49/100),-G49)))</f>
        <v/>
      </c>
      <c r="K49" s="43" t="str">
        <f aca="false">IF(OR(F49="",H49=""),"",IF(F49&lt;0,-F49/(-F49+100),100/(F49+100))*-1+IF(H49&lt;0,-H49/(-H49+100),100/(H49+100)))</f>
        <v/>
      </c>
      <c r="L49" s="42" t="str">
        <f aca="false">IF(J49="","",SUM($J$4:J49))</f>
        <v/>
      </c>
    </row>
    <row r="50" customFormat="false" ht="15" hidden="false" customHeight="fals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42" t="str">
        <f aca="false">IF(I50="","",IF(I50="P",0,IF(I50="W",G50*IF(F50&lt;0,100/-F50,F50/100),-G50)))</f>
        <v/>
      </c>
      <c r="K50" s="43" t="str">
        <f aca="false">IF(OR(F50="",H50=""),"",IF(F50&lt;0,-F50/(-F50+100),100/(F50+100))*-1+IF(H50&lt;0,-H50/(-H50+100),100/(H50+100)))</f>
        <v/>
      </c>
      <c r="L50" s="42" t="str">
        <f aca="false">IF(J50="","",SUM($J$4:J50))</f>
        <v/>
      </c>
    </row>
    <row r="51" customFormat="false" ht="15" hidden="false" customHeight="fals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42" t="str">
        <f aca="false">IF(I51="","",IF(I51="P",0,IF(I51="W",G51*IF(F51&lt;0,100/-F51,F51/100),-G51)))</f>
        <v/>
      </c>
      <c r="K51" s="43" t="str">
        <f aca="false">IF(OR(F51="",H51=""),"",IF(F51&lt;0,-F51/(-F51+100),100/(F51+100))*-1+IF(H51&lt;0,-H51/(-H51+100),100/(H51+100)))</f>
        <v/>
      </c>
      <c r="L51" s="42" t="str">
        <f aca="false">IF(J51="","",SUM($J$4:J51))</f>
        <v/>
      </c>
    </row>
    <row r="52" customFormat="false" ht="15" hidden="false" customHeight="fals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42" t="str">
        <f aca="false">IF(I52="","",IF(I52="P",0,IF(I52="W",G52*IF(F52&lt;0,100/-F52,F52/100),-G52)))</f>
        <v/>
      </c>
      <c r="K52" s="43" t="str">
        <f aca="false">IF(OR(F52="",H52=""),"",IF(F52&lt;0,-F52/(-F52+100),100/(F52+100))*-1+IF(H52&lt;0,-H52/(-H52+100),100/(H52+100)))</f>
        <v/>
      </c>
      <c r="L52" s="42" t="str">
        <f aca="false">IF(J52="","",SUM($J$4:J52))</f>
        <v/>
      </c>
    </row>
    <row r="53" customFormat="false" ht="15" hidden="false" customHeight="fals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42" t="str">
        <f aca="false">IF(I53="","",IF(I53="P",0,IF(I53="W",G53*IF(F53&lt;0,100/-F53,F53/100),-G53)))</f>
        <v/>
      </c>
      <c r="K53" s="43" t="str">
        <f aca="false">IF(OR(F53="",H53=""),"",IF(F53&lt;0,-F53/(-F53+100),100/(F53+100))*-1+IF(H53&lt;0,-H53/(-H53+100),100/(H53+100)))</f>
        <v/>
      </c>
      <c r="L53" s="42" t="str">
        <f aca="false">IF(J53="","",SUM($J$4:J53))</f>
        <v/>
      </c>
    </row>
    <row r="54" customFormat="false" ht="15" hidden="false" customHeight="fals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42" t="str">
        <f aca="false">IF(I54="","",IF(I54="P",0,IF(I54="W",G54*IF(F54&lt;0,100/-F54,F54/100),-G54)))</f>
        <v/>
      </c>
      <c r="K54" s="43" t="str">
        <f aca="false">IF(OR(F54="",H54=""),"",IF(F54&lt;0,-F54/(-F54+100),100/(F54+100))*-1+IF(H54&lt;0,-H54/(-H54+100),100/(H54+100)))</f>
        <v/>
      </c>
      <c r="L54" s="42" t="str">
        <f aca="false">IF(J54="","",SUM($J$4:J54))</f>
        <v/>
      </c>
    </row>
    <row r="55" customFormat="false" ht="15" hidden="false" customHeight="fals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42" t="str">
        <f aca="false">IF(I55="","",IF(I55="P",0,IF(I55="W",G55*IF(F55&lt;0,100/-F55,F55/100),-G55)))</f>
        <v/>
      </c>
      <c r="K55" s="43" t="str">
        <f aca="false">IF(OR(F55="",H55=""),"",IF(F55&lt;0,-F55/(-F55+100),100/(F55+100))*-1+IF(H55&lt;0,-H55/(-H55+100),100/(H55+100)))</f>
        <v/>
      </c>
      <c r="L55" s="42" t="str">
        <f aca="false">IF(J55="","",SUM($J$4:J55))</f>
        <v/>
      </c>
    </row>
    <row r="56" customFormat="false" ht="15" hidden="false" customHeight="fals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42" t="str">
        <f aca="false">IF(I56="","",IF(I56="P",0,IF(I56="W",G56*IF(F56&lt;0,100/-F56,F56/100),-G56)))</f>
        <v/>
      </c>
      <c r="K56" s="43" t="str">
        <f aca="false">IF(OR(F56="",H56=""),"",IF(F56&lt;0,-F56/(-F56+100),100/(F56+100))*-1+IF(H56&lt;0,-H56/(-H56+100),100/(H56+100)))</f>
        <v/>
      </c>
      <c r="L56" s="42" t="str">
        <f aca="false">IF(J56="","",SUM($J$4:J56))</f>
        <v/>
      </c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42" t="str">
        <f aca="false">IF(I57="","",IF(I57="P",0,IF(I57="W",G57*IF(F57&lt;0,100/-F57,F57/100),-G57)))</f>
        <v/>
      </c>
      <c r="K57" s="43" t="str">
        <f aca="false">IF(OR(F57="",H57=""),"",IF(F57&lt;0,-F57/(-F57+100),100/(F57+100))*-1+IF(H57&lt;0,-H57/(-H57+100),100/(H57+100)))</f>
        <v/>
      </c>
      <c r="L57" s="42" t="str">
        <f aca="false">IF(J57="","",SUM($J$4:J57))</f>
        <v/>
      </c>
    </row>
    <row r="58" customFormat="false" ht="15" hidden="false" customHeight="fals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42" t="str">
        <f aca="false">IF(I58="","",IF(I58="P",0,IF(I58="W",G58*IF(F58&lt;0,100/-F58,F58/100),-G58)))</f>
        <v/>
      </c>
      <c r="K58" s="43" t="str">
        <f aca="false">IF(OR(F58="",H58=""),"",IF(F58&lt;0,-F58/(-F58+100),100/(F58+100))*-1+IF(H58&lt;0,-H58/(-H58+100),100/(H58+100)))</f>
        <v/>
      </c>
      <c r="L58" s="42" t="str">
        <f aca="false">IF(J58="","",SUM($J$4:J58))</f>
        <v/>
      </c>
    </row>
    <row r="59" customFormat="false" ht="15" hidden="false" customHeight="fals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42" t="str">
        <f aca="false">IF(I59="","",IF(I59="P",0,IF(I59="W",G59*IF(F59&lt;0,100/-F59,F59/100),-G59)))</f>
        <v/>
      </c>
      <c r="K59" s="43" t="str">
        <f aca="false">IF(OR(F59="",H59=""),"",IF(F59&lt;0,-F59/(-F59+100),100/(F59+100))*-1+IF(H59&lt;0,-H59/(-H59+100),100/(H59+100)))</f>
        <v/>
      </c>
      <c r="L59" s="42" t="str">
        <f aca="false">IF(J59="","",SUM($J$4:J59))</f>
        <v/>
      </c>
    </row>
    <row r="60" customFormat="false" ht="15" hidden="false" customHeight="fals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42" t="str">
        <f aca="false">IF(I60="","",IF(I60="P",0,IF(I60="W",G60*IF(F60&lt;0,100/-F60,F60/100),-G60)))</f>
        <v/>
      </c>
      <c r="K60" s="43" t="str">
        <f aca="false">IF(OR(F60="",H60=""),"",IF(F60&lt;0,-F60/(-F60+100),100/(F60+100))*-1+IF(H60&lt;0,-H60/(-H60+100),100/(H60+100)))</f>
        <v/>
      </c>
      <c r="L60" s="42" t="str">
        <f aca="false">IF(J60="","",SUM($J$4:J60))</f>
        <v/>
      </c>
    </row>
    <row r="61" customFormat="false" ht="15" hidden="false" customHeight="fals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42" t="str">
        <f aca="false">IF(I61="","",IF(I61="P",0,IF(I61="W",G61*IF(F61&lt;0,100/-F61,F61/100),-G61)))</f>
        <v/>
      </c>
      <c r="K61" s="43" t="str">
        <f aca="false">IF(OR(F61="",H61=""),"",IF(F61&lt;0,-F61/(-F61+100),100/(F61+100))*-1+IF(H61&lt;0,-H61/(-H61+100),100/(H61+100)))</f>
        <v/>
      </c>
      <c r="L61" s="42" t="str">
        <f aca="false">IF(J61="","",SUM($J$4:J61))</f>
        <v/>
      </c>
    </row>
    <row r="62" customFormat="false" ht="15" hidden="false" customHeight="fals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42" t="str">
        <f aca="false">IF(I62="","",IF(I62="P",0,IF(I62="W",G62*IF(F62&lt;0,100/-F62,F62/100),-G62)))</f>
        <v/>
      </c>
      <c r="K62" s="43" t="str">
        <f aca="false">IF(OR(F62="",H62=""),"",IF(F62&lt;0,-F62/(-F62+100),100/(F62+100))*-1+IF(H62&lt;0,-H62/(-H62+100),100/(H62+100)))</f>
        <v/>
      </c>
      <c r="L62" s="42" t="str">
        <f aca="false">IF(J62="","",SUM($J$4:J62))</f>
        <v/>
      </c>
    </row>
    <row r="63" customFormat="false" ht="15" hidden="false" customHeight="fals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42" t="str">
        <f aca="false">IF(I63="","",IF(I63="P",0,IF(I63="W",G63*IF(F63&lt;0,100/-F63,F63/100),-G63)))</f>
        <v/>
      </c>
      <c r="K63" s="43" t="str">
        <f aca="false">IF(OR(F63="",H63=""),"",IF(F63&lt;0,-F63/(-F63+100),100/(F63+100))*-1+IF(H63&lt;0,-H63/(-H63+100),100/(H63+100)))</f>
        <v/>
      </c>
      <c r="L63" s="42" t="str">
        <f aca="false">IF(J63="","",SUM($J$4:J63))</f>
        <v/>
      </c>
    </row>
    <row r="64" customFormat="false" ht="15" hidden="false" customHeight="fals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42" t="str">
        <f aca="false">IF(I64="","",IF(I64="P",0,IF(I64="W",G64*IF(F64&lt;0,100/-F64,F64/100),-G64)))</f>
        <v/>
      </c>
      <c r="K64" s="43" t="str">
        <f aca="false">IF(OR(F64="",H64=""),"",IF(F64&lt;0,-F64/(-F64+100),100/(F64+100))*-1+IF(H64&lt;0,-H64/(-H64+100),100/(H64+100)))</f>
        <v/>
      </c>
      <c r="L64" s="42" t="str">
        <f aca="false">IF(J64="","",SUM($J$4:J64))</f>
        <v/>
      </c>
    </row>
    <row r="65" customFormat="false" ht="15" hidden="false" customHeight="fals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42" t="str">
        <f aca="false">IF(I65="","",IF(I65="P",0,IF(I65="W",G65*IF(F65&lt;0,100/-F65,F65/100),-G65)))</f>
        <v/>
      </c>
      <c r="K65" s="43" t="str">
        <f aca="false">IF(OR(F65="",H65=""),"",IF(F65&lt;0,-F65/(-F65+100),100/(F65+100))*-1+IF(H65&lt;0,-H65/(-H65+100),100/(H65+100)))</f>
        <v/>
      </c>
      <c r="L65" s="42" t="str">
        <f aca="false">IF(J65="","",SUM($J$4:J65))</f>
        <v/>
      </c>
    </row>
    <row r="66" customFormat="false" ht="15" hidden="false" customHeight="fals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42" t="str">
        <f aca="false">IF(I66="","",IF(I66="P",0,IF(I66="W",G66*IF(F66&lt;0,100/-F66,F66/100),-G66)))</f>
        <v/>
      </c>
      <c r="K66" s="43" t="str">
        <f aca="false">IF(OR(F66="",H66=""),"",IF(F66&lt;0,-F66/(-F66+100),100/(F66+100))*-1+IF(H66&lt;0,-H66/(-H66+100),100/(H66+100)))</f>
        <v/>
      </c>
      <c r="L66" s="42" t="str">
        <f aca="false">IF(J66="","",SUM($J$4:J66))</f>
        <v/>
      </c>
    </row>
    <row r="67" customFormat="false" ht="15" hidden="false" customHeight="fals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42" t="str">
        <f aca="false">IF(I67="","",IF(I67="P",0,IF(I67="W",G67*IF(F67&lt;0,100/-F67,F67/100),-G67)))</f>
        <v/>
      </c>
      <c r="K67" s="43" t="str">
        <f aca="false">IF(OR(F67="",H67=""),"",IF(F67&lt;0,-F67/(-F67+100),100/(F67+100))*-1+IF(H67&lt;0,-H67/(-H67+100),100/(H67+100)))</f>
        <v/>
      </c>
      <c r="L67" s="42" t="str">
        <f aca="false">IF(J67="","",SUM($J$4:J67))</f>
        <v/>
      </c>
    </row>
    <row r="68" customFormat="false" ht="15" hidden="false" customHeight="fals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42" t="str">
        <f aca="false">IF(I68="","",IF(I68="P",0,IF(I68="W",G68*IF(F68&lt;0,100/-F68,F68/100),-G68)))</f>
        <v/>
      </c>
      <c r="K68" s="43" t="str">
        <f aca="false">IF(OR(F68="",H68=""),"",IF(F68&lt;0,-F68/(-F68+100),100/(F68+100))*-1+IF(H68&lt;0,-H68/(-H68+100),100/(H68+100)))</f>
        <v/>
      </c>
      <c r="L68" s="42" t="str">
        <f aca="false">IF(J68="","",SUM($J$4:J68))</f>
        <v/>
      </c>
    </row>
    <row r="69" customFormat="false" ht="15" hidden="false" customHeight="fals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42" t="str">
        <f aca="false">IF(I69="","",IF(I69="P",0,IF(I69="W",G69*IF(F69&lt;0,100/-F69,F69/100),-G69)))</f>
        <v/>
      </c>
      <c r="K69" s="43" t="str">
        <f aca="false">IF(OR(F69="",H69=""),"",IF(F69&lt;0,-F69/(-F69+100),100/(F69+100))*-1+IF(H69&lt;0,-H69/(-H69+100),100/(H69+100)))</f>
        <v/>
      </c>
      <c r="L69" s="42" t="str">
        <f aca="false">IF(J69="","",SUM($J$4:J69))</f>
        <v/>
      </c>
    </row>
    <row r="70" customFormat="false" ht="15" hidden="false" customHeight="fals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42" t="str">
        <f aca="false">IF(I70="","",IF(I70="P",0,IF(I70="W",G70*IF(F70&lt;0,100/-F70,F70/100),-G70)))</f>
        <v/>
      </c>
      <c r="K70" s="43" t="str">
        <f aca="false">IF(OR(F70="",H70=""),"",IF(F70&lt;0,-F70/(-F70+100),100/(F70+100))*-1+IF(H70&lt;0,-H70/(-H70+100),100/(H70+100)))</f>
        <v/>
      </c>
      <c r="L70" s="42" t="str">
        <f aca="false">IF(J70="","",SUM($J$4:J70))</f>
        <v/>
      </c>
    </row>
    <row r="71" customFormat="false" ht="15" hidden="false" customHeight="fals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42" t="str">
        <f aca="false">IF(I71="","",IF(I71="P",0,IF(I71="W",G71*IF(F71&lt;0,100/-F71,F71/100),-G71)))</f>
        <v/>
      </c>
      <c r="K71" s="43" t="str">
        <f aca="false">IF(OR(F71="",H71=""),"",IF(F71&lt;0,-F71/(-F71+100),100/(F71+100))*-1+IF(H71&lt;0,-H71/(-H71+100),100/(H71+100)))</f>
        <v/>
      </c>
      <c r="L71" s="42" t="str">
        <f aca="false">IF(J71="","",SUM($J$4:J71))</f>
        <v/>
      </c>
    </row>
    <row r="72" customFormat="false" ht="15" hidden="false" customHeight="fals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42" t="str">
        <f aca="false">IF(I72="","",IF(I72="P",0,IF(I72="W",G72*IF(F72&lt;0,100/-F72,F72/100),-G72)))</f>
        <v/>
      </c>
      <c r="K72" s="43" t="str">
        <f aca="false">IF(OR(F72="",H72=""),"",IF(F72&lt;0,-F72/(-F72+100),100/(F72+100))*-1+IF(H72&lt;0,-H72/(-H72+100),100/(H72+100)))</f>
        <v/>
      </c>
      <c r="L72" s="42" t="str">
        <f aca="false">IF(J72="","",SUM($J$4:J72))</f>
        <v/>
      </c>
    </row>
    <row r="73" customFormat="false" ht="15" hidden="false" customHeight="fals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42" t="str">
        <f aca="false">IF(I73="","",IF(I73="P",0,IF(I73="W",G73*IF(F73&lt;0,100/-F73,F73/100),-G73)))</f>
        <v/>
      </c>
      <c r="K73" s="43" t="str">
        <f aca="false">IF(OR(F73="",H73=""),"",IF(F73&lt;0,-F73/(-F73+100),100/(F73+100))*-1+IF(H73&lt;0,-H73/(-H73+100),100/(H73+100)))</f>
        <v/>
      </c>
      <c r="L73" s="42" t="str">
        <f aca="false">IF(J73="","",SUM($J$4:J73))</f>
        <v/>
      </c>
    </row>
    <row r="74" customFormat="false" ht="15" hidden="false" customHeight="false" outlineLevel="0" collapsed="false">
      <c r="A74" s="21"/>
      <c r="B74" s="21"/>
      <c r="C74" s="21"/>
      <c r="D74" s="21"/>
      <c r="E74" s="21"/>
      <c r="F74" s="21"/>
      <c r="G74" s="21"/>
      <c r="H74" s="21"/>
      <c r="I74" s="21"/>
      <c r="J74" s="42" t="str">
        <f aca="false">IF(I74="","",IF(I74="P",0,IF(I74="W",G74*IF(F74&lt;0,100/-F74,F74/100),-G74)))</f>
        <v/>
      </c>
      <c r="K74" s="43" t="str">
        <f aca="false">IF(OR(F74="",H74=""),"",IF(F74&lt;0,-F74/(-F74+100),100/(F74+100))*-1+IF(H74&lt;0,-H74/(-H74+100),100/(H74+100)))</f>
        <v/>
      </c>
      <c r="L74" s="42" t="str">
        <f aca="false">IF(J74="","",SUM($J$4:J74))</f>
        <v/>
      </c>
    </row>
    <row r="75" customFormat="false" ht="15" hidden="false" customHeight="fals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42" t="str">
        <f aca="false">IF(I75="","",IF(I75="P",0,IF(I75="W",G75*IF(F75&lt;0,100/-F75,F75/100),-G75)))</f>
        <v/>
      </c>
      <c r="K75" s="43" t="str">
        <f aca="false">IF(OR(F75="",H75=""),"",IF(F75&lt;0,-F75/(-F75+100),100/(F75+100))*-1+IF(H75&lt;0,-H75/(-H75+100),100/(H75+100)))</f>
        <v/>
      </c>
      <c r="L75" s="42" t="str">
        <f aca="false">IF(J75="","",SUM($J$4:J75))</f>
        <v/>
      </c>
    </row>
    <row r="76" customFormat="false" ht="15" hidden="false" customHeight="false" outlineLevel="0" collapsed="false">
      <c r="A76" s="21"/>
      <c r="B76" s="21"/>
      <c r="C76" s="21"/>
      <c r="D76" s="21"/>
      <c r="E76" s="21"/>
      <c r="F76" s="21"/>
      <c r="G76" s="21"/>
      <c r="H76" s="21"/>
      <c r="I76" s="21"/>
      <c r="J76" s="42" t="str">
        <f aca="false">IF(I76="","",IF(I76="P",0,IF(I76="W",G76*IF(F76&lt;0,100/-F76,F76/100),-G76)))</f>
        <v/>
      </c>
      <c r="K76" s="43" t="str">
        <f aca="false">IF(OR(F76="",H76=""),"",IF(F76&lt;0,-F76/(-F76+100),100/(F76+100))*-1+IF(H76&lt;0,-H76/(-H76+100),100/(H76+100)))</f>
        <v/>
      </c>
      <c r="L76" s="42" t="str">
        <f aca="false">IF(J76="","",SUM($J$4:J76))</f>
        <v/>
      </c>
    </row>
    <row r="77" customFormat="false" ht="15" hidden="false" customHeight="false" outlineLevel="0" collapsed="false">
      <c r="A77" s="21"/>
      <c r="B77" s="21"/>
      <c r="C77" s="21"/>
      <c r="D77" s="21"/>
      <c r="E77" s="21"/>
      <c r="F77" s="21"/>
      <c r="G77" s="21"/>
      <c r="H77" s="21"/>
      <c r="I77" s="21"/>
      <c r="J77" s="42" t="str">
        <f aca="false">IF(I77="","",IF(I77="P",0,IF(I77="W",G77*IF(F77&lt;0,100/-F77,F77/100),-G77)))</f>
        <v/>
      </c>
      <c r="K77" s="43" t="str">
        <f aca="false">IF(OR(F77="",H77=""),"",IF(F77&lt;0,-F77/(-F77+100),100/(F77+100))*-1+IF(H77&lt;0,-H77/(-H77+100),100/(H77+100)))</f>
        <v/>
      </c>
      <c r="L77" s="42" t="str">
        <f aca="false">IF(J77="","",SUM($J$4:J77))</f>
        <v/>
      </c>
    </row>
    <row r="78" customFormat="false" ht="15" hidden="false" customHeight="false" outlineLevel="0" collapsed="false">
      <c r="A78" s="21"/>
      <c r="B78" s="21"/>
      <c r="C78" s="21"/>
      <c r="D78" s="21"/>
      <c r="E78" s="21"/>
      <c r="F78" s="21"/>
      <c r="G78" s="21"/>
      <c r="H78" s="21"/>
      <c r="I78" s="21"/>
      <c r="J78" s="42" t="str">
        <f aca="false">IF(I78="","",IF(I78="P",0,IF(I78="W",G78*IF(F78&lt;0,100/-F78,F78/100),-G78)))</f>
        <v/>
      </c>
      <c r="K78" s="43" t="str">
        <f aca="false">IF(OR(F78="",H78=""),"",IF(F78&lt;0,-F78/(-F78+100),100/(F78+100))*-1+IF(H78&lt;0,-H78/(-H78+100),100/(H78+100)))</f>
        <v/>
      </c>
      <c r="L78" s="42" t="str">
        <f aca="false">IF(J78="","",SUM($J$4:J78))</f>
        <v/>
      </c>
    </row>
    <row r="79" customFormat="false" ht="15" hidden="false" customHeight="fals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42" t="str">
        <f aca="false">IF(I79="","",IF(I79="P",0,IF(I79="W",G79*IF(F79&lt;0,100/-F79,F79/100),-G79)))</f>
        <v/>
      </c>
      <c r="K79" s="43" t="str">
        <f aca="false">IF(OR(F79="",H79=""),"",IF(F79&lt;0,-F79/(-F79+100),100/(F79+100))*-1+IF(H79&lt;0,-H79/(-H79+100),100/(H79+100)))</f>
        <v/>
      </c>
      <c r="L79" s="42" t="str">
        <f aca="false">IF(J79="","",SUM($J$4:J79))</f>
        <v/>
      </c>
    </row>
    <row r="80" customFormat="false" ht="15" hidden="false" customHeight="false" outlineLevel="0" collapsed="false">
      <c r="A80" s="21"/>
      <c r="B80" s="21"/>
      <c r="C80" s="21"/>
      <c r="D80" s="21"/>
      <c r="E80" s="21"/>
      <c r="F80" s="21"/>
      <c r="G80" s="21"/>
      <c r="H80" s="21"/>
      <c r="I80" s="21"/>
      <c r="J80" s="42" t="str">
        <f aca="false">IF(I80="","",IF(I80="P",0,IF(I80="W",G80*IF(F80&lt;0,100/-F80,F80/100),-G80)))</f>
        <v/>
      </c>
      <c r="K80" s="43" t="str">
        <f aca="false">IF(OR(F80="",H80=""),"",IF(F80&lt;0,-F80/(-F80+100),100/(F80+100))*-1+IF(H80&lt;0,-H80/(-H80+100),100/(H80+100)))</f>
        <v/>
      </c>
      <c r="L80" s="42" t="str">
        <f aca="false">IF(J80="","",SUM($J$4:J80))</f>
        <v/>
      </c>
    </row>
    <row r="81" customFormat="false" ht="15" hidden="false" customHeight="fals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42" t="str">
        <f aca="false">IF(I81="","",IF(I81="P",0,IF(I81="W",G81*IF(F81&lt;0,100/-F81,F81/100),-G81)))</f>
        <v/>
      </c>
      <c r="K81" s="43" t="str">
        <f aca="false">IF(OR(F81="",H81=""),"",IF(F81&lt;0,-F81/(-F81+100),100/(F81+100))*-1+IF(H81&lt;0,-H81/(-H81+100),100/(H81+100)))</f>
        <v/>
      </c>
      <c r="L81" s="42" t="str">
        <f aca="false">IF(J81="","",SUM($J$4:J81))</f>
        <v/>
      </c>
    </row>
    <row r="82" customFormat="false" ht="15" hidden="false" customHeight="false" outlineLevel="0" collapsed="false">
      <c r="A82" s="21"/>
      <c r="B82" s="21"/>
      <c r="C82" s="21"/>
      <c r="D82" s="21"/>
      <c r="E82" s="21"/>
      <c r="F82" s="21"/>
      <c r="G82" s="21"/>
      <c r="H82" s="21"/>
      <c r="I82" s="21"/>
      <c r="J82" s="42" t="str">
        <f aca="false">IF(I82="","",IF(I82="P",0,IF(I82="W",G82*IF(F82&lt;0,100/-F82,F82/100),-G82)))</f>
        <v/>
      </c>
      <c r="K82" s="43" t="str">
        <f aca="false">IF(OR(F82="",H82=""),"",IF(F82&lt;0,-F82/(-F82+100),100/(F82+100))*-1+IF(H82&lt;0,-H82/(-H82+100),100/(H82+100)))</f>
        <v/>
      </c>
      <c r="L82" s="42" t="str">
        <f aca="false">IF(J82="","",SUM($J$4:J82))</f>
        <v/>
      </c>
    </row>
    <row r="83" customFormat="false" ht="15" hidden="false" customHeight="fals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42" t="str">
        <f aca="false">IF(I83="","",IF(I83="P",0,IF(I83="W",G83*IF(F83&lt;0,100/-F83,F83/100),-G83)))</f>
        <v/>
      </c>
      <c r="K83" s="43" t="str">
        <f aca="false">IF(OR(F83="",H83=""),"",IF(F83&lt;0,-F83/(-F83+100),100/(F83+100))*-1+IF(H83&lt;0,-H83/(-H83+100),100/(H83+100)))</f>
        <v/>
      </c>
      <c r="L83" s="42" t="str">
        <f aca="false">IF(J83="","",SUM($J$4:J83))</f>
        <v/>
      </c>
    </row>
    <row r="86" customFormat="false" ht="15" hidden="false" customHeight="false" outlineLevel="0" collapsed="false">
      <c r="A86" s="4" t="s">
        <v>282</v>
      </c>
      <c r="B86" s="4" t="s">
        <v>283</v>
      </c>
      <c r="C86" s="30" t="n">
        <f aca="false">COUNT($G$4:$G$83)</f>
        <v>1</v>
      </c>
    </row>
    <row r="87" customFormat="false" ht="15" hidden="false" customHeight="false" outlineLevel="0" collapsed="false">
      <c r="B87" s="4" t="s">
        <v>284</v>
      </c>
      <c r="C87" s="44" t="n">
        <f aca="false">SUM($G$4:$G$83)</f>
        <v>25</v>
      </c>
    </row>
    <row r="88" customFormat="false" ht="15" hidden="false" customHeight="false" outlineLevel="0" collapsed="false">
      <c r="B88" s="4" t="s">
        <v>274</v>
      </c>
      <c r="C88" s="45" t="n">
        <f aca="false">SUM($J$4:$J$83)</f>
        <v>22.7272727272727</v>
      </c>
    </row>
    <row r="89" customFormat="false" ht="15" hidden="false" customHeight="false" outlineLevel="0" collapsed="false">
      <c r="B89" s="4" t="s">
        <v>285</v>
      </c>
      <c r="C89" s="31" t="n">
        <f aca="false">IFERROR(SUM($J$4:$J$83)/SUM($G$4:$G$83),0)</f>
        <v>0.909090909090909</v>
      </c>
    </row>
    <row r="90" customFormat="false" ht="15" hidden="false" customHeight="false" outlineLevel="0" collapsed="false">
      <c r="B90" s="4" t="s">
        <v>286</v>
      </c>
      <c r="C90" s="46" t="n">
        <f aca="false">IFERROR(AVERAGE($K$4:$K$83),0)</f>
        <v>0.0317460317460317</v>
      </c>
    </row>
    <row r="92" customFormat="false" ht="15" hidden="false" customHeight="false" outlineLevel="0" collapsed="false">
      <c r="A92" s="5" t="s">
        <v>287</v>
      </c>
    </row>
    <row r="93" customFormat="false" ht="15" hidden="false" customHeight="false" outlineLevel="0" collapsed="false">
      <c r="A93" s="5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2026-08-18T19:47:36Z</dcterms:created>
  <dc:creator>openpyxl</dc:creator>
  <dc:description/>
  <dc:language>en-US</dc:language>
  <cp:lastModifiedBy/>
  <dcterms:modified xsi:type="dcterms:W3CDTF">2026-08-18T19:47:36Z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